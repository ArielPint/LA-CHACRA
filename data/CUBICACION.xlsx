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6F7E8F0B-21A4-475C-A644-2CC45BFA1CCE}" xr6:coauthVersionLast="47" xr6:coauthVersionMax="47" xr10:uidLastSave="{00000000-0000-0000-0000-000000000000}"/>
  <bookViews>
    <workbookView xWindow="-120" yWindow="-120" windowWidth="29040" windowHeight="18240" xr2:uid="{1B80EFAC-68E4-47D9-BD21-B7D2BF09616E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<sst xmlns="http://schemas.openxmlformats.org/spreadsheetml/2006/main" count="741" uniqueCount="292">
  <si>
    <t>Tipo Partida</t>
  </si>
  <si>
    <t>Item Partida</t>
  </si>
  <si>
    <t>Partida</t>
  </si>
  <si>
    <t>Artículo</t>
  </si>
  <si>
    <t>Descripción</t>
  </si>
  <si>
    <t>Obra Gruesa</t>
  </si>
  <si>
    <t>Cubo montado</t>
  </si>
  <si>
    <t>Montaje Paneles</t>
  </si>
  <si>
    <t>HOLDOWN SUJECIÓN DE SERVICIO PESADO, 14" ALTO INCLUYE 30 TORNILLOS SDS25212 -HHDQ14</t>
  </si>
  <si>
    <t>HOLDOWN ALTA CARGA HDQ8 CON TORNILLOS SDS 3"-DHQ8</t>
  </si>
  <si>
    <t>HOLDOWN TENSIONADOR VARILLA 1/2" INCLUYE TORNILLOS (20 UN X CAJA)-DTT2Z UND</t>
  </si>
  <si>
    <t>Fab. Cielo</t>
  </si>
  <si>
    <t>PINO NACIONAL GRADO C-16/C-24 IMPREGNADO DE 2" X 6" X 3,20 m (41x138mm)</t>
  </si>
  <si>
    <t>PINO NACIONAL GRADO C-16/C-24 IMPREGNADO DE 2" X 6" X 4,00 m</t>
  </si>
  <si>
    <t>TORNILLO VOLCANITA CRS 6 x 1 5/8" ZINCADO</t>
  </si>
  <si>
    <t>GRAPA 145X35 T-40 (10.000 X CAJA)</t>
  </si>
  <si>
    <t>CONECTOR DENTADO SIMPSON DE 4" X 8" (AS48B /CAJA 129 UND)</t>
  </si>
  <si>
    <t>CLAVO HELICOIDAL 3.1X80MM</t>
  </si>
  <si>
    <t>PLANCHA YESO CARTON VOLCAN RF 1.22 x 3.40 x 15MM WHITE BORDE CUADRADO (40PLXPQ) SKU 5002142</t>
  </si>
  <si>
    <t>GOLILLA PVC BLANCA PARA TECHO 27 MM C/TAPA</t>
  </si>
  <si>
    <t>VOLCAN WRAP BARRERA DE VAPOR (PAPEL KRAFT LAM C/ POLIETILENO) 1,2X0,5M E: 0,123 MM (6KG 60M2 X RLL)</t>
  </si>
  <si>
    <t>040801X</t>
  </si>
  <si>
    <t>GRAPAS 180/40 NK HZ (10.000 UND X CAJA)</t>
  </si>
  <si>
    <t>040815X</t>
  </si>
  <si>
    <t>CLAVO R20 34X100 BK BEA (NAILS - 1.500 UND X CAJA N°BEA 10400470)</t>
  </si>
  <si>
    <t>Paneles Fabricados</t>
  </si>
  <si>
    <t>GOLILLA PLANA CORRIENTE 3/8" (CODIGO:03-GPFU ENVASE DE 100 UND)</t>
  </si>
  <si>
    <t>TORNILLO SIMPSON ESTRUCTURAL SDWS22600DB DE 6" (500 TORN.XPQTE.)</t>
  </si>
  <si>
    <t>TIRAFONDO HEXAGONO CORRIENTE DE 3/8" x 4-1/2"</t>
  </si>
  <si>
    <t>Fab. M3</t>
  </si>
  <si>
    <t>PINO NACIONAL GRADO C-16/C-24 IMPREGNADO DE 2" x 4" x x 3,20 m (41x90mm)</t>
  </si>
  <si>
    <t>TERCIADO FENOLICO CD DE 1,22 X 2,44 X 15 mm (65 PL X PQTE)</t>
  </si>
  <si>
    <t>PLACA LP OSB STANDAR 1.22 x2.44 x 9.5 MM APA PT-OECA095  (84 PL.xPAQ)</t>
  </si>
  <si>
    <t>CLAVO HELICOIDAL PROFIX GALV 3.1X65MMX217X18R</t>
  </si>
  <si>
    <t>CONECTOR DENTADO SIMPSON DE 3" X 6" (AS36B / CAJA 232 UND)</t>
  </si>
  <si>
    <t>PLANCHA YESO CARTON RF 1.22x2.44x15 BORDE CUADRADO S/PAPEL ( 2,9768 M2 X PL=70 PLX PQTE) SKU 5001097</t>
  </si>
  <si>
    <t>PLANCHA YESO CARTON VOLCAN RF 122 x 2.44 x 15 LINEN GREY BORDE CUADRADO 70 PLXPALLET SKU 5002205</t>
  </si>
  <si>
    <t>CINTA CONSTRUCCION VOLCANWRAP (47,8 MM X 50,29 M) (24 X CAJA)</t>
  </si>
  <si>
    <t>CINTA POLIESTER DE 2" COLOR VERDE (ROLLO= 100 mt=15 kg)</t>
  </si>
  <si>
    <t>Fab. M1</t>
  </si>
  <si>
    <t>TORNILLO PARA VOLCANITA CRS 6 x2 1/4 NEGRO DRYWALL</t>
  </si>
  <si>
    <t>Fab. Culatas M2 - M4</t>
  </si>
  <si>
    <t>PLACA OSB STANDARD DE 1.22 x 2.44 x 11.1 MM ( 72 X PAQUETE )</t>
  </si>
  <si>
    <t>Fab. Paneles interiores</t>
  </si>
  <si>
    <t>PINO NACIONAL CEPILLADO 4/CARAS SECO DE 2" X 2" X 3.20 MT (41 X 41 mm) IMPREGNADO</t>
  </si>
  <si>
    <t>PUNTA PARA PUNTILLERA DE 30 MM CAJA DE 5.000 UNIDADES</t>
  </si>
  <si>
    <t>PLANCHA YESO CARTON RH DE 1.20 x 2.40 x 12.5 MM BORDE REBAJADO (70PLXPQT)</t>
  </si>
  <si>
    <t>Piso Fabricado</t>
  </si>
  <si>
    <t>Piso Vinilico</t>
  </si>
  <si>
    <t>GARGOLA ESPECIAL LATA LARGO 350MM CON REMACHES</t>
  </si>
  <si>
    <t>BROCHA EXCELSIOR PROFESIONAL 5/8" x 4"</t>
  </si>
  <si>
    <t>GUARDAPOLVO PARA RETORNO PISO VINILICO PVC 50 x 3.000 COLOR BLANCO</t>
  </si>
  <si>
    <t>ADHESIVO GEXAFLEX 60 ENVASE GALON ( 3.75 LTS)</t>
  </si>
  <si>
    <t>GEXACO PLASTO CEM SACO 20 KILO - RETAPE RAPIDO</t>
  </si>
  <si>
    <t>GEXACO IMPRIMADOR UNIVERSAL BALDE 10 KG</t>
  </si>
  <si>
    <t>CAVE POLFLEX IMPERMEABILIZANTE , COPD: LCPIMM10020601 BALDE 20 KG</t>
  </si>
  <si>
    <t>SELLO POLIURETANO SOUDAFLEX 40FC TUBO BLANCO</t>
  </si>
  <si>
    <t>081009x</t>
  </si>
  <si>
    <t>PISO VINILICO SAFETRED UNIVERSAL 2M VENUS (2 x 20 M)</t>
  </si>
  <si>
    <t>081010x</t>
  </si>
  <si>
    <t>MONOFILAMENTO PISO VINILICO SAFETRED UNIVERSAL 2M VENUS ( ROLLO 50 MTS)</t>
  </si>
  <si>
    <t>geotextil</t>
  </si>
  <si>
    <t>Geotextil No Tejido 0,20x500Mts 40Grs Altec</t>
  </si>
  <si>
    <t>Fabricacion Piso</t>
  </si>
  <si>
    <t>PINO NACIONAL ESTRUCTURAL CEPILLADO 4/CARAS  IMPREGNADO DE  2 X 8 X 4.00 (41 x 185 MM ) (60XPAQUETE)</t>
  </si>
  <si>
    <t>PINO NACIONAL SECO  CEPILLADO DE 1 x 4 x 3.20 MTS (264 PZA X PQTE) IMPREGNADO</t>
  </si>
  <si>
    <t>CLAVO HELICOIDAL EN ROLLO  2.5 x 50 MM ( CAJA DE 9.000 UNIDADES ).</t>
  </si>
  <si>
    <t>GRAPA 14X35 T-50 (10.000 X CAJA)</t>
  </si>
  <si>
    <t>CONECTOR DENTADO SIMPSON DE  6" X 8"  (AS68B / 88 UND POR CAJA)</t>
  </si>
  <si>
    <t>AISLAN  GLASS 90 MM 0.375x12 MTS . DENSIDAD 11 KG/M3 (13.5 M2 X BOLSA) SKU 4000147</t>
  </si>
  <si>
    <t>AISLAN GLASS 140 MM R100/349 0.375x7.20 MTS DENSIDAD 13 KG/M3 (8.1 M2) COD:4000724</t>
  </si>
  <si>
    <t>POLIETILENO ALTA DENSIDAD DE 2.50 X 110 MICRAS FOIL ( 3.83 METROS LINEALES X KILO )</t>
  </si>
  <si>
    <t>TYPAR VOLCANWRAP ROLLO DE 2,743 x 45,72 MTS ( 125 M2 x ROLLO ) SKU 7000031</t>
  </si>
  <si>
    <t>VOLCOGLASS X RH 1,20 x 2,40 x 15MM BORDE</t>
  </si>
  <si>
    <t>COLA FRIA ARTICOL MADERA BALDE 20 KG.</t>
  </si>
  <si>
    <t>030253X</t>
  </si>
  <si>
    <t>PINO SYP GRADO 2 PRIME IMPREGNADO DE  3" x 8" x 10' (63x184 mm)</t>
  </si>
  <si>
    <t>040748x</t>
  </si>
  <si>
    <t>TORNILLO BASTON MURO TRA. 8 X 13/4</t>
  </si>
  <si>
    <t>040814X</t>
  </si>
  <si>
    <t>CLAVO TORNILLO TC28/32X65 NK JUMBO SCRAIL (SCRAIL-SCREW - 3.600 UND X CAJA)</t>
  </si>
  <si>
    <t>Terraza</t>
  </si>
  <si>
    <t>TORNILLO PARA FIBROCEMENTO PUNTA ESPEDA DE 10 x 13/4"  COD: K20TFCW (CAJA 1.000 UND )</t>
  </si>
  <si>
    <t>TORNILLOS SDS PARA CONECTORES ¼ X 4 1/2" - VASTAGO LARGO (100 UN X CAJA) (SDS25412MB)</t>
  </si>
  <si>
    <t>TORNILLO PARA CONECTORES 5MM X 50MM (CAJA 250 UN) (CODIGO SIMPSON: CSA5.0X50)</t>
  </si>
  <si>
    <t>TORNILLO CABEZA PLANA 7,7MM X 85MM (250 X CAJA) (SDW22338MB)</t>
  </si>
  <si>
    <t>ESCUADRA REFORZADA 105 X 150 X 90 E:3MM (COD: ABR105)</t>
  </si>
  <si>
    <t>FIBROCEMENTO LISO 1.2 x 2.40 x 22 MM (VOLCAN)</t>
  </si>
  <si>
    <t>Sanitario</t>
  </si>
  <si>
    <t>Artefactos Logia</t>
  </si>
  <si>
    <t>Calefont</t>
  </si>
  <si>
    <t>CALEFON 10 LITROS GAS LICUADO TIRO FORZADO</t>
  </si>
  <si>
    <t>KIT DUCTO 60/100MM TIF CAM ABIER-5961599 (CALEFONT)</t>
  </si>
  <si>
    <t>Nicho</t>
  </si>
  <si>
    <t>NICHO PARA 2 CILINDROS DE GAS DE 15 KGS</t>
  </si>
  <si>
    <t>Sellos</t>
  </si>
  <si>
    <t>SILICONA ACETICA C/FUNGICIDA COLOR BLANCO 300 ml</t>
  </si>
  <si>
    <t>mobiliario</t>
  </si>
  <si>
    <t>Accesorio</t>
  </si>
  <si>
    <t>CELOSIA ALUMINIO MATE 40X40 CMS</t>
  </si>
  <si>
    <t>CELOSIA ALUMINIO MATE 20 x 20 CMS</t>
  </si>
  <si>
    <t>ESPEJO RECTO AL. BLANCO DE 50x70 CMS</t>
  </si>
  <si>
    <t>PORTA ROLLO BENTON CROMO (21BE0000100)</t>
  </si>
  <si>
    <t>ARGOLLA TOALLA BENTON CROMO (21BE0000101)</t>
  </si>
  <si>
    <t>CELOSIA ALUMINIO MATE 25 x 25 CMS</t>
  </si>
  <si>
    <t>SOPORTE BARRA CORTINA ECONOMICO BLANCO COD:1511110022050</t>
  </si>
  <si>
    <t>BARRA CORTINA BAÑO ALUMINIO/PVC  BLANCO L: 1.5 MTS. COD:2014100010050</t>
  </si>
  <si>
    <t>NUEVO ASIENTO Y TAPA WC AURA P.P. CIERRE ESTÁNDAR</t>
  </si>
  <si>
    <t>PERCHA SIMPLE YORK 21PL0000104</t>
  </si>
  <si>
    <t>Receptaculo / Ducha</t>
  </si>
  <si>
    <t>TINA</t>
  </si>
  <si>
    <t>ESPUMA POLIURETANO EXPANSIVA 750 ml</t>
  </si>
  <si>
    <t>KIT DESAGÜE Y SIFÓN C/REBALSE PARA TINAS (SC1015690001BS)</t>
  </si>
  <si>
    <t>SOPORTE DE TINA STANDARD D25 H13 ( SB004819130100)</t>
  </si>
  <si>
    <t>BURLETE DE TERMINACION PARA PLATO DUCHA Y BAÑERAS TIRA DE 3 MTS. PVC</t>
  </si>
  <si>
    <t>TINA DE ACERO ESMALTADA BLANCA ANTIDESLIZANTE 130x70</t>
  </si>
  <si>
    <t>Griferia</t>
  </si>
  <si>
    <t>NEW PRIMA MEZCLADOR EXTERIOR TINA/DUCHA INCL. DUCHA SIMPLE, SOPORTE Y FLEXIBLE 1.5M 8LPM, ESTIU (TS2024020)</t>
  </si>
  <si>
    <t>Lavadero</t>
  </si>
  <si>
    <t>LAVARROPA PLATICO DS THEOS 15L (19ST8073500)</t>
  </si>
  <si>
    <t>SIFON PLASTICO UNIVERSAL 1 1/4" Y 1 1/2" (19ST8073500)</t>
  </si>
  <si>
    <t>LLAVE DE BOLA JARDIN/LAVAD 1/2" MANGO AZUL</t>
  </si>
  <si>
    <t>LLAVE DE BOLA JARDIN/LAVAD 1/2" MANGO ROJO</t>
  </si>
  <si>
    <t>Lavamanos</t>
  </si>
  <si>
    <t>LAVAMANOS DS THEOS (60TH2001000)</t>
  </si>
  <si>
    <t>PEDESTAL DS THEOS (60TH2002000)</t>
  </si>
  <si>
    <t>UÑETAS INSTLACION LAVAMANOS MURAL C/TORNILLO Y TARUGO (21PB6002032)</t>
  </si>
  <si>
    <t>GOMA ADAPTADORA PARA SIFON 40 x 32mm MUEBLE SUNSET</t>
  </si>
  <si>
    <t>NEW PRIMA MEZCLADOR PARA LAVABO APERTURA EN FRIO 8LPM ESTIU (TS2024019)</t>
  </si>
  <si>
    <t>DESAGUE LAVAMANOS UNIVERSAL PP 1 1/4" CON REJILLA Y TAPON (20ST3058100)</t>
  </si>
  <si>
    <t>SIFON BOTELLA 1 ¼ SALIDA 30CM TUBE WASSER (COD: HJ2010001)</t>
  </si>
  <si>
    <t>Lavaplatos</t>
  </si>
  <si>
    <t>lavaplatos</t>
  </si>
  <si>
    <t>MUEBLE BASE LAVAPLATOS 80X50X86,5 CM EN MELAMINA BLANCA 15 MM</t>
  </si>
  <si>
    <t>LAVAPLATOS DE SOBREPONER 80X50 CM PARA MONOMANDO C/SECADOR IZQUIERDO</t>
  </si>
  <si>
    <t>LAVAPLATOS DE SOBREPONER 80X50 CM PARA MONOMANDO C/SECADOR DERECHO</t>
  </si>
  <si>
    <t>SIFON PARA LAVAPLATO DE 1 1/2" VINILIT SALIDA RECTA DE 50</t>
  </si>
  <si>
    <t>NEW PRIMA MEZCLADOR PARA LAVAPLATOS CUELLO CISNE APERTURA EN FRIO 8LPM, ESTIU (TS2024022)</t>
  </si>
  <si>
    <t>SILICONA ACETICA C/FUNGICIDA COLOR TRANSPARENTE 300 ml</t>
  </si>
  <si>
    <t xml:space="preserve">WC </t>
  </si>
  <si>
    <t>SET DE ANCLAJE WC COD:CC0017370001B0 (FANALOZA)</t>
  </si>
  <si>
    <t>TAZA WC AURA HORIZONTAL CON FIJACIONES Y SELLO</t>
  </si>
  <si>
    <t>ESTANQUE WC AURA CON MECANISMO</t>
  </si>
  <si>
    <t>LLAVE ANGULAR 1/2X1/2 Y FLEXIBLE TECHNOFLEX 1/2X15/16 DE 35CM</t>
  </si>
  <si>
    <t>SELLO INSTALACION WC AURA HORIZONTAL</t>
  </si>
  <si>
    <t>Terminaciones</t>
  </si>
  <si>
    <t>Forrado interior modulo</t>
  </si>
  <si>
    <t>Revestimiento Interior</t>
  </si>
  <si>
    <t>Limpieza y Entrega</t>
  </si>
  <si>
    <t>Insumos menores</t>
  </si>
  <si>
    <t>CHOLGUAN LISO PLANCHA DE 1.520 x 2.440 x 2.4 MM</t>
  </si>
  <si>
    <t>PASTA RETAPE NEUTRA WET-PROOF</t>
  </si>
  <si>
    <t>DILUYENTE DUCO BOTELLA 1 LT</t>
  </si>
  <si>
    <t>HUAIPE BLANCO BOLSA DE 1 KILO</t>
  </si>
  <si>
    <t>TRAPOS DE ASEO</t>
  </si>
  <si>
    <t>CINTA EMBALAJE TRANSPARENTE</t>
  </si>
  <si>
    <t>Membrana Cielo</t>
  </si>
  <si>
    <t>MEMBRANA PVC NEGRA DE 0.8 MM ESPESOR TERMOFUSIONADA (4,1 ANCHO X 13 MT LARGO) MOD TIPO QB</t>
  </si>
  <si>
    <t>ADHESIVO VINILICO GEXAFLEX TINETA 20 KG</t>
  </si>
  <si>
    <t>Molduras</t>
  </si>
  <si>
    <t>Cubrejuntas</t>
  </si>
  <si>
    <t>CUBREJUNTA MDF WHITE  DE 5.5 x 40 x 3.600 MM  (VOLCAN) SKU: 1500015</t>
  </si>
  <si>
    <t>CUBREJUNTA MDF DE  5.5 x 40 x 2.440 MM.LINEN GREY (VOLCAN SKU 213041)</t>
  </si>
  <si>
    <t>Cornisa</t>
  </si>
  <si>
    <t>CORNIZA MDF FOLIO COLOR BLANCO MC-8 DE LARGO 3.660</t>
  </si>
  <si>
    <t>ESQUINERO CORNIZA INTERIOR PVC COLOR BLANCO</t>
  </si>
  <si>
    <t>ESQUINERO CORNIZA EXTERIOR PVC COLOR BLANCO</t>
  </si>
  <si>
    <t>Guardapolvo</t>
  </si>
  <si>
    <t>GUARDAPOLVO MDF FOLIO COLOR BLANCO DE 12 x 57 x 3.660</t>
  </si>
  <si>
    <t>ESQUINERO GUARDAPOLVO INTERIOR PVC COLOR BLANCO</t>
  </si>
  <si>
    <t>ESQUINERO GUARDAPOLVO EXTERIOR PVC COLOR BLANCO</t>
  </si>
  <si>
    <t>Angulos</t>
  </si>
  <si>
    <t>ANGULO PVC 25x25x3.0 MTS BLANCO</t>
  </si>
  <si>
    <t>Osb Exterior</t>
  </si>
  <si>
    <t>Aislacion Exterior</t>
  </si>
  <si>
    <t>AISLAN ROCA 90 MM D: 32 KG/M3 DE 0.375x1.200 MM (5.4 M2) SKU 3000481</t>
  </si>
  <si>
    <t>AISLAN GLASS 50 MM R100/212 0.375x12 MTS (13.5 M2 X BOLSA)</t>
  </si>
  <si>
    <t>SELLADOR ADHESIVO FIX-ALL HIGH TACK (REEMPLAZO MIR-O-BOND)</t>
  </si>
  <si>
    <t>Pilastreo</t>
  </si>
  <si>
    <t>pilastreo</t>
  </si>
  <si>
    <t>PILASTRA MDF FOLIO COLOR BLANCO DE 12 x 57 x 2,440  mm</t>
  </si>
  <si>
    <t>ESQUINERO PILASTRA PVC COLOR BLANCO</t>
  </si>
  <si>
    <t>Pintura Exterior</t>
  </si>
  <si>
    <t>Pintura</t>
  </si>
  <si>
    <t>ESMALTE AL AGUA BLANCO SATINADO PLUS UNIVERSAL (TINETA 5 GALONES)</t>
  </si>
  <si>
    <t>ESMALTE AL AGUA RAL 8001</t>
  </si>
  <si>
    <t>ESMALTE AL AGUA RAL 8011</t>
  </si>
  <si>
    <t>RODILLO CHIPORRO LIZCAL DE 7" PATAGON 18 CMS</t>
  </si>
  <si>
    <t>BROCHA EXCELSIOR PROFESIONAL DE 5/8 x 2"</t>
  </si>
  <si>
    <t>CINTA ENMASCARAR PERMACEL DE 2" 40 X 48 mm</t>
  </si>
  <si>
    <t>SILICONA SELLADOR ACRILICO PINTABLE COLOR BLANCA 300 ml</t>
  </si>
  <si>
    <t>Revestimiento Baño</t>
  </si>
  <si>
    <t>PLACA FIBROCEMENTO SIMPLISIMA CENIA BEIGE 2400 MM x 1200 MM x 6 MM</t>
  </si>
  <si>
    <t>PERFIL ESQUINERO ENCUENTRO PVC 8MM BLANCO</t>
  </si>
  <si>
    <t>PERFIL ESQUINERO INTERIOR PVC 8MM BLANCO</t>
  </si>
  <si>
    <t>SILICONA ALMENDRA NEUTRA COLOR ALMENDRA 300ML</t>
  </si>
  <si>
    <t>Sistema Extraccion</t>
  </si>
  <si>
    <t>Ventilacion</t>
  </si>
  <si>
    <t>CELOSIA BEAGLE 35.5 X 13CM BCO COD:2011100010050</t>
  </si>
  <si>
    <t>EXTRACTOR DVP4 12W 4 C/SENDOR DE HUMEDAD – HST 220VOLT</t>
  </si>
  <si>
    <t>EXTRACTOR VENTILACION PASIVA JONAS 4 VERSION CUADRADA F C/CELOSIA #150 BLANCO 100MM (COD: 250729)</t>
  </si>
  <si>
    <t>Smart Panel</t>
  </si>
  <si>
    <t>Hojalateria</t>
  </si>
  <si>
    <t>FORRO INICIO F-1 GRIS CENIZA RAL-7040 D:110  L:3.000 (V.SOCIALES)</t>
  </si>
  <si>
    <t>PLACA SMART SIDE R-4 SPC-M111 DE 1.220X2.440X11.1 MM (72 PL.POR PALLET )</t>
  </si>
  <si>
    <t>TORNILLO ZINCADO 8 x 3" CRS.</t>
  </si>
  <si>
    <t>XXX</t>
  </si>
  <si>
    <t>POLIESTIRENO EXPANDIDO 1220 X 2440 X 30 MM D:20 Kg/m3</t>
  </si>
  <si>
    <t>Baranda</t>
  </si>
  <si>
    <t>BARANDA METALICA  3140X1050 MM- SOLUCION BALCON</t>
  </si>
  <si>
    <t>FORRO FRENTE E: 0,5 MM L: 3140 MM ALUZINC</t>
  </si>
  <si>
    <t>FORRO LATERAL E: 0,5 MM L: 3140 MM ALUZINC</t>
  </si>
  <si>
    <t>FORRO LATERAL E: 0,5 MM L: 1000 MM ALUZINC</t>
  </si>
  <si>
    <t>ESQUEMA ACRILICO PARA PISOS/TERRAZAS - IMPRIMANTE 4G</t>
  </si>
  <si>
    <t>ESQUEMA ACRILICO PARA PISOS/TERRAZAS - RECUBRIMIENTO INTERMEDIO TEXTURADA 4G</t>
  </si>
  <si>
    <t>ESQUEMA ACRILICO PARA PISOS/TERRAZAS - TERMINACION TOP COAT 4G</t>
  </si>
  <si>
    <t>NARIZ DE GRADA ALUMINIO 53x28.5x6 5367</t>
  </si>
  <si>
    <t>Ventana</t>
  </si>
  <si>
    <t>CELOSÍA ALUMINIO BLANCO 805X2446 QUIEBRAVISTA GRANDE Y ANGULO PERIMETRAL</t>
  </si>
  <si>
    <t>BUTILLO ROLLO DE 3.2 x 19 x 15.25  MTS</t>
  </si>
  <si>
    <t>V01</t>
  </si>
  <si>
    <t>V01-VENTANA DORMITORIOS 2 PAÑOS.INFERIOR FIJO Y SUPERIOR PROYECTANTE (2050mm X 700 mm)</t>
  </si>
  <si>
    <t>V03</t>
  </si>
  <si>
    <t>V03- VENTANA BAÑO PROYECTANTE (550X550 MM)</t>
  </si>
  <si>
    <t>V05</t>
  </si>
  <si>
    <t>V05-VENTANA LIVING-COMEDOR CORREDERA BALCONERA (2050 mm X 1600 mm)</t>
  </si>
  <si>
    <t>Osb Cubierta</t>
  </si>
  <si>
    <t>Puerta Acceso</t>
  </si>
  <si>
    <t>NARIZ GRADA ALUMINIO 5367 DE 53 x 28 x 924 MM (casas Chacra)</t>
  </si>
  <si>
    <t>BURLETE DE GOMA BLANCO VIV IND (PUERTA)</t>
  </si>
  <si>
    <t>Cerraduras</t>
  </si>
  <si>
    <t>MANILLON C SPAGNA 19X200X300 MM (SKU: 041420)</t>
  </si>
  <si>
    <t>CERRADURA DE EMB 85000 MULTIPLE C/REC</t>
  </si>
  <si>
    <t>CILINDRO 03 LLAVE/LLAVE 70MM (35X35) AI</t>
  </si>
  <si>
    <t>MANILLA JUEGO 2816-C 19MM REVERSIBLE SIN BOC.</t>
  </si>
  <si>
    <t>BOCALLAVE B1 800 ACCESO SATINADO (PAR)</t>
  </si>
  <si>
    <t>CUADRADILLO EXPANSION 8X8X70MM</t>
  </si>
  <si>
    <t>Puertas</t>
  </si>
  <si>
    <t>KIT PRECOLGADO PTA.CARA ACERO GALV.6 PANELES BLANCA 45X1000X2050+M.P.FINGER 38X120-DERECHA</t>
  </si>
  <si>
    <t>KIT PRECOLGADO PTA.CARA ACERO GALV.6 PANELES BLANCA 45X1000X2050+M.P.FINGER 38X120-IZQUIERDA</t>
  </si>
  <si>
    <t>140209X</t>
  </si>
  <si>
    <t>TOPE DE PUERTA IMPORTADO MODELO 26D</t>
  </si>
  <si>
    <t>Sello</t>
  </si>
  <si>
    <t>Puerta Logia</t>
  </si>
  <si>
    <t>KIT PREC.PTA.CARA ACERO GALV.LISA 1/2 C.BLANCA 45X850X2050 V.TERMOPANEL,M.P.FINGER 38X120-DERECHA</t>
  </si>
  <si>
    <t>KIT PREC.PTA.CARA ACERO GALV.LISA 1/2 C.BLANCA 45X850X2050 V.TERMOPANEL,M.P.FINGER 38X120-IZQUIERDA</t>
  </si>
  <si>
    <t>Puerta Baño</t>
  </si>
  <si>
    <t>CEERRADURA BAÑO 815 TUBULAR DAP DUCASSE US32D 45MM ACERO INOX 304</t>
  </si>
  <si>
    <t>KIT PRECOLGADO PTA PREPINTADA 750X2040+M.P.FINGER 38X120 C/CELOSÍA PVC-IZQUIERDA</t>
  </si>
  <si>
    <t>KIT PRECOLGADO PTA PREPINTADA 750X2040+M.P.FINGER 38X120 C/CELOSÍA PVC-DERECHA</t>
  </si>
  <si>
    <t>Puerta Dormitorio</t>
  </si>
  <si>
    <t>CERRADURA ACCESO 815 TUBULAR CILINDRO 3 LLAVES DAP DUCASSE US32D 45MM ACERO INOX 304</t>
  </si>
  <si>
    <t>TOTAL TORRE</t>
  </si>
  <si>
    <t>CANTIDAD PROMEDIO POR MODULO</t>
  </si>
  <si>
    <t>PARTIDA</t>
  </si>
  <si>
    <t>DESCRIPCION</t>
  </si>
  <si>
    <t>UNIDAD</t>
  </si>
  <si>
    <t>WIP</t>
  </si>
  <si>
    <t>UND</t>
  </si>
  <si>
    <t>PZA</t>
  </si>
  <si>
    <t>PINO NACIONAL GRADO C-16/C-24 IMPREGNADO DE 2" X 6" X 4,00 m (VIVIENDAS SOCIALES)</t>
  </si>
  <si>
    <t>PINO NACIONAL ESTRUCTURAL CEPILLADO 4/CARAS  IMPREGNADO DE  2 X 8 X 4.00 (41 x 185 MM ) (VVSS)</t>
  </si>
  <si>
    <t>PINO NACIONAL GRADO C-16/C-24 IMPREGNADO DE 2" x 4" x 2,44 m (41x90mm) (VIVIENDAS SOCIALES)</t>
  </si>
  <si>
    <t>PL</t>
  </si>
  <si>
    <t>TRA</t>
  </si>
  <si>
    <t>CONECTOR DENTADO 2X4 (4C2)</t>
  </si>
  <si>
    <t>CJA</t>
  </si>
  <si>
    <t>CLAVO HELICOIDAL EN ROLLO  2.5 x 50 MM ( CAJA DE 9.000 UNIDADES )</t>
  </si>
  <si>
    <t>TIN</t>
  </si>
  <si>
    <t>PINTURA EPOXICA POLIPOX 675 GRIS COD:6757040T33</t>
  </si>
  <si>
    <t>GAL</t>
  </si>
  <si>
    <t>LTS</t>
  </si>
  <si>
    <t>RLL</t>
  </si>
  <si>
    <t>ML</t>
  </si>
  <si>
    <t>FORRO FRENTE BALCON DS49 80/100  D: 220 MM L: 4000 MM</t>
  </si>
  <si>
    <t xml:space="preserve">FORRO LATERAL BALCON DS49 100/100 D: 220 MM L: 3000 MM </t>
  </si>
  <si>
    <t>KIT CERRADURA ACCESO ML/816 SS 1 MANILLA (SKU:023037)</t>
  </si>
  <si>
    <t>KIT</t>
  </si>
  <si>
    <t>KIT CERRADURA ACCESO ML/816 SS 2 MANILLAS (SKU: 023037A)</t>
  </si>
  <si>
    <t>KG</t>
  </si>
  <si>
    <t>LLAVE DE PASO CAMPANA 1/2 LC17 6001 FAS</t>
  </si>
  <si>
    <t>MANGUITO WC DISCAPACITADO RECTO 110MM</t>
  </si>
  <si>
    <t>SIFON LAVAMANOS PP 1 1/4'' CON SALIDA RECTA (19ST3082500)</t>
  </si>
  <si>
    <t>MANGUITO RECTO 110MM MOD. TUBE WASSER</t>
  </si>
  <si>
    <t>M2</t>
  </si>
  <si>
    <t>SAC</t>
  </si>
  <si>
    <t>JGO</t>
  </si>
  <si>
    <t>MTS</t>
  </si>
  <si>
    <t>080460X</t>
  </si>
  <si>
    <t>MONOFILAMENTO POLYFLOR GRIS COD:3700</t>
  </si>
  <si>
    <t xml:space="preserve">PINTURA </t>
  </si>
  <si>
    <t>UNIDAD DE 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</si>
</sst>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A700C6-F0CA-453A-A934-AFDA491A5CB1}" name="Tabla1" displayName="Tabla1" ref="A1:D186" totalsRowShown="0">
  <autoFilter ref="A1:D186" xr:uid="{D3A700C6-F0CA-453A-A934-AFDA491A5CB1}"/>
  <tableColumns count="4">
    <tableColumn id="1" xr3:uid="{6134504D-9BD9-4C70-9A21-B337EE2112D7}" name="PARTIDA"/>
    <tableColumn id="2" xr3:uid="{D28348E6-170F-4D48-9AC0-3764BF4B6EB5}" name="DESCRIPCION"/>
    <tableColumn id="3" xr3:uid="{1D0FE055-EB2D-4BC0-8BD9-79C05C9FF1D9}" name="UNIDAD"/>
    <tableColumn id="4" xr3:uid="{D42DF3AE-8420-4822-99D0-442B0F49F38D}" name="WI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EF89-EEEC-44DD-90B6-FEA3815616C5}">
  <dimension ref="A1:H245"/>
  <sheetViews>
    <sheetView tabSelected="1" workbookViewId="0">
      <selection activeCell="F2" sqref="F2:F245"/>
    </sheetView>
  </sheetViews>
  <sheetFormatPr baseColWidth="10" defaultRowHeight="15" x14ac:dyDescent="0.25"/>
  <cols>
    <col min="5" max="5" width="108" bestFit="1" customWidth="1"/>
    <col min="6" max="6" width="18.140625" bestFit="1" customWidth="1"/>
    <col min="7" max="7" width="12.5703125" bestFit="1" customWidth="1"/>
    <col min="8" max="8" width="33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291</v>
      </c>
      <c r="G1" t="s">
        <v>252</v>
      </c>
      <c r="H1" t="s">
        <v>253</v>
      </c>
    </row>
    <row r="2" spans="1:8" x14ac:dyDescent="0.25">
      <c r="A2" t="s">
        <v>5</v>
      </c>
      <c r="B2" t="s">
        <v>6</v>
      </c>
      <c r="C2" t="s">
        <v>7</v>
      </c>
      <c r="D2">
        <v>412260</v>
      </c>
      <c r="E2" t="s">
        <v>8</v>
      </c>
      <c r="F2" t="str">
        <f>+_xlfn.XLOOKUP(D2,Tabla1[PARTIDA],Tabla1[UNIDAD],"",0)</f>
        <v>UND</v>
      </c>
      <c r="G2">
        <v>80</v>
      </c>
      <c r="H2">
        <v>2.5</v>
      </c>
    </row>
    <row r="3" spans="1:8" x14ac:dyDescent="0.25">
      <c r="D3">
        <v>412280</v>
      </c>
      <c r="E3" t="s">
        <v>9</v>
      </c>
      <c r="F3" t="str">
        <f>+_xlfn.XLOOKUP(D3,Tabla1[PARTIDA],Tabla1[UNIDAD],"",0)</f>
        <v>UND</v>
      </c>
      <c r="G3">
        <v>136</v>
      </c>
      <c r="H3">
        <v>4.25</v>
      </c>
    </row>
    <row r="4" spans="1:8" x14ac:dyDescent="0.25">
      <c r="D4">
        <v>412281</v>
      </c>
      <c r="E4" t="s">
        <v>10</v>
      </c>
      <c r="F4" t="str">
        <f>+_xlfn.XLOOKUP(D4,Tabla1[PARTIDA],Tabla1[UNIDAD],"",0)</f>
        <v>UND</v>
      </c>
      <c r="G4">
        <v>28</v>
      </c>
      <c r="H4">
        <v>0.875</v>
      </c>
    </row>
    <row r="5" spans="1:8" x14ac:dyDescent="0.25">
      <c r="C5" t="s">
        <v>11</v>
      </c>
      <c r="D5">
        <v>302010</v>
      </c>
      <c r="E5" t="s">
        <v>12</v>
      </c>
      <c r="F5" t="str">
        <f>+_xlfn.XLOOKUP(D5,Tabla1[PARTIDA],Tabla1[UNIDAD],"",0)</f>
        <v>PZA</v>
      </c>
      <c r="G5">
        <v>96</v>
      </c>
      <c r="H5">
        <v>3</v>
      </c>
    </row>
    <row r="6" spans="1:8" x14ac:dyDescent="0.25">
      <c r="D6">
        <v>302046</v>
      </c>
      <c r="E6" t="s">
        <v>13</v>
      </c>
      <c r="F6" t="str">
        <f>+_xlfn.XLOOKUP(D6,Tabla1[PARTIDA],Tabla1[UNIDAD],"",0)</f>
        <v>PZA</v>
      </c>
      <c r="G6">
        <v>560</v>
      </c>
      <c r="H6">
        <v>17.5</v>
      </c>
    </row>
    <row r="7" spans="1:8" x14ac:dyDescent="0.25">
      <c r="D7">
        <v>407423</v>
      </c>
      <c r="E7" t="s">
        <v>14</v>
      </c>
      <c r="F7" t="str">
        <f>+_xlfn.XLOOKUP(D7,Tabla1[PARTIDA],Tabla1[UNIDAD],"",0)</f>
        <v>UND</v>
      </c>
      <c r="G7">
        <v>2864</v>
      </c>
      <c r="H7">
        <v>89.5</v>
      </c>
    </row>
    <row r="8" spans="1:8" x14ac:dyDescent="0.25">
      <c r="D8">
        <v>408014</v>
      </c>
      <c r="E8" t="s">
        <v>15</v>
      </c>
      <c r="F8" t="str">
        <f>+_xlfn.XLOOKUP(D8,Tabla1[PARTIDA],Tabla1[UNIDAD],"",0)</f>
        <v>CJA</v>
      </c>
      <c r="G8">
        <v>0.58239999999999992</v>
      </c>
      <c r="H8">
        <v>1.8199999999999997E-2</v>
      </c>
    </row>
    <row r="9" spans="1:8" x14ac:dyDescent="0.25">
      <c r="D9">
        <v>410046</v>
      </c>
      <c r="E9" t="s">
        <v>16</v>
      </c>
      <c r="F9" t="str">
        <f>+_xlfn.XLOOKUP(D9,Tabla1[PARTIDA],Tabla1[UNIDAD],"",0)</f>
        <v>UND</v>
      </c>
      <c r="G9">
        <v>128</v>
      </c>
      <c r="H9">
        <v>4</v>
      </c>
    </row>
    <row r="10" spans="1:8" x14ac:dyDescent="0.25">
      <c r="D10">
        <v>412313</v>
      </c>
      <c r="E10" t="s">
        <v>17</v>
      </c>
      <c r="F10" t="str">
        <f>+_xlfn.XLOOKUP(D10,Tabla1[PARTIDA],Tabla1[UNIDAD],"",0)</f>
        <v>CJA</v>
      </c>
      <c r="G10">
        <v>0.76800000000000013</v>
      </c>
      <c r="H10">
        <v>2.4000000000000004E-2</v>
      </c>
    </row>
    <row r="11" spans="1:8" x14ac:dyDescent="0.25">
      <c r="D11">
        <v>701043</v>
      </c>
      <c r="E11" t="s">
        <v>18</v>
      </c>
      <c r="F11" t="str">
        <f>+_xlfn.XLOOKUP(D11,Tabla1[PARTIDA],Tabla1[UNIDAD],"",0)</f>
        <v>PL</v>
      </c>
      <c r="G11">
        <v>108</v>
      </c>
      <c r="H11">
        <v>3.375</v>
      </c>
    </row>
    <row r="12" spans="1:8" x14ac:dyDescent="0.25">
      <c r="D12">
        <v>1405006</v>
      </c>
      <c r="E12" t="s">
        <v>19</v>
      </c>
      <c r="F12" t="str">
        <f>+_xlfn.XLOOKUP(D12,Tabla1[PARTIDA],Tabla1[UNIDAD],"",0)</f>
        <v>UND</v>
      </c>
      <c r="G12">
        <v>464</v>
      </c>
      <c r="H12">
        <v>14.5</v>
      </c>
    </row>
    <row r="13" spans="1:8" x14ac:dyDescent="0.25">
      <c r="D13">
        <v>1902013</v>
      </c>
      <c r="E13" t="s">
        <v>20</v>
      </c>
      <c r="F13" t="str">
        <f>+_xlfn.XLOOKUP(D13,Tabla1[PARTIDA],Tabla1[UNIDAD],"",0)</f>
        <v>RLL</v>
      </c>
      <c r="G13">
        <v>10.080000000000002</v>
      </c>
      <c r="H13">
        <v>0.31500000000000006</v>
      </c>
    </row>
    <row r="14" spans="1:8" x14ac:dyDescent="0.25">
      <c r="D14" t="s">
        <v>21</v>
      </c>
      <c r="E14" t="s">
        <v>22</v>
      </c>
      <c r="F14" t="str">
        <f>+_xlfn.XLOOKUP(D14,Tabla1[PARTIDA],Tabla1[UNIDAD],"",0)</f>
        <v>CJA</v>
      </c>
      <c r="G14">
        <v>0.43200000000000016</v>
      </c>
      <c r="H14">
        <v>1.3500000000000005E-2</v>
      </c>
    </row>
    <row r="15" spans="1:8" x14ac:dyDescent="0.25">
      <c r="D15" t="s">
        <v>23</v>
      </c>
      <c r="E15" t="s">
        <v>24</v>
      </c>
      <c r="F15" t="str">
        <f>+_xlfn.XLOOKUP(D15,Tabla1[PARTIDA],Tabla1[UNIDAD],"",0)</f>
        <v>CJA</v>
      </c>
      <c r="G15">
        <v>2.8560000000000012</v>
      </c>
      <c r="H15">
        <v>8.9250000000000038E-2</v>
      </c>
    </row>
    <row r="16" spans="1:8" x14ac:dyDescent="0.25">
      <c r="B16" t="s">
        <v>25</v>
      </c>
      <c r="C16" t="s">
        <v>7</v>
      </c>
      <c r="D16">
        <v>407010</v>
      </c>
      <c r="E16" t="s">
        <v>26</v>
      </c>
      <c r="F16" t="str">
        <f>+_xlfn.XLOOKUP(D16,Tabla1[PARTIDA],Tabla1[UNIDAD],"",0)</f>
        <v>UND</v>
      </c>
      <c r="G16">
        <v>1000</v>
      </c>
      <c r="H16">
        <v>31.25</v>
      </c>
    </row>
    <row r="17" spans="3:8" x14ac:dyDescent="0.25">
      <c r="D17">
        <v>407011</v>
      </c>
      <c r="E17" t="s">
        <v>27</v>
      </c>
      <c r="F17" t="str">
        <f>+_xlfn.XLOOKUP(D17,Tabla1[PARTIDA],Tabla1[UNIDAD],"",0)</f>
        <v>UND</v>
      </c>
      <c r="G17">
        <v>9280</v>
      </c>
      <c r="H17">
        <v>290</v>
      </c>
    </row>
    <row r="18" spans="3:8" x14ac:dyDescent="0.25">
      <c r="D18">
        <v>407307</v>
      </c>
      <c r="E18" t="s">
        <v>28</v>
      </c>
      <c r="F18" t="str">
        <f>+_xlfn.XLOOKUP(D18,Tabla1[PARTIDA],Tabla1[UNIDAD],"",0)</f>
        <v>UND</v>
      </c>
      <c r="G18">
        <v>1000</v>
      </c>
      <c r="H18">
        <v>31.25</v>
      </c>
    </row>
    <row r="19" spans="3:8" x14ac:dyDescent="0.25">
      <c r="C19" t="s">
        <v>29</v>
      </c>
      <c r="D19">
        <v>302010</v>
      </c>
      <c r="E19" t="s">
        <v>12</v>
      </c>
      <c r="F19" t="str">
        <f>+_xlfn.XLOOKUP(D19,Tabla1[PARTIDA],Tabla1[UNIDAD],"",0)</f>
        <v>PZA</v>
      </c>
      <c r="G19">
        <v>120</v>
      </c>
      <c r="H19">
        <v>3.75</v>
      </c>
    </row>
    <row r="20" spans="3:8" x14ac:dyDescent="0.25">
      <c r="D20">
        <v>302028</v>
      </c>
      <c r="E20" t="s">
        <v>30</v>
      </c>
      <c r="F20" t="str">
        <f>+_xlfn.XLOOKUP(D20,Tabla1[PARTIDA],Tabla1[UNIDAD],"",0)</f>
        <v>PZA</v>
      </c>
      <c r="G20">
        <v>674</v>
      </c>
      <c r="H20">
        <v>21.0625</v>
      </c>
    </row>
    <row r="21" spans="3:8" x14ac:dyDescent="0.25">
      <c r="D21">
        <v>304049</v>
      </c>
      <c r="E21" t="s">
        <v>31</v>
      </c>
      <c r="F21" t="str">
        <f>+_xlfn.XLOOKUP(D21,Tabla1[PARTIDA],Tabla1[UNIDAD],"",0)</f>
        <v>PL</v>
      </c>
      <c r="G21">
        <v>8</v>
      </c>
      <c r="H21">
        <v>0.25</v>
      </c>
    </row>
    <row r="22" spans="3:8" x14ac:dyDescent="0.25">
      <c r="D22">
        <v>304101</v>
      </c>
      <c r="E22" t="s">
        <v>32</v>
      </c>
      <c r="F22" t="str">
        <f>+_xlfn.XLOOKUP(D22,Tabla1[PARTIDA],Tabla1[UNIDAD],"",0)</f>
        <v>PL</v>
      </c>
      <c r="G22">
        <v>58</v>
      </c>
      <c r="H22">
        <v>1.8125</v>
      </c>
    </row>
    <row r="23" spans="3:8" x14ac:dyDescent="0.25">
      <c r="D23">
        <v>407423</v>
      </c>
      <c r="E23" t="s">
        <v>14</v>
      </c>
      <c r="F23" t="str">
        <f>+_xlfn.XLOOKUP(D23,Tabla1[PARTIDA],Tabla1[UNIDAD],"",0)</f>
        <v>UND</v>
      </c>
      <c r="G23">
        <v>4016</v>
      </c>
      <c r="H23">
        <v>125.5</v>
      </c>
    </row>
    <row r="24" spans="3:8" x14ac:dyDescent="0.25">
      <c r="D24">
        <v>408014</v>
      </c>
      <c r="E24" t="s">
        <v>15</v>
      </c>
      <c r="F24" t="str">
        <f>+_xlfn.XLOOKUP(D24,Tabla1[PARTIDA],Tabla1[UNIDAD],"",0)</f>
        <v>CJA</v>
      </c>
      <c r="G24">
        <v>0.26880000000000004</v>
      </c>
      <c r="H24">
        <v>8.4000000000000012E-3</v>
      </c>
    </row>
    <row r="25" spans="3:8" x14ac:dyDescent="0.25">
      <c r="D25">
        <v>408042</v>
      </c>
      <c r="E25" t="s">
        <v>33</v>
      </c>
      <c r="F25" t="str">
        <f>+_xlfn.XLOOKUP(D25,Tabla1[PARTIDA],Tabla1[UNIDAD],"",0)</f>
        <v>CJA</v>
      </c>
      <c r="G25">
        <v>5.28</v>
      </c>
      <c r="H25">
        <v>0.16500000000000001</v>
      </c>
    </row>
    <row r="26" spans="3:8" x14ac:dyDescent="0.25">
      <c r="D26">
        <v>410045</v>
      </c>
      <c r="E26" t="s">
        <v>34</v>
      </c>
      <c r="F26" t="str">
        <f>+_xlfn.XLOOKUP(D26,Tabla1[PARTIDA],Tabla1[UNIDAD],"",0)</f>
        <v>UND</v>
      </c>
      <c r="G26">
        <v>128</v>
      </c>
      <c r="H26">
        <v>4</v>
      </c>
    </row>
    <row r="27" spans="3:8" x14ac:dyDescent="0.25">
      <c r="D27">
        <v>412313</v>
      </c>
      <c r="E27" t="s">
        <v>17</v>
      </c>
      <c r="F27" t="str">
        <f>+_xlfn.XLOOKUP(D27,Tabla1[PARTIDA],Tabla1[UNIDAD],"",0)</f>
        <v>CJA</v>
      </c>
      <c r="G27">
        <v>6.4000000000000012</v>
      </c>
      <c r="H27">
        <v>0.20000000000000004</v>
      </c>
    </row>
    <row r="28" spans="3:8" x14ac:dyDescent="0.25">
      <c r="D28">
        <v>701040</v>
      </c>
      <c r="E28" t="s">
        <v>35</v>
      </c>
      <c r="F28" t="str">
        <f>+_xlfn.XLOOKUP(D28,Tabla1[PARTIDA],Tabla1[UNIDAD],"",0)</f>
        <v>PL</v>
      </c>
      <c r="G28">
        <v>16</v>
      </c>
      <c r="H28">
        <v>0.5</v>
      </c>
    </row>
    <row r="29" spans="3:8" x14ac:dyDescent="0.25">
      <c r="D29">
        <v>701096</v>
      </c>
      <c r="E29" t="s">
        <v>36</v>
      </c>
      <c r="F29" t="str">
        <f>+_xlfn.XLOOKUP(D29,Tabla1[PARTIDA],Tabla1[UNIDAD],"",0)</f>
        <v>PL</v>
      </c>
      <c r="G29">
        <v>92</v>
      </c>
      <c r="H29">
        <v>2.875</v>
      </c>
    </row>
    <row r="30" spans="3:8" x14ac:dyDescent="0.25">
      <c r="D30">
        <v>707023</v>
      </c>
      <c r="E30" t="s">
        <v>37</v>
      </c>
      <c r="F30" t="str">
        <f>+_xlfn.XLOOKUP(D30,Tabla1[PARTIDA],Tabla1[UNIDAD],"",0)</f>
        <v>UND</v>
      </c>
      <c r="G30">
        <v>16</v>
      </c>
      <c r="H30">
        <v>0.5</v>
      </c>
    </row>
    <row r="31" spans="3:8" x14ac:dyDescent="0.25">
      <c r="D31">
        <v>1902013</v>
      </c>
      <c r="E31" t="s">
        <v>20</v>
      </c>
      <c r="F31" t="str">
        <f>+_xlfn.XLOOKUP(D31,Tabla1[PARTIDA],Tabla1[UNIDAD],"",0)</f>
        <v>RLL</v>
      </c>
      <c r="G31">
        <v>7.200000000000002</v>
      </c>
      <c r="H31">
        <v>0.22500000000000006</v>
      </c>
    </row>
    <row r="32" spans="3:8" x14ac:dyDescent="0.25">
      <c r="D32">
        <v>5309018</v>
      </c>
      <c r="E32" t="s">
        <v>38</v>
      </c>
      <c r="F32" t="str">
        <f>+_xlfn.XLOOKUP(D32,Tabla1[PARTIDA],Tabla1[UNIDAD],"",0)</f>
        <v>MTS</v>
      </c>
      <c r="G32">
        <v>144</v>
      </c>
      <c r="H32">
        <v>4.5</v>
      </c>
    </row>
    <row r="33" spans="3:8" x14ac:dyDescent="0.25">
      <c r="D33" t="s">
        <v>21</v>
      </c>
      <c r="E33" t="s">
        <v>22</v>
      </c>
      <c r="F33" t="str">
        <f>+_xlfn.XLOOKUP(D33,Tabla1[PARTIDA],Tabla1[UNIDAD],"",0)</f>
        <v>CJA</v>
      </c>
      <c r="G33">
        <v>0.17919999999999994</v>
      </c>
      <c r="H33">
        <v>5.5999999999999982E-3</v>
      </c>
    </row>
    <row r="34" spans="3:8" x14ac:dyDescent="0.25">
      <c r="D34" t="s">
        <v>23</v>
      </c>
      <c r="E34" t="s">
        <v>24</v>
      </c>
      <c r="F34" t="str">
        <f>+_xlfn.XLOOKUP(D34,Tabla1[PARTIDA],Tabla1[UNIDAD],"",0)</f>
        <v>CJA</v>
      </c>
      <c r="G34">
        <v>10.608000000000002</v>
      </c>
      <c r="H34">
        <v>0.33150000000000007</v>
      </c>
    </row>
    <row r="35" spans="3:8" x14ac:dyDescent="0.25">
      <c r="C35" t="s">
        <v>39</v>
      </c>
      <c r="D35">
        <v>302010</v>
      </c>
      <c r="E35" t="s">
        <v>12</v>
      </c>
      <c r="F35" t="str">
        <f>+_xlfn.XLOOKUP(D35,Tabla1[PARTIDA],Tabla1[UNIDAD],"",0)</f>
        <v>PZA</v>
      </c>
      <c r="G35">
        <v>108</v>
      </c>
      <c r="H35">
        <v>3.375</v>
      </c>
    </row>
    <row r="36" spans="3:8" x14ac:dyDescent="0.25">
      <c r="D36">
        <v>302028</v>
      </c>
      <c r="E36" t="s">
        <v>30</v>
      </c>
      <c r="F36" t="str">
        <f>+_xlfn.XLOOKUP(D36,Tabla1[PARTIDA],Tabla1[UNIDAD],"",0)</f>
        <v>PZA</v>
      </c>
      <c r="G36">
        <v>672</v>
      </c>
      <c r="H36">
        <v>21</v>
      </c>
    </row>
    <row r="37" spans="3:8" x14ac:dyDescent="0.25">
      <c r="D37">
        <v>304101</v>
      </c>
      <c r="E37" t="s">
        <v>32</v>
      </c>
      <c r="F37" t="str">
        <f>+_xlfn.XLOOKUP(D37,Tabla1[PARTIDA],Tabla1[UNIDAD],"",0)</f>
        <v>PL</v>
      </c>
      <c r="G37">
        <v>58</v>
      </c>
      <c r="H37">
        <v>1.8125</v>
      </c>
    </row>
    <row r="38" spans="3:8" x14ac:dyDescent="0.25">
      <c r="D38">
        <v>407170</v>
      </c>
      <c r="E38" t="s">
        <v>40</v>
      </c>
      <c r="F38" t="str">
        <f>+_xlfn.XLOOKUP(D38,Tabla1[PARTIDA],Tabla1[UNIDAD],"",0)</f>
        <v>UND</v>
      </c>
      <c r="G38">
        <v>1152</v>
      </c>
      <c r="H38">
        <v>36</v>
      </c>
    </row>
    <row r="39" spans="3:8" x14ac:dyDescent="0.25">
      <c r="D39">
        <v>407423</v>
      </c>
      <c r="E39" t="s">
        <v>14</v>
      </c>
      <c r="F39" t="str">
        <f>+_xlfn.XLOOKUP(D39,Tabla1[PARTIDA],Tabla1[UNIDAD],"",0)</f>
        <v>UND</v>
      </c>
      <c r="G39">
        <v>2864</v>
      </c>
      <c r="H39">
        <v>89.5</v>
      </c>
    </row>
    <row r="40" spans="3:8" x14ac:dyDescent="0.25">
      <c r="D40">
        <v>408014</v>
      </c>
      <c r="E40" t="s">
        <v>15</v>
      </c>
      <c r="F40" t="str">
        <f>+_xlfn.XLOOKUP(D40,Tabla1[PARTIDA],Tabla1[UNIDAD],"",0)</f>
        <v>CJA</v>
      </c>
      <c r="G40">
        <v>0.24960000000000002</v>
      </c>
      <c r="H40">
        <v>7.8000000000000005E-3</v>
      </c>
    </row>
    <row r="41" spans="3:8" x14ac:dyDescent="0.25">
      <c r="D41">
        <v>408042</v>
      </c>
      <c r="E41" t="s">
        <v>33</v>
      </c>
      <c r="F41" t="str">
        <f>+_xlfn.XLOOKUP(D41,Tabla1[PARTIDA],Tabla1[UNIDAD],"",0)</f>
        <v>CJA</v>
      </c>
      <c r="G41">
        <v>5.28</v>
      </c>
      <c r="H41">
        <v>0.16500000000000001</v>
      </c>
    </row>
    <row r="42" spans="3:8" x14ac:dyDescent="0.25">
      <c r="D42">
        <v>410045</v>
      </c>
      <c r="E42" t="s">
        <v>34</v>
      </c>
      <c r="F42" t="str">
        <f>+_xlfn.XLOOKUP(D42,Tabla1[PARTIDA],Tabla1[UNIDAD],"",0)</f>
        <v>UND</v>
      </c>
      <c r="G42">
        <v>128</v>
      </c>
      <c r="H42">
        <v>4</v>
      </c>
    </row>
    <row r="43" spans="3:8" x14ac:dyDescent="0.25">
      <c r="D43">
        <v>412313</v>
      </c>
      <c r="E43" t="s">
        <v>17</v>
      </c>
      <c r="F43" t="str">
        <f>+_xlfn.XLOOKUP(D43,Tabla1[PARTIDA],Tabla1[UNIDAD],"",0)</f>
        <v>CJA</v>
      </c>
      <c r="G43">
        <v>3.2000000000000006</v>
      </c>
      <c r="H43">
        <v>0.10000000000000002</v>
      </c>
    </row>
    <row r="44" spans="3:8" x14ac:dyDescent="0.25">
      <c r="D44">
        <v>701040</v>
      </c>
      <c r="E44" t="s">
        <v>35</v>
      </c>
      <c r="F44" t="str">
        <f>+_xlfn.XLOOKUP(D44,Tabla1[PARTIDA],Tabla1[UNIDAD],"",0)</f>
        <v>PL</v>
      </c>
      <c r="G44">
        <v>8</v>
      </c>
      <c r="H44">
        <v>0.25</v>
      </c>
    </row>
    <row r="45" spans="3:8" x14ac:dyDescent="0.25">
      <c r="D45">
        <v>701096</v>
      </c>
      <c r="E45" t="s">
        <v>36</v>
      </c>
      <c r="F45" t="str">
        <f>+_xlfn.XLOOKUP(D45,Tabla1[PARTIDA],Tabla1[UNIDAD],"",0)</f>
        <v>PL</v>
      </c>
      <c r="G45">
        <v>104</v>
      </c>
      <c r="H45">
        <v>3.25</v>
      </c>
    </row>
    <row r="46" spans="3:8" x14ac:dyDescent="0.25">
      <c r="D46">
        <v>707023</v>
      </c>
      <c r="E46" t="s">
        <v>37</v>
      </c>
      <c r="F46" t="str">
        <f>+_xlfn.XLOOKUP(D46,Tabla1[PARTIDA],Tabla1[UNIDAD],"",0)</f>
        <v>UND</v>
      </c>
      <c r="G46">
        <v>16</v>
      </c>
      <c r="H46">
        <v>0.5</v>
      </c>
    </row>
    <row r="47" spans="3:8" x14ac:dyDescent="0.25">
      <c r="D47">
        <v>1902013</v>
      </c>
      <c r="E47" t="s">
        <v>20</v>
      </c>
      <c r="F47" t="str">
        <f>+_xlfn.XLOOKUP(D47,Tabla1[PARTIDA],Tabla1[UNIDAD],"",0)</f>
        <v>RLL</v>
      </c>
      <c r="G47">
        <v>7.200000000000002</v>
      </c>
      <c r="H47">
        <v>0.22500000000000006</v>
      </c>
    </row>
    <row r="48" spans="3:8" x14ac:dyDescent="0.25">
      <c r="D48">
        <v>5309018</v>
      </c>
      <c r="E48" t="s">
        <v>38</v>
      </c>
      <c r="F48" t="str">
        <f>+_xlfn.XLOOKUP(D48,Tabla1[PARTIDA],Tabla1[UNIDAD],"",0)</f>
        <v>MTS</v>
      </c>
      <c r="G48">
        <v>144</v>
      </c>
      <c r="H48">
        <v>4.5</v>
      </c>
    </row>
    <row r="49" spans="3:8" x14ac:dyDescent="0.25">
      <c r="D49" t="s">
        <v>21</v>
      </c>
      <c r="E49" t="s">
        <v>22</v>
      </c>
      <c r="F49" t="str">
        <f>+_xlfn.XLOOKUP(D49,Tabla1[PARTIDA],Tabla1[UNIDAD],"",0)</f>
        <v>CJA</v>
      </c>
      <c r="G49">
        <v>0.17919999999999994</v>
      </c>
      <c r="H49">
        <v>5.5999999999999982E-3</v>
      </c>
    </row>
    <row r="50" spans="3:8" x14ac:dyDescent="0.25">
      <c r="D50" t="s">
        <v>23</v>
      </c>
      <c r="E50" t="s">
        <v>24</v>
      </c>
      <c r="F50" t="str">
        <f>+_xlfn.XLOOKUP(D50,Tabla1[PARTIDA],Tabla1[UNIDAD],"",0)</f>
        <v>CJA</v>
      </c>
      <c r="G50">
        <v>10.608000000000002</v>
      </c>
      <c r="H50">
        <v>0.33150000000000007</v>
      </c>
    </row>
    <row r="51" spans="3:8" x14ac:dyDescent="0.25">
      <c r="C51" t="s">
        <v>41</v>
      </c>
      <c r="D51">
        <v>302010</v>
      </c>
      <c r="E51" t="s">
        <v>12</v>
      </c>
      <c r="F51" t="str">
        <f>+_xlfn.XLOOKUP(D51,Tabla1[PARTIDA],Tabla1[UNIDAD],"",0)</f>
        <v>PZA</v>
      </c>
      <c r="G51">
        <v>128</v>
      </c>
      <c r="H51">
        <v>4</v>
      </c>
    </row>
    <row r="52" spans="3:8" x14ac:dyDescent="0.25">
      <c r="D52">
        <v>302028</v>
      </c>
      <c r="E52" t="s">
        <v>30</v>
      </c>
      <c r="F52" t="str">
        <f>+_xlfn.XLOOKUP(D52,Tabla1[PARTIDA],Tabla1[UNIDAD],"",0)</f>
        <v>PZA</v>
      </c>
      <c r="G52">
        <v>518</v>
      </c>
      <c r="H52">
        <v>16.1875</v>
      </c>
    </row>
    <row r="53" spans="3:8" x14ac:dyDescent="0.25">
      <c r="D53">
        <v>304007</v>
      </c>
      <c r="E53" t="s">
        <v>42</v>
      </c>
      <c r="F53" t="str">
        <f>+_xlfn.XLOOKUP(D53,Tabla1[PARTIDA],Tabla1[UNIDAD],"",0)</f>
        <v>PL</v>
      </c>
      <c r="G53">
        <v>84</v>
      </c>
      <c r="H53">
        <v>2.625</v>
      </c>
    </row>
    <row r="54" spans="3:8" x14ac:dyDescent="0.25">
      <c r="D54">
        <v>407170</v>
      </c>
      <c r="E54" t="s">
        <v>40</v>
      </c>
      <c r="F54" t="str">
        <f>+_xlfn.XLOOKUP(D54,Tabla1[PARTIDA],Tabla1[UNIDAD],"",0)</f>
        <v>UND</v>
      </c>
      <c r="G54">
        <v>1152</v>
      </c>
      <c r="H54">
        <v>36</v>
      </c>
    </row>
    <row r="55" spans="3:8" x14ac:dyDescent="0.25">
      <c r="D55">
        <v>407423</v>
      </c>
      <c r="E55" t="s">
        <v>14</v>
      </c>
      <c r="F55" t="str">
        <f>+_xlfn.XLOOKUP(D55,Tabla1[PARTIDA],Tabla1[UNIDAD],"",0)</f>
        <v>UND</v>
      </c>
      <c r="G55">
        <v>2272</v>
      </c>
      <c r="H55">
        <v>71</v>
      </c>
    </row>
    <row r="56" spans="3:8" x14ac:dyDescent="0.25">
      <c r="D56">
        <v>408014</v>
      </c>
      <c r="E56" t="s">
        <v>15</v>
      </c>
      <c r="F56" t="str">
        <f>+_xlfn.XLOOKUP(D56,Tabla1[PARTIDA],Tabla1[UNIDAD],"",0)</f>
        <v>CJA</v>
      </c>
      <c r="G56">
        <v>0.2112</v>
      </c>
      <c r="H56">
        <v>6.6E-3</v>
      </c>
    </row>
    <row r="57" spans="3:8" x14ac:dyDescent="0.25">
      <c r="D57">
        <v>408042</v>
      </c>
      <c r="E57" t="s">
        <v>33</v>
      </c>
      <c r="F57" t="str">
        <f>+_xlfn.XLOOKUP(D57,Tabla1[PARTIDA],Tabla1[UNIDAD],"",0)</f>
        <v>CJA</v>
      </c>
      <c r="G57">
        <v>3.2000000000000006</v>
      </c>
      <c r="H57">
        <v>0.10000000000000002</v>
      </c>
    </row>
    <row r="58" spans="3:8" x14ac:dyDescent="0.25">
      <c r="D58">
        <v>412313</v>
      </c>
      <c r="E58" t="s">
        <v>17</v>
      </c>
      <c r="F58" t="str">
        <f>+_xlfn.XLOOKUP(D58,Tabla1[PARTIDA],Tabla1[UNIDAD],"",0)</f>
        <v>CJA</v>
      </c>
      <c r="G58">
        <v>0.624</v>
      </c>
      <c r="H58">
        <v>1.95E-2</v>
      </c>
    </row>
    <row r="59" spans="3:8" x14ac:dyDescent="0.25">
      <c r="D59">
        <v>701040</v>
      </c>
      <c r="E59" t="s">
        <v>35</v>
      </c>
      <c r="F59" t="str">
        <f>+_xlfn.XLOOKUP(D59,Tabla1[PARTIDA],Tabla1[UNIDAD],"",0)</f>
        <v>PL</v>
      </c>
      <c r="G59">
        <v>20</v>
      </c>
      <c r="H59">
        <v>0.625</v>
      </c>
    </row>
    <row r="60" spans="3:8" x14ac:dyDescent="0.25">
      <c r="D60">
        <v>701096</v>
      </c>
      <c r="E60" t="s">
        <v>36</v>
      </c>
      <c r="F60" t="str">
        <f>+_xlfn.XLOOKUP(D60,Tabla1[PARTIDA],Tabla1[UNIDAD],"",0)</f>
        <v>PL</v>
      </c>
      <c r="G60">
        <v>68</v>
      </c>
      <c r="H60">
        <v>2.125</v>
      </c>
    </row>
    <row r="61" spans="3:8" x14ac:dyDescent="0.25">
      <c r="D61">
        <v>707023</v>
      </c>
      <c r="E61" t="s">
        <v>37</v>
      </c>
      <c r="F61" t="str">
        <f>+_xlfn.XLOOKUP(D61,Tabla1[PARTIDA],Tabla1[UNIDAD],"",0)</f>
        <v>UND</v>
      </c>
      <c r="G61">
        <v>16</v>
      </c>
      <c r="H61">
        <v>0.5</v>
      </c>
    </row>
    <row r="62" spans="3:8" x14ac:dyDescent="0.25">
      <c r="D62">
        <v>1902013</v>
      </c>
      <c r="E62" t="s">
        <v>20</v>
      </c>
      <c r="F62" t="str">
        <f>+_xlfn.XLOOKUP(D62,Tabla1[PARTIDA],Tabla1[UNIDAD],"",0)</f>
        <v>RLL</v>
      </c>
      <c r="G62">
        <v>5.12</v>
      </c>
      <c r="H62">
        <v>0.16</v>
      </c>
    </row>
    <row r="63" spans="3:8" x14ac:dyDescent="0.25">
      <c r="D63">
        <v>5309018</v>
      </c>
      <c r="E63" t="s">
        <v>38</v>
      </c>
      <c r="F63" t="str">
        <f>+_xlfn.XLOOKUP(D63,Tabla1[PARTIDA],Tabla1[UNIDAD],"",0)</f>
        <v>MTS</v>
      </c>
      <c r="G63">
        <v>144</v>
      </c>
      <c r="H63">
        <v>4.5</v>
      </c>
    </row>
    <row r="64" spans="3:8" x14ac:dyDescent="0.25">
      <c r="D64" t="s">
        <v>21</v>
      </c>
      <c r="E64" t="s">
        <v>22</v>
      </c>
      <c r="F64" t="str">
        <f>+_xlfn.XLOOKUP(D64,Tabla1[PARTIDA],Tabla1[UNIDAD],"",0)</f>
        <v>CJA</v>
      </c>
      <c r="G64">
        <v>0.14080000000000001</v>
      </c>
      <c r="H64">
        <v>4.4000000000000003E-3</v>
      </c>
    </row>
    <row r="65" spans="2:8" x14ac:dyDescent="0.25">
      <c r="D65" t="s">
        <v>23</v>
      </c>
      <c r="E65" t="s">
        <v>24</v>
      </c>
      <c r="F65" t="str">
        <f>+_xlfn.XLOOKUP(D65,Tabla1[PARTIDA],Tabla1[UNIDAD],"",0)</f>
        <v>CJA</v>
      </c>
      <c r="G65">
        <v>10.608000000000002</v>
      </c>
      <c r="H65">
        <v>0.33150000000000007</v>
      </c>
    </row>
    <row r="66" spans="2:8" x14ac:dyDescent="0.25">
      <c r="C66" t="s">
        <v>43</v>
      </c>
      <c r="D66">
        <v>302010</v>
      </c>
      <c r="E66" t="s">
        <v>12</v>
      </c>
      <c r="F66" t="str">
        <f>+_xlfn.XLOOKUP(D66,Tabla1[PARTIDA],Tabla1[UNIDAD],"",0)</f>
        <v>PZA</v>
      </c>
      <c r="G66">
        <v>8</v>
      </c>
      <c r="H66">
        <v>0.25</v>
      </c>
    </row>
    <row r="67" spans="2:8" x14ac:dyDescent="0.25">
      <c r="D67">
        <v>302028</v>
      </c>
      <c r="E67" t="s">
        <v>30</v>
      </c>
      <c r="F67" t="str">
        <f>+_xlfn.XLOOKUP(D67,Tabla1[PARTIDA],Tabla1[UNIDAD],"",0)</f>
        <v>PZA</v>
      </c>
      <c r="G67">
        <v>704</v>
      </c>
      <c r="H67">
        <v>22</v>
      </c>
    </row>
    <row r="68" spans="2:8" x14ac:dyDescent="0.25">
      <c r="D68">
        <v>302248</v>
      </c>
      <c r="E68" t="s">
        <v>44</v>
      </c>
      <c r="F68" t="str">
        <f>+_xlfn.XLOOKUP(D68,Tabla1[PARTIDA],Tabla1[UNIDAD],"",0)</f>
        <v>PZA</v>
      </c>
      <c r="G68">
        <v>136</v>
      </c>
      <c r="H68">
        <v>4.25</v>
      </c>
    </row>
    <row r="69" spans="2:8" x14ac:dyDescent="0.25">
      <c r="D69">
        <v>408014</v>
      </c>
      <c r="E69" t="s">
        <v>15</v>
      </c>
      <c r="F69" t="str">
        <f>+_xlfn.XLOOKUP(D69,Tabla1[PARTIDA],Tabla1[UNIDAD],"",0)</f>
        <v>CJA</v>
      </c>
      <c r="G69">
        <v>0.34560000000000007</v>
      </c>
      <c r="H69">
        <v>1.0800000000000002E-2</v>
      </c>
    </row>
    <row r="70" spans="2:8" x14ac:dyDescent="0.25">
      <c r="D70">
        <v>408034</v>
      </c>
      <c r="E70" t="s">
        <v>45</v>
      </c>
      <c r="F70" t="str">
        <f>+_xlfn.XLOOKUP(D70,Tabla1[PARTIDA],Tabla1[UNIDAD],"",0)</f>
        <v>CJA</v>
      </c>
      <c r="G70">
        <v>4.3584000000000014</v>
      </c>
      <c r="H70">
        <v>0.13620000000000004</v>
      </c>
    </row>
    <row r="71" spans="2:8" x14ac:dyDescent="0.25">
      <c r="D71">
        <v>701015</v>
      </c>
      <c r="E71" t="s">
        <v>46</v>
      </c>
      <c r="F71" t="str">
        <f>+_xlfn.XLOOKUP(D71,Tabla1[PARTIDA],Tabla1[UNIDAD],"",0)</f>
        <v>PL</v>
      </c>
      <c r="G71">
        <v>72</v>
      </c>
      <c r="H71">
        <v>2.25</v>
      </c>
    </row>
    <row r="72" spans="2:8" x14ac:dyDescent="0.25">
      <c r="B72" t="s">
        <v>47</v>
      </c>
      <c r="C72" t="s">
        <v>48</v>
      </c>
      <c r="D72">
        <v>404745</v>
      </c>
      <c r="E72" t="s">
        <v>49</v>
      </c>
      <c r="F72" t="str">
        <f>+_xlfn.XLOOKUP(D72,Tabla1[PARTIDA],Tabla1[UNIDAD],"",0)</f>
        <v>UND</v>
      </c>
      <c r="G72">
        <v>8</v>
      </c>
      <c r="H72">
        <v>0.25</v>
      </c>
    </row>
    <row r="73" spans="2:8" x14ac:dyDescent="0.25">
      <c r="D73">
        <v>617057</v>
      </c>
      <c r="E73" t="s">
        <v>50</v>
      </c>
      <c r="F73" t="str">
        <f>+_xlfn.XLOOKUP(D73,Tabla1[PARTIDA],Tabla1[UNIDAD],"",0)</f>
        <v>UND</v>
      </c>
      <c r="G73">
        <v>8</v>
      </c>
      <c r="H73">
        <v>0.25</v>
      </c>
    </row>
    <row r="74" spans="2:8" x14ac:dyDescent="0.25">
      <c r="D74">
        <v>810007</v>
      </c>
      <c r="E74" t="s">
        <v>51</v>
      </c>
      <c r="F74" t="str">
        <f>+_xlfn.XLOOKUP(D74,Tabla1[PARTIDA],Tabla1[UNIDAD],"",0)</f>
        <v>TRA</v>
      </c>
      <c r="G74">
        <v>16</v>
      </c>
      <c r="H74">
        <v>0.5</v>
      </c>
    </row>
    <row r="75" spans="2:8" x14ac:dyDescent="0.25">
      <c r="D75">
        <v>2302024</v>
      </c>
      <c r="E75" t="s">
        <v>52</v>
      </c>
      <c r="F75" t="str">
        <f>+_xlfn.XLOOKUP(D75,Tabla1[PARTIDA],Tabla1[UNIDAD],"",0)</f>
        <v>GAL</v>
      </c>
      <c r="G75">
        <v>12</v>
      </c>
      <c r="H75">
        <v>0.375</v>
      </c>
    </row>
    <row r="76" spans="2:8" x14ac:dyDescent="0.25">
      <c r="D76">
        <v>2302044</v>
      </c>
      <c r="E76" t="s">
        <v>53</v>
      </c>
      <c r="F76" t="str">
        <f>+_xlfn.XLOOKUP(D76,Tabla1[PARTIDA],Tabla1[UNIDAD],"",0)</f>
        <v>SAC</v>
      </c>
      <c r="G76">
        <v>1.0204081632653061</v>
      </c>
      <c r="H76">
        <v>3.1887755102040817E-2</v>
      </c>
    </row>
    <row r="77" spans="2:8" x14ac:dyDescent="0.25">
      <c r="D77">
        <v>2302045</v>
      </c>
      <c r="E77" t="s">
        <v>54</v>
      </c>
      <c r="F77" t="str">
        <f>+_xlfn.XLOOKUP(D77,Tabla1[PARTIDA],Tabla1[UNIDAD],"",0)</f>
        <v>TIN</v>
      </c>
      <c r="G77">
        <v>1.0204081632653061</v>
      </c>
      <c r="H77">
        <v>3.1887755102040817E-2</v>
      </c>
    </row>
    <row r="78" spans="2:8" x14ac:dyDescent="0.25">
      <c r="D78">
        <v>2302118</v>
      </c>
      <c r="E78" t="s">
        <v>55</v>
      </c>
      <c r="F78" t="str">
        <f>+_xlfn.XLOOKUP(D78,Tabla1[PARTIDA],Tabla1[UNIDAD],"",0)</f>
        <v>UND</v>
      </c>
      <c r="G78">
        <v>4.75</v>
      </c>
      <c r="H78">
        <v>0.1484375</v>
      </c>
    </row>
    <row r="79" spans="2:8" x14ac:dyDescent="0.25">
      <c r="D79">
        <v>2304056</v>
      </c>
      <c r="E79" t="s">
        <v>56</v>
      </c>
      <c r="F79" t="str">
        <f>+_xlfn.XLOOKUP(D79,Tabla1[PARTIDA],Tabla1[UNIDAD],"",0)</f>
        <v>UND</v>
      </c>
      <c r="G79">
        <v>12</v>
      </c>
      <c r="H79">
        <v>0.375</v>
      </c>
    </row>
    <row r="80" spans="2:8" x14ac:dyDescent="0.25">
      <c r="D80" t="s">
        <v>57</v>
      </c>
      <c r="E80" t="s">
        <v>58</v>
      </c>
      <c r="F80" t="str">
        <f>+_xlfn.XLOOKUP(D80,Tabla1[PARTIDA],Tabla1[UNIDAD],"",0)</f>
        <v>M2</v>
      </c>
      <c r="G80">
        <v>116</v>
      </c>
      <c r="H80">
        <v>3.625</v>
      </c>
    </row>
    <row r="81" spans="3:8" x14ac:dyDescent="0.25">
      <c r="D81" t="s">
        <v>59</v>
      </c>
      <c r="E81" t="s">
        <v>60</v>
      </c>
      <c r="F81" t="str">
        <f>+_xlfn.XLOOKUP(D81,Tabla1[PARTIDA],Tabla1[UNIDAD],"",0)</f>
        <v>ML</v>
      </c>
      <c r="G81">
        <v>9.9039999999999981</v>
      </c>
      <c r="H81">
        <v>0.30949999999999994</v>
      </c>
    </row>
    <row r="82" spans="3:8" x14ac:dyDescent="0.25">
      <c r="D82" t="s">
        <v>61</v>
      </c>
      <c r="E82" t="s">
        <v>62</v>
      </c>
      <c r="F82" t="str">
        <f>+_xlfn.XLOOKUP(D82,Tabla1[PARTIDA],Tabla1[UNIDAD],"",0)</f>
        <v>RLL</v>
      </c>
      <c r="G82">
        <v>0.13600000000000001</v>
      </c>
      <c r="H82">
        <v>4.2500000000000003E-3</v>
      </c>
    </row>
    <row r="83" spans="3:8" x14ac:dyDescent="0.25">
      <c r="C83" t="s">
        <v>63</v>
      </c>
      <c r="D83">
        <v>302010</v>
      </c>
      <c r="E83" t="s">
        <v>12</v>
      </c>
      <c r="F83" t="str">
        <f>+_xlfn.XLOOKUP(D83,Tabla1[PARTIDA],Tabla1[UNIDAD],"",0)</f>
        <v>PZA</v>
      </c>
      <c r="G83">
        <v>72</v>
      </c>
      <c r="H83">
        <v>2.25</v>
      </c>
    </row>
    <row r="84" spans="3:8" x14ac:dyDescent="0.25">
      <c r="D84">
        <v>302028</v>
      </c>
      <c r="E84" t="s">
        <v>30</v>
      </c>
      <c r="F84" t="str">
        <f>+_xlfn.XLOOKUP(D84,Tabla1[PARTIDA],Tabla1[UNIDAD],"",0)</f>
        <v>PZA</v>
      </c>
      <c r="G84">
        <v>64</v>
      </c>
      <c r="H84">
        <v>2</v>
      </c>
    </row>
    <row r="85" spans="3:8" x14ac:dyDescent="0.25">
      <c r="D85">
        <v>302048</v>
      </c>
      <c r="E85" t="s">
        <v>64</v>
      </c>
      <c r="F85" t="str">
        <f>+_xlfn.XLOOKUP(D85,Tabla1[PARTIDA],Tabla1[UNIDAD],"",0)</f>
        <v>PZA</v>
      </c>
      <c r="G85">
        <v>536</v>
      </c>
      <c r="H85">
        <v>16.75</v>
      </c>
    </row>
    <row r="86" spans="3:8" x14ac:dyDescent="0.25">
      <c r="D86">
        <v>302249</v>
      </c>
      <c r="E86" t="s">
        <v>65</v>
      </c>
      <c r="F86" t="str">
        <f>+_xlfn.XLOOKUP(D86,Tabla1[PARTIDA],Tabla1[UNIDAD],"",0)</f>
        <v>PZA</v>
      </c>
      <c r="G86">
        <v>96</v>
      </c>
      <c r="H86">
        <v>3</v>
      </c>
    </row>
    <row r="87" spans="3:8" x14ac:dyDescent="0.25">
      <c r="D87">
        <v>304049</v>
      </c>
      <c r="E87" t="s">
        <v>31</v>
      </c>
      <c r="F87" t="str">
        <f>+_xlfn.XLOOKUP(D87,Tabla1[PARTIDA],Tabla1[UNIDAD],"",0)</f>
        <v>PL</v>
      </c>
      <c r="G87">
        <v>352</v>
      </c>
      <c r="H87">
        <v>11</v>
      </c>
    </row>
    <row r="88" spans="3:8" x14ac:dyDescent="0.25">
      <c r="D88">
        <v>304101</v>
      </c>
      <c r="E88" t="s">
        <v>32</v>
      </c>
      <c r="F88" t="str">
        <f>+_xlfn.XLOOKUP(D88,Tabla1[PARTIDA],Tabla1[UNIDAD],"",0)</f>
        <v>PL</v>
      </c>
      <c r="G88">
        <v>168</v>
      </c>
      <c r="H88">
        <v>5.25</v>
      </c>
    </row>
    <row r="89" spans="3:8" x14ac:dyDescent="0.25">
      <c r="D89">
        <v>408017</v>
      </c>
      <c r="E89" t="s">
        <v>66</v>
      </c>
      <c r="F89" t="str">
        <f>+_xlfn.XLOOKUP(D89,Tabla1[PARTIDA],Tabla1[UNIDAD],"",0)</f>
        <v>CJA</v>
      </c>
      <c r="G89">
        <v>0.80000000000000016</v>
      </c>
      <c r="H89">
        <v>2.5000000000000005E-2</v>
      </c>
    </row>
    <row r="90" spans="3:8" x14ac:dyDescent="0.25">
      <c r="D90">
        <v>408042</v>
      </c>
      <c r="E90" t="s">
        <v>33</v>
      </c>
      <c r="F90" t="str">
        <f>+_xlfn.XLOOKUP(D90,Tabla1[PARTIDA],Tabla1[UNIDAD],"",0)</f>
        <v>CJA</v>
      </c>
      <c r="G90">
        <v>4.2</v>
      </c>
      <c r="H90">
        <v>0.13125000000000001</v>
      </c>
    </row>
    <row r="91" spans="3:8" x14ac:dyDescent="0.25">
      <c r="D91">
        <v>408088</v>
      </c>
      <c r="E91" t="s">
        <v>67</v>
      </c>
      <c r="F91" t="str">
        <f>+_xlfn.XLOOKUP(D91,Tabla1[PARTIDA],Tabla1[UNIDAD],"",0)</f>
        <v>CJA</v>
      </c>
      <c r="G91">
        <v>1.9200000000000008</v>
      </c>
      <c r="H91">
        <v>6.0000000000000026E-2</v>
      </c>
    </row>
    <row r="92" spans="3:8" x14ac:dyDescent="0.25">
      <c r="D92">
        <v>410126</v>
      </c>
      <c r="E92" t="s">
        <v>68</v>
      </c>
      <c r="F92" t="str">
        <f>+_xlfn.XLOOKUP(D92,Tabla1[PARTIDA],Tabla1[UNIDAD],"",0)</f>
        <v>UND</v>
      </c>
      <c r="G92">
        <v>160</v>
      </c>
      <c r="H92">
        <v>5</v>
      </c>
    </row>
    <row r="93" spans="3:8" x14ac:dyDescent="0.25">
      <c r="D93">
        <v>412313</v>
      </c>
      <c r="E93" t="s">
        <v>17</v>
      </c>
      <c r="F93" t="str">
        <f>+_xlfn.XLOOKUP(D93,Tabla1[PARTIDA],Tabla1[UNIDAD],"",0)</f>
        <v>CJA</v>
      </c>
      <c r="G93">
        <v>2.1920000000000002</v>
      </c>
      <c r="H93">
        <v>6.8500000000000005E-2</v>
      </c>
    </row>
    <row r="94" spans="3:8" x14ac:dyDescent="0.25">
      <c r="D94">
        <v>1901008</v>
      </c>
      <c r="E94" t="s">
        <v>69</v>
      </c>
      <c r="F94" t="str">
        <f>+_xlfn.XLOOKUP(D94,Tabla1[PARTIDA],Tabla1[UNIDAD],"",0)</f>
        <v>M2</v>
      </c>
      <c r="G94">
        <v>240.68</v>
      </c>
      <c r="H94">
        <v>7.5212500000000002</v>
      </c>
    </row>
    <row r="95" spans="3:8" x14ac:dyDescent="0.25">
      <c r="D95">
        <v>1901086</v>
      </c>
      <c r="E95" t="s">
        <v>70</v>
      </c>
      <c r="F95" t="str">
        <f>+_xlfn.XLOOKUP(D95,Tabla1[PARTIDA],Tabla1[UNIDAD],"",0)</f>
        <v>M2</v>
      </c>
      <c r="G95">
        <v>361.02000000000004</v>
      </c>
      <c r="H95">
        <v>11.281875000000001</v>
      </c>
    </row>
    <row r="96" spans="3:8" x14ac:dyDescent="0.25">
      <c r="D96">
        <v>1901505</v>
      </c>
      <c r="E96" t="s">
        <v>71</v>
      </c>
      <c r="F96" t="str">
        <f>+_xlfn.XLOOKUP(D96,Tabla1[PARTIDA],Tabla1[UNIDAD],"",0)</f>
        <v>KG</v>
      </c>
      <c r="G96">
        <v>18.8</v>
      </c>
      <c r="H96">
        <v>0.58750000000000002</v>
      </c>
    </row>
    <row r="97" spans="2:8" x14ac:dyDescent="0.25">
      <c r="D97">
        <v>1902003</v>
      </c>
      <c r="E97" t="s">
        <v>72</v>
      </c>
      <c r="F97" t="str">
        <f>+_xlfn.XLOOKUP(D97,Tabla1[PARTIDA],Tabla1[UNIDAD],"",0)</f>
        <v>RLL</v>
      </c>
      <c r="G97">
        <v>0.87871999999999995</v>
      </c>
      <c r="H97">
        <v>2.7459999999999998E-2</v>
      </c>
    </row>
    <row r="98" spans="2:8" x14ac:dyDescent="0.25">
      <c r="D98">
        <v>1902013</v>
      </c>
      <c r="E98" t="s">
        <v>20</v>
      </c>
      <c r="F98" t="str">
        <f>+_xlfn.XLOOKUP(D98,Tabla1[PARTIDA],Tabla1[UNIDAD],"",0)</f>
        <v>RLL</v>
      </c>
      <c r="G98">
        <v>2.52</v>
      </c>
      <c r="H98">
        <v>7.8750000000000001E-2</v>
      </c>
    </row>
    <row r="99" spans="2:8" x14ac:dyDescent="0.25">
      <c r="D99">
        <v>1902014</v>
      </c>
      <c r="E99" t="s">
        <v>73</v>
      </c>
      <c r="F99" t="str">
        <f>+_xlfn.XLOOKUP(D99,Tabla1[PARTIDA],Tabla1[UNIDAD],"",0)</f>
        <v>PL</v>
      </c>
      <c r="G99">
        <v>84</v>
      </c>
      <c r="H99">
        <v>2.625</v>
      </c>
    </row>
    <row r="100" spans="2:8" x14ac:dyDescent="0.25">
      <c r="D100">
        <v>2302098</v>
      </c>
      <c r="E100" t="s">
        <v>74</v>
      </c>
      <c r="F100" t="str">
        <f>+_xlfn.XLOOKUP(D100,Tabla1[PARTIDA],Tabla1[UNIDAD],"",0)</f>
        <v>TIN</v>
      </c>
      <c r="G100">
        <v>8</v>
      </c>
      <c r="H100">
        <v>0.25</v>
      </c>
    </row>
    <row r="101" spans="2:8" x14ac:dyDescent="0.25">
      <c r="D101">
        <v>5309018</v>
      </c>
      <c r="E101" t="s">
        <v>38</v>
      </c>
      <c r="F101" t="str">
        <f>+_xlfn.XLOOKUP(D101,Tabla1[PARTIDA],Tabla1[UNIDAD],"",0)</f>
        <v>MTS</v>
      </c>
      <c r="G101">
        <v>96</v>
      </c>
      <c r="H101">
        <v>3</v>
      </c>
    </row>
    <row r="102" spans="2:8" x14ac:dyDescent="0.25">
      <c r="D102" t="s">
        <v>75</v>
      </c>
      <c r="E102" t="s">
        <v>76</v>
      </c>
      <c r="F102" t="str">
        <f>+_xlfn.XLOOKUP(D102,Tabla1[PARTIDA],Tabla1[UNIDAD],"",0)</f>
        <v>PZA</v>
      </c>
      <c r="G102">
        <v>96</v>
      </c>
      <c r="H102">
        <v>3</v>
      </c>
    </row>
    <row r="103" spans="2:8" x14ac:dyDescent="0.25">
      <c r="D103" t="s">
        <v>77</v>
      </c>
      <c r="E103" t="s">
        <v>78</v>
      </c>
      <c r="F103" t="str">
        <f>+_xlfn.XLOOKUP(D103,Tabla1[PARTIDA],Tabla1[UNIDAD],"",0)</f>
        <v>CJA</v>
      </c>
      <c r="G103">
        <v>10.488888888888887</v>
      </c>
      <c r="H103">
        <v>0.32777777777777772</v>
      </c>
    </row>
    <row r="104" spans="2:8" x14ac:dyDescent="0.25">
      <c r="D104" t="s">
        <v>79</v>
      </c>
      <c r="E104" t="s">
        <v>80</v>
      </c>
      <c r="F104" t="str">
        <f>+_xlfn.XLOOKUP(D104,Tabla1[PARTIDA],Tabla1[UNIDAD],"",0)</f>
        <v>CJA</v>
      </c>
      <c r="G104">
        <v>0.83333333333333326</v>
      </c>
      <c r="H104">
        <v>2.6041666666666664E-2</v>
      </c>
    </row>
    <row r="105" spans="2:8" x14ac:dyDescent="0.25">
      <c r="D105" t="s">
        <v>23</v>
      </c>
      <c r="E105" t="s">
        <v>24</v>
      </c>
      <c r="F105" t="str">
        <f>+_xlfn.XLOOKUP(D105,Tabla1[PARTIDA],Tabla1[UNIDAD],"",0)</f>
        <v>CJA</v>
      </c>
      <c r="G105">
        <v>17.952000000000002</v>
      </c>
      <c r="H105">
        <v>0.56100000000000005</v>
      </c>
    </row>
    <row r="106" spans="2:8" x14ac:dyDescent="0.25">
      <c r="B106" t="s">
        <v>81</v>
      </c>
      <c r="C106" t="s">
        <v>63</v>
      </c>
      <c r="D106">
        <v>304049</v>
      </c>
      <c r="E106" t="s">
        <v>31</v>
      </c>
      <c r="F106" t="str">
        <f>+_xlfn.XLOOKUP(D106,Tabla1[PARTIDA],Tabla1[UNIDAD],"",0)</f>
        <v>PL</v>
      </c>
      <c r="G106">
        <v>10.64</v>
      </c>
      <c r="H106">
        <v>0.33250000000000002</v>
      </c>
    </row>
    <row r="107" spans="2:8" x14ac:dyDescent="0.25">
      <c r="D107">
        <v>407049</v>
      </c>
      <c r="E107" t="s">
        <v>82</v>
      </c>
      <c r="F107" t="str">
        <f>+_xlfn.XLOOKUP(D107,Tabla1[PARTIDA],Tabla1[UNIDAD],"",0)</f>
        <v>UND</v>
      </c>
      <c r="G107">
        <v>480</v>
      </c>
      <c r="H107">
        <v>15</v>
      </c>
    </row>
    <row r="108" spans="2:8" x14ac:dyDescent="0.25">
      <c r="D108">
        <v>407115</v>
      </c>
      <c r="E108" t="s">
        <v>83</v>
      </c>
      <c r="F108" t="str">
        <f>+_xlfn.XLOOKUP(D108,Tabla1[PARTIDA],Tabla1[UNIDAD],"",0)</f>
        <v>UND</v>
      </c>
      <c r="G108">
        <v>64</v>
      </c>
      <c r="H108">
        <v>2</v>
      </c>
    </row>
    <row r="109" spans="2:8" x14ac:dyDescent="0.25">
      <c r="D109">
        <v>407427</v>
      </c>
      <c r="E109" t="s">
        <v>84</v>
      </c>
      <c r="F109" t="str">
        <f>+_xlfn.XLOOKUP(D109,Tabla1[PARTIDA],Tabla1[UNIDAD],"",0)</f>
        <v>CJA</v>
      </c>
      <c r="G109">
        <v>1.5999999999999999</v>
      </c>
      <c r="H109">
        <v>4.9999999999999996E-2</v>
      </c>
    </row>
    <row r="110" spans="2:8" x14ac:dyDescent="0.25">
      <c r="D110">
        <v>412301</v>
      </c>
      <c r="E110" t="s">
        <v>85</v>
      </c>
      <c r="F110" t="str">
        <f>+_xlfn.XLOOKUP(D110,Tabla1[PARTIDA],Tabla1[UNIDAD],"",0)</f>
        <v>UND</v>
      </c>
      <c r="G110">
        <v>256</v>
      </c>
      <c r="H110">
        <v>8</v>
      </c>
    </row>
    <row r="111" spans="2:8" x14ac:dyDescent="0.25">
      <c r="D111">
        <v>412302</v>
      </c>
      <c r="E111" t="s">
        <v>86</v>
      </c>
      <c r="F111" t="str">
        <f>+_xlfn.XLOOKUP(D111,Tabla1[PARTIDA],Tabla1[UNIDAD],"",0)</f>
        <v>UND</v>
      </c>
      <c r="G111">
        <v>16</v>
      </c>
      <c r="H111">
        <v>0.5</v>
      </c>
    </row>
    <row r="112" spans="2:8" x14ac:dyDescent="0.25">
      <c r="D112">
        <v>701084</v>
      </c>
      <c r="E112" t="s">
        <v>87</v>
      </c>
      <c r="F112" t="str">
        <f>+_xlfn.XLOOKUP(D112,Tabla1[PARTIDA],Tabla1[UNIDAD],"",0)</f>
        <v>PL</v>
      </c>
      <c r="G112">
        <v>10.64</v>
      </c>
      <c r="H112">
        <v>0.33250000000000002</v>
      </c>
    </row>
    <row r="113" spans="1:8" x14ac:dyDescent="0.25">
      <c r="D113">
        <v>1902014</v>
      </c>
      <c r="E113" t="s">
        <v>73</v>
      </c>
      <c r="F113" t="str">
        <f>+_xlfn.XLOOKUP(D113,Tabla1[PARTIDA],Tabla1[UNIDAD],"",0)</f>
        <v>PL</v>
      </c>
      <c r="G113">
        <v>5.32</v>
      </c>
      <c r="H113">
        <v>0.16625000000000001</v>
      </c>
    </row>
    <row r="114" spans="1:8" x14ac:dyDescent="0.25">
      <c r="A114" t="s">
        <v>88</v>
      </c>
      <c r="B114" t="s">
        <v>89</v>
      </c>
      <c r="C114" t="s">
        <v>90</v>
      </c>
      <c r="D114">
        <v>1802164</v>
      </c>
      <c r="E114" t="s">
        <v>91</v>
      </c>
      <c r="F114" t="str">
        <f>+_xlfn.XLOOKUP(D114,Tabla1[PARTIDA],Tabla1[UNIDAD],"",0)</f>
        <v>UND</v>
      </c>
      <c r="G114">
        <v>8</v>
      </c>
      <c r="H114">
        <v>0.25</v>
      </c>
    </row>
    <row r="115" spans="1:8" x14ac:dyDescent="0.25">
      <c r="D115">
        <v>2508169</v>
      </c>
      <c r="E115" t="s">
        <v>92</v>
      </c>
      <c r="F115" t="str">
        <f>+_xlfn.XLOOKUP(D115,Tabla1[PARTIDA],Tabla1[UNIDAD],"",0)</f>
        <v>UND</v>
      </c>
      <c r="G115">
        <v>8</v>
      </c>
      <c r="H115">
        <v>0.25</v>
      </c>
    </row>
    <row r="116" spans="1:8" x14ac:dyDescent="0.25">
      <c r="C116" t="s">
        <v>93</v>
      </c>
      <c r="D116">
        <v>4212254</v>
      </c>
      <c r="E116" t="s">
        <v>94</v>
      </c>
      <c r="F116" t="str">
        <f>+_xlfn.XLOOKUP(D116,Tabla1[PARTIDA],Tabla1[UNIDAD],"",0)</f>
        <v>UND</v>
      </c>
      <c r="G116">
        <v>8</v>
      </c>
      <c r="H116">
        <v>0.25</v>
      </c>
    </row>
    <row r="117" spans="1:8" x14ac:dyDescent="0.25">
      <c r="C117" t="s">
        <v>95</v>
      </c>
      <c r="D117">
        <v>2304002</v>
      </c>
      <c r="E117" t="s">
        <v>96</v>
      </c>
      <c r="F117" t="str">
        <f>+_xlfn.XLOOKUP(D117,Tabla1[PARTIDA],Tabla1[UNIDAD],"",0)</f>
        <v>UND</v>
      </c>
      <c r="G117">
        <v>44.666666666666671</v>
      </c>
      <c r="H117">
        <v>1.3958333333333335</v>
      </c>
    </row>
    <row r="118" spans="1:8" x14ac:dyDescent="0.25">
      <c r="B118" t="s">
        <v>97</v>
      </c>
      <c r="C118" t="s">
        <v>98</v>
      </c>
      <c r="D118">
        <v>412016</v>
      </c>
      <c r="E118" t="s">
        <v>99</v>
      </c>
      <c r="F118" t="str">
        <f>+_xlfn.XLOOKUP(D118,Tabla1[PARTIDA],Tabla1[UNIDAD],"",0)</f>
        <v>UND</v>
      </c>
      <c r="G118">
        <v>8</v>
      </c>
      <c r="H118">
        <v>0.25</v>
      </c>
    </row>
    <row r="119" spans="1:8" x14ac:dyDescent="0.25">
      <c r="D119">
        <v>412132</v>
      </c>
      <c r="E119" t="s">
        <v>100</v>
      </c>
      <c r="F119" t="str">
        <f>+_xlfn.XLOOKUP(D119,Tabla1[PARTIDA],Tabla1[UNIDAD],"",0)</f>
        <v>UND</v>
      </c>
      <c r="G119">
        <v>8</v>
      </c>
      <c r="H119">
        <v>0.25</v>
      </c>
    </row>
    <row r="120" spans="1:8" x14ac:dyDescent="0.25">
      <c r="D120">
        <v>1206002</v>
      </c>
      <c r="E120" t="s">
        <v>101</v>
      </c>
      <c r="F120" t="str">
        <f>+_xlfn.XLOOKUP(D120,Tabla1[PARTIDA],Tabla1[UNIDAD],"",0)</f>
        <v>UND</v>
      </c>
      <c r="G120">
        <v>8</v>
      </c>
      <c r="H120">
        <v>0.25</v>
      </c>
    </row>
    <row r="121" spans="1:8" x14ac:dyDescent="0.25">
      <c r="D121">
        <v>1802171</v>
      </c>
      <c r="E121" t="s">
        <v>102</v>
      </c>
      <c r="F121" t="str">
        <f>+_xlfn.XLOOKUP(D121,Tabla1[PARTIDA],Tabla1[UNIDAD],"",0)</f>
        <v>UND</v>
      </c>
      <c r="G121">
        <v>8</v>
      </c>
      <c r="H121">
        <v>0.25</v>
      </c>
    </row>
    <row r="122" spans="1:8" x14ac:dyDescent="0.25">
      <c r="D122">
        <v>1802172</v>
      </c>
      <c r="E122" t="s">
        <v>103</v>
      </c>
      <c r="F122" t="str">
        <f>+_xlfn.XLOOKUP(D122,Tabla1[PARTIDA],Tabla1[UNIDAD],"",0)</f>
        <v>UND</v>
      </c>
      <c r="G122">
        <v>8</v>
      </c>
      <c r="H122">
        <v>0.25</v>
      </c>
    </row>
    <row r="123" spans="1:8" x14ac:dyDescent="0.25">
      <c r="D123">
        <v>1802517</v>
      </c>
      <c r="E123" t="s">
        <v>104</v>
      </c>
      <c r="F123" t="str">
        <f>+_xlfn.XLOOKUP(D123,Tabla1[PARTIDA],Tabla1[UNIDAD],"",0)</f>
        <v>UND</v>
      </c>
      <c r="G123">
        <v>8</v>
      </c>
      <c r="H123">
        <v>0.25</v>
      </c>
    </row>
    <row r="124" spans="1:8" x14ac:dyDescent="0.25">
      <c r="D124">
        <v>1808003</v>
      </c>
      <c r="E124" t="s">
        <v>105</v>
      </c>
      <c r="F124" t="str">
        <f>+_xlfn.XLOOKUP(D124,Tabla1[PARTIDA],Tabla1[UNIDAD],"",0)</f>
        <v>UND</v>
      </c>
      <c r="G124">
        <v>14</v>
      </c>
      <c r="H124">
        <v>0.4375</v>
      </c>
    </row>
    <row r="125" spans="1:8" x14ac:dyDescent="0.25">
      <c r="D125">
        <v>1808006</v>
      </c>
      <c r="E125" t="s">
        <v>106</v>
      </c>
      <c r="F125" t="str">
        <f>+_xlfn.XLOOKUP(D125,Tabla1[PARTIDA],Tabla1[UNIDAD],"",0)</f>
        <v>UND</v>
      </c>
      <c r="G125">
        <v>10</v>
      </c>
      <c r="H125">
        <v>0.3125</v>
      </c>
    </row>
    <row r="126" spans="1:8" x14ac:dyDescent="0.25">
      <c r="D126">
        <v>1808146</v>
      </c>
      <c r="E126" t="s">
        <v>107</v>
      </c>
      <c r="F126" t="str">
        <f>+_xlfn.XLOOKUP(D126,Tabla1[PARTIDA],Tabla1[UNIDAD],"",0)</f>
        <v>UND</v>
      </c>
      <c r="G126">
        <v>8</v>
      </c>
      <c r="H126">
        <v>0.25</v>
      </c>
    </row>
    <row r="127" spans="1:8" x14ac:dyDescent="0.25">
      <c r="D127">
        <v>1808156</v>
      </c>
      <c r="E127" t="s">
        <v>108</v>
      </c>
      <c r="F127" t="str">
        <f>+_xlfn.XLOOKUP(D127,Tabla1[PARTIDA],Tabla1[UNIDAD],"",0)</f>
        <v>UND</v>
      </c>
      <c r="G127">
        <v>8</v>
      </c>
      <c r="H127">
        <v>0.25</v>
      </c>
    </row>
    <row r="128" spans="1:8" x14ac:dyDescent="0.25">
      <c r="B128" t="s">
        <v>109</v>
      </c>
      <c r="C128" t="s">
        <v>110</v>
      </c>
      <c r="D128">
        <v>106022</v>
      </c>
      <c r="E128" t="s">
        <v>111</v>
      </c>
      <c r="F128" t="str">
        <f>+_xlfn.XLOOKUP(D128,Tabla1[PARTIDA],Tabla1[UNIDAD],"",0)</f>
        <v>UND</v>
      </c>
      <c r="G128">
        <v>8</v>
      </c>
      <c r="H128">
        <v>0.25</v>
      </c>
    </row>
    <row r="129" spans="2:8" x14ac:dyDescent="0.25">
      <c r="D129">
        <v>1801229</v>
      </c>
      <c r="E129" t="s">
        <v>112</v>
      </c>
      <c r="F129" t="str">
        <f>+_xlfn.XLOOKUP(D129,Tabla1[PARTIDA],Tabla1[UNIDAD],"",0)</f>
        <v>UND</v>
      </c>
      <c r="G129">
        <v>8</v>
      </c>
      <c r="H129">
        <v>0.25</v>
      </c>
    </row>
    <row r="130" spans="2:8" x14ac:dyDescent="0.25">
      <c r="D130">
        <v>1801230</v>
      </c>
      <c r="E130" t="s">
        <v>113</v>
      </c>
      <c r="F130" t="str">
        <f>+_xlfn.XLOOKUP(D130,Tabla1[PARTIDA],Tabla1[UNIDAD],"",0)</f>
        <v>UND</v>
      </c>
      <c r="G130">
        <v>8</v>
      </c>
      <c r="H130">
        <v>0.25</v>
      </c>
    </row>
    <row r="131" spans="2:8" x14ac:dyDescent="0.25">
      <c r="D131">
        <v>1801735</v>
      </c>
      <c r="E131" t="s">
        <v>114</v>
      </c>
      <c r="F131" t="str">
        <f>+_xlfn.XLOOKUP(D131,Tabla1[PARTIDA],Tabla1[UNIDAD],"",0)</f>
        <v>UND</v>
      </c>
      <c r="G131">
        <v>8</v>
      </c>
      <c r="H131">
        <v>0.25</v>
      </c>
    </row>
    <row r="132" spans="2:8" x14ac:dyDescent="0.25">
      <c r="D132">
        <v>1802162</v>
      </c>
      <c r="E132" t="s">
        <v>115</v>
      </c>
      <c r="F132" t="str">
        <f>+_xlfn.XLOOKUP(D132,Tabla1[PARTIDA],Tabla1[UNIDAD],"",0)</f>
        <v>UND</v>
      </c>
      <c r="G132">
        <v>8</v>
      </c>
      <c r="H132">
        <v>0.25</v>
      </c>
    </row>
    <row r="133" spans="2:8" x14ac:dyDescent="0.25">
      <c r="C133" t="s">
        <v>116</v>
      </c>
      <c r="D133">
        <v>1802167</v>
      </c>
      <c r="E133" t="s">
        <v>117</v>
      </c>
      <c r="F133" t="str">
        <f>+_xlfn.XLOOKUP(D133,Tabla1[PARTIDA],Tabla1[UNIDAD],"",0)</f>
        <v>UND</v>
      </c>
      <c r="G133">
        <v>8</v>
      </c>
      <c r="H133">
        <v>0.25</v>
      </c>
    </row>
    <row r="134" spans="2:8" x14ac:dyDescent="0.25">
      <c r="B134" t="s">
        <v>118</v>
      </c>
      <c r="C134" t="s">
        <v>118</v>
      </c>
      <c r="D134">
        <v>1802169</v>
      </c>
      <c r="E134" t="s">
        <v>119</v>
      </c>
      <c r="F134" t="str">
        <f>+_xlfn.XLOOKUP(D134,Tabla1[PARTIDA],Tabla1[UNIDAD],"",0)</f>
        <v>UND</v>
      </c>
      <c r="G134">
        <v>8</v>
      </c>
      <c r="H134">
        <v>0.25</v>
      </c>
    </row>
    <row r="135" spans="2:8" x14ac:dyDescent="0.25">
      <c r="D135">
        <v>1802170</v>
      </c>
      <c r="E135" t="s">
        <v>120</v>
      </c>
      <c r="F135" t="str">
        <f>+_xlfn.XLOOKUP(D135,Tabla1[PARTIDA],Tabla1[UNIDAD],"",0)</f>
        <v>UND</v>
      </c>
      <c r="G135">
        <v>8</v>
      </c>
      <c r="H135">
        <v>0.25</v>
      </c>
    </row>
    <row r="136" spans="2:8" x14ac:dyDescent="0.25">
      <c r="C136" t="s">
        <v>116</v>
      </c>
      <c r="D136">
        <v>5316483</v>
      </c>
      <c r="E136" t="s">
        <v>121</v>
      </c>
      <c r="F136" t="str">
        <f>+_xlfn.XLOOKUP(D136,Tabla1[PARTIDA],Tabla1[UNIDAD],"",0)</f>
        <v>UND</v>
      </c>
      <c r="G136">
        <v>16</v>
      </c>
      <c r="H136">
        <v>0.5</v>
      </c>
    </row>
    <row r="137" spans="2:8" x14ac:dyDescent="0.25">
      <c r="D137">
        <v>5316484</v>
      </c>
      <c r="E137" t="s">
        <v>122</v>
      </c>
      <c r="F137" t="str">
        <f>+_xlfn.XLOOKUP(D137,Tabla1[PARTIDA],Tabla1[UNIDAD],"",0)</f>
        <v>UND</v>
      </c>
      <c r="G137">
        <v>16</v>
      </c>
      <c r="H137">
        <v>0.5</v>
      </c>
    </row>
    <row r="138" spans="2:8" x14ac:dyDescent="0.25">
      <c r="B138" t="s">
        <v>123</v>
      </c>
      <c r="C138" t="s">
        <v>123</v>
      </c>
      <c r="D138">
        <v>1802173</v>
      </c>
      <c r="E138" t="s">
        <v>124</v>
      </c>
      <c r="F138" t="str">
        <f>+_xlfn.XLOOKUP(D138,Tabla1[PARTIDA],Tabla1[UNIDAD],"",0)</f>
        <v>UND</v>
      </c>
      <c r="G138">
        <v>8</v>
      </c>
      <c r="H138">
        <v>0.25</v>
      </c>
    </row>
    <row r="139" spans="2:8" x14ac:dyDescent="0.25">
      <c r="D139">
        <v>1802174</v>
      </c>
      <c r="E139" t="s">
        <v>125</v>
      </c>
      <c r="F139" t="str">
        <f>+_xlfn.XLOOKUP(D139,Tabla1[PARTIDA],Tabla1[UNIDAD],"",0)</f>
        <v>UND</v>
      </c>
      <c r="G139">
        <v>8</v>
      </c>
      <c r="H139">
        <v>0.25</v>
      </c>
    </row>
    <row r="140" spans="2:8" x14ac:dyDescent="0.25">
      <c r="D140">
        <v>1802175</v>
      </c>
      <c r="E140" t="s">
        <v>126</v>
      </c>
      <c r="F140" t="str">
        <f>+_xlfn.XLOOKUP(D140,Tabla1[PARTIDA],Tabla1[UNIDAD],"",0)</f>
        <v>UND</v>
      </c>
      <c r="G140">
        <v>8</v>
      </c>
      <c r="H140">
        <v>0.25</v>
      </c>
    </row>
    <row r="141" spans="2:8" x14ac:dyDescent="0.25">
      <c r="C141" t="s">
        <v>116</v>
      </c>
      <c r="D141">
        <v>1701154</v>
      </c>
      <c r="E141" t="s">
        <v>127</v>
      </c>
      <c r="F141" t="str">
        <f>+_xlfn.XLOOKUP(D141,Tabla1[PARTIDA],Tabla1[UNIDAD],"",0)</f>
        <v>UND</v>
      </c>
      <c r="G141">
        <v>8</v>
      </c>
      <c r="H141">
        <v>0.25</v>
      </c>
    </row>
    <row r="142" spans="2:8" x14ac:dyDescent="0.25">
      <c r="D142">
        <v>1802165</v>
      </c>
      <c r="E142" t="s">
        <v>128</v>
      </c>
      <c r="F142" t="str">
        <f>+_xlfn.XLOOKUP(D142,Tabla1[PARTIDA],Tabla1[UNIDAD],"",0)</f>
        <v>UND</v>
      </c>
      <c r="G142">
        <v>8</v>
      </c>
      <c r="H142">
        <v>0.25</v>
      </c>
    </row>
    <row r="143" spans="2:8" x14ac:dyDescent="0.25">
      <c r="D143">
        <v>1802176</v>
      </c>
      <c r="E143" t="s">
        <v>129</v>
      </c>
      <c r="F143" t="str">
        <f>+_xlfn.XLOOKUP(D143,Tabla1[PARTIDA],Tabla1[UNIDAD],"",0)</f>
        <v>UND</v>
      </c>
      <c r="G143">
        <v>8</v>
      </c>
      <c r="H143">
        <v>0.25</v>
      </c>
    </row>
    <row r="144" spans="2:8" x14ac:dyDescent="0.25">
      <c r="D144">
        <v>2505426</v>
      </c>
      <c r="E144" t="s">
        <v>130</v>
      </c>
      <c r="F144" t="str">
        <f>+_xlfn.XLOOKUP(D144,Tabla1[PARTIDA],Tabla1[UNIDAD],"",0)</f>
        <v>UND</v>
      </c>
      <c r="G144">
        <v>8</v>
      </c>
      <c r="H144">
        <v>0.25</v>
      </c>
    </row>
    <row r="145" spans="1:8" x14ac:dyDescent="0.25">
      <c r="B145" t="s">
        <v>131</v>
      </c>
      <c r="C145" t="s">
        <v>132</v>
      </c>
      <c r="D145">
        <v>5316507</v>
      </c>
      <c r="E145" t="s">
        <v>133</v>
      </c>
      <c r="F145" t="str">
        <f>+_xlfn.XLOOKUP(D145,Tabla1[PARTIDA],Tabla1[UNIDAD],"",0)</f>
        <v>UND</v>
      </c>
      <c r="G145">
        <v>8</v>
      </c>
      <c r="H145">
        <v>0.25</v>
      </c>
    </row>
    <row r="146" spans="1:8" x14ac:dyDescent="0.25">
      <c r="D146">
        <v>5316508</v>
      </c>
      <c r="E146" t="s">
        <v>134</v>
      </c>
      <c r="F146" t="str">
        <f>+_xlfn.XLOOKUP(D146,Tabla1[PARTIDA],Tabla1[UNIDAD],"",0)</f>
        <v>UND</v>
      </c>
      <c r="G146">
        <v>4</v>
      </c>
      <c r="H146">
        <v>0.125</v>
      </c>
    </row>
    <row r="147" spans="1:8" x14ac:dyDescent="0.25">
      <c r="D147">
        <v>5316509</v>
      </c>
      <c r="E147" t="s">
        <v>135</v>
      </c>
      <c r="F147" t="str">
        <f>+_xlfn.XLOOKUP(D147,Tabla1[PARTIDA],Tabla1[UNIDAD],"",0)</f>
        <v>UND</v>
      </c>
      <c r="G147">
        <v>4</v>
      </c>
      <c r="H147">
        <v>0.125</v>
      </c>
    </row>
    <row r="148" spans="1:8" x14ac:dyDescent="0.25">
      <c r="C148" t="s">
        <v>116</v>
      </c>
      <c r="D148">
        <v>1703006</v>
      </c>
      <c r="E148" t="s">
        <v>136</v>
      </c>
      <c r="F148" t="str">
        <f>+_xlfn.XLOOKUP(D148,Tabla1[PARTIDA],Tabla1[UNIDAD],"",0)</f>
        <v>UND</v>
      </c>
      <c r="G148">
        <v>8</v>
      </c>
      <c r="H148">
        <v>0.25</v>
      </c>
    </row>
    <row r="149" spans="1:8" x14ac:dyDescent="0.25">
      <c r="D149">
        <v>1802166</v>
      </c>
      <c r="E149" t="s">
        <v>137</v>
      </c>
      <c r="F149" t="str">
        <f>+_xlfn.XLOOKUP(D149,Tabla1[PARTIDA],Tabla1[UNIDAD],"",0)</f>
        <v>UND</v>
      </c>
      <c r="G149">
        <v>8</v>
      </c>
      <c r="H149">
        <v>0.25</v>
      </c>
    </row>
    <row r="150" spans="1:8" x14ac:dyDescent="0.25">
      <c r="C150" t="s">
        <v>95</v>
      </c>
      <c r="D150">
        <v>2304003</v>
      </c>
      <c r="E150" t="s">
        <v>138</v>
      </c>
      <c r="F150" t="str">
        <f>+_xlfn.XLOOKUP(D150,Tabla1[PARTIDA],Tabla1[UNIDAD],"",0)</f>
        <v>UND</v>
      </c>
      <c r="G150">
        <v>0.86666666666666692</v>
      </c>
      <c r="H150">
        <v>2.7083333333333341E-2</v>
      </c>
    </row>
    <row r="151" spans="1:8" x14ac:dyDescent="0.25">
      <c r="B151" t="s">
        <v>139</v>
      </c>
      <c r="C151" t="s">
        <v>139</v>
      </c>
      <c r="D151">
        <v>407795</v>
      </c>
      <c r="E151" t="s">
        <v>140</v>
      </c>
      <c r="F151" t="str">
        <f>+_xlfn.XLOOKUP(D151,Tabla1[PARTIDA],Tabla1[UNIDAD],"",0)</f>
        <v>UND</v>
      </c>
      <c r="G151">
        <v>8</v>
      </c>
      <c r="H151">
        <v>0.25</v>
      </c>
    </row>
    <row r="152" spans="1:8" x14ac:dyDescent="0.25">
      <c r="D152">
        <v>1808144</v>
      </c>
      <c r="E152" t="s">
        <v>141</v>
      </c>
      <c r="F152" t="str">
        <f>+_xlfn.XLOOKUP(D152,Tabla1[PARTIDA],Tabla1[UNIDAD],"",0)</f>
        <v>UND</v>
      </c>
      <c r="G152">
        <v>8</v>
      </c>
      <c r="H152">
        <v>0.25</v>
      </c>
    </row>
    <row r="153" spans="1:8" x14ac:dyDescent="0.25">
      <c r="D153">
        <v>1808145</v>
      </c>
      <c r="E153" t="s">
        <v>142</v>
      </c>
      <c r="F153" t="str">
        <f>+_xlfn.XLOOKUP(D153,Tabla1[PARTIDA],Tabla1[UNIDAD],"",0)</f>
        <v>UND</v>
      </c>
      <c r="G153">
        <v>8</v>
      </c>
      <c r="H153">
        <v>0.25</v>
      </c>
    </row>
    <row r="154" spans="1:8" x14ac:dyDescent="0.25">
      <c r="D154">
        <v>1808147</v>
      </c>
      <c r="E154" t="s">
        <v>143</v>
      </c>
      <c r="F154" t="str">
        <f>+_xlfn.XLOOKUP(D154,Tabla1[PARTIDA],Tabla1[UNIDAD],"",0)</f>
        <v>UND</v>
      </c>
      <c r="G154">
        <v>8</v>
      </c>
      <c r="H154">
        <v>0.25</v>
      </c>
    </row>
    <row r="155" spans="1:8" x14ac:dyDescent="0.25">
      <c r="D155">
        <v>1808148</v>
      </c>
      <c r="E155" t="s">
        <v>144</v>
      </c>
      <c r="F155" t="str">
        <f>+_xlfn.XLOOKUP(D155,Tabla1[PARTIDA],Tabla1[UNIDAD],"",0)</f>
        <v>UND</v>
      </c>
      <c r="G155">
        <v>8</v>
      </c>
      <c r="H155">
        <v>0.25</v>
      </c>
    </row>
    <row r="156" spans="1:8" x14ac:dyDescent="0.25">
      <c r="A156" t="s">
        <v>145</v>
      </c>
      <c r="B156" t="s">
        <v>146</v>
      </c>
      <c r="C156" t="s">
        <v>147</v>
      </c>
      <c r="D156">
        <v>304007</v>
      </c>
      <c r="E156" t="s">
        <v>42</v>
      </c>
      <c r="F156" t="str">
        <f>+_xlfn.XLOOKUP(D156,Tabla1[PARTIDA],Tabla1[UNIDAD],"",0)</f>
        <v>PL</v>
      </c>
      <c r="G156">
        <v>42</v>
      </c>
      <c r="H156">
        <v>1.3125</v>
      </c>
    </row>
    <row r="157" spans="1:8" x14ac:dyDescent="0.25">
      <c r="D157">
        <v>408014</v>
      </c>
      <c r="E157" t="s">
        <v>15</v>
      </c>
      <c r="F157" t="str">
        <f>+_xlfn.XLOOKUP(D157,Tabla1[PARTIDA],Tabla1[UNIDAD],"",0)</f>
        <v>CJA</v>
      </c>
      <c r="G157">
        <v>0.51839999999999986</v>
      </c>
      <c r="H157">
        <v>1.6199999999999996E-2</v>
      </c>
    </row>
    <row r="158" spans="1:8" x14ac:dyDescent="0.25">
      <c r="D158">
        <v>701096</v>
      </c>
      <c r="E158" t="s">
        <v>36</v>
      </c>
      <c r="F158" t="str">
        <f>+_xlfn.XLOOKUP(D158,Tabla1[PARTIDA],Tabla1[UNIDAD],"",0)</f>
        <v>PL</v>
      </c>
      <c r="G158">
        <v>212</v>
      </c>
      <c r="H158">
        <v>6.625</v>
      </c>
    </row>
    <row r="159" spans="1:8" x14ac:dyDescent="0.25">
      <c r="D159" t="s">
        <v>21</v>
      </c>
      <c r="E159" t="s">
        <v>22</v>
      </c>
      <c r="F159" t="str">
        <f>+_xlfn.XLOOKUP(D159,Tabla1[PARTIDA],Tabla1[UNIDAD],"",0)</f>
        <v>CJA</v>
      </c>
      <c r="G159">
        <v>0.34560000000000002</v>
      </c>
      <c r="H159">
        <v>1.0800000000000001E-2</v>
      </c>
    </row>
    <row r="160" spans="1:8" x14ac:dyDescent="0.25">
      <c r="B160" t="s">
        <v>148</v>
      </c>
      <c r="C160" t="s">
        <v>149</v>
      </c>
      <c r="D160">
        <v>304012</v>
      </c>
      <c r="E160" t="s">
        <v>150</v>
      </c>
      <c r="F160" t="str">
        <f>+_xlfn.XLOOKUP(D160,Tabla1[PARTIDA],Tabla1[UNIDAD],"",0)</f>
        <v>PL</v>
      </c>
      <c r="G160">
        <v>32</v>
      </c>
      <c r="H160">
        <v>1</v>
      </c>
    </row>
    <row r="161" spans="2:8" x14ac:dyDescent="0.25">
      <c r="D161">
        <v>608013</v>
      </c>
      <c r="E161" t="s">
        <v>151</v>
      </c>
      <c r="F161" t="str">
        <f>+_xlfn.XLOOKUP(D161,Tabla1[PARTIDA],Tabla1[UNIDAD],"",0)</f>
        <v>UND</v>
      </c>
      <c r="G161">
        <v>1.6000000000000003</v>
      </c>
      <c r="H161">
        <v>5.000000000000001E-2</v>
      </c>
    </row>
    <row r="162" spans="2:8" x14ac:dyDescent="0.25">
      <c r="D162">
        <v>609008</v>
      </c>
      <c r="E162" t="s">
        <v>152</v>
      </c>
      <c r="F162" t="str">
        <f>+_xlfn.XLOOKUP(D162,Tabla1[PARTIDA],Tabla1[UNIDAD],"",0)</f>
        <v>LTS</v>
      </c>
      <c r="G162">
        <v>16</v>
      </c>
      <c r="H162">
        <v>0.5</v>
      </c>
    </row>
    <row r="163" spans="2:8" x14ac:dyDescent="0.25">
      <c r="D163">
        <v>1610007</v>
      </c>
      <c r="E163" t="s">
        <v>153</v>
      </c>
      <c r="F163" t="str">
        <f>+_xlfn.XLOOKUP(D163,Tabla1[PARTIDA],Tabla1[UNIDAD],"",0)</f>
        <v>KG</v>
      </c>
      <c r="G163">
        <v>16</v>
      </c>
      <c r="H163">
        <v>0.5</v>
      </c>
    </row>
    <row r="164" spans="2:8" x14ac:dyDescent="0.25">
      <c r="D164">
        <v>1610023</v>
      </c>
      <c r="E164" t="s">
        <v>154</v>
      </c>
      <c r="F164" t="str">
        <f>+_xlfn.XLOOKUP(D164,Tabla1[PARTIDA],Tabla1[UNIDAD],"",0)</f>
        <v>KG</v>
      </c>
      <c r="G164">
        <v>8</v>
      </c>
      <c r="H164">
        <v>0.25</v>
      </c>
    </row>
    <row r="165" spans="2:8" x14ac:dyDescent="0.25">
      <c r="D165">
        <v>5314002</v>
      </c>
      <c r="E165" t="s">
        <v>155</v>
      </c>
      <c r="F165" t="str">
        <f>+_xlfn.XLOOKUP(D165,Tabla1[PARTIDA],Tabla1[UNIDAD],"",0)</f>
        <v>UND</v>
      </c>
      <c r="G165">
        <v>4</v>
      </c>
      <c r="H165">
        <v>0.125</v>
      </c>
    </row>
    <row r="166" spans="2:8" x14ac:dyDescent="0.25">
      <c r="B166" t="s">
        <v>156</v>
      </c>
      <c r="C166" t="s">
        <v>156</v>
      </c>
      <c r="D166">
        <v>907031</v>
      </c>
      <c r="E166" t="s">
        <v>157</v>
      </c>
      <c r="F166" t="str">
        <f>+_xlfn.XLOOKUP(D166,Tabla1[PARTIDA],Tabla1[UNIDAD],"",0)</f>
        <v>RLL</v>
      </c>
      <c r="G166">
        <v>10.836772983114448</v>
      </c>
      <c r="H166">
        <v>0.33864915572232651</v>
      </c>
    </row>
    <row r="167" spans="2:8" x14ac:dyDescent="0.25">
      <c r="D167">
        <v>2302017</v>
      </c>
      <c r="E167" t="s">
        <v>158</v>
      </c>
      <c r="F167" t="str">
        <f>+_xlfn.XLOOKUP(D167,Tabla1[PARTIDA],Tabla1[UNIDAD],"",0)</f>
        <v>TIN</v>
      </c>
      <c r="G167">
        <v>12.000000000000002</v>
      </c>
      <c r="H167">
        <v>0.37500000000000006</v>
      </c>
    </row>
    <row r="168" spans="2:8" x14ac:dyDescent="0.25">
      <c r="B168" t="s">
        <v>159</v>
      </c>
      <c r="C168" t="s">
        <v>160</v>
      </c>
      <c r="D168">
        <v>307032</v>
      </c>
      <c r="E168" t="s">
        <v>161</v>
      </c>
      <c r="F168" t="str">
        <f>+_xlfn.XLOOKUP(D168,Tabla1[PARTIDA],Tabla1[UNIDAD],"",0)</f>
        <v>TRA</v>
      </c>
      <c r="G168">
        <v>128</v>
      </c>
      <c r="H168">
        <v>4</v>
      </c>
    </row>
    <row r="169" spans="2:8" x14ac:dyDescent="0.25">
      <c r="D169">
        <v>307096</v>
      </c>
      <c r="E169" t="s">
        <v>162</v>
      </c>
      <c r="F169" t="str">
        <f>+_xlfn.XLOOKUP(D169,Tabla1[PARTIDA],Tabla1[UNIDAD],"",0)</f>
        <v>TRA</v>
      </c>
      <c r="G169">
        <v>992</v>
      </c>
      <c r="H169">
        <v>31</v>
      </c>
    </row>
    <row r="170" spans="2:8" x14ac:dyDescent="0.25">
      <c r="C170" t="s">
        <v>163</v>
      </c>
      <c r="D170">
        <v>307031</v>
      </c>
      <c r="E170" t="s">
        <v>164</v>
      </c>
      <c r="F170" t="str">
        <f>+_xlfn.XLOOKUP(D170,Tabla1[PARTIDA],Tabla1[UNIDAD],"",0)</f>
        <v>UND</v>
      </c>
      <c r="G170">
        <v>241.76</v>
      </c>
      <c r="H170">
        <v>7.5549999999999997</v>
      </c>
    </row>
    <row r="171" spans="2:8" x14ac:dyDescent="0.25">
      <c r="D171">
        <v>704022</v>
      </c>
      <c r="E171" t="s">
        <v>165</v>
      </c>
      <c r="F171">
        <f>+_xlfn.XLOOKUP(D171,Tabla1[PARTIDA],Tabla1[UNIDAD],"",0)</f>
        <v>0</v>
      </c>
      <c r="G171">
        <v>216</v>
      </c>
      <c r="H171">
        <v>6.75</v>
      </c>
    </row>
    <row r="172" spans="2:8" x14ac:dyDescent="0.25">
      <c r="D172">
        <v>704024</v>
      </c>
      <c r="E172" t="s">
        <v>166</v>
      </c>
      <c r="F172">
        <f>+_xlfn.XLOOKUP(D172,Tabla1[PARTIDA],Tabla1[UNIDAD],"",0)</f>
        <v>0</v>
      </c>
      <c r="G172">
        <v>64</v>
      </c>
      <c r="H172">
        <v>2</v>
      </c>
    </row>
    <row r="173" spans="2:8" x14ac:dyDescent="0.25">
      <c r="C173" t="s">
        <v>167</v>
      </c>
      <c r="D173">
        <v>307030</v>
      </c>
      <c r="E173" t="s">
        <v>168</v>
      </c>
      <c r="F173" t="str">
        <f>+_xlfn.XLOOKUP(D173,Tabla1[PARTIDA],Tabla1[UNIDAD],"",0)</f>
        <v>UND</v>
      </c>
      <c r="G173">
        <v>112</v>
      </c>
      <c r="H173">
        <v>3.5</v>
      </c>
    </row>
    <row r="174" spans="2:8" x14ac:dyDescent="0.25">
      <c r="D174">
        <v>704023</v>
      </c>
      <c r="E174" t="s">
        <v>169</v>
      </c>
      <c r="F174">
        <f>+_xlfn.XLOOKUP(D174,Tabla1[PARTIDA],Tabla1[UNIDAD],"",0)</f>
        <v>0</v>
      </c>
      <c r="G174">
        <v>360</v>
      </c>
      <c r="H174">
        <v>11.25</v>
      </c>
    </row>
    <row r="175" spans="2:8" x14ac:dyDescent="0.25">
      <c r="D175">
        <v>704025</v>
      </c>
      <c r="E175" t="s">
        <v>170</v>
      </c>
      <c r="F175">
        <f>+_xlfn.XLOOKUP(D175,Tabla1[PARTIDA],Tabla1[UNIDAD],"",0)</f>
        <v>0</v>
      </c>
      <c r="G175">
        <v>64</v>
      </c>
      <c r="H175">
        <v>2</v>
      </c>
    </row>
    <row r="176" spans="2:8" x14ac:dyDescent="0.25">
      <c r="C176" t="s">
        <v>171</v>
      </c>
      <c r="D176">
        <v>404252</v>
      </c>
      <c r="E176" t="s">
        <v>172</v>
      </c>
      <c r="F176" t="str">
        <f>+_xlfn.XLOOKUP(D176,Tabla1[PARTIDA],Tabla1[UNIDAD],"",0)</f>
        <v>UND</v>
      </c>
      <c r="G176">
        <v>56</v>
      </c>
      <c r="H176">
        <v>1.75</v>
      </c>
    </row>
    <row r="177" spans="2:8" x14ac:dyDescent="0.25">
      <c r="B177" t="s">
        <v>173</v>
      </c>
      <c r="C177" t="s">
        <v>174</v>
      </c>
      <c r="D177">
        <v>1901008</v>
      </c>
      <c r="E177" t="s">
        <v>69</v>
      </c>
      <c r="F177" t="str">
        <f>+_xlfn.XLOOKUP(D177,Tabla1[PARTIDA],Tabla1[UNIDAD],"",0)</f>
        <v>M2</v>
      </c>
      <c r="G177">
        <v>710.63924799999995</v>
      </c>
      <c r="H177">
        <v>22.207476499999999</v>
      </c>
    </row>
    <row r="178" spans="2:8" x14ac:dyDescent="0.25">
      <c r="D178">
        <v>1901038</v>
      </c>
      <c r="E178" t="s">
        <v>175</v>
      </c>
      <c r="F178" t="str">
        <f>+_xlfn.XLOOKUP(D178,Tabla1[PARTIDA],Tabla1[UNIDAD],"",0)</f>
        <v>M2</v>
      </c>
      <c r="G178">
        <v>259.19999999999993</v>
      </c>
      <c r="H178">
        <v>8.0999999999999979</v>
      </c>
    </row>
    <row r="179" spans="2:8" x14ac:dyDescent="0.25">
      <c r="D179">
        <v>1901086</v>
      </c>
      <c r="E179" t="s">
        <v>70</v>
      </c>
      <c r="F179" t="str">
        <f>+_xlfn.XLOOKUP(D179,Tabla1[PARTIDA],Tabla1[UNIDAD],"",0)</f>
        <v>M2</v>
      </c>
      <c r="G179">
        <v>123.466624</v>
      </c>
      <c r="H179">
        <v>3.8583319999999999</v>
      </c>
    </row>
    <row r="180" spans="2:8" x14ac:dyDescent="0.25">
      <c r="D180">
        <v>1901466</v>
      </c>
      <c r="E180" t="s">
        <v>176</v>
      </c>
      <c r="F180" t="str">
        <f>+_xlfn.XLOOKUP(D180,Tabla1[PARTIDA],Tabla1[UNIDAD],"",0)</f>
        <v>M2</v>
      </c>
      <c r="G180">
        <v>449.96991999999995</v>
      </c>
      <c r="H180">
        <v>14.061559999999998</v>
      </c>
    </row>
    <row r="181" spans="2:8" x14ac:dyDescent="0.25">
      <c r="C181" t="s">
        <v>173</v>
      </c>
      <c r="D181">
        <v>304101</v>
      </c>
      <c r="E181" t="s">
        <v>32</v>
      </c>
      <c r="F181" t="str">
        <f>+_xlfn.XLOOKUP(D181,Tabla1[PARTIDA],Tabla1[UNIDAD],"",0)</f>
        <v>PL</v>
      </c>
      <c r="G181">
        <v>272</v>
      </c>
      <c r="H181">
        <v>8.5</v>
      </c>
    </row>
    <row r="182" spans="2:8" x14ac:dyDescent="0.25">
      <c r="D182">
        <v>2302119</v>
      </c>
      <c r="E182" t="s">
        <v>177</v>
      </c>
      <c r="F182" t="str">
        <f>+_xlfn.XLOOKUP(D182,Tabla1[PARTIDA],Tabla1[UNIDAD],"",0)</f>
        <v>UND</v>
      </c>
      <c r="G182">
        <v>24</v>
      </c>
      <c r="H182">
        <v>0.75</v>
      </c>
    </row>
    <row r="183" spans="2:8" x14ac:dyDescent="0.25">
      <c r="B183" t="s">
        <v>178</v>
      </c>
      <c r="C183" t="s">
        <v>179</v>
      </c>
      <c r="D183">
        <v>307033</v>
      </c>
      <c r="E183" t="s">
        <v>180</v>
      </c>
      <c r="F183" t="str">
        <f>+_xlfn.XLOOKUP(D183,Tabla1[PARTIDA],Tabla1[UNIDAD],"",0)</f>
        <v>UND</v>
      </c>
      <c r="G183">
        <v>120</v>
      </c>
      <c r="H183">
        <v>3.75</v>
      </c>
    </row>
    <row r="184" spans="2:8" x14ac:dyDescent="0.25">
      <c r="D184">
        <v>704021</v>
      </c>
      <c r="E184" t="s">
        <v>181</v>
      </c>
      <c r="F184">
        <f>+_xlfn.XLOOKUP(D184,Tabla1[PARTIDA],Tabla1[UNIDAD],"",0)</f>
        <v>0</v>
      </c>
      <c r="G184">
        <v>320</v>
      </c>
      <c r="H184">
        <v>10</v>
      </c>
    </row>
    <row r="185" spans="2:8" x14ac:dyDescent="0.25">
      <c r="B185" t="s">
        <v>182</v>
      </c>
      <c r="C185" t="s">
        <v>183</v>
      </c>
      <c r="D185">
        <v>601047</v>
      </c>
      <c r="E185" t="s">
        <v>184</v>
      </c>
      <c r="F185" t="str">
        <f>+_xlfn.XLOOKUP(D185,Tabla1[PARTIDA],Tabla1[UNIDAD],"",0)</f>
        <v>TIN</v>
      </c>
      <c r="G185">
        <v>2.4</v>
      </c>
      <c r="H185">
        <v>7.4999999999999997E-2</v>
      </c>
    </row>
    <row r="186" spans="2:8" x14ac:dyDescent="0.25">
      <c r="D186">
        <v>602254</v>
      </c>
      <c r="E186" t="s">
        <v>185</v>
      </c>
      <c r="F186" t="str">
        <f>+_xlfn.XLOOKUP(D186,Tabla1[PARTIDA],Tabla1[UNIDAD],"",0)</f>
        <v>TIN</v>
      </c>
      <c r="G186">
        <v>5.4736500000000001</v>
      </c>
      <c r="H186">
        <v>0.1710515625</v>
      </c>
    </row>
    <row r="187" spans="2:8" x14ac:dyDescent="0.25">
      <c r="D187">
        <v>602255</v>
      </c>
      <c r="E187" t="s">
        <v>186</v>
      </c>
      <c r="F187" t="str">
        <f>+_xlfn.XLOOKUP(D187,Tabla1[PARTIDA],Tabla1[UNIDAD],"",0)</f>
        <v>TIN</v>
      </c>
      <c r="G187">
        <v>4.6010999999999997</v>
      </c>
      <c r="H187">
        <v>0.14378437499999999</v>
      </c>
    </row>
    <row r="188" spans="2:8" x14ac:dyDescent="0.25">
      <c r="D188">
        <v>617016</v>
      </c>
      <c r="E188" t="s">
        <v>187</v>
      </c>
      <c r="F188" t="str">
        <f>+_xlfn.XLOOKUP(D188,Tabla1[PARTIDA],Tabla1[UNIDAD],"",0)</f>
        <v>UND</v>
      </c>
      <c r="G188">
        <v>64</v>
      </c>
      <c r="H188">
        <v>2</v>
      </c>
    </row>
    <row r="189" spans="2:8" x14ac:dyDescent="0.25">
      <c r="D189">
        <v>617055</v>
      </c>
      <c r="E189" t="s">
        <v>188</v>
      </c>
      <c r="F189" t="str">
        <f>+_xlfn.XLOOKUP(D189,Tabla1[PARTIDA],Tabla1[UNIDAD],"",0)</f>
        <v>UND</v>
      </c>
      <c r="G189">
        <v>32</v>
      </c>
      <c r="H189">
        <v>1</v>
      </c>
    </row>
    <row r="190" spans="2:8" x14ac:dyDescent="0.25">
      <c r="D190">
        <v>617057</v>
      </c>
      <c r="E190" t="s">
        <v>50</v>
      </c>
      <c r="F190" t="str">
        <f>+_xlfn.XLOOKUP(D190,Tabla1[PARTIDA],Tabla1[UNIDAD],"",0)</f>
        <v>UND</v>
      </c>
      <c r="G190">
        <v>16</v>
      </c>
      <c r="H190">
        <v>0.5</v>
      </c>
    </row>
    <row r="191" spans="2:8" x14ac:dyDescent="0.25">
      <c r="D191">
        <v>704079</v>
      </c>
      <c r="E191" t="s">
        <v>189</v>
      </c>
      <c r="F191" t="str">
        <f>+_xlfn.XLOOKUP(D191,Tabla1[PARTIDA],Tabla1[UNIDAD],"",0)</f>
        <v>RLL</v>
      </c>
      <c r="G191">
        <v>6.8333333333333321</v>
      </c>
      <c r="H191">
        <v>0.21354166666666663</v>
      </c>
    </row>
    <row r="192" spans="2:8" x14ac:dyDescent="0.25">
      <c r="D192">
        <v>2304053</v>
      </c>
      <c r="E192" t="s">
        <v>190</v>
      </c>
      <c r="F192" t="str">
        <f>+_xlfn.XLOOKUP(D192,Tabla1[PARTIDA],Tabla1[UNIDAD],"",0)</f>
        <v>UND</v>
      </c>
      <c r="G192">
        <v>64</v>
      </c>
      <c r="H192">
        <v>2</v>
      </c>
    </row>
    <row r="193" spans="2:8" x14ac:dyDescent="0.25">
      <c r="B193" t="s">
        <v>191</v>
      </c>
      <c r="C193" t="s">
        <v>191</v>
      </c>
      <c r="D193">
        <v>705028</v>
      </c>
      <c r="E193" t="s">
        <v>192</v>
      </c>
      <c r="F193" t="str">
        <f>+_xlfn.XLOOKUP(D193,Tabla1[PARTIDA],Tabla1[UNIDAD],"",0)</f>
        <v>PL</v>
      </c>
      <c r="G193">
        <v>51</v>
      </c>
      <c r="H193">
        <v>1.59375</v>
      </c>
    </row>
    <row r="194" spans="2:8" x14ac:dyDescent="0.25">
      <c r="D194">
        <v>1103074</v>
      </c>
      <c r="E194" t="s">
        <v>193</v>
      </c>
      <c r="F194" t="str">
        <f>+_xlfn.XLOOKUP(D194,Tabla1[PARTIDA],Tabla1[UNIDAD],"",0)</f>
        <v>UND</v>
      </c>
      <c r="G194">
        <v>32</v>
      </c>
      <c r="H194">
        <v>1</v>
      </c>
    </row>
    <row r="195" spans="2:8" x14ac:dyDescent="0.25">
      <c r="D195">
        <v>1103076</v>
      </c>
      <c r="E195" t="s">
        <v>194</v>
      </c>
      <c r="F195" t="str">
        <f>+_xlfn.XLOOKUP(D195,Tabla1[PARTIDA],Tabla1[UNIDAD],"",0)</f>
        <v>UND</v>
      </c>
      <c r="G195">
        <v>48</v>
      </c>
      <c r="H195">
        <v>1.5</v>
      </c>
    </row>
    <row r="196" spans="2:8" x14ac:dyDescent="0.25">
      <c r="D196">
        <v>2304008</v>
      </c>
      <c r="E196" t="s">
        <v>195</v>
      </c>
      <c r="F196" t="str">
        <f>+_xlfn.XLOOKUP(D196,Tabla1[PARTIDA],Tabla1[UNIDAD],"",0)</f>
        <v>UND</v>
      </c>
      <c r="G196">
        <v>16</v>
      </c>
      <c r="H196">
        <v>0.5</v>
      </c>
    </row>
    <row r="197" spans="2:8" x14ac:dyDescent="0.25">
      <c r="B197" t="s">
        <v>196</v>
      </c>
      <c r="C197" t="s">
        <v>197</v>
      </c>
      <c r="D197">
        <v>1802659</v>
      </c>
      <c r="E197" t="s">
        <v>198</v>
      </c>
      <c r="F197" t="str">
        <f>+_xlfn.XLOOKUP(D197,Tabla1[PARTIDA],Tabla1[UNIDAD],"",0)</f>
        <v>UND</v>
      </c>
      <c r="G197">
        <v>8</v>
      </c>
      <c r="H197">
        <v>0.25</v>
      </c>
    </row>
    <row r="198" spans="2:8" x14ac:dyDescent="0.25">
      <c r="D198">
        <v>1805340</v>
      </c>
      <c r="E198" t="s">
        <v>199</v>
      </c>
      <c r="F198" t="str">
        <f>+_xlfn.XLOOKUP(D198,Tabla1[PARTIDA],Tabla1[UNIDAD],"",0)</f>
        <v>UND</v>
      </c>
      <c r="G198">
        <v>16</v>
      </c>
      <c r="H198">
        <v>0.5</v>
      </c>
    </row>
    <row r="199" spans="2:8" x14ac:dyDescent="0.25">
      <c r="D199">
        <v>2505058</v>
      </c>
      <c r="E199" t="s">
        <v>200</v>
      </c>
      <c r="F199" t="str">
        <f>+_xlfn.XLOOKUP(D199,Tabla1[PARTIDA],Tabla1[UNIDAD],"",0)</f>
        <v>UND</v>
      </c>
      <c r="G199">
        <v>32</v>
      </c>
      <c r="H199">
        <v>1</v>
      </c>
    </row>
    <row r="200" spans="2:8" x14ac:dyDescent="0.25">
      <c r="B200" t="s">
        <v>201</v>
      </c>
      <c r="C200" t="s">
        <v>202</v>
      </c>
      <c r="D200">
        <v>1003500</v>
      </c>
      <c r="E200" t="s">
        <v>203</v>
      </c>
      <c r="F200" t="str">
        <f>+_xlfn.XLOOKUP(D200,Tabla1[PARTIDA],Tabla1[UNIDAD],"",0)</f>
        <v>TRA</v>
      </c>
      <c r="G200">
        <v>208</v>
      </c>
      <c r="H200">
        <v>6.5</v>
      </c>
    </row>
    <row r="201" spans="2:8" x14ac:dyDescent="0.25">
      <c r="C201" t="s">
        <v>201</v>
      </c>
      <c r="D201">
        <v>304002</v>
      </c>
      <c r="E201" t="s">
        <v>204</v>
      </c>
      <c r="F201" t="str">
        <f>+_xlfn.XLOOKUP(D201,Tabla1[PARTIDA],Tabla1[UNIDAD],"",0)</f>
        <v>PL</v>
      </c>
      <c r="G201">
        <v>320</v>
      </c>
      <c r="H201">
        <v>10</v>
      </c>
    </row>
    <row r="202" spans="2:8" x14ac:dyDescent="0.25">
      <c r="D202">
        <v>407185</v>
      </c>
      <c r="E202" t="s">
        <v>205</v>
      </c>
      <c r="F202" t="str">
        <f>+_xlfn.XLOOKUP(D202,Tabla1[PARTIDA],Tabla1[UNIDAD],"",0)</f>
        <v>UND</v>
      </c>
      <c r="G202">
        <v>14720</v>
      </c>
      <c r="H202">
        <v>460</v>
      </c>
    </row>
    <row r="203" spans="2:8" x14ac:dyDescent="0.25">
      <c r="D203">
        <v>1902003</v>
      </c>
      <c r="E203" t="s">
        <v>72</v>
      </c>
      <c r="F203" t="str">
        <f>+_xlfn.XLOOKUP(D203,Tabla1[PARTIDA],Tabla1[UNIDAD],"",0)</f>
        <v>RLL</v>
      </c>
      <c r="G203">
        <v>5.44</v>
      </c>
      <c r="H203">
        <v>0.17</v>
      </c>
    </row>
    <row r="204" spans="2:8" x14ac:dyDescent="0.25">
      <c r="D204" t="s">
        <v>206</v>
      </c>
      <c r="E204" t="s">
        <v>207</v>
      </c>
      <c r="F204" t="str">
        <f>+_xlfn.XLOOKUP(D204,Tabla1[PARTIDA],Tabla1[UNIDAD],"",0)</f>
        <v>PL</v>
      </c>
      <c r="G204">
        <v>268</v>
      </c>
      <c r="H204">
        <v>8.375</v>
      </c>
    </row>
    <row r="205" spans="2:8" x14ac:dyDescent="0.25">
      <c r="B205" t="s">
        <v>81</v>
      </c>
      <c r="C205" t="s">
        <v>208</v>
      </c>
      <c r="D205">
        <v>4212234</v>
      </c>
      <c r="E205" t="s">
        <v>209</v>
      </c>
      <c r="F205" t="str">
        <f>+_xlfn.XLOOKUP(D205,Tabla1[PARTIDA],Tabla1[UNIDAD],"",0)</f>
        <v>UND</v>
      </c>
      <c r="G205">
        <v>8</v>
      </c>
      <c r="H205">
        <v>0.25</v>
      </c>
    </row>
    <row r="206" spans="2:8" x14ac:dyDescent="0.25">
      <c r="C206" t="s">
        <v>202</v>
      </c>
      <c r="D206">
        <v>1103086</v>
      </c>
      <c r="E206" t="s">
        <v>210</v>
      </c>
      <c r="F206" t="str">
        <f>+_xlfn.XLOOKUP(D206,Tabla1[PARTIDA],Tabla1[UNIDAD],"",0)</f>
        <v>UND</v>
      </c>
      <c r="G206">
        <v>8</v>
      </c>
      <c r="H206">
        <v>0.25</v>
      </c>
    </row>
    <row r="207" spans="2:8" x14ac:dyDescent="0.25">
      <c r="D207">
        <v>1103087</v>
      </c>
      <c r="E207" t="s">
        <v>211</v>
      </c>
      <c r="F207" t="str">
        <f>+_xlfn.XLOOKUP(D207,Tabla1[PARTIDA],Tabla1[UNIDAD],"",0)</f>
        <v>UND</v>
      </c>
      <c r="G207">
        <v>8</v>
      </c>
      <c r="H207">
        <v>0.25</v>
      </c>
    </row>
    <row r="208" spans="2:8" x14ac:dyDescent="0.25">
      <c r="D208">
        <v>1103088</v>
      </c>
      <c r="E208" t="s">
        <v>212</v>
      </c>
      <c r="F208" t="str">
        <f>+_xlfn.XLOOKUP(D208,Tabla1[PARTIDA],Tabla1[UNIDAD],"",0)</f>
        <v>TRA</v>
      </c>
      <c r="G208">
        <v>16</v>
      </c>
      <c r="H208">
        <v>0.5</v>
      </c>
    </row>
    <row r="209" spans="2:8" x14ac:dyDescent="0.25">
      <c r="C209" t="s">
        <v>183</v>
      </c>
      <c r="D209">
        <v>602256</v>
      </c>
      <c r="E209" t="s">
        <v>213</v>
      </c>
      <c r="F209" t="str">
        <f>+_xlfn.XLOOKUP(D209,Tabla1[PARTIDA],Tabla1[UNIDAD],"",0)</f>
        <v>TIN</v>
      </c>
      <c r="G209">
        <v>0.39999999999999997</v>
      </c>
      <c r="H209">
        <v>1.2499999999999999E-2</v>
      </c>
    </row>
    <row r="210" spans="2:8" x14ac:dyDescent="0.25">
      <c r="D210">
        <v>602257</v>
      </c>
      <c r="E210" t="s">
        <v>214</v>
      </c>
      <c r="F210" t="str">
        <f>+_xlfn.XLOOKUP(D210,Tabla1[PARTIDA],Tabla1[UNIDAD],"",0)</f>
        <v>TIN</v>
      </c>
      <c r="G210">
        <v>3.1999999999999997</v>
      </c>
      <c r="H210">
        <v>9.9999999999999992E-2</v>
      </c>
    </row>
    <row r="211" spans="2:8" x14ac:dyDescent="0.25">
      <c r="D211">
        <v>602258</v>
      </c>
      <c r="E211" t="s">
        <v>215</v>
      </c>
      <c r="F211" t="str">
        <f>+_xlfn.XLOOKUP(D211,Tabla1[PARTIDA],Tabla1[UNIDAD],"",0)</f>
        <v>TIN</v>
      </c>
      <c r="G211">
        <v>1.4000000000000001</v>
      </c>
      <c r="H211">
        <v>4.3750000000000004E-2</v>
      </c>
    </row>
    <row r="212" spans="2:8" x14ac:dyDescent="0.25">
      <c r="C212" t="s">
        <v>98</v>
      </c>
      <c r="D212">
        <v>409011</v>
      </c>
      <c r="E212" t="s">
        <v>216</v>
      </c>
      <c r="F212" t="str">
        <f>+_xlfn.XLOOKUP(D212,Tabla1[PARTIDA],Tabla1[UNIDAD],"",0)</f>
        <v>TRA</v>
      </c>
      <c r="G212">
        <v>2</v>
      </c>
      <c r="H212">
        <v>6.25E-2</v>
      </c>
    </row>
    <row r="213" spans="2:8" x14ac:dyDescent="0.25">
      <c r="C213" t="s">
        <v>63</v>
      </c>
      <c r="D213">
        <v>304002</v>
      </c>
      <c r="E213" t="s">
        <v>204</v>
      </c>
      <c r="F213" t="str">
        <f>+_xlfn.XLOOKUP(D213,Tabla1[PARTIDA],Tabla1[UNIDAD],"",0)</f>
        <v>PL</v>
      </c>
      <c r="G213">
        <v>32</v>
      </c>
      <c r="H213">
        <v>1</v>
      </c>
    </row>
    <row r="214" spans="2:8" x14ac:dyDescent="0.25">
      <c r="B214" t="s">
        <v>217</v>
      </c>
      <c r="C214" t="s">
        <v>217</v>
      </c>
      <c r="D214">
        <v>106022</v>
      </c>
      <c r="E214" t="s">
        <v>111</v>
      </c>
      <c r="F214" t="str">
        <f>+_xlfn.XLOOKUP(D214,Tabla1[PARTIDA],Tabla1[UNIDAD],"",0)</f>
        <v>UND</v>
      </c>
      <c r="G214">
        <v>32</v>
      </c>
      <c r="H214">
        <v>1</v>
      </c>
    </row>
    <row r="215" spans="2:8" x14ac:dyDescent="0.25">
      <c r="D215">
        <v>412630</v>
      </c>
      <c r="E215" t="s">
        <v>218</v>
      </c>
      <c r="F215" t="str">
        <f>+_xlfn.XLOOKUP(D215,Tabla1[PARTIDA],Tabla1[UNIDAD],"",0)</f>
        <v>UND</v>
      </c>
      <c r="G215">
        <v>8</v>
      </c>
      <c r="H215">
        <v>0.25</v>
      </c>
    </row>
    <row r="216" spans="2:8" x14ac:dyDescent="0.25">
      <c r="D216">
        <v>704046</v>
      </c>
      <c r="E216" t="s">
        <v>219</v>
      </c>
      <c r="F216" t="str">
        <f>+_xlfn.XLOOKUP(D216,Tabla1[PARTIDA],Tabla1[UNIDAD],"",0)</f>
        <v>RLL</v>
      </c>
      <c r="G216">
        <v>13.481967213114757</v>
      </c>
      <c r="H216">
        <v>0.42131147540983616</v>
      </c>
    </row>
    <row r="217" spans="2:8" x14ac:dyDescent="0.25">
      <c r="D217" t="s">
        <v>220</v>
      </c>
      <c r="E217" t="s">
        <v>221</v>
      </c>
      <c r="F217" t="str">
        <f>+_xlfn.XLOOKUP(D217,Tabla1[PARTIDA],Tabla1[UNIDAD],"",0)</f>
        <v>UND</v>
      </c>
      <c r="G217">
        <v>24</v>
      </c>
      <c r="H217">
        <v>0.75</v>
      </c>
    </row>
    <row r="218" spans="2:8" x14ac:dyDescent="0.25">
      <c r="D218" t="s">
        <v>222</v>
      </c>
      <c r="E218" t="s">
        <v>223</v>
      </c>
      <c r="F218" t="str">
        <f>+_xlfn.XLOOKUP(D218,Tabla1[PARTIDA],Tabla1[UNIDAD],"",0)</f>
        <v>UND</v>
      </c>
      <c r="G218">
        <v>8</v>
      </c>
      <c r="H218">
        <v>0.25</v>
      </c>
    </row>
    <row r="219" spans="2:8" x14ac:dyDescent="0.25">
      <c r="D219" t="s">
        <v>224</v>
      </c>
      <c r="E219" t="s">
        <v>225</v>
      </c>
      <c r="F219" t="str">
        <f>+_xlfn.XLOOKUP(D219,Tabla1[PARTIDA],Tabla1[UNIDAD],"",0)</f>
        <v>UND</v>
      </c>
      <c r="G219">
        <v>8</v>
      </c>
      <c r="H219">
        <v>0.25</v>
      </c>
    </row>
    <row r="220" spans="2:8" x14ac:dyDescent="0.25">
      <c r="B220" t="s">
        <v>226</v>
      </c>
      <c r="C220" t="s">
        <v>226</v>
      </c>
      <c r="D220">
        <v>304101</v>
      </c>
      <c r="E220" t="s">
        <v>32</v>
      </c>
      <c r="F220" t="str">
        <f>+_xlfn.XLOOKUP(D220,Tabla1[PARTIDA],Tabla1[UNIDAD],"",0)</f>
        <v>PL</v>
      </c>
      <c r="G220">
        <v>160</v>
      </c>
      <c r="H220">
        <v>5</v>
      </c>
    </row>
    <row r="221" spans="2:8" x14ac:dyDescent="0.25">
      <c r="B221" t="s">
        <v>227</v>
      </c>
      <c r="C221" t="s">
        <v>98</v>
      </c>
      <c r="D221">
        <v>404793</v>
      </c>
      <c r="E221" t="s">
        <v>228</v>
      </c>
      <c r="F221" t="str">
        <f>+_xlfn.XLOOKUP(D221,Tabla1[PARTIDA],Tabla1[UNIDAD],"",0)</f>
        <v>UND</v>
      </c>
      <c r="G221">
        <v>8</v>
      </c>
      <c r="H221">
        <v>0.25</v>
      </c>
    </row>
    <row r="222" spans="2:8" x14ac:dyDescent="0.25">
      <c r="D222">
        <v>1101307</v>
      </c>
      <c r="E222" t="s">
        <v>229</v>
      </c>
      <c r="F222" t="str">
        <f>+_xlfn.XLOOKUP(D222,Tabla1[PARTIDA],Tabla1[UNIDAD],"",0)</f>
        <v>ML</v>
      </c>
      <c r="G222">
        <v>8</v>
      </c>
      <c r="H222">
        <v>0.25</v>
      </c>
    </row>
    <row r="223" spans="2:8" x14ac:dyDescent="0.25">
      <c r="C223" t="s">
        <v>230</v>
      </c>
      <c r="D223">
        <v>1405025</v>
      </c>
      <c r="E223" t="s">
        <v>231</v>
      </c>
      <c r="F223" t="str">
        <f>+_xlfn.XLOOKUP(D223,Tabla1[PARTIDA],Tabla1[UNIDAD],"",0)</f>
        <v>UND</v>
      </c>
      <c r="G223">
        <v>8</v>
      </c>
      <c r="H223">
        <v>0.25</v>
      </c>
    </row>
    <row r="224" spans="2:8" x14ac:dyDescent="0.25">
      <c r="D224">
        <v>2508990</v>
      </c>
      <c r="E224" t="s">
        <v>232</v>
      </c>
      <c r="F224" t="str">
        <f>+_xlfn.XLOOKUP(D224,Tabla1[PARTIDA],Tabla1[UNIDAD],"",0)</f>
        <v>UND</v>
      </c>
      <c r="G224">
        <v>8</v>
      </c>
      <c r="H224">
        <v>0.25</v>
      </c>
    </row>
    <row r="225" spans="2:8" x14ac:dyDescent="0.25">
      <c r="D225">
        <v>2508991</v>
      </c>
      <c r="E225" t="s">
        <v>233</v>
      </c>
      <c r="F225" t="str">
        <f>+_xlfn.XLOOKUP(D225,Tabla1[PARTIDA],Tabla1[UNIDAD],"",0)</f>
        <v>UND</v>
      </c>
      <c r="G225">
        <v>8</v>
      </c>
      <c r="H225">
        <v>0.25</v>
      </c>
    </row>
    <row r="226" spans="2:8" x14ac:dyDescent="0.25">
      <c r="D226">
        <v>2508992</v>
      </c>
      <c r="E226" t="s">
        <v>234</v>
      </c>
      <c r="F226" t="str">
        <f>+_xlfn.XLOOKUP(D226,Tabla1[PARTIDA],Tabla1[UNIDAD],"",0)</f>
        <v>JGO</v>
      </c>
      <c r="G226">
        <v>4</v>
      </c>
      <c r="H226">
        <v>0.125</v>
      </c>
    </row>
    <row r="227" spans="2:8" x14ac:dyDescent="0.25">
      <c r="D227">
        <v>2508993</v>
      </c>
      <c r="E227" t="s">
        <v>235</v>
      </c>
      <c r="F227" t="str">
        <f>+_xlfn.XLOOKUP(D227,Tabla1[PARTIDA],Tabla1[UNIDAD],"",0)</f>
        <v>JGO</v>
      </c>
      <c r="G227">
        <v>8</v>
      </c>
      <c r="H227">
        <v>0.25</v>
      </c>
    </row>
    <row r="228" spans="2:8" x14ac:dyDescent="0.25">
      <c r="D228">
        <v>2508994</v>
      </c>
      <c r="E228" t="s">
        <v>236</v>
      </c>
      <c r="F228" t="str">
        <f>+_xlfn.XLOOKUP(D228,Tabla1[PARTIDA],Tabla1[UNIDAD],"",0)</f>
        <v>UND</v>
      </c>
      <c r="G228">
        <v>8</v>
      </c>
      <c r="H228">
        <v>0.25</v>
      </c>
    </row>
    <row r="229" spans="2:8" x14ac:dyDescent="0.25">
      <c r="C229" t="s">
        <v>237</v>
      </c>
      <c r="D229">
        <v>2508985</v>
      </c>
      <c r="E229" t="s">
        <v>238</v>
      </c>
      <c r="F229" t="str">
        <f>+_xlfn.XLOOKUP(D229,Tabla1[PARTIDA],Tabla1[UNIDAD],"",0)</f>
        <v>KIT</v>
      </c>
      <c r="G229">
        <v>4</v>
      </c>
      <c r="H229">
        <v>0.125</v>
      </c>
    </row>
    <row r="230" spans="2:8" x14ac:dyDescent="0.25">
      <c r="D230">
        <v>2508986</v>
      </c>
      <c r="E230" t="s">
        <v>239</v>
      </c>
      <c r="F230" t="str">
        <f>+_xlfn.XLOOKUP(D230,Tabla1[PARTIDA],Tabla1[UNIDAD],"",0)</f>
        <v>KIT</v>
      </c>
      <c r="G230">
        <v>4</v>
      </c>
      <c r="H230">
        <v>0.125</v>
      </c>
    </row>
    <row r="231" spans="2:8" x14ac:dyDescent="0.25">
      <c r="B231" t="s">
        <v>237</v>
      </c>
      <c r="C231" t="s">
        <v>98</v>
      </c>
      <c r="D231" t="s">
        <v>240</v>
      </c>
      <c r="E231" t="s">
        <v>241</v>
      </c>
      <c r="F231" t="str">
        <f>+_xlfn.XLOOKUP(D231,Tabla1[PARTIDA],Tabla1[UNIDAD],"",0)</f>
        <v>UND</v>
      </c>
      <c r="G231">
        <v>48</v>
      </c>
      <c r="H231">
        <v>1.5</v>
      </c>
    </row>
    <row r="232" spans="2:8" x14ac:dyDescent="0.25">
      <c r="C232" t="s">
        <v>242</v>
      </c>
      <c r="D232">
        <v>106022</v>
      </c>
      <c r="E232" t="s">
        <v>111</v>
      </c>
      <c r="F232" t="str">
        <f>+_xlfn.XLOOKUP(D232,Tabla1[PARTIDA],Tabla1[UNIDAD],"",0)</f>
        <v>UND</v>
      </c>
      <c r="G232">
        <v>24</v>
      </c>
      <c r="H232">
        <v>0.75</v>
      </c>
    </row>
    <row r="233" spans="2:8" x14ac:dyDescent="0.25">
      <c r="B233" t="s">
        <v>243</v>
      </c>
      <c r="C233" t="s">
        <v>230</v>
      </c>
      <c r="D233">
        <v>2508990</v>
      </c>
      <c r="E233" t="s">
        <v>232</v>
      </c>
      <c r="F233" t="str">
        <f>+_xlfn.XLOOKUP(D233,Tabla1[PARTIDA],Tabla1[UNIDAD],"",0)</f>
        <v>UND</v>
      </c>
      <c r="G233">
        <v>8</v>
      </c>
      <c r="H233">
        <v>0.25</v>
      </c>
    </row>
    <row r="234" spans="2:8" x14ac:dyDescent="0.25">
      <c r="D234">
        <v>2508991</v>
      </c>
      <c r="E234" t="s">
        <v>233</v>
      </c>
      <c r="F234" t="str">
        <f>+_xlfn.XLOOKUP(D234,Tabla1[PARTIDA],Tabla1[UNIDAD],"",0)</f>
        <v>UND</v>
      </c>
      <c r="G234">
        <v>8</v>
      </c>
      <c r="H234">
        <v>0.25</v>
      </c>
    </row>
    <row r="235" spans="2:8" x14ac:dyDescent="0.25">
      <c r="D235">
        <v>2508992</v>
      </c>
      <c r="E235" t="s">
        <v>234</v>
      </c>
      <c r="F235" t="str">
        <f>+_xlfn.XLOOKUP(D235,Tabla1[PARTIDA],Tabla1[UNIDAD],"",0)</f>
        <v>JGO</v>
      </c>
      <c r="G235">
        <v>8</v>
      </c>
      <c r="H235">
        <v>0.25</v>
      </c>
    </row>
    <row r="236" spans="2:8" x14ac:dyDescent="0.25">
      <c r="D236">
        <v>2508993</v>
      </c>
      <c r="E236" t="s">
        <v>235</v>
      </c>
      <c r="F236" t="str">
        <f>+_xlfn.XLOOKUP(D236,Tabla1[PARTIDA],Tabla1[UNIDAD],"",0)</f>
        <v>JGO</v>
      </c>
      <c r="G236">
        <v>8</v>
      </c>
      <c r="H236">
        <v>0.25</v>
      </c>
    </row>
    <row r="237" spans="2:8" x14ac:dyDescent="0.25">
      <c r="C237" t="s">
        <v>237</v>
      </c>
      <c r="D237">
        <v>2508987</v>
      </c>
      <c r="E237" t="s">
        <v>244</v>
      </c>
      <c r="F237" t="str">
        <f>+_xlfn.XLOOKUP(D237,Tabla1[PARTIDA],Tabla1[UNIDAD],"",0)</f>
        <v>KIT</v>
      </c>
      <c r="G237">
        <v>4</v>
      </c>
      <c r="H237">
        <v>0.125</v>
      </c>
    </row>
    <row r="238" spans="2:8" x14ac:dyDescent="0.25">
      <c r="D238">
        <v>2508988</v>
      </c>
      <c r="E238" t="s">
        <v>245</v>
      </c>
      <c r="F238" t="str">
        <f>+_xlfn.XLOOKUP(D238,Tabla1[PARTIDA],Tabla1[UNIDAD],"",0)</f>
        <v>KIT</v>
      </c>
      <c r="G238">
        <v>4</v>
      </c>
      <c r="H238">
        <v>0.125</v>
      </c>
    </row>
    <row r="239" spans="2:8" x14ac:dyDescent="0.25">
      <c r="B239" t="s">
        <v>246</v>
      </c>
      <c r="C239" t="s">
        <v>230</v>
      </c>
      <c r="D239">
        <v>1405040</v>
      </c>
      <c r="E239" t="s">
        <v>247</v>
      </c>
      <c r="F239" t="str">
        <f>+_xlfn.XLOOKUP(D239,Tabla1[PARTIDA],Tabla1[UNIDAD],"",0)</f>
        <v>UND</v>
      </c>
      <c r="G239">
        <v>8</v>
      </c>
      <c r="H239">
        <v>0.25</v>
      </c>
    </row>
    <row r="240" spans="2:8" x14ac:dyDescent="0.25">
      <c r="C240" t="s">
        <v>237</v>
      </c>
      <c r="D240">
        <v>1803044</v>
      </c>
      <c r="E240" t="s">
        <v>248</v>
      </c>
      <c r="F240" t="str">
        <f>+_xlfn.XLOOKUP(D240,Tabla1[PARTIDA],Tabla1[UNIDAD],"",0)</f>
        <v>KIT</v>
      </c>
      <c r="G240">
        <v>4</v>
      </c>
      <c r="H240">
        <v>0.125</v>
      </c>
    </row>
    <row r="241" spans="2:8" x14ac:dyDescent="0.25">
      <c r="D241">
        <v>1803045</v>
      </c>
      <c r="E241" t="s">
        <v>249</v>
      </c>
      <c r="F241" t="str">
        <f>+_xlfn.XLOOKUP(D241,Tabla1[PARTIDA],Tabla1[UNIDAD],"",0)</f>
        <v>KIT</v>
      </c>
      <c r="G241">
        <v>4</v>
      </c>
      <c r="H241">
        <v>0.125</v>
      </c>
    </row>
    <row r="242" spans="2:8" x14ac:dyDescent="0.25">
      <c r="B242" t="s">
        <v>250</v>
      </c>
      <c r="C242" t="s">
        <v>230</v>
      </c>
      <c r="D242">
        <v>1405039</v>
      </c>
      <c r="E242" t="s">
        <v>251</v>
      </c>
      <c r="F242" t="str">
        <f>+_xlfn.XLOOKUP(D242,Tabla1[PARTIDA],Tabla1[UNIDAD],"",0)</f>
        <v>UND</v>
      </c>
      <c r="G242">
        <v>8</v>
      </c>
      <c r="H242">
        <v>0.25</v>
      </c>
    </row>
    <row r="243" spans="2:8" x14ac:dyDescent="0.25">
      <c r="D243">
        <v>1405040</v>
      </c>
      <c r="E243" t="s">
        <v>247</v>
      </c>
      <c r="F243" t="str">
        <f>+_xlfn.XLOOKUP(D243,Tabla1[PARTIDA],Tabla1[UNIDAD],"",0)</f>
        <v>UND</v>
      </c>
      <c r="G243">
        <v>16</v>
      </c>
      <c r="H243">
        <v>0.5</v>
      </c>
    </row>
    <row r="244" spans="2:8" x14ac:dyDescent="0.25">
      <c r="C244" t="s">
        <v>237</v>
      </c>
      <c r="D244">
        <v>1803044</v>
      </c>
      <c r="E244" t="s">
        <v>248</v>
      </c>
      <c r="F244" t="str">
        <f>+_xlfn.XLOOKUP(D244,Tabla1[PARTIDA],Tabla1[UNIDAD],"",0)</f>
        <v>KIT</v>
      </c>
      <c r="G244">
        <v>12</v>
      </c>
      <c r="H244">
        <v>0.375</v>
      </c>
    </row>
    <row r="245" spans="2:8" x14ac:dyDescent="0.25">
      <c r="D245">
        <v>1803045</v>
      </c>
      <c r="E245" t="s">
        <v>249</v>
      </c>
      <c r="F245" t="str">
        <f>+_xlfn.XLOOKUP(D245,Tabla1[PARTIDA],Tabla1[UNIDAD],"",0)</f>
        <v>KIT</v>
      </c>
      <c r="G245">
        <v>12</v>
      </c>
      <c r="H245">
        <v>0.375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21CD9-5B6C-44F0-BB08-EDDC057A186D}">
  <dimension ref="A1:D611"/>
  <sheetViews>
    <sheetView topLeftCell="A142" workbookViewId="0">
      <selection sqref="A1:D186"/>
    </sheetView>
  </sheetViews>
  <sheetFormatPr baseColWidth="10" defaultRowHeight="15" x14ac:dyDescent="0.25"/>
  <cols>
    <col min="2" max="2" width="16.140625" customWidth="1"/>
  </cols>
  <sheetData>
    <row r="1" spans="1:4" x14ac:dyDescent="0.25">
      <c r="A1" t="s">
        <v>254</v>
      </c>
      <c r="B1" t="s">
        <v>255</v>
      </c>
      <c r="C1" t="s">
        <v>256</v>
      </c>
      <c r="D1" t="s">
        <v>257</v>
      </c>
    </row>
    <row r="2" spans="1:4" x14ac:dyDescent="0.25">
      <c r="A2">
        <v>106022</v>
      </c>
      <c r="B2" t="s">
        <v>111</v>
      </c>
      <c r="C2" t="s">
        <v>258</v>
      </c>
      <c r="D2">
        <v>10010</v>
      </c>
    </row>
    <row r="3" spans="1:4" x14ac:dyDescent="0.25">
      <c r="A3">
        <v>302010</v>
      </c>
      <c r="B3" t="s">
        <v>12</v>
      </c>
      <c r="C3" t="s">
        <v>259</v>
      </c>
      <c r="D3">
        <v>10010</v>
      </c>
    </row>
    <row r="4" spans="1:4" x14ac:dyDescent="0.25">
      <c r="A4">
        <v>302028</v>
      </c>
      <c r="B4" t="s">
        <v>30</v>
      </c>
      <c r="C4" t="s">
        <v>259</v>
      </c>
      <c r="D4">
        <v>10010</v>
      </c>
    </row>
    <row r="5" spans="1:4" x14ac:dyDescent="0.25">
      <c r="A5">
        <v>302046</v>
      </c>
      <c r="B5" t="s">
        <v>260</v>
      </c>
      <c r="C5" t="s">
        <v>259</v>
      </c>
      <c r="D5">
        <v>10010</v>
      </c>
    </row>
    <row r="6" spans="1:4" x14ac:dyDescent="0.25">
      <c r="A6">
        <v>302048</v>
      </c>
      <c r="B6" t="s">
        <v>261</v>
      </c>
      <c r="C6" t="s">
        <v>259</v>
      </c>
      <c r="D6">
        <v>10010</v>
      </c>
    </row>
    <row r="7" spans="1:4" x14ac:dyDescent="0.25">
      <c r="A7">
        <v>302054</v>
      </c>
      <c r="B7" t="s">
        <v>262</v>
      </c>
      <c r="C7" t="s">
        <v>259</v>
      </c>
      <c r="D7">
        <v>10010</v>
      </c>
    </row>
    <row r="8" spans="1:4" x14ac:dyDescent="0.25">
      <c r="A8">
        <v>302248</v>
      </c>
      <c r="B8" t="s">
        <v>44</v>
      </c>
      <c r="C8" t="s">
        <v>259</v>
      </c>
      <c r="D8">
        <v>10010</v>
      </c>
    </row>
    <row r="9" spans="1:4" x14ac:dyDescent="0.25">
      <c r="A9">
        <v>302249</v>
      </c>
      <c r="B9" t="s">
        <v>65</v>
      </c>
      <c r="C9" t="s">
        <v>259</v>
      </c>
      <c r="D9">
        <v>10010</v>
      </c>
    </row>
    <row r="10" spans="1:4" x14ac:dyDescent="0.25">
      <c r="A10">
        <v>304002</v>
      </c>
      <c r="B10" t="s">
        <v>204</v>
      </c>
      <c r="C10" t="s">
        <v>263</v>
      </c>
      <c r="D10">
        <v>10010</v>
      </c>
    </row>
    <row r="11" spans="1:4" x14ac:dyDescent="0.25">
      <c r="A11">
        <v>304007</v>
      </c>
      <c r="B11" t="s">
        <v>42</v>
      </c>
      <c r="C11" t="s">
        <v>263</v>
      </c>
      <c r="D11">
        <v>10010</v>
      </c>
    </row>
    <row r="12" spans="1:4" x14ac:dyDescent="0.25">
      <c r="A12">
        <v>304012</v>
      </c>
      <c r="B12" t="s">
        <v>150</v>
      </c>
      <c r="C12" t="s">
        <v>263</v>
      </c>
      <c r="D12">
        <v>10010</v>
      </c>
    </row>
    <row r="13" spans="1:4" x14ac:dyDescent="0.25">
      <c r="A13">
        <v>304049</v>
      </c>
      <c r="B13" t="s">
        <v>31</v>
      </c>
      <c r="C13" t="s">
        <v>263</v>
      </c>
      <c r="D13">
        <v>10010</v>
      </c>
    </row>
    <row r="14" spans="1:4" x14ac:dyDescent="0.25">
      <c r="A14">
        <v>304101</v>
      </c>
      <c r="B14" t="s">
        <v>32</v>
      </c>
      <c r="C14" t="s">
        <v>263</v>
      </c>
      <c r="D14">
        <v>10010</v>
      </c>
    </row>
    <row r="15" spans="1:4" x14ac:dyDescent="0.25">
      <c r="A15">
        <v>307030</v>
      </c>
      <c r="B15" t="s">
        <v>168</v>
      </c>
      <c r="C15" t="s">
        <v>258</v>
      </c>
      <c r="D15">
        <v>10010</v>
      </c>
    </row>
    <row r="16" spans="1:4" x14ac:dyDescent="0.25">
      <c r="A16">
        <v>307031</v>
      </c>
      <c r="B16" t="s">
        <v>164</v>
      </c>
      <c r="C16" t="s">
        <v>258</v>
      </c>
      <c r="D16">
        <v>10010</v>
      </c>
    </row>
    <row r="17" spans="1:4" x14ac:dyDescent="0.25">
      <c r="A17">
        <v>307032</v>
      </c>
      <c r="B17" t="s">
        <v>161</v>
      </c>
      <c r="C17" t="s">
        <v>264</v>
      </c>
      <c r="D17">
        <v>10010</v>
      </c>
    </row>
    <row r="18" spans="1:4" x14ac:dyDescent="0.25">
      <c r="A18">
        <v>307033</v>
      </c>
      <c r="B18" t="s">
        <v>180</v>
      </c>
      <c r="C18" t="s">
        <v>258</v>
      </c>
      <c r="D18">
        <v>10010</v>
      </c>
    </row>
    <row r="19" spans="1:4" x14ac:dyDescent="0.25">
      <c r="A19">
        <v>307096</v>
      </c>
      <c r="B19" t="s">
        <v>162</v>
      </c>
      <c r="C19" t="s">
        <v>264</v>
      </c>
      <c r="D19">
        <v>10010</v>
      </c>
    </row>
    <row r="20" spans="1:4" x14ac:dyDescent="0.25">
      <c r="A20">
        <v>403024</v>
      </c>
      <c r="B20" t="s">
        <v>265</v>
      </c>
      <c r="C20" t="s">
        <v>258</v>
      </c>
      <c r="D20">
        <v>10010</v>
      </c>
    </row>
    <row r="21" spans="1:4" x14ac:dyDescent="0.25">
      <c r="A21">
        <v>404252</v>
      </c>
      <c r="B21" t="s">
        <v>172</v>
      </c>
      <c r="C21" t="s">
        <v>258</v>
      </c>
      <c r="D21">
        <v>10010</v>
      </c>
    </row>
    <row r="22" spans="1:4" x14ac:dyDescent="0.25">
      <c r="A22">
        <v>404745</v>
      </c>
      <c r="B22" t="s">
        <v>49</v>
      </c>
      <c r="C22" t="s">
        <v>258</v>
      </c>
      <c r="D22">
        <v>10010</v>
      </c>
    </row>
    <row r="23" spans="1:4" x14ac:dyDescent="0.25">
      <c r="A23">
        <v>404793</v>
      </c>
      <c r="B23" t="s">
        <v>228</v>
      </c>
      <c r="C23" t="s">
        <v>258</v>
      </c>
      <c r="D23">
        <v>10010</v>
      </c>
    </row>
    <row r="24" spans="1:4" x14ac:dyDescent="0.25">
      <c r="A24">
        <v>407010</v>
      </c>
      <c r="B24" t="s">
        <v>26</v>
      </c>
      <c r="C24" t="s">
        <v>258</v>
      </c>
      <c r="D24">
        <v>10010</v>
      </c>
    </row>
    <row r="25" spans="1:4" x14ac:dyDescent="0.25">
      <c r="A25">
        <v>407011</v>
      </c>
      <c r="B25" t="s">
        <v>27</v>
      </c>
      <c r="C25" t="s">
        <v>258</v>
      </c>
      <c r="D25">
        <v>10010</v>
      </c>
    </row>
    <row r="26" spans="1:4" x14ac:dyDescent="0.25">
      <c r="A26">
        <v>407049</v>
      </c>
      <c r="B26" t="s">
        <v>82</v>
      </c>
      <c r="C26" t="s">
        <v>258</v>
      </c>
      <c r="D26">
        <v>10010</v>
      </c>
    </row>
    <row r="27" spans="1:4" x14ac:dyDescent="0.25">
      <c r="A27">
        <v>407115</v>
      </c>
      <c r="B27" t="s">
        <v>83</v>
      </c>
      <c r="C27" t="s">
        <v>258</v>
      </c>
      <c r="D27">
        <v>10010</v>
      </c>
    </row>
    <row r="28" spans="1:4" x14ac:dyDescent="0.25">
      <c r="A28">
        <v>407170</v>
      </c>
      <c r="B28" t="s">
        <v>40</v>
      </c>
      <c r="C28" t="s">
        <v>258</v>
      </c>
      <c r="D28">
        <v>10010</v>
      </c>
    </row>
    <row r="29" spans="1:4" x14ac:dyDescent="0.25">
      <c r="A29">
        <v>407185</v>
      </c>
      <c r="B29" t="s">
        <v>205</v>
      </c>
      <c r="C29" t="s">
        <v>258</v>
      </c>
      <c r="D29">
        <v>10010</v>
      </c>
    </row>
    <row r="30" spans="1:4" x14ac:dyDescent="0.25">
      <c r="A30">
        <v>407307</v>
      </c>
      <c r="B30" t="s">
        <v>28</v>
      </c>
      <c r="C30" t="s">
        <v>258</v>
      </c>
      <c r="D30">
        <v>10010</v>
      </c>
    </row>
    <row r="31" spans="1:4" x14ac:dyDescent="0.25">
      <c r="A31">
        <v>407423</v>
      </c>
      <c r="B31" t="s">
        <v>14</v>
      </c>
      <c r="C31" t="s">
        <v>258</v>
      </c>
      <c r="D31">
        <v>10010</v>
      </c>
    </row>
    <row r="32" spans="1:4" x14ac:dyDescent="0.25">
      <c r="A32">
        <v>407427</v>
      </c>
      <c r="B32" t="s">
        <v>84</v>
      </c>
      <c r="C32" t="s">
        <v>266</v>
      </c>
      <c r="D32">
        <v>10010</v>
      </c>
    </row>
    <row r="33" spans="1:4" x14ac:dyDescent="0.25">
      <c r="A33">
        <v>407795</v>
      </c>
      <c r="B33" t="s">
        <v>140</v>
      </c>
      <c r="C33" t="s">
        <v>258</v>
      </c>
      <c r="D33">
        <v>10010</v>
      </c>
    </row>
    <row r="34" spans="1:4" x14ac:dyDescent="0.25">
      <c r="A34">
        <v>408014</v>
      </c>
      <c r="B34" t="s">
        <v>15</v>
      </c>
      <c r="C34" t="s">
        <v>266</v>
      </c>
      <c r="D34">
        <v>10010</v>
      </c>
    </row>
    <row r="35" spans="1:4" x14ac:dyDescent="0.25">
      <c r="A35">
        <v>408017</v>
      </c>
      <c r="B35" t="s">
        <v>267</v>
      </c>
      <c r="C35" t="s">
        <v>266</v>
      </c>
      <c r="D35">
        <v>10010</v>
      </c>
    </row>
    <row r="36" spans="1:4" x14ac:dyDescent="0.25">
      <c r="A36">
        <v>408034</v>
      </c>
      <c r="B36" t="s">
        <v>45</v>
      </c>
      <c r="C36" t="s">
        <v>266</v>
      </c>
      <c r="D36">
        <v>10010</v>
      </c>
    </row>
    <row r="37" spans="1:4" x14ac:dyDescent="0.25">
      <c r="A37">
        <v>408042</v>
      </c>
      <c r="B37" t="s">
        <v>33</v>
      </c>
      <c r="C37" t="s">
        <v>266</v>
      </c>
      <c r="D37">
        <v>10010</v>
      </c>
    </row>
    <row r="38" spans="1:4" x14ac:dyDescent="0.25">
      <c r="A38">
        <v>408088</v>
      </c>
      <c r="B38" t="s">
        <v>67</v>
      </c>
      <c r="C38" t="s">
        <v>266</v>
      </c>
      <c r="D38">
        <v>10010</v>
      </c>
    </row>
    <row r="39" spans="1:4" x14ac:dyDescent="0.25">
      <c r="A39">
        <v>409011</v>
      </c>
      <c r="B39" t="s">
        <v>216</v>
      </c>
      <c r="C39" t="s">
        <v>264</v>
      </c>
      <c r="D39">
        <v>10010</v>
      </c>
    </row>
    <row r="40" spans="1:4" x14ac:dyDescent="0.25">
      <c r="A40">
        <v>410045</v>
      </c>
      <c r="B40" t="s">
        <v>34</v>
      </c>
      <c r="C40" t="s">
        <v>258</v>
      </c>
      <c r="D40">
        <v>10010</v>
      </c>
    </row>
    <row r="41" spans="1:4" x14ac:dyDescent="0.25">
      <c r="A41">
        <v>410046</v>
      </c>
      <c r="B41" t="s">
        <v>16</v>
      </c>
      <c r="C41" t="s">
        <v>258</v>
      </c>
      <c r="D41">
        <v>10010</v>
      </c>
    </row>
    <row r="42" spans="1:4" x14ac:dyDescent="0.25">
      <c r="A42">
        <v>410126</v>
      </c>
      <c r="B42" t="s">
        <v>68</v>
      </c>
      <c r="C42" t="s">
        <v>258</v>
      </c>
      <c r="D42">
        <v>10010</v>
      </c>
    </row>
    <row r="43" spans="1:4" x14ac:dyDescent="0.25">
      <c r="A43">
        <v>412016</v>
      </c>
      <c r="B43" t="s">
        <v>99</v>
      </c>
      <c r="C43" t="s">
        <v>258</v>
      </c>
      <c r="D43">
        <v>10010</v>
      </c>
    </row>
    <row r="44" spans="1:4" x14ac:dyDescent="0.25">
      <c r="A44">
        <v>412132</v>
      </c>
      <c r="B44" t="s">
        <v>100</v>
      </c>
      <c r="C44" t="s">
        <v>258</v>
      </c>
      <c r="D44">
        <v>10010</v>
      </c>
    </row>
    <row r="45" spans="1:4" x14ac:dyDescent="0.25">
      <c r="A45">
        <v>412260</v>
      </c>
      <c r="B45" t="s">
        <v>8</v>
      </c>
      <c r="C45" t="s">
        <v>258</v>
      </c>
      <c r="D45">
        <v>10010</v>
      </c>
    </row>
    <row r="46" spans="1:4" x14ac:dyDescent="0.25">
      <c r="A46">
        <v>412280</v>
      </c>
      <c r="B46" t="s">
        <v>9</v>
      </c>
      <c r="C46" t="s">
        <v>258</v>
      </c>
      <c r="D46">
        <v>10010</v>
      </c>
    </row>
    <row r="47" spans="1:4" x14ac:dyDescent="0.25">
      <c r="A47">
        <v>412281</v>
      </c>
      <c r="B47" t="s">
        <v>10</v>
      </c>
      <c r="C47" t="s">
        <v>258</v>
      </c>
      <c r="D47">
        <v>10010</v>
      </c>
    </row>
    <row r="48" spans="1:4" x14ac:dyDescent="0.25">
      <c r="A48">
        <v>412301</v>
      </c>
      <c r="B48" t="s">
        <v>85</v>
      </c>
      <c r="C48" t="s">
        <v>258</v>
      </c>
      <c r="D48">
        <v>10010</v>
      </c>
    </row>
    <row r="49" spans="1:4" x14ac:dyDescent="0.25">
      <c r="A49">
        <v>412302</v>
      </c>
      <c r="B49" t="s">
        <v>86</v>
      </c>
      <c r="C49" t="s">
        <v>258</v>
      </c>
      <c r="D49">
        <v>10010</v>
      </c>
    </row>
    <row r="50" spans="1:4" x14ac:dyDescent="0.25">
      <c r="A50">
        <v>412313</v>
      </c>
      <c r="B50" t="s">
        <v>17</v>
      </c>
      <c r="C50" t="s">
        <v>266</v>
      </c>
      <c r="D50">
        <v>10010</v>
      </c>
    </row>
    <row r="51" spans="1:4" x14ac:dyDescent="0.25">
      <c r="A51">
        <v>412630</v>
      </c>
      <c r="B51" t="s">
        <v>218</v>
      </c>
      <c r="C51" t="s">
        <v>258</v>
      </c>
      <c r="D51">
        <v>10010</v>
      </c>
    </row>
    <row r="52" spans="1:4" x14ac:dyDescent="0.25">
      <c r="A52">
        <v>601047</v>
      </c>
      <c r="B52" t="s">
        <v>184</v>
      </c>
      <c r="C52" t="s">
        <v>268</v>
      </c>
      <c r="D52">
        <v>10010</v>
      </c>
    </row>
    <row r="53" spans="1:4" x14ac:dyDescent="0.25">
      <c r="A53">
        <v>601121</v>
      </c>
      <c r="B53" t="s">
        <v>269</v>
      </c>
      <c r="C53" t="s">
        <v>270</v>
      </c>
      <c r="D53">
        <v>10010</v>
      </c>
    </row>
    <row r="54" spans="1:4" x14ac:dyDescent="0.25">
      <c r="A54">
        <v>602254</v>
      </c>
      <c r="B54" t="s">
        <v>185</v>
      </c>
      <c r="C54" t="s">
        <v>268</v>
      </c>
      <c r="D54">
        <v>10010</v>
      </c>
    </row>
    <row r="55" spans="1:4" x14ac:dyDescent="0.25">
      <c r="A55">
        <v>602255</v>
      </c>
      <c r="B55" t="s">
        <v>186</v>
      </c>
      <c r="C55" t="s">
        <v>268</v>
      </c>
      <c r="D55">
        <v>10010</v>
      </c>
    </row>
    <row r="56" spans="1:4" x14ac:dyDescent="0.25">
      <c r="A56">
        <v>602256</v>
      </c>
      <c r="B56" t="s">
        <v>213</v>
      </c>
      <c r="C56" t="s">
        <v>268</v>
      </c>
      <c r="D56">
        <v>10010</v>
      </c>
    </row>
    <row r="57" spans="1:4" x14ac:dyDescent="0.25">
      <c r="A57">
        <v>602257</v>
      </c>
      <c r="B57" t="s">
        <v>214</v>
      </c>
      <c r="C57" t="s">
        <v>268</v>
      </c>
      <c r="D57">
        <v>10010</v>
      </c>
    </row>
    <row r="58" spans="1:4" x14ac:dyDescent="0.25">
      <c r="A58">
        <v>602258</v>
      </c>
      <c r="B58" t="s">
        <v>215</v>
      </c>
      <c r="C58" t="s">
        <v>268</v>
      </c>
      <c r="D58">
        <v>10010</v>
      </c>
    </row>
    <row r="59" spans="1:4" x14ac:dyDescent="0.25">
      <c r="A59">
        <v>608013</v>
      </c>
      <c r="B59" t="s">
        <v>151</v>
      </c>
      <c r="C59" t="s">
        <v>258</v>
      </c>
      <c r="D59">
        <v>10010</v>
      </c>
    </row>
    <row r="60" spans="1:4" x14ac:dyDescent="0.25">
      <c r="A60">
        <v>609008</v>
      </c>
      <c r="B60" t="s">
        <v>152</v>
      </c>
      <c r="C60" t="s">
        <v>271</v>
      </c>
      <c r="D60">
        <v>10010</v>
      </c>
    </row>
    <row r="61" spans="1:4" x14ac:dyDescent="0.25">
      <c r="A61">
        <v>617016</v>
      </c>
      <c r="B61" t="s">
        <v>187</v>
      </c>
      <c r="C61" t="s">
        <v>258</v>
      </c>
      <c r="D61">
        <v>10010</v>
      </c>
    </row>
    <row r="62" spans="1:4" x14ac:dyDescent="0.25">
      <c r="A62">
        <v>617055</v>
      </c>
      <c r="B62" t="s">
        <v>188</v>
      </c>
      <c r="C62" t="s">
        <v>258</v>
      </c>
      <c r="D62">
        <v>10010</v>
      </c>
    </row>
    <row r="63" spans="1:4" x14ac:dyDescent="0.25">
      <c r="A63">
        <v>617057</v>
      </c>
      <c r="B63" t="s">
        <v>50</v>
      </c>
      <c r="C63" t="s">
        <v>258</v>
      </c>
      <c r="D63">
        <v>10010</v>
      </c>
    </row>
    <row r="64" spans="1:4" x14ac:dyDescent="0.25">
      <c r="A64">
        <v>701015</v>
      </c>
      <c r="B64" t="s">
        <v>46</v>
      </c>
      <c r="C64" t="s">
        <v>263</v>
      </c>
      <c r="D64">
        <v>10010</v>
      </c>
    </row>
    <row r="65" spans="1:4" x14ac:dyDescent="0.25">
      <c r="A65">
        <v>701040</v>
      </c>
      <c r="B65" t="s">
        <v>35</v>
      </c>
      <c r="C65" t="s">
        <v>263</v>
      </c>
      <c r="D65">
        <v>10010</v>
      </c>
    </row>
    <row r="66" spans="1:4" x14ac:dyDescent="0.25">
      <c r="A66">
        <v>701043</v>
      </c>
      <c r="B66" t="s">
        <v>18</v>
      </c>
      <c r="C66" t="s">
        <v>263</v>
      </c>
      <c r="D66">
        <v>10010</v>
      </c>
    </row>
    <row r="67" spans="1:4" x14ac:dyDescent="0.25">
      <c r="A67">
        <v>701084</v>
      </c>
      <c r="B67" t="s">
        <v>87</v>
      </c>
      <c r="C67" t="s">
        <v>263</v>
      </c>
      <c r="D67">
        <v>10010</v>
      </c>
    </row>
    <row r="68" spans="1:4" x14ac:dyDescent="0.25">
      <c r="A68">
        <v>701096</v>
      </c>
      <c r="B68" t="s">
        <v>36</v>
      </c>
      <c r="C68" t="s">
        <v>263</v>
      </c>
      <c r="D68">
        <v>10010</v>
      </c>
    </row>
    <row r="69" spans="1:4" x14ac:dyDescent="0.25">
      <c r="A69">
        <v>704021</v>
      </c>
      <c r="B69" t="s">
        <v>181</v>
      </c>
      <c r="C69">
        <v>0</v>
      </c>
      <c r="D69">
        <v>10010</v>
      </c>
    </row>
    <row r="70" spans="1:4" x14ac:dyDescent="0.25">
      <c r="A70">
        <v>704022</v>
      </c>
      <c r="B70" t="s">
        <v>165</v>
      </c>
      <c r="C70">
        <v>0</v>
      </c>
      <c r="D70">
        <v>10010</v>
      </c>
    </row>
    <row r="71" spans="1:4" x14ac:dyDescent="0.25">
      <c r="A71">
        <v>704023</v>
      </c>
      <c r="B71" t="s">
        <v>169</v>
      </c>
      <c r="C71">
        <v>0</v>
      </c>
      <c r="D71">
        <v>10010</v>
      </c>
    </row>
    <row r="72" spans="1:4" x14ac:dyDescent="0.25">
      <c r="A72">
        <v>704024</v>
      </c>
      <c r="B72" t="s">
        <v>166</v>
      </c>
      <c r="C72">
        <v>0</v>
      </c>
      <c r="D72">
        <v>10010</v>
      </c>
    </row>
    <row r="73" spans="1:4" x14ac:dyDescent="0.25">
      <c r="A73">
        <v>704025</v>
      </c>
      <c r="B73" t="s">
        <v>170</v>
      </c>
      <c r="C73">
        <v>0</v>
      </c>
      <c r="D73">
        <v>10010</v>
      </c>
    </row>
    <row r="74" spans="1:4" x14ac:dyDescent="0.25">
      <c r="A74">
        <v>704046</v>
      </c>
      <c r="B74" t="s">
        <v>219</v>
      </c>
      <c r="C74" t="s">
        <v>272</v>
      </c>
      <c r="D74">
        <v>10010</v>
      </c>
    </row>
    <row r="75" spans="1:4" x14ac:dyDescent="0.25">
      <c r="A75">
        <v>704079</v>
      </c>
      <c r="B75" t="s">
        <v>189</v>
      </c>
      <c r="C75" t="s">
        <v>272</v>
      </c>
      <c r="D75">
        <v>10010</v>
      </c>
    </row>
    <row r="76" spans="1:4" x14ac:dyDescent="0.25">
      <c r="A76">
        <v>705028</v>
      </c>
      <c r="B76" t="s">
        <v>192</v>
      </c>
      <c r="C76" t="s">
        <v>263</v>
      </c>
      <c r="D76">
        <v>10010</v>
      </c>
    </row>
    <row r="77" spans="1:4" x14ac:dyDescent="0.25">
      <c r="A77">
        <v>707023</v>
      </c>
      <c r="B77" t="s">
        <v>37</v>
      </c>
      <c r="C77" t="s">
        <v>258</v>
      </c>
      <c r="D77">
        <v>10010</v>
      </c>
    </row>
    <row r="78" spans="1:4" x14ac:dyDescent="0.25">
      <c r="A78">
        <v>810007</v>
      </c>
      <c r="B78" t="s">
        <v>51</v>
      </c>
      <c r="C78" t="s">
        <v>264</v>
      </c>
      <c r="D78">
        <v>10010</v>
      </c>
    </row>
    <row r="79" spans="1:4" x14ac:dyDescent="0.25">
      <c r="A79">
        <v>907031</v>
      </c>
      <c r="B79" t="s">
        <v>157</v>
      </c>
      <c r="C79" t="s">
        <v>272</v>
      </c>
      <c r="D79">
        <v>10010</v>
      </c>
    </row>
    <row r="80" spans="1:4" x14ac:dyDescent="0.25">
      <c r="A80">
        <v>1003500</v>
      </c>
      <c r="B80" t="s">
        <v>203</v>
      </c>
      <c r="C80" t="s">
        <v>264</v>
      </c>
      <c r="D80">
        <v>10010</v>
      </c>
    </row>
    <row r="81" spans="1:4" x14ac:dyDescent="0.25">
      <c r="A81">
        <v>1101307</v>
      </c>
      <c r="B81" t="s">
        <v>229</v>
      </c>
      <c r="C81" t="s">
        <v>273</v>
      </c>
      <c r="D81">
        <v>10010</v>
      </c>
    </row>
    <row r="82" spans="1:4" x14ac:dyDescent="0.25">
      <c r="A82">
        <v>1103074</v>
      </c>
      <c r="B82" t="s">
        <v>193</v>
      </c>
      <c r="C82" t="s">
        <v>258</v>
      </c>
      <c r="D82">
        <v>10010</v>
      </c>
    </row>
    <row r="83" spans="1:4" x14ac:dyDescent="0.25">
      <c r="A83">
        <v>1103076</v>
      </c>
      <c r="B83" t="s">
        <v>194</v>
      </c>
      <c r="C83" t="s">
        <v>258</v>
      </c>
      <c r="D83">
        <v>10010</v>
      </c>
    </row>
    <row r="84" spans="1:4" x14ac:dyDescent="0.25">
      <c r="A84">
        <v>1103086</v>
      </c>
      <c r="B84" t="s">
        <v>274</v>
      </c>
      <c r="C84" t="s">
        <v>258</v>
      </c>
      <c r="D84">
        <v>10010</v>
      </c>
    </row>
    <row r="85" spans="1:4" x14ac:dyDescent="0.25">
      <c r="A85">
        <v>1103087</v>
      </c>
      <c r="B85" t="s">
        <v>275</v>
      </c>
      <c r="C85" t="s">
        <v>258</v>
      </c>
      <c r="D85">
        <v>10010</v>
      </c>
    </row>
    <row r="86" spans="1:4" x14ac:dyDescent="0.25">
      <c r="A86">
        <v>1103088</v>
      </c>
      <c r="B86" t="s">
        <v>212</v>
      </c>
      <c r="C86" t="s">
        <v>264</v>
      </c>
      <c r="D86">
        <v>10010</v>
      </c>
    </row>
    <row r="87" spans="1:4" x14ac:dyDescent="0.25">
      <c r="A87">
        <v>1206002</v>
      </c>
      <c r="B87" t="s">
        <v>101</v>
      </c>
      <c r="C87" t="s">
        <v>258</v>
      </c>
      <c r="D87">
        <v>10010</v>
      </c>
    </row>
    <row r="88" spans="1:4" x14ac:dyDescent="0.25">
      <c r="A88">
        <v>1405006</v>
      </c>
      <c r="B88" t="s">
        <v>19</v>
      </c>
      <c r="C88" t="s">
        <v>258</v>
      </c>
      <c r="D88">
        <v>10010</v>
      </c>
    </row>
    <row r="89" spans="1:4" x14ac:dyDescent="0.25">
      <c r="A89">
        <v>1405025</v>
      </c>
      <c r="B89" t="s">
        <v>231</v>
      </c>
      <c r="C89" t="s">
        <v>258</v>
      </c>
      <c r="D89">
        <v>10010</v>
      </c>
    </row>
    <row r="90" spans="1:4" x14ac:dyDescent="0.25">
      <c r="A90">
        <v>1405026</v>
      </c>
      <c r="B90" t="s">
        <v>276</v>
      </c>
      <c r="C90" t="s">
        <v>277</v>
      </c>
      <c r="D90">
        <v>10010</v>
      </c>
    </row>
    <row r="91" spans="1:4" x14ac:dyDescent="0.25">
      <c r="A91">
        <v>1405027</v>
      </c>
      <c r="B91" t="s">
        <v>278</v>
      </c>
      <c r="C91" t="s">
        <v>277</v>
      </c>
      <c r="D91">
        <v>10010</v>
      </c>
    </row>
    <row r="92" spans="1:4" x14ac:dyDescent="0.25">
      <c r="A92">
        <v>1405039</v>
      </c>
      <c r="B92" t="s">
        <v>251</v>
      </c>
      <c r="C92" t="s">
        <v>258</v>
      </c>
      <c r="D92">
        <v>10010</v>
      </c>
    </row>
    <row r="93" spans="1:4" x14ac:dyDescent="0.25">
      <c r="A93">
        <v>1405040</v>
      </c>
      <c r="B93" t="s">
        <v>247</v>
      </c>
      <c r="C93" t="s">
        <v>258</v>
      </c>
      <c r="D93">
        <v>10010</v>
      </c>
    </row>
    <row r="94" spans="1:4" x14ac:dyDescent="0.25">
      <c r="A94">
        <v>1610007</v>
      </c>
      <c r="B94" t="s">
        <v>153</v>
      </c>
      <c r="C94" t="s">
        <v>279</v>
      </c>
      <c r="D94">
        <v>10010</v>
      </c>
    </row>
    <row r="95" spans="1:4" x14ac:dyDescent="0.25">
      <c r="A95">
        <v>1610023</v>
      </c>
      <c r="B95" t="s">
        <v>154</v>
      </c>
      <c r="C95" t="s">
        <v>279</v>
      </c>
      <c r="D95">
        <v>10010</v>
      </c>
    </row>
    <row r="96" spans="1:4" x14ac:dyDescent="0.25">
      <c r="A96">
        <v>1701071</v>
      </c>
      <c r="B96" t="s">
        <v>280</v>
      </c>
      <c r="C96" t="s">
        <v>258</v>
      </c>
      <c r="D96">
        <v>10010</v>
      </c>
    </row>
    <row r="97" spans="1:4" x14ac:dyDescent="0.25">
      <c r="A97">
        <v>1701154</v>
      </c>
      <c r="B97" t="s">
        <v>127</v>
      </c>
      <c r="C97" t="s">
        <v>258</v>
      </c>
      <c r="D97">
        <v>10010</v>
      </c>
    </row>
    <row r="98" spans="1:4" x14ac:dyDescent="0.25">
      <c r="A98">
        <v>1703006</v>
      </c>
      <c r="B98" t="s">
        <v>136</v>
      </c>
      <c r="C98" t="s">
        <v>258</v>
      </c>
      <c r="D98">
        <v>10010</v>
      </c>
    </row>
    <row r="99" spans="1:4" x14ac:dyDescent="0.25">
      <c r="A99">
        <v>1801161</v>
      </c>
      <c r="B99" t="s">
        <v>281</v>
      </c>
      <c r="C99" t="s">
        <v>258</v>
      </c>
      <c r="D99">
        <v>10010</v>
      </c>
    </row>
    <row r="100" spans="1:4" x14ac:dyDescent="0.25">
      <c r="A100">
        <v>1801229</v>
      </c>
      <c r="B100" t="s">
        <v>112</v>
      </c>
      <c r="C100" t="s">
        <v>258</v>
      </c>
      <c r="D100">
        <v>10010</v>
      </c>
    </row>
    <row r="101" spans="1:4" x14ac:dyDescent="0.25">
      <c r="A101">
        <v>1801230</v>
      </c>
      <c r="B101" t="s">
        <v>113</v>
      </c>
      <c r="C101" t="s">
        <v>258</v>
      </c>
      <c r="D101">
        <v>10010</v>
      </c>
    </row>
    <row r="102" spans="1:4" x14ac:dyDescent="0.25">
      <c r="A102">
        <v>1801735</v>
      </c>
      <c r="B102" t="s">
        <v>114</v>
      </c>
      <c r="C102" t="s">
        <v>258</v>
      </c>
      <c r="D102">
        <v>10010</v>
      </c>
    </row>
    <row r="103" spans="1:4" x14ac:dyDescent="0.25">
      <c r="A103">
        <v>1802162</v>
      </c>
      <c r="B103" t="s">
        <v>115</v>
      </c>
      <c r="C103" t="s">
        <v>258</v>
      </c>
      <c r="D103">
        <v>10010</v>
      </c>
    </row>
    <row r="104" spans="1:4" x14ac:dyDescent="0.25">
      <c r="A104">
        <v>1802164</v>
      </c>
      <c r="B104" t="s">
        <v>91</v>
      </c>
      <c r="C104" t="s">
        <v>258</v>
      </c>
      <c r="D104">
        <v>10010</v>
      </c>
    </row>
    <row r="105" spans="1:4" x14ac:dyDescent="0.25">
      <c r="A105">
        <v>1802165</v>
      </c>
      <c r="B105" t="s">
        <v>128</v>
      </c>
      <c r="C105" t="s">
        <v>258</v>
      </c>
      <c r="D105">
        <v>10010</v>
      </c>
    </row>
    <row r="106" spans="1:4" x14ac:dyDescent="0.25">
      <c r="A106">
        <v>1802166</v>
      </c>
      <c r="B106" t="s">
        <v>137</v>
      </c>
      <c r="C106" t="s">
        <v>258</v>
      </c>
      <c r="D106">
        <v>10010</v>
      </c>
    </row>
    <row r="107" spans="1:4" x14ac:dyDescent="0.25">
      <c r="A107">
        <v>1802167</v>
      </c>
      <c r="B107" t="s">
        <v>117</v>
      </c>
      <c r="C107" t="s">
        <v>258</v>
      </c>
      <c r="D107">
        <v>10010</v>
      </c>
    </row>
    <row r="108" spans="1:4" x14ac:dyDescent="0.25">
      <c r="A108">
        <v>1802169</v>
      </c>
      <c r="B108" t="s">
        <v>119</v>
      </c>
      <c r="C108" t="s">
        <v>258</v>
      </c>
      <c r="D108">
        <v>10010</v>
      </c>
    </row>
    <row r="109" spans="1:4" x14ac:dyDescent="0.25">
      <c r="A109">
        <v>1802170</v>
      </c>
      <c r="B109" t="s">
        <v>120</v>
      </c>
      <c r="C109" t="s">
        <v>258</v>
      </c>
      <c r="D109">
        <v>10010</v>
      </c>
    </row>
    <row r="110" spans="1:4" x14ac:dyDescent="0.25">
      <c r="A110">
        <v>1802171</v>
      </c>
      <c r="B110" t="s">
        <v>102</v>
      </c>
      <c r="C110" t="s">
        <v>258</v>
      </c>
      <c r="D110">
        <v>10010</v>
      </c>
    </row>
    <row r="111" spans="1:4" x14ac:dyDescent="0.25">
      <c r="A111">
        <v>1802172</v>
      </c>
      <c r="B111" t="s">
        <v>103</v>
      </c>
      <c r="C111" t="s">
        <v>258</v>
      </c>
      <c r="D111">
        <v>10010</v>
      </c>
    </row>
    <row r="112" spans="1:4" x14ac:dyDescent="0.25">
      <c r="A112">
        <v>1802173</v>
      </c>
      <c r="B112" t="s">
        <v>124</v>
      </c>
      <c r="C112" t="s">
        <v>258</v>
      </c>
      <c r="D112">
        <v>10010</v>
      </c>
    </row>
    <row r="113" spans="1:4" x14ac:dyDescent="0.25">
      <c r="A113">
        <v>1802174</v>
      </c>
      <c r="B113" t="s">
        <v>125</v>
      </c>
      <c r="C113" t="s">
        <v>258</v>
      </c>
      <c r="D113">
        <v>10010</v>
      </c>
    </row>
    <row r="114" spans="1:4" x14ac:dyDescent="0.25">
      <c r="A114">
        <v>1802175</v>
      </c>
      <c r="B114" t="s">
        <v>126</v>
      </c>
      <c r="C114" t="s">
        <v>258</v>
      </c>
      <c r="D114">
        <v>10010</v>
      </c>
    </row>
    <row r="115" spans="1:4" x14ac:dyDescent="0.25">
      <c r="A115">
        <v>1802176</v>
      </c>
      <c r="B115" t="s">
        <v>129</v>
      </c>
      <c r="C115" t="s">
        <v>258</v>
      </c>
      <c r="D115">
        <v>10010</v>
      </c>
    </row>
    <row r="116" spans="1:4" x14ac:dyDescent="0.25">
      <c r="A116">
        <v>1802177</v>
      </c>
      <c r="B116" t="s">
        <v>282</v>
      </c>
      <c r="C116" t="s">
        <v>258</v>
      </c>
      <c r="D116">
        <v>10010</v>
      </c>
    </row>
    <row r="117" spans="1:4" x14ac:dyDescent="0.25">
      <c r="A117">
        <v>1802517</v>
      </c>
      <c r="B117" t="s">
        <v>104</v>
      </c>
      <c r="C117" t="s">
        <v>258</v>
      </c>
      <c r="D117">
        <v>10010</v>
      </c>
    </row>
    <row r="118" spans="1:4" x14ac:dyDescent="0.25">
      <c r="A118">
        <v>1802659</v>
      </c>
      <c r="B118" t="s">
        <v>198</v>
      </c>
      <c r="C118" t="s">
        <v>258</v>
      </c>
      <c r="D118">
        <v>10010</v>
      </c>
    </row>
    <row r="119" spans="1:4" x14ac:dyDescent="0.25">
      <c r="A119">
        <v>1803044</v>
      </c>
      <c r="B119" t="s">
        <v>248</v>
      </c>
      <c r="C119" t="s">
        <v>277</v>
      </c>
      <c r="D119">
        <v>10010</v>
      </c>
    </row>
    <row r="120" spans="1:4" x14ac:dyDescent="0.25">
      <c r="A120">
        <v>1803045</v>
      </c>
      <c r="B120" t="s">
        <v>249</v>
      </c>
      <c r="C120" t="s">
        <v>277</v>
      </c>
      <c r="D120">
        <v>10010</v>
      </c>
    </row>
    <row r="121" spans="1:4" x14ac:dyDescent="0.25">
      <c r="A121">
        <v>1805340</v>
      </c>
      <c r="B121" t="s">
        <v>199</v>
      </c>
      <c r="C121" t="s">
        <v>258</v>
      </c>
      <c r="D121">
        <v>10010</v>
      </c>
    </row>
    <row r="122" spans="1:4" x14ac:dyDescent="0.25">
      <c r="A122">
        <v>1808003</v>
      </c>
      <c r="B122" t="s">
        <v>105</v>
      </c>
      <c r="C122" t="s">
        <v>258</v>
      </c>
      <c r="D122">
        <v>10010</v>
      </c>
    </row>
    <row r="123" spans="1:4" x14ac:dyDescent="0.25">
      <c r="A123">
        <v>1808006</v>
      </c>
      <c r="B123" t="s">
        <v>106</v>
      </c>
      <c r="C123" t="s">
        <v>258</v>
      </c>
      <c r="D123">
        <v>10010</v>
      </c>
    </row>
    <row r="124" spans="1:4" x14ac:dyDescent="0.25">
      <c r="A124">
        <v>1808083</v>
      </c>
      <c r="B124" t="s">
        <v>283</v>
      </c>
      <c r="C124" t="s">
        <v>258</v>
      </c>
      <c r="D124">
        <v>10010</v>
      </c>
    </row>
    <row r="125" spans="1:4" x14ac:dyDescent="0.25">
      <c r="A125">
        <v>1808144</v>
      </c>
      <c r="B125" t="s">
        <v>141</v>
      </c>
      <c r="C125" t="s">
        <v>258</v>
      </c>
      <c r="D125">
        <v>10010</v>
      </c>
    </row>
    <row r="126" spans="1:4" x14ac:dyDescent="0.25">
      <c r="A126">
        <v>1808145</v>
      </c>
      <c r="B126" t="s">
        <v>142</v>
      </c>
      <c r="C126" t="s">
        <v>258</v>
      </c>
      <c r="D126">
        <v>10010</v>
      </c>
    </row>
    <row r="127" spans="1:4" x14ac:dyDescent="0.25">
      <c r="A127">
        <v>1808146</v>
      </c>
      <c r="B127" t="s">
        <v>107</v>
      </c>
      <c r="C127" t="s">
        <v>258</v>
      </c>
      <c r="D127">
        <v>10010</v>
      </c>
    </row>
    <row r="128" spans="1:4" x14ac:dyDescent="0.25">
      <c r="A128">
        <v>1808147</v>
      </c>
      <c r="B128" t="s">
        <v>143</v>
      </c>
      <c r="C128" t="s">
        <v>258</v>
      </c>
      <c r="D128">
        <v>10010</v>
      </c>
    </row>
    <row r="129" spans="1:4" x14ac:dyDescent="0.25">
      <c r="A129">
        <v>1808148</v>
      </c>
      <c r="B129" t="s">
        <v>144</v>
      </c>
      <c r="C129" t="s">
        <v>258</v>
      </c>
      <c r="D129">
        <v>10010</v>
      </c>
    </row>
    <row r="130" spans="1:4" x14ac:dyDescent="0.25">
      <c r="A130">
        <v>1808156</v>
      </c>
      <c r="B130" t="s">
        <v>108</v>
      </c>
      <c r="C130" t="s">
        <v>258</v>
      </c>
      <c r="D130">
        <v>10010</v>
      </c>
    </row>
    <row r="131" spans="1:4" x14ac:dyDescent="0.25">
      <c r="A131">
        <v>1901008</v>
      </c>
      <c r="B131" t="s">
        <v>69</v>
      </c>
      <c r="C131" t="s">
        <v>284</v>
      </c>
      <c r="D131">
        <v>10010</v>
      </c>
    </row>
    <row r="132" spans="1:4" x14ac:dyDescent="0.25">
      <c r="A132">
        <v>1901038</v>
      </c>
      <c r="B132" t="s">
        <v>175</v>
      </c>
      <c r="C132" t="s">
        <v>284</v>
      </c>
      <c r="D132">
        <v>10010</v>
      </c>
    </row>
    <row r="133" spans="1:4" x14ac:dyDescent="0.25">
      <c r="A133">
        <v>1901086</v>
      </c>
      <c r="B133" t="s">
        <v>70</v>
      </c>
      <c r="C133" t="s">
        <v>284</v>
      </c>
      <c r="D133">
        <v>10010</v>
      </c>
    </row>
    <row r="134" spans="1:4" x14ac:dyDescent="0.25">
      <c r="A134">
        <v>1901466</v>
      </c>
      <c r="B134" t="s">
        <v>176</v>
      </c>
      <c r="C134" t="s">
        <v>284</v>
      </c>
      <c r="D134">
        <v>10010</v>
      </c>
    </row>
    <row r="135" spans="1:4" x14ac:dyDescent="0.25">
      <c r="A135">
        <v>1901505</v>
      </c>
      <c r="B135" t="s">
        <v>71</v>
      </c>
      <c r="C135" t="s">
        <v>279</v>
      </c>
      <c r="D135">
        <v>10010</v>
      </c>
    </row>
    <row r="136" spans="1:4" x14ac:dyDescent="0.25">
      <c r="A136">
        <v>1902003</v>
      </c>
      <c r="B136" t="s">
        <v>72</v>
      </c>
      <c r="C136" t="s">
        <v>272</v>
      </c>
      <c r="D136">
        <v>10010</v>
      </c>
    </row>
    <row r="137" spans="1:4" x14ac:dyDescent="0.25">
      <c r="A137">
        <v>1902013</v>
      </c>
      <c r="B137" t="s">
        <v>20</v>
      </c>
      <c r="C137" t="s">
        <v>272</v>
      </c>
      <c r="D137">
        <v>10010</v>
      </c>
    </row>
    <row r="138" spans="1:4" x14ac:dyDescent="0.25">
      <c r="A138">
        <v>1902014</v>
      </c>
      <c r="B138" t="s">
        <v>73</v>
      </c>
      <c r="C138" t="s">
        <v>263</v>
      </c>
      <c r="D138">
        <v>10010</v>
      </c>
    </row>
    <row r="139" spans="1:4" x14ac:dyDescent="0.25">
      <c r="A139">
        <v>2302017</v>
      </c>
      <c r="B139" t="s">
        <v>158</v>
      </c>
      <c r="C139" t="s">
        <v>268</v>
      </c>
      <c r="D139">
        <v>10010</v>
      </c>
    </row>
    <row r="140" spans="1:4" x14ac:dyDescent="0.25">
      <c r="A140">
        <v>2302024</v>
      </c>
      <c r="B140" t="s">
        <v>52</v>
      </c>
      <c r="C140" t="s">
        <v>270</v>
      </c>
      <c r="D140">
        <v>10010</v>
      </c>
    </row>
    <row r="141" spans="1:4" x14ac:dyDescent="0.25">
      <c r="A141">
        <v>2302044</v>
      </c>
      <c r="B141" t="s">
        <v>53</v>
      </c>
      <c r="C141" t="s">
        <v>285</v>
      </c>
      <c r="D141">
        <v>10010</v>
      </c>
    </row>
    <row r="142" spans="1:4" x14ac:dyDescent="0.25">
      <c r="A142">
        <v>2302045</v>
      </c>
      <c r="B142" t="s">
        <v>54</v>
      </c>
      <c r="C142" t="s">
        <v>268</v>
      </c>
      <c r="D142">
        <v>10010</v>
      </c>
    </row>
    <row r="143" spans="1:4" x14ac:dyDescent="0.25">
      <c r="A143">
        <v>2302098</v>
      </c>
      <c r="B143" t="s">
        <v>74</v>
      </c>
      <c r="C143" t="s">
        <v>268</v>
      </c>
      <c r="D143">
        <v>10010</v>
      </c>
    </row>
    <row r="144" spans="1:4" x14ac:dyDescent="0.25">
      <c r="A144">
        <v>2302118</v>
      </c>
      <c r="B144" t="s">
        <v>55</v>
      </c>
      <c r="C144" t="s">
        <v>258</v>
      </c>
      <c r="D144">
        <v>10010</v>
      </c>
    </row>
    <row r="145" spans="1:4" x14ac:dyDescent="0.25">
      <c r="A145">
        <v>2302119</v>
      </c>
      <c r="B145" t="s">
        <v>177</v>
      </c>
      <c r="C145" t="s">
        <v>258</v>
      </c>
      <c r="D145">
        <v>10010</v>
      </c>
    </row>
    <row r="146" spans="1:4" x14ac:dyDescent="0.25">
      <c r="A146">
        <v>2304002</v>
      </c>
      <c r="B146" t="s">
        <v>96</v>
      </c>
      <c r="C146" t="s">
        <v>258</v>
      </c>
      <c r="D146">
        <v>10010</v>
      </c>
    </row>
    <row r="147" spans="1:4" x14ac:dyDescent="0.25">
      <c r="A147">
        <v>2304003</v>
      </c>
      <c r="B147" t="s">
        <v>138</v>
      </c>
      <c r="C147" t="s">
        <v>258</v>
      </c>
      <c r="D147">
        <v>10010</v>
      </c>
    </row>
    <row r="148" spans="1:4" x14ac:dyDescent="0.25">
      <c r="A148">
        <v>2304008</v>
      </c>
      <c r="B148" t="s">
        <v>195</v>
      </c>
      <c r="C148" t="s">
        <v>258</v>
      </c>
      <c r="D148">
        <v>10010</v>
      </c>
    </row>
    <row r="149" spans="1:4" x14ac:dyDescent="0.25">
      <c r="A149">
        <v>2304053</v>
      </c>
      <c r="B149" t="s">
        <v>190</v>
      </c>
      <c r="C149" t="s">
        <v>258</v>
      </c>
      <c r="D149">
        <v>10010</v>
      </c>
    </row>
    <row r="150" spans="1:4" x14ac:dyDescent="0.25">
      <c r="A150">
        <v>2304056</v>
      </c>
      <c r="B150" t="s">
        <v>56</v>
      </c>
      <c r="C150" t="s">
        <v>258</v>
      </c>
      <c r="D150">
        <v>10010</v>
      </c>
    </row>
    <row r="151" spans="1:4" x14ac:dyDescent="0.25">
      <c r="A151">
        <v>2505058</v>
      </c>
      <c r="B151" t="s">
        <v>200</v>
      </c>
      <c r="C151" t="s">
        <v>258</v>
      </c>
      <c r="D151">
        <v>10010</v>
      </c>
    </row>
    <row r="152" spans="1:4" x14ac:dyDescent="0.25">
      <c r="A152">
        <v>2505426</v>
      </c>
      <c r="B152" t="s">
        <v>130</v>
      </c>
      <c r="C152" t="s">
        <v>258</v>
      </c>
      <c r="D152">
        <v>10010</v>
      </c>
    </row>
    <row r="153" spans="1:4" x14ac:dyDescent="0.25">
      <c r="A153">
        <v>2508169</v>
      </c>
      <c r="B153" t="s">
        <v>92</v>
      </c>
      <c r="C153" t="s">
        <v>258</v>
      </c>
      <c r="D153">
        <v>10010</v>
      </c>
    </row>
    <row r="154" spans="1:4" x14ac:dyDescent="0.25">
      <c r="A154">
        <v>2508985</v>
      </c>
      <c r="B154" t="s">
        <v>238</v>
      </c>
      <c r="C154" t="s">
        <v>277</v>
      </c>
      <c r="D154">
        <v>10010</v>
      </c>
    </row>
    <row r="155" spans="1:4" x14ac:dyDescent="0.25">
      <c r="A155">
        <v>2508986</v>
      </c>
      <c r="B155" t="s">
        <v>239</v>
      </c>
      <c r="C155" t="s">
        <v>277</v>
      </c>
      <c r="D155">
        <v>10010</v>
      </c>
    </row>
    <row r="156" spans="1:4" x14ac:dyDescent="0.25">
      <c r="A156">
        <v>2508987</v>
      </c>
      <c r="B156" t="s">
        <v>244</v>
      </c>
      <c r="C156" t="s">
        <v>277</v>
      </c>
      <c r="D156">
        <v>10010</v>
      </c>
    </row>
    <row r="157" spans="1:4" x14ac:dyDescent="0.25">
      <c r="A157">
        <v>2508988</v>
      </c>
      <c r="B157" t="s">
        <v>245</v>
      </c>
      <c r="C157" t="s">
        <v>277</v>
      </c>
      <c r="D157">
        <v>10010</v>
      </c>
    </row>
    <row r="158" spans="1:4" x14ac:dyDescent="0.25">
      <c r="A158">
        <v>2508990</v>
      </c>
      <c r="B158" t="s">
        <v>232</v>
      </c>
      <c r="C158" t="s">
        <v>258</v>
      </c>
      <c r="D158">
        <v>10010</v>
      </c>
    </row>
    <row r="159" spans="1:4" x14ac:dyDescent="0.25">
      <c r="A159">
        <v>2508991</v>
      </c>
      <c r="B159" t="s">
        <v>233</v>
      </c>
      <c r="C159" t="s">
        <v>258</v>
      </c>
      <c r="D159">
        <v>10010</v>
      </c>
    </row>
    <row r="160" spans="1:4" x14ac:dyDescent="0.25">
      <c r="A160">
        <v>2508992</v>
      </c>
      <c r="B160" t="s">
        <v>234</v>
      </c>
      <c r="C160" t="s">
        <v>286</v>
      </c>
      <c r="D160">
        <v>10010</v>
      </c>
    </row>
    <row r="161" spans="1:4" x14ac:dyDescent="0.25">
      <c r="A161">
        <v>2508993</v>
      </c>
      <c r="B161" t="s">
        <v>235</v>
      </c>
      <c r="C161" t="s">
        <v>286</v>
      </c>
      <c r="D161">
        <v>10010</v>
      </c>
    </row>
    <row r="162" spans="1:4" x14ac:dyDescent="0.25">
      <c r="A162">
        <v>2508994</v>
      </c>
      <c r="B162" t="s">
        <v>236</v>
      </c>
      <c r="C162" t="s">
        <v>258</v>
      </c>
      <c r="D162">
        <v>10010</v>
      </c>
    </row>
    <row r="163" spans="1:4" x14ac:dyDescent="0.25">
      <c r="A163">
        <v>4212234</v>
      </c>
      <c r="B163" t="s">
        <v>209</v>
      </c>
      <c r="C163" t="s">
        <v>258</v>
      </c>
      <c r="D163">
        <v>10010</v>
      </c>
    </row>
    <row r="164" spans="1:4" x14ac:dyDescent="0.25">
      <c r="A164">
        <v>4212254</v>
      </c>
      <c r="B164" t="s">
        <v>94</v>
      </c>
      <c r="C164" t="s">
        <v>258</v>
      </c>
      <c r="D164">
        <v>10010</v>
      </c>
    </row>
    <row r="165" spans="1:4" x14ac:dyDescent="0.25">
      <c r="A165">
        <v>5309018</v>
      </c>
      <c r="B165" t="s">
        <v>38</v>
      </c>
      <c r="C165" t="s">
        <v>287</v>
      </c>
      <c r="D165">
        <v>10010</v>
      </c>
    </row>
    <row r="166" spans="1:4" x14ac:dyDescent="0.25">
      <c r="A166">
        <v>5314002</v>
      </c>
      <c r="B166" t="s">
        <v>155</v>
      </c>
      <c r="C166" t="s">
        <v>258</v>
      </c>
      <c r="D166">
        <v>10010</v>
      </c>
    </row>
    <row r="167" spans="1:4" x14ac:dyDescent="0.25">
      <c r="A167">
        <v>5316483</v>
      </c>
      <c r="B167" t="s">
        <v>121</v>
      </c>
      <c r="C167" t="s">
        <v>258</v>
      </c>
      <c r="D167">
        <v>10010</v>
      </c>
    </row>
    <row r="168" spans="1:4" x14ac:dyDescent="0.25">
      <c r="A168">
        <v>5316484</v>
      </c>
      <c r="B168" t="s">
        <v>122</v>
      </c>
      <c r="C168" t="s">
        <v>258</v>
      </c>
      <c r="D168">
        <v>10010</v>
      </c>
    </row>
    <row r="169" spans="1:4" x14ac:dyDescent="0.25">
      <c r="A169">
        <v>5316507</v>
      </c>
      <c r="B169" t="s">
        <v>133</v>
      </c>
      <c r="C169" t="s">
        <v>258</v>
      </c>
      <c r="D169">
        <v>10010</v>
      </c>
    </row>
    <row r="170" spans="1:4" x14ac:dyDescent="0.25">
      <c r="A170">
        <v>5316508</v>
      </c>
      <c r="B170" t="s">
        <v>134</v>
      </c>
      <c r="C170" t="s">
        <v>258</v>
      </c>
      <c r="D170">
        <v>10010</v>
      </c>
    </row>
    <row r="171" spans="1:4" x14ac:dyDescent="0.25">
      <c r="A171">
        <v>5316509</v>
      </c>
      <c r="B171" t="s">
        <v>135</v>
      </c>
      <c r="C171" t="s">
        <v>258</v>
      </c>
      <c r="D171">
        <v>10010</v>
      </c>
    </row>
    <row r="172" spans="1:4" x14ac:dyDescent="0.25">
      <c r="A172" t="s">
        <v>75</v>
      </c>
      <c r="B172" t="s">
        <v>76</v>
      </c>
      <c r="C172" t="s">
        <v>259</v>
      </c>
      <c r="D172">
        <v>10010</v>
      </c>
    </row>
    <row r="173" spans="1:4" x14ac:dyDescent="0.25">
      <c r="A173" t="s">
        <v>77</v>
      </c>
      <c r="B173" t="s">
        <v>78</v>
      </c>
      <c r="C173" t="s">
        <v>266</v>
      </c>
      <c r="D173">
        <v>10010</v>
      </c>
    </row>
    <row r="174" spans="1:4" x14ac:dyDescent="0.25">
      <c r="A174" t="s">
        <v>21</v>
      </c>
      <c r="B174" t="s">
        <v>22</v>
      </c>
      <c r="C174" t="s">
        <v>266</v>
      </c>
      <c r="D174">
        <v>10010</v>
      </c>
    </row>
    <row r="175" spans="1:4" x14ac:dyDescent="0.25">
      <c r="A175" t="s">
        <v>79</v>
      </c>
      <c r="B175" t="s">
        <v>80</v>
      </c>
      <c r="C175" t="s">
        <v>266</v>
      </c>
      <c r="D175">
        <v>10010</v>
      </c>
    </row>
    <row r="176" spans="1:4" x14ac:dyDescent="0.25">
      <c r="A176" t="s">
        <v>23</v>
      </c>
      <c r="B176" t="s">
        <v>24</v>
      </c>
      <c r="C176" t="s">
        <v>266</v>
      </c>
      <c r="D176">
        <v>10010</v>
      </c>
    </row>
    <row r="177" spans="1:4" x14ac:dyDescent="0.25">
      <c r="A177" t="s">
        <v>288</v>
      </c>
      <c r="B177" t="s">
        <v>289</v>
      </c>
      <c r="C177" t="s">
        <v>272</v>
      </c>
      <c r="D177">
        <v>10010</v>
      </c>
    </row>
    <row r="178" spans="1:4" x14ac:dyDescent="0.25">
      <c r="A178" t="s">
        <v>57</v>
      </c>
      <c r="B178" t="s">
        <v>58</v>
      </c>
      <c r="C178" t="s">
        <v>284</v>
      </c>
      <c r="D178">
        <v>10010</v>
      </c>
    </row>
    <row r="179" spans="1:4" x14ac:dyDescent="0.25">
      <c r="A179" t="s">
        <v>59</v>
      </c>
      <c r="B179" t="s">
        <v>60</v>
      </c>
      <c r="C179" t="s">
        <v>273</v>
      </c>
      <c r="D179">
        <v>10010</v>
      </c>
    </row>
    <row r="180" spans="1:4" x14ac:dyDescent="0.25">
      <c r="A180" t="s">
        <v>240</v>
      </c>
      <c r="B180" t="s">
        <v>241</v>
      </c>
      <c r="C180" t="s">
        <v>258</v>
      </c>
      <c r="D180">
        <v>10010</v>
      </c>
    </row>
    <row r="181" spans="1:4" x14ac:dyDescent="0.25">
      <c r="A181" t="s">
        <v>61</v>
      </c>
      <c r="B181" t="e">
        <v>#N/A</v>
      </c>
      <c r="C181" t="s">
        <v>272</v>
      </c>
      <c r="D181">
        <v>10010</v>
      </c>
    </row>
    <row r="182" spans="1:4" x14ac:dyDescent="0.25">
      <c r="A182" t="s">
        <v>290</v>
      </c>
      <c r="B182" t="e">
        <v>#N/A</v>
      </c>
      <c r="C182" t="s">
        <v>270</v>
      </c>
      <c r="D182">
        <v>10010</v>
      </c>
    </row>
    <row r="183" spans="1:4" x14ac:dyDescent="0.25">
      <c r="A183" t="s">
        <v>220</v>
      </c>
      <c r="B183" t="e">
        <v>#N/A</v>
      </c>
      <c r="C183" t="s">
        <v>258</v>
      </c>
      <c r="D183">
        <v>10010</v>
      </c>
    </row>
    <row r="184" spans="1:4" x14ac:dyDescent="0.25">
      <c r="A184" t="s">
        <v>222</v>
      </c>
      <c r="B184" t="e">
        <v>#N/A</v>
      </c>
      <c r="C184" t="s">
        <v>258</v>
      </c>
      <c r="D184">
        <v>10010</v>
      </c>
    </row>
    <row r="185" spans="1:4" x14ac:dyDescent="0.25">
      <c r="A185" t="s">
        <v>224</v>
      </c>
      <c r="B185" t="e">
        <v>#N/A</v>
      </c>
      <c r="C185" t="s">
        <v>258</v>
      </c>
      <c r="D185">
        <v>10010</v>
      </c>
    </row>
    <row r="186" spans="1:4" x14ac:dyDescent="0.25">
      <c r="A186" t="s">
        <v>206</v>
      </c>
      <c r="B186" t="s">
        <v>207</v>
      </c>
      <c r="C186" t="s">
        <v>263</v>
      </c>
      <c r="D186">
        <v>10010</v>
      </c>
    </row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2026-06-17T18:59:35Z</dcterms:created>
  <dcterms:modified xsi:type="dcterms:W3CDTF">2026-06-20T01:58:26Z</dcterms:modified>
</cp:coreProperties>
</file>