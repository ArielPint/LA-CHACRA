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ecnofastsa-my.sharepoint.com/personal/apinto_tecnopanel_cl/Documents/"/>
    </mc:Choice>
  </mc:AlternateContent>
  <xr:revisionPtr revIDLastSave="618" documentId="8_{C99A5D9F-8668-4781-897B-E63D556314A2}" xr6:coauthVersionLast="47" xr6:coauthVersionMax="47" xr10:uidLastSave="{6D54F2F5-7A4B-4B5A-9A62-D7264D343A4F}"/>
  <bookViews>
    <workbookView xWindow="14295" yWindow="0" windowWidth="14610" windowHeight="17385" firstSheet="1" activeTab="1" xr2:uid="{93FECE06-38ED-44E5-9DFE-1A3DE9FBC240}"/>
  </bookViews>
  <sheets>
    <sheet name="UB.AFUERA CARPA CHICA" sheetId="9" state="hidden" r:id="rId1"/>
    <sheet name="UBICACIONES" sheetId="7" r:id="rId2"/>
    <sheet name="BASE" sheetId="11" r:id="rId3"/>
    <sheet name="UB.DESPACHO CARPA CHICA" sheetId="8" state="hidden" r:id="rId4"/>
    <sheet name="UB.DESPACHO LADO SUR" sheetId="3" state="hidden" r:id="rId5"/>
    <sheet name="UB. LINEA" sheetId="10"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U64" i="7" l="1"/>
  <c r="AU63" i="7"/>
  <c r="Q118" i="7"/>
  <c r="AE161" i="7"/>
  <c r="AC161" i="7"/>
  <c r="AA161" i="7"/>
  <c r="AE160" i="7"/>
  <c r="AC160" i="7"/>
  <c r="AA160" i="7"/>
  <c r="AU15" i="7"/>
  <c r="AU14" i="7"/>
  <c r="AO15" i="7"/>
  <c r="AO14" i="7"/>
  <c r="AI15" i="7"/>
  <c r="AI14" i="7"/>
  <c r="AC15" i="7"/>
  <c r="AC14" i="7"/>
  <c r="AO68" i="7"/>
  <c r="AO67" i="7"/>
  <c r="AE49" i="7" l="1"/>
  <c r="AE50" i="7"/>
  <c r="AE44" i="7"/>
  <c r="AE45" i="7"/>
  <c r="AO44" i="7"/>
  <c r="AO45" i="7"/>
  <c r="AO49" i="7"/>
  <c r="AO50" i="7"/>
  <c r="AO53" i="7"/>
  <c r="AO54" i="7"/>
  <c r="AE53" i="7"/>
  <c r="AE54" i="7"/>
  <c r="AO58" i="7"/>
  <c r="AO59" i="7"/>
  <c r="AE58" i="7"/>
  <c r="AE59" i="7"/>
  <c r="AE62" i="7"/>
  <c r="AE63" i="7"/>
  <c r="AO62" i="7"/>
  <c r="AO63" i="7"/>
  <c r="AE67" i="7"/>
  <c r="AE68" i="7"/>
  <c r="AE71" i="7"/>
  <c r="AE72" i="7"/>
  <c r="AO71" i="7"/>
  <c r="AO72" i="7"/>
  <c r="AE76" i="7"/>
  <c r="AE77" i="7"/>
  <c r="AO76" i="7"/>
  <c r="AO77" i="7"/>
  <c r="BC69" i="7"/>
  <c r="BC70" i="7"/>
  <c r="BC56" i="7"/>
  <c r="BC57" i="7"/>
  <c r="BG69" i="7"/>
  <c r="BG70" i="7"/>
  <c r="Q147" i="7"/>
  <c r="Q148" i="7"/>
  <c r="Q142" i="7"/>
  <c r="Q143" i="7"/>
  <c r="Q137" i="7"/>
  <c r="Q138" i="7"/>
  <c r="Q132" i="7"/>
  <c r="Q133" i="7"/>
  <c r="Q127" i="7"/>
  <c r="Q128" i="7"/>
  <c r="Q122" i="7"/>
  <c r="Q123" i="7"/>
  <c r="Q117" i="7"/>
  <c r="Q112" i="7"/>
  <c r="Q113" i="7"/>
  <c r="Q107" i="7"/>
  <c r="Q108" i="7"/>
  <c r="BC22" i="7"/>
  <c r="BC23" i="7"/>
  <c r="BC17" i="7"/>
  <c r="BC18" i="7"/>
  <c r="BG17" i="7"/>
  <c r="BG18" i="7"/>
  <c r="BG22" i="7"/>
  <c r="BG23" i="7"/>
  <c r="BO22" i="7"/>
  <c r="BO23" i="7"/>
  <c r="BO17" i="7"/>
  <c r="BO18" i="7"/>
  <c r="BK22" i="7"/>
  <c r="BK23" i="7"/>
  <c r="BK17" i="7"/>
  <c r="BK18" i="7"/>
  <c r="BA13" i="7"/>
  <c r="BA14" i="7"/>
  <c r="BC13" i="7"/>
  <c r="BC14" i="7"/>
  <c r="BE13" i="7"/>
  <c r="BE14" i="7"/>
  <c r="BG13" i="7"/>
  <c r="BG14" i="7"/>
  <c r="BI13" i="7"/>
  <c r="BI14" i="7"/>
  <c r="BK13" i="7"/>
  <c r="BK14" i="7"/>
  <c r="BM13" i="7"/>
  <c r="BM14" i="7"/>
  <c r="BO13" i="7"/>
  <c r="BO14" i="7"/>
  <c r="BQ22" i="7"/>
  <c r="BQ23" i="7"/>
  <c r="BQ13" i="7"/>
  <c r="BQ14" i="7"/>
  <c r="BS13" i="7"/>
  <c r="BS14" i="7"/>
  <c r="AE151" i="7"/>
  <c r="AE152" i="7"/>
  <c r="AE141" i="7"/>
  <c r="AE142" i="7"/>
  <c r="S152" i="7"/>
  <c r="S153" i="7"/>
  <c r="S142" i="7"/>
  <c r="S143" i="7"/>
  <c r="S132" i="7"/>
  <c r="S133" i="7"/>
  <c r="S122" i="7"/>
  <c r="S123" i="7"/>
  <c r="S112" i="7"/>
  <c r="S113" i="7"/>
  <c r="AC151" i="7"/>
  <c r="AC152" i="7"/>
  <c r="AA151" i="7"/>
  <c r="AA152" i="7"/>
  <c r="AC141" i="7"/>
  <c r="AC142" i="7"/>
  <c r="AA141" i="7"/>
  <c r="AA142" i="7"/>
  <c r="AE131" i="7"/>
  <c r="AE132" i="7"/>
  <c r="AC131" i="7"/>
  <c r="AC132" i="7"/>
  <c r="AA131" i="7"/>
  <c r="AA132" i="7"/>
  <c r="AE121" i="7"/>
  <c r="AE122" i="7"/>
  <c r="AC121" i="7"/>
  <c r="AC122" i="7"/>
  <c r="AA121" i="7"/>
  <c r="AA122" i="7"/>
  <c r="AE112" i="7"/>
  <c r="AE113" i="7"/>
  <c r="AC112" i="7"/>
  <c r="AC113" i="7"/>
  <c r="AA112" i="7"/>
  <c r="AA113" i="7"/>
  <c r="AA49" i="7"/>
  <c r="AA50" i="7"/>
  <c r="AA58" i="7"/>
  <c r="AA59" i="7"/>
  <c r="AA67" i="7"/>
  <c r="AA68" i="7"/>
  <c r="AA76" i="7"/>
  <c r="AA77" i="7"/>
  <c r="AG76" i="7"/>
  <c r="AG77" i="7"/>
  <c r="AG67" i="7"/>
  <c r="AG68" i="7"/>
  <c r="AG58" i="7"/>
  <c r="AG59" i="7"/>
  <c r="AG49" i="7"/>
  <c r="AG50" i="7"/>
  <c r="AQ49" i="7"/>
  <c r="AQ50" i="7"/>
  <c r="AK49" i="7"/>
  <c r="AK50" i="7"/>
  <c r="AK58" i="7"/>
  <c r="AK59" i="7"/>
  <c r="AQ58" i="7"/>
  <c r="AQ59" i="7"/>
  <c r="AQ67" i="7"/>
  <c r="AQ68" i="7"/>
  <c r="AK67" i="7"/>
  <c r="AK68" i="7"/>
  <c r="AK76" i="7"/>
  <c r="AK77" i="7"/>
  <c r="AQ76" i="7"/>
  <c r="AQ77" i="7"/>
  <c r="BA65" i="7"/>
  <c r="BA66" i="7"/>
  <c r="BC65" i="7"/>
  <c r="BC66" i="7"/>
  <c r="BE65" i="7"/>
  <c r="BE66" i="7"/>
  <c r="BG65" i="7"/>
  <c r="BG66" i="7"/>
  <c r="BI65" i="7"/>
  <c r="BI66" i="7"/>
  <c r="BS65" i="7"/>
  <c r="BS66" i="7"/>
  <c r="BQ65" i="7"/>
  <c r="BQ66" i="7"/>
  <c r="BO65" i="7"/>
  <c r="BO66" i="7"/>
  <c r="BM65" i="7"/>
  <c r="BM66" i="7"/>
  <c r="BK66" i="7"/>
  <c r="BK65" i="7"/>
  <c r="BS70" i="7"/>
  <c r="BS69" i="7"/>
  <c r="BO70" i="7"/>
  <c r="BO69" i="7"/>
  <c r="BK70" i="7"/>
  <c r="BK69" i="7"/>
  <c r="BK57" i="7"/>
  <c r="BK56" i="7"/>
  <c r="BO57" i="7"/>
  <c r="BO56" i="7"/>
  <c r="BS57" i="7"/>
  <c r="BS56" i="7"/>
  <c r="BG57" i="7"/>
  <c r="BG56" i="7"/>
</calcChain>
</file>

<file path=xl/sharedStrings.xml><?xml version="1.0" encoding="utf-8"?>
<sst xmlns="http://schemas.openxmlformats.org/spreadsheetml/2006/main" count="2858" uniqueCount="787">
  <si>
    <t>PONIENTE</t>
  </si>
  <si>
    <t>SUR</t>
  </si>
  <si>
    <t>NORTE</t>
  </si>
  <si>
    <t>ORIENTE</t>
  </si>
  <si>
    <t>29
DORM</t>
  </si>
  <si>
    <t>14
B-C</t>
  </si>
  <si>
    <t>21
DORM</t>
  </si>
  <si>
    <t>16
DORM</t>
  </si>
  <si>
    <t>32
DORM</t>
  </si>
  <si>
    <t>15
B-C</t>
  </si>
  <si>
    <t>24
DORM</t>
  </si>
  <si>
    <t>08
DORM</t>
  </si>
  <si>
    <t>62
DORM</t>
  </si>
  <si>
    <t>39
B-C</t>
  </si>
  <si>
    <t>34
B-C</t>
  </si>
  <si>
    <t>49
DORM</t>
  </si>
  <si>
    <t>47
B-C</t>
  </si>
  <si>
    <t>43
B-C</t>
  </si>
  <si>
    <t>38
B-C</t>
  </si>
  <si>
    <t>36
DORM</t>
  </si>
  <si>
    <t>35
B-C</t>
  </si>
  <si>
    <t>40
DORM</t>
  </si>
  <si>
    <t>28
B-C</t>
  </si>
  <si>
    <t>05
DORM</t>
  </si>
  <si>
    <t>06
B-C</t>
  </si>
  <si>
    <t>20
DORM</t>
  </si>
  <si>
    <t>27
DORM</t>
  </si>
  <si>
    <t>19
B-C</t>
  </si>
  <si>
    <t>11
B-C</t>
  </si>
  <si>
    <t>12
DORM</t>
  </si>
  <si>
    <t>04
DORM</t>
  </si>
  <si>
    <t>13
DORM</t>
  </si>
  <si>
    <t>86
B-C</t>
  </si>
  <si>
    <t>84
DORM</t>
  </si>
  <si>
    <t>81
DORM</t>
  </si>
  <si>
    <t>77
DORM</t>
  </si>
  <si>
    <t>80
DORM</t>
  </si>
  <si>
    <t>79
B-C</t>
  </si>
  <si>
    <t>90
B-C</t>
  </si>
  <si>
    <t>85
DORM</t>
  </si>
  <si>
    <t>82
B-C</t>
  </si>
  <si>
    <t>76
DORM</t>
  </si>
  <si>
    <t>73
DORM</t>
  </si>
  <si>
    <t>75
B-C</t>
  </si>
  <si>
    <t>83
B-C</t>
  </si>
  <si>
    <t>87
B-C</t>
  </si>
  <si>
    <t>88
B-C</t>
  </si>
  <si>
    <t>74
B-C</t>
  </si>
  <si>
    <t>CARPA 1</t>
  </si>
  <si>
    <t>L3</t>
  </si>
  <si>
    <t>L2</t>
  </si>
  <si>
    <t>L1</t>
  </si>
  <si>
    <t>TORRE</t>
  </si>
  <si>
    <t>N° MÓDULO</t>
  </si>
  <si>
    <t>N° SERIE</t>
  </si>
  <si>
    <t>TIPO</t>
  </si>
  <si>
    <t>% AVANCE</t>
  </si>
  <si>
    <t>TORRE 01</t>
  </si>
  <si>
    <t>TORRE 02</t>
  </si>
  <si>
    <t>TORRE 03</t>
  </si>
  <si>
    <t>TORRE 04</t>
  </si>
  <si>
    <t>TORRE 05</t>
  </si>
  <si>
    <t>TORRE 06</t>
  </si>
  <si>
    <t>TORRE 07</t>
  </si>
  <si>
    <t>TORRE 08</t>
  </si>
  <si>
    <t>TORRE 09</t>
  </si>
  <si>
    <t>TORRE 10</t>
  </si>
  <si>
    <t>TORRE 11</t>
  </si>
  <si>
    <t>TORRE 12</t>
  </si>
  <si>
    <t>TORRE 13</t>
  </si>
  <si>
    <t>TORRE 14</t>
  </si>
  <si>
    <t>TORRE 15</t>
  </si>
  <si>
    <t>TORRE 16</t>
  </si>
  <si>
    <t>TORRE 17</t>
  </si>
  <si>
    <t>TORRE 18</t>
  </si>
  <si>
    <t>TORRE 19</t>
  </si>
  <si>
    <t>TORRE 20</t>
  </si>
  <si>
    <t>TORRE 21</t>
  </si>
  <si>
    <t>TORRE 22</t>
  </si>
  <si>
    <t>M-00001</t>
  </si>
  <si>
    <t>SECO</t>
  </si>
  <si>
    <t>M-00002</t>
  </si>
  <si>
    <t>HUMEDO</t>
  </si>
  <si>
    <t>M-00003</t>
  </si>
  <si>
    <t>M-00004</t>
  </si>
  <si>
    <t>M-00005</t>
  </si>
  <si>
    <t>M-00006</t>
  </si>
  <si>
    <t>M-00007</t>
  </si>
  <si>
    <t>M-00008</t>
  </si>
  <si>
    <t>M-00009</t>
  </si>
  <si>
    <t>M-00010</t>
  </si>
  <si>
    <t>M-00011</t>
  </si>
  <si>
    <t>M-00012</t>
  </si>
  <si>
    <t>M-00013</t>
  </si>
  <si>
    <t>M-00014</t>
  </si>
  <si>
    <t>M-00015</t>
  </si>
  <si>
    <t>M-00016</t>
  </si>
  <si>
    <t>M-00017</t>
  </si>
  <si>
    <t>M-00018</t>
  </si>
  <si>
    <t>M-00019</t>
  </si>
  <si>
    <t>M-00020</t>
  </si>
  <si>
    <t>M-00021</t>
  </si>
  <si>
    <t>M-00022</t>
  </si>
  <si>
    <t>M-00023</t>
  </si>
  <si>
    <t>M-00024</t>
  </si>
  <si>
    <t>M-00025</t>
  </si>
  <si>
    <t>M-00026</t>
  </si>
  <si>
    <t>M-00027</t>
  </si>
  <si>
    <t>M-00028</t>
  </si>
  <si>
    <t>M-00029</t>
  </si>
  <si>
    <t>M-00030</t>
  </si>
  <si>
    <t>M-00031</t>
  </si>
  <si>
    <t>M-00032</t>
  </si>
  <si>
    <t>M-00033</t>
  </si>
  <si>
    <t>M-00034</t>
  </si>
  <si>
    <t>M-00035</t>
  </si>
  <si>
    <t>M-00036</t>
  </si>
  <si>
    <t>M-00037</t>
  </si>
  <si>
    <t>M-00038</t>
  </si>
  <si>
    <t>M-00039</t>
  </si>
  <si>
    <t>M-00040</t>
  </si>
  <si>
    <t>M-00041</t>
  </si>
  <si>
    <t>M-00042</t>
  </si>
  <si>
    <t>M-00043</t>
  </si>
  <si>
    <t>M-00044</t>
  </si>
  <si>
    <t>M-00045</t>
  </si>
  <si>
    <t>M-00046</t>
  </si>
  <si>
    <t>M-00047</t>
  </si>
  <si>
    <t>M-00048</t>
  </si>
  <si>
    <t>M-00049</t>
  </si>
  <si>
    <t>M-00050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</si>
  <si>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</si>
  <si>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</si>
  <si>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</si>
  <si>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</si>
  <si>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</si>
  <si>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</si>
  <si>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</si>
  <si>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</si>
  <si>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</si>
  <si>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</si>
  <si>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</si>
  <si>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</si>
  <si>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</si>
  <si>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</si>
  <si>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</si>
  <si>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</si>
  <si>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</si>
  <si>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</si>
  <si>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</si>
  <si>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</si>
  <si>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</si>
  <si>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</si>
  <si>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</si>
  <si>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</si>
  <si>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</si>
  <si>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</si>
  <si>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</si>
  <si>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</si>
  <si>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</si>
  <si>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</si>
  <si>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</si>
  <si>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</si>
  <si>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</si>
  <si>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</si>
  <si>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</si>
  <si>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</si>
  <si>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</si>
  <si>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</si>
  <si>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</si>
  <si>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</si>
  <si>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</si>
  <si>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</si>
  <si>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</si>
  <si>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</si>
  <si>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</si>
  <si>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</si>
  <si>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</si>
  <si>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</si>
  <si>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</si>
  <si>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</si>
  <si>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</si>
  <si>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</si>
  <si>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</si>
  <si>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</si>
  <si>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</si>
  <si>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</si>
  <si>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</si>
  <si>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</si>
  <si>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</si>
  <si>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</si>
  <si>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</si>
  <si>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</si>
  <si>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</si>
  <si>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</si>
  <si>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</si>
  <si>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</si>
  <si>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</si>
  <si>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</si>
  <si>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</si>
  <si>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</si>
  <si>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</si>
  <si>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</si>
  <si>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</si>
  <si>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</si>
  <si>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</si>
  <si>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</si>
  <si>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</si>
  <si>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</si>
  <si>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</si>
  <si>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</si>
  <si>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</si>
  <si>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</si>
  <si>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</si>
  <si>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</si>
  <si>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</si>
  <si>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</si>
  <si>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</si>
  <si>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</si>
  <si>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</si>
  <si>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</si>
  <si>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</si>
  <si>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</si>
  <si>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</si>
  <si>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</si>
  <si>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</si>
  <si>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</si>
  <si>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</si>
  <si>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</si>
  <si>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</si>
  <si>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</si>
  <si>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</si>
  <si>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</si>
  <si>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</si>
  <si>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</si>
  <si>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</si>
  <si>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</si>
  <si>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</si>
  <si>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</si>
  <si>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</si>
  <si>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</si>
  <si>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</si>
  <si>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</si>
  <si>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</si>
  <si>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</si>
  <si>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</si>
  <si>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</si>
  <si>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</si>
  <si>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</si>
  <si>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</si>
  <si>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</si>
  <si>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</si>
  <si>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</si>
  <si>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</si>
  <si>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</si>
  <si>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</si>
  <si>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</si>
  <si>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</si>
  <si>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</si>
  <si>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</si>
  <si>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</si>
  <si>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</si>
  <si>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</si>
  <si>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</si>
  <si>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</si>
  <si>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</si>
  <si>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</si>
  <si>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</si>
  <si>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</si>
  <si>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</si>
  <si>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</si>
  <si>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</si>
  <si>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</si>
  <si>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</si>
  <si>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</si>
  <si>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</si>
  <si>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</si>
  <si>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</si>
  <si>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</si>
  <si>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</si>
  <si>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</si>
  <si>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</si>
  <si>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M-00202</t>
  </si>
  <si>
    <t>M-00203</t>
  </si>
  <si>
    <t>M-00204</t>
  </si>
  <si>
    <t>M-00205</t>
  </si>
  <si>
    <t>M-00206</t>
  </si>
  <si>
    <t>M-00207</t>
  </si>
  <si>
    <t>M-00208</t>
  </si>
  <si>
    <t>M-00209</t>
  </si>
  <si>
    <t>M-00210</t>
  </si>
  <si>
    <t>M-00211</t>
  </si>
  <si>
    <t>M-00212</t>
  </si>
  <si>
    <t>M-00213</t>
  </si>
  <si>
    <t>M-00214</t>
  </si>
  <si>
    <t>M-00215</t>
  </si>
  <si>
    <t>M-00216</t>
  </si>
  <si>
    <t>M-00217</t>
  </si>
  <si>
    <t>M-00218</t>
  </si>
  <si>
    <t>M-00219</t>
  </si>
  <si>
    <t>M-00220</t>
  </si>
  <si>
    <t>M-00221</t>
  </si>
  <si>
    <t>M-00222</t>
  </si>
  <si>
    <t>M-00223</t>
  </si>
  <si>
    <t>M-00224</t>
  </si>
  <si>
    <t>M-00225</t>
  </si>
  <si>
    <t>M-00226</t>
  </si>
  <si>
    <t>M-00227</t>
  </si>
  <si>
    <t>M-00228</t>
  </si>
  <si>
    <t>M-00229</t>
  </si>
  <si>
    <t>M-00230</t>
  </si>
  <si>
    <t>M-00231</t>
  </si>
  <si>
    <t>M-00232</t>
  </si>
  <si>
    <t>M-00233</t>
  </si>
  <si>
    <t>M-00234</t>
  </si>
  <si>
    <t>M-00235</t>
  </si>
  <si>
    <t>M-00236</t>
  </si>
  <si>
    <t>M-00237</t>
  </si>
  <si>
    <t>M-00238</t>
  </si>
  <si>
    <t>M-00239</t>
  </si>
  <si>
    <t>M-00240</t>
  </si>
  <si>
    <t>M-00241</t>
  </si>
  <si>
    <t>M-00242</t>
  </si>
  <si>
    <t>M-00243</t>
  </si>
  <si>
    <t>M-00244</t>
  </si>
  <si>
    <t>M-00245</t>
  </si>
  <si>
    <t>M-00246</t>
  </si>
  <si>
    <t>M-00247</t>
  </si>
  <si>
    <t>M-00248</t>
  </si>
  <si>
    <t>M-00249</t>
  </si>
  <si>
    <t>M-00250</t>
  </si>
  <si>
    <t>M-00251</t>
  </si>
  <si>
    <t>M-00252</t>
  </si>
  <si>
    <t>M-00253</t>
  </si>
  <si>
    <t>M-00254</t>
  </si>
  <si>
    <t>M-00255</t>
  </si>
  <si>
    <t>M-00256</t>
  </si>
  <si>
    <t>M-00257</t>
  </si>
  <si>
    <t>M-00258</t>
  </si>
  <si>
    <t>M-00259</t>
  </si>
  <si>
    <t>M-00260</t>
  </si>
  <si>
    <t>M-00261</t>
  </si>
  <si>
    <t>M-00262</t>
  </si>
  <si>
    <t>M-00263</t>
  </si>
  <si>
    <t>M-00264</t>
  </si>
  <si>
    <t>M-00265</t>
  </si>
  <si>
    <t>M-00266</t>
  </si>
  <si>
    <t>M-00267</t>
  </si>
  <si>
    <t>M-00268</t>
  </si>
  <si>
    <t>M-00269</t>
  </si>
  <si>
    <t>M-00270</t>
  </si>
  <si>
    <t>M-00271</t>
  </si>
  <si>
    <t>M-00272</t>
  </si>
  <si>
    <t>M-00273</t>
  </si>
  <si>
    <t>M-00274</t>
  </si>
  <si>
    <t>M-00275</t>
  </si>
  <si>
    <t>M-00276</t>
  </si>
  <si>
    <t>M-00277</t>
  </si>
  <si>
    <t>M-00278</t>
  </si>
  <si>
    <t>M-00279</t>
  </si>
  <si>
    <t>M-00280</t>
  </si>
  <si>
    <t>M-00281</t>
  </si>
  <si>
    <t>M-00282</t>
  </si>
  <si>
    <t>M-00283</t>
  </si>
  <si>
    <t>M-00284</t>
  </si>
  <si>
    <t>M-00285</t>
  </si>
  <si>
    <t>M-00286</t>
  </si>
  <si>
    <t>M-00287</t>
  </si>
  <si>
    <t>M-00288</t>
  </si>
  <si>
    <t>M-00289</t>
  </si>
  <si>
    <t>M-00290</t>
  </si>
  <si>
    <t>M-00291</t>
  </si>
  <si>
    <t>M-00292</t>
  </si>
  <si>
    <t>M-00293</t>
  </si>
  <si>
    <t>M-00294</t>
  </si>
  <si>
    <t>M-00295</t>
  </si>
  <si>
    <t>M-00296</t>
  </si>
  <si>
    <t>M-00297</t>
  </si>
  <si>
    <t>M-00298</t>
  </si>
  <si>
    <t>M-00299</t>
  </si>
  <si>
    <t>M-00300</t>
  </si>
  <si>
    <t>M-00301</t>
  </si>
  <si>
    <t>M-00302</t>
  </si>
  <si>
    <t>M-00303</t>
  </si>
  <si>
    <t>M-00304</t>
  </si>
  <si>
    <t>M-00305</t>
  </si>
  <si>
    <t>M-00306</t>
  </si>
  <si>
    <t>M-00307</t>
  </si>
  <si>
    <t>M-00308</t>
  </si>
  <si>
    <t>M-00309</t>
  </si>
  <si>
    <t>M-00310</t>
  </si>
  <si>
    <t>M-00311</t>
  </si>
  <si>
    <t>M-00312</t>
  </si>
  <si>
    <t>M-00313</t>
  </si>
  <si>
    <t>M-00314</t>
  </si>
  <si>
    <t>M-00315</t>
  </si>
  <si>
    <t>M-00316</t>
  </si>
  <si>
    <t>M-00317</t>
  </si>
  <si>
    <t>M-00318</t>
  </si>
  <si>
    <t>M-00319</t>
  </si>
  <si>
    <t>M-00320</t>
  </si>
  <si>
    <t>M-00321</t>
  </si>
  <si>
    <t>M-00322</t>
  </si>
  <si>
    <t>M-00323</t>
  </si>
  <si>
    <t>M-00324</t>
  </si>
  <si>
    <t>M-00325</t>
  </si>
  <si>
    <t>M-00326</t>
  </si>
  <si>
    <t>M-00327</t>
  </si>
  <si>
    <t>M-00328</t>
  </si>
  <si>
    <t>M-00329</t>
  </si>
  <si>
    <t>M-00330</t>
  </si>
  <si>
    <t>M-00331</t>
  </si>
  <si>
    <t>M-00332</t>
  </si>
  <si>
    <t>M-00333</t>
  </si>
  <si>
    <t>M-00334</t>
  </si>
  <si>
    <t>M-00335</t>
  </si>
  <si>
    <t>M-00336</t>
  </si>
  <si>
    <t>M-00337</t>
  </si>
  <si>
    <t>M-00338</t>
  </si>
  <si>
    <t>M-00339</t>
  </si>
  <si>
    <t>M-00340</t>
  </si>
  <si>
    <t>M-00341</t>
  </si>
  <si>
    <t>M-00342</t>
  </si>
  <si>
    <t>M-00343</t>
  </si>
  <si>
    <t>M-00344</t>
  </si>
  <si>
    <t>M-00345</t>
  </si>
  <si>
    <t>M-00346</t>
  </si>
  <si>
    <t>M-00347</t>
  </si>
  <si>
    <t>M-00348</t>
  </si>
  <si>
    <t>M-00349</t>
  </si>
  <si>
    <t>M-00350</t>
  </si>
  <si>
    <t>M-00351</t>
  </si>
  <si>
    <t>M-00352</t>
  </si>
  <si>
    <t>M-00353</t>
  </si>
  <si>
    <t>M-00354</t>
  </si>
  <si>
    <t>M-00355</t>
  </si>
  <si>
    <t>M-00356</t>
  </si>
  <si>
    <t>M-00357</t>
  </si>
  <si>
    <t>M-00358</t>
  </si>
  <si>
    <t>M-00359</t>
  </si>
  <si>
    <t>M-00360</t>
  </si>
  <si>
    <t>M-00361</t>
  </si>
  <si>
    <t>M-00362</t>
  </si>
  <si>
    <t>M-00363</t>
  </si>
  <si>
    <t>M-00364</t>
  </si>
  <si>
    <t>M-00365</t>
  </si>
  <si>
    <t>M-00366</t>
  </si>
  <si>
    <t>M-00367</t>
  </si>
  <si>
    <t>M-00368</t>
  </si>
  <si>
    <t>M-00369</t>
  </si>
  <si>
    <t>M-00370</t>
  </si>
  <si>
    <t>M-00371</t>
  </si>
  <si>
    <t>M-00372</t>
  </si>
  <si>
    <t>M-00373</t>
  </si>
  <si>
    <t>M-00374</t>
  </si>
  <si>
    <t>M-00375</t>
  </si>
  <si>
    <t>M-00376</t>
  </si>
  <si>
    <t>M-00377</t>
  </si>
  <si>
    <t>M-00378</t>
  </si>
  <si>
    <t>M-00379</t>
  </si>
  <si>
    <t>M-00380</t>
  </si>
  <si>
    <t>M-00381</t>
  </si>
  <si>
    <t>M-00382</t>
  </si>
  <si>
    <t>M-00383</t>
  </si>
  <si>
    <t>M-00384</t>
  </si>
  <si>
    <t>M-00385</t>
  </si>
  <si>
    <t>M-00386</t>
  </si>
  <si>
    <t>M-00387</t>
  </si>
  <si>
    <t>M-00388</t>
  </si>
  <si>
    <t>M-00389</t>
  </si>
  <si>
    <t>M-00390</t>
  </si>
  <si>
    <t>M-00391</t>
  </si>
  <si>
    <t>M-00392</t>
  </si>
  <si>
    <t>M-00393</t>
  </si>
  <si>
    <t>M-00394</t>
  </si>
  <si>
    <t>M-00395</t>
  </si>
  <si>
    <t>M-00396</t>
  </si>
  <si>
    <t>M-00397</t>
  </si>
  <si>
    <t>M-00398</t>
  </si>
  <si>
    <t>M-00399</t>
  </si>
  <si>
    <t>M-00400</t>
  </si>
  <si>
    <t>M-00401</t>
  </si>
  <si>
    <t>M-00402</t>
  </si>
  <si>
    <t>M-00403</t>
  </si>
  <si>
    <t>M-00404</t>
  </si>
  <si>
    <t>M-00405</t>
  </si>
  <si>
    <t>M-00406</t>
  </si>
  <si>
    <t>M-00407</t>
  </si>
  <si>
    <t>M-00408</t>
  </si>
  <si>
    <t>M-00409</t>
  </si>
  <si>
    <t>M-00410</t>
  </si>
  <si>
    <t>M-00411</t>
  </si>
  <si>
    <t>M-00412</t>
  </si>
  <si>
    <t>M-00413</t>
  </si>
  <si>
    <t>M-00414</t>
  </si>
  <si>
    <t>M-00415</t>
  </si>
  <si>
    <t>M-00416</t>
  </si>
  <si>
    <t>M-00417</t>
  </si>
  <si>
    <t>M-00418</t>
  </si>
  <si>
    <t>M-00419</t>
  </si>
  <si>
    <t>M-00420</t>
  </si>
  <si>
    <t>M-00421</t>
  </si>
  <si>
    <t>M-00422</t>
  </si>
  <si>
    <t>M-00423</t>
  </si>
  <si>
    <t>M-00424</t>
  </si>
  <si>
    <t>M-00425</t>
  </si>
  <si>
    <t>M-00426</t>
  </si>
  <si>
    <t>M-00427</t>
  </si>
  <si>
    <t>M-00428</t>
  </si>
  <si>
    <t>M-00429</t>
  </si>
  <si>
    <t>M-00430</t>
  </si>
  <si>
    <t>M-00431</t>
  </si>
  <si>
    <t>M-00432</t>
  </si>
  <si>
    <t>M-00433</t>
  </si>
  <si>
    <t>M-00434</t>
  </si>
  <si>
    <t>M-00435</t>
  </si>
  <si>
    <t>M-00436</t>
  </si>
  <si>
    <t>M-00437</t>
  </si>
  <si>
    <t>M-00438</t>
  </si>
  <si>
    <t>M-00439</t>
  </si>
  <si>
    <t>M-00440</t>
  </si>
  <si>
    <t>M-00441</t>
  </si>
  <si>
    <t>M-00442</t>
  </si>
  <si>
    <t>M-00443</t>
  </si>
  <si>
    <t>M-00444</t>
  </si>
  <si>
    <t>M-00445</t>
  </si>
  <si>
    <t>M-00446</t>
  </si>
  <si>
    <t>M-00447</t>
  </si>
  <si>
    <t>M-00448</t>
  </si>
  <si>
    <t>M-00449</t>
  </si>
  <si>
    <t>M-00450</t>
  </si>
  <si>
    <t>M-00451</t>
  </si>
  <si>
    <t>M-00452</t>
  </si>
  <si>
    <t>M-00453</t>
  </si>
  <si>
    <t>M-00454</t>
  </si>
  <si>
    <t>M-00455</t>
  </si>
  <si>
    <t>M-00456</t>
  </si>
  <si>
    <t>M-00457</t>
  </si>
  <si>
    <t>M-00458</t>
  </si>
  <si>
    <t>M-00459</t>
  </si>
  <si>
    <t>M-00460</t>
  </si>
  <si>
    <t>M-00461</t>
  </si>
  <si>
    <t>M-00462</t>
  </si>
  <si>
    <t>M-00463</t>
  </si>
  <si>
    <t>M-00464</t>
  </si>
  <si>
    <t>M-00465</t>
  </si>
  <si>
    <t>M-00466</t>
  </si>
  <si>
    <t>M-00467</t>
  </si>
  <si>
    <t>M-00468</t>
  </si>
  <si>
    <t>M-00469</t>
  </si>
  <si>
    <t>M-00470</t>
  </si>
  <si>
    <t>M-00471</t>
  </si>
  <si>
    <t>M-00472</t>
  </si>
  <si>
    <t>M-00473</t>
  </si>
  <si>
    <t>M-00474</t>
  </si>
  <si>
    <t>M-00475</t>
  </si>
  <si>
    <t>M-00476</t>
  </si>
  <si>
    <t>M-00477</t>
  </si>
  <si>
    <t>M-00478</t>
  </si>
  <si>
    <t>M-00479</t>
  </si>
  <si>
    <t>M-00480</t>
  </si>
  <si>
    <t>M-00481</t>
  </si>
  <si>
    <t>M-00482</t>
  </si>
  <si>
    <t>M-00483</t>
  </si>
  <si>
    <t>M-00484</t>
  </si>
  <si>
    <t>M-00485</t>
  </si>
  <si>
    <t>M-00486</t>
  </si>
  <si>
    <t>M-00487</t>
  </si>
  <si>
    <t>M-00488</t>
  </si>
  <si>
    <t>M-00489</t>
  </si>
  <si>
    <t>M-00490</t>
  </si>
  <si>
    <t>M-00491</t>
  </si>
  <si>
    <t>M-00492</t>
  </si>
  <si>
    <t>M-00493</t>
  </si>
  <si>
    <t>M-00494</t>
  </si>
  <si>
    <t>M-00495</t>
  </si>
  <si>
    <t>M-00496</t>
  </si>
  <si>
    <t>M-00497</t>
  </si>
  <si>
    <t>M-00498</t>
  </si>
  <si>
    <t>M-00499</t>
  </si>
  <si>
    <t>M-00500</t>
  </si>
  <si>
    <t>M-00501</t>
  </si>
  <si>
    <t>M-00502</t>
  </si>
  <si>
    <t>M-00503</t>
  </si>
  <si>
    <t>M-00504</t>
  </si>
  <si>
    <t>M-00505</t>
  </si>
  <si>
    <t>M-00506</t>
  </si>
  <si>
    <t>M-00507</t>
  </si>
  <si>
    <t>M-00508</t>
  </si>
  <si>
    <t>M-00509</t>
  </si>
  <si>
    <t>M-00510</t>
  </si>
  <si>
    <t>M-00511</t>
  </si>
  <si>
    <t>M-00512</t>
  </si>
  <si>
    <t>M-00513</t>
  </si>
  <si>
    <t>M-00514</t>
  </si>
  <si>
    <t>M-00515</t>
  </si>
  <si>
    <t>M-00516</t>
  </si>
  <si>
    <t>M-00517</t>
  </si>
  <si>
    <t>M-00518</t>
  </si>
  <si>
    <t>M-00519</t>
  </si>
  <si>
    <t>M-00520</t>
  </si>
  <si>
    <t>M-00521</t>
  </si>
  <si>
    <t>M-00522</t>
  </si>
  <si>
    <t>M-00523</t>
  </si>
  <si>
    <t>M-00524</t>
  </si>
  <si>
    <t>M-00525</t>
  </si>
  <si>
    <t>M-00526</t>
  </si>
  <si>
    <t>M-00527</t>
  </si>
  <si>
    <t>M-00528</t>
  </si>
  <si>
    <t>M-00529</t>
  </si>
  <si>
    <t>M-00530</t>
  </si>
  <si>
    <t>M-00531</t>
  </si>
  <si>
    <t>M-00532</t>
  </si>
  <si>
    <t>M-00533</t>
  </si>
  <si>
    <t>M-00534</t>
  </si>
  <si>
    <t>M-00535</t>
  </si>
  <si>
    <t>M-00536</t>
  </si>
  <si>
    <t>M-00537</t>
  </si>
  <si>
    <t>M-00538</t>
  </si>
  <si>
    <t>M-00539</t>
  </si>
  <si>
    <t>M-00540</t>
  </si>
  <si>
    <t>M-00541</t>
  </si>
  <si>
    <t>M-00542</t>
  </si>
  <si>
    <t>M-00543</t>
  </si>
  <si>
    <t>M-00544</t>
  </si>
  <si>
    <t>M-00545</t>
  </si>
  <si>
    <t>M-00546</t>
  </si>
  <si>
    <t>M-00547</t>
  </si>
  <si>
    <t>M-00548</t>
  </si>
  <si>
    <t>M-00549</t>
  </si>
  <si>
    <t>M-00550</t>
  </si>
  <si>
    <t>M-00551</t>
  </si>
  <si>
    <t>M-00552</t>
  </si>
  <si>
    <t>M-00553</t>
  </si>
  <si>
    <t>M-00554</t>
  </si>
  <si>
    <t>M-00555</t>
  </si>
  <si>
    <t>M-00556</t>
  </si>
  <si>
    <t>M-00557</t>
  </si>
  <si>
    <t>M-00558</t>
  </si>
  <si>
    <t>M-00559</t>
  </si>
  <si>
    <t>M-00560</t>
  </si>
  <si>
    <t>M-00561</t>
  </si>
  <si>
    <t>M-00562</t>
  </si>
  <si>
    <t>M-00563</t>
  </si>
  <si>
    <t>M-00564</t>
  </si>
  <si>
    <t>M-00565</t>
  </si>
  <si>
    <t>M-00566</t>
  </si>
  <si>
    <t>M-00567</t>
  </si>
  <si>
    <t>M-00568</t>
  </si>
  <si>
    <t>M-00569</t>
  </si>
  <si>
    <t>M-00570</t>
  </si>
  <si>
    <t>M-00571</t>
  </si>
  <si>
    <t>M-00572</t>
  </si>
  <si>
    <t>M-00573</t>
  </si>
  <si>
    <t>M-00574</t>
  </si>
  <si>
    <t>M-00575</t>
  </si>
  <si>
    <t>M-00576</t>
  </si>
  <si>
    <t>M-00577</t>
  </si>
  <si>
    <t>M-00578</t>
  </si>
  <si>
    <t>M-00579</t>
  </si>
  <si>
    <t>M-00580</t>
  </si>
  <si>
    <t>M-00581</t>
  </si>
  <si>
    <t>M-00582</t>
  </si>
  <si>
    <t>M-00583</t>
  </si>
  <si>
    <t>M-00584</t>
  </si>
  <si>
    <t>M-00585</t>
  </si>
  <si>
    <t>M-00586</t>
  </si>
  <si>
    <t>M-00587</t>
  </si>
  <si>
    <t>M-00588</t>
  </si>
  <si>
    <t>M-00589</t>
  </si>
  <si>
    <t>M-00590</t>
  </si>
  <si>
    <t>M-00591</t>
  </si>
  <si>
    <t>M-00592</t>
  </si>
  <si>
    <t>M-00593</t>
  </si>
  <si>
    <t>M-00594</t>
  </si>
  <si>
    <t>M-00595</t>
  </si>
  <si>
    <t>M-00596</t>
  </si>
  <si>
    <t>M-00597</t>
  </si>
  <si>
    <t>M-00598</t>
  </si>
  <si>
    <t>M-00599</t>
  </si>
  <si>
    <t>M-00600</t>
  </si>
  <si>
    <t>M-00601</t>
  </si>
  <si>
    <t>M-00602</t>
  </si>
  <si>
    <t>M-00603</t>
  </si>
  <si>
    <t>M-00604</t>
  </si>
  <si>
    <t>M-00605</t>
  </si>
  <si>
    <t>M-00606</t>
  </si>
  <si>
    <t>M-00607</t>
  </si>
  <si>
    <t>M-00608</t>
  </si>
  <si>
    <t>M-00609</t>
  </si>
  <si>
    <t>M-00610</t>
  </si>
  <si>
    <t>M-00611</t>
  </si>
  <si>
    <t>M-00612</t>
  </si>
  <si>
    <t>M-00613</t>
  </si>
  <si>
    <t>M-00614</t>
  </si>
  <si>
    <t>M-00615</t>
  </si>
  <si>
    <t>M-00616</t>
  </si>
  <si>
    <t>M-00617</t>
  </si>
  <si>
    <t>M-00618</t>
  </si>
  <si>
    <t>M-00619</t>
  </si>
  <si>
    <t>M-00620</t>
  </si>
  <si>
    <t>M-00621</t>
  </si>
  <si>
    <t>M-00622</t>
  </si>
  <si>
    <t>M-00623</t>
  </si>
  <si>
    <t>M-00624</t>
  </si>
  <si>
    <t>M-00625</t>
  </si>
  <si>
    <t>M-00626</t>
  </si>
  <si>
    <t>M-00627</t>
  </si>
  <si>
    <t>M-00628</t>
  </si>
  <si>
    <t>M-00629</t>
  </si>
  <si>
    <t>M-00630</t>
  </si>
  <si>
    <t>M-00631</t>
  </si>
  <si>
    <t>M-00632</t>
  </si>
  <si>
    <t>M-00633</t>
  </si>
  <si>
    <t>M-00634</t>
  </si>
  <si>
    <t>M-00635</t>
  </si>
  <si>
    <t>M-00636</t>
  </si>
  <si>
    <t>M-00637</t>
  </si>
  <si>
    <t>M-00638</t>
  </si>
  <si>
    <t>M-00639</t>
  </si>
  <si>
    <t>M-00640</t>
  </si>
  <si>
    <t>M-00641</t>
  </si>
  <si>
    <t>M-00642</t>
  </si>
  <si>
    <t>M-00643</t>
  </si>
  <si>
    <t>M-00644</t>
  </si>
  <si>
    <t>M-00645</t>
  </si>
  <si>
    <t>M-00646</t>
  </si>
  <si>
    <t>M-00647</t>
  </si>
  <si>
    <t>M-00648</t>
  </si>
  <si>
    <t>M-00649</t>
  </si>
  <si>
    <t>M-00650</t>
  </si>
  <si>
    <t>M-00651</t>
  </si>
  <si>
    <t>M-00652</t>
  </si>
  <si>
    <t>M-00653</t>
  </si>
  <si>
    <t>M-00654</t>
  </si>
  <si>
    <t>M-00655</t>
  </si>
  <si>
    <t>M-00656</t>
  </si>
  <si>
    <t>M-00657</t>
  </si>
  <si>
    <t>M-00658</t>
  </si>
  <si>
    <t>M-00659</t>
  </si>
  <si>
    <t>M-00660</t>
  </si>
  <si>
    <t>M-00661</t>
  </si>
  <si>
    <t>M-00662</t>
  </si>
  <si>
    <t>M-00663</t>
  </si>
  <si>
    <t>M-00664</t>
  </si>
  <si>
    <t>M-00665</t>
  </si>
  <si>
    <t>M-00666</t>
  </si>
  <si>
    <t>M-00667</t>
  </si>
  <si>
    <t>M-00668</t>
  </si>
  <si>
    <t>M-00669</t>
  </si>
  <si>
    <t>M-00670</t>
  </si>
  <si>
    <t>M-00671</t>
  </si>
  <si>
    <t>M-00672</t>
  </si>
  <si>
    <t>M-00673</t>
  </si>
  <si>
    <t>M-00674</t>
  </si>
  <si>
    <t>M-00675</t>
  </si>
  <si>
    <t>M-00676</t>
  </si>
  <si>
    <t>M-00677</t>
  </si>
  <si>
    <t>M-00678</t>
  </si>
  <si>
    <t>M-00679</t>
  </si>
  <si>
    <t>M-00680</t>
  </si>
  <si>
    <t>M-00681</t>
  </si>
  <si>
    <t>M-00682</t>
  </si>
  <si>
    <t>M-00683</t>
  </si>
  <si>
    <t>M-00684</t>
  </si>
  <si>
    <t>M-00685</t>
  </si>
  <si>
    <t>M-00686</t>
  </si>
  <si>
    <t>M-00687</t>
  </si>
  <si>
    <t>M-00688</t>
  </si>
  <si>
    <t>M-00689</t>
  </si>
  <si>
    <t>M-00690</t>
  </si>
  <si>
    <t>M-00691</t>
  </si>
  <si>
    <t>M-00692</t>
  </si>
  <si>
    <t>M-00693</t>
  </si>
  <si>
    <t>M-00694</t>
  </si>
  <si>
    <t>M-00695</t>
  </si>
  <si>
    <t>M-00696</t>
  </si>
  <si>
    <t>M-00697</t>
  </si>
  <si>
    <t>M-00698</t>
  </si>
  <si>
    <t>M-00699</t>
  </si>
  <si>
    <t>M-00700</t>
  </si>
  <si>
    <t>M-00701</t>
  </si>
  <si>
    <t>M-00702</t>
  </si>
  <si>
    <t>M-00703</t>
  </si>
  <si>
    <t>M-00704</t>
  </si>
  <si>
    <t>FECHA INICIO REAL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</si>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</sst>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b/>
      <u/>
      <sz val="18"/>
      <color theme="1"/>
      <name val="Aptos"/>
      <family val="2"/>
    </font>
    <font>
      <sz val="18"/>
      <color theme="1"/>
      <name val="Arial"/>
      <family val="2"/>
    </font>
    <font>
      <b/>
      <sz val="18"/>
      <color theme="1"/>
      <name val="Arial"/>
      <family val="2"/>
    </font>
    <font>
      <b/>
      <sz val="14"/>
      <color rgb="FFFF0000"/>
      <name val="Arial"/>
      <family val="2"/>
    </font>
    <font>
      <sz val="10"/>
      <color theme="1"/>
      <name val="Arial"/>
      <family val="2"/>
    </font>
    <font>
      <b/>
      <sz val="11"/>
      <color theme="0"/>
      <name val="Aptos Narrow"/>
      <family val="2"/>
      <scheme val="minor"/>
    </font>
    <font>
      <b/>
      <sz val="14"/>
      <color rgb="FFC00000"/>
      <name val="Arial"/>
      <family val="2"/>
    </font>
    <font>
      <sz val="22"/>
      <color theme="1"/>
      <name val="Arial"/>
      <family val="2"/>
    </font>
    <font>
      <b/>
      <sz val="14"/>
      <name val="Arial"/>
      <family val="2"/>
    </font>
    <font>
      <sz val="10"/>
      <name val="Arial"/>
      <family val="2"/>
    </font>
  </fonts>
  <fills count="4">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s>
  <borders count="3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9" fontId="5" fillId="0" borderId="0" applyFont="0" applyFill="0" applyBorder="0" applyAlignment="0" applyProtection="0"/>
  </cellStyleXfs>
  <cellXfs count="130">
    <xf numFmtId="0" fontId="0" fillId="0" borderId="0" xfId="0"/>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xf>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vertical="center" textRotation="255" wrapText="1"/>
    </xf>
    <xf numFmtId="0" fontId="0" fillId="0" borderId="0" xfId="0" applyAlignment="1">
      <alignment vertical="center"/>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xf numFmtId="0" fontId="2" fillId="0" borderId="8" xfId="0" applyFont="1" applyBorder="1" applyAlignment="1">
      <alignment horizontal="center" vertical="center" wrapText="1"/>
    </xf>
    <xf numFmtId="0" fontId="1" fillId="0" borderId="8"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3" xfId="0" applyBorder="1"/>
    <xf numFmtId="0" fontId="0" fillId="0" borderId="10" xfId="0" applyBorder="1"/>
    <xf numFmtId="0" fontId="0" fillId="0" borderId="11" xfId="0" applyBorder="1"/>
    <xf numFmtId="0" fontId="0" fillId="0" borderId="12" xfId="0" applyBorder="1"/>
    <xf numFmtId="0" fontId="0" fillId="3" borderId="16" xfId="0" applyFill="1" applyBorder="1"/>
    <xf numFmtId="0" fontId="0" fillId="3" borderId="15" xfId="0" applyFill="1" applyBorder="1" applyAlignment="1">
      <alignment horizontal="center"/>
    </xf>
    <xf numFmtId="0" fontId="0" fillId="0" borderId="16" xfId="0" applyBorder="1"/>
    <xf numFmtId="0" fontId="0" fillId="0" borderId="15" xfId="0" applyBorder="1" applyAlignment="1">
      <alignment horizontal="center"/>
    </xf>
    <xf numFmtId="9" fontId="0" fillId="3" borderId="17" xfId="0" applyNumberFormat="1" applyFill="1" applyBorder="1" applyAlignment="1">
      <alignment horizontal="center"/>
    </xf>
    <xf numFmtId="9" fontId="0" fillId="0" borderId="17" xfId="0" applyNumberFormat="1" applyBorder="1" applyAlignment="1">
      <alignment horizont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9" fontId="0" fillId="0" borderId="23" xfId="1" applyFont="1" applyBorder="1" applyAlignment="1">
      <alignment horizontal="center" vertical="center"/>
    </xf>
    <xf numFmtId="9" fontId="4" fillId="0" borderId="30" xfId="1" applyFont="1" applyBorder="1" applyAlignment="1">
      <alignment horizontal="center" vertical="center" wrapText="1"/>
    </xf>
    <xf numFmtId="9" fontId="9" fillId="0" borderId="30" xfId="1" applyFont="1" applyBorder="1" applyAlignment="1">
      <alignment horizontal="center" vertical="center" wrapText="1"/>
    </xf>
    <xf numFmtId="9" fontId="10" fillId="0" borderId="23" xfId="1" applyFont="1" applyBorder="1" applyAlignment="1">
      <alignment horizontal="center" vertical="center"/>
    </xf>
    <xf numFmtId="14" fontId="6" fillId="2" borderId="18" xfId="0" applyNumberFormat="1" applyFont="1" applyFill="1" applyBorder="1" applyAlignment="1">
      <alignment horizontal="center" vertical="center"/>
    </xf>
    <xf numFmtId="14" fontId="0" fillId="0" borderId="18" xfId="0" applyNumberFormat="1" applyBorder="1" applyAlignment="1">
      <alignment horizontal="center"/>
    </xf>
    <xf numFmtId="14" fontId="0" fillId="0" borderId="15" xfId="0" applyNumberFormat="1" applyBorder="1" applyAlignment="1">
      <alignment horizontal="center"/>
    </xf>
    <xf numFmtId="14" fontId="0" fillId="0" borderId="32" xfId="0" applyNumberFormat="1" applyBorder="1" applyAlignment="1">
      <alignment horizontal="center"/>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4" xfId="0" applyFont="1" applyBorder="1" applyAlignment="1">
      <alignment horizontal="center" vertical="center"/>
    </xf>
    <xf numFmtId="0" fontId="7" fillId="0" borderId="20"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0" fillId="0" borderId="25" xfId="0" applyBorder="1" applyAlignment="1">
      <alignment horizontal="center" vertical="center" wrapText="1"/>
    </xf>
    <xf numFmtId="0" fontId="0" fillId="0" borderId="28" xfId="0" applyBorder="1" applyAlignment="1">
      <alignment horizontal="center" vertical="center" wrapText="1"/>
    </xf>
    <xf numFmtId="0" fontId="4" fillId="0" borderId="29"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4" xfId="0" applyFont="1" applyBorder="1" applyAlignment="1">
      <alignment horizontal="center" vertical="center"/>
    </xf>
    <xf numFmtId="0" fontId="4" fillId="0" borderId="20"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10" fillId="0" borderId="25"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4"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3"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3" fillId="0" borderId="1" xfId="0" applyFont="1" applyBorder="1" applyAlignment="1">
      <alignment horizontal="center" vertical="center" textRotation="255" wrapText="1"/>
    </xf>
    <xf numFmtId="0" fontId="3" fillId="0" borderId="2" xfId="0" applyFont="1" applyBorder="1" applyAlignment="1">
      <alignment horizontal="center" vertical="center" textRotation="255" wrapText="1"/>
    </xf>
    <xf numFmtId="0" fontId="3" fillId="0" borderId="3" xfId="0" applyFont="1" applyBorder="1" applyAlignment="1">
      <alignment horizontal="center" vertical="center" textRotation="255"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cellXfs>
  <cellStyles count="2">
    <cellStyle name="Normal" xfId="0" builtinId="0"/>
    <cellStyle name="Porcentaje" xfId="1" builtinId="5"/>
  </cellStyles>
  <dxfs count="10">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outline="0">
        <right style="thin">
          <color indexed="64"/>
        </right>
        <top style="thin">
          <color indexed="64"/>
        </top>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439616</xdr:colOff>
      <xdr:row>2</xdr:row>
      <xdr:rowOff>80596</xdr:rowOff>
    </xdr:from>
    <xdr:to>
      <xdr:col>27</xdr:col>
      <xdr:colOff>497639</xdr:colOff>
      <xdr:row>8</xdr:row>
      <xdr:rowOff>55342</xdr:rowOff>
    </xdr:to>
    <xdr:pic>
      <xdr:nvPicPr>
        <xdr:cNvPr id="2" name="image1.png">
          <a:extLst>
            <a:ext uri="{FF2B5EF4-FFF2-40B4-BE49-F238E27FC236}">
              <a16:creationId xmlns:a16="http://schemas.microsoft.com/office/drawing/2014/main" id="{CCDA0192-67CE-49BF-BB35-B248D0FC57C2}"/>
            </a:ext>
          </a:extLst>
        </xdr:cNvPr>
        <xdr:cNvPicPr/>
      </xdr:nvPicPr>
      <xdr:blipFill>
        <a:blip xmlns:r="http://schemas.openxmlformats.org/officeDocument/2006/relationships" r:embed="rId1"/>
        <a:srcRect t="31183" b="33026"/>
        <a:stretch>
          <a:fillRect/>
        </a:stretch>
      </xdr:blipFill>
      <xdr:spPr>
        <a:xfrm>
          <a:off x="10678991" y="556846"/>
          <a:ext cx="2344023" cy="965346"/>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439616</xdr:colOff>
      <xdr:row>68</xdr:row>
      <xdr:rowOff>80596</xdr:rowOff>
    </xdr:from>
    <xdr:to>
      <xdr:col>33</xdr:col>
      <xdr:colOff>497639</xdr:colOff>
      <xdr:row>74</xdr:row>
      <xdr:rowOff>55342</xdr:rowOff>
    </xdr:to>
    <xdr:pic>
      <xdr:nvPicPr>
        <xdr:cNvPr id="3" name="image1.png">
          <a:extLst>
            <a:ext uri="{FF2B5EF4-FFF2-40B4-BE49-F238E27FC236}">
              <a16:creationId xmlns:a16="http://schemas.microsoft.com/office/drawing/2014/main" id="{29F85A6B-F753-4ACA-ABCA-A103213F249F}"/>
            </a:ext>
          </a:extLst>
        </xdr:cNvPr>
        <xdr:cNvPicPr/>
      </xdr:nvPicPr>
      <xdr:blipFill>
        <a:blip xmlns:r="http://schemas.openxmlformats.org/officeDocument/2006/relationships" r:embed="rId1"/>
        <a:srcRect t="31183" b="33026"/>
        <a:stretch>
          <a:fillRect/>
        </a:stretch>
      </xdr:blipFill>
      <xdr:spPr>
        <a:xfrm>
          <a:off x="10660674" y="556846"/>
          <a:ext cx="2344023" cy="956554"/>
        </a:xfrm>
        <a:prstGeom prst="rect">
          <a:avLst/>
        </a:prstGeom>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512885</xdr:colOff>
      <xdr:row>0</xdr:row>
      <xdr:rowOff>2198</xdr:rowOff>
    </xdr:from>
    <xdr:to>
      <xdr:col>15</xdr:col>
      <xdr:colOff>50696</xdr:colOff>
      <xdr:row>5</xdr:row>
      <xdr:rowOff>10438</xdr:rowOff>
    </xdr:to>
    <xdr:pic>
      <xdr:nvPicPr>
        <xdr:cNvPr id="2" name="image1.png">
          <a:extLst>
            <a:ext uri="{FF2B5EF4-FFF2-40B4-BE49-F238E27FC236}">
              <a16:creationId xmlns:a16="http://schemas.microsoft.com/office/drawing/2014/main" id="{A3730BBA-9366-43BA-D458-A9C5EAC0CE78}"/>
            </a:ext>
          </a:extLst>
        </xdr:cNvPr>
        <xdr:cNvPicPr/>
      </xdr:nvPicPr>
      <xdr:blipFill>
        <a:blip xmlns:r="http://schemas.openxmlformats.org/officeDocument/2006/relationships" r:embed="rId1"/>
        <a:srcRect t="31183" b="33026"/>
        <a:stretch>
          <a:fillRect/>
        </a:stretch>
      </xdr:blipFill>
      <xdr:spPr>
        <a:xfrm>
          <a:off x="512885" y="2198"/>
          <a:ext cx="2344023" cy="956554"/>
        </a:xfrm>
        <a:prstGeom prst="rect">
          <a:avLst/>
        </a:prstGeom>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512885</xdr:colOff>
      <xdr:row>0</xdr:row>
      <xdr:rowOff>2198</xdr:rowOff>
    </xdr:from>
    <xdr:to>
      <xdr:col>6</xdr:col>
      <xdr:colOff>58023</xdr:colOff>
      <xdr:row>4</xdr:row>
      <xdr:rowOff>160117</xdr:rowOff>
    </xdr:to>
    <xdr:pic>
      <xdr:nvPicPr>
        <xdr:cNvPr id="2" name="image1.png">
          <a:extLst>
            <a:ext uri="{FF2B5EF4-FFF2-40B4-BE49-F238E27FC236}">
              <a16:creationId xmlns:a16="http://schemas.microsoft.com/office/drawing/2014/main" id="{60719917-C312-4BBC-8B86-4FBFB4206293}"/>
            </a:ext>
          </a:extLst>
        </xdr:cNvPr>
        <xdr:cNvPicPr/>
      </xdr:nvPicPr>
      <xdr:blipFill>
        <a:blip xmlns:r="http://schemas.openxmlformats.org/officeDocument/2006/relationships" r:embed="rId1"/>
        <a:srcRect t="31183" b="33026"/>
        <a:stretch>
          <a:fillRect/>
        </a:stretch>
      </xdr:blipFill>
      <xdr:spPr>
        <a:xfrm>
          <a:off x="512885" y="2198"/>
          <a:ext cx="2347686" cy="958019"/>
        </a:xfrm>
        <a:prstGeom prst="rect">
          <a:avLst/>
        </a:prstGeom>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9D7A5-E8FB-4C5A-96DA-7BB43E2B4275}" name="BASE" displayName="BASE" ref="A1:F705" totalsRowShown="0" headerRowDxfId="9" dataDxfId="7" headerRowBorderDxfId="8" tableBorderDxfId="6">
  <autoFilter ref="A1:F705" xr:uid="{53A9D7A5-E8FB-4C5A-96DA-7BB43E2B4275}"/>
  <tableColumns count="6">
    <tableColumn id="1" xr3:uid="{162B402D-560F-4933-BFB1-5318744618AA}" name="TORRE" dataDxfId="5"/>
    <tableColumn id="2" xr3:uid="{A2217828-E4BF-4B53-871C-7D78ADB9DAC0}" name="N° MÓDULO" dataDxfId="4"/>
    <tableColumn id="3" xr3:uid="{8CB76993-4FEF-490B-8DED-8DDDD717C1AA}" name="N° SERIE" dataDxfId="3"/>
    <tableColumn id="4" xr3:uid="{6F3D48D1-DA29-43C6-BB6C-B506FDEC6826}" name="TIPO" dataDxfId="2"/>
    <tableColumn id="5" xr3:uid="{4078E82F-BB42-424B-983B-89F82B27E67C}" name="% AVANCE" dataDxfId="1"/>
    <tableColumn id="6" xr3:uid="{0BB9FF97-6299-4E71-B348-C9393F0EEEB1}" name="FECHA INICIO REAL"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390E-B429-4926-873C-0C44B59B6376}">
  <dimension ref="B1:X26"/>
  <sheetViews>
    <sheetView zoomScale="50" zoomScaleNormal="50" workbookViewId="0">
      <selection activeCell="X26" sqref="B3:Z27"/>
    </sheetView>
  </sheetViews>
  <sheetFormatPr baseColWidth="10" defaultColWidth="11.42578125" defaultRowHeight="12.75" x14ac:dyDescent="0.2"/>
  <cols>
    <col min="1" max="2" width="8" customWidth="1"/>
    <col min="3" max="3" width="4" customWidth="1"/>
    <col min="4" max="4" width="10.140625" customWidth="1"/>
    <col min="5" max="5" width="1.85546875" customWidth="1"/>
    <col min="6" max="6" width="10.140625" customWidth="1"/>
    <col min="7" max="7" width="1.85546875" customWidth="1"/>
    <col min="8" max="8" width="10.140625" customWidth="1"/>
    <col min="9" max="9" width="1.85546875" customWidth="1"/>
    <col min="10" max="10" width="10.140625" customWidth="1"/>
    <col min="11" max="11" width="1.85546875" customWidth="1"/>
    <col min="12" max="12" width="10.140625" customWidth="1"/>
    <col min="13" max="13" width="1.85546875" customWidth="1"/>
    <col min="14" max="14" width="10.140625" customWidth="1"/>
    <col min="15" max="15" width="1.85546875" customWidth="1"/>
    <col min="16" max="16" width="10.140625" customWidth="1"/>
    <col min="17" max="17" width="1.85546875" customWidth="1"/>
    <col min="18" max="18" width="10.140625" customWidth="1"/>
    <col min="19" max="19" width="1.85546875" customWidth="1"/>
    <col min="20" max="20" width="10.140625" customWidth="1"/>
    <col min="21" max="21" width="1.85546875" customWidth="1"/>
    <col min="22" max="22" width="10.140625" customWidth="1"/>
    <col min="23" max="23" width="4" customWidth="1"/>
  </cols>
  <sheetData>
    <row r="1" spans="2:24" ht="24" x14ac:dyDescent="0.4">
      <c r="J1" s="1"/>
    </row>
    <row r="2" spans="2:24" ht="13.5" thickBot="1" x14ac:dyDescent="0.25"/>
    <row r="3" spans="2:24" x14ac:dyDescent="0.2">
      <c r="H3" s="92" t="s">
        <v>0</v>
      </c>
      <c r="I3" s="93"/>
      <c r="J3" s="93"/>
      <c r="K3" s="93"/>
      <c r="L3" s="93"/>
      <c r="M3" s="93"/>
      <c r="N3" s="93"/>
      <c r="O3" s="93"/>
      <c r="P3" s="93"/>
      <c r="Q3" s="93"/>
      <c r="R3" s="94"/>
    </row>
    <row r="4" spans="2:24" ht="13.5" thickBot="1" x14ac:dyDescent="0.25">
      <c r="H4" s="95"/>
      <c r="I4" s="96"/>
      <c r="J4" s="96"/>
      <c r="K4" s="96"/>
      <c r="L4" s="96"/>
      <c r="M4" s="96"/>
      <c r="N4" s="96"/>
      <c r="O4" s="96"/>
      <c r="P4" s="96"/>
      <c r="Q4" s="96"/>
      <c r="R4" s="97"/>
    </row>
    <row r="5" spans="2:24" ht="12.75" customHeight="1" thickBot="1" x14ac:dyDescent="0.25">
      <c r="E5" s="3"/>
      <c r="F5" s="3"/>
      <c r="G5" s="3"/>
    </row>
    <row r="6" spans="2:24" ht="12.75" customHeight="1" x14ac:dyDescent="0.2">
      <c r="B6" s="116" t="s">
        <v>1</v>
      </c>
      <c r="D6" s="119"/>
      <c r="F6" s="78"/>
      <c r="H6" s="78"/>
      <c r="J6" s="78"/>
      <c r="L6" s="78" t="s">
        <v>4</v>
      </c>
      <c r="N6" s="78" t="s">
        <v>5</v>
      </c>
      <c r="P6" s="78" t="s">
        <v>6</v>
      </c>
      <c r="R6" s="78" t="s">
        <v>7</v>
      </c>
      <c r="T6" s="78"/>
      <c r="V6" s="78"/>
      <c r="X6" s="116" t="s">
        <v>2</v>
      </c>
    </row>
    <row r="7" spans="2:24" ht="12.75" customHeight="1" x14ac:dyDescent="0.2">
      <c r="B7" s="117"/>
      <c r="D7" s="120"/>
      <c r="F7" s="90"/>
      <c r="H7" s="90"/>
      <c r="J7" s="90"/>
      <c r="L7" s="90"/>
      <c r="N7" s="90"/>
      <c r="P7" s="90"/>
      <c r="R7" s="90"/>
      <c r="T7" s="90"/>
      <c r="V7" s="90"/>
      <c r="X7" s="117"/>
    </row>
    <row r="8" spans="2:24" ht="13.5" customHeight="1" x14ac:dyDescent="0.2">
      <c r="B8" s="117"/>
      <c r="D8" s="120"/>
      <c r="F8" s="90"/>
      <c r="H8" s="90"/>
      <c r="J8" s="90"/>
      <c r="L8" s="90"/>
      <c r="N8" s="90"/>
      <c r="P8" s="90"/>
      <c r="R8" s="90"/>
      <c r="T8" s="90"/>
      <c r="V8" s="90"/>
      <c r="X8" s="117"/>
    </row>
    <row r="9" spans="2:24" ht="12.75" customHeight="1" x14ac:dyDescent="0.2">
      <c r="B9" s="117"/>
      <c r="D9" s="120"/>
      <c r="F9" s="90"/>
      <c r="H9" s="90"/>
      <c r="J9" s="90"/>
      <c r="L9" s="90"/>
      <c r="N9" s="90"/>
      <c r="P9" s="90"/>
      <c r="R9" s="90"/>
      <c r="T9" s="90"/>
      <c r="V9" s="90"/>
      <c r="X9" s="117"/>
    </row>
    <row r="10" spans="2:24" ht="12.75" customHeight="1" x14ac:dyDescent="0.2">
      <c r="B10" s="117"/>
      <c r="D10" s="120"/>
      <c r="F10" s="90"/>
      <c r="H10" s="90"/>
      <c r="J10" s="90"/>
      <c r="L10" s="90"/>
      <c r="N10" s="90"/>
      <c r="P10" s="90"/>
      <c r="R10" s="90"/>
      <c r="T10" s="90"/>
      <c r="V10" s="90"/>
      <c r="X10" s="117"/>
    </row>
    <row r="11" spans="2:24" ht="12.75" customHeight="1" x14ac:dyDescent="0.2">
      <c r="B11" s="117"/>
      <c r="D11" s="120"/>
      <c r="F11" s="90"/>
      <c r="H11" s="90"/>
      <c r="J11" s="90"/>
      <c r="L11" s="90"/>
      <c r="N11" s="90"/>
      <c r="P11" s="90"/>
      <c r="R11" s="90"/>
      <c r="T11" s="90"/>
      <c r="V11" s="90"/>
      <c r="X11" s="117"/>
    </row>
    <row r="12" spans="2:24" ht="12.75" customHeight="1" x14ac:dyDescent="0.2">
      <c r="B12" s="117"/>
      <c r="D12" s="120"/>
      <c r="F12" s="90"/>
      <c r="H12" s="90"/>
      <c r="J12" s="90"/>
      <c r="L12" s="90"/>
      <c r="N12" s="90"/>
      <c r="P12" s="90"/>
      <c r="R12" s="90"/>
      <c r="T12" s="90"/>
      <c r="V12" s="90"/>
      <c r="X12" s="117"/>
    </row>
    <row r="13" spans="2:24" ht="12.75" customHeight="1" thickBot="1" x14ac:dyDescent="0.25">
      <c r="B13" s="117"/>
      <c r="D13" s="121"/>
      <c r="F13" s="91"/>
      <c r="H13" s="91"/>
      <c r="J13" s="91"/>
      <c r="L13" s="91"/>
      <c r="N13" s="91"/>
      <c r="P13" s="91"/>
      <c r="R13" s="91"/>
      <c r="T13" s="91"/>
      <c r="V13" s="91"/>
      <c r="X13" s="117"/>
    </row>
    <row r="14" spans="2:24" ht="12.75" customHeight="1" thickBot="1" x14ac:dyDescent="0.25">
      <c r="B14" s="117"/>
      <c r="X14" s="117"/>
    </row>
    <row r="15" spans="2:24" ht="12.75" customHeight="1" x14ac:dyDescent="0.2">
      <c r="B15" s="117"/>
      <c r="D15" s="98"/>
      <c r="E15" s="99"/>
      <c r="F15" s="100"/>
      <c r="H15" s="98"/>
      <c r="I15" s="99"/>
      <c r="J15" s="100"/>
      <c r="L15" s="107" t="s">
        <v>8</v>
      </c>
      <c r="M15" s="108"/>
      <c r="N15" s="109"/>
      <c r="P15" s="107" t="s">
        <v>9</v>
      </c>
      <c r="Q15" s="108"/>
      <c r="R15" s="109"/>
      <c r="T15" s="78" t="s">
        <v>10</v>
      </c>
      <c r="U15" s="6"/>
      <c r="V15" s="6"/>
      <c r="X15" s="117"/>
    </row>
    <row r="16" spans="2:24" ht="12.75" customHeight="1" x14ac:dyDescent="0.2">
      <c r="B16" s="117"/>
      <c r="D16" s="101"/>
      <c r="E16" s="102"/>
      <c r="F16" s="103"/>
      <c r="H16" s="101"/>
      <c r="I16" s="102"/>
      <c r="J16" s="103"/>
      <c r="L16" s="110"/>
      <c r="M16" s="111"/>
      <c r="N16" s="112"/>
      <c r="P16" s="110"/>
      <c r="Q16" s="111"/>
      <c r="R16" s="112"/>
      <c r="T16" s="90"/>
      <c r="U16" s="6"/>
      <c r="V16" s="6"/>
      <c r="X16" s="117"/>
    </row>
    <row r="17" spans="2:24" ht="13.5" customHeight="1" thickBot="1" x14ac:dyDescent="0.25">
      <c r="B17" s="117"/>
      <c r="D17" s="104"/>
      <c r="E17" s="105"/>
      <c r="F17" s="106"/>
      <c r="H17" s="104"/>
      <c r="I17" s="105"/>
      <c r="J17" s="106"/>
      <c r="L17" s="113"/>
      <c r="M17" s="114"/>
      <c r="N17" s="115"/>
      <c r="P17" s="113"/>
      <c r="Q17" s="114"/>
      <c r="R17" s="115"/>
      <c r="T17" s="90"/>
      <c r="U17" s="6"/>
      <c r="V17" s="6"/>
      <c r="X17" s="117"/>
    </row>
    <row r="18" spans="2:24" ht="12.75" customHeight="1" x14ac:dyDescent="0.2">
      <c r="B18" s="117"/>
      <c r="T18" s="90"/>
      <c r="X18" s="117"/>
    </row>
    <row r="19" spans="2:24" ht="12.75" customHeight="1" thickBot="1" x14ac:dyDescent="0.25">
      <c r="B19" s="117"/>
      <c r="T19" s="90"/>
      <c r="U19" s="6"/>
      <c r="V19" s="6"/>
      <c r="X19" s="117"/>
    </row>
    <row r="20" spans="2:24" ht="12.75" customHeight="1" x14ac:dyDescent="0.2">
      <c r="B20" s="117"/>
      <c r="D20" s="98"/>
      <c r="E20" s="99"/>
      <c r="F20" s="100"/>
      <c r="H20" s="98"/>
      <c r="I20" s="99"/>
      <c r="J20" s="100"/>
      <c r="L20" s="107" t="s">
        <v>11</v>
      </c>
      <c r="M20" s="108"/>
      <c r="N20" s="109"/>
      <c r="P20" s="107"/>
      <c r="Q20" s="108"/>
      <c r="R20" s="109"/>
      <c r="T20" s="90"/>
      <c r="U20" s="6"/>
      <c r="V20" s="6"/>
      <c r="X20" s="117"/>
    </row>
    <row r="21" spans="2:24" ht="13.5" customHeight="1" x14ac:dyDescent="0.2">
      <c r="B21" s="117"/>
      <c r="D21" s="101"/>
      <c r="E21" s="102"/>
      <c r="F21" s="103"/>
      <c r="H21" s="101"/>
      <c r="I21" s="102"/>
      <c r="J21" s="103"/>
      <c r="L21" s="110"/>
      <c r="M21" s="111"/>
      <c r="N21" s="112"/>
      <c r="P21" s="110"/>
      <c r="Q21" s="111"/>
      <c r="R21" s="112"/>
      <c r="T21" s="90"/>
      <c r="U21" s="6"/>
      <c r="V21" s="6"/>
      <c r="X21" s="117"/>
    </row>
    <row r="22" spans="2:24" ht="13.5" customHeight="1" thickBot="1" x14ac:dyDescent="0.25">
      <c r="B22" s="118"/>
      <c r="D22" s="104"/>
      <c r="E22" s="105"/>
      <c r="F22" s="106"/>
      <c r="H22" s="104"/>
      <c r="I22" s="105"/>
      <c r="J22" s="106"/>
      <c r="L22" s="113"/>
      <c r="M22" s="114"/>
      <c r="N22" s="115"/>
      <c r="P22" s="113"/>
      <c r="Q22" s="114"/>
      <c r="R22" s="115"/>
      <c r="T22" s="91"/>
      <c r="X22" s="118"/>
    </row>
    <row r="23" spans="2:24" x14ac:dyDescent="0.2">
      <c r="X23" s="10"/>
    </row>
    <row r="24" spans="2:24" ht="13.5" thickBot="1" x14ac:dyDescent="0.25"/>
    <row r="25" spans="2:24" x14ac:dyDescent="0.2">
      <c r="H25" s="92" t="s">
        <v>3</v>
      </c>
      <c r="I25" s="93"/>
      <c r="J25" s="93"/>
      <c r="K25" s="93"/>
      <c r="L25" s="93"/>
      <c r="M25" s="93"/>
      <c r="N25" s="93"/>
      <c r="O25" s="93"/>
      <c r="P25" s="93"/>
      <c r="Q25" s="93"/>
      <c r="R25" s="94"/>
    </row>
    <row r="26" spans="2:24" ht="13.5" thickBot="1" x14ac:dyDescent="0.25">
      <c r="H26" s="95"/>
      <c r="I26" s="96"/>
      <c r="J26" s="96"/>
      <c r="K26" s="96"/>
      <c r="L26" s="96"/>
      <c r="M26" s="96"/>
      <c r="N26" s="96"/>
      <c r="O26" s="96"/>
      <c r="P26" s="96"/>
      <c r="Q26" s="96"/>
      <c r="R26" s="97"/>
    </row>
  </sheetData>
  <mergeCells count="23">
    <mergeCell ref="H25:R26"/>
    <mergeCell ref="T15:T22"/>
    <mergeCell ref="B6:B22"/>
    <mergeCell ref="X6:X22"/>
    <mergeCell ref="T6:T13"/>
    <mergeCell ref="V6:V13"/>
    <mergeCell ref="D20:F22"/>
    <mergeCell ref="H20:J22"/>
    <mergeCell ref="L20:N22"/>
    <mergeCell ref="P20:R22"/>
    <mergeCell ref="D6:D13"/>
    <mergeCell ref="F6:F13"/>
    <mergeCell ref="H6:H13"/>
    <mergeCell ref="J6:J13"/>
    <mergeCell ref="L6:L13"/>
    <mergeCell ref="N6:N13"/>
    <mergeCell ref="P6:P13"/>
    <mergeCell ref="R6:R13"/>
    <mergeCell ref="H3:R4"/>
    <mergeCell ref="D15:F17"/>
    <mergeCell ref="H15:J17"/>
    <mergeCell ref="L15:N17"/>
    <mergeCell ref="P15:R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B3C9-C5AE-44D8-85C0-A6A83F065587}">
  <sheetPr>
    <pageSetUpPr fitToPage="1"/>
  </sheetPr>
  <dimension ref="O3:BV176"/>
  <sheetViews>
    <sheetView showGridLines="0" tabSelected="1" topLeftCell="Y35" zoomScale="80" zoomScaleNormal="70" workbookViewId="0">
      <selection activeCell="AM62" sqref="AM62:AN64"/>
    </sheetView>
  </sheetViews>
  <sheetFormatPr baseColWidth="10" defaultColWidth="11.42578125" defaultRowHeight="12.75" x14ac:dyDescent="0.2"/>
  <cols>
    <col min="1" max="11" width="11.42578125" style="4"/>
    <col min="12" max="14" width="1.85546875" style="4" customWidth="1"/>
    <col min="15" max="17" width="11.42578125" style="4"/>
    <col min="18" max="18" width="3.140625" style="4" customWidth="1"/>
    <col min="19" max="19" width="16" style="4" customWidth="1"/>
    <col min="20" max="20" width="4" style="4" customWidth="1"/>
    <col min="21" max="21" width="11.42578125" style="4"/>
    <col min="22" max="24" width="4.28515625" style="4" customWidth="1"/>
    <col min="25" max="25" width="8" style="4" customWidth="1"/>
    <col min="26" max="26" width="4" style="4" customWidth="1"/>
    <col min="27" max="27" width="18.140625" style="4" customWidth="1"/>
    <col min="28" max="28" width="1.85546875" style="4" customWidth="1"/>
    <col min="29" max="29" width="17.85546875" style="4" customWidth="1"/>
    <col min="30" max="30" width="1.85546875" style="4" customWidth="1"/>
    <col min="31" max="31" width="17.5703125" style="4" customWidth="1"/>
    <col min="32" max="32" width="1.85546875" style="4" customWidth="1"/>
    <col min="33" max="33" width="15.85546875" style="4" customWidth="1"/>
    <col min="34" max="34" width="1.85546875" style="4" customWidth="1"/>
    <col min="35" max="35" width="10.140625" style="4" customWidth="1"/>
    <col min="36" max="36" width="1.85546875" style="4" customWidth="1"/>
    <col min="37" max="37" width="16.7109375" style="4" customWidth="1"/>
    <col min="38" max="38" width="1.85546875" style="4" customWidth="1"/>
    <col min="39" max="39" width="10.140625" style="4" customWidth="1"/>
    <col min="40" max="40" width="1.85546875" style="4" customWidth="1"/>
    <col min="41" max="41" width="10.140625" style="4" customWidth="1"/>
    <col min="42" max="42" width="1.85546875" style="4" customWidth="1"/>
    <col min="43" max="43" width="17.85546875" style="4" customWidth="1"/>
    <col min="44" max="44" width="4" style="4" customWidth="1"/>
    <col min="45" max="60" width="11.42578125" style="4"/>
    <col min="61" max="61" width="14.28515625" style="4" customWidth="1"/>
    <col min="62" max="62" width="11.42578125" style="4"/>
    <col min="63" max="63" width="21.140625" style="4" customWidth="1"/>
    <col min="64" max="64" width="11.42578125" style="4"/>
    <col min="65" max="65" width="16.5703125" style="4" customWidth="1"/>
    <col min="66" max="66" width="11.42578125" style="4"/>
    <col min="67" max="67" width="17.7109375" style="4" customWidth="1"/>
    <col min="68" max="68" width="11.42578125" style="4"/>
    <col min="69" max="69" width="19.42578125" style="4" customWidth="1"/>
    <col min="70" max="70" width="11.42578125" style="4"/>
    <col min="71" max="71" width="17.42578125" style="4" customWidth="1"/>
    <col min="72" max="16384" width="11.42578125" style="4"/>
  </cols>
  <sheetData>
    <row r="3" spans="27:71" ht="12.75" customHeight="1" x14ac:dyDescent="0.2">
      <c r="AM3"/>
      <c r="AN3"/>
      <c r="AO3"/>
      <c r="AP3"/>
      <c r="AQ3"/>
      <c r="BD3"/>
      <c r="BE3"/>
      <c r="BF3"/>
      <c r="BG3"/>
      <c r="BH3"/>
      <c r="BI3"/>
    </row>
    <row r="4" spans="27:71" ht="13.5" customHeight="1" x14ac:dyDescent="0.2">
      <c r="AM4"/>
      <c r="AN4"/>
      <c r="AO4"/>
      <c r="AP4"/>
      <c r="AQ4"/>
      <c r="BD4"/>
      <c r="BE4"/>
      <c r="BF4"/>
      <c r="BG4"/>
      <c r="BH4"/>
      <c r="BI4"/>
    </row>
    <row r="5" spans="27:71" ht="23.25" x14ac:dyDescent="0.2">
      <c r="AM5"/>
      <c r="AN5"/>
      <c r="AO5"/>
      <c r="AP5" s="3"/>
      <c r="AQ5" s="3"/>
      <c r="AR5" s="3"/>
      <c r="AS5"/>
      <c r="AT5"/>
      <c r="AU5"/>
      <c r="AV5"/>
      <c r="AW5"/>
      <c r="AX5"/>
      <c r="AY5"/>
      <c r="AZ5"/>
      <c r="BA5"/>
      <c r="BB5"/>
      <c r="BC5"/>
      <c r="BD5"/>
      <c r="BE5"/>
      <c r="BF5"/>
      <c r="BG5"/>
      <c r="BH5"/>
      <c r="BI5"/>
    </row>
    <row r="6" spans="27:71" x14ac:dyDescent="0.2">
      <c r="AM6"/>
      <c r="AN6"/>
      <c r="BH6"/>
      <c r="BI6"/>
    </row>
    <row r="7" spans="27:71" ht="13.5" thickBot="1" x14ac:dyDescent="0.25">
      <c r="AM7"/>
      <c r="AN7"/>
      <c r="BH7"/>
      <c r="BI7"/>
    </row>
    <row r="8" spans="27:71" x14ac:dyDescent="0.2">
      <c r="AM8"/>
      <c r="AN8"/>
      <c r="BA8" s="61"/>
      <c r="BB8"/>
      <c r="BC8" s="61"/>
      <c r="BD8"/>
      <c r="BE8" s="61"/>
      <c r="BF8"/>
      <c r="BG8" s="61"/>
      <c r="BH8"/>
      <c r="BI8" s="61"/>
      <c r="BJ8"/>
      <c r="BK8" s="61"/>
      <c r="BL8"/>
      <c r="BM8" s="61"/>
      <c r="BN8"/>
      <c r="BO8" s="61"/>
      <c r="BP8"/>
      <c r="BQ8" s="61"/>
      <c r="BR8"/>
      <c r="BS8" s="61"/>
    </row>
    <row r="9" spans="27:71" x14ac:dyDescent="0.2">
      <c r="AM9"/>
      <c r="AN9"/>
      <c r="BA9" s="51"/>
      <c r="BB9"/>
      <c r="BC9" s="51"/>
      <c r="BD9"/>
      <c r="BE9" s="51"/>
      <c r="BF9"/>
      <c r="BG9" s="51"/>
      <c r="BH9"/>
      <c r="BI9" s="51"/>
      <c r="BJ9"/>
      <c r="BK9" s="51"/>
      <c r="BL9"/>
      <c r="BM9" s="51"/>
      <c r="BN9"/>
      <c r="BO9" s="51"/>
      <c r="BP9"/>
      <c r="BQ9" s="51"/>
      <c r="BR9"/>
      <c r="BS9" s="51"/>
    </row>
    <row r="10" spans="27:71" x14ac:dyDescent="0.2">
      <c r="AM10"/>
      <c r="AN10"/>
      <c r="BA10" s="51"/>
      <c r="BB10"/>
      <c r="BC10" s="51"/>
      <c r="BD10"/>
      <c r="BE10" s="51"/>
      <c r="BF10"/>
      <c r="BG10" s="51"/>
      <c r="BH10"/>
      <c r="BI10" s="51"/>
      <c r="BJ10"/>
      <c r="BK10" s="51"/>
      <c r="BL10"/>
      <c r="BM10" s="51"/>
      <c r="BN10"/>
      <c r="BO10" s="51"/>
      <c r="BP10"/>
      <c r="BQ10" s="51"/>
      <c r="BR10"/>
      <c r="BS10" s="51"/>
    </row>
    <row r="11" spans="27:71" x14ac:dyDescent="0.2">
      <c r="AM11"/>
      <c r="AN11"/>
      <c r="BA11" s="51"/>
      <c r="BB11"/>
      <c r="BC11" s="51"/>
      <c r="BD11"/>
      <c r="BE11" s="51"/>
      <c r="BF11"/>
      <c r="BG11" s="51"/>
      <c r="BH11"/>
      <c r="BI11" s="51"/>
      <c r="BJ11"/>
      <c r="BK11" s="51"/>
      <c r="BL11"/>
      <c r="BM11" s="51"/>
      <c r="BN11"/>
      <c r="BO11" s="51"/>
      <c r="BP11"/>
      <c r="BQ11" s="51"/>
      <c r="BR11"/>
      <c r="BS11" s="51"/>
    </row>
    <row r="12" spans="27:71" x14ac:dyDescent="0.2">
      <c r="AM12"/>
      <c r="AN12"/>
      <c r="BA12" s="51"/>
      <c r="BB12"/>
      <c r="BC12" s="51"/>
      <c r="BD12"/>
      <c r="BE12" s="51"/>
      <c r="BF12"/>
      <c r="BG12" s="51"/>
      <c r="BH12"/>
      <c r="BI12" s="51"/>
      <c r="BJ12"/>
      <c r="BK12" s="51"/>
      <c r="BL12"/>
      <c r="BM12" s="51"/>
      <c r="BN12"/>
      <c r="BO12" s="51"/>
      <c r="BP12"/>
      <c r="BQ12" s="51"/>
      <c r="BR12"/>
      <c r="BS12" s="51"/>
    </row>
    <row r="13" spans="27:71" ht="18.75" thickBot="1" x14ac:dyDescent="0.25">
      <c r="AM13"/>
      <c r="AN13"/>
      <c r="BA13" s="42" t="str">
        <f>+_xlfn.XLOOKUP(BA8,BASE[N° MÓDULO],BASE[% AVANCE],"",0)</f>
        <v/>
      </c>
      <c r="BB13"/>
      <c r="BC13" s="42" t="str">
        <f>+_xlfn.XLOOKUP(BC8,BASE[N° MÓDULO],BASE[% AVANCE],"",0)</f>
        <v/>
      </c>
      <c r="BD13"/>
      <c r="BE13" s="42" t="str">
        <f>+_xlfn.XLOOKUP(BE8,BASE[N° MÓDULO],BASE[% AVANCE],"",0)</f>
        <v/>
      </c>
      <c r="BF13"/>
      <c r="BG13" s="42" t="str">
        <f>+_xlfn.XLOOKUP(BG8,BASE[N° MÓDULO],BASE[% AVANCE],"",0)</f>
        <v/>
      </c>
      <c r="BH13"/>
      <c r="BI13" s="42" t="str">
        <f>+_xlfn.XLOOKUP(BI8,BASE[N° MÓDULO],BASE[% AVANCE],"",0)</f>
        <v/>
      </c>
      <c r="BJ13"/>
      <c r="BK13" s="42" t="str">
        <f>+_xlfn.XLOOKUP(BK8,BASE[N° MÓDULO],BASE[% AVANCE],"",0)</f>
        <v/>
      </c>
      <c r="BL13"/>
      <c r="BM13" s="42" t="str">
        <f>+_xlfn.XLOOKUP(BM8,BASE[N° MÓDULO],BASE[% AVANCE],"",0)</f>
        <v/>
      </c>
      <c r="BN13"/>
      <c r="BO13" s="42" t="str">
        <f>+_xlfn.XLOOKUP(BO8,BASE[N° MÓDULO],BASE[% AVANCE],"",0)</f>
        <v/>
      </c>
      <c r="BP13"/>
      <c r="BQ13" s="42" t="str">
        <f>+_xlfn.XLOOKUP(BQ8,BASE[N° MÓDULO],BASE[% AVANCE],"",0)</f>
        <v/>
      </c>
      <c r="BR13"/>
      <c r="BS13" s="42" t="str">
        <f>+_xlfn.XLOOKUP(BS8,BASE[N° MÓDULO],BASE[% AVANCE],"",0)</f>
        <v/>
      </c>
    </row>
    <row r="14" spans="27:71" ht="12.75" customHeight="1" x14ac:dyDescent="0.2">
      <c r="AA14" s="53" t="s">
        <v>111</v>
      </c>
      <c r="AB14" s="54"/>
      <c r="AC14" s="41">
        <f>+_xlfn.XLOOKUP(AA14,BASE[N° MÓDULO],BASE[% AVANCE],"",0)</f>
        <v>0.96999999999999986</v>
      </c>
      <c r="AG14" s="53" t="s">
        <v>131</v>
      </c>
      <c r="AH14" s="54"/>
      <c r="AI14" s="41">
        <f>+_xlfn.XLOOKUP(AG14,BASE[N° MÓDULO],BASE[% AVANCE],"",0)</f>
        <v>0.86499999999999999</v>
      </c>
      <c r="AM14" s="53" t="s">
        <v>139</v>
      </c>
      <c r="AN14" s="54"/>
      <c r="AO14" s="41">
        <f>+_xlfn.XLOOKUP(AM14,BASE[N° MÓDULO],BASE[% AVANCE],"",0)</f>
        <v>0.75</v>
      </c>
      <c r="AS14" s="53" t="s">
        <v>87</v>
      </c>
      <c r="AT14" s="54"/>
      <c r="AU14" s="41">
        <f>+_xlfn.XLOOKUP(AS14,BASE[N° MÓDULO],BASE[% AVANCE],"",0)</f>
        <v>0.99999999999999978</v>
      </c>
      <c r="BA14" s="51" t="str">
        <f>+_xlfn.XLOOKUP(BA8,BASE[N° MÓDULO],BASE[TIPO],"",0)</f>
        <v/>
      </c>
      <c r="BB14"/>
      <c r="BC14" s="51" t="str">
        <f>+_xlfn.XLOOKUP(BC8,BASE[N° MÓDULO],BASE[TIPO],"",0)</f>
        <v/>
      </c>
      <c r="BD14"/>
      <c r="BE14" s="51" t="str">
        <f>+_xlfn.XLOOKUP(BE8,BASE[N° MÓDULO],BASE[TIPO],"",0)</f>
        <v/>
      </c>
      <c r="BF14"/>
      <c r="BG14" s="51" t="str">
        <f>+_xlfn.XLOOKUP(BG8,BASE[N° MÓDULO],BASE[TIPO],"",0)</f>
        <v/>
      </c>
      <c r="BH14"/>
      <c r="BI14" s="51" t="str">
        <f>+_xlfn.XLOOKUP(BI8,BASE[N° MÓDULO],BASE[TIPO],"",0)</f>
        <v/>
      </c>
      <c r="BJ14"/>
      <c r="BK14" s="51" t="str">
        <f>+_xlfn.XLOOKUP(BK8,BASE[N° MÓDULO],BASE[TIPO],"",0)</f>
        <v/>
      </c>
      <c r="BL14"/>
      <c r="BM14" s="51" t="str">
        <f>+_xlfn.XLOOKUP(BM8,BASE[N° MÓDULO],BASE[TIPO],"",0)</f>
        <v/>
      </c>
      <c r="BN14"/>
      <c r="BO14" s="51" t="str">
        <f>+_xlfn.XLOOKUP(BO8,BASE[N° MÓDULO],BASE[TIPO],"",0)</f>
        <v/>
      </c>
      <c r="BP14"/>
      <c r="BQ14" s="51" t="str">
        <f>+_xlfn.XLOOKUP(BQ8,BASE[N° MÓDULO],BASE[TIPO],"",0)</f>
        <v/>
      </c>
      <c r="BR14"/>
      <c r="BS14" s="51" t="str">
        <f>+_xlfn.XLOOKUP(BS8,BASE[N° MÓDULO],BASE[TIPO],"",0)</f>
        <v/>
      </c>
    </row>
    <row r="15" spans="27:71" ht="13.5" customHeight="1" thickBot="1" x14ac:dyDescent="0.25">
      <c r="AA15" s="55"/>
      <c r="AB15" s="56"/>
      <c r="AC15" s="59" t="str">
        <f>+_xlfn.XLOOKUP(AA14,BASE[N° MÓDULO],BASE[TIPO],"",0)</f>
        <v>HUMEDO</v>
      </c>
      <c r="AG15" s="55"/>
      <c r="AH15" s="56"/>
      <c r="AI15" s="59" t="str">
        <f>+_xlfn.XLOOKUP(AG14,BASE[N° MÓDULO],BASE[TIPO],"",0)</f>
        <v>HUMEDO</v>
      </c>
      <c r="AM15" s="55"/>
      <c r="AN15" s="56"/>
      <c r="AO15" s="59" t="str">
        <f>+_xlfn.XLOOKUP(AM14,BASE[N° MÓDULO],BASE[TIPO],"",0)</f>
        <v>HUMEDO</v>
      </c>
      <c r="AS15" s="55"/>
      <c r="AT15" s="56"/>
      <c r="AU15" s="59" t="str">
        <f>+_xlfn.XLOOKUP(AS14,BASE[N° MÓDULO],BASE[TIPO],"",0)</f>
        <v>HUMEDO</v>
      </c>
      <c r="BA15" s="52"/>
      <c r="BB15"/>
      <c r="BC15" s="52"/>
      <c r="BD15"/>
      <c r="BE15" s="52"/>
      <c r="BF15"/>
      <c r="BG15" s="52"/>
      <c r="BH15"/>
      <c r="BI15" s="52"/>
      <c r="BJ15"/>
      <c r="BK15" s="52"/>
      <c r="BL15"/>
      <c r="BM15" s="52"/>
      <c r="BN15"/>
      <c r="BO15" s="52"/>
      <c r="BP15"/>
      <c r="BQ15" s="52"/>
      <c r="BR15"/>
      <c r="BS15" s="52"/>
    </row>
    <row r="16" spans="27:71" ht="13.5" customHeight="1" thickBot="1" x14ac:dyDescent="0.25">
      <c r="AA16" s="57"/>
      <c r="AB16" s="58"/>
      <c r="AC16" s="60"/>
      <c r="AG16" s="57"/>
      <c r="AH16" s="58"/>
      <c r="AI16" s="60"/>
      <c r="AM16" s="57"/>
      <c r="AN16" s="58"/>
      <c r="AO16" s="60"/>
      <c r="AS16" s="57"/>
      <c r="AT16" s="58"/>
      <c r="AU16" s="60"/>
      <c r="BA16"/>
      <c r="BB16"/>
      <c r="BC16"/>
      <c r="BD16"/>
      <c r="BE16"/>
      <c r="BF16"/>
      <c r="BG16"/>
      <c r="BH16"/>
      <c r="BI16"/>
      <c r="BJ16"/>
      <c r="BK16"/>
      <c r="BL16"/>
      <c r="BM16"/>
      <c r="BN16"/>
      <c r="BO16"/>
      <c r="BP16"/>
      <c r="BQ16"/>
      <c r="BR16"/>
      <c r="BS16"/>
    </row>
    <row r="17" spans="39:71" ht="18" x14ac:dyDescent="0.2">
      <c r="AM17"/>
      <c r="AN17"/>
      <c r="BA17" s="53" t="s">
        <v>135</v>
      </c>
      <c r="BB17" s="54"/>
      <c r="BC17" s="41">
        <f>+_xlfn.XLOOKUP(BA17,BASE[N° MÓDULO],BASE[% AVANCE],"",0)</f>
        <v>0.79999999999999993</v>
      </c>
      <c r="BD17"/>
      <c r="BE17" s="53"/>
      <c r="BF17" s="54"/>
      <c r="BG17" s="41" t="str">
        <f>+_xlfn.XLOOKUP(BE17,BASE[N° MÓDULO],BASE[% AVANCE],"",0)</f>
        <v/>
      </c>
      <c r="BH17"/>
      <c r="BI17" s="53"/>
      <c r="BJ17" s="54"/>
      <c r="BK17" s="41" t="str">
        <f>+_xlfn.XLOOKUP(BI17,BASE[N° MÓDULO],BASE[% AVANCE],"",0)</f>
        <v/>
      </c>
      <c r="BL17"/>
      <c r="BM17" s="53"/>
      <c r="BN17" s="54"/>
      <c r="BO17" s="41" t="str">
        <f>+_xlfn.XLOOKUP(BM17,BASE[N° MÓDULO],BASE[% AVANCE],"",0)</f>
        <v/>
      </c>
      <c r="BP17"/>
      <c r="BQ17" s="61" t="s">
        <v>128</v>
      </c>
      <c r="BR17" s="6"/>
      <c r="BS17" s="6"/>
    </row>
    <row r="18" spans="39:71" ht="18" x14ac:dyDescent="0.2">
      <c r="AM18"/>
      <c r="AN18"/>
      <c r="BA18" s="55"/>
      <c r="BB18" s="56"/>
      <c r="BC18" s="59" t="str">
        <f>+_xlfn.XLOOKUP(BA17,BASE[N° MÓDULO],BASE[TIPO],"",0)</f>
        <v>HUMEDO</v>
      </c>
      <c r="BD18"/>
      <c r="BE18" s="55"/>
      <c r="BF18" s="56"/>
      <c r="BG18" s="59" t="str">
        <f>+_xlfn.XLOOKUP(BE17,BASE[N° MÓDULO],BASE[TIPO],"",0)</f>
        <v/>
      </c>
      <c r="BH18"/>
      <c r="BI18" s="55"/>
      <c r="BJ18" s="56"/>
      <c r="BK18" s="59" t="str">
        <f>+_xlfn.XLOOKUP(BI17,BASE[N° MÓDULO],BASE[TIPO],"",0)</f>
        <v/>
      </c>
      <c r="BL18"/>
      <c r="BM18" s="55"/>
      <c r="BN18" s="56"/>
      <c r="BO18" s="59" t="str">
        <f>+_xlfn.XLOOKUP(BM17,BASE[N° MÓDULO],BASE[TIPO],"",0)</f>
        <v/>
      </c>
      <c r="BP18"/>
      <c r="BQ18" s="51"/>
      <c r="BR18" s="6"/>
      <c r="BS18" s="6"/>
    </row>
    <row r="19" spans="39:71" ht="18.75" thickBot="1" x14ac:dyDescent="0.25">
      <c r="AM19"/>
      <c r="AN19"/>
      <c r="BA19" s="57"/>
      <c r="BB19" s="58"/>
      <c r="BC19" s="60"/>
      <c r="BD19"/>
      <c r="BE19" s="57"/>
      <c r="BF19" s="58"/>
      <c r="BG19" s="60"/>
      <c r="BH19"/>
      <c r="BI19" s="57"/>
      <c r="BJ19" s="58"/>
      <c r="BK19" s="60"/>
      <c r="BL19"/>
      <c r="BM19" s="57"/>
      <c r="BN19" s="58"/>
      <c r="BO19" s="60"/>
      <c r="BP19"/>
      <c r="BQ19" s="51"/>
      <c r="BR19" s="6"/>
      <c r="BS19" s="6"/>
    </row>
    <row r="20" spans="39:71" ht="13.5" customHeight="1" x14ac:dyDescent="0.2">
      <c r="AM20"/>
      <c r="AN20"/>
      <c r="BA20"/>
      <c r="BB20"/>
      <c r="BC20"/>
      <c r="BD20"/>
      <c r="BE20"/>
      <c r="BF20"/>
      <c r="BG20"/>
      <c r="BH20"/>
      <c r="BI20"/>
      <c r="BJ20"/>
      <c r="BK20"/>
      <c r="BL20"/>
      <c r="BM20"/>
      <c r="BN20"/>
      <c r="BO20"/>
      <c r="BP20"/>
      <c r="BQ20" s="51"/>
      <c r="BR20"/>
      <c r="BS20"/>
    </row>
    <row r="21" spans="39:71" ht="18.75" thickBot="1" x14ac:dyDescent="0.25">
      <c r="AM21"/>
      <c r="AN21"/>
      <c r="BA21"/>
      <c r="BB21"/>
      <c r="BC21"/>
      <c r="BD21"/>
      <c r="BE21"/>
      <c r="BF21"/>
      <c r="BG21"/>
      <c r="BH21"/>
      <c r="BI21"/>
      <c r="BJ21"/>
      <c r="BK21"/>
      <c r="BL21"/>
      <c r="BM21"/>
      <c r="BN21"/>
      <c r="BO21"/>
      <c r="BP21"/>
      <c r="BQ21" s="51"/>
      <c r="BR21" s="6"/>
      <c r="BS21" s="6"/>
    </row>
    <row r="22" spans="39:71" ht="18" x14ac:dyDescent="0.2">
      <c r="AM22"/>
      <c r="AN22"/>
      <c r="BA22" s="53"/>
      <c r="BB22" s="54"/>
      <c r="BC22" s="41" t="str">
        <f>+_xlfn.XLOOKUP(BA22,BASE[N° MÓDULO],BASE[% AVANCE],"",0)</f>
        <v/>
      </c>
      <c r="BD22"/>
      <c r="BE22" s="53" t="s">
        <v>113</v>
      </c>
      <c r="BF22" s="54"/>
      <c r="BG22" s="41">
        <f>+_xlfn.XLOOKUP(BE22,BASE[N° MÓDULO],BASE[% AVANCE],"",0)</f>
        <v>0.95999999999999985</v>
      </c>
      <c r="BH22"/>
      <c r="BI22" s="53" t="s">
        <v>103</v>
      </c>
      <c r="BJ22" s="54"/>
      <c r="BK22" s="41">
        <f>+_xlfn.XLOOKUP(BI22,BASE[N° MÓDULO],BASE[% AVANCE],"",0)</f>
        <v>0.97999999999999976</v>
      </c>
      <c r="BL22"/>
      <c r="BM22" s="53"/>
      <c r="BN22" s="54"/>
      <c r="BO22" s="41" t="str">
        <f>+_xlfn.XLOOKUP(BM22,BASE[N° MÓDULO],BASE[% AVANCE],"",0)</f>
        <v/>
      </c>
      <c r="BP22"/>
      <c r="BQ22" s="42">
        <f>+_xlfn.XLOOKUP(BQ17,BASE[N° MÓDULO],BASE[% AVANCE],"",0)</f>
        <v>0.95499999999999985</v>
      </c>
      <c r="BR22" s="6"/>
      <c r="BS22" s="6"/>
    </row>
    <row r="23" spans="39:71" ht="18" x14ac:dyDescent="0.2">
      <c r="AM23"/>
      <c r="AN23"/>
      <c r="AO23"/>
      <c r="AP23"/>
      <c r="AQ23"/>
      <c r="AR23"/>
      <c r="AS23"/>
      <c r="AT23"/>
      <c r="AU23"/>
      <c r="AV23"/>
      <c r="AW23"/>
      <c r="AX23"/>
      <c r="AY23"/>
      <c r="AZ23"/>
      <c r="BA23" s="55"/>
      <c r="BB23" s="56"/>
      <c r="BC23" s="59" t="str">
        <f>+_xlfn.XLOOKUP(BA22,BASE[N° MÓDULO],BASE[TIPO],"",0)</f>
        <v/>
      </c>
      <c r="BD23"/>
      <c r="BE23" s="55"/>
      <c r="BF23" s="56"/>
      <c r="BG23" s="59" t="str">
        <f>+_xlfn.XLOOKUP(BE22,BASE[N° MÓDULO],BASE[TIPO],"",0)</f>
        <v>SECO</v>
      </c>
      <c r="BH23"/>
      <c r="BI23" s="55"/>
      <c r="BJ23" s="56"/>
      <c r="BK23" s="59" t="str">
        <f>+_xlfn.XLOOKUP(BI22,BASE[N° MÓDULO],BASE[TIPO],"",0)</f>
        <v>HUMEDO</v>
      </c>
      <c r="BL23"/>
      <c r="BM23" s="55"/>
      <c r="BN23" s="56"/>
      <c r="BO23" s="59" t="str">
        <f>+_xlfn.XLOOKUP(BM22,BASE[N° MÓDULO],BASE[TIPO],"",0)</f>
        <v/>
      </c>
      <c r="BP23"/>
      <c r="BQ23" s="51" t="str">
        <f>+_xlfn.XLOOKUP(BQ17,BASE[N° MÓDULO],BASE[TIPO],"",0)</f>
        <v>SECO</v>
      </c>
      <c r="BR23" s="6"/>
      <c r="BS23" s="6"/>
    </row>
    <row r="24" spans="39:71" ht="13.5" customHeight="1" thickBot="1" x14ac:dyDescent="0.25">
      <c r="AM24"/>
      <c r="AN24"/>
      <c r="AO24"/>
      <c r="AP24"/>
      <c r="AQ24"/>
      <c r="AR24"/>
      <c r="AS24"/>
      <c r="AT24"/>
      <c r="AU24"/>
      <c r="AV24"/>
      <c r="AW24"/>
      <c r="AX24"/>
      <c r="AY24"/>
      <c r="AZ24"/>
      <c r="BA24" s="57"/>
      <c r="BB24" s="58"/>
      <c r="BC24" s="60"/>
      <c r="BD24"/>
      <c r="BE24" s="57"/>
      <c r="BF24" s="58"/>
      <c r="BG24" s="60"/>
      <c r="BH24"/>
      <c r="BI24" s="57"/>
      <c r="BJ24" s="58"/>
      <c r="BK24" s="60"/>
      <c r="BL24"/>
      <c r="BM24" s="57"/>
      <c r="BN24" s="58"/>
      <c r="BO24" s="60"/>
      <c r="BP24"/>
      <c r="BQ24" s="52"/>
      <c r="BR24"/>
      <c r="BS24"/>
    </row>
    <row r="25" spans="39:71" ht="12.75" customHeight="1" x14ac:dyDescent="0.2">
      <c r="AM25"/>
      <c r="AN25"/>
      <c r="AO25"/>
      <c r="AP25"/>
      <c r="AQ25"/>
      <c r="BE25"/>
      <c r="BF25"/>
      <c r="BG25"/>
      <c r="BH25"/>
      <c r="BI25"/>
    </row>
    <row r="26" spans="39:71" ht="13.5" customHeight="1" x14ac:dyDescent="0.2">
      <c r="AM26"/>
      <c r="AN26"/>
      <c r="AO26"/>
      <c r="AP26"/>
      <c r="AQ26"/>
      <c r="BE26"/>
      <c r="BF26"/>
      <c r="BG26"/>
      <c r="BH26"/>
      <c r="BI26"/>
    </row>
    <row r="27" spans="39:71" x14ac:dyDescent="0.2">
      <c r="AM27"/>
      <c r="BI27"/>
    </row>
    <row r="28" spans="39:71" x14ac:dyDescent="0.2">
      <c r="AM28"/>
    </row>
    <row r="29" spans="39:71" x14ac:dyDescent="0.2">
      <c r="AM29"/>
    </row>
    <row r="37" spans="19:50" ht="24" x14ac:dyDescent="0.2">
      <c r="AG37" s="7"/>
    </row>
    <row r="38" spans="19:50" ht="12.75" customHeight="1" x14ac:dyDescent="0.2">
      <c r="AG38" s="7"/>
      <c r="AQ38" s="8"/>
      <c r="AR38" s="8"/>
      <c r="AS38" s="8"/>
      <c r="AT38" s="8"/>
      <c r="AU38" s="8"/>
      <c r="AV38" s="8"/>
      <c r="AW38" s="8"/>
      <c r="AX38" s="8"/>
    </row>
    <row r="39" spans="19:50" ht="13.5" customHeight="1" x14ac:dyDescent="0.2">
      <c r="AG39" s="7"/>
      <c r="AN39" s="9"/>
      <c r="AQ39" s="8"/>
      <c r="AR39" s="8"/>
      <c r="AS39" s="8"/>
      <c r="AT39" s="8"/>
      <c r="AU39" s="8"/>
      <c r="AV39" s="8"/>
      <c r="AW39" s="8"/>
      <c r="AX39" s="8"/>
    </row>
    <row r="40" spans="19:50" ht="12.75" customHeight="1" thickBot="1" x14ac:dyDescent="0.25">
      <c r="AG40" s="7"/>
      <c r="AN40" s="9"/>
      <c r="AS40" s="8"/>
    </row>
    <row r="41" spans="19:50" ht="12.75" customHeight="1" x14ac:dyDescent="0.2">
      <c r="S41" s="81" t="s">
        <v>48</v>
      </c>
      <c r="T41" s="82"/>
      <c r="U41" s="82"/>
      <c r="V41" s="82"/>
      <c r="W41" s="83"/>
      <c r="Y41" s="14"/>
      <c r="Z41" s="15"/>
      <c r="AA41" s="15"/>
      <c r="AB41" s="23"/>
      <c r="AC41" s="23"/>
      <c r="AD41" s="15"/>
      <c r="AE41" s="15"/>
      <c r="AF41" s="15"/>
      <c r="AG41" s="24"/>
      <c r="AH41" s="15"/>
      <c r="AI41" s="15"/>
      <c r="AJ41" s="15"/>
      <c r="AK41" s="15"/>
      <c r="AL41" s="15"/>
      <c r="AM41" s="15"/>
      <c r="AN41" s="15"/>
      <c r="AO41" s="15"/>
      <c r="AP41" s="15"/>
      <c r="AQ41" s="15"/>
      <c r="AR41" s="15"/>
      <c r="AS41" s="12"/>
    </row>
    <row r="42" spans="19:50" ht="12.75" customHeight="1" x14ac:dyDescent="0.2">
      <c r="S42" s="84"/>
      <c r="T42" s="85"/>
      <c r="U42" s="85"/>
      <c r="V42" s="85"/>
      <c r="W42" s="86"/>
      <c r="Y42" s="17"/>
      <c r="AB42" s="2"/>
      <c r="AC42" s="2"/>
      <c r="AG42" s="7"/>
      <c r="AS42" s="25"/>
    </row>
    <row r="43" spans="19:50" ht="12.75" customHeight="1" thickBot="1" x14ac:dyDescent="0.25">
      <c r="S43" s="84"/>
      <c r="T43" s="85"/>
      <c r="U43" s="85"/>
      <c r="V43" s="85"/>
      <c r="W43" s="86"/>
      <c r="Y43" s="17"/>
      <c r="AB43" s="2"/>
      <c r="AC43" s="2"/>
      <c r="AD43" s="2"/>
      <c r="AE43" s="2"/>
      <c r="AF43" s="2"/>
      <c r="AS43" s="25"/>
    </row>
    <row r="44" spans="19:50" ht="18" customHeight="1" x14ac:dyDescent="0.2">
      <c r="S44" s="84"/>
      <c r="T44" s="85"/>
      <c r="U44" s="85"/>
      <c r="V44" s="85"/>
      <c r="W44" s="86"/>
      <c r="Y44" s="17"/>
      <c r="AA44" s="62" t="s">
        <v>130</v>
      </c>
      <c r="AC44" s="64" t="s">
        <v>144</v>
      </c>
      <c r="AD44" s="65"/>
      <c r="AE44" s="44">
        <f>+_xlfn.XLOOKUP(AC44,BASE[N° MÓDULO],BASE[% AVANCE],"",0)</f>
        <v>0.94</v>
      </c>
      <c r="AF44" s="5"/>
      <c r="AG44" s="62" t="s">
        <v>168</v>
      </c>
      <c r="AK44" s="62" t="s">
        <v>126</v>
      </c>
      <c r="AM44" s="64" t="s">
        <v>122</v>
      </c>
      <c r="AN44" s="65"/>
      <c r="AO44" s="41">
        <f>+_xlfn.XLOOKUP(AM44,BASE[N° MÓDULO],BASE[% AVANCE],"",0)</f>
        <v>0.74</v>
      </c>
      <c r="AP44" s="5"/>
      <c r="AQ44" s="62" t="s">
        <v>125</v>
      </c>
      <c r="AS44" s="25"/>
    </row>
    <row r="45" spans="19:50" ht="23.25" x14ac:dyDescent="0.2">
      <c r="S45" s="84"/>
      <c r="T45" s="85"/>
      <c r="U45" s="85"/>
      <c r="V45" s="85"/>
      <c r="W45" s="86"/>
      <c r="Y45" s="17"/>
      <c r="AA45" s="63"/>
      <c r="AC45" s="66"/>
      <c r="AD45" s="67"/>
      <c r="AE45" s="76" t="str">
        <f>+_xlfn.XLOOKUP(AC44,BASE[N° MÓDULO],BASE[TIPO],"",0)</f>
        <v>SECO</v>
      </c>
      <c r="AF45" s="5"/>
      <c r="AG45" s="63"/>
      <c r="AK45" s="63"/>
      <c r="AM45" s="66"/>
      <c r="AN45" s="67"/>
      <c r="AO45" s="59" t="str">
        <f>+_xlfn.XLOOKUP(AM44,BASE[N° MÓDULO],BASE[TIPO],"",0)</f>
        <v>HUMEDO</v>
      </c>
      <c r="AP45" s="5"/>
      <c r="AQ45" s="63"/>
      <c r="AS45" s="25"/>
    </row>
    <row r="46" spans="19:50" ht="12.75" customHeight="1" thickBot="1" x14ac:dyDescent="0.25">
      <c r="S46" s="84"/>
      <c r="T46" s="85"/>
      <c r="U46" s="85"/>
      <c r="V46" s="85"/>
      <c r="W46" s="86"/>
      <c r="Y46" s="17"/>
      <c r="AA46" s="63"/>
      <c r="AC46" s="68"/>
      <c r="AD46" s="69"/>
      <c r="AE46" s="77"/>
      <c r="AF46" s="5"/>
      <c r="AG46" s="63"/>
      <c r="AH46" s="5"/>
      <c r="AI46" s="5"/>
      <c r="AJ46" s="5"/>
      <c r="AK46" s="63"/>
      <c r="AM46" s="68"/>
      <c r="AN46" s="69"/>
      <c r="AO46" s="60"/>
      <c r="AP46" s="5"/>
      <c r="AQ46" s="63"/>
      <c r="AS46" s="25"/>
    </row>
    <row r="47" spans="19:50" ht="12.75" customHeight="1" x14ac:dyDescent="0.2">
      <c r="S47" s="84"/>
      <c r="T47" s="85"/>
      <c r="U47" s="85"/>
      <c r="V47" s="85"/>
      <c r="W47" s="86"/>
      <c r="Y47" s="17"/>
      <c r="AA47" s="63"/>
      <c r="AC47" s="5"/>
      <c r="AD47" s="5"/>
      <c r="AE47" s="5"/>
      <c r="AF47" s="5"/>
      <c r="AG47" s="63"/>
      <c r="AH47" s="5"/>
      <c r="AI47" s="5"/>
      <c r="AJ47" s="5"/>
      <c r="AK47" s="63"/>
      <c r="AM47" s="5"/>
      <c r="AN47" s="5"/>
      <c r="AO47" s="5"/>
      <c r="AP47" s="5"/>
      <c r="AQ47" s="63"/>
      <c r="AS47" s="25"/>
    </row>
    <row r="48" spans="19:50" ht="12.75" customHeight="1" thickBot="1" x14ac:dyDescent="0.25">
      <c r="S48" s="84"/>
      <c r="T48" s="85"/>
      <c r="U48" s="85"/>
      <c r="V48" s="85"/>
      <c r="W48" s="86"/>
      <c r="Y48" s="17"/>
      <c r="AA48" s="63"/>
      <c r="AF48" s="5"/>
      <c r="AG48" s="63"/>
      <c r="AH48" s="5"/>
      <c r="AI48" s="5"/>
      <c r="AJ48" s="5"/>
      <c r="AK48" s="63"/>
      <c r="AP48" s="5"/>
      <c r="AQ48" s="63"/>
      <c r="AS48" s="25"/>
    </row>
    <row r="49" spans="19:74" ht="12.75" customHeight="1" x14ac:dyDescent="0.2">
      <c r="S49" s="84"/>
      <c r="T49" s="85"/>
      <c r="U49" s="85"/>
      <c r="V49" s="85"/>
      <c r="W49" s="86"/>
      <c r="Y49" s="17"/>
      <c r="AA49" s="43">
        <f>+_xlfn.XLOOKUP(AA44,BASE[N° MÓDULO],BASE[% AVANCE],"",0)</f>
        <v>0.80499999999999994</v>
      </c>
      <c r="AC49" s="64" t="s">
        <v>147</v>
      </c>
      <c r="AD49" s="65"/>
      <c r="AE49" s="44">
        <f>+_xlfn.XLOOKUP(AC49,BASE[N° MÓDULO],BASE[% AVANCE],"",0)</f>
        <v>0.63</v>
      </c>
      <c r="AF49" s="5"/>
      <c r="AG49" s="43">
        <f>+_xlfn.XLOOKUP(AG44,BASE[N° MÓDULO],BASE[% AVANCE],"",0)</f>
        <v>0.80499999999999994</v>
      </c>
      <c r="AH49" s="5"/>
      <c r="AI49" s="5"/>
      <c r="AJ49" s="5"/>
      <c r="AK49" s="43">
        <f>+_xlfn.XLOOKUP(AK44,BASE[N° MÓDULO],BASE[% AVANCE],"",0)</f>
        <v>0.83499999999999996</v>
      </c>
      <c r="AM49" s="64" t="s">
        <v>132</v>
      </c>
      <c r="AN49" s="65"/>
      <c r="AO49" s="41">
        <f>+_xlfn.XLOOKUP(AM49,BASE[N° MÓDULO],BASE[% AVANCE],"",0)</f>
        <v>0.95499999999999985</v>
      </c>
      <c r="AP49" s="5"/>
      <c r="AQ49" s="43">
        <f>+_xlfn.XLOOKUP(AQ44,BASE[N° MÓDULO],BASE[% AVANCE],"",0)</f>
        <v>0.95999999999999985</v>
      </c>
      <c r="AS49" s="25"/>
    </row>
    <row r="50" spans="19:74" ht="12.75" customHeight="1" x14ac:dyDescent="0.2">
      <c r="S50" s="84"/>
      <c r="T50" s="85"/>
      <c r="U50" s="85"/>
      <c r="V50" s="85"/>
      <c r="W50" s="86"/>
      <c r="Y50" s="17"/>
      <c r="AA50" s="49" t="str">
        <f>+_xlfn.XLOOKUP(AA44,BASE[N° MÓDULO],BASE[TIPO],"",0)</f>
        <v>HUMEDO</v>
      </c>
      <c r="AC50" s="66"/>
      <c r="AD50" s="67"/>
      <c r="AE50" s="76" t="str">
        <f>+_xlfn.XLOOKUP(AC49,BASE[N° MÓDULO],BASE[TIPO],"",0)</f>
        <v>HUMEDO</v>
      </c>
      <c r="AF50" s="5"/>
      <c r="AG50" s="49" t="str">
        <f>+_xlfn.XLOOKUP(AG44,BASE[N° MÓDULO],BASE[TIPO],"",0)</f>
        <v>SECO</v>
      </c>
      <c r="AH50" s="5"/>
      <c r="AI50" s="5"/>
      <c r="AJ50" s="5"/>
      <c r="AK50" s="49" t="str">
        <f>+_xlfn.XLOOKUP(AK44,BASE[N° MÓDULO],BASE[TIPO],"",0)</f>
        <v>HUMEDO</v>
      </c>
      <c r="AM50" s="66"/>
      <c r="AN50" s="67"/>
      <c r="AO50" s="59" t="str">
        <f>+_xlfn.XLOOKUP(AM49,BASE[N° MÓDULO],BASE[TIPO],"",0)</f>
        <v>SECO</v>
      </c>
      <c r="AP50" s="5"/>
      <c r="AQ50" s="49" t="str">
        <f>+_xlfn.XLOOKUP(AQ44,BASE[N° MÓDULO],BASE[TIPO],"",0)</f>
        <v>SECO</v>
      </c>
      <c r="AS50" s="25"/>
    </row>
    <row r="51" spans="19:74" ht="12.75" customHeight="1" thickBot="1" x14ac:dyDescent="0.25">
      <c r="S51" s="84"/>
      <c r="T51" s="85"/>
      <c r="U51" s="85"/>
      <c r="V51" s="85"/>
      <c r="W51" s="86"/>
      <c r="Y51" s="17"/>
      <c r="AA51" s="50"/>
      <c r="AC51" s="68"/>
      <c r="AD51" s="69"/>
      <c r="AE51" s="77"/>
      <c r="AF51" s="5"/>
      <c r="AG51" s="50"/>
      <c r="AH51" s="5"/>
      <c r="AK51" s="50"/>
      <c r="AM51" s="68"/>
      <c r="AN51" s="69"/>
      <c r="AO51" s="60"/>
      <c r="AP51" s="5"/>
      <c r="AQ51" s="50"/>
      <c r="AS51" s="25"/>
      <c r="AX51"/>
      <c r="AY51"/>
      <c r="AZ51"/>
      <c r="BA51"/>
      <c r="BB51"/>
      <c r="BC51"/>
      <c r="BP51"/>
      <c r="BQ51"/>
      <c r="BR51"/>
      <c r="BS51"/>
      <c r="BT51"/>
      <c r="BU51"/>
      <c r="BV51"/>
    </row>
    <row r="52" spans="19:74" ht="12.75" customHeight="1" thickBot="1" x14ac:dyDescent="0.25">
      <c r="S52" s="84"/>
      <c r="T52" s="85"/>
      <c r="U52" s="85"/>
      <c r="V52" s="85"/>
      <c r="W52" s="86"/>
      <c r="Y52" s="17"/>
      <c r="AH52" s="5"/>
      <c r="AS52" s="25"/>
      <c r="AX52"/>
      <c r="AY52"/>
      <c r="AZ52"/>
      <c r="BA52"/>
      <c r="BB52"/>
      <c r="BC52"/>
      <c r="BP52"/>
      <c r="BQ52"/>
      <c r="BR52"/>
      <c r="BS52"/>
      <c r="BT52"/>
      <c r="BU52"/>
      <c r="BV52"/>
    </row>
    <row r="53" spans="19:74" ht="13.5" customHeight="1" x14ac:dyDescent="0.2">
      <c r="S53" s="84"/>
      <c r="T53" s="85"/>
      <c r="U53" s="85"/>
      <c r="V53" s="85"/>
      <c r="W53" s="86"/>
      <c r="Y53" s="17"/>
      <c r="AA53" s="62" t="s">
        <v>133</v>
      </c>
      <c r="AC53" s="64"/>
      <c r="AD53" s="65"/>
      <c r="AE53" s="44" t="str">
        <f>+_xlfn.XLOOKUP(AC53,BASE[N° MÓDULO],BASE[% AVANCE],"",0)</f>
        <v/>
      </c>
      <c r="AF53" s="5"/>
      <c r="AG53" s="62" t="s">
        <v>159</v>
      </c>
      <c r="AH53" s="5"/>
      <c r="AK53" s="62" t="s">
        <v>121</v>
      </c>
      <c r="AM53" s="64" t="s">
        <v>136</v>
      </c>
      <c r="AN53" s="65"/>
      <c r="AO53" s="41">
        <f>+_xlfn.XLOOKUP(AM53,BASE[N° MÓDULO],BASE[% AVANCE],"",0)</f>
        <v>0.97499999999999987</v>
      </c>
      <c r="AP53" s="5"/>
      <c r="AQ53" s="62" t="s">
        <v>124</v>
      </c>
      <c r="AS53" s="25"/>
      <c r="AX53"/>
      <c r="AY53"/>
      <c r="AZ53" s="26"/>
      <c r="BA53" s="27"/>
      <c r="BB53" s="27"/>
      <c r="BC53" s="27"/>
      <c r="BD53" s="15"/>
      <c r="BE53" s="15"/>
      <c r="BF53" s="15"/>
      <c r="BG53" s="15"/>
      <c r="BH53" s="15"/>
      <c r="BI53" s="15"/>
      <c r="BJ53" s="15"/>
      <c r="BK53" s="15"/>
      <c r="BL53" s="15"/>
      <c r="BM53" s="15"/>
      <c r="BN53" s="15"/>
      <c r="BO53" s="15"/>
      <c r="BP53" s="27"/>
      <c r="BQ53" s="27"/>
      <c r="BR53" s="27"/>
      <c r="BS53" s="27"/>
      <c r="BT53" s="28"/>
      <c r="BU53"/>
      <c r="BV53"/>
    </row>
    <row r="54" spans="19:74" ht="18.75" customHeight="1" x14ac:dyDescent="0.2">
      <c r="S54" s="84"/>
      <c r="T54" s="85"/>
      <c r="U54" s="85"/>
      <c r="V54" s="85"/>
      <c r="W54" s="86"/>
      <c r="Y54" s="17"/>
      <c r="AA54" s="63"/>
      <c r="AC54" s="66"/>
      <c r="AD54" s="67"/>
      <c r="AE54" s="76" t="str">
        <f>+_xlfn.XLOOKUP(AC53,BASE[N° MÓDULO],BASE[TIPO],"",0)</f>
        <v/>
      </c>
      <c r="AF54" s="5"/>
      <c r="AG54" s="63"/>
      <c r="AK54" s="63"/>
      <c r="AM54" s="66"/>
      <c r="AN54" s="67"/>
      <c r="AO54" s="59" t="str">
        <f>+_xlfn.XLOOKUP(AM53,BASE[N° MÓDULO],BASE[TIPO],"",0)</f>
        <v>SECO</v>
      </c>
      <c r="AP54" s="5"/>
      <c r="AQ54" s="63"/>
      <c r="AS54" s="25"/>
      <c r="AX54"/>
      <c r="AY54"/>
      <c r="AZ54" s="29"/>
      <c r="BA54"/>
      <c r="BB54"/>
      <c r="BC54"/>
      <c r="BP54"/>
      <c r="BQ54"/>
      <c r="BR54"/>
      <c r="BS54"/>
      <c r="BT54" s="22"/>
      <c r="BU54"/>
      <c r="BV54"/>
    </row>
    <row r="55" spans="19:74" ht="24" thickBot="1" x14ac:dyDescent="0.25">
      <c r="S55" s="84"/>
      <c r="T55" s="85"/>
      <c r="U55" s="85"/>
      <c r="V55" s="85"/>
      <c r="W55" s="86"/>
      <c r="Y55" s="17"/>
      <c r="AA55" s="63"/>
      <c r="AC55" s="68"/>
      <c r="AD55" s="69"/>
      <c r="AE55" s="77"/>
      <c r="AF55" s="5"/>
      <c r="AG55" s="63"/>
      <c r="AK55" s="63"/>
      <c r="AM55" s="68"/>
      <c r="AN55" s="69"/>
      <c r="AO55" s="60"/>
      <c r="AP55" s="5"/>
      <c r="AQ55" s="63"/>
      <c r="AS55" s="25"/>
      <c r="AX55"/>
      <c r="AY55"/>
      <c r="AZ55" s="29"/>
      <c r="BA55"/>
      <c r="BB55" s="3"/>
      <c r="BC55" s="3"/>
      <c r="BD55" s="3"/>
      <c r="BE55"/>
      <c r="BF55"/>
      <c r="BG55"/>
      <c r="BH55"/>
      <c r="BI55"/>
      <c r="BJ55"/>
      <c r="BK55"/>
      <c r="BL55"/>
      <c r="BM55"/>
      <c r="BN55"/>
      <c r="BO55"/>
      <c r="BP55"/>
      <c r="BQ55"/>
      <c r="BR55"/>
      <c r="BS55"/>
      <c r="BT55" s="22"/>
      <c r="BU55"/>
      <c r="BV55"/>
    </row>
    <row r="56" spans="19:74" ht="18" customHeight="1" x14ac:dyDescent="0.2">
      <c r="S56" s="84"/>
      <c r="T56" s="85"/>
      <c r="U56" s="85"/>
      <c r="V56" s="85"/>
      <c r="W56" s="86"/>
      <c r="Y56" s="17"/>
      <c r="AA56" s="63"/>
      <c r="AC56" s="5"/>
      <c r="AD56" s="5"/>
      <c r="AE56" s="5"/>
      <c r="AF56" s="5"/>
      <c r="AG56" s="63"/>
      <c r="AK56" s="63"/>
      <c r="AM56" s="5"/>
      <c r="AN56" s="5"/>
      <c r="AO56" s="5"/>
      <c r="AP56" s="5"/>
      <c r="AQ56" s="63"/>
      <c r="AS56" s="25"/>
      <c r="AX56"/>
      <c r="AY56"/>
      <c r="AZ56" s="29"/>
      <c r="BA56" s="53" t="s">
        <v>158</v>
      </c>
      <c r="BB56" s="54"/>
      <c r="BC56" s="41">
        <f>+_xlfn.XLOOKUP(BA56,BASE[N° MÓDULO],BASE[% AVANCE],"",0)</f>
        <v>0.56999999999999995</v>
      </c>
      <c r="BD56"/>
      <c r="BE56" s="53" t="s">
        <v>155</v>
      </c>
      <c r="BF56" s="54"/>
      <c r="BG56" s="41">
        <f>+_xlfn.XLOOKUP(BE56,BASE[N° MÓDULO],BASE[% AVANCE],"",0)</f>
        <v>0.57999999999999996</v>
      </c>
      <c r="BH56"/>
      <c r="BI56" s="70" t="s">
        <v>142</v>
      </c>
      <c r="BJ56" s="71"/>
      <c r="BK56" s="41">
        <f>+_xlfn.XLOOKUP(BI56,BASE[N° MÓDULO],BASE[% AVANCE],"",0)</f>
        <v>0.59</v>
      </c>
      <c r="BL56"/>
      <c r="BM56" s="70" t="s">
        <v>119</v>
      </c>
      <c r="BN56" s="71"/>
      <c r="BO56" s="41">
        <f>+_xlfn.XLOOKUP(BM56,BASE[N° MÓDULO],BASE[% AVANCE],"",0)</f>
        <v>0.86499999999999999</v>
      </c>
      <c r="BP56"/>
      <c r="BQ56" s="70" t="s">
        <v>114</v>
      </c>
      <c r="BR56" s="71"/>
      <c r="BS56" s="41">
        <f>+_xlfn.XLOOKUP(BQ56,BASE[N° MÓDULO],BASE[% AVANCE],"",0)</f>
        <v>0.98499999999999988</v>
      </c>
      <c r="BT56" s="22"/>
      <c r="BU56"/>
      <c r="BV56"/>
    </row>
    <row r="57" spans="19:74" ht="12.75" customHeight="1" thickBot="1" x14ac:dyDescent="0.25">
      <c r="S57" s="84"/>
      <c r="T57" s="85"/>
      <c r="U57" s="85"/>
      <c r="V57" s="85"/>
      <c r="W57" s="86"/>
      <c r="Y57" s="17"/>
      <c r="AA57" s="63"/>
      <c r="AF57" s="5"/>
      <c r="AG57" s="63"/>
      <c r="AH57" s="5"/>
      <c r="AI57" s="5"/>
      <c r="AJ57" s="5"/>
      <c r="AK57" s="63"/>
      <c r="AP57" s="5"/>
      <c r="AQ57" s="63"/>
      <c r="AS57" s="25"/>
      <c r="AX57"/>
      <c r="AY57"/>
      <c r="AZ57" s="29"/>
      <c r="BA57" s="55"/>
      <c r="BB57" s="56"/>
      <c r="BC57" s="59" t="str">
        <f>+_xlfn.XLOOKUP(BA56,BASE[N° MÓDULO],BASE[TIPO],"",0)</f>
        <v>HUMEDO</v>
      </c>
      <c r="BD57"/>
      <c r="BE57" s="55"/>
      <c r="BF57" s="56"/>
      <c r="BG57" s="59" t="str">
        <f>+_xlfn.XLOOKUP(BE56,BASE[N° MÓDULO],BASE[TIPO],"",0)</f>
        <v>HUMEDO</v>
      </c>
      <c r="BH57"/>
      <c r="BI57" s="72"/>
      <c r="BJ57" s="73"/>
      <c r="BK57" s="59" t="str">
        <f>+_xlfn.XLOOKUP(BI56,BASE[N° MÓDULO],BASE[TIPO],"",0)</f>
        <v>HUMEDO</v>
      </c>
      <c r="BL57"/>
      <c r="BM57" s="72"/>
      <c r="BN57" s="73"/>
      <c r="BO57" s="59" t="str">
        <f>+_xlfn.XLOOKUP(BM56,BASE[N° MÓDULO],BASE[TIPO],"",0)</f>
        <v>HUMEDO</v>
      </c>
      <c r="BP57"/>
      <c r="BQ57" s="72"/>
      <c r="BR57" s="73"/>
      <c r="BS57" s="59" t="str">
        <f>+_xlfn.XLOOKUP(BQ56,BASE[N° MÓDULO],BASE[TIPO],"",0)</f>
        <v>HUMEDO</v>
      </c>
      <c r="BT57" s="22"/>
      <c r="BU57"/>
      <c r="BV57"/>
    </row>
    <row r="58" spans="19:74" ht="12.75" customHeight="1" thickBot="1" x14ac:dyDescent="0.25">
      <c r="S58" s="84"/>
      <c r="T58" s="85"/>
      <c r="U58" s="85"/>
      <c r="V58" s="85"/>
      <c r="W58" s="86"/>
      <c r="Y58" s="17"/>
      <c r="AA58" s="43">
        <f>+_xlfn.XLOOKUP(AA53,BASE[N° MÓDULO],BASE[% AVANCE],"",0)</f>
        <v>0.94999999999999984</v>
      </c>
      <c r="AC58" s="64" t="s">
        <v>143</v>
      </c>
      <c r="AD58" s="65"/>
      <c r="AE58" s="44">
        <f>+_xlfn.XLOOKUP(AC58,BASE[N° MÓDULO],BASE[% AVANCE],"",0)</f>
        <v>0.7</v>
      </c>
      <c r="AF58" s="5"/>
      <c r="AG58" s="43">
        <f>+_xlfn.XLOOKUP(AG53,BASE[N° MÓDULO],BASE[% AVANCE],"",0)</f>
        <v>0.63</v>
      </c>
      <c r="AJ58" s="5"/>
      <c r="AK58" s="43">
        <f>+_xlfn.XLOOKUP(AK53,BASE[N° MÓDULO],BASE[% AVANCE],"",0)</f>
        <v>0.97499999999999987</v>
      </c>
      <c r="AM58" s="64" t="s">
        <v>146</v>
      </c>
      <c r="AN58" s="65"/>
      <c r="AO58" s="41">
        <f>+_xlfn.XLOOKUP(AM58,BASE[N° MÓDULO],BASE[% AVANCE],"",0)</f>
        <v>0.69</v>
      </c>
      <c r="AP58" s="5"/>
      <c r="AQ58" s="43">
        <f>+_xlfn.XLOOKUP(AQ53,BASE[N° MÓDULO],BASE[% AVANCE],"",0)</f>
        <v>0.96999999999999975</v>
      </c>
      <c r="AS58" s="25"/>
      <c r="AU58" s="62"/>
      <c r="AX58"/>
      <c r="AY58"/>
      <c r="AZ58" s="29"/>
      <c r="BA58" s="57"/>
      <c r="BB58" s="58"/>
      <c r="BC58" s="60"/>
      <c r="BD58"/>
      <c r="BE58" s="57"/>
      <c r="BF58" s="58"/>
      <c r="BG58" s="60"/>
      <c r="BH58"/>
      <c r="BI58" s="74"/>
      <c r="BJ58" s="75"/>
      <c r="BK58" s="60"/>
      <c r="BL58"/>
      <c r="BM58" s="74"/>
      <c r="BN58" s="75"/>
      <c r="BO58" s="60"/>
      <c r="BP58"/>
      <c r="BQ58" s="74"/>
      <c r="BR58" s="75"/>
      <c r="BS58" s="60"/>
      <c r="BT58" s="22"/>
      <c r="BU58"/>
      <c r="BV58"/>
    </row>
    <row r="59" spans="19:74" ht="13.5" customHeight="1" thickBot="1" x14ac:dyDescent="0.25">
      <c r="S59" s="84"/>
      <c r="T59" s="85"/>
      <c r="U59" s="85"/>
      <c r="V59" s="85"/>
      <c r="W59" s="86"/>
      <c r="Y59" s="17"/>
      <c r="AA59" s="49" t="str">
        <f>+_xlfn.XLOOKUP(AA53,BASE[N° MÓDULO],BASE[TIPO],"",0)</f>
        <v>SECO</v>
      </c>
      <c r="AC59" s="66"/>
      <c r="AD59" s="67"/>
      <c r="AE59" s="76" t="str">
        <f>+_xlfn.XLOOKUP(AC58,BASE[N° MÓDULO],BASE[TIPO],"",0)</f>
        <v>HUMEDO</v>
      </c>
      <c r="AF59" s="5"/>
      <c r="AG59" s="49" t="str">
        <f>+_xlfn.XLOOKUP(AG53,BASE[N° MÓDULO],BASE[TIPO],"",0)</f>
        <v>HUMEDO</v>
      </c>
      <c r="AJ59" s="5"/>
      <c r="AK59" s="49" t="str">
        <f>+_xlfn.XLOOKUP(AK53,BASE[N° MÓDULO],BASE[TIPO],"",0)</f>
        <v>SECO</v>
      </c>
      <c r="AM59" s="66"/>
      <c r="AN59" s="67"/>
      <c r="AO59" s="59" t="str">
        <f>+_xlfn.XLOOKUP(AM58,BASE[N° MÓDULO],BASE[TIPO],"",0)</f>
        <v>HUMEDO</v>
      </c>
      <c r="AP59" s="5"/>
      <c r="AQ59" s="49" t="str">
        <f>+_xlfn.XLOOKUP(AQ53,BASE[N° MÓDULO],BASE[TIPO],"",0)</f>
        <v>SECO</v>
      </c>
      <c r="AS59" s="25"/>
      <c r="AU59" s="63"/>
      <c r="AX59"/>
      <c r="AY59"/>
      <c r="AZ59" s="29"/>
      <c r="BA59"/>
      <c r="BB59"/>
      <c r="BC59"/>
      <c r="BD59"/>
      <c r="BE59"/>
      <c r="BF59"/>
      <c r="BG59"/>
      <c r="BH59"/>
      <c r="BI59"/>
      <c r="BJ59"/>
      <c r="BK59"/>
      <c r="BL59"/>
      <c r="BM59"/>
      <c r="BN59"/>
      <c r="BO59"/>
      <c r="BP59"/>
      <c r="BQ59"/>
      <c r="BR59"/>
      <c r="BS59"/>
      <c r="BT59" s="22"/>
      <c r="BU59"/>
      <c r="BV59"/>
    </row>
    <row r="60" spans="19:74" ht="24" thickBot="1" x14ac:dyDescent="0.25">
      <c r="S60" s="84"/>
      <c r="T60" s="85"/>
      <c r="U60" s="85"/>
      <c r="V60" s="85"/>
      <c r="W60" s="86"/>
      <c r="Y60" s="17"/>
      <c r="AA60" s="50"/>
      <c r="AC60" s="68"/>
      <c r="AD60" s="69"/>
      <c r="AE60" s="77"/>
      <c r="AF60" s="5"/>
      <c r="AG60" s="50"/>
      <c r="AK60" s="50"/>
      <c r="AM60" s="68"/>
      <c r="AN60" s="69"/>
      <c r="AO60" s="60"/>
      <c r="AP60" s="5"/>
      <c r="AQ60" s="50"/>
      <c r="AS60" s="25"/>
      <c r="AU60" s="63"/>
      <c r="AX60"/>
      <c r="AY60"/>
      <c r="AZ60" s="29"/>
      <c r="BA60" s="61"/>
      <c r="BB60"/>
      <c r="BC60" s="61"/>
      <c r="BD60"/>
      <c r="BE60" s="61"/>
      <c r="BF60"/>
      <c r="BG60" s="61"/>
      <c r="BH60"/>
      <c r="BI60" s="61"/>
      <c r="BJ60"/>
      <c r="BK60" s="61"/>
      <c r="BL60"/>
      <c r="BM60" s="61" t="s">
        <v>129</v>
      </c>
      <c r="BN60"/>
      <c r="BO60" s="61" t="s">
        <v>127</v>
      </c>
      <c r="BP60"/>
      <c r="BQ60" s="61" t="s">
        <v>123</v>
      </c>
      <c r="BR60"/>
      <c r="BS60" s="61" t="s">
        <v>118</v>
      </c>
      <c r="BT60" s="22"/>
      <c r="BU60"/>
      <c r="BV60"/>
    </row>
    <row r="61" spans="19:74" ht="13.5" customHeight="1" thickBot="1" x14ac:dyDescent="0.25">
      <c r="S61" s="84"/>
      <c r="T61" s="85"/>
      <c r="U61" s="85"/>
      <c r="V61" s="85"/>
      <c r="W61" s="86"/>
      <c r="Y61" s="17"/>
      <c r="AS61" s="25"/>
      <c r="AU61" s="63"/>
      <c r="AX61"/>
      <c r="AY61"/>
      <c r="AZ61" s="29"/>
      <c r="BA61" s="51"/>
      <c r="BB61"/>
      <c r="BC61" s="51"/>
      <c r="BD61"/>
      <c r="BE61" s="51"/>
      <c r="BF61"/>
      <c r="BG61" s="51"/>
      <c r="BH61"/>
      <c r="BI61" s="51"/>
      <c r="BJ61"/>
      <c r="BK61" s="51"/>
      <c r="BL61"/>
      <c r="BM61" s="51"/>
      <c r="BN61"/>
      <c r="BO61" s="51"/>
      <c r="BP61"/>
      <c r="BQ61" s="51"/>
      <c r="BR61"/>
      <c r="BS61" s="51"/>
      <c r="BT61" s="22"/>
      <c r="BU61"/>
      <c r="BV61"/>
    </row>
    <row r="62" spans="19:74" ht="18" customHeight="1" x14ac:dyDescent="0.2">
      <c r="S62" s="84"/>
      <c r="T62" s="85"/>
      <c r="U62" s="85"/>
      <c r="V62" s="85"/>
      <c r="W62" s="86"/>
      <c r="Y62" s="17"/>
      <c r="AA62" s="62" t="s">
        <v>137</v>
      </c>
      <c r="AC62" s="64" t="s">
        <v>153</v>
      </c>
      <c r="AD62" s="65"/>
      <c r="AE62" s="44">
        <f>+_xlfn.XLOOKUP(AC62,BASE[N° MÓDULO],BASE[% AVANCE],"",0)</f>
        <v>0.78499999999999992</v>
      </c>
      <c r="AF62" s="5"/>
      <c r="AG62" s="62" t="s">
        <v>134</v>
      </c>
      <c r="AK62" s="62" t="s">
        <v>141</v>
      </c>
      <c r="AM62" s="64" t="s">
        <v>151</v>
      </c>
      <c r="AN62" s="65"/>
      <c r="AO62" s="44">
        <f>+_xlfn.XLOOKUP(AM62,BASE[N° MÓDULO],BASE[% AVANCE],"",0)</f>
        <v>0.66999999999999993</v>
      </c>
      <c r="AP62" s="5"/>
      <c r="AQ62" s="62" t="s">
        <v>140</v>
      </c>
      <c r="AS62" s="25"/>
      <c r="AU62" s="63"/>
      <c r="AX62"/>
      <c r="AY62"/>
      <c r="AZ62" s="29"/>
      <c r="BA62" s="51"/>
      <c r="BB62"/>
      <c r="BC62" s="51"/>
      <c r="BD62"/>
      <c r="BE62" s="51"/>
      <c r="BF62"/>
      <c r="BG62" s="51"/>
      <c r="BH62"/>
      <c r="BI62" s="51"/>
      <c r="BJ62"/>
      <c r="BK62" s="51"/>
      <c r="BL62"/>
      <c r="BM62" s="51"/>
      <c r="BN62"/>
      <c r="BO62" s="51"/>
      <c r="BP62"/>
      <c r="BQ62" s="51"/>
      <c r="BR62"/>
      <c r="BS62" s="51"/>
      <c r="BT62" s="22"/>
      <c r="BU62"/>
      <c r="BV62"/>
    </row>
    <row r="63" spans="19:74" ht="23.25" x14ac:dyDescent="0.2">
      <c r="S63" s="84"/>
      <c r="T63" s="85"/>
      <c r="U63" s="85"/>
      <c r="V63" s="85"/>
      <c r="W63" s="86"/>
      <c r="Y63" s="17"/>
      <c r="AA63" s="63"/>
      <c r="AC63" s="66"/>
      <c r="AD63" s="67"/>
      <c r="AE63" s="76" t="str">
        <f>+_xlfn.XLOOKUP(AC62,BASE[N° MÓDULO],BASE[TIPO],"",0)</f>
        <v>SECO</v>
      </c>
      <c r="AF63" s="5"/>
      <c r="AG63" s="63"/>
      <c r="AK63" s="63"/>
      <c r="AM63" s="66"/>
      <c r="AN63" s="67"/>
      <c r="AO63" s="76" t="str">
        <f>+_xlfn.XLOOKUP(AM62,BASE[N° MÓDULO],BASE[TIPO],"",0)</f>
        <v>HUMEDO</v>
      </c>
      <c r="AP63" s="5"/>
      <c r="AQ63" s="63"/>
      <c r="AS63" s="25"/>
      <c r="AU63" s="43" t="str">
        <f>+_xlfn.XLOOKUP(AU58,BASE[N° MÓDULO],BASE[% AVANCE],"",0)</f>
        <v/>
      </c>
      <c r="AX63"/>
      <c r="AY63"/>
      <c r="AZ63" s="29"/>
      <c r="BA63" s="51"/>
      <c r="BB63"/>
      <c r="BC63" s="51"/>
      <c r="BD63"/>
      <c r="BE63" s="51"/>
      <c r="BF63"/>
      <c r="BG63" s="51"/>
      <c r="BH63"/>
      <c r="BI63" s="51"/>
      <c r="BJ63"/>
      <c r="BK63" s="51"/>
      <c r="BL63"/>
      <c r="BM63" s="51"/>
      <c r="BN63"/>
      <c r="BO63" s="51"/>
      <c r="BP63"/>
      <c r="BQ63" s="51"/>
      <c r="BR63"/>
      <c r="BS63" s="51"/>
      <c r="BT63" s="22"/>
      <c r="BU63"/>
      <c r="BV63"/>
    </row>
    <row r="64" spans="19:74" ht="18.75" customHeight="1" thickBot="1" x14ac:dyDescent="0.25">
      <c r="S64" s="84"/>
      <c r="T64" s="85"/>
      <c r="U64" s="85"/>
      <c r="V64" s="85"/>
      <c r="W64" s="86"/>
      <c r="Y64" s="17"/>
      <c r="AA64" s="63"/>
      <c r="AC64" s="68"/>
      <c r="AD64" s="69"/>
      <c r="AE64" s="77"/>
      <c r="AF64" s="5"/>
      <c r="AG64" s="63"/>
      <c r="AK64" s="63"/>
      <c r="AM64" s="68"/>
      <c r="AN64" s="69"/>
      <c r="AO64" s="77"/>
      <c r="AP64" s="5"/>
      <c r="AQ64" s="63"/>
      <c r="AS64" s="25"/>
      <c r="AU64" s="49" t="str">
        <f>+_xlfn.XLOOKUP(AU58,BASE[N° MÓDULO],BASE[TIPO],"",0)</f>
        <v/>
      </c>
      <c r="AX64"/>
      <c r="AY64"/>
      <c r="AZ64" s="29"/>
      <c r="BA64" s="51"/>
      <c r="BB64"/>
      <c r="BC64" s="51"/>
      <c r="BD64"/>
      <c r="BE64" s="51"/>
      <c r="BF64"/>
      <c r="BG64" s="51"/>
      <c r="BH64"/>
      <c r="BI64" s="51"/>
      <c r="BJ64"/>
      <c r="BK64" s="51"/>
      <c r="BL64"/>
      <c r="BM64" s="51"/>
      <c r="BN64"/>
      <c r="BO64" s="51"/>
      <c r="BP64"/>
      <c r="BQ64" s="51"/>
      <c r="BR64"/>
      <c r="BS64" s="51"/>
      <c r="BT64" s="22"/>
      <c r="BU64"/>
      <c r="BV64"/>
    </row>
    <row r="65" spans="19:74" ht="24" thickBot="1" x14ac:dyDescent="0.25">
      <c r="S65" s="84"/>
      <c r="T65" s="85"/>
      <c r="U65" s="85"/>
      <c r="V65" s="85"/>
      <c r="W65" s="86"/>
      <c r="Y65" s="17"/>
      <c r="AA65" s="63"/>
      <c r="AC65" s="5"/>
      <c r="AD65" s="5"/>
      <c r="AE65" s="5"/>
      <c r="AF65" s="5"/>
      <c r="AG65" s="63"/>
      <c r="AK65" s="63"/>
      <c r="AM65" s="5"/>
      <c r="AN65" s="5"/>
      <c r="AO65" s="5"/>
      <c r="AP65" s="5"/>
      <c r="AQ65" s="63"/>
      <c r="AS65" s="25"/>
      <c r="AU65" s="50"/>
      <c r="AX65"/>
      <c r="AY65"/>
      <c r="AZ65" s="29"/>
      <c r="BA65" s="42" t="str">
        <f>+_xlfn.XLOOKUP(BA60,BASE[N° MÓDULO],BASE[% AVANCE],"",0)</f>
        <v/>
      </c>
      <c r="BB65"/>
      <c r="BC65" s="42" t="str">
        <f>+_xlfn.XLOOKUP(BC60,BASE[N° MÓDULO],BASE[% AVANCE],"",0)</f>
        <v/>
      </c>
      <c r="BD65"/>
      <c r="BE65" s="42" t="str">
        <f>+_xlfn.XLOOKUP(BE60,BASE[N° MÓDULO],BASE[% AVANCE],"",0)</f>
        <v/>
      </c>
      <c r="BF65"/>
      <c r="BG65" s="42" t="str">
        <f>+_xlfn.XLOOKUP(BG60,BASE[N° MÓDULO],BASE[% AVANCE],"",0)</f>
        <v/>
      </c>
      <c r="BH65"/>
      <c r="BI65" s="42" t="str">
        <f>+_xlfn.XLOOKUP(BI60,BASE[N° MÓDULO],BASE[% AVANCE],"",0)</f>
        <v/>
      </c>
      <c r="BJ65"/>
      <c r="BK65" s="42" t="str">
        <f>+_xlfn.XLOOKUP(BK60,BASE[N° MÓDULO],BASE[% AVANCE],"",0)</f>
        <v/>
      </c>
      <c r="BL65"/>
      <c r="BM65" s="42">
        <f>+_xlfn.XLOOKUP(BM60,BASE[N° MÓDULO],BASE[% AVANCE],"",0)</f>
        <v>0.91499999999999981</v>
      </c>
      <c r="BN65"/>
      <c r="BO65" s="42">
        <f>+_xlfn.XLOOKUP(BO60,BASE[N° MÓDULO],BASE[% AVANCE],"",0)</f>
        <v>0.84999999999999987</v>
      </c>
      <c r="BP65"/>
      <c r="BQ65" s="42">
        <f>+_xlfn.XLOOKUP(BQ60,BASE[N° MÓDULO],BASE[% AVANCE],"",0)</f>
        <v>0.77999999999999992</v>
      </c>
      <c r="BR65"/>
      <c r="BS65" s="42">
        <f>+_xlfn.XLOOKUP(BS60,BASE[N° MÓDULO],BASE[% AVANCE],"",0)</f>
        <v>0.96499999999999986</v>
      </c>
      <c r="BT65" s="22"/>
      <c r="BU65"/>
      <c r="BV65"/>
    </row>
    <row r="66" spans="19:74" ht="36.75" customHeight="1" thickBot="1" x14ac:dyDescent="0.25">
      <c r="S66" s="84"/>
      <c r="T66" s="85"/>
      <c r="U66" s="85"/>
      <c r="V66" s="85"/>
      <c r="W66" s="86"/>
      <c r="Y66" s="17"/>
      <c r="AA66" s="63"/>
      <c r="AF66" s="5"/>
      <c r="AG66" s="63"/>
      <c r="AK66" s="63"/>
      <c r="AP66" s="5"/>
      <c r="AQ66" s="63"/>
      <c r="AS66" s="25"/>
      <c r="AX66"/>
      <c r="AY66"/>
      <c r="AZ66" s="29"/>
      <c r="BA66" s="51" t="str">
        <f>+_xlfn.XLOOKUP(BA60,BASE[N° MÓDULO],BASE[TIPO],"",0)</f>
        <v/>
      </c>
      <c r="BB66"/>
      <c r="BC66" s="51" t="str">
        <f>+_xlfn.XLOOKUP(BC60,BASE[N° MÓDULO],BASE[TIPO],"",0)</f>
        <v/>
      </c>
      <c r="BD66"/>
      <c r="BE66" s="51" t="str">
        <f>+_xlfn.XLOOKUP(BE60,BASE[N° MÓDULO],BASE[TIPO],"",0)</f>
        <v/>
      </c>
      <c r="BF66"/>
      <c r="BG66" s="51" t="str">
        <f>+_xlfn.XLOOKUP(BG60,BASE[N° MÓDULO],BASE[TIPO],"",0)</f>
        <v/>
      </c>
      <c r="BH66"/>
      <c r="BI66" s="51" t="str">
        <f>+_xlfn.XLOOKUP(BI60,BASE[N° MÓDULO],BASE[TIPO],"",0)</f>
        <v/>
      </c>
      <c r="BJ66"/>
      <c r="BK66" s="51" t="str">
        <f>+_xlfn.XLOOKUP(BK60,BASE[N° MÓDULO],BASE[TIPO],"",0)</f>
        <v/>
      </c>
      <c r="BL66"/>
      <c r="BM66" s="51" t="str">
        <f>+_xlfn.XLOOKUP(BM60,BASE[N° MÓDULO],BASE[TIPO],"",0)</f>
        <v>SECO</v>
      </c>
      <c r="BN66"/>
      <c r="BO66" s="51" t="str">
        <f>+_xlfn.XLOOKUP(BO60,BASE[N° MÓDULO],BASE[TIPO],"",0)</f>
        <v>HUMEDO</v>
      </c>
      <c r="BP66"/>
      <c r="BQ66" s="51" t="str">
        <f>+_xlfn.XLOOKUP(BQ60,BASE[N° MÓDULO],BASE[TIPO],"",0)</f>
        <v>HUMEDO</v>
      </c>
      <c r="BR66"/>
      <c r="BS66" s="51" t="str">
        <f>+_xlfn.XLOOKUP(BS60,BASE[N° MÓDULO],BASE[TIPO],"",0)</f>
        <v>HUMEDO</v>
      </c>
      <c r="BT66" s="22"/>
      <c r="BU66"/>
      <c r="BV66"/>
    </row>
    <row r="67" spans="19:74" ht="24" customHeight="1" thickBot="1" x14ac:dyDescent="0.25">
      <c r="S67" s="84"/>
      <c r="T67" s="85"/>
      <c r="U67" s="85"/>
      <c r="V67" s="85"/>
      <c r="W67" s="86"/>
      <c r="Y67" s="17"/>
      <c r="AA67" s="43">
        <f>+_xlfn.XLOOKUP(AA62,BASE[N° MÓDULO],BASE[% AVANCE],"",0)</f>
        <v>0.94</v>
      </c>
      <c r="AC67" s="64" t="s">
        <v>160</v>
      </c>
      <c r="AD67" s="65"/>
      <c r="AE67" s="44">
        <f>+_xlfn.XLOOKUP(AC67,BASE[N° MÓDULO],BASE[% AVANCE],"",0)</f>
        <v>0.80499999999999994</v>
      </c>
      <c r="AF67" s="5"/>
      <c r="AG67" s="43">
        <f>+_xlfn.XLOOKUP(AG62,BASE[N° MÓDULO],BASE[% AVANCE],"",0)</f>
        <v>0.74499999999999988</v>
      </c>
      <c r="AK67" s="43">
        <f>+_xlfn.XLOOKUP(AK62,BASE[N° MÓDULO],BASE[% AVANCE],"",0)</f>
        <v>0.91999999999999993</v>
      </c>
      <c r="AM67" s="64" t="s">
        <v>148</v>
      </c>
      <c r="AN67" s="65"/>
      <c r="AO67" s="44">
        <f>+_xlfn.XLOOKUP(AM67,BASE[N° MÓDULO],BASE[% AVANCE],"",0)</f>
        <v>0.8899999999999999</v>
      </c>
      <c r="AP67" s="5"/>
      <c r="AQ67" s="43">
        <f>+_xlfn.XLOOKUP(AQ62,BASE[N° MÓDULO],BASE[% AVANCE],"",0)</f>
        <v>0.91999999999999993</v>
      </c>
      <c r="AS67" s="25"/>
      <c r="AX67"/>
      <c r="AY67"/>
      <c r="AZ67" s="29"/>
      <c r="BA67" s="52"/>
      <c r="BB67"/>
      <c r="BC67" s="52"/>
      <c r="BD67"/>
      <c r="BE67" s="52"/>
      <c r="BF67"/>
      <c r="BG67" s="52"/>
      <c r="BH67"/>
      <c r="BI67" s="52"/>
      <c r="BJ67"/>
      <c r="BK67" s="52"/>
      <c r="BL67"/>
      <c r="BM67" s="52"/>
      <c r="BN67"/>
      <c r="BO67" s="52"/>
      <c r="BP67"/>
      <c r="BQ67" s="52"/>
      <c r="BR67"/>
      <c r="BS67" s="52"/>
      <c r="BT67" s="22"/>
      <c r="BU67"/>
      <c r="BV67"/>
    </row>
    <row r="68" spans="19:74" ht="18" customHeight="1" thickBot="1" x14ac:dyDescent="0.25">
      <c r="S68" s="84"/>
      <c r="T68" s="85"/>
      <c r="U68" s="85"/>
      <c r="V68" s="85"/>
      <c r="W68" s="86"/>
      <c r="Y68" s="17"/>
      <c r="AA68" s="49" t="str">
        <f>+_xlfn.XLOOKUP(AA62,BASE[N° MÓDULO],BASE[TIPO],"",0)</f>
        <v>SECO</v>
      </c>
      <c r="AC68" s="66"/>
      <c r="AD68" s="67"/>
      <c r="AE68" s="76" t="str">
        <f>+_xlfn.XLOOKUP(AC67,BASE[N° MÓDULO],BASE[TIPO],"",0)</f>
        <v>SECO</v>
      </c>
      <c r="AF68" s="5"/>
      <c r="AG68" s="49" t="str">
        <f>+_xlfn.XLOOKUP(AG62,BASE[N° MÓDULO],BASE[TIPO],"",0)</f>
        <v>HUMEDO</v>
      </c>
      <c r="AK68" s="49" t="str">
        <f>+_xlfn.XLOOKUP(AK62,BASE[N° MÓDULO],BASE[TIPO],"",0)</f>
        <v>SECO</v>
      </c>
      <c r="AM68" s="66"/>
      <c r="AN68" s="67"/>
      <c r="AO68" s="76" t="str">
        <f>+_xlfn.XLOOKUP(AM67,BASE[N° MÓDULO],BASE[TIPO],"",0)</f>
        <v>SECO</v>
      </c>
      <c r="AP68" s="5"/>
      <c r="AQ68" s="49" t="str">
        <f>+_xlfn.XLOOKUP(AQ62,BASE[N° MÓDULO],BASE[TIPO],"",0)</f>
        <v>SECO</v>
      </c>
      <c r="AS68" s="25"/>
      <c r="AX68"/>
      <c r="AY68"/>
      <c r="AZ68" s="29"/>
      <c r="BA68"/>
      <c r="BB68"/>
      <c r="BC68"/>
      <c r="BD68"/>
      <c r="BE68"/>
      <c r="BF68"/>
      <c r="BG68"/>
      <c r="BH68"/>
      <c r="BI68"/>
      <c r="BJ68"/>
      <c r="BK68"/>
      <c r="BL68"/>
      <c r="BM68"/>
      <c r="BN68"/>
      <c r="BO68"/>
      <c r="BP68"/>
      <c r="BQ68"/>
      <c r="BR68"/>
      <c r="BS68"/>
      <c r="BT68" s="22"/>
      <c r="BU68"/>
      <c r="BV68"/>
    </row>
    <row r="69" spans="19:74" ht="24" customHeight="1" thickBot="1" x14ac:dyDescent="0.25">
      <c r="S69" s="84"/>
      <c r="T69" s="85"/>
      <c r="U69" s="85"/>
      <c r="V69" s="85"/>
      <c r="W69" s="86"/>
      <c r="Y69" s="17"/>
      <c r="AA69" s="50"/>
      <c r="AC69" s="68"/>
      <c r="AD69" s="69"/>
      <c r="AE69" s="77"/>
      <c r="AF69" s="5"/>
      <c r="AG69" s="50"/>
      <c r="AK69" s="50"/>
      <c r="AM69" s="68"/>
      <c r="AN69" s="69"/>
      <c r="AO69" s="77"/>
      <c r="AP69" s="5"/>
      <c r="AQ69" s="50"/>
      <c r="AS69" s="25"/>
      <c r="AX69"/>
      <c r="AY69"/>
      <c r="AZ69" s="29"/>
      <c r="BA69" s="53" t="s">
        <v>154</v>
      </c>
      <c r="BB69" s="54"/>
      <c r="BC69" s="41">
        <f>+_xlfn.XLOOKUP(BA69,BASE[N° MÓDULO],BASE[% AVANCE],"",0)</f>
        <v>0.59</v>
      </c>
      <c r="BD69"/>
      <c r="BE69" s="53" t="s">
        <v>150</v>
      </c>
      <c r="BF69" s="54"/>
      <c r="BG69" s="41">
        <f>+_xlfn.XLOOKUP(BE69,BASE[N° MÓDULO],BASE[% AVANCE],"",0)</f>
        <v>0.59</v>
      </c>
      <c r="BH69"/>
      <c r="BI69" s="70" t="s">
        <v>116</v>
      </c>
      <c r="BJ69" s="71"/>
      <c r="BK69" s="41">
        <f>+_xlfn.XLOOKUP(BI69,BASE[N° MÓDULO],BASE[% AVANCE],"",0)</f>
        <v>0.98499999999999988</v>
      </c>
      <c r="BL69"/>
      <c r="BM69" s="70" t="s">
        <v>115</v>
      </c>
      <c r="BN69" s="71"/>
      <c r="BO69" s="41">
        <f>+_xlfn.XLOOKUP(BM69,BASE[N° MÓDULO],BASE[% AVANCE],"",0)</f>
        <v>0.98499999999999988</v>
      </c>
      <c r="BP69"/>
      <c r="BQ69" s="70" t="s">
        <v>120</v>
      </c>
      <c r="BR69" s="71"/>
      <c r="BS69" s="41">
        <f>+_xlfn.XLOOKUP(BQ69,BASE[N° MÓDULO],BASE[% AVANCE],"",0)</f>
        <v>0.97499999999999987</v>
      </c>
      <c r="BT69" s="22"/>
      <c r="BU69"/>
      <c r="BV69"/>
    </row>
    <row r="70" spans="19:74" ht="13.5" customHeight="1" thickBot="1" x14ac:dyDescent="0.25">
      <c r="S70" s="84"/>
      <c r="T70" s="85"/>
      <c r="U70" s="85"/>
      <c r="V70" s="85"/>
      <c r="W70" s="86"/>
      <c r="Y70" s="17"/>
      <c r="AS70" s="25"/>
      <c r="AX70"/>
      <c r="AY70"/>
      <c r="AZ70" s="29"/>
      <c r="BA70" s="55"/>
      <c r="BB70" s="56"/>
      <c r="BC70" s="59" t="str">
        <f>+_xlfn.XLOOKUP(BA69,BASE[N° MÓDULO],BASE[TIPO],"",0)</f>
        <v>HUMEDO</v>
      </c>
      <c r="BD70"/>
      <c r="BE70" s="55"/>
      <c r="BF70" s="56"/>
      <c r="BG70" s="59" t="str">
        <f>+_xlfn.XLOOKUP(BE69,BASE[N° MÓDULO],BASE[TIPO],"",0)</f>
        <v>HUMEDO</v>
      </c>
      <c r="BH70"/>
      <c r="BI70" s="72"/>
      <c r="BJ70" s="73"/>
      <c r="BK70" s="59" t="str">
        <f>+_xlfn.XLOOKUP(BI69,BASE[N° MÓDULO],BASE[TIPO],"",0)</f>
        <v>SECO</v>
      </c>
      <c r="BL70"/>
      <c r="BM70" s="72"/>
      <c r="BN70" s="73"/>
      <c r="BO70" s="59" t="str">
        <f>+_xlfn.XLOOKUP(BM69,BASE[N° MÓDULO],BASE[TIPO],"",0)</f>
        <v>HUMEDO</v>
      </c>
      <c r="BP70"/>
      <c r="BQ70" s="72"/>
      <c r="BR70" s="73"/>
      <c r="BS70" s="59" t="str">
        <f>+_xlfn.XLOOKUP(BQ69,BASE[N° MÓDULO],BASE[TIPO],"",0)</f>
        <v>SECO</v>
      </c>
      <c r="BT70" s="22"/>
      <c r="BU70"/>
      <c r="BV70"/>
    </row>
    <row r="71" spans="19:74" ht="24" thickBot="1" x14ac:dyDescent="0.25">
      <c r="S71" s="84"/>
      <c r="T71" s="85"/>
      <c r="U71" s="85"/>
      <c r="V71" s="85"/>
      <c r="W71" s="86"/>
      <c r="Y71" s="17"/>
      <c r="AA71" s="62" t="s">
        <v>138</v>
      </c>
      <c r="AC71" s="64" t="s">
        <v>157</v>
      </c>
      <c r="AD71" s="65"/>
      <c r="AE71" s="44">
        <f>+_xlfn.XLOOKUP(AC71,BASE[N° MÓDULO],BASE[% AVANCE],"",0)</f>
        <v>0.7649999999999999</v>
      </c>
      <c r="AF71" s="5"/>
      <c r="AG71" s="62" t="s">
        <v>145</v>
      </c>
      <c r="AK71" s="62" t="s">
        <v>152</v>
      </c>
      <c r="AM71" s="53" t="s">
        <v>167</v>
      </c>
      <c r="AN71" s="54"/>
      <c r="AO71" s="44">
        <f>+_xlfn.XLOOKUP(AM71,BASE[N° MÓDULO],BASE[% AVANCE],"",0)</f>
        <v>0.42999999999999994</v>
      </c>
      <c r="AP71" s="5"/>
      <c r="AQ71" s="62" t="s">
        <v>149</v>
      </c>
      <c r="AS71" s="25"/>
      <c r="AX71"/>
      <c r="AY71"/>
      <c r="AZ71" s="29"/>
      <c r="BA71" s="57"/>
      <c r="BB71" s="58"/>
      <c r="BC71" s="60"/>
      <c r="BD71"/>
      <c r="BE71" s="57"/>
      <c r="BF71" s="58"/>
      <c r="BG71" s="60"/>
      <c r="BH71"/>
      <c r="BI71" s="74"/>
      <c r="BJ71" s="75"/>
      <c r="BK71" s="60"/>
      <c r="BL71"/>
      <c r="BM71" s="74"/>
      <c r="BN71" s="75"/>
      <c r="BO71" s="60"/>
      <c r="BP71"/>
      <c r="BQ71" s="74"/>
      <c r="BR71" s="75"/>
      <c r="BS71" s="60"/>
      <c r="BT71" s="22"/>
      <c r="BU71"/>
      <c r="BV71"/>
    </row>
    <row r="72" spans="19:74" ht="23.25" x14ac:dyDescent="0.2">
      <c r="S72" s="84"/>
      <c r="T72" s="85"/>
      <c r="U72" s="85"/>
      <c r="V72" s="85"/>
      <c r="W72" s="86"/>
      <c r="Y72" s="17"/>
      <c r="AA72" s="63"/>
      <c r="AC72" s="66"/>
      <c r="AD72" s="67"/>
      <c r="AE72" s="76" t="str">
        <f>+_xlfn.XLOOKUP(AC71,BASE[N° MÓDULO],BASE[TIPO],"",0)</f>
        <v>SECO</v>
      </c>
      <c r="AF72" s="5"/>
      <c r="AG72" s="63"/>
      <c r="AK72" s="63"/>
      <c r="AM72" s="55"/>
      <c r="AN72" s="56"/>
      <c r="AO72" s="76" t="str">
        <f>+_xlfn.XLOOKUP(AM71,BASE[N° MÓDULO],BASE[TIPO],"",0)</f>
        <v>HUMEDO</v>
      </c>
      <c r="AP72" s="5"/>
      <c r="AQ72" s="63"/>
      <c r="AS72" s="25"/>
      <c r="AX72"/>
      <c r="AY72"/>
      <c r="AZ72" s="29"/>
      <c r="BA72"/>
      <c r="BB72"/>
      <c r="BC72"/>
      <c r="BD72"/>
      <c r="BE72"/>
      <c r="BF72"/>
      <c r="BG72"/>
      <c r="BH72"/>
      <c r="BI72"/>
      <c r="BJ72"/>
      <c r="BK72"/>
      <c r="BL72"/>
      <c r="BM72"/>
      <c r="BN72"/>
      <c r="BO72"/>
      <c r="BP72"/>
      <c r="BQ72"/>
      <c r="BR72"/>
      <c r="BS72"/>
      <c r="BT72" s="22"/>
      <c r="BU72"/>
      <c r="BV72"/>
    </row>
    <row r="73" spans="19:74" ht="24" thickBot="1" x14ac:dyDescent="0.25">
      <c r="S73" s="84"/>
      <c r="T73" s="85"/>
      <c r="U73" s="85"/>
      <c r="V73" s="85"/>
      <c r="W73" s="86"/>
      <c r="Y73" s="17"/>
      <c r="AA73" s="63"/>
      <c r="AC73" s="68"/>
      <c r="AD73" s="69"/>
      <c r="AE73" s="77"/>
      <c r="AF73" s="5"/>
      <c r="AG73" s="63"/>
      <c r="AK73" s="63"/>
      <c r="AM73" s="57"/>
      <c r="AN73" s="58"/>
      <c r="AO73" s="77"/>
      <c r="AP73" s="5"/>
      <c r="AQ73" s="63"/>
      <c r="AS73" s="25"/>
      <c r="AX73"/>
      <c r="AY73"/>
      <c r="AZ73" s="30"/>
      <c r="BA73" s="31"/>
      <c r="BB73" s="31"/>
      <c r="BC73" s="31"/>
      <c r="BD73" s="31"/>
      <c r="BE73" s="31"/>
      <c r="BF73" s="31"/>
      <c r="BG73" s="31"/>
      <c r="BH73" s="31"/>
      <c r="BI73" s="31"/>
      <c r="BJ73" s="31"/>
      <c r="BK73" s="31"/>
      <c r="BL73" s="31"/>
      <c r="BM73" s="31"/>
      <c r="BN73" s="31"/>
      <c r="BO73" s="31"/>
      <c r="BP73" s="31"/>
      <c r="BQ73" s="31"/>
      <c r="BR73" s="31"/>
      <c r="BS73" s="31"/>
      <c r="BT73" s="32"/>
      <c r="BU73"/>
      <c r="BV73"/>
    </row>
    <row r="74" spans="19:74" ht="23.25" x14ac:dyDescent="0.2">
      <c r="S74" s="84"/>
      <c r="T74" s="85"/>
      <c r="U74" s="85"/>
      <c r="V74" s="85"/>
      <c r="W74" s="86"/>
      <c r="Y74" s="17"/>
      <c r="AA74" s="63"/>
      <c r="AC74" s="5"/>
      <c r="AD74" s="5"/>
      <c r="AE74" s="5"/>
      <c r="AF74" s="5"/>
      <c r="AG74" s="63"/>
      <c r="AK74" s="63"/>
      <c r="AM74" s="5"/>
      <c r="AN74" s="5"/>
      <c r="AO74" s="5"/>
      <c r="AP74" s="5"/>
      <c r="AQ74" s="63"/>
      <c r="AS74" s="25"/>
      <c r="AX74"/>
      <c r="AY74"/>
      <c r="AZ74"/>
      <c r="BA74"/>
      <c r="BB74"/>
      <c r="BC74"/>
      <c r="BD74"/>
      <c r="BE74"/>
      <c r="BF74"/>
      <c r="BG74"/>
      <c r="BH74"/>
      <c r="BI74"/>
      <c r="BJ74"/>
      <c r="BK74"/>
      <c r="BL74"/>
      <c r="BM74"/>
      <c r="BN74"/>
      <c r="BO74"/>
      <c r="BP74"/>
      <c r="BQ74"/>
      <c r="BR74"/>
      <c r="BS74"/>
      <c r="BT74"/>
      <c r="BU74"/>
      <c r="BV74"/>
    </row>
    <row r="75" spans="19:74" ht="18.75" customHeight="1" thickBot="1" x14ac:dyDescent="0.25">
      <c r="S75" s="84"/>
      <c r="T75" s="85"/>
      <c r="U75" s="85"/>
      <c r="V75" s="85"/>
      <c r="W75" s="86"/>
      <c r="Y75" s="17"/>
      <c r="AA75" s="63"/>
      <c r="AF75" s="5"/>
      <c r="AG75" s="63"/>
      <c r="AK75" s="63"/>
      <c r="AP75" s="5"/>
      <c r="AQ75" s="63"/>
      <c r="AS75" s="25"/>
      <c r="AX75"/>
      <c r="AY75"/>
      <c r="AZ75"/>
      <c r="BA75"/>
      <c r="BB75"/>
      <c r="BC75"/>
      <c r="BD75"/>
      <c r="BE75"/>
      <c r="BF75"/>
      <c r="BG75"/>
      <c r="BH75"/>
      <c r="BI75"/>
      <c r="BJ75"/>
      <c r="BK75"/>
      <c r="BL75"/>
      <c r="BM75"/>
      <c r="BN75"/>
      <c r="BO75"/>
      <c r="BP75"/>
      <c r="BQ75"/>
      <c r="BR75"/>
      <c r="BS75"/>
      <c r="BT75"/>
      <c r="BU75"/>
      <c r="BV75"/>
    </row>
    <row r="76" spans="19:74" ht="18.75" customHeight="1" x14ac:dyDescent="0.2">
      <c r="S76" s="84"/>
      <c r="T76" s="85"/>
      <c r="U76" s="85"/>
      <c r="V76" s="85"/>
      <c r="W76" s="86"/>
      <c r="Y76" s="17"/>
      <c r="AA76" s="43">
        <f>+_xlfn.XLOOKUP(AA71,BASE[N° MÓDULO],BASE[% AVANCE],"",0)</f>
        <v>0.65999999999999992</v>
      </c>
      <c r="AC76" s="53" t="s">
        <v>156</v>
      </c>
      <c r="AD76" s="54"/>
      <c r="AE76" s="44">
        <f>+_xlfn.XLOOKUP(AC76,BASE[N° MÓDULO],BASE[% AVANCE],"",0)</f>
        <v>0.6</v>
      </c>
      <c r="AF76" s="5"/>
      <c r="AG76" s="43">
        <f>+_xlfn.XLOOKUP(AG71,BASE[N° MÓDULO],BASE[% AVANCE],"",0)</f>
        <v>0.92499999999999982</v>
      </c>
      <c r="AK76" s="43">
        <f>+_xlfn.XLOOKUP(AK71,BASE[N° MÓDULO],BASE[% AVANCE],"",0)</f>
        <v>0.8949999999999998</v>
      </c>
      <c r="AM76" s="53"/>
      <c r="AN76" s="54"/>
      <c r="AO76" s="41" t="str">
        <f>+_xlfn.XLOOKUP(AM76,BASE[N° MÓDULO],BASE[% AVANCE],"",0)</f>
        <v/>
      </c>
      <c r="AP76" s="5"/>
      <c r="AQ76" s="43">
        <f>+_xlfn.XLOOKUP(AQ71,BASE[N° MÓDULO],BASE[% AVANCE],"",0)</f>
        <v>0.86499999999999988</v>
      </c>
      <c r="AS76" s="25"/>
      <c r="AX76"/>
      <c r="AY76"/>
      <c r="AZ76"/>
      <c r="BA76"/>
      <c r="BB76"/>
      <c r="BC76"/>
      <c r="BD76"/>
      <c r="BE76"/>
      <c r="BF76"/>
      <c r="BG76"/>
      <c r="BH76"/>
      <c r="BI76"/>
      <c r="BJ76"/>
      <c r="BK76"/>
      <c r="BL76"/>
      <c r="BM76"/>
      <c r="BN76"/>
      <c r="BO76"/>
      <c r="BP76"/>
      <c r="BQ76"/>
      <c r="BR76"/>
      <c r="BS76"/>
      <c r="BT76"/>
      <c r="BU76"/>
      <c r="BV76"/>
    </row>
    <row r="77" spans="19:74" ht="18" customHeight="1" x14ac:dyDescent="0.2">
      <c r="S77" s="84"/>
      <c r="T77" s="85"/>
      <c r="U77" s="85"/>
      <c r="V77" s="85"/>
      <c r="W77" s="86"/>
      <c r="Y77" s="17"/>
      <c r="AA77" s="49" t="str">
        <f>+_xlfn.XLOOKUP(AA71,BASE[N° MÓDULO],BASE[TIPO],"",0)</f>
        <v>HUMEDO</v>
      </c>
      <c r="AC77" s="55"/>
      <c r="AD77" s="56"/>
      <c r="AE77" s="76" t="str">
        <f>+_xlfn.XLOOKUP(AC76,BASE[N° MÓDULO],BASE[TIPO],"",0)</f>
        <v>SECO</v>
      </c>
      <c r="AF77" s="5"/>
      <c r="AG77" s="49" t="str">
        <f>+_xlfn.XLOOKUP(AG71,BASE[N° MÓDULO],BASE[TIPO],"",0)</f>
        <v>SECO</v>
      </c>
      <c r="AK77" s="49" t="str">
        <f>+_xlfn.XLOOKUP(AK71,BASE[N° MÓDULO],BASE[TIPO],"",0)</f>
        <v>SECO</v>
      </c>
      <c r="AM77" s="55"/>
      <c r="AN77" s="56"/>
      <c r="AO77" s="59" t="str">
        <f>+_xlfn.XLOOKUP(AM76,BASE[N° MÓDULO],BASE[TIPO],"",0)</f>
        <v/>
      </c>
      <c r="AP77" s="5"/>
      <c r="AQ77" s="49" t="str">
        <f>+_xlfn.XLOOKUP(AQ71,BASE[N° MÓDULO],BASE[TIPO],"",0)</f>
        <v>SECO</v>
      </c>
      <c r="AS77" s="25"/>
      <c r="AX77"/>
      <c r="AY77"/>
      <c r="AZ77"/>
      <c r="BA77"/>
      <c r="BB77"/>
      <c r="BC77"/>
      <c r="BD77"/>
      <c r="BE77"/>
      <c r="BF77"/>
      <c r="BG77"/>
      <c r="BH77"/>
      <c r="BI77"/>
      <c r="BJ77"/>
      <c r="BK77"/>
      <c r="BL77"/>
      <c r="BM77"/>
      <c r="BN77"/>
      <c r="BO77"/>
      <c r="BP77"/>
      <c r="BQ77"/>
      <c r="BR77"/>
      <c r="BS77"/>
      <c r="BT77"/>
      <c r="BU77"/>
      <c r="BV77"/>
    </row>
    <row r="78" spans="19:74" ht="24" thickBot="1" x14ac:dyDescent="0.25">
      <c r="S78" s="84"/>
      <c r="T78" s="85"/>
      <c r="U78" s="85"/>
      <c r="V78" s="85"/>
      <c r="W78" s="86"/>
      <c r="Y78" s="17"/>
      <c r="AA78" s="50"/>
      <c r="AC78" s="57"/>
      <c r="AD78" s="58"/>
      <c r="AE78" s="77"/>
      <c r="AF78" s="5"/>
      <c r="AG78" s="50"/>
      <c r="AK78" s="50"/>
      <c r="AM78" s="57"/>
      <c r="AN78" s="58"/>
      <c r="AO78" s="60"/>
      <c r="AP78" s="5"/>
      <c r="AQ78" s="50"/>
      <c r="AS78" s="25"/>
      <c r="AX78"/>
      <c r="AY78"/>
      <c r="AZ78"/>
      <c r="BA78"/>
      <c r="BB78"/>
      <c r="BC78"/>
      <c r="BD78"/>
      <c r="BE78"/>
      <c r="BF78"/>
      <c r="BG78"/>
      <c r="BH78"/>
      <c r="BI78"/>
      <c r="BJ78"/>
      <c r="BK78"/>
      <c r="BL78"/>
      <c r="BM78"/>
      <c r="BN78"/>
      <c r="BO78"/>
      <c r="BP78"/>
      <c r="BQ78"/>
      <c r="BR78"/>
      <c r="BS78"/>
      <c r="BT78"/>
      <c r="BU78"/>
      <c r="BV78"/>
    </row>
    <row r="79" spans="19:74" ht="23.25" x14ac:dyDescent="0.2">
      <c r="S79" s="84"/>
      <c r="T79" s="85"/>
      <c r="U79" s="85"/>
      <c r="V79" s="85"/>
      <c r="W79" s="86"/>
      <c r="Y79" s="17"/>
      <c r="AS79" s="25"/>
      <c r="AY79"/>
      <c r="BD79"/>
      <c r="BE79"/>
      <c r="BF79"/>
      <c r="BG79"/>
      <c r="BH79"/>
      <c r="BI79"/>
      <c r="BJ79"/>
      <c r="BK79"/>
      <c r="BL79"/>
      <c r="BM79"/>
      <c r="BN79"/>
      <c r="BO79"/>
      <c r="BP79"/>
      <c r="BU79"/>
    </row>
    <row r="80" spans="19:74" ht="24" thickBot="1" x14ac:dyDescent="0.25">
      <c r="S80" s="87"/>
      <c r="T80" s="88"/>
      <c r="U80" s="88"/>
      <c r="V80" s="88"/>
      <c r="W80" s="89"/>
      <c r="Y80" s="19"/>
      <c r="Z80" s="20"/>
      <c r="AA80" s="20"/>
      <c r="AB80" s="20"/>
      <c r="AC80" s="20"/>
      <c r="AD80" s="20"/>
      <c r="AE80" s="20"/>
      <c r="AF80" s="20"/>
      <c r="AG80" s="20"/>
      <c r="AH80" s="20"/>
      <c r="AI80" s="20"/>
      <c r="AJ80" s="20"/>
      <c r="AK80" s="20"/>
      <c r="AL80" s="20"/>
      <c r="AM80" s="20"/>
      <c r="AN80" s="20"/>
      <c r="AO80" s="20"/>
      <c r="AP80" s="20"/>
      <c r="AQ80" s="20"/>
      <c r="AR80" s="20"/>
      <c r="AS80" s="13"/>
      <c r="AY80"/>
      <c r="BD80"/>
      <c r="BE80"/>
      <c r="BF80"/>
      <c r="BG80"/>
      <c r="BH80"/>
      <c r="BI80"/>
      <c r="BJ80"/>
      <c r="BK80"/>
      <c r="BL80"/>
      <c r="BM80"/>
      <c r="BN80"/>
      <c r="BO80"/>
      <c r="BP80"/>
      <c r="BU80"/>
    </row>
    <row r="81" spans="41:73" ht="23.25" x14ac:dyDescent="0.2">
      <c r="AS81" s="8"/>
      <c r="BD81"/>
      <c r="BE81"/>
      <c r="BF81"/>
      <c r="BG81"/>
      <c r="BH81"/>
      <c r="BI81"/>
      <c r="BJ81"/>
      <c r="BK81"/>
      <c r="BL81"/>
      <c r="BM81"/>
      <c r="BN81"/>
      <c r="BO81"/>
      <c r="BP81"/>
      <c r="BU81"/>
    </row>
    <row r="82" spans="41:73" ht="12.75" customHeight="1" x14ac:dyDescent="0.2">
      <c r="BU82"/>
    </row>
    <row r="83" spans="41:73" ht="12.75" customHeight="1" x14ac:dyDescent="0.2">
      <c r="AO83" s="2"/>
      <c r="BU83"/>
    </row>
    <row r="84" spans="41:73" ht="13.5" customHeight="1" x14ac:dyDescent="0.2">
      <c r="AO84" s="2"/>
      <c r="BU84"/>
    </row>
    <row r="85" spans="41:73" x14ac:dyDescent="0.2">
      <c r="BU85"/>
    </row>
    <row r="86" spans="41:73" x14ac:dyDescent="0.2">
      <c r="BU86"/>
    </row>
    <row r="87" spans="41:73" x14ac:dyDescent="0.2">
      <c r="BU87"/>
    </row>
    <row r="88" spans="41:73" x14ac:dyDescent="0.2">
      <c r="BU88"/>
    </row>
    <row r="89" spans="41:73" x14ac:dyDescent="0.2">
      <c r="BU89"/>
    </row>
    <row r="90" spans="41:73" x14ac:dyDescent="0.2">
      <c r="BU90"/>
    </row>
    <row r="91" spans="41:73" x14ac:dyDescent="0.2">
      <c r="BU91"/>
    </row>
    <row r="92" spans="41:73" x14ac:dyDescent="0.2">
      <c r="BU92"/>
    </row>
    <row r="103" spans="15:43" ht="13.5" thickBot="1" x14ac:dyDescent="0.25"/>
    <row r="104" spans="15:43" x14ac:dyDescent="0.2">
      <c r="Y104" s="14"/>
      <c r="Z104" s="15"/>
      <c r="AA104" s="15"/>
      <c r="AB104" s="15"/>
      <c r="AC104" s="15"/>
      <c r="AD104" s="15"/>
      <c r="AE104" s="15"/>
      <c r="AF104" s="15"/>
      <c r="AG104" s="15"/>
      <c r="AH104" s="15"/>
      <c r="AI104" s="15"/>
      <c r="AJ104" s="15"/>
      <c r="AK104" s="15"/>
      <c r="AL104" s="15"/>
      <c r="AM104" s="15"/>
      <c r="AN104" s="15"/>
      <c r="AO104" s="15"/>
      <c r="AP104" s="15"/>
      <c r="AQ104" s="16"/>
    </row>
    <row r="105" spans="15:43" x14ac:dyDescent="0.2">
      <c r="Y105" s="17"/>
      <c r="AQ105" s="18"/>
    </row>
    <row r="106" spans="15:43" ht="13.5" thickBot="1" x14ac:dyDescent="0.25">
      <c r="Y106" s="17"/>
      <c r="AQ106" s="18"/>
    </row>
    <row r="107" spans="15:43" ht="12.75" customHeight="1" x14ac:dyDescent="0.2">
      <c r="O107" s="53"/>
      <c r="P107" s="54"/>
      <c r="Q107" s="41" t="str">
        <f>+_xlfn.XLOOKUP(O107,BASE[N° MÓDULO],BASE[% AVANCE],"",0)</f>
        <v/>
      </c>
      <c r="S107" s="61"/>
      <c r="Y107" s="17"/>
      <c r="AA107" s="61"/>
      <c r="AB107"/>
      <c r="AC107" s="61"/>
      <c r="AD107"/>
      <c r="AE107" s="61"/>
      <c r="AQ107" s="18"/>
    </row>
    <row r="108" spans="15:43" ht="12.75" customHeight="1" x14ac:dyDescent="0.2">
      <c r="O108" s="55"/>
      <c r="P108" s="56"/>
      <c r="Q108" s="59" t="str">
        <f>+_xlfn.XLOOKUP(O107,BASE[N° MÓDULO],BASE[TIPO],"",0)</f>
        <v/>
      </c>
      <c r="S108" s="51"/>
      <c r="Y108" s="17"/>
      <c r="AA108" s="51"/>
      <c r="AB108"/>
      <c r="AC108" s="51"/>
      <c r="AD108"/>
      <c r="AE108" s="51"/>
      <c r="AQ108" s="18"/>
    </row>
    <row r="109" spans="15:43" ht="13.5" customHeight="1" thickBot="1" x14ac:dyDescent="0.25">
      <c r="O109" s="57"/>
      <c r="P109" s="58"/>
      <c r="Q109" s="60"/>
      <c r="S109" s="51"/>
      <c r="Y109" s="17"/>
      <c r="AA109" s="51"/>
      <c r="AB109"/>
      <c r="AC109" s="51"/>
      <c r="AD109"/>
      <c r="AE109" s="51"/>
      <c r="AQ109" s="18"/>
    </row>
    <row r="110" spans="15:43" ht="18" x14ac:dyDescent="0.2">
      <c r="O110" s="5"/>
      <c r="P110" s="5"/>
      <c r="Q110" s="5"/>
      <c r="S110" s="51"/>
      <c r="Y110" s="17"/>
      <c r="AA110" s="51"/>
      <c r="AB110"/>
      <c r="AC110" s="51"/>
      <c r="AD110"/>
      <c r="AE110" s="51"/>
      <c r="AQ110" s="18"/>
    </row>
    <row r="111" spans="15:43" ht="13.5" customHeight="1" thickBot="1" x14ac:dyDescent="0.25">
      <c r="S111" s="51"/>
      <c r="Y111" s="17"/>
      <c r="AA111" s="51"/>
      <c r="AB111"/>
      <c r="AC111" s="51"/>
      <c r="AD111"/>
      <c r="AE111" s="51"/>
      <c r="AQ111" s="18"/>
    </row>
    <row r="112" spans="15:43" ht="18" x14ac:dyDescent="0.2">
      <c r="O112" s="53"/>
      <c r="P112" s="54"/>
      <c r="Q112" s="41" t="str">
        <f>+_xlfn.XLOOKUP(O112,BASE[N° MÓDULO],BASE[% AVANCE],"",0)</f>
        <v/>
      </c>
      <c r="S112" s="42" t="str">
        <f>+_xlfn.XLOOKUP(S107,BASE[N° MÓDULO],BASE[% AVANCE],"",0)</f>
        <v/>
      </c>
      <c r="Y112" s="17"/>
      <c r="AA112" s="42" t="str">
        <f>+_xlfn.XLOOKUP(AA107,BASE[N° MÓDULO],BASE[% AVANCE],"",0)</f>
        <v/>
      </c>
      <c r="AB112"/>
      <c r="AC112" s="42" t="str">
        <f>+_xlfn.XLOOKUP(AC107,BASE[N° MÓDULO],BASE[% AVANCE],"",0)</f>
        <v/>
      </c>
      <c r="AD112"/>
      <c r="AE112" s="42" t="str">
        <f>+_xlfn.XLOOKUP(AE107,BASE[N° MÓDULO],BASE[% AVANCE],"",0)</f>
        <v/>
      </c>
      <c r="AQ112" s="18"/>
    </row>
    <row r="113" spans="15:43" ht="12.75" customHeight="1" x14ac:dyDescent="0.2">
      <c r="O113" s="55"/>
      <c r="P113" s="56"/>
      <c r="Q113" s="59" t="str">
        <f>+_xlfn.XLOOKUP(O112,BASE[N° MÓDULO],BASE[TIPO],"",0)</f>
        <v/>
      </c>
      <c r="S113" s="49" t="str">
        <f>+_xlfn.XLOOKUP(S107,BASE[N° MÓDULO],BASE[TIPO],"",0)</f>
        <v/>
      </c>
      <c r="Y113" s="17"/>
      <c r="AA113" s="49" t="str">
        <f>+_xlfn.XLOOKUP(AA107,BASE[N° MÓDULO],BASE[TIPO],"",0)</f>
        <v/>
      </c>
      <c r="AB113"/>
      <c r="AC113" s="49" t="str">
        <f>+_xlfn.XLOOKUP(AC107,BASE[N° MÓDULO],BASE[TIPO],"",0)</f>
        <v/>
      </c>
      <c r="AD113"/>
      <c r="AE113" s="49" t="str">
        <f>+_xlfn.XLOOKUP(AE107,BASE[N° MÓDULO],BASE[TIPO],"",0)</f>
        <v/>
      </c>
      <c r="AQ113" s="18"/>
    </row>
    <row r="114" spans="15:43" ht="13.5" customHeight="1" thickBot="1" x14ac:dyDescent="0.25">
      <c r="O114" s="57"/>
      <c r="P114" s="58"/>
      <c r="Q114" s="60"/>
      <c r="S114" s="50"/>
      <c r="Y114" s="17"/>
      <c r="AA114" s="50"/>
      <c r="AB114"/>
      <c r="AC114" s="50"/>
      <c r="AD114"/>
      <c r="AE114" s="50"/>
      <c r="AQ114" s="18"/>
    </row>
    <row r="115" spans="15:43" ht="13.5" thickBot="1" x14ac:dyDescent="0.25">
      <c r="Y115" s="17"/>
      <c r="AQ115" s="18"/>
    </row>
    <row r="116" spans="15:43" ht="13.5" thickBot="1" x14ac:dyDescent="0.25">
      <c r="Y116" s="17"/>
      <c r="AA116" s="61" t="s">
        <v>161</v>
      </c>
      <c r="AB116"/>
      <c r="AC116" s="61" t="s">
        <v>162</v>
      </c>
      <c r="AD116"/>
      <c r="AE116" s="61" t="s">
        <v>163</v>
      </c>
      <c r="AQ116" s="18"/>
    </row>
    <row r="117" spans="15:43" x14ac:dyDescent="0.2">
      <c r="O117" s="53"/>
      <c r="P117" s="54"/>
      <c r="Q117" s="41" t="str">
        <f>+_xlfn.XLOOKUP(O117,BASE[N° MÓDULO],BASE[% AVANCE],"",0)</f>
        <v/>
      </c>
      <c r="S117" s="61"/>
      <c r="Y117" s="17"/>
      <c r="AA117" s="51"/>
      <c r="AB117"/>
      <c r="AC117" s="51"/>
      <c r="AD117"/>
      <c r="AE117" s="51"/>
      <c r="AQ117" s="18"/>
    </row>
    <row r="118" spans="15:43" x14ac:dyDescent="0.2">
      <c r="O118" s="55"/>
      <c r="P118" s="56"/>
      <c r="Q118" s="59" t="str">
        <f>+_xlfn.XLOOKUP(O117,BASE[N° MÓDULO],BASE[TIPO],"",0)</f>
        <v/>
      </c>
      <c r="S118" s="51"/>
      <c r="Y118" s="17"/>
      <c r="AA118" s="51"/>
      <c r="AB118"/>
      <c r="AC118" s="51"/>
      <c r="AD118"/>
      <c r="AE118" s="51"/>
      <c r="AQ118" s="18"/>
    </row>
    <row r="119" spans="15:43" ht="13.5" thickBot="1" x14ac:dyDescent="0.25">
      <c r="O119" s="57"/>
      <c r="P119" s="58"/>
      <c r="Q119" s="60"/>
      <c r="S119" s="51"/>
      <c r="Y119" s="17"/>
      <c r="AA119" s="51"/>
      <c r="AB119"/>
      <c r="AC119" s="51"/>
      <c r="AD119"/>
      <c r="AE119" s="51"/>
      <c r="AQ119" s="18"/>
    </row>
    <row r="120" spans="15:43" ht="18" x14ac:dyDescent="0.2">
      <c r="O120" s="5"/>
      <c r="P120" s="5"/>
      <c r="Q120" s="5"/>
      <c r="S120" s="51"/>
      <c r="Y120" s="17"/>
      <c r="AA120" s="51"/>
      <c r="AB120"/>
      <c r="AC120" s="51"/>
      <c r="AD120"/>
      <c r="AE120" s="51"/>
      <c r="AQ120" s="18"/>
    </row>
    <row r="121" spans="15:43" ht="18.75" thickBot="1" x14ac:dyDescent="0.25">
      <c r="S121" s="51"/>
      <c r="Y121" s="17"/>
      <c r="AA121" s="42">
        <f>+_xlfn.XLOOKUP(AA116,BASE[N° MÓDULO],BASE[% AVANCE],"",0)</f>
        <v>0.38999999999999996</v>
      </c>
      <c r="AB121"/>
      <c r="AC121" s="42">
        <f>+_xlfn.XLOOKUP(AC116,BASE[N° MÓDULO],BASE[% AVANCE],"",0)</f>
        <v>0.41</v>
      </c>
      <c r="AD121"/>
      <c r="AE121" s="42">
        <f>+_xlfn.XLOOKUP(AE116,BASE[N° MÓDULO],BASE[% AVANCE],"",0)</f>
        <v>0.38999999999999996</v>
      </c>
      <c r="AQ121" s="18"/>
    </row>
    <row r="122" spans="15:43" ht="18" x14ac:dyDescent="0.2">
      <c r="O122" s="53"/>
      <c r="P122" s="54"/>
      <c r="Q122" s="41" t="str">
        <f>+_xlfn.XLOOKUP(O122,BASE[N° MÓDULO],BASE[% AVANCE],"",0)</f>
        <v/>
      </c>
      <c r="S122" s="42" t="str">
        <f>+_xlfn.XLOOKUP(S117,BASE[N° MÓDULO],BASE[% AVANCE],"",0)</f>
        <v/>
      </c>
      <c r="Y122" s="17"/>
      <c r="AA122" s="49" t="str">
        <f>+_xlfn.XLOOKUP(AA116,BASE[N° MÓDULO],BASE[TIPO],"",0)</f>
        <v>SECO</v>
      </c>
      <c r="AB122"/>
      <c r="AC122" s="49" t="str">
        <f>+_xlfn.XLOOKUP(AC116,BASE[N° MÓDULO],BASE[TIPO],"",0)</f>
        <v>HUMEDO</v>
      </c>
      <c r="AD122"/>
      <c r="AE122" s="49" t="str">
        <f>+_xlfn.XLOOKUP(AE116,BASE[N° MÓDULO],BASE[TIPO],"",0)</f>
        <v>HUMEDO</v>
      </c>
      <c r="AQ122" s="18"/>
    </row>
    <row r="123" spans="15:43" ht="13.5" thickBot="1" x14ac:dyDescent="0.25">
      <c r="O123" s="55"/>
      <c r="P123" s="56"/>
      <c r="Q123" s="59" t="str">
        <f>+_xlfn.XLOOKUP(O122,BASE[N° MÓDULO],BASE[TIPO],"",0)</f>
        <v/>
      </c>
      <c r="S123" s="51" t="str">
        <f>+_xlfn.XLOOKUP(S117,BASE[N° MÓDULO],BASE[TIPO],"",0)</f>
        <v/>
      </c>
      <c r="Y123" s="17"/>
      <c r="AA123" s="50"/>
      <c r="AB123"/>
      <c r="AC123" s="50"/>
      <c r="AD123"/>
      <c r="AE123" s="50"/>
      <c r="AQ123" s="18"/>
    </row>
    <row r="124" spans="15:43" ht="13.5" thickBot="1" x14ac:dyDescent="0.25">
      <c r="O124" s="57"/>
      <c r="P124" s="58"/>
      <c r="Q124" s="60"/>
      <c r="S124" s="52"/>
      <c r="Y124" s="17"/>
      <c r="AQ124" s="18"/>
    </row>
    <row r="125" spans="15:43" ht="13.5" thickBot="1" x14ac:dyDescent="0.25">
      <c r="Y125" s="17"/>
      <c r="AQ125" s="18"/>
    </row>
    <row r="126" spans="15:43" ht="13.5" thickBot="1" x14ac:dyDescent="0.25">
      <c r="Y126" s="17"/>
      <c r="AA126" s="61" t="s">
        <v>164</v>
      </c>
      <c r="AB126"/>
      <c r="AC126" s="61" t="s">
        <v>165</v>
      </c>
      <c r="AD126"/>
      <c r="AE126" s="61" t="s">
        <v>176</v>
      </c>
      <c r="AQ126" s="18"/>
    </row>
    <row r="127" spans="15:43" x14ac:dyDescent="0.2">
      <c r="O127" s="53"/>
      <c r="P127" s="54"/>
      <c r="Q127" s="41" t="str">
        <f>+_xlfn.XLOOKUP(O127,BASE[N° MÓDULO],BASE[% AVANCE],"",0)</f>
        <v/>
      </c>
      <c r="S127" s="61"/>
      <c r="Y127" s="17"/>
      <c r="AA127" s="51"/>
      <c r="AB127"/>
      <c r="AC127" s="51"/>
      <c r="AD127"/>
      <c r="AE127" s="51"/>
      <c r="AQ127" s="18"/>
    </row>
    <row r="128" spans="15:43" x14ac:dyDescent="0.2">
      <c r="O128" s="55"/>
      <c r="P128" s="56"/>
      <c r="Q128" s="59" t="str">
        <f>+_xlfn.XLOOKUP(O127,BASE[N° MÓDULO],BASE[TIPO],"",0)</f>
        <v/>
      </c>
      <c r="S128" s="51"/>
      <c r="Y128" s="17"/>
      <c r="AA128" s="51"/>
      <c r="AB128"/>
      <c r="AC128" s="51"/>
      <c r="AD128"/>
      <c r="AE128" s="51"/>
      <c r="AQ128" s="18"/>
    </row>
    <row r="129" spans="15:61" ht="13.5" thickBot="1" x14ac:dyDescent="0.25">
      <c r="O129" s="57"/>
      <c r="P129" s="58"/>
      <c r="Q129" s="60"/>
      <c r="S129" s="51"/>
      <c r="Y129" s="17"/>
      <c r="AA129" s="51"/>
      <c r="AB129"/>
      <c r="AC129" s="51"/>
      <c r="AD129"/>
      <c r="AE129" s="51"/>
      <c r="AQ129" s="18"/>
    </row>
    <row r="130" spans="15:61" x14ac:dyDescent="0.2">
      <c r="S130" s="51"/>
      <c r="Y130" s="17"/>
      <c r="AA130" s="51"/>
      <c r="AB130"/>
      <c r="AC130" s="51"/>
      <c r="AD130"/>
      <c r="AE130" s="51"/>
      <c r="AI130"/>
      <c r="AJ130"/>
      <c r="AP130"/>
      <c r="AQ130" s="22"/>
      <c r="AR130"/>
      <c r="AS130"/>
      <c r="AT130"/>
      <c r="AU130"/>
      <c r="AV130"/>
      <c r="AW130"/>
      <c r="AX130"/>
      <c r="AY130"/>
      <c r="AZ130"/>
      <c r="BA130"/>
      <c r="BB130"/>
      <c r="BC130"/>
      <c r="BD130"/>
      <c r="BE130"/>
      <c r="BF130"/>
      <c r="BG130"/>
      <c r="BH130"/>
      <c r="BI130"/>
    </row>
    <row r="131" spans="15:61" ht="18.75" thickBot="1" x14ac:dyDescent="0.25">
      <c r="S131" s="51"/>
      <c r="Y131" s="17"/>
      <c r="AA131" s="42">
        <f>+_xlfn.XLOOKUP(AA126,BASE[N° MÓDULO],BASE[% AVANCE],"",0)</f>
        <v>0.38999999999999996</v>
      </c>
      <c r="AB131"/>
      <c r="AC131" s="42">
        <f>+_xlfn.XLOOKUP(AC126,BASE[N° MÓDULO],BASE[% AVANCE],"",0)</f>
        <v>0.38999999999999996</v>
      </c>
      <c r="AD131"/>
      <c r="AE131" s="42">
        <f>+_xlfn.XLOOKUP(AE126,BASE[N° MÓDULO],BASE[% AVANCE],"",0)</f>
        <v>0.38999999999999996</v>
      </c>
      <c r="AQ131" s="18"/>
    </row>
    <row r="132" spans="15:61" ht="18" x14ac:dyDescent="0.2">
      <c r="O132" s="53"/>
      <c r="P132" s="54"/>
      <c r="Q132" s="41" t="str">
        <f>+_xlfn.XLOOKUP(O132,BASE[N° MÓDULO],BASE[% AVANCE],"",0)</f>
        <v/>
      </c>
      <c r="S132" s="42" t="str">
        <f>+_xlfn.XLOOKUP(S127,BASE[N° MÓDULO],BASE[% AVANCE],"",0)</f>
        <v/>
      </c>
      <c r="Y132" s="17"/>
      <c r="AA132" s="49" t="str">
        <f>+_xlfn.XLOOKUP(AA126,BASE[N° MÓDULO],BASE[TIPO],"",0)</f>
        <v>SECO</v>
      </c>
      <c r="AB132"/>
      <c r="AC132" s="49" t="str">
        <f>+_xlfn.XLOOKUP(AC126,BASE[N° MÓDULO],BASE[TIPO],"",0)</f>
        <v>SECO</v>
      </c>
      <c r="AD132"/>
      <c r="AE132" s="49" t="str">
        <f>+_xlfn.XLOOKUP(AE126,BASE[N° MÓDULO],BASE[TIPO],"",0)</f>
        <v>SECO</v>
      </c>
      <c r="AQ132" s="18"/>
    </row>
    <row r="133" spans="15:61" ht="13.5" thickBot="1" x14ac:dyDescent="0.25">
      <c r="O133" s="55"/>
      <c r="P133" s="56"/>
      <c r="Q133" s="59" t="str">
        <f>+_xlfn.XLOOKUP(O132,BASE[N° MÓDULO],BASE[TIPO],"",0)</f>
        <v/>
      </c>
      <c r="S133" s="51" t="str">
        <f>+_xlfn.XLOOKUP(S127,BASE[N° MÓDULO],BASE[TIPO],"",0)</f>
        <v/>
      </c>
      <c r="Y133" s="17"/>
      <c r="AA133" s="50"/>
      <c r="AB133"/>
      <c r="AC133" s="50"/>
      <c r="AD133"/>
      <c r="AE133" s="50"/>
      <c r="AQ133" s="18"/>
    </row>
    <row r="134" spans="15:61" ht="13.5" thickBot="1" x14ac:dyDescent="0.25">
      <c r="O134" s="57"/>
      <c r="P134" s="58"/>
      <c r="Q134" s="60"/>
      <c r="S134" s="52"/>
      <c r="Y134" s="17"/>
      <c r="AQ134" s="18"/>
    </row>
    <row r="135" spans="15:61" ht="13.5" thickBot="1" x14ac:dyDescent="0.25">
      <c r="Y135" s="17"/>
      <c r="AQ135" s="18"/>
    </row>
    <row r="136" spans="15:61" ht="13.5" thickBot="1" x14ac:dyDescent="0.25">
      <c r="Y136" s="17"/>
      <c r="AA136" s="61" t="s">
        <v>166</v>
      </c>
      <c r="AB136"/>
      <c r="AC136" s="61" t="s">
        <v>175</v>
      </c>
      <c r="AD136"/>
      <c r="AE136" s="61" t="s">
        <v>176</v>
      </c>
      <c r="AQ136" s="18"/>
    </row>
    <row r="137" spans="15:61" x14ac:dyDescent="0.2">
      <c r="O137" s="53"/>
      <c r="P137" s="54"/>
      <c r="Q137" s="41" t="str">
        <f>+_xlfn.XLOOKUP(O137,BASE[N° MÓDULO],BASE[% AVANCE],"",0)</f>
        <v/>
      </c>
      <c r="S137" s="61"/>
      <c r="Y137" s="17"/>
      <c r="AA137" s="51"/>
      <c r="AB137"/>
      <c r="AC137" s="51"/>
      <c r="AD137"/>
      <c r="AE137" s="51"/>
      <c r="AQ137" s="18"/>
    </row>
    <row r="138" spans="15:61" x14ac:dyDescent="0.2">
      <c r="O138" s="55"/>
      <c r="P138" s="56"/>
      <c r="Q138" s="59" t="str">
        <f>+_xlfn.XLOOKUP(O137,BASE[N° MÓDULO],BASE[TIPO],"",0)</f>
        <v/>
      </c>
      <c r="S138" s="51"/>
      <c r="Y138" s="17"/>
      <c r="AA138" s="51"/>
      <c r="AB138"/>
      <c r="AC138" s="51"/>
      <c r="AD138"/>
      <c r="AE138" s="51"/>
      <c r="AQ138" s="18"/>
    </row>
    <row r="139" spans="15:61" ht="13.5" thickBot="1" x14ac:dyDescent="0.25">
      <c r="O139" s="57"/>
      <c r="P139" s="58"/>
      <c r="Q139" s="60"/>
      <c r="S139" s="51"/>
      <c r="Y139" s="17"/>
      <c r="AA139" s="51"/>
      <c r="AB139"/>
      <c r="AC139" s="51"/>
      <c r="AD139"/>
      <c r="AE139" s="51"/>
      <c r="AQ139" s="18"/>
    </row>
    <row r="140" spans="15:61" x14ac:dyDescent="0.2">
      <c r="S140" s="51"/>
      <c r="Y140" s="17"/>
      <c r="AA140" s="51"/>
      <c r="AB140"/>
      <c r="AC140" s="51"/>
      <c r="AD140"/>
      <c r="AE140" s="51"/>
      <c r="AQ140" s="18"/>
    </row>
    <row r="141" spans="15:61" ht="18.75" thickBot="1" x14ac:dyDescent="0.25">
      <c r="S141" s="51"/>
      <c r="Y141" s="17"/>
      <c r="AA141" s="42">
        <f>+_xlfn.XLOOKUP(AA136,BASE[N° MÓDULO],BASE[% AVANCE],"",0)</f>
        <v>0.38999999999999996</v>
      </c>
      <c r="AB141"/>
      <c r="AC141" s="42">
        <f>+_xlfn.XLOOKUP(AC136,BASE[N° MÓDULO],BASE[% AVANCE],"",0)</f>
        <v>0.38999999999999996</v>
      </c>
      <c r="AD141"/>
      <c r="AE141" s="42">
        <f>+_xlfn.XLOOKUP(AE136,BASE[N° MÓDULO],BASE[% AVANCE],"",0)</f>
        <v>0.38999999999999996</v>
      </c>
      <c r="AQ141" s="18"/>
    </row>
    <row r="142" spans="15:61" ht="18" x14ac:dyDescent="0.2">
      <c r="O142" s="53"/>
      <c r="P142" s="54"/>
      <c r="Q142" s="41" t="str">
        <f>+_xlfn.XLOOKUP(O142,BASE[N° MÓDULO],BASE[% AVANCE],"",0)</f>
        <v/>
      </c>
      <c r="S142" s="42" t="str">
        <f>+_xlfn.XLOOKUP(S137,BASE[N° MÓDULO],BASE[% AVANCE],"",0)</f>
        <v/>
      </c>
      <c r="Y142" s="17"/>
      <c r="AA142" s="49" t="str">
        <f>+_xlfn.XLOOKUP(AA136,BASE[N° MÓDULO],BASE[TIPO],"",0)</f>
        <v>HUMEDO</v>
      </c>
      <c r="AB142"/>
      <c r="AC142" s="49" t="str">
        <f>+_xlfn.XLOOKUP(AC136,BASE[N° MÓDULO],BASE[TIPO],"",0)</f>
        <v>HUMEDO</v>
      </c>
      <c r="AD142"/>
      <c r="AE142" s="51" t="str">
        <f>+_xlfn.XLOOKUP(AE136,BASE[N° MÓDULO],BASE[TIPO],"",0)</f>
        <v>SECO</v>
      </c>
      <c r="AQ142" s="18"/>
    </row>
    <row r="143" spans="15:61" ht="13.5" thickBot="1" x14ac:dyDescent="0.25">
      <c r="O143" s="55"/>
      <c r="P143" s="56"/>
      <c r="Q143" s="59" t="str">
        <f>+_xlfn.XLOOKUP(O142,BASE[N° MÓDULO],BASE[TIPO],"",0)</f>
        <v/>
      </c>
      <c r="S143" s="51" t="str">
        <f>+_xlfn.XLOOKUP(S137,BASE[N° MÓDULO],BASE[TIPO],"",0)</f>
        <v/>
      </c>
      <c r="Y143" s="17"/>
      <c r="AA143" s="50"/>
      <c r="AB143"/>
      <c r="AC143" s="50"/>
      <c r="AD143"/>
      <c r="AE143" s="52"/>
      <c r="AQ143" s="18"/>
    </row>
    <row r="144" spans="15:61" ht="13.5" thickBot="1" x14ac:dyDescent="0.25">
      <c r="O144" s="57"/>
      <c r="P144" s="58"/>
      <c r="Q144" s="60"/>
      <c r="S144" s="52"/>
      <c r="Y144" s="17"/>
      <c r="AQ144" s="18"/>
    </row>
    <row r="145" spans="15:43" ht="13.5" thickBot="1" x14ac:dyDescent="0.25">
      <c r="Y145" s="17"/>
      <c r="AQ145" s="18"/>
    </row>
    <row r="146" spans="15:43" ht="13.5" thickBot="1" x14ac:dyDescent="0.25">
      <c r="Y146" s="17"/>
      <c r="AA146" s="61" t="s">
        <v>170</v>
      </c>
      <c r="AB146"/>
      <c r="AC146" s="61" t="s">
        <v>171</v>
      </c>
      <c r="AD146"/>
      <c r="AE146" s="61" t="s">
        <v>169</v>
      </c>
      <c r="AQ146" s="18"/>
    </row>
    <row r="147" spans="15:43" ht="12" customHeight="1" x14ac:dyDescent="0.2">
      <c r="O147" s="53"/>
      <c r="P147" s="54"/>
      <c r="Q147" s="41" t="str">
        <f>+_xlfn.XLOOKUP(O147,BASE[N° MÓDULO],BASE[% AVANCE],"",0)</f>
        <v/>
      </c>
      <c r="S147" s="61"/>
      <c r="Y147" s="17"/>
      <c r="AA147" s="51"/>
      <c r="AB147"/>
      <c r="AC147" s="51"/>
      <c r="AD147"/>
      <c r="AE147" s="51"/>
      <c r="AQ147" s="18"/>
    </row>
    <row r="148" spans="15:43" ht="12" customHeight="1" x14ac:dyDescent="0.2">
      <c r="O148" s="55"/>
      <c r="P148" s="56"/>
      <c r="Q148" s="59" t="str">
        <f>+_xlfn.XLOOKUP(O147,BASE[N° MÓDULO],BASE[TIPO],"",0)</f>
        <v/>
      </c>
      <c r="S148" s="51"/>
      <c r="Y148" s="17"/>
      <c r="AA148" s="51"/>
      <c r="AB148"/>
      <c r="AC148" s="51"/>
      <c r="AD148"/>
      <c r="AE148" s="51"/>
      <c r="AQ148" s="18"/>
    </row>
    <row r="149" spans="15:43" ht="12" customHeight="1" thickBot="1" x14ac:dyDescent="0.25">
      <c r="O149" s="57"/>
      <c r="P149" s="58"/>
      <c r="Q149" s="60"/>
      <c r="S149" s="51"/>
      <c r="Y149" s="17"/>
      <c r="AA149" s="51"/>
      <c r="AB149"/>
      <c r="AC149" s="51"/>
      <c r="AD149"/>
      <c r="AE149" s="51"/>
      <c r="AQ149" s="18"/>
    </row>
    <row r="150" spans="15:43" x14ac:dyDescent="0.2">
      <c r="S150" s="51"/>
      <c r="Y150" s="17"/>
      <c r="AA150" s="51"/>
      <c r="AB150"/>
      <c r="AC150" s="51"/>
      <c r="AD150"/>
      <c r="AE150" s="51"/>
      <c r="AQ150" s="18"/>
    </row>
    <row r="151" spans="15:43" ht="18" x14ac:dyDescent="0.2">
      <c r="S151" s="51"/>
      <c r="Y151" s="17"/>
      <c r="AA151" s="42">
        <f>+_xlfn.XLOOKUP(AA146,BASE[N° MÓDULO],BASE[% AVANCE],"",0)</f>
        <v>0.38999999999999996</v>
      </c>
      <c r="AB151"/>
      <c r="AC151" s="42">
        <f>+_xlfn.XLOOKUP(AC146,BASE[N° MÓDULO],BASE[% AVANCE],"",0)</f>
        <v>0.23</v>
      </c>
      <c r="AD151"/>
      <c r="AE151" s="42">
        <f>+_xlfn.XLOOKUP(AE146,BASE[N° MÓDULO],BASE[% AVANCE],"",0)</f>
        <v>0.12</v>
      </c>
      <c r="AQ151" s="18"/>
    </row>
    <row r="152" spans="15:43" ht="18" x14ac:dyDescent="0.2">
      <c r="S152" s="42" t="str">
        <f>+_xlfn.XLOOKUP(S147,BASE[N° MÓDULO],BASE[% AVANCE],"",0)</f>
        <v/>
      </c>
      <c r="Y152" s="17"/>
      <c r="AA152" s="49" t="str">
        <f>+_xlfn.XLOOKUP(AA146,BASE[N° MÓDULO],BASE[TIPO],"",0)</f>
        <v>HUMEDO</v>
      </c>
      <c r="AB152"/>
      <c r="AC152" s="49" t="str">
        <f>+_xlfn.XLOOKUP(AC146,BASE[N° MÓDULO],BASE[TIPO],"",0)</f>
        <v>HUMEDO</v>
      </c>
      <c r="AD152"/>
      <c r="AE152" s="51" t="str">
        <f>+_xlfn.XLOOKUP(AE146,BASE[N° MÓDULO],BASE[TIPO],"",0)</f>
        <v>SECO</v>
      </c>
      <c r="AQ152" s="18"/>
    </row>
    <row r="153" spans="15:43" ht="13.5" thickBot="1" x14ac:dyDescent="0.25">
      <c r="S153" s="51" t="str">
        <f>+_xlfn.XLOOKUP(S147,BASE[N° MÓDULO],BASE[TIPO],"",0)</f>
        <v/>
      </c>
      <c r="Y153" s="17"/>
      <c r="AA153" s="50"/>
      <c r="AB153"/>
      <c r="AC153" s="50"/>
      <c r="AD153"/>
      <c r="AE153" s="52"/>
      <c r="AQ153" s="18"/>
    </row>
    <row r="154" spans="15:43" ht="13.5" thickBot="1" x14ac:dyDescent="0.25">
      <c r="S154" s="52"/>
      <c r="Y154" s="17"/>
      <c r="AQ154" s="18"/>
    </row>
    <row r="155" spans="15:43" x14ac:dyDescent="0.2">
      <c r="Y155" s="17"/>
      <c r="AA155" s="61" t="s">
        <v>174</v>
      </c>
      <c r="AB155"/>
      <c r="AC155" s="61" t="s">
        <v>172</v>
      </c>
      <c r="AD155"/>
      <c r="AE155" s="61"/>
      <c r="AQ155" s="18"/>
    </row>
    <row r="156" spans="15:43" x14ac:dyDescent="0.2">
      <c r="Y156" s="17"/>
      <c r="AA156" s="51"/>
      <c r="AB156"/>
      <c r="AC156" s="51"/>
      <c r="AD156"/>
      <c r="AE156" s="51"/>
      <c r="AQ156" s="18"/>
    </row>
    <row r="157" spans="15:43" x14ac:dyDescent="0.2">
      <c r="Y157" s="17"/>
      <c r="AA157" s="51"/>
      <c r="AB157"/>
      <c r="AC157" s="51"/>
      <c r="AD157"/>
      <c r="AE157" s="51"/>
      <c r="AQ157" s="18"/>
    </row>
    <row r="158" spans="15:43" x14ac:dyDescent="0.2">
      <c r="Y158" s="17"/>
      <c r="AA158" s="51"/>
      <c r="AB158"/>
      <c r="AC158" s="51"/>
      <c r="AD158"/>
      <c r="AE158" s="51"/>
      <c r="AQ158" s="18"/>
    </row>
    <row r="159" spans="15:43" x14ac:dyDescent="0.2">
      <c r="Y159" s="17"/>
      <c r="AA159" s="51"/>
      <c r="AB159"/>
      <c r="AC159" s="51"/>
      <c r="AD159"/>
      <c r="AE159" s="51"/>
      <c r="AQ159" s="18"/>
    </row>
    <row r="160" spans="15:43" ht="18" x14ac:dyDescent="0.2">
      <c r="Y160" s="17"/>
      <c r="AA160" s="42">
        <f>+_xlfn.XLOOKUP(AA155,BASE[N° MÓDULO],BASE[% AVANCE],"",0)</f>
        <v>0.12</v>
      </c>
      <c r="AB160"/>
      <c r="AC160" s="42">
        <f>+_xlfn.XLOOKUP(AC155,BASE[N° MÓDULO],BASE[% AVANCE],"",0)</f>
        <v>0</v>
      </c>
      <c r="AD160"/>
      <c r="AE160" s="42" t="str">
        <f>+_xlfn.XLOOKUP(AE155,BASE[N° MÓDULO],BASE[% AVANCE],"",0)</f>
        <v/>
      </c>
      <c r="AQ160" s="18"/>
    </row>
    <row r="161" spans="25:43" x14ac:dyDescent="0.2">
      <c r="Y161" s="17"/>
      <c r="AA161" s="49" t="str">
        <f>+_xlfn.XLOOKUP(AA155,BASE[N° MÓDULO],BASE[TIPO],"",0)</f>
        <v>HUMEDO</v>
      </c>
      <c r="AB161"/>
      <c r="AC161" s="49" t="str">
        <f>+_xlfn.XLOOKUP(AC155,BASE[N° MÓDULO],BASE[TIPO],"",0)</f>
        <v>SECO</v>
      </c>
      <c r="AD161"/>
      <c r="AE161" s="51" t="str">
        <f>+_xlfn.XLOOKUP(AE155,BASE[N° MÓDULO],BASE[TIPO],"",0)</f>
        <v/>
      </c>
      <c r="AQ161" s="18"/>
    </row>
    <row r="162" spans="25:43" ht="13.5" thickBot="1" x14ac:dyDescent="0.25">
      <c r="Y162" s="17"/>
      <c r="AA162" s="50"/>
      <c r="AB162"/>
      <c r="AC162" s="50"/>
      <c r="AD162"/>
      <c r="AE162" s="52"/>
      <c r="AQ162" s="18"/>
    </row>
    <row r="163" spans="25:43" x14ac:dyDescent="0.2">
      <c r="Y163" s="17"/>
      <c r="AQ163" s="18"/>
    </row>
    <row r="164" spans="25:43" x14ac:dyDescent="0.2">
      <c r="Y164" s="17"/>
      <c r="AQ164" s="18"/>
    </row>
    <row r="165" spans="25:43" ht="13.5" thickBot="1" x14ac:dyDescent="0.25">
      <c r="Y165" s="17"/>
      <c r="AQ165" s="18"/>
    </row>
    <row r="166" spans="25:43" x14ac:dyDescent="0.2">
      <c r="Y166" s="17"/>
      <c r="AA166" s="78" t="s">
        <v>49</v>
      </c>
      <c r="AC166" s="78" t="s">
        <v>50</v>
      </c>
      <c r="AE166" s="78" t="s">
        <v>51</v>
      </c>
      <c r="AQ166" s="18"/>
    </row>
    <row r="167" spans="25:43" x14ac:dyDescent="0.2">
      <c r="Y167" s="17"/>
      <c r="AA167" s="79"/>
      <c r="AC167" s="79"/>
      <c r="AE167" s="79"/>
      <c r="AQ167" s="18"/>
    </row>
    <row r="168" spans="25:43" x14ac:dyDescent="0.2">
      <c r="Y168" s="17"/>
      <c r="AA168" s="79"/>
      <c r="AC168" s="79"/>
      <c r="AE168" s="79"/>
      <c r="AQ168" s="18"/>
    </row>
    <row r="169" spans="25:43" x14ac:dyDescent="0.2">
      <c r="Y169" s="17"/>
      <c r="AA169" s="79"/>
      <c r="AC169" s="79"/>
      <c r="AE169" s="79"/>
      <c r="AQ169" s="18"/>
    </row>
    <row r="170" spans="25:43" x14ac:dyDescent="0.2">
      <c r="Y170" s="17"/>
      <c r="AA170" s="79"/>
      <c r="AC170" s="79"/>
      <c r="AE170" s="79"/>
      <c r="AQ170" s="18"/>
    </row>
    <row r="171" spans="25:43" x14ac:dyDescent="0.2">
      <c r="Y171" s="17"/>
      <c r="AA171" s="79"/>
      <c r="AC171" s="79"/>
      <c r="AE171" s="79"/>
      <c r="AQ171" s="18"/>
    </row>
    <row r="172" spans="25:43" x14ac:dyDescent="0.2">
      <c r="Y172" s="17"/>
      <c r="AA172" s="79"/>
      <c r="AC172" s="79"/>
      <c r="AE172" s="79"/>
      <c r="AQ172" s="18"/>
    </row>
    <row r="173" spans="25:43" ht="13.5" thickBot="1" x14ac:dyDescent="0.25">
      <c r="Y173" s="17"/>
      <c r="AA173" s="80"/>
      <c r="AC173" s="80"/>
      <c r="AE173" s="80"/>
      <c r="AQ173" s="18"/>
    </row>
    <row r="174" spans="25:43" x14ac:dyDescent="0.2">
      <c r="Y174" s="17"/>
      <c r="AQ174" s="18"/>
    </row>
    <row r="175" spans="25:43" x14ac:dyDescent="0.2">
      <c r="Y175" s="17"/>
      <c r="AQ175" s="18"/>
    </row>
    <row r="176" spans="25:43" ht="13.5" thickBot="1" x14ac:dyDescent="0.25">
      <c r="Y176" s="19"/>
      <c r="Z176" s="20"/>
      <c r="AA176" s="20"/>
      <c r="AB176" s="20"/>
      <c r="AC176" s="20"/>
      <c r="AD176" s="20"/>
      <c r="AE176" s="20"/>
      <c r="AF176" s="20"/>
      <c r="AG176" s="20"/>
      <c r="AH176" s="20"/>
      <c r="AI176" s="20"/>
      <c r="AJ176" s="20"/>
      <c r="AK176" s="20"/>
      <c r="AL176" s="20"/>
      <c r="AM176" s="20"/>
      <c r="AN176" s="20"/>
      <c r="AO176" s="20"/>
      <c r="AP176" s="20"/>
      <c r="AQ176" s="21"/>
    </row>
  </sheetData>
  <mergeCells count="220">
    <mergeCell ref="O147:P149"/>
    <mergeCell ref="Q148:Q149"/>
    <mergeCell ref="AC76:AD78"/>
    <mergeCell ref="AE77:AE78"/>
    <mergeCell ref="AC71:AD73"/>
    <mergeCell ref="AE72:AE73"/>
    <mergeCell ref="AC67:AD69"/>
    <mergeCell ref="AE68:AE69"/>
    <mergeCell ref="O127:P129"/>
    <mergeCell ref="Q128:Q129"/>
    <mergeCell ref="O132:P134"/>
    <mergeCell ref="Q133:Q134"/>
    <mergeCell ref="O137:P139"/>
    <mergeCell ref="Q138:Q139"/>
    <mergeCell ref="O112:P114"/>
    <mergeCell ref="Q113:Q114"/>
    <mergeCell ref="O107:P109"/>
    <mergeCell ref="Q108:Q109"/>
    <mergeCell ref="O117:P119"/>
    <mergeCell ref="Q118:Q119"/>
    <mergeCell ref="O122:P124"/>
    <mergeCell ref="Q123:Q124"/>
    <mergeCell ref="BG23:BG24"/>
    <mergeCell ref="BE17:BF19"/>
    <mergeCell ref="BG18:BG19"/>
    <mergeCell ref="BI17:BJ19"/>
    <mergeCell ref="BK18:BK19"/>
    <mergeCell ref="BI22:BJ24"/>
    <mergeCell ref="BK23:BK24"/>
    <mergeCell ref="BM17:BN19"/>
    <mergeCell ref="O142:P144"/>
    <mergeCell ref="Q143:Q144"/>
    <mergeCell ref="AM76:AN78"/>
    <mergeCell ref="AU64:AU65"/>
    <mergeCell ref="AE45:AE46"/>
    <mergeCell ref="AC49:AD51"/>
    <mergeCell ref="AE50:AE51"/>
    <mergeCell ref="AM67:AN69"/>
    <mergeCell ref="AM62:AN64"/>
    <mergeCell ref="AO63:AO64"/>
    <mergeCell ref="AC62:AD64"/>
    <mergeCell ref="AE63:AE64"/>
    <mergeCell ref="AC58:AD60"/>
    <mergeCell ref="AE59:AE60"/>
    <mergeCell ref="AM58:AN60"/>
    <mergeCell ref="AO59:AO60"/>
    <mergeCell ref="BK8:BK12"/>
    <mergeCell ref="BK14:BK15"/>
    <mergeCell ref="AE126:AE130"/>
    <mergeCell ref="AE132:AE133"/>
    <mergeCell ref="AE107:AE111"/>
    <mergeCell ref="AE113:AE114"/>
    <mergeCell ref="AQ44:AQ48"/>
    <mergeCell ref="AQ50:AQ51"/>
    <mergeCell ref="AG44:AG48"/>
    <mergeCell ref="AG50:AG51"/>
    <mergeCell ref="AG53:AG57"/>
    <mergeCell ref="AM53:AN55"/>
    <mergeCell ref="AO54:AO55"/>
    <mergeCell ref="AM49:AN51"/>
    <mergeCell ref="AO50:AO51"/>
    <mergeCell ref="AM44:AN46"/>
    <mergeCell ref="AO45:AO46"/>
    <mergeCell ref="AQ68:AQ69"/>
    <mergeCell ref="AQ53:AQ57"/>
    <mergeCell ref="BA69:BB71"/>
    <mergeCell ref="BC70:BC71"/>
    <mergeCell ref="AG71:AG75"/>
    <mergeCell ref="AG77:AG78"/>
    <mergeCell ref="AU58:AU62"/>
    <mergeCell ref="BS8:BS12"/>
    <mergeCell ref="BS14:BS15"/>
    <mergeCell ref="BQ8:BQ12"/>
    <mergeCell ref="BQ14:BQ15"/>
    <mergeCell ref="BQ17:BQ21"/>
    <mergeCell ref="BQ23:BQ24"/>
    <mergeCell ref="BO8:BO12"/>
    <mergeCell ref="BO14:BO15"/>
    <mergeCell ref="BM8:BM12"/>
    <mergeCell ref="BM14:BM15"/>
    <mergeCell ref="BO18:BO19"/>
    <mergeCell ref="BM22:BN24"/>
    <mergeCell ref="BO23:BO24"/>
    <mergeCell ref="BQ56:BR58"/>
    <mergeCell ref="BS57:BS58"/>
    <mergeCell ref="BM56:BN58"/>
    <mergeCell ref="BO57:BO58"/>
    <mergeCell ref="BI56:BJ58"/>
    <mergeCell ref="BK57:BK58"/>
    <mergeCell ref="BQ69:BR71"/>
    <mergeCell ref="BS70:BS71"/>
    <mergeCell ref="BK60:BK64"/>
    <mergeCell ref="BK66:BK67"/>
    <mergeCell ref="BM60:BM64"/>
    <mergeCell ref="BM66:BM67"/>
    <mergeCell ref="BO60:BO64"/>
    <mergeCell ref="S41:W80"/>
    <mergeCell ref="S107:S111"/>
    <mergeCell ref="S113:S114"/>
    <mergeCell ref="S117:S121"/>
    <mergeCell ref="S147:S151"/>
    <mergeCell ref="S153:S154"/>
    <mergeCell ref="AA136:AA140"/>
    <mergeCell ref="AA142:AA143"/>
    <mergeCell ref="AA113:AA114"/>
    <mergeCell ref="S123:S124"/>
    <mergeCell ref="S127:S131"/>
    <mergeCell ref="S133:S134"/>
    <mergeCell ref="S137:S141"/>
    <mergeCell ref="S143:S144"/>
    <mergeCell ref="AE166:AE173"/>
    <mergeCell ref="AC166:AC173"/>
    <mergeCell ref="AA166:AA173"/>
    <mergeCell ref="BE56:BF58"/>
    <mergeCell ref="BE60:BE64"/>
    <mergeCell ref="BE66:BE67"/>
    <mergeCell ref="BC60:BC64"/>
    <mergeCell ref="BC66:BC67"/>
    <mergeCell ref="BA60:BA64"/>
    <mergeCell ref="BA66:BA67"/>
    <mergeCell ref="AQ71:AQ75"/>
    <mergeCell ref="AQ77:AQ78"/>
    <mergeCell ref="BA56:BB58"/>
    <mergeCell ref="BC57:BC58"/>
    <mergeCell ref="AK71:AK75"/>
    <mergeCell ref="AA152:AA153"/>
    <mergeCell ref="AC146:AC150"/>
    <mergeCell ref="AC152:AC153"/>
    <mergeCell ref="AC122:AC123"/>
    <mergeCell ref="AE116:AE120"/>
    <mergeCell ref="AQ62:AQ66"/>
    <mergeCell ref="AK77:AK78"/>
    <mergeCell ref="AC136:AC140"/>
    <mergeCell ref="AC142:AC143"/>
    <mergeCell ref="BO66:BO67"/>
    <mergeCell ref="BQ60:BQ64"/>
    <mergeCell ref="BQ66:BQ67"/>
    <mergeCell ref="BS60:BS64"/>
    <mergeCell ref="BS66:BS67"/>
    <mergeCell ref="BK70:BK71"/>
    <mergeCell ref="BM69:BN71"/>
    <mergeCell ref="BO70:BO71"/>
    <mergeCell ref="AE136:AE140"/>
    <mergeCell ref="AQ59:AQ60"/>
    <mergeCell ref="AK59:AK60"/>
    <mergeCell ref="AO77:AO78"/>
    <mergeCell ref="AG59:AG60"/>
    <mergeCell ref="AG62:AG66"/>
    <mergeCell ref="AG68:AG69"/>
    <mergeCell ref="BG57:BG58"/>
    <mergeCell ref="BI69:BJ71"/>
    <mergeCell ref="BI60:BI64"/>
    <mergeCell ref="BI66:BI67"/>
    <mergeCell ref="BG60:BG64"/>
    <mergeCell ref="BG66:BG67"/>
    <mergeCell ref="BG70:BG71"/>
    <mergeCell ref="AM71:AN73"/>
    <mergeCell ref="AO72:AO73"/>
    <mergeCell ref="AO68:AO69"/>
    <mergeCell ref="AI15:AI16"/>
    <mergeCell ref="AM14:AN16"/>
    <mergeCell ref="AO15:AO16"/>
    <mergeCell ref="BI8:BI12"/>
    <mergeCell ref="BI14:BI15"/>
    <mergeCell ref="BG8:BG12"/>
    <mergeCell ref="BG14:BG15"/>
    <mergeCell ref="BE8:BE12"/>
    <mergeCell ref="BE14:BE15"/>
    <mergeCell ref="BC8:BC12"/>
    <mergeCell ref="BC14:BC15"/>
    <mergeCell ref="BA8:BA12"/>
    <mergeCell ref="BA14:BA15"/>
    <mergeCell ref="AS14:AT16"/>
    <mergeCell ref="AU15:AU16"/>
    <mergeCell ref="AK50:AK51"/>
    <mergeCell ref="BA17:BB19"/>
    <mergeCell ref="BC18:BC19"/>
    <mergeCell ref="BA22:BB24"/>
    <mergeCell ref="BC23:BC24"/>
    <mergeCell ref="BE69:BF71"/>
    <mergeCell ref="AA155:AA159"/>
    <mergeCell ref="AC155:AC159"/>
    <mergeCell ref="AE155:AE159"/>
    <mergeCell ref="AK62:AK66"/>
    <mergeCell ref="AK68:AK69"/>
    <mergeCell ref="AE142:AE143"/>
    <mergeCell ref="AA146:AA150"/>
    <mergeCell ref="AA126:AA130"/>
    <mergeCell ref="AA132:AA133"/>
    <mergeCell ref="AC126:AC130"/>
    <mergeCell ref="AC132:AC133"/>
    <mergeCell ref="AA116:AA120"/>
    <mergeCell ref="AA122:AA123"/>
    <mergeCell ref="AC116:AC120"/>
    <mergeCell ref="BE22:BF24"/>
    <mergeCell ref="AK44:AK48"/>
    <mergeCell ref="AK53:AK57"/>
    <mergeCell ref="AC53:AD55"/>
    <mergeCell ref="AA161:AA162"/>
    <mergeCell ref="AC161:AC162"/>
    <mergeCell ref="AE161:AE162"/>
    <mergeCell ref="AA14:AB16"/>
    <mergeCell ref="AC15:AC16"/>
    <mergeCell ref="AG14:AH16"/>
    <mergeCell ref="AC107:AC111"/>
    <mergeCell ref="AC113:AC114"/>
    <mergeCell ref="AE122:AE123"/>
    <mergeCell ref="AA50:AA51"/>
    <mergeCell ref="AA77:AA78"/>
    <mergeCell ref="AA62:AA66"/>
    <mergeCell ref="AA68:AA69"/>
    <mergeCell ref="AA53:AA57"/>
    <mergeCell ref="AA59:AA60"/>
    <mergeCell ref="AA107:AA111"/>
    <mergeCell ref="AA71:AA75"/>
    <mergeCell ref="AE152:AE153"/>
    <mergeCell ref="AE146:AE150"/>
    <mergeCell ref="AA44:AA48"/>
    <mergeCell ref="AC44:AD46"/>
    <mergeCell ref="AE54:AE55"/>
  </mergeCells>
  <conditionalFormatting sqref="AB116:AB123 AB107:AB114 A1:XFD3 BS8 BL61:BL64 A70:AZ70 BL67 BN60:BN67 A61:AT61 BP60:BP67 BO60 BO65:BO66 BR60:BR67 BQ60 BQ65:BQ66 BT60:XFD67 BS60 BS65:BS66 BJ67 BJ61:BJ64 BI60:BM60 BI65:BM66 BH60:BH67 BG60 BG65:BG66 BF60:BF67 BE60 BE65:BE66 BD60:BD67 BC60 BC65:BC66 BB60:BB67 BA65:BA66 A79:XFD106 A71:Z78 AR72:XFD78 AQ76:AQ77 AK71 AK76:AK77 A62:Z69 AK62 AK67:AK68 AR68:XFD68 AR66:AZ67 AQ62 AQ67:AQ68 AR60:AT60 A53:Z60 AQ53 AK53 AK58:AK59 A52:XFD52 A44:Z51 AK44 AK49:AK50 AR45:XFD51 AQ44:AZ44 AQ49:AQ50 AH44:AJ51 AG44 AG49:AG50 AH53:AJ60 AG53 AG58:AG59 AH62:AJ69 AG62 AG67:AG68 AH71:AJ78 AG71 AG76:AG77 AA71 AA76:AA77 AA62 AA67:AA68 AA53 AA58:AA59 AA44 AA49:AA50 A115:XFD115 AF107:XFD114 A125:Z126 AA107 AA112:AA113 AD107:AD114 AC107 AC112:AC113 AF117:XFD120 AE107 AE112:AE113 A135:Z136 AA124:AE125 A116:AA116 AA121:AA122 AD116:AD123 AC116 AC121:AC122 AE116:XFD116 AE121:AE122 A145:Z146 AA134:AE135 AB126:AB133 AA126 AA131:AA132 AD126:AD133 AC126 AC131:AC132 AE126 AE131:AE132 AA144:AE145 AB136:AB143 AA136 AA141:AA142 AD136:AD143 AC136 AC141:AC142 A165:XFD1048576 A155:Z164 AB146:AB153 AA146 AA151:AA152 AD146:AD153 AC146 AC151:AC152 T107:Z114 S107 S112:S113 T117:Z124 S117 S122:S123 T127:Z134 S127 S132:S133 T137:Z144 S137 S142:S143 T147:Z154 S147 S152:S153 AE136 AE141:AE142 AF159:XFD164 AF121:AJ158 AP121:XFD158 AE146 AE151:AE152 BS13:BS14 BR8:BR15 BQ8 BQ13:BQ14 BR17:BS24 BQ17 BQ22:BQ23 BP8:BP15 BO8 BO13:BO14 BN8:BN15 BM8 BM13:BM14 BL8:BL15 BK8 BK13:BK14 BJ8:BJ15 BI8 BI13:BI14 BG8 BG13:BG14 BF8:BF15 BE8 BE13:BE14 BD8:BD15 BC8 BC13:BC14 BB8:BB15 BA8 BA13:BA14 A107:R114 A117:R124 A127:R134 A137:R144 A147:R154 AR69:AZ69 AQ71:AZ71 AR53:XFD57 BA69:XFD71 AL71:AP78 AB71:AF78 AB62:AF69 AB53:AF60 AL53:AP60 AL44:AP51 AB44:AF51 BA17:BP24 AN23:AZ24 AN28:AZ29 AN6:AN13 BH6:BH15 BA16:BS16 AN4:XFD4 AN5:BH5 A30:AZ43 BI5:XFD7 AN25:XFD27 BT8:XFD24 BT28:XFD44 AL62:AP69 A4:AM13 A17:AM29 AN17:AN22 A14:AO16 AQ58:AT59 AV58:XFD59 AV60:BA60 AR62:AT65 AV61:AZ65 AU63:AU64 AU58">
    <cfRule type="dataBar" priority="3">
      <dataBar>
        <cfvo type="percent" val="0"/>
        <cfvo type="percent" val="100"/>
        <color rgb="FF63C384"/>
      </dataBar>
      <extLst>
        <ext xmlns:x14="http://schemas.microsoft.com/office/spreadsheetml/2009/9/main" uri="{B025F937-C7B1-47D3-B67F-A62EFF666E3E}">
          <x14:id>{C7789F36-5D9C-4981-ABF3-6006CDAD5954}</x14:id>
        </ext>
      </extLst>
    </cfRule>
  </conditionalFormatting>
  <conditionalFormatting sqref="AB155:AB162 AA155 AA160:AA161 AD155:AD162 AC155 AC160:AC161 AE155 AE160:AE161">
    <cfRule type="dataBar" priority="1">
      <dataBar>
        <cfvo type="percent" val="0"/>
        <cfvo type="percent" val="100"/>
        <color rgb="FF63C384"/>
      </dataBar>
      <extLst>
        <ext xmlns:x14="http://schemas.microsoft.com/office/spreadsheetml/2009/9/main" uri="{B025F937-C7B1-47D3-B67F-A62EFF666E3E}">
          <x14:id>{1F38C925-8A72-4432-BB89-BAD75BB6AA07}</x14:id>
        </ext>
      </extLst>
    </cfRule>
  </conditionalFormatting>
  <conditionalFormatting sqref="AS14:AU16">
    <cfRule type="dataBar" priority="2">
      <dataBar>
        <cfvo type="percent" val="0"/>
        <cfvo type="percent" val="100"/>
        <color rgb="FF63C384"/>
      </dataBar>
      <extLst>
        <ext xmlns:x14="http://schemas.microsoft.com/office/spreadsheetml/2009/9/main" uri="{B025F937-C7B1-47D3-B67F-A62EFF666E3E}">
          <x14:id>{C324547F-4E7A-450E-BC76-2A5E8AECCAFD}</x14:id>
        </ext>
      </extLst>
    </cfRule>
  </conditionalFormatting>
  <pageMargins left="0.25" right="0.25" top="0.75" bottom="0.75" header="0.3" footer="0.3"/>
  <pageSetup scale="18" orientation="landscape" r:id="rId1"/>
  <extLst>
    <ext xmlns:x14="http://schemas.microsoft.com/office/spreadsheetml/2009/9/main" uri="{78C0D931-6437-407d-A8EE-F0AAD7539E65}">
      <x14:conditionalFormattings>
        <x14:conditionalFormatting xmlns:xm="http://schemas.microsoft.com/office/excel/2006/main">
          <x14:cfRule type="dataBar" id="{C7789F36-5D9C-4981-ABF3-6006CDAD5954}">
            <x14:dataBar minLength="0" maxLength="100" gradient="0">
              <x14:cfvo type="percent">
                <xm:f>0</xm:f>
              </x14:cfvo>
              <x14:cfvo type="percent">
                <xm:f>100</xm:f>
              </x14:cfvo>
              <x14:negativeFillColor rgb="FFFF0000"/>
              <x14:axisColor rgb="FF000000"/>
            </x14:dataBar>
          </x14:cfRule>
          <xm:sqref>AB116:AB123 AB107:AB114 A1:XFD3 BS8 BL61:BL64 A70:AZ70 BL67 BN60:BN67 A61:AT61 BP60:BP67 BO60 BO65:BO66 BR60:BR67 BQ60 BQ65:BQ66 BT60:XFD67 BS60 BS65:BS66 BJ67 BJ61:BJ64 BI60:BM60 BI65:BM66 BH60:BH67 BG60 BG65:BG66 BF60:BF67 BE60 BE65:BE66 BD60:BD67 BC60 BC65:BC66 BB60:BB67 BA65:BA66 A79:XFD106 A71:Z78 AR72:XFD78 AQ76:AQ77 AK71 AK76:AK77 A62:Z69 AK62 AK67:AK68 AR68:XFD68 AR66:AZ67 AQ62 AQ67:AQ68 AR60:AT60 A53:Z60 AQ53 AK53 AK58:AK59 A52:XFD52 A44:Z51 AK44 AK49:AK50 AR45:XFD51 AQ44:AZ44 AQ49:AQ50 AH44:AJ51 AG44 AG49:AG50 AH53:AJ60 AG53 AG58:AG59 AH62:AJ69 AG62 AG67:AG68 AH71:AJ78 AG71 AG76:AG77 AA71 AA76:AA77 AA62 AA67:AA68 AA53 AA58:AA59 AA44 AA49:AA50 A115:XFD115 AF107:XFD114 A125:Z126 AA107 AA112:AA113 AD107:AD114 AC107 AC112:AC113 AF117:XFD120 AE107 AE112:AE113 A135:Z136 AA124:AE125 A116:AA116 AA121:AA122 AD116:AD123 AC116 AC121:AC122 AE116:XFD116 AE121:AE122 A145:Z146 AA134:AE135 AB126:AB133 AA126 AA131:AA132 AD126:AD133 AC126 AC131:AC132 AE126 AE131:AE132 AA144:AE145 AB136:AB143 AA136 AA141:AA142 AD136:AD143 AC136 AC141:AC142 A165:XFD1048576 A155:Z164 AB146:AB153 AA146 AA151:AA152 AD146:AD153 AC146 AC151:AC152 T107:Z114 S107 S112:S113 T117:Z124 S117 S122:S123 T127:Z134 S127 S132:S133 T137:Z144 S137 S142:S143 T147:Z154 S147 S152:S153 AE136 AE141:AE142 AF159:XFD164 AF121:AJ158 AP121:XFD158 AE146 AE151:AE152 BS13:BS14 BR8:BR15 BQ8 BQ13:BQ14 BR17:BS24 BQ17 BQ22:BQ23 BP8:BP15 BO8 BO13:BO14 BN8:BN15 BM8 BM13:BM14 BL8:BL15 BK8 BK13:BK14 BJ8:BJ15 BI8 BI13:BI14 BG8 BG13:BG14 BF8:BF15 BE8 BE13:BE14 BD8:BD15 BC8 BC13:BC14 BB8:BB15 BA8 BA13:BA14 A107:R114 A117:R124 A127:R134 A137:R144 A147:R154 AR69:AZ69 AQ71:AZ71 AR53:XFD57 BA69:XFD71 AL71:AP78 AB71:AF78 AB62:AF69 AB53:AF60 AL53:AP60 AL44:AP51 AB44:AF51 BA17:BP24 AN23:AZ24 AN28:AZ29 AN6:AN13 BH6:BH15 BA16:BS16 AN4:XFD4 AN5:BH5 A30:AZ43 BI5:XFD7 AN25:XFD27 BT8:XFD24 BT28:XFD44 AL62:AP69 A4:AM13 A17:AM29 AN17:AN22 A14:AO16 AQ58:AT59 AV58:XFD59 AV60:BA60 AR62:AT65 AV61:AZ65 AU63:AU64 AU58</xm:sqref>
        </x14:conditionalFormatting>
        <x14:conditionalFormatting xmlns:xm="http://schemas.microsoft.com/office/excel/2006/main">
          <x14:cfRule type="dataBar" id="{1F38C925-8A72-4432-BB89-BAD75BB6AA07}">
            <x14:dataBar minLength="0" maxLength="100" gradient="0">
              <x14:cfvo type="percent">
                <xm:f>0</xm:f>
              </x14:cfvo>
              <x14:cfvo type="percent">
                <xm:f>100</xm:f>
              </x14:cfvo>
              <x14:negativeFillColor rgb="FFFF0000"/>
              <x14:axisColor rgb="FF000000"/>
            </x14:dataBar>
          </x14:cfRule>
          <xm:sqref>AB155:AB162 AA155 AA160:AA161 AD155:AD162 AC155 AC160:AC161 AE155 AE160:AE161</xm:sqref>
        </x14:conditionalFormatting>
        <x14:conditionalFormatting xmlns:xm="http://schemas.microsoft.com/office/excel/2006/main">
          <x14:cfRule type="dataBar" id="{C324547F-4E7A-450E-BC76-2A5E8AECCAFD}">
            <x14:dataBar minLength="0" maxLength="100" gradient="0">
              <x14:cfvo type="percent">
                <xm:f>0</xm:f>
              </x14:cfvo>
              <x14:cfvo type="percent">
                <xm:f>100</xm:f>
              </x14:cfvo>
              <x14:negativeFillColor rgb="FFFF0000"/>
              <x14:axisColor rgb="FF000000"/>
            </x14:dataBar>
          </x14:cfRule>
          <xm:sqref>AS14:AU16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5867F20-5F43-436B-A32A-35E7C3D6DF07}">
          <x14:formula1>
            <xm:f>BASE!$B$2:$B$705</xm:f>
          </x14:formula1>
          <xm:sqref>BE56 BQ56 BM56 BI56 BI69 BM69 BQ69 BK60 BM60 BO60 BQ60 BS60 BI60 BG60 BE60 BC60 BA60 AQ71 AK71 AK62 AQ62 AQ53 AK53 AK44 AQ44 AG44 AG53 AG62 AG71 AA71 AA62 AA53 AA44 AA107 AC107 AE107 AA116 AC116 AE116 AA126 AC126 AE126 AA136 AC136 AA146 AC146 S107 S117 S127 S137 S147 AE136 AE146 BS8 BQ8 BQ17 BO8 BM8 BK8 BI8 BG8 BE8 BC8 BA8 BI17 BI22 BM17 BM22 BE22 BE17 BA17 BA22 O107 O112 O117 O122 O127 O132 O137 O142 O147 BE69 BA56 BA69 AM76 AC76 AM71 AC71 AC67 AM62 AC62 AC58 AM58 AC53 AM53 AM49 AM44 AC44 AC49 AM67 AA14 AG14 AM14 AS14 AA155 AC155 AE155 AU58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472B7-1800-49C6-9828-56EF398B982A}">
  <dimension ref="A1:F705"/>
  <sheetViews>
    <sheetView workbookViewId="0">
      <selection activeCell="A2" sqref="A2:E705"/>
    </sheetView>
  </sheetViews>
  <sheetFormatPr baseColWidth="10" defaultRowHeight="12.75" x14ac:dyDescent="0.2"/>
  <cols>
    <col min="2" max="2" width="14" customWidth="1"/>
    <col min="5" max="5" width="12.5703125" customWidth="1"/>
  </cols>
  <sheetData>
    <row r="1" spans="1:6" ht="15" x14ac:dyDescent="0.2">
      <c r="A1" s="39" t="s">
        <v>52</v>
      </c>
      <c r="B1" s="39" t="s">
        <v>53</v>
      </c>
      <c r="C1" s="39" t="s">
        <v>54</v>
      </c>
      <c r="D1" s="39" t="s">
        <v>55</v>
      </c>
      <c r="E1" s="40" t="s">
        <v>56</v>
      </c>
      <c r="F1" s="45" t="s">
        <v>785</v>
      </c>
    </row>
    <row r="2" spans="1:6" x14ac:dyDescent="0.2">
      <c r="A2" s="33" t="s">
        <v>57</v>
      </c>
      <c r="B2" s="34" t="s">
        <v>79</v>
      </c>
      <c r="C2" s="34">
        <v>2282600001</v>
      </c>
      <c r="D2" s="34" t="s">
        <v>80</v>
      </c>
      <c r="E2" s="37">
        <v>0.99999999999999978</v>
      </c>
      <c r="F2" s="46">
        <v>46097</v>
      </c>
    </row>
    <row r="3" spans="1:6" x14ac:dyDescent="0.2">
      <c r="A3" s="35" t="s">
        <v>57</v>
      </c>
      <c r="B3" s="36" t="s">
        <v>81</v>
      </c>
      <c r="C3" s="36">
        <v>2302600002</v>
      </c>
      <c r="D3" s="36" t="s">
        <v>82</v>
      </c>
      <c r="E3" s="38">
        <v>0.99999999999999978</v>
      </c>
      <c r="F3" s="47">
        <v>46100</v>
      </c>
    </row>
    <row r="4" spans="1:6" x14ac:dyDescent="0.2">
      <c r="A4" s="33" t="s">
        <v>57</v>
      </c>
      <c r="B4" s="34" t="s">
        <v>83</v>
      </c>
      <c r="C4" s="34">
        <v>2302600003</v>
      </c>
      <c r="D4" s="34" t="s">
        <v>82</v>
      </c>
      <c r="E4" s="37">
        <v>0.99999999999999978</v>
      </c>
      <c r="F4" s="47">
        <v>46099</v>
      </c>
    </row>
    <row r="5" spans="1:6" x14ac:dyDescent="0.2">
      <c r="A5" s="35" t="s">
        <v>57</v>
      </c>
      <c r="B5" s="36" t="s">
        <v>84</v>
      </c>
      <c r="C5" s="36">
        <v>2282600004</v>
      </c>
      <c r="D5" s="36" t="s">
        <v>80</v>
      </c>
      <c r="E5" s="38">
        <v>0.99999999999999978</v>
      </c>
      <c r="F5" s="47">
        <v>46093</v>
      </c>
    </row>
    <row r="6" spans="1:6" x14ac:dyDescent="0.2">
      <c r="A6" s="33" t="s">
        <v>57</v>
      </c>
      <c r="B6" s="34" t="s">
        <v>85</v>
      </c>
      <c r="C6" s="34">
        <v>2282600005</v>
      </c>
      <c r="D6" s="34" t="s">
        <v>80</v>
      </c>
      <c r="E6" s="37">
        <v>0.99999999999999978</v>
      </c>
      <c r="F6" s="47">
        <v>46104</v>
      </c>
    </row>
    <row r="7" spans="1:6" x14ac:dyDescent="0.2">
      <c r="A7" s="35" t="s">
        <v>57</v>
      </c>
      <c r="B7" s="36" t="s">
        <v>86</v>
      </c>
      <c r="C7" s="36">
        <v>2302600006</v>
      </c>
      <c r="D7" s="36" t="s">
        <v>82</v>
      </c>
      <c r="E7" s="38">
        <v>0.99999999999999978</v>
      </c>
      <c r="F7" s="47">
        <v>46105</v>
      </c>
    </row>
    <row r="8" spans="1:6" x14ac:dyDescent="0.2">
      <c r="A8" s="33" t="s">
        <v>57</v>
      </c>
      <c r="B8" s="34" t="s">
        <v>87</v>
      </c>
      <c r="C8" s="34">
        <v>2302600007</v>
      </c>
      <c r="D8" s="34" t="s">
        <v>82</v>
      </c>
      <c r="E8" s="37">
        <v>0.99999999999999978</v>
      </c>
      <c r="F8" s="47">
        <v>46105</v>
      </c>
    </row>
    <row r="9" spans="1:6" x14ac:dyDescent="0.2">
      <c r="A9" s="35" t="s">
        <v>57</v>
      </c>
      <c r="B9" s="36" t="s">
        <v>88</v>
      </c>
      <c r="C9" s="36">
        <v>2282600008</v>
      </c>
      <c r="D9" s="36" t="s">
        <v>80</v>
      </c>
      <c r="E9" s="38">
        <v>0.99999999999999978</v>
      </c>
      <c r="F9" s="47">
        <v>46106</v>
      </c>
    </row>
    <row r="10" spans="1:6" x14ac:dyDescent="0.2">
      <c r="A10" s="33" t="s">
        <v>57</v>
      </c>
      <c r="B10" s="34" t="s">
        <v>89</v>
      </c>
      <c r="C10" s="34">
        <v>2282600009</v>
      </c>
      <c r="D10" s="34" t="s">
        <v>80</v>
      </c>
      <c r="E10" s="37">
        <v>0.99999999999999978</v>
      </c>
      <c r="F10" s="47">
        <v>46070</v>
      </c>
    </row>
    <row r="11" spans="1:6" x14ac:dyDescent="0.2">
      <c r="A11" s="35" t="s">
        <v>57</v>
      </c>
      <c r="B11" s="36" t="s">
        <v>90</v>
      </c>
      <c r="C11" s="36">
        <v>2302600010</v>
      </c>
      <c r="D11" s="36" t="s">
        <v>82</v>
      </c>
      <c r="E11" s="38">
        <v>0.99999999999999978</v>
      </c>
      <c r="F11" s="47">
        <v>46070</v>
      </c>
    </row>
    <row r="12" spans="1:6" x14ac:dyDescent="0.2">
      <c r="A12" s="33" t="s">
        <v>57</v>
      </c>
      <c r="B12" s="34" t="s">
        <v>91</v>
      </c>
      <c r="C12" s="34">
        <v>2302600011</v>
      </c>
      <c r="D12" s="34" t="s">
        <v>82</v>
      </c>
      <c r="E12" s="37">
        <v>0.99999999999999978</v>
      </c>
      <c r="F12" s="47">
        <v>46073</v>
      </c>
    </row>
    <row r="13" spans="1:6" x14ac:dyDescent="0.2">
      <c r="A13" s="35" t="s">
        <v>57</v>
      </c>
      <c r="B13" s="36" t="s">
        <v>92</v>
      </c>
      <c r="C13" s="36">
        <v>2282600012</v>
      </c>
      <c r="D13" s="36" t="s">
        <v>80</v>
      </c>
      <c r="E13" s="38">
        <v>0.99999999999999978</v>
      </c>
      <c r="F13" s="47">
        <v>46078</v>
      </c>
    </row>
    <row r="14" spans="1:6" x14ac:dyDescent="0.2">
      <c r="A14" s="33" t="s">
        <v>57</v>
      </c>
      <c r="B14" s="34" t="s">
        <v>93</v>
      </c>
      <c r="C14" s="34">
        <v>2282600013</v>
      </c>
      <c r="D14" s="34" t="s">
        <v>80</v>
      </c>
      <c r="E14" s="37">
        <v>0.99999999999999978</v>
      </c>
      <c r="F14" s="47">
        <v>46078</v>
      </c>
    </row>
    <row r="15" spans="1:6" x14ac:dyDescent="0.2">
      <c r="A15" s="35" t="s">
        <v>57</v>
      </c>
      <c r="B15" s="36" t="s">
        <v>94</v>
      </c>
      <c r="C15" s="36">
        <v>2302600014</v>
      </c>
      <c r="D15" s="36" t="s">
        <v>82</v>
      </c>
      <c r="E15" s="38">
        <v>0.99999999999999978</v>
      </c>
      <c r="F15" s="47">
        <v>46073</v>
      </c>
    </row>
    <row r="16" spans="1:6" x14ac:dyDescent="0.2">
      <c r="A16" s="33" t="s">
        <v>57</v>
      </c>
      <c r="B16" s="34" t="s">
        <v>95</v>
      </c>
      <c r="C16" s="34">
        <v>2302600015</v>
      </c>
      <c r="D16" s="34" t="s">
        <v>82</v>
      </c>
      <c r="E16" s="37">
        <v>0.99999999999999978</v>
      </c>
      <c r="F16" s="47">
        <v>46072</v>
      </c>
    </row>
    <row r="17" spans="1:6" x14ac:dyDescent="0.2">
      <c r="A17" s="35" t="s">
        <v>57</v>
      </c>
      <c r="B17" s="36" t="s">
        <v>96</v>
      </c>
      <c r="C17" s="36">
        <v>2282600016</v>
      </c>
      <c r="D17" s="36" t="s">
        <v>80</v>
      </c>
      <c r="E17" s="38">
        <v>0.99999999999999978</v>
      </c>
      <c r="F17" s="47">
        <v>46076</v>
      </c>
    </row>
    <row r="18" spans="1:6" x14ac:dyDescent="0.2">
      <c r="A18" s="33" t="s">
        <v>57</v>
      </c>
      <c r="B18" s="34" t="s">
        <v>97</v>
      </c>
      <c r="C18" s="34">
        <v>2282600017</v>
      </c>
      <c r="D18" s="34" t="s">
        <v>80</v>
      </c>
      <c r="E18" s="37">
        <v>0.99999999999999978</v>
      </c>
      <c r="F18" s="47">
        <v>46079</v>
      </c>
    </row>
    <row r="19" spans="1:6" x14ac:dyDescent="0.2">
      <c r="A19" s="35" t="s">
        <v>57</v>
      </c>
      <c r="B19" s="36" t="s">
        <v>98</v>
      </c>
      <c r="C19" s="36">
        <v>2302600018</v>
      </c>
      <c r="D19" s="36" t="s">
        <v>82</v>
      </c>
      <c r="E19" s="38">
        <v>0.99999999999999978</v>
      </c>
      <c r="F19" s="47">
        <v>46087</v>
      </c>
    </row>
    <row r="20" spans="1:6" x14ac:dyDescent="0.2">
      <c r="A20" s="33" t="s">
        <v>57</v>
      </c>
      <c r="B20" s="34" t="s">
        <v>99</v>
      </c>
      <c r="C20" s="34">
        <v>2302600019</v>
      </c>
      <c r="D20" s="34" t="s">
        <v>82</v>
      </c>
      <c r="E20" s="37">
        <v>0.99999999999999978</v>
      </c>
      <c r="F20" s="47">
        <v>46090</v>
      </c>
    </row>
    <row r="21" spans="1:6" x14ac:dyDescent="0.2">
      <c r="A21" s="35" t="s">
        <v>57</v>
      </c>
      <c r="B21" s="36" t="s">
        <v>100</v>
      </c>
      <c r="C21" s="36">
        <v>2282600020</v>
      </c>
      <c r="D21" s="36" t="s">
        <v>80</v>
      </c>
      <c r="E21" s="38">
        <v>0.99999999999999978</v>
      </c>
      <c r="F21" s="47">
        <v>46080</v>
      </c>
    </row>
    <row r="22" spans="1:6" x14ac:dyDescent="0.2">
      <c r="A22" s="33" t="s">
        <v>57</v>
      </c>
      <c r="B22" s="34" t="s">
        <v>101</v>
      </c>
      <c r="C22" s="34">
        <v>2282600021</v>
      </c>
      <c r="D22" s="34" t="s">
        <v>80</v>
      </c>
      <c r="E22" s="37">
        <v>0.99999999999999978</v>
      </c>
      <c r="F22" s="47">
        <v>46085</v>
      </c>
    </row>
    <row r="23" spans="1:6" x14ac:dyDescent="0.2">
      <c r="A23" s="35" t="s">
        <v>57</v>
      </c>
      <c r="B23" s="36" t="s">
        <v>102</v>
      </c>
      <c r="C23" s="36">
        <v>2302600022</v>
      </c>
      <c r="D23" s="36" t="s">
        <v>82</v>
      </c>
      <c r="E23" s="38">
        <v>0.99999999999999978</v>
      </c>
      <c r="F23" s="47">
        <v>46091</v>
      </c>
    </row>
    <row r="24" spans="1:6" x14ac:dyDescent="0.2">
      <c r="A24" s="33" t="s">
        <v>57</v>
      </c>
      <c r="B24" s="34" t="s">
        <v>103</v>
      </c>
      <c r="C24" s="34">
        <v>2302600023</v>
      </c>
      <c r="D24" s="34" t="s">
        <v>82</v>
      </c>
      <c r="E24" s="37">
        <v>0.97999999999999976</v>
      </c>
      <c r="F24" s="47">
        <v>46093</v>
      </c>
    </row>
    <row r="25" spans="1:6" x14ac:dyDescent="0.2">
      <c r="A25" s="35" t="s">
        <v>57</v>
      </c>
      <c r="B25" s="36" t="s">
        <v>104</v>
      </c>
      <c r="C25" s="36">
        <v>2282600024</v>
      </c>
      <c r="D25" s="36" t="s">
        <v>80</v>
      </c>
      <c r="E25" s="38">
        <v>0.99999999999999978</v>
      </c>
      <c r="F25" s="47">
        <v>46086</v>
      </c>
    </row>
    <row r="26" spans="1:6" x14ac:dyDescent="0.2">
      <c r="A26" s="33" t="s">
        <v>57</v>
      </c>
      <c r="B26" s="34" t="s">
        <v>105</v>
      </c>
      <c r="C26" s="34">
        <v>2282600025</v>
      </c>
      <c r="D26" s="34" t="s">
        <v>80</v>
      </c>
      <c r="E26" s="37">
        <v>0.99999999999999978</v>
      </c>
      <c r="F26" s="47">
        <v>46108</v>
      </c>
    </row>
    <row r="27" spans="1:6" x14ac:dyDescent="0.2">
      <c r="A27" s="35" t="s">
        <v>57</v>
      </c>
      <c r="B27" s="36" t="s">
        <v>106</v>
      </c>
      <c r="C27" s="36">
        <v>2302600026</v>
      </c>
      <c r="D27" s="36" t="s">
        <v>82</v>
      </c>
      <c r="E27" s="38">
        <v>0.99999999999999978</v>
      </c>
      <c r="F27" s="47">
        <v>46113</v>
      </c>
    </row>
    <row r="28" spans="1:6" x14ac:dyDescent="0.2">
      <c r="A28" s="33" t="s">
        <v>57</v>
      </c>
      <c r="B28" s="34" t="s">
        <v>107</v>
      </c>
      <c r="C28" s="34">
        <v>2302600027</v>
      </c>
      <c r="D28" s="34" t="s">
        <v>82</v>
      </c>
      <c r="E28" s="37">
        <v>0.99999999999999978</v>
      </c>
      <c r="F28" s="47">
        <v>46111</v>
      </c>
    </row>
    <row r="29" spans="1:6" x14ac:dyDescent="0.2">
      <c r="A29" s="35" t="s">
        <v>57</v>
      </c>
      <c r="B29" s="36" t="s">
        <v>108</v>
      </c>
      <c r="C29" s="36">
        <v>2282600028</v>
      </c>
      <c r="D29" s="36" t="s">
        <v>80</v>
      </c>
      <c r="E29" s="38">
        <v>0.99999999999999978</v>
      </c>
      <c r="F29" s="47">
        <v>46108</v>
      </c>
    </row>
    <row r="30" spans="1:6" x14ac:dyDescent="0.2">
      <c r="A30" s="33" t="s">
        <v>57</v>
      </c>
      <c r="B30" s="34" t="s">
        <v>109</v>
      </c>
      <c r="C30" s="34">
        <v>2282600029</v>
      </c>
      <c r="D30" s="34" t="s">
        <v>80</v>
      </c>
      <c r="E30" s="37">
        <v>0.99999999999999978</v>
      </c>
      <c r="F30" s="47">
        <v>46111</v>
      </c>
    </row>
    <row r="31" spans="1:6" x14ac:dyDescent="0.2">
      <c r="A31" s="35" t="s">
        <v>57</v>
      </c>
      <c r="B31" s="36" t="s">
        <v>110</v>
      </c>
      <c r="C31" s="36">
        <v>2302600030</v>
      </c>
      <c r="D31" s="36" t="s">
        <v>82</v>
      </c>
      <c r="E31" s="38">
        <v>0.99999999999999978</v>
      </c>
      <c r="F31" s="47">
        <v>46112</v>
      </c>
    </row>
    <row r="32" spans="1:6" x14ac:dyDescent="0.2">
      <c r="A32" s="33" t="s">
        <v>57</v>
      </c>
      <c r="B32" s="34" t="s">
        <v>111</v>
      </c>
      <c r="C32" s="34">
        <v>2302600031</v>
      </c>
      <c r="D32" s="34" t="s">
        <v>82</v>
      </c>
      <c r="E32" s="37">
        <v>0.96999999999999986</v>
      </c>
      <c r="F32" s="47">
        <v>46114</v>
      </c>
    </row>
    <row r="33" spans="1:6" x14ac:dyDescent="0.2">
      <c r="A33" s="35" t="s">
        <v>57</v>
      </c>
      <c r="B33" s="36" t="s">
        <v>112</v>
      </c>
      <c r="C33" s="36">
        <v>2282600032</v>
      </c>
      <c r="D33" s="36" t="s">
        <v>80</v>
      </c>
      <c r="E33" s="38">
        <v>0.99999999999999978</v>
      </c>
      <c r="F33" s="47">
        <v>46111</v>
      </c>
    </row>
    <row r="34" spans="1:6" x14ac:dyDescent="0.2">
      <c r="A34" s="33" t="s">
        <v>58</v>
      </c>
      <c r="B34" s="34" t="s">
        <v>113</v>
      </c>
      <c r="C34" s="34">
        <v>2282600033</v>
      </c>
      <c r="D34" s="34" t="s">
        <v>80</v>
      </c>
      <c r="E34" s="37">
        <v>0.95999999999999985</v>
      </c>
      <c r="F34" s="47">
        <v>46118</v>
      </c>
    </row>
    <row r="35" spans="1:6" x14ac:dyDescent="0.2">
      <c r="A35" s="35" t="s">
        <v>58</v>
      </c>
      <c r="B35" s="36" t="s">
        <v>114</v>
      </c>
      <c r="C35" s="36">
        <v>2302600034</v>
      </c>
      <c r="D35" s="36" t="s">
        <v>82</v>
      </c>
      <c r="E35" s="38">
        <v>0.98499999999999988</v>
      </c>
      <c r="F35" s="47">
        <v>46119</v>
      </c>
    </row>
    <row r="36" spans="1:6" x14ac:dyDescent="0.2">
      <c r="A36" s="33" t="s">
        <v>58</v>
      </c>
      <c r="B36" s="34" t="s">
        <v>115</v>
      </c>
      <c r="C36" s="34">
        <v>2302600035</v>
      </c>
      <c r="D36" s="34" t="s">
        <v>82</v>
      </c>
      <c r="E36" s="37">
        <v>0.98499999999999988</v>
      </c>
      <c r="F36" s="47">
        <v>46122</v>
      </c>
    </row>
    <row r="37" spans="1:6" x14ac:dyDescent="0.2">
      <c r="A37" s="35" t="s">
        <v>58</v>
      </c>
      <c r="B37" s="36" t="s">
        <v>116</v>
      </c>
      <c r="C37" s="36">
        <v>2282600036</v>
      </c>
      <c r="D37" s="36" t="s">
        <v>80</v>
      </c>
      <c r="E37" s="38">
        <v>0.98499999999999988</v>
      </c>
      <c r="F37" s="47">
        <v>46122</v>
      </c>
    </row>
    <row r="38" spans="1:6" x14ac:dyDescent="0.2">
      <c r="A38" s="33" t="s">
        <v>58</v>
      </c>
      <c r="B38" s="34" t="s">
        <v>117</v>
      </c>
      <c r="C38" s="34">
        <v>2282600037</v>
      </c>
      <c r="D38" s="34" t="s">
        <v>80</v>
      </c>
      <c r="E38" s="37">
        <v>0.95999999999999985</v>
      </c>
      <c r="F38" s="47">
        <v>46123</v>
      </c>
    </row>
    <row r="39" spans="1:6" x14ac:dyDescent="0.2">
      <c r="A39" s="35" t="s">
        <v>58</v>
      </c>
      <c r="B39" s="36" t="s">
        <v>118</v>
      </c>
      <c r="C39" s="36">
        <v>2302600038</v>
      </c>
      <c r="D39" s="36" t="s">
        <v>82</v>
      </c>
      <c r="E39" s="38">
        <v>0.96499999999999986</v>
      </c>
      <c r="F39" s="47">
        <v>46123</v>
      </c>
    </row>
    <row r="40" spans="1:6" x14ac:dyDescent="0.2">
      <c r="A40" s="33" t="s">
        <v>58</v>
      </c>
      <c r="B40" s="34" t="s">
        <v>119</v>
      </c>
      <c r="C40" s="34">
        <v>2302600039</v>
      </c>
      <c r="D40" s="34" t="s">
        <v>82</v>
      </c>
      <c r="E40" s="37">
        <v>0.86499999999999999</v>
      </c>
      <c r="F40" s="47">
        <v>46119</v>
      </c>
    </row>
    <row r="41" spans="1:6" x14ac:dyDescent="0.2">
      <c r="A41" s="35" t="s">
        <v>58</v>
      </c>
      <c r="B41" s="36" t="s">
        <v>120</v>
      </c>
      <c r="C41" s="36">
        <v>2282600040</v>
      </c>
      <c r="D41" s="36" t="s">
        <v>80</v>
      </c>
      <c r="E41" s="38">
        <v>0.97499999999999987</v>
      </c>
      <c r="F41" s="47">
        <v>46119</v>
      </c>
    </row>
    <row r="42" spans="1:6" x14ac:dyDescent="0.2">
      <c r="A42" s="33" t="s">
        <v>58</v>
      </c>
      <c r="B42" s="34" t="s">
        <v>121</v>
      </c>
      <c r="C42" s="34">
        <v>2282600041</v>
      </c>
      <c r="D42" s="34" t="s">
        <v>80</v>
      </c>
      <c r="E42" s="37">
        <v>0.97499999999999987</v>
      </c>
      <c r="F42" s="47">
        <v>46124</v>
      </c>
    </row>
    <row r="43" spans="1:6" x14ac:dyDescent="0.2">
      <c r="A43" s="35" t="s">
        <v>58</v>
      </c>
      <c r="B43" s="36" t="s">
        <v>122</v>
      </c>
      <c r="C43" s="36">
        <v>2302600042</v>
      </c>
      <c r="D43" s="36" t="s">
        <v>82</v>
      </c>
      <c r="E43" s="38">
        <v>0.74</v>
      </c>
      <c r="F43" s="47">
        <v>46129</v>
      </c>
    </row>
    <row r="44" spans="1:6" x14ac:dyDescent="0.2">
      <c r="A44" s="33" t="s">
        <v>58</v>
      </c>
      <c r="B44" s="34" t="s">
        <v>123</v>
      </c>
      <c r="C44" s="34">
        <v>2302600043</v>
      </c>
      <c r="D44" s="34" t="s">
        <v>82</v>
      </c>
      <c r="E44" s="37">
        <v>0.77999999999999992</v>
      </c>
      <c r="F44" s="47">
        <v>46127</v>
      </c>
    </row>
    <row r="45" spans="1:6" x14ac:dyDescent="0.2">
      <c r="A45" s="35" t="s">
        <v>58</v>
      </c>
      <c r="B45" s="36" t="s">
        <v>124</v>
      </c>
      <c r="C45" s="36">
        <v>2282600044</v>
      </c>
      <c r="D45" s="36" t="s">
        <v>80</v>
      </c>
      <c r="E45" s="38">
        <v>0.96999999999999975</v>
      </c>
      <c r="F45" s="47">
        <v>46127</v>
      </c>
    </row>
    <row r="46" spans="1:6" x14ac:dyDescent="0.2">
      <c r="A46" s="33" t="s">
        <v>58</v>
      </c>
      <c r="B46" s="34" t="s">
        <v>125</v>
      </c>
      <c r="C46" s="34">
        <v>2282600045</v>
      </c>
      <c r="D46" s="34" t="s">
        <v>80</v>
      </c>
      <c r="E46" s="37">
        <v>0.95999999999999985</v>
      </c>
      <c r="F46" s="47">
        <v>46132</v>
      </c>
    </row>
    <row r="47" spans="1:6" x14ac:dyDescent="0.2">
      <c r="A47" s="35" t="s">
        <v>58</v>
      </c>
      <c r="B47" s="36" t="s">
        <v>126</v>
      </c>
      <c r="C47" s="36">
        <v>2302600046</v>
      </c>
      <c r="D47" s="36" t="s">
        <v>82</v>
      </c>
      <c r="E47" s="38">
        <v>0.83499999999999996</v>
      </c>
      <c r="F47" s="47">
        <v>46126</v>
      </c>
    </row>
    <row r="48" spans="1:6" x14ac:dyDescent="0.2">
      <c r="A48" s="33" t="s">
        <v>58</v>
      </c>
      <c r="B48" s="34" t="s">
        <v>127</v>
      </c>
      <c r="C48" s="34">
        <v>2302600047</v>
      </c>
      <c r="D48" s="34" t="s">
        <v>82</v>
      </c>
      <c r="E48" s="37">
        <v>0.84999999999999987</v>
      </c>
      <c r="F48" s="47">
        <v>46127</v>
      </c>
    </row>
    <row r="49" spans="1:6" x14ac:dyDescent="0.2">
      <c r="A49" s="35" t="s">
        <v>58</v>
      </c>
      <c r="B49" s="36" t="s">
        <v>128</v>
      </c>
      <c r="C49" s="36">
        <v>2282600048</v>
      </c>
      <c r="D49" s="36" t="s">
        <v>80</v>
      </c>
      <c r="E49" s="38">
        <v>0.95499999999999985</v>
      </c>
      <c r="F49" s="47">
        <v>46126</v>
      </c>
    </row>
    <row r="50" spans="1:6" x14ac:dyDescent="0.2">
      <c r="A50" s="33" t="s">
        <v>58</v>
      </c>
      <c r="B50" s="34" t="s">
        <v>129</v>
      </c>
      <c r="C50" s="34">
        <v>2282600049</v>
      </c>
      <c r="D50" s="34" t="s">
        <v>80</v>
      </c>
      <c r="E50" s="37">
        <v>0.91499999999999981</v>
      </c>
      <c r="F50" s="47">
        <v>46134</v>
      </c>
    </row>
    <row r="51" spans="1:6" x14ac:dyDescent="0.2">
      <c r="A51" s="35" t="s">
        <v>58</v>
      </c>
      <c r="B51" s="36" t="s">
        <v>130</v>
      </c>
      <c r="C51" s="36">
        <v>2302600050</v>
      </c>
      <c r="D51" s="36" t="s">
        <v>82</v>
      </c>
      <c r="E51" s="38">
        <v>0.80499999999999994</v>
      </c>
      <c r="F51" s="47">
        <v>46136</v>
      </c>
    </row>
    <row r="52" spans="1:6" x14ac:dyDescent="0.2">
      <c r="A52" s="33" t="s">
        <v>58</v>
      </c>
      <c r="B52" s="34" t="s">
        <v>131</v>
      </c>
      <c r="C52" s="34">
        <v>2302600051</v>
      </c>
      <c r="D52" s="34" t="s">
        <v>82</v>
      </c>
      <c r="E52" s="37">
        <v>0.86499999999999999</v>
      </c>
      <c r="F52" s="47">
        <v>46140</v>
      </c>
    </row>
    <row r="53" spans="1:6" x14ac:dyDescent="0.2">
      <c r="A53" s="35" t="s">
        <v>58</v>
      </c>
      <c r="B53" s="36" t="s">
        <v>132</v>
      </c>
      <c r="C53" s="36">
        <v>2282600052</v>
      </c>
      <c r="D53" s="36" t="s">
        <v>80</v>
      </c>
      <c r="E53" s="38">
        <v>0.95499999999999985</v>
      </c>
      <c r="F53" s="47">
        <v>46134</v>
      </c>
    </row>
    <row r="54" spans="1:6" x14ac:dyDescent="0.2">
      <c r="A54" s="33" t="s">
        <v>58</v>
      </c>
      <c r="B54" s="34" t="s">
        <v>133</v>
      </c>
      <c r="C54" s="34">
        <v>2282600053</v>
      </c>
      <c r="D54" s="34" t="s">
        <v>80</v>
      </c>
      <c r="E54" s="37">
        <v>0.94999999999999984</v>
      </c>
      <c r="F54" s="47">
        <v>46139</v>
      </c>
    </row>
    <row r="55" spans="1:6" x14ac:dyDescent="0.2">
      <c r="A55" s="35" t="s">
        <v>58</v>
      </c>
      <c r="B55" s="36" t="s">
        <v>134</v>
      </c>
      <c r="C55" s="36">
        <v>2302600054</v>
      </c>
      <c r="D55" s="36" t="s">
        <v>82</v>
      </c>
      <c r="E55" s="38">
        <v>0.74499999999999988</v>
      </c>
      <c r="F55" s="47">
        <v>46141</v>
      </c>
    </row>
    <row r="56" spans="1:6" x14ac:dyDescent="0.2">
      <c r="A56" s="33" t="s">
        <v>58</v>
      </c>
      <c r="B56" s="34" t="s">
        <v>135</v>
      </c>
      <c r="C56" s="34">
        <v>2302600055</v>
      </c>
      <c r="D56" s="34" t="s">
        <v>82</v>
      </c>
      <c r="E56" s="37">
        <v>0.79999999999999993</v>
      </c>
      <c r="F56" s="47">
        <v>46136</v>
      </c>
    </row>
    <row r="57" spans="1:6" x14ac:dyDescent="0.2">
      <c r="A57" s="35" t="s">
        <v>58</v>
      </c>
      <c r="B57" s="36" t="s">
        <v>136</v>
      </c>
      <c r="C57" s="36">
        <v>2282600056</v>
      </c>
      <c r="D57" s="36" t="s">
        <v>80</v>
      </c>
      <c r="E57" s="38">
        <v>0.97499999999999987</v>
      </c>
      <c r="F57" s="47">
        <v>46134</v>
      </c>
    </row>
    <row r="58" spans="1:6" x14ac:dyDescent="0.2">
      <c r="A58" s="33" t="s">
        <v>58</v>
      </c>
      <c r="B58" s="34" t="s">
        <v>137</v>
      </c>
      <c r="C58" s="34">
        <v>2282600057</v>
      </c>
      <c r="D58" s="34" t="s">
        <v>80</v>
      </c>
      <c r="E58" s="37">
        <v>0.94</v>
      </c>
      <c r="F58" s="47">
        <v>46148</v>
      </c>
    </row>
    <row r="59" spans="1:6" x14ac:dyDescent="0.2">
      <c r="A59" s="35" t="s">
        <v>58</v>
      </c>
      <c r="B59" s="36" t="s">
        <v>138</v>
      </c>
      <c r="C59" s="36">
        <v>2302600058</v>
      </c>
      <c r="D59" s="36" t="s">
        <v>82</v>
      </c>
      <c r="E59" s="38">
        <v>0.65999999999999992</v>
      </c>
      <c r="F59" s="47">
        <v>46147</v>
      </c>
    </row>
    <row r="60" spans="1:6" x14ac:dyDescent="0.2">
      <c r="A60" s="33" t="s">
        <v>58</v>
      </c>
      <c r="B60" s="34" t="s">
        <v>139</v>
      </c>
      <c r="C60" s="34">
        <v>2302600059</v>
      </c>
      <c r="D60" s="34" t="s">
        <v>82</v>
      </c>
      <c r="E60" s="37">
        <v>0.75</v>
      </c>
      <c r="F60" s="47">
        <v>46146</v>
      </c>
    </row>
    <row r="61" spans="1:6" x14ac:dyDescent="0.2">
      <c r="A61" s="35" t="s">
        <v>58</v>
      </c>
      <c r="B61" s="36" t="s">
        <v>140</v>
      </c>
      <c r="C61" s="36">
        <v>2282600060</v>
      </c>
      <c r="D61" s="36" t="s">
        <v>80</v>
      </c>
      <c r="E61" s="38">
        <v>0.91999999999999993</v>
      </c>
      <c r="F61" s="47">
        <v>46149</v>
      </c>
    </row>
    <row r="62" spans="1:6" x14ac:dyDescent="0.2">
      <c r="A62" s="33" t="s">
        <v>58</v>
      </c>
      <c r="B62" s="34" t="s">
        <v>141</v>
      </c>
      <c r="C62" s="34">
        <v>2282600061</v>
      </c>
      <c r="D62" s="34" t="s">
        <v>80</v>
      </c>
      <c r="E62" s="37">
        <v>0.91999999999999993</v>
      </c>
      <c r="F62" s="47">
        <v>46150</v>
      </c>
    </row>
    <row r="63" spans="1:6" x14ac:dyDescent="0.2">
      <c r="A63" s="35" t="s">
        <v>58</v>
      </c>
      <c r="B63" s="36" t="s">
        <v>142</v>
      </c>
      <c r="C63" s="36">
        <v>2302600062</v>
      </c>
      <c r="D63" s="36" t="s">
        <v>82</v>
      </c>
      <c r="E63" s="38">
        <v>0.59</v>
      </c>
      <c r="F63" s="47">
        <v>46149</v>
      </c>
    </row>
    <row r="64" spans="1:6" x14ac:dyDescent="0.2">
      <c r="A64" s="33" t="s">
        <v>58</v>
      </c>
      <c r="B64" s="34" t="s">
        <v>143</v>
      </c>
      <c r="C64" s="34">
        <v>2302600063</v>
      </c>
      <c r="D64" s="34" t="s">
        <v>82</v>
      </c>
      <c r="E64" s="37">
        <v>0.7</v>
      </c>
      <c r="F64" s="47">
        <v>46147</v>
      </c>
    </row>
    <row r="65" spans="1:6" x14ac:dyDescent="0.2">
      <c r="A65" s="35" t="s">
        <v>58</v>
      </c>
      <c r="B65" s="36" t="s">
        <v>144</v>
      </c>
      <c r="C65" s="36">
        <v>2282600064</v>
      </c>
      <c r="D65" s="36" t="s">
        <v>80</v>
      </c>
      <c r="E65" s="38">
        <v>0.94</v>
      </c>
      <c r="F65" s="47">
        <v>46149</v>
      </c>
    </row>
    <row r="66" spans="1:6" x14ac:dyDescent="0.2">
      <c r="A66" s="33" t="s">
        <v>59</v>
      </c>
      <c r="B66" s="34" t="s">
        <v>145</v>
      </c>
      <c r="C66" s="34">
        <v>2282600065</v>
      </c>
      <c r="D66" s="34" t="s">
        <v>80</v>
      </c>
      <c r="E66" s="37">
        <v>0.92499999999999982</v>
      </c>
      <c r="F66" s="47">
        <v>46153</v>
      </c>
    </row>
    <row r="67" spans="1:6" x14ac:dyDescent="0.2">
      <c r="A67" s="35" t="s">
        <v>59</v>
      </c>
      <c r="B67" s="36" t="s">
        <v>146</v>
      </c>
      <c r="C67" s="36">
        <v>2302600066</v>
      </c>
      <c r="D67" s="36" t="s">
        <v>82</v>
      </c>
      <c r="E67" s="38">
        <v>0.69</v>
      </c>
      <c r="F67" s="47">
        <v>46154</v>
      </c>
    </row>
    <row r="68" spans="1:6" x14ac:dyDescent="0.2">
      <c r="A68" s="33" t="s">
        <v>59</v>
      </c>
      <c r="B68" s="34" t="s">
        <v>147</v>
      </c>
      <c r="C68" s="34">
        <v>2302600067</v>
      </c>
      <c r="D68" s="34" t="s">
        <v>82</v>
      </c>
      <c r="E68" s="37">
        <v>0.63</v>
      </c>
      <c r="F68" s="47">
        <v>46158</v>
      </c>
    </row>
    <row r="69" spans="1:6" x14ac:dyDescent="0.2">
      <c r="A69" s="35" t="s">
        <v>59</v>
      </c>
      <c r="B69" s="36" t="s">
        <v>148</v>
      </c>
      <c r="C69" s="36">
        <v>2282600068</v>
      </c>
      <c r="D69" s="36" t="s">
        <v>80</v>
      </c>
      <c r="E69" s="38">
        <v>0.8899999999999999</v>
      </c>
      <c r="F69" s="47">
        <v>46156</v>
      </c>
    </row>
    <row r="70" spans="1:6" x14ac:dyDescent="0.2">
      <c r="A70" s="33" t="s">
        <v>59</v>
      </c>
      <c r="B70" s="34" t="s">
        <v>149</v>
      </c>
      <c r="C70" s="34">
        <v>2282600069</v>
      </c>
      <c r="D70" s="34" t="s">
        <v>80</v>
      </c>
      <c r="E70" s="37">
        <v>0.86499999999999988</v>
      </c>
      <c r="F70" s="47">
        <v>46156</v>
      </c>
    </row>
    <row r="71" spans="1:6" x14ac:dyDescent="0.2">
      <c r="A71" s="35" t="s">
        <v>59</v>
      </c>
      <c r="B71" s="36" t="s">
        <v>150</v>
      </c>
      <c r="C71" s="36">
        <v>2302600070</v>
      </c>
      <c r="D71" s="36" t="s">
        <v>82</v>
      </c>
      <c r="E71" s="38">
        <v>0.59</v>
      </c>
      <c r="F71" s="47">
        <v>46158</v>
      </c>
    </row>
    <row r="72" spans="1:6" x14ac:dyDescent="0.2">
      <c r="A72" s="33" t="s">
        <v>59</v>
      </c>
      <c r="B72" s="34" t="s">
        <v>151</v>
      </c>
      <c r="C72" s="34">
        <v>2302600071</v>
      </c>
      <c r="D72" s="34" t="s">
        <v>82</v>
      </c>
      <c r="E72" s="37">
        <v>0.66999999999999993</v>
      </c>
      <c r="F72" s="47">
        <v>46156</v>
      </c>
    </row>
    <row r="73" spans="1:6" x14ac:dyDescent="0.2">
      <c r="A73" s="35" t="s">
        <v>59</v>
      </c>
      <c r="B73" s="36" t="s">
        <v>152</v>
      </c>
      <c r="C73" s="36">
        <v>2282600072</v>
      </c>
      <c r="D73" s="36" t="s">
        <v>80</v>
      </c>
      <c r="E73" s="38">
        <v>0.8949999999999998</v>
      </c>
      <c r="F73" s="47">
        <v>46154</v>
      </c>
    </row>
    <row r="74" spans="1:6" x14ac:dyDescent="0.2">
      <c r="A74" s="33" t="s">
        <v>59</v>
      </c>
      <c r="B74" s="34" t="s">
        <v>153</v>
      </c>
      <c r="C74" s="34">
        <v>2282600073</v>
      </c>
      <c r="D74" s="34" t="s">
        <v>80</v>
      </c>
      <c r="E74" s="37">
        <v>0.78499999999999992</v>
      </c>
      <c r="F74" s="47">
        <v>46167</v>
      </c>
    </row>
    <row r="75" spans="1:6" x14ac:dyDescent="0.2">
      <c r="A75" s="35" t="s">
        <v>59</v>
      </c>
      <c r="B75" s="36" t="s">
        <v>154</v>
      </c>
      <c r="C75" s="36">
        <v>2302600074</v>
      </c>
      <c r="D75" s="36" t="s">
        <v>82</v>
      </c>
      <c r="E75" s="38">
        <v>0.59</v>
      </c>
      <c r="F75" s="47">
        <v>46161</v>
      </c>
    </row>
    <row r="76" spans="1:6" x14ac:dyDescent="0.2">
      <c r="A76" s="33" t="s">
        <v>59</v>
      </c>
      <c r="B76" s="34" t="s">
        <v>155</v>
      </c>
      <c r="C76" s="34">
        <v>2302600075</v>
      </c>
      <c r="D76" s="34" t="s">
        <v>82</v>
      </c>
      <c r="E76" s="37">
        <v>0.57999999999999996</v>
      </c>
      <c r="F76" s="47">
        <v>46160</v>
      </c>
    </row>
    <row r="77" spans="1:6" x14ac:dyDescent="0.2">
      <c r="A77" s="35" t="s">
        <v>59</v>
      </c>
      <c r="B77" s="36" t="s">
        <v>156</v>
      </c>
      <c r="C77" s="36">
        <v>2282600076</v>
      </c>
      <c r="D77" s="36" t="s">
        <v>80</v>
      </c>
      <c r="E77" s="38">
        <v>0.6</v>
      </c>
      <c r="F77" s="47">
        <v>46169</v>
      </c>
    </row>
    <row r="78" spans="1:6" x14ac:dyDescent="0.2">
      <c r="A78" s="33" t="s">
        <v>59</v>
      </c>
      <c r="B78" s="34" t="s">
        <v>157</v>
      </c>
      <c r="C78" s="34">
        <v>2282600077</v>
      </c>
      <c r="D78" s="34" t="s">
        <v>80</v>
      </c>
      <c r="E78" s="37">
        <v>0.7649999999999999</v>
      </c>
      <c r="F78" s="47">
        <v>46168</v>
      </c>
    </row>
    <row r="79" spans="1:6" x14ac:dyDescent="0.2">
      <c r="A79" s="35" t="s">
        <v>59</v>
      </c>
      <c r="B79" s="36" t="s">
        <v>158</v>
      </c>
      <c r="C79" s="36">
        <v>2302600078</v>
      </c>
      <c r="D79" s="36" t="s">
        <v>82</v>
      </c>
      <c r="E79" s="38">
        <v>0.56999999999999995</v>
      </c>
      <c r="F79" s="47">
        <v>46158</v>
      </c>
    </row>
    <row r="80" spans="1:6" x14ac:dyDescent="0.2">
      <c r="A80" s="33" t="s">
        <v>59</v>
      </c>
      <c r="B80" s="34" t="s">
        <v>159</v>
      </c>
      <c r="C80" s="34">
        <v>2302600079</v>
      </c>
      <c r="D80" s="34" t="s">
        <v>82</v>
      </c>
      <c r="E80" s="37">
        <v>0.63</v>
      </c>
      <c r="F80" s="47">
        <v>46162</v>
      </c>
    </row>
    <row r="81" spans="1:6" x14ac:dyDescent="0.2">
      <c r="A81" s="35" t="s">
        <v>59</v>
      </c>
      <c r="B81" s="36" t="s">
        <v>160</v>
      </c>
      <c r="C81" s="36">
        <v>2282600080</v>
      </c>
      <c r="D81" s="36" t="s">
        <v>80</v>
      </c>
      <c r="E81" s="38">
        <v>0.80499999999999994</v>
      </c>
      <c r="F81" s="47">
        <v>46168</v>
      </c>
    </row>
    <row r="82" spans="1:6" x14ac:dyDescent="0.2">
      <c r="A82" s="33" t="s">
        <v>59</v>
      </c>
      <c r="B82" s="34" t="s">
        <v>161</v>
      </c>
      <c r="C82" s="34">
        <v>2282600081</v>
      </c>
      <c r="D82" s="34" t="s">
        <v>80</v>
      </c>
      <c r="E82" s="37">
        <v>0.38999999999999996</v>
      </c>
      <c r="F82" s="47">
        <v>46171</v>
      </c>
    </row>
    <row r="83" spans="1:6" x14ac:dyDescent="0.2">
      <c r="A83" s="35" t="s">
        <v>59</v>
      </c>
      <c r="B83" s="36" t="s">
        <v>162</v>
      </c>
      <c r="C83" s="36">
        <v>2302600082</v>
      </c>
      <c r="D83" s="36" t="s">
        <v>82</v>
      </c>
      <c r="E83" s="38">
        <v>0.41</v>
      </c>
      <c r="F83" s="47">
        <v>46171</v>
      </c>
    </row>
    <row r="84" spans="1:6" x14ac:dyDescent="0.2">
      <c r="A84" s="33" t="s">
        <v>59</v>
      </c>
      <c r="B84" s="34" t="s">
        <v>163</v>
      </c>
      <c r="C84" s="34">
        <v>2302600083</v>
      </c>
      <c r="D84" s="34" t="s">
        <v>82</v>
      </c>
      <c r="E84" s="37">
        <v>0.38999999999999996</v>
      </c>
      <c r="F84" s="47">
        <v>46174</v>
      </c>
    </row>
    <row r="85" spans="1:6" x14ac:dyDescent="0.2">
      <c r="A85" s="35" t="s">
        <v>59</v>
      </c>
      <c r="B85" s="36" t="s">
        <v>164</v>
      </c>
      <c r="C85" s="36">
        <v>2282600084</v>
      </c>
      <c r="D85" s="36" t="s">
        <v>80</v>
      </c>
      <c r="E85" s="38">
        <v>0.38999999999999996</v>
      </c>
      <c r="F85" s="47">
        <v>46171</v>
      </c>
    </row>
    <row r="86" spans="1:6" x14ac:dyDescent="0.2">
      <c r="A86" s="33" t="s">
        <v>59</v>
      </c>
      <c r="B86" s="34" t="s">
        <v>165</v>
      </c>
      <c r="C86" s="34">
        <v>2282600085</v>
      </c>
      <c r="D86" s="34" t="s">
        <v>80</v>
      </c>
      <c r="E86" s="37">
        <v>0.38999999999999996</v>
      </c>
      <c r="F86" s="47">
        <v>46171</v>
      </c>
    </row>
    <row r="87" spans="1:6" x14ac:dyDescent="0.2">
      <c r="A87" s="35" t="s">
        <v>59</v>
      </c>
      <c r="B87" s="36" t="s">
        <v>166</v>
      </c>
      <c r="C87" s="36">
        <v>2302600086</v>
      </c>
      <c r="D87" s="36" t="s">
        <v>82</v>
      </c>
      <c r="E87" s="38">
        <v>0.38999999999999996</v>
      </c>
      <c r="F87" s="47">
        <v>46176</v>
      </c>
    </row>
    <row r="88" spans="1:6" x14ac:dyDescent="0.2">
      <c r="A88" s="33" t="s">
        <v>59</v>
      </c>
      <c r="B88" s="34" t="s">
        <v>167</v>
      </c>
      <c r="C88" s="34">
        <v>2302600087</v>
      </c>
      <c r="D88" s="34" t="s">
        <v>82</v>
      </c>
      <c r="E88" s="37">
        <v>0.42999999999999994</v>
      </c>
      <c r="F88" s="47">
        <v>46171</v>
      </c>
    </row>
    <row r="89" spans="1:6" x14ac:dyDescent="0.2">
      <c r="A89" s="35" t="s">
        <v>59</v>
      </c>
      <c r="B89" s="36" t="s">
        <v>168</v>
      </c>
      <c r="C89" s="36">
        <v>2282600088</v>
      </c>
      <c r="D89" s="36" t="s">
        <v>80</v>
      </c>
      <c r="E89" s="38">
        <v>0.80499999999999994</v>
      </c>
      <c r="F89" s="47">
        <v>46171</v>
      </c>
    </row>
    <row r="90" spans="1:6" x14ac:dyDescent="0.2">
      <c r="A90" s="33" t="s">
        <v>59</v>
      </c>
      <c r="B90" s="34" t="s">
        <v>169</v>
      </c>
      <c r="C90" s="34">
        <v>2282600089</v>
      </c>
      <c r="D90" s="34" t="s">
        <v>80</v>
      </c>
      <c r="E90" s="37">
        <v>0.12</v>
      </c>
      <c r="F90" s="47">
        <v>46178</v>
      </c>
    </row>
    <row r="91" spans="1:6" x14ac:dyDescent="0.2">
      <c r="A91" s="35" t="s">
        <v>59</v>
      </c>
      <c r="B91" s="36" t="s">
        <v>170</v>
      </c>
      <c r="C91" s="36">
        <v>2302600090</v>
      </c>
      <c r="D91" s="36" t="s">
        <v>82</v>
      </c>
      <c r="E91" s="38">
        <v>0.38999999999999996</v>
      </c>
      <c r="F91" s="47">
        <v>46176</v>
      </c>
    </row>
    <row r="92" spans="1:6" x14ac:dyDescent="0.2">
      <c r="A92" s="33" t="s">
        <v>59</v>
      </c>
      <c r="B92" s="34" t="s">
        <v>171</v>
      </c>
      <c r="C92" s="34">
        <v>2302600091</v>
      </c>
      <c r="D92" s="34" t="s">
        <v>82</v>
      </c>
      <c r="E92" s="37">
        <v>0.23</v>
      </c>
      <c r="F92" s="47">
        <v>46181</v>
      </c>
    </row>
    <row r="93" spans="1:6" x14ac:dyDescent="0.2">
      <c r="A93" s="35" t="s">
        <v>59</v>
      </c>
      <c r="B93" s="36" t="s">
        <v>172</v>
      </c>
      <c r="C93" s="36">
        <v>2282600092</v>
      </c>
      <c r="D93" s="36" t="s">
        <v>80</v>
      </c>
      <c r="E93" s="38">
        <v>0</v>
      </c>
      <c r="F93" s="47" t="s">
        <v>786</v>
      </c>
    </row>
    <row r="94" spans="1:6" x14ac:dyDescent="0.2">
      <c r="A94" s="33" t="s">
        <v>59</v>
      </c>
      <c r="B94" s="34" t="s">
        <v>173</v>
      </c>
      <c r="C94" s="34">
        <v>2282600093</v>
      </c>
      <c r="D94" s="34" t="s">
        <v>80</v>
      </c>
      <c r="E94" s="37">
        <v>0</v>
      </c>
      <c r="F94" s="47" t="s">
        <v>786</v>
      </c>
    </row>
    <row r="95" spans="1:6" x14ac:dyDescent="0.2">
      <c r="A95" s="35" t="s">
        <v>59</v>
      </c>
      <c r="B95" s="36" t="s">
        <v>174</v>
      </c>
      <c r="C95" s="36">
        <v>2302600094</v>
      </c>
      <c r="D95" s="36" t="s">
        <v>82</v>
      </c>
      <c r="E95" s="38">
        <v>0.12</v>
      </c>
      <c r="F95" s="47">
        <v>46181</v>
      </c>
    </row>
    <row r="96" spans="1:6" x14ac:dyDescent="0.2">
      <c r="A96" s="33" t="s">
        <v>59</v>
      </c>
      <c r="B96" s="34" t="s">
        <v>175</v>
      </c>
      <c r="C96" s="34">
        <v>2302600095</v>
      </c>
      <c r="D96" s="34" t="s">
        <v>82</v>
      </c>
      <c r="E96" s="37">
        <v>0.38999999999999996</v>
      </c>
      <c r="F96" s="47">
        <v>46177</v>
      </c>
    </row>
    <row r="97" spans="1:6" x14ac:dyDescent="0.2">
      <c r="A97" s="35" t="s">
        <v>59</v>
      </c>
      <c r="B97" s="36" t="s">
        <v>176</v>
      </c>
      <c r="C97" s="36">
        <v>2282600096</v>
      </c>
      <c r="D97" s="36" t="s">
        <v>80</v>
      </c>
      <c r="E97" s="38">
        <v>0.38999999999999996</v>
      </c>
      <c r="F97" s="47">
        <v>46177</v>
      </c>
    </row>
    <row r="98" spans="1:6" x14ac:dyDescent="0.2">
      <c r="A98" s="33" t="s">
        <v>60</v>
      </c>
      <c r="B98" s="34" t="s">
        <v>177</v>
      </c>
      <c r="C98" s="34">
        <v>2282600097</v>
      </c>
      <c r="D98" s="34" t="s">
        <v>80</v>
      </c>
      <c r="E98" s="37">
        <v>0</v>
      </c>
      <c r="F98" s="47" t="s">
        <v>786</v>
      </c>
    </row>
    <row r="99" spans="1:6" x14ac:dyDescent="0.2">
      <c r="A99" s="35" t="s">
        <v>60</v>
      </c>
      <c r="B99" s="36" t="s">
        <v>178</v>
      </c>
      <c r="C99" s="36">
        <v>2302600098</v>
      </c>
      <c r="D99" s="36" t="s">
        <v>82</v>
      </c>
      <c r="E99" s="38">
        <v>0</v>
      </c>
      <c r="F99" s="47" t="s">
        <v>786</v>
      </c>
    </row>
    <row r="100" spans="1:6" x14ac:dyDescent="0.2">
      <c r="A100" s="33" t="s">
        <v>60</v>
      </c>
      <c r="B100" s="34" t="s">
        <v>179</v>
      </c>
      <c r="C100" s="34">
        <v>2302600099</v>
      </c>
      <c r="D100" s="34" t="s">
        <v>82</v>
      </c>
      <c r="E100" s="37">
        <v>0</v>
      </c>
      <c r="F100" s="47" t="s">
        <v>786</v>
      </c>
    </row>
    <row r="101" spans="1:6" x14ac:dyDescent="0.2">
      <c r="A101" s="35" t="s">
        <v>60</v>
      </c>
      <c r="B101" s="36" t="s">
        <v>180</v>
      </c>
      <c r="C101" s="36">
        <v>2282600100</v>
      </c>
      <c r="D101" s="36" t="s">
        <v>80</v>
      </c>
      <c r="E101" s="38">
        <v>0</v>
      </c>
      <c r="F101" s="47" t="s">
        <v>786</v>
      </c>
    </row>
    <row r="102" spans="1:6" x14ac:dyDescent="0.2">
      <c r="A102" s="33" t="s">
        <v>60</v>
      </c>
      <c r="B102" s="34" t="s">
        <v>181</v>
      </c>
      <c r="C102" s="34">
        <v>2282600101</v>
      </c>
      <c r="D102" s="34" t="s">
        <v>80</v>
      </c>
      <c r="E102" s="37">
        <v>0</v>
      </c>
      <c r="F102" s="47" t="s">
        <v>786</v>
      </c>
    </row>
    <row r="103" spans="1:6" x14ac:dyDescent="0.2">
      <c r="A103" s="35" t="s">
        <v>60</v>
      </c>
      <c r="B103" s="36" t="s">
        <v>182</v>
      </c>
      <c r="C103" s="36">
        <v>2302600102</v>
      </c>
      <c r="D103" s="36" t="s">
        <v>82</v>
      </c>
      <c r="E103" s="38">
        <v>0</v>
      </c>
      <c r="F103" s="47" t="s">
        <v>786</v>
      </c>
    </row>
    <row r="104" spans="1:6" x14ac:dyDescent="0.2">
      <c r="A104" s="33" t="s">
        <v>60</v>
      </c>
      <c r="B104" s="34" t="s">
        <v>183</v>
      </c>
      <c r="C104" s="34">
        <v>2302600103</v>
      </c>
      <c r="D104" s="34" t="s">
        <v>82</v>
      </c>
      <c r="E104" s="37">
        <v>0</v>
      </c>
      <c r="F104" s="47" t="s">
        <v>786</v>
      </c>
    </row>
    <row r="105" spans="1:6" x14ac:dyDescent="0.2">
      <c r="A105" s="35" t="s">
        <v>60</v>
      </c>
      <c r="B105" s="36" t="s">
        <v>184</v>
      </c>
      <c r="C105" s="36">
        <v>2282600104</v>
      </c>
      <c r="D105" s="36" t="s">
        <v>80</v>
      </c>
      <c r="E105" s="38">
        <v>0</v>
      </c>
      <c r="F105" s="47" t="s">
        <v>786</v>
      </c>
    </row>
    <row r="106" spans="1:6" x14ac:dyDescent="0.2">
      <c r="A106" s="33" t="s">
        <v>60</v>
      </c>
      <c r="B106" s="34" t="s">
        <v>185</v>
      </c>
      <c r="C106" s="34">
        <v>2282600105</v>
      </c>
      <c r="D106" s="34" t="s">
        <v>80</v>
      </c>
      <c r="E106" s="37">
        <v>0</v>
      </c>
      <c r="F106" s="47" t="s">
        <v>786</v>
      </c>
    </row>
    <row r="107" spans="1:6" x14ac:dyDescent="0.2">
      <c r="A107" s="35" t="s">
        <v>60</v>
      </c>
      <c r="B107" s="36" t="s">
        <v>186</v>
      </c>
      <c r="C107" s="36">
        <v>2302600106</v>
      </c>
      <c r="D107" s="36" t="s">
        <v>82</v>
      </c>
      <c r="E107" s="38">
        <v>0</v>
      </c>
      <c r="F107" s="47" t="s">
        <v>786</v>
      </c>
    </row>
    <row r="108" spans="1:6" x14ac:dyDescent="0.2">
      <c r="A108" s="33" t="s">
        <v>60</v>
      </c>
      <c r="B108" s="34" t="s">
        <v>187</v>
      </c>
      <c r="C108" s="34">
        <v>2302600107</v>
      </c>
      <c r="D108" s="34" t="s">
        <v>82</v>
      </c>
      <c r="E108" s="37">
        <v>0</v>
      </c>
      <c r="F108" s="47" t="s">
        <v>786</v>
      </c>
    </row>
    <row r="109" spans="1:6" x14ac:dyDescent="0.2">
      <c r="A109" s="35" t="s">
        <v>60</v>
      </c>
      <c r="B109" s="36" t="s">
        <v>188</v>
      </c>
      <c r="C109" s="36">
        <v>2282600108</v>
      </c>
      <c r="D109" s="36" t="s">
        <v>80</v>
      </c>
      <c r="E109" s="38">
        <v>0</v>
      </c>
      <c r="F109" s="47" t="s">
        <v>786</v>
      </c>
    </row>
    <row r="110" spans="1:6" x14ac:dyDescent="0.2">
      <c r="A110" s="33" t="s">
        <v>60</v>
      </c>
      <c r="B110" s="34" t="s">
        <v>189</v>
      </c>
      <c r="C110" s="34">
        <v>2282600109</v>
      </c>
      <c r="D110" s="34" t="s">
        <v>80</v>
      </c>
      <c r="E110" s="37">
        <v>0</v>
      </c>
      <c r="F110" s="47" t="s">
        <v>786</v>
      </c>
    </row>
    <row r="111" spans="1:6" x14ac:dyDescent="0.2">
      <c r="A111" s="35" t="s">
        <v>60</v>
      </c>
      <c r="B111" s="36" t="s">
        <v>190</v>
      </c>
      <c r="C111" s="36">
        <v>2302600110</v>
      </c>
      <c r="D111" s="36" t="s">
        <v>82</v>
      </c>
      <c r="E111" s="38">
        <v>0</v>
      </c>
      <c r="F111" s="47" t="s">
        <v>786</v>
      </c>
    </row>
    <row r="112" spans="1:6" x14ac:dyDescent="0.2">
      <c r="A112" s="33" t="s">
        <v>60</v>
      </c>
      <c r="B112" s="34" t="s">
        <v>191</v>
      </c>
      <c r="C112" s="34">
        <v>2302600111</v>
      </c>
      <c r="D112" s="34" t="s">
        <v>82</v>
      </c>
      <c r="E112" s="37">
        <v>0</v>
      </c>
      <c r="F112" s="47" t="s">
        <v>786</v>
      </c>
    </row>
    <row r="113" spans="1:6" x14ac:dyDescent="0.2">
      <c r="A113" s="35" t="s">
        <v>60</v>
      </c>
      <c r="B113" s="36" t="s">
        <v>192</v>
      </c>
      <c r="C113" s="36">
        <v>2282600112</v>
      </c>
      <c r="D113" s="36" t="s">
        <v>80</v>
      </c>
      <c r="E113" s="38">
        <v>0</v>
      </c>
      <c r="F113" s="47" t="s">
        <v>786</v>
      </c>
    </row>
    <row r="114" spans="1:6" x14ac:dyDescent="0.2">
      <c r="A114" s="33" t="s">
        <v>60</v>
      </c>
      <c r="B114" s="34" t="s">
        <v>193</v>
      </c>
      <c r="C114" s="34">
        <v>2282600113</v>
      </c>
      <c r="D114" s="34" t="s">
        <v>80</v>
      </c>
      <c r="E114" s="37">
        <v>0</v>
      </c>
      <c r="F114" s="47" t="s">
        <v>786</v>
      </c>
    </row>
    <row r="115" spans="1:6" x14ac:dyDescent="0.2">
      <c r="A115" s="35" t="s">
        <v>60</v>
      </c>
      <c r="B115" s="36" t="s">
        <v>194</v>
      </c>
      <c r="C115" s="36">
        <v>2302600114</v>
      </c>
      <c r="D115" s="36" t="s">
        <v>82</v>
      </c>
      <c r="E115" s="38">
        <v>0</v>
      </c>
      <c r="F115" s="47" t="s">
        <v>786</v>
      </c>
    </row>
    <row r="116" spans="1:6" x14ac:dyDescent="0.2">
      <c r="A116" s="33" t="s">
        <v>60</v>
      </c>
      <c r="B116" s="34" t="s">
        <v>195</v>
      </c>
      <c r="C116" s="34">
        <v>2302600115</v>
      </c>
      <c r="D116" s="34" t="s">
        <v>82</v>
      </c>
      <c r="E116" s="37">
        <v>0</v>
      </c>
      <c r="F116" s="47" t="s">
        <v>786</v>
      </c>
    </row>
    <row r="117" spans="1:6" x14ac:dyDescent="0.2">
      <c r="A117" s="35" t="s">
        <v>60</v>
      </c>
      <c r="B117" s="36" t="s">
        <v>196</v>
      </c>
      <c r="C117" s="36">
        <v>2282600116</v>
      </c>
      <c r="D117" s="36" t="s">
        <v>80</v>
      </c>
      <c r="E117" s="38">
        <v>0</v>
      </c>
      <c r="F117" s="47" t="s">
        <v>786</v>
      </c>
    </row>
    <row r="118" spans="1:6" x14ac:dyDescent="0.2">
      <c r="A118" s="33" t="s">
        <v>60</v>
      </c>
      <c r="B118" s="34" t="s">
        <v>197</v>
      </c>
      <c r="C118" s="34">
        <v>2282600117</v>
      </c>
      <c r="D118" s="34" t="s">
        <v>80</v>
      </c>
      <c r="E118" s="37">
        <v>0</v>
      </c>
      <c r="F118" s="47" t="s">
        <v>786</v>
      </c>
    </row>
    <row r="119" spans="1:6" x14ac:dyDescent="0.2">
      <c r="A119" s="35" t="s">
        <v>60</v>
      </c>
      <c r="B119" s="36" t="s">
        <v>198</v>
      </c>
      <c r="C119" s="36">
        <v>2302600118</v>
      </c>
      <c r="D119" s="36" t="s">
        <v>82</v>
      </c>
      <c r="E119" s="38">
        <v>0</v>
      </c>
      <c r="F119" s="47" t="s">
        <v>786</v>
      </c>
    </row>
    <row r="120" spans="1:6" x14ac:dyDescent="0.2">
      <c r="A120" s="33" t="s">
        <v>60</v>
      </c>
      <c r="B120" s="34" t="s">
        <v>199</v>
      </c>
      <c r="C120" s="34">
        <v>2302600119</v>
      </c>
      <c r="D120" s="34" t="s">
        <v>82</v>
      </c>
      <c r="E120" s="37">
        <v>0</v>
      </c>
      <c r="F120" s="47" t="s">
        <v>786</v>
      </c>
    </row>
    <row r="121" spans="1:6" x14ac:dyDescent="0.2">
      <c r="A121" s="35" t="s">
        <v>60</v>
      </c>
      <c r="B121" s="36" t="s">
        <v>200</v>
      </c>
      <c r="C121" s="36">
        <v>2282600120</v>
      </c>
      <c r="D121" s="36" t="s">
        <v>80</v>
      </c>
      <c r="E121" s="38">
        <v>0</v>
      </c>
      <c r="F121" s="47" t="s">
        <v>786</v>
      </c>
    </row>
    <row r="122" spans="1:6" x14ac:dyDescent="0.2">
      <c r="A122" s="33" t="s">
        <v>60</v>
      </c>
      <c r="B122" s="34" t="s">
        <v>201</v>
      </c>
      <c r="C122" s="34">
        <v>2282600121</v>
      </c>
      <c r="D122" s="34" t="s">
        <v>80</v>
      </c>
      <c r="E122" s="37">
        <v>0</v>
      </c>
      <c r="F122" s="47" t="s">
        <v>786</v>
      </c>
    </row>
    <row r="123" spans="1:6" x14ac:dyDescent="0.2">
      <c r="A123" s="35" t="s">
        <v>60</v>
      </c>
      <c r="B123" s="36" t="s">
        <v>202</v>
      </c>
      <c r="C123" s="36">
        <v>2302600122</v>
      </c>
      <c r="D123" s="36" t="s">
        <v>82</v>
      </c>
      <c r="E123" s="38">
        <v>0</v>
      </c>
      <c r="F123" s="47" t="s">
        <v>786</v>
      </c>
    </row>
    <row r="124" spans="1:6" x14ac:dyDescent="0.2">
      <c r="A124" s="33" t="s">
        <v>60</v>
      </c>
      <c r="B124" s="34" t="s">
        <v>203</v>
      </c>
      <c r="C124" s="34">
        <v>2302600123</v>
      </c>
      <c r="D124" s="34" t="s">
        <v>82</v>
      </c>
      <c r="E124" s="37">
        <v>0</v>
      </c>
      <c r="F124" s="47" t="s">
        <v>786</v>
      </c>
    </row>
    <row r="125" spans="1:6" x14ac:dyDescent="0.2">
      <c r="A125" s="35" t="s">
        <v>60</v>
      </c>
      <c r="B125" s="36" t="s">
        <v>204</v>
      </c>
      <c r="C125" s="36">
        <v>2282600124</v>
      </c>
      <c r="D125" s="36" t="s">
        <v>80</v>
      </c>
      <c r="E125" s="38">
        <v>0</v>
      </c>
      <c r="F125" s="47" t="s">
        <v>786</v>
      </c>
    </row>
    <row r="126" spans="1:6" x14ac:dyDescent="0.2">
      <c r="A126" s="33" t="s">
        <v>60</v>
      </c>
      <c r="B126" s="34" t="s">
        <v>205</v>
      </c>
      <c r="C126" s="34">
        <v>2282600125</v>
      </c>
      <c r="D126" s="34" t="s">
        <v>80</v>
      </c>
      <c r="E126" s="37">
        <v>0</v>
      </c>
      <c r="F126" s="47" t="s">
        <v>786</v>
      </c>
    </row>
    <row r="127" spans="1:6" x14ac:dyDescent="0.2">
      <c r="A127" s="35" t="s">
        <v>60</v>
      </c>
      <c r="B127" s="36" t="s">
        <v>206</v>
      </c>
      <c r="C127" s="36">
        <v>2302600126</v>
      </c>
      <c r="D127" s="36" t="s">
        <v>82</v>
      </c>
      <c r="E127" s="38">
        <v>0</v>
      </c>
      <c r="F127" s="47" t="s">
        <v>786</v>
      </c>
    </row>
    <row r="128" spans="1:6" x14ac:dyDescent="0.2">
      <c r="A128" s="33" t="s">
        <v>60</v>
      </c>
      <c r="B128" s="34" t="s">
        <v>207</v>
      </c>
      <c r="C128" s="34">
        <v>2302600127</v>
      </c>
      <c r="D128" s="34" t="s">
        <v>82</v>
      </c>
      <c r="E128" s="37">
        <v>0</v>
      </c>
      <c r="F128" s="47" t="s">
        <v>786</v>
      </c>
    </row>
    <row r="129" spans="1:6" x14ac:dyDescent="0.2">
      <c r="A129" s="35" t="s">
        <v>60</v>
      </c>
      <c r="B129" s="36" t="s">
        <v>208</v>
      </c>
      <c r="C129" s="36">
        <v>2282600128</v>
      </c>
      <c r="D129" s="36" t="s">
        <v>80</v>
      </c>
      <c r="E129" s="38">
        <v>0</v>
      </c>
      <c r="F129" s="47" t="s">
        <v>786</v>
      </c>
    </row>
    <row r="130" spans="1:6" x14ac:dyDescent="0.2">
      <c r="A130" s="33" t="s">
        <v>61</v>
      </c>
      <c r="B130" s="34" t="s">
        <v>209</v>
      </c>
      <c r="C130" s="34">
        <v>2282600129</v>
      </c>
      <c r="D130" s="34" t="s">
        <v>80</v>
      </c>
      <c r="E130" s="37">
        <v>0</v>
      </c>
      <c r="F130" s="47" t="s">
        <v>786</v>
      </c>
    </row>
    <row r="131" spans="1:6" x14ac:dyDescent="0.2">
      <c r="A131" s="35" t="s">
        <v>61</v>
      </c>
      <c r="B131" s="36" t="s">
        <v>210</v>
      </c>
      <c r="C131" s="36">
        <v>2302600130</v>
      </c>
      <c r="D131" s="36" t="s">
        <v>82</v>
      </c>
      <c r="E131" s="38">
        <v>0</v>
      </c>
      <c r="F131" s="47" t="s">
        <v>786</v>
      </c>
    </row>
    <row r="132" spans="1:6" x14ac:dyDescent="0.2">
      <c r="A132" s="33" t="s">
        <v>61</v>
      </c>
      <c r="B132" s="34" t="s">
        <v>211</v>
      </c>
      <c r="C132" s="34">
        <v>2302600131</v>
      </c>
      <c r="D132" s="34" t="s">
        <v>82</v>
      </c>
      <c r="E132" s="37">
        <v>0</v>
      </c>
      <c r="F132" s="47" t="s">
        <v>786</v>
      </c>
    </row>
    <row r="133" spans="1:6" x14ac:dyDescent="0.2">
      <c r="A133" s="35" t="s">
        <v>61</v>
      </c>
      <c r="B133" s="36" t="s">
        <v>212</v>
      </c>
      <c r="C133" s="36">
        <v>2282600132</v>
      </c>
      <c r="D133" s="36" t="s">
        <v>80</v>
      </c>
      <c r="E133" s="38">
        <v>0</v>
      </c>
      <c r="F133" s="47" t="s">
        <v>786</v>
      </c>
    </row>
    <row r="134" spans="1:6" x14ac:dyDescent="0.2">
      <c r="A134" s="33" t="s">
        <v>61</v>
      </c>
      <c r="B134" s="34" t="s">
        <v>213</v>
      </c>
      <c r="C134" s="34">
        <v>2282600133</v>
      </c>
      <c r="D134" s="34" t="s">
        <v>80</v>
      </c>
      <c r="E134" s="37">
        <v>0</v>
      </c>
      <c r="F134" s="47" t="s">
        <v>786</v>
      </c>
    </row>
    <row r="135" spans="1:6" x14ac:dyDescent="0.2">
      <c r="A135" s="35" t="s">
        <v>61</v>
      </c>
      <c r="B135" s="36" t="s">
        <v>214</v>
      </c>
      <c r="C135" s="36">
        <v>2302600134</v>
      </c>
      <c r="D135" s="36" t="s">
        <v>82</v>
      </c>
      <c r="E135" s="38">
        <v>0</v>
      </c>
      <c r="F135" s="47" t="s">
        <v>786</v>
      </c>
    </row>
    <row r="136" spans="1:6" x14ac:dyDescent="0.2">
      <c r="A136" s="33" t="s">
        <v>61</v>
      </c>
      <c r="B136" s="34" t="s">
        <v>215</v>
      </c>
      <c r="C136" s="34">
        <v>2302600135</v>
      </c>
      <c r="D136" s="34" t="s">
        <v>82</v>
      </c>
      <c r="E136" s="37">
        <v>0</v>
      </c>
      <c r="F136" s="47" t="s">
        <v>786</v>
      </c>
    </row>
    <row r="137" spans="1:6" x14ac:dyDescent="0.2">
      <c r="A137" s="35" t="s">
        <v>61</v>
      </c>
      <c r="B137" s="36" t="s">
        <v>216</v>
      </c>
      <c r="C137" s="36">
        <v>2282600136</v>
      </c>
      <c r="D137" s="36" t="s">
        <v>80</v>
      </c>
      <c r="E137" s="38">
        <v>0</v>
      </c>
      <c r="F137" s="47" t="s">
        <v>786</v>
      </c>
    </row>
    <row r="138" spans="1:6" x14ac:dyDescent="0.2">
      <c r="A138" s="33" t="s">
        <v>61</v>
      </c>
      <c r="B138" s="34" t="s">
        <v>217</v>
      </c>
      <c r="C138" s="34">
        <v>2282600137</v>
      </c>
      <c r="D138" s="34" t="s">
        <v>80</v>
      </c>
      <c r="E138" s="37">
        <v>0</v>
      </c>
      <c r="F138" s="47" t="s">
        <v>786</v>
      </c>
    </row>
    <row r="139" spans="1:6" x14ac:dyDescent="0.2">
      <c r="A139" s="35" t="s">
        <v>61</v>
      </c>
      <c r="B139" s="36" t="s">
        <v>218</v>
      </c>
      <c r="C139" s="36">
        <v>2302600138</v>
      </c>
      <c r="D139" s="36" t="s">
        <v>82</v>
      </c>
      <c r="E139" s="38">
        <v>0</v>
      </c>
      <c r="F139" s="47" t="s">
        <v>786</v>
      </c>
    </row>
    <row r="140" spans="1:6" x14ac:dyDescent="0.2">
      <c r="A140" s="33" t="s">
        <v>61</v>
      </c>
      <c r="B140" s="34" t="s">
        <v>219</v>
      </c>
      <c r="C140" s="34">
        <v>2302600139</v>
      </c>
      <c r="D140" s="34" t="s">
        <v>82</v>
      </c>
      <c r="E140" s="37">
        <v>0</v>
      </c>
      <c r="F140" s="47" t="s">
        <v>786</v>
      </c>
    </row>
    <row r="141" spans="1:6" x14ac:dyDescent="0.2">
      <c r="A141" s="35" t="s">
        <v>61</v>
      </c>
      <c r="B141" s="36" t="s">
        <v>220</v>
      </c>
      <c r="C141" s="36">
        <v>2282600140</v>
      </c>
      <c r="D141" s="36" t="s">
        <v>80</v>
      </c>
      <c r="E141" s="38">
        <v>0</v>
      </c>
      <c r="F141" s="47" t="s">
        <v>786</v>
      </c>
    </row>
    <row r="142" spans="1:6" x14ac:dyDescent="0.2">
      <c r="A142" s="33" t="s">
        <v>61</v>
      </c>
      <c r="B142" s="34" t="s">
        <v>221</v>
      </c>
      <c r="C142" s="34">
        <v>2282600141</v>
      </c>
      <c r="D142" s="34" t="s">
        <v>80</v>
      </c>
      <c r="E142" s="37">
        <v>0</v>
      </c>
      <c r="F142" s="47" t="s">
        <v>786</v>
      </c>
    </row>
    <row r="143" spans="1:6" x14ac:dyDescent="0.2">
      <c r="A143" s="35" t="s">
        <v>61</v>
      </c>
      <c r="B143" s="36" t="s">
        <v>222</v>
      </c>
      <c r="C143" s="36">
        <v>2302600142</v>
      </c>
      <c r="D143" s="36" t="s">
        <v>82</v>
      </c>
      <c r="E143" s="38">
        <v>0</v>
      </c>
      <c r="F143" s="47" t="s">
        <v>786</v>
      </c>
    </row>
    <row r="144" spans="1:6" x14ac:dyDescent="0.2">
      <c r="A144" s="33" t="s">
        <v>61</v>
      </c>
      <c r="B144" s="34" t="s">
        <v>223</v>
      </c>
      <c r="C144" s="34">
        <v>2302600143</v>
      </c>
      <c r="D144" s="34" t="s">
        <v>82</v>
      </c>
      <c r="E144" s="37">
        <v>0</v>
      </c>
      <c r="F144" s="47" t="s">
        <v>786</v>
      </c>
    </row>
    <row r="145" spans="1:6" x14ac:dyDescent="0.2">
      <c r="A145" s="35" t="s">
        <v>61</v>
      </c>
      <c r="B145" s="36" t="s">
        <v>224</v>
      </c>
      <c r="C145" s="36">
        <v>2282600144</v>
      </c>
      <c r="D145" s="36" t="s">
        <v>80</v>
      </c>
      <c r="E145" s="38">
        <v>0</v>
      </c>
      <c r="F145" s="47" t="s">
        <v>786</v>
      </c>
    </row>
    <row r="146" spans="1:6" x14ac:dyDescent="0.2">
      <c r="A146" s="33" t="s">
        <v>61</v>
      </c>
      <c r="B146" s="34" t="s">
        <v>225</v>
      </c>
      <c r="C146" s="34">
        <v>2282600145</v>
      </c>
      <c r="D146" s="34" t="s">
        <v>80</v>
      </c>
      <c r="E146" s="37">
        <v>0</v>
      </c>
      <c r="F146" s="47" t="s">
        <v>786</v>
      </c>
    </row>
    <row r="147" spans="1:6" x14ac:dyDescent="0.2">
      <c r="A147" s="35" t="s">
        <v>61</v>
      </c>
      <c r="B147" s="36" t="s">
        <v>226</v>
      </c>
      <c r="C147" s="36">
        <v>2302600146</v>
      </c>
      <c r="D147" s="36" t="s">
        <v>82</v>
      </c>
      <c r="E147" s="38">
        <v>0</v>
      </c>
      <c r="F147" s="47" t="s">
        <v>786</v>
      </c>
    </row>
    <row r="148" spans="1:6" x14ac:dyDescent="0.2">
      <c r="A148" s="33" t="s">
        <v>61</v>
      </c>
      <c r="B148" s="34" t="s">
        <v>227</v>
      </c>
      <c r="C148" s="34">
        <v>2302600147</v>
      </c>
      <c r="D148" s="34" t="s">
        <v>82</v>
      </c>
      <c r="E148" s="37">
        <v>0</v>
      </c>
      <c r="F148" s="47" t="s">
        <v>786</v>
      </c>
    </row>
    <row r="149" spans="1:6" x14ac:dyDescent="0.2">
      <c r="A149" s="35" t="s">
        <v>61</v>
      </c>
      <c r="B149" s="36" t="s">
        <v>228</v>
      </c>
      <c r="C149" s="36">
        <v>2282600148</v>
      </c>
      <c r="D149" s="36" t="s">
        <v>80</v>
      </c>
      <c r="E149" s="38">
        <v>0</v>
      </c>
      <c r="F149" s="47" t="s">
        <v>786</v>
      </c>
    </row>
    <row r="150" spans="1:6" x14ac:dyDescent="0.2">
      <c r="A150" s="33" t="s">
        <v>61</v>
      </c>
      <c r="B150" s="34" t="s">
        <v>229</v>
      </c>
      <c r="C150" s="34">
        <v>2282600149</v>
      </c>
      <c r="D150" s="34" t="s">
        <v>80</v>
      </c>
      <c r="E150" s="37">
        <v>0</v>
      </c>
      <c r="F150" s="47" t="s">
        <v>786</v>
      </c>
    </row>
    <row r="151" spans="1:6" x14ac:dyDescent="0.2">
      <c r="A151" s="35" t="s">
        <v>61</v>
      </c>
      <c r="B151" s="36" t="s">
        <v>230</v>
      </c>
      <c r="C151" s="36">
        <v>2302600150</v>
      </c>
      <c r="D151" s="36" t="s">
        <v>82</v>
      </c>
      <c r="E151" s="38">
        <v>0</v>
      </c>
      <c r="F151" s="47" t="s">
        <v>786</v>
      </c>
    </row>
    <row r="152" spans="1:6" x14ac:dyDescent="0.2">
      <c r="A152" s="33" t="s">
        <v>61</v>
      </c>
      <c r="B152" s="34" t="s">
        <v>231</v>
      </c>
      <c r="C152" s="34">
        <v>2302600151</v>
      </c>
      <c r="D152" s="34" t="s">
        <v>82</v>
      </c>
      <c r="E152" s="37">
        <v>0</v>
      </c>
      <c r="F152" s="47" t="s">
        <v>786</v>
      </c>
    </row>
    <row r="153" spans="1:6" x14ac:dyDescent="0.2">
      <c r="A153" s="35" t="s">
        <v>61</v>
      </c>
      <c r="B153" s="36" t="s">
        <v>232</v>
      </c>
      <c r="C153" s="36">
        <v>2282600152</v>
      </c>
      <c r="D153" s="36" t="s">
        <v>80</v>
      </c>
      <c r="E153" s="38">
        <v>0</v>
      </c>
      <c r="F153" s="47" t="s">
        <v>786</v>
      </c>
    </row>
    <row r="154" spans="1:6" x14ac:dyDescent="0.2">
      <c r="A154" s="33" t="s">
        <v>61</v>
      </c>
      <c r="B154" s="34" t="s">
        <v>233</v>
      </c>
      <c r="C154" s="34">
        <v>2282600153</v>
      </c>
      <c r="D154" s="34" t="s">
        <v>80</v>
      </c>
      <c r="E154" s="37">
        <v>0</v>
      </c>
      <c r="F154" s="47" t="s">
        <v>786</v>
      </c>
    </row>
    <row r="155" spans="1:6" x14ac:dyDescent="0.2">
      <c r="A155" s="35" t="s">
        <v>61</v>
      </c>
      <c r="B155" s="36" t="s">
        <v>234</v>
      </c>
      <c r="C155" s="36">
        <v>2302600154</v>
      </c>
      <c r="D155" s="36" t="s">
        <v>82</v>
      </c>
      <c r="E155" s="38">
        <v>0</v>
      </c>
      <c r="F155" s="47" t="s">
        <v>786</v>
      </c>
    </row>
    <row r="156" spans="1:6" x14ac:dyDescent="0.2">
      <c r="A156" s="33" t="s">
        <v>61</v>
      </c>
      <c r="B156" s="34" t="s">
        <v>235</v>
      </c>
      <c r="C156" s="34">
        <v>2302600155</v>
      </c>
      <c r="D156" s="34" t="s">
        <v>82</v>
      </c>
      <c r="E156" s="37">
        <v>0</v>
      </c>
      <c r="F156" s="47" t="s">
        <v>786</v>
      </c>
    </row>
    <row r="157" spans="1:6" x14ac:dyDescent="0.2">
      <c r="A157" s="35" t="s">
        <v>61</v>
      </c>
      <c r="B157" s="36" t="s">
        <v>236</v>
      </c>
      <c r="C157" s="36">
        <v>2282600156</v>
      </c>
      <c r="D157" s="36" t="s">
        <v>80</v>
      </c>
      <c r="E157" s="38">
        <v>0</v>
      </c>
      <c r="F157" s="47" t="s">
        <v>786</v>
      </c>
    </row>
    <row r="158" spans="1:6" x14ac:dyDescent="0.2">
      <c r="A158" s="33" t="s">
        <v>61</v>
      </c>
      <c r="B158" s="34" t="s">
        <v>237</v>
      </c>
      <c r="C158" s="34">
        <v>2282600157</v>
      </c>
      <c r="D158" s="34" t="s">
        <v>80</v>
      </c>
      <c r="E158" s="37">
        <v>0</v>
      </c>
      <c r="F158" s="47" t="s">
        <v>786</v>
      </c>
    </row>
    <row r="159" spans="1:6" x14ac:dyDescent="0.2">
      <c r="A159" s="35" t="s">
        <v>61</v>
      </c>
      <c r="B159" s="36" t="s">
        <v>238</v>
      </c>
      <c r="C159" s="36">
        <v>2302600158</v>
      </c>
      <c r="D159" s="36" t="s">
        <v>82</v>
      </c>
      <c r="E159" s="38">
        <v>0</v>
      </c>
      <c r="F159" s="47" t="s">
        <v>786</v>
      </c>
    </row>
    <row r="160" spans="1:6" x14ac:dyDescent="0.2">
      <c r="A160" s="33" t="s">
        <v>61</v>
      </c>
      <c r="B160" s="34" t="s">
        <v>239</v>
      </c>
      <c r="C160" s="34">
        <v>2302600159</v>
      </c>
      <c r="D160" s="34" t="s">
        <v>82</v>
      </c>
      <c r="E160" s="37">
        <v>0</v>
      </c>
      <c r="F160" s="47" t="s">
        <v>786</v>
      </c>
    </row>
    <row r="161" spans="1:6" x14ac:dyDescent="0.2">
      <c r="A161" s="35" t="s">
        <v>61</v>
      </c>
      <c r="B161" s="36" t="s">
        <v>240</v>
      </c>
      <c r="C161" s="36">
        <v>2282600160</v>
      </c>
      <c r="D161" s="36" t="s">
        <v>80</v>
      </c>
      <c r="E161" s="38">
        <v>0</v>
      </c>
      <c r="F161" s="47" t="s">
        <v>786</v>
      </c>
    </row>
    <row r="162" spans="1:6" x14ac:dyDescent="0.2">
      <c r="A162" s="33" t="s">
        <v>62</v>
      </c>
      <c r="B162" s="34" t="s">
        <v>241</v>
      </c>
      <c r="C162" s="34">
        <v>2282600161</v>
      </c>
      <c r="D162" s="34" t="s">
        <v>80</v>
      </c>
      <c r="E162" s="37">
        <v>0</v>
      </c>
      <c r="F162" s="47" t="s">
        <v>786</v>
      </c>
    </row>
    <row r="163" spans="1:6" x14ac:dyDescent="0.2">
      <c r="A163" s="35" t="s">
        <v>62</v>
      </c>
      <c r="B163" s="36" t="s">
        <v>242</v>
      </c>
      <c r="C163" s="36">
        <v>2302600162</v>
      </c>
      <c r="D163" s="36" t="s">
        <v>82</v>
      </c>
      <c r="E163" s="38">
        <v>0</v>
      </c>
      <c r="F163" s="47" t="s">
        <v>786</v>
      </c>
    </row>
    <row r="164" spans="1:6" x14ac:dyDescent="0.2">
      <c r="A164" s="33" t="s">
        <v>62</v>
      </c>
      <c r="B164" s="34" t="s">
        <v>243</v>
      </c>
      <c r="C164" s="34">
        <v>2302600163</v>
      </c>
      <c r="D164" s="34" t="s">
        <v>82</v>
      </c>
      <c r="E164" s="37">
        <v>0</v>
      </c>
      <c r="F164" s="47" t="s">
        <v>786</v>
      </c>
    </row>
    <row r="165" spans="1:6" x14ac:dyDescent="0.2">
      <c r="A165" s="35" t="s">
        <v>62</v>
      </c>
      <c r="B165" s="36" t="s">
        <v>244</v>
      </c>
      <c r="C165" s="36">
        <v>2282600164</v>
      </c>
      <c r="D165" s="36" t="s">
        <v>80</v>
      </c>
      <c r="E165" s="38">
        <v>0</v>
      </c>
      <c r="F165" s="47" t="s">
        <v>786</v>
      </c>
    </row>
    <row r="166" spans="1:6" x14ac:dyDescent="0.2">
      <c r="A166" s="33" t="s">
        <v>62</v>
      </c>
      <c r="B166" s="34" t="s">
        <v>245</v>
      </c>
      <c r="C166" s="34">
        <v>2282600165</v>
      </c>
      <c r="D166" s="34" t="s">
        <v>80</v>
      </c>
      <c r="E166" s="37">
        <v>0</v>
      </c>
      <c r="F166" s="47" t="s">
        <v>786</v>
      </c>
    </row>
    <row r="167" spans="1:6" x14ac:dyDescent="0.2">
      <c r="A167" s="35" t="s">
        <v>62</v>
      </c>
      <c r="B167" s="36" t="s">
        <v>246</v>
      </c>
      <c r="C167" s="36">
        <v>2302600166</v>
      </c>
      <c r="D167" s="36" t="s">
        <v>82</v>
      </c>
      <c r="E167" s="38">
        <v>0</v>
      </c>
      <c r="F167" s="47" t="s">
        <v>786</v>
      </c>
    </row>
    <row r="168" spans="1:6" x14ac:dyDescent="0.2">
      <c r="A168" s="33" t="s">
        <v>62</v>
      </c>
      <c r="B168" s="34" t="s">
        <v>247</v>
      </c>
      <c r="C168" s="34">
        <v>2302600167</v>
      </c>
      <c r="D168" s="34" t="s">
        <v>82</v>
      </c>
      <c r="E168" s="37">
        <v>0</v>
      </c>
      <c r="F168" s="47" t="s">
        <v>786</v>
      </c>
    </row>
    <row r="169" spans="1:6" x14ac:dyDescent="0.2">
      <c r="A169" s="35" t="s">
        <v>62</v>
      </c>
      <c r="B169" s="36" t="s">
        <v>248</v>
      </c>
      <c r="C169" s="36">
        <v>2282600168</v>
      </c>
      <c r="D169" s="36" t="s">
        <v>80</v>
      </c>
      <c r="E169" s="38">
        <v>0</v>
      </c>
      <c r="F169" s="47" t="s">
        <v>786</v>
      </c>
    </row>
    <row r="170" spans="1:6" x14ac:dyDescent="0.2">
      <c r="A170" s="33" t="s">
        <v>62</v>
      </c>
      <c r="B170" s="34" t="s">
        <v>249</v>
      </c>
      <c r="C170" s="34">
        <v>2282600169</v>
      </c>
      <c r="D170" s="34" t="s">
        <v>80</v>
      </c>
      <c r="E170" s="37">
        <v>0</v>
      </c>
      <c r="F170" s="47" t="s">
        <v>786</v>
      </c>
    </row>
    <row r="171" spans="1:6" x14ac:dyDescent="0.2">
      <c r="A171" s="35" t="s">
        <v>62</v>
      </c>
      <c r="B171" s="36" t="s">
        <v>250</v>
      </c>
      <c r="C171" s="36">
        <v>2302600170</v>
      </c>
      <c r="D171" s="36" t="s">
        <v>82</v>
      </c>
      <c r="E171" s="38">
        <v>0</v>
      </c>
      <c r="F171" s="47" t="s">
        <v>786</v>
      </c>
    </row>
    <row r="172" spans="1:6" x14ac:dyDescent="0.2">
      <c r="A172" s="33" t="s">
        <v>62</v>
      </c>
      <c r="B172" s="34" t="s">
        <v>251</v>
      </c>
      <c r="C172" s="34">
        <v>2302600171</v>
      </c>
      <c r="D172" s="34" t="s">
        <v>82</v>
      </c>
      <c r="E172" s="37">
        <v>0</v>
      </c>
      <c r="F172" s="47" t="s">
        <v>786</v>
      </c>
    </row>
    <row r="173" spans="1:6" x14ac:dyDescent="0.2">
      <c r="A173" s="35" t="s">
        <v>62</v>
      </c>
      <c r="B173" s="36" t="s">
        <v>252</v>
      </c>
      <c r="C173" s="36">
        <v>2282600172</v>
      </c>
      <c r="D173" s="36" t="s">
        <v>80</v>
      </c>
      <c r="E173" s="38">
        <v>0</v>
      </c>
      <c r="F173" s="47" t="s">
        <v>786</v>
      </c>
    </row>
    <row r="174" spans="1:6" x14ac:dyDescent="0.2">
      <c r="A174" s="33" t="s">
        <v>62</v>
      </c>
      <c r="B174" s="34" t="s">
        <v>253</v>
      </c>
      <c r="C174" s="34">
        <v>2282600173</v>
      </c>
      <c r="D174" s="34" t="s">
        <v>80</v>
      </c>
      <c r="E174" s="37">
        <v>0</v>
      </c>
      <c r="F174" s="47" t="s">
        <v>786</v>
      </c>
    </row>
    <row r="175" spans="1:6" x14ac:dyDescent="0.2">
      <c r="A175" s="35" t="s">
        <v>62</v>
      </c>
      <c r="B175" s="36" t="s">
        <v>254</v>
      </c>
      <c r="C175" s="36">
        <v>2302600174</v>
      </c>
      <c r="D175" s="36" t="s">
        <v>82</v>
      </c>
      <c r="E175" s="38">
        <v>0</v>
      </c>
      <c r="F175" s="47" t="s">
        <v>786</v>
      </c>
    </row>
    <row r="176" spans="1:6" x14ac:dyDescent="0.2">
      <c r="A176" s="33" t="s">
        <v>62</v>
      </c>
      <c r="B176" s="34" t="s">
        <v>255</v>
      </c>
      <c r="C176" s="34">
        <v>2302600175</v>
      </c>
      <c r="D176" s="34" t="s">
        <v>82</v>
      </c>
      <c r="E176" s="37">
        <v>0</v>
      </c>
      <c r="F176" s="47" t="s">
        <v>786</v>
      </c>
    </row>
    <row r="177" spans="1:6" x14ac:dyDescent="0.2">
      <c r="A177" s="35" t="s">
        <v>62</v>
      </c>
      <c r="B177" s="36" t="s">
        <v>256</v>
      </c>
      <c r="C177" s="36">
        <v>2282600176</v>
      </c>
      <c r="D177" s="36" t="s">
        <v>80</v>
      </c>
      <c r="E177" s="38">
        <v>0</v>
      </c>
      <c r="F177" s="47" t="s">
        <v>786</v>
      </c>
    </row>
    <row r="178" spans="1:6" x14ac:dyDescent="0.2">
      <c r="A178" s="33" t="s">
        <v>62</v>
      </c>
      <c r="B178" s="34" t="s">
        <v>257</v>
      </c>
      <c r="C178" s="34">
        <v>2282600177</v>
      </c>
      <c r="D178" s="34" t="s">
        <v>80</v>
      </c>
      <c r="E178" s="37">
        <v>0</v>
      </c>
      <c r="F178" s="47" t="s">
        <v>786</v>
      </c>
    </row>
    <row r="179" spans="1:6" x14ac:dyDescent="0.2">
      <c r="A179" s="35" t="s">
        <v>62</v>
      </c>
      <c r="B179" s="36" t="s">
        <v>258</v>
      </c>
      <c r="C179" s="36">
        <v>2302600178</v>
      </c>
      <c r="D179" s="36" t="s">
        <v>82</v>
      </c>
      <c r="E179" s="38">
        <v>0</v>
      </c>
      <c r="F179" s="47" t="s">
        <v>786</v>
      </c>
    </row>
    <row r="180" spans="1:6" x14ac:dyDescent="0.2">
      <c r="A180" s="33" t="s">
        <v>62</v>
      </c>
      <c r="B180" s="34" t="s">
        <v>259</v>
      </c>
      <c r="C180" s="34">
        <v>2302600179</v>
      </c>
      <c r="D180" s="34" t="s">
        <v>82</v>
      </c>
      <c r="E180" s="37">
        <v>0</v>
      </c>
      <c r="F180" s="47" t="s">
        <v>786</v>
      </c>
    </row>
    <row r="181" spans="1:6" x14ac:dyDescent="0.2">
      <c r="A181" s="35" t="s">
        <v>62</v>
      </c>
      <c r="B181" s="36" t="s">
        <v>260</v>
      </c>
      <c r="C181" s="36">
        <v>2282600180</v>
      </c>
      <c r="D181" s="36" t="s">
        <v>80</v>
      </c>
      <c r="E181" s="38">
        <v>0</v>
      </c>
      <c r="F181" s="47" t="s">
        <v>786</v>
      </c>
    </row>
    <row r="182" spans="1:6" x14ac:dyDescent="0.2">
      <c r="A182" s="33" t="s">
        <v>62</v>
      </c>
      <c r="B182" s="34" t="s">
        <v>261</v>
      </c>
      <c r="C182" s="34">
        <v>2282600181</v>
      </c>
      <c r="D182" s="34" t="s">
        <v>80</v>
      </c>
      <c r="E182" s="37">
        <v>0</v>
      </c>
      <c r="F182" s="47" t="s">
        <v>786</v>
      </c>
    </row>
    <row r="183" spans="1:6" x14ac:dyDescent="0.2">
      <c r="A183" s="35" t="s">
        <v>62</v>
      </c>
      <c r="B183" s="36" t="s">
        <v>262</v>
      </c>
      <c r="C183" s="36">
        <v>2302600182</v>
      </c>
      <c r="D183" s="36" t="s">
        <v>82</v>
      </c>
      <c r="E183" s="38">
        <v>0</v>
      </c>
      <c r="F183" s="47" t="s">
        <v>786</v>
      </c>
    </row>
    <row r="184" spans="1:6" x14ac:dyDescent="0.2">
      <c r="A184" s="33" t="s">
        <v>62</v>
      </c>
      <c r="B184" s="34" t="s">
        <v>263</v>
      </c>
      <c r="C184" s="34">
        <v>2302600183</v>
      </c>
      <c r="D184" s="34" t="s">
        <v>82</v>
      </c>
      <c r="E184" s="37">
        <v>0</v>
      </c>
      <c r="F184" s="47" t="s">
        <v>786</v>
      </c>
    </row>
    <row r="185" spans="1:6" x14ac:dyDescent="0.2">
      <c r="A185" s="35" t="s">
        <v>62</v>
      </c>
      <c r="B185" s="36" t="s">
        <v>264</v>
      </c>
      <c r="C185" s="36">
        <v>2282600184</v>
      </c>
      <c r="D185" s="36" t="s">
        <v>80</v>
      </c>
      <c r="E185" s="38">
        <v>0</v>
      </c>
      <c r="F185" s="47" t="s">
        <v>786</v>
      </c>
    </row>
    <row r="186" spans="1:6" x14ac:dyDescent="0.2">
      <c r="A186" s="33" t="s">
        <v>62</v>
      </c>
      <c r="B186" s="34" t="s">
        <v>265</v>
      </c>
      <c r="C186" s="34">
        <v>2282600185</v>
      </c>
      <c r="D186" s="34" t="s">
        <v>80</v>
      </c>
      <c r="E186" s="37">
        <v>0</v>
      </c>
      <c r="F186" s="47" t="s">
        <v>786</v>
      </c>
    </row>
    <row r="187" spans="1:6" x14ac:dyDescent="0.2">
      <c r="A187" s="35" t="s">
        <v>62</v>
      </c>
      <c r="B187" s="36" t="s">
        <v>266</v>
      </c>
      <c r="C187" s="36">
        <v>2302600186</v>
      </c>
      <c r="D187" s="36" t="s">
        <v>82</v>
      </c>
      <c r="E187" s="38">
        <v>0</v>
      </c>
      <c r="F187" s="47" t="s">
        <v>786</v>
      </c>
    </row>
    <row r="188" spans="1:6" x14ac:dyDescent="0.2">
      <c r="A188" s="33" t="s">
        <v>62</v>
      </c>
      <c r="B188" s="34" t="s">
        <v>267</v>
      </c>
      <c r="C188" s="34">
        <v>2302600187</v>
      </c>
      <c r="D188" s="34" t="s">
        <v>82</v>
      </c>
      <c r="E188" s="37">
        <v>0</v>
      </c>
      <c r="F188" s="47" t="s">
        <v>786</v>
      </c>
    </row>
    <row r="189" spans="1:6" x14ac:dyDescent="0.2">
      <c r="A189" s="35" t="s">
        <v>62</v>
      </c>
      <c r="B189" s="36" t="s">
        <v>268</v>
      </c>
      <c r="C189" s="36">
        <v>2282600188</v>
      </c>
      <c r="D189" s="36" t="s">
        <v>80</v>
      </c>
      <c r="E189" s="38">
        <v>0</v>
      </c>
      <c r="F189" s="47" t="s">
        <v>786</v>
      </c>
    </row>
    <row r="190" spans="1:6" x14ac:dyDescent="0.2">
      <c r="A190" s="33" t="s">
        <v>62</v>
      </c>
      <c r="B190" s="34" t="s">
        <v>269</v>
      </c>
      <c r="C190" s="34">
        <v>2282600189</v>
      </c>
      <c r="D190" s="34" t="s">
        <v>80</v>
      </c>
      <c r="E190" s="37">
        <v>0</v>
      </c>
      <c r="F190" s="47" t="s">
        <v>786</v>
      </c>
    </row>
    <row r="191" spans="1:6" x14ac:dyDescent="0.2">
      <c r="A191" s="35" t="s">
        <v>62</v>
      </c>
      <c r="B191" s="36" t="s">
        <v>270</v>
      </c>
      <c r="C191" s="36">
        <v>2302600190</v>
      </c>
      <c r="D191" s="36" t="s">
        <v>82</v>
      </c>
      <c r="E191" s="38">
        <v>0</v>
      </c>
      <c r="F191" s="47" t="s">
        <v>786</v>
      </c>
    </row>
    <row r="192" spans="1:6" x14ac:dyDescent="0.2">
      <c r="A192" s="33" t="s">
        <v>62</v>
      </c>
      <c r="B192" s="34" t="s">
        <v>271</v>
      </c>
      <c r="C192" s="34">
        <v>2302600191</v>
      </c>
      <c r="D192" s="34" t="s">
        <v>82</v>
      </c>
      <c r="E192" s="37">
        <v>0</v>
      </c>
      <c r="F192" s="47" t="s">
        <v>786</v>
      </c>
    </row>
    <row r="193" spans="1:6" x14ac:dyDescent="0.2">
      <c r="A193" s="35" t="s">
        <v>62</v>
      </c>
      <c r="B193" s="36" t="s">
        <v>272</v>
      </c>
      <c r="C193" s="36">
        <v>2282600192</v>
      </c>
      <c r="D193" s="36" t="s">
        <v>80</v>
      </c>
      <c r="E193" s="38">
        <v>0</v>
      </c>
      <c r="F193" s="47" t="s">
        <v>786</v>
      </c>
    </row>
    <row r="194" spans="1:6" x14ac:dyDescent="0.2">
      <c r="A194" s="33" t="s">
        <v>63</v>
      </c>
      <c r="B194" s="34" t="s">
        <v>273</v>
      </c>
      <c r="C194" s="34">
        <v>2282600193</v>
      </c>
      <c r="D194" s="34" t="s">
        <v>80</v>
      </c>
      <c r="E194" s="37">
        <v>0</v>
      </c>
      <c r="F194" s="47" t="s">
        <v>786</v>
      </c>
    </row>
    <row r="195" spans="1:6" x14ac:dyDescent="0.2">
      <c r="A195" s="35" t="s">
        <v>63</v>
      </c>
      <c r="B195" s="36" t="s">
        <v>274</v>
      </c>
      <c r="C195" s="36">
        <v>2302600194</v>
      </c>
      <c r="D195" s="36" t="s">
        <v>82</v>
      </c>
      <c r="E195" s="38">
        <v>0</v>
      </c>
      <c r="F195" s="47" t="s">
        <v>786</v>
      </c>
    </row>
    <row r="196" spans="1:6" x14ac:dyDescent="0.2">
      <c r="A196" s="33" t="s">
        <v>63</v>
      </c>
      <c r="B196" s="34" t="s">
        <v>275</v>
      </c>
      <c r="C196" s="34">
        <v>2302600195</v>
      </c>
      <c r="D196" s="34" t="s">
        <v>82</v>
      </c>
      <c r="E196" s="37">
        <v>0</v>
      </c>
      <c r="F196" s="47" t="s">
        <v>786</v>
      </c>
    </row>
    <row r="197" spans="1:6" x14ac:dyDescent="0.2">
      <c r="A197" s="35" t="s">
        <v>63</v>
      </c>
      <c r="B197" s="36" t="s">
        <v>276</v>
      </c>
      <c r="C197" s="36">
        <v>2282600196</v>
      </c>
      <c r="D197" s="36" t="s">
        <v>80</v>
      </c>
      <c r="E197" s="38">
        <v>0</v>
      </c>
      <c r="F197" s="47" t="s">
        <v>786</v>
      </c>
    </row>
    <row r="198" spans="1:6" x14ac:dyDescent="0.2">
      <c r="A198" s="33" t="s">
        <v>63</v>
      </c>
      <c r="B198" s="34" t="s">
        <v>277</v>
      </c>
      <c r="C198" s="34">
        <v>2282600197</v>
      </c>
      <c r="D198" s="34" t="s">
        <v>80</v>
      </c>
      <c r="E198" s="37">
        <v>0</v>
      </c>
      <c r="F198" s="47" t="s">
        <v>786</v>
      </c>
    </row>
    <row r="199" spans="1:6" x14ac:dyDescent="0.2">
      <c r="A199" s="35" t="s">
        <v>63</v>
      </c>
      <c r="B199" s="36" t="s">
        <v>278</v>
      </c>
      <c r="C199" s="36">
        <v>2302600198</v>
      </c>
      <c r="D199" s="36" t="s">
        <v>82</v>
      </c>
      <c r="E199" s="38">
        <v>0</v>
      </c>
      <c r="F199" s="47" t="s">
        <v>786</v>
      </c>
    </row>
    <row r="200" spans="1:6" x14ac:dyDescent="0.2">
      <c r="A200" s="33" t="s">
        <v>63</v>
      </c>
      <c r="B200" s="34" t="s">
        <v>279</v>
      </c>
      <c r="C200" s="34">
        <v>2302600199</v>
      </c>
      <c r="D200" s="34" t="s">
        <v>82</v>
      </c>
      <c r="E200" s="37">
        <v>0</v>
      </c>
      <c r="F200" s="47" t="s">
        <v>786</v>
      </c>
    </row>
    <row r="201" spans="1:6" x14ac:dyDescent="0.2">
      <c r="A201" s="35" t="s">
        <v>63</v>
      </c>
      <c r="B201" s="36" t="s">
        <v>280</v>
      </c>
      <c r="C201" s="36">
        <v>2282600200</v>
      </c>
      <c r="D201" s="36" t="s">
        <v>80</v>
      </c>
      <c r="E201" s="38">
        <v>0</v>
      </c>
      <c r="F201" s="47" t="s">
        <v>786</v>
      </c>
    </row>
    <row r="202" spans="1:6" x14ac:dyDescent="0.2">
      <c r="A202" s="33" t="s">
        <v>63</v>
      </c>
      <c r="B202" s="34" t="s">
        <v>281</v>
      </c>
      <c r="C202" s="34">
        <v>2282600201</v>
      </c>
      <c r="D202" s="34" t="s">
        <v>80</v>
      </c>
      <c r="E202" s="37">
        <v>0</v>
      </c>
      <c r="F202" s="47" t="s">
        <v>786</v>
      </c>
    </row>
    <row r="203" spans="1:6" x14ac:dyDescent="0.2">
      <c r="A203" s="35" t="s">
        <v>63</v>
      </c>
      <c r="B203" s="36" t="s">
        <v>282</v>
      </c>
      <c r="C203" s="36">
        <v>2302600202</v>
      </c>
      <c r="D203" s="36" t="s">
        <v>82</v>
      </c>
      <c r="E203" s="38">
        <v>0</v>
      </c>
      <c r="F203" s="47" t="s">
        <v>786</v>
      </c>
    </row>
    <row r="204" spans="1:6" x14ac:dyDescent="0.2">
      <c r="A204" s="33" t="s">
        <v>63</v>
      </c>
      <c r="B204" s="34" t="s">
        <v>283</v>
      </c>
      <c r="C204" s="34">
        <v>2302600203</v>
      </c>
      <c r="D204" s="34" t="s">
        <v>82</v>
      </c>
      <c r="E204" s="37">
        <v>0</v>
      </c>
      <c r="F204" s="47" t="s">
        <v>786</v>
      </c>
    </row>
    <row r="205" spans="1:6" x14ac:dyDescent="0.2">
      <c r="A205" s="35" t="s">
        <v>63</v>
      </c>
      <c r="B205" s="36" t="s">
        <v>284</v>
      </c>
      <c r="C205" s="36">
        <v>2282600204</v>
      </c>
      <c r="D205" s="36" t="s">
        <v>80</v>
      </c>
      <c r="E205" s="38">
        <v>0</v>
      </c>
      <c r="F205" s="47" t="s">
        <v>786</v>
      </c>
    </row>
    <row r="206" spans="1:6" x14ac:dyDescent="0.2">
      <c r="A206" s="33" t="s">
        <v>63</v>
      </c>
      <c r="B206" s="34" t="s">
        <v>285</v>
      </c>
      <c r="C206" s="34">
        <v>2282600205</v>
      </c>
      <c r="D206" s="34" t="s">
        <v>80</v>
      </c>
      <c r="E206" s="37">
        <v>0</v>
      </c>
      <c r="F206" s="47" t="s">
        <v>786</v>
      </c>
    </row>
    <row r="207" spans="1:6" x14ac:dyDescent="0.2">
      <c r="A207" s="35" t="s">
        <v>63</v>
      </c>
      <c r="B207" s="36" t="s">
        <v>286</v>
      </c>
      <c r="C207" s="36">
        <v>2302600206</v>
      </c>
      <c r="D207" s="36" t="s">
        <v>82</v>
      </c>
      <c r="E207" s="38">
        <v>0</v>
      </c>
      <c r="F207" s="47" t="s">
        <v>786</v>
      </c>
    </row>
    <row r="208" spans="1:6" x14ac:dyDescent="0.2">
      <c r="A208" s="33" t="s">
        <v>63</v>
      </c>
      <c r="B208" s="34" t="s">
        <v>287</v>
      </c>
      <c r="C208" s="34">
        <v>2302600207</v>
      </c>
      <c r="D208" s="34" t="s">
        <v>82</v>
      </c>
      <c r="E208" s="37">
        <v>0</v>
      </c>
      <c r="F208" s="47" t="s">
        <v>786</v>
      </c>
    </row>
    <row r="209" spans="1:6" x14ac:dyDescent="0.2">
      <c r="A209" s="35" t="s">
        <v>63</v>
      </c>
      <c r="B209" s="36" t="s">
        <v>288</v>
      </c>
      <c r="C209" s="36">
        <v>2282600208</v>
      </c>
      <c r="D209" s="36" t="s">
        <v>80</v>
      </c>
      <c r="E209" s="38">
        <v>0</v>
      </c>
      <c r="F209" s="47" t="s">
        <v>786</v>
      </c>
    </row>
    <row r="210" spans="1:6" x14ac:dyDescent="0.2">
      <c r="A210" s="33" t="s">
        <v>63</v>
      </c>
      <c r="B210" s="34" t="s">
        <v>289</v>
      </c>
      <c r="C210" s="34">
        <v>2282600209</v>
      </c>
      <c r="D210" s="34" t="s">
        <v>80</v>
      </c>
      <c r="E210" s="37">
        <v>0</v>
      </c>
      <c r="F210" s="47" t="s">
        <v>786</v>
      </c>
    </row>
    <row r="211" spans="1:6" x14ac:dyDescent="0.2">
      <c r="A211" s="35" t="s">
        <v>63</v>
      </c>
      <c r="B211" s="36" t="s">
        <v>290</v>
      </c>
      <c r="C211" s="36">
        <v>2302600210</v>
      </c>
      <c r="D211" s="36" t="s">
        <v>82</v>
      </c>
      <c r="E211" s="38">
        <v>0</v>
      </c>
      <c r="F211" s="47" t="s">
        <v>786</v>
      </c>
    </row>
    <row r="212" spans="1:6" x14ac:dyDescent="0.2">
      <c r="A212" s="33" t="s">
        <v>63</v>
      </c>
      <c r="B212" s="34" t="s">
        <v>291</v>
      </c>
      <c r="C212" s="34">
        <v>2302600211</v>
      </c>
      <c r="D212" s="34" t="s">
        <v>82</v>
      </c>
      <c r="E212" s="37">
        <v>0</v>
      </c>
      <c r="F212" s="47" t="s">
        <v>786</v>
      </c>
    </row>
    <row r="213" spans="1:6" x14ac:dyDescent="0.2">
      <c r="A213" s="35" t="s">
        <v>63</v>
      </c>
      <c r="B213" s="36" t="s">
        <v>292</v>
      </c>
      <c r="C213" s="36">
        <v>2282600212</v>
      </c>
      <c r="D213" s="36" t="s">
        <v>80</v>
      </c>
      <c r="E213" s="38">
        <v>0</v>
      </c>
      <c r="F213" s="47" t="s">
        <v>786</v>
      </c>
    </row>
    <row r="214" spans="1:6" x14ac:dyDescent="0.2">
      <c r="A214" s="33" t="s">
        <v>63</v>
      </c>
      <c r="B214" s="34" t="s">
        <v>293</v>
      </c>
      <c r="C214" s="34">
        <v>2282600213</v>
      </c>
      <c r="D214" s="34" t="s">
        <v>80</v>
      </c>
      <c r="E214" s="37">
        <v>0</v>
      </c>
      <c r="F214" s="47" t="s">
        <v>786</v>
      </c>
    </row>
    <row r="215" spans="1:6" x14ac:dyDescent="0.2">
      <c r="A215" s="35" t="s">
        <v>63</v>
      </c>
      <c r="B215" s="36" t="s">
        <v>294</v>
      </c>
      <c r="C215" s="36">
        <v>2302600214</v>
      </c>
      <c r="D215" s="36" t="s">
        <v>82</v>
      </c>
      <c r="E215" s="38">
        <v>0</v>
      </c>
      <c r="F215" s="47" t="s">
        <v>786</v>
      </c>
    </row>
    <row r="216" spans="1:6" x14ac:dyDescent="0.2">
      <c r="A216" s="33" t="s">
        <v>63</v>
      </c>
      <c r="B216" s="34" t="s">
        <v>295</v>
      </c>
      <c r="C216" s="34">
        <v>2302600215</v>
      </c>
      <c r="D216" s="34" t="s">
        <v>82</v>
      </c>
      <c r="E216" s="37">
        <v>0</v>
      </c>
      <c r="F216" s="47" t="s">
        <v>786</v>
      </c>
    </row>
    <row r="217" spans="1:6" x14ac:dyDescent="0.2">
      <c r="A217" s="35" t="s">
        <v>63</v>
      </c>
      <c r="B217" s="36" t="s">
        <v>296</v>
      </c>
      <c r="C217" s="36">
        <v>2282600216</v>
      </c>
      <c r="D217" s="36" t="s">
        <v>80</v>
      </c>
      <c r="E217" s="38">
        <v>0</v>
      </c>
      <c r="F217" s="47" t="s">
        <v>786</v>
      </c>
    </row>
    <row r="218" spans="1:6" x14ac:dyDescent="0.2">
      <c r="A218" s="33" t="s">
        <v>63</v>
      </c>
      <c r="B218" s="34" t="s">
        <v>297</v>
      </c>
      <c r="C218" s="34">
        <v>2282600217</v>
      </c>
      <c r="D218" s="34" t="s">
        <v>80</v>
      </c>
      <c r="E218" s="37">
        <v>0</v>
      </c>
      <c r="F218" s="47" t="s">
        <v>786</v>
      </c>
    </row>
    <row r="219" spans="1:6" x14ac:dyDescent="0.2">
      <c r="A219" s="35" t="s">
        <v>63</v>
      </c>
      <c r="B219" s="36" t="s">
        <v>298</v>
      </c>
      <c r="C219" s="36">
        <v>2302600218</v>
      </c>
      <c r="D219" s="36" t="s">
        <v>82</v>
      </c>
      <c r="E219" s="38">
        <v>0</v>
      </c>
      <c r="F219" s="47" t="s">
        <v>786</v>
      </c>
    </row>
    <row r="220" spans="1:6" x14ac:dyDescent="0.2">
      <c r="A220" s="33" t="s">
        <v>63</v>
      </c>
      <c r="B220" s="34" t="s">
        <v>299</v>
      </c>
      <c r="C220" s="34">
        <v>2302600219</v>
      </c>
      <c r="D220" s="34" t="s">
        <v>82</v>
      </c>
      <c r="E220" s="37">
        <v>0</v>
      </c>
      <c r="F220" s="47" t="s">
        <v>786</v>
      </c>
    </row>
    <row r="221" spans="1:6" x14ac:dyDescent="0.2">
      <c r="A221" s="35" t="s">
        <v>63</v>
      </c>
      <c r="B221" s="36" t="s">
        <v>300</v>
      </c>
      <c r="C221" s="36">
        <v>2282600220</v>
      </c>
      <c r="D221" s="36" t="s">
        <v>80</v>
      </c>
      <c r="E221" s="38">
        <v>0</v>
      </c>
      <c r="F221" s="47" t="s">
        <v>786</v>
      </c>
    </row>
    <row r="222" spans="1:6" x14ac:dyDescent="0.2">
      <c r="A222" s="33" t="s">
        <v>63</v>
      </c>
      <c r="B222" s="34" t="s">
        <v>301</v>
      </c>
      <c r="C222" s="34">
        <v>2282600221</v>
      </c>
      <c r="D222" s="34" t="s">
        <v>80</v>
      </c>
      <c r="E222" s="37">
        <v>0</v>
      </c>
      <c r="F222" s="47" t="s">
        <v>786</v>
      </c>
    </row>
    <row r="223" spans="1:6" x14ac:dyDescent="0.2">
      <c r="A223" s="35" t="s">
        <v>63</v>
      </c>
      <c r="B223" s="36" t="s">
        <v>302</v>
      </c>
      <c r="C223" s="36">
        <v>2302600222</v>
      </c>
      <c r="D223" s="36" t="s">
        <v>82</v>
      </c>
      <c r="E223" s="38">
        <v>0</v>
      </c>
      <c r="F223" s="47" t="s">
        <v>786</v>
      </c>
    </row>
    <row r="224" spans="1:6" x14ac:dyDescent="0.2">
      <c r="A224" s="33" t="s">
        <v>63</v>
      </c>
      <c r="B224" s="34" t="s">
        <v>303</v>
      </c>
      <c r="C224" s="34">
        <v>2302600223</v>
      </c>
      <c r="D224" s="34" t="s">
        <v>82</v>
      </c>
      <c r="E224" s="37">
        <v>0</v>
      </c>
      <c r="F224" s="47" t="s">
        <v>786</v>
      </c>
    </row>
    <row r="225" spans="1:6" x14ac:dyDescent="0.2">
      <c r="A225" s="35" t="s">
        <v>63</v>
      </c>
      <c r="B225" s="36" t="s">
        <v>304</v>
      </c>
      <c r="C225" s="36">
        <v>2282600224</v>
      </c>
      <c r="D225" s="36" t="s">
        <v>80</v>
      </c>
      <c r="E225" s="38">
        <v>0</v>
      </c>
      <c r="F225" s="47" t="s">
        <v>786</v>
      </c>
    </row>
    <row r="226" spans="1:6" x14ac:dyDescent="0.2">
      <c r="A226" s="33" t="s">
        <v>64</v>
      </c>
      <c r="B226" s="34" t="s">
        <v>305</v>
      </c>
      <c r="C226" s="34">
        <v>2282600225</v>
      </c>
      <c r="D226" s="34" t="s">
        <v>80</v>
      </c>
      <c r="E226" s="37">
        <v>0</v>
      </c>
      <c r="F226" s="47" t="s">
        <v>786</v>
      </c>
    </row>
    <row r="227" spans="1:6" x14ac:dyDescent="0.2">
      <c r="A227" s="35" t="s">
        <v>64</v>
      </c>
      <c r="B227" s="36" t="s">
        <v>306</v>
      </c>
      <c r="C227" s="36">
        <v>2302600226</v>
      </c>
      <c r="D227" s="36" t="s">
        <v>82</v>
      </c>
      <c r="E227" s="38">
        <v>0</v>
      </c>
      <c r="F227" s="47" t="s">
        <v>786</v>
      </c>
    </row>
    <row r="228" spans="1:6" x14ac:dyDescent="0.2">
      <c r="A228" s="33" t="s">
        <v>64</v>
      </c>
      <c r="B228" s="34" t="s">
        <v>307</v>
      </c>
      <c r="C228" s="34">
        <v>2302600227</v>
      </c>
      <c r="D228" s="34" t="s">
        <v>82</v>
      </c>
      <c r="E228" s="37">
        <v>0</v>
      </c>
      <c r="F228" s="47" t="s">
        <v>786</v>
      </c>
    </row>
    <row r="229" spans="1:6" x14ac:dyDescent="0.2">
      <c r="A229" s="35" t="s">
        <v>64</v>
      </c>
      <c r="B229" s="36" t="s">
        <v>308</v>
      </c>
      <c r="C229" s="36">
        <v>2282600228</v>
      </c>
      <c r="D229" s="36" t="s">
        <v>80</v>
      </c>
      <c r="E229" s="38">
        <v>0</v>
      </c>
      <c r="F229" s="47" t="s">
        <v>786</v>
      </c>
    </row>
    <row r="230" spans="1:6" x14ac:dyDescent="0.2">
      <c r="A230" s="33" t="s">
        <v>64</v>
      </c>
      <c r="B230" s="34" t="s">
        <v>309</v>
      </c>
      <c r="C230" s="34">
        <v>2282600229</v>
      </c>
      <c r="D230" s="34" t="s">
        <v>80</v>
      </c>
      <c r="E230" s="37">
        <v>0</v>
      </c>
      <c r="F230" s="47" t="s">
        <v>786</v>
      </c>
    </row>
    <row r="231" spans="1:6" x14ac:dyDescent="0.2">
      <c r="A231" s="35" t="s">
        <v>64</v>
      </c>
      <c r="B231" s="36" t="s">
        <v>310</v>
      </c>
      <c r="C231" s="36">
        <v>2302600230</v>
      </c>
      <c r="D231" s="36" t="s">
        <v>82</v>
      </c>
      <c r="E231" s="38">
        <v>0</v>
      </c>
      <c r="F231" s="47" t="s">
        <v>786</v>
      </c>
    </row>
    <row r="232" spans="1:6" x14ac:dyDescent="0.2">
      <c r="A232" s="33" t="s">
        <v>64</v>
      </c>
      <c r="B232" s="34" t="s">
        <v>311</v>
      </c>
      <c r="C232" s="34">
        <v>2302600231</v>
      </c>
      <c r="D232" s="34" t="s">
        <v>82</v>
      </c>
      <c r="E232" s="37">
        <v>0</v>
      </c>
      <c r="F232" s="47" t="s">
        <v>786</v>
      </c>
    </row>
    <row r="233" spans="1:6" x14ac:dyDescent="0.2">
      <c r="A233" s="35" t="s">
        <v>64</v>
      </c>
      <c r="B233" s="36" t="s">
        <v>312</v>
      </c>
      <c r="C233" s="36">
        <v>2282600232</v>
      </c>
      <c r="D233" s="36" t="s">
        <v>80</v>
      </c>
      <c r="E233" s="38">
        <v>0</v>
      </c>
      <c r="F233" s="47" t="s">
        <v>786</v>
      </c>
    </row>
    <row r="234" spans="1:6" x14ac:dyDescent="0.2">
      <c r="A234" s="33" t="s">
        <v>64</v>
      </c>
      <c r="B234" s="34" t="s">
        <v>313</v>
      </c>
      <c r="C234" s="34">
        <v>2282600233</v>
      </c>
      <c r="D234" s="34" t="s">
        <v>80</v>
      </c>
      <c r="E234" s="37">
        <v>0</v>
      </c>
      <c r="F234" s="47" t="s">
        <v>786</v>
      </c>
    </row>
    <row r="235" spans="1:6" x14ac:dyDescent="0.2">
      <c r="A235" s="35" t="s">
        <v>64</v>
      </c>
      <c r="B235" s="36" t="s">
        <v>314</v>
      </c>
      <c r="C235" s="36">
        <v>2302600234</v>
      </c>
      <c r="D235" s="36" t="s">
        <v>82</v>
      </c>
      <c r="E235" s="38">
        <v>0</v>
      </c>
      <c r="F235" s="47" t="s">
        <v>786</v>
      </c>
    </row>
    <row r="236" spans="1:6" x14ac:dyDescent="0.2">
      <c r="A236" s="33" t="s">
        <v>64</v>
      </c>
      <c r="B236" s="34" t="s">
        <v>315</v>
      </c>
      <c r="C236" s="34">
        <v>2302600235</v>
      </c>
      <c r="D236" s="34" t="s">
        <v>82</v>
      </c>
      <c r="E236" s="37">
        <v>0</v>
      </c>
      <c r="F236" s="47" t="s">
        <v>786</v>
      </c>
    </row>
    <row r="237" spans="1:6" x14ac:dyDescent="0.2">
      <c r="A237" s="35" t="s">
        <v>64</v>
      </c>
      <c r="B237" s="36" t="s">
        <v>316</v>
      </c>
      <c r="C237" s="36">
        <v>2282600236</v>
      </c>
      <c r="D237" s="36" t="s">
        <v>80</v>
      </c>
      <c r="E237" s="38">
        <v>0</v>
      </c>
      <c r="F237" s="47" t="s">
        <v>786</v>
      </c>
    </row>
    <row r="238" spans="1:6" x14ac:dyDescent="0.2">
      <c r="A238" s="33" t="s">
        <v>64</v>
      </c>
      <c r="B238" s="34" t="s">
        <v>317</v>
      </c>
      <c r="C238" s="34">
        <v>2282600237</v>
      </c>
      <c r="D238" s="34" t="s">
        <v>80</v>
      </c>
      <c r="E238" s="37">
        <v>0</v>
      </c>
      <c r="F238" s="47" t="s">
        <v>786</v>
      </c>
    </row>
    <row r="239" spans="1:6" x14ac:dyDescent="0.2">
      <c r="A239" s="35" t="s">
        <v>64</v>
      </c>
      <c r="B239" s="36" t="s">
        <v>318</v>
      </c>
      <c r="C239" s="36">
        <v>2302600238</v>
      </c>
      <c r="D239" s="36" t="s">
        <v>82</v>
      </c>
      <c r="E239" s="38">
        <v>0</v>
      </c>
      <c r="F239" s="47" t="s">
        <v>786</v>
      </c>
    </row>
    <row r="240" spans="1:6" x14ac:dyDescent="0.2">
      <c r="A240" s="33" t="s">
        <v>64</v>
      </c>
      <c r="B240" s="34" t="s">
        <v>319</v>
      </c>
      <c r="C240" s="34">
        <v>2302600239</v>
      </c>
      <c r="D240" s="34" t="s">
        <v>82</v>
      </c>
      <c r="E240" s="37">
        <v>0</v>
      </c>
      <c r="F240" s="47" t="s">
        <v>786</v>
      </c>
    </row>
    <row r="241" spans="1:6" x14ac:dyDescent="0.2">
      <c r="A241" s="35" t="s">
        <v>64</v>
      </c>
      <c r="B241" s="36" t="s">
        <v>320</v>
      </c>
      <c r="C241" s="36">
        <v>2282600240</v>
      </c>
      <c r="D241" s="36" t="s">
        <v>80</v>
      </c>
      <c r="E241" s="38">
        <v>0</v>
      </c>
      <c r="F241" s="47" t="s">
        <v>786</v>
      </c>
    </row>
    <row r="242" spans="1:6" x14ac:dyDescent="0.2">
      <c r="A242" s="33" t="s">
        <v>64</v>
      </c>
      <c r="B242" s="34" t="s">
        <v>321</v>
      </c>
      <c r="C242" s="34">
        <v>2282600241</v>
      </c>
      <c r="D242" s="34" t="s">
        <v>80</v>
      </c>
      <c r="E242" s="37">
        <v>0</v>
      </c>
      <c r="F242" s="47" t="s">
        <v>786</v>
      </c>
    </row>
    <row r="243" spans="1:6" x14ac:dyDescent="0.2">
      <c r="A243" s="35" t="s">
        <v>64</v>
      </c>
      <c r="B243" s="36" t="s">
        <v>322</v>
      </c>
      <c r="C243" s="36">
        <v>2302600242</v>
      </c>
      <c r="D243" s="36" t="s">
        <v>82</v>
      </c>
      <c r="E243" s="38">
        <v>0</v>
      </c>
      <c r="F243" s="47" t="s">
        <v>786</v>
      </c>
    </row>
    <row r="244" spans="1:6" x14ac:dyDescent="0.2">
      <c r="A244" s="33" t="s">
        <v>64</v>
      </c>
      <c r="B244" s="34" t="s">
        <v>323</v>
      </c>
      <c r="C244" s="34">
        <v>2302600243</v>
      </c>
      <c r="D244" s="34" t="s">
        <v>82</v>
      </c>
      <c r="E244" s="37">
        <v>0</v>
      </c>
      <c r="F244" s="47" t="s">
        <v>786</v>
      </c>
    </row>
    <row r="245" spans="1:6" x14ac:dyDescent="0.2">
      <c r="A245" s="35" t="s">
        <v>64</v>
      </c>
      <c r="B245" s="36" t="s">
        <v>324</v>
      </c>
      <c r="C245" s="36">
        <v>2282600244</v>
      </c>
      <c r="D245" s="36" t="s">
        <v>80</v>
      </c>
      <c r="E245" s="38">
        <v>0</v>
      </c>
      <c r="F245" s="47" t="s">
        <v>786</v>
      </c>
    </row>
    <row r="246" spans="1:6" x14ac:dyDescent="0.2">
      <c r="A246" s="33" t="s">
        <v>64</v>
      </c>
      <c r="B246" s="34" t="s">
        <v>325</v>
      </c>
      <c r="C246" s="34">
        <v>2282600245</v>
      </c>
      <c r="D246" s="34" t="s">
        <v>80</v>
      </c>
      <c r="E246" s="37">
        <v>0</v>
      </c>
      <c r="F246" s="47" t="s">
        <v>786</v>
      </c>
    </row>
    <row r="247" spans="1:6" x14ac:dyDescent="0.2">
      <c r="A247" s="35" t="s">
        <v>64</v>
      </c>
      <c r="B247" s="36" t="s">
        <v>326</v>
      </c>
      <c r="C247" s="36">
        <v>2302600246</v>
      </c>
      <c r="D247" s="36" t="s">
        <v>82</v>
      </c>
      <c r="E247" s="38">
        <v>0</v>
      </c>
      <c r="F247" s="47" t="s">
        <v>786</v>
      </c>
    </row>
    <row r="248" spans="1:6" x14ac:dyDescent="0.2">
      <c r="A248" s="33" t="s">
        <v>64</v>
      </c>
      <c r="B248" s="34" t="s">
        <v>327</v>
      </c>
      <c r="C248" s="34">
        <v>2302600247</v>
      </c>
      <c r="D248" s="34" t="s">
        <v>82</v>
      </c>
      <c r="E248" s="37">
        <v>0</v>
      </c>
      <c r="F248" s="47" t="s">
        <v>786</v>
      </c>
    </row>
    <row r="249" spans="1:6" x14ac:dyDescent="0.2">
      <c r="A249" s="35" t="s">
        <v>64</v>
      </c>
      <c r="B249" s="36" t="s">
        <v>328</v>
      </c>
      <c r="C249" s="36">
        <v>2282600248</v>
      </c>
      <c r="D249" s="36" t="s">
        <v>80</v>
      </c>
      <c r="E249" s="38">
        <v>0</v>
      </c>
      <c r="F249" s="47" t="s">
        <v>786</v>
      </c>
    </row>
    <row r="250" spans="1:6" x14ac:dyDescent="0.2">
      <c r="A250" s="33" t="s">
        <v>64</v>
      </c>
      <c r="B250" s="34" t="s">
        <v>329</v>
      </c>
      <c r="C250" s="34">
        <v>2282600249</v>
      </c>
      <c r="D250" s="34" t="s">
        <v>80</v>
      </c>
      <c r="E250" s="37">
        <v>0</v>
      </c>
      <c r="F250" s="47" t="s">
        <v>786</v>
      </c>
    </row>
    <row r="251" spans="1:6" x14ac:dyDescent="0.2">
      <c r="A251" s="35" t="s">
        <v>64</v>
      </c>
      <c r="B251" s="36" t="s">
        <v>330</v>
      </c>
      <c r="C251" s="36">
        <v>2302600250</v>
      </c>
      <c r="D251" s="36" t="s">
        <v>82</v>
      </c>
      <c r="E251" s="38">
        <v>0</v>
      </c>
      <c r="F251" s="47" t="s">
        <v>786</v>
      </c>
    </row>
    <row r="252" spans="1:6" x14ac:dyDescent="0.2">
      <c r="A252" s="33" t="s">
        <v>64</v>
      </c>
      <c r="B252" s="34" t="s">
        <v>331</v>
      </c>
      <c r="C252" s="34">
        <v>2302600251</v>
      </c>
      <c r="D252" s="34" t="s">
        <v>82</v>
      </c>
      <c r="E252" s="37">
        <v>0</v>
      </c>
      <c r="F252" s="47" t="s">
        <v>786</v>
      </c>
    </row>
    <row r="253" spans="1:6" x14ac:dyDescent="0.2">
      <c r="A253" s="35" t="s">
        <v>64</v>
      </c>
      <c r="B253" s="36" t="s">
        <v>332</v>
      </c>
      <c r="C253" s="36">
        <v>2282600252</v>
      </c>
      <c r="D253" s="36" t="s">
        <v>80</v>
      </c>
      <c r="E253" s="38">
        <v>0</v>
      </c>
      <c r="F253" s="47" t="s">
        <v>786</v>
      </c>
    </row>
    <row r="254" spans="1:6" x14ac:dyDescent="0.2">
      <c r="A254" s="33" t="s">
        <v>64</v>
      </c>
      <c r="B254" s="34" t="s">
        <v>333</v>
      </c>
      <c r="C254" s="34">
        <v>2282600253</v>
      </c>
      <c r="D254" s="34" t="s">
        <v>80</v>
      </c>
      <c r="E254" s="37">
        <v>0</v>
      </c>
      <c r="F254" s="47" t="s">
        <v>786</v>
      </c>
    </row>
    <row r="255" spans="1:6" x14ac:dyDescent="0.2">
      <c r="A255" s="35" t="s">
        <v>64</v>
      </c>
      <c r="B255" s="36" t="s">
        <v>334</v>
      </c>
      <c r="C255" s="36">
        <v>2302600254</v>
      </c>
      <c r="D255" s="36" t="s">
        <v>82</v>
      </c>
      <c r="E255" s="38">
        <v>0</v>
      </c>
      <c r="F255" s="47" t="s">
        <v>786</v>
      </c>
    </row>
    <row r="256" spans="1:6" x14ac:dyDescent="0.2">
      <c r="A256" s="33" t="s">
        <v>64</v>
      </c>
      <c r="B256" s="34" t="s">
        <v>335</v>
      </c>
      <c r="C256" s="34">
        <v>2302600255</v>
      </c>
      <c r="D256" s="34" t="s">
        <v>82</v>
      </c>
      <c r="E256" s="37">
        <v>0</v>
      </c>
      <c r="F256" s="47" t="s">
        <v>786</v>
      </c>
    </row>
    <row r="257" spans="1:6" x14ac:dyDescent="0.2">
      <c r="A257" s="35" t="s">
        <v>64</v>
      </c>
      <c r="B257" s="36" t="s">
        <v>336</v>
      </c>
      <c r="C257" s="36">
        <v>2282600256</v>
      </c>
      <c r="D257" s="36" t="s">
        <v>80</v>
      </c>
      <c r="E257" s="38">
        <v>0</v>
      </c>
      <c r="F257" s="47" t="s">
        <v>786</v>
      </c>
    </row>
    <row r="258" spans="1:6" x14ac:dyDescent="0.2">
      <c r="A258" s="33" t="s">
        <v>65</v>
      </c>
      <c r="B258" s="34" t="s">
        <v>337</v>
      </c>
      <c r="C258" s="34">
        <v>2282600257</v>
      </c>
      <c r="D258" s="34" t="s">
        <v>80</v>
      </c>
      <c r="E258" s="37">
        <v>0</v>
      </c>
      <c r="F258" s="47" t="s">
        <v>786</v>
      </c>
    </row>
    <row r="259" spans="1:6" x14ac:dyDescent="0.2">
      <c r="A259" s="35" t="s">
        <v>65</v>
      </c>
      <c r="B259" s="36" t="s">
        <v>338</v>
      </c>
      <c r="C259" s="36">
        <v>2302600258</v>
      </c>
      <c r="D259" s="36" t="s">
        <v>82</v>
      </c>
      <c r="E259" s="38">
        <v>0</v>
      </c>
      <c r="F259" s="47" t="s">
        <v>786</v>
      </c>
    </row>
    <row r="260" spans="1:6" x14ac:dyDescent="0.2">
      <c r="A260" s="33" t="s">
        <v>65</v>
      </c>
      <c r="B260" s="34" t="s">
        <v>339</v>
      </c>
      <c r="C260" s="34">
        <v>2302600259</v>
      </c>
      <c r="D260" s="34" t="s">
        <v>82</v>
      </c>
      <c r="E260" s="37">
        <v>0</v>
      </c>
      <c r="F260" s="47" t="s">
        <v>786</v>
      </c>
    </row>
    <row r="261" spans="1:6" x14ac:dyDescent="0.2">
      <c r="A261" s="35" t="s">
        <v>65</v>
      </c>
      <c r="B261" s="36" t="s">
        <v>340</v>
      </c>
      <c r="C261" s="36">
        <v>2282600260</v>
      </c>
      <c r="D261" s="36" t="s">
        <v>80</v>
      </c>
      <c r="E261" s="38">
        <v>0</v>
      </c>
      <c r="F261" s="47" t="s">
        <v>786</v>
      </c>
    </row>
    <row r="262" spans="1:6" x14ac:dyDescent="0.2">
      <c r="A262" s="33" t="s">
        <v>65</v>
      </c>
      <c r="B262" s="34" t="s">
        <v>341</v>
      </c>
      <c r="C262" s="34">
        <v>2282600261</v>
      </c>
      <c r="D262" s="34" t="s">
        <v>80</v>
      </c>
      <c r="E262" s="37">
        <v>0</v>
      </c>
      <c r="F262" s="47" t="s">
        <v>786</v>
      </c>
    </row>
    <row r="263" spans="1:6" x14ac:dyDescent="0.2">
      <c r="A263" s="35" t="s">
        <v>65</v>
      </c>
      <c r="B263" s="36" t="s">
        <v>342</v>
      </c>
      <c r="C263" s="36">
        <v>2302600262</v>
      </c>
      <c r="D263" s="36" t="s">
        <v>82</v>
      </c>
      <c r="E263" s="38">
        <v>0</v>
      </c>
      <c r="F263" s="47" t="s">
        <v>786</v>
      </c>
    </row>
    <row r="264" spans="1:6" x14ac:dyDescent="0.2">
      <c r="A264" s="33" t="s">
        <v>65</v>
      </c>
      <c r="B264" s="34" t="s">
        <v>343</v>
      </c>
      <c r="C264" s="34">
        <v>2302600263</v>
      </c>
      <c r="D264" s="34" t="s">
        <v>82</v>
      </c>
      <c r="E264" s="37">
        <v>0</v>
      </c>
      <c r="F264" s="47" t="s">
        <v>786</v>
      </c>
    </row>
    <row r="265" spans="1:6" x14ac:dyDescent="0.2">
      <c r="A265" s="35" t="s">
        <v>65</v>
      </c>
      <c r="B265" s="36" t="s">
        <v>344</v>
      </c>
      <c r="C265" s="36">
        <v>2282600264</v>
      </c>
      <c r="D265" s="36" t="s">
        <v>80</v>
      </c>
      <c r="E265" s="38">
        <v>0</v>
      </c>
      <c r="F265" s="47" t="s">
        <v>786</v>
      </c>
    </row>
    <row r="266" spans="1:6" x14ac:dyDescent="0.2">
      <c r="A266" s="33" t="s">
        <v>65</v>
      </c>
      <c r="B266" s="34" t="s">
        <v>345</v>
      </c>
      <c r="C266" s="34">
        <v>2282600265</v>
      </c>
      <c r="D266" s="34" t="s">
        <v>80</v>
      </c>
      <c r="E266" s="37">
        <v>0</v>
      </c>
      <c r="F266" s="47" t="s">
        <v>786</v>
      </c>
    </row>
    <row r="267" spans="1:6" x14ac:dyDescent="0.2">
      <c r="A267" s="35" t="s">
        <v>65</v>
      </c>
      <c r="B267" s="36" t="s">
        <v>346</v>
      </c>
      <c r="C267" s="36">
        <v>2302600266</v>
      </c>
      <c r="D267" s="36" t="s">
        <v>82</v>
      </c>
      <c r="E267" s="38">
        <v>0</v>
      </c>
      <c r="F267" s="47" t="s">
        <v>786</v>
      </c>
    </row>
    <row r="268" spans="1:6" x14ac:dyDescent="0.2">
      <c r="A268" s="33" t="s">
        <v>65</v>
      </c>
      <c r="B268" s="34" t="s">
        <v>347</v>
      </c>
      <c r="C268" s="34">
        <v>2302600267</v>
      </c>
      <c r="D268" s="34" t="s">
        <v>82</v>
      </c>
      <c r="E268" s="37">
        <v>0</v>
      </c>
      <c r="F268" s="47" t="s">
        <v>786</v>
      </c>
    </row>
    <row r="269" spans="1:6" x14ac:dyDescent="0.2">
      <c r="A269" s="35" t="s">
        <v>65</v>
      </c>
      <c r="B269" s="36" t="s">
        <v>348</v>
      </c>
      <c r="C269" s="36">
        <v>2282600268</v>
      </c>
      <c r="D269" s="36" t="s">
        <v>80</v>
      </c>
      <c r="E269" s="38">
        <v>0</v>
      </c>
      <c r="F269" s="47" t="s">
        <v>786</v>
      </c>
    </row>
    <row r="270" spans="1:6" x14ac:dyDescent="0.2">
      <c r="A270" s="33" t="s">
        <v>65</v>
      </c>
      <c r="B270" s="34" t="s">
        <v>349</v>
      </c>
      <c r="C270" s="34">
        <v>2282600269</v>
      </c>
      <c r="D270" s="34" t="s">
        <v>80</v>
      </c>
      <c r="E270" s="37">
        <v>0</v>
      </c>
      <c r="F270" s="47" t="s">
        <v>786</v>
      </c>
    </row>
    <row r="271" spans="1:6" x14ac:dyDescent="0.2">
      <c r="A271" s="35" t="s">
        <v>65</v>
      </c>
      <c r="B271" s="36" t="s">
        <v>350</v>
      </c>
      <c r="C271" s="36">
        <v>2302600270</v>
      </c>
      <c r="D271" s="36" t="s">
        <v>82</v>
      </c>
      <c r="E271" s="38">
        <v>0</v>
      </c>
      <c r="F271" s="47" t="s">
        <v>786</v>
      </c>
    </row>
    <row r="272" spans="1:6" x14ac:dyDescent="0.2">
      <c r="A272" s="33" t="s">
        <v>65</v>
      </c>
      <c r="B272" s="34" t="s">
        <v>351</v>
      </c>
      <c r="C272" s="34">
        <v>2302600271</v>
      </c>
      <c r="D272" s="34" t="s">
        <v>82</v>
      </c>
      <c r="E272" s="37">
        <v>0</v>
      </c>
      <c r="F272" s="47" t="s">
        <v>786</v>
      </c>
    </row>
    <row r="273" spans="1:6" x14ac:dyDescent="0.2">
      <c r="A273" s="35" t="s">
        <v>65</v>
      </c>
      <c r="B273" s="36" t="s">
        <v>352</v>
      </c>
      <c r="C273" s="36">
        <v>2282600272</v>
      </c>
      <c r="D273" s="36" t="s">
        <v>80</v>
      </c>
      <c r="E273" s="38">
        <v>0</v>
      </c>
      <c r="F273" s="47" t="s">
        <v>786</v>
      </c>
    </row>
    <row r="274" spans="1:6" x14ac:dyDescent="0.2">
      <c r="A274" s="33" t="s">
        <v>65</v>
      </c>
      <c r="B274" s="34" t="s">
        <v>353</v>
      </c>
      <c r="C274" s="34">
        <v>2282600273</v>
      </c>
      <c r="D274" s="34" t="s">
        <v>80</v>
      </c>
      <c r="E274" s="37">
        <v>0</v>
      </c>
      <c r="F274" s="47" t="s">
        <v>786</v>
      </c>
    </row>
    <row r="275" spans="1:6" x14ac:dyDescent="0.2">
      <c r="A275" s="35" t="s">
        <v>65</v>
      </c>
      <c r="B275" s="36" t="s">
        <v>354</v>
      </c>
      <c r="C275" s="36">
        <v>2302600274</v>
      </c>
      <c r="D275" s="36" t="s">
        <v>82</v>
      </c>
      <c r="E275" s="38">
        <v>0</v>
      </c>
      <c r="F275" s="47" t="s">
        <v>786</v>
      </c>
    </row>
    <row r="276" spans="1:6" x14ac:dyDescent="0.2">
      <c r="A276" s="33" t="s">
        <v>65</v>
      </c>
      <c r="B276" s="34" t="s">
        <v>355</v>
      </c>
      <c r="C276" s="34">
        <v>2302600275</v>
      </c>
      <c r="D276" s="34" t="s">
        <v>82</v>
      </c>
      <c r="E276" s="37">
        <v>0</v>
      </c>
      <c r="F276" s="47" t="s">
        <v>786</v>
      </c>
    </row>
    <row r="277" spans="1:6" x14ac:dyDescent="0.2">
      <c r="A277" s="35" t="s">
        <v>65</v>
      </c>
      <c r="B277" s="36" t="s">
        <v>356</v>
      </c>
      <c r="C277" s="36">
        <v>2282600276</v>
      </c>
      <c r="D277" s="36" t="s">
        <v>80</v>
      </c>
      <c r="E277" s="38">
        <v>0</v>
      </c>
      <c r="F277" s="47" t="s">
        <v>786</v>
      </c>
    </row>
    <row r="278" spans="1:6" x14ac:dyDescent="0.2">
      <c r="A278" s="33" t="s">
        <v>65</v>
      </c>
      <c r="B278" s="34" t="s">
        <v>357</v>
      </c>
      <c r="C278" s="34">
        <v>2282600277</v>
      </c>
      <c r="D278" s="34" t="s">
        <v>80</v>
      </c>
      <c r="E278" s="37">
        <v>0</v>
      </c>
      <c r="F278" s="47" t="s">
        <v>786</v>
      </c>
    </row>
    <row r="279" spans="1:6" x14ac:dyDescent="0.2">
      <c r="A279" s="35" t="s">
        <v>65</v>
      </c>
      <c r="B279" s="36" t="s">
        <v>358</v>
      </c>
      <c r="C279" s="36">
        <v>2302600278</v>
      </c>
      <c r="D279" s="36" t="s">
        <v>82</v>
      </c>
      <c r="E279" s="38">
        <v>0</v>
      </c>
      <c r="F279" s="47" t="s">
        <v>786</v>
      </c>
    </row>
    <row r="280" spans="1:6" x14ac:dyDescent="0.2">
      <c r="A280" s="33" t="s">
        <v>65</v>
      </c>
      <c r="B280" s="34" t="s">
        <v>359</v>
      </c>
      <c r="C280" s="34">
        <v>2302600279</v>
      </c>
      <c r="D280" s="34" t="s">
        <v>82</v>
      </c>
      <c r="E280" s="37">
        <v>0</v>
      </c>
      <c r="F280" s="47" t="s">
        <v>786</v>
      </c>
    </row>
    <row r="281" spans="1:6" x14ac:dyDescent="0.2">
      <c r="A281" s="35" t="s">
        <v>65</v>
      </c>
      <c r="B281" s="36" t="s">
        <v>360</v>
      </c>
      <c r="C281" s="36">
        <v>2282600280</v>
      </c>
      <c r="D281" s="36" t="s">
        <v>80</v>
      </c>
      <c r="E281" s="38">
        <v>0</v>
      </c>
      <c r="F281" s="47" t="s">
        <v>786</v>
      </c>
    </row>
    <row r="282" spans="1:6" x14ac:dyDescent="0.2">
      <c r="A282" s="33" t="s">
        <v>65</v>
      </c>
      <c r="B282" s="34" t="s">
        <v>361</v>
      </c>
      <c r="C282" s="34">
        <v>2282600281</v>
      </c>
      <c r="D282" s="34" t="s">
        <v>80</v>
      </c>
      <c r="E282" s="37">
        <v>0</v>
      </c>
      <c r="F282" s="47" t="s">
        <v>786</v>
      </c>
    </row>
    <row r="283" spans="1:6" x14ac:dyDescent="0.2">
      <c r="A283" s="35" t="s">
        <v>65</v>
      </c>
      <c r="B283" s="36" t="s">
        <v>362</v>
      </c>
      <c r="C283" s="36">
        <v>2302600282</v>
      </c>
      <c r="D283" s="36" t="s">
        <v>82</v>
      </c>
      <c r="E283" s="38">
        <v>0</v>
      </c>
      <c r="F283" s="47" t="s">
        <v>786</v>
      </c>
    </row>
    <row r="284" spans="1:6" x14ac:dyDescent="0.2">
      <c r="A284" s="33" t="s">
        <v>65</v>
      </c>
      <c r="B284" s="34" t="s">
        <v>363</v>
      </c>
      <c r="C284" s="34">
        <v>2302600283</v>
      </c>
      <c r="D284" s="34" t="s">
        <v>82</v>
      </c>
      <c r="E284" s="37">
        <v>0</v>
      </c>
      <c r="F284" s="47" t="s">
        <v>786</v>
      </c>
    </row>
    <row r="285" spans="1:6" x14ac:dyDescent="0.2">
      <c r="A285" s="35" t="s">
        <v>65</v>
      </c>
      <c r="B285" s="36" t="s">
        <v>364</v>
      </c>
      <c r="C285" s="36">
        <v>2282600284</v>
      </c>
      <c r="D285" s="36" t="s">
        <v>80</v>
      </c>
      <c r="E285" s="38">
        <v>0</v>
      </c>
      <c r="F285" s="47" t="s">
        <v>786</v>
      </c>
    </row>
    <row r="286" spans="1:6" x14ac:dyDescent="0.2">
      <c r="A286" s="33" t="s">
        <v>65</v>
      </c>
      <c r="B286" s="34" t="s">
        <v>365</v>
      </c>
      <c r="C286" s="34">
        <v>2282600285</v>
      </c>
      <c r="D286" s="34" t="s">
        <v>80</v>
      </c>
      <c r="E286" s="37">
        <v>0</v>
      </c>
      <c r="F286" s="47" t="s">
        <v>786</v>
      </c>
    </row>
    <row r="287" spans="1:6" x14ac:dyDescent="0.2">
      <c r="A287" s="35" t="s">
        <v>65</v>
      </c>
      <c r="B287" s="36" t="s">
        <v>366</v>
      </c>
      <c r="C287" s="36">
        <v>2302600286</v>
      </c>
      <c r="D287" s="36" t="s">
        <v>82</v>
      </c>
      <c r="E287" s="38">
        <v>0</v>
      </c>
      <c r="F287" s="47" t="s">
        <v>786</v>
      </c>
    </row>
    <row r="288" spans="1:6" x14ac:dyDescent="0.2">
      <c r="A288" s="33" t="s">
        <v>65</v>
      </c>
      <c r="B288" s="34" t="s">
        <v>367</v>
      </c>
      <c r="C288" s="34">
        <v>2302600287</v>
      </c>
      <c r="D288" s="34" t="s">
        <v>82</v>
      </c>
      <c r="E288" s="37">
        <v>0</v>
      </c>
      <c r="F288" s="47" t="s">
        <v>786</v>
      </c>
    </row>
    <row r="289" spans="1:6" x14ac:dyDescent="0.2">
      <c r="A289" s="35" t="s">
        <v>65</v>
      </c>
      <c r="B289" s="36" t="s">
        <v>368</v>
      </c>
      <c r="C289" s="36">
        <v>2282600288</v>
      </c>
      <c r="D289" s="36" t="s">
        <v>80</v>
      </c>
      <c r="E289" s="38">
        <v>0</v>
      </c>
      <c r="F289" s="47" t="s">
        <v>786</v>
      </c>
    </row>
    <row r="290" spans="1:6" x14ac:dyDescent="0.2">
      <c r="A290" s="33" t="s">
        <v>66</v>
      </c>
      <c r="B290" s="34" t="s">
        <v>369</v>
      </c>
      <c r="C290" s="34">
        <v>2282600289</v>
      </c>
      <c r="D290" s="34" t="s">
        <v>80</v>
      </c>
      <c r="E290" s="37">
        <v>0</v>
      </c>
      <c r="F290" s="47" t="s">
        <v>786</v>
      </c>
    </row>
    <row r="291" spans="1:6" x14ac:dyDescent="0.2">
      <c r="A291" s="35" t="s">
        <v>66</v>
      </c>
      <c r="B291" s="36" t="s">
        <v>370</v>
      </c>
      <c r="C291" s="36">
        <v>2302600290</v>
      </c>
      <c r="D291" s="36" t="s">
        <v>82</v>
      </c>
      <c r="E291" s="38">
        <v>0</v>
      </c>
      <c r="F291" s="47" t="s">
        <v>786</v>
      </c>
    </row>
    <row r="292" spans="1:6" x14ac:dyDescent="0.2">
      <c r="A292" s="33" t="s">
        <v>66</v>
      </c>
      <c r="B292" s="34" t="s">
        <v>371</v>
      </c>
      <c r="C292" s="34">
        <v>2302600291</v>
      </c>
      <c r="D292" s="34" t="s">
        <v>82</v>
      </c>
      <c r="E292" s="37">
        <v>0</v>
      </c>
      <c r="F292" s="47" t="s">
        <v>786</v>
      </c>
    </row>
    <row r="293" spans="1:6" x14ac:dyDescent="0.2">
      <c r="A293" s="35" t="s">
        <v>66</v>
      </c>
      <c r="B293" s="36" t="s">
        <v>372</v>
      </c>
      <c r="C293" s="36">
        <v>2282600292</v>
      </c>
      <c r="D293" s="36" t="s">
        <v>80</v>
      </c>
      <c r="E293" s="38">
        <v>0</v>
      </c>
      <c r="F293" s="47" t="s">
        <v>786</v>
      </c>
    </row>
    <row r="294" spans="1:6" x14ac:dyDescent="0.2">
      <c r="A294" s="33" t="s">
        <v>66</v>
      </c>
      <c r="B294" s="34" t="s">
        <v>373</v>
      </c>
      <c r="C294" s="34">
        <v>2282600293</v>
      </c>
      <c r="D294" s="34" t="s">
        <v>80</v>
      </c>
      <c r="E294" s="37">
        <v>0</v>
      </c>
      <c r="F294" s="47" t="s">
        <v>786</v>
      </c>
    </row>
    <row r="295" spans="1:6" x14ac:dyDescent="0.2">
      <c r="A295" s="35" t="s">
        <v>66</v>
      </c>
      <c r="B295" s="36" t="s">
        <v>374</v>
      </c>
      <c r="C295" s="36">
        <v>2302600294</v>
      </c>
      <c r="D295" s="36" t="s">
        <v>82</v>
      </c>
      <c r="E295" s="38">
        <v>0</v>
      </c>
      <c r="F295" s="47" t="s">
        <v>786</v>
      </c>
    </row>
    <row r="296" spans="1:6" x14ac:dyDescent="0.2">
      <c r="A296" s="33" t="s">
        <v>66</v>
      </c>
      <c r="B296" s="34" t="s">
        <v>375</v>
      </c>
      <c r="C296" s="34">
        <v>2302600295</v>
      </c>
      <c r="D296" s="34" t="s">
        <v>82</v>
      </c>
      <c r="E296" s="37">
        <v>0</v>
      </c>
      <c r="F296" s="47" t="s">
        <v>786</v>
      </c>
    </row>
    <row r="297" spans="1:6" x14ac:dyDescent="0.2">
      <c r="A297" s="35" t="s">
        <v>66</v>
      </c>
      <c r="B297" s="36" t="s">
        <v>376</v>
      </c>
      <c r="C297" s="36">
        <v>2282600296</v>
      </c>
      <c r="D297" s="36" t="s">
        <v>80</v>
      </c>
      <c r="E297" s="38">
        <v>0</v>
      </c>
      <c r="F297" s="47" t="s">
        <v>786</v>
      </c>
    </row>
    <row r="298" spans="1:6" x14ac:dyDescent="0.2">
      <c r="A298" s="33" t="s">
        <v>66</v>
      </c>
      <c r="B298" s="34" t="s">
        <v>377</v>
      </c>
      <c r="C298" s="34">
        <v>2282600297</v>
      </c>
      <c r="D298" s="34" t="s">
        <v>80</v>
      </c>
      <c r="E298" s="37">
        <v>0</v>
      </c>
      <c r="F298" s="47" t="s">
        <v>786</v>
      </c>
    </row>
    <row r="299" spans="1:6" x14ac:dyDescent="0.2">
      <c r="A299" s="35" t="s">
        <v>66</v>
      </c>
      <c r="B299" s="36" t="s">
        <v>378</v>
      </c>
      <c r="C299" s="36">
        <v>2302600298</v>
      </c>
      <c r="D299" s="36" t="s">
        <v>82</v>
      </c>
      <c r="E299" s="38">
        <v>0</v>
      </c>
      <c r="F299" s="47" t="s">
        <v>786</v>
      </c>
    </row>
    <row r="300" spans="1:6" x14ac:dyDescent="0.2">
      <c r="A300" s="33" t="s">
        <v>66</v>
      </c>
      <c r="B300" s="34" t="s">
        <v>379</v>
      </c>
      <c r="C300" s="34">
        <v>2302600299</v>
      </c>
      <c r="D300" s="34" t="s">
        <v>82</v>
      </c>
      <c r="E300" s="37">
        <v>0</v>
      </c>
      <c r="F300" s="47" t="s">
        <v>786</v>
      </c>
    </row>
    <row r="301" spans="1:6" x14ac:dyDescent="0.2">
      <c r="A301" s="35" t="s">
        <v>66</v>
      </c>
      <c r="B301" s="36" t="s">
        <v>380</v>
      </c>
      <c r="C301" s="36">
        <v>2282600300</v>
      </c>
      <c r="D301" s="36" t="s">
        <v>80</v>
      </c>
      <c r="E301" s="38">
        <v>0</v>
      </c>
      <c r="F301" s="47" t="s">
        <v>786</v>
      </c>
    </row>
    <row r="302" spans="1:6" x14ac:dyDescent="0.2">
      <c r="A302" s="33" t="s">
        <v>66</v>
      </c>
      <c r="B302" s="34" t="s">
        <v>381</v>
      </c>
      <c r="C302" s="34">
        <v>2282600301</v>
      </c>
      <c r="D302" s="34" t="s">
        <v>80</v>
      </c>
      <c r="E302" s="37">
        <v>0</v>
      </c>
      <c r="F302" s="47" t="s">
        <v>786</v>
      </c>
    </row>
    <row r="303" spans="1:6" x14ac:dyDescent="0.2">
      <c r="A303" s="35" t="s">
        <v>66</v>
      </c>
      <c r="B303" s="36" t="s">
        <v>382</v>
      </c>
      <c r="C303" s="36">
        <v>2302600302</v>
      </c>
      <c r="D303" s="36" t="s">
        <v>82</v>
      </c>
      <c r="E303" s="38">
        <v>0</v>
      </c>
      <c r="F303" s="47" t="s">
        <v>786</v>
      </c>
    </row>
    <row r="304" spans="1:6" x14ac:dyDescent="0.2">
      <c r="A304" s="33" t="s">
        <v>66</v>
      </c>
      <c r="B304" s="34" t="s">
        <v>383</v>
      </c>
      <c r="C304" s="34">
        <v>2302600303</v>
      </c>
      <c r="D304" s="34" t="s">
        <v>82</v>
      </c>
      <c r="E304" s="37">
        <v>0</v>
      </c>
      <c r="F304" s="47" t="s">
        <v>786</v>
      </c>
    </row>
    <row r="305" spans="1:6" x14ac:dyDescent="0.2">
      <c r="A305" s="35" t="s">
        <v>66</v>
      </c>
      <c r="B305" s="36" t="s">
        <v>384</v>
      </c>
      <c r="C305" s="36">
        <v>2282600304</v>
      </c>
      <c r="D305" s="36" t="s">
        <v>80</v>
      </c>
      <c r="E305" s="38">
        <v>0</v>
      </c>
      <c r="F305" s="47" t="s">
        <v>786</v>
      </c>
    </row>
    <row r="306" spans="1:6" x14ac:dyDescent="0.2">
      <c r="A306" s="33" t="s">
        <v>66</v>
      </c>
      <c r="B306" s="34" t="s">
        <v>385</v>
      </c>
      <c r="C306" s="34">
        <v>2282600305</v>
      </c>
      <c r="D306" s="34" t="s">
        <v>80</v>
      </c>
      <c r="E306" s="37">
        <v>0</v>
      </c>
      <c r="F306" s="47" t="s">
        <v>786</v>
      </c>
    </row>
    <row r="307" spans="1:6" x14ac:dyDescent="0.2">
      <c r="A307" s="35" t="s">
        <v>66</v>
      </c>
      <c r="B307" s="36" t="s">
        <v>386</v>
      </c>
      <c r="C307" s="36">
        <v>2302600306</v>
      </c>
      <c r="D307" s="36" t="s">
        <v>82</v>
      </c>
      <c r="E307" s="38">
        <v>0</v>
      </c>
      <c r="F307" s="47" t="s">
        <v>786</v>
      </c>
    </row>
    <row r="308" spans="1:6" x14ac:dyDescent="0.2">
      <c r="A308" s="33" t="s">
        <v>66</v>
      </c>
      <c r="B308" s="34" t="s">
        <v>387</v>
      </c>
      <c r="C308" s="34">
        <v>2302600307</v>
      </c>
      <c r="D308" s="34" t="s">
        <v>82</v>
      </c>
      <c r="E308" s="37">
        <v>0</v>
      </c>
      <c r="F308" s="47" t="s">
        <v>786</v>
      </c>
    </row>
    <row r="309" spans="1:6" x14ac:dyDescent="0.2">
      <c r="A309" s="35" t="s">
        <v>66</v>
      </c>
      <c r="B309" s="36" t="s">
        <v>388</v>
      </c>
      <c r="C309" s="36">
        <v>2282600308</v>
      </c>
      <c r="D309" s="36" t="s">
        <v>80</v>
      </c>
      <c r="E309" s="38">
        <v>0</v>
      </c>
      <c r="F309" s="47" t="s">
        <v>786</v>
      </c>
    </row>
    <row r="310" spans="1:6" x14ac:dyDescent="0.2">
      <c r="A310" s="33" t="s">
        <v>66</v>
      </c>
      <c r="B310" s="34" t="s">
        <v>389</v>
      </c>
      <c r="C310" s="34">
        <v>2282600309</v>
      </c>
      <c r="D310" s="34" t="s">
        <v>80</v>
      </c>
      <c r="E310" s="37">
        <v>0</v>
      </c>
      <c r="F310" s="47" t="s">
        <v>786</v>
      </c>
    </row>
    <row r="311" spans="1:6" x14ac:dyDescent="0.2">
      <c r="A311" s="35" t="s">
        <v>66</v>
      </c>
      <c r="B311" s="36" t="s">
        <v>390</v>
      </c>
      <c r="C311" s="36">
        <v>2302600310</v>
      </c>
      <c r="D311" s="36" t="s">
        <v>82</v>
      </c>
      <c r="E311" s="38">
        <v>0</v>
      </c>
      <c r="F311" s="47" t="s">
        <v>786</v>
      </c>
    </row>
    <row r="312" spans="1:6" x14ac:dyDescent="0.2">
      <c r="A312" s="33" t="s">
        <v>66</v>
      </c>
      <c r="B312" s="34" t="s">
        <v>391</v>
      </c>
      <c r="C312" s="34">
        <v>2302600311</v>
      </c>
      <c r="D312" s="34" t="s">
        <v>82</v>
      </c>
      <c r="E312" s="37">
        <v>0</v>
      </c>
      <c r="F312" s="47" t="s">
        <v>786</v>
      </c>
    </row>
    <row r="313" spans="1:6" x14ac:dyDescent="0.2">
      <c r="A313" s="35" t="s">
        <v>66</v>
      </c>
      <c r="B313" s="36" t="s">
        <v>392</v>
      </c>
      <c r="C313" s="36">
        <v>2282600312</v>
      </c>
      <c r="D313" s="36" t="s">
        <v>80</v>
      </c>
      <c r="E313" s="38">
        <v>0</v>
      </c>
      <c r="F313" s="47" t="s">
        <v>786</v>
      </c>
    </row>
    <row r="314" spans="1:6" x14ac:dyDescent="0.2">
      <c r="A314" s="33" t="s">
        <v>66</v>
      </c>
      <c r="B314" s="34" t="s">
        <v>393</v>
      </c>
      <c r="C314" s="34">
        <v>2282600313</v>
      </c>
      <c r="D314" s="34" t="s">
        <v>80</v>
      </c>
      <c r="E314" s="37">
        <v>0</v>
      </c>
      <c r="F314" s="47" t="s">
        <v>786</v>
      </c>
    </row>
    <row r="315" spans="1:6" x14ac:dyDescent="0.2">
      <c r="A315" s="35" t="s">
        <v>66</v>
      </c>
      <c r="B315" s="36" t="s">
        <v>394</v>
      </c>
      <c r="C315" s="36">
        <v>2302600314</v>
      </c>
      <c r="D315" s="36" t="s">
        <v>82</v>
      </c>
      <c r="E315" s="38">
        <v>0</v>
      </c>
      <c r="F315" s="47" t="s">
        <v>786</v>
      </c>
    </row>
    <row r="316" spans="1:6" x14ac:dyDescent="0.2">
      <c r="A316" s="33" t="s">
        <v>66</v>
      </c>
      <c r="B316" s="34" t="s">
        <v>395</v>
      </c>
      <c r="C316" s="34">
        <v>2302600315</v>
      </c>
      <c r="D316" s="34" t="s">
        <v>82</v>
      </c>
      <c r="E316" s="37">
        <v>0</v>
      </c>
      <c r="F316" s="47" t="s">
        <v>786</v>
      </c>
    </row>
    <row r="317" spans="1:6" x14ac:dyDescent="0.2">
      <c r="A317" s="35" t="s">
        <v>66</v>
      </c>
      <c r="B317" s="36" t="s">
        <v>396</v>
      </c>
      <c r="C317" s="36">
        <v>2282600316</v>
      </c>
      <c r="D317" s="36" t="s">
        <v>80</v>
      </c>
      <c r="E317" s="38">
        <v>0</v>
      </c>
      <c r="F317" s="47" t="s">
        <v>786</v>
      </c>
    </row>
    <row r="318" spans="1:6" x14ac:dyDescent="0.2">
      <c r="A318" s="33" t="s">
        <v>66</v>
      </c>
      <c r="B318" s="34" t="s">
        <v>397</v>
      </c>
      <c r="C318" s="34">
        <v>2282600317</v>
      </c>
      <c r="D318" s="34" t="s">
        <v>80</v>
      </c>
      <c r="E318" s="37">
        <v>0</v>
      </c>
      <c r="F318" s="47" t="s">
        <v>786</v>
      </c>
    </row>
    <row r="319" spans="1:6" x14ac:dyDescent="0.2">
      <c r="A319" s="35" t="s">
        <v>66</v>
      </c>
      <c r="B319" s="36" t="s">
        <v>398</v>
      </c>
      <c r="C319" s="36">
        <v>2302600318</v>
      </c>
      <c r="D319" s="36" t="s">
        <v>82</v>
      </c>
      <c r="E319" s="38">
        <v>0</v>
      </c>
      <c r="F319" s="47" t="s">
        <v>786</v>
      </c>
    </row>
    <row r="320" spans="1:6" x14ac:dyDescent="0.2">
      <c r="A320" s="33" t="s">
        <v>66</v>
      </c>
      <c r="B320" s="34" t="s">
        <v>399</v>
      </c>
      <c r="C320" s="34">
        <v>2302600319</v>
      </c>
      <c r="D320" s="34" t="s">
        <v>82</v>
      </c>
      <c r="E320" s="37">
        <v>0</v>
      </c>
      <c r="F320" s="47" t="s">
        <v>786</v>
      </c>
    </row>
    <row r="321" spans="1:6" x14ac:dyDescent="0.2">
      <c r="A321" s="35" t="s">
        <v>66</v>
      </c>
      <c r="B321" s="36" t="s">
        <v>400</v>
      </c>
      <c r="C321" s="36">
        <v>2282600320</v>
      </c>
      <c r="D321" s="36" t="s">
        <v>80</v>
      </c>
      <c r="E321" s="38">
        <v>0</v>
      </c>
      <c r="F321" s="47" t="s">
        <v>786</v>
      </c>
    </row>
    <row r="322" spans="1:6" x14ac:dyDescent="0.2">
      <c r="A322" s="33" t="s">
        <v>67</v>
      </c>
      <c r="B322" s="34" t="s">
        <v>401</v>
      </c>
      <c r="C322" s="34">
        <v>2282600321</v>
      </c>
      <c r="D322" s="34" t="s">
        <v>80</v>
      </c>
      <c r="E322" s="37">
        <v>0</v>
      </c>
      <c r="F322" s="47" t="s">
        <v>786</v>
      </c>
    </row>
    <row r="323" spans="1:6" x14ac:dyDescent="0.2">
      <c r="A323" s="35" t="s">
        <v>67</v>
      </c>
      <c r="B323" s="36" t="s">
        <v>402</v>
      </c>
      <c r="C323" s="36">
        <v>2302600322</v>
      </c>
      <c r="D323" s="36" t="s">
        <v>82</v>
      </c>
      <c r="E323" s="38">
        <v>0</v>
      </c>
      <c r="F323" s="47" t="s">
        <v>786</v>
      </c>
    </row>
    <row r="324" spans="1:6" x14ac:dyDescent="0.2">
      <c r="A324" s="33" t="s">
        <v>67</v>
      </c>
      <c r="B324" s="34" t="s">
        <v>403</v>
      </c>
      <c r="C324" s="34">
        <v>2302600323</v>
      </c>
      <c r="D324" s="34" t="s">
        <v>82</v>
      </c>
      <c r="E324" s="37">
        <v>0</v>
      </c>
      <c r="F324" s="47" t="s">
        <v>786</v>
      </c>
    </row>
    <row r="325" spans="1:6" x14ac:dyDescent="0.2">
      <c r="A325" s="35" t="s">
        <v>67</v>
      </c>
      <c r="B325" s="36" t="s">
        <v>404</v>
      </c>
      <c r="C325" s="36">
        <v>2282600324</v>
      </c>
      <c r="D325" s="36" t="s">
        <v>80</v>
      </c>
      <c r="E325" s="38">
        <v>0</v>
      </c>
      <c r="F325" s="47" t="s">
        <v>786</v>
      </c>
    </row>
    <row r="326" spans="1:6" x14ac:dyDescent="0.2">
      <c r="A326" s="33" t="s">
        <v>67</v>
      </c>
      <c r="B326" s="34" t="s">
        <v>405</v>
      </c>
      <c r="C326" s="34">
        <v>2282600325</v>
      </c>
      <c r="D326" s="34" t="s">
        <v>80</v>
      </c>
      <c r="E326" s="37">
        <v>0</v>
      </c>
      <c r="F326" s="47" t="s">
        <v>786</v>
      </c>
    </row>
    <row r="327" spans="1:6" x14ac:dyDescent="0.2">
      <c r="A327" s="35" t="s">
        <v>67</v>
      </c>
      <c r="B327" s="36" t="s">
        <v>406</v>
      </c>
      <c r="C327" s="36">
        <v>2302600326</v>
      </c>
      <c r="D327" s="36" t="s">
        <v>82</v>
      </c>
      <c r="E327" s="38">
        <v>0</v>
      </c>
      <c r="F327" s="47" t="s">
        <v>786</v>
      </c>
    </row>
    <row r="328" spans="1:6" x14ac:dyDescent="0.2">
      <c r="A328" s="33" t="s">
        <v>67</v>
      </c>
      <c r="B328" s="34" t="s">
        <v>407</v>
      </c>
      <c r="C328" s="34">
        <v>2302600327</v>
      </c>
      <c r="D328" s="34" t="s">
        <v>82</v>
      </c>
      <c r="E328" s="37">
        <v>0</v>
      </c>
      <c r="F328" s="47" t="s">
        <v>786</v>
      </c>
    </row>
    <row r="329" spans="1:6" x14ac:dyDescent="0.2">
      <c r="A329" s="35" t="s">
        <v>67</v>
      </c>
      <c r="B329" s="36" t="s">
        <v>408</v>
      </c>
      <c r="C329" s="36">
        <v>2282600328</v>
      </c>
      <c r="D329" s="36" t="s">
        <v>80</v>
      </c>
      <c r="E329" s="38">
        <v>0</v>
      </c>
      <c r="F329" s="47" t="s">
        <v>786</v>
      </c>
    </row>
    <row r="330" spans="1:6" x14ac:dyDescent="0.2">
      <c r="A330" s="33" t="s">
        <v>67</v>
      </c>
      <c r="B330" s="34" t="s">
        <v>409</v>
      </c>
      <c r="C330" s="34">
        <v>2282600329</v>
      </c>
      <c r="D330" s="34" t="s">
        <v>80</v>
      </c>
      <c r="E330" s="37">
        <v>0</v>
      </c>
      <c r="F330" s="47" t="s">
        <v>786</v>
      </c>
    </row>
    <row r="331" spans="1:6" x14ac:dyDescent="0.2">
      <c r="A331" s="35" t="s">
        <v>67</v>
      </c>
      <c r="B331" s="36" t="s">
        <v>410</v>
      </c>
      <c r="C331" s="36">
        <v>2302600330</v>
      </c>
      <c r="D331" s="36" t="s">
        <v>82</v>
      </c>
      <c r="E331" s="38">
        <v>0</v>
      </c>
      <c r="F331" s="47" t="s">
        <v>786</v>
      </c>
    </row>
    <row r="332" spans="1:6" x14ac:dyDescent="0.2">
      <c r="A332" s="33" t="s">
        <v>67</v>
      </c>
      <c r="B332" s="34" t="s">
        <v>411</v>
      </c>
      <c r="C332" s="34">
        <v>2302600331</v>
      </c>
      <c r="D332" s="34" t="s">
        <v>82</v>
      </c>
      <c r="E332" s="37">
        <v>0</v>
      </c>
      <c r="F332" s="47" t="s">
        <v>786</v>
      </c>
    </row>
    <row r="333" spans="1:6" x14ac:dyDescent="0.2">
      <c r="A333" s="35" t="s">
        <v>67</v>
      </c>
      <c r="B333" s="36" t="s">
        <v>412</v>
      </c>
      <c r="C333" s="36">
        <v>2282600332</v>
      </c>
      <c r="D333" s="36" t="s">
        <v>80</v>
      </c>
      <c r="E333" s="38">
        <v>0</v>
      </c>
      <c r="F333" s="47" t="s">
        <v>786</v>
      </c>
    </row>
    <row r="334" spans="1:6" x14ac:dyDescent="0.2">
      <c r="A334" s="33" t="s">
        <v>67</v>
      </c>
      <c r="B334" s="34" t="s">
        <v>413</v>
      </c>
      <c r="C334" s="34">
        <v>2282600333</v>
      </c>
      <c r="D334" s="34" t="s">
        <v>80</v>
      </c>
      <c r="E334" s="37">
        <v>0</v>
      </c>
      <c r="F334" s="47" t="s">
        <v>786</v>
      </c>
    </row>
    <row r="335" spans="1:6" x14ac:dyDescent="0.2">
      <c r="A335" s="35" t="s">
        <v>67</v>
      </c>
      <c r="B335" s="36" t="s">
        <v>414</v>
      </c>
      <c r="C335" s="36">
        <v>2302600334</v>
      </c>
      <c r="D335" s="36" t="s">
        <v>82</v>
      </c>
      <c r="E335" s="38">
        <v>0</v>
      </c>
      <c r="F335" s="47" t="s">
        <v>786</v>
      </c>
    </row>
    <row r="336" spans="1:6" x14ac:dyDescent="0.2">
      <c r="A336" s="33" t="s">
        <v>67</v>
      </c>
      <c r="B336" s="34" t="s">
        <v>415</v>
      </c>
      <c r="C336" s="34">
        <v>2302600335</v>
      </c>
      <c r="D336" s="34" t="s">
        <v>82</v>
      </c>
      <c r="E336" s="37">
        <v>0</v>
      </c>
      <c r="F336" s="47" t="s">
        <v>786</v>
      </c>
    </row>
    <row r="337" spans="1:6" x14ac:dyDescent="0.2">
      <c r="A337" s="35" t="s">
        <v>67</v>
      </c>
      <c r="B337" s="36" t="s">
        <v>416</v>
      </c>
      <c r="C337" s="36">
        <v>2282600336</v>
      </c>
      <c r="D337" s="36" t="s">
        <v>80</v>
      </c>
      <c r="E337" s="38">
        <v>0</v>
      </c>
      <c r="F337" s="47" t="s">
        <v>786</v>
      </c>
    </row>
    <row r="338" spans="1:6" x14ac:dyDescent="0.2">
      <c r="A338" s="33" t="s">
        <v>67</v>
      </c>
      <c r="B338" s="34" t="s">
        <v>417</v>
      </c>
      <c r="C338" s="34">
        <v>2282600337</v>
      </c>
      <c r="D338" s="34" t="s">
        <v>80</v>
      </c>
      <c r="E338" s="37">
        <v>0</v>
      </c>
      <c r="F338" s="47" t="s">
        <v>786</v>
      </c>
    </row>
    <row r="339" spans="1:6" x14ac:dyDescent="0.2">
      <c r="A339" s="35" t="s">
        <v>67</v>
      </c>
      <c r="B339" s="36" t="s">
        <v>418</v>
      </c>
      <c r="C339" s="36">
        <v>2302600338</v>
      </c>
      <c r="D339" s="36" t="s">
        <v>82</v>
      </c>
      <c r="E339" s="38">
        <v>0</v>
      </c>
      <c r="F339" s="47" t="s">
        <v>786</v>
      </c>
    </row>
    <row r="340" spans="1:6" x14ac:dyDescent="0.2">
      <c r="A340" s="33" t="s">
        <v>67</v>
      </c>
      <c r="B340" s="34" t="s">
        <v>419</v>
      </c>
      <c r="C340" s="34">
        <v>2302600339</v>
      </c>
      <c r="D340" s="34" t="s">
        <v>82</v>
      </c>
      <c r="E340" s="37">
        <v>0</v>
      </c>
      <c r="F340" s="47" t="s">
        <v>786</v>
      </c>
    </row>
    <row r="341" spans="1:6" x14ac:dyDescent="0.2">
      <c r="A341" s="35" t="s">
        <v>67</v>
      </c>
      <c r="B341" s="36" t="s">
        <v>420</v>
      </c>
      <c r="C341" s="36">
        <v>2282600340</v>
      </c>
      <c r="D341" s="36" t="s">
        <v>80</v>
      </c>
      <c r="E341" s="38">
        <v>0</v>
      </c>
      <c r="F341" s="47" t="s">
        <v>786</v>
      </c>
    </row>
    <row r="342" spans="1:6" x14ac:dyDescent="0.2">
      <c r="A342" s="33" t="s">
        <v>67</v>
      </c>
      <c r="B342" s="34" t="s">
        <v>421</v>
      </c>
      <c r="C342" s="34">
        <v>2282600341</v>
      </c>
      <c r="D342" s="34" t="s">
        <v>80</v>
      </c>
      <c r="E342" s="37">
        <v>0</v>
      </c>
      <c r="F342" s="47" t="s">
        <v>786</v>
      </c>
    </row>
    <row r="343" spans="1:6" x14ac:dyDescent="0.2">
      <c r="A343" s="35" t="s">
        <v>67</v>
      </c>
      <c r="B343" s="36" t="s">
        <v>422</v>
      </c>
      <c r="C343" s="36">
        <v>2302600342</v>
      </c>
      <c r="D343" s="36" t="s">
        <v>82</v>
      </c>
      <c r="E343" s="38">
        <v>0</v>
      </c>
      <c r="F343" s="47" t="s">
        <v>786</v>
      </c>
    </row>
    <row r="344" spans="1:6" x14ac:dyDescent="0.2">
      <c r="A344" s="33" t="s">
        <v>67</v>
      </c>
      <c r="B344" s="34" t="s">
        <v>423</v>
      </c>
      <c r="C344" s="34">
        <v>2302600343</v>
      </c>
      <c r="D344" s="34" t="s">
        <v>82</v>
      </c>
      <c r="E344" s="37">
        <v>0</v>
      </c>
      <c r="F344" s="47" t="s">
        <v>786</v>
      </c>
    </row>
    <row r="345" spans="1:6" x14ac:dyDescent="0.2">
      <c r="A345" s="35" t="s">
        <v>67</v>
      </c>
      <c r="B345" s="36" t="s">
        <v>424</v>
      </c>
      <c r="C345" s="36">
        <v>2282600344</v>
      </c>
      <c r="D345" s="36" t="s">
        <v>80</v>
      </c>
      <c r="E345" s="38">
        <v>0</v>
      </c>
      <c r="F345" s="47" t="s">
        <v>786</v>
      </c>
    </row>
    <row r="346" spans="1:6" x14ac:dyDescent="0.2">
      <c r="A346" s="33" t="s">
        <v>67</v>
      </c>
      <c r="B346" s="34" t="s">
        <v>425</v>
      </c>
      <c r="C346" s="34">
        <v>2282600345</v>
      </c>
      <c r="D346" s="34" t="s">
        <v>80</v>
      </c>
      <c r="E346" s="37">
        <v>0</v>
      </c>
      <c r="F346" s="47" t="s">
        <v>786</v>
      </c>
    </row>
    <row r="347" spans="1:6" x14ac:dyDescent="0.2">
      <c r="A347" s="35" t="s">
        <v>67</v>
      </c>
      <c r="B347" s="36" t="s">
        <v>426</v>
      </c>
      <c r="C347" s="36">
        <v>2302600346</v>
      </c>
      <c r="D347" s="36" t="s">
        <v>82</v>
      </c>
      <c r="E347" s="38">
        <v>0</v>
      </c>
      <c r="F347" s="47" t="s">
        <v>786</v>
      </c>
    </row>
    <row r="348" spans="1:6" x14ac:dyDescent="0.2">
      <c r="A348" s="33" t="s">
        <v>67</v>
      </c>
      <c r="B348" s="34" t="s">
        <v>427</v>
      </c>
      <c r="C348" s="34">
        <v>2302600347</v>
      </c>
      <c r="D348" s="34" t="s">
        <v>82</v>
      </c>
      <c r="E348" s="37">
        <v>0</v>
      </c>
      <c r="F348" s="47" t="s">
        <v>786</v>
      </c>
    </row>
    <row r="349" spans="1:6" x14ac:dyDescent="0.2">
      <c r="A349" s="35" t="s">
        <v>67</v>
      </c>
      <c r="B349" s="36" t="s">
        <v>428</v>
      </c>
      <c r="C349" s="36">
        <v>2282600348</v>
      </c>
      <c r="D349" s="36" t="s">
        <v>80</v>
      </c>
      <c r="E349" s="38">
        <v>0</v>
      </c>
      <c r="F349" s="47" t="s">
        <v>786</v>
      </c>
    </row>
    <row r="350" spans="1:6" x14ac:dyDescent="0.2">
      <c r="A350" s="33" t="s">
        <v>67</v>
      </c>
      <c r="B350" s="34" t="s">
        <v>429</v>
      </c>
      <c r="C350" s="34">
        <v>2282600349</v>
      </c>
      <c r="D350" s="34" t="s">
        <v>80</v>
      </c>
      <c r="E350" s="37">
        <v>0</v>
      </c>
      <c r="F350" s="47" t="s">
        <v>786</v>
      </c>
    </row>
    <row r="351" spans="1:6" x14ac:dyDescent="0.2">
      <c r="A351" s="35" t="s">
        <v>67</v>
      </c>
      <c r="B351" s="36" t="s">
        <v>430</v>
      </c>
      <c r="C351" s="36">
        <v>2302600350</v>
      </c>
      <c r="D351" s="36" t="s">
        <v>82</v>
      </c>
      <c r="E351" s="38">
        <v>0</v>
      </c>
      <c r="F351" s="47" t="s">
        <v>786</v>
      </c>
    </row>
    <row r="352" spans="1:6" x14ac:dyDescent="0.2">
      <c r="A352" s="33" t="s">
        <v>67</v>
      </c>
      <c r="B352" s="34" t="s">
        <v>431</v>
      </c>
      <c r="C352" s="34">
        <v>2302600351</v>
      </c>
      <c r="D352" s="34" t="s">
        <v>82</v>
      </c>
      <c r="E352" s="37">
        <v>0</v>
      </c>
      <c r="F352" s="47" t="s">
        <v>786</v>
      </c>
    </row>
    <row r="353" spans="1:6" x14ac:dyDescent="0.2">
      <c r="A353" s="35" t="s">
        <v>67</v>
      </c>
      <c r="B353" s="36" t="s">
        <v>432</v>
      </c>
      <c r="C353" s="36">
        <v>2282600352</v>
      </c>
      <c r="D353" s="36" t="s">
        <v>80</v>
      </c>
      <c r="E353" s="38">
        <v>0</v>
      </c>
      <c r="F353" s="47" t="s">
        <v>786</v>
      </c>
    </row>
    <row r="354" spans="1:6" x14ac:dyDescent="0.2">
      <c r="A354" s="33" t="s">
        <v>68</v>
      </c>
      <c r="B354" s="34" t="s">
        <v>433</v>
      </c>
      <c r="C354" s="34">
        <v>2282600353</v>
      </c>
      <c r="D354" s="34" t="s">
        <v>80</v>
      </c>
      <c r="E354" s="37">
        <v>0</v>
      </c>
      <c r="F354" s="47" t="s">
        <v>786</v>
      </c>
    </row>
    <row r="355" spans="1:6" x14ac:dyDescent="0.2">
      <c r="A355" s="35" t="s">
        <v>68</v>
      </c>
      <c r="B355" s="36" t="s">
        <v>434</v>
      </c>
      <c r="C355" s="36">
        <v>2302600354</v>
      </c>
      <c r="D355" s="36" t="s">
        <v>82</v>
      </c>
      <c r="E355" s="38">
        <v>0</v>
      </c>
      <c r="F355" s="47" t="s">
        <v>786</v>
      </c>
    </row>
    <row r="356" spans="1:6" x14ac:dyDescent="0.2">
      <c r="A356" s="33" t="s">
        <v>68</v>
      </c>
      <c r="B356" s="34" t="s">
        <v>435</v>
      </c>
      <c r="C356" s="34">
        <v>2302600355</v>
      </c>
      <c r="D356" s="34" t="s">
        <v>82</v>
      </c>
      <c r="E356" s="37">
        <v>0</v>
      </c>
      <c r="F356" s="47" t="s">
        <v>786</v>
      </c>
    </row>
    <row r="357" spans="1:6" x14ac:dyDescent="0.2">
      <c r="A357" s="35" t="s">
        <v>68</v>
      </c>
      <c r="B357" s="36" t="s">
        <v>436</v>
      </c>
      <c r="C357" s="36">
        <v>2282600356</v>
      </c>
      <c r="D357" s="36" t="s">
        <v>80</v>
      </c>
      <c r="E357" s="38">
        <v>0</v>
      </c>
      <c r="F357" s="47" t="s">
        <v>786</v>
      </c>
    </row>
    <row r="358" spans="1:6" x14ac:dyDescent="0.2">
      <c r="A358" s="33" t="s">
        <v>68</v>
      </c>
      <c r="B358" s="34" t="s">
        <v>437</v>
      </c>
      <c r="C358" s="34">
        <v>2282600357</v>
      </c>
      <c r="D358" s="34" t="s">
        <v>80</v>
      </c>
      <c r="E358" s="37">
        <v>0</v>
      </c>
      <c r="F358" s="47" t="s">
        <v>786</v>
      </c>
    </row>
    <row r="359" spans="1:6" x14ac:dyDescent="0.2">
      <c r="A359" s="35" t="s">
        <v>68</v>
      </c>
      <c r="B359" s="36" t="s">
        <v>438</v>
      </c>
      <c r="C359" s="36">
        <v>2302600358</v>
      </c>
      <c r="D359" s="36" t="s">
        <v>82</v>
      </c>
      <c r="E359" s="38">
        <v>0</v>
      </c>
      <c r="F359" s="47" t="s">
        <v>786</v>
      </c>
    </row>
    <row r="360" spans="1:6" x14ac:dyDescent="0.2">
      <c r="A360" s="33" t="s">
        <v>68</v>
      </c>
      <c r="B360" s="34" t="s">
        <v>439</v>
      </c>
      <c r="C360" s="34">
        <v>2302600359</v>
      </c>
      <c r="D360" s="34" t="s">
        <v>82</v>
      </c>
      <c r="E360" s="37">
        <v>0</v>
      </c>
      <c r="F360" s="47" t="s">
        <v>786</v>
      </c>
    </row>
    <row r="361" spans="1:6" x14ac:dyDescent="0.2">
      <c r="A361" s="35" t="s">
        <v>68</v>
      </c>
      <c r="B361" s="36" t="s">
        <v>440</v>
      </c>
      <c r="C361" s="36">
        <v>2282600360</v>
      </c>
      <c r="D361" s="36" t="s">
        <v>80</v>
      </c>
      <c r="E361" s="38">
        <v>0</v>
      </c>
      <c r="F361" s="47" t="s">
        <v>786</v>
      </c>
    </row>
    <row r="362" spans="1:6" x14ac:dyDescent="0.2">
      <c r="A362" s="33" t="s">
        <v>68</v>
      </c>
      <c r="B362" s="34" t="s">
        <v>441</v>
      </c>
      <c r="C362" s="34">
        <v>2282600361</v>
      </c>
      <c r="D362" s="34" t="s">
        <v>80</v>
      </c>
      <c r="E362" s="37">
        <v>0</v>
      </c>
      <c r="F362" s="47" t="s">
        <v>786</v>
      </c>
    </row>
    <row r="363" spans="1:6" x14ac:dyDescent="0.2">
      <c r="A363" s="35" t="s">
        <v>68</v>
      </c>
      <c r="B363" s="36" t="s">
        <v>442</v>
      </c>
      <c r="C363" s="36">
        <v>2302600362</v>
      </c>
      <c r="D363" s="36" t="s">
        <v>82</v>
      </c>
      <c r="E363" s="38">
        <v>0</v>
      </c>
      <c r="F363" s="47" t="s">
        <v>786</v>
      </c>
    </row>
    <row r="364" spans="1:6" x14ac:dyDescent="0.2">
      <c r="A364" s="33" t="s">
        <v>68</v>
      </c>
      <c r="B364" s="34" t="s">
        <v>443</v>
      </c>
      <c r="C364" s="34">
        <v>2302600363</v>
      </c>
      <c r="D364" s="34" t="s">
        <v>82</v>
      </c>
      <c r="E364" s="37">
        <v>0</v>
      </c>
      <c r="F364" s="47" t="s">
        <v>786</v>
      </c>
    </row>
    <row r="365" spans="1:6" x14ac:dyDescent="0.2">
      <c r="A365" s="35" t="s">
        <v>68</v>
      </c>
      <c r="B365" s="36" t="s">
        <v>444</v>
      </c>
      <c r="C365" s="36">
        <v>2282600364</v>
      </c>
      <c r="D365" s="36" t="s">
        <v>80</v>
      </c>
      <c r="E365" s="38">
        <v>0</v>
      </c>
      <c r="F365" s="47" t="s">
        <v>786</v>
      </c>
    </row>
    <row r="366" spans="1:6" x14ac:dyDescent="0.2">
      <c r="A366" s="33" t="s">
        <v>68</v>
      </c>
      <c r="B366" s="34" t="s">
        <v>445</v>
      </c>
      <c r="C366" s="34">
        <v>2282600365</v>
      </c>
      <c r="D366" s="34" t="s">
        <v>80</v>
      </c>
      <c r="E366" s="37">
        <v>0</v>
      </c>
      <c r="F366" s="47" t="s">
        <v>786</v>
      </c>
    </row>
    <row r="367" spans="1:6" x14ac:dyDescent="0.2">
      <c r="A367" s="35" t="s">
        <v>68</v>
      </c>
      <c r="B367" s="36" t="s">
        <v>446</v>
      </c>
      <c r="C367" s="36">
        <v>2302600366</v>
      </c>
      <c r="D367" s="36" t="s">
        <v>82</v>
      </c>
      <c r="E367" s="38">
        <v>0</v>
      </c>
      <c r="F367" s="47" t="s">
        <v>786</v>
      </c>
    </row>
    <row r="368" spans="1:6" x14ac:dyDescent="0.2">
      <c r="A368" s="33" t="s">
        <v>68</v>
      </c>
      <c r="B368" s="34" t="s">
        <v>447</v>
      </c>
      <c r="C368" s="34">
        <v>2302600367</v>
      </c>
      <c r="D368" s="34" t="s">
        <v>82</v>
      </c>
      <c r="E368" s="37">
        <v>0</v>
      </c>
      <c r="F368" s="47" t="s">
        <v>786</v>
      </c>
    </row>
    <row r="369" spans="1:6" x14ac:dyDescent="0.2">
      <c r="A369" s="35" t="s">
        <v>68</v>
      </c>
      <c r="B369" s="36" t="s">
        <v>448</v>
      </c>
      <c r="C369" s="36">
        <v>2282600368</v>
      </c>
      <c r="D369" s="36" t="s">
        <v>80</v>
      </c>
      <c r="E369" s="38">
        <v>0</v>
      </c>
      <c r="F369" s="47" t="s">
        <v>786</v>
      </c>
    </row>
    <row r="370" spans="1:6" x14ac:dyDescent="0.2">
      <c r="A370" s="33" t="s">
        <v>68</v>
      </c>
      <c r="B370" s="34" t="s">
        <v>449</v>
      </c>
      <c r="C370" s="34">
        <v>2282600369</v>
      </c>
      <c r="D370" s="34" t="s">
        <v>80</v>
      </c>
      <c r="E370" s="37">
        <v>0</v>
      </c>
      <c r="F370" s="47" t="s">
        <v>786</v>
      </c>
    </row>
    <row r="371" spans="1:6" x14ac:dyDescent="0.2">
      <c r="A371" s="35" t="s">
        <v>68</v>
      </c>
      <c r="B371" s="36" t="s">
        <v>450</v>
      </c>
      <c r="C371" s="36">
        <v>2302600370</v>
      </c>
      <c r="D371" s="36" t="s">
        <v>82</v>
      </c>
      <c r="E371" s="38">
        <v>0</v>
      </c>
      <c r="F371" s="47" t="s">
        <v>786</v>
      </c>
    </row>
    <row r="372" spans="1:6" x14ac:dyDescent="0.2">
      <c r="A372" s="33" t="s">
        <v>68</v>
      </c>
      <c r="B372" s="34" t="s">
        <v>451</v>
      </c>
      <c r="C372" s="34">
        <v>2302600371</v>
      </c>
      <c r="D372" s="34" t="s">
        <v>82</v>
      </c>
      <c r="E372" s="37">
        <v>0</v>
      </c>
      <c r="F372" s="47" t="s">
        <v>786</v>
      </c>
    </row>
    <row r="373" spans="1:6" x14ac:dyDescent="0.2">
      <c r="A373" s="35" t="s">
        <v>68</v>
      </c>
      <c r="B373" s="36" t="s">
        <v>452</v>
      </c>
      <c r="C373" s="36">
        <v>2282600372</v>
      </c>
      <c r="D373" s="36" t="s">
        <v>80</v>
      </c>
      <c r="E373" s="38">
        <v>0</v>
      </c>
      <c r="F373" s="47" t="s">
        <v>786</v>
      </c>
    </row>
    <row r="374" spans="1:6" x14ac:dyDescent="0.2">
      <c r="A374" s="33" t="s">
        <v>68</v>
      </c>
      <c r="B374" s="34" t="s">
        <v>453</v>
      </c>
      <c r="C374" s="34">
        <v>2282600373</v>
      </c>
      <c r="D374" s="34" t="s">
        <v>80</v>
      </c>
      <c r="E374" s="37">
        <v>0</v>
      </c>
      <c r="F374" s="47" t="s">
        <v>786</v>
      </c>
    </row>
    <row r="375" spans="1:6" x14ac:dyDescent="0.2">
      <c r="A375" s="35" t="s">
        <v>68</v>
      </c>
      <c r="B375" s="36" t="s">
        <v>454</v>
      </c>
      <c r="C375" s="36">
        <v>2302600374</v>
      </c>
      <c r="D375" s="36" t="s">
        <v>82</v>
      </c>
      <c r="E375" s="38">
        <v>0</v>
      </c>
      <c r="F375" s="47" t="s">
        <v>786</v>
      </c>
    </row>
    <row r="376" spans="1:6" x14ac:dyDescent="0.2">
      <c r="A376" s="33" t="s">
        <v>68</v>
      </c>
      <c r="B376" s="34" t="s">
        <v>455</v>
      </c>
      <c r="C376" s="34">
        <v>2302600375</v>
      </c>
      <c r="D376" s="34" t="s">
        <v>82</v>
      </c>
      <c r="E376" s="37">
        <v>0</v>
      </c>
      <c r="F376" s="47" t="s">
        <v>786</v>
      </c>
    </row>
    <row r="377" spans="1:6" x14ac:dyDescent="0.2">
      <c r="A377" s="35" t="s">
        <v>68</v>
      </c>
      <c r="B377" s="36" t="s">
        <v>456</v>
      </c>
      <c r="C377" s="36">
        <v>2282600376</v>
      </c>
      <c r="D377" s="36" t="s">
        <v>80</v>
      </c>
      <c r="E377" s="38">
        <v>0</v>
      </c>
      <c r="F377" s="47" t="s">
        <v>786</v>
      </c>
    </row>
    <row r="378" spans="1:6" x14ac:dyDescent="0.2">
      <c r="A378" s="33" t="s">
        <v>68</v>
      </c>
      <c r="B378" s="34" t="s">
        <v>457</v>
      </c>
      <c r="C378" s="34">
        <v>2282600377</v>
      </c>
      <c r="D378" s="34" t="s">
        <v>80</v>
      </c>
      <c r="E378" s="37">
        <v>0</v>
      </c>
      <c r="F378" s="47" t="s">
        <v>786</v>
      </c>
    </row>
    <row r="379" spans="1:6" x14ac:dyDescent="0.2">
      <c r="A379" s="35" t="s">
        <v>68</v>
      </c>
      <c r="B379" s="36" t="s">
        <v>458</v>
      </c>
      <c r="C379" s="36">
        <v>2302600378</v>
      </c>
      <c r="D379" s="36" t="s">
        <v>82</v>
      </c>
      <c r="E379" s="38">
        <v>0</v>
      </c>
      <c r="F379" s="47" t="s">
        <v>786</v>
      </c>
    </row>
    <row r="380" spans="1:6" x14ac:dyDescent="0.2">
      <c r="A380" s="33" t="s">
        <v>68</v>
      </c>
      <c r="B380" s="34" t="s">
        <v>459</v>
      </c>
      <c r="C380" s="34">
        <v>2302600379</v>
      </c>
      <c r="D380" s="34" t="s">
        <v>82</v>
      </c>
      <c r="E380" s="37">
        <v>0</v>
      </c>
      <c r="F380" s="47" t="s">
        <v>786</v>
      </c>
    </row>
    <row r="381" spans="1:6" x14ac:dyDescent="0.2">
      <c r="A381" s="35" t="s">
        <v>68</v>
      </c>
      <c r="B381" s="36" t="s">
        <v>460</v>
      </c>
      <c r="C381" s="36">
        <v>2282600380</v>
      </c>
      <c r="D381" s="36" t="s">
        <v>80</v>
      </c>
      <c r="E381" s="38">
        <v>0</v>
      </c>
      <c r="F381" s="47" t="s">
        <v>786</v>
      </c>
    </row>
    <row r="382" spans="1:6" x14ac:dyDescent="0.2">
      <c r="A382" s="33" t="s">
        <v>68</v>
      </c>
      <c r="B382" s="34" t="s">
        <v>461</v>
      </c>
      <c r="C382" s="34">
        <v>2282600381</v>
      </c>
      <c r="D382" s="34" t="s">
        <v>80</v>
      </c>
      <c r="E382" s="37">
        <v>0</v>
      </c>
      <c r="F382" s="47" t="s">
        <v>786</v>
      </c>
    </row>
    <row r="383" spans="1:6" x14ac:dyDescent="0.2">
      <c r="A383" s="35" t="s">
        <v>68</v>
      </c>
      <c r="B383" s="36" t="s">
        <v>462</v>
      </c>
      <c r="C383" s="36">
        <v>2302600382</v>
      </c>
      <c r="D383" s="36" t="s">
        <v>82</v>
      </c>
      <c r="E383" s="38">
        <v>0</v>
      </c>
      <c r="F383" s="47" t="s">
        <v>786</v>
      </c>
    </row>
    <row r="384" spans="1:6" x14ac:dyDescent="0.2">
      <c r="A384" s="33" t="s">
        <v>68</v>
      </c>
      <c r="B384" s="34" t="s">
        <v>463</v>
      </c>
      <c r="C384" s="34">
        <v>2302600383</v>
      </c>
      <c r="D384" s="34" t="s">
        <v>82</v>
      </c>
      <c r="E384" s="37">
        <v>0</v>
      </c>
      <c r="F384" s="47" t="s">
        <v>786</v>
      </c>
    </row>
    <row r="385" spans="1:6" x14ac:dyDescent="0.2">
      <c r="A385" s="35" t="s">
        <v>68</v>
      </c>
      <c r="B385" s="36" t="s">
        <v>464</v>
      </c>
      <c r="C385" s="36">
        <v>2282600384</v>
      </c>
      <c r="D385" s="36" t="s">
        <v>80</v>
      </c>
      <c r="E385" s="38">
        <v>0</v>
      </c>
      <c r="F385" s="47" t="s">
        <v>786</v>
      </c>
    </row>
    <row r="386" spans="1:6" x14ac:dyDescent="0.2">
      <c r="A386" s="33" t="s">
        <v>69</v>
      </c>
      <c r="B386" s="34" t="s">
        <v>465</v>
      </c>
      <c r="C386" s="34">
        <v>2282600385</v>
      </c>
      <c r="D386" s="34" t="s">
        <v>80</v>
      </c>
      <c r="E386" s="37">
        <v>0</v>
      </c>
      <c r="F386" s="47" t="s">
        <v>786</v>
      </c>
    </row>
    <row r="387" spans="1:6" x14ac:dyDescent="0.2">
      <c r="A387" s="35" t="s">
        <v>69</v>
      </c>
      <c r="B387" s="36" t="s">
        <v>466</v>
      </c>
      <c r="C387" s="36">
        <v>2302600386</v>
      </c>
      <c r="D387" s="36" t="s">
        <v>82</v>
      </c>
      <c r="E387" s="38">
        <v>0</v>
      </c>
      <c r="F387" s="47" t="s">
        <v>786</v>
      </c>
    </row>
    <row r="388" spans="1:6" x14ac:dyDescent="0.2">
      <c r="A388" s="33" t="s">
        <v>69</v>
      </c>
      <c r="B388" s="34" t="s">
        <v>467</v>
      </c>
      <c r="C388" s="34">
        <v>2302600387</v>
      </c>
      <c r="D388" s="34" t="s">
        <v>82</v>
      </c>
      <c r="E388" s="37">
        <v>0</v>
      </c>
      <c r="F388" s="47" t="s">
        <v>786</v>
      </c>
    </row>
    <row r="389" spans="1:6" x14ac:dyDescent="0.2">
      <c r="A389" s="35" t="s">
        <v>69</v>
      </c>
      <c r="B389" s="36" t="s">
        <v>468</v>
      </c>
      <c r="C389" s="36">
        <v>2282600388</v>
      </c>
      <c r="D389" s="36" t="s">
        <v>80</v>
      </c>
      <c r="E389" s="38">
        <v>0</v>
      </c>
      <c r="F389" s="47" t="s">
        <v>786</v>
      </c>
    </row>
    <row r="390" spans="1:6" x14ac:dyDescent="0.2">
      <c r="A390" s="33" t="s">
        <v>69</v>
      </c>
      <c r="B390" s="34" t="s">
        <v>469</v>
      </c>
      <c r="C390" s="34">
        <v>2282600389</v>
      </c>
      <c r="D390" s="34" t="s">
        <v>80</v>
      </c>
      <c r="E390" s="37">
        <v>0</v>
      </c>
      <c r="F390" s="47" t="s">
        <v>786</v>
      </c>
    </row>
    <row r="391" spans="1:6" x14ac:dyDescent="0.2">
      <c r="A391" s="35" t="s">
        <v>69</v>
      </c>
      <c r="B391" s="36" t="s">
        <v>470</v>
      </c>
      <c r="C391" s="36">
        <v>2302600390</v>
      </c>
      <c r="D391" s="36" t="s">
        <v>82</v>
      </c>
      <c r="E391" s="38">
        <v>0</v>
      </c>
      <c r="F391" s="47" t="s">
        <v>786</v>
      </c>
    </row>
    <row r="392" spans="1:6" x14ac:dyDescent="0.2">
      <c r="A392" s="33" t="s">
        <v>69</v>
      </c>
      <c r="B392" s="34" t="s">
        <v>471</v>
      </c>
      <c r="C392" s="34">
        <v>2302600391</v>
      </c>
      <c r="D392" s="34" t="s">
        <v>82</v>
      </c>
      <c r="E392" s="37">
        <v>0</v>
      </c>
      <c r="F392" s="47" t="s">
        <v>786</v>
      </c>
    </row>
    <row r="393" spans="1:6" x14ac:dyDescent="0.2">
      <c r="A393" s="35" t="s">
        <v>69</v>
      </c>
      <c r="B393" s="36" t="s">
        <v>472</v>
      </c>
      <c r="C393" s="36">
        <v>2282600392</v>
      </c>
      <c r="D393" s="36" t="s">
        <v>80</v>
      </c>
      <c r="E393" s="38">
        <v>0</v>
      </c>
      <c r="F393" s="47" t="s">
        <v>786</v>
      </c>
    </row>
    <row r="394" spans="1:6" x14ac:dyDescent="0.2">
      <c r="A394" s="33" t="s">
        <v>69</v>
      </c>
      <c r="B394" s="34" t="s">
        <v>473</v>
      </c>
      <c r="C394" s="34">
        <v>2282600393</v>
      </c>
      <c r="D394" s="34" t="s">
        <v>80</v>
      </c>
      <c r="E394" s="37">
        <v>0</v>
      </c>
      <c r="F394" s="47" t="s">
        <v>786</v>
      </c>
    </row>
    <row r="395" spans="1:6" x14ac:dyDescent="0.2">
      <c r="A395" s="35" t="s">
        <v>69</v>
      </c>
      <c r="B395" s="36" t="s">
        <v>474</v>
      </c>
      <c r="C395" s="36">
        <v>2302600394</v>
      </c>
      <c r="D395" s="36" t="s">
        <v>82</v>
      </c>
      <c r="E395" s="38">
        <v>0</v>
      </c>
      <c r="F395" s="47" t="s">
        <v>786</v>
      </c>
    </row>
    <row r="396" spans="1:6" x14ac:dyDescent="0.2">
      <c r="A396" s="33" t="s">
        <v>69</v>
      </c>
      <c r="B396" s="34" t="s">
        <v>475</v>
      </c>
      <c r="C396" s="34">
        <v>2302600395</v>
      </c>
      <c r="D396" s="34" t="s">
        <v>82</v>
      </c>
      <c r="E396" s="37">
        <v>0</v>
      </c>
      <c r="F396" s="47" t="s">
        <v>786</v>
      </c>
    </row>
    <row r="397" spans="1:6" x14ac:dyDescent="0.2">
      <c r="A397" s="35" t="s">
        <v>69</v>
      </c>
      <c r="B397" s="36" t="s">
        <v>476</v>
      </c>
      <c r="C397" s="36">
        <v>2282600396</v>
      </c>
      <c r="D397" s="36" t="s">
        <v>80</v>
      </c>
      <c r="E397" s="38">
        <v>0</v>
      </c>
      <c r="F397" s="47" t="s">
        <v>786</v>
      </c>
    </row>
    <row r="398" spans="1:6" x14ac:dyDescent="0.2">
      <c r="A398" s="33" t="s">
        <v>69</v>
      </c>
      <c r="B398" s="34" t="s">
        <v>477</v>
      </c>
      <c r="C398" s="34">
        <v>2282600397</v>
      </c>
      <c r="D398" s="34" t="s">
        <v>80</v>
      </c>
      <c r="E398" s="37">
        <v>0</v>
      </c>
      <c r="F398" s="47" t="s">
        <v>786</v>
      </c>
    </row>
    <row r="399" spans="1:6" x14ac:dyDescent="0.2">
      <c r="A399" s="35" t="s">
        <v>69</v>
      </c>
      <c r="B399" s="36" t="s">
        <v>478</v>
      </c>
      <c r="C399" s="36">
        <v>2302600398</v>
      </c>
      <c r="D399" s="36" t="s">
        <v>82</v>
      </c>
      <c r="E399" s="38">
        <v>0</v>
      </c>
      <c r="F399" s="47" t="s">
        <v>786</v>
      </c>
    </row>
    <row r="400" spans="1:6" x14ac:dyDescent="0.2">
      <c r="A400" s="33" t="s">
        <v>69</v>
      </c>
      <c r="B400" s="34" t="s">
        <v>479</v>
      </c>
      <c r="C400" s="34">
        <v>2302600399</v>
      </c>
      <c r="D400" s="34" t="s">
        <v>82</v>
      </c>
      <c r="E400" s="37">
        <v>0</v>
      </c>
      <c r="F400" s="47" t="s">
        <v>786</v>
      </c>
    </row>
    <row r="401" spans="1:6" x14ac:dyDescent="0.2">
      <c r="A401" s="35" t="s">
        <v>69</v>
      </c>
      <c r="B401" s="36" t="s">
        <v>480</v>
      </c>
      <c r="C401" s="36">
        <v>2282600400</v>
      </c>
      <c r="D401" s="36" t="s">
        <v>80</v>
      </c>
      <c r="E401" s="38">
        <v>0</v>
      </c>
      <c r="F401" s="47" t="s">
        <v>786</v>
      </c>
    </row>
    <row r="402" spans="1:6" x14ac:dyDescent="0.2">
      <c r="A402" s="33" t="s">
        <v>69</v>
      </c>
      <c r="B402" s="34" t="s">
        <v>481</v>
      </c>
      <c r="C402" s="34">
        <v>2282600401</v>
      </c>
      <c r="D402" s="34" t="s">
        <v>80</v>
      </c>
      <c r="E402" s="37">
        <v>0</v>
      </c>
      <c r="F402" s="47" t="s">
        <v>786</v>
      </c>
    </row>
    <row r="403" spans="1:6" x14ac:dyDescent="0.2">
      <c r="A403" s="35" t="s">
        <v>69</v>
      </c>
      <c r="B403" s="36" t="s">
        <v>482</v>
      </c>
      <c r="C403" s="36">
        <v>2302600402</v>
      </c>
      <c r="D403" s="36" t="s">
        <v>82</v>
      </c>
      <c r="E403" s="38">
        <v>0</v>
      </c>
      <c r="F403" s="47" t="s">
        <v>786</v>
      </c>
    </row>
    <row r="404" spans="1:6" x14ac:dyDescent="0.2">
      <c r="A404" s="33" t="s">
        <v>69</v>
      </c>
      <c r="B404" s="34" t="s">
        <v>483</v>
      </c>
      <c r="C404" s="34">
        <v>2302600403</v>
      </c>
      <c r="D404" s="34" t="s">
        <v>82</v>
      </c>
      <c r="E404" s="37">
        <v>0</v>
      </c>
      <c r="F404" s="47" t="s">
        <v>786</v>
      </c>
    </row>
    <row r="405" spans="1:6" x14ac:dyDescent="0.2">
      <c r="A405" s="35" t="s">
        <v>69</v>
      </c>
      <c r="B405" s="36" t="s">
        <v>484</v>
      </c>
      <c r="C405" s="36">
        <v>2282600404</v>
      </c>
      <c r="D405" s="36" t="s">
        <v>80</v>
      </c>
      <c r="E405" s="38">
        <v>0</v>
      </c>
      <c r="F405" s="47" t="s">
        <v>786</v>
      </c>
    </row>
    <row r="406" spans="1:6" x14ac:dyDescent="0.2">
      <c r="A406" s="33" t="s">
        <v>69</v>
      </c>
      <c r="B406" s="34" t="s">
        <v>485</v>
      </c>
      <c r="C406" s="34">
        <v>2282600405</v>
      </c>
      <c r="D406" s="34" t="s">
        <v>80</v>
      </c>
      <c r="E406" s="37">
        <v>0</v>
      </c>
      <c r="F406" s="47" t="s">
        <v>786</v>
      </c>
    </row>
    <row r="407" spans="1:6" x14ac:dyDescent="0.2">
      <c r="A407" s="35" t="s">
        <v>69</v>
      </c>
      <c r="B407" s="36" t="s">
        <v>486</v>
      </c>
      <c r="C407" s="36">
        <v>2302600406</v>
      </c>
      <c r="D407" s="36" t="s">
        <v>82</v>
      </c>
      <c r="E407" s="38">
        <v>0</v>
      </c>
      <c r="F407" s="47" t="s">
        <v>786</v>
      </c>
    </row>
    <row r="408" spans="1:6" x14ac:dyDescent="0.2">
      <c r="A408" s="33" t="s">
        <v>69</v>
      </c>
      <c r="B408" s="34" t="s">
        <v>487</v>
      </c>
      <c r="C408" s="34">
        <v>2302600407</v>
      </c>
      <c r="D408" s="34" t="s">
        <v>82</v>
      </c>
      <c r="E408" s="37">
        <v>0</v>
      </c>
      <c r="F408" s="47" t="s">
        <v>786</v>
      </c>
    </row>
    <row r="409" spans="1:6" x14ac:dyDescent="0.2">
      <c r="A409" s="35" t="s">
        <v>69</v>
      </c>
      <c r="B409" s="36" t="s">
        <v>488</v>
      </c>
      <c r="C409" s="36">
        <v>2282600408</v>
      </c>
      <c r="D409" s="36" t="s">
        <v>80</v>
      </c>
      <c r="E409" s="38">
        <v>0</v>
      </c>
      <c r="F409" s="47" t="s">
        <v>786</v>
      </c>
    </row>
    <row r="410" spans="1:6" x14ac:dyDescent="0.2">
      <c r="A410" s="33" t="s">
        <v>69</v>
      </c>
      <c r="B410" s="34" t="s">
        <v>489</v>
      </c>
      <c r="C410" s="34">
        <v>2282600409</v>
      </c>
      <c r="D410" s="34" t="s">
        <v>80</v>
      </c>
      <c r="E410" s="37">
        <v>0</v>
      </c>
      <c r="F410" s="47" t="s">
        <v>786</v>
      </c>
    </row>
    <row r="411" spans="1:6" x14ac:dyDescent="0.2">
      <c r="A411" s="35" t="s">
        <v>69</v>
      </c>
      <c r="B411" s="36" t="s">
        <v>490</v>
      </c>
      <c r="C411" s="36">
        <v>2302600410</v>
      </c>
      <c r="D411" s="36" t="s">
        <v>82</v>
      </c>
      <c r="E411" s="38">
        <v>0</v>
      </c>
      <c r="F411" s="47" t="s">
        <v>786</v>
      </c>
    </row>
    <row r="412" spans="1:6" x14ac:dyDescent="0.2">
      <c r="A412" s="33" t="s">
        <v>69</v>
      </c>
      <c r="B412" s="34" t="s">
        <v>491</v>
      </c>
      <c r="C412" s="34">
        <v>2302600411</v>
      </c>
      <c r="D412" s="34" t="s">
        <v>82</v>
      </c>
      <c r="E412" s="37">
        <v>0</v>
      </c>
      <c r="F412" s="47" t="s">
        <v>786</v>
      </c>
    </row>
    <row r="413" spans="1:6" x14ac:dyDescent="0.2">
      <c r="A413" s="35" t="s">
        <v>69</v>
      </c>
      <c r="B413" s="36" t="s">
        <v>492</v>
      </c>
      <c r="C413" s="36">
        <v>2282600412</v>
      </c>
      <c r="D413" s="36" t="s">
        <v>80</v>
      </c>
      <c r="E413" s="38">
        <v>0</v>
      </c>
      <c r="F413" s="47" t="s">
        <v>786</v>
      </c>
    </row>
    <row r="414" spans="1:6" x14ac:dyDescent="0.2">
      <c r="A414" s="33" t="s">
        <v>69</v>
      </c>
      <c r="B414" s="34" t="s">
        <v>493</v>
      </c>
      <c r="C414" s="34">
        <v>2282600413</v>
      </c>
      <c r="D414" s="34" t="s">
        <v>80</v>
      </c>
      <c r="E414" s="37">
        <v>0</v>
      </c>
      <c r="F414" s="47" t="s">
        <v>786</v>
      </c>
    </row>
    <row r="415" spans="1:6" x14ac:dyDescent="0.2">
      <c r="A415" s="35" t="s">
        <v>69</v>
      </c>
      <c r="B415" s="36" t="s">
        <v>494</v>
      </c>
      <c r="C415" s="36">
        <v>2302600414</v>
      </c>
      <c r="D415" s="36" t="s">
        <v>82</v>
      </c>
      <c r="E415" s="38">
        <v>0</v>
      </c>
      <c r="F415" s="47" t="s">
        <v>786</v>
      </c>
    </row>
    <row r="416" spans="1:6" x14ac:dyDescent="0.2">
      <c r="A416" s="33" t="s">
        <v>69</v>
      </c>
      <c r="B416" s="34" t="s">
        <v>495</v>
      </c>
      <c r="C416" s="34">
        <v>2302600415</v>
      </c>
      <c r="D416" s="34" t="s">
        <v>82</v>
      </c>
      <c r="E416" s="37">
        <v>0</v>
      </c>
      <c r="F416" s="47" t="s">
        <v>786</v>
      </c>
    </row>
    <row r="417" spans="1:6" x14ac:dyDescent="0.2">
      <c r="A417" s="35" t="s">
        <v>69</v>
      </c>
      <c r="B417" s="36" t="s">
        <v>496</v>
      </c>
      <c r="C417" s="36">
        <v>2282600416</v>
      </c>
      <c r="D417" s="36" t="s">
        <v>80</v>
      </c>
      <c r="E417" s="38">
        <v>0</v>
      </c>
      <c r="F417" s="47" t="s">
        <v>786</v>
      </c>
    </row>
    <row r="418" spans="1:6" x14ac:dyDescent="0.2">
      <c r="A418" s="33" t="s">
        <v>70</v>
      </c>
      <c r="B418" s="34" t="s">
        <v>497</v>
      </c>
      <c r="C418" s="34">
        <v>2282600417</v>
      </c>
      <c r="D418" s="34" t="s">
        <v>80</v>
      </c>
      <c r="E418" s="37">
        <v>0</v>
      </c>
      <c r="F418" s="47" t="s">
        <v>786</v>
      </c>
    </row>
    <row r="419" spans="1:6" x14ac:dyDescent="0.2">
      <c r="A419" s="35" t="s">
        <v>70</v>
      </c>
      <c r="B419" s="36" t="s">
        <v>498</v>
      </c>
      <c r="C419" s="36">
        <v>2302600418</v>
      </c>
      <c r="D419" s="36" t="s">
        <v>82</v>
      </c>
      <c r="E419" s="38">
        <v>0</v>
      </c>
      <c r="F419" s="47" t="s">
        <v>786</v>
      </c>
    </row>
    <row r="420" spans="1:6" x14ac:dyDescent="0.2">
      <c r="A420" s="33" t="s">
        <v>70</v>
      </c>
      <c r="B420" s="34" t="s">
        <v>499</v>
      </c>
      <c r="C420" s="34">
        <v>2302600419</v>
      </c>
      <c r="D420" s="34" t="s">
        <v>82</v>
      </c>
      <c r="E420" s="37">
        <v>0</v>
      </c>
      <c r="F420" s="47" t="s">
        <v>786</v>
      </c>
    </row>
    <row r="421" spans="1:6" x14ac:dyDescent="0.2">
      <c r="A421" s="35" t="s">
        <v>70</v>
      </c>
      <c r="B421" s="36" t="s">
        <v>500</v>
      </c>
      <c r="C421" s="36">
        <v>2282600420</v>
      </c>
      <c r="D421" s="36" t="s">
        <v>80</v>
      </c>
      <c r="E421" s="38">
        <v>0</v>
      </c>
      <c r="F421" s="47" t="s">
        <v>786</v>
      </c>
    </row>
    <row r="422" spans="1:6" x14ac:dyDescent="0.2">
      <c r="A422" s="33" t="s">
        <v>70</v>
      </c>
      <c r="B422" s="34" t="s">
        <v>501</v>
      </c>
      <c r="C422" s="34">
        <v>2282600421</v>
      </c>
      <c r="D422" s="34" t="s">
        <v>80</v>
      </c>
      <c r="E422" s="37">
        <v>0</v>
      </c>
      <c r="F422" s="47" t="s">
        <v>786</v>
      </c>
    </row>
    <row r="423" spans="1:6" x14ac:dyDescent="0.2">
      <c r="A423" s="35" t="s">
        <v>70</v>
      </c>
      <c r="B423" s="36" t="s">
        <v>502</v>
      </c>
      <c r="C423" s="36">
        <v>2302600422</v>
      </c>
      <c r="D423" s="36" t="s">
        <v>82</v>
      </c>
      <c r="E423" s="38">
        <v>0</v>
      </c>
      <c r="F423" s="47" t="s">
        <v>786</v>
      </c>
    </row>
    <row r="424" spans="1:6" x14ac:dyDescent="0.2">
      <c r="A424" s="33" t="s">
        <v>70</v>
      </c>
      <c r="B424" s="34" t="s">
        <v>503</v>
      </c>
      <c r="C424" s="34">
        <v>2302600423</v>
      </c>
      <c r="D424" s="34" t="s">
        <v>82</v>
      </c>
      <c r="E424" s="37">
        <v>0</v>
      </c>
      <c r="F424" s="47" t="s">
        <v>786</v>
      </c>
    </row>
    <row r="425" spans="1:6" x14ac:dyDescent="0.2">
      <c r="A425" s="35" t="s">
        <v>70</v>
      </c>
      <c r="B425" s="36" t="s">
        <v>504</v>
      </c>
      <c r="C425" s="36">
        <v>2282600424</v>
      </c>
      <c r="D425" s="36" t="s">
        <v>80</v>
      </c>
      <c r="E425" s="38">
        <v>0</v>
      </c>
      <c r="F425" s="47" t="s">
        <v>786</v>
      </c>
    </row>
    <row r="426" spans="1:6" x14ac:dyDescent="0.2">
      <c r="A426" s="33" t="s">
        <v>70</v>
      </c>
      <c r="B426" s="34" t="s">
        <v>505</v>
      </c>
      <c r="C426" s="34">
        <v>2282600425</v>
      </c>
      <c r="D426" s="34" t="s">
        <v>80</v>
      </c>
      <c r="E426" s="37">
        <v>0</v>
      </c>
      <c r="F426" s="47" t="s">
        <v>786</v>
      </c>
    </row>
    <row r="427" spans="1:6" x14ac:dyDescent="0.2">
      <c r="A427" s="35" t="s">
        <v>70</v>
      </c>
      <c r="B427" s="36" t="s">
        <v>506</v>
      </c>
      <c r="C427" s="36">
        <v>2302600426</v>
      </c>
      <c r="D427" s="36" t="s">
        <v>82</v>
      </c>
      <c r="E427" s="38">
        <v>0</v>
      </c>
      <c r="F427" s="47" t="s">
        <v>786</v>
      </c>
    </row>
    <row r="428" spans="1:6" x14ac:dyDescent="0.2">
      <c r="A428" s="33" t="s">
        <v>70</v>
      </c>
      <c r="B428" s="34" t="s">
        <v>507</v>
      </c>
      <c r="C428" s="34">
        <v>2302600427</v>
      </c>
      <c r="D428" s="34" t="s">
        <v>82</v>
      </c>
      <c r="E428" s="37">
        <v>0</v>
      </c>
      <c r="F428" s="47" t="s">
        <v>786</v>
      </c>
    </row>
    <row r="429" spans="1:6" x14ac:dyDescent="0.2">
      <c r="A429" s="35" t="s">
        <v>70</v>
      </c>
      <c r="B429" s="36" t="s">
        <v>508</v>
      </c>
      <c r="C429" s="36">
        <v>2282600428</v>
      </c>
      <c r="D429" s="36" t="s">
        <v>80</v>
      </c>
      <c r="E429" s="38">
        <v>0</v>
      </c>
      <c r="F429" s="47" t="s">
        <v>786</v>
      </c>
    </row>
    <row r="430" spans="1:6" x14ac:dyDescent="0.2">
      <c r="A430" s="33" t="s">
        <v>70</v>
      </c>
      <c r="B430" s="34" t="s">
        <v>509</v>
      </c>
      <c r="C430" s="34">
        <v>2282600429</v>
      </c>
      <c r="D430" s="34" t="s">
        <v>80</v>
      </c>
      <c r="E430" s="37">
        <v>0</v>
      </c>
      <c r="F430" s="47" t="s">
        <v>786</v>
      </c>
    </row>
    <row r="431" spans="1:6" x14ac:dyDescent="0.2">
      <c r="A431" s="35" t="s">
        <v>70</v>
      </c>
      <c r="B431" s="36" t="s">
        <v>510</v>
      </c>
      <c r="C431" s="36">
        <v>2302600430</v>
      </c>
      <c r="D431" s="36" t="s">
        <v>82</v>
      </c>
      <c r="E431" s="38">
        <v>0</v>
      </c>
      <c r="F431" s="47" t="s">
        <v>786</v>
      </c>
    </row>
    <row r="432" spans="1:6" x14ac:dyDescent="0.2">
      <c r="A432" s="33" t="s">
        <v>70</v>
      </c>
      <c r="B432" s="34" t="s">
        <v>511</v>
      </c>
      <c r="C432" s="34">
        <v>2302600431</v>
      </c>
      <c r="D432" s="34" t="s">
        <v>82</v>
      </c>
      <c r="E432" s="37">
        <v>0</v>
      </c>
      <c r="F432" s="47" t="s">
        <v>786</v>
      </c>
    </row>
    <row r="433" spans="1:6" x14ac:dyDescent="0.2">
      <c r="A433" s="35" t="s">
        <v>70</v>
      </c>
      <c r="B433" s="36" t="s">
        <v>512</v>
      </c>
      <c r="C433" s="36">
        <v>2282600432</v>
      </c>
      <c r="D433" s="36" t="s">
        <v>80</v>
      </c>
      <c r="E433" s="38">
        <v>0</v>
      </c>
      <c r="F433" s="47" t="s">
        <v>786</v>
      </c>
    </row>
    <row r="434" spans="1:6" x14ac:dyDescent="0.2">
      <c r="A434" s="33" t="s">
        <v>70</v>
      </c>
      <c r="B434" s="34" t="s">
        <v>513</v>
      </c>
      <c r="C434" s="34">
        <v>2282600433</v>
      </c>
      <c r="D434" s="34" t="s">
        <v>80</v>
      </c>
      <c r="E434" s="37">
        <v>0</v>
      </c>
      <c r="F434" s="47" t="s">
        <v>786</v>
      </c>
    </row>
    <row r="435" spans="1:6" x14ac:dyDescent="0.2">
      <c r="A435" s="35" t="s">
        <v>70</v>
      </c>
      <c r="B435" s="36" t="s">
        <v>514</v>
      </c>
      <c r="C435" s="36">
        <v>2302600434</v>
      </c>
      <c r="D435" s="36" t="s">
        <v>82</v>
      </c>
      <c r="E435" s="38">
        <v>0</v>
      </c>
      <c r="F435" s="47" t="s">
        <v>786</v>
      </c>
    </row>
    <row r="436" spans="1:6" x14ac:dyDescent="0.2">
      <c r="A436" s="33" t="s">
        <v>70</v>
      </c>
      <c r="B436" s="34" t="s">
        <v>515</v>
      </c>
      <c r="C436" s="34">
        <v>2302600435</v>
      </c>
      <c r="D436" s="34" t="s">
        <v>82</v>
      </c>
      <c r="E436" s="37">
        <v>0</v>
      </c>
      <c r="F436" s="47" t="s">
        <v>786</v>
      </c>
    </row>
    <row r="437" spans="1:6" x14ac:dyDescent="0.2">
      <c r="A437" s="35" t="s">
        <v>70</v>
      </c>
      <c r="B437" s="36" t="s">
        <v>516</v>
      </c>
      <c r="C437" s="36">
        <v>2282600436</v>
      </c>
      <c r="D437" s="36" t="s">
        <v>80</v>
      </c>
      <c r="E437" s="38">
        <v>0</v>
      </c>
      <c r="F437" s="47" t="s">
        <v>786</v>
      </c>
    </row>
    <row r="438" spans="1:6" x14ac:dyDescent="0.2">
      <c r="A438" s="33" t="s">
        <v>70</v>
      </c>
      <c r="B438" s="34" t="s">
        <v>517</v>
      </c>
      <c r="C438" s="34">
        <v>2282600437</v>
      </c>
      <c r="D438" s="34" t="s">
        <v>80</v>
      </c>
      <c r="E438" s="37">
        <v>0</v>
      </c>
      <c r="F438" s="47" t="s">
        <v>786</v>
      </c>
    </row>
    <row r="439" spans="1:6" x14ac:dyDescent="0.2">
      <c r="A439" s="35" t="s">
        <v>70</v>
      </c>
      <c r="B439" s="36" t="s">
        <v>518</v>
      </c>
      <c r="C439" s="36">
        <v>2302600438</v>
      </c>
      <c r="D439" s="36" t="s">
        <v>82</v>
      </c>
      <c r="E439" s="38">
        <v>0</v>
      </c>
      <c r="F439" s="47" t="s">
        <v>786</v>
      </c>
    </row>
    <row r="440" spans="1:6" x14ac:dyDescent="0.2">
      <c r="A440" s="33" t="s">
        <v>70</v>
      </c>
      <c r="B440" s="34" t="s">
        <v>519</v>
      </c>
      <c r="C440" s="34">
        <v>2302600439</v>
      </c>
      <c r="D440" s="34" t="s">
        <v>82</v>
      </c>
      <c r="E440" s="37">
        <v>0</v>
      </c>
      <c r="F440" s="47" t="s">
        <v>786</v>
      </c>
    </row>
    <row r="441" spans="1:6" x14ac:dyDescent="0.2">
      <c r="A441" s="35" t="s">
        <v>70</v>
      </c>
      <c r="B441" s="36" t="s">
        <v>520</v>
      </c>
      <c r="C441" s="36">
        <v>2282600440</v>
      </c>
      <c r="D441" s="36" t="s">
        <v>80</v>
      </c>
      <c r="E441" s="38">
        <v>0</v>
      </c>
      <c r="F441" s="47" t="s">
        <v>786</v>
      </c>
    </row>
    <row r="442" spans="1:6" x14ac:dyDescent="0.2">
      <c r="A442" s="33" t="s">
        <v>70</v>
      </c>
      <c r="B442" s="34" t="s">
        <v>521</v>
      </c>
      <c r="C442" s="34">
        <v>2282600441</v>
      </c>
      <c r="D442" s="34" t="s">
        <v>80</v>
      </c>
      <c r="E442" s="37">
        <v>0</v>
      </c>
      <c r="F442" s="47" t="s">
        <v>786</v>
      </c>
    </row>
    <row r="443" spans="1:6" x14ac:dyDescent="0.2">
      <c r="A443" s="35" t="s">
        <v>70</v>
      </c>
      <c r="B443" s="36" t="s">
        <v>522</v>
      </c>
      <c r="C443" s="36">
        <v>2302600442</v>
      </c>
      <c r="D443" s="36" t="s">
        <v>82</v>
      </c>
      <c r="E443" s="38">
        <v>0</v>
      </c>
      <c r="F443" s="47" t="s">
        <v>786</v>
      </c>
    </row>
    <row r="444" spans="1:6" x14ac:dyDescent="0.2">
      <c r="A444" s="33" t="s">
        <v>70</v>
      </c>
      <c r="B444" s="34" t="s">
        <v>523</v>
      </c>
      <c r="C444" s="34">
        <v>2302600443</v>
      </c>
      <c r="D444" s="34" t="s">
        <v>82</v>
      </c>
      <c r="E444" s="37">
        <v>0</v>
      </c>
      <c r="F444" s="47" t="s">
        <v>786</v>
      </c>
    </row>
    <row r="445" spans="1:6" x14ac:dyDescent="0.2">
      <c r="A445" s="35" t="s">
        <v>70</v>
      </c>
      <c r="B445" s="36" t="s">
        <v>524</v>
      </c>
      <c r="C445" s="36">
        <v>2282600444</v>
      </c>
      <c r="D445" s="36" t="s">
        <v>80</v>
      </c>
      <c r="E445" s="38">
        <v>0</v>
      </c>
      <c r="F445" s="47" t="s">
        <v>786</v>
      </c>
    </row>
    <row r="446" spans="1:6" x14ac:dyDescent="0.2">
      <c r="A446" s="33" t="s">
        <v>70</v>
      </c>
      <c r="B446" s="34" t="s">
        <v>525</v>
      </c>
      <c r="C446" s="34">
        <v>2282600445</v>
      </c>
      <c r="D446" s="34" t="s">
        <v>80</v>
      </c>
      <c r="E446" s="37">
        <v>0</v>
      </c>
      <c r="F446" s="47" t="s">
        <v>786</v>
      </c>
    </row>
    <row r="447" spans="1:6" x14ac:dyDescent="0.2">
      <c r="A447" s="35" t="s">
        <v>70</v>
      </c>
      <c r="B447" s="36" t="s">
        <v>526</v>
      </c>
      <c r="C447" s="36">
        <v>2302600446</v>
      </c>
      <c r="D447" s="36" t="s">
        <v>82</v>
      </c>
      <c r="E447" s="38">
        <v>0</v>
      </c>
      <c r="F447" s="47" t="s">
        <v>786</v>
      </c>
    </row>
    <row r="448" spans="1:6" x14ac:dyDescent="0.2">
      <c r="A448" s="33" t="s">
        <v>70</v>
      </c>
      <c r="B448" s="34" t="s">
        <v>527</v>
      </c>
      <c r="C448" s="34">
        <v>2302600447</v>
      </c>
      <c r="D448" s="34" t="s">
        <v>82</v>
      </c>
      <c r="E448" s="37">
        <v>0</v>
      </c>
      <c r="F448" s="47" t="s">
        <v>786</v>
      </c>
    </row>
    <row r="449" spans="1:6" x14ac:dyDescent="0.2">
      <c r="A449" s="35" t="s">
        <v>70</v>
      </c>
      <c r="B449" s="36" t="s">
        <v>528</v>
      </c>
      <c r="C449" s="36">
        <v>2282600448</v>
      </c>
      <c r="D449" s="36" t="s">
        <v>80</v>
      </c>
      <c r="E449" s="38">
        <v>0</v>
      </c>
      <c r="F449" s="47" t="s">
        <v>786</v>
      </c>
    </row>
    <row r="450" spans="1:6" x14ac:dyDescent="0.2">
      <c r="A450" s="33" t="s">
        <v>71</v>
      </c>
      <c r="B450" s="34" t="s">
        <v>529</v>
      </c>
      <c r="C450" s="34">
        <v>2282600449</v>
      </c>
      <c r="D450" s="34" t="s">
        <v>80</v>
      </c>
      <c r="E450" s="37">
        <v>0</v>
      </c>
      <c r="F450" s="47" t="s">
        <v>786</v>
      </c>
    </row>
    <row r="451" spans="1:6" x14ac:dyDescent="0.2">
      <c r="A451" s="35" t="s">
        <v>71</v>
      </c>
      <c r="B451" s="36" t="s">
        <v>530</v>
      </c>
      <c r="C451" s="36">
        <v>2302600450</v>
      </c>
      <c r="D451" s="36" t="s">
        <v>82</v>
      </c>
      <c r="E451" s="38">
        <v>0</v>
      </c>
      <c r="F451" s="47" t="s">
        <v>786</v>
      </c>
    </row>
    <row r="452" spans="1:6" x14ac:dyDescent="0.2">
      <c r="A452" s="33" t="s">
        <v>71</v>
      </c>
      <c r="B452" s="34" t="s">
        <v>531</v>
      </c>
      <c r="C452" s="34">
        <v>2302600451</v>
      </c>
      <c r="D452" s="34" t="s">
        <v>82</v>
      </c>
      <c r="E452" s="37">
        <v>0</v>
      </c>
      <c r="F452" s="47" t="s">
        <v>786</v>
      </c>
    </row>
    <row r="453" spans="1:6" x14ac:dyDescent="0.2">
      <c r="A453" s="35" t="s">
        <v>71</v>
      </c>
      <c r="B453" s="36" t="s">
        <v>532</v>
      </c>
      <c r="C453" s="36">
        <v>2282600452</v>
      </c>
      <c r="D453" s="36" t="s">
        <v>80</v>
      </c>
      <c r="E453" s="38">
        <v>0</v>
      </c>
      <c r="F453" s="47" t="s">
        <v>786</v>
      </c>
    </row>
    <row r="454" spans="1:6" x14ac:dyDescent="0.2">
      <c r="A454" s="33" t="s">
        <v>71</v>
      </c>
      <c r="B454" s="34" t="s">
        <v>533</v>
      </c>
      <c r="C454" s="34">
        <v>2282600453</v>
      </c>
      <c r="D454" s="34" t="s">
        <v>80</v>
      </c>
      <c r="E454" s="37">
        <v>0</v>
      </c>
      <c r="F454" s="47" t="s">
        <v>786</v>
      </c>
    </row>
    <row r="455" spans="1:6" x14ac:dyDescent="0.2">
      <c r="A455" s="35" t="s">
        <v>71</v>
      </c>
      <c r="B455" s="36" t="s">
        <v>534</v>
      </c>
      <c r="C455" s="36">
        <v>2302600454</v>
      </c>
      <c r="D455" s="36" t="s">
        <v>82</v>
      </c>
      <c r="E455" s="38">
        <v>0</v>
      </c>
      <c r="F455" s="47" t="s">
        <v>786</v>
      </c>
    </row>
    <row r="456" spans="1:6" x14ac:dyDescent="0.2">
      <c r="A456" s="33" t="s">
        <v>71</v>
      </c>
      <c r="B456" s="34" t="s">
        <v>535</v>
      </c>
      <c r="C456" s="34">
        <v>2302600455</v>
      </c>
      <c r="D456" s="34" t="s">
        <v>82</v>
      </c>
      <c r="E456" s="37">
        <v>0</v>
      </c>
      <c r="F456" s="47" t="s">
        <v>786</v>
      </c>
    </row>
    <row r="457" spans="1:6" x14ac:dyDescent="0.2">
      <c r="A457" s="35" t="s">
        <v>71</v>
      </c>
      <c r="B457" s="36" t="s">
        <v>536</v>
      </c>
      <c r="C457" s="36">
        <v>2282600456</v>
      </c>
      <c r="D457" s="36" t="s">
        <v>80</v>
      </c>
      <c r="E457" s="38">
        <v>0</v>
      </c>
      <c r="F457" s="47" t="s">
        <v>786</v>
      </c>
    </row>
    <row r="458" spans="1:6" x14ac:dyDescent="0.2">
      <c r="A458" s="33" t="s">
        <v>71</v>
      </c>
      <c r="B458" s="34" t="s">
        <v>537</v>
      </c>
      <c r="C458" s="34">
        <v>2282600457</v>
      </c>
      <c r="D458" s="34" t="s">
        <v>80</v>
      </c>
      <c r="E458" s="37">
        <v>0</v>
      </c>
      <c r="F458" s="47" t="s">
        <v>786</v>
      </c>
    </row>
    <row r="459" spans="1:6" x14ac:dyDescent="0.2">
      <c r="A459" s="35" t="s">
        <v>71</v>
      </c>
      <c r="B459" s="36" t="s">
        <v>538</v>
      </c>
      <c r="C459" s="36">
        <v>2302600458</v>
      </c>
      <c r="D459" s="36" t="s">
        <v>82</v>
      </c>
      <c r="E459" s="38">
        <v>0</v>
      </c>
      <c r="F459" s="47" t="s">
        <v>786</v>
      </c>
    </row>
    <row r="460" spans="1:6" x14ac:dyDescent="0.2">
      <c r="A460" s="33" t="s">
        <v>71</v>
      </c>
      <c r="B460" s="34" t="s">
        <v>539</v>
      </c>
      <c r="C460" s="34">
        <v>2302600459</v>
      </c>
      <c r="D460" s="34" t="s">
        <v>82</v>
      </c>
      <c r="E460" s="37">
        <v>0</v>
      </c>
      <c r="F460" s="47" t="s">
        <v>786</v>
      </c>
    </row>
    <row r="461" spans="1:6" x14ac:dyDescent="0.2">
      <c r="A461" s="35" t="s">
        <v>71</v>
      </c>
      <c r="B461" s="36" t="s">
        <v>540</v>
      </c>
      <c r="C461" s="36">
        <v>2282600460</v>
      </c>
      <c r="D461" s="36" t="s">
        <v>80</v>
      </c>
      <c r="E461" s="38">
        <v>0</v>
      </c>
      <c r="F461" s="47" t="s">
        <v>786</v>
      </c>
    </row>
    <row r="462" spans="1:6" x14ac:dyDescent="0.2">
      <c r="A462" s="33" t="s">
        <v>71</v>
      </c>
      <c r="B462" s="34" t="s">
        <v>541</v>
      </c>
      <c r="C462" s="34">
        <v>2282600461</v>
      </c>
      <c r="D462" s="34" t="s">
        <v>80</v>
      </c>
      <c r="E462" s="37">
        <v>0</v>
      </c>
      <c r="F462" s="47" t="s">
        <v>786</v>
      </c>
    </row>
    <row r="463" spans="1:6" x14ac:dyDescent="0.2">
      <c r="A463" s="35" t="s">
        <v>71</v>
      </c>
      <c r="B463" s="36" t="s">
        <v>542</v>
      </c>
      <c r="C463" s="36">
        <v>2302600462</v>
      </c>
      <c r="D463" s="36" t="s">
        <v>82</v>
      </c>
      <c r="E463" s="38">
        <v>0</v>
      </c>
      <c r="F463" s="47" t="s">
        <v>786</v>
      </c>
    </row>
    <row r="464" spans="1:6" x14ac:dyDescent="0.2">
      <c r="A464" s="33" t="s">
        <v>71</v>
      </c>
      <c r="B464" s="34" t="s">
        <v>543</v>
      </c>
      <c r="C464" s="34">
        <v>2302600463</v>
      </c>
      <c r="D464" s="34" t="s">
        <v>82</v>
      </c>
      <c r="E464" s="37">
        <v>0</v>
      </c>
      <c r="F464" s="47" t="s">
        <v>786</v>
      </c>
    </row>
    <row r="465" spans="1:6" x14ac:dyDescent="0.2">
      <c r="A465" s="35" t="s">
        <v>71</v>
      </c>
      <c r="B465" s="36" t="s">
        <v>544</v>
      </c>
      <c r="C465" s="36">
        <v>2282600464</v>
      </c>
      <c r="D465" s="36" t="s">
        <v>80</v>
      </c>
      <c r="E465" s="38">
        <v>0</v>
      </c>
      <c r="F465" s="47" t="s">
        <v>786</v>
      </c>
    </row>
    <row r="466" spans="1:6" x14ac:dyDescent="0.2">
      <c r="A466" s="33" t="s">
        <v>71</v>
      </c>
      <c r="B466" s="34" t="s">
        <v>545</v>
      </c>
      <c r="C466" s="34">
        <v>2282600465</v>
      </c>
      <c r="D466" s="34" t="s">
        <v>80</v>
      </c>
      <c r="E466" s="37">
        <v>0</v>
      </c>
      <c r="F466" s="47" t="s">
        <v>786</v>
      </c>
    </row>
    <row r="467" spans="1:6" x14ac:dyDescent="0.2">
      <c r="A467" s="35" t="s">
        <v>71</v>
      </c>
      <c r="B467" s="36" t="s">
        <v>546</v>
      </c>
      <c r="C467" s="36">
        <v>2302600466</v>
      </c>
      <c r="D467" s="36" t="s">
        <v>82</v>
      </c>
      <c r="E467" s="38">
        <v>0</v>
      </c>
      <c r="F467" s="47" t="s">
        <v>786</v>
      </c>
    </row>
    <row r="468" spans="1:6" x14ac:dyDescent="0.2">
      <c r="A468" s="33" t="s">
        <v>71</v>
      </c>
      <c r="B468" s="34" t="s">
        <v>547</v>
      </c>
      <c r="C468" s="34">
        <v>2302600467</v>
      </c>
      <c r="D468" s="34" t="s">
        <v>82</v>
      </c>
      <c r="E468" s="37">
        <v>0</v>
      </c>
      <c r="F468" s="47" t="s">
        <v>786</v>
      </c>
    </row>
    <row r="469" spans="1:6" x14ac:dyDescent="0.2">
      <c r="A469" s="35" t="s">
        <v>71</v>
      </c>
      <c r="B469" s="36" t="s">
        <v>548</v>
      </c>
      <c r="C469" s="36">
        <v>2282600468</v>
      </c>
      <c r="D469" s="36" t="s">
        <v>80</v>
      </c>
      <c r="E469" s="38">
        <v>0</v>
      </c>
      <c r="F469" s="47" t="s">
        <v>786</v>
      </c>
    </row>
    <row r="470" spans="1:6" x14ac:dyDescent="0.2">
      <c r="A470" s="33" t="s">
        <v>71</v>
      </c>
      <c r="B470" s="34" t="s">
        <v>549</v>
      </c>
      <c r="C470" s="34">
        <v>2282600469</v>
      </c>
      <c r="D470" s="34" t="s">
        <v>80</v>
      </c>
      <c r="E470" s="37">
        <v>0</v>
      </c>
      <c r="F470" s="47" t="s">
        <v>786</v>
      </c>
    </row>
    <row r="471" spans="1:6" x14ac:dyDescent="0.2">
      <c r="A471" s="35" t="s">
        <v>71</v>
      </c>
      <c r="B471" s="36" t="s">
        <v>550</v>
      </c>
      <c r="C471" s="36">
        <v>2302600470</v>
      </c>
      <c r="D471" s="36" t="s">
        <v>82</v>
      </c>
      <c r="E471" s="38">
        <v>0</v>
      </c>
      <c r="F471" s="47" t="s">
        <v>786</v>
      </c>
    </row>
    <row r="472" spans="1:6" x14ac:dyDescent="0.2">
      <c r="A472" s="33" t="s">
        <v>71</v>
      </c>
      <c r="B472" s="34" t="s">
        <v>551</v>
      </c>
      <c r="C472" s="34">
        <v>2302600471</v>
      </c>
      <c r="D472" s="34" t="s">
        <v>82</v>
      </c>
      <c r="E472" s="37">
        <v>0</v>
      </c>
      <c r="F472" s="47" t="s">
        <v>786</v>
      </c>
    </row>
    <row r="473" spans="1:6" x14ac:dyDescent="0.2">
      <c r="A473" s="35" t="s">
        <v>71</v>
      </c>
      <c r="B473" s="36" t="s">
        <v>552</v>
      </c>
      <c r="C473" s="36">
        <v>2282600472</v>
      </c>
      <c r="D473" s="36" t="s">
        <v>80</v>
      </c>
      <c r="E473" s="38">
        <v>0</v>
      </c>
      <c r="F473" s="47" t="s">
        <v>786</v>
      </c>
    </row>
    <row r="474" spans="1:6" x14ac:dyDescent="0.2">
      <c r="A474" s="33" t="s">
        <v>71</v>
      </c>
      <c r="B474" s="34" t="s">
        <v>553</v>
      </c>
      <c r="C474" s="34">
        <v>2282600473</v>
      </c>
      <c r="D474" s="34" t="s">
        <v>80</v>
      </c>
      <c r="E474" s="37">
        <v>0</v>
      </c>
      <c r="F474" s="47" t="s">
        <v>786</v>
      </c>
    </row>
    <row r="475" spans="1:6" x14ac:dyDescent="0.2">
      <c r="A475" s="35" t="s">
        <v>71</v>
      </c>
      <c r="B475" s="36" t="s">
        <v>554</v>
      </c>
      <c r="C475" s="36">
        <v>2302600474</v>
      </c>
      <c r="D475" s="36" t="s">
        <v>82</v>
      </c>
      <c r="E475" s="38">
        <v>0</v>
      </c>
      <c r="F475" s="47" t="s">
        <v>786</v>
      </c>
    </row>
    <row r="476" spans="1:6" x14ac:dyDescent="0.2">
      <c r="A476" s="33" t="s">
        <v>71</v>
      </c>
      <c r="B476" s="34" t="s">
        <v>555</v>
      </c>
      <c r="C476" s="34">
        <v>2302600475</v>
      </c>
      <c r="D476" s="34" t="s">
        <v>82</v>
      </c>
      <c r="E476" s="37">
        <v>0</v>
      </c>
      <c r="F476" s="47" t="s">
        <v>786</v>
      </c>
    </row>
    <row r="477" spans="1:6" x14ac:dyDescent="0.2">
      <c r="A477" s="35" t="s">
        <v>71</v>
      </c>
      <c r="B477" s="36" t="s">
        <v>556</v>
      </c>
      <c r="C477" s="36">
        <v>2282600476</v>
      </c>
      <c r="D477" s="36" t="s">
        <v>80</v>
      </c>
      <c r="E477" s="38">
        <v>0</v>
      </c>
      <c r="F477" s="47" t="s">
        <v>786</v>
      </c>
    </row>
    <row r="478" spans="1:6" x14ac:dyDescent="0.2">
      <c r="A478" s="33" t="s">
        <v>71</v>
      </c>
      <c r="B478" s="34" t="s">
        <v>557</v>
      </c>
      <c r="C478" s="34">
        <v>2282600477</v>
      </c>
      <c r="D478" s="34" t="s">
        <v>80</v>
      </c>
      <c r="E478" s="37">
        <v>0</v>
      </c>
      <c r="F478" s="47" t="s">
        <v>786</v>
      </c>
    </row>
    <row r="479" spans="1:6" x14ac:dyDescent="0.2">
      <c r="A479" s="35" t="s">
        <v>71</v>
      </c>
      <c r="B479" s="36" t="s">
        <v>558</v>
      </c>
      <c r="C479" s="36">
        <v>2302600478</v>
      </c>
      <c r="D479" s="36" t="s">
        <v>82</v>
      </c>
      <c r="E479" s="38">
        <v>0</v>
      </c>
      <c r="F479" s="47" t="s">
        <v>786</v>
      </c>
    </row>
    <row r="480" spans="1:6" x14ac:dyDescent="0.2">
      <c r="A480" s="33" t="s">
        <v>71</v>
      </c>
      <c r="B480" s="34" t="s">
        <v>559</v>
      </c>
      <c r="C480" s="34">
        <v>2302600479</v>
      </c>
      <c r="D480" s="34" t="s">
        <v>82</v>
      </c>
      <c r="E480" s="37">
        <v>0</v>
      </c>
      <c r="F480" s="47" t="s">
        <v>786</v>
      </c>
    </row>
    <row r="481" spans="1:6" x14ac:dyDescent="0.2">
      <c r="A481" s="35" t="s">
        <v>71</v>
      </c>
      <c r="B481" s="36" t="s">
        <v>560</v>
      </c>
      <c r="C481" s="36">
        <v>2282600480</v>
      </c>
      <c r="D481" s="36" t="s">
        <v>80</v>
      </c>
      <c r="E481" s="38">
        <v>0</v>
      </c>
      <c r="F481" s="47" t="s">
        <v>786</v>
      </c>
    </row>
    <row r="482" spans="1:6" x14ac:dyDescent="0.2">
      <c r="A482" s="33" t="s">
        <v>72</v>
      </c>
      <c r="B482" s="34" t="s">
        <v>561</v>
      </c>
      <c r="C482" s="34">
        <v>2282600481</v>
      </c>
      <c r="D482" s="34" t="s">
        <v>80</v>
      </c>
      <c r="E482" s="37">
        <v>0</v>
      </c>
      <c r="F482" s="47" t="s">
        <v>786</v>
      </c>
    </row>
    <row r="483" spans="1:6" x14ac:dyDescent="0.2">
      <c r="A483" s="35" t="s">
        <v>72</v>
      </c>
      <c r="B483" s="36" t="s">
        <v>562</v>
      </c>
      <c r="C483" s="36">
        <v>2302600482</v>
      </c>
      <c r="D483" s="36" t="s">
        <v>82</v>
      </c>
      <c r="E483" s="38">
        <v>0</v>
      </c>
      <c r="F483" s="47" t="s">
        <v>786</v>
      </c>
    </row>
    <row r="484" spans="1:6" x14ac:dyDescent="0.2">
      <c r="A484" s="33" t="s">
        <v>72</v>
      </c>
      <c r="B484" s="34" t="s">
        <v>563</v>
      </c>
      <c r="C484" s="34">
        <v>2302600483</v>
      </c>
      <c r="D484" s="34" t="s">
        <v>82</v>
      </c>
      <c r="E484" s="37">
        <v>0</v>
      </c>
      <c r="F484" s="47" t="s">
        <v>786</v>
      </c>
    </row>
    <row r="485" spans="1:6" x14ac:dyDescent="0.2">
      <c r="A485" s="35" t="s">
        <v>72</v>
      </c>
      <c r="B485" s="36" t="s">
        <v>564</v>
      </c>
      <c r="C485" s="36">
        <v>2282600484</v>
      </c>
      <c r="D485" s="36" t="s">
        <v>80</v>
      </c>
      <c r="E485" s="38">
        <v>0</v>
      </c>
      <c r="F485" s="47" t="s">
        <v>786</v>
      </c>
    </row>
    <row r="486" spans="1:6" x14ac:dyDescent="0.2">
      <c r="A486" s="33" t="s">
        <v>72</v>
      </c>
      <c r="B486" s="34" t="s">
        <v>565</v>
      </c>
      <c r="C486" s="34">
        <v>2282600485</v>
      </c>
      <c r="D486" s="34" t="s">
        <v>80</v>
      </c>
      <c r="E486" s="37">
        <v>0</v>
      </c>
      <c r="F486" s="47" t="s">
        <v>786</v>
      </c>
    </row>
    <row r="487" spans="1:6" x14ac:dyDescent="0.2">
      <c r="A487" s="35" t="s">
        <v>72</v>
      </c>
      <c r="B487" s="36" t="s">
        <v>566</v>
      </c>
      <c r="C487" s="36">
        <v>2302600486</v>
      </c>
      <c r="D487" s="36" t="s">
        <v>82</v>
      </c>
      <c r="E487" s="38">
        <v>0</v>
      </c>
      <c r="F487" s="47" t="s">
        <v>786</v>
      </c>
    </row>
    <row r="488" spans="1:6" x14ac:dyDescent="0.2">
      <c r="A488" s="33" t="s">
        <v>72</v>
      </c>
      <c r="B488" s="34" t="s">
        <v>567</v>
      </c>
      <c r="C488" s="34">
        <v>2302600487</v>
      </c>
      <c r="D488" s="34" t="s">
        <v>82</v>
      </c>
      <c r="E488" s="37">
        <v>0</v>
      </c>
      <c r="F488" s="47" t="s">
        <v>786</v>
      </c>
    </row>
    <row r="489" spans="1:6" x14ac:dyDescent="0.2">
      <c r="A489" s="35" t="s">
        <v>72</v>
      </c>
      <c r="B489" s="36" t="s">
        <v>568</v>
      </c>
      <c r="C489" s="36">
        <v>2282600488</v>
      </c>
      <c r="D489" s="36" t="s">
        <v>80</v>
      </c>
      <c r="E489" s="38">
        <v>0</v>
      </c>
      <c r="F489" s="47" t="s">
        <v>786</v>
      </c>
    </row>
    <row r="490" spans="1:6" x14ac:dyDescent="0.2">
      <c r="A490" s="33" t="s">
        <v>72</v>
      </c>
      <c r="B490" s="34" t="s">
        <v>569</v>
      </c>
      <c r="C490" s="34">
        <v>2282600489</v>
      </c>
      <c r="D490" s="34" t="s">
        <v>80</v>
      </c>
      <c r="E490" s="37">
        <v>0</v>
      </c>
      <c r="F490" s="47" t="s">
        <v>786</v>
      </c>
    </row>
    <row r="491" spans="1:6" x14ac:dyDescent="0.2">
      <c r="A491" s="35" t="s">
        <v>72</v>
      </c>
      <c r="B491" s="36" t="s">
        <v>570</v>
      </c>
      <c r="C491" s="36">
        <v>2302600490</v>
      </c>
      <c r="D491" s="36" t="s">
        <v>82</v>
      </c>
      <c r="E491" s="38">
        <v>0</v>
      </c>
      <c r="F491" s="47" t="s">
        <v>786</v>
      </c>
    </row>
    <row r="492" spans="1:6" x14ac:dyDescent="0.2">
      <c r="A492" s="33" t="s">
        <v>72</v>
      </c>
      <c r="B492" s="34" t="s">
        <v>571</v>
      </c>
      <c r="C492" s="34">
        <v>2302600491</v>
      </c>
      <c r="D492" s="34" t="s">
        <v>82</v>
      </c>
      <c r="E492" s="37">
        <v>0</v>
      </c>
      <c r="F492" s="47" t="s">
        <v>786</v>
      </c>
    </row>
    <row r="493" spans="1:6" x14ac:dyDescent="0.2">
      <c r="A493" s="35" t="s">
        <v>72</v>
      </c>
      <c r="B493" s="36" t="s">
        <v>572</v>
      </c>
      <c r="C493" s="36">
        <v>2282600492</v>
      </c>
      <c r="D493" s="36" t="s">
        <v>80</v>
      </c>
      <c r="E493" s="38">
        <v>0</v>
      </c>
      <c r="F493" s="47" t="s">
        <v>786</v>
      </c>
    </row>
    <row r="494" spans="1:6" x14ac:dyDescent="0.2">
      <c r="A494" s="33" t="s">
        <v>72</v>
      </c>
      <c r="B494" s="34" t="s">
        <v>573</v>
      </c>
      <c r="C494" s="34">
        <v>2282600493</v>
      </c>
      <c r="D494" s="34" t="s">
        <v>80</v>
      </c>
      <c r="E494" s="37">
        <v>0</v>
      </c>
      <c r="F494" s="47" t="s">
        <v>786</v>
      </c>
    </row>
    <row r="495" spans="1:6" x14ac:dyDescent="0.2">
      <c r="A495" s="35" t="s">
        <v>72</v>
      </c>
      <c r="B495" s="36" t="s">
        <v>574</v>
      </c>
      <c r="C495" s="36">
        <v>2302600494</v>
      </c>
      <c r="D495" s="36" t="s">
        <v>82</v>
      </c>
      <c r="E495" s="38">
        <v>0</v>
      </c>
      <c r="F495" s="47" t="s">
        <v>786</v>
      </c>
    </row>
    <row r="496" spans="1:6" x14ac:dyDescent="0.2">
      <c r="A496" s="33" t="s">
        <v>72</v>
      </c>
      <c r="B496" s="34" t="s">
        <v>575</v>
      </c>
      <c r="C496" s="34">
        <v>2302600495</v>
      </c>
      <c r="D496" s="34" t="s">
        <v>82</v>
      </c>
      <c r="E496" s="37">
        <v>0</v>
      </c>
      <c r="F496" s="47" t="s">
        <v>786</v>
      </c>
    </row>
    <row r="497" spans="1:6" x14ac:dyDescent="0.2">
      <c r="A497" s="35" t="s">
        <v>72</v>
      </c>
      <c r="B497" s="36" t="s">
        <v>576</v>
      </c>
      <c r="C497" s="36">
        <v>2282600496</v>
      </c>
      <c r="D497" s="36" t="s">
        <v>80</v>
      </c>
      <c r="E497" s="38">
        <v>0</v>
      </c>
      <c r="F497" s="47" t="s">
        <v>786</v>
      </c>
    </row>
    <row r="498" spans="1:6" x14ac:dyDescent="0.2">
      <c r="A498" s="33" t="s">
        <v>72</v>
      </c>
      <c r="B498" s="34" t="s">
        <v>577</v>
      </c>
      <c r="C498" s="34">
        <v>2282600497</v>
      </c>
      <c r="D498" s="34" t="s">
        <v>80</v>
      </c>
      <c r="E498" s="37">
        <v>0</v>
      </c>
      <c r="F498" s="47" t="s">
        <v>786</v>
      </c>
    </row>
    <row r="499" spans="1:6" x14ac:dyDescent="0.2">
      <c r="A499" s="35" t="s">
        <v>72</v>
      </c>
      <c r="B499" s="36" t="s">
        <v>578</v>
      </c>
      <c r="C499" s="36">
        <v>2302600498</v>
      </c>
      <c r="D499" s="36" t="s">
        <v>82</v>
      </c>
      <c r="E499" s="38">
        <v>0</v>
      </c>
      <c r="F499" s="47" t="s">
        <v>786</v>
      </c>
    </row>
    <row r="500" spans="1:6" x14ac:dyDescent="0.2">
      <c r="A500" s="33" t="s">
        <v>72</v>
      </c>
      <c r="B500" s="34" t="s">
        <v>579</v>
      </c>
      <c r="C500" s="34">
        <v>2302600499</v>
      </c>
      <c r="D500" s="34" t="s">
        <v>82</v>
      </c>
      <c r="E500" s="37">
        <v>0</v>
      </c>
      <c r="F500" s="47" t="s">
        <v>786</v>
      </c>
    </row>
    <row r="501" spans="1:6" x14ac:dyDescent="0.2">
      <c r="A501" s="35" t="s">
        <v>72</v>
      </c>
      <c r="B501" s="36" t="s">
        <v>580</v>
      </c>
      <c r="C501" s="36">
        <v>2282600500</v>
      </c>
      <c r="D501" s="36" t="s">
        <v>80</v>
      </c>
      <c r="E501" s="38">
        <v>0</v>
      </c>
      <c r="F501" s="47" t="s">
        <v>786</v>
      </c>
    </row>
    <row r="502" spans="1:6" x14ac:dyDescent="0.2">
      <c r="A502" s="33" t="s">
        <v>72</v>
      </c>
      <c r="B502" s="34" t="s">
        <v>581</v>
      </c>
      <c r="C502" s="34">
        <v>2282600501</v>
      </c>
      <c r="D502" s="34" t="s">
        <v>80</v>
      </c>
      <c r="E502" s="37">
        <v>0</v>
      </c>
      <c r="F502" s="47" t="s">
        <v>786</v>
      </c>
    </row>
    <row r="503" spans="1:6" x14ac:dyDescent="0.2">
      <c r="A503" s="35" t="s">
        <v>72</v>
      </c>
      <c r="B503" s="36" t="s">
        <v>582</v>
      </c>
      <c r="C503" s="36">
        <v>2302600502</v>
      </c>
      <c r="D503" s="36" t="s">
        <v>82</v>
      </c>
      <c r="E503" s="38">
        <v>0</v>
      </c>
      <c r="F503" s="47" t="s">
        <v>786</v>
      </c>
    </row>
    <row r="504" spans="1:6" x14ac:dyDescent="0.2">
      <c r="A504" s="33" t="s">
        <v>72</v>
      </c>
      <c r="B504" s="34" t="s">
        <v>583</v>
      </c>
      <c r="C504" s="34">
        <v>2302600503</v>
      </c>
      <c r="D504" s="34" t="s">
        <v>82</v>
      </c>
      <c r="E504" s="37">
        <v>0</v>
      </c>
      <c r="F504" s="47" t="s">
        <v>786</v>
      </c>
    </row>
    <row r="505" spans="1:6" x14ac:dyDescent="0.2">
      <c r="A505" s="35" t="s">
        <v>72</v>
      </c>
      <c r="B505" s="36" t="s">
        <v>584</v>
      </c>
      <c r="C505" s="36">
        <v>2282600504</v>
      </c>
      <c r="D505" s="36" t="s">
        <v>80</v>
      </c>
      <c r="E505" s="38">
        <v>0</v>
      </c>
      <c r="F505" s="47" t="s">
        <v>786</v>
      </c>
    </row>
    <row r="506" spans="1:6" x14ac:dyDescent="0.2">
      <c r="A506" s="33" t="s">
        <v>72</v>
      </c>
      <c r="B506" s="34" t="s">
        <v>585</v>
      </c>
      <c r="C506" s="34">
        <v>2282600505</v>
      </c>
      <c r="D506" s="34" t="s">
        <v>80</v>
      </c>
      <c r="E506" s="37">
        <v>0</v>
      </c>
      <c r="F506" s="47" t="s">
        <v>786</v>
      </c>
    </row>
    <row r="507" spans="1:6" x14ac:dyDescent="0.2">
      <c r="A507" s="35" t="s">
        <v>72</v>
      </c>
      <c r="B507" s="36" t="s">
        <v>586</v>
      </c>
      <c r="C507" s="36">
        <v>2302600506</v>
      </c>
      <c r="D507" s="36" t="s">
        <v>82</v>
      </c>
      <c r="E507" s="38">
        <v>0</v>
      </c>
      <c r="F507" s="47" t="s">
        <v>786</v>
      </c>
    </row>
    <row r="508" spans="1:6" x14ac:dyDescent="0.2">
      <c r="A508" s="33" t="s">
        <v>72</v>
      </c>
      <c r="B508" s="34" t="s">
        <v>587</v>
      </c>
      <c r="C508" s="34">
        <v>2302600507</v>
      </c>
      <c r="D508" s="34" t="s">
        <v>82</v>
      </c>
      <c r="E508" s="37">
        <v>0</v>
      </c>
      <c r="F508" s="47" t="s">
        <v>786</v>
      </c>
    </row>
    <row r="509" spans="1:6" x14ac:dyDescent="0.2">
      <c r="A509" s="35" t="s">
        <v>72</v>
      </c>
      <c r="B509" s="36" t="s">
        <v>588</v>
      </c>
      <c r="C509" s="36">
        <v>2282600508</v>
      </c>
      <c r="D509" s="36" t="s">
        <v>80</v>
      </c>
      <c r="E509" s="38">
        <v>0</v>
      </c>
      <c r="F509" s="47" t="s">
        <v>786</v>
      </c>
    </row>
    <row r="510" spans="1:6" x14ac:dyDescent="0.2">
      <c r="A510" s="33" t="s">
        <v>72</v>
      </c>
      <c r="B510" s="34" t="s">
        <v>589</v>
      </c>
      <c r="C510" s="34">
        <v>2282600509</v>
      </c>
      <c r="D510" s="34" t="s">
        <v>80</v>
      </c>
      <c r="E510" s="37">
        <v>0</v>
      </c>
      <c r="F510" s="47" t="s">
        <v>786</v>
      </c>
    </row>
    <row r="511" spans="1:6" x14ac:dyDescent="0.2">
      <c r="A511" s="35" t="s">
        <v>72</v>
      </c>
      <c r="B511" s="36" t="s">
        <v>590</v>
      </c>
      <c r="C511" s="36">
        <v>2302600510</v>
      </c>
      <c r="D511" s="36" t="s">
        <v>82</v>
      </c>
      <c r="E511" s="38">
        <v>0</v>
      </c>
      <c r="F511" s="47" t="s">
        <v>786</v>
      </c>
    </row>
    <row r="512" spans="1:6" x14ac:dyDescent="0.2">
      <c r="A512" s="33" t="s">
        <v>72</v>
      </c>
      <c r="B512" s="34" t="s">
        <v>591</v>
      </c>
      <c r="C512" s="34">
        <v>2302600511</v>
      </c>
      <c r="D512" s="34" t="s">
        <v>82</v>
      </c>
      <c r="E512" s="37">
        <v>0</v>
      </c>
      <c r="F512" s="47" t="s">
        <v>786</v>
      </c>
    </row>
    <row r="513" spans="1:6" x14ac:dyDescent="0.2">
      <c r="A513" s="35" t="s">
        <v>72</v>
      </c>
      <c r="B513" s="36" t="s">
        <v>592</v>
      </c>
      <c r="C513" s="36">
        <v>2282600512</v>
      </c>
      <c r="D513" s="36" t="s">
        <v>80</v>
      </c>
      <c r="E513" s="38">
        <v>0</v>
      </c>
      <c r="F513" s="47" t="s">
        <v>786</v>
      </c>
    </row>
    <row r="514" spans="1:6" x14ac:dyDescent="0.2">
      <c r="A514" s="33" t="s">
        <v>73</v>
      </c>
      <c r="B514" s="34" t="s">
        <v>593</v>
      </c>
      <c r="C514" s="34">
        <v>2282600513</v>
      </c>
      <c r="D514" s="34" t="s">
        <v>80</v>
      </c>
      <c r="E514" s="37">
        <v>0</v>
      </c>
      <c r="F514" s="47" t="s">
        <v>786</v>
      </c>
    </row>
    <row r="515" spans="1:6" x14ac:dyDescent="0.2">
      <c r="A515" s="35" t="s">
        <v>73</v>
      </c>
      <c r="B515" s="36" t="s">
        <v>594</v>
      </c>
      <c r="C515" s="36">
        <v>2302600514</v>
      </c>
      <c r="D515" s="36" t="s">
        <v>82</v>
      </c>
      <c r="E515" s="38">
        <v>0</v>
      </c>
      <c r="F515" s="47" t="s">
        <v>786</v>
      </c>
    </row>
    <row r="516" spans="1:6" x14ac:dyDescent="0.2">
      <c r="A516" s="33" t="s">
        <v>73</v>
      </c>
      <c r="B516" s="34" t="s">
        <v>595</v>
      </c>
      <c r="C516" s="34">
        <v>2302600515</v>
      </c>
      <c r="D516" s="34" t="s">
        <v>82</v>
      </c>
      <c r="E516" s="37">
        <v>0</v>
      </c>
      <c r="F516" s="47" t="s">
        <v>786</v>
      </c>
    </row>
    <row r="517" spans="1:6" x14ac:dyDescent="0.2">
      <c r="A517" s="35" t="s">
        <v>73</v>
      </c>
      <c r="B517" s="36" t="s">
        <v>596</v>
      </c>
      <c r="C517" s="36">
        <v>2282600516</v>
      </c>
      <c r="D517" s="36" t="s">
        <v>80</v>
      </c>
      <c r="E517" s="38">
        <v>0</v>
      </c>
      <c r="F517" s="47" t="s">
        <v>786</v>
      </c>
    </row>
    <row r="518" spans="1:6" x14ac:dyDescent="0.2">
      <c r="A518" s="33" t="s">
        <v>73</v>
      </c>
      <c r="B518" s="34" t="s">
        <v>597</v>
      </c>
      <c r="C518" s="34">
        <v>2282600517</v>
      </c>
      <c r="D518" s="34" t="s">
        <v>80</v>
      </c>
      <c r="E518" s="37">
        <v>0</v>
      </c>
      <c r="F518" s="47" t="s">
        <v>786</v>
      </c>
    </row>
    <row r="519" spans="1:6" x14ac:dyDescent="0.2">
      <c r="A519" s="35" t="s">
        <v>73</v>
      </c>
      <c r="B519" s="36" t="s">
        <v>598</v>
      </c>
      <c r="C519" s="36">
        <v>2302600518</v>
      </c>
      <c r="D519" s="36" t="s">
        <v>82</v>
      </c>
      <c r="E519" s="38">
        <v>0</v>
      </c>
      <c r="F519" s="47" t="s">
        <v>786</v>
      </c>
    </row>
    <row r="520" spans="1:6" x14ac:dyDescent="0.2">
      <c r="A520" s="33" t="s">
        <v>73</v>
      </c>
      <c r="B520" s="34" t="s">
        <v>599</v>
      </c>
      <c r="C520" s="34">
        <v>2302600519</v>
      </c>
      <c r="D520" s="34" t="s">
        <v>82</v>
      </c>
      <c r="E520" s="37">
        <v>0</v>
      </c>
      <c r="F520" s="47" t="s">
        <v>786</v>
      </c>
    </row>
    <row r="521" spans="1:6" x14ac:dyDescent="0.2">
      <c r="A521" s="35" t="s">
        <v>73</v>
      </c>
      <c r="B521" s="36" t="s">
        <v>600</v>
      </c>
      <c r="C521" s="36">
        <v>2282600520</v>
      </c>
      <c r="D521" s="36" t="s">
        <v>80</v>
      </c>
      <c r="E521" s="38">
        <v>0</v>
      </c>
      <c r="F521" s="47" t="s">
        <v>786</v>
      </c>
    </row>
    <row r="522" spans="1:6" x14ac:dyDescent="0.2">
      <c r="A522" s="33" t="s">
        <v>73</v>
      </c>
      <c r="B522" s="34" t="s">
        <v>601</v>
      </c>
      <c r="C522" s="34">
        <v>2282600521</v>
      </c>
      <c r="D522" s="34" t="s">
        <v>80</v>
      </c>
      <c r="E522" s="37">
        <v>0</v>
      </c>
      <c r="F522" s="47" t="s">
        <v>786</v>
      </c>
    </row>
    <row r="523" spans="1:6" x14ac:dyDescent="0.2">
      <c r="A523" s="35" t="s">
        <v>73</v>
      </c>
      <c r="B523" s="36" t="s">
        <v>602</v>
      </c>
      <c r="C523" s="36">
        <v>2302600522</v>
      </c>
      <c r="D523" s="36" t="s">
        <v>82</v>
      </c>
      <c r="E523" s="38">
        <v>0</v>
      </c>
      <c r="F523" s="47" t="s">
        <v>786</v>
      </c>
    </row>
    <row r="524" spans="1:6" x14ac:dyDescent="0.2">
      <c r="A524" s="33" t="s">
        <v>73</v>
      </c>
      <c r="B524" s="34" t="s">
        <v>603</v>
      </c>
      <c r="C524" s="34">
        <v>2302600523</v>
      </c>
      <c r="D524" s="34" t="s">
        <v>82</v>
      </c>
      <c r="E524" s="37">
        <v>0</v>
      </c>
      <c r="F524" s="47" t="s">
        <v>786</v>
      </c>
    </row>
    <row r="525" spans="1:6" x14ac:dyDescent="0.2">
      <c r="A525" s="35" t="s">
        <v>73</v>
      </c>
      <c r="B525" s="36" t="s">
        <v>604</v>
      </c>
      <c r="C525" s="36">
        <v>2282600524</v>
      </c>
      <c r="D525" s="36" t="s">
        <v>80</v>
      </c>
      <c r="E525" s="38">
        <v>0</v>
      </c>
      <c r="F525" s="47" t="s">
        <v>786</v>
      </c>
    </row>
    <row r="526" spans="1:6" x14ac:dyDescent="0.2">
      <c r="A526" s="33" t="s">
        <v>73</v>
      </c>
      <c r="B526" s="34" t="s">
        <v>605</v>
      </c>
      <c r="C526" s="34">
        <v>2282600525</v>
      </c>
      <c r="D526" s="34" t="s">
        <v>80</v>
      </c>
      <c r="E526" s="37">
        <v>0</v>
      </c>
      <c r="F526" s="47" t="s">
        <v>786</v>
      </c>
    </row>
    <row r="527" spans="1:6" x14ac:dyDescent="0.2">
      <c r="A527" s="35" t="s">
        <v>73</v>
      </c>
      <c r="B527" s="36" t="s">
        <v>606</v>
      </c>
      <c r="C527" s="36">
        <v>2302600526</v>
      </c>
      <c r="D527" s="36" t="s">
        <v>82</v>
      </c>
      <c r="E527" s="38">
        <v>0</v>
      </c>
      <c r="F527" s="47" t="s">
        <v>786</v>
      </c>
    </row>
    <row r="528" spans="1:6" x14ac:dyDescent="0.2">
      <c r="A528" s="33" t="s">
        <v>73</v>
      </c>
      <c r="B528" s="34" t="s">
        <v>607</v>
      </c>
      <c r="C528" s="34">
        <v>2302600527</v>
      </c>
      <c r="D528" s="34" t="s">
        <v>82</v>
      </c>
      <c r="E528" s="37">
        <v>0</v>
      </c>
      <c r="F528" s="47" t="s">
        <v>786</v>
      </c>
    </row>
    <row r="529" spans="1:6" x14ac:dyDescent="0.2">
      <c r="A529" s="35" t="s">
        <v>73</v>
      </c>
      <c r="B529" s="36" t="s">
        <v>608</v>
      </c>
      <c r="C529" s="36">
        <v>2282600528</v>
      </c>
      <c r="D529" s="36" t="s">
        <v>80</v>
      </c>
      <c r="E529" s="38">
        <v>0</v>
      </c>
      <c r="F529" s="47" t="s">
        <v>786</v>
      </c>
    </row>
    <row r="530" spans="1:6" x14ac:dyDescent="0.2">
      <c r="A530" s="33" t="s">
        <v>73</v>
      </c>
      <c r="B530" s="34" t="s">
        <v>609</v>
      </c>
      <c r="C530" s="34">
        <v>2282600529</v>
      </c>
      <c r="D530" s="34" t="s">
        <v>80</v>
      </c>
      <c r="E530" s="37">
        <v>0</v>
      </c>
      <c r="F530" s="47" t="s">
        <v>786</v>
      </c>
    </row>
    <row r="531" spans="1:6" x14ac:dyDescent="0.2">
      <c r="A531" s="35" t="s">
        <v>73</v>
      </c>
      <c r="B531" s="36" t="s">
        <v>610</v>
      </c>
      <c r="C531" s="36">
        <v>2302600530</v>
      </c>
      <c r="D531" s="36" t="s">
        <v>82</v>
      </c>
      <c r="E531" s="38">
        <v>0</v>
      </c>
      <c r="F531" s="47" t="s">
        <v>786</v>
      </c>
    </row>
    <row r="532" spans="1:6" x14ac:dyDescent="0.2">
      <c r="A532" s="33" t="s">
        <v>73</v>
      </c>
      <c r="B532" s="34" t="s">
        <v>611</v>
      </c>
      <c r="C532" s="34">
        <v>2302600531</v>
      </c>
      <c r="D532" s="34" t="s">
        <v>82</v>
      </c>
      <c r="E532" s="37">
        <v>0</v>
      </c>
      <c r="F532" s="47" t="s">
        <v>786</v>
      </c>
    </row>
    <row r="533" spans="1:6" x14ac:dyDescent="0.2">
      <c r="A533" s="35" t="s">
        <v>73</v>
      </c>
      <c r="B533" s="36" t="s">
        <v>612</v>
      </c>
      <c r="C533" s="36">
        <v>2282600532</v>
      </c>
      <c r="D533" s="36" t="s">
        <v>80</v>
      </c>
      <c r="E533" s="38">
        <v>0</v>
      </c>
      <c r="F533" s="47" t="s">
        <v>786</v>
      </c>
    </row>
    <row r="534" spans="1:6" x14ac:dyDescent="0.2">
      <c r="A534" s="33" t="s">
        <v>73</v>
      </c>
      <c r="B534" s="34" t="s">
        <v>613</v>
      </c>
      <c r="C534" s="34">
        <v>2282600533</v>
      </c>
      <c r="D534" s="34" t="s">
        <v>80</v>
      </c>
      <c r="E534" s="37">
        <v>0</v>
      </c>
      <c r="F534" s="47" t="s">
        <v>786</v>
      </c>
    </row>
    <row r="535" spans="1:6" x14ac:dyDescent="0.2">
      <c r="A535" s="35" t="s">
        <v>73</v>
      </c>
      <c r="B535" s="36" t="s">
        <v>614</v>
      </c>
      <c r="C535" s="36">
        <v>2302600534</v>
      </c>
      <c r="D535" s="36" t="s">
        <v>82</v>
      </c>
      <c r="E535" s="38">
        <v>0</v>
      </c>
      <c r="F535" s="47" t="s">
        <v>786</v>
      </c>
    </row>
    <row r="536" spans="1:6" x14ac:dyDescent="0.2">
      <c r="A536" s="33" t="s">
        <v>73</v>
      </c>
      <c r="B536" s="34" t="s">
        <v>615</v>
      </c>
      <c r="C536" s="34">
        <v>2302600535</v>
      </c>
      <c r="D536" s="34" t="s">
        <v>82</v>
      </c>
      <c r="E536" s="37">
        <v>0</v>
      </c>
      <c r="F536" s="47" t="s">
        <v>786</v>
      </c>
    </row>
    <row r="537" spans="1:6" x14ac:dyDescent="0.2">
      <c r="A537" s="35" t="s">
        <v>73</v>
      </c>
      <c r="B537" s="36" t="s">
        <v>616</v>
      </c>
      <c r="C537" s="36">
        <v>2282600536</v>
      </c>
      <c r="D537" s="36" t="s">
        <v>80</v>
      </c>
      <c r="E537" s="38">
        <v>0</v>
      </c>
      <c r="F537" s="47" t="s">
        <v>786</v>
      </c>
    </row>
    <row r="538" spans="1:6" x14ac:dyDescent="0.2">
      <c r="A538" s="33" t="s">
        <v>73</v>
      </c>
      <c r="B538" s="34" t="s">
        <v>617</v>
      </c>
      <c r="C538" s="34">
        <v>2282600537</v>
      </c>
      <c r="D538" s="34" t="s">
        <v>80</v>
      </c>
      <c r="E538" s="37">
        <v>0</v>
      </c>
      <c r="F538" s="47" t="s">
        <v>786</v>
      </c>
    </row>
    <row r="539" spans="1:6" x14ac:dyDescent="0.2">
      <c r="A539" s="35" t="s">
        <v>73</v>
      </c>
      <c r="B539" s="36" t="s">
        <v>618</v>
      </c>
      <c r="C539" s="36">
        <v>2302600538</v>
      </c>
      <c r="D539" s="36" t="s">
        <v>82</v>
      </c>
      <c r="E539" s="38">
        <v>0</v>
      </c>
      <c r="F539" s="47" t="s">
        <v>786</v>
      </c>
    </row>
    <row r="540" spans="1:6" x14ac:dyDescent="0.2">
      <c r="A540" s="33" t="s">
        <v>73</v>
      </c>
      <c r="B540" s="34" t="s">
        <v>619</v>
      </c>
      <c r="C540" s="34">
        <v>2302600539</v>
      </c>
      <c r="D540" s="34" t="s">
        <v>82</v>
      </c>
      <c r="E540" s="37">
        <v>0</v>
      </c>
      <c r="F540" s="47" t="s">
        <v>786</v>
      </c>
    </row>
    <row r="541" spans="1:6" x14ac:dyDescent="0.2">
      <c r="A541" s="35" t="s">
        <v>73</v>
      </c>
      <c r="B541" s="36" t="s">
        <v>620</v>
      </c>
      <c r="C541" s="36">
        <v>2282600540</v>
      </c>
      <c r="D541" s="36" t="s">
        <v>80</v>
      </c>
      <c r="E541" s="38">
        <v>0</v>
      </c>
      <c r="F541" s="47" t="s">
        <v>786</v>
      </c>
    </row>
    <row r="542" spans="1:6" x14ac:dyDescent="0.2">
      <c r="A542" s="33" t="s">
        <v>73</v>
      </c>
      <c r="B542" s="34" t="s">
        <v>621</v>
      </c>
      <c r="C542" s="34">
        <v>2282600541</v>
      </c>
      <c r="D542" s="34" t="s">
        <v>80</v>
      </c>
      <c r="E542" s="37">
        <v>0</v>
      </c>
      <c r="F542" s="47" t="s">
        <v>786</v>
      </c>
    </row>
    <row r="543" spans="1:6" x14ac:dyDescent="0.2">
      <c r="A543" s="35" t="s">
        <v>73</v>
      </c>
      <c r="B543" s="36" t="s">
        <v>622</v>
      </c>
      <c r="C543" s="36">
        <v>2302600542</v>
      </c>
      <c r="D543" s="36" t="s">
        <v>82</v>
      </c>
      <c r="E543" s="38">
        <v>0</v>
      </c>
      <c r="F543" s="47" t="s">
        <v>786</v>
      </c>
    </row>
    <row r="544" spans="1:6" x14ac:dyDescent="0.2">
      <c r="A544" s="33" t="s">
        <v>73</v>
      </c>
      <c r="B544" s="34" t="s">
        <v>623</v>
      </c>
      <c r="C544" s="34">
        <v>2302600543</v>
      </c>
      <c r="D544" s="34" t="s">
        <v>82</v>
      </c>
      <c r="E544" s="37">
        <v>0</v>
      </c>
      <c r="F544" s="47" t="s">
        <v>786</v>
      </c>
    </row>
    <row r="545" spans="1:6" x14ac:dyDescent="0.2">
      <c r="A545" s="35" t="s">
        <v>73</v>
      </c>
      <c r="B545" s="36" t="s">
        <v>624</v>
      </c>
      <c r="C545" s="36">
        <v>2282600544</v>
      </c>
      <c r="D545" s="36" t="s">
        <v>80</v>
      </c>
      <c r="E545" s="38">
        <v>0</v>
      </c>
      <c r="F545" s="47" t="s">
        <v>786</v>
      </c>
    </row>
    <row r="546" spans="1:6" x14ac:dyDescent="0.2">
      <c r="A546" s="33" t="s">
        <v>74</v>
      </c>
      <c r="B546" s="34" t="s">
        <v>625</v>
      </c>
      <c r="C546" s="34">
        <v>2282600545</v>
      </c>
      <c r="D546" s="34" t="s">
        <v>80</v>
      </c>
      <c r="E546" s="37">
        <v>0</v>
      </c>
      <c r="F546" s="47" t="s">
        <v>786</v>
      </c>
    </row>
    <row r="547" spans="1:6" x14ac:dyDescent="0.2">
      <c r="A547" s="35" t="s">
        <v>74</v>
      </c>
      <c r="B547" s="36" t="s">
        <v>626</v>
      </c>
      <c r="C547" s="36">
        <v>2302600546</v>
      </c>
      <c r="D547" s="36" t="s">
        <v>82</v>
      </c>
      <c r="E547" s="38">
        <v>0</v>
      </c>
      <c r="F547" s="47" t="s">
        <v>786</v>
      </c>
    </row>
    <row r="548" spans="1:6" x14ac:dyDescent="0.2">
      <c r="A548" s="33" t="s">
        <v>74</v>
      </c>
      <c r="B548" s="34" t="s">
        <v>627</v>
      </c>
      <c r="C548" s="34">
        <v>2302600547</v>
      </c>
      <c r="D548" s="34" t="s">
        <v>82</v>
      </c>
      <c r="E548" s="37">
        <v>0</v>
      </c>
      <c r="F548" s="47" t="s">
        <v>786</v>
      </c>
    </row>
    <row r="549" spans="1:6" x14ac:dyDescent="0.2">
      <c r="A549" s="35" t="s">
        <v>74</v>
      </c>
      <c r="B549" s="36" t="s">
        <v>628</v>
      </c>
      <c r="C549" s="36">
        <v>2282600548</v>
      </c>
      <c r="D549" s="36" t="s">
        <v>80</v>
      </c>
      <c r="E549" s="38">
        <v>0</v>
      </c>
      <c r="F549" s="47" t="s">
        <v>786</v>
      </c>
    </row>
    <row r="550" spans="1:6" x14ac:dyDescent="0.2">
      <c r="A550" s="33" t="s">
        <v>74</v>
      </c>
      <c r="B550" s="34" t="s">
        <v>629</v>
      </c>
      <c r="C550" s="34">
        <v>2282600549</v>
      </c>
      <c r="D550" s="34" t="s">
        <v>80</v>
      </c>
      <c r="E550" s="37">
        <v>0</v>
      </c>
      <c r="F550" s="47" t="s">
        <v>786</v>
      </c>
    </row>
    <row r="551" spans="1:6" x14ac:dyDescent="0.2">
      <c r="A551" s="35" t="s">
        <v>74</v>
      </c>
      <c r="B551" s="36" t="s">
        <v>630</v>
      </c>
      <c r="C551" s="36">
        <v>2302600550</v>
      </c>
      <c r="D551" s="36" t="s">
        <v>82</v>
      </c>
      <c r="E551" s="38">
        <v>0</v>
      </c>
      <c r="F551" s="47" t="s">
        <v>786</v>
      </c>
    </row>
    <row r="552" spans="1:6" x14ac:dyDescent="0.2">
      <c r="A552" s="33" t="s">
        <v>74</v>
      </c>
      <c r="B552" s="34" t="s">
        <v>631</v>
      </c>
      <c r="C552" s="34">
        <v>2302600551</v>
      </c>
      <c r="D552" s="34" t="s">
        <v>82</v>
      </c>
      <c r="E552" s="37">
        <v>0</v>
      </c>
      <c r="F552" s="47" t="s">
        <v>786</v>
      </c>
    </row>
    <row r="553" spans="1:6" x14ac:dyDescent="0.2">
      <c r="A553" s="35" t="s">
        <v>74</v>
      </c>
      <c r="B553" s="36" t="s">
        <v>632</v>
      </c>
      <c r="C553" s="36">
        <v>2282600552</v>
      </c>
      <c r="D553" s="36" t="s">
        <v>80</v>
      </c>
      <c r="E553" s="38">
        <v>0</v>
      </c>
      <c r="F553" s="47" t="s">
        <v>786</v>
      </c>
    </row>
    <row r="554" spans="1:6" x14ac:dyDescent="0.2">
      <c r="A554" s="33" t="s">
        <v>74</v>
      </c>
      <c r="B554" s="34" t="s">
        <v>633</v>
      </c>
      <c r="C554" s="34">
        <v>2282600553</v>
      </c>
      <c r="D554" s="34" t="s">
        <v>80</v>
      </c>
      <c r="E554" s="37">
        <v>0</v>
      </c>
      <c r="F554" s="47" t="s">
        <v>786</v>
      </c>
    </row>
    <row r="555" spans="1:6" x14ac:dyDescent="0.2">
      <c r="A555" s="35" t="s">
        <v>74</v>
      </c>
      <c r="B555" s="36" t="s">
        <v>634</v>
      </c>
      <c r="C555" s="36">
        <v>2302600554</v>
      </c>
      <c r="D555" s="36" t="s">
        <v>82</v>
      </c>
      <c r="E555" s="38">
        <v>0</v>
      </c>
      <c r="F555" s="47" t="s">
        <v>786</v>
      </c>
    </row>
    <row r="556" spans="1:6" x14ac:dyDescent="0.2">
      <c r="A556" s="33" t="s">
        <v>74</v>
      </c>
      <c r="B556" s="34" t="s">
        <v>635</v>
      </c>
      <c r="C556" s="34">
        <v>2302600555</v>
      </c>
      <c r="D556" s="34" t="s">
        <v>82</v>
      </c>
      <c r="E556" s="37">
        <v>0</v>
      </c>
      <c r="F556" s="47" t="s">
        <v>786</v>
      </c>
    </row>
    <row r="557" spans="1:6" x14ac:dyDescent="0.2">
      <c r="A557" s="35" t="s">
        <v>74</v>
      </c>
      <c r="B557" s="36" t="s">
        <v>636</v>
      </c>
      <c r="C557" s="36">
        <v>2282600556</v>
      </c>
      <c r="D557" s="36" t="s">
        <v>80</v>
      </c>
      <c r="E557" s="38">
        <v>0</v>
      </c>
      <c r="F557" s="47" t="s">
        <v>786</v>
      </c>
    </row>
    <row r="558" spans="1:6" x14ac:dyDescent="0.2">
      <c r="A558" s="33" t="s">
        <v>74</v>
      </c>
      <c r="B558" s="34" t="s">
        <v>637</v>
      </c>
      <c r="C558" s="34">
        <v>2282600557</v>
      </c>
      <c r="D558" s="34" t="s">
        <v>80</v>
      </c>
      <c r="E558" s="37">
        <v>0</v>
      </c>
      <c r="F558" s="47" t="s">
        <v>786</v>
      </c>
    </row>
    <row r="559" spans="1:6" x14ac:dyDescent="0.2">
      <c r="A559" s="35" t="s">
        <v>74</v>
      </c>
      <c r="B559" s="36" t="s">
        <v>638</v>
      </c>
      <c r="C559" s="36">
        <v>2302600558</v>
      </c>
      <c r="D559" s="36" t="s">
        <v>82</v>
      </c>
      <c r="E559" s="38">
        <v>0</v>
      </c>
      <c r="F559" s="47" t="s">
        <v>786</v>
      </c>
    </row>
    <row r="560" spans="1:6" x14ac:dyDescent="0.2">
      <c r="A560" s="33" t="s">
        <v>74</v>
      </c>
      <c r="B560" s="34" t="s">
        <v>639</v>
      </c>
      <c r="C560" s="34">
        <v>2302600559</v>
      </c>
      <c r="D560" s="34" t="s">
        <v>82</v>
      </c>
      <c r="E560" s="37">
        <v>0</v>
      </c>
      <c r="F560" s="47" t="s">
        <v>786</v>
      </c>
    </row>
    <row r="561" spans="1:6" x14ac:dyDescent="0.2">
      <c r="A561" s="35" t="s">
        <v>74</v>
      </c>
      <c r="B561" s="36" t="s">
        <v>640</v>
      </c>
      <c r="C561" s="36">
        <v>2282600560</v>
      </c>
      <c r="D561" s="36" t="s">
        <v>80</v>
      </c>
      <c r="E561" s="38">
        <v>0</v>
      </c>
      <c r="F561" s="47" t="s">
        <v>786</v>
      </c>
    </row>
    <row r="562" spans="1:6" x14ac:dyDescent="0.2">
      <c r="A562" s="33" t="s">
        <v>74</v>
      </c>
      <c r="B562" s="34" t="s">
        <v>641</v>
      </c>
      <c r="C562" s="34">
        <v>2282600561</v>
      </c>
      <c r="D562" s="34" t="s">
        <v>80</v>
      </c>
      <c r="E562" s="37">
        <v>0</v>
      </c>
      <c r="F562" s="47" t="s">
        <v>786</v>
      </c>
    </row>
    <row r="563" spans="1:6" x14ac:dyDescent="0.2">
      <c r="A563" s="35" t="s">
        <v>74</v>
      </c>
      <c r="B563" s="36" t="s">
        <v>642</v>
      </c>
      <c r="C563" s="36">
        <v>2302600562</v>
      </c>
      <c r="D563" s="36" t="s">
        <v>82</v>
      </c>
      <c r="E563" s="38">
        <v>0</v>
      </c>
      <c r="F563" s="47" t="s">
        <v>786</v>
      </c>
    </row>
    <row r="564" spans="1:6" x14ac:dyDescent="0.2">
      <c r="A564" s="33" t="s">
        <v>74</v>
      </c>
      <c r="B564" s="34" t="s">
        <v>643</v>
      </c>
      <c r="C564" s="34">
        <v>2302600563</v>
      </c>
      <c r="D564" s="34" t="s">
        <v>82</v>
      </c>
      <c r="E564" s="37">
        <v>0</v>
      </c>
      <c r="F564" s="47" t="s">
        <v>786</v>
      </c>
    </row>
    <row r="565" spans="1:6" x14ac:dyDescent="0.2">
      <c r="A565" s="35" t="s">
        <v>74</v>
      </c>
      <c r="B565" s="36" t="s">
        <v>644</v>
      </c>
      <c r="C565" s="36">
        <v>2282600564</v>
      </c>
      <c r="D565" s="36" t="s">
        <v>80</v>
      </c>
      <c r="E565" s="38">
        <v>0</v>
      </c>
      <c r="F565" s="47" t="s">
        <v>786</v>
      </c>
    </row>
    <row r="566" spans="1:6" x14ac:dyDescent="0.2">
      <c r="A566" s="33" t="s">
        <v>74</v>
      </c>
      <c r="B566" s="34" t="s">
        <v>645</v>
      </c>
      <c r="C566" s="34">
        <v>2282600565</v>
      </c>
      <c r="D566" s="34" t="s">
        <v>80</v>
      </c>
      <c r="E566" s="37">
        <v>0</v>
      </c>
      <c r="F566" s="47" t="s">
        <v>786</v>
      </c>
    </row>
    <row r="567" spans="1:6" x14ac:dyDescent="0.2">
      <c r="A567" s="35" t="s">
        <v>74</v>
      </c>
      <c r="B567" s="36" t="s">
        <v>646</v>
      </c>
      <c r="C567" s="36">
        <v>2302600566</v>
      </c>
      <c r="D567" s="36" t="s">
        <v>82</v>
      </c>
      <c r="E567" s="38">
        <v>0</v>
      </c>
      <c r="F567" s="47" t="s">
        <v>786</v>
      </c>
    </row>
    <row r="568" spans="1:6" x14ac:dyDescent="0.2">
      <c r="A568" s="33" t="s">
        <v>74</v>
      </c>
      <c r="B568" s="34" t="s">
        <v>647</v>
      </c>
      <c r="C568" s="34">
        <v>2302600567</v>
      </c>
      <c r="D568" s="34" t="s">
        <v>82</v>
      </c>
      <c r="E568" s="37">
        <v>0</v>
      </c>
      <c r="F568" s="47" t="s">
        <v>786</v>
      </c>
    </row>
    <row r="569" spans="1:6" x14ac:dyDescent="0.2">
      <c r="A569" s="35" t="s">
        <v>74</v>
      </c>
      <c r="B569" s="36" t="s">
        <v>648</v>
      </c>
      <c r="C569" s="36">
        <v>2282600568</v>
      </c>
      <c r="D569" s="36" t="s">
        <v>80</v>
      </c>
      <c r="E569" s="38">
        <v>0</v>
      </c>
      <c r="F569" s="47" t="s">
        <v>786</v>
      </c>
    </row>
    <row r="570" spans="1:6" x14ac:dyDescent="0.2">
      <c r="A570" s="33" t="s">
        <v>74</v>
      </c>
      <c r="B570" s="34" t="s">
        <v>649</v>
      </c>
      <c r="C570" s="34">
        <v>2282600569</v>
      </c>
      <c r="D570" s="34" t="s">
        <v>80</v>
      </c>
      <c r="E570" s="37">
        <v>0</v>
      </c>
      <c r="F570" s="47" t="s">
        <v>786</v>
      </c>
    </row>
    <row r="571" spans="1:6" x14ac:dyDescent="0.2">
      <c r="A571" s="35" t="s">
        <v>74</v>
      </c>
      <c r="B571" s="36" t="s">
        <v>650</v>
      </c>
      <c r="C571" s="36">
        <v>2302600570</v>
      </c>
      <c r="D571" s="36" t="s">
        <v>82</v>
      </c>
      <c r="E571" s="38">
        <v>0</v>
      </c>
      <c r="F571" s="47" t="s">
        <v>786</v>
      </c>
    </row>
    <row r="572" spans="1:6" x14ac:dyDescent="0.2">
      <c r="A572" s="33" t="s">
        <v>74</v>
      </c>
      <c r="B572" s="34" t="s">
        <v>651</v>
      </c>
      <c r="C572" s="34">
        <v>2302600571</v>
      </c>
      <c r="D572" s="34" t="s">
        <v>82</v>
      </c>
      <c r="E572" s="37">
        <v>0</v>
      </c>
      <c r="F572" s="47" t="s">
        <v>786</v>
      </c>
    </row>
    <row r="573" spans="1:6" x14ac:dyDescent="0.2">
      <c r="A573" s="35" t="s">
        <v>74</v>
      </c>
      <c r="B573" s="36" t="s">
        <v>652</v>
      </c>
      <c r="C573" s="36">
        <v>2282600572</v>
      </c>
      <c r="D573" s="36" t="s">
        <v>80</v>
      </c>
      <c r="E573" s="38">
        <v>0</v>
      </c>
      <c r="F573" s="47" t="s">
        <v>786</v>
      </c>
    </row>
    <row r="574" spans="1:6" x14ac:dyDescent="0.2">
      <c r="A574" s="33" t="s">
        <v>74</v>
      </c>
      <c r="B574" s="34" t="s">
        <v>653</v>
      </c>
      <c r="C574" s="34">
        <v>2282600573</v>
      </c>
      <c r="D574" s="34" t="s">
        <v>80</v>
      </c>
      <c r="E574" s="37">
        <v>0</v>
      </c>
      <c r="F574" s="47" t="s">
        <v>786</v>
      </c>
    </row>
    <row r="575" spans="1:6" x14ac:dyDescent="0.2">
      <c r="A575" s="35" t="s">
        <v>74</v>
      </c>
      <c r="B575" s="36" t="s">
        <v>654</v>
      </c>
      <c r="C575" s="36">
        <v>2302600574</v>
      </c>
      <c r="D575" s="36" t="s">
        <v>82</v>
      </c>
      <c r="E575" s="38">
        <v>0</v>
      </c>
      <c r="F575" s="47" t="s">
        <v>786</v>
      </c>
    </row>
    <row r="576" spans="1:6" x14ac:dyDescent="0.2">
      <c r="A576" s="33" t="s">
        <v>74</v>
      </c>
      <c r="B576" s="34" t="s">
        <v>655</v>
      </c>
      <c r="C576" s="34">
        <v>2302600575</v>
      </c>
      <c r="D576" s="34" t="s">
        <v>82</v>
      </c>
      <c r="E576" s="37">
        <v>0</v>
      </c>
      <c r="F576" s="47" t="s">
        <v>786</v>
      </c>
    </row>
    <row r="577" spans="1:6" x14ac:dyDescent="0.2">
      <c r="A577" s="35" t="s">
        <v>74</v>
      </c>
      <c r="B577" s="36" t="s">
        <v>656</v>
      </c>
      <c r="C577" s="36">
        <v>2282600576</v>
      </c>
      <c r="D577" s="36" t="s">
        <v>80</v>
      </c>
      <c r="E577" s="38">
        <v>0</v>
      </c>
      <c r="F577" s="47" t="s">
        <v>786</v>
      </c>
    </row>
    <row r="578" spans="1:6" x14ac:dyDescent="0.2">
      <c r="A578" s="33" t="s">
        <v>75</v>
      </c>
      <c r="B578" s="34" t="s">
        <v>657</v>
      </c>
      <c r="C578" s="34">
        <v>2282600577</v>
      </c>
      <c r="D578" s="34" t="s">
        <v>80</v>
      </c>
      <c r="E578" s="37">
        <v>0</v>
      </c>
      <c r="F578" s="47" t="s">
        <v>786</v>
      </c>
    </row>
    <row r="579" spans="1:6" x14ac:dyDescent="0.2">
      <c r="A579" s="35" t="s">
        <v>75</v>
      </c>
      <c r="B579" s="36" t="s">
        <v>658</v>
      </c>
      <c r="C579" s="36">
        <v>2302600578</v>
      </c>
      <c r="D579" s="36" t="s">
        <v>82</v>
      </c>
      <c r="E579" s="38">
        <v>0</v>
      </c>
      <c r="F579" s="47" t="s">
        <v>786</v>
      </c>
    </row>
    <row r="580" spans="1:6" x14ac:dyDescent="0.2">
      <c r="A580" s="33" t="s">
        <v>75</v>
      </c>
      <c r="B580" s="34" t="s">
        <v>659</v>
      </c>
      <c r="C580" s="34">
        <v>2302600579</v>
      </c>
      <c r="D580" s="34" t="s">
        <v>82</v>
      </c>
      <c r="E580" s="37">
        <v>0</v>
      </c>
      <c r="F580" s="47" t="s">
        <v>786</v>
      </c>
    </row>
    <row r="581" spans="1:6" x14ac:dyDescent="0.2">
      <c r="A581" s="35" t="s">
        <v>75</v>
      </c>
      <c r="B581" s="36" t="s">
        <v>660</v>
      </c>
      <c r="C581" s="36">
        <v>2282600580</v>
      </c>
      <c r="D581" s="36" t="s">
        <v>80</v>
      </c>
      <c r="E581" s="38">
        <v>0</v>
      </c>
      <c r="F581" s="47" t="s">
        <v>786</v>
      </c>
    </row>
    <row r="582" spans="1:6" x14ac:dyDescent="0.2">
      <c r="A582" s="33" t="s">
        <v>75</v>
      </c>
      <c r="B582" s="34" t="s">
        <v>661</v>
      </c>
      <c r="C582" s="34">
        <v>2282600581</v>
      </c>
      <c r="D582" s="34" t="s">
        <v>80</v>
      </c>
      <c r="E582" s="37">
        <v>0</v>
      </c>
      <c r="F582" s="47" t="s">
        <v>786</v>
      </c>
    </row>
    <row r="583" spans="1:6" x14ac:dyDescent="0.2">
      <c r="A583" s="35" t="s">
        <v>75</v>
      </c>
      <c r="B583" s="36" t="s">
        <v>662</v>
      </c>
      <c r="C583" s="36">
        <v>2302600582</v>
      </c>
      <c r="D583" s="36" t="s">
        <v>82</v>
      </c>
      <c r="E583" s="38">
        <v>0</v>
      </c>
      <c r="F583" s="47" t="s">
        <v>786</v>
      </c>
    </row>
    <row r="584" spans="1:6" x14ac:dyDescent="0.2">
      <c r="A584" s="33" t="s">
        <v>75</v>
      </c>
      <c r="B584" s="34" t="s">
        <v>663</v>
      </c>
      <c r="C584" s="34">
        <v>2302600583</v>
      </c>
      <c r="D584" s="34" t="s">
        <v>82</v>
      </c>
      <c r="E584" s="37">
        <v>0</v>
      </c>
      <c r="F584" s="47" t="s">
        <v>786</v>
      </c>
    </row>
    <row r="585" spans="1:6" x14ac:dyDescent="0.2">
      <c r="A585" s="35" t="s">
        <v>75</v>
      </c>
      <c r="B585" s="36" t="s">
        <v>664</v>
      </c>
      <c r="C585" s="36">
        <v>2282600584</v>
      </c>
      <c r="D585" s="36" t="s">
        <v>80</v>
      </c>
      <c r="E585" s="38">
        <v>0</v>
      </c>
      <c r="F585" s="47" t="s">
        <v>786</v>
      </c>
    </row>
    <row r="586" spans="1:6" x14ac:dyDescent="0.2">
      <c r="A586" s="33" t="s">
        <v>75</v>
      </c>
      <c r="B586" s="34" t="s">
        <v>665</v>
      </c>
      <c r="C586" s="34">
        <v>2282600585</v>
      </c>
      <c r="D586" s="34" t="s">
        <v>80</v>
      </c>
      <c r="E586" s="37">
        <v>0</v>
      </c>
      <c r="F586" s="47" t="s">
        <v>786</v>
      </c>
    </row>
    <row r="587" spans="1:6" x14ac:dyDescent="0.2">
      <c r="A587" s="35" t="s">
        <v>75</v>
      </c>
      <c r="B587" s="36" t="s">
        <v>666</v>
      </c>
      <c r="C587" s="36">
        <v>2302600586</v>
      </c>
      <c r="D587" s="36" t="s">
        <v>82</v>
      </c>
      <c r="E587" s="38">
        <v>0</v>
      </c>
      <c r="F587" s="47" t="s">
        <v>786</v>
      </c>
    </row>
    <row r="588" spans="1:6" x14ac:dyDescent="0.2">
      <c r="A588" s="33" t="s">
        <v>75</v>
      </c>
      <c r="B588" s="34" t="s">
        <v>667</v>
      </c>
      <c r="C588" s="34">
        <v>2302600587</v>
      </c>
      <c r="D588" s="34" t="s">
        <v>82</v>
      </c>
      <c r="E588" s="37">
        <v>0</v>
      </c>
      <c r="F588" s="47" t="s">
        <v>786</v>
      </c>
    </row>
    <row r="589" spans="1:6" x14ac:dyDescent="0.2">
      <c r="A589" s="35" t="s">
        <v>75</v>
      </c>
      <c r="B589" s="36" t="s">
        <v>668</v>
      </c>
      <c r="C589" s="36">
        <v>2282600588</v>
      </c>
      <c r="D589" s="36" t="s">
        <v>80</v>
      </c>
      <c r="E589" s="38">
        <v>0</v>
      </c>
      <c r="F589" s="47" t="s">
        <v>786</v>
      </c>
    </row>
    <row r="590" spans="1:6" x14ac:dyDescent="0.2">
      <c r="A590" s="33" t="s">
        <v>75</v>
      </c>
      <c r="B590" s="34" t="s">
        <v>669</v>
      </c>
      <c r="C590" s="34">
        <v>2282600589</v>
      </c>
      <c r="D590" s="34" t="s">
        <v>80</v>
      </c>
      <c r="E590" s="37">
        <v>0</v>
      </c>
      <c r="F590" s="47" t="s">
        <v>786</v>
      </c>
    </row>
    <row r="591" spans="1:6" x14ac:dyDescent="0.2">
      <c r="A591" s="35" t="s">
        <v>75</v>
      </c>
      <c r="B591" s="36" t="s">
        <v>670</v>
      </c>
      <c r="C591" s="36">
        <v>2302600590</v>
      </c>
      <c r="D591" s="36" t="s">
        <v>82</v>
      </c>
      <c r="E591" s="38">
        <v>0</v>
      </c>
      <c r="F591" s="47" t="s">
        <v>786</v>
      </c>
    </row>
    <row r="592" spans="1:6" x14ac:dyDescent="0.2">
      <c r="A592" s="33" t="s">
        <v>75</v>
      </c>
      <c r="B592" s="34" t="s">
        <v>671</v>
      </c>
      <c r="C592" s="34">
        <v>2302600591</v>
      </c>
      <c r="D592" s="34" t="s">
        <v>82</v>
      </c>
      <c r="E592" s="37">
        <v>0</v>
      </c>
      <c r="F592" s="47" t="s">
        <v>786</v>
      </c>
    </row>
    <row r="593" spans="1:6" x14ac:dyDescent="0.2">
      <c r="A593" s="35" t="s">
        <v>75</v>
      </c>
      <c r="B593" s="36" t="s">
        <v>672</v>
      </c>
      <c r="C593" s="36">
        <v>2282600592</v>
      </c>
      <c r="D593" s="36" t="s">
        <v>80</v>
      </c>
      <c r="E593" s="38">
        <v>0</v>
      </c>
      <c r="F593" s="47" t="s">
        <v>786</v>
      </c>
    </row>
    <row r="594" spans="1:6" x14ac:dyDescent="0.2">
      <c r="A594" s="33" t="s">
        <v>75</v>
      </c>
      <c r="B594" s="34" t="s">
        <v>673</v>
      </c>
      <c r="C594" s="34">
        <v>2282600593</v>
      </c>
      <c r="D594" s="34" t="s">
        <v>80</v>
      </c>
      <c r="E594" s="37">
        <v>0</v>
      </c>
      <c r="F594" s="47" t="s">
        <v>786</v>
      </c>
    </row>
    <row r="595" spans="1:6" x14ac:dyDescent="0.2">
      <c r="A595" s="35" t="s">
        <v>75</v>
      </c>
      <c r="B595" s="36" t="s">
        <v>674</v>
      </c>
      <c r="C595" s="36">
        <v>2302600594</v>
      </c>
      <c r="D595" s="36" t="s">
        <v>82</v>
      </c>
      <c r="E595" s="38">
        <v>0</v>
      </c>
      <c r="F595" s="47" t="s">
        <v>786</v>
      </c>
    </row>
    <row r="596" spans="1:6" x14ac:dyDescent="0.2">
      <c r="A596" s="33" t="s">
        <v>75</v>
      </c>
      <c r="B596" s="34" t="s">
        <v>675</v>
      </c>
      <c r="C596" s="34">
        <v>2302600595</v>
      </c>
      <c r="D596" s="34" t="s">
        <v>82</v>
      </c>
      <c r="E596" s="37">
        <v>0</v>
      </c>
      <c r="F596" s="47" t="s">
        <v>786</v>
      </c>
    </row>
    <row r="597" spans="1:6" x14ac:dyDescent="0.2">
      <c r="A597" s="35" t="s">
        <v>75</v>
      </c>
      <c r="B597" s="36" t="s">
        <v>676</v>
      </c>
      <c r="C597" s="36">
        <v>2282600596</v>
      </c>
      <c r="D597" s="36" t="s">
        <v>80</v>
      </c>
      <c r="E597" s="38">
        <v>0</v>
      </c>
      <c r="F597" s="47" t="s">
        <v>786</v>
      </c>
    </row>
    <row r="598" spans="1:6" x14ac:dyDescent="0.2">
      <c r="A598" s="33" t="s">
        <v>75</v>
      </c>
      <c r="B598" s="34" t="s">
        <v>677</v>
      </c>
      <c r="C598" s="34">
        <v>2282600597</v>
      </c>
      <c r="D598" s="34" t="s">
        <v>80</v>
      </c>
      <c r="E598" s="37">
        <v>0</v>
      </c>
      <c r="F598" s="47" t="s">
        <v>786</v>
      </c>
    </row>
    <row r="599" spans="1:6" x14ac:dyDescent="0.2">
      <c r="A599" s="35" t="s">
        <v>75</v>
      </c>
      <c r="B599" s="36" t="s">
        <v>678</v>
      </c>
      <c r="C599" s="36">
        <v>2302600598</v>
      </c>
      <c r="D599" s="36" t="s">
        <v>82</v>
      </c>
      <c r="E599" s="38">
        <v>0</v>
      </c>
      <c r="F599" s="47" t="s">
        <v>786</v>
      </c>
    </row>
    <row r="600" spans="1:6" x14ac:dyDescent="0.2">
      <c r="A600" s="33" t="s">
        <v>75</v>
      </c>
      <c r="B600" s="34" t="s">
        <v>679</v>
      </c>
      <c r="C600" s="34">
        <v>2302600599</v>
      </c>
      <c r="D600" s="34" t="s">
        <v>82</v>
      </c>
      <c r="E600" s="37">
        <v>0</v>
      </c>
      <c r="F600" s="47" t="s">
        <v>786</v>
      </c>
    </row>
    <row r="601" spans="1:6" x14ac:dyDescent="0.2">
      <c r="A601" s="35" t="s">
        <v>75</v>
      </c>
      <c r="B601" s="36" t="s">
        <v>680</v>
      </c>
      <c r="C601" s="36">
        <v>2282600600</v>
      </c>
      <c r="D601" s="36" t="s">
        <v>80</v>
      </c>
      <c r="E601" s="38">
        <v>0</v>
      </c>
      <c r="F601" s="47" t="s">
        <v>786</v>
      </c>
    </row>
    <row r="602" spans="1:6" x14ac:dyDescent="0.2">
      <c r="A602" s="33" t="s">
        <v>75</v>
      </c>
      <c r="B602" s="34" t="s">
        <v>681</v>
      </c>
      <c r="C602" s="34">
        <v>2282600601</v>
      </c>
      <c r="D602" s="34" t="s">
        <v>80</v>
      </c>
      <c r="E602" s="37">
        <v>0</v>
      </c>
      <c r="F602" s="47" t="s">
        <v>786</v>
      </c>
    </row>
    <row r="603" spans="1:6" x14ac:dyDescent="0.2">
      <c r="A603" s="35" t="s">
        <v>75</v>
      </c>
      <c r="B603" s="36" t="s">
        <v>682</v>
      </c>
      <c r="C603" s="36">
        <v>2302600602</v>
      </c>
      <c r="D603" s="36" t="s">
        <v>82</v>
      </c>
      <c r="E603" s="38">
        <v>0</v>
      </c>
      <c r="F603" s="47" t="s">
        <v>786</v>
      </c>
    </row>
    <row r="604" spans="1:6" x14ac:dyDescent="0.2">
      <c r="A604" s="33" t="s">
        <v>75</v>
      </c>
      <c r="B604" s="34" t="s">
        <v>683</v>
      </c>
      <c r="C604" s="34">
        <v>2302600603</v>
      </c>
      <c r="D604" s="34" t="s">
        <v>82</v>
      </c>
      <c r="E604" s="37">
        <v>0</v>
      </c>
      <c r="F604" s="47" t="s">
        <v>786</v>
      </c>
    </row>
    <row r="605" spans="1:6" x14ac:dyDescent="0.2">
      <c r="A605" s="35" t="s">
        <v>75</v>
      </c>
      <c r="B605" s="36" t="s">
        <v>684</v>
      </c>
      <c r="C605" s="36">
        <v>2282600604</v>
      </c>
      <c r="D605" s="36" t="s">
        <v>80</v>
      </c>
      <c r="E605" s="38">
        <v>0</v>
      </c>
      <c r="F605" s="47" t="s">
        <v>786</v>
      </c>
    </row>
    <row r="606" spans="1:6" x14ac:dyDescent="0.2">
      <c r="A606" s="33" t="s">
        <v>75</v>
      </c>
      <c r="B606" s="34" t="s">
        <v>685</v>
      </c>
      <c r="C606" s="34">
        <v>2282600605</v>
      </c>
      <c r="D606" s="34" t="s">
        <v>80</v>
      </c>
      <c r="E606" s="37">
        <v>0</v>
      </c>
      <c r="F606" s="47" t="s">
        <v>786</v>
      </c>
    </row>
    <row r="607" spans="1:6" x14ac:dyDescent="0.2">
      <c r="A607" s="35" t="s">
        <v>75</v>
      </c>
      <c r="B607" s="36" t="s">
        <v>686</v>
      </c>
      <c r="C607" s="36">
        <v>2302600606</v>
      </c>
      <c r="D607" s="36" t="s">
        <v>82</v>
      </c>
      <c r="E607" s="38">
        <v>0</v>
      </c>
      <c r="F607" s="47" t="s">
        <v>786</v>
      </c>
    </row>
    <row r="608" spans="1:6" x14ac:dyDescent="0.2">
      <c r="A608" s="33" t="s">
        <v>75</v>
      </c>
      <c r="B608" s="34" t="s">
        <v>687</v>
      </c>
      <c r="C608" s="34">
        <v>2302600607</v>
      </c>
      <c r="D608" s="34" t="s">
        <v>82</v>
      </c>
      <c r="E608" s="37">
        <v>0</v>
      </c>
      <c r="F608" s="47" t="s">
        <v>786</v>
      </c>
    </row>
    <row r="609" spans="1:6" x14ac:dyDescent="0.2">
      <c r="A609" s="35" t="s">
        <v>75</v>
      </c>
      <c r="B609" s="36" t="s">
        <v>688</v>
      </c>
      <c r="C609" s="36">
        <v>2282600608</v>
      </c>
      <c r="D609" s="36" t="s">
        <v>80</v>
      </c>
      <c r="E609" s="38">
        <v>0</v>
      </c>
      <c r="F609" s="47" t="s">
        <v>786</v>
      </c>
    </row>
    <row r="610" spans="1:6" x14ac:dyDescent="0.2">
      <c r="A610" s="33" t="s">
        <v>76</v>
      </c>
      <c r="B610" s="34" t="s">
        <v>689</v>
      </c>
      <c r="C610" s="34">
        <v>2282600609</v>
      </c>
      <c r="D610" s="34" t="s">
        <v>80</v>
      </c>
      <c r="E610" s="37">
        <v>0</v>
      </c>
      <c r="F610" s="47" t="s">
        <v>786</v>
      </c>
    </row>
    <row r="611" spans="1:6" x14ac:dyDescent="0.2">
      <c r="A611" s="35" t="s">
        <v>76</v>
      </c>
      <c r="B611" s="36" t="s">
        <v>690</v>
      </c>
      <c r="C611" s="36">
        <v>2302600610</v>
      </c>
      <c r="D611" s="36" t="s">
        <v>82</v>
      </c>
      <c r="E611" s="38">
        <v>0</v>
      </c>
      <c r="F611" s="47" t="s">
        <v>786</v>
      </c>
    </row>
    <row r="612" spans="1:6" x14ac:dyDescent="0.2">
      <c r="A612" s="33" t="s">
        <v>76</v>
      </c>
      <c r="B612" s="34" t="s">
        <v>691</v>
      </c>
      <c r="C612" s="34">
        <v>2302600611</v>
      </c>
      <c r="D612" s="34" t="s">
        <v>82</v>
      </c>
      <c r="E612" s="37">
        <v>0</v>
      </c>
      <c r="F612" s="47" t="s">
        <v>786</v>
      </c>
    </row>
    <row r="613" spans="1:6" x14ac:dyDescent="0.2">
      <c r="A613" s="35" t="s">
        <v>76</v>
      </c>
      <c r="B613" s="36" t="s">
        <v>692</v>
      </c>
      <c r="C613" s="36">
        <v>2282600612</v>
      </c>
      <c r="D613" s="36" t="s">
        <v>80</v>
      </c>
      <c r="E613" s="38">
        <v>0</v>
      </c>
      <c r="F613" s="47" t="s">
        <v>786</v>
      </c>
    </row>
    <row r="614" spans="1:6" x14ac:dyDescent="0.2">
      <c r="A614" s="33" t="s">
        <v>76</v>
      </c>
      <c r="B614" s="34" t="s">
        <v>693</v>
      </c>
      <c r="C614" s="34">
        <v>2282600613</v>
      </c>
      <c r="D614" s="34" t="s">
        <v>80</v>
      </c>
      <c r="E614" s="37">
        <v>0</v>
      </c>
      <c r="F614" s="47" t="s">
        <v>786</v>
      </c>
    </row>
    <row r="615" spans="1:6" x14ac:dyDescent="0.2">
      <c r="A615" s="35" t="s">
        <v>76</v>
      </c>
      <c r="B615" s="36" t="s">
        <v>694</v>
      </c>
      <c r="C615" s="36">
        <v>2302600614</v>
      </c>
      <c r="D615" s="36" t="s">
        <v>82</v>
      </c>
      <c r="E615" s="38">
        <v>0</v>
      </c>
      <c r="F615" s="47" t="s">
        <v>786</v>
      </c>
    </row>
    <row r="616" spans="1:6" x14ac:dyDescent="0.2">
      <c r="A616" s="33" t="s">
        <v>76</v>
      </c>
      <c r="B616" s="34" t="s">
        <v>695</v>
      </c>
      <c r="C616" s="34">
        <v>2302600615</v>
      </c>
      <c r="D616" s="34" t="s">
        <v>82</v>
      </c>
      <c r="E616" s="37">
        <v>0</v>
      </c>
      <c r="F616" s="47" t="s">
        <v>786</v>
      </c>
    </row>
    <row r="617" spans="1:6" x14ac:dyDescent="0.2">
      <c r="A617" s="35" t="s">
        <v>76</v>
      </c>
      <c r="B617" s="36" t="s">
        <v>696</v>
      </c>
      <c r="C617" s="36">
        <v>2282600616</v>
      </c>
      <c r="D617" s="36" t="s">
        <v>80</v>
      </c>
      <c r="E617" s="38">
        <v>0</v>
      </c>
      <c r="F617" s="47" t="s">
        <v>786</v>
      </c>
    </row>
    <row r="618" spans="1:6" x14ac:dyDescent="0.2">
      <c r="A618" s="33" t="s">
        <v>76</v>
      </c>
      <c r="B618" s="34" t="s">
        <v>697</v>
      </c>
      <c r="C618" s="34">
        <v>2282600617</v>
      </c>
      <c r="D618" s="34" t="s">
        <v>80</v>
      </c>
      <c r="E618" s="37">
        <v>0</v>
      </c>
      <c r="F618" s="47" t="s">
        <v>786</v>
      </c>
    </row>
    <row r="619" spans="1:6" x14ac:dyDescent="0.2">
      <c r="A619" s="35" t="s">
        <v>76</v>
      </c>
      <c r="B619" s="36" t="s">
        <v>698</v>
      </c>
      <c r="C619" s="36">
        <v>2302600618</v>
      </c>
      <c r="D619" s="36" t="s">
        <v>82</v>
      </c>
      <c r="E619" s="38">
        <v>0</v>
      </c>
      <c r="F619" s="47" t="s">
        <v>786</v>
      </c>
    </row>
    <row r="620" spans="1:6" x14ac:dyDescent="0.2">
      <c r="A620" s="33" t="s">
        <v>76</v>
      </c>
      <c r="B620" s="34" t="s">
        <v>699</v>
      </c>
      <c r="C620" s="34">
        <v>2302600619</v>
      </c>
      <c r="D620" s="34" t="s">
        <v>82</v>
      </c>
      <c r="E620" s="37">
        <v>0</v>
      </c>
      <c r="F620" s="47" t="s">
        <v>786</v>
      </c>
    </row>
    <row r="621" spans="1:6" x14ac:dyDescent="0.2">
      <c r="A621" s="35" t="s">
        <v>76</v>
      </c>
      <c r="B621" s="36" t="s">
        <v>700</v>
      </c>
      <c r="C621" s="36">
        <v>2282600620</v>
      </c>
      <c r="D621" s="36" t="s">
        <v>80</v>
      </c>
      <c r="E621" s="38">
        <v>0</v>
      </c>
      <c r="F621" s="47" t="s">
        <v>786</v>
      </c>
    </row>
    <row r="622" spans="1:6" x14ac:dyDescent="0.2">
      <c r="A622" s="33" t="s">
        <v>76</v>
      </c>
      <c r="B622" s="34" t="s">
        <v>701</v>
      </c>
      <c r="C622" s="34">
        <v>2282600621</v>
      </c>
      <c r="D622" s="34" t="s">
        <v>80</v>
      </c>
      <c r="E622" s="37">
        <v>0</v>
      </c>
      <c r="F622" s="47" t="s">
        <v>786</v>
      </c>
    </row>
    <row r="623" spans="1:6" x14ac:dyDescent="0.2">
      <c r="A623" s="35" t="s">
        <v>76</v>
      </c>
      <c r="B623" s="36" t="s">
        <v>702</v>
      </c>
      <c r="C623" s="36">
        <v>2302600622</v>
      </c>
      <c r="D623" s="36" t="s">
        <v>82</v>
      </c>
      <c r="E623" s="38">
        <v>0</v>
      </c>
      <c r="F623" s="47" t="s">
        <v>786</v>
      </c>
    </row>
    <row r="624" spans="1:6" x14ac:dyDescent="0.2">
      <c r="A624" s="33" t="s">
        <v>76</v>
      </c>
      <c r="B624" s="34" t="s">
        <v>703</v>
      </c>
      <c r="C624" s="34">
        <v>2302600623</v>
      </c>
      <c r="D624" s="34" t="s">
        <v>82</v>
      </c>
      <c r="E624" s="37">
        <v>0</v>
      </c>
      <c r="F624" s="47" t="s">
        <v>786</v>
      </c>
    </row>
    <row r="625" spans="1:6" x14ac:dyDescent="0.2">
      <c r="A625" s="35" t="s">
        <v>76</v>
      </c>
      <c r="B625" s="36" t="s">
        <v>704</v>
      </c>
      <c r="C625" s="36">
        <v>2282600624</v>
      </c>
      <c r="D625" s="36" t="s">
        <v>80</v>
      </c>
      <c r="E625" s="38">
        <v>0</v>
      </c>
      <c r="F625" s="47" t="s">
        <v>786</v>
      </c>
    </row>
    <row r="626" spans="1:6" x14ac:dyDescent="0.2">
      <c r="A626" s="33" t="s">
        <v>76</v>
      </c>
      <c r="B626" s="34" t="s">
        <v>705</v>
      </c>
      <c r="C626" s="34">
        <v>2282600625</v>
      </c>
      <c r="D626" s="34" t="s">
        <v>80</v>
      </c>
      <c r="E626" s="37">
        <v>0</v>
      </c>
      <c r="F626" s="47" t="s">
        <v>786</v>
      </c>
    </row>
    <row r="627" spans="1:6" x14ac:dyDescent="0.2">
      <c r="A627" s="35" t="s">
        <v>76</v>
      </c>
      <c r="B627" s="36" t="s">
        <v>706</v>
      </c>
      <c r="C627" s="36">
        <v>2302600626</v>
      </c>
      <c r="D627" s="36" t="s">
        <v>82</v>
      </c>
      <c r="E627" s="38">
        <v>0</v>
      </c>
      <c r="F627" s="47" t="s">
        <v>786</v>
      </c>
    </row>
    <row r="628" spans="1:6" x14ac:dyDescent="0.2">
      <c r="A628" s="33" t="s">
        <v>76</v>
      </c>
      <c r="B628" s="34" t="s">
        <v>707</v>
      </c>
      <c r="C628" s="34">
        <v>2302600627</v>
      </c>
      <c r="D628" s="34" t="s">
        <v>82</v>
      </c>
      <c r="E628" s="37">
        <v>0</v>
      </c>
      <c r="F628" s="47" t="s">
        <v>786</v>
      </c>
    </row>
    <row r="629" spans="1:6" x14ac:dyDescent="0.2">
      <c r="A629" s="35" t="s">
        <v>76</v>
      </c>
      <c r="B629" s="36" t="s">
        <v>708</v>
      </c>
      <c r="C629" s="36">
        <v>2282600628</v>
      </c>
      <c r="D629" s="36" t="s">
        <v>80</v>
      </c>
      <c r="E629" s="38">
        <v>0</v>
      </c>
      <c r="F629" s="47" t="s">
        <v>786</v>
      </c>
    </row>
    <row r="630" spans="1:6" x14ac:dyDescent="0.2">
      <c r="A630" s="33" t="s">
        <v>76</v>
      </c>
      <c r="B630" s="34" t="s">
        <v>709</v>
      </c>
      <c r="C630" s="34">
        <v>2282600629</v>
      </c>
      <c r="D630" s="34" t="s">
        <v>80</v>
      </c>
      <c r="E630" s="37">
        <v>0</v>
      </c>
      <c r="F630" s="47" t="s">
        <v>786</v>
      </c>
    </row>
    <row r="631" spans="1:6" x14ac:dyDescent="0.2">
      <c r="A631" s="35" t="s">
        <v>76</v>
      </c>
      <c r="B631" s="36" t="s">
        <v>710</v>
      </c>
      <c r="C631" s="36">
        <v>2302600630</v>
      </c>
      <c r="D631" s="36" t="s">
        <v>82</v>
      </c>
      <c r="E631" s="38">
        <v>0</v>
      </c>
      <c r="F631" s="47" t="s">
        <v>786</v>
      </c>
    </row>
    <row r="632" spans="1:6" x14ac:dyDescent="0.2">
      <c r="A632" s="33" t="s">
        <v>76</v>
      </c>
      <c r="B632" s="34" t="s">
        <v>711</v>
      </c>
      <c r="C632" s="34">
        <v>2302600631</v>
      </c>
      <c r="D632" s="34" t="s">
        <v>82</v>
      </c>
      <c r="E632" s="37">
        <v>0</v>
      </c>
      <c r="F632" s="47" t="s">
        <v>786</v>
      </c>
    </row>
    <row r="633" spans="1:6" x14ac:dyDescent="0.2">
      <c r="A633" s="35" t="s">
        <v>76</v>
      </c>
      <c r="B633" s="36" t="s">
        <v>712</v>
      </c>
      <c r="C633" s="36">
        <v>2282600632</v>
      </c>
      <c r="D633" s="36" t="s">
        <v>80</v>
      </c>
      <c r="E633" s="38">
        <v>0</v>
      </c>
      <c r="F633" s="47" t="s">
        <v>786</v>
      </c>
    </row>
    <row r="634" spans="1:6" x14ac:dyDescent="0.2">
      <c r="A634" s="33" t="s">
        <v>76</v>
      </c>
      <c r="B634" s="34" t="s">
        <v>713</v>
      </c>
      <c r="C634" s="34">
        <v>2282600633</v>
      </c>
      <c r="D634" s="34" t="s">
        <v>80</v>
      </c>
      <c r="E634" s="37">
        <v>0</v>
      </c>
      <c r="F634" s="47" t="s">
        <v>786</v>
      </c>
    </row>
    <row r="635" spans="1:6" x14ac:dyDescent="0.2">
      <c r="A635" s="35" t="s">
        <v>76</v>
      </c>
      <c r="B635" s="36" t="s">
        <v>714</v>
      </c>
      <c r="C635" s="36">
        <v>2302600634</v>
      </c>
      <c r="D635" s="36" t="s">
        <v>82</v>
      </c>
      <c r="E635" s="38">
        <v>0</v>
      </c>
      <c r="F635" s="47" t="s">
        <v>786</v>
      </c>
    </row>
    <row r="636" spans="1:6" x14ac:dyDescent="0.2">
      <c r="A636" s="33" t="s">
        <v>76</v>
      </c>
      <c r="B636" s="34" t="s">
        <v>715</v>
      </c>
      <c r="C636" s="34">
        <v>2302600635</v>
      </c>
      <c r="D636" s="34" t="s">
        <v>82</v>
      </c>
      <c r="E636" s="37">
        <v>0</v>
      </c>
      <c r="F636" s="47" t="s">
        <v>786</v>
      </c>
    </row>
    <row r="637" spans="1:6" x14ac:dyDescent="0.2">
      <c r="A637" s="35" t="s">
        <v>76</v>
      </c>
      <c r="B637" s="36" t="s">
        <v>716</v>
      </c>
      <c r="C637" s="36">
        <v>2282600636</v>
      </c>
      <c r="D637" s="36" t="s">
        <v>80</v>
      </c>
      <c r="E637" s="38">
        <v>0</v>
      </c>
      <c r="F637" s="47" t="s">
        <v>786</v>
      </c>
    </row>
    <row r="638" spans="1:6" x14ac:dyDescent="0.2">
      <c r="A638" s="33" t="s">
        <v>76</v>
      </c>
      <c r="B638" s="34" t="s">
        <v>717</v>
      </c>
      <c r="C638" s="34">
        <v>2282600637</v>
      </c>
      <c r="D638" s="34" t="s">
        <v>80</v>
      </c>
      <c r="E638" s="37">
        <v>0</v>
      </c>
      <c r="F638" s="47" t="s">
        <v>786</v>
      </c>
    </row>
    <row r="639" spans="1:6" x14ac:dyDescent="0.2">
      <c r="A639" s="35" t="s">
        <v>76</v>
      </c>
      <c r="B639" s="36" t="s">
        <v>718</v>
      </c>
      <c r="C639" s="36">
        <v>2302600638</v>
      </c>
      <c r="D639" s="36" t="s">
        <v>82</v>
      </c>
      <c r="E639" s="38">
        <v>0</v>
      </c>
      <c r="F639" s="47" t="s">
        <v>786</v>
      </c>
    </row>
    <row r="640" spans="1:6" x14ac:dyDescent="0.2">
      <c r="A640" s="33" t="s">
        <v>76</v>
      </c>
      <c r="B640" s="34" t="s">
        <v>719</v>
      </c>
      <c r="C640" s="34">
        <v>2302600639</v>
      </c>
      <c r="D640" s="34" t="s">
        <v>82</v>
      </c>
      <c r="E640" s="37">
        <v>0</v>
      </c>
      <c r="F640" s="47" t="s">
        <v>786</v>
      </c>
    </row>
    <row r="641" spans="1:6" x14ac:dyDescent="0.2">
      <c r="A641" s="35" t="s">
        <v>76</v>
      </c>
      <c r="B641" s="36" t="s">
        <v>720</v>
      </c>
      <c r="C641" s="36">
        <v>2282600640</v>
      </c>
      <c r="D641" s="36" t="s">
        <v>80</v>
      </c>
      <c r="E641" s="38">
        <v>0</v>
      </c>
      <c r="F641" s="47" t="s">
        <v>786</v>
      </c>
    </row>
    <row r="642" spans="1:6" x14ac:dyDescent="0.2">
      <c r="A642" s="33" t="s">
        <v>77</v>
      </c>
      <c r="B642" s="34" t="s">
        <v>721</v>
      </c>
      <c r="C642" s="34">
        <v>2282600641</v>
      </c>
      <c r="D642" s="34" t="s">
        <v>80</v>
      </c>
      <c r="E642" s="37">
        <v>0</v>
      </c>
      <c r="F642" s="47" t="s">
        <v>786</v>
      </c>
    </row>
    <row r="643" spans="1:6" x14ac:dyDescent="0.2">
      <c r="A643" s="35" t="s">
        <v>77</v>
      </c>
      <c r="B643" s="36" t="s">
        <v>722</v>
      </c>
      <c r="C643" s="36">
        <v>2302600642</v>
      </c>
      <c r="D643" s="36" t="s">
        <v>82</v>
      </c>
      <c r="E643" s="38">
        <v>0</v>
      </c>
      <c r="F643" s="47" t="s">
        <v>786</v>
      </c>
    </row>
    <row r="644" spans="1:6" x14ac:dyDescent="0.2">
      <c r="A644" s="33" t="s">
        <v>77</v>
      </c>
      <c r="B644" s="34" t="s">
        <v>723</v>
      </c>
      <c r="C644" s="34">
        <v>2302600643</v>
      </c>
      <c r="D644" s="34" t="s">
        <v>82</v>
      </c>
      <c r="E644" s="37">
        <v>0</v>
      </c>
      <c r="F644" s="47" t="s">
        <v>786</v>
      </c>
    </row>
    <row r="645" spans="1:6" x14ac:dyDescent="0.2">
      <c r="A645" s="35" t="s">
        <v>77</v>
      </c>
      <c r="B645" s="36" t="s">
        <v>724</v>
      </c>
      <c r="C645" s="36">
        <v>2282600644</v>
      </c>
      <c r="D645" s="36" t="s">
        <v>80</v>
      </c>
      <c r="E645" s="38">
        <v>0</v>
      </c>
      <c r="F645" s="47" t="s">
        <v>786</v>
      </c>
    </row>
    <row r="646" spans="1:6" x14ac:dyDescent="0.2">
      <c r="A646" s="33" t="s">
        <v>77</v>
      </c>
      <c r="B646" s="34" t="s">
        <v>725</v>
      </c>
      <c r="C646" s="34">
        <v>2282600645</v>
      </c>
      <c r="D646" s="34" t="s">
        <v>80</v>
      </c>
      <c r="E646" s="37">
        <v>0</v>
      </c>
      <c r="F646" s="47" t="s">
        <v>786</v>
      </c>
    </row>
    <row r="647" spans="1:6" x14ac:dyDescent="0.2">
      <c r="A647" s="35" t="s">
        <v>77</v>
      </c>
      <c r="B647" s="36" t="s">
        <v>726</v>
      </c>
      <c r="C647" s="36">
        <v>2302600646</v>
      </c>
      <c r="D647" s="36" t="s">
        <v>82</v>
      </c>
      <c r="E647" s="38">
        <v>0</v>
      </c>
      <c r="F647" s="47" t="s">
        <v>786</v>
      </c>
    </row>
    <row r="648" spans="1:6" x14ac:dyDescent="0.2">
      <c r="A648" s="33" t="s">
        <v>77</v>
      </c>
      <c r="B648" s="34" t="s">
        <v>727</v>
      </c>
      <c r="C648" s="34">
        <v>2302600647</v>
      </c>
      <c r="D648" s="34" t="s">
        <v>82</v>
      </c>
      <c r="E648" s="37">
        <v>0</v>
      </c>
      <c r="F648" s="47" t="s">
        <v>786</v>
      </c>
    </row>
    <row r="649" spans="1:6" x14ac:dyDescent="0.2">
      <c r="A649" s="35" t="s">
        <v>77</v>
      </c>
      <c r="B649" s="36" t="s">
        <v>728</v>
      </c>
      <c r="C649" s="36">
        <v>2282600648</v>
      </c>
      <c r="D649" s="36" t="s">
        <v>80</v>
      </c>
      <c r="E649" s="38">
        <v>0</v>
      </c>
      <c r="F649" s="47" t="s">
        <v>786</v>
      </c>
    </row>
    <row r="650" spans="1:6" x14ac:dyDescent="0.2">
      <c r="A650" s="33" t="s">
        <v>77</v>
      </c>
      <c r="B650" s="34" t="s">
        <v>729</v>
      </c>
      <c r="C650" s="34">
        <v>2282600649</v>
      </c>
      <c r="D650" s="34" t="s">
        <v>80</v>
      </c>
      <c r="E650" s="37">
        <v>0</v>
      </c>
      <c r="F650" s="47" t="s">
        <v>786</v>
      </c>
    </row>
    <row r="651" spans="1:6" x14ac:dyDescent="0.2">
      <c r="A651" s="35" t="s">
        <v>77</v>
      </c>
      <c r="B651" s="36" t="s">
        <v>730</v>
      </c>
      <c r="C651" s="36">
        <v>2302600650</v>
      </c>
      <c r="D651" s="36" t="s">
        <v>82</v>
      </c>
      <c r="E651" s="38">
        <v>0</v>
      </c>
      <c r="F651" s="47" t="s">
        <v>786</v>
      </c>
    </row>
    <row r="652" spans="1:6" x14ac:dyDescent="0.2">
      <c r="A652" s="33" t="s">
        <v>77</v>
      </c>
      <c r="B652" s="34" t="s">
        <v>731</v>
      </c>
      <c r="C652" s="34">
        <v>2302600651</v>
      </c>
      <c r="D652" s="34" t="s">
        <v>82</v>
      </c>
      <c r="E652" s="37">
        <v>0</v>
      </c>
      <c r="F652" s="47" t="s">
        <v>786</v>
      </c>
    </row>
    <row r="653" spans="1:6" x14ac:dyDescent="0.2">
      <c r="A653" s="35" t="s">
        <v>77</v>
      </c>
      <c r="B653" s="36" t="s">
        <v>732</v>
      </c>
      <c r="C653" s="36">
        <v>2282600652</v>
      </c>
      <c r="D653" s="36" t="s">
        <v>80</v>
      </c>
      <c r="E653" s="38">
        <v>0</v>
      </c>
      <c r="F653" s="47" t="s">
        <v>786</v>
      </c>
    </row>
    <row r="654" spans="1:6" x14ac:dyDescent="0.2">
      <c r="A654" s="33" t="s">
        <v>77</v>
      </c>
      <c r="B654" s="34" t="s">
        <v>733</v>
      </c>
      <c r="C654" s="34">
        <v>2282600653</v>
      </c>
      <c r="D654" s="34" t="s">
        <v>80</v>
      </c>
      <c r="E654" s="37">
        <v>0</v>
      </c>
      <c r="F654" s="47" t="s">
        <v>786</v>
      </c>
    </row>
    <row r="655" spans="1:6" x14ac:dyDescent="0.2">
      <c r="A655" s="35" t="s">
        <v>77</v>
      </c>
      <c r="B655" s="36" t="s">
        <v>734</v>
      </c>
      <c r="C655" s="36">
        <v>2302600654</v>
      </c>
      <c r="D655" s="36" t="s">
        <v>82</v>
      </c>
      <c r="E655" s="38">
        <v>0</v>
      </c>
      <c r="F655" s="47" t="s">
        <v>786</v>
      </c>
    </row>
    <row r="656" spans="1:6" x14ac:dyDescent="0.2">
      <c r="A656" s="33" t="s">
        <v>77</v>
      </c>
      <c r="B656" s="34" t="s">
        <v>735</v>
      </c>
      <c r="C656" s="34">
        <v>2302600655</v>
      </c>
      <c r="D656" s="34" t="s">
        <v>82</v>
      </c>
      <c r="E656" s="37">
        <v>0</v>
      </c>
      <c r="F656" s="47" t="s">
        <v>786</v>
      </c>
    </row>
    <row r="657" spans="1:6" x14ac:dyDescent="0.2">
      <c r="A657" s="35" t="s">
        <v>77</v>
      </c>
      <c r="B657" s="36" t="s">
        <v>736</v>
      </c>
      <c r="C657" s="36">
        <v>2282600656</v>
      </c>
      <c r="D657" s="36" t="s">
        <v>80</v>
      </c>
      <c r="E657" s="38">
        <v>0</v>
      </c>
      <c r="F657" s="47" t="s">
        <v>786</v>
      </c>
    </row>
    <row r="658" spans="1:6" x14ac:dyDescent="0.2">
      <c r="A658" s="33" t="s">
        <v>77</v>
      </c>
      <c r="B658" s="34" t="s">
        <v>737</v>
      </c>
      <c r="C658" s="34">
        <v>2282600657</v>
      </c>
      <c r="D658" s="34" t="s">
        <v>80</v>
      </c>
      <c r="E658" s="37">
        <v>0</v>
      </c>
      <c r="F658" s="47" t="s">
        <v>786</v>
      </c>
    </row>
    <row r="659" spans="1:6" x14ac:dyDescent="0.2">
      <c r="A659" s="35" t="s">
        <v>77</v>
      </c>
      <c r="B659" s="36" t="s">
        <v>738</v>
      </c>
      <c r="C659" s="36">
        <v>2302600658</v>
      </c>
      <c r="D659" s="36" t="s">
        <v>82</v>
      </c>
      <c r="E659" s="38">
        <v>0</v>
      </c>
      <c r="F659" s="47" t="s">
        <v>786</v>
      </c>
    </row>
    <row r="660" spans="1:6" x14ac:dyDescent="0.2">
      <c r="A660" s="33" t="s">
        <v>77</v>
      </c>
      <c r="B660" s="34" t="s">
        <v>739</v>
      </c>
      <c r="C660" s="34">
        <v>2302600659</v>
      </c>
      <c r="D660" s="34" t="s">
        <v>82</v>
      </c>
      <c r="E660" s="37">
        <v>0</v>
      </c>
      <c r="F660" s="47" t="s">
        <v>786</v>
      </c>
    </row>
    <row r="661" spans="1:6" x14ac:dyDescent="0.2">
      <c r="A661" s="35" t="s">
        <v>77</v>
      </c>
      <c r="B661" s="36" t="s">
        <v>740</v>
      </c>
      <c r="C661" s="36">
        <v>2282600660</v>
      </c>
      <c r="D661" s="36" t="s">
        <v>80</v>
      </c>
      <c r="E661" s="38">
        <v>0</v>
      </c>
      <c r="F661" s="47" t="s">
        <v>786</v>
      </c>
    </row>
    <row r="662" spans="1:6" x14ac:dyDescent="0.2">
      <c r="A662" s="33" t="s">
        <v>77</v>
      </c>
      <c r="B662" s="34" t="s">
        <v>741</v>
      </c>
      <c r="C662" s="34">
        <v>2282600661</v>
      </c>
      <c r="D662" s="34" t="s">
        <v>80</v>
      </c>
      <c r="E662" s="37">
        <v>0</v>
      </c>
      <c r="F662" s="47" t="s">
        <v>786</v>
      </c>
    </row>
    <row r="663" spans="1:6" x14ac:dyDescent="0.2">
      <c r="A663" s="35" t="s">
        <v>77</v>
      </c>
      <c r="B663" s="36" t="s">
        <v>742</v>
      </c>
      <c r="C663" s="36">
        <v>2302600662</v>
      </c>
      <c r="D663" s="36" t="s">
        <v>82</v>
      </c>
      <c r="E663" s="38">
        <v>0</v>
      </c>
      <c r="F663" s="47" t="s">
        <v>786</v>
      </c>
    </row>
    <row r="664" spans="1:6" x14ac:dyDescent="0.2">
      <c r="A664" s="33" t="s">
        <v>77</v>
      </c>
      <c r="B664" s="34" t="s">
        <v>743</v>
      </c>
      <c r="C664" s="34">
        <v>2302600663</v>
      </c>
      <c r="D664" s="34" t="s">
        <v>82</v>
      </c>
      <c r="E664" s="37">
        <v>0</v>
      </c>
      <c r="F664" s="47" t="s">
        <v>786</v>
      </c>
    </row>
    <row r="665" spans="1:6" x14ac:dyDescent="0.2">
      <c r="A665" s="35" t="s">
        <v>77</v>
      </c>
      <c r="B665" s="36" t="s">
        <v>744</v>
      </c>
      <c r="C665" s="36">
        <v>2282600664</v>
      </c>
      <c r="D665" s="36" t="s">
        <v>80</v>
      </c>
      <c r="E665" s="38">
        <v>0</v>
      </c>
      <c r="F665" s="47" t="s">
        <v>786</v>
      </c>
    </row>
    <row r="666" spans="1:6" x14ac:dyDescent="0.2">
      <c r="A666" s="33" t="s">
        <v>77</v>
      </c>
      <c r="B666" s="34" t="s">
        <v>745</v>
      </c>
      <c r="C666" s="34">
        <v>2282600665</v>
      </c>
      <c r="D666" s="34" t="s">
        <v>80</v>
      </c>
      <c r="E666" s="37">
        <v>0</v>
      </c>
      <c r="F666" s="47" t="s">
        <v>786</v>
      </c>
    </row>
    <row r="667" spans="1:6" x14ac:dyDescent="0.2">
      <c r="A667" s="35" t="s">
        <v>77</v>
      </c>
      <c r="B667" s="36" t="s">
        <v>746</v>
      </c>
      <c r="C667" s="36">
        <v>2302600666</v>
      </c>
      <c r="D667" s="36" t="s">
        <v>82</v>
      </c>
      <c r="E667" s="38">
        <v>0</v>
      </c>
      <c r="F667" s="47" t="s">
        <v>786</v>
      </c>
    </row>
    <row r="668" spans="1:6" x14ac:dyDescent="0.2">
      <c r="A668" s="33" t="s">
        <v>77</v>
      </c>
      <c r="B668" s="34" t="s">
        <v>747</v>
      </c>
      <c r="C668" s="34">
        <v>2302600667</v>
      </c>
      <c r="D668" s="34" t="s">
        <v>82</v>
      </c>
      <c r="E668" s="37">
        <v>0</v>
      </c>
      <c r="F668" s="47" t="s">
        <v>786</v>
      </c>
    </row>
    <row r="669" spans="1:6" x14ac:dyDescent="0.2">
      <c r="A669" s="35" t="s">
        <v>77</v>
      </c>
      <c r="B669" s="36" t="s">
        <v>748</v>
      </c>
      <c r="C669" s="36">
        <v>2282600668</v>
      </c>
      <c r="D669" s="36" t="s">
        <v>80</v>
      </c>
      <c r="E669" s="38">
        <v>0</v>
      </c>
      <c r="F669" s="47" t="s">
        <v>786</v>
      </c>
    </row>
    <row r="670" spans="1:6" x14ac:dyDescent="0.2">
      <c r="A670" s="33" t="s">
        <v>77</v>
      </c>
      <c r="B670" s="34" t="s">
        <v>749</v>
      </c>
      <c r="C670" s="34">
        <v>2282600669</v>
      </c>
      <c r="D670" s="34" t="s">
        <v>80</v>
      </c>
      <c r="E670" s="37">
        <v>0</v>
      </c>
      <c r="F670" s="47" t="s">
        <v>786</v>
      </c>
    </row>
    <row r="671" spans="1:6" x14ac:dyDescent="0.2">
      <c r="A671" s="35" t="s">
        <v>77</v>
      </c>
      <c r="B671" s="36" t="s">
        <v>750</v>
      </c>
      <c r="C671" s="36">
        <v>2302600670</v>
      </c>
      <c r="D671" s="36" t="s">
        <v>82</v>
      </c>
      <c r="E671" s="38">
        <v>0</v>
      </c>
      <c r="F671" s="47" t="s">
        <v>786</v>
      </c>
    </row>
    <row r="672" spans="1:6" x14ac:dyDescent="0.2">
      <c r="A672" s="33" t="s">
        <v>77</v>
      </c>
      <c r="B672" s="34" t="s">
        <v>751</v>
      </c>
      <c r="C672" s="34">
        <v>2302600671</v>
      </c>
      <c r="D672" s="34" t="s">
        <v>82</v>
      </c>
      <c r="E672" s="37">
        <v>0</v>
      </c>
      <c r="F672" s="47" t="s">
        <v>786</v>
      </c>
    </row>
    <row r="673" spans="1:6" x14ac:dyDescent="0.2">
      <c r="A673" s="35" t="s">
        <v>77</v>
      </c>
      <c r="B673" s="36" t="s">
        <v>752</v>
      </c>
      <c r="C673" s="36">
        <v>2282600672</v>
      </c>
      <c r="D673" s="36" t="s">
        <v>80</v>
      </c>
      <c r="E673" s="38">
        <v>0</v>
      </c>
      <c r="F673" s="47" t="s">
        <v>786</v>
      </c>
    </row>
    <row r="674" spans="1:6" x14ac:dyDescent="0.2">
      <c r="A674" s="33" t="s">
        <v>78</v>
      </c>
      <c r="B674" s="34" t="s">
        <v>753</v>
      </c>
      <c r="C674" s="34">
        <v>2282600673</v>
      </c>
      <c r="D674" s="34" t="s">
        <v>80</v>
      </c>
      <c r="E674" s="37">
        <v>0</v>
      </c>
      <c r="F674" s="47" t="s">
        <v>786</v>
      </c>
    </row>
    <row r="675" spans="1:6" x14ac:dyDescent="0.2">
      <c r="A675" s="35" t="s">
        <v>78</v>
      </c>
      <c r="B675" s="36" t="s">
        <v>754</v>
      </c>
      <c r="C675" s="36">
        <v>2302600674</v>
      </c>
      <c r="D675" s="36" t="s">
        <v>82</v>
      </c>
      <c r="E675" s="38">
        <v>0</v>
      </c>
      <c r="F675" s="47" t="s">
        <v>786</v>
      </c>
    </row>
    <row r="676" spans="1:6" x14ac:dyDescent="0.2">
      <c r="A676" s="33" t="s">
        <v>78</v>
      </c>
      <c r="B676" s="34" t="s">
        <v>755</v>
      </c>
      <c r="C676" s="34">
        <v>2302600675</v>
      </c>
      <c r="D676" s="34" t="s">
        <v>82</v>
      </c>
      <c r="E676" s="37">
        <v>0</v>
      </c>
      <c r="F676" s="47" t="s">
        <v>786</v>
      </c>
    </row>
    <row r="677" spans="1:6" x14ac:dyDescent="0.2">
      <c r="A677" s="35" t="s">
        <v>78</v>
      </c>
      <c r="B677" s="36" t="s">
        <v>756</v>
      </c>
      <c r="C677" s="36">
        <v>2282600676</v>
      </c>
      <c r="D677" s="36" t="s">
        <v>80</v>
      </c>
      <c r="E677" s="38">
        <v>0</v>
      </c>
      <c r="F677" s="47" t="s">
        <v>786</v>
      </c>
    </row>
    <row r="678" spans="1:6" x14ac:dyDescent="0.2">
      <c r="A678" s="33" t="s">
        <v>78</v>
      </c>
      <c r="B678" s="34" t="s">
        <v>757</v>
      </c>
      <c r="C678" s="34">
        <v>2282600677</v>
      </c>
      <c r="D678" s="34" t="s">
        <v>80</v>
      </c>
      <c r="E678" s="37">
        <v>0</v>
      </c>
      <c r="F678" s="47" t="s">
        <v>786</v>
      </c>
    </row>
    <row r="679" spans="1:6" x14ac:dyDescent="0.2">
      <c r="A679" s="35" t="s">
        <v>78</v>
      </c>
      <c r="B679" s="36" t="s">
        <v>758</v>
      </c>
      <c r="C679" s="36">
        <v>2302600678</v>
      </c>
      <c r="D679" s="36" t="s">
        <v>82</v>
      </c>
      <c r="E679" s="38">
        <v>0</v>
      </c>
      <c r="F679" s="47" t="s">
        <v>786</v>
      </c>
    </row>
    <row r="680" spans="1:6" x14ac:dyDescent="0.2">
      <c r="A680" s="33" t="s">
        <v>78</v>
      </c>
      <c r="B680" s="34" t="s">
        <v>759</v>
      </c>
      <c r="C680" s="34">
        <v>2302600679</v>
      </c>
      <c r="D680" s="34" t="s">
        <v>82</v>
      </c>
      <c r="E680" s="37">
        <v>0</v>
      </c>
      <c r="F680" s="47" t="s">
        <v>786</v>
      </c>
    </row>
    <row r="681" spans="1:6" x14ac:dyDescent="0.2">
      <c r="A681" s="35" t="s">
        <v>78</v>
      </c>
      <c r="B681" s="36" t="s">
        <v>760</v>
      </c>
      <c r="C681" s="36">
        <v>2282600680</v>
      </c>
      <c r="D681" s="36" t="s">
        <v>80</v>
      </c>
      <c r="E681" s="38">
        <v>0</v>
      </c>
      <c r="F681" s="47" t="s">
        <v>786</v>
      </c>
    </row>
    <row r="682" spans="1:6" x14ac:dyDescent="0.2">
      <c r="A682" s="33" t="s">
        <v>78</v>
      </c>
      <c r="B682" s="34" t="s">
        <v>761</v>
      </c>
      <c r="C682" s="34">
        <v>2282600681</v>
      </c>
      <c r="D682" s="34" t="s">
        <v>80</v>
      </c>
      <c r="E682" s="37">
        <v>0</v>
      </c>
      <c r="F682" s="47" t="s">
        <v>786</v>
      </c>
    </row>
    <row r="683" spans="1:6" x14ac:dyDescent="0.2">
      <c r="A683" s="35" t="s">
        <v>78</v>
      </c>
      <c r="B683" s="36" t="s">
        <v>762</v>
      </c>
      <c r="C683" s="36">
        <v>2302600682</v>
      </c>
      <c r="D683" s="36" t="s">
        <v>82</v>
      </c>
      <c r="E683" s="38">
        <v>0</v>
      </c>
      <c r="F683" s="47" t="s">
        <v>786</v>
      </c>
    </row>
    <row r="684" spans="1:6" x14ac:dyDescent="0.2">
      <c r="A684" s="33" t="s">
        <v>78</v>
      </c>
      <c r="B684" s="34" t="s">
        <v>763</v>
      </c>
      <c r="C684" s="34">
        <v>2302600683</v>
      </c>
      <c r="D684" s="34" t="s">
        <v>82</v>
      </c>
      <c r="E684" s="37">
        <v>0</v>
      </c>
      <c r="F684" s="47" t="s">
        <v>786</v>
      </c>
    </row>
    <row r="685" spans="1:6" x14ac:dyDescent="0.2">
      <c r="A685" s="35" t="s">
        <v>78</v>
      </c>
      <c r="B685" s="36" t="s">
        <v>764</v>
      </c>
      <c r="C685" s="36">
        <v>2282600684</v>
      </c>
      <c r="D685" s="36" t="s">
        <v>80</v>
      </c>
      <c r="E685" s="38">
        <v>0</v>
      </c>
      <c r="F685" s="47" t="s">
        <v>786</v>
      </c>
    </row>
    <row r="686" spans="1:6" x14ac:dyDescent="0.2">
      <c r="A686" s="33" t="s">
        <v>78</v>
      </c>
      <c r="B686" s="34" t="s">
        <v>765</v>
      </c>
      <c r="C686" s="34">
        <v>2282600685</v>
      </c>
      <c r="D686" s="34" t="s">
        <v>80</v>
      </c>
      <c r="E686" s="37">
        <v>0</v>
      </c>
      <c r="F686" s="47" t="s">
        <v>786</v>
      </c>
    </row>
    <row r="687" spans="1:6" x14ac:dyDescent="0.2">
      <c r="A687" s="35" t="s">
        <v>78</v>
      </c>
      <c r="B687" s="36" t="s">
        <v>766</v>
      </c>
      <c r="C687" s="36">
        <v>2302600686</v>
      </c>
      <c r="D687" s="36" t="s">
        <v>82</v>
      </c>
      <c r="E687" s="38">
        <v>0</v>
      </c>
      <c r="F687" s="47" t="s">
        <v>786</v>
      </c>
    </row>
    <row r="688" spans="1:6" x14ac:dyDescent="0.2">
      <c r="A688" s="33" t="s">
        <v>78</v>
      </c>
      <c r="B688" s="34" t="s">
        <v>767</v>
      </c>
      <c r="C688" s="34">
        <v>2302600687</v>
      </c>
      <c r="D688" s="34" t="s">
        <v>82</v>
      </c>
      <c r="E688" s="37">
        <v>0</v>
      </c>
      <c r="F688" s="47" t="s">
        <v>786</v>
      </c>
    </row>
    <row r="689" spans="1:6" x14ac:dyDescent="0.2">
      <c r="A689" s="35" t="s">
        <v>78</v>
      </c>
      <c r="B689" s="36" t="s">
        <v>768</v>
      </c>
      <c r="C689" s="36">
        <v>2282600688</v>
      </c>
      <c r="D689" s="36" t="s">
        <v>80</v>
      </c>
      <c r="E689" s="38">
        <v>0</v>
      </c>
      <c r="F689" s="47" t="s">
        <v>786</v>
      </c>
    </row>
    <row r="690" spans="1:6" x14ac:dyDescent="0.2">
      <c r="A690" s="33" t="s">
        <v>78</v>
      </c>
      <c r="B690" s="34" t="s">
        <v>769</v>
      </c>
      <c r="C690" s="34">
        <v>2282600689</v>
      </c>
      <c r="D690" s="34" t="s">
        <v>80</v>
      </c>
      <c r="E690" s="37">
        <v>0</v>
      </c>
      <c r="F690" s="47" t="s">
        <v>786</v>
      </c>
    </row>
    <row r="691" spans="1:6" x14ac:dyDescent="0.2">
      <c r="A691" s="35" t="s">
        <v>78</v>
      </c>
      <c r="B691" s="36" t="s">
        <v>770</v>
      </c>
      <c r="C691" s="36">
        <v>2302600690</v>
      </c>
      <c r="D691" s="36" t="s">
        <v>82</v>
      </c>
      <c r="E691" s="38">
        <v>0</v>
      </c>
      <c r="F691" s="47" t="s">
        <v>786</v>
      </c>
    </row>
    <row r="692" spans="1:6" x14ac:dyDescent="0.2">
      <c r="A692" s="33" t="s">
        <v>78</v>
      </c>
      <c r="B692" s="34" t="s">
        <v>771</v>
      </c>
      <c r="C692" s="34">
        <v>2302600691</v>
      </c>
      <c r="D692" s="34" t="s">
        <v>82</v>
      </c>
      <c r="E692" s="37">
        <v>0</v>
      </c>
      <c r="F692" s="47" t="s">
        <v>786</v>
      </c>
    </row>
    <row r="693" spans="1:6" x14ac:dyDescent="0.2">
      <c r="A693" s="35" t="s">
        <v>78</v>
      </c>
      <c r="B693" s="36" t="s">
        <v>772</v>
      </c>
      <c r="C693" s="36">
        <v>2282600692</v>
      </c>
      <c r="D693" s="36" t="s">
        <v>80</v>
      </c>
      <c r="E693" s="38">
        <v>0</v>
      </c>
      <c r="F693" s="47" t="s">
        <v>786</v>
      </c>
    </row>
    <row r="694" spans="1:6" x14ac:dyDescent="0.2">
      <c r="A694" s="33" t="s">
        <v>78</v>
      </c>
      <c r="B694" s="34" t="s">
        <v>773</v>
      </c>
      <c r="C694" s="34">
        <v>2282600693</v>
      </c>
      <c r="D694" s="34" t="s">
        <v>80</v>
      </c>
      <c r="E694" s="37">
        <v>0</v>
      </c>
      <c r="F694" s="47" t="s">
        <v>786</v>
      </c>
    </row>
    <row r="695" spans="1:6" x14ac:dyDescent="0.2">
      <c r="A695" s="35" t="s">
        <v>78</v>
      </c>
      <c r="B695" s="36" t="s">
        <v>774</v>
      </c>
      <c r="C695" s="36">
        <v>2302600694</v>
      </c>
      <c r="D695" s="36" t="s">
        <v>82</v>
      </c>
      <c r="E695" s="38">
        <v>0</v>
      </c>
      <c r="F695" s="47" t="s">
        <v>786</v>
      </c>
    </row>
    <row r="696" spans="1:6" x14ac:dyDescent="0.2">
      <c r="A696" s="33" t="s">
        <v>78</v>
      </c>
      <c r="B696" s="34" t="s">
        <v>775</v>
      </c>
      <c r="C696" s="34">
        <v>2302600695</v>
      </c>
      <c r="D696" s="34" t="s">
        <v>82</v>
      </c>
      <c r="E696" s="37">
        <v>0</v>
      </c>
      <c r="F696" s="47" t="s">
        <v>786</v>
      </c>
    </row>
    <row r="697" spans="1:6" x14ac:dyDescent="0.2">
      <c r="A697" s="35" t="s">
        <v>78</v>
      </c>
      <c r="B697" s="36" t="s">
        <v>776</v>
      </c>
      <c r="C697" s="36">
        <v>2282600696</v>
      </c>
      <c r="D697" s="36" t="s">
        <v>80</v>
      </c>
      <c r="E697" s="38">
        <v>0</v>
      </c>
      <c r="F697" s="47" t="s">
        <v>786</v>
      </c>
    </row>
    <row r="698" spans="1:6" x14ac:dyDescent="0.2">
      <c r="A698" s="33" t="s">
        <v>78</v>
      </c>
      <c r="B698" s="34" t="s">
        <v>777</v>
      </c>
      <c r="C698" s="34">
        <v>2282600697</v>
      </c>
      <c r="D698" s="34" t="s">
        <v>80</v>
      </c>
      <c r="E698" s="37">
        <v>0</v>
      </c>
      <c r="F698" s="47" t="s">
        <v>786</v>
      </c>
    </row>
    <row r="699" spans="1:6" x14ac:dyDescent="0.2">
      <c r="A699" s="35" t="s">
        <v>78</v>
      </c>
      <c r="B699" s="36" t="s">
        <v>778</v>
      </c>
      <c r="C699" s="36">
        <v>2302600698</v>
      </c>
      <c r="D699" s="36" t="s">
        <v>82</v>
      </c>
      <c r="E699" s="38">
        <v>0</v>
      </c>
      <c r="F699" s="47" t="s">
        <v>786</v>
      </c>
    </row>
    <row r="700" spans="1:6" x14ac:dyDescent="0.2">
      <c r="A700" s="33" t="s">
        <v>78</v>
      </c>
      <c r="B700" s="34" t="s">
        <v>779</v>
      </c>
      <c r="C700" s="34">
        <v>2302600699</v>
      </c>
      <c r="D700" s="34" t="s">
        <v>82</v>
      </c>
      <c r="E700" s="37">
        <v>0</v>
      </c>
      <c r="F700" s="47" t="s">
        <v>786</v>
      </c>
    </row>
    <row r="701" spans="1:6" x14ac:dyDescent="0.2">
      <c r="A701" s="35" t="s">
        <v>78</v>
      </c>
      <c r="B701" s="36" t="s">
        <v>780</v>
      </c>
      <c r="C701" s="36">
        <v>2282600700</v>
      </c>
      <c r="D701" s="36" t="s">
        <v>80</v>
      </c>
      <c r="E701" s="38">
        <v>0</v>
      </c>
      <c r="F701" s="47" t="s">
        <v>786</v>
      </c>
    </row>
    <row r="702" spans="1:6" x14ac:dyDescent="0.2">
      <c r="A702" s="33" t="s">
        <v>78</v>
      </c>
      <c r="B702" s="34" t="s">
        <v>781</v>
      </c>
      <c r="C702" s="34">
        <v>2282600701</v>
      </c>
      <c r="D702" s="34" t="s">
        <v>80</v>
      </c>
      <c r="E702" s="37">
        <v>0</v>
      </c>
      <c r="F702" s="47" t="s">
        <v>786</v>
      </c>
    </row>
    <row r="703" spans="1:6" x14ac:dyDescent="0.2">
      <c r="A703" s="35" t="s">
        <v>78</v>
      </c>
      <c r="B703" s="36" t="s">
        <v>782</v>
      </c>
      <c r="C703" s="36">
        <v>2302600702</v>
      </c>
      <c r="D703" s="36" t="s">
        <v>82</v>
      </c>
      <c r="E703" s="38">
        <v>0</v>
      </c>
      <c r="F703" s="47" t="s">
        <v>786</v>
      </c>
    </row>
    <row r="704" spans="1:6" x14ac:dyDescent="0.2">
      <c r="A704" s="33" t="s">
        <v>78</v>
      </c>
      <c r="B704" s="34" t="s">
        <v>783</v>
      </c>
      <c r="C704" s="34">
        <v>2302600703</v>
      </c>
      <c r="D704" s="34" t="s">
        <v>82</v>
      </c>
      <c r="E704" s="37">
        <v>0</v>
      </c>
      <c r="F704" s="47" t="s">
        <v>786</v>
      </c>
    </row>
    <row r="705" spans="1:6" x14ac:dyDescent="0.2">
      <c r="A705" s="35" t="s">
        <v>78</v>
      </c>
      <c r="B705" s="36" t="s">
        <v>784</v>
      </c>
      <c r="C705" s="36">
        <v>2282600704</v>
      </c>
      <c r="D705" s="36" t="s">
        <v>80</v>
      </c>
      <c r="E705" s="38">
        <v>0</v>
      </c>
      <c r="F705" s="48" t="s">
        <v>786</v>
      </c>
    </row>
  </sheetData>
  <conditionalFormatting sqref="E2:E705">
    <cfRule type="dataBar" priority="1">
      <dataBar>
        <cfvo type="min"/>
        <cfvo type="max"/>
        <color rgb="FF63C384"/>
      </dataBar>
      <extLst>
        <ext xmlns:x14="http://schemas.microsoft.com/office/spreadsheetml/2009/9/main" uri="{B025F937-C7B1-47D3-B67F-A62EFF666E3E}">
          <x14:id>{25931E97-8B6A-422A-AF11-F7935631F519}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5931E97-8B6A-422A-AF11-F7935631F519}">
            <x14:dataBar minLength="0" maxLength="100" gradient="0">
              <x14:cfvo type="autoMin"/>
              <x14:cfvo type="autoMax"/>
              <x14:negativeFillColor rgb="FFFF0000"/>
              <x14:axisColor rgb="FF000000"/>
            </x14:dataBar>
          </x14:cfRule>
          <xm:sqref>E2:E705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ECBF-0B50-4365-A742-30AD42AFC596}">
  <dimension ref="H67:AD92"/>
  <sheetViews>
    <sheetView topLeftCell="A36" zoomScale="50" zoomScaleNormal="50" workbookViewId="0">
      <selection activeCell="X26" sqref="B3:Z27"/>
    </sheetView>
  </sheetViews>
  <sheetFormatPr baseColWidth="10" defaultColWidth="11.42578125" defaultRowHeight="12.75" x14ac:dyDescent="0.2"/>
  <cols>
    <col min="7" max="8" width="8" customWidth="1"/>
    <col min="9" max="9" width="4" customWidth="1"/>
    <col min="10" max="10" width="10.140625" customWidth="1"/>
    <col min="11" max="11" width="1.85546875" customWidth="1"/>
    <col min="12" max="12" width="10.140625" customWidth="1"/>
    <col min="13" max="13" width="1.85546875" customWidth="1"/>
    <col min="14" max="14" width="10.140625" customWidth="1"/>
    <col min="15" max="15" width="1.85546875" customWidth="1"/>
    <col min="16" max="16" width="10.140625" customWidth="1"/>
    <col min="17" max="17" width="1.85546875" customWidth="1"/>
    <col min="18" max="18" width="10.140625" customWidth="1"/>
    <col min="19" max="19" width="1.85546875" customWidth="1"/>
    <col min="20" max="20" width="10.140625" customWidth="1"/>
    <col min="21" max="21" width="1.85546875" customWidth="1"/>
    <col min="22" max="22" width="10.140625" customWidth="1"/>
    <col min="23" max="23" width="1.85546875" customWidth="1"/>
    <col min="24" max="24" width="10.140625" customWidth="1"/>
    <col min="25" max="25" width="1.85546875" customWidth="1"/>
    <col min="26" max="26" width="10.140625" customWidth="1"/>
    <col min="27" max="27" width="1.85546875" customWidth="1"/>
    <col min="28" max="28" width="10.140625" customWidth="1"/>
    <col min="29" max="29" width="4" customWidth="1"/>
  </cols>
  <sheetData>
    <row r="67" spans="8:30" ht="24" x14ac:dyDescent="0.4">
      <c r="P67" s="1"/>
    </row>
    <row r="68" spans="8:30" ht="13.5" thickBot="1" x14ac:dyDescent="0.25"/>
    <row r="69" spans="8:30" x14ac:dyDescent="0.2">
      <c r="N69" s="92" t="s">
        <v>0</v>
      </c>
      <c r="O69" s="93"/>
      <c r="P69" s="93"/>
      <c r="Q69" s="93"/>
      <c r="R69" s="93"/>
      <c r="S69" s="93"/>
      <c r="T69" s="93"/>
      <c r="U69" s="93"/>
      <c r="V69" s="93"/>
      <c r="W69" s="93"/>
      <c r="X69" s="94"/>
    </row>
    <row r="70" spans="8:30" ht="13.5" thickBot="1" x14ac:dyDescent="0.25">
      <c r="N70" s="95"/>
      <c r="O70" s="96"/>
      <c r="P70" s="96"/>
      <c r="Q70" s="96"/>
      <c r="R70" s="96"/>
      <c r="S70" s="96"/>
      <c r="T70" s="96"/>
      <c r="U70" s="96"/>
      <c r="V70" s="96"/>
      <c r="W70" s="96"/>
      <c r="X70" s="97"/>
    </row>
    <row r="71" spans="8:30" ht="12.75" customHeight="1" thickBot="1" x14ac:dyDescent="0.25">
      <c r="K71" s="3"/>
      <c r="L71" s="3"/>
      <c r="M71" s="3"/>
    </row>
    <row r="72" spans="8:30" ht="12.75" customHeight="1" x14ac:dyDescent="0.2">
      <c r="H72" s="116" t="s">
        <v>1</v>
      </c>
      <c r="J72" s="98"/>
      <c r="K72" s="99"/>
      <c r="L72" s="100"/>
      <c r="N72" s="98"/>
      <c r="O72" s="99"/>
      <c r="P72" s="100"/>
      <c r="R72" s="107" t="s">
        <v>12</v>
      </c>
      <c r="S72" s="108"/>
      <c r="T72" s="109"/>
      <c r="V72" s="107" t="s">
        <v>13</v>
      </c>
      <c r="W72" s="108"/>
      <c r="X72" s="109"/>
      <c r="Z72" s="107" t="s">
        <v>14</v>
      </c>
      <c r="AA72" s="108"/>
      <c r="AB72" s="109"/>
      <c r="AD72" s="116" t="s">
        <v>2</v>
      </c>
    </row>
    <row r="73" spans="8:30" ht="12.75" customHeight="1" x14ac:dyDescent="0.2">
      <c r="H73" s="117"/>
      <c r="J73" s="101"/>
      <c r="K73" s="102"/>
      <c r="L73" s="103"/>
      <c r="N73" s="101"/>
      <c r="O73" s="102"/>
      <c r="P73" s="103"/>
      <c r="R73" s="110"/>
      <c r="S73" s="111"/>
      <c r="T73" s="112"/>
      <c r="V73" s="110"/>
      <c r="W73" s="111"/>
      <c r="X73" s="112"/>
      <c r="Z73" s="110"/>
      <c r="AA73" s="111"/>
      <c r="AB73" s="112"/>
      <c r="AD73" s="117"/>
    </row>
    <row r="74" spans="8:30" ht="13.5" customHeight="1" thickBot="1" x14ac:dyDescent="0.25">
      <c r="H74" s="117"/>
      <c r="J74" s="104"/>
      <c r="K74" s="105"/>
      <c r="L74" s="106"/>
      <c r="N74" s="104"/>
      <c r="O74" s="105"/>
      <c r="P74" s="106"/>
      <c r="R74" s="113"/>
      <c r="S74" s="114"/>
      <c r="T74" s="115"/>
      <c r="V74" s="113"/>
      <c r="W74" s="114"/>
      <c r="X74" s="115"/>
      <c r="Z74" s="113"/>
      <c r="AA74" s="114"/>
      <c r="AB74" s="115"/>
      <c r="AD74" s="117"/>
    </row>
    <row r="75" spans="8:30" ht="13.5" thickBot="1" x14ac:dyDescent="0.25">
      <c r="H75" s="117"/>
      <c r="AD75" s="117"/>
    </row>
    <row r="76" spans="8:30" ht="12.75" customHeight="1" x14ac:dyDescent="0.2">
      <c r="H76" s="117"/>
      <c r="J76" s="119"/>
      <c r="L76" s="78"/>
      <c r="N76" s="78"/>
      <c r="P76" s="78"/>
      <c r="R76" s="78"/>
      <c r="T76" s="78"/>
      <c r="V76" s="78" t="s">
        <v>15</v>
      </c>
      <c r="X76" s="78" t="s">
        <v>16</v>
      </c>
      <c r="Z76" s="78" t="s">
        <v>17</v>
      </c>
      <c r="AB76" s="78" t="s">
        <v>18</v>
      </c>
      <c r="AD76" s="117"/>
    </row>
    <row r="77" spans="8:30" ht="12.75" customHeight="1" x14ac:dyDescent="0.2">
      <c r="H77" s="117"/>
      <c r="J77" s="120"/>
      <c r="L77" s="90"/>
      <c r="N77" s="90"/>
      <c r="P77" s="90"/>
      <c r="R77" s="90"/>
      <c r="T77" s="90"/>
      <c r="V77" s="90"/>
      <c r="X77" s="90"/>
      <c r="Z77" s="90"/>
      <c r="AB77" s="90"/>
      <c r="AD77" s="117"/>
    </row>
    <row r="78" spans="8:30" ht="12.75" customHeight="1" x14ac:dyDescent="0.2">
      <c r="H78" s="117"/>
      <c r="J78" s="120"/>
      <c r="L78" s="90"/>
      <c r="N78" s="90"/>
      <c r="P78" s="90"/>
      <c r="R78" s="90"/>
      <c r="T78" s="90"/>
      <c r="V78" s="90"/>
      <c r="X78" s="90"/>
      <c r="Z78" s="90"/>
      <c r="AB78" s="90"/>
      <c r="AD78" s="117"/>
    </row>
    <row r="79" spans="8:30" ht="12.75" customHeight="1" x14ac:dyDescent="0.2">
      <c r="H79" s="117"/>
      <c r="J79" s="120"/>
      <c r="L79" s="90"/>
      <c r="N79" s="90"/>
      <c r="P79" s="90"/>
      <c r="R79" s="90"/>
      <c r="T79" s="90"/>
      <c r="V79" s="90"/>
      <c r="X79" s="90"/>
      <c r="Z79" s="90"/>
      <c r="AB79" s="90"/>
      <c r="AD79" s="117"/>
    </row>
    <row r="80" spans="8:30" ht="12.75" customHeight="1" x14ac:dyDescent="0.2">
      <c r="H80" s="117"/>
      <c r="J80" s="120"/>
      <c r="L80" s="90"/>
      <c r="N80" s="90"/>
      <c r="P80" s="90"/>
      <c r="R80" s="90"/>
      <c r="T80" s="90"/>
      <c r="V80" s="90"/>
      <c r="X80" s="90"/>
      <c r="Z80" s="90"/>
      <c r="AB80" s="90"/>
      <c r="AD80" s="117"/>
    </row>
    <row r="81" spans="8:30" ht="12.75" customHeight="1" x14ac:dyDescent="0.2">
      <c r="H81" s="117"/>
      <c r="J81" s="120"/>
      <c r="L81" s="90"/>
      <c r="N81" s="90"/>
      <c r="P81" s="90"/>
      <c r="R81" s="90"/>
      <c r="T81" s="90"/>
      <c r="V81" s="90"/>
      <c r="X81" s="90"/>
      <c r="Z81" s="90"/>
      <c r="AB81" s="90"/>
      <c r="AD81" s="117"/>
    </row>
    <row r="82" spans="8:30" ht="12.75" customHeight="1" x14ac:dyDescent="0.2">
      <c r="H82" s="117"/>
      <c r="J82" s="120"/>
      <c r="L82" s="90"/>
      <c r="N82" s="90"/>
      <c r="P82" s="90"/>
      <c r="R82" s="90"/>
      <c r="T82" s="90"/>
      <c r="V82" s="90"/>
      <c r="X82" s="90"/>
      <c r="Z82" s="90"/>
      <c r="AB82" s="90"/>
      <c r="AD82" s="117"/>
    </row>
    <row r="83" spans="8:30" ht="13.5" customHeight="1" thickBot="1" x14ac:dyDescent="0.25">
      <c r="H83" s="117"/>
      <c r="J83" s="121"/>
      <c r="L83" s="91"/>
      <c r="N83" s="91"/>
      <c r="P83" s="91"/>
      <c r="R83" s="91"/>
      <c r="T83" s="91"/>
      <c r="V83" s="91"/>
      <c r="X83" s="91"/>
      <c r="Z83" s="91"/>
      <c r="AB83" s="91"/>
      <c r="AD83" s="117"/>
    </row>
    <row r="84" spans="8:30" ht="13.5" thickBot="1" x14ac:dyDescent="0.25">
      <c r="H84" s="117"/>
      <c r="AD84" s="117"/>
    </row>
    <row r="85" spans="8:30" x14ac:dyDescent="0.2">
      <c r="H85" s="117"/>
      <c r="J85" s="98"/>
      <c r="K85" s="99"/>
      <c r="L85" s="100"/>
      <c r="N85" s="98"/>
      <c r="O85" s="99"/>
      <c r="P85" s="100"/>
      <c r="R85" s="107" t="s">
        <v>19</v>
      </c>
      <c r="S85" s="108"/>
      <c r="T85" s="109"/>
      <c r="V85" s="107" t="s">
        <v>20</v>
      </c>
      <c r="W85" s="108"/>
      <c r="X85" s="109"/>
      <c r="Z85" s="107" t="s">
        <v>21</v>
      </c>
      <c r="AA85" s="108"/>
      <c r="AB85" s="109"/>
      <c r="AD85" s="117"/>
    </row>
    <row r="86" spans="8:30" x14ac:dyDescent="0.2">
      <c r="H86" s="117"/>
      <c r="J86" s="101"/>
      <c r="K86" s="102"/>
      <c r="L86" s="103"/>
      <c r="N86" s="101"/>
      <c r="O86" s="102"/>
      <c r="P86" s="103"/>
      <c r="R86" s="110"/>
      <c r="S86" s="111"/>
      <c r="T86" s="112"/>
      <c r="V86" s="110"/>
      <c r="W86" s="111"/>
      <c r="X86" s="112"/>
      <c r="Z86" s="110"/>
      <c r="AA86" s="111"/>
      <c r="AB86" s="112"/>
      <c r="AD86" s="117"/>
    </row>
    <row r="87" spans="8:30" ht="13.5" thickBot="1" x14ac:dyDescent="0.25">
      <c r="H87" s="118"/>
      <c r="J87" s="104"/>
      <c r="K87" s="105"/>
      <c r="L87" s="106"/>
      <c r="N87" s="104"/>
      <c r="O87" s="105"/>
      <c r="P87" s="106"/>
      <c r="R87" s="113"/>
      <c r="S87" s="114"/>
      <c r="T87" s="115"/>
      <c r="V87" s="113"/>
      <c r="W87" s="114"/>
      <c r="X87" s="115"/>
      <c r="Z87" s="113"/>
      <c r="AA87" s="114"/>
      <c r="AB87" s="115"/>
      <c r="AD87" s="117"/>
    </row>
    <row r="88" spans="8:30" x14ac:dyDescent="0.2">
      <c r="AD88" s="117"/>
    </row>
    <row r="89" spans="8:30" ht="13.5" thickBot="1" x14ac:dyDescent="0.25">
      <c r="AD89" s="118"/>
    </row>
    <row r="90" spans="8:30" ht="13.5" thickBot="1" x14ac:dyDescent="0.25"/>
    <row r="91" spans="8:30" x14ac:dyDescent="0.2">
      <c r="N91" s="92" t="s">
        <v>3</v>
      </c>
      <c r="O91" s="93"/>
      <c r="P91" s="93"/>
      <c r="Q91" s="93"/>
      <c r="R91" s="93"/>
      <c r="S91" s="93"/>
      <c r="T91" s="93"/>
      <c r="U91" s="93"/>
      <c r="V91" s="93"/>
      <c r="W91" s="93"/>
      <c r="X91" s="94"/>
    </row>
    <row r="92" spans="8:30" ht="13.5" thickBot="1" x14ac:dyDescent="0.25">
      <c r="N92" s="95"/>
      <c r="O92" s="96"/>
      <c r="P92" s="96"/>
      <c r="Q92" s="96"/>
      <c r="R92" s="96"/>
      <c r="S92" s="96"/>
      <c r="T92" s="96"/>
      <c r="U92" s="96"/>
      <c r="V92" s="96"/>
      <c r="W92" s="96"/>
      <c r="X92" s="97"/>
    </row>
  </sheetData>
  <mergeCells count="24">
    <mergeCell ref="Z76:Z83"/>
    <mergeCell ref="AB76:AB83"/>
    <mergeCell ref="AD72:AD89"/>
    <mergeCell ref="J85:L87"/>
    <mergeCell ref="N85:P87"/>
    <mergeCell ref="R85:T87"/>
    <mergeCell ref="V85:X87"/>
    <mergeCell ref="Z85:AB87"/>
    <mergeCell ref="J72:L74"/>
    <mergeCell ref="N72:P74"/>
    <mergeCell ref="R72:T74"/>
    <mergeCell ref="V72:X74"/>
    <mergeCell ref="Z72:AB74"/>
    <mergeCell ref="N91:X92"/>
    <mergeCell ref="N69:X70"/>
    <mergeCell ref="H72:H87"/>
    <mergeCell ref="J76:J83"/>
    <mergeCell ref="L76:L83"/>
    <mergeCell ref="N76:N83"/>
    <mergeCell ref="P76:P83"/>
    <mergeCell ref="R76:R83"/>
    <mergeCell ref="T76:T83"/>
    <mergeCell ref="V76:V83"/>
    <mergeCell ref="X76:X8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EB434-55A0-4A0F-B627-04AC89C7D967}">
  <dimension ref="K1:AG35"/>
  <sheetViews>
    <sheetView zoomScale="70" zoomScaleNormal="70" workbookViewId="0">
      <selection activeCell="X26" sqref="B3:Z27"/>
    </sheetView>
  </sheetViews>
  <sheetFormatPr baseColWidth="10" defaultColWidth="11.42578125" defaultRowHeight="12.75" x14ac:dyDescent="0.2"/>
  <cols>
    <col min="10" max="11" width="8" customWidth="1"/>
    <col min="12" max="12" width="4" customWidth="1"/>
    <col min="13" max="13" width="10.140625" customWidth="1"/>
    <col min="14" max="14" width="1.85546875" customWidth="1"/>
    <col min="15" max="15" width="10.140625" customWidth="1"/>
    <col min="16" max="16" width="1.85546875" customWidth="1"/>
    <col min="17" max="17" width="10.140625" customWidth="1"/>
    <col min="18" max="18" width="1.85546875" customWidth="1"/>
    <col min="19" max="19" width="10.140625" customWidth="1"/>
    <col min="20" max="20" width="1.85546875" customWidth="1"/>
    <col min="21" max="21" width="10.140625" customWidth="1"/>
    <col min="22" max="22" width="1.85546875" customWidth="1"/>
    <col min="23" max="23" width="10.140625" customWidth="1"/>
    <col min="24" max="24" width="1.85546875" customWidth="1"/>
    <col min="25" max="25" width="10.140625" customWidth="1"/>
    <col min="26" max="26" width="1.85546875" customWidth="1"/>
    <col min="27" max="27" width="10.140625" customWidth="1"/>
    <col min="28" max="28" width="1.85546875" customWidth="1"/>
    <col min="29" max="29" width="10.140625" customWidth="1"/>
    <col min="30" max="30" width="1.85546875" customWidth="1"/>
    <col min="31" max="31" width="10.140625" customWidth="1"/>
    <col min="32" max="32" width="4" customWidth="1"/>
  </cols>
  <sheetData>
    <row r="1" spans="11:27" ht="24" x14ac:dyDescent="0.4">
      <c r="S1" s="1"/>
    </row>
    <row r="11" spans="11:27" ht="13.5" thickBot="1" x14ac:dyDescent="0.25"/>
    <row r="12" spans="11:27" ht="12.75" customHeight="1" x14ac:dyDescent="0.2">
      <c r="N12" s="3"/>
      <c r="O12" s="3"/>
      <c r="P12" s="3"/>
      <c r="Q12" s="92" t="s">
        <v>1</v>
      </c>
      <c r="R12" s="93"/>
      <c r="S12" s="93"/>
      <c r="T12" s="93"/>
      <c r="U12" s="93"/>
      <c r="V12" s="93"/>
      <c r="W12" s="93"/>
      <c r="X12" s="93"/>
      <c r="Y12" s="93"/>
      <c r="Z12" s="93"/>
      <c r="AA12" s="94"/>
    </row>
    <row r="13" spans="11:27" ht="12.75" customHeight="1" thickBot="1" x14ac:dyDescent="0.25">
      <c r="N13" s="3"/>
      <c r="O13" s="3"/>
      <c r="P13" s="3"/>
      <c r="Q13" s="95"/>
      <c r="R13" s="96"/>
      <c r="S13" s="96"/>
      <c r="T13" s="96"/>
      <c r="U13" s="96"/>
      <c r="V13" s="96"/>
      <c r="W13" s="96"/>
      <c r="X13" s="96"/>
      <c r="Y13" s="96"/>
      <c r="Z13" s="96"/>
      <c r="AA13" s="97"/>
    </row>
    <row r="14" spans="11:27" ht="12.75" customHeight="1" thickBot="1" x14ac:dyDescent="0.25">
      <c r="N14" s="3"/>
      <c r="O14" s="3"/>
      <c r="P14" s="3"/>
      <c r="Q14" s="3"/>
      <c r="R14" s="3"/>
    </row>
    <row r="15" spans="11:27" x14ac:dyDescent="0.2">
      <c r="K15" s="116" t="s">
        <v>3</v>
      </c>
    </row>
    <row r="16" spans="11:27" ht="13.5" thickBot="1" x14ac:dyDescent="0.25">
      <c r="K16" s="117"/>
    </row>
    <row r="17" spans="11:33" ht="12.75" customHeight="1" x14ac:dyDescent="0.2">
      <c r="K17" s="117"/>
      <c r="M17" s="119"/>
      <c r="O17" s="78" t="s">
        <v>22</v>
      </c>
      <c r="Q17" s="78" t="s">
        <v>23</v>
      </c>
      <c r="S17" s="78" t="s">
        <v>24</v>
      </c>
      <c r="U17" s="78" t="s">
        <v>25</v>
      </c>
      <c r="W17" s="78" t="s">
        <v>26</v>
      </c>
      <c r="Y17" s="78" t="s">
        <v>27</v>
      </c>
      <c r="AA17" s="78" t="s">
        <v>28</v>
      </c>
      <c r="AC17" s="78" t="s">
        <v>29</v>
      </c>
      <c r="AE17" s="78" t="s">
        <v>30</v>
      </c>
      <c r="AG17" s="116" t="s">
        <v>3</v>
      </c>
    </row>
    <row r="18" spans="11:33" ht="12.75" customHeight="1" x14ac:dyDescent="0.2">
      <c r="K18" s="117"/>
      <c r="M18" s="120"/>
      <c r="O18" s="90"/>
      <c r="Q18" s="90"/>
      <c r="S18" s="90"/>
      <c r="U18" s="90"/>
      <c r="W18" s="90"/>
      <c r="Y18" s="90"/>
      <c r="AA18" s="90"/>
      <c r="AC18" s="90"/>
      <c r="AE18" s="90"/>
      <c r="AG18" s="117"/>
    </row>
    <row r="19" spans="11:33" ht="12.75" customHeight="1" x14ac:dyDescent="0.2">
      <c r="K19" s="117"/>
      <c r="M19" s="120"/>
      <c r="O19" s="90"/>
      <c r="Q19" s="90"/>
      <c r="S19" s="90"/>
      <c r="U19" s="90"/>
      <c r="W19" s="90"/>
      <c r="Y19" s="90"/>
      <c r="AA19" s="90"/>
      <c r="AC19" s="90"/>
      <c r="AE19" s="90"/>
      <c r="AG19" s="117"/>
    </row>
    <row r="20" spans="11:33" ht="12.75" customHeight="1" x14ac:dyDescent="0.2">
      <c r="K20" s="117"/>
      <c r="M20" s="120"/>
      <c r="O20" s="90"/>
      <c r="Q20" s="90"/>
      <c r="S20" s="90"/>
      <c r="U20" s="90"/>
      <c r="W20" s="90"/>
      <c r="Y20" s="90"/>
      <c r="AA20" s="90"/>
      <c r="AC20" s="90"/>
      <c r="AE20" s="90"/>
      <c r="AG20" s="117"/>
    </row>
    <row r="21" spans="11:33" ht="12.75" customHeight="1" x14ac:dyDescent="0.2">
      <c r="K21" s="117"/>
      <c r="M21" s="120"/>
      <c r="O21" s="90"/>
      <c r="Q21" s="90"/>
      <c r="S21" s="90"/>
      <c r="U21" s="90"/>
      <c r="W21" s="90"/>
      <c r="Y21" s="90"/>
      <c r="AA21" s="90"/>
      <c r="AC21" s="90"/>
      <c r="AE21" s="90"/>
      <c r="AG21" s="117"/>
    </row>
    <row r="22" spans="11:33" ht="12.75" customHeight="1" x14ac:dyDescent="0.2">
      <c r="K22" s="117"/>
      <c r="M22" s="120"/>
      <c r="O22" s="90"/>
      <c r="Q22" s="90"/>
      <c r="S22" s="90"/>
      <c r="U22" s="90"/>
      <c r="W22" s="90"/>
      <c r="Y22" s="90"/>
      <c r="AA22" s="90"/>
      <c r="AC22" s="90"/>
      <c r="AE22" s="90"/>
      <c r="AG22" s="117"/>
    </row>
    <row r="23" spans="11:33" ht="12.75" customHeight="1" x14ac:dyDescent="0.2">
      <c r="K23" s="117"/>
      <c r="M23" s="120"/>
      <c r="O23" s="90"/>
      <c r="Q23" s="90"/>
      <c r="S23" s="90"/>
      <c r="U23" s="90"/>
      <c r="W23" s="90"/>
      <c r="Y23" s="90"/>
      <c r="AA23" s="90"/>
      <c r="AC23" s="90"/>
      <c r="AE23" s="90"/>
      <c r="AG23" s="117"/>
    </row>
    <row r="24" spans="11:33" ht="13.5" customHeight="1" thickBot="1" x14ac:dyDescent="0.25">
      <c r="K24" s="117"/>
      <c r="M24" s="121"/>
      <c r="O24" s="91"/>
      <c r="Q24" s="91"/>
      <c r="S24" s="91"/>
      <c r="U24" s="91"/>
      <c r="W24" s="91"/>
      <c r="Y24" s="91"/>
      <c r="AA24" s="91"/>
      <c r="AC24" s="91"/>
      <c r="AE24" s="91"/>
      <c r="AG24" s="117"/>
    </row>
    <row r="25" spans="11:33" x14ac:dyDescent="0.2">
      <c r="K25" s="117"/>
      <c r="AG25" s="117"/>
    </row>
    <row r="26" spans="11:33" x14ac:dyDescent="0.2">
      <c r="K26" s="117"/>
      <c r="AG26" s="117"/>
    </row>
    <row r="27" spans="11:33" ht="13.5" thickBot="1" x14ac:dyDescent="0.25">
      <c r="K27" s="117"/>
      <c r="AG27" s="117"/>
    </row>
    <row r="28" spans="11:33" x14ac:dyDescent="0.2">
      <c r="K28" s="117"/>
      <c r="M28" s="98"/>
      <c r="N28" s="99"/>
      <c r="O28" s="100"/>
      <c r="Q28" s="98"/>
      <c r="R28" s="99"/>
      <c r="S28" s="100"/>
      <c r="U28" s="98"/>
      <c r="V28" s="99"/>
      <c r="W28" s="100"/>
      <c r="Y28" s="98"/>
      <c r="Z28" s="99"/>
      <c r="AA28" s="100"/>
      <c r="AC28" s="107" t="s">
        <v>31</v>
      </c>
      <c r="AD28" s="108"/>
      <c r="AE28" s="109"/>
      <c r="AG28" s="117"/>
    </row>
    <row r="29" spans="11:33" x14ac:dyDescent="0.2">
      <c r="K29" s="117"/>
      <c r="M29" s="101"/>
      <c r="N29" s="102"/>
      <c r="O29" s="103"/>
      <c r="Q29" s="101"/>
      <c r="R29" s="102"/>
      <c r="S29" s="103"/>
      <c r="U29" s="101"/>
      <c r="V29" s="102"/>
      <c r="W29" s="103"/>
      <c r="Y29" s="101"/>
      <c r="Z29" s="102"/>
      <c r="AA29" s="103"/>
      <c r="AC29" s="110"/>
      <c r="AD29" s="111"/>
      <c r="AE29" s="112"/>
      <c r="AG29" s="117"/>
    </row>
    <row r="30" spans="11:33" ht="13.5" thickBot="1" x14ac:dyDescent="0.25">
      <c r="K30" s="117"/>
      <c r="M30" s="104"/>
      <c r="N30" s="105"/>
      <c r="O30" s="106"/>
      <c r="Q30" s="104"/>
      <c r="R30" s="105"/>
      <c r="S30" s="106"/>
      <c r="U30" s="104"/>
      <c r="V30" s="105"/>
      <c r="W30" s="106"/>
      <c r="Y30" s="104"/>
      <c r="Z30" s="105"/>
      <c r="AA30" s="106"/>
      <c r="AC30" s="113"/>
      <c r="AD30" s="114"/>
      <c r="AE30" s="115"/>
      <c r="AG30" s="117"/>
    </row>
    <row r="31" spans="11:33" x14ac:dyDescent="0.2">
      <c r="K31" s="117"/>
      <c r="AG31" s="117"/>
    </row>
    <row r="32" spans="11:33" ht="13.5" thickBot="1" x14ac:dyDescent="0.25">
      <c r="K32" s="118"/>
      <c r="AG32" s="117"/>
    </row>
    <row r="33" spans="17:33" ht="13.5" thickBot="1" x14ac:dyDescent="0.25">
      <c r="AG33" s="117"/>
    </row>
    <row r="34" spans="17:33" ht="13.5" thickBot="1" x14ac:dyDescent="0.25">
      <c r="Q34" s="92" t="s">
        <v>2</v>
      </c>
      <c r="R34" s="93"/>
      <c r="S34" s="93"/>
      <c r="T34" s="93"/>
      <c r="U34" s="93"/>
      <c r="V34" s="93"/>
      <c r="W34" s="93"/>
      <c r="X34" s="93"/>
      <c r="Y34" s="93"/>
      <c r="Z34" s="93"/>
      <c r="AA34" s="94"/>
      <c r="AG34" s="118"/>
    </row>
    <row r="35" spans="17:33" ht="13.5" thickBot="1" x14ac:dyDescent="0.25">
      <c r="Q35" s="95"/>
      <c r="R35" s="96"/>
      <c r="S35" s="96"/>
      <c r="T35" s="96"/>
      <c r="U35" s="96"/>
      <c r="V35" s="96"/>
      <c r="W35" s="96"/>
      <c r="X35" s="96"/>
      <c r="Y35" s="96"/>
      <c r="Z35" s="96"/>
      <c r="AA35" s="97"/>
    </row>
  </sheetData>
  <mergeCells count="19">
    <mergeCell ref="Q34:AA35"/>
    <mergeCell ref="K15:K32"/>
    <mergeCell ref="AG17:AG34"/>
    <mergeCell ref="M28:O30"/>
    <mergeCell ref="Q28:S30"/>
    <mergeCell ref="U28:W30"/>
    <mergeCell ref="Y28:AA30"/>
    <mergeCell ref="AC28:AE30"/>
    <mergeCell ref="M17:M24"/>
    <mergeCell ref="AE17:AE24"/>
    <mergeCell ref="AC17:AC24"/>
    <mergeCell ref="AA17:AA24"/>
    <mergeCell ref="Y17:Y24"/>
    <mergeCell ref="W17:W24"/>
    <mergeCell ref="U17:U24"/>
    <mergeCell ref="S17:S24"/>
    <mergeCell ref="Q17:Q24"/>
    <mergeCell ref="O17:O24"/>
    <mergeCell ref="Q12:AA1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8FBB-BCB2-42E4-9744-986EED802DD4}">
  <dimension ref="B1:AB27"/>
  <sheetViews>
    <sheetView zoomScale="130" zoomScaleNormal="130" workbookViewId="0">
      <selection activeCell="X26" sqref="B3:Z27"/>
    </sheetView>
  </sheetViews>
  <sheetFormatPr baseColWidth="10" defaultColWidth="11.42578125" defaultRowHeight="12.75" x14ac:dyDescent="0.2"/>
  <cols>
    <col min="1" max="2" width="8" customWidth="1"/>
    <col min="3" max="3" width="3.85546875" customWidth="1"/>
    <col min="4" max="4" width="10.140625" customWidth="1"/>
    <col min="5" max="5" width="1.85546875" customWidth="1"/>
    <col min="6" max="6" width="10.140625" customWidth="1"/>
    <col min="7" max="7" width="1.85546875" customWidth="1"/>
    <col min="8" max="8" width="10.140625" customWidth="1"/>
    <col min="9" max="9" width="1.85546875" customWidth="1"/>
    <col min="10" max="10" width="10.140625" customWidth="1"/>
    <col min="11" max="11" width="1.85546875" customWidth="1"/>
    <col min="12" max="12" width="10.140625" customWidth="1"/>
    <col min="13" max="13" width="1.85546875" customWidth="1"/>
    <col min="14" max="14" width="10.140625" customWidth="1"/>
    <col min="15" max="15" width="1.85546875" customWidth="1"/>
    <col min="16" max="16" width="10.140625" customWidth="1"/>
    <col min="17" max="17" width="1.85546875" customWidth="1"/>
    <col min="18" max="18" width="10.140625" customWidth="1"/>
    <col min="19" max="19" width="1.85546875" customWidth="1"/>
    <col min="20" max="20" width="10.140625" customWidth="1"/>
    <col min="21" max="21" width="1.85546875" customWidth="1"/>
    <col min="22" max="22" width="10.140625" customWidth="1"/>
    <col min="23" max="23" width="1.7109375" customWidth="1"/>
    <col min="26" max="26" width="1.7109375" customWidth="1"/>
    <col min="27" max="27" width="3.85546875" customWidth="1"/>
  </cols>
  <sheetData>
    <row r="1" spans="2:28" ht="24" x14ac:dyDescent="0.4">
      <c r="J1" s="1"/>
    </row>
    <row r="4" spans="2:28" ht="13.5" thickBot="1" x14ac:dyDescent="0.25"/>
    <row r="5" spans="2:28" ht="12.75" customHeight="1" x14ac:dyDescent="0.2">
      <c r="E5" s="3"/>
      <c r="F5" s="3"/>
      <c r="G5" s="3"/>
      <c r="H5" s="92" t="s">
        <v>1</v>
      </c>
      <c r="I5" s="93"/>
      <c r="J5" s="93"/>
      <c r="K5" s="93"/>
      <c r="L5" s="93"/>
      <c r="M5" s="93"/>
      <c r="N5" s="93"/>
      <c r="O5" s="93"/>
      <c r="P5" s="93"/>
      <c r="Q5" s="93"/>
      <c r="R5" s="93"/>
      <c r="S5" s="93"/>
      <c r="T5" s="93"/>
      <c r="U5" s="93"/>
      <c r="V5" s="94"/>
    </row>
    <row r="6" spans="2:28" ht="12.75" customHeight="1" thickBot="1" x14ac:dyDescent="0.25">
      <c r="E6" s="3"/>
      <c r="F6" s="3"/>
      <c r="G6" s="3"/>
      <c r="H6" s="95"/>
      <c r="I6" s="96"/>
      <c r="J6" s="96"/>
      <c r="K6" s="96"/>
      <c r="L6" s="96"/>
      <c r="M6" s="96"/>
      <c r="N6" s="96"/>
      <c r="O6" s="96"/>
      <c r="P6" s="96"/>
      <c r="Q6" s="96"/>
      <c r="R6" s="96"/>
      <c r="S6" s="96"/>
      <c r="T6" s="96"/>
      <c r="U6" s="96"/>
      <c r="V6" s="97"/>
    </row>
    <row r="7" spans="2:28" ht="12.75" customHeight="1" thickBot="1" x14ac:dyDescent="0.25">
      <c r="E7" s="3"/>
      <c r="F7" s="3"/>
      <c r="G7" s="3"/>
      <c r="H7" s="3"/>
      <c r="I7" s="3"/>
    </row>
    <row r="8" spans="2:28" ht="12.75" customHeight="1" x14ac:dyDescent="0.2">
      <c r="B8" s="116" t="s">
        <v>3</v>
      </c>
      <c r="D8" s="107" t="s">
        <v>32</v>
      </c>
      <c r="E8" s="122"/>
      <c r="F8" s="123"/>
      <c r="H8" s="107" t="s">
        <v>33</v>
      </c>
      <c r="I8" s="122"/>
      <c r="J8" s="123"/>
      <c r="L8" s="107" t="s">
        <v>34</v>
      </c>
      <c r="M8" s="122"/>
      <c r="N8" s="123"/>
      <c r="P8" s="107" t="s">
        <v>35</v>
      </c>
      <c r="Q8" s="108"/>
      <c r="R8" s="109"/>
      <c r="T8" s="107" t="s">
        <v>36</v>
      </c>
      <c r="U8" s="108"/>
      <c r="V8" s="109"/>
      <c r="X8" s="107" t="s">
        <v>37</v>
      </c>
      <c r="Y8" s="108"/>
      <c r="Z8" s="109"/>
      <c r="AB8" s="116" t="s">
        <v>0</v>
      </c>
    </row>
    <row r="9" spans="2:28" ht="12.75" customHeight="1" x14ac:dyDescent="0.2">
      <c r="B9" s="117"/>
      <c r="D9" s="124"/>
      <c r="E9" s="125"/>
      <c r="F9" s="126"/>
      <c r="H9" s="124"/>
      <c r="I9" s="125"/>
      <c r="J9" s="126"/>
      <c r="L9" s="124"/>
      <c r="M9" s="125"/>
      <c r="N9" s="126"/>
      <c r="P9" s="110"/>
      <c r="Q9" s="111"/>
      <c r="R9" s="112"/>
      <c r="T9" s="110"/>
      <c r="U9" s="111"/>
      <c r="V9" s="112"/>
      <c r="X9" s="110"/>
      <c r="Y9" s="111"/>
      <c r="Z9" s="112"/>
      <c r="AB9" s="117"/>
    </row>
    <row r="10" spans="2:28" ht="12.75" customHeight="1" thickBot="1" x14ac:dyDescent="0.25">
      <c r="B10" s="117"/>
      <c r="D10" s="127"/>
      <c r="E10" s="128"/>
      <c r="F10" s="129"/>
      <c r="H10" s="127"/>
      <c r="I10" s="128"/>
      <c r="J10" s="129"/>
      <c r="L10" s="127"/>
      <c r="M10" s="128"/>
      <c r="N10" s="129"/>
      <c r="P10" s="113"/>
      <c r="Q10" s="114"/>
      <c r="R10" s="115"/>
      <c r="T10" s="113"/>
      <c r="U10" s="114"/>
      <c r="V10" s="115"/>
      <c r="X10" s="113"/>
      <c r="Y10" s="114"/>
      <c r="Z10" s="115"/>
      <c r="AB10" s="117"/>
    </row>
    <row r="11" spans="2:28" ht="12.75" customHeight="1" x14ac:dyDescent="0.2">
      <c r="B11" s="117"/>
      <c r="D11" s="11"/>
      <c r="F11" s="6"/>
      <c r="H11" s="6"/>
      <c r="J11" s="6"/>
      <c r="L11" s="6"/>
      <c r="N11" s="6"/>
      <c r="P11" s="6"/>
      <c r="R11" s="6"/>
      <c r="T11" s="6"/>
      <c r="V11" s="6"/>
      <c r="AB11" s="117"/>
    </row>
    <row r="12" spans="2:28" ht="12.75" customHeight="1" x14ac:dyDescent="0.2">
      <c r="B12" s="117"/>
      <c r="D12" s="11"/>
      <c r="F12" s="6"/>
      <c r="H12" s="6"/>
      <c r="J12" s="6"/>
      <c r="L12" s="6"/>
      <c r="N12" s="6"/>
      <c r="P12" s="6"/>
      <c r="R12" s="6"/>
      <c r="T12" s="6"/>
      <c r="V12" s="6"/>
      <c r="AB12" s="117"/>
    </row>
    <row r="13" spans="2:28" ht="12.75" customHeight="1" thickBot="1" x14ac:dyDescent="0.25">
      <c r="B13" s="117"/>
      <c r="D13" s="11"/>
      <c r="F13" s="6"/>
      <c r="H13" s="6"/>
      <c r="J13" s="6"/>
      <c r="L13" s="6"/>
      <c r="N13" s="6"/>
      <c r="P13" s="6"/>
      <c r="R13" s="6"/>
      <c r="T13" s="6"/>
      <c r="V13" s="6"/>
      <c r="AB13" s="117"/>
    </row>
    <row r="14" spans="2:28" ht="12.75" customHeight="1" x14ac:dyDescent="0.2">
      <c r="B14" s="117"/>
      <c r="D14" s="107" t="s">
        <v>38</v>
      </c>
      <c r="E14" s="122"/>
      <c r="F14" s="123"/>
      <c r="H14" s="107" t="s">
        <v>39</v>
      </c>
      <c r="I14" s="122"/>
      <c r="J14" s="123"/>
      <c r="L14" s="107" t="s">
        <v>40</v>
      </c>
      <c r="M14" s="108"/>
      <c r="N14" s="109"/>
      <c r="P14" s="107" t="s">
        <v>41</v>
      </c>
      <c r="Q14" s="122"/>
      <c r="R14" s="123"/>
      <c r="T14" s="107" t="s">
        <v>42</v>
      </c>
      <c r="U14" s="122"/>
      <c r="V14" s="123"/>
      <c r="X14" s="107" t="s">
        <v>43</v>
      </c>
      <c r="Y14" s="108"/>
      <c r="Z14" s="109"/>
      <c r="AB14" s="117"/>
    </row>
    <row r="15" spans="2:28" ht="12.75" customHeight="1" x14ac:dyDescent="0.2">
      <c r="B15" s="117"/>
      <c r="D15" s="124"/>
      <c r="E15" s="125"/>
      <c r="F15" s="126"/>
      <c r="H15" s="124"/>
      <c r="I15" s="125"/>
      <c r="J15" s="126"/>
      <c r="L15" s="110"/>
      <c r="M15" s="111"/>
      <c r="N15" s="112"/>
      <c r="P15" s="124"/>
      <c r="Q15" s="125"/>
      <c r="R15" s="126"/>
      <c r="T15" s="124"/>
      <c r="U15" s="125"/>
      <c r="V15" s="126"/>
      <c r="X15" s="110"/>
      <c r="Y15" s="111"/>
      <c r="Z15" s="112"/>
      <c r="AB15" s="117"/>
    </row>
    <row r="16" spans="2:28" ht="13.5" customHeight="1" thickBot="1" x14ac:dyDescent="0.25">
      <c r="B16" s="117"/>
      <c r="D16" s="127"/>
      <c r="E16" s="128"/>
      <c r="F16" s="129"/>
      <c r="H16" s="127"/>
      <c r="I16" s="128"/>
      <c r="J16" s="129"/>
      <c r="L16" s="113"/>
      <c r="M16" s="114"/>
      <c r="N16" s="115"/>
      <c r="P16" s="127"/>
      <c r="Q16" s="128"/>
      <c r="R16" s="129"/>
      <c r="T16" s="127"/>
      <c r="U16" s="128"/>
      <c r="V16" s="129"/>
      <c r="X16" s="113"/>
      <c r="Y16" s="114"/>
      <c r="Z16" s="115"/>
      <c r="AB16" s="117"/>
    </row>
    <row r="17" spans="2:28" x14ac:dyDescent="0.2">
      <c r="B17" s="117"/>
      <c r="AB17" s="117"/>
    </row>
    <row r="18" spans="2:28" x14ac:dyDescent="0.2">
      <c r="B18" s="117"/>
      <c r="AB18" s="117"/>
    </row>
    <row r="19" spans="2:28" ht="13.5" thickBot="1" x14ac:dyDescent="0.25">
      <c r="B19" s="117"/>
      <c r="AB19" s="117"/>
    </row>
    <row r="20" spans="2:28" ht="12.75" customHeight="1" x14ac:dyDescent="0.2">
      <c r="B20" s="117"/>
      <c r="D20" s="98"/>
      <c r="E20" s="99"/>
      <c r="F20" s="100"/>
      <c r="H20" s="98"/>
      <c r="I20" s="99"/>
      <c r="J20" s="100"/>
      <c r="L20" s="107" t="s">
        <v>44</v>
      </c>
      <c r="M20" s="108"/>
      <c r="N20" s="109"/>
      <c r="P20" s="107" t="s">
        <v>45</v>
      </c>
      <c r="Q20" s="108"/>
      <c r="R20" s="109"/>
      <c r="T20" s="107" t="s">
        <v>46</v>
      </c>
      <c r="U20" s="108"/>
      <c r="V20" s="109"/>
      <c r="X20" s="107" t="s">
        <v>47</v>
      </c>
      <c r="Y20" s="108"/>
      <c r="Z20" s="109"/>
      <c r="AB20" s="117"/>
    </row>
    <row r="21" spans="2:28" ht="12.75" customHeight="1" x14ac:dyDescent="0.2">
      <c r="B21" s="117"/>
      <c r="D21" s="101"/>
      <c r="E21" s="102"/>
      <c r="F21" s="103"/>
      <c r="H21" s="101"/>
      <c r="I21" s="102"/>
      <c r="J21" s="103"/>
      <c r="L21" s="110"/>
      <c r="M21" s="111"/>
      <c r="N21" s="112"/>
      <c r="P21" s="110"/>
      <c r="Q21" s="111"/>
      <c r="R21" s="112"/>
      <c r="T21" s="110"/>
      <c r="U21" s="111"/>
      <c r="V21" s="112"/>
      <c r="X21" s="110"/>
      <c r="Y21" s="111"/>
      <c r="Z21" s="112"/>
      <c r="AB21" s="117"/>
    </row>
    <row r="22" spans="2:28" ht="13.5" customHeight="1" thickBot="1" x14ac:dyDescent="0.25">
      <c r="B22" s="118"/>
      <c r="D22" s="104"/>
      <c r="E22" s="105"/>
      <c r="F22" s="106"/>
      <c r="H22" s="104"/>
      <c r="I22" s="105"/>
      <c r="J22" s="106"/>
      <c r="L22" s="113"/>
      <c r="M22" s="114"/>
      <c r="N22" s="115"/>
      <c r="P22" s="113"/>
      <c r="Q22" s="114"/>
      <c r="R22" s="115"/>
      <c r="T22" s="113"/>
      <c r="U22" s="114"/>
      <c r="V22" s="115"/>
      <c r="X22" s="113"/>
      <c r="Y22" s="114"/>
      <c r="Z22" s="115"/>
      <c r="AB22" s="118"/>
    </row>
    <row r="23" spans="2:28" ht="12.75" customHeight="1" x14ac:dyDescent="0.2">
      <c r="B23" s="10"/>
      <c r="AB23" s="10"/>
    </row>
    <row r="24" spans="2:28" ht="12.75" customHeight="1" x14ac:dyDescent="0.2">
      <c r="B24" s="10"/>
      <c r="AB24" s="10"/>
    </row>
    <row r="25" spans="2:28" ht="13.5" customHeight="1" thickBot="1" x14ac:dyDescent="0.25"/>
    <row r="26" spans="2:28" ht="12.75" customHeight="1" x14ac:dyDescent="0.2">
      <c r="H26" s="92" t="s">
        <v>2</v>
      </c>
      <c r="I26" s="93"/>
      <c r="J26" s="93"/>
      <c r="K26" s="93"/>
      <c r="L26" s="93"/>
      <c r="M26" s="93"/>
      <c r="N26" s="93"/>
      <c r="O26" s="93"/>
      <c r="P26" s="93"/>
      <c r="Q26" s="93"/>
      <c r="R26" s="93"/>
      <c r="S26" s="93"/>
      <c r="T26" s="93"/>
      <c r="U26" s="93"/>
      <c r="V26" s="94"/>
    </row>
    <row r="27" spans="2:28" ht="13.5" customHeight="1" thickBot="1" x14ac:dyDescent="0.25">
      <c r="H27" s="95"/>
      <c r="I27" s="96"/>
      <c r="J27" s="96"/>
      <c r="K27" s="96"/>
      <c r="L27" s="96"/>
      <c r="M27" s="96"/>
      <c r="N27" s="96"/>
      <c r="O27" s="96"/>
      <c r="P27" s="96"/>
      <c r="Q27" s="96"/>
      <c r="R27" s="96"/>
      <c r="S27" s="96"/>
      <c r="T27" s="96"/>
      <c r="U27" s="96"/>
      <c r="V27" s="97"/>
    </row>
  </sheetData>
  <mergeCells count="22">
    <mergeCell ref="AB8:AB22"/>
    <mergeCell ref="B8:B22"/>
    <mergeCell ref="H5:V6"/>
    <mergeCell ref="H26:V27"/>
    <mergeCell ref="T14:V16"/>
    <mergeCell ref="X14:Z16"/>
    <mergeCell ref="D14:F16"/>
    <mergeCell ref="H14:J16"/>
    <mergeCell ref="L14:N16"/>
    <mergeCell ref="P14:R16"/>
    <mergeCell ref="D8:F10"/>
    <mergeCell ref="H8:J10"/>
    <mergeCell ref="L8:N10"/>
    <mergeCell ref="P8:R10"/>
    <mergeCell ref="T8:V10"/>
    <mergeCell ref="X8:Z10"/>
    <mergeCell ref="X20:Z22"/>
    <mergeCell ref="D20:F22"/>
    <mergeCell ref="H20:J22"/>
    <mergeCell ref="L20:N22"/>
    <mergeCell ref="P20:R22"/>
    <mergeCell ref="T20:V2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UB.AFUERA CARPA CHICA</vt:lpstr>
      <vt:lpstr>UBICACIONES</vt:lpstr>
      <vt:lpstr>BASE</vt:lpstr>
      <vt:lpstr>UB.DESPACHO CARPA CHICA</vt:lpstr>
      <vt:lpstr>UB.DESPACHO LADO SUR</vt:lpstr>
      <vt:lpstr>UB. LINEA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Belma  Valenzuela</dc:creator>
  <cp:keywords/>
  <dc:description/>
  <cp:lastModifiedBy>Belma  Valenzuela</cp:lastModifiedBy>
  <cp:revision/>
  <cp:lastPrinted>2026-06-09T14:18:02Z</cp:lastPrinted>
  <dcterms:created xsi:type="dcterms:W3CDTF">2026-06-03T14:47:06Z</dcterms:created>
  <dcterms:modified xsi:type="dcterms:W3CDTF">2026-06-11T12:52:25Z</dcterms:modified>
  <cp:category/>
  <cp:contentStatus/>
</cp:coreProperties>
</file>