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0937DC18-9BFA-4424-8759-626D55751259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BF40" i="2"/>
  <c r="BF41" i="2"/>
  <c r="CS41" i="2" s="1"/>
  <c r="BF42" i="2"/>
  <c r="CS42" i="2" s="1"/>
  <c r="BF43" i="2"/>
  <c r="CS43" i="2" s="1"/>
  <c r="BF44" i="2"/>
  <c r="BF45" i="2"/>
  <c r="BF46" i="2"/>
  <c r="CS46" i="2" s="1"/>
  <c r="BF47" i="2"/>
  <c r="BF48" i="2"/>
  <c r="BF49" i="2"/>
  <c r="BF50" i="2"/>
  <c r="BF51" i="2"/>
  <c r="BF52" i="2"/>
  <c r="BF53" i="2"/>
  <c r="BF54" i="2"/>
  <c r="BF55" i="2"/>
  <c r="CS55" i="2" s="1"/>
  <c r="BF56" i="2"/>
  <c r="CS56" i="2" s="1"/>
  <c r="BF57" i="2"/>
  <c r="CS57" i="2" s="1"/>
  <c r="BF58" i="2"/>
  <c r="BF59" i="2"/>
  <c r="BF60" i="2"/>
  <c r="CS60" i="2" s="1"/>
  <c r="BF61" i="2"/>
  <c r="BF62" i="2"/>
  <c r="CS62" i="2" s="1"/>
  <c r="BF63" i="2"/>
  <c r="BF64" i="2"/>
  <c r="BF65" i="2"/>
  <c r="BF66" i="2"/>
  <c r="BF67" i="2"/>
  <c r="BF68" i="2"/>
  <c r="BF69" i="2"/>
  <c r="BF70" i="2"/>
  <c r="CS70" i="2" s="1"/>
  <c r="BF71" i="2"/>
  <c r="CS71" i="2" s="1"/>
  <c r="BF72" i="2"/>
  <c r="BF73" i="2"/>
  <c r="BF74" i="2"/>
  <c r="BF75" i="2"/>
  <c r="BF76" i="2"/>
  <c r="BF77" i="2"/>
  <c r="CS77" i="2" s="1"/>
  <c r="BF78" i="2"/>
  <c r="BF79" i="2"/>
  <c r="BF80" i="2"/>
  <c r="BF81" i="2"/>
  <c r="BF82" i="2"/>
  <c r="BF83" i="2"/>
  <c r="BF84" i="2"/>
  <c r="CS84" i="2" s="1"/>
  <c r="BF85" i="2"/>
  <c r="CS85" i="2" s="1"/>
  <c r="BF86" i="2"/>
  <c r="BF87" i="2"/>
  <c r="BF88" i="2"/>
  <c r="BF89" i="2"/>
  <c r="BF90" i="2"/>
  <c r="CS90" i="2" s="1"/>
  <c r="BF91" i="2"/>
  <c r="BF92" i="2"/>
  <c r="BF93" i="2"/>
  <c r="BF94" i="2"/>
  <c r="BF95" i="2"/>
  <c r="BF96" i="2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CS105" i="2" s="1"/>
  <c r="BF106" i="2"/>
  <c r="BF107" i="2"/>
  <c r="BF108" i="2"/>
  <c r="BF109" i="2"/>
  <c r="BF110" i="2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BF124" i="2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BF138" i="2"/>
  <c r="BF139" i="2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BF167" i="2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BF181" i="2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BF195" i="2"/>
  <c r="CS195" i="2" s="1"/>
  <c r="BF196" i="2"/>
  <c r="CS196" i="2" s="1"/>
  <c r="BF197" i="2"/>
  <c r="CS197" i="2" s="1"/>
  <c r="BF198" i="2"/>
  <c r="BF199" i="2"/>
  <c r="BF200" i="2"/>
  <c r="CS200" i="2" s="1"/>
  <c r="BF201" i="2"/>
  <c r="BF202" i="2"/>
  <c r="BF203" i="2"/>
  <c r="BF204" i="2"/>
  <c r="BF205" i="2"/>
  <c r="BF206" i="2"/>
  <c r="BF207" i="2"/>
  <c r="BF208" i="2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CS216" i="2" s="1"/>
  <c r="BF217" i="2"/>
  <c r="BF218" i="2"/>
  <c r="BF219" i="2"/>
  <c r="BF220" i="2"/>
  <c r="BF221" i="2"/>
  <c r="BF222" i="2"/>
  <c r="BF223" i="2"/>
  <c r="BF224" i="2"/>
  <c r="CS224" i="2" s="1"/>
  <c r="BF225" i="2"/>
  <c r="CS225" i="2" s="1"/>
  <c r="BF226" i="2"/>
  <c r="BF227" i="2"/>
  <c r="BF228" i="2"/>
  <c r="BF229" i="2"/>
  <c r="BF230" i="2"/>
  <c r="BF231" i="2"/>
  <c r="CS231" i="2" s="1"/>
  <c r="BF232" i="2"/>
  <c r="BF233" i="2"/>
  <c r="BF234" i="2"/>
  <c r="BF235" i="2"/>
  <c r="BF236" i="2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BF251" i="2"/>
  <c r="BF252" i="2"/>
  <c r="CS252" i="2" s="1"/>
  <c r="BF253" i="2"/>
  <c r="CS253" i="2" s="1"/>
  <c r="BF254" i="2"/>
  <c r="BF255" i="2"/>
  <c r="BF256" i="2"/>
  <c r="CS256" i="2" s="1"/>
  <c r="BF257" i="2"/>
  <c r="BF258" i="2"/>
  <c r="BF259" i="2"/>
  <c r="BF260" i="2"/>
  <c r="BF261" i="2"/>
  <c r="BF262" i="2"/>
  <c r="BF263" i="2"/>
  <c r="BF264" i="2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BF278" i="2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CS286" i="2" s="1"/>
  <c r="BF287" i="2"/>
  <c r="BF288" i="2"/>
  <c r="BF289" i="2"/>
  <c r="BF290" i="2"/>
  <c r="BF291" i="2"/>
  <c r="BF292" i="2"/>
  <c r="BF293" i="2"/>
  <c r="BF294" i="2"/>
  <c r="CS294" i="2" s="1"/>
  <c r="BF295" i="2"/>
  <c r="CS295" i="2" s="1"/>
  <c r="BF296" i="2"/>
  <c r="BF297" i="2"/>
  <c r="BF298" i="2"/>
  <c r="BF299" i="2"/>
  <c r="BF300" i="2"/>
  <c r="BF301" i="2"/>
  <c r="CS301" i="2" s="1"/>
  <c r="BF302" i="2"/>
  <c r="BF303" i="2"/>
  <c r="BF304" i="2"/>
  <c r="BF305" i="2"/>
  <c r="BF306" i="2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BF320" i="2"/>
  <c r="BF321" i="2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BF334" i="2"/>
  <c r="BF335" i="2"/>
  <c r="BF336" i="2"/>
  <c r="CS336" i="2" s="1"/>
  <c r="BF337" i="2"/>
  <c r="CS337" i="2" s="1"/>
  <c r="BF338" i="2"/>
  <c r="BF339" i="2"/>
  <c r="BF340" i="2"/>
  <c r="CS340" i="2" s="1"/>
  <c r="BF341" i="2"/>
  <c r="BF342" i="2"/>
  <c r="BF343" i="2"/>
  <c r="BF344" i="2"/>
  <c r="BF345" i="2"/>
  <c r="BF346" i="2"/>
  <c r="BF347" i="2"/>
  <c r="BF348" i="2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CS370" i="2" s="1"/>
  <c r="BF371" i="2"/>
  <c r="BF372" i="2"/>
  <c r="BF373" i="2"/>
  <c r="BF374" i="2"/>
  <c r="BF375" i="2"/>
  <c r="BF376" i="2"/>
  <c r="BF377" i="2"/>
  <c r="BF378" i="2"/>
  <c r="CS378" i="2" s="1"/>
  <c r="BF379" i="2"/>
  <c r="CS379" i="2" s="1"/>
  <c r="BF380" i="2"/>
  <c r="BF381" i="2"/>
  <c r="BF382" i="2"/>
  <c r="BF383" i="2"/>
  <c r="BF384" i="2"/>
  <c r="BF385" i="2"/>
  <c r="CS385" i="2" s="1"/>
  <c r="BF386" i="2"/>
  <c r="BF387" i="2"/>
  <c r="BF388" i="2"/>
  <c r="BF389" i="2"/>
  <c r="BF390" i="2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BF446" i="2"/>
  <c r="BF447" i="2"/>
  <c r="CS447" i="2" s="1"/>
  <c r="BF448" i="2"/>
  <c r="CS448" i="2" s="1"/>
  <c r="BF449" i="2"/>
  <c r="CS449" i="2" s="1"/>
  <c r="BF450" i="2"/>
  <c r="BF451" i="2"/>
  <c r="BF452" i="2"/>
  <c r="CS452" i="2" s="1"/>
  <c r="BF453" i="2"/>
  <c r="BF454" i="2"/>
  <c r="BF455" i="2"/>
  <c r="BF456" i="2"/>
  <c r="BF457" i="2"/>
  <c r="BF458" i="2"/>
  <c r="BF459" i="2"/>
  <c r="BF460" i="2"/>
  <c r="BF461" i="2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CS482" i="2" s="1"/>
  <c r="BF483" i="2"/>
  <c r="BF484" i="2"/>
  <c r="BF485" i="2"/>
  <c r="BF486" i="2"/>
  <c r="BF487" i="2"/>
  <c r="BF488" i="2"/>
  <c r="BF489" i="2"/>
  <c r="BF490" i="2"/>
  <c r="CS490" i="2" s="1"/>
  <c r="BF491" i="2"/>
  <c r="CS491" i="2" s="1"/>
  <c r="BF492" i="2"/>
  <c r="BF493" i="2"/>
  <c r="BF494" i="2"/>
  <c r="CS494" i="2" s="1"/>
  <c r="BF495" i="2"/>
  <c r="BF496" i="2"/>
  <c r="BF497" i="2"/>
  <c r="CS497" i="2" s="1"/>
  <c r="BF498" i="2"/>
  <c r="BF499" i="2"/>
  <c r="BF500" i="2"/>
  <c r="BF501" i="2"/>
  <c r="BF502" i="2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CS510" i="2" s="1"/>
  <c r="BF511" i="2"/>
  <c r="BF512" i="2"/>
  <c r="BF513" i="2"/>
  <c r="BF514" i="2"/>
  <c r="BF515" i="2"/>
  <c r="BF516" i="2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CS525" i="2" s="1"/>
  <c r="BF526" i="2"/>
  <c r="BF527" i="2"/>
  <c r="BF528" i="2"/>
  <c r="BF529" i="2"/>
  <c r="BF530" i="2"/>
  <c r="BF531" i="2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BF544" i="2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BF559" i="2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BF629" i="2"/>
  <c r="BF630" i="2"/>
  <c r="CS630" i="2" s="1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BF642" i="2"/>
  <c r="BF643" i="2"/>
  <c r="CS643" i="2" s="1"/>
  <c r="BF644" i="2"/>
  <c r="CS644" i="2" s="1"/>
  <c r="BF645" i="2"/>
  <c r="CS645" i="2" s="1"/>
  <c r="BF646" i="2"/>
  <c r="BF647" i="2"/>
  <c r="BF648" i="2"/>
  <c r="CS648" i="2" s="1"/>
  <c r="BF649" i="2"/>
  <c r="BF650" i="2"/>
  <c r="BF651" i="2"/>
  <c r="BF652" i="2"/>
  <c r="BF653" i="2"/>
  <c r="BF654" i="2"/>
  <c r="BF655" i="2"/>
  <c r="BF656" i="2"/>
  <c r="BF657" i="2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BF670" i="2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CS678" i="2" s="1"/>
  <c r="BF679" i="2"/>
  <c r="CS679" i="2" s="1"/>
  <c r="BF680" i="2"/>
  <c r="BF681" i="2"/>
  <c r="BF682" i="2"/>
  <c r="BF683" i="2"/>
  <c r="BF684" i="2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CS693" i="2" s="1"/>
  <c r="BF694" i="2"/>
  <c r="BF695" i="2"/>
  <c r="BF696" i="2"/>
  <c r="BF697" i="2"/>
  <c r="BF698" i="2"/>
  <c r="BF699" i="2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CV104" i="2" s="1" a="1"/>
  <c r="CV104" i="2" s="1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CV558" i="2" s="1" a="1"/>
  <c r="CV558" i="2" s="1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CV134" i="2" s="1" a="1"/>
  <c r="CV134" i="2" s="1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CV582" i="2" s="1" a="1"/>
  <c r="CV582" i="2" s="1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V60" i="2" s="1" a="1"/>
  <c r="CV60" i="2" s="1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V276" i="2" s="1" a="1"/>
  <c r="CV276" i="2" s="1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U198" i="2" s="1" a="1"/>
  <c r="CU198" i="2" s="1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6" i="2"/>
  <c r="CS37" i="2"/>
  <c r="CS38" i="2"/>
  <c r="CS39" i="2"/>
  <c r="CS40" i="2"/>
  <c r="CS44" i="2"/>
  <c r="CS45" i="2"/>
  <c r="CS47" i="2"/>
  <c r="CS48" i="2"/>
  <c r="CS49" i="2"/>
  <c r="CS50" i="2"/>
  <c r="CS51" i="2"/>
  <c r="CS52" i="2"/>
  <c r="CS53" i="2"/>
  <c r="CS54" i="2"/>
  <c r="CS58" i="2"/>
  <c r="CS59" i="2"/>
  <c r="CS61" i="2"/>
  <c r="CS63" i="2"/>
  <c r="CS64" i="2"/>
  <c r="CS65" i="2"/>
  <c r="CS66" i="2"/>
  <c r="CS67" i="2"/>
  <c r="CS68" i="2"/>
  <c r="CS69" i="2"/>
  <c r="CS72" i="2"/>
  <c r="CS73" i="2"/>
  <c r="CS74" i="2"/>
  <c r="CS75" i="2"/>
  <c r="CS76" i="2"/>
  <c r="CS78" i="2"/>
  <c r="CS79" i="2"/>
  <c r="CS80" i="2"/>
  <c r="CS81" i="2"/>
  <c r="CS82" i="2"/>
  <c r="CS83" i="2"/>
  <c r="CS86" i="2"/>
  <c r="CS87" i="2"/>
  <c r="CS88" i="2"/>
  <c r="CS89" i="2"/>
  <c r="CS91" i="2"/>
  <c r="CS92" i="2"/>
  <c r="CS93" i="2"/>
  <c r="CS94" i="2"/>
  <c r="CS95" i="2"/>
  <c r="CS96" i="2"/>
  <c r="CS100" i="2"/>
  <c r="CS101" i="2"/>
  <c r="CS102" i="2"/>
  <c r="CS103" i="2"/>
  <c r="CS104" i="2"/>
  <c r="CS106" i="2"/>
  <c r="CS107" i="2"/>
  <c r="CS108" i="2"/>
  <c r="CS109" i="2"/>
  <c r="CS110" i="2"/>
  <c r="CS114" i="2"/>
  <c r="CS115" i="2"/>
  <c r="CS116" i="2"/>
  <c r="CS117" i="2"/>
  <c r="CS118" i="2"/>
  <c r="CS119" i="2"/>
  <c r="CS120" i="2"/>
  <c r="CS121" i="2"/>
  <c r="CS122" i="2"/>
  <c r="CS123" i="2"/>
  <c r="CS124" i="2"/>
  <c r="CS128" i="2"/>
  <c r="CS129" i="2"/>
  <c r="CS130" i="2"/>
  <c r="CS131" i="2"/>
  <c r="CS132" i="2"/>
  <c r="CS133" i="2"/>
  <c r="CS134" i="2"/>
  <c r="CS135" i="2"/>
  <c r="CS136" i="2"/>
  <c r="CS137" i="2"/>
  <c r="CS138" i="2"/>
  <c r="CS139" i="2"/>
  <c r="CS142" i="2"/>
  <c r="CS143" i="2"/>
  <c r="CS144" i="2"/>
  <c r="CS145" i="2"/>
  <c r="CS146" i="2"/>
  <c r="CS147" i="2"/>
  <c r="CS148" i="2"/>
  <c r="CS149" i="2"/>
  <c r="CS150" i="2"/>
  <c r="CS151" i="2"/>
  <c r="CS152" i="2"/>
  <c r="CS156" i="2"/>
  <c r="CS157" i="2"/>
  <c r="CS158" i="2"/>
  <c r="CS159" i="2"/>
  <c r="CS160" i="2"/>
  <c r="CS161" i="2"/>
  <c r="CS162" i="2"/>
  <c r="CS163" i="2"/>
  <c r="CS164" i="2"/>
  <c r="CS165" i="2"/>
  <c r="CS166" i="2"/>
  <c r="CS167" i="2"/>
  <c r="CS170" i="2"/>
  <c r="CS171" i="2"/>
  <c r="CS172" i="2"/>
  <c r="CS173" i="2"/>
  <c r="CS174" i="2"/>
  <c r="CS175" i="2"/>
  <c r="CS176" i="2"/>
  <c r="CS177" i="2"/>
  <c r="CS178" i="2"/>
  <c r="CS179" i="2"/>
  <c r="CS180" i="2"/>
  <c r="CS181" i="2"/>
  <c r="CS184" i="2"/>
  <c r="CS185" i="2"/>
  <c r="CS186" i="2"/>
  <c r="CS187" i="2"/>
  <c r="CS188" i="2"/>
  <c r="CS189" i="2"/>
  <c r="CS190" i="2"/>
  <c r="CS191" i="2"/>
  <c r="CS192" i="2"/>
  <c r="CS193" i="2"/>
  <c r="CS194" i="2"/>
  <c r="CS198" i="2"/>
  <c r="CS199" i="2"/>
  <c r="CS201" i="2"/>
  <c r="CS202" i="2"/>
  <c r="CS203" i="2"/>
  <c r="CS204" i="2"/>
  <c r="CS205" i="2"/>
  <c r="CS206" i="2"/>
  <c r="CS207" i="2"/>
  <c r="CS208" i="2"/>
  <c r="CS212" i="2"/>
  <c r="CS213" i="2"/>
  <c r="CS214" i="2"/>
  <c r="CS215" i="2"/>
  <c r="CS217" i="2"/>
  <c r="CS218" i="2"/>
  <c r="CS219" i="2"/>
  <c r="CS220" i="2"/>
  <c r="CS221" i="2"/>
  <c r="CS222" i="2"/>
  <c r="CS223" i="2"/>
  <c r="CS226" i="2"/>
  <c r="CS227" i="2"/>
  <c r="CS228" i="2"/>
  <c r="CS229" i="2"/>
  <c r="CS230" i="2"/>
  <c r="CS232" i="2"/>
  <c r="CS233" i="2"/>
  <c r="CS234" i="2"/>
  <c r="CS235" i="2"/>
  <c r="CS236" i="2"/>
  <c r="CS240" i="2"/>
  <c r="CS241" i="2"/>
  <c r="CS242" i="2"/>
  <c r="CS243" i="2"/>
  <c r="CS244" i="2"/>
  <c r="CS245" i="2"/>
  <c r="CS246" i="2"/>
  <c r="CS247" i="2"/>
  <c r="CS248" i="2"/>
  <c r="CS249" i="2"/>
  <c r="CS250" i="2"/>
  <c r="CS251" i="2"/>
  <c r="CS254" i="2"/>
  <c r="CS255" i="2"/>
  <c r="CS257" i="2"/>
  <c r="CS258" i="2"/>
  <c r="CS259" i="2"/>
  <c r="CS260" i="2"/>
  <c r="CS261" i="2"/>
  <c r="CS262" i="2"/>
  <c r="CS263" i="2"/>
  <c r="CS264" i="2"/>
  <c r="CS268" i="2"/>
  <c r="CS269" i="2"/>
  <c r="CS270" i="2"/>
  <c r="CS271" i="2"/>
  <c r="CS272" i="2"/>
  <c r="CS273" i="2"/>
  <c r="CS274" i="2"/>
  <c r="CS275" i="2"/>
  <c r="CS276" i="2"/>
  <c r="CS277" i="2"/>
  <c r="CS278" i="2"/>
  <c r="CS282" i="2"/>
  <c r="CS283" i="2"/>
  <c r="CS284" i="2"/>
  <c r="CS285" i="2"/>
  <c r="CS287" i="2"/>
  <c r="CS288" i="2"/>
  <c r="CS289" i="2"/>
  <c r="CS290" i="2"/>
  <c r="CS291" i="2"/>
  <c r="CS292" i="2"/>
  <c r="CS293" i="2"/>
  <c r="CS296" i="2"/>
  <c r="CS297" i="2"/>
  <c r="CS298" i="2"/>
  <c r="CS299" i="2"/>
  <c r="CS300" i="2"/>
  <c r="CS302" i="2"/>
  <c r="CS303" i="2"/>
  <c r="CS304" i="2"/>
  <c r="CS305" i="2"/>
  <c r="CS306" i="2"/>
  <c r="CS310" i="2"/>
  <c r="CS311" i="2"/>
  <c r="CS312" i="2"/>
  <c r="CS313" i="2"/>
  <c r="CS314" i="2"/>
  <c r="CS315" i="2"/>
  <c r="CS316" i="2"/>
  <c r="CS317" i="2"/>
  <c r="CS318" i="2"/>
  <c r="CS319" i="2"/>
  <c r="CS320" i="2"/>
  <c r="CS321" i="2"/>
  <c r="CS324" i="2"/>
  <c r="CS325" i="2"/>
  <c r="CS326" i="2"/>
  <c r="CS327" i="2"/>
  <c r="CS328" i="2"/>
  <c r="CS329" i="2"/>
  <c r="CS330" i="2"/>
  <c r="CS331" i="2"/>
  <c r="CS332" i="2"/>
  <c r="CS333" i="2"/>
  <c r="CS334" i="2"/>
  <c r="CS335" i="2"/>
  <c r="CS338" i="2"/>
  <c r="CS339" i="2"/>
  <c r="CS341" i="2"/>
  <c r="CS342" i="2"/>
  <c r="CS343" i="2"/>
  <c r="CS344" i="2"/>
  <c r="CS345" i="2"/>
  <c r="CS346" i="2"/>
  <c r="CS347" i="2"/>
  <c r="CS348" i="2"/>
  <c r="CS352" i="2"/>
  <c r="CS353" i="2"/>
  <c r="CS354" i="2"/>
  <c r="CS355" i="2"/>
  <c r="CS356" i="2"/>
  <c r="CS357" i="2"/>
  <c r="CS358" i="2"/>
  <c r="CS359" i="2"/>
  <c r="CS360" i="2"/>
  <c r="CS361" i="2"/>
  <c r="CS362" i="2"/>
  <c r="CS366" i="2"/>
  <c r="CS367" i="2"/>
  <c r="CS368" i="2"/>
  <c r="CS369" i="2"/>
  <c r="CS371" i="2"/>
  <c r="CS372" i="2"/>
  <c r="CS373" i="2"/>
  <c r="CS374" i="2"/>
  <c r="CS375" i="2"/>
  <c r="CS376" i="2"/>
  <c r="CS377" i="2"/>
  <c r="CS380" i="2"/>
  <c r="CS381" i="2"/>
  <c r="CS382" i="2"/>
  <c r="CS383" i="2"/>
  <c r="CS384" i="2"/>
  <c r="CS386" i="2"/>
  <c r="CS387" i="2"/>
  <c r="CS388" i="2"/>
  <c r="CS389" i="2"/>
  <c r="CS390" i="2"/>
  <c r="CS394" i="2"/>
  <c r="CS395" i="2"/>
  <c r="CS396" i="2"/>
  <c r="CS397" i="2"/>
  <c r="CS398" i="2"/>
  <c r="CS399" i="2"/>
  <c r="CS400" i="2"/>
  <c r="CS401" i="2"/>
  <c r="CS402" i="2"/>
  <c r="CS403" i="2"/>
  <c r="CS404" i="2"/>
  <c r="CS405" i="2"/>
  <c r="CS408" i="2"/>
  <c r="CS409" i="2"/>
  <c r="CS410" i="2"/>
  <c r="CS411" i="2"/>
  <c r="CS412" i="2"/>
  <c r="CS413" i="2"/>
  <c r="CS414" i="2"/>
  <c r="CS415" i="2"/>
  <c r="CS416" i="2"/>
  <c r="CS417" i="2"/>
  <c r="CS418" i="2"/>
  <c r="CS422" i="2"/>
  <c r="CS423" i="2"/>
  <c r="CS424" i="2"/>
  <c r="CS425" i="2"/>
  <c r="CS426" i="2"/>
  <c r="CS427" i="2"/>
  <c r="CS428" i="2"/>
  <c r="CS429" i="2"/>
  <c r="CS430" i="2"/>
  <c r="CS431" i="2"/>
  <c r="CS432" i="2"/>
  <c r="CS436" i="2"/>
  <c r="CS437" i="2"/>
  <c r="CS438" i="2"/>
  <c r="CS439" i="2"/>
  <c r="CS440" i="2"/>
  <c r="CS441" i="2"/>
  <c r="CS442" i="2"/>
  <c r="CS443" i="2"/>
  <c r="CS444" i="2"/>
  <c r="CS445" i="2"/>
  <c r="CS446" i="2"/>
  <c r="CS450" i="2"/>
  <c r="CS451" i="2"/>
  <c r="CS453" i="2"/>
  <c r="CS454" i="2"/>
  <c r="CS455" i="2"/>
  <c r="CS456" i="2"/>
  <c r="CS457" i="2"/>
  <c r="CS458" i="2"/>
  <c r="CS459" i="2"/>
  <c r="CS460" i="2"/>
  <c r="CS461" i="2"/>
  <c r="CS464" i="2"/>
  <c r="CS465" i="2"/>
  <c r="CS466" i="2"/>
  <c r="CS467" i="2"/>
  <c r="CS468" i="2"/>
  <c r="CS469" i="2"/>
  <c r="CS470" i="2"/>
  <c r="CS471" i="2"/>
  <c r="CS472" i="2"/>
  <c r="CS473" i="2"/>
  <c r="CS474" i="2"/>
  <c r="CS478" i="2"/>
  <c r="CS479" i="2"/>
  <c r="CS480" i="2"/>
  <c r="CS481" i="2"/>
  <c r="CS483" i="2"/>
  <c r="CS484" i="2"/>
  <c r="CS485" i="2"/>
  <c r="CS486" i="2"/>
  <c r="CS487" i="2"/>
  <c r="CS488" i="2"/>
  <c r="CS489" i="2"/>
  <c r="CS492" i="2"/>
  <c r="CS493" i="2"/>
  <c r="CS495" i="2"/>
  <c r="CS496" i="2"/>
  <c r="CS498" i="2"/>
  <c r="CS499" i="2"/>
  <c r="CS500" i="2"/>
  <c r="CS501" i="2"/>
  <c r="CS502" i="2"/>
  <c r="CS506" i="2"/>
  <c r="CS507" i="2"/>
  <c r="CS508" i="2"/>
  <c r="CS509" i="2"/>
  <c r="CS511" i="2"/>
  <c r="CS512" i="2"/>
  <c r="CS513" i="2"/>
  <c r="CS514" i="2"/>
  <c r="CS515" i="2"/>
  <c r="CS516" i="2"/>
  <c r="CS520" i="2"/>
  <c r="CS521" i="2"/>
  <c r="CS522" i="2"/>
  <c r="CS523" i="2"/>
  <c r="CS524" i="2"/>
  <c r="CS526" i="2"/>
  <c r="CS527" i="2"/>
  <c r="CS528" i="2"/>
  <c r="CS529" i="2"/>
  <c r="CS530" i="2"/>
  <c r="CS531" i="2"/>
  <c r="CS534" i="2"/>
  <c r="CS535" i="2"/>
  <c r="CS536" i="2"/>
  <c r="CS537" i="2"/>
  <c r="CS538" i="2"/>
  <c r="CS539" i="2"/>
  <c r="CS540" i="2"/>
  <c r="CS541" i="2"/>
  <c r="CS542" i="2"/>
  <c r="CS543" i="2"/>
  <c r="CS544" i="2"/>
  <c r="CS548" i="2"/>
  <c r="CS549" i="2"/>
  <c r="CS550" i="2"/>
  <c r="CS551" i="2"/>
  <c r="CS552" i="2"/>
  <c r="CS553" i="2"/>
  <c r="CS554" i="2"/>
  <c r="CS555" i="2"/>
  <c r="CS556" i="2"/>
  <c r="CS557" i="2"/>
  <c r="CS558" i="2"/>
  <c r="CS559" i="2"/>
  <c r="CS562" i="2"/>
  <c r="CS563" i="2"/>
  <c r="CS564" i="2"/>
  <c r="CS565" i="2"/>
  <c r="CS566" i="2"/>
  <c r="CS567" i="2"/>
  <c r="CS568" i="2"/>
  <c r="CS569" i="2"/>
  <c r="CS570" i="2"/>
  <c r="CS571" i="2"/>
  <c r="CS572" i="2"/>
  <c r="CS576" i="2"/>
  <c r="CS577" i="2"/>
  <c r="CS578" i="2"/>
  <c r="CS579" i="2"/>
  <c r="CS580" i="2"/>
  <c r="CS581" i="2"/>
  <c r="CS582" i="2"/>
  <c r="CS583" i="2"/>
  <c r="CS584" i="2"/>
  <c r="CS585" i="2"/>
  <c r="CS586" i="2"/>
  <c r="CS590" i="2"/>
  <c r="CS591" i="2"/>
  <c r="CS592" i="2"/>
  <c r="CS593" i="2"/>
  <c r="CS594" i="2"/>
  <c r="CS595" i="2"/>
  <c r="CS596" i="2"/>
  <c r="CS597" i="2"/>
  <c r="CS598" i="2"/>
  <c r="CS599" i="2"/>
  <c r="CS600" i="2"/>
  <c r="CS604" i="2"/>
  <c r="CS605" i="2"/>
  <c r="CS606" i="2"/>
  <c r="CS607" i="2"/>
  <c r="CS608" i="2"/>
  <c r="CS609" i="2"/>
  <c r="CS610" i="2"/>
  <c r="CS611" i="2"/>
  <c r="CS612" i="2"/>
  <c r="CS613" i="2"/>
  <c r="CS614" i="2"/>
  <c r="CS615" i="2"/>
  <c r="CS618" i="2"/>
  <c r="CS619" i="2"/>
  <c r="CS620" i="2"/>
  <c r="CS621" i="2"/>
  <c r="CS622" i="2"/>
  <c r="CS623" i="2"/>
  <c r="CS624" i="2"/>
  <c r="CS625" i="2"/>
  <c r="CS626" i="2"/>
  <c r="CS627" i="2"/>
  <c r="CS628" i="2"/>
  <c r="CS629" i="2"/>
  <c r="CS632" i="2"/>
  <c r="CS633" i="2"/>
  <c r="CS634" i="2"/>
  <c r="CS635" i="2"/>
  <c r="CS636" i="2"/>
  <c r="CS637" i="2"/>
  <c r="CS638" i="2"/>
  <c r="CS639" i="2"/>
  <c r="CS640" i="2"/>
  <c r="CS641" i="2"/>
  <c r="CS642" i="2"/>
  <c r="CS646" i="2"/>
  <c r="CS647" i="2"/>
  <c r="CS649" i="2"/>
  <c r="CS650" i="2"/>
  <c r="CS651" i="2"/>
  <c r="CS652" i="2"/>
  <c r="CS653" i="2"/>
  <c r="CS654" i="2"/>
  <c r="CS655" i="2"/>
  <c r="CS656" i="2"/>
  <c r="CS657" i="2"/>
  <c r="CS660" i="2"/>
  <c r="CS661" i="2"/>
  <c r="CS662" i="2"/>
  <c r="CS663" i="2"/>
  <c r="CS664" i="2"/>
  <c r="CS665" i="2"/>
  <c r="CS666" i="2"/>
  <c r="CS667" i="2"/>
  <c r="CS668" i="2"/>
  <c r="CS669" i="2"/>
  <c r="CS670" i="2"/>
  <c r="CS674" i="2"/>
  <c r="CS675" i="2"/>
  <c r="CS676" i="2"/>
  <c r="CS677" i="2"/>
  <c r="CS680" i="2"/>
  <c r="CS681" i="2"/>
  <c r="CS682" i="2"/>
  <c r="CS683" i="2"/>
  <c r="CS684" i="2"/>
  <c r="CS688" i="2"/>
  <c r="CS689" i="2"/>
  <c r="CS690" i="2"/>
  <c r="CS691" i="2"/>
  <c r="CS692" i="2"/>
  <c r="CS694" i="2"/>
  <c r="CS695" i="2"/>
  <c r="CS696" i="2"/>
  <c r="CS697" i="2"/>
  <c r="CS698" i="2"/>
  <c r="CS699" i="2"/>
  <c r="CS702" i="2"/>
  <c r="CS703" i="2"/>
  <c r="CS704" i="2"/>
  <c r="CS705" i="2"/>
  <c r="CV462" i="2" l="1" a="1"/>
  <c r="CV462" i="2" s="1"/>
  <c r="CV62" i="2" a="1"/>
  <c r="CV62" i="2" s="1"/>
  <c r="CV690" i="2" a="1"/>
  <c r="CV690" i="2" s="1"/>
  <c r="CV656" i="2" a="1"/>
  <c r="CV656" i="2" s="1"/>
  <c r="CU686" i="2" a="1"/>
  <c r="CU686" i="2" s="1"/>
  <c r="CV312" i="2" a="1"/>
  <c r="CV312" i="2" s="1"/>
  <c r="CV494" i="2" a="1"/>
  <c r="CV494" i="2" s="1"/>
  <c r="CV170" i="2" a="1"/>
  <c r="CV170" i="2" s="1"/>
  <c r="CV682" i="2" a="1"/>
  <c r="CV682" i="2" s="1"/>
  <c r="CV304" i="2" a="1"/>
  <c r="CV304" i="2" s="1"/>
  <c r="CV638" i="2" a="1"/>
  <c r="CV638" i="2" s="1"/>
  <c r="CV490" i="2" a="1"/>
  <c r="CV490" i="2" s="1"/>
  <c r="CV632" i="2" a="1"/>
  <c r="CV632" i="2" s="1"/>
  <c r="CU144" i="2" a="1"/>
  <c r="CU144" i="2" s="1"/>
  <c r="CU296" i="2" a="1"/>
  <c r="CU296" i="2" s="1"/>
  <c r="CV138" i="2" a="1"/>
  <c r="CV138" i="2" s="1"/>
  <c r="CV554" i="2" a="1"/>
  <c r="CV554" i="2" s="1"/>
  <c r="CV371" i="2" a="1"/>
  <c r="CV371" i="2" s="1"/>
  <c r="CU172" i="2" a="1"/>
  <c r="CU172" i="2" s="1"/>
  <c r="CV520" i="2" a="1"/>
  <c r="CV520" i="2" s="1"/>
  <c r="CV524" i="2" a="1"/>
  <c r="CV524" i="2" s="1"/>
  <c r="CV588" i="2" a="1"/>
  <c r="CV588" i="2" s="1"/>
  <c r="CU431" i="2" a="1"/>
  <c r="CU431" i="2" s="1"/>
  <c r="CV403" i="2" a="1"/>
  <c r="CV403" i="2" s="1"/>
  <c r="CV25" i="2" a="1"/>
  <c r="CV25" i="2" s="1"/>
  <c r="CV269" i="2" a="1"/>
  <c r="CV269" i="2" s="1"/>
  <c r="CV298" i="2" a="1"/>
  <c r="CV298" i="2" s="1"/>
  <c r="CV390" i="2" a="1"/>
  <c r="CV390" i="2" s="1"/>
  <c r="CV166" i="2" a="1"/>
  <c r="CV166" i="2" s="1"/>
  <c r="CV674" i="2" a="1"/>
  <c r="CV674" i="2" s="1"/>
  <c r="CV618" i="2" a="1"/>
  <c r="CV618" i="2" s="1"/>
  <c r="CV562" i="2" a="1"/>
  <c r="CV562" i="2" s="1"/>
  <c r="CU492" i="2" a="1"/>
  <c r="CU492" i="2" s="1"/>
  <c r="CV324" i="2" a="1"/>
  <c r="CV324" i="2" s="1"/>
  <c r="CV198" i="2" a="1"/>
  <c r="CV198" i="2" s="1"/>
  <c r="CV622" i="2" a="1"/>
  <c r="CV622" i="2" s="1"/>
  <c r="CU580" i="2" a="1"/>
  <c r="CU580" i="2" s="1"/>
  <c r="CV426" i="2" a="1"/>
  <c r="CV426" i="2" s="1"/>
  <c r="CU342" i="2" a="1"/>
  <c r="CU342" i="2" s="1"/>
  <c r="CV314" i="2" a="1"/>
  <c r="CV314" i="2" s="1"/>
  <c r="CU286" i="2" a="1"/>
  <c r="CU286" i="2" s="1"/>
  <c r="CU118" i="2" a="1"/>
  <c r="CU118" i="2" s="1"/>
  <c r="CU62" i="2" a="1"/>
  <c r="CU62" i="2" s="1"/>
  <c r="CV696" i="2" a="1"/>
  <c r="CV696" i="2" s="1"/>
  <c r="CV654" i="2" a="1"/>
  <c r="CV654" i="2" s="1"/>
  <c r="CU626" i="2" a="1"/>
  <c r="CU626" i="2" s="1"/>
  <c r="CV556" i="2" a="1"/>
  <c r="CV556" i="2" s="1"/>
  <c r="CV486" i="2" a="1"/>
  <c r="CV486" i="2" s="1"/>
  <c r="CV472" i="2" a="1"/>
  <c r="CV472" i="2" s="1"/>
  <c r="CV416" i="2" a="1"/>
  <c r="CV416" i="2" s="1"/>
  <c r="CV346" i="2" a="1"/>
  <c r="CV346" i="2" s="1"/>
  <c r="CV332" i="2" a="1"/>
  <c r="CV332" i="2" s="1"/>
  <c r="CV248" i="2" a="1"/>
  <c r="CV248" i="2" s="1"/>
  <c r="CU136" i="2" a="1"/>
  <c r="CU136" i="2" s="1"/>
  <c r="CV52" i="2" a="1"/>
  <c r="CV52" i="2" s="1"/>
  <c r="CV616" i="2" a="1"/>
  <c r="CV616" i="2" s="1"/>
  <c r="CV504" i="2" a="1"/>
  <c r="CV504" i="2" s="1"/>
  <c r="CU350" i="2" a="1"/>
  <c r="CU350" i="2" s="1"/>
  <c r="CV294" i="2" a="1"/>
  <c r="CV294" i="2" s="1"/>
  <c r="CV252" i="2" a="1"/>
  <c r="CV252" i="2" s="1"/>
  <c r="CV154" i="2" a="1"/>
  <c r="CV154" i="2" s="1"/>
  <c r="CV140" i="2" a="1"/>
  <c r="CV140" i="2" s="1"/>
  <c r="CV42" i="2" a="1"/>
  <c r="CV42" i="2" s="1"/>
  <c r="CV704" i="2" a="1"/>
  <c r="CV704" i="2" s="1"/>
  <c r="CV648" i="2" a="1"/>
  <c r="CV648" i="2" s="1"/>
  <c r="CV466" i="2" a="1"/>
  <c r="CV466" i="2" s="1"/>
  <c r="CV452" i="2" a="1"/>
  <c r="CV452" i="2" s="1"/>
  <c r="CV424" i="2" a="1"/>
  <c r="CV424" i="2" s="1"/>
  <c r="CV354" i="2" a="1"/>
  <c r="CV354" i="2" s="1"/>
  <c r="CV326" i="2" a="1"/>
  <c r="CV326" i="2" s="1"/>
  <c r="CV158" i="2" a="1"/>
  <c r="CV158" i="2" s="1"/>
  <c r="CV680" i="2" a="1"/>
  <c r="CV680" i="2" s="1"/>
  <c r="CV624" i="2" a="1"/>
  <c r="CV624" i="2" s="1"/>
  <c r="CV540" i="2" a="1"/>
  <c r="CV540" i="2" s="1"/>
  <c r="CV414" i="2" a="1"/>
  <c r="CV414" i="2" s="1"/>
  <c r="CV386" i="2" a="1"/>
  <c r="CV386" i="2" s="1"/>
  <c r="CV330" i="2" a="1"/>
  <c r="CV330" i="2" s="1"/>
  <c r="CV218" i="2" a="1"/>
  <c r="CV218" i="2" s="1"/>
  <c r="CV162" i="2" a="1"/>
  <c r="CV162" i="2" s="1"/>
  <c r="CV148" i="2" a="1"/>
  <c r="CV148" i="2" s="1"/>
  <c r="CV50" i="2" a="1"/>
  <c r="CV50" i="2" s="1"/>
  <c r="CV36" i="2" a="1"/>
  <c r="CV36" i="2" s="1"/>
  <c r="CU22" i="2" a="1"/>
  <c r="CU22" i="2" s="1"/>
  <c r="CV8" i="2" a="1"/>
  <c r="CV8" i="2" s="1"/>
  <c r="CV698" i="2" a="1"/>
  <c r="CV698" i="2" s="1"/>
  <c r="CU600" i="2" a="1"/>
  <c r="CU600" i="2" s="1"/>
  <c r="CU558" i="2" a="1"/>
  <c r="CU558" i="2" s="1"/>
  <c r="CV446" i="2" a="1"/>
  <c r="CV446" i="2" s="1"/>
  <c r="CV320" i="2" a="1"/>
  <c r="CV320" i="2" s="1"/>
  <c r="CU180" i="2" a="1"/>
  <c r="CU180" i="2" s="1"/>
  <c r="CV152" i="2" a="1"/>
  <c r="CV152" i="2" s="1"/>
  <c r="CV96" i="2" a="1"/>
  <c r="CV96" i="2" s="1"/>
  <c r="CV12" i="2" a="1"/>
  <c r="CV12" i="2" s="1"/>
  <c r="CU702" i="2" a="1"/>
  <c r="CU702" i="2" s="1"/>
  <c r="CV646" i="2" a="1"/>
  <c r="CV646" i="2" s="1"/>
  <c r="CV576" i="2" a="1"/>
  <c r="CV576" i="2" s="1"/>
  <c r="CV478" i="2" a="1"/>
  <c r="CV478" i="2" s="1"/>
  <c r="CV436" i="2" a="1"/>
  <c r="CV436" i="2" s="1"/>
  <c r="CV20" i="2" a="1"/>
  <c r="CV20" i="2" s="1"/>
  <c r="CV630" i="2" a="1"/>
  <c r="CV630" i="2" s="1"/>
  <c r="CU612" i="2" a="1"/>
  <c r="CU612" i="2" s="1"/>
  <c r="CV428" i="2" a="1"/>
  <c r="CV428" i="2" s="1"/>
  <c r="CV180" i="2" a="1"/>
  <c r="CV180" i="2" s="1"/>
  <c r="CV673" i="2" a="1"/>
  <c r="CV673" i="2" s="1"/>
  <c r="CU673" i="2" a="1"/>
  <c r="CU673" i="2" s="1"/>
  <c r="CV533" i="2" a="1"/>
  <c r="CV533" i="2" s="1"/>
  <c r="CV477" i="2" a="1"/>
  <c r="CV477" i="2" s="1"/>
  <c r="CU477" i="2" a="1"/>
  <c r="CU477" i="2" s="1"/>
  <c r="CV309" i="2" a="1"/>
  <c r="CV309" i="2" s="1"/>
  <c r="CU453" i="2" a="1"/>
  <c r="CU453" i="2" s="1"/>
  <c r="CU561" i="2" a="1"/>
  <c r="CU561" i="2" s="1"/>
  <c r="CU43" i="2" a="1"/>
  <c r="CU43" i="2" s="1"/>
  <c r="CV509" i="2" a="1"/>
  <c r="CV509" i="2" s="1"/>
  <c r="CU103" i="2" a="1"/>
  <c r="CU103" i="2" s="1"/>
  <c r="CV103" i="2" a="1"/>
  <c r="CV103" i="2" s="1"/>
  <c r="CU701" i="2" a="1"/>
  <c r="CU701" i="2" s="1"/>
  <c r="CV631" i="2" a="1"/>
  <c r="CV631" i="2" s="1"/>
  <c r="CU631" i="2" a="1"/>
  <c r="CU631" i="2" s="1"/>
  <c r="CU239" i="2" a="1"/>
  <c r="CU239" i="2" s="1"/>
  <c r="CV71" i="2" a="1"/>
  <c r="CV71" i="2" s="1"/>
  <c r="CV607" i="2" a="1"/>
  <c r="CV607" i="2" s="1"/>
  <c r="CU159" i="2" a="1"/>
  <c r="CU159" i="2" s="1"/>
  <c r="CV5" i="2" a="1"/>
  <c r="CV5" i="2" s="1"/>
  <c r="CV569" i="2" a="1"/>
  <c r="CV569" i="2" s="1"/>
  <c r="CU541" i="2" a="1"/>
  <c r="CU541" i="2" s="1"/>
  <c r="CV541" i="2" a="1"/>
  <c r="CV541" i="2" s="1"/>
  <c r="CU499" i="2" a="1"/>
  <c r="CU499" i="2" s="1"/>
  <c r="CV499" i="2" a="1"/>
  <c r="CV499" i="2" s="1"/>
  <c r="CV457" i="2" a="1"/>
  <c r="CV457" i="2" s="1"/>
  <c r="CU457" i="2" a="1"/>
  <c r="CU457" i="2" s="1"/>
  <c r="CU401" i="2" a="1"/>
  <c r="CU401" i="2" s="1"/>
  <c r="CV401" i="2" a="1"/>
  <c r="CV401" i="2" s="1"/>
  <c r="CV331" i="2" a="1"/>
  <c r="CV331" i="2" s="1"/>
  <c r="CV303" i="2" a="1"/>
  <c r="CV303" i="2" s="1"/>
  <c r="CU303" i="2" a="1"/>
  <c r="CU303" i="2" s="1"/>
  <c r="CV177" i="2" a="1"/>
  <c r="CV177" i="2" s="1"/>
  <c r="CU163" i="2" a="1"/>
  <c r="CU163" i="2" s="1"/>
  <c r="CV163" i="2" a="1"/>
  <c r="CV163" i="2" s="1"/>
  <c r="CV135" i="2" a="1"/>
  <c r="CV135" i="2" s="1"/>
  <c r="CU135" i="2" a="1"/>
  <c r="CU135" i="2" s="1"/>
  <c r="CV23" i="2" a="1"/>
  <c r="CV23" i="2" s="1"/>
  <c r="CU9" i="2" a="1"/>
  <c r="CU9" i="2" s="1"/>
  <c r="CV9" i="2" a="1"/>
  <c r="CV9" i="2" s="1"/>
  <c r="CV699" i="2" a="1"/>
  <c r="CV699" i="2" s="1"/>
  <c r="CU699" i="2" a="1"/>
  <c r="CU699" i="2" s="1"/>
  <c r="CT657" i="2" a="1"/>
  <c r="CT657" i="2" s="1"/>
  <c r="CV657" i="2" a="1"/>
  <c r="CV657" i="2" s="1"/>
  <c r="CU657" i="2" a="1"/>
  <c r="CU657" i="2" s="1"/>
  <c r="CU69" i="2" a="1"/>
  <c r="CU69" i="2" s="1"/>
  <c r="CV69" i="2" a="1"/>
  <c r="CV69" i="2" s="1"/>
  <c r="CV239" i="2" a="1"/>
  <c r="CV239" i="2" s="1"/>
  <c r="CU589" i="2" a="1"/>
  <c r="CU589" i="2" s="1"/>
  <c r="CU575" i="2" a="1"/>
  <c r="CU575" i="2" s="1"/>
  <c r="CV575" i="2" a="1"/>
  <c r="CV575" i="2" s="1"/>
  <c r="CV463" i="2" a="1"/>
  <c r="CV463" i="2" s="1"/>
  <c r="CU435" i="2" a="1"/>
  <c r="CU435" i="2" s="1"/>
  <c r="CV435" i="2" a="1"/>
  <c r="CV435" i="2" s="1"/>
  <c r="CV253" i="2" a="1"/>
  <c r="CV253" i="2" s="1"/>
  <c r="CV113" i="2" a="1"/>
  <c r="CV113" i="2" s="1"/>
  <c r="CV705" i="2" a="1"/>
  <c r="CV705" i="2" s="1"/>
  <c r="CU691" i="2" a="1"/>
  <c r="CU691" i="2" s="1"/>
  <c r="CV691" i="2" a="1"/>
  <c r="CV691" i="2" s="1"/>
  <c r="CV677" i="2" a="1"/>
  <c r="CV677" i="2" s="1"/>
  <c r="CU677" i="2" a="1"/>
  <c r="CU677" i="2" s="1"/>
  <c r="CU663" i="2" a="1"/>
  <c r="CU663" i="2" s="1"/>
  <c r="CV663" i="2" a="1"/>
  <c r="CV663" i="2" s="1"/>
  <c r="CT649" i="2" a="1"/>
  <c r="CT649" i="2" s="1"/>
  <c r="CU649" i="2" a="1"/>
  <c r="CU649" i="2" s="1"/>
  <c r="CU635" i="2" a="1"/>
  <c r="CU635" i="2" s="1"/>
  <c r="CV635" i="2" a="1"/>
  <c r="CV635" i="2" s="1"/>
  <c r="CV621" i="2" a="1"/>
  <c r="CV621" i="2" s="1"/>
  <c r="CU621" i="2" a="1"/>
  <c r="CU621" i="2" s="1"/>
  <c r="CV579" i="2" a="1"/>
  <c r="CV579" i="2" s="1"/>
  <c r="CU579" i="2" a="1"/>
  <c r="CU579" i="2" s="1"/>
  <c r="CU565" i="2" a="1"/>
  <c r="CU565" i="2" s="1"/>
  <c r="CV565" i="2" a="1"/>
  <c r="CV565" i="2" s="1"/>
  <c r="CU523" i="2" a="1"/>
  <c r="CU523" i="2" s="1"/>
  <c r="CV523" i="2" a="1"/>
  <c r="CV523" i="2" s="1"/>
  <c r="CV439" i="2" a="1"/>
  <c r="CV439" i="2" s="1"/>
  <c r="CU439" i="2" a="1"/>
  <c r="CU439" i="2" s="1"/>
  <c r="CV313" i="2" a="1"/>
  <c r="CV313" i="2" s="1"/>
  <c r="CV215" i="2" a="1"/>
  <c r="CV215" i="2" s="1"/>
  <c r="CU187" i="2" a="1"/>
  <c r="CU187" i="2" s="1"/>
  <c r="CV187" i="2" a="1"/>
  <c r="CV187" i="2" s="1"/>
  <c r="CU173" i="2" a="1"/>
  <c r="CU173" i="2" s="1"/>
  <c r="CV173" i="2" a="1"/>
  <c r="CV173" i="2" s="1"/>
  <c r="CV19" i="2" a="1"/>
  <c r="CV19" i="2" s="1"/>
  <c r="CU681" i="2" a="1"/>
  <c r="CU681" i="2" s="1"/>
  <c r="CV681" i="2" a="1"/>
  <c r="CV681" i="2" s="1"/>
  <c r="CV471" i="2" a="1"/>
  <c r="CV471" i="2" s="1"/>
  <c r="CU415" i="2" a="1"/>
  <c r="CU415" i="2" s="1"/>
  <c r="CV415" i="2" a="1"/>
  <c r="CV415" i="2" s="1"/>
  <c r="CV275" i="2" a="1"/>
  <c r="CV275" i="2" s="1"/>
  <c r="CV121" i="2" a="1"/>
  <c r="CV121" i="2" s="1"/>
  <c r="CU107" i="2" a="1"/>
  <c r="CU107" i="2" s="1"/>
  <c r="CV107" i="2" a="1"/>
  <c r="CV107" i="2" s="1"/>
  <c r="CU65" i="2" a="1"/>
  <c r="CU65" i="2" s="1"/>
  <c r="CV65" i="2" a="1"/>
  <c r="CV65" i="2" s="1"/>
  <c r="CU37" i="2" a="1"/>
  <c r="CU37" i="2" s="1"/>
  <c r="CV37" i="2" a="1"/>
  <c r="CV37" i="2" s="1"/>
  <c r="CU349" i="2" a="1"/>
  <c r="CU349" i="2" s="1"/>
  <c r="CV349" i="2" a="1"/>
  <c r="CV349" i="2" s="1"/>
  <c r="CV645" i="2" a="1"/>
  <c r="CV645" i="2" s="1"/>
  <c r="CV505" i="2" a="1"/>
  <c r="CV505" i="2" s="1"/>
  <c r="CV379" i="2" a="1"/>
  <c r="CV379" i="2" s="1"/>
  <c r="CV337" i="2" a="1"/>
  <c r="CV337" i="2" s="1"/>
  <c r="CU337" i="2" a="1"/>
  <c r="CU337" i="2" s="1"/>
  <c r="CU281" i="2" a="1"/>
  <c r="CU281" i="2" s="1"/>
  <c r="CV281" i="2" a="1"/>
  <c r="CV281" i="2" s="1"/>
  <c r="CV155" i="2" a="1"/>
  <c r="CV155" i="2" s="1"/>
  <c r="CU327" i="2" a="1"/>
  <c r="CU327" i="2" s="1"/>
  <c r="CV145" i="2" a="1"/>
  <c r="CV145" i="2" s="1"/>
  <c r="CU345" i="2" a="1"/>
  <c r="CU345" i="2" s="1"/>
  <c r="CV345" i="2" a="1"/>
  <c r="CV345" i="2" s="1"/>
  <c r="CV659" i="2" a="1"/>
  <c r="CV659" i="2" s="1"/>
  <c r="CU659" i="2" a="1"/>
  <c r="CU659" i="2" s="1"/>
  <c r="CV547" i="2" a="1"/>
  <c r="CV547" i="2" s="1"/>
  <c r="CU519" i="2" a="1"/>
  <c r="CU519" i="2" s="1"/>
  <c r="CV519" i="2" a="1"/>
  <c r="CV519" i="2" s="1"/>
  <c r="CV365" i="2" a="1"/>
  <c r="CV365" i="2" s="1"/>
  <c r="CV169" i="2" a="1"/>
  <c r="CV169" i="2" s="1"/>
  <c r="CV29" i="2" a="1"/>
  <c r="CV29" i="2" s="1"/>
  <c r="CV593" i="2" a="1"/>
  <c r="CV593" i="2" s="1"/>
  <c r="CV537" i="2" a="1"/>
  <c r="CV537" i="2" s="1"/>
  <c r="CU537" i="2" a="1"/>
  <c r="CU537" i="2" s="1"/>
  <c r="CV299" i="2" a="1"/>
  <c r="CV299" i="2" s="1"/>
  <c r="CU527" i="2" a="1"/>
  <c r="CU527" i="2" s="1"/>
  <c r="CV527" i="2" a="1"/>
  <c r="CV527" i="2" s="1"/>
  <c r="CV617" i="2" a="1"/>
  <c r="CV617" i="2" s="1"/>
  <c r="CU421" i="2" a="1"/>
  <c r="CU421" i="2" s="1"/>
  <c r="CU407" i="2" a="1"/>
  <c r="CU407" i="2" s="1"/>
  <c r="CV407" i="2" a="1"/>
  <c r="CV407" i="2" s="1"/>
  <c r="CV267" i="2" a="1"/>
  <c r="CV267" i="2" s="1"/>
  <c r="CU225" i="2" a="1"/>
  <c r="CU225" i="2" s="1"/>
  <c r="CV225" i="2" a="1"/>
  <c r="CV225" i="2" s="1"/>
  <c r="CV141" i="2" a="1"/>
  <c r="CV141" i="2" s="1"/>
  <c r="CV15" i="2" a="1"/>
  <c r="CV15" i="2" s="1"/>
  <c r="CU481" i="2" a="1"/>
  <c r="CU481" i="2" s="1"/>
  <c r="CV467" i="2" a="1"/>
  <c r="CV467" i="2" s="1"/>
  <c r="CU467" i="2" a="1"/>
  <c r="CU467" i="2" s="1"/>
  <c r="CV425" i="2" a="1"/>
  <c r="CV425" i="2" s="1"/>
  <c r="CU425" i="2" a="1"/>
  <c r="CU425" i="2" s="1"/>
  <c r="CU257" i="2" a="1"/>
  <c r="CU257" i="2" s="1"/>
  <c r="CV229" i="2" a="1"/>
  <c r="CV229" i="2" s="1"/>
  <c r="CU229" i="2" a="1"/>
  <c r="CU229" i="2" s="1"/>
  <c r="CU201" i="2" a="1"/>
  <c r="CU201" i="2" s="1"/>
  <c r="CV201" i="2" a="1"/>
  <c r="CV201" i="2" s="1"/>
  <c r="CV117" i="2" a="1"/>
  <c r="CV117" i="2" s="1"/>
  <c r="CU89" i="2" a="1"/>
  <c r="CU89" i="2" s="1"/>
  <c r="CV89" i="2" a="1"/>
  <c r="CV89" i="2" s="1"/>
  <c r="CV33" i="2" a="1"/>
  <c r="CV33" i="2" s="1"/>
  <c r="CU695" i="2" a="1"/>
  <c r="CU695" i="2" s="1"/>
  <c r="CV695" i="2" a="1"/>
  <c r="CV695" i="2" s="1"/>
  <c r="CV625" i="2" a="1"/>
  <c r="CV625" i="2" s="1"/>
  <c r="CV611" i="2" a="1"/>
  <c r="CV611" i="2" s="1"/>
  <c r="CU611" i="2" a="1"/>
  <c r="CU611" i="2" s="1"/>
  <c r="CU597" i="2" a="1"/>
  <c r="CU597" i="2" s="1"/>
  <c r="CV597" i="2" a="1"/>
  <c r="CV597" i="2" s="1"/>
  <c r="CU555" i="2" a="1"/>
  <c r="CU555" i="2" s="1"/>
  <c r="CV555" i="2" a="1"/>
  <c r="CV555" i="2" s="1"/>
  <c r="CT555" i="2" a="1"/>
  <c r="CT555" i="2" s="1"/>
  <c r="CU513" i="2" a="1"/>
  <c r="CU513" i="2" s="1"/>
  <c r="CT513" i="2" a="1"/>
  <c r="CT513" i="2" s="1"/>
  <c r="CV513" i="2" a="1"/>
  <c r="CV513" i="2" s="1"/>
  <c r="CU485" i="2" a="1"/>
  <c r="CU485" i="2" s="1"/>
  <c r="CV485" i="2" a="1"/>
  <c r="CV485" i="2" s="1"/>
  <c r="CU443" i="2" a="1"/>
  <c r="CU443" i="2" s="1"/>
  <c r="CV443" i="2" a="1"/>
  <c r="CV443" i="2" s="1"/>
  <c r="CV373" i="2" a="1"/>
  <c r="CV373" i="2" s="1"/>
  <c r="CU359" i="2" a="1"/>
  <c r="CU359" i="2" s="1"/>
  <c r="CV359" i="2" a="1"/>
  <c r="CV359" i="2" s="1"/>
  <c r="CV317" i="2" a="1"/>
  <c r="CV317" i="2" s="1"/>
  <c r="CU289" i="2" a="1"/>
  <c r="CU289" i="2" s="1"/>
  <c r="CV289" i="2" a="1"/>
  <c r="CV289" i="2" s="1"/>
  <c r="CU261" i="2" a="1"/>
  <c r="CU261" i="2" s="1"/>
  <c r="CV261" i="2" a="1"/>
  <c r="CV261" i="2" s="1"/>
  <c r="CU233" i="2" a="1"/>
  <c r="CU233" i="2" s="1"/>
  <c r="CV233" i="2" a="1"/>
  <c r="CV233" i="2" s="1"/>
  <c r="CU219" i="2" a="1"/>
  <c r="CU219" i="2" s="1"/>
  <c r="CV219" i="2" a="1"/>
  <c r="CV219" i="2" s="1"/>
  <c r="CT205" i="2" a="1"/>
  <c r="CT205" i="2" s="1"/>
  <c r="CU205" i="2" a="1"/>
  <c r="CU205" i="2" s="1"/>
  <c r="CV205" i="2" a="1"/>
  <c r="CV205" i="2" s="1"/>
  <c r="CU191" i="2" a="1"/>
  <c r="CU191" i="2" s="1"/>
  <c r="CV191" i="2" a="1"/>
  <c r="CV191" i="2" s="1"/>
  <c r="CV149" i="2" a="1"/>
  <c r="CV149" i="2" s="1"/>
  <c r="CV79" i="2" a="1"/>
  <c r="CV79" i="2" s="1"/>
  <c r="CV51" i="2" a="1"/>
  <c r="CV51" i="2" s="1"/>
  <c r="CU51" i="2" a="1"/>
  <c r="CU51" i="2" s="1"/>
  <c r="CU685" i="2" a="1"/>
  <c r="CU685" i="2" s="1"/>
  <c r="CT671" i="2" a="1"/>
  <c r="CT671" i="2" s="1"/>
  <c r="CU671" i="2" a="1"/>
  <c r="CU671" i="2" s="1"/>
  <c r="CV671" i="2" a="1"/>
  <c r="CV671" i="2" s="1"/>
  <c r="CU643" i="2" a="1"/>
  <c r="CU643" i="2" s="1"/>
  <c r="CV643" i="2" a="1"/>
  <c r="CV643" i="2" s="1"/>
  <c r="CU629" i="2" a="1"/>
  <c r="CU629" i="2" s="1"/>
  <c r="CV629" i="2" a="1"/>
  <c r="CV629" i="2" s="1"/>
  <c r="CU615" i="2" a="1"/>
  <c r="CU615" i="2" s="1"/>
  <c r="CV615" i="2" a="1"/>
  <c r="CV615" i="2" s="1"/>
  <c r="CU601" i="2" a="1"/>
  <c r="CU601" i="2" s="1"/>
  <c r="CV601" i="2" a="1"/>
  <c r="CV601" i="2" s="1"/>
  <c r="CV587" i="2" a="1"/>
  <c r="CV587" i="2" s="1"/>
  <c r="CU587" i="2" a="1"/>
  <c r="CU587" i="2" s="1"/>
  <c r="CU573" i="2" a="1"/>
  <c r="CU573" i="2" s="1"/>
  <c r="CV573" i="2" a="1"/>
  <c r="CV573" i="2" s="1"/>
  <c r="CT559" i="2" a="1"/>
  <c r="CT559" i="2" s="1"/>
  <c r="CU559" i="2" a="1"/>
  <c r="CU559" i="2" s="1"/>
  <c r="CV559" i="2" a="1"/>
  <c r="CV559" i="2" s="1"/>
  <c r="CU545" i="2" a="1"/>
  <c r="CU545" i="2" s="1"/>
  <c r="CV545" i="2" a="1"/>
  <c r="CV545" i="2" s="1"/>
  <c r="CU531" i="2" a="1"/>
  <c r="CU531" i="2" s="1"/>
  <c r="CV531" i="2" a="1"/>
  <c r="CV531" i="2" s="1"/>
  <c r="CT517" i="2" a="1"/>
  <c r="CT517" i="2" s="1"/>
  <c r="CV517" i="2" a="1"/>
  <c r="CV517" i="2" s="1"/>
  <c r="CU517" i="2" a="1"/>
  <c r="CU517" i="2" s="1"/>
  <c r="CT503" i="2" a="1"/>
  <c r="CT503" i="2" s="1"/>
  <c r="CU503" i="2" a="1"/>
  <c r="CU503" i="2" s="1"/>
  <c r="CV503" i="2" a="1"/>
  <c r="CV503" i="2" s="1"/>
  <c r="CV489" i="2" a="1"/>
  <c r="CV489" i="2" s="1"/>
  <c r="CU489" i="2" a="1"/>
  <c r="CU489" i="2" s="1"/>
  <c r="CU475" i="2" a="1"/>
  <c r="CU475" i="2" s="1"/>
  <c r="CV475" i="2" a="1"/>
  <c r="CV475" i="2" s="1"/>
  <c r="CU461" i="2" a="1"/>
  <c r="CU461" i="2" s="1"/>
  <c r="CV461" i="2" a="1"/>
  <c r="CV461" i="2" s="1"/>
  <c r="CT447" i="2" a="1"/>
  <c r="CT447" i="2" s="1"/>
  <c r="CV447" i="2" a="1"/>
  <c r="CV447" i="2" s="1"/>
  <c r="CU447" i="2" a="1"/>
  <c r="CU447" i="2" s="1"/>
  <c r="CT433" i="2" a="1"/>
  <c r="CT433" i="2" s="1"/>
  <c r="CU433" i="2" a="1"/>
  <c r="CU433" i="2" s="1"/>
  <c r="CV433" i="2" a="1"/>
  <c r="CV433" i="2" s="1"/>
  <c r="CV419" i="2" a="1"/>
  <c r="CV419" i="2" s="1"/>
  <c r="CU419" i="2" a="1"/>
  <c r="CU419" i="2" s="1"/>
  <c r="CU405" i="2" a="1"/>
  <c r="CU405" i="2" s="1"/>
  <c r="CV405" i="2" a="1"/>
  <c r="CV405" i="2" s="1"/>
  <c r="CV391" i="2" a="1"/>
  <c r="CV391" i="2" s="1"/>
  <c r="CU391" i="2" a="1"/>
  <c r="CU391" i="2" s="1"/>
  <c r="CT377" i="2" a="1"/>
  <c r="CT377" i="2" s="1"/>
  <c r="CV377" i="2" a="1"/>
  <c r="CV377" i="2" s="1"/>
  <c r="CU377" i="2" a="1"/>
  <c r="CU377" i="2" s="1"/>
  <c r="CU363" i="2" a="1"/>
  <c r="CU363" i="2" s="1"/>
  <c r="CV363" i="2" a="1"/>
  <c r="CV363" i="2" s="1"/>
  <c r="CV335" i="2" a="1"/>
  <c r="CV335" i="2" s="1"/>
  <c r="CU335" i="2" a="1"/>
  <c r="CU335" i="2" s="1"/>
  <c r="CU321" i="2" a="1"/>
  <c r="CU321" i="2" s="1"/>
  <c r="CV321" i="2" a="1"/>
  <c r="CV321" i="2" s="1"/>
  <c r="CT307" i="2" a="1"/>
  <c r="CT307" i="2" s="1"/>
  <c r="CV307" i="2" a="1"/>
  <c r="CV307" i="2" s="1"/>
  <c r="CU293" i="2" a="1"/>
  <c r="CU293" i="2" s="1"/>
  <c r="CV293" i="2" a="1"/>
  <c r="CV293" i="2" s="1"/>
  <c r="CT279" i="2" a="1"/>
  <c r="CT279" i="2" s="1"/>
  <c r="CU279" i="2" a="1"/>
  <c r="CU279" i="2" s="1"/>
  <c r="CV279" i="2" a="1"/>
  <c r="CV279" i="2" s="1"/>
  <c r="CU265" i="2" a="1"/>
  <c r="CU265" i="2" s="1"/>
  <c r="CV265" i="2" a="1"/>
  <c r="CV265" i="2" s="1"/>
  <c r="CU251" i="2" a="1"/>
  <c r="CU251" i="2" s="1"/>
  <c r="CV251" i="2" a="1"/>
  <c r="CV251" i="2" s="1"/>
  <c r="CV237" i="2" a="1"/>
  <c r="CV237" i="2" s="1"/>
  <c r="CU237" i="2" a="1"/>
  <c r="CU237" i="2" s="1"/>
  <c r="CU223" i="2" a="1"/>
  <c r="CU223" i="2" s="1"/>
  <c r="CV223" i="2" a="1"/>
  <c r="CV223" i="2" s="1"/>
  <c r="CU209" i="2" a="1"/>
  <c r="CU209" i="2" s="1"/>
  <c r="CV209" i="2" a="1"/>
  <c r="CV209" i="2" s="1"/>
  <c r="CU195" i="2" a="1"/>
  <c r="CU195" i="2" s="1"/>
  <c r="CV195" i="2" a="1"/>
  <c r="CV195" i="2" s="1"/>
  <c r="CU181" i="2" a="1"/>
  <c r="CU181" i="2" s="1"/>
  <c r="CV181" i="2" a="1"/>
  <c r="CV181" i="2" s="1"/>
  <c r="CU167" i="2" a="1"/>
  <c r="CU167" i="2" s="1"/>
  <c r="CV167" i="2" a="1"/>
  <c r="CV167" i="2" s="1"/>
  <c r="CU153" i="2" a="1"/>
  <c r="CU153" i="2" s="1"/>
  <c r="CV153" i="2" a="1"/>
  <c r="CV153" i="2" s="1"/>
  <c r="CU139" i="2" a="1"/>
  <c r="CU139" i="2" s="1"/>
  <c r="CV139" i="2" a="1"/>
  <c r="CV139" i="2" s="1"/>
  <c r="CU125" i="2" a="1"/>
  <c r="CU125" i="2" s="1"/>
  <c r="CV125" i="2" a="1"/>
  <c r="CV125" i="2" s="1"/>
  <c r="CU111" i="2" a="1"/>
  <c r="CU111" i="2" s="1"/>
  <c r="CV111" i="2" a="1"/>
  <c r="CV111" i="2" s="1"/>
  <c r="CU97" i="2" a="1"/>
  <c r="CU97" i="2" s="1"/>
  <c r="CV97" i="2" a="1"/>
  <c r="CV97" i="2" s="1"/>
  <c r="CU83" i="2" a="1"/>
  <c r="CU83" i="2" s="1"/>
  <c r="CV83" i="2" a="1"/>
  <c r="CV83" i="2" s="1"/>
  <c r="CU55" i="2" a="1"/>
  <c r="CU55" i="2" s="1"/>
  <c r="CV55" i="2" a="1"/>
  <c r="CV55" i="2" s="1"/>
  <c r="CU41" i="2" a="1"/>
  <c r="CU41" i="2" s="1"/>
  <c r="CV41" i="2" a="1"/>
  <c r="CV41" i="2" s="1"/>
  <c r="CU27" i="2" a="1"/>
  <c r="CU27" i="2" s="1"/>
  <c r="CV27" i="2" a="1"/>
  <c r="CV27" i="2" s="1"/>
  <c r="CU13" i="2" a="1"/>
  <c r="CU13" i="2" s="1"/>
  <c r="CV13" i="2" a="1"/>
  <c r="CV13" i="2" s="1"/>
  <c r="CT703" i="2" a="1"/>
  <c r="CT703" i="2" s="1"/>
  <c r="CU703" i="2" a="1"/>
  <c r="CU703" i="2" s="1"/>
  <c r="CV703" i="2" a="1"/>
  <c r="CV703" i="2" s="1"/>
  <c r="CT689" i="2" a="1"/>
  <c r="CT689" i="2" s="1"/>
  <c r="CV689" i="2" a="1"/>
  <c r="CV689" i="2" s="1"/>
  <c r="CU689" i="2" a="1"/>
  <c r="CU689" i="2" s="1"/>
  <c r="CT675" i="2" a="1"/>
  <c r="CT675" i="2" s="1"/>
  <c r="CU675" i="2" a="1"/>
  <c r="CU675" i="2" s="1"/>
  <c r="CV675" i="2" a="1"/>
  <c r="CV675" i="2" s="1"/>
  <c r="CT661" i="2" a="1"/>
  <c r="CT661" i="2" s="1"/>
  <c r="CU661" i="2" a="1"/>
  <c r="CU661" i="2" s="1"/>
  <c r="CV661" i="2" a="1"/>
  <c r="CV661" i="2" s="1"/>
  <c r="CT647" i="2" a="1"/>
  <c r="CT647" i="2" s="1"/>
  <c r="CU647" i="2" a="1"/>
  <c r="CU647" i="2" s="1"/>
  <c r="CV647" i="2" a="1"/>
  <c r="CV647" i="2" s="1"/>
  <c r="CU633" i="2" a="1"/>
  <c r="CU633" i="2" s="1"/>
  <c r="CT633" i="2" a="1"/>
  <c r="CT633" i="2" s="1"/>
  <c r="CV633" i="2" a="1"/>
  <c r="CV633" i="2" s="1"/>
  <c r="CV619" i="2" a="1"/>
  <c r="CV619" i="2" s="1"/>
  <c r="CT619" i="2" a="1"/>
  <c r="CT619" i="2" s="1"/>
  <c r="CU619" i="2" a="1"/>
  <c r="CU619" i="2" s="1"/>
  <c r="CT605" i="2" a="1"/>
  <c r="CT605" i="2" s="1"/>
  <c r="CU605" i="2" a="1"/>
  <c r="CU605" i="2" s="1"/>
  <c r="CV605" i="2" a="1"/>
  <c r="CV605" i="2" s="1"/>
  <c r="CT591" i="2" a="1"/>
  <c r="CT591" i="2" s="1"/>
  <c r="CU591" i="2" a="1"/>
  <c r="CU591" i="2" s="1"/>
  <c r="CV591" i="2" a="1"/>
  <c r="CV591" i="2" s="1"/>
  <c r="CT577" i="2" a="1"/>
  <c r="CT577" i="2" s="1"/>
  <c r="CU577" i="2" a="1"/>
  <c r="CU577" i="2" s="1"/>
  <c r="CV577" i="2" a="1"/>
  <c r="CV577" i="2" s="1"/>
  <c r="CT563" i="2" a="1"/>
  <c r="CT563" i="2" s="1"/>
  <c r="CV563" i="2" a="1"/>
  <c r="CV563" i="2" s="1"/>
  <c r="CU563" i="2" a="1"/>
  <c r="CU563" i="2" s="1"/>
  <c r="CT549" i="2" a="1"/>
  <c r="CT549" i="2" s="1"/>
  <c r="CV549" i="2" a="1"/>
  <c r="CV549" i="2" s="1"/>
  <c r="CU549" i="2" a="1"/>
  <c r="CU549" i="2" s="1"/>
  <c r="CT535" i="2" a="1"/>
  <c r="CT535" i="2" s="1"/>
  <c r="CV535" i="2" a="1"/>
  <c r="CV535" i="2" s="1"/>
  <c r="CU535" i="2" a="1"/>
  <c r="CU535" i="2" s="1"/>
  <c r="CV521" i="2" a="1"/>
  <c r="CV521" i="2" s="1"/>
  <c r="CT521" i="2" a="1"/>
  <c r="CT521" i="2" s="1"/>
  <c r="CU521" i="2" a="1"/>
  <c r="CU521" i="2" s="1"/>
  <c r="CT507" i="2" a="1"/>
  <c r="CT507" i="2" s="1"/>
  <c r="CU507" i="2" a="1"/>
  <c r="CU507" i="2" s="1"/>
  <c r="CV507" i="2" a="1"/>
  <c r="CV507" i="2" s="1"/>
  <c r="CT493" i="2" a="1"/>
  <c r="CT493" i="2" s="1"/>
  <c r="CU493" i="2" a="1"/>
  <c r="CU493" i="2" s="1"/>
  <c r="CV493" i="2" a="1"/>
  <c r="CV493" i="2" s="1"/>
  <c r="CT479" i="2" a="1"/>
  <c r="CT479" i="2" s="1"/>
  <c r="CU479" i="2" a="1"/>
  <c r="CU479" i="2" s="1"/>
  <c r="CV479" i="2" a="1"/>
  <c r="CV479" i="2" s="1"/>
  <c r="CT465" i="2" a="1"/>
  <c r="CT465" i="2" s="1"/>
  <c r="CV465" i="2" a="1"/>
  <c r="CV465" i="2" s="1"/>
  <c r="CU465" i="2" a="1"/>
  <c r="CU465" i="2" s="1"/>
  <c r="CT451" i="2" a="1"/>
  <c r="CT451" i="2" s="1"/>
  <c r="CV451" i="2" a="1"/>
  <c r="CV451" i="2" s="1"/>
  <c r="CU451" i="2" a="1"/>
  <c r="CU451" i="2" s="1"/>
  <c r="CT437" i="2" a="1"/>
  <c r="CT437" i="2" s="1"/>
  <c r="CU437" i="2" a="1"/>
  <c r="CU437" i="2" s="1"/>
  <c r="CV437" i="2" a="1"/>
  <c r="CV437" i="2" s="1"/>
  <c r="CV423" i="2" a="1"/>
  <c r="CV423" i="2" s="1"/>
  <c r="CT423" i="2" a="1"/>
  <c r="CT423" i="2" s="1"/>
  <c r="CU423" i="2" a="1"/>
  <c r="CU423" i="2" s="1"/>
  <c r="CT409" i="2" a="1"/>
  <c r="CT409" i="2" s="1"/>
  <c r="CV409" i="2" a="1"/>
  <c r="CV409" i="2" s="1"/>
  <c r="CU409" i="2" a="1"/>
  <c r="CU409" i="2" s="1"/>
  <c r="CT395" i="2" a="1"/>
  <c r="CT395" i="2" s="1"/>
  <c r="CU395" i="2" a="1"/>
  <c r="CU395" i="2" s="1"/>
  <c r="CV395" i="2" a="1"/>
  <c r="CV395" i="2" s="1"/>
  <c r="CU381" i="2" a="1"/>
  <c r="CU381" i="2" s="1"/>
  <c r="CT381" i="2" a="1"/>
  <c r="CT381" i="2" s="1"/>
  <c r="CV381" i="2" a="1"/>
  <c r="CV381" i="2" s="1"/>
  <c r="CU367" i="2" a="1"/>
  <c r="CU367" i="2" s="1"/>
  <c r="CT367" i="2" a="1"/>
  <c r="CT367" i="2" s="1"/>
  <c r="CV367" i="2" a="1"/>
  <c r="CV367" i="2" s="1"/>
  <c r="CT353" i="2" a="1"/>
  <c r="CT353" i="2" s="1"/>
  <c r="CU353" i="2" a="1"/>
  <c r="CU353" i="2" s="1"/>
  <c r="CV353" i="2" a="1"/>
  <c r="CV353" i="2" s="1"/>
  <c r="CT339" i="2" a="1"/>
  <c r="CT339" i="2" s="1"/>
  <c r="CU339" i="2" a="1"/>
  <c r="CU339" i="2" s="1"/>
  <c r="CV339" i="2" a="1"/>
  <c r="CV339" i="2" s="1"/>
  <c r="CV325" i="2" a="1"/>
  <c r="CV325" i="2" s="1"/>
  <c r="CT325" i="2" a="1"/>
  <c r="CT325" i="2" s="1"/>
  <c r="CU325" i="2" a="1"/>
  <c r="CU325" i="2" s="1"/>
  <c r="CT311" i="2" a="1"/>
  <c r="CT311" i="2" s="1"/>
  <c r="CV311" i="2" a="1"/>
  <c r="CV311" i="2" s="1"/>
  <c r="CU311" i="2" a="1"/>
  <c r="CU311" i="2" s="1"/>
  <c r="CT297" i="2" a="1"/>
  <c r="CT297" i="2" s="1"/>
  <c r="CU297" i="2" a="1"/>
  <c r="CU297" i="2" s="1"/>
  <c r="CV297" i="2" a="1"/>
  <c r="CV297" i="2" s="1"/>
  <c r="CU283" i="2" a="1"/>
  <c r="CU283" i="2" s="1"/>
  <c r="CT283" i="2" a="1"/>
  <c r="CT283" i="2" s="1"/>
  <c r="CV283" i="2" a="1"/>
  <c r="CV283" i="2" s="1"/>
  <c r="CT269" i="2" a="1"/>
  <c r="CT269" i="2" s="1"/>
  <c r="CU269" i="2" a="1"/>
  <c r="CU269" i="2" s="1"/>
  <c r="CV255" i="2" a="1"/>
  <c r="CV255" i="2" s="1"/>
  <c r="CU255" i="2" a="1"/>
  <c r="CU255" i="2" s="1"/>
  <c r="CT255" i="2" a="1"/>
  <c r="CT255" i="2" s="1"/>
  <c r="CT241" i="2" a="1"/>
  <c r="CT241" i="2" s="1"/>
  <c r="CU241" i="2" a="1"/>
  <c r="CU241" i="2" s="1"/>
  <c r="CV241" i="2" a="1"/>
  <c r="CV241" i="2" s="1"/>
  <c r="CV227" i="2" a="1"/>
  <c r="CV227" i="2" s="1"/>
  <c r="CT227" i="2" a="1"/>
  <c r="CT227" i="2" s="1"/>
  <c r="CU227" i="2" a="1"/>
  <c r="CU227" i="2" s="1"/>
  <c r="CT213" i="2" a="1"/>
  <c r="CT213" i="2" s="1"/>
  <c r="CV213" i="2" a="1"/>
  <c r="CV213" i="2" s="1"/>
  <c r="CU213" i="2" a="1"/>
  <c r="CU213" i="2" s="1"/>
  <c r="CU199" i="2" a="1"/>
  <c r="CU199" i="2" s="1"/>
  <c r="CV199" i="2" a="1"/>
  <c r="CV199" i="2" s="1"/>
  <c r="CU185" i="2" a="1"/>
  <c r="CU185" i="2" s="1"/>
  <c r="CT185" i="2" a="1"/>
  <c r="CT185" i="2" s="1"/>
  <c r="CV185" i="2" a="1"/>
  <c r="CV185" i="2" s="1"/>
  <c r="CT171" i="2" a="1"/>
  <c r="CT171" i="2" s="1"/>
  <c r="CU171" i="2" a="1"/>
  <c r="CU171" i="2" s="1"/>
  <c r="CV171" i="2" a="1"/>
  <c r="CV171" i="2" s="1"/>
  <c r="CV87" i="2" a="1"/>
  <c r="CV87" i="2" s="1"/>
  <c r="CT31" i="2" a="1"/>
  <c r="CT31" i="2" s="1"/>
  <c r="CU31" i="2" a="1"/>
  <c r="CU31" i="2" s="1"/>
  <c r="CV31" i="2" a="1"/>
  <c r="CV31" i="2" s="1"/>
  <c r="CV3" i="2" a="1"/>
  <c r="CV3" i="2" s="1"/>
  <c r="CV511" i="2" a="1"/>
  <c r="CV511" i="2" s="1"/>
  <c r="CU497" i="2" a="1"/>
  <c r="CU497" i="2" s="1"/>
  <c r="CV455" i="2" a="1"/>
  <c r="CV455" i="2" s="1"/>
  <c r="CV259" i="2" a="1"/>
  <c r="CV259" i="2" s="1"/>
  <c r="CU231" i="2" a="1"/>
  <c r="CU231" i="2" s="1"/>
  <c r="CV119" i="2" a="1"/>
  <c r="CV119" i="2" s="1"/>
  <c r="CV21" i="2" a="1"/>
  <c r="CV21" i="2" s="1"/>
  <c r="CU683" i="2" a="1"/>
  <c r="CU683" i="2" s="1"/>
  <c r="CV599" i="2" a="1"/>
  <c r="CV599" i="2" s="1"/>
  <c r="CV571" i="2" a="1"/>
  <c r="CV571" i="2" s="1"/>
  <c r="CV487" i="2" a="1"/>
  <c r="CV487" i="2" s="1"/>
  <c r="CV459" i="2" a="1"/>
  <c r="CV459" i="2" s="1"/>
  <c r="CV417" i="2" a="1"/>
  <c r="CV417" i="2" s="1"/>
  <c r="CV347" i="2" a="1"/>
  <c r="CV347" i="2" s="1"/>
  <c r="CV81" i="2" a="1"/>
  <c r="CV81" i="2" s="1"/>
  <c r="CV53" i="2" a="1"/>
  <c r="CV53" i="2" s="1"/>
  <c r="CV685" i="2" a="1"/>
  <c r="CV685" i="2" s="1"/>
  <c r="CU449" i="2" a="1"/>
  <c r="CU449" i="2" s="1"/>
  <c r="CV323" i="2" a="1"/>
  <c r="CV323" i="2" s="1"/>
  <c r="CV183" i="2" a="1"/>
  <c r="CV183" i="2" s="1"/>
  <c r="CV127" i="2" a="1"/>
  <c r="CV127" i="2" s="1"/>
  <c r="CV85" i="2" a="1"/>
  <c r="CV85" i="2" s="1"/>
  <c r="CU85" i="2" a="1"/>
  <c r="CU85" i="2" s="1"/>
  <c r="CU551" i="2" a="1"/>
  <c r="CU551" i="2" s="1"/>
  <c r="CT495" i="2" a="1"/>
  <c r="CT495" i="2" s="1"/>
  <c r="CU495" i="2" a="1"/>
  <c r="CU495" i="2" s="1"/>
  <c r="CV495" i="2" a="1"/>
  <c r="CV495" i="2" s="1"/>
  <c r="CV411" i="2" a="1"/>
  <c r="CV411" i="2" s="1"/>
  <c r="CU397" i="2" a="1"/>
  <c r="CU397" i="2" s="1"/>
  <c r="CT397" i="2" a="1"/>
  <c r="CT397" i="2" s="1"/>
  <c r="CV397" i="2" a="1"/>
  <c r="CV397" i="2" s="1"/>
  <c r="CU383" i="2" a="1"/>
  <c r="CU383" i="2" s="1"/>
  <c r="CV383" i="2" a="1"/>
  <c r="CV383" i="2" s="1"/>
  <c r="CV369" i="2" a="1"/>
  <c r="CV369" i="2" s="1"/>
  <c r="CU369" i="2" a="1"/>
  <c r="CU369" i="2" s="1"/>
  <c r="CU341" i="2" a="1"/>
  <c r="CU341" i="2" s="1"/>
  <c r="CV341" i="2" a="1"/>
  <c r="CV341" i="2" s="1"/>
  <c r="CV285" i="2" a="1"/>
  <c r="CV285" i="2" s="1"/>
  <c r="CV271" i="2" a="1"/>
  <c r="CV271" i="2" s="1"/>
  <c r="CU271" i="2" a="1"/>
  <c r="CU271" i="2" s="1"/>
  <c r="CU243" i="2" a="1"/>
  <c r="CU243" i="2" s="1"/>
  <c r="CV243" i="2" a="1"/>
  <c r="CV243" i="2" s="1"/>
  <c r="CV131" i="2" a="1"/>
  <c r="CV131" i="2" s="1"/>
  <c r="CV47" i="2" a="1"/>
  <c r="CV47" i="2" s="1"/>
  <c r="CV667" i="2" a="1"/>
  <c r="CV667" i="2" s="1"/>
  <c r="CU653" i="2" a="1"/>
  <c r="CU653" i="2" s="1"/>
  <c r="CV653" i="2" a="1"/>
  <c r="CV653" i="2" s="1"/>
  <c r="CU639" i="2" a="1"/>
  <c r="CU639" i="2" s="1"/>
  <c r="CV639" i="2" a="1"/>
  <c r="CV639" i="2" s="1"/>
  <c r="CU583" i="2" a="1"/>
  <c r="CU583" i="2" s="1"/>
  <c r="CV583" i="2" a="1"/>
  <c r="CV583" i="2" s="1"/>
  <c r="CV429" i="2" a="1"/>
  <c r="CV429" i="2" s="1"/>
  <c r="CV387" i="2" a="1"/>
  <c r="CV387" i="2" s="1"/>
  <c r="CU387" i="2" a="1"/>
  <c r="CU387" i="2" s="1"/>
  <c r="CV247" i="2" a="1"/>
  <c r="CV247" i="2" s="1"/>
  <c r="CT93" i="2" a="1"/>
  <c r="CT93" i="2" s="1"/>
  <c r="CU93" i="2" a="1"/>
  <c r="CU93" i="2" s="1"/>
  <c r="CV93" i="2" a="1"/>
  <c r="CV93" i="2" s="1"/>
  <c r="CT197" i="2" a="1"/>
  <c r="CT197" i="2" s="1"/>
  <c r="CV57" i="2" a="1"/>
  <c r="CV57" i="2" s="1"/>
  <c r="CV626" i="2" a="1"/>
  <c r="CV626" i="2" s="1"/>
  <c r="CV231" i="2" a="1"/>
  <c r="CV231" i="2" s="1"/>
  <c r="CT143" i="2" a="1"/>
  <c r="CT143" i="2" s="1"/>
  <c r="CU143" i="2" a="1"/>
  <c r="CU143" i="2" s="1"/>
  <c r="CV143" i="2" a="1"/>
  <c r="CV143" i="2" s="1"/>
  <c r="CT115" i="2" a="1"/>
  <c r="CT115" i="2" s="1"/>
  <c r="CU115" i="2" a="1"/>
  <c r="CU115" i="2" s="1"/>
  <c r="CV115" i="2" a="1"/>
  <c r="CV115" i="2" s="1"/>
  <c r="CU87" i="2" a="1"/>
  <c r="CU87" i="2" s="1"/>
  <c r="CT87" i="2" a="1"/>
  <c r="CT87" i="2" s="1"/>
  <c r="CT59" i="2" a="1"/>
  <c r="CT59" i="2" s="1"/>
  <c r="CV59" i="2" a="1"/>
  <c r="CV59" i="2" s="1"/>
  <c r="CU59" i="2" a="1"/>
  <c r="CU59" i="2" s="1"/>
  <c r="CU45" i="2" a="1"/>
  <c r="CU45" i="2" s="1"/>
  <c r="CV45" i="2" a="1"/>
  <c r="CV45" i="2" s="1"/>
  <c r="CT17" i="2" a="1"/>
  <c r="CT17" i="2" s="1"/>
  <c r="CU17" i="2" a="1"/>
  <c r="CU17" i="2" s="1"/>
  <c r="CV17" i="2" a="1"/>
  <c r="CV17" i="2" s="1"/>
  <c r="CT231" i="2" a="1"/>
  <c r="CT231" i="2" s="1"/>
  <c r="CT189" i="2" a="1"/>
  <c r="CT189" i="2" s="1"/>
  <c r="CV189" i="2" a="1"/>
  <c r="CV189" i="2" s="1"/>
  <c r="CU189" i="2" a="1"/>
  <c r="CU189" i="2" s="1"/>
  <c r="CU147" i="2" a="1"/>
  <c r="CU147" i="2" s="1"/>
  <c r="CT147" i="2" a="1"/>
  <c r="CT147" i="2" s="1"/>
  <c r="CT105" i="2" a="1"/>
  <c r="CT105" i="2" s="1"/>
  <c r="CU105" i="2" a="1"/>
  <c r="CU105" i="2" s="1"/>
  <c r="CT35" i="2" a="1"/>
  <c r="CT35" i="2" s="1"/>
  <c r="CV35" i="2" a="1"/>
  <c r="CV35" i="2" s="1"/>
  <c r="CU35" i="2" a="1"/>
  <c r="CU35" i="2" s="1"/>
  <c r="CT697" i="2" a="1"/>
  <c r="CT697" i="2" s="1"/>
  <c r="CU697" i="2" a="1"/>
  <c r="CU697" i="2" s="1"/>
  <c r="CV697" i="2" a="1"/>
  <c r="CV697" i="2" s="1"/>
  <c r="CT669" i="2" a="1"/>
  <c r="CT669" i="2" s="1"/>
  <c r="CU669" i="2" a="1"/>
  <c r="CU669" i="2" s="1"/>
  <c r="CV669" i="2" a="1"/>
  <c r="CV669" i="2" s="1"/>
  <c r="CT627" i="2" a="1"/>
  <c r="CT627" i="2" s="1"/>
  <c r="CU627" i="2" a="1"/>
  <c r="CU627" i="2" s="1"/>
  <c r="CV627" i="2" a="1"/>
  <c r="CV627" i="2" s="1"/>
  <c r="CT599" i="2" a="1"/>
  <c r="CT599" i="2" s="1"/>
  <c r="CU599" i="2" a="1"/>
  <c r="CU599" i="2" s="1"/>
  <c r="CT557" i="2" a="1"/>
  <c r="CT557" i="2" s="1"/>
  <c r="CU557" i="2" a="1"/>
  <c r="CU557" i="2" s="1"/>
  <c r="CV557" i="2" a="1"/>
  <c r="CV557" i="2" s="1"/>
  <c r="CV515" i="2" a="1"/>
  <c r="CV515" i="2" s="1"/>
  <c r="CT515" i="2" a="1"/>
  <c r="CT515" i="2" s="1"/>
  <c r="CU515" i="2" a="1"/>
  <c r="CU515" i="2" s="1"/>
  <c r="CT473" i="2" a="1"/>
  <c r="CT473" i="2" s="1"/>
  <c r="CV473" i="2" a="1"/>
  <c r="CV473" i="2" s="1"/>
  <c r="CU473" i="2" a="1"/>
  <c r="CU473" i="2" s="1"/>
  <c r="CT431" i="2" a="1"/>
  <c r="CT431" i="2" s="1"/>
  <c r="CV431" i="2" a="1"/>
  <c r="CV431" i="2" s="1"/>
  <c r="CT403" i="2" a="1"/>
  <c r="CT403" i="2" s="1"/>
  <c r="CU403" i="2" a="1"/>
  <c r="CU403" i="2" s="1"/>
  <c r="CT361" i="2" a="1"/>
  <c r="CT361" i="2" s="1"/>
  <c r="CU361" i="2" a="1"/>
  <c r="CU361" i="2" s="1"/>
  <c r="CV361" i="2" a="1"/>
  <c r="CV361" i="2" s="1"/>
  <c r="CT319" i="2" a="1"/>
  <c r="CT319" i="2" s="1"/>
  <c r="CU319" i="2" a="1"/>
  <c r="CU319" i="2" s="1"/>
  <c r="CV319" i="2" a="1"/>
  <c r="CV319" i="2" s="1"/>
  <c r="CT277" i="2" a="1"/>
  <c r="CT277" i="2" s="1"/>
  <c r="CU277" i="2" a="1"/>
  <c r="CU277" i="2" s="1"/>
  <c r="CV277" i="2" a="1"/>
  <c r="CV277" i="2" s="1"/>
  <c r="CT235" i="2" a="1"/>
  <c r="CT235" i="2" s="1"/>
  <c r="CU235" i="2" a="1"/>
  <c r="CU235" i="2" s="1"/>
  <c r="CV235" i="2" a="1"/>
  <c r="CV235" i="2" s="1"/>
  <c r="CT179" i="2" a="1"/>
  <c r="CT179" i="2" s="1"/>
  <c r="CU179" i="2" a="1"/>
  <c r="CU179" i="2" s="1"/>
  <c r="CV179" i="2" a="1"/>
  <c r="CV179" i="2" s="1"/>
  <c r="CT151" i="2" a="1"/>
  <c r="CT151" i="2" s="1"/>
  <c r="CU151" i="2" a="1"/>
  <c r="CU151" i="2" s="1"/>
  <c r="CV151" i="2" a="1"/>
  <c r="CV151" i="2" s="1"/>
  <c r="CT123" i="2" a="1"/>
  <c r="CT123" i="2" s="1"/>
  <c r="CU123" i="2" a="1"/>
  <c r="CU123" i="2" s="1"/>
  <c r="CV123" i="2" a="1"/>
  <c r="CV123" i="2" s="1"/>
  <c r="CT95" i="2" a="1"/>
  <c r="CT95" i="2" s="1"/>
  <c r="CU95" i="2" a="1"/>
  <c r="CU95" i="2" s="1"/>
  <c r="CV95" i="2" a="1"/>
  <c r="CV95" i="2" s="1"/>
  <c r="CT53" i="2" a="1"/>
  <c r="CT53" i="2" s="1"/>
  <c r="CU53" i="2" a="1"/>
  <c r="CU53" i="2" s="1"/>
  <c r="CT25" i="2" a="1"/>
  <c r="CT25" i="2" s="1"/>
  <c r="CU25" i="2" a="1"/>
  <c r="CU25" i="2" s="1"/>
  <c r="CT157" i="2" a="1"/>
  <c r="CT157" i="2" s="1"/>
  <c r="CV157" i="2" a="1"/>
  <c r="CV157" i="2" s="1"/>
  <c r="CU157" i="2" a="1"/>
  <c r="CU157" i="2" s="1"/>
  <c r="CV129" i="2" a="1"/>
  <c r="CV129" i="2" s="1"/>
  <c r="CT129" i="2" a="1"/>
  <c r="CT129" i="2" s="1"/>
  <c r="CU129" i="2" a="1"/>
  <c r="CU129" i="2" s="1"/>
  <c r="CU101" i="2" a="1"/>
  <c r="CU101" i="2" s="1"/>
  <c r="CV101" i="2" a="1"/>
  <c r="CV101" i="2" s="1"/>
  <c r="CT73" i="2" a="1"/>
  <c r="CT73" i="2" s="1"/>
  <c r="CU73" i="2" a="1"/>
  <c r="CU73" i="2" s="1"/>
  <c r="CV73" i="2" a="1"/>
  <c r="CV73" i="2" s="1"/>
  <c r="CU3" i="2" a="1"/>
  <c r="CU3" i="2" s="1"/>
  <c r="CT693" i="2" a="1"/>
  <c r="CT693" i="2" s="1"/>
  <c r="CV693" i="2" a="1"/>
  <c r="CV693" i="2" s="1"/>
  <c r="CT679" i="2" a="1"/>
  <c r="CT679" i="2" s="1"/>
  <c r="CU679" i="2" a="1"/>
  <c r="CU679" i="2" s="1"/>
  <c r="CV679" i="2" a="1"/>
  <c r="CV679" i="2" s="1"/>
  <c r="CT665" i="2" a="1"/>
  <c r="CT665" i="2" s="1"/>
  <c r="CU665" i="2" a="1"/>
  <c r="CU665" i="2" s="1"/>
  <c r="CT651" i="2" a="1"/>
  <c r="CT651" i="2" s="1"/>
  <c r="CU651" i="2" a="1"/>
  <c r="CU651" i="2" s="1"/>
  <c r="CV651" i="2" a="1"/>
  <c r="CV651" i="2" s="1"/>
  <c r="CU637" i="2" a="1"/>
  <c r="CU637" i="2" s="1"/>
  <c r="CT637" i="2" a="1"/>
  <c r="CT637" i="2" s="1"/>
  <c r="CV637" i="2" a="1"/>
  <c r="CV637" i="2" s="1"/>
  <c r="CT623" i="2" a="1"/>
  <c r="CT623" i="2" s="1"/>
  <c r="CU623" i="2" a="1"/>
  <c r="CU623" i="2" s="1"/>
  <c r="CV623" i="2" a="1"/>
  <c r="CV623" i="2" s="1"/>
  <c r="CT609" i="2" a="1"/>
  <c r="CT609" i="2" s="1"/>
  <c r="CU609" i="2" a="1"/>
  <c r="CU609" i="2" s="1"/>
  <c r="CT595" i="2" a="1"/>
  <c r="CT595" i="2" s="1"/>
  <c r="CV595" i="2" a="1"/>
  <c r="CV595" i="2" s="1"/>
  <c r="CU595" i="2" a="1"/>
  <c r="CU595" i="2" s="1"/>
  <c r="CT581" i="2" a="1"/>
  <c r="CT581" i="2" s="1"/>
  <c r="CU581" i="2" a="1"/>
  <c r="CU581" i="2" s="1"/>
  <c r="CV581" i="2" a="1"/>
  <c r="CV581" i="2" s="1"/>
  <c r="CT567" i="2" a="1"/>
  <c r="CT567" i="2" s="1"/>
  <c r="CV567" i="2" a="1"/>
  <c r="CV567" i="2" s="1"/>
  <c r="CU567" i="2" a="1"/>
  <c r="CU567" i="2" s="1"/>
  <c r="CT553" i="2" a="1"/>
  <c r="CT553" i="2" s="1"/>
  <c r="CV553" i="2" a="1"/>
  <c r="CV553" i="2" s="1"/>
  <c r="CU553" i="2" a="1"/>
  <c r="CU553" i="2" s="1"/>
  <c r="CU539" i="2" a="1"/>
  <c r="CU539" i="2" s="1"/>
  <c r="CT539" i="2" a="1"/>
  <c r="CT539" i="2" s="1"/>
  <c r="CV539" i="2" a="1"/>
  <c r="CV539" i="2" s="1"/>
  <c r="CT525" i="2" a="1"/>
  <c r="CT525" i="2" s="1"/>
  <c r="CU525" i="2" a="1"/>
  <c r="CU525" i="2" s="1"/>
  <c r="CV525" i="2" a="1"/>
  <c r="CV525" i="2" s="1"/>
  <c r="CT511" i="2" a="1"/>
  <c r="CT511" i="2" s="1"/>
  <c r="CU511" i="2" a="1"/>
  <c r="CU511" i="2" s="1"/>
  <c r="CT497" i="2" a="1"/>
  <c r="CT497" i="2" s="1"/>
  <c r="CV497" i="2" a="1"/>
  <c r="CV497" i="2" s="1"/>
  <c r="CV483" i="2" a="1"/>
  <c r="CV483" i="2" s="1"/>
  <c r="CU483" i="2" a="1"/>
  <c r="CU483" i="2" s="1"/>
  <c r="CT469" i="2" a="1"/>
  <c r="CT469" i="2" s="1"/>
  <c r="CU469" i="2" a="1"/>
  <c r="CU469" i="2" s="1"/>
  <c r="CT455" i="2" a="1"/>
  <c r="CT455" i="2" s="1"/>
  <c r="CU455" i="2" a="1"/>
  <c r="CU455" i="2" s="1"/>
  <c r="CU441" i="2" a="1"/>
  <c r="CU441" i="2" s="1"/>
  <c r="CT441" i="2" a="1"/>
  <c r="CT441" i="2" s="1"/>
  <c r="CV441" i="2" a="1"/>
  <c r="CV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T399" i="2" a="1"/>
  <c r="CT399" i="2" s="1"/>
  <c r="CU399" i="2" a="1"/>
  <c r="CU399" i="2" s="1"/>
  <c r="CV399" i="2" a="1"/>
  <c r="CV399" i="2" s="1"/>
  <c r="CT385" i="2" a="1"/>
  <c r="CT385" i="2" s="1"/>
  <c r="CU385" i="2" a="1"/>
  <c r="CU385" i="2" s="1"/>
  <c r="CV385" i="2" a="1"/>
  <c r="CV385" i="2" s="1"/>
  <c r="CT371" i="2" a="1"/>
  <c r="CT371" i="2" s="1"/>
  <c r="CU371" i="2" a="1"/>
  <c r="CU371" i="2" s="1"/>
  <c r="CT357" i="2" a="1"/>
  <c r="CT357" i="2" s="1"/>
  <c r="CV357" i="2" a="1"/>
  <c r="CV357" i="2" s="1"/>
  <c r="CU357" i="2" a="1"/>
  <c r="CU357" i="2" s="1"/>
  <c r="CU343" i="2" a="1"/>
  <c r="CU343" i="2" s="1"/>
  <c r="CT343" i="2" a="1"/>
  <c r="CT343" i="2" s="1"/>
  <c r="CV343" i="2" a="1"/>
  <c r="CV343" i="2" s="1"/>
  <c r="CT329" i="2" a="1"/>
  <c r="CT329" i="2" s="1"/>
  <c r="CU329" i="2" a="1"/>
  <c r="CU329" i="2" s="1"/>
  <c r="CV329" i="2" a="1"/>
  <c r="CV329" i="2" s="1"/>
  <c r="CU315" i="2" a="1"/>
  <c r="CU315" i="2" s="1"/>
  <c r="CT315" i="2" a="1"/>
  <c r="CT315" i="2" s="1"/>
  <c r="CV315" i="2" a="1"/>
  <c r="CV315" i="2" s="1"/>
  <c r="CT301" i="2" a="1"/>
  <c r="CT301" i="2" s="1"/>
  <c r="CU301" i="2" a="1"/>
  <c r="CU301" i="2" s="1"/>
  <c r="CV301" i="2" a="1"/>
  <c r="CV301" i="2" s="1"/>
  <c r="CT287" i="2" a="1"/>
  <c r="CT287" i="2" s="1"/>
  <c r="CU287" i="2" a="1"/>
  <c r="CU287" i="2" s="1"/>
  <c r="CV287" i="2" a="1"/>
  <c r="CV287" i="2" s="1"/>
  <c r="CT273" i="2" a="1"/>
  <c r="CT273" i="2" s="1"/>
  <c r="CU273" i="2" a="1"/>
  <c r="CU273" i="2" s="1"/>
  <c r="CV273" i="2" a="1"/>
  <c r="CV273" i="2" s="1"/>
  <c r="CT259" i="2" a="1"/>
  <c r="CT259" i="2" s="1"/>
  <c r="CU259" i="2" a="1"/>
  <c r="CU259" i="2" s="1"/>
  <c r="CU245" i="2" a="1"/>
  <c r="CU245" i="2" s="1"/>
  <c r="CT245" i="2" a="1"/>
  <c r="CT245" i="2" s="1"/>
  <c r="CV245" i="2" a="1"/>
  <c r="CV245" i="2" s="1"/>
  <c r="CT217" i="2" a="1"/>
  <c r="CT217" i="2" s="1"/>
  <c r="CU217" i="2" a="1"/>
  <c r="CU217" i="2" s="1"/>
  <c r="CV217" i="2" a="1"/>
  <c r="CV217" i="2" s="1"/>
  <c r="CT203" i="2" a="1"/>
  <c r="CT203" i="2" s="1"/>
  <c r="CU203" i="2" a="1"/>
  <c r="CU203" i="2" s="1"/>
  <c r="CV203" i="2" a="1"/>
  <c r="CV203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33" i="2" a="1"/>
  <c r="CT133" i="2" s="1"/>
  <c r="CV133" i="2" a="1"/>
  <c r="CV133" i="2" s="1"/>
  <c r="CU133" i="2" a="1"/>
  <c r="CU133" i="2" s="1"/>
  <c r="CT119" i="2" a="1"/>
  <c r="CT119" i="2" s="1"/>
  <c r="CU119" i="2" a="1"/>
  <c r="CU119" i="2" s="1"/>
  <c r="CT91" i="2" a="1"/>
  <c r="CT91" i="2" s="1"/>
  <c r="CU91" i="2" a="1"/>
  <c r="CU91" i="2" s="1"/>
  <c r="CV91" i="2" a="1"/>
  <c r="CV91" i="2" s="1"/>
  <c r="CU77" i="2" a="1"/>
  <c r="CU77" i="2" s="1"/>
  <c r="CT77" i="2" a="1"/>
  <c r="CT77" i="2" s="1"/>
  <c r="CT63" i="2" a="1"/>
  <c r="CT63" i="2" s="1"/>
  <c r="CU63" i="2" a="1"/>
  <c r="CU63" i="2" s="1"/>
  <c r="CV63" i="2" a="1"/>
  <c r="CV63" i="2" s="1"/>
  <c r="CU49" i="2" a="1"/>
  <c r="CU49" i="2" s="1"/>
  <c r="CT49" i="2" a="1"/>
  <c r="CT49" i="2" s="1"/>
  <c r="CV49" i="2" a="1"/>
  <c r="CV49" i="2" s="1"/>
  <c r="CT21" i="2" a="1"/>
  <c r="CT21" i="2" s="1"/>
  <c r="CU21" i="2" a="1"/>
  <c r="CU21" i="2" s="1"/>
  <c r="CT7" i="2" a="1"/>
  <c r="CT7" i="2" s="1"/>
  <c r="CU7" i="2" a="1"/>
  <c r="CU7" i="2" s="1"/>
  <c r="CV7" i="2" a="1"/>
  <c r="CV7" i="2" s="1"/>
  <c r="CT683" i="2" a="1"/>
  <c r="CT683" i="2" s="1"/>
  <c r="CV683" i="2" a="1"/>
  <c r="CV683" i="2" s="1"/>
  <c r="CT655" i="2" a="1"/>
  <c r="CT655" i="2" s="1"/>
  <c r="CU655" i="2" a="1"/>
  <c r="CU655" i="2" s="1"/>
  <c r="CV655" i="2" a="1"/>
  <c r="CV655" i="2" s="1"/>
  <c r="CT641" i="2" a="1"/>
  <c r="CT641" i="2" s="1"/>
  <c r="CU641" i="2" a="1"/>
  <c r="CU641" i="2" s="1"/>
  <c r="CT613" i="2" a="1"/>
  <c r="CT613" i="2" s="1"/>
  <c r="CU613" i="2" a="1"/>
  <c r="CU613" i="2" s="1"/>
  <c r="CV613" i="2" a="1"/>
  <c r="CV613" i="2" s="1"/>
  <c r="CT585" i="2" a="1"/>
  <c r="CT585" i="2" s="1"/>
  <c r="CU585" i="2" a="1"/>
  <c r="CU585" i="2" s="1"/>
  <c r="CV585" i="2" a="1"/>
  <c r="CV585" i="2" s="1"/>
  <c r="CT571" i="2" a="1"/>
  <c r="CT571" i="2" s="1"/>
  <c r="CU571" i="2" a="1"/>
  <c r="CU571" i="2" s="1"/>
  <c r="CV543" i="2" a="1"/>
  <c r="CV543" i="2" s="1"/>
  <c r="CU543" i="2" a="1"/>
  <c r="CU543" i="2" s="1"/>
  <c r="CT543" i="2" a="1"/>
  <c r="CT543" i="2" s="1"/>
  <c r="CT529" i="2" a="1"/>
  <c r="CT529" i="2" s="1"/>
  <c r="CU529" i="2" a="1"/>
  <c r="CU529" i="2" s="1"/>
  <c r="CV529" i="2" a="1"/>
  <c r="CV529" i="2" s="1"/>
  <c r="CT501" i="2" a="1"/>
  <c r="CT501" i="2" s="1"/>
  <c r="CU501" i="2" a="1"/>
  <c r="CU501" i="2" s="1"/>
  <c r="CT487" i="2" a="1"/>
  <c r="CT487" i="2" s="1"/>
  <c r="CU487" i="2" a="1"/>
  <c r="CU487" i="2" s="1"/>
  <c r="CT459" i="2" a="1"/>
  <c r="CT459" i="2" s="1"/>
  <c r="CU459" i="2" a="1"/>
  <c r="CU459" i="2" s="1"/>
  <c r="CT445" i="2" a="1"/>
  <c r="CT445" i="2" s="1"/>
  <c r="CU445" i="2" a="1"/>
  <c r="CU445" i="2" s="1"/>
  <c r="CV445" i="2" a="1"/>
  <c r="CV445" i="2" s="1"/>
  <c r="CT417" i="2" a="1"/>
  <c r="CT417" i="2" s="1"/>
  <c r="CU417" i="2" a="1"/>
  <c r="CU417" i="2" s="1"/>
  <c r="CT389" i="2" a="1"/>
  <c r="CT389" i="2" s="1"/>
  <c r="CV389" i="2" a="1"/>
  <c r="CV389" i="2" s="1"/>
  <c r="CU389" i="2" a="1"/>
  <c r="CU389" i="2" s="1"/>
  <c r="CT375" i="2" a="1"/>
  <c r="CT375" i="2" s="1"/>
  <c r="CU375" i="2" a="1"/>
  <c r="CU375" i="2" s="1"/>
  <c r="CT347" i="2" a="1"/>
  <c r="CT347" i="2" s="1"/>
  <c r="CU347" i="2" a="1"/>
  <c r="CU347" i="2" s="1"/>
  <c r="CT333" i="2" a="1"/>
  <c r="CT333" i="2" s="1"/>
  <c r="CU333" i="2" a="1"/>
  <c r="CU333" i="2" s="1"/>
  <c r="CU305" i="2" a="1"/>
  <c r="CU305" i="2" s="1"/>
  <c r="CT305" i="2" a="1"/>
  <c r="CT305" i="2" s="1"/>
  <c r="CV305" i="2" a="1"/>
  <c r="CV305" i="2" s="1"/>
  <c r="CU291" i="2" a="1"/>
  <c r="CU291" i="2" s="1"/>
  <c r="CT291" i="2" a="1"/>
  <c r="CT291" i="2" s="1"/>
  <c r="CV291" i="2" a="1"/>
  <c r="CV291" i="2" s="1"/>
  <c r="CT263" i="2" a="1"/>
  <c r="CT263" i="2" s="1"/>
  <c r="CU263" i="2" a="1"/>
  <c r="CU263" i="2" s="1"/>
  <c r="CV263" i="2" a="1"/>
  <c r="CV263" i="2" s="1"/>
  <c r="CT249" i="2" a="1"/>
  <c r="CT249" i="2" s="1"/>
  <c r="CU249" i="2" a="1"/>
  <c r="CU249" i="2" s="1"/>
  <c r="CV249" i="2" a="1"/>
  <c r="CV249" i="2" s="1"/>
  <c r="CT221" i="2" a="1"/>
  <c r="CT221" i="2" s="1"/>
  <c r="CU221" i="2" a="1"/>
  <c r="CU221" i="2" s="1"/>
  <c r="CV221" i="2" a="1"/>
  <c r="CV221" i="2" s="1"/>
  <c r="CT207" i="2" a="1"/>
  <c r="CT207" i="2" s="1"/>
  <c r="CU207" i="2" a="1"/>
  <c r="CU207" i="2" s="1"/>
  <c r="CV207" i="2" a="1"/>
  <c r="CV207" i="2" s="1"/>
  <c r="CT193" i="2" a="1"/>
  <c r="CT193" i="2" s="1"/>
  <c r="CV193" i="2" a="1"/>
  <c r="CV193" i="2" s="1"/>
  <c r="CU193" i="2" a="1"/>
  <c r="CU193" i="2" s="1"/>
  <c r="CT165" i="2" a="1"/>
  <c r="CT165" i="2" s="1"/>
  <c r="CU165" i="2" a="1"/>
  <c r="CU165" i="2" s="1"/>
  <c r="CV165" i="2" a="1"/>
  <c r="CV165" i="2" s="1"/>
  <c r="CU137" i="2" a="1"/>
  <c r="CU137" i="2" s="1"/>
  <c r="CT137" i="2" a="1"/>
  <c r="CT137" i="2" s="1"/>
  <c r="CV137" i="2" a="1"/>
  <c r="CV137" i="2" s="1"/>
  <c r="CT109" i="2" a="1"/>
  <c r="CT109" i="2" s="1"/>
  <c r="CU109" i="2" a="1"/>
  <c r="CU109" i="2" s="1"/>
  <c r="CV109" i="2" a="1"/>
  <c r="CV109" i="2" s="1"/>
  <c r="CT81" i="2" a="1"/>
  <c r="CT81" i="2" s="1"/>
  <c r="CU81" i="2" a="1"/>
  <c r="CU81" i="2" s="1"/>
  <c r="CT67" i="2" a="1"/>
  <c r="CT67" i="2" s="1"/>
  <c r="CV67" i="2" a="1"/>
  <c r="CV67" i="2" s="1"/>
  <c r="CU67" i="2" a="1"/>
  <c r="CU67" i="2" s="1"/>
  <c r="CT39" i="2" a="1"/>
  <c r="CT39" i="2" s="1"/>
  <c r="CU39" i="2" a="1"/>
  <c r="CU39" i="2" s="1"/>
  <c r="CV39" i="2" a="1"/>
  <c r="CV39" i="2" s="1"/>
  <c r="CT11" i="2" a="1"/>
  <c r="CT11" i="2" s="1"/>
  <c r="CU11" i="2" a="1"/>
  <c r="CU11" i="2" s="1"/>
  <c r="CV11" i="2" a="1"/>
  <c r="CV11" i="2" s="1"/>
  <c r="CV641" i="2" a="1"/>
  <c r="CV641" i="2" s="1"/>
  <c r="CV501" i="2" a="1"/>
  <c r="CV501" i="2" s="1"/>
  <c r="CV147" i="2" a="1"/>
  <c r="CV147" i="2" s="1"/>
  <c r="CV77" i="2" a="1"/>
  <c r="CV77" i="2" s="1"/>
  <c r="CV458" i="2" a="1"/>
  <c r="CV458" i="2" s="1"/>
  <c r="CV192" i="2" a="1"/>
  <c r="CV192" i="2" s="1"/>
  <c r="CU672" i="2" a="1"/>
  <c r="CU672" i="2" s="1"/>
  <c r="CV336" i="2" a="1"/>
  <c r="CV336" i="2" s="1"/>
  <c r="CV210" i="2" a="1"/>
  <c r="CV210" i="2" s="1"/>
  <c r="CV126" i="2" a="1"/>
  <c r="CV126" i="2" s="1"/>
  <c r="CV662" i="2" a="1"/>
  <c r="CV662" i="2" s="1"/>
  <c r="CV564" i="2" a="1"/>
  <c r="CV564" i="2" s="1"/>
  <c r="CV508" i="2" a="1"/>
  <c r="CV508" i="2" s="1"/>
  <c r="CV256" i="2" a="1"/>
  <c r="CV256" i="2" s="1"/>
  <c r="CV214" i="2" a="1"/>
  <c r="CV214" i="2" s="1"/>
  <c r="CV172" i="2" a="1"/>
  <c r="CV172" i="2" s="1"/>
  <c r="CV102" i="2" a="1"/>
  <c r="CV102" i="2" s="1"/>
  <c r="CU680" i="2" a="1"/>
  <c r="CU680" i="2" s="1"/>
  <c r="CU666" i="2" a="1"/>
  <c r="CU666" i="2" s="1"/>
  <c r="CV666" i="2" a="1"/>
  <c r="CV666" i="2" s="1"/>
  <c r="CU582" i="2" a="1"/>
  <c r="CU582" i="2" s="1"/>
  <c r="CT568" i="2" a="1"/>
  <c r="CT568" i="2" s="1"/>
  <c r="CV568" i="2" a="1"/>
  <c r="CV568" i="2" s="1"/>
  <c r="CU414" i="2" a="1"/>
  <c r="CU414" i="2" s="1"/>
  <c r="CU330" i="2" a="1"/>
  <c r="CU330" i="2" s="1"/>
  <c r="CV288" i="2" a="1"/>
  <c r="CV288" i="2" s="1"/>
  <c r="CV260" i="2" a="1"/>
  <c r="CV260" i="2" s="1"/>
  <c r="CV232" i="2" a="1"/>
  <c r="CV232" i="2" s="1"/>
  <c r="CU204" i="2" a="1"/>
  <c r="CU204" i="2" s="1"/>
  <c r="CV204" i="2" a="1"/>
  <c r="CV204" i="2" s="1"/>
  <c r="CV190" i="2" a="1"/>
  <c r="CV190" i="2" s="1"/>
  <c r="CV120" i="2" a="1"/>
  <c r="CV120" i="2" s="1"/>
  <c r="CV78" i="2" a="1"/>
  <c r="CV78" i="2" s="1"/>
  <c r="CU36" i="2" a="1"/>
  <c r="CU36" i="2" s="1"/>
  <c r="CT22" i="2" a="1"/>
  <c r="CT22" i="2" s="1"/>
  <c r="CV22" i="2" a="1"/>
  <c r="CV22" i="2" s="1"/>
  <c r="CU446" i="2" a="1"/>
  <c r="CU446" i="2" s="1"/>
  <c r="CU432" i="2" a="1"/>
  <c r="CU432" i="2" s="1"/>
  <c r="CV432" i="2" a="1"/>
  <c r="CV432" i="2" s="1"/>
  <c r="CU418" i="2" a="1"/>
  <c r="CU418" i="2" s="1"/>
  <c r="CV418" i="2" a="1"/>
  <c r="CV418" i="2" s="1"/>
  <c r="CU152" i="2" a="1"/>
  <c r="CU152" i="2" s="1"/>
  <c r="CU26" i="2" a="1"/>
  <c r="CU26" i="2" s="1"/>
  <c r="CU12" i="2" a="1"/>
  <c r="CU12" i="2" s="1"/>
  <c r="CT12" i="2" a="1"/>
  <c r="CT12" i="2" s="1"/>
  <c r="CT688" i="2" a="1"/>
  <c r="CT688" i="2" s="1"/>
  <c r="CU688" i="2" a="1"/>
  <c r="CU688" i="2" s="1"/>
  <c r="CV688" i="2" a="1"/>
  <c r="CV688" i="2" s="1"/>
  <c r="CT674" i="2" a="1"/>
  <c r="CT674" i="2" s="1"/>
  <c r="CU674" i="2" a="1"/>
  <c r="CU674" i="2" s="1"/>
  <c r="CU660" i="2" a="1"/>
  <c r="CU660" i="2" s="1"/>
  <c r="CT660" i="2" a="1"/>
  <c r="CT660" i="2" s="1"/>
  <c r="CV660" i="2" a="1"/>
  <c r="CV660" i="2" s="1"/>
  <c r="CT646" i="2" a="1"/>
  <c r="CT646" i="2" s="1"/>
  <c r="CU646" i="2" a="1"/>
  <c r="CU646" i="2" s="1"/>
  <c r="CT478" i="2" a="1"/>
  <c r="CT478" i="2" s="1"/>
  <c r="CU478" i="2" a="1"/>
  <c r="CU478" i="2" s="1"/>
  <c r="CU226" i="2" a="1"/>
  <c r="CU226" i="2" s="1"/>
  <c r="CU594" i="2" a="1"/>
  <c r="CU594" i="2" s="1"/>
  <c r="CV496" i="2" a="1"/>
  <c r="CV496" i="2" s="1"/>
  <c r="CU440" i="2" a="1"/>
  <c r="CU440" i="2" s="1"/>
  <c r="CV160" i="2" a="1"/>
  <c r="CV160" i="2" s="1"/>
  <c r="CU640" i="2" a="1"/>
  <c r="CU640" i="2" s="1"/>
  <c r="CV584" i="2" a="1"/>
  <c r="CV584" i="2" s="1"/>
  <c r="CU528" i="2" a="1"/>
  <c r="CU528" i="2" s="1"/>
  <c r="CU514" i="2" a="1"/>
  <c r="CU514" i="2" s="1"/>
  <c r="CV444" i="2" a="1"/>
  <c r="CV444" i="2" s="1"/>
  <c r="CV402" i="2" a="1"/>
  <c r="CV402" i="2" s="1"/>
  <c r="CV374" i="2" a="1"/>
  <c r="CV374" i="2" s="1"/>
  <c r="CU332" i="2" a="1"/>
  <c r="CU332" i="2" s="1"/>
  <c r="CV178" i="2" a="1"/>
  <c r="CV178" i="2" s="1"/>
  <c r="CV38" i="2" a="1"/>
  <c r="CV38" i="2" s="1"/>
  <c r="CU630" i="2" a="1"/>
  <c r="CU630" i="2" s="1"/>
  <c r="CU392" i="2" a="1"/>
  <c r="CU392" i="2" s="1"/>
  <c r="CU368" i="2" a="1"/>
  <c r="CU368" i="2" s="1"/>
  <c r="CV333" i="2" a="1"/>
  <c r="CV333" i="2" s="1"/>
  <c r="CV665" i="2" a="1"/>
  <c r="CV665" i="2" s="1"/>
  <c r="CV528" i="2" a="1"/>
  <c r="CV528" i="2" s="1"/>
  <c r="CV94" i="2" a="1"/>
  <c r="CV94" i="2" s="1"/>
  <c r="CV686" i="2" a="1"/>
  <c r="CV686" i="2" s="1"/>
  <c r="CV560" i="2" a="1"/>
  <c r="CV560" i="2" s="1"/>
  <c r="CV364" i="2" a="1"/>
  <c r="CV364" i="2" s="1"/>
  <c r="CV322" i="2" a="1"/>
  <c r="CV322" i="2" s="1"/>
  <c r="CV70" i="2" a="1"/>
  <c r="CV70" i="2" s="1"/>
  <c r="CV606" i="2" a="1"/>
  <c r="CV606" i="2" s="1"/>
  <c r="CV550" i="2" a="1"/>
  <c r="CV550" i="2" s="1"/>
  <c r="CV396" i="2" a="1"/>
  <c r="CV396" i="2" s="1"/>
  <c r="CV284" i="2" a="1"/>
  <c r="CV284" i="2" s="1"/>
  <c r="CV228" i="2" a="1"/>
  <c r="CV228" i="2" s="1"/>
  <c r="CV186" i="2" a="1"/>
  <c r="CV186" i="2" s="1"/>
  <c r="CV74" i="2" a="1"/>
  <c r="CV74" i="2" s="1"/>
  <c r="CV32" i="2" a="1"/>
  <c r="CV32" i="2" s="1"/>
  <c r="CV18" i="2" a="1"/>
  <c r="CV18" i="2" s="1"/>
  <c r="CU18" i="2" a="1"/>
  <c r="CU18" i="2" s="1"/>
  <c r="CU694" i="2" a="1"/>
  <c r="CU694" i="2" s="1"/>
  <c r="CV694" i="2" a="1"/>
  <c r="CV694" i="2" s="1"/>
  <c r="CU624" i="2" a="1"/>
  <c r="CU624" i="2" s="1"/>
  <c r="CU526" i="2" a="1"/>
  <c r="CU526" i="2" s="1"/>
  <c r="CU512" i="2" a="1"/>
  <c r="CU512" i="2" s="1"/>
  <c r="CV512" i="2" a="1"/>
  <c r="CV512" i="2" s="1"/>
  <c r="CU400" i="2" a="1"/>
  <c r="CU400" i="2" s="1"/>
  <c r="CU372" i="2" a="1"/>
  <c r="CU372" i="2" s="1"/>
  <c r="CV372" i="2" a="1"/>
  <c r="CV372" i="2" s="1"/>
  <c r="CU316" i="2" a="1"/>
  <c r="CU316" i="2" s="1"/>
  <c r="CU302" i="2" a="1"/>
  <c r="CU302" i="2" s="1"/>
  <c r="CV302" i="2" a="1"/>
  <c r="CV302" i="2" s="1"/>
  <c r="CV274" i="2" a="1"/>
  <c r="CV274" i="2" s="1"/>
  <c r="CU176" i="2" a="1"/>
  <c r="CU176" i="2" s="1"/>
  <c r="CU50" i="2" a="1"/>
  <c r="CU50" i="2" s="1"/>
  <c r="CU656" i="2" a="1"/>
  <c r="CU656" i="2" s="1"/>
  <c r="CU586" i="2" a="1"/>
  <c r="CU586" i="2" s="1"/>
  <c r="CV586" i="2" a="1"/>
  <c r="CV586" i="2" s="1"/>
  <c r="CU390" i="2" a="1"/>
  <c r="CU390" i="2" s="1"/>
  <c r="CV250" i="2" a="1"/>
  <c r="CV250" i="2" s="1"/>
  <c r="CU222" i="2" a="1"/>
  <c r="CU222" i="2" s="1"/>
  <c r="CV222" i="2" a="1"/>
  <c r="CV222" i="2" s="1"/>
  <c r="CU208" i="2" a="1"/>
  <c r="CU208" i="2" s="1"/>
  <c r="CV208" i="2" a="1"/>
  <c r="CV208" i="2" s="1"/>
  <c r="CV194" i="2" a="1"/>
  <c r="CV194" i="2" s="1"/>
  <c r="CU194" i="2" a="1"/>
  <c r="CU194" i="2" s="1"/>
  <c r="CT166" i="2" a="1"/>
  <c r="CT166" i="2" s="1"/>
  <c r="CU166" i="2" a="1"/>
  <c r="CU166" i="2" s="1"/>
  <c r="CU96" i="2" a="1"/>
  <c r="CU96" i="2" s="1"/>
  <c r="CU82" i="2" a="1"/>
  <c r="CU82" i="2" s="1"/>
  <c r="CV82" i="2" a="1"/>
  <c r="CV82" i="2" s="1"/>
  <c r="CT68" i="2" a="1"/>
  <c r="CT68" i="2" s="1"/>
  <c r="CV68" i="2" a="1"/>
  <c r="CV68" i="2" s="1"/>
  <c r="CU68" i="2" a="1"/>
  <c r="CU68" i="2" s="1"/>
  <c r="CT54" i="2" a="1"/>
  <c r="CT54" i="2" s="1"/>
  <c r="CU54" i="2" a="1"/>
  <c r="CU54" i="2" s="1"/>
  <c r="CV54" i="2" a="1"/>
  <c r="CV54" i="2" s="1"/>
  <c r="CU40" i="2" a="1"/>
  <c r="CU40" i="2" s="1"/>
  <c r="CV40" i="2" a="1"/>
  <c r="CV40" i="2" s="1"/>
  <c r="CT40" i="2" a="1"/>
  <c r="CT40" i="2" s="1"/>
  <c r="CV702" i="2" a="1"/>
  <c r="CV702" i="2" s="1"/>
  <c r="CT702" i="2" a="1"/>
  <c r="CT702" i="2" s="1"/>
  <c r="CU324" i="2" a="1"/>
  <c r="CU324" i="2" s="1"/>
  <c r="CU240" i="2" a="1"/>
  <c r="CU240" i="2" s="1"/>
  <c r="CV240" i="2" a="1"/>
  <c r="CV240" i="2" s="1"/>
  <c r="CV58" i="2" a="1"/>
  <c r="CV58" i="2" s="1"/>
  <c r="CV608" i="2" a="1"/>
  <c r="CV608" i="2" s="1"/>
  <c r="CV176" i="2" a="1"/>
  <c r="CV176" i="2" s="1"/>
  <c r="CU693" i="2" a="1"/>
  <c r="CU693" i="2" s="1"/>
  <c r="CU186" i="2" a="1"/>
  <c r="CU186" i="2" s="1"/>
  <c r="CV469" i="2" a="1"/>
  <c r="CV469" i="2" s="1"/>
  <c r="CV375" i="2" a="1"/>
  <c r="CV375" i="2" s="1"/>
  <c r="CV136" i="2" a="1"/>
  <c r="CV136" i="2" s="1"/>
  <c r="CV24" i="2" a="1"/>
  <c r="CV24" i="2" s="1"/>
  <c r="CU700" i="2" a="1"/>
  <c r="CU700" i="2" s="1"/>
  <c r="CV700" i="2" a="1"/>
  <c r="CV700" i="2" s="1"/>
  <c r="CV658" i="2" a="1"/>
  <c r="CV658" i="2" s="1"/>
  <c r="CV406" i="2" a="1"/>
  <c r="CV406" i="2" s="1"/>
  <c r="CV350" i="2" a="1"/>
  <c r="CV350" i="2" s="1"/>
  <c r="CV224" i="2" a="1"/>
  <c r="CV224" i="2" s="1"/>
  <c r="CU676" i="2" a="1"/>
  <c r="CU676" i="2" s="1"/>
  <c r="CT438" i="2" a="1"/>
  <c r="CT438" i="2" s="1"/>
  <c r="CV200" i="2" a="1"/>
  <c r="CV200" i="2" s="1"/>
  <c r="CV130" i="2" a="1"/>
  <c r="CV130" i="2" s="1"/>
  <c r="CV88" i="2" a="1"/>
  <c r="CV88" i="2" s="1"/>
  <c r="CV4" i="2" a="1"/>
  <c r="CV4" i="2" s="1"/>
  <c r="CU638" i="2" a="1"/>
  <c r="CU638" i="2" s="1"/>
  <c r="CV610" i="2" a="1"/>
  <c r="CV610" i="2" s="1"/>
  <c r="CU596" i="2" a="1"/>
  <c r="CU596" i="2" s="1"/>
  <c r="CV596" i="2" a="1"/>
  <c r="CV596" i="2" s="1"/>
  <c r="CU498" i="2" a="1"/>
  <c r="CU498" i="2" s="1"/>
  <c r="CU484" i="2" a="1"/>
  <c r="CU484" i="2" s="1"/>
  <c r="CV484" i="2" a="1"/>
  <c r="CV484" i="2" s="1"/>
  <c r="CU470" i="2" a="1"/>
  <c r="CU470" i="2" s="1"/>
  <c r="CV470" i="2" a="1"/>
  <c r="CV470" i="2" s="1"/>
  <c r="CT442" i="2" a="1"/>
  <c r="CT442" i="2" s="1"/>
  <c r="CU442" i="2" a="1"/>
  <c r="CU442" i="2" s="1"/>
  <c r="CV442" i="2" a="1"/>
  <c r="CV442" i="2" s="1"/>
  <c r="CV358" i="2" a="1"/>
  <c r="CV358" i="2" s="1"/>
  <c r="CV344" i="2" a="1"/>
  <c r="CV344" i="2" s="1"/>
  <c r="CU246" i="2" a="1"/>
  <c r="CU246" i="2" s="1"/>
  <c r="CU106" i="2" a="1"/>
  <c r="CU106" i="2" s="1"/>
  <c r="CV64" i="2" a="1"/>
  <c r="CV64" i="2" s="1"/>
  <c r="CU698" i="2" a="1"/>
  <c r="CU698" i="2" s="1"/>
  <c r="CV684" i="2" a="1"/>
  <c r="CV684" i="2" s="1"/>
  <c r="CU684" i="2" a="1"/>
  <c r="CU684" i="2" s="1"/>
  <c r="CU670" i="2" a="1"/>
  <c r="CU670" i="2" s="1"/>
  <c r="CV670" i="2" a="1"/>
  <c r="CV670" i="2" s="1"/>
  <c r="CU642" i="2" a="1"/>
  <c r="CU642" i="2" s="1"/>
  <c r="CV642" i="2" a="1"/>
  <c r="CV642" i="2" s="1"/>
  <c r="CV628" i="2" a="1"/>
  <c r="CV628" i="2" s="1"/>
  <c r="CU628" i="2" a="1"/>
  <c r="CU628" i="2" s="1"/>
  <c r="CU614" i="2" a="1"/>
  <c r="CU614" i="2" s="1"/>
  <c r="CV614" i="2" a="1"/>
  <c r="CV614" i="2" s="1"/>
  <c r="CT600" i="2" a="1"/>
  <c r="CT600" i="2" s="1"/>
  <c r="CV600" i="2" a="1"/>
  <c r="CV600" i="2" s="1"/>
  <c r="CU572" i="2" a="1"/>
  <c r="CU572" i="2" s="1"/>
  <c r="CV572" i="2" a="1"/>
  <c r="CV572" i="2" s="1"/>
  <c r="CV544" i="2" a="1"/>
  <c r="CV544" i="2" s="1"/>
  <c r="CT530" i="2" a="1"/>
  <c r="CT530" i="2" s="1"/>
  <c r="CU530" i="2" a="1"/>
  <c r="CU530" i="2" s="1"/>
  <c r="CU516" i="2" a="1"/>
  <c r="CU516" i="2" s="1"/>
  <c r="CV516" i="2" a="1"/>
  <c r="CV516" i="2" s="1"/>
  <c r="CV502" i="2" a="1"/>
  <c r="CV502" i="2" s="1"/>
  <c r="CU502" i="2" a="1"/>
  <c r="CU502" i="2" s="1"/>
  <c r="CU488" i="2" a="1"/>
  <c r="CU488" i="2" s="1"/>
  <c r="CV488" i="2" a="1"/>
  <c r="CV488" i="2" s="1"/>
  <c r="CV474" i="2" a="1"/>
  <c r="CV474" i="2" s="1"/>
  <c r="CU474" i="2" a="1"/>
  <c r="CU474" i="2" s="1"/>
  <c r="CT460" i="2" a="1"/>
  <c r="CT460" i="2" s="1"/>
  <c r="CU460" i="2" a="1"/>
  <c r="CU460" i="2" s="1"/>
  <c r="CV460" i="2" a="1"/>
  <c r="CV460" i="2" s="1"/>
  <c r="CV404" i="2" a="1"/>
  <c r="CV404" i="2" s="1"/>
  <c r="CU376" i="2" a="1"/>
  <c r="CU376" i="2" s="1"/>
  <c r="CV376" i="2" a="1"/>
  <c r="CV376" i="2" s="1"/>
  <c r="CV362" i="2" a="1"/>
  <c r="CV362" i="2" s="1"/>
  <c r="CU362" i="2" a="1"/>
  <c r="CU362" i="2" s="1"/>
  <c r="CT362" i="2" a="1"/>
  <c r="CT362" i="2" s="1"/>
  <c r="CU348" i="2" a="1"/>
  <c r="CU348" i="2" s="1"/>
  <c r="CV348" i="2" a="1"/>
  <c r="CV348" i="2" s="1"/>
  <c r="CV334" i="2" a="1"/>
  <c r="CV334" i="2" s="1"/>
  <c r="CU334" i="2" a="1"/>
  <c r="CU334" i="2" s="1"/>
  <c r="CT334" i="2" a="1"/>
  <c r="CT334" i="2" s="1"/>
  <c r="CT320" i="2" a="1"/>
  <c r="CT320" i="2" s="1"/>
  <c r="CU320" i="2" a="1"/>
  <c r="CU320" i="2" s="1"/>
  <c r="CU306" i="2" a="1"/>
  <c r="CU306" i="2" s="1"/>
  <c r="CV306" i="2" a="1"/>
  <c r="CV306" i="2" s="1"/>
  <c r="CU292" i="2" a="1"/>
  <c r="CU292" i="2" s="1"/>
  <c r="CV292" i="2" a="1"/>
  <c r="CV292" i="2" s="1"/>
  <c r="CV278" i="2" a="1"/>
  <c r="CV278" i="2" s="1"/>
  <c r="CU278" i="2" a="1"/>
  <c r="CU278" i="2" s="1"/>
  <c r="CU264" i="2" a="1"/>
  <c r="CU264" i="2" s="1"/>
  <c r="CV264" i="2" a="1"/>
  <c r="CV264" i="2" s="1"/>
  <c r="CV236" i="2" a="1"/>
  <c r="CV236" i="2" s="1"/>
  <c r="CU236" i="2" a="1"/>
  <c r="CU236" i="2" s="1"/>
  <c r="CU138" i="2" a="1"/>
  <c r="CU138" i="2" s="1"/>
  <c r="CT124" i="2" a="1"/>
  <c r="CT124" i="2" s="1"/>
  <c r="CV124" i="2" a="1"/>
  <c r="CV124" i="2" s="1"/>
  <c r="CU124" i="2" a="1"/>
  <c r="CU124" i="2" s="1"/>
  <c r="CU110" i="2" a="1"/>
  <c r="CU110" i="2" s="1"/>
  <c r="CV110" i="2" a="1"/>
  <c r="CV110" i="2" s="1"/>
  <c r="CT632" i="2" a="1"/>
  <c r="CT632" i="2" s="1"/>
  <c r="CT618" i="2" a="1"/>
  <c r="CT618" i="2" s="1"/>
  <c r="CU618" i="2" a="1"/>
  <c r="CU618" i="2" s="1"/>
  <c r="CV604" i="2" a="1"/>
  <c r="CV604" i="2" s="1"/>
  <c r="CT604" i="2" a="1"/>
  <c r="CT604" i="2" s="1"/>
  <c r="CU604" i="2" a="1"/>
  <c r="CU604" i="2" s="1"/>
  <c r="CT590" i="2" a="1"/>
  <c r="CT590" i="2" s="1"/>
  <c r="CU590" i="2" a="1"/>
  <c r="CU590" i="2" s="1"/>
  <c r="CV590" i="2" a="1"/>
  <c r="CV590" i="2" s="1"/>
  <c r="CT576" i="2" a="1"/>
  <c r="CT576" i="2" s="1"/>
  <c r="CU576" i="2" a="1"/>
  <c r="CU576" i="2" s="1"/>
  <c r="CT562" i="2" a="1"/>
  <c r="CT562" i="2" s="1"/>
  <c r="CU562" i="2" a="1"/>
  <c r="CU562" i="2" s="1"/>
  <c r="CT548" i="2" a="1"/>
  <c r="CT548" i="2" s="1"/>
  <c r="CU548" i="2" a="1"/>
  <c r="CU548" i="2" s="1"/>
  <c r="CV548" i="2" a="1"/>
  <c r="CV548" i="2" s="1"/>
  <c r="CT534" i="2" a="1"/>
  <c r="CT534" i="2" s="1"/>
  <c r="CU534" i="2" a="1"/>
  <c r="CU534" i="2" s="1"/>
  <c r="CV534" i="2" a="1"/>
  <c r="CV534" i="2" s="1"/>
  <c r="CT520" i="2" a="1"/>
  <c r="CT520" i="2" s="1"/>
  <c r="CU520" i="2" a="1"/>
  <c r="CU520" i="2" s="1"/>
  <c r="CV506" i="2" a="1"/>
  <c r="CV506" i="2" s="1"/>
  <c r="CT506" i="2" a="1"/>
  <c r="CT506" i="2" s="1"/>
  <c r="CU506" i="2" a="1"/>
  <c r="CU506" i="2" s="1"/>
  <c r="CT492" i="2" a="1"/>
  <c r="CT492" i="2" s="1"/>
  <c r="CV492" i="2" a="1"/>
  <c r="CV492" i="2" s="1"/>
  <c r="CT464" i="2" a="1"/>
  <c r="CT464" i="2" s="1"/>
  <c r="CU464" i="2" a="1"/>
  <c r="CU464" i="2" s="1"/>
  <c r="CV464" i="2" a="1"/>
  <c r="CV464" i="2" s="1"/>
  <c r="CT450" i="2" a="1"/>
  <c r="CT450" i="2" s="1"/>
  <c r="CU450" i="2" a="1"/>
  <c r="CU450" i="2" s="1"/>
  <c r="CV450" i="2" a="1"/>
  <c r="CV450" i="2" s="1"/>
  <c r="CT436" i="2" a="1"/>
  <c r="CT436" i="2" s="1"/>
  <c r="CU436" i="2" a="1"/>
  <c r="CU436" i="2" s="1"/>
  <c r="CU422" i="2" a="1"/>
  <c r="CU422" i="2" s="1"/>
  <c r="CV422" i="2" a="1"/>
  <c r="CV422" i="2" s="1"/>
  <c r="CV408" i="2" a="1"/>
  <c r="CV408" i="2" s="1"/>
  <c r="CT408" i="2" a="1"/>
  <c r="CT408" i="2" s="1"/>
  <c r="CU408" i="2" a="1"/>
  <c r="CU408" i="2" s="1"/>
  <c r="CT394" i="2" a="1"/>
  <c r="CT394" i="2" s="1"/>
  <c r="CU394" i="2" a="1"/>
  <c r="CU394" i="2" s="1"/>
  <c r="CV394" i="2" a="1"/>
  <c r="CV394" i="2" s="1"/>
  <c r="CT380" i="2" a="1"/>
  <c r="CT380" i="2" s="1"/>
  <c r="CU380" i="2" a="1"/>
  <c r="CU380" i="2" s="1"/>
  <c r="CV380" i="2" a="1"/>
  <c r="CV380" i="2" s="1"/>
  <c r="CT366" i="2" a="1"/>
  <c r="CT366" i="2" s="1"/>
  <c r="CU366" i="2" a="1"/>
  <c r="CU366" i="2" s="1"/>
  <c r="CV366" i="2" a="1"/>
  <c r="CV366" i="2" s="1"/>
  <c r="CU352" i="2" a="1"/>
  <c r="CU352" i="2" s="1"/>
  <c r="CT352" i="2" a="1"/>
  <c r="CT352" i="2" s="1"/>
  <c r="CV352" i="2" a="1"/>
  <c r="CV352" i="2" s="1"/>
  <c r="CT338" i="2" a="1"/>
  <c r="CT338" i="2" s="1"/>
  <c r="CU338" i="2" a="1"/>
  <c r="CU338" i="2" s="1"/>
  <c r="CV338" i="2" a="1"/>
  <c r="CV338" i="2" s="1"/>
  <c r="CV310" i="2" a="1"/>
  <c r="CV310" i="2" s="1"/>
  <c r="CT310" i="2" a="1"/>
  <c r="CT310" i="2" s="1"/>
  <c r="CV296" i="2" a="1"/>
  <c r="CV296" i="2" s="1"/>
  <c r="CT296" i="2" a="1"/>
  <c r="CT296" i="2" s="1"/>
  <c r="CU282" i="2" a="1"/>
  <c r="CU282" i="2" s="1"/>
  <c r="CT282" i="2" a="1"/>
  <c r="CT282" i="2" s="1"/>
  <c r="CV282" i="2" a="1"/>
  <c r="CV282" i="2" s="1"/>
  <c r="CT268" i="2" a="1"/>
  <c r="CT268" i="2" s="1"/>
  <c r="CU268" i="2" a="1"/>
  <c r="CU268" i="2" s="1"/>
  <c r="CV268" i="2" a="1"/>
  <c r="CV268" i="2" s="1"/>
  <c r="CT254" i="2" a="1"/>
  <c r="CT254" i="2" s="1"/>
  <c r="CV254" i="2" a="1"/>
  <c r="CV254" i="2" s="1"/>
  <c r="CU254" i="2" a="1"/>
  <c r="CU254" i="2" s="1"/>
  <c r="CV86" i="2" a="1"/>
  <c r="CV86" i="2" s="1"/>
  <c r="CV44" i="2" a="1"/>
  <c r="CV44" i="2" s="1"/>
  <c r="CV650" i="2" a="1"/>
  <c r="CV650" i="2" s="1"/>
  <c r="CV580" i="2" a="1"/>
  <c r="CV580" i="2" s="1"/>
  <c r="CV510" i="2" a="1"/>
  <c r="CV510" i="2" s="1"/>
  <c r="CV454" i="2" a="1"/>
  <c r="CV454" i="2" s="1"/>
  <c r="CU202" i="2" a="1"/>
  <c r="CU202" i="2" s="1"/>
  <c r="CV146" i="2" a="1"/>
  <c r="CV146" i="2" s="1"/>
  <c r="CV118" i="2" a="1"/>
  <c r="CV118" i="2" s="1"/>
  <c r="CV90" i="2" a="1"/>
  <c r="CV90" i="2" s="1"/>
  <c r="CV598" i="2" a="1"/>
  <c r="CV598" i="2" s="1"/>
  <c r="CU570" i="2" a="1"/>
  <c r="CU570" i="2" s="1"/>
  <c r="CV498" i="2" a="1"/>
  <c r="CV498" i="2" s="1"/>
  <c r="CU632" i="2" a="1"/>
  <c r="CU632" i="2" s="1"/>
  <c r="CV609" i="2" a="1"/>
  <c r="CV609" i="2" s="1"/>
  <c r="CV105" i="2" a="1"/>
  <c r="CV105" i="2" s="1"/>
  <c r="CV26" i="2" a="1"/>
  <c r="CV26" i="2" s="1"/>
  <c r="CU310" i="2" a="1"/>
  <c r="CU310" i="2" s="1"/>
  <c r="CT483" i="2" a="1"/>
  <c r="CT483" i="2" s="1"/>
  <c r="CV594" i="2" a="1"/>
  <c r="CV594" i="2" s="1"/>
  <c r="CU687" i="2" a="1"/>
  <c r="CU687" i="2" s="1"/>
  <c r="CT645" i="2" a="1"/>
  <c r="CT645" i="2" s="1"/>
  <c r="CU491" i="2" a="1"/>
  <c r="CU491" i="2" s="1"/>
  <c r="CU184" i="2" a="1"/>
  <c r="CU184" i="2" s="1"/>
  <c r="CT170" i="2" a="1"/>
  <c r="CT170" i="2" s="1"/>
  <c r="CU170" i="2" a="1"/>
  <c r="CU170" i="2" s="1"/>
  <c r="CU156" i="2" a="1"/>
  <c r="CU156" i="2" s="1"/>
  <c r="CV142" i="2" a="1"/>
  <c r="CV142" i="2" s="1"/>
  <c r="CT142" i="2" a="1"/>
  <c r="CT142" i="2" s="1"/>
  <c r="CU142" i="2" a="1"/>
  <c r="CU142" i="2" s="1"/>
  <c r="CV114" i="2" a="1"/>
  <c r="CV114" i="2" s="1"/>
  <c r="CT100" i="2" a="1"/>
  <c r="CT100" i="2" s="1"/>
  <c r="CV100" i="2" a="1"/>
  <c r="CV100" i="2" s="1"/>
  <c r="CU100" i="2" a="1"/>
  <c r="CU100" i="2" s="1"/>
  <c r="CU58" i="2" a="1"/>
  <c r="CU58" i="2" s="1"/>
  <c r="CT44" i="2" a="1"/>
  <c r="CT44" i="2" s="1"/>
  <c r="CU44" i="2" a="1"/>
  <c r="CU44" i="2" s="1"/>
  <c r="CT30" i="2" a="1"/>
  <c r="CT30" i="2" s="1"/>
  <c r="CU30" i="2" a="1"/>
  <c r="CU30" i="2" s="1"/>
  <c r="CV30" i="2" a="1"/>
  <c r="CV30" i="2" s="1"/>
  <c r="CV16" i="2" a="1"/>
  <c r="CV16" i="2" s="1"/>
  <c r="CT16" i="2" a="1"/>
  <c r="CT16" i="2" s="1"/>
  <c r="CU16" i="2" a="1"/>
  <c r="CU16" i="2" s="1"/>
  <c r="CU2" i="2" a="1"/>
  <c r="CU2" i="2" s="1"/>
  <c r="CV2" i="2" a="1"/>
  <c r="CV2" i="2" s="1"/>
  <c r="CT692" i="2" a="1"/>
  <c r="CT692" i="2" s="1"/>
  <c r="CV692" i="2" a="1"/>
  <c r="CV692" i="2" s="1"/>
  <c r="CU692" i="2" a="1"/>
  <c r="CU692" i="2" s="1"/>
  <c r="CT678" i="2" a="1"/>
  <c r="CT678" i="2" s="1"/>
  <c r="CU678" i="2" a="1"/>
  <c r="CU678" i="2" s="1"/>
  <c r="CV678" i="2" a="1"/>
  <c r="CV678" i="2" s="1"/>
  <c r="CV664" i="2" a="1"/>
  <c r="CV664" i="2" s="1"/>
  <c r="CU664" i="2" a="1"/>
  <c r="CU664" i="2" s="1"/>
  <c r="CT650" i="2" a="1"/>
  <c r="CT650" i="2" s="1"/>
  <c r="CU650" i="2" a="1"/>
  <c r="CU650" i="2" s="1"/>
  <c r="CT636" i="2" a="1"/>
  <c r="CT636" i="2" s="1"/>
  <c r="CU636" i="2" a="1"/>
  <c r="CU636" i="2" s="1"/>
  <c r="CV636" i="2" a="1"/>
  <c r="CV636" i="2" s="1"/>
  <c r="CU622" i="2" a="1"/>
  <c r="CU622" i="2" s="1"/>
  <c r="CT622" i="2" a="1"/>
  <c r="CT622" i="2" s="1"/>
  <c r="CT608" i="2" a="1"/>
  <c r="CT608" i="2" s="1"/>
  <c r="CU608" i="2" a="1"/>
  <c r="CU608" i="2" s="1"/>
  <c r="CT580" i="2" a="1"/>
  <c r="CT580" i="2" s="1"/>
  <c r="CV566" i="2" a="1"/>
  <c r="CV566" i="2" s="1"/>
  <c r="CT566" i="2" a="1"/>
  <c r="CT566" i="2" s="1"/>
  <c r="CU566" i="2" a="1"/>
  <c r="CU566" i="2" s="1"/>
  <c r="CT552" i="2" a="1"/>
  <c r="CT552" i="2" s="1"/>
  <c r="CU552" i="2" a="1"/>
  <c r="CU552" i="2" s="1"/>
  <c r="CV552" i="2" a="1"/>
  <c r="CV552" i="2" s="1"/>
  <c r="CV538" i="2" a="1"/>
  <c r="CV538" i="2" s="1"/>
  <c r="CU538" i="2" a="1"/>
  <c r="CU538" i="2" s="1"/>
  <c r="CT538" i="2" a="1"/>
  <c r="CT538" i="2" s="1"/>
  <c r="CU524" i="2" a="1"/>
  <c r="CU524" i="2" s="1"/>
  <c r="CT524" i="2" a="1"/>
  <c r="CT524" i="2" s="1"/>
  <c r="CT510" i="2" a="1"/>
  <c r="CT510" i="2" s="1"/>
  <c r="CU510" i="2" a="1"/>
  <c r="CU510" i="2" s="1"/>
  <c r="CT496" i="2" a="1"/>
  <c r="CT496" i="2" s="1"/>
  <c r="CU496" i="2" a="1"/>
  <c r="CU496" i="2" s="1"/>
  <c r="CT482" i="2" a="1"/>
  <c r="CT482" i="2" s="1"/>
  <c r="CV482" i="2" a="1"/>
  <c r="CV482" i="2" s="1"/>
  <c r="CU482" i="2" a="1"/>
  <c r="CU482" i="2" s="1"/>
  <c r="CV468" i="2" a="1"/>
  <c r="CV468" i="2" s="1"/>
  <c r="CT468" i="2" a="1"/>
  <c r="CT468" i="2" s="1"/>
  <c r="CU468" i="2" a="1"/>
  <c r="CU468" i="2" s="1"/>
  <c r="CT454" i="2" a="1"/>
  <c r="CT454" i="2" s="1"/>
  <c r="CU454" i="2" a="1"/>
  <c r="CU454" i="2" s="1"/>
  <c r="CT440" i="2" a="1"/>
  <c r="CT440" i="2" s="1"/>
  <c r="CV440" i="2" a="1"/>
  <c r="CV440" i="2" s="1"/>
  <c r="CU426" i="2" a="1"/>
  <c r="CU426" i="2" s="1"/>
  <c r="CT426" i="2" a="1"/>
  <c r="CT426" i="2" s="1"/>
  <c r="CT412" i="2" a="1"/>
  <c r="CT412" i="2" s="1"/>
  <c r="CU412" i="2" a="1"/>
  <c r="CU412" i="2" s="1"/>
  <c r="CV412" i="2" a="1"/>
  <c r="CV412" i="2" s="1"/>
  <c r="CT398" i="2" a="1"/>
  <c r="CT398" i="2" s="1"/>
  <c r="CU398" i="2" a="1"/>
  <c r="CU398" i="2" s="1"/>
  <c r="CT384" i="2" a="1"/>
  <c r="CT384" i="2" s="1"/>
  <c r="CU384" i="2" a="1"/>
  <c r="CU384" i="2" s="1"/>
  <c r="CV370" i="2" a="1"/>
  <c r="CV370" i="2" s="1"/>
  <c r="CT370" i="2" a="1"/>
  <c r="CT370" i="2" s="1"/>
  <c r="CU370" i="2" a="1"/>
  <c r="CU370" i="2" s="1"/>
  <c r="CT356" i="2" a="1"/>
  <c r="CT356" i="2" s="1"/>
  <c r="CU356" i="2" a="1"/>
  <c r="CU356" i="2" s="1"/>
  <c r="CT342" i="2" a="1"/>
  <c r="CT342" i="2" s="1"/>
  <c r="CV342" i="2" a="1"/>
  <c r="CV342" i="2" s="1"/>
  <c r="CT328" i="2" a="1"/>
  <c r="CT328" i="2" s="1"/>
  <c r="CV328" i="2" a="1"/>
  <c r="CV328" i="2" s="1"/>
  <c r="CT314" i="2" a="1"/>
  <c r="CT314" i="2" s="1"/>
  <c r="CU314" i="2" a="1"/>
  <c r="CU314" i="2" s="1"/>
  <c r="CU300" i="2" a="1"/>
  <c r="CU300" i="2" s="1"/>
  <c r="CT300" i="2" a="1"/>
  <c r="CT300" i="2" s="1"/>
  <c r="CV286" i="2" a="1"/>
  <c r="CV286" i="2" s="1"/>
  <c r="CV272" i="2" a="1"/>
  <c r="CV272" i="2" s="1"/>
  <c r="CT272" i="2" a="1"/>
  <c r="CT272" i="2" s="1"/>
  <c r="CU272" i="2" a="1"/>
  <c r="CU272" i="2" s="1"/>
  <c r="CU258" i="2" a="1"/>
  <c r="CU258" i="2" s="1"/>
  <c r="CT258" i="2" a="1"/>
  <c r="CT258" i="2" s="1"/>
  <c r="CU244" i="2" a="1"/>
  <c r="CU244" i="2" s="1"/>
  <c r="CV244" i="2" a="1"/>
  <c r="CV244" i="2" s="1"/>
  <c r="CV230" i="2" a="1"/>
  <c r="CV230" i="2" s="1"/>
  <c r="CV216" i="2" a="1"/>
  <c r="CV216" i="2" s="1"/>
  <c r="CU216" i="2" a="1"/>
  <c r="CU216" i="2" s="1"/>
  <c r="CV202" i="2" a="1"/>
  <c r="CV202" i="2" s="1"/>
  <c r="CU188" i="2" a="1"/>
  <c r="CU188" i="2" s="1"/>
  <c r="CV188" i="2" a="1"/>
  <c r="CV188" i="2" s="1"/>
  <c r="CV174" i="2" a="1"/>
  <c r="CV174" i="2" s="1"/>
  <c r="CU174" i="2" a="1"/>
  <c r="CU174" i="2" s="1"/>
  <c r="CU160" i="2" a="1"/>
  <c r="CU160" i="2" s="1"/>
  <c r="CU146" i="2" a="1"/>
  <c r="CU146" i="2" s="1"/>
  <c r="CV132" i="2" a="1"/>
  <c r="CV132" i="2" s="1"/>
  <c r="CU90" i="2" a="1"/>
  <c r="CU90" i="2" s="1"/>
  <c r="CV76" i="2" a="1"/>
  <c r="CV76" i="2" s="1"/>
  <c r="CU76" i="2" a="1"/>
  <c r="CU76" i="2" s="1"/>
  <c r="CU48" i="2" a="1"/>
  <c r="CU48" i="2" s="1"/>
  <c r="CV34" i="2" a="1"/>
  <c r="CV34" i="2" s="1"/>
  <c r="CU20" i="2" a="1"/>
  <c r="CU20" i="2" s="1"/>
  <c r="CU6" i="2" a="1"/>
  <c r="CU6" i="2" s="1"/>
  <c r="CV6" i="2" a="1"/>
  <c r="CV6" i="2" s="1"/>
  <c r="CU696" i="2" a="1"/>
  <c r="CU696" i="2" s="1"/>
  <c r="CT696" i="2" a="1"/>
  <c r="CT696" i="2" s="1"/>
  <c r="CU682" i="2" a="1"/>
  <c r="CU682" i="2" s="1"/>
  <c r="CT682" i="2" a="1"/>
  <c r="CT682" i="2" s="1"/>
  <c r="CT668" i="2" a="1"/>
  <c r="CT668" i="2" s="1"/>
  <c r="CV668" i="2" a="1"/>
  <c r="CV668" i="2" s="1"/>
  <c r="CU668" i="2" a="1"/>
  <c r="CU668" i="2" s="1"/>
  <c r="CT654" i="2" a="1"/>
  <c r="CT654" i="2" s="1"/>
  <c r="CU654" i="2" a="1"/>
  <c r="CU654" i="2" s="1"/>
  <c r="CT626" i="2" a="1"/>
  <c r="CT626" i="2" s="1"/>
  <c r="CT612" i="2" a="1"/>
  <c r="CT612" i="2" s="1"/>
  <c r="CV612" i="2" a="1"/>
  <c r="CV612" i="2" s="1"/>
  <c r="CU598" i="2" a="1"/>
  <c r="CU598" i="2" s="1"/>
  <c r="CT598" i="2" a="1"/>
  <c r="CT598" i="2" s="1"/>
  <c r="CU584" i="2" a="1"/>
  <c r="CU584" i="2" s="1"/>
  <c r="CT584" i="2" a="1"/>
  <c r="CT584" i="2" s="1"/>
  <c r="CT570" i="2" a="1"/>
  <c r="CT570" i="2" s="1"/>
  <c r="CV570" i="2" a="1"/>
  <c r="CV570" i="2" s="1"/>
  <c r="CT556" i="2" a="1"/>
  <c r="CT556" i="2" s="1"/>
  <c r="CU556" i="2" a="1"/>
  <c r="CU556" i="2" s="1"/>
  <c r="CU542" i="2" a="1"/>
  <c r="CU542" i="2" s="1"/>
  <c r="CV542" i="2" a="1"/>
  <c r="CV542" i="2" s="1"/>
  <c r="CT528" i="2" a="1"/>
  <c r="CT528" i="2" s="1"/>
  <c r="CT514" i="2" a="1"/>
  <c r="CT514" i="2" s="1"/>
  <c r="CV514" i="2" a="1"/>
  <c r="CV514" i="2" s="1"/>
  <c r="CT500" i="2" a="1"/>
  <c r="CT500" i="2" s="1"/>
  <c r="CV500" i="2" a="1"/>
  <c r="CV500" i="2" s="1"/>
  <c r="CU500" i="2" a="1"/>
  <c r="CU500" i="2" s="1"/>
  <c r="CU486" i="2" a="1"/>
  <c r="CU486" i="2" s="1"/>
  <c r="CT486" i="2" a="1"/>
  <c r="CT486" i="2" s="1"/>
  <c r="CT472" i="2" a="1"/>
  <c r="CT472" i="2" s="1"/>
  <c r="CU472" i="2" a="1"/>
  <c r="CU472" i="2" s="1"/>
  <c r="CT458" i="2" a="1"/>
  <c r="CT458" i="2" s="1"/>
  <c r="CU458" i="2" a="1"/>
  <c r="CU458" i="2" s="1"/>
  <c r="CU444" i="2" a="1"/>
  <c r="CU444" i="2" s="1"/>
  <c r="CT430" i="2" a="1"/>
  <c r="CT430" i="2" s="1"/>
  <c r="CV430" i="2" a="1"/>
  <c r="CV430" i="2" s="1"/>
  <c r="CU430" i="2" a="1"/>
  <c r="CU430" i="2" s="1"/>
  <c r="CT416" i="2" a="1"/>
  <c r="CT416" i="2" s="1"/>
  <c r="CU416" i="2" a="1"/>
  <c r="CU416" i="2" s="1"/>
  <c r="CT402" i="2" a="1"/>
  <c r="CT402" i="2" s="1"/>
  <c r="CU402" i="2" a="1"/>
  <c r="CU402" i="2" s="1"/>
  <c r="CU388" i="2" a="1"/>
  <c r="CU388" i="2" s="1"/>
  <c r="CT388" i="2" a="1"/>
  <c r="CT388" i="2" s="1"/>
  <c r="CV388" i="2" a="1"/>
  <c r="CV388" i="2" s="1"/>
  <c r="CT374" i="2" a="1"/>
  <c r="CT374" i="2" s="1"/>
  <c r="CU374" i="2" a="1"/>
  <c r="CU374" i="2" s="1"/>
  <c r="CT360" i="2" a="1"/>
  <c r="CT360" i="2" s="1"/>
  <c r="CV360" i="2" a="1"/>
  <c r="CV360" i="2" s="1"/>
  <c r="CU360" i="2" a="1"/>
  <c r="CU360" i="2" s="1"/>
  <c r="CU346" i="2" a="1"/>
  <c r="CU346" i="2" s="1"/>
  <c r="CT332" i="2" a="1"/>
  <c r="CT332" i="2" s="1"/>
  <c r="CT318" i="2" a="1"/>
  <c r="CT318" i="2" s="1"/>
  <c r="CU318" i="2" a="1"/>
  <c r="CU318" i="2" s="1"/>
  <c r="CV318" i="2" a="1"/>
  <c r="CV318" i="2" s="1"/>
  <c r="CT304" i="2" a="1"/>
  <c r="CT304" i="2" s="1"/>
  <c r="CU304" i="2" a="1"/>
  <c r="CU304" i="2" s="1"/>
  <c r="CT290" i="2" a="1"/>
  <c r="CT290" i="2" s="1"/>
  <c r="CU290" i="2" a="1"/>
  <c r="CU290" i="2" s="1"/>
  <c r="CV290" i="2" a="1"/>
  <c r="CV290" i="2" s="1"/>
  <c r="CU276" i="2" a="1"/>
  <c r="CU276" i="2" s="1"/>
  <c r="CT276" i="2" a="1"/>
  <c r="CT276" i="2" s="1"/>
  <c r="CT262" i="2" a="1"/>
  <c r="CT262" i="2" s="1"/>
  <c r="CV262" i="2" a="1"/>
  <c r="CV262" i="2" s="1"/>
  <c r="CU262" i="2" a="1"/>
  <c r="CU262" i="2" s="1"/>
  <c r="CU248" i="2" a="1"/>
  <c r="CU248" i="2" s="1"/>
  <c r="CT234" i="2" a="1"/>
  <c r="CT234" i="2" s="1"/>
  <c r="CU234" i="2" a="1"/>
  <c r="CU234" i="2" s="1"/>
  <c r="CV234" i="2" a="1"/>
  <c r="CV234" i="2" s="1"/>
  <c r="CT220" i="2" a="1"/>
  <c r="CT220" i="2" s="1"/>
  <c r="CV220" i="2" a="1"/>
  <c r="CV220" i="2" s="1"/>
  <c r="CU220" i="2" a="1"/>
  <c r="CU220" i="2" s="1"/>
  <c r="CT206" i="2" a="1"/>
  <c r="CT206" i="2" s="1"/>
  <c r="CU206" i="2" a="1"/>
  <c r="CU206" i="2" s="1"/>
  <c r="CV206" i="2" a="1"/>
  <c r="CV206" i="2" s="1"/>
  <c r="CU192" i="2" a="1"/>
  <c r="CU192" i="2" s="1"/>
  <c r="CT178" i="2" a="1"/>
  <c r="CT178" i="2" s="1"/>
  <c r="CU178" i="2" a="1"/>
  <c r="CU178" i="2" s="1"/>
  <c r="CT164" i="2" a="1"/>
  <c r="CT164" i="2" s="1"/>
  <c r="CV164" i="2" a="1"/>
  <c r="CV164" i="2" s="1"/>
  <c r="CU164" i="2" a="1"/>
  <c r="CU164" i="2" s="1"/>
  <c r="CT150" i="2" a="1"/>
  <c r="CT150" i="2" s="1"/>
  <c r="CU150" i="2" a="1"/>
  <c r="CU150" i="2" s="1"/>
  <c r="CV150" i="2" a="1"/>
  <c r="CV150" i="2" s="1"/>
  <c r="CT136" i="2" a="1"/>
  <c r="CT136" i="2" s="1"/>
  <c r="CU122" i="2" a="1"/>
  <c r="CU122" i="2" s="1"/>
  <c r="CV122" i="2" a="1"/>
  <c r="CV122" i="2" s="1"/>
  <c r="CT108" i="2" a="1"/>
  <c r="CT108" i="2" s="1"/>
  <c r="CV108" i="2" a="1"/>
  <c r="CV108" i="2" s="1"/>
  <c r="CU108" i="2" a="1"/>
  <c r="CU108" i="2" s="1"/>
  <c r="CU94" i="2" a="1"/>
  <c r="CU94" i="2" s="1"/>
  <c r="CU80" i="2" a="1"/>
  <c r="CU80" i="2" s="1"/>
  <c r="CV80" i="2" a="1"/>
  <c r="CV80" i="2" s="1"/>
  <c r="CT66" i="2" a="1"/>
  <c r="CT66" i="2" s="1"/>
  <c r="CU66" i="2" a="1"/>
  <c r="CU66" i="2" s="1"/>
  <c r="CV66" i="2" a="1"/>
  <c r="CV66" i="2" s="1"/>
  <c r="CT52" i="2" a="1"/>
  <c r="CT52" i="2" s="1"/>
  <c r="CU52" i="2" a="1"/>
  <c r="CU52" i="2" s="1"/>
  <c r="CT38" i="2" a="1"/>
  <c r="CT38" i="2" s="1"/>
  <c r="CU38" i="2" a="1"/>
  <c r="CU38" i="2" s="1"/>
  <c r="CT24" i="2" a="1"/>
  <c r="CT24" i="2" s="1"/>
  <c r="CU24" i="2" a="1"/>
  <c r="CU24" i="2" s="1"/>
  <c r="CT10" i="2" a="1"/>
  <c r="CT10" i="2" s="1"/>
  <c r="CU10" i="2" a="1"/>
  <c r="CU10" i="2" s="1"/>
  <c r="CV10" i="2" a="1"/>
  <c r="CV10" i="2" s="1"/>
  <c r="CT700" i="2" a="1"/>
  <c r="CT700" i="2" s="1"/>
  <c r="CT686" i="2" a="1"/>
  <c r="CT686" i="2" s="1"/>
  <c r="CV672" i="2" a="1"/>
  <c r="CV672" i="2" s="1"/>
  <c r="CT672" i="2" a="1"/>
  <c r="CT672" i="2" s="1"/>
  <c r="CT658" i="2" a="1"/>
  <c r="CT658" i="2" s="1"/>
  <c r="CU658" i="2" a="1"/>
  <c r="CU658" i="2" s="1"/>
  <c r="CT644" i="2" a="1"/>
  <c r="CT644" i="2" s="1"/>
  <c r="CU644" i="2" a="1"/>
  <c r="CU644" i="2" s="1"/>
  <c r="CV644" i="2" a="1"/>
  <c r="CV644" i="2" s="1"/>
  <c r="CT630" i="2" a="1"/>
  <c r="CT630" i="2" s="1"/>
  <c r="CT616" i="2" a="1"/>
  <c r="CT616" i="2" s="1"/>
  <c r="CU616" i="2" a="1"/>
  <c r="CU616" i="2" s="1"/>
  <c r="CT602" i="2" a="1"/>
  <c r="CT602" i="2" s="1"/>
  <c r="CU602" i="2" a="1"/>
  <c r="CU602" i="2" s="1"/>
  <c r="CV602" i="2" a="1"/>
  <c r="CV602" i="2" s="1"/>
  <c r="CT588" i="2" a="1"/>
  <c r="CT588" i="2" s="1"/>
  <c r="CU588" i="2" a="1"/>
  <c r="CU588" i="2" s="1"/>
  <c r="CV574" i="2" a="1"/>
  <c r="CV574" i="2" s="1"/>
  <c r="CT574" i="2" a="1"/>
  <c r="CT574" i="2" s="1"/>
  <c r="CU574" i="2" a="1"/>
  <c r="CU574" i="2" s="1"/>
  <c r="CT560" i="2" a="1"/>
  <c r="CT560" i="2" s="1"/>
  <c r="CU560" i="2" a="1"/>
  <c r="CU560" i="2" s="1"/>
  <c r="CT546" i="2" a="1"/>
  <c r="CT546" i="2" s="1"/>
  <c r="CU546" i="2" a="1"/>
  <c r="CU546" i="2" s="1"/>
  <c r="CV546" i="2" a="1"/>
  <c r="CV546" i="2" s="1"/>
  <c r="CT532" i="2" a="1"/>
  <c r="CT532" i="2" s="1"/>
  <c r="CV532" i="2" a="1"/>
  <c r="CV532" i="2" s="1"/>
  <c r="CU532" i="2" a="1"/>
  <c r="CU532" i="2" s="1"/>
  <c r="CT518" i="2" a="1"/>
  <c r="CT518" i="2" s="1"/>
  <c r="CV518" i="2" a="1"/>
  <c r="CV518" i="2" s="1"/>
  <c r="CU518" i="2" a="1"/>
  <c r="CU518" i="2" s="1"/>
  <c r="CT504" i="2" a="1"/>
  <c r="CT504" i="2" s="1"/>
  <c r="CU504" i="2" a="1"/>
  <c r="CU504" i="2" s="1"/>
  <c r="CT490" i="2" a="1"/>
  <c r="CT490" i="2" s="1"/>
  <c r="CU490" i="2" a="1"/>
  <c r="CU490" i="2" s="1"/>
  <c r="CV476" i="2" a="1"/>
  <c r="CV476" i="2" s="1"/>
  <c r="CT476" i="2" a="1"/>
  <c r="CT476" i="2" s="1"/>
  <c r="CU476" i="2" a="1"/>
  <c r="CU476" i="2" s="1"/>
  <c r="CT462" i="2" a="1"/>
  <c r="CT462" i="2" s="1"/>
  <c r="CU462" i="2" a="1"/>
  <c r="CU462" i="2" s="1"/>
  <c r="CT448" i="2" a="1"/>
  <c r="CT448" i="2" s="1"/>
  <c r="CV448" i="2" a="1"/>
  <c r="CV448" i="2" s="1"/>
  <c r="CU448" i="2" a="1"/>
  <c r="CU448" i="2" s="1"/>
  <c r="CT434" i="2" a="1"/>
  <c r="CT434" i="2" s="1"/>
  <c r="CU434" i="2" a="1"/>
  <c r="CU434" i="2" s="1"/>
  <c r="CV434" i="2" a="1"/>
  <c r="CV434" i="2" s="1"/>
  <c r="CU420" i="2" a="1"/>
  <c r="CU420" i="2" s="1"/>
  <c r="CT420" i="2" a="1"/>
  <c r="CT420" i="2" s="1"/>
  <c r="CV420" i="2" a="1"/>
  <c r="CV420" i="2" s="1"/>
  <c r="CT406" i="2" a="1"/>
  <c r="CT406" i="2" s="1"/>
  <c r="CU406" i="2" a="1"/>
  <c r="CU406" i="2" s="1"/>
  <c r="CT392" i="2" a="1"/>
  <c r="CT392" i="2" s="1"/>
  <c r="CV392" i="2" a="1"/>
  <c r="CV392" i="2" s="1"/>
  <c r="CV378" i="2" a="1"/>
  <c r="CV378" i="2" s="1"/>
  <c r="CT378" i="2" a="1"/>
  <c r="CT378" i="2" s="1"/>
  <c r="CU378" i="2" a="1"/>
  <c r="CU378" i="2" s="1"/>
  <c r="CT364" i="2" a="1"/>
  <c r="CT364" i="2" s="1"/>
  <c r="CU364" i="2" a="1"/>
  <c r="CU364" i="2" s="1"/>
  <c r="CT350" i="2" a="1"/>
  <c r="CT350" i="2" s="1"/>
  <c r="CT336" i="2" a="1"/>
  <c r="CT336" i="2" s="1"/>
  <c r="CU336" i="2" a="1"/>
  <c r="CU336" i="2" s="1"/>
  <c r="CT322" i="2" a="1"/>
  <c r="CT322" i="2" s="1"/>
  <c r="CU322" i="2" a="1"/>
  <c r="CU322" i="2" s="1"/>
  <c r="CT308" i="2" a="1"/>
  <c r="CT308" i="2" s="1"/>
  <c r="CV308" i="2" a="1"/>
  <c r="CV308" i="2" s="1"/>
  <c r="CU308" i="2" a="1"/>
  <c r="CU308" i="2" s="1"/>
  <c r="CT294" i="2" a="1"/>
  <c r="CT294" i="2" s="1"/>
  <c r="CU294" i="2" a="1"/>
  <c r="CU294" i="2" s="1"/>
  <c r="CV280" i="2" a="1"/>
  <c r="CV280" i="2" s="1"/>
  <c r="CT280" i="2" a="1"/>
  <c r="CT280" i="2" s="1"/>
  <c r="CU280" i="2" a="1"/>
  <c r="CU280" i="2" s="1"/>
  <c r="CU266" i="2" a="1"/>
  <c r="CU266" i="2" s="1"/>
  <c r="CT266" i="2" a="1"/>
  <c r="CT266" i="2" s="1"/>
  <c r="CV266" i="2" a="1"/>
  <c r="CV266" i="2" s="1"/>
  <c r="CT252" i="2" a="1"/>
  <c r="CT252" i="2" s="1"/>
  <c r="CU252" i="2" a="1"/>
  <c r="CU252" i="2" s="1"/>
  <c r="CT238" i="2" a="1"/>
  <c r="CT238" i="2" s="1"/>
  <c r="CV238" i="2" a="1"/>
  <c r="CV238" i="2" s="1"/>
  <c r="CU238" i="2" a="1"/>
  <c r="CU238" i="2" s="1"/>
  <c r="CU224" i="2" a="1"/>
  <c r="CU224" i="2" s="1"/>
  <c r="CT210" i="2" a="1"/>
  <c r="CT210" i="2" s="1"/>
  <c r="CU210" i="2" a="1"/>
  <c r="CU210" i="2" s="1"/>
  <c r="CT196" i="2" a="1"/>
  <c r="CT196" i="2" s="1"/>
  <c r="CV196" i="2" a="1"/>
  <c r="CV196" i="2" s="1"/>
  <c r="CV182" i="2" a="1"/>
  <c r="CV182" i="2" s="1"/>
  <c r="CT182" i="2" a="1"/>
  <c r="CT182" i="2" s="1"/>
  <c r="CU182" i="2" a="1"/>
  <c r="CU182" i="2" s="1"/>
  <c r="CT168" i="2" a="1"/>
  <c r="CT168" i="2" s="1"/>
  <c r="CV168" i="2" a="1"/>
  <c r="CV168" i="2" s="1"/>
  <c r="CU168" i="2" a="1"/>
  <c r="CU168" i="2" s="1"/>
  <c r="CU154" i="2" a="1"/>
  <c r="CU154" i="2" s="1"/>
  <c r="CT140" i="2" a="1"/>
  <c r="CT140" i="2" s="1"/>
  <c r="CU140" i="2" a="1"/>
  <c r="CU140" i="2" s="1"/>
  <c r="CT126" i="2" a="1"/>
  <c r="CT126" i="2" s="1"/>
  <c r="CU126" i="2" a="1"/>
  <c r="CU126" i="2" s="1"/>
  <c r="CT112" i="2" a="1"/>
  <c r="CT112" i="2" s="1"/>
  <c r="CU112" i="2" a="1"/>
  <c r="CU112" i="2" s="1"/>
  <c r="CV112" i="2" a="1"/>
  <c r="CV112" i="2" s="1"/>
  <c r="CV98" i="2" a="1"/>
  <c r="CV98" i="2" s="1"/>
  <c r="CU98" i="2" a="1"/>
  <c r="CU98" i="2" s="1"/>
  <c r="CV84" i="2" a="1"/>
  <c r="CV84" i="2" s="1"/>
  <c r="CT84" i="2" a="1"/>
  <c r="CT84" i="2" s="1"/>
  <c r="CU84" i="2" a="1"/>
  <c r="CU84" i="2" s="1"/>
  <c r="CU70" i="2" a="1"/>
  <c r="CU70" i="2" s="1"/>
  <c r="CU56" i="2" a="1"/>
  <c r="CU56" i="2" s="1"/>
  <c r="CV56" i="2" a="1"/>
  <c r="CV56" i="2" s="1"/>
  <c r="CT42" i="2" a="1"/>
  <c r="CT42" i="2" s="1"/>
  <c r="CU42" i="2" a="1"/>
  <c r="CU42" i="2" s="1"/>
  <c r="CT28" i="2" a="1"/>
  <c r="CT28" i="2" s="1"/>
  <c r="CV28" i="2" a="1"/>
  <c r="CV28" i="2" s="1"/>
  <c r="CU28" i="2" a="1"/>
  <c r="CU28" i="2" s="1"/>
  <c r="CT14" i="2" a="1"/>
  <c r="CT14" i="2" s="1"/>
  <c r="CU14" i="2" a="1"/>
  <c r="CU14" i="2" s="1"/>
  <c r="CV14" i="2" a="1"/>
  <c r="CV14" i="2" s="1"/>
  <c r="CT704" i="2" a="1"/>
  <c r="CT704" i="2" s="1"/>
  <c r="CU704" i="2" a="1"/>
  <c r="CU704" i="2" s="1"/>
  <c r="CU690" i="2" a="1"/>
  <c r="CU690" i="2" s="1"/>
  <c r="CT690" i="2" a="1"/>
  <c r="CT690" i="2" s="1"/>
  <c r="CT676" i="2" a="1"/>
  <c r="CT676" i="2" s="1"/>
  <c r="CV676" i="2" a="1"/>
  <c r="CV676" i="2" s="1"/>
  <c r="CT662" i="2" a="1"/>
  <c r="CT662" i="2" s="1"/>
  <c r="CU662" i="2" a="1"/>
  <c r="CU662" i="2" s="1"/>
  <c r="CT648" i="2" a="1"/>
  <c r="CT648" i="2" s="1"/>
  <c r="CU648" i="2" a="1"/>
  <c r="CU648" i="2" s="1"/>
  <c r="CV634" i="2" a="1"/>
  <c r="CV634" i="2" s="1"/>
  <c r="CT634" i="2" a="1"/>
  <c r="CT634" i="2" s="1"/>
  <c r="CU634" i="2" a="1"/>
  <c r="CU634" i="2" s="1"/>
  <c r="CT620" i="2" a="1"/>
  <c r="CT620" i="2" s="1"/>
  <c r="CV620" i="2" a="1"/>
  <c r="CV620" i="2" s="1"/>
  <c r="CU620" i="2" a="1"/>
  <c r="CU620" i="2" s="1"/>
  <c r="CT606" i="2" a="1"/>
  <c r="CT606" i="2" s="1"/>
  <c r="CU606" i="2" a="1"/>
  <c r="CU606" i="2" s="1"/>
  <c r="CU592" i="2" a="1"/>
  <c r="CU592" i="2" s="1"/>
  <c r="CT592" i="2" a="1"/>
  <c r="CT592" i="2" s="1"/>
  <c r="CV592" i="2" a="1"/>
  <c r="CV592" i="2" s="1"/>
  <c r="CT578" i="2" a="1"/>
  <c r="CT578" i="2" s="1"/>
  <c r="CV578" i="2" a="1"/>
  <c r="CV578" i="2" s="1"/>
  <c r="CU578" i="2" a="1"/>
  <c r="CU578" i="2" s="1"/>
  <c r="CT564" i="2" a="1"/>
  <c r="CT564" i="2" s="1"/>
  <c r="CU564" i="2" a="1"/>
  <c r="CU564" i="2" s="1"/>
  <c r="CT550" i="2" a="1"/>
  <c r="CT550" i="2" s="1"/>
  <c r="CU550" i="2" a="1"/>
  <c r="CU550" i="2" s="1"/>
  <c r="CV536" i="2" a="1"/>
  <c r="CV536" i="2" s="1"/>
  <c r="CT536" i="2" a="1"/>
  <c r="CT536" i="2" s="1"/>
  <c r="CU536" i="2" a="1"/>
  <c r="CU536" i="2" s="1"/>
  <c r="CT522" i="2" a="1"/>
  <c r="CT522" i="2" s="1"/>
  <c r="CV522" i="2" a="1"/>
  <c r="CV522" i="2" s="1"/>
  <c r="CU522" i="2" a="1"/>
  <c r="CU522" i="2" s="1"/>
  <c r="CT508" i="2" a="1"/>
  <c r="CT508" i="2" s="1"/>
  <c r="CU508" i="2" a="1"/>
  <c r="CU508" i="2" s="1"/>
  <c r="CU494" i="2" a="1"/>
  <c r="CU494" i="2" s="1"/>
  <c r="CT494" i="2" a="1"/>
  <c r="CT494" i="2" s="1"/>
  <c r="CT480" i="2" a="1"/>
  <c r="CT480" i="2" s="1"/>
  <c r="CU480" i="2" a="1"/>
  <c r="CU480" i="2" s="1"/>
  <c r="CV480" i="2" a="1"/>
  <c r="CV480" i="2" s="1"/>
  <c r="CT466" i="2" a="1"/>
  <c r="CT466" i="2" s="1"/>
  <c r="CU466" i="2" a="1"/>
  <c r="CU466" i="2" s="1"/>
  <c r="CT452" i="2" a="1"/>
  <c r="CT452" i="2" s="1"/>
  <c r="CU452" i="2" a="1"/>
  <c r="CU452" i="2" s="1"/>
  <c r="CV438" i="2" a="1"/>
  <c r="CV438" i="2" s="1"/>
  <c r="CU438" i="2" a="1"/>
  <c r="CU438" i="2" s="1"/>
  <c r="CT424" i="2" a="1"/>
  <c r="CT424" i="2" s="1"/>
  <c r="CU424" i="2" a="1"/>
  <c r="CU424" i="2" s="1"/>
  <c r="CT410" i="2" a="1"/>
  <c r="CT410" i="2" s="1"/>
  <c r="CU410" i="2" a="1"/>
  <c r="CU410" i="2" s="1"/>
  <c r="CV410" i="2" a="1"/>
  <c r="CV410" i="2" s="1"/>
  <c r="CU396" i="2" a="1"/>
  <c r="CU396" i="2" s="1"/>
  <c r="CT396" i="2" a="1"/>
  <c r="CT396" i="2" s="1"/>
  <c r="CT382" i="2" a="1"/>
  <c r="CT382" i="2" s="1"/>
  <c r="CU382" i="2" a="1"/>
  <c r="CU382" i="2" s="1"/>
  <c r="CV382" i="2" a="1"/>
  <c r="CV382" i="2" s="1"/>
  <c r="CT368" i="2" a="1"/>
  <c r="CT368" i="2" s="1"/>
  <c r="CV368" i="2" a="1"/>
  <c r="CV368" i="2" s="1"/>
  <c r="CT354" i="2" a="1"/>
  <c r="CT354" i="2" s="1"/>
  <c r="CU354" i="2" a="1"/>
  <c r="CU354" i="2" s="1"/>
  <c r="CV340" i="2" a="1"/>
  <c r="CV340" i="2" s="1"/>
  <c r="CT340" i="2" a="1"/>
  <c r="CT340" i="2" s="1"/>
  <c r="CU340" i="2" a="1"/>
  <c r="CU340" i="2" s="1"/>
  <c r="CT326" i="2" a="1"/>
  <c r="CT326" i="2" s="1"/>
  <c r="CU326" i="2" a="1"/>
  <c r="CU326" i="2" s="1"/>
  <c r="CT312" i="2" a="1"/>
  <c r="CT312" i="2" s="1"/>
  <c r="CU312" i="2" a="1"/>
  <c r="CU312" i="2" s="1"/>
  <c r="CT298" i="2" a="1"/>
  <c r="CT298" i="2" s="1"/>
  <c r="CT284" i="2" a="1"/>
  <c r="CT284" i="2" s="1"/>
  <c r="CU284" i="2" a="1"/>
  <c r="CU284" i="2" s="1"/>
  <c r="CT270" i="2" a="1"/>
  <c r="CT270" i="2" s="1"/>
  <c r="CV270" i="2" a="1"/>
  <c r="CV270" i="2" s="1"/>
  <c r="CU270" i="2" a="1"/>
  <c r="CU270" i="2" s="1"/>
  <c r="CT256" i="2" a="1"/>
  <c r="CT256" i="2" s="1"/>
  <c r="CU256" i="2" a="1"/>
  <c r="CU256" i="2" s="1"/>
  <c r="CT242" i="2" a="1"/>
  <c r="CT242" i="2" s="1"/>
  <c r="CU242" i="2" a="1"/>
  <c r="CU242" i="2" s="1"/>
  <c r="CV242" i="2" a="1"/>
  <c r="CV242" i="2" s="1"/>
  <c r="CT198" i="2" a="1"/>
  <c r="CT198" i="2" s="1"/>
  <c r="CU128" i="2" a="1"/>
  <c r="CU128" i="2" s="1"/>
  <c r="CU86" i="2" a="1"/>
  <c r="CU86" i="2" s="1"/>
  <c r="CU72" i="2" a="1"/>
  <c r="CU72" i="2" s="1"/>
  <c r="CV72" i="2" a="1"/>
  <c r="CV72" i="2" s="1"/>
  <c r="CT594" i="2" a="1"/>
  <c r="CT594" i="2" s="1"/>
  <c r="CV640" i="2" a="1"/>
  <c r="CV640" i="2" s="1"/>
  <c r="CV398" i="2" a="1"/>
  <c r="CV398" i="2" s="1"/>
  <c r="CV356" i="2" a="1"/>
  <c r="CV356" i="2" s="1"/>
  <c r="CV300" i="2" a="1"/>
  <c r="CV300" i="2" s="1"/>
  <c r="CV258" i="2" a="1"/>
  <c r="CV258" i="2" s="1"/>
  <c r="CU196" i="2" a="1"/>
  <c r="CU196" i="2" s="1"/>
  <c r="CU114" i="2" a="1"/>
  <c r="CU114" i="2" s="1"/>
  <c r="CV226" i="2" a="1"/>
  <c r="CV226" i="2" s="1"/>
  <c r="CT212" i="2" a="1"/>
  <c r="CT212" i="2" s="1"/>
  <c r="CV212" i="2" a="1"/>
  <c r="CV212" i="2" s="1"/>
  <c r="CU212" i="2" a="1"/>
  <c r="CU212" i="2" s="1"/>
  <c r="CU104" i="2" a="1"/>
  <c r="CU104" i="2" s="1"/>
  <c r="CV384" i="2" a="1"/>
  <c r="CV384" i="2" s="1"/>
  <c r="CV184" i="2" a="1"/>
  <c r="CV184" i="2" s="1"/>
  <c r="CV156" i="2" a="1"/>
  <c r="CV156" i="2" s="1"/>
  <c r="CV128" i="2" a="1"/>
  <c r="CV128" i="2" s="1"/>
  <c r="CV48" i="2" a="1"/>
  <c r="CV48" i="2" s="1"/>
  <c r="CT664" i="2" a="1"/>
  <c r="CT664" i="2" s="1"/>
  <c r="CT701" i="2" a="1"/>
  <c r="CT701" i="2" s="1"/>
  <c r="CV701" i="2" a="1"/>
  <c r="CV701" i="2" s="1"/>
  <c r="CV687" i="2" a="1"/>
  <c r="CV687" i="2" s="1"/>
  <c r="CT687" i="2" a="1"/>
  <c r="CT687" i="2" s="1"/>
  <c r="CT673" i="2" a="1"/>
  <c r="CT673" i="2" s="1"/>
  <c r="CT659" i="2" a="1"/>
  <c r="CT659" i="2" s="1"/>
  <c r="CU645" i="2" a="1"/>
  <c r="CU645" i="2" s="1"/>
  <c r="CT631" i="2" a="1"/>
  <c r="CT631" i="2" s="1"/>
  <c r="CT617" i="2" a="1"/>
  <c r="CT617" i="2" s="1"/>
  <c r="CU617" i="2" a="1"/>
  <c r="CU617" i="2" s="1"/>
  <c r="CT603" i="2" a="1"/>
  <c r="CT603" i="2" s="1"/>
  <c r="CV603" i="2" a="1"/>
  <c r="CV603" i="2" s="1"/>
  <c r="CU603" i="2" a="1"/>
  <c r="CU603" i="2" s="1"/>
  <c r="CT589" i="2" a="1"/>
  <c r="CT589" i="2" s="1"/>
  <c r="CV589" i="2" a="1"/>
  <c r="CV589" i="2" s="1"/>
  <c r="CT575" i="2" a="1"/>
  <c r="CT575" i="2" s="1"/>
  <c r="CT561" i="2" a="1"/>
  <c r="CT561" i="2" s="1"/>
  <c r="CV561" i="2" a="1"/>
  <c r="CV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T505" i="2" a="1"/>
  <c r="CT505" i="2" s="1"/>
  <c r="CU505" i="2" a="1"/>
  <c r="CU505" i="2" s="1"/>
  <c r="CV491" i="2" a="1"/>
  <c r="CV491" i="2" s="1"/>
  <c r="CT491" i="2" a="1"/>
  <c r="CT491" i="2" s="1"/>
  <c r="CU463" i="2" a="1"/>
  <c r="CU463" i="2" s="1"/>
  <c r="CU379" i="2" a="1"/>
  <c r="CU379" i="2" s="1"/>
  <c r="CU351" i="2" a="1"/>
  <c r="CU351" i="2" s="1"/>
  <c r="CU323" i="2" a="1"/>
  <c r="CU323" i="2" s="1"/>
  <c r="CT323" i="2" a="1"/>
  <c r="CT323" i="2" s="1"/>
  <c r="CU309" i="2" a="1"/>
  <c r="CU309" i="2" s="1"/>
  <c r="CU295" i="2" a="1"/>
  <c r="CU295" i="2" s="1"/>
  <c r="CU267" i="2" a="1"/>
  <c r="CU267" i="2" s="1"/>
  <c r="CT225" i="2" a="1"/>
  <c r="CT225" i="2" s="1"/>
  <c r="CU197" i="2" a="1"/>
  <c r="CU197" i="2" s="1"/>
  <c r="CU183" i="2" a="1"/>
  <c r="CU183" i="2" s="1"/>
  <c r="CU155" i="2" a="1"/>
  <c r="CU155" i="2" s="1"/>
  <c r="CU141" i="2" a="1"/>
  <c r="CU141" i="2" s="1"/>
  <c r="CT85" i="2" a="1"/>
  <c r="CT85" i="2" s="1"/>
  <c r="CU29" i="2" a="1"/>
  <c r="CU29" i="2" s="1"/>
  <c r="CU228" i="2" a="1"/>
  <c r="CU228" i="2" s="1"/>
  <c r="CU214" i="2" a="1"/>
  <c r="CU214" i="2" s="1"/>
  <c r="CT158" i="2" a="1"/>
  <c r="CT158" i="2" s="1"/>
  <c r="CU116" i="2" a="1"/>
  <c r="CU116" i="2" s="1"/>
  <c r="CU46" i="2" a="1"/>
  <c r="CU46" i="2" s="1"/>
  <c r="CV652" i="2" a="1"/>
  <c r="CV652" i="2" s="1"/>
  <c r="CU610" i="2" a="1"/>
  <c r="CU610" i="2" s="1"/>
  <c r="CT582" i="2" a="1"/>
  <c r="CT582" i="2" s="1"/>
  <c r="CU540" i="2" a="1"/>
  <c r="CU540" i="2" s="1"/>
  <c r="CV526" i="2" a="1"/>
  <c r="CV526" i="2" s="1"/>
  <c r="CV456" i="2" a="1"/>
  <c r="CV456" i="2" s="1"/>
  <c r="CU386" i="2" a="1"/>
  <c r="CU386" i="2" s="1"/>
  <c r="CT372" i="2" a="1"/>
  <c r="CT372" i="2" s="1"/>
  <c r="CV316" i="2" a="1"/>
  <c r="CV316" i="2" s="1"/>
  <c r="CU288" i="2" a="1"/>
  <c r="CU288" i="2" s="1"/>
  <c r="CU232" i="2" a="1"/>
  <c r="CU232" i="2" s="1"/>
  <c r="CU218" i="2" a="1"/>
  <c r="CU218" i="2" s="1"/>
  <c r="CU190" i="2" a="1"/>
  <c r="CU190" i="2" s="1"/>
  <c r="CU134" i="2" a="1"/>
  <c r="CU134" i="2" s="1"/>
  <c r="CV106" i="2" a="1"/>
  <c r="CV106" i="2" s="1"/>
  <c r="CT614" i="2" a="1"/>
  <c r="CT614" i="2" s="1"/>
  <c r="CU158" i="2" a="1"/>
  <c r="CU158" i="2" s="1"/>
  <c r="CT190" i="2" a="1"/>
  <c r="CT190" i="2" s="1"/>
  <c r="CT463" i="2" a="1"/>
  <c r="CT463" i="2" s="1"/>
  <c r="CT421" i="2" a="1"/>
  <c r="CT421" i="2" s="1"/>
  <c r="CT407" i="2" a="1"/>
  <c r="CT407" i="2" s="1"/>
  <c r="CV393" i="2" a="1"/>
  <c r="CV393" i="2" s="1"/>
  <c r="CT393" i="2" a="1"/>
  <c r="CT393" i="2" s="1"/>
  <c r="CT379" i="2" a="1"/>
  <c r="CT379" i="2" s="1"/>
  <c r="CT365" i="2" a="1"/>
  <c r="CT365" i="2" s="1"/>
  <c r="CT351" i="2" a="1"/>
  <c r="CT351" i="2" s="1"/>
  <c r="CT337" i="2" a="1"/>
  <c r="CT337" i="2" s="1"/>
  <c r="CT309" i="2" a="1"/>
  <c r="CT309" i="2" s="1"/>
  <c r="CT281" i="2" a="1"/>
  <c r="CT281" i="2" s="1"/>
  <c r="CT267" i="2" a="1"/>
  <c r="CT267" i="2" s="1"/>
  <c r="CT253" i="2" a="1"/>
  <c r="CT253" i="2" s="1"/>
  <c r="CU253" i="2" a="1"/>
  <c r="CU253" i="2" s="1"/>
  <c r="CT239" i="2" a="1"/>
  <c r="CT239" i="2" s="1"/>
  <c r="CT211" i="2" a="1"/>
  <c r="CT211" i="2" s="1"/>
  <c r="CV197" i="2" a="1"/>
  <c r="CV197" i="2" s="1"/>
  <c r="CT183" i="2" a="1"/>
  <c r="CT183" i="2" s="1"/>
  <c r="CT169" i="2" a="1"/>
  <c r="CT169" i="2" s="1"/>
  <c r="CU169" i="2" a="1"/>
  <c r="CU169" i="2" s="1"/>
  <c r="CT155" i="2" a="1"/>
  <c r="CT155" i="2" s="1"/>
  <c r="CT141" i="2" a="1"/>
  <c r="CT141" i="2" s="1"/>
  <c r="CT127" i="2" a="1"/>
  <c r="CT127" i="2" s="1"/>
  <c r="CU127" i="2" a="1"/>
  <c r="CU127" i="2" s="1"/>
  <c r="CT113" i="2" a="1"/>
  <c r="CT113" i="2" s="1"/>
  <c r="CU113" i="2" a="1"/>
  <c r="CU113" i="2" s="1"/>
  <c r="CT99" i="2" a="1"/>
  <c r="CT99" i="2" s="1"/>
  <c r="CV99" i="2" a="1"/>
  <c r="CV99" i="2" s="1"/>
  <c r="CU99" i="2" a="1"/>
  <c r="CU99" i="2" s="1"/>
  <c r="CT71" i="2" a="1"/>
  <c r="CT71" i="2" s="1"/>
  <c r="CU71" i="2" a="1"/>
  <c r="CU71" i="2" s="1"/>
  <c r="CT57" i="2" a="1"/>
  <c r="CT57" i="2" s="1"/>
  <c r="CU57" i="2" a="1"/>
  <c r="CU57" i="2" s="1"/>
  <c r="CT43" i="2" a="1"/>
  <c r="CT43" i="2" s="1"/>
  <c r="CV43" i="2" a="1"/>
  <c r="CV43" i="2" s="1"/>
  <c r="CT29" i="2" a="1"/>
  <c r="CT29" i="2" s="1"/>
  <c r="CT15" i="2" a="1"/>
  <c r="CT15" i="2" s="1"/>
  <c r="CU15" i="2" a="1"/>
  <c r="CU15" i="2" s="1"/>
  <c r="CU705" i="2" a="1"/>
  <c r="CU705" i="2" s="1"/>
  <c r="CT705" i="2" a="1"/>
  <c r="CT705" i="2" s="1"/>
  <c r="CT691" i="2" a="1"/>
  <c r="CT691" i="2" s="1"/>
  <c r="CT677" i="2" a="1"/>
  <c r="CT677" i="2" s="1"/>
  <c r="CT663" i="2" a="1"/>
  <c r="CT663" i="2" s="1"/>
  <c r="CV649" i="2" a="1"/>
  <c r="CV649" i="2" s="1"/>
  <c r="CT635" i="2" a="1"/>
  <c r="CT635" i="2" s="1"/>
  <c r="CT621" i="2" a="1"/>
  <c r="CT621" i="2" s="1"/>
  <c r="CU607" i="2" a="1"/>
  <c r="CU607" i="2" s="1"/>
  <c r="CT607" i="2" a="1"/>
  <c r="CT607" i="2" s="1"/>
  <c r="CT593" i="2" a="1"/>
  <c r="CT593" i="2" s="1"/>
  <c r="CU593" i="2" a="1"/>
  <c r="CU593" i="2" s="1"/>
  <c r="CT579" i="2" a="1"/>
  <c r="CT579" i="2" s="1"/>
  <c r="CT565" i="2" a="1"/>
  <c r="CT565" i="2" s="1"/>
  <c r="CV551" i="2" a="1"/>
  <c r="CV551" i="2" s="1"/>
  <c r="CT551" i="2" a="1"/>
  <c r="CT551" i="2" s="1"/>
  <c r="CT537" i="2" a="1"/>
  <c r="CT537" i="2" s="1"/>
  <c r="CT523" i="2" a="1"/>
  <c r="CT523" i="2" s="1"/>
  <c r="CU509" i="2" a="1"/>
  <c r="CU509" i="2" s="1"/>
  <c r="CT509" i="2" a="1"/>
  <c r="CT509" i="2" s="1"/>
  <c r="CT481" i="2" a="1"/>
  <c r="CT481" i="2" s="1"/>
  <c r="CV481" i="2" a="1"/>
  <c r="CV481" i="2" s="1"/>
  <c r="CT467" i="2" a="1"/>
  <c r="CT467" i="2" s="1"/>
  <c r="CV453" i="2" a="1"/>
  <c r="CV453" i="2" s="1"/>
  <c r="CT453" i="2" a="1"/>
  <c r="CT453" i="2" s="1"/>
  <c r="CT439" i="2" a="1"/>
  <c r="CT439" i="2" s="1"/>
  <c r="CT425" i="2" a="1"/>
  <c r="CT425" i="2" s="1"/>
  <c r="CU411" i="2" a="1"/>
  <c r="CU411" i="2" s="1"/>
  <c r="CT411" i="2" a="1"/>
  <c r="CT411" i="2" s="1"/>
  <c r="CT383" i="2" a="1"/>
  <c r="CT383" i="2" s="1"/>
  <c r="CT369" i="2" a="1"/>
  <c r="CT369" i="2" s="1"/>
  <c r="CV355" i="2" a="1"/>
  <c r="CV355" i="2" s="1"/>
  <c r="CT355" i="2" a="1"/>
  <c r="CT355" i="2" s="1"/>
  <c r="CT341" i="2" a="1"/>
  <c r="CT341" i="2" s="1"/>
  <c r="CT327" i="2" a="1"/>
  <c r="CT327" i="2" s="1"/>
  <c r="CV327" i="2" a="1"/>
  <c r="CV327" i="2" s="1"/>
  <c r="CU313" i="2" a="1"/>
  <c r="CU313" i="2" s="1"/>
  <c r="CT313" i="2" a="1"/>
  <c r="CT313" i="2" s="1"/>
  <c r="CU299" i="2" a="1"/>
  <c r="CU299" i="2" s="1"/>
  <c r="CT299" i="2" a="1"/>
  <c r="CT299" i="2" s="1"/>
  <c r="CT285" i="2" a="1"/>
  <c r="CT285" i="2" s="1"/>
  <c r="CT271" i="2" a="1"/>
  <c r="CT271" i="2" s="1"/>
  <c r="CT257" i="2" a="1"/>
  <c r="CT257" i="2" s="1"/>
  <c r="CV257" i="2" a="1"/>
  <c r="CV257" i="2" s="1"/>
  <c r="CT243" i="2" a="1"/>
  <c r="CT243" i="2" s="1"/>
  <c r="CT229" i="2" a="1"/>
  <c r="CT229" i="2" s="1"/>
  <c r="CU215" i="2" a="1"/>
  <c r="CU215" i="2" s="1"/>
  <c r="CT215" i="2" a="1"/>
  <c r="CT215" i="2" s="1"/>
  <c r="CT201" i="2" a="1"/>
  <c r="CT201" i="2" s="1"/>
  <c r="CT187" i="2" a="1"/>
  <c r="CT187" i="2" s="1"/>
  <c r="CT173" i="2" a="1"/>
  <c r="CT173" i="2" s="1"/>
  <c r="CT159" i="2" a="1"/>
  <c r="CT159" i="2" s="1"/>
  <c r="CV159" i="2" a="1"/>
  <c r="CV159" i="2" s="1"/>
  <c r="CU145" i="2" a="1"/>
  <c r="CU145" i="2" s="1"/>
  <c r="CT145" i="2" a="1"/>
  <c r="CT145" i="2" s="1"/>
  <c r="CT131" i="2" a="1"/>
  <c r="CT131" i="2" s="1"/>
  <c r="CU131" i="2" a="1"/>
  <c r="CU131" i="2" s="1"/>
  <c r="CU117" i="2" a="1"/>
  <c r="CU117" i="2" s="1"/>
  <c r="CT117" i="2" a="1"/>
  <c r="CT117" i="2" s="1"/>
  <c r="CT103" i="2" a="1"/>
  <c r="CT103" i="2" s="1"/>
  <c r="CT89" i="2" a="1"/>
  <c r="CT89" i="2" s="1"/>
  <c r="CT75" i="2" a="1"/>
  <c r="CT75" i="2" s="1"/>
  <c r="CU75" i="2" a="1"/>
  <c r="CU75" i="2" s="1"/>
  <c r="CV75" i="2" a="1"/>
  <c r="CV75" i="2" s="1"/>
  <c r="CT61" i="2" a="1"/>
  <c r="CT61" i="2" s="1"/>
  <c r="CV61" i="2" a="1"/>
  <c r="CV61" i="2" s="1"/>
  <c r="CU61" i="2" a="1"/>
  <c r="CU61" i="2" s="1"/>
  <c r="CT47" i="2" a="1"/>
  <c r="CT47" i="2" s="1"/>
  <c r="CU47" i="2" a="1"/>
  <c r="CU47" i="2" s="1"/>
  <c r="CT33" i="2" a="1"/>
  <c r="CT33" i="2" s="1"/>
  <c r="CU33" i="2" a="1"/>
  <c r="CU33" i="2" s="1"/>
  <c r="CU19" i="2" a="1"/>
  <c r="CU19" i="2" s="1"/>
  <c r="CT19" i="2" a="1"/>
  <c r="CT19" i="2" s="1"/>
  <c r="CT5" i="2" a="1"/>
  <c r="CT5" i="2" s="1"/>
  <c r="CU5" i="2" a="1"/>
  <c r="CU5" i="2" s="1"/>
  <c r="CT695" i="2" a="1"/>
  <c r="CT695" i="2" s="1"/>
  <c r="CT681" i="2" a="1"/>
  <c r="CT681" i="2" s="1"/>
  <c r="CU667" i="2" a="1"/>
  <c r="CU667" i="2" s="1"/>
  <c r="CT667" i="2" a="1"/>
  <c r="CT667" i="2" s="1"/>
  <c r="CT653" i="2" a="1"/>
  <c r="CT653" i="2" s="1"/>
  <c r="CT639" i="2" a="1"/>
  <c r="CT639" i="2" s="1"/>
  <c r="CT625" i="2" a="1"/>
  <c r="CT625" i="2" s="1"/>
  <c r="CU625" i="2" a="1"/>
  <c r="CU625" i="2" s="1"/>
  <c r="CT611" i="2" a="1"/>
  <c r="CT611" i="2" s="1"/>
  <c r="CT597" i="2" a="1"/>
  <c r="CT597" i="2" s="1"/>
  <c r="CT477" i="2" a="1"/>
  <c r="CT477" i="2" s="1"/>
  <c r="CT449" i="2" a="1"/>
  <c r="CT449" i="2" s="1"/>
  <c r="CV449" i="2" a="1"/>
  <c r="CV449" i="2" s="1"/>
  <c r="CT435" i="2" a="1"/>
  <c r="CT435" i="2" s="1"/>
  <c r="CV295" i="2" a="1"/>
  <c r="CV295" i="2" s="1"/>
  <c r="CT295" i="2" a="1"/>
  <c r="CT295" i="2" s="1"/>
  <c r="CV421" i="2" a="1"/>
  <c r="CV421" i="2" s="1"/>
  <c r="CV351" i="2" a="1"/>
  <c r="CV351" i="2" s="1"/>
  <c r="CV211" i="2" a="1"/>
  <c r="CV211" i="2" s="1"/>
  <c r="CU365" i="2" a="1"/>
  <c r="CU365" i="2" s="1"/>
  <c r="CU355" i="2" a="1"/>
  <c r="CU355" i="2" s="1"/>
  <c r="CU285" i="2" a="1"/>
  <c r="CU285" i="2" s="1"/>
  <c r="CT228" i="2" a="1"/>
  <c r="CT228" i="2" s="1"/>
  <c r="CT200" i="2" a="1"/>
  <c r="CT200" i="2" s="1"/>
  <c r="CT186" i="2" a="1"/>
  <c r="CT186" i="2" s="1"/>
  <c r="CT172" i="2" a="1"/>
  <c r="CT172" i="2" s="1"/>
  <c r="CT144" i="2" a="1"/>
  <c r="CT144" i="2" s="1"/>
  <c r="CV144" i="2" a="1"/>
  <c r="CV144" i="2" s="1"/>
  <c r="CT130" i="2" a="1"/>
  <c r="CT130" i="2" s="1"/>
  <c r="CU130" i="2" a="1"/>
  <c r="CU130" i="2" s="1"/>
  <c r="CV116" i="2" a="1"/>
  <c r="CV116" i="2" s="1"/>
  <c r="CT88" i="2" a="1"/>
  <c r="CT88" i="2" s="1"/>
  <c r="CU88" i="2" a="1"/>
  <c r="CU88" i="2" s="1"/>
  <c r="CT74" i="2" a="1"/>
  <c r="CT74" i="2" s="1"/>
  <c r="CU74" i="2" a="1"/>
  <c r="CU74" i="2" s="1"/>
  <c r="CT60" i="2" a="1"/>
  <c r="CT60" i="2" s="1"/>
  <c r="CU60" i="2" a="1"/>
  <c r="CU60" i="2" s="1"/>
  <c r="CV46" i="2" a="1"/>
  <c r="CV46" i="2" s="1"/>
  <c r="CT46" i="2" a="1"/>
  <c r="CT46" i="2" s="1"/>
  <c r="CT32" i="2" a="1"/>
  <c r="CT32" i="2" s="1"/>
  <c r="CU32" i="2" a="1"/>
  <c r="CU32" i="2" s="1"/>
  <c r="CT4" i="2" a="1"/>
  <c r="CT4" i="2" s="1"/>
  <c r="CT694" i="2" a="1"/>
  <c r="CT694" i="2" s="1"/>
  <c r="CT680" i="2" a="1"/>
  <c r="CT680" i="2" s="1"/>
  <c r="CT666" i="2" a="1"/>
  <c r="CT666" i="2" s="1"/>
  <c r="CU652" i="2" a="1"/>
  <c r="CU652" i="2" s="1"/>
  <c r="CT638" i="2" a="1"/>
  <c r="CT638" i="2" s="1"/>
  <c r="CT624" i="2" a="1"/>
  <c r="CT624" i="2" s="1"/>
  <c r="CT596" i="2" a="1"/>
  <c r="CT596" i="2" s="1"/>
  <c r="CU568" i="2" a="1"/>
  <c r="CU568" i="2" s="1"/>
  <c r="CU554" i="2" a="1"/>
  <c r="CU554" i="2" s="1"/>
  <c r="CT554" i="2" a="1"/>
  <c r="CT554" i="2" s="1"/>
  <c r="CT540" i="2" a="1"/>
  <c r="CT540" i="2" s="1"/>
  <c r="CT526" i="2" a="1"/>
  <c r="CT526" i="2" s="1"/>
  <c r="CT498" i="2" a="1"/>
  <c r="CT498" i="2" s="1"/>
  <c r="CT484" i="2" a="1"/>
  <c r="CT484" i="2" s="1"/>
  <c r="CT470" i="2" a="1"/>
  <c r="CT470" i="2" s="1"/>
  <c r="CU456" i="2" a="1"/>
  <c r="CU456" i="2" s="1"/>
  <c r="CT456" i="2" a="1"/>
  <c r="CT456" i="2" s="1"/>
  <c r="CT428" i="2" a="1"/>
  <c r="CT428" i="2" s="1"/>
  <c r="CU428" i="2" a="1"/>
  <c r="CU428" i="2" s="1"/>
  <c r="CT400" i="2" a="1"/>
  <c r="CT400" i="2" s="1"/>
  <c r="CV400" i="2" a="1"/>
  <c r="CV400" i="2" s="1"/>
  <c r="CT386" i="2" a="1"/>
  <c r="CT386" i="2" s="1"/>
  <c r="CT358" i="2" a="1"/>
  <c r="CT358" i="2" s="1"/>
  <c r="CT344" i="2" a="1"/>
  <c r="CT344" i="2" s="1"/>
  <c r="CT330" i="2" a="1"/>
  <c r="CT330" i="2" s="1"/>
  <c r="CT302" i="2" a="1"/>
  <c r="CT302" i="2" s="1"/>
  <c r="CT288" i="2" a="1"/>
  <c r="CT288" i="2" s="1"/>
  <c r="CU274" i="2" a="1"/>
  <c r="CU274" i="2" s="1"/>
  <c r="CT274" i="2" a="1"/>
  <c r="CT274" i="2" s="1"/>
  <c r="CT260" i="2" a="1"/>
  <c r="CT260" i="2" s="1"/>
  <c r="CT246" i="2" a="1"/>
  <c r="CT246" i="2" s="1"/>
  <c r="CV246" i="2" a="1"/>
  <c r="CV246" i="2" s="1"/>
  <c r="CT218" i="2" a="1"/>
  <c r="CT218" i="2" s="1"/>
  <c r="CT204" i="2" a="1"/>
  <c r="CT204" i="2" s="1"/>
  <c r="CT176" i="2" a="1"/>
  <c r="CT176" i="2" s="1"/>
  <c r="CT162" i="2" a="1"/>
  <c r="CT162" i="2" s="1"/>
  <c r="CT148" i="2" a="1"/>
  <c r="CT148" i="2" s="1"/>
  <c r="CU148" i="2" a="1"/>
  <c r="CU148" i="2" s="1"/>
  <c r="CT134" i="2" a="1"/>
  <c r="CT134" i="2" s="1"/>
  <c r="CT120" i="2" a="1"/>
  <c r="CT120" i="2" s="1"/>
  <c r="CU120" i="2" a="1"/>
  <c r="CU120" i="2" s="1"/>
  <c r="CT106" i="2" a="1"/>
  <c r="CT106" i="2" s="1"/>
  <c r="CU92" i="2" a="1"/>
  <c r="CU92" i="2" s="1"/>
  <c r="CT92" i="2" a="1"/>
  <c r="CT92" i="2" s="1"/>
  <c r="CV92" i="2" a="1"/>
  <c r="CV92" i="2" s="1"/>
  <c r="CT78" i="2" a="1"/>
  <c r="CT78" i="2" s="1"/>
  <c r="CU78" i="2" a="1"/>
  <c r="CU78" i="2" s="1"/>
  <c r="CT64" i="2" a="1"/>
  <c r="CT64" i="2" s="1"/>
  <c r="CT50" i="2" a="1"/>
  <c r="CT50" i="2" s="1"/>
  <c r="CT36" i="2" a="1"/>
  <c r="CT36" i="2" s="1"/>
  <c r="CT8" i="2" a="1"/>
  <c r="CT8" i="2" s="1"/>
  <c r="CU8" i="2" a="1"/>
  <c r="CU8" i="2" s="1"/>
  <c r="CT698" i="2" a="1"/>
  <c r="CT698" i="2" s="1"/>
  <c r="CT684" i="2" a="1"/>
  <c r="CT684" i="2" s="1"/>
  <c r="CT656" i="2" a="1"/>
  <c r="CT656" i="2" s="1"/>
  <c r="CT642" i="2" a="1"/>
  <c r="CT642" i="2" s="1"/>
  <c r="CT628" i="2" a="1"/>
  <c r="CT628" i="2" s="1"/>
  <c r="CT586" i="2" a="1"/>
  <c r="CT586" i="2" s="1"/>
  <c r="CT558" i="2" a="1"/>
  <c r="CT558" i="2" s="1"/>
  <c r="CT544" i="2" a="1"/>
  <c r="CT544" i="2" s="1"/>
  <c r="CU544" i="2" a="1"/>
  <c r="CU544" i="2" s="1"/>
  <c r="CV530" i="2" a="1"/>
  <c r="CV530" i="2" s="1"/>
  <c r="CT516" i="2" a="1"/>
  <c r="CT516" i="2" s="1"/>
  <c r="CT502" i="2" a="1"/>
  <c r="CT502" i="2" s="1"/>
  <c r="CT488" i="2" a="1"/>
  <c r="CT488" i="2" s="1"/>
  <c r="CU344" i="2" a="1"/>
  <c r="CU344" i="2" s="1"/>
  <c r="CU393" i="2" a="1"/>
  <c r="CU393" i="2" s="1"/>
  <c r="CU211" i="2" a="1"/>
  <c r="CU211" i="2" s="1"/>
  <c r="CT652" i="2" a="1"/>
  <c r="CT652" i="2" s="1"/>
  <c r="CT583" i="2" a="1"/>
  <c r="CT583" i="2" s="1"/>
  <c r="CU569" i="2" a="1"/>
  <c r="CU569" i="2" s="1"/>
  <c r="CT569" i="2" a="1"/>
  <c r="CT569" i="2" s="1"/>
  <c r="CT541" i="2" a="1"/>
  <c r="CT541" i="2" s="1"/>
  <c r="CT527" i="2" a="1"/>
  <c r="CT527" i="2" s="1"/>
  <c r="CT499" i="2" a="1"/>
  <c r="CT499" i="2" s="1"/>
  <c r="CT485" i="2" a="1"/>
  <c r="CT485" i="2" s="1"/>
  <c r="CU471" i="2" a="1"/>
  <c r="CU471" i="2" s="1"/>
  <c r="CT471" i="2" a="1"/>
  <c r="CT471" i="2" s="1"/>
  <c r="CT457" i="2" a="1"/>
  <c r="CT457" i="2" s="1"/>
  <c r="CT443" i="2" a="1"/>
  <c r="CT443" i="2" s="1"/>
  <c r="CT429" i="2" a="1"/>
  <c r="CT429" i="2" s="1"/>
  <c r="CT415" i="2" a="1"/>
  <c r="CT415" i="2" s="1"/>
  <c r="CT401" i="2" a="1"/>
  <c r="CT401" i="2" s="1"/>
  <c r="CT387" i="2" a="1"/>
  <c r="CT387" i="2" s="1"/>
  <c r="CU373" i="2" a="1"/>
  <c r="CU373" i="2" s="1"/>
  <c r="CT373" i="2" a="1"/>
  <c r="CT373" i="2" s="1"/>
  <c r="CT359" i="2" a="1"/>
  <c r="CT359" i="2" s="1"/>
  <c r="CT345" i="2" a="1"/>
  <c r="CT345" i="2" s="1"/>
  <c r="CT331" i="2" a="1"/>
  <c r="CT331" i="2" s="1"/>
  <c r="CU331" i="2" a="1"/>
  <c r="CU331" i="2" s="1"/>
  <c r="CT317" i="2" a="1"/>
  <c r="CT317" i="2" s="1"/>
  <c r="CU317" i="2" a="1"/>
  <c r="CU317" i="2" s="1"/>
  <c r="CT303" i="2" a="1"/>
  <c r="CT303" i="2" s="1"/>
  <c r="CT289" i="2" a="1"/>
  <c r="CT289" i="2" s="1"/>
  <c r="CU275" i="2" a="1"/>
  <c r="CU275" i="2" s="1"/>
  <c r="CT275" i="2" a="1"/>
  <c r="CT275" i="2" s="1"/>
  <c r="CT261" i="2" a="1"/>
  <c r="CT261" i="2" s="1"/>
  <c r="CT247" i="2" a="1"/>
  <c r="CT247" i="2" s="1"/>
  <c r="CU247" i="2" a="1"/>
  <c r="CU247" i="2" s="1"/>
  <c r="CT233" i="2" a="1"/>
  <c r="CT233" i="2" s="1"/>
  <c r="CT219" i="2" a="1"/>
  <c r="CT219" i="2" s="1"/>
  <c r="CT191" i="2" a="1"/>
  <c r="CT191" i="2" s="1"/>
  <c r="CU177" i="2" a="1"/>
  <c r="CU177" i="2" s="1"/>
  <c r="CT177" i="2" a="1"/>
  <c r="CT177" i="2" s="1"/>
  <c r="CT163" i="2" a="1"/>
  <c r="CT163" i="2" s="1"/>
  <c r="CT149" i="2" a="1"/>
  <c r="CT149" i="2" s="1"/>
  <c r="CU149" i="2" a="1"/>
  <c r="CU149" i="2" s="1"/>
  <c r="CT135" i="2" a="1"/>
  <c r="CT135" i="2" s="1"/>
  <c r="CT121" i="2" a="1"/>
  <c r="CT121" i="2" s="1"/>
  <c r="CU121" i="2" a="1"/>
  <c r="CU121" i="2" s="1"/>
  <c r="CT107" i="2" a="1"/>
  <c r="CT107" i="2" s="1"/>
  <c r="CU79" i="2" a="1"/>
  <c r="CU79" i="2" s="1"/>
  <c r="CT79" i="2" a="1"/>
  <c r="CT79" i="2" s="1"/>
  <c r="CT65" i="2" a="1"/>
  <c r="CT65" i="2" s="1"/>
  <c r="CT51" i="2" a="1"/>
  <c r="CT51" i="2" s="1"/>
  <c r="CT349" i="2" a="1"/>
  <c r="CT349" i="2" s="1"/>
  <c r="CU429" i="2" a="1"/>
  <c r="CU429" i="2" s="1"/>
  <c r="CT446" i="2" a="1"/>
  <c r="CT446" i="2" s="1"/>
  <c r="CT432" i="2" a="1"/>
  <c r="CT432" i="2" s="1"/>
  <c r="CT418" i="2" a="1"/>
  <c r="CT418" i="2" s="1"/>
  <c r="CT404" i="2" a="1"/>
  <c r="CT404" i="2" s="1"/>
  <c r="CU404" i="2" a="1"/>
  <c r="CU404" i="2" s="1"/>
  <c r="CT390" i="2" a="1"/>
  <c r="CT390" i="2" s="1"/>
  <c r="CT222" i="2" a="1"/>
  <c r="CT222" i="2" s="1"/>
  <c r="CT194" i="2" a="1"/>
  <c r="CT194" i="2" s="1"/>
  <c r="CT37" i="2" a="1"/>
  <c r="CT37" i="2" s="1"/>
  <c r="CT23" i="2" a="1"/>
  <c r="CT23" i="2" s="1"/>
  <c r="CU23" i="2" a="1"/>
  <c r="CU23" i="2" s="1"/>
  <c r="CT9" i="2" a="1"/>
  <c r="CT9" i="2" s="1"/>
  <c r="CT699" i="2" a="1"/>
  <c r="CT699" i="2" s="1"/>
  <c r="CT685" i="2" a="1"/>
  <c r="CT685" i="2" s="1"/>
  <c r="CT643" i="2" a="1"/>
  <c r="CT643" i="2" s="1"/>
  <c r="CT629" i="2" a="1"/>
  <c r="CT629" i="2" s="1"/>
  <c r="CT615" i="2" a="1"/>
  <c r="CT615" i="2" s="1"/>
  <c r="CT601" i="2" a="1"/>
  <c r="CT601" i="2" s="1"/>
  <c r="CT587" i="2" a="1"/>
  <c r="CT587" i="2" s="1"/>
  <c r="CT573" i="2" a="1"/>
  <c r="CT573" i="2" s="1"/>
  <c r="CT545" i="2" a="1"/>
  <c r="CT545" i="2" s="1"/>
  <c r="CT531" i="2" a="1"/>
  <c r="CT531" i="2" s="1"/>
  <c r="CT489" i="2" a="1"/>
  <c r="CT489" i="2" s="1"/>
  <c r="CT475" i="2" a="1"/>
  <c r="CT475" i="2" s="1"/>
  <c r="CT461" i="2" a="1"/>
  <c r="CT461" i="2" s="1"/>
  <c r="CT419" i="2" a="1"/>
  <c r="CT419" i="2" s="1"/>
  <c r="CT405" i="2" a="1"/>
  <c r="CT405" i="2" s="1"/>
  <c r="CT391" i="2" a="1"/>
  <c r="CT391" i="2" s="1"/>
  <c r="CT363" i="2" a="1"/>
  <c r="CT363" i="2" s="1"/>
  <c r="CT335" i="2" a="1"/>
  <c r="CT335" i="2" s="1"/>
  <c r="CT321" i="2" a="1"/>
  <c r="CT321" i="2" s="1"/>
  <c r="CU307" i="2" a="1"/>
  <c r="CU307" i="2" s="1"/>
  <c r="CT293" i="2" a="1"/>
  <c r="CT293" i="2" s="1"/>
  <c r="CT265" i="2" a="1"/>
  <c r="CT265" i="2" s="1"/>
  <c r="CT251" i="2" a="1"/>
  <c r="CT251" i="2" s="1"/>
  <c r="CT237" i="2" a="1"/>
  <c r="CT237" i="2" s="1"/>
  <c r="CT223" i="2" a="1"/>
  <c r="CT223" i="2" s="1"/>
  <c r="CT45" i="2" a="1"/>
  <c r="CT45" i="2" s="1"/>
  <c r="CT348" i="2" a="1"/>
  <c r="CT348" i="2" s="1"/>
  <c r="CT306" i="2" a="1"/>
  <c r="CT306" i="2" s="1"/>
  <c r="CT292" i="2" a="1"/>
  <c r="CT292" i="2" s="1"/>
  <c r="CT264" i="2" a="1"/>
  <c r="CT264" i="2" s="1"/>
  <c r="CT250" i="2" a="1"/>
  <c r="CT250" i="2" s="1"/>
  <c r="CU250" i="2" a="1"/>
  <c r="CU250" i="2" s="1"/>
  <c r="CT236" i="2" a="1"/>
  <c r="CT236" i="2" s="1"/>
  <c r="CT208" i="2" a="1"/>
  <c r="CT208" i="2" s="1"/>
  <c r="CT128" i="2" a="1"/>
  <c r="CT128" i="2" s="1"/>
  <c r="CT286" i="2" a="1"/>
  <c r="CT286" i="2" s="1"/>
  <c r="CT192" i="2" a="1"/>
  <c r="CT192" i="2" s="1"/>
  <c r="CT122" i="2" a="1"/>
  <c r="CT122" i="2" s="1"/>
  <c r="CT80" i="2" a="1"/>
  <c r="CT80" i="2" s="1"/>
  <c r="CT98" i="2" a="1"/>
  <c r="CT98" i="2" s="1"/>
  <c r="CT70" i="2" a="1"/>
  <c r="CT70" i="2" s="1"/>
  <c r="CU358" i="2" a="1"/>
  <c r="CU358" i="2" s="1"/>
  <c r="CU328" i="2" a="1"/>
  <c r="CU328" i="2" s="1"/>
  <c r="CU230" i="2" a="1"/>
  <c r="CU230" i="2" s="1"/>
  <c r="CU132" i="2" a="1"/>
  <c r="CU132" i="2" s="1"/>
  <c r="CU34" i="2" a="1"/>
  <c r="CU34" i="2" s="1"/>
  <c r="CU298" i="2" a="1"/>
  <c r="CU298" i="2" s="1"/>
  <c r="CU200" i="2" a="1"/>
  <c r="CU200" i="2" s="1"/>
  <c r="CU102" i="2" a="1"/>
  <c r="CU102" i="2" s="1"/>
  <c r="CU4" i="2" a="1"/>
  <c r="CU4" i="2" s="1"/>
  <c r="CT610" i="2" a="1"/>
  <c r="CT610" i="2" s="1"/>
  <c r="CT512" i="2" a="1"/>
  <c r="CT512" i="2" s="1"/>
  <c r="CT414" i="2" a="1"/>
  <c r="CT414" i="2" s="1"/>
  <c r="CT316" i="2" a="1"/>
  <c r="CT316" i="2" s="1"/>
  <c r="CT232" i="2" a="1"/>
  <c r="CT232" i="2" s="1"/>
  <c r="CU162" i="2" a="1"/>
  <c r="CU162" i="2" s="1"/>
  <c r="CU64" i="2" a="1"/>
  <c r="CU64" i="2" s="1"/>
  <c r="CT670" i="2" a="1"/>
  <c r="CT670" i="2" s="1"/>
  <c r="CT572" i="2" a="1"/>
  <c r="CT572" i="2" s="1"/>
  <c r="CT474" i="2" a="1"/>
  <c r="CT474" i="2" s="1"/>
  <c r="CT376" i="2" a="1"/>
  <c r="CT376" i="2" s="1"/>
  <c r="CT278" i="2" a="1"/>
  <c r="CT278" i="2" s="1"/>
  <c r="CT110" i="2" a="1"/>
  <c r="CT110" i="2" s="1"/>
  <c r="CT240" i="2" a="1"/>
  <c r="CT240" i="2" s="1"/>
  <c r="CT94" i="2" a="1"/>
  <c r="CT94" i="2" s="1"/>
  <c r="CT102" i="2" a="1"/>
  <c r="CT102" i="2" s="1"/>
  <c r="CT180" i="2" a="1"/>
  <c r="CT180" i="2" s="1"/>
  <c r="CT152" i="2" a="1"/>
  <c r="CT152" i="2" s="1"/>
  <c r="CT138" i="2" a="1"/>
  <c r="CT138" i="2" s="1"/>
  <c r="CT96" i="2" a="1"/>
  <c r="CT96" i="2" s="1"/>
  <c r="CT82" i="2" a="1"/>
  <c r="CT82" i="2" s="1"/>
  <c r="CT26" i="2" a="1"/>
  <c r="CT26" i="2" s="1"/>
  <c r="CT422" i="2" a="1"/>
  <c r="CT422" i="2" s="1"/>
  <c r="CT324" i="2" a="1"/>
  <c r="CT324" i="2" s="1"/>
  <c r="CT226" i="2" a="1"/>
  <c r="CT226" i="2" s="1"/>
  <c r="CT156" i="2" a="1"/>
  <c r="CT156" i="2" s="1"/>
  <c r="CT114" i="2" a="1"/>
  <c r="CT114" i="2" s="1"/>
  <c r="CT72" i="2" a="1"/>
  <c r="CT72" i="2" s="1"/>
  <c r="CT58" i="2" a="1"/>
  <c r="CT58" i="2" s="1"/>
  <c r="CT2" i="2" a="1"/>
  <c r="CT2" i="2" s="1"/>
  <c r="CU260" i="2" a="1"/>
  <c r="CU260" i="2" s="1"/>
  <c r="CT640" i="2" a="1"/>
  <c r="CT640" i="2" s="1"/>
  <c r="CT542" i="2" a="1"/>
  <c r="CT542" i="2" s="1"/>
  <c r="CT444" i="2" a="1"/>
  <c r="CT444" i="2" s="1"/>
  <c r="CT346" i="2" a="1"/>
  <c r="CT346" i="2" s="1"/>
  <c r="CT248" i="2" a="1"/>
  <c r="CT248" i="2" s="1"/>
  <c r="CT224" i="2" a="1"/>
  <c r="CT224" i="2" s="1"/>
  <c r="CT244" i="2" a="1"/>
  <c r="CT244" i="2" s="1"/>
  <c r="CT230" i="2" a="1"/>
  <c r="CT230" i="2" s="1"/>
  <c r="CT216" i="2" a="1"/>
  <c r="CT216" i="2" s="1"/>
  <c r="CT202" i="2" a="1"/>
  <c r="CT202" i="2" s="1"/>
  <c r="CT188" i="2" a="1"/>
  <c r="CT188" i="2" s="1"/>
  <c r="CT174" i="2" a="1"/>
  <c r="CT174" i="2" s="1"/>
  <c r="CT160" i="2" a="1"/>
  <c r="CT160" i="2" s="1"/>
  <c r="CT146" i="2" a="1"/>
  <c r="CT146" i="2" s="1"/>
  <c r="CT132" i="2" a="1"/>
  <c r="CT132" i="2" s="1"/>
  <c r="CT118" i="2" a="1"/>
  <c r="CT118" i="2" s="1"/>
  <c r="CT104" i="2" a="1"/>
  <c r="CT104" i="2" s="1"/>
  <c r="CT90" i="2" a="1"/>
  <c r="CT90" i="2" s="1"/>
  <c r="CT76" i="2" a="1"/>
  <c r="CT76" i="2" s="1"/>
  <c r="CT62" i="2" a="1"/>
  <c r="CT62" i="2" s="1"/>
  <c r="CT48" i="2" a="1"/>
  <c r="CT48" i="2" s="1"/>
  <c r="CT34" i="2" a="1"/>
  <c r="CT34" i="2" s="1"/>
  <c r="CT20" i="2" a="1"/>
  <c r="CT20" i="2" s="1"/>
  <c r="CT6" i="2" a="1"/>
  <c r="CT6" i="2" s="1"/>
  <c r="CT209" i="2" a="1"/>
  <c r="CT209" i="2" s="1"/>
  <c r="CT195" i="2" a="1"/>
  <c r="CT195" i="2" s="1"/>
  <c r="CT181" i="2" a="1"/>
  <c r="CT181" i="2" s="1"/>
  <c r="CT167" i="2" a="1"/>
  <c r="CT167" i="2" s="1"/>
  <c r="CT153" i="2" a="1"/>
  <c r="CT153" i="2" s="1"/>
  <c r="CT139" i="2" a="1"/>
  <c r="CT139" i="2" s="1"/>
  <c r="CT125" i="2" a="1"/>
  <c r="CT125" i="2" s="1"/>
  <c r="CT111" i="2" a="1"/>
  <c r="CT111" i="2" s="1"/>
  <c r="CT97" i="2" a="1"/>
  <c r="CT97" i="2" s="1"/>
  <c r="CT83" i="2" a="1"/>
  <c r="CT83" i="2" s="1"/>
  <c r="CT69" i="2" a="1"/>
  <c r="CT69" i="2" s="1"/>
  <c r="CT55" i="2" a="1"/>
  <c r="CT55" i="2" s="1"/>
  <c r="CT41" i="2" a="1"/>
  <c r="CT41" i="2" s="1"/>
  <c r="CT27" i="2" a="1"/>
  <c r="CT27" i="2" s="1"/>
  <c r="CT13" i="2" a="1"/>
  <c r="CT13" i="2" s="1"/>
  <c r="CT199" i="2" a="1"/>
  <c r="CT199" i="2" s="1"/>
  <c r="CT101" i="2" a="1"/>
  <c r="CT101" i="2" s="1"/>
  <c r="CT3" i="2" a="1"/>
  <c r="CT3" i="2" s="1"/>
  <c r="CT214" i="2" a="1"/>
  <c r="CT214" i="2" s="1"/>
  <c r="CT116" i="2" a="1"/>
  <c r="CT116" i="2" s="1"/>
  <c r="CT18" i="2" a="1"/>
  <c r="CT18" i="2" s="1"/>
  <c r="CT184" i="2" a="1"/>
  <c r="CT184" i="2" s="1"/>
  <c r="CT86" i="2" a="1"/>
  <c r="CT86" i="2" s="1"/>
  <c r="CT154" i="2" a="1"/>
  <c r="CT154" i="2" s="1"/>
  <c r="CT56" i="2" a="1"/>
  <c r="CT56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<sst xmlns="http://schemas.openxmlformats.org/spreadsheetml/2006/main" count="2893" uniqueCount="931">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</sst>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346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30.372019097224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25T00:00:00"/>
    </cacheField>
    <cacheField name="FECHA ULTIMO REGISTRO" numFmtId="14">
      <sharedItems containsSemiMixedTypes="0" containsNonDate="0" containsDate="1" containsString="0" minDate="1899-12-30T00:00:00" maxDate="2026-07-25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30" count="37">
        <m/>
        <n v="3"/>
        <n v="4"/>
        <n v="5"/>
        <n v="14"/>
        <n v="6"/>
        <n v="7"/>
        <n v="12"/>
        <n v="46230"/>
        <n v="1" u="1"/>
        <n v="2" u="1"/>
        <n v="11" u="1"/>
        <n v="9" u="1"/>
        <n v="46227" u="1"/>
        <n v="13" u="1"/>
        <n v="17" u="1"/>
        <n v="8" u="1"/>
        <n v="46212" u="1"/>
        <n v="0" u="1"/>
        <n v="36" u="1"/>
        <n v="10" u="1"/>
        <n v="46198" u="1"/>
        <n v="19" u="1"/>
        <n v="46181" u="1"/>
        <n v="15" u="1"/>
        <n v="46177" u="1"/>
        <n v="26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7-25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"/>
        <n v="0.22222222222222221" u="1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8">
        <n v="1"/>
        <n v="0.72727272727272729"/>
        <n v="0.27272727272727271"/>
        <n v="0.63636363636363635"/>
        <n v="0.54545454545454541"/>
        <n v="0"/>
        <n v="0.81818181818181812" u="1"/>
        <n v="0.90909090909090917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44" count="71">
        <n v="0"/>
        <n v="29"/>
        <n v="19"/>
        <n v="18"/>
        <n v="15"/>
        <n v="14"/>
        <n v="24"/>
        <n v="23"/>
        <n v="13"/>
        <n v="12"/>
        <n v="22"/>
        <n v="21"/>
        <n v="11"/>
        <n v="8"/>
        <n v="17"/>
        <n v="7"/>
        <n v="6"/>
        <n v="16"/>
        <n v="5"/>
        <n v="4"/>
        <n v="1"/>
        <n v="10"/>
        <n v="-1"/>
        <n v="-4"/>
        <n v="-5"/>
        <n v="-6"/>
        <n v="3"/>
        <n v="-8"/>
        <n v="2"/>
        <n v="-11"/>
        <n v="-12"/>
        <n v="-2"/>
        <n v="20" u="1"/>
        <n v="30" u="1"/>
        <n v="34" u="1"/>
        <n v="44" u="1"/>
        <n v="31" u="1"/>
        <n v="40" u="1"/>
        <n v="39" u="1"/>
        <n v="27" u="1"/>
        <n v="37" u="1"/>
        <n v="33" u="1"/>
        <n v="32" u="1"/>
        <n v="28" u="1"/>
        <n v="26" u="1"/>
        <n v="25" u="1"/>
        <n v="9" u="1"/>
        <n v="-3" u="1"/>
        <n v="35" u="1"/>
        <n v="-7" u="1"/>
        <n v="-9" u="1"/>
        <n v="-10" u="1"/>
        <n v="-13" u="1"/>
        <n v="-14" u="1"/>
        <n v="-17" u="1"/>
        <n v="-18" u="1"/>
        <n v="-19" u="1"/>
        <n v="-20" u="1"/>
        <n v="-21" u="1"/>
        <n v="-16" u="1"/>
        <n v="-15" u="1"/>
        <n v="-22" u="1"/>
        <n v="-23" u="1"/>
        <n v="-24" u="1"/>
        <n v="-25" u="1"/>
        <n v="-26" u="1"/>
        <n v="-29" u="1"/>
        <n v="-27" u="1"/>
        <n v="-28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9999999999999978"/>
    <d v="2026-05-08T00:00:00"/>
    <d v="2026-05-12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6"/>
    <n v="2302600067"/>
    <x v="1"/>
    <n v="0.99999999999999978"/>
    <d v="2026-05-11T00:00:00"/>
    <d v="2026-05-16T00:00:00"/>
    <d v="2026-07-07T00:00:00"/>
    <d v="2026-06-16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9999999999999978"/>
    <d v="2026-05-12T00:00:00"/>
    <d v="2026-05-16T00:00:00"/>
    <d v="2026-07-07T00:00:00"/>
    <d v="2026-06-17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0"/>
    <n v="2302600071"/>
    <x v="1"/>
    <n v="0.99999999999999978"/>
    <d v="2026-05-13T00:00:00"/>
    <d v="2026-05-14T00:00:00"/>
    <d v="2026-07-07T00:00:00"/>
    <d v="2026-06-1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1"/>
    <n v="2282600072"/>
    <x v="0"/>
    <n v="0.99999999999999978"/>
    <d v="2026-05-13T00:00:00"/>
    <d v="2026-05-12T00:00:00"/>
    <d v="2026-07-07T00:00:00"/>
    <d v="2026-06-0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2"/>
    <n v="2282600073"/>
    <x v="0"/>
    <n v="0.99999999999999978"/>
    <d v="2026-05-14T00:00:00"/>
    <d v="2026-05-25T00:00:00"/>
    <d v="2026-07-08T00:00:00"/>
    <d v="2026-06-0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3"/>
    <n v="2302600074"/>
    <x v="1"/>
    <n v="0.99999999999999978"/>
    <d v="2026-05-14T00:00:00"/>
    <d v="2026-05-19T00:00:00"/>
    <d v="2026-07-08T00:00:00"/>
    <d v="2026-06-1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4"/>
    <n v="2302600075"/>
    <x v="1"/>
    <n v="0.99999999999999978"/>
    <d v="2026-05-15T00:00:00"/>
    <d v="2026-05-18T00:00:00"/>
    <d v="2026-07-10T00:00:00"/>
    <d v="2026-06-2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5"/>
    <n v="2282600076"/>
    <x v="0"/>
    <n v="0.99999999999999978"/>
    <d v="2026-05-15T00:00:00"/>
    <d v="2026-05-27T00:00:00"/>
    <d v="2026-07-10T00:00:00"/>
    <d v="2026-06-1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6"/>
    <n v="2282600077"/>
    <x v="0"/>
    <n v="0.99999999999999978"/>
    <d v="2026-05-18T00:00:00"/>
    <d v="2026-05-26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7"/>
    <n v="2302600078"/>
    <x v="1"/>
    <n v="0.99999999999999978"/>
    <d v="2026-05-18T00:00:00"/>
    <d v="2026-05-16T00:00:00"/>
    <d v="2026-07-13T00:00:00"/>
    <d v="2026-06-23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8"/>
    <n v="2302600079"/>
    <x v="1"/>
    <n v="0.99999999999999978"/>
    <d v="2026-05-19T00:00:00"/>
    <d v="2026-05-20T00:00:00"/>
    <d v="2026-07-13T00:00:00"/>
    <d v="2026-06-24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9"/>
    <n v="2282600080"/>
    <x v="0"/>
    <n v="0.99999999999999978"/>
    <d v="2026-05-19T00:00:00"/>
    <d v="2026-05-26T00:00:00"/>
    <d v="2026-07-10T00:00:00"/>
    <d v="2026-06-14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0"/>
    <n v="2282600081"/>
    <x v="0"/>
    <n v="0.99999999999999978"/>
    <d v="2026-05-20T00:00:00"/>
    <d v="2026-05-29T00:00:00"/>
    <d v="2026-07-10T00:00:00"/>
    <d v="2026-06-15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1"/>
    <n v="2302600082"/>
    <x v="1"/>
    <n v="0.99999999999999978"/>
    <d v="2026-05-20T00:00:00"/>
    <d v="2026-05-29T00:00:00"/>
    <d v="2026-07-14T00:00:00"/>
    <d v="2026-06-25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2"/>
    <n v="2302600083"/>
    <x v="1"/>
    <n v="0.99999999999999978"/>
    <d v="2026-05-22T00:00:00"/>
    <d v="2026-06-01T00:00:00"/>
    <d v="2026-07-14T00:00:00"/>
    <d v="2026-06-27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3"/>
    <n v="2282600084"/>
    <x v="0"/>
    <n v="0.99999999999999978"/>
    <d v="2026-05-22T00:00:00"/>
    <d v="2026-05-29T00:00:00"/>
    <d v="2026-07-13T00:00:00"/>
    <d v="2026-06-17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4"/>
    <n v="2282600085"/>
    <x v="0"/>
    <n v="0.99999999999999978"/>
    <d v="2026-05-25T00:00:00"/>
    <d v="2026-05-29T00:00:00"/>
    <d v="2026-07-13T00:00:00"/>
    <d v="2026-06-20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5"/>
    <n v="2302600086"/>
    <x v="1"/>
    <n v="0.99999999999999978"/>
    <d v="2026-05-25T00:00:00"/>
    <d v="2026-06-03T00:00:00"/>
    <d v="2026-07-22T00:00:00"/>
    <d v="2026-06-30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6"/>
    <n v="2302600087"/>
    <x v="1"/>
    <n v="0.99999999999999978"/>
    <d v="2026-05-26T00:00:00"/>
    <d v="2026-05-29T00:00:00"/>
    <d v="2026-07-15T00:00:00"/>
    <d v="2026-07-01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7"/>
    <n v="2282600088"/>
    <x v="0"/>
    <n v="0.99999999999999978"/>
    <d v="2026-05-26T00:00:00"/>
    <d v="2026-05-29T00:00:00"/>
    <d v="2026-07-14T00:00:00"/>
    <d v="2026-06-21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8"/>
    <n v="2282600089"/>
    <x v="0"/>
    <n v="0.99999999999999978"/>
    <d v="2026-05-27T00:00:00"/>
    <d v="2026-06-05T00:00:00"/>
    <d v="2026-07-13T00:00:00"/>
    <d v="2026-06-22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9"/>
    <n v="2302600090"/>
    <x v="1"/>
    <n v="0.99999999999999978"/>
    <d v="2026-05-27T00:00:00"/>
    <d v="2026-06-03T00:00:00"/>
    <d v="2026-07-22T00:00:00"/>
    <d v="2026-07-02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0"/>
    <n v="2302600091"/>
    <x v="1"/>
    <n v="0.99999999999999978"/>
    <d v="2026-05-28T00:00:00"/>
    <d v="2026-06-08T00:00:00"/>
    <d v="2026-07-22T00:00:00"/>
    <d v="2026-07-03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1"/>
    <n v="2282600092"/>
    <x v="0"/>
    <n v="0.99999999999999978"/>
    <d v="2026-05-28T00:00:00"/>
    <d v="2026-06-11T00:00:00"/>
    <d v="2026-07-15T00:00:00"/>
    <d v="2026-06-23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2"/>
    <n v="2282600093"/>
    <x v="0"/>
    <n v="0.99999999999999978"/>
    <d v="2026-05-29T00:00:00"/>
    <d v="2026-06-11T00:00:00"/>
    <d v="2026-07-21T00:00:00"/>
    <d v="2026-06-24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3"/>
    <n v="2302600094"/>
    <x v="1"/>
    <n v="0.99999999999999978"/>
    <d v="2026-05-29T00:00:00"/>
    <d v="2026-06-08T00:00:00"/>
    <d v="2026-07-22T00:00:00"/>
    <d v="2026-07-04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4"/>
    <n v="2302600095"/>
    <x v="1"/>
    <n v="0.99999999999999978"/>
    <d v="2026-06-01T00:00:00"/>
    <d v="2026-06-04T00:00:00"/>
    <d v="2026-07-22T00:00:00"/>
    <d v="2026-07-07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5"/>
    <n v="2282600096"/>
    <x v="0"/>
    <n v="0.99999999999999978"/>
    <d v="2026-06-01T00:00:00"/>
    <d v="2026-06-04T00:00:00"/>
    <d v="2026-07-15T00:00:00"/>
    <d v="2026-06-27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6"/>
    <n v="2282600097"/>
    <x v="0"/>
    <n v="0.99999999999999978"/>
    <d v="2026-06-02T00:00:00"/>
    <d v="2026-06-11T00:00:00"/>
    <d v="2026-07-23T00:00:00"/>
    <d v="2026-06-26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7"/>
    <n v="2302600098"/>
    <x v="1"/>
    <n v="0.99999999999999978"/>
    <d v="2026-06-02T00:00:00"/>
    <d v="2026-06-11T00:00:00"/>
    <d v="2026-07-24T00:00:00"/>
    <d v="2026-07-06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8"/>
    <n v="2302600099"/>
    <x v="1"/>
    <n v="0.99999999999999978"/>
    <d v="2026-06-03T00:00:00"/>
    <d v="2026-06-19T00:00:00"/>
    <d v="2026-07-24T00:00:00"/>
    <d v="2026-07-0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9"/>
    <n v="2282600100"/>
    <x v="0"/>
    <n v="0.99999999999999978"/>
    <d v="2026-06-03T00:00:00"/>
    <d v="2026-06-15T00:00:00"/>
    <d v="2026-07-24T00:00:00"/>
    <d v="2026-06-2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0"/>
    <n v="2282600101"/>
    <x v="0"/>
    <n v="0.98499999999999988"/>
    <d v="2026-06-04T00:00:00"/>
    <d v="2026-06-17T00:00:00"/>
    <d v="2026-07-24T00:00:00"/>
    <d v="2026-06-2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3"/>
    <x v="101"/>
    <n v="2302600102"/>
    <x v="1"/>
    <n v="0.98499999999999988"/>
    <d v="2026-06-04T00:00:00"/>
    <d v="2026-06-17T00:00:00"/>
    <d v="2026-07-24T00:00:00"/>
    <d v="2026-07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3"/>
    <x v="102"/>
    <n v="2302600103"/>
    <x v="1"/>
    <n v="0.95499999999999985"/>
    <d v="2026-06-05T00:00:00"/>
    <d v="2026-06-11T00:00:00"/>
    <d v="2026-07-23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3"/>
    <s v="TERMINACIONES: LIMPIEZA FINAL, REVESTIMIENTO INTERIOR BANO"/>
    <s v="TERMINACIONES"/>
    <n v="2"/>
  </r>
  <r>
    <x v="3"/>
    <x v="103"/>
    <n v="2282600104"/>
    <x v="0"/>
    <n v="0.99999999999999978"/>
    <d v="2026-06-05T00:00:00"/>
    <d v="2026-06-11T00:00:00"/>
    <d v="2026-07-21T00:00:00"/>
    <d v="2026-06-29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4"/>
    <n v="2282600105"/>
    <x v="0"/>
    <n v="0.99999999999999978"/>
    <d v="2026-06-08T00:00:00"/>
    <d v="2026-06-16T00:00:00"/>
    <d v="2026-07-23T00:00:00"/>
    <d v="2026-07-02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5"/>
    <n v="2302600106"/>
    <x v="1"/>
    <n v="0.95499999999999985"/>
    <d v="2026-06-08T00:00:00"/>
    <d v="2026-06-17T00:00:00"/>
    <d v="2026-07-24T00:00:00"/>
    <d v="2026-07-1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4"/>
    <s v="TERMINACIONES: LIMPIEZA FINAL, REVESTIMIENTO INTERIOR BANO"/>
    <s v="TERMINACIONES"/>
    <n v="2"/>
  </r>
  <r>
    <x v="3"/>
    <x v="106"/>
    <n v="2302600107"/>
    <x v="1"/>
    <n v="0.90999999999999992"/>
    <d v="2026-06-09T00:00:00"/>
    <d v="2026-06-23T00:00:00"/>
    <d v="2026-07-24T00:00:00"/>
    <d v="2026-07-1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0"/>
    <n v="1"/>
    <n v="1"/>
    <n v="1"/>
    <n v="1"/>
    <n v="1"/>
    <n v="0"/>
    <n v="1"/>
    <n v="1"/>
    <n v="0"/>
    <n v="1"/>
    <n v="0"/>
    <n v="1"/>
    <n v="1"/>
    <x v="5"/>
    <s v="SANITARIOS: VENTILACIONES | TERMINACIONES: BARANDA BALCON, MOLDURAS, REVESTIMIENTO INTERIOR ZONA SECA, LIMPIEZA FINAL, REVESTIMIENTO INTERIOR BANO"/>
    <s v="SANITARIOS, TERMINACIONES"/>
    <n v="6"/>
  </r>
  <r>
    <x v="3"/>
    <x v="107"/>
    <n v="2282600108"/>
    <x v="0"/>
    <n v="0.95999999999999985"/>
    <d v="2026-06-09T00:00:00"/>
    <d v="2026-06-23T00:00:00"/>
    <d v="2026-07-24T00:00:00"/>
    <d v="2026-07-0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44"/>
    <n v="5.4054054054054036E-2"/>
    <n v="5.4054054054054036E-2"/>
    <n v="2.7027027027027018E-2"/>
    <n v="8.1081081081081058E-2"/>
    <n v="8.1081081081081058E-2"/>
    <n v="0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x v="6"/>
    <s v="TERMINACIONES: PINTURA EXTERIOR, LIMPIEZA FINAL"/>
    <s v="TERMINACIONES"/>
    <n v="2"/>
  </r>
  <r>
    <x v="3"/>
    <x v="108"/>
    <n v="2282600109"/>
    <x v="0"/>
    <n v="0.96499999999999986"/>
    <d v="2026-06-10T00:00:00"/>
    <d v="2026-06-23T00:00:00"/>
    <d v="2026-07-24T00:00:00"/>
    <d v="2026-07-0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7"/>
    <s v="TERMINACIONES: PILASTREO, CELOSIAS, LIMPIEZA FINAL"/>
    <s v="TERMINACIONES"/>
    <n v="3"/>
  </r>
  <r>
    <x v="3"/>
    <x v="109"/>
    <n v="2302600110"/>
    <x v="1"/>
    <n v="0.80499999999999983"/>
    <d v="2026-06-10T00:00:00"/>
    <d v="2026-06-24T00:00:00"/>
    <d v="2026-07-24T00:00:00"/>
    <d v="2026-07-14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8"/>
    <x v="1"/>
    <n v="0.27272727272727271"/>
    <n v="0.27272727272727271"/>
    <n v="0"/>
    <n v="0"/>
    <n v="0.18181818181818182"/>
    <n v="0.24499999999999988"/>
    <n v="0.66216216216216184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1"/>
    <n v="1"/>
    <n v="1"/>
    <n v="0"/>
    <n v="1"/>
    <n v="1"/>
    <n v="0"/>
    <n v="1"/>
    <n v="0"/>
    <n v="0"/>
    <n v="1"/>
    <n v="1"/>
    <n v="1"/>
    <n v="1"/>
    <n v="0"/>
    <n v="1"/>
    <n v="1"/>
    <n v="0"/>
    <n v="1"/>
    <n v="0"/>
    <n v="0"/>
    <n v="1"/>
    <x v="8"/>
    <s v="SANITARIOS: VENTILACIONES, WC, LAVAMANOS / LAVAPLATOS / LAVADERO | ELÉCTRICO: ARTEFACTOS, TABLERO | TERMINACIONES: BARANDA BALCON, PINTURA EXTERIOR, MOLDURAS, PILASTREO, REVESTIMIENTO INTERIOR ZONA SECA, LIMPIEZA FINAL, REVESTIMIENTO INTERIOR BANO, MUEBLE LAVAPLATOS"/>
    <s v="SANITARIOS, ELÉCTRICO, TERMINACIONES"/>
    <n v="13"/>
  </r>
  <r>
    <x v="3"/>
    <x v="110"/>
    <n v="2302600111"/>
    <x v="1"/>
    <n v="0.86999999999999988"/>
    <d v="2026-06-11T00:00:00"/>
    <d v="2026-06-17T00:00:00"/>
    <d v="2026-07-22T00:00:00"/>
    <d v="2026-07-15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32999999999999985"/>
    <n v="0.89189189189189144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1"/>
    <n v="1"/>
    <n v="1"/>
    <n v="1"/>
    <n v="1"/>
    <n v="0"/>
    <n v="1"/>
    <n v="1"/>
    <n v="0"/>
    <n v="1"/>
    <n v="1"/>
    <n v="1"/>
    <n v="1"/>
    <x v="9"/>
    <s v="SANITARIOS: VENTILACIONES | ELÉCTRICO: CABLEADO, ARTEFACTOS, TABLERO, CAJA PAU | TERMINACIONES: MOLDURAS, REVESTIMIENTO INTERIOR ZONA SECA, LIMPIEZA FINAL"/>
    <s v="SANITARIOS, ELÉCTRICO, TERMINACIONES"/>
    <n v="8"/>
  </r>
  <r>
    <x v="3"/>
    <x v="111"/>
    <n v="2282600112"/>
    <x v="0"/>
    <n v="0.92499999999999982"/>
    <d v="2026-06-11T00:00:00"/>
    <d v="2026-06-19T00:00:00"/>
    <d v="2026-07-24T00:00:00"/>
    <d v="2026-07-0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10"/>
    <s v="TERMINACIONES: PINTURA EXTERIOR, MOLDURAS, PILASTREO, CELOSIAS, CERRADURAS, LIMPIEZA FINAL"/>
    <s v="TERMINACIONES"/>
    <n v="6"/>
  </r>
  <r>
    <x v="3"/>
    <x v="112"/>
    <n v="2282600113"/>
    <x v="0"/>
    <n v="0.8949999999999998"/>
    <d v="2026-06-12T00:00:00"/>
    <d v="2026-06-25T00:00:00"/>
    <d v="2026-07-24T00:00:00"/>
    <d v="2026-07-0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1"/>
    <s v="ELÉCTRICO: CABLEADO, ARTEFACTOS | TERMINACIONES: PINTURA EXTERIOR, MOLDURAS, PILASTREO, CELOSIAS, LIMPIEZA FINAL"/>
    <s v="ELÉCTRICO, TERMINACIONES"/>
    <n v="7"/>
  </r>
  <r>
    <x v="3"/>
    <x v="113"/>
    <n v="2302600114"/>
    <x v="1"/>
    <n v="0.73"/>
    <d v="2026-06-12T00:00:00"/>
    <d v="2026-06-25T00:00:00"/>
    <d v="2026-07-24T00:00:00"/>
    <d v="2026-07-16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4"/>
    <n v="0.27272727272727271"/>
    <n v="0.27272727272727271"/>
    <n v="0"/>
    <n v="0"/>
    <n v="0"/>
    <n v="0.18999999999999995"/>
    <n v="0.51351351351351338"/>
    <n v="5.4054054054054036E-2"/>
    <n v="5.4054054054054036E-2"/>
    <n v="0"/>
    <n v="8.1081081081081058E-2"/>
    <n v="8.1081081081081058E-2"/>
    <n v="0"/>
    <n v="0"/>
    <n v="0"/>
    <n v="0"/>
    <n v="0"/>
    <n v="0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1"/>
    <n v="1"/>
    <n v="0"/>
    <n v="1"/>
    <n v="1"/>
    <n v="0"/>
    <n v="1"/>
    <n v="0"/>
    <n v="0"/>
    <n v="1"/>
    <x v="12"/>
    <s v="SANITARIOS: VENTILACIONES, WC, LAVAMANOS / LAVAPLATOS / LAVADERO | ELÉCTRICO: ARTEFACTOS, TABLERO, CAJA PAU | TERMINACIONES: VENTANAS, BARANDA BALCON, PINTURA EXTERIOR, ZOCALOS LOGIA, MOLDURAS, PILASTREO, CELOSIAS, VENTANAS (TERM), REVESTIMIENTO INTERIOR ZONA SECA, LIMPIEZA FINAL, REVESTIMIENTO INTERIOR BANO, MUEBLE LAVAPLATOS"/>
    <s v="SANITARIOS, ELÉCTRICO, TERMINACIONES"/>
    <n v="18"/>
  </r>
  <r>
    <x v="3"/>
    <x v="114"/>
    <n v="2302600115"/>
    <x v="1"/>
    <n v="0.77499999999999991"/>
    <d v="2026-06-15T00:00:00"/>
    <d v="2026-06-26T00:00:00"/>
    <d v="2026-07-24T00:00:00"/>
    <d v="2026-07-19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4"/>
    <n v="0.27272727272727271"/>
    <n v="0.27272727272727271"/>
    <n v="0"/>
    <n v="0"/>
    <n v="0"/>
    <n v="0.2349999999999999"/>
    <n v="0.63513513513513487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0"/>
    <n v="1"/>
    <n v="0"/>
    <n v="0"/>
    <n v="1"/>
    <n v="1"/>
    <n v="1"/>
    <n v="0"/>
    <n v="0"/>
    <n v="1"/>
    <n v="1"/>
    <n v="0"/>
    <n v="1"/>
    <n v="0"/>
    <n v="0"/>
    <n v="1"/>
    <x v="13"/>
    <s v="SANITARIOS: VENTILACIONES, WC, LAVAMANOS / LAVAPLATOS / LAVADERO | ELÉCTRICO: ARTEFACTOS, TABLERO, CAJA PAU | TERMINACIONES: BARANDA BALCON, PINTURA EXTERIOR, MOLDURAS, PILASTREO, CERRADURAS, REVESTIMIENTO INTERIOR ZONA SECA, LIMPIEZA FINAL, REVESTIMIENTO INTERIOR BANO, MUEBLE LAVAPLATOS"/>
    <s v="SANITARIOS, ELÉCTRICO, TERMINACIONES"/>
    <n v="15"/>
  </r>
  <r>
    <x v="3"/>
    <x v="115"/>
    <n v="2282600116"/>
    <x v="0"/>
    <n v="0.86999999999999988"/>
    <d v="2026-06-15T00:00:00"/>
    <d v="2026-06-26T00:00:00"/>
    <d v="2026-07-22T00:00:00"/>
    <d v="2026-07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999999999999992"/>
    <n v="0.75675675675675647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0"/>
    <n v="0"/>
    <n v="1"/>
    <n v="1"/>
    <n v="0"/>
    <n v="1"/>
    <n v="1"/>
    <n v="1"/>
    <n v="0"/>
    <n v="0"/>
    <n v="1"/>
    <n v="1"/>
    <n v="1"/>
    <x v="3"/>
    <s v="ELÉCTRICO: CABLEADO, ARTEFACTOS | TERMINACIONES: PINTURA EXTERIOR, PILASTREO, CELOSIAS, CERRADURAS, LIMPIEZA FINAL, PUERTAS DORMITORIO"/>
    <s v="ELÉCTRICO, TERMINACIONES"/>
    <n v="8"/>
  </r>
  <r>
    <x v="3"/>
    <x v="116"/>
    <n v="2282600117"/>
    <x v="0"/>
    <n v="0.94499999999999984"/>
    <d v="2026-06-16T00:00:00"/>
    <d v="2026-06-26T00:00:00"/>
    <d v="2026-07-24T00:00:00"/>
    <d v="2026-07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4"/>
    <s v="ELÉCTRICO: CABLEADO, ARTEFACTOS | TERMINACIONES: LIMPIEZA FINAL"/>
    <s v="ELÉCTRICO, TERMINACIONES"/>
    <n v="3"/>
  </r>
  <r>
    <x v="3"/>
    <x v="117"/>
    <n v="2302600118"/>
    <x v="1"/>
    <n v="0.66999999999999993"/>
    <d v="2026-06-16T00:00:00"/>
    <d v="2026-06-26T00:00:00"/>
    <d v="2026-07-24T00:00:00"/>
    <d v="2026-07-20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0"/>
    <n v="1"/>
    <n v="1"/>
    <n v="0"/>
    <n v="1"/>
    <n v="0"/>
    <n v="0"/>
    <n v="1"/>
    <x v="15"/>
    <s v="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 SECA, LIMPIEZA FINAL, REVESTIMIENTO INTERIOR BANO, MUEBLE LAVAPLATOS"/>
    <s v="SANITARIOS, ELÉCTRICO, TERMINACIONES"/>
    <n v="21"/>
  </r>
  <r>
    <x v="3"/>
    <x v="118"/>
    <n v="2302600119"/>
    <x v="1"/>
    <n v="0.69"/>
    <d v="2026-06-17T00:00:00"/>
    <d v="2026-06-26T00:00:00"/>
    <d v="2026-07-24T00:00:00"/>
    <d v="2026-07-21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0.18999999999999995"/>
    <n v="0.51351351351351338"/>
    <n v="5.4054054054054036E-2"/>
    <n v="5.4054054054054036E-2"/>
    <n v="0"/>
    <n v="8.1081081081081058E-2"/>
    <n v="8.1081081081081058E-2"/>
    <n v="0"/>
    <n v="0"/>
    <n v="0"/>
    <n v="0"/>
    <n v="0"/>
    <n v="0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1"/>
    <n v="1"/>
    <n v="0"/>
    <n v="1"/>
    <n v="1"/>
    <n v="0"/>
    <n v="1"/>
    <n v="0"/>
    <n v="0"/>
    <n v="1"/>
    <x v="16"/>
    <s v="SANITARIOS: VENTILACIONES, TINA, WC, LAVAMANOS / LAVAPLATOS / LAVADERO | ELÉCTRICO: CABLEADO, ARTEFACTOS, TABLERO, CAJA PAU | TERMINACIONES: VENTANAS, BARANDA BALCON, PINTURA EXTERIOR, ZOCALOS LOGIA, MOLDURAS, PILASTREO, CELOSIAS, VENTANAS (TERM), REVESTIMIENTO INTERIOR ZONA SECA, LIMPIEZA FINAL, REVESTIMIENTO INTERIOR BANO, MUEBLE LAVAPLATOS"/>
    <s v="SANITARIOS, ELÉCTRICO, TERMINACIONES"/>
    <n v="20"/>
  </r>
  <r>
    <x v="3"/>
    <x v="119"/>
    <n v="2282600120"/>
    <x v="0"/>
    <n v="0.8949999999999998"/>
    <d v="2026-06-17T00:00:00"/>
    <d v="2026-06-25T00:00:00"/>
    <d v="2026-07-22T00:00:00"/>
    <d v="2026-07-1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0"/>
    <n v="1"/>
    <n v="1"/>
    <n v="1"/>
    <n v="0"/>
    <n v="0"/>
    <n v="1"/>
    <n v="1"/>
    <n v="1"/>
    <x v="17"/>
    <s v="ELÉCTRICO: CABLEADO, ARTEFACTOS | TERMINACIONES: PILASTREO, CELOSIAS, CERRADURAS, LIMPIEZA FINAL, PUERTAS DORMITORIO"/>
    <s v="ELÉCTRICO, TERMINACIONES"/>
    <n v="7"/>
  </r>
  <r>
    <x v="3"/>
    <x v="120"/>
    <n v="2282600121"/>
    <x v="0"/>
    <n v="0.80499999999999994"/>
    <d v="2026-06-18T00:00:00"/>
    <d v="2026-07-03T00:00:00"/>
    <d v="2026-07-13T00:00:00"/>
    <d v="2026-07-1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21"/>
    <n v="2302600122"/>
    <x v="1"/>
    <n v="0.6"/>
    <d v="2026-06-18T00:00:00"/>
    <d v="2026-07-02T00:00:00"/>
    <d v="2026-07-21T00:00:00"/>
    <d v="2026-07-22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3"/>
    <x v="122"/>
    <n v="2302600123"/>
    <x v="1"/>
    <n v="0.57999999999999996"/>
    <d v="2026-06-19T00:00:00"/>
    <d v="2026-07-03T00:00:00"/>
    <d v="2026-07-13T00:00:00"/>
    <d v="2026-07-23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1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3"/>
    <x v="123"/>
    <n v="2282600124"/>
    <x v="0"/>
    <n v="0.91499999999999981"/>
    <d v="2026-06-19T00:00:00"/>
    <d v="2026-07-03T00:00:00"/>
    <d v="2026-07-24T00:00:00"/>
    <d v="2026-07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0"/>
    <n v="5.4054054054054036E-2"/>
    <n v="1.3513513513513509E-2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0"/>
    <n v="1"/>
    <n v="1"/>
    <n v="1"/>
    <n v="1"/>
    <n v="1"/>
    <n v="1"/>
    <n v="0"/>
    <n v="1"/>
    <n v="1"/>
    <n v="1"/>
    <n v="1"/>
    <x v="5"/>
    <s v="ELÉCTRICO: CABLEADO, ARTEFACTOS | TERMINACIONES: PINTURA EXTERIOR, CELOSIAS, LIMPIEZA FINAL"/>
    <s v="ELÉCTRICO, TERMINACIONES"/>
    <n v="5"/>
  </r>
  <r>
    <x v="3"/>
    <x v="124"/>
    <n v="2282600125"/>
    <x v="0"/>
    <n v="0.83499999999999985"/>
    <d v="2026-06-22T00:00:00"/>
    <d v="2026-07-07T00:00:00"/>
    <d v="2026-07-20T00:00:00"/>
    <d v="2026-07-16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12"/>
    <s v="ELÉCTRICO: CABLEADO, ARTEFACTOS | TERMINACIONES: VENTANAS, PINTURA EXTERIOR, MOLDURAS, PILASTREO, CELOSIAS, VENTANAS (TERM), CERRADURAS, LIMPIEZA FINAL, PUERTAS DORMITORIO"/>
    <s v="ELÉCTRICO, TERMINACIONES"/>
    <n v="11"/>
  </r>
  <r>
    <x v="3"/>
    <x v="125"/>
    <n v="2302600126"/>
    <x v="1"/>
    <n v="0.6399999999999999"/>
    <d v="2026-06-22T00:00:00"/>
    <d v="2026-07-03T00:00:00"/>
    <d v="2026-07-24T00:00:00"/>
    <d v="2026-07-2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0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"/>
    <s v="SANITARIOS, ELÉCTRICO, TERMINACIONES"/>
    <n v="23"/>
  </r>
  <r>
    <x v="3"/>
    <x v="126"/>
    <n v="2302600127"/>
    <x v="1"/>
    <n v="0.57999999999999996"/>
    <d v="2026-06-23T00:00:00"/>
    <d v="2026-07-02T00:00:00"/>
    <d v="2026-07-20T00:00:00"/>
    <d v="2026-07-2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3"/>
    <x v="127"/>
    <n v="2282600128"/>
    <x v="0"/>
    <n v="0.86499999999999988"/>
    <d v="2026-06-23T00:00:00"/>
    <d v="2026-07-02T00:00:00"/>
    <d v="2026-07-24T00:00:00"/>
    <d v="2026-07-1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1"/>
    <n v="1"/>
    <n v="1"/>
    <n v="1"/>
    <n v="0"/>
    <n v="1"/>
    <n v="1"/>
    <n v="1"/>
    <n v="1"/>
    <x v="21"/>
    <s v="ELÉCTRICO: CABLEADO, ARTEFACTOS | TERMINACIONES: VENTANAS, PINTURA EXTERIOR, MOLDURAS, PILASTREO, CELOSIAS, VENTANAS (TERM), LIMPIEZA FINAL"/>
    <s v="ELÉCTRICO, TERMINACIONES"/>
    <n v="9"/>
  </r>
  <r>
    <x v="4"/>
    <x v="128"/>
    <n v="2282600129"/>
    <x v="0"/>
    <n v="0.80499999999999994"/>
    <d v="2026-06-24T00:00:00"/>
    <d v="2026-07-09T00:00:00"/>
    <d v="2026-07-15T00:00:00"/>
    <d v="2026-07-1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2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4"/>
    <x v="129"/>
    <n v="2302600130"/>
    <x v="1"/>
    <n v="0.6"/>
    <d v="2026-06-24T00:00:00"/>
    <d v="2026-07-08T00:00:00"/>
    <d v="2026-07-22T00:00:00"/>
    <d v="2026-07-26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30"/>
    <n v="2302600131"/>
    <x v="1"/>
    <n v="0.61"/>
    <d v="2026-06-25T00:00:00"/>
    <d v="2026-07-09T00:00:00"/>
    <d v="2026-07-20T00:00:00"/>
    <d v="2026-07-2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6"/>
    <x v="4"/>
    <n v="0.27272727272727271"/>
    <n v="0.27272727272727271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0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5"/>
  </r>
  <r>
    <x v="4"/>
    <x v="131"/>
    <n v="2282600132"/>
    <x v="0"/>
    <n v="0.80499999999999994"/>
    <d v="2026-06-25T00:00:00"/>
    <d v="2026-07-13T00:00:00"/>
    <d v="2026-07-20T00:00:00"/>
    <d v="2026-07-1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4"/>
    <x v="132"/>
    <n v="2282600133"/>
    <x v="0"/>
    <n v="0.59"/>
    <d v="2026-06-25T00:00:00"/>
    <d v="2026-07-13T00:00:00"/>
    <d v="2026-07-20T00:00:00"/>
    <d v="2026-07-1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1"/>
    <s v="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ELÉCTRICO, TERMINACIONES"/>
    <n v="24"/>
  </r>
  <r>
    <x v="4"/>
    <x v="133"/>
    <n v="2302600134"/>
    <x v="1"/>
    <n v="0.53999999999999992"/>
    <d v="2026-06-26T00:00:00"/>
    <d v="2026-07-13T00:00:00"/>
    <d v="2026-07-21T00:00:00"/>
    <d v="2026-07-28T00:00:00"/>
    <x v="5"/>
    <m/>
    <n v="0.38999999999999996"/>
    <n v="0.90697674418604646"/>
    <n v="0.27906976744186046"/>
    <n v="0.18604651162790697"/>
    <n v="0.2558139534883721"/>
    <n v="0.18604651162790697"/>
    <n v="0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2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OBRA GRUESA, SANITARIOS, ELÉCTRICO, TERMINACIONES"/>
    <n v="27"/>
  </r>
  <r>
    <x v="4"/>
    <x v="134"/>
    <n v="2302600135"/>
    <x v="1"/>
    <n v="0.6399999999999999"/>
    <d v="2026-06-26T00:00:00"/>
    <d v="2026-07-09T00:00:00"/>
    <d v="2026-07-24T00:00:00"/>
    <d v="2026-07-28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0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"/>
    <s v="SANITARIOS, ELÉCTRICO, TERMINACIONES"/>
    <n v="23"/>
  </r>
  <r>
    <x v="4"/>
    <x v="135"/>
    <n v="2282600136"/>
    <x v="0"/>
    <n v="0.82499999999999984"/>
    <d v="2026-06-29T00:00:00"/>
    <d v="2026-07-09T00:00:00"/>
    <d v="2026-07-24T00:00:00"/>
    <d v="2026-07-2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349999999999999"/>
    <n v="0.63513513513513487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1"/>
    <n v="1"/>
    <n v="1"/>
    <n v="1"/>
    <x v="16"/>
    <s v="ELÉCTRICO: CABLEADO, ARTEFACTOS | TERMINACIONES: VENTANAS, SMART PANEL, PINTURA EXTERIOR, MOLDURAS, PILASTREO, CELOSIAS, VENTANAS (TERM), CERRADURAS, LIMPIEZA FINAL"/>
    <s v="ELÉCTRICO, TERMINACIONES"/>
    <n v="11"/>
  </r>
  <r>
    <x v="4"/>
    <x v="136"/>
    <n v="2282600137"/>
    <x v="0"/>
    <n v="0.38999999999999996"/>
    <d v="2026-06-29T00:00:00"/>
    <d v="2026-07-15T00:00:00"/>
    <d v="2026-07-20T00:00:00"/>
    <d v="2026-07-21T00:00:00"/>
    <x v="6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37"/>
    <n v="2302600138"/>
    <x v="1"/>
    <n v="0.53"/>
    <d v="2026-06-29T00:00:00"/>
    <d v="2026-07-14T00:00:00"/>
    <d v="2026-07-22T00:00:00"/>
    <d v="2026-07-31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2.9999999999999992E-2"/>
    <n v="8.1081081081081058E-2"/>
    <n v="0"/>
    <n v="0"/>
    <n v="0"/>
    <n v="8.1081081081081058E-2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SANITARIOS: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29"/>
  </r>
  <r>
    <x v="4"/>
    <x v="138"/>
    <n v="2302600139"/>
    <x v="1"/>
    <n v="0.57999999999999996"/>
    <d v="2026-06-30T00:00:00"/>
    <d v="2026-07-15T00:00:00"/>
    <d v="2026-07-24T00:00:00"/>
    <d v="2026-08-01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39"/>
    <n v="2282600140"/>
    <x v="0"/>
    <n v="0.78499999999999992"/>
    <d v="2026-06-30T00:00:00"/>
    <d v="2026-07-17T00:00:00"/>
    <d v="2026-07-24T00:00:00"/>
    <d v="2026-07-2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8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40"/>
    <n v="2282600141"/>
    <x v="0"/>
    <n v="0.38999999999999996"/>
    <d v="2026-07-01T00:00:00"/>
    <d v="2026-07-17T00:00:00"/>
    <d v="2026-07-21T00:00:00"/>
    <d v="2026-07-23T00:00:00"/>
    <x v="5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1"/>
    <n v="2302600142"/>
    <x v="1"/>
    <n v="0.57999999999999996"/>
    <d v="2026-07-01T00:00:00"/>
    <d v="2026-07-15T00:00:00"/>
    <d v="2026-07-23T00:00:00"/>
    <d v="2026-08-0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42"/>
    <n v="2302600143"/>
    <x v="1"/>
    <n v="0.57999999999999996"/>
    <d v="2026-07-01T00:00:00"/>
    <d v="2026-07-14T00:00:00"/>
    <d v="2026-07-22T00:00:00"/>
    <d v="2026-08-02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43"/>
    <n v="2282600144"/>
    <x v="0"/>
    <n v="0.64999999999999991"/>
    <d v="2026-07-02T00:00:00"/>
    <d v="2026-07-14T00:00:00"/>
    <d v="2026-07-20T00:00:00"/>
    <d v="2026-07-24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6"/>
    <s v="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1"/>
  </r>
  <r>
    <x v="4"/>
    <x v="144"/>
    <n v="2282600145"/>
    <x v="0"/>
    <n v="0.38999999999999996"/>
    <d v="2026-07-02T00:00:00"/>
    <d v="2026-07-23T00:00:00"/>
    <d v="2026-07-23T00:00:00"/>
    <d v="2026-07-24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5"/>
    <n v="2302600146"/>
    <x v="1"/>
    <n v="0.38999999999999996"/>
    <d v="2026-07-03T00:00:00"/>
    <d v="2026-07-22T00:00:00"/>
    <d v="2026-07-23T00:00:00"/>
    <d v="2026-08-04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6"/>
    <n v="2302600147"/>
    <x v="1"/>
    <n v="0.38999999999999996"/>
    <d v="2026-07-03T00:00:00"/>
    <d v="2026-07-22T00:00:00"/>
    <d v="2026-07-24T00:00:00"/>
    <d v="2026-08-04T00:00:00"/>
    <x v="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7"/>
    <n v="2282600148"/>
    <x v="0"/>
    <n v="0.38999999999999996"/>
    <d v="2026-07-03T00:00:00"/>
    <d v="2026-07-21T00:00:00"/>
    <d v="2026-07-22T00:00:00"/>
    <d v="2026-07-25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8"/>
    <n v="2282600149"/>
    <x v="0"/>
    <n v="0.75499999999999989"/>
    <d v="2026-07-06T00:00:00"/>
    <d v="2026-07-21T00:00:00"/>
    <d v="2026-07-24T00:00:00"/>
    <d v="2026-07-2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6499999999999992"/>
    <n v="0.44594594594594578"/>
    <n v="5.4054054054054036E-2"/>
    <n v="5.4054054054054036E-2"/>
    <n v="2.7027027027027018E-2"/>
    <n v="0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0"/>
    <n v="0"/>
    <n v="0"/>
    <n v="1"/>
    <n v="0"/>
    <n v="0"/>
    <n v="0"/>
    <n v="0"/>
    <n v="1"/>
    <n v="0"/>
    <n v="0"/>
    <n v="1"/>
    <n v="1"/>
    <n v="0"/>
    <n v="0"/>
    <n v="1"/>
    <n v="1"/>
    <n v="1"/>
    <x v="22"/>
    <s v="ELÉCTRICO: CABLEADO, ARTEFACTOS | TERMINACIONES: VENTANAS, OSB EXTERIOR, SMART PANEL, PINTURA EXTERIOR, MOLDURAS, PILASTREO, CELOSIAS, VENTANAS (TERM), CERRADURAS, REVESTIMIENTO INTERIOR ZONA SECA, LIMPIEZA FINAL, PUERTAS DORMITORIO"/>
    <s v="ELÉCTRICO, TERMINACIONES"/>
    <n v="14"/>
  </r>
  <r>
    <x v="4"/>
    <x v="149"/>
    <n v="2302600150"/>
    <x v="1"/>
    <n v="0.38999999999999996"/>
    <d v="2026-07-06T00:00:00"/>
    <d v="2026-07-21T00:00:00"/>
    <d v="2026-07-23T00:00:00"/>
    <d v="2026-08-07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0"/>
    <n v="2302600151"/>
    <x v="1"/>
    <n v="0.38999999999999996"/>
    <d v="2026-07-07T00:00:00"/>
    <d v="2026-07-23T00:00:00"/>
    <d v="2026-07-23T00:00:00"/>
    <d v="2026-08-08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1"/>
    <n v="2282600152"/>
    <x v="0"/>
    <n v="0.38999999999999996"/>
    <d v="2026-07-07T00:00:00"/>
    <d v="2026-07-21T00:00:00"/>
    <d v="2026-07-23T00:00:00"/>
    <d v="2026-07-29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2"/>
    <n v="2282600153"/>
    <x v="0"/>
    <n v="0.12"/>
    <d v="2026-07-07T00:00:00"/>
    <d v="2026-07-24T00:00:00"/>
    <d v="2026-07-24T00:00:00"/>
    <d v="2026-07-29T00:00:00"/>
    <x v="1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53"/>
    <n v="2302600154"/>
    <x v="1"/>
    <n v="0"/>
    <d v="2026-07-08T00:00:00"/>
    <m/>
    <d v="1899-12-30T00:00:00"/>
    <d v="2026-08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.12"/>
    <d v="2026-07-10T00:00:00"/>
    <d v="2026-07-24T00:00:00"/>
    <d v="2026-07-24T00:00:00"/>
    <d v="2026-08-01T00:00:00"/>
    <x v="1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5"/>
    <x v="160"/>
    <n v="2282600161"/>
    <x v="0"/>
    <n v="0"/>
    <d v="2026-07-13T00:00:00"/>
    <m/>
    <d v="1899-12-30T00:00:00"/>
    <d v="2026-08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8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68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m="1" x="18"/>
        <item m="1" x="9"/>
        <item m="1" x="10"/>
        <item x="1"/>
        <item x="2"/>
        <item x="3"/>
        <item x="5"/>
        <item x="6"/>
        <item m="1" x="16"/>
        <item m="1" x="12"/>
        <item m="1" x="20"/>
        <item m="1" x="11"/>
        <item x="7"/>
        <item m="1" x="14"/>
        <item x="4"/>
        <item m="1" x="24"/>
        <item m="1" x="15"/>
        <item m="1" x="22"/>
        <item m="1" x="34"/>
        <item m="1" x="32"/>
        <item m="1" x="35"/>
        <item m="1" x="30"/>
        <item m="1" x="28"/>
        <item m="1" x="26"/>
        <item m="1" x="19"/>
        <item m="1" x="36"/>
        <item m="1" x="33"/>
        <item m="1" x="31"/>
        <item m="1" x="29"/>
        <item m="1" x="27"/>
        <item m="1" x="25"/>
        <item m="1" x="23"/>
        <item m="1" x="21"/>
        <item m="1" x="17"/>
        <item m="1" x="13"/>
        <item x="8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3"/>
        <item m="1" x="52"/>
        <item x="30"/>
        <item x="29"/>
        <item m="1" x="51"/>
        <item m="1" x="50"/>
        <item x="27"/>
        <item m="1" x="49"/>
        <item x="25"/>
        <item x="24"/>
        <item x="23"/>
        <item m="1" x="47"/>
        <item x="31"/>
        <item x="22"/>
        <item x="0"/>
        <item x="20"/>
        <item x="28"/>
        <item x="26"/>
        <item x="19"/>
        <item x="18"/>
        <item x="16"/>
        <item x="15"/>
        <item x="13"/>
        <item m="1" x="46"/>
        <item x="21"/>
        <item x="12"/>
        <item x="9"/>
        <item x="8"/>
        <item x="5"/>
        <item x="4"/>
        <item x="17"/>
        <item x="14"/>
        <item x="3"/>
        <item x="2"/>
        <item m="1" x="32"/>
        <item x="11"/>
        <item x="10"/>
        <item x="7"/>
        <item x="6"/>
        <item m="1" x="45"/>
        <item m="1" x="44"/>
        <item m="1" x="39"/>
        <item m="1" x="43"/>
        <item x="1"/>
        <item m="1" x="33"/>
        <item m="1" x="36"/>
        <item m="1" x="42"/>
        <item m="1" x="41"/>
        <item m="1" x="34"/>
        <item m="1" x="48"/>
        <item m="1" x="40"/>
        <item m="1" x="38"/>
        <item m="1" x="37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8">
    <i>
      <x v="3"/>
    </i>
    <i r="1">
      <x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0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333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3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67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m="1" x="18"/>
        <item m="1" x="9"/>
        <item m="1" x="10"/>
        <item x="1"/>
        <item x="2"/>
        <item x="3"/>
        <item x="5"/>
        <item x="6"/>
        <item m="1" x="16"/>
        <item m="1" x="12"/>
        <item m="1" x="20"/>
        <item m="1" x="11"/>
        <item x="7"/>
        <item m="1" x="14"/>
        <item x="4"/>
        <item m="1" x="24"/>
        <item m="1" x="15"/>
        <item m="1" x="22"/>
        <item m="1" x="34"/>
        <item m="1" x="32"/>
        <item m="1" x="35"/>
        <item m="1" x="30"/>
        <item m="1" x="28"/>
        <item m="1" x="26"/>
        <item m="1" x="19"/>
        <item m="1" x="36"/>
        <item m="1" x="33"/>
        <item m="1" x="31"/>
        <item m="1" x="29"/>
        <item m="1" x="27"/>
        <item m="1" x="25"/>
        <item m="1" x="23"/>
        <item m="1" x="21"/>
        <item m="1" x="17"/>
        <item m="1" x="13"/>
        <item x="8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3"/>
        <item m="1" x="52"/>
        <item x="30"/>
        <item x="29"/>
        <item m="1" x="51"/>
        <item m="1" x="50"/>
        <item x="27"/>
        <item m="1" x="49"/>
        <item x="25"/>
        <item x="24"/>
        <item x="23"/>
        <item m="1" x="47"/>
        <item x="31"/>
        <item x="22"/>
        <item x="0"/>
        <item x="20"/>
        <item x="28"/>
        <item x="26"/>
        <item x="19"/>
        <item x="18"/>
        <item x="16"/>
        <item x="15"/>
        <item x="13"/>
        <item m="1" x="46"/>
        <item x="21"/>
        <item x="12"/>
        <item x="9"/>
        <item x="8"/>
        <item x="5"/>
        <item x="4"/>
        <item x="17"/>
        <item x="14"/>
        <item x="3"/>
        <item x="2"/>
        <item m="1" x="32"/>
        <item x="11"/>
        <item x="10"/>
        <item x="7"/>
        <item x="6"/>
        <item m="1" x="45"/>
        <item m="1" x="44"/>
        <item m="1" x="39"/>
        <item m="1" x="43"/>
        <item x="1"/>
        <item m="1" x="33"/>
        <item m="1" x="36"/>
        <item m="1" x="42"/>
        <item m="1" x="41"/>
        <item m="1" x="34"/>
        <item m="1" x="48"/>
        <item m="1" x="40"/>
        <item m="1" x="38"/>
        <item m="1" x="37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8">
    <i>
      <x v="3"/>
    </i>
    <i r="1">
      <x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0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331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30">
      <pivotArea fieldPosition="0">
        <references count="1">
          <reference field="0" count="1">
            <x v="1"/>
          </reference>
        </references>
      </pivotArea>
    </format>
    <format dxfId="329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28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27">
      <pivotArea fieldPosition="0">
        <references count="1">
          <reference field="0" count="1">
            <x v="1"/>
          </reference>
        </references>
      </pivotArea>
    </format>
    <format dxfId="326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2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3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63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7">
        <item m="1" x="18"/>
        <item m="1" x="9"/>
        <item m="1" x="10"/>
        <item x="1"/>
        <item x="2"/>
        <item x="3"/>
        <item x="5"/>
        <item x="6"/>
        <item m="1" x="16"/>
        <item m="1" x="12"/>
        <item m="1" x="20"/>
        <item m="1" x="11"/>
        <item x="7"/>
        <item m="1" x="14"/>
        <item x="4"/>
        <item m="1" x="24"/>
        <item m="1" x="15"/>
        <item m="1" x="22"/>
        <item m="1" x="34"/>
        <item m="1" x="32"/>
        <item m="1" x="35"/>
        <item m="1" x="30"/>
        <item m="1" x="28"/>
        <item m="1" x="26"/>
        <item m="1" x="19"/>
        <item m="1" x="36"/>
        <item m="1" x="33"/>
        <item m="1" x="31"/>
        <item m="1" x="29"/>
        <item m="1" x="27"/>
        <item m="1" x="25"/>
        <item m="1" x="23"/>
        <item m="1" x="21"/>
        <item m="1" x="17"/>
        <item m="1" x="13"/>
        <item x="8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4"/>
        <item m="1" x="5"/>
        <item x="3"/>
        <item x="2"/>
        <item m="1" x="7"/>
        <item m="1" x="6"/>
        <item x="1"/>
        <item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3"/>
        <item m="1" x="52"/>
        <item x="30"/>
        <item x="29"/>
        <item m="1" x="51"/>
        <item m="1" x="50"/>
        <item x="27"/>
        <item m="1" x="49"/>
        <item x="25"/>
        <item x="24"/>
        <item x="23"/>
        <item m="1" x="47"/>
        <item x="31"/>
        <item x="22"/>
        <item x="0"/>
        <item x="20"/>
        <item x="28"/>
        <item x="26"/>
        <item x="19"/>
        <item x="18"/>
        <item x="16"/>
        <item x="15"/>
        <item x="13"/>
        <item m="1" x="46"/>
        <item x="21"/>
        <item x="12"/>
        <item x="9"/>
        <item x="8"/>
        <item x="5"/>
        <item x="4"/>
        <item x="17"/>
        <item x="14"/>
        <item x="3"/>
        <item x="2"/>
        <item m="1" x="32"/>
        <item x="11"/>
        <item x="10"/>
        <item x="7"/>
        <item x="6"/>
        <item m="1" x="45"/>
        <item m="1" x="44"/>
        <item m="1" x="39"/>
        <item m="1" x="43"/>
        <item x="1"/>
        <item m="1" x="33"/>
        <item m="1" x="36"/>
        <item m="1" x="42"/>
        <item m="1" x="41"/>
        <item m="1" x="34"/>
        <item m="1" x="48"/>
        <item m="1" x="40"/>
        <item m="1" x="38"/>
        <item m="1" x="37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54">
    <i>
      <x v="3"/>
    </i>
    <i r="1">
      <x v="100"/>
    </i>
    <i r="1">
      <x v="101"/>
    </i>
    <i r="1">
      <x v="102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>
      <x v="4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32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20">
      <pivotArea fieldPosition="0">
        <references count="1">
          <reference field="0" count="1">
            <x v="1"/>
          </reference>
        </references>
      </pivotArea>
    </format>
    <format dxfId="31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18">
      <pivotArea fieldPosition="0">
        <references count="1">
          <reference field="0" count="1">
            <x v="2"/>
          </reference>
        </references>
      </pivotArea>
    </format>
    <format dxfId="31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16">
      <pivotArea fieldPosition="0">
        <references count="1">
          <reference field="0" count="1">
            <x v="1"/>
          </reference>
        </references>
      </pivotArea>
    </format>
    <format dxfId="31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14">
      <pivotArea fieldPosition="0">
        <references count="1">
          <reference field="0" count="1">
            <x v="2"/>
          </reference>
        </references>
      </pivotArea>
    </format>
    <format dxfId="313">
      <pivotArea field="0" type="button" dataOnly="0" labelOnly="1" outline="0" axis="axisRow" fieldPosition="0"/>
    </format>
    <format dxfId="312">
      <pivotArea field="1" type="button" dataOnly="0" labelOnly="1" outline="0" axis="axisRow" fieldPosition="1"/>
    </format>
    <format dxfId="311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10">
      <pivotArea field="0" type="button" dataOnly="0" labelOnly="1" outline="0" axis="axisRow" fieldPosition="0"/>
    </format>
    <format dxfId="309">
      <pivotArea field="1" type="button" dataOnly="0" labelOnly="1" outline="0" axis="axisRow" fieldPosition="1"/>
    </format>
    <format dxfId="308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07">
      <pivotArea field="0" type="button" dataOnly="0" labelOnly="1" outline="0" axis="axisRow" fieldPosition="0"/>
    </format>
    <format dxfId="306">
      <pivotArea field="1" type="button" dataOnly="0" labelOnly="1" outline="0" axis="axisRow" fieldPosition="1"/>
    </format>
    <format dxfId="305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04">
      <pivotArea outline="0" collapsedLevelsAreSubtotals="1" fieldPosition="0"/>
    </format>
    <format dxfId="303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99">
      <pivotArea outline="0" collapsedLevelsAreSubtotals="1" fieldPosition="0"/>
    </format>
    <format dxfId="298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68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m="1" x="18"/>
        <item m="1" x="9"/>
        <item m="1" x="10"/>
        <item x="1"/>
        <item x="2"/>
        <item x="3"/>
        <item x="5"/>
        <item x="6"/>
        <item m="1" x="16"/>
        <item m="1" x="12"/>
        <item m="1" x="20"/>
        <item m="1" x="11"/>
        <item x="7"/>
        <item m="1" x="14"/>
        <item x="4"/>
        <item m="1" x="24"/>
        <item m="1" x="15"/>
        <item m="1" x="22"/>
        <item m="1" x="34"/>
        <item m="1" x="32"/>
        <item m="1" x="35"/>
        <item m="1" x="30"/>
        <item m="1" x="28"/>
        <item m="1" x="26"/>
        <item m="1" x="19"/>
        <item m="1" x="36"/>
        <item m="1" x="33"/>
        <item m="1" x="31"/>
        <item m="1" x="29"/>
        <item m="1" x="27"/>
        <item m="1" x="25"/>
        <item m="1" x="23"/>
        <item m="1" x="21"/>
        <item m="1" x="17"/>
        <item m="1" x="13"/>
        <item x="8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8">
        <item x="5"/>
        <item x="2"/>
        <item x="4"/>
        <item x="3"/>
        <item x="1"/>
        <item m="1" x="6"/>
        <item m="1" x="7"/>
        <item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3"/>
        <item m="1" x="52"/>
        <item x="30"/>
        <item x="29"/>
        <item m="1" x="51"/>
        <item m="1" x="50"/>
        <item x="27"/>
        <item m="1" x="49"/>
        <item x="25"/>
        <item x="24"/>
        <item x="23"/>
        <item m="1" x="47"/>
        <item x="31"/>
        <item x="22"/>
        <item x="0"/>
        <item x="20"/>
        <item x="28"/>
        <item x="26"/>
        <item x="19"/>
        <item x="18"/>
        <item x="16"/>
        <item x="15"/>
        <item x="13"/>
        <item m="1" x="46"/>
        <item x="21"/>
        <item x="12"/>
        <item x="9"/>
        <item x="8"/>
        <item x="5"/>
        <item x="4"/>
        <item x="17"/>
        <item x="14"/>
        <item x="3"/>
        <item x="2"/>
        <item m="1" x="32"/>
        <item x="11"/>
        <item x="10"/>
        <item x="7"/>
        <item x="6"/>
        <item m="1" x="45"/>
        <item m="1" x="44"/>
        <item m="1" x="39"/>
        <item m="1" x="43"/>
        <item x="1"/>
        <item m="1" x="33"/>
        <item m="1" x="36"/>
        <item m="1" x="42"/>
        <item m="1" x="41"/>
        <item m="1" x="34"/>
        <item m="1" x="48"/>
        <item m="1" x="40"/>
        <item m="1" x="38"/>
        <item m="1" x="37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8">
    <i>
      <x v="3"/>
    </i>
    <i r="1">
      <x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0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9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68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m="1" x="18"/>
        <item m="1" x="9"/>
        <item m="1" x="10"/>
        <item x="1"/>
        <item x="2"/>
        <item x="3"/>
        <item x="5"/>
        <item x="6"/>
        <item m="1" x="16"/>
        <item m="1" x="12"/>
        <item m="1" x="20"/>
        <item m="1" x="11"/>
        <item x="7"/>
        <item m="1" x="14"/>
        <item x="4"/>
        <item m="1" x="24"/>
        <item m="1" x="15"/>
        <item m="1" x="22"/>
        <item m="1" x="34"/>
        <item m="1" x="32"/>
        <item m="1" x="35"/>
        <item m="1" x="30"/>
        <item m="1" x="28"/>
        <item m="1" x="26"/>
        <item m="1" x="19"/>
        <item m="1" x="36"/>
        <item m="1" x="33"/>
        <item m="1" x="31"/>
        <item m="1" x="29"/>
        <item m="1" x="27"/>
        <item m="1" x="25"/>
        <item m="1" x="23"/>
        <item m="1" x="21"/>
        <item m="1" x="17"/>
        <item m="1" x="13"/>
        <item x="8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71">
        <item m="1" x="69"/>
        <item m="1" x="70"/>
        <item m="1" x="66"/>
        <item m="1" x="68"/>
        <item m="1" x="67"/>
        <item m="1" x="65"/>
        <item m="1" x="64"/>
        <item m="1" x="63"/>
        <item m="1" x="62"/>
        <item m="1" x="61"/>
        <item m="1" x="58"/>
        <item m="1" x="57"/>
        <item m="1" x="56"/>
        <item m="1" x="55"/>
        <item m="1" x="54"/>
        <item m="1" x="59"/>
        <item m="1" x="60"/>
        <item m="1" x="53"/>
        <item m="1" x="52"/>
        <item x="30"/>
        <item x="29"/>
        <item m="1" x="51"/>
        <item m="1" x="50"/>
        <item x="27"/>
        <item m="1" x="49"/>
        <item x="25"/>
        <item x="24"/>
        <item x="23"/>
        <item m="1" x="47"/>
        <item x="31"/>
        <item x="22"/>
        <item x="0"/>
        <item x="20"/>
        <item x="28"/>
        <item x="26"/>
        <item x="19"/>
        <item x="18"/>
        <item x="16"/>
        <item x="15"/>
        <item x="13"/>
        <item m="1" x="46"/>
        <item x="21"/>
        <item x="12"/>
        <item x="9"/>
        <item x="8"/>
        <item x="5"/>
        <item x="4"/>
        <item x="17"/>
        <item x="14"/>
        <item x="3"/>
        <item x="2"/>
        <item m="1" x="32"/>
        <item x="11"/>
        <item x="10"/>
        <item x="7"/>
        <item x="6"/>
        <item m="1" x="45"/>
        <item m="1" x="44"/>
        <item m="1" x="39"/>
        <item m="1" x="43"/>
        <item x="1"/>
        <item m="1" x="33"/>
        <item m="1" x="36"/>
        <item m="1" x="42"/>
        <item m="1" x="41"/>
        <item m="1" x="34"/>
        <item m="1" x="48"/>
        <item m="1" x="40"/>
        <item m="1" x="38"/>
        <item m="1" x="37"/>
        <item m="1" x="3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8">
    <i>
      <x v="3"/>
    </i>
    <i r="1">
      <x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0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9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88">
      <pivotArea field="3" type="button" dataOnly="0" labelOnly="1" outline="0" axis="axisRow" fieldPosition="1"/>
    </format>
    <format dxfId="287">
      <pivotArea field="1" type="button" dataOnly="0" labelOnly="1" outline="0" axis="axisRow" fieldPosition="2"/>
    </format>
    <format dxfId="28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85">
      <pivotArea field="3" type="button" dataOnly="0" labelOnly="1" outline="0" axis="axisRow" fieldPosition="1"/>
    </format>
    <format dxfId="284">
      <pivotArea field="1" type="button" dataOnly="0" labelOnly="1" outline="0" axis="axisRow" fieldPosition="2"/>
    </format>
    <format dxfId="283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82">
      <pivotArea field="3" type="button" dataOnly="0" labelOnly="1" outline="0" axis="axisRow" fieldPosition="1"/>
    </format>
    <format dxfId="281">
      <pivotArea field="1" type="button" dataOnly="0" labelOnly="1" outline="0" axis="axisRow" fieldPosition="2"/>
    </format>
    <format dxfId="28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9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8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7">
      <pivotArea outline="0" fieldPosition="0">
        <references count="1">
          <reference field="4294967294" count="1" selected="0">
            <x v="4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7">
        <i x="1" s="1"/>
        <i x="2" s="1"/>
        <i x="3" s="1"/>
        <i x="5" s="1"/>
        <i x="6" s="1"/>
        <i x="7" s="1"/>
        <i x="4" s="1"/>
        <i x="18" s="1" nd="1"/>
        <i x="9" s="1" nd="1"/>
        <i x="10" s="1" nd="1"/>
        <i x="16" s="1" nd="1"/>
        <i x="12" s="1" nd="1"/>
        <i x="20" s="1" nd="1"/>
        <i x="11" s="1" nd="1"/>
        <i x="14" s="1" nd="1"/>
        <i x="24" s="1" nd="1"/>
        <i x="15" s="1" nd="1"/>
        <i x="22" s="1" nd="1"/>
        <i x="34" s="1" nd="1"/>
        <i x="32" s="1" nd="1"/>
        <i x="35" s="1" nd="1"/>
        <i x="30" s="1" nd="1"/>
        <i x="28" s="1" nd="1"/>
        <i x="26" s="1" nd="1"/>
        <i x="19" s="1" nd="1"/>
        <i x="36" s="1" nd="1"/>
        <i x="33" s="1" nd="1"/>
        <i x="31" s="1" nd="1"/>
        <i x="29" s="1" nd="1"/>
        <i x="27" s="1" nd="1"/>
        <i x="25" s="1" nd="1"/>
        <i x="23" s="1" nd="1"/>
        <i x="21" s="1" nd="1"/>
        <i x="17" s="1" nd="1"/>
        <i x="13" s="1" nd="1"/>
        <i x="8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7">
        <i x="1" s="1"/>
        <i x="2" s="1"/>
        <i x="3" s="1"/>
        <i x="5" s="1"/>
        <i x="6" s="1"/>
        <i x="7" s="1"/>
        <i x="4" s="1"/>
        <i x="18" s="1" nd="1"/>
        <i x="9" s="1" nd="1"/>
        <i x="10" s="1" nd="1"/>
        <i x="16" s="1" nd="1"/>
        <i x="12" s="1" nd="1"/>
        <i x="20" s="1" nd="1"/>
        <i x="11" s="1" nd="1"/>
        <i x="14" s="1" nd="1"/>
        <i x="24" s="1" nd="1"/>
        <i x="15" s="1" nd="1"/>
        <i x="22" s="1" nd="1"/>
        <i x="34" s="1" nd="1"/>
        <i x="32" s="1" nd="1"/>
        <i x="35" s="1" nd="1"/>
        <i x="30" s="1" nd="1"/>
        <i x="28" s="1" nd="1"/>
        <i x="26" s="1" nd="1"/>
        <i x="19" s="1" nd="1"/>
        <i x="36" s="1" nd="1"/>
        <i x="33" s="1" nd="1"/>
        <i x="31" s="1" nd="1"/>
        <i x="29" s="1" nd="1"/>
        <i x="27" s="1" nd="1"/>
        <i x="25" s="1" nd="1"/>
        <i x="23" s="1" nd="1"/>
        <i x="21" s="1" nd="1"/>
        <i x="17" s="1" nd="1"/>
        <i x="13" s="1" nd="1"/>
        <i x="8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7">
        <i x="1" s="1"/>
        <i x="2" s="1"/>
        <i x="3" s="1"/>
        <i x="5" s="1"/>
        <i x="6" s="1"/>
        <i x="7" s="1"/>
        <i x="4" s="1"/>
        <i x="18" s="1" nd="1"/>
        <i x="9" s="1" nd="1"/>
        <i x="10" s="1" nd="1"/>
        <i x="16" s="1" nd="1"/>
        <i x="12" s="1" nd="1"/>
        <i x="20" s="1" nd="1"/>
        <i x="11" s="1" nd="1"/>
        <i x="14" s="1" nd="1"/>
        <i x="24" s="1" nd="1"/>
        <i x="15" s="1" nd="1"/>
        <i x="22" s="1" nd="1"/>
        <i x="34" s="1" nd="1"/>
        <i x="32" s="1" nd="1"/>
        <i x="35" s="1" nd="1"/>
        <i x="30" s="1" nd="1"/>
        <i x="28" s="1" nd="1"/>
        <i x="26" s="1" nd="1"/>
        <i x="19" s="1" nd="1"/>
        <i x="36" s="1" nd="1"/>
        <i x="33" s="1" nd="1"/>
        <i x="31" s="1" nd="1"/>
        <i x="29" s="1" nd="1"/>
        <i x="27" s="1" nd="1"/>
        <i x="25" s="1" nd="1"/>
        <i x="23" s="1" nd="1"/>
        <i x="21" s="1" nd="1"/>
        <i x="17" s="1" nd="1"/>
        <i x="13" s="1" nd="1"/>
        <i x="8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7">
        <i x="1" s="1"/>
        <i x="2" s="1"/>
        <i x="3" s="1"/>
        <i x="5" s="1"/>
        <i x="6" s="1"/>
        <i x="7" s="1"/>
        <i x="4" s="1"/>
        <i x="18" s="1" nd="1"/>
        <i x="9" s="1" nd="1"/>
        <i x="10" s="1" nd="1"/>
        <i x="16" s="1" nd="1"/>
        <i x="12" s="1" nd="1"/>
        <i x="20" s="1" nd="1"/>
        <i x="11" s="1" nd="1"/>
        <i x="14" s="1" nd="1"/>
        <i x="24" s="1" nd="1"/>
        <i x="15" s="1" nd="1"/>
        <i x="22" s="1" nd="1"/>
        <i x="34" s="1" nd="1"/>
        <i x="32" s="1" nd="1"/>
        <i x="35" s="1" nd="1"/>
        <i x="30" s="1" nd="1"/>
        <i x="28" s="1" nd="1"/>
        <i x="26" s="1" nd="1"/>
        <i x="19" s="1" nd="1"/>
        <i x="36" s="1" nd="1"/>
        <i x="33" s="1" nd="1"/>
        <i x="31" s="1" nd="1"/>
        <i x="29" s="1" nd="1"/>
        <i x="27" s="1" nd="1"/>
        <i x="25" s="1" nd="1"/>
        <i x="23" s="1" nd="1"/>
        <i x="21" s="1" nd="1"/>
        <i x="17" s="1" nd="1"/>
        <i x="13" s="1" nd="1"/>
        <i x="8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7">
        <i x="1" s="1"/>
        <i x="2" s="1"/>
        <i x="3" s="1"/>
        <i x="5" s="1"/>
        <i x="6" s="1"/>
        <i x="7" s="1"/>
        <i x="4" s="1"/>
        <i x="18" s="1" nd="1"/>
        <i x="9" s="1" nd="1"/>
        <i x="10" s="1" nd="1"/>
        <i x="16" s="1" nd="1"/>
        <i x="12" s="1" nd="1"/>
        <i x="20" s="1" nd="1"/>
        <i x="11" s="1" nd="1"/>
        <i x="14" s="1" nd="1"/>
        <i x="24" s="1" nd="1"/>
        <i x="15" s="1" nd="1"/>
        <i x="22" s="1" nd="1"/>
        <i x="34" s="1" nd="1"/>
        <i x="32" s="1" nd="1"/>
        <i x="35" s="1" nd="1"/>
        <i x="30" s="1" nd="1"/>
        <i x="28" s="1" nd="1"/>
        <i x="26" s="1" nd="1"/>
        <i x="19" s="1" nd="1"/>
        <i x="36" s="1" nd="1"/>
        <i x="33" s="1" nd="1"/>
        <i x="31" s="1" nd="1"/>
        <i x="29" s="1" nd="1"/>
        <i x="27" s="1" nd="1"/>
        <i x="25" s="1" nd="1"/>
        <i x="23" s="1" nd="1"/>
        <i x="21" s="1" nd="1"/>
        <i x="17" s="1" nd="1"/>
        <i x="13" s="1" nd="1"/>
        <i x="8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71">
        <i x="30" s="1"/>
        <i x="29" s="1"/>
        <i x="27" s="1"/>
        <i x="25" s="1"/>
        <i x="24" s="1"/>
        <i x="23" s="1"/>
        <i x="31" s="1"/>
        <i x="22" s="1"/>
        <i x="0" s="1"/>
        <i x="20" s="1"/>
        <i x="28" s="1"/>
        <i x="26" s="1"/>
        <i x="19" s="1"/>
        <i x="18" s="1"/>
        <i x="16" s="1"/>
        <i x="15" s="1"/>
        <i x="13" s="1"/>
        <i x="21" s="1"/>
        <i x="12" s="1"/>
        <i x="9" s="1"/>
        <i x="8" s="1"/>
        <i x="5" s="1"/>
        <i x="4" s="1"/>
        <i x="17" s="1"/>
        <i x="14" s="1"/>
        <i x="3" s="1"/>
        <i x="2" s="1"/>
        <i x="11" s="1"/>
        <i x="10" s="1"/>
        <i x="7" s="1"/>
        <i x="6" s="1"/>
        <i x="1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3" s="1" nd="1"/>
        <i x="52" s="1" nd="1"/>
        <i x="51" s="1" nd="1"/>
        <i x="50" s="1" nd="1"/>
        <i x="49" s="1" nd="1"/>
        <i x="47" s="1" nd="1"/>
        <i x="46" s="1" nd="1"/>
        <i x="32" s="1" nd="1"/>
        <i x="45" s="1" nd="1"/>
        <i x="44" s="1" nd="1"/>
        <i x="39" s="1" nd="1"/>
        <i x="43" s="1" nd="1"/>
        <i x="33" s="1" nd="1"/>
        <i x="36" s="1" nd="1"/>
        <i x="42" s="1" nd="1"/>
        <i x="41" s="1" nd="1"/>
        <i x="34" s="1" nd="1"/>
        <i x="48" s="1" nd="1"/>
        <i x="40" s="1" nd="1"/>
        <i x="38" s="1" nd="1"/>
        <i x="37" s="1" nd="1"/>
        <i x="35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71">
        <i x="30" s="1"/>
        <i x="29" s="1"/>
        <i x="27" s="1"/>
        <i x="25" s="1"/>
        <i x="24" s="1"/>
        <i x="23" s="1"/>
        <i x="31" s="1"/>
        <i x="22" s="1"/>
        <i x="0" s="1"/>
        <i x="20" s="1"/>
        <i x="28" s="1"/>
        <i x="26" s="1"/>
        <i x="19" s="1"/>
        <i x="18" s="1"/>
        <i x="16" s="1"/>
        <i x="15" s="1"/>
        <i x="13" s="1"/>
        <i x="21" s="1"/>
        <i x="12" s="1"/>
        <i x="9" s="1"/>
        <i x="8" s="1"/>
        <i x="5" s="1"/>
        <i x="4" s="1"/>
        <i x="17" s="1"/>
        <i x="14" s="1"/>
        <i x="3" s="1"/>
        <i x="2" s="1"/>
        <i x="11" s="1"/>
        <i x="10" s="1"/>
        <i x="7" s="1"/>
        <i x="6" s="1"/>
        <i x="1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3" s="1" nd="1"/>
        <i x="52" s="1" nd="1"/>
        <i x="51" s="1" nd="1"/>
        <i x="50" s="1" nd="1"/>
        <i x="49" s="1" nd="1"/>
        <i x="47" s="1" nd="1"/>
        <i x="46" s="1" nd="1"/>
        <i x="32" s="1" nd="1"/>
        <i x="45" s="1" nd="1"/>
        <i x="44" s="1" nd="1"/>
        <i x="39" s="1" nd="1"/>
        <i x="43" s="1" nd="1"/>
        <i x="33" s="1" nd="1"/>
        <i x="36" s="1" nd="1"/>
        <i x="42" s="1" nd="1"/>
        <i x="41" s="1" nd="1"/>
        <i x="34" s="1" nd="1"/>
        <i x="48" s="1" nd="1"/>
        <i x="40" s="1" nd="1"/>
        <i x="38" s="1" nd="1"/>
        <i x="37" s="1" nd="1"/>
        <i x="35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71">
        <i x="30" s="1"/>
        <i x="29" s="1"/>
        <i x="27" s="1"/>
        <i x="25" s="1"/>
        <i x="24" s="1"/>
        <i x="23" s="1"/>
        <i x="31" s="1"/>
        <i x="22" s="1"/>
        <i x="0" s="1"/>
        <i x="20" s="1"/>
        <i x="28" s="1"/>
        <i x="26" s="1"/>
        <i x="19" s="1"/>
        <i x="18" s="1"/>
        <i x="16" s="1"/>
        <i x="15" s="1"/>
        <i x="13" s="1"/>
        <i x="21" s="1"/>
        <i x="12" s="1"/>
        <i x="9" s="1"/>
        <i x="8" s="1"/>
        <i x="5" s="1"/>
        <i x="4" s="1"/>
        <i x="17" s="1"/>
        <i x="14" s="1"/>
        <i x="3" s="1"/>
        <i x="2" s="1"/>
        <i x="11" s="1"/>
        <i x="10" s="1"/>
        <i x="7" s="1"/>
        <i x="6" s="1"/>
        <i x="1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3" s="1" nd="1"/>
        <i x="52" s="1" nd="1"/>
        <i x="51" s="1" nd="1"/>
        <i x="50" s="1" nd="1"/>
        <i x="49" s="1" nd="1"/>
        <i x="47" s="1" nd="1"/>
        <i x="46" s="1" nd="1"/>
        <i x="32" s="1" nd="1"/>
        <i x="45" s="1" nd="1"/>
        <i x="44" s="1" nd="1"/>
        <i x="39" s="1" nd="1"/>
        <i x="43" s="1" nd="1"/>
        <i x="33" s="1" nd="1"/>
        <i x="36" s="1" nd="1"/>
        <i x="42" s="1" nd="1"/>
        <i x="41" s="1" nd="1"/>
        <i x="34" s="1" nd="1"/>
        <i x="48" s="1" nd="1"/>
        <i x="40" s="1" nd="1"/>
        <i x="38" s="1" nd="1"/>
        <i x="37" s="1" nd="1"/>
        <i x="35" s="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8">
        <i x="5" s="1"/>
        <i x="2" s="1"/>
        <i x="4" s="1"/>
        <i x="3" s="1"/>
        <i x="1" s="1"/>
        <i x="0" s="1"/>
        <i x="6" s="1" nd="1"/>
        <i x="7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71">
        <i x="30" s="1"/>
        <i x="29" s="1"/>
        <i x="27" s="1"/>
        <i x="25" s="1"/>
        <i x="24" s="1"/>
        <i x="23" s="1"/>
        <i x="31" s="1"/>
        <i x="22" s="1"/>
        <i x="0" s="1"/>
        <i x="20" s="1"/>
        <i x="28" s="1"/>
        <i x="26" s="1"/>
        <i x="19" s="1"/>
        <i x="18" s="1"/>
        <i x="16" s="1"/>
        <i x="15" s="1"/>
        <i x="13" s="1"/>
        <i x="21" s="1"/>
        <i x="12" s="1"/>
        <i x="9" s="1"/>
        <i x="8" s="1"/>
        <i x="5" s="1"/>
        <i x="4" s="1"/>
        <i x="17" s="1"/>
        <i x="14" s="1"/>
        <i x="3" s="1"/>
        <i x="2" s="1"/>
        <i x="11" s="1"/>
        <i x="10" s="1"/>
        <i x="7" s="1"/>
        <i x="6" s="1"/>
        <i x="1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3" s="1" nd="1"/>
        <i x="52" s="1" nd="1"/>
        <i x="51" s="1" nd="1"/>
        <i x="50" s="1" nd="1"/>
        <i x="49" s="1" nd="1"/>
        <i x="47" s="1" nd="1"/>
        <i x="46" s="1" nd="1"/>
        <i x="32" s="1" nd="1"/>
        <i x="45" s="1" nd="1"/>
        <i x="44" s="1" nd="1"/>
        <i x="39" s="1" nd="1"/>
        <i x="43" s="1" nd="1"/>
        <i x="33" s="1" nd="1"/>
        <i x="36" s="1" nd="1"/>
        <i x="42" s="1" nd="1"/>
        <i x="41" s="1" nd="1"/>
        <i x="34" s="1" nd="1"/>
        <i x="48" s="1" nd="1"/>
        <i x="40" s="1" nd="1"/>
        <i x="38" s="1" nd="1"/>
        <i x="37" s="1" nd="1"/>
        <i x="35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71">
        <i x="30" s="1"/>
        <i x="29" s="1"/>
        <i x="27" s="1"/>
        <i x="25" s="1"/>
        <i x="24" s="1"/>
        <i x="23" s="1"/>
        <i x="31" s="1"/>
        <i x="22" s="1"/>
        <i x="0" s="1"/>
        <i x="20" s="1"/>
        <i x="28" s="1"/>
        <i x="26" s="1"/>
        <i x="19" s="1"/>
        <i x="18" s="1"/>
        <i x="16" s="1"/>
        <i x="15" s="1"/>
        <i x="13" s="1"/>
        <i x="21" s="1"/>
        <i x="12" s="1"/>
        <i x="9" s="1"/>
        <i x="8" s="1"/>
        <i x="5" s="1"/>
        <i x="4" s="1"/>
        <i x="17" s="1"/>
        <i x="14" s="1"/>
        <i x="3" s="1"/>
        <i x="2" s="1"/>
        <i x="11" s="1"/>
        <i x="10" s="1"/>
        <i x="7" s="1"/>
        <i x="6" s="1"/>
        <i x="1" s="1"/>
        <i x="69" s="1" nd="1"/>
        <i x="70" s="1" nd="1"/>
        <i x="66" s="1" nd="1"/>
        <i x="68" s="1" nd="1"/>
        <i x="67" s="1" nd="1"/>
        <i x="65" s="1" nd="1"/>
        <i x="64" s="1" nd="1"/>
        <i x="63" s="1" nd="1"/>
        <i x="62" s="1" nd="1"/>
        <i x="61" s="1" nd="1"/>
        <i x="58" s="1" nd="1"/>
        <i x="57" s="1" nd="1"/>
        <i x="56" s="1" nd="1"/>
        <i x="55" s="1" nd="1"/>
        <i x="54" s="1" nd="1"/>
        <i x="59" s="1" nd="1"/>
        <i x="60" s="1" nd="1"/>
        <i x="53" s="1" nd="1"/>
        <i x="52" s="1" nd="1"/>
        <i x="51" s="1" nd="1"/>
        <i x="50" s="1" nd="1"/>
        <i x="49" s="1" nd="1"/>
        <i x="47" s="1" nd="1"/>
        <i x="46" s="1" nd="1"/>
        <i x="32" s="1" nd="1"/>
        <i x="45" s="1" nd="1"/>
        <i x="44" s="1" nd="1"/>
        <i x="39" s="1" nd="1"/>
        <i x="43" s="1" nd="1"/>
        <i x="33" s="1" nd="1"/>
        <i x="36" s="1" nd="1"/>
        <i x="42" s="1" nd="1"/>
        <i x="41" s="1" nd="1"/>
        <i x="34" s="1" nd="1"/>
        <i x="48" s="1" nd="1"/>
        <i x="40" s="1" nd="1"/>
        <i x="38" s="1" nd="1"/>
        <i x="37" s="1" nd="1"/>
        <i x="35" s="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1" s="1"/>
        <i x="0" s="1"/>
        <i x="5" s="1" nd="1"/>
        <i x="7" s="1" nd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>
    <filterColumn colId="4">
      <filters>
        <filter val="100%"/>
      </filters>
    </filterColumn>
  </autoFilter>
  <tableColumns count="100">
    <tableColumn id="1" xr3:uid="{CC01D0E6-5846-4187-87EB-14127EDCC871}" uniqueName="1" name="TORRE" queryTableFieldId="1" dataDxfId="345"/>
    <tableColumn id="2" xr3:uid="{E130894E-F6CA-4D5D-905F-4F1F366536F5}" uniqueName="2" name="N° MÓDULO" queryTableFieldId="2" dataDxfId="344"/>
    <tableColumn id="3" xr3:uid="{BFF2FF07-40FD-4F09-8007-2AF1CE9F45C4}" uniqueName="3" name="N° SERIE" queryTableFieldId="3"/>
    <tableColumn id="4" xr3:uid="{33BD3205-6122-4974-AC22-14FF964CBA44}" uniqueName="4" name="TIPO" queryTableFieldId="4" dataDxfId="343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42" tableBorderDxfId="341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40"/>
    <tableColumn id="2" xr3:uid="{9038CCEA-ADD0-4D49-AFF2-359752B71E85}" name="CATEGORIA" dataDxfId="339"/>
    <tableColumn id="3" xr3:uid="{71B32BC0-0A68-48A1-A6AD-BAD1CF9ECEE9}" name="PESO" dataDxfId="338"/>
    <tableColumn id="4" xr3:uid="{3E30F266-296D-4A97-B06C-DB9F66D56A96}" name="PESO POR PARTIDA" dataDxfId="337">
      <calculatedColumnFormula>C2/SUM(C$18:C$38)</calculatedColumnFormula>
    </tableColumn>
    <tableColumn id="5" xr3:uid="{AF139575-BD72-4422-8F18-D7158E40BE85}" name="PESO GRUPO" dataDxfId="336"/>
    <tableColumn id="9" xr3:uid="{4865F242-E371-4145-8AC7-4CE4A19AC892}" name="CATEGORIA2" dataDxfId="335"/>
    <tableColumn id="8" xr3:uid="{CC58262B-B4D1-4698-871C-EAAF1A3B0485}" name="PRIORIDAD" dataDxfId="334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65" workbookViewId="0">
      <selection activeCell="A2" sqref="A2:A106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4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4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4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4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4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4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4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4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4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4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4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4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4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4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4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4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4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4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4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4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4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4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4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4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4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4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4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4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4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4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4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4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4" cm="1">
        <f t="array" ref="CV67">SUMPRODUCT(--(BG67:CR67&lt;1))</f>
        <v>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4" cm="1">
        <f t="array" ref="CV68">SUMPRODUCT(--(BG68:CR68&lt;1))</f>
        <v>0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4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4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4" cm="1">
        <f t="array" ref="CV71">SUMPRODUCT(--(BG71:CR71&lt;1))</f>
        <v>0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4" cm="1">
        <f t="array" ref="CV72">SUMPRODUCT(--(BG72:CR72&lt;1))</f>
        <v>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4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4" cm="1">
        <f t="array" ref="CV74">SUMPRODUCT(--(BG74:CR74&lt;1))</f>
        <v>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4" cm="1">
        <f t="array" ref="CV75">SUMPRODUCT(--(BG75:CR75&lt;1))</f>
        <v>0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0.99999999999999978</v>
      </c>
      <c r="F76" s="1">
        <v>46157</v>
      </c>
      <c r="G76" s="1">
        <v>46160</v>
      </c>
      <c r="H76" s="1">
        <v>46213</v>
      </c>
      <c r="I76" s="1">
        <v>46193</v>
      </c>
      <c r="K76" s="1">
        <v>46213</v>
      </c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0.09</v>
      </c>
      <c r="T76" s="3">
        <v>1</v>
      </c>
      <c r="U76" s="3">
        <v>0.22222222222222221</v>
      </c>
      <c r="V76" s="3">
        <v>0.22222222222222221</v>
      </c>
      <c r="W76" s="3">
        <v>0.1111111111111111</v>
      </c>
      <c r="X76" s="3">
        <v>0.1111111111111111</v>
      </c>
      <c r="Y76" s="3">
        <v>0.1111111111111111</v>
      </c>
      <c r="Z76" s="3">
        <v>0.22222222222222221</v>
      </c>
      <c r="AA76" s="3">
        <v>0.11</v>
      </c>
      <c r="AB76" s="3">
        <v>1</v>
      </c>
      <c r="AC76" s="3">
        <v>0.27272727272727271</v>
      </c>
      <c r="AD76" s="3">
        <v>0.27272727272727271</v>
      </c>
      <c r="AE76" s="3">
        <v>9.0909090909090912E-2</v>
      </c>
      <c r="AF76" s="3">
        <v>0.18181818181818182</v>
      </c>
      <c r="AG76" s="3">
        <v>0.18181818181818182</v>
      </c>
      <c r="AH76" s="3">
        <v>0.36999999999999983</v>
      </c>
      <c r="AI76" s="3">
        <v>0.99999999999999956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1.3513513513513509E-2</v>
      </c>
      <c r="AR76" s="3">
        <v>4.0540540540540529E-2</v>
      </c>
      <c r="AS76" s="3">
        <v>1.3513513513513509E-2</v>
      </c>
      <c r="AT76" s="3">
        <v>8.1081081081081058E-2</v>
      </c>
      <c r="AU76" s="3">
        <v>5.4054054054054036E-2</v>
      </c>
      <c r="AV76" s="3">
        <v>2.7027027027027018E-2</v>
      </c>
      <c r="AW76" s="3">
        <v>5.4054054054054036E-2</v>
      </c>
      <c r="AX76" s="3">
        <v>5.4054054054054036E-2</v>
      </c>
      <c r="AY76" s="3">
        <v>2.7027027027027018E-2</v>
      </c>
      <c r="AZ76" s="3">
        <v>4.0540540540540529E-2</v>
      </c>
      <c r="BA76" s="3">
        <v>5.4054054054054036E-2</v>
      </c>
      <c r="BB76" s="3">
        <v>8.1081081081081058E-2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MODULO TERMINADO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1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1</v>
      </c>
      <c r="BV76" s="3">
        <f>+IF(AVANCE[[#This Row],[TABLERO]]=AF$2,100%,AVANCE[[#This Row],[TABLERO]])</f>
        <v>1</v>
      </c>
      <c r="BW76" s="3">
        <f>+IF(AVANCE[[#This Row],[CAJA PAU]]=AG$2,100%,AVANCE[[#This Row],[CAJA PAU]])</f>
        <v>1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1</v>
      </c>
      <c r="CF76" s="3">
        <f>+IF(AVANCE[[#This Row],[PILASTREO]]=AR$2,100%,AVANCE[[#This Row],[PILASTREO]])</f>
        <v>1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1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1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1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/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/>
      </c>
      <c r="CV76" s="44" cm="1">
        <f t="array" ref="CV76">SUMPRODUCT(--(BG76:CR76&lt;1))</f>
        <v>0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0.99999999999999978</v>
      </c>
      <c r="F77" s="1">
        <v>46157</v>
      </c>
      <c r="G77" s="1">
        <v>46169</v>
      </c>
      <c r="H77" s="1">
        <v>46213</v>
      </c>
      <c r="I77" s="1">
        <v>46183</v>
      </c>
      <c r="K77" s="1">
        <v>46213</v>
      </c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0.36999999999999983</v>
      </c>
      <c r="AI77" s="3">
        <v>0.99999999999999956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4.0540540540540529E-2</v>
      </c>
      <c r="AS77" s="3">
        <v>1.3513513513513509E-2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4.0540540540540529E-2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MODULO TERMINADO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1</v>
      </c>
      <c r="CG77" s="3">
        <f>+IF(AVANCE[[#This Row],[CELOSIAS]]=AS$2,100%,AVANCE[[#This Row],[CELOSIAS]])</f>
        <v>1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1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/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/>
      </c>
      <c r="CV77" s="44" cm="1">
        <f t="array" ref="CV77">SUMPRODUCT(--(BG77:CR77&lt;1))</f>
        <v>0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4" cm="1">
        <f t="array" ref="CV78">SUMPRODUCT(--(BG78:CR78&lt;1))</f>
        <v>0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0.99999999999999978</v>
      </c>
      <c r="F79" s="1">
        <v>46160</v>
      </c>
      <c r="G79" s="1">
        <v>46158</v>
      </c>
      <c r="H79" s="1">
        <v>46216</v>
      </c>
      <c r="I79" s="1">
        <v>46196</v>
      </c>
      <c r="K79" s="1">
        <v>46216</v>
      </c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0.09</v>
      </c>
      <c r="T79" s="3">
        <v>1</v>
      </c>
      <c r="U79" s="3">
        <v>0.22222222222222221</v>
      </c>
      <c r="V79" s="3">
        <v>0.22222222222222221</v>
      </c>
      <c r="W79" s="3">
        <v>0.1111111111111111</v>
      </c>
      <c r="X79" s="3">
        <v>0.1111111111111111</v>
      </c>
      <c r="Y79" s="3">
        <v>0.1111111111111111</v>
      </c>
      <c r="Z79" s="3">
        <v>0.22222222222222221</v>
      </c>
      <c r="AA79" s="3">
        <v>0.11</v>
      </c>
      <c r="AB79" s="3">
        <v>1</v>
      </c>
      <c r="AC79" s="3">
        <v>0.27272727272727271</v>
      </c>
      <c r="AD79" s="3">
        <v>0.27272727272727271</v>
      </c>
      <c r="AE79" s="3">
        <v>9.0909090909090912E-2</v>
      </c>
      <c r="AF79" s="3">
        <v>0.18181818181818182</v>
      </c>
      <c r="AG79" s="3">
        <v>0.18181818181818182</v>
      </c>
      <c r="AH79" s="3">
        <v>0.36999999999999983</v>
      </c>
      <c r="AI79" s="3">
        <v>0.99999999999999956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1.3513513513513509E-2</v>
      </c>
      <c r="AR79" s="3">
        <v>4.0540540540540529E-2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4.0540540540540529E-2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MODULO TERMINADO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1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1</v>
      </c>
      <c r="BV79" s="3">
        <f>+IF(AVANCE[[#This Row],[TABLERO]]=AF$2,100%,AVANCE[[#This Row],[TABLERO]])</f>
        <v>1</v>
      </c>
      <c r="BW79" s="3">
        <f>+IF(AVANCE[[#This Row],[CAJA PAU]]=AG$2,100%,AVANCE[[#This Row],[CAJA PAU]])</f>
        <v>1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1</v>
      </c>
      <c r="CF79" s="3">
        <f>+IF(AVANCE[[#This Row],[PILASTREO]]=AR$2,100%,AVANCE[[#This Row],[PILASTREO]])</f>
        <v>1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1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0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/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/>
      </c>
      <c r="CV79" s="44" cm="1">
        <f t="array" ref="CV79">SUMPRODUCT(--(BG79:CR79&lt;1))</f>
        <v>0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0.99999999999999978</v>
      </c>
      <c r="F80" s="1">
        <v>46161</v>
      </c>
      <c r="G80" s="1">
        <v>46162</v>
      </c>
      <c r="H80" s="1">
        <v>46216</v>
      </c>
      <c r="I80" s="1">
        <v>46197</v>
      </c>
      <c r="K80" s="1">
        <v>46216</v>
      </c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0.11</v>
      </c>
      <c r="AB80" s="3">
        <v>1</v>
      </c>
      <c r="AC80" s="3">
        <v>0.27272727272727271</v>
      </c>
      <c r="AD80" s="3">
        <v>0.27272727272727271</v>
      </c>
      <c r="AE80" s="3">
        <v>9.0909090909090912E-2</v>
      </c>
      <c r="AF80" s="3">
        <v>0.18181818181818182</v>
      </c>
      <c r="AG80" s="3">
        <v>0.18181818181818182</v>
      </c>
      <c r="AH80" s="3">
        <v>0.36999999999999983</v>
      </c>
      <c r="AI80" s="3">
        <v>0.99999999999999956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1.3513513513513509E-2</v>
      </c>
      <c r="AR80" s="3">
        <v>4.0540540540540529E-2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4.0540540540540529E-2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MODULO TERMINADO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1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1</v>
      </c>
      <c r="CF80" s="3">
        <f>+IF(AVANCE[[#This Row],[PILASTREO]]=AR$2,100%,AVANCE[[#This Row],[PILASTREO]])</f>
        <v>1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1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/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/>
      </c>
      <c r="CV80" s="44" cm="1">
        <f t="array" ref="CV80">SUMPRODUCT(--(BG80:CR80&lt;1))</f>
        <v>0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0.99999999999999978</v>
      </c>
      <c r="F81" s="1">
        <v>46161</v>
      </c>
      <c r="G81" s="1">
        <v>46168</v>
      </c>
      <c r="H81" s="1">
        <v>46213</v>
      </c>
      <c r="I81" s="1">
        <v>46187</v>
      </c>
      <c r="K81" s="1">
        <v>46213</v>
      </c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0.36999999999999983</v>
      </c>
      <c r="AI81" s="3">
        <v>0.99999999999999956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4.0540540540540529E-2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MODULO TERMINADO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1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/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/>
      </c>
      <c r="CV81" s="44" cm="1">
        <f t="array" ref="CV81">SUMPRODUCT(--(BG81:CR81&lt;1))</f>
        <v>0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0.99999999999999978</v>
      </c>
      <c r="F82" s="1">
        <v>46162</v>
      </c>
      <c r="G82" s="1">
        <v>46171</v>
      </c>
      <c r="H82" s="1">
        <v>46213</v>
      </c>
      <c r="I82" s="1">
        <v>46188</v>
      </c>
      <c r="K82" s="1">
        <v>46213</v>
      </c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0.36999999999999983</v>
      </c>
      <c r="AI82" s="3">
        <v>0.99999999999999956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4.0540540540540529E-2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4.0540540540540529E-2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MODULO TERMINADO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1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1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/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/>
      </c>
      <c r="CV82" s="44" cm="1">
        <f t="array" ref="CV82">SUMPRODUCT(--(BG82:CR82&lt;1))</f>
        <v>0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0.99999999999999978</v>
      </c>
      <c r="F83" s="1">
        <v>46162</v>
      </c>
      <c r="G83" s="1">
        <v>46171</v>
      </c>
      <c r="H83" s="1">
        <v>46217</v>
      </c>
      <c r="I83" s="1">
        <v>46198</v>
      </c>
      <c r="K83" s="1">
        <v>46217</v>
      </c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0.09</v>
      </c>
      <c r="T83" s="3">
        <v>1</v>
      </c>
      <c r="U83" s="3">
        <v>0.22222222222222221</v>
      </c>
      <c r="V83" s="3">
        <v>0.22222222222222221</v>
      </c>
      <c r="W83" s="3">
        <v>0.1111111111111111</v>
      </c>
      <c r="X83" s="3">
        <v>0.1111111111111111</v>
      </c>
      <c r="Y83" s="3">
        <v>0.1111111111111111</v>
      </c>
      <c r="Z83" s="3">
        <v>0.22222222222222221</v>
      </c>
      <c r="AA83" s="3">
        <v>0.11</v>
      </c>
      <c r="AB83" s="3">
        <v>1</v>
      </c>
      <c r="AC83" s="3">
        <v>0.27272727272727271</v>
      </c>
      <c r="AD83" s="3">
        <v>0.27272727272727271</v>
      </c>
      <c r="AE83" s="3">
        <v>9.0909090909090912E-2</v>
      </c>
      <c r="AF83" s="3">
        <v>0.18181818181818182</v>
      </c>
      <c r="AG83" s="3">
        <v>0.18181818181818182</v>
      </c>
      <c r="AH83" s="3">
        <v>0.36999999999999983</v>
      </c>
      <c r="AI83" s="3">
        <v>0.99999999999999956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1.3513513513513509E-2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4.0540540540540529E-2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MODULO TERMINADO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1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1</v>
      </c>
      <c r="BV83" s="3">
        <f>+IF(AVANCE[[#This Row],[TABLERO]]=AF$2,100%,AVANCE[[#This Row],[TABLERO]])</f>
        <v>1</v>
      </c>
      <c r="BW83" s="3">
        <f>+IF(AVANCE[[#This Row],[CAJA PAU]]=AG$2,100%,AVANCE[[#This Row],[CAJA PAU]])</f>
        <v>1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1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1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/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/>
      </c>
      <c r="CV83" s="44" cm="1">
        <f t="array" ref="CV83">SUMPRODUCT(--(BG83:CR83&lt;1))</f>
        <v>0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0.99999999999999978</v>
      </c>
      <c r="F84" s="1">
        <v>46164</v>
      </c>
      <c r="G84" s="1">
        <v>46174</v>
      </c>
      <c r="H84" s="1">
        <v>46217</v>
      </c>
      <c r="I84" s="1">
        <v>46200</v>
      </c>
      <c r="K84" s="1">
        <v>46217</v>
      </c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0.09</v>
      </c>
      <c r="T84" s="3">
        <v>1</v>
      </c>
      <c r="U84" s="3">
        <v>0.22222222222222221</v>
      </c>
      <c r="V84" s="3">
        <v>0.22222222222222221</v>
      </c>
      <c r="W84" s="3">
        <v>0.1111111111111111</v>
      </c>
      <c r="X84" s="3">
        <v>0.1111111111111111</v>
      </c>
      <c r="Y84" s="3">
        <v>0.1111111111111111</v>
      </c>
      <c r="Z84" s="3">
        <v>0.22222222222222221</v>
      </c>
      <c r="AA84" s="3">
        <v>0.11</v>
      </c>
      <c r="AB84" s="3">
        <v>1</v>
      </c>
      <c r="AC84" s="3">
        <v>0.27272727272727271</v>
      </c>
      <c r="AD84" s="3">
        <v>0.27272727272727271</v>
      </c>
      <c r="AE84" s="3">
        <v>9.0909090909090912E-2</v>
      </c>
      <c r="AF84" s="3">
        <v>0.18181818181818182</v>
      </c>
      <c r="AG84" s="3">
        <v>0.18181818181818182</v>
      </c>
      <c r="AH84" s="3">
        <v>0.36999999999999983</v>
      </c>
      <c r="AI84" s="3">
        <v>0.99999999999999956</v>
      </c>
      <c r="AJ84" s="3">
        <v>5.4054054054054036E-2</v>
      </c>
      <c r="AK84" s="3">
        <v>5.4054054054054036E-2</v>
      </c>
      <c r="AL84" s="3">
        <v>2.7027027027027018E-2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1.3513513513513509E-2</v>
      </c>
      <c r="AR84" s="3">
        <v>4.0540540540540529E-2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4.0540540540540529E-2</v>
      </c>
      <c r="BA84" s="3">
        <v>5.4054054054054036E-2</v>
      </c>
      <c r="BB84" s="3">
        <v>8.1081081081081058E-2</v>
      </c>
      <c r="BC84" s="3">
        <v>1.3513513513513509E-2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MODULO TERMINADO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1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1</v>
      </c>
      <c r="BV84" s="3">
        <f>+IF(AVANCE[[#This Row],[TABLERO]]=AF$2,100%,AVANCE[[#This Row],[TABLERO]])</f>
        <v>1</v>
      </c>
      <c r="BW84" s="3">
        <f>+IF(AVANCE[[#This Row],[CAJA PAU]]=AG$2,100%,AVANCE[[#This Row],[CAJA PAU]])</f>
        <v>1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1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1</v>
      </c>
      <c r="CF84" s="3">
        <f>+IF(AVANCE[[#This Row],[PILASTREO]]=AR$2,100%,AVANCE[[#This Row],[PILASTREO]])</f>
        <v>1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1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1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/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/>
      </c>
      <c r="CV84" s="44" cm="1">
        <f t="array" ref="CV84">SUMPRODUCT(--(BG84:CR84&lt;1))</f>
        <v>0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0.99999999999999978</v>
      </c>
      <c r="F85" s="1">
        <v>46164</v>
      </c>
      <c r="G85" s="1">
        <v>46171</v>
      </c>
      <c r="H85" s="1">
        <v>46216</v>
      </c>
      <c r="I85" s="1">
        <v>46190</v>
      </c>
      <c r="K85" s="1">
        <v>46216</v>
      </c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0.36999999999999983</v>
      </c>
      <c r="AI85" s="3">
        <v>0.99999999999999956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4.0540540540540529E-2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MODULO TERMINADO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1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/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/>
      </c>
      <c r="CV85" s="44" cm="1">
        <f t="array" ref="CV85">SUMPRODUCT(--(BG85:CR85&lt;1))</f>
        <v>0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0.99999999999999978</v>
      </c>
      <c r="F86" s="1">
        <v>46167</v>
      </c>
      <c r="G86" s="1">
        <v>46171</v>
      </c>
      <c r="H86" s="1">
        <v>46216</v>
      </c>
      <c r="I86" s="1">
        <v>46193</v>
      </c>
      <c r="K86" s="1">
        <v>46216</v>
      </c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0.11</v>
      </c>
      <c r="AB86" s="3">
        <v>1</v>
      </c>
      <c r="AC86" s="3">
        <v>0.27272727272727271</v>
      </c>
      <c r="AD86" s="3">
        <v>0.27272727272727271</v>
      </c>
      <c r="AE86" s="3">
        <v>9.0909090909090912E-2</v>
      </c>
      <c r="AF86" s="3">
        <v>0.18181818181818182</v>
      </c>
      <c r="AG86" s="3">
        <v>0.18181818181818182</v>
      </c>
      <c r="AH86" s="3">
        <v>0.36999999999999983</v>
      </c>
      <c r="AI86" s="3">
        <v>0.99999999999999956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4.0540540540540529E-2</v>
      </c>
      <c r="AS86" s="3">
        <v>1.3513513513513509E-2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4.0540540540540529E-2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MODULO TERMINADO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1</v>
      </c>
      <c r="BU86" s="3">
        <f>+IF(AVANCE[[#This Row],[ARTEFACTOS]]=AE$2,100%,AVANCE[[#This Row],[ARTEFACTOS]])</f>
        <v>1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1</v>
      </c>
      <c r="CG86" s="3">
        <f>+IF(AVANCE[[#This Row],[CELOSIAS]]=AS$2,100%,AVANCE[[#This Row],[CELOSIAS]])</f>
        <v>1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1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/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/>
      </c>
      <c r="CV86" s="44" cm="1">
        <f t="array" ref="CV86">SUMPRODUCT(--(BG86:CR86&lt;1))</f>
        <v>0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0.99999999999999978</v>
      </c>
      <c r="F87" s="1">
        <v>46167</v>
      </c>
      <c r="G87" s="1">
        <v>46176</v>
      </c>
      <c r="H87" s="1">
        <v>46225</v>
      </c>
      <c r="I87" s="1">
        <v>46203</v>
      </c>
      <c r="K87" s="1">
        <v>46225</v>
      </c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0.09</v>
      </c>
      <c r="T87" s="3">
        <v>1</v>
      </c>
      <c r="U87" s="3">
        <v>0.22222222222222221</v>
      </c>
      <c r="V87" s="3">
        <v>0.22222222222222221</v>
      </c>
      <c r="W87" s="3">
        <v>0.1111111111111111</v>
      </c>
      <c r="X87" s="3">
        <v>0.1111111111111111</v>
      </c>
      <c r="Y87" s="3">
        <v>0.1111111111111111</v>
      </c>
      <c r="Z87" s="3">
        <v>0.22222222222222221</v>
      </c>
      <c r="AA87" s="3">
        <v>0.11</v>
      </c>
      <c r="AB87" s="3">
        <v>1</v>
      </c>
      <c r="AC87" s="3">
        <v>0.27272727272727271</v>
      </c>
      <c r="AD87" s="3">
        <v>0.27272727272727271</v>
      </c>
      <c r="AE87" s="3">
        <v>9.0909090909090912E-2</v>
      </c>
      <c r="AF87" s="3">
        <v>0.18181818181818182</v>
      </c>
      <c r="AG87" s="3">
        <v>0.18181818181818182</v>
      </c>
      <c r="AH87" s="3">
        <v>0.36999999999999983</v>
      </c>
      <c r="AI87" s="3">
        <v>0.99999999999999956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1.3513513513513509E-2</v>
      </c>
      <c r="AR87" s="3">
        <v>4.0540540540540529E-2</v>
      </c>
      <c r="AS87" s="3">
        <v>1.3513513513513509E-2</v>
      </c>
      <c r="AT87" s="3">
        <v>8.1081081081081058E-2</v>
      </c>
      <c r="AU87" s="3">
        <v>5.4054054054054036E-2</v>
      </c>
      <c r="AV87" s="3">
        <v>2.7027027027027018E-2</v>
      </c>
      <c r="AW87" s="3">
        <v>5.4054054054054036E-2</v>
      </c>
      <c r="AX87" s="3">
        <v>5.4054054054054036E-2</v>
      </c>
      <c r="AY87" s="3">
        <v>2.7027027027027018E-2</v>
      </c>
      <c r="AZ87" s="3">
        <v>4.0540540540540529E-2</v>
      </c>
      <c r="BA87" s="3">
        <v>5.4054054054054036E-2</v>
      </c>
      <c r="BB87" s="3">
        <v>8.1081081081081058E-2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MODULO TERMINADO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1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1</v>
      </c>
      <c r="BU87" s="3">
        <f>+IF(AVANCE[[#This Row],[ARTEFACTOS]]=AE$2,100%,AVANCE[[#This Row],[ARTEFACTOS]])</f>
        <v>1</v>
      </c>
      <c r="BV87" s="3">
        <f>+IF(AVANCE[[#This Row],[TABLERO]]=AF$2,100%,AVANCE[[#This Row],[TABLERO]])</f>
        <v>1</v>
      </c>
      <c r="BW87" s="3">
        <f>+IF(AVANCE[[#This Row],[CAJA PAU]]=AG$2,100%,AVANCE[[#This Row],[CAJA PAU]])</f>
        <v>1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1</v>
      </c>
      <c r="CF87" s="3">
        <f>+IF(AVANCE[[#This Row],[PILASTREO]]=AR$2,100%,AVANCE[[#This Row],[PILASTREO]])</f>
        <v>1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1</v>
      </c>
      <c r="CJ87" s="3">
        <f>+IF(AVANCE[[#This Row],[CERRADURAS]]=AV$2,100%,AVANCE[[#This Row],[CERRADURAS]])</f>
        <v>1</v>
      </c>
      <c r="CK87" s="3">
        <f>+IF(AVANCE[[#This Row],[REVESTIMIENTO INTERIOR ZONA SECA]]=AW$2,100%,AVANCE[[#This Row],[REVESTIMIENTO INTERIOR ZONA SECA]])</f>
        <v>1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1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1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/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/>
      </c>
      <c r="CV87" s="44" cm="1">
        <f t="array" ref="CV87">SUMPRODUCT(--(BG87:CR87&lt;1))</f>
        <v>0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0.99999999999999978</v>
      </c>
      <c r="F88" s="1">
        <v>46168</v>
      </c>
      <c r="G88" s="1">
        <v>46171</v>
      </c>
      <c r="H88" s="1">
        <v>46218</v>
      </c>
      <c r="I88" s="1">
        <v>46204</v>
      </c>
      <c r="K88" s="1">
        <v>46218</v>
      </c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0.09</v>
      </c>
      <c r="T88" s="3">
        <v>1</v>
      </c>
      <c r="U88" s="3">
        <v>0.22222222222222221</v>
      </c>
      <c r="V88" s="3">
        <v>0.22222222222222221</v>
      </c>
      <c r="W88" s="3">
        <v>0.1111111111111111</v>
      </c>
      <c r="X88" s="3">
        <v>0.1111111111111111</v>
      </c>
      <c r="Y88" s="3">
        <v>0.1111111111111111</v>
      </c>
      <c r="Z88" s="3">
        <v>0.22222222222222221</v>
      </c>
      <c r="AA88" s="3">
        <v>0.11</v>
      </c>
      <c r="AB88" s="3">
        <v>1</v>
      </c>
      <c r="AC88" s="3">
        <v>0.27272727272727271</v>
      </c>
      <c r="AD88" s="3">
        <v>0.27272727272727271</v>
      </c>
      <c r="AE88" s="3">
        <v>9.0909090909090912E-2</v>
      </c>
      <c r="AF88" s="3">
        <v>0.18181818181818182</v>
      </c>
      <c r="AG88" s="3">
        <v>0.18181818181818182</v>
      </c>
      <c r="AH88" s="3">
        <v>0.36999999999999983</v>
      </c>
      <c r="AI88" s="3">
        <v>0.99999999999999956</v>
      </c>
      <c r="AJ88" s="3">
        <v>5.4054054054054036E-2</v>
      </c>
      <c r="AK88" s="3">
        <v>5.4054054054054036E-2</v>
      </c>
      <c r="AL88" s="3">
        <v>2.7027027027027018E-2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1.3513513513513509E-2</v>
      </c>
      <c r="AR88" s="3">
        <v>4.0540540540540529E-2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4.0540540540540529E-2</v>
      </c>
      <c r="BA88" s="3">
        <v>5.4054054054054036E-2</v>
      </c>
      <c r="BB88" s="3">
        <v>8.1081081081081058E-2</v>
      </c>
      <c r="BC88" s="3">
        <v>1.3513513513513509E-2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MODULO TERMINADO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1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1</v>
      </c>
      <c r="BU88" s="3">
        <f>+IF(AVANCE[[#This Row],[ARTEFACTOS]]=AE$2,100%,AVANCE[[#This Row],[ARTEFACTOS]])</f>
        <v>1</v>
      </c>
      <c r="BV88" s="3">
        <f>+IF(AVANCE[[#This Row],[TABLERO]]=AF$2,100%,AVANCE[[#This Row],[TABLERO]])</f>
        <v>1</v>
      </c>
      <c r="BW88" s="3">
        <f>+IF(AVANCE[[#This Row],[CAJA PAU]]=AG$2,100%,AVANCE[[#This Row],[CAJA PAU]])</f>
        <v>1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1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1</v>
      </c>
      <c r="CF88" s="3">
        <f>+IF(AVANCE[[#This Row],[PILASTREO]]=AR$2,100%,AVANCE[[#This Row],[PILASTREO]])</f>
        <v>1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1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1</v>
      </c>
      <c r="CQ88" s="3">
        <f>+IF(AVANCE[[#This Row],[MUEBLE LAVAPLATOS]]=BC$2,100%,AVANCE[[#This Row],[MUEBLE LAVAPLATOS]])</f>
        <v>1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/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/>
      </c>
      <c r="CV88" s="44" cm="1">
        <f t="array" ref="CV88">SUMPRODUCT(--(BG88:CR88&lt;1))</f>
        <v>0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0.99999999999999978</v>
      </c>
      <c r="F89" s="1">
        <v>46168</v>
      </c>
      <c r="G89" s="1">
        <v>46171</v>
      </c>
      <c r="H89" s="1">
        <v>46217</v>
      </c>
      <c r="I89" s="1">
        <v>46194</v>
      </c>
      <c r="K89" s="1">
        <v>46217</v>
      </c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0.11</v>
      </c>
      <c r="AB89" s="3">
        <v>1</v>
      </c>
      <c r="AC89" s="3">
        <v>0.27272727272727271</v>
      </c>
      <c r="AD89" s="3">
        <v>0.27272727272727271</v>
      </c>
      <c r="AE89" s="3">
        <v>9.0909090909090912E-2</v>
      </c>
      <c r="AF89" s="3">
        <v>0.18181818181818182</v>
      </c>
      <c r="AG89" s="3">
        <v>0.18181818181818182</v>
      </c>
      <c r="AH89" s="3">
        <v>0.36999999999999983</v>
      </c>
      <c r="AI89" s="3">
        <v>0.99999999999999956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1.3513513513513509E-2</v>
      </c>
      <c r="AR89" s="3">
        <v>4.0540540540540529E-2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4.0540540540540529E-2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MODULO TERMINADO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1</v>
      </c>
      <c r="BU89" s="3">
        <f>+IF(AVANCE[[#This Row],[ARTEFACTOS]]=AE$2,100%,AVANCE[[#This Row],[ARTEFACTOS]])</f>
        <v>1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1</v>
      </c>
      <c r="CF89" s="3">
        <f>+IF(AVANCE[[#This Row],[PILASTREO]]=AR$2,100%,AVANCE[[#This Row],[PILASTREO]])</f>
        <v>1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1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/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/>
      </c>
      <c r="CV89" s="44" cm="1">
        <f t="array" ref="CV89">SUMPRODUCT(--(BG89:CR89&lt;1))</f>
        <v>0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0.99999999999999978</v>
      </c>
      <c r="F90" s="1">
        <v>46169</v>
      </c>
      <c r="G90" s="1">
        <v>46178</v>
      </c>
      <c r="H90" s="1">
        <v>46216</v>
      </c>
      <c r="I90" s="1">
        <v>46195</v>
      </c>
      <c r="K90" s="1">
        <v>46216</v>
      </c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0.11</v>
      </c>
      <c r="AB90" s="3">
        <v>1</v>
      </c>
      <c r="AC90" s="3">
        <v>0.27272727272727271</v>
      </c>
      <c r="AD90" s="3">
        <v>0.27272727272727271</v>
      </c>
      <c r="AE90" s="3">
        <v>9.0909090909090912E-2</v>
      </c>
      <c r="AF90" s="3">
        <v>0.18181818181818182</v>
      </c>
      <c r="AG90" s="3">
        <v>0.18181818181818182</v>
      </c>
      <c r="AH90" s="3">
        <v>0.36999999999999983</v>
      </c>
      <c r="AI90" s="3">
        <v>0.99999999999999956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6.7567567567567557E-2</v>
      </c>
      <c r="AP90" s="3">
        <v>5.4054054054054036E-2</v>
      </c>
      <c r="AQ90" s="3">
        <v>1.3513513513513509E-2</v>
      </c>
      <c r="AR90" s="3">
        <v>4.0540540540540529E-2</v>
      </c>
      <c r="AS90" s="3">
        <v>1.3513513513513509E-2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4.0540540540540529E-2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MODULO TERMINADO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1</v>
      </c>
      <c r="BU90" s="3">
        <f>+IF(AVANCE[[#This Row],[ARTEFACTOS]]=AE$2,100%,AVANCE[[#This Row],[ARTEFACTOS]])</f>
        <v>1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1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1</v>
      </c>
      <c r="CF90" s="3">
        <f>+IF(AVANCE[[#This Row],[PILASTREO]]=AR$2,100%,AVANCE[[#This Row],[PILASTREO]])</f>
        <v>1</v>
      </c>
      <c r="CG90" s="3">
        <f>+IF(AVANCE[[#This Row],[CELOSIAS]]=AS$2,100%,AVANCE[[#This Row],[CELOSIAS]])</f>
        <v>1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1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/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/>
      </c>
      <c r="CV90" s="44" cm="1">
        <f t="array" ref="CV90">SUMPRODUCT(--(BG90:CR90&lt;1))</f>
        <v>0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0.99999999999999978</v>
      </c>
      <c r="F91" s="1">
        <v>46169</v>
      </c>
      <c r="G91" s="1">
        <v>46176</v>
      </c>
      <c r="H91" s="1">
        <v>46225</v>
      </c>
      <c r="I91" s="1">
        <v>46205</v>
      </c>
      <c r="K91" s="1">
        <v>46225</v>
      </c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0.09</v>
      </c>
      <c r="T91" s="3">
        <v>1</v>
      </c>
      <c r="U91" s="3">
        <v>0.22222222222222221</v>
      </c>
      <c r="V91" s="3">
        <v>0.22222222222222221</v>
      </c>
      <c r="W91" s="3">
        <v>0.1111111111111111</v>
      </c>
      <c r="X91" s="3">
        <v>0.1111111111111111</v>
      </c>
      <c r="Y91" s="3">
        <v>0.1111111111111111</v>
      </c>
      <c r="Z91" s="3">
        <v>0.22222222222222221</v>
      </c>
      <c r="AA91" s="3">
        <v>0.11</v>
      </c>
      <c r="AB91" s="3">
        <v>1</v>
      </c>
      <c r="AC91" s="3">
        <v>0.27272727272727271</v>
      </c>
      <c r="AD91" s="3">
        <v>0.27272727272727271</v>
      </c>
      <c r="AE91" s="3">
        <v>9.0909090909090912E-2</v>
      </c>
      <c r="AF91" s="3">
        <v>0.18181818181818182</v>
      </c>
      <c r="AG91" s="3">
        <v>0.18181818181818182</v>
      </c>
      <c r="AH91" s="3">
        <v>0.36999999999999983</v>
      </c>
      <c r="AI91" s="3">
        <v>0.99999999999999956</v>
      </c>
      <c r="AJ91" s="3">
        <v>5.4054054054054036E-2</v>
      </c>
      <c r="AK91" s="3">
        <v>5.4054054054054036E-2</v>
      </c>
      <c r="AL91" s="3">
        <v>2.7027027027027018E-2</v>
      </c>
      <c r="AM91" s="3">
        <v>8.1081081081081058E-2</v>
      </c>
      <c r="AN91" s="3">
        <v>8.1081081081081058E-2</v>
      </c>
      <c r="AO91" s="3">
        <v>6.7567567567567557E-2</v>
      </c>
      <c r="AP91" s="3">
        <v>5.4054054054054036E-2</v>
      </c>
      <c r="AQ91" s="3">
        <v>1.3513513513513509E-2</v>
      </c>
      <c r="AR91" s="3">
        <v>4.0540540540540529E-2</v>
      </c>
      <c r="AS91" s="3">
        <v>1.3513513513513509E-2</v>
      </c>
      <c r="AT91" s="3">
        <v>8.1081081081081058E-2</v>
      </c>
      <c r="AU91" s="3">
        <v>5.4054054054054036E-2</v>
      </c>
      <c r="AV91" s="3">
        <v>2.7027027027027018E-2</v>
      </c>
      <c r="AW91" s="3">
        <v>5.4054054054054036E-2</v>
      </c>
      <c r="AX91" s="3">
        <v>5.4054054054054036E-2</v>
      </c>
      <c r="AY91" s="3">
        <v>2.7027027027027018E-2</v>
      </c>
      <c r="AZ91" s="3">
        <v>4.0540540540540529E-2</v>
      </c>
      <c r="BA91" s="3">
        <v>5.4054054054054036E-2</v>
      </c>
      <c r="BB91" s="3">
        <v>8.1081081081081058E-2</v>
      </c>
      <c r="BC91" s="3">
        <v>1.3513513513513509E-2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MODULO TERMINADO</v>
      </c>
      <c r="BG91" s="3">
        <f>+IF(AVANCE[[#This Row],[VENTANAS]]=8.10810810810811%,100%,AVANCE[[#This Row],[VENTANAS]])</f>
        <v>1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1</v>
      </c>
      <c r="BP91" s="3">
        <f>+IF(AVANCE[[#This Row],[TINA]]=X$2,100%,AVANCE[[#This Row],[TINA]])</f>
        <v>1</v>
      </c>
      <c r="BQ91" s="3">
        <f>+IF(AVANCE[[#This Row],[WC]]=Y$2,100%,AVANCE[[#This Row],[WC]])</f>
        <v>1</v>
      </c>
      <c r="BR91" s="3">
        <f>+IF(AVANCE[[#This Row],[LAVAMANOS / LAVAPLATOS / LAVADERO]]=Z$2,100%,AVANCE[[#This Row],[LAVAMANOS / LAVAPLATOS / LAVADERO]])</f>
        <v>1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1</v>
      </c>
      <c r="BU91" s="3">
        <f>+IF(AVANCE[[#This Row],[ARTEFACTOS]]=AE$2,100%,AVANCE[[#This Row],[ARTEFACTOS]])</f>
        <v>1</v>
      </c>
      <c r="BV91" s="3">
        <f>+IF(AVANCE[[#This Row],[TABLERO]]=AF$2,100%,AVANCE[[#This Row],[TABLERO]])</f>
        <v>1</v>
      </c>
      <c r="BW91" s="3">
        <f>+IF(AVANCE[[#This Row],[CAJA PAU]]=AG$2,100%,AVANCE[[#This Row],[CAJA PAU]])</f>
        <v>1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1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1</v>
      </c>
      <c r="CC91" s="3">
        <f>+IF(AVANCE[[#This Row],[PINTURA EXTERIOR]]=AO$2,100%,AVANCE[[#This Row],[PINTURA EXTERIOR]])</f>
        <v>1</v>
      </c>
      <c r="CD91" s="3">
        <f>+IF(AVANCE[[#This Row],[ZOCALOS LOGIA]]=AP$2,100%,AVANCE[[#This Row],[ZOCALOS LOGIA]])</f>
        <v>1</v>
      </c>
      <c r="CE91" s="3">
        <f>+IF(AVANCE[[#This Row],[MOLDURAS]]=AQ$2,100%,AVANCE[[#This Row],[MOLDURAS]])</f>
        <v>1</v>
      </c>
      <c r="CF91" s="3">
        <f>+IF(AVANCE[[#This Row],[PILASTREO]]=AR$2,100%,AVANCE[[#This Row],[PILASTREO]])</f>
        <v>1</v>
      </c>
      <c r="CG91" s="3">
        <f>+IF(AVANCE[[#This Row],[CELOSIAS]]=AS$2,100%,AVANCE[[#This Row],[CELOSIAS]])</f>
        <v>1</v>
      </c>
      <c r="CH91" s="3">
        <f>+IF(AVANCE[[#This Row],[VENTANAS]]=AT$2,100%,AVANCE[[#This Row],[VENTANAS]])</f>
        <v>1</v>
      </c>
      <c r="CI91" s="3">
        <f>+IF(AVANCE[[#This Row],[PUERTAS ACCESO - LOGIA - BANO]]=AU$2,100%,AVANCE[[#This Row],[PUERTAS ACCESO - LOGIA - BANO]])</f>
        <v>1</v>
      </c>
      <c r="CJ91" s="3">
        <f>+IF(AVANCE[[#This Row],[CERRADURAS]]=AV$2,100%,AVANCE[[#This Row],[CERRADURAS]])</f>
        <v>1</v>
      </c>
      <c r="CK91" s="3">
        <f>+IF(AVANCE[[#This Row],[REVESTIMIENTO INTERIOR ZONA SECA]]=AW$2,100%,AVANCE[[#This Row],[REVESTIMIENTO INTERIOR ZONA SECA]])</f>
        <v>1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1</v>
      </c>
      <c r="CO91" s="3">
        <f>+IF(AVANCE[[#This Row],[PUERTAS DORMITORIO]]=BA$2,100%,AVANCE[[#This Row],[PUERTAS DORMITORIO]])</f>
        <v>1</v>
      </c>
      <c r="CP91" s="3">
        <f>+IF(AVANCE[[#This Row],[REVESTIMIENTO INTERIOR BANO]]=BB$2,100%,AVANCE[[#This Row],[REVESTIMIENTO INTERIOR BANO]])</f>
        <v>1</v>
      </c>
      <c r="CQ91" s="3">
        <f>+IF(AVANCE[[#This Row],[MUEBLE LAVAPLATOS]]=BC$2,100%,AVANCE[[#This Row],[MUEBLE LAVAPLATOS]])</f>
        <v>1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/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/>
      </c>
      <c r="CV91" s="44" cm="1">
        <f t="array" ref="CV91">SUMPRODUCT(--(BG91:CR91&lt;1))</f>
        <v>0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0.99999999999999978</v>
      </c>
      <c r="F92" s="1">
        <v>46170</v>
      </c>
      <c r="G92" s="1">
        <v>46181</v>
      </c>
      <c r="H92" s="1">
        <v>46225</v>
      </c>
      <c r="I92" s="1">
        <v>46206</v>
      </c>
      <c r="K92" s="1">
        <v>46225</v>
      </c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0.09</v>
      </c>
      <c r="T92" s="3">
        <v>1</v>
      </c>
      <c r="U92" s="3">
        <v>0.22222222222222221</v>
      </c>
      <c r="V92" s="3">
        <v>0.22222222222222221</v>
      </c>
      <c r="W92" s="3">
        <v>0.1111111111111111</v>
      </c>
      <c r="X92" s="3">
        <v>0.1111111111111111</v>
      </c>
      <c r="Y92" s="3">
        <v>0.1111111111111111</v>
      </c>
      <c r="Z92" s="3">
        <v>0.22222222222222221</v>
      </c>
      <c r="AA92" s="3">
        <v>0.11</v>
      </c>
      <c r="AB92" s="3">
        <v>1</v>
      </c>
      <c r="AC92" s="3">
        <v>0.27272727272727271</v>
      </c>
      <c r="AD92" s="3">
        <v>0.27272727272727271</v>
      </c>
      <c r="AE92" s="3">
        <v>9.0909090909090912E-2</v>
      </c>
      <c r="AF92" s="3">
        <v>0.18181818181818182</v>
      </c>
      <c r="AG92" s="3">
        <v>0.18181818181818182</v>
      </c>
      <c r="AH92" s="3">
        <v>0.36999999999999983</v>
      </c>
      <c r="AI92" s="3">
        <v>0.99999999999999956</v>
      </c>
      <c r="AJ92" s="3">
        <v>5.4054054054054036E-2</v>
      </c>
      <c r="AK92" s="3">
        <v>5.4054054054054036E-2</v>
      </c>
      <c r="AL92" s="3">
        <v>2.7027027027027018E-2</v>
      </c>
      <c r="AM92" s="3">
        <v>8.1081081081081058E-2</v>
      </c>
      <c r="AN92" s="3">
        <v>8.1081081081081058E-2</v>
      </c>
      <c r="AO92" s="3">
        <v>6.7567567567567557E-2</v>
      </c>
      <c r="AP92" s="3">
        <v>5.4054054054054036E-2</v>
      </c>
      <c r="AQ92" s="3">
        <v>1.3513513513513509E-2</v>
      </c>
      <c r="AR92" s="3">
        <v>4.0540540540540529E-2</v>
      </c>
      <c r="AS92" s="3">
        <v>1.3513513513513509E-2</v>
      </c>
      <c r="AT92" s="3">
        <v>8.1081081081081058E-2</v>
      </c>
      <c r="AU92" s="3">
        <v>5.4054054054054036E-2</v>
      </c>
      <c r="AV92" s="3">
        <v>2.7027027027027018E-2</v>
      </c>
      <c r="AW92" s="3">
        <v>5.4054054054054036E-2</v>
      </c>
      <c r="AX92" s="3">
        <v>5.4054054054054036E-2</v>
      </c>
      <c r="AY92" s="3">
        <v>2.7027027027027018E-2</v>
      </c>
      <c r="AZ92" s="3">
        <v>4.0540540540540529E-2</v>
      </c>
      <c r="BA92" s="3">
        <v>5.4054054054054036E-2</v>
      </c>
      <c r="BB92" s="3">
        <v>8.1081081081081058E-2</v>
      </c>
      <c r="BC92" s="3">
        <v>1.3513513513513509E-2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MODULO TERMINADO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1</v>
      </c>
      <c r="BP92" s="3">
        <f>+IF(AVANCE[[#This Row],[TINA]]=X$2,100%,AVANCE[[#This Row],[TINA]])</f>
        <v>1</v>
      </c>
      <c r="BQ92" s="3">
        <f>+IF(AVANCE[[#This Row],[WC]]=Y$2,100%,AVANCE[[#This Row],[WC]])</f>
        <v>1</v>
      </c>
      <c r="BR92" s="3">
        <f>+IF(AVANCE[[#This Row],[LAVAMANOS / LAVAPLATOS / LAVADERO]]=Z$2,100%,AVANCE[[#This Row],[LAVAMANOS / LAVAPLATOS / LAVADERO]])</f>
        <v>1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1</v>
      </c>
      <c r="BU92" s="3">
        <f>+IF(AVANCE[[#This Row],[ARTEFACTOS]]=AE$2,100%,AVANCE[[#This Row],[ARTEFACTOS]])</f>
        <v>1</v>
      </c>
      <c r="BV92" s="3">
        <f>+IF(AVANCE[[#This Row],[TABLERO]]=AF$2,100%,AVANCE[[#This Row],[TABLERO]])</f>
        <v>1</v>
      </c>
      <c r="BW92" s="3">
        <f>+IF(AVANCE[[#This Row],[CAJA PAU]]=AG$2,100%,AVANCE[[#This Row],[CAJA PAU]])</f>
        <v>1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1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1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1</v>
      </c>
      <c r="CF92" s="3">
        <f>+IF(AVANCE[[#This Row],[PILASTREO]]=AR$2,100%,AVANCE[[#This Row],[PILASTREO]])</f>
        <v>1</v>
      </c>
      <c r="CG92" s="3">
        <f>+IF(AVANCE[[#This Row],[CELOSIAS]]=AS$2,100%,AVANCE[[#This Row],[CELOSIAS]])</f>
        <v>1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1</v>
      </c>
      <c r="CJ92" s="3">
        <f>+IF(AVANCE[[#This Row],[CERRADURAS]]=AV$2,100%,AVANCE[[#This Row],[CERRADURAS]])</f>
        <v>1</v>
      </c>
      <c r="CK92" s="3">
        <f>+IF(AVANCE[[#This Row],[REVESTIMIENTO INTERIOR ZONA SECA]]=AW$2,100%,AVANCE[[#This Row],[REVESTIMIENTO INTERIOR ZONA SECA]])</f>
        <v>1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1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1</v>
      </c>
      <c r="CQ92" s="3">
        <f>+IF(AVANCE[[#This Row],[MUEBLE LAVAPLATOS]]=BC$2,100%,AVANCE[[#This Row],[MUEBLE LAVAPLATOS]])</f>
        <v>1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0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/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/>
      </c>
      <c r="CV92" s="44" cm="1">
        <f t="array" ref="CV92">SUMPRODUCT(--(BG92:CR92&lt;1))</f>
        <v>0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0.99999999999999978</v>
      </c>
      <c r="F93" s="1">
        <v>46170</v>
      </c>
      <c r="G93" s="1">
        <v>46184</v>
      </c>
      <c r="H93" s="1">
        <v>46218</v>
      </c>
      <c r="I93" s="1">
        <v>46196</v>
      </c>
      <c r="K93" s="1">
        <v>46218</v>
      </c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0.11</v>
      </c>
      <c r="AB93" s="3">
        <v>1</v>
      </c>
      <c r="AC93" s="3">
        <v>0.27272727272727271</v>
      </c>
      <c r="AD93" s="3">
        <v>0.27272727272727271</v>
      </c>
      <c r="AE93" s="3">
        <v>9.0909090909090912E-2</v>
      </c>
      <c r="AF93" s="3">
        <v>0.18181818181818182</v>
      </c>
      <c r="AG93" s="3">
        <v>0.18181818181818182</v>
      </c>
      <c r="AH93" s="3">
        <v>0.36999999999999983</v>
      </c>
      <c r="AI93" s="3">
        <v>0.99999999999999956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8.1081081081081058E-2</v>
      </c>
      <c r="AO93" s="3">
        <v>6.7567567567567557E-2</v>
      </c>
      <c r="AP93" s="3">
        <v>5.4054054054054036E-2</v>
      </c>
      <c r="AQ93" s="3">
        <v>1.3513513513513509E-2</v>
      </c>
      <c r="AR93" s="3">
        <v>4.0540540540540529E-2</v>
      </c>
      <c r="AS93" s="3">
        <v>1.3513513513513509E-2</v>
      </c>
      <c r="AT93" s="3">
        <v>8.1081081081081058E-2</v>
      </c>
      <c r="AU93" s="3">
        <v>5.4054054054054036E-2</v>
      </c>
      <c r="AV93" s="3">
        <v>2.7027027027027018E-2</v>
      </c>
      <c r="AW93" s="3">
        <v>5.4054054054054036E-2</v>
      </c>
      <c r="AX93" s="3">
        <v>5.4054054054054036E-2</v>
      </c>
      <c r="AY93" s="3">
        <v>2.7027027027027018E-2</v>
      </c>
      <c r="AZ93" s="3">
        <v>4.0540540540540529E-2</v>
      </c>
      <c r="BA93" s="3">
        <v>5.4054054054054036E-2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MODULO TERMINADO</v>
      </c>
      <c r="BG93" s="3">
        <f>+IF(AVANCE[[#This Row],[VENTANAS]]=8.10810810810811%,100%,AVANCE[[#This Row],[VENTANAS]])</f>
        <v>1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1</v>
      </c>
      <c r="BU93" s="3">
        <f>+IF(AVANCE[[#This Row],[ARTEFACTOS]]=AE$2,100%,AVANCE[[#This Row],[ARTEFACTOS]])</f>
        <v>1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1</v>
      </c>
      <c r="CC93" s="3">
        <f>+IF(AVANCE[[#This Row],[PINTURA EXTERIOR]]=AO$2,100%,AVANCE[[#This Row],[PINTURA EXTERIOR]])</f>
        <v>1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1</v>
      </c>
      <c r="CF93" s="3">
        <f>+IF(AVANCE[[#This Row],[PILASTREO]]=AR$2,100%,AVANCE[[#This Row],[PILASTREO]])</f>
        <v>1</v>
      </c>
      <c r="CG93" s="3">
        <f>+IF(AVANCE[[#This Row],[CELOSIAS]]=AS$2,100%,AVANCE[[#This Row],[CELOSIAS]])</f>
        <v>1</v>
      </c>
      <c r="CH93" s="3">
        <f>+IF(AVANCE[[#This Row],[VENTANAS]]=AT$2,100%,AVANCE[[#This Row],[VENTANAS]])</f>
        <v>1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1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1</v>
      </c>
      <c r="CN93" s="3">
        <f>+IF(AVANCE[[#This Row],[LIMPIEZA FINAL]]=AZ$2,100%,AVANCE[[#This Row],[LIMPIEZA FINAL]])</f>
        <v>1</v>
      </c>
      <c r="CO93" s="3">
        <f>+IF(AVANCE[[#This Row],[PUERTAS DORMITORIO]]=BA$2,100%,AVANCE[[#This Row],[PUERTAS DORMITORIO]])</f>
        <v>1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/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/>
      </c>
      <c r="CV93" s="44" cm="1">
        <f t="array" ref="CV93">SUMPRODUCT(--(BG93:CR93&lt;1))</f>
        <v>0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0.99999999999999978</v>
      </c>
      <c r="F94" s="1">
        <v>46171</v>
      </c>
      <c r="G94" s="1">
        <v>46184</v>
      </c>
      <c r="H94" s="1">
        <v>46224</v>
      </c>
      <c r="I94" s="1">
        <v>46197</v>
      </c>
      <c r="K94" s="1">
        <v>46224</v>
      </c>
      <c r="L94" s="3">
        <v>0.43</v>
      </c>
      <c r="M94" s="3">
        <v>1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9.3023255813953487E-2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0.11</v>
      </c>
      <c r="AB94" s="3">
        <v>1</v>
      </c>
      <c r="AC94" s="3">
        <v>0.27272727272727271</v>
      </c>
      <c r="AD94" s="3">
        <v>0.27272727272727271</v>
      </c>
      <c r="AE94" s="3">
        <v>9.0909090909090912E-2</v>
      </c>
      <c r="AF94" s="3">
        <v>0.18181818181818182</v>
      </c>
      <c r="AG94" s="3">
        <v>0.18181818181818182</v>
      </c>
      <c r="AH94" s="3">
        <v>0.36999999999999983</v>
      </c>
      <c r="AI94" s="3">
        <v>0.99999999999999956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8.1081081081081058E-2</v>
      </c>
      <c r="AO94" s="3">
        <v>6.7567567567567557E-2</v>
      </c>
      <c r="AP94" s="3">
        <v>5.4054054054054036E-2</v>
      </c>
      <c r="AQ94" s="3">
        <v>1.3513513513513509E-2</v>
      </c>
      <c r="AR94" s="3">
        <v>4.0540540540540529E-2</v>
      </c>
      <c r="AS94" s="3">
        <v>1.3513513513513509E-2</v>
      </c>
      <c r="AT94" s="3">
        <v>8.1081081081081058E-2</v>
      </c>
      <c r="AU94" s="3">
        <v>5.4054054054054036E-2</v>
      </c>
      <c r="AV94" s="3">
        <v>2.7027027027027018E-2</v>
      </c>
      <c r="AW94" s="3">
        <v>5.4054054054054036E-2</v>
      </c>
      <c r="AX94" s="3">
        <v>5.4054054054054036E-2</v>
      </c>
      <c r="AY94" s="3">
        <v>2.7027027027027018E-2</v>
      </c>
      <c r="AZ94" s="3">
        <v>4.0540540540540529E-2</v>
      </c>
      <c r="BA94" s="3">
        <v>5.4054054054054036E-2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MODULO TERMINADO</v>
      </c>
      <c r="BG94" s="3">
        <f>+IF(AVANCE[[#This Row],[VENTANAS]]=8.10810810810811%,100%,AVANCE[[#This Row],[VENTANAS]])</f>
        <v>1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1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1</v>
      </c>
      <c r="BU94" s="3">
        <f>+IF(AVANCE[[#This Row],[ARTEFACTOS]]=AE$2,100%,AVANCE[[#This Row],[ARTEFACTOS]])</f>
        <v>1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1</v>
      </c>
      <c r="CC94" s="3">
        <f>+IF(AVANCE[[#This Row],[PINTURA EXTERIOR]]=AO$2,100%,AVANCE[[#This Row],[PINTURA EXTERIOR]])</f>
        <v>1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1</v>
      </c>
      <c r="CF94" s="3">
        <f>+IF(AVANCE[[#This Row],[PILASTREO]]=AR$2,100%,AVANCE[[#This Row],[PILASTREO]])</f>
        <v>1</v>
      </c>
      <c r="CG94" s="3">
        <f>+IF(AVANCE[[#This Row],[CELOSIAS]]=AS$2,100%,AVANCE[[#This Row],[CELOSIAS]])</f>
        <v>1</v>
      </c>
      <c r="CH94" s="3">
        <f>+IF(AVANCE[[#This Row],[VENTANAS]]=AT$2,100%,AVANCE[[#This Row],[VENTANAS]])</f>
        <v>1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1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1</v>
      </c>
      <c r="CO94" s="3">
        <f>+IF(AVANCE[[#This Row],[PUERTAS DORMITORIO]]=BA$2,100%,AVANCE[[#This Row],[PUERTAS DORMITORIO]])</f>
        <v>1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/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/>
      </c>
      <c r="CV94" s="44" cm="1">
        <f t="array" ref="CV94">SUMPRODUCT(--(BG94:CR94&lt;1))</f>
        <v>0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0.99999999999999978</v>
      </c>
      <c r="F95" s="1">
        <v>46171</v>
      </c>
      <c r="G95" s="1">
        <v>46181</v>
      </c>
      <c r="H95" s="1">
        <v>46225</v>
      </c>
      <c r="I95" s="1">
        <v>46207</v>
      </c>
      <c r="K95" s="1">
        <v>46225</v>
      </c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0.09</v>
      </c>
      <c r="T95" s="3">
        <v>1</v>
      </c>
      <c r="U95" s="3">
        <v>0.22222222222222221</v>
      </c>
      <c r="V95" s="3">
        <v>0.22222222222222221</v>
      </c>
      <c r="W95" s="3">
        <v>0.1111111111111111</v>
      </c>
      <c r="X95" s="3">
        <v>0.1111111111111111</v>
      </c>
      <c r="Y95" s="3">
        <v>0.1111111111111111</v>
      </c>
      <c r="Z95" s="3">
        <v>0.22222222222222221</v>
      </c>
      <c r="AA95" s="3">
        <v>0.11</v>
      </c>
      <c r="AB95" s="3">
        <v>1</v>
      </c>
      <c r="AC95" s="3">
        <v>0.27272727272727271</v>
      </c>
      <c r="AD95" s="3">
        <v>0.27272727272727271</v>
      </c>
      <c r="AE95" s="3">
        <v>9.0909090909090912E-2</v>
      </c>
      <c r="AF95" s="3">
        <v>0.18181818181818182</v>
      </c>
      <c r="AG95" s="3">
        <v>0.18181818181818182</v>
      </c>
      <c r="AH95" s="3">
        <v>0.36999999999999983</v>
      </c>
      <c r="AI95" s="3">
        <v>0.99999999999999956</v>
      </c>
      <c r="AJ95" s="3">
        <v>5.4054054054054036E-2</v>
      </c>
      <c r="AK95" s="3">
        <v>5.4054054054054036E-2</v>
      </c>
      <c r="AL95" s="3">
        <v>2.7027027027027018E-2</v>
      </c>
      <c r="AM95" s="3">
        <v>8.1081081081081058E-2</v>
      </c>
      <c r="AN95" s="3">
        <v>8.1081081081081058E-2</v>
      </c>
      <c r="AO95" s="3">
        <v>6.7567567567567557E-2</v>
      </c>
      <c r="AP95" s="3">
        <v>5.4054054054054036E-2</v>
      </c>
      <c r="AQ95" s="3">
        <v>1.3513513513513509E-2</v>
      </c>
      <c r="AR95" s="3">
        <v>4.0540540540540529E-2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5.4054054054054036E-2</v>
      </c>
      <c r="AX95" s="3">
        <v>5.4054054054054036E-2</v>
      </c>
      <c r="AY95" s="3">
        <v>2.7027027027027018E-2</v>
      </c>
      <c r="AZ95" s="3">
        <v>4.0540540540540529E-2</v>
      </c>
      <c r="BA95" s="3">
        <v>5.4054054054054036E-2</v>
      </c>
      <c r="BB95" s="3">
        <v>8.1081081081081058E-2</v>
      </c>
      <c r="BC95" s="3">
        <v>1.3513513513513509E-2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MODULO TERMINADO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1</v>
      </c>
      <c r="BP95" s="3">
        <f>+IF(AVANCE[[#This Row],[TINA]]=X$2,100%,AVANCE[[#This Row],[TINA]])</f>
        <v>1</v>
      </c>
      <c r="BQ95" s="3">
        <f>+IF(AVANCE[[#This Row],[WC]]=Y$2,100%,AVANCE[[#This Row],[WC]])</f>
        <v>1</v>
      </c>
      <c r="BR95" s="3">
        <f>+IF(AVANCE[[#This Row],[LAVAMANOS / LAVAPLATOS / LAVADERO]]=Z$2,100%,AVANCE[[#This Row],[LAVAMANOS / LAVAPLATOS / LAVADERO]])</f>
        <v>1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1</v>
      </c>
      <c r="BU95" s="3">
        <f>+IF(AVANCE[[#This Row],[ARTEFACTOS]]=AE$2,100%,AVANCE[[#This Row],[ARTEFACTOS]])</f>
        <v>1</v>
      </c>
      <c r="BV95" s="3">
        <f>+IF(AVANCE[[#This Row],[TABLERO]]=AF$2,100%,AVANCE[[#This Row],[TABLERO]])</f>
        <v>1</v>
      </c>
      <c r="BW95" s="3">
        <f>+IF(AVANCE[[#This Row],[CAJA PAU]]=AG$2,100%,AVANCE[[#This Row],[CAJA PAU]])</f>
        <v>1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1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1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1</v>
      </c>
      <c r="CF95" s="3">
        <f>+IF(AVANCE[[#This Row],[PILASTREO]]=AR$2,100%,AVANCE[[#This Row],[PILASTREO]])</f>
        <v>1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1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1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1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/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/>
      </c>
      <c r="CV95" s="44" cm="1">
        <f t="array" ref="CV95">SUMPRODUCT(--(BG95:CR95&lt;1))</f>
        <v>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0.99999999999999978</v>
      </c>
      <c r="F96" s="1">
        <v>46174</v>
      </c>
      <c r="G96" s="1">
        <v>46177</v>
      </c>
      <c r="H96" s="1">
        <v>46225</v>
      </c>
      <c r="I96" s="1">
        <v>46210</v>
      </c>
      <c r="K96" s="1">
        <v>46225</v>
      </c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0.09</v>
      </c>
      <c r="T96" s="3">
        <v>1</v>
      </c>
      <c r="U96" s="3">
        <v>0.22222222222222221</v>
      </c>
      <c r="V96" s="3">
        <v>0.22222222222222221</v>
      </c>
      <c r="W96" s="3">
        <v>0.1111111111111111</v>
      </c>
      <c r="X96" s="3">
        <v>0.1111111111111111</v>
      </c>
      <c r="Y96" s="3">
        <v>0.1111111111111111</v>
      </c>
      <c r="Z96" s="3">
        <v>0.22222222222222221</v>
      </c>
      <c r="AA96" s="3">
        <v>0.11</v>
      </c>
      <c r="AB96" s="3">
        <v>1</v>
      </c>
      <c r="AC96" s="3">
        <v>0.27272727272727271</v>
      </c>
      <c r="AD96" s="3">
        <v>0.27272727272727271</v>
      </c>
      <c r="AE96" s="3">
        <v>9.0909090909090912E-2</v>
      </c>
      <c r="AF96" s="3">
        <v>0.18181818181818182</v>
      </c>
      <c r="AG96" s="3">
        <v>0.18181818181818182</v>
      </c>
      <c r="AH96" s="3">
        <v>0.36999999999999983</v>
      </c>
      <c r="AI96" s="3">
        <v>0.99999999999999956</v>
      </c>
      <c r="AJ96" s="3">
        <v>5.4054054054054036E-2</v>
      </c>
      <c r="AK96" s="3">
        <v>5.4054054054054036E-2</v>
      </c>
      <c r="AL96" s="3">
        <v>2.7027027027027018E-2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1.3513513513513509E-2</v>
      </c>
      <c r="AR96" s="3">
        <v>4.0540540540540529E-2</v>
      </c>
      <c r="AS96" s="3">
        <v>1.3513513513513509E-2</v>
      </c>
      <c r="AT96" s="3">
        <v>8.1081081081081058E-2</v>
      </c>
      <c r="AU96" s="3">
        <v>5.4054054054054036E-2</v>
      </c>
      <c r="AV96" s="3">
        <v>2.7027027027027018E-2</v>
      </c>
      <c r="AW96" s="3">
        <v>5.4054054054054036E-2</v>
      </c>
      <c r="AX96" s="3">
        <v>5.4054054054054036E-2</v>
      </c>
      <c r="AY96" s="3">
        <v>2.7027027027027018E-2</v>
      </c>
      <c r="AZ96" s="3">
        <v>4.0540540540540529E-2</v>
      </c>
      <c r="BA96" s="3">
        <v>5.4054054054054036E-2</v>
      </c>
      <c r="BB96" s="3">
        <v>8.1081081081081058E-2</v>
      </c>
      <c r="BC96" s="3">
        <v>1.3513513513513509E-2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MODULO TERMINADO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1</v>
      </c>
      <c r="BP96" s="3">
        <f>+IF(AVANCE[[#This Row],[TINA]]=X$2,100%,AVANCE[[#This Row],[TINA]])</f>
        <v>1</v>
      </c>
      <c r="BQ96" s="3">
        <f>+IF(AVANCE[[#This Row],[WC]]=Y$2,100%,AVANCE[[#This Row],[WC]])</f>
        <v>1</v>
      </c>
      <c r="BR96" s="3">
        <f>+IF(AVANCE[[#This Row],[LAVAMANOS / LAVAPLATOS / LAVADERO]]=Z$2,100%,AVANCE[[#This Row],[LAVAMANOS / LAVAPLATOS / LAVADERO]])</f>
        <v>1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1</v>
      </c>
      <c r="BU96" s="3">
        <f>+IF(AVANCE[[#This Row],[ARTEFACTOS]]=AE$2,100%,AVANCE[[#This Row],[ARTEFACTOS]])</f>
        <v>1</v>
      </c>
      <c r="BV96" s="3">
        <f>+IF(AVANCE[[#This Row],[TABLERO]]=AF$2,100%,AVANCE[[#This Row],[TABLERO]])</f>
        <v>1</v>
      </c>
      <c r="BW96" s="3">
        <f>+IF(AVANCE[[#This Row],[CAJA PAU]]=AG$2,100%,AVANCE[[#This Row],[CAJA PAU]])</f>
        <v>1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1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1</v>
      </c>
      <c r="CF96" s="3">
        <f>+IF(AVANCE[[#This Row],[PILASTREO]]=AR$2,100%,AVANCE[[#This Row],[PILASTREO]])</f>
        <v>1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1</v>
      </c>
      <c r="CJ96" s="3">
        <f>+IF(AVANCE[[#This Row],[CERRADURAS]]=AV$2,100%,AVANCE[[#This Row],[CERRADURAS]])</f>
        <v>1</v>
      </c>
      <c r="CK96" s="3">
        <f>+IF(AVANCE[[#This Row],[REVESTIMIENTO INTERIOR ZONA SECA]]=AW$2,100%,AVANCE[[#This Row],[REVESTIMIENTO INTERIOR ZONA SECA]])</f>
        <v>1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1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1</v>
      </c>
      <c r="CQ96" s="3">
        <f>+IF(AVANCE[[#This Row],[MUEBLE LAVAPLATOS]]=BC$2,100%,AVANCE[[#This Row],[MUEBLE LAVAPLATOS]])</f>
        <v>1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/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/>
      </c>
      <c r="CV96" s="44" cm="1">
        <f t="array" ref="CV96">SUMPRODUCT(--(BG96:CR96&lt;1))</f>
        <v>0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0.99999999999999978</v>
      </c>
      <c r="F97" s="1">
        <v>46174</v>
      </c>
      <c r="G97" s="1">
        <v>46177</v>
      </c>
      <c r="H97" s="1">
        <v>46218</v>
      </c>
      <c r="I97" s="1">
        <v>46200</v>
      </c>
      <c r="K97" s="1">
        <v>46218</v>
      </c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0.11</v>
      </c>
      <c r="AB97" s="3">
        <v>1</v>
      </c>
      <c r="AC97" s="3">
        <v>0.27272727272727271</v>
      </c>
      <c r="AD97" s="3">
        <v>0.27272727272727271</v>
      </c>
      <c r="AE97" s="3">
        <v>9.0909090909090912E-2</v>
      </c>
      <c r="AF97" s="3">
        <v>0.18181818181818182</v>
      </c>
      <c r="AG97" s="3">
        <v>0.18181818181818182</v>
      </c>
      <c r="AH97" s="3">
        <v>0.36999999999999983</v>
      </c>
      <c r="AI97" s="3">
        <v>0.99999999999999956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4.0540540540540529E-2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4.0540540540540529E-2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MODULO TERMINADO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1</v>
      </c>
      <c r="BU97" s="3">
        <f>+IF(AVANCE[[#This Row],[ARTEFACTOS]]=AE$2,100%,AVANCE[[#This Row],[ARTEFACTOS]])</f>
        <v>1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1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1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/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/>
      </c>
      <c r="CV97" s="44" cm="1">
        <f t="array" ref="CV97">SUMPRODUCT(--(BG97:CR97&lt;1))</f>
        <v>0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0.99999999999999978</v>
      </c>
      <c r="F98" s="1">
        <v>46175</v>
      </c>
      <c r="G98" s="1">
        <v>46184</v>
      </c>
      <c r="H98" s="1">
        <v>46226</v>
      </c>
      <c r="I98" s="1">
        <v>46199</v>
      </c>
      <c r="K98" s="1">
        <v>46226</v>
      </c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0.11</v>
      </c>
      <c r="AB98" s="3">
        <v>1</v>
      </c>
      <c r="AC98" s="3">
        <v>0.27272727272727271</v>
      </c>
      <c r="AD98" s="3">
        <v>0.27272727272727271</v>
      </c>
      <c r="AE98" s="3">
        <v>9.0909090909090912E-2</v>
      </c>
      <c r="AF98" s="3">
        <v>0.18181818181818182</v>
      </c>
      <c r="AG98" s="3">
        <v>0.18181818181818182</v>
      </c>
      <c r="AH98" s="3">
        <v>0.36999999999999983</v>
      </c>
      <c r="AI98" s="3">
        <v>0.99999999999999956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6.7567567567567557E-2</v>
      </c>
      <c r="AP98" s="3">
        <v>5.4054054054054036E-2</v>
      </c>
      <c r="AQ98" s="3">
        <v>1.3513513513513509E-2</v>
      </c>
      <c r="AR98" s="3">
        <v>4.0540540540540529E-2</v>
      </c>
      <c r="AS98" s="3">
        <v>1.3513513513513509E-2</v>
      </c>
      <c r="AT98" s="3">
        <v>8.1081081081081058E-2</v>
      </c>
      <c r="AU98" s="3">
        <v>5.4054054054054036E-2</v>
      </c>
      <c r="AV98" s="3">
        <v>2.7027027027027018E-2</v>
      </c>
      <c r="AW98" s="3">
        <v>5.4054054054054036E-2</v>
      </c>
      <c r="AX98" s="3">
        <v>5.4054054054054036E-2</v>
      </c>
      <c r="AY98" s="3">
        <v>2.7027027027027018E-2</v>
      </c>
      <c r="AZ98" s="3">
        <v>4.0540540540540529E-2</v>
      </c>
      <c r="BA98" s="3">
        <v>5.4054054054054036E-2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MODULO TERMINADO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1</v>
      </c>
      <c r="BU98" s="3">
        <f>+IF(AVANCE[[#This Row],[ARTEFACTOS]]=AE$2,100%,AVANCE[[#This Row],[ARTEFACTOS]])</f>
        <v>1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1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1</v>
      </c>
      <c r="CF98" s="3">
        <f>+IF(AVANCE[[#This Row],[PILASTREO]]=AR$2,100%,AVANCE[[#This Row],[PILASTREO]])</f>
        <v>1</v>
      </c>
      <c r="CG98" s="3">
        <f>+IF(AVANCE[[#This Row],[CELOSIAS]]=AS$2,100%,AVANCE[[#This Row],[CELOSIAS]])</f>
        <v>1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1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1</v>
      </c>
      <c r="CO98" s="3">
        <f>+IF(AVANCE[[#This Row],[PUERTAS DORMITORIO]]=BA$2,100%,AVANCE[[#This Row],[PUERTAS DORMITORIO]])</f>
        <v>1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/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/>
      </c>
      <c r="CV98" s="44" cm="1">
        <f t="array" ref="CV98">SUMPRODUCT(--(BG98:CR98&lt;1))</f>
        <v>0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0.99999999999999978</v>
      </c>
      <c r="F99" s="1">
        <v>46175</v>
      </c>
      <c r="G99" s="1">
        <v>46184</v>
      </c>
      <c r="H99" s="1">
        <v>46227</v>
      </c>
      <c r="I99" s="1">
        <v>46209</v>
      </c>
      <c r="K99" s="1">
        <v>46227</v>
      </c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0.09</v>
      </c>
      <c r="T99" s="3">
        <v>1</v>
      </c>
      <c r="U99" s="3">
        <v>0.22222222222222221</v>
      </c>
      <c r="V99" s="3">
        <v>0.22222222222222221</v>
      </c>
      <c r="W99" s="3">
        <v>0.1111111111111111</v>
      </c>
      <c r="X99" s="3">
        <v>0.1111111111111111</v>
      </c>
      <c r="Y99" s="3">
        <v>0.1111111111111111</v>
      </c>
      <c r="Z99" s="3">
        <v>0.22222222222222221</v>
      </c>
      <c r="AA99" s="3">
        <v>0.11</v>
      </c>
      <c r="AB99" s="3">
        <v>1</v>
      </c>
      <c r="AC99" s="3">
        <v>0.27272727272727271</v>
      </c>
      <c r="AD99" s="3">
        <v>0.27272727272727271</v>
      </c>
      <c r="AE99" s="3">
        <v>9.0909090909090912E-2</v>
      </c>
      <c r="AF99" s="3">
        <v>0.18181818181818182</v>
      </c>
      <c r="AG99" s="3">
        <v>0.18181818181818182</v>
      </c>
      <c r="AH99" s="3">
        <v>0.36999999999999983</v>
      </c>
      <c r="AI99" s="3">
        <v>0.99999999999999956</v>
      </c>
      <c r="AJ99" s="3">
        <v>5.4054054054054036E-2</v>
      </c>
      <c r="AK99" s="3">
        <v>5.4054054054054036E-2</v>
      </c>
      <c r="AL99" s="3">
        <v>2.7027027027027018E-2</v>
      </c>
      <c r="AM99" s="3">
        <v>8.1081081081081058E-2</v>
      </c>
      <c r="AN99" s="3">
        <v>8.1081081081081058E-2</v>
      </c>
      <c r="AO99" s="3">
        <v>6.7567567567567557E-2</v>
      </c>
      <c r="AP99" s="3">
        <v>5.4054054054054036E-2</v>
      </c>
      <c r="AQ99" s="3">
        <v>1.3513513513513509E-2</v>
      </c>
      <c r="AR99" s="3">
        <v>4.0540540540540529E-2</v>
      </c>
      <c r="AS99" s="3">
        <v>1.3513513513513509E-2</v>
      </c>
      <c r="AT99" s="3">
        <v>8.1081081081081058E-2</v>
      </c>
      <c r="AU99" s="3">
        <v>5.4054054054054036E-2</v>
      </c>
      <c r="AV99" s="3">
        <v>2.7027027027027018E-2</v>
      </c>
      <c r="AW99" s="3">
        <v>5.4054054054054036E-2</v>
      </c>
      <c r="AX99" s="3">
        <v>5.4054054054054036E-2</v>
      </c>
      <c r="AY99" s="3">
        <v>2.7027027027027018E-2</v>
      </c>
      <c r="AZ99" s="3">
        <v>4.0540540540540529E-2</v>
      </c>
      <c r="BA99" s="3">
        <v>5.4054054054054036E-2</v>
      </c>
      <c r="BB99" s="3">
        <v>8.1081081081081058E-2</v>
      </c>
      <c r="BC99" s="3">
        <v>1.3513513513513509E-2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MODULO TERMINADO</v>
      </c>
      <c r="BG99" s="3">
        <f>+IF(AVANCE[[#This Row],[VENTANAS]]=8.10810810810811%,100%,AVANCE[[#This Row],[VENTANAS]])</f>
        <v>1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1</v>
      </c>
      <c r="BP99" s="3">
        <f>+IF(AVANCE[[#This Row],[TINA]]=X$2,100%,AVANCE[[#This Row],[TINA]])</f>
        <v>1</v>
      </c>
      <c r="BQ99" s="3">
        <f>+IF(AVANCE[[#This Row],[WC]]=Y$2,100%,AVANCE[[#This Row],[WC]])</f>
        <v>1</v>
      </c>
      <c r="BR99" s="3">
        <f>+IF(AVANCE[[#This Row],[LAVAMANOS / LAVAPLATOS / LAVADERO]]=Z$2,100%,AVANCE[[#This Row],[LAVAMANOS / LAVAPLATOS / LAVADERO]])</f>
        <v>1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1</v>
      </c>
      <c r="BU99" s="3">
        <f>+IF(AVANCE[[#This Row],[ARTEFACTOS]]=AE$2,100%,AVANCE[[#This Row],[ARTEFACTOS]])</f>
        <v>1</v>
      </c>
      <c r="BV99" s="3">
        <f>+IF(AVANCE[[#This Row],[TABLERO]]=AF$2,100%,AVANCE[[#This Row],[TABLERO]])</f>
        <v>1</v>
      </c>
      <c r="BW99" s="3">
        <f>+IF(AVANCE[[#This Row],[CAJA PAU]]=AG$2,100%,AVANCE[[#This Row],[CAJA PAU]])</f>
        <v>1</v>
      </c>
      <c r="BX99" s="3">
        <f>+IF(AVANCE[[#This Row],[INSTALACION VINILICO]]=AJ$2,100%,AVANCE[[#This Row],[INSTALACION VINILICO]])</f>
        <v>1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1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1</v>
      </c>
      <c r="CC99" s="3">
        <f>+IF(AVANCE[[#This Row],[PINTURA EXTERIOR]]=AO$2,100%,AVANCE[[#This Row],[PINTURA EXTERIOR]])</f>
        <v>1</v>
      </c>
      <c r="CD99" s="3">
        <f>+IF(AVANCE[[#This Row],[ZOCALOS LOGIA]]=AP$2,100%,AVANCE[[#This Row],[ZOCALOS LOGIA]])</f>
        <v>1</v>
      </c>
      <c r="CE99" s="3">
        <f>+IF(AVANCE[[#This Row],[MOLDURAS]]=AQ$2,100%,AVANCE[[#This Row],[MOLDURAS]])</f>
        <v>1</v>
      </c>
      <c r="CF99" s="3">
        <f>+IF(AVANCE[[#This Row],[PILASTREO]]=AR$2,100%,AVANCE[[#This Row],[PILASTREO]])</f>
        <v>1</v>
      </c>
      <c r="CG99" s="3">
        <f>+IF(AVANCE[[#This Row],[CELOSIAS]]=AS$2,100%,AVANCE[[#This Row],[CELOSIAS]])</f>
        <v>1</v>
      </c>
      <c r="CH99" s="3">
        <f>+IF(AVANCE[[#This Row],[VENTANAS]]=AT$2,100%,AVANCE[[#This Row],[VENTANAS]])</f>
        <v>1</v>
      </c>
      <c r="CI99" s="3">
        <f>+IF(AVANCE[[#This Row],[PUERTAS ACCESO - LOGIA - BANO]]=AU$2,100%,AVANCE[[#This Row],[PUERTAS ACCESO - LOGIA - BANO]])</f>
        <v>1</v>
      </c>
      <c r="CJ99" s="3">
        <f>+IF(AVANCE[[#This Row],[CERRADURAS]]=AV$2,100%,AVANCE[[#This Row],[CERRADURAS]])</f>
        <v>1</v>
      </c>
      <c r="CK99" s="3">
        <f>+IF(AVANCE[[#This Row],[REVESTIMIENTO INTERIOR ZONA SECA]]=AW$2,100%,AVANCE[[#This Row],[REVESTIMIENTO INTERIOR ZONA SECA]])</f>
        <v>1</v>
      </c>
      <c r="CL99" s="3">
        <f>+IF(AVANCE[[#This Row],[REVESTIMIENTO INTERIOR ZONAS HUMEDAS]]=AX$2,100%,AVANCE[[#This Row],[REVESTIMIENTO INTERIOR ZONAS HUMEDAS]])</f>
        <v>1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1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1</v>
      </c>
      <c r="CQ99" s="3">
        <f>+IF(AVANCE[[#This Row],[MUEBLE LAVAPLATOS]]=BC$2,100%,AVANCE[[#This Row],[MUEBLE LAVAPLATOS]])</f>
        <v>1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/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/>
      </c>
      <c r="CV99" s="44" cm="1">
        <f t="array" ref="CV99">SUMPRODUCT(--(BG99:CR99&lt;1))</f>
        <v>0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0.99999999999999978</v>
      </c>
      <c r="F100" s="1">
        <v>46176</v>
      </c>
      <c r="G100" s="1">
        <v>46192</v>
      </c>
      <c r="H100" s="1">
        <v>46227</v>
      </c>
      <c r="I100" s="1">
        <v>46210</v>
      </c>
      <c r="K100" s="1">
        <v>46227</v>
      </c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0.09</v>
      </c>
      <c r="T100" s="3">
        <v>1</v>
      </c>
      <c r="U100" s="3">
        <v>0.22222222222222221</v>
      </c>
      <c r="V100" s="3">
        <v>0.22222222222222221</v>
      </c>
      <c r="W100" s="3">
        <v>0.1111111111111111</v>
      </c>
      <c r="X100" s="3">
        <v>0.1111111111111111</v>
      </c>
      <c r="Y100" s="3">
        <v>0.1111111111111111</v>
      </c>
      <c r="Z100" s="3">
        <v>0.22222222222222221</v>
      </c>
      <c r="AA100" s="3">
        <v>0.11</v>
      </c>
      <c r="AB100" s="3">
        <v>1</v>
      </c>
      <c r="AC100" s="3">
        <v>0.27272727272727271</v>
      </c>
      <c r="AD100" s="3">
        <v>0.27272727272727271</v>
      </c>
      <c r="AE100" s="3">
        <v>9.0909090909090912E-2</v>
      </c>
      <c r="AF100" s="3">
        <v>0.18181818181818182</v>
      </c>
      <c r="AG100" s="3">
        <v>0.18181818181818182</v>
      </c>
      <c r="AH100" s="3">
        <v>0.36999999999999983</v>
      </c>
      <c r="AI100" s="3">
        <v>0.99999999999999956</v>
      </c>
      <c r="AJ100" s="3">
        <v>5.4054054054054036E-2</v>
      </c>
      <c r="AK100" s="3">
        <v>5.4054054054054036E-2</v>
      </c>
      <c r="AL100" s="3">
        <v>2.7027027027027018E-2</v>
      </c>
      <c r="AM100" s="3">
        <v>8.1081081081081058E-2</v>
      </c>
      <c r="AN100" s="3">
        <v>8.1081081081081058E-2</v>
      </c>
      <c r="AO100" s="3">
        <v>6.7567567567567557E-2</v>
      </c>
      <c r="AP100" s="3">
        <v>5.4054054054054036E-2</v>
      </c>
      <c r="AQ100" s="3">
        <v>1.3513513513513509E-2</v>
      </c>
      <c r="AR100" s="3">
        <v>4.0540540540540529E-2</v>
      </c>
      <c r="AS100" s="3">
        <v>1.3513513513513509E-2</v>
      </c>
      <c r="AT100" s="3">
        <v>8.1081081081081058E-2</v>
      </c>
      <c r="AU100" s="3">
        <v>5.4054054054054036E-2</v>
      </c>
      <c r="AV100" s="3">
        <v>2.7027027027027018E-2</v>
      </c>
      <c r="AW100" s="3">
        <v>5.4054054054054036E-2</v>
      </c>
      <c r="AX100" s="3">
        <v>5.4054054054054036E-2</v>
      </c>
      <c r="AY100" s="3">
        <v>2.7027027027027018E-2</v>
      </c>
      <c r="AZ100" s="3">
        <v>4.0540540540540529E-2</v>
      </c>
      <c r="BA100" s="3">
        <v>5.4054054054054036E-2</v>
      </c>
      <c r="BB100" s="3">
        <v>8.1081081081081058E-2</v>
      </c>
      <c r="BC100" s="3">
        <v>1.3513513513513509E-2</v>
      </c>
      <c r="BD100" s="3">
        <v>2.7027027027027018E-2</v>
      </c>
      <c r="BE100">
        <v>31.32</v>
      </c>
      <c r="BF100" s="3" t="str">
        <f>+IF(AVANCE[[#This Row],[% AVANCE]]=100%,"MODULO TERMINADO",IF(AVANCE[[#This Row],[FECHA INICIO REAL]]="","MODULO NO INICIADO","PENDIENTE"))</f>
        <v>MODULO TERMINADO</v>
      </c>
      <c r="BG100" s="3">
        <f>+IF(AVANCE[[#This Row],[VENTANAS]]=8.10810810810811%,100%,AVANCE[[#This Row],[VENTANAS]])</f>
        <v>1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1</v>
      </c>
      <c r="BP100" s="3">
        <f>+IF(AVANCE[[#This Row],[TINA]]=X$2,100%,AVANCE[[#This Row],[TINA]])</f>
        <v>1</v>
      </c>
      <c r="BQ100" s="3">
        <f>+IF(AVANCE[[#This Row],[WC]]=Y$2,100%,AVANCE[[#This Row],[WC]])</f>
        <v>1</v>
      </c>
      <c r="BR100" s="3">
        <f>+IF(AVANCE[[#This Row],[LAVAMANOS / LAVAPLATOS / LAVADERO]]=Z$2,100%,AVANCE[[#This Row],[LAVAMANOS / LAVAPLATOS / LAVADERO]])</f>
        <v>1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1</v>
      </c>
      <c r="BU100" s="3">
        <f>+IF(AVANCE[[#This Row],[ARTEFACTOS]]=AE$2,100%,AVANCE[[#This Row],[ARTEFACTOS]])</f>
        <v>1</v>
      </c>
      <c r="BV100" s="3">
        <f>+IF(AVANCE[[#This Row],[TABLERO]]=AF$2,100%,AVANCE[[#This Row],[TABLERO]])</f>
        <v>1</v>
      </c>
      <c r="BW100" s="3">
        <f>+IF(AVANCE[[#This Row],[CAJA PAU]]=AG$2,100%,AVANCE[[#This Row],[CAJA PAU]])</f>
        <v>1</v>
      </c>
      <c r="BX100" s="3">
        <f>+IF(AVANCE[[#This Row],[INSTALACION VINILICO]]=AJ$2,100%,AVANCE[[#This Row],[INSTALACION VINILICO]])</f>
        <v>1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1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1</v>
      </c>
      <c r="CC100" s="3">
        <f>+IF(AVANCE[[#This Row],[PINTURA EXTERIOR]]=AO$2,100%,AVANCE[[#This Row],[PINTURA EXTERIOR]])</f>
        <v>1</v>
      </c>
      <c r="CD100" s="3">
        <f>+IF(AVANCE[[#This Row],[ZOCALOS LOGIA]]=AP$2,100%,AVANCE[[#This Row],[ZOCALOS LOGIA]])</f>
        <v>1</v>
      </c>
      <c r="CE100" s="3">
        <f>+IF(AVANCE[[#This Row],[MOLDURAS]]=AQ$2,100%,AVANCE[[#This Row],[MOLDURAS]])</f>
        <v>1</v>
      </c>
      <c r="CF100" s="3">
        <f>+IF(AVANCE[[#This Row],[PILASTREO]]=AR$2,100%,AVANCE[[#This Row],[PILASTREO]])</f>
        <v>1</v>
      </c>
      <c r="CG100" s="3">
        <f>+IF(AVANCE[[#This Row],[CELOSIAS]]=AS$2,100%,AVANCE[[#This Row],[CELOSIAS]])</f>
        <v>1</v>
      </c>
      <c r="CH100" s="3">
        <f>+IF(AVANCE[[#This Row],[VENTANAS]]=AT$2,100%,AVANCE[[#This Row],[VENTANAS]])</f>
        <v>1</v>
      </c>
      <c r="CI100" s="3">
        <f>+IF(AVANCE[[#This Row],[PUERTAS ACCESO - LOGIA - BANO]]=AU$2,100%,AVANCE[[#This Row],[PUERTAS ACCESO - LOGIA - BANO]])</f>
        <v>1</v>
      </c>
      <c r="CJ100" s="3">
        <f>+IF(AVANCE[[#This Row],[CERRADURAS]]=AV$2,100%,AVANCE[[#This Row],[CERRADURAS]])</f>
        <v>1</v>
      </c>
      <c r="CK100" s="3">
        <f>+IF(AVANCE[[#This Row],[REVESTIMIENTO INTERIOR ZONA SECA]]=AW$2,100%,AVANCE[[#This Row],[REVESTIMIENTO INTERIOR ZONA SECA]])</f>
        <v>1</v>
      </c>
      <c r="CL100" s="3">
        <f>+IF(AVANCE[[#This Row],[REVESTIMIENTO INTERIOR ZONAS HUMEDAS]]=AX$2,100%,AVANCE[[#This Row],[REVESTIMIENTO INTERIOR ZONAS HUMEDAS]])</f>
        <v>1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1</v>
      </c>
      <c r="CO100" s="3">
        <f>+IF(AVANCE[[#This Row],[PUERTAS DORMITORIO]]=BA$2,100%,AVANCE[[#This Row],[PUERTAS DORMITORIO]])</f>
        <v>1</v>
      </c>
      <c r="CP100" s="3">
        <f>+IF(AVANCE[[#This Row],[REVESTIMIENTO INTERIOR BANO]]=BB$2,100%,AVANCE[[#This Row],[REVESTIMIENTO INTERIOR BANO]])</f>
        <v>1</v>
      </c>
      <c r="CQ100" s="3">
        <f>+IF(AVANCE[[#This Row],[MUEBLE LAVAPLATOS]]=BC$2,100%,AVANCE[[#This Row],[MUEBLE LAVAPLATOS]])</f>
        <v>1</v>
      </c>
      <c r="CR100" s="3">
        <f>+IF(AVANCE[[#This Row],[IMPERMEABILIZACION BANO - COCINA LOGIA]]=BD$2,100%,AVANCE[[#This Row],[IMPERMEABILIZACION BANO - COCINA LOGIA]])</f>
        <v>1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/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/>
      </c>
      <c r="CV100" s="44" cm="1">
        <f t="array" ref="CV100">SUMPRODUCT(--(BG100:CR100&lt;1))</f>
        <v>0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0.99999999999999978</v>
      </c>
      <c r="F101" s="1">
        <v>46176</v>
      </c>
      <c r="G101" s="1">
        <v>46188</v>
      </c>
      <c r="H101" s="1">
        <v>46227</v>
      </c>
      <c r="I101" s="1">
        <v>46200</v>
      </c>
      <c r="K101" s="1">
        <v>46227</v>
      </c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0.11</v>
      </c>
      <c r="AB101" s="3">
        <v>1</v>
      </c>
      <c r="AC101" s="3">
        <v>0.27272727272727271</v>
      </c>
      <c r="AD101" s="3">
        <v>0.27272727272727271</v>
      </c>
      <c r="AE101" s="3">
        <v>9.0909090909090912E-2</v>
      </c>
      <c r="AF101" s="3">
        <v>0.18181818181818182</v>
      </c>
      <c r="AG101" s="3">
        <v>0.18181818181818182</v>
      </c>
      <c r="AH101" s="3">
        <v>0.36999999999999983</v>
      </c>
      <c r="AI101" s="3">
        <v>0.99999999999999956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8.1081081081081058E-2</v>
      </c>
      <c r="AO101" s="3">
        <v>6.7567567567567557E-2</v>
      </c>
      <c r="AP101" s="3">
        <v>5.4054054054054036E-2</v>
      </c>
      <c r="AQ101" s="3">
        <v>1.3513513513513509E-2</v>
      </c>
      <c r="AR101" s="3">
        <v>4.0540540540540529E-2</v>
      </c>
      <c r="AS101" s="3">
        <v>1.3513513513513509E-2</v>
      </c>
      <c r="AT101" s="3">
        <v>8.1081081081081058E-2</v>
      </c>
      <c r="AU101" s="3">
        <v>5.4054054054054036E-2</v>
      </c>
      <c r="AV101" s="3">
        <v>2.7027027027027018E-2</v>
      </c>
      <c r="AW101" s="3">
        <v>5.4054054054054036E-2</v>
      </c>
      <c r="AX101" s="3">
        <v>5.4054054054054036E-2</v>
      </c>
      <c r="AY101" s="3">
        <v>2.7027027027027018E-2</v>
      </c>
      <c r="AZ101" s="3">
        <v>4.0540540540540529E-2</v>
      </c>
      <c r="BA101" s="3">
        <v>5.4054054054054036E-2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MODULO TERMINADO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1</v>
      </c>
      <c r="BU101" s="3">
        <f>+IF(AVANCE[[#This Row],[ARTEFACTOS]]=AE$2,100%,AVANCE[[#This Row],[ARTEFACTOS]])</f>
        <v>1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1</v>
      </c>
      <c r="CC101" s="3">
        <f>+IF(AVANCE[[#This Row],[PINTURA EXTERIOR]]=AO$2,100%,AVANCE[[#This Row],[PINTURA EXTERIOR]])</f>
        <v>1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1</v>
      </c>
      <c r="CF101" s="3">
        <f>+IF(AVANCE[[#This Row],[PILASTREO]]=AR$2,100%,AVANCE[[#This Row],[PILASTREO]])</f>
        <v>1</v>
      </c>
      <c r="CG101" s="3">
        <f>+IF(AVANCE[[#This Row],[CELOSIAS]]=AS$2,100%,AVANCE[[#This Row],[CELOSIAS]])</f>
        <v>1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1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1</v>
      </c>
      <c r="CO101" s="3">
        <f>+IF(AVANCE[[#This Row],[PUERTAS DORMITORIO]]=BA$2,100%,AVANCE[[#This Row],[PUERTAS DORMITORIO]])</f>
        <v>1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/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/>
      </c>
      <c r="CV101" s="44" cm="1">
        <f t="array" ref="CV101">SUMPRODUCT(--(BG101:CR101&lt;1))</f>
        <v>0</v>
      </c>
    </row>
    <row r="102" spans="1:100" hidden="1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0.98499999999999988</v>
      </c>
      <c r="F102" s="1">
        <v>46177</v>
      </c>
      <c r="G102" s="1">
        <v>46190</v>
      </c>
      <c r="H102" s="1">
        <v>46227</v>
      </c>
      <c r="I102" s="1">
        <v>46201</v>
      </c>
      <c r="J102">
        <v>3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0.11</v>
      </c>
      <c r="AB102" s="3">
        <v>1</v>
      </c>
      <c r="AC102" s="3">
        <v>0.27272727272727271</v>
      </c>
      <c r="AD102" s="3">
        <v>0.27272727272727271</v>
      </c>
      <c r="AE102" s="3">
        <v>9.0909090909090912E-2</v>
      </c>
      <c r="AF102" s="3">
        <v>0.18181818181818182</v>
      </c>
      <c r="AG102" s="3">
        <v>0.18181818181818182</v>
      </c>
      <c r="AH102" s="3">
        <v>0.35499999999999982</v>
      </c>
      <c r="AI102" s="3">
        <v>0.95945945945945899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8.1081081081081058E-2</v>
      </c>
      <c r="AO102" s="3">
        <v>6.7567567567567557E-2</v>
      </c>
      <c r="AP102" s="3">
        <v>5.4054054054054036E-2</v>
      </c>
      <c r="AQ102" s="3">
        <v>1.3513513513513509E-2</v>
      </c>
      <c r="AR102" s="3">
        <v>4.0540540540540529E-2</v>
      </c>
      <c r="AS102" s="3">
        <v>1.3513513513513509E-2</v>
      </c>
      <c r="AT102" s="3">
        <v>8.1081081081081058E-2</v>
      </c>
      <c r="AU102" s="3">
        <v>5.4054054054054036E-2</v>
      </c>
      <c r="AV102" s="3">
        <v>2.7027027027027018E-2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5.4054054054054036E-2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1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1</v>
      </c>
      <c r="BU102" s="3">
        <f>+IF(AVANCE[[#This Row],[ARTEFACTOS]]=AE$2,100%,AVANCE[[#This Row],[ARTEFACTOS]])</f>
        <v>1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1</v>
      </c>
      <c r="CC102" s="3">
        <f>+IF(AVANCE[[#This Row],[PINTURA EXTERIOR]]=AO$2,100%,AVANCE[[#This Row],[PINTURA EXTERIOR]])</f>
        <v>1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1</v>
      </c>
      <c r="CF102" s="3">
        <f>+IF(AVANCE[[#This Row],[PILASTREO]]=AR$2,100%,AVANCE[[#This Row],[PILASTREO]])</f>
        <v>1</v>
      </c>
      <c r="CG102" s="3">
        <f>+IF(AVANCE[[#This Row],[CELOSIAS]]=AS$2,100%,AVANCE[[#This Row],[CELOSIAS]])</f>
        <v>1</v>
      </c>
      <c r="CH102" s="3">
        <f>+IF(AVANCE[[#This Row],[VENTANAS]]=AT$2,100%,AVANCE[[#This Row],[VENTANAS]])</f>
        <v>1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1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1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29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TERMINACIONES: LIMPIEZA FINAL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TERMINACIONES</v>
      </c>
      <c r="CV102" s="44" cm="1">
        <f t="array" ref="CV102">SUMPRODUCT(--(BG102:CR102&lt;1))</f>
        <v>1</v>
      </c>
    </row>
    <row r="103" spans="1:100" hidden="1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0.98499999999999988</v>
      </c>
      <c r="F103" s="1">
        <v>46177</v>
      </c>
      <c r="G103" s="1">
        <v>46190</v>
      </c>
      <c r="H103" s="1">
        <v>46227</v>
      </c>
      <c r="I103" s="1">
        <v>46211</v>
      </c>
      <c r="J103">
        <v>3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0.09</v>
      </c>
      <c r="T103" s="3">
        <v>1</v>
      </c>
      <c r="U103" s="3">
        <v>0.22222222222222221</v>
      </c>
      <c r="V103" s="3">
        <v>0.22222222222222221</v>
      </c>
      <c r="W103" s="3">
        <v>0.1111111111111111</v>
      </c>
      <c r="X103" s="3">
        <v>0.1111111111111111</v>
      </c>
      <c r="Y103" s="3">
        <v>0.1111111111111111</v>
      </c>
      <c r="Z103" s="3">
        <v>0.22222222222222221</v>
      </c>
      <c r="AA103" s="3">
        <v>0.11</v>
      </c>
      <c r="AB103" s="3">
        <v>1</v>
      </c>
      <c r="AC103" s="3">
        <v>0.27272727272727271</v>
      </c>
      <c r="AD103" s="3">
        <v>0.27272727272727271</v>
      </c>
      <c r="AE103" s="3">
        <v>9.0909090909090912E-2</v>
      </c>
      <c r="AF103" s="3">
        <v>0.18181818181818182</v>
      </c>
      <c r="AG103" s="3">
        <v>0.18181818181818182</v>
      </c>
      <c r="AH103" s="3">
        <v>0.35499999999999982</v>
      </c>
      <c r="AI103" s="3">
        <v>0.95945945945945899</v>
      </c>
      <c r="AJ103" s="3">
        <v>5.4054054054054036E-2</v>
      </c>
      <c r="AK103" s="3">
        <v>5.4054054054054036E-2</v>
      </c>
      <c r="AL103" s="3">
        <v>2.7027027027027018E-2</v>
      </c>
      <c r="AM103" s="3">
        <v>8.1081081081081058E-2</v>
      </c>
      <c r="AN103" s="3">
        <v>8.1081081081081058E-2</v>
      </c>
      <c r="AO103" s="3">
        <v>6.7567567567567557E-2</v>
      </c>
      <c r="AP103" s="3">
        <v>5.4054054054054036E-2</v>
      </c>
      <c r="AQ103" s="3">
        <v>1.3513513513513509E-2</v>
      </c>
      <c r="AR103" s="3">
        <v>4.0540540540540529E-2</v>
      </c>
      <c r="AS103" s="3">
        <v>1.3513513513513509E-2</v>
      </c>
      <c r="AT103" s="3">
        <v>8.1081081081081058E-2</v>
      </c>
      <c r="AU103" s="3">
        <v>5.4054054054054036E-2</v>
      </c>
      <c r="AV103" s="3">
        <v>2.7027027027027018E-2</v>
      </c>
      <c r="AW103" s="3">
        <v>5.4054054054054036E-2</v>
      </c>
      <c r="AX103" s="3">
        <v>5.4054054054054036E-2</v>
      </c>
      <c r="AY103" s="3">
        <v>2.7027027027027018E-2</v>
      </c>
      <c r="AZ103" s="3">
        <v>0</v>
      </c>
      <c r="BA103" s="3">
        <v>5.4054054054054036E-2</v>
      </c>
      <c r="BB103" s="3">
        <v>8.1081081081081058E-2</v>
      </c>
      <c r="BC103" s="3">
        <v>1.3513513513513509E-2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1</v>
      </c>
      <c r="BP103" s="3">
        <f>+IF(AVANCE[[#This Row],[TINA]]=X$2,100%,AVANCE[[#This Row],[TINA]])</f>
        <v>1</v>
      </c>
      <c r="BQ103" s="3">
        <f>+IF(AVANCE[[#This Row],[WC]]=Y$2,100%,AVANCE[[#This Row],[WC]])</f>
        <v>1</v>
      </c>
      <c r="BR103" s="3">
        <f>+IF(AVANCE[[#This Row],[LAVAMANOS / LAVAPLATOS / LAVADERO]]=Z$2,100%,AVANCE[[#This Row],[LAVAMANOS / LAVAPLATOS / LAVADERO]])</f>
        <v>1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1</v>
      </c>
      <c r="BU103" s="3">
        <f>+IF(AVANCE[[#This Row],[ARTEFACTOS]]=AE$2,100%,AVANCE[[#This Row],[ARTEFACTOS]])</f>
        <v>1</v>
      </c>
      <c r="BV103" s="3">
        <f>+IF(AVANCE[[#This Row],[TABLERO]]=AF$2,100%,AVANCE[[#This Row],[TABLERO]])</f>
        <v>1</v>
      </c>
      <c r="BW103" s="3">
        <f>+IF(AVANCE[[#This Row],[CAJA PAU]]=AG$2,100%,AVANCE[[#This Row],[CAJA PAU]])</f>
        <v>1</v>
      </c>
      <c r="BX103" s="3">
        <f>+IF(AVANCE[[#This Row],[INSTALACION VINILICO]]=AJ$2,100%,AVANCE[[#This Row],[INSTALACION VINILICO]])</f>
        <v>1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1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1</v>
      </c>
      <c r="CD103" s="3">
        <f>+IF(AVANCE[[#This Row],[ZOCALOS LOGIA]]=AP$2,100%,AVANCE[[#This Row],[ZOCALOS LOGIA]])</f>
        <v>1</v>
      </c>
      <c r="CE103" s="3">
        <f>+IF(AVANCE[[#This Row],[MOLDURAS]]=AQ$2,100%,AVANCE[[#This Row],[MOLDURAS]])</f>
        <v>1</v>
      </c>
      <c r="CF103" s="3">
        <f>+IF(AVANCE[[#This Row],[PILASTREO]]=AR$2,100%,AVANCE[[#This Row],[PILASTREO]])</f>
        <v>1</v>
      </c>
      <c r="CG103" s="3">
        <f>+IF(AVANCE[[#This Row],[CELOSIAS]]=AS$2,100%,AVANCE[[#This Row],[CELOSIAS]])</f>
        <v>1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1</v>
      </c>
      <c r="CJ103" s="3">
        <f>+IF(AVANCE[[#This Row],[CERRADURAS]]=AV$2,100%,AVANCE[[#This Row],[CERRADURAS]])</f>
        <v>1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1</v>
      </c>
      <c r="CQ103" s="3">
        <f>+IF(AVANCE[[#This Row],[MUEBLE LAVAPLATOS]]=BC$2,100%,AVANCE[[#This Row],[MUEBLE LAVAPLATOS]])</f>
        <v>1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19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TERMINACIONES: LIMPIEZA FINAL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TERMINACIONES</v>
      </c>
      <c r="CV103" s="44" cm="1">
        <f t="array" ref="CV103">SUMPRODUCT(--(BG103:CR103&lt;1))</f>
        <v>1</v>
      </c>
    </row>
    <row r="104" spans="1:100" hidden="1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0.95499999999999985</v>
      </c>
      <c r="F104" s="1">
        <v>46178</v>
      </c>
      <c r="G104" s="1">
        <v>46184</v>
      </c>
      <c r="H104" s="1">
        <v>46226</v>
      </c>
      <c r="I104" s="1">
        <v>46212</v>
      </c>
      <c r="J104">
        <v>4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0.09</v>
      </c>
      <c r="T104" s="3">
        <v>1</v>
      </c>
      <c r="U104" s="3">
        <v>0.22222222222222221</v>
      </c>
      <c r="V104" s="3">
        <v>0.22222222222222221</v>
      </c>
      <c r="W104" s="3">
        <v>0.1111111111111111</v>
      </c>
      <c r="X104" s="3">
        <v>0.1111111111111111</v>
      </c>
      <c r="Y104" s="3">
        <v>0.1111111111111111</v>
      </c>
      <c r="Z104" s="3">
        <v>0.22222222222222221</v>
      </c>
      <c r="AA104" s="3">
        <v>0.11</v>
      </c>
      <c r="AB104" s="3">
        <v>1</v>
      </c>
      <c r="AC104" s="3">
        <v>0.27272727272727271</v>
      </c>
      <c r="AD104" s="3">
        <v>0.27272727272727271</v>
      </c>
      <c r="AE104" s="3">
        <v>9.0909090909090912E-2</v>
      </c>
      <c r="AF104" s="3">
        <v>0.18181818181818182</v>
      </c>
      <c r="AG104" s="3">
        <v>0.18181818181818182</v>
      </c>
      <c r="AH104" s="3">
        <v>0.32499999999999984</v>
      </c>
      <c r="AI104" s="3">
        <v>0.87837837837837796</v>
      </c>
      <c r="AJ104" s="3">
        <v>5.4054054054054036E-2</v>
      </c>
      <c r="AK104" s="3">
        <v>5.4054054054054036E-2</v>
      </c>
      <c r="AL104" s="3">
        <v>2.7027027027027018E-2</v>
      </c>
      <c r="AM104" s="3">
        <v>8.1081081081081058E-2</v>
      </c>
      <c r="AN104" s="3">
        <v>8.1081081081081058E-2</v>
      </c>
      <c r="AO104" s="3">
        <v>6.7567567567567557E-2</v>
      </c>
      <c r="AP104" s="3">
        <v>5.4054054054054036E-2</v>
      </c>
      <c r="AQ104" s="3">
        <v>1.3513513513513509E-2</v>
      </c>
      <c r="AR104" s="3">
        <v>4.0540540540540529E-2</v>
      </c>
      <c r="AS104" s="3">
        <v>1.3513513513513509E-2</v>
      </c>
      <c r="AT104" s="3">
        <v>8.1081081081081058E-2</v>
      </c>
      <c r="AU104" s="3">
        <v>5.4054054054054036E-2</v>
      </c>
      <c r="AV104" s="3">
        <v>2.7027027027027018E-2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1.3513513513513509E-2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1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1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1</v>
      </c>
      <c r="BU104" s="3">
        <f>+IF(AVANCE[[#This Row],[ARTEFACTOS]]=AE$2,100%,AVANCE[[#This Row],[ARTEFACTOS]])</f>
        <v>1</v>
      </c>
      <c r="BV104" s="3">
        <f>+IF(AVANCE[[#This Row],[TABLERO]]=AF$2,100%,AVANCE[[#This Row],[TABLERO]])</f>
        <v>1</v>
      </c>
      <c r="BW104" s="3">
        <f>+IF(AVANCE[[#This Row],[CAJA PAU]]=AG$2,100%,AVANCE[[#This Row],[CAJA PAU]])</f>
        <v>1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1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1</v>
      </c>
      <c r="CD104" s="3">
        <f>+IF(AVANCE[[#This Row],[ZOCALOS LOGIA]]=AP$2,100%,AVANCE[[#This Row],[ZOCALOS LOGIA]])</f>
        <v>1</v>
      </c>
      <c r="CE104" s="3">
        <f>+IF(AVANCE[[#This Row],[MOLDURAS]]=AQ$2,100%,AVANCE[[#This Row],[MOLDURAS]])</f>
        <v>1</v>
      </c>
      <c r="CF104" s="3">
        <f>+IF(AVANCE[[#This Row],[PILASTREO]]=AR$2,100%,AVANCE[[#This Row],[PILASTREO]])</f>
        <v>1</v>
      </c>
      <c r="CG104" s="3">
        <f>+IF(AVANCE[[#This Row],[CELOSIAS]]=AS$2,100%,AVANCE[[#This Row],[CELOSIAS]])</f>
        <v>1</v>
      </c>
      <c r="CH104" s="3">
        <f>+IF(AVANCE[[#This Row],[VENTANAS]]=AT$2,100%,AVANCE[[#This Row],[VENTANAS]])</f>
        <v>1</v>
      </c>
      <c r="CI104" s="3">
        <f>+IF(AVANCE[[#This Row],[PUERTAS ACCESO - LOGIA - BANO]]=AU$2,100%,AVANCE[[#This Row],[PUERTAS ACCESO - LOGIA - BANO]])</f>
        <v>1</v>
      </c>
      <c r="CJ104" s="3">
        <f>+IF(AVANCE[[#This Row],[CERRADURAS]]=AV$2,100%,AVANCE[[#This Row],[CERRADURAS]])</f>
        <v>1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1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18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TERMINACIONES: LIMPIEZA FINAL, REVESTIMIENTO INTERIOR BANO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TERMINACIONES</v>
      </c>
      <c r="CV104" s="44" cm="1">
        <f t="array" ref="CV104">SUMPRODUCT(--(BG104:CR104&lt;1))</f>
        <v>2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0.99999999999999978</v>
      </c>
      <c r="F105" s="1">
        <v>46178</v>
      </c>
      <c r="G105" s="1">
        <v>46184</v>
      </c>
      <c r="H105" s="1">
        <v>46224</v>
      </c>
      <c r="I105" s="1">
        <v>46202</v>
      </c>
      <c r="K105" s="1">
        <v>46224</v>
      </c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0.11</v>
      </c>
      <c r="AB105" s="3">
        <v>1</v>
      </c>
      <c r="AC105" s="3">
        <v>0.27272727272727271</v>
      </c>
      <c r="AD105" s="3">
        <v>0.27272727272727271</v>
      </c>
      <c r="AE105" s="3">
        <v>9.0909090909090912E-2</v>
      </c>
      <c r="AF105" s="3">
        <v>0.18181818181818182</v>
      </c>
      <c r="AG105" s="3">
        <v>0.18181818181818182</v>
      </c>
      <c r="AH105" s="3">
        <v>0.36999999999999983</v>
      </c>
      <c r="AI105" s="3">
        <v>0.99999999999999956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4.0540540540540529E-2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4.0540540540540529E-2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MODULO TERMINADO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1</v>
      </c>
      <c r="BU105" s="3">
        <f>+IF(AVANCE[[#This Row],[ARTEFACTOS]]=AE$2,100%,AVANCE[[#This Row],[ARTEFACTOS]])</f>
        <v>1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1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1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/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/>
      </c>
      <c r="CV105" s="44" cm="1">
        <f t="array" ref="CV105">SUMPRODUCT(--(BG105:CR105&lt;1))</f>
        <v>0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0.99999999999999978</v>
      </c>
      <c r="F106" s="1">
        <v>46181</v>
      </c>
      <c r="G106" s="1">
        <v>46189</v>
      </c>
      <c r="H106" s="1">
        <v>46226</v>
      </c>
      <c r="I106" s="1">
        <v>46205</v>
      </c>
      <c r="K106" s="1">
        <v>46226</v>
      </c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0.11</v>
      </c>
      <c r="AB106" s="3">
        <v>1</v>
      </c>
      <c r="AC106" s="3">
        <v>0.27272727272727271</v>
      </c>
      <c r="AD106" s="3">
        <v>0.27272727272727271</v>
      </c>
      <c r="AE106" s="3">
        <v>9.0909090909090912E-2</v>
      </c>
      <c r="AF106" s="3">
        <v>0.18181818181818182</v>
      </c>
      <c r="AG106" s="3">
        <v>0.18181818181818182</v>
      </c>
      <c r="AH106" s="3">
        <v>0.36999999999999983</v>
      </c>
      <c r="AI106" s="3">
        <v>0.99999999999999956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6.7567567567567557E-2</v>
      </c>
      <c r="AP106" s="3">
        <v>5.4054054054054036E-2</v>
      </c>
      <c r="AQ106" s="3">
        <v>1.3513513513513509E-2</v>
      </c>
      <c r="AR106" s="3">
        <v>4.0540540540540529E-2</v>
      </c>
      <c r="AS106" s="3">
        <v>1.3513513513513509E-2</v>
      </c>
      <c r="AT106" s="3">
        <v>8.1081081081081058E-2</v>
      </c>
      <c r="AU106" s="3">
        <v>5.4054054054054036E-2</v>
      </c>
      <c r="AV106" s="3">
        <v>2.7027027027027018E-2</v>
      </c>
      <c r="AW106" s="3">
        <v>5.4054054054054036E-2</v>
      </c>
      <c r="AX106" s="3">
        <v>5.4054054054054036E-2</v>
      </c>
      <c r="AY106" s="3">
        <v>2.7027027027027018E-2</v>
      </c>
      <c r="AZ106" s="3">
        <v>4.0540540540540529E-2</v>
      </c>
      <c r="BA106" s="3">
        <v>5.4054054054054036E-2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MODULO TERMINADO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1</v>
      </c>
      <c r="BU106" s="3">
        <f>+IF(AVANCE[[#This Row],[ARTEFACTOS]]=AE$2,100%,AVANCE[[#This Row],[ARTEFACTOS]])</f>
        <v>1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1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1</v>
      </c>
      <c r="CF106" s="3">
        <f>+IF(AVANCE[[#This Row],[PILASTREO]]=AR$2,100%,AVANCE[[#This Row],[PILASTREO]])</f>
        <v>1</v>
      </c>
      <c r="CG106" s="3">
        <f>+IF(AVANCE[[#This Row],[CELOSIAS]]=AS$2,100%,AVANCE[[#This Row],[CELOSIAS]])</f>
        <v>1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1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1</v>
      </c>
      <c r="CO106" s="3">
        <f>+IF(AVANCE[[#This Row],[PUERTAS DORMITORIO]]=BA$2,100%,AVANCE[[#This Row],[PUERTAS DORMITORIO]])</f>
        <v>1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/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/>
      </c>
      <c r="CV106" s="44" cm="1">
        <f t="array" ref="CV106">SUMPRODUCT(--(BG106:CR106&lt;1))</f>
        <v>0</v>
      </c>
    </row>
    <row r="107" spans="1:100" hidden="1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0.95499999999999985</v>
      </c>
      <c r="F107" s="1">
        <v>46181</v>
      </c>
      <c r="G107" s="1">
        <v>46190</v>
      </c>
      <c r="H107" s="1">
        <v>46227</v>
      </c>
      <c r="I107" s="1">
        <v>46215</v>
      </c>
      <c r="J107">
        <v>3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0.09</v>
      </c>
      <c r="T107" s="3">
        <v>1</v>
      </c>
      <c r="U107" s="3">
        <v>0.22222222222222221</v>
      </c>
      <c r="V107" s="3">
        <v>0.22222222222222221</v>
      </c>
      <c r="W107" s="3">
        <v>0.1111111111111111</v>
      </c>
      <c r="X107" s="3">
        <v>0.1111111111111111</v>
      </c>
      <c r="Y107" s="3">
        <v>0.1111111111111111</v>
      </c>
      <c r="Z107" s="3">
        <v>0.22222222222222221</v>
      </c>
      <c r="AA107" s="3">
        <v>0.11</v>
      </c>
      <c r="AB107" s="3">
        <v>1</v>
      </c>
      <c r="AC107" s="3">
        <v>0.27272727272727271</v>
      </c>
      <c r="AD107" s="3">
        <v>0.27272727272727271</v>
      </c>
      <c r="AE107" s="3">
        <v>9.0909090909090912E-2</v>
      </c>
      <c r="AF107" s="3">
        <v>0.18181818181818182</v>
      </c>
      <c r="AG107" s="3">
        <v>0.18181818181818182</v>
      </c>
      <c r="AH107" s="3">
        <v>0.32499999999999984</v>
      </c>
      <c r="AI107" s="3">
        <v>0.87837837837837796</v>
      </c>
      <c r="AJ107" s="3">
        <v>5.4054054054054036E-2</v>
      </c>
      <c r="AK107" s="3">
        <v>5.4054054054054036E-2</v>
      </c>
      <c r="AL107" s="3">
        <v>2.7027027027027018E-2</v>
      </c>
      <c r="AM107" s="3">
        <v>8.1081081081081058E-2</v>
      </c>
      <c r="AN107" s="3">
        <v>8.1081081081081058E-2</v>
      </c>
      <c r="AO107" s="3">
        <v>6.7567567567567557E-2</v>
      </c>
      <c r="AP107" s="3">
        <v>5.4054054054054036E-2</v>
      </c>
      <c r="AQ107" s="3">
        <v>1.3513513513513509E-2</v>
      </c>
      <c r="AR107" s="3">
        <v>4.0540540540540529E-2</v>
      </c>
      <c r="AS107" s="3">
        <v>1.3513513513513509E-2</v>
      </c>
      <c r="AT107" s="3">
        <v>8.1081081081081058E-2</v>
      </c>
      <c r="AU107" s="3">
        <v>5.4054054054054036E-2</v>
      </c>
      <c r="AV107" s="3">
        <v>2.7027027027027018E-2</v>
      </c>
      <c r="AW107" s="3">
        <v>5.4054054054054036E-2</v>
      </c>
      <c r="AX107" s="3">
        <v>5.4054054054054036E-2</v>
      </c>
      <c r="AY107" s="3">
        <v>2.7027027027027018E-2</v>
      </c>
      <c r="AZ107" s="3">
        <v>0</v>
      </c>
      <c r="BA107" s="3">
        <v>5.4054054054054036E-2</v>
      </c>
      <c r="BB107" s="3">
        <v>0</v>
      </c>
      <c r="BC107" s="3">
        <v>1.3513513513513509E-2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1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1</v>
      </c>
      <c r="BP107" s="3">
        <f>+IF(AVANCE[[#This Row],[TINA]]=X$2,100%,AVANCE[[#This Row],[TINA]])</f>
        <v>1</v>
      </c>
      <c r="BQ107" s="3">
        <f>+IF(AVANCE[[#This Row],[WC]]=Y$2,100%,AVANCE[[#This Row],[WC]])</f>
        <v>1</v>
      </c>
      <c r="BR107" s="3">
        <f>+IF(AVANCE[[#This Row],[LAVAMANOS / LAVAPLATOS / LAVADERO]]=Z$2,100%,AVANCE[[#This Row],[LAVAMANOS / LAVAPLATOS / LAVADERO]])</f>
        <v>1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1</v>
      </c>
      <c r="BU107" s="3">
        <f>+IF(AVANCE[[#This Row],[ARTEFACTOS]]=AE$2,100%,AVANCE[[#This Row],[ARTEFACTOS]])</f>
        <v>1</v>
      </c>
      <c r="BV107" s="3">
        <f>+IF(AVANCE[[#This Row],[TABLERO]]=AF$2,100%,AVANCE[[#This Row],[TABLERO]])</f>
        <v>1</v>
      </c>
      <c r="BW107" s="3">
        <f>+IF(AVANCE[[#This Row],[CAJA PAU]]=AG$2,100%,AVANCE[[#This Row],[CAJA PAU]])</f>
        <v>1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1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1</v>
      </c>
      <c r="CC107" s="3">
        <f>+IF(AVANCE[[#This Row],[PINTURA EXTERIOR]]=AO$2,100%,AVANCE[[#This Row],[PINTURA EXTERIOR]])</f>
        <v>1</v>
      </c>
      <c r="CD107" s="3">
        <f>+IF(AVANCE[[#This Row],[ZOCALOS LOGIA]]=AP$2,100%,AVANCE[[#This Row],[ZOCALOS LOGIA]])</f>
        <v>1</v>
      </c>
      <c r="CE107" s="3">
        <f>+IF(AVANCE[[#This Row],[MOLDURAS]]=AQ$2,100%,AVANCE[[#This Row],[MOLDURAS]])</f>
        <v>1</v>
      </c>
      <c r="CF107" s="3">
        <f>+IF(AVANCE[[#This Row],[PILASTREO]]=AR$2,100%,AVANCE[[#This Row],[PILASTREO]])</f>
        <v>1</v>
      </c>
      <c r="CG107" s="3">
        <f>+IF(AVANCE[[#This Row],[CELOSIAS]]=AS$2,100%,AVANCE[[#This Row],[CELOSIAS]])</f>
        <v>1</v>
      </c>
      <c r="CH107" s="3">
        <f>+IF(AVANCE[[#This Row],[VENTANAS]]=AT$2,100%,AVANCE[[#This Row],[VENTANAS]])</f>
        <v>1</v>
      </c>
      <c r="CI107" s="3">
        <f>+IF(AVANCE[[#This Row],[PUERTAS ACCESO - LOGIA - BANO]]=AU$2,100%,AVANCE[[#This Row],[PUERTAS ACCESO - LOGIA - BANO]])</f>
        <v>1</v>
      </c>
      <c r="CJ107" s="3">
        <f>+IF(AVANCE[[#This Row],[CERRADURAS]]=AV$2,100%,AVANCE[[#This Row],[CERRADURAS]])</f>
        <v>1</v>
      </c>
      <c r="CK107" s="3">
        <f>+IF(AVANCE[[#This Row],[REVESTIMIENTO INTERIOR ZONA SECA]]=AW$2,100%,AVANCE[[#This Row],[REVESTIMIENTO INTERIOR ZONA SECA]])</f>
        <v>1</v>
      </c>
      <c r="CL107" s="3">
        <f>+IF(AVANCE[[#This Row],[REVESTIMIENTO INTERIOR ZONAS HUMEDAS]]=AX$2,100%,AVANCE[[#This Row],[REVESTIMIENTO INTERIOR ZONAS HUMEDAS]])</f>
        <v>1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1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1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15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TERMINACIONES: LIMPIEZA FINAL, REVESTIMIENTO INTERIOR BANO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TERMINACIONES</v>
      </c>
      <c r="CV107" s="44" cm="1">
        <f t="array" ref="CV107">SUMPRODUCT(--(BG107:CR107&lt;1))</f>
        <v>2</v>
      </c>
    </row>
    <row r="108" spans="1:100" hidden="1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0.90999999999999992</v>
      </c>
      <c r="F108" s="1">
        <v>46182</v>
      </c>
      <c r="G108" s="1">
        <v>46196</v>
      </c>
      <c r="H108" s="1">
        <v>46227</v>
      </c>
      <c r="I108" s="1">
        <v>46216</v>
      </c>
      <c r="J108">
        <v>3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0.08</v>
      </c>
      <c r="T108" s="3">
        <v>0.88888888888888895</v>
      </c>
      <c r="U108" s="3">
        <v>0.22222222222222221</v>
      </c>
      <c r="V108" s="3">
        <v>0.22222222222222221</v>
      </c>
      <c r="W108" s="3">
        <v>0</v>
      </c>
      <c r="X108" s="3">
        <v>0.1111111111111111</v>
      </c>
      <c r="Y108" s="3">
        <v>0.1111111111111111</v>
      </c>
      <c r="Z108" s="3">
        <v>0.22222222222222221</v>
      </c>
      <c r="AA108" s="3">
        <v>0.11</v>
      </c>
      <c r="AB108" s="3">
        <v>1</v>
      </c>
      <c r="AC108" s="3">
        <v>0.27272727272727271</v>
      </c>
      <c r="AD108" s="3">
        <v>0.27272727272727271</v>
      </c>
      <c r="AE108" s="3">
        <v>9.0909090909090912E-2</v>
      </c>
      <c r="AF108" s="3">
        <v>0.18181818181818182</v>
      </c>
      <c r="AG108" s="3">
        <v>0.18181818181818182</v>
      </c>
      <c r="AH108" s="3">
        <v>0.28999999999999987</v>
      </c>
      <c r="AI108" s="3">
        <v>0.78378378378378344</v>
      </c>
      <c r="AJ108" s="3">
        <v>5.4054054054054036E-2</v>
      </c>
      <c r="AK108" s="3">
        <v>5.4054054054054036E-2</v>
      </c>
      <c r="AL108" s="3">
        <v>0</v>
      </c>
      <c r="AM108" s="3">
        <v>8.1081081081081058E-2</v>
      </c>
      <c r="AN108" s="3">
        <v>8.1081081081081058E-2</v>
      </c>
      <c r="AO108" s="3">
        <v>6.7567567567567557E-2</v>
      </c>
      <c r="AP108" s="3">
        <v>5.4054054054054036E-2</v>
      </c>
      <c r="AQ108" s="3">
        <v>0</v>
      </c>
      <c r="AR108" s="3">
        <v>4.0540540540540529E-2</v>
      </c>
      <c r="AS108" s="3">
        <v>1.3513513513513509E-2</v>
      </c>
      <c r="AT108" s="3">
        <v>8.1081081081081058E-2</v>
      </c>
      <c r="AU108" s="3">
        <v>5.4054054054054036E-2</v>
      </c>
      <c r="AV108" s="3">
        <v>2.7027027027027018E-2</v>
      </c>
      <c r="AW108" s="3">
        <v>0</v>
      </c>
      <c r="AX108" s="3">
        <v>5.4054054054054036E-2</v>
      </c>
      <c r="AY108" s="3">
        <v>2.7027027027027018E-2</v>
      </c>
      <c r="AZ108" s="3">
        <v>0</v>
      </c>
      <c r="BA108" s="3">
        <v>5.4054054054054036E-2</v>
      </c>
      <c r="BB108" s="3">
        <v>0</v>
      </c>
      <c r="BC108" s="3">
        <v>1.3513513513513509E-2</v>
      </c>
      <c r="BD108" s="3">
        <v>2.7027027027027018E-2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1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1</v>
      </c>
      <c r="BQ108" s="3">
        <f>+IF(AVANCE[[#This Row],[WC]]=Y$2,100%,AVANCE[[#This Row],[WC]])</f>
        <v>1</v>
      </c>
      <c r="BR108" s="3">
        <f>+IF(AVANCE[[#This Row],[LAVAMANOS / LAVAPLATOS / LAVADERO]]=Z$2,100%,AVANCE[[#This Row],[LAVAMANOS / LAVAPLATOS / LAVADERO]])</f>
        <v>1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1</v>
      </c>
      <c r="BU108" s="3">
        <f>+IF(AVANCE[[#This Row],[ARTEFACTOS]]=AE$2,100%,AVANCE[[#This Row],[ARTEFACTOS]])</f>
        <v>1</v>
      </c>
      <c r="BV108" s="3">
        <f>+IF(AVANCE[[#This Row],[TABLERO]]=AF$2,100%,AVANCE[[#This Row],[TABLERO]])</f>
        <v>1</v>
      </c>
      <c r="BW108" s="3">
        <f>+IF(AVANCE[[#This Row],[CAJA PAU]]=AG$2,100%,AVANCE[[#This Row],[CAJA PAU]])</f>
        <v>1</v>
      </c>
      <c r="BX108" s="3">
        <f>+IF(AVANCE[[#This Row],[INSTALACION VINILICO]]=AJ$2,100%,AVANCE[[#This Row],[INSTALACION VINILICO]])</f>
        <v>1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1</v>
      </c>
      <c r="CC108" s="3">
        <f>+IF(AVANCE[[#This Row],[PINTURA EXTERIOR]]=AO$2,100%,AVANCE[[#This Row],[PINTURA EXTERIOR]])</f>
        <v>1</v>
      </c>
      <c r="CD108" s="3">
        <f>+IF(AVANCE[[#This Row],[ZOCALOS LOGIA]]=AP$2,100%,AVANCE[[#This Row],[ZOCALOS LOGIA]])</f>
        <v>1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1</v>
      </c>
      <c r="CG108" s="3">
        <f>+IF(AVANCE[[#This Row],[CELOSIAS]]=AS$2,100%,AVANCE[[#This Row],[CELOSIAS]])</f>
        <v>1</v>
      </c>
      <c r="CH108" s="3">
        <f>+IF(AVANCE[[#This Row],[VENTANAS]]=AT$2,100%,AVANCE[[#This Row],[VENTANAS]])</f>
        <v>1</v>
      </c>
      <c r="CI108" s="3">
        <f>+IF(AVANCE[[#This Row],[PUERTAS ACCESO - LOGIA - BANO]]=AU$2,100%,AVANCE[[#This Row],[PUERTAS ACCESO - LOGIA - BANO]])</f>
        <v>1</v>
      </c>
      <c r="CJ108" s="3">
        <f>+IF(AVANCE[[#This Row],[CERRADURAS]]=AV$2,100%,AVANCE[[#This Row],[CERRADURAS]])</f>
        <v>1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1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1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1</v>
      </c>
      <c r="CR108" s="3">
        <f>+IF(AVANCE[[#This Row],[IMPERMEABILIZACION BANO - COCINA LOGIA]]=BD$2,100%,AVANCE[[#This Row],[IMPERMEABILIZACION BANO - COCINA LOGIA]])</f>
        <v>1</v>
      </c>
      <c r="CS108" s="40">
        <f ca="1">+IF(AVANCE[[#This Row],[ESTADO MODULO]]="PENDIENTE",(TODAY()-AVANCE[[#This Row],[FECHA TERMINO  PLANIFICADO]]),0)</f>
        <v>14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 | TERMINACIONES: BARANDA BALCON, MOLDURAS, REVESTIMIENTO INTERIOR ZONA SECA, LIMPIEZA FINAL, REVESTIMIENTO INTERIOR BANO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TERMINACIONES</v>
      </c>
      <c r="CV108" s="44" cm="1">
        <f t="array" ref="CV108">SUMPRODUCT(--(BG108:CR108&lt;1))</f>
        <v>6</v>
      </c>
    </row>
    <row r="109" spans="1:100" hidden="1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0.95999999999999985</v>
      </c>
      <c r="F109" s="1">
        <v>46182</v>
      </c>
      <c r="G109" s="1">
        <v>46196</v>
      </c>
      <c r="H109" s="1">
        <v>46227</v>
      </c>
      <c r="I109" s="1">
        <v>46206</v>
      </c>
      <c r="J109">
        <v>3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0.11</v>
      </c>
      <c r="AB109" s="3">
        <v>1</v>
      </c>
      <c r="AC109" s="3">
        <v>0.27272727272727271</v>
      </c>
      <c r="AD109" s="3">
        <v>0.27272727272727271</v>
      </c>
      <c r="AE109" s="3">
        <v>9.0909090909090912E-2</v>
      </c>
      <c r="AF109" s="3">
        <v>0.18181818181818182</v>
      </c>
      <c r="AG109" s="3">
        <v>0.18181818181818182</v>
      </c>
      <c r="AH109" s="3">
        <v>0.32999999999999985</v>
      </c>
      <c r="AI109" s="3">
        <v>0.89189189189189144</v>
      </c>
      <c r="AJ109" s="3">
        <v>5.4054054054054036E-2</v>
      </c>
      <c r="AK109" s="3">
        <v>5.4054054054054036E-2</v>
      </c>
      <c r="AL109" s="3">
        <v>2.7027027027027018E-2</v>
      </c>
      <c r="AM109" s="3">
        <v>8.1081081081081058E-2</v>
      </c>
      <c r="AN109" s="3">
        <v>8.1081081081081058E-2</v>
      </c>
      <c r="AO109" s="3">
        <v>0</v>
      </c>
      <c r="AP109" s="3">
        <v>5.4054054054054036E-2</v>
      </c>
      <c r="AQ109" s="3">
        <v>1.3513513513513509E-2</v>
      </c>
      <c r="AR109" s="3">
        <v>4.0540540540540529E-2</v>
      </c>
      <c r="AS109" s="3">
        <v>1.3513513513513509E-2</v>
      </c>
      <c r="AT109" s="3">
        <v>8.1081081081081058E-2</v>
      </c>
      <c r="AU109" s="3">
        <v>5.4054054054054036E-2</v>
      </c>
      <c r="AV109" s="3">
        <v>2.7027027027027018E-2</v>
      </c>
      <c r="AW109" s="3">
        <v>5.4054054054054036E-2</v>
      </c>
      <c r="AX109" s="3">
        <v>5.4054054054054036E-2</v>
      </c>
      <c r="AY109" s="3">
        <v>2.7027027027027018E-2</v>
      </c>
      <c r="AZ109" s="3">
        <v>0</v>
      </c>
      <c r="BA109" s="3">
        <v>5.4054054054054036E-2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1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1</v>
      </c>
      <c r="BU109" s="3">
        <f>+IF(AVANCE[[#This Row],[ARTEFACTOS]]=AE$2,100%,AVANCE[[#This Row],[ARTEFACTOS]])</f>
        <v>1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1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1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1</v>
      </c>
      <c r="CF109" s="3">
        <f>+IF(AVANCE[[#This Row],[PILASTREO]]=AR$2,100%,AVANCE[[#This Row],[PILASTREO]])</f>
        <v>1</v>
      </c>
      <c r="CG109" s="3">
        <f>+IF(AVANCE[[#This Row],[CELOSIAS]]=AS$2,100%,AVANCE[[#This Row],[CELOSIAS]])</f>
        <v>1</v>
      </c>
      <c r="CH109" s="3">
        <f>+IF(AVANCE[[#This Row],[VENTANAS]]=AT$2,100%,AVANCE[[#This Row],[VENTANAS]])</f>
        <v>1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1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1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24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TERMINACIONES: PINTURA EXTERIOR, LIMPIEZA FINAL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TERMINACIONES</v>
      </c>
      <c r="CV109" s="44" cm="1">
        <f t="array" ref="CV109">SUMPRODUCT(--(BG109:CR109&lt;1))</f>
        <v>2</v>
      </c>
    </row>
    <row r="110" spans="1:100" hidden="1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0.96499999999999986</v>
      </c>
      <c r="F110" s="1">
        <v>46183</v>
      </c>
      <c r="G110" s="1">
        <v>46196</v>
      </c>
      <c r="H110" s="1">
        <v>46227</v>
      </c>
      <c r="I110" s="1">
        <v>46207</v>
      </c>
      <c r="J110">
        <v>3</v>
      </c>
      <c r="K110" s="1"/>
      <c r="L110" s="3">
        <v>0.43</v>
      </c>
      <c r="M110" s="3">
        <v>1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9.3023255813953487E-2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0.11</v>
      </c>
      <c r="AB110" s="3">
        <v>1</v>
      </c>
      <c r="AC110" s="3">
        <v>0.27272727272727271</v>
      </c>
      <c r="AD110" s="3">
        <v>0.27272727272727271</v>
      </c>
      <c r="AE110" s="3">
        <v>9.0909090909090912E-2</v>
      </c>
      <c r="AF110" s="3">
        <v>0.18181818181818182</v>
      </c>
      <c r="AG110" s="3">
        <v>0.18181818181818182</v>
      </c>
      <c r="AH110" s="3">
        <v>0.33499999999999985</v>
      </c>
      <c r="AI110" s="3">
        <v>0.90540540540540504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8.1081081081081058E-2</v>
      </c>
      <c r="AO110" s="3">
        <v>6.7567567567567557E-2</v>
      </c>
      <c r="AP110" s="3">
        <v>5.4054054054054036E-2</v>
      </c>
      <c r="AQ110" s="3">
        <v>1.3513513513513509E-2</v>
      </c>
      <c r="AR110" s="3">
        <v>0</v>
      </c>
      <c r="AS110" s="3">
        <v>0</v>
      </c>
      <c r="AT110" s="3">
        <v>8.1081081081081058E-2</v>
      </c>
      <c r="AU110" s="3">
        <v>5.4054054054054036E-2</v>
      </c>
      <c r="AV110" s="3">
        <v>2.7027027027027018E-2</v>
      </c>
      <c r="AW110" s="3">
        <v>5.4054054054054036E-2</v>
      </c>
      <c r="AX110" s="3">
        <v>5.4054054054054036E-2</v>
      </c>
      <c r="AY110" s="3">
        <v>2.7027027027027018E-2</v>
      </c>
      <c r="AZ110" s="3">
        <v>0</v>
      </c>
      <c r="BA110" s="3">
        <v>5.4054054054054036E-2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1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1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1</v>
      </c>
      <c r="BU110" s="3">
        <f>+IF(AVANCE[[#This Row],[ARTEFACTOS]]=AE$2,100%,AVANCE[[#This Row],[ARTEFACTOS]])</f>
        <v>1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1</v>
      </c>
      <c r="CC110" s="3">
        <f>+IF(AVANCE[[#This Row],[PINTURA EXTERIOR]]=AO$2,100%,AVANCE[[#This Row],[PINTURA EXTERIOR]])</f>
        <v>1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1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1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1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1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23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TERMINACIONES: PILASTREO, CELOSIAS, LIMPIEZA FINAL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TERMINACIONES</v>
      </c>
      <c r="CV110" s="44" cm="1">
        <f t="array" ref="CV110">SUMPRODUCT(--(BG110:CR110&lt;1))</f>
        <v>3</v>
      </c>
    </row>
    <row r="111" spans="1:100" hidden="1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0.80499999999999983</v>
      </c>
      <c r="F111" s="1">
        <v>46183</v>
      </c>
      <c r="G111" s="1">
        <v>46197</v>
      </c>
      <c r="H111" s="1">
        <v>46227</v>
      </c>
      <c r="I111" s="1">
        <v>46217</v>
      </c>
      <c r="J111">
        <v>3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0.05</v>
      </c>
      <c r="T111" s="3">
        <v>0.55555555555555558</v>
      </c>
      <c r="U111" s="3">
        <v>0.22222222222222221</v>
      </c>
      <c r="V111" s="3">
        <v>0.22222222222222221</v>
      </c>
      <c r="W111" s="3">
        <v>0</v>
      </c>
      <c r="X111" s="3">
        <v>0.1111111111111111</v>
      </c>
      <c r="Y111" s="3">
        <v>0</v>
      </c>
      <c r="Z111" s="3">
        <v>0</v>
      </c>
      <c r="AA111" s="3">
        <v>0.08</v>
      </c>
      <c r="AB111" s="3">
        <v>0.72727272727272729</v>
      </c>
      <c r="AC111" s="3">
        <v>0.27272727272727271</v>
      </c>
      <c r="AD111" s="3">
        <v>0.27272727272727271</v>
      </c>
      <c r="AE111" s="3">
        <v>0</v>
      </c>
      <c r="AF111" s="3">
        <v>0</v>
      </c>
      <c r="AG111" s="3">
        <v>0.18181818181818182</v>
      </c>
      <c r="AH111" s="3">
        <v>0.24499999999999988</v>
      </c>
      <c r="AI111" s="3">
        <v>0.66216216216216184</v>
      </c>
      <c r="AJ111" s="3">
        <v>5.4054054054054036E-2</v>
      </c>
      <c r="AK111" s="3">
        <v>5.4054054054054036E-2</v>
      </c>
      <c r="AL111" s="3">
        <v>0</v>
      </c>
      <c r="AM111" s="3">
        <v>8.1081081081081058E-2</v>
      </c>
      <c r="AN111" s="3">
        <v>8.1081081081081058E-2</v>
      </c>
      <c r="AO111" s="3">
        <v>0</v>
      </c>
      <c r="AP111" s="3">
        <v>5.4054054054054036E-2</v>
      </c>
      <c r="AQ111" s="3">
        <v>0</v>
      </c>
      <c r="AR111" s="3">
        <v>0</v>
      </c>
      <c r="AS111" s="3">
        <v>1.3513513513513509E-2</v>
      </c>
      <c r="AT111" s="3">
        <v>8.1081081081081058E-2</v>
      </c>
      <c r="AU111" s="3">
        <v>5.4054054054054036E-2</v>
      </c>
      <c r="AV111" s="3">
        <v>2.7027027027027018E-2</v>
      </c>
      <c r="AW111" s="3">
        <v>0</v>
      </c>
      <c r="AX111" s="3">
        <v>5.4054054054054036E-2</v>
      </c>
      <c r="AY111" s="3">
        <v>2.7027027027027018E-2</v>
      </c>
      <c r="AZ111" s="3">
        <v>0</v>
      </c>
      <c r="BA111" s="3">
        <v>5.4054054054054036E-2</v>
      </c>
      <c r="BB111" s="3">
        <v>0</v>
      </c>
      <c r="BC111" s="3">
        <v>0</v>
      </c>
      <c r="BD111" s="3">
        <v>2.7027027027027018E-2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1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1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1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1</v>
      </c>
      <c r="BX111" s="3">
        <f>+IF(AVANCE[[#This Row],[INSTALACION VINILICO]]=AJ$2,100%,AVANCE[[#This Row],[INSTALACION VINILICO]])</f>
        <v>1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1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1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1</v>
      </c>
      <c r="CH111" s="3">
        <f>+IF(AVANCE[[#This Row],[VENTANAS]]=AT$2,100%,AVANCE[[#This Row],[VENTANAS]])</f>
        <v>1</v>
      </c>
      <c r="CI111" s="3">
        <f>+IF(AVANCE[[#This Row],[PUERTAS ACCESO - LOGIA - BANO]]=AU$2,100%,AVANCE[[#This Row],[PUERTAS ACCESO - LOGIA - BANO]])</f>
        <v>1</v>
      </c>
      <c r="CJ111" s="3">
        <f>+IF(AVANCE[[#This Row],[CERRADURAS]]=AV$2,100%,AVANCE[[#This Row],[CERRADURAS]])</f>
        <v>1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1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1</v>
      </c>
      <c r="CS111" s="40">
        <f ca="1">+IF(AVANCE[[#This Row],[ESTADO MODULO]]="PENDIENTE",(TODAY()-AVANCE[[#This Row],[FECHA TERMINO  PLANIFICADO]]),0)</f>
        <v>13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WC, LAVAMANOS / LAVAPLATOS / LAVADERO | ELÉCTRICO: ARTEFACTOS, TABLERO | TERMINACIONES: BARANDA BALCON, PINTURA EXTERIOR, MOLDURAS, PILASTREO, REVESTIMIENTO INTERIOR ZONA SECA, LIMPIEZA FINAL, REVESTIMIENTO INTERIOR BANO, MUEBLE LAVAPLATOS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4" cm="1">
        <f t="array" ref="CV111">SUMPRODUCT(--(BG111:CR111&lt;1))</f>
        <v>13</v>
      </c>
    </row>
    <row r="112" spans="1:100" hidden="1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0.86999999999999988</v>
      </c>
      <c r="F112" s="1">
        <v>46184</v>
      </c>
      <c r="G112" s="1">
        <v>46190</v>
      </c>
      <c r="H112" s="1">
        <v>46225</v>
      </c>
      <c r="I112" s="1">
        <v>46218</v>
      </c>
      <c r="J112">
        <v>5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0.08</v>
      </c>
      <c r="T112" s="3">
        <v>0.88888888888888895</v>
      </c>
      <c r="U112" s="3">
        <v>0.22222222222222221</v>
      </c>
      <c r="V112" s="3">
        <v>0.22222222222222221</v>
      </c>
      <c r="W112" s="3">
        <v>0</v>
      </c>
      <c r="X112" s="3">
        <v>0.1111111111111111</v>
      </c>
      <c r="Y112" s="3">
        <v>0.1111111111111111</v>
      </c>
      <c r="Z112" s="3">
        <v>0.22222222222222221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0.32999999999999985</v>
      </c>
      <c r="AI112" s="3">
        <v>0.89189189189189144</v>
      </c>
      <c r="AJ112" s="3">
        <v>5.4054054054054036E-2</v>
      </c>
      <c r="AK112" s="3">
        <v>5.4054054054054036E-2</v>
      </c>
      <c r="AL112" s="3">
        <v>2.7027027027027018E-2</v>
      </c>
      <c r="AM112" s="3">
        <v>8.1081081081081058E-2</v>
      </c>
      <c r="AN112" s="3">
        <v>8.1081081081081058E-2</v>
      </c>
      <c r="AO112" s="3">
        <v>6.7567567567567557E-2</v>
      </c>
      <c r="AP112" s="3">
        <v>5.4054054054054036E-2</v>
      </c>
      <c r="AQ112" s="3">
        <v>0</v>
      </c>
      <c r="AR112" s="3">
        <v>4.0540540540540529E-2</v>
      </c>
      <c r="AS112" s="3">
        <v>1.3513513513513509E-2</v>
      </c>
      <c r="AT112" s="3">
        <v>8.1081081081081058E-2</v>
      </c>
      <c r="AU112" s="3">
        <v>5.4054054054054036E-2</v>
      </c>
      <c r="AV112" s="3">
        <v>2.7027027027027018E-2</v>
      </c>
      <c r="AW112" s="3">
        <v>0</v>
      </c>
      <c r="AX112" s="3">
        <v>5.4054054054054036E-2</v>
      </c>
      <c r="AY112" s="3">
        <v>2.7027027027027018E-2</v>
      </c>
      <c r="AZ112" s="3">
        <v>0</v>
      </c>
      <c r="BA112" s="3">
        <v>5.4054054054054036E-2</v>
      </c>
      <c r="BB112" s="3">
        <v>8.1081081081081058E-2</v>
      </c>
      <c r="BC112" s="3">
        <v>1.3513513513513509E-2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1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1</v>
      </c>
      <c r="BQ112" s="3">
        <f>+IF(AVANCE[[#This Row],[WC]]=Y$2,100%,AVANCE[[#This Row],[WC]])</f>
        <v>1</v>
      </c>
      <c r="BR112" s="3">
        <f>+IF(AVANCE[[#This Row],[LAVAMANOS / LAVAPLATOS / LAVADERO]]=Z$2,100%,AVANCE[[#This Row],[LAVAMANOS / LAVAPLATOS / LAVADERO]])</f>
        <v>1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1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1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1</v>
      </c>
      <c r="CC112" s="3">
        <f>+IF(AVANCE[[#This Row],[PINTURA EXTERIOR]]=AO$2,100%,AVANCE[[#This Row],[PINTURA EXTERIOR]])</f>
        <v>1</v>
      </c>
      <c r="CD112" s="3">
        <f>+IF(AVANCE[[#This Row],[ZOCALOS LOGIA]]=AP$2,100%,AVANCE[[#This Row],[ZOCALOS LOGIA]])</f>
        <v>1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1</v>
      </c>
      <c r="CG112" s="3">
        <f>+IF(AVANCE[[#This Row],[CELOSIAS]]=AS$2,100%,AVANCE[[#This Row],[CELOSIAS]])</f>
        <v>1</v>
      </c>
      <c r="CH112" s="3">
        <f>+IF(AVANCE[[#This Row],[VENTANAS]]=AT$2,100%,AVANCE[[#This Row],[VENTANAS]])</f>
        <v>1</v>
      </c>
      <c r="CI112" s="3">
        <f>+IF(AVANCE[[#This Row],[PUERTAS ACCESO - LOGIA - BANO]]=AU$2,100%,AVANCE[[#This Row],[PUERTAS ACCESO - LOGIA - BANO]])</f>
        <v>1</v>
      </c>
      <c r="CJ112" s="3">
        <f>+IF(AVANCE[[#This Row],[CERRADURAS]]=AV$2,100%,AVANCE[[#This Row],[CERRADURAS]])</f>
        <v>1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1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1</v>
      </c>
      <c r="CP112" s="3">
        <f>+IF(AVANCE[[#This Row],[REVESTIMIENTO INTERIOR BANO]]=BB$2,100%,AVANCE[[#This Row],[REVESTIMIENTO INTERIOR BANO]])</f>
        <v>1</v>
      </c>
      <c r="CQ112" s="3">
        <f>+IF(AVANCE[[#This Row],[MUEBLE LAVAPLATOS]]=BC$2,100%,AVANCE[[#This Row],[MUEBLE LAVAPLATOS]])</f>
        <v>1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12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VENTILACIONES | ELÉCTRICO: CABLEADO, ARTEFACTOS, TABLERO, CAJA PAU | TERMINACIONES: MOLDURAS, REVESTIMIENTO INTERIOR ZONA SECA, LIMPIEZA FINAL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4" cm="1">
        <f t="array" ref="CV112">SUMPRODUCT(--(BG112:CR112&lt;1))</f>
        <v>8</v>
      </c>
    </row>
    <row r="113" spans="1:100" hidden="1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0.92499999999999982</v>
      </c>
      <c r="F113" s="1">
        <v>46184</v>
      </c>
      <c r="G113" s="1">
        <v>46192</v>
      </c>
      <c r="H113" s="1">
        <v>46227</v>
      </c>
      <c r="I113" s="1">
        <v>46208</v>
      </c>
      <c r="J113">
        <v>3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0.11</v>
      </c>
      <c r="AB113" s="3">
        <v>1</v>
      </c>
      <c r="AC113" s="3">
        <v>0.27272727272727271</v>
      </c>
      <c r="AD113" s="3">
        <v>0.27272727272727271</v>
      </c>
      <c r="AE113" s="3">
        <v>9.0909090909090912E-2</v>
      </c>
      <c r="AF113" s="3">
        <v>0.18181818181818182</v>
      </c>
      <c r="AG113" s="3">
        <v>0.18181818181818182</v>
      </c>
      <c r="AH113" s="3">
        <v>0.29499999999999987</v>
      </c>
      <c r="AI113" s="3">
        <v>0.79729729729729704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8.1081081081081058E-2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8.1081081081081058E-2</v>
      </c>
      <c r="AU113" s="3">
        <v>5.4054054054054036E-2</v>
      </c>
      <c r="AV113" s="3">
        <v>0</v>
      </c>
      <c r="AW113" s="3">
        <v>5.4054054054054036E-2</v>
      </c>
      <c r="AX113" s="3">
        <v>5.4054054054054036E-2</v>
      </c>
      <c r="AY113" s="3">
        <v>2.7027027027027018E-2</v>
      </c>
      <c r="AZ113" s="3">
        <v>0</v>
      </c>
      <c r="BA113" s="3">
        <v>5.4054054054054036E-2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1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1</v>
      </c>
      <c r="BU113" s="3">
        <f>+IF(AVANCE[[#This Row],[ARTEFACTOS]]=AE$2,100%,AVANCE[[#This Row],[ARTEFACTOS]])</f>
        <v>1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1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1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1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22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TERMINACIONES: PINTURA EXTERIOR, MOLDURAS, PILASTREO, CELOSIAS, CERRADURAS, LIMPIEZA FINAL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TERMINACIONES</v>
      </c>
      <c r="CV113" s="44" cm="1">
        <f t="array" ref="CV113">SUMPRODUCT(--(BG113:CR113&lt;1))</f>
        <v>6</v>
      </c>
    </row>
    <row r="114" spans="1:100" hidden="1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0.8949999999999998</v>
      </c>
      <c r="F114" s="1">
        <v>46185</v>
      </c>
      <c r="G114" s="1">
        <v>46198</v>
      </c>
      <c r="H114" s="1">
        <v>46227</v>
      </c>
      <c r="I114" s="1">
        <v>46209</v>
      </c>
      <c r="J114">
        <v>3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0.30499999999999988</v>
      </c>
      <c r="AI114" s="3">
        <v>0.82432432432432401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8.1081081081081058E-2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8.1081081081081058E-2</v>
      </c>
      <c r="AU114" s="3">
        <v>5.4054054054054036E-2</v>
      </c>
      <c r="AV114" s="3">
        <v>2.7027027027027018E-2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5.4054054054054036E-2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1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1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1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1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1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21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ELÉCTRICO: CABLEADO, ARTEFACTOS | TERMINACIONES: PINTURA EXTERIOR, MOLDURAS, PILASTREO, CELOSIAS, LIMPIEZA FINAL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ELÉCTRICO, TERMINACIONES</v>
      </c>
      <c r="CV114" s="44" cm="1">
        <f t="array" ref="CV114">SUMPRODUCT(--(BG114:CR114&lt;1))</f>
        <v>7</v>
      </c>
    </row>
    <row r="115" spans="1:100" hidden="1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0.73</v>
      </c>
      <c r="F115" s="1">
        <v>46185</v>
      </c>
      <c r="G115" s="1">
        <v>46198</v>
      </c>
      <c r="H115" s="1">
        <v>46227</v>
      </c>
      <c r="I115" s="1">
        <v>46219</v>
      </c>
      <c r="J115">
        <v>3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0.05</v>
      </c>
      <c r="T115" s="3">
        <v>0.55555555555555558</v>
      </c>
      <c r="U115" s="3">
        <v>0.22222222222222221</v>
      </c>
      <c r="V115" s="3">
        <v>0.22222222222222221</v>
      </c>
      <c r="W115" s="3">
        <v>0</v>
      </c>
      <c r="X115" s="3">
        <v>0.1111111111111111</v>
      </c>
      <c r="Y115" s="3">
        <v>0</v>
      </c>
      <c r="Z115" s="3">
        <v>0</v>
      </c>
      <c r="AA115" s="3">
        <v>0.06</v>
      </c>
      <c r="AB115" s="3">
        <v>0.54545454545454541</v>
      </c>
      <c r="AC115" s="3">
        <v>0.27272727272727271</v>
      </c>
      <c r="AD115" s="3">
        <v>0.27272727272727271</v>
      </c>
      <c r="AE115" s="3">
        <v>0</v>
      </c>
      <c r="AF115" s="3">
        <v>0</v>
      </c>
      <c r="AG115" s="3">
        <v>0</v>
      </c>
      <c r="AH115" s="3">
        <v>0.18999999999999995</v>
      </c>
      <c r="AI115" s="3">
        <v>0.51351351351351338</v>
      </c>
      <c r="AJ115" s="3">
        <v>5.4054054054054036E-2</v>
      </c>
      <c r="AK115" s="3">
        <v>5.4054054054054036E-2</v>
      </c>
      <c r="AL115" s="3">
        <v>0</v>
      </c>
      <c r="AM115" s="3">
        <v>8.1081081081081058E-2</v>
      </c>
      <c r="AN115" s="3">
        <v>8.1081081081081058E-2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5.4054054054054036E-2</v>
      </c>
      <c r="AV115" s="3">
        <v>2.7027027027027018E-2</v>
      </c>
      <c r="AW115" s="3">
        <v>0</v>
      </c>
      <c r="AX115" s="3">
        <v>5.4054054054054036E-2</v>
      </c>
      <c r="AY115" s="3">
        <v>2.7027027027027018E-2</v>
      </c>
      <c r="AZ115" s="3">
        <v>0</v>
      </c>
      <c r="BA115" s="3">
        <v>5.4054054054054036E-2</v>
      </c>
      <c r="BB115" s="3">
        <v>0</v>
      </c>
      <c r="BC115" s="3">
        <v>0</v>
      </c>
      <c r="BD115" s="3">
        <v>2.7027027027027018E-2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1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1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1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1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1</v>
      </c>
      <c r="CJ115" s="3">
        <f>+IF(AVANCE[[#This Row],[CERRADURAS]]=AV$2,100%,AVANCE[[#This Row],[CERRADURAS]])</f>
        <v>1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1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1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1</v>
      </c>
      <c r="CS115" s="40">
        <f ca="1">+IF(AVANCE[[#This Row],[ESTADO MODULO]]="PENDIENTE",(TODAY()-AVANCE[[#This Row],[FECHA TERMINO  PLANIFICADO]]),0)</f>
        <v>11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WC, LAVAMANOS / LAVAPLATOS / LAVADERO | ELÉCTRICO: ARTEFACTOS, TABLERO, CAJA PAU | TERMINACIONES: VENTANAS, BARANDA BALCON, PINTURA EXTERIOR, ZOCALOS LOGIA, MOLDURAS, PILASTREO, CELOSIAS, VENTANAS (TERM), REVESTIMIENTO INTERIOR ZONA SECA, LIMPIEZA FINAL, REVESTIMIENTO INTERIOR BANO, MUEBLE LAVAPLATOS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4" cm="1">
        <f t="array" ref="CV115">SUMPRODUCT(--(BG115:CR115&lt;1))</f>
        <v>18</v>
      </c>
    </row>
    <row r="116" spans="1:100" hidden="1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0.77499999999999991</v>
      </c>
      <c r="F116" s="1">
        <v>46188</v>
      </c>
      <c r="G116" s="1">
        <v>46199</v>
      </c>
      <c r="H116" s="1">
        <v>46227</v>
      </c>
      <c r="I116" s="1">
        <v>46222</v>
      </c>
      <c r="J116">
        <v>3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0.05</v>
      </c>
      <c r="T116" s="3">
        <v>0.55555555555555558</v>
      </c>
      <c r="U116" s="3">
        <v>0.22222222222222221</v>
      </c>
      <c r="V116" s="3">
        <v>0.22222222222222221</v>
      </c>
      <c r="W116" s="3">
        <v>0</v>
      </c>
      <c r="X116" s="3">
        <v>0.1111111111111111</v>
      </c>
      <c r="Y116" s="3">
        <v>0</v>
      </c>
      <c r="Z116" s="3">
        <v>0</v>
      </c>
      <c r="AA116" s="3">
        <v>0.06</v>
      </c>
      <c r="AB116" s="3">
        <v>0.54545454545454541</v>
      </c>
      <c r="AC116" s="3">
        <v>0.27272727272727271</v>
      </c>
      <c r="AD116" s="3">
        <v>0.27272727272727271</v>
      </c>
      <c r="AE116" s="3">
        <v>0</v>
      </c>
      <c r="AF116" s="3">
        <v>0</v>
      </c>
      <c r="AG116" s="3">
        <v>0</v>
      </c>
      <c r="AH116" s="3">
        <v>0.2349999999999999</v>
      </c>
      <c r="AI116" s="3">
        <v>0.63513513513513487</v>
      </c>
      <c r="AJ116" s="3">
        <v>5.4054054054054036E-2</v>
      </c>
      <c r="AK116" s="3">
        <v>5.4054054054054036E-2</v>
      </c>
      <c r="AL116" s="3">
        <v>0</v>
      </c>
      <c r="AM116" s="3">
        <v>8.1081081081081058E-2</v>
      </c>
      <c r="AN116" s="3">
        <v>8.1081081081081058E-2</v>
      </c>
      <c r="AO116" s="3">
        <v>0</v>
      </c>
      <c r="AP116" s="3">
        <v>5.4054054054054036E-2</v>
      </c>
      <c r="AQ116" s="3">
        <v>0</v>
      </c>
      <c r="AR116" s="3">
        <v>0</v>
      </c>
      <c r="AS116" s="3">
        <v>1.3513513513513509E-2</v>
      </c>
      <c r="AT116" s="3">
        <v>8.1081081081081058E-2</v>
      </c>
      <c r="AU116" s="3">
        <v>5.4054054054054036E-2</v>
      </c>
      <c r="AV116" s="3">
        <v>0</v>
      </c>
      <c r="AW116" s="3">
        <v>0</v>
      </c>
      <c r="AX116" s="3">
        <v>5.4054054054054036E-2</v>
      </c>
      <c r="AY116" s="3">
        <v>2.7027027027027018E-2</v>
      </c>
      <c r="AZ116" s="3">
        <v>0</v>
      </c>
      <c r="BA116" s="3">
        <v>5.4054054054054036E-2</v>
      </c>
      <c r="BB116" s="3">
        <v>0</v>
      </c>
      <c r="BC116" s="3">
        <v>0</v>
      </c>
      <c r="BD116" s="3">
        <v>2.7027027027027018E-2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1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1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1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1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1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1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1</v>
      </c>
      <c r="CH116" s="3">
        <f>+IF(AVANCE[[#This Row],[VENTANAS]]=AT$2,100%,AVANCE[[#This Row],[VENTANAS]])</f>
        <v>1</v>
      </c>
      <c r="CI116" s="3">
        <f>+IF(AVANCE[[#This Row],[PUERTAS ACCESO - LOGIA - BANO]]=AU$2,100%,AVANCE[[#This Row],[PUERTAS ACCESO - LOGIA - BANO]])</f>
        <v>1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1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1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1</v>
      </c>
      <c r="CS116" s="40">
        <f ca="1">+IF(AVANCE[[#This Row],[ESTADO MODULO]]="PENDIENTE",(TODAY()-AVANCE[[#This Row],[FECHA TERMINO  PLANIFICADO]]),0)</f>
        <v>8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VENTILACIONES, WC, LAVAMANOS / LAVAPLATOS / LAVADERO | ELÉCTRICO: ARTEFACTOS, TABLERO, CAJA PAU | TERMINACIONES: BARANDA BALCON, PINTURA EXTERIOR, MOLDURAS, PILASTREO, CERRADURAS, REVESTIMIENTO INTERIOR ZONA SECA, LIMPIEZA FINAL, REVESTIMIENTO INTERIOR BANO, MUEBLE LAVAPLATOS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4" cm="1">
        <f t="array" ref="CV116">SUMPRODUCT(--(BG116:CR116&lt;1))</f>
        <v>15</v>
      </c>
    </row>
    <row r="117" spans="1:100" hidden="1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0.86999999999999988</v>
      </c>
      <c r="F117" s="1">
        <v>46188</v>
      </c>
      <c r="G117" s="1">
        <v>46199</v>
      </c>
      <c r="H117" s="1">
        <v>46225</v>
      </c>
      <c r="I117" s="1">
        <v>46212</v>
      </c>
      <c r="J117">
        <v>5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6.9999999999999993E-2</v>
      </c>
      <c r="AB117" s="3">
        <v>0.63636363636363635</v>
      </c>
      <c r="AC117" s="3">
        <v>0.27272727272727271</v>
      </c>
      <c r="AD117" s="3">
        <v>0</v>
      </c>
      <c r="AE117" s="3">
        <v>0</v>
      </c>
      <c r="AF117" s="3">
        <v>0.18181818181818182</v>
      </c>
      <c r="AG117" s="3">
        <v>0.18181818181818182</v>
      </c>
      <c r="AH117" s="3">
        <v>0.27999999999999992</v>
      </c>
      <c r="AI117" s="3">
        <v>0.75675675675675647</v>
      </c>
      <c r="AJ117" s="3">
        <v>5.4054054054054036E-2</v>
      </c>
      <c r="AK117" s="3">
        <v>5.4054054054054036E-2</v>
      </c>
      <c r="AL117" s="3">
        <v>2.7027027027027018E-2</v>
      </c>
      <c r="AM117" s="3">
        <v>8.1081081081081058E-2</v>
      </c>
      <c r="AN117" s="3">
        <v>8.1081081081081058E-2</v>
      </c>
      <c r="AO117" s="3">
        <v>0</v>
      </c>
      <c r="AP117" s="3">
        <v>5.4054054054054036E-2</v>
      </c>
      <c r="AQ117" s="3">
        <v>1.3513513513513509E-2</v>
      </c>
      <c r="AR117" s="3">
        <v>0</v>
      </c>
      <c r="AS117" s="3">
        <v>0</v>
      </c>
      <c r="AT117" s="3">
        <v>8.1081081081081058E-2</v>
      </c>
      <c r="AU117" s="3">
        <v>5.4054054054054036E-2</v>
      </c>
      <c r="AV117" s="3">
        <v>0</v>
      </c>
      <c r="AW117" s="3">
        <v>5.4054054054054036E-2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1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1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1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1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1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1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18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ELÉCTRICO: CABLEADO, ARTEFACTOS | TERMINACIONES: PINTURA EXTERIOR, PILASTREO, CELOSIAS, CERRADURAS, LIMPIEZA FINAL, PUERTAS DORMITORIO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ELÉCTRICO, TERMINACIONES</v>
      </c>
      <c r="CV117" s="44" cm="1">
        <f t="array" ref="CV117">SUMPRODUCT(--(BG117:CR117&lt;1))</f>
        <v>8</v>
      </c>
    </row>
    <row r="118" spans="1:100" hidden="1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0.94499999999999984</v>
      </c>
      <c r="F118" s="1">
        <v>46189</v>
      </c>
      <c r="G118" s="1">
        <v>46199</v>
      </c>
      <c r="H118" s="1">
        <v>46227</v>
      </c>
      <c r="I118" s="1">
        <v>46213</v>
      </c>
      <c r="J118">
        <v>3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0.35499999999999982</v>
      </c>
      <c r="AI118" s="3">
        <v>0.95945945945945899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8.1081081081081058E-2</v>
      </c>
      <c r="AO118" s="3">
        <v>6.7567567567567557E-2</v>
      </c>
      <c r="AP118" s="3">
        <v>5.4054054054054036E-2</v>
      </c>
      <c r="AQ118" s="3">
        <v>1.3513513513513509E-2</v>
      </c>
      <c r="AR118" s="3">
        <v>4.0540540540540529E-2</v>
      </c>
      <c r="AS118" s="3">
        <v>1.3513513513513509E-2</v>
      </c>
      <c r="AT118" s="3">
        <v>8.1081081081081058E-2</v>
      </c>
      <c r="AU118" s="3">
        <v>5.4054054054054036E-2</v>
      </c>
      <c r="AV118" s="3">
        <v>2.7027027027027018E-2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5.4054054054054036E-2</v>
      </c>
      <c r="BB118" s="3">
        <v>8.1081081081081058E-2</v>
      </c>
      <c r="BC118" s="3">
        <v>1.3513513513513509E-2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1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1</v>
      </c>
      <c r="CC118" s="3">
        <f>+IF(AVANCE[[#This Row],[PINTURA EXTERIOR]]=AO$2,100%,AVANCE[[#This Row],[PINTURA EXTERIOR]])</f>
        <v>1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1</v>
      </c>
      <c r="CF118" s="3">
        <f>+IF(AVANCE[[#This Row],[PILASTREO]]=AR$2,100%,AVANCE[[#This Row],[PILASTREO]])</f>
        <v>1</v>
      </c>
      <c r="CG118" s="3">
        <f>+IF(AVANCE[[#This Row],[CELOSIAS]]=AS$2,100%,AVANCE[[#This Row],[CELOSIAS]])</f>
        <v>1</v>
      </c>
      <c r="CH118" s="3">
        <f>+IF(AVANCE[[#This Row],[VENTANAS]]=AT$2,100%,AVANCE[[#This Row],[VENTANAS]])</f>
        <v>1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1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1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1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17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LIMPIEZA FINAL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4" cm="1">
        <f t="array" ref="CV118">SUMPRODUCT(--(BG118:CR118&lt;1))</f>
        <v>3</v>
      </c>
    </row>
    <row r="119" spans="1:100" hidden="1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0.66999999999999993</v>
      </c>
      <c r="F119" s="1">
        <v>46189</v>
      </c>
      <c r="G119" s="1">
        <v>46199</v>
      </c>
      <c r="H119" s="1">
        <v>46227</v>
      </c>
      <c r="I119" s="1">
        <v>46223</v>
      </c>
      <c r="J119">
        <v>3</v>
      </c>
      <c r="K119" s="1"/>
      <c r="L119" s="3">
        <v>0.43</v>
      </c>
      <c r="M119" s="3">
        <v>1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9.3023255813953487E-2</v>
      </c>
      <c r="S119" s="3">
        <v>0.05</v>
      </c>
      <c r="T119" s="3">
        <v>0.55555555555555558</v>
      </c>
      <c r="U119" s="3">
        <v>0.22222222222222221</v>
      </c>
      <c r="V119" s="3">
        <v>0.22222222222222221</v>
      </c>
      <c r="W119" s="3">
        <v>0</v>
      </c>
      <c r="X119" s="3">
        <v>0.1111111111111111</v>
      </c>
      <c r="Y119" s="3">
        <v>0</v>
      </c>
      <c r="Z119" s="3">
        <v>0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0.15999999999999998</v>
      </c>
      <c r="AI119" s="3">
        <v>0.43243243243243235</v>
      </c>
      <c r="AJ119" s="3">
        <v>5.4054054054054036E-2</v>
      </c>
      <c r="AK119" s="3">
        <v>5.4054054054054036E-2</v>
      </c>
      <c r="AL119" s="3">
        <v>0</v>
      </c>
      <c r="AM119" s="3">
        <v>8.1081081081081058E-2</v>
      </c>
      <c r="AN119" s="3">
        <v>8.1081081081081058E-2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5.4054054054054036E-2</v>
      </c>
      <c r="AY119" s="3">
        <v>2.7027027027027018E-2</v>
      </c>
      <c r="AZ119" s="3">
        <v>0</v>
      </c>
      <c r="BA119" s="3">
        <v>5.4054054054054036E-2</v>
      </c>
      <c r="BB119" s="3">
        <v>0</v>
      </c>
      <c r="BC119" s="3">
        <v>0</v>
      </c>
      <c r="BD119" s="3">
        <v>2.7027027027027018E-2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1</v>
      </c>
      <c r="BM119" s="3">
        <f>+IF(AVANCE[[#This Row],[RED ALCANTARILLADO]]=U$2,100%,AVANCE[[#This Row],[RED ALCANTARILLADO]])</f>
        <v>1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1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1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1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1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1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1</v>
      </c>
      <c r="CS119" s="40">
        <f ca="1">+IF(AVANCE[[#This Row],[ESTADO MODULO]]="PENDIENTE",(TODAY()-AVANCE[[#This Row],[FECHA TERMINO  PLANIFICADO]]),0)</f>
        <v>7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 SECA, LIMPIEZA FINAL, REVESTIMIENTO INTERIOR BANO, MUEBLE LAVAPLATOS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SANITARIOS, ELÉCTRICO, TERMINACIONES</v>
      </c>
      <c r="CV119" s="44" cm="1">
        <f t="array" ref="CV119">SUMPRODUCT(--(BG119:CR119&lt;1))</f>
        <v>21</v>
      </c>
    </row>
    <row r="120" spans="1:100" hidden="1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0.69</v>
      </c>
      <c r="F120" s="1">
        <v>46190</v>
      </c>
      <c r="G120" s="1">
        <v>46199</v>
      </c>
      <c r="H120" s="1">
        <v>46227</v>
      </c>
      <c r="I120" s="1">
        <v>46224</v>
      </c>
      <c r="J120">
        <v>3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0.18999999999999995</v>
      </c>
      <c r="AI120" s="3">
        <v>0.51351351351351338</v>
      </c>
      <c r="AJ120" s="3">
        <v>5.4054054054054036E-2</v>
      </c>
      <c r="AK120" s="3">
        <v>5.4054054054054036E-2</v>
      </c>
      <c r="AL120" s="3">
        <v>0</v>
      </c>
      <c r="AM120" s="3">
        <v>8.1081081081081058E-2</v>
      </c>
      <c r="AN120" s="3">
        <v>8.1081081081081058E-2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5.4054054054054036E-2</v>
      </c>
      <c r="AV120" s="3">
        <v>2.7027027027027018E-2</v>
      </c>
      <c r="AW120" s="3">
        <v>0</v>
      </c>
      <c r="AX120" s="3">
        <v>5.4054054054054036E-2</v>
      </c>
      <c r="AY120" s="3">
        <v>2.7027027027027018E-2</v>
      </c>
      <c r="AZ120" s="3">
        <v>0</v>
      </c>
      <c r="BA120" s="3">
        <v>5.4054054054054036E-2</v>
      </c>
      <c r="BB120" s="3">
        <v>0</v>
      </c>
      <c r="BC120" s="3">
        <v>0</v>
      </c>
      <c r="BD120" s="3">
        <v>2.7027027027027018E-2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1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1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1</v>
      </c>
      <c r="CJ120" s="3">
        <f>+IF(AVANCE[[#This Row],[CERRADURAS]]=AV$2,100%,AVANCE[[#This Row],[CERRADURAS]])</f>
        <v>1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1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1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1</v>
      </c>
      <c r="CS120" s="40">
        <f ca="1">+IF(AVANCE[[#This Row],[ESTADO MODULO]]="PENDIENTE",(TODAY()-AVANCE[[#This Row],[FECHA TERMINO  PLANIFICADO]]),0)</f>
        <v>6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REVESTIMIENTO INTERIOR ZONA SECA, LIMPIEZA FINAL, REVESTIMIENTO INTERIOR BANO, MUEBLE LAVAPLATOS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4" cm="1">
        <f t="array" ref="CV120">SUMPRODUCT(--(BG120:CR120&lt;1))</f>
        <v>20</v>
      </c>
    </row>
    <row r="121" spans="1:100" hidden="1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0.8949999999999998</v>
      </c>
      <c r="F121" s="1">
        <v>46190</v>
      </c>
      <c r="G121" s="1">
        <v>46198</v>
      </c>
      <c r="H121" s="1">
        <v>46225</v>
      </c>
      <c r="I121" s="1">
        <v>46214</v>
      </c>
      <c r="J121">
        <v>5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0.30499999999999988</v>
      </c>
      <c r="AI121" s="3">
        <v>0.82432432432432401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8.1081081081081058E-2</v>
      </c>
      <c r="AO121" s="3">
        <v>6.7567567567567557E-2</v>
      </c>
      <c r="AP121" s="3">
        <v>5.4054054054054036E-2</v>
      </c>
      <c r="AQ121" s="3">
        <v>1.3513513513513509E-2</v>
      </c>
      <c r="AR121" s="3">
        <v>0</v>
      </c>
      <c r="AS121" s="3">
        <v>0</v>
      </c>
      <c r="AT121" s="3">
        <v>8.1081081081081058E-2</v>
      </c>
      <c r="AU121" s="3">
        <v>5.4054054054054036E-2</v>
      </c>
      <c r="AV121" s="3">
        <v>0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1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1</v>
      </c>
      <c r="CC121" s="3">
        <f>+IF(AVANCE[[#This Row],[PINTURA EXTERIOR]]=AO$2,100%,AVANCE[[#This Row],[PINTURA EXTERIOR]])</f>
        <v>1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1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1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16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PILASTREO, CELOSIAS, CERRADURAS, LIMPIEZA FINAL, PUERTAS DORMITORIO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4" cm="1">
        <f t="array" ref="CV121">SUMPRODUCT(--(BG121:CR121&lt;1))</f>
        <v>7</v>
      </c>
    </row>
    <row r="122" spans="1:100" hidden="1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0.80499999999999994</v>
      </c>
      <c r="F122" s="1">
        <v>46191</v>
      </c>
      <c r="G122" s="1">
        <v>46206</v>
      </c>
      <c r="H122" s="1">
        <v>46216</v>
      </c>
      <c r="I122" s="1">
        <v>46215</v>
      </c>
      <c r="J122">
        <v>14</v>
      </c>
      <c r="K122" s="1"/>
      <c r="L122" s="3">
        <v>0.43</v>
      </c>
      <c r="M122" s="3">
        <v>1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9.3023255813953487E-2</v>
      </c>
      <c r="S122" s="3">
        <v>0.09</v>
      </c>
      <c r="T122" s="3">
        <v>1</v>
      </c>
      <c r="U122" s="3">
        <v>0.22222222222222221</v>
      </c>
      <c r="V122" s="3">
        <v>0.22222222222222221</v>
      </c>
      <c r="W122" s="3">
        <v>0.1111111111111111</v>
      </c>
      <c r="X122" s="3">
        <v>0.1111111111111111</v>
      </c>
      <c r="Y122" s="3">
        <v>0.1111111111111111</v>
      </c>
      <c r="Z122" s="3">
        <v>0.22222222222222221</v>
      </c>
      <c r="AA122" s="3">
        <v>6.9999999999999993E-2</v>
      </c>
      <c r="AB122" s="3">
        <v>0.63636363636363635</v>
      </c>
      <c r="AC122" s="3">
        <v>0.27272727272727271</v>
      </c>
      <c r="AD122" s="3">
        <v>0</v>
      </c>
      <c r="AE122" s="3">
        <v>0</v>
      </c>
      <c r="AF122" s="3">
        <v>0.18181818181818182</v>
      </c>
      <c r="AG122" s="3">
        <v>0.18181818181818182</v>
      </c>
      <c r="AH122" s="3">
        <v>0.21499999999999994</v>
      </c>
      <c r="AI122" s="3">
        <v>0.58108108108108092</v>
      </c>
      <c r="AJ122" s="3">
        <v>5.4054054054054036E-2</v>
      </c>
      <c r="AK122" s="3">
        <v>5.4054054054054036E-2</v>
      </c>
      <c r="AL122" s="3">
        <v>2.7027027027027018E-2</v>
      </c>
      <c r="AM122" s="3">
        <v>8.1081081081081058E-2</v>
      </c>
      <c r="AN122" s="3">
        <v>0</v>
      </c>
      <c r="AO122" s="3">
        <v>0</v>
      </c>
      <c r="AP122" s="3">
        <v>5.4054054054054036E-2</v>
      </c>
      <c r="AQ122" s="3">
        <v>0</v>
      </c>
      <c r="AR122" s="3">
        <v>0</v>
      </c>
      <c r="AS122" s="3">
        <v>0</v>
      </c>
      <c r="AT122" s="3">
        <v>0</v>
      </c>
      <c r="AU122" s="3">
        <v>5.4054054054054036E-2</v>
      </c>
      <c r="AV122" s="3">
        <v>0</v>
      </c>
      <c r="AW122" s="3">
        <v>5.4054054054054036E-2</v>
      </c>
      <c r="AX122" s="3">
        <v>5.4054054054054036E-2</v>
      </c>
      <c r="AY122" s="3">
        <v>2.7027027027027018E-2</v>
      </c>
      <c r="AZ122" s="3">
        <v>0</v>
      </c>
      <c r="BA122" s="3">
        <v>0</v>
      </c>
      <c r="BB122" s="3">
        <v>8.1081081081081058E-2</v>
      </c>
      <c r="BC122" s="3">
        <v>1.3513513513513509E-2</v>
      </c>
      <c r="BD122" s="3">
        <v>2.7027027027027018E-2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1</v>
      </c>
      <c r="BM122" s="3">
        <f>+IF(AVANCE[[#This Row],[RED ALCANTARILLADO]]=U$2,100%,AVANCE[[#This Row],[RED ALCANTARILLADO]])</f>
        <v>1</v>
      </c>
      <c r="BN122" s="3">
        <f>+IF(AVANCE[[#This Row],[RED DE AGUA]]=V$2,100%,AVANCE[[#This Row],[RED DE AGUA]])</f>
        <v>1</v>
      </c>
      <c r="BO122" s="3">
        <f>+IF(AVANCE[[#This Row],[VENTILACIONES]]=W$2,100%,AVANCE[[#This Row],[VENTILACIONES]])</f>
        <v>1</v>
      </c>
      <c r="BP122" s="3">
        <f>+IF(AVANCE[[#This Row],[TINA]]=X$2,100%,AVANCE[[#This Row],[TINA]])</f>
        <v>1</v>
      </c>
      <c r="BQ122" s="3">
        <f>+IF(AVANCE[[#This Row],[WC]]=Y$2,100%,AVANCE[[#This Row],[WC]])</f>
        <v>1</v>
      </c>
      <c r="BR122" s="3">
        <f>+IF(AVANCE[[#This Row],[LAVAMANOS / LAVAPLATOS / LAVADERO]]=Z$2,100%,AVANCE[[#This Row],[LAVAMANOS / LAVAPLATOS / LAVADERO]])</f>
        <v>1</v>
      </c>
      <c r="BS122" s="3">
        <f>+IF(AVANCE[[#This Row],[CANALIZACIÓN]]=AC$2,100%,AVANCE[[#This Row],[CANALIZACIÓN]])</f>
        <v>1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1</v>
      </c>
      <c r="BW122" s="3">
        <f>+IF(AVANCE[[#This Row],[CAJA PAU]]=AG$2,100%,AVANCE[[#This Row],[CAJA PAU]])</f>
        <v>1</v>
      </c>
      <c r="BX122" s="3">
        <f>+IF(AVANCE[[#This Row],[INSTALACION VINILICO]]=AJ$2,100%,AVANCE[[#This Row],[INSTALACION VINILICO]])</f>
        <v>1</v>
      </c>
      <c r="BY122" s="3">
        <f>+IF(AVANCE[[#This Row],[OSB CUBIERTA]]=AK$2,100%,AVANCE[[#This Row],[OSB CUBIERTA]])</f>
        <v>1</v>
      </c>
      <c r="BZ122" s="3">
        <f>+IF(AVANCE[[#This Row],[BARANDA BALCON]]=AL$2,100%,AVANCE[[#This Row],[BARANDA BALCON]])</f>
        <v>1</v>
      </c>
      <c r="CA122" s="3">
        <f>+IF(AVANCE[[#This Row],[OSB EXTERIOR]]=AM$2,100%,AVANCE[[#This Row],[OSB EXTERIOR]])</f>
        <v>1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1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1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1</v>
      </c>
      <c r="CL122" s="3">
        <f>+IF(AVANCE[[#This Row],[REVESTIMIENTO INTERIOR ZONAS HUMEDAS]]=AX$2,100%,AVANCE[[#This Row],[REVESTIMIENTO INTERIOR ZONAS HUMEDAS]])</f>
        <v>1</v>
      </c>
      <c r="CM122" s="3">
        <f>+IF(AVANCE[[#This Row],[MEMBRANA CIELO]]=AY$2,100%,AVANCE[[#This Row],[MEMBRANA CIELO]])</f>
        <v>1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1</v>
      </c>
      <c r="CQ122" s="3">
        <f>+IF(AVANCE[[#This Row],[MUEBLE LAVAPLATOS]]=BC$2,100%,AVANCE[[#This Row],[MUEBLE LAVAPLATOS]])</f>
        <v>1</v>
      </c>
      <c r="CR122" s="3">
        <f>+IF(AVANCE[[#This Row],[IMPERMEABILIZACION BANO - COCINA LOGIA]]=BD$2,100%,AVANCE[[#This Row],[IMPERMEABILIZACION BANO - COCINA LOGIA]])</f>
        <v>1</v>
      </c>
      <c r="CS122" s="40">
        <f ca="1">+IF(AVANCE[[#This Row],[ESTADO MODULO]]="PENDIENTE",(TODAY()-AVANCE[[#This Row],[FECHA TERMINO  PLANIFICADO]]),0)</f>
        <v>15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ELÉCTRICO, TERMINACIONES</v>
      </c>
      <c r="CV122" s="44" cm="1">
        <f t="array" ref="CV122">SUMPRODUCT(--(BG122:CR122&lt;1))</f>
        <v>12</v>
      </c>
    </row>
    <row r="123" spans="1:100" hidden="1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0.6</v>
      </c>
      <c r="F123" s="1">
        <v>46191</v>
      </c>
      <c r="G123" s="1">
        <v>46205</v>
      </c>
      <c r="H123" s="1">
        <v>46224</v>
      </c>
      <c r="I123" s="1">
        <v>46225</v>
      </c>
      <c r="J123">
        <v>6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3.9999999999999994E-2</v>
      </c>
      <c r="T123" s="3">
        <v>0.44444444444444442</v>
      </c>
      <c r="U123" s="3">
        <v>0.22222222222222221</v>
      </c>
      <c r="V123" s="3">
        <v>0.22222222222222221</v>
      </c>
      <c r="W123" s="3">
        <v>0</v>
      </c>
      <c r="X123" s="3">
        <v>0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9.9999999999999964E-2</v>
      </c>
      <c r="AI123" s="3">
        <v>0.27027027027027017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5.4054054054054036E-2</v>
      </c>
      <c r="AY123" s="3">
        <v>2.7027027027027018E-2</v>
      </c>
      <c r="AZ123" s="3">
        <v>0</v>
      </c>
      <c r="BA123" s="3">
        <v>5.4054054054054036E-2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1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1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5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4" cm="1">
        <f t="array" ref="CV123">SUMPRODUCT(--(BG123:CR123&lt;1))</f>
        <v>25</v>
      </c>
    </row>
    <row r="124" spans="1:100" hidden="1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0.57999999999999996</v>
      </c>
      <c r="F124" s="1">
        <v>46192</v>
      </c>
      <c r="G124" s="1">
        <v>46206</v>
      </c>
      <c r="H124" s="1">
        <v>46216</v>
      </c>
      <c r="I124" s="1">
        <v>46226</v>
      </c>
      <c r="J124">
        <v>14</v>
      </c>
      <c r="K124" s="1"/>
      <c r="L124" s="3">
        <v>0.43</v>
      </c>
      <c r="M124" s="3">
        <v>1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9.3023255813953487E-2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0.03</v>
      </c>
      <c r="AB124" s="3">
        <v>0.27272727272727271</v>
      </c>
      <c r="AC124" s="3">
        <v>0.27272727272727271</v>
      </c>
      <c r="AD124" s="3">
        <v>0</v>
      </c>
      <c r="AE124" s="3">
        <v>0</v>
      </c>
      <c r="AF124" s="3">
        <v>0</v>
      </c>
      <c r="AG124" s="3">
        <v>0</v>
      </c>
      <c r="AH124" s="3">
        <v>7.9999999999999974E-2</v>
      </c>
      <c r="AI124" s="3">
        <v>0.21621621621621614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2.7027027027027018E-2</v>
      </c>
      <c r="AZ124" s="3">
        <v>0</v>
      </c>
      <c r="BA124" s="3">
        <v>5.4054054054054036E-2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1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1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4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SANITARIOS, ELÉCTRICO, TERMINACIONES</v>
      </c>
      <c r="CV124" s="44" cm="1">
        <f t="array" ref="CV124">SUMPRODUCT(--(BG124:CR124&lt;1))</f>
        <v>26</v>
      </c>
    </row>
    <row r="125" spans="1:100" hidden="1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0.91499999999999981</v>
      </c>
      <c r="F125" s="1">
        <v>46192</v>
      </c>
      <c r="G125" s="1">
        <v>46206</v>
      </c>
      <c r="H125" s="1">
        <v>46227</v>
      </c>
      <c r="I125" s="1">
        <v>46216</v>
      </c>
      <c r="J125">
        <v>3</v>
      </c>
      <c r="K125" s="1"/>
      <c r="L125" s="3">
        <v>0.43</v>
      </c>
      <c r="M125" s="3">
        <v>1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9.3023255813953487E-2</v>
      </c>
      <c r="S125" s="3">
        <v>0.09</v>
      </c>
      <c r="T125" s="3">
        <v>1</v>
      </c>
      <c r="U125" s="3">
        <v>0.22222222222222221</v>
      </c>
      <c r="V125" s="3">
        <v>0.22222222222222221</v>
      </c>
      <c r="W125" s="3">
        <v>0.1111111111111111</v>
      </c>
      <c r="X125" s="3">
        <v>0.1111111111111111</v>
      </c>
      <c r="Y125" s="3">
        <v>0.1111111111111111</v>
      </c>
      <c r="Z125" s="3">
        <v>0.22222222222222221</v>
      </c>
      <c r="AA125" s="3">
        <v>6.9999999999999993E-2</v>
      </c>
      <c r="AB125" s="3">
        <v>0.63636363636363635</v>
      </c>
      <c r="AC125" s="3">
        <v>0.27272727272727271</v>
      </c>
      <c r="AD125" s="3">
        <v>0</v>
      </c>
      <c r="AE125" s="3">
        <v>0</v>
      </c>
      <c r="AF125" s="3">
        <v>0.18181818181818182</v>
      </c>
      <c r="AG125" s="3">
        <v>0.18181818181818182</v>
      </c>
      <c r="AH125" s="3">
        <v>0.32499999999999984</v>
      </c>
      <c r="AI125" s="3">
        <v>0.87837837837837796</v>
      </c>
      <c r="AJ125" s="3">
        <v>5.4054054054054036E-2</v>
      </c>
      <c r="AK125" s="3">
        <v>5.4054054054054036E-2</v>
      </c>
      <c r="AL125" s="3">
        <v>2.7027027027027018E-2</v>
      </c>
      <c r="AM125" s="3">
        <v>8.1081081081081058E-2</v>
      </c>
      <c r="AN125" s="3">
        <v>8.1081081081081058E-2</v>
      </c>
      <c r="AO125" s="3">
        <v>0</v>
      </c>
      <c r="AP125" s="3">
        <v>5.4054054054054036E-2</v>
      </c>
      <c r="AQ125" s="3">
        <v>1.3513513513513509E-2</v>
      </c>
      <c r="AR125" s="3">
        <v>4.0540540540540529E-2</v>
      </c>
      <c r="AS125" s="3">
        <v>0</v>
      </c>
      <c r="AT125" s="3">
        <v>8.1081081081081058E-2</v>
      </c>
      <c r="AU125" s="3">
        <v>5.4054054054054036E-2</v>
      </c>
      <c r="AV125" s="3">
        <v>2.7027027027027018E-2</v>
      </c>
      <c r="AW125" s="3">
        <v>5.4054054054054036E-2</v>
      </c>
      <c r="AX125" s="3">
        <v>5.4054054054054036E-2</v>
      </c>
      <c r="AY125" s="3">
        <v>2.7027027027027018E-2</v>
      </c>
      <c r="AZ125" s="3">
        <v>0</v>
      </c>
      <c r="BA125" s="3">
        <v>5.4054054054054036E-2</v>
      </c>
      <c r="BB125" s="3">
        <v>8.1081081081081058E-2</v>
      </c>
      <c r="BC125" s="3">
        <v>1.3513513513513509E-2</v>
      </c>
      <c r="BD125" s="3">
        <v>2.7027027027027018E-2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1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1</v>
      </c>
      <c r="BM125" s="3">
        <f>+IF(AVANCE[[#This Row],[RED ALCANTARILLADO]]=U$2,100%,AVANCE[[#This Row],[RED ALCANTARILLADO]])</f>
        <v>1</v>
      </c>
      <c r="BN125" s="3">
        <f>+IF(AVANCE[[#This Row],[RED DE AGUA]]=V$2,100%,AVANCE[[#This Row],[RED DE AGUA]])</f>
        <v>1</v>
      </c>
      <c r="BO125" s="3">
        <f>+IF(AVANCE[[#This Row],[VENTILACIONES]]=W$2,100%,AVANCE[[#This Row],[VENTILACIONES]])</f>
        <v>1</v>
      </c>
      <c r="BP125" s="3">
        <f>+IF(AVANCE[[#This Row],[TINA]]=X$2,100%,AVANCE[[#This Row],[TINA]])</f>
        <v>1</v>
      </c>
      <c r="BQ125" s="3">
        <f>+IF(AVANCE[[#This Row],[WC]]=Y$2,100%,AVANCE[[#This Row],[WC]])</f>
        <v>1</v>
      </c>
      <c r="BR125" s="3">
        <f>+IF(AVANCE[[#This Row],[LAVAMANOS / LAVAPLATOS / LAVADERO]]=Z$2,100%,AVANCE[[#This Row],[LAVAMANOS / LAVAPLATOS / LAVADERO]])</f>
        <v>1</v>
      </c>
      <c r="BS125" s="3">
        <f>+IF(AVANCE[[#This Row],[CANALIZACIÓN]]=AC$2,100%,AVANCE[[#This Row],[CANALIZACIÓN]])</f>
        <v>1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1</v>
      </c>
      <c r="BW125" s="3">
        <f>+IF(AVANCE[[#This Row],[CAJA PAU]]=AG$2,100%,AVANCE[[#This Row],[CAJA PAU]])</f>
        <v>1</v>
      </c>
      <c r="BX125" s="3">
        <f>+IF(AVANCE[[#This Row],[INSTALACION VINILICO]]=AJ$2,100%,AVANCE[[#This Row],[INSTALACION VINILICO]])</f>
        <v>1</v>
      </c>
      <c r="BY125" s="3">
        <f>+IF(AVANCE[[#This Row],[OSB CUBIERTA]]=AK$2,100%,AVANCE[[#This Row],[OSB CUBIERTA]])</f>
        <v>1</v>
      </c>
      <c r="BZ125" s="3">
        <f>+IF(AVANCE[[#This Row],[BARANDA BALCON]]=AL$2,100%,AVANCE[[#This Row],[BARANDA BALCON]])</f>
        <v>1</v>
      </c>
      <c r="CA125" s="3">
        <f>+IF(AVANCE[[#This Row],[OSB EXTERIOR]]=AM$2,100%,AVANCE[[#This Row],[OSB EXTERIOR]])</f>
        <v>1</v>
      </c>
      <c r="CB125" s="3">
        <f>+IF(AVANCE[[#This Row],[SMART PANEL]]=AN$2,100%,AVANCE[[#This Row],[SMART PANEL]])</f>
        <v>1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1</v>
      </c>
      <c r="CE125" s="3">
        <f>+IF(AVANCE[[#This Row],[MOLDURAS]]=AQ$2,100%,AVANCE[[#This Row],[MOLDURAS]])</f>
        <v>1</v>
      </c>
      <c r="CF125" s="3">
        <f>+IF(AVANCE[[#This Row],[PILASTREO]]=AR$2,100%,AVANCE[[#This Row],[PILASTREO]])</f>
        <v>1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1</v>
      </c>
      <c r="CI125" s="3">
        <f>+IF(AVANCE[[#This Row],[PUERTAS ACCESO - LOGIA - BANO]]=AU$2,100%,AVANCE[[#This Row],[PUERTAS ACCESO - LOGIA - BANO]])</f>
        <v>1</v>
      </c>
      <c r="CJ125" s="3">
        <f>+IF(AVANCE[[#This Row],[CERRADURAS]]=AV$2,100%,AVANCE[[#This Row],[CERRADURAS]])</f>
        <v>1</v>
      </c>
      <c r="CK125" s="3">
        <f>+IF(AVANCE[[#This Row],[REVESTIMIENTO INTERIOR ZONA SECA]]=AW$2,100%,AVANCE[[#This Row],[REVESTIMIENTO INTERIOR ZONA SECA]])</f>
        <v>1</v>
      </c>
      <c r="CL125" s="3">
        <f>+IF(AVANCE[[#This Row],[REVESTIMIENTO INTERIOR ZONAS HUMEDAS]]=AX$2,100%,AVANCE[[#This Row],[REVESTIMIENTO INTERIOR ZONAS HUMEDAS]])</f>
        <v>1</v>
      </c>
      <c r="CM125" s="3">
        <f>+IF(AVANCE[[#This Row],[MEMBRANA CIELO]]=AY$2,100%,AVANCE[[#This Row],[MEMBRANA CIELO]])</f>
        <v>1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1</v>
      </c>
      <c r="CP125" s="3">
        <f>+IF(AVANCE[[#This Row],[REVESTIMIENTO INTERIOR BANO]]=BB$2,100%,AVANCE[[#This Row],[REVESTIMIENTO INTERIOR BANO]])</f>
        <v>1</v>
      </c>
      <c r="CQ125" s="3">
        <f>+IF(AVANCE[[#This Row],[MUEBLE LAVAPLATOS]]=BC$2,100%,AVANCE[[#This Row],[MUEBLE LAVAPLATOS]])</f>
        <v>1</v>
      </c>
      <c r="CR125" s="3">
        <f>+IF(AVANCE[[#This Row],[IMPERMEABILIZACION BANO - COCINA LOGIA]]=BD$2,100%,AVANCE[[#This Row],[IMPERMEABILIZACION BANO - COCINA LOGIA]])</f>
        <v>1</v>
      </c>
      <c r="CS125" s="40">
        <f ca="1">+IF(AVANCE[[#This Row],[ESTADO MODULO]]="PENDIENTE",(TODAY()-AVANCE[[#This Row],[FECHA TERMINO  PLANIFICADO]]),0)</f>
        <v>14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ELÉCTRICO: CABLEADO, ARTEFACTOS | TERMINACIONES: PINTURA EXTERIOR, CELOSIAS, LIMPIEZA FINAL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ELÉCTRICO, TERMINACIONES</v>
      </c>
      <c r="CV125" s="44" cm="1">
        <f t="array" ref="CV125">SUMPRODUCT(--(BG125:CR125&lt;1))</f>
        <v>5</v>
      </c>
    </row>
    <row r="126" spans="1:100" hidden="1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0.83499999999999985</v>
      </c>
      <c r="F126" s="1">
        <v>46195</v>
      </c>
      <c r="G126" s="1">
        <v>46210</v>
      </c>
      <c r="H126" s="1">
        <v>46223</v>
      </c>
      <c r="I126" s="1">
        <v>46219</v>
      </c>
      <c r="J126">
        <v>7</v>
      </c>
      <c r="K126" s="1"/>
      <c r="L126" s="3">
        <v>0.43</v>
      </c>
      <c r="M126" s="3">
        <v>1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9.3023255813953487E-2</v>
      </c>
      <c r="S126" s="3">
        <v>0.09</v>
      </c>
      <c r="T126" s="3">
        <v>1</v>
      </c>
      <c r="U126" s="3">
        <v>0.22222222222222221</v>
      </c>
      <c r="V126" s="3">
        <v>0.22222222222222221</v>
      </c>
      <c r="W126" s="3">
        <v>0.1111111111111111</v>
      </c>
      <c r="X126" s="3">
        <v>0.1111111111111111</v>
      </c>
      <c r="Y126" s="3">
        <v>0.1111111111111111</v>
      </c>
      <c r="Z126" s="3">
        <v>0.22222222222222221</v>
      </c>
      <c r="AA126" s="3">
        <v>6.9999999999999993E-2</v>
      </c>
      <c r="AB126" s="3">
        <v>0.63636363636363635</v>
      </c>
      <c r="AC126" s="3">
        <v>0.27272727272727271</v>
      </c>
      <c r="AD126" s="3">
        <v>0</v>
      </c>
      <c r="AE126" s="3">
        <v>0</v>
      </c>
      <c r="AF126" s="3">
        <v>0.18181818181818182</v>
      </c>
      <c r="AG126" s="3">
        <v>0.18181818181818182</v>
      </c>
      <c r="AH126" s="3">
        <v>0.24499999999999988</v>
      </c>
      <c r="AI126" s="3">
        <v>0.66216216216216184</v>
      </c>
      <c r="AJ126" s="3">
        <v>5.4054054054054036E-2</v>
      </c>
      <c r="AK126" s="3">
        <v>5.4054054054054036E-2</v>
      </c>
      <c r="AL126" s="3">
        <v>2.7027027027027018E-2</v>
      </c>
      <c r="AM126" s="3">
        <v>8.1081081081081058E-2</v>
      </c>
      <c r="AN126" s="3">
        <v>8.1081081081081058E-2</v>
      </c>
      <c r="AO126" s="3">
        <v>0</v>
      </c>
      <c r="AP126" s="3">
        <v>5.4054054054054036E-2</v>
      </c>
      <c r="AQ126" s="3">
        <v>0</v>
      </c>
      <c r="AR126" s="3">
        <v>0</v>
      </c>
      <c r="AS126" s="3">
        <v>0</v>
      </c>
      <c r="AT126" s="3">
        <v>0</v>
      </c>
      <c r="AU126" s="3">
        <v>5.4054054054054036E-2</v>
      </c>
      <c r="AV126" s="3">
        <v>0</v>
      </c>
      <c r="AW126" s="3">
        <v>5.4054054054054036E-2</v>
      </c>
      <c r="AX126" s="3">
        <v>5.4054054054054036E-2</v>
      </c>
      <c r="AY126" s="3">
        <v>2.7027027027027018E-2</v>
      </c>
      <c r="AZ126" s="3">
        <v>0</v>
      </c>
      <c r="BA126" s="3">
        <v>0</v>
      </c>
      <c r="BB126" s="3">
        <v>8.1081081081081058E-2</v>
      </c>
      <c r="BC126" s="3">
        <v>1.3513513513513509E-2</v>
      </c>
      <c r="BD126" s="3">
        <v>2.7027027027027018E-2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1</v>
      </c>
      <c r="BM126" s="3">
        <f>+IF(AVANCE[[#This Row],[RED ALCANTARILLADO]]=U$2,100%,AVANCE[[#This Row],[RED ALCANTARILLADO]])</f>
        <v>1</v>
      </c>
      <c r="BN126" s="3">
        <f>+IF(AVANCE[[#This Row],[RED DE AGUA]]=V$2,100%,AVANCE[[#This Row],[RED DE AGUA]])</f>
        <v>1</v>
      </c>
      <c r="BO126" s="3">
        <f>+IF(AVANCE[[#This Row],[VENTILACIONES]]=W$2,100%,AVANCE[[#This Row],[VENTILACIONES]])</f>
        <v>1</v>
      </c>
      <c r="BP126" s="3">
        <f>+IF(AVANCE[[#This Row],[TINA]]=X$2,100%,AVANCE[[#This Row],[TINA]])</f>
        <v>1</v>
      </c>
      <c r="BQ126" s="3">
        <f>+IF(AVANCE[[#This Row],[WC]]=Y$2,100%,AVANCE[[#This Row],[WC]])</f>
        <v>1</v>
      </c>
      <c r="BR126" s="3">
        <f>+IF(AVANCE[[#This Row],[LAVAMANOS / LAVAPLATOS / LAVADERO]]=Z$2,100%,AVANCE[[#This Row],[LAVAMANOS / LAVAPLATOS / LAVADERO]])</f>
        <v>1</v>
      </c>
      <c r="BS126" s="3">
        <f>+IF(AVANCE[[#This Row],[CANALIZACIÓN]]=AC$2,100%,AVANCE[[#This Row],[CANALIZACIÓN]])</f>
        <v>1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1</v>
      </c>
      <c r="BW126" s="3">
        <f>+IF(AVANCE[[#This Row],[CAJA PAU]]=AG$2,100%,AVANCE[[#This Row],[CAJA PAU]])</f>
        <v>1</v>
      </c>
      <c r="BX126" s="3">
        <f>+IF(AVANCE[[#This Row],[INSTALACION VINILICO]]=AJ$2,100%,AVANCE[[#This Row],[INSTALACION VINILICO]])</f>
        <v>1</v>
      </c>
      <c r="BY126" s="3">
        <f>+IF(AVANCE[[#This Row],[OSB CUBIERTA]]=AK$2,100%,AVANCE[[#This Row],[OSB CUBIERTA]])</f>
        <v>1</v>
      </c>
      <c r="BZ126" s="3">
        <f>+IF(AVANCE[[#This Row],[BARANDA BALCON]]=AL$2,100%,AVANCE[[#This Row],[BARANDA BALCON]])</f>
        <v>1</v>
      </c>
      <c r="CA126" s="3">
        <f>+IF(AVANCE[[#This Row],[OSB EXTERIOR]]=AM$2,100%,AVANCE[[#This Row],[OSB EXTERIOR]])</f>
        <v>1</v>
      </c>
      <c r="CB126" s="3">
        <f>+IF(AVANCE[[#This Row],[SMART PANEL]]=AN$2,100%,AVANCE[[#This Row],[SMART PANEL]])</f>
        <v>1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1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1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1</v>
      </c>
      <c r="CL126" s="3">
        <f>+IF(AVANCE[[#This Row],[REVESTIMIENTO INTERIOR ZONAS HUMEDAS]]=AX$2,100%,AVANCE[[#This Row],[REVESTIMIENTO INTERIOR ZONAS HUMEDAS]])</f>
        <v>1</v>
      </c>
      <c r="CM126" s="3">
        <f>+IF(AVANCE[[#This Row],[MEMBRANA CIELO]]=AY$2,100%,AVANCE[[#This Row],[MEMBRANA CIELO]])</f>
        <v>1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1</v>
      </c>
      <c r="CQ126" s="3">
        <f>+IF(AVANCE[[#This Row],[MUEBLE LAVAPLATOS]]=BC$2,100%,AVANCE[[#This Row],[MUEBLE LAVAPLATOS]])</f>
        <v>1</v>
      </c>
      <c r="CR126" s="3">
        <f>+IF(AVANCE[[#This Row],[IMPERMEABILIZACION BANO - COCINA LOGIA]]=BD$2,100%,AVANCE[[#This Row],[IMPERMEABILIZACION BANO - COCINA LOGIA]])</f>
        <v>1</v>
      </c>
      <c r="CS126" s="40">
        <f ca="1">+IF(AVANCE[[#This Row],[ESTADO MODULO]]="PENDIENTE",(TODAY()-AVANCE[[#This Row],[FECHA TERMINO  PLANIFICADO]]),0)</f>
        <v>11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ELÉCTRICO, TERMINACIONES</v>
      </c>
      <c r="CV126" s="44" cm="1">
        <f t="array" ref="CV126">SUMPRODUCT(--(BG126:CR126&lt;1))</f>
        <v>11</v>
      </c>
    </row>
    <row r="127" spans="1:100" hidden="1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0.6399999999999999</v>
      </c>
      <c r="F127" s="1">
        <v>46195</v>
      </c>
      <c r="G127" s="1">
        <v>46206</v>
      </c>
      <c r="H127" s="1">
        <v>46227</v>
      </c>
      <c r="I127" s="1">
        <v>46229</v>
      </c>
      <c r="J127">
        <v>3</v>
      </c>
      <c r="K127" s="1"/>
      <c r="L127" s="3">
        <v>0.43</v>
      </c>
      <c r="M127" s="3">
        <v>1</v>
      </c>
      <c r="N127" s="3">
        <v>0.27906976744186046</v>
      </c>
      <c r="O127" s="3">
        <v>0.18604651162790697</v>
      </c>
      <c r="P127" s="3">
        <v>0.2558139534883721</v>
      </c>
      <c r="Q127" s="3">
        <v>0.18604651162790697</v>
      </c>
      <c r="R127" s="3">
        <v>9.3023255813953487E-2</v>
      </c>
      <c r="S127" s="3">
        <v>3.9999999999999994E-2</v>
      </c>
      <c r="T127" s="3">
        <v>0.44444444444444442</v>
      </c>
      <c r="U127" s="3">
        <v>0.22222222222222221</v>
      </c>
      <c r="V127" s="3">
        <v>0.22222222222222221</v>
      </c>
      <c r="W127" s="3">
        <v>0</v>
      </c>
      <c r="X127" s="3">
        <v>0</v>
      </c>
      <c r="Y127" s="3">
        <v>0</v>
      </c>
      <c r="Z127" s="3">
        <v>0</v>
      </c>
      <c r="AA127" s="3">
        <v>0.03</v>
      </c>
      <c r="AB127" s="3">
        <v>0.27272727272727271</v>
      </c>
      <c r="AC127" s="3">
        <v>0.27272727272727271</v>
      </c>
      <c r="AD127" s="3">
        <v>0</v>
      </c>
      <c r="AE127" s="3">
        <v>0</v>
      </c>
      <c r="AF127" s="3">
        <v>0</v>
      </c>
      <c r="AG127" s="3">
        <v>0</v>
      </c>
      <c r="AH127" s="3">
        <v>0.13999999999999996</v>
      </c>
      <c r="AI127" s="3">
        <v>0.37837837837837829</v>
      </c>
      <c r="AJ127" s="3">
        <v>0</v>
      </c>
      <c r="AK127" s="3">
        <v>5.4054054054054036E-2</v>
      </c>
      <c r="AL127" s="3">
        <v>0</v>
      </c>
      <c r="AM127" s="3">
        <v>8.1081081081081058E-2</v>
      </c>
      <c r="AN127" s="3">
        <v>8.1081081081081058E-2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5.4054054054054036E-2</v>
      </c>
      <c r="AY127" s="3">
        <v>2.7027027027027018E-2</v>
      </c>
      <c r="AZ127" s="3">
        <v>0</v>
      </c>
      <c r="BA127" s="3">
        <v>5.4054054054054036E-2</v>
      </c>
      <c r="BB127" s="3">
        <v>0</v>
      </c>
      <c r="BC127" s="3">
        <v>0</v>
      </c>
      <c r="BD127" s="3">
        <v>2.7027027027027018E-2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1</v>
      </c>
      <c r="BJ127" s="3">
        <f>+IF(AVANCE[[#This Row],[MUROS]]=P$2,100%,AVANCE[[#This Row],[MUROS]])</f>
        <v>1</v>
      </c>
      <c r="BK127" s="3">
        <f>+IF(AVANCE[[#This Row],[CIELO]]=Q$2,100%,AVANCE[[#This Row],[CIELO]])</f>
        <v>1</v>
      </c>
      <c r="BL127" s="3">
        <f>+IF(AVANCE[[#This Row],[BALCÓN]]=R$2,100%,AVANCE[[#This Row],[BALCÓN]])</f>
        <v>1</v>
      </c>
      <c r="BM127" s="3">
        <f>+IF(AVANCE[[#This Row],[RED ALCANTARILLADO]]=U$2,100%,AVANCE[[#This Row],[RED ALCANTARILLADO]])</f>
        <v>1</v>
      </c>
      <c r="BN127" s="3">
        <f>+IF(AVANCE[[#This Row],[RED DE AGUA]]=V$2,100%,AVANCE[[#This Row],[RED DE AGUA]])</f>
        <v>1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1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1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1</v>
      </c>
      <c r="CB127" s="3">
        <f>+IF(AVANCE[[#This Row],[SMART PANEL]]=AN$2,100%,AVANCE[[#This Row],[SMART PANEL]])</f>
        <v>1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1</v>
      </c>
      <c r="CM127" s="3">
        <f>+IF(AVANCE[[#This Row],[MEMBRANA CIELO]]=AY$2,100%,AVANCE[[#This Row],[MEMBRANA CIELO]])</f>
        <v>1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1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1</v>
      </c>
      <c r="CS127" s="40">
        <f ca="1">+IF(AVANCE[[#This Row],[ESTADO MODULO]]="PENDIENTE",(TODAY()-AVANCE[[#This Row],[FECHA TERMINO  PLANIFICADO]]),0)</f>
        <v>1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SANITARIOS, ELÉCTRICO, TERMINACIONES</v>
      </c>
      <c r="CV127" s="44" cm="1">
        <f t="array" ref="CV127">SUMPRODUCT(--(BG127:CR127&lt;1))</f>
        <v>23</v>
      </c>
    </row>
    <row r="128" spans="1:100" hidden="1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0.57999999999999996</v>
      </c>
      <c r="F128" s="1">
        <v>46196</v>
      </c>
      <c r="G128" s="1">
        <v>46205</v>
      </c>
      <c r="H128" s="1">
        <v>46223</v>
      </c>
      <c r="I128" s="1">
        <v>46230</v>
      </c>
      <c r="J128">
        <v>7</v>
      </c>
      <c r="K128" s="1"/>
      <c r="L128" s="3">
        <v>0.43</v>
      </c>
      <c r="M128" s="3">
        <v>1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9.3023255813953487E-2</v>
      </c>
      <c r="S128" s="3">
        <v>3.9999999999999994E-2</v>
      </c>
      <c r="T128" s="3">
        <v>0.44444444444444442</v>
      </c>
      <c r="U128" s="3">
        <v>0.22222222222222221</v>
      </c>
      <c r="V128" s="3">
        <v>0.22222222222222221</v>
      </c>
      <c r="W128" s="3">
        <v>0</v>
      </c>
      <c r="X128" s="3">
        <v>0</v>
      </c>
      <c r="Y128" s="3">
        <v>0</v>
      </c>
      <c r="Z128" s="3">
        <v>0</v>
      </c>
      <c r="AA128" s="3">
        <v>0.03</v>
      </c>
      <c r="AB128" s="3">
        <v>0.27272727272727271</v>
      </c>
      <c r="AC128" s="3">
        <v>0.27272727272727271</v>
      </c>
      <c r="AD128" s="3">
        <v>0</v>
      </c>
      <c r="AE128" s="3">
        <v>0</v>
      </c>
      <c r="AF128" s="3">
        <v>0</v>
      </c>
      <c r="AG128" s="3">
        <v>0</v>
      </c>
      <c r="AH128" s="3">
        <v>7.9999999999999974E-2</v>
      </c>
      <c r="AI128" s="3">
        <v>0.21621621621621614</v>
      </c>
      <c r="AJ128" s="3">
        <v>0</v>
      </c>
      <c r="AK128" s="3">
        <v>5.4054054054054036E-2</v>
      </c>
      <c r="AL128" s="3">
        <v>0</v>
      </c>
      <c r="AM128" s="3">
        <v>8.1081081081081058E-2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2.7027027027027018E-2</v>
      </c>
      <c r="AZ128" s="3">
        <v>0</v>
      </c>
      <c r="BA128" s="3">
        <v>5.4054054054054036E-2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1</v>
      </c>
      <c r="BM128" s="3">
        <f>+IF(AVANCE[[#This Row],[RED ALCANTARILLADO]]=U$2,100%,AVANCE[[#This Row],[RED ALCANTARILLADO]])</f>
        <v>1</v>
      </c>
      <c r="BN128" s="3">
        <f>+IF(AVANCE[[#This Row],[RED DE AGUA]]=V$2,100%,AVANCE[[#This Row],[RED DE AGUA]])</f>
        <v>1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1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1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1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1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1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SANITARIOS, ELÉCTRICO, TERMINACIONES</v>
      </c>
      <c r="CV128" s="44" cm="1">
        <f t="array" ref="CV128">SUMPRODUCT(--(BG128:CR128&lt;1))</f>
        <v>26</v>
      </c>
    </row>
    <row r="129" spans="1:100" hidden="1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0.86499999999999988</v>
      </c>
      <c r="F129" s="1">
        <v>46196</v>
      </c>
      <c r="G129" s="1">
        <v>46205</v>
      </c>
      <c r="H129" s="1">
        <v>46227</v>
      </c>
      <c r="I129" s="1">
        <v>46220</v>
      </c>
      <c r="J129">
        <v>3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0.27499999999999991</v>
      </c>
      <c r="AI129" s="3">
        <v>0.74324324324324298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8.1081081081081058E-2</v>
      </c>
      <c r="AO129" s="3">
        <v>0</v>
      </c>
      <c r="AP129" s="3">
        <v>5.4054054054054036E-2</v>
      </c>
      <c r="AQ129" s="3">
        <v>0</v>
      </c>
      <c r="AR129" s="3">
        <v>0</v>
      </c>
      <c r="AS129" s="3">
        <v>0</v>
      </c>
      <c r="AT129" s="3">
        <v>0</v>
      </c>
      <c r="AU129" s="3">
        <v>5.4054054054054036E-2</v>
      </c>
      <c r="AV129" s="3">
        <v>2.7027027027027018E-2</v>
      </c>
      <c r="AW129" s="3">
        <v>5.4054054054054036E-2</v>
      </c>
      <c r="AX129" s="3">
        <v>5.4054054054054036E-2</v>
      </c>
      <c r="AY129" s="3">
        <v>2.7027027027027018E-2</v>
      </c>
      <c r="AZ129" s="3">
        <v>0</v>
      </c>
      <c r="BA129" s="3">
        <v>5.4054054054054036E-2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1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1</v>
      </c>
      <c r="CK129" s="3">
        <f>+IF(AVANCE[[#This Row],[REVESTIMIENTO INTERIOR ZONA SECA]]=AW$2,100%,AVANCE[[#This Row],[REVESTIMIENTO INTERIOR ZONA SECA]])</f>
        <v>1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1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1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10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PINTURA EXTERIOR, MOLDURAS, PILASTREO, CELOSIAS, VENTANAS (TERM), LIMPIEZA FINAL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4" cm="1">
        <f t="array" ref="CV129">SUMPRODUCT(--(BG129:CR129&lt;1))</f>
        <v>9</v>
      </c>
    </row>
    <row r="130" spans="1:100" hidden="1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0.80499999999999994</v>
      </c>
      <c r="F130" s="1">
        <v>46197</v>
      </c>
      <c r="G130" s="1">
        <v>46212</v>
      </c>
      <c r="H130" s="1">
        <v>46218</v>
      </c>
      <c r="I130" s="1">
        <v>46219</v>
      </c>
      <c r="J130">
        <v>12</v>
      </c>
      <c r="K130" s="1"/>
      <c r="L130" s="3">
        <v>0.43</v>
      </c>
      <c r="M130" s="3">
        <v>1</v>
      </c>
      <c r="N130" s="3">
        <v>0.27906976744186046</v>
      </c>
      <c r="O130" s="3">
        <v>0.18604651162790697</v>
      </c>
      <c r="P130" s="3">
        <v>0.2558139534883721</v>
      </c>
      <c r="Q130" s="3">
        <v>0.18604651162790697</v>
      </c>
      <c r="R130" s="3">
        <v>9.3023255813953487E-2</v>
      </c>
      <c r="S130" s="3">
        <v>0.09</v>
      </c>
      <c r="T130" s="3">
        <v>1</v>
      </c>
      <c r="U130" s="3">
        <v>0.22222222222222221</v>
      </c>
      <c r="V130" s="3">
        <v>0.22222222222222221</v>
      </c>
      <c r="W130" s="3">
        <v>0.1111111111111111</v>
      </c>
      <c r="X130" s="3">
        <v>0.1111111111111111</v>
      </c>
      <c r="Y130" s="3">
        <v>0.1111111111111111</v>
      </c>
      <c r="Z130" s="3">
        <v>0.22222222222222221</v>
      </c>
      <c r="AA130" s="3">
        <v>6.9999999999999993E-2</v>
      </c>
      <c r="AB130" s="3">
        <v>0.63636363636363635</v>
      </c>
      <c r="AC130" s="3">
        <v>0.27272727272727271</v>
      </c>
      <c r="AD130" s="3">
        <v>0</v>
      </c>
      <c r="AE130" s="3">
        <v>0</v>
      </c>
      <c r="AF130" s="3">
        <v>0.18181818181818182</v>
      </c>
      <c r="AG130" s="3">
        <v>0.18181818181818182</v>
      </c>
      <c r="AH130" s="3">
        <v>0.21499999999999994</v>
      </c>
      <c r="AI130" s="3">
        <v>0.58108108108108092</v>
      </c>
      <c r="AJ130" s="3">
        <v>5.4054054054054036E-2</v>
      </c>
      <c r="AK130" s="3">
        <v>5.4054054054054036E-2</v>
      </c>
      <c r="AL130" s="3">
        <v>2.7027027027027018E-2</v>
      </c>
      <c r="AM130" s="3">
        <v>8.1081081081081058E-2</v>
      </c>
      <c r="AN130" s="3">
        <v>0</v>
      </c>
      <c r="AO130" s="3">
        <v>0</v>
      </c>
      <c r="AP130" s="3">
        <v>5.4054054054054036E-2</v>
      </c>
      <c r="AQ130" s="3">
        <v>0</v>
      </c>
      <c r="AR130" s="3">
        <v>0</v>
      </c>
      <c r="AS130" s="3">
        <v>0</v>
      </c>
      <c r="AT130" s="3">
        <v>0</v>
      </c>
      <c r="AU130" s="3">
        <v>5.4054054054054036E-2</v>
      </c>
      <c r="AV130" s="3">
        <v>0</v>
      </c>
      <c r="AW130" s="3">
        <v>5.4054054054054036E-2</v>
      </c>
      <c r="AX130" s="3">
        <v>5.4054054054054036E-2</v>
      </c>
      <c r="AY130" s="3">
        <v>2.7027027027027018E-2</v>
      </c>
      <c r="AZ130" s="3">
        <v>0</v>
      </c>
      <c r="BA130" s="3">
        <v>0</v>
      </c>
      <c r="BB130" s="3">
        <v>8.1081081081081058E-2</v>
      </c>
      <c r="BC130" s="3">
        <v>1.3513513513513509E-2</v>
      </c>
      <c r="BD130" s="3">
        <v>2.7027027027027018E-2</v>
      </c>
      <c r="BE130">
        <v>28.87</v>
      </c>
      <c r="BF130" s="3" t="str">
        <f>+IF(AVANCE[[#This Row],[% AVANCE]]=100%,"MODULO TERMINADO",IF(AVANCE[[#This Row],[FECHA INICIO REAL]]="","MODULO NO INICIADO","PENDIENTE"))</f>
        <v>PENDIENTE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1</v>
      </c>
      <c r="BI130" s="3">
        <f>+IF(AVANCE[[#This Row],[TABIQUES]]=O$2,100%,AVANCE[[#This Row],[TABIQUES]])</f>
        <v>1</v>
      </c>
      <c r="BJ130" s="3">
        <f>+IF(AVANCE[[#This Row],[MUROS]]=P$2,100%,AVANCE[[#This Row],[MUROS]])</f>
        <v>1</v>
      </c>
      <c r="BK130" s="3">
        <f>+IF(AVANCE[[#This Row],[CIELO]]=Q$2,100%,AVANCE[[#This Row],[CIELO]])</f>
        <v>1</v>
      </c>
      <c r="BL130" s="3">
        <f>+IF(AVANCE[[#This Row],[BALCÓN]]=R$2,100%,AVANCE[[#This Row],[BALCÓN]])</f>
        <v>1</v>
      </c>
      <c r="BM130" s="3">
        <f>+IF(AVANCE[[#This Row],[RED ALCANTARILLADO]]=U$2,100%,AVANCE[[#This Row],[RED ALCANTARILLADO]])</f>
        <v>1</v>
      </c>
      <c r="BN130" s="3">
        <f>+IF(AVANCE[[#This Row],[RED DE AGUA]]=V$2,100%,AVANCE[[#This Row],[RED DE AGUA]])</f>
        <v>1</v>
      </c>
      <c r="BO130" s="3">
        <f>+IF(AVANCE[[#This Row],[VENTILACIONES]]=W$2,100%,AVANCE[[#This Row],[VENTILACIONES]])</f>
        <v>1</v>
      </c>
      <c r="BP130" s="3">
        <f>+IF(AVANCE[[#This Row],[TINA]]=X$2,100%,AVANCE[[#This Row],[TINA]])</f>
        <v>1</v>
      </c>
      <c r="BQ130" s="3">
        <f>+IF(AVANCE[[#This Row],[WC]]=Y$2,100%,AVANCE[[#This Row],[WC]])</f>
        <v>1</v>
      </c>
      <c r="BR130" s="3">
        <f>+IF(AVANCE[[#This Row],[LAVAMANOS / LAVAPLATOS / LAVADERO]]=Z$2,100%,AVANCE[[#This Row],[LAVAMANOS / LAVAPLATOS / LAVADERO]])</f>
        <v>1</v>
      </c>
      <c r="BS130" s="3">
        <f>+IF(AVANCE[[#This Row],[CANALIZACIÓN]]=AC$2,100%,AVANCE[[#This Row],[CANALIZACIÓN]])</f>
        <v>1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1</v>
      </c>
      <c r="BW130" s="3">
        <f>+IF(AVANCE[[#This Row],[CAJA PAU]]=AG$2,100%,AVANCE[[#This Row],[CAJA PAU]])</f>
        <v>1</v>
      </c>
      <c r="BX130" s="3">
        <f>+IF(AVANCE[[#This Row],[INSTALACION VINILICO]]=AJ$2,100%,AVANCE[[#This Row],[INSTALACION VINILICO]])</f>
        <v>1</v>
      </c>
      <c r="BY130" s="3">
        <f>+IF(AVANCE[[#This Row],[OSB CUBIERTA]]=AK$2,100%,AVANCE[[#This Row],[OSB CUBIERTA]])</f>
        <v>1</v>
      </c>
      <c r="BZ130" s="3">
        <f>+IF(AVANCE[[#This Row],[BARANDA BALCON]]=AL$2,100%,AVANCE[[#This Row],[BARANDA BALCON]])</f>
        <v>1</v>
      </c>
      <c r="CA130" s="3">
        <f>+IF(AVANCE[[#This Row],[OSB EXTERIOR]]=AM$2,100%,AVANCE[[#This Row],[OSB EXTERIOR]])</f>
        <v>1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1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1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1</v>
      </c>
      <c r="CL130" s="3">
        <f>+IF(AVANCE[[#This Row],[REVESTIMIENTO INTERIOR ZONAS HUMEDAS]]=AX$2,100%,AVANCE[[#This Row],[REVESTIMIENTO INTERIOR ZONAS HUMEDAS]])</f>
        <v>1</v>
      </c>
      <c r="CM130" s="3">
        <f>+IF(AVANCE[[#This Row],[MEMBRANA CIELO]]=AY$2,100%,AVANCE[[#This Row],[MEMBRANA CIELO]])</f>
        <v>1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1</v>
      </c>
      <c r="CQ130" s="3">
        <f>+IF(AVANCE[[#This Row],[MUEBLE LAVAPLATOS]]=BC$2,100%,AVANCE[[#This Row],[MUEBLE LAVAPLATOS]])</f>
        <v>1</v>
      </c>
      <c r="CR130" s="3">
        <f>+IF(AVANCE[[#This Row],[IMPERMEABILIZACION BANO - COCINA LOGIA]]=BD$2,100%,AVANCE[[#This Row],[IMPERMEABILIZACION BANO - COCINA LOGIA]])</f>
        <v>1</v>
      </c>
      <c r="CS130" s="40">
        <f ca="1">+IF(AVANCE[[#This Row],[ESTADO MODULO]]="PENDIENTE",(TODAY()-AVANCE[[#This Row],[FECHA TERMINO  PLANIFICADO]]),0)</f>
        <v>11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ELÉCTRICO, TERMINACIONES</v>
      </c>
      <c r="CV130" s="44" cm="1">
        <f t="array" ref="CV130">SUMPRODUCT(--(BG130:CR130&lt;1))</f>
        <v>12</v>
      </c>
    </row>
    <row r="131" spans="1:100" hidden="1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0.6</v>
      </c>
      <c r="F131" s="1">
        <v>46197</v>
      </c>
      <c r="G131" s="1">
        <v>46211</v>
      </c>
      <c r="H131" s="1">
        <v>46225</v>
      </c>
      <c r="I131" s="1">
        <v>46229</v>
      </c>
      <c r="J131">
        <v>5</v>
      </c>
      <c r="K131" s="1"/>
      <c r="L131" s="3">
        <v>0.43</v>
      </c>
      <c r="M131" s="3">
        <v>1</v>
      </c>
      <c r="N131" s="3">
        <v>0.27906976744186046</v>
      </c>
      <c r="O131" s="3">
        <v>0.18604651162790697</v>
      </c>
      <c r="P131" s="3">
        <v>0.2558139534883721</v>
      </c>
      <c r="Q131" s="3">
        <v>0.18604651162790697</v>
      </c>
      <c r="R131" s="3">
        <v>9.3023255813953487E-2</v>
      </c>
      <c r="S131" s="3">
        <v>3.9999999999999994E-2</v>
      </c>
      <c r="T131" s="3">
        <v>0.44444444444444442</v>
      </c>
      <c r="U131" s="3">
        <v>0.22222222222222221</v>
      </c>
      <c r="V131" s="3">
        <v>0.22222222222222221</v>
      </c>
      <c r="W131" s="3">
        <v>0</v>
      </c>
      <c r="X131" s="3">
        <v>0</v>
      </c>
      <c r="Y131" s="3">
        <v>0</v>
      </c>
      <c r="Z131" s="3">
        <v>0</v>
      </c>
      <c r="AA131" s="3">
        <v>0.03</v>
      </c>
      <c r="AB131" s="3">
        <v>0.27272727272727271</v>
      </c>
      <c r="AC131" s="3">
        <v>0.27272727272727271</v>
      </c>
      <c r="AD131" s="3">
        <v>0</v>
      </c>
      <c r="AE131" s="3">
        <v>0</v>
      </c>
      <c r="AF131" s="3">
        <v>0</v>
      </c>
      <c r="AG131" s="3">
        <v>0</v>
      </c>
      <c r="AH131" s="3">
        <v>9.9999999999999964E-2</v>
      </c>
      <c r="AI131" s="3">
        <v>0.27027027027027017</v>
      </c>
      <c r="AJ131" s="3">
        <v>0</v>
      </c>
      <c r="AK131" s="3">
        <v>5.4054054054054036E-2</v>
      </c>
      <c r="AL131" s="3">
        <v>0</v>
      </c>
      <c r="AM131" s="3">
        <v>8.1081081081081058E-2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5.4054054054054036E-2</v>
      </c>
      <c r="AY131" s="3">
        <v>2.7027027027027018E-2</v>
      </c>
      <c r="AZ131" s="3">
        <v>0</v>
      </c>
      <c r="BA131" s="3">
        <v>5.4054054054054036E-2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1</v>
      </c>
      <c r="BJ131" s="3">
        <f>+IF(AVANCE[[#This Row],[MUROS]]=P$2,100%,AVANCE[[#This Row],[MUROS]])</f>
        <v>1</v>
      </c>
      <c r="BK131" s="3">
        <f>+IF(AVANCE[[#This Row],[CIELO]]=Q$2,100%,AVANCE[[#This Row],[CIELO]])</f>
        <v>1</v>
      </c>
      <c r="BL131" s="3">
        <f>+IF(AVANCE[[#This Row],[BALCÓN]]=R$2,100%,AVANCE[[#This Row],[BALCÓN]])</f>
        <v>1</v>
      </c>
      <c r="BM131" s="3">
        <f>+IF(AVANCE[[#This Row],[RED ALCANTARILLADO]]=U$2,100%,AVANCE[[#This Row],[RED ALCANTARILLADO]])</f>
        <v>1</v>
      </c>
      <c r="BN131" s="3">
        <f>+IF(AVANCE[[#This Row],[RED DE AGUA]]=V$2,100%,AVANCE[[#This Row],[RED DE AGUA]])</f>
        <v>1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1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1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1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1</v>
      </c>
      <c r="CM131" s="3">
        <f>+IF(AVANCE[[#This Row],[MEMBRANA CIELO]]=AY$2,100%,AVANCE[[#This Row],[MEMBRANA CIELO]])</f>
        <v>1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1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1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SANITARIOS, ELÉCTRICO, TERMINACIONES</v>
      </c>
      <c r="CV131" s="44" cm="1">
        <f t="array" ref="CV131">SUMPRODUCT(--(BG131:CR131&lt;1))</f>
        <v>25</v>
      </c>
    </row>
    <row r="132" spans="1:100" hidden="1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0.61</v>
      </c>
      <c r="F132" s="1">
        <v>46198</v>
      </c>
      <c r="G132" s="1">
        <v>46212</v>
      </c>
      <c r="H132" s="1">
        <v>46223</v>
      </c>
      <c r="I132" s="1">
        <v>46230</v>
      </c>
      <c r="J132">
        <v>7</v>
      </c>
      <c r="K132" s="1"/>
      <c r="L132" s="3">
        <v>0.43</v>
      </c>
      <c r="M132" s="3">
        <v>1</v>
      </c>
      <c r="N132" s="3">
        <v>0.27906976744186046</v>
      </c>
      <c r="O132" s="3">
        <v>0.18604651162790697</v>
      </c>
      <c r="P132" s="3">
        <v>0.2558139534883721</v>
      </c>
      <c r="Q132" s="3">
        <v>0.18604651162790697</v>
      </c>
      <c r="R132" s="3">
        <v>9.3023255813953487E-2</v>
      </c>
      <c r="S132" s="3">
        <v>3.9999999999999994E-2</v>
      </c>
      <c r="T132" s="3">
        <v>0.44444444444444442</v>
      </c>
      <c r="U132" s="3">
        <v>0.22222222222222221</v>
      </c>
      <c r="V132" s="3">
        <v>0.22222222222222221</v>
      </c>
      <c r="W132" s="3">
        <v>0</v>
      </c>
      <c r="X132" s="3">
        <v>0</v>
      </c>
      <c r="Y132" s="3">
        <v>0</v>
      </c>
      <c r="Z132" s="3">
        <v>0</v>
      </c>
      <c r="AA132" s="3">
        <v>0.06</v>
      </c>
      <c r="AB132" s="3">
        <v>0.54545454545454541</v>
      </c>
      <c r="AC132" s="3">
        <v>0.27272727272727271</v>
      </c>
      <c r="AD132" s="3">
        <v>0.27272727272727271</v>
      </c>
      <c r="AE132" s="3">
        <v>0</v>
      </c>
      <c r="AF132" s="3">
        <v>0</v>
      </c>
      <c r="AG132" s="3">
        <v>0</v>
      </c>
      <c r="AH132" s="3">
        <v>7.9999999999999974E-2</v>
      </c>
      <c r="AI132" s="3">
        <v>0.21621621621621614</v>
      </c>
      <c r="AJ132" s="3">
        <v>0</v>
      </c>
      <c r="AK132" s="3">
        <v>5.4054054054054036E-2</v>
      </c>
      <c r="AL132" s="3">
        <v>0</v>
      </c>
      <c r="AM132" s="3">
        <v>8.1081081081081058E-2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2.7027027027027018E-2</v>
      </c>
      <c r="AZ132" s="3">
        <v>0</v>
      </c>
      <c r="BA132" s="3">
        <v>5.4054054054054036E-2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PENDIENTE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1</v>
      </c>
      <c r="BI132" s="3">
        <f>+IF(AVANCE[[#This Row],[TABIQUES]]=O$2,100%,AVANCE[[#This Row],[TABIQUES]])</f>
        <v>1</v>
      </c>
      <c r="BJ132" s="3">
        <f>+IF(AVANCE[[#This Row],[MUROS]]=P$2,100%,AVANCE[[#This Row],[MUROS]])</f>
        <v>1</v>
      </c>
      <c r="BK132" s="3">
        <f>+IF(AVANCE[[#This Row],[CIELO]]=Q$2,100%,AVANCE[[#This Row],[CIELO]])</f>
        <v>1</v>
      </c>
      <c r="BL132" s="3">
        <f>+IF(AVANCE[[#This Row],[BALCÓN]]=R$2,100%,AVANCE[[#This Row],[BALCÓN]])</f>
        <v>1</v>
      </c>
      <c r="BM132" s="3">
        <f>+IF(AVANCE[[#This Row],[RED ALCANTARILLADO]]=U$2,100%,AVANCE[[#This Row],[RED ALCANTARILLADO]])</f>
        <v>1</v>
      </c>
      <c r="BN132" s="3">
        <f>+IF(AVANCE[[#This Row],[RED DE AGUA]]=V$2,100%,AVANCE[[#This Row],[RED DE AGUA]])</f>
        <v>1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1</v>
      </c>
      <c r="BT132" s="3">
        <f>+IF(AVANCE[[#This Row],[CABLEADO]]=AD$2,100%,AVANCE[[#This Row],[CABLEADO]])</f>
        <v>1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1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1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1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1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SANITARIOS, ELÉCTRICO, TERMINACIONES</v>
      </c>
      <c r="CV132" s="44" cm="1">
        <f t="array" ref="CV132">SUMPRODUCT(--(BG132:CR132&lt;1))</f>
        <v>25</v>
      </c>
    </row>
    <row r="133" spans="1:100" hidden="1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0.80499999999999994</v>
      </c>
      <c r="F133" s="1">
        <v>46198</v>
      </c>
      <c r="G133" s="1">
        <v>46216</v>
      </c>
      <c r="H133" s="1">
        <v>46223</v>
      </c>
      <c r="I133" s="1">
        <v>46220</v>
      </c>
      <c r="J133">
        <v>7</v>
      </c>
      <c r="K133" s="1"/>
      <c r="L133" s="3">
        <v>0.43</v>
      </c>
      <c r="M133" s="3">
        <v>1</v>
      </c>
      <c r="N133" s="3">
        <v>0.27906976744186046</v>
      </c>
      <c r="O133" s="3">
        <v>0.18604651162790697</v>
      </c>
      <c r="P133" s="3">
        <v>0.2558139534883721</v>
      </c>
      <c r="Q133" s="3">
        <v>0.18604651162790697</v>
      </c>
      <c r="R133" s="3">
        <v>9.3023255813953487E-2</v>
      </c>
      <c r="S133" s="3">
        <v>0.09</v>
      </c>
      <c r="T133" s="3">
        <v>1</v>
      </c>
      <c r="U133" s="3">
        <v>0.22222222222222221</v>
      </c>
      <c r="V133" s="3">
        <v>0.22222222222222221</v>
      </c>
      <c r="W133" s="3">
        <v>0.1111111111111111</v>
      </c>
      <c r="X133" s="3">
        <v>0.1111111111111111</v>
      </c>
      <c r="Y133" s="3">
        <v>0.1111111111111111</v>
      </c>
      <c r="Z133" s="3">
        <v>0.22222222222222221</v>
      </c>
      <c r="AA133" s="3">
        <v>6.9999999999999993E-2</v>
      </c>
      <c r="AB133" s="3">
        <v>0.63636363636363635</v>
      </c>
      <c r="AC133" s="3">
        <v>0.27272727272727271</v>
      </c>
      <c r="AD133" s="3">
        <v>0</v>
      </c>
      <c r="AE133" s="3">
        <v>0</v>
      </c>
      <c r="AF133" s="3">
        <v>0.18181818181818182</v>
      </c>
      <c r="AG133" s="3">
        <v>0.18181818181818182</v>
      </c>
      <c r="AH133" s="3">
        <v>0.21499999999999994</v>
      </c>
      <c r="AI133" s="3">
        <v>0.58108108108108092</v>
      </c>
      <c r="AJ133" s="3">
        <v>5.4054054054054036E-2</v>
      </c>
      <c r="AK133" s="3">
        <v>5.4054054054054036E-2</v>
      </c>
      <c r="AL133" s="3">
        <v>2.7027027027027018E-2</v>
      </c>
      <c r="AM133" s="3">
        <v>8.1081081081081058E-2</v>
      </c>
      <c r="AN133" s="3">
        <v>0</v>
      </c>
      <c r="AO133" s="3">
        <v>0</v>
      </c>
      <c r="AP133" s="3">
        <v>5.4054054054054036E-2</v>
      </c>
      <c r="AQ133" s="3">
        <v>0</v>
      </c>
      <c r="AR133" s="3">
        <v>0</v>
      </c>
      <c r="AS133" s="3">
        <v>0</v>
      </c>
      <c r="AT133" s="3">
        <v>0</v>
      </c>
      <c r="AU133" s="3">
        <v>5.4054054054054036E-2</v>
      </c>
      <c r="AV133" s="3">
        <v>0</v>
      </c>
      <c r="AW133" s="3">
        <v>5.4054054054054036E-2</v>
      </c>
      <c r="AX133" s="3">
        <v>5.4054054054054036E-2</v>
      </c>
      <c r="AY133" s="3">
        <v>2.7027027027027018E-2</v>
      </c>
      <c r="AZ133" s="3">
        <v>0</v>
      </c>
      <c r="BA133" s="3">
        <v>0</v>
      </c>
      <c r="BB133" s="3">
        <v>8.1081081081081058E-2</v>
      </c>
      <c r="BC133" s="3">
        <v>1.3513513513513509E-2</v>
      </c>
      <c r="BD133" s="3">
        <v>2.7027027027027018E-2</v>
      </c>
      <c r="BE133">
        <v>28.87</v>
      </c>
      <c r="BF133" s="3" t="str">
        <f>+IF(AVANCE[[#This Row],[% AVANCE]]=100%,"MODULO TERMINADO",IF(AVANCE[[#This Row],[FECHA INICIO REAL]]="","MODULO NO INICIADO","PENDIENTE"))</f>
        <v>PENDIENTE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1</v>
      </c>
      <c r="BI133" s="3">
        <f>+IF(AVANCE[[#This Row],[TABIQUES]]=O$2,100%,AVANCE[[#This Row],[TABIQUES]])</f>
        <v>1</v>
      </c>
      <c r="BJ133" s="3">
        <f>+IF(AVANCE[[#This Row],[MUROS]]=P$2,100%,AVANCE[[#This Row],[MUROS]])</f>
        <v>1</v>
      </c>
      <c r="BK133" s="3">
        <f>+IF(AVANCE[[#This Row],[CIELO]]=Q$2,100%,AVANCE[[#This Row],[CIELO]])</f>
        <v>1</v>
      </c>
      <c r="BL133" s="3">
        <f>+IF(AVANCE[[#This Row],[BALCÓN]]=R$2,100%,AVANCE[[#This Row],[BALCÓN]])</f>
        <v>1</v>
      </c>
      <c r="BM133" s="3">
        <f>+IF(AVANCE[[#This Row],[RED ALCANTARILLADO]]=U$2,100%,AVANCE[[#This Row],[RED ALCANTARILLADO]])</f>
        <v>1</v>
      </c>
      <c r="BN133" s="3">
        <f>+IF(AVANCE[[#This Row],[RED DE AGUA]]=V$2,100%,AVANCE[[#This Row],[RED DE AGUA]])</f>
        <v>1</v>
      </c>
      <c r="BO133" s="3">
        <f>+IF(AVANCE[[#This Row],[VENTILACIONES]]=W$2,100%,AVANCE[[#This Row],[VENTILACIONES]])</f>
        <v>1</v>
      </c>
      <c r="BP133" s="3">
        <f>+IF(AVANCE[[#This Row],[TINA]]=X$2,100%,AVANCE[[#This Row],[TINA]])</f>
        <v>1</v>
      </c>
      <c r="BQ133" s="3">
        <f>+IF(AVANCE[[#This Row],[WC]]=Y$2,100%,AVANCE[[#This Row],[WC]])</f>
        <v>1</v>
      </c>
      <c r="BR133" s="3">
        <f>+IF(AVANCE[[#This Row],[LAVAMANOS / LAVAPLATOS / LAVADERO]]=Z$2,100%,AVANCE[[#This Row],[LAVAMANOS / LAVAPLATOS / LAVADERO]])</f>
        <v>1</v>
      </c>
      <c r="BS133" s="3">
        <f>+IF(AVANCE[[#This Row],[CANALIZACIÓN]]=AC$2,100%,AVANCE[[#This Row],[CANALIZACIÓN]])</f>
        <v>1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1</v>
      </c>
      <c r="BW133" s="3">
        <f>+IF(AVANCE[[#This Row],[CAJA PAU]]=AG$2,100%,AVANCE[[#This Row],[CAJA PAU]])</f>
        <v>1</v>
      </c>
      <c r="BX133" s="3">
        <f>+IF(AVANCE[[#This Row],[INSTALACION VINILICO]]=AJ$2,100%,AVANCE[[#This Row],[INSTALACION VINILICO]])</f>
        <v>1</v>
      </c>
      <c r="BY133" s="3">
        <f>+IF(AVANCE[[#This Row],[OSB CUBIERTA]]=AK$2,100%,AVANCE[[#This Row],[OSB CUBIERTA]])</f>
        <v>1</v>
      </c>
      <c r="BZ133" s="3">
        <f>+IF(AVANCE[[#This Row],[BARANDA BALCON]]=AL$2,100%,AVANCE[[#This Row],[BARANDA BALCON]])</f>
        <v>1</v>
      </c>
      <c r="CA133" s="3">
        <f>+IF(AVANCE[[#This Row],[OSB EXTERIOR]]=AM$2,100%,AVANCE[[#This Row],[OSB EXTERIOR]])</f>
        <v>1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1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1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1</v>
      </c>
      <c r="CL133" s="3">
        <f>+IF(AVANCE[[#This Row],[REVESTIMIENTO INTERIOR ZONAS HUMEDAS]]=AX$2,100%,AVANCE[[#This Row],[REVESTIMIENTO INTERIOR ZONAS HUMEDAS]])</f>
        <v>1</v>
      </c>
      <c r="CM133" s="3">
        <f>+IF(AVANCE[[#This Row],[MEMBRANA CIELO]]=AY$2,100%,AVANCE[[#This Row],[MEMBRANA CIELO]])</f>
        <v>1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1</v>
      </c>
      <c r="CQ133" s="3">
        <f>+IF(AVANCE[[#This Row],[MUEBLE LAVAPLATOS]]=BC$2,100%,AVANCE[[#This Row],[MUEBLE LAVAPLATOS]])</f>
        <v>1</v>
      </c>
      <c r="CR133" s="3">
        <f>+IF(AVANCE[[#This Row],[IMPERMEABILIZACION BANO - COCINA LOGIA]]=BD$2,100%,AVANCE[[#This Row],[IMPERMEABILIZACION BANO - COCINA LOGIA]])</f>
        <v>1</v>
      </c>
      <c r="CS133" s="40">
        <f ca="1">+IF(AVANCE[[#This Row],[ESTADO MODULO]]="PENDIENTE",(TODAY()-AVANCE[[#This Row],[FECHA TERMINO  PLANIFICADO]]),0)</f>
        <v>10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ELÉCTRICO, TERMINACIONES</v>
      </c>
      <c r="CV133" s="44" cm="1">
        <f t="array" ref="CV133">SUMPRODUCT(--(BG133:CR133&lt;1))</f>
        <v>12</v>
      </c>
    </row>
    <row r="134" spans="1:100" hidden="1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0.59</v>
      </c>
      <c r="F134" s="1">
        <v>46198</v>
      </c>
      <c r="G134" s="1">
        <v>46216</v>
      </c>
      <c r="H134" s="1">
        <v>46223</v>
      </c>
      <c r="I134" s="1">
        <v>46220</v>
      </c>
      <c r="J134">
        <v>7</v>
      </c>
      <c r="K134" s="1"/>
      <c r="L134" s="3">
        <v>0.43</v>
      </c>
      <c r="M134" s="3">
        <v>1</v>
      </c>
      <c r="N134" s="3">
        <v>0.27906976744186046</v>
      </c>
      <c r="O134" s="3">
        <v>0.18604651162790697</v>
      </c>
      <c r="P134" s="3">
        <v>0.2558139534883721</v>
      </c>
      <c r="Q134" s="3">
        <v>0.18604651162790697</v>
      </c>
      <c r="R134" s="3">
        <v>9.3023255813953487E-2</v>
      </c>
      <c r="S134" s="3">
        <v>0.09</v>
      </c>
      <c r="T134" s="3">
        <v>1</v>
      </c>
      <c r="U134" s="3">
        <v>0.22222222222222221</v>
      </c>
      <c r="V134" s="3">
        <v>0.22222222222222221</v>
      </c>
      <c r="W134" s="3">
        <v>0.1111111111111111</v>
      </c>
      <c r="X134" s="3">
        <v>0.1111111111111111</v>
      </c>
      <c r="Y134" s="3">
        <v>0.1111111111111111</v>
      </c>
      <c r="Z134" s="3">
        <v>0.22222222222222221</v>
      </c>
      <c r="AA134" s="3">
        <v>6.9999999999999993E-2</v>
      </c>
      <c r="AB134" s="3">
        <v>0.63636363636363635</v>
      </c>
      <c r="AC134" s="3">
        <v>0.27272727272727271</v>
      </c>
      <c r="AD134" s="3">
        <v>0</v>
      </c>
      <c r="AE134" s="3">
        <v>0</v>
      </c>
      <c r="AF134" s="3">
        <v>0.18181818181818182</v>
      </c>
      <c r="AG134" s="3">
        <v>0.18181818181818182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PENDIENTE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1</v>
      </c>
      <c r="BI134" s="3">
        <f>+IF(AVANCE[[#This Row],[TABIQUES]]=O$2,100%,AVANCE[[#This Row],[TABIQUES]])</f>
        <v>1</v>
      </c>
      <c r="BJ134" s="3">
        <f>+IF(AVANCE[[#This Row],[MUROS]]=P$2,100%,AVANCE[[#This Row],[MUROS]])</f>
        <v>1</v>
      </c>
      <c r="BK134" s="3">
        <f>+IF(AVANCE[[#This Row],[CIELO]]=Q$2,100%,AVANCE[[#This Row],[CIELO]])</f>
        <v>1</v>
      </c>
      <c r="BL134" s="3">
        <f>+IF(AVANCE[[#This Row],[BALCÓN]]=R$2,100%,AVANCE[[#This Row],[BALCÓN]])</f>
        <v>1</v>
      </c>
      <c r="BM134" s="3">
        <f>+IF(AVANCE[[#This Row],[RED ALCANTARILLADO]]=U$2,100%,AVANCE[[#This Row],[RED ALCANTARILLADO]])</f>
        <v>1</v>
      </c>
      <c r="BN134" s="3">
        <f>+IF(AVANCE[[#This Row],[RED DE AGUA]]=V$2,100%,AVANCE[[#This Row],[RED DE AGUA]])</f>
        <v>1</v>
      </c>
      <c r="BO134" s="3">
        <f>+IF(AVANCE[[#This Row],[VENTILACIONES]]=W$2,100%,AVANCE[[#This Row],[VENTILACIONES]])</f>
        <v>1</v>
      </c>
      <c r="BP134" s="3">
        <f>+IF(AVANCE[[#This Row],[TINA]]=X$2,100%,AVANCE[[#This Row],[TINA]])</f>
        <v>1</v>
      </c>
      <c r="BQ134" s="3">
        <f>+IF(AVANCE[[#This Row],[WC]]=Y$2,100%,AVANCE[[#This Row],[WC]])</f>
        <v>1</v>
      </c>
      <c r="BR134" s="3">
        <f>+IF(AVANCE[[#This Row],[LAVAMANOS / LAVAPLATOS / LAVADERO]]=Z$2,100%,AVANCE[[#This Row],[LAVAMANOS / LAVAPLATOS / LAVADERO]])</f>
        <v>1</v>
      </c>
      <c r="BS134" s="3">
        <f>+IF(AVANCE[[#This Row],[CANALIZACIÓN]]=AC$2,100%,AVANCE[[#This Row],[CANALIZACIÓN]])</f>
        <v>1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1</v>
      </c>
      <c r="BW134" s="3">
        <f>+IF(AVANCE[[#This Row],[CAJA PAU]]=AG$2,100%,AVANCE[[#This Row],[CAJA PAU]])</f>
        <v>1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10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ELÉCTRICO: CABLEADO, ARTEFACTOS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ELÉCTRICO, TERMINACIONES</v>
      </c>
      <c r="CV134" s="44" cm="1">
        <f t="array" ref="CV134">SUMPRODUCT(--(BG134:CR134&lt;1))</f>
        <v>24</v>
      </c>
    </row>
    <row r="135" spans="1:100" hidden="1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0.53999999999999992</v>
      </c>
      <c r="F135" s="1">
        <v>46199</v>
      </c>
      <c r="G135" s="1">
        <v>46216</v>
      </c>
      <c r="H135" s="1">
        <v>46224</v>
      </c>
      <c r="I135" s="1">
        <v>46231</v>
      </c>
      <c r="J135">
        <v>6</v>
      </c>
      <c r="K135" s="1"/>
      <c r="L135" s="3">
        <v>0.38999999999999996</v>
      </c>
      <c r="M135" s="3">
        <v>0.90697674418604646</v>
      </c>
      <c r="N135" s="3">
        <v>0.27906976744186046</v>
      </c>
      <c r="O135" s="3">
        <v>0.18604651162790697</v>
      </c>
      <c r="P135" s="3">
        <v>0.2558139534883721</v>
      </c>
      <c r="Q135" s="3">
        <v>0.18604651162790697</v>
      </c>
      <c r="R135" s="3">
        <v>0</v>
      </c>
      <c r="S135" s="3">
        <v>3.9999999999999994E-2</v>
      </c>
      <c r="T135" s="3">
        <v>0.44444444444444442</v>
      </c>
      <c r="U135" s="3">
        <v>0.22222222222222221</v>
      </c>
      <c r="V135" s="3">
        <v>0.22222222222222221</v>
      </c>
      <c r="W135" s="3">
        <v>0</v>
      </c>
      <c r="X135" s="3">
        <v>0</v>
      </c>
      <c r="Y135" s="3">
        <v>0</v>
      </c>
      <c r="Z135" s="3">
        <v>0</v>
      </c>
      <c r="AA135" s="3">
        <v>0.03</v>
      </c>
      <c r="AB135" s="3">
        <v>0.27272727272727271</v>
      </c>
      <c r="AC135" s="3">
        <v>0.27272727272727271</v>
      </c>
      <c r="AD135" s="3">
        <v>0</v>
      </c>
      <c r="AE135" s="3">
        <v>0</v>
      </c>
      <c r="AF135" s="3">
        <v>0</v>
      </c>
      <c r="AG135" s="3">
        <v>0</v>
      </c>
      <c r="AH135" s="3">
        <v>7.9999999999999974E-2</v>
      </c>
      <c r="AI135" s="3">
        <v>0.21621621621621614</v>
      </c>
      <c r="AJ135" s="3">
        <v>0</v>
      </c>
      <c r="AK135" s="3">
        <v>5.4054054054054036E-2</v>
      </c>
      <c r="AL135" s="3">
        <v>0</v>
      </c>
      <c r="AM135" s="3">
        <v>8.1081081081081058E-2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2.7027027027027018E-2</v>
      </c>
      <c r="AZ135" s="3">
        <v>0</v>
      </c>
      <c r="BA135" s="3">
        <v>5.4054054054054036E-2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PENDIENTE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1</v>
      </c>
      <c r="BI135" s="3">
        <f>+IF(AVANCE[[#This Row],[TABIQUES]]=O$2,100%,AVANCE[[#This Row],[TABIQUES]])</f>
        <v>1</v>
      </c>
      <c r="BJ135" s="3">
        <f>+IF(AVANCE[[#This Row],[MUROS]]=P$2,100%,AVANCE[[#This Row],[MUROS]])</f>
        <v>1</v>
      </c>
      <c r="BK135" s="3">
        <f>+IF(AVANCE[[#This Row],[CIELO]]=Q$2,100%,AVANCE[[#This Row],[CIELO]])</f>
        <v>1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1</v>
      </c>
      <c r="BN135" s="3">
        <f>+IF(AVANCE[[#This Row],[RED DE AGUA]]=V$2,100%,AVANCE[[#This Row],[RED DE AGUA]])</f>
        <v>1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1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1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1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1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1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-1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27</v>
      </c>
    </row>
    <row r="136" spans="1:100" hidden="1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0.6399999999999999</v>
      </c>
      <c r="F136" s="1">
        <v>46199</v>
      </c>
      <c r="G136" s="1">
        <v>46212</v>
      </c>
      <c r="H136" s="1">
        <v>46227</v>
      </c>
      <c r="I136" s="1">
        <v>46231</v>
      </c>
      <c r="J136">
        <v>3</v>
      </c>
      <c r="K136" s="1"/>
      <c r="L136" s="3">
        <v>0.43</v>
      </c>
      <c r="M136" s="3">
        <v>1</v>
      </c>
      <c r="N136" s="3">
        <v>0.27906976744186046</v>
      </c>
      <c r="O136" s="3">
        <v>0.18604651162790697</v>
      </c>
      <c r="P136" s="3">
        <v>0.2558139534883721</v>
      </c>
      <c r="Q136" s="3">
        <v>0.18604651162790697</v>
      </c>
      <c r="R136" s="3">
        <v>9.3023255813953487E-2</v>
      </c>
      <c r="S136" s="3">
        <v>3.9999999999999994E-2</v>
      </c>
      <c r="T136" s="3">
        <v>0.44444444444444442</v>
      </c>
      <c r="U136" s="3">
        <v>0.22222222222222221</v>
      </c>
      <c r="V136" s="3">
        <v>0.22222222222222221</v>
      </c>
      <c r="W136" s="3">
        <v>0</v>
      </c>
      <c r="X136" s="3">
        <v>0</v>
      </c>
      <c r="Y136" s="3">
        <v>0</v>
      </c>
      <c r="Z136" s="3">
        <v>0</v>
      </c>
      <c r="AA136" s="3">
        <v>0.03</v>
      </c>
      <c r="AB136" s="3">
        <v>0.27272727272727271</v>
      </c>
      <c r="AC136" s="3">
        <v>0.27272727272727271</v>
      </c>
      <c r="AD136" s="3">
        <v>0</v>
      </c>
      <c r="AE136" s="3">
        <v>0</v>
      </c>
      <c r="AF136" s="3">
        <v>0</v>
      </c>
      <c r="AG136" s="3">
        <v>0</v>
      </c>
      <c r="AH136" s="3">
        <v>0.13999999999999996</v>
      </c>
      <c r="AI136" s="3">
        <v>0.37837837837837829</v>
      </c>
      <c r="AJ136" s="3">
        <v>0</v>
      </c>
      <c r="AK136" s="3">
        <v>5.4054054054054036E-2</v>
      </c>
      <c r="AL136" s="3">
        <v>0</v>
      </c>
      <c r="AM136" s="3">
        <v>8.1081081081081058E-2</v>
      </c>
      <c r="AN136" s="3">
        <v>8.1081081081081058E-2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5.4054054054054036E-2</v>
      </c>
      <c r="AY136" s="3">
        <v>2.7027027027027018E-2</v>
      </c>
      <c r="AZ136" s="3">
        <v>0</v>
      </c>
      <c r="BA136" s="3">
        <v>5.4054054054054036E-2</v>
      </c>
      <c r="BB136" s="3">
        <v>0</v>
      </c>
      <c r="BC136" s="3">
        <v>0</v>
      </c>
      <c r="BD136" s="3">
        <v>2.7027027027027018E-2</v>
      </c>
      <c r="BE136">
        <v>31.32</v>
      </c>
      <c r="BF136" s="3" t="str">
        <f>+IF(AVANCE[[#This Row],[% AVANCE]]=100%,"MODULO TERMINADO",IF(AVANCE[[#This Row],[FECHA INICIO REAL]]="","MODULO NO INICIADO","PENDIENTE"))</f>
        <v>PENDIENTE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1</v>
      </c>
      <c r="BI136" s="3">
        <f>+IF(AVANCE[[#This Row],[TABIQUES]]=O$2,100%,AVANCE[[#This Row],[TABIQUES]])</f>
        <v>1</v>
      </c>
      <c r="BJ136" s="3">
        <f>+IF(AVANCE[[#This Row],[MUROS]]=P$2,100%,AVANCE[[#This Row],[MUROS]])</f>
        <v>1</v>
      </c>
      <c r="BK136" s="3">
        <f>+IF(AVANCE[[#This Row],[CIELO]]=Q$2,100%,AVANCE[[#This Row],[CIELO]])</f>
        <v>1</v>
      </c>
      <c r="BL136" s="3">
        <f>+IF(AVANCE[[#This Row],[BALCÓN]]=R$2,100%,AVANCE[[#This Row],[BALCÓN]])</f>
        <v>1</v>
      </c>
      <c r="BM136" s="3">
        <f>+IF(AVANCE[[#This Row],[RED ALCANTARILLADO]]=U$2,100%,AVANCE[[#This Row],[RED ALCANTARILLADO]])</f>
        <v>1</v>
      </c>
      <c r="BN136" s="3">
        <f>+IF(AVANCE[[#This Row],[RED DE AGUA]]=V$2,100%,AVANCE[[#This Row],[RED DE AGUA]])</f>
        <v>1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1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1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1</v>
      </c>
      <c r="CB136" s="3">
        <f>+IF(AVANCE[[#This Row],[SMART PANEL]]=AN$2,100%,AVANCE[[#This Row],[SMART PANEL]])</f>
        <v>1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1</v>
      </c>
      <c r="CM136" s="3">
        <f>+IF(AVANCE[[#This Row],[MEMBRANA CIELO]]=AY$2,100%,AVANCE[[#This Row],[MEMBRANA CIELO]])</f>
        <v>1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1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1</v>
      </c>
      <c r="CS136" s="40">
        <f ca="1">+IF(AVANCE[[#This Row],[ESTADO MODULO]]="PENDIENTE",(TODAY()-AVANCE[[#This Row],[FECHA TERMINO  PLANIFICADO]]),0)</f>
        <v>-1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SANITARIOS, ELÉCTRICO, TERMINACIONES</v>
      </c>
      <c r="CV136" s="44" cm="1">
        <f t="array" ref="CV136">SUMPRODUCT(--(BG136:CR136&lt;1))</f>
        <v>23</v>
      </c>
    </row>
    <row r="137" spans="1:100" hidden="1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0.82499999999999984</v>
      </c>
      <c r="F137" s="1">
        <v>46202</v>
      </c>
      <c r="G137" s="1">
        <v>46212</v>
      </c>
      <c r="H137" s="1">
        <v>46227</v>
      </c>
      <c r="I137" s="1">
        <v>46224</v>
      </c>
      <c r="J137">
        <v>3</v>
      </c>
      <c r="K137" s="1"/>
      <c r="L137" s="3">
        <v>0.43</v>
      </c>
      <c r="M137" s="3">
        <v>1</v>
      </c>
      <c r="N137" s="3">
        <v>0.27906976744186046</v>
      </c>
      <c r="O137" s="3">
        <v>0.18604651162790697</v>
      </c>
      <c r="P137" s="3">
        <v>0.2558139534883721</v>
      </c>
      <c r="Q137" s="3">
        <v>0.18604651162790697</v>
      </c>
      <c r="R137" s="3">
        <v>9.3023255813953487E-2</v>
      </c>
      <c r="S137" s="3">
        <v>0.09</v>
      </c>
      <c r="T137" s="3">
        <v>1</v>
      </c>
      <c r="U137" s="3">
        <v>0.22222222222222221</v>
      </c>
      <c r="V137" s="3">
        <v>0.22222222222222221</v>
      </c>
      <c r="W137" s="3">
        <v>0.1111111111111111</v>
      </c>
      <c r="X137" s="3">
        <v>0.1111111111111111</v>
      </c>
      <c r="Y137" s="3">
        <v>0.1111111111111111</v>
      </c>
      <c r="Z137" s="3">
        <v>0.22222222222222221</v>
      </c>
      <c r="AA137" s="3">
        <v>6.9999999999999993E-2</v>
      </c>
      <c r="AB137" s="3">
        <v>0.63636363636363635</v>
      </c>
      <c r="AC137" s="3">
        <v>0.27272727272727271</v>
      </c>
      <c r="AD137" s="3">
        <v>0</v>
      </c>
      <c r="AE137" s="3">
        <v>0</v>
      </c>
      <c r="AF137" s="3">
        <v>0.18181818181818182</v>
      </c>
      <c r="AG137" s="3">
        <v>0.18181818181818182</v>
      </c>
      <c r="AH137" s="3">
        <v>0.2349999999999999</v>
      </c>
      <c r="AI137" s="3">
        <v>0.63513513513513487</v>
      </c>
      <c r="AJ137" s="3">
        <v>5.4054054054054036E-2</v>
      </c>
      <c r="AK137" s="3">
        <v>5.4054054054054036E-2</v>
      </c>
      <c r="AL137" s="3">
        <v>2.7027027027027018E-2</v>
      </c>
      <c r="AM137" s="3">
        <v>8.1081081081081058E-2</v>
      </c>
      <c r="AN137" s="3">
        <v>0</v>
      </c>
      <c r="AO137" s="3">
        <v>0</v>
      </c>
      <c r="AP137" s="3">
        <v>5.4054054054054036E-2</v>
      </c>
      <c r="AQ137" s="3">
        <v>0</v>
      </c>
      <c r="AR137" s="3">
        <v>0</v>
      </c>
      <c r="AS137" s="3">
        <v>0</v>
      </c>
      <c r="AT137" s="3">
        <v>0</v>
      </c>
      <c r="AU137" s="3">
        <v>5.4054054054054036E-2</v>
      </c>
      <c r="AV137" s="3">
        <v>0</v>
      </c>
      <c r="AW137" s="3">
        <v>5.4054054054054036E-2</v>
      </c>
      <c r="AX137" s="3">
        <v>5.4054054054054036E-2</v>
      </c>
      <c r="AY137" s="3">
        <v>2.7027027027027018E-2</v>
      </c>
      <c r="AZ137" s="3">
        <v>0</v>
      </c>
      <c r="BA137" s="3">
        <v>5.4054054054054036E-2</v>
      </c>
      <c r="BB137" s="3">
        <v>8.1081081081081058E-2</v>
      </c>
      <c r="BC137" s="3">
        <v>1.3513513513513509E-2</v>
      </c>
      <c r="BD137" s="3">
        <v>2.7027027027027018E-2</v>
      </c>
      <c r="BE137">
        <v>28.87</v>
      </c>
      <c r="BF137" s="3" t="str">
        <f>+IF(AVANCE[[#This Row],[% AVANCE]]=100%,"MODULO TERMINADO",IF(AVANCE[[#This Row],[FECHA INICIO REAL]]="","MODULO NO INICIADO","PENDIENTE"))</f>
        <v>PENDIENTE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1</v>
      </c>
      <c r="BI137" s="3">
        <f>+IF(AVANCE[[#This Row],[TABIQUES]]=O$2,100%,AVANCE[[#This Row],[TABIQUES]])</f>
        <v>1</v>
      </c>
      <c r="BJ137" s="3">
        <f>+IF(AVANCE[[#This Row],[MUROS]]=P$2,100%,AVANCE[[#This Row],[MUROS]])</f>
        <v>1</v>
      </c>
      <c r="BK137" s="3">
        <f>+IF(AVANCE[[#This Row],[CIELO]]=Q$2,100%,AVANCE[[#This Row],[CIELO]])</f>
        <v>1</v>
      </c>
      <c r="BL137" s="3">
        <f>+IF(AVANCE[[#This Row],[BALCÓN]]=R$2,100%,AVANCE[[#This Row],[BALCÓN]])</f>
        <v>1</v>
      </c>
      <c r="BM137" s="3">
        <f>+IF(AVANCE[[#This Row],[RED ALCANTARILLADO]]=U$2,100%,AVANCE[[#This Row],[RED ALCANTARILLADO]])</f>
        <v>1</v>
      </c>
      <c r="BN137" s="3">
        <f>+IF(AVANCE[[#This Row],[RED DE AGUA]]=V$2,100%,AVANCE[[#This Row],[RED DE AGUA]])</f>
        <v>1</v>
      </c>
      <c r="BO137" s="3">
        <f>+IF(AVANCE[[#This Row],[VENTILACIONES]]=W$2,100%,AVANCE[[#This Row],[VENTILACIONES]])</f>
        <v>1</v>
      </c>
      <c r="BP137" s="3">
        <f>+IF(AVANCE[[#This Row],[TINA]]=X$2,100%,AVANCE[[#This Row],[TINA]])</f>
        <v>1</v>
      </c>
      <c r="BQ137" s="3">
        <f>+IF(AVANCE[[#This Row],[WC]]=Y$2,100%,AVANCE[[#This Row],[WC]])</f>
        <v>1</v>
      </c>
      <c r="BR137" s="3">
        <f>+IF(AVANCE[[#This Row],[LAVAMANOS / LAVAPLATOS / LAVADERO]]=Z$2,100%,AVANCE[[#This Row],[LAVAMANOS / LAVAPLATOS / LAVADERO]])</f>
        <v>1</v>
      </c>
      <c r="BS137" s="3">
        <f>+IF(AVANCE[[#This Row],[CANALIZACIÓN]]=AC$2,100%,AVANCE[[#This Row],[CANALIZACIÓN]])</f>
        <v>1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1</v>
      </c>
      <c r="BW137" s="3">
        <f>+IF(AVANCE[[#This Row],[CAJA PAU]]=AG$2,100%,AVANCE[[#This Row],[CAJA PAU]])</f>
        <v>1</v>
      </c>
      <c r="BX137" s="3">
        <f>+IF(AVANCE[[#This Row],[INSTALACION VINILICO]]=AJ$2,100%,AVANCE[[#This Row],[INSTALACION VINILICO]])</f>
        <v>1</v>
      </c>
      <c r="BY137" s="3">
        <f>+IF(AVANCE[[#This Row],[OSB CUBIERTA]]=AK$2,100%,AVANCE[[#This Row],[OSB CUBIERTA]])</f>
        <v>1</v>
      </c>
      <c r="BZ137" s="3">
        <f>+IF(AVANCE[[#This Row],[BARANDA BALCON]]=AL$2,100%,AVANCE[[#This Row],[BARANDA BALCON]])</f>
        <v>1</v>
      </c>
      <c r="CA137" s="3">
        <f>+IF(AVANCE[[#This Row],[OSB EXTERIOR]]=AM$2,100%,AVANCE[[#This Row],[OSB EXTERIOR]])</f>
        <v>1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1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1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1</v>
      </c>
      <c r="CL137" s="3">
        <f>+IF(AVANCE[[#This Row],[REVESTIMIENTO INTERIOR ZONAS HUMEDAS]]=AX$2,100%,AVANCE[[#This Row],[REVESTIMIENTO INTERIOR ZONAS HUMEDAS]])</f>
        <v>1</v>
      </c>
      <c r="CM137" s="3">
        <f>+IF(AVANCE[[#This Row],[MEMBRANA CIELO]]=AY$2,100%,AVANCE[[#This Row],[MEMBRANA CIELO]])</f>
        <v>1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1</v>
      </c>
      <c r="CP137" s="3">
        <f>+IF(AVANCE[[#This Row],[REVESTIMIENTO INTERIOR BANO]]=BB$2,100%,AVANCE[[#This Row],[REVESTIMIENTO INTERIOR BANO]])</f>
        <v>1</v>
      </c>
      <c r="CQ137" s="3">
        <f>+IF(AVANCE[[#This Row],[MUEBLE LAVAPLATOS]]=BC$2,100%,AVANCE[[#This Row],[MUEBLE LAVAPLATOS]])</f>
        <v>1</v>
      </c>
      <c r="CR137" s="3">
        <f>+IF(AVANCE[[#This Row],[IMPERMEABILIZACION BANO - COCINA LOGIA]]=BD$2,100%,AVANCE[[#This Row],[IMPERMEABILIZACION BANO - COCINA LOGIA]])</f>
        <v>1</v>
      </c>
      <c r="CS137" s="40">
        <f ca="1">+IF(AVANCE[[#This Row],[ESTADO MODULO]]="PENDIENTE",(TODAY()-AVANCE[[#This Row],[FECHA TERMINO  PLANIFICADO]]),0)</f>
        <v>6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ELÉCTRICO: CABLEADO, ARTEFACTOS | TERMINACIONES: VENTANAS, SMART PANEL, PINTURA EXTERIOR, MOLDURAS, PILASTREO, CELOSIAS, VENTANAS (TERM), CERRADURAS, LIMPIEZA FINAL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ELÉCTRICO, TERMINACIONES</v>
      </c>
      <c r="CV137" s="44" cm="1">
        <f t="array" ref="CV137">SUMPRODUCT(--(BG137:CR137&lt;1))</f>
        <v>11</v>
      </c>
    </row>
    <row r="138" spans="1:100" hidden="1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0.38999999999999996</v>
      </c>
      <c r="F138" s="1">
        <v>46202</v>
      </c>
      <c r="G138" s="1">
        <v>46218</v>
      </c>
      <c r="H138" s="1">
        <v>46223</v>
      </c>
      <c r="I138" s="1">
        <v>46224</v>
      </c>
      <c r="J138">
        <v>7</v>
      </c>
      <c r="K138" s="1"/>
      <c r="L138" s="3">
        <v>0.38999999999999996</v>
      </c>
      <c r="M138" s="3">
        <v>0.90697674418604646</v>
      </c>
      <c r="N138" s="3">
        <v>0.27906976744186046</v>
      </c>
      <c r="O138" s="3">
        <v>0.18604651162790697</v>
      </c>
      <c r="P138" s="3">
        <v>0.2558139534883721</v>
      </c>
      <c r="Q138" s="3">
        <v>0.18604651162790697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PENDIENTE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1</v>
      </c>
      <c r="BI138" s="3">
        <f>+IF(AVANCE[[#This Row],[TABIQUES]]=O$2,100%,AVANCE[[#This Row],[TABIQUES]])</f>
        <v>1</v>
      </c>
      <c r="BJ138" s="3">
        <f>+IF(AVANCE[[#This Row],[MUROS]]=P$2,100%,AVANCE[[#This Row],[MUROS]])</f>
        <v>1</v>
      </c>
      <c r="BK138" s="3">
        <f>+IF(AVANCE[[#This Row],[CIELO]]=Q$2,100%,AVANCE[[#This Row],[CIELO]])</f>
        <v>1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6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34</v>
      </c>
    </row>
    <row r="139" spans="1:100" hidden="1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0.53</v>
      </c>
      <c r="F139" s="1">
        <v>46202</v>
      </c>
      <c r="G139" s="1">
        <v>46217</v>
      </c>
      <c r="H139" s="1">
        <v>46225</v>
      </c>
      <c r="I139" s="1">
        <v>46234</v>
      </c>
      <c r="J139">
        <v>5</v>
      </c>
      <c r="K139" s="1"/>
      <c r="L139" s="3">
        <v>0.43</v>
      </c>
      <c r="M139" s="3">
        <v>1</v>
      </c>
      <c r="N139" s="3">
        <v>0.27906976744186046</v>
      </c>
      <c r="O139" s="3">
        <v>0.18604651162790697</v>
      </c>
      <c r="P139" s="3">
        <v>0.2558139534883721</v>
      </c>
      <c r="Q139" s="3">
        <v>0.18604651162790697</v>
      </c>
      <c r="R139" s="3">
        <v>9.3023255813953487E-2</v>
      </c>
      <c r="S139" s="3">
        <v>3.9999999999999994E-2</v>
      </c>
      <c r="T139" s="3">
        <v>0.44444444444444442</v>
      </c>
      <c r="U139" s="3">
        <v>0.22222222222222221</v>
      </c>
      <c r="V139" s="3">
        <v>0.22222222222222221</v>
      </c>
      <c r="W139" s="3">
        <v>0</v>
      </c>
      <c r="X139" s="3">
        <v>0</v>
      </c>
      <c r="Y139" s="3">
        <v>0</v>
      </c>
      <c r="Z139" s="3">
        <v>0</v>
      </c>
      <c r="AA139" s="3">
        <v>0.03</v>
      </c>
      <c r="AB139" s="3">
        <v>0.27272727272727271</v>
      </c>
      <c r="AC139" s="3">
        <v>0.27272727272727271</v>
      </c>
      <c r="AD139" s="3">
        <v>0</v>
      </c>
      <c r="AE139" s="3">
        <v>0</v>
      </c>
      <c r="AF139" s="3">
        <v>0</v>
      </c>
      <c r="AG139" s="3">
        <v>0</v>
      </c>
      <c r="AH139" s="3">
        <v>2.9999999999999992E-2</v>
      </c>
      <c r="AI139" s="3">
        <v>8.1081081081081058E-2</v>
      </c>
      <c r="AJ139" s="3">
        <v>0</v>
      </c>
      <c r="AK139" s="3">
        <v>0</v>
      </c>
      <c r="AL139" s="3">
        <v>0</v>
      </c>
      <c r="AM139" s="3">
        <v>8.1081081081081058E-2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PENDIENTE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1</v>
      </c>
      <c r="BI139" s="3">
        <f>+IF(AVANCE[[#This Row],[TABIQUES]]=O$2,100%,AVANCE[[#This Row],[TABIQUES]])</f>
        <v>1</v>
      </c>
      <c r="BJ139" s="3">
        <f>+IF(AVANCE[[#This Row],[MUROS]]=P$2,100%,AVANCE[[#This Row],[MUROS]])</f>
        <v>1</v>
      </c>
      <c r="BK139" s="3">
        <f>+IF(AVANCE[[#This Row],[CIELO]]=Q$2,100%,AVANCE[[#This Row],[CIELO]])</f>
        <v>1</v>
      </c>
      <c r="BL139" s="3">
        <f>+IF(AVANCE[[#This Row],[BALCÓN]]=R$2,100%,AVANCE[[#This Row],[BALCÓN]])</f>
        <v>1</v>
      </c>
      <c r="BM139" s="3">
        <f>+IF(AVANCE[[#This Row],[RED ALCANTARILLADO]]=U$2,100%,AVANCE[[#This Row],[RED ALCANTARILLADO]])</f>
        <v>1</v>
      </c>
      <c r="BN139" s="3">
        <f>+IF(AVANCE[[#This Row],[RED DE AGUA]]=V$2,100%,AVANCE[[#This Row],[RED DE AGUA]])</f>
        <v>1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1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1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-4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SANITARIOS, ELÉCTRICO, TERMINACIONES</v>
      </c>
      <c r="CV139" s="44" cm="1">
        <f t="array" ref="CV139">SUMPRODUCT(--(BG139:CR139&lt;1))</f>
        <v>29</v>
      </c>
    </row>
    <row r="140" spans="1:100" hidden="1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0.57999999999999996</v>
      </c>
      <c r="F140" s="1">
        <v>46203</v>
      </c>
      <c r="G140" s="1">
        <v>46218</v>
      </c>
      <c r="H140" s="1">
        <v>46227</v>
      </c>
      <c r="I140" s="1">
        <v>46235</v>
      </c>
      <c r="J140">
        <v>3</v>
      </c>
      <c r="K140" s="1"/>
      <c r="L140" s="3">
        <v>0.43</v>
      </c>
      <c r="M140" s="3">
        <v>1</v>
      </c>
      <c r="N140" s="3">
        <v>0.27906976744186046</v>
      </c>
      <c r="O140" s="3">
        <v>0.18604651162790697</v>
      </c>
      <c r="P140" s="3">
        <v>0.2558139534883721</v>
      </c>
      <c r="Q140" s="3">
        <v>0.18604651162790697</v>
      </c>
      <c r="R140" s="3">
        <v>9.3023255813953487E-2</v>
      </c>
      <c r="S140" s="3">
        <v>3.9999999999999994E-2</v>
      </c>
      <c r="T140" s="3">
        <v>0.44444444444444442</v>
      </c>
      <c r="U140" s="3">
        <v>0.22222222222222221</v>
      </c>
      <c r="V140" s="3">
        <v>0.22222222222222221</v>
      </c>
      <c r="W140" s="3">
        <v>0</v>
      </c>
      <c r="X140" s="3">
        <v>0</v>
      </c>
      <c r="Y140" s="3">
        <v>0</v>
      </c>
      <c r="Z140" s="3">
        <v>0</v>
      </c>
      <c r="AA140" s="3">
        <v>0.03</v>
      </c>
      <c r="AB140" s="3">
        <v>0.27272727272727271</v>
      </c>
      <c r="AC140" s="3">
        <v>0.27272727272727271</v>
      </c>
      <c r="AD140" s="3">
        <v>0</v>
      </c>
      <c r="AE140" s="3">
        <v>0</v>
      </c>
      <c r="AF140" s="3">
        <v>0</v>
      </c>
      <c r="AG140" s="3">
        <v>0</v>
      </c>
      <c r="AH140" s="3">
        <v>7.9999999999999974E-2</v>
      </c>
      <c r="AI140" s="3">
        <v>0.21621621621621614</v>
      </c>
      <c r="AJ140" s="3">
        <v>0</v>
      </c>
      <c r="AK140" s="3">
        <v>5.4054054054054036E-2</v>
      </c>
      <c r="AL140" s="3">
        <v>0</v>
      </c>
      <c r="AM140" s="3">
        <v>8.1081081081081058E-2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2.7027027027027018E-2</v>
      </c>
      <c r="AZ140" s="3">
        <v>0</v>
      </c>
      <c r="BA140" s="3">
        <v>5.4054054054054036E-2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PENDIENTE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1</v>
      </c>
      <c r="BI140" s="3">
        <f>+IF(AVANCE[[#This Row],[TABIQUES]]=O$2,100%,AVANCE[[#This Row],[TABIQUES]])</f>
        <v>1</v>
      </c>
      <c r="BJ140" s="3">
        <f>+IF(AVANCE[[#This Row],[MUROS]]=P$2,100%,AVANCE[[#This Row],[MUROS]])</f>
        <v>1</v>
      </c>
      <c r="BK140" s="3">
        <f>+IF(AVANCE[[#This Row],[CIELO]]=Q$2,100%,AVANCE[[#This Row],[CIELO]])</f>
        <v>1</v>
      </c>
      <c r="BL140" s="3">
        <f>+IF(AVANCE[[#This Row],[BALCÓN]]=R$2,100%,AVANCE[[#This Row],[BALCÓN]])</f>
        <v>1</v>
      </c>
      <c r="BM140" s="3">
        <f>+IF(AVANCE[[#This Row],[RED ALCANTARILLADO]]=U$2,100%,AVANCE[[#This Row],[RED ALCANTARILLADO]])</f>
        <v>1</v>
      </c>
      <c r="BN140" s="3">
        <f>+IF(AVANCE[[#This Row],[RED DE AGUA]]=V$2,100%,AVANCE[[#This Row],[RED DE AGUA]])</f>
        <v>1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1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1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1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1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1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-5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SANITARIOS, ELÉCTRICO, TERMINACIONES</v>
      </c>
      <c r="CV140" s="44" cm="1">
        <f t="array" ref="CV140">SUMPRODUCT(--(BG140:CR140&lt;1))</f>
        <v>26</v>
      </c>
    </row>
    <row r="141" spans="1:100" hidden="1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0.78499999999999992</v>
      </c>
      <c r="F141" s="1">
        <v>46203</v>
      </c>
      <c r="G141" s="1">
        <v>46220</v>
      </c>
      <c r="H141" s="1">
        <v>46227</v>
      </c>
      <c r="I141" s="1">
        <v>46225</v>
      </c>
      <c r="J141">
        <v>3</v>
      </c>
      <c r="K141" s="1"/>
      <c r="L141" s="3">
        <v>0.43</v>
      </c>
      <c r="M141" s="3">
        <v>1</v>
      </c>
      <c r="N141" s="3">
        <v>0.27906976744186046</v>
      </c>
      <c r="O141" s="3">
        <v>0.18604651162790697</v>
      </c>
      <c r="P141" s="3">
        <v>0.2558139534883721</v>
      </c>
      <c r="Q141" s="3">
        <v>0.18604651162790697</v>
      </c>
      <c r="R141" s="3">
        <v>9.3023255813953487E-2</v>
      </c>
      <c r="S141" s="3">
        <v>0.09</v>
      </c>
      <c r="T141" s="3">
        <v>1</v>
      </c>
      <c r="U141" s="3">
        <v>0.22222222222222221</v>
      </c>
      <c r="V141" s="3">
        <v>0.22222222222222221</v>
      </c>
      <c r="W141" s="3">
        <v>0.1111111111111111</v>
      </c>
      <c r="X141" s="3">
        <v>0.1111111111111111</v>
      </c>
      <c r="Y141" s="3">
        <v>0.1111111111111111</v>
      </c>
      <c r="Z141" s="3">
        <v>0.22222222222222221</v>
      </c>
      <c r="AA141" s="3">
        <v>6.9999999999999993E-2</v>
      </c>
      <c r="AB141" s="3">
        <v>0.63636363636363635</v>
      </c>
      <c r="AC141" s="3">
        <v>0.27272727272727271</v>
      </c>
      <c r="AD141" s="3">
        <v>0</v>
      </c>
      <c r="AE141" s="3">
        <v>0</v>
      </c>
      <c r="AF141" s="3">
        <v>0.18181818181818182</v>
      </c>
      <c r="AG141" s="3">
        <v>0.18181818181818182</v>
      </c>
      <c r="AH141" s="3">
        <v>0.19499999999999992</v>
      </c>
      <c r="AI141" s="3">
        <v>0.52702702702702686</v>
      </c>
      <c r="AJ141" s="3">
        <v>5.4054054054054036E-2</v>
      </c>
      <c r="AK141" s="3">
        <v>5.4054054054054036E-2</v>
      </c>
      <c r="AL141" s="3">
        <v>2.7027027027027018E-2</v>
      </c>
      <c r="AM141" s="3">
        <v>8.1081081081081058E-2</v>
      </c>
      <c r="AN141" s="3">
        <v>0</v>
      </c>
      <c r="AO141" s="3">
        <v>0</v>
      </c>
      <c r="AP141" s="3">
        <v>5.4054054054054036E-2</v>
      </c>
      <c r="AQ141" s="3">
        <v>0</v>
      </c>
      <c r="AR141" s="3">
        <v>0</v>
      </c>
      <c r="AS141" s="3">
        <v>0</v>
      </c>
      <c r="AT141" s="3">
        <v>0</v>
      </c>
      <c r="AU141" s="3">
        <v>5.4054054054054036E-2</v>
      </c>
      <c r="AV141" s="3">
        <v>0</v>
      </c>
      <c r="AW141" s="3">
        <v>0</v>
      </c>
      <c r="AX141" s="3">
        <v>5.4054054054054036E-2</v>
      </c>
      <c r="AY141" s="3">
        <v>2.7027027027027018E-2</v>
      </c>
      <c r="AZ141" s="3">
        <v>0</v>
      </c>
      <c r="BA141" s="3">
        <v>0</v>
      </c>
      <c r="BB141" s="3">
        <v>8.1081081081081058E-2</v>
      </c>
      <c r="BC141" s="3">
        <v>1.3513513513513509E-2</v>
      </c>
      <c r="BD141" s="3">
        <v>2.7027027027027018E-2</v>
      </c>
      <c r="BE141">
        <v>28.87</v>
      </c>
      <c r="BF141" s="3" t="str">
        <f>+IF(AVANCE[[#This Row],[% AVANCE]]=100%,"MODULO TERMINADO",IF(AVANCE[[#This Row],[FECHA INICIO REAL]]="","MODULO NO INICIADO","PENDIENTE"))</f>
        <v>PENDIENTE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1</v>
      </c>
      <c r="BI141" s="3">
        <f>+IF(AVANCE[[#This Row],[TABIQUES]]=O$2,100%,AVANCE[[#This Row],[TABIQUES]])</f>
        <v>1</v>
      </c>
      <c r="BJ141" s="3">
        <f>+IF(AVANCE[[#This Row],[MUROS]]=P$2,100%,AVANCE[[#This Row],[MUROS]])</f>
        <v>1</v>
      </c>
      <c r="BK141" s="3">
        <f>+IF(AVANCE[[#This Row],[CIELO]]=Q$2,100%,AVANCE[[#This Row],[CIELO]])</f>
        <v>1</v>
      </c>
      <c r="BL141" s="3">
        <f>+IF(AVANCE[[#This Row],[BALCÓN]]=R$2,100%,AVANCE[[#This Row],[BALCÓN]])</f>
        <v>1</v>
      </c>
      <c r="BM141" s="3">
        <f>+IF(AVANCE[[#This Row],[RED ALCANTARILLADO]]=U$2,100%,AVANCE[[#This Row],[RED ALCANTARILLADO]])</f>
        <v>1</v>
      </c>
      <c r="BN141" s="3">
        <f>+IF(AVANCE[[#This Row],[RED DE AGUA]]=V$2,100%,AVANCE[[#This Row],[RED DE AGUA]])</f>
        <v>1</v>
      </c>
      <c r="BO141" s="3">
        <f>+IF(AVANCE[[#This Row],[VENTILACIONES]]=W$2,100%,AVANCE[[#This Row],[VENTILACIONES]])</f>
        <v>1</v>
      </c>
      <c r="BP141" s="3">
        <f>+IF(AVANCE[[#This Row],[TINA]]=X$2,100%,AVANCE[[#This Row],[TINA]])</f>
        <v>1</v>
      </c>
      <c r="BQ141" s="3">
        <f>+IF(AVANCE[[#This Row],[WC]]=Y$2,100%,AVANCE[[#This Row],[WC]])</f>
        <v>1</v>
      </c>
      <c r="BR141" s="3">
        <f>+IF(AVANCE[[#This Row],[LAVAMANOS / LAVAPLATOS / LAVADERO]]=Z$2,100%,AVANCE[[#This Row],[LAVAMANOS / LAVAPLATOS / LAVADERO]])</f>
        <v>1</v>
      </c>
      <c r="BS141" s="3">
        <f>+IF(AVANCE[[#This Row],[CANALIZACIÓN]]=AC$2,100%,AVANCE[[#This Row],[CANALIZACIÓN]])</f>
        <v>1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1</v>
      </c>
      <c r="BW141" s="3">
        <f>+IF(AVANCE[[#This Row],[CAJA PAU]]=AG$2,100%,AVANCE[[#This Row],[CAJA PAU]])</f>
        <v>1</v>
      </c>
      <c r="BX141" s="3">
        <f>+IF(AVANCE[[#This Row],[INSTALACION VINILICO]]=AJ$2,100%,AVANCE[[#This Row],[INSTALACION VINILICO]])</f>
        <v>1</v>
      </c>
      <c r="BY141" s="3">
        <f>+IF(AVANCE[[#This Row],[OSB CUBIERTA]]=AK$2,100%,AVANCE[[#This Row],[OSB CUBIERTA]])</f>
        <v>1</v>
      </c>
      <c r="BZ141" s="3">
        <f>+IF(AVANCE[[#This Row],[BARANDA BALCON]]=AL$2,100%,AVANCE[[#This Row],[BARANDA BALCON]])</f>
        <v>1</v>
      </c>
      <c r="CA141" s="3">
        <f>+IF(AVANCE[[#This Row],[OSB EXTERIOR]]=AM$2,100%,AVANCE[[#This Row],[OSB EXTERIOR]])</f>
        <v>1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1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1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1</v>
      </c>
      <c r="CM141" s="3">
        <f>+IF(AVANCE[[#This Row],[MEMBRANA CIELO]]=AY$2,100%,AVANCE[[#This Row],[MEMBRANA CIELO]])</f>
        <v>1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1</v>
      </c>
      <c r="CQ141" s="3">
        <f>+IF(AVANCE[[#This Row],[MUEBLE LAVAPLATOS]]=BC$2,100%,AVANCE[[#This Row],[MUEBLE LAVAPLATOS]])</f>
        <v>1</v>
      </c>
      <c r="CR141" s="3">
        <f>+IF(AVANCE[[#This Row],[IMPERMEABILIZACION BANO - COCINA LOGIA]]=BD$2,100%,AVANCE[[#This Row],[IMPERMEABILIZACION BANO - COCINA LOGIA]])</f>
        <v>1</v>
      </c>
      <c r="CS141" s="40">
        <f ca="1">+IF(AVANCE[[#This Row],[ESTADO MODULO]]="PENDIENTE",(TODAY()-AVANCE[[#This Row],[FECHA TERMINO  PLANIFICADO]]),0)</f>
        <v>5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ELÉCTRICO, TERMINACIONES</v>
      </c>
      <c r="CV141" s="44" cm="1">
        <f t="array" ref="CV141">SUMPRODUCT(--(BG141:CR141&lt;1))</f>
        <v>13</v>
      </c>
    </row>
    <row r="142" spans="1:100" hidden="1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0.38999999999999996</v>
      </c>
      <c r="F142" s="1">
        <v>46204</v>
      </c>
      <c r="G142" s="1">
        <v>46220</v>
      </c>
      <c r="H142" s="1">
        <v>46224</v>
      </c>
      <c r="I142" s="1">
        <v>46226</v>
      </c>
      <c r="J142">
        <v>6</v>
      </c>
      <c r="K142" s="1"/>
      <c r="L142" s="3">
        <v>0.38999999999999996</v>
      </c>
      <c r="M142" s="3">
        <v>0.90697674418604646</v>
      </c>
      <c r="N142" s="3">
        <v>0.27906976744186046</v>
      </c>
      <c r="O142" s="3">
        <v>0.18604651162790697</v>
      </c>
      <c r="P142" s="3">
        <v>0.2558139534883721</v>
      </c>
      <c r="Q142" s="3">
        <v>0.18604651162790697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PENDIENTE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1</v>
      </c>
      <c r="BI142" s="3">
        <f>+IF(AVANCE[[#This Row],[TABIQUES]]=O$2,100%,AVANCE[[#This Row],[TABIQUES]])</f>
        <v>1</v>
      </c>
      <c r="BJ142" s="3">
        <f>+IF(AVANCE[[#This Row],[MUROS]]=P$2,100%,AVANCE[[#This Row],[MUROS]])</f>
        <v>1</v>
      </c>
      <c r="BK142" s="3">
        <f>+IF(AVANCE[[#This Row],[CIELO]]=Q$2,100%,AVANCE[[#This Row],[CIELO]])</f>
        <v>1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4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34</v>
      </c>
    </row>
    <row r="143" spans="1:100" hidden="1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0.57999999999999996</v>
      </c>
      <c r="F143" s="1">
        <v>46204</v>
      </c>
      <c r="G143" s="1">
        <v>46218</v>
      </c>
      <c r="H143" s="1">
        <v>46226</v>
      </c>
      <c r="I143" s="1">
        <v>46236</v>
      </c>
      <c r="J143">
        <v>4</v>
      </c>
      <c r="K143" s="1"/>
      <c r="L143" s="3">
        <v>0.43</v>
      </c>
      <c r="M143" s="3">
        <v>1</v>
      </c>
      <c r="N143" s="3">
        <v>0.27906976744186046</v>
      </c>
      <c r="O143" s="3">
        <v>0.18604651162790697</v>
      </c>
      <c r="P143" s="3">
        <v>0.2558139534883721</v>
      </c>
      <c r="Q143" s="3">
        <v>0.18604651162790697</v>
      </c>
      <c r="R143" s="3">
        <v>9.3023255813953487E-2</v>
      </c>
      <c r="S143" s="3">
        <v>3.9999999999999994E-2</v>
      </c>
      <c r="T143" s="3">
        <v>0.44444444444444442</v>
      </c>
      <c r="U143" s="3">
        <v>0.22222222222222221</v>
      </c>
      <c r="V143" s="3">
        <v>0.22222222222222221</v>
      </c>
      <c r="W143" s="3">
        <v>0</v>
      </c>
      <c r="X143" s="3">
        <v>0</v>
      </c>
      <c r="Y143" s="3">
        <v>0</v>
      </c>
      <c r="Z143" s="3">
        <v>0</v>
      </c>
      <c r="AA143" s="3">
        <v>0.03</v>
      </c>
      <c r="AB143" s="3">
        <v>0.27272727272727271</v>
      </c>
      <c r="AC143" s="3">
        <v>0.27272727272727271</v>
      </c>
      <c r="AD143" s="3">
        <v>0</v>
      </c>
      <c r="AE143" s="3">
        <v>0</v>
      </c>
      <c r="AF143" s="3">
        <v>0</v>
      </c>
      <c r="AG143" s="3">
        <v>0</v>
      </c>
      <c r="AH143" s="3">
        <v>7.9999999999999974E-2</v>
      </c>
      <c r="AI143" s="3">
        <v>0.21621621621621614</v>
      </c>
      <c r="AJ143" s="3">
        <v>0</v>
      </c>
      <c r="AK143" s="3">
        <v>5.4054054054054036E-2</v>
      </c>
      <c r="AL143" s="3">
        <v>0</v>
      </c>
      <c r="AM143" s="3">
        <v>8.1081081081081058E-2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2.7027027027027018E-2</v>
      </c>
      <c r="AZ143" s="3">
        <v>0</v>
      </c>
      <c r="BA143" s="3">
        <v>5.4054054054054036E-2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PENDIENTE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1</v>
      </c>
      <c r="BI143" s="3">
        <f>+IF(AVANCE[[#This Row],[TABIQUES]]=O$2,100%,AVANCE[[#This Row],[TABIQUES]])</f>
        <v>1</v>
      </c>
      <c r="BJ143" s="3">
        <f>+IF(AVANCE[[#This Row],[MUROS]]=P$2,100%,AVANCE[[#This Row],[MUROS]])</f>
        <v>1</v>
      </c>
      <c r="BK143" s="3">
        <f>+IF(AVANCE[[#This Row],[CIELO]]=Q$2,100%,AVANCE[[#This Row],[CIELO]])</f>
        <v>1</v>
      </c>
      <c r="BL143" s="3">
        <f>+IF(AVANCE[[#This Row],[BALCÓN]]=R$2,100%,AVANCE[[#This Row],[BALCÓN]])</f>
        <v>1</v>
      </c>
      <c r="BM143" s="3">
        <f>+IF(AVANCE[[#This Row],[RED ALCANTARILLADO]]=U$2,100%,AVANCE[[#This Row],[RED ALCANTARILLADO]])</f>
        <v>1</v>
      </c>
      <c r="BN143" s="3">
        <f>+IF(AVANCE[[#This Row],[RED DE AGUA]]=V$2,100%,AVANCE[[#This Row],[RED DE AGUA]])</f>
        <v>1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1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1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1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1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1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-6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SANITARIOS, ELÉCTRICO, TERMINACIONES</v>
      </c>
      <c r="CV143" s="44" cm="1">
        <f t="array" ref="CV143">SUMPRODUCT(--(BG143:CR143&lt;1))</f>
        <v>26</v>
      </c>
    </row>
    <row r="144" spans="1:100" hidden="1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0.57999999999999996</v>
      </c>
      <c r="F144" s="1">
        <v>46204</v>
      </c>
      <c r="G144" s="1">
        <v>46217</v>
      </c>
      <c r="H144" s="1">
        <v>46225</v>
      </c>
      <c r="I144" s="1">
        <v>46236</v>
      </c>
      <c r="J144">
        <v>5</v>
      </c>
      <c r="K144" s="1"/>
      <c r="L144" s="3">
        <v>0.43</v>
      </c>
      <c r="M144" s="3">
        <v>1</v>
      </c>
      <c r="N144" s="3">
        <v>0.27906976744186046</v>
      </c>
      <c r="O144" s="3">
        <v>0.18604651162790697</v>
      </c>
      <c r="P144" s="3">
        <v>0.2558139534883721</v>
      </c>
      <c r="Q144" s="3">
        <v>0.18604651162790697</v>
      </c>
      <c r="R144" s="3">
        <v>9.3023255813953487E-2</v>
      </c>
      <c r="S144" s="3">
        <v>3.9999999999999994E-2</v>
      </c>
      <c r="T144" s="3">
        <v>0.44444444444444442</v>
      </c>
      <c r="U144" s="3">
        <v>0.22222222222222221</v>
      </c>
      <c r="V144" s="3">
        <v>0.22222222222222221</v>
      </c>
      <c r="W144" s="3">
        <v>0</v>
      </c>
      <c r="X144" s="3">
        <v>0</v>
      </c>
      <c r="Y144" s="3">
        <v>0</v>
      </c>
      <c r="Z144" s="3">
        <v>0</v>
      </c>
      <c r="AA144" s="3">
        <v>0.03</v>
      </c>
      <c r="AB144" s="3">
        <v>0.27272727272727271</v>
      </c>
      <c r="AC144" s="3">
        <v>0.27272727272727271</v>
      </c>
      <c r="AD144" s="3">
        <v>0</v>
      </c>
      <c r="AE144" s="3">
        <v>0</v>
      </c>
      <c r="AF144" s="3">
        <v>0</v>
      </c>
      <c r="AG144" s="3">
        <v>0</v>
      </c>
      <c r="AH144" s="3">
        <v>7.9999999999999974E-2</v>
      </c>
      <c r="AI144" s="3">
        <v>0.21621621621621614</v>
      </c>
      <c r="AJ144" s="3">
        <v>0</v>
      </c>
      <c r="AK144" s="3">
        <v>5.4054054054054036E-2</v>
      </c>
      <c r="AL144" s="3">
        <v>0</v>
      </c>
      <c r="AM144" s="3">
        <v>8.1081081081081058E-2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2.7027027027027018E-2</v>
      </c>
      <c r="AZ144" s="3">
        <v>0</v>
      </c>
      <c r="BA144" s="3">
        <v>5.4054054054054036E-2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PENDIENTE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1</v>
      </c>
      <c r="BI144" s="3">
        <f>+IF(AVANCE[[#This Row],[TABIQUES]]=O$2,100%,AVANCE[[#This Row],[TABIQUES]])</f>
        <v>1</v>
      </c>
      <c r="BJ144" s="3">
        <f>+IF(AVANCE[[#This Row],[MUROS]]=P$2,100%,AVANCE[[#This Row],[MUROS]])</f>
        <v>1</v>
      </c>
      <c r="BK144" s="3">
        <f>+IF(AVANCE[[#This Row],[CIELO]]=Q$2,100%,AVANCE[[#This Row],[CIELO]])</f>
        <v>1</v>
      </c>
      <c r="BL144" s="3">
        <f>+IF(AVANCE[[#This Row],[BALCÓN]]=R$2,100%,AVANCE[[#This Row],[BALCÓN]])</f>
        <v>1</v>
      </c>
      <c r="BM144" s="3">
        <f>+IF(AVANCE[[#This Row],[RED ALCANTARILLADO]]=U$2,100%,AVANCE[[#This Row],[RED ALCANTARILLADO]])</f>
        <v>1</v>
      </c>
      <c r="BN144" s="3">
        <f>+IF(AVANCE[[#This Row],[RED DE AGUA]]=V$2,100%,AVANCE[[#This Row],[RED DE AGUA]])</f>
        <v>1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1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1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1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1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1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-6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SANITARIOS, ELÉCTRICO, TERMINACIONES</v>
      </c>
      <c r="CV144" s="44" cm="1">
        <f t="array" ref="CV144">SUMPRODUCT(--(BG144:CR144&lt;1))</f>
        <v>26</v>
      </c>
    </row>
    <row r="145" spans="1:100" hidden="1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0.64999999999999991</v>
      </c>
      <c r="F145" s="1">
        <v>46205</v>
      </c>
      <c r="G145" s="1">
        <v>46217</v>
      </c>
      <c r="H145" s="1">
        <v>46223</v>
      </c>
      <c r="I145" s="1">
        <v>46227</v>
      </c>
      <c r="J145">
        <v>7</v>
      </c>
      <c r="K145" s="1"/>
      <c r="L145" s="3">
        <v>0.43</v>
      </c>
      <c r="M145" s="3">
        <v>1</v>
      </c>
      <c r="N145" s="3">
        <v>0.27906976744186046</v>
      </c>
      <c r="O145" s="3">
        <v>0.18604651162790697</v>
      </c>
      <c r="P145" s="3">
        <v>0.2558139534883721</v>
      </c>
      <c r="Q145" s="3">
        <v>0.18604651162790697</v>
      </c>
      <c r="R145" s="3">
        <v>9.3023255813953487E-2</v>
      </c>
      <c r="S145" s="3">
        <v>0.09</v>
      </c>
      <c r="T145" s="3">
        <v>1</v>
      </c>
      <c r="U145" s="3">
        <v>0.22222222222222221</v>
      </c>
      <c r="V145" s="3">
        <v>0.22222222222222221</v>
      </c>
      <c r="W145" s="3">
        <v>0.1111111111111111</v>
      </c>
      <c r="X145" s="3">
        <v>0.1111111111111111</v>
      </c>
      <c r="Y145" s="3">
        <v>0.1111111111111111</v>
      </c>
      <c r="Z145" s="3">
        <v>0.22222222222222221</v>
      </c>
      <c r="AA145" s="3">
        <v>6.9999999999999993E-2</v>
      </c>
      <c r="AB145" s="3">
        <v>0.63636363636363635</v>
      </c>
      <c r="AC145" s="3">
        <v>0.27272727272727271</v>
      </c>
      <c r="AD145" s="3">
        <v>0</v>
      </c>
      <c r="AE145" s="3">
        <v>0</v>
      </c>
      <c r="AF145" s="3">
        <v>0.18181818181818182</v>
      </c>
      <c r="AG145" s="3">
        <v>0.18181818181818182</v>
      </c>
      <c r="AH145" s="3">
        <v>5.9999999999999984E-2</v>
      </c>
      <c r="AI145" s="3">
        <v>0.16216216216216212</v>
      </c>
      <c r="AJ145" s="3">
        <v>0</v>
      </c>
      <c r="AK145" s="3">
        <v>5.4054054054054036E-2</v>
      </c>
      <c r="AL145" s="3">
        <v>0</v>
      </c>
      <c r="AM145" s="3">
        <v>8.1081081081081058E-2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2.7027027027027018E-2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PENDIENTE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1</v>
      </c>
      <c r="BI145" s="3">
        <f>+IF(AVANCE[[#This Row],[TABIQUES]]=O$2,100%,AVANCE[[#This Row],[TABIQUES]])</f>
        <v>1</v>
      </c>
      <c r="BJ145" s="3">
        <f>+IF(AVANCE[[#This Row],[MUROS]]=P$2,100%,AVANCE[[#This Row],[MUROS]])</f>
        <v>1</v>
      </c>
      <c r="BK145" s="3">
        <f>+IF(AVANCE[[#This Row],[CIELO]]=Q$2,100%,AVANCE[[#This Row],[CIELO]])</f>
        <v>1</v>
      </c>
      <c r="BL145" s="3">
        <f>+IF(AVANCE[[#This Row],[BALCÓN]]=R$2,100%,AVANCE[[#This Row],[BALCÓN]])</f>
        <v>1</v>
      </c>
      <c r="BM145" s="3">
        <f>+IF(AVANCE[[#This Row],[RED ALCANTARILLADO]]=U$2,100%,AVANCE[[#This Row],[RED ALCANTARILLADO]])</f>
        <v>1</v>
      </c>
      <c r="BN145" s="3">
        <f>+IF(AVANCE[[#This Row],[RED DE AGUA]]=V$2,100%,AVANCE[[#This Row],[RED DE AGUA]])</f>
        <v>1</v>
      </c>
      <c r="BO145" s="3">
        <f>+IF(AVANCE[[#This Row],[VENTILACIONES]]=W$2,100%,AVANCE[[#This Row],[VENTILACIONES]])</f>
        <v>1</v>
      </c>
      <c r="BP145" s="3">
        <f>+IF(AVANCE[[#This Row],[TINA]]=X$2,100%,AVANCE[[#This Row],[TINA]])</f>
        <v>1</v>
      </c>
      <c r="BQ145" s="3">
        <f>+IF(AVANCE[[#This Row],[WC]]=Y$2,100%,AVANCE[[#This Row],[WC]])</f>
        <v>1</v>
      </c>
      <c r="BR145" s="3">
        <f>+IF(AVANCE[[#This Row],[LAVAMANOS / LAVAPLATOS / LAVADERO]]=Z$2,100%,AVANCE[[#This Row],[LAVAMANOS / LAVAPLATOS / LAVADERO]])</f>
        <v>1</v>
      </c>
      <c r="BS145" s="3">
        <f>+IF(AVANCE[[#This Row],[CANALIZACIÓN]]=AC$2,100%,AVANCE[[#This Row],[CANALIZACIÓN]])</f>
        <v>1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1</v>
      </c>
      <c r="BW145" s="3">
        <f>+IF(AVANCE[[#This Row],[CAJA PAU]]=AG$2,100%,AVANCE[[#This Row],[CAJA PAU]])</f>
        <v>1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1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1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1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3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ELÉCTRICO, TERMINACIONES</v>
      </c>
      <c r="CV145" s="44" cm="1">
        <f t="array" ref="CV145">SUMPRODUCT(--(BG145:CR145&lt;1))</f>
        <v>21</v>
      </c>
    </row>
    <row r="146" spans="1:100" hidden="1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0.38999999999999996</v>
      </c>
      <c r="F146" s="1">
        <v>46205</v>
      </c>
      <c r="G146" s="1">
        <v>46226</v>
      </c>
      <c r="H146" s="1">
        <v>46226</v>
      </c>
      <c r="I146" s="1">
        <v>46227</v>
      </c>
      <c r="J146">
        <v>4</v>
      </c>
      <c r="K146" s="1"/>
      <c r="L146" s="3">
        <v>0.38999999999999996</v>
      </c>
      <c r="M146" s="3">
        <v>0.90697674418604646</v>
      </c>
      <c r="N146" s="3">
        <v>0.27906976744186046</v>
      </c>
      <c r="O146" s="3">
        <v>0.18604651162790697</v>
      </c>
      <c r="P146" s="3">
        <v>0.2558139534883721</v>
      </c>
      <c r="Q146" s="3">
        <v>0.18604651162790697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PENDIENTE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1</v>
      </c>
      <c r="BI146" s="3">
        <f>+IF(AVANCE[[#This Row],[TABIQUES]]=O$2,100%,AVANCE[[#This Row],[TABIQUES]])</f>
        <v>1</v>
      </c>
      <c r="BJ146" s="3">
        <f>+IF(AVANCE[[#This Row],[MUROS]]=P$2,100%,AVANCE[[#This Row],[MUROS]])</f>
        <v>1</v>
      </c>
      <c r="BK146" s="3">
        <f>+IF(AVANCE[[#This Row],[CIELO]]=Q$2,100%,AVANCE[[#This Row],[CIELO]])</f>
        <v>1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3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34</v>
      </c>
    </row>
    <row r="147" spans="1:100" hidden="1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0.38999999999999996</v>
      </c>
      <c r="F147" s="1">
        <v>46206</v>
      </c>
      <c r="G147" s="1">
        <v>46225</v>
      </c>
      <c r="H147" s="1">
        <v>46226</v>
      </c>
      <c r="I147" s="1">
        <v>46238</v>
      </c>
      <c r="J147">
        <v>4</v>
      </c>
      <c r="K147" s="1"/>
      <c r="L147" s="3">
        <v>0.38999999999999996</v>
      </c>
      <c r="M147" s="3">
        <v>0.90697674418604646</v>
      </c>
      <c r="N147" s="3">
        <v>0.27906976744186046</v>
      </c>
      <c r="O147" s="3">
        <v>0.18604651162790697</v>
      </c>
      <c r="P147" s="3">
        <v>0.2558139534883721</v>
      </c>
      <c r="Q147" s="3">
        <v>0.18604651162790697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PENDIENTE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1</v>
      </c>
      <c r="BI147" s="3">
        <f>+IF(AVANCE[[#This Row],[TABIQUES]]=O$2,100%,AVANCE[[#This Row],[TABIQUES]])</f>
        <v>1</v>
      </c>
      <c r="BJ147" s="3">
        <f>+IF(AVANCE[[#This Row],[MUROS]]=P$2,100%,AVANCE[[#This Row],[MUROS]])</f>
        <v>1</v>
      </c>
      <c r="BK147" s="3">
        <f>+IF(AVANCE[[#This Row],[CIELO]]=Q$2,100%,AVANCE[[#This Row],[CIELO]])</f>
        <v>1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-8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34</v>
      </c>
    </row>
    <row r="148" spans="1:100" hidden="1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0.38999999999999996</v>
      </c>
      <c r="F148" s="1">
        <v>46206</v>
      </c>
      <c r="G148" s="1">
        <v>46225</v>
      </c>
      <c r="H148" s="1">
        <v>46227</v>
      </c>
      <c r="I148" s="1">
        <v>46238</v>
      </c>
      <c r="J148">
        <v>3</v>
      </c>
      <c r="K148" s="1"/>
      <c r="L148" s="3">
        <v>0.38999999999999996</v>
      </c>
      <c r="M148" s="3">
        <v>0.90697674418604646</v>
      </c>
      <c r="N148" s="3">
        <v>0.27906976744186046</v>
      </c>
      <c r="O148" s="3">
        <v>0.18604651162790697</v>
      </c>
      <c r="P148" s="3">
        <v>0.2558139534883721</v>
      </c>
      <c r="Q148" s="3">
        <v>0.18604651162790697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PENDIENTE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1</v>
      </c>
      <c r="BI148" s="3">
        <f>+IF(AVANCE[[#This Row],[TABIQUES]]=O$2,100%,AVANCE[[#This Row],[TABIQUES]])</f>
        <v>1</v>
      </c>
      <c r="BJ148" s="3">
        <f>+IF(AVANCE[[#This Row],[MUROS]]=P$2,100%,AVANCE[[#This Row],[MUROS]])</f>
        <v>1</v>
      </c>
      <c r="BK148" s="3">
        <f>+IF(AVANCE[[#This Row],[CIELO]]=Q$2,100%,AVANCE[[#This Row],[CIELO]])</f>
        <v>1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-8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34</v>
      </c>
    </row>
    <row r="149" spans="1:100" hidden="1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0.38999999999999996</v>
      </c>
      <c r="F149" s="1">
        <v>46206</v>
      </c>
      <c r="G149" s="1">
        <v>46224</v>
      </c>
      <c r="H149" s="1">
        <v>46225</v>
      </c>
      <c r="I149" s="1">
        <v>46228</v>
      </c>
      <c r="J149">
        <v>5</v>
      </c>
      <c r="K149" s="1"/>
      <c r="L149" s="3">
        <v>0.38999999999999996</v>
      </c>
      <c r="M149" s="3">
        <v>0.90697674418604646</v>
      </c>
      <c r="N149" s="3">
        <v>0.27906976744186046</v>
      </c>
      <c r="O149" s="3">
        <v>0.18604651162790697</v>
      </c>
      <c r="P149" s="3">
        <v>0.2558139534883721</v>
      </c>
      <c r="Q149" s="3">
        <v>0.18604651162790697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PENDIENTE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1</v>
      </c>
      <c r="BI149" s="3">
        <f>+IF(AVANCE[[#This Row],[TABIQUES]]=O$2,100%,AVANCE[[#This Row],[TABIQUES]])</f>
        <v>1</v>
      </c>
      <c r="BJ149" s="3">
        <f>+IF(AVANCE[[#This Row],[MUROS]]=P$2,100%,AVANCE[[#This Row],[MUROS]])</f>
        <v>1</v>
      </c>
      <c r="BK149" s="3">
        <f>+IF(AVANCE[[#This Row],[CIELO]]=Q$2,100%,AVANCE[[#This Row],[CIELO]])</f>
        <v>1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2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34</v>
      </c>
    </row>
    <row r="150" spans="1:100" hidden="1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0.75499999999999989</v>
      </c>
      <c r="F150" s="1">
        <v>46209</v>
      </c>
      <c r="G150" s="1">
        <v>46224</v>
      </c>
      <c r="H150" s="1">
        <v>46227</v>
      </c>
      <c r="I150" s="1">
        <v>46231</v>
      </c>
      <c r="J150">
        <v>3</v>
      </c>
      <c r="K150" s="1"/>
      <c r="L150" s="3">
        <v>0.43</v>
      </c>
      <c r="M150" s="3">
        <v>1</v>
      </c>
      <c r="N150" s="3">
        <v>0.27906976744186046</v>
      </c>
      <c r="O150" s="3">
        <v>0.18604651162790697</v>
      </c>
      <c r="P150" s="3">
        <v>0.2558139534883721</v>
      </c>
      <c r="Q150" s="3">
        <v>0.18604651162790697</v>
      </c>
      <c r="R150" s="3">
        <v>9.3023255813953487E-2</v>
      </c>
      <c r="S150" s="3">
        <v>0.09</v>
      </c>
      <c r="T150" s="3">
        <v>1</v>
      </c>
      <c r="U150" s="3">
        <v>0.22222222222222221</v>
      </c>
      <c r="V150" s="3">
        <v>0.22222222222222221</v>
      </c>
      <c r="W150" s="3">
        <v>0.1111111111111111</v>
      </c>
      <c r="X150" s="3">
        <v>0.1111111111111111</v>
      </c>
      <c r="Y150" s="3">
        <v>0.1111111111111111</v>
      </c>
      <c r="Z150" s="3">
        <v>0.22222222222222221</v>
      </c>
      <c r="AA150" s="3">
        <v>6.9999999999999993E-2</v>
      </c>
      <c r="AB150" s="3">
        <v>0.63636363636363635</v>
      </c>
      <c r="AC150" s="3">
        <v>0.27272727272727271</v>
      </c>
      <c r="AD150" s="3">
        <v>0</v>
      </c>
      <c r="AE150" s="3">
        <v>0</v>
      </c>
      <c r="AF150" s="3">
        <v>0.18181818181818182</v>
      </c>
      <c r="AG150" s="3">
        <v>0.18181818181818182</v>
      </c>
      <c r="AH150" s="3">
        <v>0.16499999999999992</v>
      </c>
      <c r="AI150" s="3">
        <v>0.44594594594594578</v>
      </c>
      <c r="AJ150" s="3">
        <v>5.4054054054054036E-2</v>
      </c>
      <c r="AK150" s="3">
        <v>5.4054054054054036E-2</v>
      </c>
      <c r="AL150" s="3">
        <v>2.7027027027027018E-2</v>
      </c>
      <c r="AM150" s="3">
        <v>0</v>
      </c>
      <c r="AN150" s="3">
        <v>0</v>
      </c>
      <c r="AO150" s="3">
        <v>0</v>
      </c>
      <c r="AP150" s="3">
        <v>5.4054054054054036E-2</v>
      </c>
      <c r="AQ150" s="3">
        <v>0</v>
      </c>
      <c r="AR150" s="3">
        <v>0</v>
      </c>
      <c r="AS150" s="3">
        <v>0</v>
      </c>
      <c r="AT150" s="3">
        <v>0</v>
      </c>
      <c r="AU150" s="3">
        <v>5.4054054054054036E-2</v>
      </c>
      <c r="AV150" s="3">
        <v>0</v>
      </c>
      <c r="AW150" s="3">
        <v>0</v>
      </c>
      <c r="AX150" s="3">
        <v>5.4054054054054036E-2</v>
      </c>
      <c r="AY150" s="3">
        <v>2.7027027027027018E-2</v>
      </c>
      <c r="AZ150" s="3">
        <v>0</v>
      </c>
      <c r="BA150" s="3">
        <v>0</v>
      </c>
      <c r="BB150" s="3">
        <v>8.1081081081081058E-2</v>
      </c>
      <c r="BC150" s="3">
        <v>1.3513513513513509E-2</v>
      </c>
      <c r="BD150" s="3">
        <v>2.7027027027027018E-2</v>
      </c>
      <c r="BE150">
        <v>28.87</v>
      </c>
      <c r="BF150" s="3" t="str">
        <f>+IF(AVANCE[[#This Row],[% AVANCE]]=100%,"MODULO TERMINADO",IF(AVANCE[[#This Row],[FECHA INICIO REAL]]="","MODULO NO INICIADO","PENDIENTE"))</f>
        <v>PENDIENTE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1</v>
      </c>
      <c r="BI150" s="3">
        <f>+IF(AVANCE[[#This Row],[TABIQUES]]=O$2,100%,AVANCE[[#This Row],[TABIQUES]])</f>
        <v>1</v>
      </c>
      <c r="BJ150" s="3">
        <f>+IF(AVANCE[[#This Row],[MUROS]]=P$2,100%,AVANCE[[#This Row],[MUROS]])</f>
        <v>1</v>
      </c>
      <c r="BK150" s="3">
        <f>+IF(AVANCE[[#This Row],[CIELO]]=Q$2,100%,AVANCE[[#This Row],[CIELO]])</f>
        <v>1</v>
      </c>
      <c r="BL150" s="3">
        <f>+IF(AVANCE[[#This Row],[BALCÓN]]=R$2,100%,AVANCE[[#This Row],[BALCÓN]])</f>
        <v>1</v>
      </c>
      <c r="BM150" s="3">
        <f>+IF(AVANCE[[#This Row],[RED ALCANTARILLADO]]=U$2,100%,AVANCE[[#This Row],[RED ALCANTARILLADO]])</f>
        <v>1</v>
      </c>
      <c r="BN150" s="3">
        <f>+IF(AVANCE[[#This Row],[RED DE AGUA]]=V$2,100%,AVANCE[[#This Row],[RED DE AGUA]])</f>
        <v>1</v>
      </c>
      <c r="BO150" s="3">
        <f>+IF(AVANCE[[#This Row],[VENTILACIONES]]=W$2,100%,AVANCE[[#This Row],[VENTILACIONES]])</f>
        <v>1</v>
      </c>
      <c r="BP150" s="3">
        <f>+IF(AVANCE[[#This Row],[TINA]]=X$2,100%,AVANCE[[#This Row],[TINA]])</f>
        <v>1</v>
      </c>
      <c r="BQ150" s="3">
        <f>+IF(AVANCE[[#This Row],[WC]]=Y$2,100%,AVANCE[[#This Row],[WC]])</f>
        <v>1</v>
      </c>
      <c r="BR150" s="3">
        <f>+IF(AVANCE[[#This Row],[LAVAMANOS / LAVAPLATOS / LAVADERO]]=Z$2,100%,AVANCE[[#This Row],[LAVAMANOS / LAVAPLATOS / LAVADERO]])</f>
        <v>1</v>
      </c>
      <c r="BS150" s="3">
        <f>+IF(AVANCE[[#This Row],[CANALIZACIÓN]]=AC$2,100%,AVANCE[[#This Row],[CANALIZACIÓN]])</f>
        <v>1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1</v>
      </c>
      <c r="BW150" s="3">
        <f>+IF(AVANCE[[#This Row],[CAJA PAU]]=AG$2,100%,AVANCE[[#This Row],[CAJA PAU]])</f>
        <v>1</v>
      </c>
      <c r="BX150" s="3">
        <f>+IF(AVANCE[[#This Row],[INSTALACION VINILICO]]=AJ$2,100%,AVANCE[[#This Row],[INSTALACION VINILICO]])</f>
        <v>1</v>
      </c>
      <c r="BY150" s="3">
        <f>+IF(AVANCE[[#This Row],[OSB CUBIERTA]]=AK$2,100%,AVANCE[[#This Row],[OSB CUBIERTA]])</f>
        <v>1</v>
      </c>
      <c r="BZ150" s="3">
        <f>+IF(AVANCE[[#This Row],[BARANDA BALCON]]=AL$2,100%,AVANCE[[#This Row],[BARANDA BALCON]])</f>
        <v>1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1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1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1</v>
      </c>
      <c r="CM150" s="3">
        <f>+IF(AVANCE[[#This Row],[MEMBRANA CIELO]]=AY$2,100%,AVANCE[[#This Row],[MEMBRANA CIELO]])</f>
        <v>1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1</v>
      </c>
      <c r="CQ150" s="3">
        <f>+IF(AVANCE[[#This Row],[MUEBLE LAVAPLATOS]]=BC$2,100%,AVANCE[[#This Row],[MUEBLE LAVAPLATOS]])</f>
        <v>1</v>
      </c>
      <c r="CR150" s="3">
        <f>+IF(AVANCE[[#This Row],[IMPERMEABILIZACION BANO - COCINA LOGIA]]=BD$2,100%,AVANCE[[#This Row],[IMPERMEABILIZACION BANO - COCINA LOGIA]])</f>
        <v>1</v>
      </c>
      <c r="CS150" s="40">
        <f ca="1">+IF(AVANCE[[#This Row],[ESTADO MODULO]]="PENDIENTE",(TODAY()-AVANCE[[#This Row],[FECHA TERMINO  PLANIFICADO]]),0)</f>
        <v>-1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ELÉCTRICO: CABLEADO, ARTEFACTOS | TERMINACIONES: VENTANAS, OSB EXTERIOR, SMART PANEL, PINTURA EXTERIOR, MOLDURAS, PILASTREO, CELOSIAS, VENTANAS (TERM), CERRADURAS, REVESTIMIENTO INTERIOR ZONA SECA, LIMPIEZA FINAL, PUERTAS DORMITORIO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ELÉCTRICO, TERMINACIONES</v>
      </c>
      <c r="CV150" s="44" cm="1">
        <f t="array" ref="CV150">SUMPRODUCT(--(BG150:CR150&lt;1))</f>
        <v>14</v>
      </c>
    </row>
    <row r="151" spans="1:100" hidden="1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0.38999999999999996</v>
      </c>
      <c r="F151" s="1">
        <v>46209</v>
      </c>
      <c r="G151" s="1">
        <v>46224</v>
      </c>
      <c r="H151" s="1">
        <v>46226</v>
      </c>
      <c r="I151" s="1">
        <v>46241</v>
      </c>
      <c r="J151">
        <v>4</v>
      </c>
      <c r="K151" s="1"/>
      <c r="L151" s="3">
        <v>0.38999999999999996</v>
      </c>
      <c r="M151" s="3">
        <v>0.90697674418604646</v>
      </c>
      <c r="N151" s="3">
        <v>0.27906976744186046</v>
      </c>
      <c r="O151" s="3">
        <v>0.18604651162790697</v>
      </c>
      <c r="P151" s="3">
        <v>0.2558139534883721</v>
      </c>
      <c r="Q151" s="3">
        <v>0.18604651162790697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PENDIENTE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1</v>
      </c>
      <c r="BI151" s="3">
        <f>+IF(AVANCE[[#This Row],[TABIQUES]]=O$2,100%,AVANCE[[#This Row],[TABIQUES]])</f>
        <v>1</v>
      </c>
      <c r="BJ151" s="3">
        <f>+IF(AVANCE[[#This Row],[MUROS]]=P$2,100%,AVANCE[[#This Row],[MUROS]])</f>
        <v>1</v>
      </c>
      <c r="BK151" s="3">
        <f>+IF(AVANCE[[#This Row],[CIELO]]=Q$2,100%,AVANCE[[#This Row],[CIELO]])</f>
        <v>1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-11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34</v>
      </c>
    </row>
    <row r="152" spans="1:100" hidden="1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0.38999999999999996</v>
      </c>
      <c r="F152" s="1">
        <v>46210</v>
      </c>
      <c r="G152" s="1">
        <v>46226</v>
      </c>
      <c r="H152" s="1">
        <v>46226</v>
      </c>
      <c r="I152" s="1">
        <v>46242</v>
      </c>
      <c r="J152">
        <v>4</v>
      </c>
      <c r="K152" s="1"/>
      <c r="L152" s="3">
        <v>0.38999999999999996</v>
      </c>
      <c r="M152" s="3">
        <v>0.90697674418604646</v>
      </c>
      <c r="N152" s="3">
        <v>0.27906976744186046</v>
      </c>
      <c r="O152" s="3">
        <v>0.18604651162790697</v>
      </c>
      <c r="P152" s="3">
        <v>0.2558139534883721</v>
      </c>
      <c r="Q152" s="3">
        <v>0.18604651162790697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PENDIENTE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1</v>
      </c>
      <c r="BI152" s="3">
        <f>+IF(AVANCE[[#This Row],[TABIQUES]]=O$2,100%,AVANCE[[#This Row],[TABIQUES]])</f>
        <v>1</v>
      </c>
      <c r="BJ152" s="3">
        <f>+IF(AVANCE[[#This Row],[MUROS]]=P$2,100%,AVANCE[[#This Row],[MUROS]])</f>
        <v>1</v>
      </c>
      <c r="BK152" s="3">
        <f>+IF(AVANCE[[#This Row],[CIELO]]=Q$2,100%,AVANCE[[#This Row],[CIELO]])</f>
        <v>1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-12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34</v>
      </c>
    </row>
    <row r="153" spans="1:100" hidden="1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0.38999999999999996</v>
      </c>
      <c r="F153" s="1">
        <v>46210</v>
      </c>
      <c r="G153" s="1">
        <v>46224</v>
      </c>
      <c r="H153" s="1">
        <v>46226</v>
      </c>
      <c r="I153" s="1">
        <v>46232</v>
      </c>
      <c r="J153">
        <v>4</v>
      </c>
      <c r="K153" s="1"/>
      <c r="L153" s="3">
        <v>0.38999999999999996</v>
      </c>
      <c r="M153" s="3">
        <v>0.90697674418604646</v>
      </c>
      <c r="N153" s="3">
        <v>0.27906976744186046</v>
      </c>
      <c r="O153" s="3">
        <v>0.18604651162790697</v>
      </c>
      <c r="P153" s="3">
        <v>0.2558139534883721</v>
      </c>
      <c r="Q153" s="3">
        <v>0.18604651162790697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PENDIENTE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1</v>
      </c>
      <c r="BI153" s="3">
        <f>+IF(AVANCE[[#This Row],[TABIQUES]]=O$2,100%,AVANCE[[#This Row],[TABIQUES]])</f>
        <v>1</v>
      </c>
      <c r="BJ153" s="3">
        <f>+IF(AVANCE[[#This Row],[MUROS]]=P$2,100%,AVANCE[[#This Row],[MUROS]])</f>
        <v>1</v>
      </c>
      <c r="BK153" s="3">
        <f>+IF(AVANCE[[#This Row],[CIELO]]=Q$2,100%,AVANCE[[#This Row],[CIELO]])</f>
        <v>1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-2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34</v>
      </c>
    </row>
    <row r="154" spans="1:100" hidden="1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0.12</v>
      </c>
      <c r="F154" s="1">
        <v>46210</v>
      </c>
      <c r="G154" s="1">
        <v>46227</v>
      </c>
      <c r="H154" s="1">
        <v>46227</v>
      </c>
      <c r="I154" s="1">
        <v>46232</v>
      </c>
      <c r="J154">
        <v>3</v>
      </c>
      <c r="K154" s="1"/>
      <c r="L154" s="3">
        <v>0.12</v>
      </c>
      <c r="M154" s="3">
        <v>0.27906976744186046</v>
      </c>
      <c r="N154" s="3">
        <v>0.27906976744186046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PENDIENTE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1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-2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37</v>
      </c>
    </row>
    <row r="155" spans="1:100" hidden="1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46230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hidden="1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46230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hidden="1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46230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hidden="1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46230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hidden="1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46230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hidden="1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46230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hidden="1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0.12</v>
      </c>
      <c r="F161" s="1">
        <v>46213</v>
      </c>
      <c r="G161" s="1">
        <v>46227</v>
      </c>
      <c r="H161" s="1">
        <v>46227</v>
      </c>
      <c r="I161" s="1">
        <v>46235</v>
      </c>
      <c r="J161">
        <v>3</v>
      </c>
      <c r="K161" s="1"/>
      <c r="L161" s="3">
        <v>0.12</v>
      </c>
      <c r="M161" s="3">
        <v>0.27906976744186046</v>
      </c>
      <c r="N161" s="3">
        <v>0.27906976744186046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PENDIENTE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1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-5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37</v>
      </c>
    </row>
    <row r="162" spans="1:100" hidden="1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46230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hidden="1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46230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hidden="1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46230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hidden="1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46230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hidden="1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46230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hidden="1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46230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hidden="1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46230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hidden="1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46230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hidden="1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46230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hidden="1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46230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hidden="1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46230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hidden="1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46230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hidden="1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46230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hidden="1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46230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hidden="1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46230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hidden="1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46230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hidden="1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46230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hidden="1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46230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hidden="1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46230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hidden="1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46230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hidden="1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46230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hidden="1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46230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hidden="1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46230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hidden="1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46230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hidden="1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46230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hidden="1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46230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hidden="1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46230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hidden="1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46230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hidden="1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46230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hidden="1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46230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hidden="1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46230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hidden="1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46230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hidden="1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46230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hidden="1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46230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hidden="1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46230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hidden="1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46230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hidden="1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46230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hidden="1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46230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hidden="1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46230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hidden="1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46230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hidden="1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46230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hidden="1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46230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hidden="1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46230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hidden="1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46230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hidden="1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46230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hidden="1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46230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hidden="1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46230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hidden="1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46230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hidden="1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46230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hidden="1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46230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hidden="1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46230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hidden="1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46230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hidden="1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46230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hidden="1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46230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hidden="1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46230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hidden="1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46230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hidden="1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46230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hidden="1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46230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hidden="1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46230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hidden="1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46230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hidden="1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46230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hidden="1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46230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hidden="1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46230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hidden="1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46230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hidden="1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46230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hidden="1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46230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hidden="1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46230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hidden="1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46230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hidden="1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46230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hidden="1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46230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hidden="1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46230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hidden="1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46230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hidden="1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46230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hidden="1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46230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hidden="1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46230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hidden="1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46230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hidden="1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46230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hidden="1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46230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hidden="1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46230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hidden="1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46230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hidden="1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46230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hidden="1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46230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hidden="1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46230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hidden="1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46230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hidden="1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46230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hidden="1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46230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hidden="1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46230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hidden="1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46230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hidden="1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46230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hidden="1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46230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hidden="1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46230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hidden="1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46230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hidden="1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46230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hidden="1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46230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hidden="1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46230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hidden="1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46230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hidden="1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46230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hidden="1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46230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hidden="1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46230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hidden="1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46230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hidden="1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46230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hidden="1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46230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hidden="1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46230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hidden="1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46230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hidden="1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46230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hidden="1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46230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hidden="1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46230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hidden="1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46230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hidden="1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46230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hidden="1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46230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hidden="1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46230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hidden="1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46230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hidden="1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46230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hidden="1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46230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hidden="1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46230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hidden="1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46230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hidden="1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46230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hidden="1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46230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hidden="1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46230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hidden="1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46230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hidden="1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46230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hidden="1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46230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hidden="1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46230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hidden="1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46230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hidden="1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46230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hidden="1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46230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hidden="1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46230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hidden="1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46230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hidden="1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46230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hidden="1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46230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hidden="1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46230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hidden="1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46230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hidden="1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46230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hidden="1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46230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hidden="1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46230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hidden="1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46230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hidden="1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46230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hidden="1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46230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hidden="1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46230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hidden="1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46230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hidden="1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46230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hidden="1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46230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hidden="1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46230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hidden="1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46230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hidden="1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46230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hidden="1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46230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hidden="1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46230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hidden="1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46230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hidden="1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46230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hidden="1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46230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hidden="1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46230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hidden="1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46230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hidden="1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46230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hidden="1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46230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hidden="1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46230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hidden="1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46230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hidden="1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46230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hidden="1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46230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hidden="1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46230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hidden="1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46230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hidden="1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46230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hidden="1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46230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hidden="1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46230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hidden="1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46230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hidden="1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46230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hidden="1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46230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hidden="1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46230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hidden="1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46230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hidden="1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46230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hidden="1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46230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hidden="1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46230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hidden="1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46230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hidden="1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46230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hidden="1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46230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hidden="1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46230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hidden="1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46230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hidden="1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46230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hidden="1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46230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hidden="1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46230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hidden="1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46230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hidden="1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46230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hidden="1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46230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hidden="1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46230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hidden="1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46230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hidden="1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46230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hidden="1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46230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hidden="1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46230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hidden="1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46230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hidden="1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46230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hidden="1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46230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hidden="1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46230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hidden="1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46230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hidden="1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46230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hidden="1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46230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hidden="1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46230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hidden="1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46230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hidden="1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46230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hidden="1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46230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hidden="1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46230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hidden="1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46230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hidden="1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46230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hidden="1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46230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hidden="1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46230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hidden="1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46230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hidden="1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46230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hidden="1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46230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hidden="1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46230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hidden="1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46230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hidden="1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46230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hidden="1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46230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hidden="1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46230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hidden="1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46230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hidden="1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46230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hidden="1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46230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hidden="1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46230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hidden="1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46230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hidden="1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46230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hidden="1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46230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hidden="1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46230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hidden="1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46230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hidden="1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46230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hidden="1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46230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hidden="1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46230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hidden="1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46230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hidden="1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46230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hidden="1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46230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hidden="1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46230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hidden="1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46230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hidden="1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46230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hidden="1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46230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hidden="1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46230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hidden="1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46230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hidden="1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46230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hidden="1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46230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hidden="1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46230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hidden="1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46230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hidden="1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46230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hidden="1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46230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hidden="1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46230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hidden="1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46230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hidden="1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46230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hidden="1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46230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hidden="1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46230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hidden="1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46230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hidden="1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46230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hidden="1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46230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hidden="1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46230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hidden="1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46230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hidden="1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46230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hidden="1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46230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hidden="1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46230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hidden="1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46230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hidden="1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46230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hidden="1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46230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hidden="1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46230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hidden="1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46230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hidden="1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46230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hidden="1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46230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hidden="1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46230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hidden="1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46230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hidden="1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46230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hidden="1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46230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hidden="1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46230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hidden="1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46230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hidden="1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46230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hidden="1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46230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hidden="1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46230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hidden="1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46230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hidden="1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46230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hidden="1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46230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hidden="1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46230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hidden="1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46230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hidden="1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46230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hidden="1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46230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hidden="1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46230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hidden="1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46230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hidden="1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46230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hidden="1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46230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hidden="1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46230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hidden="1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46230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hidden="1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46230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hidden="1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46230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hidden="1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46230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hidden="1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46230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hidden="1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46230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hidden="1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46230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hidden="1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46230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hidden="1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46230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hidden="1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46230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hidden="1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46230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hidden="1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46230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hidden="1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46230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hidden="1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46230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hidden="1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46230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hidden="1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46230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hidden="1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46230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hidden="1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46230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hidden="1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46230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hidden="1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46230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hidden="1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46230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hidden="1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46230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hidden="1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46230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hidden="1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46230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hidden="1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46230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hidden="1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46230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hidden="1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46230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hidden="1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46230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hidden="1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46230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hidden="1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46230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hidden="1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46230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hidden="1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46230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hidden="1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46230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hidden="1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46230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hidden="1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46230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hidden="1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46230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hidden="1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46230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hidden="1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46230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hidden="1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46230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hidden="1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46230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hidden="1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46230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hidden="1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46230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hidden="1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46230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hidden="1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46230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hidden="1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46230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hidden="1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46230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hidden="1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46230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hidden="1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46230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hidden="1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46230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hidden="1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46230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hidden="1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46230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hidden="1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46230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hidden="1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46230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hidden="1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46230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hidden="1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46230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hidden="1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46230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hidden="1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46230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hidden="1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46230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hidden="1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46230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hidden="1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46230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hidden="1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46230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hidden="1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46230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hidden="1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46230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hidden="1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46230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hidden="1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46230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hidden="1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46230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hidden="1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46230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hidden="1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46230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hidden="1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46230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hidden="1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46230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hidden="1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46230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hidden="1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46230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hidden="1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46230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hidden="1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46230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hidden="1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46230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hidden="1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46230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hidden="1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46230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hidden="1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46230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hidden="1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46230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hidden="1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46230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hidden="1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46230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hidden="1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46230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hidden="1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46230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hidden="1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46230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hidden="1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46230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hidden="1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46230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hidden="1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46230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hidden="1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46230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hidden="1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46230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hidden="1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46230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hidden="1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46230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hidden="1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46230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hidden="1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46230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hidden="1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46230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hidden="1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46230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hidden="1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46230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hidden="1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46230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hidden="1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46230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hidden="1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46230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hidden="1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46230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hidden="1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46230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hidden="1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46230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hidden="1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46230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hidden="1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46230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hidden="1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46230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hidden="1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46230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hidden="1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46230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hidden="1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46230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hidden="1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46230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hidden="1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46230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hidden="1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46230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hidden="1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46230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hidden="1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46230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hidden="1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46230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hidden="1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46230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hidden="1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46230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hidden="1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46230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hidden="1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46230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hidden="1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46230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hidden="1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46230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hidden="1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46230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hidden="1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46230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hidden="1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46230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hidden="1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46230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hidden="1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46230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hidden="1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46230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hidden="1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46230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hidden="1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46230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hidden="1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46230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hidden="1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46230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hidden="1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46230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hidden="1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46230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hidden="1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46230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hidden="1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46230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hidden="1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46230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hidden="1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46230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hidden="1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46230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hidden="1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46230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hidden="1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46230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hidden="1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46230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hidden="1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46230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hidden="1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46230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hidden="1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46230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hidden="1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46230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hidden="1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46230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hidden="1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46230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hidden="1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46230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hidden="1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46230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hidden="1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46230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hidden="1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46230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hidden="1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46230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hidden="1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46230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hidden="1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46230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hidden="1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46230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hidden="1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46230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hidden="1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46230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hidden="1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46230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hidden="1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46230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hidden="1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46230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hidden="1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46230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hidden="1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46230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hidden="1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46230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hidden="1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46230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hidden="1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46230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hidden="1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46230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hidden="1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46230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hidden="1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46230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hidden="1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46230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hidden="1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46230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hidden="1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46230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hidden="1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46230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hidden="1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46230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hidden="1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46230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hidden="1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46230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hidden="1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46230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hidden="1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46230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hidden="1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46230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hidden="1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46230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hidden="1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46230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hidden="1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46230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hidden="1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46230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hidden="1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46230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hidden="1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46230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hidden="1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46230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hidden="1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46230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hidden="1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46230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hidden="1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46230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hidden="1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46230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hidden="1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46230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hidden="1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46230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hidden="1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46230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hidden="1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46230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hidden="1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46230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hidden="1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46230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hidden="1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46230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hidden="1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46230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hidden="1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46230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hidden="1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46230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hidden="1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46230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hidden="1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46230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hidden="1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46230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hidden="1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46230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hidden="1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46230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hidden="1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46230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hidden="1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46230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hidden="1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46230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hidden="1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46230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hidden="1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46230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hidden="1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46230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hidden="1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46230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hidden="1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46230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hidden="1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46230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hidden="1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46230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hidden="1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46230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hidden="1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46230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hidden="1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46230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hidden="1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46230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hidden="1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46230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hidden="1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46230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hidden="1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46230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hidden="1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46230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hidden="1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46230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hidden="1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46230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hidden="1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46230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hidden="1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46230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hidden="1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46230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hidden="1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46230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hidden="1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46230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hidden="1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46230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hidden="1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46230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hidden="1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46230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hidden="1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46230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hidden="1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46230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hidden="1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46230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hidden="1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46230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hidden="1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46230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hidden="1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46230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hidden="1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46230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hidden="1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46230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hidden="1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46230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hidden="1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46230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hidden="1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46230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hidden="1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46230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hidden="1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46230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hidden="1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46230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hidden="1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46230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hidden="1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46230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hidden="1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46230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hidden="1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46230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hidden="1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46230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hidden="1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46230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hidden="1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46230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hidden="1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46230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hidden="1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46230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hidden="1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46230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hidden="1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46230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hidden="1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46230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hidden="1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46230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hidden="1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46230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hidden="1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46230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hidden="1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46230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hidden="1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46230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hidden="1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46230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hidden="1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46230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hidden="1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46230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C9" sqref="C9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157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163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164</v>
      </c>
      <c r="E14" s="35">
        <v>1</v>
      </c>
      <c r="F14" s="35">
        <v>1</v>
      </c>
      <c r="G14" s="35">
        <v>1</v>
      </c>
      <c r="H14" s="35">
        <v>1</v>
      </c>
      <c r="I14" s="35">
        <v>0.87837837837837796</v>
      </c>
      <c r="J14" s="39">
        <v>0.95499999999999985</v>
      </c>
    </row>
    <row r="15" spans="2:10" x14ac:dyDescent="0.25">
      <c r="D15" t="s">
        <v>167</v>
      </c>
      <c r="E15" s="35">
        <v>1</v>
      </c>
      <c r="F15" s="35">
        <v>1</v>
      </c>
      <c r="G15" s="35">
        <v>1</v>
      </c>
      <c r="H15" s="35">
        <v>1</v>
      </c>
      <c r="I15" s="35">
        <v>0.87837837837837796</v>
      </c>
      <c r="J15" s="39">
        <v>0.95499999999999985</v>
      </c>
    </row>
    <row r="16" spans="2:10" x14ac:dyDescent="0.25">
      <c r="D16" t="s">
        <v>168</v>
      </c>
      <c r="E16" s="35">
        <v>1</v>
      </c>
      <c r="F16" s="35">
        <v>0.88888888888888895</v>
      </c>
      <c r="G16" s="35">
        <v>1</v>
      </c>
      <c r="H16" s="35">
        <v>1</v>
      </c>
      <c r="I16" s="35">
        <v>0.78378378378378344</v>
      </c>
      <c r="J16" s="39">
        <v>0.90999999999999992</v>
      </c>
    </row>
    <row r="17" spans="3:10" x14ac:dyDescent="0.25">
      <c r="D17" t="s">
        <v>171</v>
      </c>
      <c r="E17" s="35">
        <v>1</v>
      </c>
      <c r="F17" s="35">
        <v>0.55555555555555558</v>
      </c>
      <c r="G17" s="35">
        <v>0.72727272727272729</v>
      </c>
      <c r="H17" s="35">
        <v>1</v>
      </c>
      <c r="I17" s="35">
        <v>0.66216216216216184</v>
      </c>
      <c r="J17" s="39">
        <v>0.80499999999999983</v>
      </c>
    </row>
    <row r="18" spans="3:10" x14ac:dyDescent="0.25">
      <c r="D18" t="s">
        <v>172</v>
      </c>
      <c r="E18" s="35">
        <v>1</v>
      </c>
      <c r="F18" s="35">
        <v>0.88888888888888895</v>
      </c>
      <c r="G18" s="35">
        <v>0.27272727272727271</v>
      </c>
      <c r="H18" s="35">
        <v>1</v>
      </c>
      <c r="I18" s="35">
        <v>0.89189189189189144</v>
      </c>
      <c r="J18" s="39">
        <v>0.86999999999999988</v>
      </c>
    </row>
    <row r="19" spans="3:10" x14ac:dyDescent="0.25">
      <c r="D19" t="s">
        <v>175</v>
      </c>
      <c r="E19" s="35">
        <v>1</v>
      </c>
      <c r="F19" s="35">
        <v>0.55555555555555558</v>
      </c>
      <c r="G19" s="35">
        <v>0.54545454545454541</v>
      </c>
      <c r="H19" s="35">
        <v>0</v>
      </c>
      <c r="I19" s="35">
        <v>0.51351351351351338</v>
      </c>
      <c r="J19" s="39">
        <v>0.73</v>
      </c>
    </row>
    <row r="20" spans="3:10" x14ac:dyDescent="0.25">
      <c r="D20" t="s">
        <v>176</v>
      </c>
      <c r="E20" s="35">
        <v>1</v>
      </c>
      <c r="F20" s="35">
        <v>0.55555555555555558</v>
      </c>
      <c r="G20" s="35">
        <v>0.54545454545454541</v>
      </c>
      <c r="H20" s="35">
        <v>1</v>
      </c>
      <c r="I20" s="35">
        <v>0.63513513513513487</v>
      </c>
      <c r="J20" s="39">
        <v>0.77499999999999991</v>
      </c>
    </row>
    <row r="21" spans="3:10" x14ac:dyDescent="0.25">
      <c r="D21" t="s">
        <v>179</v>
      </c>
      <c r="E21" s="35">
        <v>1</v>
      </c>
      <c r="F21" s="35">
        <v>0.55555555555555558</v>
      </c>
      <c r="G21" s="35">
        <v>0.27272727272727271</v>
      </c>
      <c r="H21" s="35">
        <v>0</v>
      </c>
      <c r="I21" s="35">
        <v>0.43243243243243235</v>
      </c>
      <c r="J21" s="39">
        <v>0.66999999999999993</v>
      </c>
    </row>
    <row r="22" spans="3:10" x14ac:dyDescent="0.25">
      <c r="D22" t="s">
        <v>180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0.51351351351351338</v>
      </c>
      <c r="J22" s="39">
        <v>0.69</v>
      </c>
    </row>
    <row r="23" spans="3:10" x14ac:dyDescent="0.25">
      <c r="D23" t="s">
        <v>183</v>
      </c>
      <c r="E23" s="35">
        <v>1</v>
      </c>
      <c r="F23" s="35">
        <v>0.44444444444444442</v>
      </c>
      <c r="G23" s="35">
        <v>0.27272727272727271</v>
      </c>
      <c r="H23" s="35">
        <v>0</v>
      </c>
      <c r="I23" s="35">
        <v>0.27027027027027017</v>
      </c>
      <c r="J23" s="39">
        <v>0.6</v>
      </c>
    </row>
    <row r="24" spans="3:10" x14ac:dyDescent="0.25">
      <c r="D24" t="s">
        <v>184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0.21621621621621614</v>
      </c>
      <c r="J24" s="39">
        <v>0.57999999999999996</v>
      </c>
    </row>
    <row r="25" spans="3:10" x14ac:dyDescent="0.25">
      <c r="D25" t="s">
        <v>187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0.37837837837837829</v>
      </c>
      <c r="J25" s="39">
        <v>0.6399999999999999</v>
      </c>
    </row>
    <row r="26" spans="3:10" x14ac:dyDescent="0.25">
      <c r="D26" t="s">
        <v>188</v>
      </c>
      <c r="E26" s="35">
        <v>1</v>
      </c>
      <c r="F26" s="35">
        <v>0.44444444444444442</v>
      </c>
      <c r="G26" s="35">
        <v>0.27272727272727271</v>
      </c>
      <c r="H26" s="35">
        <v>0</v>
      </c>
      <c r="I26" s="35">
        <v>0.21621621621621614</v>
      </c>
      <c r="J26" s="39">
        <v>0.57999999999999996</v>
      </c>
    </row>
    <row r="27" spans="3:10" x14ac:dyDescent="0.25">
      <c r="C27" t="s">
        <v>58</v>
      </c>
      <c r="E27" s="35"/>
      <c r="F27" s="35"/>
      <c r="G27" s="35"/>
      <c r="H27" s="35"/>
      <c r="I27" s="35"/>
      <c r="J27" s="39"/>
    </row>
    <row r="28" spans="3:10" x14ac:dyDescent="0.25">
      <c r="D28" t="s">
        <v>162</v>
      </c>
      <c r="E28" s="35">
        <v>1</v>
      </c>
      <c r="F28" s="35">
        <v>1</v>
      </c>
      <c r="G28" s="35">
        <v>1</v>
      </c>
      <c r="H28" s="35">
        <v>1</v>
      </c>
      <c r="I28" s="35">
        <v>0.95945945945945899</v>
      </c>
      <c r="J28" s="39">
        <v>0.98499999999999988</v>
      </c>
    </row>
    <row r="29" spans="3:10" x14ac:dyDescent="0.25">
      <c r="D29" t="s">
        <v>169</v>
      </c>
      <c r="E29" s="35">
        <v>1</v>
      </c>
      <c r="F29" s="35">
        <v>1</v>
      </c>
      <c r="G29" s="35">
        <v>1</v>
      </c>
      <c r="H29" s="35">
        <v>1</v>
      </c>
      <c r="I29" s="35">
        <v>0.89189189189189144</v>
      </c>
      <c r="J29" s="39">
        <v>0.95999999999999985</v>
      </c>
    </row>
    <row r="30" spans="3:10" x14ac:dyDescent="0.25">
      <c r="D30" t="s">
        <v>170</v>
      </c>
      <c r="E30" s="35">
        <v>1</v>
      </c>
      <c r="F30" s="35">
        <v>1</v>
      </c>
      <c r="G30" s="35">
        <v>1</v>
      </c>
      <c r="H30" s="35">
        <v>1</v>
      </c>
      <c r="I30" s="35">
        <v>0.90540540540540504</v>
      </c>
      <c r="J30" s="39">
        <v>0.96499999999999986</v>
      </c>
    </row>
    <row r="31" spans="3:10" x14ac:dyDescent="0.25">
      <c r="D31" t="s">
        <v>173</v>
      </c>
      <c r="E31" s="35">
        <v>1</v>
      </c>
      <c r="F31" s="35">
        <v>1</v>
      </c>
      <c r="G31" s="35">
        <v>1</v>
      </c>
      <c r="H31" s="35">
        <v>1</v>
      </c>
      <c r="I31" s="35">
        <v>0.79729729729729704</v>
      </c>
      <c r="J31" s="39">
        <v>0.92499999999999982</v>
      </c>
    </row>
    <row r="32" spans="3:10" x14ac:dyDescent="0.25">
      <c r="D32" t="s">
        <v>174</v>
      </c>
      <c r="E32" s="35">
        <v>1</v>
      </c>
      <c r="F32" s="35">
        <v>1</v>
      </c>
      <c r="G32" s="35">
        <v>0.63636363636363635</v>
      </c>
      <c r="H32" s="35">
        <v>1</v>
      </c>
      <c r="I32" s="35">
        <v>0.82432432432432401</v>
      </c>
      <c r="J32" s="39">
        <v>0.8949999999999998</v>
      </c>
    </row>
    <row r="33" spans="2:10" x14ac:dyDescent="0.25">
      <c r="D33" t="s">
        <v>177</v>
      </c>
      <c r="E33" s="35">
        <v>1</v>
      </c>
      <c r="F33" s="35">
        <v>1</v>
      </c>
      <c r="G33" s="35">
        <v>0.63636363636363635</v>
      </c>
      <c r="H33" s="35">
        <v>1</v>
      </c>
      <c r="I33" s="35">
        <v>0.75675675675675647</v>
      </c>
      <c r="J33" s="39">
        <v>0.86999999999999988</v>
      </c>
    </row>
    <row r="34" spans="2:10" x14ac:dyDescent="0.25">
      <c r="D34" t="s">
        <v>178</v>
      </c>
      <c r="E34" s="35">
        <v>1</v>
      </c>
      <c r="F34" s="35">
        <v>1</v>
      </c>
      <c r="G34" s="35">
        <v>0.63636363636363635</v>
      </c>
      <c r="H34" s="35">
        <v>1</v>
      </c>
      <c r="I34" s="35">
        <v>0.95945945945945899</v>
      </c>
      <c r="J34" s="39">
        <v>0.94499999999999984</v>
      </c>
    </row>
    <row r="35" spans="2:10" x14ac:dyDescent="0.25">
      <c r="D35" t="s">
        <v>181</v>
      </c>
      <c r="E35" s="35">
        <v>1</v>
      </c>
      <c r="F35" s="35">
        <v>1</v>
      </c>
      <c r="G35" s="35">
        <v>0.63636363636363635</v>
      </c>
      <c r="H35" s="35">
        <v>1</v>
      </c>
      <c r="I35" s="35">
        <v>0.82432432432432401</v>
      </c>
      <c r="J35" s="39">
        <v>0.8949999999999998</v>
      </c>
    </row>
    <row r="36" spans="2:10" x14ac:dyDescent="0.25">
      <c r="D36" t="s">
        <v>182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0.58108108108108092</v>
      </c>
      <c r="J36" s="39">
        <v>0.80499999999999994</v>
      </c>
    </row>
    <row r="37" spans="2:10" x14ac:dyDescent="0.25">
      <c r="D37" t="s">
        <v>185</v>
      </c>
      <c r="E37" s="35">
        <v>1</v>
      </c>
      <c r="F37" s="35">
        <v>1</v>
      </c>
      <c r="G37" s="35">
        <v>0.63636363636363635</v>
      </c>
      <c r="H37" s="35">
        <v>1</v>
      </c>
      <c r="I37" s="35">
        <v>0.87837837837837796</v>
      </c>
      <c r="J37" s="39">
        <v>0.91499999999999981</v>
      </c>
    </row>
    <row r="38" spans="2:10" x14ac:dyDescent="0.25">
      <c r="D38" t="s">
        <v>186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0.66216216216216184</v>
      </c>
      <c r="J38" s="39">
        <v>0.83499999999999985</v>
      </c>
    </row>
    <row r="39" spans="2:10" x14ac:dyDescent="0.25">
      <c r="D39" t="s">
        <v>189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0.74324324324324298</v>
      </c>
      <c r="J39" s="39">
        <v>0.86499999999999988</v>
      </c>
    </row>
    <row r="40" spans="2:10" x14ac:dyDescent="0.25">
      <c r="B40" t="s">
        <v>190</v>
      </c>
      <c r="E40" s="35"/>
      <c r="F40" s="35"/>
      <c r="G40" s="35"/>
      <c r="H40" s="35"/>
      <c r="I40" s="35"/>
      <c r="J40" s="39"/>
    </row>
    <row r="41" spans="2:10" x14ac:dyDescent="0.25">
      <c r="C41" t="s">
        <v>60</v>
      </c>
      <c r="E41" s="35"/>
      <c r="F41" s="35"/>
      <c r="G41" s="35"/>
      <c r="H41" s="35"/>
      <c r="I41" s="35"/>
      <c r="J41" s="39"/>
    </row>
    <row r="42" spans="2:10" x14ac:dyDescent="0.25">
      <c r="D42" t="s">
        <v>192</v>
      </c>
      <c r="E42" s="35">
        <v>1</v>
      </c>
      <c r="F42" s="35">
        <v>0.44444444444444442</v>
      </c>
      <c r="G42" s="35">
        <v>0.27272727272727271</v>
      </c>
      <c r="H42" s="35">
        <v>0</v>
      </c>
      <c r="I42" s="35">
        <v>0.27027027027027017</v>
      </c>
      <c r="J42" s="39">
        <v>0.6</v>
      </c>
    </row>
    <row r="43" spans="2:10" x14ac:dyDescent="0.25">
      <c r="D43" t="s">
        <v>193</v>
      </c>
      <c r="E43" s="35">
        <v>1</v>
      </c>
      <c r="F43" s="35">
        <v>0.44444444444444442</v>
      </c>
      <c r="G43" s="35">
        <v>0.54545454545454541</v>
      </c>
      <c r="H43" s="35">
        <v>0</v>
      </c>
      <c r="I43" s="35">
        <v>0.21621621621621614</v>
      </c>
      <c r="J43" s="39">
        <v>0.61</v>
      </c>
    </row>
    <row r="44" spans="2:10" x14ac:dyDescent="0.25">
      <c r="D44" t="s">
        <v>196</v>
      </c>
      <c r="E44" s="35">
        <v>0.90697674418604646</v>
      </c>
      <c r="F44" s="35">
        <v>0.44444444444444442</v>
      </c>
      <c r="G44" s="35">
        <v>0.27272727272727271</v>
      </c>
      <c r="H44" s="35">
        <v>0</v>
      </c>
      <c r="I44" s="35">
        <v>0.21621621621621614</v>
      </c>
      <c r="J44" s="39">
        <v>0.53999999999999992</v>
      </c>
    </row>
    <row r="45" spans="2:10" x14ac:dyDescent="0.25">
      <c r="D45" t="s">
        <v>197</v>
      </c>
      <c r="E45" s="35">
        <v>1</v>
      </c>
      <c r="F45" s="35">
        <v>0.44444444444444442</v>
      </c>
      <c r="G45" s="35">
        <v>0.27272727272727271</v>
      </c>
      <c r="H45" s="35">
        <v>0</v>
      </c>
      <c r="I45" s="35">
        <v>0.37837837837837829</v>
      </c>
      <c r="J45" s="39">
        <v>0.6399999999999999</v>
      </c>
    </row>
    <row r="46" spans="2:10" x14ac:dyDescent="0.25">
      <c r="D46" t="s">
        <v>200</v>
      </c>
      <c r="E46" s="35">
        <v>1</v>
      </c>
      <c r="F46" s="35">
        <v>0.44444444444444442</v>
      </c>
      <c r="G46" s="35">
        <v>0.27272727272727271</v>
      </c>
      <c r="H46" s="35">
        <v>0</v>
      </c>
      <c r="I46" s="35">
        <v>8.1081081081081058E-2</v>
      </c>
      <c r="J46" s="39">
        <v>0.53</v>
      </c>
    </row>
    <row r="47" spans="2:10" x14ac:dyDescent="0.25">
      <c r="D47" t="s">
        <v>201</v>
      </c>
      <c r="E47" s="35">
        <v>1</v>
      </c>
      <c r="F47" s="35">
        <v>0.44444444444444442</v>
      </c>
      <c r="G47" s="35">
        <v>0.27272727272727271</v>
      </c>
      <c r="H47" s="35">
        <v>0</v>
      </c>
      <c r="I47" s="35">
        <v>0.21621621621621614</v>
      </c>
      <c r="J47" s="39">
        <v>0.57999999999999996</v>
      </c>
    </row>
    <row r="48" spans="2:10" x14ac:dyDescent="0.25">
      <c r="D48" t="s">
        <v>204</v>
      </c>
      <c r="E48" s="35">
        <v>1</v>
      </c>
      <c r="F48" s="35">
        <v>0.44444444444444442</v>
      </c>
      <c r="G48" s="35">
        <v>0.27272727272727271</v>
      </c>
      <c r="H48" s="35">
        <v>0</v>
      </c>
      <c r="I48" s="35">
        <v>0.21621621621621614</v>
      </c>
      <c r="J48" s="39">
        <v>0.57999999999999996</v>
      </c>
    </row>
    <row r="49" spans="3:10" x14ac:dyDescent="0.25">
      <c r="D49" t="s">
        <v>205</v>
      </c>
      <c r="E49" s="35">
        <v>1</v>
      </c>
      <c r="F49" s="35">
        <v>0.44444444444444442</v>
      </c>
      <c r="G49" s="35">
        <v>0.27272727272727271</v>
      </c>
      <c r="H49" s="35">
        <v>0</v>
      </c>
      <c r="I49" s="35">
        <v>0.21621621621621614</v>
      </c>
      <c r="J49" s="39">
        <v>0.57999999999999996</v>
      </c>
    </row>
    <row r="50" spans="3:10" x14ac:dyDescent="0.25">
      <c r="D50" t="s">
        <v>208</v>
      </c>
      <c r="E50" s="35">
        <v>0.90697674418604646</v>
      </c>
      <c r="F50" s="35">
        <v>0</v>
      </c>
      <c r="G50" s="35">
        <v>0</v>
      </c>
      <c r="H50" s="35">
        <v>0</v>
      </c>
      <c r="I50" s="35">
        <v>0</v>
      </c>
      <c r="J50" s="39">
        <v>0.38999999999999996</v>
      </c>
    </row>
    <row r="51" spans="3:10" x14ac:dyDescent="0.25">
      <c r="D51" t="s">
        <v>209</v>
      </c>
      <c r="E51" s="35">
        <v>0.90697674418604646</v>
      </c>
      <c r="F51" s="35">
        <v>0</v>
      </c>
      <c r="G51" s="35">
        <v>0</v>
      </c>
      <c r="H51" s="35">
        <v>0</v>
      </c>
      <c r="I51" s="35">
        <v>0</v>
      </c>
      <c r="J51" s="39">
        <v>0.38999999999999996</v>
      </c>
    </row>
    <row r="52" spans="3:10" x14ac:dyDescent="0.25">
      <c r="D52" t="s">
        <v>212</v>
      </c>
      <c r="E52" s="35">
        <v>0.90697674418604646</v>
      </c>
      <c r="F52" s="35">
        <v>0</v>
      </c>
      <c r="G52" s="35">
        <v>0</v>
      </c>
      <c r="H52" s="35">
        <v>0</v>
      </c>
      <c r="I52" s="35">
        <v>0</v>
      </c>
      <c r="J52" s="39">
        <v>0.38999999999999996</v>
      </c>
    </row>
    <row r="53" spans="3:10" x14ac:dyDescent="0.25">
      <c r="D53" t="s">
        <v>213</v>
      </c>
      <c r="E53" s="35">
        <v>0.90697674418604646</v>
      </c>
      <c r="F53" s="35">
        <v>0</v>
      </c>
      <c r="G53" s="35">
        <v>0</v>
      </c>
      <c r="H53" s="35">
        <v>0</v>
      </c>
      <c r="I53" s="35">
        <v>0</v>
      </c>
      <c r="J53" s="39">
        <v>0.38999999999999996</v>
      </c>
    </row>
    <row r="54" spans="3:10" x14ac:dyDescent="0.25">
      <c r="C54" t="s">
        <v>58</v>
      </c>
      <c r="E54" s="35"/>
      <c r="F54" s="35"/>
      <c r="G54" s="35"/>
      <c r="H54" s="35"/>
      <c r="I54" s="35"/>
      <c r="J54" s="39"/>
    </row>
    <row r="55" spans="3:10" x14ac:dyDescent="0.25">
      <c r="D55" t="s">
        <v>191</v>
      </c>
      <c r="E55" s="35">
        <v>1</v>
      </c>
      <c r="F55" s="35">
        <v>1</v>
      </c>
      <c r="G55" s="35">
        <v>0.63636363636363635</v>
      </c>
      <c r="H55" s="35">
        <v>0</v>
      </c>
      <c r="I55" s="35">
        <v>0.58108108108108092</v>
      </c>
      <c r="J55" s="39">
        <v>0.80499999999999994</v>
      </c>
    </row>
    <row r="56" spans="3:10" x14ac:dyDescent="0.25">
      <c r="D56" t="s">
        <v>194</v>
      </c>
      <c r="E56" s="35">
        <v>1</v>
      </c>
      <c r="F56" s="35">
        <v>1</v>
      </c>
      <c r="G56" s="35">
        <v>0.63636363636363635</v>
      </c>
      <c r="H56" s="35">
        <v>0</v>
      </c>
      <c r="I56" s="35">
        <v>0.58108108108108092</v>
      </c>
      <c r="J56" s="39">
        <v>0.80499999999999994</v>
      </c>
    </row>
    <row r="57" spans="3:10" x14ac:dyDescent="0.25">
      <c r="D57" t="s">
        <v>195</v>
      </c>
      <c r="E57" s="35">
        <v>1</v>
      </c>
      <c r="F57" s="35">
        <v>1</v>
      </c>
      <c r="G57" s="35">
        <v>0.63636363636363635</v>
      </c>
      <c r="H57" s="35">
        <v>0</v>
      </c>
      <c r="I57" s="35">
        <v>0</v>
      </c>
      <c r="J57" s="39">
        <v>0.59</v>
      </c>
    </row>
    <row r="58" spans="3:10" x14ac:dyDescent="0.25">
      <c r="D58" t="s">
        <v>198</v>
      </c>
      <c r="E58" s="35">
        <v>1</v>
      </c>
      <c r="F58" s="35">
        <v>1</v>
      </c>
      <c r="G58" s="35">
        <v>0.63636363636363635</v>
      </c>
      <c r="H58" s="35">
        <v>0</v>
      </c>
      <c r="I58" s="35">
        <v>0.63513513513513487</v>
      </c>
      <c r="J58" s="39">
        <v>0.82499999999999984</v>
      </c>
    </row>
    <row r="59" spans="3:10" x14ac:dyDescent="0.25">
      <c r="D59" t="s">
        <v>199</v>
      </c>
      <c r="E59" s="35">
        <v>0.90697674418604646</v>
      </c>
      <c r="F59" s="35">
        <v>0</v>
      </c>
      <c r="G59" s="35">
        <v>0</v>
      </c>
      <c r="H59" s="35">
        <v>0</v>
      </c>
      <c r="I59" s="35">
        <v>0</v>
      </c>
      <c r="J59" s="39">
        <v>0.38999999999999996</v>
      </c>
    </row>
    <row r="60" spans="3:10" x14ac:dyDescent="0.25">
      <c r="D60" t="s">
        <v>202</v>
      </c>
      <c r="E60" s="35">
        <v>1</v>
      </c>
      <c r="F60" s="35">
        <v>1</v>
      </c>
      <c r="G60" s="35">
        <v>0.63636363636363635</v>
      </c>
      <c r="H60" s="35">
        <v>0</v>
      </c>
      <c r="I60" s="35">
        <v>0.52702702702702686</v>
      </c>
      <c r="J60" s="39">
        <v>0.78499999999999992</v>
      </c>
    </row>
    <row r="61" spans="3:10" x14ac:dyDescent="0.25">
      <c r="D61" t="s">
        <v>203</v>
      </c>
      <c r="E61" s="35">
        <v>0.90697674418604646</v>
      </c>
      <c r="F61" s="35">
        <v>0</v>
      </c>
      <c r="G61" s="35">
        <v>0</v>
      </c>
      <c r="H61" s="35">
        <v>0</v>
      </c>
      <c r="I61" s="35">
        <v>0</v>
      </c>
      <c r="J61" s="39">
        <v>0.38999999999999996</v>
      </c>
    </row>
    <row r="62" spans="3:10" x14ac:dyDescent="0.25">
      <c r="D62" t="s">
        <v>206</v>
      </c>
      <c r="E62" s="35">
        <v>1</v>
      </c>
      <c r="F62" s="35">
        <v>1</v>
      </c>
      <c r="G62" s="35">
        <v>0.63636363636363635</v>
      </c>
      <c r="H62" s="35">
        <v>0</v>
      </c>
      <c r="I62" s="35">
        <v>0.16216216216216212</v>
      </c>
      <c r="J62" s="39">
        <v>0.64999999999999991</v>
      </c>
    </row>
    <row r="63" spans="3:10" x14ac:dyDescent="0.25">
      <c r="D63" t="s">
        <v>207</v>
      </c>
      <c r="E63" s="35">
        <v>0.90697674418604646</v>
      </c>
      <c r="F63" s="35">
        <v>0</v>
      </c>
      <c r="G63" s="35">
        <v>0</v>
      </c>
      <c r="H63" s="35">
        <v>0</v>
      </c>
      <c r="I63" s="35">
        <v>0</v>
      </c>
      <c r="J63" s="39">
        <v>0.38999999999999996</v>
      </c>
    </row>
    <row r="64" spans="3:10" x14ac:dyDescent="0.25">
      <c r="D64" t="s">
        <v>210</v>
      </c>
      <c r="E64" s="35">
        <v>0.90697674418604646</v>
      </c>
      <c r="F64" s="35">
        <v>0</v>
      </c>
      <c r="G64" s="35">
        <v>0</v>
      </c>
      <c r="H64" s="35">
        <v>0</v>
      </c>
      <c r="I64" s="35">
        <v>0</v>
      </c>
      <c r="J64" s="39">
        <v>0.38999999999999996</v>
      </c>
    </row>
    <row r="65" spans="4:10" x14ac:dyDescent="0.25">
      <c r="D65" t="s">
        <v>211</v>
      </c>
      <c r="E65" s="35">
        <v>1</v>
      </c>
      <c r="F65" s="35">
        <v>1</v>
      </c>
      <c r="G65" s="35">
        <v>0.63636363636363635</v>
      </c>
      <c r="H65" s="35">
        <v>0</v>
      </c>
      <c r="I65" s="35">
        <v>0.44594594594594578</v>
      </c>
      <c r="J65" s="39">
        <v>0.75499999999999989</v>
      </c>
    </row>
    <row r="66" spans="4:10" x14ac:dyDescent="0.25">
      <c r="D66" t="s">
        <v>214</v>
      </c>
      <c r="E66" s="35">
        <v>0.90697674418604646</v>
      </c>
      <c r="F66" s="35">
        <v>0</v>
      </c>
      <c r="G66" s="35">
        <v>0</v>
      </c>
      <c r="H66" s="35">
        <v>0</v>
      </c>
      <c r="I66" s="35">
        <v>0</v>
      </c>
      <c r="J66" s="39">
        <v>0.38999999999999996</v>
      </c>
    </row>
    <row r="67" spans="4:10" x14ac:dyDescent="0.25">
      <c r="D67" t="s">
        <v>215</v>
      </c>
      <c r="E67" s="35">
        <v>0.27906976744186046</v>
      </c>
      <c r="F67" s="35">
        <v>0</v>
      </c>
      <c r="G67" s="35">
        <v>0</v>
      </c>
      <c r="H67" s="35">
        <v>0</v>
      </c>
      <c r="I67" s="35">
        <v>0</v>
      </c>
      <c r="J67" s="39">
        <v>0.12</v>
      </c>
    </row>
    <row r="68" spans="4:10" x14ac:dyDescent="0.25">
      <c r="D68" t="s">
        <v>222</v>
      </c>
      <c r="E68" s="35">
        <v>0.27906976744186046</v>
      </c>
      <c r="F68" s="35">
        <v>0</v>
      </c>
      <c r="G68" s="35">
        <v>0</v>
      </c>
      <c r="H68" s="35">
        <v>0</v>
      </c>
      <c r="I68" s="35">
        <v>0</v>
      </c>
      <c r="J68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70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70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J70:J1048576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J70:J1048576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E70:I1048576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157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163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164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167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168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171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172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175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176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179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180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183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184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187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188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E26" t="s">
        <v>58</v>
      </c>
      <c r="G26" s="35"/>
      <c r="H26" s="35"/>
      <c r="I26" s="35"/>
      <c r="J26" s="35"/>
      <c r="K26" s="35"/>
      <c r="L26" s="35"/>
      <c r="M26"/>
    </row>
    <row r="27" spans="5:13" x14ac:dyDescent="0.25">
      <c r="F27" t="s">
        <v>162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169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170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173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174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177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178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181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182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185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186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189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D39" t="s">
        <v>190</v>
      </c>
      <c r="G39" s="35"/>
      <c r="H39" s="35"/>
      <c r="I39" s="35"/>
      <c r="J39" s="35"/>
      <c r="K39" s="35"/>
      <c r="L39" s="35"/>
      <c r="M39"/>
    </row>
    <row r="40" spans="4:13" x14ac:dyDescent="0.25">
      <c r="E40" t="s">
        <v>60</v>
      </c>
      <c r="G40" s="35"/>
      <c r="H40" s="35"/>
      <c r="I40" s="35"/>
      <c r="J40" s="35"/>
      <c r="K40" s="35"/>
      <c r="L40" s="35"/>
      <c r="M40"/>
    </row>
    <row r="41" spans="4:13" x14ac:dyDescent="0.25">
      <c r="F41" t="s">
        <v>192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193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196</v>
      </c>
      <c r="G43" s="35">
        <v>1</v>
      </c>
      <c r="H43" s="35">
        <v>1</v>
      </c>
      <c r="I43" s="35">
        <v>1</v>
      </c>
      <c r="J43" s="35">
        <v>1</v>
      </c>
      <c r="K43" s="35">
        <v>0</v>
      </c>
      <c r="L43" s="35">
        <v>0.90697674418604646</v>
      </c>
      <c r="M43"/>
    </row>
    <row r="44" spans="4:13" x14ac:dyDescent="0.25">
      <c r="F44" t="s">
        <v>197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200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201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204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205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208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209</v>
      </c>
      <c r="G50" s="35">
        <v>1</v>
      </c>
      <c r="H50" s="35">
        <v>1</v>
      </c>
      <c r="I50" s="35">
        <v>1</v>
      </c>
      <c r="J50" s="35">
        <v>1</v>
      </c>
      <c r="K50" s="35">
        <v>0</v>
      </c>
      <c r="L50" s="35">
        <v>0.90697674418604646</v>
      </c>
      <c r="M50"/>
    </row>
    <row r="51" spans="5:13" x14ac:dyDescent="0.25">
      <c r="F51" t="s">
        <v>212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213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E53" t="s">
        <v>58</v>
      </c>
      <c r="G53" s="35"/>
      <c r="H53" s="35"/>
      <c r="I53" s="35"/>
      <c r="J53" s="35"/>
      <c r="K53" s="35"/>
      <c r="L53" s="35"/>
      <c r="M53"/>
    </row>
    <row r="54" spans="5:13" x14ac:dyDescent="0.25">
      <c r="F54" t="s">
        <v>191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194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195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198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199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202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203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5:13" x14ac:dyDescent="0.25">
      <c r="F61" t="s">
        <v>206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207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5:13" x14ac:dyDescent="0.25">
      <c r="F63" t="s">
        <v>210</v>
      </c>
      <c r="G63" s="35">
        <v>1</v>
      </c>
      <c r="H63" s="35">
        <v>1</v>
      </c>
      <c r="I63" s="35">
        <v>1</v>
      </c>
      <c r="J63" s="35">
        <v>1</v>
      </c>
      <c r="K63" s="35">
        <v>0</v>
      </c>
      <c r="L63" s="35">
        <v>0.90697674418604646</v>
      </c>
      <c r="M63" s="35"/>
    </row>
    <row r="64" spans="5:13" x14ac:dyDescent="0.25">
      <c r="F64" t="s">
        <v>211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214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6:13" x14ac:dyDescent="0.25">
      <c r="F66" t="s">
        <v>215</v>
      </c>
      <c r="G66" s="35">
        <v>1</v>
      </c>
      <c r="H66" s="35">
        <v>0</v>
      </c>
      <c r="I66" s="35">
        <v>0</v>
      </c>
      <c r="J66" s="35">
        <v>0</v>
      </c>
      <c r="K66" s="35">
        <v>0</v>
      </c>
      <c r="L66" s="35">
        <v>0.27906976744186046</v>
      </c>
      <c r="M66" s="35"/>
    </row>
    <row r="67" spans="6:13" x14ac:dyDescent="0.25">
      <c r="F67" t="s">
        <v>222</v>
      </c>
      <c r="G67" s="35">
        <v>1</v>
      </c>
      <c r="H67" s="35">
        <v>0</v>
      </c>
      <c r="I67" s="35">
        <v>0</v>
      </c>
      <c r="J67" s="35">
        <v>0</v>
      </c>
      <c r="K67" s="35">
        <v>0</v>
      </c>
      <c r="L67" s="35">
        <v>0.27906976744186046</v>
      </c>
      <c r="M67" s="35"/>
    </row>
    <row r="68" spans="6:13" x14ac:dyDescent="0.25">
      <c r="H68"/>
      <c r="I68"/>
      <c r="J68"/>
      <c r="K68"/>
      <c r="L68"/>
      <c r="M68" s="35"/>
    </row>
    <row r="69" spans="6:13" x14ac:dyDescent="0.25">
      <c r="H69"/>
      <c r="I69"/>
      <c r="J69"/>
      <c r="K69"/>
      <c r="L69"/>
      <c r="M69" s="35"/>
    </row>
    <row r="70" spans="6:13" x14ac:dyDescent="0.25">
      <c r="H70"/>
      <c r="I70"/>
      <c r="J70"/>
      <c r="K70"/>
      <c r="L70"/>
      <c r="M70" s="35"/>
    </row>
    <row r="71" spans="6:13" x14ac:dyDescent="0.25">
      <c r="H71"/>
      <c r="I71"/>
      <c r="J71"/>
      <c r="K71"/>
      <c r="L71"/>
      <c r="M71" s="35"/>
    </row>
    <row r="72" spans="6:13" x14ac:dyDescent="0.25">
      <c r="H72"/>
      <c r="I72"/>
      <c r="J72"/>
      <c r="K72"/>
      <c r="L72"/>
      <c r="M72" s="35"/>
    </row>
    <row r="73" spans="6:13" x14ac:dyDescent="0.25">
      <c r="H73"/>
      <c r="I73"/>
      <c r="J73"/>
      <c r="K73"/>
      <c r="L73"/>
      <c r="M73" s="35"/>
    </row>
    <row r="74" spans="6:13" x14ac:dyDescent="0.25">
      <c r="H74"/>
      <c r="I74"/>
      <c r="J74"/>
      <c r="K74"/>
      <c r="L74"/>
      <c r="M74" s="35"/>
    </row>
    <row r="75" spans="6:13" x14ac:dyDescent="0.25">
      <c r="H75"/>
      <c r="I75"/>
      <c r="J75"/>
      <c r="K75"/>
      <c r="L75"/>
      <c r="M75" s="35"/>
    </row>
    <row r="76" spans="6:13" x14ac:dyDescent="0.25">
      <c r="H76"/>
      <c r="I76"/>
      <c r="J76"/>
      <c r="K76"/>
      <c r="L76"/>
      <c r="M76" s="35"/>
    </row>
    <row r="77" spans="6:13" x14ac:dyDescent="0.25">
      <c r="H77"/>
      <c r="I77"/>
      <c r="J77"/>
      <c r="K77"/>
      <c r="L77"/>
      <c r="M77" s="35"/>
    </row>
    <row r="78" spans="6:13" x14ac:dyDescent="0.25">
      <c r="H78"/>
      <c r="I78"/>
      <c r="J78"/>
      <c r="K78"/>
      <c r="L78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G79:K1048576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63"/>
  <sheetViews>
    <sheetView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t="s">
        <v>157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C11" t="s">
        <v>162</v>
      </c>
      <c r="D11" s="79">
        <v>3</v>
      </c>
      <c r="E11" s="45">
        <v>29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  <c r="K11" s="35">
        <v>1</v>
      </c>
    </row>
    <row r="12" spans="2:12" x14ac:dyDescent="0.25">
      <c r="C12" t="s">
        <v>163</v>
      </c>
      <c r="D12" s="79">
        <v>3</v>
      </c>
      <c r="E12" s="45">
        <v>19</v>
      </c>
      <c r="F12" s="35">
        <v>1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</row>
    <row r="13" spans="2:12" x14ac:dyDescent="0.25">
      <c r="C13" t="s">
        <v>164</v>
      </c>
      <c r="D13" s="79">
        <v>4</v>
      </c>
      <c r="E13" s="45">
        <v>18</v>
      </c>
      <c r="F13" s="35">
        <v>1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</row>
    <row r="14" spans="2:12" x14ac:dyDescent="0.25">
      <c r="C14" t="s">
        <v>167</v>
      </c>
      <c r="D14" s="79">
        <v>3</v>
      </c>
      <c r="E14" s="45">
        <v>15</v>
      </c>
      <c r="F14" s="35">
        <v>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</row>
    <row r="15" spans="2:12" x14ac:dyDescent="0.25">
      <c r="C15" t="s">
        <v>168</v>
      </c>
      <c r="D15" s="79">
        <v>3</v>
      </c>
      <c r="E15" s="45">
        <v>14</v>
      </c>
      <c r="F15" s="35">
        <v>1</v>
      </c>
      <c r="G15" s="35">
        <v>1</v>
      </c>
      <c r="H15" s="35">
        <v>0</v>
      </c>
      <c r="I15" s="35">
        <v>1</v>
      </c>
      <c r="J15" s="35">
        <v>1</v>
      </c>
      <c r="K15" s="35">
        <v>1</v>
      </c>
    </row>
    <row r="16" spans="2:12" x14ac:dyDescent="0.25">
      <c r="C16" t="s">
        <v>169</v>
      </c>
      <c r="D16" s="79">
        <v>3</v>
      </c>
      <c r="E16" s="45">
        <v>24</v>
      </c>
      <c r="F16" s="35">
        <v>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</row>
    <row r="17" spans="3:11" x14ac:dyDescent="0.25">
      <c r="C17" t="s">
        <v>170</v>
      </c>
      <c r="D17" s="79">
        <v>3</v>
      </c>
      <c r="E17" s="45">
        <v>23</v>
      </c>
      <c r="F17" s="35">
        <v>1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</row>
    <row r="18" spans="3:11" x14ac:dyDescent="0.25">
      <c r="C18" t="s">
        <v>171</v>
      </c>
      <c r="D18" s="79">
        <v>3</v>
      </c>
      <c r="E18" s="45">
        <v>13</v>
      </c>
      <c r="F18" s="35">
        <v>1</v>
      </c>
      <c r="G18" s="35">
        <v>1</v>
      </c>
      <c r="H18" s="35">
        <v>0</v>
      </c>
      <c r="I18" s="35">
        <v>1</v>
      </c>
      <c r="J18" s="35">
        <v>0</v>
      </c>
      <c r="K18" s="35">
        <v>0</v>
      </c>
    </row>
    <row r="19" spans="3:11" x14ac:dyDescent="0.25">
      <c r="C19" t="s">
        <v>172</v>
      </c>
      <c r="D19" s="79">
        <v>5</v>
      </c>
      <c r="E19" s="45">
        <v>12</v>
      </c>
      <c r="F19" s="35">
        <v>1</v>
      </c>
      <c r="G19" s="35">
        <v>1</v>
      </c>
      <c r="H19" s="35">
        <v>0</v>
      </c>
      <c r="I19" s="35">
        <v>1</v>
      </c>
      <c r="J19" s="35">
        <v>1</v>
      </c>
      <c r="K19" s="35">
        <v>1</v>
      </c>
    </row>
    <row r="20" spans="3:11" x14ac:dyDescent="0.25">
      <c r="C20" t="s">
        <v>173</v>
      </c>
      <c r="D20" s="79">
        <v>3</v>
      </c>
      <c r="E20" s="45">
        <v>22</v>
      </c>
      <c r="F20" s="35">
        <v>1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</row>
    <row r="21" spans="3:11" x14ac:dyDescent="0.25">
      <c r="C21" t="s">
        <v>174</v>
      </c>
      <c r="D21" s="79">
        <v>3</v>
      </c>
      <c r="E21" s="45">
        <v>21</v>
      </c>
      <c r="F21" s="35">
        <v>1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</row>
    <row r="22" spans="3:11" x14ac:dyDescent="0.25">
      <c r="C22" t="s">
        <v>175</v>
      </c>
      <c r="D22" s="79">
        <v>3</v>
      </c>
      <c r="E22" s="45">
        <v>11</v>
      </c>
      <c r="F22" s="35">
        <v>1</v>
      </c>
      <c r="G22" s="35">
        <v>1</v>
      </c>
      <c r="H22" s="35">
        <v>0</v>
      </c>
      <c r="I22" s="35">
        <v>1</v>
      </c>
      <c r="J22" s="35">
        <v>0</v>
      </c>
      <c r="K22" s="35">
        <v>0</v>
      </c>
    </row>
    <row r="23" spans="3:11" x14ac:dyDescent="0.25">
      <c r="C23" t="s">
        <v>176</v>
      </c>
      <c r="D23" s="79">
        <v>3</v>
      </c>
      <c r="E23" s="45">
        <v>8</v>
      </c>
      <c r="F23" s="35">
        <v>1</v>
      </c>
      <c r="G23" s="35">
        <v>1</v>
      </c>
      <c r="H23" s="35">
        <v>0</v>
      </c>
      <c r="I23" s="35">
        <v>1</v>
      </c>
      <c r="J23" s="35">
        <v>0</v>
      </c>
      <c r="K23" s="35">
        <v>0</v>
      </c>
    </row>
    <row r="24" spans="3:11" x14ac:dyDescent="0.25">
      <c r="C24" t="s">
        <v>177</v>
      </c>
      <c r="D24" s="79">
        <v>5</v>
      </c>
      <c r="E24" s="45">
        <v>18</v>
      </c>
      <c r="F24" s="35">
        <v>1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</row>
    <row r="25" spans="3:11" x14ac:dyDescent="0.25">
      <c r="C25" t="s">
        <v>178</v>
      </c>
      <c r="D25" s="79">
        <v>3</v>
      </c>
      <c r="E25" s="45">
        <v>17</v>
      </c>
      <c r="F25" s="35">
        <v>1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</row>
    <row r="26" spans="3:11" x14ac:dyDescent="0.25">
      <c r="C26" t="s">
        <v>179</v>
      </c>
      <c r="D26" s="79">
        <v>3</v>
      </c>
      <c r="E26" s="45">
        <v>7</v>
      </c>
      <c r="F26" s="35">
        <v>1</v>
      </c>
      <c r="G26" s="35">
        <v>1</v>
      </c>
      <c r="H26" s="35">
        <v>0</v>
      </c>
      <c r="I26" s="35">
        <v>1</v>
      </c>
      <c r="J26" s="35">
        <v>0</v>
      </c>
      <c r="K26" s="35">
        <v>0</v>
      </c>
    </row>
    <row r="27" spans="3:11" x14ac:dyDescent="0.25">
      <c r="C27" t="s">
        <v>180</v>
      </c>
      <c r="D27" s="79">
        <v>3</v>
      </c>
      <c r="E27" s="45">
        <v>6</v>
      </c>
      <c r="F27" s="35">
        <v>1</v>
      </c>
      <c r="G27" s="35">
        <v>1</v>
      </c>
      <c r="H27" s="35">
        <v>0</v>
      </c>
      <c r="I27" s="35">
        <v>0</v>
      </c>
      <c r="J27" s="35">
        <v>0</v>
      </c>
      <c r="K27" s="35">
        <v>0</v>
      </c>
    </row>
    <row r="28" spans="3:11" x14ac:dyDescent="0.25">
      <c r="C28" t="s">
        <v>181</v>
      </c>
      <c r="D28" s="79">
        <v>5</v>
      </c>
      <c r="E28" s="45">
        <v>16</v>
      </c>
      <c r="F28" s="35">
        <v>1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</row>
    <row r="29" spans="3:11" x14ac:dyDescent="0.25">
      <c r="C29" t="s">
        <v>182</v>
      </c>
      <c r="D29" s="79">
        <v>14</v>
      </c>
      <c r="E29" s="45">
        <v>15</v>
      </c>
      <c r="F29" s="35">
        <v>1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</row>
    <row r="30" spans="3:11" x14ac:dyDescent="0.25">
      <c r="C30" t="s">
        <v>183</v>
      </c>
      <c r="D30" s="79">
        <v>6</v>
      </c>
      <c r="E30" s="45">
        <v>5</v>
      </c>
      <c r="F30" s="35">
        <v>1</v>
      </c>
      <c r="G30" s="35">
        <v>1</v>
      </c>
      <c r="H30" s="35">
        <v>0</v>
      </c>
      <c r="I30" s="35">
        <v>0</v>
      </c>
      <c r="J30" s="35">
        <v>0</v>
      </c>
      <c r="K30" s="35">
        <v>0</v>
      </c>
    </row>
    <row r="31" spans="3:11" x14ac:dyDescent="0.25">
      <c r="C31" t="s">
        <v>184</v>
      </c>
      <c r="D31" s="79">
        <v>14</v>
      </c>
      <c r="E31" s="45">
        <v>4</v>
      </c>
      <c r="F31" s="35">
        <v>1</v>
      </c>
      <c r="G31" s="35">
        <v>1</v>
      </c>
      <c r="H31" s="35">
        <v>0</v>
      </c>
      <c r="I31" s="35">
        <v>0</v>
      </c>
      <c r="J31" s="35">
        <v>0</v>
      </c>
      <c r="K31" s="35">
        <v>0</v>
      </c>
    </row>
    <row r="32" spans="3:11" x14ac:dyDescent="0.25">
      <c r="C32" t="s">
        <v>185</v>
      </c>
      <c r="D32" s="79">
        <v>3</v>
      </c>
      <c r="E32" s="45">
        <v>14</v>
      </c>
      <c r="F32" s="35">
        <v>1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</row>
    <row r="33" spans="2:11" x14ac:dyDescent="0.25">
      <c r="C33" t="s">
        <v>186</v>
      </c>
      <c r="D33" s="79">
        <v>7</v>
      </c>
      <c r="E33" s="45">
        <v>11</v>
      </c>
      <c r="F33" s="35">
        <v>1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</row>
    <row r="34" spans="2:11" x14ac:dyDescent="0.25">
      <c r="C34" t="s">
        <v>187</v>
      </c>
      <c r="D34" s="79">
        <v>3</v>
      </c>
      <c r="E34" s="45">
        <v>1</v>
      </c>
      <c r="F34" s="35">
        <v>1</v>
      </c>
      <c r="G34" s="35">
        <v>1</v>
      </c>
      <c r="H34" s="35">
        <v>0</v>
      </c>
      <c r="I34" s="35">
        <v>0</v>
      </c>
      <c r="J34" s="35">
        <v>0</v>
      </c>
      <c r="K34" s="35">
        <v>0</v>
      </c>
    </row>
    <row r="35" spans="2:11" x14ac:dyDescent="0.25">
      <c r="C35" t="s">
        <v>188</v>
      </c>
      <c r="D35" s="79">
        <v>7</v>
      </c>
      <c r="E35" s="45">
        <v>0</v>
      </c>
      <c r="F35" s="35">
        <v>1</v>
      </c>
      <c r="G35" s="35">
        <v>1</v>
      </c>
      <c r="H35" s="35">
        <v>0</v>
      </c>
      <c r="I35" s="35">
        <v>0</v>
      </c>
      <c r="J35" s="35">
        <v>0</v>
      </c>
      <c r="K35" s="35">
        <v>0</v>
      </c>
    </row>
    <row r="36" spans="2:11" x14ac:dyDescent="0.25">
      <c r="C36" t="s">
        <v>189</v>
      </c>
      <c r="D36" s="79">
        <v>3</v>
      </c>
      <c r="E36" s="45">
        <v>10</v>
      </c>
      <c r="F36" s="35">
        <v>1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</row>
    <row r="37" spans="2:11" x14ac:dyDescent="0.25">
      <c r="B37" t="s">
        <v>190</v>
      </c>
      <c r="D37" s="79"/>
      <c r="E37" s="45"/>
      <c r="F37" s="35"/>
      <c r="G37" s="35"/>
      <c r="H37" s="35"/>
      <c r="I37" s="35"/>
      <c r="J37" s="35"/>
      <c r="K37" s="35"/>
    </row>
    <row r="38" spans="2:11" x14ac:dyDescent="0.25">
      <c r="C38" t="s">
        <v>191</v>
      </c>
      <c r="D38" s="79">
        <v>12</v>
      </c>
      <c r="E38" s="45">
        <v>11</v>
      </c>
      <c r="F38" s="35">
        <v>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</row>
    <row r="39" spans="2:11" x14ac:dyDescent="0.25">
      <c r="C39" t="s">
        <v>192</v>
      </c>
      <c r="D39" s="79">
        <v>5</v>
      </c>
      <c r="E39" s="45">
        <v>1</v>
      </c>
      <c r="F39" s="35">
        <v>1</v>
      </c>
      <c r="G39" s="35">
        <v>1</v>
      </c>
      <c r="H39" s="35">
        <v>0</v>
      </c>
      <c r="I39" s="35">
        <v>0</v>
      </c>
      <c r="J39" s="35">
        <v>0</v>
      </c>
      <c r="K39" s="35">
        <v>0</v>
      </c>
    </row>
    <row r="40" spans="2:11" x14ac:dyDescent="0.25">
      <c r="C40" t="s">
        <v>193</v>
      </c>
      <c r="D40" s="79">
        <v>7</v>
      </c>
      <c r="E40" s="45">
        <v>0</v>
      </c>
      <c r="F40" s="35">
        <v>1</v>
      </c>
      <c r="G40" s="35">
        <v>1</v>
      </c>
      <c r="H40" s="35">
        <v>0</v>
      </c>
      <c r="I40" s="35">
        <v>0</v>
      </c>
      <c r="J40" s="35">
        <v>0</v>
      </c>
      <c r="K40" s="35">
        <v>0</v>
      </c>
    </row>
    <row r="41" spans="2:11" x14ac:dyDescent="0.25">
      <c r="C41" t="s">
        <v>194</v>
      </c>
      <c r="D41" s="79">
        <v>7</v>
      </c>
      <c r="E41" s="45">
        <v>10</v>
      </c>
      <c r="F41" s="35">
        <v>1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</row>
    <row r="42" spans="2:11" x14ac:dyDescent="0.25">
      <c r="C42" t="s">
        <v>195</v>
      </c>
      <c r="D42" s="79">
        <v>7</v>
      </c>
      <c r="E42" s="45">
        <v>10</v>
      </c>
      <c r="F42" s="35">
        <v>1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</row>
    <row r="43" spans="2:11" x14ac:dyDescent="0.25">
      <c r="C43" t="s">
        <v>196</v>
      </c>
      <c r="D43" s="79">
        <v>6</v>
      </c>
      <c r="E43" s="45">
        <v>-1</v>
      </c>
      <c r="F43" s="35">
        <v>1</v>
      </c>
      <c r="G43" s="35">
        <v>1</v>
      </c>
      <c r="H43" s="35">
        <v>0</v>
      </c>
      <c r="I43" s="35">
        <v>0</v>
      </c>
      <c r="J43" s="35">
        <v>0</v>
      </c>
      <c r="K43" s="35">
        <v>0</v>
      </c>
    </row>
    <row r="44" spans="2:11" x14ac:dyDescent="0.25">
      <c r="C44" t="s">
        <v>197</v>
      </c>
      <c r="D44" s="79">
        <v>3</v>
      </c>
      <c r="E44" s="45">
        <v>-1</v>
      </c>
      <c r="F44" s="35">
        <v>1</v>
      </c>
      <c r="G44" s="35">
        <v>1</v>
      </c>
      <c r="H44" s="35">
        <v>0</v>
      </c>
      <c r="I44" s="35">
        <v>0</v>
      </c>
      <c r="J44" s="35">
        <v>0</v>
      </c>
      <c r="K44" s="35">
        <v>0</v>
      </c>
    </row>
    <row r="45" spans="2:11" x14ac:dyDescent="0.25">
      <c r="C45" t="s">
        <v>198</v>
      </c>
      <c r="D45" s="79">
        <v>3</v>
      </c>
      <c r="E45" s="45">
        <v>6</v>
      </c>
      <c r="F45" s="35">
        <v>1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</row>
    <row r="46" spans="2:11" x14ac:dyDescent="0.25">
      <c r="C46" t="s">
        <v>199</v>
      </c>
      <c r="D46" s="79">
        <v>7</v>
      </c>
      <c r="E46" s="45">
        <v>6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</row>
    <row r="47" spans="2:11" x14ac:dyDescent="0.25">
      <c r="C47" t="s">
        <v>200</v>
      </c>
      <c r="D47" s="79">
        <v>5</v>
      </c>
      <c r="E47" s="45">
        <v>-4</v>
      </c>
      <c r="F47" s="35">
        <v>1</v>
      </c>
      <c r="G47" s="35">
        <v>1</v>
      </c>
      <c r="H47" s="35">
        <v>0</v>
      </c>
      <c r="I47" s="35">
        <v>0</v>
      </c>
      <c r="J47" s="35">
        <v>0</v>
      </c>
      <c r="K47" s="35">
        <v>0</v>
      </c>
    </row>
    <row r="48" spans="2:11" x14ac:dyDescent="0.25">
      <c r="C48" t="s">
        <v>201</v>
      </c>
      <c r="D48" s="79">
        <v>3</v>
      </c>
      <c r="E48" s="45">
        <v>-5</v>
      </c>
      <c r="F48" s="35">
        <v>1</v>
      </c>
      <c r="G48" s="35">
        <v>1</v>
      </c>
      <c r="H48" s="35">
        <v>0</v>
      </c>
      <c r="I48" s="35">
        <v>0</v>
      </c>
      <c r="J48" s="35">
        <v>0</v>
      </c>
      <c r="K48" s="35">
        <v>0</v>
      </c>
    </row>
    <row r="49" spans="3:11" x14ac:dyDescent="0.25">
      <c r="C49" t="s">
        <v>202</v>
      </c>
      <c r="D49" s="79">
        <v>3</v>
      </c>
      <c r="E49" s="45">
        <v>5</v>
      </c>
      <c r="F49" s="35">
        <v>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</row>
    <row r="50" spans="3:11" x14ac:dyDescent="0.25">
      <c r="C50" t="s">
        <v>203</v>
      </c>
      <c r="D50" s="79">
        <v>6</v>
      </c>
      <c r="E50" s="45">
        <v>4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</row>
    <row r="51" spans="3:11" x14ac:dyDescent="0.25">
      <c r="C51" t="s">
        <v>204</v>
      </c>
      <c r="D51" s="79">
        <v>4</v>
      </c>
      <c r="E51" s="45">
        <v>-6</v>
      </c>
      <c r="F51" s="35">
        <v>1</v>
      </c>
      <c r="G51" s="35">
        <v>1</v>
      </c>
      <c r="H51" s="35">
        <v>0</v>
      </c>
      <c r="I51" s="35">
        <v>0</v>
      </c>
      <c r="J51" s="35">
        <v>0</v>
      </c>
      <c r="K51" s="35">
        <v>0</v>
      </c>
    </row>
    <row r="52" spans="3:11" x14ac:dyDescent="0.25">
      <c r="C52" t="s">
        <v>205</v>
      </c>
      <c r="D52" s="79">
        <v>5</v>
      </c>
      <c r="E52" s="45">
        <v>-6</v>
      </c>
      <c r="F52" s="35">
        <v>1</v>
      </c>
      <c r="G52" s="35">
        <v>1</v>
      </c>
      <c r="H52" s="35">
        <v>0</v>
      </c>
      <c r="I52" s="35">
        <v>0</v>
      </c>
      <c r="J52" s="35">
        <v>0</v>
      </c>
      <c r="K52" s="35">
        <v>0</v>
      </c>
    </row>
    <row r="53" spans="3:11" x14ac:dyDescent="0.25">
      <c r="C53" t="s">
        <v>206</v>
      </c>
      <c r="D53" s="79">
        <v>7</v>
      </c>
      <c r="E53" s="45">
        <v>3</v>
      </c>
      <c r="F53" s="35">
        <v>1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</row>
    <row r="54" spans="3:11" x14ac:dyDescent="0.25">
      <c r="C54" t="s">
        <v>207</v>
      </c>
      <c r="D54" s="79">
        <v>4</v>
      </c>
      <c r="E54" s="45">
        <v>3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</row>
    <row r="55" spans="3:11" x14ac:dyDescent="0.25">
      <c r="C55" t="s">
        <v>208</v>
      </c>
      <c r="D55" s="79">
        <v>4</v>
      </c>
      <c r="E55" s="45">
        <v>-8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</row>
    <row r="56" spans="3:11" x14ac:dyDescent="0.25">
      <c r="C56" t="s">
        <v>209</v>
      </c>
      <c r="D56" s="79">
        <v>3</v>
      </c>
      <c r="E56" s="45">
        <v>-8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</row>
    <row r="57" spans="3:11" x14ac:dyDescent="0.25">
      <c r="C57" t="s">
        <v>210</v>
      </c>
      <c r="D57" s="79">
        <v>5</v>
      </c>
      <c r="E57" s="45">
        <v>2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</row>
    <row r="58" spans="3:11" x14ac:dyDescent="0.25">
      <c r="C58" t="s">
        <v>211</v>
      </c>
      <c r="D58" s="79">
        <v>3</v>
      </c>
      <c r="E58" s="45">
        <v>-1</v>
      </c>
      <c r="F58" s="35">
        <v>1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</row>
    <row r="59" spans="3:11" x14ac:dyDescent="0.25">
      <c r="C59" t="s">
        <v>212</v>
      </c>
      <c r="D59" s="79">
        <v>4</v>
      </c>
      <c r="E59" s="45">
        <v>-11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</row>
    <row r="60" spans="3:11" x14ac:dyDescent="0.25">
      <c r="C60" t="s">
        <v>213</v>
      </c>
      <c r="D60" s="79">
        <v>4</v>
      </c>
      <c r="E60" s="45">
        <v>-12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</row>
    <row r="61" spans="3:11" x14ac:dyDescent="0.25">
      <c r="C61" t="s">
        <v>214</v>
      </c>
      <c r="D61" s="79">
        <v>4</v>
      </c>
      <c r="E61" s="45">
        <v>-2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</row>
    <row r="62" spans="3:11" x14ac:dyDescent="0.25">
      <c r="C62" t="s">
        <v>215</v>
      </c>
      <c r="D62" s="79">
        <v>3</v>
      </c>
      <c r="E62" s="45">
        <v>-2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</row>
    <row r="63" spans="3:11" x14ac:dyDescent="0.25">
      <c r="C63" t="s">
        <v>222</v>
      </c>
      <c r="D63" s="79">
        <v>3</v>
      </c>
      <c r="E63" s="45">
        <v>-5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</row>
  </sheetData>
  <conditionalFormatting pivot="1" sqref="F10:K6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68"/>
  <sheetViews>
    <sheetView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157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163</v>
      </c>
      <c r="E13" s="35">
        <v>1</v>
      </c>
      <c r="F13" s="35">
        <v>1</v>
      </c>
      <c r="G13" s="35">
        <v>1</v>
      </c>
      <c r="H13" s="35">
        <v>1</v>
      </c>
      <c r="I13" s="35">
        <v>1</v>
      </c>
      <c r="J13" s="35">
        <v>1</v>
      </c>
    </row>
    <row r="14" spans="2:10" x14ac:dyDescent="0.25">
      <c r="D14" t="s">
        <v>164</v>
      </c>
      <c r="E14" s="35">
        <v>1</v>
      </c>
      <c r="F14" s="35">
        <v>1</v>
      </c>
      <c r="G14" s="35">
        <v>1</v>
      </c>
      <c r="H14" s="35">
        <v>1</v>
      </c>
      <c r="I14" s="35">
        <v>1</v>
      </c>
      <c r="J14" s="35">
        <v>1</v>
      </c>
    </row>
    <row r="15" spans="2:10" x14ac:dyDescent="0.25">
      <c r="D15" t="s">
        <v>167</v>
      </c>
      <c r="E15" s="35">
        <v>1</v>
      </c>
      <c r="F15" s="35">
        <v>1</v>
      </c>
      <c r="G15" s="35">
        <v>1</v>
      </c>
      <c r="H15" s="35">
        <v>1</v>
      </c>
      <c r="I15" s="35">
        <v>1</v>
      </c>
      <c r="J15" s="35">
        <v>1</v>
      </c>
    </row>
    <row r="16" spans="2:10" x14ac:dyDescent="0.25">
      <c r="D16" t="s">
        <v>168</v>
      </c>
      <c r="E16" s="35">
        <v>1</v>
      </c>
      <c r="F16" s="35">
        <v>1</v>
      </c>
      <c r="G16" s="35">
        <v>1</v>
      </c>
      <c r="H16" s="35">
        <v>1</v>
      </c>
      <c r="I16" s="35">
        <v>1</v>
      </c>
      <c r="J16" s="35">
        <v>1</v>
      </c>
    </row>
    <row r="17" spans="3:10" x14ac:dyDescent="0.25">
      <c r="D17" t="s">
        <v>171</v>
      </c>
      <c r="E17" s="35">
        <v>1</v>
      </c>
      <c r="F17" s="35">
        <v>1</v>
      </c>
      <c r="G17" s="35">
        <v>0</v>
      </c>
      <c r="H17" s="35">
        <v>0</v>
      </c>
      <c r="I17" s="35">
        <v>1</v>
      </c>
      <c r="J17" s="35">
        <v>0.72727272727272729</v>
      </c>
    </row>
    <row r="18" spans="3:10" x14ac:dyDescent="0.25">
      <c r="D18" t="s">
        <v>172</v>
      </c>
      <c r="E18" s="35">
        <v>1</v>
      </c>
      <c r="F18" s="35">
        <v>0</v>
      </c>
      <c r="G18" s="35">
        <v>0</v>
      </c>
      <c r="H18" s="35">
        <v>0</v>
      </c>
      <c r="I18" s="35">
        <v>0</v>
      </c>
      <c r="J18" s="35">
        <v>0.27272727272727271</v>
      </c>
    </row>
    <row r="19" spans="3:10" x14ac:dyDescent="0.25">
      <c r="D19" t="s">
        <v>175</v>
      </c>
      <c r="E19" s="35">
        <v>1</v>
      </c>
      <c r="F19" s="35">
        <v>1</v>
      </c>
      <c r="G19" s="35">
        <v>0</v>
      </c>
      <c r="H19" s="35">
        <v>0</v>
      </c>
      <c r="I19" s="35">
        <v>0</v>
      </c>
      <c r="J19" s="35">
        <v>0.54545454545454541</v>
      </c>
    </row>
    <row r="20" spans="3:10" x14ac:dyDescent="0.25">
      <c r="D20" t="s">
        <v>176</v>
      </c>
      <c r="E20" s="35">
        <v>1</v>
      </c>
      <c r="F20" s="35">
        <v>1</v>
      </c>
      <c r="G20" s="35">
        <v>0</v>
      </c>
      <c r="H20" s="35">
        <v>0</v>
      </c>
      <c r="I20" s="35">
        <v>0</v>
      </c>
      <c r="J20" s="35">
        <v>0.54545454545454541</v>
      </c>
    </row>
    <row r="21" spans="3:10" x14ac:dyDescent="0.25">
      <c r="D21" t="s">
        <v>179</v>
      </c>
      <c r="E21" s="35">
        <v>1</v>
      </c>
      <c r="F21" s="35">
        <v>0</v>
      </c>
      <c r="G21" s="35">
        <v>0</v>
      </c>
      <c r="H21" s="35">
        <v>0</v>
      </c>
      <c r="I21" s="35">
        <v>0</v>
      </c>
      <c r="J21" s="35">
        <v>0.27272727272727271</v>
      </c>
    </row>
    <row r="22" spans="3:10" x14ac:dyDescent="0.25">
      <c r="D22" t="s">
        <v>180</v>
      </c>
      <c r="E22" s="35">
        <v>1</v>
      </c>
      <c r="F22" s="35">
        <v>0</v>
      </c>
      <c r="G22" s="35">
        <v>0</v>
      </c>
      <c r="H22" s="35">
        <v>0</v>
      </c>
      <c r="I22" s="35">
        <v>0</v>
      </c>
      <c r="J22" s="35">
        <v>0.27272727272727271</v>
      </c>
    </row>
    <row r="23" spans="3:10" x14ac:dyDescent="0.25">
      <c r="D23" t="s">
        <v>183</v>
      </c>
      <c r="E23" s="35">
        <v>1</v>
      </c>
      <c r="F23" s="35">
        <v>0</v>
      </c>
      <c r="G23" s="35">
        <v>0</v>
      </c>
      <c r="H23" s="35">
        <v>0</v>
      </c>
      <c r="I23" s="35">
        <v>0</v>
      </c>
      <c r="J23" s="35">
        <v>0.27272727272727271</v>
      </c>
    </row>
    <row r="24" spans="3:10" x14ac:dyDescent="0.25">
      <c r="D24" t="s">
        <v>184</v>
      </c>
      <c r="E24" s="35">
        <v>1</v>
      </c>
      <c r="F24" s="35">
        <v>0</v>
      </c>
      <c r="G24" s="35">
        <v>0</v>
      </c>
      <c r="H24" s="35">
        <v>0</v>
      </c>
      <c r="I24" s="35">
        <v>0</v>
      </c>
      <c r="J24" s="35">
        <v>0.27272727272727271</v>
      </c>
    </row>
    <row r="25" spans="3:10" x14ac:dyDescent="0.25">
      <c r="D25" t="s">
        <v>187</v>
      </c>
      <c r="E25" s="35">
        <v>1</v>
      </c>
      <c r="F25" s="35">
        <v>0</v>
      </c>
      <c r="G25" s="35">
        <v>0</v>
      </c>
      <c r="H25" s="35">
        <v>0</v>
      </c>
      <c r="I25" s="35">
        <v>0</v>
      </c>
      <c r="J25" s="35">
        <v>0.27272727272727271</v>
      </c>
    </row>
    <row r="26" spans="3:10" x14ac:dyDescent="0.25">
      <c r="D26" t="s">
        <v>188</v>
      </c>
      <c r="E26" s="35">
        <v>1</v>
      </c>
      <c r="F26" s="35">
        <v>0</v>
      </c>
      <c r="G26" s="35">
        <v>0</v>
      </c>
      <c r="H26" s="35">
        <v>0</v>
      </c>
      <c r="I26" s="35">
        <v>0</v>
      </c>
      <c r="J26" s="35">
        <v>0.27272727272727271</v>
      </c>
    </row>
    <row r="27" spans="3:10" x14ac:dyDescent="0.25">
      <c r="C27" t="s">
        <v>58</v>
      </c>
      <c r="E27" s="35"/>
      <c r="F27" s="35"/>
      <c r="G27" s="35"/>
      <c r="H27" s="35"/>
      <c r="I27" s="35"/>
      <c r="J27" s="35"/>
    </row>
    <row r="28" spans="3:10" x14ac:dyDescent="0.25">
      <c r="D28" t="s">
        <v>162</v>
      </c>
      <c r="E28" s="35">
        <v>1</v>
      </c>
      <c r="F28" s="35">
        <v>1</v>
      </c>
      <c r="G28" s="35">
        <v>1</v>
      </c>
      <c r="H28" s="35">
        <v>1</v>
      </c>
      <c r="I28" s="35">
        <v>1</v>
      </c>
      <c r="J28" s="35">
        <v>1</v>
      </c>
    </row>
    <row r="29" spans="3:10" x14ac:dyDescent="0.25">
      <c r="D29" t="s">
        <v>169</v>
      </c>
      <c r="E29" s="35">
        <v>1</v>
      </c>
      <c r="F29" s="35">
        <v>1</v>
      </c>
      <c r="G29" s="35">
        <v>1</v>
      </c>
      <c r="H29" s="35">
        <v>1</v>
      </c>
      <c r="I29" s="35">
        <v>1</v>
      </c>
      <c r="J29" s="35">
        <v>1</v>
      </c>
    </row>
    <row r="30" spans="3:10" x14ac:dyDescent="0.25">
      <c r="D30" t="s">
        <v>170</v>
      </c>
      <c r="E30" s="35">
        <v>1</v>
      </c>
      <c r="F30" s="35">
        <v>1</v>
      </c>
      <c r="G30" s="35">
        <v>1</v>
      </c>
      <c r="H30" s="35">
        <v>1</v>
      </c>
      <c r="I30" s="35">
        <v>1</v>
      </c>
      <c r="J30" s="35">
        <v>1</v>
      </c>
    </row>
    <row r="31" spans="3:10" x14ac:dyDescent="0.25">
      <c r="D31" t="s">
        <v>173</v>
      </c>
      <c r="E31" s="35">
        <v>1</v>
      </c>
      <c r="F31" s="35">
        <v>1</v>
      </c>
      <c r="G31" s="35">
        <v>1</v>
      </c>
      <c r="H31" s="35">
        <v>1</v>
      </c>
      <c r="I31" s="35">
        <v>1</v>
      </c>
      <c r="J31" s="35">
        <v>1</v>
      </c>
    </row>
    <row r="32" spans="3:10" x14ac:dyDescent="0.25">
      <c r="D32" t="s">
        <v>174</v>
      </c>
      <c r="E32" s="35">
        <v>1</v>
      </c>
      <c r="F32" s="35">
        <v>0</v>
      </c>
      <c r="G32" s="35">
        <v>0</v>
      </c>
      <c r="H32" s="35">
        <v>1</v>
      </c>
      <c r="I32" s="35">
        <v>1</v>
      </c>
      <c r="J32" s="35">
        <v>0.63636363636363635</v>
      </c>
    </row>
    <row r="33" spans="2:10" x14ac:dyDescent="0.25">
      <c r="D33" t="s">
        <v>177</v>
      </c>
      <c r="E33" s="35">
        <v>1</v>
      </c>
      <c r="F33" s="35">
        <v>0</v>
      </c>
      <c r="G33" s="35">
        <v>0</v>
      </c>
      <c r="H33" s="35">
        <v>1</v>
      </c>
      <c r="I33" s="35">
        <v>1</v>
      </c>
      <c r="J33" s="35">
        <v>0.63636363636363635</v>
      </c>
    </row>
    <row r="34" spans="2:10" x14ac:dyDescent="0.25">
      <c r="D34" t="s">
        <v>178</v>
      </c>
      <c r="E34" s="35">
        <v>1</v>
      </c>
      <c r="F34" s="35">
        <v>0</v>
      </c>
      <c r="G34" s="35">
        <v>0</v>
      </c>
      <c r="H34" s="35">
        <v>1</v>
      </c>
      <c r="I34" s="35">
        <v>1</v>
      </c>
      <c r="J34" s="35">
        <v>0.63636363636363635</v>
      </c>
    </row>
    <row r="35" spans="2:10" x14ac:dyDescent="0.25">
      <c r="D35" t="s">
        <v>181</v>
      </c>
      <c r="E35" s="35">
        <v>1</v>
      </c>
      <c r="F35" s="35">
        <v>0</v>
      </c>
      <c r="G35" s="35">
        <v>0</v>
      </c>
      <c r="H35" s="35">
        <v>1</v>
      </c>
      <c r="I35" s="35">
        <v>1</v>
      </c>
      <c r="J35" s="35">
        <v>0.63636363636363635</v>
      </c>
    </row>
    <row r="36" spans="2:10" x14ac:dyDescent="0.25">
      <c r="D36" t="s">
        <v>182</v>
      </c>
      <c r="E36" s="35">
        <v>1</v>
      </c>
      <c r="F36" s="35">
        <v>0</v>
      </c>
      <c r="G36" s="35">
        <v>0</v>
      </c>
      <c r="H36" s="35">
        <v>1</v>
      </c>
      <c r="I36" s="35">
        <v>1</v>
      </c>
      <c r="J36" s="35">
        <v>0.63636363636363635</v>
      </c>
    </row>
    <row r="37" spans="2:10" x14ac:dyDescent="0.25">
      <c r="D37" t="s">
        <v>185</v>
      </c>
      <c r="E37" s="35">
        <v>1</v>
      </c>
      <c r="F37" s="35">
        <v>0</v>
      </c>
      <c r="G37" s="35">
        <v>0</v>
      </c>
      <c r="H37" s="35">
        <v>1</v>
      </c>
      <c r="I37" s="35">
        <v>1</v>
      </c>
      <c r="J37" s="35">
        <v>0.63636363636363635</v>
      </c>
    </row>
    <row r="38" spans="2:10" x14ac:dyDescent="0.25">
      <c r="D38" t="s">
        <v>186</v>
      </c>
      <c r="E38" s="35">
        <v>1</v>
      </c>
      <c r="F38" s="35">
        <v>0</v>
      </c>
      <c r="G38" s="35">
        <v>0</v>
      </c>
      <c r="H38" s="35">
        <v>1</v>
      </c>
      <c r="I38" s="35">
        <v>1</v>
      </c>
      <c r="J38" s="35">
        <v>0.63636363636363635</v>
      </c>
    </row>
    <row r="39" spans="2:10" x14ac:dyDescent="0.25">
      <c r="D39" t="s">
        <v>189</v>
      </c>
      <c r="E39" s="35">
        <v>1</v>
      </c>
      <c r="F39" s="35">
        <v>0</v>
      </c>
      <c r="G39" s="35">
        <v>0</v>
      </c>
      <c r="H39" s="35">
        <v>1</v>
      </c>
      <c r="I39" s="35">
        <v>1</v>
      </c>
      <c r="J39" s="35">
        <v>0.63636363636363635</v>
      </c>
    </row>
    <row r="40" spans="2:10" x14ac:dyDescent="0.25">
      <c r="B40" t="s">
        <v>190</v>
      </c>
      <c r="E40" s="35"/>
      <c r="F40" s="35"/>
      <c r="G40" s="35"/>
      <c r="H40" s="35"/>
      <c r="I40" s="35"/>
      <c r="J40" s="35"/>
    </row>
    <row r="41" spans="2:10" x14ac:dyDescent="0.25">
      <c r="C41" t="s">
        <v>60</v>
      </c>
      <c r="E41" s="35"/>
      <c r="F41" s="35"/>
      <c r="G41" s="35"/>
      <c r="H41" s="35"/>
      <c r="I41" s="35"/>
      <c r="J41" s="35"/>
    </row>
    <row r="42" spans="2:10" x14ac:dyDescent="0.25">
      <c r="D42" t="s">
        <v>192</v>
      </c>
      <c r="E42" s="35">
        <v>1</v>
      </c>
      <c r="F42" s="35">
        <v>0</v>
      </c>
      <c r="G42" s="35">
        <v>0</v>
      </c>
      <c r="H42" s="35">
        <v>0</v>
      </c>
      <c r="I42" s="35">
        <v>0</v>
      </c>
      <c r="J42" s="35">
        <v>0.27272727272727271</v>
      </c>
    </row>
    <row r="43" spans="2:10" x14ac:dyDescent="0.25">
      <c r="D43" t="s">
        <v>193</v>
      </c>
      <c r="E43" s="35">
        <v>1</v>
      </c>
      <c r="F43" s="35">
        <v>1</v>
      </c>
      <c r="G43" s="35">
        <v>0</v>
      </c>
      <c r="H43" s="35">
        <v>0</v>
      </c>
      <c r="I43" s="35">
        <v>0</v>
      </c>
      <c r="J43" s="35">
        <v>0.54545454545454541</v>
      </c>
    </row>
    <row r="44" spans="2:10" x14ac:dyDescent="0.25">
      <c r="D44" t="s">
        <v>196</v>
      </c>
      <c r="E44" s="35">
        <v>1</v>
      </c>
      <c r="F44" s="35">
        <v>0</v>
      </c>
      <c r="G44" s="35">
        <v>0</v>
      </c>
      <c r="H44" s="35">
        <v>0</v>
      </c>
      <c r="I44" s="35">
        <v>0</v>
      </c>
      <c r="J44" s="35">
        <v>0.27272727272727271</v>
      </c>
    </row>
    <row r="45" spans="2:10" x14ac:dyDescent="0.25">
      <c r="D45" t="s">
        <v>197</v>
      </c>
      <c r="E45" s="35">
        <v>1</v>
      </c>
      <c r="F45" s="35">
        <v>0</v>
      </c>
      <c r="G45" s="35">
        <v>0</v>
      </c>
      <c r="H45" s="35">
        <v>0</v>
      </c>
      <c r="I45" s="35">
        <v>0</v>
      </c>
      <c r="J45" s="35">
        <v>0.27272727272727271</v>
      </c>
    </row>
    <row r="46" spans="2:10" x14ac:dyDescent="0.25">
      <c r="D46" t="s">
        <v>200</v>
      </c>
      <c r="E46" s="35">
        <v>1</v>
      </c>
      <c r="F46" s="35">
        <v>0</v>
      </c>
      <c r="G46" s="35">
        <v>0</v>
      </c>
      <c r="H46" s="35">
        <v>0</v>
      </c>
      <c r="I46" s="35">
        <v>0</v>
      </c>
      <c r="J46" s="35">
        <v>0.27272727272727271</v>
      </c>
    </row>
    <row r="47" spans="2:10" x14ac:dyDescent="0.25">
      <c r="D47" t="s">
        <v>201</v>
      </c>
      <c r="E47" s="35">
        <v>1</v>
      </c>
      <c r="F47" s="35">
        <v>0</v>
      </c>
      <c r="G47" s="35">
        <v>0</v>
      </c>
      <c r="H47" s="35">
        <v>0</v>
      </c>
      <c r="I47" s="35">
        <v>0</v>
      </c>
      <c r="J47" s="35">
        <v>0.27272727272727271</v>
      </c>
    </row>
    <row r="48" spans="2:10" x14ac:dyDescent="0.25">
      <c r="D48" t="s">
        <v>204</v>
      </c>
      <c r="E48" s="35">
        <v>1</v>
      </c>
      <c r="F48" s="35">
        <v>0</v>
      </c>
      <c r="G48" s="35">
        <v>0</v>
      </c>
      <c r="H48" s="35">
        <v>0</v>
      </c>
      <c r="I48" s="35">
        <v>0</v>
      </c>
      <c r="J48" s="35">
        <v>0.27272727272727271</v>
      </c>
    </row>
    <row r="49" spans="3:10" x14ac:dyDescent="0.25">
      <c r="D49" t="s">
        <v>205</v>
      </c>
      <c r="E49" s="35">
        <v>1</v>
      </c>
      <c r="F49" s="35">
        <v>0</v>
      </c>
      <c r="G49" s="35">
        <v>0</v>
      </c>
      <c r="H49" s="35">
        <v>0</v>
      </c>
      <c r="I49" s="35">
        <v>0</v>
      </c>
      <c r="J49" s="35">
        <v>0.27272727272727271</v>
      </c>
    </row>
    <row r="50" spans="3:10" x14ac:dyDescent="0.25">
      <c r="D50" t="s">
        <v>208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</row>
    <row r="51" spans="3:10" x14ac:dyDescent="0.25">
      <c r="D51" t="s">
        <v>209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</row>
    <row r="52" spans="3:10" x14ac:dyDescent="0.25">
      <c r="D52" t="s">
        <v>212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</row>
    <row r="53" spans="3:10" x14ac:dyDescent="0.25">
      <c r="D53" t="s">
        <v>213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</row>
    <row r="54" spans="3:10" x14ac:dyDescent="0.25">
      <c r="C54" t="s">
        <v>58</v>
      </c>
      <c r="E54" s="35"/>
      <c r="F54" s="35"/>
      <c r="G54" s="35"/>
      <c r="H54" s="35"/>
      <c r="I54" s="35"/>
      <c r="J54" s="35"/>
    </row>
    <row r="55" spans="3:10" x14ac:dyDescent="0.25">
      <c r="D55" t="s">
        <v>191</v>
      </c>
      <c r="E55" s="35">
        <v>1</v>
      </c>
      <c r="F55" s="35">
        <v>0</v>
      </c>
      <c r="G55" s="35">
        <v>0</v>
      </c>
      <c r="H55" s="35">
        <v>1</v>
      </c>
      <c r="I55" s="35">
        <v>1</v>
      </c>
      <c r="J55" s="35">
        <v>0.63636363636363635</v>
      </c>
    </row>
    <row r="56" spans="3:10" x14ac:dyDescent="0.25">
      <c r="D56" t="s">
        <v>194</v>
      </c>
      <c r="E56" s="35">
        <v>1</v>
      </c>
      <c r="F56" s="35">
        <v>0</v>
      </c>
      <c r="G56" s="35">
        <v>0</v>
      </c>
      <c r="H56" s="35">
        <v>1</v>
      </c>
      <c r="I56" s="35">
        <v>1</v>
      </c>
      <c r="J56" s="35">
        <v>0.63636363636363635</v>
      </c>
    </row>
    <row r="57" spans="3:10" x14ac:dyDescent="0.25">
      <c r="D57" t="s">
        <v>195</v>
      </c>
      <c r="E57" s="35">
        <v>1</v>
      </c>
      <c r="F57" s="35">
        <v>0</v>
      </c>
      <c r="G57" s="35">
        <v>0</v>
      </c>
      <c r="H57" s="35">
        <v>1</v>
      </c>
      <c r="I57" s="35">
        <v>1</v>
      </c>
      <c r="J57" s="35">
        <v>0.63636363636363635</v>
      </c>
    </row>
    <row r="58" spans="3:10" x14ac:dyDescent="0.25">
      <c r="D58" t="s">
        <v>198</v>
      </c>
      <c r="E58" s="35">
        <v>1</v>
      </c>
      <c r="F58" s="35">
        <v>0</v>
      </c>
      <c r="G58" s="35">
        <v>0</v>
      </c>
      <c r="H58" s="35">
        <v>1</v>
      </c>
      <c r="I58" s="35">
        <v>1</v>
      </c>
      <c r="J58" s="35">
        <v>0.63636363636363635</v>
      </c>
    </row>
    <row r="59" spans="3:10" x14ac:dyDescent="0.25">
      <c r="D59" t="s">
        <v>199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</row>
    <row r="60" spans="3:10" x14ac:dyDescent="0.25">
      <c r="D60" t="s">
        <v>202</v>
      </c>
      <c r="E60" s="35">
        <v>1</v>
      </c>
      <c r="F60" s="35">
        <v>0</v>
      </c>
      <c r="G60" s="35">
        <v>0</v>
      </c>
      <c r="H60" s="35">
        <v>1</v>
      </c>
      <c r="I60" s="35">
        <v>1</v>
      </c>
      <c r="J60" s="35">
        <v>0.63636363636363635</v>
      </c>
    </row>
    <row r="61" spans="3:10" x14ac:dyDescent="0.25">
      <c r="D61" t="s">
        <v>203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</row>
    <row r="62" spans="3:10" x14ac:dyDescent="0.25">
      <c r="D62" t="s">
        <v>206</v>
      </c>
      <c r="E62" s="35">
        <v>1</v>
      </c>
      <c r="F62" s="35">
        <v>0</v>
      </c>
      <c r="G62" s="35">
        <v>0</v>
      </c>
      <c r="H62" s="35">
        <v>1</v>
      </c>
      <c r="I62" s="35">
        <v>1</v>
      </c>
      <c r="J62" s="35">
        <v>0.63636363636363635</v>
      </c>
    </row>
    <row r="63" spans="3:10" x14ac:dyDescent="0.25">
      <c r="D63" t="s">
        <v>207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</row>
    <row r="64" spans="3:10" x14ac:dyDescent="0.25">
      <c r="D64" t="s">
        <v>210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</row>
    <row r="65" spans="4:10" x14ac:dyDescent="0.25">
      <c r="D65" t="s">
        <v>211</v>
      </c>
      <c r="E65" s="35">
        <v>1</v>
      </c>
      <c r="F65" s="35">
        <v>0</v>
      </c>
      <c r="G65" s="35">
        <v>0</v>
      </c>
      <c r="H65" s="35">
        <v>1</v>
      </c>
      <c r="I65" s="35">
        <v>1</v>
      </c>
      <c r="J65" s="35">
        <v>0.63636363636363635</v>
      </c>
    </row>
    <row r="66" spans="4:10" x14ac:dyDescent="0.25">
      <c r="D66" t="s">
        <v>214</v>
      </c>
      <c r="E66" s="35">
        <v>0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</row>
    <row r="67" spans="4:10" x14ac:dyDescent="0.25">
      <c r="D67" t="s">
        <v>215</v>
      </c>
      <c r="E67" s="35">
        <v>0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</row>
    <row r="68" spans="4:10" x14ac:dyDescent="0.25">
      <c r="D68" t="s">
        <v>222</v>
      </c>
      <c r="E68" s="35">
        <v>0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</row>
  </sheetData>
  <conditionalFormatting pivot="1" sqref="E11:J6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68"/>
  <sheetViews>
    <sheetView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157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163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164</v>
      </c>
      <c r="E14" s="35">
        <v>1</v>
      </c>
      <c r="F14" s="35">
        <v>1</v>
      </c>
      <c r="G14" s="35">
        <v>1</v>
      </c>
      <c r="H14" s="35">
        <v>1</v>
      </c>
      <c r="I14" s="73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1</v>
      </c>
      <c r="X14" s="35">
        <v>1</v>
      </c>
      <c r="Y14" s="35">
        <v>0</v>
      </c>
      <c r="Z14" s="35">
        <v>0.87837837837837796</v>
      </c>
    </row>
    <row r="15" spans="2:27" x14ac:dyDescent="0.25">
      <c r="D15" t="s">
        <v>167</v>
      </c>
      <c r="E15" s="35">
        <v>1</v>
      </c>
      <c r="F15" s="35">
        <v>1</v>
      </c>
      <c r="G15" s="35">
        <v>1</v>
      </c>
      <c r="H15" s="35">
        <v>1</v>
      </c>
      <c r="I15" s="73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0</v>
      </c>
      <c r="W15" s="35">
        <v>1</v>
      </c>
      <c r="X15" s="35">
        <v>1</v>
      </c>
      <c r="Y15" s="35">
        <v>0</v>
      </c>
      <c r="Z15" s="35">
        <v>0.87837837837837796</v>
      </c>
    </row>
    <row r="16" spans="2:27" x14ac:dyDescent="0.25">
      <c r="D16" t="s">
        <v>168</v>
      </c>
      <c r="E16" s="35">
        <v>1</v>
      </c>
      <c r="F16" s="35">
        <v>1</v>
      </c>
      <c r="G16" s="35">
        <v>0</v>
      </c>
      <c r="H16" s="35">
        <v>1</v>
      </c>
      <c r="I16" s="73">
        <v>1</v>
      </c>
      <c r="J16" s="35">
        <v>1</v>
      </c>
      <c r="K16" s="35">
        <v>1</v>
      </c>
      <c r="L16" s="35">
        <v>1</v>
      </c>
      <c r="M16" s="35">
        <v>0</v>
      </c>
      <c r="N16" s="35">
        <v>1</v>
      </c>
      <c r="O16" s="35">
        <v>1</v>
      </c>
      <c r="P16" s="35">
        <v>1</v>
      </c>
      <c r="Q16" s="35">
        <v>1</v>
      </c>
      <c r="R16" s="35">
        <v>0</v>
      </c>
      <c r="S16" s="35">
        <v>1</v>
      </c>
      <c r="T16" s="35">
        <v>1</v>
      </c>
      <c r="U16" s="35">
        <v>1</v>
      </c>
      <c r="V16" s="35">
        <v>0</v>
      </c>
      <c r="W16" s="35">
        <v>1</v>
      </c>
      <c r="X16" s="35">
        <v>1</v>
      </c>
      <c r="Y16" s="35">
        <v>0</v>
      </c>
      <c r="Z16" s="35">
        <v>0.78378378378378344</v>
      </c>
    </row>
    <row r="17" spans="3:26" x14ac:dyDescent="0.25">
      <c r="D17" t="s">
        <v>171</v>
      </c>
      <c r="E17" s="35">
        <v>1</v>
      </c>
      <c r="F17" s="35">
        <v>1</v>
      </c>
      <c r="G17" s="35">
        <v>0</v>
      </c>
      <c r="H17" s="35">
        <v>1</v>
      </c>
      <c r="I17" s="73">
        <v>1</v>
      </c>
      <c r="J17" s="35">
        <v>1</v>
      </c>
      <c r="K17" s="35">
        <v>0</v>
      </c>
      <c r="L17" s="35">
        <v>1</v>
      </c>
      <c r="M17" s="35">
        <v>0</v>
      </c>
      <c r="N17" s="35">
        <v>0</v>
      </c>
      <c r="O17" s="35">
        <v>1</v>
      </c>
      <c r="P17" s="35">
        <v>1</v>
      </c>
      <c r="Q17" s="35">
        <v>1</v>
      </c>
      <c r="R17" s="35">
        <v>0</v>
      </c>
      <c r="S17" s="35">
        <v>1</v>
      </c>
      <c r="T17" s="35">
        <v>1</v>
      </c>
      <c r="U17" s="35">
        <v>1</v>
      </c>
      <c r="V17" s="35">
        <v>0</v>
      </c>
      <c r="W17" s="35">
        <v>0</v>
      </c>
      <c r="X17" s="35">
        <v>1</v>
      </c>
      <c r="Y17" s="35">
        <v>0</v>
      </c>
      <c r="Z17" s="35">
        <v>0.66216216216216184</v>
      </c>
    </row>
    <row r="18" spans="3:26" x14ac:dyDescent="0.25">
      <c r="D18" t="s">
        <v>172</v>
      </c>
      <c r="E18" s="35">
        <v>1</v>
      </c>
      <c r="F18" s="35">
        <v>1</v>
      </c>
      <c r="G18" s="35">
        <v>1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0</v>
      </c>
      <c r="N18" s="35">
        <v>1</v>
      </c>
      <c r="O18" s="35">
        <v>1</v>
      </c>
      <c r="P18" s="35">
        <v>1</v>
      </c>
      <c r="Q18" s="35">
        <v>1</v>
      </c>
      <c r="R18" s="35">
        <v>0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0.89189189189189144</v>
      </c>
    </row>
    <row r="19" spans="3:26" x14ac:dyDescent="0.25">
      <c r="D19" t="s">
        <v>175</v>
      </c>
      <c r="E19" s="35">
        <v>1</v>
      </c>
      <c r="F19" s="35">
        <v>1</v>
      </c>
      <c r="G19" s="35">
        <v>0</v>
      </c>
      <c r="H19" s="35">
        <v>1</v>
      </c>
      <c r="I19" s="73">
        <v>0</v>
      </c>
      <c r="J19" s="35">
        <v>1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  <c r="P19" s="35">
        <v>1</v>
      </c>
      <c r="Q19" s="35">
        <v>1</v>
      </c>
      <c r="R19" s="35">
        <v>0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0.51351351351351338</v>
      </c>
    </row>
    <row r="20" spans="3:26" x14ac:dyDescent="0.25">
      <c r="D20" t="s">
        <v>176</v>
      </c>
      <c r="E20" s="35">
        <v>1</v>
      </c>
      <c r="F20" s="35">
        <v>1</v>
      </c>
      <c r="G20" s="35">
        <v>0</v>
      </c>
      <c r="H20" s="35">
        <v>1</v>
      </c>
      <c r="I20" s="73">
        <v>1</v>
      </c>
      <c r="J20" s="35">
        <v>1</v>
      </c>
      <c r="K20" s="35">
        <v>0</v>
      </c>
      <c r="L20" s="35">
        <v>1</v>
      </c>
      <c r="M20" s="35">
        <v>0</v>
      </c>
      <c r="N20" s="35">
        <v>0</v>
      </c>
      <c r="O20" s="35">
        <v>1</v>
      </c>
      <c r="P20" s="35">
        <v>1</v>
      </c>
      <c r="Q20" s="35">
        <v>0</v>
      </c>
      <c r="R20" s="35">
        <v>0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0.63513513513513487</v>
      </c>
    </row>
    <row r="21" spans="3:26" x14ac:dyDescent="0.25">
      <c r="D21" t="s">
        <v>179</v>
      </c>
      <c r="E21" s="35">
        <v>1</v>
      </c>
      <c r="F21" s="35">
        <v>1</v>
      </c>
      <c r="G21" s="35">
        <v>0</v>
      </c>
      <c r="H21" s="35">
        <v>1</v>
      </c>
      <c r="I21" s="73">
        <v>0</v>
      </c>
      <c r="J21" s="35">
        <v>1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0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0.43243243243243235</v>
      </c>
    </row>
    <row r="22" spans="3:26" x14ac:dyDescent="0.25">
      <c r="D22" t="s">
        <v>180</v>
      </c>
      <c r="E22" s="35">
        <v>1</v>
      </c>
      <c r="F22" s="35">
        <v>1</v>
      </c>
      <c r="G22" s="35">
        <v>0</v>
      </c>
      <c r="H22" s="35">
        <v>1</v>
      </c>
      <c r="I22" s="73">
        <v>0</v>
      </c>
      <c r="J22" s="35">
        <v>1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  <c r="P22" s="35">
        <v>1</v>
      </c>
      <c r="Q22" s="35">
        <v>1</v>
      </c>
      <c r="R22" s="35">
        <v>0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0.51351351351351338</v>
      </c>
    </row>
    <row r="23" spans="3:26" x14ac:dyDescent="0.25">
      <c r="D23" t="s">
        <v>183</v>
      </c>
      <c r="E23" s="35">
        <v>0</v>
      </c>
      <c r="F23" s="35">
        <v>1</v>
      </c>
      <c r="G23" s="35">
        <v>0</v>
      </c>
      <c r="H23" s="35">
        <v>1</v>
      </c>
      <c r="I23" s="73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0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0</v>
      </c>
      <c r="Y23" s="35">
        <v>0</v>
      </c>
      <c r="Z23" s="35">
        <v>0.27027027027027017</v>
      </c>
    </row>
    <row r="24" spans="3:26" x14ac:dyDescent="0.25">
      <c r="D24" t="s">
        <v>184</v>
      </c>
      <c r="E24" s="35">
        <v>0</v>
      </c>
      <c r="F24" s="35">
        <v>1</v>
      </c>
      <c r="G24" s="35">
        <v>0</v>
      </c>
      <c r="H24" s="35">
        <v>1</v>
      </c>
      <c r="I24" s="73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0</v>
      </c>
      <c r="T24" s="35">
        <v>1</v>
      </c>
      <c r="U24" s="35">
        <v>1</v>
      </c>
      <c r="V24" s="35">
        <v>0</v>
      </c>
      <c r="W24" s="35">
        <v>0</v>
      </c>
      <c r="X24" s="35">
        <v>0</v>
      </c>
      <c r="Y24" s="35">
        <v>0</v>
      </c>
      <c r="Z24" s="35">
        <v>0.21621621621621614</v>
      </c>
    </row>
    <row r="25" spans="3:26" x14ac:dyDescent="0.25">
      <c r="D25" t="s">
        <v>187</v>
      </c>
      <c r="E25" s="35">
        <v>0</v>
      </c>
      <c r="F25" s="35">
        <v>1</v>
      </c>
      <c r="G25" s="35">
        <v>0</v>
      </c>
      <c r="H25" s="35">
        <v>1</v>
      </c>
      <c r="I25" s="73">
        <v>0</v>
      </c>
      <c r="J25" s="35">
        <v>1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0.37837837837837829</v>
      </c>
    </row>
    <row r="26" spans="3:26" x14ac:dyDescent="0.25">
      <c r="D26" t="s">
        <v>188</v>
      </c>
      <c r="E26" s="35">
        <v>0</v>
      </c>
      <c r="F26" s="35">
        <v>1</v>
      </c>
      <c r="G26" s="35">
        <v>0</v>
      </c>
      <c r="H26" s="35">
        <v>1</v>
      </c>
      <c r="I26" s="73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  <c r="S26" s="35">
        <v>0</v>
      </c>
      <c r="T26" s="35">
        <v>1</v>
      </c>
      <c r="U26" s="35">
        <v>1</v>
      </c>
      <c r="V26" s="35">
        <v>0</v>
      </c>
      <c r="W26" s="35">
        <v>0</v>
      </c>
      <c r="X26" s="35">
        <v>0</v>
      </c>
      <c r="Y26" s="35">
        <v>0</v>
      </c>
      <c r="Z26" s="35">
        <v>0.21621621621621614</v>
      </c>
    </row>
    <row r="27" spans="3:26" x14ac:dyDescent="0.25">
      <c r="C27" t="s">
        <v>58</v>
      </c>
      <c r="D27"/>
      <c r="E27" s="35"/>
      <c r="F27" s="35"/>
      <c r="G27" s="35"/>
      <c r="H27" s="35"/>
      <c r="I27" s="73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3:26" x14ac:dyDescent="0.25">
      <c r="D28" t="s">
        <v>162</v>
      </c>
      <c r="E28" s="35">
        <v>1</v>
      </c>
      <c r="F28" s="35">
        <v>1</v>
      </c>
      <c r="G28" s="35">
        <v>1</v>
      </c>
      <c r="H28" s="35">
        <v>1</v>
      </c>
      <c r="I28" s="73">
        <v>1</v>
      </c>
      <c r="J28" s="35">
        <v>1</v>
      </c>
      <c r="K28" s="35">
        <v>1</v>
      </c>
      <c r="L28" s="35">
        <v>1</v>
      </c>
      <c r="M28" s="35">
        <v>1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0.95945945945945899</v>
      </c>
    </row>
    <row r="29" spans="3:26" x14ac:dyDescent="0.25">
      <c r="D29" t="s">
        <v>169</v>
      </c>
      <c r="E29" s="35">
        <v>1</v>
      </c>
      <c r="F29" s="35">
        <v>1</v>
      </c>
      <c r="G29" s="35">
        <v>1</v>
      </c>
      <c r="H29" s="35">
        <v>1</v>
      </c>
      <c r="I29" s="73">
        <v>1</v>
      </c>
      <c r="J29" s="35">
        <v>1</v>
      </c>
      <c r="K29" s="35">
        <v>0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0.89189189189189144</v>
      </c>
    </row>
    <row r="30" spans="3:26" x14ac:dyDescent="0.25">
      <c r="D30" t="s">
        <v>170</v>
      </c>
      <c r="E30" s="35">
        <v>1</v>
      </c>
      <c r="F30" s="35">
        <v>1</v>
      </c>
      <c r="G30" s="35">
        <v>1</v>
      </c>
      <c r="H30" s="35">
        <v>1</v>
      </c>
      <c r="I30" s="73">
        <v>1</v>
      </c>
      <c r="J30" s="35">
        <v>1</v>
      </c>
      <c r="K30" s="35">
        <v>1</v>
      </c>
      <c r="L30" s="35">
        <v>1</v>
      </c>
      <c r="M30" s="35">
        <v>1</v>
      </c>
      <c r="N30" s="35">
        <v>0</v>
      </c>
      <c r="O30" s="35">
        <v>0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0.90540540540540504</v>
      </c>
    </row>
    <row r="31" spans="3:26" x14ac:dyDescent="0.25">
      <c r="D31" t="s">
        <v>173</v>
      </c>
      <c r="E31" s="35">
        <v>1</v>
      </c>
      <c r="F31" s="35">
        <v>1</v>
      </c>
      <c r="G31" s="35">
        <v>1</v>
      </c>
      <c r="H31" s="35">
        <v>1</v>
      </c>
      <c r="I31" s="73">
        <v>1</v>
      </c>
      <c r="J31" s="35">
        <v>1</v>
      </c>
      <c r="K31" s="35">
        <v>0</v>
      </c>
      <c r="L31" s="35">
        <v>1</v>
      </c>
      <c r="M31" s="35">
        <v>0</v>
      </c>
      <c r="N31" s="35">
        <v>0</v>
      </c>
      <c r="O31" s="35">
        <v>0</v>
      </c>
      <c r="P31" s="35">
        <v>1</v>
      </c>
      <c r="Q31" s="35">
        <v>0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0.79729729729729704</v>
      </c>
    </row>
    <row r="32" spans="3:26" x14ac:dyDescent="0.25">
      <c r="D32" t="s">
        <v>174</v>
      </c>
      <c r="E32" s="35">
        <v>1</v>
      </c>
      <c r="F32" s="35">
        <v>1</v>
      </c>
      <c r="G32" s="35">
        <v>1</v>
      </c>
      <c r="H32" s="35">
        <v>1</v>
      </c>
      <c r="I32" s="73">
        <v>1</v>
      </c>
      <c r="J32" s="35">
        <v>1</v>
      </c>
      <c r="K32" s="35">
        <v>0</v>
      </c>
      <c r="L32" s="35">
        <v>1</v>
      </c>
      <c r="M32" s="35">
        <v>0</v>
      </c>
      <c r="N32" s="35">
        <v>0</v>
      </c>
      <c r="O32" s="35">
        <v>0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0.82432432432432401</v>
      </c>
    </row>
    <row r="33" spans="2:26" x14ac:dyDescent="0.25">
      <c r="D33" t="s">
        <v>177</v>
      </c>
      <c r="E33" s="35">
        <v>1</v>
      </c>
      <c r="F33" s="35">
        <v>1</v>
      </c>
      <c r="G33" s="35">
        <v>1</v>
      </c>
      <c r="H33" s="35">
        <v>1</v>
      </c>
      <c r="I33" s="73">
        <v>1</v>
      </c>
      <c r="J33" s="35">
        <v>1</v>
      </c>
      <c r="K33" s="35">
        <v>0</v>
      </c>
      <c r="L33" s="35">
        <v>1</v>
      </c>
      <c r="M33" s="35">
        <v>1</v>
      </c>
      <c r="N33" s="35">
        <v>0</v>
      </c>
      <c r="O33" s="35">
        <v>0</v>
      </c>
      <c r="P33" s="35">
        <v>1</v>
      </c>
      <c r="Q33" s="35">
        <v>0</v>
      </c>
      <c r="R33" s="35">
        <v>1</v>
      </c>
      <c r="S33" s="35">
        <v>1</v>
      </c>
      <c r="T33" s="35">
        <v>1</v>
      </c>
      <c r="U33" s="35">
        <v>0</v>
      </c>
      <c r="V33" s="35">
        <v>1</v>
      </c>
      <c r="W33" s="35">
        <v>1</v>
      </c>
      <c r="X33" s="35">
        <v>1</v>
      </c>
      <c r="Y33" s="35">
        <v>0</v>
      </c>
      <c r="Z33" s="35">
        <v>0.75675675675675647</v>
      </c>
    </row>
    <row r="34" spans="2:26" x14ac:dyDescent="0.25">
      <c r="D34" t="s">
        <v>178</v>
      </c>
      <c r="E34" s="35">
        <v>1</v>
      </c>
      <c r="F34" s="35">
        <v>1</v>
      </c>
      <c r="G34" s="35">
        <v>1</v>
      </c>
      <c r="H34" s="35">
        <v>1</v>
      </c>
      <c r="I34" s="73">
        <v>1</v>
      </c>
      <c r="J34" s="35">
        <v>1</v>
      </c>
      <c r="K34" s="35">
        <v>1</v>
      </c>
      <c r="L34" s="35">
        <v>1</v>
      </c>
      <c r="M34" s="35">
        <v>1</v>
      </c>
      <c r="N34" s="35">
        <v>1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0.95945945945945899</v>
      </c>
    </row>
    <row r="35" spans="2:26" x14ac:dyDescent="0.25">
      <c r="D35" t="s">
        <v>181</v>
      </c>
      <c r="E35" s="35">
        <v>1</v>
      </c>
      <c r="F35" s="35">
        <v>1</v>
      </c>
      <c r="G35" s="35">
        <v>1</v>
      </c>
      <c r="H35" s="35">
        <v>1</v>
      </c>
      <c r="I35" s="73">
        <v>1</v>
      </c>
      <c r="J35" s="35">
        <v>1</v>
      </c>
      <c r="K35" s="35">
        <v>1</v>
      </c>
      <c r="L35" s="35">
        <v>1</v>
      </c>
      <c r="M35" s="35">
        <v>1</v>
      </c>
      <c r="N35" s="35">
        <v>0</v>
      </c>
      <c r="O35" s="35">
        <v>0</v>
      </c>
      <c r="P35" s="35">
        <v>1</v>
      </c>
      <c r="Q35" s="35">
        <v>0</v>
      </c>
      <c r="R35" s="35">
        <v>1</v>
      </c>
      <c r="S35" s="35">
        <v>1</v>
      </c>
      <c r="T35" s="35">
        <v>1</v>
      </c>
      <c r="U35" s="35">
        <v>0</v>
      </c>
      <c r="V35" s="35">
        <v>1</v>
      </c>
      <c r="W35" s="35">
        <v>1</v>
      </c>
      <c r="X35" s="35">
        <v>1</v>
      </c>
      <c r="Y35" s="35">
        <v>0</v>
      </c>
      <c r="Z35" s="35">
        <v>0.82432432432432401</v>
      </c>
    </row>
    <row r="36" spans="2:26" x14ac:dyDescent="0.25">
      <c r="D36" t="s">
        <v>182</v>
      </c>
      <c r="E36" s="35">
        <v>1</v>
      </c>
      <c r="F36" s="35">
        <v>1</v>
      </c>
      <c r="G36" s="35">
        <v>1</v>
      </c>
      <c r="H36" s="35">
        <v>1</v>
      </c>
      <c r="I36" s="73">
        <v>0</v>
      </c>
      <c r="J36" s="35">
        <v>0</v>
      </c>
      <c r="K36" s="35">
        <v>0</v>
      </c>
      <c r="L36" s="35">
        <v>1</v>
      </c>
      <c r="M36" s="35">
        <v>0</v>
      </c>
      <c r="N36" s="35">
        <v>0</v>
      </c>
      <c r="O36" s="35">
        <v>0</v>
      </c>
      <c r="P36" s="35">
        <v>1</v>
      </c>
      <c r="Q36" s="35">
        <v>0</v>
      </c>
      <c r="R36" s="35">
        <v>1</v>
      </c>
      <c r="S36" s="35">
        <v>1</v>
      </c>
      <c r="T36" s="35">
        <v>1</v>
      </c>
      <c r="U36" s="35">
        <v>0</v>
      </c>
      <c r="V36" s="35">
        <v>1</v>
      </c>
      <c r="W36" s="35">
        <v>1</v>
      </c>
      <c r="X36" s="35">
        <v>1</v>
      </c>
      <c r="Y36" s="35">
        <v>0</v>
      </c>
      <c r="Z36" s="35">
        <v>0.58108108108108092</v>
      </c>
    </row>
    <row r="37" spans="2:26" x14ac:dyDescent="0.25">
      <c r="D37" t="s">
        <v>185</v>
      </c>
      <c r="E37" s="35">
        <v>1</v>
      </c>
      <c r="F37" s="35">
        <v>1</v>
      </c>
      <c r="G37" s="35">
        <v>1</v>
      </c>
      <c r="H37" s="35">
        <v>1</v>
      </c>
      <c r="I37" s="73">
        <v>1</v>
      </c>
      <c r="J37" s="35">
        <v>1</v>
      </c>
      <c r="K37" s="35">
        <v>0</v>
      </c>
      <c r="L37" s="35">
        <v>1</v>
      </c>
      <c r="M37" s="35">
        <v>1</v>
      </c>
      <c r="N37" s="35">
        <v>1</v>
      </c>
      <c r="O37" s="35">
        <v>0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0.87837837837837796</v>
      </c>
    </row>
    <row r="38" spans="2:26" x14ac:dyDescent="0.25">
      <c r="D38" t="s">
        <v>186</v>
      </c>
      <c r="E38" s="35">
        <v>1</v>
      </c>
      <c r="F38" s="35">
        <v>1</v>
      </c>
      <c r="G38" s="35">
        <v>1</v>
      </c>
      <c r="H38" s="35">
        <v>1</v>
      </c>
      <c r="I38" s="73">
        <v>0</v>
      </c>
      <c r="J38" s="35">
        <v>1</v>
      </c>
      <c r="K38" s="35">
        <v>0</v>
      </c>
      <c r="L38" s="35">
        <v>1</v>
      </c>
      <c r="M38" s="35">
        <v>0</v>
      </c>
      <c r="N38" s="35">
        <v>0</v>
      </c>
      <c r="O38" s="35">
        <v>0</v>
      </c>
      <c r="P38" s="35">
        <v>1</v>
      </c>
      <c r="Q38" s="35">
        <v>0</v>
      </c>
      <c r="R38" s="35">
        <v>1</v>
      </c>
      <c r="S38" s="35">
        <v>1</v>
      </c>
      <c r="T38" s="35">
        <v>1</v>
      </c>
      <c r="U38" s="35">
        <v>0</v>
      </c>
      <c r="V38" s="35">
        <v>1</v>
      </c>
      <c r="W38" s="35">
        <v>1</v>
      </c>
      <c r="X38" s="35">
        <v>1</v>
      </c>
      <c r="Y38" s="35">
        <v>0</v>
      </c>
      <c r="Z38" s="35">
        <v>0.66216216216216184</v>
      </c>
    </row>
    <row r="39" spans="2:26" x14ac:dyDescent="0.25">
      <c r="D39" t="s">
        <v>189</v>
      </c>
      <c r="E39" s="35">
        <v>1</v>
      </c>
      <c r="F39" s="35">
        <v>1</v>
      </c>
      <c r="G39" s="35">
        <v>1</v>
      </c>
      <c r="H39" s="35">
        <v>1</v>
      </c>
      <c r="I39" s="73">
        <v>0</v>
      </c>
      <c r="J39" s="35">
        <v>1</v>
      </c>
      <c r="K39" s="35">
        <v>0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1</v>
      </c>
      <c r="R39" s="35">
        <v>1</v>
      </c>
      <c r="S39" s="35">
        <v>1</v>
      </c>
      <c r="T39" s="35">
        <v>1</v>
      </c>
      <c r="U39" s="35">
        <v>1</v>
      </c>
      <c r="V39" s="35">
        <v>1</v>
      </c>
      <c r="W39" s="35">
        <v>1</v>
      </c>
      <c r="X39" s="35">
        <v>1</v>
      </c>
      <c r="Y39" s="35">
        <v>0</v>
      </c>
      <c r="Z39" s="35">
        <v>0.74324324324324298</v>
      </c>
    </row>
    <row r="40" spans="2:26" x14ac:dyDescent="0.25">
      <c r="B40" t="s">
        <v>190</v>
      </c>
      <c r="D40"/>
      <c r="E40" s="35"/>
      <c r="F40" s="35"/>
      <c r="G40" s="35"/>
      <c r="H40" s="35"/>
      <c r="I40" s="73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spans="2:26" x14ac:dyDescent="0.25">
      <c r="C41" t="s">
        <v>60</v>
      </c>
      <c r="D41"/>
      <c r="E41" s="35"/>
      <c r="F41" s="35"/>
      <c r="G41" s="35"/>
      <c r="H41" s="35"/>
      <c r="I41" s="73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spans="2:26" x14ac:dyDescent="0.25">
      <c r="D42" t="s">
        <v>192</v>
      </c>
      <c r="E42" s="35">
        <v>0</v>
      </c>
      <c r="F42" s="35">
        <v>1</v>
      </c>
      <c r="G42" s="35">
        <v>0</v>
      </c>
      <c r="H42" s="35">
        <v>1</v>
      </c>
      <c r="I42" s="73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0</v>
      </c>
      <c r="S42" s="35">
        <v>1</v>
      </c>
      <c r="T42" s="35">
        <v>1</v>
      </c>
      <c r="U42" s="35">
        <v>1</v>
      </c>
      <c r="V42" s="35">
        <v>0</v>
      </c>
      <c r="W42" s="35">
        <v>0</v>
      </c>
      <c r="X42" s="35">
        <v>0</v>
      </c>
      <c r="Y42" s="35">
        <v>0</v>
      </c>
      <c r="Z42" s="35">
        <v>0.27027027027027017</v>
      </c>
    </row>
    <row r="43" spans="2:26" x14ac:dyDescent="0.25">
      <c r="D43" t="s">
        <v>193</v>
      </c>
      <c r="E43" s="35">
        <v>0</v>
      </c>
      <c r="F43" s="35">
        <v>1</v>
      </c>
      <c r="G43" s="35">
        <v>0</v>
      </c>
      <c r="H43" s="35">
        <v>1</v>
      </c>
      <c r="I43" s="73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0</v>
      </c>
      <c r="S43" s="35">
        <v>0</v>
      </c>
      <c r="T43" s="35">
        <v>1</v>
      </c>
      <c r="U43" s="35">
        <v>1</v>
      </c>
      <c r="V43" s="35">
        <v>0</v>
      </c>
      <c r="W43" s="35">
        <v>0</v>
      </c>
      <c r="X43" s="35">
        <v>0</v>
      </c>
      <c r="Y43" s="35">
        <v>0</v>
      </c>
      <c r="Z43" s="35">
        <v>0.21621621621621614</v>
      </c>
    </row>
    <row r="44" spans="2:26" x14ac:dyDescent="0.25">
      <c r="D44" t="s">
        <v>196</v>
      </c>
      <c r="E44" s="35">
        <v>0</v>
      </c>
      <c r="F44" s="35">
        <v>1</v>
      </c>
      <c r="G44" s="35">
        <v>0</v>
      </c>
      <c r="H44" s="35">
        <v>1</v>
      </c>
      <c r="I44" s="73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1</v>
      </c>
      <c r="U44" s="35">
        <v>1</v>
      </c>
      <c r="V44" s="35">
        <v>0</v>
      </c>
      <c r="W44" s="35">
        <v>0</v>
      </c>
      <c r="X44" s="35">
        <v>0</v>
      </c>
      <c r="Y44" s="35">
        <v>0</v>
      </c>
      <c r="Z44" s="35">
        <v>0.21621621621621614</v>
      </c>
    </row>
    <row r="45" spans="2:26" x14ac:dyDescent="0.25">
      <c r="D45" t="s">
        <v>197</v>
      </c>
      <c r="E45" s="35">
        <v>0</v>
      </c>
      <c r="F45" s="35">
        <v>1</v>
      </c>
      <c r="G45" s="35">
        <v>0</v>
      </c>
      <c r="H45" s="35">
        <v>1</v>
      </c>
      <c r="I45" s="73">
        <v>0</v>
      </c>
      <c r="J45" s="35">
        <v>1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1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0.37837837837837829</v>
      </c>
    </row>
    <row r="46" spans="2:26" x14ac:dyDescent="0.25">
      <c r="D46" t="s">
        <v>200</v>
      </c>
      <c r="E46" s="35">
        <v>0</v>
      </c>
      <c r="F46" s="35">
        <v>0</v>
      </c>
      <c r="G46" s="35">
        <v>0</v>
      </c>
      <c r="H46" s="35">
        <v>1</v>
      </c>
      <c r="I46" s="73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0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8.1081081081081058E-2</v>
      </c>
    </row>
    <row r="47" spans="2:26" x14ac:dyDescent="0.25">
      <c r="D47" t="s">
        <v>201</v>
      </c>
      <c r="E47" s="35">
        <v>0</v>
      </c>
      <c r="F47" s="35">
        <v>1</v>
      </c>
      <c r="G47" s="35">
        <v>0</v>
      </c>
      <c r="H47" s="35">
        <v>1</v>
      </c>
      <c r="I47" s="73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1</v>
      </c>
      <c r="U47" s="35">
        <v>1</v>
      </c>
      <c r="V47" s="35">
        <v>0</v>
      </c>
      <c r="W47" s="35">
        <v>0</v>
      </c>
      <c r="X47" s="35">
        <v>0</v>
      </c>
      <c r="Y47" s="35">
        <v>0</v>
      </c>
      <c r="Z47" s="35">
        <v>0.21621621621621614</v>
      </c>
    </row>
    <row r="48" spans="2:26" x14ac:dyDescent="0.25">
      <c r="D48" t="s">
        <v>204</v>
      </c>
      <c r="E48" s="35">
        <v>0</v>
      </c>
      <c r="F48" s="35">
        <v>1</v>
      </c>
      <c r="G48" s="35">
        <v>0</v>
      </c>
      <c r="H48" s="35">
        <v>1</v>
      </c>
      <c r="I48" s="73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0</v>
      </c>
      <c r="S48" s="35">
        <v>0</v>
      </c>
      <c r="T48" s="35">
        <v>1</v>
      </c>
      <c r="U48" s="35">
        <v>1</v>
      </c>
      <c r="V48" s="35">
        <v>0</v>
      </c>
      <c r="W48" s="35">
        <v>0</v>
      </c>
      <c r="X48" s="35">
        <v>0</v>
      </c>
      <c r="Y48" s="35">
        <v>0</v>
      </c>
      <c r="Z48" s="35">
        <v>0.21621621621621614</v>
      </c>
    </row>
    <row r="49" spans="3:26" x14ac:dyDescent="0.25">
      <c r="D49" t="s">
        <v>205</v>
      </c>
      <c r="E49" s="35">
        <v>0</v>
      </c>
      <c r="F49" s="35">
        <v>1</v>
      </c>
      <c r="G49" s="35">
        <v>0</v>
      </c>
      <c r="H49" s="35">
        <v>1</v>
      </c>
      <c r="I49" s="73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1</v>
      </c>
      <c r="U49" s="35">
        <v>1</v>
      </c>
      <c r="V49" s="35">
        <v>0</v>
      </c>
      <c r="W49" s="35">
        <v>0</v>
      </c>
      <c r="X49" s="35">
        <v>0</v>
      </c>
      <c r="Y49" s="35">
        <v>0</v>
      </c>
      <c r="Z49" s="35">
        <v>0.21621621621621614</v>
      </c>
    </row>
    <row r="50" spans="3:26" x14ac:dyDescent="0.25">
      <c r="D50" t="s">
        <v>208</v>
      </c>
      <c r="E50" s="35">
        <v>0</v>
      </c>
      <c r="F50" s="35">
        <v>0</v>
      </c>
      <c r="G50" s="35">
        <v>0</v>
      </c>
      <c r="H50" s="35">
        <v>0</v>
      </c>
      <c r="I50" s="73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0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</v>
      </c>
    </row>
    <row r="51" spans="3:26" x14ac:dyDescent="0.25">
      <c r="D51" t="s">
        <v>209</v>
      </c>
      <c r="E51" s="35">
        <v>0</v>
      </c>
      <c r="F51" s="35">
        <v>0</v>
      </c>
      <c r="G51" s="35">
        <v>0</v>
      </c>
      <c r="H51" s="35">
        <v>0</v>
      </c>
      <c r="I51" s="73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</row>
    <row r="52" spans="3:26" x14ac:dyDescent="0.25">
      <c r="D52" t="s">
        <v>212</v>
      </c>
      <c r="E52" s="35">
        <v>0</v>
      </c>
      <c r="F52" s="35">
        <v>0</v>
      </c>
      <c r="G52" s="35">
        <v>0</v>
      </c>
      <c r="H52" s="35">
        <v>0</v>
      </c>
      <c r="I52" s="73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</v>
      </c>
    </row>
    <row r="53" spans="3:26" x14ac:dyDescent="0.25">
      <c r="D53" t="s">
        <v>213</v>
      </c>
      <c r="E53" s="35">
        <v>0</v>
      </c>
      <c r="F53" s="35">
        <v>0</v>
      </c>
      <c r="G53" s="35">
        <v>0</v>
      </c>
      <c r="H53" s="35">
        <v>0</v>
      </c>
      <c r="I53" s="73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0</v>
      </c>
      <c r="U53" s="35">
        <v>0</v>
      </c>
      <c r="V53" s="35">
        <v>0</v>
      </c>
      <c r="W53" s="35">
        <v>0</v>
      </c>
      <c r="X53" s="35">
        <v>0</v>
      </c>
      <c r="Y53" s="35">
        <v>0</v>
      </c>
      <c r="Z53" s="35">
        <v>0</v>
      </c>
    </row>
    <row r="54" spans="3:26" x14ac:dyDescent="0.25">
      <c r="C54" t="s">
        <v>58</v>
      </c>
      <c r="D54"/>
      <c r="E54" s="35"/>
      <c r="F54" s="35"/>
      <c r="G54" s="35"/>
      <c r="H54" s="35"/>
      <c r="I54" s="73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spans="3:26" x14ac:dyDescent="0.25">
      <c r="D55" t="s">
        <v>191</v>
      </c>
      <c r="E55" s="35">
        <v>1</v>
      </c>
      <c r="F55" s="35">
        <v>1</v>
      </c>
      <c r="G55" s="35">
        <v>1</v>
      </c>
      <c r="H55" s="35">
        <v>1</v>
      </c>
      <c r="I55" s="73">
        <v>0</v>
      </c>
      <c r="J55" s="35">
        <v>0</v>
      </c>
      <c r="K55" s="35">
        <v>0</v>
      </c>
      <c r="L55" s="35">
        <v>1</v>
      </c>
      <c r="M55" s="35">
        <v>0</v>
      </c>
      <c r="N55" s="35">
        <v>0</v>
      </c>
      <c r="O55" s="35">
        <v>0</v>
      </c>
      <c r="P55" s="35">
        <v>1</v>
      </c>
      <c r="Q55" s="35">
        <v>0</v>
      </c>
      <c r="R55" s="35">
        <v>1</v>
      </c>
      <c r="S55" s="35">
        <v>1</v>
      </c>
      <c r="T55" s="35">
        <v>1</v>
      </c>
      <c r="U55" s="35">
        <v>0</v>
      </c>
      <c r="V55" s="35">
        <v>1</v>
      </c>
      <c r="W55" s="35">
        <v>1</v>
      </c>
      <c r="X55" s="35">
        <v>1</v>
      </c>
      <c r="Y55" s="35">
        <v>0</v>
      </c>
      <c r="Z55" s="35">
        <v>0.58108108108108092</v>
      </c>
    </row>
    <row r="56" spans="3:26" x14ac:dyDescent="0.25">
      <c r="D56" t="s">
        <v>194</v>
      </c>
      <c r="E56" s="35">
        <v>1</v>
      </c>
      <c r="F56" s="35">
        <v>1</v>
      </c>
      <c r="G56" s="35">
        <v>1</v>
      </c>
      <c r="H56" s="35">
        <v>1</v>
      </c>
      <c r="I56" s="73">
        <v>0</v>
      </c>
      <c r="J56" s="35">
        <v>0</v>
      </c>
      <c r="K56" s="35">
        <v>0</v>
      </c>
      <c r="L56" s="35">
        <v>1</v>
      </c>
      <c r="M56" s="35">
        <v>0</v>
      </c>
      <c r="N56" s="35">
        <v>0</v>
      </c>
      <c r="O56" s="35">
        <v>0</v>
      </c>
      <c r="P56" s="35">
        <v>1</v>
      </c>
      <c r="Q56" s="35">
        <v>0</v>
      </c>
      <c r="R56" s="35">
        <v>1</v>
      </c>
      <c r="S56" s="35">
        <v>1</v>
      </c>
      <c r="T56" s="35">
        <v>1</v>
      </c>
      <c r="U56" s="35">
        <v>0</v>
      </c>
      <c r="V56" s="35">
        <v>1</v>
      </c>
      <c r="W56" s="35">
        <v>1</v>
      </c>
      <c r="X56" s="35">
        <v>1</v>
      </c>
      <c r="Y56" s="35">
        <v>0</v>
      </c>
      <c r="Z56" s="35">
        <v>0.58108108108108092</v>
      </c>
    </row>
    <row r="57" spans="3:26" x14ac:dyDescent="0.25">
      <c r="D57" t="s">
        <v>195</v>
      </c>
      <c r="E57" s="35">
        <v>0</v>
      </c>
      <c r="F57" s="35">
        <v>0</v>
      </c>
      <c r="G57" s="35">
        <v>0</v>
      </c>
      <c r="H57" s="35">
        <v>0</v>
      </c>
      <c r="I57" s="73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D58" t="s">
        <v>198</v>
      </c>
      <c r="E58" s="35">
        <v>1</v>
      </c>
      <c r="F58" s="35">
        <v>1</v>
      </c>
      <c r="G58" s="35">
        <v>1</v>
      </c>
      <c r="H58" s="35">
        <v>1</v>
      </c>
      <c r="I58" s="73">
        <v>0</v>
      </c>
      <c r="J58" s="35">
        <v>0</v>
      </c>
      <c r="K58" s="35">
        <v>0</v>
      </c>
      <c r="L58" s="35">
        <v>1</v>
      </c>
      <c r="M58" s="35">
        <v>0</v>
      </c>
      <c r="N58" s="35">
        <v>0</v>
      </c>
      <c r="O58" s="35">
        <v>0</v>
      </c>
      <c r="P58" s="35">
        <v>1</v>
      </c>
      <c r="Q58" s="35">
        <v>0</v>
      </c>
      <c r="R58" s="35">
        <v>1</v>
      </c>
      <c r="S58" s="35">
        <v>1</v>
      </c>
      <c r="T58" s="35">
        <v>1</v>
      </c>
      <c r="U58" s="35">
        <v>1</v>
      </c>
      <c r="V58" s="35">
        <v>1</v>
      </c>
      <c r="W58" s="35">
        <v>1</v>
      </c>
      <c r="X58" s="35">
        <v>1</v>
      </c>
      <c r="Y58" s="35">
        <v>0</v>
      </c>
      <c r="Z58" s="35">
        <v>0.63513513513513487</v>
      </c>
    </row>
    <row r="59" spans="3:26" x14ac:dyDescent="0.25">
      <c r="D59" t="s">
        <v>199</v>
      </c>
      <c r="E59" s="35">
        <v>0</v>
      </c>
      <c r="F59" s="35">
        <v>0</v>
      </c>
      <c r="G59" s="35">
        <v>0</v>
      </c>
      <c r="H59" s="35">
        <v>0</v>
      </c>
      <c r="I59" s="73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  <c r="P59" s="35">
        <v>0</v>
      </c>
      <c r="Q59" s="35">
        <v>0</v>
      </c>
      <c r="R59" s="35">
        <v>0</v>
      </c>
      <c r="S59" s="35">
        <v>0</v>
      </c>
      <c r="T59" s="35">
        <v>0</v>
      </c>
      <c r="U59" s="35">
        <v>0</v>
      </c>
      <c r="V59" s="35">
        <v>0</v>
      </c>
      <c r="W59" s="35">
        <v>0</v>
      </c>
      <c r="X59" s="35">
        <v>0</v>
      </c>
      <c r="Y59" s="35">
        <v>0</v>
      </c>
      <c r="Z59" s="35">
        <v>0</v>
      </c>
    </row>
    <row r="60" spans="3:26" x14ac:dyDescent="0.25">
      <c r="D60" t="s">
        <v>202</v>
      </c>
      <c r="E60" s="35">
        <v>1</v>
      </c>
      <c r="F60" s="35">
        <v>1</v>
      </c>
      <c r="G60" s="35">
        <v>1</v>
      </c>
      <c r="H60" s="35">
        <v>1</v>
      </c>
      <c r="I60" s="73">
        <v>0</v>
      </c>
      <c r="J60" s="35">
        <v>0</v>
      </c>
      <c r="K60" s="35">
        <v>0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0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0.52702702702702686</v>
      </c>
    </row>
    <row r="61" spans="3:26" x14ac:dyDescent="0.25">
      <c r="D61" t="s">
        <v>203</v>
      </c>
      <c r="E61" s="35">
        <v>0</v>
      </c>
      <c r="F61" s="35">
        <v>0</v>
      </c>
      <c r="G61" s="35">
        <v>0</v>
      </c>
      <c r="H61" s="35">
        <v>0</v>
      </c>
      <c r="I61" s="73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  <c r="P61" s="35">
        <v>0</v>
      </c>
      <c r="Q61" s="35">
        <v>0</v>
      </c>
      <c r="R61" s="35">
        <v>0</v>
      </c>
      <c r="S61" s="35">
        <v>0</v>
      </c>
      <c r="T61" s="35">
        <v>0</v>
      </c>
      <c r="U61" s="35">
        <v>0</v>
      </c>
      <c r="V61" s="35">
        <v>0</v>
      </c>
      <c r="W61" s="35">
        <v>0</v>
      </c>
      <c r="X61" s="35">
        <v>0</v>
      </c>
      <c r="Y61" s="35">
        <v>0</v>
      </c>
      <c r="Z61" s="35">
        <v>0</v>
      </c>
    </row>
    <row r="62" spans="3:26" x14ac:dyDescent="0.25">
      <c r="D62" t="s">
        <v>206</v>
      </c>
      <c r="E62" s="35">
        <v>0</v>
      </c>
      <c r="F62" s="35">
        <v>1</v>
      </c>
      <c r="G62" s="35">
        <v>0</v>
      </c>
      <c r="H62" s="35">
        <v>1</v>
      </c>
      <c r="I62" s="73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  <c r="S62" s="35">
        <v>0</v>
      </c>
      <c r="T62" s="35">
        <v>1</v>
      </c>
      <c r="U62" s="35">
        <v>0</v>
      </c>
      <c r="V62" s="35">
        <v>0</v>
      </c>
      <c r="W62" s="35">
        <v>0</v>
      </c>
      <c r="X62" s="35">
        <v>0</v>
      </c>
      <c r="Y62" s="35">
        <v>0</v>
      </c>
      <c r="Z62" s="35">
        <v>0.16216216216216212</v>
      </c>
    </row>
    <row r="63" spans="3:26" x14ac:dyDescent="0.25">
      <c r="D63" t="s">
        <v>207</v>
      </c>
      <c r="E63" s="35">
        <v>0</v>
      </c>
      <c r="F63" s="35">
        <v>0</v>
      </c>
      <c r="G63" s="35">
        <v>0</v>
      </c>
      <c r="H63" s="35">
        <v>0</v>
      </c>
      <c r="I63" s="73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  <c r="P63" s="35">
        <v>0</v>
      </c>
      <c r="Q63" s="35">
        <v>0</v>
      </c>
      <c r="R63" s="35">
        <v>0</v>
      </c>
      <c r="S63" s="35">
        <v>0</v>
      </c>
      <c r="T63" s="35">
        <v>0</v>
      </c>
      <c r="U63" s="35">
        <v>0</v>
      </c>
      <c r="V63" s="35">
        <v>0</v>
      </c>
      <c r="W63" s="35">
        <v>0</v>
      </c>
      <c r="X63" s="35">
        <v>0</v>
      </c>
      <c r="Y63" s="35">
        <v>0</v>
      </c>
      <c r="Z63" s="35">
        <v>0</v>
      </c>
    </row>
    <row r="64" spans="3:26" x14ac:dyDescent="0.25">
      <c r="D64" t="s">
        <v>210</v>
      </c>
      <c r="E64" s="35">
        <v>0</v>
      </c>
      <c r="F64" s="35">
        <v>0</v>
      </c>
      <c r="G64" s="35">
        <v>0</v>
      </c>
      <c r="H64" s="35">
        <v>0</v>
      </c>
      <c r="I64" s="73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U64" s="35">
        <v>0</v>
      </c>
      <c r="V64" s="35">
        <v>0</v>
      </c>
      <c r="W64" s="35">
        <v>0</v>
      </c>
      <c r="X64" s="35">
        <v>0</v>
      </c>
      <c r="Y64" s="35">
        <v>0</v>
      </c>
      <c r="Z64" s="35">
        <v>0</v>
      </c>
    </row>
    <row r="65" spans="4:26" x14ac:dyDescent="0.25">
      <c r="D65" t="s">
        <v>211</v>
      </c>
      <c r="E65" s="35">
        <v>1</v>
      </c>
      <c r="F65" s="35">
        <v>1</v>
      </c>
      <c r="G65" s="35">
        <v>1</v>
      </c>
      <c r="H65" s="35">
        <v>0</v>
      </c>
      <c r="I65" s="73">
        <v>0</v>
      </c>
      <c r="J65" s="35">
        <v>0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0</v>
      </c>
      <c r="R65" s="35">
        <v>0</v>
      </c>
      <c r="S65" s="35">
        <v>1</v>
      </c>
      <c r="T65" s="35">
        <v>1</v>
      </c>
      <c r="U65" s="35">
        <v>0</v>
      </c>
      <c r="V65" s="35">
        <v>1</v>
      </c>
      <c r="W65" s="35">
        <v>1</v>
      </c>
      <c r="X65" s="35">
        <v>1</v>
      </c>
      <c r="Y65" s="35">
        <v>0</v>
      </c>
      <c r="Z65" s="35">
        <v>0.44594594594594578</v>
      </c>
    </row>
    <row r="66" spans="4:26" x14ac:dyDescent="0.25">
      <c r="D66" t="s">
        <v>214</v>
      </c>
      <c r="E66" s="35">
        <v>0</v>
      </c>
      <c r="F66" s="35">
        <v>0</v>
      </c>
      <c r="G66" s="35">
        <v>0</v>
      </c>
      <c r="H66" s="35">
        <v>0</v>
      </c>
      <c r="I66" s="73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  <c r="P66" s="35">
        <v>0</v>
      </c>
      <c r="Q66" s="35">
        <v>0</v>
      </c>
      <c r="R66" s="35">
        <v>0</v>
      </c>
      <c r="S66" s="35">
        <v>0</v>
      </c>
      <c r="T66" s="35">
        <v>0</v>
      </c>
      <c r="U66" s="35">
        <v>0</v>
      </c>
      <c r="V66" s="35">
        <v>0</v>
      </c>
      <c r="W66" s="35">
        <v>0</v>
      </c>
      <c r="X66" s="35">
        <v>0</v>
      </c>
      <c r="Y66" s="35">
        <v>0</v>
      </c>
      <c r="Z66" s="35">
        <v>0</v>
      </c>
    </row>
    <row r="67" spans="4:26" x14ac:dyDescent="0.25">
      <c r="D67" t="s">
        <v>215</v>
      </c>
      <c r="E67" s="35">
        <v>0</v>
      </c>
      <c r="F67" s="35">
        <v>0</v>
      </c>
      <c r="G67" s="35">
        <v>0</v>
      </c>
      <c r="H67" s="35">
        <v>0</v>
      </c>
      <c r="I67" s="73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U67" s="35">
        <v>0</v>
      </c>
      <c r="V67" s="35">
        <v>0</v>
      </c>
      <c r="W67" s="35">
        <v>0</v>
      </c>
      <c r="X67" s="35">
        <v>0</v>
      </c>
      <c r="Y67" s="35">
        <v>0</v>
      </c>
      <c r="Z67" s="35">
        <v>0</v>
      </c>
    </row>
    <row r="68" spans="4:26" x14ac:dyDescent="0.25">
      <c r="D68" t="s">
        <v>222</v>
      </c>
      <c r="E68" s="35">
        <v>0</v>
      </c>
      <c r="F68" s="35">
        <v>0</v>
      </c>
      <c r="G68" s="35">
        <v>0</v>
      </c>
      <c r="H68" s="35">
        <v>0</v>
      </c>
      <c r="I68" s="73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>
        <v>0</v>
      </c>
      <c r="Y68" s="35">
        <v>0</v>
      </c>
      <c r="Z68" s="35">
        <v>0</v>
      </c>
    </row>
  </sheetData>
  <conditionalFormatting pivot="1" sqref="E11:H68 J11:Z68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6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2026-07-27T12:56:03Z</dcterms:modified>
</cp:coreProperties>
</file>