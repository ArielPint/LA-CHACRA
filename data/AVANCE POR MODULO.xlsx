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slicerCaches/slicerCache20.xml" ContentType="application/vnd.ms-excel.slicerCache+xml"/>
  <Override PartName="/xl/slicerCaches/slicerCache21.xml" ContentType="application/vnd.ms-excel.slicerCache+xml"/>
  <Override PartName="/xl/slicerCaches/slicerCache2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LA CHACRA - copia\LA-CHACRA\data\"/>
    </mc:Choice>
  </mc:AlternateContent>
  <xr:revisionPtr revIDLastSave="0" documentId="13_ncr:1_{B35E46A7-EECD-48B4-A34C-E705E7EB8DE7}" xr6:coauthVersionLast="47" xr6:coauthVersionMax="47" xr10:uidLastSave="{00000000-0000-0000-0000-000000000000}"/>
  <bookViews>
    <workbookView xWindow="-28920" yWindow="-120" windowWidth="29040" windowHeight="16440" xr2:uid="{2065F29B-6192-4C53-AA54-40DF86B8C2C1}"/>
  </bookViews>
  <sheets>
    <sheet name="BD_AVANCE" sheetId="2" r:id="rId1"/>
    <sheet name="PARTIDAS" sheetId="1" state="hidden" r:id="rId2"/>
    <sheet name="CRONOGRAMA" sheetId="13" state="hidden" r:id="rId3"/>
    <sheet name="ESTADO AVANCE" sheetId="3" r:id="rId4"/>
    <sheet name="OBRA GRUESA" sheetId="7" r:id="rId5"/>
    <sheet name="SANITARIO" sheetId="8" r:id="rId6"/>
    <sheet name="ELECTRICO" sheetId="9" r:id="rId7"/>
    <sheet name="TERMINACIONES" sheetId="10" r:id="rId8"/>
  </sheets>
  <definedNames>
    <definedName name="DatosExternos_1" localSheetId="0" hidden="1">BD_AVANCE!$A$1:$BE$705</definedName>
    <definedName name="SegmentaciónDeDatos_DIAS_RETRASO">#N/A</definedName>
    <definedName name="SegmentaciónDeDatos_DIAS_RETRASO1">#N/A</definedName>
    <definedName name="SegmentaciónDeDatos_DIAS_RETRASO2">#N/A</definedName>
    <definedName name="SegmentaciónDeDatos_DIAS_RETRASO3">#N/A</definedName>
    <definedName name="SegmentaciónDeDatos_DIAS_RETRASO4">#N/A</definedName>
    <definedName name="SegmentaciónDeDatos_DIAS_SIN_MOVIMIENTO">#N/A</definedName>
    <definedName name="SegmentaciónDeDatos_DIAS_SIN_MOVIMIENTO1">#N/A</definedName>
    <definedName name="SegmentaciónDeDatos_DIAS_SIN_MOVIMIENTO11">#N/A</definedName>
    <definedName name="SegmentaciónDeDatos_DIAS_SIN_MOVIMIENTO111">#N/A</definedName>
    <definedName name="SegmentaciónDeDatos_DIAS_SIN_MOVIMIENTO1111">#N/A</definedName>
    <definedName name="SegmentaciónDeDatos_ELÉCTRICO">#N/A</definedName>
    <definedName name="SegmentaciónDeDatos_SANITARIO">#N/A</definedName>
    <definedName name="SegmentaciónDeDatos_TIPO">#N/A</definedName>
    <definedName name="SegmentaciónDeDatos_TIPO1">#N/A</definedName>
    <definedName name="SegmentaciónDeDatos_TIPO11">#N/A</definedName>
    <definedName name="SegmentaciónDeDatos_TIPO111">#N/A</definedName>
    <definedName name="SegmentaciónDeDatos_TIPO1111">#N/A</definedName>
    <definedName name="SegmentaciónDeDatos_TORRE">#N/A</definedName>
    <definedName name="SegmentaciónDeDatos_TORRE1">#N/A</definedName>
    <definedName name="SegmentaciónDeDatos_TORRE11">#N/A</definedName>
    <definedName name="SegmentaciónDeDatos_TORRE111">#N/A</definedName>
    <definedName name="SegmentaciónDeDatos_TORRE1111">#N/A</definedName>
  </definedNames>
  <calcPr calcId="191029"/>
  <pivotCaches>
    <pivotCache cacheId="33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F2" i="2" l="1"/>
  <c r="BF3" i="2"/>
  <c r="BF4" i="2"/>
  <c r="BF5" i="2"/>
  <c r="BF6" i="2"/>
  <c r="BF7" i="2"/>
  <c r="BF8" i="2"/>
  <c r="BF9" i="2"/>
  <c r="BF10" i="2"/>
  <c r="BF11" i="2"/>
  <c r="BF12" i="2"/>
  <c r="BF13" i="2"/>
  <c r="BF14" i="2"/>
  <c r="CS14" i="2" s="1"/>
  <c r="BF15" i="2"/>
  <c r="CS15" i="2" s="1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CS28" i="2" s="1"/>
  <c r="BF29" i="2"/>
  <c r="CS29" i="2" s="1"/>
  <c r="BF30" i="2"/>
  <c r="BF31" i="2"/>
  <c r="BF32" i="2"/>
  <c r="BF33" i="2"/>
  <c r="BF34" i="2"/>
  <c r="BF35" i="2"/>
  <c r="BF36" i="2"/>
  <c r="CS36" i="2" s="1"/>
  <c r="BF37" i="2"/>
  <c r="BF38" i="2"/>
  <c r="BF39" i="2"/>
  <c r="BF40" i="2"/>
  <c r="BF41" i="2"/>
  <c r="BF42" i="2"/>
  <c r="CS42" i="2" s="1"/>
  <c r="BF43" i="2"/>
  <c r="CS43" i="2" s="1"/>
  <c r="BF44" i="2"/>
  <c r="BF45" i="2"/>
  <c r="BF46" i="2"/>
  <c r="BF47" i="2"/>
  <c r="BF48" i="2"/>
  <c r="BF49" i="2"/>
  <c r="BF50" i="2"/>
  <c r="CS50" i="2" s="1"/>
  <c r="BF51" i="2"/>
  <c r="BF52" i="2"/>
  <c r="BF53" i="2"/>
  <c r="BF54" i="2"/>
  <c r="BF55" i="2"/>
  <c r="BF56" i="2"/>
  <c r="CS56" i="2" s="1"/>
  <c r="BF57" i="2"/>
  <c r="CS57" i="2" s="1"/>
  <c r="BF58" i="2"/>
  <c r="BF59" i="2"/>
  <c r="BF60" i="2"/>
  <c r="BF61" i="2"/>
  <c r="BF62" i="2"/>
  <c r="BF63" i="2"/>
  <c r="BF64" i="2"/>
  <c r="CS64" i="2" s="1"/>
  <c r="BF65" i="2"/>
  <c r="BF66" i="2"/>
  <c r="BF67" i="2"/>
  <c r="BF68" i="2"/>
  <c r="BF69" i="2"/>
  <c r="BF70" i="2"/>
  <c r="CS70" i="2" s="1"/>
  <c r="BF71" i="2"/>
  <c r="CS71" i="2" s="1"/>
  <c r="BF72" i="2"/>
  <c r="BF73" i="2"/>
  <c r="BF74" i="2"/>
  <c r="BF75" i="2"/>
  <c r="BF76" i="2"/>
  <c r="BF77" i="2"/>
  <c r="BF78" i="2"/>
  <c r="CS78" i="2" s="1"/>
  <c r="BF79" i="2"/>
  <c r="BF80" i="2"/>
  <c r="BF81" i="2"/>
  <c r="BF82" i="2"/>
  <c r="BF83" i="2"/>
  <c r="BF84" i="2"/>
  <c r="CS84" i="2" s="1"/>
  <c r="BF85" i="2"/>
  <c r="CS85" i="2" s="1"/>
  <c r="BF86" i="2"/>
  <c r="BF87" i="2"/>
  <c r="BF88" i="2"/>
  <c r="BF89" i="2"/>
  <c r="BF90" i="2"/>
  <c r="BF91" i="2"/>
  <c r="BF92" i="2"/>
  <c r="BF93" i="2"/>
  <c r="BF94" i="2"/>
  <c r="BF95" i="2"/>
  <c r="BF96" i="2"/>
  <c r="CS96" i="2" s="1"/>
  <c r="BF97" i="2"/>
  <c r="BF98" i="2"/>
  <c r="CS98" i="2" s="1"/>
  <c r="BF99" i="2"/>
  <c r="CS99" i="2" s="1"/>
  <c r="BF100" i="2"/>
  <c r="BF101" i="2"/>
  <c r="BF102" i="2"/>
  <c r="BF103" i="2"/>
  <c r="BF104" i="2"/>
  <c r="BF105" i="2"/>
  <c r="BF106" i="2"/>
  <c r="BF107" i="2"/>
  <c r="BF108" i="2"/>
  <c r="BF109" i="2"/>
  <c r="BF110" i="2"/>
  <c r="BF111" i="2"/>
  <c r="BF112" i="2"/>
  <c r="CS112" i="2" s="1"/>
  <c r="BF113" i="2"/>
  <c r="CS113" i="2" s="1"/>
  <c r="BF114" i="2"/>
  <c r="BF115" i="2"/>
  <c r="BF116" i="2"/>
  <c r="BF117" i="2"/>
  <c r="BF118" i="2"/>
  <c r="BF119" i="2"/>
  <c r="BF120" i="2"/>
  <c r="CS120" i="2" s="1"/>
  <c r="BF121" i="2"/>
  <c r="BF122" i="2"/>
  <c r="BF123" i="2"/>
  <c r="BF124" i="2"/>
  <c r="CS124" i="2" s="1"/>
  <c r="BF125" i="2"/>
  <c r="BF126" i="2"/>
  <c r="CS126" i="2" s="1"/>
  <c r="BF127" i="2"/>
  <c r="CS127" i="2" s="1"/>
  <c r="BF128" i="2"/>
  <c r="BF129" i="2"/>
  <c r="BF130" i="2"/>
  <c r="BF131" i="2"/>
  <c r="BF132" i="2"/>
  <c r="BF133" i="2"/>
  <c r="BF134" i="2"/>
  <c r="CS134" i="2" s="1"/>
  <c r="BF135" i="2"/>
  <c r="BF136" i="2"/>
  <c r="BF137" i="2"/>
  <c r="BF138" i="2"/>
  <c r="CS138" i="2" s="1"/>
  <c r="BF139" i="2"/>
  <c r="BF140" i="2"/>
  <c r="CS140" i="2" s="1"/>
  <c r="BF141" i="2"/>
  <c r="CS141" i="2" s="1"/>
  <c r="BF142" i="2"/>
  <c r="BF143" i="2"/>
  <c r="BF144" i="2"/>
  <c r="BF145" i="2"/>
  <c r="BF146" i="2"/>
  <c r="BF147" i="2"/>
  <c r="BF148" i="2"/>
  <c r="CS148" i="2" s="1"/>
  <c r="BF149" i="2"/>
  <c r="BF150" i="2"/>
  <c r="BF151" i="2"/>
  <c r="BF152" i="2"/>
  <c r="BF153" i="2"/>
  <c r="BF154" i="2"/>
  <c r="CS154" i="2" s="1"/>
  <c r="BF155" i="2"/>
  <c r="CS155" i="2" s="1"/>
  <c r="BF156" i="2"/>
  <c r="BF157" i="2"/>
  <c r="BF158" i="2"/>
  <c r="BF159" i="2"/>
  <c r="BF160" i="2"/>
  <c r="BF161" i="2"/>
  <c r="BF162" i="2"/>
  <c r="CS162" i="2" s="1"/>
  <c r="BF163" i="2"/>
  <c r="BF164" i="2"/>
  <c r="BF165" i="2"/>
  <c r="BF166" i="2"/>
  <c r="BF167" i="2"/>
  <c r="BF168" i="2"/>
  <c r="CS168" i="2" s="1"/>
  <c r="BF169" i="2"/>
  <c r="CS169" i="2" s="1"/>
  <c r="BF170" i="2"/>
  <c r="BF171" i="2"/>
  <c r="BF172" i="2"/>
  <c r="BF173" i="2"/>
  <c r="BF174" i="2"/>
  <c r="BF175" i="2"/>
  <c r="BF176" i="2"/>
  <c r="BF177" i="2"/>
  <c r="BF178" i="2"/>
  <c r="BF179" i="2"/>
  <c r="BF180" i="2"/>
  <c r="CS180" i="2" s="1"/>
  <c r="BF181" i="2"/>
  <c r="BF182" i="2"/>
  <c r="CS182" i="2" s="1"/>
  <c r="BF183" i="2"/>
  <c r="CS183" i="2" s="1"/>
  <c r="BF184" i="2"/>
  <c r="BF185" i="2"/>
  <c r="BF186" i="2"/>
  <c r="BF187" i="2"/>
  <c r="BF188" i="2"/>
  <c r="BF189" i="2"/>
  <c r="BF190" i="2"/>
  <c r="CS190" i="2" s="1"/>
  <c r="BF191" i="2"/>
  <c r="BF192" i="2"/>
  <c r="BF193" i="2"/>
  <c r="BF194" i="2"/>
  <c r="BF195" i="2"/>
  <c r="BF196" i="2"/>
  <c r="CS196" i="2" s="1"/>
  <c r="BF197" i="2"/>
  <c r="CS197" i="2" s="1"/>
  <c r="BF198" i="2"/>
  <c r="BF199" i="2"/>
  <c r="BF200" i="2"/>
  <c r="BF201" i="2"/>
  <c r="BF202" i="2"/>
  <c r="BF203" i="2"/>
  <c r="BF204" i="2"/>
  <c r="CS204" i="2" s="1"/>
  <c r="BF205" i="2"/>
  <c r="BF206" i="2"/>
  <c r="BF207" i="2"/>
  <c r="BF208" i="2"/>
  <c r="CS208" i="2" s="1"/>
  <c r="BF209" i="2"/>
  <c r="BF210" i="2"/>
  <c r="CS210" i="2" s="1"/>
  <c r="BF211" i="2"/>
  <c r="CS211" i="2" s="1"/>
  <c r="BF212" i="2"/>
  <c r="BF213" i="2"/>
  <c r="BF214" i="2"/>
  <c r="BF215" i="2"/>
  <c r="BF216" i="2"/>
  <c r="BF217" i="2"/>
  <c r="BF218" i="2"/>
  <c r="CS218" i="2" s="1"/>
  <c r="BF219" i="2"/>
  <c r="BF220" i="2"/>
  <c r="BF221" i="2"/>
  <c r="BF222" i="2"/>
  <c r="BF223" i="2"/>
  <c r="BF224" i="2"/>
  <c r="CS224" i="2" s="1"/>
  <c r="BF225" i="2"/>
  <c r="CS225" i="2" s="1"/>
  <c r="BF226" i="2"/>
  <c r="BF227" i="2"/>
  <c r="BF228" i="2"/>
  <c r="BF229" i="2"/>
  <c r="BF230" i="2"/>
  <c r="BF231" i="2"/>
  <c r="BF232" i="2"/>
  <c r="BF233" i="2"/>
  <c r="BF234" i="2"/>
  <c r="BF235" i="2"/>
  <c r="BF236" i="2"/>
  <c r="CS236" i="2" s="1"/>
  <c r="BF237" i="2"/>
  <c r="BF238" i="2"/>
  <c r="CS238" i="2" s="1"/>
  <c r="BF239" i="2"/>
  <c r="CS239" i="2" s="1"/>
  <c r="BF240" i="2"/>
  <c r="BF241" i="2"/>
  <c r="BF242" i="2"/>
  <c r="BF243" i="2"/>
  <c r="BF244" i="2"/>
  <c r="BF245" i="2"/>
  <c r="BF246" i="2"/>
  <c r="CS246" i="2" s="1"/>
  <c r="BF247" i="2"/>
  <c r="BF248" i="2"/>
  <c r="BF249" i="2"/>
  <c r="BF250" i="2"/>
  <c r="BF251" i="2"/>
  <c r="BF252" i="2"/>
  <c r="CS252" i="2" s="1"/>
  <c r="BF253" i="2"/>
  <c r="CS253" i="2" s="1"/>
  <c r="BF254" i="2"/>
  <c r="BF255" i="2"/>
  <c r="BF256" i="2"/>
  <c r="BF257" i="2"/>
  <c r="BF258" i="2"/>
  <c r="BF259" i="2"/>
  <c r="BF260" i="2"/>
  <c r="CS260" i="2" s="1"/>
  <c r="BF261" i="2"/>
  <c r="BF262" i="2"/>
  <c r="BF263" i="2"/>
  <c r="BF264" i="2"/>
  <c r="BF265" i="2"/>
  <c r="BF266" i="2"/>
  <c r="CS266" i="2" s="1"/>
  <c r="BF267" i="2"/>
  <c r="CS267" i="2" s="1"/>
  <c r="BF268" i="2"/>
  <c r="BF269" i="2"/>
  <c r="BF270" i="2"/>
  <c r="BF271" i="2"/>
  <c r="BF272" i="2"/>
  <c r="BF273" i="2"/>
  <c r="BF274" i="2"/>
  <c r="CS274" i="2" s="1"/>
  <c r="BF275" i="2"/>
  <c r="BF276" i="2"/>
  <c r="BF277" i="2"/>
  <c r="BF278" i="2"/>
  <c r="BF279" i="2"/>
  <c r="BF280" i="2"/>
  <c r="CS280" i="2" s="1"/>
  <c r="BF281" i="2"/>
  <c r="CS281" i="2" s="1"/>
  <c r="BF282" i="2"/>
  <c r="BF283" i="2"/>
  <c r="BF284" i="2"/>
  <c r="BF285" i="2"/>
  <c r="BF286" i="2"/>
  <c r="BF287" i="2"/>
  <c r="BF288" i="2"/>
  <c r="CS288" i="2" s="1"/>
  <c r="BF289" i="2"/>
  <c r="BF290" i="2"/>
  <c r="BF291" i="2"/>
  <c r="BF292" i="2"/>
  <c r="BF293" i="2"/>
  <c r="BF294" i="2"/>
  <c r="CS294" i="2" s="1"/>
  <c r="BF295" i="2"/>
  <c r="CS295" i="2" s="1"/>
  <c r="BF296" i="2"/>
  <c r="BF297" i="2"/>
  <c r="BF298" i="2"/>
  <c r="BF299" i="2"/>
  <c r="BF300" i="2"/>
  <c r="BF301" i="2"/>
  <c r="BF302" i="2"/>
  <c r="BF303" i="2"/>
  <c r="BF304" i="2"/>
  <c r="BF305" i="2"/>
  <c r="BF306" i="2"/>
  <c r="BF307" i="2"/>
  <c r="BF308" i="2"/>
  <c r="CS308" i="2" s="1"/>
  <c r="BF309" i="2"/>
  <c r="CS309" i="2" s="1"/>
  <c r="BF310" i="2"/>
  <c r="BF311" i="2"/>
  <c r="BF312" i="2"/>
  <c r="BF313" i="2"/>
  <c r="BF314" i="2"/>
  <c r="BF315" i="2"/>
  <c r="BF316" i="2"/>
  <c r="CS316" i="2" s="1"/>
  <c r="BF317" i="2"/>
  <c r="BF318" i="2"/>
  <c r="BF319" i="2"/>
  <c r="BF320" i="2"/>
  <c r="CS320" i="2" s="1"/>
  <c r="BF321" i="2"/>
  <c r="BF322" i="2"/>
  <c r="CS322" i="2" s="1"/>
  <c r="BF323" i="2"/>
  <c r="CS323" i="2" s="1"/>
  <c r="BF324" i="2"/>
  <c r="BF325" i="2"/>
  <c r="BF326" i="2"/>
  <c r="BF327" i="2"/>
  <c r="BF328" i="2"/>
  <c r="BF329" i="2"/>
  <c r="BF330" i="2"/>
  <c r="CS330" i="2" s="1"/>
  <c r="BF331" i="2"/>
  <c r="BF332" i="2"/>
  <c r="BF333" i="2"/>
  <c r="BF334" i="2"/>
  <c r="CS334" i="2" s="1"/>
  <c r="BF335" i="2"/>
  <c r="BF336" i="2"/>
  <c r="CS336" i="2" s="1"/>
  <c r="BF337" i="2"/>
  <c r="CS337" i="2" s="1"/>
  <c r="BF338" i="2"/>
  <c r="BF339" i="2"/>
  <c r="BF340" i="2"/>
  <c r="BF341" i="2"/>
  <c r="BF342" i="2"/>
  <c r="BF343" i="2"/>
  <c r="BF344" i="2"/>
  <c r="CS344" i="2" s="1"/>
  <c r="BF345" i="2"/>
  <c r="BF346" i="2"/>
  <c r="BF347" i="2"/>
  <c r="BF348" i="2"/>
  <c r="CS348" i="2" s="1"/>
  <c r="BF349" i="2"/>
  <c r="BF350" i="2"/>
  <c r="CS350" i="2" s="1"/>
  <c r="BF351" i="2"/>
  <c r="CS351" i="2" s="1"/>
  <c r="BF352" i="2"/>
  <c r="BF353" i="2"/>
  <c r="BF354" i="2"/>
  <c r="BF355" i="2"/>
  <c r="BF356" i="2"/>
  <c r="BF357" i="2"/>
  <c r="BF358" i="2"/>
  <c r="CS358" i="2" s="1"/>
  <c r="BF359" i="2"/>
  <c r="BF360" i="2"/>
  <c r="BF361" i="2"/>
  <c r="BF362" i="2"/>
  <c r="BF363" i="2"/>
  <c r="BF364" i="2"/>
  <c r="CS364" i="2" s="1"/>
  <c r="BF365" i="2"/>
  <c r="CS365" i="2" s="1"/>
  <c r="BF366" i="2"/>
  <c r="BF367" i="2"/>
  <c r="BF368" i="2"/>
  <c r="BF369" i="2"/>
  <c r="BF370" i="2"/>
  <c r="BF371" i="2"/>
  <c r="BF372" i="2"/>
  <c r="CS372" i="2" s="1"/>
  <c r="BF373" i="2"/>
  <c r="BF374" i="2"/>
  <c r="BF375" i="2"/>
  <c r="BF376" i="2"/>
  <c r="CS376" i="2" s="1"/>
  <c r="BF377" i="2"/>
  <c r="BF378" i="2"/>
  <c r="CS378" i="2" s="1"/>
  <c r="BF379" i="2"/>
  <c r="CS379" i="2" s="1"/>
  <c r="BF380" i="2"/>
  <c r="BF381" i="2"/>
  <c r="BF382" i="2"/>
  <c r="BF383" i="2"/>
  <c r="BF384" i="2"/>
  <c r="BF385" i="2"/>
  <c r="BF386" i="2"/>
  <c r="BF387" i="2"/>
  <c r="BF388" i="2"/>
  <c r="BF389" i="2"/>
  <c r="BF390" i="2"/>
  <c r="CS390" i="2" s="1"/>
  <c r="BF391" i="2"/>
  <c r="BF392" i="2"/>
  <c r="CS392" i="2" s="1"/>
  <c r="BF393" i="2"/>
  <c r="CS393" i="2" s="1"/>
  <c r="BF394" i="2"/>
  <c r="BF395" i="2"/>
  <c r="BF396" i="2"/>
  <c r="BF397" i="2"/>
  <c r="BF398" i="2"/>
  <c r="BF399" i="2"/>
  <c r="BF400" i="2"/>
  <c r="CS400" i="2" s="1"/>
  <c r="BF401" i="2"/>
  <c r="BF402" i="2"/>
  <c r="BF403" i="2"/>
  <c r="BF404" i="2"/>
  <c r="BF405" i="2"/>
  <c r="BF406" i="2"/>
  <c r="CS406" i="2" s="1"/>
  <c r="BF407" i="2"/>
  <c r="CS407" i="2" s="1"/>
  <c r="BF408" i="2"/>
  <c r="BF409" i="2"/>
  <c r="BF410" i="2"/>
  <c r="BF411" i="2"/>
  <c r="BF412" i="2"/>
  <c r="BF413" i="2"/>
  <c r="BF414" i="2"/>
  <c r="CS414" i="2" s="1"/>
  <c r="BF415" i="2"/>
  <c r="BF416" i="2"/>
  <c r="BF417" i="2"/>
  <c r="BF418" i="2"/>
  <c r="BF419" i="2"/>
  <c r="BF420" i="2"/>
  <c r="CS420" i="2" s="1"/>
  <c r="BF421" i="2"/>
  <c r="CS421" i="2" s="1"/>
  <c r="BF422" i="2"/>
  <c r="BF423" i="2"/>
  <c r="BF424" i="2"/>
  <c r="BF425" i="2"/>
  <c r="BF426" i="2"/>
  <c r="BF427" i="2"/>
  <c r="BF428" i="2"/>
  <c r="CS428" i="2" s="1"/>
  <c r="BF429" i="2"/>
  <c r="BF430" i="2"/>
  <c r="BF431" i="2"/>
  <c r="BF432" i="2"/>
  <c r="CS432" i="2" s="1"/>
  <c r="BF433" i="2"/>
  <c r="BF434" i="2"/>
  <c r="CS434" i="2" s="1"/>
  <c r="BF435" i="2"/>
  <c r="CS435" i="2" s="1"/>
  <c r="BF436" i="2"/>
  <c r="BF437" i="2"/>
  <c r="BF438" i="2"/>
  <c r="BF439" i="2"/>
  <c r="BF440" i="2"/>
  <c r="BF441" i="2"/>
  <c r="BF442" i="2"/>
  <c r="CS442" i="2" s="1"/>
  <c r="BF443" i="2"/>
  <c r="BF444" i="2"/>
  <c r="BF445" i="2"/>
  <c r="BF446" i="2"/>
  <c r="BF447" i="2"/>
  <c r="BF448" i="2"/>
  <c r="CS448" i="2" s="1"/>
  <c r="BF449" i="2"/>
  <c r="CS449" i="2" s="1"/>
  <c r="BF450" i="2"/>
  <c r="BF451" i="2"/>
  <c r="BF452" i="2"/>
  <c r="BF453" i="2"/>
  <c r="BF454" i="2"/>
  <c r="BF455" i="2"/>
  <c r="BF456" i="2"/>
  <c r="BF457" i="2"/>
  <c r="BF458" i="2"/>
  <c r="BF459" i="2"/>
  <c r="BF460" i="2"/>
  <c r="BF461" i="2"/>
  <c r="BF462" i="2"/>
  <c r="CS462" i="2" s="1"/>
  <c r="BF463" i="2"/>
  <c r="CS463" i="2" s="1"/>
  <c r="BF464" i="2"/>
  <c r="BF465" i="2"/>
  <c r="BF466" i="2"/>
  <c r="BF467" i="2"/>
  <c r="BF468" i="2"/>
  <c r="BF469" i="2"/>
  <c r="BF470" i="2"/>
  <c r="CS470" i="2" s="1"/>
  <c r="BF471" i="2"/>
  <c r="BF472" i="2"/>
  <c r="BF473" i="2"/>
  <c r="BF474" i="2"/>
  <c r="BF475" i="2"/>
  <c r="BF476" i="2"/>
  <c r="CS476" i="2" s="1"/>
  <c r="BF477" i="2"/>
  <c r="CS477" i="2" s="1"/>
  <c r="BF478" i="2"/>
  <c r="BF479" i="2"/>
  <c r="BF480" i="2"/>
  <c r="BF481" i="2"/>
  <c r="BF482" i="2"/>
  <c r="BF483" i="2"/>
  <c r="BF484" i="2"/>
  <c r="CS484" i="2" s="1"/>
  <c r="BF485" i="2"/>
  <c r="BF486" i="2"/>
  <c r="BF487" i="2"/>
  <c r="BF488" i="2"/>
  <c r="CS488" i="2" s="1"/>
  <c r="BF489" i="2"/>
  <c r="BF490" i="2"/>
  <c r="CS490" i="2" s="1"/>
  <c r="BF491" i="2"/>
  <c r="CS491" i="2" s="1"/>
  <c r="BF492" i="2"/>
  <c r="BF493" i="2"/>
  <c r="BF494" i="2"/>
  <c r="BF495" i="2"/>
  <c r="BF496" i="2"/>
  <c r="BF497" i="2"/>
  <c r="BF498" i="2"/>
  <c r="CS498" i="2" s="1"/>
  <c r="BF499" i="2"/>
  <c r="BF500" i="2"/>
  <c r="BF501" i="2"/>
  <c r="BF502" i="2"/>
  <c r="BF503" i="2"/>
  <c r="BF504" i="2"/>
  <c r="CS504" i="2" s="1"/>
  <c r="BF505" i="2"/>
  <c r="CS505" i="2" s="1"/>
  <c r="BF506" i="2"/>
  <c r="BF507" i="2"/>
  <c r="BF508" i="2"/>
  <c r="BF509" i="2"/>
  <c r="BF510" i="2"/>
  <c r="BF511" i="2"/>
  <c r="BF512" i="2"/>
  <c r="CS512" i="2" s="1"/>
  <c r="BF513" i="2"/>
  <c r="BF514" i="2"/>
  <c r="BF515" i="2"/>
  <c r="BF516" i="2"/>
  <c r="CS516" i="2" s="1"/>
  <c r="BF517" i="2"/>
  <c r="BF518" i="2"/>
  <c r="CS518" i="2" s="1"/>
  <c r="BF519" i="2"/>
  <c r="CS519" i="2" s="1"/>
  <c r="BF520" i="2"/>
  <c r="BF521" i="2"/>
  <c r="BF522" i="2"/>
  <c r="BF523" i="2"/>
  <c r="BF524" i="2"/>
  <c r="BF525" i="2"/>
  <c r="BF526" i="2"/>
  <c r="CS526" i="2" s="1"/>
  <c r="BF527" i="2"/>
  <c r="BF528" i="2"/>
  <c r="BF529" i="2"/>
  <c r="BF530" i="2"/>
  <c r="CS530" i="2" s="1"/>
  <c r="BF531" i="2"/>
  <c r="BF532" i="2"/>
  <c r="CS532" i="2" s="1"/>
  <c r="BF533" i="2"/>
  <c r="CS533" i="2" s="1"/>
  <c r="BF534" i="2"/>
  <c r="BF535" i="2"/>
  <c r="BF536" i="2"/>
  <c r="BF537" i="2"/>
  <c r="BF538" i="2"/>
  <c r="BF539" i="2"/>
  <c r="BF540" i="2"/>
  <c r="BF541" i="2"/>
  <c r="BF542" i="2"/>
  <c r="BF543" i="2"/>
  <c r="BF544" i="2"/>
  <c r="BF545" i="2"/>
  <c r="BF546" i="2"/>
  <c r="CS546" i="2" s="1"/>
  <c r="BF547" i="2"/>
  <c r="CS547" i="2" s="1"/>
  <c r="BF548" i="2"/>
  <c r="BF549" i="2"/>
  <c r="BF550" i="2"/>
  <c r="BF551" i="2"/>
  <c r="BF552" i="2"/>
  <c r="BF553" i="2"/>
  <c r="BF554" i="2"/>
  <c r="CS554" i="2" s="1"/>
  <c r="BF555" i="2"/>
  <c r="BF556" i="2"/>
  <c r="BF557" i="2"/>
  <c r="BF558" i="2"/>
  <c r="BF559" i="2"/>
  <c r="BF560" i="2"/>
  <c r="CS560" i="2" s="1"/>
  <c r="BF561" i="2"/>
  <c r="CS561" i="2" s="1"/>
  <c r="BF562" i="2"/>
  <c r="BF563" i="2"/>
  <c r="BF564" i="2"/>
  <c r="BF565" i="2"/>
  <c r="BF566" i="2"/>
  <c r="BF567" i="2"/>
  <c r="BF568" i="2"/>
  <c r="CS568" i="2" s="1"/>
  <c r="BF569" i="2"/>
  <c r="BF570" i="2"/>
  <c r="BF571" i="2"/>
  <c r="BF572" i="2"/>
  <c r="CS572" i="2" s="1"/>
  <c r="BF573" i="2"/>
  <c r="BF574" i="2"/>
  <c r="CS574" i="2" s="1"/>
  <c r="BF575" i="2"/>
  <c r="CS575" i="2" s="1"/>
  <c r="BF576" i="2"/>
  <c r="BF577" i="2"/>
  <c r="BF578" i="2"/>
  <c r="BF579" i="2"/>
  <c r="BF580" i="2"/>
  <c r="BF581" i="2"/>
  <c r="BF582" i="2"/>
  <c r="CS582" i="2" s="1"/>
  <c r="BF583" i="2"/>
  <c r="BF584" i="2"/>
  <c r="BF585" i="2"/>
  <c r="BF586" i="2"/>
  <c r="BF587" i="2"/>
  <c r="BF588" i="2"/>
  <c r="CS588" i="2" s="1"/>
  <c r="BF589" i="2"/>
  <c r="CS589" i="2" s="1"/>
  <c r="BF590" i="2"/>
  <c r="BF591" i="2"/>
  <c r="BF592" i="2"/>
  <c r="BF593" i="2"/>
  <c r="BF594" i="2"/>
  <c r="BF595" i="2"/>
  <c r="BF596" i="2"/>
  <c r="CS596" i="2" s="1"/>
  <c r="BF597" i="2"/>
  <c r="BF598" i="2"/>
  <c r="BF599" i="2"/>
  <c r="BF600" i="2"/>
  <c r="BF601" i="2"/>
  <c r="BF602" i="2"/>
  <c r="CS602" i="2" s="1"/>
  <c r="BF603" i="2"/>
  <c r="CS603" i="2" s="1"/>
  <c r="BF604" i="2"/>
  <c r="BF605" i="2"/>
  <c r="BF606" i="2"/>
  <c r="BF607" i="2"/>
  <c r="BF608" i="2"/>
  <c r="BF609" i="2"/>
  <c r="BF610" i="2"/>
  <c r="CS610" i="2" s="1"/>
  <c r="BF611" i="2"/>
  <c r="BF612" i="2"/>
  <c r="BF613" i="2"/>
  <c r="BF614" i="2"/>
  <c r="CS614" i="2" s="1"/>
  <c r="BF615" i="2"/>
  <c r="BF616" i="2"/>
  <c r="CS616" i="2" s="1"/>
  <c r="BF617" i="2"/>
  <c r="CS617" i="2" s="1"/>
  <c r="BF618" i="2"/>
  <c r="BF619" i="2"/>
  <c r="BF620" i="2"/>
  <c r="BF621" i="2"/>
  <c r="BF622" i="2"/>
  <c r="BF623" i="2"/>
  <c r="BF624" i="2"/>
  <c r="CS624" i="2" s="1"/>
  <c r="BF625" i="2"/>
  <c r="BF626" i="2"/>
  <c r="BF627" i="2"/>
  <c r="BF628" i="2"/>
  <c r="BF629" i="2"/>
  <c r="BF630" i="2"/>
  <c r="CS630" i="2" s="1"/>
  <c r="BF631" i="2"/>
  <c r="CS631" i="2" s="1"/>
  <c r="BF632" i="2"/>
  <c r="BF633" i="2"/>
  <c r="BF634" i="2"/>
  <c r="BF635" i="2"/>
  <c r="BF636" i="2"/>
  <c r="BF637" i="2"/>
  <c r="BF638" i="2"/>
  <c r="CS638" i="2" s="1"/>
  <c r="BF639" i="2"/>
  <c r="BF640" i="2"/>
  <c r="BF641" i="2"/>
  <c r="BF642" i="2"/>
  <c r="BF643" i="2"/>
  <c r="BF644" i="2"/>
  <c r="CS644" i="2" s="1"/>
  <c r="BF645" i="2"/>
  <c r="CS645" i="2" s="1"/>
  <c r="BF646" i="2"/>
  <c r="BF647" i="2"/>
  <c r="BF648" i="2"/>
  <c r="BF649" i="2"/>
  <c r="BF650" i="2"/>
  <c r="BF651" i="2"/>
  <c r="BF652" i="2"/>
  <c r="CS652" i="2" s="1"/>
  <c r="BF653" i="2"/>
  <c r="BF654" i="2"/>
  <c r="BF655" i="2"/>
  <c r="BF656" i="2"/>
  <c r="CS656" i="2" s="1"/>
  <c r="BF657" i="2"/>
  <c r="BF658" i="2"/>
  <c r="CS658" i="2" s="1"/>
  <c r="BF659" i="2"/>
  <c r="CS659" i="2" s="1"/>
  <c r="BF660" i="2"/>
  <c r="BF661" i="2"/>
  <c r="BF662" i="2"/>
  <c r="BF663" i="2"/>
  <c r="BF664" i="2"/>
  <c r="BF665" i="2"/>
  <c r="BF666" i="2"/>
  <c r="CS666" i="2" s="1"/>
  <c r="BF667" i="2"/>
  <c r="BF668" i="2"/>
  <c r="BF669" i="2"/>
  <c r="BF670" i="2"/>
  <c r="BF671" i="2"/>
  <c r="BF672" i="2"/>
  <c r="CS672" i="2" s="1"/>
  <c r="BF673" i="2"/>
  <c r="CS673" i="2" s="1"/>
  <c r="BF674" i="2"/>
  <c r="BF675" i="2"/>
  <c r="BF676" i="2"/>
  <c r="BF677" i="2"/>
  <c r="BF678" i="2"/>
  <c r="BF679" i="2"/>
  <c r="BF680" i="2"/>
  <c r="CS680" i="2" s="1"/>
  <c r="BF681" i="2"/>
  <c r="BF682" i="2"/>
  <c r="BF683" i="2"/>
  <c r="BF684" i="2"/>
  <c r="BF685" i="2"/>
  <c r="BF686" i="2"/>
  <c r="CS686" i="2" s="1"/>
  <c r="BF687" i="2"/>
  <c r="CS687" i="2" s="1"/>
  <c r="BF688" i="2"/>
  <c r="BF689" i="2"/>
  <c r="BF690" i="2"/>
  <c r="BF691" i="2"/>
  <c r="BF692" i="2"/>
  <c r="BF693" i="2"/>
  <c r="BF694" i="2"/>
  <c r="CS694" i="2" s="1"/>
  <c r="BF695" i="2"/>
  <c r="BF696" i="2"/>
  <c r="BF697" i="2"/>
  <c r="BF698" i="2"/>
  <c r="BF699" i="2"/>
  <c r="BF700" i="2"/>
  <c r="CS700" i="2" s="1"/>
  <c r="BF701" i="2"/>
  <c r="CS701" i="2" s="1"/>
  <c r="BF702" i="2"/>
  <c r="BF703" i="2"/>
  <c r="BF704" i="2"/>
  <c r="BF705" i="2"/>
  <c r="BG2" i="2"/>
  <c r="BG3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110" i="2"/>
  <c r="BG111" i="2"/>
  <c r="BG112" i="2"/>
  <c r="BG113" i="2"/>
  <c r="BG114" i="2"/>
  <c r="BG115" i="2"/>
  <c r="BG116" i="2"/>
  <c r="BG117" i="2"/>
  <c r="BG118" i="2"/>
  <c r="BG119" i="2"/>
  <c r="BG120" i="2"/>
  <c r="BG121" i="2"/>
  <c r="BG122" i="2"/>
  <c r="BG123" i="2"/>
  <c r="BG124" i="2"/>
  <c r="BG125" i="2"/>
  <c r="BG126" i="2"/>
  <c r="BG127" i="2"/>
  <c r="BG128" i="2"/>
  <c r="BG129" i="2"/>
  <c r="BG130" i="2"/>
  <c r="BG131" i="2"/>
  <c r="BG132" i="2"/>
  <c r="BG133" i="2"/>
  <c r="BG134" i="2"/>
  <c r="BG135" i="2"/>
  <c r="BG136" i="2"/>
  <c r="BG137" i="2"/>
  <c r="BG138" i="2"/>
  <c r="BG139" i="2"/>
  <c r="BG140" i="2"/>
  <c r="BG141" i="2"/>
  <c r="BG142" i="2"/>
  <c r="BG143" i="2"/>
  <c r="BG144" i="2"/>
  <c r="BG145" i="2"/>
  <c r="BG146" i="2"/>
  <c r="BG147" i="2"/>
  <c r="BG148" i="2"/>
  <c r="BG149" i="2"/>
  <c r="BG150" i="2"/>
  <c r="BG151" i="2"/>
  <c r="BG152" i="2"/>
  <c r="BG153" i="2"/>
  <c r="BG154" i="2"/>
  <c r="BG155" i="2"/>
  <c r="BG156" i="2"/>
  <c r="BG157" i="2"/>
  <c r="BG158" i="2"/>
  <c r="BG159" i="2"/>
  <c r="BG160" i="2"/>
  <c r="BG161" i="2"/>
  <c r="BG162" i="2"/>
  <c r="BG163" i="2"/>
  <c r="BG164" i="2"/>
  <c r="BG165" i="2"/>
  <c r="BG166" i="2"/>
  <c r="BG167" i="2"/>
  <c r="BG168" i="2"/>
  <c r="BG169" i="2"/>
  <c r="BG170" i="2"/>
  <c r="BG171" i="2"/>
  <c r="BG172" i="2"/>
  <c r="BG173" i="2"/>
  <c r="BG174" i="2"/>
  <c r="BG175" i="2"/>
  <c r="BG176" i="2"/>
  <c r="BG177" i="2"/>
  <c r="BG178" i="2"/>
  <c r="BG179" i="2"/>
  <c r="BG180" i="2"/>
  <c r="BG181" i="2"/>
  <c r="BG182" i="2"/>
  <c r="BG183" i="2"/>
  <c r="BG184" i="2"/>
  <c r="BG185" i="2"/>
  <c r="BG186" i="2"/>
  <c r="BG187" i="2"/>
  <c r="BG188" i="2"/>
  <c r="BG189" i="2"/>
  <c r="BG190" i="2"/>
  <c r="BG191" i="2"/>
  <c r="BG192" i="2"/>
  <c r="BG193" i="2"/>
  <c r="BG194" i="2"/>
  <c r="BG195" i="2"/>
  <c r="BG196" i="2"/>
  <c r="BG197" i="2"/>
  <c r="BG198" i="2"/>
  <c r="BG199" i="2"/>
  <c r="BG200" i="2"/>
  <c r="BG201" i="2"/>
  <c r="BG202" i="2"/>
  <c r="BG203" i="2"/>
  <c r="BG204" i="2"/>
  <c r="BG205" i="2"/>
  <c r="BG206" i="2"/>
  <c r="CV206" i="2" s="1" a="1"/>
  <c r="CV206" i="2" s="1"/>
  <c r="BG207" i="2"/>
  <c r="CV207" i="2" s="1" a="1"/>
  <c r="CV207" i="2" s="1"/>
  <c r="BG208" i="2"/>
  <c r="BG209" i="2"/>
  <c r="BG210" i="2"/>
  <c r="BG211" i="2"/>
  <c r="BG212" i="2"/>
  <c r="BG213" i="2"/>
  <c r="BG214" i="2"/>
  <c r="BG215" i="2"/>
  <c r="BG216" i="2"/>
  <c r="BG217" i="2"/>
  <c r="BG218" i="2"/>
  <c r="BG219" i="2"/>
  <c r="BG220" i="2"/>
  <c r="BG221" i="2"/>
  <c r="BG222" i="2"/>
  <c r="BG223" i="2"/>
  <c r="BG224" i="2"/>
  <c r="BG225" i="2"/>
  <c r="BG226" i="2"/>
  <c r="BG227" i="2"/>
  <c r="BG228" i="2"/>
  <c r="BG229" i="2"/>
  <c r="BG230" i="2"/>
  <c r="BG231" i="2"/>
  <c r="BG232" i="2"/>
  <c r="BG233" i="2"/>
  <c r="BG234" i="2"/>
  <c r="BG235" i="2"/>
  <c r="BG236" i="2"/>
  <c r="BG237" i="2"/>
  <c r="BG238" i="2"/>
  <c r="BG239" i="2"/>
  <c r="BG240" i="2"/>
  <c r="BG241" i="2"/>
  <c r="BG242" i="2"/>
  <c r="BG243" i="2"/>
  <c r="BG244" i="2"/>
  <c r="BG245" i="2"/>
  <c r="BG246" i="2"/>
  <c r="BG247" i="2"/>
  <c r="BG248" i="2"/>
  <c r="BG249" i="2"/>
  <c r="BG250" i="2"/>
  <c r="BG251" i="2"/>
  <c r="BG252" i="2"/>
  <c r="BG253" i="2"/>
  <c r="BG254" i="2"/>
  <c r="BG255" i="2"/>
  <c r="BG256" i="2"/>
  <c r="BG257" i="2"/>
  <c r="BG258" i="2"/>
  <c r="BG259" i="2"/>
  <c r="BG260" i="2"/>
  <c r="BG261" i="2"/>
  <c r="BG262" i="2"/>
  <c r="BG263" i="2"/>
  <c r="BG264" i="2"/>
  <c r="BG265" i="2"/>
  <c r="BG266" i="2"/>
  <c r="BG267" i="2"/>
  <c r="BG268" i="2"/>
  <c r="BG269" i="2"/>
  <c r="BG270" i="2"/>
  <c r="BG271" i="2"/>
  <c r="BG272" i="2"/>
  <c r="BG273" i="2"/>
  <c r="BG274" i="2"/>
  <c r="BG275" i="2"/>
  <c r="BG276" i="2"/>
  <c r="BG277" i="2"/>
  <c r="BG278" i="2"/>
  <c r="BG279" i="2"/>
  <c r="BG280" i="2"/>
  <c r="BG281" i="2"/>
  <c r="BG282" i="2"/>
  <c r="BG283" i="2"/>
  <c r="BG284" i="2"/>
  <c r="BG285" i="2"/>
  <c r="BG286" i="2"/>
  <c r="BG287" i="2"/>
  <c r="BG288" i="2"/>
  <c r="BG289" i="2"/>
  <c r="BG290" i="2"/>
  <c r="BG291" i="2"/>
  <c r="BG292" i="2"/>
  <c r="BG293" i="2"/>
  <c r="BG294" i="2"/>
  <c r="BG295" i="2"/>
  <c r="BG296" i="2"/>
  <c r="BG297" i="2"/>
  <c r="BG298" i="2"/>
  <c r="BG299" i="2"/>
  <c r="BG300" i="2"/>
  <c r="BG301" i="2"/>
  <c r="BG302" i="2"/>
  <c r="BG303" i="2"/>
  <c r="BG304" i="2"/>
  <c r="BG305" i="2"/>
  <c r="BG306" i="2"/>
  <c r="BG307" i="2"/>
  <c r="BG308" i="2"/>
  <c r="BG309" i="2"/>
  <c r="BG310" i="2"/>
  <c r="BG311" i="2"/>
  <c r="BG312" i="2"/>
  <c r="BG313" i="2"/>
  <c r="BG314" i="2"/>
  <c r="BG315" i="2"/>
  <c r="BG316" i="2"/>
  <c r="BG317" i="2"/>
  <c r="BG318" i="2"/>
  <c r="BG319" i="2"/>
  <c r="BG320" i="2"/>
  <c r="BG321" i="2"/>
  <c r="BG322" i="2"/>
  <c r="BG323" i="2"/>
  <c r="BG324" i="2"/>
  <c r="BG325" i="2"/>
  <c r="BG326" i="2"/>
  <c r="BG327" i="2"/>
  <c r="BG328" i="2"/>
  <c r="BG329" i="2"/>
  <c r="BG330" i="2"/>
  <c r="BG331" i="2"/>
  <c r="BG332" i="2"/>
  <c r="BG333" i="2"/>
  <c r="BG334" i="2"/>
  <c r="BG335" i="2"/>
  <c r="BG336" i="2"/>
  <c r="BG337" i="2"/>
  <c r="BG338" i="2"/>
  <c r="BG339" i="2"/>
  <c r="BG340" i="2"/>
  <c r="BG341" i="2"/>
  <c r="BG342" i="2"/>
  <c r="BG343" i="2"/>
  <c r="BG344" i="2"/>
  <c r="BG345" i="2"/>
  <c r="BG346" i="2"/>
  <c r="BG347" i="2"/>
  <c r="BG348" i="2"/>
  <c r="BG349" i="2"/>
  <c r="BG350" i="2"/>
  <c r="BG351" i="2"/>
  <c r="BG352" i="2"/>
  <c r="BG353" i="2"/>
  <c r="BG354" i="2"/>
  <c r="BG355" i="2"/>
  <c r="BG356" i="2"/>
  <c r="BG357" i="2"/>
  <c r="BG358" i="2"/>
  <c r="BG359" i="2"/>
  <c r="BG360" i="2"/>
  <c r="BG361" i="2"/>
  <c r="BG362" i="2"/>
  <c r="BG363" i="2"/>
  <c r="BG364" i="2"/>
  <c r="BG365" i="2"/>
  <c r="BG366" i="2"/>
  <c r="BG367" i="2"/>
  <c r="BG368" i="2"/>
  <c r="BG369" i="2"/>
  <c r="BG370" i="2"/>
  <c r="BG371" i="2"/>
  <c r="BG372" i="2"/>
  <c r="BG373" i="2"/>
  <c r="BG374" i="2"/>
  <c r="BG375" i="2"/>
  <c r="BG376" i="2"/>
  <c r="BG377" i="2"/>
  <c r="BG378" i="2"/>
  <c r="BG379" i="2"/>
  <c r="BG380" i="2"/>
  <c r="BG381" i="2"/>
  <c r="BG382" i="2"/>
  <c r="BG383" i="2"/>
  <c r="BG384" i="2"/>
  <c r="BG385" i="2"/>
  <c r="BG386" i="2"/>
  <c r="BG387" i="2"/>
  <c r="BG388" i="2"/>
  <c r="BG389" i="2"/>
  <c r="BG390" i="2"/>
  <c r="BG391" i="2"/>
  <c r="BG392" i="2"/>
  <c r="BG393" i="2"/>
  <c r="BG394" i="2"/>
  <c r="BG395" i="2"/>
  <c r="BG396" i="2"/>
  <c r="BG397" i="2"/>
  <c r="BG398" i="2"/>
  <c r="BG399" i="2"/>
  <c r="BG400" i="2"/>
  <c r="BG401" i="2"/>
  <c r="BG402" i="2"/>
  <c r="CV402" i="2" s="1" a="1"/>
  <c r="CV402" i="2" s="1"/>
  <c r="BG403" i="2"/>
  <c r="BG404" i="2"/>
  <c r="BG405" i="2"/>
  <c r="BG406" i="2"/>
  <c r="BG407" i="2"/>
  <c r="BG408" i="2"/>
  <c r="BG409" i="2"/>
  <c r="BG410" i="2"/>
  <c r="BG411" i="2"/>
  <c r="BG412" i="2"/>
  <c r="BG413" i="2"/>
  <c r="BG414" i="2"/>
  <c r="BG415" i="2"/>
  <c r="BG416" i="2"/>
  <c r="BG417" i="2"/>
  <c r="BG418" i="2"/>
  <c r="BG419" i="2"/>
  <c r="BG420" i="2"/>
  <c r="BG421" i="2"/>
  <c r="BG422" i="2"/>
  <c r="BG423" i="2"/>
  <c r="BG424" i="2"/>
  <c r="BG425" i="2"/>
  <c r="BG426" i="2"/>
  <c r="BG427" i="2"/>
  <c r="BG428" i="2"/>
  <c r="BG429" i="2"/>
  <c r="BG430" i="2"/>
  <c r="BG431" i="2"/>
  <c r="BG432" i="2"/>
  <c r="BG433" i="2"/>
  <c r="BG434" i="2"/>
  <c r="BG435" i="2"/>
  <c r="BG436" i="2"/>
  <c r="BG437" i="2"/>
  <c r="BG438" i="2"/>
  <c r="BG439" i="2"/>
  <c r="BG440" i="2"/>
  <c r="BG441" i="2"/>
  <c r="BG442" i="2"/>
  <c r="BG443" i="2"/>
  <c r="BG444" i="2"/>
  <c r="CV444" i="2" s="1" a="1"/>
  <c r="CV444" i="2" s="1"/>
  <c r="BG445" i="2"/>
  <c r="BG446" i="2"/>
  <c r="BG447" i="2"/>
  <c r="BG448" i="2"/>
  <c r="BG449" i="2"/>
  <c r="BG450" i="2"/>
  <c r="BG451" i="2"/>
  <c r="BG452" i="2"/>
  <c r="BG453" i="2"/>
  <c r="BG454" i="2"/>
  <c r="BG455" i="2"/>
  <c r="BG456" i="2"/>
  <c r="BG457" i="2"/>
  <c r="BG458" i="2"/>
  <c r="CU458" i="2" s="1" a="1"/>
  <c r="CU458" i="2" s="1"/>
  <c r="BG459" i="2"/>
  <c r="BG460" i="2"/>
  <c r="BG461" i="2"/>
  <c r="BG462" i="2"/>
  <c r="BG463" i="2"/>
  <c r="BG464" i="2"/>
  <c r="BG465" i="2"/>
  <c r="BG466" i="2"/>
  <c r="BG467" i="2"/>
  <c r="BG468" i="2"/>
  <c r="BG469" i="2"/>
  <c r="BG470" i="2"/>
  <c r="BG471" i="2"/>
  <c r="BG472" i="2"/>
  <c r="BG473" i="2"/>
  <c r="BG474" i="2"/>
  <c r="BG475" i="2"/>
  <c r="BG476" i="2"/>
  <c r="BG477" i="2"/>
  <c r="BG478" i="2"/>
  <c r="BG479" i="2"/>
  <c r="BG480" i="2"/>
  <c r="BG481" i="2"/>
  <c r="BG482" i="2"/>
  <c r="BG483" i="2"/>
  <c r="BG484" i="2"/>
  <c r="BG485" i="2"/>
  <c r="BG486" i="2"/>
  <c r="BG487" i="2"/>
  <c r="BG488" i="2"/>
  <c r="BG489" i="2"/>
  <c r="BG490" i="2"/>
  <c r="BG491" i="2"/>
  <c r="BG492" i="2"/>
  <c r="BG493" i="2"/>
  <c r="BG494" i="2"/>
  <c r="BG495" i="2"/>
  <c r="BG496" i="2"/>
  <c r="BG497" i="2"/>
  <c r="BG498" i="2"/>
  <c r="BG499" i="2"/>
  <c r="BG500" i="2"/>
  <c r="BG501" i="2"/>
  <c r="BG502" i="2"/>
  <c r="BG503" i="2"/>
  <c r="BG504" i="2"/>
  <c r="BG505" i="2"/>
  <c r="BG506" i="2"/>
  <c r="BG507" i="2"/>
  <c r="BG508" i="2"/>
  <c r="BG509" i="2"/>
  <c r="BG510" i="2"/>
  <c r="BG511" i="2"/>
  <c r="BG512" i="2"/>
  <c r="BG513" i="2"/>
  <c r="BG514" i="2"/>
  <c r="BG515" i="2"/>
  <c r="BG516" i="2"/>
  <c r="BG517" i="2"/>
  <c r="BG518" i="2"/>
  <c r="BG519" i="2"/>
  <c r="BG520" i="2"/>
  <c r="BG521" i="2"/>
  <c r="BG522" i="2"/>
  <c r="BG523" i="2"/>
  <c r="BG524" i="2"/>
  <c r="BG525" i="2"/>
  <c r="BG526" i="2"/>
  <c r="BG527" i="2"/>
  <c r="BG528" i="2"/>
  <c r="BG529" i="2"/>
  <c r="BG530" i="2"/>
  <c r="BG531" i="2"/>
  <c r="BG532" i="2"/>
  <c r="BG533" i="2"/>
  <c r="BG534" i="2"/>
  <c r="BG535" i="2"/>
  <c r="BG536" i="2"/>
  <c r="BG537" i="2"/>
  <c r="BG538" i="2"/>
  <c r="BG539" i="2"/>
  <c r="BG540" i="2"/>
  <c r="BG541" i="2"/>
  <c r="BG542" i="2"/>
  <c r="BG543" i="2"/>
  <c r="BG544" i="2"/>
  <c r="BG545" i="2"/>
  <c r="BG546" i="2"/>
  <c r="BG547" i="2"/>
  <c r="BG548" i="2"/>
  <c r="BG549" i="2"/>
  <c r="BG550" i="2"/>
  <c r="BG551" i="2"/>
  <c r="BG552" i="2"/>
  <c r="BG553" i="2"/>
  <c r="BG554" i="2"/>
  <c r="BG555" i="2"/>
  <c r="BG556" i="2"/>
  <c r="BG557" i="2"/>
  <c r="BG558" i="2"/>
  <c r="BG559" i="2"/>
  <c r="BG560" i="2"/>
  <c r="BG561" i="2"/>
  <c r="BG562" i="2"/>
  <c r="BG563" i="2"/>
  <c r="BG564" i="2"/>
  <c r="BG565" i="2"/>
  <c r="BG566" i="2"/>
  <c r="BG567" i="2"/>
  <c r="BG568" i="2"/>
  <c r="BG569" i="2"/>
  <c r="BG570" i="2"/>
  <c r="BG571" i="2"/>
  <c r="BG572" i="2"/>
  <c r="BG573" i="2"/>
  <c r="BG574" i="2"/>
  <c r="BG575" i="2"/>
  <c r="BG576" i="2"/>
  <c r="BG577" i="2"/>
  <c r="BG578" i="2"/>
  <c r="BG579" i="2"/>
  <c r="BG580" i="2"/>
  <c r="BG581" i="2"/>
  <c r="BG582" i="2"/>
  <c r="BG583" i="2"/>
  <c r="BG584" i="2"/>
  <c r="BG585" i="2"/>
  <c r="BG586" i="2"/>
  <c r="BG587" i="2"/>
  <c r="BG588" i="2"/>
  <c r="BG589" i="2"/>
  <c r="BG590" i="2"/>
  <c r="BG591" i="2"/>
  <c r="BG592" i="2"/>
  <c r="BG593" i="2"/>
  <c r="BG594" i="2"/>
  <c r="BG595" i="2"/>
  <c r="BG596" i="2"/>
  <c r="BG597" i="2"/>
  <c r="BG598" i="2"/>
  <c r="BG599" i="2"/>
  <c r="BG600" i="2"/>
  <c r="BG601" i="2"/>
  <c r="BG602" i="2"/>
  <c r="BG603" i="2"/>
  <c r="BG604" i="2"/>
  <c r="BG605" i="2"/>
  <c r="BG606" i="2"/>
  <c r="BG607" i="2"/>
  <c r="BG608" i="2"/>
  <c r="BG609" i="2"/>
  <c r="BG610" i="2"/>
  <c r="BG611" i="2"/>
  <c r="BG612" i="2"/>
  <c r="BG613" i="2"/>
  <c r="BG614" i="2"/>
  <c r="BG615" i="2"/>
  <c r="BG616" i="2"/>
  <c r="BG617" i="2"/>
  <c r="BG618" i="2"/>
  <c r="BG619" i="2"/>
  <c r="BG620" i="2"/>
  <c r="BG621" i="2"/>
  <c r="BG622" i="2"/>
  <c r="BG623" i="2"/>
  <c r="BG624" i="2"/>
  <c r="BG625" i="2"/>
  <c r="BG626" i="2"/>
  <c r="BG627" i="2"/>
  <c r="BG628" i="2"/>
  <c r="BG629" i="2"/>
  <c r="BG630" i="2"/>
  <c r="BG631" i="2"/>
  <c r="BG632" i="2"/>
  <c r="BG633" i="2"/>
  <c r="BG634" i="2"/>
  <c r="BG635" i="2"/>
  <c r="BG636" i="2"/>
  <c r="BG637" i="2"/>
  <c r="BG638" i="2"/>
  <c r="BG639" i="2"/>
  <c r="BG640" i="2"/>
  <c r="BG641" i="2"/>
  <c r="BG642" i="2"/>
  <c r="BG643" i="2"/>
  <c r="BG644" i="2"/>
  <c r="BG645" i="2"/>
  <c r="BG646" i="2"/>
  <c r="BG647" i="2"/>
  <c r="BG648" i="2"/>
  <c r="BG649" i="2"/>
  <c r="BG650" i="2"/>
  <c r="BG651" i="2"/>
  <c r="BG652" i="2"/>
  <c r="BG653" i="2"/>
  <c r="BG654" i="2"/>
  <c r="BG655" i="2"/>
  <c r="BG656" i="2"/>
  <c r="BG657" i="2"/>
  <c r="BG658" i="2"/>
  <c r="BG659" i="2"/>
  <c r="BG660" i="2"/>
  <c r="BG661" i="2"/>
  <c r="BG662" i="2"/>
  <c r="BG663" i="2"/>
  <c r="BG664" i="2"/>
  <c r="BG665" i="2"/>
  <c r="BG666" i="2"/>
  <c r="BG667" i="2"/>
  <c r="BG668" i="2"/>
  <c r="CV668" i="2" s="1" a="1"/>
  <c r="CV668" i="2" s="1"/>
  <c r="BG669" i="2"/>
  <c r="BG670" i="2"/>
  <c r="BG671" i="2"/>
  <c r="BG672" i="2"/>
  <c r="BG673" i="2"/>
  <c r="BG674" i="2"/>
  <c r="BG675" i="2"/>
  <c r="BG676" i="2"/>
  <c r="BG677" i="2"/>
  <c r="BG678" i="2"/>
  <c r="BG679" i="2"/>
  <c r="BG680" i="2"/>
  <c r="BG681" i="2"/>
  <c r="BG682" i="2"/>
  <c r="BG683" i="2"/>
  <c r="BG684" i="2"/>
  <c r="BG685" i="2"/>
  <c r="BG686" i="2"/>
  <c r="BG687" i="2"/>
  <c r="BG688" i="2"/>
  <c r="BG689" i="2"/>
  <c r="BG690" i="2"/>
  <c r="BG691" i="2"/>
  <c r="BG692" i="2"/>
  <c r="BG693" i="2"/>
  <c r="BG694" i="2"/>
  <c r="BG695" i="2"/>
  <c r="BG696" i="2"/>
  <c r="BG697" i="2"/>
  <c r="BG698" i="2"/>
  <c r="BG699" i="2"/>
  <c r="BG700" i="2"/>
  <c r="BG701" i="2"/>
  <c r="BG702" i="2"/>
  <c r="BG703" i="2"/>
  <c r="BG704" i="2"/>
  <c r="BG705" i="2"/>
  <c r="BH2" i="2"/>
  <c r="BH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75" i="2"/>
  <c r="BH76" i="2"/>
  <c r="BH77" i="2"/>
  <c r="BH78" i="2"/>
  <c r="BH79" i="2"/>
  <c r="BH80" i="2"/>
  <c r="BH81" i="2"/>
  <c r="BH82" i="2"/>
  <c r="BH83" i="2"/>
  <c r="BH84" i="2"/>
  <c r="BH85" i="2"/>
  <c r="BH86" i="2"/>
  <c r="BH87" i="2"/>
  <c r="BH88" i="2"/>
  <c r="BH89" i="2"/>
  <c r="BH90" i="2"/>
  <c r="BH91" i="2"/>
  <c r="BH92" i="2"/>
  <c r="BH93" i="2"/>
  <c r="BH94" i="2"/>
  <c r="BH95" i="2"/>
  <c r="BH96" i="2"/>
  <c r="BH97" i="2"/>
  <c r="BH98" i="2"/>
  <c r="BH99" i="2"/>
  <c r="BH100" i="2"/>
  <c r="BH101" i="2"/>
  <c r="BH102" i="2"/>
  <c r="BH103" i="2"/>
  <c r="BH104" i="2"/>
  <c r="BH105" i="2"/>
  <c r="BH106" i="2"/>
  <c r="BH107" i="2"/>
  <c r="BH108" i="2"/>
  <c r="BH109" i="2"/>
  <c r="BH110" i="2"/>
  <c r="BH111" i="2"/>
  <c r="BH112" i="2"/>
  <c r="BH113" i="2"/>
  <c r="BH114" i="2"/>
  <c r="BH115" i="2"/>
  <c r="BH116" i="2"/>
  <c r="BH117" i="2"/>
  <c r="BH118" i="2"/>
  <c r="BH119" i="2"/>
  <c r="BH120" i="2"/>
  <c r="BH121" i="2"/>
  <c r="BH122" i="2"/>
  <c r="BH123" i="2"/>
  <c r="BH124" i="2"/>
  <c r="BH125" i="2"/>
  <c r="BH126" i="2"/>
  <c r="BH127" i="2"/>
  <c r="BH128" i="2"/>
  <c r="BH129" i="2"/>
  <c r="BH130" i="2"/>
  <c r="BH131" i="2"/>
  <c r="BH132" i="2"/>
  <c r="BH133" i="2"/>
  <c r="BH134" i="2"/>
  <c r="BH135" i="2"/>
  <c r="BH136" i="2"/>
  <c r="BH137" i="2"/>
  <c r="BH138" i="2"/>
  <c r="BH139" i="2"/>
  <c r="BH140" i="2"/>
  <c r="BH141" i="2"/>
  <c r="BH142" i="2"/>
  <c r="BH143" i="2"/>
  <c r="BH144" i="2"/>
  <c r="BH145" i="2"/>
  <c r="BH146" i="2"/>
  <c r="BH147" i="2"/>
  <c r="BH148" i="2"/>
  <c r="BH149" i="2"/>
  <c r="BH150" i="2"/>
  <c r="BH151" i="2"/>
  <c r="BH152" i="2"/>
  <c r="BH153" i="2"/>
  <c r="BH154" i="2"/>
  <c r="BH155" i="2"/>
  <c r="BH156" i="2"/>
  <c r="BH157" i="2"/>
  <c r="BH158" i="2"/>
  <c r="BH159" i="2"/>
  <c r="BH160" i="2"/>
  <c r="BH161" i="2"/>
  <c r="BH162" i="2"/>
  <c r="BH163" i="2"/>
  <c r="BH164" i="2"/>
  <c r="BH165" i="2"/>
  <c r="BH166" i="2"/>
  <c r="BH167" i="2"/>
  <c r="BH168" i="2"/>
  <c r="BH169" i="2"/>
  <c r="BH170" i="2"/>
  <c r="BH171" i="2"/>
  <c r="BH172" i="2"/>
  <c r="BH173" i="2"/>
  <c r="BH174" i="2"/>
  <c r="BH175" i="2"/>
  <c r="BH176" i="2"/>
  <c r="BH177" i="2"/>
  <c r="BH178" i="2"/>
  <c r="BH179" i="2"/>
  <c r="BH180" i="2"/>
  <c r="BH181" i="2"/>
  <c r="BH182" i="2"/>
  <c r="BH183" i="2"/>
  <c r="BH184" i="2"/>
  <c r="BH185" i="2"/>
  <c r="BH186" i="2"/>
  <c r="BH187" i="2"/>
  <c r="BH188" i="2"/>
  <c r="BH189" i="2"/>
  <c r="BH190" i="2"/>
  <c r="BH191" i="2"/>
  <c r="BH192" i="2"/>
  <c r="BH193" i="2"/>
  <c r="BH194" i="2"/>
  <c r="BH195" i="2"/>
  <c r="BH196" i="2"/>
  <c r="BH197" i="2"/>
  <c r="BH198" i="2"/>
  <c r="BH199" i="2"/>
  <c r="BH200" i="2"/>
  <c r="BH201" i="2"/>
  <c r="BH202" i="2"/>
  <c r="BH203" i="2"/>
  <c r="BH204" i="2"/>
  <c r="BH205" i="2"/>
  <c r="BH206" i="2"/>
  <c r="BH207" i="2"/>
  <c r="BH208" i="2"/>
  <c r="BH209" i="2"/>
  <c r="BH210" i="2"/>
  <c r="BH211" i="2"/>
  <c r="BH212" i="2"/>
  <c r="BH213" i="2"/>
  <c r="BH214" i="2"/>
  <c r="BH215" i="2"/>
  <c r="BH216" i="2"/>
  <c r="BH217" i="2"/>
  <c r="BH218" i="2"/>
  <c r="BH219" i="2"/>
  <c r="BH220" i="2"/>
  <c r="BH221" i="2"/>
  <c r="BH222" i="2"/>
  <c r="BH223" i="2"/>
  <c r="BH224" i="2"/>
  <c r="BH225" i="2"/>
  <c r="BH226" i="2"/>
  <c r="BH227" i="2"/>
  <c r="BH228" i="2"/>
  <c r="BH229" i="2"/>
  <c r="BH230" i="2"/>
  <c r="BH231" i="2"/>
  <c r="BH232" i="2"/>
  <c r="BH233" i="2"/>
  <c r="BH234" i="2"/>
  <c r="BH235" i="2"/>
  <c r="BH236" i="2"/>
  <c r="BH237" i="2"/>
  <c r="BH238" i="2"/>
  <c r="BH239" i="2"/>
  <c r="BH240" i="2"/>
  <c r="BH241" i="2"/>
  <c r="BH242" i="2"/>
  <c r="BH243" i="2"/>
  <c r="BH244" i="2"/>
  <c r="BH245" i="2"/>
  <c r="BH246" i="2"/>
  <c r="BH247" i="2"/>
  <c r="BH248" i="2"/>
  <c r="BH249" i="2"/>
  <c r="BH250" i="2"/>
  <c r="BH251" i="2"/>
  <c r="BH252" i="2"/>
  <c r="BH253" i="2"/>
  <c r="BH254" i="2"/>
  <c r="BH255" i="2"/>
  <c r="BH256" i="2"/>
  <c r="BH257" i="2"/>
  <c r="BH258" i="2"/>
  <c r="BH259" i="2"/>
  <c r="BH260" i="2"/>
  <c r="BH261" i="2"/>
  <c r="BH262" i="2"/>
  <c r="BH263" i="2"/>
  <c r="BH264" i="2"/>
  <c r="BH265" i="2"/>
  <c r="BH266" i="2"/>
  <c r="BH267" i="2"/>
  <c r="BH268" i="2"/>
  <c r="BH269" i="2"/>
  <c r="BH270" i="2"/>
  <c r="BH271" i="2"/>
  <c r="BH272" i="2"/>
  <c r="BH273" i="2"/>
  <c r="BH274" i="2"/>
  <c r="BH275" i="2"/>
  <c r="BH276" i="2"/>
  <c r="BH277" i="2"/>
  <c r="BH278" i="2"/>
  <c r="BH279" i="2"/>
  <c r="BH280" i="2"/>
  <c r="BH281" i="2"/>
  <c r="BH282" i="2"/>
  <c r="BH283" i="2"/>
  <c r="BH284" i="2"/>
  <c r="BH285" i="2"/>
  <c r="BH286" i="2"/>
  <c r="CV286" i="2" s="1" a="1"/>
  <c r="CV286" i="2" s="1"/>
  <c r="BH287" i="2"/>
  <c r="BH288" i="2"/>
  <c r="BH289" i="2"/>
  <c r="BH290" i="2"/>
  <c r="BH291" i="2"/>
  <c r="BH292" i="2"/>
  <c r="BH293" i="2"/>
  <c r="BH294" i="2"/>
  <c r="BH295" i="2"/>
  <c r="BH296" i="2"/>
  <c r="BH297" i="2"/>
  <c r="BH298" i="2"/>
  <c r="BH299" i="2"/>
  <c r="BH300" i="2"/>
  <c r="BH301" i="2"/>
  <c r="BH302" i="2"/>
  <c r="BH303" i="2"/>
  <c r="BH304" i="2"/>
  <c r="BH305" i="2"/>
  <c r="BH306" i="2"/>
  <c r="BH307" i="2"/>
  <c r="BH308" i="2"/>
  <c r="BH309" i="2"/>
  <c r="BH310" i="2"/>
  <c r="BH311" i="2"/>
  <c r="BH312" i="2"/>
  <c r="BH313" i="2"/>
  <c r="BH314" i="2"/>
  <c r="BH315" i="2"/>
  <c r="BH316" i="2"/>
  <c r="BH317" i="2"/>
  <c r="BH318" i="2"/>
  <c r="BH319" i="2"/>
  <c r="BH320" i="2"/>
  <c r="BH321" i="2"/>
  <c r="BH322" i="2"/>
  <c r="BH323" i="2"/>
  <c r="BH324" i="2"/>
  <c r="BH325" i="2"/>
  <c r="BH326" i="2"/>
  <c r="BH327" i="2"/>
  <c r="BH328" i="2"/>
  <c r="CV328" i="2" s="1" a="1"/>
  <c r="CV328" i="2" s="1"/>
  <c r="BH329" i="2"/>
  <c r="BH330" i="2"/>
  <c r="BH331" i="2"/>
  <c r="BH332" i="2"/>
  <c r="BH333" i="2"/>
  <c r="BH334" i="2"/>
  <c r="BH335" i="2"/>
  <c r="BH336" i="2"/>
  <c r="BH337" i="2"/>
  <c r="BH338" i="2"/>
  <c r="BH339" i="2"/>
  <c r="BH340" i="2"/>
  <c r="BH341" i="2"/>
  <c r="BH342" i="2"/>
  <c r="BH343" i="2"/>
  <c r="BH344" i="2"/>
  <c r="BH345" i="2"/>
  <c r="BH346" i="2"/>
  <c r="BH347" i="2"/>
  <c r="BH348" i="2"/>
  <c r="BH349" i="2"/>
  <c r="BH350" i="2"/>
  <c r="BH351" i="2"/>
  <c r="BH352" i="2"/>
  <c r="BH353" i="2"/>
  <c r="BH354" i="2"/>
  <c r="BH355" i="2"/>
  <c r="BH356" i="2"/>
  <c r="BH357" i="2"/>
  <c r="BH358" i="2"/>
  <c r="BH359" i="2"/>
  <c r="BH360" i="2"/>
  <c r="BH361" i="2"/>
  <c r="BH362" i="2"/>
  <c r="BH363" i="2"/>
  <c r="BH364" i="2"/>
  <c r="BH365" i="2"/>
  <c r="BH366" i="2"/>
  <c r="BH367" i="2"/>
  <c r="BH368" i="2"/>
  <c r="BH369" i="2"/>
  <c r="BH370" i="2"/>
  <c r="BH371" i="2"/>
  <c r="BH372" i="2"/>
  <c r="BH373" i="2"/>
  <c r="BH374" i="2"/>
  <c r="BH375" i="2"/>
  <c r="BH376" i="2"/>
  <c r="BH377" i="2"/>
  <c r="BH378" i="2"/>
  <c r="BH379" i="2"/>
  <c r="BH380" i="2"/>
  <c r="BH381" i="2"/>
  <c r="BH382" i="2"/>
  <c r="BH383" i="2"/>
  <c r="BH384" i="2"/>
  <c r="BH385" i="2"/>
  <c r="BH386" i="2"/>
  <c r="BH387" i="2"/>
  <c r="BH388" i="2"/>
  <c r="BH389" i="2"/>
  <c r="BH390" i="2"/>
  <c r="BH391" i="2"/>
  <c r="BH392" i="2"/>
  <c r="BH393" i="2"/>
  <c r="BH394" i="2"/>
  <c r="BH395" i="2"/>
  <c r="BH396" i="2"/>
  <c r="BH397" i="2"/>
  <c r="BH398" i="2"/>
  <c r="BH399" i="2"/>
  <c r="BH400" i="2"/>
  <c r="BH401" i="2"/>
  <c r="BH402" i="2"/>
  <c r="BH403" i="2"/>
  <c r="BH404" i="2"/>
  <c r="BH405" i="2"/>
  <c r="BH406" i="2"/>
  <c r="BH407" i="2"/>
  <c r="BH408" i="2"/>
  <c r="BH409" i="2"/>
  <c r="BH410" i="2"/>
  <c r="BH411" i="2"/>
  <c r="BH412" i="2"/>
  <c r="CV412" i="2" s="1" a="1"/>
  <c r="CV412" i="2" s="1"/>
  <c r="BH413" i="2"/>
  <c r="BH414" i="2"/>
  <c r="BH415" i="2"/>
  <c r="BH416" i="2"/>
  <c r="BH417" i="2"/>
  <c r="BH418" i="2"/>
  <c r="BH419" i="2"/>
  <c r="BH420" i="2"/>
  <c r="BH421" i="2"/>
  <c r="BH422" i="2"/>
  <c r="BH423" i="2"/>
  <c r="BH424" i="2"/>
  <c r="BH425" i="2"/>
  <c r="BH426" i="2"/>
  <c r="BH427" i="2"/>
  <c r="BH428" i="2"/>
  <c r="BH429" i="2"/>
  <c r="BH430" i="2"/>
  <c r="BH431" i="2"/>
  <c r="BH432" i="2"/>
  <c r="BH433" i="2"/>
  <c r="BH434" i="2"/>
  <c r="BH435" i="2"/>
  <c r="BH436" i="2"/>
  <c r="BH437" i="2"/>
  <c r="BH438" i="2"/>
  <c r="BH439" i="2"/>
  <c r="BH440" i="2"/>
  <c r="BH441" i="2"/>
  <c r="BH442" i="2"/>
  <c r="BH443" i="2"/>
  <c r="BH444" i="2"/>
  <c r="BH445" i="2"/>
  <c r="BH446" i="2"/>
  <c r="BH447" i="2"/>
  <c r="BH448" i="2"/>
  <c r="BH449" i="2"/>
  <c r="BH450" i="2"/>
  <c r="BH451" i="2"/>
  <c r="BH452" i="2"/>
  <c r="BH453" i="2"/>
  <c r="BH454" i="2"/>
  <c r="CU454" i="2" s="1" a="1"/>
  <c r="CU454" i="2" s="1"/>
  <c r="BH455" i="2"/>
  <c r="BH456" i="2"/>
  <c r="BH457" i="2"/>
  <c r="BH458" i="2"/>
  <c r="BH459" i="2"/>
  <c r="BH460" i="2"/>
  <c r="BH461" i="2"/>
  <c r="BH462" i="2"/>
  <c r="BH463" i="2"/>
  <c r="BH464" i="2"/>
  <c r="BH465" i="2"/>
  <c r="BH466" i="2"/>
  <c r="BH467" i="2"/>
  <c r="BH468" i="2"/>
  <c r="BH469" i="2"/>
  <c r="BH470" i="2"/>
  <c r="BH471" i="2"/>
  <c r="BH472" i="2"/>
  <c r="BH473" i="2"/>
  <c r="BH474" i="2"/>
  <c r="BH475" i="2"/>
  <c r="BH476" i="2"/>
  <c r="BH477" i="2"/>
  <c r="BH478" i="2"/>
  <c r="BH479" i="2"/>
  <c r="BH480" i="2"/>
  <c r="BH481" i="2"/>
  <c r="BH482" i="2"/>
  <c r="BH483" i="2"/>
  <c r="BH484" i="2"/>
  <c r="BH485" i="2"/>
  <c r="BH486" i="2"/>
  <c r="BH487" i="2"/>
  <c r="BH488" i="2"/>
  <c r="BH489" i="2"/>
  <c r="BH490" i="2"/>
  <c r="BH491" i="2"/>
  <c r="BH492" i="2"/>
  <c r="BH493" i="2"/>
  <c r="BH494" i="2"/>
  <c r="BH495" i="2"/>
  <c r="BH496" i="2"/>
  <c r="BH497" i="2"/>
  <c r="BH498" i="2"/>
  <c r="BH499" i="2"/>
  <c r="BH500" i="2"/>
  <c r="BH501" i="2"/>
  <c r="BH502" i="2"/>
  <c r="BH503" i="2"/>
  <c r="BH504" i="2"/>
  <c r="BH505" i="2"/>
  <c r="BH506" i="2"/>
  <c r="BH507" i="2"/>
  <c r="BH508" i="2"/>
  <c r="BH509" i="2"/>
  <c r="BH510" i="2"/>
  <c r="BH511" i="2"/>
  <c r="BH512" i="2"/>
  <c r="BH513" i="2"/>
  <c r="BH514" i="2"/>
  <c r="BH515" i="2"/>
  <c r="BH516" i="2"/>
  <c r="BH517" i="2"/>
  <c r="BH518" i="2"/>
  <c r="BH519" i="2"/>
  <c r="BH520" i="2"/>
  <c r="BH521" i="2"/>
  <c r="BH522" i="2"/>
  <c r="BH523" i="2"/>
  <c r="BH524" i="2"/>
  <c r="BH525" i="2"/>
  <c r="BH526" i="2"/>
  <c r="BH527" i="2"/>
  <c r="BH528" i="2"/>
  <c r="BH529" i="2"/>
  <c r="BH530" i="2"/>
  <c r="BH531" i="2"/>
  <c r="BH532" i="2"/>
  <c r="BH533" i="2"/>
  <c r="BH534" i="2"/>
  <c r="BH535" i="2"/>
  <c r="BH536" i="2"/>
  <c r="BH537" i="2"/>
  <c r="BH538" i="2"/>
  <c r="BH539" i="2"/>
  <c r="BH540" i="2"/>
  <c r="BH541" i="2"/>
  <c r="BH542" i="2"/>
  <c r="BH543" i="2"/>
  <c r="BH544" i="2"/>
  <c r="BH545" i="2"/>
  <c r="BH546" i="2"/>
  <c r="BH547" i="2"/>
  <c r="BH548" i="2"/>
  <c r="BH549" i="2"/>
  <c r="BH550" i="2"/>
  <c r="BH551" i="2"/>
  <c r="BH552" i="2"/>
  <c r="BH553" i="2"/>
  <c r="BH554" i="2"/>
  <c r="BH555" i="2"/>
  <c r="BH556" i="2"/>
  <c r="BH557" i="2"/>
  <c r="BH558" i="2"/>
  <c r="BH559" i="2"/>
  <c r="BH560" i="2"/>
  <c r="BH561" i="2"/>
  <c r="BH562" i="2"/>
  <c r="BH563" i="2"/>
  <c r="BH564" i="2"/>
  <c r="BH565" i="2"/>
  <c r="BH566" i="2"/>
  <c r="BH567" i="2"/>
  <c r="BH568" i="2"/>
  <c r="BH569" i="2"/>
  <c r="BH570" i="2"/>
  <c r="BH571" i="2"/>
  <c r="BH572" i="2"/>
  <c r="BH573" i="2"/>
  <c r="BH574" i="2"/>
  <c r="BH575" i="2"/>
  <c r="BH576" i="2"/>
  <c r="BH577" i="2"/>
  <c r="BH578" i="2"/>
  <c r="BH579" i="2"/>
  <c r="BH580" i="2"/>
  <c r="BH581" i="2"/>
  <c r="BH582" i="2"/>
  <c r="BH583" i="2"/>
  <c r="BH584" i="2"/>
  <c r="BH585" i="2"/>
  <c r="BH586" i="2"/>
  <c r="BH587" i="2"/>
  <c r="BH588" i="2"/>
  <c r="BH589" i="2"/>
  <c r="BH590" i="2"/>
  <c r="BH591" i="2"/>
  <c r="BH592" i="2"/>
  <c r="BH593" i="2"/>
  <c r="BH594" i="2"/>
  <c r="BH595" i="2"/>
  <c r="BH596" i="2"/>
  <c r="BH597" i="2"/>
  <c r="BH598" i="2"/>
  <c r="BH599" i="2"/>
  <c r="BH600" i="2"/>
  <c r="BH601" i="2"/>
  <c r="BH602" i="2"/>
  <c r="BH603" i="2"/>
  <c r="BH604" i="2"/>
  <c r="BH605" i="2"/>
  <c r="BH606" i="2"/>
  <c r="BH607" i="2"/>
  <c r="BH608" i="2"/>
  <c r="BH609" i="2"/>
  <c r="BH610" i="2"/>
  <c r="BH611" i="2"/>
  <c r="BH612" i="2"/>
  <c r="BH613" i="2"/>
  <c r="BH614" i="2"/>
  <c r="BH615" i="2"/>
  <c r="BH616" i="2"/>
  <c r="BH617" i="2"/>
  <c r="BH618" i="2"/>
  <c r="BH619" i="2"/>
  <c r="BH620" i="2"/>
  <c r="BH621" i="2"/>
  <c r="BH622" i="2"/>
  <c r="BH623" i="2"/>
  <c r="BH624" i="2"/>
  <c r="BH625" i="2"/>
  <c r="BH626" i="2"/>
  <c r="BH627" i="2"/>
  <c r="BH628" i="2"/>
  <c r="BH629" i="2"/>
  <c r="BH630" i="2"/>
  <c r="BH631" i="2"/>
  <c r="BH632" i="2"/>
  <c r="BH633" i="2"/>
  <c r="BH634" i="2"/>
  <c r="BH635" i="2"/>
  <c r="BH636" i="2"/>
  <c r="BH637" i="2"/>
  <c r="BH638" i="2"/>
  <c r="BH639" i="2"/>
  <c r="BH640" i="2"/>
  <c r="BH641" i="2"/>
  <c r="BH642" i="2"/>
  <c r="BH643" i="2"/>
  <c r="BH644" i="2"/>
  <c r="BH645" i="2"/>
  <c r="BH646" i="2"/>
  <c r="BH647" i="2"/>
  <c r="BH648" i="2"/>
  <c r="BH649" i="2"/>
  <c r="BH650" i="2"/>
  <c r="BH651" i="2"/>
  <c r="BH652" i="2"/>
  <c r="BH653" i="2"/>
  <c r="BH654" i="2"/>
  <c r="BH655" i="2"/>
  <c r="BH656" i="2"/>
  <c r="BH657" i="2"/>
  <c r="BH658" i="2"/>
  <c r="BH659" i="2"/>
  <c r="BH660" i="2"/>
  <c r="BH661" i="2"/>
  <c r="BH662" i="2"/>
  <c r="BH663" i="2"/>
  <c r="BH664" i="2"/>
  <c r="BH665" i="2"/>
  <c r="BH666" i="2"/>
  <c r="BH667" i="2"/>
  <c r="BH668" i="2"/>
  <c r="BH669" i="2"/>
  <c r="BH670" i="2"/>
  <c r="BH671" i="2"/>
  <c r="BH672" i="2"/>
  <c r="BH673" i="2"/>
  <c r="BH674" i="2"/>
  <c r="BH675" i="2"/>
  <c r="BH676" i="2"/>
  <c r="BH677" i="2"/>
  <c r="BH678" i="2"/>
  <c r="BH679" i="2"/>
  <c r="BH680" i="2"/>
  <c r="BH681" i="2"/>
  <c r="BH682" i="2"/>
  <c r="BH683" i="2"/>
  <c r="BH684" i="2"/>
  <c r="BH685" i="2"/>
  <c r="BH686" i="2"/>
  <c r="BH687" i="2"/>
  <c r="BH688" i="2"/>
  <c r="BH689" i="2"/>
  <c r="BH690" i="2"/>
  <c r="BH691" i="2"/>
  <c r="BH692" i="2"/>
  <c r="BH693" i="2"/>
  <c r="BH694" i="2"/>
  <c r="BH695" i="2"/>
  <c r="BH696" i="2"/>
  <c r="BH697" i="2"/>
  <c r="BH698" i="2"/>
  <c r="BH699" i="2"/>
  <c r="BH700" i="2"/>
  <c r="BH701" i="2"/>
  <c r="BH702" i="2"/>
  <c r="BH703" i="2"/>
  <c r="BH704" i="2"/>
  <c r="BH705" i="2"/>
  <c r="BI2" i="2"/>
  <c r="BI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CV16" i="2" s="1" a="1"/>
  <c r="CV16" i="2" s="1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CV114" i="2" s="1" a="1"/>
  <c r="CV114" i="2" s="1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I127" i="2"/>
  <c r="BI128" i="2"/>
  <c r="BI129" i="2"/>
  <c r="BI130" i="2"/>
  <c r="BI131" i="2"/>
  <c r="BI132" i="2"/>
  <c r="BI133" i="2"/>
  <c r="BI134" i="2"/>
  <c r="BI135" i="2"/>
  <c r="BI136" i="2"/>
  <c r="BI137" i="2"/>
  <c r="BI138" i="2"/>
  <c r="BI139" i="2"/>
  <c r="BI140" i="2"/>
  <c r="BI141" i="2"/>
  <c r="BI142" i="2"/>
  <c r="BI143" i="2"/>
  <c r="BI144" i="2"/>
  <c r="BI145" i="2"/>
  <c r="BI146" i="2"/>
  <c r="BI147" i="2"/>
  <c r="BI148" i="2"/>
  <c r="BI149" i="2"/>
  <c r="BI150" i="2"/>
  <c r="BI151" i="2"/>
  <c r="BI152" i="2"/>
  <c r="BI153" i="2"/>
  <c r="BI154" i="2"/>
  <c r="BI155" i="2"/>
  <c r="BI156" i="2"/>
  <c r="BI157" i="2"/>
  <c r="BI158" i="2"/>
  <c r="BI159" i="2"/>
  <c r="BI160" i="2"/>
  <c r="BI161" i="2"/>
  <c r="BI162" i="2"/>
  <c r="BI163" i="2"/>
  <c r="BI164" i="2"/>
  <c r="BI165" i="2"/>
  <c r="BI166" i="2"/>
  <c r="BI167" i="2"/>
  <c r="BI168" i="2"/>
  <c r="BI169" i="2"/>
  <c r="BI170" i="2"/>
  <c r="BI171" i="2"/>
  <c r="BI172" i="2"/>
  <c r="BI173" i="2"/>
  <c r="BI174" i="2"/>
  <c r="BI175" i="2"/>
  <c r="BI176" i="2"/>
  <c r="BI177" i="2"/>
  <c r="BI178" i="2"/>
  <c r="BI179" i="2"/>
  <c r="BI180" i="2"/>
  <c r="BI181" i="2"/>
  <c r="BI182" i="2"/>
  <c r="BI183" i="2"/>
  <c r="BI184" i="2"/>
  <c r="BI185" i="2"/>
  <c r="BI186" i="2"/>
  <c r="BI187" i="2"/>
  <c r="BI188" i="2"/>
  <c r="BI189" i="2"/>
  <c r="BI190" i="2"/>
  <c r="BI191" i="2"/>
  <c r="BI192" i="2"/>
  <c r="BI193" i="2"/>
  <c r="BI194" i="2"/>
  <c r="BI195" i="2"/>
  <c r="BI196" i="2"/>
  <c r="BI197" i="2"/>
  <c r="BI198" i="2"/>
  <c r="BI199" i="2"/>
  <c r="BI200" i="2"/>
  <c r="BI201" i="2"/>
  <c r="BI202" i="2"/>
  <c r="BI203" i="2"/>
  <c r="BI204" i="2"/>
  <c r="BI205" i="2"/>
  <c r="BI206" i="2"/>
  <c r="BI207" i="2"/>
  <c r="BI208" i="2"/>
  <c r="BI209" i="2"/>
  <c r="BI210" i="2"/>
  <c r="BI211" i="2"/>
  <c r="BI212" i="2"/>
  <c r="BI213" i="2"/>
  <c r="BI214" i="2"/>
  <c r="BI215" i="2"/>
  <c r="BI216" i="2"/>
  <c r="BI217" i="2"/>
  <c r="BI218" i="2"/>
  <c r="BI219" i="2"/>
  <c r="BI220" i="2"/>
  <c r="BI221" i="2"/>
  <c r="BI222" i="2"/>
  <c r="BI223" i="2"/>
  <c r="BI224" i="2"/>
  <c r="BI225" i="2"/>
  <c r="BI226" i="2"/>
  <c r="BI227" i="2"/>
  <c r="BI228" i="2"/>
  <c r="BI229" i="2"/>
  <c r="BI230" i="2"/>
  <c r="BI231" i="2"/>
  <c r="BI232" i="2"/>
  <c r="BI233" i="2"/>
  <c r="BI234" i="2"/>
  <c r="BI235" i="2"/>
  <c r="BI236" i="2"/>
  <c r="BI237" i="2"/>
  <c r="BI238" i="2"/>
  <c r="BI239" i="2"/>
  <c r="BI240" i="2"/>
  <c r="CU240" i="2" s="1" a="1"/>
  <c r="CU240" i="2" s="1"/>
  <c r="BI241" i="2"/>
  <c r="BI242" i="2"/>
  <c r="BI243" i="2"/>
  <c r="BI244" i="2"/>
  <c r="BI245" i="2"/>
  <c r="BI246" i="2"/>
  <c r="BI247" i="2"/>
  <c r="BI248" i="2"/>
  <c r="BI249" i="2"/>
  <c r="BI250" i="2"/>
  <c r="BI251" i="2"/>
  <c r="BI252" i="2"/>
  <c r="BI253" i="2"/>
  <c r="BI254" i="2"/>
  <c r="BI255" i="2"/>
  <c r="BI256" i="2"/>
  <c r="BI257" i="2"/>
  <c r="BI258" i="2"/>
  <c r="BI259" i="2"/>
  <c r="BI260" i="2"/>
  <c r="BI261" i="2"/>
  <c r="BI262" i="2"/>
  <c r="BI263" i="2"/>
  <c r="BI264" i="2"/>
  <c r="BI265" i="2"/>
  <c r="BI266" i="2"/>
  <c r="BI267" i="2"/>
  <c r="BI268" i="2"/>
  <c r="BI269" i="2"/>
  <c r="BI270" i="2"/>
  <c r="BI271" i="2"/>
  <c r="BI272" i="2"/>
  <c r="BI273" i="2"/>
  <c r="BI274" i="2"/>
  <c r="BI275" i="2"/>
  <c r="BI276" i="2"/>
  <c r="BI277" i="2"/>
  <c r="BI278" i="2"/>
  <c r="BI279" i="2"/>
  <c r="BI280" i="2"/>
  <c r="BI281" i="2"/>
  <c r="BI282" i="2"/>
  <c r="BI283" i="2"/>
  <c r="BI284" i="2"/>
  <c r="BI285" i="2"/>
  <c r="BI286" i="2"/>
  <c r="BI287" i="2"/>
  <c r="BI288" i="2"/>
  <c r="BI289" i="2"/>
  <c r="BI290" i="2"/>
  <c r="BI291" i="2"/>
  <c r="BI292" i="2"/>
  <c r="BI293" i="2"/>
  <c r="BI294" i="2"/>
  <c r="BI295" i="2"/>
  <c r="BI296" i="2"/>
  <c r="BI297" i="2"/>
  <c r="BI298" i="2"/>
  <c r="BI299" i="2"/>
  <c r="BI300" i="2"/>
  <c r="BI301" i="2"/>
  <c r="BI302" i="2"/>
  <c r="BI303" i="2"/>
  <c r="BI304" i="2"/>
  <c r="BI305" i="2"/>
  <c r="BI306" i="2"/>
  <c r="BI307" i="2"/>
  <c r="BI308" i="2"/>
  <c r="BI309" i="2"/>
  <c r="BI310" i="2"/>
  <c r="BI311" i="2"/>
  <c r="BI312" i="2"/>
  <c r="BI313" i="2"/>
  <c r="BI314" i="2"/>
  <c r="BI315" i="2"/>
  <c r="BI316" i="2"/>
  <c r="BI317" i="2"/>
  <c r="BI318" i="2"/>
  <c r="BI319" i="2"/>
  <c r="BI320" i="2"/>
  <c r="BI321" i="2"/>
  <c r="BI322" i="2"/>
  <c r="BI323" i="2"/>
  <c r="BI324" i="2"/>
  <c r="BI325" i="2"/>
  <c r="BI326" i="2"/>
  <c r="BI327" i="2"/>
  <c r="BI328" i="2"/>
  <c r="BI329" i="2"/>
  <c r="BI330" i="2"/>
  <c r="BI331" i="2"/>
  <c r="BI332" i="2"/>
  <c r="BI333" i="2"/>
  <c r="BI334" i="2"/>
  <c r="BI335" i="2"/>
  <c r="BI336" i="2"/>
  <c r="BI337" i="2"/>
  <c r="BI338" i="2"/>
  <c r="BI339" i="2"/>
  <c r="BI340" i="2"/>
  <c r="BI341" i="2"/>
  <c r="BI342" i="2"/>
  <c r="BI343" i="2"/>
  <c r="BI344" i="2"/>
  <c r="BI345" i="2"/>
  <c r="BI346" i="2"/>
  <c r="BI347" i="2"/>
  <c r="BI348" i="2"/>
  <c r="BI349" i="2"/>
  <c r="BI350" i="2"/>
  <c r="BI351" i="2"/>
  <c r="BI352" i="2"/>
  <c r="BI353" i="2"/>
  <c r="BI354" i="2"/>
  <c r="BI355" i="2"/>
  <c r="BI356" i="2"/>
  <c r="BI357" i="2"/>
  <c r="BI358" i="2"/>
  <c r="BI359" i="2"/>
  <c r="BI360" i="2"/>
  <c r="BI361" i="2"/>
  <c r="BI362" i="2"/>
  <c r="BI363" i="2"/>
  <c r="BI364" i="2"/>
  <c r="BI365" i="2"/>
  <c r="BI366" i="2"/>
  <c r="CV366" i="2" s="1" a="1"/>
  <c r="CV366" i="2" s="1"/>
  <c r="BI367" i="2"/>
  <c r="BI368" i="2"/>
  <c r="BI369" i="2"/>
  <c r="BI370" i="2"/>
  <c r="BI371" i="2"/>
  <c r="BI372" i="2"/>
  <c r="BI373" i="2"/>
  <c r="BI374" i="2"/>
  <c r="BI375" i="2"/>
  <c r="BI376" i="2"/>
  <c r="BI377" i="2"/>
  <c r="BI378" i="2"/>
  <c r="BI379" i="2"/>
  <c r="BI380" i="2"/>
  <c r="BI381" i="2"/>
  <c r="BI382" i="2"/>
  <c r="BI383" i="2"/>
  <c r="BI384" i="2"/>
  <c r="BI385" i="2"/>
  <c r="BI386" i="2"/>
  <c r="BI387" i="2"/>
  <c r="BI388" i="2"/>
  <c r="BI389" i="2"/>
  <c r="BI390" i="2"/>
  <c r="BI391" i="2"/>
  <c r="BI392" i="2"/>
  <c r="BI393" i="2"/>
  <c r="BI394" i="2"/>
  <c r="BI395" i="2"/>
  <c r="BI396" i="2"/>
  <c r="BI397" i="2"/>
  <c r="BI398" i="2"/>
  <c r="BI399" i="2"/>
  <c r="BI400" i="2"/>
  <c r="BI401" i="2"/>
  <c r="BI402" i="2"/>
  <c r="BI403" i="2"/>
  <c r="BI404" i="2"/>
  <c r="BI405" i="2"/>
  <c r="BI406" i="2"/>
  <c r="BI407" i="2"/>
  <c r="BI408" i="2"/>
  <c r="BI409" i="2"/>
  <c r="BI410" i="2"/>
  <c r="BI411" i="2"/>
  <c r="BI412" i="2"/>
  <c r="BI413" i="2"/>
  <c r="BI414" i="2"/>
  <c r="BI415" i="2"/>
  <c r="BI416" i="2"/>
  <c r="BI417" i="2"/>
  <c r="BI418" i="2"/>
  <c r="BI419" i="2"/>
  <c r="BI420" i="2"/>
  <c r="BI421" i="2"/>
  <c r="BI422" i="2"/>
  <c r="BI423" i="2"/>
  <c r="BI424" i="2"/>
  <c r="BI425" i="2"/>
  <c r="BI426" i="2"/>
  <c r="BI427" i="2"/>
  <c r="BI428" i="2"/>
  <c r="BI429" i="2"/>
  <c r="BI430" i="2"/>
  <c r="BI431" i="2"/>
  <c r="BI432" i="2"/>
  <c r="BI433" i="2"/>
  <c r="BI434" i="2"/>
  <c r="BI435" i="2"/>
  <c r="BI436" i="2"/>
  <c r="BI437" i="2"/>
  <c r="BI438" i="2"/>
  <c r="BI439" i="2"/>
  <c r="BI440" i="2"/>
  <c r="BI441" i="2"/>
  <c r="BI442" i="2"/>
  <c r="BI443" i="2"/>
  <c r="BI444" i="2"/>
  <c r="BI445" i="2"/>
  <c r="BI446" i="2"/>
  <c r="BI447" i="2"/>
  <c r="BI448" i="2"/>
  <c r="BI449" i="2"/>
  <c r="BI450" i="2"/>
  <c r="BI451" i="2"/>
  <c r="BI452" i="2"/>
  <c r="BI453" i="2"/>
  <c r="BI454" i="2"/>
  <c r="BI455" i="2"/>
  <c r="BI456" i="2"/>
  <c r="BI457" i="2"/>
  <c r="BI458" i="2"/>
  <c r="BI459" i="2"/>
  <c r="BI460" i="2"/>
  <c r="BI461" i="2"/>
  <c r="BI462" i="2"/>
  <c r="BI463" i="2"/>
  <c r="BI464" i="2"/>
  <c r="BI465" i="2"/>
  <c r="BI466" i="2"/>
  <c r="BI467" i="2"/>
  <c r="BI468" i="2"/>
  <c r="BI469" i="2"/>
  <c r="BI470" i="2"/>
  <c r="BI471" i="2"/>
  <c r="BI472" i="2"/>
  <c r="BI473" i="2"/>
  <c r="BI474" i="2"/>
  <c r="BI475" i="2"/>
  <c r="BI476" i="2"/>
  <c r="BI477" i="2"/>
  <c r="BI478" i="2"/>
  <c r="BI479" i="2"/>
  <c r="BI480" i="2"/>
  <c r="BI481" i="2"/>
  <c r="BI482" i="2"/>
  <c r="BI483" i="2"/>
  <c r="BI484" i="2"/>
  <c r="BI485" i="2"/>
  <c r="BI486" i="2"/>
  <c r="BI487" i="2"/>
  <c r="BI488" i="2"/>
  <c r="BI489" i="2"/>
  <c r="BI490" i="2"/>
  <c r="BI491" i="2"/>
  <c r="BI492" i="2"/>
  <c r="BI493" i="2"/>
  <c r="BI494" i="2"/>
  <c r="BI495" i="2"/>
  <c r="BI496" i="2"/>
  <c r="BI497" i="2"/>
  <c r="BI498" i="2"/>
  <c r="BI499" i="2"/>
  <c r="BI500" i="2"/>
  <c r="BI501" i="2"/>
  <c r="BI502" i="2"/>
  <c r="BI503" i="2"/>
  <c r="BI504" i="2"/>
  <c r="BI505" i="2"/>
  <c r="BI506" i="2"/>
  <c r="CT506" i="2" s="1" a="1"/>
  <c r="CT506" i="2" s="1"/>
  <c r="BI507" i="2"/>
  <c r="BI508" i="2"/>
  <c r="BI509" i="2"/>
  <c r="BI510" i="2"/>
  <c r="BI511" i="2"/>
  <c r="BI512" i="2"/>
  <c r="BI513" i="2"/>
  <c r="BI514" i="2"/>
  <c r="BI515" i="2"/>
  <c r="BI516" i="2"/>
  <c r="BI517" i="2"/>
  <c r="BI518" i="2"/>
  <c r="BI519" i="2"/>
  <c r="BI520" i="2"/>
  <c r="BI521" i="2"/>
  <c r="BI522" i="2"/>
  <c r="BI523" i="2"/>
  <c r="BI524" i="2"/>
  <c r="BI525" i="2"/>
  <c r="BI526" i="2"/>
  <c r="BI527" i="2"/>
  <c r="BI528" i="2"/>
  <c r="BI529" i="2"/>
  <c r="BI530" i="2"/>
  <c r="BI531" i="2"/>
  <c r="BI532" i="2"/>
  <c r="BI533" i="2"/>
  <c r="BI534" i="2"/>
  <c r="BI535" i="2"/>
  <c r="BI536" i="2"/>
  <c r="BI537" i="2"/>
  <c r="BI538" i="2"/>
  <c r="BI539" i="2"/>
  <c r="BI540" i="2"/>
  <c r="BI541" i="2"/>
  <c r="BI542" i="2"/>
  <c r="BI543" i="2"/>
  <c r="BI544" i="2"/>
  <c r="BI545" i="2"/>
  <c r="BI546" i="2"/>
  <c r="BI547" i="2"/>
  <c r="BI548" i="2"/>
  <c r="BI549" i="2"/>
  <c r="BI550" i="2"/>
  <c r="BI551" i="2"/>
  <c r="BI552" i="2"/>
  <c r="BI553" i="2"/>
  <c r="BI554" i="2"/>
  <c r="BI555" i="2"/>
  <c r="BI556" i="2"/>
  <c r="BI557" i="2"/>
  <c r="BI558" i="2"/>
  <c r="BI559" i="2"/>
  <c r="BI560" i="2"/>
  <c r="BI561" i="2"/>
  <c r="BI562" i="2"/>
  <c r="BI563" i="2"/>
  <c r="BI564" i="2"/>
  <c r="BI565" i="2"/>
  <c r="BI566" i="2"/>
  <c r="BI567" i="2"/>
  <c r="BI568" i="2"/>
  <c r="BI569" i="2"/>
  <c r="BI570" i="2"/>
  <c r="BI571" i="2"/>
  <c r="BI572" i="2"/>
  <c r="BI573" i="2"/>
  <c r="BI574" i="2"/>
  <c r="BI575" i="2"/>
  <c r="BI576" i="2"/>
  <c r="BI577" i="2"/>
  <c r="BI578" i="2"/>
  <c r="BI579" i="2"/>
  <c r="BI580" i="2"/>
  <c r="BI581" i="2"/>
  <c r="BI582" i="2"/>
  <c r="BI583" i="2"/>
  <c r="BI584" i="2"/>
  <c r="BI585" i="2"/>
  <c r="BI586" i="2"/>
  <c r="BI587" i="2"/>
  <c r="BI588" i="2"/>
  <c r="BI589" i="2"/>
  <c r="BI590" i="2"/>
  <c r="CV590" i="2" s="1" a="1"/>
  <c r="CV590" i="2" s="1"/>
  <c r="BI591" i="2"/>
  <c r="BI592" i="2"/>
  <c r="BI593" i="2"/>
  <c r="BI594" i="2"/>
  <c r="BI595" i="2"/>
  <c r="BI596" i="2"/>
  <c r="BI597" i="2"/>
  <c r="BI598" i="2"/>
  <c r="BI599" i="2"/>
  <c r="BI600" i="2"/>
  <c r="BI601" i="2"/>
  <c r="BI602" i="2"/>
  <c r="BI603" i="2"/>
  <c r="BI604" i="2"/>
  <c r="BI605" i="2"/>
  <c r="BI606" i="2"/>
  <c r="BI607" i="2"/>
  <c r="BI608" i="2"/>
  <c r="BI609" i="2"/>
  <c r="BI610" i="2"/>
  <c r="BI611" i="2"/>
  <c r="BI612" i="2"/>
  <c r="BI613" i="2"/>
  <c r="BI614" i="2"/>
  <c r="BI615" i="2"/>
  <c r="BI616" i="2"/>
  <c r="BI617" i="2"/>
  <c r="BI618" i="2"/>
  <c r="BI619" i="2"/>
  <c r="BI620" i="2"/>
  <c r="BI621" i="2"/>
  <c r="BI622" i="2"/>
  <c r="BI623" i="2"/>
  <c r="BI624" i="2"/>
  <c r="BI625" i="2"/>
  <c r="BI626" i="2"/>
  <c r="BI627" i="2"/>
  <c r="BI628" i="2"/>
  <c r="BI629" i="2"/>
  <c r="BI630" i="2"/>
  <c r="BI631" i="2"/>
  <c r="BI632" i="2"/>
  <c r="BI633" i="2"/>
  <c r="BI634" i="2"/>
  <c r="BI635" i="2"/>
  <c r="BI636" i="2"/>
  <c r="BI637" i="2"/>
  <c r="BI638" i="2"/>
  <c r="BI639" i="2"/>
  <c r="BI640" i="2"/>
  <c r="BI641" i="2"/>
  <c r="BI642" i="2"/>
  <c r="BI643" i="2"/>
  <c r="BI644" i="2"/>
  <c r="BI645" i="2"/>
  <c r="BI646" i="2"/>
  <c r="BI647" i="2"/>
  <c r="BI648" i="2"/>
  <c r="BI649" i="2"/>
  <c r="BI650" i="2"/>
  <c r="BI651" i="2"/>
  <c r="BI652" i="2"/>
  <c r="BI653" i="2"/>
  <c r="BI654" i="2"/>
  <c r="BI655" i="2"/>
  <c r="BI656" i="2"/>
  <c r="BI657" i="2"/>
  <c r="BI658" i="2"/>
  <c r="BI659" i="2"/>
  <c r="BI660" i="2"/>
  <c r="BI661" i="2"/>
  <c r="BI662" i="2"/>
  <c r="BI663" i="2"/>
  <c r="BI664" i="2"/>
  <c r="BI665" i="2"/>
  <c r="BI666" i="2"/>
  <c r="BI667" i="2"/>
  <c r="BI668" i="2"/>
  <c r="BI669" i="2"/>
  <c r="BI670" i="2"/>
  <c r="BI671" i="2"/>
  <c r="BI672" i="2"/>
  <c r="BI673" i="2"/>
  <c r="BI674" i="2"/>
  <c r="BI675" i="2"/>
  <c r="BI676" i="2"/>
  <c r="BI677" i="2"/>
  <c r="BI678" i="2"/>
  <c r="BI679" i="2"/>
  <c r="BI680" i="2"/>
  <c r="BI681" i="2"/>
  <c r="BI682" i="2"/>
  <c r="BI683" i="2"/>
  <c r="BI684" i="2"/>
  <c r="BI685" i="2"/>
  <c r="BI686" i="2"/>
  <c r="BI687" i="2"/>
  <c r="BI688" i="2"/>
  <c r="BI689" i="2"/>
  <c r="BI690" i="2"/>
  <c r="BI691" i="2"/>
  <c r="BI692" i="2"/>
  <c r="BI693" i="2"/>
  <c r="BI694" i="2"/>
  <c r="BI695" i="2"/>
  <c r="BI696" i="2"/>
  <c r="BI697" i="2"/>
  <c r="BI698" i="2"/>
  <c r="BI699" i="2"/>
  <c r="BI700" i="2"/>
  <c r="BI701" i="2"/>
  <c r="BI702" i="2"/>
  <c r="BI703" i="2"/>
  <c r="BI704" i="2"/>
  <c r="BI705" i="2"/>
  <c r="BJ2" i="2"/>
  <c r="BJ3" i="2"/>
  <c r="BJ4" i="2"/>
  <c r="BJ5" i="2"/>
  <c r="BJ6" i="2"/>
  <c r="BJ7" i="2"/>
  <c r="BJ8" i="2"/>
  <c r="BJ9" i="2"/>
  <c r="BJ10" i="2"/>
  <c r="BJ11" i="2"/>
  <c r="BJ12" i="2"/>
  <c r="CU12" i="2" s="1" a="1"/>
  <c r="CU12" i="2" s="1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75" i="2"/>
  <c r="BJ76" i="2"/>
  <c r="BJ77" i="2"/>
  <c r="BJ78" i="2"/>
  <c r="BJ79" i="2"/>
  <c r="BJ80" i="2"/>
  <c r="BJ81" i="2"/>
  <c r="BJ82" i="2"/>
  <c r="BJ83" i="2"/>
  <c r="BJ84" i="2"/>
  <c r="BJ85" i="2"/>
  <c r="BJ86" i="2"/>
  <c r="BJ87" i="2"/>
  <c r="BJ88" i="2"/>
  <c r="BJ89" i="2"/>
  <c r="BJ90" i="2"/>
  <c r="BJ91" i="2"/>
  <c r="BJ92" i="2"/>
  <c r="BJ93" i="2"/>
  <c r="BJ94" i="2"/>
  <c r="BJ95" i="2"/>
  <c r="BJ96" i="2"/>
  <c r="BJ97" i="2"/>
  <c r="BJ98" i="2"/>
  <c r="BJ99" i="2"/>
  <c r="BJ100" i="2"/>
  <c r="BJ101" i="2"/>
  <c r="BJ102" i="2"/>
  <c r="BJ103" i="2"/>
  <c r="BJ104" i="2"/>
  <c r="BJ105" i="2"/>
  <c r="BJ106" i="2"/>
  <c r="BJ107" i="2"/>
  <c r="BJ108" i="2"/>
  <c r="BJ109" i="2"/>
  <c r="BJ110" i="2"/>
  <c r="BJ111" i="2"/>
  <c r="BJ112" i="2"/>
  <c r="BJ113" i="2"/>
  <c r="BJ114" i="2"/>
  <c r="BJ115" i="2"/>
  <c r="BJ116" i="2"/>
  <c r="BJ117" i="2"/>
  <c r="BJ118" i="2"/>
  <c r="BJ119" i="2"/>
  <c r="BJ120" i="2"/>
  <c r="BJ121" i="2"/>
  <c r="BJ122" i="2"/>
  <c r="BJ123" i="2"/>
  <c r="BJ124" i="2"/>
  <c r="BJ125" i="2"/>
  <c r="BJ126" i="2"/>
  <c r="BJ127" i="2"/>
  <c r="BJ128" i="2"/>
  <c r="BJ129" i="2"/>
  <c r="BJ130" i="2"/>
  <c r="BJ131" i="2"/>
  <c r="BJ132" i="2"/>
  <c r="BJ133" i="2"/>
  <c r="BJ134" i="2"/>
  <c r="BJ135" i="2"/>
  <c r="BJ136" i="2"/>
  <c r="BJ137" i="2"/>
  <c r="BJ138" i="2"/>
  <c r="BJ139" i="2"/>
  <c r="BJ140" i="2"/>
  <c r="BJ141" i="2"/>
  <c r="BJ142" i="2"/>
  <c r="BJ143" i="2"/>
  <c r="BJ144" i="2"/>
  <c r="BJ145" i="2"/>
  <c r="BJ146" i="2"/>
  <c r="BJ147" i="2"/>
  <c r="BJ148" i="2"/>
  <c r="BJ149" i="2"/>
  <c r="BJ150" i="2"/>
  <c r="BJ151" i="2"/>
  <c r="BJ152" i="2"/>
  <c r="BJ153" i="2"/>
  <c r="BJ154" i="2"/>
  <c r="BJ155" i="2"/>
  <c r="BJ156" i="2"/>
  <c r="BJ157" i="2"/>
  <c r="BJ158" i="2"/>
  <c r="BJ159" i="2"/>
  <c r="BJ160" i="2"/>
  <c r="BJ161" i="2"/>
  <c r="BJ162" i="2"/>
  <c r="BJ163" i="2"/>
  <c r="BJ164" i="2"/>
  <c r="BJ165" i="2"/>
  <c r="BJ166" i="2"/>
  <c r="BJ167" i="2"/>
  <c r="BJ168" i="2"/>
  <c r="BJ169" i="2"/>
  <c r="BJ170" i="2"/>
  <c r="BJ171" i="2"/>
  <c r="BJ172" i="2"/>
  <c r="BJ173" i="2"/>
  <c r="BJ174" i="2"/>
  <c r="BJ175" i="2"/>
  <c r="BJ176" i="2"/>
  <c r="BJ177" i="2"/>
  <c r="BJ178" i="2"/>
  <c r="BJ179" i="2"/>
  <c r="BJ180" i="2"/>
  <c r="BJ181" i="2"/>
  <c r="BJ182" i="2"/>
  <c r="BJ183" i="2"/>
  <c r="BJ184" i="2"/>
  <c r="BJ185" i="2"/>
  <c r="BJ186" i="2"/>
  <c r="BJ187" i="2"/>
  <c r="BJ188" i="2"/>
  <c r="BJ189" i="2"/>
  <c r="BJ190" i="2"/>
  <c r="BJ191" i="2"/>
  <c r="BJ192" i="2"/>
  <c r="BJ193" i="2"/>
  <c r="BJ194" i="2"/>
  <c r="CV194" i="2" s="1" a="1"/>
  <c r="CV194" i="2" s="1"/>
  <c r="BJ195" i="2"/>
  <c r="BJ196" i="2"/>
  <c r="BJ197" i="2"/>
  <c r="BJ198" i="2"/>
  <c r="BJ199" i="2"/>
  <c r="BJ200" i="2"/>
  <c r="BJ201" i="2"/>
  <c r="BJ202" i="2"/>
  <c r="BJ203" i="2"/>
  <c r="BJ204" i="2"/>
  <c r="BJ205" i="2"/>
  <c r="BJ206" i="2"/>
  <c r="BJ207" i="2"/>
  <c r="BJ208" i="2"/>
  <c r="CV208" i="2" s="1" a="1"/>
  <c r="CV208" i="2" s="1"/>
  <c r="BJ209" i="2"/>
  <c r="BJ210" i="2"/>
  <c r="BJ211" i="2"/>
  <c r="BJ212" i="2"/>
  <c r="BJ213" i="2"/>
  <c r="BJ214" i="2"/>
  <c r="BJ215" i="2"/>
  <c r="BJ216" i="2"/>
  <c r="BJ217" i="2"/>
  <c r="BJ218" i="2"/>
  <c r="BJ219" i="2"/>
  <c r="BJ220" i="2"/>
  <c r="BJ221" i="2"/>
  <c r="BJ222" i="2"/>
  <c r="BJ223" i="2"/>
  <c r="BJ224" i="2"/>
  <c r="BJ225" i="2"/>
  <c r="BJ226" i="2"/>
  <c r="BJ227" i="2"/>
  <c r="BJ228" i="2"/>
  <c r="BJ229" i="2"/>
  <c r="BJ230" i="2"/>
  <c r="BJ231" i="2"/>
  <c r="BJ232" i="2"/>
  <c r="BJ233" i="2"/>
  <c r="BJ234" i="2"/>
  <c r="BJ235" i="2"/>
  <c r="BJ236" i="2"/>
  <c r="BJ237" i="2"/>
  <c r="BJ238" i="2"/>
  <c r="BJ239" i="2"/>
  <c r="BJ240" i="2"/>
  <c r="BJ241" i="2"/>
  <c r="BJ242" i="2"/>
  <c r="BJ243" i="2"/>
  <c r="BJ244" i="2"/>
  <c r="BJ245" i="2"/>
  <c r="BJ246" i="2"/>
  <c r="BJ247" i="2"/>
  <c r="BJ248" i="2"/>
  <c r="BJ249" i="2"/>
  <c r="BJ250" i="2"/>
  <c r="BJ251" i="2"/>
  <c r="BJ252" i="2"/>
  <c r="BJ253" i="2"/>
  <c r="BJ254" i="2"/>
  <c r="BJ255" i="2"/>
  <c r="BJ256" i="2"/>
  <c r="BJ257" i="2"/>
  <c r="BJ258" i="2"/>
  <c r="BJ259" i="2"/>
  <c r="BJ260" i="2"/>
  <c r="BJ261" i="2"/>
  <c r="BJ262" i="2"/>
  <c r="BJ263" i="2"/>
  <c r="BJ264" i="2"/>
  <c r="BJ265" i="2"/>
  <c r="BJ266" i="2"/>
  <c r="BJ267" i="2"/>
  <c r="BJ268" i="2"/>
  <c r="BJ269" i="2"/>
  <c r="BJ270" i="2"/>
  <c r="BJ271" i="2"/>
  <c r="BJ272" i="2"/>
  <c r="BJ273" i="2"/>
  <c r="BJ274" i="2"/>
  <c r="BJ275" i="2"/>
  <c r="BJ276" i="2"/>
  <c r="BJ277" i="2"/>
  <c r="BJ278" i="2"/>
  <c r="BJ279" i="2"/>
  <c r="BJ280" i="2"/>
  <c r="BJ281" i="2"/>
  <c r="BJ282" i="2"/>
  <c r="BJ283" i="2"/>
  <c r="BJ284" i="2"/>
  <c r="BJ285" i="2"/>
  <c r="BJ286" i="2"/>
  <c r="BJ287" i="2"/>
  <c r="BJ288" i="2"/>
  <c r="BJ289" i="2"/>
  <c r="BJ290" i="2"/>
  <c r="BJ291" i="2"/>
  <c r="BJ292" i="2"/>
  <c r="BJ293" i="2"/>
  <c r="BJ294" i="2"/>
  <c r="BJ295" i="2"/>
  <c r="BJ296" i="2"/>
  <c r="BJ297" i="2"/>
  <c r="BJ298" i="2"/>
  <c r="BJ299" i="2"/>
  <c r="BJ300" i="2"/>
  <c r="BJ301" i="2"/>
  <c r="BJ302" i="2"/>
  <c r="BJ303" i="2"/>
  <c r="BJ304" i="2"/>
  <c r="BJ305" i="2"/>
  <c r="BJ306" i="2"/>
  <c r="BJ307" i="2"/>
  <c r="BJ308" i="2"/>
  <c r="BJ309" i="2"/>
  <c r="BJ310" i="2"/>
  <c r="BJ311" i="2"/>
  <c r="BJ312" i="2"/>
  <c r="BJ313" i="2"/>
  <c r="BJ314" i="2"/>
  <c r="BJ315" i="2"/>
  <c r="BJ316" i="2"/>
  <c r="BJ317" i="2"/>
  <c r="BJ318" i="2"/>
  <c r="BJ319" i="2"/>
  <c r="BJ320" i="2"/>
  <c r="BJ321" i="2"/>
  <c r="BJ322" i="2"/>
  <c r="BJ323" i="2"/>
  <c r="BJ324" i="2"/>
  <c r="BJ325" i="2"/>
  <c r="BJ326" i="2"/>
  <c r="BJ327" i="2"/>
  <c r="BJ328" i="2"/>
  <c r="BJ329" i="2"/>
  <c r="BJ330" i="2"/>
  <c r="BJ331" i="2"/>
  <c r="BJ332" i="2"/>
  <c r="BJ333" i="2"/>
  <c r="BJ334" i="2"/>
  <c r="CV334" i="2" s="1" a="1"/>
  <c r="CV334" i="2" s="1"/>
  <c r="BJ335" i="2"/>
  <c r="BJ336" i="2"/>
  <c r="BJ337" i="2"/>
  <c r="BJ338" i="2"/>
  <c r="BJ339" i="2"/>
  <c r="BJ340" i="2"/>
  <c r="BJ341" i="2"/>
  <c r="BJ342" i="2"/>
  <c r="BJ343" i="2"/>
  <c r="BJ344" i="2"/>
  <c r="BJ345" i="2"/>
  <c r="BJ346" i="2"/>
  <c r="BJ347" i="2"/>
  <c r="BJ348" i="2"/>
  <c r="BJ349" i="2"/>
  <c r="BJ350" i="2"/>
  <c r="BJ351" i="2"/>
  <c r="BJ352" i="2"/>
  <c r="BJ353" i="2"/>
  <c r="BJ354" i="2"/>
  <c r="BJ355" i="2"/>
  <c r="BJ356" i="2"/>
  <c r="BJ357" i="2"/>
  <c r="BJ358" i="2"/>
  <c r="BJ359" i="2"/>
  <c r="BJ360" i="2"/>
  <c r="BJ361" i="2"/>
  <c r="BJ362" i="2"/>
  <c r="BJ363" i="2"/>
  <c r="BJ364" i="2"/>
  <c r="BJ365" i="2"/>
  <c r="BJ366" i="2"/>
  <c r="BJ367" i="2"/>
  <c r="BJ368" i="2"/>
  <c r="BJ369" i="2"/>
  <c r="BJ370" i="2"/>
  <c r="BJ371" i="2"/>
  <c r="BJ372" i="2"/>
  <c r="BJ373" i="2"/>
  <c r="BJ374" i="2"/>
  <c r="BJ375" i="2"/>
  <c r="BJ376" i="2"/>
  <c r="BJ377" i="2"/>
  <c r="BJ378" i="2"/>
  <c r="BJ379" i="2"/>
  <c r="BJ380" i="2"/>
  <c r="BJ381" i="2"/>
  <c r="BJ382" i="2"/>
  <c r="BJ383" i="2"/>
  <c r="BJ384" i="2"/>
  <c r="BJ385" i="2"/>
  <c r="BJ386" i="2"/>
  <c r="BJ387" i="2"/>
  <c r="BJ388" i="2"/>
  <c r="BJ389" i="2"/>
  <c r="BJ390" i="2"/>
  <c r="BJ391" i="2"/>
  <c r="BJ392" i="2"/>
  <c r="BJ393" i="2"/>
  <c r="BJ394" i="2"/>
  <c r="BJ395" i="2"/>
  <c r="BJ396" i="2"/>
  <c r="BJ397" i="2"/>
  <c r="BJ398" i="2"/>
  <c r="BJ399" i="2"/>
  <c r="BJ400" i="2"/>
  <c r="BJ401" i="2"/>
  <c r="BJ402" i="2"/>
  <c r="BJ403" i="2"/>
  <c r="BJ404" i="2"/>
  <c r="BJ405" i="2"/>
  <c r="BJ406" i="2"/>
  <c r="BJ407" i="2"/>
  <c r="BJ408" i="2"/>
  <c r="BJ409" i="2"/>
  <c r="BJ410" i="2"/>
  <c r="BJ411" i="2"/>
  <c r="BJ412" i="2"/>
  <c r="BJ413" i="2"/>
  <c r="BJ414" i="2"/>
  <c r="BJ415" i="2"/>
  <c r="BJ416" i="2"/>
  <c r="BJ417" i="2"/>
  <c r="BJ418" i="2"/>
  <c r="BJ419" i="2"/>
  <c r="BJ420" i="2"/>
  <c r="BJ421" i="2"/>
  <c r="BJ422" i="2"/>
  <c r="BJ423" i="2"/>
  <c r="BJ424" i="2"/>
  <c r="BJ425" i="2"/>
  <c r="BJ426" i="2"/>
  <c r="BJ427" i="2"/>
  <c r="BJ428" i="2"/>
  <c r="BJ429" i="2"/>
  <c r="BJ430" i="2"/>
  <c r="BJ431" i="2"/>
  <c r="BJ432" i="2"/>
  <c r="BJ433" i="2"/>
  <c r="BJ434" i="2"/>
  <c r="BJ435" i="2"/>
  <c r="BJ436" i="2"/>
  <c r="BJ437" i="2"/>
  <c r="BJ438" i="2"/>
  <c r="BJ439" i="2"/>
  <c r="BJ440" i="2"/>
  <c r="BJ441" i="2"/>
  <c r="BJ442" i="2"/>
  <c r="BJ443" i="2"/>
  <c r="BJ444" i="2"/>
  <c r="BJ445" i="2"/>
  <c r="BJ446" i="2"/>
  <c r="BJ447" i="2"/>
  <c r="BJ448" i="2"/>
  <c r="BJ449" i="2"/>
  <c r="BJ450" i="2"/>
  <c r="BJ451" i="2"/>
  <c r="BJ452" i="2"/>
  <c r="BJ453" i="2"/>
  <c r="BJ454" i="2"/>
  <c r="BJ455" i="2"/>
  <c r="BJ456" i="2"/>
  <c r="BJ457" i="2"/>
  <c r="BJ458" i="2"/>
  <c r="BJ459" i="2"/>
  <c r="BJ460" i="2"/>
  <c r="BJ461" i="2"/>
  <c r="BJ462" i="2"/>
  <c r="BJ463" i="2"/>
  <c r="BJ464" i="2"/>
  <c r="BJ465" i="2"/>
  <c r="BJ466" i="2"/>
  <c r="BJ467" i="2"/>
  <c r="BJ468" i="2"/>
  <c r="BJ469" i="2"/>
  <c r="BJ470" i="2"/>
  <c r="BJ471" i="2"/>
  <c r="BJ472" i="2"/>
  <c r="BJ473" i="2"/>
  <c r="BJ474" i="2"/>
  <c r="BJ475" i="2"/>
  <c r="BJ476" i="2"/>
  <c r="BJ477" i="2"/>
  <c r="BJ478" i="2"/>
  <c r="BJ479" i="2"/>
  <c r="BJ480" i="2"/>
  <c r="BJ481" i="2"/>
  <c r="BJ482" i="2"/>
  <c r="BJ483" i="2"/>
  <c r="BJ484" i="2"/>
  <c r="BJ485" i="2"/>
  <c r="BJ486" i="2"/>
  <c r="BJ487" i="2"/>
  <c r="BJ488" i="2"/>
  <c r="BJ489" i="2"/>
  <c r="BJ490" i="2"/>
  <c r="BJ491" i="2"/>
  <c r="BJ492" i="2"/>
  <c r="BJ493" i="2"/>
  <c r="BJ494" i="2"/>
  <c r="BJ495" i="2"/>
  <c r="BJ496" i="2"/>
  <c r="BJ497" i="2"/>
  <c r="BJ498" i="2"/>
  <c r="BJ499" i="2"/>
  <c r="BJ500" i="2"/>
  <c r="BJ501" i="2"/>
  <c r="BJ502" i="2"/>
  <c r="BJ503" i="2"/>
  <c r="BJ504" i="2"/>
  <c r="BJ505" i="2"/>
  <c r="BJ506" i="2"/>
  <c r="BJ507" i="2"/>
  <c r="BJ508" i="2"/>
  <c r="BJ509" i="2"/>
  <c r="BJ510" i="2"/>
  <c r="BJ511" i="2"/>
  <c r="BJ512" i="2"/>
  <c r="BJ513" i="2"/>
  <c r="BJ514" i="2"/>
  <c r="BJ515" i="2"/>
  <c r="BJ516" i="2"/>
  <c r="BJ517" i="2"/>
  <c r="BJ518" i="2"/>
  <c r="BJ519" i="2"/>
  <c r="BJ520" i="2"/>
  <c r="BJ521" i="2"/>
  <c r="BJ522" i="2"/>
  <c r="BJ523" i="2"/>
  <c r="BJ524" i="2"/>
  <c r="BJ525" i="2"/>
  <c r="BJ526" i="2"/>
  <c r="BJ527" i="2"/>
  <c r="BJ528" i="2"/>
  <c r="BJ529" i="2"/>
  <c r="BJ530" i="2"/>
  <c r="BJ531" i="2"/>
  <c r="CT531" i="2" s="1" a="1"/>
  <c r="CT531" i="2" s="1"/>
  <c r="BJ532" i="2"/>
  <c r="BJ533" i="2"/>
  <c r="BJ534" i="2"/>
  <c r="BJ535" i="2"/>
  <c r="BJ536" i="2"/>
  <c r="BJ537" i="2"/>
  <c r="BJ538" i="2"/>
  <c r="BJ539" i="2"/>
  <c r="BJ540" i="2"/>
  <c r="BJ541" i="2"/>
  <c r="BJ542" i="2"/>
  <c r="BJ543" i="2"/>
  <c r="BJ544" i="2"/>
  <c r="BJ545" i="2"/>
  <c r="BJ546" i="2"/>
  <c r="BJ547" i="2"/>
  <c r="BJ548" i="2"/>
  <c r="BJ549" i="2"/>
  <c r="BJ550" i="2"/>
  <c r="BJ551" i="2"/>
  <c r="BJ552" i="2"/>
  <c r="BJ553" i="2"/>
  <c r="BJ554" i="2"/>
  <c r="BJ555" i="2"/>
  <c r="BJ556" i="2"/>
  <c r="BJ557" i="2"/>
  <c r="BJ558" i="2"/>
  <c r="BJ559" i="2"/>
  <c r="BJ560" i="2"/>
  <c r="BJ561" i="2"/>
  <c r="BJ562" i="2"/>
  <c r="BJ563" i="2"/>
  <c r="BJ564" i="2"/>
  <c r="BJ565" i="2"/>
  <c r="BJ566" i="2"/>
  <c r="BJ567" i="2"/>
  <c r="BJ568" i="2"/>
  <c r="BJ569" i="2"/>
  <c r="BJ570" i="2"/>
  <c r="BJ571" i="2"/>
  <c r="BJ572" i="2"/>
  <c r="BJ573" i="2"/>
  <c r="BJ574" i="2"/>
  <c r="BJ575" i="2"/>
  <c r="BJ576" i="2"/>
  <c r="BJ577" i="2"/>
  <c r="BJ578" i="2"/>
  <c r="BJ579" i="2"/>
  <c r="BJ580" i="2"/>
  <c r="BJ581" i="2"/>
  <c r="BJ582" i="2"/>
  <c r="BJ583" i="2"/>
  <c r="BJ584" i="2"/>
  <c r="BJ585" i="2"/>
  <c r="BJ586" i="2"/>
  <c r="BJ587" i="2"/>
  <c r="BJ588" i="2"/>
  <c r="BJ589" i="2"/>
  <c r="BJ590" i="2"/>
  <c r="BJ591" i="2"/>
  <c r="BJ592" i="2"/>
  <c r="BJ593" i="2"/>
  <c r="BJ594" i="2"/>
  <c r="BJ595" i="2"/>
  <c r="BJ596" i="2"/>
  <c r="BJ597" i="2"/>
  <c r="BJ598" i="2"/>
  <c r="BJ599" i="2"/>
  <c r="BJ600" i="2"/>
  <c r="BJ601" i="2"/>
  <c r="BJ602" i="2"/>
  <c r="BJ603" i="2"/>
  <c r="BJ604" i="2"/>
  <c r="BJ605" i="2"/>
  <c r="BJ606" i="2"/>
  <c r="BJ607" i="2"/>
  <c r="BJ608" i="2"/>
  <c r="BJ609" i="2"/>
  <c r="BJ610" i="2"/>
  <c r="BJ611" i="2"/>
  <c r="BJ612" i="2"/>
  <c r="BJ613" i="2"/>
  <c r="BJ614" i="2"/>
  <c r="BJ615" i="2"/>
  <c r="BJ616" i="2"/>
  <c r="BJ617" i="2"/>
  <c r="BJ618" i="2"/>
  <c r="BJ619" i="2"/>
  <c r="BJ620" i="2"/>
  <c r="BJ621" i="2"/>
  <c r="BJ622" i="2"/>
  <c r="BJ623" i="2"/>
  <c r="BJ624" i="2"/>
  <c r="BJ625" i="2"/>
  <c r="BJ626" i="2"/>
  <c r="BJ627" i="2"/>
  <c r="BJ628" i="2"/>
  <c r="BJ629" i="2"/>
  <c r="BJ630" i="2"/>
  <c r="BJ631" i="2"/>
  <c r="BJ632" i="2"/>
  <c r="BJ633" i="2"/>
  <c r="BJ634" i="2"/>
  <c r="BJ635" i="2"/>
  <c r="BJ636" i="2"/>
  <c r="BJ637" i="2"/>
  <c r="BJ638" i="2"/>
  <c r="BJ639" i="2"/>
  <c r="BJ640" i="2"/>
  <c r="BJ641" i="2"/>
  <c r="BJ642" i="2"/>
  <c r="BJ643" i="2"/>
  <c r="BJ644" i="2"/>
  <c r="BJ645" i="2"/>
  <c r="BJ646" i="2"/>
  <c r="BJ647" i="2"/>
  <c r="BJ648" i="2"/>
  <c r="BJ649" i="2"/>
  <c r="BJ650" i="2"/>
  <c r="BJ651" i="2"/>
  <c r="BJ652" i="2"/>
  <c r="BJ653" i="2"/>
  <c r="BJ654" i="2"/>
  <c r="BJ655" i="2"/>
  <c r="BJ656" i="2"/>
  <c r="BJ657" i="2"/>
  <c r="BJ658" i="2"/>
  <c r="BJ659" i="2"/>
  <c r="BJ660" i="2"/>
  <c r="BJ661" i="2"/>
  <c r="BJ662" i="2"/>
  <c r="BJ663" i="2"/>
  <c r="BJ664" i="2"/>
  <c r="BJ665" i="2"/>
  <c r="BJ666" i="2"/>
  <c r="BJ667" i="2"/>
  <c r="BJ668" i="2"/>
  <c r="BJ669" i="2"/>
  <c r="BJ670" i="2"/>
  <c r="CU670" i="2" s="1" a="1"/>
  <c r="CU670" i="2" s="1"/>
  <c r="BJ671" i="2"/>
  <c r="BJ672" i="2"/>
  <c r="BJ673" i="2"/>
  <c r="BJ674" i="2"/>
  <c r="BJ675" i="2"/>
  <c r="BJ676" i="2"/>
  <c r="BJ677" i="2"/>
  <c r="BJ678" i="2"/>
  <c r="BJ679" i="2"/>
  <c r="BJ680" i="2"/>
  <c r="BJ681" i="2"/>
  <c r="BJ682" i="2"/>
  <c r="BJ683" i="2"/>
  <c r="BJ684" i="2"/>
  <c r="BJ685" i="2"/>
  <c r="BJ686" i="2"/>
  <c r="BJ687" i="2"/>
  <c r="BJ688" i="2"/>
  <c r="BJ689" i="2"/>
  <c r="BJ690" i="2"/>
  <c r="BJ691" i="2"/>
  <c r="BJ692" i="2"/>
  <c r="BJ693" i="2"/>
  <c r="BJ694" i="2"/>
  <c r="BJ695" i="2"/>
  <c r="BJ696" i="2"/>
  <c r="BJ697" i="2"/>
  <c r="BJ698" i="2"/>
  <c r="BJ699" i="2"/>
  <c r="BJ700" i="2"/>
  <c r="BJ701" i="2"/>
  <c r="BJ702" i="2"/>
  <c r="BJ703" i="2"/>
  <c r="BJ704" i="2"/>
  <c r="BJ705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K106" i="2"/>
  <c r="BK107" i="2"/>
  <c r="BK108" i="2"/>
  <c r="BK109" i="2"/>
  <c r="BK110" i="2"/>
  <c r="BK111" i="2"/>
  <c r="BK112" i="2"/>
  <c r="BK113" i="2"/>
  <c r="BK114" i="2"/>
  <c r="BK115" i="2"/>
  <c r="BK116" i="2"/>
  <c r="BK117" i="2"/>
  <c r="BK118" i="2"/>
  <c r="BK119" i="2"/>
  <c r="BK120" i="2"/>
  <c r="BK121" i="2"/>
  <c r="BK122" i="2"/>
  <c r="BK123" i="2"/>
  <c r="BK124" i="2"/>
  <c r="BK125" i="2"/>
  <c r="BK126" i="2"/>
  <c r="BK127" i="2"/>
  <c r="BK128" i="2"/>
  <c r="BK129" i="2"/>
  <c r="BK130" i="2"/>
  <c r="BK131" i="2"/>
  <c r="BK132" i="2"/>
  <c r="BK133" i="2"/>
  <c r="BK134" i="2"/>
  <c r="BK135" i="2"/>
  <c r="BK136" i="2"/>
  <c r="BK137" i="2"/>
  <c r="BK138" i="2"/>
  <c r="BK139" i="2"/>
  <c r="BK140" i="2"/>
  <c r="BK141" i="2"/>
  <c r="BK142" i="2"/>
  <c r="BK143" i="2"/>
  <c r="BK144" i="2"/>
  <c r="BK145" i="2"/>
  <c r="BK146" i="2"/>
  <c r="BK147" i="2"/>
  <c r="BK148" i="2"/>
  <c r="BK149" i="2"/>
  <c r="BK150" i="2"/>
  <c r="BK151" i="2"/>
  <c r="BK152" i="2"/>
  <c r="BK153" i="2"/>
  <c r="BK154" i="2"/>
  <c r="BK155" i="2"/>
  <c r="BK156" i="2"/>
  <c r="BK157" i="2"/>
  <c r="BK158" i="2"/>
  <c r="BK159" i="2"/>
  <c r="BK160" i="2"/>
  <c r="BK161" i="2"/>
  <c r="BK162" i="2"/>
  <c r="BK163" i="2"/>
  <c r="BK164" i="2"/>
  <c r="BK165" i="2"/>
  <c r="BK166" i="2"/>
  <c r="BK167" i="2"/>
  <c r="BK168" i="2"/>
  <c r="BK169" i="2"/>
  <c r="BK170" i="2"/>
  <c r="BK171" i="2"/>
  <c r="BK172" i="2"/>
  <c r="BK173" i="2"/>
  <c r="BK174" i="2"/>
  <c r="BK175" i="2"/>
  <c r="BK176" i="2"/>
  <c r="BK177" i="2"/>
  <c r="BK178" i="2"/>
  <c r="BK179" i="2"/>
  <c r="BK180" i="2"/>
  <c r="BK181" i="2"/>
  <c r="BK182" i="2"/>
  <c r="BK183" i="2"/>
  <c r="BK184" i="2"/>
  <c r="BK185" i="2"/>
  <c r="BK186" i="2"/>
  <c r="BK187" i="2"/>
  <c r="BK188" i="2"/>
  <c r="BK189" i="2"/>
  <c r="BK190" i="2"/>
  <c r="BK191" i="2"/>
  <c r="BK192" i="2"/>
  <c r="BK193" i="2"/>
  <c r="BK194" i="2"/>
  <c r="BK195" i="2"/>
  <c r="BK196" i="2"/>
  <c r="BK197" i="2"/>
  <c r="BK198" i="2"/>
  <c r="BK199" i="2"/>
  <c r="BK200" i="2"/>
  <c r="BK201" i="2"/>
  <c r="BK202" i="2"/>
  <c r="BK203" i="2"/>
  <c r="BK204" i="2"/>
  <c r="BK205" i="2"/>
  <c r="BK206" i="2"/>
  <c r="BK207" i="2"/>
  <c r="BK208" i="2"/>
  <c r="BK209" i="2"/>
  <c r="BK210" i="2"/>
  <c r="BK211" i="2"/>
  <c r="BK212" i="2"/>
  <c r="BK213" i="2"/>
  <c r="BK214" i="2"/>
  <c r="BK215" i="2"/>
  <c r="BK216" i="2"/>
  <c r="BK217" i="2"/>
  <c r="BK218" i="2"/>
  <c r="BK219" i="2"/>
  <c r="BK220" i="2"/>
  <c r="BK221" i="2"/>
  <c r="BK222" i="2"/>
  <c r="BK223" i="2"/>
  <c r="BK224" i="2"/>
  <c r="BK225" i="2"/>
  <c r="BK226" i="2"/>
  <c r="BK227" i="2"/>
  <c r="BK228" i="2"/>
  <c r="BK229" i="2"/>
  <c r="BK230" i="2"/>
  <c r="BK231" i="2"/>
  <c r="BK232" i="2"/>
  <c r="BK233" i="2"/>
  <c r="BK234" i="2"/>
  <c r="BK235" i="2"/>
  <c r="BK236" i="2"/>
  <c r="BK237" i="2"/>
  <c r="BK238" i="2"/>
  <c r="BK239" i="2"/>
  <c r="BK240" i="2"/>
  <c r="BK241" i="2"/>
  <c r="BK242" i="2"/>
  <c r="BK243" i="2"/>
  <c r="BK244" i="2"/>
  <c r="BK245" i="2"/>
  <c r="BK246" i="2"/>
  <c r="BK247" i="2"/>
  <c r="CV247" i="2" s="1" a="1"/>
  <c r="CV247" i="2" s="1"/>
  <c r="BK248" i="2"/>
  <c r="BK249" i="2"/>
  <c r="BK250" i="2"/>
  <c r="BK251" i="2"/>
  <c r="BK252" i="2"/>
  <c r="BK253" i="2"/>
  <c r="BK254" i="2"/>
  <c r="BK255" i="2"/>
  <c r="BK256" i="2"/>
  <c r="BK257" i="2"/>
  <c r="BK258" i="2"/>
  <c r="BK259" i="2"/>
  <c r="BK260" i="2"/>
  <c r="BK261" i="2"/>
  <c r="BK262" i="2"/>
  <c r="BK263" i="2"/>
  <c r="BK264" i="2"/>
  <c r="BK265" i="2"/>
  <c r="BK266" i="2"/>
  <c r="BK267" i="2"/>
  <c r="BK268" i="2"/>
  <c r="BK269" i="2"/>
  <c r="BK270" i="2"/>
  <c r="BK271" i="2"/>
  <c r="BK272" i="2"/>
  <c r="BK273" i="2"/>
  <c r="BK274" i="2"/>
  <c r="CU274" i="2" s="1" a="1"/>
  <c r="CU274" i="2" s="1"/>
  <c r="BK275" i="2"/>
  <c r="BK276" i="2"/>
  <c r="BK277" i="2"/>
  <c r="BK278" i="2"/>
  <c r="BK279" i="2"/>
  <c r="BK280" i="2"/>
  <c r="BK281" i="2"/>
  <c r="BK282" i="2"/>
  <c r="BK283" i="2"/>
  <c r="BK284" i="2"/>
  <c r="BK285" i="2"/>
  <c r="BK286" i="2"/>
  <c r="BK287" i="2"/>
  <c r="BK288" i="2"/>
  <c r="BK289" i="2"/>
  <c r="BK290" i="2"/>
  <c r="BK291" i="2"/>
  <c r="BK292" i="2"/>
  <c r="BK293" i="2"/>
  <c r="BK294" i="2"/>
  <c r="BK295" i="2"/>
  <c r="BK296" i="2"/>
  <c r="BK297" i="2"/>
  <c r="BK298" i="2"/>
  <c r="BK299" i="2"/>
  <c r="BK300" i="2"/>
  <c r="BK301" i="2"/>
  <c r="BK302" i="2"/>
  <c r="BK303" i="2"/>
  <c r="BK304" i="2"/>
  <c r="BK305" i="2"/>
  <c r="BK306" i="2"/>
  <c r="BK307" i="2"/>
  <c r="BK308" i="2"/>
  <c r="BK309" i="2"/>
  <c r="BK310" i="2"/>
  <c r="BK311" i="2"/>
  <c r="BK312" i="2"/>
  <c r="BK313" i="2"/>
  <c r="BK314" i="2"/>
  <c r="BK315" i="2"/>
  <c r="BK316" i="2"/>
  <c r="BK317" i="2"/>
  <c r="BK318" i="2"/>
  <c r="BK319" i="2"/>
  <c r="BK320" i="2"/>
  <c r="BK321" i="2"/>
  <c r="BK322" i="2"/>
  <c r="BK323" i="2"/>
  <c r="BK324" i="2"/>
  <c r="BK325" i="2"/>
  <c r="BK326" i="2"/>
  <c r="BK327" i="2"/>
  <c r="BK328" i="2"/>
  <c r="BK329" i="2"/>
  <c r="BK330" i="2"/>
  <c r="BK331" i="2"/>
  <c r="BK332" i="2"/>
  <c r="BK333" i="2"/>
  <c r="BK334" i="2"/>
  <c r="BK335" i="2"/>
  <c r="BK336" i="2"/>
  <c r="BK337" i="2"/>
  <c r="BK338" i="2"/>
  <c r="BK339" i="2"/>
  <c r="BK340" i="2"/>
  <c r="BK341" i="2"/>
  <c r="BK342" i="2"/>
  <c r="BK343" i="2"/>
  <c r="BK344" i="2"/>
  <c r="BK345" i="2"/>
  <c r="BK346" i="2"/>
  <c r="BK347" i="2"/>
  <c r="BK348" i="2"/>
  <c r="BK349" i="2"/>
  <c r="BK350" i="2"/>
  <c r="BK351" i="2"/>
  <c r="BK352" i="2"/>
  <c r="BK353" i="2"/>
  <c r="BK354" i="2"/>
  <c r="BK355" i="2"/>
  <c r="BK356" i="2"/>
  <c r="BK357" i="2"/>
  <c r="BK358" i="2"/>
  <c r="BK359" i="2"/>
  <c r="BK360" i="2"/>
  <c r="BK361" i="2"/>
  <c r="BK362" i="2"/>
  <c r="BK363" i="2"/>
  <c r="BK364" i="2"/>
  <c r="BK365" i="2"/>
  <c r="BK366" i="2"/>
  <c r="BK367" i="2"/>
  <c r="BK368" i="2"/>
  <c r="BK369" i="2"/>
  <c r="BK370" i="2"/>
  <c r="BK371" i="2"/>
  <c r="BK372" i="2"/>
  <c r="BK373" i="2"/>
  <c r="BK374" i="2"/>
  <c r="BK375" i="2"/>
  <c r="BK376" i="2"/>
  <c r="BK377" i="2"/>
  <c r="BK378" i="2"/>
  <c r="BK379" i="2"/>
  <c r="BK380" i="2"/>
  <c r="BK381" i="2"/>
  <c r="BK382" i="2"/>
  <c r="BK383" i="2"/>
  <c r="BK384" i="2"/>
  <c r="BK385" i="2"/>
  <c r="BK386" i="2"/>
  <c r="BK387" i="2"/>
  <c r="BK388" i="2"/>
  <c r="BK389" i="2"/>
  <c r="BK390" i="2"/>
  <c r="BK391" i="2"/>
  <c r="BK392" i="2"/>
  <c r="BK393" i="2"/>
  <c r="BK394" i="2"/>
  <c r="BK395" i="2"/>
  <c r="BK396" i="2"/>
  <c r="BK397" i="2"/>
  <c r="BK398" i="2"/>
  <c r="BK399" i="2"/>
  <c r="BK400" i="2"/>
  <c r="BK401" i="2"/>
  <c r="BK402" i="2"/>
  <c r="BK403" i="2"/>
  <c r="BK404" i="2"/>
  <c r="BK405" i="2"/>
  <c r="BK406" i="2"/>
  <c r="BK407" i="2"/>
  <c r="BK408" i="2"/>
  <c r="BK409" i="2"/>
  <c r="BK410" i="2"/>
  <c r="BK411" i="2"/>
  <c r="BK412" i="2"/>
  <c r="BK413" i="2"/>
  <c r="BK414" i="2"/>
  <c r="BK415" i="2"/>
  <c r="BK416" i="2"/>
  <c r="BK417" i="2"/>
  <c r="BK418" i="2"/>
  <c r="BK419" i="2"/>
  <c r="BK420" i="2"/>
  <c r="BK421" i="2"/>
  <c r="BK422" i="2"/>
  <c r="BK423" i="2"/>
  <c r="BK424" i="2"/>
  <c r="BK425" i="2"/>
  <c r="BK426" i="2"/>
  <c r="BK427" i="2"/>
  <c r="BK428" i="2"/>
  <c r="BK429" i="2"/>
  <c r="BK430" i="2"/>
  <c r="BK431" i="2"/>
  <c r="BK432" i="2"/>
  <c r="BK433" i="2"/>
  <c r="BK434" i="2"/>
  <c r="BK435" i="2"/>
  <c r="BK436" i="2"/>
  <c r="BK437" i="2"/>
  <c r="BK438" i="2"/>
  <c r="BK439" i="2"/>
  <c r="BK440" i="2"/>
  <c r="BK441" i="2"/>
  <c r="BK442" i="2"/>
  <c r="BK443" i="2"/>
  <c r="BK444" i="2"/>
  <c r="BK445" i="2"/>
  <c r="BK446" i="2"/>
  <c r="BK447" i="2"/>
  <c r="BK448" i="2"/>
  <c r="BK449" i="2"/>
  <c r="BK450" i="2"/>
  <c r="BK451" i="2"/>
  <c r="BK452" i="2"/>
  <c r="BK453" i="2"/>
  <c r="BK454" i="2"/>
  <c r="BK455" i="2"/>
  <c r="BK456" i="2"/>
  <c r="BK457" i="2"/>
  <c r="BK458" i="2"/>
  <c r="BK459" i="2"/>
  <c r="BK460" i="2"/>
  <c r="BK461" i="2"/>
  <c r="BK462" i="2"/>
  <c r="BK463" i="2"/>
  <c r="BK464" i="2"/>
  <c r="BK465" i="2"/>
  <c r="BK466" i="2"/>
  <c r="BK467" i="2"/>
  <c r="BK468" i="2"/>
  <c r="BK469" i="2"/>
  <c r="BK470" i="2"/>
  <c r="BK471" i="2"/>
  <c r="BK472" i="2"/>
  <c r="BK473" i="2"/>
  <c r="BK474" i="2"/>
  <c r="BK475" i="2"/>
  <c r="BK476" i="2"/>
  <c r="BK477" i="2"/>
  <c r="BK478" i="2"/>
  <c r="BK479" i="2"/>
  <c r="BK480" i="2"/>
  <c r="BK481" i="2"/>
  <c r="BK482" i="2"/>
  <c r="BK483" i="2"/>
  <c r="BK484" i="2"/>
  <c r="BK485" i="2"/>
  <c r="BK486" i="2"/>
  <c r="BK487" i="2"/>
  <c r="BK488" i="2"/>
  <c r="BK489" i="2"/>
  <c r="BK490" i="2"/>
  <c r="BK491" i="2"/>
  <c r="BK492" i="2"/>
  <c r="BK493" i="2"/>
  <c r="BK494" i="2"/>
  <c r="BK495" i="2"/>
  <c r="BK496" i="2"/>
  <c r="BK497" i="2"/>
  <c r="BK498" i="2"/>
  <c r="BK499" i="2"/>
  <c r="BK500" i="2"/>
  <c r="BK501" i="2"/>
  <c r="BK502" i="2"/>
  <c r="BK503" i="2"/>
  <c r="BK504" i="2"/>
  <c r="BK505" i="2"/>
  <c r="BK506" i="2"/>
  <c r="BK507" i="2"/>
  <c r="BK508" i="2"/>
  <c r="BK509" i="2"/>
  <c r="BK510" i="2"/>
  <c r="BK511" i="2"/>
  <c r="BK512" i="2"/>
  <c r="BK513" i="2"/>
  <c r="BK514" i="2"/>
  <c r="BK515" i="2"/>
  <c r="BK516" i="2"/>
  <c r="BK517" i="2"/>
  <c r="BK518" i="2"/>
  <c r="BK519" i="2"/>
  <c r="BK520" i="2"/>
  <c r="BK521" i="2"/>
  <c r="BK522" i="2"/>
  <c r="BK523" i="2"/>
  <c r="BK524" i="2"/>
  <c r="BK525" i="2"/>
  <c r="BK526" i="2"/>
  <c r="BK527" i="2"/>
  <c r="BK528" i="2"/>
  <c r="BK529" i="2"/>
  <c r="BK530" i="2"/>
  <c r="BK531" i="2"/>
  <c r="BK532" i="2"/>
  <c r="BK533" i="2"/>
  <c r="BK534" i="2"/>
  <c r="BK535" i="2"/>
  <c r="BK536" i="2"/>
  <c r="BK537" i="2"/>
  <c r="BK538" i="2"/>
  <c r="BK539" i="2"/>
  <c r="BK540" i="2"/>
  <c r="BK541" i="2"/>
  <c r="BK542" i="2"/>
  <c r="BK543" i="2"/>
  <c r="BK544" i="2"/>
  <c r="BK545" i="2"/>
  <c r="BK546" i="2"/>
  <c r="BK547" i="2"/>
  <c r="BK548" i="2"/>
  <c r="BK549" i="2"/>
  <c r="BK550" i="2"/>
  <c r="BK551" i="2"/>
  <c r="BK552" i="2"/>
  <c r="BK553" i="2"/>
  <c r="BK554" i="2"/>
  <c r="BK555" i="2"/>
  <c r="BK556" i="2"/>
  <c r="BK557" i="2"/>
  <c r="BK558" i="2"/>
  <c r="BK559" i="2"/>
  <c r="BK560" i="2"/>
  <c r="BK561" i="2"/>
  <c r="BK562" i="2"/>
  <c r="BK563" i="2"/>
  <c r="BK564" i="2"/>
  <c r="BK565" i="2"/>
  <c r="BK566" i="2"/>
  <c r="BK567" i="2"/>
  <c r="BK568" i="2"/>
  <c r="BK569" i="2"/>
  <c r="BK570" i="2"/>
  <c r="BK571" i="2"/>
  <c r="BK572" i="2"/>
  <c r="BK573" i="2"/>
  <c r="BK574" i="2"/>
  <c r="BK575" i="2"/>
  <c r="BK576" i="2"/>
  <c r="BK577" i="2"/>
  <c r="BK578" i="2"/>
  <c r="BK579" i="2"/>
  <c r="BK580" i="2"/>
  <c r="BK581" i="2"/>
  <c r="BK582" i="2"/>
  <c r="BK583" i="2"/>
  <c r="BK584" i="2"/>
  <c r="BK585" i="2"/>
  <c r="BK586" i="2"/>
  <c r="BK587" i="2"/>
  <c r="BK588" i="2"/>
  <c r="BK589" i="2"/>
  <c r="BK590" i="2"/>
  <c r="BK591" i="2"/>
  <c r="BK592" i="2"/>
  <c r="BK593" i="2"/>
  <c r="BK594" i="2"/>
  <c r="BK595" i="2"/>
  <c r="BK596" i="2"/>
  <c r="BK597" i="2"/>
  <c r="BK598" i="2"/>
  <c r="BK599" i="2"/>
  <c r="BK600" i="2"/>
  <c r="BK601" i="2"/>
  <c r="BK602" i="2"/>
  <c r="BK603" i="2"/>
  <c r="BK604" i="2"/>
  <c r="BK605" i="2"/>
  <c r="BK606" i="2"/>
  <c r="BK607" i="2"/>
  <c r="BK608" i="2"/>
  <c r="BK609" i="2"/>
  <c r="BK610" i="2"/>
  <c r="BK611" i="2"/>
  <c r="BK612" i="2"/>
  <c r="BK613" i="2"/>
  <c r="BK614" i="2"/>
  <c r="BK615" i="2"/>
  <c r="BK616" i="2"/>
  <c r="BK617" i="2"/>
  <c r="BK618" i="2"/>
  <c r="BK619" i="2"/>
  <c r="BK620" i="2"/>
  <c r="BK621" i="2"/>
  <c r="BK622" i="2"/>
  <c r="BK623" i="2"/>
  <c r="BK624" i="2"/>
  <c r="BK625" i="2"/>
  <c r="BK626" i="2"/>
  <c r="BK627" i="2"/>
  <c r="BK628" i="2"/>
  <c r="BK629" i="2"/>
  <c r="BK630" i="2"/>
  <c r="BK631" i="2"/>
  <c r="BK632" i="2"/>
  <c r="BK633" i="2"/>
  <c r="BK634" i="2"/>
  <c r="BK635" i="2"/>
  <c r="BK636" i="2"/>
  <c r="BK637" i="2"/>
  <c r="BK638" i="2"/>
  <c r="CV638" i="2" s="1" a="1"/>
  <c r="CV638" i="2" s="1"/>
  <c r="BK639" i="2"/>
  <c r="BK640" i="2"/>
  <c r="BK641" i="2"/>
  <c r="BK642" i="2"/>
  <c r="BK643" i="2"/>
  <c r="BK644" i="2"/>
  <c r="BK645" i="2"/>
  <c r="BK646" i="2"/>
  <c r="BK647" i="2"/>
  <c r="BK648" i="2"/>
  <c r="BK649" i="2"/>
  <c r="BK650" i="2"/>
  <c r="BK651" i="2"/>
  <c r="BK652" i="2"/>
  <c r="BK653" i="2"/>
  <c r="BK654" i="2"/>
  <c r="BK655" i="2"/>
  <c r="BK656" i="2"/>
  <c r="BK657" i="2"/>
  <c r="BK658" i="2"/>
  <c r="BK659" i="2"/>
  <c r="BK660" i="2"/>
  <c r="BK661" i="2"/>
  <c r="BK662" i="2"/>
  <c r="BK663" i="2"/>
  <c r="BK664" i="2"/>
  <c r="BK665" i="2"/>
  <c r="BK666" i="2"/>
  <c r="BK667" i="2"/>
  <c r="CV667" i="2" s="1" a="1"/>
  <c r="CV667" i="2" s="1"/>
  <c r="BK668" i="2"/>
  <c r="BK669" i="2"/>
  <c r="BK670" i="2"/>
  <c r="BK671" i="2"/>
  <c r="BK672" i="2"/>
  <c r="BK673" i="2"/>
  <c r="BK674" i="2"/>
  <c r="BK675" i="2"/>
  <c r="BK676" i="2"/>
  <c r="BK677" i="2"/>
  <c r="BK678" i="2"/>
  <c r="BK679" i="2"/>
  <c r="BK680" i="2"/>
  <c r="CU680" i="2" s="1" a="1"/>
  <c r="CU680" i="2" s="1"/>
  <c r="BK681" i="2"/>
  <c r="BK682" i="2"/>
  <c r="BK683" i="2"/>
  <c r="BK684" i="2"/>
  <c r="BK685" i="2"/>
  <c r="BK686" i="2"/>
  <c r="BK687" i="2"/>
  <c r="BK688" i="2"/>
  <c r="BK689" i="2"/>
  <c r="BK690" i="2"/>
  <c r="BK691" i="2"/>
  <c r="BK692" i="2"/>
  <c r="BK693" i="2"/>
  <c r="BK694" i="2"/>
  <c r="BK695" i="2"/>
  <c r="BK696" i="2"/>
  <c r="BK697" i="2"/>
  <c r="BK698" i="2"/>
  <c r="BK699" i="2"/>
  <c r="BK700" i="2"/>
  <c r="BK701" i="2"/>
  <c r="BK702" i="2"/>
  <c r="BK703" i="2"/>
  <c r="BK704" i="2"/>
  <c r="BK705" i="2"/>
  <c r="BL2" i="2"/>
  <c r="BL3" i="2"/>
  <c r="BL4" i="2"/>
  <c r="BL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86" i="2"/>
  <c r="BL87" i="2"/>
  <c r="BL88" i="2"/>
  <c r="BL89" i="2"/>
  <c r="BL90" i="2"/>
  <c r="BL91" i="2"/>
  <c r="BL92" i="2"/>
  <c r="BL93" i="2"/>
  <c r="BL94" i="2"/>
  <c r="BL95" i="2"/>
  <c r="BL96" i="2"/>
  <c r="BL97" i="2"/>
  <c r="BL98" i="2"/>
  <c r="BL99" i="2"/>
  <c r="BL100" i="2"/>
  <c r="BL101" i="2"/>
  <c r="BL102" i="2"/>
  <c r="BL103" i="2"/>
  <c r="BL104" i="2"/>
  <c r="BL105" i="2"/>
  <c r="BL106" i="2"/>
  <c r="BL107" i="2"/>
  <c r="BL108" i="2"/>
  <c r="BL109" i="2"/>
  <c r="BL110" i="2"/>
  <c r="BL111" i="2"/>
  <c r="BL112" i="2"/>
  <c r="BL113" i="2"/>
  <c r="BL114" i="2"/>
  <c r="BL115" i="2"/>
  <c r="BL116" i="2"/>
  <c r="CV116" i="2" s="1" a="1"/>
  <c r="CV116" i="2" s="1"/>
  <c r="BL117" i="2"/>
  <c r="BL118" i="2"/>
  <c r="BL119" i="2"/>
  <c r="BL120" i="2"/>
  <c r="BL121" i="2"/>
  <c r="BL122" i="2"/>
  <c r="BL123" i="2"/>
  <c r="BL124" i="2"/>
  <c r="BL125" i="2"/>
  <c r="BL126" i="2"/>
  <c r="BL127" i="2"/>
  <c r="BL128" i="2"/>
  <c r="BL129" i="2"/>
  <c r="BL130" i="2"/>
  <c r="CU130" i="2" s="1" a="1"/>
  <c r="CU130" i="2" s="1"/>
  <c r="BL131" i="2"/>
  <c r="CU131" i="2" s="1" a="1"/>
  <c r="CU131" i="2" s="1"/>
  <c r="BL132" i="2"/>
  <c r="BL133" i="2"/>
  <c r="BL134" i="2"/>
  <c r="BL135" i="2"/>
  <c r="BL136" i="2"/>
  <c r="BL137" i="2"/>
  <c r="BL138" i="2"/>
  <c r="BL139" i="2"/>
  <c r="BL140" i="2"/>
  <c r="BL141" i="2"/>
  <c r="BL142" i="2"/>
  <c r="BL143" i="2"/>
  <c r="BL144" i="2"/>
  <c r="BL145" i="2"/>
  <c r="BL146" i="2"/>
  <c r="BL147" i="2"/>
  <c r="BL148" i="2"/>
  <c r="BL149" i="2"/>
  <c r="BL150" i="2"/>
  <c r="BL151" i="2"/>
  <c r="BL152" i="2"/>
  <c r="BL153" i="2"/>
  <c r="BL154" i="2"/>
  <c r="BL155" i="2"/>
  <c r="BL156" i="2"/>
  <c r="BL157" i="2"/>
  <c r="BL158" i="2"/>
  <c r="BL159" i="2"/>
  <c r="BL160" i="2"/>
  <c r="BL161" i="2"/>
  <c r="BL162" i="2"/>
  <c r="BL163" i="2"/>
  <c r="BL164" i="2"/>
  <c r="BL165" i="2"/>
  <c r="BL166" i="2"/>
  <c r="BL167" i="2"/>
  <c r="BL168" i="2"/>
  <c r="BL169" i="2"/>
  <c r="BL170" i="2"/>
  <c r="BL171" i="2"/>
  <c r="BL172" i="2"/>
  <c r="BL173" i="2"/>
  <c r="BL174" i="2"/>
  <c r="BL175" i="2"/>
  <c r="BL176" i="2"/>
  <c r="BL177" i="2"/>
  <c r="BL178" i="2"/>
  <c r="BL179" i="2"/>
  <c r="BL180" i="2"/>
  <c r="BL181" i="2"/>
  <c r="BL182" i="2"/>
  <c r="BL183" i="2"/>
  <c r="BL184" i="2"/>
  <c r="BL185" i="2"/>
  <c r="BL186" i="2"/>
  <c r="BL187" i="2"/>
  <c r="BL188" i="2"/>
  <c r="BL189" i="2"/>
  <c r="BL190" i="2"/>
  <c r="BL191" i="2"/>
  <c r="BL192" i="2"/>
  <c r="BL193" i="2"/>
  <c r="BL194" i="2"/>
  <c r="BL195" i="2"/>
  <c r="BL196" i="2"/>
  <c r="BL197" i="2"/>
  <c r="BL198" i="2"/>
  <c r="BL199" i="2"/>
  <c r="BL200" i="2"/>
  <c r="BL201" i="2"/>
  <c r="BL202" i="2"/>
  <c r="BL203" i="2"/>
  <c r="BL204" i="2"/>
  <c r="BL205" i="2"/>
  <c r="BL206" i="2"/>
  <c r="BL207" i="2"/>
  <c r="BL208" i="2"/>
  <c r="BL209" i="2"/>
  <c r="BL210" i="2"/>
  <c r="BL211" i="2"/>
  <c r="BL212" i="2"/>
  <c r="BL213" i="2"/>
  <c r="BL214" i="2"/>
  <c r="BL215" i="2"/>
  <c r="BL216" i="2"/>
  <c r="BL217" i="2"/>
  <c r="BL218" i="2"/>
  <c r="BL219" i="2"/>
  <c r="BL220" i="2"/>
  <c r="BL221" i="2"/>
  <c r="BL222" i="2"/>
  <c r="BL223" i="2"/>
  <c r="BL224" i="2"/>
  <c r="BL225" i="2"/>
  <c r="BL226" i="2"/>
  <c r="BL227" i="2"/>
  <c r="BL228" i="2"/>
  <c r="BL229" i="2"/>
  <c r="BL230" i="2"/>
  <c r="BL231" i="2"/>
  <c r="BL232" i="2"/>
  <c r="BL233" i="2"/>
  <c r="BL234" i="2"/>
  <c r="BL235" i="2"/>
  <c r="BL236" i="2"/>
  <c r="BL237" i="2"/>
  <c r="BL238" i="2"/>
  <c r="BL239" i="2"/>
  <c r="BL240" i="2"/>
  <c r="BL241" i="2"/>
  <c r="BL242" i="2"/>
  <c r="BL243" i="2"/>
  <c r="BL244" i="2"/>
  <c r="BL245" i="2"/>
  <c r="BL246" i="2"/>
  <c r="BL247" i="2"/>
  <c r="BL248" i="2"/>
  <c r="BL249" i="2"/>
  <c r="BL250" i="2"/>
  <c r="BL251" i="2"/>
  <c r="BL252" i="2"/>
  <c r="BL253" i="2"/>
  <c r="BL254" i="2"/>
  <c r="BL255" i="2"/>
  <c r="BL256" i="2"/>
  <c r="BL257" i="2"/>
  <c r="BL258" i="2"/>
  <c r="BL259" i="2"/>
  <c r="BL260" i="2"/>
  <c r="BL261" i="2"/>
  <c r="BL262" i="2"/>
  <c r="BL263" i="2"/>
  <c r="BL264" i="2"/>
  <c r="BL265" i="2"/>
  <c r="BL266" i="2"/>
  <c r="BL267" i="2"/>
  <c r="BL268" i="2"/>
  <c r="BL269" i="2"/>
  <c r="BL270" i="2"/>
  <c r="BL271" i="2"/>
  <c r="BL272" i="2"/>
  <c r="BL273" i="2"/>
  <c r="BL274" i="2"/>
  <c r="BL275" i="2"/>
  <c r="BL276" i="2"/>
  <c r="BL277" i="2"/>
  <c r="BL278" i="2"/>
  <c r="BL279" i="2"/>
  <c r="BL280" i="2"/>
  <c r="BL281" i="2"/>
  <c r="BL282" i="2"/>
  <c r="BL283" i="2"/>
  <c r="BL284" i="2"/>
  <c r="BL285" i="2"/>
  <c r="BL286" i="2"/>
  <c r="BL287" i="2"/>
  <c r="BL288" i="2"/>
  <c r="BL289" i="2"/>
  <c r="BL290" i="2"/>
  <c r="BL291" i="2"/>
  <c r="BL292" i="2"/>
  <c r="BL293" i="2"/>
  <c r="BL294" i="2"/>
  <c r="BL295" i="2"/>
  <c r="BL296" i="2"/>
  <c r="BL297" i="2"/>
  <c r="BL298" i="2"/>
  <c r="BL299" i="2"/>
  <c r="BL300" i="2"/>
  <c r="BL301" i="2"/>
  <c r="BL302" i="2"/>
  <c r="BL303" i="2"/>
  <c r="BL304" i="2"/>
  <c r="BL305" i="2"/>
  <c r="BL306" i="2"/>
  <c r="BL307" i="2"/>
  <c r="BL308" i="2"/>
  <c r="BL309" i="2"/>
  <c r="BL310" i="2"/>
  <c r="BL311" i="2"/>
  <c r="BL312" i="2"/>
  <c r="BL313" i="2"/>
  <c r="BL314" i="2"/>
  <c r="BL315" i="2"/>
  <c r="BL316" i="2"/>
  <c r="BL317" i="2"/>
  <c r="BL318" i="2"/>
  <c r="BL319" i="2"/>
  <c r="BL320" i="2"/>
  <c r="BL321" i="2"/>
  <c r="BL322" i="2"/>
  <c r="BL323" i="2"/>
  <c r="BL324" i="2"/>
  <c r="BL325" i="2"/>
  <c r="BL326" i="2"/>
  <c r="BL327" i="2"/>
  <c r="BL328" i="2"/>
  <c r="BL329" i="2"/>
  <c r="BL330" i="2"/>
  <c r="BL331" i="2"/>
  <c r="BL332" i="2"/>
  <c r="BL333" i="2"/>
  <c r="BL334" i="2"/>
  <c r="BL335" i="2"/>
  <c r="BL336" i="2"/>
  <c r="BL337" i="2"/>
  <c r="BL338" i="2"/>
  <c r="BL339" i="2"/>
  <c r="BL340" i="2"/>
  <c r="BL341" i="2"/>
  <c r="BL342" i="2"/>
  <c r="BL343" i="2"/>
  <c r="BL344" i="2"/>
  <c r="BL345" i="2"/>
  <c r="BL346" i="2"/>
  <c r="BL347" i="2"/>
  <c r="BL348" i="2"/>
  <c r="BL349" i="2"/>
  <c r="BL350" i="2"/>
  <c r="BL351" i="2"/>
  <c r="BL352" i="2"/>
  <c r="BL353" i="2"/>
  <c r="BL354" i="2"/>
  <c r="BL355" i="2"/>
  <c r="BL356" i="2"/>
  <c r="BL357" i="2"/>
  <c r="BL358" i="2"/>
  <c r="BL359" i="2"/>
  <c r="BL360" i="2"/>
  <c r="BL361" i="2"/>
  <c r="BL362" i="2"/>
  <c r="BL363" i="2"/>
  <c r="BL364" i="2"/>
  <c r="BL365" i="2"/>
  <c r="BL366" i="2"/>
  <c r="BL367" i="2"/>
  <c r="BL368" i="2"/>
  <c r="BL369" i="2"/>
  <c r="BL370" i="2"/>
  <c r="BL371" i="2"/>
  <c r="BL372" i="2"/>
  <c r="BL373" i="2"/>
  <c r="BL374" i="2"/>
  <c r="BL375" i="2"/>
  <c r="BL376" i="2"/>
  <c r="BL377" i="2"/>
  <c r="BL378" i="2"/>
  <c r="BL379" i="2"/>
  <c r="BL380" i="2"/>
  <c r="BL381" i="2"/>
  <c r="BL382" i="2"/>
  <c r="BL383" i="2"/>
  <c r="BL384" i="2"/>
  <c r="BL385" i="2"/>
  <c r="BL386" i="2"/>
  <c r="BL387" i="2"/>
  <c r="BL388" i="2"/>
  <c r="BL389" i="2"/>
  <c r="BL390" i="2"/>
  <c r="BL391" i="2"/>
  <c r="BL392" i="2"/>
  <c r="BL393" i="2"/>
  <c r="BL394" i="2"/>
  <c r="BL395" i="2"/>
  <c r="BL396" i="2"/>
  <c r="BL397" i="2"/>
  <c r="BL398" i="2"/>
  <c r="BL399" i="2"/>
  <c r="BL400" i="2"/>
  <c r="BL401" i="2"/>
  <c r="BL402" i="2"/>
  <c r="BL403" i="2"/>
  <c r="BL404" i="2"/>
  <c r="BL405" i="2"/>
  <c r="BL406" i="2"/>
  <c r="BL407" i="2"/>
  <c r="BL408" i="2"/>
  <c r="BL409" i="2"/>
  <c r="BL410" i="2"/>
  <c r="BL411" i="2"/>
  <c r="BL412" i="2"/>
  <c r="BL413" i="2"/>
  <c r="BL414" i="2"/>
  <c r="BL415" i="2"/>
  <c r="BL416" i="2"/>
  <c r="BL417" i="2"/>
  <c r="BL418" i="2"/>
  <c r="BL419" i="2"/>
  <c r="BL420" i="2"/>
  <c r="BL421" i="2"/>
  <c r="BL422" i="2"/>
  <c r="BL423" i="2"/>
  <c r="BL424" i="2"/>
  <c r="BL425" i="2"/>
  <c r="BL426" i="2"/>
  <c r="BL427" i="2"/>
  <c r="BL428" i="2"/>
  <c r="BL429" i="2"/>
  <c r="BL430" i="2"/>
  <c r="BL431" i="2"/>
  <c r="BL432" i="2"/>
  <c r="BL433" i="2"/>
  <c r="BL434" i="2"/>
  <c r="BL435" i="2"/>
  <c r="BL436" i="2"/>
  <c r="BL437" i="2"/>
  <c r="BL438" i="2"/>
  <c r="BL439" i="2"/>
  <c r="BL440" i="2"/>
  <c r="BL441" i="2"/>
  <c r="BL442" i="2"/>
  <c r="BL443" i="2"/>
  <c r="BL444" i="2"/>
  <c r="BL445" i="2"/>
  <c r="BL446" i="2"/>
  <c r="BL447" i="2"/>
  <c r="BL448" i="2"/>
  <c r="BL449" i="2"/>
  <c r="BL450" i="2"/>
  <c r="BL451" i="2"/>
  <c r="BL452" i="2"/>
  <c r="BL453" i="2"/>
  <c r="BL454" i="2"/>
  <c r="BL455" i="2"/>
  <c r="BL456" i="2"/>
  <c r="BL457" i="2"/>
  <c r="BL458" i="2"/>
  <c r="BL459" i="2"/>
  <c r="BL460" i="2"/>
  <c r="BL461" i="2"/>
  <c r="BL462" i="2"/>
  <c r="BL463" i="2"/>
  <c r="BL464" i="2"/>
  <c r="BL465" i="2"/>
  <c r="BL466" i="2"/>
  <c r="BL467" i="2"/>
  <c r="BL468" i="2"/>
  <c r="BL469" i="2"/>
  <c r="BL470" i="2"/>
  <c r="BL471" i="2"/>
  <c r="BL472" i="2"/>
  <c r="BL473" i="2"/>
  <c r="BL474" i="2"/>
  <c r="BL475" i="2"/>
  <c r="BL476" i="2"/>
  <c r="BL477" i="2"/>
  <c r="BL478" i="2"/>
  <c r="BL479" i="2"/>
  <c r="BL480" i="2"/>
  <c r="CV480" i="2" s="1" a="1"/>
  <c r="CV480" i="2" s="1"/>
  <c r="BL481" i="2"/>
  <c r="BL482" i="2"/>
  <c r="BL483" i="2"/>
  <c r="BL484" i="2"/>
  <c r="BL485" i="2"/>
  <c r="BL486" i="2"/>
  <c r="BL487" i="2"/>
  <c r="BL488" i="2"/>
  <c r="BL489" i="2"/>
  <c r="BL490" i="2"/>
  <c r="BL491" i="2"/>
  <c r="BL492" i="2"/>
  <c r="BL493" i="2"/>
  <c r="BL494" i="2"/>
  <c r="BL495" i="2"/>
  <c r="BL496" i="2"/>
  <c r="BL497" i="2"/>
  <c r="BL498" i="2"/>
  <c r="BL499" i="2"/>
  <c r="BL500" i="2"/>
  <c r="BL501" i="2"/>
  <c r="BL502" i="2"/>
  <c r="BL503" i="2"/>
  <c r="BL504" i="2"/>
  <c r="BL505" i="2"/>
  <c r="BL506" i="2"/>
  <c r="BL507" i="2"/>
  <c r="BL508" i="2"/>
  <c r="BL509" i="2"/>
  <c r="BL510" i="2"/>
  <c r="BL511" i="2"/>
  <c r="BL512" i="2"/>
  <c r="BL513" i="2"/>
  <c r="BL514" i="2"/>
  <c r="BL515" i="2"/>
  <c r="BL516" i="2"/>
  <c r="BL517" i="2"/>
  <c r="BL518" i="2"/>
  <c r="BL519" i="2"/>
  <c r="BL520" i="2"/>
  <c r="BL521" i="2"/>
  <c r="BL522" i="2"/>
  <c r="BL523" i="2"/>
  <c r="BL524" i="2"/>
  <c r="BL525" i="2"/>
  <c r="BL526" i="2"/>
  <c r="BL527" i="2"/>
  <c r="BL528" i="2"/>
  <c r="BL529" i="2"/>
  <c r="BL530" i="2"/>
  <c r="BL531" i="2"/>
  <c r="BL532" i="2"/>
  <c r="BL533" i="2"/>
  <c r="BL534" i="2"/>
  <c r="BL535" i="2"/>
  <c r="BL536" i="2"/>
  <c r="BL537" i="2"/>
  <c r="BL538" i="2"/>
  <c r="BL539" i="2"/>
  <c r="BL540" i="2"/>
  <c r="BL541" i="2"/>
  <c r="BL542" i="2"/>
  <c r="BL543" i="2"/>
  <c r="BL544" i="2"/>
  <c r="BL545" i="2"/>
  <c r="BL546" i="2"/>
  <c r="BL547" i="2"/>
  <c r="BL548" i="2"/>
  <c r="BL549" i="2"/>
  <c r="BL550" i="2"/>
  <c r="BL551" i="2"/>
  <c r="BL552" i="2"/>
  <c r="BL553" i="2"/>
  <c r="BL554" i="2"/>
  <c r="BL555" i="2"/>
  <c r="BL556" i="2"/>
  <c r="BL557" i="2"/>
  <c r="BL558" i="2"/>
  <c r="BL559" i="2"/>
  <c r="BL560" i="2"/>
  <c r="BL561" i="2"/>
  <c r="BL562" i="2"/>
  <c r="BL563" i="2"/>
  <c r="BL564" i="2"/>
  <c r="BL565" i="2"/>
  <c r="BL566" i="2"/>
  <c r="BL567" i="2"/>
  <c r="BL568" i="2"/>
  <c r="BL569" i="2"/>
  <c r="BL570" i="2"/>
  <c r="BL571" i="2"/>
  <c r="BL572" i="2"/>
  <c r="BL573" i="2"/>
  <c r="BL574" i="2"/>
  <c r="BL575" i="2"/>
  <c r="BL576" i="2"/>
  <c r="BL577" i="2"/>
  <c r="BL578" i="2"/>
  <c r="BL579" i="2"/>
  <c r="BL580" i="2"/>
  <c r="BL581" i="2"/>
  <c r="BL582" i="2"/>
  <c r="BL583" i="2"/>
  <c r="BL584" i="2"/>
  <c r="BL585" i="2"/>
  <c r="BL586" i="2"/>
  <c r="BL587" i="2"/>
  <c r="BL588" i="2"/>
  <c r="BL589" i="2"/>
  <c r="BL590" i="2"/>
  <c r="BL591" i="2"/>
  <c r="BL592" i="2"/>
  <c r="BL593" i="2"/>
  <c r="BL594" i="2"/>
  <c r="BL595" i="2"/>
  <c r="BL596" i="2"/>
  <c r="BL597" i="2"/>
  <c r="BL598" i="2"/>
  <c r="BL599" i="2"/>
  <c r="BL600" i="2"/>
  <c r="BL601" i="2"/>
  <c r="BL602" i="2"/>
  <c r="BL603" i="2"/>
  <c r="BL604" i="2"/>
  <c r="BL605" i="2"/>
  <c r="BL606" i="2"/>
  <c r="BL607" i="2"/>
  <c r="BL608" i="2"/>
  <c r="BL609" i="2"/>
  <c r="BL610" i="2"/>
  <c r="BL611" i="2"/>
  <c r="BL612" i="2"/>
  <c r="BL613" i="2"/>
  <c r="BL614" i="2"/>
  <c r="BL615" i="2"/>
  <c r="BL616" i="2"/>
  <c r="BL617" i="2"/>
  <c r="BL618" i="2"/>
  <c r="BL619" i="2"/>
  <c r="BL620" i="2"/>
  <c r="BL621" i="2"/>
  <c r="BL622" i="2"/>
  <c r="BL623" i="2"/>
  <c r="BL624" i="2"/>
  <c r="BL625" i="2"/>
  <c r="BL626" i="2"/>
  <c r="BL627" i="2"/>
  <c r="BL628" i="2"/>
  <c r="BL629" i="2"/>
  <c r="BL630" i="2"/>
  <c r="BL631" i="2"/>
  <c r="BL632" i="2"/>
  <c r="BL633" i="2"/>
  <c r="BL634" i="2"/>
  <c r="CV634" i="2" s="1" a="1"/>
  <c r="CV634" i="2" s="1"/>
  <c r="BL635" i="2"/>
  <c r="BL636" i="2"/>
  <c r="BL637" i="2"/>
  <c r="BL638" i="2"/>
  <c r="BL639" i="2"/>
  <c r="BL640" i="2"/>
  <c r="BL641" i="2"/>
  <c r="BL642" i="2"/>
  <c r="BL643" i="2"/>
  <c r="BL644" i="2"/>
  <c r="BL645" i="2"/>
  <c r="BL646" i="2"/>
  <c r="BL647" i="2"/>
  <c r="BL648" i="2"/>
  <c r="BL649" i="2"/>
  <c r="BL650" i="2"/>
  <c r="BL651" i="2"/>
  <c r="BL652" i="2"/>
  <c r="BL653" i="2"/>
  <c r="BL654" i="2"/>
  <c r="BL655" i="2"/>
  <c r="BL656" i="2"/>
  <c r="BL657" i="2"/>
  <c r="BL658" i="2"/>
  <c r="BL659" i="2"/>
  <c r="BL660" i="2"/>
  <c r="BL661" i="2"/>
  <c r="BL662" i="2"/>
  <c r="BL663" i="2"/>
  <c r="BL664" i="2"/>
  <c r="BL665" i="2"/>
  <c r="BL666" i="2"/>
  <c r="BL667" i="2"/>
  <c r="BL668" i="2"/>
  <c r="BL669" i="2"/>
  <c r="BL670" i="2"/>
  <c r="BL671" i="2"/>
  <c r="BL672" i="2"/>
  <c r="BL673" i="2"/>
  <c r="BL674" i="2"/>
  <c r="BL675" i="2"/>
  <c r="BL676" i="2"/>
  <c r="BL677" i="2"/>
  <c r="BL678" i="2"/>
  <c r="BL679" i="2"/>
  <c r="BL680" i="2"/>
  <c r="BL681" i="2"/>
  <c r="BL682" i="2"/>
  <c r="BL683" i="2"/>
  <c r="BL684" i="2"/>
  <c r="BL685" i="2"/>
  <c r="BL686" i="2"/>
  <c r="BL687" i="2"/>
  <c r="BL688" i="2"/>
  <c r="BL689" i="2"/>
  <c r="BL690" i="2"/>
  <c r="BL691" i="2"/>
  <c r="BL692" i="2"/>
  <c r="BL693" i="2"/>
  <c r="BL694" i="2"/>
  <c r="BL695" i="2"/>
  <c r="BL696" i="2"/>
  <c r="BL697" i="2"/>
  <c r="BL698" i="2"/>
  <c r="BL699" i="2"/>
  <c r="BL700" i="2"/>
  <c r="BL701" i="2"/>
  <c r="BL702" i="2"/>
  <c r="BL703" i="2"/>
  <c r="BL704" i="2"/>
  <c r="BL705" i="2"/>
  <c r="BM2" i="2"/>
  <c r="BM3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65" i="2"/>
  <c r="BM66" i="2"/>
  <c r="BM67" i="2"/>
  <c r="BM68" i="2"/>
  <c r="BM69" i="2"/>
  <c r="BM70" i="2"/>
  <c r="BM71" i="2"/>
  <c r="BM72" i="2"/>
  <c r="BM73" i="2"/>
  <c r="BM74" i="2"/>
  <c r="BM75" i="2"/>
  <c r="BM76" i="2"/>
  <c r="BM77" i="2"/>
  <c r="BM78" i="2"/>
  <c r="BM79" i="2"/>
  <c r="BM80" i="2"/>
  <c r="BM81" i="2"/>
  <c r="BM82" i="2"/>
  <c r="BM83" i="2"/>
  <c r="BM84" i="2"/>
  <c r="BM85" i="2"/>
  <c r="BM86" i="2"/>
  <c r="BM87" i="2"/>
  <c r="BM88" i="2"/>
  <c r="BM89" i="2"/>
  <c r="BM90" i="2"/>
  <c r="BM91" i="2"/>
  <c r="BM92" i="2"/>
  <c r="BM93" i="2"/>
  <c r="BM94" i="2"/>
  <c r="BM95" i="2"/>
  <c r="BM96" i="2"/>
  <c r="BM97" i="2"/>
  <c r="BM98" i="2"/>
  <c r="BM99" i="2"/>
  <c r="BM100" i="2"/>
  <c r="BM101" i="2"/>
  <c r="BM102" i="2"/>
  <c r="BM103" i="2"/>
  <c r="BM104" i="2"/>
  <c r="BM105" i="2"/>
  <c r="BM106" i="2"/>
  <c r="BM107" i="2"/>
  <c r="BM108" i="2"/>
  <c r="BM109" i="2"/>
  <c r="BM110" i="2"/>
  <c r="BM111" i="2"/>
  <c r="BM112" i="2"/>
  <c r="BM113" i="2"/>
  <c r="BM114" i="2"/>
  <c r="BM115" i="2"/>
  <c r="BM116" i="2"/>
  <c r="BM117" i="2"/>
  <c r="BM118" i="2"/>
  <c r="BM119" i="2"/>
  <c r="BM120" i="2"/>
  <c r="BM121" i="2"/>
  <c r="BM122" i="2"/>
  <c r="BM123" i="2"/>
  <c r="BM124" i="2"/>
  <c r="BM125" i="2"/>
  <c r="BM126" i="2"/>
  <c r="BM127" i="2"/>
  <c r="BM128" i="2"/>
  <c r="BM129" i="2"/>
  <c r="BM130" i="2"/>
  <c r="BM131" i="2"/>
  <c r="BM132" i="2"/>
  <c r="BM133" i="2"/>
  <c r="BM134" i="2"/>
  <c r="BM135" i="2"/>
  <c r="BM136" i="2"/>
  <c r="BM137" i="2"/>
  <c r="BM138" i="2"/>
  <c r="BM139" i="2"/>
  <c r="BM140" i="2"/>
  <c r="BM141" i="2"/>
  <c r="BM142" i="2"/>
  <c r="BM143" i="2"/>
  <c r="BM144" i="2"/>
  <c r="BM145" i="2"/>
  <c r="BM146" i="2"/>
  <c r="BM147" i="2"/>
  <c r="BM148" i="2"/>
  <c r="BM149" i="2"/>
  <c r="BM150" i="2"/>
  <c r="BM151" i="2"/>
  <c r="BM152" i="2"/>
  <c r="BM153" i="2"/>
  <c r="BM154" i="2"/>
  <c r="BM155" i="2"/>
  <c r="BM156" i="2"/>
  <c r="BM157" i="2"/>
  <c r="BM158" i="2"/>
  <c r="BM159" i="2"/>
  <c r="BM160" i="2"/>
  <c r="BM161" i="2"/>
  <c r="BM162" i="2"/>
  <c r="BM163" i="2"/>
  <c r="BM164" i="2"/>
  <c r="BM165" i="2"/>
  <c r="BM166" i="2"/>
  <c r="BM167" i="2"/>
  <c r="BM168" i="2"/>
  <c r="CV168" i="2" s="1" a="1"/>
  <c r="CV168" i="2" s="1"/>
  <c r="BM169" i="2"/>
  <c r="BM170" i="2"/>
  <c r="BM171" i="2"/>
  <c r="BM172" i="2"/>
  <c r="BM173" i="2"/>
  <c r="BM174" i="2"/>
  <c r="BM175" i="2"/>
  <c r="BM176" i="2"/>
  <c r="BM177" i="2"/>
  <c r="BM178" i="2"/>
  <c r="BM179" i="2"/>
  <c r="BM180" i="2"/>
  <c r="BM181" i="2"/>
  <c r="BM182" i="2"/>
  <c r="BM183" i="2"/>
  <c r="BM184" i="2"/>
  <c r="BM185" i="2"/>
  <c r="BM186" i="2"/>
  <c r="BM187" i="2"/>
  <c r="BM188" i="2"/>
  <c r="BM189" i="2"/>
  <c r="BM190" i="2"/>
  <c r="BM191" i="2"/>
  <c r="BM192" i="2"/>
  <c r="BM193" i="2"/>
  <c r="BM194" i="2"/>
  <c r="BM195" i="2"/>
  <c r="BM196" i="2"/>
  <c r="BM197" i="2"/>
  <c r="BM198" i="2"/>
  <c r="BM199" i="2"/>
  <c r="BM200" i="2"/>
  <c r="BM201" i="2"/>
  <c r="BM202" i="2"/>
  <c r="BM203" i="2"/>
  <c r="BM204" i="2"/>
  <c r="BM205" i="2"/>
  <c r="BM206" i="2"/>
  <c r="BM207" i="2"/>
  <c r="BM208" i="2"/>
  <c r="BM209" i="2"/>
  <c r="BM210" i="2"/>
  <c r="BM211" i="2"/>
  <c r="BM212" i="2"/>
  <c r="BM213" i="2"/>
  <c r="BM214" i="2"/>
  <c r="BM215" i="2"/>
  <c r="BM216" i="2"/>
  <c r="BM217" i="2"/>
  <c r="BM218" i="2"/>
  <c r="BM219" i="2"/>
  <c r="BM220" i="2"/>
  <c r="BM221" i="2"/>
  <c r="BM222" i="2"/>
  <c r="BM223" i="2"/>
  <c r="BM224" i="2"/>
  <c r="BM225" i="2"/>
  <c r="BM226" i="2"/>
  <c r="BM227" i="2"/>
  <c r="BM228" i="2"/>
  <c r="BM229" i="2"/>
  <c r="BM230" i="2"/>
  <c r="BM231" i="2"/>
  <c r="BM232" i="2"/>
  <c r="BM233" i="2"/>
  <c r="BM234" i="2"/>
  <c r="BM235" i="2"/>
  <c r="BM236" i="2"/>
  <c r="BM237" i="2"/>
  <c r="BM238" i="2"/>
  <c r="BM239" i="2"/>
  <c r="BM240" i="2"/>
  <c r="BM241" i="2"/>
  <c r="BM242" i="2"/>
  <c r="BM243" i="2"/>
  <c r="BM244" i="2"/>
  <c r="BM245" i="2"/>
  <c r="BM246" i="2"/>
  <c r="BM247" i="2"/>
  <c r="BM248" i="2"/>
  <c r="BM249" i="2"/>
  <c r="BM250" i="2"/>
  <c r="BM251" i="2"/>
  <c r="BM252" i="2"/>
  <c r="BM253" i="2"/>
  <c r="BM254" i="2"/>
  <c r="BM255" i="2"/>
  <c r="BM256" i="2"/>
  <c r="BM257" i="2"/>
  <c r="BM258" i="2"/>
  <c r="BM259" i="2"/>
  <c r="BM260" i="2"/>
  <c r="BM261" i="2"/>
  <c r="BM262" i="2"/>
  <c r="BM263" i="2"/>
  <c r="BM264" i="2"/>
  <c r="BM265" i="2"/>
  <c r="BM266" i="2"/>
  <c r="BM267" i="2"/>
  <c r="BM268" i="2"/>
  <c r="BM269" i="2"/>
  <c r="BM270" i="2"/>
  <c r="BM271" i="2"/>
  <c r="BM272" i="2"/>
  <c r="BM273" i="2"/>
  <c r="BM274" i="2"/>
  <c r="BM275" i="2"/>
  <c r="BM276" i="2"/>
  <c r="BM277" i="2"/>
  <c r="BM278" i="2"/>
  <c r="BM279" i="2"/>
  <c r="BM280" i="2"/>
  <c r="BM281" i="2"/>
  <c r="BM282" i="2"/>
  <c r="BM283" i="2"/>
  <c r="BM284" i="2"/>
  <c r="BM285" i="2"/>
  <c r="BM286" i="2"/>
  <c r="BM287" i="2"/>
  <c r="BM288" i="2"/>
  <c r="BM289" i="2"/>
  <c r="BM290" i="2"/>
  <c r="BM291" i="2"/>
  <c r="BM292" i="2"/>
  <c r="BM293" i="2"/>
  <c r="BM294" i="2"/>
  <c r="BM295" i="2"/>
  <c r="BM296" i="2"/>
  <c r="BM297" i="2"/>
  <c r="BM298" i="2"/>
  <c r="BM299" i="2"/>
  <c r="BM300" i="2"/>
  <c r="BM301" i="2"/>
  <c r="BM302" i="2"/>
  <c r="BM303" i="2"/>
  <c r="BM304" i="2"/>
  <c r="BM305" i="2"/>
  <c r="BM306" i="2"/>
  <c r="BM307" i="2"/>
  <c r="BM308" i="2"/>
  <c r="BM309" i="2"/>
  <c r="BM310" i="2"/>
  <c r="BM311" i="2"/>
  <c r="BM312" i="2"/>
  <c r="BM313" i="2"/>
  <c r="BM314" i="2"/>
  <c r="BM315" i="2"/>
  <c r="BM316" i="2"/>
  <c r="BM317" i="2"/>
  <c r="BM318" i="2"/>
  <c r="BM319" i="2"/>
  <c r="BM320" i="2"/>
  <c r="BM321" i="2"/>
  <c r="BM322" i="2"/>
  <c r="BM323" i="2"/>
  <c r="BM324" i="2"/>
  <c r="BM325" i="2"/>
  <c r="BM326" i="2"/>
  <c r="BM327" i="2"/>
  <c r="BM328" i="2"/>
  <c r="BM329" i="2"/>
  <c r="BM330" i="2"/>
  <c r="BM331" i="2"/>
  <c r="BM332" i="2"/>
  <c r="BM333" i="2"/>
  <c r="BM334" i="2"/>
  <c r="BM335" i="2"/>
  <c r="BM336" i="2"/>
  <c r="BM337" i="2"/>
  <c r="BM338" i="2"/>
  <c r="BM339" i="2"/>
  <c r="BM340" i="2"/>
  <c r="BM341" i="2"/>
  <c r="BM342" i="2"/>
  <c r="BM343" i="2"/>
  <c r="BM344" i="2"/>
  <c r="BM345" i="2"/>
  <c r="BM346" i="2"/>
  <c r="BM347" i="2"/>
  <c r="BM348" i="2"/>
  <c r="BM349" i="2"/>
  <c r="BM350" i="2"/>
  <c r="BM351" i="2"/>
  <c r="BM352" i="2"/>
  <c r="BM353" i="2"/>
  <c r="BM354" i="2"/>
  <c r="BM355" i="2"/>
  <c r="BM356" i="2"/>
  <c r="BM357" i="2"/>
  <c r="BM358" i="2"/>
  <c r="BM359" i="2"/>
  <c r="BM360" i="2"/>
  <c r="BM361" i="2"/>
  <c r="BM362" i="2"/>
  <c r="BM363" i="2"/>
  <c r="BM364" i="2"/>
  <c r="CV364" i="2" s="1" a="1"/>
  <c r="CV364" i="2" s="1"/>
  <c r="BM365" i="2"/>
  <c r="CV365" i="2" s="1" a="1"/>
  <c r="CV365" i="2" s="1"/>
  <c r="BM366" i="2"/>
  <c r="BM367" i="2"/>
  <c r="BM368" i="2"/>
  <c r="BM369" i="2"/>
  <c r="BM370" i="2"/>
  <c r="BM371" i="2"/>
  <c r="BM372" i="2"/>
  <c r="BM373" i="2"/>
  <c r="BM374" i="2"/>
  <c r="BM375" i="2"/>
  <c r="BM376" i="2"/>
  <c r="BM377" i="2"/>
  <c r="BM378" i="2"/>
  <c r="BM379" i="2"/>
  <c r="BM380" i="2"/>
  <c r="BM381" i="2"/>
  <c r="BM382" i="2"/>
  <c r="BM383" i="2"/>
  <c r="BM384" i="2"/>
  <c r="BM385" i="2"/>
  <c r="BM386" i="2"/>
  <c r="BM387" i="2"/>
  <c r="BM388" i="2"/>
  <c r="BM389" i="2"/>
  <c r="BM390" i="2"/>
  <c r="BM391" i="2"/>
  <c r="BM392" i="2"/>
  <c r="BM393" i="2"/>
  <c r="BM394" i="2"/>
  <c r="BM395" i="2"/>
  <c r="BM396" i="2"/>
  <c r="BM397" i="2"/>
  <c r="BM398" i="2"/>
  <c r="BM399" i="2"/>
  <c r="BM400" i="2"/>
  <c r="BM401" i="2"/>
  <c r="BM402" i="2"/>
  <c r="BM403" i="2"/>
  <c r="BM404" i="2"/>
  <c r="BM405" i="2"/>
  <c r="BM406" i="2"/>
  <c r="BM407" i="2"/>
  <c r="BM408" i="2"/>
  <c r="BM409" i="2"/>
  <c r="BM410" i="2"/>
  <c r="BM411" i="2"/>
  <c r="BM412" i="2"/>
  <c r="BM413" i="2"/>
  <c r="BM414" i="2"/>
  <c r="BM415" i="2"/>
  <c r="BM416" i="2"/>
  <c r="BM417" i="2"/>
  <c r="BM418" i="2"/>
  <c r="BM419" i="2"/>
  <c r="BM420" i="2"/>
  <c r="BM421" i="2"/>
  <c r="BM422" i="2"/>
  <c r="BM423" i="2"/>
  <c r="BM424" i="2"/>
  <c r="BM425" i="2"/>
  <c r="BM426" i="2"/>
  <c r="BM427" i="2"/>
  <c r="BM428" i="2"/>
  <c r="BM429" i="2"/>
  <c r="BM430" i="2"/>
  <c r="BM431" i="2"/>
  <c r="BM432" i="2"/>
  <c r="BM433" i="2"/>
  <c r="BM434" i="2"/>
  <c r="BM435" i="2"/>
  <c r="BM436" i="2"/>
  <c r="BM437" i="2"/>
  <c r="BM438" i="2"/>
  <c r="BM439" i="2"/>
  <c r="BM440" i="2"/>
  <c r="BM441" i="2"/>
  <c r="BM442" i="2"/>
  <c r="BM443" i="2"/>
  <c r="BM444" i="2"/>
  <c r="BM445" i="2"/>
  <c r="BM446" i="2"/>
  <c r="BM447" i="2"/>
  <c r="BM448" i="2"/>
  <c r="BM449" i="2"/>
  <c r="BM450" i="2"/>
  <c r="BM451" i="2"/>
  <c r="BM452" i="2"/>
  <c r="BM453" i="2"/>
  <c r="BM454" i="2"/>
  <c r="BM455" i="2"/>
  <c r="BM456" i="2"/>
  <c r="BM457" i="2"/>
  <c r="BM458" i="2"/>
  <c r="BM459" i="2"/>
  <c r="BM460" i="2"/>
  <c r="BM461" i="2"/>
  <c r="BM462" i="2"/>
  <c r="BM463" i="2"/>
  <c r="BM464" i="2"/>
  <c r="BM465" i="2"/>
  <c r="BM466" i="2"/>
  <c r="BM467" i="2"/>
  <c r="BM468" i="2"/>
  <c r="BM469" i="2"/>
  <c r="BM470" i="2"/>
  <c r="BM471" i="2"/>
  <c r="BM472" i="2"/>
  <c r="BM473" i="2"/>
  <c r="BM474" i="2"/>
  <c r="BM475" i="2"/>
  <c r="BM476" i="2"/>
  <c r="BM477" i="2"/>
  <c r="BM478" i="2"/>
  <c r="BM479" i="2"/>
  <c r="BM480" i="2"/>
  <c r="BM481" i="2"/>
  <c r="BM482" i="2"/>
  <c r="BM483" i="2"/>
  <c r="BM484" i="2"/>
  <c r="BM485" i="2"/>
  <c r="BM486" i="2"/>
  <c r="BM487" i="2"/>
  <c r="BM488" i="2"/>
  <c r="BM489" i="2"/>
  <c r="BM490" i="2"/>
  <c r="BM491" i="2"/>
  <c r="BM492" i="2"/>
  <c r="BM493" i="2"/>
  <c r="BM494" i="2"/>
  <c r="BM495" i="2"/>
  <c r="BM496" i="2"/>
  <c r="BM497" i="2"/>
  <c r="BM498" i="2"/>
  <c r="BM499" i="2"/>
  <c r="BM500" i="2"/>
  <c r="BM501" i="2"/>
  <c r="BM502" i="2"/>
  <c r="BM503" i="2"/>
  <c r="BM504" i="2"/>
  <c r="BM505" i="2"/>
  <c r="BM506" i="2"/>
  <c r="BM507" i="2"/>
  <c r="BM508" i="2"/>
  <c r="BM509" i="2"/>
  <c r="BM510" i="2"/>
  <c r="BM511" i="2"/>
  <c r="BM512" i="2"/>
  <c r="BM513" i="2"/>
  <c r="BM514" i="2"/>
  <c r="BM515" i="2"/>
  <c r="BM516" i="2"/>
  <c r="BM517" i="2"/>
  <c r="BM518" i="2"/>
  <c r="BM519" i="2"/>
  <c r="BM520" i="2"/>
  <c r="BM521" i="2"/>
  <c r="BM522" i="2"/>
  <c r="BM523" i="2"/>
  <c r="BM524" i="2"/>
  <c r="BM525" i="2"/>
  <c r="BM526" i="2"/>
  <c r="BM527" i="2"/>
  <c r="BM528" i="2"/>
  <c r="BM529" i="2"/>
  <c r="BM530" i="2"/>
  <c r="BM531" i="2"/>
  <c r="BM532" i="2"/>
  <c r="BM533" i="2"/>
  <c r="BM534" i="2"/>
  <c r="BM535" i="2"/>
  <c r="BM536" i="2"/>
  <c r="BM537" i="2"/>
  <c r="BM538" i="2"/>
  <c r="BM539" i="2"/>
  <c r="BM540" i="2"/>
  <c r="BM541" i="2"/>
  <c r="BM542" i="2"/>
  <c r="BM543" i="2"/>
  <c r="BM544" i="2"/>
  <c r="BM545" i="2"/>
  <c r="BM546" i="2"/>
  <c r="BM547" i="2"/>
  <c r="BM548" i="2"/>
  <c r="BM549" i="2"/>
  <c r="BM550" i="2"/>
  <c r="BM551" i="2"/>
  <c r="BM552" i="2"/>
  <c r="BM553" i="2"/>
  <c r="BM554" i="2"/>
  <c r="BM555" i="2"/>
  <c r="BM556" i="2"/>
  <c r="BM557" i="2"/>
  <c r="BM558" i="2"/>
  <c r="BM559" i="2"/>
  <c r="BM560" i="2"/>
  <c r="CV560" i="2" s="1" a="1"/>
  <c r="CV560" i="2" s="1"/>
  <c r="BM561" i="2"/>
  <c r="BM562" i="2"/>
  <c r="BM563" i="2"/>
  <c r="BM564" i="2"/>
  <c r="BM565" i="2"/>
  <c r="BM566" i="2"/>
  <c r="BM567" i="2"/>
  <c r="BM568" i="2"/>
  <c r="BM569" i="2"/>
  <c r="BM570" i="2"/>
  <c r="BM571" i="2"/>
  <c r="BM572" i="2"/>
  <c r="BM573" i="2"/>
  <c r="BM574" i="2"/>
  <c r="BM575" i="2"/>
  <c r="BM576" i="2"/>
  <c r="BM577" i="2"/>
  <c r="BM578" i="2"/>
  <c r="BM579" i="2"/>
  <c r="BM580" i="2"/>
  <c r="BM581" i="2"/>
  <c r="BM582" i="2"/>
  <c r="BM583" i="2"/>
  <c r="BM584" i="2"/>
  <c r="BM585" i="2"/>
  <c r="BM586" i="2"/>
  <c r="BM587" i="2"/>
  <c r="BM588" i="2"/>
  <c r="CT588" i="2" s="1" a="1"/>
  <c r="CT588" i="2" s="1"/>
  <c r="BM589" i="2"/>
  <c r="BM590" i="2"/>
  <c r="BM591" i="2"/>
  <c r="BM592" i="2"/>
  <c r="BM593" i="2"/>
  <c r="BM594" i="2"/>
  <c r="BM595" i="2"/>
  <c r="BM596" i="2"/>
  <c r="BM597" i="2"/>
  <c r="BM598" i="2"/>
  <c r="BM599" i="2"/>
  <c r="BM600" i="2"/>
  <c r="BM601" i="2"/>
  <c r="BM602" i="2"/>
  <c r="CU602" i="2" s="1" a="1"/>
  <c r="CU602" i="2" s="1"/>
  <c r="BM603" i="2"/>
  <c r="BM604" i="2"/>
  <c r="BM605" i="2"/>
  <c r="BM606" i="2"/>
  <c r="BM607" i="2"/>
  <c r="BM608" i="2"/>
  <c r="BM609" i="2"/>
  <c r="BM610" i="2"/>
  <c r="BM611" i="2"/>
  <c r="BM612" i="2"/>
  <c r="BM613" i="2"/>
  <c r="BM614" i="2"/>
  <c r="BM615" i="2"/>
  <c r="BM616" i="2"/>
  <c r="BM617" i="2"/>
  <c r="BM618" i="2"/>
  <c r="BM619" i="2"/>
  <c r="BM620" i="2"/>
  <c r="BM621" i="2"/>
  <c r="BM622" i="2"/>
  <c r="BM623" i="2"/>
  <c r="BM624" i="2"/>
  <c r="BM625" i="2"/>
  <c r="BM626" i="2"/>
  <c r="BM627" i="2"/>
  <c r="BM628" i="2"/>
  <c r="BM629" i="2"/>
  <c r="BM630" i="2"/>
  <c r="BM631" i="2"/>
  <c r="BM632" i="2"/>
  <c r="BM633" i="2"/>
  <c r="BM634" i="2"/>
  <c r="BM635" i="2"/>
  <c r="BM636" i="2"/>
  <c r="BM637" i="2"/>
  <c r="BM638" i="2"/>
  <c r="BM639" i="2"/>
  <c r="BM640" i="2"/>
  <c r="BM641" i="2"/>
  <c r="BM642" i="2"/>
  <c r="BM643" i="2"/>
  <c r="BM644" i="2"/>
  <c r="BM645" i="2"/>
  <c r="BM646" i="2"/>
  <c r="BM647" i="2"/>
  <c r="BM648" i="2"/>
  <c r="BM649" i="2"/>
  <c r="BM650" i="2"/>
  <c r="BM651" i="2"/>
  <c r="BM652" i="2"/>
  <c r="BM653" i="2"/>
  <c r="BM654" i="2"/>
  <c r="BM655" i="2"/>
  <c r="BM656" i="2"/>
  <c r="BM657" i="2"/>
  <c r="BM658" i="2"/>
  <c r="BM659" i="2"/>
  <c r="BM660" i="2"/>
  <c r="BM661" i="2"/>
  <c r="BM662" i="2"/>
  <c r="BM663" i="2"/>
  <c r="BM664" i="2"/>
  <c r="BM665" i="2"/>
  <c r="BM666" i="2"/>
  <c r="BM667" i="2"/>
  <c r="BM668" i="2"/>
  <c r="BM669" i="2"/>
  <c r="BM670" i="2"/>
  <c r="BM671" i="2"/>
  <c r="BM672" i="2"/>
  <c r="BM673" i="2"/>
  <c r="BM674" i="2"/>
  <c r="BM675" i="2"/>
  <c r="BM676" i="2"/>
  <c r="BM677" i="2"/>
  <c r="BM678" i="2"/>
  <c r="BM679" i="2"/>
  <c r="BM680" i="2"/>
  <c r="BM681" i="2"/>
  <c r="BM682" i="2"/>
  <c r="BM683" i="2"/>
  <c r="BM684" i="2"/>
  <c r="BM685" i="2"/>
  <c r="BM686" i="2"/>
  <c r="BM687" i="2"/>
  <c r="BM688" i="2"/>
  <c r="BM689" i="2"/>
  <c r="BM690" i="2"/>
  <c r="BM691" i="2"/>
  <c r="BM692" i="2"/>
  <c r="BM693" i="2"/>
  <c r="BM694" i="2"/>
  <c r="BM695" i="2"/>
  <c r="BM696" i="2"/>
  <c r="BM697" i="2"/>
  <c r="BM698" i="2"/>
  <c r="BM699" i="2"/>
  <c r="BM700" i="2"/>
  <c r="CV700" i="2" s="1" a="1"/>
  <c r="CV700" i="2" s="1"/>
  <c r="BM701" i="2"/>
  <c r="CV701" i="2" s="1" a="1"/>
  <c r="CV701" i="2" s="1"/>
  <c r="BM702" i="2"/>
  <c r="BM703" i="2"/>
  <c r="BM704" i="2"/>
  <c r="BM705" i="2"/>
  <c r="BN2" i="2"/>
  <c r="BN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79" i="2"/>
  <c r="BN80" i="2"/>
  <c r="BN81" i="2"/>
  <c r="BN82" i="2"/>
  <c r="BN83" i="2"/>
  <c r="BN84" i="2"/>
  <c r="BN85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BN101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N119" i="2"/>
  <c r="BN120" i="2"/>
  <c r="BN121" i="2"/>
  <c r="BN122" i="2"/>
  <c r="BN123" i="2"/>
  <c r="BN124" i="2"/>
  <c r="BN125" i="2"/>
  <c r="BN126" i="2"/>
  <c r="BN127" i="2"/>
  <c r="BN128" i="2"/>
  <c r="BN129" i="2"/>
  <c r="BN130" i="2"/>
  <c r="BN131" i="2"/>
  <c r="BN132" i="2"/>
  <c r="BN133" i="2"/>
  <c r="BN134" i="2"/>
  <c r="BN135" i="2"/>
  <c r="BN136" i="2"/>
  <c r="BN137" i="2"/>
  <c r="BN138" i="2"/>
  <c r="BN139" i="2"/>
  <c r="BN140" i="2"/>
  <c r="BN141" i="2"/>
  <c r="BN142" i="2"/>
  <c r="BN143" i="2"/>
  <c r="BN144" i="2"/>
  <c r="BN145" i="2"/>
  <c r="BN146" i="2"/>
  <c r="BN147" i="2"/>
  <c r="BN148" i="2"/>
  <c r="BN149" i="2"/>
  <c r="BN150" i="2"/>
  <c r="BN151" i="2"/>
  <c r="BN152" i="2"/>
  <c r="BN153" i="2"/>
  <c r="BN154" i="2"/>
  <c r="BN155" i="2"/>
  <c r="BN156" i="2"/>
  <c r="BN157" i="2"/>
  <c r="BN158" i="2"/>
  <c r="BN159" i="2"/>
  <c r="BN160" i="2"/>
  <c r="BN161" i="2"/>
  <c r="BN162" i="2"/>
  <c r="BN163" i="2"/>
  <c r="BN164" i="2"/>
  <c r="BN165" i="2"/>
  <c r="BN166" i="2"/>
  <c r="BN167" i="2"/>
  <c r="BN168" i="2"/>
  <c r="BN169" i="2"/>
  <c r="BN170" i="2"/>
  <c r="BN171" i="2"/>
  <c r="BN172" i="2"/>
  <c r="BN173" i="2"/>
  <c r="BN174" i="2"/>
  <c r="BN175" i="2"/>
  <c r="BN176" i="2"/>
  <c r="BN177" i="2"/>
  <c r="BN178" i="2"/>
  <c r="BN179" i="2"/>
  <c r="BN180" i="2"/>
  <c r="BN181" i="2"/>
  <c r="BN182" i="2"/>
  <c r="BN183" i="2"/>
  <c r="BN184" i="2"/>
  <c r="BN185" i="2"/>
  <c r="BN186" i="2"/>
  <c r="BN187" i="2"/>
  <c r="BN188" i="2"/>
  <c r="BN189" i="2"/>
  <c r="BN190" i="2"/>
  <c r="BN191" i="2"/>
  <c r="BN192" i="2"/>
  <c r="BN193" i="2"/>
  <c r="BN194" i="2"/>
  <c r="BN195" i="2"/>
  <c r="BN196" i="2"/>
  <c r="BN197" i="2"/>
  <c r="BN198" i="2"/>
  <c r="BN199" i="2"/>
  <c r="BN200" i="2"/>
  <c r="BN201" i="2"/>
  <c r="BN202" i="2"/>
  <c r="BN203" i="2"/>
  <c r="BN204" i="2"/>
  <c r="BN205" i="2"/>
  <c r="BN206" i="2"/>
  <c r="BN207" i="2"/>
  <c r="BN208" i="2"/>
  <c r="BN209" i="2"/>
  <c r="BN210" i="2"/>
  <c r="BN211" i="2"/>
  <c r="BN212" i="2"/>
  <c r="BN213" i="2"/>
  <c r="BN214" i="2"/>
  <c r="BN215" i="2"/>
  <c r="BN216" i="2"/>
  <c r="BN217" i="2"/>
  <c r="BN218" i="2"/>
  <c r="BN219" i="2"/>
  <c r="BN220" i="2"/>
  <c r="BN221" i="2"/>
  <c r="BN222" i="2"/>
  <c r="BN223" i="2"/>
  <c r="BN224" i="2"/>
  <c r="BN225" i="2"/>
  <c r="BN226" i="2"/>
  <c r="BN227" i="2"/>
  <c r="BN228" i="2"/>
  <c r="BN229" i="2"/>
  <c r="BN230" i="2"/>
  <c r="BN231" i="2"/>
  <c r="BN232" i="2"/>
  <c r="BN233" i="2"/>
  <c r="BN234" i="2"/>
  <c r="BN235" i="2"/>
  <c r="BN236" i="2"/>
  <c r="BN237" i="2"/>
  <c r="BN238" i="2"/>
  <c r="BN239" i="2"/>
  <c r="BN240" i="2"/>
  <c r="BN241" i="2"/>
  <c r="BN242" i="2"/>
  <c r="BN243" i="2"/>
  <c r="BN244" i="2"/>
  <c r="BN245" i="2"/>
  <c r="BN246" i="2"/>
  <c r="BN247" i="2"/>
  <c r="BN248" i="2"/>
  <c r="BN249" i="2"/>
  <c r="BN250" i="2"/>
  <c r="BN251" i="2"/>
  <c r="BN252" i="2"/>
  <c r="BN253" i="2"/>
  <c r="BN254" i="2"/>
  <c r="BN255" i="2"/>
  <c r="BN256" i="2"/>
  <c r="BN257" i="2"/>
  <c r="BN258" i="2"/>
  <c r="BN259" i="2"/>
  <c r="BN260" i="2"/>
  <c r="BN261" i="2"/>
  <c r="BN262" i="2"/>
  <c r="BN263" i="2"/>
  <c r="BN264" i="2"/>
  <c r="BN265" i="2"/>
  <c r="BN266" i="2"/>
  <c r="BN267" i="2"/>
  <c r="BN268" i="2"/>
  <c r="BN269" i="2"/>
  <c r="BN270" i="2"/>
  <c r="BN271" i="2"/>
  <c r="BN272" i="2"/>
  <c r="BN273" i="2"/>
  <c r="BN274" i="2"/>
  <c r="BN275" i="2"/>
  <c r="BN276" i="2"/>
  <c r="BN277" i="2"/>
  <c r="BN278" i="2"/>
  <c r="BN279" i="2"/>
  <c r="BN280" i="2"/>
  <c r="BN281" i="2"/>
  <c r="BN282" i="2"/>
  <c r="BN283" i="2"/>
  <c r="BN284" i="2"/>
  <c r="BN285" i="2"/>
  <c r="BN286" i="2"/>
  <c r="BN287" i="2"/>
  <c r="BN288" i="2"/>
  <c r="BN289" i="2"/>
  <c r="BN290" i="2"/>
  <c r="BN291" i="2"/>
  <c r="BN292" i="2"/>
  <c r="BN293" i="2"/>
  <c r="BN294" i="2"/>
  <c r="BN295" i="2"/>
  <c r="BN296" i="2"/>
  <c r="BN297" i="2"/>
  <c r="BN298" i="2"/>
  <c r="BN299" i="2"/>
  <c r="BN300" i="2"/>
  <c r="BN301" i="2"/>
  <c r="BN302" i="2"/>
  <c r="BN303" i="2"/>
  <c r="BN304" i="2"/>
  <c r="BN305" i="2"/>
  <c r="BN306" i="2"/>
  <c r="BN307" i="2"/>
  <c r="BN308" i="2"/>
  <c r="BN309" i="2"/>
  <c r="BN310" i="2"/>
  <c r="BN311" i="2"/>
  <c r="BN312" i="2"/>
  <c r="BN313" i="2"/>
  <c r="BN314" i="2"/>
  <c r="BN315" i="2"/>
  <c r="BN316" i="2"/>
  <c r="BN317" i="2"/>
  <c r="BN318" i="2"/>
  <c r="BN319" i="2"/>
  <c r="BN320" i="2"/>
  <c r="BN321" i="2"/>
  <c r="BN322" i="2"/>
  <c r="BN323" i="2"/>
  <c r="BN324" i="2"/>
  <c r="BN325" i="2"/>
  <c r="BN326" i="2"/>
  <c r="BN327" i="2"/>
  <c r="BN328" i="2"/>
  <c r="BN329" i="2"/>
  <c r="BN330" i="2"/>
  <c r="BN331" i="2"/>
  <c r="BN332" i="2"/>
  <c r="BN333" i="2"/>
  <c r="BN334" i="2"/>
  <c r="BN335" i="2"/>
  <c r="BN336" i="2"/>
  <c r="BN337" i="2"/>
  <c r="BN338" i="2"/>
  <c r="BN339" i="2"/>
  <c r="BN340" i="2"/>
  <c r="BN341" i="2"/>
  <c r="BN342" i="2"/>
  <c r="BN343" i="2"/>
  <c r="BN344" i="2"/>
  <c r="BN345" i="2"/>
  <c r="BN346" i="2"/>
  <c r="BN347" i="2"/>
  <c r="BN348" i="2"/>
  <c r="BN349" i="2"/>
  <c r="BN350" i="2"/>
  <c r="BN351" i="2"/>
  <c r="BN352" i="2"/>
  <c r="BN353" i="2"/>
  <c r="BN354" i="2"/>
  <c r="BN355" i="2"/>
  <c r="BN356" i="2"/>
  <c r="BN357" i="2"/>
  <c r="BN358" i="2"/>
  <c r="BN359" i="2"/>
  <c r="BN360" i="2"/>
  <c r="BN361" i="2"/>
  <c r="BN362" i="2"/>
  <c r="BN363" i="2"/>
  <c r="BN364" i="2"/>
  <c r="BN365" i="2"/>
  <c r="BN366" i="2"/>
  <c r="BN367" i="2"/>
  <c r="BN368" i="2"/>
  <c r="BN369" i="2"/>
  <c r="BN370" i="2"/>
  <c r="BN371" i="2"/>
  <c r="BN372" i="2"/>
  <c r="BN373" i="2"/>
  <c r="BN374" i="2"/>
  <c r="BN375" i="2"/>
  <c r="BN376" i="2"/>
  <c r="BN377" i="2"/>
  <c r="BN378" i="2"/>
  <c r="BN379" i="2"/>
  <c r="BN380" i="2"/>
  <c r="BN381" i="2"/>
  <c r="BN382" i="2"/>
  <c r="BN383" i="2"/>
  <c r="BN384" i="2"/>
  <c r="BN385" i="2"/>
  <c r="BN386" i="2"/>
  <c r="BN387" i="2"/>
  <c r="BN388" i="2"/>
  <c r="BN389" i="2"/>
  <c r="BN390" i="2"/>
  <c r="BN391" i="2"/>
  <c r="BN392" i="2"/>
  <c r="BN393" i="2"/>
  <c r="BN394" i="2"/>
  <c r="BN395" i="2"/>
  <c r="BN396" i="2"/>
  <c r="BN397" i="2"/>
  <c r="BN398" i="2"/>
  <c r="BN399" i="2"/>
  <c r="BN400" i="2"/>
  <c r="BN401" i="2"/>
  <c r="BN402" i="2"/>
  <c r="BN403" i="2"/>
  <c r="BN404" i="2"/>
  <c r="BN405" i="2"/>
  <c r="BN406" i="2"/>
  <c r="BN407" i="2"/>
  <c r="BN408" i="2"/>
  <c r="BN409" i="2"/>
  <c r="BN410" i="2"/>
  <c r="BN411" i="2"/>
  <c r="BN412" i="2"/>
  <c r="BN413" i="2"/>
  <c r="BN414" i="2"/>
  <c r="BN415" i="2"/>
  <c r="BN416" i="2"/>
  <c r="BN417" i="2"/>
  <c r="BN418" i="2"/>
  <c r="BN419" i="2"/>
  <c r="BN420" i="2"/>
  <c r="BN421" i="2"/>
  <c r="BN422" i="2"/>
  <c r="BN423" i="2"/>
  <c r="BN424" i="2"/>
  <c r="BN425" i="2"/>
  <c r="BN426" i="2"/>
  <c r="BN427" i="2"/>
  <c r="BN428" i="2"/>
  <c r="BN429" i="2"/>
  <c r="BN430" i="2"/>
  <c r="BN431" i="2"/>
  <c r="BN432" i="2"/>
  <c r="BN433" i="2"/>
  <c r="BN434" i="2"/>
  <c r="BN435" i="2"/>
  <c r="BN436" i="2"/>
  <c r="BN437" i="2"/>
  <c r="BN438" i="2"/>
  <c r="BN439" i="2"/>
  <c r="BN440" i="2"/>
  <c r="BN441" i="2"/>
  <c r="BN442" i="2"/>
  <c r="BN443" i="2"/>
  <c r="BN444" i="2"/>
  <c r="BN445" i="2"/>
  <c r="BN446" i="2"/>
  <c r="BN447" i="2"/>
  <c r="BN448" i="2"/>
  <c r="BN449" i="2"/>
  <c r="BN450" i="2"/>
  <c r="BN451" i="2"/>
  <c r="BN452" i="2"/>
  <c r="BN453" i="2"/>
  <c r="BN454" i="2"/>
  <c r="BN455" i="2"/>
  <c r="BN456" i="2"/>
  <c r="BN457" i="2"/>
  <c r="BN458" i="2"/>
  <c r="BN459" i="2"/>
  <c r="BN460" i="2"/>
  <c r="BN461" i="2"/>
  <c r="BN462" i="2"/>
  <c r="BN463" i="2"/>
  <c r="BN464" i="2"/>
  <c r="BN465" i="2"/>
  <c r="BN466" i="2"/>
  <c r="BN467" i="2"/>
  <c r="BN468" i="2"/>
  <c r="BN469" i="2"/>
  <c r="BN470" i="2"/>
  <c r="BN471" i="2"/>
  <c r="BN472" i="2"/>
  <c r="BN473" i="2"/>
  <c r="BN474" i="2"/>
  <c r="BN475" i="2"/>
  <c r="BN476" i="2"/>
  <c r="BN477" i="2"/>
  <c r="BN478" i="2"/>
  <c r="BN479" i="2"/>
  <c r="BN480" i="2"/>
  <c r="BN481" i="2"/>
  <c r="BN482" i="2"/>
  <c r="BN483" i="2"/>
  <c r="BN484" i="2"/>
  <c r="BN485" i="2"/>
  <c r="BN486" i="2"/>
  <c r="BN487" i="2"/>
  <c r="BN488" i="2"/>
  <c r="BN489" i="2"/>
  <c r="BN490" i="2"/>
  <c r="BN491" i="2"/>
  <c r="BN492" i="2"/>
  <c r="BN493" i="2"/>
  <c r="BN494" i="2"/>
  <c r="BN495" i="2"/>
  <c r="BN496" i="2"/>
  <c r="BN497" i="2"/>
  <c r="BN498" i="2"/>
  <c r="BN499" i="2"/>
  <c r="BN500" i="2"/>
  <c r="BN501" i="2"/>
  <c r="BN502" i="2"/>
  <c r="BN503" i="2"/>
  <c r="BN504" i="2"/>
  <c r="BN505" i="2"/>
  <c r="BN506" i="2"/>
  <c r="BN507" i="2"/>
  <c r="BN508" i="2"/>
  <c r="BN509" i="2"/>
  <c r="BN510" i="2"/>
  <c r="BN511" i="2"/>
  <c r="BN512" i="2"/>
  <c r="BN513" i="2"/>
  <c r="BN514" i="2"/>
  <c r="BN515" i="2"/>
  <c r="BN516" i="2"/>
  <c r="BN517" i="2"/>
  <c r="BN518" i="2"/>
  <c r="BN519" i="2"/>
  <c r="BN520" i="2"/>
  <c r="BN521" i="2"/>
  <c r="BN522" i="2"/>
  <c r="BN523" i="2"/>
  <c r="BN524" i="2"/>
  <c r="BN525" i="2"/>
  <c r="BN526" i="2"/>
  <c r="BN527" i="2"/>
  <c r="BN528" i="2"/>
  <c r="BN529" i="2"/>
  <c r="BN530" i="2"/>
  <c r="BN531" i="2"/>
  <c r="BN532" i="2"/>
  <c r="BN533" i="2"/>
  <c r="BN534" i="2"/>
  <c r="BN535" i="2"/>
  <c r="BN536" i="2"/>
  <c r="BN537" i="2"/>
  <c r="BN538" i="2"/>
  <c r="BN539" i="2"/>
  <c r="BN540" i="2"/>
  <c r="BN541" i="2"/>
  <c r="BN542" i="2"/>
  <c r="BN543" i="2"/>
  <c r="BN544" i="2"/>
  <c r="BN545" i="2"/>
  <c r="BN546" i="2"/>
  <c r="BN547" i="2"/>
  <c r="BN548" i="2"/>
  <c r="BN549" i="2"/>
  <c r="BN550" i="2"/>
  <c r="BN551" i="2"/>
  <c r="BN552" i="2"/>
  <c r="BN553" i="2"/>
  <c r="BN554" i="2"/>
  <c r="BN555" i="2"/>
  <c r="BN556" i="2"/>
  <c r="BN557" i="2"/>
  <c r="BN558" i="2"/>
  <c r="BN559" i="2"/>
  <c r="BN560" i="2"/>
  <c r="BN561" i="2"/>
  <c r="BN562" i="2"/>
  <c r="BN563" i="2"/>
  <c r="BN564" i="2"/>
  <c r="BN565" i="2"/>
  <c r="BN566" i="2"/>
  <c r="BN567" i="2"/>
  <c r="BN568" i="2"/>
  <c r="BN569" i="2"/>
  <c r="BN570" i="2"/>
  <c r="BN571" i="2"/>
  <c r="BN572" i="2"/>
  <c r="BN573" i="2"/>
  <c r="BN574" i="2"/>
  <c r="BN575" i="2"/>
  <c r="BN576" i="2"/>
  <c r="BN577" i="2"/>
  <c r="BN578" i="2"/>
  <c r="BN579" i="2"/>
  <c r="BN580" i="2"/>
  <c r="BN581" i="2"/>
  <c r="BN582" i="2"/>
  <c r="BN583" i="2"/>
  <c r="BN584" i="2"/>
  <c r="BN585" i="2"/>
  <c r="BN586" i="2"/>
  <c r="BN587" i="2"/>
  <c r="BN588" i="2"/>
  <c r="BN589" i="2"/>
  <c r="BN590" i="2"/>
  <c r="BN591" i="2"/>
  <c r="BN592" i="2"/>
  <c r="BN593" i="2"/>
  <c r="BN594" i="2"/>
  <c r="BN595" i="2"/>
  <c r="BN596" i="2"/>
  <c r="BN597" i="2"/>
  <c r="BN598" i="2"/>
  <c r="BN599" i="2"/>
  <c r="BN600" i="2"/>
  <c r="BN601" i="2"/>
  <c r="BN602" i="2"/>
  <c r="BN603" i="2"/>
  <c r="BN604" i="2"/>
  <c r="BN605" i="2"/>
  <c r="BN606" i="2"/>
  <c r="BN607" i="2"/>
  <c r="BN608" i="2"/>
  <c r="BN609" i="2"/>
  <c r="BN610" i="2"/>
  <c r="BN611" i="2"/>
  <c r="BN612" i="2"/>
  <c r="BN613" i="2"/>
  <c r="BN614" i="2"/>
  <c r="BN615" i="2"/>
  <c r="BN616" i="2"/>
  <c r="BN617" i="2"/>
  <c r="BN618" i="2"/>
  <c r="BN619" i="2"/>
  <c r="BN620" i="2"/>
  <c r="BN621" i="2"/>
  <c r="BN622" i="2"/>
  <c r="BN623" i="2"/>
  <c r="BN624" i="2"/>
  <c r="BN625" i="2"/>
  <c r="BN626" i="2"/>
  <c r="BN627" i="2"/>
  <c r="BN628" i="2"/>
  <c r="BN629" i="2"/>
  <c r="BN630" i="2"/>
  <c r="BN631" i="2"/>
  <c r="BN632" i="2"/>
  <c r="BN633" i="2"/>
  <c r="BN634" i="2"/>
  <c r="BN635" i="2"/>
  <c r="BN636" i="2"/>
  <c r="BN637" i="2"/>
  <c r="BN638" i="2"/>
  <c r="BN639" i="2"/>
  <c r="BN640" i="2"/>
  <c r="BN641" i="2"/>
  <c r="BN642" i="2"/>
  <c r="BN643" i="2"/>
  <c r="BN644" i="2"/>
  <c r="BN645" i="2"/>
  <c r="BN646" i="2"/>
  <c r="BN647" i="2"/>
  <c r="BN648" i="2"/>
  <c r="BN649" i="2"/>
  <c r="BN650" i="2"/>
  <c r="BN651" i="2"/>
  <c r="BN652" i="2"/>
  <c r="BN653" i="2"/>
  <c r="BN654" i="2"/>
  <c r="BN655" i="2"/>
  <c r="BN656" i="2"/>
  <c r="BN657" i="2"/>
  <c r="BN658" i="2"/>
  <c r="BN659" i="2"/>
  <c r="BN660" i="2"/>
  <c r="BN661" i="2"/>
  <c r="BN662" i="2"/>
  <c r="BN663" i="2"/>
  <c r="BN664" i="2"/>
  <c r="BN665" i="2"/>
  <c r="BN666" i="2"/>
  <c r="BN667" i="2"/>
  <c r="BN668" i="2"/>
  <c r="BN669" i="2"/>
  <c r="BN670" i="2"/>
  <c r="BN671" i="2"/>
  <c r="BN672" i="2"/>
  <c r="BN673" i="2"/>
  <c r="BN674" i="2"/>
  <c r="BN675" i="2"/>
  <c r="BN676" i="2"/>
  <c r="BN677" i="2"/>
  <c r="BN678" i="2"/>
  <c r="BN679" i="2"/>
  <c r="BN680" i="2"/>
  <c r="BN681" i="2"/>
  <c r="BN682" i="2"/>
  <c r="BN683" i="2"/>
  <c r="BN684" i="2"/>
  <c r="BN685" i="2"/>
  <c r="BN686" i="2"/>
  <c r="BN687" i="2"/>
  <c r="BN688" i="2"/>
  <c r="BN689" i="2"/>
  <c r="BN690" i="2"/>
  <c r="BN691" i="2"/>
  <c r="BN692" i="2"/>
  <c r="BN693" i="2"/>
  <c r="BN694" i="2"/>
  <c r="BN695" i="2"/>
  <c r="BN696" i="2"/>
  <c r="BN697" i="2"/>
  <c r="BN698" i="2"/>
  <c r="BN699" i="2"/>
  <c r="BN700" i="2"/>
  <c r="BN701" i="2"/>
  <c r="BN702" i="2"/>
  <c r="BN703" i="2"/>
  <c r="BN704" i="2"/>
  <c r="BN705" i="2"/>
  <c r="BO2" i="2"/>
  <c r="BO3" i="2"/>
  <c r="BO4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3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5" i="2"/>
  <c r="BO106" i="2"/>
  <c r="BO107" i="2"/>
  <c r="BO108" i="2"/>
  <c r="BO109" i="2"/>
  <c r="BO110" i="2"/>
  <c r="BO111" i="2"/>
  <c r="BO112" i="2"/>
  <c r="BO113" i="2"/>
  <c r="BO114" i="2"/>
  <c r="BO115" i="2"/>
  <c r="BO116" i="2"/>
  <c r="BO117" i="2"/>
  <c r="BO118" i="2"/>
  <c r="BO119" i="2"/>
  <c r="BO120" i="2"/>
  <c r="BO121" i="2"/>
  <c r="BO122" i="2"/>
  <c r="BO123" i="2"/>
  <c r="BO124" i="2"/>
  <c r="BO125" i="2"/>
  <c r="BO126" i="2"/>
  <c r="BO127" i="2"/>
  <c r="BO128" i="2"/>
  <c r="BO129" i="2"/>
  <c r="BO130" i="2"/>
  <c r="BO131" i="2"/>
  <c r="BO132" i="2"/>
  <c r="BO133" i="2"/>
  <c r="BO134" i="2"/>
  <c r="BO135" i="2"/>
  <c r="BO136" i="2"/>
  <c r="BO137" i="2"/>
  <c r="BO138" i="2"/>
  <c r="BO139" i="2"/>
  <c r="BO140" i="2"/>
  <c r="BO141" i="2"/>
  <c r="BO142" i="2"/>
  <c r="BO143" i="2"/>
  <c r="BO144" i="2"/>
  <c r="BO145" i="2"/>
  <c r="BO146" i="2"/>
  <c r="BO147" i="2"/>
  <c r="BO148" i="2"/>
  <c r="BO149" i="2"/>
  <c r="BO150" i="2"/>
  <c r="BO151" i="2"/>
  <c r="BO152" i="2"/>
  <c r="BO153" i="2"/>
  <c r="BO154" i="2"/>
  <c r="BO155" i="2"/>
  <c r="BO156" i="2"/>
  <c r="BO157" i="2"/>
  <c r="BO158" i="2"/>
  <c r="BO159" i="2"/>
  <c r="BO160" i="2"/>
  <c r="BO161" i="2"/>
  <c r="BO162" i="2"/>
  <c r="BO163" i="2"/>
  <c r="BO164" i="2"/>
  <c r="BO165" i="2"/>
  <c r="BO166" i="2"/>
  <c r="BO167" i="2"/>
  <c r="BO168" i="2"/>
  <c r="BO169" i="2"/>
  <c r="BO170" i="2"/>
  <c r="BO171" i="2"/>
  <c r="BO172" i="2"/>
  <c r="BO173" i="2"/>
  <c r="BO174" i="2"/>
  <c r="BO175" i="2"/>
  <c r="BO176" i="2"/>
  <c r="BO177" i="2"/>
  <c r="BO178" i="2"/>
  <c r="BO179" i="2"/>
  <c r="BO180" i="2"/>
  <c r="BO181" i="2"/>
  <c r="BO182" i="2"/>
  <c r="BO183" i="2"/>
  <c r="BO184" i="2"/>
  <c r="BO185" i="2"/>
  <c r="BO186" i="2"/>
  <c r="BO187" i="2"/>
  <c r="BO188" i="2"/>
  <c r="BO189" i="2"/>
  <c r="BO190" i="2"/>
  <c r="BO191" i="2"/>
  <c r="BO192" i="2"/>
  <c r="BO193" i="2"/>
  <c r="BO194" i="2"/>
  <c r="BO195" i="2"/>
  <c r="BO196" i="2"/>
  <c r="BO197" i="2"/>
  <c r="BO198" i="2"/>
  <c r="BO199" i="2"/>
  <c r="BO200" i="2"/>
  <c r="BO201" i="2"/>
  <c r="BO202" i="2"/>
  <c r="BO203" i="2"/>
  <c r="BO204" i="2"/>
  <c r="BO205" i="2"/>
  <c r="BO206" i="2"/>
  <c r="BO207" i="2"/>
  <c r="BO208" i="2"/>
  <c r="BO209" i="2"/>
  <c r="BO210" i="2"/>
  <c r="BO211" i="2"/>
  <c r="BO212" i="2"/>
  <c r="BO213" i="2"/>
  <c r="BO214" i="2"/>
  <c r="BO215" i="2"/>
  <c r="BO216" i="2"/>
  <c r="BO217" i="2"/>
  <c r="BO218" i="2"/>
  <c r="BO219" i="2"/>
  <c r="BO220" i="2"/>
  <c r="BO221" i="2"/>
  <c r="BO222" i="2"/>
  <c r="BO223" i="2"/>
  <c r="BO224" i="2"/>
  <c r="BO225" i="2"/>
  <c r="BO226" i="2"/>
  <c r="BO227" i="2"/>
  <c r="BO228" i="2"/>
  <c r="BO229" i="2"/>
  <c r="BO230" i="2"/>
  <c r="BO231" i="2"/>
  <c r="BO232" i="2"/>
  <c r="BO233" i="2"/>
  <c r="BO234" i="2"/>
  <c r="BO235" i="2"/>
  <c r="BO236" i="2"/>
  <c r="BO237" i="2"/>
  <c r="BO238" i="2"/>
  <c r="BO239" i="2"/>
  <c r="BO240" i="2"/>
  <c r="BO241" i="2"/>
  <c r="BO242" i="2"/>
  <c r="BO243" i="2"/>
  <c r="BO244" i="2"/>
  <c r="BO245" i="2"/>
  <c r="BO246" i="2"/>
  <c r="BO247" i="2"/>
  <c r="BO248" i="2"/>
  <c r="BO249" i="2"/>
  <c r="BO250" i="2"/>
  <c r="BO251" i="2"/>
  <c r="BO252" i="2"/>
  <c r="BO253" i="2"/>
  <c r="BO254" i="2"/>
  <c r="BO255" i="2"/>
  <c r="BO256" i="2"/>
  <c r="BO257" i="2"/>
  <c r="BO258" i="2"/>
  <c r="BO259" i="2"/>
  <c r="BO260" i="2"/>
  <c r="BO261" i="2"/>
  <c r="BO262" i="2"/>
  <c r="BO263" i="2"/>
  <c r="BO264" i="2"/>
  <c r="BO265" i="2"/>
  <c r="BO266" i="2"/>
  <c r="BO267" i="2"/>
  <c r="BO268" i="2"/>
  <c r="BO269" i="2"/>
  <c r="BO270" i="2"/>
  <c r="BO271" i="2"/>
  <c r="BO272" i="2"/>
  <c r="BO273" i="2"/>
  <c r="BO274" i="2"/>
  <c r="BO275" i="2"/>
  <c r="BO276" i="2"/>
  <c r="BO277" i="2"/>
  <c r="BO278" i="2"/>
  <c r="BO279" i="2"/>
  <c r="BO280" i="2"/>
  <c r="BO281" i="2"/>
  <c r="BO282" i="2"/>
  <c r="BO283" i="2"/>
  <c r="BO284" i="2"/>
  <c r="BO285" i="2"/>
  <c r="BO286" i="2"/>
  <c r="BO287" i="2"/>
  <c r="BO288" i="2"/>
  <c r="BO289" i="2"/>
  <c r="BO290" i="2"/>
  <c r="BO291" i="2"/>
  <c r="BO292" i="2"/>
  <c r="BO293" i="2"/>
  <c r="BO294" i="2"/>
  <c r="BO295" i="2"/>
  <c r="BO296" i="2"/>
  <c r="BO297" i="2"/>
  <c r="BO298" i="2"/>
  <c r="BO299" i="2"/>
  <c r="BO300" i="2"/>
  <c r="BO301" i="2"/>
  <c r="BO302" i="2"/>
  <c r="BO303" i="2"/>
  <c r="BO304" i="2"/>
  <c r="BO305" i="2"/>
  <c r="BO306" i="2"/>
  <c r="BO307" i="2"/>
  <c r="BO308" i="2"/>
  <c r="BO309" i="2"/>
  <c r="BO310" i="2"/>
  <c r="BO311" i="2"/>
  <c r="BO312" i="2"/>
  <c r="BO313" i="2"/>
  <c r="BO314" i="2"/>
  <c r="BO315" i="2"/>
  <c r="BO316" i="2"/>
  <c r="BO317" i="2"/>
  <c r="BO318" i="2"/>
  <c r="BO319" i="2"/>
  <c r="BO320" i="2"/>
  <c r="BO321" i="2"/>
  <c r="BO322" i="2"/>
  <c r="BO323" i="2"/>
  <c r="BO324" i="2"/>
  <c r="BO325" i="2"/>
  <c r="BO326" i="2"/>
  <c r="BO327" i="2"/>
  <c r="BO328" i="2"/>
  <c r="BO329" i="2"/>
  <c r="BO330" i="2"/>
  <c r="BO331" i="2"/>
  <c r="BO332" i="2"/>
  <c r="BO333" i="2"/>
  <c r="BO334" i="2"/>
  <c r="BO335" i="2"/>
  <c r="BO336" i="2"/>
  <c r="BO337" i="2"/>
  <c r="BO338" i="2"/>
  <c r="BO339" i="2"/>
  <c r="BO340" i="2"/>
  <c r="BO341" i="2"/>
  <c r="BO342" i="2"/>
  <c r="BO343" i="2"/>
  <c r="BO344" i="2"/>
  <c r="BO345" i="2"/>
  <c r="BO346" i="2"/>
  <c r="BO347" i="2"/>
  <c r="BO348" i="2"/>
  <c r="BO349" i="2"/>
  <c r="BO350" i="2"/>
  <c r="BO351" i="2"/>
  <c r="BO352" i="2"/>
  <c r="BO353" i="2"/>
  <c r="BO354" i="2"/>
  <c r="BO355" i="2"/>
  <c r="BO356" i="2"/>
  <c r="BO357" i="2"/>
  <c r="BO358" i="2"/>
  <c r="BO359" i="2"/>
  <c r="BO360" i="2"/>
  <c r="BO361" i="2"/>
  <c r="BO362" i="2"/>
  <c r="BO363" i="2"/>
  <c r="BO364" i="2"/>
  <c r="BO365" i="2"/>
  <c r="BO366" i="2"/>
  <c r="BO367" i="2"/>
  <c r="BO368" i="2"/>
  <c r="BO369" i="2"/>
  <c r="BO370" i="2"/>
  <c r="BO371" i="2"/>
  <c r="BO372" i="2"/>
  <c r="BO373" i="2"/>
  <c r="BO374" i="2"/>
  <c r="BO375" i="2"/>
  <c r="BO376" i="2"/>
  <c r="BO377" i="2"/>
  <c r="BO378" i="2"/>
  <c r="BO379" i="2"/>
  <c r="BO380" i="2"/>
  <c r="BO381" i="2"/>
  <c r="BO382" i="2"/>
  <c r="BO383" i="2"/>
  <c r="BO384" i="2"/>
  <c r="BO385" i="2"/>
  <c r="BO386" i="2"/>
  <c r="BO387" i="2"/>
  <c r="BO388" i="2"/>
  <c r="BO389" i="2"/>
  <c r="BO390" i="2"/>
  <c r="BO391" i="2"/>
  <c r="BO392" i="2"/>
  <c r="BO393" i="2"/>
  <c r="BO394" i="2"/>
  <c r="BO395" i="2"/>
  <c r="BO396" i="2"/>
  <c r="BO397" i="2"/>
  <c r="BO398" i="2"/>
  <c r="BO399" i="2"/>
  <c r="BO400" i="2"/>
  <c r="BO401" i="2"/>
  <c r="BO402" i="2"/>
  <c r="BO403" i="2"/>
  <c r="BO404" i="2"/>
  <c r="BO405" i="2"/>
  <c r="BO406" i="2"/>
  <c r="BO407" i="2"/>
  <c r="BO408" i="2"/>
  <c r="BO409" i="2"/>
  <c r="BO410" i="2"/>
  <c r="BO411" i="2"/>
  <c r="BO412" i="2"/>
  <c r="BO413" i="2"/>
  <c r="BO414" i="2"/>
  <c r="BO415" i="2"/>
  <c r="BO416" i="2"/>
  <c r="BO417" i="2"/>
  <c r="BO418" i="2"/>
  <c r="BO419" i="2"/>
  <c r="BO420" i="2"/>
  <c r="BO421" i="2"/>
  <c r="BO422" i="2"/>
  <c r="BO423" i="2"/>
  <c r="BO424" i="2"/>
  <c r="BO425" i="2"/>
  <c r="BO426" i="2"/>
  <c r="BO427" i="2"/>
  <c r="BO428" i="2"/>
  <c r="BO429" i="2"/>
  <c r="BO430" i="2"/>
  <c r="BO431" i="2"/>
  <c r="BO432" i="2"/>
  <c r="BO433" i="2"/>
  <c r="BO434" i="2"/>
  <c r="BO435" i="2"/>
  <c r="BO436" i="2"/>
  <c r="BO437" i="2"/>
  <c r="BO438" i="2"/>
  <c r="BO439" i="2"/>
  <c r="BO440" i="2"/>
  <c r="BO441" i="2"/>
  <c r="BO442" i="2"/>
  <c r="BO443" i="2"/>
  <c r="BO444" i="2"/>
  <c r="BO445" i="2"/>
  <c r="BO446" i="2"/>
  <c r="BO447" i="2"/>
  <c r="BO448" i="2"/>
  <c r="BO449" i="2"/>
  <c r="BO450" i="2"/>
  <c r="BO451" i="2"/>
  <c r="BO452" i="2"/>
  <c r="BO453" i="2"/>
  <c r="BO454" i="2"/>
  <c r="BO455" i="2"/>
  <c r="BO456" i="2"/>
  <c r="BO457" i="2"/>
  <c r="BO458" i="2"/>
  <c r="BO459" i="2"/>
  <c r="BO460" i="2"/>
  <c r="BO461" i="2"/>
  <c r="BO462" i="2"/>
  <c r="BO463" i="2"/>
  <c r="BO464" i="2"/>
  <c r="BO465" i="2"/>
  <c r="BO466" i="2"/>
  <c r="BO467" i="2"/>
  <c r="BO468" i="2"/>
  <c r="BO469" i="2"/>
  <c r="BO470" i="2"/>
  <c r="BO471" i="2"/>
  <c r="BO472" i="2"/>
  <c r="BO473" i="2"/>
  <c r="BO474" i="2"/>
  <c r="BO475" i="2"/>
  <c r="BO476" i="2"/>
  <c r="BO477" i="2"/>
  <c r="BO478" i="2"/>
  <c r="BO479" i="2"/>
  <c r="BO480" i="2"/>
  <c r="BO481" i="2"/>
  <c r="BO482" i="2"/>
  <c r="BO483" i="2"/>
  <c r="BO484" i="2"/>
  <c r="BO485" i="2"/>
  <c r="BO486" i="2"/>
  <c r="BO487" i="2"/>
  <c r="BO488" i="2"/>
  <c r="BO489" i="2"/>
  <c r="BO490" i="2"/>
  <c r="BO491" i="2"/>
  <c r="BO492" i="2"/>
  <c r="BO493" i="2"/>
  <c r="BO494" i="2"/>
  <c r="BO495" i="2"/>
  <c r="BO496" i="2"/>
  <c r="BO497" i="2"/>
  <c r="BO498" i="2"/>
  <c r="BO499" i="2"/>
  <c r="BO500" i="2"/>
  <c r="BO501" i="2"/>
  <c r="BO502" i="2"/>
  <c r="BO503" i="2"/>
  <c r="BO504" i="2"/>
  <c r="BO505" i="2"/>
  <c r="BO506" i="2"/>
  <c r="BO507" i="2"/>
  <c r="BO508" i="2"/>
  <c r="BO509" i="2"/>
  <c r="BO510" i="2"/>
  <c r="BO511" i="2"/>
  <c r="BO512" i="2"/>
  <c r="BO513" i="2"/>
  <c r="BO514" i="2"/>
  <c r="BO515" i="2"/>
  <c r="BO516" i="2"/>
  <c r="BO517" i="2"/>
  <c r="BO518" i="2"/>
  <c r="BO519" i="2"/>
  <c r="BO520" i="2"/>
  <c r="BO521" i="2"/>
  <c r="BO522" i="2"/>
  <c r="BO523" i="2"/>
  <c r="BO524" i="2"/>
  <c r="BO525" i="2"/>
  <c r="BO526" i="2"/>
  <c r="BO527" i="2"/>
  <c r="BO528" i="2"/>
  <c r="BO529" i="2"/>
  <c r="BO530" i="2"/>
  <c r="BO531" i="2"/>
  <c r="BO532" i="2"/>
  <c r="BO533" i="2"/>
  <c r="BO534" i="2"/>
  <c r="BO535" i="2"/>
  <c r="BO536" i="2"/>
  <c r="BO537" i="2"/>
  <c r="BO538" i="2"/>
  <c r="BO539" i="2"/>
  <c r="BO540" i="2"/>
  <c r="BO541" i="2"/>
  <c r="BO542" i="2"/>
  <c r="BO543" i="2"/>
  <c r="BO544" i="2"/>
  <c r="BO545" i="2"/>
  <c r="BO546" i="2"/>
  <c r="BO547" i="2"/>
  <c r="BO548" i="2"/>
  <c r="BO549" i="2"/>
  <c r="BO550" i="2"/>
  <c r="BO551" i="2"/>
  <c r="BO552" i="2"/>
  <c r="BO553" i="2"/>
  <c r="BO554" i="2"/>
  <c r="BO555" i="2"/>
  <c r="BO556" i="2"/>
  <c r="BO557" i="2"/>
  <c r="BO558" i="2"/>
  <c r="BO559" i="2"/>
  <c r="BO560" i="2"/>
  <c r="BO561" i="2"/>
  <c r="BO562" i="2"/>
  <c r="BO563" i="2"/>
  <c r="BO564" i="2"/>
  <c r="BO565" i="2"/>
  <c r="BO566" i="2"/>
  <c r="BO567" i="2"/>
  <c r="BO568" i="2"/>
  <c r="BO569" i="2"/>
  <c r="BO570" i="2"/>
  <c r="BO571" i="2"/>
  <c r="BO572" i="2"/>
  <c r="BO573" i="2"/>
  <c r="BO574" i="2"/>
  <c r="BO575" i="2"/>
  <c r="BO576" i="2"/>
  <c r="BO577" i="2"/>
  <c r="BO578" i="2"/>
  <c r="BO579" i="2"/>
  <c r="BO580" i="2"/>
  <c r="BO581" i="2"/>
  <c r="BO582" i="2"/>
  <c r="BO583" i="2"/>
  <c r="BO584" i="2"/>
  <c r="BO585" i="2"/>
  <c r="BO586" i="2"/>
  <c r="BO587" i="2"/>
  <c r="BO588" i="2"/>
  <c r="BO589" i="2"/>
  <c r="BO590" i="2"/>
  <c r="BO591" i="2"/>
  <c r="BO592" i="2"/>
  <c r="BO593" i="2"/>
  <c r="BO594" i="2"/>
  <c r="BO595" i="2"/>
  <c r="BO596" i="2"/>
  <c r="BO597" i="2"/>
  <c r="BO598" i="2"/>
  <c r="BO599" i="2"/>
  <c r="BO600" i="2"/>
  <c r="BO601" i="2"/>
  <c r="BO602" i="2"/>
  <c r="BO603" i="2"/>
  <c r="BO604" i="2"/>
  <c r="BO605" i="2"/>
  <c r="BO606" i="2"/>
  <c r="BO607" i="2"/>
  <c r="BO608" i="2"/>
  <c r="BO609" i="2"/>
  <c r="BO610" i="2"/>
  <c r="BO611" i="2"/>
  <c r="BO612" i="2"/>
  <c r="BO613" i="2"/>
  <c r="BO614" i="2"/>
  <c r="BO615" i="2"/>
  <c r="BO616" i="2"/>
  <c r="BO617" i="2"/>
  <c r="BO618" i="2"/>
  <c r="BO619" i="2"/>
  <c r="BO620" i="2"/>
  <c r="BO621" i="2"/>
  <c r="BO622" i="2"/>
  <c r="BO623" i="2"/>
  <c r="BO624" i="2"/>
  <c r="BO625" i="2"/>
  <c r="BO626" i="2"/>
  <c r="BO627" i="2"/>
  <c r="BO628" i="2"/>
  <c r="BO629" i="2"/>
  <c r="BO630" i="2"/>
  <c r="BO631" i="2"/>
  <c r="BO632" i="2"/>
  <c r="BO633" i="2"/>
  <c r="BO634" i="2"/>
  <c r="BO635" i="2"/>
  <c r="BO636" i="2"/>
  <c r="BO637" i="2"/>
  <c r="BO638" i="2"/>
  <c r="BO639" i="2"/>
  <c r="BO640" i="2"/>
  <c r="BO641" i="2"/>
  <c r="BO642" i="2"/>
  <c r="BO643" i="2"/>
  <c r="BO644" i="2"/>
  <c r="BO645" i="2"/>
  <c r="BO646" i="2"/>
  <c r="BO647" i="2"/>
  <c r="BO648" i="2"/>
  <c r="BO649" i="2"/>
  <c r="BO650" i="2"/>
  <c r="BO651" i="2"/>
  <c r="BO652" i="2"/>
  <c r="BO653" i="2"/>
  <c r="BO654" i="2"/>
  <c r="BO655" i="2"/>
  <c r="BO656" i="2"/>
  <c r="BO657" i="2"/>
  <c r="BO658" i="2"/>
  <c r="BO659" i="2"/>
  <c r="BO660" i="2"/>
  <c r="BO661" i="2"/>
  <c r="BO662" i="2"/>
  <c r="BO663" i="2"/>
  <c r="BO664" i="2"/>
  <c r="BO665" i="2"/>
  <c r="BO666" i="2"/>
  <c r="BO667" i="2"/>
  <c r="BO668" i="2"/>
  <c r="BO669" i="2"/>
  <c r="BO670" i="2"/>
  <c r="BO671" i="2"/>
  <c r="BO672" i="2"/>
  <c r="BO673" i="2"/>
  <c r="BO674" i="2"/>
  <c r="BO675" i="2"/>
  <c r="BO676" i="2"/>
  <c r="BO677" i="2"/>
  <c r="BO678" i="2"/>
  <c r="BO679" i="2"/>
  <c r="BO680" i="2"/>
  <c r="BO681" i="2"/>
  <c r="BO682" i="2"/>
  <c r="BO683" i="2"/>
  <c r="BO684" i="2"/>
  <c r="BO685" i="2"/>
  <c r="BO686" i="2"/>
  <c r="BO687" i="2"/>
  <c r="BO688" i="2"/>
  <c r="BO689" i="2"/>
  <c r="BO690" i="2"/>
  <c r="BO691" i="2"/>
  <c r="BO692" i="2"/>
  <c r="BO693" i="2"/>
  <c r="BO694" i="2"/>
  <c r="BO695" i="2"/>
  <c r="BO696" i="2"/>
  <c r="BO697" i="2"/>
  <c r="BO698" i="2"/>
  <c r="BO699" i="2"/>
  <c r="BO700" i="2"/>
  <c r="BO701" i="2"/>
  <c r="BO702" i="2"/>
  <c r="BO703" i="2"/>
  <c r="BO704" i="2"/>
  <c r="BO705" i="2"/>
  <c r="BP2" i="2"/>
  <c r="BP3" i="2"/>
  <c r="BP4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P110" i="2"/>
  <c r="BP111" i="2"/>
  <c r="BP112" i="2"/>
  <c r="BP113" i="2"/>
  <c r="BP114" i="2"/>
  <c r="BP115" i="2"/>
  <c r="BP116" i="2"/>
  <c r="BP117" i="2"/>
  <c r="BP118" i="2"/>
  <c r="BP119" i="2"/>
  <c r="BP120" i="2"/>
  <c r="BP121" i="2"/>
  <c r="BP122" i="2"/>
  <c r="BP123" i="2"/>
  <c r="BP124" i="2"/>
  <c r="BP125" i="2"/>
  <c r="BP126" i="2"/>
  <c r="BP127" i="2"/>
  <c r="BP128" i="2"/>
  <c r="BP129" i="2"/>
  <c r="BP130" i="2"/>
  <c r="BP131" i="2"/>
  <c r="BP132" i="2"/>
  <c r="BP133" i="2"/>
  <c r="BP134" i="2"/>
  <c r="BP135" i="2"/>
  <c r="BP136" i="2"/>
  <c r="BP137" i="2"/>
  <c r="BP138" i="2"/>
  <c r="BP139" i="2"/>
  <c r="BP140" i="2"/>
  <c r="BP141" i="2"/>
  <c r="BP142" i="2"/>
  <c r="BP143" i="2"/>
  <c r="BP144" i="2"/>
  <c r="BP145" i="2"/>
  <c r="BP146" i="2"/>
  <c r="BP147" i="2"/>
  <c r="BP148" i="2"/>
  <c r="BP149" i="2"/>
  <c r="BP150" i="2"/>
  <c r="BP151" i="2"/>
  <c r="BP152" i="2"/>
  <c r="BP153" i="2"/>
  <c r="BP154" i="2"/>
  <c r="BP155" i="2"/>
  <c r="BP156" i="2"/>
  <c r="BP157" i="2"/>
  <c r="BP158" i="2"/>
  <c r="BP159" i="2"/>
  <c r="BP160" i="2"/>
  <c r="BP161" i="2"/>
  <c r="BP162" i="2"/>
  <c r="BP163" i="2"/>
  <c r="BP164" i="2"/>
  <c r="BP165" i="2"/>
  <c r="BP166" i="2"/>
  <c r="BP167" i="2"/>
  <c r="BP168" i="2"/>
  <c r="BP169" i="2"/>
  <c r="BP170" i="2"/>
  <c r="BP171" i="2"/>
  <c r="BP172" i="2"/>
  <c r="BP173" i="2"/>
  <c r="BP174" i="2"/>
  <c r="BP175" i="2"/>
  <c r="BP176" i="2"/>
  <c r="BP177" i="2"/>
  <c r="BP178" i="2"/>
  <c r="BP179" i="2"/>
  <c r="BP180" i="2"/>
  <c r="BP181" i="2"/>
  <c r="BP182" i="2"/>
  <c r="BP183" i="2"/>
  <c r="BP184" i="2"/>
  <c r="BP185" i="2"/>
  <c r="BP186" i="2"/>
  <c r="BP187" i="2"/>
  <c r="BP188" i="2"/>
  <c r="BP189" i="2"/>
  <c r="BP190" i="2"/>
  <c r="BP191" i="2"/>
  <c r="BP192" i="2"/>
  <c r="BP193" i="2"/>
  <c r="BP194" i="2"/>
  <c r="BP195" i="2"/>
  <c r="BP196" i="2"/>
  <c r="BP197" i="2"/>
  <c r="BP198" i="2"/>
  <c r="BP199" i="2"/>
  <c r="BP200" i="2"/>
  <c r="BP201" i="2"/>
  <c r="BP202" i="2"/>
  <c r="BP203" i="2"/>
  <c r="BP204" i="2"/>
  <c r="BP205" i="2"/>
  <c r="BP206" i="2"/>
  <c r="BP207" i="2"/>
  <c r="BP208" i="2"/>
  <c r="BP209" i="2"/>
  <c r="BP210" i="2"/>
  <c r="BP211" i="2"/>
  <c r="BP212" i="2"/>
  <c r="BP213" i="2"/>
  <c r="BP214" i="2"/>
  <c r="BP215" i="2"/>
  <c r="BP216" i="2"/>
  <c r="BP217" i="2"/>
  <c r="BP218" i="2"/>
  <c r="BP219" i="2"/>
  <c r="BP220" i="2"/>
  <c r="BP221" i="2"/>
  <c r="BP222" i="2"/>
  <c r="BP223" i="2"/>
  <c r="BP224" i="2"/>
  <c r="BP225" i="2"/>
  <c r="BP226" i="2"/>
  <c r="BP227" i="2"/>
  <c r="BP228" i="2"/>
  <c r="BP229" i="2"/>
  <c r="BP230" i="2"/>
  <c r="BP231" i="2"/>
  <c r="BP232" i="2"/>
  <c r="BP233" i="2"/>
  <c r="BP234" i="2"/>
  <c r="BP235" i="2"/>
  <c r="BP236" i="2"/>
  <c r="BP237" i="2"/>
  <c r="BP238" i="2"/>
  <c r="BP239" i="2"/>
  <c r="BP240" i="2"/>
  <c r="BP241" i="2"/>
  <c r="BP242" i="2"/>
  <c r="BP243" i="2"/>
  <c r="BP244" i="2"/>
  <c r="BP245" i="2"/>
  <c r="BP246" i="2"/>
  <c r="BP247" i="2"/>
  <c r="BP248" i="2"/>
  <c r="BP249" i="2"/>
  <c r="BP250" i="2"/>
  <c r="BP251" i="2"/>
  <c r="BP252" i="2"/>
  <c r="BP253" i="2"/>
  <c r="BP254" i="2"/>
  <c r="BP255" i="2"/>
  <c r="BP256" i="2"/>
  <c r="BP257" i="2"/>
  <c r="BP258" i="2"/>
  <c r="BP259" i="2"/>
  <c r="BP260" i="2"/>
  <c r="BP261" i="2"/>
  <c r="BP262" i="2"/>
  <c r="BP263" i="2"/>
  <c r="BP264" i="2"/>
  <c r="BP265" i="2"/>
  <c r="BP266" i="2"/>
  <c r="BP267" i="2"/>
  <c r="BP268" i="2"/>
  <c r="BP269" i="2"/>
  <c r="BP270" i="2"/>
  <c r="BP271" i="2"/>
  <c r="BP272" i="2"/>
  <c r="BP273" i="2"/>
  <c r="BP274" i="2"/>
  <c r="BP275" i="2"/>
  <c r="BP276" i="2"/>
  <c r="BP277" i="2"/>
  <c r="BP278" i="2"/>
  <c r="BP279" i="2"/>
  <c r="BP280" i="2"/>
  <c r="BP281" i="2"/>
  <c r="BP282" i="2"/>
  <c r="BP283" i="2"/>
  <c r="BP284" i="2"/>
  <c r="BP285" i="2"/>
  <c r="BP286" i="2"/>
  <c r="BP287" i="2"/>
  <c r="BP288" i="2"/>
  <c r="BP289" i="2"/>
  <c r="BP290" i="2"/>
  <c r="BP291" i="2"/>
  <c r="BP292" i="2"/>
  <c r="BP293" i="2"/>
  <c r="BP294" i="2"/>
  <c r="BP295" i="2"/>
  <c r="BP296" i="2"/>
  <c r="BP297" i="2"/>
  <c r="BP298" i="2"/>
  <c r="BP299" i="2"/>
  <c r="BP300" i="2"/>
  <c r="BP301" i="2"/>
  <c r="BP302" i="2"/>
  <c r="BP303" i="2"/>
  <c r="BP304" i="2"/>
  <c r="BP305" i="2"/>
  <c r="BP306" i="2"/>
  <c r="BP307" i="2"/>
  <c r="BP308" i="2"/>
  <c r="BP309" i="2"/>
  <c r="BP310" i="2"/>
  <c r="BP311" i="2"/>
  <c r="BP312" i="2"/>
  <c r="BP313" i="2"/>
  <c r="BP314" i="2"/>
  <c r="BP315" i="2"/>
  <c r="BP316" i="2"/>
  <c r="BP317" i="2"/>
  <c r="BP318" i="2"/>
  <c r="BP319" i="2"/>
  <c r="BP320" i="2"/>
  <c r="BP321" i="2"/>
  <c r="BP322" i="2"/>
  <c r="BP323" i="2"/>
  <c r="BP324" i="2"/>
  <c r="BP325" i="2"/>
  <c r="BP326" i="2"/>
  <c r="BP327" i="2"/>
  <c r="BP328" i="2"/>
  <c r="BP329" i="2"/>
  <c r="BP330" i="2"/>
  <c r="BP331" i="2"/>
  <c r="BP332" i="2"/>
  <c r="BP333" i="2"/>
  <c r="BP334" i="2"/>
  <c r="BP335" i="2"/>
  <c r="BP336" i="2"/>
  <c r="BP337" i="2"/>
  <c r="BP338" i="2"/>
  <c r="BP339" i="2"/>
  <c r="BP340" i="2"/>
  <c r="BP341" i="2"/>
  <c r="BP342" i="2"/>
  <c r="BP343" i="2"/>
  <c r="BP344" i="2"/>
  <c r="BP345" i="2"/>
  <c r="BP346" i="2"/>
  <c r="BP347" i="2"/>
  <c r="BP348" i="2"/>
  <c r="BP349" i="2"/>
  <c r="BP350" i="2"/>
  <c r="BP351" i="2"/>
  <c r="BP352" i="2"/>
  <c r="BP353" i="2"/>
  <c r="BP354" i="2"/>
  <c r="BP355" i="2"/>
  <c r="BP356" i="2"/>
  <c r="BP357" i="2"/>
  <c r="BP358" i="2"/>
  <c r="BP359" i="2"/>
  <c r="BP360" i="2"/>
  <c r="BP361" i="2"/>
  <c r="BP362" i="2"/>
  <c r="BP363" i="2"/>
  <c r="BP364" i="2"/>
  <c r="BP365" i="2"/>
  <c r="BP366" i="2"/>
  <c r="BP367" i="2"/>
  <c r="BP368" i="2"/>
  <c r="BP369" i="2"/>
  <c r="BP370" i="2"/>
  <c r="BP371" i="2"/>
  <c r="BP372" i="2"/>
  <c r="BP373" i="2"/>
  <c r="BP374" i="2"/>
  <c r="BP375" i="2"/>
  <c r="BP376" i="2"/>
  <c r="BP377" i="2"/>
  <c r="BP378" i="2"/>
  <c r="BP379" i="2"/>
  <c r="BP380" i="2"/>
  <c r="BP381" i="2"/>
  <c r="BP382" i="2"/>
  <c r="BP383" i="2"/>
  <c r="BP384" i="2"/>
  <c r="BP385" i="2"/>
  <c r="BP386" i="2"/>
  <c r="BP387" i="2"/>
  <c r="BP388" i="2"/>
  <c r="BP389" i="2"/>
  <c r="BP390" i="2"/>
  <c r="BP391" i="2"/>
  <c r="BP392" i="2"/>
  <c r="BP393" i="2"/>
  <c r="BP394" i="2"/>
  <c r="BP395" i="2"/>
  <c r="BP396" i="2"/>
  <c r="BP397" i="2"/>
  <c r="BP398" i="2"/>
  <c r="BP399" i="2"/>
  <c r="BP400" i="2"/>
  <c r="BP401" i="2"/>
  <c r="BP402" i="2"/>
  <c r="BP403" i="2"/>
  <c r="BP404" i="2"/>
  <c r="BP405" i="2"/>
  <c r="BP406" i="2"/>
  <c r="BP407" i="2"/>
  <c r="BP408" i="2"/>
  <c r="BP409" i="2"/>
  <c r="BP410" i="2"/>
  <c r="BP411" i="2"/>
  <c r="BP412" i="2"/>
  <c r="BP413" i="2"/>
  <c r="BP414" i="2"/>
  <c r="BP415" i="2"/>
  <c r="BP416" i="2"/>
  <c r="BP417" i="2"/>
  <c r="BP418" i="2"/>
  <c r="BP419" i="2"/>
  <c r="BP420" i="2"/>
  <c r="BP421" i="2"/>
  <c r="BP422" i="2"/>
  <c r="BP423" i="2"/>
  <c r="BP424" i="2"/>
  <c r="BP425" i="2"/>
  <c r="BP426" i="2"/>
  <c r="BP427" i="2"/>
  <c r="BP428" i="2"/>
  <c r="BP429" i="2"/>
  <c r="BP430" i="2"/>
  <c r="BP431" i="2"/>
  <c r="BP432" i="2"/>
  <c r="BP433" i="2"/>
  <c r="BP434" i="2"/>
  <c r="BP435" i="2"/>
  <c r="BP436" i="2"/>
  <c r="BP437" i="2"/>
  <c r="BP438" i="2"/>
  <c r="BP439" i="2"/>
  <c r="BP440" i="2"/>
  <c r="BP441" i="2"/>
  <c r="BP442" i="2"/>
  <c r="BP443" i="2"/>
  <c r="BP444" i="2"/>
  <c r="BP445" i="2"/>
  <c r="BP446" i="2"/>
  <c r="BP447" i="2"/>
  <c r="BP448" i="2"/>
  <c r="BP449" i="2"/>
  <c r="BP450" i="2"/>
  <c r="BP451" i="2"/>
  <c r="BP452" i="2"/>
  <c r="BP453" i="2"/>
  <c r="BP454" i="2"/>
  <c r="BP455" i="2"/>
  <c r="BP456" i="2"/>
  <c r="BP457" i="2"/>
  <c r="BP458" i="2"/>
  <c r="BP459" i="2"/>
  <c r="BP460" i="2"/>
  <c r="BP461" i="2"/>
  <c r="BP462" i="2"/>
  <c r="BP463" i="2"/>
  <c r="BP464" i="2"/>
  <c r="BP465" i="2"/>
  <c r="BP466" i="2"/>
  <c r="BP467" i="2"/>
  <c r="BP468" i="2"/>
  <c r="BP469" i="2"/>
  <c r="BP470" i="2"/>
  <c r="BP471" i="2"/>
  <c r="BP472" i="2"/>
  <c r="BP473" i="2"/>
  <c r="BP474" i="2"/>
  <c r="BP475" i="2"/>
  <c r="BP476" i="2"/>
  <c r="BP477" i="2"/>
  <c r="BP478" i="2"/>
  <c r="BP479" i="2"/>
  <c r="BP480" i="2"/>
  <c r="BP481" i="2"/>
  <c r="BP482" i="2"/>
  <c r="BP483" i="2"/>
  <c r="BP484" i="2"/>
  <c r="BP485" i="2"/>
  <c r="BP486" i="2"/>
  <c r="BP487" i="2"/>
  <c r="BP488" i="2"/>
  <c r="BP489" i="2"/>
  <c r="BP490" i="2"/>
  <c r="BP491" i="2"/>
  <c r="BP492" i="2"/>
  <c r="BP493" i="2"/>
  <c r="BP494" i="2"/>
  <c r="BP495" i="2"/>
  <c r="BP496" i="2"/>
  <c r="BP497" i="2"/>
  <c r="BP498" i="2"/>
  <c r="BP499" i="2"/>
  <c r="BP500" i="2"/>
  <c r="BP501" i="2"/>
  <c r="BP502" i="2"/>
  <c r="BP503" i="2"/>
  <c r="BP504" i="2"/>
  <c r="BP505" i="2"/>
  <c r="BP506" i="2"/>
  <c r="BP507" i="2"/>
  <c r="BP508" i="2"/>
  <c r="BP509" i="2"/>
  <c r="BP510" i="2"/>
  <c r="BP511" i="2"/>
  <c r="BP512" i="2"/>
  <c r="BP513" i="2"/>
  <c r="BP514" i="2"/>
  <c r="BP515" i="2"/>
  <c r="BP516" i="2"/>
  <c r="BP517" i="2"/>
  <c r="BP518" i="2"/>
  <c r="BP519" i="2"/>
  <c r="BP520" i="2"/>
  <c r="BP521" i="2"/>
  <c r="BP522" i="2"/>
  <c r="BP523" i="2"/>
  <c r="BP524" i="2"/>
  <c r="BP525" i="2"/>
  <c r="BP526" i="2"/>
  <c r="BP527" i="2"/>
  <c r="BP528" i="2"/>
  <c r="BP529" i="2"/>
  <c r="BP530" i="2"/>
  <c r="BP531" i="2"/>
  <c r="BP532" i="2"/>
  <c r="BP533" i="2"/>
  <c r="BP534" i="2"/>
  <c r="BP535" i="2"/>
  <c r="BP536" i="2"/>
  <c r="BP537" i="2"/>
  <c r="BP538" i="2"/>
  <c r="BP539" i="2"/>
  <c r="BP540" i="2"/>
  <c r="BP541" i="2"/>
  <c r="BP542" i="2"/>
  <c r="BP543" i="2"/>
  <c r="BP544" i="2"/>
  <c r="BP545" i="2"/>
  <c r="BP546" i="2"/>
  <c r="BP547" i="2"/>
  <c r="BP548" i="2"/>
  <c r="BP549" i="2"/>
  <c r="BP550" i="2"/>
  <c r="BP551" i="2"/>
  <c r="BP552" i="2"/>
  <c r="BP553" i="2"/>
  <c r="BP554" i="2"/>
  <c r="BP555" i="2"/>
  <c r="BP556" i="2"/>
  <c r="BP557" i="2"/>
  <c r="BP558" i="2"/>
  <c r="BP559" i="2"/>
  <c r="BP560" i="2"/>
  <c r="BP561" i="2"/>
  <c r="BP562" i="2"/>
  <c r="BP563" i="2"/>
  <c r="BP564" i="2"/>
  <c r="BP565" i="2"/>
  <c r="BP566" i="2"/>
  <c r="BP567" i="2"/>
  <c r="BP568" i="2"/>
  <c r="BP569" i="2"/>
  <c r="BP570" i="2"/>
  <c r="BP571" i="2"/>
  <c r="BP572" i="2"/>
  <c r="BP573" i="2"/>
  <c r="BP574" i="2"/>
  <c r="BP575" i="2"/>
  <c r="BP576" i="2"/>
  <c r="BP577" i="2"/>
  <c r="BP578" i="2"/>
  <c r="BP579" i="2"/>
  <c r="BP580" i="2"/>
  <c r="BP581" i="2"/>
  <c r="BP582" i="2"/>
  <c r="BP583" i="2"/>
  <c r="BP584" i="2"/>
  <c r="BP585" i="2"/>
  <c r="BP586" i="2"/>
  <c r="BP587" i="2"/>
  <c r="BP588" i="2"/>
  <c r="BP589" i="2"/>
  <c r="BP590" i="2"/>
  <c r="BP591" i="2"/>
  <c r="BP592" i="2"/>
  <c r="BP593" i="2"/>
  <c r="BP594" i="2"/>
  <c r="BP595" i="2"/>
  <c r="BP596" i="2"/>
  <c r="BP597" i="2"/>
  <c r="BP598" i="2"/>
  <c r="BP599" i="2"/>
  <c r="BP600" i="2"/>
  <c r="BP601" i="2"/>
  <c r="BP602" i="2"/>
  <c r="BP603" i="2"/>
  <c r="BP604" i="2"/>
  <c r="BP605" i="2"/>
  <c r="BP606" i="2"/>
  <c r="BP607" i="2"/>
  <c r="BP608" i="2"/>
  <c r="BP609" i="2"/>
  <c r="BP610" i="2"/>
  <c r="BP611" i="2"/>
  <c r="BP612" i="2"/>
  <c r="BP613" i="2"/>
  <c r="BP614" i="2"/>
  <c r="BP615" i="2"/>
  <c r="BP616" i="2"/>
  <c r="BP617" i="2"/>
  <c r="BP618" i="2"/>
  <c r="BP619" i="2"/>
  <c r="BP620" i="2"/>
  <c r="BP621" i="2"/>
  <c r="BP622" i="2"/>
  <c r="BP623" i="2"/>
  <c r="BP624" i="2"/>
  <c r="BP625" i="2"/>
  <c r="BP626" i="2"/>
  <c r="BP627" i="2"/>
  <c r="BP628" i="2"/>
  <c r="BP629" i="2"/>
  <c r="BP630" i="2"/>
  <c r="BP631" i="2"/>
  <c r="BP632" i="2"/>
  <c r="BP633" i="2"/>
  <c r="BP634" i="2"/>
  <c r="BP635" i="2"/>
  <c r="BP636" i="2"/>
  <c r="BP637" i="2"/>
  <c r="BP638" i="2"/>
  <c r="BP639" i="2"/>
  <c r="BP640" i="2"/>
  <c r="BP641" i="2"/>
  <c r="BP642" i="2"/>
  <c r="BP643" i="2"/>
  <c r="BP644" i="2"/>
  <c r="BP645" i="2"/>
  <c r="BP646" i="2"/>
  <c r="BP647" i="2"/>
  <c r="BP648" i="2"/>
  <c r="BP649" i="2"/>
  <c r="BP650" i="2"/>
  <c r="BP651" i="2"/>
  <c r="BP652" i="2"/>
  <c r="BP653" i="2"/>
  <c r="BP654" i="2"/>
  <c r="BP655" i="2"/>
  <c r="BP656" i="2"/>
  <c r="BP657" i="2"/>
  <c r="BP658" i="2"/>
  <c r="BP659" i="2"/>
  <c r="BP660" i="2"/>
  <c r="BP661" i="2"/>
  <c r="BP662" i="2"/>
  <c r="BP663" i="2"/>
  <c r="BP664" i="2"/>
  <c r="BP665" i="2"/>
  <c r="BP666" i="2"/>
  <c r="BP667" i="2"/>
  <c r="BP668" i="2"/>
  <c r="BP669" i="2"/>
  <c r="BP670" i="2"/>
  <c r="BP671" i="2"/>
  <c r="BP672" i="2"/>
  <c r="BP673" i="2"/>
  <c r="BP674" i="2"/>
  <c r="BP675" i="2"/>
  <c r="BP676" i="2"/>
  <c r="BP677" i="2"/>
  <c r="BP678" i="2"/>
  <c r="BP679" i="2"/>
  <c r="BP680" i="2"/>
  <c r="BP681" i="2"/>
  <c r="BP682" i="2"/>
  <c r="BP683" i="2"/>
  <c r="BP684" i="2"/>
  <c r="BP685" i="2"/>
  <c r="BP686" i="2"/>
  <c r="BP687" i="2"/>
  <c r="BP688" i="2"/>
  <c r="BP689" i="2"/>
  <c r="BP690" i="2"/>
  <c r="BP691" i="2"/>
  <c r="BP692" i="2"/>
  <c r="BP693" i="2"/>
  <c r="BP694" i="2"/>
  <c r="BP695" i="2"/>
  <c r="BP696" i="2"/>
  <c r="BP697" i="2"/>
  <c r="BP698" i="2"/>
  <c r="BP699" i="2"/>
  <c r="BP700" i="2"/>
  <c r="BP701" i="2"/>
  <c r="BP702" i="2"/>
  <c r="BP703" i="2"/>
  <c r="BP704" i="2"/>
  <c r="BP705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20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6" i="2"/>
  <c r="BQ37" i="2"/>
  <c r="BQ38" i="2"/>
  <c r="BQ39" i="2"/>
  <c r="BQ40" i="2"/>
  <c r="BQ41" i="2"/>
  <c r="BQ42" i="2"/>
  <c r="BQ43" i="2"/>
  <c r="BQ44" i="2"/>
  <c r="BQ45" i="2"/>
  <c r="BQ46" i="2"/>
  <c r="BQ47" i="2"/>
  <c r="BQ48" i="2"/>
  <c r="BQ49" i="2"/>
  <c r="BQ50" i="2"/>
  <c r="BQ51" i="2"/>
  <c r="BQ52" i="2"/>
  <c r="BQ53" i="2"/>
  <c r="BQ54" i="2"/>
  <c r="BQ55" i="2"/>
  <c r="BQ56" i="2"/>
  <c r="BQ57" i="2"/>
  <c r="BQ58" i="2"/>
  <c r="BQ59" i="2"/>
  <c r="BQ60" i="2"/>
  <c r="BQ61" i="2"/>
  <c r="BQ62" i="2"/>
  <c r="BQ63" i="2"/>
  <c r="BQ64" i="2"/>
  <c r="BQ65" i="2"/>
  <c r="BQ66" i="2"/>
  <c r="BQ67" i="2"/>
  <c r="BQ68" i="2"/>
  <c r="BQ69" i="2"/>
  <c r="BQ70" i="2"/>
  <c r="BQ71" i="2"/>
  <c r="BQ72" i="2"/>
  <c r="BQ73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Q110" i="2"/>
  <c r="BQ111" i="2"/>
  <c r="BQ112" i="2"/>
  <c r="BQ113" i="2"/>
  <c r="BQ114" i="2"/>
  <c r="BQ115" i="2"/>
  <c r="BQ116" i="2"/>
  <c r="BQ117" i="2"/>
  <c r="BQ118" i="2"/>
  <c r="BQ119" i="2"/>
  <c r="BQ120" i="2"/>
  <c r="BQ121" i="2"/>
  <c r="BQ122" i="2"/>
  <c r="BQ123" i="2"/>
  <c r="BQ124" i="2"/>
  <c r="BQ125" i="2"/>
  <c r="BQ126" i="2"/>
  <c r="BQ127" i="2"/>
  <c r="BQ128" i="2"/>
  <c r="BQ129" i="2"/>
  <c r="BQ130" i="2"/>
  <c r="BQ131" i="2"/>
  <c r="BQ132" i="2"/>
  <c r="BQ133" i="2"/>
  <c r="BQ134" i="2"/>
  <c r="BQ135" i="2"/>
  <c r="BQ136" i="2"/>
  <c r="BQ137" i="2"/>
  <c r="BQ138" i="2"/>
  <c r="BQ139" i="2"/>
  <c r="BQ140" i="2"/>
  <c r="BQ141" i="2"/>
  <c r="BQ142" i="2"/>
  <c r="BQ143" i="2"/>
  <c r="BQ144" i="2"/>
  <c r="BQ145" i="2"/>
  <c r="BQ146" i="2"/>
  <c r="BQ147" i="2"/>
  <c r="BQ148" i="2"/>
  <c r="BQ149" i="2"/>
  <c r="BQ150" i="2"/>
  <c r="BQ151" i="2"/>
  <c r="BQ152" i="2"/>
  <c r="BQ153" i="2"/>
  <c r="BQ154" i="2"/>
  <c r="BQ155" i="2"/>
  <c r="BQ156" i="2"/>
  <c r="BQ157" i="2"/>
  <c r="BQ158" i="2"/>
  <c r="BQ159" i="2"/>
  <c r="BQ160" i="2"/>
  <c r="BQ161" i="2"/>
  <c r="BQ162" i="2"/>
  <c r="BQ163" i="2"/>
  <c r="BQ164" i="2"/>
  <c r="BQ165" i="2"/>
  <c r="BQ166" i="2"/>
  <c r="BQ167" i="2"/>
  <c r="BQ168" i="2"/>
  <c r="BQ169" i="2"/>
  <c r="BQ170" i="2"/>
  <c r="BQ171" i="2"/>
  <c r="BQ172" i="2"/>
  <c r="BQ173" i="2"/>
  <c r="BQ174" i="2"/>
  <c r="BQ175" i="2"/>
  <c r="BQ176" i="2"/>
  <c r="BQ177" i="2"/>
  <c r="BQ178" i="2"/>
  <c r="BQ179" i="2"/>
  <c r="BQ180" i="2"/>
  <c r="BQ181" i="2"/>
  <c r="BQ182" i="2"/>
  <c r="BQ183" i="2"/>
  <c r="BQ184" i="2"/>
  <c r="BQ185" i="2"/>
  <c r="BQ186" i="2"/>
  <c r="BQ187" i="2"/>
  <c r="BQ188" i="2"/>
  <c r="BQ189" i="2"/>
  <c r="BQ190" i="2"/>
  <c r="BQ191" i="2"/>
  <c r="BQ192" i="2"/>
  <c r="BQ193" i="2"/>
  <c r="BQ194" i="2"/>
  <c r="BQ195" i="2"/>
  <c r="BQ196" i="2"/>
  <c r="BQ197" i="2"/>
  <c r="BQ198" i="2"/>
  <c r="BQ199" i="2"/>
  <c r="BQ200" i="2"/>
  <c r="BQ201" i="2"/>
  <c r="BQ202" i="2"/>
  <c r="BQ203" i="2"/>
  <c r="BQ204" i="2"/>
  <c r="BQ205" i="2"/>
  <c r="BQ206" i="2"/>
  <c r="BQ207" i="2"/>
  <c r="BQ208" i="2"/>
  <c r="BQ209" i="2"/>
  <c r="BQ210" i="2"/>
  <c r="BQ211" i="2"/>
  <c r="BQ212" i="2"/>
  <c r="BQ213" i="2"/>
  <c r="BQ214" i="2"/>
  <c r="BQ215" i="2"/>
  <c r="BQ216" i="2"/>
  <c r="BQ217" i="2"/>
  <c r="BQ218" i="2"/>
  <c r="BQ219" i="2"/>
  <c r="BQ220" i="2"/>
  <c r="BQ221" i="2"/>
  <c r="BQ222" i="2"/>
  <c r="BQ223" i="2"/>
  <c r="BQ224" i="2"/>
  <c r="BQ225" i="2"/>
  <c r="BQ226" i="2"/>
  <c r="BQ227" i="2"/>
  <c r="BQ228" i="2"/>
  <c r="BQ229" i="2"/>
  <c r="BQ230" i="2"/>
  <c r="BQ231" i="2"/>
  <c r="BQ232" i="2"/>
  <c r="BQ233" i="2"/>
  <c r="BQ234" i="2"/>
  <c r="BQ235" i="2"/>
  <c r="BQ236" i="2"/>
  <c r="BQ237" i="2"/>
  <c r="BQ238" i="2"/>
  <c r="BQ239" i="2"/>
  <c r="BQ240" i="2"/>
  <c r="BQ241" i="2"/>
  <c r="BQ242" i="2"/>
  <c r="BQ243" i="2"/>
  <c r="BQ244" i="2"/>
  <c r="BQ245" i="2"/>
  <c r="BQ246" i="2"/>
  <c r="BQ247" i="2"/>
  <c r="BQ248" i="2"/>
  <c r="BQ249" i="2"/>
  <c r="BQ250" i="2"/>
  <c r="BQ251" i="2"/>
  <c r="BQ252" i="2"/>
  <c r="BQ253" i="2"/>
  <c r="BQ254" i="2"/>
  <c r="BQ255" i="2"/>
  <c r="BQ256" i="2"/>
  <c r="BQ257" i="2"/>
  <c r="BQ258" i="2"/>
  <c r="BQ259" i="2"/>
  <c r="BQ260" i="2"/>
  <c r="BQ261" i="2"/>
  <c r="BQ262" i="2"/>
  <c r="BQ263" i="2"/>
  <c r="BQ264" i="2"/>
  <c r="BQ265" i="2"/>
  <c r="BQ266" i="2"/>
  <c r="BQ267" i="2"/>
  <c r="BQ268" i="2"/>
  <c r="BQ269" i="2"/>
  <c r="BQ270" i="2"/>
  <c r="BQ271" i="2"/>
  <c r="BQ272" i="2"/>
  <c r="BQ273" i="2"/>
  <c r="BQ274" i="2"/>
  <c r="BQ275" i="2"/>
  <c r="BQ276" i="2"/>
  <c r="BQ277" i="2"/>
  <c r="BQ278" i="2"/>
  <c r="BQ279" i="2"/>
  <c r="BQ280" i="2"/>
  <c r="BQ281" i="2"/>
  <c r="BQ282" i="2"/>
  <c r="BQ283" i="2"/>
  <c r="BQ284" i="2"/>
  <c r="BQ285" i="2"/>
  <c r="BQ286" i="2"/>
  <c r="BQ287" i="2"/>
  <c r="BQ288" i="2"/>
  <c r="BQ289" i="2"/>
  <c r="BQ290" i="2"/>
  <c r="BQ291" i="2"/>
  <c r="BQ292" i="2"/>
  <c r="BQ293" i="2"/>
  <c r="BQ294" i="2"/>
  <c r="BQ295" i="2"/>
  <c r="BQ296" i="2"/>
  <c r="BQ297" i="2"/>
  <c r="BQ298" i="2"/>
  <c r="BQ299" i="2"/>
  <c r="BQ300" i="2"/>
  <c r="BQ301" i="2"/>
  <c r="BQ302" i="2"/>
  <c r="BQ303" i="2"/>
  <c r="BQ304" i="2"/>
  <c r="BQ305" i="2"/>
  <c r="BQ306" i="2"/>
  <c r="BQ307" i="2"/>
  <c r="BQ308" i="2"/>
  <c r="BQ309" i="2"/>
  <c r="BQ310" i="2"/>
  <c r="BQ311" i="2"/>
  <c r="BQ312" i="2"/>
  <c r="BQ313" i="2"/>
  <c r="BQ314" i="2"/>
  <c r="BQ315" i="2"/>
  <c r="BQ316" i="2"/>
  <c r="BQ317" i="2"/>
  <c r="BQ318" i="2"/>
  <c r="BQ319" i="2"/>
  <c r="BQ320" i="2"/>
  <c r="BQ321" i="2"/>
  <c r="BQ322" i="2"/>
  <c r="BQ323" i="2"/>
  <c r="BQ324" i="2"/>
  <c r="BQ325" i="2"/>
  <c r="BQ326" i="2"/>
  <c r="BQ327" i="2"/>
  <c r="BQ328" i="2"/>
  <c r="BQ329" i="2"/>
  <c r="BQ330" i="2"/>
  <c r="BQ331" i="2"/>
  <c r="BQ332" i="2"/>
  <c r="BQ333" i="2"/>
  <c r="BQ334" i="2"/>
  <c r="BQ335" i="2"/>
  <c r="BQ336" i="2"/>
  <c r="BQ337" i="2"/>
  <c r="BQ338" i="2"/>
  <c r="BQ339" i="2"/>
  <c r="BQ340" i="2"/>
  <c r="BQ341" i="2"/>
  <c r="BQ342" i="2"/>
  <c r="BQ343" i="2"/>
  <c r="BQ344" i="2"/>
  <c r="BQ345" i="2"/>
  <c r="BQ346" i="2"/>
  <c r="BQ347" i="2"/>
  <c r="BQ348" i="2"/>
  <c r="BQ349" i="2"/>
  <c r="BQ350" i="2"/>
  <c r="BQ351" i="2"/>
  <c r="BQ352" i="2"/>
  <c r="BQ353" i="2"/>
  <c r="BQ354" i="2"/>
  <c r="BQ355" i="2"/>
  <c r="BQ356" i="2"/>
  <c r="BQ357" i="2"/>
  <c r="BQ358" i="2"/>
  <c r="BQ359" i="2"/>
  <c r="BQ360" i="2"/>
  <c r="BQ361" i="2"/>
  <c r="BQ362" i="2"/>
  <c r="BQ363" i="2"/>
  <c r="BQ364" i="2"/>
  <c r="BQ365" i="2"/>
  <c r="BQ366" i="2"/>
  <c r="BQ367" i="2"/>
  <c r="BQ368" i="2"/>
  <c r="BQ369" i="2"/>
  <c r="BQ370" i="2"/>
  <c r="BQ371" i="2"/>
  <c r="BQ372" i="2"/>
  <c r="BQ373" i="2"/>
  <c r="BQ374" i="2"/>
  <c r="BQ375" i="2"/>
  <c r="BQ376" i="2"/>
  <c r="BQ377" i="2"/>
  <c r="BQ378" i="2"/>
  <c r="BQ379" i="2"/>
  <c r="BQ380" i="2"/>
  <c r="BQ381" i="2"/>
  <c r="BQ382" i="2"/>
  <c r="BQ383" i="2"/>
  <c r="BQ384" i="2"/>
  <c r="BQ385" i="2"/>
  <c r="BQ386" i="2"/>
  <c r="BQ387" i="2"/>
  <c r="BQ388" i="2"/>
  <c r="BQ389" i="2"/>
  <c r="BQ390" i="2"/>
  <c r="BQ391" i="2"/>
  <c r="BQ392" i="2"/>
  <c r="BQ393" i="2"/>
  <c r="BQ394" i="2"/>
  <c r="BQ395" i="2"/>
  <c r="BQ396" i="2"/>
  <c r="BQ397" i="2"/>
  <c r="BQ398" i="2"/>
  <c r="BQ399" i="2"/>
  <c r="BQ400" i="2"/>
  <c r="BQ401" i="2"/>
  <c r="BQ402" i="2"/>
  <c r="BQ403" i="2"/>
  <c r="BQ404" i="2"/>
  <c r="BQ405" i="2"/>
  <c r="BQ406" i="2"/>
  <c r="BQ407" i="2"/>
  <c r="BQ408" i="2"/>
  <c r="BQ409" i="2"/>
  <c r="BQ410" i="2"/>
  <c r="BQ411" i="2"/>
  <c r="BQ412" i="2"/>
  <c r="BQ413" i="2"/>
  <c r="BQ414" i="2"/>
  <c r="BQ415" i="2"/>
  <c r="BQ416" i="2"/>
  <c r="BQ417" i="2"/>
  <c r="BQ418" i="2"/>
  <c r="BQ419" i="2"/>
  <c r="BQ420" i="2"/>
  <c r="BQ421" i="2"/>
  <c r="BQ422" i="2"/>
  <c r="BQ423" i="2"/>
  <c r="BQ424" i="2"/>
  <c r="BQ425" i="2"/>
  <c r="BQ426" i="2"/>
  <c r="BQ427" i="2"/>
  <c r="BQ428" i="2"/>
  <c r="BQ429" i="2"/>
  <c r="BQ430" i="2"/>
  <c r="BQ431" i="2"/>
  <c r="BQ432" i="2"/>
  <c r="BQ433" i="2"/>
  <c r="BQ434" i="2"/>
  <c r="BQ435" i="2"/>
  <c r="BQ436" i="2"/>
  <c r="BQ437" i="2"/>
  <c r="BQ438" i="2"/>
  <c r="BQ439" i="2"/>
  <c r="BQ440" i="2"/>
  <c r="BQ441" i="2"/>
  <c r="BQ442" i="2"/>
  <c r="BQ443" i="2"/>
  <c r="BQ444" i="2"/>
  <c r="BQ445" i="2"/>
  <c r="BQ446" i="2"/>
  <c r="BQ447" i="2"/>
  <c r="BQ448" i="2"/>
  <c r="BQ449" i="2"/>
  <c r="BQ450" i="2"/>
  <c r="BQ451" i="2"/>
  <c r="BQ452" i="2"/>
  <c r="BQ453" i="2"/>
  <c r="BQ454" i="2"/>
  <c r="BQ455" i="2"/>
  <c r="BQ456" i="2"/>
  <c r="BQ457" i="2"/>
  <c r="BQ458" i="2"/>
  <c r="BQ459" i="2"/>
  <c r="BQ460" i="2"/>
  <c r="BQ461" i="2"/>
  <c r="BQ462" i="2"/>
  <c r="BQ463" i="2"/>
  <c r="BQ464" i="2"/>
  <c r="BQ465" i="2"/>
  <c r="BQ466" i="2"/>
  <c r="BQ467" i="2"/>
  <c r="BQ468" i="2"/>
  <c r="BQ469" i="2"/>
  <c r="BQ470" i="2"/>
  <c r="BQ471" i="2"/>
  <c r="BQ472" i="2"/>
  <c r="BQ473" i="2"/>
  <c r="BQ474" i="2"/>
  <c r="BQ475" i="2"/>
  <c r="BQ476" i="2"/>
  <c r="BQ477" i="2"/>
  <c r="BQ478" i="2"/>
  <c r="BQ479" i="2"/>
  <c r="BQ480" i="2"/>
  <c r="BQ481" i="2"/>
  <c r="BQ482" i="2"/>
  <c r="BQ483" i="2"/>
  <c r="BQ484" i="2"/>
  <c r="BQ485" i="2"/>
  <c r="BQ486" i="2"/>
  <c r="BQ487" i="2"/>
  <c r="BQ488" i="2"/>
  <c r="BQ489" i="2"/>
  <c r="BQ490" i="2"/>
  <c r="BQ491" i="2"/>
  <c r="BQ492" i="2"/>
  <c r="BQ493" i="2"/>
  <c r="BQ494" i="2"/>
  <c r="BQ495" i="2"/>
  <c r="BQ496" i="2"/>
  <c r="BQ497" i="2"/>
  <c r="BQ498" i="2"/>
  <c r="BQ499" i="2"/>
  <c r="BQ500" i="2"/>
  <c r="BQ501" i="2"/>
  <c r="BQ502" i="2"/>
  <c r="BQ503" i="2"/>
  <c r="BQ504" i="2"/>
  <c r="BQ505" i="2"/>
  <c r="BQ506" i="2"/>
  <c r="BQ507" i="2"/>
  <c r="BQ508" i="2"/>
  <c r="BQ509" i="2"/>
  <c r="BQ510" i="2"/>
  <c r="BQ511" i="2"/>
  <c r="BQ512" i="2"/>
  <c r="BQ513" i="2"/>
  <c r="BQ514" i="2"/>
  <c r="BQ515" i="2"/>
  <c r="BQ516" i="2"/>
  <c r="BQ517" i="2"/>
  <c r="BQ518" i="2"/>
  <c r="BQ519" i="2"/>
  <c r="BQ520" i="2"/>
  <c r="BQ521" i="2"/>
  <c r="BQ522" i="2"/>
  <c r="BQ523" i="2"/>
  <c r="BQ524" i="2"/>
  <c r="BQ525" i="2"/>
  <c r="BQ526" i="2"/>
  <c r="BQ527" i="2"/>
  <c r="BQ528" i="2"/>
  <c r="BQ529" i="2"/>
  <c r="BQ530" i="2"/>
  <c r="BQ531" i="2"/>
  <c r="BQ532" i="2"/>
  <c r="BQ533" i="2"/>
  <c r="BQ534" i="2"/>
  <c r="BQ535" i="2"/>
  <c r="BQ536" i="2"/>
  <c r="BQ537" i="2"/>
  <c r="BQ538" i="2"/>
  <c r="BQ539" i="2"/>
  <c r="BQ540" i="2"/>
  <c r="BQ541" i="2"/>
  <c r="BQ542" i="2"/>
  <c r="BQ543" i="2"/>
  <c r="BQ544" i="2"/>
  <c r="BQ545" i="2"/>
  <c r="BQ546" i="2"/>
  <c r="BQ547" i="2"/>
  <c r="BQ548" i="2"/>
  <c r="BQ549" i="2"/>
  <c r="BQ550" i="2"/>
  <c r="BQ551" i="2"/>
  <c r="BQ552" i="2"/>
  <c r="BQ553" i="2"/>
  <c r="BQ554" i="2"/>
  <c r="BQ555" i="2"/>
  <c r="BQ556" i="2"/>
  <c r="BQ557" i="2"/>
  <c r="BQ558" i="2"/>
  <c r="BQ559" i="2"/>
  <c r="BQ560" i="2"/>
  <c r="BQ561" i="2"/>
  <c r="BQ562" i="2"/>
  <c r="BQ563" i="2"/>
  <c r="BQ564" i="2"/>
  <c r="BQ565" i="2"/>
  <c r="BQ566" i="2"/>
  <c r="BQ567" i="2"/>
  <c r="BQ568" i="2"/>
  <c r="BQ569" i="2"/>
  <c r="BQ570" i="2"/>
  <c r="BQ571" i="2"/>
  <c r="BQ572" i="2"/>
  <c r="BQ573" i="2"/>
  <c r="BQ574" i="2"/>
  <c r="BQ575" i="2"/>
  <c r="BQ576" i="2"/>
  <c r="BQ577" i="2"/>
  <c r="BQ578" i="2"/>
  <c r="BQ579" i="2"/>
  <c r="BQ580" i="2"/>
  <c r="BQ581" i="2"/>
  <c r="BQ582" i="2"/>
  <c r="BQ583" i="2"/>
  <c r="BQ584" i="2"/>
  <c r="BQ585" i="2"/>
  <c r="BQ586" i="2"/>
  <c r="BQ587" i="2"/>
  <c r="BQ588" i="2"/>
  <c r="BQ589" i="2"/>
  <c r="BQ590" i="2"/>
  <c r="BQ591" i="2"/>
  <c r="BQ592" i="2"/>
  <c r="BQ593" i="2"/>
  <c r="BQ594" i="2"/>
  <c r="BQ595" i="2"/>
  <c r="BQ596" i="2"/>
  <c r="BQ597" i="2"/>
  <c r="BQ598" i="2"/>
  <c r="BQ599" i="2"/>
  <c r="BQ600" i="2"/>
  <c r="BQ601" i="2"/>
  <c r="BQ602" i="2"/>
  <c r="BQ603" i="2"/>
  <c r="BQ604" i="2"/>
  <c r="BQ605" i="2"/>
  <c r="BQ606" i="2"/>
  <c r="BQ607" i="2"/>
  <c r="BQ608" i="2"/>
  <c r="BQ609" i="2"/>
  <c r="BQ610" i="2"/>
  <c r="BQ611" i="2"/>
  <c r="BQ612" i="2"/>
  <c r="BQ613" i="2"/>
  <c r="BQ614" i="2"/>
  <c r="BQ615" i="2"/>
  <c r="BQ616" i="2"/>
  <c r="BQ617" i="2"/>
  <c r="BQ618" i="2"/>
  <c r="BQ619" i="2"/>
  <c r="BQ620" i="2"/>
  <c r="BQ621" i="2"/>
  <c r="BQ622" i="2"/>
  <c r="BQ623" i="2"/>
  <c r="BQ624" i="2"/>
  <c r="BQ625" i="2"/>
  <c r="BQ626" i="2"/>
  <c r="BQ627" i="2"/>
  <c r="BQ628" i="2"/>
  <c r="BQ629" i="2"/>
  <c r="BQ630" i="2"/>
  <c r="BQ631" i="2"/>
  <c r="BQ632" i="2"/>
  <c r="BQ633" i="2"/>
  <c r="BQ634" i="2"/>
  <c r="BQ635" i="2"/>
  <c r="BQ636" i="2"/>
  <c r="BQ637" i="2"/>
  <c r="BQ638" i="2"/>
  <c r="BQ639" i="2"/>
  <c r="BQ640" i="2"/>
  <c r="BQ641" i="2"/>
  <c r="BQ642" i="2"/>
  <c r="BQ643" i="2"/>
  <c r="BQ644" i="2"/>
  <c r="BQ645" i="2"/>
  <c r="BQ646" i="2"/>
  <c r="BQ647" i="2"/>
  <c r="BQ648" i="2"/>
  <c r="BQ649" i="2"/>
  <c r="BQ650" i="2"/>
  <c r="BQ651" i="2"/>
  <c r="BQ652" i="2"/>
  <c r="BQ653" i="2"/>
  <c r="BQ654" i="2"/>
  <c r="BQ655" i="2"/>
  <c r="BQ656" i="2"/>
  <c r="BQ657" i="2"/>
  <c r="BQ658" i="2"/>
  <c r="BQ659" i="2"/>
  <c r="BQ660" i="2"/>
  <c r="BQ661" i="2"/>
  <c r="BQ662" i="2"/>
  <c r="BQ663" i="2"/>
  <c r="BQ664" i="2"/>
  <c r="BQ665" i="2"/>
  <c r="BQ666" i="2"/>
  <c r="BQ667" i="2"/>
  <c r="BQ668" i="2"/>
  <c r="BQ669" i="2"/>
  <c r="BQ670" i="2"/>
  <c r="BQ671" i="2"/>
  <c r="BQ672" i="2"/>
  <c r="BQ673" i="2"/>
  <c r="BQ674" i="2"/>
  <c r="BQ675" i="2"/>
  <c r="BQ676" i="2"/>
  <c r="BQ677" i="2"/>
  <c r="BQ678" i="2"/>
  <c r="BQ679" i="2"/>
  <c r="BQ680" i="2"/>
  <c r="BQ681" i="2"/>
  <c r="BQ682" i="2"/>
  <c r="BQ683" i="2"/>
  <c r="BQ684" i="2"/>
  <c r="BQ685" i="2"/>
  <c r="BQ686" i="2"/>
  <c r="BQ687" i="2"/>
  <c r="BQ688" i="2"/>
  <c r="BQ689" i="2"/>
  <c r="BQ690" i="2"/>
  <c r="BQ691" i="2"/>
  <c r="BQ692" i="2"/>
  <c r="BQ693" i="2"/>
  <c r="BQ694" i="2"/>
  <c r="BQ695" i="2"/>
  <c r="BQ696" i="2"/>
  <c r="BQ697" i="2"/>
  <c r="BQ698" i="2"/>
  <c r="BQ699" i="2"/>
  <c r="BQ700" i="2"/>
  <c r="BQ701" i="2"/>
  <c r="BQ702" i="2"/>
  <c r="BQ703" i="2"/>
  <c r="BQ704" i="2"/>
  <c r="BQ705" i="2"/>
  <c r="BR2" i="2"/>
  <c r="BR3" i="2"/>
  <c r="BR4" i="2"/>
  <c r="BR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88" i="2"/>
  <c r="BR89" i="2"/>
  <c r="BR90" i="2"/>
  <c r="BR91" i="2"/>
  <c r="BR92" i="2"/>
  <c r="BR93" i="2"/>
  <c r="BR94" i="2"/>
  <c r="BR95" i="2"/>
  <c r="BR96" i="2"/>
  <c r="BR97" i="2"/>
  <c r="BR98" i="2"/>
  <c r="BR99" i="2"/>
  <c r="BR100" i="2"/>
  <c r="BR101" i="2"/>
  <c r="BR102" i="2"/>
  <c r="BR103" i="2"/>
  <c r="BR104" i="2"/>
  <c r="BR105" i="2"/>
  <c r="BR106" i="2"/>
  <c r="BR107" i="2"/>
  <c r="BR108" i="2"/>
  <c r="BR109" i="2"/>
  <c r="BR110" i="2"/>
  <c r="BR111" i="2"/>
  <c r="BR112" i="2"/>
  <c r="BR113" i="2"/>
  <c r="BR114" i="2"/>
  <c r="BR115" i="2"/>
  <c r="BR116" i="2"/>
  <c r="BR117" i="2"/>
  <c r="BR118" i="2"/>
  <c r="BR119" i="2"/>
  <c r="BR120" i="2"/>
  <c r="BR121" i="2"/>
  <c r="BR122" i="2"/>
  <c r="BR123" i="2"/>
  <c r="BR124" i="2"/>
  <c r="BR125" i="2"/>
  <c r="BR126" i="2"/>
  <c r="BR127" i="2"/>
  <c r="BR128" i="2"/>
  <c r="BR129" i="2"/>
  <c r="BR130" i="2"/>
  <c r="BR131" i="2"/>
  <c r="BR132" i="2"/>
  <c r="BR133" i="2"/>
  <c r="BR134" i="2"/>
  <c r="BR135" i="2"/>
  <c r="BR136" i="2"/>
  <c r="BR137" i="2"/>
  <c r="BR138" i="2"/>
  <c r="BR139" i="2"/>
  <c r="BR140" i="2"/>
  <c r="BR141" i="2"/>
  <c r="BR142" i="2"/>
  <c r="BR143" i="2"/>
  <c r="BR144" i="2"/>
  <c r="BR145" i="2"/>
  <c r="BR146" i="2"/>
  <c r="BR147" i="2"/>
  <c r="BR148" i="2"/>
  <c r="BR149" i="2"/>
  <c r="BR150" i="2"/>
  <c r="BR151" i="2"/>
  <c r="BR152" i="2"/>
  <c r="BR153" i="2"/>
  <c r="BR154" i="2"/>
  <c r="BR155" i="2"/>
  <c r="BR156" i="2"/>
  <c r="BR157" i="2"/>
  <c r="BR158" i="2"/>
  <c r="BR159" i="2"/>
  <c r="BR160" i="2"/>
  <c r="BR161" i="2"/>
  <c r="BR162" i="2"/>
  <c r="BR163" i="2"/>
  <c r="BR164" i="2"/>
  <c r="BR165" i="2"/>
  <c r="BR166" i="2"/>
  <c r="BR167" i="2"/>
  <c r="BR168" i="2"/>
  <c r="BR169" i="2"/>
  <c r="BR170" i="2"/>
  <c r="BR171" i="2"/>
  <c r="BR172" i="2"/>
  <c r="BR173" i="2"/>
  <c r="BR174" i="2"/>
  <c r="BR175" i="2"/>
  <c r="BR176" i="2"/>
  <c r="BR177" i="2"/>
  <c r="BR178" i="2"/>
  <c r="BR179" i="2"/>
  <c r="BR180" i="2"/>
  <c r="BR181" i="2"/>
  <c r="BR182" i="2"/>
  <c r="BR183" i="2"/>
  <c r="BR184" i="2"/>
  <c r="BR185" i="2"/>
  <c r="BR186" i="2"/>
  <c r="BR187" i="2"/>
  <c r="BR188" i="2"/>
  <c r="BR189" i="2"/>
  <c r="BR190" i="2"/>
  <c r="BR191" i="2"/>
  <c r="BR192" i="2"/>
  <c r="BR193" i="2"/>
  <c r="BR194" i="2"/>
  <c r="BR195" i="2"/>
  <c r="BR196" i="2"/>
  <c r="BR197" i="2"/>
  <c r="BR198" i="2"/>
  <c r="BR199" i="2"/>
  <c r="BR200" i="2"/>
  <c r="BR201" i="2"/>
  <c r="BR202" i="2"/>
  <c r="BR203" i="2"/>
  <c r="BR204" i="2"/>
  <c r="BR205" i="2"/>
  <c r="BR206" i="2"/>
  <c r="BR207" i="2"/>
  <c r="BR208" i="2"/>
  <c r="BR209" i="2"/>
  <c r="BR210" i="2"/>
  <c r="BR211" i="2"/>
  <c r="BR212" i="2"/>
  <c r="BR213" i="2"/>
  <c r="BR214" i="2"/>
  <c r="BR215" i="2"/>
  <c r="BR216" i="2"/>
  <c r="BR217" i="2"/>
  <c r="BR218" i="2"/>
  <c r="BR219" i="2"/>
  <c r="BR220" i="2"/>
  <c r="BR221" i="2"/>
  <c r="BR222" i="2"/>
  <c r="BR223" i="2"/>
  <c r="BR224" i="2"/>
  <c r="BR225" i="2"/>
  <c r="BR226" i="2"/>
  <c r="BR227" i="2"/>
  <c r="BR228" i="2"/>
  <c r="BR229" i="2"/>
  <c r="BR230" i="2"/>
  <c r="BR231" i="2"/>
  <c r="BR232" i="2"/>
  <c r="BR233" i="2"/>
  <c r="BR234" i="2"/>
  <c r="BR235" i="2"/>
  <c r="BR236" i="2"/>
  <c r="BR237" i="2"/>
  <c r="BR238" i="2"/>
  <c r="BR239" i="2"/>
  <c r="BR240" i="2"/>
  <c r="BR241" i="2"/>
  <c r="BR242" i="2"/>
  <c r="BR243" i="2"/>
  <c r="BR244" i="2"/>
  <c r="BR245" i="2"/>
  <c r="BR246" i="2"/>
  <c r="BR247" i="2"/>
  <c r="BR248" i="2"/>
  <c r="BR249" i="2"/>
  <c r="BR250" i="2"/>
  <c r="BR251" i="2"/>
  <c r="BR252" i="2"/>
  <c r="BR253" i="2"/>
  <c r="BR254" i="2"/>
  <c r="BR255" i="2"/>
  <c r="BR256" i="2"/>
  <c r="BR257" i="2"/>
  <c r="BR258" i="2"/>
  <c r="BR259" i="2"/>
  <c r="BR260" i="2"/>
  <c r="BR261" i="2"/>
  <c r="BR262" i="2"/>
  <c r="BR263" i="2"/>
  <c r="BR264" i="2"/>
  <c r="BR265" i="2"/>
  <c r="BR266" i="2"/>
  <c r="BR267" i="2"/>
  <c r="BR268" i="2"/>
  <c r="BR269" i="2"/>
  <c r="BR270" i="2"/>
  <c r="BR271" i="2"/>
  <c r="BR272" i="2"/>
  <c r="BR273" i="2"/>
  <c r="BR274" i="2"/>
  <c r="BR275" i="2"/>
  <c r="BR276" i="2"/>
  <c r="BR277" i="2"/>
  <c r="BR278" i="2"/>
  <c r="BR279" i="2"/>
  <c r="BR280" i="2"/>
  <c r="BR281" i="2"/>
  <c r="BR282" i="2"/>
  <c r="BR283" i="2"/>
  <c r="BR284" i="2"/>
  <c r="BR285" i="2"/>
  <c r="BR286" i="2"/>
  <c r="BR287" i="2"/>
  <c r="BR288" i="2"/>
  <c r="BR289" i="2"/>
  <c r="BR290" i="2"/>
  <c r="BR291" i="2"/>
  <c r="BR292" i="2"/>
  <c r="BR293" i="2"/>
  <c r="BR294" i="2"/>
  <c r="BR295" i="2"/>
  <c r="BR296" i="2"/>
  <c r="BR297" i="2"/>
  <c r="BR298" i="2"/>
  <c r="BR299" i="2"/>
  <c r="BR300" i="2"/>
  <c r="BR301" i="2"/>
  <c r="BR302" i="2"/>
  <c r="BR303" i="2"/>
  <c r="BR304" i="2"/>
  <c r="BR305" i="2"/>
  <c r="BR306" i="2"/>
  <c r="BR307" i="2"/>
  <c r="BR308" i="2"/>
  <c r="BR309" i="2"/>
  <c r="BR310" i="2"/>
  <c r="BR311" i="2"/>
  <c r="BR312" i="2"/>
  <c r="BR313" i="2"/>
  <c r="BR314" i="2"/>
  <c r="BR315" i="2"/>
  <c r="BR316" i="2"/>
  <c r="BR317" i="2"/>
  <c r="BR318" i="2"/>
  <c r="BR319" i="2"/>
  <c r="BR320" i="2"/>
  <c r="BR321" i="2"/>
  <c r="BR322" i="2"/>
  <c r="BR323" i="2"/>
  <c r="BR324" i="2"/>
  <c r="BR325" i="2"/>
  <c r="BR326" i="2"/>
  <c r="BR327" i="2"/>
  <c r="BR328" i="2"/>
  <c r="BR329" i="2"/>
  <c r="BR330" i="2"/>
  <c r="BR331" i="2"/>
  <c r="BR332" i="2"/>
  <c r="BR333" i="2"/>
  <c r="BR334" i="2"/>
  <c r="BR335" i="2"/>
  <c r="BR336" i="2"/>
  <c r="BR337" i="2"/>
  <c r="BR338" i="2"/>
  <c r="BR339" i="2"/>
  <c r="BR340" i="2"/>
  <c r="BR341" i="2"/>
  <c r="BR342" i="2"/>
  <c r="BR343" i="2"/>
  <c r="BR344" i="2"/>
  <c r="BR345" i="2"/>
  <c r="BR346" i="2"/>
  <c r="BR347" i="2"/>
  <c r="BR348" i="2"/>
  <c r="BR349" i="2"/>
  <c r="BR350" i="2"/>
  <c r="BR351" i="2"/>
  <c r="BR352" i="2"/>
  <c r="BR353" i="2"/>
  <c r="BR354" i="2"/>
  <c r="BR355" i="2"/>
  <c r="BR356" i="2"/>
  <c r="BR357" i="2"/>
  <c r="BR358" i="2"/>
  <c r="BR359" i="2"/>
  <c r="BR360" i="2"/>
  <c r="BR361" i="2"/>
  <c r="BR362" i="2"/>
  <c r="BR363" i="2"/>
  <c r="BR364" i="2"/>
  <c r="BR365" i="2"/>
  <c r="BR366" i="2"/>
  <c r="BR367" i="2"/>
  <c r="BR368" i="2"/>
  <c r="BR369" i="2"/>
  <c r="BR370" i="2"/>
  <c r="BR371" i="2"/>
  <c r="BR372" i="2"/>
  <c r="BR373" i="2"/>
  <c r="BR374" i="2"/>
  <c r="BR375" i="2"/>
  <c r="BR376" i="2"/>
  <c r="BR377" i="2"/>
  <c r="BR378" i="2"/>
  <c r="BR379" i="2"/>
  <c r="BR380" i="2"/>
  <c r="BR381" i="2"/>
  <c r="BR382" i="2"/>
  <c r="BR383" i="2"/>
  <c r="BR384" i="2"/>
  <c r="BR385" i="2"/>
  <c r="BR386" i="2"/>
  <c r="BR387" i="2"/>
  <c r="BR388" i="2"/>
  <c r="BR389" i="2"/>
  <c r="BR390" i="2"/>
  <c r="BR391" i="2"/>
  <c r="BR392" i="2"/>
  <c r="BR393" i="2"/>
  <c r="BR394" i="2"/>
  <c r="BR395" i="2"/>
  <c r="BR396" i="2"/>
  <c r="BR397" i="2"/>
  <c r="BR398" i="2"/>
  <c r="BR399" i="2"/>
  <c r="BR400" i="2"/>
  <c r="BR401" i="2"/>
  <c r="BR402" i="2"/>
  <c r="BR403" i="2"/>
  <c r="BR404" i="2"/>
  <c r="BR405" i="2"/>
  <c r="BR406" i="2"/>
  <c r="BR407" i="2"/>
  <c r="BR408" i="2"/>
  <c r="BR409" i="2"/>
  <c r="BR410" i="2"/>
  <c r="BR411" i="2"/>
  <c r="BR412" i="2"/>
  <c r="BR413" i="2"/>
  <c r="BR414" i="2"/>
  <c r="BR415" i="2"/>
  <c r="BR416" i="2"/>
  <c r="BR417" i="2"/>
  <c r="BR418" i="2"/>
  <c r="BR419" i="2"/>
  <c r="BR420" i="2"/>
  <c r="BR421" i="2"/>
  <c r="BR422" i="2"/>
  <c r="BR423" i="2"/>
  <c r="BR424" i="2"/>
  <c r="BR425" i="2"/>
  <c r="BR426" i="2"/>
  <c r="BR427" i="2"/>
  <c r="BR428" i="2"/>
  <c r="BR429" i="2"/>
  <c r="BR430" i="2"/>
  <c r="BR431" i="2"/>
  <c r="BR432" i="2"/>
  <c r="BR433" i="2"/>
  <c r="BR434" i="2"/>
  <c r="BR435" i="2"/>
  <c r="BR436" i="2"/>
  <c r="BR437" i="2"/>
  <c r="BR438" i="2"/>
  <c r="BR439" i="2"/>
  <c r="BR440" i="2"/>
  <c r="BR441" i="2"/>
  <c r="BR442" i="2"/>
  <c r="BR443" i="2"/>
  <c r="BR444" i="2"/>
  <c r="BR445" i="2"/>
  <c r="BR446" i="2"/>
  <c r="BR447" i="2"/>
  <c r="BR448" i="2"/>
  <c r="BR449" i="2"/>
  <c r="BR450" i="2"/>
  <c r="BR451" i="2"/>
  <c r="BR452" i="2"/>
  <c r="BR453" i="2"/>
  <c r="BR454" i="2"/>
  <c r="BR455" i="2"/>
  <c r="BR456" i="2"/>
  <c r="BR457" i="2"/>
  <c r="BR458" i="2"/>
  <c r="BR459" i="2"/>
  <c r="BR460" i="2"/>
  <c r="BR461" i="2"/>
  <c r="BR462" i="2"/>
  <c r="BR463" i="2"/>
  <c r="BR464" i="2"/>
  <c r="BR465" i="2"/>
  <c r="BR466" i="2"/>
  <c r="BR467" i="2"/>
  <c r="BR468" i="2"/>
  <c r="BR469" i="2"/>
  <c r="BR470" i="2"/>
  <c r="BR471" i="2"/>
  <c r="BR472" i="2"/>
  <c r="BR473" i="2"/>
  <c r="BR474" i="2"/>
  <c r="BR475" i="2"/>
  <c r="BR476" i="2"/>
  <c r="BR477" i="2"/>
  <c r="BR478" i="2"/>
  <c r="BR479" i="2"/>
  <c r="BR480" i="2"/>
  <c r="BR481" i="2"/>
  <c r="BR482" i="2"/>
  <c r="BR483" i="2"/>
  <c r="BR484" i="2"/>
  <c r="BR485" i="2"/>
  <c r="BR486" i="2"/>
  <c r="BR487" i="2"/>
  <c r="BR488" i="2"/>
  <c r="BR489" i="2"/>
  <c r="BR490" i="2"/>
  <c r="BR491" i="2"/>
  <c r="BR492" i="2"/>
  <c r="BR493" i="2"/>
  <c r="BR494" i="2"/>
  <c r="BR495" i="2"/>
  <c r="BR496" i="2"/>
  <c r="BR497" i="2"/>
  <c r="BR498" i="2"/>
  <c r="BR499" i="2"/>
  <c r="BR500" i="2"/>
  <c r="BR501" i="2"/>
  <c r="BR502" i="2"/>
  <c r="BR503" i="2"/>
  <c r="BR504" i="2"/>
  <c r="BR505" i="2"/>
  <c r="BR506" i="2"/>
  <c r="BR507" i="2"/>
  <c r="BR508" i="2"/>
  <c r="BR509" i="2"/>
  <c r="BR510" i="2"/>
  <c r="BR511" i="2"/>
  <c r="BR512" i="2"/>
  <c r="BR513" i="2"/>
  <c r="BR514" i="2"/>
  <c r="BR515" i="2"/>
  <c r="BR516" i="2"/>
  <c r="BR517" i="2"/>
  <c r="BR518" i="2"/>
  <c r="BR519" i="2"/>
  <c r="BR520" i="2"/>
  <c r="BR521" i="2"/>
  <c r="BR522" i="2"/>
  <c r="BR523" i="2"/>
  <c r="BR524" i="2"/>
  <c r="BR525" i="2"/>
  <c r="BR526" i="2"/>
  <c r="BR527" i="2"/>
  <c r="BR528" i="2"/>
  <c r="BR529" i="2"/>
  <c r="BR530" i="2"/>
  <c r="BR531" i="2"/>
  <c r="BR532" i="2"/>
  <c r="BR533" i="2"/>
  <c r="BR534" i="2"/>
  <c r="BR535" i="2"/>
  <c r="BR536" i="2"/>
  <c r="BR537" i="2"/>
  <c r="BR538" i="2"/>
  <c r="BR539" i="2"/>
  <c r="BR540" i="2"/>
  <c r="BR541" i="2"/>
  <c r="BR542" i="2"/>
  <c r="BR543" i="2"/>
  <c r="BR544" i="2"/>
  <c r="BR545" i="2"/>
  <c r="BR546" i="2"/>
  <c r="BR547" i="2"/>
  <c r="BR548" i="2"/>
  <c r="BR549" i="2"/>
  <c r="BR550" i="2"/>
  <c r="BR551" i="2"/>
  <c r="BR552" i="2"/>
  <c r="BR553" i="2"/>
  <c r="BR554" i="2"/>
  <c r="BR555" i="2"/>
  <c r="BR556" i="2"/>
  <c r="BR557" i="2"/>
  <c r="BR558" i="2"/>
  <c r="BR559" i="2"/>
  <c r="BR560" i="2"/>
  <c r="BR561" i="2"/>
  <c r="BR562" i="2"/>
  <c r="BR563" i="2"/>
  <c r="BR564" i="2"/>
  <c r="BR565" i="2"/>
  <c r="BR566" i="2"/>
  <c r="BR567" i="2"/>
  <c r="BR568" i="2"/>
  <c r="BR569" i="2"/>
  <c r="BR570" i="2"/>
  <c r="BR571" i="2"/>
  <c r="BR572" i="2"/>
  <c r="BR573" i="2"/>
  <c r="BR574" i="2"/>
  <c r="BR575" i="2"/>
  <c r="BR576" i="2"/>
  <c r="BR577" i="2"/>
  <c r="BR578" i="2"/>
  <c r="BR579" i="2"/>
  <c r="BR580" i="2"/>
  <c r="BR581" i="2"/>
  <c r="BR582" i="2"/>
  <c r="BR583" i="2"/>
  <c r="BR584" i="2"/>
  <c r="BR585" i="2"/>
  <c r="BR586" i="2"/>
  <c r="BR587" i="2"/>
  <c r="BR588" i="2"/>
  <c r="BR589" i="2"/>
  <c r="BR590" i="2"/>
  <c r="BR591" i="2"/>
  <c r="BR592" i="2"/>
  <c r="BR593" i="2"/>
  <c r="BR594" i="2"/>
  <c r="BR595" i="2"/>
  <c r="BR596" i="2"/>
  <c r="BR597" i="2"/>
  <c r="BR598" i="2"/>
  <c r="BR599" i="2"/>
  <c r="BR600" i="2"/>
  <c r="BR601" i="2"/>
  <c r="BR602" i="2"/>
  <c r="BR603" i="2"/>
  <c r="BR604" i="2"/>
  <c r="BR605" i="2"/>
  <c r="BR606" i="2"/>
  <c r="BR607" i="2"/>
  <c r="BR608" i="2"/>
  <c r="BR609" i="2"/>
  <c r="BR610" i="2"/>
  <c r="BR611" i="2"/>
  <c r="BR612" i="2"/>
  <c r="BR613" i="2"/>
  <c r="BR614" i="2"/>
  <c r="BR615" i="2"/>
  <c r="BR616" i="2"/>
  <c r="BR617" i="2"/>
  <c r="BR618" i="2"/>
  <c r="BR619" i="2"/>
  <c r="BR620" i="2"/>
  <c r="BR621" i="2"/>
  <c r="BR622" i="2"/>
  <c r="BR623" i="2"/>
  <c r="BR624" i="2"/>
  <c r="BR625" i="2"/>
  <c r="BR626" i="2"/>
  <c r="BR627" i="2"/>
  <c r="BR628" i="2"/>
  <c r="BR629" i="2"/>
  <c r="BR630" i="2"/>
  <c r="BR631" i="2"/>
  <c r="BR632" i="2"/>
  <c r="BR633" i="2"/>
  <c r="BR634" i="2"/>
  <c r="BR635" i="2"/>
  <c r="BR636" i="2"/>
  <c r="BR637" i="2"/>
  <c r="BR638" i="2"/>
  <c r="BR639" i="2"/>
  <c r="BR640" i="2"/>
  <c r="BR641" i="2"/>
  <c r="BR642" i="2"/>
  <c r="BR643" i="2"/>
  <c r="BR644" i="2"/>
  <c r="BR645" i="2"/>
  <c r="BR646" i="2"/>
  <c r="BR647" i="2"/>
  <c r="BR648" i="2"/>
  <c r="BR649" i="2"/>
  <c r="BR650" i="2"/>
  <c r="BR651" i="2"/>
  <c r="BR652" i="2"/>
  <c r="BR653" i="2"/>
  <c r="BR654" i="2"/>
  <c r="BR655" i="2"/>
  <c r="BR656" i="2"/>
  <c r="BR657" i="2"/>
  <c r="BR658" i="2"/>
  <c r="BR659" i="2"/>
  <c r="BR660" i="2"/>
  <c r="BR661" i="2"/>
  <c r="BR662" i="2"/>
  <c r="BR663" i="2"/>
  <c r="BR664" i="2"/>
  <c r="BR665" i="2"/>
  <c r="BR666" i="2"/>
  <c r="BR667" i="2"/>
  <c r="BR668" i="2"/>
  <c r="BR669" i="2"/>
  <c r="BR670" i="2"/>
  <c r="BR671" i="2"/>
  <c r="BR672" i="2"/>
  <c r="BR673" i="2"/>
  <c r="BR674" i="2"/>
  <c r="BR675" i="2"/>
  <c r="BR676" i="2"/>
  <c r="BR677" i="2"/>
  <c r="BR678" i="2"/>
  <c r="BR679" i="2"/>
  <c r="BR680" i="2"/>
  <c r="BR681" i="2"/>
  <c r="BR682" i="2"/>
  <c r="BR683" i="2"/>
  <c r="BR684" i="2"/>
  <c r="BR685" i="2"/>
  <c r="BR686" i="2"/>
  <c r="BR687" i="2"/>
  <c r="BR688" i="2"/>
  <c r="BR689" i="2"/>
  <c r="BR690" i="2"/>
  <c r="BR691" i="2"/>
  <c r="BR692" i="2"/>
  <c r="BR693" i="2"/>
  <c r="BR694" i="2"/>
  <c r="BR695" i="2"/>
  <c r="BR696" i="2"/>
  <c r="BR697" i="2"/>
  <c r="BR698" i="2"/>
  <c r="BR699" i="2"/>
  <c r="BR700" i="2"/>
  <c r="BR701" i="2"/>
  <c r="BR702" i="2"/>
  <c r="BR703" i="2"/>
  <c r="BR704" i="2"/>
  <c r="BR705" i="2"/>
  <c r="BS2" i="2"/>
  <c r="BS3" i="2"/>
  <c r="BS4" i="2"/>
  <c r="BS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S99" i="2"/>
  <c r="BS100" i="2"/>
  <c r="BS101" i="2"/>
  <c r="BS102" i="2"/>
  <c r="BS103" i="2"/>
  <c r="BS104" i="2"/>
  <c r="BS105" i="2"/>
  <c r="BS106" i="2"/>
  <c r="BS107" i="2"/>
  <c r="BS108" i="2"/>
  <c r="BS109" i="2"/>
  <c r="BS110" i="2"/>
  <c r="BS111" i="2"/>
  <c r="BS112" i="2"/>
  <c r="BS113" i="2"/>
  <c r="BS114" i="2"/>
  <c r="BS115" i="2"/>
  <c r="BS116" i="2"/>
  <c r="BS117" i="2"/>
  <c r="BS118" i="2"/>
  <c r="BS119" i="2"/>
  <c r="BS120" i="2"/>
  <c r="BS121" i="2"/>
  <c r="BS122" i="2"/>
  <c r="BS123" i="2"/>
  <c r="BS124" i="2"/>
  <c r="BS125" i="2"/>
  <c r="BS126" i="2"/>
  <c r="BS127" i="2"/>
  <c r="BS128" i="2"/>
  <c r="BS129" i="2"/>
  <c r="BS130" i="2"/>
  <c r="BS131" i="2"/>
  <c r="BS132" i="2"/>
  <c r="BS133" i="2"/>
  <c r="BS134" i="2"/>
  <c r="BS135" i="2"/>
  <c r="BS136" i="2"/>
  <c r="BS137" i="2"/>
  <c r="BS138" i="2"/>
  <c r="BS139" i="2"/>
  <c r="BS140" i="2"/>
  <c r="BS141" i="2"/>
  <c r="BS142" i="2"/>
  <c r="BS143" i="2"/>
  <c r="BS144" i="2"/>
  <c r="BS145" i="2"/>
  <c r="BS146" i="2"/>
  <c r="BS147" i="2"/>
  <c r="BS148" i="2"/>
  <c r="BS149" i="2"/>
  <c r="BS150" i="2"/>
  <c r="BS151" i="2"/>
  <c r="BS152" i="2"/>
  <c r="BS153" i="2"/>
  <c r="BS154" i="2"/>
  <c r="BS155" i="2"/>
  <c r="BS156" i="2"/>
  <c r="BS157" i="2"/>
  <c r="BS158" i="2"/>
  <c r="BS159" i="2"/>
  <c r="BS160" i="2"/>
  <c r="BS161" i="2"/>
  <c r="BS162" i="2"/>
  <c r="BS163" i="2"/>
  <c r="BS164" i="2"/>
  <c r="BS165" i="2"/>
  <c r="BS166" i="2"/>
  <c r="BS167" i="2"/>
  <c r="BS168" i="2"/>
  <c r="BS169" i="2"/>
  <c r="BS170" i="2"/>
  <c r="BS171" i="2"/>
  <c r="BS172" i="2"/>
  <c r="BS173" i="2"/>
  <c r="BS174" i="2"/>
  <c r="BS175" i="2"/>
  <c r="BS176" i="2"/>
  <c r="BS177" i="2"/>
  <c r="BS178" i="2"/>
  <c r="BS179" i="2"/>
  <c r="BS180" i="2"/>
  <c r="BS181" i="2"/>
  <c r="BS182" i="2"/>
  <c r="BS183" i="2"/>
  <c r="BS184" i="2"/>
  <c r="BS185" i="2"/>
  <c r="BS186" i="2"/>
  <c r="BS187" i="2"/>
  <c r="BS188" i="2"/>
  <c r="BS189" i="2"/>
  <c r="BS190" i="2"/>
  <c r="BS191" i="2"/>
  <c r="BS192" i="2"/>
  <c r="BS193" i="2"/>
  <c r="BS194" i="2"/>
  <c r="BS195" i="2"/>
  <c r="BS196" i="2"/>
  <c r="BS197" i="2"/>
  <c r="BS198" i="2"/>
  <c r="BS199" i="2"/>
  <c r="BS200" i="2"/>
  <c r="BS201" i="2"/>
  <c r="BS202" i="2"/>
  <c r="BS203" i="2"/>
  <c r="BS204" i="2"/>
  <c r="BS205" i="2"/>
  <c r="BS206" i="2"/>
  <c r="BS207" i="2"/>
  <c r="BS208" i="2"/>
  <c r="BS209" i="2"/>
  <c r="BS210" i="2"/>
  <c r="BS211" i="2"/>
  <c r="BS212" i="2"/>
  <c r="BS213" i="2"/>
  <c r="BS214" i="2"/>
  <c r="BS215" i="2"/>
  <c r="BS216" i="2"/>
  <c r="BS217" i="2"/>
  <c r="BS218" i="2"/>
  <c r="BS219" i="2"/>
  <c r="BS220" i="2"/>
  <c r="BS221" i="2"/>
  <c r="BS222" i="2"/>
  <c r="BS223" i="2"/>
  <c r="BS224" i="2"/>
  <c r="BS225" i="2"/>
  <c r="BS226" i="2"/>
  <c r="BS227" i="2"/>
  <c r="BS228" i="2"/>
  <c r="BS229" i="2"/>
  <c r="BS230" i="2"/>
  <c r="BS231" i="2"/>
  <c r="BS232" i="2"/>
  <c r="BS233" i="2"/>
  <c r="BS234" i="2"/>
  <c r="BS235" i="2"/>
  <c r="BS236" i="2"/>
  <c r="BS237" i="2"/>
  <c r="BS238" i="2"/>
  <c r="BS239" i="2"/>
  <c r="BS240" i="2"/>
  <c r="BS241" i="2"/>
  <c r="BS242" i="2"/>
  <c r="BS243" i="2"/>
  <c r="BS244" i="2"/>
  <c r="BS245" i="2"/>
  <c r="BS246" i="2"/>
  <c r="BS247" i="2"/>
  <c r="BS248" i="2"/>
  <c r="BS249" i="2"/>
  <c r="BS250" i="2"/>
  <c r="BS251" i="2"/>
  <c r="BS252" i="2"/>
  <c r="BS253" i="2"/>
  <c r="BS254" i="2"/>
  <c r="BS255" i="2"/>
  <c r="BS256" i="2"/>
  <c r="BS257" i="2"/>
  <c r="BS258" i="2"/>
  <c r="BS259" i="2"/>
  <c r="BS260" i="2"/>
  <c r="BS261" i="2"/>
  <c r="BS262" i="2"/>
  <c r="BS263" i="2"/>
  <c r="BS264" i="2"/>
  <c r="BS265" i="2"/>
  <c r="BS266" i="2"/>
  <c r="BS267" i="2"/>
  <c r="BS268" i="2"/>
  <c r="BS269" i="2"/>
  <c r="BS270" i="2"/>
  <c r="BS271" i="2"/>
  <c r="BS272" i="2"/>
  <c r="BS273" i="2"/>
  <c r="BS274" i="2"/>
  <c r="BS275" i="2"/>
  <c r="BS276" i="2"/>
  <c r="BS277" i="2"/>
  <c r="BS278" i="2"/>
  <c r="BS279" i="2"/>
  <c r="BS280" i="2"/>
  <c r="BS281" i="2"/>
  <c r="BS282" i="2"/>
  <c r="BS283" i="2"/>
  <c r="BS284" i="2"/>
  <c r="BS285" i="2"/>
  <c r="BS286" i="2"/>
  <c r="BS287" i="2"/>
  <c r="BS288" i="2"/>
  <c r="BS289" i="2"/>
  <c r="BS290" i="2"/>
  <c r="BS291" i="2"/>
  <c r="BS292" i="2"/>
  <c r="BS293" i="2"/>
  <c r="BS294" i="2"/>
  <c r="BS295" i="2"/>
  <c r="BS296" i="2"/>
  <c r="BS297" i="2"/>
  <c r="BS298" i="2"/>
  <c r="BS299" i="2"/>
  <c r="BS300" i="2"/>
  <c r="BS301" i="2"/>
  <c r="BS302" i="2"/>
  <c r="BS303" i="2"/>
  <c r="BS304" i="2"/>
  <c r="BS305" i="2"/>
  <c r="BS306" i="2"/>
  <c r="BS307" i="2"/>
  <c r="BS308" i="2"/>
  <c r="BS309" i="2"/>
  <c r="BS310" i="2"/>
  <c r="BS311" i="2"/>
  <c r="BS312" i="2"/>
  <c r="BS313" i="2"/>
  <c r="BS314" i="2"/>
  <c r="BS315" i="2"/>
  <c r="BS316" i="2"/>
  <c r="BS317" i="2"/>
  <c r="BS318" i="2"/>
  <c r="BS319" i="2"/>
  <c r="BS320" i="2"/>
  <c r="BS321" i="2"/>
  <c r="BS322" i="2"/>
  <c r="BS323" i="2"/>
  <c r="BS324" i="2"/>
  <c r="BS325" i="2"/>
  <c r="BS326" i="2"/>
  <c r="BS327" i="2"/>
  <c r="BS328" i="2"/>
  <c r="BS329" i="2"/>
  <c r="BS330" i="2"/>
  <c r="BS331" i="2"/>
  <c r="BS332" i="2"/>
  <c r="BS333" i="2"/>
  <c r="BS334" i="2"/>
  <c r="BS335" i="2"/>
  <c r="BS336" i="2"/>
  <c r="BS337" i="2"/>
  <c r="BS338" i="2"/>
  <c r="BS339" i="2"/>
  <c r="BS340" i="2"/>
  <c r="BS341" i="2"/>
  <c r="BS342" i="2"/>
  <c r="BS343" i="2"/>
  <c r="BS344" i="2"/>
  <c r="BS345" i="2"/>
  <c r="BS346" i="2"/>
  <c r="BS347" i="2"/>
  <c r="BS348" i="2"/>
  <c r="BS349" i="2"/>
  <c r="BS350" i="2"/>
  <c r="BS351" i="2"/>
  <c r="BS352" i="2"/>
  <c r="BS353" i="2"/>
  <c r="BS354" i="2"/>
  <c r="BS355" i="2"/>
  <c r="BS356" i="2"/>
  <c r="BS357" i="2"/>
  <c r="BS358" i="2"/>
  <c r="BS359" i="2"/>
  <c r="BS360" i="2"/>
  <c r="BS361" i="2"/>
  <c r="BS362" i="2"/>
  <c r="BS363" i="2"/>
  <c r="BS364" i="2"/>
  <c r="BS365" i="2"/>
  <c r="BS366" i="2"/>
  <c r="BS367" i="2"/>
  <c r="BS368" i="2"/>
  <c r="BS369" i="2"/>
  <c r="BS370" i="2"/>
  <c r="BS371" i="2"/>
  <c r="BS372" i="2"/>
  <c r="BS373" i="2"/>
  <c r="BS374" i="2"/>
  <c r="BS375" i="2"/>
  <c r="BS376" i="2"/>
  <c r="BS377" i="2"/>
  <c r="BS378" i="2"/>
  <c r="BS379" i="2"/>
  <c r="BS380" i="2"/>
  <c r="BS381" i="2"/>
  <c r="BS382" i="2"/>
  <c r="BS383" i="2"/>
  <c r="BS384" i="2"/>
  <c r="BS385" i="2"/>
  <c r="BS386" i="2"/>
  <c r="BS387" i="2"/>
  <c r="BS388" i="2"/>
  <c r="BS389" i="2"/>
  <c r="BS390" i="2"/>
  <c r="BS391" i="2"/>
  <c r="BS392" i="2"/>
  <c r="BS393" i="2"/>
  <c r="BS394" i="2"/>
  <c r="BS395" i="2"/>
  <c r="BS396" i="2"/>
  <c r="BS397" i="2"/>
  <c r="BS398" i="2"/>
  <c r="BS399" i="2"/>
  <c r="BS400" i="2"/>
  <c r="BS401" i="2"/>
  <c r="BS402" i="2"/>
  <c r="BS403" i="2"/>
  <c r="BS404" i="2"/>
  <c r="BS405" i="2"/>
  <c r="BS406" i="2"/>
  <c r="BS407" i="2"/>
  <c r="BS408" i="2"/>
  <c r="BS409" i="2"/>
  <c r="BS410" i="2"/>
  <c r="BS411" i="2"/>
  <c r="BS412" i="2"/>
  <c r="BS413" i="2"/>
  <c r="BS414" i="2"/>
  <c r="BS415" i="2"/>
  <c r="BS416" i="2"/>
  <c r="BS417" i="2"/>
  <c r="BS418" i="2"/>
  <c r="BS419" i="2"/>
  <c r="BS420" i="2"/>
  <c r="BS421" i="2"/>
  <c r="BS422" i="2"/>
  <c r="BS423" i="2"/>
  <c r="BS424" i="2"/>
  <c r="BS425" i="2"/>
  <c r="BS426" i="2"/>
  <c r="BS427" i="2"/>
  <c r="BS428" i="2"/>
  <c r="BS429" i="2"/>
  <c r="BS430" i="2"/>
  <c r="BS431" i="2"/>
  <c r="BS432" i="2"/>
  <c r="BS433" i="2"/>
  <c r="BS434" i="2"/>
  <c r="BS435" i="2"/>
  <c r="BS436" i="2"/>
  <c r="BS437" i="2"/>
  <c r="BS438" i="2"/>
  <c r="BS439" i="2"/>
  <c r="BS440" i="2"/>
  <c r="BS441" i="2"/>
  <c r="BS442" i="2"/>
  <c r="BS443" i="2"/>
  <c r="BS444" i="2"/>
  <c r="BS445" i="2"/>
  <c r="BS446" i="2"/>
  <c r="BS447" i="2"/>
  <c r="BS448" i="2"/>
  <c r="BS449" i="2"/>
  <c r="BS450" i="2"/>
  <c r="BS451" i="2"/>
  <c r="BS452" i="2"/>
  <c r="BS453" i="2"/>
  <c r="BS454" i="2"/>
  <c r="BS455" i="2"/>
  <c r="BS456" i="2"/>
  <c r="BS457" i="2"/>
  <c r="BS458" i="2"/>
  <c r="BS459" i="2"/>
  <c r="BS460" i="2"/>
  <c r="BS461" i="2"/>
  <c r="BS462" i="2"/>
  <c r="BS463" i="2"/>
  <c r="BS464" i="2"/>
  <c r="BS465" i="2"/>
  <c r="BS466" i="2"/>
  <c r="BS467" i="2"/>
  <c r="BS468" i="2"/>
  <c r="BS469" i="2"/>
  <c r="BS470" i="2"/>
  <c r="BS471" i="2"/>
  <c r="BS472" i="2"/>
  <c r="BS473" i="2"/>
  <c r="BS474" i="2"/>
  <c r="BS475" i="2"/>
  <c r="BS476" i="2"/>
  <c r="BS477" i="2"/>
  <c r="BS478" i="2"/>
  <c r="BS479" i="2"/>
  <c r="BS480" i="2"/>
  <c r="BS481" i="2"/>
  <c r="BS482" i="2"/>
  <c r="BS483" i="2"/>
  <c r="BS484" i="2"/>
  <c r="BS485" i="2"/>
  <c r="BS486" i="2"/>
  <c r="BS487" i="2"/>
  <c r="BS488" i="2"/>
  <c r="BS489" i="2"/>
  <c r="BS490" i="2"/>
  <c r="BS491" i="2"/>
  <c r="BS492" i="2"/>
  <c r="BS493" i="2"/>
  <c r="BS494" i="2"/>
  <c r="BS495" i="2"/>
  <c r="BS496" i="2"/>
  <c r="BS497" i="2"/>
  <c r="BS498" i="2"/>
  <c r="BS499" i="2"/>
  <c r="BS500" i="2"/>
  <c r="BS501" i="2"/>
  <c r="BS502" i="2"/>
  <c r="BS503" i="2"/>
  <c r="BS504" i="2"/>
  <c r="BS505" i="2"/>
  <c r="BS506" i="2"/>
  <c r="BS507" i="2"/>
  <c r="BS508" i="2"/>
  <c r="BS509" i="2"/>
  <c r="BS510" i="2"/>
  <c r="BS511" i="2"/>
  <c r="BS512" i="2"/>
  <c r="BS513" i="2"/>
  <c r="BS514" i="2"/>
  <c r="BS515" i="2"/>
  <c r="BS516" i="2"/>
  <c r="BS517" i="2"/>
  <c r="BS518" i="2"/>
  <c r="BS519" i="2"/>
  <c r="BS520" i="2"/>
  <c r="BS521" i="2"/>
  <c r="BS522" i="2"/>
  <c r="BS523" i="2"/>
  <c r="BS524" i="2"/>
  <c r="BS525" i="2"/>
  <c r="BS526" i="2"/>
  <c r="BS527" i="2"/>
  <c r="BS528" i="2"/>
  <c r="BS529" i="2"/>
  <c r="BS530" i="2"/>
  <c r="BS531" i="2"/>
  <c r="BS532" i="2"/>
  <c r="BS533" i="2"/>
  <c r="BS534" i="2"/>
  <c r="BS535" i="2"/>
  <c r="BS536" i="2"/>
  <c r="BS537" i="2"/>
  <c r="BS538" i="2"/>
  <c r="BS539" i="2"/>
  <c r="BS540" i="2"/>
  <c r="BS541" i="2"/>
  <c r="BS542" i="2"/>
  <c r="BS543" i="2"/>
  <c r="BS544" i="2"/>
  <c r="BS545" i="2"/>
  <c r="BS546" i="2"/>
  <c r="BS547" i="2"/>
  <c r="BS548" i="2"/>
  <c r="BS549" i="2"/>
  <c r="BS550" i="2"/>
  <c r="BS551" i="2"/>
  <c r="BS552" i="2"/>
  <c r="BS553" i="2"/>
  <c r="BS554" i="2"/>
  <c r="BS555" i="2"/>
  <c r="BS556" i="2"/>
  <c r="BS557" i="2"/>
  <c r="BS558" i="2"/>
  <c r="BS559" i="2"/>
  <c r="BS560" i="2"/>
  <c r="BS561" i="2"/>
  <c r="BS562" i="2"/>
  <c r="BS563" i="2"/>
  <c r="BS564" i="2"/>
  <c r="BS565" i="2"/>
  <c r="BS566" i="2"/>
  <c r="BS567" i="2"/>
  <c r="BS568" i="2"/>
  <c r="BS569" i="2"/>
  <c r="BS570" i="2"/>
  <c r="BS571" i="2"/>
  <c r="BS572" i="2"/>
  <c r="BS573" i="2"/>
  <c r="BS574" i="2"/>
  <c r="BS575" i="2"/>
  <c r="BS576" i="2"/>
  <c r="BS577" i="2"/>
  <c r="BS578" i="2"/>
  <c r="BS579" i="2"/>
  <c r="BS580" i="2"/>
  <c r="BS581" i="2"/>
  <c r="BS582" i="2"/>
  <c r="BS583" i="2"/>
  <c r="BS584" i="2"/>
  <c r="BS585" i="2"/>
  <c r="BS586" i="2"/>
  <c r="BS587" i="2"/>
  <c r="BS588" i="2"/>
  <c r="BS589" i="2"/>
  <c r="BS590" i="2"/>
  <c r="BS591" i="2"/>
  <c r="BS592" i="2"/>
  <c r="BS593" i="2"/>
  <c r="BS594" i="2"/>
  <c r="BS595" i="2"/>
  <c r="BS596" i="2"/>
  <c r="BS597" i="2"/>
  <c r="BS598" i="2"/>
  <c r="BS599" i="2"/>
  <c r="BS600" i="2"/>
  <c r="BS601" i="2"/>
  <c r="BS602" i="2"/>
  <c r="BS603" i="2"/>
  <c r="BS604" i="2"/>
  <c r="BS605" i="2"/>
  <c r="BS606" i="2"/>
  <c r="BS607" i="2"/>
  <c r="BS608" i="2"/>
  <c r="BS609" i="2"/>
  <c r="BS610" i="2"/>
  <c r="BS611" i="2"/>
  <c r="BS612" i="2"/>
  <c r="BS613" i="2"/>
  <c r="BS614" i="2"/>
  <c r="BS615" i="2"/>
  <c r="BS616" i="2"/>
  <c r="BS617" i="2"/>
  <c r="BS618" i="2"/>
  <c r="BS619" i="2"/>
  <c r="BS620" i="2"/>
  <c r="BS621" i="2"/>
  <c r="BS622" i="2"/>
  <c r="BS623" i="2"/>
  <c r="BS624" i="2"/>
  <c r="BS625" i="2"/>
  <c r="BS626" i="2"/>
  <c r="BS627" i="2"/>
  <c r="BS628" i="2"/>
  <c r="BS629" i="2"/>
  <c r="BS630" i="2"/>
  <c r="BS631" i="2"/>
  <c r="BS632" i="2"/>
  <c r="BS633" i="2"/>
  <c r="BS634" i="2"/>
  <c r="BS635" i="2"/>
  <c r="BS636" i="2"/>
  <c r="BS637" i="2"/>
  <c r="BS638" i="2"/>
  <c r="BS639" i="2"/>
  <c r="BS640" i="2"/>
  <c r="BS641" i="2"/>
  <c r="BS642" i="2"/>
  <c r="BS643" i="2"/>
  <c r="BS644" i="2"/>
  <c r="BS645" i="2"/>
  <c r="BS646" i="2"/>
  <c r="BS647" i="2"/>
  <c r="BS648" i="2"/>
  <c r="BS649" i="2"/>
  <c r="BS650" i="2"/>
  <c r="BS651" i="2"/>
  <c r="BS652" i="2"/>
  <c r="BS653" i="2"/>
  <c r="BS654" i="2"/>
  <c r="BS655" i="2"/>
  <c r="BS656" i="2"/>
  <c r="BS657" i="2"/>
  <c r="BS658" i="2"/>
  <c r="BS659" i="2"/>
  <c r="BS660" i="2"/>
  <c r="BS661" i="2"/>
  <c r="BS662" i="2"/>
  <c r="BS663" i="2"/>
  <c r="BS664" i="2"/>
  <c r="BS665" i="2"/>
  <c r="BS666" i="2"/>
  <c r="BS667" i="2"/>
  <c r="BS668" i="2"/>
  <c r="BS669" i="2"/>
  <c r="BS670" i="2"/>
  <c r="BS671" i="2"/>
  <c r="BS672" i="2"/>
  <c r="BS673" i="2"/>
  <c r="BS674" i="2"/>
  <c r="BS675" i="2"/>
  <c r="BS676" i="2"/>
  <c r="BS677" i="2"/>
  <c r="BS678" i="2"/>
  <c r="BS679" i="2"/>
  <c r="BS680" i="2"/>
  <c r="BS681" i="2"/>
  <c r="BS682" i="2"/>
  <c r="BS683" i="2"/>
  <c r="BS684" i="2"/>
  <c r="BS685" i="2"/>
  <c r="BS686" i="2"/>
  <c r="BS687" i="2"/>
  <c r="BS688" i="2"/>
  <c r="BS689" i="2"/>
  <c r="BS690" i="2"/>
  <c r="BS691" i="2"/>
  <c r="BS692" i="2"/>
  <c r="BS693" i="2"/>
  <c r="BS694" i="2"/>
  <c r="BS695" i="2"/>
  <c r="BS696" i="2"/>
  <c r="BS697" i="2"/>
  <c r="BS698" i="2"/>
  <c r="BS699" i="2"/>
  <c r="BS700" i="2"/>
  <c r="BS701" i="2"/>
  <c r="BS702" i="2"/>
  <c r="BS703" i="2"/>
  <c r="BS704" i="2"/>
  <c r="BS705" i="2"/>
  <c r="BT2" i="2"/>
  <c r="BT3" i="2"/>
  <c r="BT4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T67" i="2"/>
  <c r="BT68" i="2"/>
  <c r="BT69" i="2"/>
  <c r="BT70" i="2"/>
  <c r="BT71" i="2"/>
  <c r="BT72" i="2"/>
  <c r="BT73" i="2"/>
  <c r="BT74" i="2"/>
  <c r="BT75" i="2"/>
  <c r="BT76" i="2"/>
  <c r="BT77" i="2"/>
  <c r="BT78" i="2"/>
  <c r="BT79" i="2"/>
  <c r="BT80" i="2"/>
  <c r="BT81" i="2"/>
  <c r="BT82" i="2"/>
  <c r="BT83" i="2"/>
  <c r="BT84" i="2"/>
  <c r="BT85" i="2"/>
  <c r="BT86" i="2"/>
  <c r="BT87" i="2"/>
  <c r="BT88" i="2"/>
  <c r="BT89" i="2"/>
  <c r="BT90" i="2"/>
  <c r="BT91" i="2"/>
  <c r="BT92" i="2"/>
  <c r="BT93" i="2"/>
  <c r="BT94" i="2"/>
  <c r="BT95" i="2"/>
  <c r="BT96" i="2"/>
  <c r="BT97" i="2"/>
  <c r="BT98" i="2"/>
  <c r="BT99" i="2"/>
  <c r="BT100" i="2"/>
  <c r="BT101" i="2"/>
  <c r="BT102" i="2"/>
  <c r="BT103" i="2"/>
  <c r="BT104" i="2"/>
  <c r="BT105" i="2"/>
  <c r="BT106" i="2"/>
  <c r="BT107" i="2"/>
  <c r="BT108" i="2"/>
  <c r="BT109" i="2"/>
  <c r="BT110" i="2"/>
  <c r="BT111" i="2"/>
  <c r="BT112" i="2"/>
  <c r="BT113" i="2"/>
  <c r="BT114" i="2"/>
  <c r="BT115" i="2"/>
  <c r="BT116" i="2"/>
  <c r="BT117" i="2"/>
  <c r="BT118" i="2"/>
  <c r="BT119" i="2"/>
  <c r="BT120" i="2"/>
  <c r="BT121" i="2"/>
  <c r="BT122" i="2"/>
  <c r="BT123" i="2"/>
  <c r="BT124" i="2"/>
  <c r="BT125" i="2"/>
  <c r="BT126" i="2"/>
  <c r="BT127" i="2"/>
  <c r="BT128" i="2"/>
  <c r="BT129" i="2"/>
  <c r="BT130" i="2"/>
  <c r="BT131" i="2"/>
  <c r="BT132" i="2"/>
  <c r="BT133" i="2"/>
  <c r="BT134" i="2"/>
  <c r="BT135" i="2"/>
  <c r="BT136" i="2"/>
  <c r="BT137" i="2"/>
  <c r="BT138" i="2"/>
  <c r="BT139" i="2"/>
  <c r="BT140" i="2"/>
  <c r="BT141" i="2"/>
  <c r="BT142" i="2"/>
  <c r="BT143" i="2"/>
  <c r="BT144" i="2"/>
  <c r="BT145" i="2"/>
  <c r="BT146" i="2"/>
  <c r="BT147" i="2"/>
  <c r="BT148" i="2"/>
  <c r="BT149" i="2"/>
  <c r="BT150" i="2"/>
  <c r="BT151" i="2"/>
  <c r="BT152" i="2"/>
  <c r="BT153" i="2"/>
  <c r="BT154" i="2"/>
  <c r="BT155" i="2"/>
  <c r="BT156" i="2"/>
  <c r="BT157" i="2"/>
  <c r="BT158" i="2"/>
  <c r="BT159" i="2"/>
  <c r="BT160" i="2"/>
  <c r="BT161" i="2"/>
  <c r="BT162" i="2"/>
  <c r="BT163" i="2"/>
  <c r="BT164" i="2"/>
  <c r="BT165" i="2"/>
  <c r="BT166" i="2"/>
  <c r="BT167" i="2"/>
  <c r="BT168" i="2"/>
  <c r="BT169" i="2"/>
  <c r="BT170" i="2"/>
  <c r="BT171" i="2"/>
  <c r="BT172" i="2"/>
  <c r="BT173" i="2"/>
  <c r="BT174" i="2"/>
  <c r="BT175" i="2"/>
  <c r="BT176" i="2"/>
  <c r="BT177" i="2"/>
  <c r="BT178" i="2"/>
  <c r="BT179" i="2"/>
  <c r="BT180" i="2"/>
  <c r="BT181" i="2"/>
  <c r="BT182" i="2"/>
  <c r="BT183" i="2"/>
  <c r="BT184" i="2"/>
  <c r="BT185" i="2"/>
  <c r="BT186" i="2"/>
  <c r="BT187" i="2"/>
  <c r="BT188" i="2"/>
  <c r="BT189" i="2"/>
  <c r="BT190" i="2"/>
  <c r="BT191" i="2"/>
  <c r="BT192" i="2"/>
  <c r="BT193" i="2"/>
  <c r="BT194" i="2"/>
  <c r="BT195" i="2"/>
  <c r="BT196" i="2"/>
  <c r="BT197" i="2"/>
  <c r="BT198" i="2"/>
  <c r="BT199" i="2"/>
  <c r="BT200" i="2"/>
  <c r="BT201" i="2"/>
  <c r="BT202" i="2"/>
  <c r="BT203" i="2"/>
  <c r="BT204" i="2"/>
  <c r="BT205" i="2"/>
  <c r="BT206" i="2"/>
  <c r="BT207" i="2"/>
  <c r="BT208" i="2"/>
  <c r="BT209" i="2"/>
  <c r="BT210" i="2"/>
  <c r="BT211" i="2"/>
  <c r="BT212" i="2"/>
  <c r="BT213" i="2"/>
  <c r="BT214" i="2"/>
  <c r="BT215" i="2"/>
  <c r="BT216" i="2"/>
  <c r="BT217" i="2"/>
  <c r="BT218" i="2"/>
  <c r="BT219" i="2"/>
  <c r="BT220" i="2"/>
  <c r="BT221" i="2"/>
  <c r="BT222" i="2"/>
  <c r="BT223" i="2"/>
  <c r="BT224" i="2"/>
  <c r="BT225" i="2"/>
  <c r="BT226" i="2"/>
  <c r="BT227" i="2"/>
  <c r="BT228" i="2"/>
  <c r="BT229" i="2"/>
  <c r="BT230" i="2"/>
  <c r="BT231" i="2"/>
  <c r="BT232" i="2"/>
  <c r="BT233" i="2"/>
  <c r="BT234" i="2"/>
  <c r="BT235" i="2"/>
  <c r="BT236" i="2"/>
  <c r="BT237" i="2"/>
  <c r="BT238" i="2"/>
  <c r="BT239" i="2"/>
  <c r="BT240" i="2"/>
  <c r="BT241" i="2"/>
  <c r="BT242" i="2"/>
  <c r="BT243" i="2"/>
  <c r="BT244" i="2"/>
  <c r="BT245" i="2"/>
  <c r="BT246" i="2"/>
  <c r="BT247" i="2"/>
  <c r="BT248" i="2"/>
  <c r="BT249" i="2"/>
  <c r="BT250" i="2"/>
  <c r="BT251" i="2"/>
  <c r="BT252" i="2"/>
  <c r="BT253" i="2"/>
  <c r="BT254" i="2"/>
  <c r="BT255" i="2"/>
  <c r="BT256" i="2"/>
  <c r="BT257" i="2"/>
  <c r="BT258" i="2"/>
  <c r="BT259" i="2"/>
  <c r="BT260" i="2"/>
  <c r="BT261" i="2"/>
  <c r="BT262" i="2"/>
  <c r="BT263" i="2"/>
  <c r="BT264" i="2"/>
  <c r="BT265" i="2"/>
  <c r="BT266" i="2"/>
  <c r="BT267" i="2"/>
  <c r="BT268" i="2"/>
  <c r="BT269" i="2"/>
  <c r="BT270" i="2"/>
  <c r="BT271" i="2"/>
  <c r="BT272" i="2"/>
  <c r="BT273" i="2"/>
  <c r="BT274" i="2"/>
  <c r="BT275" i="2"/>
  <c r="BT276" i="2"/>
  <c r="BT277" i="2"/>
  <c r="BT278" i="2"/>
  <c r="BT279" i="2"/>
  <c r="BT280" i="2"/>
  <c r="BT281" i="2"/>
  <c r="BT282" i="2"/>
  <c r="BT283" i="2"/>
  <c r="BT284" i="2"/>
  <c r="BT285" i="2"/>
  <c r="BT286" i="2"/>
  <c r="BT287" i="2"/>
  <c r="BT288" i="2"/>
  <c r="BT289" i="2"/>
  <c r="BT290" i="2"/>
  <c r="BT291" i="2"/>
  <c r="BT292" i="2"/>
  <c r="BT293" i="2"/>
  <c r="BT294" i="2"/>
  <c r="BT295" i="2"/>
  <c r="BT296" i="2"/>
  <c r="BT297" i="2"/>
  <c r="BT298" i="2"/>
  <c r="BT299" i="2"/>
  <c r="BT300" i="2"/>
  <c r="BT301" i="2"/>
  <c r="BT302" i="2"/>
  <c r="BT303" i="2"/>
  <c r="BT304" i="2"/>
  <c r="BT305" i="2"/>
  <c r="BT306" i="2"/>
  <c r="BT307" i="2"/>
  <c r="BT308" i="2"/>
  <c r="BT309" i="2"/>
  <c r="BT310" i="2"/>
  <c r="BT311" i="2"/>
  <c r="BT312" i="2"/>
  <c r="BT313" i="2"/>
  <c r="BT314" i="2"/>
  <c r="BT315" i="2"/>
  <c r="BT316" i="2"/>
  <c r="BT317" i="2"/>
  <c r="BT318" i="2"/>
  <c r="BT319" i="2"/>
  <c r="BT320" i="2"/>
  <c r="BT321" i="2"/>
  <c r="BT322" i="2"/>
  <c r="BT323" i="2"/>
  <c r="BT324" i="2"/>
  <c r="BT325" i="2"/>
  <c r="BT326" i="2"/>
  <c r="BT327" i="2"/>
  <c r="BT328" i="2"/>
  <c r="BT329" i="2"/>
  <c r="BT330" i="2"/>
  <c r="BT331" i="2"/>
  <c r="BT332" i="2"/>
  <c r="BT333" i="2"/>
  <c r="BT334" i="2"/>
  <c r="BT335" i="2"/>
  <c r="BT336" i="2"/>
  <c r="BT337" i="2"/>
  <c r="BT338" i="2"/>
  <c r="BT339" i="2"/>
  <c r="BT340" i="2"/>
  <c r="BT341" i="2"/>
  <c r="BT342" i="2"/>
  <c r="BT343" i="2"/>
  <c r="BT344" i="2"/>
  <c r="BT345" i="2"/>
  <c r="BT346" i="2"/>
  <c r="BT347" i="2"/>
  <c r="BT348" i="2"/>
  <c r="BT349" i="2"/>
  <c r="BT350" i="2"/>
  <c r="BT351" i="2"/>
  <c r="BT352" i="2"/>
  <c r="BT353" i="2"/>
  <c r="BT354" i="2"/>
  <c r="BT355" i="2"/>
  <c r="BT356" i="2"/>
  <c r="BT357" i="2"/>
  <c r="BT358" i="2"/>
  <c r="BT359" i="2"/>
  <c r="BT360" i="2"/>
  <c r="BT361" i="2"/>
  <c r="BT362" i="2"/>
  <c r="BT363" i="2"/>
  <c r="BT364" i="2"/>
  <c r="BT365" i="2"/>
  <c r="BT366" i="2"/>
  <c r="BT367" i="2"/>
  <c r="BT368" i="2"/>
  <c r="BT369" i="2"/>
  <c r="BT370" i="2"/>
  <c r="BT371" i="2"/>
  <c r="BT372" i="2"/>
  <c r="BT373" i="2"/>
  <c r="BT374" i="2"/>
  <c r="BT375" i="2"/>
  <c r="BT376" i="2"/>
  <c r="BT377" i="2"/>
  <c r="BT378" i="2"/>
  <c r="BT379" i="2"/>
  <c r="BT380" i="2"/>
  <c r="BT381" i="2"/>
  <c r="BT382" i="2"/>
  <c r="BT383" i="2"/>
  <c r="BT384" i="2"/>
  <c r="BT385" i="2"/>
  <c r="BT386" i="2"/>
  <c r="BT387" i="2"/>
  <c r="BT388" i="2"/>
  <c r="BT389" i="2"/>
  <c r="BT390" i="2"/>
  <c r="BT391" i="2"/>
  <c r="BT392" i="2"/>
  <c r="BT393" i="2"/>
  <c r="BT394" i="2"/>
  <c r="BT395" i="2"/>
  <c r="BT396" i="2"/>
  <c r="BT397" i="2"/>
  <c r="BT398" i="2"/>
  <c r="BT399" i="2"/>
  <c r="BT400" i="2"/>
  <c r="BT401" i="2"/>
  <c r="BT402" i="2"/>
  <c r="BT403" i="2"/>
  <c r="BT404" i="2"/>
  <c r="BT405" i="2"/>
  <c r="BT406" i="2"/>
  <c r="BT407" i="2"/>
  <c r="BT408" i="2"/>
  <c r="BT409" i="2"/>
  <c r="BT410" i="2"/>
  <c r="BT411" i="2"/>
  <c r="BT412" i="2"/>
  <c r="BT413" i="2"/>
  <c r="BT414" i="2"/>
  <c r="BT415" i="2"/>
  <c r="BT416" i="2"/>
  <c r="BT417" i="2"/>
  <c r="BT418" i="2"/>
  <c r="BT419" i="2"/>
  <c r="BT420" i="2"/>
  <c r="BT421" i="2"/>
  <c r="BT422" i="2"/>
  <c r="BT423" i="2"/>
  <c r="BT424" i="2"/>
  <c r="BT425" i="2"/>
  <c r="BT426" i="2"/>
  <c r="BT427" i="2"/>
  <c r="BT428" i="2"/>
  <c r="BT429" i="2"/>
  <c r="BT430" i="2"/>
  <c r="BT431" i="2"/>
  <c r="BT432" i="2"/>
  <c r="BT433" i="2"/>
  <c r="BT434" i="2"/>
  <c r="BT435" i="2"/>
  <c r="BT436" i="2"/>
  <c r="BT437" i="2"/>
  <c r="BT438" i="2"/>
  <c r="BT439" i="2"/>
  <c r="BT440" i="2"/>
  <c r="BT441" i="2"/>
  <c r="BT442" i="2"/>
  <c r="BT443" i="2"/>
  <c r="BT444" i="2"/>
  <c r="BT445" i="2"/>
  <c r="BT446" i="2"/>
  <c r="BT447" i="2"/>
  <c r="BT448" i="2"/>
  <c r="BT449" i="2"/>
  <c r="BT450" i="2"/>
  <c r="BT451" i="2"/>
  <c r="BT452" i="2"/>
  <c r="BT453" i="2"/>
  <c r="BT454" i="2"/>
  <c r="BT455" i="2"/>
  <c r="BT456" i="2"/>
  <c r="BT457" i="2"/>
  <c r="BT458" i="2"/>
  <c r="BT459" i="2"/>
  <c r="BT460" i="2"/>
  <c r="BT461" i="2"/>
  <c r="BT462" i="2"/>
  <c r="BT463" i="2"/>
  <c r="BT464" i="2"/>
  <c r="BT465" i="2"/>
  <c r="BT466" i="2"/>
  <c r="BT467" i="2"/>
  <c r="BT468" i="2"/>
  <c r="BT469" i="2"/>
  <c r="BT470" i="2"/>
  <c r="BT471" i="2"/>
  <c r="BT472" i="2"/>
  <c r="BT473" i="2"/>
  <c r="BT474" i="2"/>
  <c r="BT475" i="2"/>
  <c r="BT476" i="2"/>
  <c r="BT477" i="2"/>
  <c r="BT478" i="2"/>
  <c r="BT479" i="2"/>
  <c r="BT480" i="2"/>
  <c r="BT481" i="2"/>
  <c r="BT482" i="2"/>
  <c r="BT483" i="2"/>
  <c r="BT484" i="2"/>
  <c r="BT485" i="2"/>
  <c r="BT486" i="2"/>
  <c r="BT487" i="2"/>
  <c r="BT488" i="2"/>
  <c r="BT489" i="2"/>
  <c r="BT490" i="2"/>
  <c r="BT491" i="2"/>
  <c r="BT492" i="2"/>
  <c r="BT493" i="2"/>
  <c r="BT494" i="2"/>
  <c r="BT495" i="2"/>
  <c r="BT496" i="2"/>
  <c r="BT497" i="2"/>
  <c r="BT498" i="2"/>
  <c r="BT499" i="2"/>
  <c r="BT500" i="2"/>
  <c r="BT501" i="2"/>
  <c r="BT502" i="2"/>
  <c r="BT503" i="2"/>
  <c r="BT504" i="2"/>
  <c r="BT505" i="2"/>
  <c r="BT506" i="2"/>
  <c r="BT507" i="2"/>
  <c r="BT508" i="2"/>
  <c r="BT509" i="2"/>
  <c r="BT510" i="2"/>
  <c r="BT511" i="2"/>
  <c r="BT512" i="2"/>
  <c r="BT513" i="2"/>
  <c r="BT514" i="2"/>
  <c r="BT515" i="2"/>
  <c r="BT516" i="2"/>
  <c r="BT517" i="2"/>
  <c r="BT518" i="2"/>
  <c r="BT519" i="2"/>
  <c r="BT520" i="2"/>
  <c r="BT521" i="2"/>
  <c r="BT522" i="2"/>
  <c r="BT523" i="2"/>
  <c r="BT524" i="2"/>
  <c r="BT525" i="2"/>
  <c r="BT526" i="2"/>
  <c r="BT527" i="2"/>
  <c r="BT528" i="2"/>
  <c r="BT529" i="2"/>
  <c r="BT530" i="2"/>
  <c r="BT531" i="2"/>
  <c r="BT532" i="2"/>
  <c r="BT533" i="2"/>
  <c r="BT534" i="2"/>
  <c r="BT535" i="2"/>
  <c r="BT536" i="2"/>
  <c r="BT537" i="2"/>
  <c r="BT538" i="2"/>
  <c r="BT539" i="2"/>
  <c r="BT540" i="2"/>
  <c r="BT541" i="2"/>
  <c r="BT542" i="2"/>
  <c r="BT543" i="2"/>
  <c r="BT544" i="2"/>
  <c r="BT545" i="2"/>
  <c r="BT546" i="2"/>
  <c r="BT547" i="2"/>
  <c r="BT548" i="2"/>
  <c r="BT549" i="2"/>
  <c r="BT550" i="2"/>
  <c r="BT551" i="2"/>
  <c r="BT552" i="2"/>
  <c r="BT553" i="2"/>
  <c r="BT554" i="2"/>
  <c r="BT555" i="2"/>
  <c r="BT556" i="2"/>
  <c r="BT557" i="2"/>
  <c r="BT558" i="2"/>
  <c r="BT559" i="2"/>
  <c r="BT560" i="2"/>
  <c r="BT561" i="2"/>
  <c r="BT562" i="2"/>
  <c r="BT563" i="2"/>
  <c r="BT564" i="2"/>
  <c r="BT565" i="2"/>
  <c r="BT566" i="2"/>
  <c r="BT567" i="2"/>
  <c r="BT568" i="2"/>
  <c r="BT569" i="2"/>
  <c r="BT570" i="2"/>
  <c r="BT571" i="2"/>
  <c r="BT572" i="2"/>
  <c r="BT573" i="2"/>
  <c r="BT574" i="2"/>
  <c r="BT575" i="2"/>
  <c r="BT576" i="2"/>
  <c r="BT577" i="2"/>
  <c r="BT578" i="2"/>
  <c r="BT579" i="2"/>
  <c r="BT580" i="2"/>
  <c r="BT581" i="2"/>
  <c r="BT582" i="2"/>
  <c r="BT583" i="2"/>
  <c r="BT584" i="2"/>
  <c r="BT585" i="2"/>
  <c r="BT586" i="2"/>
  <c r="BT587" i="2"/>
  <c r="BT588" i="2"/>
  <c r="BT589" i="2"/>
  <c r="BT590" i="2"/>
  <c r="BT591" i="2"/>
  <c r="BT592" i="2"/>
  <c r="BT593" i="2"/>
  <c r="BT594" i="2"/>
  <c r="BT595" i="2"/>
  <c r="BT596" i="2"/>
  <c r="BT597" i="2"/>
  <c r="BT598" i="2"/>
  <c r="BT599" i="2"/>
  <c r="BT600" i="2"/>
  <c r="BT601" i="2"/>
  <c r="BT602" i="2"/>
  <c r="BT603" i="2"/>
  <c r="BT604" i="2"/>
  <c r="BT605" i="2"/>
  <c r="BT606" i="2"/>
  <c r="BT607" i="2"/>
  <c r="BT608" i="2"/>
  <c r="BT609" i="2"/>
  <c r="BT610" i="2"/>
  <c r="BT611" i="2"/>
  <c r="BT612" i="2"/>
  <c r="BT613" i="2"/>
  <c r="BT614" i="2"/>
  <c r="BT615" i="2"/>
  <c r="BT616" i="2"/>
  <c r="BT617" i="2"/>
  <c r="BT618" i="2"/>
  <c r="BT619" i="2"/>
  <c r="BT620" i="2"/>
  <c r="BT621" i="2"/>
  <c r="BT622" i="2"/>
  <c r="BT623" i="2"/>
  <c r="BT624" i="2"/>
  <c r="BT625" i="2"/>
  <c r="BT626" i="2"/>
  <c r="BT627" i="2"/>
  <c r="BT628" i="2"/>
  <c r="BT629" i="2"/>
  <c r="BT630" i="2"/>
  <c r="BT631" i="2"/>
  <c r="BT632" i="2"/>
  <c r="BT633" i="2"/>
  <c r="BT634" i="2"/>
  <c r="BT635" i="2"/>
  <c r="BT636" i="2"/>
  <c r="BT637" i="2"/>
  <c r="BT638" i="2"/>
  <c r="BT639" i="2"/>
  <c r="BT640" i="2"/>
  <c r="BT641" i="2"/>
  <c r="BT642" i="2"/>
  <c r="BT643" i="2"/>
  <c r="BT644" i="2"/>
  <c r="BT645" i="2"/>
  <c r="BT646" i="2"/>
  <c r="BT647" i="2"/>
  <c r="BT648" i="2"/>
  <c r="BT649" i="2"/>
  <c r="BT650" i="2"/>
  <c r="BT651" i="2"/>
  <c r="BT652" i="2"/>
  <c r="BT653" i="2"/>
  <c r="BT654" i="2"/>
  <c r="BT655" i="2"/>
  <c r="BT656" i="2"/>
  <c r="BT657" i="2"/>
  <c r="BT658" i="2"/>
  <c r="BT659" i="2"/>
  <c r="BT660" i="2"/>
  <c r="BT661" i="2"/>
  <c r="BT662" i="2"/>
  <c r="BT663" i="2"/>
  <c r="BT664" i="2"/>
  <c r="BT665" i="2"/>
  <c r="BT666" i="2"/>
  <c r="BT667" i="2"/>
  <c r="BT668" i="2"/>
  <c r="BT669" i="2"/>
  <c r="BT670" i="2"/>
  <c r="BT671" i="2"/>
  <c r="BT672" i="2"/>
  <c r="BT673" i="2"/>
  <c r="BT674" i="2"/>
  <c r="BT675" i="2"/>
  <c r="BT676" i="2"/>
  <c r="BT677" i="2"/>
  <c r="BT678" i="2"/>
  <c r="BT679" i="2"/>
  <c r="BT680" i="2"/>
  <c r="BT681" i="2"/>
  <c r="BT682" i="2"/>
  <c r="BT683" i="2"/>
  <c r="BT684" i="2"/>
  <c r="BT685" i="2"/>
  <c r="BT686" i="2"/>
  <c r="BT687" i="2"/>
  <c r="BT688" i="2"/>
  <c r="BT689" i="2"/>
  <c r="BT690" i="2"/>
  <c r="BT691" i="2"/>
  <c r="BT692" i="2"/>
  <c r="BT693" i="2"/>
  <c r="BT694" i="2"/>
  <c r="BT695" i="2"/>
  <c r="BT696" i="2"/>
  <c r="BT697" i="2"/>
  <c r="BT698" i="2"/>
  <c r="BT699" i="2"/>
  <c r="BT700" i="2"/>
  <c r="BT701" i="2"/>
  <c r="BT702" i="2"/>
  <c r="BT703" i="2"/>
  <c r="BT704" i="2"/>
  <c r="BT705" i="2"/>
  <c r="BU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U106" i="2"/>
  <c r="BU107" i="2"/>
  <c r="BU108" i="2"/>
  <c r="BU109" i="2"/>
  <c r="BU110" i="2"/>
  <c r="BU111" i="2"/>
  <c r="BU112" i="2"/>
  <c r="BU113" i="2"/>
  <c r="BU114" i="2"/>
  <c r="BU115" i="2"/>
  <c r="BU116" i="2"/>
  <c r="BU117" i="2"/>
  <c r="BU118" i="2"/>
  <c r="BU119" i="2"/>
  <c r="BU120" i="2"/>
  <c r="BU121" i="2"/>
  <c r="BU122" i="2"/>
  <c r="BU123" i="2"/>
  <c r="BU124" i="2"/>
  <c r="BU125" i="2"/>
  <c r="BU126" i="2"/>
  <c r="BU127" i="2"/>
  <c r="BU128" i="2"/>
  <c r="BU129" i="2"/>
  <c r="BU130" i="2"/>
  <c r="BU131" i="2"/>
  <c r="BU132" i="2"/>
  <c r="BU133" i="2"/>
  <c r="BU134" i="2"/>
  <c r="BU135" i="2"/>
  <c r="BU136" i="2"/>
  <c r="BU137" i="2"/>
  <c r="BU138" i="2"/>
  <c r="BU139" i="2"/>
  <c r="BU140" i="2"/>
  <c r="BU141" i="2"/>
  <c r="BU142" i="2"/>
  <c r="BU143" i="2"/>
  <c r="BU144" i="2"/>
  <c r="BU145" i="2"/>
  <c r="BU146" i="2"/>
  <c r="BU147" i="2"/>
  <c r="BU148" i="2"/>
  <c r="BU149" i="2"/>
  <c r="BU150" i="2"/>
  <c r="BU151" i="2"/>
  <c r="BU152" i="2"/>
  <c r="BU153" i="2"/>
  <c r="BU154" i="2"/>
  <c r="BU155" i="2"/>
  <c r="BU156" i="2"/>
  <c r="BU157" i="2"/>
  <c r="BU158" i="2"/>
  <c r="BU159" i="2"/>
  <c r="BU160" i="2"/>
  <c r="BU161" i="2"/>
  <c r="BU162" i="2"/>
  <c r="BU163" i="2"/>
  <c r="BU164" i="2"/>
  <c r="BU165" i="2"/>
  <c r="BU166" i="2"/>
  <c r="BU167" i="2"/>
  <c r="BU168" i="2"/>
  <c r="BU169" i="2"/>
  <c r="BU170" i="2"/>
  <c r="BU171" i="2"/>
  <c r="BU172" i="2"/>
  <c r="BU173" i="2"/>
  <c r="BU174" i="2"/>
  <c r="BU175" i="2"/>
  <c r="BU176" i="2"/>
  <c r="BU177" i="2"/>
  <c r="BU178" i="2"/>
  <c r="BU179" i="2"/>
  <c r="BU180" i="2"/>
  <c r="BU181" i="2"/>
  <c r="BU182" i="2"/>
  <c r="BU183" i="2"/>
  <c r="BU184" i="2"/>
  <c r="BU185" i="2"/>
  <c r="BU186" i="2"/>
  <c r="BU187" i="2"/>
  <c r="BU188" i="2"/>
  <c r="BU189" i="2"/>
  <c r="BU190" i="2"/>
  <c r="BU191" i="2"/>
  <c r="BU192" i="2"/>
  <c r="BU193" i="2"/>
  <c r="BU194" i="2"/>
  <c r="BU195" i="2"/>
  <c r="BU196" i="2"/>
  <c r="BU197" i="2"/>
  <c r="BU198" i="2"/>
  <c r="BU199" i="2"/>
  <c r="BU200" i="2"/>
  <c r="BU201" i="2"/>
  <c r="BU202" i="2"/>
  <c r="BU203" i="2"/>
  <c r="BU204" i="2"/>
  <c r="BU205" i="2"/>
  <c r="BU206" i="2"/>
  <c r="BU207" i="2"/>
  <c r="BU208" i="2"/>
  <c r="BU209" i="2"/>
  <c r="BU210" i="2"/>
  <c r="BU211" i="2"/>
  <c r="BU212" i="2"/>
  <c r="BU213" i="2"/>
  <c r="BU214" i="2"/>
  <c r="BU215" i="2"/>
  <c r="BU216" i="2"/>
  <c r="BU217" i="2"/>
  <c r="BU218" i="2"/>
  <c r="BU219" i="2"/>
  <c r="BU220" i="2"/>
  <c r="BU221" i="2"/>
  <c r="BU222" i="2"/>
  <c r="BU223" i="2"/>
  <c r="BU224" i="2"/>
  <c r="BU225" i="2"/>
  <c r="BU226" i="2"/>
  <c r="BU227" i="2"/>
  <c r="BU228" i="2"/>
  <c r="BU229" i="2"/>
  <c r="BU230" i="2"/>
  <c r="BU231" i="2"/>
  <c r="BU232" i="2"/>
  <c r="BU233" i="2"/>
  <c r="BU234" i="2"/>
  <c r="BU235" i="2"/>
  <c r="BU236" i="2"/>
  <c r="BU237" i="2"/>
  <c r="BU238" i="2"/>
  <c r="BU239" i="2"/>
  <c r="BU240" i="2"/>
  <c r="BU241" i="2"/>
  <c r="BU242" i="2"/>
  <c r="BU243" i="2"/>
  <c r="BU244" i="2"/>
  <c r="BU245" i="2"/>
  <c r="BU246" i="2"/>
  <c r="BU247" i="2"/>
  <c r="BU248" i="2"/>
  <c r="BU249" i="2"/>
  <c r="BU250" i="2"/>
  <c r="BU251" i="2"/>
  <c r="BU252" i="2"/>
  <c r="BU253" i="2"/>
  <c r="BU254" i="2"/>
  <c r="BU255" i="2"/>
  <c r="BU256" i="2"/>
  <c r="BU257" i="2"/>
  <c r="BU258" i="2"/>
  <c r="BU259" i="2"/>
  <c r="BU260" i="2"/>
  <c r="BU261" i="2"/>
  <c r="BU262" i="2"/>
  <c r="BU263" i="2"/>
  <c r="BU264" i="2"/>
  <c r="BU265" i="2"/>
  <c r="BU266" i="2"/>
  <c r="BU267" i="2"/>
  <c r="BU268" i="2"/>
  <c r="BU269" i="2"/>
  <c r="BU270" i="2"/>
  <c r="BU271" i="2"/>
  <c r="BU272" i="2"/>
  <c r="BU273" i="2"/>
  <c r="BU274" i="2"/>
  <c r="BU275" i="2"/>
  <c r="BU276" i="2"/>
  <c r="BU277" i="2"/>
  <c r="BU278" i="2"/>
  <c r="BU279" i="2"/>
  <c r="BU280" i="2"/>
  <c r="BU281" i="2"/>
  <c r="BU282" i="2"/>
  <c r="BU283" i="2"/>
  <c r="BU284" i="2"/>
  <c r="BU285" i="2"/>
  <c r="BU286" i="2"/>
  <c r="BU287" i="2"/>
  <c r="BU288" i="2"/>
  <c r="BU289" i="2"/>
  <c r="BU290" i="2"/>
  <c r="BU291" i="2"/>
  <c r="BU292" i="2"/>
  <c r="BU293" i="2"/>
  <c r="BU294" i="2"/>
  <c r="BU295" i="2"/>
  <c r="BU296" i="2"/>
  <c r="BU297" i="2"/>
  <c r="BU298" i="2"/>
  <c r="BU299" i="2"/>
  <c r="BU300" i="2"/>
  <c r="BU301" i="2"/>
  <c r="BU302" i="2"/>
  <c r="BU303" i="2"/>
  <c r="BU304" i="2"/>
  <c r="BU305" i="2"/>
  <c r="BU306" i="2"/>
  <c r="BU307" i="2"/>
  <c r="BU308" i="2"/>
  <c r="BU309" i="2"/>
  <c r="BU310" i="2"/>
  <c r="BU311" i="2"/>
  <c r="BU312" i="2"/>
  <c r="BU313" i="2"/>
  <c r="BU314" i="2"/>
  <c r="BU315" i="2"/>
  <c r="BU316" i="2"/>
  <c r="BU317" i="2"/>
  <c r="BU318" i="2"/>
  <c r="BU319" i="2"/>
  <c r="BU320" i="2"/>
  <c r="BU321" i="2"/>
  <c r="BU322" i="2"/>
  <c r="BU323" i="2"/>
  <c r="BU324" i="2"/>
  <c r="BU325" i="2"/>
  <c r="BU326" i="2"/>
  <c r="BU327" i="2"/>
  <c r="BU328" i="2"/>
  <c r="BU329" i="2"/>
  <c r="BU330" i="2"/>
  <c r="BU331" i="2"/>
  <c r="BU332" i="2"/>
  <c r="BU333" i="2"/>
  <c r="BU334" i="2"/>
  <c r="BU335" i="2"/>
  <c r="BU336" i="2"/>
  <c r="BU337" i="2"/>
  <c r="BU338" i="2"/>
  <c r="BU339" i="2"/>
  <c r="BU340" i="2"/>
  <c r="BU341" i="2"/>
  <c r="BU342" i="2"/>
  <c r="BU343" i="2"/>
  <c r="BU344" i="2"/>
  <c r="BU345" i="2"/>
  <c r="BU346" i="2"/>
  <c r="BU347" i="2"/>
  <c r="BU348" i="2"/>
  <c r="BU349" i="2"/>
  <c r="BU350" i="2"/>
  <c r="BU351" i="2"/>
  <c r="BU352" i="2"/>
  <c r="BU353" i="2"/>
  <c r="BU354" i="2"/>
  <c r="BU355" i="2"/>
  <c r="BU356" i="2"/>
  <c r="BU357" i="2"/>
  <c r="BU358" i="2"/>
  <c r="BU359" i="2"/>
  <c r="BU360" i="2"/>
  <c r="BU361" i="2"/>
  <c r="BU362" i="2"/>
  <c r="BU363" i="2"/>
  <c r="BU364" i="2"/>
  <c r="BU365" i="2"/>
  <c r="BU366" i="2"/>
  <c r="BU367" i="2"/>
  <c r="BU368" i="2"/>
  <c r="BU369" i="2"/>
  <c r="BU370" i="2"/>
  <c r="BU371" i="2"/>
  <c r="BU372" i="2"/>
  <c r="BU373" i="2"/>
  <c r="BU374" i="2"/>
  <c r="BU375" i="2"/>
  <c r="BU376" i="2"/>
  <c r="BU377" i="2"/>
  <c r="BU378" i="2"/>
  <c r="BU379" i="2"/>
  <c r="BU380" i="2"/>
  <c r="BU381" i="2"/>
  <c r="BU382" i="2"/>
  <c r="BU383" i="2"/>
  <c r="BU384" i="2"/>
  <c r="BU385" i="2"/>
  <c r="BU386" i="2"/>
  <c r="BU387" i="2"/>
  <c r="BU388" i="2"/>
  <c r="BU389" i="2"/>
  <c r="BU390" i="2"/>
  <c r="BU391" i="2"/>
  <c r="BU392" i="2"/>
  <c r="BU393" i="2"/>
  <c r="BU394" i="2"/>
  <c r="BU395" i="2"/>
  <c r="BU396" i="2"/>
  <c r="BU397" i="2"/>
  <c r="BU398" i="2"/>
  <c r="BU399" i="2"/>
  <c r="BU400" i="2"/>
  <c r="BU401" i="2"/>
  <c r="BU402" i="2"/>
  <c r="BU403" i="2"/>
  <c r="BU404" i="2"/>
  <c r="BU405" i="2"/>
  <c r="BU406" i="2"/>
  <c r="BU407" i="2"/>
  <c r="BU408" i="2"/>
  <c r="BU409" i="2"/>
  <c r="BU410" i="2"/>
  <c r="BU411" i="2"/>
  <c r="BU412" i="2"/>
  <c r="BU413" i="2"/>
  <c r="BU414" i="2"/>
  <c r="BU415" i="2"/>
  <c r="BU416" i="2"/>
  <c r="BU417" i="2"/>
  <c r="BU418" i="2"/>
  <c r="BU419" i="2"/>
  <c r="BU420" i="2"/>
  <c r="BU421" i="2"/>
  <c r="BU422" i="2"/>
  <c r="BU423" i="2"/>
  <c r="BU424" i="2"/>
  <c r="BU425" i="2"/>
  <c r="BU426" i="2"/>
  <c r="BU427" i="2"/>
  <c r="BU428" i="2"/>
  <c r="BU429" i="2"/>
  <c r="BU430" i="2"/>
  <c r="BU431" i="2"/>
  <c r="BU432" i="2"/>
  <c r="BU433" i="2"/>
  <c r="BU434" i="2"/>
  <c r="BU435" i="2"/>
  <c r="BU436" i="2"/>
  <c r="BU437" i="2"/>
  <c r="BU438" i="2"/>
  <c r="BU439" i="2"/>
  <c r="BU440" i="2"/>
  <c r="BU441" i="2"/>
  <c r="BU442" i="2"/>
  <c r="BU443" i="2"/>
  <c r="BU444" i="2"/>
  <c r="BU445" i="2"/>
  <c r="BU446" i="2"/>
  <c r="BU447" i="2"/>
  <c r="BU448" i="2"/>
  <c r="BU449" i="2"/>
  <c r="BU450" i="2"/>
  <c r="BU451" i="2"/>
  <c r="BU452" i="2"/>
  <c r="BU453" i="2"/>
  <c r="BU454" i="2"/>
  <c r="BU455" i="2"/>
  <c r="BU456" i="2"/>
  <c r="BU457" i="2"/>
  <c r="BU458" i="2"/>
  <c r="BU459" i="2"/>
  <c r="BU460" i="2"/>
  <c r="BU461" i="2"/>
  <c r="BU462" i="2"/>
  <c r="BU463" i="2"/>
  <c r="BU464" i="2"/>
  <c r="BU465" i="2"/>
  <c r="BU466" i="2"/>
  <c r="BU467" i="2"/>
  <c r="BU468" i="2"/>
  <c r="BU469" i="2"/>
  <c r="BU470" i="2"/>
  <c r="BU471" i="2"/>
  <c r="BU472" i="2"/>
  <c r="BU473" i="2"/>
  <c r="BU474" i="2"/>
  <c r="BU475" i="2"/>
  <c r="BU476" i="2"/>
  <c r="BU477" i="2"/>
  <c r="BU478" i="2"/>
  <c r="BU479" i="2"/>
  <c r="BU480" i="2"/>
  <c r="BU481" i="2"/>
  <c r="BU482" i="2"/>
  <c r="BU483" i="2"/>
  <c r="BU484" i="2"/>
  <c r="BU485" i="2"/>
  <c r="BU486" i="2"/>
  <c r="BU487" i="2"/>
  <c r="BU488" i="2"/>
  <c r="BU489" i="2"/>
  <c r="BU490" i="2"/>
  <c r="BU491" i="2"/>
  <c r="BU492" i="2"/>
  <c r="BU493" i="2"/>
  <c r="BU494" i="2"/>
  <c r="BU495" i="2"/>
  <c r="BU496" i="2"/>
  <c r="BU497" i="2"/>
  <c r="BU498" i="2"/>
  <c r="BU499" i="2"/>
  <c r="BU500" i="2"/>
  <c r="BU501" i="2"/>
  <c r="BU502" i="2"/>
  <c r="BU503" i="2"/>
  <c r="BU504" i="2"/>
  <c r="BU505" i="2"/>
  <c r="BU506" i="2"/>
  <c r="BU507" i="2"/>
  <c r="BU508" i="2"/>
  <c r="BU509" i="2"/>
  <c r="BU510" i="2"/>
  <c r="BU511" i="2"/>
  <c r="BU512" i="2"/>
  <c r="BU513" i="2"/>
  <c r="BU514" i="2"/>
  <c r="BU515" i="2"/>
  <c r="BU516" i="2"/>
  <c r="BU517" i="2"/>
  <c r="BU518" i="2"/>
  <c r="BU519" i="2"/>
  <c r="BU520" i="2"/>
  <c r="BU521" i="2"/>
  <c r="BU522" i="2"/>
  <c r="BU523" i="2"/>
  <c r="BU524" i="2"/>
  <c r="BU525" i="2"/>
  <c r="BU526" i="2"/>
  <c r="BU527" i="2"/>
  <c r="BU528" i="2"/>
  <c r="BU529" i="2"/>
  <c r="BU530" i="2"/>
  <c r="BU531" i="2"/>
  <c r="BU532" i="2"/>
  <c r="BU533" i="2"/>
  <c r="BU534" i="2"/>
  <c r="BU535" i="2"/>
  <c r="BU536" i="2"/>
  <c r="BU537" i="2"/>
  <c r="BU538" i="2"/>
  <c r="BU539" i="2"/>
  <c r="BU540" i="2"/>
  <c r="BU541" i="2"/>
  <c r="BU542" i="2"/>
  <c r="BU543" i="2"/>
  <c r="BU544" i="2"/>
  <c r="BU545" i="2"/>
  <c r="BU546" i="2"/>
  <c r="BU547" i="2"/>
  <c r="BU548" i="2"/>
  <c r="BU549" i="2"/>
  <c r="BU550" i="2"/>
  <c r="BU551" i="2"/>
  <c r="BU552" i="2"/>
  <c r="BU553" i="2"/>
  <c r="BU554" i="2"/>
  <c r="BU555" i="2"/>
  <c r="BU556" i="2"/>
  <c r="BU557" i="2"/>
  <c r="BU558" i="2"/>
  <c r="BU559" i="2"/>
  <c r="BU560" i="2"/>
  <c r="BU561" i="2"/>
  <c r="BU562" i="2"/>
  <c r="BU563" i="2"/>
  <c r="BU564" i="2"/>
  <c r="BU565" i="2"/>
  <c r="BU566" i="2"/>
  <c r="BU567" i="2"/>
  <c r="BU568" i="2"/>
  <c r="BU569" i="2"/>
  <c r="BU570" i="2"/>
  <c r="BU571" i="2"/>
  <c r="BU572" i="2"/>
  <c r="BU573" i="2"/>
  <c r="BU574" i="2"/>
  <c r="BU575" i="2"/>
  <c r="BU576" i="2"/>
  <c r="BU577" i="2"/>
  <c r="BU578" i="2"/>
  <c r="BU579" i="2"/>
  <c r="BU580" i="2"/>
  <c r="BU581" i="2"/>
  <c r="BU582" i="2"/>
  <c r="BU583" i="2"/>
  <c r="BU584" i="2"/>
  <c r="BU585" i="2"/>
  <c r="BU586" i="2"/>
  <c r="BU587" i="2"/>
  <c r="BU588" i="2"/>
  <c r="BU589" i="2"/>
  <c r="BU590" i="2"/>
  <c r="BU591" i="2"/>
  <c r="BU592" i="2"/>
  <c r="BU593" i="2"/>
  <c r="BU594" i="2"/>
  <c r="BU595" i="2"/>
  <c r="BU596" i="2"/>
  <c r="BU597" i="2"/>
  <c r="BU598" i="2"/>
  <c r="BU599" i="2"/>
  <c r="BU600" i="2"/>
  <c r="BU601" i="2"/>
  <c r="BU602" i="2"/>
  <c r="BU603" i="2"/>
  <c r="BU604" i="2"/>
  <c r="BU605" i="2"/>
  <c r="BU606" i="2"/>
  <c r="BU607" i="2"/>
  <c r="BU608" i="2"/>
  <c r="BU609" i="2"/>
  <c r="BU610" i="2"/>
  <c r="BU611" i="2"/>
  <c r="BU612" i="2"/>
  <c r="BU613" i="2"/>
  <c r="BU614" i="2"/>
  <c r="BU615" i="2"/>
  <c r="BU616" i="2"/>
  <c r="BU617" i="2"/>
  <c r="BU618" i="2"/>
  <c r="BU619" i="2"/>
  <c r="BU620" i="2"/>
  <c r="BU621" i="2"/>
  <c r="BU622" i="2"/>
  <c r="BU623" i="2"/>
  <c r="BU624" i="2"/>
  <c r="BU625" i="2"/>
  <c r="BU626" i="2"/>
  <c r="BU627" i="2"/>
  <c r="BU628" i="2"/>
  <c r="BU629" i="2"/>
  <c r="BU630" i="2"/>
  <c r="BU631" i="2"/>
  <c r="BU632" i="2"/>
  <c r="BU633" i="2"/>
  <c r="BU634" i="2"/>
  <c r="BU635" i="2"/>
  <c r="BU636" i="2"/>
  <c r="BU637" i="2"/>
  <c r="BU638" i="2"/>
  <c r="BU639" i="2"/>
  <c r="BU640" i="2"/>
  <c r="BU641" i="2"/>
  <c r="BU642" i="2"/>
  <c r="BU643" i="2"/>
  <c r="BU644" i="2"/>
  <c r="BU645" i="2"/>
  <c r="BU646" i="2"/>
  <c r="BU647" i="2"/>
  <c r="BU648" i="2"/>
  <c r="BU649" i="2"/>
  <c r="BU650" i="2"/>
  <c r="BU651" i="2"/>
  <c r="BU652" i="2"/>
  <c r="BU653" i="2"/>
  <c r="BU654" i="2"/>
  <c r="BU655" i="2"/>
  <c r="BU656" i="2"/>
  <c r="BU657" i="2"/>
  <c r="BU658" i="2"/>
  <c r="BU659" i="2"/>
  <c r="BU660" i="2"/>
  <c r="BU661" i="2"/>
  <c r="BU662" i="2"/>
  <c r="BU663" i="2"/>
  <c r="BU664" i="2"/>
  <c r="BU665" i="2"/>
  <c r="BU666" i="2"/>
  <c r="BU667" i="2"/>
  <c r="BU668" i="2"/>
  <c r="BU669" i="2"/>
  <c r="BU670" i="2"/>
  <c r="BU671" i="2"/>
  <c r="BU672" i="2"/>
  <c r="BU673" i="2"/>
  <c r="BU674" i="2"/>
  <c r="BU675" i="2"/>
  <c r="BU676" i="2"/>
  <c r="BU677" i="2"/>
  <c r="BU678" i="2"/>
  <c r="BU679" i="2"/>
  <c r="BU680" i="2"/>
  <c r="BU681" i="2"/>
  <c r="BU682" i="2"/>
  <c r="BU683" i="2"/>
  <c r="BU684" i="2"/>
  <c r="BU685" i="2"/>
  <c r="BU686" i="2"/>
  <c r="BU687" i="2"/>
  <c r="BU688" i="2"/>
  <c r="BU689" i="2"/>
  <c r="BU690" i="2"/>
  <c r="BU691" i="2"/>
  <c r="BU692" i="2"/>
  <c r="BU693" i="2"/>
  <c r="BU694" i="2"/>
  <c r="BU695" i="2"/>
  <c r="BU696" i="2"/>
  <c r="BU697" i="2"/>
  <c r="BU698" i="2"/>
  <c r="BU699" i="2"/>
  <c r="BU700" i="2"/>
  <c r="BU701" i="2"/>
  <c r="BU702" i="2"/>
  <c r="BU703" i="2"/>
  <c r="BU704" i="2"/>
  <c r="BU705" i="2"/>
  <c r="BV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V69" i="2"/>
  <c r="BV70" i="2"/>
  <c r="BV71" i="2"/>
  <c r="BV72" i="2"/>
  <c r="BV73" i="2"/>
  <c r="BV74" i="2"/>
  <c r="BV75" i="2"/>
  <c r="BV76" i="2"/>
  <c r="BV77" i="2"/>
  <c r="BV78" i="2"/>
  <c r="BV79" i="2"/>
  <c r="BV80" i="2"/>
  <c r="BV81" i="2"/>
  <c r="BV82" i="2"/>
  <c r="BV83" i="2"/>
  <c r="BV84" i="2"/>
  <c r="BV85" i="2"/>
  <c r="BV86" i="2"/>
  <c r="BV87" i="2"/>
  <c r="BV88" i="2"/>
  <c r="BV89" i="2"/>
  <c r="BV90" i="2"/>
  <c r="BV91" i="2"/>
  <c r="BV92" i="2"/>
  <c r="BV93" i="2"/>
  <c r="BV94" i="2"/>
  <c r="BV95" i="2"/>
  <c r="BV96" i="2"/>
  <c r="BV97" i="2"/>
  <c r="BV98" i="2"/>
  <c r="BV99" i="2"/>
  <c r="BV100" i="2"/>
  <c r="BV101" i="2"/>
  <c r="BV102" i="2"/>
  <c r="BV103" i="2"/>
  <c r="BV104" i="2"/>
  <c r="BV105" i="2"/>
  <c r="BV106" i="2"/>
  <c r="BV107" i="2"/>
  <c r="BV108" i="2"/>
  <c r="BV109" i="2"/>
  <c r="BV110" i="2"/>
  <c r="BV111" i="2"/>
  <c r="BV112" i="2"/>
  <c r="BV113" i="2"/>
  <c r="BV114" i="2"/>
  <c r="BV115" i="2"/>
  <c r="BV116" i="2"/>
  <c r="BV117" i="2"/>
  <c r="BV118" i="2"/>
  <c r="BV119" i="2"/>
  <c r="BV120" i="2"/>
  <c r="BV121" i="2"/>
  <c r="BV122" i="2"/>
  <c r="BV123" i="2"/>
  <c r="BV124" i="2"/>
  <c r="BV125" i="2"/>
  <c r="BV126" i="2"/>
  <c r="BV127" i="2"/>
  <c r="BV128" i="2"/>
  <c r="BV129" i="2"/>
  <c r="BV130" i="2"/>
  <c r="BV131" i="2"/>
  <c r="BV132" i="2"/>
  <c r="BV133" i="2"/>
  <c r="BV134" i="2"/>
  <c r="BV135" i="2"/>
  <c r="BV136" i="2"/>
  <c r="BV137" i="2"/>
  <c r="BV138" i="2"/>
  <c r="BV139" i="2"/>
  <c r="BV140" i="2"/>
  <c r="BV141" i="2"/>
  <c r="BV142" i="2"/>
  <c r="BV143" i="2"/>
  <c r="BV144" i="2"/>
  <c r="BV145" i="2"/>
  <c r="BV146" i="2"/>
  <c r="BV147" i="2"/>
  <c r="BV148" i="2"/>
  <c r="BV149" i="2"/>
  <c r="BV150" i="2"/>
  <c r="BV151" i="2"/>
  <c r="BV152" i="2"/>
  <c r="BV153" i="2"/>
  <c r="BV154" i="2"/>
  <c r="BV155" i="2"/>
  <c r="BV156" i="2"/>
  <c r="BV157" i="2"/>
  <c r="BV158" i="2"/>
  <c r="BV159" i="2"/>
  <c r="BV160" i="2"/>
  <c r="BV161" i="2"/>
  <c r="BV162" i="2"/>
  <c r="BV163" i="2"/>
  <c r="BV164" i="2"/>
  <c r="BV165" i="2"/>
  <c r="BV166" i="2"/>
  <c r="BV167" i="2"/>
  <c r="BV168" i="2"/>
  <c r="BV169" i="2"/>
  <c r="BV170" i="2"/>
  <c r="BV171" i="2"/>
  <c r="BV172" i="2"/>
  <c r="BV173" i="2"/>
  <c r="BV174" i="2"/>
  <c r="BV175" i="2"/>
  <c r="BV176" i="2"/>
  <c r="BV177" i="2"/>
  <c r="BV178" i="2"/>
  <c r="BV179" i="2"/>
  <c r="BV180" i="2"/>
  <c r="BV181" i="2"/>
  <c r="BV182" i="2"/>
  <c r="BV183" i="2"/>
  <c r="BV184" i="2"/>
  <c r="BV185" i="2"/>
  <c r="BV186" i="2"/>
  <c r="BV187" i="2"/>
  <c r="BV188" i="2"/>
  <c r="BV189" i="2"/>
  <c r="BV190" i="2"/>
  <c r="BV191" i="2"/>
  <c r="BV192" i="2"/>
  <c r="BV193" i="2"/>
  <c r="BV194" i="2"/>
  <c r="BV195" i="2"/>
  <c r="BV196" i="2"/>
  <c r="BV197" i="2"/>
  <c r="BV198" i="2"/>
  <c r="BV199" i="2"/>
  <c r="BV200" i="2"/>
  <c r="BV201" i="2"/>
  <c r="BV202" i="2"/>
  <c r="BV203" i="2"/>
  <c r="BV204" i="2"/>
  <c r="BV205" i="2"/>
  <c r="BV206" i="2"/>
  <c r="BV207" i="2"/>
  <c r="BV208" i="2"/>
  <c r="BV209" i="2"/>
  <c r="BV210" i="2"/>
  <c r="BV211" i="2"/>
  <c r="BV212" i="2"/>
  <c r="BV213" i="2"/>
  <c r="BV214" i="2"/>
  <c r="BV215" i="2"/>
  <c r="BV216" i="2"/>
  <c r="BV217" i="2"/>
  <c r="BV218" i="2"/>
  <c r="BV219" i="2"/>
  <c r="BV220" i="2"/>
  <c r="BV221" i="2"/>
  <c r="BV222" i="2"/>
  <c r="BV223" i="2"/>
  <c r="BV224" i="2"/>
  <c r="BV225" i="2"/>
  <c r="BV226" i="2"/>
  <c r="BV227" i="2"/>
  <c r="BV228" i="2"/>
  <c r="BV229" i="2"/>
  <c r="BV230" i="2"/>
  <c r="BV231" i="2"/>
  <c r="BV232" i="2"/>
  <c r="BV233" i="2"/>
  <c r="BV234" i="2"/>
  <c r="BV235" i="2"/>
  <c r="BV236" i="2"/>
  <c r="BV237" i="2"/>
  <c r="BV238" i="2"/>
  <c r="BV239" i="2"/>
  <c r="BV240" i="2"/>
  <c r="BV241" i="2"/>
  <c r="BV242" i="2"/>
  <c r="BV243" i="2"/>
  <c r="BV244" i="2"/>
  <c r="BV245" i="2"/>
  <c r="BV246" i="2"/>
  <c r="BV247" i="2"/>
  <c r="BV248" i="2"/>
  <c r="BV249" i="2"/>
  <c r="BV250" i="2"/>
  <c r="BV251" i="2"/>
  <c r="BV252" i="2"/>
  <c r="BV253" i="2"/>
  <c r="BV254" i="2"/>
  <c r="BV255" i="2"/>
  <c r="BV256" i="2"/>
  <c r="BV257" i="2"/>
  <c r="BV258" i="2"/>
  <c r="BV259" i="2"/>
  <c r="BV260" i="2"/>
  <c r="BV261" i="2"/>
  <c r="BV262" i="2"/>
  <c r="BV263" i="2"/>
  <c r="BV264" i="2"/>
  <c r="BV265" i="2"/>
  <c r="BV266" i="2"/>
  <c r="BV267" i="2"/>
  <c r="BV268" i="2"/>
  <c r="BV269" i="2"/>
  <c r="BV270" i="2"/>
  <c r="BV271" i="2"/>
  <c r="BV272" i="2"/>
  <c r="BV273" i="2"/>
  <c r="BV274" i="2"/>
  <c r="BV275" i="2"/>
  <c r="BV276" i="2"/>
  <c r="BV277" i="2"/>
  <c r="BV278" i="2"/>
  <c r="BV279" i="2"/>
  <c r="BV280" i="2"/>
  <c r="BV281" i="2"/>
  <c r="BV282" i="2"/>
  <c r="BV283" i="2"/>
  <c r="BV284" i="2"/>
  <c r="BV285" i="2"/>
  <c r="BV286" i="2"/>
  <c r="BV287" i="2"/>
  <c r="BV288" i="2"/>
  <c r="BV289" i="2"/>
  <c r="BV290" i="2"/>
  <c r="BV291" i="2"/>
  <c r="BV292" i="2"/>
  <c r="BV293" i="2"/>
  <c r="BV294" i="2"/>
  <c r="BV295" i="2"/>
  <c r="BV296" i="2"/>
  <c r="BV297" i="2"/>
  <c r="BV298" i="2"/>
  <c r="BV299" i="2"/>
  <c r="BV300" i="2"/>
  <c r="BV301" i="2"/>
  <c r="BV302" i="2"/>
  <c r="BV303" i="2"/>
  <c r="BV304" i="2"/>
  <c r="BV305" i="2"/>
  <c r="BV306" i="2"/>
  <c r="BV307" i="2"/>
  <c r="BV308" i="2"/>
  <c r="BV309" i="2"/>
  <c r="BV310" i="2"/>
  <c r="BV311" i="2"/>
  <c r="BV312" i="2"/>
  <c r="BV313" i="2"/>
  <c r="BV314" i="2"/>
  <c r="BV315" i="2"/>
  <c r="BV316" i="2"/>
  <c r="BV317" i="2"/>
  <c r="BV318" i="2"/>
  <c r="BV319" i="2"/>
  <c r="BV320" i="2"/>
  <c r="BV321" i="2"/>
  <c r="BV322" i="2"/>
  <c r="BV323" i="2"/>
  <c r="BV324" i="2"/>
  <c r="BV325" i="2"/>
  <c r="BV326" i="2"/>
  <c r="BV327" i="2"/>
  <c r="BV328" i="2"/>
  <c r="BV329" i="2"/>
  <c r="BV330" i="2"/>
  <c r="BV331" i="2"/>
  <c r="BV332" i="2"/>
  <c r="BV333" i="2"/>
  <c r="BV334" i="2"/>
  <c r="BV335" i="2"/>
  <c r="BV336" i="2"/>
  <c r="BV337" i="2"/>
  <c r="BV338" i="2"/>
  <c r="BV339" i="2"/>
  <c r="BV340" i="2"/>
  <c r="BV341" i="2"/>
  <c r="BV342" i="2"/>
  <c r="BV343" i="2"/>
  <c r="BV344" i="2"/>
  <c r="BV345" i="2"/>
  <c r="BV346" i="2"/>
  <c r="BV347" i="2"/>
  <c r="BV348" i="2"/>
  <c r="BV349" i="2"/>
  <c r="BV350" i="2"/>
  <c r="BV351" i="2"/>
  <c r="BV352" i="2"/>
  <c r="BV353" i="2"/>
  <c r="BV354" i="2"/>
  <c r="BV355" i="2"/>
  <c r="BV356" i="2"/>
  <c r="BV357" i="2"/>
  <c r="BV358" i="2"/>
  <c r="BV359" i="2"/>
  <c r="BV360" i="2"/>
  <c r="BV361" i="2"/>
  <c r="BV362" i="2"/>
  <c r="BV363" i="2"/>
  <c r="BV364" i="2"/>
  <c r="BV365" i="2"/>
  <c r="BV366" i="2"/>
  <c r="BV367" i="2"/>
  <c r="BV368" i="2"/>
  <c r="BV369" i="2"/>
  <c r="BV370" i="2"/>
  <c r="BV371" i="2"/>
  <c r="BV372" i="2"/>
  <c r="BV373" i="2"/>
  <c r="BV374" i="2"/>
  <c r="BV375" i="2"/>
  <c r="BV376" i="2"/>
  <c r="BV377" i="2"/>
  <c r="BV378" i="2"/>
  <c r="BV379" i="2"/>
  <c r="BV380" i="2"/>
  <c r="BV381" i="2"/>
  <c r="BV382" i="2"/>
  <c r="BV383" i="2"/>
  <c r="BV384" i="2"/>
  <c r="BV385" i="2"/>
  <c r="BV386" i="2"/>
  <c r="BV387" i="2"/>
  <c r="BV388" i="2"/>
  <c r="BV389" i="2"/>
  <c r="BV390" i="2"/>
  <c r="BV391" i="2"/>
  <c r="BV392" i="2"/>
  <c r="BV393" i="2"/>
  <c r="BV394" i="2"/>
  <c r="BV395" i="2"/>
  <c r="BV396" i="2"/>
  <c r="BV397" i="2"/>
  <c r="BV398" i="2"/>
  <c r="BV399" i="2"/>
  <c r="BV400" i="2"/>
  <c r="BV401" i="2"/>
  <c r="BV402" i="2"/>
  <c r="BV403" i="2"/>
  <c r="BV404" i="2"/>
  <c r="BV405" i="2"/>
  <c r="BV406" i="2"/>
  <c r="BV407" i="2"/>
  <c r="BV408" i="2"/>
  <c r="BV409" i="2"/>
  <c r="BV410" i="2"/>
  <c r="BV411" i="2"/>
  <c r="BV412" i="2"/>
  <c r="BV413" i="2"/>
  <c r="BV414" i="2"/>
  <c r="BV415" i="2"/>
  <c r="BV416" i="2"/>
  <c r="BV417" i="2"/>
  <c r="BV418" i="2"/>
  <c r="BV419" i="2"/>
  <c r="BV420" i="2"/>
  <c r="BV421" i="2"/>
  <c r="BV422" i="2"/>
  <c r="BV423" i="2"/>
  <c r="BV424" i="2"/>
  <c r="BV425" i="2"/>
  <c r="BV426" i="2"/>
  <c r="BV427" i="2"/>
  <c r="BV428" i="2"/>
  <c r="BV429" i="2"/>
  <c r="BV430" i="2"/>
  <c r="BV431" i="2"/>
  <c r="BV432" i="2"/>
  <c r="BV433" i="2"/>
  <c r="BV434" i="2"/>
  <c r="BV435" i="2"/>
  <c r="BV436" i="2"/>
  <c r="BV437" i="2"/>
  <c r="BV438" i="2"/>
  <c r="BV439" i="2"/>
  <c r="BV440" i="2"/>
  <c r="BV441" i="2"/>
  <c r="BV442" i="2"/>
  <c r="BV443" i="2"/>
  <c r="BV444" i="2"/>
  <c r="BV445" i="2"/>
  <c r="BV446" i="2"/>
  <c r="BV447" i="2"/>
  <c r="BV448" i="2"/>
  <c r="BV449" i="2"/>
  <c r="BV450" i="2"/>
  <c r="BV451" i="2"/>
  <c r="BV452" i="2"/>
  <c r="BV453" i="2"/>
  <c r="BV454" i="2"/>
  <c r="BV455" i="2"/>
  <c r="BV456" i="2"/>
  <c r="BV457" i="2"/>
  <c r="BV458" i="2"/>
  <c r="BV459" i="2"/>
  <c r="BV460" i="2"/>
  <c r="BV461" i="2"/>
  <c r="BV462" i="2"/>
  <c r="BV463" i="2"/>
  <c r="BV464" i="2"/>
  <c r="BV465" i="2"/>
  <c r="BV466" i="2"/>
  <c r="BV467" i="2"/>
  <c r="BV468" i="2"/>
  <c r="BV469" i="2"/>
  <c r="BV470" i="2"/>
  <c r="BV471" i="2"/>
  <c r="BV472" i="2"/>
  <c r="BV473" i="2"/>
  <c r="BV474" i="2"/>
  <c r="BV475" i="2"/>
  <c r="BV476" i="2"/>
  <c r="BV477" i="2"/>
  <c r="BV478" i="2"/>
  <c r="BV479" i="2"/>
  <c r="BV480" i="2"/>
  <c r="BV481" i="2"/>
  <c r="BV482" i="2"/>
  <c r="BV483" i="2"/>
  <c r="BV484" i="2"/>
  <c r="BV485" i="2"/>
  <c r="BV486" i="2"/>
  <c r="BV487" i="2"/>
  <c r="BV488" i="2"/>
  <c r="BV489" i="2"/>
  <c r="BV490" i="2"/>
  <c r="BV491" i="2"/>
  <c r="BV492" i="2"/>
  <c r="BV493" i="2"/>
  <c r="BV494" i="2"/>
  <c r="BV495" i="2"/>
  <c r="BV496" i="2"/>
  <c r="BV497" i="2"/>
  <c r="BV498" i="2"/>
  <c r="BV499" i="2"/>
  <c r="BV500" i="2"/>
  <c r="BV501" i="2"/>
  <c r="BV502" i="2"/>
  <c r="BV503" i="2"/>
  <c r="BV504" i="2"/>
  <c r="BV505" i="2"/>
  <c r="BV506" i="2"/>
  <c r="BV507" i="2"/>
  <c r="BV508" i="2"/>
  <c r="BV509" i="2"/>
  <c r="BV510" i="2"/>
  <c r="BV511" i="2"/>
  <c r="BV512" i="2"/>
  <c r="BV513" i="2"/>
  <c r="BV514" i="2"/>
  <c r="BV515" i="2"/>
  <c r="BV516" i="2"/>
  <c r="BV517" i="2"/>
  <c r="BV518" i="2"/>
  <c r="BV519" i="2"/>
  <c r="BV520" i="2"/>
  <c r="BV521" i="2"/>
  <c r="BV522" i="2"/>
  <c r="BV523" i="2"/>
  <c r="BV524" i="2"/>
  <c r="BV525" i="2"/>
  <c r="BV526" i="2"/>
  <c r="BV527" i="2"/>
  <c r="BV528" i="2"/>
  <c r="BV529" i="2"/>
  <c r="BV530" i="2"/>
  <c r="BV531" i="2"/>
  <c r="BV532" i="2"/>
  <c r="BV533" i="2"/>
  <c r="BV534" i="2"/>
  <c r="BV535" i="2"/>
  <c r="BV536" i="2"/>
  <c r="BV537" i="2"/>
  <c r="BV538" i="2"/>
  <c r="BV539" i="2"/>
  <c r="BV540" i="2"/>
  <c r="BV541" i="2"/>
  <c r="BV542" i="2"/>
  <c r="BV543" i="2"/>
  <c r="BV544" i="2"/>
  <c r="BV545" i="2"/>
  <c r="BV546" i="2"/>
  <c r="BV547" i="2"/>
  <c r="BV548" i="2"/>
  <c r="BV549" i="2"/>
  <c r="BV550" i="2"/>
  <c r="BV551" i="2"/>
  <c r="BV552" i="2"/>
  <c r="BV553" i="2"/>
  <c r="BV554" i="2"/>
  <c r="BV555" i="2"/>
  <c r="BV556" i="2"/>
  <c r="BV557" i="2"/>
  <c r="BV558" i="2"/>
  <c r="BV559" i="2"/>
  <c r="BV560" i="2"/>
  <c r="BV561" i="2"/>
  <c r="BV562" i="2"/>
  <c r="BV563" i="2"/>
  <c r="BV564" i="2"/>
  <c r="BV565" i="2"/>
  <c r="BV566" i="2"/>
  <c r="BV567" i="2"/>
  <c r="BV568" i="2"/>
  <c r="BV569" i="2"/>
  <c r="BV570" i="2"/>
  <c r="BV571" i="2"/>
  <c r="BV572" i="2"/>
  <c r="BV573" i="2"/>
  <c r="BV574" i="2"/>
  <c r="BV575" i="2"/>
  <c r="BV576" i="2"/>
  <c r="BV577" i="2"/>
  <c r="BV578" i="2"/>
  <c r="BV579" i="2"/>
  <c r="BV580" i="2"/>
  <c r="BV581" i="2"/>
  <c r="BV582" i="2"/>
  <c r="BV583" i="2"/>
  <c r="BV584" i="2"/>
  <c r="BV585" i="2"/>
  <c r="BV586" i="2"/>
  <c r="BV587" i="2"/>
  <c r="BV588" i="2"/>
  <c r="BV589" i="2"/>
  <c r="BV590" i="2"/>
  <c r="BV591" i="2"/>
  <c r="BV592" i="2"/>
  <c r="BV593" i="2"/>
  <c r="BV594" i="2"/>
  <c r="BV595" i="2"/>
  <c r="BV596" i="2"/>
  <c r="BV597" i="2"/>
  <c r="BV598" i="2"/>
  <c r="BV599" i="2"/>
  <c r="BV600" i="2"/>
  <c r="BV601" i="2"/>
  <c r="BV602" i="2"/>
  <c r="BV603" i="2"/>
  <c r="BV604" i="2"/>
  <c r="BV605" i="2"/>
  <c r="BV606" i="2"/>
  <c r="BV607" i="2"/>
  <c r="BV608" i="2"/>
  <c r="BV609" i="2"/>
  <c r="BV610" i="2"/>
  <c r="BV611" i="2"/>
  <c r="BV612" i="2"/>
  <c r="BV613" i="2"/>
  <c r="BV614" i="2"/>
  <c r="BV615" i="2"/>
  <c r="BV616" i="2"/>
  <c r="BV617" i="2"/>
  <c r="BV618" i="2"/>
  <c r="BV619" i="2"/>
  <c r="BV620" i="2"/>
  <c r="BV621" i="2"/>
  <c r="BV622" i="2"/>
  <c r="BV623" i="2"/>
  <c r="BV624" i="2"/>
  <c r="BV625" i="2"/>
  <c r="BV626" i="2"/>
  <c r="BV627" i="2"/>
  <c r="BV628" i="2"/>
  <c r="BV629" i="2"/>
  <c r="BV630" i="2"/>
  <c r="BV631" i="2"/>
  <c r="BV632" i="2"/>
  <c r="BV633" i="2"/>
  <c r="BV634" i="2"/>
  <c r="BV635" i="2"/>
  <c r="BV636" i="2"/>
  <c r="BV637" i="2"/>
  <c r="BV638" i="2"/>
  <c r="BV639" i="2"/>
  <c r="BV640" i="2"/>
  <c r="BV641" i="2"/>
  <c r="BV642" i="2"/>
  <c r="BV643" i="2"/>
  <c r="BV644" i="2"/>
  <c r="BV645" i="2"/>
  <c r="BV646" i="2"/>
  <c r="BV647" i="2"/>
  <c r="BV648" i="2"/>
  <c r="BV649" i="2"/>
  <c r="BV650" i="2"/>
  <c r="BV651" i="2"/>
  <c r="BV652" i="2"/>
  <c r="BV653" i="2"/>
  <c r="BV654" i="2"/>
  <c r="BV655" i="2"/>
  <c r="BV656" i="2"/>
  <c r="BV657" i="2"/>
  <c r="BV658" i="2"/>
  <c r="BV659" i="2"/>
  <c r="BV660" i="2"/>
  <c r="BV661" i="2"/>
  <c r="BV662" i="2"/>
  <c r="BV663" i="2"/>
  <c r="BV664" i="2"/>
  <c r="BV665" i="2"/>
  <c r="BV666" i="2"/>
  <c r="BV667" i="2"/>
  <c r="BV668" i="2"/>
  <c r="BV669" i="2"/>
  <c r="BV670" i="2"/>
  <c r="BV671" i="2"/>
  <c r="BV672" i="2"/>
  <c r="BV673" i="2"/>
  <c r="BV674" i="2"/>
  <c r="BV675" i="2"/>
  <c r="BV676" i="2"/>
  <c r="BV677" i="2"/>
  <c r="BV678" i="2"/>
  <c r="BV679" i="2"/>
  <c r="BV680" i="2"/>
  <c r="BV681" i="2"/>
  <c r="BV682" i="2"/>
  <c r="BV683" i="2"/>
  <c r="BV684" i="2"/>
  <c r="BV685" i="2"/>
  <c r="BV686" i="2"/>
  <c r="BV687" i="2"/>
  <c r="BV688" i="2"/>
  <c r="BV689" i="2"/>
  <c r="BV690" i="2"/>
  <c r="BV691" i="2"/>
  <c r="BV692" i="2"/>
  <c r="BV693" i="2"/>
  <c r="BV694" i="2"/>
  <c r="BV695" i="2"/>
  <c r="BV696" i="2"/>
  <c r="BV697" i="2"/>
  <c r="BV698" i="2"/>
  <c r="BV699" i="2"/>
  <c r="BV700" i="2"/>
  <c r="BV701" i="2"/>
  <c r="BV702" i="2"/>
  <c r="BV703" i="2"/>
  <c r="BV704" i="2"/>
  <c r="BV705" i="2"/>
  <c r="BW2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8" i="2"/>
  <c r="BW89" i="2"/>
  <c r="BW90" i="2"/>
  <c r="BW91" i="2"/>
  <c r="BW92" i="2"/>
  <c r="BW93" i="2"/>
  <c r="BW94" i="2"/>
  <c r="BW95" i="2"/>
  <c r="BW96" i="2"/>
  <c r="BW97" i="2"/>
  <c r="BW98" i="2"/>
  <c r="BW99" i="2"/>
  <c r="BW100" i="2"/>
  <c r="BW101" i="2"/>
  <c r="BW102" i="2"/>
  <c r="BW103" i="2"/>
  <c r="BW104" i="2"/>
  <c r="BW105" i="2"/>
  <c r="BW106" i="2"/>
  <c r="BW107" i="2"/>
  <c r="BW108" i="2"/>
  <c r="BW109" i="2"/>
  <c r="BW110" i="2"/>
  <c r="BW111" i="2"/>
  <c r="BW112" i="2"/>
  <c r="BW113" i="2"/>
  <c r="BW114" i="2"/>
  <c r="BW115" i="2"/>
  <c r="BW116" i="2"/>
  <c r="BW117" i="2"/>
  <c r="BW118" i="2"/>
  <c r="BW119" i="2"/>
  <c r="BW120" i="2"/>
  <c r="BW121" i="2"/>
  <c r="BW122" i="2"/>
  <c r="BW123" i="2"/>
  <c r="BW124" i="2"/>
  <c r="BW125" i="2"/>
  <c r="BW126" i="2"/>
  <c r="BW127" i="2"/>
  <c r="BW128" i="2"/>
  <c r="BW129" i="2"/>
  <c r="BW130" i="2"/>
  <c r="BW131" i="2"/>
  <c r="BW132" i="2"/>
  <c r="BW133" i="2"/>
  <c r="BW134" i="2"/>
  <c r="BW135" i="2"/>
  <c r="BW136" i="2"/>
  <c r="BW137" i="2"/>
  <c r="BW138" i="2"/>
  <c r="BW139" i="2"/>
  <c r="BW140" i="2"/>
  <c r="BW141" i="2"/>
  <c r="BW142" i="2"/>
  <c r="BW143" i="2"/>
  <c r="BW144" i="2"/>
  <c r="BW145" i="2"/>
  <c r="BW146" i="2"/>
  <c r="BW147" i="2"/>
  <c r="BW148" i="2"/>
  <c r="BW149" i="2"/>
  <c r="BW150" i="2"/>
  <c r="BW151" i="2"/>
  <c r="BW152" i="2"/>
  <c r="BW153" i="2"/>
  <c r="BW154" i="2"/>
  <c r="BW155" i="2"/>
  <c r="BW156" i="2"/>
  <c r="BW157" i="2"/>
  <c r="BW158" i="2"/>
  <c r="BW159" i="2"/>
  <c r="BW160" i="2"/>
  <c r="BW161" i="2"/>
  <c r="BW162" i="2"/>
  <c r="BW163" i="2"/>
  <c r="BW164" i="2"/>
  <c r="BW165" i="2"/>
  <c r="BW166" i="2"/>
  <c r="BW167" i="2"/>
  <c r="BW168" i="2"/>
  <c r="BW169" i="2"/>
  <c r="BW170" i="2"/>
  <c r="BW171" i="2"/>
  <c r="BW172" i="2"/>
  <c r="BW173" i="2"/>
  <c r="BW174" i="2"/>
  <c r="BW175" i="2"/>
  <c r="BW176" i="2"/>
  <c r="BW177" i="2"/>
  <c r="BW178" i="2"/>
  <c r="BW179" i="2"/>
  <c r="BW180" i="2"/>
  <c r="BW181" i="2"/>
  <c r="BW182" i="2"/>
  <c r="BW183" i="2"/>
  <c r="BW184" i="2"/>
  <c r="BW185" i="2"/>
  <c r="BW186" i="2"/>
  <c r="BW187" i="2"/>
  <c r="BW188" i="2"/>
  <c r="BW189" i="2"/>
  <c r="BW190" i="2"/>
  <c r="BW191" i="2"/>
  <c r="BW192" i="2"/>
  <c r="BW193" i="2"/>
  <c r="BW194" i="2"/>
  <c r="BW195" i="2"/>
  <c r="BW196" i="2"/>
  <c r="BW197" i="2"/>
  <c r="BW198" i="2"/>
  <c r="BW199" i="2"/>
  <c r="BW200" i="2"/>
  <c r="BW201" i="2"/>
  <c r="BW202" i="2"/>
  <c r="BW203" i="2"/>
  <c r="BW204" i="2"/>
  <c r="BW205" i="2"/>
  <c r="BW206" i="2"/>
  <c r="BW207" i="2"/>
  <c r="BW208" i="2"/>
  <c r="BW209" i="2"/>
  <c r="BW210" i="2"/>
  <c r="BW211" i="2"/>
  <c r="BW212" i="2"/>
  <c r="BW213" i="2"/>
  <c r="BW214" i="2"/>
  <c r="BW215" i="2"/>
  <c r="BW216" i="2"/>
  <c r="BW217" i="2"/>
  <c r="BW218" i="2"/>
  <c r="BW219" i="2"/>
  <c r="BW220" i="2"/>
  <c r="BW221" i="2"/>
  <c r="BW222" i="2"/>
  <c r="BW223" i="2"/>
  <c r="BW224" i="2"/>
  <c r="BW225" i="2"/>
  <c r="BW226" i="2"/>
  <c r="BW227" i="2"/>
  <c r="BW228" i="2"/>
  <c r="BW229" i="2"/>
  <c r="BW230" i="2"/>
  <c r="BW231" i="2"/>
  <c r="BW232" i="2"/>
  <c r="BW233" i="2"/>
  <c r="BW234" i="2"/>
  <c r="BW235" i="2"/>
  <c r="BW236" i="2"/>
  <c r="BW237" i="2"/>
  <c r="BW238" i="2"/>
  <c r="BW239" i="2"/>
  <c r="BW240" i="2"/>
  <c r="BW241" i="2"/>
  <c r="BW242" i="2"/>
  <c r="BW243" i="2"/>
  <c r="BW244" i="2"/>
  <c r="BW245" i="2"/>
  <c r="BW246" i="2"/>
  <c r="BW247" i="2"/>
  <c r="BW248" i="2"/>
  <c r="BW249" i="2"/>
  <c r="BW250" i="2"/>
  <c r="BW251" i="2"/>
  <c r="BW252" i="2"/>
  <c r="BW253" i="2"/>
  <c r="BW254" i="2"/>
  <c r="BW255" i="2"/>
  <c r="BW256" i="2"/>
  <c r="BW257" i="2"/>
  <c r="BW258" i="2"/>
  <c r="BW259" i="2"/>
  <c r="BW260" i="2"/>
  <c r="BW261" i="2"/>
  <c r="BW262" i="2"/>
  <c r="BW263" i="2"/>
  <c r="BW264" i="2"/>
  <c r="BW265" i="2"/>
  <c r="BW266" i="2"/>
  <c r="BW267" i="2"/>
  <c r="BW268" i="2"/>
  <c r="BW269" i="2"/>
  <c r="BW270" i="2"/>
  <c r="BW271" i="2"/>
  <c r="BW272" i="2"/>
  <c r="BW273" i="2"/>
  <c r="BW274" i="2"/>
  <c r="BW275" i="2"/>
  <c r="BW276" i="2"/>
  <c r="BW277" i="2"/>
  <c r="BW278" i="2"/>
  <c r="BW279" i="2"/>
  <c r="BW280" i="2"/>
  <c r="BW281" i="2"/>
  <c r="BW282" i="2"/>
  <c r="BW283" i="2"/>
  <c r="BW284" i="2"/>
  <c r="BW285" i="2"/>
  <c r="BW286" i="2"/>
  <c r="BW287" i="2"/>
  <c r="BW288" i="2"/>
  <c r="BW289" i="2"/>
  <c r="BW290" i="2"/>
  <c r="BW291" i="2"/>
  <c r="BW292" i="2"/>
  <c r="BW293" i="2"/>
  <c r="BW294" i="2"/>
  <c r="BW295" i="2"/>
  <c r="BW296" i="2"/>
  <c r="BW297" i="2"/>
  <c r="BW298" i="2"/>
  <c r="BW299" i="2"/>
  <c r="BW300" i="2"/>
  <c r="BW301" i="2"/>
  <c r="BW302" i="2"/>
  <c r="BW303" i="2"/>
  <c r="BW304" i="2"/>
  <c r="BW305" i="2"/>
  <c r="BW306" i="2"/>
  <c r="BW307" i="2"/>
  <c r="BW308" i="2"/>
  <c r="BW309" i="2"/>
  <c r="BW310" i="2"/>
  <c r="BW311" i="2"/>
  <c r="BW312" i="2"/>
  <c r="BW313" i="2"/>
  <c r="BW314" i="2"/>
  <c r="BW315" i="2"/>
  <c r="BW316" i="2"/>
  <c r="BW317" i="2"/>
  <c r="BW318" i="2"/>
  <c r="BW319" i="2"/>
  <c r="BW320" i="2"/>
  <c r="BW321" i="2"/>
  <c r="BW322" i="2"/>
  <c r="BW323" i="2"/>
  <c r="BW324" i="2"/>
  <c r="BW325" i="2"/>
  <c r="BW326" i="2"/>
  <c r="BW327" i="2"/>
  <c r="BW328" i="2"/>
  <c r="BW329" i="2"/>
  <c r="BW330" i="2"/>
  <c r="BW331" i="2"/>
  <c r="BW332" i="2"/>
  <c r="BW333" i="2"/>
  <c r="BW334" i="2"/>
  <c r="BW335" i="2"/>
  <c r="BW336" i="2"/>
  <c r="BW337" i="2"/>
  <c r="BW338" i="2"/>
  <c r="BW339" i="2"/>
  <c r="BW340" i="2"/>
  <c r="BW341" i="2"/>
  <c r="BW342" i="2"/>
  <c r="BW343" i="2"/>
  <c r="BW344" i="2"/>
  <c r="BW345" i="2"/>
  <c r="BW346" i="2"/>
  <c r="BW347" i="2"/>
  <c r="BW348" i="2"/>
  <c r="BW349" i="2"/>
  <c r="BW350" i="2"/>
  <c r="BW351" i="2"/>
  <c r="BW352" i="2"/>
  <c r="BW353" i="2"/>
  <c r="BW354" i="2"/>
  <c r="BW355" i="2"/>
  <c r="BW356" i="2"/>
  <c r="BW357" i="2"/>
  <c r="BW358" i="2"/>
  <c r="BW359" i="2"/>
  <c r="BW360" i="2"/>
  <c r="BW361" i="2"/>
  <c r="BW362" i="2"/>
  <c r="BW363" i="2"/>
  <c r="BW364" i="2"/>
  <c r="BW365" i="2"/>
  <c r="BW366" i="2"/>
  <c r="BW367" i="2"/>
  <c r="BW368" i="2"/>
  <c r="BW369" i="2"/>
  <c r="BW370" i="2"/>
  <c r="BW371" i="2"/>
  <c r="BW372" i="2"/>
  <c r="BW373" i="2"/>
  <c r="BW374" i="2"/>
  <c r="BW375" i="2"/>
  <c r="BW376" i="2"/>
  <c r="BW377" i="2"/>
  <c r="BW378" i="2"/>
  <c r="BW379" i="2"/>
  <c r="BW380" i="2"/>
  <c r="BW381" i="2"/>
  <c r="BW382" i="2"/>
  <c r="BW383" i="2"/>
  <c r="BW384" i="2"/>
  <c r="BW385" i="2"/>
  <c r="BW386" i="2"/>
  <c r="BW387" i="2"/>
  <c r="BW388" i="2"/>
  <c r="BW389" i="2"/>
  <c r="BW390" i="2"/>
  <c r="BW391" i="2"/>
  <c r="BW392" i="2"/>
  <c r="BW393" i="2"/>
  <c r="BW394" i="2"/>
  <c r="BW395" i="2"/>
  <c r="BW396" i="2"/>
  <c r="BW397" i="2"/>
  <c r="BW398" i="2"/>
  <c r="BW399" i="2"/>
  <c r="BW400" i="2"/>
  <c r="BW401" i="2"/>
  <c r="BW402" i="2"/>
  <c r="BW403" i="2"/>
  <c r="BW404" i="2"/>
  <c r="BW405" i="2"/>
  <c r="BW406" i="2"/>
  <c r="BW407" i="2"/>
  <c r="BW408" i="2"/>
  <c r="BW409" i="2"/>
  <c r="BW410" i="2"/>
  <c r="BW411" i="2"/>
  <c r="BW412" i="2"/>
  <c r="BW413" i="2"/>
  <c r="BW414" i="2"/>
  <c r="BW415" i="2"/>
  <c r="BW416" i="2"/>
  <c r="BW417" i="2"/>
  <c r="BW418" i="2"/>
  <c r="BW419" i="2"/>
  <c r="BW420" i="2"/>
  <c r="BW421" i="2"/>
  <c r="BW422" i="2"/>
  <c r="BW423" i="2"/>
  <c r="BW424" i="2"/>
  <c r="BW425" i="2"/>
  <c r="BW426" i="2"/>
  <c r="BW427" i="2"/>
  <c r="BW428" i="2"/>
  <c r="BW429" i="2"/>
  <c r="BW430" i="2"/>
  <c r="BW431" i="2"/>
  <c r="BW432" i="2"/>
  <c r="BW433" i="2"/>
  <c r="BW434" i="2"/>
  <c r="BW435" i="2"/>
  <c r="BW436" i="2"/>
  <c r="BW437" i="2"/>
  <c r="BW438" i="2"/>
  <c r="BW439" i="2"/>
  <c r="BW440" i="2"/>
  <c r="BW441" i="2"/>
  <c r="BW442" i="2"/>
  <c r="BW443" i="2"/>
  <c r="BW444" i="2"/>
  <c r="BW445" i="2"/>
  <c r="BW446" i="2"/>
  <c r="BW447" i="2"/>
  <c r="BW448" i="2"/>
  <c r="BW449" i="2"/>
  <c r="BW450" i="2"/>
  <c r="BW451" i="2"/>
  <c r="BW452" i="2"/>
  <c r="BW453" i="2"/>
  <c r="BW454" i="2"/>
  <c r="BW455" i="2"/>
  <c r="BW456" i="2"/>
  <c r="BW457" i="2"/>
  <c r="BW458" i="2"/>
  <c r="BW459" i="2"/>
  <c r="BW460" i="2"/>
  <c r="BW461" i="2"/>
  <c r="BW462" i="2"/>
  <c r="BW463" i="2"/>
  <c r="BW464" i="2"/>
  <c r="BW465" i="2"/>
  <c r="BW466" i="2"/>
  <c r="BW467" i="2"/>
  <c r="BW468" i="2"/>
  <c r="BW469" i="2"/>
  <c r="BW470" i="2"/>
  <c r="BW471" i="2"/>
  <c r="BW472" i="2"/>
  <c r="BW473" i="2"/>
  <c r="BW474" i="2"/>
  <c r="BW475" i="2"/>
  <c r="BW476" i="2"/>
  <c r="BW477" i="2"/>
  <c r="BW478" i="2"/>
  <c r="BW479" i="2"/>
  <c r="BW480" i="2"/>
  <c r="BW481" i="2"/>
  <c r="BW482" i="2"/>
  <c r="BW483" i="2"/>
  <c r="BW484" i="2"/>
  <c r="BW485" i="2"/>
  <c r="BW486" i="2"/>
  <c r="BW487" i="2"/>
  <c r="BW488" i="2"/>
  <c r="BW489" i="2"/>
  <c r="BW490" i="2"/>
  <c r="BW491" i="2"/>
  <c r="BW492" i="2"/>
  <c r="BW493" i="2"/>
  <c r="BW494" i="2"/>
  <c r="BW495" i="2"/>
  <c r="BW496" i="2"/>
  <c r="BW497" i="2"/>
  <c r="BW498" i="2"/>
  <c r="BW499" i="2"/>
  <c r="BW500" i="2"/>
  <c r="BW501" i="2"/>
  <c r="BW502" i="2"/>
  <c r="BW503" i="2"/>
  <c r="BW504" i="2"/>
  <c r="BW505" i="2"/>
  <c r="BW506" i="2"/>
  <c r="BW507" i="2"/>
  <c r="BW508" i="2"/>
  <c r="BW509" i="2"/>
  <c r="BW510" i="2"/>
  <c r="BW511" i="2"/>
  <c r="BW512" i="2"/>
  <c r="BW513" i="2"/>
  <c r="BW514" i="2"/>
  <c r="BW515" i="2"/>
  <c r="BW516" i="2"/>
  <c r="BW517" i="2"/>
  <c r="BW518" i="2"/>
  <c r="BW519" i="2"/>
  <c r="BW520" i="2"/>
  <c r="BW521" i="2"/>
  <c r="BW522" i="2"/>
  <c r="BW523" i="2"/>
  <c r="BW524" i="2"/>
  <c r="BW525" i="2"/>
  <c r="BW526" i="2"/>
  <c r="BW527" i="2"/>
  <c r="BW528" i="2"/>
  <c r="BW529" i="2"/>
  <c r="BW530" i="2"/>
  <c r="BW531" i="2"/>
  <c r="BW532" i="2"/>
  <c r="BW533" i="2"/>
  <c r="BW534" i="2"/>
  <c r="BW535" i="2"/>
  <c r="BW536" i="2"/>
  <c r="BW537" i="2"/>
  <c r="BW538" i="2"/>
  <c r="BW539" i="2"/>
  <c r="BW540" i="2"/>
  <c r="BW541" i="2"/>
  <c r="BW542" i="2"/>
  <c r="BW543" i="2"/>
  <c r="BW544" i="2"/>
  <c r="BW545" i="2"/>
  <c r="BW546" i="2"/>
  <c r="BW547" i="2"/>
  <c r="BW548" i="2"/>
  <c r="BW549" i="2"/>
  <c r="BW550" i="2"/>
  <c r="BW551" i="2"/>
  <c r="BW552" i="2"/>
  <c r="BW553" i="2"/>
  <c r="BW554" i="2"/>
  <c r="BW555" i="2"/>
  <c r="BW556" i="2"/>
  <c r="BW557" i="2"/>
  <c r="BW558" i="2"/>
  <c r="BW559" i="2"/>
  <c r="BW560" i="2"/>
  <c r="BW561" i="2"/>
  <c r="BW562" i="2"/>
  <c r="BW563" i="2"/>
  <c r="BW564" i="2"/>
  <c r="BW565" i="2"/>
  <c r="BW566" i="2"/>
  <c r="BW567" i="2"/>
  <c r="BW568" i="2"/>
  <c r="BW569" i="2"/>
  <c r="BW570" i="2"/>
  <c r="BW571" i="2"/>
  <c r="BW572" i="2"/>
  <c r="BW573" i="2"/>
  <c r="BW574" i="2"/>
  <c r="BW575" i="2"/>
  <c r="BW576" i="2"/>
  <c r="BW577" i="2"/>
  <c r="BW578" i="2"/>
  <c r="BW579" i="2"/>
  <c r="BW580" i="2"/>
  <c r="BW581" i="2"/>
  <c r="BW582" i="2"/>
  <c r="BW583" i="2"/>
  <c r="BW584" i="2"/>
  <c r="BW585" i="2"/>
  <c r="BW586" i="2"/>
  <c r="BW587" i="2"/>
  <c r="BW588" i="2"/>
  <c r="BW589" i="2"/>
  <c r="BW590" i="2"/>
  <c r="BW591" i="2"/>
  <c r="BW592" i="2"/>
  <c r="BW593" i="2"/>
  <c r="BW594" i="2"/>
  <c r="BW595" i="2"/>
  <c r="BW596" i="2"/>
  <c r="BW597" i="2"/>
  <c r="BW598" i="2"/>
  <c r="BW599" i="2"/>
  <c r="BW600" i="2"/>
  <c r="BW601" i="2"/>
  <c r="BW602" i="2"/>
  <c r="BW603" i="2"/>
  <c r="BW604" i="2"/>
  <c r="BW605" i="2"/>
  <c r="BW606" i="2"/>
  <c r="BW607" i="2"/>
  <c r="BW608" i="2"/>
  <c r="BW609" i="2"/>
  <c r="BW610" i="2"/>
  <c r="BW611" i="2"/>
  <c r="BW612" i="2"/>
  <c r="BW613" i="2"/>
  <c r="BW614" i="2"/>
  <c r="BW615" i="2"/>
  <c r="BW616" i="2"/>
  <c r="BW617" i="2"/>
  <c r="BW618" i="2"/>
  <c r="BW619" i="2"/>
  <c r="BW620" i="2"/>
  <c r="BW621" i="2"/>
  <c r="BW622" i="2"/>
  <c r="BW623" i="2"/>
  <c r="BW624" i="2"/>
  <c r="BW625" i="2"/>
  <c r="BW626" i="2"/>
  <c r="BW627" i="2"/>
  <c r="BW628" i="2"/>
  <c r="BW629" i="2"/>
  <c r="BW630" i="2"/>
  <c r="BW631" i="2"/>
  <c r="BW632" i="2"/>
  <c r="BW633" i="2"/>
  <c r="BW634" i="2"/>
  <c r="BW635" i="2"/>
  <c r="BW636" i="2"/>
  <c r="BW637" i="2"/>
  <c r="BW638" i="2"/>
  <c r="BW639" i="2"/>
  <c r="BW640" i="2"/>
  <c r="BW641" i="2"/>
  <c r="BW642" i="2"/>
  <c r="BW643" i="2"/>
  <c r="BW644" i="2"/>
  <c r="BW645" i="2"/>
  <c r="BW646" i="2"/>
  <c r="BW647" i="2"/>
  <c r="BW648" i="2"/>
  <c r="BW649" i="2"/>
  <c r="BW650" i="2"/>
  <c r="BW651" i="2"/>
  <c r="BW652" i="2"/>
  <c r="BW653" i="2"/>
  <c r="BW654" i="2"/>
  <c r="BW655" i="2"/>
  <c r="BW656" i="2"/>
  <c r="BW657" i="2"/>
  <c r="BW658" i="2"/>
  <c r="BW659" i="2"/>
  <c r="BW660" i="2"/>
  <c r="BW661" i="2"/>
  <c r="BW662" i="2"/>
  <c r="BW663" i="2"/>
  <c r="BW664" i="2"/>
  <c r="BW665" i="2"/>
  <c r="BW666" i="2"/>
  <c r="BW667" i="2"/>
  <c r="BW668" i="2"/>
  <c r="BW669" i="2"/>
  <c r="BW670" i="2"/>
  <c r="BW671" i="2"/>
  <c r="BW672" i="2"/>
  <c r="BW673" i="2"/>
  <c r="BW674" i="2"/>
  <c r="BW675" i="2"/>
  <c r="BW676" i="2"/>
  <c r="BW677" i="2"/>
  <c r="BW678" i="2"/>
  <c r="BW679" i="2"/>
  <c r="BW680" i="2"/>
  <c r="BW681" i="2"/>
  <c r="BW682" i="2"/>
  <c r="BW683" i="2"/>
  <c r="BW684" i="2"/>
  <c r="BW685" i="2"/>
  <c r="BW686" i="2"/>
  <c r="BW687" i="2"/>
  <c r="BW688" i="2"/>
  <c r="BW689" i="2"/>
  <c r="BW690" i="2"/>
  <c r="BW691" i="2"/>
  <c r="BW692" i="2"/>
  <c r="BW693" i="2"/>
  <c r="BW694" i="2"/>
  <c r="BW695" i="2"/>
  <c r="BW696" i="2"/>
  <c r="BW697" i="2"/>
  <c r="BW698" i="2"/>
  <c r="BW699" i="2"/>
  <c r="BW700" i="2"/>
  <c r="BW701" i="2"/>
  <c r="BW702" i="2"/>
  <c r="BW703" i="2"/>
  <c r="BW704" i="2"/>
  <c r="BW705" i="2"/>
  <c r="BX2" i="2"/>
  <c r="BX3" i="2"/>
  <c r="BX4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X88" i="2"/>
  <c r="BX89" i="2"/>
  <c r="BX90" i="2"/>
  <c r="BX91" i="2"/>
  <c r="BX92" i="2"/>
  <c r="BX93" i="2"/>
  <c r="BX94" i="2"/>
  <c r="BX95" i="2"/>
  <c r="BX96" i="2"/>
  <c r="BX97" i="2"/>
  <c r="BX98" i="2"/>
  <c r="BX99" i="2"/>
  <c r="BX100" i="2"/>
  <c r="BX101" i="2"/>
  <c r="BX102" i="2"/>
  <c r="BX103" i="2"/>
  <c r="BX104" i="2"/>
  <c r="BX105" i="2"/>
  <c r="BX106" i="2"/>
  <c r="BX107" i="2"/>
  <c r="BX108" i="2"/>
  <c r="BX109" i="2"/>
  <c r="BX110" i="2"/>
  <c r="BX111" i="2"/>
  <c r="BX112" i="2"/>
  <c r="BX113" i="2"/>
  <c r="BX114" i="2"/>
  <c r="BX115" i="2"/>
  <c r="BX116" i="2"/>
  <c r="BX117" i="2"/>
  <c r="BX118" i="2"/>
  <c r="BX119" i="2"/>
  <c r="BX120" i="2"/>
  <c r="BX121" i="2"/>
  <c r="BX122" i="2"/>
  <c r="BX123" i="2"/>
  <c r="BX124" i="2"/>
  <c r="BX125" i="2"/>
  <c r="BX126" i="2"/>
  <c r="BX127" i="2"/>
  <c r="BX128" i="2"/>
  <c r="BX129" i="2"/>
  <c r="BX130" i="2"/>
  <c r="BX131" i="2"/>
  <c r="BX132" i="2"/>
  <c r="BX133" i="2"/>
  <c r="BX134" i="2"/>
  <c r="BX135" i="2"/>
  <c r="BX136" i="2"/>
  <c r="BX137" i="2"/>
  <c r="BX138" i="2"/>
  <c r="BX139" i="2"/>
  <c r="BX140" i="2"/>
  <c r="BX141" i="2"/>
  <c r="BX142" i="2"/>
  <c r="BX143" i="2"/>
  <c r="BX144" i="2"/>
  <c r="BX145" i="2"/>
  <c r="BX146" i="2"/>
  <c r="BX147" i="2"/>
  <c r="BX148" i="2"/>
  <c r="BX149" i="2"/>
  <c r="BX150" i="2"/>
  <c r="BX151" i="2"/>
  <c r="BX152" i="2"/>
  <c r="BX153" i="2"/>
  <c r="BX154" i="2"/>
  <c r="BX155" i="2"/>
  <c r="BX156" i="2"/>
  <c r="BX157" i="2"/>
  <c r="BX158" i="2"/>
  <c r="BX159" i="2"/>
  <c r="BX160" i="2"/>
  <c r="BX161" i="2"/>
  <c r="BX162" i="2"/>
  <c r="BX163" i="2"/>
  <c r="BX164" i="2"/>
  <c r="BX165" i="2"/>
  <c r="BX166" i="2"/>
  <c r="BX167" i="2"/>
  <c r="BX168" i="2"/>
  <c r="BX169" i="2"/>
  <c r="BX170" i="2"/>
  <c r="BX171" i="2"/>
  <c r="BX172" i="2"/>
  <c r="BX173" i="2"/>
  <c r="BX174" i="2"/>
  <c r="BX175" i="2"/>
  <c r="BX176" i="2"/>
  <c r="BX177" i="2"/>
  <c r="BX178" i="2"/>
  <c r="BX179" i="2"/>
  <c r="BX180" i="2"/>
  <c r="BX181" i="2"/>
  <c r="BX182" i="2"/>
  <c r="BX183" i="2"/>
  <c r="BX184" i="2"/>
  <c r="BX185" i="2"/>
  <c r="BX186" i="2"/>
  <c r="BX187" i="2"/>
  <c r="BX188" i="2"/>
  <c r="BX189" i="2"/>
  <c r="BX190" i="2"/>
  <c r="BX191" i="2"/>
  <c r="BX192" i="2"/>
  <c r="BX193" i="2"/>
  <c r="BX194" i="2"/>
  <c r="BX195" i="2"/>
  <c r="BX196" i="2"/>
  <c r="BX197" i="2"/>
  <c r="BX198" i="2"/>
  <c r="BX199" i="2"/>
  <c r="BX200" i="2"/>
  <c r="BX201" i="2"/>
  <c r="BX202" i="2"/>
  <c r="BX203" i="2"/>
  <c r="BX204" i="2"/>
  <c r="BX205" i="2"/>
  <c r="BX206" i="2"/>
  <c r="BX207" i="2"/>
  <c r="BX208" i="2"/>
  <c r="BX209" i="2"/>
  <c r="BX210" i="2"/>
  <c r="BX211" i="2"/>
  <c r="BX212" i="2"/>
  <c r="BX213" i="2"/>
  <c r="BX214" i="2"/>
  <c r="BX215" i="2"/>
  <c r="BX216" i="2"/>
  <c r="BX217" i="2"/>
  <c r="BX218" i="2"/>
  <c r="BX219" i="2"/>
  <c r="BX220" i="2"/>
  <c r="BX221" i="2"/>
  <c r="BX222" i="2"/>
  <c r="BX223" i="2"/>
  <c r="BX224" i="2"/>
  <c r="BX225" i="2"/>
  <c r="BX226" i="2"/>
  <c r="BX227" i="2"/>
  <c r="BX228" i="2"/>
  <c r="BX229" i="2"/>
  <c r="BX230" i="2"/>
  <c r="BX231" i="2"/>
  <c r="BX232" i="2"/>
  <c r="BX233" i="2"/>
  <c r="BX234" i="2"/>
  <c r="BX235" i="2"/>
  <c r="BX236" i="2"/>
  <c r="BX237" i="2"/>
  <c r="BX238" i="2"/>
  <c r="BX239" i="2"/>
  <c r="BX240" i="2"/>
  <c r="BX241" i="2"/>
  <c r="BX242" i="2"/>
  <c r="BX243" i="2"/>
  <c r="BX244" i="2"/>
  <c r="BX245" i="2"/>
  <c r="BX246" i="2"/>
  <c r="BX247" i="2"/>
  <c r="BX248" i="2"/>
  <c r="BX249" i="2"/>
  <c r="BX250" i="2"/>
  <c r="BX251" i="2"/>
  <c r="BX252" i="2"/>
  <c r="BX253" i="2"/>
  <c r="BX254" i="2"/>
  <c r="BX255" i="2"/>
  <c r="BX256" i="2"/>
  <c r="BX257" i="2"/>
  <c r="BX258" i="2"/>
  <c r="BX259" i="2"/>
  <c r="BX260" i="2"/>
  <c r="BX261" i="2"/>
  <c r="BX262" i="2"/>
  <c r="BX263" i="2"/>
  <c r="BX264" i="2"/>
  <c r="BX265" i="2"/>
  <c r="BX266" i="2"/>
  <c r="BX267" i="2"/>
  <c r="BX268" i="2"/>
  <c r="BX269" i="2"/>
  <c r="BX270" i="2"/>
  <c r="BX271" i="2"/>
  <c r="BX272" i="2"/>
  <c r="BX273" i="2"/>
  <c r="BX274" i="2"/>
  <c r="BX275" i="2"/>
  <c r="BX276" i="2"/>
  <c r="BX277" i="2"/>
  <c r="BX278" i="2"/>
  <c r="BX279" i="2"/>
  <c r="BX280" i="2"/>
  <c r="BX281" i="2"/>
  <c r="BX282" i="2"/>
  <c r="BX283" i="2"/>
  <c r="BX284" i="2"/>
  <c r="BX285" i="2"/>
  <c r="BX286" i="2"/>
  <c r="BX287" i="2"/>
  <c r="BX288" i="2"/>
  <c r="BX289" i="2"/>
  <c r="BX290" i="2"/>
  <c r="BX291" i="2"/>
  <c r="BX292" i="2"/>
  <c r="BX293" i="2"/>
  <c r="BX294" i="2"/>
  <c r="BX295" i="2"/>
  <c r="BX296" i="2"/>
  <c r="BX297" i="2"/>
  <c r="BX298" i="2"/>
  <c r="BX299" i="2"/>
  <c r="BX300" i="2"/>
  <c r="BX301" i="2"/>
  <c r="BX302" i="2"/>
  <c r="BX303" i="2"/>
  <c r="BX304" i="2"/>
  <c r="BX305" i="2"/>
  <c r="BX306" i="2"/>
  <c r="BX307" i="2"/>
  <c r="BX308" i="2"/>
  <c r="BX309" i="2"/>
  <c r="BX310" i="2"/>
  <c r="BX311" i="2"/>
  <c r="BX312" i="2"/>
  <c r="BX313" i="2"/>
  <c r="BX314" i="2"/>
  <c r="BX315" i="2"/>
  <c r="BX316" i="2"/>
  <c r="BX317" i="2"/>
  <c r="BX318" i="2"/>
  <c r="BX319" i="2"/>
  <c r="BX320" i="2"/>
  <c r="BX321" i="2"/>
  <c r="BX322" i="2"/>
  <c r="BX323" i="2"/>
  <c r="BX324" i="2"/>
  <c r="BX325" i="2"/>
  <c r="BX326" i="2"/>
  <c r="BX327" i="2"/>
  <c r="BX328" i="2"/>
  <c r="BX329" i="2"/>
  <c r="BX330" i="2"/>
  <c r="BX331" i="2"/>
  <c r="BX332" i="2"/>
  <c r="BX333" i="2"/>
  <c r="BX334" i="2"/>
  <c r="BX335" i="2"/>
  <c r="BX336" i="2"/>
  <c r="BX337" i="2"/>
  <c r="BX338" i="2"/>
  <c r="BX339" i="2"/>
  <c r="BX340" i="2"/>
  <c r="BX341" i="2"/>
  <c r="BX342" i="2"/>
  <c r="BX343" i="2"/>
  <c r="BX344" i="2"/>
  <c r="BX345" i="2"/>
  <c r="BX346" i="2"/>
  <c r="BX347" i="2"/>
  <c r="BX348" i="2"/>
  <c r="BX349" i="2"/>
  <c r="BX350" i="2"/>
  <c r="BX351" i="2"/>
  <c r="BX352" i="2"/>
  <c r="BX353" i="2"/>
  <c r="BX354" i="2"/>
  <c r="BX355" i="2"/>
  <c r="BX356" i="2"/>
  <c r="BX357" i="2"/>
  <c r="BX358" i="2"/>
  <c r="BX359" i="2"/>
  <c r="BX360" i="2"/>
  <c r="BX361" i="2"/>
  <c r="BX362" i="2"/>
  <c r="BX363" i="2"/>
  <c r="BX364" i="2"/>
  <c r="BX365" i="2"/>
  <c r="BX366" i="2"/>
  <c r="BX367" i="2"/>
  <c r="BX368" i="2"/>
  <c r="BX369" i="2"/>
  <c r="BX370" i="2"/>
  <c r="BX371" i="2"/>
  <c r="BX372" i="2"/>
  <c r="BX373" i="2"/>
  <c r="BX374" i="2"/>
  <c r="BX375" i="2"/>
  <c r="BX376" i="2"/>
  <c r="BX377" i="2"/>
  <c r="BX378" i="2"/>
  <c r="BX379" i="2"/>
  <c r="BX380" i="2"/>
  <c r="BX381" i="2"/>
  <c r="BX382" i="2"/>
  <c r="BX383" i="2"/>
  <c r="BX384" i="2"/>
  <c r="BX385" i="2"/>
  <c r="BX386" i="2"/>
  <c r="BX387" i="2"/>
  <c r="BX388" i="2"/>
  <c r="BX389" i="2"/>
  <c r="BX390" i="2"/>
  <c r="BX391" i="2"/>
  <c r="BX392" i="2"/>
  <c r="BX393" i="2"/>
  <c r="BX394" i="2"/>
  <c r="BX395" i="2"/>
  <c r="BX396" i="2"/>
  <c r="BX397" i="2"/>
  <c r="BX398" i="2"/>
  <c r="BX399" i="2"/>
  <c r="BX400" i="2"/>
  <c r="BX401" i="2"/>
  <c r="BX402" i="2"/>
  <c r="BX403" i="2"/>
  <c r="BX404" i="2"/>
  <c r="BX405" i="2"/>
  <c r="BX406" i="2"/>
  <c r="BX407" i="2"/>
  <c r="BX408" i="2"/>
  <c r="BX409" i="2"/>
  <c r="BX410" i="2"/>
  <c r="BX411" i="2"/>
  <c r="BX412" i="2"/>
  <c r="BX413" i="2"/>
  <c r="BX414" i="2"/>
  <c r="BX415" i="2"/>
  <c r="BX416" i="2"/>
  <c r="BX417" i="2"/>
  <c r="BX418" i="2"/>
  <c r="BX419" i="2"/>
  <c r="BX420" i="2"/>
  <c r="BX421" i="2"/>
  <c r="BX422" i="2"/>
  <c r="BX423" i="2"/>
  <c r="BX424" i="2"/>
  <c r="BX425" i="2"/>
  <c r="BX426" i="2"/>
  <c r="BX427" i="2"/>
  <c r="BX428" i="2"/>
  <c r="BX429" i="2"/>
  <c r="BX430" i="2"/>
  <c r="BX431" i="2"/>
  <c r="BX432" i="2"/>
  <c r="BX433" i="2"/>
  <c r="BX434" i="2"/>
  <c r="BX435" i="2"/>
  <c r="BX436" i="2"/>
  <c r="BX437" i="2"/>
  <c r="BX438" i="2"/>
  <c r="BX439" i="2"/>
  <c r="BX440" i="2"/>
  <c r="BX441" i="2"/>
  <c r="BX442" i="2"/>
  <c r="BX443" i="2"/>
  <c r="BX444" i="2"/>
  <c r="BX445" i="2"/>
  <c r="BX446" i="2"/>
  <c r="BX447" i="2"/>
  <c r="BX448" i="2"/>
  <c r="BX449" i="2"/>
  <c r="BX450" i="2"/>
  <c r="BX451" i="2"/>
  <c r="BX452" i="2"/>
  <c r="BX453" i="2"/>
  <c r="BX454" i="2"/>
  <c r="BX455" i="2"/>
  <c r="BX456" i="2"/>
  <c r="BX457" i="2"/>
  <c r="BX458" i="2"/>
  <c r="BX459" i="2"/>
  <c r="BX460" i="2"/>
  <c r="BX461" i="2"/>
  <c r="BX462" i="2"/>
  <c r="BX463" i="2"/>
  <c r="BX464" i="2"/>
  <c r="BX465" i="2"/>
  <c r="BX466" i="2"/>
  <c r="BX467" i="2"/>
  <c r="BX468" i="2"/>
  <c r="BX469" i="2"/>
  <c r="BX470" i="2"/>
  <c r="BX471" i="2"/>
  <c r="BX472" i="2"/>
  <c r="BX473" i="2"/>
  <c r="BX474" i="2"/>
  <c r="BX475" i="2"/>
  <c r="BX476" i="2"/>
  <c r="BX477" i="2"/>
  <c r="BX478" i="2"/>
  <c r="BX479" i="2"/>
  <c r="BX480" i="2"/>
  <c r="BX481" i="2"/>
  <c r="BX482" i="2"/>
  <c r="BX483" i="2"/>
  <c r="BX484" i="2"/>
  <c r="BX485" i="2"/>
  <c r="BX486" i="2"/>
  <c r="BX487" i="2"/>
  <c r="BX488" i="2"/>
  <c r="BX489" i="2"/>
  <c r="BX490" i="2"/>
  <c r="BX491" i="2"/>
  <c r="BX492" i="2"/>
  <c r="BX493" i="2"/>
  <c r="BX494" i="2"/>
  <c r="BX495" i="2"/>
  <c r="BX496" i="2"/>
  <c r="BX497" i="2"/>
  <c r="BX498" i="2"/>
  <c r="BX499" i="2"/>
  <c r="BX500" i="2"/>
  <c r="BX501" i="2"/>
  <c r="BX502" i="2"/>
  <c r="BX503" i="2"/>
  <c r="BX504" i="2"/>
  <c r="BX505" i="2"/>
  <c r="BX506" i="2"/>
  <c r="BX507" i="2"/>
  <c r="BX508" i="2"/>
  <c r="BX509" i="2"/>
  <c r="BX510" i="2"/>
  <c r="BX511" i="2"/>
  <c r="BX512" i="2"/>
  <c r="BX513" i="2"/>
  <c r="BX514" i="2"/>
  <c r="BX515" i="2"/>
  <c r="BX516" i="2"/>
  <c r="BX517" i="2"/>
  <c r="BX518" i="2"/>
  <c r="BX519" i="2"/>
  <c r="BX520" i="2"/>
  <c r="BX521" i="2"/>
  <c r="BX522" i="2"/>
  <c r="BX523" i="2"/>
  <c r="BX524" i="2"/>
  <c r="BX525" i="2"/>
  <c r="BX526" i="2"/>
  <c r="BX527" i="2"/>
  <c r="BX528" i="2"/>
  <c r="BX529" i="2"/>
  <c r="BX530" i="2"/>
  <c r="BX531" i="2"/>
  <c r="BX532" i="2"/>
  <c r="BX533" i="2"/>
  <c r="BX534" i="2"/>
  <c r="BX535" i="2"/>
  <c r="BX536" i="2"/>
  <c r="BX537" i="2"/>
  <c r="BX538" i="2"/>
  <c r="BX539" i="2"/>
  <c r="BX540" i="2"/>
  <c r="BX541" i="2"/>
  <c r="BX542" i="2"/>
  <c r="BX543" i="2"/>
  <c r="BX544" i="2"/>
  <c r="BX545" i="2"/>
  <c r="BX546" i="2"/>
  <c r="BX547" i="2"/>
  <c r="BX548" i="2"/>
  <c r="BX549" i="2"/>
  <c r="BX550" i="2"/>
  <c r="BX551" i="2"/>
  <c r="BX552" i="2"/>
  <c r="BX553" i="2"/>
  <c r="BX554" i="2"/>
  <c r="BX555" i="2"/>
  <c r="BX556" i="2"/>
  <c r="BX557" i="2"/>
  <c r="BX558" i="2"/>
  <c r="BX559" i="2"/>
  <c r="BX560" i="2"/>
  <c r="BX561" i="2"/>
  <c r="BX562" i="2"/>
  <c r="BX563" i="2"/>
  <c r="BX564" i="2"/>
  <c r="BX565" i="2"/>
  <c r="BX566" i="2"/>
  <c r="BX567" i="2"/>
  <c r="BX568" i="2"/>
  <c r="BX569" i="2"/>
  <c r="BX570" i="2"/>
  <c r="BX571" i="2"/>
  <c r="BX572" i="2"/>
  <c r="BX573" i="2"/>
  <c r="BX574" i="2"/>
  <c r="BX575" i="2"/>
  <c r="BX576" i="2"/>
  <c r="BX577" i="2"/>
  <c r="BX578" i="2"/>
  <c r="BX579" i="2"/>
  <c r="BX580" i="2"/>
  <c r="BX581" i="2"/>
  <c r="BX582" i="2"/>
  <c r="BX583" i="2"/>
  <c r="BX584" i="2"/>
  <c r="BX585" i="2"/>
  <c r="BX586" i="2"/>
  <c r="BX587" i="2"/>
  <c r="BX588" i="2"/>
  <c r="BX589" i="2"/>
  <c r="BX590" i="2"/>
  <c r="BX591" i="2"/>
  <c r="BX592" i="2"/>
  <c r="BX593" i="2"/>
  <c r="BX594" i="2"/>
  <c r="BX595" i="2"/>
  <c r="BX596" i="2"/>
  <c r="BX597" i="2"/>
  <c r="BX598" i="2"/>
  <c r="BX599" i="2"/>
  <c r="BX600" i="2"/>
  <c r="BX601" i="2"/>
  <c r="BX602" i="2"/>
  <c r="BX603" i="2"/>
  <c r="BX604" i="2"/>
  <c r="BX605" i="2"/>
  <c r="BX606" i="2"/>
  <c r="BX607" i="2"/>
  <c r="BX608" i="2"/>
  <c r="BX609" i="2"/>
  <c r="BX610" i="2"/>
  <c r="BX611" i="2"/>
  <c r="BX612" i="2"/>
  <c r="BX613" i="2"/>
  <c r="BX614" i="2"/>
  <c r="BX615" i="2"/>
  <c r="BX616" i="2"/>
  <c r="BX617" i="2"/>
  <c r="BX618" i="2"/>
  <c r="BX619" i="2"/>
  <c r="BX620" i="2"/>
  <c r="BX621" i="2"/>
  <c r="BX622" i="2"/>
  <c r="BX623" i="2"/>
  <c r="BX624" i="2"/>
  <c r="BX625" i="2"/>
  <c r="BX626" i="2"/>
  <c r="BX627" i="2"/>
  <c r="BX628" i="2"/>
  <c r="BX629" i="2"/>
  <c r="BX630" i="2"/>
  <c r="BX631" i="2"/>
  <c r="BX632" i="2"/>
  <c r="BX633" i="2"/>
  <c r="BX634" i="2"/>
  <c r="BX635" i="2"/>
  <c r="BX636" i="2"/>
  <c r="BX637" i="2"/>
  <c r="BX638" i="2"/>
  <c r="BX639" i="2"/>
  <c r="BX640" i="2"/>
  <c r="BX641" i="2"/>
  <c r="BX642" i="2"/>
  <c r="BX643" i="2"/>
  <c r="BX644" i="2"/>
  <c r="BX645" i="2"/>
  <c r="BX646" i="2"/>
  <c r="BX647" i="2"/>
  <c r="BX648" i="2"/>
  <c r="BX649" i="2"/>
  <c r="BX650" i="2"/>
  <c r="BX651" i="2"/>
  <c r="BX652" i="2"/>
  <c r="BX653" i="2"/>
  <c r="BX654" i="2"/>
  <c r="BX655" i="2"/>
  <c r="BX656" i="2"/>
  <c r="BX657" i="2"/>
  <c r="BX658" i="2"/>
  <c r="BX659" i="2"/>
  <c r="BX660" i="2"/>
  <c r="BX661" i="2"/>
  <c r="BX662" i="2"/>
  <c r="BX663" i="2"/>
  <c r="BX664" i="2"/>
  <c r="BX665" i="2"/>
  <c r="BX666" i="2"/>
  <c r="BX667" i="2"/>
  <c r="BX668" i="2"/>
  <c r="BX669" i="2"/>
  <c r="BX670" i="2"/>
  <c r="BX671" i="2"/>
  <c r="BX672" i="2"/>
  <c r="BX673" i="2"/>
  <c r="BX674" i="2"/>
  <c r="BX675" i="2"/>
  <c r="BX676" i="2"/>
  <c r="BX677" i="2"/>
  <c r="BX678" i="2"/>
  <c r="BX679" i="2"/>
  <c r="BX680" i="2"/>
  <c r="BX681" i="2"/>
  <c r="BX682" i="2"/>
  <c r="BX683" i="2"/>
  <c r="BX684" i="2"/>
  <c r="BX685" i="2"/>
  <c r="BX686" i="2"/>
  <c r="BX687" i="2"/>
  <c r="BX688" i="2"/>
  <c r="BX689" i="2"/>
  <c r="BX690" i="2"/>
  <c r="BX691" i="2"/>
  <c r="BX692" i="2"/>
  <c r="BX693" i="2"/>
  <c r="BX694" i="2"/>
  <c r="BX695" i="2"/>
  <c r="BX696" i="2"/>
  <c r="BX697" i="2"/>
  <c r="BX698" i="2"/>
  <c r="BX699" i="2"/>
  <c r="BX700" i="2"/>
  <c r="BX701" i="2"/>
  <c r="BX702" i="2"/>
  <c r="BX703" i="2"/>
  <c r="BX704" i="2"/>
  <c r="BX705" i="2"/>
  <c r="BY2" i="2"/>
  <c r="BY3" i="2"/>
  <c r="BY4" i="2"/>
  <c r="BY5" i="2"/>
  <c r="BY6" i="2"/>
  <c r="BY7" i="2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BY39" i="2"/>
  <c r="BY40" i="2"/>
  <c r="BY41" i="2"/>
  <c r="BY42" i="2"/>
  <c r="BY43" i="2"/>
  <c r="BY44" i="2"/>
  <c r="BY45" i="2"/>
  <c r="BY46" i="2"/>
  <c r="BY47" i="2"/>
  <c r="BY48" i="2"/>
  <c r="BY49" i="2"/>
  <c r="BY50" i="2"/>
  <c r="BY51" i="2"/>
  <c r="BY52" i="2"/>
  <c r="BY53" i="2"/>
  <c r="BY54" i="2"/>
  <c r="BY55" i="2"/>
  <c r="BY56" i="2"/>
  <c r="BY57" i="2"/>
  <c r="BY58" i="2"/>
  <c r="BY59" i="2"/>
  <c r="BY60" i="2"/>
  <c r="BY61" i="2"/>
  <c r="BY62" i="2"/>
  <c r="BY63" i="2"/>
  <c r="BY64" i="2"/>
  <c r="BY65" i="2"/>
  <c r="BY66" i="2"/>
  <c r="BY67" i="2"/>
  <c r="BY68" i="2"/>
  <c r="BY69" i="2"/>
  <c r="BY70" i="2"/>
  <c r="BY71" i="2"/>
  <c r="BY72" i="2"/>
  <c r="BY73" i="2"/>
  <c r="BY74" i="2"/>
  <c r="BY75" i="2"/>
  <c r="BY76" i="2"/>
  <c r="BY77" i="2"/>
  <c r="BY78" i="2"/>
  <c r="BY79" i="2"/>
  <c r="BY80" i="2"/>
  <c r="BY81" i="2"/>
  <c r="BY82" i="2"/>
  <c r="BY83" i="2"/>
  <c r="BY84" i="2"/>
  <c r="BY85" i="2"/>
  <c r="BY86" i="2"/>
  <c r="BY87" i="2"/>
  <c r="BY88" i="2"/>
  <c r="BY89" i="2"/>
  <c r="BY90" i="2"/>
  <c r="BY91" i="2"/>
  <c r="BY92" i="2"/>
  <c r="BY93" i="2"/>
  <c r="BY94" i="2"/>
  <c r="BY95" i="2"/>
  <c r="BY96" i="2"/>
  <c r="BY97" i="2"/>
  <c r="BY98" i="2"/>
  <c r="BY99" i="2"/>
  <c r="BY100" i="2"/>
  <c r="BY101" i="2"/>
  <c r="BY102" i="2"/>
  <c r="BY103" i="2"/>
  <c r="BY104" i="2"/>
  <c r="BY105" i="2"/>
  <c r="BY106" i="2"/>
  <c r="BY107" i="2"/>
  <c r="BY108" i="2"/>
  <c r="BY109" i="2"/>
  <c r="BY110" i="2"/>
  <c r="BY111" i="2"/>
  <c r="BY112" i="2"/>
  <c r="BY113" i="2"/>
  <c r="BY114" i="2"/>
  <c r="BY115" i="2"/>
  <c r="BY116" i="2"/>
  <c r="BY117" i="2"/>
  <c r="BY118" i="2"/>
  <c r="BY119" i="2"/>
  <c r="BY120" i="2"/>
  <c r="BY121" i="2"/>
  <c r="BY122" i="2"/>
  <c r="BY123" i="2"/>
  <c r="BY124" i="2"/>
  <c r="BY125" i="2"/>
  <c r="BY126" i="2"/>
  <c r="BY127" i="2"/>
  <c r="BY128" i="2"/>
  <c r="BY129" i="2"/>
  <c r="BY130" i="2"/>
  <c r="BY131" i="2"/>
  <c r="BY132" i="2"/>
  <c r="BY133" i="2"/>
  <c r="BY134" i="2"/>
  <c r="BY135" i="2"/>
  <c r="BY136" i="2"/>
  <c r="BY137" i="2"/>
  <c r="BY138" i="2"/>
  <c r="BY139" i="2"/>
  <c r="BY140" i="2"/>
  <c r="BY141" i="2"/>
  <c r="BY142" i="2"/>
  <c r="BY143" i="2"/>
  <c r="BY144" i="2"/>
  <c r="BY145" i="2"/>
  <c r="BY146" i="2"/>
  <c r="BY147" i="2"/>
  <c r="BY148" i="2"/>
  <c r="BY149" i="2"/>
  <c r="BY150" i="2"/>
  <c r="BY151" i="2"/>
  <c r="BY152" i="2"/>
  <c r="BY153" i="2"/>
  <c r="BY154" i="2"/>
  <c r="BY155" i="2"/>
  <c r="BY156" i="2"/>
  <c r="BY157" i="2"/>
  <c r="BY158" i="2"/>
  <c r="BY159" i="2"/>
  <c r="BY160" i="2"/>
  <c r="BY161" i="2"/>
  <c r="BY162" i="2"/>
  <c r="BY163" i="2"/>
  <c r="BY164" i="2"/>
  <c r="BY165" i="2"/>
  <c r="BY166" i="2"/>
  <c r="BY167" i="2"/>
  <c r="BY168" i="2"/>
  <c r="BY169" i="2"/>
  <c r="BY170" i="2"/>
  <c r="BY171" i="2"/>
  <c r="BY172" i="2"/>
  <c r="BY173" i="2"/>
  <c r="BY174" i="2"/>
  <c r="BY175" i="2"/>
  <c r="BY176" i="2"/>
  <c r="BY177" i="2"/>
  <c r="BY178" i="2"/>
  <c r="BY179" i="2"/>
  <c r="BY180" i="2"/>
  <c r="BY181" i="2"/>
  <c r="BY182" i="2"/>
  <c r="BY183" i="2"/>
  <c r="BY184" i="2"/>
  <c r="BY185" i="2"/>
  <c r="BY186" i="2"/>
  <c r="BY187" i="2"/>
  <c r="BY188" i="2"/>
  <c r="BY189" i="2"/>
  <c r="BY190" i="2"/>
  <c r="BY191" i="2"/>
  <c r="BY192" i="2"/>
  <c r="BY193" i="2"/>
  <c r="BY194" i="2"/>
  <c r="BY195" i="2"/>
  <c r="BY196" i="2"/>
  <c r="BY197" i="2"/>
  <c r="BY198" i="2"/>
  <c r="BY199" i="2"/>
  <c r="BY200" i="2"/>
  <c r="BY201" i="2"/>
  <c r="BY202" i="2"/>
  <c r="BY203" i="2"/>
  <c r="BY204" i="2"/>
  <c r="BY205" i="2"/>
  <c r="BY206" i="2"/>
  <c r="BY207" i="2"/>
  <c r="BY208" i="2"/>
  <c r="BY209" i="2"/>
  <c r="BY210" i="2"/>
  <c r="BY211" i="2"/>
  <c r="BY212" i="2"/>
  <c r="BY213" i="2"/>
  <c r="BY214" i="2"/>
  <c r="BY215" i="2"/>
  <c r="BY216" i="2"/>
  <c r="BY217" i="2"/>
  <c r="BY218" i="2"/>
  <c r="BY219" i="2"/>
  <c r="BY220" i="2"/>
  <c r="BY221" i="2"/>
  <c r="BY222" i="2"/>
  <c r="BY223" i="2"/>
  <c r="BY224" i="2"/>
  <c r="BY225" i="2"/>
  <c r="BY226" i="2"/>
  <c r="BY227" i="2"/>
  <c r="BY228" i="2"/>
  <c r="BY229" i="2"/>
  <c r="BY230" i="2"/>
  <c r="BY231" i="2"/>
  <c r="BY232" i="2"/>
  <c r="BY233" i="2"/>
  <c r="BY234" i="2"/>
  <c r="BY235" i="2"/>
  <c r="BY236" i="2"/>
  <c r="BY237" i="2"/>
  <c r="BY238" i="2"/>
  <c r="BY239" i="2"/>
  <c r="BY240" i="2"/>
  <c r="BY241" i="2"/>
  <c r="BY242" i="2"/>
  <c r="BY243" i="2"/>
  <c r="BY244" i="2"/>
  <c r="BY245" i="2"/>
  <c r="BY246" i="2"/>
  <c r="BY247" i="2"/>
  <c r="BY248" i="2"/>
  <c r="BY249" i="2"/>
  <c r="BY250" i="2"/>
  <c r="BY251" i="2"/>
  <c r="BY252" i="2"/>
  <c r="BY253" i="2"/>
  <c r="BY254" i="2"/>
  <c r="BY255" i="2"/>
  <c r="BY256" i="2"/>
  <c r="BY257" i="2"/>
  <c r="BY258" i="2"/>
  <c r="BY259" i="2"/>
  <c r="BY260" i="2"/>
  <c r="BY261" i="2"/>
  <c r="BY262" i="2"/>
  <c r="BY263" i="2"/>
  <c r="BY264" i="2"/>
  <c r="BY265" i="2"/>
  <c r="BY266" i="2"/>
  <c r="BY267" i="2"/>
  <c r="BY268" i="2"/>
  <c r="BY269" i="2"/>
  <c r="BY270" i="2"/>
  <c r="BY271" i="2"/>
  <c r="BY272" i="2"/>
  <c r="BY273" i="2"/>
  <c r="BY274" i="2"/>
  <c r="BY275" i="2"/>
  <c r="BY276" i="2"/>
  <c r="BY277" i="2"/>
  <c r="BY278" i="2"/>
  <c r="BY279" i="2"/>
  <c r="BY280" i="2"/>
  <c r="BY281" i="2"/>
  <c r="BY282" i="2"/>
  <c r="BY283" i="2"/>
  <c r="BY284" i="2"/>
  <c r="BY285" i="2"/>
  <c r="BY286" i="2"/>
  <c r="BY287" i="2"/>
  <c r="BY288" i="2"/>
  <c r="BY289" i="2"/>
  <c r="BY290" i="2"/>
  <c r="BY291" i="2"/>
  <c r="BY292" i="2"/>
  <c r="BY293" i="2"/>
  <c r="BY294" i="2"/>
  <c r="BY295" i="2"/>
  <c r="BY296" i="2"/>
  <c r="BY297" i="2"/>
  <c r="BY298" i="2"/>
  <c r="BY299" i="2"/>
  <c r="BY300" i="2"/>
  <c r="BY301" i="2"/>
  <c r="BY302" i="2"/>
  <c r="BY303" i="2"/>
  <c r="BY304" i="2"/>
  <c r="BY305" i="2"/>
  <c r="BY306" i="2"/>
  <c r="BY307" i="2"/>
  <c r="BY308" i="2"/>
  <c r="BY309" i="2"/>
  <c r="BY310" i="2"/>
  <c r="BY311" i="2"/>
  <c r="BY312" i="2"/>
  <c r="BY313" i="2"/>
  <c r="BY314" i="2"/>
  <c r="BY315" i="2"/>
  <c r="BY316" i="2"/>
  <c r="BY317" i="2"/>
  <c r="BY318" i="2"/>
  <c r="BY319" i="2"/>
  <c r="BY320" i="2"/>
  <c r="BY321" i="2"/>
  <c r="BY322" i="2"/>
  <c r="BY323" i="2"/>
  <c r="BY324" i="2"/>
  <c r="BY325" i="2"/>
  <c r="BY326" i="2"/>
  <c r="BY327" i="2"/>
  <c r="BY328" i="2"/>
  <c r="BY329" i="2"/>
  <c r="BY330" i="2"/>
  <c r="BY331" i="2"/>
  <c r="BY332" i="2"/>
  <c r="BY333" i="2"/>
  <c r="BY334" i="2"/>
  <c r="BY335" i="2"/>
  <c r="BY336" i="2"/>
  <c r="BY337" i="2"/>
  <c r="BY338" i="2"/>
  <c r="BY339" i="2"/>
  <c r="BY340" i="2"/>
  <c r="BY341" i="2"/>
  <c r="BY342" i="2"/>
  <c r="BY343" i="2"/>
  <c r="BY344" i="2"/>
  <c r="BY345" i="2"/>
  <c r="BY346" i="2"/>
  <c r="BY347" i="2"/>
  <c r="BY348" i="2"/>
  <c r="BY349" i="2"/>
  <c r="BY350" i="2"/>
  <c r="BY351" i="2"/>
  <c r="BY352" i="2"/>
  <c r="BY353" i="2"/>
  <c r="BY354" i="2"/>
  <c r="BY355" i="2"/>
  <c r="BY356" i="2"/>
  <c r="BY357" i="2"/>
  <c r="BY358" i="2"/>
  <c r="BY359" i="2"/>
  <c r="BY360" i="2"/>
  <c r="BY361" i="2"/>
  <c r="BY362" i="2"/>
  <c r="BY363" i="2"/>
  <c r="BY364" i="2"/>
  <c r="BY365" i="2"/>
  <c r="BY366" i="2"/>
  <c r="BY367" i="2"/>
  <c r="BY368" i="2"/>
  <c r="BY369" i="2"/>
  <c r="BY370" i="2"/>
  <c r="BY371" i="2"/>
  <c r="BY372" i="2"/>
  <c r="BY373" i="2"/>
  <c r="BY374" i="2"/>
  <c r="BY375" i="2"/>
  <c r="BY376" i="2"/>
  <c r="BY377" i="2"/>
  <c r="BY378" i="2"/>
  <c r="BY379" i="2"/>
  <c r="BY380" i="2"/>
  <c r="BY381" i="2"/>
  <c r="BY382" i="2"/>
  <c r="BY383" i="2"/>
  <c r="BY384" i="2"/>
  <c r="BY385" i="2"/>
  <c r="BY386" i="2"/>
  <c r="BY387" i="2"/>
  <c r="BY388" i="2"/>
  <c r="BY389" i="2"/>
  <c r="BY390" i="2"/>
  <c r="BY391" i="2"/>
  <c r="BY392" i="2"/>
  <c r="BY393" i="2"/>
  <c r="BY394" i="2"/>
  <c r="BY395" i="2"/>
  <c r="BY396" i="2"/>
  <c r="BY397" i="2"/>
  <c r="BY398" i="2"/>
  <c r="BY399" i="2"/>
  <c r="BY400" i="2"/>
  <c r="BY401" i="2"/>
  <c r="BY402" i="2"/>
  <c r="BY403" i="2"/>
  <c r="BY404" i="2"/>
  <c r="BY405" i="2"/>
  <c r="BY406" i="2"/>
  <c r="BY407" i="2"/>
  <c r="BY408" i="2"/>
  <c r="BY409" i="2"/>
  <c r="BY410" i="2"/>
  <c r="BY411" i="2"/>
  <c r="BY412" i="2"/>
  <c r="BY413" i="2"/>
  <c r="BY414" i="2"/>
  <c r="BY415" i="2"/>
  <c r="BY416" i="2"/>
  <c r="BY417" i="2"/>
  <c r="BY418" i="2"/>
  <c r="BY419" i="2"/>
  <c r="BY420" i="2"/>
  <c r="BY421" i="2"/>
  <c r="BY422" i="2"/>
  <c r="BY423" i="2"/>
  <c r="BY424" i="2"/>
  <c r="BY425" i="2"/>
  <c r="BY426" i="2"/>
  <c r="BY427" i="2"/>
  <c r="BY428" i="2"/>
  <c r="BY429" i="2"/>
  <c r="BY430" i="2"/>
  <c r="BY431" i="2"/>
  <c r="BY432" i="2"/>
  <c r="BY433" i="2"/>
  <c r="BY434" i="2"/>
  <c r="BY435" i="2"/>
  <c r="BY436" i="2"/>
  <c r="BY437" i="2"/>
  <c r="BY438" i="2"/>
  <c r="BY439" i="2"/>
  <c r="BY440" i="2"/>
  <c r="BY441" i="2"/>
  <c r="BY442" i="2"/>
  <c r="BY443" i="2"/>
  <c r="BY444" i="2"/>
  <c r="BY445" i="2"/>
  <c r="BY446" i="2"/>
  <c r="BY447" i="2"/>
  <c r="BY448" i="2"/>
  <c r="BY449" i="2"/>
  <c r="BY450" i="2"/>
  <c r="BY451" i="2"/>
  <c r="BY452" i="2"/>
  <c r="BY453" i="2"/>
  <c r="BY454" i="2"/>
  <c r="BY455" i="2"/>
  <c r="BY456" i="2"/>
  <c r="BY457" i="2"/>
  <c r="BY458" i="2"/>
  <c r="BY459" i="2"/>
  <c r="BY460" i="2"/>
  <c r="BY461" i="2"/>
  <c r="BY462" i="2"/>
  <c r="BY463" i="2"/>
  <c r="BY464" i="2"/>
  <c r="BY465" i="2"/>
  <c r="BY466" i="2"/>
  <c r="BY467" i="2"/>
  <c r="BY468" i="2"/>
  <c r="BY469" i="2"/>
  <c r="BY470" i="2"/>
  <c r="BY471" i="2"/>
  <c r="BY472" i="2"/>
  <c r="BY473" i="2"/>
  <c r="BY474" i="2"/>
  <c r="BY475" i="2"/>
  <c r="BY476" i="2"/>
  <c r="BY477" i="2"/>
  <c r="BY478" i="2"/>
  <c r="BY479" i="2"/>
  <c r="BY480" i="2"/>
  <c r="BY481" i="2"/>
  <c r="BY482" i="2"/>
  <c r="BY483" i="2"/>
  <c r="BY484" i="2"/>
  <c r="BY485" i="2"/>
  <c r="BY486" i="2"/>
  <c r="BY487" i="2"/>
  <c r="BY488" i="2"/>
  <c r="BY489" i="2"/>
  <c r="BY490" i="2"/>
  <c r="BY491" i="2"/>
  <c r="BY492" i="2"/>
  <c r="BY493" i="2"/>
  <c r="BY494" i="2"/>
  <c r="BY495" i="2"/>
  <c r="BY496" i="2"/>
  <c r="BY497" i="2"/>
  <c r="BY498" i="2"/>
  <c r="BY499" i="2"/>
  <c r="BY500" i="2"/>
  <c r="BY501" i="2"/>
  <c r="BY502" i="2"/>
  <c r="BY503" i="2"/>
  <c r="BY504" i="2"/>
  <c r="BY505" i="2"/>
  <c r="BY506" i="2"/>
  <c r="BY507" i="2"/>
  <c r="BY508" i="2"/>
  <c r="BY509" i="2"/>
  <c r="BY510" i="2"/>
  <c r="BY511" i="2"/>
  <c r="BY512" i="2"/>
  <c r="BY513" i="2"/>
  <c r="BY514" i="2"/>
  <c r="BY515" i="2"/>
  <c r="BY516" i="2"/>
  <c r="BY517" i="2"/>
  <c r="BY518" i="2"/>
  <c r="BY519" i="2"/>
  <c r="BY520" i="2"/>
  <c r="BY521" i="2"/>
  <c r="BY522" i="2"/>
  <c r="BY523" i="2"/>
  <c r="BY524" i="2"/>
  <c r="BY525" i="2"/>
  <c r="BY526" i="2"/>
  <c r="BY527" i="2"/>
  <c r="BY528" i="2"/>
  <c r="BY529" i="2"/>
  <c r="BY530" i="2"/>
  <c r="BY531" i="2"/>
  <c r="BY532" i="2"/>
  <c r="BY533" i="2"/>
  <c r="BY534" i="2"/>
  <c r="BY535" i="2"/>
  <c r="BY536" i="2"/>
  <c r="BY537" i="2"/>
  <c r="BY538" i="2"/>
  <c r="BY539" i="2"/>
  <c r="BY540" i="2"/>
  <c r="BY541" i="2"/>
  <c r="BY542" i="2"/>
  <c r="BY543" i="2"/>
  <c r="BY544" i="2"/>
  <c r="BY545" i="2"/>
  <c r="BY546" i="2"/>
  <c r="BY547" i="2"/>
  <c r="BY548" i="2"/>
  <c r="BY549" i="2"/>
  <c r="BY550" i="2"/>
  <c r="BY551" i="2"/>
  <c r="BY552" i="2"/>
  <c r="BY553" i="2"/>
  <c r="BY554" i="2"/>
  <c r="BY555" i="2"/>
  <c r="BY556" i="2"/>
  <c r="BY557" i="2"/>
  <c r="BY558" i="2"/>
  <c r="BY559" i="2"/>
  <c r="BY560" i="2"/>
  <c r="BY561" i="2"/>
  <c r="BY562" i="2"/>
  <c r="BY563" i="2"/>
  <c r="BY564" i="2"/>
  <c r="BY565" i="2"/>
  <c r="BY566" i="2"/>
  <c r="BY567" i="2"/>
  <c r="BY568" i="2"/>
  <c r="BY569" i="2"/>
  <c r="BY570" i="2"/>
  <c r="BY571" i="2"/>
  <c r="BY572" i="2"/>
  <c r="BY573" i="2"/>
  <c r="BY574" i="2"/>
  <c r="BY575" i="2"/>
  <c r="BY576" i="2"/>
  <c r="BY577" i="2"/>
  <c r="BY578" i="2"/>
  <c r="BY579" i="2"/>
  <c r="BY580" i="2"/>
  <c r="BY581" i="2"/>
  <c r="BY582" i="2"/>
  <c r="BY583" i="2"/>
  <c r="BY584" i="2"/>
  <c r="BY585" i="2"/>
  <c r="BY586" i="2"/>
  <c r="BY587" i="2"/>
  <c r="BY588" i="2"/>
  <c r="BY589" i="2"/>
  <c r="BY590" i="2"/>
  <c r="BY591" i="2"/>
  <c r="BY592" i="2"/>
  <c r="BY593" i="2"/>
  <c r="BY594" i="2"/>
  <c r="BY595" i="2"/>
  <c r="BY596" i="2"/>
  <c r="BY597" i="2"/>
  <c r="BY598" i="2"/>
  <c r="BY599" i="2"/>
  <c r="BY600" i="2"/>
  <c r="BY601" i="2"/>
  <c r="BY602" i="2"/>
  <c r="BY603" i="2"/>
  <c r="BY604" i="2"/>
  <c r="BY605" i="2"/>
  <c r="BY606" i="2"/>
  <c r="BY607" i="2"/>
  <c r="BY608" i="2"/>
  <c r="BY609" i="2"/>
  <c r="BY610" i="2"/>
  <c r="BY611" i="2"/>
  <c r="BY612" i="2"/>
  <c r="BY613" i="2"/>
  <c r="BY614" i="2"/>
  <c r="BY615" i="2"/>
  <c r="BY616" i="2"/>
  <c r="BY617" i="2"/>
  <c r="BY618" i="2"/>
  <c r="BY619" i="2"/>
  <c r="BY620" i="2"/>
  <c r="BY621" i="2"/>
  <c r="BY622" i="2"/>
  <c r="BY623" i="2"/>
  <c r="BY624" i="2"/>
  <c r="BY625" i="2"/>
  <c r="BY626" i="2"/>
  <c r="BY627" i="2"/>
  <c r="BY628" i="2"/>
  <c r="BY629" i="2"/>
  <c r="BY630" i="2"/>
  <c r="BY631" i="2"/>
  <c r="BY632" i="2"/>
  <c r="BY633" i="2"/>
  <c r="BY634" i="2"/>
  <c r="BY635" i="2"/>
  <c r="BY636" i="2"/>
  <c r="BY637" i="2"/>
  <c r="BY638" i="2"/>
  <c r="BY639" i="2"/>
  <c r="BY640" i="2"/>
  <c r="BY641" i="2"/>
  <c r="BY642" i="2"/>
  <c r="BY643" i="2"/>
  <c r="BY644" i="2"/>
  <c r="BY645" i="2"/>
  <c r="BY646" i="2"/>
  <c r="BY647" i="2"/>
  <c r="BY648" i="2"/>
  <c r="BY649" i="2"/>
  <c r="BY650" i="2"/>
  <c r="BY651" i="2"/>
  <c r="BY652" i="2"/>
  <c r="BY653" i="2"/>
  <c r="BY654" i="2"/>
  <c r="BY655" i="2"/>
  <c r="BY656" i="2"/>
  <c r="BY657" i="2"/>
  <c r="BY658" i="2"/>
  <c r="BY659" i="2"/>
  <c r="BY660" i="2"/>
  <c r="BY661" i="2"/>
  <c r="BY662" i="2"/>
  <c r="BY663" i="2"/>
  <c r="BY664" i="2"/>
  <c r="BY665" i="2"/>
  <c r="BY666" i="2"/>
  <c r="BY667" i="2"/>
  <c r="BY668" i="2"/>
  <c r="BY669" i="2"/>
  <c r="BY670" i="2"/>
  <c r="BY671" i="2"/>
  <c r="BY672" i="2"/>
  <c r="BY673" i="2"/>
  <c r="BY674" i="2"/>
  <c r="BY675" i="2"/>
  <c r="BY676" i="2"/>
  <c r="BY677" i="2"/>
  <c r="BY678" i="2"/>
  <c r="BY679" i="2"/>
  <c r="BY680" i="2"/>
  <c r="BY681" i="2"/>
  <c r="BY682" i="2"/>
  <c r="BY683" i="2"/>
  <c r="BY684" i="2"/>
  <c r="BY685" i="2"/>
  <c r="BY686" i="2"/>
  <c r="BY687" i="2"/>
  <c r="BY688" i="2"/>
  <c r="BY689" i="2"/>
  <c r="BY690" i="2"/>
  <c r="BY691" i="2"/>
  <c r="BY692" i="2"/>
  <c r="BY693" i="2"/>
  <c r="BY694" i="2"/>
  <c r="BY695" i="2"/>
  <c r="BY696" i="2"/>
  <c r="BY697" i="2"/>
  <c r="BY698" i="2"/>
  <c r="BY699" i="2"/>
  <c r="BY700" i="2"/>
  <c r="BY701" i="2"/>
  <c r="BY702" i="2"/>
  <c r="BY703" i="2"/>
  <c r="BY704" i="2"/>
  <c r="BY705" i="2"/>
  <c r="BZ2" i="2"/>
  <c r="BZ3" i="2"/>
  <c r="BZ4" i="2"/>
  <c r="BZ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BZ43" i="2"/>
  <c r="BZ44" i="2"/>
  <c r="BZ45" i="2"/>
  <c r="BZ46" i="2"/>
  <c r="BZ47" i="2"/>
  <c r="BZ48" i="2"/>
  <c r="BZ49" i="2"/>
  <c r="BZ50" i="2"/>
  <c r="BZ51" i="2"/>
  <c r="BZ52" i="2"/>
  <c r="BZ53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2" i="2"/>
  <c r="BZ73" i="2"/>
  <c r="BZ74" i="2"/>
  <c r="BZ75" i="2"/>
  <c r="BZ76" i="2"/>
  <c r="BZ77" i="2"/>
  <c r="BZ78" i="2"/>
  <c r="BZ79" i="2"/>
  <c r="BZ80" i="2"/>
  <c r="BZ81" i="2"/>
  <c r="BZ82" i="2"/>
  <c r="BZ83" i="2"/>
  <c r="BZ84" i="2"/>
  <c r="BZ85" i="2"/>
  <c r="BZ86" i="2"/>
  <c r="BZ87" i="2"/>
  <c r="BZ88" i="2"/>
  <c r="BZ89" i="2"/>
  <c r="BZ90" i="2"/>
  <c r="BZ91" i="2"/>
  <c r="BZ92" i="2"/>
  <c r="BZ93" i="2"/>
  <c r="BZ94" i="2"/>
  <c r="BZ95" i="2"/>
  <c r="BZ96" i="2"/>
  <c r="BZ97" i="2"/>
  <c r="BZ98" i="2"/>
  <c r="BZ99" i="2"/>
  <c r="BZ100" i="2"/>
  <c r="BZ101" i="2"/>
  <c r="BZ102" i="2"/>
  <c r="BZ103" i="2"/>
  <c r="BZ104" i="2"/>
  <c r="BZ105" i="2"/>
  <c r="BZ106" i="2"/>
  <c r="BZ107" i="2"/>
  <c r="BZ108" i="2"/>
  <c r="BZ109" i="2"/>
  <c r="BZ110" i="2"/>
  <c r="BZ111" i="2"/>
  <c r="BZ112" i="2"/>
  <c r="BZ113" i="2"/>
  <c r="BZ114" i="2"/>
  <c r="BZ115" i="2"/>
  <c r="BZ116" i="2"/>
  <c r="BZ117" i="2"/>
  <c r="BZ118" i="2"/>
  <c r="BZ119" i="2"/>
  <c r="BZ120" i="2"/>
  <c r="BZ121" i="2"/>
  <c r="BZ122" i="2"/>
  <c r="BZ123" i="2"/>
  <c r="BZ124" i="2"/>
  <c r="BZ125" i="2"/>
  <c r="BZ126" i="2"/>
  <c r="BZ127" i="2"/>
  <c r="BZ128" i="2"/>
  <c r="BZ129" i="2"/>
  <c r="BZ130" i="2"/>
  <c r="BZ131" i="2"/>
  <c r="BZ132" i="2"/>
  <c r="BZ133" i="2"/>
  <c r="BZ134" i="2"/>
  <c r="BZ135" i="2"/>
  <c r="BZ136" i="2"/>
  <c r="BZ137" i="2"/>
  <c r="BZ138" i="2"/>
  <c r="BZ139" i="2"/>
  <c r="BZ140" i="2"/>
  <c r="BZ141" i="2"/>
  <c r="BZ142" i="2"/>
  <c r="BZ143" i="2"/>
  <c r="BZ144" i="2"/>
  <c r="BZ145" i="2"/>
  <c r="BZ146" i="2"/>
  <c r="BZ147" i="2"/>
  <c r="BZ148" i="2"/>
  <c r="BZ149" i="2"/>
  <c r="BZ150" i="2"/>
  <c r="BZ151" i="2"/>
  <c r="BZ152" i="2"/>
  <c r="BZ153" i="2"/>
  <c r="BZ154" i="2"/>
  <c r="BZ155" i="2"/>
  <c r="BZ156" i="2"/>
  <c r="BZ157" i="2"/>
  <c r="BZ158" i="2"/>
  <c r="BZ159" i="2"/>
  <c r="BZ160" i="2"/>
  <c r="BZ161" i="2"/>
  <c r="BZ162" i="2"/>
  <c r="BZ163" i="2"/>
  <c r="BZ164" i="2"/>
  <c r="BZ165" i="2"/>
  <c r="BZ166" i="2"/>
  <c r="BZ167" i="2"/>
  <c r="BZ168" i="2"/>
  <c r="BZ169" i="2"/>
  <c r="BZ170" i="2"/>
  <c r="BZ171" i="2"/>
  <c r="BZ172" i="2"/>
  <c r="BZ173" i="2"/>
  <c r="BZ174" i="2"/>
  <c r="BZ175" i="2"/>
  <c r="BZ176" i="2"/>
  <c r="BZ177" i="2"/>
  <c r="BZ178" i="2"/>
  <c r="BZ179" i="2"/>
  <c r="BZ180" i="2"/>
  <c r="BZ181" i="2"/>
  <c r="BZ182" i="2"/>
  <c r="BZ183" i="2"/>
  <c r="BZ184" i="2"/>
  <c r="BZ185" i="2"/>
  <c r="BZ186" i="2"/>
  <c r="BZ187" i="2"/>
  <c r="BZ188" i="2"/>
  <c r="BZ189" i="2"/>
  <c r="BZ190" i="2"/>
  <c r="BZ191" i="2"/>
  <c r="BZ192" i="2"/>
  <c r="BZ193" i="2"/>
  <c r="BZ194" i="2"/>
  <c r="BZ195" i="2"/>
  <c r="BZ196" i="2"/>
  <c r="BZ197" i="2"/>
  <c r="BZ198" i="2"/>
  <c r="BZ199" i="2"/>
  <c r="BZ200" i="2"/>
  <c r="BZ201" i="2"/>
  <c r="BZ202" i="2"/>
  <c r="BZ203" i="2"/>
  <c r="BZ204" i="2"/>
  <c r="BZ205" i="2"/>
  <c r="BZ206" i="2"/>
  <c r="BZ207" i="2"/>
  <c r="BZ208" i="2"/>
  <c r="BZ209" i="2"/>
  <c r="BZ210" i="2"/>
  <c r="BZ211" i="2"/>
  <c r="BZ212" i="2"/>
  <c r="BZ213" i="2"/>
  <c r="BZ214" i="2"/>
  <c r="BZ215" i="2"/>
  <c r="BZ216" i="2"/>
  <c r="BZ217" i="2"/>
  <c r="BZ218" i="2"/>
  <c r="BZ219" i="2"/>
  <c r="BZ220" i="2"/>
  <c r="BZ221" i="2"/>
  <c r="BZ222" i="2"/>
  <c r="BZ223" i="2"/>
  <c r="BZ224" i="2"/>
  <c r="BZ225" i="2"/>
  <c r="BZ226" i="2"/>
  <c r="BZ227" i="2"/>
  <c r="BZ228" i="2"/>
  <c r="BZ229" i="2"/>
  <c r="BZ230" i="2"/>
  <c r="BZ231" i="2"/>
  <c r="BZ232" i="2"/>
  <c r="BZ233" i="2"/>
  <c r="BZ234" i="2"/>
  <c r="BZ235" i="2"/>
  <c r="BZ236" i="2"/>
  <c r="BZ237" i="2"/>
  <c r="BZ238" i="2"/>
  <c r="BZ239" i="2"/>
  <c r="BZ240" i="2"/>
  <c r="BZ241" i="2"/>
  <c r="BZ242" i="2"/>
  <c r="BZ243" i="2"/>
  <c r="BZ244" i="2"/>
  <c r="BZ245" i="2"/>
  <c r="BZ246" i="2"/>
  <c r="BZ247" i="2"/>
  <c r="BZ248" i="2"/>
  <c r="BZ249" i="2"/>
  <c r="BZ250" i="2"/>
  <c r="BZ251" i="2"/>
  <c r="BZ252" i="2"/>
  <c r="BZ253" i="2"/>
  <c r="BZ254" i="2"/>
  <c r="BZ255" i="2"/>
  <c r="BZ256" i="2"/>
  <c r="BZ257" i="2"/>
  <c r="BZ258" i="2"/>
  <c r="BZ259" i="2"/>
  <c r="BZ260" i="2"/>
  <c r="BZ261" i="2"/>
  <c r="BZ262" i="2"/>
  <c r="BZ263" i="2"/>
  <c r="BZ264" i="2"/>
  <c r="BZ265" i="2"/>
  <c r="BZ266" i="2"/>
  <c r="BZ267" i="2"/>
  <c r="BZ268" i="2"/>
  <c r="BZ269" i="2"/>
  <c r="BZ270" i="2"/>
  <c r="BZ271" i="2"/>
  <c r="BZ272" i="2"/>
  <c r="BZ273" i="2"/>
  <c r="BZ274" i="2"/>
  <c r="BZ275" i="2"/>
  <c r="BZ276" i="2"/>
  <c r="BZ277" i="2"/>
  <c r="BZ278" i="2"/>
  <c r="BZ279" i="2"/>
  <c r="BZ280" i="2"/>
  <c r="BZ281" i="2"/>
  <c r="BZ282" i="2"/>
  <c r="BZ283" i="2"/>
  <c r="BZ284" i="2"/>
  <c r="BZ285" i="2"/>
  <c r="BZ286" i="2"/>
  <c r="BZ287" i="2"/>
  <c r="BZ288" i="2"/>
  <c r="BZ289" i="2"/>
  <c r="BZ290" i="2"/>
  <c r="BZ291" i="2"/>
  <c r="BZ292" i="2"/>
  <c r="BZ293" i="2"/>
  <c r="BZ294" i="2"/>
  <c r="BZ295" i="2"/>
  <c r="BZ296" i="2"/>
  <c r="BZ297" i="2"/>
  <c r="BZ298" i="2"/>
  <c r="BZ299" i="2"/>
  <c r="BZ300" i="2"/>
  <c r="BZ301" i="2"/>
  <c r="BZ302" i="2"/>
  <c r="BZ303" i="2"/>
  <c r="BZ304" i="2"/>
  <c r="BZ305" i="2"/>
  <c r="BZ306" i="2"/>
  <c r="BZ307" i="2"/>
  <c r="BZ308" i="2"/>
  <c r="BZ309" i="2"/>
  <c r="BZ310" i="2"/>
  <c r="BZ311" i="2"/>
  <c r="BZ312" i="2"/>
  <c r="BZ313" i="2"/>
  <c r="BZ314" i="2"/>
  <c r="BZ315" i="2"/>
  <c r="BZ316" i="2"/>
  <c r="BZ317" i="2"/>
  <c r="BZ318" i="2"/>
  <c r="BZ319" i="2"/>
  <c r="BZ320" i="2"/>
  <c r="BZ321" i="2"/>
  <c r="BZ322" i="2"/>
  <c r="BZ323" i="2"/>
  <c r="BZ324" i="2"/>
  <c r="BZ325" i="2"/>
  <c r="BZ326" i="2"/>
  <c r="BZ327" i="2"/>
  <c r="BZ328" i="2"/>
  <c r="BZ329" i="2"/>
  <c r="BZ330" i="2"/>
  <c r="BZ331" i="2"/>
  <c r="BZ332" i="2"/>
  <c r="BZ333" i="2"/>
  <c r="BZ334" i="2"/>
  <c r="BZ335" i="2"/>
  <c r="BZ336" i="2"/>
  <c r="BZ337" i="2"/>
  <c r="BZ338" i="2"/>
  <c r="BZ339" i="2"/>
  <c r="BZ340" i="2"/>
  <c r="BZ341" i="2"/>
  <c r="BZ342" i="2"/>
  <c r="BZ343" i="2"/>
  <c r="BZ344" i="2"/>
  <c r="BZ345" i="2"/>
  <c r="BZ346" i="2"/>
  <c r="BZ347" i="2"/>
  <c r="BZ348" i="2"/>
  <c r="BZ349" i="2"/>
  <c r="BZ350" i="2"/>
  <c r="BZ351" i="2"/>
  <c r="BZ352" i="2"/>
  <c r="BZ353" i="2"/>
  <c r="BZ354" i="2"/>
  <c r="BZ355" i="2"/>
  <c r="BZ356" i="2"/>
  <c r="BZ357" i="2"/>
  <c r="BZ358" i="2"/>
  <c r="BZ359" i="2"/>
  <c r="BZ360" i="2"/>
  <c r="BZ361" i="2"/>
  <c r="BZ362" i="2"/>
  <c r="BZ363" i="2"/>
  <c r="BZ364" i="2"/>
  <c r="BZ365" i="2"/>
  <c r="BZ366" i="2"/>
  <c r="BZ367" i="2"/>
  <c r="BZ368" i="2"/>
  <c r="BZ369" i="2"/>
  <c r="BZ370" i="2"/>
  <c r="BZ371" i="2"/>
  <c r="BZ372" i="2"/>
  <c r="BZ373" i="2"/>
  <c r="BZ374" i="2"/>
  <c r="BZ375" i="2"/>
  <c r="BZ376" i="2"/>
  <c r="BZ377" i="2"/>
  <c r="BZ378" i="2"/>
  <c r="BZ379" i="2"/>
  <c r="BZ380" i="2"/>
  <c r="BZ381" i="2"/>
  <c r="BZ382" i="2"/>
  <c r="BZ383" i="2"/>
  <c r="BZ384" i="2"/>
  <c r="BZ385" i="2"/>
  <c r="BZ386" i="2"/>
  <c r="BZ387" i="2"/>
  <c r="BZ388" i="2"/>
  <c r="BZ389" i="2"/>
  <c r="BZ390" i="2"/>
  <c r="BZ391" i="2"/>
  <c r="BZ392" i="2"/>
  <c r="BZ393" i="2"/>
  <c r="BZ394" i="2"/>
  <c r="BZ395" i="2"/>
  <c r="BZ396" i="2"/>
  <c r="BZ397" i="2"/>
  <c r="BZ398" i="2"/>
  <c r="BZ399" i="2"/>
  <c r="BZ400" i="2"/>
  <c r="BZ401" i="2"/>
  <c r="BZ402" i="2"/>
  <c r="BZ403" i="2"/>
  <c r="BZ404" i="2"/>
  <c r="BZ405" i="2"/>
  <c r="BZ406" i="2"/>
  <c r="BZ407" i="2"/>
  <c r="BZ408" i="2"/>
  <c r="BZ409" i="2"/>
  <c r="BZ410" i="2"/>
  <c r="BZ411" i="2"/>
  <c r="BZ412" i="2"/>
  <c r="BZ413" i="2"/>
  <c r="BZ414" i="2"/>
  <c r="BZ415" i="2"/>
  <c r="BZ416" i="2"/>
  <c r="BZ417" i="2"/>
  <c r="BZ418" i="2"/>
  <c r="BZ419" i="2"/>
  <c r="BZ420" i="2"/>
  <c r="BZ421" i="2"/>
  <c r="BZ422" i="2"/>
  <c r="BZ423" i="2"/>
  <c r="BZ424" i="2"/>
  <c r="BZ425" i="2"/>
  <c r="BZ426" i="2"/>
  <c r="BZ427" i="2"/>
  <c r="BZ428" i="2"/>
  <c r="BZ429" i="2"/>
  <c r="BZ430" i="2"/>
  <c r="BZ431" i="2"/>
  <c r="BZ432" i="2"/>
  <c r="BZ433" i="2"/>
  <c r="BZ434" i="2"/>
  <c r="BZ435" i="2"/>
  <c r="BZ436" i="2"/>
  <c r="BZ437" i="2"/>
  <c r="BZ438" i="2"/>
  <c r="BZ439" i="2"/>
  <c r="BZ440" i="2"/>
  <c r="BZ441" i="2"/>
  <c r="BZ442" i="2"/>
  <c r="BZ443" i="2"/>
  <c r="BZ444" i="2"/>
  <c r="BZ445" i="2"/>
  <c r="BZ446" i="2"/>
  <c r="BZ447" i="2"/>
  <c r="BZ448" i="2"/>
  <c r="BZ449" i="2"/>
  <c r="BZ450" i="2"/>
  <c r="BZ451" i="2"/>
  <c r="BZ452" i="2"/>
  <c r="BZ453" i="2"/>
  <c r="BZ454" i="2"/>
  <c r="BZ455" i="2"/>
  <c r="BZ456" i="2"/>
  <c r="BZ457" i="2"/>
  <c r="BZ458" i="2"/>
  <c r="BZ459" i="2"/>
  <c r="BZ460" i="2"/>
  <c r="BZ461" i="2"/>
  <c r="BZ462" i="2"/>
  <c r="BZ463" i="2"/>
  <c r="BZ464" i="2"/>
  <c r="BZ465" i="2"/>
  <c r="BZ466" i="2"/>
  <c r="BZ467" i="2"/>
  <c r="BZ468" i="2"/>
  <c r="BZ469" i="2"/>
  <c r="BZ470" i="2"/>
  <c r="BZ471" i="2"/>
  <c r="BZ472" i="2"/>
  <c r="BZ473" i="2"/>
  <c r="BZ474" i="2"/>
  <c r="BZ475" i="2"/>
  <c r="BZ476" i="2"/>
  <c r="BZ477" i="2"/>
  <c r="BZ478" i="2"/>
  <c r="BZ479" i="2"/>
  <c r="BZ480" i="2"/>
  <c r="BZ481" i="2"/>
  <c r="BZ482" i="2"/>
  <c r="BZ483" i="2"/>
  <c r="BZ484" i="2"/>
  <c r="BZ485" i="2"/>
  <c r="BZ486" i="2"/>
  <c r="BZ487" i="2"/>
  <c r="BZ488" i="2"/>
  <c r="BZ489" i="2"/>
  <c r="BZ490" i="2"/>
  <c r="BZ491" i="2"/>
  <c r="BZ492" i="2"/>
  <c r="BZ493" i="2"/>
  <c r="BZ494" i="2"/>
  <c r="BZ495" i="2"/>
  <c r="BZ496" i="2"/>
  <c r="BZ497" i="2"/>
  <c r="BZ498" i="2"/>
  <c r="BZ499" i="2"/>
  <c r="BZ500" i="2"/>
  <c r="BZ501" i="2"/>
  <c r="BZ502" i="2"/>
  <c r="BZ503" i="2"/>
  <c r="BZ504" i="2"/>
  <c r="BZ505" i="2"/>
  <c r="BZ506" i="2"/>
  <c r="BZ507" i="2"/>
  <c r="BZ508" i="2"/>
  <c r="BZ509" i="2"/>
  <c r="BZ510" i="2"/>
  <c r="BZ511" i="2"/>
  <c r="BZ512" i="2"/>
  <c r="BZ513" i="2"/>
  <c r="BZ514" i="2"/>
  <c r="BZ515" i="2"/>
  <c r="BZ516" i="2"/>
  <c r="BZ517" i="2"/>
  <c r="BZ518" i="2"/>
  <c r="BZ519" i="2"/>
  <c r="BZ520" i="2"/>
  <c r="BZ521" i="2"/>
  <c r="BZ522" i="2"/>
  <c r="BZ523" i="2"/>
  <c r="BZ524" i="2"/>
  <c r="BZ525" i="2"/>
  <c r="BZ526" i="2"/>
  <c r="BZ527" i="2"/>
  <c r="BZ528" i="2"/>
  <c r="BZ529" i="2"/>
  <c r="BZ530" i="2"/>
  <c r="BZ531" i="2"/>
  <c r="BZ532" i="2"/>
  <c r="BZ533" i="2"/>
  <c r="BZ534" i="2"/>
  <c r="BZ535" i="2"/>
  <c r="BZ536" i="2"/>
  <c r="BZ537" i="2"/>
  <c r="BZ538" i="2"/>
  <c r="BZ539" i="2"/>
  <c r="BZ540" i="2"/>
  <c r="BZ541" i="2"/>
  <c r="BZ542" i="2"/>
  <c r="BZ543" i="2"/>
  <c r="BZ544" i="2"/>
  <c r="BZ545" i="2"/>
  <c r="BZ546" i="2"/>
  <c r="BZ547" i="2"/>
  <c r="BZ548" i="2"/>
  <c r="BZ549" i="2"/>
  <c r="BZ550" i="2"/>
  <c r="BZ551" i="2"/>
  <c r="BZ552" i="2"/>
  <c r="BZ553" i="2"/>
  <c r="BZ554" i="2"/>
  <c r="BZ555" i="2"/>
  <c r="BZ556" i="2"/>
  <c r="BZ557" i="2"/>
  <c r="BZ558" i="2"/>
  <c r="BZ559" i="2"/>
  <c r="BZ560" i="2"/>
  <c r="BZ561" i="2"/>
  <c r="BZ562" i="2"/>
  <c r="BZ563" i="2"/>
  <c r="BZ564" i="2"/>
  <c r="BZ565" i="2"/>
  <c r="BZ566" i="2"/>
  <c r="BZ567" i="2"/>
  <c r="BZ568" i="2"/>
  <c r="BZ569" i="2"/>
  <c r="BZ570" i="2"/>
  <c r="BZ571" i="2"/>
  <c r="BZ572" i="2"/>
  <c r="BZ573" i="2"/>
  <c r="BZ574" i="2"/>
  <c r="BZ575" i="2"/>
  <c r="BZ576" i="2"/>
  <c r="BZ577" i="2"/>
  <c r="BZ578" i="2"/>
  <c r="BZ579" i="2"/>
  <c r="BZ580" i="2"/>
  <c r="BZ581" i="2"/>
  <c r="BZ582" i="2"/>
  <c r="BZ583" i="2"/>
  <c r="BZ584" i="2"/>
  <c r="BZ585" i="2"/>
  <c r="BZ586" i="2"/>
  <c r="BZ587" i="2"/>
  <c r="BZ588" i="2"/>
  <c r="BZ589" i="2"/>
  <c r="BZ590" i="2"/>
  <c r="BZ591" i="2"/>
  <c r="BZ592" i="2"/>
  <c r="BZ593" i="2"/>
  <c r="BZ594" i="2"/>
  <c r="BZ595" i="2"/>
  <c r="BZ596" i="2"/>
  <c r="BZ597" i="2"/>
  <c r="BZ598" i="2"/>
  <c r="BZ599" i="2"/>
  <c r="BZ600" i="2"/>
  <c r="BZ601" i="2"/>
  <c r="BZ602" i="2"/>
  <c r="BZ603" i="2"/>
  <c r="BZ604" i="2"/>
  <c r="BZ605" i="2"/>
  <c r="BZ606" i="2"/>
  <c r="BZ607" i="2"/>
  <c r="BZ608" i="2"/>
  <c r="BZ609" i="2"/>
  <c r="BZ610" i="2"/>
  <c r="BZ611" i="2"/>
  <c r="BZ612" i="2"/>
  <c r="BZ613" i="2"/>
  <c r="BZ614" i="2"/>
  <c r="BZ615" i="2"/>
  <c r="BZ616" i="2"/>
  <c r="BZ617" i="2"/>
  <c r="BZ618" i="2"/>
  <c r="BZ619" i="2"/>
  <c r="BZ620" i="2"/>
  <c r="BZ621" i="2"/>
  <c r="BZ622" i="2"/>
  <c r="BZ623" i="2"/>
  <c r="BZ624" i="2"/>
  <c r="BZ625" i="2"/>
  <c r="BZ626" i="2"/>
  <c r="BZ627" i="2"/>
  <c r="BZ628" i="2"/>
  <c r="BZ629" i="2"/>
  <c r="BZ630" i="2"/>
  <c r="BZ631" i="2"/>
  <c r="BZ632" i="2"/>
  <c r="BZ633" i="2"/>
  <c r="BZ634" i="2"/>
  <c r="BZ635" i="2"/>
  <c r="BZ636" i="2"/>
  <c r="BZ637" i="2"/>
  <c r="BZ638" i="2"/>
  <c r="BZ639" i="2"/>
  <c r="BZ640" i="2"/>
  <c r="BZ641" i="2"/>
  <c r="BZ642" i="2"/>
  <c r="BZ643" i="2"/>
  <c r="BZ644" i="2"/>
  <c r="BZ645" i="2"/>
  <c r="BZ646" i="2"/>
  <c r="BZ647" i="2"/>
  <c r="BZ648" i="2"/>
  <c r="BZ649" i="2"/>
  <c r="BZ650" i="2"/>
  <c r="BZ651" i="2"/>
  <c r="BZ652" i="2"/>
  <c r="BZ653" i="2"/>
  <c r="BZ654" i="2"/>
  <c r="BZ655" i="2"/>
  <c r="BZ656" i="2"/>
  <c r="BZ657" i="2"/>
  <c r="BZ658" i="2"/>
  <c r="BZ659" i="2"/>
  <c r="BZ660" i="2"/>
  <c r="BZ661" i="2"/>
  <c r="BZ662" i="2"/>
  <c r="BZ663" i="2"/>
  <c r="BZ664" i="2"/>
  <c r="BZ665" i="2"/>
  <c r="BZ666" i="2"/>
  <c r="BZ667" i="2"/>
  <c r="BZ668" i="2"/>
  <c r="BZ669" i="2"/>
  <c r="BZ670" i="2"/>
  <c r="BZ671" i="2"/>
  <c r="BZ672" i="2"/>
  <c r="BZ673" i="2"/>
  <c r="BZ674" i="2"/>
  <c r="BZ675" i="2"/>
  <c r="BZ676" i="2"/>
  <c r="BZ677" i="2"/>
  <c r="BZ678" i="2"/>
  <c r="BZ679" i="2"/>
  <c r="BZ680" i="2"/>
  <c r="BZ681" i="2"/>
  <c r="BZ682" i="2"/>
  <c r="BZ683" i="2"/>
  <c r="BZ684" i="2"/>
  <c r="BZ685" i="2"/>
  <c r="BZ686" i="2"/>
  <c r="BZ687" i="2"/>
  <c r="BZ688" i="2"/>
  <c r="BZ689" i="2"/>
  <c r="BZ690" i="2"/>
  <c r="BZ691" i="2"/>
  <c r="BZ692" i="2"/>
  <c r="BZ693" i="2"/>
  <c r="BZ694" i="2"/>
  <c r="BZ695" i="2"/>
  <c r="BZ696" i="2"/>
  <c r="BZ697" i="2"/>
  <c r="BZ698" i="2"/>
  <c r="BZ699" i="2"/>
  <c r="BZ700" i="2"/>
  <c r="BZ701" i="2"/>
  <c r="BZ702" i="2"/>
  <c r="BZ703" i="2"/>
  <c r="BZ704" i="2"/>
  <c r="BZ705" i="2"/>
  <c r="CA2" i="2"/>
  <c r="CA3" i="2"/>
  <c r="CA4" i="2"/>
  <c r="CA5" i="2"/>
  <c r="CA6" i="2"/>
  <c r="CA7" i="2"/>
  <c r="CA8" i="2"/>
  <c r="CA9" i="2"/>
  <c r="CA10" i="2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6" i="2"/>
  <c r="CA27" i="2"/>
  <c r="CA28" i="2"/>
  <c r="CA29" i="2"/>
  <c r="CA30" i="2"/>
  <c r="CA31" i="2"/>
  <c r="CA32" i="2"/>
  <c r="CA33" i="2"/>
  <c r="CA34" i="2"/>
  <c r="CA35" i="2"/>
  <c r="CA36" i="2"/>
  <c r="CA37" i="2"/>
  <c r="CA38" i="2"/>
  <c r="CA39" i="2"/>
  <c r="CA40" i="2"/>
  <c r="CA41" i="2"/>
  <c r="CA42" i="2"/>
  <c r="CA43" i="2"/>
  <c r="CA44" i="2"/>
  <c r="CA45" i="2"/>
  <c r="CA46" i="2"/>
  <c r="CA47" i="2"/>
  <c r="CA48" i="2"/>
  <c r="CA49" i="2"/>
  <c r="CA50" i="2"/>
  <c r="CA51" i="2"/>
  <c r="CA52" i="2"/>
  <c r="CA53" i="2"/>
  <c r="CA54" i="2"/>
  <c r="CA55" i="2"/>
  <c r="CA56" i="2"/>
  <c r="CA57" i="2"/>
  <c r="CA58" i="2"/>
  <c r="CA59" i="2"/>
  <c r="CA60" i="2"/>
  <c r="CA61" i="2"/>
  <c r="CA62" i="2"/>
  <c r="CA63" i="2"/>
  <c r="CA64" i="2"/>
  <c r="CA65" i="2"/>
  <c r="CA66" i="2"/>
  <c r="CA67" i="2"/>
  <c r="CA68" i="2"/>
  <c r="CA69" i="2"/>
  <c r="CA70" i="2"/>
  <c r="CA71" i="2"/>
  <c r="CA72" i="2"/>
  <c r="CA73" i="2"/>
  <c r="CA74" i="2"/>
  <c r="CA75" i="2"/>
  <c r="CA76" i="2"/>
  <c r="CA77" i="2"/>
  <c r="CA78" i="2"/>
  <c r="CA79" i="2"/>
  <c r="CA80" i="2"/>
  <c r="CA81" i="2"/>
  <c r="CA82" i="2"/>
  <c r="CA83" i="2"/>
  <c r="CA84" i="2"/>
  <c r="CA85" i="2"/>
  <c r="CA86" i="2"/>
  <c r="CA87" i="2"/>
  <c r="CA88" i="2"/>
  <c r="CA89" i="2"/>
  <c r="CA90" i="2"/>
  <c r="CA91" i="2"/>
  <c r="CA92" i="2"/>
  <c r="CA93" i="2"/>
  <c r="CA94" i="2"/>
  <c r="CA95" i="2"/>
  <c r="CA96" i="2"/>
  <c r="CA97" i="2"/>
  <c r="CA98" i="2"/>
  <c r="CA99" i="2"/>
  <c r="CA100" i="2"/>
  <c r="CA101" i="2"/>
  <c r="CA102" i="2"/>
  <c r="CA103" i="2"/>
  <c r="CA104" i="2"/>
  <c r="CA105" i="2"/>
  <c r="CA106" i="2"/>
  <c r="CA107" i="2"/>
  <c r="CA108" i="2"/>
  <c r="CA109" i="2"/>
  <c r="CA110" i="2"/>
  <c r="CA111" i="2"/>
  <c r="CA112" i="2"/>
  <c r="CA113" i="2"/>
  <c r="CA114" i="2"/>
  <c r="CA115" i="2"/>
  <c r="CA116" i="2"/>
  <c r="CA117" i="2"/>
  <c r="CA118" i="2"/>
  <c r="CA119" i="2"/>
  <c r="CA120" i="2"/>
  <c r="CA121" i="2"/>
  <c r="CA122" i="2"/>
  <c r="CA123" i="2"/>
  <c r="CA124" i="2"/>
  <c r="CA125" i="2"/>
  <c r="CA126" i="2"/>
  <c r="CA127" i="2"/>
  <c r="CA128" i="2"/>
  <c r="CA129" i="2"/>
  <c r="CA130" i="2"/>
  <c r="CA131" i="2"/>
  <c r="CA132" i="2"/>
  <c r="CA133" i="2"/>
  <c r="CA134" i="2"/>
  <c r="CA135" i="2"/>
  <c r="CA136" i="2"/>
  <c r="CA137" i="2"/>
  <c r="CA138" i="2"/>
  <c r="CA139" i="2"/>
  <c r="CA140" i="2"/>
  <c r="CA141" i="2"/>
  <c r="CA142" i="2"/>
  <c r="CA143" i="2"/>
  <c r="CA144" i="2"/>
  <c r="CA145" i="2"/>
  <c r="CA146" i="2"/>
  <c r="CA147" i="2"/>
  <c r="CA148" i="2"/>
  <c r="CA149" i="2"/>
  <c r="CA150" i="2"/>
  <c r="CA151" i="2"/>
  <c r="CA152" i="2"/>
  <c r="CA153" i="2"/>
  <c r="CA154" i="2"/>
  <c r="CA155" i="2"/>
  <c r="CA156" i="2"/>
  <c r="CA157" i="2"/>
  <c r="CA158" i="2"/>
  <c r="CA159" i="2"/>
  <c r="CA160" i="2"/>
  <c r="CA161" i="2"/>
  <c r="CA162" i="2"/>
  <c r="CA163" i="2"/>
  <c r="CA164" i="2"/>
  <c r="CA165" i="2"/>
  <c r="CA166" i="2"/>
  <c r="CA167" i="2"/>
  <c r="CA168" i="2"/>
  <c r="CA169" i="2"/>
  <c r="CA170" i="2"/>
  <c r="CA171" i="2"/>
  <c r="CA172" i="2"/>
  <c r="CA173" i="2"/>
  <c r="CA174" i="2"/>
  <c r="CA175" i="2"/>
  <c r="CA176" i="2"/>
  <c r="CA177" i="2"/>
  <c r="CA178" i="2"/>
  <c r="CA179" i="2"/>
  <c r="CA180" i="2"/>
  <c r="CA181" i="2"/>
  <c r="CA182" i="2"/>
  <c r="CA183" i="2"/>
  <c r="CA184" i="2"/>
  <c r="CA185" i="2"/>
  <c r="CA186" i="2"/>
  <c r="CA187" i="2"/>
  <c r="CA188" i="2"/>
  <c r="CA189" i="2"/>
  <c r="CA190" i="2"/>
  <c r="CA191" i="2"/>
  <c r="CA192" i="2"/>
  <c r="CA193" i="2"/>
  <c r="CA194" i="2"/>
  <c r="CA195" i="2"/>
  <c r="CA196" i="2"/>
  <c r="CA197" i="2"/>
  <c r="CA198" i="2"/>
  <c r="CA199" i="2"/>
  <c r="CA200" i="2"/>
  <c r="CA201" i="2"/>
  <c r="CA202" i="2"/>
  <c r="CA203" i="2"/>
  <c r="CA204" i="2"/>
  <c r="CA205" i="2"/>
  <c r="CA206" i="2"/>
  <c r="CA207" i="2"/>
  <c r="CA208" i="2"/>
  <c r="CA209" i="2"/>
  <c r="CA210" i="2"/>
  <c r="CA211" i="2"/>
  <c r="CA212" i="2"/>
  <c r="CA213" i="2"/>
  <c r="CA214" i="2"/>
  <c r="CA215" i="2"/>
  <c r="CA216" i="2"/>
  <c r="CA217" i="2"/>
  <c r="CA218" i="2"/>
  <c r="CA219" i="2"/>
  <c r="CA220" i="2"/>
  <c r="CA221" i="2"/>
  <c r="CA222" i="2"/>
  <c r="CA223" i="2"/>
  <c r="CA224" i="2"/>
  <c r="CA225" i="2"/>
  <c r="CA226" i="2"/>
  <c r="CA227" i="2"/>
  <c r="CA228" i="2"/>
  <c r="CA229" i="2"/>
  <c r="CA230" i="2"/>
  <c r="CA231" i="2"/>
  <c r="CA232" i="2"/>
  <c r="CA233" i="2"/>
  <c r="CA234" i="2"/>
  <c r="CA235" i="2"/>
  <c r="CA236" i="2"/>
  <c r="CA237" i="2"/>
  <c r="CA238" i="2"/>
  <c r="CA239" i="2"/>
  <c r="CA240" i="2"/>
  <c r="CA241" i="2"/>
  <c r="CA242" i="2"/>
  <c r="CA243" i="2"/>
  <c r="CA244" i="2"/>
  <c r="CA245" i="2"/>
  <c r="CA246" i="2"/>
  <c r="CA247" i="2"/>
  <c r="CA248" i="2"/>
  <c r="CA249" i="2"/>
  <c r="CA250" i="2"/>
  <c r="CA251" i="2"/>
  <c r="CA252" i="2"/>
  <c r="CA253" i="2"/>
  <c r="CA254" i="2"/>
  <c r="CA255" i="2"/>
  <c r="CA256" i="2"/>
  <c r="CA257" i="2"/>
  <c r="CA258" i="2"/>
  <c r="CA259" i="2"/>
  <c r="CA260" i="2"/>
  <c r="CA261" i="2"/>
  <c r="CA262" i="2"/>
  <c r="CA263" i="2"/>
  <c r="CA264" i="2"/>
  <c r="CA265" i="2"/>
  <c r="CA266" i="2"/>
  <c r="CA267" i="2"/>
  <c r="CA268" i="2"/>
  <c r="CA269" i="2"/>
  <c r="CA270" i="2"/>
  <c r="CA271" i="2"/>
  <c r="CA272" i="2"/>
  <c r="CA273" i="2"/>
  <c r="CA274" i="2"/>
  <c r="CA275" i="2"/>
  <c r="CA276" i="2"/>
  <c r="CA277" i="2"/>
  <c r="CA278" i="2"/>
  <c r="CA279" i="2"/>
  <c r="CA280" i="2"/>
  <c r="CA281" i="2"/>
  <c r="CA282" i="2"/>
  <c r="CA283" i="2"/>
  <c r="CA284" i="2"/>
  <c r="CA285" i="2"/>
  <c r="CA286" i="2"/>
  <c r="CA287" i="2"/>
  <c r="CA288" i="2"/>
  <c r="CA289" i="2"/>
  <c r="CA290" i="2"/>
  <c r="CA291" i="2"/>
  <c r="CA292" i="2"/>
  <c r="CA293" i="2"/>
  <c r="CA294" i="2"/>
  <c r="CA295" i="2"/>
  <c r="CA296" i="2"/>
  <c r="CA297" i="2"/>
  <c r="CA298" i="2"/>
  <c r="CA299" i="2"/>
  <c r="CA300" i="2"/>
  <c r="CA301" i="2"/>
  <c r="CA302" i="2"/>
  <c r="CA303" i="2"/>
  <c r="CA304" i="2"/>
  <c r="CA305" i="2"/>
  <c r="CA306" i="2"/>
  <c r="CA307" i="2"/>
  <c r="CA308" i="2"/>
  <c r="CA309" i="2"/>
  <c r="CA310" i="2"/>
  <c r="CA311" i="2"/>
  <c r="CA312" i="2"/>
  <c r="CA313" i="2"/>
  <c r="CA314" i="2"/>
  <c r="CA315" i="2"/>
  <c r="CA316" i="2"/>
  <c r="CA317" i="2"/>
  <c r="CA318" i="2"/>
  <c r="CA319" i="2"/>
  <c r="CA320" i="2"/>
  <c r="CA321" i="2"/>
  <c r="CA322" i="2"/>
  <c r="CA323" i="2"/>
  <c r="CA324" i="2"/>
  <c r="CA325" i="2"/>
  <c r="CA326" i="2"/>
  <c r="CA327" i="2"/>
  <c r="CA328" i="2"/>
  <c r="CA329" i="2"/>
  <c r="CA330" i="2"/>
  <c r="CA331" i="2"/>
  <c r="CA332" i="2"/>
  <c r="CA333" i="2"/>
  <c r="CA334" i="2"/>
  <c r="CA335" i="2"/>
  <c r="CA336" i="2"/>
  <c r="CA337" i="2"/>
  <c r="CA338" i="2"/>
  <c r="CA339" i="2"/>
  <c r="CA340" i="2"/>
  <c r="CA341" i="2"/>
  <c r="CA342" i="2"/>
  <c r="CA343" i="2"/>
  <c r="CA344" i="2"/>
  <c r="CA345" i="2"/>
  <c r="CA346" i="2"/>
  <c r="CA347" i="2"/>
  <c r="CA348" i="2"/>
  <c r="CA349" i="2"/>
  <c r="CA350" i="2"/>
  <c r="CA351" i="2"/>
  <c r="CA352" i="2"/>
  <c r="CA353" i="2"/>
  <c r="CA354" i="2"/>
  <c r="CA355" i="2"/>
  <c r="CA356" i="2"/>
  <c r="CA357" i="2"/>
  <c r="CA358" i="2"/>
  <c r="CA359" i="2"/>
  <c r="CA360" i="2"/>
  <c r="CA361" i="2"/>
  <c r="CA362" i="2"/>
  <c r="CA363" i="2"/>
  <c r="CA364" i="2"/>
  <c r="CA365" i="2"/>
  <c r="CA366" i="2"/>
  <c r="CA367" i="2"/>
  <c r="CA368" i="2"/>
  <c r="CA369" i="2"/>
  <c r="CA370" i="2"/>
  <c r="CA371" i="2"/>
  <c r="CA372" i="2"/>
  <c r="CA373" i="2"/>
  <c r="CA374" i="2"/>
  <c r="CA375" i="2"/>
  <c r="CA376" i="2"/>
  <c r="CA377" i="2"/>
  <c r="CA378" i="2"/>
  <c r="CA379" i="2"/>
  <c r="CA380" i="2"/>
  <c r="CA381" i="2"/>
  <c r="CA382" i="2"/>
  <c r="CA383" i="2"/>
  <c r="CA384" i="2"/>
  <c r="CA385" i="2"/>
  <c r="CA386" i="2"/>
  <c r="CA387" i="2"/>
  <c r="CA388" i="2"/>
  <c r="CA389" i="2"/>
  <c r="CA390" i="2"/>
  <c r="CA391" i="2"/>
  <c r="CA392" i="2"/>
  <c r="CA393" i="2"/>
  <c r="CA394" i="2"/>
  <c r="CA395" i="2"/>
  <c r="CA396" i="2"/>
  <c r="CA397" i="2"/>
  <c r="CA398" i="2"/>
  <c r="CA399" i="2"/>
  <c r="CA400" i="2"/>
  <c r="CA401" i="2"/>
  <c r="CA402" i="2"/>
  <c r="CA403" i="2"/>
  <c r="CA404" i="2"/>
  <c r="CA405" i="2"/>
  <c r="CA406" i="2"/>
  <c r="CA407" i="2"/>
  <c r="CA408" i="2"/>
  <c r="CA409" i="2"/>
  <c r="CA410" i="2"/>
  <c r="CA411" i="2"/>
  <c r="CA412" i="2"/>
  <c r="CA413" i="2"/>
  <c r="CA414" i="2"/>
  <c r="CA415" i="2"/>
  <c r="CA416" i="2"/>
  <c r="CA417" i="2"/>
  <c r="CA418" i="2"/>
  <c r="CA419" i="2"/>
  <c r="CA420" i="2"/>
  <c r="CA421" i="2"/>
  <c r="CA422" i="2"/>
  <c r="CA423" i="2"/>
  <c r="CA424" i="2"/>
  <c r="CA425" i="2"/>
  <c r="CA426" i="2"/>
  <c r="CA427" i="2"/>
  <c r="CA428" i="2"/>
  <c r="CA429" i="2"/>
  <c r="CA430" i="2"/>
  <c r="CA431" i="2"/>
  <c r="CA432" i="2"/>
  <c r="CA433" i="2"/>
  <c r="CA434" i="2"/>
  <c r="CA435" i="2"/>
  <c r="CA436" i="2"/>
  <c r="CA437" i="2"/>
  <c r="CA438" i="2"/>
  <c r="CA439" i="2"/>
  <c r="CA440" i="2"/>
  <c r="CA441" i="2"/>
  <c r="CA442" i="2"/>
  <c r="CA443" i="2"/>
  <c r="CA444" i="2"/>
  <c r="CA445" i="2"/>
  <c r="CA446" i="2"/>
  <c r="CA447" i="2"/>
  <c r="CA448" i="2"/>
  <c r="CA449" i="2"/>
  <c r="CA450" i="2"/>
  <c r="CA451" i="2"/>
  <c r="CA452" i="2"/>
  <c r="CA453" i="2"/>
  <c r="CA454" i="2"/>
  <c r="CA455" i="2"/>
  <c r="CA456" i="2"/>
  <c r="CA457" i="2"/>
  <c r="CA458" i="2"/>
  <c r="CA459" i="2"/>
  <c r="CA460" i="2"/>
  <c r="CA461" i="2"/>
  <c r="CA462" i="2"/>
  <c r="CA463" i="2"/>
  <c r="CA464" i="2"/>
  <c r="CA465" i="2"/>
  <c r="CA466" i="2"/>
  <c r="CA467" i="2"/>
  <c r="CA468" i="2"/>
  <c r="CA469" i="2"/>
  <c r="CA470" i="2"/>
  <c r="CA471" i="2"/>
  <c r="CA472" i="2"/>
  <c r="CA473" i="2"/>
  <c r="CA474" i="2"/>
  <c r="CA475" i="2"/>
  <c r="CA476" i="2"/>
  <c r="CA477" i="2"/>
  <c r="CA478" i="2"/>
  <c r="CA479" i="2"/>
  <c r="CA480" i="2"/>
  <c r="CA481" i="2"/>
  <c r="CA482" i="2"/>
  <c r="CA483" i="2"/>
  <c r="CA484" i="2"/>
  <c r="CA485" i="2"/>
  <c r="CA486" i="2"/>
  <c r="CA487" i="2"/>
  <c r="CA488" i="2"/>
  <c r="CA489" i="2"/>
  <c r="CA490" i="2"/>
  <c r="CA491" i="2"/>
  <c r="CA492" i="2"/>
  <c r="CA493" i="2"/>
  <c r="CA494" i="2"/>
  <c r="CA495" i="2"/>
  <c r="CA496" i="2"/>
  <c r="CA497" i="2"/>
  <c r="CA498" i="2"/>
  <c r="CA499" i="2"/>
  <c r="CA500" i="2"/>
  <c r="CA501" i="2"/>
  <c r="CA502" i="2"/>
  <c r="CA503" i="2"/>
  <c r="CA504" i="2"/>
  <c r="CA505" i="2"/>
  <c r="CA506" i="2"/>
  <c r="CA507" i="2"/>
  <c r="CA508" i="2"/>
  <c r="CA509" i="2"/>
  <c r="CA510" i="2"/>
  <c r="CA511" i="2"/>
  <c r="CA512" i="2"/>
  <c r="CA513" i="2"/>
  <c r="CA514" i="2"/>
  <c r="CA515" i="2"/>
  <c r="CA516" i="2"/>
  <c r="CA517" i="2"/>
  <c r="CA518" i="2"/>
  <c r="CA519" i="2"/>
  <c r="CA520" i="2"/>
  <c r="CA521" i="2"/>
  <c r="CA522" i="2"/>
  <c r="CA523" i="2"/>
  <c r="CA524" i="2"/>
  <c r="CA525" i="2"/>
  <c r="CA526" i="2"/>
  <c r="CA527" i="2"/>
  <c r="CA528" i="2"/>
  <c r="CA529" i="2"/>
  <c r="CA530" i="2"/>
  <c r="CA531" i="2"/>
  <c r="CA532" i="2"/>
  <c r="CA533" i="2"/>
  <c r="CA534" i="2"/>
  <c r="CA535" i="2"/>
  <c r="CA536" i="2"/>
  <c r="CA537" i="2"/>
  <c r="CA538" i="2"/>
  <c r="CA539" i="2"/>
  <c r="CA540" i="2"/>
  <c r="CA541" i="2"/>
  <c r="CA542" i="2"/>
  <c r="CA543" i="2"/>
  <c r="CA544" i="2"/>
  <c r="CA545" i="2"/>
  <c r="CA546" i="2"/>
  <c r="CA547" i="2"/>
  <c r="CA548" i="2"/>
  <c r="CA549" i="2"/>
  <c r="CA550" i="2"/>
  <c r="CA551" i="2"/>
  <c r="CA552" i="2"/>
  <c r="CA553" i="2"/>
  <c r="CA554" i="2"/>
  <c r="CA555" i="2"/>
  <c r="CA556" i="2"/>
  <c r="CA557" i="2"/>
  <c r="CA558" i="2"/>
  <c r="CA559" i="2"/>
  <c r="CA560" i="2"/>
  <c r="CA561" i="2"/>
  <c r="CA562" i="2"/>
  <c r="CA563" i="2"/>
  <c r="CA564" i="2"/>
  <c r="CA565" i="2"/>
  <c r="CA566" i="2"/>
  <c r="CA567" i="2"/>
  <c r="CA568" i="2"/>
  <c r="CA569" i="2"/>
  <c r="CA570" i="2"/>
  <c r="CA571" i="2"/>
  <c r="CA572" i="2"/>
  <c r="CA573" i="2"/>
  <c r="CA574" i="2"/>
  <c r="CA575" i="2"/>
  <c r="CA576" i="2"/>
  <c r="CA577" i="2"/>
  <c r="CA578" i="2"/>
  <c r="CA579" i="2"/>
  <c r="CA580" i="2"/>
  <c r="CA581" i="2"/>
  <c r="CA582" i="2"/>
  <c r="CA583" i="2"/>
  <c r="CA584" i="2"/>
  <c r="CA585" i="2"/>
  <c r="CA586" i="2"/>
  <c r="CA587" i="2"/>
  <c r="CA588" i="2"/>
  <c r="CA589" i="2"/>
  <c r="CA590" i="2"/>
  <c r="CA591" i="2"/>
  <c r="CA592" i="2"/>
  <c r="CA593" i="2"/>
  <c r="CA594" i="2"/>
  <c r="CA595" i="2"/>
  <c r="CA596" i="2"/>
  <c r="CA597" i="2"/>
  <c r="CA598" i="2"/>
  <c r="CA599" i="2"/>
  <c r="CA600" i="2"/>
  <c r="CA601" i="2"/>
  <c r="CA602" i="2"/>
  <c r="CA603" i="2"/>
  <c r="CA604" i="2"/>
  <c r="CA605" i="2"/>
  <c r="CA606" i="2"/>
  <c r="CA607" i="2"/>
  <c r="CA608" i="2"/>
  <c r="CA609" i="2"/>
  <c r="CA610" i="2"/>
  <c r="CA611" i="2"/>
  <c r="CA612" i="2"/>
  <c r="CA613" i="2"/>
  <c r="CA614" i="2"/>
  <c r="CA615" i="2"/>
  <c r="CA616" i="2"/>
  <c r="CA617" i="2"/>
  <c r="CA618" i="2"/>
  <c r="CA619" i="2"/>
  <c r="CA620" i="2"/>
  <c r="CA621" i="2"/>
  <c r="CA622" i="2"/>
  <c r="CA623" i="2"/>
  <c r="CA624" i="2"/>
  <c r="CA625" i="2"/>
  <c r="CA626" i="2"/>
  <c r="CA627" i="2"/>
  <c r="CA628" i="2"/>
  <c r="CA629" i="2"/>
  <c r="CA630" i="2"/>
  <c r="CA631" i="2"/>
  <c r="CA632" i="2"/>
  <c r="CA633" i="2"/>
  <c r="CA634" i="2"/>
  <c r="CA635" i="2"/>
  <c r="CA636" i="2"/>
  <c r="CA637" i="2"/>
  <c r="CA638" i="2"/>
  <c r="CA639" i="2"/>
  <c r="CA640" i="2"/>
  <c r="CA641" i="2"/>
  <c r="CA642" i="2"/>
  <c r="CA643" i="2"/>
  <c r="CA644" i="2"/>
  <c r="CA645" i="2"/>
  <c r="CA646" i="2"/>
  <c r="CA647" i="2"/>
  <c r="CA648" i="2"/>
  <c r="CA649" i="2"/>
  <c r="CA650" i="2"/>
  <c r="CA651" i="2"/>
  <c r="CA652" i="2"/>
  <c r="CA653" i="2"/>
  <c r="CA654" i="2"/>
  <c r="CA655" i="2"/>
  <c r="CA656" i="2"/>
  <c r="CA657" i="2"/>
  <c r="CA658" i="2"/>
  <c r="CA659" i="2"/>
  <c r="CA660" i="2"/>
  <c r="CA661" i="2"/>
  <c r="CA662" i="2"/>
  <c r="CA663" i="2"/>
  <c r="CA664" i="2"/>
  <c r="CA665" i="2"/>
  <c r="CA666" i="2"/>
  <c r="CA667" i="2"/>
  <c r="CA668" i="2"/>
  <c r="CA669" i="2"/>
  <c r="CA670" i="2"/>
  <c r="CA671" i="2"/>
  <c r="CA672" i="2"/>
  <c r="CA673" i="2"/>
  <c r="CA674" i="2"/>
  <c r="CA675" i="2"/>
  <c r="CA676" i="2"/>
  <c r="CA677" i="2"/>
  <c r="CA678" i="2"/>
  <c r="CA679" i="2"/>
  <c r="CA680" i="2"/>
  <c r="CA681" i="2"/>
  <c r="CA682" i="2"/>
  <c r="CA683" i="2"/>
  <c r="CA684" i="2"/>
  <c r="CA685" i="2"/>
  <c r="CA686" i="2"/>
  <c r="CA687" i="2"/>
  <c r="CA688" i="2"/>
  <c r="CA689" i="2"/>
  <c r="CA690" i="2"/>
  <c r="CA691" i="2"/>
  <c r="CA692" i="2"/>
  <c r="CA693" i="2"/>
  <c r="CA694" i="2"/>
  <c r="CA695" i="2"/>
  <c r="CA696" i="2"/>
  <c r="CA697" i="2"/>
  <c r="CA698" i="2"/>
  <c r="CA699" i="2"/>
  <c r="CA700" i="2"/>
  <c r="CA701" i="2"/>
  <c r="CA702" i="2"/>
  <c r="CA703" i="2"/>
  <c r="CA704" i="2"/>
  <c r="CA705" i="2"/>
  <c r="CB2" i="2"/>
  <c r="CB3" i="2"/>
  <c r="CB4" i="2"/>
  <c r="CB5" i="2"/>
  <c r="CB6" i="2"/>
  <c r="CB7" i="2"/>
  <c r="CB8" i="2"/>
  <c r="CB9" i="2"/>
  <c r="CB10" i="2"/>
  <c r="CB11" i="2"/>
  <c r="CB12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5" i="2"/>
  <c r="CB26" i="2"/>
  <c r="CB27" i="2"/>
  <c r="CB28" i="2"/>
  <c r="CB29" i="2"/>
  <c r="CB30" i="2"/>
  <c r="CB31" i="2"/>
  <c r="CB32" i="2"/>
  <c r="CB33" i="2"/>
  <c r="CB34" i="2"/>
  <c r="CB35" i="2"/>
  <c r="CB36" i="2"/>
  <c r="CB37" i="2"/>
  <c r="CB38" i="2"/>
  <c r="CB39" i="2"/>
  <c r="CB40" i="2"/>
  <c r="CB41" i="2"/>
  <c r="CB42" i="2"/>
  <c r="CB43" i="2"/>
  <c r="CB44" i="2"/>
  <c r="CB45" i="2"/>
  <c r="CB46" i="2"/>
  <c r="CB47" i="2"/>
  <c r="CB48" i="2"/>
  <c r="CB49" i="2"/>
  <c r="CB50" i="2"/>
  <c r="CB51" i="2"/>
  <c r="CB52" i="2"/>
  <c r="CB53" i="2"/>
  <c r="CB54" i="2"/>
  <c r="CB55" i="2"/>
  <c r="CB56" i="2"/>
  <c r="CB57" i="2"/>
  <c r="CB58" i="2"/>
  <c r="CB59" i="2"/>
  <c r="CB60" i="2"/>
  <c r="CB61" i="2"/>
  <c r="CB62" i="2"/>
  <c r="CB63" i="2"/>
  <c r="CB64" i="2"/>
  <c r="CB65" i="2"/>
  <c r="CB66" i="2"/>
  <c r="CB67" i="2"/>
  <c r="CB68" i="2"/>
  <c r="CB69" i="2"/>
  <c r="CB70" i="2"/>
  <c r="CB71" i="2"/>
  <c r="CB72" i="2"/>
  <c r="CB73" i="2"/>
  <c r="CB74" i="2"/>
  <c r="CB75" i="2"/>
  <c r="CB76" i="2"/>
  <c r="CB77" i="2"/>
  <c r="CB78" i="2"/>
  <c r="CB79" i="2"/>
  <c r="CB80" i="2"/>
  <c r="CB81" i="2"/>
  <c r="CB82" i="2"/>
  <c r="CB83" i="2"/>
  <c r="CB84" i="2"/>
  <c r="CB85" i="2"/>
  <c r="CB86" i="2"/>
  <c r="CB87" i="2"/>
  <c r="CB88" i="2"/>
  <c r="CB89" i="2"/>
  <c r="CB90" i="2"/>
  <c r="CB91" i="2"/>
  <c r="CB92" i="2"/>
  <c r="CB93" i="2"/>
  <c r="CB94" i="2"/>
  <c r="CB95" i="2"/>
  <c r="CB96" i="2"/>
  <c r="CB97" i="2"/>
  <c r="CB98" i="2"/>
  <c r="CB99" i="2"/>
  <c r="CB100" i="2"/>
  <c r="CB101" i="2"/>
  <c r="CB102" i="2"/>
  <c r="CB103" i="2"/>
  <c r="CB104" i="2"/>
  <c r="CB105" i="2"/>
  <c r="CB106" i="2"/>
  <c r="CB107" i="2"/>
  <c r="CB108" i="2"/>
  <c r="CB109" i="2"/>
  <c r="CB110" i="2"/>
  <c r="CB111" i="2"/>
  <c r="CB112" i="2"/>
  <c r="CB113" i="2"/>
  <c r="CB114" i="2"/>
  <c r="CB115" i="2"/>
  <c r="CB116" i="2"/>
  <c r="CB117" i="2"/>
  <c r="CB118" i="2"/>
  <c r="CB119" i="2"/>
  <c r="CB120" i="2"/>
  <c r="CB121" i="2"/>
  <c r="CB122" i="2"/>
  <c r="CB123" i="2"/>
  <c r="CB124" i="2"/>
  <c r="CB125" i="2"/>
  <c r="CB126" i="2"/>
  <c r="CB127" i="2"/>
  <c r="CB128" i="2"/>
  <c r="CB129" i="2"/>
  <c r="CB130" i="2"/>
  <c r="CB131" i="2"/>
  <c r="CB132" i="2"/>
  <c r="CB133" i="2"/>
  <c r="CB134" i="2"/>
  <c r="CB135" i="2"/>
  <c r="CB136" i="2"/>
  <c r="CB137" i="2"/>
  <c r="CB138" i="2"/>
  <c r="CB139" i="2"/>
  <c r="CB140" i="2"/>
  <c r="CB141" i="2"/>
  <c r="CB142" i="2"/>
  <c r="CB143" i="2"/>
  <c r="CB144" i="2"/>
  <c r="CB145" i="2"/>
  <c r="CB146" i="2"/>
  <c r="CB147" i="2"/>
  <c r="CB148" i="2"/>
  <c r="CB149" i="2"/>
  <c r="CB150" i="2"/>
  <c r="CB151" i="2"/>
  <c r="CB152" i="2"/>
  <c r="CB153" i="2"/>
  <c r="CB154" i="2"/>
  <c r="CB155" i="2"/>
  <c r="CB156" i="2"/>
  <c r="CB157" i="2"/>
  <c r="CB158" i="2"/>
  <c r="CB159" i="2"/>
  <c r="CB160" i="2"/>
  <c r="CB161" i="2"/>
  <c r="CB162" i="2"/>
  <c r="CB163" i="2"/>
  <c r="CB164" i="2"/>
  <c r="CB165" i="2"/>
  <c r="CB166" i="2"/>
  <c r="CB167" i="2"/>
  <c r="CB168" i="2"/>
  <c r="CB169" i="2"/>
  <c r="CB170" i="2"/>
  <c r="CB171" i="2"/>
  <c r="CB172" i="2"/>
  <c r="CB173" i="2"/>
  <c r="CB174" i="2"/>
  <c r="CB175" i="2"/>
  <c r="CB176" i="2"/>
  <c r="CB177" i="2"/>
  <c r="CB178" i="2"/>
  <c r="CB179" i="2"/>
  <c r="CB180" i="2"/>
  <c r="CB181" i="2"/>
  <c r="CB182" i="2"/>
  <c r="CB183" i="2"/>
  <c r="CB184" i="2"/>
  <c r="CB185" i="2"/>
  <c r="CB186" i="2"/>
  <c r="CB187" i="2"/>
  <c r="CB188" i="2"/>
  <c r="CB189" i="2"/>
  <c r="CB190" i="2"/>
  <c r="CB191" i="2"/>
  <c r="CB192" i="2"/>
  <c r="CB193" i="2"/>
  <c r="CB194" i="2"/>
  <c r="CB195" i="2"/>
  <c r="CB196" i="2"/>
  <c r="CB197" i="2"/>
  <c r="CB198" i="2"/>
  <c r="CB199" i="2"/>
  <c r="CB200" i="2"/>
  <c r="CB201" i="2"/>
  <c r="CB202" i="2"/>
  <c r="CB203" i="2"/>
  <c r="CB204" i="2"/>
  <c r="CB205" i="2"/>
  <c r="CB206" i="2"/>
  <c r="CB207" i="2"/>
  <c r="CB208" i="2"/>
  <c r="CB209" i="2"/>
  <c r="CB210" i="2"/>
  <c r="CB211" i="2"/>
  <c r="CB212" i="2"/>
  <c r="CB213" i="2"/>
  <c r="CB214" i="2"/>
  <c r="CB215" i="2"/>
  <c r="CB216" i="2"/>
  <c r="CB217" i="2"/>
  <c r="CB218" i="2"/>
  <c r="CB219" i="2"/>
  <c r="CB220" i="2"/>
  <c r="CB221" i="2"/>
  <c r="CB222" i="2"/>
  <c r="CB223" i="2"/>
  <c r="CB224" i="2"/>
  <c r="CB225" i="2"/>
  <c r="CB226" i="2"/>
  <c r="CB227" i="2"/>
  <c r="CB228" i="2"/>
  <c r="CB229" i="2"/>
  <c r="CB230" i="2"/>
  <c r="CB231" i="2"/>
  <c r="CB232" i="2"/>
  <c r="CB233" i="2"/>
  <c r="CB234" i="2"/>
  <c r="CB235" i="2"/>
  <c r="CB236" i="2"/>
  <c r="CB237" i="2"/>
  <c r="CB238" i="2"/>
  <c r="CB239" i="2"/>
  <c r="CB240" i="2"/>
  <c r="CB241" i="2"/>
  <c r="CB242" i="2"/>
  <c r="CB243" i="2"/>
  <c r="CB244" i="2"/>
  <c r="CB245" i="2"/>
  <c r="CB246" i="2"/>
  <c r="CB247" i="2"/>
  <c r="CB248" i="2"/>
  <c r="CB249" i="2"/>
  <c r="CB250" i="2"/>
  <c r="CB251" i="2"/>
  <c r="CB252" i="2"/>
  <c r="CB253" i="2"/>
  <c r="CB254" i="2"/>
  <c r="CB255" i="2"/>
  <c r="CB256" i="2"/>
  <c r="CB257" i="2"/>
  <c r="CB258" i="2"/>
  <c r="CB259" i="2"/>
  <c r="CB260" i="2"/>
  <c r="CB261" i="2"/>
  <c r="CB262" i="2"/>
  <c r="CB263" i="2"/>
  <c r="CB264" i="2"/>
  <c r="CB265" i="2"/>
  <c r="CB266" i="2"/>
  <c r="CB267" i="2"/>
  <c r="CB268" i="2"/>
  <c r="CB269" i="2"/>
  <c r="CB270" i="2"/>
  <c r="CB271" i="2"/>
  <c r="CB272" i="2"/>
  <c r="CB273" i="2"/>
  <c r="CB274" i="2"/>
  <c r="CB275" i="2"/>
  <c r="CB276" i="2"/>
  <c r="CB277" i="2"/>
  <c r="CB278" i="2"/>
  <c r="CB279" i="2"/>
  <c r="CB280" i="2"/>
  <c r="CB281" i="2"/>
  <c r="CB282" i="2"/>
  <c r="CB283" i="2"/>
  <c r="CB284" i="2"/>
  <c r="CB285" i="2"/>
  <c r="CB286" i="2"/>
  <c r="CB287" i="2"/>
  <c r="CB288" i="2"/>
  <c r="CB289" i="2"/>
  <c r="CB290" i="2"/>
  <c r="CB291" i="2"/>
  <c r="CB292" i="2"/>
  <c r="CB293" i="2"/>
  <c r="CB294" i="2"/>
  <c r="CB295" i="2"/>
  <c r="CB296" i="2"/>
  <c r="CB297" i="2"/>
  <c r="CB298" i="2"/>
  <c r="CB299" i="2"/>
  <c r="CB300" i="2"/>
  <c r="CB301" i="2"/>
  <c r="CB302" i="2"/>
  <c r="CB303" i="2"/>
  <c r="CB304" i="2"/>
  <c r="CB305" i="2"/>
  <c r="CB306" i="2"/>
  <c r="CB307" i="2"/>
  <c r="CB308" i="2"/>
  <c r="CB309" i="2"/>
  <c r="CB310" i="2"/>
  <c r="CB311" i="2"/>
  <c r="CB312" i="2"/>
  <c r="CB313" i="2"/>
  <c r="CB314" i="2"/>
  <c r="CB315" i="2"/>
  <c r="CB316" i="2"/>
  <c r="CB317" i="2"/>
  <c r="CB318" i="2"/>
  <c r="CB319" i="2"/>
  <c r="CB320" i="2"/>
  <c r="CB321" i="2"/>
  <c r="CB322" i="2"/>
  <c r="CB323" i="2"/>
  <c r="CB324" i="2"/>
  <c r="CB325" i="2"/>
  <c r="CB326" i="2"/>
  <c r="CB327" i="2"/>
  <c r="CB328" i="2"/>
  <c r="CB329" i="2"/>
  <c r="CB330" i="2"/>
  <c r="CB331" i="2"/>
  <c r="CB332" i="2"/>
  <c r="CB333" i="2"/>
  <c r="CB334" i="2"/>
  <c r="CB335" i="2"/>
  <c r="CB336" i="2"/>
  <c r="CB337" i="2"/>
  <c r="CB338" i="2"/>
  <c r="CB339" i="2"/>
  <c r="CB340" i="2"/>
  <c r="CB341" i="2"/>
  <c r="CB342" i="2"/>
  <c r="CB343" i="2"/>
  <c r="CB344" i="2"/>
  <c r="CB345" i="2"/>
  <c r="CB346" i="2"/>
  <c r="CB347" i="2"/>
  <c r="CB348" i="2"/>
  <c r="CB349" i="2"/>
  <c r="CB350" i="2"/>
  <c r="CB351" i="2"/>
  <c r="CB352" i="2"/>
  <c r="CB353" i="2"/>
  <c r="CB354" i="2"/>
  <c r="CB355" i="2"/>
  <c r="CB356" i="2"/>
  <c r="CB357" i="2"/>
  <c r="CB358" i="2"/>
  <c r="CB359" i="2"/>
  <c r="CB360" i="2"/>
  <c r="CB361" i="2"/>
  <c r="CB362" i="2"/>
  <c r="CB363" i="2"/>
  <c r="CB364" i="2"/>
  <c r="CB365" i="2"/>
  <c r="CB366" i="2"/>
  <c r="CB367" i="2"/>
  <c r="CB368" i="2"/>
  <c r="CB369" i="2"/>
  <c r="CB370" i="2"/>
  <c r="CB371" i="2"/>
  <c r="CB372" i="2"/>
  <c r="CB373" i="2"/>
  <c r="CB374" i="2"/>
  <c r="CB375" i="2"/>
  <c r="CB376" i="2"/>
  <c r="CB377" i="2"/>
  <c r="CB378" i="2"/>
  <c r="CB379" i="2"/>
  <c r="CB380" i="2"/>
  <c r="CB381" i="2"/>
  <c r="CB382" i="2"/>
  <c r="CB383" i="2"/>
  <c r="CB384" i="2"/>
  <c r="CB385" i="2"/>
  <c r="CB386" i="2"/>
  <c r="CB387" i="2"/>
  <c r="CB388" i="2"/>
  <c r="CB389" i="2"/>
  <c r="CB390" i="2"/>
  <c r="CB391" i="2"/>
  <c r="CB392" i="2"/>
  <c r="CB393" i="2"/>
  <c r="CB394" i="2"/>
  <c r="CB395" i="2"/>
  <c r="CB396" i="2"/>
  <c r="CB397" i="2"/>
  <c r="CB398" i="2"/>
  <c r="CB399" i="2"/>
  <c r="CB400" i="2"/>
  <c r="CB401" i="2"/>
  <c r="CB402" i="2"/>
  <c r="CB403" i="2"/>
  <c r="CB404" i="2"/>
  <c r="CB405" i="2"/>
  <c r="CB406" i="2"/>
  <c r="CB407" i="2"/>
  <c r="CB408" i="2"/>
  <c r="CB409" i="2"/>
  <c r="CB410" i="2"/>
  <c r="CB411" i="2"/>
  <c r="CB412" i="2"/>
  <c r="CB413" i="2"/>
  <c r="CB414" i="2"/>
  <c r="CB415" i="2"/>
  <c r="CB416" i="2"/>
  <c r="CB417" i="2"/>
  <c r="CB418" i="2"/>
  <c r="CB419" i="2"/>
  <c r="CB420" i="2"/>
  <c r="CB421" i="2"/>
  <c r="CB422" i="2"/>
  <c r="CB423" i="2"/>
  <c r="CB424" i="2"/>
  <c r="CB425" i="2"/>
  <c r="CB426" i="2"/>
  <c r="CB427" i="2"/>
  <c r="CB428" i="2"/>
  <c r="CB429" i="2"/>
  <c r="CB430" i="2"/>
  <c r="CB431" i="2"/>
  <c r="CB432" i="2"/>
  <c r="CB433" i="2"/>
  <c r="CB434" i="2"/>
  <c r="CB435" i="2"/>
  <c r="CB436" i="2"/>
  <c r="CB437" i="2"/>
  <c r="CB438" i="2"/>
  <c r="CB439" i="2"/>
  <c r="CB440" i="2"/>
  <c r="CB441" i="2"/>
  <c r="CB442" i="2"/>
  <c r="CB443" i="2"/>
  <c r="CB444" i="2"/>
  <c r="CB445" i="2"/>
  <c r="CB446" i="2"/>
  <c r="CB447" i="2"/>
  <c r="CB448" i="2"/>
  <c r="CB449" i="2"/>
  <c r="CB450" i="2"/>
  <c r="CB451" i="2"/>
  <c r="CB452" i="2"/>
  <c r="CB453" i="2"/>
  <c r="CB454" i="2"/>
  <c r="CB455" i="2"/>
  <c r="CB456" i="2"/>
  <c r="CB457" i="2"/>
  <c r="CB458" i="2"/>
  <c r="CB459" i="2"/>
  <c r="CB460" i="2"/>
  <c r="CB461" i="2"/>
  <c r="CB462" i="2"/>
  <c r="CB463" i="2"/>
  <c r="CB464" i="2"/>
  <c r="CB465" i="2"/>
  <c r="CB466" i="2"/>
  <c r="CB467" i="2"/>
  <c r="CB468" i="2"/>
  <c r="CB469" i="2"/>
  <c r="CB470" i="2"/>
  <c r="CB471" i="2"/>
  <c r="CB472" i="2"/>
  <c r="CB473" i="2"/>
  <c r="CB474" i="2"/>
  <c r="CB475" i="2"/>
  <c r="CB476" i="2"/>
  <c r="CB477" i="2"/>
  <c r="CB478" i="2"/>
  <c r="CB479" i="2"/>
  <c r="CB480" i="2"/>
  <c r="CB481" i="2"/>
  <c r="CB482" i="2"/>
  <c r="CB483" i="2"/>
  <c r="CB484" i="2"/>
  <c r="CB485" i="2"/>
  <c r="CB486" i="2"/>
  <c r="CB487" i="2"/>
  <c r="CB488" i="2"/>
  <c r="CB489" i="2"/>
  <c r="CB490" i="2"/>
  <c r="CB491" i="2"/>
  <c r="CB492" i="2"/>
  <c r="CB493" i="2"/>
  <c r="CB494" i="2"/>
  <c r="CB495" i="2"/>
  <c r="CB496" i="2"/>
  <c r="CB497" i="2"/>
  <c r="CB498" i="2"/>
  <c r="CB499" i="2"/>
  <c r="CB500" i="2"/>
  <c r="CB501" i="2"/>
  <c r="CB502" i="2"/>
  <c r="CB503" i="2"/>
  <c r="CB504" i="2"/>
  <c r="CB505" i="2"/>
  <c r="CB506" i="2"/>
  <c r="CB507" i="2"/>
  <c r="CB508" i="2"/>
  <c r="CB509" i="2"/>
  <c r="CB510" i="2"/>
  <c r="CB511" i="2"/>
  <c r="CB512" i="2"/>
  <c r="CB513" i="2"/>
  <c r="CB514" i="2"/>
  <c r="CB515" i="2"/>
  <c r="CB516" i="2"/>
  <c r="CB517" i="2"/>
  <c r="CB518" i="2"/>
  <c r="CB519" i="2"/>
  <c r="CB520" i="2"/>
  <c r="CB521" i="2"/>
  <c r="CB522" i="2"/>
  <c r="CB523" i="2"/>
  <c r="CB524" i="2"/>
  <c r="CB525" i="2"/>
  <c r="CB526" i="2"/>
  <c r="CB527" i="2"/>
  <c r="CB528" i="2"/>
  <c r="CB529" i="2"/>
  <c r="CB530" i="2"/>
  <c r="CB531" i="2"/>
  <c r="CB532" i="2"/>
  <c r="CB533" i="2"/>
  <c r="CB534" i="2"/>
  <c r="CB535" i="2"/>
  <c r="CB536" i="2"/>
  <c r="CB537" i="2"/>
  <c r="CB538" i="2"/>
  <c r="CB539" i="2"/>
  <c r="CB540" i="2"/>
  <c r="CB541" i="2"/>
  <c r="CB542" i="2"/>
  <c r="CB543" i="2"/>
  <c r="CB544" i="2"/>
  <c r="CB545" i="2"/>
  <c r="CB546" i="2"/>
  <c r="CB547" i="2"/>
  <c r="CB548" i="2"/>
  <c r="CB549" i="2"/>
  <c r="CB550" i="2"/>
  <c r="CB551" i="2"/>
  <c r="CB552" i="2"/>
  <c r="CB553" i="2"/>
  <c r="CB554" i="2"/>
  <c r="CB555" i="2"/>
  <c r="CB556" i="2"/>
  <c r="CB557" i="2"/>
  <c r="CB558" i="2"/>
  <c r="CB559" i="2"/>
  <c r="CB560" i="2"/>
  <c r="CB561" i="2"/>
  <c r="CB562" i="2"/>
  <c r="CB563" i="2"/>
  <c r="CB564" i="2"/>
  <c r="CB565" i="2"/>
  <c r="CB566" i="2"/>
  <c r="CB567" i="2"/>
  <c r="CB568" i="2"/>
  <c r="CB569" i="2"/>
  <c r="CB570" i="2"/>
  <c r="CB571" i="2"/>
  <c r="CB572" i="2"/>
  <c r="CB573" i="2"/>
  <c r="CB574" i="2"/>
  <c r="CB575" i="2"/>
  <c r="CB576" i="2"/>
  <c r="CB577" i="2"/>
  <c r="CB578" i="2"/>
  <c r="CB579" i="2"/>
  <c r="CB580" i="2"/>
  <c r="CB581" i="2"/>
  <c r="CB582" i="2"/>
  <c r="CB583" i="2"/>
  <c r="CB584" i="2"/>
  <c r="CB585" i="2"/>
  <c r="CB586" i="2"/>
  <c r="CB587" i="2"/>
  <c r="CB588" i="2"/>
  <c r="CB589" i="2"/>
  <c r="CB590" i="2"/>
  <c r="CB591" i="2"/>
  <c r="CB592" i="2"/>
  <c r="CB593" i="2"/>
  <c r="CB594" i="2"/>
  <c r="CB595" i="2"/>
  <c r="CB596" i="2"/>
  <c r="CB597" i="2"/>
  <c r="CB598" i="2"/>
  <c r="CB599" i="2"/>
  <c r="CB600" i="2"/>
  <c r="CB601" i="2"/>
  <c r="CB602" i="2"/>
  <c r="CB603" i="2"/>
  <c r="CB604" i="2"/>
  <c r="CB605" i="2"/>
  <c r="CB606" i="2"/>
  <c r="CB607" i="2"/>
  <c r="CB608" i="2"/>
  <c r="CB609" i="2"/>
  <c r="CB610" i="2"/>
  <c r="CB611" i="2"/>
  <c r="CB612" i="2"/>
  <c r="CB613" i="2"/>
  <c r="CB614" i="2"/>
  <c r="CB615" i="2"/>
  <c r="CB616" i="2"/>
  <c r="CB617" i="2"/>
  <c r="CB618" i="2"/>
  <c r="CB619" i="2"/>
  <c r="CB620" i="2"/>
  <c r="CB621" i="2"/>
  <c r="CB622" i="2"/>
  <c r="CB623" i="2"/>
  <c r="CB624" i="2"/>
  <c r="CB625" i="2"/>
  <c r="CB626" i="2"/>
  <c r="CB627" i="2"/>
  <c r="CB628" i="2"/>
  <c r="CB629" i="2"/>
  <c r="CB630" i="2"/>
  <c r="CB631" i="2"/>
  <c r="CB632" i="2"/>
  <c r="CB633" i="2"/>
  <c r="CB634" i="2"/>
  <c r="CB635" i="2"/>
  <c r="CB636" i="2"/>
  <c r="CB637" i="2"/>
  <c r="CB638" i="2"/>
  <c r="CB639" i="2"/>
  <c r="CB640" i="2"/>
  <c r="CB641" i="2"/>
  <c r="CB642" i="2"/>
  <c r="CB643" i="2"/>
  <c r="CB644" i="2"/>
  <c r="CB645" i="2"/>
  <c r="CB646" i="2"/>
  <c r="CB647" i="2"/>
  <c r="CB648" i="2"/>
  <c r="CB649" i="2"/>
  <c r="CB650" i="2"/>
  <c r="CB651" i="2"/>
  <c r="CB652" i="2"/>
  <c r="CB653" i="2"/>
  <c r="CB654" i="2"/>
  <c r="CB655" i="2"/>
  <c r="CB656" i="2"/>
  <c r="CB657" i="2"/>
  <c r="CB658" i="2"/>
  <c r="CB659" i="2"/>
  <c r="CB660" i="2"/>
  <c r="CB661" i="2"/>
  <c r="CB662" i="2"/>
  <c r="CB663" i="2"/>
  <c r="CB664" i="2"/>
  <c r="CB665" i="2"/>
  <c r="CB666" i="2"/>
  <c r="CB667" i="2"/>
  <c r="CB668" i="2"/>
  <c r="CB669" i="2"/>
  <c r="CB670" i="2"/>
  <c r="CB671" i="2"/>
  <c r="CB672" i="2"/>
  <c r="CB673" i="2"/>
  <c r="CB674" i="2"/>
  <c r="CB675" i="2"/>
  <c r="CB676" i="2"/>
  <c r="CB677" i="2"/>
  <c r="CB678" i="2"/>
  <c r="CB679" i="2"/>
  <c r="CB680" i="2"/>
  <c r="CB681" i="2"/>
  <c r="CB682" i="2"/>
  <c r="CB683" i="2"/>
  <c r="CB684" i="2"/>
  <c r="CB685" i="2"/>
  <c r="CB686" i="2"/>
  <c r="CB687" i="2"/>
  <c r="CB688" i="2"/>
  <c r="CB689" i="2"/>
  <c r="CB690" i="2"/>
  <c r="CB691" i="2"/>
  <c r="CB692" i="2"/>
  <c r="CB693" i="2"/>
  <c r="CB694" i="2"/>
  <c r="CB695" i="2"/>
  <c r="CB696" i="2"/>
  <c r="CB697" i="2"/>
  <c r="CB698" i="2"/>
  <c r="CB699" i="2"/>
  <c r="CB700" i="2"/>
  <c r="CB701" i="2"/>
  <c r="CB702" i="2"/>
  <c r="CB703" i="2"/>
  <c r="CB704" i="2"/>
  <c r="CB705" i="2"/>
  <c r="CC2" i="2"/>
  <c r="CC3" i="2"/>
  <c r="CC4" i="2"/>
  <c r="CC5" i="2"/>
  <c r="CC6" i="2"/>
  <c r="CC7" i="2"/>
  <c r="CC8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7" i="2"/>
  <c r="CC28" i="2"/>
  <c r="CC29" i="2"/>
  <c r="CC30" i="2"/>
  <c r="CC31" i="2"/>
  <c r="CC32" i="2"/>
  <c r="CC33" i="2"/>
  <c r="CC34" i="2"/>
  <c r="CC35" i="2"/>
  <c r="CC36" i="2"/>
  <c r="CC37" i="2"/>
  <c r="CC38" i="2"/>
  <c r="CC39" i="2"/>
  <c r="CC40" i="2"/>
  <c r="CC41" i="2"/>
  <c r="CC42" i="2"/>
  <c r="CC43" i="2"/>
  <c r="CC44" i="2"/>
  <c r="CC45" i="2"/>
  <c r="CC46" i="2"/>
  <c r="CC47" i="2"/>
  <c r="CC48" i="2"/>
  <c r="CC49" i="2"/>
  <c r="CC50" i="2"/>
  <c r="CC51" i="2"/>
  <c r="CC52" i="2"/>
  <c r="CC53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2" i="2"/>
  <c r="CC73" i="2"/>
  <c r="CC74" i="2"/>
  <c r="CC75" i="2"/>
  <c r="CC76" i="2"/>
  <c r="CC77" i="2"/>
  <c r="CC78" i="2"/>
  <c r="CC79" i="2"/>
  <c r="CC80" i="2"/>
  <c r="CC81" i="2"/>
  <c r="CC82" i="2"/>
  <c r="CC83" i="2"/>
  <c r="CC84" i="2"/>
  <c r="CC85" i="2"/>
  <c r="CC86" i="2"/>
  <c r="CC87" i="2"/>
  <c r="CC88" i="2"/>
  <c r="CC89" i="2"/>
  <c r="CC90" i="2"/>
  <c r="CC91" i="2"/>
  <c r="CC92" i="2"/>
  <c r="CC93" i="2"/>
  <c r="CC94" i="2"/>
  <c r="CC95" i="2"/>
  <c r="CC96" i="2"/>
  <c r="CC97" i="2"/>
  <c r="CC98" i="2"/>
  <c r="CC99" i="2"/>
  <c r="CC100" i="2"/>
  <c r="CC101" i="2"/>
  <c r="CC102" i="2"/>
  <c r="CC103" i="2"/>
  <c r="CC104" i="2"/>
  <c r="CC105" i="2"/>
  <c r="CC106" i="2"/>
  <c r="CC107" i="2"/>
  <c r="CC108" i="2"/>
  <c r="CC109" i="2"/>
  <c r="CC110" i="2"/>
  <c r="CC111" i="2"/>
  <c r="CC112" i="2"/>
  <c r="CC113" i="2"/>
  <c r="CC114" i="2"/>
  <c r="CC115" i="2"/>
  <c r="CC116" i="2"/>
  <c r="CC117" i="2"/>
  <c r="CC118" i="2"/>
  <c r="CC119" i="2"/>
  <c r="CC120" i="2"/>
  <c r="CC121" i="2"/>
  <c r="CC122" i="2"/>
  <c r="CC123" i="2"/>
  <c r="CC124" i="2"/>
  <c r="CC125" i="2"/>
  <c r="CC126" i="2"/>
  <c r="CC127" i="2"/>
  <c r="CC128" i="2"/>
  <c r="CC129" i="2"/>
  <c r="CC130" i="2"/>
  <c r="CC131" i="2"/>
  <c r="CC132" i="2"/>
  <c r="CC133" i="2"/>
  <c r="CC134" i="2"/>
  <c r="CC135" i="2"/>
  <c r="CC136" i="2"/>
  <c r="CC137" i="2"/>
  <c r="CC138" i="2"/>
  <c r="CC139" i="2"/>
  <c r="CC140" i="2"/>
  <c r="CC141" i="2"/>
  <c r="CC142" i="2"/>
  <c r="CC143" i="2"/>
  <c r="CC144" i="2"/>
  <c r="CC145" i="2"/>
  <c r="CC146" i="2"/>
  <c r="CC147" i="2"/>
  <c r="CC148" i="2"/>
  <c r="CC149" i="2"/>
  <c r="CC150" i="2"/>
  <c r="CC151" i="2"/>
  <c r="CC152" i="2"/>
  <c r="CC153" i="2"/>
  <c r="CC154" i="2"/>
  <c r="CC155" i="2"/>
  <c r="CC156" i="2"/>
  <c r="CC157" i="2"/>
  <c r="CC158" i="2"/>
  <c r="CC159" i="2"/>
  <c r="CC160" i="2"/>
  <c r="CC161" i="2"/>
  <c r="CC162" i="2"/>
  <c r="CC163" i="2"/>
  <c r="CC164" i="2"/>
  <c r="CC165" i="2"/>
  <c r="CC166" i="2"/>
  <c r="CC167" i="2"/>
  <c r="CC168" i="2"/>
  <c r="CC169" i="2"/>
  <c r="CC170" i="2"/>
  <c r="CC171" i="2"/>
  <c r="CC172" i="2"/>
  <c r="CC173" i="2"/>
  <c r="CC174" i="2"/>
  <c r="CC175" i="2"/>
  <c r="CC176" i="2"/>
  <c r="CC177" i="2"/>
  <c r="CC178" i="2"/>
  <c r="CC179" i="2"/>
  <c r="CC180" i="2"/>
  <c r="CC181" i="2"/>
  <c r="CC182" i="2"/>
  <c r="CC183" i="2"/>
  <c r="CC184" i="2"/>
  <c r="CC185" i="2"/>
  <c r="CC186" i="2"/>
  <c r="CC187" i="2"/>
  <c r="CC188" i="2"/>
  <c r="CC189" i="2"/>
  <c r="CC190" i="2"/>
  <c r="CC191" i="2"/>
  <c r="CC192" i="2"/>
  <c r="CC193" i="2"/>
  <c r="CC194" i="2"/>
  <c r="CC195" i="2"/>
  <c r="CC196" i="2"/>
  <c r="CC197" i="2"/>
  <c r="CC198" i="2"/>
  <c r="CC199" i="2"/>
  <c r="CC200" i="2"/>
  <c r="CC201" i="2"/>
  <c r="CC202" i="2"/>
  <c r="CC203" i="2"/>
  <c r="CC204" i="2"/>
  <c r="CC205" i="2"/>
  <c r="CC206" i="2"/>
  <c r="CC207" i="2"/>
  <c r="CC208" i="2"/>
  <c r="CC209" i="2"/>
  <c r="CC210" i="2"/>
  <c r="CC211" i="2"/>
  <c r="CC212" i="2"/>
  <c r="CC213" i="2"/>
  <c r="CC214" i="2"/>
  <c r="CC215" i="2"/>
  <c r="CC216" i="2"/>
  <c r="CC217" i="2"/>
  <c r="CC218" i="2"/>
  <c r="CC219" i="2"/>
  <c r="CC220" i="2"/>
  <c r="CC221" i="2"/>
  <c r="CC222" i="2"/>
  <c r="CC223" i="2"/>
  <c r="CC224" i="2"/>
  <c r="CC225" i="2"/>
  <c r="CC226" i="2"/>
  <c r="CC227" i="2"/>
  <c r="CC228" i="2"/>
  <c r="CC229" i="2"/>
  <c r="CC230" i="2"/>
  <c r="CC231" i="2"/>
  <c r="CC232" i="2"/>
  <c r="CC233" i="2"/>
  <c r="CC234" i="2"/>
  <c r="CC235" i="2"/>
  <c r="CC236" i="2"/>
  <c r="CC237" i="2"/>
  <c r="CC238" i="2"/>
  <c r="CC239" i="2"/>
  <c r="CC240" i="2"/>
  <c r="CC241" i="2"/>
  <c r="CC242" i="2"/>
  <c r="CC243" i="2"/>
  <c r="CC244" i="2"/>
  <c r="CC245" i="2"/>
  <c r="CC246" i="2"/>
  <c r="CC247" i="2"/>
  <c r="CC248" i="2"/>
  <c r="CC249" i="2"/>
  <c r="CC250" i="2"/>
  <c r="CC251" i="2"/>
  <c r="CC252" i="2"/>
  <c r="CC253" i="2"/>
  <c r="CC254" i="2"/>
  <c r="CC255" i="2"/>
  <c r="CC256" i="2"/>
  <c r="CC257" i="2"/>
  <c r="CC258" i="2"/>
  <c r="CC259" i="2"/>
  <c r="CC260" i="2"/>
  <c r="CC261" i="2"/>
  <c r="CC262" i="2"/>
  <c r="CC263" i="2"/>
  <c r="CC264" i="2"/>
  <c r="CC265" i="2"/>
  <c r="CC266" i="2"/>
  <c r="CC267" i="2"/>
  <c r="CC268" i="2"/>
  <c r="CC269" i="2"/>
  <c r="CC270" i="2"/>
  <c r="CC271" i="2"/>
  <c r="CC272" i="2"/>
  <c r="CC273" i="2"/>
  <c r="CC274" i="2"/>
  <c r="CC275" i="2"/>
  <c r="CC276" i="2"/>
  <c r="CC277" i="2"/>
  <c r="CC278" i="2"/>
  <c r="CC279" i="2"/>
  <c r="CC280" i="2"/>
  <c r="CC281" i="2"/>
  <c r="CC282" i="2"/>
  <c r="CC283" i="2"/>
  <c r="CC284" i="2"/>
  <c r="CC285" i="2"/>
  <c r="CC286" i="2"/>
  <c r="CC287" i="2"/>
  <c r="CC288" i="2"/>
  <c r="CC289" i="2"/>
  <c r="CC290" i="2"/>
  <c r="CC291" i="2"/>
  <c r="CC292" i="2"/>
  <c r="CC293" i="2"/>
  <c r="CC294" i="2"/>
  <c r="CC295" i="2"/>
  <c r="CC296" i="2"/>
  <c r="CC297" i="2"/>
  <c r="CC298" i="2"/>
  <c r="CC299" i="2"/>
  <c r="CC300" i="2"/>
  <c r="CC301" i="2"/>
  <c r="CC302" i="2"/>
  <c r="CC303" i="2"/>
  <c r="CC304" i="2"/>
  <c r="CC305" i="2"/>
  <c r="CC306" i="2"/>
  <c r="CC307" i="2"/>
  <c r="CC308" i="2"/>
  <c r="CC309" i="2"/>
  <c r="CC310" i="2"/>
  <c r="CC311" i="2"/>
  <c r="CC312" i="2"/>
  <c r="CC313" i="2"/>
  <c r="CC314" i="2"/>
  <c r="CC315" i="2"/>
  <c r="CC316" i="2"/>
  <c r="CC317" i="2"/>
  <c r="CC318" i="2"/>
  <c r="CC319" i="2"/>
  <c r="CC320" i="2"/>
  <c r="CC321" i="2"/>
  <c r="CC322" i="2"/>
  <c r="CC323" i="2"/>
  <c r="CC324" i="2"/>
  <c r="CC325" i="2"/>
  <c r="CC326" i="2"/>
  <c r="CC327" i="2"/>
  <c r="CC328" i="2"/>
  <c r="CC329" i="2"/>
  <c r="CC330" i="2"/>
  <c r="CC331" i="2"/>
  <c r="CC332" i="2"/>
  <c r="CC333" i="2"/>
  <c r="CC334" i="2"/>
  <c r="CC335" i="2"/>
  <c r="CC336" i="2"/>
  <c r="CC337" i="2"/>
  <c r="CC338" i="2"/>
  <c r="CC339" i="2"/>
  <c r="CC340" i="2"/>
  <c r="CC341" i="2"/>
  <c r="CC342" i="2"/>
  <c r="CC343" i="2"/>
  <c r="CC344" i="2"/>
  <c r="CC345" i="2"/>
  <c r="CC346" i="2"/>
  <c r="CC347" i="2"/>
  <c r="CC348" i="2"/>
  <c r="CC349" i="2"/>
  <c r="CC350" i="2"/>
  <c r="CC351" i="2"/>
  <c r="CC352" i="2"/>
  <c r="CC353" i="2"/>
  <c r="CC354" i="2"/>
  <c r="CC355" i="2"/>
  <c r="CC356" i="2"/>
  <c r="CC357" i="2"/>
  <c r="CC358" i="2"/>
  <c r="CC359" i="2"/>
  <c r="CC360" i="2"/>
  <c r="CC361" i="2"/>
  <c r="CC362" i="2"/>
  <c r="CC363" i="2"/>
  <c r="CC364" i="2"/>
  <c r="CC365" i="2"/>
  <c r="CC366" i="2"/>
  <c r="CC367" i="2"/>
  <c r="CC368" i="2"/>
  <c r="CC369" i="2"/>
  <c r="CC370" i="2"/>
  <c r="CC371" i="2"/>
  <c r="CC372" i="2"/>
  <c r="CC373" i="2"/>
  <c r="CC374" i="2"/>
  <c r="CC375" i="2"/>
  <c r="CC376" i="2"/>
  <c r="CC377" i="2"/>
  <c r="CC378" i="2"/>
  <c r="CC379" i="2"/>
  <c r="CC380" i="2"/>
  <c r="CC381" i="2"/>
  <c r="CC382" i="2"/>
  <c r="CC383" i="2"/>
  <c r="CC384" i="2"/>
  <c r="CC385" i="2"/>
  <c r="CC386" i="2"/>
  <c r="CC387" i="2"/>
  <c r="CC388" i="2"/>
  <c r="CC389" i="2"/>
  <c r="CC390" i="2"/>
  <c r="CC391" i="2"/>
  <c r="CC392" i="2"/>
  <c r="CC393" i="2"/>
  <c r="CC394" i="2"/>
  <c r="CC395" i="2"/>
  <c r="CC396" i="2"/>
  <c r="CC397" i="2"/>
  <c r="CC398" i="2"/>
  <c r="CC399" i="2"/>
  <c r="CC400" i="2"/>
  <c r="CC401" i="2"/>
  <c r="CC402" i="2"/>
  <c r="CC403" i="2"/>
  <c r="CC404" i="2"/>
  <c r="CC405" i="2"/>
  <c r="CC406" i="2"/>
  <c r="CC407" i="2"/>
  <c r="CC408" i="2"/>
  <c r="CC409" i="2"/>
  <c r="CC410" i="2"/>
  <c r="CC411" i="2"/>
  <c r="CC412" i="2"/>
  <c r="CC413" i="2"/>
  <c r="CC414" i="2"/>
  <c r="CC415" i="2"/>
  <c r="CC416" i="2"/>
  <c r="CC417" i="2"/>
  <c r="CC418" i="2"/>
  <c r="CC419" i="2"/>
  <c r="CC420" i="2"/>
  <c r="CC421" i="2"/>
  <c r="CC422" i="2"/>
  <c r="CC423" i="2"/>
  <c r="CC424" i="2"/>
  <c r="CC425" i="2"/>
  <c r="CC426" i="2"/>
  <c r="CC427" i="2"/>
  <c r="CC428" i="2"/>
  <c r="CC429" i="2"/>
  <c r="CC430" i="2"/>
  <c r="CC431" i="2"/>
  <c r="CC432" i="2"/>
  <c r="CC433" i="2"/>
  <c r="CC434" i="2"/>
  <c r="CC435" i="2"/>
  <c r="CC436" i="2"/>
  <c r="CC437" i="2"/>
  <c r="CC438" i="2"/>
  <c r="CC439" i="2"/>
  <c r="CC440" i="2"/>
  <c r="CC441" i="2"/>
  <c r="CC442" i="2"/>
  <c r="CC443" i="2"/>
  <c r="CC444" i="2"/>
  <c r="CC445" i="2"/>
  <c r="CC446" i="2"/>
  <c r="CC447" i="2"/>
  <c r="CC448" i="2"/>
  <c r="CC449" i="2"/>
  <c r="CC450" i="2"/>
  <c r="CC451" i="2"/>
  <c r="CC452" i="2"/>
  <c r="CC453" i="2"/>
  <c r="CC454" i="2"/>
  <c r="CC455" i="2"/>
  <c r="CC456" i="2"/>
  <c r="CC457" i="2"/>
  <c r="CC458" i="2"/>
  <c r="CC459" i="2"/>
  <c r="CC460" i="2"/>
  <c r="CC461" i="2"/>
  <c r="CC462" i="2"/>
  <c r="CC463" i="2"/>
  <c r="CC464" i="2"/>
  <c r="CC465" i="2"/>
  <c r="CC466" i="2"/>
  <c r="CC467" i="2"/>
  <c r="CC468" i="2"/>
  <c r="CC469" i="2"/>
  <c r="CC470" i="2"/>
  <c r="CC471" i="2"/>
  <c r="CC472" i="2"/>
  <c r="CC473" i="2"/>
  <c r="CC474" i="2"/>
  <c r="CC475" i="2"/>
  <c r="CC476" i="2"/>
  <c r="CC477" i="2"/>
  <c r="CC478" i="2"/>
  <c r="CC479" i="2"/>
  <c r="CC480" i="2"/>
  <c r="CC481" i="2"/>
  <c r="CC482" i="2"/>
  <c r="CC483" i="2"/>
  <c r="CC484" i="2"/>
  <c r="CC485" i="2"/>
  <c r="CC486" i="2"/>
  <c r="CC487" i="2"/>
  <c r="CC488" i="2"/>
  <c r="CC489" i="2"/>
  <c r="CC490" i="2"/>
  <c r="CC491" i="2"/>
  <c r="CC492" i="2"/>
  <c r="CC493" i="2"/>
  <c r="CC494" i="2"/>
  <c r="CC495" i="2"/>
  <c r="CC496" i="2"/>
  <c r="CC497" i="2"/>
  <c r="CC498" i="2"/>
  <c r="CC499" i="2"/>
  <c r="CC500" i="2"/>
  <c r="CC501" i="2"/>
  <c r="CC502" i="2"/>
  <c r="CC503" i="2"/>
  <c r="CC504" i="2"/>
  <c r="CC505" i="2"/>
  <c r="CC506" i="2"/>
  <c r="CC507" i="2"/>
  <c r="CC508" i="2"/>
  <c r="CC509" i="2"/>
  <c r="CC510" i="2"/>
  <c r="CC511" i="2"/>
  <c r="CC512" i="2"/>
  <c r="CC513" i="2"/>
  <c r="CC514" i="2"/>
  <c r="CC515" i="2"/>
  <c r="CC516" i="2"/>
  <c r="CC517" i="2"/>
  <c r="CC518" i="2"/>
  <c r="CC519" i="2"/>
  <c r="CC520" i="2"/>
  <c r="CC521" i="2"/>
  <c r="CC522" i="2"/>
  <c r="CC523" i="2"/>
  <c r="CC524" i="2"/>
  <c r="CC525" i="2"/>
  <c r="CC526" i="2"/>
  <c r="CC527" i="2"/>
  <c r="CC528" i="2"/>
  <c r="CC529" i="2"/>
  <c r="CC530" i="2"/>
  <c r="CC531" i="2"/>
  <c r="CC532" i="2"/>
  <c r="CC533" i="2"/>
  <c r="CC534" i="2"/>
  <c r="CC535" i="2"/>
  <c r="CC536" i="2"/>
  <c r="CC537" i="2"/>
  <c r="CC538" i="2"/>
  <c r="CC539" i="2"/>
  <c r="CC540" i="2"/>
  <c r="CC541" i="2"/>
  <c r="CC542" i="2"/>
  <c r="CC543" i="2"/>
  <c r="CC544" i="2"/>
  <c r="CC545" i="2"/>
  <c r="CC546" i="2"/>
  <c r="CC547" i="2"/>
  <c r="CC548" i="2"/>
  <c r="CC549" i="2"/>
  <c r="CC550" i="2"/>
  <c r="CC551" i="2"/>
  <c r="CC552" i="2"/>
  <c r="CC553" i="2"/>
  <c r="CC554" i="2"/>
  <c r="CC555" i="2"/>
  <c r="CC556" i="2"/>
  <c r="CC557" i="2"/>
  <c r="CC558" i="2"/>
  <c r="CC559" i="2"/>
  <c r="CC560" i="2"/>
  <c r="CC561" i="2"/>
  <c r="CC562" i="2"/>
  <c r="CC563" i="2"/>
  <c r="CC564" i="2"/>
  <c r="CC565" i="2"/>
  <c r="CC566" i="2"/>
  <c r="CC567" i="2"/>
  <c r="CC568" i="2"/>
  <c r="CC569" i="2"/>
  <c r="CC570" i="2"/>
  <c r="CC571" i="2"/>
  <c r="CC572" i="2"/>
  <c r="CC573" i="2"/>
  <c r="CC574" i="2"/>
  <c r="CC575" i="2"/>
  <c r="CC576" i="2"/>
  <c r="CC577" i="2"/>
  <c r="CC578" i="2"/>
  <c r="CC579" i="2"/>
  <c r="CC580" i="2"/>
  <c r="CC581" i="2"/>
  <c r="CC582" i="2"/>
  <c r="CC583" i="2"/>
  <c r="CC584" i="2"/>
  <c r="CC585" i="2"/>
  <c r="CC586" i="2"/>
  <c r="CC587" i="2"/>
  <c r="CC588" i="2"/>
  <c r="CC589" i="2"/>
  <c r="CC590" i="2"/>
  <c r="CC591" i="2"/>
  <c r="CC592" i="2"/>
  <c r="CC593" i="2"/>
  <c r="CC594" i="2"/>
  <c r="CC595" i="2"/>
  <c r="CC596" i="2"/>
  <c r="CC597" i="2"/>
  <c r="CC598" i="2"/>
  <c r="CC599" i="2"/>
  <c r="CC600" i="2"/>
  <c r="CC601" i="2"/>
  <c r="CC602" i="2"/>
  <c r="CC603" i="2"/>
  <c r="CC604" i="2"/>
  <c r="CC605" i="2"/>
  <c r="CC606" i="2"/>
  <c r="CC607" i="2"/>
  <c r="CC608" i="2"/>
  <c r="CC609" i="2"/>
  <c r="CC610" i="2"/>
  <c r="CC611" i="2"/>
  <c r="CC612" i="2"/>
  <c r="CC613" i="2"/>
  <c r="CC614" i="2"/>
  <c r="CC615" i="2"/>
  <c r="CC616" i="2"/>
  <c r="CC617" i="2"/>
  <c r="CC618" i="2"/>
  <c r="CC619" i="2"/>
  <c r="CC620" i="2"/>
  <c r="CC621" i="2"/>
  <c r="CC622" i="2"/>
  <c r="CC623" i="2"/>
  <c r="CC624" i="2"/>
  <c r="CC625" i="2"/>
  <c r="CC626" i="2"/>
  <c r="CC627" i="2"/>
  <c r="CC628" i="2"/>
  <c r="CC629" i="2"/>
  <c r="CC630" i="2"/>
  <c r="CC631" i="2"/>
  <c r="CC632" i="2"/>
  <c r="CC633" i="2"/>
  <c r="CC634" i="2"/>
  <c r="CC635" i="2"/>
  <c r="CC636" i="2"/>
  <c r="CC637" i="2"/>
  <c r="CC638" i="2"/>
  <c r="CC639" i="2"/>
  <c r="CC640" i="2"/>
  <c r="CC641" i="2"/>
  <c r="CC642" i="2"/>
  <c r="CC643" i="2"/>
  <c r="CC644" i="2"/>
  <c r="CC645" i="2"/>
  <c r="CC646" i="2"/>
  <c r="CC647" i="2"/>
  <c r="CC648" i="2"/>
  <c r="CC649" i="2"/>
  <c r="CC650" i="2"/>
  <c r="CC651" i="2"/>
  <c r="CC652" i="2"/>
  <c r="CC653" i="2"/>
  <c r="CC654" i="2"/>
  <c r="CC655" i="2"/>
  <c r="CC656" i="2"/>
  <c r="CC657" i="2"/>
  <c r="CC658" i="2"/>
  <c r="CC659" i="2"/>
  <c r="CC660" i="2"/>
  <c r="CC661" i="2"/>
  <c r="CC662" i="2"/>
  <c r="CC663" i="2"/>
  <c r="CC664" i="2"/>
  <c r="CC665" i="2"/>
  <c r="CC666" i="2"/>
  <c r="CC667" i="2"/>
  <c r="CC668" i="2"/>
  <c r="CC669" i="2"/>
  <c r="CC670" i="2"/>
  <c r="CC671" i="2"/>
  <c r="CC672" i="2"/>
  <c r="CC673" i="2"/>
  <c r="CC674" i="2"/>
  <c r="CC675" i="2"/>
  <c r="CC676" i="2"/>
  <c r="CC677" i="2"/>
  <c r="CC678" i="2"/>
  <c r="CC679" i="2"/>
  <c r="CC680" i="2"/>
  <c r="CC681" i="2"/>
  <c r="CC682" i="2"/>
  <c r="CC683" i="2"/>
  <c r="CC684" i="2"/>
  <c r="CC685" i="2"/>
  <c r="CC686" i="2"/>
  <c r="CC687" i="2"/>
  <c r="CC688" i="2"/>
  <c r="CC689" i="2"/>
  <c r="CC690" i="2"/>
  <c r="CC691" i="2"/>
  <c r="CC692" i="2"/>
  <c r="CC693" i="2"/>
  <c r="CC694" i="2"/>
  <c r="CC695" i="2"/>
  <c r="CC696" i="2"/>
  <c r="CC697" i="2"/>
  <c r="CC698" i="2"/>
  <c r="CC699" i="2"/>
  <c r="CC700" i="2"/>
  <c r="CC701" i="2"/>
  <c r="CC702" i="2"/>
  <c r="CC703" i="2"/>
  <c r="CC704" i="2"/>
  <c r="CC705" i="2"/>
  <c r="CD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86" i="2"/>
  <c r="CD87" i="2"/>
  <c r="CD88" i="2"/>
  <c r="CD89" i="2"/>
  <c r="CD90" i="2"/>
  <c r="CD91" i="2"/>
  <c r="CD92" i="2"/>
  <c r="CD93" i="2"/>
  <c r="CD94" i="2"/>
  <c r="CD95" i="2"/>
  <c r="CD96" i="2"/>
  <c r="CD97" i="2"/>
  <c r="CD98" i="2"/>
  <c r="CD99" i="2"/>
  <c r="CD100" i="2"/>
  <c r="CD101" i="2"/>
  <c r="CD102" i="2"/>
  <c r="CD103" i="2"/>
  <c r="CD104" i="2"/>
  <c r="CD105" i="2"/>
  <c r="CD106" i="2"/>
  <c r="CD107" i="2"/>
  <c r="CD108" i="2"/>
  <c r="CD109" i="2"/>
  <c r="CD110" i="2"/>
  <c r="CD111" i="2"/>
  <c r="CD112" i="2"/>
  <c r="CD113" i="2"/>
  <c r="CD114" i="2"/>
  <c r="CD115" i="2"/>
  <c r="CD116" i="2"/>
  <c r="CD117" i="2"/>
  <c r="CD118" i="2"/>
  <c r="CD119" i="2"/>
  <c r="CD120" i="2"/>
  <c r="CD121" i="2"/>
  <c r="CD122" i="2"/>
  <c r="CD123" i="2"/>
  <c r="CD124" i="2"/>
  <c r="CD125" i="2"/>
  <c r="CD126" i="2"/>
  <c r="CD127" i="2"/>
  <c r="CD128" i="2"/>
  <c r="CD129" i="2"/>
  <c r="CD130" i="2"/>
  <c r="CD131" i="2"/>
  <c r="CD132" i="2"/>
  <c r="CD133" i="2"/>
  <c r="CD134" i="2"/>
  <c r="CD135" i="2"/>
  <c r="CD136" i="2"/>
  <c r="CD137" i="2"/>
  <c r="CD138" i="2"/>
  <c r="CD139" i="2"/>
  <c r="CD140" i="2"/>
  <c r="CD141" i="2"/>
  <c r="CD142" i="2"/>
  <c r="CD143" i="2"/>
  <c r="CD144" i="2"/>
  <c r="CD145" i="2"/>
  <c r="CD146" i="2"/>
  <c r="CD147" i="2"/>
  <c r="CD148" i="2"/>
  <c r="CD149" i="2"/>
  <c r="CD150" i="2"/>
  <c r="CD151" i="2"/>
  <c r="CD152" i="2"/>
  <c r="CD153" i="2"/>
  <c r="CD154" i="2"/>
  <c r="CD155" i="2"/>
  <c r="CD156" i="2"/>
  <c r="CD157" i="2"/>
  <c r="CD158" i="2"/>
  <c r="CD159" i="2"/>
  <c r="CD160" i="2"/>
  <c r="CD161" i="2"/>
  <c r="CD162" i="2"/>
  <c r="CD163" i="2"/>
  <c r="CD164" i="2"/>
  <c r="CD165" i="2"/>
  <c r="CD166" i="2"/>
  <c r="CD167" i="2"/>
  <c r="CD168" i="2"/>
  <c r="CD169" i="2"/>
  <c r="CD170" i="2"/>
  <c r="CD171" i="2"/>
  <c r="CD172" i="2"/>
  <c r="CD173" i="2"/>
  <c r="CD174" i="2"/>
  <c r="CD175" i="2"/>
  <c r="CD176" i="2"/>
  <c r="CD177" i="2"/>
  <c r="CD178" i="2"/>
  <c r="CD179" i="2"/>
  <c r="CD180" i="2"/>
  <c r="CD181" i="2"/>
  <c r="CD182" i="2"/>
  <c r="CD183" i="2"/>
  <c r="CD184" i="2"/>
  <c r="CD185" i="2"/>
  <c r="CD186" i="2"/>
  <c r="CD187" i="2"/>
  <c r="CD188" i="2"/>
  <c r="CD189" i="2"/>
  <c r="CD190" i="2"/>
  <c r="CD191" i="2"/>
  <c r="CD192" i="2"/>
  <c r="CD193" i="2"/>
  <c r="CD194" i="2"/>
  <c r="CD195" i="2"/>
  <c r="CD196" i="2"/>
  <c r="CD197" i="2"/>
  <c r="CD198" i="2"/>
  <c r="CD199" i="2"/>
  <c r="CD200" i="2"/>
  <c r="CD201" i="2"/>
  <c r="CD202" i="2"/>
  <c r="CD203" i="2"/>
  <c r="CD204" i="2"/>
  <c r="CD205" i="2"/>
  <c r="CD206" i="2"/>
  <c r="CD207" i="2"/>
  <c r="CD208" i="2"/>
  <c r="CD209" i="2"/>
  <c r="CD210" i="2"/>
  <c r="CD211" i="2"/>
  <c r="CD212" i="2"/>
  <c r="CD213" i="2"/>
  <c r="CD214" i="2"/>
  <c r="CD215" i="2"/>
  <c r="CD216" i="2"/>
  <c r="CD217" i="2"/>
  <c r="CD218" i="2"/>
  <c r="CD219" i="2"/>
  <c r="CD220" i="2"/>
  <c r="CD221" i="2"/>
  <c r="CD222" i="2"/>
  <c r="CD223" i="2"/>
  <c r="CD224" i="2"/>
  <c r="CD225" i="2"/>
  <c r="CD226" i="2"/>
  <c r="CD227" i="2"/>
  <c r="CD228" i="2"/>
  <c r="CD229" i="2"/>
  <c r="CD230" i="2"/>
  <c r="CD231" i="2"/>
  <c r="CD232" i="2"/>
  <c r="CD233" i="2"/>
  <c r="CD234" i="2"/>
  <c r="CD235" i="2"/>
  <c r="CD236" i="2"/>
  <c r="CD237" i="2"/>
  <c r="CD238" i="2"/>
  <c r="CD239" i="2"/>
  <c r="CD240" i="2"/>
  <c r="CD241" i="2"/>
  <c r="CD242" i="2"/>
  <c r="CD243" i="2"/>
  <c r="CD244" i="2"/>
  <c r="CD245" i="2"/>
  <c r="CD246" i="2"/>
  <c r="CD247" i="2"/>
  <c r="CD248" i="2"/>
  <c r="CD249" i="2"/>
  <c r="CD250" i="2"/>
  <c r="CD251" i="2"/>
  <c r="CD252" i="2"/>
  <c r="CD253" i="2"/>
  <c r="CD254" i="2"/>
  <c r="CD255" i="2"/>
  <c r="CD256" i="2"/>
  <c r="CD257" i="2"/>
  <c r="CD258" i="2"/>
  <c r="CD259" i="2"/>
  <c r="CD260" i="2"/>
  <c r="CD261" i="2"/>
  <c r="CD262" i="2"/>
  <c r="CD263" i="2"/>
  <c r="CD264" i="2"/>
  <c r="CD265" i="2"/>
  <c r="CD266" i="2"/>
  <c r="CD267" i="2"/>
  <c r="CD268" i="2"/>
  <c r="CD269" i="2"/>
  <c r="CD270" i="2"/>
  <c r="CD271" i="2"/>
  <c r="CD272" i="2"/>
  <c r="CD273" i="2"/>
  <c r="CD274" i="2"/>
  <c r="CD275" i="2"/>
  <c r="CD276" i="2"/>
  <c r="CD277" i="2"/>
  <c r="CD278" i="2"/>
  <c r="CD279" i="2"/>
  <c r="CD280" i="2"/>
  <c r="CD281" i="2"/>
  <c r="CD282" i="2"/>
  <c r="CD283" i="2"/>
  <c r="CD284" i="2"/>
  <c r="CD285" i="2"/>
  <c r="CD286" i="2"/>
  <c r="CD287" i="2"/>
  <c r="CD288" i="2"/>
  <c r="CD289" i="2"/>
  <c r="CD290" i="2"/>
  <c r="CD291" i="2"/>
  <c r="CD292" i="2"/>
  <c r="CD293" i="2"/>
  <c r="CD294" i="2"/>
  <c r="CD295" i="2"/>
  <c r="CD296" i="2"/>
  <c r="CD297" i="2"/>
  <c r="CD298" i="2"/>
  <c r="CD299" i="2"/>
  <c r="CD300" i="2"/>
  <c r="CD301" i="2"/>
  <c r="CD302" i="2"/>
  <c r="CD303" i="2"/>
  <c r="CD304" i="2"/>
  <c r="CD305" i="2"/>
  <c r="CD306" i="2"/>
  <c r="CD307" i="2"/>
  <c r="CD308" i="2"/>
  <c r="CD309" i="2"/>
  <c r="CD310" i="2"/>
  <c r="CD311" i="2"/>
  <c r="CD312" i="2"/>
  <c r="CD313" i="2"/>
  <c r="CD314" i="2"/>
  <c r="CD315" i="2"/>
  <c r="CD316" i="2"/>
  <c r="CD317" i="2"/>
  <c r="CD318" i="2"/>
  <c r="CD319" i="2"/>
  <c r="CD320" i="2"/>
  <c r="CD321" i="2"/>
  <c r="CD322" i="2"/>
  <c r="CD323" i="2"/>
  <c r="CD324" i="2"/>
  <c r="CD325" i="2"/>
  <c r="CD326" i="2"/>
  <c r="CD327" i="2"/>
  <c r="CD328" i="2"/>
  <c r="CD329" i="2"/>
  <c r="CD330" i="2"/>
  <c r="CD331" i="2"/>
  <c r="CD332" i="2"/>
  <c r="CD333" i="2"/>
  <c r="CD334" i="2"/>
  <c r="CD335" i="2"/>
  <c r="CD336" i="2"/>
  <c r="CD337" i="2"/>
  <c r="CD338" i="2"/>
  <c r="CD339" i="2"/>
  <c r="CD340" i="2"/>
  <c r="CD341" i="2"/>
  <c r="CD342" i="2"/>
  <c r="CD343" i="2"/>
  <c r="CD344" i="2"/>
  <c r="CD345" i="2"/>
  <c r="CD346" i="2"/>
  <c r="CD347" i="2"/>
  <c r="CD348" i="2"/>
  <c r="CD349" i="2"/>
  <c r="CD350" i="2"/>
  <c r="CD351" i="2"/>
  <c r="CD352" i="2"/>
  <c r="CD353" i="2"/>
  <c r="CD354" i="2"/>
  <c r="CD355" i="2"/>
  <c r="CD356" i="2"/>
  <c r="CD357" i="2"/>
  <c r="CD358" i="2"/>
  <c r="CD359" i="2"/>
  <c r="CD360" i="2"/>
  <c r="CD361" i="2"/>
  <c r="CD362" i="2"/>
  <c r="CD363" i="2"/>
  <c r="CD364" i="2"/>
  <c r="CD365" i="2"/>
  <c r="CD366" i="2"/>
  <c r="CD367" i="2"/>
  <c r="CD368" i="2"/>
  <c r="CD369" i="2"/>
  <c r="CD370" i="2"/>
  <c r="CD371" i="2"/>
  <c r="CD372" i="2"/>
  <c r="CD373" i="2"/>
  <c r="CD374" i="2"/>
  <c r="CD375" i="2"/>
  <c r="CD376" i="2"/>
  <c r="CD377" i="2"/>
  <c r="CD378" i="2"/>
  <c r="CD379" i="2"/>
  <c r="CD380" i="2"/>
  <c r="CD381" i="2"/>
  <c r="CD382" i="2"/>
  <c r="CD383" i="2"/>
  <c r="CD384" i="2"/>
  <c r="CD385" i="2"/>
  <c r="CD386" i="2"/>
  <c r="CD387" i="2"/>
  <c r="CD388" i="2"/>
  <c r="CD389" i="2"/>
  <c r="CD390" i="2"/>
  <c r="CD391" i="2"/>
  <c r="CD392" i="2"/>
  <c r="CD393" i="2"/>
  <c r="CD394" i="2"/>
  <c r="CD395" i="2"/>
  <c r="CD396" i="2"/>
  <c r="CD397" i="2"/>
  <c r="CD398" i="2"/>
  <c r="CD399" i="2"/>
  <c r="CD400" i="2"/>
  <c r="CD401" i="2"/>
  <c r="CD402" i="2"/>
  <c r="CD403" i="2"/>
  <c r="CD404" i="2"/>
  <c r="CD405" i="2"/>
  <c r="CD406" i="2"/>
  <c r="CD407" i="2"/>
  <c r="CD408" i="2"/>
  <c r="CD409" i="2"/>
  <c r="CD410" i="2"/>
  <c r="CD411" i="2"/>
  <c r="CD412" i="2"/>
  <c r="CD413" i="2"/>
  <c r="CD414" i="2"/>
  <c r="CD415" i="2"/>
  <c r="CD416" i="2"/>
  <c r="CD417" i="2"/>
  <c r="CD418" i="2"/>
  <c r="CD419" i="2"/>
  <c r="CD420" i="2"/>
  <c r="CD421" i="2"/>
  <c r="CD422" i="2"/>
  <c r="CD423" i="2"/>
  <c r="CD424" i="2"/>
  <c r="CD425" i="2"/>
  <c r="CD426" i="2"/>
  <c r="CD427" i="2"/>
  <c r="CD428" i="2"/>
  <c r="CD429" i="2"/>
  <c r="CD430" i="2"/>
  <c r="CD431" i="2"/>
  <c r="CD432" i="2"/>
  <c r="CD433" i="2"/>
  <c r="CD434" i="2"/>
  <c r="CD435" i="2"/>
  <c r="CD436" i="2"/>
  <c r="CD437" i="2"/>
  <c r="CD438" i="2"/>
  <c r="CD439" i="2"/>
  <c r="CD440" i="2"/>
  <c r="CD441" i="2"/>
  <c r="CD442" i="2"/>
  <c r="CD443" i="2"/>
  <c r="CD444" i="2"/>
  <c r="CD445" i="2"/>
  <c r="CD446" i="2"/>
  <c r="CD447" i="2"/>
  <c r="CD448" i="2"/>
  <c r="CD449" i="2"/>
  <c r="CD450" i="2"/>
  <c r="CD451" i="2"/>
  <c r="CD452" i="2"/>
  <c r="CD453" i="2"/>
  <c r="CD454" i="2"/>
  <c r="CD455" i="2"/>
  <c r="CD456" i="2"/>
  <c r="CD457" i="2"/>
  <c r="CD458" i="2"/>
  <c r="CD459" i="2"/>
  <c r="CD460" i="2"/>
  <c r="CD461" i="2"/>
  <c r="CD462" i="2"/>
  <c r="CD463" i="2"/>
  <c r="CD464" i="2"/>
  <c r="CD465" i="2"/>
  <c r="CD466" i="2"/>
  <c r="CD467" i="2"/>
  <c r="CD468" i="2"/>
  <c r="CD469" i="2"/>
  <c r="CD470" i="2"/>
  <c r="CD471" i="2"/>
  <c r="CD472" i="2"/>
  <c r="CD473" i="2"/>
  <c r="CD474" i="2"/>
  <c r="CD475" i="2"/>
  <c r="CD476" i="2"/>
  <c r="CD477" i="2"/>
  <c r="CD478" i="2"/>
  <c r="CD479" i="2"/>
  <c r="CD480" i="2"/>
  <c r="CD481" i="2"/>
  <c r="CD482" i="2"/>
  <c r="CD483" i="2"/>
  <c r="CD484" i="2"/>
  <c r="CD485" i="2"/>
  <c r="CD486" i="2"/>
  <c r="CD487" i="2"/>
  <c r="CD488" i="2"/>
  <c r="CD489" i="2"/>
  <c r="CD490" i="2"/>
  <c r="CD491" i="2"/>
  <c r="CD492" i="2"/>
  <c r="CD493" i="2"/>
  <c r="CD494" i="2"/>
  <c r="CD495" i="2"/>
  <c r="CD496" i="2"/>
  <c r="CD497" i="2"/>
  <c r="CD498" i="2"/>
  <c r="CD499" i="2"/>
  <c r="CD500" i="2"/>
  <c r="CD501" i="2"/>
  <c r="CD502" i="2"/>
  <c r="CD503" i="2"/>
  <c r="CD504" i="2"/>
  <c r="CD505" i="2"/>
  <c r="CD506" i="2"/>
  <c r="CD507" i="2"/>
  <c r="CD508" i="2"/>
  <c r="CD509" i="2"/>
  <c r="CD510" i="2"/>
  <c r="CD511" i="2"/>
  <c r="CD512" i="2"/>
  <c r="CD513" i="2"/>
  <c r="CD514" i="2"/>
  <c r="CD515" i="2"/>
  <c r="CD516" i="2"/>
  <c r="CD517" i="2"/>
  <c r="CD518" i="2"/>
  <c r="CD519" i="2"/>
  <c r="CD520" i="2"/>
  <c r="CD521" i="2"/>
  <c r="CD522" i="2"/>
  <c r="CD523" i="2"/>
  <c r="CD524" i="2"/>
  <c r="CD525" i="2"/>
  <c r="CD526" i="2"/>
  <c r="CD527" i="2"/>
  <c r="CD528" i="2"/>
  <c r="CD529" i="2"/>
  <c r="CD530" i="2"/>
  <c r="CD531" i="2"/>
  <c r="CD532" i="2"/>
  <c r="CD533" i="2"/>
  <c r="CD534" i="2"/>
  <c r="CD535" i="2"/>
  <c r="CD536" i="2"/>
  <c r="CD537" i="2"/>
  <c r="CD538" i="2"/>
  <c r="CD539" i="2"/>
  <c r="CD540" i="2"/>
  <c r="CD541" i="2"/>
  <c r="CD542" i="2"/>
  <c r="CD543" i="2"/>
  <c r="CD544" i="2"/>
  <c r="CD545" i="2"/>
  <c r="CD546" i="2"/>
  <c r="CD547" i="2"/>
  <c r="CD548" i="2"/>
  <c r="CD549" i="2"/>
  <c r="CD550" i="2"/>
  <c r="CD551" i="2"/>
  <c r="CD552" i="2"/>
  <c r="CD553" i="2"/>
  <c r="CD554" i="2"/>
  <c r="CD555" i="2"/>
  <c r="CD556" i="2"/>
  <c r="CD557" i="2"/>
  <c r="CD558" i="2"/>
  <c r="CD559" i="2"/>
  <c r="CD560" i="2"/>
  <c r="CD561" i="2"/>
  <c r="CD562" i="2"/>
  <c r="CD563" i="2"/>
  <c r="CD564" i="2"/>
  <c r="CD565" i="2"/>
  <c r="CD566" i="2"/>
  <c r="CD567" i="2"/>
  <c r="CD568" i="2"/>
  <c r="CD569" i="2"/>
  <c r="CD570" i="2"/>
  <c r="CD571" i="2"/>
  <c r="CD572" i="2"/>
  <c r="CD573" i="2"/>
  <c r="CD574" i="2"/>
  <c r="CD575" i="2"/>
  <c r="CD576" i="2"/>
  <c r="CD577" i="2"/>
  <c r="CD578" i="2"/>
  <c r="CD579" i="2"/>
  <c r="CD580" i="2"/>
  <c r="CD581" i="2"/>
  <c r="CD582" i="2"/>
  <c r="CD583" i="2"/>
  <c r="CD584" i="2"/>
  <c r="CD585" i="2"/>
  <c r="CD586" i="2"/>
  <c r="CD587" i="2"/>
  <c r="CD588" i="2"/>
  <c r="CD589" i="2"/>
  <c r="CD590" i="2"/>
  <c r="CD591" i="2"/>
  <c r="CD592" i="2"/>
  <c r="CD593" i="2"/>
  <c r="CD594" i="2"/>
  <c r="CD595" i="2"/>
  <c r="CD596" i="2"/>
  <c r="CD597" i="2"/>
  <c r="CD598" i="2"/>
  <c r="CD599" i="2"/>
  <c r="CD600" i="2"/>
  <c r="CD601" i="2"/>
  <c r="CD602" i="2"/>
  <c r="CD603" i="2"/>
  <c r="CD604" i="2"/>
  <c r="CD605" i="2"/>
  <c r="CD606" i="2"/>
  <c r="CD607" i="2"/>
  <c r="CD608" i="2"/>
  <c r="CD609" i="2"/>
  <c r="CD610" i="2"/>
  <c r="CD611" i="2"/>
  <c r="CD612" i="2"/>
  <c r="CD613" i="2"/>
  <c r="CD614" i="2"/>
  <c r="CD615" i="2"/>
  <c r="CD616" i="2"/>
  <c r="CD617" i="2"/>
  <c r="CD618" i="2"/>
  <c r="CD619" i="2"/>
  <c r="CD620" i="2"/>
  <c r="CD621" i="2"/>
  <c r="CD622" i="2"/>
  <c r="CD623" i="2"/>
  <c r="CD624" i="2"/>
  <c r="CD625" i="2"/>
  <c r="CD626" i="2"/>
  <c r="CD627" i="2"/>
  <c r="CD628" i="2"/>
  <c r="CD629" i="2"/>
  <c r="CD630" i="2"/>
  <c r="CD631" i="2"/>
  <c r="CD632" i="2"/>
  <c r="CD633" i="2"/>
  <c r="CD634" i="2"/>
  <c r="CD635" i="2"/>
  <c r="CD636" i="2"/>
  <c r="CD637" i="2"/>
  <c r="CD638" i="2"/>
  <c r="CD639" i="2"/>
  <c r="CD640" i="2"/>
  <c r="CD641" i="2"/>
  <c r="CD642" i="2"/>
  <c r="CD643" i="2"/>
  <c r="CD644" i="2"/>
  <c r="CD645" i="2"/>
  <c r="CD646" i="2"/>
  <c r="CD647" i="2"/>
  <c r="CD648" i="2"/>
  <c r="CD649" i="2"/>
  <c r="CD650" i="2"/>
  <c r="CD651" i="2"/>
  <c r="CD652" i="2"/>
  <c r="CD653" i="2"/>
  <c r="CD654" i="2"/>
  <c r="CD655" i="2"/>
  <c r="CD656" i="2"/>
  <c r="CD657" i="2"/>
  <c r="CD658" i="2"/>
  <c r="CD659" i="2"/>
  <c r="CD660" i="2"/>
  <c r="CD661" i="2"/>
  <c r="CD662" i="2"/>
  <c r="CD663" i="2"/>
  <c r="CD664" i="2"/>
  <c r="CD665" i="2"/>
  <c r="CD666" i="2"/>
  <c r="CD667" i="2"/>
  <c r="CD668" i="2"/>
  <c r="CD669" i="2"/>
  <c r="CD670" i="2"/>
  <c r="CD671" i="2"/>
  <c r="CD672" i="2"/>
  <c r="CD673" i="2"/>
  <c r="CD674" i="2"/>
  <c r="CD675" i="2"/>
  <c r="CD676" i="2"/>
  <c r="CD677" i="2"/>
  <c r="CD678" i="2"/>
  <c r="CD679" i="2"/>
  <c r="CD680" i="2"/>
  <c r="CD681" i="2"/>
  <c r="CD682" i="2"/>
  <c r="CD683" i="2"/>
  <c r="CD684" i="2"/>
  <c r="CD685" i="2"/>
  <c r="CD686" i="2"/>
  <c r="CD687" i="2"/>
  <c r="CD688" i="2"/>
  <c r="CD689" i="2"/>
  <c r="CD690" i="2"/>
  <c r="CD691" i="2"/>
  <c r="CD692" i="2"/>
  <c r="CD693" i="2"/>
  <c r="CD694" i="2"/>
  <c r="CD695" i="2"/>
  <c r="CD696" i="2"/>
  <c r="CD697" i="2"/>
  <c r="CD698" i="2"/>
  <c r="CD699" i="2"/>
  <c r="CD700" i="2"/>
  <c r="CD701" i="2"/>
  <c r="CD702" i="2"/>
  <c r="CD703" i="2"/>
  <c r="CD704" i="2"/>
  <c r="CD705" i="2"/>
  <c r="CE2" i="2"/>
  <c r="CE3" i="2"/>
  <c r="CE4" i="2"/>
  <c r="CE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43" i="2"/>
  <c r="CE44" i="2"/>
  <c r="CE45" i="2"/>
  <c r="CE46" i="2"/>
  <c r="CE47" i="2"/>
  <c r="CE48" i="2"/>
  <c r="CE49" i="2"/>
  <c r="CE50" i="2"/>
  <c r="CE51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78" i="2"/>
  <c r="CE79" i="2"/>
  <c r="CE80" i="2"/>
  <c r="CE81" i="2"/>
  <c r="CE82" i="2"/>
  <c r="CE83" i="2"/>
  <c r="CE84" i="2"/>
  <c r="CE85" i="2"/>
  <c r="CE86" i="2"/>
  <c r="CE87" i="2"/>
  <c r="CE88" i="2"/>
  <c r="CE89" i="2"/>
  <c r="CE90" i="2"/>
  <c r="CE91" i="2"/>
  <c r="CE92" i="2"/>
  <c r="CE93" i="2"/>
  <c r="CE94" i="2"/>
  <c r="CE95" i="2"/>
  <c r="CE96" i="2"/>
  <c r="CE97" i="2"/>
  <c r="CE98" i="2"/>
  <c r="CE99" i="2"/>
  <c r="CE100" i="2"/>
  <c r="CE101" i="2"/>
  <c r="CE102" i="2"/>
  <c r="CE103" i="2"/>
  <c r="CE104" i="2"/>
  <c r="CE105" i="2"/>
  <c r="CE106" i="2"/>
  <c r="CE107" i="2"/>
  <c r="CE108" i="2"/>
  <c r="CE109" i="2"/>
  <c r="CE110" i="2"/>
  <c r="CE111" i="2"/>
  <c r="CE112" i="2"/>
  <c r="CE113" i="2"/>
  <c r="CE114" i="2"/>
  <c r="CE115" i="2"/>
  <c r="CE116" i="2"/>
  <c r="CE117" i="2"/>
  <c r="CE118" i="2"/>
  <c r="CE119" i="2"/>
  <c r="CE120" i="2"/>
  <c r="CE121" i="2"/>
  <c r="CE122" i="2"/>
  <c r="CE123" i="2"/>
  <c r="CE124" i="2"/>
  <c r="CE125" i="2"/>
  <c r="CE126" i="2"/>
  <c r="CE127" i="2"/>
  <c r="CE128" i="2"/>
  <c r="CE129" i="2"/>
  <c r="CE130" i="2"/>
  <c r="CE131" i="2"/>
  <c r="CE132" i="2"/>
  <c r="CE133" i="2"/>
  <c r="CE134" i="2"/>
  <c r="CE135" i="2"/>
  <c r="CE136" i="2"/>
  <c r="CE137" i="2"/>
  <c r="CE138" i="2"/>
  <c r="CE139" i="2"/>
  <c r="CE140" i="2"/>
  <c r="CE141" i="2"/>
  <c r="CE142" i="2"/>
  <c r="CE143" i="2"/>
  <c r="CE144" i="2"/>
  <c r="CE145" i="2"/>
  <c r="CE146" i="2"/>
  <c r="CE147" i="2"/>
  <c r="CE148" i="2"/>
  <c r="CE149" i="2"/>
  <c r="CE150" i="2"/>
  <c r="CE151" i="2"/>
  <c r="CE152" i="2"/>
  <c r="CE153" i="2"/>
  <c r="CE154" i="2"/>
  <c r="CE155" i="2"/>
  <c r="CE156" i="2"/>
  <c r="CE157" i="2"/>
  <c r="CE158" i="2"/>
  <c r="CE159" i="2"/>
  <c r="CE160" i="2"/>
  <c r="CE161" i="2"/>
  <c r="CE162" i="2"/>
  <c r="CE163" i="2"/>
  <c r="CE164" i="2"/>
  <c r="CE165" i="2"/>
  <c r="CE166" i="2"/>
  <c r="CE167" i="2"/>
  <c r="CE168" i="2"/>
  <c r="CE169" i="2"/>
  <c r="CE170" i="2"/>
  <c r="CE171" i="2"/>
  <c r="CE172" i="2"/>
  <c r="CE173" i="2"/>
  <c r="CE174" i="2"/>
  <c r="CE175" i="2"/>
  <c r="CE176" i="2"/>
  <c r="CE177" i="2"/>
  <c r="CE178" i="2"/>
  <c r="CE179" i="2"/>
  <c r="CE180" i="2"/>
  <c r="CE181" i="2"/>
  <c r="CE182" i="2"/>
  <c r="CE183" i="2"/>
  <c r="CE184" i="2"/>
  <c r="CE185" i="2"/>
  <c r="CE186" i="2"/>
  <c r="CE187" i="2"/>
  <c r="CE188" i="2"/>
  <c r="CE189" i="2"/>
  <c r="CE190" i="2"/>
  <c r="CE191" i="2"/>
  <c r="CE192" i="2"/>
  <c r="CE193" i="2"/>
  <c r="CE194" i="2"/>
  <c r="CE195" i="2"/>
  <c r="CE196" i="2"/>
  <c r="CE197" i="2"/>
  <c r="CE198" i="2"/>
  <c r="CE199" i="2"/>
  <c r="CE200" i="2"/>
  <c r="CE201" i="2"/>
  <c r="CE202" i="2"/>
  <c r="CE203" i="2"/>
  <c r="CE204" i="2"/>
  <c r="CE205" i="2"/>
  <c r="CE206" i="2"/>
  <c r="CE207" i="2"/>
  <c r="CE208" i="2"/>
  <c r="CE209" i="2"/>
  <c r="CE210" i="2"/>
  <c r="CE211" i="2"/>
  <c r="CE212" i="2"/>
  <c r="CE213" i="2"/>
  <c r="CE214" i="2"/>
  <c r="CE215" i="2"/>
  <c r="CE216" i="2"/>
  <c r="CE217" i="2"/>
  <c r="CE218" i="2"/>
  <c r="CE219" i="2"/>
  <c r="CE220" i="2"/>
  <c r="CE221" i="2"/>
  <c r="CE222" i="2"/>
  <c r="CE223" i="2"/>
  <c r="CE224" i="2"/>
  <c r="CE225" i="2"/>
  <c r="CE226" i="2"/>
  <c r="CE227" i="2"/>
  <c r="CE228" i="2"/>
  <c r="CE229" i="2"/>
  <c r="CE230" i="2"/>
  <c r="CE231" i="2"/>
  <c r="CE232" i="2"/>
  <c r="CE233" i="2"/>
  <c r="CE234" i="2"/>
  <c r="CE235" i="2"/>
  <c r="CE236" i="2"/>
  <c r="CE237" i="2"/>
  <c r="CE238" i="2"/>
  <c r="CE239" i="2"/>
  <c r="CE240" i="2"/>
  <c r="CE241" i="2"/>
  <c r="CE242" i="2"/>
  <c r="CE243" i="2"/>
  <c r="CE244" i="2"/>
  <c r="CE245" i="2"/>
  <c r="CE246" i="2"/>
  <c r="CE247" i="2"/>
  <c r="CE248" i="2"/>
  <c r="CE249" i="2"/>
  <c r="CE250" i="2"/>
  <c r="CE251" i="2"/>
  <c r="CE252" i="2"/>
  <c r="CE253" i="2"/>
  <c r="CE254" i="2"/>
  <c r="CE255" i="2"/>
  <c r="CE256" i="2"/>
  <c r="CE257" i="2"/>
  <c r="CE258" i="2"/>
  <c r="CE259" i="2"/>
  <c r="CE260" i="2"/>
  <c r="CE261" i="2"/>
  <c r="CE262" i="2"/>
  <c r="CE263" i="2"/>
  <c r="CE264" i="2"/>
  <c r="CE265" i="2"/>
  <c r="CE266" i="2"/>
  <c r="CE267" i="2"/>
  <c r="CE268" i="2"/>
  <c r="CE269" i="2"/>
  <c r="CE270" i="2"/>
  <c r="CE271" i="2"/>
  <c r="CE272" i="2"/>
  <c r="CE273" i="2"/>
  <c r="CE274" i="2"/>
  <c r="CE275" i="2"/>
  <c r="CE276" i="2"/>
  <c r="CE277" i="2"/>
  <c r="CE278" i="2"/>
  <c r="CE279" i="2"/>
  <c r="CE280" i="2"/>
  <c r="CE281" i="2"/>
  <c r="CE282" i="2"/>
  <c r="CE283" i="2"/>
  <c r="CE284" i="2"/>
  <c r="CE285" i="2"/>
  <c r="CE286" i="2"/>
  <c r="CE287" i="2"/>
  <c r="CE288" i="2"/>
  <c r="CE289" i="2"/>
  <c r="CE290" i="2"/>
  <c r="CE291" i="2"/>
  <c r="CE292" i="2"/>
  <c r="CE293" i="2"/>
  <c r="CE294" i="2"/>
  <c r="CE295" i="2"/>
  <c r="CE296" i="2"/>
  <c r="CE297" i="2"/>
  <c r="CE298" i="2"/>
  <c r="CE299" i="2"/>
  <c r="CE300" i="2"/>
  <c r="CE301" i="2"/>
  <c r="CE302" i="2"/>
  <c r="CE303" i="2"/>
  <c r="CE304" i="2"/>
  <c r="CE305" i="2"/>
  <c r="CE306" i="2"/>
  <c r="CE307" i="2"/>
  <c r="CE308" i="2"/>
  <c r="CE309" i="2"/>
  <c r="CE310" i="2"/>
  <c r="CE311" i="2"/>
  <c r="CE312" i="2"/>
  <c r="CE313" i="2"/>
  <c r="CE314" i="2"/>
  <c r="CE315" i="2"/>
  <c r="CE316" i="2"/>
  <c r="CE317" i="2"/>
  <c r="CE318" i="2"/>
  <c r="CE319" i="2"/>
  <c r="CE320" i="2"/>
  <c r="CE321" i="2"/>
  <c r="CE322" i="2"/>
  <c r="CE323" i="2"/>
  <c r="CE324" i="2"/>
  <c r="CE325" i="2"/>
  <c r="CE326" i="2"/>
  <c r="CE327" i="2"/>
  <c r="CE328" i="2"/>
  <c r="CE329" i="2"/>
  <c r="CE330" i="2"/>
  <c r="CE331" i="2"/>
  <c r="CE332" i="2"/>
  <c r="CE333" i="2"/>
  <c r="CE334" i="2"/>
  <c r="CE335" i="2"/>
  <c r="CE336" i="2"/>
  <c r="CE337" i="2"/>
  <c r="CE338" i="2"/>
  <c r="CE339" i="2"/>
  <c r="CE340" i="2"/>
  <c r="CE341" i="2"/>
  <c r="CE342" i="2"/>
  <c r="CE343" i="2"/>
  <c r="CE344" i="2"/>
  <c r="CE345" i="2"/>
  <c r="CE346" i="2"/>
  <c r="CE347" i="2"/>
  <c r="CE348" i="2"/>
  <c r="CE349" i="2"/>
  <c r="CE350" i="2"/>
  <c r="CE351" i="2"/>
  <c r="CE352" i="2"/>
  <c r="CE353" i="2"/>
  <c r="CE354" i="2"/>
  <c r="CE355" i="2"/>
  <c r="CE356" i="2"/>
  <c r="CE357" i="2"/>
  <c r="CE358" i="2"/>
  <c r="CE359" i="2"/>
  <c r="CE360" i="2"/>
  <c r="CE361" i="2"/>
  <c r="CE362" i="2"/>
  <c r="CE363" i="2"/>
  <c r="CE364" i="2"/>
  <c r="CE365" i="2"/>
  <c r="CE366" i="2"/>
  <c r="CE367" i="2"/>
  <c r="CE368" i="2"/>
  <c r="CE369" i="2"/>
  <c r="CE370" i="2"/>
  <c r="CE371" i="2"/>
  <c r="CE372" i="2"/>
  <c r="CE373" i="2"/>
  <c r="CE374" i="2"/>
  <c r="CE375" i="2"/>
  <c r="CE376" i="2"/>
  <c r="CE377" i="2"/>
  <c r="CE378" i="2"/>
  <c r="CE379" i="2"/>
  <c r="CE380" i="2"/>
  <c r="CE381" i="2"/>
  <c r="CE382" i="2"/>
  <c r="CE383" i="2"/>
  <c r="CE384" i="2"/>
  <c r="CE385" i="2"/>
  <c r="CE386" i="2"/>
  <c r="CE387" i="2"/>
  <c r="CE388" i="2"/>
  <c r="CE389" i="2"/>
  <c r="CE390" i="2"/>
  <c r="CE391" i="2"/>
  <c r="CE392" i="2"/>
  <c r="CE393" i="2"/>
  <c r="CE394" i="2"/>
  <c r="CE395" i="2"/>
  <c r="CE396" i="2"/>
  <c r="CE397" i="2"/>
  <c r="CE398" i="2"/>
  <c r="CE399" i="2"/>
  <c r="CE400" i="2"/>
  <c r="CE401" i="2"/>
  <c r="CE402" i="2"/>
  <c r="CE403" i="2"/>
  <c r="CE404" i="2"/>
  <c r="CE405" i="2"/>
  <c r="CE406" i="2"/>
  <c r="CE407" i="2"/>
  <c r="CE408" i="2"/>
  <c r="CE409" i="2"/>
  <c r="CE410" i="2"/>
  <c r="CE411" i="2"/>
  <c r="CE412" i="2"/>
  <c r="CE413" i="2"/>
  <c r="CE414" i="2"/>
  <c r="CE415" i="2"/>
  <c r="CE416" i="2"/>
  <c r="CE417" i="2"/>
  <c r="CE418" i="2"/>
  <c r="CE419" i="2"/>
  <c r="CE420" i="2"/>
  <c r="CE421" i="2"/>
  <c r="CE422" i="2"/>
  <c r="CE423" i="2"/>
  <c r="CE424" i="2"/>
  <c r="CE425" i="2"/>
  <c r="CE426" i="2"/>
  <c r="CE427" i="2"/>
  <c r="CE428" i="2"/>
  <c r="CE429" i="2"/>
  <c r="CE430" i="2"/>
  <c r="CE431" i="2"/>
  <c r="CE432" i="2"/>
  <c r="CE433" i="2"/>
  <c r="CE434" i="2"/>
  <c r="CE435" i="2"/>
  <c r="CE436" i="2"/>
  <c r="CE437" i="2"/>
  <c r="CE438" i="2"/>
  <c r="CE439" i="2"/>
  <c r="CE440" i="2"/>
  <c r="CE441" i="2"/>
  <c r="CE442" i="2"/>
  <c r="CE443" i="2"/>
  <c r="CE444" i="2"/>
  <c r="CE445" i="2"/>
  <c r="CE446" i="2"/>
  <c r="CE447" i="2"/>
  <c r="CE448" i="2"/>
  <c r="CE449" i="2"/>
  <c r="CE450" i="2"/>
  <c r="CE451" i="2"/>
  <c r="CE452" i="2"/>
  <c r="CE453" i="2"/>
  <c r="CE454" i="2"/>
  <c r="CE455" i="2"/>
  <c r="CE456" i="2"/>
  <c r="CE457" i="2"/>
  <c r="CE458" i="2"/>
  <c r="CE459" i="2"/>
  <c r="CE460" i="2"/>
  <c r="CE461" i="2"/>
  <c r="CE462" i="2"/>
  <c r="CE463" i="2"/>
  <c r="CE464" i="2"/>
  <c r="CE465" i="2"/>
  <c r="CE466" i="2"/>
  <c r="CE467" i="2"/>
  <c r="CE468" i="2"/>
  <c r="CE469" i="2"/>
  <c r="CE470" i="2"/>
  <c r="CE471" i="2"/>
  <c r="CE472" i="2"/>
  <c r="CE473" i="2"/>
  <c r="CE474" i="2"/>
  <c r="CE475" i="2"/>
  <c r="CE476" i="2"/>
  <c r="CE477" i="2"/>
  <c r="CE478" i="2"/>
  <c r="CE479" i="2"/>
  <c r="CE480" i="2"/>
  <c r="CE481" i="2"/>
  <c r="CE482" i="2"/>
  <c r="CE483" i="2"/>
  <c r="CE484" i="2"/>
  <c r="CE485" i="2"/>
  <c r="CE486" i="2"/>
  <c r="CE487" i="2"/>
  <c r="CE488" i="2"/>
  <c r="CE489" i="2"/>
  <c r="CE490" i="2"/>
  <c r="CE491" i="2"/>
  <c r="CE492" i="2"/>
  <c r="CE493" i="2"/>
  <c r="CE494" i="2"/>
  <c r="CE495" i="2"/>
  <c r="CE496" i="2"/>
  <c r="CE497" i="2"/>
  <c r="CE498" i="2"/>
  <c r="CE499" i="2"/>
  <c r="CE500" i="2"/>
  <c r="CE501" i="2"/>
  <c r="CE502" i="2"/>
  <c r="CE503" i="2"/>
  <c r="CE504" i="2"/>
  <c r="CE505" i="2"/>
  <c r="CE506" i="2"/>
  <c r="CE507" i="2"/>
  <c r="CE508" i="2"/>
  <c r="CE509" i="2"/>
  <c r="CE510" i="2"/>
  <c r="CE511" i="2"/>
  <c r="CE512" i="2"/>
  <c r="CE513" i="2"/>
  <c r="CE514" i="2"/>
  <c r="CE515" i="2"/>
  <c r="CE516" i="2"/>
  <c r="CE517" i="2"/>
  <c r="CE518" i="2"/>
  <c r="CE519" i="2"/>
  <c r="CE520" i="2"/>
  <c r="CE521" i="2"/>
  <c r="CE522" i="2"/>
  <c r="CE523" i="2"/>
  <c r="CE524" i="2"/>
  <c r="CE525" i="2"/>
  <c r="CE526" i="2"/>
  <c r="CE527" i="2"/>
  <c r="CE528" i="2"/>
  <c r="CE529" i="2"/>
  <c r="CE530" i="2"/>
  <c r="CE531" i="2"/>
  <c r="CE532" i="2"/>
  <c r="CE533" i="2"/>
  <c r="CE534" i="2"/>
  <c r="CE535" i="2"/>
  <c r="CE536" i="2"/>
  <c r="CE537" i="2"/>
  <c r="CE538" i="2"/>
  <c r="CE539" i="2"/>
  <c r="CE540" i="2"/>
  <c r="CE541" i="2"/>
  <c r="CE542" i="2"/>
  <c r="CE543" i="2"/>
  <c r="CE544" i="2"/>
  <c r="CE545" i="2"/>
  <c r="CE546" i="2"/>
  <c r="CE547" i="2"/>
  <c r="CE548" i="2"/>
  <c r="CE549" i="2"/>
  <c r="CE550" i="2"/>
  <c r="CE551" i="2"/>
  <c r="CE552" i="2"/>
  <c r="CE553" i="2"/>
  <c r="CE554" i="2"/>
  <c r="CE555" i="2"/>
  <c r="CE556" i="2"/>
  <c r="CE557" i="2"/>
  <c r="CE558" i="2"/>
  <c r="CE559" i="2"/>
  <c r="CE560" i="2"/>
  <c r="CE561" i="2"/>
  <c r="CE562" i="2"/>
  <c r="CE563" i="2"/>
  <c r="CE564" i="2"/>
  <c r="CE565" i="2"/>
  <c r="CE566" i="2"/>
  <c r="CE567" i="2"/>
  <c r="CE568" i="2"/>
  <c r="CE569" i="2"/>
  <c r="CE570" i="2"/>
  <c r="CE571" i="2"/>
  <c r="CE572" i="2"/>
  <c r="CE573" i="2"/>
  <c r="CE574" i="2"/>
  <c r="CE575" i="2"/>
  <c r="CE576" i="2"/>
  <c r="CE577" i="2"/>
  <c r="CE578" i="2"/>
  <c r="CE579" i="2"/>
  <c r="CE580" i="2"/>
  <c r="CE581" i="2"/>
  <c r="CE582" i="2"/>
  <c r="CE583" i="2"/>
  <c r="CE584" i="2"/>
  <c r="CE585" i="2"/>
  <c r="CE586" i="2"/>
  <c r="CE587" i="2"/>
  <c r="CE588" i="2"/>
  <c r="CE589" i="2"/>
  <c r="CE590" i="2"/>
  <c r="CE591" i="2"/>
  <c r="CE592" i="2"/>
  <c r="CE593" i="2"/>
  <c r="CE594" i="2"/>
  <c r="CE595" i="2"/>
  <c r="CE596" i="2"/>
  <c r="CE597" i="2"/>
  <c r="CE598" i="2"/>
  <c r="CE599" i="2"/>
  <c r="CE600" i="2"/>
  <c r="CE601" i="2"/>
  <c r="CE602" i="2"/>
  <c r="CE603" i="2"/>
  <c r="CE604" i="2"/>
  <c r="CE605" i="2"/>
  <c r="CE606" i="2"/>
  <c r="CE607" i="2"/>
  <c r="CE608" i="2"/>
  <c r="CE609" i="2"/>
  <c r="CE610" i="2"/>
  <c r="CE611" i="2"/>
  <c r="CE612" i="2"/>
  <c r="CE613" i="2"/>
  <c r="CE614" i="2"/>
  <c r="CE615" i="2"/>
  <c r="CE616" i="2"/>
  <c r="CE617" i="2"/>
  <c r="CE618" i="2"/>
  <c r="CE619" i="2"/>
  <c r="CE620" i="2"/>
  <c r="CE621" i="2"/>
  <c r="CE622" i="2"/>
  <c r="CE623" i="2"/>
  <c r="CE624" i="2"/>
  <c r="CE625" i="2"/>
  <c r="CE626" i="2"/>
  <c r="CE627" i="2"/>
  <c r="CE628" i="2"/>
  <c r="CE629" i="2"/>
  <c r="CE630" i="2"/>
  <c r="CE631" i="2"/>
  <c r="CE632" i="2"/>
  <c r="CE633" i="2"/>
  <c r="CE634" i="2"/>
  <c r="CE635" i="2"/>
  <c r="CE636" i="2"/>
  <c r="CE637" i="2"/>
  <c r="CE638" i="2"/>
  <c r="CE639" i="2"/>
  <c r="CE640" i="2"/>
  <c r="CE641" i="2"/>
  <c r="CE642" i="2"/>
  <c r="CE643" i="2"/>
  <c r="CE644" i="2"/>
  <c r="CE645" i="2"/>
  <c r="CE646" i="2"/>
  <c r="CE647" i="2"/>
  <c r="CE648" i="2"/>
  <c r="CE649" i="2"/>
  <c r="CE650" i="2"/>
  <c r="CE651" i="2"/>
  <c r="CE652" i="2"/>
  <c r="CE653" i="2"/>
  <c r="CE654" i="2"/>
  <c r="CE655" i="2"/>
  <c r="CE656" i="2"/>
  <c r="CE657" i="2"/>
  <c r="CE658" i="2"/>
  <c r="CE659" i="2"/>
  <c r="CE660" i="2"/>
  <c r="CE661" i="2"/>
  <c r="CE662" i="2"/>
  <c r="CE663" i="2"/>
  <c r="CE664" i="2"/>
  <c r="CE665" i="2"/>
  <c r="CE666" i="2"/>
  <c r="CE667" i="2"/>
  <c r="CE668" i="2"/>
  <c r="CE669" i="2"/>
  <c r="CE670" i="2"/>
  <c r="CE671" i="2"/>
  <c r="CE672" i="2"/>
  <c r="CE673" i="2"/>
  <c r="CE674" i="2"/>
  <c r="CE675" i="2"/>
  <c r="CE676" i="2"/>
  <c r="CE677" i="2"/>
  <c r="CE678" i="2"/>
  <c r="CE679" i="2"/>
  <c r="CE680" i="2"/>
  <c r="CE681" i="2"/>
  <c r="CE682" i="2"/>
  <c r="CE683" i="2"/>
  <c r="CE684" i="2"/>
  <c r="CE685" i="2"/>
  <c r="CE686" i="2"/>
  <c r="CE687" i="2"/>
  <c r="CE688" i="2"/>
  <c r="CE689" i="2"/>
  <c r="CE690" i="2"/>
  <c r="CE691" i="2"/>
  <c r="CE692" i="2"/>
  <c r="CE693" i="2"/>
  <c r="CE694" i="2"/>
  <c r="CE695" i="2"/>
  <c r="CE696" i="2"/>
  <c r="CE697" i="2"/>
  <c r="CE698" i="2"/>
  <c r="CE699" i="2"/>
  <c r="CE700" i="2"/>
  <c r="CE701" i="2"/>
  <c r="CE702" i="2"/>
  <c r="CE703" i="2"/>
  <c r="CE704" i="2"/>
  <c r="CE705" i="2"/>
  <c r="CF2" i="2"/>
  <c r="CF3" i="2"/>
  <c r="CF4" i="2"/>
  <c r="CF5" i="2"/>
  <c r="CF6" i="2"/>
  <c r="CF7" i="2"/>
  <c r="CF8" i="2"/>
  <c r="CF9" i="2"/>
  <c r="CF10" i="2"/>
  <c r="CF11" i="2"/>
  <c r="CF12" i="2"/>
  <c r="CF13" i="2"/>
  <c r="CF14" i="2"/>
  <c r="CF15" i="2"/>
  <c r="CF16" i="2"/>
  <c r="CF17" i="2"/>
  <c r="CF18" i="2"/>
  <c r="CF19" i="2"/>
  <c r="CF20" i="2"/>
  <c r="CF21" i="2"/>
  <c r="CF22" i="2"/>
  <c r="CF23" i="2"/>
  <c r="CF24" i="2"/>
  <c r="CF25" i="2"/>
  <c r="CF26" i="2"/>
  <c r="CF27" i="2"/>
  <c r="CF28" i="2"/>
  <c r="CF29" i="2"/>
  <c r="CF30" i="2"/>
  <c r="CF31" i="2"/>
  <c r="CF32" i="2"/>
  <c r="CF33" i="2"/>
  <c r="CF34" i="2"/>
  <c r="CF35" i="2"/>
  <c r="CF36" i="2"/>
  <c r="CF37" i="2"/>
  <c r="CF38" i="2"/>
  <c r="CF39" i="2"/>
  <c r="CF40" i="2"/>
  <c r="CF41" i="2"/>
  <c r="CF42" i="2"/>
  <c r="CF43" i="2"/>
  <c r="CF44" i="2"/>
  <c r="CF45" i="2"/>
  <c r="CF46" i="2"/>
  <c r="CF47" i="2"/>
  <c r="CF48" i="2"/>
  <c r="CF49" i="2"/>
  <c r="CF50" i="2"/>
  <c r="CF51" i="2"/>
  <c r="CF52" i="2"/>
  <c r="CF53" i="2"/>
  <c r="CF54" i="2"/>
  <c r="CF55" i="2"/>
  <c r="CF56" i="2"/>
  <c r="CF57" i="2"/>
  <c r="CF58" i="2"/>
  <c r="CF59" i="2"/>
  <c r="CF60" i="2"/>
  <c r="CF61" i="2"/>
  <c r="CF62" i="2"/>
  <c r="CF63" i="2"/>
  <c r="CF64" i="2"/>
  <c r="CF65" i="2"/>
  <c r="CF66" i="2"/>
  <c r="CF67" i="2"/>
  <c r="CF68" i="2"/>
  <c r="CF69" i="2"/>
  <c r="CF70" i="2"/>
  <c r="CF71" i="2"/>
  <c r="CF72" i="2"/>
  <c r="CF73" i="2"/>
  <c r="CF74" i="2"/>
  <c r="CF75" i="2"/>
  <c r="CF76" i="2"/>
  <c r="CF77" i="2"/>
  <c r="CF78" i="2"/>
  <c r="CF79" i="2"/>
  <c r="CF80" i="2"/>
  <c r="CF81" i="2"/>
  <c r="CF82" i="2"/>
  <c r="CF83" i="2"/>
  <c r="CF84" i="2"/>
  <c r="CF85" i="2"/>
  <c r="CF86" i="2"/>
  <c r="CF87" i="2"/>
  <c r="CF88" i="2"/>
  <c r="CF89" i="2"/>
  <c r="CF90" i="2"/>
  <c r="CF91" i="2"/>
  <c r="CF92" i="2"/>
  <c r="CF93" i="2"/>
  <c r="CF94" i="2"/>
  <c r="CF95" i="2"/>
  <c r="CF96" i="2"/>
  <c r="CF97" i="2"/>
  <c r="CF98" i="2"/>
  <c r="CF99" i="2"/>
  <c r="CF100" i="2"/>
  <c r="CF101" i="2"/>
  <c r="CF102" i="2"/>
  <c r="CF103" i="2"/>
  <c r="CF104" i="2"/>
  <c r="CF105" i="2"/>
  <c r="CF106" i="2"/>
  <c r="CF107" i="2"/>
  <c r="CF108" i="2"/>
  <c r="CF109" i="2"/>
  <c r="CF110" i="2"/>
  <c r="CF111" i="2"/>
  <c r="CF112" i="2"/>
  <c r="CF113" i="2"/>
  <c r="CF114" i="2"/>
  <c r="CF115" i="2"/>
  <c r="CF116" i="2"/>
  <c r="CF117" i="2"/>
  <c r="CF118" i="2"/>
  <c r="CF119" i="2"/>
  <c r="CF120" i="2"/>
  <c r="CF121" i="2"/>
  <c r="CF122" i="2"/>
  <c r="CF123" i="2"/>
  <c r="CF124" i="2"/>
  <c r="CF125" i="2"/>
  <c r="CF126" i="2"/>
  <c r="CF127" i="2"/>
  <c r="CF128" i="2"/>
  <c r="CF129" i="2"/>
  <c r="CF130" i="2"/>
  <c r="CF131" i="2"/>
  <c r="CF132" i="2"/>
  <c r="CF133" i="2"/>
  <c r="CF134" i="2"/>
  <c r="CF135" i="2"/>
  <c r="CF136" i="2"/>
  <c r="CF137" i="2"/>
  <c r="CF138" i="2"/>
  <c r="CF139" i="2"/>
  <c r="CF140" i="2"/>
  <c r="CF141" i="2"/>
  <c r="CF142" i="2"/>
  <c r="CF143" i="2"/>
  <c r="CF144" i="2"/>
  <c r="CF145" i="2"/>
  <c r="CF146" i="2"/>
  <c r="CF147" i="2"/>
  <c r="CF148" i="2"/>
  <c r="CF149" i="2"/>
  <c r="CF150" i="2"/>
  <c r="CF151" i="2"/>
  <c r="CF152" i="2"/>
  <c r="CF153" i="2"/>
  <c r="CF154" i="2"/>
  <c r="CF155" i="2"/>
  <c r="CF156" i="2"/>
  <c r="CF157" i="2"/>
  <c r="CF158" i="2"/>
  <c r="CF159" i="2"/>
  <c r="CF160" i="2"/>
  <c r="CF161" i="2"/>
  <c r="CF162" i="2"/>
  <c r="CF163" i="2"/>
  <c r="CF164" i="2"/>
  <c r="CF165" i="2"/>
  <c r="CF166" i="2"/>
  <c r="CF167" i="2"/>
  <c r="CF168" i="2"/>
  <c r="CF169" i="2"/>
  <c r="CF170" i="2"/>
  <c r="CF171" i="2"/>
  <c r="CF172" i="2"/>
  <c r="CF173" i="2"/>
  <c r="CF174" i="2"/>
  <c r="CF175" i="2"/>
  <c r="CF176" i="2"/>
  <c r="CF177" i="2"/>
  <c r="CF178" i="2"/>
  <c r="CF179" i="2"/>
  <c r="CF180" i="2"/>
  <c r="CF181" i="2"/>
  <c r="CF182" i="2"/>
  <c r="CF183" i="2"/>
  <c r="CF184" i="2"/>
  <c r="CF185" i="2"/>
  <c r="CF186" i="2"/>
  <c r="CF187" i="2"/>
  <c r="CF188" i="2"/>
  <c r="CF189" i="2"/>
  <c r="CF190" i="2"/>
  <c r="CF191" i="2"/>
  <c r="CF192" i="2"/>
  <c r="CF193" i="2"/>
  <c r="CF194" i="2"/>
  <c r="CF195" i="2"/>
  <c r="CF196" i="2"/>
  <c r="CF197" i="2"/>
  <c r="CF198" i="2"/>
  <c r="CF199" i="2"/>
  <c r="CF200" i="2"/>
  <c r="CF201" i="2"/>
  <c r="CF202" i="2"/>
  <c r="CF203" i="2"/>
  <c r="CF204" i="2"/>
  <c r="CF205" i="2"/>
  <c r="CF206" i="2"/>
  <c r="CF207" i="2"/>
  <c r="CF208" i="2"/>
  <c r="CF209" i="2"/>
  <c r="CF210" i="2"/>
  <c r="CF211" i="2"/>
  <c r="CF212" i="2"/>
  <c r="CF213" i="2"/>
  <c r="CF214" i="2"/>
  <c r="CF215" i="2"/>
  <c r="CF216" i="2"/>
  <c r="CF217" i="2"/>
  <c r="CF218" i="2"/>
  <c r="CF219" i="2"/>
  <c r="CF220" i="2"/>
  <c r="CF221" i="2"/>
  <c r="CF222" i="2"/>
  <c r="CF223" i="2"/>
  <c r="CF224" i="2"/>
  <c r="CF225" i="2"/>
  <c r="CF226" i="2"/>
  <c r="CF227" i="2"/>
  <c r="CF228" i="2"/>
  <c r="CF229" i="2"/>
  <c r="CF230" i="2"/>
  <c r="CF231" i="2"/>
  <c r="CF232" i="2"/>
  <c r="CF233" i="2"/>
  <c r="CF234" i="2"/>
  <c r="CF235" i="2"/>
  <c r="CF236" i="2"/>
  <c r="CF237" i="2"/>
  <c r="CF238" i="2"/>
  <c r="CF239" i="2"/>
  <c r="CF240" i="2"/>
  <c r="CF241" i="2"/>
  <c r="CF242" i="2"/>
  <c r="CF243" i="2"/>
  <c r="CF244" i="2"/>
  <c r="CF245" i="2"/>
  <c r="CF246" i="2"/>
  <c r="CF247" i="2"/>
  <c r="CF248" i="2"/>
  <c r="CF249" i="2"/>
  <c r="CF250" i="2"/>
  <c r="CF251" i="2"/>
  <c r="CF252" i="2"/>
  <c r="CF253" i="2"/>
  <c r="CF254" i="2"/>
  <c r="CF255" i="2"/>
  <c r="CF256" i="2"/>
  <c r="CF257" i="2"/>
  <c r="CF258" i="2"/>
  <c r="CF259" i="2"/>
  <c r="CF260" i="2"/>
  <c r="CF261" i="2"/>
  <c r="CF262" i="2"/>
  <c r="CF263" i="2"/>
  <c r="CF264" i="2"/>
  <c r="CF265" i="2"/>
  <c r="CF266" i="2"/>
  <c r="CF267" i="2"/>
  <c r="CF268" i="2"/>
  <c r="CF269" i="2"/>
  <c r="CF270" i="2"/>
  <c r="CF271" i="2"/>
  <c r="CF272" i="2"/>
  <c r="CF273" i="2"/>
  <c r="CF274" i="2"/>
  <c r="CF275" i="2"/>
  <c r="CF276" i="2"/>
  <c r="CF277" i="2"/>
  <c r="CF278" i="2"/>
  <c r="CF279" i="2"/>
  <c r="CF280" i="2"/>
  <c r="CF281" i="2"/>
  <c r="CF282" i="2"/>
  <c r="CF283" i="2"/>
  <c r="CF284" i="2"/>
  <c r="CF285" i="2"/>
  <c r="CF286" i="2"/>
  <c r="CF287" i="2"/>
  <c r="CF288" i="2"/>
  <c r="CF289" i="2"/>
  <c r="CF290" i="2"/>
  <c r="CF291" i="2"/>
  <c r="CF292" i="2"/>
  <c r="CF293" i="2"/>
  <c r="CF294" i="2"/>
  <c r="CF295" i="2"/>
  <c r="CF296" i="2"/>
  <c r="CF297" i="2"/>
  <c r="CF298" i="2"/>
  <c r="CF299" i="2"/>
  <c r="CF300" i="2"/>
  <c r="CF301" i="2"/>
  <c r="CF302" i="2"/>
  <c r="CF303" i="2"/>
  <c r="CF304" i="2"/>
  <c r="CF305" i="2"/>
  <c r="CF306" i="2"/>
  <c r="CF307" i="2"/>
  <c r="CF308" i="2"/>
  <c r="CF309" i="2"/>
  <c r="CF310" i="2"/>
  <c r="CF311" i="2"/>
  <c r="CF312" i="2"/>
  <c r="CF313" i="2"/>
  <c r="CF314" i="2"/>
  <c r="CF315" i="2"/>
  <c r="CF316" i="2"/>
  <c r="CF317" i="2"/>
  <c r="CF318" i="2"/>
  <c r="CF319" i="2"/>
  <c r="CF320" i="2"/>
  <c r="CF321" i="2"/>
  <c r="CF322" i="2"/>
  <c r="CF323" i="2"/>
  <c r="CF324" i="2"/>
  <c r="CF325" i="2"/>
  <c r="CF326" i="2"/>
  <c r="CF327" i="2"/>
  <c r="CF328" i="2"/>
  <c r="CF329" i="2"/>
  <c r="CF330" i="2"/>
  <c r="CF331" i="2"/>
  <c r="CF332" i="2"/>
  <c r="CF333" i="2"/>
  <c r="CF334" i="2"/>
  <c r="CF335" i="2"/>
  <c r="CF336" i="2"/>
  <c r="CF337" i="2"/>
  <c r="CF338" i="2"/>
  <c r="CF339" i="2"/>
  <c r="CF340" i="2"/>
  <c r="CF341" i="2"/>
  <c r="CF342" i="2"/>
  <c r="CF343" i="2"/>
  <c r="CF344" i="2"/>
  <c r="CF345" i="2"/>
  <c r="CF346" i="2"/>
  <c r="CF347" i="2"/>
  <c r="CF348" i="2"/>
  <c r="CF349" i="2"/>
  <c r="CF350" i="2"/>
  <c r="CF351" i="2"/>
  <c r="CF352" i="2"/>
  <c r="CF353" i="2"/>
  <c r="CF354" i="2"/>
  <c r="CF355" i="2"/>
  <c r="CF356" i="2"/>
  <c r="CF357" i="2"/>
  <c r="CF358" i="2"/>
  <c r="CF359" i="2"/>
  <c r="CF360" i="2"/>
  <c r="CF361" i="2"/>
  <c r="CF362" i="2"/>
  <c r="CF363" i="2"/>
  <c r="CF364" i="2"/>
  <c r="CF365" i="2"/>
  <c r="CF366" i="2"/>
  <c r="CF367" i="2"/>
  <c r="CF368" i="2"/>
  <c r="CF369" i="2"/>
  <c r="CF370" i="2"/>
  <c r="CF371" i="2"/>
  <c r="CF372" i="2"/>
  <c r="CF373" i="2"/>
  <c r="CF374" i="2"/>
  <c r="CF375" i="2"/>
  <c r="CF376" i="2"/>
  <c r="CF377" i="2"/>
  <c r="CF378" i="2"/>
  <c r="CF379" i="2"/>
  <c r="CF380" i="2"/>
  <c r="CF381" i="2"/>
  <c r="CF382" i="2"/>
  <c r="CF383" i="2"/>
  <c r="CF384" i="2"/>
  <c r="CF385" i="2"/>
  <c r="CF386" i="2"/>
  <c r="CF387" i="2"/>
  <c r="CF388" i="2"/>
  <c r="CF389" i="2"/>
  <c r="CF390" i="2"/>
  <c r="CF391" i="2"/>
  <c r="CF392" i="2"/>
  <c r="CF393" i="2"/>
  <c r="CF394" i="2"/>
  <c r="CF395" i="2"/>
  <c r="CF396" i="2"/>
  <c r="CF397" i="2"/>
  <c r="CF398" i="2"/>
  <c r="CF399" i="2"/>
  <c r="CF400" i="2"/>
  <c r="CF401" i="2"/>
  <c r="CF402" i="2"/>
  <c r="CF403" i="2"/>
  <c r="CF404" i="2"/>
  <c r="CF405" i="2"/>
  <c r="CF406" i="2"/>
  <c r="CF407" i="2"/>
  <c r="CF408" i="2"/>
  <c r="CF409" i="2"/>
  <c r="CF410" i="2"/>
  <c r="CF411" i="2"/>
  <c r="CF412" i="2"/>
  <c r="CF413" i="2"/>
  <c r="CF414" i="2"/>
  <c r="CF415" i="2"/>
  <c r="CF416" i="2"/>
  <c r="CF417" i="2"/>
  <c r="CF418" i="2"/>
  <c r="CF419" i="2"/>
  <c r="CF420" i="2"/>
  <c r="CF421" i="2"/>
  <c r="CF422" i="2"/>
  <c r="CF423" i="2"/>
  <c r="CF424" i="2"/>
  <c r="CF425" i="2"/>
  <c r="CF426" i="2"/>
  <c r="CF427" i="2"/>
  <c r="CF428" i="2"/>
  <c r="CF429" i="2"/>
  <c r="CF430" i="2"/>
  <c r="CF431" i="2"/>
  <c r="CF432" i="2"/>
  <c r="CF433" i="2"/>
  <c r="CF434" i="2"/>
  <c r="CF435" i="2"/>
  <c r="CF436" i="2"/>
  <c r="CF437" i="2"/>
  <c r="CF438" i="2"/>
  <c r="CF439" i="2"/>
  <c r="CF440" i="2"/>
  <c r="CF441" i="2"/>
  <c r="CF442" i="2"/>
  <c r="CF443" i="2"/>
  <c r="CF444" i="2"/>
  <c r="CF445" i="2"/>
  <c r="CF446" i="2"/>
  <c r="CF447" i="2"/>
  <c r="CF448" i="2"/>
  <c r="CF449" i="2"/>
  <c r="CF450" i="2"/>
  <c r="CF451" i="2"/>
  <c r="CF452" i="2"/>
  <c r="CF453" i="2"/>
  <c r="CF454" i="2"/>
  <c r="CF455" i="2"/>
  <c r="CF456" i="2"/>
  <c r="CF457" i="2"/>
  <c r="CF458" i="2"/>
  <c r="CF459" i="2"/>
  <c r="CF460" i="2"/>
  <c r="CF461" i="2"/>
  <c r="CF462" i="2"/>
  <c r="CF463" i="2"/>
  <c r="CF464" i="2"/>
  <c r="CF465" i="2"/>
  <c r="CF466" i="2"/>
  <c r="CF467" i="2"/>
  <c r="CF468" i="2"/>
  <c r="CF469" i="2"/>
  <c r="CF470" i="2"/>
  <c r="CF471" i="2"/>
  <c r="CF472" i="2"/>
  <c r="CF473" i="2"/>
  <c r="CF474" i="2"/>
  <c r="CF475" i="2"/>
  <c r="CF476" i="2"/>
  <c r="CF477" i="2"/>
  <c r="CF478" i="2"/>
  <c r="CF479" i="2"/>
  <c r="CF480" i="2"/>
  <c r="CF481" i="2"/>
  <c r="CF482" i="2"/>
  <c r="CF483" i="2"/>
  <c r="CF484" i="2"/>
  <c r="CF485" i="2"/>
  <c r="CF486" i="2"/>
  <c r="CF487" i="2"/>
  <c r="CF488" i="2"/>
  <c r="CF489" i="2"/>
  <c r="CF490" i="2"/>
  <c r="CF491" i="2"/>
  <c r="CF492" i="2"/>
  <c r="CF493" i="2"/>
  <c r="CF494" i="2"/>
  <c r="CF495" i="2"/>
  <c r="CF496" i="2"/>
  <c r="CF497" i="2"/>
  <c r="CF498" i="2"/>
  <c r="CF499" i="2"/>
  <c r="CF500" i="2"/>
  <c r="CF501" i="2"/>
  <c r="CF502" i="2"/>
  <c r="CF503" i="2"/>
  <c r="CF504" i="2"/>
  <c r="CF505" i="2"/>
  <c r="CF506" i="2"/>
  <c r="CF507" i="2"/>
  <c r="CF508" i="2"/>
  <c r="CF509" i="2"/>
  <c r="CF510" i="2"/>
  <c r="CF511" i="2"/>
  <c r="CF512" i="2"/>
  <c r="CF513" i="2"/>
  <c r="CF514" i="2"/>
  <c r="CF515" i="2"/>
  <c r="CF516" i="2"/>
  <c r="CF517" i="2"/>
  <c r="CF518" i="2"/>
  <c r="CF519" i="2"/>
  <c r="CF520" i="2"/>
  <c r="CF521" i="2"/>
  <c r="CF522" i="2"/>
  <c r="CF523" i="2"/>
  <c r="CF524" i="2"/>
  <c r="CF525" i="2"/>
  <c r="CF526" i="2"/>
  <c r="CF527" i="2"/>
  <c r="CF528" i="2"/>
  <c r="CF529" i="2"/>
  <c r="CF530" i="2"/>
  <c r="CF531" i="2"/>
  <c r="CF532" i="2"/>
  <c r="CF533" i="2"/>
  <c r="CF534" i="2"/>
  <c r="CF535" i="2"/>
  <c r="CF536" i="2"/>
  <c r="CF537" i="2"/>
  <c r="CF538" i="2"/>
  <c r="CF539" i="2"/>
  <c r="CF540" i="2"/>
  <c r="CF541" i="2"/>
  <c r="CF542" i="2"/>
  <c r="CF543" i="2"/>
  <c r="CF544" i="2"/>
  <c r="CF545" i="2"/>
  <c r="CF546" i="2"/>
  <c r="CF547" i="2"/>
  <c r="CF548" i="2"/>
  <c r="CF549" i="2"/>
  <c r="CF550" i="2"/>
  <c r="CF551" i="2"/>
  <c r="CF552" i="2"/>
  <c r="CF553" i="2"/>
  <c r="CF554" i="2"/>
  <c r="CF555" i="2"/>
  <c r="CF556" i="2"/>
  <c r="CF557" i="2"/>
  <c r="CF558" i="2"/>
  <c r="CF559" i="2"/>
  <c r="CF560" i="2"/>
  <c r="CF561" i="2"/>
  <c r="CF562" i="2"/>
  <c r="CF563" i="2"/>
  <c r="CF564" i="2"/>
  <c r="CF565" i="2"/>
  <c r="CF566" i="2"/>
  <c r="CF567" i="2"/>
  <c r="CF568" i="2"/>
  <c r="CF569" i="2"/>
  <c r="CF570" i="2"/>
  <c r="CF571" i="2"/>
  <c r="CF572" i="2"/>
  <c r="CF573" i="2"/>
  <c r="CF574" i="2"/>
  <c r="CF575" i="2"/>
  <c r="CF576" i="2"/>
  <c r="CF577" i="2"/>
  <c r="CF578" i="2"/>
  <c r="CF579" i="2"/>
  <c r="CF580" i="2"/>
  <c r="CF581" i="2"/>
  <c r="CF582" i="2"/>
  <c r="CF583" i="2"/>
  <c r="CF584" i="2"/>
  <c r="CF585" i="2"/>
  <c r="CF586" i="2"/>
  <c r="CF587" i="2"/>
  <c r="CF588" i="2"/>
  <c r="CF589" i="2"/>
  <c r="CF590" i="2"/>
  <c r="CF591" i="2"/>
  <c r="CF592" i="2"/>
  <c r="CF593" i="2"/>
  <c r="CF594" i="2"/>
  <c r="CF595" i="2"/>
  <c r="CF596" i="2"/>
  <c r="CF597" i="2"/>
  <c r="CF598" i="2"/>
  <c r="CF599" i="2"/>
  <c r="CF600" i="2"/>
  <c r="CF601" i="2"/>
  <c r="CF602" i="2"/>
  <c r="CF603" i="2"/>
  <c r="CF604" i="2"/>
  <c r="CF605" i="2"/>
  <c r="CF606" i="2"/>
  <c r="CF607" i="2"/>
  <c r="CF608" i="2"/>
  <c r="CF609" i="2"/>
  <c r="CF610" i="2"/>
  <c r="CF611" i="2"/>
  <c r="CF612" i="2"/>
  <c r="CF613" i="2"/>
  <c r="CF614" i="2"/>
  <c r="CF615" i="2"/>
  <c r="CF616" i="2"/>
  <c r="CF617" i="2"/>
  <c r="CF618" i="2"/>
  <c r="CF619" i="2"/>
  <c r="CF620" i="2"/>
  <c r="CF621" i="2"/>
  <c r="CF622" i="2"/>
  <c r="CF623" i="2"/>
  <c r="CF624" i="2"/>
  <c r="CF625" i="2"/>
  <c r="CF626" i="2"/>
  <c r="CF627" i="2"/>
  <c r="CF628" i="2"/>
  <c r="CF629" i="2"/>
  <c r="CF630" i="2"/>
  <c r="CF631" i="2"/>
  <c r="CF632" i="2"/>
  <c r="CF633" i="2"/>
  <c r="CF634" i="2"/>
  <c r="CF635" i="2"/>
  <c r="CF636" i="2"/>
  <c r="CF637" i="2"/>
  <c r="CF638" i="2"/>
  <c r="CF639" i="2"/>
  <c r="CF640" i="2"/>
  <c r="CF641" i="2"/>
  <c r="CF642" i="2"/>
  <c r="CF643" i="2"/>
  <c r="CF644" i="2"/>
  <c r="CF645" i="2"/>
  <c r="CF646" i="2"/>
  <c r="CF647" i="2"/>
  <c r="CF648" i="2"/>
  <c r="CF649" i="2"/>
  <c r="CF650" i="2"/>
  <c r="CF651" i="2"/>
  <c r="CF652" i="2"/>
  <c r="CF653" i="2"/>
  <c r="CF654" i="2"/>
  <c r="CF655" i="2"/>
  <c r="CF656" i="2"/>
  <c r="CF657" i="2"/>
  <c r="CF658" i="2"/>
  <c r="CF659" i="2"/>
  <c r="CF660" i="2"/>
  <c r="CF661" i="2"/>
  <c r="CF662" i="2"/>
  <c r="CF663" i="2"/>
  <c r="CF664" i="2"/>
  <c r="CF665" i="2"/>
  <c r="CF666" i="2"/>
  <c r="CF667" i="2"/>
  <c r="CF668" i="2"/>
  <c r="CF669" i="2"/>
  <c r="CF670" i="2"/>
  <c r="CF671" i="2"/>
  <c r="CF672" i="2"/>
  <c r="CF673" i="2"/>
  <c r="CF674" i="2"/>
  <c r="CF675" i="2"/>
  <c r="CF676" i="2"/>
  <c r="CF677" i="2"/>
  <c r="CF678" i="2"/>
  <c r="CF679" i="2"/>
  <c r="CF680" i="2"/>
  <c r="CF681" i="2"/>
  <c r="CF682" i="2"/>
  <c r="CF683" i="2"/>
  <c r="CF684" i="2"/>
  <c r="CF685" i="2"/>
  <c r="CF686" i="2"/>
  <c r="CF687" i="2"/>
  <c r="CF688" i="2"/>
  <c r="CF689" i="2"/>
  <c r="CF690" i="2"/>
  <c r="CF691" i="2"/>
  <c r="CF692" i="2"/>
  <c r="CF693" i="2"/>
  <c r="CF694" i="2"/>
  <c r="CF695" i="2"/>
  <c r="CF696" i="2"/>
  <c r="CF697" i="2"/>
  <c r="CF698" i="2"/>
  <c r="CF699" i="2"/>
  <c r="CF700" i="2"/>
  <c r="CF701" i="2"/>
  <c r="CF702" i="2"/>
  <c r="CF703" i="2"/>
  <c r="CF704" i="2"/>
  <c r="CF705" i="2"/>
  <c r="CG2" i="2"/>
  <c r="CG3" i="2"/>
  <c r="CG4" i="2"/>
  <c r="CG5" i="2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G88" i="2"/>
  <c r="CG89" i="2"/>
  <c r="CG90" i="2"/>
  <c r="CG91" i="2"/>
  <c r="CG92" i="2"/>
  <c r="CG93" i="2"/>
  <c r="CG94" i="2"/>
  <c r="CG95" i="2"/>
  <c r="CG96" i="2"/>
  <c r="CG97" i="2"/>
  <c r="CG98" i="2"/>
  <c r="CG99" i="2"/>
  <c r="CG100" i="2"/>
  <c r="CG101" i="2"/>
  <c r="CG102" i="2"/>
  <c r="CG103" i="2"/>
  <c r="CG104" i="2"/>
  <c r="CG105" i="2"/>
  <c r="CG106" i="2"/>
  <c r="CG107" i="2"/>
  <c r="CG108" i="2"/>
  <c r="CG109" i="2"/>
  <c r="CG110" i="2"/>
  <c r="CG111" i="2"/>
  <c r="CG112" i="2"/>
  <c r="CG113" i="2"/>
  <c r="CG114" i="2"/>
  <c r="CG115" i="2"/>
  <c r="CG116" i="2"/>
  <c r="CG117" i="2"/>
  <c r="CG118" i="2"/>
  <c r="CG119" i="2"/>
  <c r="CG120" i="2"/>
  <c r="CG121" i="2"/>
  <c r="CG122" i="2"/>
  <c r="CG123" i="2"/>
  <c r="CG124" i="2"/>
  <c r="CG125" i="2"/>
  <c r="CG126" i="2"/>
  <c r="CG127" i="2"/>
  <c r="CG128" i="2"/>
  <c r="CG129" i="2"/>
  <c r="CG130" i="2"/>
  <c r="CG131" i="2"/>
  <c r="CG132" i="2"/>
  <c r="CG133" i="2"/>
  <c r="CG134" i="2"/>
  <c r="CG135" i="2"/>
  <c r="CG136" i="2"/>
  <c r="CG137" i="2"/>
  <c r="CG138" i="2"/>
  <c r="CG139" i="2"/>
  <c r="CG140" i="2"/>
  <c r="CG141" i="2"/>
  <c r="CG142" i="2"/>
  <c r="CG143" i="2"/>
  <c r="CG144" i="2"/>
  <c r="CG145" i="2"/>
  <c r="CG146" i="2"/>
  <c r="CG147" i="2"/>
  <c r="CG148" i="2"/>
  <c r="CG149" i="2"/>
  <c r="CG150" i="2"/>
  <c r="CG151" i="2"/>
  <c r="CG152" i="2"/>
  <c r="CG153" i="2"/>
  <c r="CG154" i="2"/>
  <c r="CG155" i="2"/>
  <c r="CG156" i="2"/>
  <c r="CG157" i="2"/>
  <c r="CG158" i="2"/>
  <c r="CG159" i="2"/>
  <c r="CG160" i="2"/>
  <c r="CG161" i="2"/>
  <c r="CG162" i="2"/>
  <c r="CG163" i="2"/>
  <c r="CG164" i="2"/>
  <c r="CG165" i="2"/>
  <c r="CG166" i="2"/>
  <c r="CG167" i="2"/>
  <c r="CG168" i="2"/>
  <c r="CG169" i="2"/>
  <c r="CG170" i="2"/>
  <c r="CG171" i="2"/>
  <c r="CG172" i="2"/>
  <c r="CG173" i="2"/>
  <c r="CG174" i="2"/>
  <c r="CG175" i="2"/>
  <c r="CG176" i="2"/>
  <c r="CG177" i="2"/>
  <c r="CG178" i="2"/>
  <c r="CG179" i="2"/>
  <c r="CG180" i="2"/>
  <c r="CG181" i="2"/>
  <c r="CG182" i="2"/>
  <c r="CG183" i="2"/>
  <c r="CG184" i="2"/>
  <c r="CG185" i="2"/>
  <c r="CG186" i="2"/>
  <c r="CG187" i="2"/>
  <c r="CG188" i="2"/>
  <c r="CG189" i="2"/>
  <c r="CG190" i="2"/>
  <c r="CG191" i="2"/>
  <c r="CG192" i="2"/>
  <c r="CG193" i="2"/>
  <c r="CG194" i="2"/>
  <c r="CG195" i="2"/>
  <c r="CG196" i="2"/>
  <c r="CG197" i="2"/>
  <c r="CG198" i="2"/>
  <c r="CG199" i="2"/>
  <c r="CG200" i="2"/>
  <c r="CG201" i="2"/>
  <c r="CG202" i="2"/>
  <c r="CG203" i="2"/>
  <c r="CG204" i="2"/>
  <c r="CG205" i="2"/>
  <c r="CG206" i="2"/>
  <c r="CG207" i="2"/>
  <c r="CG208" i="2"/>
  <c r="CG209" i="2"/>
  <c r="CG210" i="2"/>
  <c r="CG211" i="2"/>
  <c r="CG212" i="2"/>
  <c r="CG213" i="2"/>
  <c r="CG214" i="2"/>
  <c r="CG215" i="2"/>
  <c r="CG216" i="2"/>
  <c r="CG217" i="2"/>
  <c r="CG218" i="2"/>
  <c r="CG219" i="2"/>
  <c r="CG220" i="2"/>
  <c r="CG221" i="2"/>
  <c r="CG222" i="2"/>
  <c r="CG223" i="2"/>
  <c r="CG224" i="2"/>
  <c r="CG225" i="2"/>
  <c r="CG226" i="2"/>
  <c r="CG227" i="2"/>
  <c r="CG228" i="2"/>
  <c r="CG229" i="2"/>
  <c r="CG230" i="2"/>
  <c r="CG231" i="2"/>
  <c r="CG232" i="2"/>
  <c r="CG233" i="2"/>
  <c r="CG234" i="2"/>
  <c r="CG235" i="2"/>
  <c r="CG236" i="2"/>
  <c r="CG237" i="2"/>
  <c r="CG238" i="2"/>
  <c r="CG239" i="2"/>
  <c r="CG240" i="2"/>
  <c r="CG241" i="2"/>
  <c r="CG242" i="2"/>
  <c r="CG243" i="2"/>
  <c r="CG244" i="2"/>
  <c r="CG245" i="2"/>
  <c r="CG246" i="2"/>
  <c r="CG247" i="2"/>
  <c r="CG248" i="2"/>
  <c r="CG249" i="2"/>
  <c r="CG250" i="2"/>
  <c r="CG251" i="2"/>
  <c r="CG252" i="2"/>
  <c r="CG253" i="2"/>
  <c r="CG254" i="2"/>
  <c r="CG255" i="2"/>
  <c r="CG256" i="2"/>
  <c r="CG257" i="2"/>
  <c r="CG258" i="2"/>
  <c r="CG259" i="2"/>
  <c r="CG260" i="2"/>
  <c r="CG261" i="2"/>
  <c r="CG262" i="2"/>
  <c r="CG263" i="2"/>
  <c r="CG264" i="2"/>
  <c r="CG265" i="2"/>
  <c r="CG266" i="2"/>
  <c r="CG267" i="2"/>
  <c r="CG268" i="2"/>
  <c r="CG269" i="2"/>
  <c r="CG270" i="2"/>
  <c r="CG271" i="2"/>
  <c r="CG272" i="2"/>
  <c r="CG273" i="2"/>
  <c r="CG274" i="2"/>
  <c r="CG275" i="2"/>
  <c r="CG276" i="2"/>
  <c r="CG277" i="2"/>
  <c r="CG278" i="2"/>
  <c r="CG279" i="2"/>
  <c r="CG280" i="2"/>
  <c r="CG281" i="2"/>
  <c r="CG282" i="2"/>
  <c r="CG283" i="2"/>
  <c r="CG284" i="2"/>
  <c r="CG285" i="2"/>
  <c r="CG286" i="2"/>
  <c r="CG287" i="2"/>
  <c r="CG288" i="2"/>
  <c r="CG289" i="2"/>
  <c r="CG290" i="2"/>
  <c r="CG291" i="2"/>
  <c r="CG292" i="2"/>
  <c r="CG293" i="2"/>
  <c r="CG294" i="2"/>
  <c r="CG295" i="2"/>
  <c r="CG296" i="2"/>
  <c r="CG297" i="2"/>
  <c r="CG298" i="2"/>
  <c r="CG299" i="2"/>
  <c r="CG300" i="2"/>
  <c r="CG301" i="2"/>
  <c r="CG302" i="2"/>
  <c r="CG303" i="2"/>
  <c r="CG304" i="2"/>
  <c r="CG305" i="2"/>
  <c r="CG306" i="2"/>
  <c r="CG307" i="2"/>
  <c r="CG308" i="2"/>
  <c r="CG309" i="2"/>
  <c r="CG310" i="2"/>
  <c r="CG311" i="2"/>
  <c r="CG312" i="2"/>
  <c r="CG313" i="2"/>
  <c r="CG314" i="2"/>
  <c r="CG315" i="2"/>
  <c r="CG316" i="2"/>
  <c r="CG317" i="2"/>
  <c r="CG318" i="2"/>
  <c r="CG319" i="2"/>
  <c r="CG320" i="2"/>
  <c r="CG321" i="2"/>
  <c r="CG322" i="2"/>
  <c r="CG323" i="2"/>
  <c r="CG324" i="2"/>
  <c r="CG325" i="2"/>
  <c r="CG326" i="2"/>
  <c r="CG327" i="2"/>
  <c r="CG328" i="2"/>
  <c r="CG329" i="2"/>
  <c r="CG330" i="2"/>
  <c r="CG331" i="2"/>
  <c r="CG332" i="2"/>
  <c r="CG333" i="2"/>
  <c r="CG334" i="2"/>
  <c r="CG335" i="2"/>
  <c r="CG336" i="2"/>
  <c r="CG337" i="2"/>
  <c r="CG338" i="2"/>
  <c r="CG339" i="2"/>
  <c r="CG340" i="2"/>
  <c r="CG341" i="2"/>
  <c r="CG342" i="2"/>
  <c r="CG343" i="2"/>
  <c r="CG344" i="2"/>
  <c r="CG345" i="2"/>
  <c r="CG346" i="2"/>
  <c r="CG347" i="2"/>
  <c r="CG348" i="2"/>
  <c r="CG349" i="2"/>
  <c r="CG350" i="2"/>
  <c r="CG351" i="2"/>
  <c r="CG352" i="2"/>
  <c r="CG353" i="2"/>
  <c r="CG354" i="2"/>
  <c r="CG355" i="2"/>
  <c r="CG356" i="2"/>
  <c r="CG357" i="2"/>
  <c r="CG358" i="2"/>
  <c r="CG359" i="2"/>
  <c r="CG360" i="2"/>
  <c r="CG361" i="2"/>
  <c r="CG362" i="2"/>
  <c r="CG363" i="2"/>
  <c r="CG364" i="2"/>
  <c r="CG365" i="2"/>
  <c r="CG366" i="2"/>
  <c r="CG367" i="2"/>
  <c r="CG368" i="2"/>
  <c r="CG369" i="2"/>
  <c r="CG370" i="2"/>
  <c r="CG371" i="2"/>
  <c r="CG372" i="2"/>
  <c r="CG373" i="2"/>
  <c r="CG374" i="2"/>
  <c r="CG375" i="2"/>
  <c r="CG376" i="2"/>
  <c r="CG377" i="2"/>
  <c r="CG378" i="2"/>
  <c r="CG379" i="2"/>
  <c r="CG380" i="2"/>
  <c r="CG381" i="2"/>
  <c r="CG382" i="2"/>
  <c r="CG383" i="2"/>
  <c r="CG384" i="2"/>
  <c r="CG385" i="2"/>
  <c r="CG386" i="2"/>
  <c r="CG387" i="2"/>
  <c r="CG388" i="2"/>
  <c r="CG389" i="2"/>
  <c r="CG390" i="2"/>
  <c r="CG391" i="2"/>
  <c r="CG392" i="2"/>
  <c r="CG393" i="2"/>
  <c r="CG394" i="2"/>
  <c r="CG395" i="2"/>
  <c r="CG396" i="2"/>
  <c r="CG397" i="2"/>
  <c r="CG398" i="2"/>
  <c r="CG399" i="2"/>
  <c r="CG400" i="2"/>
  <c r="CG401" i="2"/>
  <c r="CG402" i="2"/>
  <c r="CG403" i="2"/>
  <c r="CG404" i="2"/>
  <c r="CG405" i="2"/>
  <c r="CG406" i="2"/>
  <c r="CG407" i="2"/>
  <c r="CG408" i="2"/>
  <c r="CG409" i="2"/>
  <c r="CG410" i="2"/>
  <c r="CG411" i="2"/>
  <c r="CG412" i="2"/>
  <c r="CG413" i="2"/>
  <c r="CG414" i="2"/>
  <c r="CG415" i="2"/>
  <c r="CG416" i="2"/>
  <c r="CG417" i="2"/>
  <c r="CG418" i="2"/>
  <c r="CG419" i="2"/>
  <c r="CG420" i="2"/>
  <c r="CG421" i="2"/>
  <c r="CG422" i="2"/>
  <c r="CG423" i="2"/>
  <c r="CG424" i="2"/>
  <c r="CG425" i="2"/>
  <c r="CG426" i="2"/>
  <c r="CG427" i="2"/>
  <c r="CG428" i="2"/>
  <c r="CG429" i="2"/>
  <c r="CG430" i="2"/>
  <c r="CG431" i="2"/>
  <c r="CG432" i="2"/>
  <c r="CG433" i="2"/>
  <c r="CG434" i="2"/>
  <c r="CG435" i="2"/>
  <c r="CG436" i="2"/>
  <c r="CG437" i="2"/>
  <c r="CG438" i="2"/>
  <c r="CG439" i="2"/>
  <c r="CG440" i="2"/>
  <c r="CG441" i="2"/>
  <c r="CG442" i="2"/>
  <c r="CG443" i="2"/>
  <c r="CG444" i="2"/>
  <c r="CG445" i="2"/>
  <c r="CG446" i="2"/>
  <c r="CG447" i="2"/>
  <c r="CG448" i="2"/>
  <c r="CG449" i="2"/>
  <c r="CG450" i="2"/>
  <c r="CG451" i="2"/>
  <c r="CG452" i="2"/>
  <c r="CG453" i="2"/>
  <c r="CG454" i="2"/>
  <c r="CG455" i="2"/>
  <c r="CG456" i="2"/>
  <c r="CG457" i="2"/>
  <c r="CG458" i="2"/>
  <c r="CG459" i="2"/>
  <c r="CG460" i="2"/>
  <c r="CG461" i="2"/>
  <c r="CG462" i="2"/>
  <c r="CG463" i="2"/>
  <c r="CG464" i="2"/>
  <c r="CG465" i="2"/>
  <c r="CG466" i="2"/>
  <c r="CG467" i="2"/>
  <c r="CG468" i="2"/>
  <c r="CG469" i="2"/>
  <c r="CG470" i="2"/>
  <c r="CG471" i="2"/>
  <c r="CG472" i="2"/>
  <c r="CG473" i="2"/>
  <c r="CG474" i="2"/>
  <c r="CG475" i="2"/>
  <c r="CG476" i="2"/>
  <c r="CG477" i="2"/>
  <c r="CG478" i="2"/>
  <c r="CG479" i="2"/>
  <c r="CG480" i="2"/>
  <c r="CG481" i="2"/>
  <c r="CG482" i="2"/>
  <c r="CG483" i="2"/>
  <c r="CG484" i="2"/>
  <c r="CG485" i="2"/>
  <c r="CG486" i="2"/>
  <c r="CG487" i="2"/>
  <c r="CG488" i="2"/>
  <c r="CG489" i="2"/>
  <c r="CG490" i="2"/>
  <c r="CG491" i="2"/>
  <c r="CG492" i="2"/>
  <c r="CG493" i="2"/>
  <c r="CG494" i="2"/>
  <c r="CG495" i="2"/>
  <c r="CG496" i="2"/>
  <c r="CG497" i="2"/>
  <c r="CG498" i="2"/>
  <c r="CG499" i="2"/>
  <c r="CG500" i="2"/>
  <c r="CG501" i="2"/>
  <c r="CG502" i="2"/>
  <c r="CG503" i="2"/>
  <c r="CG504" i="2"/>
  <c r="CG505" i="2"/>
  <c r="CG506" i="2"/>
  <c r="CG507" i="2"/>
  <c r="CG508" i="2"/>
  <c r="CG509" i="2"/>
  <c r="CG510" i="2"/>
  <c r="CG511" i="2"/>
  <c r="CG512" i="2"/>
  <c r="CG513" i="2"/>
  <c r="CG514" i="2"/>
  <c r="CG515" i="2"/>
  <c r="CG516" i="2"/>
  <c r="CG517" i="2"/>
  <c r="CG518" i="2"/>
  <c r="CG519" i="2"/>
  <c r="CG520" i="2"/>
  <c r="CG521" i="2"/>
  <c r="CG522" i="2"/>
  <c r="CG523" i="2"/>
  <c r="CG524" i="2"/>
  <c r="CG525" i="2"/>
  <c r="CG526" i="2"/>
  <c r="CG527" i="2"/>
  <c r="CG528" i="2"/>
  <c r="CG529" i="2"/>
  <c r="CG530" i="2"/>
  <c r="CG531" i="2"/>
  <c r="CG532" i="2"/>
  <c r="CG533" i="2"/>
  <c r="CG534" i="2"/>
  <c r="CG535" i="2"/>
  <c r="CG536" i="2"/>
  <c r="CG537" i="2"/>
  <c r="CG538" i="2"/>
  <c r="CG539" i="2"/>
  <c r="CG540" i="2"/>
  <c r="CG541" i="2"/>
  <c r="CG542" i="2"/>
  <c r="CG543" i="2"/>
  <c r="CG544" i="2"/>
  <c r="CG545" i="2"/>
  <c r="CG546" i="2"/>
  <c r="CG547" i="2"/>
  <c r="CG548" i="2"/>
  <c r="CG549" i="2"/>
  <c r="CG550" i="2"/>
  <c r="CG551" i="2"/>
  <c r="CG552" i="2"/>
  <c r="CG553" i="2"/>
  <c r="CG554" i="2"/>
  <c r="CG555" i="2"/>
  <c r="CG556" i="2"/>
  <c r="CG557" i="2"/>
  <c r="CG558" i="2"/>
  <c r="CG559" i="2"/>
  <c r="CG560" i="2"/>
  <c r="CG561" i="2"/>
  <c r="CG562" i="2"/>
  <c r="CG563" i="2"/>
  <c r="CG564" i="2"/>
  <c r="CG565" i="2"/>
  <c r="CG566" i="2"/>
  <c r="CG567" i="2"/>
  <c r="CG568" i="2"/>
  <c r="CG569" i="2"/>
  <c r="CG570" i="2"/>
  <c r="CG571" i="2"/>
  <c r="CG572" i="2"/>
  <c r="CG573" i="2"/>
  <c r="CG574" i="2"/>
  <c r="CG575" i="2"/>
  <c r="CG576" i="2"/>
  <c r="CG577" i="2"/>
  <c r="CG578" i="2"/>
  <c r="CG579" i="2"/>
  <c r="CG580" i="2"/>
  <c r="CG581" i="2"/>
  <c r="CG582" i="2"/>
  <c r="CG583" i="2"/>
  <c r="CG584" i="2"/>
  <c r="CG585" i="2"/>
  <c r="CG586" i="2"/>
  <c r="CG587" i="2"/>
  <c r="CG588" i="2"/>
  <c r="CG589" i="2"/>
  <c r="CG590" i="2"/>
  <c r="CG591" i="2"/>
  <c r="CG592" i="2"/>
  <c r="CG593" i="2"/>
  <c r="CG594" i="2"/>
  <c r="CG595" i="2"/>
  <c r="CG596" i="2"/>
  <c r="CG597" i="2"/>
  <c r="CG598" i="2"/>
  <c r="CG599" i="2"/>
  <c r="CG600" i="2"/>
  <c r="CG601" i="2"/>
  <c r="CG602" i="2"/>
  <c r="CG603" i="2"/>
  <c r="CG604" i="2"/>
  <c r="CG605" i="2"/>
  <c r="CG606" i="2"/>
  <c r="CG607" i="2"/>
  <c r="CG608" i="2"/>
  <c r="CG609" i="2"/>
  <c r="CG610" i="2"/>
  <c r="CG611" i="2"/>
  <c r="CG612" i="2"/>
  <c r="CG613" i="2"/>
  <c r="CG614" i="2"/>
  <c r="CG615" i="2"/>
  <c r="CG616" i="2"/>
  <c r="CG617" i="2"/>
  <c r="CG618" i="2"/>
  <c r="CG619" i="2"/>
  <c r="CG620" i="2"/>
  <c r="CG621" i="2"/>
  <c r="CG622" i="2"/>
  <c r="CG623" i="2"/>
  <c r="CG624" i="2"/>
  <c r="CG625" i="2"/>
  <c r="CG626" i="2"/>
  <c r="CG627" i="2"/>
  <c r="CG628" i="2"/>
  <c r="CG629" i="2"/>
  <c r="CG630" i="2"/>
  <c r="CG631" i="2"/>
  <c r="CG632" i="2"/>
  <c r="CG633" i="2"/>
  <c r="CG634" i="2"/>
  <c r="CG635" i="2"/>
  <c r="CG636" i="2"/>
  <c r="CG637" i="2"/>
  <c r="CG638" i="2"/>
  <c r="CG639" i="2"/>
  <c r="CG640" i="2"/>
  <c r="CG641" i="2"/>
  <c r="CG642" i="2"/>
  <c r="CG643" i="2"/>
  <c r="CG644" i="2"/>
  <c r="CG645" i="2"/>
  <c r="CG646" i="2"/>
  <c r="CG647" i="2"/>
  <c r="CG648" i="2"/>
  <c r="CG649" i="2"/>
  <c r="CG650" i="2"/>
  <c r="CG651" i="2"/>
  <c r="CG652" i="2"/>
  <c r="CG653" i="2"/>
  <c r="CG654" i="2"/>
  <c r="CG655" i="2"/>
  <c r="CG656" i="2"/>
  <c r="CG657" i="2"/>
  <c r="CG658" i="2"/>
  <c r="CG659" i="2"/>
  <c r="CG660" i="2"/>
  <c r="CG661" i="2"/>
  <c r="CG662" i="2"/>
  <c r="CG663" i="2"/>
  <c r="CG664" i="2"/>
  <c r="CG665" i="2"/>
  <c r="CG666" i="2"/>
  <c r="CG667" i="2"/>
  <c r="CG668" i="2"/>
  <c r="CG669" i="2"/>
  <c r="CG670" i="2"/>
  <c r="CG671" i="2"/>
  <c r="CG672" i="2"/>
  <c r="CG673" i="2"/>
  <c r="CG674" i="2"/>
  <c r="CG675" i="2"/>
  <c r="CG676" i="2"/>
  <c r="CG677" i="2"/>
  <c r="CG678" i="2"/>
  <c r="CG679" i="2"/>
  <c r="CG680" i="2"/>
  <c r="CG681" i="2"/>
  <c r="CG682" i="2"/>
  <c r="CG683" i="2"/>
  <c r="CG684" i="2"/>
  <c r="CG685" i="2"/>
  <c r="CG686" i="2"/>
  <c r="CG687" i="2"/>
  <c r="CG688" i="2"/>
  <c r="CG689" i="2"/>
  <c r="CG690" i="2"/>
  <c r="CG691" i="2"/>
  <c r="CG692" i="2"/>
  <c r="CG693" i="2"/>
  <c r="CG694" i="2"/>
  <c r="CG695" i="2"/>
  <c r="CG696" i="2"/>
  <c r="CG697" i="2"/>
  <c r="CG698" i="2"/>
  <c r="CG699" i="2"/>
  <c r="CG700" i="2"/>
  <c r="CG701" i="2"/>
  <c r="CG702" i="2"/>
  <c r="CG703" i="2"/>
  <c r="CG704" i="2"/>
  <c r="CG705" i="2"/>
  <c r="CH2" i="2"/>
  <c r="CH3" i="2"/>
  <c r="CH4" i="2"/>
  <c r="CH5" i="2"/>
  <c r="CH6" i="2"/>
  <c r="CH7" i="2"/>
  <c r="CH8" i="2"/>
  <c r="CH9" i="2"/>
  <c r="CH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H43" i="2"/>
  <c r="CH44" i="2"/>
  <c r="CH45" i="2"/>
  <c r="CH46" i="2"/>
  <c r="CH47" i="2"/>
  <c r="CH48" i="2"/>
  <c r="CH49" i="2"/>
  <c r="CH50" i="2"/>
  <c r="CH51" i="2"/>
  <c r="CH52" i="2"/>
  <c r="CH53" i="2"/>
  <c r="CH54" i="2"/>
  <c r="CH55" i="2"/>
  <c r="CH56" i="2"/>
  <c r="CH57" i="2"/>
  <c r="CH58" i="2"/>
  <c r="CH59" i="2"/>
  <c r="CH60" i="2"/>
  <c r="CH61" i="2"/>
  <c r="CH62" i="2"/>
  <c r="CH63" i="2"/>
  <c r="CH64" i="2"/>
  <c r="CH65" i="2"/>
  <c r="CH66" i="2"/>
  <c r="CH67" i="2"/>
  <c r="CH68" i="2"/>
  <c r="CH69" i="2"/>
  <c r="CH70" i="2"/>
  <c r="CH71" i="2"/>
  <c r="CH72" i="2"/>
  <c r="CH73" i="2"/>
  <c r="CH74" i="2"/>
  <c r="CH75" i="2"/>
  <c r="CH76" i="2"/>
  <c r="CH77" i="2"/>
  <c r="CH78" i="2"/>
  <c r="CH79" i="2"/>
  <c r="CH80" i="2"/>
  <c r="CH81" i="2"/>
  <c r="CH82" i="2"/>
  <c r="CH83" i="2"/>
  <c r="CH84" i="2"/>
  <c r="CH85" i="2"/>
  <c r="CH86" i="2"/>
  <c r="CH87" i="2"/>
  <c r="CH88" i="2"/>
  <c r="CH89" i="2"/>
  <c r="CH90" i="2"/>
  <c r="CH91" i="2"/>
  <c r="CH92" i="2"/>
  <c r="CH93" i="2"/>
  <c r="CH94" i="2"/>
  <c r="CH95" i="2"/>
  <c r="CH96" i="2"/>
  <c r="CH97" i="2"/>
  <c r="CH98" i="2"/>
  <c r="CH99" i="2"/>
  <c r="CH100" i="2"/>
  <c r="CH101" i="2"/>
  <c r="CH102" i="2"/>
  <c r="CH103" i="2"/>
  <c r="CH104" i="2"/>
  <c r="CH105" i="2"/>
  <c r="CH106" i="2"/>
  <c r="CH107" i="2"/>
  <c r="CH108" i="2"/>
  <c r="CH109" i="2"/>
  <c r="CH110" i="2"/>
  <c r="CH111" i="2"/>
  <c r="CH112" i="2"/>
  <c r="CH113" i="2"/>
  <c r="CH114" i="2"/>
  <c r="CH115" i="2"/>
  <c r="CH116" i="2"/>
  <c r="CH117" i="2"/>
  <c r="CH118" i="2"/>
  <c r="CH119" i="2"/>
  <c r="CH120" i="2"/>
  <c r="CH121" i="2"/>
  <c r="CH122" i="2"/>
  <c r="CH123" i="2"/>
  <c r="CH124" i="2"/>
  <c r="CH125" i="2"/>
  <c r="CH126" i="2"/>
  <c r="CH127" i="2"/>
  <c r="CH128" i="2"/>
  <c r="CH129" i="2"/>
  <c r="CH130" i="2"/>
  <c r="CH131" i="2"/>
  <c r="CH132" i="2"/>
  <c r="CH133" i="2"/>
  <c r="CH134" i="2"/>
  <c r="CH135" i="2"/>
  <c r="CH136" i="2"/>
  <c r="CH137" i="2"/>
  <c r="CH138" i="2"/>
  <c r="CH139" i="2"/>
  <c r="CH140" i="2"/>
  <c r="CH141" i="2"/>
  <c r="CH142" i="2"/>
  <c r="CH143" i="2"/>
  <c r="CH144" i="2"/>
  <c r="CH145" i="2"/>
  <c r="CH146" i="2"/>
  <c r="CH147" i="2"/>
  <c r="CH148" i="2"/>
  <c r="CH149" i="2"/>
  <c r="CH150" i="2"/>
  <c r="CH151" i="2"/>
  <c r="CH152" i="2"/>
  <c r="CH153" i="2"/>
  <c r="CH154" i="2"/>
  <c r="CH155" i="2"/>
  <c r="CH156" i="2"/>
  <c r="CH157" i="2"/>
  <c r="CH158" i="2"/>
  <c r="CH159" i="2"/>
  <c r="CH160" i="2"/>
  <c r="CH161" i="2"/>
  <c r="CH162" i="2"/>
  <c r="CH163" i="2"/>
  <c r="CH164" i="2"/>
  <c r="CH165" i="2"/>
  <c r="CH166" i="2"/>
  <c r="CH167" i="2"/>
  <c r="CH168" i="2"/>
  <c r="CH169" i="2"/>
  <c r="CH170" i="2"/>
  <c r="CH171" i="2"/>
  <c r="CH172" i="2"/>
  <c r="CH173" i="2"/>
  <c r="CH174" i="2"/>
  <c r="CH175" i="2"/>
  <c r="CH176" i="2"/>
  <c r="CH177" i="2"/>
  <c r="CH178" i="2"/>
  <c r="CH179" i="2"/>
  <c r="CH180" i="2"/>
  <c r="CH181" i="2"/>
  <c r="CH182" i="2"/>
  <c r="CH183" i="2"/>
  <c r="CH184" i="2"/>
  <c r="CH185" i="2"/>
  <c r="CH186" i="2"/>
  <c r="CH187" i="2"/>
  <c r="CH188" i="2"/>
  <c r="CH189" i="2"/>
  <c r="CH190" i="2"/>
  <c r="CH191" i="2"/>
  <c r="CH192" i="2"/>
  <c r="CH193" i="2"/>
  <c r="CH194" i="2"/>
  <c r="CH195" i="2"/>
  <c r="CH196" i="2"/>
  <c r="CH197" i="2"/>
  <c r="CH198" i="2"/>
  <c r="CH199" i="2"/>
  <c r="CH200" i="2"/>
  <c r="CH201" i="2"/>
  <c r="CH202" i="2"/>
  <c r="CH203" i="2"/>
  <c r="CH204" i="2"/>
  <c r="CH205" i="2"/>
  <c r="CH206" i="2"/>
  <c r="CH207" i="2"/>
  <c r="CH208" i="2"/>
  <c r="CH209" i="2"/>
  <c r="CH210" i="2"/>
  <c r="CH211" i="2"/>
  <c r="CH212" i="2"/>
  <c r="CH213" i="2"/>
  <c r="CH214" i="2"/>
  <c r="CH215" i="2"/>
  <c r="CH216" i="2"/>
  <c r="CH217" i="2"/>
  <c r="CH218" i="2"/>
  <c r="CH219" i="2"/>
  <c r="CH220" i="2"/>
  <c r="CH221" i="2"/>
  <c r="CH222" i="2"/>
  <c r="CH223" i="2"/>
  <c r="CH224" i="2"/>
  <c r="CH225" i="2"/>
  <c r="CH226" i="2"/>
  <c r="CH227" i="2"/>
  <c r="CH228" i="2"/>
  <c r="CH229" i="2"/>
  <c r="CH230" i="2"/>
  <c r="CH231" i="2"/>
  <c r="CH232" i="2"/>
  <c r="CH233" i="2"/>
  <c r="CH234" i="2"/>
  <c r="CH235" i="2"/>
  <c r="CH236" i="2"/>
  <c r="CH237" i="2"/>
  <c r="CH238" i="2"/>
  <c r="CH239" i="2"/>
  <c r="CH240" i="2"/>
  <c r="CH241" i="2"/>
  <c r="CH242" i="2"/>
  <c r="CH243" i="2"/>
  <c r="CH244" i="2"/>
  <c r="CH245" i="2"/>
  <c r="CH246" i="2"/>
  <c r="CH247" i="2"/>
  <c r="CH248" i="2"/>
  <c r="CH249" i="2"/>
  <c r="CH250" i="2"/>
  <c r="CH251" i="2"/>
  <c r="CH252" i="2"/>
  <c r="CH253" i="2"/>
  <c r="CH254" i="2"/>
  <c r="CH255" i="2"/>
  <c r="CH256" i="2"/>
  <c r="CH257" i="2"/>
  <c r="CH258" i="2"/>
  <c r="CH259" i="2"/>
  <c r="CH260" i="2"/>
  <c r="CH261" i="2"/>
  <c r="CH262" i="2"/>
  <c r="CH263" i="2"/>
  <c r="CH264" i="2"/>
  <c r="CH265" i="2"/>
  <c r="CH266" i="2"/>
  <c r="CH267" i="2"/>
  <c r="CH268" i="2"/>
  <c r="CH269" i="2"/>
  <c r="CH270" i="2"/>
  <c r="CH271" i="2"/>
  <c r="CH272" i="2"/>
  <c r="CH273" i="2"/>
  <c r="CH274" i="2"/>
  <c r="CH275" i="2"/>
  <c r="CH276" i="2"/>
  <c r="CH277" i="2"/>
  <c r="CH278" i="2"/>
  <c r="CH279" i="2"/>
  <c r="CH280" i="2"/>
  <c r="CH281" i="2"/>
  <c r="CH282" i="2"/>
  <c r="CH283" i="2"/>
  <c r="CH284" i="2"/>
  <c r="CH285" i="2"/>
  <c r="CH286" i="2"/>
  <c r="CH287" i="2"/>
  <c r="CH288" i="2"/>
  <c r="CH289" i="2"/>
  <c r="CH290" i="2"/>
  <c r="CH291" i="2"/>
  <c r="CH292" i="2"/>
  <c r="CH293" i="2"/>
  <c r="CH294" i="2"/>
  <c r="CH295" i="2"/>
  <c r="CH296" i="2"/>
  <c r="CH297" i="2"/>
  <c r="CH298" i="2"/>
  <c r="CH299" i="2"/>
  <c r="CH300" i="2"/>
  <c r="CH301" i="2"/>
  <c r="CH302" i="2"/>
  <c r="CH303" i="2"/>
  <c r="CH304" i="2"/>
  <c r="CH305" i="2"/>
  <c r="CH306" i="2"/>
  <c r="CH307" i="2"/>
  <c r="CH308" i="2"/>
  <c r="CH309" i="2"/>
  <c r="CH310" i="2"/>
  <c r="CH311" i="2"/>
  <c r="CH312" i="2"/>
  <c r="CH313" i="2"/>
  <c r="CH314" i="2"/>
  <c r="CH315" i="2"/>
  <c r="CH316" i="2"/>
  <c r="CH317" i="2"/>
  <c r="CH318" i="2"/>
  <c r="CH319" i="2"/>
  <c r="CH320" i="2"/>
  <c r="CH321" i="2"/>
  <c r="CH322" i="2"/>
  <c r="CH323" i="2"/>
  <c r="CH324" i="2"/>
  <c r="CH325" i="2"/>
  <c r="CH326" i="2"/>
  <c r="CH327" i="2"/>
  <c r="CH328" i="2"/>
  <c r="CH329" i="2"/>
  <c r="CH330" i="2"/>
  <c r="CH331" i="2"/>
  <c r="CH332" i="2"/>
  <c r="CH333" i="2"/>
  <c r="CH334" i="2"/>
  <c r="CH335" i="2"/>
  <c r="CH336" i="2"/>
  <c r="CH337" i="2"/>
  <c r="CH338" i="2"/>
  <c r="CH339" i="2"/>
  <c r="CH340" i="2"/>
  <c r="CH341" i="2"/>
  <c r="CH342" i="2"/>
  <c r="CH343" i="2"/>
  <c r="CH344" i="2"/>
  <c r="CH345" i="2"/>
  <c r="CH346" i="2"/>
  <c r="CH347" i="2"/>
  <c r="CH348" i="2"/>
  <c r="CH349" i="2"/>
  <c r="CH350" i="2"/>
  <c r="CH351" i="2"/>
  <c r="CH352" i="2"/>
  <c r="CH353" i="2"/>
  <c r="CH354" i="2"/>
  <c r="CH355" i="2"/>
  <c r="CH356" i="2"/>
  <c r="CH357" i="2"/>
  <c r="CH358" i="2"/>
  <c r="CH359" i="2"/>
  <c r="CH360" i="2"/>
  <c r="CH361" i="2"/>
  <c r="CH362" i="2"/>
  <c r="CH363" i="2"/>
  <c r="CH364" i="2"/>
  <c r="CH365" i="2"/>
  <c r="CH366" i="2"/>
  <c r="CH367" i="2"/>
  <c r="CH368" i="2"/>
  <c r="CH369" i="2"/>
  <c r="CH370" i="2"/>
  <c r="CH371" i="2"/>
  <c r="CH372" i="2"/>
  <c r="CH373" i="2"/>
  <c r="CH374" i="2"/>
  <c r="CH375" i="2"/>
  <c r="CH376" i="2"/>
  <c r="CH377" i="2"/>
  <c r="CH378" i="2"/>
  <c r="CH379" i="2"/>
  <c r="CH380" i="2"/>
  <c r="CH381" i="2"/>
  <c r="CH382" i="2"/>
  <c r="CH383" i="2"/>
  <c r="CH384" i="2"/>
  <c r="CH385" i="2"/>
  <c r="CH386" i="2"/>
  <c r="CH387" i="2"/>
  <c r="CH388" i="2"/>
  <c r="CH389" i="2"/>
  <c r="CH390" i="2"/>
  <c r="CH391" i="2"/>
  <c r="CH392" i="2"/>
  <c r="CH393" i="2"/>
  <c r="CH394" i="2"/>
  <c r="CH395" i="2"/>
  <c r="CH396" i="2"/>
  <c r="CH397" i="2"/>
  <c r="CH398" i="2"/>
  <c r="CH399" i="2"/>
  <c r="CH400" i="2"/>
  <c r="CH401" i="2"/>
  <c r="CH402" i="2"/>
  <c r="CH403" i="2"/>
  <c r="CH404" i="2"/>
  <c r="CH405" i="2"/>
  <c r="CH406" i="2"/>
  <c r="CH407" i="2"/>
  <c r="CH408" i="2"/>
  <c r="CH409" i="2"/>
  <c r="CH410" i="2"/>
  <c r="CH411" i="2"/>
  <c r="CH412" i="2"/>
  <c r="CH413" i="2"/>
  <c r="CH414" i="2"/>
  <c r="CH415" i="2"/>
  <c r="CH416" i="2"/>
  <c r="CH417" i="2"/>
  <c r="CH418" i="2"/>
  <c r="CH419" i="2"/>
  <c r="CH420" i="2"/>
  <c r="CH421" i="2"/>
  <c r="CH422" i="2"/>
  <c r="CH423" i="2"/>
  <c r="CH424" i="2"/>
  <c r="CH425" i="2"/>
  <c r="CH426" i="2"/>
  <c r="CH427" i="2"/>
  <c r="CH428" i="2"/>
  <c r="CH429" i="2"/>
  <c r="CH430" i="2"/>
  <c r="CH431" i="2"/>
  <c r="CH432" i="2"/>
  <c r="CH433" i="2"/>
  <c r="CH434" i="2"/>
  <c r="CH435" i="2"/>
  <c r="CH436" i="2"/>
  <c r="CH437" i="2"/>
  <c r="CH438" i="2"/>
  <c r="CH439" i="2"/>
  <c r="CH440" i="2"/>
  <c r="CH441" i="2"/>
  <c r="CH442" i="2"/>
  <c r="CH443" i="2"/>
  <c r="CH444" i="2"/>
  <c r="CH445" i="2"/>
  <c r="CH446" i="2"/>
  <c r="CH447" i="2"/>
  <c r="CH448" i="2"/>
  <c r="CH449" i="2"/>
  <c r="CH450" i="2"/>
  <c r="CH451" i="2"/>
  <c r="CH452" i="2"/>
  <c r="CH453" i="2"/>
  <c r="CH454" i="2"/>
  <c r="CH455" i="2"/>
  <c r="CH456" i="2"/>
  <c r="CH457" i="2"/>
  <c r="CH458" i="2"/>
  <c r="CH459" i="2"/>
  <c r="CH460" i="2"/>
  <c r="CH461" i="2"/>
  <c r="CH462" i="2"/>
  <c r="CH463" i="2"/>
  <c r="CH464" i="2"/>
  <c r="CH465" i="2"/>
  <c r="CH466" i="2"/>
  <c r="CH467" i="2"/>
  <c r="CH468" i="2"/>
  <c r="CH469" i="2"/>
  <c r="CH470" i="2"/>
  <c r="CH471" i="2"/>
  <c r="CH472" i="2"/>
  <c r="CH473" i="2"/>
  <c r="CH474" i="2"/>
  <c r="CH475" i="2"/>
  <c r="CH476" i="2"/>
  <c r="CH477" i="2"/>
  <c r="CH478" i="2"/>
  <c r="CH479" i="2"/>
  <c r="CH480" i="2"/>
  <c r="CH481" i="2"/>
  <c r="CH482" i="2"/>
  <c r="CH483" i="2"/>
  <c r="CH484" i="2"/>
  <c r="CH485" i="2"/>
  <c r="CH486" i="2"/>
  <c r="CH487" i="2"/>
  <c r="CH488" i="2"/>
  <c r="CH489" i="2"/>
  <c r="CH490" i="2"/>
  <c r="CH491" i="2"/>
  <c r="CH492" i="2"/>
  <c r="CH493" i="2"/>
  <c r="CH494" i="2"/>
  <c r="CH495" i="2"/>
  <c r="CH496" i="2"/>
  <c r="CH497" i="2"/>
  <c r="CH498" i="2"/>
  <c r="CH499" i="2"/>
  <c r="CH500" i="2"/>
  <c r="CH501" i="2"/>
  <c r="CH502" i="2"/>
  <c r="CH503" i="2"/>
  <c r="CH504" i="2"/>
  <c r="CH505" i="2"/>
  <c r="CH506" i="2"/>
  <c r="CH507" i="2"/>
  <c r="CH508" i="2"/>
  <c r="CH509" i="2"/>
  <c r="CH510" i="2"/>
  <c r="CH511" i="2"/>
  <c r="CH512" i="2"/>
  <c r="CH513" i="2"/>
  <c r="CH514" i="2"/>
  <c r="CH515" i="2"/>
  <c r="CH516" i="2"/>
  <c r="CH517" i="2"/>
  <c r="CH518" i="2"/>
  <c r="CH519" i="2"/>
  <c r="CH520" i="2"/>
  <c r="CH521" i="2"/>
  <c r="CH522" i="2"/>
  <c r="CH523" i="2"/>
  <c r="CH524" i="2"/>
  <c r="CH525" i="2"/>
  <c r="CH526" i="2"/>
  <c r="CH527" i="2"/>
  <c r="CH528" i="2"/>
  <c r="CH529" i="2"/>
  <c r="CH530" i="2"/>
  <c r="CH531" i="2"/>
  <c r="CH532" i="2"/>
  <c r="CH533" i="2"/>
  <c r="CH534" i="2"/>
  <c r="CH535" i="2"/>
  <c r="CH536" i="2"/>
  <c r="CH537" i="2"/>
  <c r="CH538" i="2"/>
  <c r="CH539" i="2"/>
  <c r="CH540" i="2"/>
  <c r="CH541" i="2"/>
  <c r="CH542" i="2"/>
  <c r="CH543" i="2"/>
  <c r="CH544" i="2"/>
  <c r="CH545" i="2"/>
  <c r="CH546" i="2"/>
  <c r="CH547" i="2"/>
  <c r="CH548" i="2"/>
  <c r="CH549" i="2"/>
  <c r="CH550" i="2"/>
  <c r="CH551" i="2"/>
  <c r="CH552" i="2"/>
  <c r="CH553" i="2"/>
  <c r="CH554" i="2"/>
  <c r="CH555" i="2"/>
  <c r="CH556" i="2"/>
  <c r="CH557" i="2"/>
  <c r="CH558" i="2"/>
  <c r="CH559" i="2"/>
  <c r="CH560" i="2"/>
  <c r="CH561" i="2"/>
  <c r="CH562" i="2"/>
  <c r="CH563" i="2"/>
  <c r="CH564" i="2"/>
  <c r="CH565" i="2"/>
  <c r="CH566" i="2"/>
  <c r="CH567" i="2"/>
  <c r="CH568" i="2"/>
  <c r="CH569" i="2"/>
  <c r="CH570" i="2"/>
  <c r="CH571" i="2"/>
  <c r="CH572" i="2"/>
  <c r="CH573" i="2"/>
  <c r="CH574" i="2"/>
  <c r="CH575" i="2"/>
  <c r="CH576" i="2"/>
  <c r="CH577" i="2"/>
  <c r="CH578" i="2"/>
  <c r="CH579" i="2"/>
  <c r="CH580" i="2"/>
  <c r="CH581" i="2"/>
  <c r="CH582" i="2"/>
  <c r="CH583" i="2"/>
  <c r="CH584" i="2"/>
  <c r="CH585" i="2"/>
  <c r="CH586" i="2"/>
  <c r="CH587" i="2"/>
  <c r="CH588" i="2"/>
  <c r="CH589" i="2"/>
  <c r="CH590" i="2"/>
  <c r="CH591" i="2"/>
  <c r="CH592" i="2"/>
  <c r="CH593" i="2"/>
  <c r="CH594" i="2"/>
  <c r="CH595" i="2"/>
  <c r="CH596" i="2"/>
  <c r="CH597" i="2"/>
  <c r="CH598" i="2"/>
  <c r="CH599" i="2"/>
  <c r="CH600" i="2"/>
  <c r="CH601" i="2"/>
  <c r="CH602" i="2"/>
  <c r="CH603" i="2"/>
  <c r="CH604" i="2"/>
  <c r="CH605" i="2"/>
  <c r="CH606" i="2"/>
  <c r="CH607" i="2"/>
  <c r="CH608" i="2"/>
  <c r="CH609" i="2"/>
  <c r="CH610" i="2"/>
  <c r="CH611" i="2"/>
  <c r="CH612" i="2"/>
  <c r="CH613" i="2"/>
  <c r="CH614" i="2"/>
  <c r="CH615" i="2"/>
  <c r="CH616" i="2"/>
  <c r="CH617" i="2"/>
  <c r="CH618" i="2"/>
  <c r="CH619" i="2"/>
  <c r="CH620" i="2"/>
  <c r="CH621" i="2"/>
  <c r="CH622" i="2"/>
  <c r="CH623" i="2"/>
  <c r="CH624" i="2"/>
  <c r="CH625" i="2"/>
  <c r="CH626" i="2"/>
  <c r="CH627" i="2"/>
  <c r="CH628" i="2"/>
  <c r="CH629" i="2"/>
  <c r="CH630" i="2"/>
  <c r="CH631" i="2"/>
  <c r="CH632" i="2"/>
  <c r="CH633" i="2"/>
  <c r="CH634" i="2"/>
  <c r="CH635" i="2"/>
  <c r="CH636" i="2"/>
  <c r="CH637" i="2"/>
  <c r="CH638" i="2"/>
  <c r="CH639" i="2"/>
  <c r="CH640" i="2"/>
  <c r="CH641" i="2"/>
  <c r="CH642" i="2"/>
  <c r="CH643" i="2"/>
  <c r="CH644" i="2"/>
  <c r="CH645" i="2"/>
  <c r="CH646" i="2"/>
  <c r="CH647" i="2"/>
  <c r="CH648" i="2"/>
  <c r="CH649" i="2"/>
  <c r="CH650" i="2"/>
  <c r="CH651" i="2"/>
  <c r="CH652" i="2"/>
  <c r="CH653" i="2"/>
  <c r="CH654" i="2"/>
  <c r="CH655" i="2"/>
  <c r="CH656" i="2"/>
  <c r="CH657" i="2"/>
  <c r="CH658" i="2"/>
  <c r="CH659" i="2"/>
  <c r="CH660" i="2"/>
  <c r="CH661" i="2"/>
  <c r="CH662" i="2"/>
  <c r="CH663" i="2"/>
  <c r="CH664" i="2"/>
  <c r="CH665" i="2"/>
  <c r="CH666" i="2"/>
  <c r="CH667" i="2"/>
  <c r="CH668" i="2"/>
  <c r="CH669" i="2"/>
  <c r="CH670" i="2"/>
  <c r="CH671" i="2"/>
  <c r="CH672" i="2"/>
  <c r="CH673" i="2"/>
  <c r="CH674" i="2"/>
  <c r="CH675" i="2"/>
  <c r="CH676" i="2"/>
  <c r="CH677" i="2"/>
  <c r="CH678" i="2"/>
  <c r="CH679" i="2"/>
  <c r="CH680" i="2"/>
  <c r="CH681" i="2"/>
  <c r="CH682" i="2"/>
  <c r="CH683" i="2"/>
  <c r="CH684" i="2"/>
  <c r="CH685" i="2"/>
  <c r="CH686" i="2"/>
  <c r="CH687" i="2"/>
  <c r="CH688" i="2"/>
  <c r="CH689" i="2"/>
  <c r="CH690" i="2"/>
  <c r="CH691" i="2"/>
  <c r="CH692" i="2"/>
  <c r="CH693" i="2"/>
  <c r="CH694" i="2"/>
  <c r="CH695" i="2"/>
  <c r="CH696" i="2"/>
  <c r="CH697" i="2"/>
  <c r="CH698" i="2"/>
  <c r="CH699" i="2"/>
  <c r="CH700" i="2"/>
  <c r="CH701" i="2"/>
  <c r="CH702" i="2"/>
  <c r="CH703" i="2"/>
  <c r="CH704" i="2"/>
  <c r="CH705" i="2"/>
  <c r="CI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0" i="2"/>
  <c r="CI41" i="2"/>
  <c r="CI42" i="2"/>
  <c r="CI43" i="2"/>
  <c r="CI44" i="2"/>
  <c r="CI45" i="2"/>
  <c r="CI46" i="2"/>
  <c r="CI47" i="2"/>
  <c r="CI48" i="2"/>
  <c r="CI49" i="2"/>
  <c r="CI50" i="2"/>
  <c r="CI51" i="2"/>
  <c r="CI52" i="2"/>
  <c r="CI53" i="2"/>
  <c r="CI54" i="2"/>
  <c r="CI55" i="2"/>
  <c r="CI56" i="2"/>
  <c r="CI57" i="2"/>
  <c r="CI58" i="2"/>
  <c r="CI59" i="2"/>
  <c r="CI60" i="2"/>
  <c r="CI61" i="2"/>
  <c r="CI62" i="2"/>
  <c r="CI63" i="2"/>
  <c r="CI64" i="2"/>
  <c r="CI65" i="2"/>
  <c r="CI66" i="2"/>
  <c r="CI67" i="2"/>
  <c r="CI68" i="2"/>
  <c r="CI69" i="2"/>
  <c r="CI70" i="2"/>
  <c r="CI71" i="2"/>
  <c r="CI72" i="2"/>
  <c r="CI73" i="2"/>
  <c r="CI74" i="2"/>
  <c r="CI75" i="2"/>
  <c r="CI76" i="2"/>
  <c r="CI77" i="2"/>
  <c r="CI78" i="2"/>
  <c r="CI79" i="2"/>
  <c r="CI80" i="2"/>
  <c r="CI81" i="2"/>
  <c r="CI82" i="2"/>
  <c r="CI83" i="2"/>
  <c r="CI84" i="2"/>
  <c r="CI85" i="2"/>
  <c r="CI86" i="2"/>
  <c r="CI87" i="2"/>
  <c r="CI88" i="2"/>
  <c r="CI89" i="2"/>
  <c r="CI90" i="2"/>
  <c r="CI91" i="2"/>
  <c r="CI92" i="2"/>
  <c r="CI93" i="2"/>
  <c r="CI94" i="2"/>
  <c r="CI95" i="2"/>
  <c r="CI96" i="2"/>
  <c r="CI97" i="2"/>
  <c r="CI98" i="2"/>
  <c r="CI99" i="2"/>
  <c r="CI100" i="2"/>
  <c r="CI101" i="2"/>
  <c r="CI102" i="2"/>
  <c r="CI103" i="2"/>
  <c r="CI104" i="2"/>
  <c r="CI105" i="2"/>
  <c r="CI106" i="2"/>
  <c r="CI107" i="2"/>
  <c r="CI108" i="2"/>
  <c r="CI109" i="2"/>
  <c r="CI110" i="2"/>
  <c r="CI111" i="2"/>
  <c r="CI112" i="2"/>
  <c r="CI113" i="2"/>
  <c r="CI114" i="2"/>
  <c r="CI115" i="2"/>
  <c r="CI116" i="2"/>
  <c r="CI117" i="2"/>
  <c r="CI118" i="2"/>
  <c r="CI119" i="2"/>
  <c r="CI120" i="2"/>
  <c r="CI121" i="2"/>
  <c r="CI122" i="2"/>
  <c r="CI123" i="2"/>
  <c r="CI124" i="2"/>
  <c r="CI125" i="2"/>
  <c r="CI126" i="2"/>
  <c r="CI127" i="2"/>
  <c r="CI128" i="2"/>
  <c r="CI129" i="2"/>
  <c r="CI130" i="2"/>
  <c r="CI131" i="2"/>
  <c r="CI132" i="2"/>
  <c r="CI133" i="2"/>
  <c r="CI134" i="2"/>
  <c r="CI135" i="2"/>
  <c r="CI136" i="2"/>
  <c r="CI137" i="2"/>
  <c r="CI138" i="2"/>
  <c r="CI139" i="2"/>
  <c r="CI140" i="2"/>
  <c r="CI141" i="2"/>
  <c r="CI142" i="2"/>
  <c r="CI143" i="2"/>
  <c r="CI144" i="2"/>
  <c r="CI145" i="2"/>
  <c r="CI146" i="2"/>
  <c r="CI147" i="2"/>
  <c r="CI148" i="2"/>
  <c r="CI149" i="2"/>
  <c r="CI150" i="2"/>
  <c r="CI151" i="2"/>
  <c r="CI152" i="2"/>
  <c r="CI153" i="2"/>
  <c r="CI154" i="2"/>
  <c r="CI155" i="2"/>
  <c r="CI156" i="2"/>
  <c r="CI157" i="2"/>
  <c r="CI158" i="2"/>
  <c r="CI159" i="2"/>
  <c r="CI160" i="2"/>
  <c r="CI161" i="2"/>
  <c r="CI162" i="2"/>
  <c r="CI163" i="2"/>
  <c r="CI164" i="2"/>
  <c r="CI165" i="2"/>
  <c r="CI166" i="2"/>
  <c r="CI167" i="2"/>
  <c r="CI168" i="2"/>
  <c r="CI169" i="2"/>
  <c r="CI170" i="2"/>
  <c r="CI171" i="2"/>
  <c r="CI172" i="2"/>
  <c r="CI173" i="2"/>
  <c r="CI174" i="2"/>
  <c r="CI175" i="2"/>
  <c r="CI176" i="2"/>
  <c r="CI177" i="2"/>
  <c r="CI178" i="2"/>
  <c r="CI179" i="2"/>
  <c r="CI180" i="2"/>
  <c r="CI181" i="2"/>
  <c r="CI182" i="2"/>
  <c r="CI183" i="2"/>
  <c r="CI184" i="2"/>
  <c r="CI185" i="2"/>
  <c r="CI186" i="2"/>
  <c r="CI187" i="2"/>
  <c r="CI188" i="2"/>
  <c r="CI189" i="2"/>
  <c r="CI190" i="2"/>
  <c r="CI191" i="2"/>
  <c r="CI192" i="2"/>
  <c r="CI193" i="2"/>
  <c r="CI194" i="2"/>
  <c r="CI195" i="2"/>
  <c r="CI196" i="2"/>
  <c r="CI197" i="2"/>
  <c r="CI198" i="2"/>
  <c r="CI199" i="2"/>
  <c r="CI200" i="2"/>
  <c r="CI201" i="2"/>
  <c r="CI202" i="2"/>
  <c r="CI203" i="2"/>
  <c r="CI204" i="2"/>
  <c r="CI205" i="2"/>
  <c r="CI206" i="2"/>
  <c r="CI207" i="2"/>
  <c r="CI208" i="2"/>
  <c r="CI209" i="2"/>
  <c r="CI210" i="2"/>
  <c r="CI211" i="2"/>
  <c r="CI212" i="2"/>
  <c r="CI213" i="2"/>
  <c r="CI214" i="2"/>
  <c r="CI215" i="2"/>
  <c r="CI216" i="2"/>
  <c r="CI217" i="2"/>
  <c r="CI218" i="2"/>
  <c r="CI219" i="2"/>
  <c r="CI220" i="2"/>
  <c r="CI221" i="2"/>
  <c r="CI222" i="2"/>
  <c r="CI223" i="2"/>
  <c r="CI224" i="2"/>
  <c r="CI225" i="2"/>
  <c r="CI226" i="2"/>
  <c r="CI227" i="2"/>
  <c r="CI228" i="2"/>
  <c r="CI229" i="2"/>
  <c r="CI230" i="2"/>
  <c r="CI231" i="2"/>
  <c r="CI232" i="2"/>
  <c r="CI233" i="2"/>
  <c r="CI234" i="2"/>
  <c r="CI235" i="2"/>
  <c r="CI236" i="2"/>
  <c r="CI237" i="2"/>
  <c r="CI238" i="2"/>
  <c r="CI239" i="2"/>
  <c r="CI240" i="2"/>
  <c r="CI241" i="2"/>
  <c r="CI242" i="2"/>
  <c r="CI243" i="2"/>
  <c r="CI244" i="2"/>
  <c r="CI245" i="2"/>
  <c r="CI246" i="2"/>
  <c r="CI247" i="2"/>
  <c r="CI248" i="2"/>
  <c r="CI249" i="2"/>
  <c r="CI250" i="2"/>
  <c r="CI251" i="2"/>
  <c r="CI252" i="2"/>
  <c r="CI253" i="2"/>
  <c r="CI254" i="2"/>
  <c r="CI255" i="2"/>
  <c r="CI256" i="2"/>
  <c r="CI257" i="2"/>
  <c r="CI258" i="2"/>
  <c r="CI259" i="2"/>
  <c r="CI260" i="2"/>
  <c r="CI261" i="2"/>
  <c r="CI262" i="2"/>
  <c r="CI263" i="2"/>
  <c r="CI264" i="2"/>
  <c r="CI265" i="2"/>
  <c r="CI266" i="2"/>
  <c r="CI267" i="2"/>
  <c r="CI268" i="2"/>
  <c r="CI269" i="2"/>
  <c r="CI270" i="2"/>
  <c r="CI271" i="2"/>
  <c r="CI272" i="2"/>
  <c r="CI273" i="2"/>
  <c r="CI274" i="2"/>
  <c r="CI275" i="2"/>
  <c r="CI276" i="2"/>
  <c r="CI277" i="2"/>
  <c r="CI278" i="2"/>
  <c r="CI279" i="2"/>
  <c r="CI280" i="2"/>
  <c r="CI281" i="2"/>
  <c r="CI282" i="2"/>
  <c r="CI283" i="2"/>
  <c r="CI284" i="2"/>
  <c r="CI285" i="2"/>
  <c r="CI286" i="2"/>
  <c r="CI287" i="2"/>
  <c r="CI288" i="2"/>
  <c r="CI289" i="2"/>
  <c r="CI290" i="2"/>
  <c r="CI291" i="2"/>
  <c r="CI292" i="2"/>
  <c r="CI293" i="2"/>
  <c r="CI294" i="2"/>
  <c r="CI295" i="2"/>
  <c r="CI296" i="2"/>
  <c r="CI297" i="2"/>
  <c r="CI298" i="2"/>
  <c r="CI299" i="2"/>
  <c r="CI300" i="2"/>
  <c r="CI301" i="2"/>
  <c r="CI302" i="2"/>
  <c r="CI303" i="2"/>
  <c r="CI304" i="2"/>
  <c r="CI305" i="2"/>
  <c r="CI306" i="2"/>
  <c r="CI307" i="2"/>
  <c r="CI308" i="2"/>
  <c r="CI309" i="2"/>
  <c r="CI310" i="2"/>
  <c r="CI311" i="2"/>
  <c r="CI312" i="2"/>
  <c r="CI313" i="2"/>
  <c r="CI314" i="2"/>
  <c r="CI315" i="2"/>
  <c r="CI316" i="2"/>
  <c r="CI317" i="2"/>
  <c r="CI318" i="2"/>
  <c r="CI319" i="2"/>
  <c r="CI320" i="2"/>
  <c r="CI321" i="2"/>
  <c r="CI322" i="2"/>
  <c r="CI323" i="2"/>
  <c r="CI324" i="2"/>
  <c r="CI325" i="2"/>
  <c r="CI326" i="2"/>
  <c r="CI327" i="2"/>
  <c r="CI328" i="2"/>
  <c r="CI329" i="2"/>
  <c r="CI330" i="2"/>
  <c r="CI331" i="2"/>
  <c r="CI332" i="2"/>
  <c r="CI333" i="2"/>
  <c r="CI334" i="2"/>
  <c r="CI335" i="2"/>
  <c r="CI336" i="2"/>
  <c r="CI337" i="2"/>
  <c r="CI338" i="2"/>
  <c r="CI339" i="2"/>
  <c r="CI340" i="2"/>
  <c r="CI341" i="2"/>
  <c r="CI342" i="2"/>
  <c r="CI343" i="2"/>
  <c r="CI344" i="2"/>
  <c r="CI345" i="2"/>
  <c r="CI346" i="2"/>
  <c r="CI347" i="2"/>
  <c r="CI348" i="2"/>
  <c r="CI349" i="2"/>
  <c r="CI350" i="2"/>
  <c r="CI351" i="2"/>
  <c r="CI352" i="2"/>
  <c r="CI353" i="2"/>
  <c r="CI354" i="2"/>
  <c r="CI355" i="2"/>
  <c r="CI356" i="2"/>
  <c r="CI357" i="2"/>
  <c r="CI358" i="2"/>
  <c r="CI359" i="2"/>
  <c r="CI360" i="2"/>
  <c r="CI361" i="2"/>
  <c r="CI362" i="2"/>
  <c r="CI363" i="2"/>
  <c r="CI364" i="2"/>
  <c r="CI365" i="2"/>
  <c r="CI366" i="2"/>
  <c r="CI367" i="2"/>
  <c r="CI368" i="2"/>
  <c r="CI369" i="2"/>
  <c r="CI370" i="2"/>
  <c r="CI371" i="2"/>
  <c r="CI372" i="2"/>
  <c r="CI373" i="2"/>
  <c r="CI374" i="2"/>
  <c r="CI375" i="2"/>
  <c r="CI376" i="2"/>
  <c r="CI377" i="2"/>
  <c r="CI378" i="2"/>
  <c r="CI379" i="2"/>
  <c r="CI380" i="2"/>
  <c r="CI381" i="2"/>
  <c r="CI382" i="2"/>
  <c r="CI383" i="2"/>
  <c r="CI384" i="2"/>
  <c r="CI385" i="2"/>
  <c r="CI386" i="2"/>
  <c r="CI387" i="2"/>
  <c r="CI388" i="2"/>
  <c r="CI389" i="2"/>
  <c r="CI390" i="2"/>
  <c r="CI391" i="2"/>
  <c r="CI392" i="2"/>
  <c r="CI393" i="2"/>
  <c r="CI394" i="2"/>
  <c r="CI395" i="2"/>
  <c r="CI396" i="2"/>
  <c r="CI397" i="2"/>
  <c r="CI398" i="2"/>
  <c r="CI399" i="2"/>
  <c r="CI400" i="2"/>
  <c r="CI401" i="2"/>
  <c r="CI402" i="2"/>
  <c r="CI403" i="2"/>
  <c r="CI404" i="2"/>
  <c r="CI405" i="2"/>
  <c r="CI406" i="2"/>
  <c r="CI407" i="2"/>
  <c r="CI408" i="2"/>
  <c r="CI409" i="2"/>
  <c r="CI410" i="2"/>
  <c r="CI411" i="2"/>
  <c r="CI412" i="2"/>
  <c r="CI413" i="2"/>
  <c r="CI414" i="2"/>
  <c r="CI415" i="2"/>
  <c r="CI416" i="2"/>
  <c r="CI417" i="2"/>
  <c r="CI418" i="2"/>
  <c r="CI419" i="2"/>
  <c r="CI420" i="2"/>
  <c r="CI421" i="2"/>
  <c r="CI422" i="2"/>
  <c r="CI423" i="2"/>
  <c r="CI424" i="2"/>
  <c r="CI425" i="2"/>
  <c r="CI426" i="2"/>
  <c r="CI427" i="2"/>
  <c r="CI428" i="2"/>
  <c r="CI429" i="2"/>
  <c r="CI430" i="2"/>
  <c r="CI431" i="2"/>
  <c r="CI432" i="2"/>
  <c r="CI433" i="2"/>
  <c r="CI434" i="2"/>
  <c r="CI435" i="2"/>
  <c r="CI436" i="2"/>
  <c r="CI437" i="2"/>
  <c r="CI438" i="2"/>
  <c r="CI439" i="2"/>
  <c r="CI440" i="2"/>
  <c r="CI441" i="2"/>
  <c r="CI442" i="2"/>
  <c r="CI443" i="2"/>
  <c r="CI444" i="2"/>
  <c r="CI445" i="2"/>
  <c r="CI446" i="2"/>
  <c r="CI447" i="2"/>
  <c r="CI448" i="2"/>
  <c r="CI449" i="2"/>
  <c r="CI450" i="2"/>
  <c r="CI451" i="2"/>
  <c r="CI452" i="2"/>
  <c r="CI453" i="2"/>
  <c r="CI454" i="2"/>
  <c r="CI455" i="2"/>
  <c r="CI456" i="2"/>
  <c r="CI457" i="2"/>
  <c r="CI458" i="2"/>
  <c r="CI459" i="2"/>
  <c r="CI460" i="2"/>
  <c r="CI461" i="2"/>
  <c r="CI462" i="2"/>
  <c r="CI463" i="2"/>
  <c r="CI464" i="2"/>
  <c r="CI465" i="2"/>
  <c r="CI466" i="2"/>
  <c r="CI467" i="2"/>
  <c r="CI468" i="2"/>
  <c r="CI469" i="2"/>
  <c r="CI470" i="2"/>
  <c r="CI471" i="2"/>
  <c r="CI472" i="2"/>
  <c r="CI473" i="2"/>
  <c r="CI474" i="2"/>
  <c r="CI475" i="2"/>
  <c r="CI476" i="2"/>
  <c r="CI477" i="2"/>
  <c r="CI478" i="2"/>
  <c r="CI479" i="2"/>
  <c r="CI480" i="2"/>
  <c r="CI481" i="2"/>
  <c r="CI482" i="2"/>
  <c r="CI483" i="2"/>
  <c r="CI484" i="2"/>
  <c r="CI485" i="2"/>
  <c r="CI486" i="2"/>
  <c r="CI487" i="2"/>
  <c r="CI488" i="2"/>
  <c r="CI489" i="2"/>
  <c r="CI490" i="2"/>
  <c r="CI491" i="2"/>
  <c r="CI492" i="2"/>
  <c r="CI493" i="2"/>
  <c r="CI494" i="2"/>
  <c r="CI495" i="2"/>
  <c r="CI496" i="2"/>
  <c r="CI497" i="2"/>
  <c r="CI498" i="2"/>
  <c r="CI499" i="2"/>
  <c r="CI500" i="2"/>
  <c r="CI501" i="2"/>
  <c r="CI502" i="2"/>
  <c r="CI503" i="2"/>
  <c r="CI504" i="2"/>
  <c r="CI505" i="2"/>
  <c r="CI506" i="2"/>
  <c r="CI507" i="2"/>
  <c r="CI508" i="2"/>
  <c r="CI509" i="2"/>
  <c r="CI510" i="2"/>
  <c r="CI511" i="2"/>
  <c r="CI512" i="2"/>
  <c r="CI513" i="2"/>
  <c r="CI514" i="2"/>
  <c r="CI515" i="2"/>
  <c r="CI516" i="2"/>
  <c r="CI517" i="2"/>
  <c r="CI518" i="2"/>
  <c r="CI519" i="2"/>
  <c r="CI520" i="2"/>
  <c r="CI521" i="2"/>
  <c r="CI522" i="2"/>
  <c r="CI523" i="2"/>
  <c r="CI524" i="2"/>
  <c r="CI525" i="2"/>
  <c r="CI526" i="2"/>
  <c r="CI527" i="2"/>
  <c r="CI528" i="2"/>
  <c r="CI529" i="2"/>
  <c r="CI530" i="2"/>
  <c r="CI531" i="2"/>
  <c r="CI532" i="2"/>
  <c r="CI533" i="2"/>
  <c r="CI534" i="2"/>
  <c r="CI535" i="2"/>
  <c r="CI536" i="2"/>
  <c r="CI537" i="2"/>
  <c r="CI538" i="2"/>
  <c r="CI539" i="2"/>
  <c r="CI540" i="2"/>
  <c r="CI541" i="2"/>
  <c r="CI542" i="2"/>
  <c r="CI543" i="2"/>
  <c r="CI544" i="2"/>
  <c r="CI545" i="2"/>
  <c r="CI546" i="2"/>
  <c r="CI547" i="2"/>
  <c r="CI548" i="2"/>
  <c r="CI549" i="2"/>
  <c r="CI550" i="2"/>
  <c r="CI551" i="2"/>
  <c r="CI552" i="2"/>
  <c r="CI553" i="2"/>
  <c r="CI554" i="2"/>
  <c r="CI555" i="2"/>
  <c r="CI556" i="2"/>
  <c r="CI557" i="2"/>
  <c r="CI558" i="2"/>
  <c r="CI559" i="2"/>
  <c r="CI560" i="2"/>
  <c r="CI561" i="2"/>
  <c r="CI562" i="2"/>
  <c r="CI563" i="2"/>
  <c r="CI564" i="2"/>
  <c r="CI565" i="2"/>
  <c r="CI566" i="2"/>
  <c r="CI567" i="2"/>
  <c r="CI568" i="2"/>
  <c r="CI569" i="2"/>
  <c r="CI570" i="2"/>
  <c r="CI571" i="2"/>
  <c r="CI572" i="2"/>
  <c r="CI573" i="2"/>
  <c r="CI574" i="2"/>
  <c r="CI575" i="2"/>
  <c r="CI576" i="2"/>
  <c r="CI577" i="2"/>
  <c r="CI578" i="2"/>
  <c r="CI579" i="2"/>
  <c r="CI580" i="2"/>
  <c r="CI581" i="2"/>
  <c r="CI582" i="2"/>
  <c r="CI583" i="2"/>
  <c r="CI584" i="2"/>
  <c r="CI585" i="2"/>
  <c r="CI586" i="2"/>
  <c r="CI587" i="2"/>
  <c r="CI588" i="2"/>
  <c r="CI589" i="2"/>
  <c r="CI590" i="2"/>
  <c r="CI591" i="2"/>
  <c r="CI592" i="2"/>
  <c r="CI593" i="2"/>
  <c r="CI594" i="2"/>
  <c r="CI595" i="2"/>
  <c r="CI596" i="2"/>
  <c r="CI597" i="2"/>
  <c r="CI598" i="2"/>
  <c r="CI599" i="2"/>
  <c r="CI600" i="2"/>
  <c r="CI601" i="2"/>
  <c r="CI602" i="2"/>
  <c r="CI603" i="2"/>
  <c r="CI604" i="2"/>
  <c r="CI605" i="2"/>
  <c r="CI606" i="2"/>
  <c r="CI607" i="2"/>
  <c r="CI608" i="2"/>
  <c r="CI609" i="2"/>
  <c r="CI610" i="2"/>
  <c r="CI611" i="2"/>
  <c r="CI612" i="2"/>
  <c r="CI613" i="2"/>
  <c r="CI614" i="2"/>
  <c r="CI615" i="2"/>
  <c r="CI616" i="2"/>
  <c r="CI617" i="2"/>
  <c r="CI618" i="2"/>
  <c r="CI619" i="2"/>
  <c r="CI620" i="2"/>
  <c r="CI621" i="2"/>
  <c r="CI622" i="2"/>
  <c r="CI623" i="2"/>
  <c r="CI624" i="2"/>
  <c r="CI625" i="2"/>
  <c r="CI626" i="2"/>
  <c r="CI627" i="2"/>
  <c r="CI628" i="2"/>
  <c r="CI629" i="2"/>
  <c r="CI630" i="2"/>
  <c r="CI631" i="2"/>
  <c r="CI632" i="2"/>
  <c r="CI633" i="2"/>
  <c r="CI634" i="2"/>
  <c r="CI635" i="2"/>
  <c r="CI636" i="2"/>
  <c r="CI637" i="2"/>
  <c r="CI638" i="2"/>
  <c r="CI639" i="2"/>
  <c r="CI640" i="2"/>
  <c r="CI641" i="2"/>
  <c r="CI642" i="2"/>
  <c r="CI643" i="2"/>
  <c r="CI644" i="2"/>
  <c r="CI645" i="2"/>
  <c r="CI646" i="2"/>
  <c r="CI647" i="2"/>
  <c r="CI648" i="2"/>
  <c r="CI649" i="2"/>
  <c r="CI650" i="2"/>
  <c r="CI651" i="2"/>
  <c r="CI652" i="2"/>
  <c r="CI653" i="2"/>
  <c r="CI654" i="2"/>
  <c r="CI655" i="2"/>
  <c r="CI656" i="2"/>
  <c r="CI657" i="2"/>
  <c r="CI658" i="2"/>
  <c r="CI659" i="2"/>
  <c r="CI660" i="2"/>
  <c r="CI661" i="2"/>
  <c r="CI662" i="2"/>
  <c r="CI663" i="2"/>
  <c r="CI664" i="2"/>
  <c r="CI665" i="2"/>
  <c r="CI666" i="2"/>
  <c r="CI667" i="2"/>
  <c r="CI668" i="2"/>
  <c r="CI669" i="2"/>
  <c r="CI670" i="2"/>
  <c r="CI671" i="2"/>
  <c r="CI672" i="2"/>
  <c r="CI673" i="2"/>
  <c r="CI674" i="2"/>
  <c r="CI675" i="2"/>
  <c r="CI676" i="2"/>
  <c r="CI677" i="2"/>
  <c r="CI678" i="2"/>
  <c r="CI679" i="2"/>
  <c r="CI680" i="2"/>
  <c r="CI681" i="2"/>
  <c r="CI682" i="2"/>
  <c r="CI683" i="2"/>
  <c r="CI684" i="2"/>
  <c r="CI685" i="2"/>
  <c r="CI686" i="2"/>
  <c r="CI687" i="2"/>
  <c r="CI688" i="2"/>
  <c r="CI689" i="2"/>
  <c r="CI690" i="2"/>
  <c r="CI691" i="2"/>
  <c r="CI692" i="2"/>
  <c r="CI693" i="2"/>
  <c r="CI694" i="2"/>
  <c r="CI695" i="2"/>
  <c r="CI696" i="2"/>
  <c r="CI697" i="2"/>
  <c r="CI698" i="2"/>
  <c r="CI699" i="2"/>
  <c r="CI700" i="2"/>
  <c r="CI701" i="2"/>
  <c r="CI702" i="2"/>
  <c r="CI703" i="2"/>
  <c r="CI704" i="2"/>
  <c r="CI705" i="2"/>
  <c r="CJ2" i="2"/>
  <c r="CJ3" i="2"/>
  <c r="CJ4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86" i="2"/>
  <c r="CJ87" i="2"/>
  <c r="CJ88" i="2"/>
  <c r="CJ89" i="2"/>
  <c r="CJ90" i="2"/>
  <c r="CJ91" i="2"/>
  <c r="CJ92" i="2"/>
  <c r="CJ93" i="2"/>
  <c r="CJ94" i="2"/>
  <c r="CJ95" i="2"/>
  <c r="CJ96" i="2"/>
  <c r="CJ97" i="2"/>
  <c r="CJ98" i="2"/>
  <c r="CJ99" i="2"/>
  <c r="CJ100" i="2"/>
  <c r="CJ101" i="2"/>
  <c r="CJ102" i="2"/>
  <c r="CJ103" i="2"/>
  <c r="CJ104" i="2"/>
  <c r="CJ105" i="2"/>
  <c r="CJ106" i="2"/>
  <c r="CJ107" i="2"/>
  <c r="CJ108" i="2"/>
  <c r="CJ109" i="2"/>
  <c r="CJ110" i="2"/>
  <c r="CJ111" i="2"/>
  <c r="CJ112" i="2"/>
  <c r="CJ113" i="2"/>
  <c r="CJ114" i="2"/>
  <c r="CJ115" i="2"/>
  <c r="CJ116" i="2"/>
  <c r="CJ117" i="2"/>
  <c r="CJ118" i="2"/>
  <c r="CJ119" i="2"/>
  <c r="CJ120" i="2"/>
  <c r="CJ121" i="2"/>
  <c r="CJ122" i="2"/>
  <c r="CJ123" i="2"/>
  <c r="CJ124" i="2"/>
  <c r="CJ125" i="2"/>
  <c r="CJ126" i="2"/>
  <c r="CJ127" i="2"/>
  <c r="CJ128" i="2"/>
  <c r="CJ129" i="2"/>
  <c r="CJ130" i="2"/>
  <c r="CJ131" i="2"/>
  <c r="CJ132" i="2"/>
  <c r="CJ133" i="2"/>
  <c r="CJ134" i="2"/>
  <c r="CJ135" i="2"/>
  <c r="CJ136" i="2"/>
  <c r="CJ137" i="2"/>
  <c r="CJ138" i="2"/>
  <c r="CJ139" i="2"/>
  <c r="CJ140" i="2"/>
  <c r="CJ141" i="2"/>
  <c r="CJ142" i="2"/>
  <c r="CJ143" i="2"/>
  <c r="CJ144" i="2"/>
  <c r="CJ145" i="2"/>
  <c r="CJ146" i="2"/>
  <c r="CJ147" i="2"/>
  <c r="CJ148" i="2"/>
  <c r="CJ149" i="2"/>
  <c r="CJ150" i="2"/>
  <c r="CJ151" i="2"/>
  <c r="CJ152" i="2"/>
  <c r="CJ153" i="2"/>
  <c r="CJ154" i="2"/>
  <c r="CJ155" i="2"/>
  <c r="CJ156" i="2"/>
  <c r="CJ157" i="2"/>
  <c r="CJ158" i="2"/>
  <c r="CJ159" i="2"/>
  <c r="CJ160" i="2"/>
  <c r="CJ161" i="2"/>
  <c r="CJ162" i="2"/>
  <c r="CJ163" i="2"/>
  <c r="CJ164" i="2"/>
  <c r="CJ165" i="2"/>
  <c r="CJ166" i="2"/>
  <c r="CJ167" i="2"/>
  <c r="CJ168" i="2"/>
  <c r="CJ169" i="2"/>
  <c r="CJ170" i="2"/>
  <c r="CJ171" i="2"/>
  <c r="CJ172" i="2"/>
  <c r="CJ173" i="2"/>
  <c r="CJ174" i="2"/>
  <c r="CJ175" i="2"/>
  <c r="CJ176" i="2"/>
  <c r="CJ177" i="2"/>
  <c r="CJ178" i="2"/>
  <c r="CJ179" i="2"/>
  <c r="CJ180" i="2"/>
  <c r="CJ181" i="2"/>
  <c r="CJ182" i="2"/>
  <c r="CJ183" i="2"/>
  <c r="CJ184" i="2"/>
  <c r="CJ185" i="2"/>
  <c r="CJ186" i="2"/>
  <c r="CJ187" i="2"/>
  <c r="CJ188" i="2"/>
  <c r="CJ189" i="2"/>
  <c r="CJ190" i="2"/>
  <c r="CJ191" i="2"/>
  <c r="CJ192" i="2"/>
  <c r="CJ193" i="2"/>
  <c r="CJ194" i="2"/>
  <c r="CJ195" i="2"/>
  <c r="CJ196" i="2"/>
  <c r="CJ197" i="2"/>
  <c r="CJ198" i="2"/>
  <c r="CJ199" i="2"/>
  <c r="CJ200" i="2"/>
  <c r="CJ201" i="2"/>
  <c r="CJ202" i="2"/>
  <c r="CJ203" i="2"/>
  <c r="CJ204" i="2"/>
  <c r="CJ205" i="2"/>
  <c r="CJ206" i="2"/>
  <c r="CJ207" i="2"/>
  <c r="CJ208" i="2"/>
  <c r="CJ209" i="2"/>
  <c r="CJ210" i="2"/>
  <c r="CJ211" i="2"/>
  <c r="CJ212" i="2"/>
  <c r="CJ213" i="2"/>
  <c r="CJ214" i="2"/>
  <c r="CJ215" i="2"/>
  <c r="CJ216" i="2"/>
  <c r="CJ217" i="2"/>
  <c r="CJ218" i="2"/>
  <c r="CJ219" i="2"/>
  <c r="CJ220" i="2"/>
  <c r="CJ221" i="2"/>
  <c r="CJ222" i="2"/>
  <c r="CJ223" i="2"/>
  <c r="CJ224" i="2"/>
  <c r="CJ225" i="2"/>
  <c r="CJ226" i="2"/>
  <c r="CJ227" i="2"/>
  <c r="CJ228" i="2"/>
  <c r="CJ229" i="2"/>
  <c r="CJ230" i="2"/>
  <c r="CJ231" i="2"/>
  <c r="CJ232" i="2"/>
  <c r="CJ233" i="2"/>
  <c r="CJ234" i="2"/>
  <c r="CJ235" i="2"/>
  <c r="CJ236" i="2"/>
  <c r="CJ237" i="2"/>
  <c r="CJ238" i="2"/>
  <c r="CJ239" i="2"/>
  <c r="CJ240" i="2"/>
  <c r="CJ241" i="2"/>
  <c r="CJ242" i="2"/>
  <c r="CJ243" i="2"/>
  <c r="CJ244" i="2"/>
  <c r="CJ245" i="2"/>
  <c r="CJ246" i="2"/>
  <c r="CJ247" i="2"/>
  <c r="CJ248" i="2"/>
  <c r="CJ249" i="2"/>
  <c r="CJ250" i="2"/>
  <c r="CJ251" i="2"/>
  <c r="CJ252" i="2"/>
  <c r="CJ253" i="2"/>
  <c r="CJ254" i="2"/>
  <c r="CJ255" i="2"/>
  <c r="CJ256" i="2"/>
  <c r="CJ257" i="2"/>
  <c r="CJ258" i="2"/>
  <c r="CJ259" i="2"/>
  <c r="CJ260" i="2"/>
  <c r="CJ261" i="2"/>
  <c r="CJ262" i="2"/>
  <c r="CJ263" i="2"/>
  <c r="CJ264" i="2"/>
  <c r="CJ265" i="2"/>
  <c r="CJ266" i="2"/>
  <c r="CJ267" i="2"/>
  <c r="CJ268" i="2"/>
  <c r="CJ269" i="2"/>
  <c r="CJ270" i="2"/>
  <c r="CJ271" i="2"/>
  <c r="CJ272" i="2"/>
  <c r="CJ273" i="2"/>
  <c r="CJ274" i="2"/>
  <c r="CJ275" i="2"/>
  <c r="CJ276" i="2"/>
  <c r="CJ277" i="2"/>
  <c r="CJ278" i="2"/>
  <c r="CJ279" i="2"/>
  <c r="CJ280" i="2"/>
  <c r="CJ281" i="2"/>
  <c r="CJ282" i="2"/>
  <c r="CJ283" i="2"/>
  <c r="CJ284" i="2"/>
  <c r="CJ285" i="2"/>
  <c r="CJ286" i="2"/>
  <c r="CJ287" i="2"/>
  <c r="CJ288" i="2"/>
  <c r="CJ289" i="2"/>
  <c r="CJ290" i="2"/>
  <c r="CJ291" i="2"/>
  <c r="CJ292" i="2"/>
  <c r="CJ293" i="2"/>
  <c r="CJ294" i="2"/>
  <c r="CJ295" i="2"/>
  <c r="CJ296" i="2"/>
  <c r="CJ297" i="2"/>
  <c r="CJ298" i="2"/>
  <c r="CJ299" i="2"/>
  <c r="CJ300" i="2"/>
  <c r="CJ301" i="2"/>
  <c r="CJ302" i="2"/>
  <c r="CJ303" i="2"/>
  <c r="CJ304" i="2"/>
  <c r="CJ305" i="2"/>
  <c r="CJ306" i="2"/>
  <c r="CJ307" i="2"/>
  <c r="CJ308" i="2"/>
  <c r="CJ309" i="2"/>
  <c r="CJ310" i="2"/>
  <c r="CJ311" i="2"/>
  <c r="CJ312" i="2"/>
  <c r="CJ313" i="2"/>
  <c r="CJ314" i="2"/>
  <c r="CJ315" i="2"/>
  <c r="CJ316" i="2"/>
  <c r="CJ317" i="2"/>
  <c r="CJ318" i="2"/>
  <c r="CJ319" i="2"/>
  <c r="CJ320" i="2"/>
  <c r="CJ321" i="2"/>
  <c r="CJ322" i="2"/>
  <c r="CJ323" i="2"/>
  <c r="CJ324" i="2"/>
  <c r="CJ325" i="2"/>
  <c r="CJ326" i="2"/>
  <c r="CJ327" i="2"/>
  <c r="CJ328" i="2"/>
  <c r="CJ329" i="2"/>
  <c r="CJ330" i="2"/>
  <c r="CJ331" i="2"/>
  <c r="CJ332" i="2"/>
  <c r="CJ333" i="2"/>
  <c r="CJ334" i="2"/>
  <c r="CJ335" i="2"/>
  <c r="CJ336" i="2"/>
  <c r="CJ337" i="2"/>
  <c r="CJ338" i="2"/>
  <c r="CJ339" i="2"/>
  <c r="CJ340" i="2"/>
  <c r="CJ341" i="2"/>
  <c r="CJ342" i="2"/>
  <c r="CJ343" i="2"/>
  <c r="CJ344" i="2"/>
  <c r="CJ345" i="2"/>
  <c r="CJ346" i="2"/>
  <c r="CJ347" i="2"/>
  <c r="CJ348" i="2"/>
  <c r="CJ349" i="2"/>
  <c r="CJ350" i="2"/>
  <c r="CJ351" i="2"/>
  <c r="CJ352" i="2"/>
  <c r="CJ353" i="2"/>
  <c r="CJ354" i="2"/>
  <c r="CJ355" i="2"/>
  <c r="CJ356" i="2"/>
  <c r="CJ357" i="2"/>
  <c r="CJ358" i="2"/>
  <c r="CJ359" i="2"/>
  <c r="CJ360" i="2"/>
  <c r="CJ361" i="2"/>
  <c r="CJ362" i="2"/>
  <c r="CJ363" i="2"/>
  <c r="CJ364" i="2"/>
  <c r="CJ365" i="2"/>
  <c r="CJ366" i="2"/>
  <c r="CJ367" i="2"/>
  <c r="CJ368" i="2"/>
  <c r="CJ369" i="2"/>
  <c r="CJ370" i="2"/>
  <c r="CJ371" i="2"/>
  <c r="CJ372" i="2"/>
  <c r="CJ373" i="2"/>
  <c r="CJ374" i="2"/>
  <c r="CJ375" i="2"/>
  <c r="CJ376" i="2"/>
  <c r="CJ377" i="2"/>
  <c r="CJ378" i="2"/>
  <c r="CJ379" i="2"/>
  <c r="CJ380" i="2"/>
  <c r="CJ381" i="2"/>
  <c r="CJ382" i="2"/>
  <c r="CJ383" i="2"/>
  <c r="CJ384" i="2"/>
  <c r="CJ385" i="2"/>
  <c r="CJ386" i="2"/>
  <c r="CJ387" i="2"/>
  <c r="CJ388" i="2"/>
  <c r="CJ389" i="2"/>
  <c r="CJ390" i="2"/>
  <c r="CJ391" i="2"/>
  <c r="CJ392" i="2"/>
  <c r="CJ393" i="2"/>
  <c r="CJ394" i="2"/>
  <c r="CJ395" i="2"/>
  <c r="CJ396" i="2"/>
  <c r="CJ397" i="2"/>
  <c r="CJ398" i="2"/>
  <c r="CJ399" i="2"/>
  <c r="CJ400" i="2"/>
  <c r="CJ401" i="2"/>
  <c r="CJ402" i="2"/>
  <c r="CJ403" i="2"/>
  <c r="CJ404" i="2"/>
  <c r="CJ405" i="2"/>
  <c r="CJ406" i="2"/>
  <c r="CJ407" i="2"/>
  <c r="CJ408" i="2"/>
  <c r="CJ409" i="2"/>
  <c r="CJ410" i="2"/>
  <c r="CJ411" i="2"/>
  <c r="CJ412" i="2"/>
  <c r="CJ413" i="2"/>
  <c r="CJ414" i="2"/>
  <c r="CJ415" i="2"/>
  <c r="CJ416" i="2"/>
  <c r="CJ417" i="2"/>
  <c r="CJ418" i="2"/>
  <c r="CJ419" i="2"/>
  <c r="CJ420" i="2"/>
  <c r="CJ421" i="2"/>
  <c r="CJ422" i="2"/>
  <c r="CJ423" i="2"/>
  <c r="CJ424" i="2"/>
  <c r="CJ425" i="2"/>
  <c r="CJ426" i="2"/>
  <c r="CJ427" i="2"/>
  <c r="CJ428" i="2"/>
  <c r="CJ429" i="2"/>
  <c r="CJ430" i="2"/>
  <c r="CJ431" i="2"/>
  <c r="CJ432" i="2"/>
  <c r="CJ433" i="2"/>
  <c r="CJ434" i="2"/>
  <c r="CJ435" i="2"/>
  <c r="CJ436" i="2"/>
  <c r="CJ437" i="2"/>
  <c r="CJ438" i="2"/>
  <c r="CJ439" i="2"/>
  <c r="CJ440" i="2"/>
  <c r="CJ441" i="2"/>
  <c r="CJ442" i="2"/>
  <c r="CJ443" i="2"/>
  <c r="CJ444" i="2"/>
  <c r="CJ445" i="2"/>
  <c r="CJ446" i="2"/>
  <c r="CJ447" i="2"/>
  <c r="CJ448" i="2"/>
  <c r="CJ449" i="2"/>
  <c r="CJ450" i="2"/>
  <c r="CJ451" i="2"/>
  <c r="CJ452" i="2"/>
  <c r="CJ453" i="2"/>
  <c r="CJ454" i="2"/>
  <c r="CJ455" i="2"/>
  <c r="CJ456" i="2"/>
  <c r="CJ457" i="2"/>
  <c r="CJ458" i="2"/>
  <c r="CJ459" i="2"/>
  <c r="CJ460" i="2"/>
  <c r="CJ461" i="2"/>
  <c r="CJ462" i="2"/>
  <c r="CJ463" i="2"/>
  <c r="CJ464" i="2"/>
  <c r="CJ465" i="2"/>
  <c r="CJ466" i="2"/>
  <c r="CJ467" i="2"/>
  <c r="CJ468" i="2"/>
  <c r="CJ469" i="2"/>
  <c r="CJ470" i="2"/>
  <c r="CJ471" i="2"/>
  <c r="CJ472" i="2"/>
  <c r="CJ473" i="2"/>
  <c r="CJ474" i="2"/>
  <c r="CJ475" i="2"/>
  <c r="CJ476" i="2"/>
  <c r="CJ477" i="2"/>
  <c r="CJ478" i="2"/>
  <c r="CJ479" i="2"/>
  <c r="CJ480" i="2"/>
  <c r="CJ481" i="2"/>
  <c r="CJ482" i="2"/>
  <c r="CJ483" i="2"/>
  <c r="CJ484" i="2"/>
  <c r="CJ485" i="2"/>
  <c r="CJ486" i="2"/>
  <c r="CJ487" i="2"/>
  <c r="CJ488" i="2"/>
  <c r="CJ489" i="2"/>
  <c r="CJ490" i="2"/>
  <c r="CJ491" i="2"/>
  <c r="CJ492" i="2"/>
  <c r="CJ493" i="2"/>
  <c r="CJ494" i="2"/>
  <c r="CJ495" i="2"/>
  <c r="CJ496" i="2"/>
  <c r="CJ497" i="2"/>
  <c r="CJ498" i="2"/>
  <c r="CJ499" i="2"/>
  <c r="CJ500" i="2"/>
  <c r="CJ501" i="2"/>
  <c r="CJ502" i="2"/>
  <c r="CJ503" i="2"/>
  <c r="CJ504" i="2"/>
  <c r="CJ505" i="2"/>
  <c r="CJ506" i="2"/>
  <c r="CJ507" i="2"/>
  <c r="CJ508" i="2"/>
  <c r="CJ509" i="2"/>
  <c r="CJ510" i="2"/>
  <c r="CJ511" i="2"/>
  <c r="CJ512" i="2"/>
  <c r="CJ513" i="2"/>
  <c r="CJ514" i="2"/>
  <c r="CJ515" i="2"/>
  <c r="CJ516" i="2"/>
  <c r="CJ517" i="2"/>
  <c r="CJ518" i="2"/>
  <c r="CJ519" i="2"/>
  <c r="CJ520" i="2"/>
  <c r="CJ521" i="2"/>
  <c r="CJ522" i="2"/>
  <c r="CJ523" i="2"/>
  <c r="CJ524" i="2"/>
  <c r="CJ525" i="2"/>
  <c r="CJ526" i="2"/>
  <c r="CJ527" i="2"/>
  <c r="CJ528" i="2"/>
  <c r="CJ529" i="2"/>
  <c r="CJ530" i="2"/>
  <c r="CJ531" i="2"/>
  <c r="CJ532" i="2"/>
  <c r="CJ533" i="2"/>
  <c r="CJ534" i="2"/>
  <c r="CJ535" i="2"/>
  <c r="CJ536" i="2"/>
  <c r="CJ537" i="2"/>
  <c r="CJ538" i="2"/>
  <c r="CJ539" i="2"/>
  <c r="CJ540" i="2"/>
  <c r="CJ541" i="2"/>
  <c r="CJ542" i="2"/>
  <c r="CJ543" i="2"/>
  <c r="CJ544" i="2"/>
  <c r="CJ545" i="2"/>
  <c r="CJ546" i="2"/>
  <c r="CJ547" i="2"/>
  <c r="CJ548" i="2"/>
  <c r="CJ549" i="2"/>
  <c r="CJ550" i="2"/>
  <c r="CJ551" i="2"/>
  <c r="CJ552" i="2"/>
  <c r="CJ553" i="2"/>
  <c r="CJ554" i="2"/>
  <c r="CJ555" i="2"/>
  <c r="CJ556" i="2"/>
  <c r="CJ557" i="2"/>
  <c r="CJ558" i="2"/>
  <c r="CJ559" i="2"/>
  <c r="CJ560" i="2"/>
  <c r="CJ561" i="2"/>
  <c r="CJ562" i="2"/>
  <c r="CJ563" i="2"/>
  <c r="CJ564" i="2"/>
  <c r="CJ565" i="2"/>
  <c r="CJ566" i="2"/>
  <c r="CJ567" i="2"/>
  <c r="CJ568" i="2"/>
  <c r="CJ569" i="2"/>
  <c r="CJ570" i="2"/>
  <c r="CJ571" i="2"/>
  <c r="CJ572" i="2"/>
  <c r="CJ573" i="2"/>
  <c r="CJ574" i="2"/>
  <c r="CJ575" i="2"/>
  <c r="CJ576" i="2"/>
  <c r="CJ577" i="2"/>
  <c r="CJ578" i="2"/>
  <c r="CJ579" i="2"/>
  <c r="CJ580" i="2"/>
  <c r="CJ581" i="2"/>
  <c r="CJ582" i="2"/>
  <c r="CJ583" i="2"/>
  <c r="CJ584" i="2"/>
  <c r="CJ585" i="2"/>
  <c r="CJ586" i="2"/>
  <c r="CJ587" i="2"/>
  <c r="CJ588" i="2"/>
  <c r="CJ589" i="2"/>
  <c r="CJ590" i="2"/>
  <c r="CJ591" i="2"/>
  <c r="CJ592" i="2"/>
  <c r="CJ593" i="2"/>
  <c r="CJ594" i="2"/>
  <c r="CJ595" i="2"/>
  <c r="CJ596" i="2"/>
  <c r="CJ597" i="2"/>
  <c r="CJ598" i="2"/>
  <c r="CJ599" i="2"/>
  <c r="CJ600" i="2"/>
  <c r="CJ601" i="2"/>
  <c r="CJ602" i="2"/>
  <c r="CJ603" i="2"/>
  <c r="CJ604" i="2"/>
  <c r="CJ605" i="2"/>
  <c r="CJ606" i="2"/>
  <c r="CJ607" i="2"/>
  <c r="CJ608" i="2"/>
  <c r="CJ609" i="2"/>
  <c r="CJ610" i="2"/>
  <c r="CJ611" i="2"/>
  <c r="CJ612" i="2"/>
  <c r="CJ613" i="2"/>
  <c r="CJ614" i="2"/>
  <c r="CJ615" i="2"/>
  <c r="CJ616" i="2"/>
  <c r="CJ617" i="2"/>
  <c r="CJ618" i="2"/>
  <c r="CJ619" i="2"/>
  <c r="CJ620" i="2"/>
  <c r="CJ621" i="2"/>
  <c r="CJ622" i="2"/>
  <c r="CJ623" i="2"/>
  <c r="CJ624" i="2"/>
  <c r="CJ625" i="2"/>
  <c r="CJ626" i="2"/>
  <c r="CJ627" i="2"/>
  <c r="CJ628" i="2"/>
  <c r="CJ629" i="2"/>
  <c r="CJ630" i="2"/>
  <c r="CJ631" i="2"/>
  <c r="CJ632" i="2"/>
  <c r="CJ633" i="2"/>
  <c r="CJ634" i="2"/>
  <c r="CJ635" i="2"/>
  <c r="CJ636" i="2"/>
  <c r="CJ637" i="2"/>
  <c r="CJ638" i="2"/>
  <c r="CJ639" i="2"/>
  <c r="CJ640" i="2"/>
  <c r="CJ641" i="2"/>
  <c r="CJ642" i="2"/>
  <c r="CJ643" i="2"/>
  <c r="CJ644" i="2"/>
  <c r="CJ645" i="2"/>
  <c r="CJ646" i="2"/>
  <c r="CJ647" i="2"/>
  <c r="CJ648" i="2"/>
  <c r="CJ649" i="2"/>
  <c r="CJ650" i="2"/>
  <c r="CJ651" i="2"/>
  <c r="CJ652" i="2"/>
  <c r="CJ653" i="2"/>
  <c r="CJ654" i="2"/>
  <c r="CJ655" i="2"/>
  <c r="CJ656" i="2"/>
  <c r="CJ657" i="2"/>
  <c r="CJ658" i="2"/>
  <c r="CJ659" i="2"/>
  <c r="CJ660" i="2"/>
  <c r="CJ661" i="2"/>
  <c r="CJ662" i="2"/>
  <c r="CJ663" i="2"/>
  <c r="CJ664" i="2"/>
  <c r="CJ665" i="2"/>
  <c r="CJ666" i="2"/>
  <c r="CJ667" i="2"/>
  <c r="CJ668" i="2"/>
  <c r="CJ669" i="2"/>
  <c r="CJ670" i="2"/>
  <c r="CJ671" i="2"/>
  <c r="CJ672" i="2"/>
  <c r="CJ673" i="2"/>
  <c r="CJ674" i="2"/>
  <c r="CJ675" i="2"/>
  <c r="CJ676" i="2"/>
  <c r="CJ677" i="2"/>
  <c r="CJ678" i="2"/>
  <c r="CJ679" i="2"/>
  <c r="CJ680" i="2"/>
  <c r="CJ681" i="2"/>
  <c r="CJ682" i="2"/>
  <c r="CJ683" i="2"/>
  <c r="CJ684" i="2"/>
  <c r="CJ685" i="2"/>
  <c r="CJ686" i="2"/>
  <c r="CJ687" i="2"/>
  <c r="CJ688" i="2"/>
  <c r="CJ689" i="2"/>
  <c r="CJ690" i="2"/>
  <c r="CJ691" i="2"/>
  <c r="CJ692" i="2"/>
  <c r="CJ693" i="2"/>
  <c r="CJ694" i="2"/>
  <c r="CJ695" i="2"/>
  <c r="CJ696" i="2"/>
  <c r="CJ697" i="2"/>
  <c r="CJ698" i="2"/>
  <c r="CJ699" i="2"/>
  <c r="CJ700" i="2"/>
  <c r="CJ701" i="2"/>
  <c r="CJ702" i="2"/>
  <c r="CJ703" i="2"/>
  <c r="CJ704" i="2"/>
  <c r="CJ705" i="2"/>
  <c r="CK2" i="2"/>
  <c r="CK3" i="2"/>
  <c r="CK4" i="2"/>
  <c r="CK5" i="2"/>
  <c r="CK6" i="2"/>
  <c r="CK7" i="2"/>
  <c r="CK8" i="2"/>
  <c r="CK9" i="2"/>
  <c r="CK10" i="2"/>
  <c r="CK11" i="2"/>
  <c r="CK12" i="2"/>
  <c r="CK13" i="2"/>
  <c r="CK14" i="2"/>
  <c r="CK15" i="2"/>
  <c r="CK16" i="2"/>
  <c r="CK17" i="2"/>
  <c r="CK18" i="2"/>
  <c r="CK19" i="2"/>
  <c r="CK20" i="2"/>
  <c r="CK21" i="2"/>
  <c r="CK22" i="2"/>
  <c r="CK23" i="2"/>
  <c r="CK24" i="2"/>
  <c r="CK25" i="2"/>
  <c r="CK26" i="2"/>
  <c r="CK27" i="2"/>
  <c r="CK28" i="2"/>
  <c r="CK29" i="2"/>
  <c r="CK30" i="2"/>
  <c r="CK31" i="2"/>
  <c r="CK32" i="2"/>
  <c r="CK33" i="2"/>
  <c r="CK34" i="2"/>
  <c r="CK35" i="2"/>
  <c r="CK36" i="2"/>
  <c r="CK37" i="2"/>
  <c r="CK38" i="2"/>
  <c r="CK39" i="2"/>
  <c r="CK40" i="2"/>
  <c r="CK41" i="2"/>
  <c r="CK42" i="2"/>
  <c r="CK43" i="2"/>
  <c r="CK44" i="2"/>
  <c r="CK45" i="2"/>
  <c r="CK46" i="2"/>
  <c r="CK47" i="2"/>
  <c r="CK48" i="2"/>
  <c r="CK49" i="2"/>
  <c r="CK50" i="2"/>
  <c r="CK51" i="2"/>
  <c r="CK52" i="2"/>
  <c r="CK53" i="2"/>
  <c r="CK54" i="2"/>
  <c r="CK55" i="2"/>
  <c r="CK56" i="2"/>
  <c r="CK57" i="2"/>
  <c r="CK58" i="2"/>
  <c r="CK59" i="2"/>
  <c r="CK60" i="2"/>
  <c r="CK61" i="2"/>
  <c r="CK62" i="2"/>
  <c r="CK63" i="2"/>
  <c r="CK64" i="2"/>
  <c r="CK65" i="2"/>
  <c r="CK66" i="2"/>
  <c r="CK67" i="2"/>
  <c r="CK68" i="2"/>
  <c r="CK69" i="2"/>
  <c r="CK70" i="2"/>
  <c r="CK71" i="2"/>
  <c r="CK72" i="2"/>
  <c r="CK73" i="2"/>
  <c r="CK74" i="2"/>
  <c r="CK75" i="2"/>
  <c r="CK76" i="2"/>
  <c r="CK77" i="2"/>
  <c r="CK78" i="2"/>
  <c r="CK79" i="2"/>
  <c r="CK80" i="2"/>
  <c r="CK81" i="2"/>
  <c r="CK82" i="2"/>
  <c r="CK83" i="2"/>
  <c r="CK84" i="2"/>
  <c r="CK85" i="2"/>
  <c r="CK86" i="2"/>
  <c r="CK87" i="2"/>
  <c r="CK88" i="2"/>
  <c r="CK89" i="2"/>
  <c r="CK90" i="2"/>
  <c r="CK91" i="2"/>
  <c r="CK92" i="2"/>
  <c r="CK93" i="2"/>
  <c r="CK94" i="2"/>
  <c r="CK95" i="2"/>
  <c r="CK96" i="2"/>
  <c r="CK97" i="2"/>
  <c r="CK98" i="2"/>
  <c r="CK99" i="2"/>
  <c r="CK100" i="2"/>
  <c r="CK101" i="2"/>
  <c r="CK102" i="2"/>
  <c r="CK103" i="2"/>
  <c r="CK104" i="2"/>
  <c r="CK105" i="2"/>
  <c r="CK106" i="2"/>
  <c r="CK107" i="2"/>
  <c r="CK108" i="2"/>
  <c r="CK109" i="2"/>
  <c r="CK110" i="2"/>
  <c r="CK111" i="2"/>
  <c r="CK112" i="2"/>
  <c r="CK113" i="2"/>
  <c r="CK114" i="2"/>
  <c r="CK115" i="2"/>
  <c r="CK116" i="2"/>
  <c r="CK117" i="2"/>
  <c r="CK118" i="2"/>
  <c r="CK119" i="2"/>
  <c r="CK120" i="2"/>
  <c r="CK121" i="2"/>
  <c r="CK122" i="2"/>
  <c r="CK123" i="2"/>
  <c r="CK124" i="2"/>
  <c r="CK125" i="2"/>
  <c r="CK126" i="2"/>
  <c r="CK127" i="2"/>
  <c r="CK128" i="2"/>
  <c r="CK129" i="2"/>
  <c r="CK130" i="2"/>
  <c r="CK131" i="2"/>
  <c r="CK132" i="2"/>
  <c r="CK133" i="2"/>
  <c r="CK134" i="2"/>
  <c r="CK135" i="2"/>
  <c r="CK136" i="2"/>
  <c r="CK137" i="2"/>
  <c r="CK138" i="2"/>
  <c r="CK139" i="2"/>
  <c r="CK140" i="2"/>
  <c r="CK141" i="2"/>
  <c r="CK142" i="2"/>
  <c r="CK143" i="2"/>
  <c r="CK144" i="2"/>
  <c r="CK145" i="2"/>
  <c r="CK146" i="2"/>
  <c r="CK147" i="2"/>
  <c r="CK148" i="2"/>
  <c r="CK149" i="2"/>
  <c r="CK150" i="2"/>
  <c r="CK151" i="2"/>
  <c r="CK152" i="2"/>
  <c r="CK153" i="2"/>
  <c r="CK154" i="2"/>
  <c r="CK155" i="2"/>
  <c r="CK156" i="2"/>
  <c r="CK157" i="2"/>
  <c r="CK158" i="2"/>
  <c r="CK159" i="2"/>
  <c r="CK160" i="2"/>
  <c r="CK161" i="2"/>
  <c r="CK162" i="2"/>
  <c r="CK163" i="2"/>
  <c r="CK164" i="2"/>
  <c r="CK165" i="2"/>
  <c r="CK166" i="2"/>
  <c r="CK167" i="2"/>
  <c r="CK168" i="2"/>
  <c r="CK169" i="2"/>
  <c r="CK170" i="2"/>
  <c r="CK171" i="2"/>
  <c r="CK172" i="2"/>
  <c r="CK173" i="2"/>
  <c r="CK174" i="2"/>
  <c r="CK175" i="2"/>
  <c r="CK176" i="2"/>
  <c r="CK177" i="2"/>
  <c r="CK178" i="2"/>
  <c r="CK179" i="2"/>
  <c r="CK180" i="2"/>
  <c r="CK181" i="2"/>
  <c r="CK182" i="2"/>
  <c r="CK183" i="2"/>
  <c r="CK184" i="2"/>
  <c r="CK185" i="2"/>
  <c r="CK186" i="2"/>
  <c r="CK187" i="2"/>
  <c r="CK188" i="2"/>
  <c r="CK189" i="2"/>
  <c r="CK190" i="2"/>
  <c r="CK191" i="2"/>
  <c r="CK192" i="2"/>
  <c r="CK193" i="2"/>
  <c r="CK194" i="2"/>
  <c r="CK195" i="2"/>
  <c r="CK196" i="2"/>
  <c r="CK197" i="2"/>
  <c r="CK198" i="2"/>
  <c r="CK199" i="2"/>
  <c r="CK200" i="2"/>
  <c r="CK201" i="2"/>
  <c r="CK202" i="2"/>
  <c r="CK203" i="2"/>
  <c r="CK204" i="2"/>
  <c r="CK205" i="2"/>
  <c r="CK206" i="2"/>
  <c r="CK207" i="2"/>
  <c r="CK208" i="2"/>
  <c r="CK209" i="2"/>
  <c r="CK210" i="2"/>
  <c r="CK211" i="2"/>
  <c r="CK212" i="2"/>
  <c r="CK213" i="2"/>
  <c r="CK214" i="2"/>
  <c r="CK215" i="2"/>
  <c r="CK216" i="2"/>
  <c r="CK217" i="2"/>
  <c r="CK218" i="2"/>
  <c r="CK219" i="2"/>
  <c r="CK220" i="2"/>
  <c r="CK221" i="2"/>
  <c r="CK222" i="2"/>
  <c r="CK223" i="2"/>
  <c r="CK224" i="2"/>
  <c r="CK225" i="2"/>
  <c r="CK226" i="2"/>
  <c r="CK227" i="2"/>
  <c r="CK228" i="2"/>
  <c r="CK229" i="2"/>
  <c r="CK230" i="2"/>
  <c r="CK231" i="2"/>
  <c r="CK232" i="2"/>
  <c r="CK233" i="2"/>
  <c r="CK234" i="2"/>
  <c r="CK235" i="2"/>
  <c r="CK236" i="2"/>
  <c r="CK237" i="2"/>
  <c r="CK238" i="2"/>
  <c r="CK239" i="2"/>
  <c r="CK240" i="2"/>
  <c r="CK241" i="2"/>
  <c r="CK242" i="2"/>
  <c r="CK243" i="2"/>
  <c r="CK244" i="2"/>
  <c r="CK245" i="2"/>
  <c r="CK246" i="2"/>
  <c r="CK247" i="2"/>
  <c r="CK248" i="2"/>
  <c r="CK249" i="2"/>
  <c r="CK250" i="2"/>
  <c r="CK251" i="2"/>
  <c r="CK252" i="2"/>
  <c r="CK253" i="2"/>
  <c r="CK254" i="2"/>
  <c r="CK255" i="2"/>
  <c r="CK256" i="2"/>
  <c r="CK257" i="2"/>
  <c r="CK258" i="2"/>
  <c r="CK259" i="2"/>
  <c r="CK260" i="2"/>
  <c r="CK261" i="2"/>
  <c r="CK262" i="2"/>
  <c r="CK263" i="2"/>
  <c r="CK264" i="2"/>
  <c r="CK265" i="2"/>
  <c r="CK266" i="2"/>
  <c r="CK267" i="2"/>
  <c r="CK268" i="2"/>
  <c r="CK269" i="2"/>
  <c r="CK270" i="2"/>
  <c r="CK271" i="2"/>
  <c r="CK272" i="2"/>
  <c r="CK273" i="2"/>
  <c r="CK274" i="2"/>
  <c r="CK275" i="2"/>
  <c r="CK276" i="2"/>
  <c r="CK277" i="2"/>
  <c r="CK278" i="2"/>
  <c r="CK279" i="2"/>
  <c r="CK280" i="2"/>
  <c r="CK281" i="2"/>
  <c r="CK282" i="2"/>
  <c r="CK283" i="2"/>
  <c r="CK284" i="2"/>
  <c r="CK285" i="2"/>
  <c r="CK286" i="2"/>
  <c r="CK287" i="2"/>
  <c r="CK288" i="2"/>
  <c r="CK289" i="2"/>
  <c r="CK290" i="2"/>
  <c r="CK291" i="2"/>
  <c r="CK292" i="2"/>
  <c r="CK293" i="2"/>
  <c r="CK294" i="2"/>
  <c r="CK295" i="2"/>
  <c r="CK296" i="2"/>
  <c r="CK297" i="2"/>
  <c r="CK298" i="2"/>
  <c r="CK299" i="2"/>
  <c r="CK300" i="2"/>
  <c r="CK301" i="2"/>
  <c r="CK302" i="2"/>
  <c r="CK303" i="2"/>
  <c r="CK304" i="2"/>
  <c r="CK305" i="2"/>
  <c r="CK306" i="2"/>
  <c r="CK307" i="2"/>
  <c r="CK308" i="2"/>
  <c r="CK309" i="2"/>
  <c r="CK310" i="2"/>
  <c r="CK311" i="2"/>
  <c r="CK312" i="2"/>
  <c r="CK313" i="2"/>
  <c r="CK314" i="2"/>
  <c r="CK315" i="2"/>
  <c r="CK316" i="2"/>
  <c r="CK317" i="2"/>
  <c r="CK318" i="2"/>
  <c r="CK319" i="2"/>
  <c r="CK320" i="2"/>
  <c r="CK321" i="2"/>
  <c r="CK322" i="2"/>
  <c r="CK323" i="2"/>
  <c r="CK324" i="2"/>
  <c r="CK325" i="2"/>
  <c r="CK326" i="2"/>
  <c r="CK327" i="2"/>
  <c r="CK328" i="2"/>
  <c r="CK329" i="2"/>
  <c r="CK330" i="2"/>
  <c r="CK331" i="2"/>
  <c r="CK332" i="2"/>
  <c r="CK333" i="2"/>
  <c r="CK334" i="2"/>
  <c r="CK335" i="2"/>
  <c r="CK336" i="2"/>
  <c r="CK337" i="2"/>
  <c r="CK338" i="2"/>
  <c r="CK339" i="2"/>
  <c r="CK340" i="2"/>
  <c r="CK341" i="2"/>
  <c r="CK342" i="2"/>
  <c r="CK343" i="2"/>
  <c r="CK344" i="2"/>
  <c r="CK345" i="2"/>
  <c r="CK346" i="2"/>
  <c r="CK347" i="2"/>
  <c r="CK348" i="2"/>
  <c r="CK349" i="2"/>
  <c r="CK350" i="2"/>
  <c r="CK351" i="2"/>
  <c r="CK352" i="2"/>
  <c r="CK353" i="2"/>
  <c r="CK354" i="2"/>
  <c r="CK355" i="2"/>
  <c r="CK356" i="2"/>
  <c r="CK357" i="2"/>
  <c r="CK358" i="2"/>
  <c r="CK359" i="2"/>
  <c r="CK360" i="2"/>
  <c r="CK361" i="2"/>
  <c r="CK362" i="2"/>
  <c r="CK363" i="2"/>
  <c r="CK364" i="2"/>
  <c r="CK365" i="2"/>
  <c r="CK366" i="2"/>
  <c r="CK367" i="2"/>
  <c r="CK368" i="2"/>
  <c r="CK369" i="2"/>
  <c r="CK370" i="2"/>
  <c r="CK371" i="2"/>
  <c r="CK372" i="2"/>
  <c r="CK373" i="2"/>
  <c r="CK374" i="2"/>
  <c r="CK375" i="2"/>
  <c r="CK376" i="2"/>
  <c r="CK377" i="2"/>
  <c r="CK378" i="2"/>
  <c r="CK379" i="2"/>
  <c r="CK380" i="2"/>
  <c r="CK381" i="2"/>
  <c r="CK382" i="2"/>
  <c r="CK383" i="2"/>
  <c r="CK384" i="2"/>
  <c r="CK385" i="2"/>
  <c r="CK386" i="2"/>
  <c r="CK387" i="2"/>
  <c r="CK388" i="2"/>
  <c r="CK389" i="2"/>
  <c r="CK390" i="2"/>
  <c r="CK391" i="2"/>
  <c r="CK392" i="2"/>
  <c r="CK393" i="2"/>
  <c r="CK394" i="2"/>
  <c r="CK395" i="2"/>
  <c r="CK396" i="2"/>
  <c r="CK397" i="2"/>
  <c r="CK398" i="2"/>
  <c r="CK399" i="2"/>
  <c r="CK400" i="2"/>
  <c r="CK401" i="2"/>
  <c r="CK402" i="2"/>
  <c r="CK403" i="2"/>
  <c r="CK404" i="2"/>
  <c r="CK405" i="2"/>
  <c r="CK406" i="2"/>
  <c r="CK407" i="2"/>
  <c r="CK408" i="2"/>
  <c r="CK409" i="2"/>
  <c r="CK410" i="2"/>
  <c r="CK411" i="2"/>
  <c r="CK412" i="2"/>
  <c r="CK413" i="2"/>
  <c r="CK414" i="2"/>
  <c r="CK415" i="2"/>
  <c r="CK416" i="2"/>
  <c r="CK417" i="2"/>
  <c r="CK418" i="2"/>
  <c r="CK419" i="2"/>
  <c r="CK420" i="2"/>
  <c r="CK421" i="2"/>
  <c r="CK422" i="2"/>
  <c r="CK423" i="2"/>
  <c r="CK424" i="2"/>
  <c r="CK425" i="2"/>
  <c r="CK426" i="2"/>
  <c r="CK427" i="2"/>
  <c r="CK428" i="2"/>
  <c r="CK429" i="2"/>
  <c r="CK430" i="2"/>
  <c r="CK431" i="2"/>
  <c r="CK432" i="2"/>
  <c r="CK433" i="2"/>
  <c r="CK434" i="2"/>
  <c r="CK435" i="2"/>
  <c r="CK436" i="2"/>
  <c r="CK437" i="2"/>
  <c r="CK438" i="2"/>
  <c r="CK439" i="2"/>
  <c r="CK440" i="2"/>
  <c r="CK441" i="2"/>
  <c r="CK442" i="2"/>
  <c r="CK443" i="2"/>
  <c r="CK444" i="2"/>
  <c r="CK445" i="2"/>
  <c r="CK446" i="2"/>
  <c r="CK447" i="2"/>
  <c r="CK448" i="2"/>
  <c r="CK449" i="2"/>
  <c r="CK450" i="2"/>
  <c r="CK451" i="2"/>
  <c r="CK452" i="2"/>
  <c r="CK453" i="2"/>
  <c r="CK454" i="2"/>
  <c r="CK455" i="2"/>
  <c r="CK456" i="2"/>
  <c r="CK457" i="2"/>
  <c r="CK458" i="2"/>
  <c r="CK459" i="2"/>
  <c r="CK460" i="2"/>
  <c r="CK461" i="2"/>
  <c r="CK462" i="2"/>
  <c r="CK463" i="2"/>
  <c r="CK464" i="2"/>
  <c r="CK465" i="2"/>
  <c r="CK466" i="2"/>
  <c r="CK467" i="2"/>
  <c r="CK468" i="2"/>
  <c r="CK469" i="2"/>
  <c r="CK470" i="2"/>
  <c r="CK471" i="2"/>
  <c r="CK472" i="2"/>
  <c r="CK473" i="2"/>
  <c r="CK474" i="2"/>
  <c r="CK475" i="2"/>
  <c r="CK476" i="2"/>
  <c r="CK477" i="2"/>
  <c r="CK478" i="2"/>
  <c r="CK479" i="2"/>
  <c r="CK480" i="2"/>
  <c r="CK481" i="2"/>
  <c r="CK482" i="2"/>
  <c r="CK483" i="2"/>
  <c r="CK484" i="2"/>
  <c r="CK485" i="2"/>
  <c r="CK486" i="2"/>
  <c r="CK487" i="2"/>
  <c r="CK488" i="2"/>
  <c r="CK489" i="2"/>
  <c r="CK490" i="2"/>
  <c r="CK491" i="2"/>
  <c r="CK492" i="2"/>
  <c r="CK493" i="2"/>
  <c r="CK494" i="2"/>
  <c r="CK495" i="2"/>
  <c r="CK496" i="2"/>
  <c r="CK497" i="2"/>
  <c r="CK498" i="2"/>
  <c r="CK499" i="2"/>
  <c r="CK500" i="2"/>
  <c r="CK501" i="2"/>
  <c r="CK502" i="2"/>
  <c r="CK503" i="2"/>
  <c r="CK504" i="2"/>
  <c r="CK505" i="2"/>
  <c r="CK506" i="2"/>
  <c r="CK507" i="2"/>
  <c r="CK508" i="2"/>
  <c r="CK509" i="2"/>
  <c r="CK510" i="2"/>
  <c r="CK511" i="2"/>
  <c r="CK512" i="2"/>
  <c r="CK513" i="2"/>
  <c r="CK514" i="2"/>
  <c r="CK515" i="2"/>
  <c r="CK516" i="2"/>
  <c r="CK517" i="2"/>
  <c r="CK518" i="2"/>
  <c r="CK519" i="2"/>
  <c r="CK520" i="2"/>
  <c r="CK521" i="2"/>
  <c r="CK522" i="2"/>
  <c r="CK523" i="2"/>
  <c r="CK524" i="2"/>
  <c r="CK525" i="2"/>
  <c r="CK526" i="2"/>
  <c r="CK527" i="2"/>
  <c r="CK528" i="2"/>
  <c r="CK529" i="2"/>
  <c r="CK530" i="2"/>
  <c r="CK531" i="2"/>
  <c r="CK532" i="2"/>
  <c r="CK533" i="2"/>
  <c r="CK534" i="2"/>
  <c r="CK535" i="2"/>
  <c r="CK536" i="2"/>
  <c r="CK537" i="2"/>
  <c r="CK538" i="2"/>
  <c r="CK539" i="2"/>
  <c r="CK540" i="2"/>
  <c r="CK541" i="2"/>
  <c r="CK542" i="2"/>
  <c r="CK543" i="2"/>
  <c r="CK544" i="2"/>
  <c r="CK545" i="2"/>
  <c r="CK546" i="2"/>
  <c r="CK547" i="2"/>
  <c r="CK548" i="2"/>
  <c r="CK549" i="2"/>
  <c r="CK550" i="2"/>
  <c r="CK551" i="2"/>
  <c r="CK552" i="2"/>
  <c r="CK553" i="2"/>
  <c r="CK554" i="2"/>
  <c r="CK555" i="2"/>
  <c r="CK556" i="2"/>
  <c r="CK557" i="2"/>
  <c r="CK558" i="2"/>
  <c r="CK559" i="2"/>
  <c r="CK560" i="2"/>
  <c r="CK561" i="2"/>
  <c r="CK562" i="2"/>
  <c r="CK563" i="2"/>
  <c r="CK564" i="2"/>
  <c r="CK565" i="2"/>
  <c r="CK566" i="2"/>
  <c r="CK567" i="2"/>
  <c r="CK568" i="2"/>
  <c r="CK569" i="2"/>
  <c r="CK570" i="2"/>
  <c r="CK571" i="2"/>
  <c r="CK572" i="2"/>
  <c r="CK573" i="2"/>
  <c r="CK574" i="2"/>
  <c r="CK575" i="2"/>
  <c r="CK576" i="2"/>
  <c r="CK577" i="2"/>
  <c r="CK578" i="2"/>
  <c r="CK579" i="2"/>
  <c r="CK580" i="2"/>
  <c r="CK581" i="2"/>
  <c r="CK582" i="2"/>
  <c r="CK583" i="2"/>
  <c r="CK584" i="2"/>
  <c r="CK585" i="2"/>
  <c r="CK586" i="2"/>
  <c r="CK587" i="2"/>
  <c r="CK588" i="2"/>
  <c r="CK589" i="2"/>
  <c r="CK590" i="2"/>
  <c r="CK591" i="2"/>
  <c r="CK592" i="2"/>
  <c r="CK593" i="2"/>
  <c r="CK594" i="2"/>
  <c r="CK595" i="2"/>
  <c r="CK596" i="2"/>
  <c r="CK597" i="2"/>
  <c r="CK598" i="2"/>
  <c r="CK599" i="2"/>
  <c r="CK600" i="2"/>
  <c r="CK601" i="2"/>
  <c r="CK602" i="2"/>
  <c r="CK603" i="2"/>
  <c r="CK604" i="2"/>
  <c r="CK605" i="2"/>
  <c r="CK606" i="2"/>
  <c r="CK607" i="2"/>
  <c r="CK608" i="2"/>
  <c r="CK609" i="2"/>
  <c r="CK610" i="2"/>
  <c r="CK611" i="2"/>
  <c r="CK612" i="2"/>
  <c r="CK613" i="2"/>
  <c r="CK614" i="2"/>
  <c r="CK615" i="2"/>
  <c r="CK616" i="2"/>
  <c r="CK617" i="2"/>
  <c r="CK618" i="2"/>
  <c r="CK619" i="2"/>
  <c r="CK620" i="2"/>
  <c r="CK621" i="2"/>
  <c r="CK622" i="2"/>
  <c r="CK623" i="2"/>
  <c r="CK624" i="2"/>
  <c r="CK625" i="2"/>
  <c r="CK626" i="2"/>
  <c r="CK627" i="2"/>
  <c r="CK628" i="2"/>
  <c r="CK629" i="2"/>
  <c r="CK630" i="2"/>
  <c r="CK631" i="2"/>
  <c r="CK632" i="2"/>
  <c r="CK633" i="2"/>
  <c r="CK634" i="2"/>
  <c r="CK635" i="2"/>
  <c r="CK636" i="2"/>
  <c r="CK637" i="2"/>
  <c r="CK638" i="2"/>
  <c r="CK639" i="2"/>
  <c r="CK640" i="2"/>
  <c r="CK641" i="2"/>
  <c r="CK642" i="2"/>
  <c r="CK643" i="2"/>
  <c r="CK644" i="2"/>
  <c r="CK645" i="2"/>
  <c r="CK646" i="2"/>
  <c r="CK647" i="2"/>
  <c r="CK648" i="2"/>
  <c r="CK649" i="2"/>
  <c r="CK650" i="2"/>
  <c r="CK651" i="2"/>
  <c r="CK652" i="2"/>
  <c r="CK653" i="2"/>
  <c r="CK654" i="2"/>
  <c r="CK655" i="2"/>
  <c r="CK656" i="2"/>
  <c r="CK657" i="2"/>
  <c r="CK658" i="2"/>
  <c r="CK659" i="2"/>
  <c r="CK660" i="2"/>
  <c r="CK661" i="2"/>
  <c r="CK662" i="2"/>
  <c r="CK663" i="2"/>
  <c r="CK664" i="2"/>
  <c r="CK665" i="2"/>
  <c r="CK666" i="2"/>
  <c r="CK667" i="2"/>
  <c r="CK668" i="2"/>
  <c r="CK669" i="2"/>
  <c r="CK670" i="2"/>
  <c r="CK671" i="2"/>
  <c r="CK672" i="2"/>
  <c r="CK673" i="2"/>
  <c r="CK674" i="2"/>
  <c r="CK675" i="2"/>
  <c r="CK676" i="2"/>
  <c r="CK677" i="2"/>
  <c r="CK678" i="2"/>
  <c r="CK679" i="2"/>
  <c r="CK680" i="2"/>
  <c r="CK681" i="2"/>
  <c r="CK682" i="2"/>
  <c r="CK683" i="2"/>
  <c r="CK684" i="2"/>
  <c r="CK685" i="2"/>
  <c r="CK686" i="2"/>
  <c r="CK687" i="2"/>
  <c r="CK688" i="2"/>
  <c r="CK689" i="2"/>
  <c r="CK690" i="2"/>
  <c r="CK691" i="2"/>
  <c r="CK692" i="2"/>
  <c r="CK693" i="2"/>
  <c r="CK694" i="2"/>
  <c r="CK695" i="2"/>
  <c r="CK696" i="2"/>
  <c r="CK697" i="2"/>
  <c r="CK698" i="2"/>
  <c r="CK699" i="2"/>
  <c r="CK700" i="2"/>
  <c r="CK701" i="2"/>
  <c r="CK702" i="2"/>
  <c r="CK703" i="2"/>
  <c r="CK704" i="2"/>
  <c r="CK705" i="2"/>
  <c r="CL2" i="2"/>
  <c r="CL3" i="2"/>
  <c r="CL4" i="2"/>
  <c r="CL5" i="2"/>
  <c r="CL6" i="2"/>
  <c r="CL7" i="2"/>
  <c r="CL8" i="2"/>
  <c r="CL9" i="2"/>
  <c r="CL10" i="2"/>
  <c r="CL11" i="2"/>
  <c r="CL12" i="2"/>
  <c r="CL13" i="2"/>
  <c r="CL14" i="2"/>
  <c r="CL15" i="2"/>
  <c r="CL16" i="2"/>
  <c r="CL17" i="2"/>
  <c r="CL18" i="2"/>
  <c r="CL19" i="2"/>
  <c r="CL20" i="2"/>
  <c r="CL21" i="2"/>
  <c r="CL22" i="2"/>
  <c r="CL23" i="2"/>
  <c r="CL24" i="2"/>
  <c r="CL25" i="2"/>
  <c r="CL26" i="2"/>
  <c r="CL27" i="2"/>
  <c r="CL28" i="2"/>
  <c r="CL29" i="2"/>
  <c r="CL30" i="2"/>
  <c r="CL31" i="2"/>
  <c r="CL32" i="2"/>
  <c r="CL33" i="2"/>
  <c r="CL34" i="2"/>
  <c r="CL35" i="2"/>
  <c r="CL36" i="2"/>
  <c r="CL37" i="2"/>
  <c r="CL38" i="2"/>
  <c r="CL39" i="2"/>
  <c r="CL40" i="2"/>
  <c r="CL41" i="2"/>
  <c r="CL42" i="2"/>
  <c r="CL43" i="2"/>
  <c r="CL44" i="2"/>
  <c r="CL45" i="2"/>
  <c r="CL46" i="2"/>
  <c r="CL47" i="2"/>
  <c r="CL48" i="2"/>
  <c r="CL49" i="2"/>
  <c r="CL50" i="2"/>
  <c r="CL51" i="2"/>
  <c r="CL52" i="2"/>
  <c r="CL53" i="2"/>
  <c r="CL54" i="2"/>
  <c r="CL55" i="2"/>
  <c r="CL56" i="2"/>
  <c r="CL57" i="2"/>
  <c r="CL58" i="2"/>
  <c r="CL59" i="2"/>
  <c r="CL60" i="2"/>
  <c r="CL61" i="2"/>
  <c r="CL62" i="2"/>
  <c r="CL63" i="2"/>
  <c r="CL64" i="2"/>
  <c r="CL65" i="2"/>
  <c r="CL66" i="2"/>
  <c r="CL67" i="2"/>
  <c r="CL68" i="2"/>
  <c r="CL69" i="2"/>
  <c r="CL70" i="2"/>
  <c r="CL71" i="2"/>
  <c r="CL72" i="2"/>
  <c r="CL73" i="2"/>
  <c r="CL74" i="2"/>
  <c r="CL75" i="2"/>
  <c r="CL76" i="2"/>
  <c r="CL77" i="2"/>
  <c r="CL78" i="2"/>
  <c r="CL79" i="2"/>
  <c r="CL80" i="2"/>
  <c r="CL81" i="2"/>
  <c r="CL82" i="2"/>
  <c r="CL83" i="2"/>
  <c r="CL84" i="2"/>
  <c r="CL85" i="2"/>
  <c r="CL86" i="2"/>
  <c r="CL87" i="2"/>
  <c r="CL88" i="2"/>
  <c r="CL89" i="2"/>
  <c r="CL90" i="2"/>
  <c r="CL91" i="2"/>
  <c r="CL92" i="2"/>
  <c r="CL93" i="2"/>
  <c r="CL94" i="2"/>
  <c r="CL95" i="2"/>
  <c r="CL96" i="2"/>
  <c r="CL97" i="2"/>
  <c r="CL98" i="2"/>
  <c r="CL99" i="2"/>
  <c r="CL100" i="2"/>
  <c r="CL101" i="2"/>
  <c r="CL102" i="2"/>
  <c r="CL103" i="2"/>
  <c r="CL104" i="2"/>
  <c r="CL105" i="2"/>
  <c r="CL106" i="2"/>
  <c r="CL107" i="2"/>
  <c r="CL108" i="2"/>
  <c r="CL109" i="2"/>
  <c r="CL110" i="2"/>
  <c r="CL111" i="2"/>
  <c r="CL112" i="2"/>
  <c r="CL113" i="2"/>
  <c r="CL114" i="2"/>
  <c r="CL115" i="2"/>
  <c r="CL116" i="2"/>
  <c r="CL117" i="2"/>
  <c r="CL118" i="2"/>
  <c r="CL119" i="2"/>
  <c r="CL120" i="2"/>
  <c r="CL121" i="2"/>
  <c r="CL122" i="2"/>
  <c r="CL123" i="2"/>
  <c r="CL124" i="2"/>
  <c r="CL125" i="2"/>
  <c r="CL126" i="2"/>
  <c r="CL127" i="2"/>
  <c r="CL128" i="2"/>
  <c r="CL129" i="2"/>
  <c r="CL130" i="2"/>
  <c r="CL131" i="2"/>
  <c r="CL132" i="2"/>
  <c r="CL133" i="2"/>
  <c r="CL134" i="2"/>
  <c r="CL135" i="2"/>
  <c r="CL136" i="2"/>
  <c r="CL137" i="2"/>
  <c r="CL138" i="2"/>
  <c r="CL139" i="2"/>
  <c r="CL140" i="2"/>
  <c r="CL141" i="2"/>
  <c r="CL142" i="2"/>
  <c r="CL143" i="2"/>
  <c r="CL144" i="2"/>
  <c r="CL145" i="2"/>
  <c r="CL146" i="2"/>
  <c r="CL147" i="2"/>
  <c r="CL148" i="2"/>
  <c r="CL149" i="2"/>
  <c r="CL150" i="2"/>
  <c r="CL151" i="2"/>
  <c r="CL152" i="2"/>
  <c r="CL153" i="2"/>
  <c r="CL154" i="2"/>
  <c r="CL155" i="2"/>
  <c r="CL156" i="2"/>
  <c r="CL157" i="2"/>
  <c r="CL158" i="2"/>
  <c r="CL159" i="2"/>
  <c r="CL160" i="2"/>
  <c r="CL161" i="2"/>
  <c r="CL162" i="2"/>
  <c r="CL163" i="2"/>
  <c r="CL164" i="2"/>
  <c r="CL165" i="2"/>
  <c r="CL166" i="2"/>
  <c r="CL167" i="2"/>
  <c r="CL168" i="2"/>
  <c r="CL169" i="2"/>
  <c r="CL170" i="2"/>
  <c r="CL171" i="2"/>
  <c r="CL172" i="2"/>
  <c r="CL173" i="2"/>
  <c r="CL174" i="2"/>
  <c r="CL175" i="2"/>
  <c r="CL176" i="2"/>
  <c r="CL177" i="2"/>
  <c r="CL178" i="2"/>
  <c r="CL179" i="2"/>
  <c r="CL180" i="2"/>
  <c r="CL181" i="2"/>
  <c r="CL182" i="2"/>
  <c r="CL183" i="2"/>
  <c r="CL184" i="2"/>
  <c r="CL185" i="2"/>
  <c r="CL186" i="2"/>
  <c r="CL187" i="2"/>
  <c r="CL188" i="2"/>
  <c r="CL189" i="2"/>
  <c r="CL190" i="2"/>
  <c r="CL191" i="2"/>
  <c r="CL192" i="2"/>
  <c r="CL193" i="2"/>
  <c r="CL194" i="2"/>
  <c r="CL195" i="2"/>
  <c r="CL196" i="2"/>
  <c r="CL197" i="2"/>
  <c r="CL198" i="2"/>
  <c r="CL199" i="2"/>
  <c r="CL200" i="2"/>
  <c r="CL201" i="2"/>
  <c r="CL202" i="2"/>
  <c r="CL203" i="2"/>
  <c r="CL204" i="2"/>
  <c r="CL205" i="2"/>
  <c r="CL206" i="2"/>
  <c r="CL207" i="2"/>
  <c r="CL208" i="2"/>
  <c r="CL209" i="2"/>
  <c r="CL210" i="2"/>
  <c r="CL211" i="2"/>
  <c r="CL212" i="2"/>
  <c r="CL213" i="2"/>
  <c r="CL214" i="2"/>
  <c r="CL215" i="2"/>
  <c r="CL216" i="2"/>
  <c r="CL217" i="2"/>
  <c r="CL218" i="2"/>
  <c r="CL219" i="2"/>
  <c r="CL220" i="2"/>
  <c r="CL221" i="2"/>
  <c r="CL222" i="2"/>
  <c r="CL223" i="2"/>
  <c r="CL224" i="2"/>
  <c r="CL225" i="2"/>
  <c r="CL226" i="2"/>
  <c r="CL227" i="2"/>
  <c r="CL228" i="2"/>
  <c r="CL229" i="2"/>
  <c r="CL230" i="2"/>
  <c r="CL231" i="2"/>
  <c r="CL232" i="2"/>
  <c r="CL233" i="2"/>
  <c r="CL234" i="2"/>
  <c r="CL235" i="2"/>
  <c r="CL236" i="2"/>
  <c r="CL237" i="2"/>
  <c r="CL238" i="2"/>
  <c r="CL239" i="2"/>
  <c r="CL240" i="2"/>
  <c r="CL241" i="2"/>
  <c r="CL242" i="2"/>
  <c r="CL243" i="2"/>
  <c r="CL244" i="2"/>
  <c r="CL245" i="2"/>
  <c r="CL246" i="2"/>
  <c r="CL247" i="2"/>
  <c r="CL248" i="2"/>
  <c r="CL249" i="2"/>
  <c r="CL250" i="2"/>
  <c r="CL251" i="2"/>
  <c r="CL252" i="2"/>
  <c r="CL253" i="2"/>
  <c r="CL254" i="2"/>
  <c r="CL255" i="2"/>
  <c r="CL256" i="2"/>
  <c r="CL257" i="2"/>
  <c r="CL258" i="2"/>
  <c r="CL259" i="2"/>
  <c r="CL260" i="2"/>
  <c r="CL261" i="2"/>
  <c r="CL262" i="2"/>
  <c r="CL263" i="2"/>
  <c r="CL264" i="2"/>
  <c r="CL265" i="2"/>
  <c r="CL266" i="2"/>
  <c r="CL267" i="2"/>
  <c r="CL268" i="2"/>
  <c r="CL269" i="2"/>
  <c r="CL270" i="2"/>
  <c r="CL271" i="2"/>
  <c r="CL272" i="2"/>
  <c r="CL273" i="2"/>
  <c r="CL274" i="2"/>
  <c r="CL275" i="2"/>
  <c r="CL276" i="2"/>
  <c r="CL277" i="2"/>
  <c r="CL278" i="2"/>
  <c r="CL279" i="2"/>
  <c r="CL280" i="2"/>
  <c r="CL281" i="2"/>
  <c r="CL282" i="2"/>
  <c r="CL283" i="2"/>
  <c r="CL284" i="2"/>
  <c r="CL285" i="2"/>
  <c r="CL286" i="2"/>
  <c r="CL287" i="2"/>
  <c r="CL288" i="2"/>
  <c r="CL289" i="2"/>
  <c r="CL290" i="2"/>
  <c r="CL291" i="2"/>
  <c r="CL292" i="2"/>
  <c r="CL293" i="2"/>
  <c r="CL294" i="2"/>
  <c r="CL295" i="2"/>
  <c r="CL296" i="2"/>
  <c r="CL297" i="2"/>
  <c r="CL298" i="2"/>
  <c r="CL299" i="2"/>
  <c r="CL300" i="2"/>
  <c r="CL301" i="2"/>
  <c r="CL302" i="2"/>
  <c r="CL303" i="2"/>
  <c r="CL304" i="2"/>
  <c r="CL305" i="2"/>
  <c r="CL306" i="2"/>
  <c r="CL307" i="2"/>
  <c r="CL308" i="2"/>
  <c r="CL309" i="2"/>
  <c r="CL310" i="2"/>
  <c r="CL311" i="2"/>
  <c r="CL312" i="2"/>
  <c r="CL313" i="2"/>
  <c r="CL314" i="2"/>
  <c r="CL315" i="2"/>
  <c r="CL316" i="2"/>
  <c r="CL317" i="2"/>
  <c r="CL318" i="2"/>
  <c r="CL319" i="2"/>
  <c r="CL320" i="2"/>
  <c r="CL321" i="2"/>
  <c r="CL322" i="2"/>
  <c r="CL323" i="2"/>
  <c r="CL324" i="2"/>
  <c r="CL325" i="2"/>
  <c r="CL326" i="2"/>
  <c r="CL327" i="2"/>
  <c r="CL328" i="2"/>
  <c r="CL329" i="2"/>
  <c r="CL330" i="2"/>
  <c r="CL331" i="2"/>
  <c r="CL332" i="2"/>
  <c r="CL333" i="2"/>
  <c r="CL334" i="2"/>
  <c r="CL335" i="2"/>
  <c r="CL336" i="2"/>
  <c r="CL337" i="2"/>
  <c r="CL338" i="2"/>
  <c r="CL339" i="2"/>
  <c r="CL340" i="2"/>
  <c r="CL341" i="2"/>
  <c r="CL342" i="2"/>
  <c r="CL343" i="2"/>
  <c r="CL344" i="2"/>
  <c r="CL345" i="2"/>
  <c r="CL346" i="2"/>
  <c r="CL347" i="2"/>
  <c r="CL348" i="2"/>
  <c r="CL349" i="2"/>
  <c r="CL350" i="2"/>
  <c r="CL351" i="2"/>
  <c r="CL352" i="2"/>
  <c r="CL353" i="2"/>
  <c r="CL354" i="2"/>
  <c r="CL355" i="2"/>
  <c r="CL356" i="2"/>
  <c r="CL357" i="2"/>
  <c r="CL358" i="2"/>
  <c r="CL359" i="2"/>
  <c r="CL360" i="2"/>
  <c r="CL361" i="2"/>
  <c r="CL362" i="2"/>
  <c r="CL363" i="2"/>
  <c r="CL364" i="2"/>
  <c r="CL365" i="2"/>
  <c r="CL366" i="2"/>
  <c r="CL367" i="2"/>
  <c r="CL368" i="2"/>
  <c r="CL369" i="2"/>
  <c r="CL370" i="2"/>
  <c r="CL371" i="2"/>
  <c r="CL372" i="2"/>
  <c r="CL373" i="2"/>
  <c r="CL374" i="2"/>
  <c r="CL375" i="2"/>
  <c r="CL376" i="2"/>
  <c r="CL377" i="2"/>
  <c r="CL378" i="2"/>
  <c r="CL379" i="2"/>
  <c r="CL380" i="2"/>
  <c r="CL381" i="2"/>
  <c r="CL382" i="2"/>
  <c r="CL383" i="2"/>
  <c r="CL384" i="2"/>
  <c r="CL385" i="2"/>
  <c r="CL386" i="2"/>
  <c r="CL387" i="2"/>
  <c r="CL388" i="2"/>
  <c r="CL389" i="2"/>
  <c r="CL390" i="2"/>
  <c r="CL391" i="2"/>
  <c r="CL392" i="2"/>
  <c r="CL393" i="2"/>
  <c r="CL394" i="2"/>
  <c r="CL395" i="2"/>
  <c r="CL396" i="2"/>
  <c r="CL397" i="2"/>
  <c r="CL398" i="2"/>
  <c r="CL399" i="2"/>
  <c r="CL400" i="2"/>
  <c r="CL401" i="2"/>
  <c r="CL402" i="2"/>
  <c r="CL403" i="2"/>
  <c r="CL404" i="2"/>
  <c r="CL405" i="2"/>
  <c r="CL406" i="2"/>
  <c r="CL407" i="2"/>
  <c r="CL408" i="2"/>
  <c r="CL409" i="2"/>
  <c r="CL410" i="2"/>
  <c r="CL411" i="2"/>
  <c r="CL412" i="2"/>
  <c r="CL413" i="2"/>
  <c r="CL414" i="2"/>
  <c r="CL415" i="2"/>
  <c r="CL416" i="2"/>
  <c r="CL417" i="2"/>
  <c r="CL418" i="2"/>
  <c r="CL419" i="2"/>
  <c r="CL420" i="2"/>
  <c r="CL421" i="2"/>
  <c r="CL422" i="2"/>
  <c r="CL423" i="2"/>
  <c r="CL424" i="2"/>
  <c r="CL425" i="2"/>
  <c r="CL426" i="2"/>
  <c r="CL427" i="2"/>
  <c r="CL428" i="2"/>
  <c r="CL429" i="2"/>
  <c r="CL430" i="2"/>
  <c r="CL431" i="2"/>
  <c r="CL432" i="2"/>
  <c r="CL433" i="2"/>
  <c r="CL434" i="2"/>
  <c r="CL435" i="2"/>
  <c r="CL436" i="2"/>
  <c r="CL437" i="2"/>
  <c r="CL438" i="2"/>
  <c r="CL439" i="2"/>
  <c r="CL440" i="2"/>
  <c r="CL441" i="2"/>
  <c r="CL442" i="2"/>
  <c r="CL443" i="2"/>
  <c r="CL444" i="2"/>
  <c r="CL445" i="2"/>
  <c r="CL446" i="2"/>
  <c r="CL447" i="2"/>
  <c r="CL448" i="2"/>
  <c r="CL449" i="2"/>
  <c r="CL450" i="2"/>
  <c r="CL451" i="2"/>
  <c r="CL452" i="2"/>
  <c r="CL453" i="2"/>
  <c r="CL454" i="2"/>
  <c r="CL455" i="2"/>
  <c r="CL456" i="2"/>
  <c r="CL457" i="2"/>
  <c r="CL458" i="2"/>
  <c r="CL459" i="2"/>
  <c r="CL460" i="2"/>
  <c r="CL461" i="2"/>
  <c r="CL462" i="2"/>
  <c r="CL463" i="2"/>
  <c r="CL464" i="2"/>
  <c r="CL465" i="2"/>
  <c r="CL466" i="2"/>
  <c r="CL467" i="2"/>
  <c r="CL468" i="2"/>
  <c r="CL469" i="2"/>
  <c r="CL470" i="2"/>
  <c r="CL471" i="2"/>
  <c r="CL472" i="2"/>
  <c r="CL473" i="2"/>
  <c r="CL474" i="2"/>
  <c r="CL475" i="2"/>
  <c r="CL476" i="2"/>
  <c r="CL477" i="2"/>
  <c r="CL478" i="2"/>
  <c r="CL479" i="2"/>
  <c r="CL480" i="2"/>
  <c r="CL481" i="2"/>
  <c r="CL482" i="2"/>
  <c r="CL483" i="2"/>
  <c r="CL484" i="2"/>
  <c r="CL485" i="2"/>
  <c r="CL486" i="2"/>
  <c r="CL487" i="2"/>
  <c r="CL488" i="2"/>
  <c r="CL489" i="2"/>
  <c r="CL490" i="2"/>
  <c r="CL491" i="2"/>
  <c r="CL492" i="2"/>
  <c r="CL493" i="2"/>
  <c r="CL494" i="2"/>
  <c r="CL495" i="2"/>
  <c r="CL496" i="2"/>
  <c r="CL497" i="2"/>
  <c r="CL498" i="2"/>
  <c r="CL499" i="2"/>
  <c r="CL500" i="2"/>
  <c r="CL501" i="2"/>
  <c r="CL502" i="2"/>
  <c r="CL503" i="2"/>
  <c r="CL504" i="2"/>
  <c r="CL505" i="2"/>
  <c r="CL506" i="2"/>
  <c r="CL507" i="2"/>
  <c r="CL508" i="2"/>
  <c r="CL509" i="2"/>
  <c r="CL510" i="2"/>
  <c r="CL511" i="2"/>
  <c r="CL512" i="2"/>
  <c r="CL513" i="2"/>
  <c r="CL514" i="2"/>
  <c r="CL515" i="2"/>
  <c r="CL516" i="2"/>
  <c r="CL517" i="2"/>
  <c r="CL518" i="2"/>
  <c r="CL519" i="2"/>
  <c r="CL520" i="2"/>
  <c r="CL521" i="2"/>
  <c r="CL522" i="2"/>
  <c r="CL523" i="2"/>
  <c r="CL524" i="2"/>
  <c r="CL525" i="2"/>
  <c r="CL526" i="2"/>
  <c r="CL527" i="2"/>
  <c r="CL528" i="2"/>
  <c r="CL529" i="2"/>
  <c r="CL530" i="2"/>
  <c r="CL531" i="2"/>
  <c r="CL532" i="2"/>
  <c r="CL533" i="2"/>
  <c r="CL534" i="2"/>
  <c r="CL535" i="2"/>
  <c r="CL536" i="2"/>
  <c r="CL537" i="2"/>
  <c r="CL538" i="2"/>
  <c r="CL539" i="2"/>
  <c r="CL540" i="2"/>
  <c r="CL541" i="2"/>
  <c r="CL542" i="2"/>
  <c r="CL543" i="2"/>
  <c r="CL544" i="2"/>
  <c r="CL545" i="2"/>
  <c r="CL546" i="2"/>
  <c r="CL547" i="2"/>
  <c r="CL548" i="2"/>
  <c r="CL549" i="2"/>
  <c r="CL550" i="2"/>
  <c r="CL551" i="2"/>
  <c r="CL552" i="2"/>
  <c r="CL553" i="2"/>
  <c r="CL554" i="2"/>
  <c r="CL555" i="2"/>
  <c r="CL556" i="2"/>
  <c r="CL557" i="2"/>
  <c r="CL558" i="2"/>
  <c r="CL559" i="2"/>
  <c r="CL560" i="2"/>
  <c r="CL561" i="2"/>
  <c r="CL562" i="2"/>
  <c r="CL563" i="2"/>
  <c r="CL564" i="2"/>
  <c r="CL565" i="2"/>
  <c r="CL566" i="2"/>
  <c r="CL567" i="2"/>
  <c r="CL568" i="2"/>
  <c r="CL569" i="2"/>
  <c r="CL570" i="2"/>
  <c r="CL571" i="2"/>
  <c r="CL572" i="2"/>
  <c r="CL573" i="2"/>
  <c r="CL574" i="2"/>
  <c r="CL575" i="2"/>
  <c r="CL576" i="2"/>
  <c r="CL577" i="2"/>
  <c r="CL578" i="2"/>
  <c r="CL579" i="2"/>
  <c r="CL580" i="2"/>
  <c r="CL581" i="2"/>
  <c r="CL582" i="2"/>
  <c r="CL583" i="2"/>
  <c r="CL584" i="2"/>
  <c r="CL585" i="2"/>
  <c r="CL586" i="2"/>
  <c r="CL587" i="2"/>
  <c r="CL588" i="2"/>
  <c r="CL589" i="2"/>
  <c r="CL590" i="2"/>
  <c r="CL591" i="2"/>
  <c r="CL592" i="2"/>
  <c r="CL593" i="2"/>
  <c r="CL594" i="2"/>
  <c r="CL595" i="2"/>
  <c r="CL596" i="2"/>
  <c r="CL597" i="2"/>
  <c r="CL598" i="2"/>
  <c r="CL599" i="2"/>
  <c r="CL600" i="2"/>
  <c r="CL601" i="2"/>
  <c r="CL602" i="2"/>
  <c r="CL603" i="2"/>
  <c r="CL604" i="2"/>
  <c r="CL605" i="2"/>
  <c r="CL606" i="2"/>
  <c r="CL607" i="2"/>
  <c r="CL608" i="2"/>
  <c r="CL609" i="2"/>
  <c r="CL610" i="2"/>
  <c r="CL611" i="2"/>
  <c r="CL612" i="2"/>
  <c r="CL613" i="2"/>
  <c r="CL614" i="2"/>
  <c r="CL615" i="2"/>
  <c r="CL616" i="2"/>
  <c r="CL617" i="2"/>
  <c r="CL618" i="2"/>
  <c r="CL619" i="2"/>
  <c r="CL620" i="2"/>
  <c r="CL621" i="2"/>
  <c r="CL622" i="2"/>
  <c r="CL623" i="2"/>
  <c r="CL624" i="2"/>
  <c r="CL625" i="2"/>
  <c r="CL626" i="2"/>
  <c r="CL627" i="2"/>
  <c r="CL628" i="2"/>
  <c r="CL629" i="2"/>
  <c r="CL630" i="2"/>
  <c r="CL631" i="2"/>
  <c r="CL632" i="2"/>
  <c r="CL633" i="2"/>
  <c r="CL634" i="2"/>
  <c r="CL635" i="2"/>
  <c r="CL636" i="2"/>
  <c r="CL637" i="2"/>
  <c r="CL638" i="2"/>
  <c r="CL639" i="2"/>
  <c r="CL640" i="2"/>
  <c r="CL641" i="2"/>
  <c r="CL642" i="2"/>
  <c r="CL643" i="2"/>
  <c r="CL644" i="2"/>
  <c r="CL645" i="2"/>
  <c r="CL646" i="2"/>
  <c r="CL647" i="2"/>
  <c r="CL648" i="2"/>
  <c r="CL649" i="2"/>
  <c r="CL650" i="2"/>
  <c r="CL651" i="2"/>
  <c r="CL652" i="2"/>
  <c r="CL653" i="2"/>
  <c r="CL654" i="2"/>
  <c r="CL655" i="2"/>
  <c r="CL656" i="2"/>
  <c r="CL657" i="2"/>
  <c r="CL658" i="2"/>
  <c r="CL659" i="2"/>
  <c r="CL660" i="2"/>
  <c r="CL661" i="2"/>
  <c r="CL662" i="2"/>
  <c r="CL663" i="2"/>
  <c r="CL664" i="2"/>
  <c r="CL665" i="2"/>
  <c r="CL666" i="2"/>
  <c r="CL667" i="2"/>
  <c r="CL668" i="2"/>
  <c r="CL669" i="2"/>
  <c r="CL670" i="2"/>
  <c r="CL671" i="2"/>
  <c r="CL672" i="2"/>
  <c r="CL673" i="2"/>
  <c r="CL674" i="2"/>
  <c r="CL675" i="2"/>
  <c r="CL676" i="2"/>
  <c r="CL677" i="2"/>
  <c r="CL678" i="2"/>
  <c r="CL679" i="2"/>
  <c r="CL680" i="2"/>
  <c r="CL681" i="2"/>
  <c r="CL682" i="2"/>
  <c r="CL683" i="2"/>
  <c r="CL684" i="2"/>
  <c r="CL685" i="2"/>
  <c r="CL686" i="2"/>
  <c r="CL687" i="2"/>
  <c r="CL688" i="2"/>
  <c r="CL689" i="2"/>
  <c r="CL690" i="2"/>
  <c r="CL691" i="2"/>
  <c r="CL692" i="2"/>
  <c r="CL693" i="2"/>
  <c r="CL694" i="2"/>
  <c r="CL695" i="2"/>
  <c r="CL696" i="2"/>
  <c r="CL697" i="2"/>
  <c r="CL698" i="2"/>
  <c r="CL699" i="2"/>
  <c r="CL700" i="2"/>
  <c r="CL701" i="2"/>
  <c r="CL702" i="2"/>
  <c r="CL703" i="2"/>
  <c r="CL704" i="2"/>
  <c r="CL705" i="2"/>
  <c r="CM2" i="2"/>
  <c r="CM3" i="2"/>
  <c r="CM4" i="2"/>
  <c r="CM5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M40" i="2"/>
  <c r="CM41" i="2"/>
  <c r="CM42" i="2"/>
  <c r="CM43" i="2"/>
  <c r="CM44" i="2"/>
  <c r="CM45" i="2"/>
  <c r="CM46" i="2"/>
  <c r="CM47" i="2"/>
  <c r="CM48" i="2"/>
  <c r="CM49" i="2"/>
  <c r="CM50" i="2"/>
  <c r="CM51" i="2"/>
  <c r="CM52" i="2"/>
  <c r="CM53" i="2"/>
  <c r="CM54" i="2"/>
  <c r="CM55" i="2"/>
  <c r="CM56" i="2"/>
  <c r="CM57" i="2"/>
  <c r="CM58" i="2"/>
  <c r="CM59" i="2"/>
  <c r="CM60" i="2"/>
  <c r="CM61" i="2"/>
  <c r="CM62" i="2"/>
  <c r="CM63" i="2"/>
  <c r="CM64" i="2"/>
  <c r="CM65" i="2"/>
  <c r="CM66" i="2"/>
  <c r="CM67" i="2"/>
  <c r="CM68" i="2"/>
  <c r="CM69" i="2"/>
  <c r="CM70" i="2"/>
  <c r="CM71" i="2"/>
  <c r="CM72" i="2"/>
  <c r="CM73" i="2"/>
  <c r="CM74" i="2"/>
  <c r="CM75" i="2"/>
  <c r="CM76" i="2"/>
  <c r="CM77" i="2"/>
  <c r="CM78" i="2"/>
  <c r="CM79" i="2"/>
  <c r="CM80" i="2"/>
  <c r="CM81" i="2"/>
  <c r="CM82" i="2"/>
  <c r="CM83" i="2"/>
  <c r="CM84" i="2"/>
  <c r="CM85" i="2"/>
  <c r="CM86" i="2"/>
  <c r="CM87" i="2"/>
  <c r="CM88" i="2"/>
  <c r="CM89" i="2"/>
  <c r="CM90" i="2"/>
  <c r="CM91" i="2"/>
  <c r="CM92" i="2"/>
  <c r="CM93" i="2"/>
  <c r="CM94" i="2"/>
  <c r="CM95" i="2"/>
  <c r="CM96" i="2"/>
  <c r="CM97" i="2"/>
  <c r="CM98" i="2"/>
  <c r="CM99" i="2"/>
  <c r="CM100" i="2"/>
  <c r="CM101" i="2"/>
  <c r="CM102" i="2"/>
  <c r="CM103" i="2"/>
  <c r="CM104" i="2"/>
  <c r="CM105" i="2"/>
  <c r="CM106" i="2"/>
  <c r="CM107" i="2"/>
  <c r="CM108" i="2"/>
  <c r="CM109" i="2"/>
  <c r="CM110" i="2"/>
  <c r="CM111" i="2"/>
  <c r="CM112" i="2"/>
  <c r="CM113" i="2"/>
  <c r="CM114" i="2"/>
  <c r="CM115" i="2"/>
  <c r="CM116" i="2"/>
  <c r="CM117" i="2"/>
  <c r="CM118" i="2"/>
  <c r="CM119" i="2"/>
  <c r="CM120" i="2"/>
  <c r="CM121" i="2"/>
  <c r="CM122" i="2"/>
  <c r="CM123" i="2"/>
  <c r="CM124" i="2"/>
  <c r="CM125" i="2"/>
  <c r="CM126" i="2"/>
  <c r="CM127" i="2"/>
  <c r="CM128" i="2"/>
  <c r="CM129" i="2"/>
  <c r="CM130" i="2"/>
  <c r="CM131" i="2"/>
  <c r="CM132" i="2"/>
  <c r="CM133" i="2"/>
  <c r="CM134" i="2"/>
  <c r="CM135" i="2"/>
  <c r="CM136" i="2"/>
  <c r="CM137" i="2"/>
  <c r="CM138" i="2"/>
  <c r="CM139" i="2"/>
  <c r="CM140" i="2"/>
  <c r="CM141" i="2"/>
  <c r="CM142" i="2"/>
  <c r="CM143" i="2"/>
  <c r="CM144" i="2"/>
  <c r="CM145" i="2"/>
  <c r="CM146" i="2"/>
  <c r="CM147" i="2"/>
  <c r="CM148" i="2"/>
  <c r="CM149" i="2"/>
  <c r="CM150" i="2"/>
  <c r="CM151" i="2"/>
  <c r="CM152" i="2"/>
  <c r="CM153" i="2"/>
  <c r="CM154" i="2"/>
  <c r="CM155" i="2"/>
  <c r="CM156" i="2"/>
  <c r="CM157" i="2"/>
  <c r="CM158" i="2"/>
  <c r="CM159" i="2"/>
  <c r="CM160" i="2"/>
  <c r="CM161" i="2"/>
  <c r="CM162" i="2"/>
  <c r="CM163" i="2"/>
  <c r="CM164" i="2"/>
  <c r="CM165" i="2"/>
  <c r="CM166" i="2"/>
  <c r="CM167" i="2"/>
  <c r="CM168" i="2"/>
  <c r="CM169" i="2"/>
  <c r="CM170" i="2"/>
  <c r="CM171" i="2"/>
  <c r="CM172" i="2"/>
  <c r="CM173" i="2"/>
  <c r="CM174" i="2"/>
  <c r="CM175" i="2"/>
  <c r="CM176" i="2"/>
  <c r="CM177" i="2"/>
  <c r="CM178" i="2"/>
  <c r="CM179" i="2"/>
  <c r="CM180" i="2"/>
  <c r="CM181" i="2"/>
  <c r="CM182" i="2"/>
  <c r="CM183" i="2"/>
  <c r="CM184" i="2"/>
  <c r="CM185" i="2"/>
  <c r="CM186" i="2"/>
  <c r="CM187" i="2"/>
  <c r="CM188" i="2"/>
  <c r="CM189" i="2"/>
  <c r="CM190" i="2"/>
  <c r="CM191" i="2"/>
  <c r="CM192" i="2"/>
  <c r="CM193" i="2"/>
  <c r="CM194" i="2"/>
  <c r="CM195" i="2"/>
  <c r="CM196" i="2"/>
  <c r="CM197" i="2"/>
  <c r="CM198" i="2"/>
  <c r="CM199" i="2"/>
  <c r="CM200" i="2"/>
  <c r="CM201" i="2"/>
  <c r="CM202" i="2"/>
  <c r="CM203" i="2"/>
  <c r="CM204" i="2"/>
  <c r="CM205" i="2"/>
  <c r="CM206" i="2"/>
  <c r="CM207" i="2"/>
  <c r="CM208" i="2"/>
  <c r="CM209" i="2"/>
  <c r="CM210" i="2"/>
  <c r="CM211" i="2"/>
  <c r="CM212" i="2"/>
  <c r="CM213" i="2"/>
  <c r="CM214" i="2"/>
  <c r="CM215" i="2"/>
  <c r="CM216" i="2"/>
  <c r="CM217" i="2"/>
  <c r="CM218" i="2"/>
  <c r="CM219" i="2"/>
  <c r="CM220" i="2"/>
  <c r="CM221" i="2"/>
  <c r="CM222" i="2"/>
  <c r="CM223" i="2"/>
  <c r="CM224" i="2"/>
  <c r="CM225" i="2"/>
  <c r="CM226" i="2"/>
  <c r="CM227" i="2"/>
  <c r="CM228" i="2"/>
  <c r="CM229" i="2"/>
  <c r="CM230" i="2"/>
  <c r="CM231" i="2"/>
  <c r="CM232" i="2"/>
  <c r="CM233" i="2"/>
  <c r="CM234" i="2"/>
  <c r="CM235" i="2"/>
  <c r="CM236" i="2"/>
  <c r="CM237" i="2"/>
  <c r="CM238" i="2"/>
  <c r="CM239" i="2"/>
  <c r="CM240" i="2"/>
  <c r="CM241" i="2"/>
  <c r="CM242" i="2"/>
  <c r="CM243" i="2"/>
  <c r="CM244" i="2"/>
  <c r="CM245" i="2"/>
  <c r="CM246" i="2"/>
  <c r="CM247" i="2"/>
  <c r="CM248" i="2"/>
  <c r="CM249" i="2"/>
  <c r="CM250" i="2"/>
  <c r="CM251" i="2"/>
  <c r="CM252" i="2"/>
  <c r="CM253" i="2"/>
  <c r="CM254" i="2"/>
  <c r="CM255" i="2"/>
  <c r="CM256" i="2"/>
  <c r="CM257" i="2"/>
  <c r="CM258" i="2"/>
  <c r="CM259" i="2"/>
  <c r="CM260" i="2"/>
  <c r="CM261" i="2"/>
  <c r="CM262" i="2"/>
  <c r="CM263" i="2"/>
  <c r="CM264" i="2"/>
  <c r="CM265" i="2"/>
  <c r="CM266" i="2"/>
  <c r="CM267" i="2"/>
  <c r="CM268" i="2"/>
  <c r="CM269" i="2"/>
  <c r="CM270" i="2"/>
  <c r="CM271" i="2"/>
  <c r="CM272" i="2"/>
  <c r="CM273" i="2"/>
  <c r="CM274" i="2"/>
  <c r="CM275" i="2"/>
  <c r="CM276" i="2"/>
  <c r="CM277" i="2"/>
  <c r="CM278" i="2"/>
  <c r="CM279" i="2"/>
  <c r="CM280" i="2"/>
  <c r="CM281" i="2"/>
  <c r="CM282" i="2"/>
  <c r="CM283" i="2"/>
  <c r="CM284" i="2"/>
  <c r="CM285" i="2"/>
  <c r="CM286" i="2"/>
  <c r="CM287" i="2"/>
  <c r="CM288" i="2"/>
  <c r="CM289" i="2"/>
  <c r="CM290" i="2"/>
  <c r="CM291" i="2"/>
  <c r="CM292" i="2"/>
  <c r="CM293" i="2"/>
  <c r="CM294" i="2"/>
  <c r="CM295" i="2"/>
  <c r="CM296" i="2"/>
  <c r="CM297" i="2"/>
  <c r="CM298" i="2"/>
  <c r="CM299" i="2"/>
  <c r="CM300" i="2"/>
  <c r="CM301" i="2"/>
  <c r="CM302" i="2"/>
  <c r="CM303" i="2"/>
  <c r="CM304" i="2"/>
  <c r="CM305" i="2"/>
  <c r="CM306" i="2"/>
  <c r="CM307" i="2"/>
  <c r="CM308" i="2"/>
  <c r="CM309" i="2"/>
  <c r="CM310" i="2"/>
  <c r="CM311" i="2"/>
  <c r="CM312" i="2"/>
  <c r="CM313" i="2"/>
  <c r="CM314" i="2"/>
  <c r="CM315" i="2"/>
  <c r="CM316" i="2"/>
  <c r="CM317" i="2"/>
  <c r="CM318" i="2"/>
  <c r="CM319" i="2"/>
  <c r="CM320" i="2"/>
  <c r="CM321" i="2"/>
  <c r="CM322" i="2"/>
  <c r="CM323" i="2"/>
  <c r="CM324" i="2"/>
  <c r="CM325" i="2"/>
  <c r="CM326" i="2"/>
  <c r="CM327" i="2"/>
  <c r="CM328" i="2"/>
  <c r="CM329" i="2"/>
  <c r="CM330" i="2"/>
  <c r="CM331" i="2"/>
  <c r="CM332" i="2"/>
  <c r="CM333" i="2"/>
  <c r="CM334" i="2"/>
  <c r="CM335" i="2"/>
  <c r="CM336" i="2"/>
  <c r="CM337" i="2"/>
  <c r="CM338" i="2"/>
  <c r="CM339" i="2"/>
  <c r="CM340" i="2"/>
  <c r="CM341" i="2"/>
  <c r="CM342" i="2"/>
  <c r="CM343" i="2"/>
  <c r="CM344" i="2"/>
  <c r="CM345" i="2"/>
  <c r="CM346" i="2"/>
  <c r="CM347" i="2"/>
  <c r="CM348" i="2"/>
  <c r="CM349" i="2"/>
  <c r="CM350" i="2"/>
  <c r="CM351" i="2"/>
  <c r="CM352" i="2"/>
  <c r="CM353" i="2"/>
  <c r="CM354" i="2"/>
  <c r="CM355" i="2"/>
  <c r="CM356" i="2"/>
  <c r="CM357" i="2"/>
  <c r="CM358" i="2"/>
  <c r="CM359" i="2"/>
  <c r="CM360" i="2"/>
  <c r="CM361" i="2"/>
  <c r="CM362" i="2"/>
  <c r="CM363" i="2"/>
  <c r="CM364" i="2"/>
  <c r="CM365" i="2"/>
  <c r="CM366" i="2"/>
  <c r="CM367" i="2"/>
  <c r="CM368" i="2"/>
  <c r="CM369" i="2"/>
  <c r="CM370" i="2"/>
  <c r="CM371" i="2"/>
  <c r="CM372" i="2"/>
  <c r="CM373" i="2"/>
  <c r="CM374" i="2"/>
  <c r="CM375" i="2"/>
  <c r="CM376" i="2"/>
  <c r="CM377" i="2"/>
  <c r="CM378" i="2"/>
  <c r="CM379" i="2"/>
  <c r="CM380" i="2"/>
  <c r="CM381" i="2"/>
  <c r="CM382" i="2"/>
  <c r="CM383" i="2"/>
  <c r="CM384" i="2"/>
  <c r="CM385" i="2"/>
  <c r="CM386" i="2"/>
  <c r="CM387" i="2"/>
  <c r="CM388" i="2"/>
  <c r="CM389" i="2"/>
  <c r="CM390" i="2"/>
  <c r="CM391" i="2"/>
  <c r="CM392" i="2"/>
  <c r="CM393" i="2"/>
  <c r="CM394" i="2"/>
  <c r="CM395" i="2"/>
  <c r="CM396" i="2"/>
  <c r="CM397" i="2"/>
  <c r="CM398" i="2"/>
  <c r="CM399" i="2"/>
  <c r="CM400" i="2"/>
  <c r="CM401" i="2"/>
  <c r="CM402" i="2"/>
  <c r="CM403" i="2"/>
  <c r="CM404" i="2"/>
  <c r="CM405" i="2"/>
  <c r="CM406" i="2"/>
  <c r="CM407" i="2"/>
  <c r="CM408" i="2"/>
  <c r="CM409" i="2"/>
  <c r="CM410" i="2"/>
  <c r="CM411" i="2"/>
  <c r="CM412" i="2"/>
  <c r="CM413" i="2"/>
  <c r="CM414" i="2"/>
  <c r="CM415" i="2"/>
  <c r="CM416" i="2"/>
  <c r="CM417" i="2"/>
  <c r="CM418" i="2"/>
  <c r="CM419" i="2"/>
  <c r="CM420" i="2"/>
  <c r="CM421" i="2"/>
  <c r="CM422" i="2"/>
  <c r="CM423" i="2"/>
  <c r="CM424" i="2"/>
  <c r="CM425" i="2"/>
  <c r="CM426" i="2"/>
  <c r="CM427" i="2"/>
  <c r="CM428" i="2"/>
  <c r="CM429" i="2"/>
  <c r="CM430" i="2"/>
  <c r="CM431" i="2"/>
  <c r="CM432" i="2"/>
  <c r="CM433" i="2"/>
  <c r="CM434" i="2"/>
  <c r="CM435" i="2"/>
  <c r="CM436" i="2"/>
  <c r="CM437" i="2"/>
  <c r="CM438" i="2"/>
  <c r="CM439" i="2"/>
  <c r="CM440" i="2"/>
  <c r="CM441" i="2"/>
  <c r="CM442" i="2"/>
  <c r="CM443" i="2"/>
  <c r="CM444" i="2"/>
  <c r="CM445" i="2"/>
  <c r="CM446" i="2"/>
  <c r="CM447" i="2"/>
  <c r="CM448" i="2"/>
  <c r="CM449" i="2"/>
  <c r="CM450" i="2"/>
  <c r="CM451" i="2"/>
  <c r="CM452" i="2"/>
  <c r="CM453" i="2"/>
  <c r="CM454" i="2"/>
  <c r="CM455" i="2"/>
  <c r="CM456" i="2"/>
  <c r="CM457" i="2"/>
  <c r="CM458" i="2"/>
  <c r="CM459" i="2"/>
  <c r="CM460" i="2"/>
  <c r="CM461" i="2"/>
  <c r="CM462" i="2"/>
  <c r="CM463" i="2"/>
  <c r="CM464" i="2"/>
  <c r="CM465" i="2"/>
  <c r="CM466" i="2"/>
  <c r="CM467" i="2"/>
  <c r="CM468" i="2"/>
  <c r="CM469" i="2"/>
  <c r="CM470" i="2"/>
  <c r="CM471" i="2"/>
  <c r="CM472" i="2"/>
  <c r="CM473" i="2"/>
  <c r="CM474" i="2"/>
  <c r="CM475" i="2"/>
  <c r="CM476" i="2"/>
  <c r="CM477" i="2"/>
  <c r="CM478" i="2"/>
  <c r="CM479" i="2"/>
  <c r="CM480" i="2"/>
  <c r="CM481" i="2"/>
  <c r="CM482" i="2"/>
  <c r="CM483" i="2"/>
  <c r="CM484" i="2"/>
  <c r="CM485" i="2"/>
  <c r="CM486" i="2"/>
  <c r="CM487" i="2"/>
  <c r="CM488" i="2"/>
  <c r="CM489" i="2"/>
  <c r="CM490" i="2"/>
  <c r="CM491" i="2"/>
  <c r="CM492" i="2"/>
  <c r="CM493" i="2"/>
  <c r="CM494" i="2"/>
  <c r="CM495" i="2"/>
  <c r="CM496" i="2"/>
  <c r="CM497" i="2"/>
  <c r="CM498" i="2"/>
  <c r="CM499" i="2"/>
  <c r="CM500" i="2"/>
  <c r="CM501" i="2"/>
  <c r="CM502" i="2"/>
  <c r="CM503" i="2"/>
  <c r="CM504" i="2"/>
  <c r="CM505" i="2"/>
  <c r="CM506" i="2"/>
  <c r="CM507" i="2"/>
  <c r="CM508" i="2"/>
  <c r="CM509" i="2"/>
  <c r="CM510" i="2"/>
  <c r="CM511" i="2"/>
  <c r="CM512" i="2"/>
  <c r="CM513" i="2"/>
  <c r="CM514" i="2"/>
  <c r="CM515" i="2"/>
  <c r="CM516" i="2"/>
  <c r="CM517" i="2"/>
  <c r="CM518" i="2"/>
  <c r="CM519" i="2"/>
  <c r="CM520" i="2"/>
  <c r="CM521" i="2"/>
  <c r="CM522" i="2"/>
  <c r="CM523" i="2"/>
  <c r="CM524" i="2"/>
  <c r="CM525" i="2"/>
  <c r="CM526" i="2"/>
  <c r="CM527" i="2"/>
  <c r="CM528" i="2"/>
  <c r="CM529" i="2"/>
  <c r="CM530" i="2"/>
  <c r="CM531" i="2"/>
  <c r="CM532" i="2"/>
  <c r="CM533" i="2"/>
  <c r="CM534" i="2"/>
  <c r="CM535" i="2"/>
  <c r="CM536" i="2"/>
  <c r="CM537" i="2"/>
  <c r="CM538" i="2"/>
  <c r="CM539" i="2"/>
  <c r="CM540" i="2"/>
  <c r="CM541" i="2"/>
  <c r="CM542" i="2"/>
  <c r="CM543" i="2"/>
  <c r="CM544" i="2"/>
  <c r="CM545" i="2"/>
  <c r="CM546" i="2"/>
  <c r="CM547" i="2"/>
  <c r="CM548" i="2"/>
  <c r="CM549" i="2"/>
  <c r="CM550" i="2"/>
  <c r="CM551" i="2"/>
  <c r="CM552" i="2"/>
  <c r="CM553" i="2"/>
  <c r="CM554" i="2"/>
  <c r="CM555" i="2"/>
  <c r="CM556" i="2"/>
  <c r="CM557" i="2"/>
  <c r="CM558" i="2"/>
  <c r="CM559" i="2"/>
  <c r="CM560" i="2"/>
  <c r="CM561" i="2"/>
  <c r="CM562" i="2"/>
  <c r="CM563" i="2"/>
  <c r="CM564" i="2"/>
  <c r="CM565" i="2"/>
  <c r="CM566" i="2"/>
  <c r="CM567" i="2"/>
  <c r="CM568" i="2"/>
  <c r="CM569" i="2"/>
  <c r="CM570" i="2"/>
  <c r="CM571" i="2"/>
  <c r="CM572" i="2"/>
  <c r="CM573" i="2"/>
  <c r="CM574" i="2"/>
  <c r="CM575" i="2"/>
  <c r="CM576" i="2"/>
  <c r="CM577" i="2"/>
  <c r="CM578" i="2"/>
  <c r="CM579" i="2"/>
  <c r="CM580" i="2"/>
  <c r="CM581" i="2"/>
  <c r="CM582" i="2"/>
  <c r="CM583" i="2"/>
  <c r="CM584" i="2"/>
  <c r="CM585" i="2"/>
  <c r="CM586" i="2"/>
  <c r="CM587" i="2"/>
  <c r="CM588" i="2"/>
  <c r="CM589" i="2"/>
  <c r="CM590" i="2"/>
  <c r="CM591" i="2"/>
  <c r="CM592" i="2"/>
  <c r="CM593" i="2"/>
  <c r="CM594" i="2"/>
  <c r="CM595" i="2"/>
  <c r="CM596" i="2"/>
  <c r="CM597" i="2"/>
  <c r="CM598" i="2"/>
  <c r="CM599" i="2"/>
  <c r="CM600" i="2"/>
  <c r="CM601" i="2"/>
  <c r="CM602" i="2"/>
  <c r="CM603" i="2"/>
  <c r="CM604" i="2"/>
  <c r="CM605" i="2"/>
  <c r="CM606" i="2"/>
  <c r="CM607" i="2"/>
  <c r="CM608" i="2"/>
  <c r="CM609" i="2"/>
  <c r="CM610" i="2"/>
  <c r="CM611" i="2"/>
  <c r="CM612" i="2"/>
  <c r="CM613" i="2"/>
  <c r="CM614" i="2"/>
  <c r="CM615" i="2"/>
  <c r="CM616" i="2"/>
  <c r="CM617" i="2"/>
  <c r="CM618" i="2"/>
  <c r="CM619" i="2"/>
  <c r="CM620" i="2"/>
  <c r="CM621" i="2"/>
  <c r="CM622" i="2"/>
  <c r="CM623" i="2"/>
  <c r="CM624" i="2"/>
  <c r="CM625" i="2"/>
  <c r="CM626" i="2"/>
  <c r="CM627" i="2"/>
  <c r="CM628" i="2"/>
  <c r="CM629" i="2"/>
  <c r="CM630" i="2"/>
  <c r="CM631" i="2"/>
  <c r="CM632" i="2"/>
  <c r="CM633" i="2"/>
  <c r="CM634" i="2"/>
  <c r="CM635" i="2"/>
  <c r="CM636" i="2"/>
  <c r="CM637" i="2"/>
  <c r="CM638" i="2"/>
  <c r="CM639" i="2"/>
  <c r="CM640" i="2"/>
  <c r="CM641" i="2"/>
  <c r="CM642" i="2"/>
  <c r="CM643" i="2"/>
  <c r="CM644" i="2"/>
  <c r="CM645" i="2"/>
  <c r="CM646" i="2"/>
  <c r="CM647" i="2"/>
  <c r="CM648" i="2"/>
  <c r="CM649" i="2"/>
  <c r="CM650" i="2"/>
  <c r="CM651" i="2"/>
  <c r="CM652" i="2"/>
  <c r="CM653" i="2"/>
  <c r="CM654" i="2"/>
  <c r="CM655" i="2"/>
  <c r="CM656" i="2"/>
  <c r="CM657" i="2"/>
  <c r="CM658" i="2"/>
  <c r="CM659" i="2"/>
  <c r="CM660" i="2"/>
  <c r="CM661" i="2"/>
  <c r="CM662" i="2"/>
  <c r="CM663" i="2"/>
  <c r="CM664" i="2"/>
  <c r="CM665" i="2"/>
  <c r="CM666" i="2"/>
  <c r="CM667" i="2"/>
  <c r="CM668" i="2"/>
  <c r="CM669" i="2"/>
  <c r="CM670" i="2"/>
  <c r="CM671" i="2"/>
  <c r="CM672" i="2"/>
  <c r="CM673" i="2"/>
  <c r="CM674" i="2"/>
  <c r="CM675" i="2"/>
  <c r="CM676" i="2"/>
  <c r="CM677" i="2"/>
  <c r="CM678" i="2"/>
  <c r="CM679" i="2"/>
  <c r="CM680" i="2"/>
  <c r="CM681" i="2"/>
  <c r="CM682" i="2"/>
  <c r="CM683" i="2"/>
  <c r="CM684" i="2"/>
  <c r="CM685" i="2"/>
  <c r="CM686" i="2"/>
  <c r="CM687" i="2"/>
  <c r="CM688" i="2"/>
  <c r="CM689" i="2"/>
  <c r="CM690" i="2"/>
  <c r="CM691" i="2"/>
  <c r="CM692" i="2"/>
  <c r="CM693" i="2"/>
  <c r="CM694" i="2"/>
  <c r="CM695" i="2"/>
  <c r="CM696" i="2"/>
  <c r="CM697" i="2"/>
  <c r="CM698" i="2"/>
  <c r="CM699" i="2"/>
  <c r="CM700" i="2"/>
  <c r="CM701" i="2"/>
  <c r="CM702" i="2"/>
  <c r="CM703" i="2"/>
  <c r="CM704" i="2"/>
  <c r="CM705" i="2"/>
  <c r="CN2" i="2"/>
  <c r="CN3" i="2"/>
  <c r="CN4" i="2"/>
  <c r="CN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78" i="2"/>
  <c r="CN79" i="2"/>
  <c r="CN80" i="2"/>
  <c r="CN81" i="2"/>
  <c r="CN82" i="2"/>
  <c r="CN83" i="2"/>
  <c r="CN84" i="2"/>
  <c r="CN85" i="2"/>
  <c r="CN86" i="2"/>
  <c r="CN87" i="2"/>
  <c r="CN88" i="2"/>
  <c r="CN89" i="2"/>
  <c r="CN90" i="2"/>
  <c r="CN91" i="2"/>
  <c r="CN92" i="2"/>
  <c r="CN93" i="2"/>
  <c r="CN94" i="2"/>
  <c r="CN95" i="2"/>
  <c r="CN96" i="2"/>
  <c r="CN97" i="2"/>
  <c r="CN98" i="2"/>
  <c r="CN99" i="2"/>
  <c r="CN100" i="2"/>
  <c r="CN101" i="2"/>
  <c r="CN102" i="2"/>
  <c r="CN103" i="2"/>
  <c r="CN104" i="2"/>
  <c r="CN105" i="2"/>
  <c r="CN106" i="2"/>
  <c r="CN107" i="2"/>
  <c r="CN108" i="2"/>
  <c r="CN109" i="2"/>
  <c r="CN110" i="2"/>
  <c r="CN111" i="2"/>
  <c r="CN112" i="2"/>
  <c r="CN113" i="2"/>
  <c r="CN114" i="2"/>
  <c r="CN115" i="2"/>
  <c r="CN116" i="2"/>
  <c r="CN117" i="2"/>
  <c r="CN118" i="2"/>
  <c r="CN119" i="2"/>
  <c r="CN120" i="2"/>
  <c r="CN121" i="2"/>
  <c r="CN122" i="2"/>
  <c r="CN123" i="2"/>
  <c r="CN124" i="2"/>
  <c r="CN125" i="2"/>
  <c r="CN126" i="2"/>
  <c r="CN127" i="2"/>
  <c r="CN128" i="2"/>
  <c r="CN129" i="2"/>
  <c r="CN130" i="2"/>
  <c r="CN131" i="2"/>
  <c r="CN132" i="2"/>
  <c r="CN133" i="2"/>
  <c r="CN134" i="2"/>
  <c r="CN135" i="2"/>
  <c r="CN136" i="2"/>
  <c r="CN137" i="2"/>
  <c r="CN138" i="2"/>
  <c r="CN139" i="2"/>
  <c r="CN140" i="2"/>
  <c r="CN141" i="2"/>
  <c r="CN142" i="2"/>
  <c r="CN143" i="2"/>
  <c r="CN144" i="2"/>
  <c r="CN145" i="2"/>
  <c r="CN146" i="2"/>
  <c r="CN147" i="2"/>
  <c r="CN148" i="2"/>
  <c r="CN149" i="2"/>
  <c r="CN150" i="2"/>
  <c r="CN151" i="2"/>
  <c r="CN152" i="2"/>
  <c r="CN153" i="2"/>
  <c r="CN154" i="2"/>
  <c r="CN155" i="2"/>
  <c r="CN156" i="2"/>
  <c r="CN157" i="2"/>
  <c r="CN158" i="2"/>
  <c r="CN159" i="2"/>
  <c r="CN160" i="2"/>
  <c r="CN161" i="2"/>
  <c r="CN162" i="2"/>
  <c r="CN163" i="2"/>
  <c r="CN164" i="2"/>
  <c r="CN165" i="2"/>
  <c r="CN166" i="2"/>
  <c r="CN167" i="2"/>
  <c r="CN168" i="2"/>
  <c r="CN169" i="2"/>
  <c r="CN170" i="2"/>
  <c r="CN171" i="2"/>
  <c r="CN172" i="2"/>
  <c r="CN173" i="2"/>
  <c r="CN174" i="2"/>
  <c r="CN175" i="2"/>
  <c r="CN176" i="2"/>
  <c r="CN177" i="2"/>
  <c r="CN178" i="2"/>
  <c r="CN179" i="2"/>
  <c r="CN180" i="2"/>
  <c r="CN181" i="2"/>
  <c r="CN182" i="2"/>
  <c r="CN183" i="2"/>
  <c r="CN184" i="2"/>
  <c r="CN185" i="2"/>
  <c r="CN186" i="2"/>
  <c r="CN187" i="2"/>
  <c r="CN188" i="2"/>
  <c r="CN189" i="2"/>
  <c r="CN190" i="2"/>
  <c r="CN191" i="2"/>
  <c r="CN192" i="2"/>
  <c r="CN193" i="2"/>
  <c r="CN194" i="2"/>
  <c r="CN195" i="2"/>
  <c r="CN196" i="2"/>
  <c r="CN197" i="2"/>
  <c r="CN198" i="2"/>
  <c r="CN199" i="2"/>
  <c r="CN200" i="2"/>
  <c r="CN201" i="2"/>
  <c r="CN202" i="2"/>
  <c r="CN203" i="2"/>
  <c r="CN204" i="2"/>
  <c r="CN205" i="2"/>
  <c r="CN206" i="2"/>
  <c r="CN207" i="2"/>
  <c r="CN208" i="2"/>
  <c r="CN209" i="2"/>
  <c r="CN210" i="2"/>
  <c r="CN211" i="2"/>
  <c r="CN212" i="2"/>
  <c r="CN213" i="2"/>
  <c r="CN214" i="2"/>
  <c r="CN215" i="2"/>
  <c r="CN216" i="2"/>
  <c r="CN217" i="2"/>
  <c r="CN218" i="2"/>
  <c r="CN219" i="2"/>
  <c r="CN220" i="2"/>
  <c r="CN221" i="2"/>
  <c r="CN222" i="2"/>
  <c r="CN223" i="2"/>
  <c r="CN224" i="2"/>
  <c r="CN225" i="2"/>
  <c r="CN226" i="2"/>
  <c r="CN227" i="2"/>
  <c r="CN228" i="2"/>
  <c r="CN229" i="2"/>
  <c r="CN230" i="2"/>
  <c r="CN231" i="2"/>
  <c r="CN232" i="2"/>
  <c r="CN233" i="2"/>
  <c r="CN234" i="2"/>
  <c r="CN235" i="2"/>
  <c r="CN236" i="2"/>
  <c r="CN237" i="2"/>
  <c r="CN238" i="2"/>
  <c r="CN239" i="2"/>
  <c r="CN240" i="2"/>
  <c r="CN241" i="2"/>
  <c r="CN242" i="2"/>
  <c r="CN243" i="2"/>
  <c r="CN244" i="2"/>
  <c r="CN245" i="2"/>
  <c r="CN246" i="2"/>
  <c r="CN247" i="2"/>
  <c r="CN248" i="2"/>
  <c r="CN249" i="2"/>
  <c r="CN250" i="2"/>
  <c r="CN251" i="2"/>
  <c r="CN252" i="2"/>
  <c r="CN253" i="2"/>
  <c r="CN254" i="2"/>
  <c r="CN255" i="2"/>
  <c r="CN256" i="2"/>
  <c r="CN257" i="2"/>
  <c r="CN258" i="2"/>
  <c r="CN259" i="2"/>
  <c r="CN260" i="2"/>
  <c r="CN261" i="2"/>
  <c r="CN262" i="2"/>
  <c r="CN263" i="2"/>
  <c r="CN264" i="2"/>
  <c r="CN265" i="2"/>
  <c r="CN266" i="2"/>
  <c r="CN267" i="2"/>
  <c r="CN268" i="2"/>
  <c r="CN269" i="2"/>
  <c r="CN270" i="2"/>
  <c r="CN271" i="2"/>
  <c r="CN272" i="2"/>
  <c r="CN273" i="2"/>
  <c r="CN274" i="2"/>
  <c r="CN275" i="2"/>
  <c r="CN276" i="2"/>
  <c r="CN277" i="2"/>
  <c r="CN278" i="2"/>
  <c r="CN279" i="2"/>
  <c r="CN280" i="2"/>
  <c r="CN281" i="2"/>
  <c r="CN282" i="2"/>
  <c r="CN283" i="2"/>
  <c r="CN284" i="2"/>
  <c r="CN285" i="2"/>
  <c r="CN286" i="2"/>
  <c r="CN287" i="2"/>
  <c r="CN288" i="2"/>
  <c r="CN289" i="2"/>
  <c r="CN290" i="2"/>
  <c r="CN291" i="2"/>
  <c r="CN292" i="2"/>
  <c r="CN293" i="2"/>
  <c r="CN294" i="2"/>
  <c r="CN295" i="2"/>
  <c r="CN296" i="2"/>
  <c r="CN297" i="2"/>
  <c r="CN298" i="2"/>
  <c r="CN299" i="2"/>
  <c r="CN300" i="2"/>
  <c r="CN301" i="2"/>
  <c r="CN302" i="2"/>
  <c r="CN303" i="2"/>
  <c r="CN304" i="2"/>
  <c r="CN305" i="2"/>
  <c r="CN306" i="2"/>
  <c r="CN307" i="2"/>
  <c r="CN308" i="2"/>
  <c r="CN309" i="2"/>
  <c r="CN310" i="2"/>
  <c r="CN311" i="2"/>
  <c r="CN312" i="2"/>
  <c r="CN313" i="2"/>
  <c r="CN314" i="2"/>
  <c r="CN315" i="2"/>
  <c r="CN316" i="2"/>
  <c r="CN317" i="2"/>
  <c r="CN318" i="2"/>
  <c r="CN319" i="2"/>
  <c r="CN320" i="2"/>
  <c r="CN321" i="2"/>
  <c r="CN322" i="2"/>
  <c r="CN323" i="2"/>
  <c r="CN324" i="2"/>
  <c r="CN325" i="2"/>
  <c r="CN326" i="2"/>
  <c r="CN327" i="2"/>
  <c r="CN328" i="2"/>
  <c r="CN329" i="2"/>
  <c r="CN330" i="2"/>
  <c r="CN331" i="2"/>
  <c r="CN332" i="2"/>
  <c r="CN333" i="2"/>
  <c r="CN334" i="2"/>
  <c r="CN335" i="2"/>
  <c r="CN336" i="2"/>
  <c r="CN337" i="2"/>
  <c r="CN338" i="2"/>
  <c r="CN339" i="2"/>
  <c r="CN340" i="2"/>
  <c r="CN341" i="2"/>
  <c r="CN342" i="2"/>
  <c r="CN343" i="2"/>
  <c r="CN344" i="2"/>
  <c r="CN345" i="2"/>
  <c r="CN346" i="2"/>
  <c r="CN347" i="2"/>
  <c r="CN348" i="2"/>
  <c r="CN349" i="2"/>
  <c r="CN350" i="2"/>
  <c r="CN351" i="2"/>
  <c r="CN352" i="2"/>
  <c r="CN353" i="2"/>
  <c r="CN354" i="2"/>
  <c r="CN355" i="2"/>
  <c r="CN356" i="2"/>
  <c r="CN357" i="2"/>
  <c r="CN358" i="2"/>
  <c r="CN359" i="2"/>
  <c r="CN360" i="2"/>
  <c r="CN361" i="2"/>
  <c r="CN362" i="2"/>
  <c r="CN363" i="2"/>
  <c r="CN364" i="2"/>
  <c r="CN365" i="2"/>
  <c r="CN366" i="2"/>
  <c r="CN367" i="2"/>
  <c r="CN368" i="2"/>
  <c r="CN369" i="2"/>
  <c r="CN370" i="2"/>
  <c r="CN371" i="2"/>
  <c r="CN372" i="2"/>
  <c r="CN373" i="2"/>
  <c r="CN374" i="2"/>
  <c r="CN375" i="2"/>
  <c r="CN376" i="2"/>
  <c r="CN377" i="2"/>
  <c r="CN378" i="2"/>
  <c r="CN379" i="2"/>
  <c r="CN380" i="2"/>
  <c r="CN381" i="2"/>
  <c r="CN382" i="2"/>
  <c r="CN383" i="2"/>
  <c r="CN384" i="2"/>
  <c r="CN385" i="2"/>
  <c r="CN386" i="2"/>
  <c r="CN387" i="2"/>
  <c r="CN388" i="2"/>
  <c r="CN389" i="2"/>
  <c r="CN390" i="2"/>
  <c r="CN391" i="2"/>
  <c r="CN392" i="2"/>
  <c r="CN393" i="2"/>
  <c r="CN394" i="2"/>
  <c r="CN395" i="2"/>
  <c r="CN396" i="2"/>
  <c r="CV396" i="2" s="1" a="1"/>
  <c r="CV396" i="2" s="1"/>
  <c r="CN397" i="2"/>
  <c r="CN398" i="2"/>
  <c r="CN399" i="2"/>
  <c r="CN400" i="2"/>
  <c r="CN401" i="2"/>
  <c r="CN402" i="2"/>
  <c r="CN403" i="2"/>
  <c r="CN404" i="2"/>
  <c r="CN405" i="2"/>
  <c r="CN406" i="2"/>
  <c r="CN407" i="2"/>
  <c r="CN408" i="2"/>
  <c r="CN409" i="2"/>
  <c r="CN410" i="2"/>
  <c r="CN411" i="2"/>
  <c r="CN412" i="2"/>
  <c r="CN413" i="2"/>
  <c r="CN414" i="2"/>
  <c r="CN415" i="2"/>
  <c r="CN416" i="2"/>
  <c r="CN417" i="2"/>
  <c r="CN418" i="2"/>
  <c r="CN419" i="2"/>
  <c r="CN420" i="2"/>
  <c r="CN421" i="2"/>
  <c r="CN422" i="2"/>
  <c r="CN423" i="2"/>
  <c r="CN424" i="2"/>
  <c r="CN425" i="2"/>
  <c r="CN426" i="2"/>
  <c r="CN427" i="2"/>
  <c r="CN428" i="2"/>
  <c r="CN429" i="2"/>
  <c r="CN430" i="2"/>
  <c r="CN431" i="2"/>
  <c r="CN432" i="2"/>
  <c r="CN433" i="2"/>
  <c r="CN434" i="2"/>
  <c r="CN435" i="2"/>
  <c r="CN436" i="2"/>
  <c r="CN437" i="2"/>
  <c r="CN438" i="2"/>
  <c r="CN439" i="2"/>
  <c r="CN440" i="2"/>
  <c r="CN441" i="2"/>
  <c r="CN442" i="2"/>
  <c r="CN443" i="2"/>
  <c r="CN444" i="2"/>
  <c r="CN445" i="2"/>
  <c r="CN446" i="2"/>
  <c r="CN447" i="2"/>
  <c r="CN448" i="2"/>
  <c r="CN449" i="2"/>
  <c r="CN450" i="2"/>
  <c r="CN451" i="2"/>
  <c r="CN452" i="2"/>
  <c r="CN453" i="2"/>
  <c r="CN454" i="2"/>
  <c r="CN455" i="2"/>
  <c r="CN456" i="2"/>
  <c r="CN457" i="2"/>
  <c r="CN458" i="2"/>
  <c r="CN459" i="2"/>
  <c r="CN460" i="2"/>
  <c r="CN461" i="2"/>
  <c r="CN462" i="2"/>
  <c r="CN463" i="2"/>
  <c r="CN464" i="2"/>
  <c r="CN465" i="2"/>
  <c r="CN466" i="2"/>
  <c r="CN467" i="2"/>
  <c r="CN468" i="2"/>
  <c r="CN469" i="2"/>
  <c r="CN470" i="2"/>
  <c r="CN471" i="2"/>
  <c r="CN472" i="2"/>
  <c r="CN473" i="2"/>
  <c r="CN474" i="2"/>
  <c r="CN475" i="2"/>
  <c r="CN476" i="2"/>
  <c r="CN477" i="2"/>
  <c r="CN478" i="2"/>
  <c r="CN479" i="2"/>
  <c r="CN480" i="2"/>
  <c r="CN481" i="2"/>
  <c r="CN482" i="2"/>
  <c r="CN483" i="2"/>
  <c r="CN484" i="2"/>
  <c r="CN485" i="2"/>
  <c r="CN486" i="2"/>
  <c r="CN487" i="2"/>
  <c r="CN488" i="2"/>
  <c r="CN489" i="2"/>
  <c r="CN490" i="2"/>
  <c r="CN491" i="2"/>
  <c r="CN492" i="2"/>
  <c r="CN493" i="2"/>
  <c r="CN494" i="2"/>
  <c r="CN495" i="2"/>
  <c r="CN496" i="2"/>
  <c r="CN497" i="2"/>
  <c r="CN498" i="2"/>
  <c r="CN499" i="2"/>
  <c r="CN500" i="2"/>
  <c r="CN501" i="2"/>
  <c r="CN502" i="2"/>
  <c r="CN503" i="2"/>
  <c r="CN504" i="2"/>
  <c r="CN505" i="2"/>
  <c r="CN506" i="2"/>
  <c r="CN507" i="2"/>
  <c r="CN508" i="2"/>
  <c r="CN509" i="2"/>
  <c r="CN510" i="2"/>
  <c r="CN511" i="2"/>
  <c r="CN512" i="2"/>
  <c r="CN513" i="2"/>
  <c r="CN514" i="2"/>
  <c r="CN515" i="2"/>
  <c r="CN516" i="2"/>
  <c r="CN517" i="2"/>
  <c r="CN518" i="2"/>
  <c r="CN519" i="2"/>
  <c r="CN520" i="2"/>
  <c r="CN521" i="2"/>
  <c r="CN522" i="2"/>
  <c r="CN523" i="2"/>
  <c r="CN524" i="2"/>
  <c r="CN525" i="2"/>
  <c r="CN526" i="2"/>
  <c r="CN527" i="2"/>
  <c r="CN528" i="2"/>
  <c r="CN529" i="2"/>
  <c r="CN530" i="2"/>
  <c r="CN531" i="2"/>
  <c r="CN532" i="2"/>
  <c r="CN533" i="2"/>
  <c r="CN534" i="2"/>
  <c r="CN535" i="2"/>
  <c r="CN536" i="2"/>
  <c r="CN537" i="2"/>
  <c r="CN538" i="2"/>
  <c r="CN539" i="2"/>
  <c r="CN540" i="2"/>
  <c r="CN541" i="2"/>
  <c r="CN542" i="2"/>
  <c r="CN543" i="2"/>
  <c r="CN544" i="2"/>
  <c r="CN545" i="2"/>
  <c r="CN546" i="2"/>
  <c r="CN547" i="2"/>
  <c r="CN548" i="2"/>
  <c r="CN549" i="2"/>
  <c r="CN550" i="2"/>
  <c r="CN551" i="2"/>
  <c r="CN552" i="2"/>
  <c r="CN553" i="2"/>
  <c r="CN554" i="2"/>
  <c r="CN555" i="2"/>
  <c r="CN556" i="2"/>
  <c r="CN557" i="2"/>
  <c r="CN558" i="2"/>
  <c r="CN559" i="2"/>
  <c r="CN560" i="2"/>
  <c r="CN561" i="2"/>
  <c r="CN562" i="2"/>
  <c r="CN563" i="2"/>
  <c r="CN564" i="2"/>
  <c r="CN565" i="2"/>
  <c r="CN566" i="2"/>
  <c r="CN567" i="2"/>
  <c r="CN568" i="2"/>
  <c r="CN569" i="2"/>
  <c r="CN570" i="2"/>
  <c r="CN571" i="2"/>
  <c r="CN572" i="2"/>
  <c r="CN573" i="2"/>
  <c r="CN574" i="2"/>
  <c r="CN575" i="2"/>
  <c r="CN576" i="2"/>
  <c r="CN577" i="2"/>
  <c r="CN578" i="2"/>
  <c r="CN579" i="2"/>
  <c r="CN580" i="2"/>
  <c r="CN581" i="2"/>
  <c r="CN582" i="2"/>
  <c r="CN583" i="2"/>
  <c r="CN584" i="2"/>
  <c r="CN585" i="2"/>
  <c r="CN586" i="2"/>
  <c r="CN587" i="2"/>
  <c r="CN588" i="2"/>
  <c r="CN589" i="2"/>
  <c r="CN590" i="2"/>
  <c r="CN591" i="2"/>
  <c r="CN592" i="2"/>
  <c r="CN593" i="2"/>
  <c r="CN594" i="2"/>
  <c r="CN595" i="2"/>
  <c r="CN596" i="2"/>
  <c r="CN597" i="2"/>
  <c r="CN598" i="2"/>
  <c r="CN599" i="2"/>
  <c r="CN600" i="2"/>
  <c r="CN601" i="2"/>
  <c r="CN602" i="2"/>
  <c r="CN603" i="2"/>
  <c r="CN604" i="2"/>
  <c r="CN605" i="2"/>
  <c r="CN606" i="2"/>
  <c r="CN607" i="2"/>
  <c r="CN608" i="2"/>
  <c r="CN609" i="2"/>
  <c r="CN610" i="2"/>
  <c r="CN611" i="2"/>
  <c r="CN612" i="2"/>
  <c r="CN613" i="2"/>
  <c r="CN614" i="2"/>
  <c r="CN615" i="2"/>
  <c r="CN616" i="2"/>
  <c r="CN617" i="2"/>
  <c r="CN618" i="2"/>
  <c r="CN619" i="2"/>
  <c r="CN620" i="2"/>
  <c r="CN621" i="2"/>
  <c r="CN622" i="2"/>
  <c r="CN623" i="2"/>
  <c r="CN624" i="2"/>
  <c r="CN625" i="2"/>
  <c r="CN626" i="2"/>
  <c r="CN627" i="2"/>
  <c r="CN628" i="2"/>
  <c r="CN629" i="2"/>
  <c r="CN630" i="2"/>
  <c r="CN631" i="2"/>
  <c r="CN632" i="2"/>
  <c r="CN633" i="2"/>
  <c r="CN634" i="2"/>
  <c r="CN635" i="2"/>
  <c r="CN636" i="2"/>
  <c r="CN637" i="2"/>
  <c r="CN638" i="2"/>
  <c r="CN639" i="2"/>
  <c r="CN640" i="2"/>
  <c r="CN641" i="2"/>
  <c r="CN642" i="2"/>
  <c r="CN643" i="2"/>
  <c r="CN644" i="2"/>
  <c r="CN645" i="2"/>
  <c r="CN646" i="2"/>
  <c r="CN647" i="2"/>
  <c r="CN648" i="2"/>
  <c r="CN649" i="2"/>
  <c r="CN650" i="2"/>
  <c r="CN651" i="2"/>
  <c r="CN652" i="2"/>
  <c r="CN653" i="2"/>
  <c r="CN654" i="2"/>
  <c r="CN655" i="2"/>
  <c r="CN656" i="2"/>
  <c r="CN657" i="2"/>
  <c r="CN658" i="2"/>
  <c r="CN659" i="2"/>
  <c r="CN660" i="2"/>
  <c r="CN661" i="2"/>
  <c r="CN662" i="2"/>
  <c r="CN663" i="2"/>
  <c r="CN664" i="2"/>
  <c r="CN665" i="2"/>
  <c r="CN666" i="2"/>
  <c r="CN667" i="2"/>
  <c r="CN668" i="2"/>
  <c r="CN669" i="2"/>
  <c r="CN670" i="2"/>
  <c r="CN671" i="2"/>
  <c r="CN672" i="2"/>
  <c r="CN673" i="2"/>
  <c r="CN674" i="2"/>
  <c r="CN675" i="2"/>
  <c r="CN676" i="2"/>
  <c r="CN677" i="2"/>
  <c r="CN678" i="2"/>
  <c r="CN679" i="2"/>
  <c r="CN680" i="2"/>
  <c r="CN681" i="2"/>
  <c r="CN682" i="2"/>
  <c r="CN683" i="2"/>
  <c r="CN684" i="2"/>
  <c r="CN685" i="2"/>
  <c r="CN686" i="2"/>
  <c r="CN687" i="2"/>
  <c r="CN688" i="2"/>
  <c r="CN689" i="2"/>
  <c r="CN690" i="2"/>
  <c r="CN691" i="2"/>
  <c r="CN692" i="2"/>
  <c r="CN693" i="2"/>
  <c r="CN694" i="2"/>
  <c r="CN695" i="2"/>
  <c r="CN696" i="2"/>
  <c r="CN697" i="2"/>
  <c r="CN698" i="2"/>
  <c r="CN699" i="2"/>
  <c r="CN700" i="2"/>
  <c r="CN701" i="2"/>
  <c r="CN702" i="2"/>
  <c r="CN703" i="2"/>
  <c r="CN704" i="2"/>
  <c r="CN705" i="2"/>
  <c r="CO2" i="2"/>
  <c r="CO3" i="2"/>
  <c r="CO4" i="2"/>
  <c r="CO5" i="2"/>
  <c r="CO6" i="2"/>
  <c r="CO7" i="2"/>
  <c r="CO8" i="2"/>
  <c r="CO9" i="2"/>
  <c r="CO10" i="2"/>
  <c r="CO11" i="2"/>
  <c r="CO12" i="2"/>
  <c r="CO13" i="2"/>
  <c r="CO14" i="2"/>
  <c r="CO15" i="2"/>
  <c r="CO16" i="2"/>
  <c r="CO17" i="2"/>
  <c r="CO18" i="2"/>
  <c r="CO19" i="2"/>
  <c r="CO20" i="2"/>
  <c r="CO21" i="2"/>
  <c r="CO22" i="2"/>
  <c r="CO23" i="2"/>
  <c r="CO24" i="2"/>
  <c r="CO25" i="2"/>
  <c r="CO26" i="2"/>
  <c r="CO27" i="2"/>
  <c r="CO28" i="2"/>
  <c r="CO29" i="2"/>
  <c r="CO30" i="2"/>
  <c r="CO31" i="2"/>
  <c r="CO32" i="2"/>
  <c r="CO33" i="2"/>
  <c r="CO34" i="2"/>
  <c r="CO35" i="2"/>
  <c r="CO36" i="2"/>
  <c r="CO37" i="2"/>
  <c r="CO38" i="2"/>
  <c r="CO39" i="2"/>
  <c r="CO40" i="2"/>
  <c r="CO41" i="2"/>
  <c r="CO42" i="2"/>
  <c r="CO43" i="2"/>
  <c r="CO44" i="2"/>
  <c r="CO45" i="2"/>
  <c r="CO46" i="2"/>
  <c r="CO47" i="2"/>
  <c r="CO48" i="2"/>
  <c r="CO49" i="2"/>
  <c r="CO50" i="2"/>
  <c r="CO51" i="2"/>
  <c r="CO52" i="2"/>
  <c r="CO53" i="2"/>
  <c r="CO54" i="2"/>
  <c r="CO55" i="2"/>
  <c r="CO56" i="2"/>
  <c r="CO57" i="2"/>
  <c r="CO58" i="2"/>
  <c r="CO59" i="2"/>
  <c r="CO60" i="2"/>
  <c r="CO61" i="2"/>
  <c r="CO62" i="2"/>
  <c r="CO63" i="2"/>
  <c r="CO64" i="2"/>
  <c r="CO65" i="2"/>
  <c r="CO66" i="2"/>
  <c r="CO67" i="2"/>
  <c r="CO68" i="2"/>
  <c r="CO69" i="2"/>
  <c r="CO70" i="2"/>
  <c r="CO71" i="2"/>
  <c r="CO72" i="2"/>
  <c r="CO73" i="2"/>
  <c r="CO74" i="2"/>
  <c r="CO75" i="2"/>
  <c r="CO76" i="2"/>
  <c r="CO77" i="2"/>
  <c r="CO78" i="2"/>
  <c r="CO79" i="2"/>
  <c r="CO80" i="2"/>
  <c r="CO81" i="2"/>
  <c r="CO82" i="2"/>
  <c r="CO83" i="2"/>
  <c r="CO84" i="2"/>
  <c r="CO85" i="2"/>
  <c r="CO86" i="2"/>
  <c r="CO87" i="2"/>
  <c r="CO88" i="2"/>
  <c r="CO89" i="2"/>
  <c r="CO90" i="2"/>
  <c r="CO91" i="2"/>
  <c r="CO92" i="2"/>
  <c r="CO93" i="2"/>
  <c r="CO94" i="2"/>
  <c r="CO95" i="2"/>
  <c r="CO96" i="2"/>
  <c r="CO97" i="2"/>
  <c r="CO98" i="2"/>
  <c r="CO99" i="2"/>
  <c r="CO100" i="2"/>
  <c r="CO101" i="2"/>
  <c r="CO102" i="2"/>
  <c r="CO103" i="2"/>
  <c r="CO104" i="2"/>
  <c r="CO105" i="2"/>
  <c r="CO106" i="2"/>
  <c r="CO107" i="2"/>
  <c r="CO108" i="2"/>
  <c r="CO109" i="2"/>
  <c r="CO110" i="2"/>
  <c r="CO111" i="2"/>
  <c r="CO112" i="2"/>
  <c r="CO113" i="2"/>
  <c r="CO114" i="2"/>
  <c r="CO115" i="2"/>
  <c r="CO116" i="2"/>
  <c r="CO117" i="2"/>
  <c r="CO118" i="2"/>
  <c r="CO119" i="2"/>
  <c r="CO120" i="2"/>
  <c r="CO121" i="2"/>
  <c r="CO122" i="2"/>
  <c r="CO123" i="2"/>
  <c r="CO124" i="2"/>
  <c r="CO125" i="2"/>
  <c r="CO126" i="2"/>
  <c r="CO127" i="2"/>
  <c r="CO128" i="2"/>
  <c r="CO129" i="2"/>
  <c r="CO130" i="2"/>
  <c r="CO131" i="2"/>
  <c r="CO132" i="2"/>
  <c r="CO133" i="2"/>
  <c r="CO134" i="2"/>
  <c r="CO135" i="2"/>
  <c r="CO136" i="2"/>
  <c r="CO137" i="2"/>
  <c r="CO138" i="2"/>
  <c r="CO139" i="2"/>
  <c r="CO140" i="2"/>
  <c r="CO141" i="2"/>
  <c r="CO142" i="2"/>
  <c r="CO143" i="2"/>
  <c r="CO144" i="2"/>
  <c r="CO145" i="2"/>
  <c r="CO146" i="2"/>
  <c r="CO147" i="2"/>
  <c r="CO148" i="2"/>
  <c r="CO149" i="2"/>
  <c r="CO150" i="2"/>
  <c r="CO151" i="2"/>
  <c r="CO152" i="2"/>
  <c r="CO153" i="2"/>
  <c r="CO154" i="2"/>
  <c r="CV154" i="2" s="1" a="1"/>
  <c r="CV154" i="2" s="1"/>
  <c r="CO155" i="2"/>
  <c r="CO156" i="2"/>
  <c r="CO157" i="2"/>
  <c r="CO158" i="2"/>
  <c r="CO159" i="2"/>
  <c r="CO160" i="2"/>
  <c r="CO161" i="2"/>
  <c r="CO162" i="2"/>
  <c r="CO163" i="2"/>
  <c r="CO164" i="2"/>
  <c r="CO165" i="2"/>
  <c r="CO166" i="2"/>
  <c r="CO167" i="2"/>
  <c r="CO168" i="2"/>
  <c r="CO169" i="2"/>
  <c r="CO170" i="2"/>
  <c r="CO171" i="2"/>
  <c r="CO172" i="2"/>
  <c r="CO173" i="2"/>
  <c r="CO174" i="2"/>
  <c r="CO175" i="2"/>
  <c r="CO176" i="2"/>
  <c r="CO177" i="2"/>
  <c r="CO178" i="2"/>
  <c r="CO179" i="2"/>
  <c r="CO180" i="2"/>
  <c r="CO181" i="2"/>
  <c r="CO182" i="2"/>
  <c r="CO183" i="2"/>
  <c r="CO184" i="2"/>
  <c r="CO185" i="2"/>
  <c r="CO186" i="2"/>
  <c r="CO187" i="2"/>
  <c r="CO188" i="2"/>
  <c r="CO189" i="2"/>
  <c r="CO190" i="2"/>
  <c r="CO191" i="2"/>
  <c r="CO192" i="2"/>
  <c r="CO193" i="2"/>
  <c r="CO194" i="2"/>
  <c r="CO195" i="2"/>
  <c r="CO196" i="2"/>
  <c r="CO197" i="2"/>
  <c r="CO198" i="2"/>
  <c r="CO199" i="2"/>
  <c r="CO200" i="2"/>
  <c r="CO201" i="2"/>
  <c r="CO202" i="2"/>
  <c r="CO203" i="2"/>
  <c r="CO204" i="2"/>
  <c r="CO205" i="2"/>
  <c r="CO206" i="2"/>
  <c r="CO207" i="2"/>
  <c r="CO208" i="2"/>
  <c r="CO209" i="2"/>
  <c r="CO210" i="2"/>
  <c r="CO211" i="2"/>
  <c r="CO212" i="2"/>
  <c r="CO213" i="2"/>
  <c r="CO214" i="2"/>
  <c r="CO215" i="2"/>
  <c r="CO216" i="2"/>
  <c r="CO217" i="2"/>
  <c r="CO218" i="2"/>
  <c r="CO219" i="2"/>
  <c r="CO220" i="2"/>
  <c r="CO221" i="2"/>
  <c r="CO222" i="2"/>
  <c r="CO223" i="2"/>
  <c r="CO224" i="2"/>
  <c r="CO225" i="2"/>
  <c r="CO226" i="2"/>
  <c r="CO227" i="2"/>
  <c r="CO228" i="2"/>
  <c r="CO229" i="2"/>
  <c r="CO230" i="2"/>
  <c r="CO231" i="2"/>
  <c r="CO232" i="2"/>
  <c r="CO233" i="2"/>
  <c r="CO234" i="2"/>
  <c r="CO235" i="2"/>
  <c r="CO236" i="2"/>
  <c r="CO237" i="2"/>
  <c r="CO238" i="2"/>
  <c r="CO239" i="2"/>
  <c r="CO240" i="2"/>
  <c r="CO241" i="2"/>
  <c r="CO242" i="2"/>
  <c r="CO243" i="2"/>
  <c r="CO244" i="2"/>
  <c r="CO245" i="2"/>
  <c r="CO246" i="2"/>
  <c r="CO247" i="2"/>
  <c r="CO248" i="2"/>
  <c r="CO249" i="2"/>
  <c r="CO250" i="2"/>
  <c r="CO251" i="2"/>
  <c r="CO252" i="2"/>
  <c r="CO253" i="2"/>
  <c r="CO254" i="2"/>
  <c r="CO255" i="2"/>
  <c r="CO256" i="2"/>
  <c r="CO257" i="2"/>
  <c r="CO258" i="2"/>
  <c r="CO259" i="2"/>
  <c r="CO260" i="2"/>
  <c r="CO261" i="2"/>
  <c r="CO262" i="2"/>
  <c r="CO263" i="2"/>
  <c r="CO264" i="2"/>
  <c r="CO265" i="2"/>
  <c r="CO266" i="2"/>
  <c r="CO267" i="2"/>
  <c r="CO268" i="2"/>
  <c r="CO269" i="2"/>
  <c r="CO270" i="2"/>
  <c r="CO271" i="2"/>
  <c r="CO272" i="2"/>
  <c r="CO273" i="2"/>
  <c r="CO274" i="2"/>
  <c r="CO275" i="2"/>
  <c r="CO276" i="2"/>
  <c r="CO277" i="2"/>
  <c r="CO278" i="2"/>
  <c r="CO279" i="2"/>
  <c r="CO280" i="2"/>
  <c r="CO281" i="2"/>
  <c r="CO282" i="2"/>
  <c r="CO283" i="2"/>
  <c r="CO284" i="2"/>
  <c r="CO285" i="2"/>
  <c r="CO286" i="2"/>
  <c r="CO287" i="2"/>
  <c r="CO288" i="2"/>
  <c r="CO289" i="2"/>
  <c r="CO290" i="2"/>
  <c r="CO291" i="2"/>
  <c r="CO292" i="2"/>
  <c r="CO293" i="2"/>
  <c r="CO294" i="2"/>
  <c r="CO295" i="2"/>
  <c r="CO296" i="2"/>
  <c r="CO297" i="2"/>
  <c r="CO298" i="2"/>
  <c r="CO299" i="2"/>
  <c r="CO300" i="2"/>
  <c r="CO301" i="2"/>
  <c r="CO302" i="2"/>
  <c r="CO303" i="2"/>
  <c r="CO304" i="2"/>
  <c r="CO305" i="2"/>
  <c r="CO306" i="2"/>
  <c r="CO307" i="2"/>
  <c r="CO308" i="2"/>
  <c r="CO309" i="2"/>
  <c r="CO310" i="2"/>
  <c r="CO311" i="2"/>
  <c r="CO312" i="2"/>
  <c r="CO313" i="2"/>
  <c r="CO314" i="2"/>
  <c r="CO315" i="2"/>
  <c r="CO316" i="2"/>
  <c r="CO317" i="2"/>
  <c r="CO318" i="2"/>
  <c r="CO319" i="2"/>
  <c r="CO320" i="2"/>
  <c r="CO321" i="2"/>
  <c r="CO322" i="2"/>
  <c r="CT322" i="2" s="1" a="1"/>
  <c r="CT322" i="2" s="1"/>
  <c r="CO323" i="2"/>
  <c r="CO324" i="2"/>
  <c r="CO325" i="2"/>
  <c r="CO326" i="2"/>
  <c r="CO327" i="2"/>
  <c r="CO328" i="2"/>
  <c r="CO329" i="2"/>
  <c r="CO330" i="2"/>
  <c r="CO331" i="2"/>
  <c r="CO332" i="2"/>
  <c r="CO333" i="2"/>
  <c r="CO334" i="2"/>
  <c r="CO335" i="2"/>
  <c r="CO336" i="2"/>
  <c r="CO337" i="2"/>
  <c r="CO338" i="2"/>
  <c r="CO339" i="2"/>
  <c r="CO340" i="2"/>
  <c r="CO341" i="2"/>
  <c r="CO342" i="2"/>
  <c r="CO343" i="2"/>
  <c r="CO344" i="2"/>
  <c r="CO345" i="2"/>
  <c r="CO346" i="2"/>
  <c r="CO347" i="2"/>
  <c r="CO348" i="2"/>
  <c r="CO349" i="2"/>
  <c r="CO350" i="2"/>
  <c r="CO351" i="2"/>
  <c r="CO352" i="2"/>
  <c r="CO353" i="2"/>
  <c r="CO354" i="2"/>
  <c r="CO355" i="2"/>
  <c r="CO356" i="2"/>
  <c r="CO357" i="2"/>
  <c r="CO358" i="2"/>
  <c r="CO359" i="2"/>
  <c r="CO360" i="2"/>
  <c r="CO361" i="2"/>
  <c r="CO362" i="2"/>
  <c r="CO363" i="2"/>
  <c r="CO364" i="2"/>
  <c r="CO365" i="2"/>
  <c r="CO366" i="2"/>
  <c r="CO367" i="2"/>
  <c r="CO368" i="2"/>
  <c r="CO369" i="2"/>
  <c r="CO370" i="2"/>
  <c r="CO371" i="2"/>
  <c r="CO372" i="2"/>
  <c r="CO373" i="2"/>
  <c r="CO374" i="2"/>
  <c r="CO375" i="2"/>
  <c r="CO376" i="2"/>
  <c r="CO377" i="2"/>
  <c r="CO378" i="2"/>
  <c r="CO379" i="2"/>
  <c r="CO380" i="2"/>
  <c r="CO381" i="2"/>
  <c r="CO382" i="2"/>
  <c r="CO383" i="2"/>
  <c r="CO384" i="2"/>
  <c r="CO385" i="2"/>
  <c r="CO386" i="2"/>
  <c r="CO387" i="2"/>
  <c r="CO388" i="2"/>
  <c r="CO389" i="2"/>
  <c r="CO390" i="2"/>
  <c r="CO391" i="2"/>
  <c r="CO392" i="2"/>
  <c r="CO393" i="2"/>
  <c r="CO394" i="2"/>
  <c r="CO395" i="2"/>
  <c r="CO396" i="2"/>
  <c r="CO397" i="2"/>
  <c r="CO398" i="2"/>
  <c r="CO399" i="2"/>
  <c r="CO400" i="2"/>
  <c r="CO401" i="2"/>
  <c r="CO402" i="2"/>
  <c r="CO403" i="2"/>
  <c r="CO404" i="2"/>
  <c r="CO405" i="2"/>
  <c r="CO406" i="2"/>
  <c r="CO407" i="2"/>
  <c r="CO408" i="2"/>
  <c r="CO409" i="2"/>
  <c r="CO410" i="2"/>
  <c r="CO411" i="2"/>
  <c r="CO412" i="2"/>
  <c r="CO413" i="2"/>
  <c r="CO414" i="2"/>
  <c r="CO415" i="2"/>
  <c r="CO416" i="2"/>
  <c r="CO417" i="2"/>
  <c r="CO418" i="2"/>
  <c r="CO419" i="2"/>
  <c r="CO420" i="2"/>
  <c r="CO421" i="2"/>
  <c r="CO422" i="2"/>
  <c r="CO423" i="2"/>
  <c r="CO424" i="2"/>
  <c r="CO425" i="2"/>
  <c r="CO426" i="2"/>
  <c r="CO427" i="2"/>
  <c r="CO428" i="2"/>
  <c r="CO429" i="2"/>
  <c r="CO430" i="2"/>
  <c r="CO431" i="2"/>
  <c r="CO432" i="2"/>
  <c r="CO433" i="2"/>
  <c r="CO434" i="2"/>
  <c r="CO435" i="2"/>
  <c r="CO436" i="2"/>
  <c r="CO437" i="2"/>
  <c r="CO438" i="2"/>
  <c r="CO439" i="2"/>
  <c r="CO440" i="2"/>
  <c r="CO441" i="2"/>
  <c r="CO442" i="2"/>
  <c r="CO443" i="2"/>
  <c r="CO444" i="2"/>
  <c r="CO445" i="2"/>
  <c r="CO446" i="2"/>
  <c r="CO447" i="2"/>
  <c r="CO448" i="2"/>
  <c r="CO449" i="2"/>
  <c r="CO450" i="2"/>
  <c r="CO451" i="2"/>
  <c r="CO452" i="2"/>
  <c r="CO453" i="2"/>
  <c r="CO454" i="2"/>
  <c r="CO455" i="2"/>
  <c r="CO456" i="2"/>
  <c r="CO457" i="2"/>
  <c r="CO458" i="2"/>
  <c r="CO459" i="2"/>
  <c r="CO460" i="2"/>
  <c r="CO461" i="2"/>
  <c r="CO462" i="2"/>
  <c r="CO463" i="2"/>
  <c r="CO464" i="2"/>
  <c r="CO465" i="2"/>
  <c r="CO466" i="2"/>
  <c r="CO467" i="2"/>
  <c r="CO468" i="2"/>
  <c r="CO469" i="2"/>
  <c r="CO470" i="2"/>
  <c r="CO471" i="2"/>
  <c r="CO472" i="2"/>
  <c r="CO473" i="2"/>
  <c r="CO474" i="2"/>
  <c r="CO475" i="2"/>
  <c r="CO476" i="2"/>
  <c r="CO477" i="2"/>
  <c r="CO478" i="2"/>
  <c r="CO479" i="2"/>
  <c r="CO480" i="2"/>
  <c r="CO481" i="2"/>
  <c r="CO482" i="2"/>
  <c r="CO483" i="2"/>
  <c r="CO484" i="2"/>
  <c r="CO485" i="2"/>
  <c r="CO486" i="2"/>
  <c r="CO487" i="2"/>
  <c r="CO488" i="2"/>
  <c r="CO489" i="2"/>
  <c r="CO490" i="2"/>
  <c r="CO491" i="2"/>
  <c r="CO492" i="2"/>
  <c r="CO493" i="2"/>
  <c r="CO494" i="2"/>
  <c r="CO495" i="2"/>
  <c r="CO496" i="2"/>
  <c r="CO497" i="2"/>
  <c r="CO498" i="2"/>
  <c r="CO499" i="2"/>
  <c r="CO500" i="2"/>
  <c r="CO501" i="2"/>
  <c r="CO502" i="2"/>
  <c r="CO503" i="2"/>
  <c r="CO504" i="2"/>
  <c r="CT504" i="2" s="1" a="1"/>
  <c r="CT504" i="2" s="1"/>
  <c r="CO505" i="2"/>
  <c r="CO506" i="2"/>
  <c r="CO507" i="2"/>
  <c r="CO508" i="2"/>
  <c r="CO509" i="2"/>
  <c r="CO510" i="2"/>
  <c r="CO511" i="2"/>
  <c r="CO512" i="2"/>
  <c r="CO513" i="2"/>
  <c r="CO514" i="2"/>
  <c r="CO515" i="2"/>
  <c r="CO516" i="2"/>
  <c r="CO517" i="2"/>
  <c r="CO518" i="2"/>
  <c r="CO519" i="2"/>
  <c r="CO520" i="2"/>
  <c r="CO521" i="2"/>
  <c r="CO522" i="2"/>
  <c r="CO523" i="2"/>
  <c r="CO524" i="2"/>
  <c r="CO525" i="2"/>
  <c r="CO526" i="2"/>
  <c r="CO527" i="2"/>
  <c r="CO528" i="2"/>
  <c r="CO529" i="2"/>
  <c r="CO530" i="2"/>
  <c r="CO531" i="2"/>
  <c r="CO532" i="2"/>
  <c r="CO533" i="2"/>
  <c r="CO534" i="2"/>
  <c r="CO535" i="2"/>
  <c r="CO536" i="2"/>
  <c r="CO537" i="2"/>
  <c r="CO538" i="2"/>
  <c r="CO539" i="2"/>
  <c r="CO540" i="2"/>
  <c r="CO541" i="2"/>
  <c r="CO542" i="2"/>
  <c r="CO543" i="2"/>
  <c r="CO544" i="2"/>
  <c r="CO545" i="2"/>
  <c r="CO546" i="2"/>
  <c r="CV546" i="2" s="1" a="1"/>
  <c r="CV546" i="2" s="1"/>
  <c r="CO547" i="2"/>
  <c r="CO548" i="2"/>
  <c r="CO549" i="2"/>
  <c r="CO550" i="2"/>
  <c r="CO551" i="2"/>
  <c r="CO552" i="2"/>
  <c r="CO553" i="2"/>
  <c r="CO554" i="2"/>
  <c r="CO555" i="2"/>
  <c r="CO556" i="2"/>
  <c r="CO557" i="2"/>
  <c r="CO558" i="2"/>
  <c r="CO559" i="2"/>
  <c r="CO560" i="2"/>
  <c r="CO561" i="2"/>
  <c r="CO562" i="2"/>
  <c r="CO563" i="2"/>
  <c r="CO564" i="2"/>
  <c r="CO565" i="2"/>
  <c r="CO566" i="2"/>
  <c r="CO567" i="2"/>
  <c r="CO568" i="2"/>
  <c r="CO569" i="2"/>
  <c r="CO570" i="2"/>
  <c r="CO571" i="2"/>
  <c r="CO572" i="2"/>
  <c r="CO573" i="2"/>
  <c r="CO574" i="2"/>
  <c r="CO575" i="2"/>
  <c r="CO576" i="2"/>
  <c r="CO577" i="2"/>
  <c r="CO578" i="2"/>
  <c r="CO579" i="2"/>
  <c r="CO580" i="2"/>
  <c r="CO581" i="2"/>
  <c r="CO582" i="2"/>
  <c r="CO583" i="2"/>
  <c r="CO584" i="2"/>
  <c r="CO585" i="2"/>
  <c r="CO586" i="2"/>
  <c r="CO587" i="2"/>
  <c r="CO588" i="2"/>
  <c r="CO589" i="2"/>
  <c r="CO590" i="2"/>
  <c r="CO591" i="2"/>
  <c r="CO592" i="2"/>
  <c r="CO593" i="2"/>
  <c r="CO594" i="2"/>
  <c r="CO595" i="2"/>
  <c r="CO596" i="2"/>
  <c r="CO597" i="2"/>
  <c r="CO598" i="2"/>
  <c r="CO599" i="2"/>
  <c r="CO600" i="2"/>
  <c r="CO601" i="2"/>
  <c r="CO602" i="2"/>
  <c r="CO603" i="2"/>
  <c r="CO604" i="2"/>
  <c r="CO605" i="2"/>
  <c r="CO606" i="2"/>
  <c r="CO607" i="2"/>
  <c r="CO608" i="2"/>
  <c r="CO609" i="2"/>
  <c r="CO610" i="2"/>
  <c r="CO611" i="2"/>
  <c r="CO612" i="2"/>
  <c r="CO613" i="2"/>
  <c r="CO614" i="2"/>
  <c r="CO615" i="2"/>
  <c r="CO616" i="2"/>
  <c r="CO617" i="2"/>
  <c r="CO618" i="2"/>
  <c r="CO619" i="2"/>
  <c r="CO620" i="2"/>
  <c r="CO621" i="2"/>
  <c r="CO622" i="2"/>
  <c r="CO623" i="2"/>
  <c r="CO624" i="2"/>
  <c r="CO625" i="2"/>
  <c r="CO626" i="2"/>
  <c r="CO627" i="2"/>
  <c r="CO628" i="2"/>
  <c r="CO629" i="2"/>
  <c r="CO630" i="2"/>
  <c r="CO631" i="2"/>
  <c r="CO632" i="2"/>
  <c r="CO633" i="2"/>
  <c r="CO634" i="2"/>
  <c r="CO635" i="2"/>
  <c r="CO636" i="2"/>
  <c r="CO637" i="2"/>
  <c r="CO638" i="2"/>
  <c r="CO639" i="2"/>
  <c r="CO640" i="2"/>
  <c r="CO641" i="2"/>
  <c r="CO642" i="2"/>
  <c r="CO643" i="2"/>
  <c r="CO644" i="2"/>
  <c r="CO645" i="2"/>
  <c r="CO646" i="2"/>
  <c r="CO647" i="2"/>
  <c r="CO648" i="2"/>
  <c r="CO649" i="2"/>
  <c r="CO650" i="2"/>
  <c r="CO651" i="2"/>
  <c r="CO652" i="2"/>
  <c r="CO653" i="2"/>
  <c r="CO654" i="2"/>
  <c r="CO655" i="2"/>
  <c r="CO656" i="2"/>
  <c r="CO657" i="2"/>
  <c r="CO658" i="2"/>
  <c r="CO659" i="2"/>
  <c r="CO660" i="2"/>
  <c r="CO661" i="2"/>
  <c r="CO662" i="2"/>
  <c r="CO663" i="2"/>
  <c r="CO664" i="2"/>
  <c r="CO665" i="2"/>
  <c r="CO666" i="2"/>
  <c r="CO667" i="2"/>
  <c r="CO668" i="2"/>
  <c r="CO669" i="2"/>
  <c r="CO670" i="2"/>
  <c r="CO671" i="2"/>
  <c r="CO672" i="2"/>
  <c r="CO673" i="2"/>
  <c r="CO674" i="2"/>
  <c r="CO675" i="2"/>
  <c r="CO676" i="2"/>
  <c r="CO677" i="2"/>
  <c r="CO678" i="2"/>
  <c r="CO679" i="2"/>
  <c r="CO680" i="2"/>
  <c r="CO681" i="2"/>
  <c r="CO682" i="2"/>
  <c r="CO683" i="2"/>
  <c r="CO684" i="2"/>
  <c r="CO685" i="2"/>
  <c r="CO686" i="2"/>
  <c r="CO687" i="2"/>
  <c r="CO688" i="2"/>
  <c r="CO689" i="2"/>
  <c r="CO690" i="2"/>
  <c r="CO691" i="2"/>
  <c r="CO692" i="2"/>
  <c r="CO693" i="2"/>
  <c r="CO694" i="2"/>
  <c r="CO695" i="2"/>
  <c r="CO696" i="2"/>
  <c r="CO697" i="2"/>
  <c r="CO698" i="2"/>
  <c r="CO699" i="2"/>
  <c r="CO700" i="2"/>
  <c r="CO701" i="2"/>
  <c r="CO702" i="2"/>
  <c r="CO703" i="2"/>
  <c r="CO704" i="2"/>
  <c r="CO705" i="2"/>
  <c r="CP2" i="2"/>
  <c r="CP3" i="2"/>
  <c r="CP4" i="2"/>
  <c r="CP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P89" i="2"/>
  <c r="CP90" i="2"/>
  <c r="CP91" i="2"/>
  <c r="CP92" i="2"/>
  <c r="CP93" i="2"/>
  <c r="CP94" i="2"/>
  <c r="CP95" i="2"/>
  <c r="CP96" i="2"/>
  <c r="CP97" i="2"/>
  <c r="CP98" i="2"/>
  <c r="CP99" i="2"/>
  <c r="CP100" i="2"/>
  <c r="CP101" i="2"/>
  <c r="CP102" i="2"/>
  <c r="CP103" i="2"/>
  <c r="CP104" i="2"/>
  <c r="CP105" i="2"/>
  <c r="CP106" i="2"/>
  <c r="CP107" i="2"/>
  <c r="CP108" i="2"/>
  <c r="CP109" i="2"/>
  <c r="CP110" i="2"/>
  <c r="CP111" i="2"/>
  <c r="CP112" i="2"/>
  <c r="CP113" i="2"/>
  <c r="CP114" i="2"/>
  <c r="CP115" i="2"/>
  <c r="CP116" i="2"/>
  <c r="CP117" i="2"/>
  <c r="CP118" i="2"/>
  <c r="CP119" i="2"/>
  <c r="CP120" i="2"/>
  <c r="CP121" i="2"/>
  <c r="CP122" i="2"/>
  <c r="CP123" i="2"/>
  <c r="CP124" i="2"/>
  <c r="CP125" i="2"/>
  <c r="CP126" i="2"/>
  <c r="CP127" i="2"/>
  <c r="CP128" i="2"/>
  <c r="CP129" i="2"/>
  <c r="CP130" i="2"/>
  <c r="CP131" i="2"/>
  <c r="CP132" i="2"/>
  <c r="CP133" i="2"/>
  <c r="CP134" i="2"/>
  <c r="CP135" i="2"/>
  <c r="CP136" i="2"/>
  <c r="CP137" i="2"/>
  <c r="CP138" i="2"/>
  <c r="CP139" i="2"/>
  <c r="CP140" i="2"/>
  <c r="CP141" i="2"/>
  <c r="CP142" i="2"/>
  <c r="CP143" i="2"/>
  <c r="CP144" i="2"/>
  <c r="CP145" i="2"/>
  <c r="CP146" i="2"/>
  <c r="CP147" i="2"/>
  <c r="CP148" i="2"/>
  <c r="CP149" i="2"/>
  <c r="CP150" i="2"/>
  <c r="CP151" i="2"/>
  <c r="CP152" i="2"/>
  <c r="CP153" i="2"/>
  <c r="CP154" i="2"/>
  <c r="CP155" i="2"/>
  <c r="CP156" i="2"/>
  <c r="CP157" i="2"/>
  <c r="CP158" i="2"/>
  <c r="CP159" i="2"/>
  <c r="CP160" i="2"/>
  <c r="CP161" i="2"/>
  <c r="CP162" i="2"/>
  <c r="CP163" i="2"/>
  <c r="CP164" i="2"/>
  <c r="CP165" i="2"/>
  <c r="CP166" i="2"/>
  <c r="CP167" i="2"/>
  <c r="CP168" i="2"/>
  <c r="CP169" i="2"/>
  <c r="CP170" i="2"/>
  <c r="CP171" i="2"/>
  <c r="CP172" i="2"/>
  <c r="CP173" i="2"/>
  <c r="CP174" i="2"/>
  <c r="CP175" i="2"/>
  <c r="CP176" i="2"/>
  <c r="CP177" i="2"/>
  <c r="CP178" i="2"/>
  <c r="CP179" i="2"/>
  <c r="CP180" i="2"/>
  <c r="CP181" i="2"/>
  <c r="CP182" i="2"/>
  <c r="CP183" i="2"/>
  <c r="CP184" i="2"/>
  <c r="CP185" i="2"/>
  <c r="CP186" i="2"/>
  <c r="CP187" i="2"/>
  <c r="CP188" i="2"/>
  <c r="CP189" i="2"/>
  <c r="CP190" i="2"/>
  <c r="CP191" i="2"/>
  <c r="CP192" i="2"/>
  <c r="CP193" i="2"/>
  <c r="CP194" i="2"/>
  <c r="CP195" i="2"/>
  <c r="CP196" i="2"/>
  <c r="CP197" i="2"/>
  <c r="CP198" i="2"/>
  <c r="CP199" i="2"/>
  <c r="CP200" i="2"/>
  <c r="CP201" i="2"/>
  <c r="CP202" i="2"/>
  <c r="CP203" i="2"/>
  <c r="CP204" i="2"/>
  <c r="CP205" i="2"/>
  <c r="CP206" i="2"/>
  <c r="CP207" i="2"/>
  <c r="CP208" i="2"/>
  <c r="CP209" i="2"/>
  <c r="CP210" i="2"/>
  <c r="CP211" i="2"/>
  <c r="CP212" i="2"/>
  <c r="CP213" i="2"/>
  <c r="CP214" i="2"/>
  <c r="CP215" i="2"/>
  <c r="CP216" i="2"/>
  <c r="CP217" i="2"/>
  <c r="CP218" i="2"/>
  <c r="CP219" i="2"/>
  <c r="CP220" i="2"/>
  <c r="CP221" i="2"/>
  <c r="CP222" i="2"/>
  <c r="CP223" i="2"/>
  <c r="CP224" i="2"/>
  <c r="CP225" i="2"/>
  <c r="CP226" i="2"/>
  <c r="CP227" i="2"/>
  <c r="CP228" i="2"/>
  <c r="CP229" i="2"/>
  <c r="CP230" i="2"/>
  <c r="CP231" i="2"/>
  <c r="CP232" i="2"/>
  <c r="CP233" i="2"/>
  <c r="CP234" i="2"/>
  <c r="CP235" i="2"/>
  <c r="CP236" i="2"/>
  <c r="CP237" i="2"/>
  <c r="CP238" i="2"/>
  <c r="CP239" i="2"/>
  <c r="CP240" i="2"/>
  <c r="CP241" i="2"/>
  <c r="CP242" i="2"/>
  <c r="CP243" i="2"/>
  <c r="CP244" i="2"/>
  <c r="CP245" i="2"/>
  <c r="CP246" i="2"/>
  <c r="CP247" i="2"/>
  <c r="CP248" i="2"/>
  <c r="CP249" i="2"/>
  <c r="CP250" i="2"/>
  <c r="CP251" i="2"/>
  <c r="CP252" i="2"/>
  <c r="CP253" i="2"/>
  <c r="CP254" i="2"/>
  <c r="CP255" i="2"/>
  <c r="CP256" i="2"/>
  <c r="CP257" i="2"/>
  <c r="CP258" i="2"/>
  <c r="CP259" i="2"/>
  <c r="CP260" i="2"/>
  <c r="CP261" i="2"/>
  <c r="CP262" i="2"/>
  <c r="CP263" i="2"/>
  <c r="CP264" i="2"/>
  <c r="CP265" i="2"/>
  <c r="CP266" i="2"/>
  <c r="CP267" i="2"/>
  <c r="CP268" i="2"/>
  <c r="CP269" i="2"/>
  <c r="CP270" i="2"/>
  <c r="CP271" i="2"/>
  <c r="CP272" i="2"/>
  <c r="CP273" i="2"/>
  <c r="CP274" i="2"/>
  <c r="CP275" i="2"/>
  <c r="CP276" i="2"/>
  <c r="CP277" i="2"/>
  <c r="CP278" i="2"/>
  <c r="CP279" i="2"/>
  <c r="CP280" i="2"/>
  <c r="CP281" i="2"/>
  <c r="CP282" i="2"/>
  <c r="CP283" i="2"/>
  <c r="CP284" i="2"/>
  <c r="CP285" i="2"/>
  <c r="CP286" i="2"/>
  <c r="CP287" i="2"/>
  <c r="CP288" i="2"/>
  <c r="CP289" i="2"/>
  <c r="CP290" i="2"/>
  <c r="CP291" i="2"/>
  <c r="CP292" i="2"/>
  <c r="CP293" i="2"/>
  <c r="CP294" i="2"/>
  <c r="CP295" i="2"/>
  <c r="CP296" i="2"/>
  <c r="CP297" i="2"/>
  <c r="CP298" i="2"/>
  <c r="CP299" i="2"/>
  <c r="CP300" i="2"/>
  <c r="CP301" i="2"/>
  <c r="CP302" i="2"/>
  <c r="CP303" i="2"/>
  <c r="CP304" i="2"/>
  <c r="CP305" i="2"/>
  <c r="CP306" i="2"/>
  <c r="CP307" i="2"/>
  <c r="CP308" i="2"/>
  <c r="CP309" i="2"/>
  <c r="CP310" i="2"/>
  <c r="CP311" i="2"/>
  <c r="CP312" i="2"/>
  <c r="CP313" i="2"/>
  <c r="CP314" i="2"/>
  <c r="CP315" i="2"/>
  <c r="CP316" i="2"/>
  <c r="CP317" i="2"/>
  <c r="CP318" i="2"/>
  <c r="CP319" i="2"/>
  <c r="CP320" i="2"/>
  <c r="CP321" i="2"/>
  <c r="CP322" i="2"/>
  <c r="CP323" i="2"/>
  <c r="CP324" i="2"/>
  <c r="CP325" i="2"/>
  <c r="CP326" i="2"/>
  <c r="CP327" i="2"/>
  <c r="CP328" i="2"/>
  <c r="CP329" i="2"/>
  <c r="CP330" i="2"/>
  <c r="CP331" i="2"/>
  <c r="CP332" i="2"/>
  <c r="CU332" i="2" s="1" a="1"/>
  <c r="CU332" i="2" s="1"/>
  <c r="CP333" i="2"/>
  <c r="CP334" i="2"/>
  <c r="CP335" i="2"/>
  <c r="CP336" i="2"/>
  <c r="CP337" i="2"/>
  <c r="CP338" i="2"/>
  <c r="CP339" i="2"/>
  <c r="CP340" i="2"/>
  <c r="CP341" i="2"/>
  <c r="CP342" i="2"/>
  <c r="CP343" i="2"/>
  <c r="CP344" i="2"/>
  <c r="CP345" i="2"/>
  <c r="CP346" i="2"/>
  <c r="CP347" i="2"/>
  <c r="CP348" i="2"/>
  <c r="CP349" i="2"/>
  <c r="CP350" i="2"/>
  <c r="CP351" i="2"/>
  <c r="CP352" i="2"/>
  <c r="CP353" i="2"/>
  <c r="CP354" i="2"/>
  <c r="CP355" i="2"/>
  <c r="CP356" i="2"/>
  <c r="CP357" i="2"/>
  <c r="CP358" i="2"/>
  <c r="CP359" i="2"/>
  <c r="CP360" i="2"/>
  <c r="CP361" i="2"/>
  <c r="CP362" i="2"/>
  <c r="CP363" i="2"/>
  <c r="CP364" i="2"/>
  <c r="CP365" i="2"/>
  <c r="CP366" i="2"/>
  <c r="CP367" i="2"/>
  <c r="CP368" i="2"/>
  <c r="CP369" i="2"/>
  <c r="CP370" i="2"/>
  <c r="CP371" i="2"/>
  <c r="CP372" i="2"/>
  <c r="CP373" i="2"/>
  <c r="CP374" i="2"/>
  <c r="CP375" i="2"/>
  <c r="CP376" i="2"/>
  <c r="CP377" i="2"/>
  <c r="CP378" i="2"/>
  <c r="CP379" i="2"/>
  <c r="CP380" i="2"/>
  <c r="CP381" i="2"/>
  <c r="CP382" i="2"/>
  <c r="CP383" i="2"/>
  <c r="CP384" i="2"/>
  <c r="CP385" i="2"/>
  <c r="CP386" i="2"/>
  <c r="CP387" i="2"/>
  <c r="CP388" i="2"/>
  <c r="CP389" i="2"/>
  <c r="CP390" i="2"/>
  <c r="CP391" i="2"/>
  <c r="CP392" i="2"/>
  <c r="CP393" i="2"/>
  <c r="CP394" i="2"/>
  <c r="CP395" i="2"/>
  <c r="CP396" i="2"/>
  <c r="CP397" i="2"/>
  <c r="CP398" i="2"/>
  <c r="CP399" i="2"/>
  <c r="CP400" i="2"/>
  <c r="CP401" i="2"/>
  <c r="CP402" i="2"/>
  <c r="CP403" i="2"/>
  <c r="CP404" i="2"/>
  <c r="CP405" i="2"/>
  <c r="CP406" i="2"/>
  <c r="CP407" i="2"/>
  <c r="CP408" i="2"/>
  <c r="CP409" i="2"/>
  <c r="CP410" i="2"/>
  <c r="CP411" i="2"/>
  <c r="CP412" i="2"/>
  <c r="CP413" i="2"/>
  <c r="CP414" i="2"/>
  <c r="CP415" i="2"/>
  <c r="CP416" i="2"/>
  <c r="CP417" i="2"/>
  <c r="CP418" i="2"/>
  <c r="CP419" i="2"/>
  <c r="CP420" i="2"/>
  <c r="CP421" i="2"/>
  <c r="CP422" i="2"/>
  <c r="CP423" i="2"/>
  <c r="CP424" i="2"/>
  <c r="CP425" i="2"/>
  <c r="CP426" i="2"/>
  <c r="CP427" i="2"/>
  <c r="CP428" i="2"/>
  <c r="CP429" i="2"/>
  <c r="CP430" i="2"/>
  <c r="CP431" i="2"/>
  <c r="CP432" i="2"/>
  <c r="CP433" i="2"/>
  <c r="CP434" i="2"/>
  <c r="CP435" i="2"/>
  <c r="CP436" i="2"/>
  <c r="CP437" i="2"/>
  <c r="CP438" i="2"/>
  <c r="CP439" i="2"/>
  <c r="CP440" i="2"/>
  <c r="CP441" i="2"/>
  <c r="CP442" i="2"/>
  <c r="CP443" i="2"/>
  <c r="CP444" i="2"/>
  <c r="CP445" i="2"/>
  <c r="CP446" i="2"/>
  <c r="CP447" i="2"/>
  <c r="CP448" i="2"/>
  <c r="CP449" i="2"/>
  <c r="CP450" i="2"/>
  <c r="CP451" i="2"/>
  <c r="CP452" i="2"/>
  <c r="CP453" i="2"/>
  <c r="CP454" i="2"/>
  <c r="CP455" i="2"/>
  <c r="CP456" i="2"/>
  <c r="CP457" i="2"/>
  <c r="CP458" i="2"/>
  <c r="CP459" i="2"/>
  <c r="CP460" i="2"/>
  <c r="CP461" i="2"/>
  <c r="CP462" i="2"/>
  <c r="CP463" i="2"/>
  <c r="CP464" i="2"/>
  <c r="CP465" i="2"/>
  <c r="CP466" i="2"/>
  <c r="CP467" i="2"/>
  <c r="CP468" i="2"/>
  <c r="CP469" i="2"/>
  <c r="CP470" i="2"/>
  <c r="CP471" i="2"/>
  <c r="CP472" i="2"/>
  <c r="CP473" i="2"/>
  <c r="CP474" i="2"/>
  <c r="CP475" i="2"/>
  <c r="CP476" i="2"/>
  <c r="CP477" i="2"/>
  <c r="CP478" i="2"/>
  <c r="CP479" i="2"/>
  <c r="CP480" i="2"/>
  <c r="CP481" i="2"/>
  <c r="CP482" i="2"/>
  <c r="CP483" i="2"/>
  <c r="CP484" i="2"/>
  <c r="CP485" i="2"/>
  <c r="CP486" i="2"/>
  <c r="CP487" i="2"/>
  <c r="CP488" i="2"/>
  <c r="CP489" i="2"/>
  <c r="CP490" i="2"/>
  <c r="CP491" i="2"/>
  <c r="CP492" i="2"/>
  <c r="CP493" i="2"/>
  <c r="CP494" i="2"/>
  <c r="CP495" i="2"/>
  <c r="CP496" i="2"/>
  <c r="CP497" i="2"/>
  <c r="CP498" i="2"/>
  <c r="CP499" i="2"/>
  <c r="CP500" i="2"/>
  <c r="CP501" i="2"/>
  <c r="CP502" i="2"/>
  <c r="CP503" i="2"/>
  <c r="CP504" i="2"/>
  <c r="CP505" i="2"/>
  <c r="CP506" i="2"/>
  <c r="CP507" i="2"/>
  <c r="CP508" i="2"/>
  <c r="CP509" i="2"/>
  <c r="CP510" i="2"/>
  <c r="CP511" i="2"/>
  <c r="CP512" i="2"/>
  <c r="CP513" i="2"/>
  <c r="CP514" i="2"/>
  <c r="CP515" i="2"/>
  <c r="CP516" i="2"/>
  <c r="CP517" i="2"/>
  <c r="CP518" i="2"/>
  <c r="CP519" i="2"/>
  <c r="CP520" i="2"/>
  <c r="CP521" i="2"/>
  <c r="CP522" i="2"/>
  <c r="CP523" i="2"/>
  <c r="CP524" i="2"/>
  <c r="CP525" i="2"/>
  <c r="CP526" i="2"/>
  <c r="CP527" i="2"/>
  <c r="CP528" i="2"/>
  <c r="CP529" i="2"/>
  <c r="CP530" i="2"/>
  <c r="CP531" i="2"/>
  <c r="CP532" i="2"/>
  <c r="CP533" i="2"/>
  <c r="CP534" i="2"/>
  <c r="CP535" i="2"/>
  <c r="CP536" i="2"/>
  <c r="CP537" i="2"/>
  <c r="CP538" i="2"/>
  <c r="CP539" i="2"/>
  <c r="CP540" i="2"/>
  <c r="CP541" i="2"/>
  <c r="CP542" i="2"/>
  <c r="CP543" i="2"/>
  <c r="CP544" i="2"/>
  <c r="CP545" i="2"/>
  <c r="CP546" i="2"/>
  <c r="CP547" i="2"/>
  <c r="CP548" i="2"/>
  <c r="CP549" i="2"/>
  <c r="CP550" i="2"/>
  <c r="CP551" i="2"/>
  <c r="CP552" i="2"/>
  <c r="CP553" i="2"/>
  <c r="CP554" i="2"/>
  <c r="CP555" i="2"/>
  <c r="CP556" i="2"/>
  <c r="CP557" i="2"/>
  <c r="CP558" i="2"/>
  <c r="CP559" i="2"/>
  <c r="CP560" i="2"/>
  <c r="CP561" i="2"/>
  <c r="CP562" i="2"/>
  <c r="CP563" i="2"/>
  <c r="CP564" i="2"/>
  <c r="CP565" i="2"/>
  <c r="CP566" i="2"/>
  <c r="CP567" i="2"/>
  <c r="CP568" i="2"/>
  <c r="CP569" i="2"/>
  <c r="CP570" i="2"/>
  <c r="CP571" i="2"/>
  <c r="CP572" i="2"/>
  <c r="CP573" i="2"/>
  <c r="CP574" i="2"/>
  <c r="CP575" i="2"/>
  <c r="CP576" i="2"/>
  <c r="CP577" i="2"/>
  <c r="CP578" i="2"/>
  <c r="CP579" i="2"/>
  <c r="CP580" i="2"/>
  <c r="CP581" i="2"/>
  <c r="CP582" i="2"/>
  <c r="CP583" i="2"/>
  <c r="CP584" i="2"/>
  <c r="CP585" i="2"/>
  <c r="CP586" i="2"/>
  <c r="CP587" i="2"/>
  <c r="CP588" i="2"/>
  <c r="CP589" i="2"/>
  <c r="CP590" i="2"/>
  <c r="CP591" i="2"/>
  <c r="CP592" i="2"/>
  <c r="CP593" i="2"/>
  <c r="CP594" i="2"/>
  <c r="CP595" i="2"/>
  <c r="CP596" i="2"/>
  <c r="CP597" i="2"/>
  <c r="CP598" i="2"/>
  <c r="CP599" i="2"/>
  <c r="CP600" i="2"/>
  <c r="CP601" i="2"/>
  <c r="CP602" i="2"/>
  <c r="CP603" i="2"/>
  <c r="CP604" i="2"/>
  <c r="CP605" i="2"/>
  <c r="CP606" i="2"/>
  <c r="CP607" i="2"/>
  <c r="CP608" i="2"/>
  <c r="CP609" i="2"/>
  <c r="CP610" i="2"/>
  <c r="CP611" i="2"/>
  <c r="CP612" i="2"/>
  <c r="CP613" i="2"/>
  <c r="CP614" i="2"/>
  <c r="CP615" i="2"/>
  <c r="CP616" i="2"/>
  <c r="CP617" i="2"/>
  <c r="CP618" i="2"/>
  <c r="CP619" i="2"/>
  <c r="CP620" i="2"/>
  <c r="CP621" i="2"/>
  <c r="CP622" i="2"/>
  <c r="CP623" i="2"/>
  <c r="CP624" i="2"/>
  <c r="CP625" i="2"/>
  <c r="CP626" i="2"/>
  <c r="CP627" i="2"/>
  <c r="CP628" i="2"/>
  <c r="CP629" i="2"/>
  <c r="CP630" i="2"/>
  <c r="CP631" i="2"/>
  <c r="CP632" i="2"/>
  <c r="CP633" i="2"/>
  <c r="CP634" i="2"/>
  <c r="CP635" i="2"/>
  <c r="CP636" i="2"/>
  <c r="CP637" i="2"/>
  <c r="CP638" i="2"/>
  <c r="CP639" i="2"/>
  <c r="CP640" i="2"/>
  <c r="CP641" i="2"/>
  <c r="CP642" i="2"/>
  <c r="CP643" i="2"/>
  <c r="CP644" i="2"/>
  <c r="CP645" i="2"/>
  <c r="CP646" i="2"/>
  <c r="CP647" i="2"/>
  <c r="CP648" i="2"/>
  <c r="CP649" i="2"/>
  <c r="CP650" i="2"/>
  <c r="CP651" i="2"/>
  <c r="CP652" i="2"/>
  <c r="CP653" i="2"/>
  <c r="CP654" i="2"/>
  <c r="CP655" i="2"/>
  <c r="CP656" i="2"/>
  <c r="CP657" i="2"/>
  <c r="CP658" i="2"/>
  <c r="CP659" i="2"/>
  <c r="CP660" i="2"/>
  <c r="CP661" i="2"/>
  <c r="CP662" i="2"/>
  <c r="CP663" i="2"/>
  <c r="CP664" i="2"/>
  <c r="CP665" i="2"/>
  <c r="CP666" i="2"/>
  <c r="CP667" i="2"/>
  <c r="CP668" i="2"/>
  <c r="CT668" i="2" s="1" a="1"/>
  <c r="CT668" i="2" s="1"/>
  <c r="CP669" i="2"/>
  <c r="CP670" i="2"/>
  <c r="CP671" i="2"/>
  <c r="CP672" i="2"/>
  <c r="CP673" i="2"/>
  <c r="CP674" i="2"/>
  <c r="CP675" i="2"/>
  <c r="CP676" i="2"/>
  <c r="CP677" i="2"/>
  <c r="CP678" i="2"/>
  <c r="CP679" i="2"/>
  <c r="CP680" i="2"/>
  <c r="CP681" i="2"/>
  <c r="CP682" i="2"/>
  <c r="CP683" i="2"/>
  <c r="CP684" i="2"/>
  <c r="CP685" i="2"/>
  <c r="CP686" i="2"/>
  <c r="CP687" i="2"/>
  <c r="CP688" i="2"/>
  <c r="CP689" i="2"/>
  <c r="CP690" i="2"/>
  <c r="CP691" i="2"/>
  <c r="CP692" i="2"/>
  <c r="CP693" i="2"/>
  <c r="CP694" i="2"/>
  <c r="CP695" i="2"/>
  <c r="CP696" i="2"/>
  <c r="CP697" i="2"/>
  <c r="CP698" i="2"/>
  <c r="CP699" i="2"/>
  <c r="CP700" i="2"/>
  <c r="CP701" i="2"/>
  <c r="CP702" i="2"/>
  <c r="CP703" i="2"/>
  <c r="CP704" i="2"/>
  <c r="CP705" i="2"/>
  <c r="CQ2" i="2"/>
  <c r="CQ3" i="2"/>
  <c r="CQ4" i="2"/>
  <c r="CQ5" i="2"/>
  <c r="CQ6" i="2"/>
  <c r="CQ7" i="2"/>
  <c r="CQ8" i="2"/>
  <c r="CQ9" i="2"/>
  <c r="CQ10" i="2"/>
  <c r="CQ11" i="2"/>
  <c r="CQ12" i="2"/>
  <c r="CQ13" i="2"/>
  <c r="CQ14" i="2"/>
  <c r="CQ15" i="2"/>
  <c r="CQ16" i="2"/>
  <c r="CQ17" i="2"/>
  <c r="CQ18" i="2"/>
  <c r="CQ19" i="2"/>
  <c r="CQ20" i="2"/>
  <c r="CQ21" i="2"/>
  <c r="CQ22" i="2"/>
  <c r="CQ23" i="2"/>
  <c r="CQ24" i="2"/>
  <c r="CQ25" i="2"/>
  <c r="CQ26" i="2"/>
  <c r="CQ27" i="2"/>
  <c r="CQ28" i="2"/>
  <c r="CQ29" i="2"/>
  <c r="CQ30" i="2"/>
  <c r="CQ31" i="2"/>
  <c r="CQ32" i="2"/>
  <c r="CQ33" i="2"/>
  <c r="CQ34" i="2"/>
  <c r="CQ35" i="2"/>
  <c r="CQ36" i="2"/>
  <c r="CQ37" i="2"/>
  <c r="CQ38" i="2"/>
  <c r="CQ39" i="2"/>
  <c r="CQ40" i="2"/>
  <c r="CQ41" i="2"/>
  <c r="CQ42" i="2"/>
  <c r="CQ43" i="2"/>
  <c r="CQ44" i="2"/>
  <c r="CQ45" i="2"/>
  <c r="CQ46" i="2"/>
  <c r="CQ47" i="2"/>
  <c r="CQ48" i="2"/>
  <c r="CQ49" i="2"/>
  <c r="CQ50" i="2"/>
  <c r="CQ51" i="2"/>
  <c r="CQ52" i="2"/>
  <c r="CQ53" i="2"/>
  <c r="CQ54" i="2"/>
  <c r="CQ55" i="2"/>
  <c r="CQ56" i="2"/>
  <c r="CQ57" i="2"/>
  <c r="CQ58" i="2"/>
  <c r="CQ59" i="2"/>
  <c r="CQ60" i="2"/>
  <c r="CQ61" i="2"/>
  <c r="CQ62" i="2"/>
  <c r="CQ63" i="2"/>
  <c r="CQ64" i="2"/>
  <c r="CQ65" i="2"/>
  <c r="CQ66" i="2"/>
  <c r="CQ67" i="2"/>
  <c r="CQ68" i="2"/>
  <c r="CQ69" i="2"/>
  <c r="CQ70" i="2"/>
  <c r="CQ71" i="2"/>
  <c r="CQ72" i="2"/>
  <c r="CQ73" i="2"/>
  <c r="CQ74" i="2"/>
  <c r="CQ75" i="2"/>
  <c r="CQ76" i="2"/>
  <c r="CQ77" i="2"/>
  <c r="CQ78" i="2"/>
  <c r="CQ79" i="2"/>
  <c r="CQ80" i="2"/>
  <c r="CQ81" i="2"/>
  <c r="CQ82" i="2"/>
  <c r="CQ83" i="2"/>
  <c r="CQ84" i="2"/>
  <c r="CQ85" i="2"/>
  <c r="CQ86" i="2"/>
  <c r="CQ87" i="2"/>
  <c r="CQ88" i="2"/>
  <c r="CQ89" i="2"/>
  <c r="CQ90" i="2"/>
  <c r="CQ91" i="2"/>
  <c r="CQ92" i="2"/>
  <c r="CQ93" i="2"/>
  <c r="CQ94" i="2"/>
  <c r="CQ95" i="2"/>
  <c r="CQ96" i="2"/>
  <c r="CQ97" i="2"/>
  <c r="CQ98" i="2"/>
  <c r="CQ99" i="2"/>
  <c r="CQ100" i="2"/>
  <c r="CQ101" i="2"/>
  <c r="CQ102" i="2"/>
  <c r="CQ103" i="2"/>
  <c r="CQ104" i="2"/>
  <c r="CQ105" i="2"/>
  <c r="CQ106" i="2"/>
  <c r="CQ107" i="2"/>
  <c r="CQ108" i="2"/>
  <c r="CQ109" i="2"/>
  <c r="CQ110" i="2"/>
  <c r="CQ111" i="2"/>
  <c r="CQ112" i="2"/>
  <c r="CQ113" i="2"/>
  <c r="CQ114" i="2"/>
  <c r="CQ115" i="2"/>
  <c r="CQ116" i="2"/>
  <c r="CQ117" i="2"/>
  <c r="CQ118" i="2"/>
  <c r="CQ119" i="2"/>
  <c r="CQ120" i="2"/>
  <c r="CQ121" i="2"/>
  <c r="CQ122" i="2"/>
  <c r="CQ123" i="2"/>
  <c r="CQ124" i="2"/>
  <c r="CQ125" i="2"/>
  <c r="CQ126" i="2"/>
  <c r="CQ127" i="2"/>
  <c r="CQ128" i="2"/>
  <c r="CQ129" i="2"/>
  <c r="CQ130" i="2"/>
  <c r="CQ131" i="2"/>
  <c r="CQ132" i="2"/>
  <c r="CQ133" i="2"/>
  <c r="CQ134" i="2"/>
  <c r="CQ135" i="2"/>
  <c r="CQ136" i="2"/>
  <c r="CQ137" i="2"/>
  <c r="CQ138" i="2"/>
  <c r="CQ139" i="2"/>
  <c r="CQ140" i="2"/>
  <c r="CQ141" i="2"/>
  <c r="CQ142" i="2"/>
  <c r="CQ143" i="2"/>
  <c r="CQ144" i="2"/>
  <c r="CQ145" i="2"/>
  <c r="CQ146" i="2"/>
  <c r="CQ147" i="2"/>
  <c r="CQ148" i="2"/>
  <c r="CQ149" i="2"/>
  <c r="CQ150" i="2"/>
  <c r="CQ151" i="2"/>
  <c r="CQ152" i="2"/>
  <c r="CQ153" i="2"/>
  <c r="CQ154" i="2"/>
  <c r="CQ155" i="2"/>
  <c r="CQ156" i="2"/>
  <c r="CQ157" i="2"/>
  <c r="CQ158" i="2"/>
  <c r="CQ159" i="2"/>
  <c r="CQ160" i="2"/>
  <c r="CQ161" i="2"/>
  <c r="CQ162" i="2"/>
  <c r="CQ163" i="2"/>
  <c r="CQ164" i="2"/>
  <c r="CQ165" i="2"/>
  <c r="CQ166" i="2"/>
  <c r="CQ167" i="2"/>
  <c r="CQ168" i="2"/>
  <c r="CQ169" i="2"/>
  <c r="CQ170" i="2"/>
  <c r="CQ171" i="2"/>
  <c r="CQ172" i="2"/>
  <c r="CQ173" i="2"/>
  <c r="CQ174" i="2"/>
  <c r="CQ175" i="2"/>
  <c r="CQ176" i="2"/>
  <c r="CQ177" i="2"/>
  <c r="CQ178" i="2"/>
  <c r="CQ179" i="2"/>
  <c r="CQ180" i="2"/>
  <c r="CQ181" i="2"/>
  <c r="CQ182" i="2"/>
  <c r="CQ183" i="2"/>
  <c r="CQ184" i="2"/>
  <c r="CQ185" i="2"/>
  <c r="CQ186" i="2"/>
  <c r="CQ187" i="2"/>
  <c r="CQ188" i="2"/>
  <c r="CQ189" i="2"/>
  <c r="CQ190" i="2"/>
  <c r="CQ191" i="2"/>
  <c r="CQ192" i="2"/>
  <c r="CQ193" i="2"/>
  <c r="CQ194" i="2"/>
  <c r="CQ195" i="2"/>
  <c r="CQ196" i="2"/>
  <c r="CQ197" i="2"/>
  <c r="CQ198" i="2"/>
  <c r="CQ199" i="2"/>
  <c r="CQ200" i="2"/>
  <c r="CQ201" i="2"/>
  <c r="CQ202" i="2"/>
  <c r="CQ203" i="2"/>
  <c r="CQ204" i="2"/>
  <c r="CQ205" i="2"/>
  <c r="CQ206" i="2"/>
  <c r="CQ207" i="2"/>
  <c r="CQ208" i="2"/>
  <c r="CQ209" i="2"/>
  <c r="CQ210" i="2"/>
  <c r="CQ211" i="2"/>
  <c r="CQ212" i="2"/>
  <c r="CQ213" i="2"/>
  <c r="CQ214" i="2"/>
  <c r="CQ215" i="2"/>
  <c r="CQ216" i="2"/>
  <c r="CQ217" i="2"/>
  <c r="CQ218" i="2"/>
  <c r="CQ219" i="2"/>
  <c r="CQ220" i="2"/>
  <c r="CQ221" i="2"/>
  <c r="CQ222" i="2"/>
  <c r="CQ223" i="2"/>
  <c r="CQ224" i="2"/>
  <c r="CQ225" i="2"/>
  <c r="CQ226" i="2"/>
  <c r="CQ227" i="2"/>
  <c r="CQ228" i="2"/>
  <c r="CQ229" i="2"/>
  <c r="CQ230" i="2"/>
  <c r="CQ231" i="2"/>
  <c r="CQ232" i="2"/>
  <c r="CQ233" i="2"/>
  <c r="CQ234" i="2"/>
  <c r="CQ235" i="2"/>
  <c r="CQ236" i="2"/>
  <c r="CQ237" i="2"/>
  <c r="CQ238" i="2"/>
  <c r="CQ239" i="2"/>
  <c r="CQ240" i="2"/>
  <c r="CQ241" i="2"/>
  <c r="CQ242" i="2"/>
  <c r="CQ243" i="2"/>
  <c r="CQ244" i="2"/>
  <c r="CQ245" i="2"/>
  <c r="CQ246" i="2"/>
  <c r="CQ247" i="2"/>
  <c r="CQ248" i="2"/>
  <c r="CQ249" i="2"/>
  <c r="CQ250" i="2"/>
  <c r="CQ251" i="2"/>
  <c r="CQ252" i="2"/>
  <c r="CQ253" i="2"/>
  <c r="CQ254" i="2"/>
  <c r="CQ255" i="2"/>
  <c r="CQ256" i="2"/>
  <c r="CQ257" i="2"/>
  <c r="CQ258" i="2"/>
  <c r="CQ259" i="2"/>
  <c r="CQ260" i="2"/>
  <c r="CQ261" i="2"/>
  <c r="CQ262" i="2"/>
  <c r="CQ263" i="2"/>
  <c r="CQ264" i="2"/>
  <c r="CQ265" i="2"/>
  <c r="CQ266" i="2"/>
  <c r="CQ267" i="2"/>
  <c r="CQ268" i="2"/>
  <c r="CQ269" i="2"/>
  <c r="CQ270" i="2"/>
  <c r="CQ271" i="2"/>
  <c r="CQ272" i="2"/>
  <c r="CQ273" i="2"/>
  <c r="CQ274" i="2"/>
  <c r="CQ275" i="2"/>
  <c r="CQ276" i="2"/>
  <c r="CQ277" i="2"/>
  <c r="CQ278" i="2"/>
  <c r="CQ279" i="2"/>
  <c r="CQ280" i="2"/>
  <c r="CQ281" i="2"/>
  <c r="CQ282" i="2"/>
  <c r="CQ283" i="2"/>
  <c r="CQ284" i="2"/>
  <c r="CQ285" i="2"/>
  <c r="CQ286" i="2"/>
  <c r="CQ287" i="2"/>
  <c r="CQ288" i="2"/>
  <c r="CQ289" i="2"/>
  <c r="CQ290" i="2"/>
  <c r="CQ291" i="2"/>
  <c r="CQ292" i="2"/>
  <c r="CQ293" i="2"/>
  <c r="CQ294" i="2"/>
  <c r="CQ295" i="2"/>
  <c r="CQ296" i="2"/>
  <c r="CQ297" i="2"/>
  <c r="CQ298" i="2"/>
  <c r="CQ299" i="2"/>
  <c r="CQ300" i="2"/>
  <c r="CQ301" i="2"/>
  <c r="CQ302" i="2"/>
  <c r="CQ303" i="2"/>
  <c r="CQ304" i="2"/>
  <c r="CQ305" i="2"/>
  <c r="CQ306" i="2"/>
  <c r="CQ307" i="2"/>
  <c r="CQ308" i="2"/>
  <c r="CQ309" i="2"/>
  <c r="CQ310" i="2"/>
  <c r="CQ311" i="2"/>
  <c r="CQ312" i="2"/>
  <c r="CQ313" i="2"/>
  <c r="CQ314" i="2"/>
  <c r="CQ315" i="2"/>
  <c r="CQ316" i="2"/>
  <c r="CQ317" i="2"/>
  <c r="CQ318" i="2"/>
  <c r="CQ319" i="2"/>
  <c r="CQ320" i="2"/>
  <c r="CQ321" i="2"/>
  <c r="CQ322" i="2"/>
  <c r="CQ323" i="2"/>
  <c r="CQ324" i="2"/>
  <c r="CQ325" i="2"/>
  <c r="CQ326" i="2"/>
  <c r="CQ327" i="2"/>
  <c r="CQ328" i="2"/>
  <c r="CQ329" i="2"/>
  <c r="CQ330" i="2"/>
  <c r="CQ331" i="2"/>
  <c r="CQ332" i="2"/>
  <c r="CQ333" i="2"/>
  <c r="CQ334" i="2"/>
  <c r="CQ335" i="2"/>
  <c r="CQ336" i="2"/>
  <c r="CQ337" i="2"/>
  <c r="CQ338" i="2"/>
  <c r="CQ339" i="2"/>
  <c r="CQ340" i="2"/>
  <c r="CQ341" i="2"/>
  <c r="CQ342" i="2"/>
  <c r="CQ343" i="2"/>
  <c r="CQ344" i="2"/>
  <c r="CQ345" i="2"/>
  <c r="CQ346" i="2"/>
  <c r="CQ347" i="2"/>
  <c r="CQ348" i="2"/>
  <c r="CQ349" i="2"/>
  <c r="CQ350" i="2"/>
  <c r="CQ351" i="2"/>
  <c r="CQ352" i="2"/>
  <c r="CQ353" i="2"/>
  <c r="CQ354" i="2"/>
  <c r="CQ355" i="2"/>
  <c r="CQ356" i="2"/>
  <c r="CQ357" i="2"/>
  <c r="CQ358" i="2"/>
  <c r="CQ359" i="2"/>
  <c r="CQ360" i="2"/>
  <c r="CQ361" i="2"/>
  <c r="CQ362" i="2"/>
  <c r="CQ363" i="2"/>
  <c r="CQ364" i="2"/>
  <c r="CQ365" i="2"/>
  <c r="CQ366" i="2"/>
  <c r="CQ367" i="2"/>
  <c r="CQ368" i="2"/>
  <c r="CQ369" i="2"/>
  <c r="CQ370" i="2"/>
  <c r="CQ371" i="2"/>
  <c r="CQ372" i="2"/>
  <c r="CQ373" i="2"/>
  <c r="CQ374" i="2"/>
  <c r="CQ375" i="2"/>
  <c r="CQ376" i="2"/>
  <c r="CQ377" i="2"/>
  <c r="CQ378" i="2"/>
  <c r="CQ379" i="2"/>
  <c r="CQ380" i="2"/>
  <c r="CQ381" i="2"/>
  <c r="CQ382" i="2"/>
  <c r="CQ383" i="2"/>
  <c r="CQ384" i="2"/>
  <c r="CQ385" i="2"/>
  <c r="CQ386" i="2"/>
  <c r="CQ387" i="2"/>
  <c r="CQ388" i="2"/>
  <c r="CQ389" i="2"/>
  <c r="CQ390" i="2"/>
  <c r="CQ391" i="2"/>
  <c r="CQ392" i="2"/>
  <c r="CQ393" i="2"/>
  <c r="CQ394" i="2"/>
  <c r="CQ395" i="2"/>
  <c r="CQ396" i="2"/>
  <c r="CQ397" i="2"/>
  <c r="CQ398" i="2"/>
  <c r="CQ399" i="2"/>
  <c r="CQ400" i="2"/>
  <c r="CQ401" i="2"/>
  <c r="CQ402" i="2"/>
  <c r="CQ403" i="2"/>
  <c r="CQ404" i="2"/>
  <c r="CQ405" i="2"/>
  <c r="CQ406" i="2"/>
  <c r="CQ407" i="2"/>
  <c r="CQ408" i="2"/>
  <c r="CQ409" i="2"/>
  <c r="CQ410" i="2"/>
  <c r="CQ411" i="2"/>
  <c r="CQ412" i="2"/>
  <c r="CQ413" i="2"/>
  <c r="CQ414" i="2"/>
  <c r="CQ415" i="2"/>
  <c r="CQ416" i="2"/>
  <c r="CQ417" i="2"/>
  <c r="CQ418" i="2"/>
  <c r="CQ419" i="2"/>
  <c r="CQ420" i="2"/>
  <c r="CQ421" i="2"/>
  <c r="CQ422" i="2"/>
  <c r="CQ423" i="2"/>
  <c r="CQ424" i="2"/>
  <c r="CQ425" i="2"/>
  <c r="CQ426" i="2"/>
  <c r="CQ427" i="2"/>
  <c r="CQ428" i="2"/>
  <c r="CQ429" i="2"/>
  <c r="CQ430" i="2"/>
  <c r="CQ431" i="2"/>
  <c r="CQ432" i="2"/>
  <c r="CQ433" i="2"/>
  <c r="CQ434" i="2"/>
  <c r="CQ435" i="2"/>
  <c r="CQ436" i="2"/>
  <c r="CQ437" i="2"/>
  <c r="CQ438" i="2"/>
  <c r="CQ439" i="2"/>
  <c r="CQ440" i="2"/>
  <c r="CQ441" i="2"/>
  <c r="CQ442" i="2"/>
  <c r="CQ443" i="2"/>
  <c r="CQ444" i="2"/>
  <c r="CQ445" i="2"/>
  <c r="CQ446" i="2"/>
  <c r="CQ447" i="2"/>
  <c r="CQ448" i="2"/>
  <c r="CQ449" i="2"/>
  <c r="CQ450" i="2"/>
  <c r="CQ451" i="2"/>
  <c r="CQ452" i="2"/>
  <c r="CQ453" i="2"/>
  <c r="CQ454" i="2"/>
  <c r="CQ455" i="2"/>
  <c r="CQ456" i="2"/>
  <c r="CQ457" i="2"/>
  <c r="CQ458" i="2"/>
  <c r="CQ459" i="2"/>
  <c r="CQ460" i="2"/>
  <c r="CQ461" i="2"/>
  <c r="CQ462" i="2"/>
  <c r="CQ463" i="2"/>
  <c r="CQ464" i="2"/>
  <c r="CQ465" i="2"/>
  <c r="CQ466" i="2"/>
  <c r="CQ467" i="2"/>
  <c r="CQ468" i="2"/>
  <c r="CQ469" i="2"/>
  <c r="CQ470" i="2"/>
  <c r="CQ471" i="2"/>
  <c r="CQ472" i="2"/>
  <c r="CQ473" i="2"/>
  <c r="CQ474" i="2"/>
  <c r="CQ475" i="2"/>
  <c r="CQ476" i="2"/>
  <c r="CQ477" i="2"/>
  <c r="CQ478" i="2"/>
  <c r="CQ479" i="2"/>
  <c r="CQ480" i="2"/>
  <c r="CQ481" i="2"/>
  <c r="CQ482" i="2"/>
  <c r="CQ483" i="2"/>
  <c r="CQ484" i="2"/>
  <c r="CQ485" i="2"/>
  <c r="CQ486" i="2"/>
  <c r="CQ487" i="2"/>
  <c r="CQ488" i="2"/>
  <c r="CQ489" i="2"/>
  <c r="CQ490" i="2"/>
  <c r="CQ491" i="2"/>
  <c r="CQ492" i="2"/>
  <c r="CQ493" i="2"/>
  <c r="CQ494" i="2"/>
  <c r="CQ495" i="2"/>
  <c r="CQ496" i="2"/>
  <c r="CQ497" i="2"/>
  <c r="CQ498" i="2"/>
  <c r="CQ499" i="2"/>
  <c r="CQ500" i="2"/>
  <c r="CQ501" i="2"/>
  <c r="CQ502" i="2"/>
  <c r="CQ503" i="2"/>
  <c r="CQ504" i="2"/>
  <c r="CQ505" i="2"/>
  <c r="CQ506" i="2"/>
  <c r="CQ507" i="2"/>
  <c r="CQ508" i="2"/>
  <c r="CQ509" i="2"/>
  <c r="CQ510" i="2"/>
  <c r="CQ511" i="2"/>
  <c r="CQ512" i="2"/>
  <c r="CQ513" i="2"/>
  <c r="CQ514" i="2"/>
  <c r="CQ515" i="2"/>
  <c r="CQ516" i="2"/>
  <c r="CQ517" i="2"/>
  <c r="CQ518" i="2"/>
  <c r="CQ519" i="2"/>
  <c r="CQ520" i="2"/>
  <c r="CQ521" i="2"/>
  <c r="CQ522" i="2"/>
  <c r="CQ523" i="2"/>
  <c r="CQ524" i="2"/>
  <c r="CQ525" i="2"/>
  <c r="CQ526" i="2"/>
  <c r="CQ527" i="2"/>
  <c r="CQ528" i="2"/>
  <c r="CQ529" i="2"/>
  <c r="CQ530" i="2"/>
  <c r="CQ531" i="2"/>
  <c r="CQ532" i="2"/>
  <c r="CQ533" i="2"/>
  <c r="CQ534" i="2"/>
  <c r="CQ535" i="2"/>
  <c r="CQ536" i="2"/>
  <c r="CQ537" i="2"/>
  <c r="CQ538" i="2"/>
  <c r="CQ539" i="2"/>
  <c r="CQ540" i="2"/>
  <c r="CQ541" i="2"/>
  <c r="CQ542" i="2"/>
  <c r="CQ543" i="2"/>
  <c r="CQ544" i="2"/>
  <c r="CQ545" i="2"/>
  <c r="CQ546" i="2"/>
  <c r="CQ547" i="2"/>
  <c r="CQ548" i="2"/>
  <c r="CQ549" i="2"/>
  <c r="CQ550" i="2"/>
  <c r="CQ551" i="2"/>
  <c r="CQ552" i="2"/>
  <c r="CQ553" i="2"/>
  <c r="CQ554" i="2"/>
  <c r="CQ555" i="2"/>
  <c r="CQ556" i="2"/>
  <c r="CQ557" i="2"/>
  <c r="CQ558" i="2"/>
  <c r="CQ559" i="2"/>
  <c r="CQ560" i="2"/>
  <c r="CQ561" i="2"/>
  <c r="CQ562" i="2"/>
  <c r="CQ563" i="2"/>
  <c r="CQ564" i="2"/>
  <c r="CQ565" i="2"/>
  <c r="CQ566" i="2"/>
  <c r="CQ567" i="2"/>
  <c r="CQ568" i="2"/>
  <c r="CQ569" i="2"/>
  <c r="CQ570" i="2"/>
  <c r="CQ571" i="2"/>
  <c r="CQ572" i="2"/>
  <c r="CQ573" i="2"/>
  <c r="CQ574" i="2"/>
  <c r="CQ575" i="2"/>
  <c r="CQ576" i="2"/>
  <c r="CQ577" i="2"/>
  <c r="CQ578" i="2"/>
  <c r="CQ579" i="2"/>
  <c r="CQ580" i="2"/>
  <c r="CQ581" i="2"/>
  <c r="CQ582" i="2"/>
  <c r="CQ583" i="2"/>
  <c r="CQ584" i="2"/>
  <c r="CQ585" i="2"/>
  <c r="CQ586" i="2"/>
  <c r="CQ587" i="2"/>
  <c r="CQ588" i="2"/>
  <c r="CQ589" i="2"/>
  <c r="CQ590" i="2"/>
  <c r="CQ591" i="2"/>
  <c r="CQ592" i="2"/>
  <c r="CQ593" i="2"/>
  <c r="CQ594" i="2"/>
  <c r="CQ595" i="2"/>
  <c r="CQ596" i="2"/>
  <c r="CQ597" i="2"/>
  <c r="CQ598" i="2"/>
  <c r="CQ599" i="2"/>
  <c r="CQ600" i="2"/>
  <c r="CQ601" i="2"/>
  <c r="CQ602" i="2"/>
  <c r="CQ603" i="2"/>
  <c r="CQ604" i="2"/>
  <c r="CQ605" i="2"/>
  <c r="CQ606" i="2"/>
  <c r="CQ607" i="2"/>
  <c r="CQ608" i="2"/>
  <c r="CQ609" i="2"/>
  <c r="CQ610" i="2"/>
  <c r="CQ611" i="2"/>
  <c r="CQ612" i="2"/>
  <c r="CQ613" i="2"/>
  <c r="CQ614" i="2"/>
  <c r="CQ615" i="2"/>
  <c r="CQ616" i="2"/>
  <c r="CQ617" i="2"/>
  <c r="CQ618" i="2"/>
  <c r="CQ619" i="2"/>
  <c r="CQ620" i="2"/>
  <c r="CQ621" i="2"/>
  <c r="CQ622" i="2"/>
  <c r="CQ623" i="2"/>
  <c r="CQ624" i="2"/>
  <c r="CQ625" i="2"/>
  <c r="CQ626" i="2"/>
  <c r="CQ627" i="2"/>
  <c r="CQ628" i="2"/>
  <c r="CQ629" i="2"/>
  <c r="CQ630" i="2"/>
  <c r="CQ631" i="2"/>
  <c r="CQ632" i="2"/>
  <c r="CQ633" i="2"/>
  <c r="CQ634" i="2"/>
  <c r="CQ635" i="2"/>
  <c r="CQ636" i="2"/>
  <c r="CQ637" i="2"/>
  <c r="CQ638" i="2"/>
  <c r="CQ639" i="2"/>
  <c r="CQ640" i="2"/>
  <c r="CQ641" i="2"/>
  <c r="CQ642" i="2"/>
  <c r="CQ643" i="2"/>
  <c r="CQ644" i="2"/>
  <c r="CQ645" i="2"/>
  <c r="CQ646" i="2"/>
  <c r="CQ647" i="2"/>
  <c r="CQ648" i="2"/>
  <c r="CQ649" i="2"/>
  <c r="CQ650" i="2"/>
  <c r="CQ651" i="2"/>
  <c r="CQ652" i="2"/>
  <c r="CQ653" i="2"/>
  <c r="CQ654" i="2"/>
  <c r="CQ655" i="2"/>
  <c r="CQ656" i="2"/>
  <c r="CQ657" i="2"/>
  <c r="CQ658" i="2"/>
  <c r="CQ659" i="2"/>
  <c r="CQ660" i="2"/>
  <c r="CQ661" i="2"/>
  <c r="CQ662" i="2"/>
  <c r="CQ663" i="2"/>
  <c r="CQ664" i="2"/>
  <c r="CQ665" i="2"/>
  <c r="CQ666" i="2"/>
  <c r="CQ667" i="2"/>
  <c r="CQ668" i="2"/>
  <c r="CQ669" i="2"/>
  <c r="CQ670" i="2"/>
  <c r="CQ671" i="2"/>
  <c r="CQ672" i="2"/>
  <c r="CQ673" i="2"/>
  <c r="CQ674" i="2"/>
  <c r="CQ675" i="2"/>
  <c r="CQ676" i="2"/>
  <c r="CQ677" i="2"/>
  <c r="CQ678" i="2"/>
  <c r="CQ679" i="2"/>
  <c r="CQ680" i="2"/>
  <c r="CQ681" i="2"/>
  <c r="CQ682" i="2"/>
  <c r="CQ683" i="2"/>
  <c r="CQ684" i="2"/>
  <c r="CQ685" i="2"/>
  <c r="CQ686" i="2"/>
  <c r="CQ687" i="2"/>
  <c r="CQ688" i="2"/>
  <c r="CQ689" i="2"/>
  <c r="CQ690" i="2"/>
  <c r="CQ691" i="2"/>
  <c r="CQ692" i="2"/>
  <c r="CQ693" i="2"/>
  <c r="CQ694" i="2"/>
  <c r="CQ695" i="2"/>
  <c r="CQ696" i="2"/>
  <c r="CQ697" i="2"/>
  <c r="CQ698" i="2"/>
  <c r="CQ699" i="2"/>
  <c r="CQ700" i="2"/>
  <c r="CQ701" i="2"/>
  <c r="CQ702" i="2"/>
  <c r="CQ703" i="2"/>
  <c r="CQ704" i="2"/>
  <c r="CQ705" i="2"/>
  <c r="CR2" i="2"/>
  <c r="CR3" i="2"/>
  <c r="CR4" i="2"/>
  <c r="CR5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T44" i="2" s="1" a="1"/>
  <c r="CT44" i="2" s="1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97" i="2"/>
  <c r="CR98" i="2"/>
  <c r="CR99" i="2"/>
  <c r="CR100" i="2"/>
  <c r="CR101" i="2"/>
  <c r="CR102" i="2"/>
  <c r="CR103" i="2"/>
  <c r="CR104" i="2"/>
  <c r="CR105" i="2"/>
  <c r="CR106" i="2"/>
  <c r="CR107" i="2"/>
  <c r="CR108" i="2"/>
  <c r="CR109" i="2"/>
  <c r="CR110" i="2"/>
  <c r="CR111" i="2"/>
  <c r="CR112" i="2"/>
  <c r="CR113" i="2"/>
  <c r="CR114" i="2"/>
  <c r="CR115" i="2"/>
  <c r="CR116" i="2"/>
  <c r="CR117" i="2"/>
  <c r="CR118" i="2"/>
  <c r="CR119" i="2"/>
  <c r="CR120" i="2"/>
  <c r="CR121" i="2"/>
  <c r="CR122" i="2"/>
  <c r="CR123" i="2"/>
  <c r="CR124" i="2"/>
  <c r="CR125" i="2"/>
  <c r="CR126" i="2"/>
  <c r="CR127" i="2"/>
  <c r="CR128" i="2"/>
  <c r="CR129" i="2"/>
  <c r="CR130" i="2"/>
  <c r="CR131" i="2"/>
  <c r="CR132" i="2"/>
  <c r="CR133" i="2"/>
  <c r="CR134" i="2"/>
  <c r="CR135" i="2"/>
  <c r="CR136" i="2"/>
  <c r="CR137" i="2"/>
  <c r="CR138" i="2"/>
  <c r="CR139" i="2"/>
  <c r="CR140" i="2"/>
  <c r="CR141" i="2"/>
  <c r="CR142" i="2"/>
  <c r="CR143" i="2"/>
  <c r="CR144" i="2"/>
  <c r="CR145" i="2"/>
  <c r="CR146" i="2"/>
  <c r="CR147" i="2"/>
  <c r="CR148" i="2"/>
  <c r="CR149" i="2"/>
  <c r="CR150" i="2"/>
  <c r="CR151" i="2"/>
  <c r="CR152" i="2"/>
  <c r="CR153" i="2"/>
  <c r="CR154" i="2"/>
  <c r="CR155" i="2"/>
  <c r="CR156" i="2"/>
  <c r="CR157" i="2"/>
  <c r="CR158" i="2"/>
  <c r="CR159" i="2"/>
  <c r="CR160" i="2"/>
  <c r="CR161" i="2"/>
  <c r="CR162" i="2"/>
  <c r="CR163" i="2"/>
  <c r="CR164" i="2"/>
  <c r="CR165" i="2"/>
  <c r="CR166" i="2"/>
  <c r="CR167" i="2"/>
  <c r="CR168" i="2"/>
  <c r="CR169" i="2"/>
  <c r="CR170" i="2"/>
  <c r="CR171" i="2"/>
  <c r="CR172" i="2"/>
  <c r="CR173" i="2"/>
  <c r="CR174" i="2"/>
  <c r="CR175" i="2"/>
  <c r="CR176" i="2"/>
  <c r="CR177" i="2"/>
  <c r="CR178" i="2"/>
  <c r="CR179" i="2"/>
  <c r="CR180" i="2"/>
  <c r="CR181" i="2"/>
  <c r="CR182" i="2"/>
  <c r="CR183" i="2"/>
  <c r="CR184" i="2"/>
  <c r="CR185" i="2"/>
  <c r="CR186" i="2"/>
  <c r="CR187" i="2"/>
  <c r="CR188" i="2"/>
  <c r="CR189" i="2"/>
  <c r="CR190" i="2"/>
  <c r="CR191" i="2"/>
  <c r="CR192" i="2"/>
  <c r="CR193" i="2"/>
  <c r="CR194" i="2"/>
  <c r="CR195" i="2"/>
  <c r="CR196" i="2"/>
  <c r="CR197" i="2"/>
  <c r="CR198" i="2"/>
  <c r="CR199" i="2"/>
  <c r="CR200" i="2"/>
  <c r="CR201" i="2"/>
  <c r="CR202" i="2"/>
  <c r="CR203" i="2"/>
  <c r="CR204" i="2"/>
  <c r="CR205" i="2"/>
  <c r="CR206" i="2"/>
  <c r="CR207" i="2"/>
  <c r="CR208" i="2"/>
  <c r="CR209" i="2"/>
  <c r="CR210" i="2"/>
  <c r="CR211" i="2"/>
  <c r="CR212" i="2"/>
  <c r="CR213" i="2"/>
  <c r="CR214" i="2"/>
  <c r="CR215" i="2"/>
  <c r="CR216" i="2"/>
  <c r="CR217" i="2"/>
  <c r="CR218" i="2"/>
  <c r="CR219" i="2"/>
  <c r="CR220" i="2"/>
  <c r="CR221" i="2"/>
  <c r="CR222" i="2"/>
  <c r="CR223" i="2"/>
  <c r="CR224" i="2"/>
  <c r="CR225" i="2"/>
  <c r="CR226" i="2"/>
  <c r="CR227" i="2"/>
  <c r="CR228" i="2"/>
  <c r="CR229" i="2"/>
  <c r="CR230" i="2"/>
  <c r="CR231" i="2"/>
  <c r="CR232" i="2"/>
  <c r="CR233" i="2"/>
  <c r="CR234" i="2"/>
  <c r="CR235" i="2"/>
  <c r="CR236" i="2"/>
  <c r="CR237" i="2"/>
  <c r="CR238" i="2"/>
  <c r="CR239" i="2"/>
  <c r="CR240" i="2"/>
  <c r="CR241" i="2"/>
  <c r="CR242" i="2"/>
  <c r="CR243" i="2"/>
  <c r="CR244" i="2"/>
  <c r="CR245" i="2"/>
  <c r="CR246" i="2"/>
  <c r="CR247" i="2"/>
  <c r="CR248" i="2"/>
  <c r="CR249" i="2"/>
  <c r="CR250" i="2"/>
  <c r="CR251" i="2"/>
  <c r="CR252" i="2"/>
  <c r="CR253" i="2"/>
  <c r="CR254" i="2"/>
  <c r="CR255" i="2"/>
  <c r="CR256" i="2"/>
  <c r="CR257" i="2"/>
  <c r="CR258" i="2"/>
  <c r="CR259" i="2"/>
  <c r="CR260" i="2"/>
  <c r="CR261" i="2"/>
  <c r="CR262" i="2"/>
  <c r="CR263" i="2"/>
  <c r="CR264" i="2"/>
  <c r="CR265" i="2"/>
  <c r="CR266" i="2"/>
  <c r="CR267" i="2"/>
  <c r="CR268" i="2"/>
  <c r="CR269" i="2"/>
  <c r="CR270" i="2"/>
  <c r="CR271" i="2"/>
  <c r="CR272" i="2"/>
  <c r="CR273" i="2"/>
  <c r="CR274" i="2"/>
  <c r="CR275" i="2"/>
  <c r="CR276" i="2"/>
  <c r="CR277" i="2"/>
  <c r="CR278" i="2"/>
  <c r="CR279" i="2"/>
  <c r="CR280" i="2"/>
  <c r="CR281" i="2"/>
  <c r="CR282" i="2"/>
  <c r="CR283" i="2"/>
  <c r="CR284" i="2"/>
  <c r="CR285" i="2"/>
  <c r="CR286" i="2"/>
  <c r="CR287" i="2"/>
  <c r="CR288" i="2"/>
  <c r="CR289" i="2"/>
  <c r="CR290" i="2"/>
  <c r="CR291" i="2"/>
  <c r="CR292" i="2"/>
  <c r="CR293" i="2"/>
  <c r="CR294" i="2"/>
  <c r="CR295" i="2"/>
  <c r="CR296" i="2"/>
  <c r="CR297" i="2"/>
  <c r="CR298" i="2"/>
  <c r="CR299" i="2"/>
  <c r="CR300" i="2"/>
  <c r="CR301" i="2"/>
  <c r="CR302" i="2"/>
  <c r="CR303" i="2"/>
  <c r="CR304" i="2"/>
  <c r="CR305" i="2"/>
  <c r="CR306" i="2"/>
  <c r="CR307" i="2"/>
  <c r="CR308" i="2"/>
  <c r="CR309" i="2"/>
  <c r="CR310" i="2"/>
  <c r="CR311" i="2"/>
  <c r="CR312" i="2"/>
  <c r="CR313" i="2"/>
  <c r="CR314" i="2"/>
  <c r="CR315" i="2"/>
  <c r="CR316" i="2"/>
  <c r="CR317" i="2"/>
  <c r="CR318" i="2"/>
  <c r="CR319" i="2"/>
  <c r="CR320" i="2"/>
  <c r="CR321" i="2"/>
  <c r="CR322" i="2"/>
  <c r="CR323" i="2"/>
  <c r="CR324" i="2"/>
  <c r="CR325" i="2"/>
  <c r="CR326" i="2"/>
  <c r="CR327" i="2"/>
  <c r="CR328" i="2"/>
  <c r="CR329" i="2"/>
  <c r="CR330" i="2"/>
  <c r="CR331" i="2"/>
  <c r="CR332" i="2"/>
  <c r="CR333" i="2"/>
  <c r="CR334" i="2"/>
  <c r="CR335" i="2"/>
  <c r="CR336" i="2"/>
  <c r="CR337" i="2"/>
  <c r="CR338" i="2"/>
  <c r="CR339" i="2"/>
  <c r="CR340" i="2"/>
  <c r="CR341" i="2"/>
  <c r="CR342" i="2"/>
  <c r="CR343" i="2"/>
  <c r="CR344" i="2"/>
  <c r="CR345" i="2"/>
  <c r="CR346" i="2"/>
  <c r="CR347" i="2"/>
  <c r="CR348" i="2"/>
  <c r="CR349" i="2"/>
  <c r="CR350" i="2"/>
  <c r="CR351" i="2"/>
  <c r="CR352" i="2"/>
  <c r="CR353" i="2"/>
  <c r="CR354" i="2"/>
  <c r="CR355" i="2"/>
  <c r="CR356" i="2"/>
  <c r="CR357" i="2"/>
  <c r="CR358" i="2"/>
  <c r="CR359" i="2"/>
  <c r="CR360" i="2"/>
  <c r="CR361" i="2"/>
  <c r="CR362" i="2"/>
  <c r="CR363" i="2"/>
  <c r="CR364" i="2"/>
  <c r="CR365" i="2"/>
  <c r="CR366" i="2"/>
  <c r="CR367" i="2"/>
  <c r="CR368" i="2"/>
  <c r="CR369" i="2"/>
  <c r="CR370" i="2"/>
  <c r="CR371" i="2"/>
  <c r="CR372" i="2"/>
  <c r="CR373" i="2"/>
  <c r="CR374" i="2"/>
  <c r="CR375" i="2"/>
  <c r="CR376" i="2"/>
  <c r="CR377" i="2"/>
  <c r="CR378" i="2"/>
  <c r="CR379" i="2"/>
  <c r="CR380" i="2"/>
  <c r="CR381" i="2"/>
  <c r="CR382" i="2"/>
  <c r="CR383" i="2"/>
  <c r="CR384" i="2"/>
  <c r="CR385" i="2"/>
  <c r="CR386" i="2"/>
  <c r="CR387" i="2"/>
  <c r="CR388" i="2"/>
  <c r="CR389" i="2"/>
  <c r="CR390" i="2"/>
  <c r="CR391" i="2"/>
  <c r="CR392" i="2"/>
  <c r="CR393" i="2"/>
  <c r="CR394" i="2"/>
  <c r="CR395" i="2"/>
  <c r="CR396" i="2"/>
  <c r="CR397" i="2"/>
  <c r="CR398" i="2"/>
  <c r="CR399" i="2"/>
  <c r="CR400" i="2"/>
  <c r="CR401" i="2"/>
  <c r="CR402" i="2"/>
  <c r="CR403" i="2"/>
  <c r="CR404" i="2"/>
  <c r="CR405" i="2"/>
  <c r="CR406" i="2"/>
  <c r="CR407" i="2"/>
  <c r="CR408" i="2"/>
  <c r="CR409" i="2"/>
  <c r="CR410" i="2"/>
  <c r="CR411" i="2"/>
  <c r="CR412" i="2"/>
  <c r="CR413" i="2"/>
  <c r="CR414" i="2"/>
  <c r="CR415" i="2"/>
  <c r="CR416" i="2"/>
  <c r="CR417" i="2"/>
  <c r="CR418" i="2"/>
  <c r="CR419" i="2"/>
  <c r="CR420" i="2"/>
  <c r="CR421" i="2"/>
  <c r="CR422" i="2"/>
  <c r="CR423" i="2"/>
  <c r="CR424" i="2"/>
  <c r="CR425" i="2"/>
  <c r="CR426" i="2"/>
  <c r="CR427" i="2"/>
  <c r="CR428" i="2"/>
  <c r="CR429" i="2"/>
  <c r="CR430" i="2"/>
  <c r="CR431" i="2"/>
  <c r="CR432" i="2"/>
  <c r="CR433" i="2"/>
  <c r="CR434" i="2"/>
  <c r="CR435" i="2"/>
  <c r="CR436" i="2"/>
  <c r="CR437" i="2"/>
  <c r="CR438" i="2"/>
  <c r="CR439" i="2"/>
  <c r="CR440" i="2"/>
  <c r="CR441" i="2"/>
  <c r="CR442" i="2"/>
  <c r="CR443" i="2"/>
  <c r="CR444" i="2"/>
  <c r="CR445" i="2"/>
  <c r="CR446" i="2"/>
  <c r="CR447" i="2"/>
  <c r="CR448" i="2"/>
  <c r="CR449" i="2"/>
  <c r="CR450" i="2"/>
  <c r="CR451" i="2"/>
  <c r="CR452" i="2"/>
  <c r="CR453" i="2"/>
  <c r="CR454" i="2"/>
  <c r="CR455" i="2"/>
  <c r="CR456" i="2"/>
  <c r="CR457" i="2"/>
  <c r="CR458" i="2"/>
  <c r="CR459" i="2"/>
  <c r="CR460" i="2"/>
  <c r="CR461" i="2"/>
  <c r="CR462" i="2"/>
  <c r="CR463" i="2"/>
  <c r="CR464" i="2"/>
  <c r="CR465" i="2"/>
  <c r="CR466" i="2"/>
  <c r="CR467" i="2"/>
  <c r="CR468" i="2"/>
  <c r="CR469" i="2"/>
  <c r="CR470" i="2"/>
  <c r="CR471" i="2"/>
  <c r="CR472" i="2"/>
  <c r="CR473" i="2"/>
  <c r="CR474" i="2"/>
  <c r="CR475" i="2"/>
  <c r="CR476" i="2"/>
  <c r="CR477" i="2"/>
  <c r="CR478" i="2"/>
  <c r="CR479" i="2"/>
  <c r="CR480" i="2"/>
  <c r="CR481" i="2"/>
  <c r="CR482" i="2"/>
  <c r="CR483" i="2"/>
  <c r="CR484" i="2"/>
  <c r="CR485" i="2"/>
  <c r="CR486" i="2"/>
  <c r="CR487" i="2"/>
  <c r="CR488" i="2"/>
  <c r="CR489" i="2"/>
  <c r="CR490" i="2"/>
  <c r="CR491" i="2"/>
  <c r="CR492" i="2"/>
  <c r="CR493" i="2"/>
  <c r="CR494" i="2"/>
  <c r="CR495" i="2"/>
  <c r="CR496" i="2"/>
  <c r="CR497" i="2"/>
  <c r="CR498" i="2"/>
  <c r="CR499" i="2"/>
  <c r="CR500" i="2"/>
  <c r="CR501" i="2"/>
  <c r="CR502" i="2"/>
  <c r="CR503" i="2"/>
  <c r="CR504" i="2"/>
  <c r="CR505" i="2"/>
  <c r="CR506" i="2"/>
  <c r="CR507" i="2"/>
  <c r="CR508" i="2"/>
  <c r="CR509" i="2"/>
  <c r="CR510" i="2"/>
  <c r="CR511" i="2"/>
  <c r="CR512" i="2"/>
  <c r="CR513" i="2"/>
  <c r="CR514" i="2"/>
  <c r="CR515" i="2"/>
  <c r="CR516" i="2"/>
  <c r="CR517" i="2"/>
  <c r="CR518" i="2"/>
  <c r="CR519" i="2"/>
  <c r="CR520" i="2"/>
  <c r="CU520" i="2" s="1" a="1"/>
  <c r="CU520" i="2" s="1"/>
  <c r="CR521" i="2"/>
  <c r="CR522" i="2"/>
  <c r="CR523" i="2"/>
  <c r="CR524" i="2"/>
  <c r="CR525" i="2"/>
  <c r="CR526" i="2"/>
  <c r="CR527" i="2"/>
  <c r="CR528" i="2"/>
  <c r="CR529" i="2"/>
  <c r="CR530" i="2"/>
  <c r="CR531" i="2"/>
  <c r="CR532" i="2"/>
  <c r="CR533" i="2"/>
  <c r="CR534" i="2"/>
  <c r="CR535" i="2"/>
  <c r="CR536" i="2"/>
  <c r="CR537" i="2"/>
  <c r="CR538" i="2"/>
  <c r="CR539" i="2"/>
  <c r="CR540" i="2"/>
  <c r="CR541" i="2"/>
  <c r="CR542" i="2"/>
  <c r="CR543" i="2"/>
  <c r="CR544" i="2"/>
  <c r="CR545" i="2"/>
  <c r="CR546" i="2"/>
  <c r="CR547" i="2"/>
  <c r="CR548" i="2"/>
  <c r="CR549" i="2"/>
  <c r="CR550" i="2"/>
  <c r="CR551" i="2"/>
  <c r="CR552" i="2"/>
  <c r="CR553" i="2"/>
  <c r="CR554" i="2"/>
  <c r="CR555" i="2"/>
  <c r="CR556" i="2"/>
  <c r="CR557" i="2"/>
  <c r="CR558" i="2"/>
  <c r="CR559" i="2"/>
  <c r="CR560" i="2"/>
  <c r="CR561" i="2"/>
  <c r="CR562" i="2"/>
  <c r="CR563" i="2"/>
  <c r="CR564" i="2"/>
  <c r="CR565" i="2"/>
  <c r="CR566" i="2"/>
  <c r="CR567" i="2"/>
  <c r="CR568" i="2"/>
  <c r="CR569" i="2"/>
  <c r="CR570" i="2"/>
  <c r="CR571" i="2"/>
  <c r="CR572" i="2"/>
  <c r="CR573" i="2"/>
  <c r="CR574" i="2"/>
  <c r="CR575" i="2"/>
  <c r="CR576" i="2"/>
  <c r="CR577" i="2"/>
  <c r="CR578" i="2"/>
  <c r="CR579" i="2"/>
  <c r="CR580" i="2"/>
  <c r="CR581" i="2"/>
  <c r="CR582" i="2"/>
  <c r="CR583" i="2"/>
  <c r="CR584" i="2"/>
  <c r="CR585" i="2"/>
  <c r="CR586" i="2"/>
  <c r="CR587" i="2"/>
  <c r="CR588" i="2"/>
  <c r="CR589" i="2"/>
  <c r="CR590" i="2"/>
  <c r="CR591" i="2"/>
  <c r="CR592" i="2"/>
  <c r="CR593" i="2"/>
  <c r="CR594" i="2"/>
  <c r="CR595" i="2"/>
  <c r="CR596" i="2"/>
  <c r="CR597" i="2"/>
  <c r="CR598" i="2"/>
  <c r="CR599" i="2"/>
  <c r="CR600" i="2"/>
  <c r="CR601" i="2"/>
  <c r="CR602" i="2"/>
  <c r="CR603" i="2"/>
  <c r="CR604" i="2"/>
  <c r="CR605" i="2"/>
  <c r="CR606" i="2"/>
  <c r="CR607" i="2"/>
  <c r="CR608" i="2"/>
  <c r="CR609" i="2"/>
  <c r="CR610" i="2"/>
  <c r="CR611" i="2"/>
  <c r="CR612" i="2"/>
  <c r="CR613" i="2"/>
  <c r="CR614" i="2"/>
  <c r="CR615" i="2"/>
  <c r="CR616" i="2"/>
  <c r="CR617" i="2"/>
  <c r="CR618" i="2"/>
  <c r="CR619" i="2"/>
  <c r="CR620" i="2"/>
  <c r="CR621" i="2"/>
  <c r="CR622" i="2"/>
  <c r="CR623" i="2"/>
  <c r="CR624" i="2"/>
  <c r="CR625" i="2"/>
  <c r="CR626" i="2"/>
  <c r="CR627" i="2"/>
  <c r="CR628" i="2"/>
  <c r="CR629" i="2"/>
  <c r="CR630" i="2"/>
  <c r="CR631" i="2"/>
  <c r="CR632" i="2"/>
  <c r="CR633" i="2"/>
  <c r="CR634" i="2"/>
  <c r="CR635" i="2"/>
  <c r="CR636" i="2"/>
  <c r="CR637" i="2"/>
  <c r="CR638" i="2"/>
  <c r="CR639" i="2"/>
  <c r="CR640" i="2"/>
  <c r="CR641" i="2"/>
  <c r="CR642" i="2"/>
  <c r="CR643" i="2"/>
  <c r="CR644" i="2"/>
  <c r="CR645" i="2"/>
  <c r="CR646" i="2"/>
  <c r="CR647" i="2"/>
  <c r="CR648" i="2"/>
  <c r="CR649" i="2"/>
  <c r="CR650" i="2"/>
  <c r="CR651" i="2"/>
  <c r="CR652" i="2"/>
  <c r="CR653" i="2"/>
  <c r="CR654" i="2"/>
  <c r="CR655" i="2"/>
  <c r="CR656" i="2"/>
  <c r="CR657" i="2"/>
  <c r="CR658" i="2"/>
  <c r="CR659" i="2"/>
  <c r="CR660" i="2"/>
  <c r="CR661" i="2"/>
  <c r="CR662" i="2"/>
  <c r="CR663" i="2"/>
  <c r="CR664" i="2"/>
  <c r="CR665" i="2"/>
  <c r="CR666" i="2"/>
  <c r="CR667" i="2"/>
  <c r="CR668" i="2"/>
  <c r="CR669" i="2"/>
  <c r="CR670" i="2"/>
  <c r="CR671" i="2"/>
  <c r="CR672" i="2"/>
  <c r="CR673" i="2"/>
  <c r="CR674" i="2"/>
  <c r="CR675" i="2"/>
  <c r="CR676" i="2"/>
  <c r="CR677" i="2"/>
  <c r="CR678" i="2"/>
  <c r="CR679" i="2"/>
  <c r="CR680" i="2"/>
  <c r="CR681" i="2"/>
  <c r="CR682" i="2"/>
  <c r="CR683" i="2"/>
  <c r="CR684" i="2"/>
  <c r="CR685" i="2"/>
  <c r="CR686" i="2"/>
  <c r="CR687" i="2"/>
  <c r="CR688" i="2"/>
  <c r="CR689" i="2"/>
  <c r="CR690" i="2"/>
  <c r="CR691" i="2"/>
  <c r="CR692" i="2"/>
  <c r="CR693" i="2"/>
  <c r="CR694" i="2"/>
  <c r="CR695" i="2"/>
  <c r="CR696" i="2"/>
  <c r="CR697" i="2"/>
  <c r="CR698" i="2"/>
  <c r="CR699" i="2"/>
  <c r="CR700" i="2"/>
  <c r="CR701" i="2"/>
  <c r="CR702" i="2"/>
  <c r="CR703" i="2"/>
  <c r="CR704" i="2"/>
  <c r="CR705" i="2"/>
  <c r="CS2" i="2"/>
  <c r="CS3" i="2"/>
  <c r="CS4" i="2"/>
  <c r="CS5" i="2"/>
  <c r="CS6" i="2"/>
  <c r="CS7" i="2"/>
  <c r="CS8" i="2"/>
  <c r="CS9" i="2"/>
  <c r="CS10" i="2"/>
  <c r="CS11" i="2"/>
  <c r="CS12" i="2"/>
  <c r="CS13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30" i="2"/>
  <c r="CS31" i="2"/>
  <c r="CS32" i="2"/>
  <c r="CS33" i="2"/>
  <c r="CS34" i="2"/>
  <c r="CS35" i="2"/>
  <c r="CS37" i="2"/>
  <c r="CS38" i="2"/>
  <c r="CS39" i="2"/>
  <c r="CS40" i="2"/>
  <c r="CS41" i="2"/>
  <c r="CS44" i="2"/>
  <c r="CS45" i="2"/>
  <c r="CS46" i="2"/>
  <c r="CS47" i="2"/>
  <c r="CS48" i="2"/>
  <c r="CS49" i="2"/>
  <c r="CS51" i="2"/>
  <c r="CS52" i="2"/>
  <c r="CS53" i="2"/>
  <c r="CS54" i="2"/>
  <c r="CS55" i="2"/>
  <c r="CS58" i="2"/>
  <c r="CS59" i="2"/>
  <c r="CS60" i="2"/>
  <c r="CS61" i="2"/>
  <c r="CS62" i="2"/>
  <c r="CS63" i="2"/>
  <c r="CS65" i="2"/>
  <c r="CS66" i="2"/>
  <c r="CS67" i="2"/>
  <c r="CS68" i="2"/>
  <c r="CS69" i="2"/>
  <c r="CS72" i="2"/>
  <c r="CS73" i="2"/>
  <c r="CS74" i="2"/>
  <c r="CS75" i="2"/>
  <c r="CS76" i="2"/>
  <c r="CS77" i="2"/>
  <c r="CS79" i="2"/>
  <c r="CS80" i="2"/>
  <c r="CS81" i="2"/>
  <c r="CS82" i="2"/>
  <c r="CS83" i="2"/>
  <c r="CS86" i="2"/>
  <c r="CS87" i="2"/>
  <c r="CS88" i="2"/>
  <c r="CS89" i="2"/>
  <c r="CS90" i="2"/>
  <c r="CS91" i="2"/>
  <c r="CS92" i="2"/>
  <c r="CS93" i="2"/>
  <c r="CS94" i="2"/>
  <c r="CS95" i="2"/>
  <c r="CS97" i="2"/>
  <c r="CS100" i="2"/>
  <c r="CS101" i="2"/>
  <c r="CS102" i="2"/>
  <c r="CS103" i="2"/>
  <c r="CS104" i="2"/>
  <c r="CS105" i="2"/>
  <c r="CS106" i="2"/>
  <c r="CS107" i="2"/>
  <c r="CS108" i="2"/>
  <c r="CS109" i="2"/>
  <c r="CS110" i="2"/>
  <c r="CS111" i="2"/>
  <c r="CS114" i="2"/>
  <c r="CS115" i="2"/>
  <c r="CS116" i="2"/>
  <c r="CS117" i="2"/>
  <c r="CS118" i="2"/>
  <c r="CS119" i="2"/>
  <c r="CS121" i="2"/>
  <c r="CS122" i="2"/>
  <c r="CS123" i="2"/>
  <c r="CS125" i="2"/>
  <c r="CS128" i="2"/>
  <c r="CS129" i="2"/>
  <c r="CS130" i="2"/>
  <c r="CS131" i="2"/>
  <c r="CS132" i="2"/>
  <c r="CS133" i="2"/>
  <c r="CS135" i="2"/>
  <c r="CS136" i="2"/>
  <c r="CS137" i="2"/>
  <c r="CS139" i="2"/>
  <c r="CS142" i="2"/>
  <c r="CS143" i="2"/>
  <c r="CS144" i="2"/>
  <c r="CS145" i="2"/>
  <c r="CS146" i="2"/>
  <c r="CS147" i="2"/>
  <c r="CS149" i="2"/>
  <c r="CS150" i="2"/>
  <c r="CS151" i="2"/>
  <c r="CS152" i="2"/>
  <c r="CS153" i="2"/>
  <c r="CS156" i="2"/>
  <c r="CS157" i="2"/>
  <c r="CS158" i="2"/>
  <c r="CS159" i="2"/>
  <c r="CS160" i="2"/>
  <c r="CS161" i="2"/>
  <c r="CS163" i="2"/>
  <c r="CS164" i="2"/>
  <c r="CS165" i="2"/>
  <c r="CS166" i="2"/>
  <c r="CS167" i="2"/>
  <c r="CS170" i="2"/>
  <c r="CS171" i="2"/>
  <c r="CS172" i="2"/>
  <c r="CS173" i="2"/>
  <c r="CS174" i="2"/>
  <c r="CS175" i="2"/>
  <c r="CS176" i="2"/>
  <c r="CS177" i="2"/>
  <c r="CS178" i="2"/>
  <c r="CS179" i="2"/>
  <c r="CS181" i="2"/>
  <c r="CS184" i="2"/>
  <c r="CS185" i="2"/>
  <c r="CS186" i="2"/>
  <c r="CS187" i="2"/>
  <c r="CS188" i="2"/>
  <c r="CS189" i="2"/>
  <c r="CS191" i="2"/>
  <c r="CS192" i="2"/>
  <c r="CS193" i="2"/>
  <c r="CS194" i="2"/>
  <c r="CS195" i="2"/>
  <c r="CS198" i="2"/>
  <c r="CS199" i="2"/>
  <c r="CS200" i="2"/>
  <c r="CS201" i="2"/>
  <c r="CS202" i="2"/>
  <c r="CS203" i="2"/>
  <c r="CS205" i="2"/>
  <c r="CS206" i="2"/>
  <c r="CS207" i="2"/>
  <c r="CS209" i="2"/>
  <c r="CS212" i="2"/>
  <c r="CS213" i="2"/>
  <c r="CS214" i="2"/>
  <c r="CS215" i="2"/>
  <c r="CS216" i="2"/>
  <c r="CS217" i="2"/>
  <c r="CS219" i="2"/>
  <c r="CS220" i="2"/>
  <c r="CS221" i="2"/>
  <c r="CS222" i="2"/>
  <c r="CS223" i="2"/>
  <c r="CS226" i="2"/>
  <c r="CS227" i="2"/>
  <c r="CS228" i="2"/>
  <c r="CS229" i="2"/>
  <c r="CS230" i="2"/>
  <c r="CS231" i="2"/>
  <c r="CS232" i="2"/>
  <c r="CS233" i="2"/>
  <c r="CS234" i="2"/>
  <c r="CS235" i="2"/>
  <c r="CS237" i="2"/>
  <c r="CS240" i="2"/>
  <c r="CS241" i="2"/>
  <c r="CS242" i="2"/>
  <c r="CS243" i="2"/>
  <c r="CS244" i="2"/>
  <c r="CS245" i="2"/>
  <c r="CS247" i="2"/>
  <c r="CS248" i="2"/>
  <c r="CS249" i="2"/>
  <c r="CS250" i="2"/>
  <c r="CS251" i="2"/>
  <c r="CS254" i="2"/>
  <c r="CS255" i="2"/>
  <c r="CS256" i="2"/>
  <c r="CS257" i="2"/>
  <c r="CS258" i="2"/>
  <c r="CS259" i="2"/>
  <c r="CS261" i="2"/>
  <c r="CS262" i="2"/>
  <c r="CS263" i="2"/>
  <c r="CS264" i="2"/>
  <c r="CS265" i="2"/>
  <c r="CS268" i="2"/>
  <c r="CS269" i="2"/>
  <c r="CS270" i="2"/>
  <c r="CS271" i="2"/>
  <c r="CS272" i="2"/>
  <c r="CS273" i="2"/>
  <c r="CS275" i="2"/>
  <c r="CS276" i="2"/>
  <c r="CS277" i="2"/>
  <c r="CS278" i="2"/>
  <c r="CS279" i="2"/>
  <c r="CS282" i="2"/>
  <c r="CS283" i="2"/>
  <c r="CS284" i="2"/>
  <c r="CS285" i="2"/>
  <c r="CS286" i="2"/>
  <c r="CS287" i="2"/>
  <c r="CS289" i="2"/>
  <c r="CS290" i="2"/>
  <c r="CS291" i="2"/>
  <c r="CS292" i="2"/>
  <c r="CS293" i="2"/>
  <c r="CS296" i="2"/>
  <c r="CS297" i="2"/>
  <c r="CS298" i="2"/>
  <c r="CS299" i="2"/>
  <c r="CS300" i="2"/>
  <c r="CS301" i="2"/>
  <c r="CS302" i="2"/>
  <c r="CS303" i="2"/>
  <c r="CS304" i="2"/>
  <c r="CS305" i="2"/>
  <c r="CS306" i="2"/>
  <c r="CS307" i="2"/>
  <c r="CS310" i="2"/>
  <c r="CS311" i="2"/>
  <c r="CS312" i="2"/>
  <c r="CS313" i="2"/>
  <c r="CS314" i="2"/>
  <c r="CS315" i="2"/>
  <c r="CS317" i="2"/>
  <c r="CS318" i="2"/>
  <c r="CS319" i="2"/>
  <c r="CS321" i="2"/>
  <c r="CS324" i="2"/>
  <c r="CS325" i="2"/>
  <c r="CS326" i="2"/>
  <c r="CS327" i="2"/>
  <c r="CS328" i="2"/>
  <c r="CS329" i="2"/>
  <c r="CS331" i="2"/>
  <c r="CS332" i="2"/>
  <c r="CS333" i="2"/>
  <c r="CS335" i="2"/>
  <c r="CS338" i="2"/>
  <c r="CS339" i="2"/>
  <c r="CS340" i="2"/>
  <c r="CS341" i="2"/>
  <c r="CS342" i="2"/>
  <c r="CS343" i="2"/>
  <c r="CS345" i="2"/>
  <c r="CS346" i="2"/>
  <c r="CS347" i="2"/>
  <c r="CS349" i="2"/>
  <c r="CS352" i="2"/>
  <c r="CS353" i="2"/>
  <c r="CS354" i="2"/>
  <c r="CS355" i="2"/>
  <c r="CS356" i="2"/>
  <c r="CS357" i="2"/>
  <c r="CS359" i="2"/>
  <c r="CS360" i="2"/>
  <c r="CS361" i="2"/>
  <c r="CS362" i="2"/>
  <c r="CS363" i="2"/>
  <c r="CS366" i="2"/>
  <c r="CS367" i="2"/>
  <c r="CS368" i="2"/>
  <c r="CS369" i="2"/>
  <c r="CS370" i="2"/>
  <c r="CS371" i="2"/>
  <c r="CS373" i="2"/>
  <c r="CS374" i="2"/>
  <c r="CS375" i="2"/>
  <c r="CS377" i="2"/>
  <c r="CS380" i="2"/>
  <c r="CS381" i="2"/>
  <c r="CS382" i="2"/>
  <c r="CS383" i="2"/>
  <c r="CS384" i="2"/>
  <c r="CS385" i="2"/>
  <c r="CS386" i="2"/>
  <c r="CS387" i="2"/>
  <c r="CS388" i="2"/>
  <c r="CS389" i="2"/>
  <c r="CS391" i="2"/>
  <c r="CS394" i="2"/>
  <c r="CS395" i="2"/>
  <c r="CS396" i="2"/>
  <c r="CS397" i="2"/>
  <c r="CS398" i="2"/>
  <c r="CS399" i="2"/>
  <c r="CS401" i="2"/>
  <c r="CS402" i="2"/>
  <c r="CS403" i="2"/>
  <c r="CS404" i="2"/>
  <c r="CS405" i="2"/>
  <c r="CS408" i="2"/>
  <c r="CS409" i="2"/>
  <c r="CS410" i="2"/>
  <c r="CS411" i="2"/>
  <c r="CS412" i="2"/>
  <c r="CS413" i="2"/>
  <c r="CS415" i="2"/>
  <c r="CS416" i="2"/>
  <c r="CS417" i="2"/>
  <c r="CS418" i="2"/>
  <c r="CS419" i="2"/>
  <c r="CS422" i="2"/>
  <c r="CS423" i="2"/>
  <c r="CS424" i="2"/>
  <c r="CS425" i="2"/>
  <c r="CS426" i="2"/>
  <c r="CS427" i="2"/>
  <c r="CS429" i="2"/>
  <c r="CS430" i="2"/>
  <c r="CS431" i="2"/>
  <c r="CS433" i="2"/>
  <c r="CS436" i="2"/>
  <c r="CS437" i="2"/>
  <c r="CS438" i="2"/>
  <c r="CS439" i="2"/>
  <c r="CS440" i="2"/>
  <c r="CS441" i="2"/>
  <c r="CS443" i="2"/>
  <c r="CS444" i="2"/>
  <c r="CS445" i="2"/>
  <c r="CS446" i="2"/>
  <c r="CS447" i="2"/>
  <c r="CS450" i="2"/>
  <c r="CS451" i="2"/>
  <c r="CS452" i="2"/>
  <c r="CS453" i="2"/>
  <c r="CS454" i="2"/>
  <c r="CS455" i="2"/>
  <c r="CS456" i="2"/>
  <c r="CS457" i="2"/>
  <c r="CS458" i="2"/>
  <c r="CS459" i="2"/>
  <c r="CS460" i="2"/>
  <c r="CS461" i="2"/>
  <c r="CS464" i="2"/>
  <c r="CS465" i="2"/>
  <c r="CS466" i="2"/>
  <c r="CS467" i="2"/>
  <c r="CS468" i="2"/>
  <c r="CS469" i="2"/>
  <c r="CS471" i="2"/>
  <c r="CS472" i="2"/>
  <c r="CS473" i="2"/>
  <c r="CS474" i="2"/>
  <c r="CS475" i="2"/>
  <c r="CS478" i="2"/>
  <c r="CS479" i="2"/>
  <c r="CS480" i="2"/>
  <c r="CS481" i="2"/>
  <c r="CS482" i="2"/>
  <c r="CS483" i="2"/>
  <c r="CS485" i="2"/>
  <c r="CS486" i="2"/>
  <c r="CS487" i="2"/>
  <c r="CS489" i="2"/>
  <c r="CS492" i="2"/>
  <c r="CS493" i="2"/>
  <c r="CS494" i="2"/>
  <c r="CS495" i="2"/>
  <c r="CS496" i="2"/>
  <c r="CS497" i="2"/>
  <c r="CS499" i="2"/>
  <c r="CS500" i="2"/>
  <c r="CS501" i="2"/>
  <c r="CS502" i="2"/>
  <c r="CS503" i="2"/>
  <c r="CS506" i="2"/>
  <c r="CS507" i="2"/>
  <c r="CS508" i="2"/>
  <c r="CS509" i="2"/>
  <c r="CS510" i="2"/>
  <c r="CS511" i="2"/>
  <c r="CS513" i="2"/>
  <c r="CS514" i="2"/>
  <c r="CS515" i="2"/>
  <c r="CS517" i="2"/>
  <c r="CS520" i="2"/>
  <c r="CS521" i="2"/>
  <c r="CS522" i="2"/>
  <c r="CS523" i="2"/>
  <c r="CS524" i="2"/>
  <c r="CS525" i="2"/>
  <c r="CS527" i="2"/>
  <c r="CS528" i="2"/>
  <c r="CS529" i="2"/>
  <c r="CS531" i="2"/>
  <c r="CS534" i="2"/>
  <c r="CS535" i="2"/>
  <c r="CS536" i="2"/>
  <c r="CS537" i="2"/>
  <c r="CS538" i="2"/>
  <c r="CS539" i="2"/>
  <c r="CS540" i="2"/>
  <c r="CS541" i="2"/>
  <c r="CS542" i="2"/>
  <c r="CS543" i="2"/>
  <c r="CS544" i="2"/>
  <c r="CS545" i="2"/>
  <c r="CS548" i="2"/>
  <c r="CS549" i="2"/>
  <c r="CS550" i="2"/>
  <c r="CS551" i="2"/>
  <c r="CS552" i="2"/>
  <c r="CS553" i="2"/>
  <c r="CS555" i="2"/>
  <c r="CS556" i="2"/>
  <c r="CS557" i="2"/>
  <c r="CS558" i="2"/>
  <c r="CS559" i="2"/>
  <c r="CS562" i="2"/>
  <c r="CS563" i="2"/>
  <c r="CS564" i="2"/>
  <c r="CS565" i="2"/>
  <c r="CS566" i="2"/>
  <c r="CS567" i="2"/>
  <c r="CS569" i="2"/>
  <c r="CS570" i="2"/>
  <c r="CS571" i="2"/>
  <c r="CS573" i="2"/>
  <c r="CS576" i="2"/>
  <c r="CS577" i="2"/>
  <c r="CS578" i="2"/>
  <c r="CS579" i="2"/>
  <c r="CS580" i="2"/>
  <c r="CS581" i="2"/>
  <c r="CS583" i="2"/>
  <c r="CS584" i="2"/>
  <c r="CS585" i="2"/>
  <c r="CS586" i="2"/>
  <c r="CS587" i="2"/>
  <c r="CS590" i="2"/>
  <c r="CS591" i="2"/>
  <c r="CS592" i="2"/>
  <c r="CS593" i="2"/>
  <c r="CS594" i="2"/>
  <c r="CS595" i="2"/>
  <c r="CS597" i="2"/>
  <c r="CS598" i="2"/>
  <c r="CS599" i="2"/>
  <c r="CS600" i="2"/>
  <c r="CS601" i="2"/>
  <c r="CS604" i="2"/>
  <c r="CS605" i="2"/>
  <c r="CS606" i="2"/>
  <c r="CS607" i="2"/>
  <c r="CS608" i="2"/>
  <c r="CS609" i="2"/>
  <c r="CS611" i="2"/>
  <c r="CS612" i="2"/>
  <c r="CS613" i="2"/>
  <c r="CS615" i="2"/>
  <c r="CS618" i="2"/>
  <c r="CS619" i="2"/>
  <c r="CS620" i="2"/>
  <c r="CS621" i="2"/>
  <c r="CS622" i="2"/>
  <c r="CS623" i="2"/>
  <c r="CS625" i="2"/>
  <c r="CS626" i="2"/>
  <c r="CS627" i="2"/>
  <c r="CS628" i="2"/>
  <c r="CS629" i="2"/>
  <c r="CS632" i="2"/>
  <c r="CS633" i="2"/>
  <c r="CS634" i="2"/>
  <c r="CS635" i="2"/>
  <c r="CS636" i="2"/>
  <c r="CS637" i="2"/>
  <c r="CS639" i="2"/>
  <c r="CS640" i="2"/>
  <c r="CS641" i="2"/>
  <c r="CS642" i="2"/>
  <c r="CS643" i="2"/>
  <c r="CS646" i="2"/>
  <c r="CS647" i="2"/>
  <c r="CS648" i="2"/>
  <c r="CS649" i="2"/>
  <c r="CS650" i="2"/>
  <c r="CS651" i="2"/>
  <c r="CS653" i="2"/>
  <c r="CS654" i="2"/>
  <c r="CS655" i="2"/>
  <c r="CS657" i="2"/>
  <c r="CS660" i="2"/>
  <c r="CS661" i="2"/>
  <c r="CS662" i="2"/>
  <c r="CS663" i="2"/>
  <c r="CS664" i="2"/>
  <c r="CS665" i="2"/>
  <c r="CS667" i="2"/>
  <c r="CS668" i="2"/>
  <c r="CS669" i="2"/>
  <c r="CS670" i="2"/>
  <c r="CS671" i="2"/>
  <c r="CS674" i="2"/>
  <c r="CS675" i="2"/>
  <c r="CS676" i="2"/>
  <c r="CS677" i="2"/>
  <c r="CS678" i="2"/>
  <c r="CS679" i="2"/>
  <c r="CS681" i="2"/>
  <c r="CS682" i="2"/>
  <c r="CS683" i="2"/>
  <c r="CS684" i="2"/>
  <c r="CS685" i="2"/>
  <c r="CS688" i="2"/>
  <c r="CS689" i="2"/>
  <c r="CS690" i="2"/>
  <c r="CS691" i="2"/>
  <c r="CS692" i="2"/>
  <c r="CS693" i="2"/>
  <c r="CS695" i="2"/>
  <c r="CS696" i="2"/>
  <c r="CS697" i="2"/>
  <c r="CS698" i="2"/>
  <c r="CS699" i="2"/>
  <c r="CS702" i="2"/>
  <c r="CS703" i="2"/>
  <c r="CS704" i="2"/>
  <c r="CS705" i="2"/>
  <c r="CU236" i="2" a="1"/>
  <c r="CU236" i="2"/>
  <c r="CV34" i="2" a="1"/>
  <c r="CV34" i="2" s="1"/>
  <c r="CV78" i="2" a="1"/>
  <c r="CV78" i="2" s="1"/>
  <c r="CV296" i="2" a="1"/>
  <c r="CV296" i="2"/>
  <c r="CV482" i="2" a="1"/>
  <c r="CV482" i="2" s="1"/>
  <c r="CV516" i="2" a="1"/>
  <c r="CV516" i="2" s="1"/>
  <c r="CV545" i="2" l="1" a="1"/>
  <c r="CV545" i="2" s="1"/>
  <c r="CV605" i="2" a="1"/>
  <c r="CV605" i="2" s="1"/>
  <c r="CV173" i="2" a="1"/>
  <c r="CV173" i="2" s="1"/>
  <c r="CV401" i="2" a="1"/>
  <c r="CV401" i="2" s="1"/>
  <c r="CV317" i="2" a="1"/>
  <c r="CV317" i="2" s="1"/>
  <c r="CU275" i="2" a="1"/>
  <c r="CU275" i="2" s="1"/>
  <c r="CV121" i="2" a="1"/>
  <c r="CV121" i="2" s="1"/>
  <c r="CV79" i="2" a="1"/>
  <c r="CV79" i="2" s="1"/>
  <c r="CV65" i="2" a="1"/>
  <c r="CV65" i="2" s="1"/>
  <c r="CU671" i="2" a="1"/>
  <c r="CU671" i="2" s="1"/>
  <c r="CU531" i="2" a="1"/>
  <c r="CU531" i="2" s="1"/>
  <c r="CV517" i="2" a="1"/>
  <c r="CV517" i="2" s="1"/>
  <c r="CU13" i="2" a="1"/>
  <c r="CU13" i="2" s="1"/>
  <c r="CU619" i="2" a="1"/>
  <c r="CU619" i="2" s="1"/>
  <c r="CT325" i="2" a="1"/>
  <c r="CT325" i="2" s="1"/>
  <c r="CV623" i="2" a="1"/>
  <c r="CV623" i="2" s="1"/>
  <c r="CV595" i="2" a="1"/>
  <c r="CV595" i="2" s="1"/>
  <c r="CT343" i="2" a="1"/>
  <c r="CT343" i="2" s="1"/>
  <c r="CV245" i="2" a="1"/>
  <c r="CV245" i="2" s="1"/>
  <c r="CV487" i="2" a="1"/>
  <c r="CV487" i="2" s="1"/>
  <c r="CV249" i="2" a="1"/>
  <c r="CV249" i="2" s="1"/>
  <c r="CV561" i="2" a="1"/>
  <c r="CV561" i="2" s="1"/>
  <c r="CV449" i="2" a="1"/>
  <c r="CV449" i="2" s="1"/>
  <c r="CT351" i="2" a="1"/>
  <c r="CT351" i="2" s="1"/>
  <c r="CT323" i="2" a="1"/>
  <c r="CT323" i="2" s="1"/>
  <c r="CV281" i="2" a="1"/>
  <c r="CV281" i="2" s="1"/>
  <c r="CV155" i="2" a="1"/>
  <c r="CV155" i="2" s="1"/>
  <c r="CU621" i="2" a="1"/>
  <c r="CU621" i="2" s="1"/>
  <c r="CU551" i="2" a="1"/>
  <c r="CU551" i="2" s="1"/>
  <c r="CU89" i="2" a="1"/>
  <c r="CU89" i="2" s="1"/>
  <c r="CV685" i="2" a="1"/>
  <c r="CV685" i="2" s="1"/>
  <c r="CT591" i="2" a="1"/>
  <c r="CT591" i="2" s="1"/>
  <c r="CV33" i="2" a="1"/>
  <c r="CV33" i="2" s="1"/>
  <c r="CV527" i="2" a="1"/>
  <c r="CV527" i="2" s="1"/>
  <c r="CT433" i="2" a="1"/>
  <c r="CT433" i="2" s="1"/>
  <c r="CV279" i="2" a="1"/>
  <c r="CV279" i="2" s="1"/>
  <c r="CV577" i="2" a="1"/>
  <c r="CV577" i="2" s="1"/>
  <c r="CV479" i="2" a="1"/>
  <c r="CV479" i="2" s="1"/>
  <c r="CU441" i="2" a="1"/>
  <c r="CU441" i="2" s="1"/>
  <c r="CU127" i="2" a="1"/>
  <c r="CU127" i="2" s="1"/>
  <c r="CU593" i="2" a="1"/>
  <c r="CU593" i="2" s="1"/>
  <c r="CV433" i="2" a="1"/>
  <c r="CV433" i="2" s="1"/>
  <c r="CV335" i="2" a="1"/>
  <c r="CV335" i="2" s="1"/>
  <c r="CV83" i="2" a="1"/>
  <c r="CV83" i="2" s="1"/>
  <c r="CV41" i="2" a="1"/>
  <c r="CV41" i="2" s="1"/>
  <c r="CV381" i="2" a="1"/>
  <c r="CV381" i="2" s="1"/>
  <c r="CT413" i="2" a="1"/>
  <c r="CT413" i="2" s="1"/>
  <c r="CU655" i="2" a="1"/>
  <c r="CU655" i="2" s="1"/>
  <c r="CV641" i="2" a="1"/>
  <c r="CV641" i="2" s="1"/>
  <c r="CT151" i="2" a="1"/>
  <c r="CT151" i="2" s="1"/>
  <c r="CU645" i="2" a="1"/>
  <c r="CU645" i="2" s="1"/>
  <c r="CU589" i="2" a="1"/>
  <c r="CU589" i="2" s="1"/>
  <c r="CU561" i="2" a="1"/>
  <c r="CU561" i="2" s="1"/>
  <c r="CV533" i="2" a="1"/>
  <c r="CV533" i="2" s="1"/>
  <c r="CV267" i="2" a="1"/>
  <c r="CV267" i="2" s="1"/>
  <c r="CU183" i="2" a="1"/>
  <c r="CU183" i="2" s="1"/>
  <c r="CV15" i="2" a="1"/>
  <c r="CV15" i="2" s="1"/>
  <c r="CU187" i="2" a="1"/>
  <c r="CU187" i="2" s="1"/>
  <c r="CV606" i="2" a="1"/>
  <c r="CV606" i="2" s="1"/>
  <c r="CT494" i="2" a="1"/>
  <c r="CT494" i="2" s="1"/>
  <c r="CV452" i="2" a="1"/>
  <c r="CV452" i="2" s="1"/>
  <c r="CU410" i="2" a="1"/>
  <c r="CU410" i="2" s="1"/>
  <c r="CV382" i="2" a="1"/>
  <c r="CV382" i="2" s="1"/>
  <c r="CV298" i="2" a="1"/>
  <c r="CV298" i="2" s="1"/>
  <c r="CT256" i="2" a="1"/>
  <c r="CT256" i="2" s="1"/>
  <c r="CV228" i="2" a="1"/>
  <c r="CV228" i="2" s="1"/>
  <c r="CV102" i="2" a="1"/>
  <c r="CV102" i="2" s="1"/>
  <c r="CU74" i="2" a="1"/>
  <c r="CU74" i="2" s="1"/>
  <c r="CV498" i="2" a="1"/>
  <c r="CV498" i="2" s="1"/>
  <c r="CV414" i="2" a="1"/>
  <c r="CV414" i="2" s="1"/>
  <c r="CV316" i="2" a="1"/>
  <c r="CV316" i="2" s="1"/>
  <c r="CV260" i="2" a="1"/>
  <c r="CV260" i="2" s="1"/>
  <c r="CV176" i="2" a="1"/>
  <c r="CV176" i="2" s="1"/>
  <c r="CV8" i="2" a="1"/>
  <c r="CV8" i="2" s="1"/>
  <c r="CU698" i="2" a="1"/>
  <c r="CU698" i="2" s="1"/>
  <c r="CV684" i="2" a="1"/>
  <c r="CV684" i="2" s="1"/>
  <c r="CV656" i="2" a="1"/>
  <c r="CV656" i="2" s="1"/>
  <c r="CU488" i="2" a="1"/>
  <c r="CU488" i="2" s="1"/>
  <c r="CV432" i="2" a="1"/>
  <c r="CV432" i="2" s="1"/>
  <c r="CT646" i="2" a="1"/>
  <c r="CT646" i="2" s="1"/>
  <c r="CU590" i="2" a="1"/>
  <c r="CU590" i="2" s="1"/>
  <c r="CV562" i="2" a="1"/>
  <c r="CV562" i="2" s="1"/>
  <c r="CV534" i="2" a="1"/>
  <c r="CV534" i="2" s="1"/>
  <c r="CV450" i="2" a="1"/>
  <c r="CV450" i="2" s="1"/>
  <c r="CV352" i="2" a="1"/>
  <c r="CV352" i="2" s="1"/>
  <c r="CV226" i="2" a="1"/>
  <c r="CV226" i="2" s="1"/>
  <c r="CV100" i="2" a="1"/>
  <c r="CV100" i="2" s="1"/>
  <c r="CV622" i="2" a="1"/>
  <c r="CV622" i="2" s="1"/>
  <c r="CV314" i="2" a="1"/>
  <c r="CV314" i="2" s="1"/>
  <c r="CU696" i="2" a="1"/>
  <c r="CU696" i="2" s="1"/>
  <c r="CU654" i="2" a="1"/>
  <c r="CU654" i="2" s="1"/>
  <c r="CV640" i="2" a="1"/>
  <c r="CV640" i="2" s="1"/>
  <c r="CV612" i="2" a="1"/>
  <c r="CV612" i="2" s="1"/>
  <c r="CV528" i="2" a="1"/>
  <c r="CV528" i="2" s="1"/>
  <c r="CV500" i="2" a="1"/>
  <c r="CV500" i="2" s="1"/>
  <c r="CV430" i="2" a="1"/>
  <c r="CV430" i="2" s="1"/>
  <c r="CT416" i="2" a="1"/>
  <c r="CT416" i="2" s="1"/>
  <c r="CV346" i="2" a="1"/>
  <c r="CV346" i="2" s="1"/>
  <c r="CT220" i="2" a="1"/>
  <c r="CT220" i="2" s="1"/>
  <c r="CV136" i="2" a="1"/>
  <c r="CV136" i="2" s="1"/>
  <c r="CV686" i="2" a="1"/>
  <c r="CV686" i="2" s="1"/>
  <c r="CU560" i="2" a="1"/>
  <c r="CU560" i="2" s="1"/>
  <c r="CU490" i="2" a="1"/>
  <c r="CU490" i="2" s="1"/>
  <c r="CT28" i="2" a="1"/>
  <c r="CT28" i="2" s="1"/>
  <c r="CU563" i="2" a="1"/>
  <c r="CU563" i="2" s="1"/>
  <c r="CU695" i="2" a="1"/>
  <c r="CU695" i="2" s="1"/>
  <c r="CV135" i="2" a="1"/>
  <c r="CV135" i="2" s="1"/>
  <c r="CT223" i="2" a="1"/>
  <c r="CT223" i="2" s="1"/>
  <c r="CT116" i="2" a="1"/>
  <c r="CT116" i="2" s="1"/>
  <c r="CU334" i="2" a="1"/>
  <c r="CU334" i="2" s="1"/>
  <c r="CU489" i="2" a="1"/>
  <c r="CU489" i="2" s="1"/>
  <c r="CV103" i="2" a="1"/>
  <c r="CV103" i="2" s="1"/>
  <c r="CV377" i="2" a="1"/>
  <c r="CV377" i="2" s="1"/>
  <c r="CV633" i="2" a="1"/>
  <c r="CV633" i="2" s="1"/>
  <c r="CU465" i="2" a="1"/>
  <c r="CU465" i="2" s="1"/>
  <c r="CT465" i="2" a="1"/>
  <c r="CT465" i="2" s="1"/>
  <c r="CV465" i="2" a="1"/>
  <c r="CV465" i="2" s="1"/>
  <c r="CT451" i="2" a="1"/>
  <c r="CT451" i="2" s="1"/>
  <c r="CV451" i="2" a="1"/>
  <c r="CV451" i="2" s="1"/>
  <c r="CU451" i="2" a="1"/>
  <c r="CU451" i="2" s="1"/>
  <c r="CT437" i="2" a="1"/>
  <c r="CT437" i="2" s="1"/>
  <c r="CV437" i="2" a="1"/>
  <c r="CV437" i="2" s="1"/>
  <c r="CU437" i="2" a="1"/>
  <c r="CU437" i="2" s="1"/>
  <c r="CT423" i="2" a="1"/>
  <c r="CT423" i="2" s="1"/>
  <c r="CV423" i="2" a="1"/>
  <c r="CV423" i="2" s="1"/>
  <c r="CU423" i="2" a="1"/>
  <c r="CU423" i="2" s="1"/>
  <c r="CT409" i="2" a="1"/>
  <c r="CT409" i="2" s="1"/>
  <c r="CV409" i="2" a="1"/>
  <c r="CV409" i="2" s="1"/>
  <c r="CT395" i="2" a="1"/>
  <c r="CT395" i="2" s="1"/>
  <c r="CU395" i="2" a="1"/>
  <c r="CU395" i="2" s="1"/>
  <c r="CU381" i="2" a="1"/>
  <c r="CU381" i="2" s="1"/>
  <c r="CT381" i="2" a="1"/>
  <c r="CT381" i="2" s="1"/>
  <c r="CV367" i="2" a="1"/>
  <c r="CV367" i="2" s="1"/>
  <c r="CT367" i="2" a="1"/>
  <c r="CT367" i="2" s="1"/>
  <c r="CV353" i="2" a="1"/>
  <c r="CV353" i="2" s="1"/>
  <c r="CU353" i="2" a="1"/>
  <c r="CU353" i="2" s="1"/>
  <c r="CT353" i="2" a="1"/>
  <c r="CT353" i="2" s="1"/>
  <c r="CT339" i="2" a="1"/>
  <c r="CT339" i="2" s="1"/>
  <c r="CV339" i="2" a="1"/>
  <c r="CV339" i="2" s="1"/>
  <c r="CU339" i="2" a="1"/>
  <c r="CU339" i="2" s="1"/>
  <c r="CV325" i="2" a="1"/>
  <c r="CV325" i="2" s="1"/>
  <c r="CU325" i="2" a="1"/>
  <c r="CU325" i="2" s="1"/>
  <c r="CV311" i="2" a="1"/>
  <c r="CV311" i="2" s="1"/>
  <c r="CU311" i="2" a="1"/>
  <c r="CU311" i="2" s="1"/>
  <c r="CT311" i="2" a="1"/>
  <c r="CT311" i="2" s="1"/>
  <c r="CT297" i="2" a="1"/>
  <c r="CT297" i="2" s="1"/>
  <c r="CU297" i="2" a="1"/>
  <c r="CU297" i="2" s="1"/>
  <c r="CU283" i="2" a="1"/>
  <c r="CU283" i="2" s="1"/>
  <c r="CV283" i="2" a="1"/>
  <c r="CV283" i="2" s="1"/>
  <c r="CT283" i="2" a="1"/>
  <c r="CT283" i="2" s="1"/>
  <c r="CU269" i="2" a="1"/>
  <c r="CU269" i="2" s="1"/>
  <c r="CT269" i="2" a="1"/>
  <c r="CT269" i="2" s="1"/>
  <c r="CV269" i="2" a="1"/>
  <c r="CV269" i="2" s="1"/>
  <c r="CU255" i="2" a="1"/>
  <c r="CU255" i="2" s="1"/>
  <c r="CT255" i="2" a="1"/>
  <c r="CT255" i="2" s="1"/>
  <c r="CV255" i="2" a="1"/>
  <c r="CV255" i="2" s="1"/>
  <c r="CT241" i="2" a="1"/>
  <c r="CT241" i="2" s="1"/>
  <c r="CU241" i="2" a="1"/>
  <c r="CU241" i="2" s="1"/>
  <c r="CV241" i="2" a="1"/>
  <c r="CV241" i="2" s="1"/>
  <c r="CU227" i="2" a="1"/>
  <c r="CU227" i="2" s="1"/>
  <c r="CU213" i="2" a="1"/>
  <c r="CU213" i="2" s="1"/>
  <c r="CV213" i="2" a="1"/>
  <c r="CV213" i="2" s="1"/>
  <c r="CU199" i="2" a="1"/>
  <c r="CU199" i="2" s="1"/>
  <c r="CT199" i="2" a="1"/>
  <c r="CT199" i="2" s="1"/>
  <c r="CV199" i="2" a="1"/>
  <c r="CV199" i="2" s="1"/>
  <c r="CU185" i="2" a="1"/>
  <c r="CU185" i="2" s="1"/>
  <c r="CT185" i="2" a="1"/>
  <c r="CT185" i="2" s="1"/>
  <c r="CV185" i="2" a="1"/>
  <c r="CV185" i="2" s="1"/>
  <c r="CU171" i="2" a="1"/>
  <c r="CU171" i="2" s="1"/>
  <c r="CT171" i="2" a="1"/>
  <c r="CT171" i="2" s="1"/>
  <c r="CV171" i="2" a="1"/>
  <c r="CV171" i="2" s="1"/>
  <c r="CU157" i="2" a="1"/>
  <c r="CU157" i="2" s="1"/>
  <c r="CT157" i="2" a="1"/>
  <c r="CT157" i="2" s="1"/>
  <c r="CV157" i="2" a="1"/>
  <c r="CV157" i="2" s="1"/>
  <c r="CU143" i="2" a="1"/>
  <c r="CU143" i="2" s="1"/>
  <c r="CT143" i="2" a="1"/>
  <c r="CT143" i="2" s="1"/>
  <c r="CV143" i="2" a="1"/>
  <c r="CV143" i="2" s="1"/>
  <c r="CU129" i="2" a="1"/>
  <c r="CU129" i="2" s="1"/>
  <c r="CV129" i="2" a="1"/>
  <c r="CV129" i="2" s="1"/>
  <c r="CU115" i="2" a="1"/>
  <c r="CU115" i="2" s="1"/>
  <c r="CV115" i="2" a="1"/>
  <c r="CV115" i="2" s="1"/>
  <c r="CU101" i="2" a="1"/>
  <c r="CU101" i="2" s="1"/>
  <c r="CV101" i="2" a="1"/>
  <c r="CV101" i="2" s="1"/>
  <c r="CT101" i="2" a="1"/>
  <c r="CT101" i="2" s="1"/>
  <c r="CV87" i="2" a="1"/>
  <c r="CV87" i="2" s="1"/>
  <c r="CU87" i="2" a="1"/>
  <c r="CU87" i="2" s="1"/>
  <c r="CT87" i="2" a="1"/>
  <c r="CT87" i="2" s="1"/>
  <c r="CV73" i="2" a="1"/>
  <c r="CV73" i="2" s="1"/>
  <c r="CT73" i="2" a="1"/>
  <c r="CT73" i="2" s="1"/>
  <c r="CU73" i="2" a="1"/>
  <c r="CU73" i="2" s="1"/>
  <c r="CU59" i="2" a="1"/>
  <c r="CU59" i="2" s="1"/>
  <c r="CV59" i="2" a="1"/>
  <c r="CV59" i="2" s="1"/>
  <c r="CT59" i="2" a="1"/>
  <c r="CT59" i="2" s="1"/>
  <c r="CV45" i="2" a="1"/>
  <c r="CV45" i="2" s="1"/>
  <c r="CT45" i="2" a="1"/>
  <c r="CT45" i="2" s="1"/>
  <c r="CU45" i="2" a="1"/>
  <c r="CU45" i="2" s="1"/>
  <c r="CV31" i="2" a="1"/>
  <c r="CV31" i="2" s="1"/>
  <c r="CU31" i="2" a="1"/>
  <c r="CU31" i="2" s="1"/>
  <c r="CV17" i="2" a="1"/>
  <c r="CV17" i="2" s="1"/>
  <c r="CU17" i="2" a="1"/>
  <c r="CU17" i="2" s="1"/>
  <c r="CT3" i="2" a="1"/>
  <c r="CT3" i="2" s="1"/>
  <c r="CU3" i="2" a="1"/>
  <c r="CU3" i="2" s="1"/>
  <c r="CV3" i="2" a="1"/>
  <c r="CV3" i="2" s="1"/>
  <c r="CT693" i="2" a="1"/>
  <c r="CT693" i="2" s="1"/>
  <c r="CU693" i="2" a="1"/>
  <c r="CU693" i="2" s="1"/>
  <c r="CV693" i="2" a="1"/>
  <c r="CV693" i="2" s="1"/>
  <c r="CU679" i="2" a="1"/>
  <c r="CU679" i="2" s="1"/>
  <c r="CV679" i="2" a="1"/>
  <c r="CV679" i="2" s="1"/>
  <c r="CT679" i="2" a="1"/>
  <c r="CT679" i="2" s="1"/>
  <c r="CU665" i="2" a="1"/>
  <c r="CU665" i="2" s="1"/>
  <c r="CV665" i="2" a="1"/>
  <c r="CV665" i="2" s="1"/>
  <c r="CU651" i="2" a="1"/>
  <c r="CU651" i="2" s="1"/>
  <c r="CT651" i="2" a="1"/>
  <c r="CT651" i="2" s="1"/>
  <c r="CU637" i="2" a="1"/>
  <c r="CU637" i="2" s="1"/>
  <c r="CT637" i="2" a="1"/>
  <c r="CT637" i="2" s="1"/>
  <c r="CV637" i="2" a="1"/>
  <c r="CV637" i="2" s="1"/>
  <c r="CT623" i="2" a="1"/>
  <c r="CT623" i="2" s="1"/>
  <c r="CU623" i="2" a="1"/>
  <c r="CU623" i="2" s="1"/>
  <c r="CT609" i="2" a="1"/>
  <c r="CT609" i="2" s="1"/>
  <c r="CU609" i="2" a="1"/>
  <c r="CU609" i="2" s="1"/>
  <c r="CV609" i="2" a="1"/>
  <c r="CV609" i="2" s="1"/>
  <c r="CT595" i="2" a="1"/>
  <c r="CT595" i="2" s="1"/>
  <c r="CU595" i="2" a="1"/>
  <c r="CU595" i="2" s="1"/>
  <c r="CT581" i="2" a="1"/>
  <c r="CT581" i="2" s="1"/>
  <c r="CU581" i="2" a="1"/>
  <c r="CU581" i="2" s="1"/>
  <c r="CV581" i="2" a="1"/>
  <c r="CV581" i="2" s="1"/>
  <c r="CT567" i="2" a="1"/>
  <c r="CT567" i="2" s="1"/>
  <c r="CU567" i="2" a="1"/>
  <c r="CU567" i="2" s="1"/>
  <c r="CV567" i="2" a="1"/>
  <c r="CV567" i="2" s="1"/>
  <c r="CU553" i="2" a="1"/>
  <c r="CU553" i="2" s="1"/>
  <c r="CT553" i="2" a="1"/>
  <c r="CT553" i="2" s="1"/>
  <c r="CV553" i="2" a="1"/>
  <c r="CV553" i="2" s="1"/>
  <c r="CT539" i="2" a="1"/>
  <c r="CT539" i="2" s="1"/>
  <c r="CU539" i="2" a="1"/>
  <c r="CU539" i="2" s="1"/>
  <c r="CV539" i="2" a="1"/>
  <c r="CV539" i="2" s="1"/>
  <c r="CT525" i="2" a="1"/>
  <c r="CT525" i="2" s="1"/>
  <c r="CU525" i="2" a="1"/>
  <c r="CU525" i="2" s="1"/>
  <c r="CV525" i="2" a="1"/>
  <c r="CV525" i="2" s="1"/>
  <c r="CV511" i="2" a="1"/>
  <c r="CV511" i="2" s="1"/>
  <c r="CT511" i="2" a="1"/>
  <c r="CT511" i="2" s="1"/>
  <c r="CU511" i="2" a="1"/>
  <c r="CU511" i="2" s="1"/>
  <c r="CU497" i="2" a="1"/>
  <c r="CU497" i="2" s="1"/>
  <c r="CT497" i="2" a="1"/>
  <c r="CT497" i="2" s="1"/>
  <c r="CV497" i="2" a="1"/>
  <c r="CV497" i="2" s="1"/>
  <c r="CU483" i="2" a="1"/>
  <c r="CU483" i="2" s="1"/>
  <c r="CT483" i="2" a="1"/>
  <c r="CT483" i="2" s="1"/>
  <c r="CV483" i="2" a="1"/>
  <c r="CV483" i="2" s="1"/>
  <c r="CT469" i="2" a="1"/>
  <c r="CT469" i="2" s="1"/>
  <c r="CU469" i="2" a="1"/>
  <c r="CU469" i="2" s="1"/>
  <c r="CT455" i="2" a="1"/>
  <c r="CT455" i="2" s="1"/>
  <c r="CV455" i="2" a="1"/>
  <c r="CV455" i="2" s="1"/>
  <c r="CU455" i="2" a="1"/>
  <c r="CU455" i="2" s="1"/>
  <c r="CT441" i="2" a="1"/>
  <c r="CT441" i="2" s="1"/>
  <c r="CV441" i="2" a="1"/>
  <c r="CV441" i="2" s="1"/>
  <c r="CT427" i="2" a="1"/>
  <c r="CT427" i="2" s="1"/>
  <c r="CV427" i="2" a="1"/>
  <c r="CV427" i="2" s="1"/>
  <c r="CU427" i="2" a="1"/>
  <c r="CU427" i="2" s="1"/>
  <c r="CV413" i="2" a="1"/>
  <c r="CV413" i="2" s="1"/>
  <c r="CU399" i="2" a="1"/>
  <c r="CU399" i="2" s="1"/>
  <c r="CV399" i="2" a="1"/>
  <c r="CV399" i="2" s="1"/>
  <c r="CT399" i="2" a="1"/>
  <c r="CT399" i="2" s="1"/>
  <c r="CT385" i="2" a="1"/>
  <c r="CT385" i="2" s="1"/>
  <c r="CU385" i="2" a="1"/>
  <c r="CU385" i="2" s="1"/>
  <c r="CV385" i="2" a="1"/>
  <c r="CV385" i="2" s="1"/>
  <c r="CU371" i="2" a="1"/>
  <c r="CU371" i="2" s="1"/>
  <c r="CV371" i="2" a="1"/>
  <c r="CV371" i="2" s="1"/>
  <c r="CT371" i="2" a="1"/>
  <c r="CT371" i="2" s="1"/>
  <c r="CT357" i="2" a="1"/>
  <c r="CT357" i="2" s="1"/>
  <c r="CU357" i="2" a="1"/>
  <c r="CU357" i="2" s="1"/>
  <c r="CV357" i="2" a="1"/>
  <c r="CV357" i="2" s="1"/>
  <c r="CU343" i="2" a="1"/>
  <c r="CU343" i="2" s="1"/>
  <c r="CV343" i="2" a="1"/>
  <c r="CV343" i="2" s="1"/>
  <c r="CT329" i="2" a="1"/>
  <c r="CT329" i="2" s="1"/>
  <c r="CU329" i="2" a="1"/>
  <c r="CU329" i="2" s="1"/>
  <c r="CV329" i="2" a="1"/>
  <c r="CV329" i="2" s="1"/>
  <c r="CT315" i="2" a="1"/>
  <c r="CT315" i="2" s="1"/>
  <c r="CV315" i="2" a="1"/>
  <c r="CV315" i="2" s="1"/>
  <c r="CU315" i="2" a="1"/>
  <c r="CU315" i="2" s="1"/>
  <c r="CU301" i="2" a="1"/>
  <c r="CU301" i="2" s="1"/>
  <c r="CT301" i="2" a="1"/>
  <c r="CT301" i="2" s="1"/>
  <c r="CV301" i="2" a="1"/>
  <c r="CV301" i="2" s="1"/>
  <c r="CT287" i="2" a="1"/>
  <c r="CT287" i="2" s="1"/>
  <c r="CV287" i="2" a="1"/>
  <c r="CV287" i="2" s="1"/>
  <c r="CT273" i="2" a="1"/>
  <c r="CT273" i="2" s="1"/>
  <c r="CV273" i="2" a="1"/>
  <c r="CV273" i="2" s="1"/>
  <c r="CU273" i="2" a="1"/>
  <c r="CU273" i="2" s="1"/>
  <c r="CT259" i="2" a="1"/>
  <c r="CT259" i="2" s="1"/>
  <c r="CU259" i="2" a="1"/>
  <c r="CU259" i="2" s="1"/>
  <c r="CV259" i="2" a="1"/>
  <c r="CV259" i="2" s="1"/>
  <c r="CU245" i="2" a="1"/>
  <c r="CU245" i="2" s="1"/>
  <c r="CT231" i="2" a="1"/>
  <c r="CT231" i="2" s="1"/>
  <c r="CV231" i="2" a="1"/>
  <c r="CV231" i="2" s="1"/>
  <c r="CU231" i="2" a="1"/>
  <c r="CU231" i="2" s="1"/>
  <c r="CT217" i="2" a="1"/>
  <c r="CT217" i="2" s="1"/>
  <c r="CU217" i="2" a="1"/>
  <c r="CU217" i="2" s="1"/>
  <c r="CV217" i="2" a="1"/>
  <c r="CV217" i="2" s="1"/>
  <c r="CT203" i="2" a="1"/>
  <c r="CT203" i="2" s="1"/>
  <c r="CV203" i="2" a="1"/>
  <c r="CV203" i="2" s="1"/>
  <c r="CU203" i="2" a="1"/>
  <c r="CU203" i="2" s="1"/>
  <c r="CU189" i="2" a="1"/>
  <c r="CU189" i="2" s="1"/>
  <c r="CV189" i="2" a="1"/>
  <c r="CV189" i="2" s="1"/>
  <c r="CT189" i="2" a="1"/>
  <c r="CT189" i="2" s="1"/>
  <c r="CV175" i="2" a="1"/>
  <c r="CV175" i="2" s="1"/>
  <c r="CU175" i="2" a="1"/>
  <c r="CU175" i="2" s="1"/>
  <c r="CT175" i="2" a="1"/>
  <c r="CT175" i="2" s="1"/>
  <c r="CT161" i="2" a="1"/>
  <c r="CT161" i="2" s="1"/>
  <c r="CV161" i="2" a="1"/>
  <c r="CV161" i="2" s="1"/>
  <c r="CU161" i="2" a="1"/>
  <c r="CU161" i="2" s="1"/>
  <c r="CV147" i="2" a="1"/>
  <c r="CV147" i="2" s="1"/>
  <c r="CU147" i="2" a="1"/>
  <c r="CU147" i="2" s="1"/>
  <c r="CU133" i="2" a="1"/>
  <c r="CU133" i="2" s="1"/>
  <c r="CT133" i="2" a="1"/>
  <c r="CT133" i="2" s="1"/>
  <c r="CV133" i="2" a="1"/>
  <c r="CV133" i="2" s="1"/>
  <c r="CT119" i="2" a="1"/>
  <c r="CT119" i="2" s="1"/>
  <c r="CV119" i="2" a="1"/>
  <c r="CV119" i="2" s="1"/>
  <c r="CU119" i="2" a="1"/>
  <c r="CU119" i="2" s="1"/>
  <c r="CU105" i="2" a="1"/>
  <c r="CU105" i="2" s="1"/>
  <c r="CV105" i="2" a="1"/>
  <c r="CV105" i="2" s="1"/>
  <c r="CT105" i="2" a="1"/>
  <c r="CT105" i="2" s="1"/>
  <c r="CT91" i="2" a="1"/>
  <c r="CT91" i="2" s="1"/>
  <c r="CU91" i="2" a="1"/>
  <c r="CU91" i="2" s="1"/>
  <c r="CV91" i="2" a="1"/>
  <c r="CV91" i="2" s="1"/>
  <c r="CT77" i="2" a="1"/>
  <c r="CT77" i="2" s="1"/>
  <c r="CV77" i="2" a="1"/>
  <c r="CV77" i="2" s="1"/>
  <c r="CU77" i="2" a="1"/>
  <c r="CU77" i="2" s="1"/>
  <c r="CU63" i="2" a="1"/>
  <c r="CU63" i="2" s="1"/>
  <c r="CV63" i="2" a="1"/>
  <c r="CV63" i="2" s="1"/>
  <c r="CV49" i="2" a="1"/>
  <c r="CV49" i="2" s="1"/>
  <c r="CU49" i="2" a="1"/>
  <c r="CU49" i="2" s="1"/>
  <c r="CT35" i="2" a="1"/>
  <c r="CT35" i="2" s="1"/>
  <c r="CU35" i="2" a="1"/>
  <c r="CU35" i="2" s="1"/>
  <c r="CT21" i="2" a="1"/>
  <c r="CT21" i="2" s="1"/>
  <c r="CV21" i="2" a="1"/>
  <c r="CV21" i="2" s="1"/>
  <c r="CU21" i="2" a="1"/>
  <c r="CU21" i="2" s="1"/>
  <c r="CT7" i="2" a="1"/>
  <c r="CT7" i="2" s="1"/>
  <c r="CU7" i="2" a="1"/>
  <c r="CU7" i="2" s="1"/>
  <c r="CV7" i="2" a="1"/>
  <c r="CV7" i="2" s="1"/>
  <c r="CT697" i="2" a="1"/>
  <c r="CT697" i="2" s="1"/>
  <c r="CU697" i="2" a="1"/>
  <c r="CU697" i="2" s="1"/>
  <c r="CV697" i="2" a="1"/>
  <c r="CV697" i="2" s="1"/>
  <c r="CT683" i="2" a="1"/>
  <c r="CT683" i="2" s="1"/>
  <c r="CU683" i="2" a="1"/>
  <c r="CU683" i="2" s="1"/>
  <c r="CT669" i="2" a="1"/>
  <c r="CT669" i="2" s="1"/>
  <c r="CU669" i="2" a="1"/>
  <c r="CU669" i="2" s="1"/>
  <c r="CT655" i="2" a="1"/>
  <c r="CT655" i="2" s="1"/>
  <c r="CV655" i="2" a="1"/>
  <c r="CV655" i="2" s="1"/>
  <c r="CT641" i="2" a="1"/>
  <c r="CT641" i="2" s="1"/>
  <c r="CU641" i="2" a="1"/>
  <c r="CU641" i="2" s="1"/>
  <c r="CU627" i="2" a="1"/>
  <c r="CU627" i="2" s="1"/>
  <c r="CV627" i="2" a="1"/>
  <c r="CV627" i="2" s="1"/>
  <c r="CT627" i="2" a="1"/>
  <c r="CT627" i="2" s="1"/>
  <c r="CT613" i="2" a="1"/>
  <c r="CT613" i="2" s="1"/>
  <c r="CU613" i="2" a="1"/>
  <c r="CU613" i="2" s="1"/>
  <c r="CV613" i="2" a="1"/>
  <c r="CV613" i="2" s="1"/>
  <c r="CT599" i="2" a="1"/>
  <c r="CT599" i="2" s="1"/>
  <c r="CU599" i="2" a="1"/>
  <c r="CU599" i="2" s="1"/>
  <c r="CV599" i="2" a="1"/>
  <c r="CV599" i="2" s="1"/>
  <c r="CT585" i="2" a="1"/>
  <c r="CT585" i="2" s="1"/>
  <c r="CV585" i="2" a="1"/>
  <c r="CV585" i="2" s="1"/>
  <c r="CU585" i="2" a="1"/>
  <c r="CU585" i="2" s="1"/>
  <c r="CT571" i="2" a="1"/>
  <c r="CT571" i="2" s="1"/>
  <c r="CU571" i="2" a="1"/>
  <c r="CU571" i="2" s="1"/>
  <c r="CV571" i="2" a="1"/>
  <c r="CV571" i="2" s="1"/>
  <c r="CU557" i="2" a="1"/>
  <c r="CU557" i="2" s="1"/>
  <c r="CT557" i="2" a="1"/>
  <c r="CT557" i="2" s="1"/>
  <c r="CV557" i="2" a="1"/>
  <c r="CV557" i="2" s="1"/>
  <c r="CT543" i="2" a="1"/>
  <c r="CT543" i="2" s="1"/>
  <c r="CU543" i="2" a="1"/>
  <c r="CU543" i="2" s="1"/>
  <c r="CV543" i="2" a="1"/>
  <c r="CV543" i="2" s="1"/>
  <c r="CT529" i="2" a="1"/>
  <c r="CT529" i="2" s="1"/>
  <c r="CV529" i="2" a="1"/>
  <c r="CV529" i="2" s="1"/>
  <c r="CU529" i="2" a="1"/>
  <c r="CU529" i="2" s="1"/>
  <c r="CT515" i="2" a="1"/>
  <c r="CT515" i="2" s="1"/>
  <c r="CV515" i="2" a="1"/>
  <c r="CV515" i="2" s="1"/>
  <c r="CU515" i="2" a="1"/>
  <c r="CU515" i="2" s="1"/>
  <c r="CT501" i="2" a="1"/>
  <c r="CT501" i="2" s="1"/>
  <c r="CU501" i="2" a="1"/>
  <c r="CU501" i="2" s="1"/>
  <c r="CU487" i="2" a="1"/>
  <c r="CU487" i="2" s="1"/>
  <c r="CT487" i="2" a="1"/>
  <c r="CT487" i="2" s="1"/>
  <c r="CT473" i="2" a="1"/>
  <c r="CT473" i="2" s="1"/>
  <c r="CU473" i="2" a="1"/>
  <c r="CU473" i="2" s="1"/>
  <c r="CV473" i="2" a="1"/>
  <c r="CV473" i="2" s="1"/>
  <c r="CT459" i="2" a="1"/>
  <c r="CT459" i="2" s="1"/>
  <c r="CU459" i="2" a="1"/>
  <c r="CU459" i="2" s="1"/>
  <c r="CV459" i="2" a="1"/>
  <c r="CV459" i="2" s="1"/>
  <c r="CT445" i="2" a="1"/>
  <c r="CT445" i="2" s="1"/>
  <c r="CU445" i="2" a="1"/>
  <c r="CU445" i="2" s="1"/>
  <c r="CV445" i="2" a="1"/>
  <c r="CV445" i="2" s="1"/>
  <c r="CT431" i="2" a="1"/>
  <c r="CT431" i="2" s="1"/>
  <c r="CV431" i="2" a="1"/>
  <c r="CV431" i="2" s="1"/>
  <c r="CU431" i="2" a="1"/>
  <c r="CU431" i="2" s="1"/>
  <c r="CT417" i="2" a="1"/>
  <c r="CT417" i="2" s="1"/>
  <c r="CU417" i="2" a="1"/>
  <c r="CU417" i="2" s="1"/>
  <c r="CV417" i="2" a="1"/>
  <c r="CV417" i="2" s="1"/>
  <c r="CU403" i="2" a="1"/>
  <c r="CU403" i="2" s="1"/>
  <c r="CV403" i="2" a="1"/>
  <c r="CV403" i="2" s="1"/>
  <c r="CT403" i="2" a="1"/>
  <c r="CT403" i="2" s="1"/>
  <c r="CU389" i="2" a="1"/>
  <c r="CU389" i="2" s="1"/>
  <c r="CT389" i="2" a="1"/>
  <c r="CT389" i="2" s="1"/>
  <c r="CV389" i="2" a="1"/>
  <c r="CV389" i="2" s="1"/>
  <c r="CT375" i="2" a="1"/>
  <c r="CT375" i="2" s="1"/>
  <c r="CU375" i="2" a="1"/>
  <c r="CU375" i="2" s="1"/>
  <c r="CV375" i="2" a="1"/>
  <c r="CV375" i="2" s="1"/>
  <c r="CU361" i="2" a="1"/>
  <c r="CU361" i="2" s="1"/>
  <c r="CV361" i="2" a="1"/>
  <c r="CV361" i="2" s="1"/>
  <c r="CT361" i="2" a="1"/>
  <c r="CT361" i="2" s="1"/>
  <c r="CT347" i="2" a="1"/>
  <c r="CT347" i="2" s="1"/>
  <c r="CU347" i="2" a="1"/>
  <c r="CU347" i="2" s="1"/>
  <c r="CU333" i="2" a="1"/>
  <c r="CU333" i="2" s="1"/>
  <c r="CT333" i="2" a="1"/>
  <c r="CT333" i="2" s="1"/>
  <c r="CV333" i="2" a="1"/>
  <c r="CV333" i="2" s="1"/>
  <c r="CT319" i="2" a="1"/>
  <c r="CT319" i="2" s="1"/>
  <c r="CU319" i="2" a="1"/>
  <c r="CU319" i="2" s="1"/>
  <c r="CV319" i="2" a="1"/>
  <c r="CV319" i="2" s="1"/>
  <c r="CT305" i="2" a="1"/>
  <c r="CT305" i="2" s="1"/>
  <c r="CV305" i="2" a="1"/>
  <c r="CV305" i="2" s="1"/>
  <c r="CU305" i="2" a="1"/>
  <c r="CU305" i="2" s="1"/>
  <c r="CT291" i="2" a="1"/>
  <c r="CT291" i="2" s="1"/>
  <c r="CV291" i="2" a="1"/>
  <c r="CV291" i="2" s="1"/>
  <c r="CU291" i="2" a="1"/>
  <c r="CU291" i="2" s="1"/>
  <c r="CT277" i="2" a="1"/>
  <c r="CT277" i="2" s="1"/>
  <c r="CU277" i="2" a="1"/>
  <c r="CU277" i="2" s="1"/>
  <c r="CV277" i="2" a="1"/>
  <c r="CV277" i="2" s="1"/>
  <c r="CT263" i="2" a="1"/>
  <c r="CT263" i="2" s="1"/>
  <c r="CU263" i="2" a="1"/>
  <c r="CU263" i="2" s="1"/>
  <c r="CV263" i="2" a="1"/>
  <c r="CV263" i="2" s="1"/>
  <c r="CT249" i="2" a="1"/>
  <c r="CT249" i="2" s="1"/>
  <c r="CU249" i="2" a="1"/>
  <c r="CU249" i="2" s="1"/>
  <c r="CT235" i="2" a="1"/>
  <c r="CT235" i="2" s="1"/>
  <c r="CU235" i="2" a="1"/>
  <c r="CU235" i="2" s="1"/>
  <c r="CV235" i="2" a="1"/>
  <c r="CV235" i="2" s="1"/>
  <c r="CT221" i="2" a="1"/>
  <c r="CT221" i="2" s="1"/>
  <c r="CV221" i="2" a="1"/>
  <c r="CV221" i="2" s="1"/>
  <c r="CU207" i="2" a="1"/>
  <c r="CU207" i="2" s="1"/>
  <c r="CT207" i="2" a="1"/>
  <c r="CT207" i="2" s="1"/>
  <c r="CT193" i="2" a="1"/>
  <c r="CT193" i="2" s="1"/>
  <c r="CU193" i="2" a="1"/>
  <c r="CU193" i="2" s="1"/>
  <c r="CV193" i="2" a="1"/>
  <c r="CV193" i="2" s="1"/>
  <c r="CT179" i="2" a="1"/>
  <c r="CT179" i="2" s="1"/>
  <c r="CU179" i="2" a="1"/>
  <c r="CU179" i="2" s="1"/>
  <c r="CV179" i="2" a="1"/>
  <c r="CV179" i="2" s="1"/>
  <c r="CT165" i="2" a="1"/>
  <c r="CT165" i="2" s="1"/>
  <c r="CU165" i="2" a="1"/>
  <c r="CU165" i="2" s="1"/>
  <c r="CV165" i="2" a="1"/>
  <c r="CV165" i="2" s="1"/>
  <c r="CU151" i="2" a="1"/>
  <c r="CU151" i="2" s="1"/>
  <c r="CV151" i="2" a="1"/>
  <c r="CV151" i="2" s="1"/>
  <c r="CT137" i="2" a="1"/>
  <c r="CT137" i="2" s="1"/>
  <c r="CU137" i="2" a="1"/>
  <c r="CU137" i="2" s="1"/>
  <c r="CV137" i="2" a="1"/>
  <c r="CV137" i="2" s="1"/>
  <c r="CT123" i="2" a="1"/>
  <c r="CT123" i="2" s="1"/>
  <c r="CU123" i="2" a="1"/>
  <c r="CU123" i="2" s="1"/>
  <c r="CV123" i="2" a="1"/>
  <c r="CV123" i="2" s="1"/>
  <c r="CT109" i="2" a="1"/>
  <c r="CT109" i="2" s="1"/>
  <c r="CU109" i="2" a="1"/>
  <c r="CU109" i="2" s="1"/>
  <c r="CV109" i="2" a="1"/>
  <c r="CV109" i="2" s="1"/>
  <c r="CT95" i="2" a="1"/>
  <c r="CT95" i="2" s="1"/>
  <c r="CU95" i="2" a="1"/>
  <c r="CU95" i="2" s="1"/>
  <c r="CT81" i="2" a="1"/>
  <c r="CT81" i="2" s="1"/>
  <c r="CU81" i="2" a="1"/>
  <c r="CU81" i="2" s="1"/>
  <c r="CU67" i="2" a="1"/>
  <c r="CU67" i="2" s="1"/>
  <c r="CT67" i="2" a="1"/>
  <c r="CT67" i="2" s="1"/>
  <c r="CV67" i="2" a="1"/>
  <c r="CV67" i="2" s="1"/>
  <c r="CT53" i="2" a="1"/>
  <c r="CT53" i="2" s="1"/>
  <c r="CU53" i="2" a="1"/>
  <c r="CU53" i="2" s="1"/>
  <c r="CV53" i="2" a="1"/>
  <c r="CV53" i="2" s="1"/>
  <c r="CT39" i="2" a="1"/>
  <c r="CT39" i="2" s="1"/>
  <c r="CU39" i="2" a="1"/>
  <c r="CU39" i="2" s="1"/>
  <c r="CV39" i="2" a="1"/>
  <c r="CV39" i="2" s="1"/>
  <c r="CT25" i="2" a="1"/>
  <c r="CT25" i="2" s="1"/>
  <c r="CV25" i="2" a="1"/>
  <c r="CV25" i="2" s="1"/>
  <c r="CU25" i="2" a="1"/>
  <c r="CU25" i="2" s="1"/>
  <c r="CT11" i="2" a="1"/>
  <c r="CT11" i="2" s="1"/>
  <c r="CV11" i="2" a="1"/>
  <c r="CV11" i="2" s="1"/>
  <c r="CU11" i="2" a="1"/>
  <c r="CU11" i="2" s="1"/>
  <c r="CV92" i="2" a="1"/>
  <c r="CV92" i="2" s="1"/>
  <c r="CU642" i="2" a="1"/>
  <c r="CU642" i="2" s="1"/>
  <c r="CU544" i="2" a="1"/>
  <c r="CU544" i="2" s="1"/>
  <c r="CV488" i="2" a="1"/>
  <c r="CV488" i="2" s="1"/>
  <c r="CU348" i="2" a="1"/>
  <c r="CU348" i="2" s="1"/>
  <c r="CV250" i="2" a="1"/>
  <c r="CV250" i="2" s="1"/>
  <c r="CU152" i="2" a="1"/>
  <c r="CU152" i="2" s="1"/>
  <c r="CV124" i="2" a="1"/>
  <c r="CV124" i="2" s="1"/>
  <c r="CV68" i="2" a="1"/>
  <c r="CV68" i="2" s="1"/>
  <c r="CU660" i="2" a="1"/>
  <c r="CU660" i="2" s="1"/>
  <c r="CT618" i="2" a="1"/>
  <c r="CT618" i="2" s="1"/>
  <c r="CV659" i="2" a="1"/>
  <c r="CV659" i="2" s="1"/>
  <c r="CV631" i="2" a="1"/>
  <c r="CV631" i="2" s="1"/>
  <c r="CV519" i="2" a="1"/>
  <c r="CV519" i="2" s="1"/>
  <c r="CT463" i="2" a="1"/>
  <c r="CT463" i="2" s="1"/>
  <c r="CV435" i="2" a="1"/>
  <c r="CV435" i="2" s="1"/>
  <c r="CU435" i="2" a="1"/>
  <c r="CU435" i="2" s="1"/>
  <c r="CV407" i="2" a="1"/>
  <c r="CV407" i="2" s="1"/>
  <c r="CU393" i="2" a="1"/>
  <c r="CU393" i="2" s="1"/>
  <c r="CV379" i="2" a="1"/>
  <c r="CV379" i="2" s="1"/>
  <c r="CU379" i="2" a="1"/>
  <c r="CU379" i="2" s="1"/>
  <c r="CU365" i="2" a="1"/>
  <c r="CU365" i="2" s="1"/>
  <c r="CV351" i="2" a="1"/>
  <c r="CV351" i="2" s="1"/>
  <c r="CU337" i="2" a="1"/>
  <c r="CU337" i="2" s="1"/>
  <c r="CV337" i="2" a="1"/>
  <c r="CV337" i="2" s="1"/>
  <c r="CU323" i="2" a="1"/>
  <c r="CU323" i="2" s="1"/>
  <c r="CV309" i="2" a="1"/>
  <c r="CV309" i="2" s="1"/>
  <c r="CT295" i="2" a="1"/>
  <c r="CT295" i="2" s="1"/>
  <c r="CU295" i="2" a="1"/>
  <c r="CU295" i="2" s="1"/>
  <c r="CU281" i="2" a="1"/>
  <c r="CU281" i="2" s="1"/>
  <c r="CV253" i="2" a="1"/>
  <c r="CV253" i="2" s="1"/>
  <c r="CU253" i="2" a="1"/>
  <c r="CU253" i="2" s="1"/>
  <c r="CU239" i="2" a="1"/>
  <c r="CU239" i="2" s="1"/>
  <c r="CV239" i="2" a="1"/>
  <c r="CV239" i="2" s="1"/>
  <c r="CU225" i="2" a="1"/>
  <c r="CU225" i="2" s="1"/>
  <c r="CV225" i="2" a="1"/>
  <c r="CV225" i="2" s="1"/>
  <c r="CU211" i="2" a="1"/>
  <c r="CU211" i="2" s="1"/>
  <c r="CV211" i="2" a="1"/>
  <c r="CV211" i="2" s="1"/>
  <c r="CU169" i="2" a="1"/>
  <c r="CU169" i="2" s="1"/>
  <c r="CV169" i="2" a="1"/>
  <c r="CV169" i="2" s="1"/>
  <c r="CU155" i="2" a="1"/>
  <c r="CU155" i="2" s="1"/>
  <c r="CU141" i="2" a="1"/>
  <c r="CU141" i="2" s="1"/>
  <c r="CV141" i="2" a="1"/>
  <c r="CV141" i="2" s="1"/>
  <c r="CV127" i="2" a="1"/>
  <c r="CV127" i="2" s="1"/>
  <c r="CV113" i="2" a="1"/>
  <c r="CV113" i="2" s="1"/>
  <c r="CV85" i="2" a="1"/>
  <c r="CV85" i="2" s="1"/>
  <c r="CV71" i="2" a="1"/>
  <c r="CV71" i="2" s="1"/>
  <c r="CV43" i="2" a="1"/>
  <c r="CV43" i="2" s="1"/>
  <c r="CV705" i="2" a="1"/>
  <c r="CV705" i="2" s="1"/>
  <c r="CU705" i="2" a="1"/>
  <c r="CU705" i="2" s="1"/>
  <c r="CU691" i="2" a="1"/>
  <c r="CU691" i="2" s="1"/>
  <c r="CV691" i="2" a="1"/>
  <c r="CV691" i="2" s="1"/>
  <c r="CU677" i="2" a="1"/>
  <c r="CU677" i="2" s="1"/>
  <c r="CU663" i="2" a="1"/>
  <c r="CU663" i="2" s="1"/>
  <c r="CV663" i="2" a="1"/>
  <c r="CV663" i="2" s="1"/>
  <c r="CU649" i="2" a="1"/>
  <c r="CU649" i="2" s="1"/>
  <c r="CV649" i="2" a="1"/>
  <c r="CV649" i="2" s="1"/>
  <c r="CV635" i="2" a="1"/>
  <c r="CV635" i="2" s="1"/>
  <c r="CV621" i="2" a="1"/>
  <c r="CV621" i="2" s="1"/>
  <c r="CU607" i="2" a="1"/>
  <c r="CU607" i="2" s="1"/>
  <c r="CV593" i="2" a="1"/>
  <c r="CV593" i="2" s="1"/>
  <c r="CV565" i="2" a="1"/>
  <c r="CV565" i="2" s="1"/>
  <c r="CT551" i="2" a="1"/>
  <c r="CT551" i="2" s="1"/>
  <c r="CV551" i="2" a="1"/>
  <c r="CV551" i="2" s="1"/>
  <c r="CU537" i="2" a="1"/>
  <c r="CU537" i="2" s="1"/>
  <c r="CV537" i="2" a="1"/>
  <c r="CV537" i="2" s="1"/>
  <c r="CT537" i="2" a="1"/>
  <c r="CT537" i="2" s="1"/>
  <c r="CU523" i="2" a="1"/>
  <c r="CU523" i="2" s="1"/>
  <c r="CV523" i="2" a="1"/>
  <c r="CV523" i="2" s="1"/>
  <c r="CT523" i="2" a="1"/>
  <c r="CT523" i="2" s="1"/>
  <c r="CT509" i="2" a="1"/>
  <c r="CT509" i="2" s="1"/>
  <c r="CV509" i="2" a="1"/>
  <c r="CV509" i="2" s="1"/>
  <c r="CV495" i="2" a="1"/>
  <c r="CV495" i="2" s="1"/>
  <c r="CU481" i="2" a="1"/>
  <c r="CU481" i="2" s="1"/>
  <c r="CV467" i="2" a="1"/>
  <c r="CV467" i="2" s="1"/>
  <c r="CV453" i="2" a="1"/>
  <c r="CV453" i="2" s="1"/>
  <c r="CV439" i="2" a="1"/>
  <c r="CV439" i="2" s="1"/>
  <c r="CU425" i="2" a="1"/>
  <c r="CU425" i="2" s="1"/>
  <c r="CV425" i="2" a="1"/>
  <c r="CV425" i="2" s="1"/>
  <c r="CT411" i="2" a="1"/>
  <c r="CT411" i="2" s="1"/>
  <c r="CV411" i="2" a="1"/>
  <c r="CV411" i="2" s="1"/>
  <c r="CV397" i="2" a="1"/>
  <c r="CV397" i="2" s="1"/>
  <c r="CT397" i="2" a="1"/>
  <c r="CT397" i="2" s="1"/>
  <c r="CU397" i="2" a="1"/>
  <c r="CU397" i="2" s="1"/>
  <c r="CU383" i="2" a="1"/>
  <c r="CU383" i="2" s="1"/>
  <c r="CT369" i="2" a="1"/>
  <c r="CT369" i="2" s="1"/>
  <c r="CV369" i="2" a="1"/>
  <c r="CV369" i="2" s="1"/>
  <c r="CU355" i="2" a="1"/>
  <c r="CU355" i="2" s="1"/>
  <c r="CV355" i="2" a="1"/>
  <c r="CV355" i="2" s="1"/>
  <c r="CU341" i="2" a="1"/>
  <c r="CU341" i="2" s="1"/>
  <c r="CV341" i="2" a="1"/>
  <c r="CV341" i="2" s="1"/>
  <c r="CT341" i="2" a="1"/>
  <c r="CT341" i="2" s="1"/>
  <c r="CU327" i="2" a="1"/>
  <c r="CU327" i="2" s="1"/>
  <c r="CV327" i="2" a="1"/>
  <c r="CV327" i="2" s="1"/>
  <c r="CU313" i="2" a="1"/>
  <c r="CU313" i="2" s="1"/>
  <c r="CV313" i="2" a="1"/>
  <c r="CV313" i="2" s="1"/>
  <c r="CT299" i="2" a="1"/>
  <c r="CT299" i="2" s="1"/>
  <c r="CT285" i="2" a="1"/>
  <c r="CT285" i="2" s="1"/>
  <c r="CU285" i="2" a="1"/>
  <c r="CU285" i="2" s="1"/>
  <c r="CV271" i="2" a="1"/>
  <c r="CV271" i="2" s="1"/>
  <c r="CV257" i="2" a="1"/>
  <c r="CV257" i="2" s="1"/>
  <c r="CV243" i="2" a="1"/>
  <c r="CV243" i="2" s="1"/>
  <c r="CU229" i="2" a="1"/>
  <c r="CU229" i="2" s="1"/>
  <c r="CV215" i="2" a="1"/>
  <c r="CV215" i="2" s="1"/>
  <c r="CV201" i="2" a="1"/>
  <c r="CV201" i="2" s="1"/>
  <c r="CT173" i="2" a="1"/>
  <c r="CT173" i="2" s="1"/>
  <c r="CV159" i="2" a="1"/>
  <c r="CV159" i="2" s="1"/>
  <c r="CT159" i="2" a="1"/>
  <c r="CT159" i="2" s="1"/>
  <c r="CU159" i="2" a="1"/>
  <c r="CU159" i="2" s="1"/>
  <c r="CV145" i="2" a="1"/>
  <c r="CV145" i="2" s="1"/>
  <c r="CV131" i="2" a="1"/>
  <c r="CV131" i="2" s="1"/>
  <c r="CV117" i="2" a="1"/>
  <c r="CV117" i="2" s="1"/>
  <c r="CU117" i="2" a="1"/>
  <c r="CU117" i="2" s="1"/>
  <c r="CT103" i="2" a="1"/>
  <c r="CT103" i="2" s="1"/>
  <c r="CV89" i="2" a="1"/>
  <c r="CV89" i="2" s="1"/>
  <c r="CU75" i="2" a="1"/>
  <c r="CU75" i="2" s="1"/>
  <c r="CT75" i="2" a="1"/>
  <c r="CT75" i="2" s="1"/>
  <c r="CV61" i="2" a="1"/>
  <c r="CV61" i="2" s="1"/>
  <c r="CU61" i="2" a="1"/>
  <c r="CU61" i="2" s="1"/>
  <c r="CV47" i="2" a="1"/>
  <c r="CV47" i="2" s="1"/>
  <c r="CV19" i="2" a="1"/>
  <c r="CV19" i="2" s="1"/>
  <c r="CU19" i="2" a="1"/>
  <c r="CU19" i="2" s="1"/>
  <c r="CT5" i="2" a="1"/>
  <c r="CT5" i="2" s="1"/>
  <c r="CU5" i="2" a="1"/>
  <c r="CU5" i="2" s="1"/>
  <c r="CV5" i="2" a="1"/>
  <c r="CV5" i="2" s="1"/>
  <c r="CV695" i="2" a="1"/>
  <c r="CV695" i="2" s="1"/>
  <c r="CV681" i="2" a="1"/>
  <c r="CV681" i="2" s="1"/>
  <c r="CT681" i="2" a="1"/>
  <c r="CT681" i="2" s="1"/>
  <c r="CT667" i="2" a="1"/>
  <c r="CT667" i="2" s="1"/>
  <c r="CU667" i="2" a="1"/>
  <c r="CU667" i="2" s="1"/>
  <c r="CT653" i="2" a="1"/>
  <c r="CT653" i="2" s="1"/>
  <c r="CV653" i="2" a="1"/>
  <c r="CV653" i="2" s="1"/>
  <c r="CU653" i="2" a="1"/>
  <c r="CU653" i="2" s="1"/>
  <c r="CV639" i="2" a="1"/>
  <c r="CV639" i="2" s="1"/>
  <c r="CU639" i="2" a="1"/>
  <c r="CU639" i="2" s="1"/>
  <c r="CT625" i="2" a="1"/>
  <c r="CT625" i="2" s="1"/>
  <c r="CV625" i="2" a="1"/>
  <c r="CV625" i="2" s="1"/>
  <c r="CU611" i="2" a="1"/>
  <c r="CU611" i="2" s="1"/>
  <c r="CV611" i="2" a="1"/>
  <c r="CV611" i="2" s="1"/>
  <c r="CT597" i="2" a="1"/>
  <c r="CT597" i="2" s="1"/>
  <c r="CV597" i="2" a="1"/>
  <c r="CV597" i="2" s="1"/>
  <c r="CT583" i="2" a="1"/>
  <c r="CT583" i="2" s="1"/>
  <c r="CV583" i="2" a="1"/>
  <c r="CV583" i="2" s="1"/>
  <c r="CU583" i="2" a="1"/>
  <c r="CU583" i="2" s="1"/>
  <c r="CT569" i="2" a="1"/>
  <c r="CT569" i="2" s="1"/>
  <c r="CU569" i="2" a="1"/>
  <c r="CU569" i="2" s="1"/>
  <c r="CV569" i="2" a="1"/>
  <c r="CV569" i="2" s="1"/>
  <c r="CU555" i="2" a="1"/>
  <c r="CU555" i="2" s="1"/>
  <c r="CV555" i="2" a="1"/>
  <c r="CV555" i="2" s="1"/>
  <c r="CV541" i="2" a="1"/>
  <c r="CV541" i="2" s="1"/>
  <c r="CT541" i="2" a="1"/>
  <c r="CT541" i="2" s="1"/>
  <c r="CU541" i="2" a="1"/>
  <c r="CU541" i="2" s="1"/>
  <c r="CT527" i="2" a="1"/>
  <c r="CT527" i="2" s="1"/>
  <c r="CU513" i="2" a="1"/>
  <c r="CU513" i="2" s="1"/>
  <c r="CV513" i="2" a="1"/>
  <c r="CV513" i="2" s="1"/>
  <c r="CU499" i="2" a="1"/>
  <c r="CU499" i="2" s="1"/>
  <c r="CT485" i="2" a="1"/>
  <c r="CT485" i="2" s="1"/>
  <c r="CV485" i="2" a="1"/>
  <c r="CV485" i="2" s="1"/>
  <c r="CV471" i="2" a="1"/>
  <c r="CV471" i="2" s="1"/>
  <c r="CU471" i="2" a="1"/>
  <c r="CU471" i="2" s="1"/>
  <c r="CU457" i="2" a="1"/>
  <c r="CU457" i="2" s="1"/>
  <c r="CT457" i="2" a="1"/>
  <c r="CT457" i="2" s="1"/>
  <c r="CV457" i="2" a="1"/>
  <c r="CV457" i="2" s="1"/>
  <c r="CV443" i="2" a="1"/>
  <c r="CV443" i="2" s="1"/>
  <c r="CU443" i="2" a="1"/>
  <c r="CU443" i="2" s="1"/>
  <c r="CT429" i="2" a="1"/>
  <c r="CT429" i="2" s="1"/>
  <c r="CV429" i="2" a="1"/>
  <c r="CV429" i="2" s="1"/>
  <c r="CU415" i="2" a="1"/>
  <c r="CU415" i="2" s="1"/>
  <c r="CU401" i="2" a="1"/>
  <c r="CU401" i="2" s="1"/>
  <c r="CV387" i="2" a="1"/>
  <c r="CV387" i="2" s="1"/>
  <c r="CU387" i="2" a="1"/>
  <c r="CU387" i="2" s="1"/>
  <c r="CU373" i="2" a="1"/>
  <c r="CU373" i="2" s="1"/>
  <c r="CT373" i="2" a="1"/>
  <c r="CT373" i="2" s="1"/>
  <c r="CV373" i="2" a="1"/>
  <c r="CV373" i="2" s="1"/>
  <c r="CV359" i="2" a="1"/>
  <c r="CV359" i="2" s="1"/>
  <c r="CT359" i="2" a="1"/>
  <c r="CT359" i="2" s="1"/>
  <c r="CU359" i="2" a="1"/>
  <c r="CU359" i="2" s="1"/>
  <c r="CU345" i="2" a="1"/>
  <c r="CU345" i="2" s="1"/>
  <c r="CV345" i="2" a="1"/>
  <c r="CV345" i="2" s="1"/>
  <c r="CU331" i="2" a="1"/>
  <c r="CU331" i="2" s="1"/>
  <c r="CV331" i="2" a="1"/>
  <c r="CV331" i="2" s="1"/>
  <c r="CU317" i="2" a="1"/>
  <c r="CU317" i="2" s="1"/>
  <c r="CT303" i="2" a="1"/>
  <c r="CT303" i="2" s="1"/>
  <c r="CV303" i="2" a="1"/>
  <c r="CV303" i="2" s="1"/>
  <c r="CU303" i="2" a="1"/>
  <c r="CU303" i="2" s="1"/>
  <c r="CU219" i="2" a="1"/>
  <c r="CU219" i="2" s="1"/>
  <c r="CV344" i="2" a="1"/>
  <c r="CV344" i="2" s="1"/>
  <c r="CV586" i="2" a="1"/>
  <c r="CV586" i="2" s="1"/>
  <c r="CV660" i="2" a="1"/>
  <c r="CV660" i="2" s="1"/>
  <c r="CV422" i="2" a="1"/>
  <c r="CV422" i="2" s="1"/>
  <c r="CV198" i="2" a="1"/>
  <c r="CV198" i="2" s="1"/>
  <c r="CV44" i="2" a="1"/>
  <c r="CV44" i="2" s="1"/>
  <c r="CV552" i="2" a="1"/>
  <c r="CV552" i="2" s="1"/>
  <c r="CV524" i="2" a="1"/>
  <c r="CV524" i="2" s="1"/>
  <c r="CV454" i="2" a="1"/>
  <c r="CV454" i="2" s="1"/>
  <c r="CU440" i="2" a="1"/>
  <c r="CU440" i="2" s="1"/>
  <c r="CV440" i="2" a="1"/>
  <c r="CV440" i="2" s="1"/>
  <c r="CV342" i="2" a="1"/>
  <c r="CV342" i="2" s="1"/>
  <c r="CV598" i="2" a="1"/>
  <c r="CV598" i="2" s="1"/>
  <c r="CV514" i="2" a="1"/>
  <c r="CV514" i="2" s="1"/>
  <c r="CT472" i="2" a="1"/>
  <c r="CT472" i="2" s="1"/>
  <c r="CV472" i="2" a="1"/>
  <c r="CV472" i="2" s="1"/>
  <c r="CV332" i="2" a="1"/>
  <c r="CV332" i="2" s="1"/>
  <c r="CV122" i="2" a="1"/>
  <c r="CV122" i="2" s="1"/>
  <c r="CV644" i="2" a="1"/>
  <c r="CV644" i="2" s="1"/>
  <c r="CT644" i="2" a="1"/>
  <c r="CT644" i="2" s="1"/>
  <c r="CT616" i="2" a="1"/>
  <c r="CT616" i="2" s="1"/>
  <c r="CV616" i="2" a="1"/>
  <c r="CV616" i="2" s="1"/>
  <c r="CU616" i="2" a="1"/>
  <c r="CU616" i="2" s="1"/>
  <c r="CU406" i="2" a="1"/>
  <c r="CU406" i="2" s="1"/>
  <c r="CV336" i="2" a="1"/>
  <c r="CV336" i="2" s="1"/>
  <c r="CU266" i="2" a="1"/>
  <c r="CU266" i="2" s="1"/>
  <c r="CV252" i="2" a="1"/>
  <c r="CV252" i="2" s="1"/>
  <c r="CU252" i="2" a="1"/>
  <c r="CU252" i="2" s="1"/>
  <c r="CU210" i="2" a="1"/>
  <c r="CU210" i="2" s="1"/>
  <c r="CU196" i="2" a="1"/>
  <c r="CU196" i="2" s="1"/>
  <c r="CV196" i="2" a="1"/>
  <c r="CV196" i="2" s="1"/>
  <c r="CT140" i="2" a="1"/>
  <c r="CT140" i="2" s="1"/>
  <c r="CV112" i="2" a="1"/>
  <c r="CV112" i="2" s="1"/>
  <c r="CU56" i="2" a="1"/>
  <c r="CU56" i="2" s="1"/>
  <c r="CU42" i="2" a="1"/>
  <c r="CU42" i="2" s="1"/>
  <c r="CV14" i="2" a="1"/>
  <c r="CV14" i="2" s="1"/>
  <c r="CV704" i="2" a="1"/>
  <c r="CV704" i="2" s="1"/>
  <c r="CU690" i="2" a="1"/>
  <c r="CU690" i="2" s="1"/>
  <c r="CV690" i="2" a="1"/>
  <c r="CV690" i="2" s="1"/>
  <c r="CT676" i="2" a="1"/>
  <c r="CT676" i="2" s="1"/>
  <c r="CV676" i="2" a="1"/>
  <c r="CV676" i="2" s="1"/>
  <c r="CT662" i="2" a="1"/>
  <c r="CT662" i="2" s="1"/>
  <c r="CU662" i="2" a="1"/>
  <c r="CU662" i="2" s="1"/>
  <c r="CU648" i="2" a="1"/>
  <c r="CU648" i="2" s="1"/>
  <c r="CV648" i="2" a="1"/>
  <c r="CV648" i="2" s="1"/>
  <c r="CT634" i="2" a="1"/>
  <c r="CT634" i="2" s="1"/>
  <c r="CU634" i="2" a="1"/>
  <c r="CU634" i="2" s="1"/>
  <c r="CT592" i="2" a="1"/>
  <c r="CT592" i="2" s="1"/>
  <c r="CV592" i="2" a="1"/>
  <c r="CV592" i="2" s="1"/>
  <c r="CT578" i="2" a="1"/>
  <c r="CT578" i="2" s="1"/>
  <c r="CU578" i="2" a="1"/>
  <c r="CU578" i="2" s="1"/>
  <c r="CT550" i="2" a="1"/>
  <c r="CT550" i="2" s="1"/>
  <c r="CV550" i="2" a="1"/>
  <c r="CV550" i="2" s="1"/>
  <c r="CU550" i="2" a="1"/>
  <c r="CU550" i="2" s="1"/>
  <c r="CU536" i="2" a="1"/>
  <c r="CU536" i="2" s="1"/>
  <c r="CV536" i="2" a="1"/>
  <c r="CV536" i="2" s="1"/>
  <c r="CT536" i="2" a="1"/>
  <c r="CT536" i="2" s="1"/>
  <c r="CV522" i="2" a="1"/>
  <c r="CV522" i="2" s="1"/>
  <c r="CU522" i="2" a="1"/>
  <c r="CU522" i="2" s="1"/>
  <c r="CT522" i="2" a="1"/>
  <c r="CT522" i="2" s="1"/>
  <c r="CV424" i="2" a="1"/>
  <c r="CV424" i="2" s="1"/>
  <c r="CV354" i="2" a="1"/>
  <c r="CV354" i="2" s="1"/>
  <c r="CU270" i="2" a="1"/>
  <c r="CU270" i="2" s="1"/>
  <c r="CV256" i="2" a="1"/>
  <c r="CV256" i="2" s="1"/>
  <c r="CU144" i="2" a="1"/>
  <c r="CU144" i="2" s="1"/>
  <c r="CV4" i="2" a="1"/>
  <c r="CV4" i="2" s="1"/>
  <c r="CV694" i="2" a="1"/>
  <c r="CV694" i="2" s="1"/>
  <c r="CV386" i="2" a="1"/>
  <c r="CV386" i="2" s="1"/>
  <c r="CU218" i="2" a="1"/>
  <c r="CU218" i="2" s="1"/>
  <c r="CV186" i="2" a="1"/>
  <c r="CV186" i="2" s="1"/>
  <c r="CV182" i="2" a="1"/>
  <c r="CV182" i="2" s="1"/>
  <c r="CU533" i="2" a="1"/>
  <c r="CU533" i="2" s="1"/>
  <c r="CV614" i="2" a="1"/>
  <c r="CV614" i="2" s="1"/>
  <c r="CU68" i="2" a="1"/>
  <c r="CU68" i="2" s="1"/>
  <c r="CV478" i="2" a="1"/>
  <c r="CV478" i="2" s="1"/>
  <c r="CV184" i="2" a="1"/>
  <c r="CV184" i="2" s="1"/>
  <c r="CV2" i="2" a="1"/>
  <c r="CV2" i="2" s="1"/>
  <c r="CU468" i="2" a="1"/>
  <c r="CU468" i="2" s="1"/>
  <c r="CU34" i="2" a="1"/>
  <c r="CU34" i="2" s="1"/>
  <c r="CV570" i="2" a="1"/>
  <c r="CV570" i="2" s="1"/>
  <c r="CV374" i="2" a="1"/>
  <c r="CV374" i="2" s="1"/>
  <c r="CU318" i="2" a="1"/>
  <c r="CU318" i="2" s="1"/>
  <c r="CV318" i="2" a="1"/>
  <c r="CV318" i="2" s="1"/>
  <c r="CV192" i="2" a="1"/>
  <c r="CV192" i="2" s="1"/>
  <c r="CV108" i="2" a="1"/>
  <c r="CV108" i="2" s="1"/>
  <c r="CU108" i="2" a="1"/>
  <c r="CU108" i="2" s="1"/>
  <c r="CV602" i="2" a="1"/>
  <c r="CV602" i="2" s="1"/>
  <c r="CV588" i="2" a="1"/>
  <c r="CV588" i="2" s="1"/>
  <c r="CU588" i="2" a="1"/>
  <c r="CU588" i="2" s="1"/>
  <c r="CV518" i="2" a="1"/>
  <c r="CV518" i="2" s="1"/>
  <c r="CV434" i="2" a="1"/>
  <c r="CV434" i="2" s="1"/>
  <c r="CV392" i="2" a="1"/>
  <c r="CV392" i="2" s="1"/>
  <c r="CV322" i="2" a="1"/>
  <c r="CV322" i="2" s="1"/>
  <c r="CV294" i="2" a="1"/>
  <c r="CV294" i="2" s="1"/>
  <c r="CU70" i="2" a="1"/>
  <c r="CU70" i="2" s="1"/>
  <c r="CV70" i="2" a="1"/>
  <c r="CV70" i="2" s="1"/>
  <c r="CU519" i="2" a="1"/>
  <c r="CU519" i="2" s="1"/>
  <c r="CV469" i="2" a="1"/>
  <c r="CV469" i="2" s="1"/>
  <c r="CU413" i="2" a="1"/>
  <c r="CU413" i="2" s="1"/>
  <c r="CU221" i="2" a="1"/>
  <c r="CU221" i="2" s="1"/>
  <c r="CT665" i="2" a="1"/>
  <c r="CT665" i="2" s="1"/>
  <c r="CV666" i="2" a="1"/>
  <c r="CV666" i="2" s="1"/>
  <c r="CV288" i="2" a="1"/>
  <c r="CV288" i="2" s="1"/>
  <c r="CV306" i="2" a="1"/>
  <c r="CV306" i="2" s="1"/>
  <c r="CV152" i="2" a="1"/>
  <c r="CV152" i="2" s="1"/>
  <c r="CV492" i="2" a="1"/>
  <c r="CV492" i="2" s="1"/>
  <c r="CV324" i="2" a="1"/>
  <c r="CV324" i="2" s="1"/>
  <c r="CV30" i="2" a="1"/>
  <c r="CV30" i="2" s="1"/>
  <c r="CV650" i="2" a="1"/>
  <c r="CV650" i="2" s="1"/>
  <c r="CT580" i="2" a="1"/>
  <c r="CT580" i="2" s="1"/>
  <c r="CV580" i="2" a="1"/>
  <c r="CV580" i="2" s="1"/>
  <c r="CT384" i="2" a="1"/>
  <c r="CT384" i="2" s="1"/>
  <c r="CV370" i="2" a="1"/>
  <c r="CV370" i="2" s="1"/>
  <c r="CV6" i="2" a="1"/>
  <c r="CV6" i="2" s="1"/>
  <c r="CU682" i="2" a="1"/>
  <c r="CU682" i="2" s="1"/>
  <c r="CV682" i="2" a="1"/>
  <c r="CV682" i="2" s="1"/>
  <c r="CV584" i="2" a="1"/>
  <c r="CV584" i="2" s="1"/>
  <c r="CU584" i="2" a="1"/>
  <c r="CU584" i="2" s="1"/>
  <c r="CV542" i="2" a="1"/>
  <c r="CV542" i="2" s="1"/>
  <c r="CU304" i="2" a="1"/>
  <c r="CU304" i="2" s="1"/>
  <c r="CV658" i="2" a="1"/>
  <c r="CV658" i="2" s="1"/>
  <c r="CU448" i="2" a="1"/>
  <c r="CU448" i="2" s="1"/>
  <c r="CT308" i="2" a="1"/>
  <c r="CT308" i="2" s="1"/>
  <c r="CU280" i="2" a="1"/>
  <c r="CU280" i="2" s="1"/>
  <c r="CT280" i="2" a="1"/>
  <c r="CT280" i="2" s="1"/>
  <c r="CV84" i="2" a="1"/>
  <c r="CV84" i="2" s="1"/>
  <c r="CT84" i="2" a="1"/>
  <c r="CT84" i="2" s="1"/>
  <c r="CV395" i="2" a="1"/>
  <c r="CV395" i="2" s="1"/>
  <c r="CV651" i="2" a="1"/>
  <c r="CV651" i="2" s="1"/>
  <c r="CV578" i="2" a="1"/>
  <c r="CV578" i="2" s="1"/>
  <c r="CV501" i="2" a="1"/>
  <c r="CV501" i="2" s="1"/>
  <c r="CV468" i="2" a="1"/>
  <c r="CV468" i="2" s="1"/>
  <c r="CV227" i="2" a="1"/>
  <c r="CV227" i="2" s="1"/>
  <c r="CV187" i="2" a="1"/>
  <c r="CV187" i="2" s="1"/>
  <c r="CV442" i="2" a="1"/>
  <c r="CV442" i="2" s="1"/>
  <c r="CV204" i="2" a="1"/>
  <c r="CV204" i="2" s="1"/>
  <c r="CV404" i="2" a="1"/>
  <c r="CV404" i="2" s="1"/>
  <c r="CV236" i="2" a="1"/>
  <c r="CV236" i="2" s="1"/>
  <c r="CV166" i="2" a="1"/>
  <c r="CV166" i="2" s="1"/>
  <c r="CU166" i="2" a="1"/>
  <c r="CU166" i="2" s="1"/>
  <c r="CU142" i="2" a="1"/>
  <c r="CU142" i="2" s="1"/>
  <c r="CV678" i="2" a="1"/>
  <c r="CV678" i="2" s="1"/>
  <c r="CV566" i="2" a="1"/>
  <c r="CV566" i="2" s="1"/>
  <c r="CV510" i="2" a="1"/>
  <c r="CV510" i="2" s="1"/>
  <c r="CU202" i="2" a="1"/>
  <c r="CU202" i="2" s="1"/>
  <c r="CT444" i="2" a="1"/>
  <c r="CT444" i="2" s="1"/>
  <c r="CV388" i="2" a="1"/>
  <c r="CV388" i="2" s="1"/>
  <c r="CV290" i="2" a="1"/>
  <c r="CV290" i="2" s="1"/>
  <c r="CU94" i="2" a="1"/>
  <c r="CU94" i="2" s="1"/>
  <c r="CV94" i="2" a="1"/>
  <c r="CV94" i="2" s="1"/>
  <c r="CT476" i="2" a="1"/>
  <c r="CT476" i="2" s="1"/>
  <c r="CU462" i="2" a="1"/>
  <c r="CU462" i="2" s="1"/>
  <c r="CT462" i="2" a="1"/>
  <c r="CT462" i="2" s="1"/>
  <c r="CV420" i="2" a="1"/>
  <c r="CV420" i="2" s="1"/>
  <c r="CV350" i="2" a="1"/>
  <c r="CV350" i="2" s="1"/>
  <c r="CV98" i="2" a="1"/>
  <c r="CV98" i="2" s="1"/>
  <c r="CU322" i="2" a="1"/>
  <c r="CU322" i="2" s="1"/>
  <c r="CV463" i="2" a="1"/>
  <c r="CV463" i="2" s="1"/>
  <c r="CV384" i="2" a="1"/>
  <c r="CV384" i="2" s="1"/>
  <c r="CV347" i="2" a="1"/>
  <c r="CV347" i="2" s="1"/>
  <c r="CV56" i="2" a="1"/>
  <c r="CV56" i="2" s="1"/>
  <c r="CU409" i="2" a="1"/>
  <c r="CU409" i="2" s="1"/>
  <c r="CU516" i="2" a="1"/>
  <c r="CU516" i="2" s="1"/>
  <c r="CT312" i="2" a="1"/>
  <c r="CT312" i="2" s="1"/>
  <c r="CV218" i="2" a="1"/>
  <c r="CV218" i="2" s="1"/>
  <c r="CV572" i="2" a="1"/>
  <c r="CV572" i="2" s="1"/>
  <c r="CU604" i="2" a="1"/>
  <c r="CU604" i="2" s="1"/>
  <c r="CV394" i="2" a="1"/>
  <c r="CV394" i="2" s="1"/>
  <c r="CT608" i="2" a="1"/>
  <c r="CT608" i="2" s="1"/>
  <c r="CU426" i="2" a="1"/>
  <c r="CU426" i="2" s="1"/>
  <c r="CV356" i="2" a="1"/>
  <c r="CV356" i="2" s="1"/>
  <c r="CT258" i="2" a="1"/>
  <c r="CT258" i="2" s="1"/>
  <c r="CU258" i="2" a="1"/>
  <c r="CU258" i="2" s="1"/>
  <c r="CT62" i="2" a="1"/>
  <c r="CT62" i="2" s="1"/>
  <c r="CV62" i="2" a="1"/>
  <c r="CV62" i="2" s="1"/>
  <c r="CU402" i="2" a="1"/>
  <c r="CU402" i="2" s="1"/>
  <c r="CV276" i="2" a="1"/>
  <c r="CV276" i="2" s="1"/>
  <c r="CU546" i="2" a="1"/>
  <c r="CU546" i="2" s="1"/>
  <c r="CV490" i="2" a="1"/>
  <c r="CV490" i="2" s="1"/>
  <c r="CV607" i="2" a="1"/>
  <c r="CV607" i="2" s="1"/>
  <c r="CV299" i="2" a="1"/>
  <c r="CV299" i="2" s="1"/>
  <c r="CU184" i="2" a="1"/>
  <c r="CU184" i="2" s="1"/>
  <c r="CV683" i="2" a="1"/>
  <c r="CV683" i="2" s="1"/>
  <c r="CV499" i="2" a="1"/>
  <c r="CV499" i="2" s="1"/>
  <c r="CV462" i="2" a="1"/>
  <c r="CV462" i="2" s="1"/>
  <c r="CV415" i="2" a="1"/>
  <c r="CV415" i="2" s="1"/>
  <c r="CV95" i="2" a="1"/>
  <c r="CV95" i="2" s="1"/>
  <c r="CU287" i="2" a="1"/>
  <c r="CU287" i="2" s="1"/>
  <c r="CT414" i="2" a="1"/>
  <c r="CT414" i="2" s="1"/>
  <c r="CV630" i="2" a="1"/>
  <c r="CV630" i="2" s="1"/>
  <c r="CU631" i="2" a="1"/>
  <c r="CU631" i="2" s="1"/>
  <c r="CU377" i="2" a="1"/>
  <c r="CU377" i="2" s="1"/>
  <c r="CV669" i="2" a="1"/>
  <c r="CV669" i="2" s="1"/>
  <c r="CV297" i="2" a="1"/>
  <c r="CV297" i="2" s="1"/>
  <c r="CV81" i="2" a="1"/>
  <c r="CV81" i="2" s="1"/>
  <c r="CV35" i="2" a="1"/>
  <c r="CV35" i="2" s="1"/>
  <c r="CU485" i="2" a="1"/>
  <c r="CU485" i="2" s="1"/>
  <c r="CU367" i="2" a="1"/>
  <c r="CU367" i="2" s="1"/>
  <c r="CU276" i="2" a="1"/>
  <c r="CU276" i="2" s="1"/>
  <c r="CU380" i="2" a="1"/>
  <c r="CU380" i="2" s="1"/>
  <c r="CV380" i="2" a="1"/>
  <c r="CV380" i="2" s="1"/>
  <c r="CU366" i="2" a="1"/>
  <c r="CU366" i="2" s="1"/>
  <c r="CT366" i="2" a="1"/>
  <c r="CT366" i="2" s="1"/>
  <c r="CT352" i="2" a="1"/>
  <c r="CT352" i="2" s="1"/>
  <c r="CU352" i="2" a="1"/>
  <c r="CU352" i="2" s="1"/>
  <c r="CV338" i="2" a="1"/>
  <c r="CV338" i="2" s="1"/>
  <c r="CU338" i="2" a="1"/>
  <c r="CU338" i="2" s="1"/>
  <c r="CT324" i="2" a="1"/>
  <c r="CT324" i="2" s="1"/>
  <c r="CU324" i="2" a="1"/>
  <c r="CU324" i="2" s="1"/>
  <c r="CU310" i="2" a="1"/>
  <c r="CU310" i="2" s="1"/>
  <c r="CV310" i="2" a="1"/>
  <c r="CV310" i="2" s="1"/>
  <c r="CT296" i="2" a="1"/>
  <c r="CT296" i="2" s="1"/>
  <c r="CU296" i="2" a="1"/>
  <c r="CU296" i="2" s="1"/>
  <c r="CT282" i="2" a="1"/>
  <c r="CT282" i="2" s="1"/>
  <c r="CV282" i="2" a="1"/>
  <c r="CV282" i="2" s="1"/>
  <c r="CU282" i="2" a="1"/>
  <c r="CU282" i="2" s="1"/>
  <c r="CU268" i="2" a="1"/>
  <c r="CU268" i="2" s="1"/>
  <c r="CU254" i="2" a="1"/>
  <c r="CU254" i="2" s="1"/>
  <c r="CV254" i="2" a="1"/>
  <c r="CV254" i="2" s="1"/>
  <c r="CV240" i="2" a="1"/>
  <c r="CV240" i="2" s="1"/>
  <c r="CT240" i="2" a="1"/>
  <c r="CT240" i="2" s="1"/>
  <c r="CU226" i="2" a="1"/>
  <c r="CU226" i="2" s="1"/>
  <c r="CT226" i="2" a="1"/>
  <c r="CT226" i="2" s="1"/>
  <c r="CT212" i="2" a="1"/>
  <c r="CT212" i="2" s="1"/>
  <c r="CU212" i="2" a="1"/>
  <c r="CU212" i="2" s="1"/>
  <c r="CV212" i="2" a="1"/>
  <c r="CV212" i="2" s="1"/>
  <c r="CT198" i="2" a="1"/>
  <c r="CT198" i="2" s="1"/>
  <c r="CU170" i="2" a="1"/>
  <c r="CU170" i="2" s="1"/>
  <c r="CT114" i="2" a="1"/>
  <c r="CT114" i="2" s="1"/>
  <c r="CU100" i="2" a="1"/>
  <c r="CU100" i="2" s="1"/>
  <c r="CV58" i="2" a="1"/>
  <c r="CV58" i="2" s="1"/>
  <c r="CU678" i="2" a="1"/>
  <c r="CU678" i="2" s="1"/>
  <c r="CT664" i="2" a="1"/>
  <c r="CT664" i="2" s="1"/>
  <c r="CT622" i="2" a="1"/>
  <c r="CT622" i="2" s="1"/>
  <c r="CU566" i="2" a="1"/>
  <c r="CU566" i="2" s="1"/>
  <c r="CU701" i="2" a="1"/>
  <c r="CU701" i="2" s="1"/>
  <c r="CT701" i="2" a="1"/>
  <c r="CT701" i="2" s="1"/>
  <c r="CV687" i="2" a="1"/>
  <c r="CV687" i="2" s="1"/>
  <c r="CU687" i="2" a="1"/>
  <c r="CU687" i="2" s="1"/>
  <c r="CT673" i="2" a="1"/>
  <c r="CT673" i="2" s="1"/>
  <c r="CV673" i="2" a="1"/>
  <c r="CV673" i="2" s="1"/>
  <c r="CU659" i="2" a="1"/>
  <c r="CU659" i="2" s="1"/>
  <c r="CV645" i="2" a="1"/>
  <c r="CV645" i="2" s="1"/>
  <c r="CU617" i="2" a="1"/>
  <c r="CU617" i="2" s="1"/>
  <c r="CV617" i="2" a="1"/>
  <c r="CV617" i="2" s="1"/>
  <c r="CT617" i="2" a="1"/>
  <c r="CT617" i="2" s="1"/>
  <c r="CT603" i="2" a="1"/>
  <c r="CT603" i="2" s="1"/>
  <c r="CV589" i="2" a="1"/>
  <c r="CV589" i="2" s="1"/>
  <c r="CT575" i="2" a="1"/>
  <c r="CT575" i="2" s="1"/>
  <c r="CV575" i="2" a="1"/>
  <c r="CV575" i="2" s="1"/>
  <c r="CV547" i="2" a="1"/>
  <c r="CV547" i="2" s="1"/>
  <c r="CU505" i="2" a="1"/>
  <c r="CU505" i="2" s="1"/>
  <c r="CV505" i="2" a="1"/>
  <c r="CV505" i="2" s="1"/>
  <c r="CV491" i="2" a="1"/>
  <c r="CV491" i="2" s="1"/>
  <c r="CU491" i="2" a="1"/>
  <c r="CU491" i="2" s="1"/>
  <c r="CT491" i="2" a="1"/>
  <c r="CT491" i="2" s="1"/>
  <c r="CV477" i="2" a="1"/>
  <c r="CV477" i="2" s="1"/>
  <c r="CU463" i="2" a="1"/>
  <c r="CU463" i="2" s="1"/>
  <c r="CV421" i="2" a="1"/>
  <c r="CV421" i="2" s="1"/>
  <c r="CT393" i="2" a="1"/>
  <c r="CT393" i="2" s="1"/>
  <c r="CT365" i="2" a="1"/>
  <c r="CT365" i="2" s="1"/>
  <c r="CV323" i="2" a="1"/>
  <c r="CV323" i="2" s="1"/>
  <c r="CU309" i="2" a="1"/>
  <c r="CU309" i="2" s="1"/>
  <c r="CV295" i="2" a="1"/>
  <c r="CV295" i="2" s="1"/>
  <c r="CU267" i="2" a="1"/>
  <c r="CU267" i="2" s="1"/>
  <c r="CV183" i="2" a="1"/>
  <c r="CV183" i="2" s="1"/>
  <c r="CV99" i="2" a="1"/>
  <c r="CV99" i="2" s="1"/>
  <c r="CV481" i="2" a="1"/>
  <c r="CV481" i="2" s="1"/>
  <c r="CT425" i="2" a="1"/>
  <c r="CT425" i="2" s="1"/>
  <c r="CU411" i="2" a="1"/>
  <c r="CU411" i="2" s="1"/>
  <c r="CU299" i="2" a="1"/>
  <c r="CU299" i="2" s="1"/>
  <c r="CV285" i="2" a="1"/>
  <c r="CV285" i="2" s="1"/>
  <c r="CV229" i="2" a="1"/>
  <c r="CV229" i="2" s="1"/>
  <c r="CU289" i="2" a="1"/>
  <c r="CU289" i="2" s="1"/>
  <c r="CT275" i="2" a="1"/>
  <c r="CT275" i="2" s="1"/>
  <c r="CV275" i="2" a="1"/>
  <c r="CV275" i="2" s="1"/>
  <c r="CU261" i="2" a="1"/>
  <c r="CU261" i="2" s="1"/>
  <c r="CV261" i="2" a="1"/>
  <c r="CV261" i="2" s="1"/>
  <c r="CU247" i="2" a="1"/>
  <c r="CU247" i="2" s="1"/>
  <c r="CU233" i="2" a="1"/>
  <c r="CU233" i="2" s="1"/>
  <c r="CV233" i="2" a="1"/>
  <c r="CV233" i="2" s="1"/>
  <c r="CU205" i="2" a="1"/>
  <c r="CU205" i="2" s="1"/>
  <c r="CV205" i="2" a="1"/>
  <c r="CV205" i="2" s="1"/>
  <c r="CT191" i="2" a="1"/>
  <c r="CT191" i="2" s="1"/>
  <c r="CV191" i="2" a="1"/>
  <c r="CV191" i="2" s="1"/>
  <c r="CU191" i="2" a="1"/>
  <c r="CU191" i="2" s="1"/>
  <c r="CU177" i="2" a="1"/>
  <c r="CU177" i="2" s="1"/>
  <c r="CT163" i="2" a="1"/>
  <c r="CT163" i="2" s="1"/>
  <c r="CT149" i="2" a="1"/>
  <c r="CT149" i="2" s="1"/>
  <c r="CU149" i="2" a="1"/>
  <c r="CU149" i="2" s="1"/>
  <c r="CV149" i="2" a="1"/>
  <c r="CV149" i="2" s="1"/>
  <c r="CT135" i="2" a="1"/>
  <c r="CT135" i="2" s="1"/>
  <c r="CU135" i="2" a="1"/>
  <c r="CU135" i="2" s="1"/>
  <c r="CU121" i="2" a="1"/>
  <c r="CU121" i="2" s="1"/>
  <c r="CU107" i="2" a="1"/>
  <c r="CU107" i="2" s="1"/>
  <c r="CV107" i="2" a="1"/>
  <c r="CV107" i="2" s="1"/>
  <c r="CT93" i="2" a="1"/>
  <c r="CT93" i="2" s="1"/>
  <c r="CV93" i="2" a="1"/>
  <c r="CV93" i="2" s="1"/>
  <c r="CT79" i="2" a="1"/>
  <c r="CT79" i="2" s="1"/>
  <c r="CU79" i="2" a="1"/>
  <c r="CU79" i="2" s="1"/>
  <c r="CT65" i="2" a="1"/>
  <c r="CT65" i="2" s="1"/>
  <c r="CU65" i="2" a="1"/>
  <c r="CU65" i="2" s="1"/>
  <c r="CT51" i="2" a="1"/>
  <c r="CT51" i="2" s="1"/>
  <c r="CU51" i="2" a="1"/>
  <c r="CU51" i="2" s="1"/>
  <c r="CV51" i="2" a="1"/>
  <c r="CV51" i="2" s="1"/>
  <c r="CU37" i="2" a="1"/>
  <c r="CU37" i="2" s="1"/>
  <c r="CT37" i="2" a="1"/>
  <c r="CT37" i="2" s="1"/>
  <c r="CV37" i="2" a="1"/>
  <c r="CV37" i="2" s="1"/>
  <c r="CV23" i="2" a="1"/>
  <c r="CV23" i="2" s="1"/>
  <c r="CU23" i="2" a="1"/>
  <c r="CU23" i="2" s="1"/>
  <c r="CU9" i="2" a="1"/>
  <c r="CU9" i="2" s="1"/>
  <c r="CV9" i="2" a="1"/>
  <c r="CV9" i="2" s="1"/>
  <c r="CT699" i="2" a="1"/>
  <c r="CT699" i="2" s="1"/>
  <c r="CU699" i="2" a="1"/>
  <c r="CU699" i="2" s="1"/>
  <c r="CV699" i="2" a="1"/>
  <c r="CV699" i="2" s="1"/>
  <c r="CT685" i="2" a="1"/>
  <c r="CT685" i="2" s="1"/>
  <c r="CU685" i="2" a="1"/>
  <c r="CU685" i="2" s="1"/>
  <c r="CV671" i="2" a="1"/>
  <c r="CV671" i="2" s="1"/>
  <c r="CV657" i="2" a="1"/>
  <c r="CV657" i="2" s="1"/>
  <c r="CT657" i="2" a="1"/>
  <c r="CT657" i="2" s="1"/>
  <c r="CT643" i="2" a="1"/>
  <c r="CT643" i="2" s="1"/>
  <c r="CU643" i="2" a="1"/>
  <c r="CU643" i="2" s="1"/>
  <c r="CT629" i="2" a="1"/>
  <c r="CT629" i="2" s="1"/>
  <c r="CV629" i="2" a="1"/>
  <c r="CV629" i="2" s="1"/>
  <c r="CU629" i="2" a="1"/>
  <c r="CU629" i="2" s="1"/>
  <c r="CU615" i="2" a="1"/>
  <c r="CU615" i="2" s="1"/>
  <c r="CT615" i="2" a="1"/>
  <c r="CT615" i="2" s="1"/>
  <c r="CU601" i="2" a="1"/>
  <c r="CU601" i="2" s="1"/>
  <c r="CT601" i="2" a="1"/>
  <c r="CT601" i="2" s="1"/>
  <c r="CV601" i="2" a="1"/>
  <c r="CV601" i="2" s="1"/>
  <c r="CT587" i="2" a="1"/>
  <c r="CT587" i="2" s="1"/>
  <c r="CU587" i="2" a="1"/>
  <c r="CU587" i="2" s="1"/>
  <c r="CT573" i="2" a="1"/>
  <c r="CT573" i="2" s="1"/>
  <c r="CV573" i="2" a="1"/>
  <c r="CV573" i="2" s="1"/>
  <c r="CU559" i="2" a="1"/>
  <c r="CU559" i="2" s="1"/>
  <c r="CV559" i="2" a="1"/>
  <c r="CV559" i="2" s="1"/>
  <c r="CT545" i="2" a="1"/>
  <c r="CT545" i="2" s="1"/>
  <c r="CU545" i="2" a="1"/>
  <c r="CU545" i="2" s="1"/>
  <c r="CV531" i="2" a="1"/>
  <c r="CV531" i="2" s="1"/>
  <c r="CU517" i="2" a="1"/>
  <c r="CU517" i="2" s="1"/>
  <c r="CT517" i="2" a="1"/>
  <c r="CT517" i="2" s="1"/>
  <c r="CT503" i="2" a="1"/>
  <c r="CT503" i="2" s="1"/>
  <c r="CV503" i="2" a="1"/>
  <c r="CV503" i="2" s="1"/>
  <c r="CT489" i="2" a="1"/>
  <c r="CT489" i="2" s="1"/>
  <c r="CV489" i="2" a="1"/>
  <c r="CV489" i="2" s="1"/>
  <c r="CT475" i="2" a="1"/>
  <c r="CT475" i="2" s="1"/>
  <c r="CV475" i="2" a="1"/>
  <c r="CV475" i="2" s="1"/>
  <c r="CT461" i="2" a="1"/>
  <c r="CT461" i="2" s="1"/>
  <c r="CV461" i="2" a="1"/>
  <c r="CV461" i="2" s="1"/>
  <c r="CU461" i="2" a="1"/>
  <c r="CU461" i="2" s="1"/>
  <c r="CT447" i="2" a="1"/>
  <c r="CT447" i="2" s="1"/>
  <c r="CU447" i="2" a="1"/>
  <c r="CU447" i="2" s="1"/>
  <c r="CV447" i="2" a="1"/>
  <c r="CV447" i="2" s="1"/>
  <c r="CU433" i="2" a="1"/>
  <c r="CU433" i="2" s="1"/>
  <c r="CT419" i="2" a="1"/>
  <c r="CT419" i="2" s="1"/>
  <c r="CU419" i="2" a="1"/>
  <c r="CU419" i="2" s="1"/>
  <c r="CV419" i="2" a="1"/>
  <c r="CV419" i="2" s="1"/>
  <c r="CT405" i="2" a="1"/>
  <c r="CT405" i="2" s="1"/>
  <c r="CU405" i="2" a="1"/>
  <c r="CU405" i="2" s="1"/>
  <c r="CT391" i="2" a="1"/>
  <c r="CT391" i="2" s="1"/>
  <c r="CU391" i="2" a="1"/>
  <c r="CU391" i="2" s="1"/>
  <c r="CV391" i="2" a="1"/>
  <c r="CV391" i="2" s="1"/>
  <c r="CT377" i="2" a="1"/>
  <c r="CT377" i="2" s="1"/>
  <c r="CU363" i="2" a="1"/>
  <c r="CU363" i="2" s="1"/>
  <c r="CT363" i="2" a="1"/>
  <c r="CT363" i="2" s="1"/>
  <c r="CV363" i="2" a="1"/>
  <c r="CV363" i="2" s="1"/>
  <c r="CT349" i="2" a="1"/>
  <c r="CT349" i="2" s="1"/>
  <c r="CV349" i="2" a="1"/>
  <c r="CV349" i="2" s="1"/>
  <c r="CT335" i="2" a="1"/>
  <c r="CT335" i="2" s="1"/>
  <c r="CT321" i="2" a="1"/>
  <c r="CT321" i="2" s="1"/>
  <c r="CU321" i="2" a="1"/>
  <c r="CU321" i="2" s="1"/>
  <c r="CV321" i="2" a="1"/>
  <c r="CV321" i="2" s="1"/>
  <c r="CU307" i="2" a="1"/>
  <c r="CU307" i="2" s="1"/>
  <c r="CT307" i="2" a="1"/>
  <c r="CT307" i="2" s="1"/>
  <c r="CT293" i="2" a="1"/>
  <c r="CT293" i="2" s="1"/>
  <c r="CV293" i="2" a="1"/>
  <c r="CV293" i="2" s="1"/>
  <c r="CT279" i="2" a="1"/>
  <c r="CT279" i="2" s="1"/>
  <c r="CU279" i="2" a="1"/>
  <c r="CU279" i="2" s="1"/>
  <c r="CV265" i="2" a="1"/>
  <c r="CV265" i="2" s="1"/>
  <c r="CT265" i="2" a="1"/>
  <c r="CT265" i="2" s="1"/>
  <c r="CU265" i="2" a="1"/>
  <c r="CU265" i="2" s="1"/>
  <c r="CT251" i="2" a="1"/>
  <c r="CT251" i="2" s="1"/>
  <c r="CV251" i="2" a="1"/>
  <c r="CV251" i="2" s="1"/>
  <c r="CU251" i="2" a="1"/>
  <c r="CU251" i="2" s="1"/>
  <c r="CT237" i="2" a="1"/>
  <c r="CT237" i="2" s="1"/>
  <c r="CU237" i="2" a="1"/>
  <c r="CU237" i="2" s="1"/>
  <c r="CV237" i="2" a="1"/>
  <c r="CV237" i="2" s="1"/>
  <c r="CV223" i="2" a="1"/>
  <c r="CV223" i="2" s="1"/>
  <c r="CU223" i="2" a="1"/>
  <c r="CU223" i="2" s="1"/>
  <c r="CV209" i="2" a="1"/>
  <c r="CV209" i="2" s="1"/>
  <c r="CU209" i="2" a="1"/>
  <c r="CU209" i="2" s="1"/>
  <c r="CT209" i="2" a="1"/>
  <c r="CT209" i="2" s="1"/>
  <c r="CT195" i="2" a="1"/>
  <c r="CT195" i="2" s="1"/>
  <c r="CV195" i="2" a="1"/>
  <c r="CV195" i="2" s="1"/>
  <c r="CU195" i="2" a="1"/>
  <c r="CU195" i="2" s="1"/>
  <c r="CU181" i="2" a="1"/>
  <c r="CU181" i="2" s="1"/>
  <c r="CV181" i="2" a="1"/>
  <c r="CV181" i="2" s="1"/>
  <c r="CT181" i="2" a="1"/>
  <c r="CT181" i="2" s="1"/>
  <c r="CT167" i="2" a="1"/>
  <c r="CT167" i="2" s="1"/>
  <c r="CU167" i="2" a="1"/>
  <c r="CU167" i="2" s="1"/>
  <c r="CV167" i="2" a="1"/>
  <c r="CV167" i="2" s="1"/>
  <c r="CT153" i="2" a="1"/>
  <c r="CT153" i="2" s="1"/>
  <c r="CV153" i="2" a="1"/>
  <c r="CV153" i="2" s="1"/>
  <c r="CU153" i="2" a="1"/>
  <c r="CU153" i="2" s="1"/>
  <c r="CT139" i="2" a="1"/>
  <c r="CT139" i="2" s="1"/>
  <c r="CV139" i="2" a="1"/>
  <c r="CV139" i="2" s="1"/>
  <c r="CU139" i="2" a="1"/>
  <c r="CU139" i="2" s="1"/>
  <c r="CV125" i="2" a="1"/>
  <c r="CV125" i="2" s="1"/>
  <c r="CT125" i="2" a="1"/>
  <c r="CT125" i="2" s="1"/>
  <c r="CU125" i="2" a="1"/>
  <c r="CU125" i="2" s="1"/>
  <c r="CV111" i="2" a="1"/>
  <c r="CV111" i="2" s="1"/>
  <c r="CU111" i="2" a="1"/>
  <c r="CU111" i="2" s="1"/>
  <c r="CT111" i="2" a="1"/>
  <c r="CT111" i="2" s="1"/>
  <c r="CU97" i="2" a="1"/>
  <c r="CU97" i="2" s="1"/>
  <c r="CV97" i="2" a="1"/>
  <c r="CV97" i="2" s="1"/>
  <c r="CT97" i="2" a="1"/>
  <c r="CT97" i="2" s="1"/>
  <c r="CT83" i="2" a="1"/>
  <c r="CT83" i="2" s="1"/>
  <c r="CU83" i="2" a="1"/>
  <c r="CU83" i="2" s="1"/>
  <c r="CT69" i="2" a="1"/>
  <c r="CT69" i="2" s="1"/>
  <c r="CU69" i="2" a="1"/>
  <c r="CU69" i="2" s="1"/>
  <c r="CT55" i="2" a="1"/>
  <c r="CT55" i="2" s="1"/>
  <c r="CV55" i="2" a="1"/>
  <c r="CV55" i="2" s="1"/>
  <c r="CU55" i="2" a="1"/>
  <c r="CU55" i="2" s="1"/>
  <c r="CT41" i="2" a="1"/>
  <c r="CT41" i="2" s="1"/>
  <c r="CU41" i="2" a="1"/>
  <c r="CU41" i="2" s="1"/>
  <c r="CT27" i="2" a="1"/>
  <c r="CT27" i="2" s="1"/>
  <c r="CU27" i="2" a="1"/>
  <c r="CU27" i="2" s="1"/>
  <c r="CV27" i="2" a="1"/>
  <c r="CV27" i="2" s="1"/>
  <c r="CV13" i="2" a="1"/>
  <c r="CV13" i="2" s="1"/>
  <c r="CT13" i="2" a="1"/>
  <c r="CT13" i="2" s="1"/>
  <c r="CT703" i="2" a="1"/>
  <c r="CT703" i="2" s="1"/>
  <c r="CU703" i="2" a="1"/>
  <c r="CU703" i="2" s="1"/>
  <c r="CT689" i="2" a="1"/>
  <c r="CT689" i="2" s="1"/>
  <c r="CU689" i="2" a="1"/>
  <c r="CU689" i="2" s="1"/>
  <c r="CV689" i="2" a="1"/>
  <c r="CV689" i="2" s="1"/>
  <c r="CT675" i="2" a="1"/>
  <c r="CT675" i="2" s="1"/>
  <c r="CU675" i="2" a="1"/>
  <c r="CU675" i="2" s="1"/>
  <c r="CT661" i="2" a="1"/>
  <c r="CT661" i="2" s="1"/>
  <c r="CV661" i="2" a="1"/>
  <c r="CV661" i="2" s="1"/>
  <c r="CT647" i="2" a="1"/>
  <c r="CT647" i="2" s="1"/>
  <c r="CU647" i="2" a="1"/>
  <c r="CU647" i="2" s="1"/>
  <c r="CT633" i="2" a="1"/>
  <c r="CT633" i="2" s="1"/>
  <c r="CT619" i="2" a="1"/>
  <c r="CT619" i="2" s="1"/>
  <c r="CV619" i="2" a="1"/>
  <c r="CV619" i="2" s="1"/>
  <c r="CT605" i="2" a="1"/>
  <c r="CT605" i="2" s="1"/>
  <c r="CU591" i="2" a="1"/>
  <c r="CU591" i="2" s="1"/>
  <c r="CV591" i="2" a="1"/>
  <c r="CV591" i="2" s="1"/>
  <c r="CU577" i="2" a="1"/>
  <c r="CU577" i="2" s="1"/>
  <c r="CT577" i="2" a="1"/>
  <c r="CT577" i="2" s="1"/>
  <c r="CT563" i="2" a="1"/>
  <c r="CT563" i="2" s="1"/>
  <c r="CT549" i="2" a="1"/>
  <c r="CT549" i="2" s="1"/>
  <c r="CV549" i="2" a="1"/>
  <c r="CV549" i="2" s="1"/>
  <c r="CT535" i="2" a="1"/>
  <c r="CT535" i="2" s="1"/>
  <c r="CU535" i="2" a="1"/>
  <c r="CU535" i="2" s="1"/>
  <c r="CT521" i="2" a="1"/>
  <c r="CT521" i="2" s="1"/>
  <c r="CU521" i="2" a="1"/>
  <c r="CU521" i="2" s="1"/>
  <c r="CV521" i="2" a="1"/>
  <c r="CV521" i="2" s="1"/>
  <c r="CT507" i="2" a="1"/>
  <c r="CT507" i="2" s="1"/>
  <c r="CU507" i="2" a="1"/>
  <c r="CU507" i="2" s="1"/>
  <c r="CU493" i="2" a="1"/>
  <c r="CU493" i="2" s="1"/>
  <c r="CV493" i="2" a="1"/>
  <c r="CV493" i="2" s="1"/>
  <c r="CT493" i="2" a="1"/>
  <c r="CT493" i="2" s="1"/>
  <c r="CU479" i="2" a="1"/>
  <c r="CU479" i="2" s="1"/>
  <c r="CT479" i="2" a="1"/>
  <c r="CT479" i="2" s="1"/>
  <c r="CV620" i="2" a="1"/>
  <c r="CV620" i="2" s="1"/>
  <c r="CU564" i="2" a="1"/>
  <c r="CU564" i="2" s="1"/>
  <c r="CU508" i="2" a="1"/>
  <c r="CU508" i="2" s="1"/>
  <c r="CV494" i="2" a="1"/>
  <c r="CV494" i="2" s="1"/>
  <c r="CU480" i="2" a="1"/>
  <c r="CU480" i="2" s="1"/>
  <c r="CU452" i="2" a="1"/>
  <c r="CU452" i="2" s="1"/>
  <c r="CV438" i="2" a="1"/>
  <c r="CV438" i="2" s="1"/>
  <c r="CV410" i="2" a="1"/>
  <c r="CV410" i="2" s="1"/>
  <c r="CU382" i="2" a="1"/>
  <c r="CU382" i="2" s="1"/>
  <c r="CV340" i="2" a="1"/>
  <c r="CV340" i="2" s="1"/>
  <c r="CT340" i="2" a="1"/>
  <c r="CT340" i="2" s="1"/>
  <c r="CT326" i="2" a="1"/>
  <c r="CT326" i="2" s="1"/>
  <c r="CU326" i="2" a="1"/>
  <c r="CU326" i="2" s="1"/>
  <c r="CV312" i="2" a="1"/>
  <c r="CV312" i="2" s="1"/>
  <c r="CV284" i="2" a="1"/>
  <c r="CV284" i="2" s="1"/>
  <c r="CU284" i="2" a="1"/>
  <c r="CU284" i="2" s="1"/>
  <c r="CU242" i="2" a="1"/>
  <c r="CU242" i="2" s="1"/>
  <c r="CV242" i="2" a="1"/>
  <c r="CV242" i="2" s="1"/>
  <c r="CU228" i="2" a="1"/>
  <c r="CU228" i="2" s="1"/>
  <c r="CV214" i="2" a="1"/>
  <c r="CV214" i="2" s="1"/>
  <c r="CU214" i="2" a="1"/>
  <c r="CU214" i="2" s="1"/>
  <c r="CU200" i="2" a="1"/>
  <c r="CU200" i="2" s="1"/>
  <c r="CV200" i="2" a="1"/>
  <c r="CV200" i="2" s="1"/>
  <c r="CU172" i="2" a="1"/>
  <c r="CU172" i="2" s="1"/>
  <c r="CV158" i="2" a="1"/>
  <c r="CV158" i="2" s="1"/>
  <c r="CU158" i="2" a="1"/>
  <c r="CU158" i="2" s="1"/>
  <c r="CV130" i="2" a="1"/>
  <c r="CV130" i="2" s="1"/>
  <c r="CV88" i="2" a="1"/>
  <c r="CV88" i="2" s="1"/>
  <c r="CV74" i="2" a="1"/>
  <c r="CV74" i="2" s="1"/>
  <c r="CU60" i="2" a="1"/>
  <c r="CU60" i="2" s="1"/>
  <c r="CU46" i="2" a="1"/>
  <c r="CU46" i="2" s="1"/>
  <c r="CV32" i="2" a="1"/>
  <c r="CV32" i="2" s="1"/>
  <c r="CT32" i="2" a="1"/>
  <c r="CT32" i="2" s="1"/>
  <c r="CU32" i="2" a="1"/>
  <c r="CU32" i="2" s="1"/>
  <c r="CV680" i="2" a="1"/>
  <c r="CV680" i="2" s="1"/>
  <c r="CT680" i="2" a="1"/>
  <c r="CT680" i="2" s="1"/>
  <c r="CU666" i="2" a="1"/>
  <c r="CU666" i="2" s="1"/>
  <c r="CV652" i="2" a="1"/>
  <c r="CV652" i="2" s="1"/>
  <c r="CU652" i="2" a="1"/>
  <c r="CU652" i="2" s="1"/>
  <c r="CU638" i="2" a="1"/>
  <c r="CU638" i="2" s="1"/>
  <c r="CV624" i="2" a="1"/>
  <c r="CV624" i="2" s="1"/>
  <c r="CT624" i="2" a="1"/>
  <c r="CT624" i="2" s="1"/>
  <c r="CU624" i="2" a="1"/>
  <c r="CU624" i="2" s="1"/>
  <c r="CT610" i="2" a="1"/>
  <c r="CT610" i="2" s="1"/>
  <c r="CV610" i="2" a="1"/>
  <c r="CV610" i="2" s="1"/>
  <c r="CU596" i="2" a="1"/>
  <c r="CU596" i="2" s="1"/>
  <c r="CV582" i="2" a="1"/>
  <c r="CV582" i="2" s="1"/>
  <c r="CU582" i="2" a="1"/>
  <c r="CU582" i="2" s="1"/>
  <c r="CU568" i="2" a="1"/>
  <c r="CU568" i="2" s="1"/>
  <c r="CU554" i="2" a="1"/>
  <c r="CU554" i="2" s="1"/>
  <c r="CV540" i="2" a="1"/>
  <c r="CV540" i="2" s="1"/>
  <c r="CU540" i="2" a="1"/>
  <c r="CU540" i="2" s="1"/>
  <c r="CV526" i="2" a="1"/>
  <c r="CV526" i="2" s="1"/>
  <c r="CU526" i="2" a="1"/>
  <c r="CU526" i="2" s="1"/>
  <c r="CV512" i="2" a="1"/>
  <c r="CV512" i="2" s="1"/>
  <c r="CT498" i="2" a="1"/>
  <c r="CT498" i="2" s="1"/>
  <c r="CU498" i="2" a="1"/>
  <c r="CU498" i="2" s="1"/>
  <c r="CU484" i="2" a="1"/>
  <c r="CU484" i="2" s="1"/>
  <c r="CT484" i="2" a="1"/>
  <c r="CT484" i="2" s="1"/>
  <c r="CV484" i="2" a="1"/>
  <c r="CV484" i="2" s="1"/>
  <c r="CT470" i="2" a="1"/>
  <c r="CT470" i="2" s="1"/>
  <c r="CV456" i="2" a="1"/>
  <c r="CV456" i="2" s="1"/>
  <c r="CT442" i="2" a="1"/>
  <c r="CT442" i="2" s="1"/>
  <c r="CV428" i="2" a="1"/>
  <c r="CV428" i="2" s="1"/>
  <c r="CT400" i="2" a="1"/>
  <c r="CT400" i="2" s="1"/>
  <c r="CU400" i="2" a="1"/>
  <c r="CU400" i="2" s="1"/>
  <c r="CV400" i="2" a="1"/>
  <c r="CV400" i="2" s="1"/>
  <c r="CU372" i="2" a="1"/>
  <c r="CU372" i="2" s="1"/>
  <c r="CT372" i="2" a="1"/>
  <c r="CT372" i="2" s="1"/>
  <c r="CV358" i="2" a="1"/>
  <c r="CV358" i="2" s="1"/>
  <c r="CU358" i="2" a="1"/>
  <c r="CU358" i="2" s="1"/>
  <c r="CT344" i="2" a="1"/>
  <c r="CT344" i="2" s="1"/>
  <c r="CU344" i="2" a="1"/>
  <c r="CU344" i="2" s="1"/>
  <c r="CV330" i="2" a="1"/>
  <c r="CV330" i="2" s="1"/>
  <c r="CT330" i="2" a="1"/>
  <c r="CT330" i="2" s="1"/>
  <c r="CU330" i="2" a="1"/>
  <c r="CU330" i="2" s="1"/>
  <c r="CT316" i="2" a="1"/>
  <c r="CT316" i="2" s="1"/>
  <c r="CV302" i="2" a="1"/>
  <c r="CV302" i="2" s="1"/>
  <c r="CU288" i="2" a="1"/>
  <c r="CU288" i="2" s="1"/>
  <c r="CV274" i="2" a="1"/>
  <c r="CV274" i="2" s="1"/>
  <c r="CU260" i="2" a="1"/>
  <c r="CU260" i="2" s="1"/>
  <c r="CV246" i="2" a="1"/>
  <c r="CV246" i="2" s="1"/>
  <c r="CV232" i="2" a="1"/>
  <c r="CV232" i="2" s="1"/>
  <c r="CU232" i="2" a="1"/>
  <c r="CU232" i="2" s="1"/>
  <c r="CU204" i="2" a="1"/>
  <c r="CU204" i="2" s="1"/>
  <c r="CU190" i="2" a="1"/>
  <c r="CU190" i="2" s="1"/>
  <c r="CV190" i="2" a="1"/>
  <c r="CV190" i="2" s="1"/>
  <c r="CU176" i="2" a="1"/>
  <c r="CU176" i="2" s="1"/>
  <c r="CU162" i="2" a="1"/>
  <c r="CU162" i="2" s="1"/>
  <c r="CV148" i="2" a="1"/>
  <c r="CV148" i="2" s="1"/>
  <c r="CU134" i="2" a="1"/>
  <c r="CU134" i="2" s="1"/>
  <c r="CV134" i="2" a="1"/>
  <c r="CV134" i="2" s="1"/>
  <c r="CV120" i="2" a="1"/>
  <c r="CV120" i="2" s="1"/>
  <c r="CV106" i="2" a="1"/>
  <c r="CV106" i="2" s="1"/>
  <c r="CV64" i="2" a="1"/>
  <c r="CV64" i="2" s="1"/>
  <c r="CV50" i="2" a="1"/>
  <c r="CV50" i="2" s="1"/>
  <c r="CV36" i="2" a="1"/>
  <c r="CV36" i="2" s="1"/>
  <c r="CV22" i="2" a="1"/>
  <c r="CV22" i="2" s="1"/>
  <c r="CT698" i="2" a="1"/>
  <c r="CT698" i="2" s="1"/>
  <c r="CV698" i="2" a="1"/>
  <c r="CV698" i="2" s="1"/>
  <c r="CT684" i="2" a="1"/>
  <c r="CT684" i="2" s="1"/>
  <c r="CU684" i="2" a="1"/>
  <c r="CU684" i="2" s="1"/>
  <c r="CT670" i="2" a="1"/>
  <c r="CT670" i="2" s="1"/>
  <c r="CV670" i="2" a="1"/>
  <c r="CV670" i="2" s="1"/>
  <c r="CT656" i="2" a="1"/>
  <c r="CT656" i="2" s="1"/>
  <c r="CU656" i="2" a="1"/>
  <c r="CU656" i="2" s="1"/>
  <c r="CT642" i="2" a="1"/>
  <c r="CT642" i="2" s="1"/>
  <c r="CV642" i="2" a="1"/>
  <c r="CV642" i="2" s="1"/>
  <c r="CT628" i="2" a="1"/>
  <c r="CT628" i="2" s="1"/>
  <c r="CU628" i="2" a="1"/>
  <c r="CU628" i="2" s="1"/>
  <c r="CV628" i="2" a="1"/>
  <c r="CV628" i="2" s="1"/>
  <c r="CT614" i="2" a="1"/>
  <c r="CT614" i="2" s="1"/>
  <c r="CU614" i="2" a="1"/>
  <c r="CU614" i="2" s="1"/>
  <c r="CT600" i="2" a="1"/>
  <c r="CT600" i="2" s="1"/>
  <c r="CU600" i="2" a="1"/>
  <c r="CU600" i="2" s="1"/>
  <c r="CV600" i="2" a="1"/>
  <c r="CV600" i="2" s="1"/>
  <c r="CU586" i="2" a="1"/>
  <c r="CU586" i="2" s="1"/>
  <c r="CT586" i="2" a="1"/>
  <c r="CT586" i="2" s="1"/>
  <c r="CT572" i="2" a="1"/>
  <c r="CT572" i="2" s="1"/>
  <c r="CU572" i="2" a="1"/>
  <c r="CU572" i="2" s="1"/>
  <c r="CT558" i="2" a="1"/>
  <c r="CT558" i="2" s="1"/>
  <c r="CV558" i="2" a="1"/>
  <c r="CV558" i="2" s="1"/>
  <c r="CU558" i="2" a="1"/>
  <c r="CU558" i="2" s="1"/>
  <c r="CT544" i="2" a="1"/>
  <c r="CT544" i="2" s="1"/>
  <c r="CV544" i="2" a="1"/>
  <c r="CV544" i="2" s="1"/>
  <c r="CT530" i="2" a="1"/>
  <c r="CT530" i="2" s="1"/>
  <c r="CU530" i="2" a="1"/>
  <c r="CU530" i="2" s="1"/>
  <c r="CV530" i="2" a="1"/>
  <c r="CV530" i="2" s="1"/>
  <c r="CT516" i="2" a="1"/>
  <c r="CT516" i="2" s="1"/>
  <c r="CU502" i="2" a="1"/>
  <c r="CU502" i="2" s="1"/>
  <c r="CT502" i="2" a="1"/>
  <c r="CT502" i="2" s="1"/>
  <c r="CV502" i="2" a="1"/>
  <c r="CV502" i="2" s="1"/>
  <c r="CT488" i="2" a="1"/>
  <c r="CT488" i="2" s="1"/>
  <c r="CT474" i="2" a="1"/>
  <c r="CT474" i="2" s="1"/>
  <c r="CU474" i="2" a="1"/>
  <c r="CU474" i="2" s="1"/>
  <c r="CV474" i="2" a="1"/>
  <c r="CV474" i="2" s="1"/>
  <c r="CT460" i="2" a="1"/>
  <c r="CT460" i="2" s="1"/>
  <c r="CU460" i="2" a="1"/>
  <c r="CU460" i="2" s="1"/>
  <c r="CT446" i="2" a="1"/>
  <c r="CT446" i="2" s="1"/>
  <c r="CU446" i="2" a="1"/>
  <c r="CU446" i="2" s="1"/>
  <c r="CV446" i="2" a="1"/>
  <c r="CV446" i="2" s="1"/>
  <c r="CU432" i="2" a="1"/>
  <c r="CU432" i="2" s="1"/>
  <c r="CT432" i="2" a="1"/>
  <c r="CT432" i="2" s="1"/>
  <c r="CT418" i="2" a="1"/>
  <c r="CT418" i="2" s="1"/>
  <c r="CU418" i="2" a="1"/>
  <c r="CU418" i="2" s="1"/>
  <c r="CV418" i="2" a="1"/>
  <c r="CV418" i="2" s="1"/>
  <c r="CT404" i="2" a="1"/>
  <c r="CT404" i="2" s="1"/>
  <c r="CU404" i="2" a="1"/>
  <c r="CU404" i="2" s="1"/>
  <c r="CT390" i="2" a="1"/>
  <c r="CT390" i="2" s="1"/>
  <c r="CU390" i="2" a="1"/>
  <c r="CU390" i="2" s="1"/>
  <c r="CV390" i="2" a="1"/>
  <c r="CV390" i="2" s="1"/>
  <c r="CV376" i="2" a="1"/>
  <c r="CV376" i="2" s="1"/>
  <c r="CT376" i="2" a="1"/>
  <c r="CT376" i="2" s="1"/>
  <c r="CU376" i="2" a="1"/>
  <c r="CU376" i="2" s="1"/>
  <c r="CT362" i="2" a="1"/>
  <c r="CT362" i="2" s="1"/>
  <c r="CV362" i="2" a="1"/>
  <c r="CV362" i="2" s="1"/>
  <c r="CU362" i="2" a="1"/>
  <c r="CU362" i="2" s="1"/>
  <c r="CT348" i="2" a="1"/>
  <c r="CT348" i="2" s="1"/>
  <c r="CV348" i="2" a="1"/>
  <c r="CV348" i="2" s="1"/>
  <c r="CT334" i="2" a="1"/>
  <c r="CT334" i="2" s="1"/>
  <c r="CT320" i="2" a="1"/>
  <c r="CT320" i="2" s="1"/>
  <c r="CU320" i="2" a="1"/>
  <c r="CU320" i="2" s="1"/>
  <c r="CV320" i="2" a="1"/>
  <c r="CV320" i="2" s="1"/>
  <c r="CU306" i="2" a="1"/>
  <c r="CU306" i="2" s="1"/>
  <c r="CT306" i="2" a="1"/>
  <c r="CT306" i="2" s="1"/>
  <c r="CU292" i="2" a="1"/>
  <c r="CU292" i="2" s="1"/>
  <c r="CV292" i="2" a="1"/>
  <c r="CV292" i="2" s="1"/>
  <c r="CT278" i="2" a="1"/>
  <c r="CT278" i="2" s="1"/>
  <c r="CU278" i="2" a="1"/>
  <c r="CU278" i="2" s="1"/>
  <c r="CV278" i="2" a="1"/>
  <c r="CV278" i="2" s="1"/>
  <c r="CU264" i="2" a="1"/>
  <c r="CU264" i="2" s="1"/>
  <c r="CV264" i="2" a="1"/>
  <c r="CV264" i="2" s="1"/>
  <c r="CT264" i="2" a="1"/>
  <c r="CT264" i="2" s="1"/>
  <c r="CT250" i="2" a="1"/>
  <c r="CT250" i="2" s="1"/>
  <c r="CU250" i="2" a="1"/>
  <c r="CU250" i="2" s="1"/>
  <c r="CT236" i="2" a="1"/>
  <c r="CT236" i="2" s="1"/>
  <c r="CT222" i="2" a="1"/>
  <c r="CT222" i="2" s="1"/>
  <c r="CU222" i="2" a="1"/>
  <c r="CU222" i="2" s="1"/>
  <c r="CV222" i="2" a="1"/>
  <c r="CV222" i="2" s="1"/>
  <c r="CT208" i="2" a="1"/>
  <c r="CT208" i="2" s="1"/>
  <c r="CU208" i="2" a="1"/>
  <c r="CU208" i="2" s="1"/>
  <c r="CT194" i="2" a="1"/>
  <c r="CT194" i="2" s="1"/>
  <c r="CU194" i="2" a="1"/>
  <c r="CU194" i="2" s="1"/>
  <c r="CT180" i="2" a="1"/>
  <c r="CT180" i="2" s="1"/>
  <c r="CU180" i="2" a="1"/>
  <c r="CU180" i="2" s="1"/>
  <c r="CV180" i="2" a="1"/>
  <c r="CV180" i="2" s="1"/>
  <c r="CT166" i="2" a="1"/>
  <c r="CT166" i="2" s="1"/>
  <c r="CT152" i="2" a="1"/>
  <c r="CT152" i="2" s="1"/>
  <c r="CT138" i="2" a="1"/>
  <c r="CT138" i="2" s="1"/>
  <c r="CU138" i="2" a="1"/>
  <c r="CU138" i="2" s="1"/>
  <c r="CV138" i="2" a="1"/>
  <c r="CV138" i="2" s="1"/>
  <c r="CT124" i="2" a="1"/>
  <c r="CT124" i="2" s="1"/>
  <c r="CU124" i="2" a="1"/>
  <c r="CU124" i="2" s="1"/>
  <c r="CT110" i="2" a="1"/>
  <c r="CT110" i="2" s="1"/>
  <c r="CV110" i="2" a="1"/>
  <c r="CV110" i="2" s="1"/>
  <c r="CT96" i="2" a="1"/>
  <c r="CT96" i="2" s="1"/>
  <c r="CU96" i="2" a="1"/>
  <c r="CU96" i="2" s="1"/>
  <c r="CV96" i="2" a="1"/>
  <c r="CV96" i="2" s="1"/>
  <c r="CT82" i="2" a="1"/>
  <c r="CT82" i="2" s="1"/>
  <c r="CV82" i="2" a="1"/>
  <c r="CV82" i="2" s="1"/>
  <c r="CU82" i="2" a="1"/>
  <c r="CU82" i="2" s="1"/>
  <c r="CT68" i="2" a="1"/>
  <c r="CT68" i="2" s="1"/>
  <c r="CU54" i="2" a="1"/>
  <c r="CU54" i="2" s="1"/>
  <c r="CT54" i="2" a="1"/>
  <c r="CT54" i="2" s="1"/>
  <c r="CV54" i="2" a="1"/>
  <c r="CV54" i="2" s="1"/>
  <c r="CU40" i="2" a="1"/>
  <c r="CU40" i="2" s="1"/>
  <c r="CT40" i="2" a="1"/>
  <c r="CT40" i="2" s="1"/>
  <c r="CV40" i="2" a="1"/>
  <c r="CV40" i="2" s="1"/>
  <c r="CV26" i="2" a="1"/>
  <c r="CV26" i="2" s="1"/>
  <c r="CT26" i="2" a="1"/>
  <c r="CT26" i="2" s="1"/>
  <c r="CU26" i="2" a="1"/>
  <c r="CU26" i="2" s="1"/>
  <c r="CT12" i="2" a="1"/>
  <c r="CT12" i="2" s="1"/>
  <c r="CV12" i="2" a="1"/>
  <c r="CV12" i="2" s="1"/>
  <c r="CV702" i="2" a="1"/>
  <c r="CV702" i="2" s="1"/>
  <c r="CU702" i="2" a="1"/>
  <c r="CU702" i="2" s="1"/>
  <c r="CT702" i="2" a="1"/>
  <c r="CT702" i="2" s="1"/>
  <c r="CU688" i="2" a="1"/>
  <c r="CU688" i="2" s="1"/>
  <c r="CV688" i="2" a="1"/>
  <c r="CV688" i="2" s="1"/>
  <c r="CT688" i="2" a="1"/>
  <c r="CT688" i="2" s="1"/>
  <c r="CT674" i="2" a="1"/>
  <c r="CT674" i="2" s="1"/>
  <c r="CU674" i="2" a="1"/>
  <c r="CU674" i="2" s="1"/>
  <c r="CT660" i="2" a="1"/>
  <c r="CT660" i="2" s="1"/>
  <c r="CU646" i="2" a="1"/>
  <c r="CU646" i="2" s="1"/>
  <c r="CV646" i="2" a="1"/>
  <c r="CV646" i="2" s="1"/>
  <c r="CU632" i="2" a="1"/>
  <c r="CU632" i="2" s="1"/>
  <c r="CT632" i="2" a="1"/>
  <c r="CT632" i="2" s="1"/>
  <c r="CU618" i="2" a="1"/>
  <c r="CU618" i="2" s="1"/>
  <c r="CV618" i="2" a="1"/>
  <c r="CV618" i="2" s="1"/>
  <c r="CT604" i="2" a="1"/>
  <c r="CT604" i="2" s="1"/>
  <c r="CV604" i="2" a="1"/>
  <c r="CV604" i="2" s="1"/>
  <c r="CT590" i="2" a="1"/>
  <c r="CT590" i="2" s="1"/>
  <c r="CU576" i="2" a="1"/>
  <c r="CU576" i="2" s="1"/>
  <c r="CT576" i="2" a="1"/>
  <c r="CT576" i="2" s="1"/>
  <c r="CV576" i="2" a="1"/>
  <c r="CV576" i="2" s="1"/>
  <c r="CU562" i="2" a="1"/>
  <c r="CU562" i="2" s="1"/>
  <c r="CT562" i="2" a="1"/>
  <c r="CT562" i="2" s="1"/>
  <c r="CU548" i="2" a="1"/>
  <c r="CU548" i="2" s="1"/>
  <c r="CV548" i="2" a="1"/>
  <c r="CV548" i="2" s="1"/>
  <c r="CT548" i="2" a="1"/>
  <c r="CT548" i="2" s="1"/>
  <c r="CT534" i="2" a="1"/>
  <c r="CT534" i="2" s="1"/>
  <c r="CU534" i="2" a="1"/>
  <c r="CU534" i="2" s="1"/>
  <c r="CT520" i="2" a="1"/>
  <c r="CT520" i="2" s="1"/>
  <c r="CV520" i="2" a="1"/>
  <c r="CV520" i="2" s="1"/>
  <c r="CV506" i="2" a="1"/>
  <c r="CV506" i="2" s="1"/>
  <c r="CU506" i="2" a="1"/>
  <c r="CU506" i="2" s="1"/>
  <c r="CT492" i="2" a="1"/>
  <c r="CT492" i="2" s="1"/>
  <c r="CU492" i="2" a="1"/>
  <c r="CU492" i="2" s="1"/>
  <c r="CT478" i="2" a="1"/>
  <c r="CT478" i="2" s="1"/>
  <c r="CU478" i="2" a="1"/>
  <c r="CU478" i="2" s="1"/>
  <c r="CT464" i="2" a="1"/>
  <c r="CT464" i="2" s="1"/>
  <c r="CU464" i="2" a="1"/>
  <c r="CU464" i="2" s="1"/>
  <c r="CV464" i="2" a="1"/>
  <c r="CV464" i="2" s="1"/>
  <c r="CT450" i="2" a="1"/>
  <c r="CT450" i="2" s="1"/>
  <c r="CU450" i="2" a="1"/>
  <c r="CU450" i="2" s="1"/>
  <c r="CT436" i="2" a="1"/>
  <c r="CT436" i="2" s="1"/>
  <c r="CV436" i="2" a="1"/>
  <c r="CV436" i="2" s="1"/>
  <c r="CU436" i="2" a="1"/>
  <c r="CU436" i="2" s="1"/>
  <c r="CT422" i="2" a="1"/>
  <c r="CT422" i="2" s="1"/>
  <c r="CU422" i="2" a="1"/>
  <c r="CU422" i="2" s="1"/>
  <c r="CT408" i="2" a="1"/>
  <c r="CT408" i="2" s="1"/>
  <c r="CV408" i="2" a="1"/>
  <c r="CV408" i="2" s="1"/>
  <c r="CU408" i="2" a="1"/>
  <c r="CU408" i="2" s="1"/>
  <c r="CT394" i="2" a="1"/>
  <c r="CT394" i="2" s="1"/>
  <c r="CU394" i="2" a="1"/>
  <c r="CU394" i="2" s="1"/>
  <c r="CT338" i="2" a="1"/>
  <c r="CT338" i="2" s="1"/>
  <c r="CT310" i="2" a="1"/>
  <c r="CT310" i="2" s="1"/>
  <c r="CT100" i="2" a="1"/>
  <c r="CT100" i="2" s="1"/>
  <c r="CV170" i="2" a="1"/>
  <c r="CV170" i="2" s="1"/>
  <c r="CV128" i="2" a="1"/>
  <c r="CV128" i="2" s="1"/>
  <c r="CV86" i="2" a="1"/>
  <c r="CV86" i="2" s="1"/>
  <c r="CT16" i="2" a="1"/>
  <c r="CT16" i="2" s="1"/>
  <c r="CT678" i="2" a="1"/>
  <c r="CT678" i="2" s="1"/>
  <c r="CU622" i="2" a="1"/>
  <c r="CU622" i="2" s="1"/>
  <c r="CU594" i="2" a="1"/>
  <c r="CU594" i="2" s="1"/>
  <c r="CT538" i="2" a="1"/>
  <c r="CT538" i="2" s="1"/>
  <c r="CU370" i="2" a="1"/>
  <c r="CU370" i="2" s="1"/>
  <c r="CU314" i="2" a="1"/>
  <c r="CU314" i="2" s="1"/>
  <c r="CU188" i="2" a="1"/>
  <c r="CU188" i="2" s="1"/>
  <c r="CT132" i="2" a="1"/>
  <c r="CT132" i="2" s="1"/>
  <c r="CU598" i="2" a="1"/>
  <c r="CU598" i="2" s="1"/>
  <c r="CU388" i="2" a="1"/>
  <c r="CU388" i="2" s="1"/>
  <c r="CT206" i="2" a="1"/>
  <c r="CT206" i="2" s="1"/>
  <c r="CT546" i="2" a="1"/>
  <c r="CT546" i="2" s="1"/>
  <c r="CV219" i="2" a="1"/>
  <c r="CV219" i="2" s="1"/>
  <c r="CU58" i="2" a="1"/>
  <c r="CU58" i="2" s="1"/>
  <c r="CU44" i="2" a="1"/>
  <c r="CU44" i="2" s="1"/>
  <c r="CU2" i="2" a="1"/>
  <c r="CU2" i="2" s="1"/>
  <c r="CU664" i="2" a="1"/>
  <c r="CU664" i="2" s="1"/>
  <c r="CU608" i="2" a="1"/>
  <c r="CU608" i="2" s="1"/>
  <c r="CT566" i="2" a="1"/>
  <c r="CT566" i="2" s="1"/>
  <c r="CU552" i="2" a="1"/>
  <c r="CU552" i="2" s="1"/>
  <c r="CT510" i="2" a="1"/>
  <c r="CT510" i="2" s="1"/>
  <c r="CV426" i="2" a="1"/>
  <c r="CV426" i="2" s="1"/>
  <c r="CU328" i="2" a="1"/>
  <c r="CU328" i="2" s="1"/>
  <c r="CV272" i="2" a="1"/>
  <c r="CV272" i="2" s="1"/>
  <c r="CU244" i="2" a="1"/>
  <c r="CU244" i="2" s="1"/>
  <c r="CU174" i="2" a="1"/>
  <c r="CU174" i="2" s="1"/>
  <c r="CU104" i="2" a="1"/>
  <c r="CU104" i="2" s="1"/>
  <c r="CV48" i="2" a="1"/>
  <c r="CV48" i="2" s="1"/>
  <c r="CU570" i="2" a="1"/>
  <c r="CU570" i="2" s="1"/>
  <c r="CV416" i="2" a="1"/>
  <c r="CV416" i="2" s="1"/>
  <c r="CV220" i="2" a="1"/>
  <c r="CV220" i="2" s="1"/>
  <c r="CT192" i="2" a="1"/>
  <c r="CT192" i="2" s="1"/>
  <c r="CT448" i="2" a="1"/>
  <c r="CT448" i="2" s="1"/>
  <c r="CV632" i="2" a="1"/>
  <c r="CV632" i="2" s="1"/>
  <c r="CV603" i="2" a="1"/>
  <c r="CV603" i="2" s="1"/>
  <c r="CV587" i="2" a="1"/>
  <c r="CV587" i="2" s="1"/>
  <c r="CV554" i="2" a="1"/>
  <c r="CV554" i="2" s="1"/>
  <c r="CV460" i="2" a="1"/>
  <c r="CV460" i="2" s="1"/>
  <c r="CV326" i="2" a="1"/>
  <c r="CV326" i="2" s="1"/>
  <c r="CV307" i="2" a="1"/>
  <c r="CV307" i="2" s="1"/>
  <c r="CU475" i="2" a="1"/>
  <c r="CU475" i="2" s="1"/>
  <c r="CU438" i="2" a="1"/>
  <c r="CU438" i="2" s="1"/>
  <c r="CU349" i="2" a="1"/>
  <c r="CU349" i="2" s="1"/>
  <c r="CU163" i="2" a="1"/>
  <c r="CU163" i="2" s="1"/>
  <c r="CU110" i="2" a="1"/>
  <c r="CU110" i="2" s="1"/>
  <c r="CV405" i="2" a="1"/>
  <c r="CV405" i="2" s="1"/>
  <c r="CV289" i="2" a="1"/>
  <c r="CV289" i="2" s="1"/>
  <c r="CU661" i="2" a="1"/>
  <c r="CU661" i="2" s="1"/>
  <c r="CU605" i="2" a="1"/>
  <c r="CU605" i="2" s="1"/>
  <c r="CU428" i="2" a="1"/>
  <c r="CU428" i="2" s="1"/>
  <c r="CT694" i="2" a="1"/>
  <c r="CT694" i="2" s="1"/>
  <c r="CT559" i="2" a="1"/>
  <c r="CT559" i="2" s="1"/>
  <c r="CT382" i="2" a="1"/>
  <c r="CT382" i="2" s="1"/>
  <c r="CU549" i="2" a="1"/>
  <c r="CU549" i="2" s="1"/>
  <c r="CV615" i="2" a="1"/>
  <c r="CV615" i="2" s="1"/>
  <c r="CV508" i="2" a="1"/>
  <c r="CV508" i="2" s="1"/>
  <c r="CV163" i="2" a="1"/>
  <c r="CV163" i="2" s="1"/>
  <c r="CV69" i="2" a="1"/>
  <c r="CV69" i="2" s="1"/>
  <c r="CV46" i="2" a="1"/>
  <c r="CV46" i="2" s="1"/>
  <c r="CU575" i="2" a="1"/>
  <c r="CU575" i="2" s="1"/>
  <c r="CU503" i="2" a="1"/>
  <c r="CU503" i="2" s="1"/>
  <c r="CT292" i="2" a="1"/>
  <c r="CT292" i="2" s="1"/>
  <c r="CV643" i="2" a="1"/>
  <c r="CV643" i="2" s="1"/>
  <c r="CV144" i="2" a="1"/>
  <c r="CV144" i="2" s="1"/>
  <c r="CU302" i="2" a="1"/>
  <c r="CU302" i="2" s="1"/>
  <c r="CT177" i="2" a="1"/>
  <c r="CT177" i="2" s="1"/>
  <c r="CV675" i="2" a="1"/>
  <c r="CV675" i="2" s="1"/>
  <c r="CV507" i="2" a="1"/>
  <c r="CV507" i="2" s="1"/>
  <c r="CU470" i="2" a="1"/>
  <c r="CU470" i="2" s="1"/>
  <c r="CV568" i="2" a="1"/>
  <c r="CV568" i="2" s="1"/>
  <c r="CV535" i="2" a="1"/>
  <c r="CV535" i="2" s="1"/>
  <c r="CV177" i="2" a="1"/>
  <c r="CV177" i="2" s="1"/>
  <c r="CU573" i="2" a="1"/>
  <c r="CU573" i="2" s="1"/>
  <c r="CT354" i="2" a="1"/>
  <c r="CT354" i="2" s="1"/>
  <c r="CV647" i="2" a="1"/>
  <c r="CV647" i="2" s="1"/>
  <c r="CV372" i="2" a="1"/>
  <c r="CV372" i="2" s="1"/>
  <c r="CV162" i="2" a="1"/>
  <c r="CV162" i="2" s="1"/>
  <c r="CU633" i="2" a="1"/>
  <c r="CU633" i="2" s="1"/>
  <c r="CU293" i="2" a="1"/>
  <c r="CU293" i="2" s="1"/>
  <c r="CV703" i="2" a="1"/>
  <c r="CV703" i="2" s="1"/>
  <c r="CV674" i="2" a="1"/>
  <c r="CV674" i="2" s="1"/>
  <c r="CV596" i="2" a="1"/>
  <c r="CV596" i="2" s="1"/>
  <c r="CV563" i="2" a="1"/>
  <c r="CV563" i="2" s="1"/>
  <c r="CV470" i="2" a="1"/>
  <c r="CV470" i="2" s="1"/>
  <c r="CV268" i="2" a="1"/>
  <c r="CV268" i="2" s="1"/>
  <c r="CU657" i="2" a="1"/>
  <c r="CU657" i="2" s="1"/>
  <c r="CU603" i="2" a="1"/>
  <c r="CU603" i="2" s="1"/>
  <c r="CU335" i="2" a="1"/>
  <c r="CU335" i="2" s="1"/>
  <c r="CU198" i="2" a="1"/>
  <c r="CU198" i="2" s="1"/>
  <c r="CU93" i="2" a="1"/>
  <c r="CU93" i="2" s="1"/>
  <c r="CT671" i="2" a="1"/>
  <c r="CT671" i="2" s="1"/>
  <c r="CT650" i="2" a="1"/>
  <c r="CT650" i="2" s="1"/>
  <c r="CT636" i="2" a="1"/>
  <c r="CT636" i="2" s="1"/>
  <c r="CU496" i="2" a="1"/>
  <c r="CU496" i="2" s="1"/>
  <c r="CT482" i="2" a="1"/>
  <c r="CT482" i="2" s="1"/>
  <c r="CU412" i="2" a="1"/>
  <c r="CU412" i="2" s="1"/>
  <c r="CT398" i="2" a="1"/>
  <c r="CT398" i="2" s="1"/>
  <c r="CU356" i="2" a="1"/>
  <c r="CU356" i="2" s="1"/>
  <c r="CU300" i="2" a="1"/>
  <c r="CU300" i="2" s="1"/>
  <c r="CT216" i="2" a="1"/>
  <c r="CT216" i="2" s="1"/>
  <c r="CU146" i="2" a="1"/>
  <c r="CU146" i="2" s="1"/>
  <c r="CU118" i="2" a="1"/>
  <c r="CU118" i="2" s="1"/>
  <c r="CU90" i="2" a="1"/>
  <c r="CU90" i="2" s="1"/>
  <c r="CT76" i="2" a="1"/>
  <c r="CT76" i="2" s="1"/>
  <c r="CV76" i="2" a="1"/>
  <c r="CV76" i="2" s="1"/>
  <c r="CT34" i="2" a="1"/>
  <c r="CT34" i="2" s="1"/>
  <c r="CV20" i="2" a="1"/>
  <c r="CV20" i="2" s="1"/>
  <c r="CT696" i="2" a="1"/>
  <c r="CT696" i="2" s="1"/>
  <c r="CV654" i="2" a="1"/>
  <c r="CV654" i="2" s="1"/>
  <c r="CU640" i="2" a="1"/>
  <c r="CU640" i="2" s="1"/>
  <c r="CT626" i="2" a="1"/>
  <c r="CT626" i="2" s="1"/>
  <c r="CT612" i="2" a="1"/>
  <c r="CT612" i="2" s="1"/>
  <c r="CT584" i="2" a="1"/>
  <c r="CT584" i="2" s="1"/>
  <c r="CV556" i="2" a="1"/>
  <c r="CV556" i="2" s="1"/>
  <c r="CT556" i="2" a="1"/>
  <c r="CT556" i="2" s="1"/>
  <c r="CT542" i="2" a="1"/>
  <c r="CT542" i="2" s="1"/>
  <c r="CU528" i="2" a="1"/>
  <c r="CU528" i="2" s="1"/>
  <c r="CU514" i="2" a="1"/>
  <c r="CU514" i="2" s="1"/>
  <c r="CT514" i="2" a="1"/>
  <c r="CT514" i="2" s="1"/>
  <c r="CU500" i="2" a="1"/>
  <c r="CU500" i="2" s="1"/>
  <c r="CU486" i="2" a="1"/>
  <c r="CU486" i="2" s="1"/>
  <c r="CU472" i="2" a="1"/>
  <c r="CU472" i="2" s="1"/>
  <c r="CV458" i="2" a="1"/>
  <c r="CV458" i="2" s="1"/>
  <c r="CU430" i="2" a="1"/>
  <c r="CU430" i="2" s="1"/>
  <c r="CU374" i="2" a="1"/>
  <c r="CU374" i="2" s="1"/>
  <c r="CT360" i="2" a="1"/>
  <c r="CT360" i="2" s="1"/>
  <c r="CU360" i="2" a="1"/>
  <c r="CU360" i="2" s="1"/>
  <c r="CV360" i="2" a="1"/>
  <c r="CV360" i="2" s="1"/>
  <c r="CT318" i="2" a="1"/>
  <c r="CT318" i="2" s="1"/>
  <c r="CT304" i="2" a="1"/>
  <c r="CT304" i="2" s="1"/>
  <c r="CT290" i="2" a="1"/>
  <c r="CT290" i="2" s="1"/>
  <c r="CU290" i="2" a="1"/>
  <c r="CU290" i="2" s="1"/>
  <c r="CV262" i="2" a="1"/>
  <c r="CV262" i="2" s="1"/>
  <c r="CV248" i="2" a="1"/>
  <c r="CV248" i="2" s="1"/>
  <c r="CT234" i="2" a="1"/>
  <c r="CT234" i="2" s="1"/>
  <c r="CU178" i="2" a="1"/>
  <c r="CU178" i="2" s="1"/>
  <c r="CU164" i="2" a="1"/>
  <c r="CU164" i="2" s="1"/>
  <c r="CV164" i="2" a="1"/>
  <c r="CV164" i="2" s="1"/>
  <c r="CU150" i="2" a="1"/>
  <c r="CU150" i="2" s="1"/>
  <c r="CT150" i="2" a="1"/>
  <c r="CT150" i="2" s="1"/>
  <c r="CV150" i="2" a="1"/>
  <c r="CV150" i="2" s="1"/>
  <c r="CT136" i="2" a="1"/>
  <c r="CT136" i="2" s="1"/>
  <c r="CU136" i="2" a="1"/>
  <c r="CU136" i="2" s="1"/>
  <c r="CT122" i="2" a="1"/>
  <c r="CT122" i="2" s="1"/>
  <c r="CU122" i="2" a="1"/>
  <c r="CU122" i="2" s="1"/>
  <c r="CT108" i="2" a="1"/>
  <c r="CT108" i="2" s="1"/>
  <c r="CT94" i="2" a="1"/>
  <c r="CT94" i="2" s="1"/>
  <c r="CV80" i="2" a="1"/>
  <c r="CV80" i="2" s="1"/>
  <c r="CU80" i="2" a="1"/>
  <c r="CU80" i="2" s="1"/>
  <c r="CV66" i="2" a="1"/>
  <c r="CV66" i="2" s="1"/>
  <c r="CU66" i="2" a="1"/>
  <c r="CU66" i="2" s="1"/>
  <c r="CV52" i="2" a="1"/>
  <c r="CV52" i="2" s="1"/>
  <c r="CU52" i="2" a="1"/>
  <c r="CU52" i="2" s="1"/>
  <c r="CV38" i="2" a="1"/>
  <c r="CV38" i="2" s="1"/>
  <c r="CT38" i="2" a="1"/>
  <c r="CT38" i="2" s="1"/>
  <c r="CU38" i="2" a="1"/>
  <c r="CU38" i="2" s="1"/>
  <c r="CT24" i="2" a="1"/>
  <c r="CT24" i="2" s="1"/>
  <c r="CU24" i="2" a="1"/>
  <c r="CU24" i="2" s="1"/>
  <c r="CV24" i="2" a="1"/>
  <c r="CV24" i="2" s="1"/>
  <c r="CV10" i="2" a="1"/>
  <c r="CV10" i="2" s="1"/>
  <c r="CU10" i="2" a="1"/>
  <c r="CU10" i="2" s="1"/>
  <c r="CU700" i="2" a="1"/>
  <c r="CU700" i="2" s="1"/>
  <c r="CT700" i="2" a="1"/>
  <c r="CT700" i="2" s="1"/>
  <c r="CU686" i="2" a="1"/>
  <c r="CU686" i="2" s="1"/>
  <c r="CT686" i="2" a="1"/>
  <c r="CT686" i="2" s="1"/>
  <c r="CU672" i="2" a="1"/>
  <c r="CU672" i="2" s="1"/>
  <c r="CT672" i="2" a="1"/>
  <c r="CT672" i="2" s="1"/>
  <c r="CV672" i="2" a="1"/>
  <c r="CV672" i="2" s="1"/>
  <c r="CU658" i="2" a="1"/>
  <c r="CU658" i="2" s="1"/>
  <c r="CT658" i="2" a="1"/>
  <c r="CT658" i="2" s="1"/>
  <c r="CU644" i="2" a="1"/>
  <c r="CU644" i="2" s="1"/>
  <c r="CU630" i="2" a="1"/>
  <c r="CU630" i="2" s="1"/>
  <c r="CT602" i="2" a="1"/>
  <c r="CT602" i="2" s="1"/>
  <c r="CU574" i="2" a="1"/>
  <c r="CU574" i="2" s="1"/>
  <c r="CV574" i="2" a="1"/>
  <c r="CV574" i="2" s="1"/>
  <c r="CT560" i="2" a="1"/>
  <c r="CT560" i="2" s="1"/>
  <c r="CT532" i="2" a="1"/>
  <c r="CT532" i="2" s="1"/>
  <c r="CU532" i="2" a="1"/>
  <c r="CU532" i="2" s="1"/>
  <c r="CT518" i="2" a="1"/>
  <c r="CT518" i="2" s="1"/>
  <c r="CU518" i="2" a="1"/>
  <c r="CU518" i="2" s="1"/>
  <c r="CU504" i="2" a="1"/>
  <c r="CU504" i="2" s="1"/>
  <c r="CV504" i="2" a="1"/>
  <c r="CV504" i="2" s="1"/>
  <c r="CT490" i="2" a="1"/>
  <c r="CT490" i="2" s="1"/>
  <c r="CV476" i="2" a="1"/>
  <c r="CV476" i="2" s="1"/>
  <c r="CU434" i="2" a="1"/>
  <c r="CU434" i="2" s="1"/>
  <c r="CT434" i="2" a="1"/>
  <c r="CT434" i="2" s="1"/>
  <c r="CT420" i="2" a="1"/>
  <c r="CT420" i="2" s="1"/>
  <c r="CU420" i="2" a="1"/>
  <c r="CU420" i="2" s="1"/>
  <c r="CT406" i="2" a="1"/>
  <c r="CT406" i="2" s="1"/>
  <c r="CV406" i="2" a="1"/>
  <c r="CV406" i="2" s="1"/>
  <c r="CT392" i="2" a="1"/>
  <c r="CT392" i="2" s="1"/>
  <c r="CU392" i="2" a="1"/>
  <c r="CU392" i="2" s="1"/>
  <c r="CT378" i="2" a="1"/>
  <c r="CT378" i="2" s="1"/>
  <c r="CV378" i="2" a="1"/>
  <c r="CV378" i="2" s="1"/>
  <c r="CU378" i="2" a="1"/>
  <c r="CU378" i="2" s="1"/>
  <c r="CT364" i="2" a="1"/>
  <c r="CT364" i="2" s="1"/>
  <c r="CU364" i="2" a="1"/>
  <c r="CU364" i="2" s="1"/>
  <c r="CU350" i="2" a="1"/>
  <c r="CU350" i="2" s="1"/>
  <c r="CT350" i="2" a="1"/>
  <c r="CT350" i="2" s="1"/>
  <c r="CU336" i="2" a="1"/>
  <c r="CU336" i="2" s="1"/>
  <c r="CV308" i="2" a="1"/>
  <c r="CV308" i="2" s="1"/>
  <c r="CT294" i="2" a="1"/>
  <c r="CT294" i="2" s="1"/>
  <c r="CV280" i="2" a="1"/>
  <c r="CV280" i="2" s="1"/>
  <c r="CT266" i="2" a="1"/>
  <c r="CT266" i="2" s="1"/>
  <c r="CT252" i="2" a="1"/>
  <c r="CT252" i="2" s="1"/>
  <c r="CU238" i="2" a="1"/>
  <c r="CU238" i="2" s="1"/>
  <c r="CV238" i="2" a="1"/>
  <c r="CV238" i="2" s="1"/>
  <c r="CT224" i="2" a="1"/>
  <c r="CT224" i="2" s="1"/>
  <c r="CU224" i="2" a="1"/>
  <c r="CU224" i="2" s="1"/>
  <c r="CV224" i="2" a="1"/>
  <c r="CV224" i="2" s="1"/>
  <c r="CT210" i="2" a="1"/>
  <c r="CT210" i="2" s="1"/>
  <c r="CT196" i="2" a="1"/>
  <c r="CT196" i="2" s="1"/>
  <c r="CT182" i="2" a="1"/>
  <c r="CT182" i="2" s="1"/>
  <c r="CU182" i="2" a="1"/>
  <c r="CU182" i="2" s="1"/>
  <c r="CT168" i="2" a="1"/>
  <c r="CT168" i="2" s="1"/>
  <c r="CU168" i="2" a="1"/>
  <c r="CU168" i="2" s="1"/>
  <c r="CT154" i="2" a="1"/>
  <c r="CT154" i="2" s="1"/>
  <c r="CU154" i="2" a="1"/>
  <c r="CU154" i="2" s="1"/>
  <c r="CT56" i="2" a="1"/>
  <c r="CT56" i="2" s="1"/>
  <c r="CV28" i="2" a="1"/>
  <c r="CV28" i="2" s="1"/>
  <c r="CV662" i="2" a="1"/>
  <c r="CV662" i="2" s="1"/>
  <c r="CV466" i="2" a="1"/>
  <c r="CV466" i="2" s="1"/>
  <c r="CT452" i="2" a="1"/>
  <c r="CT452" i="2" s="1"/>
  <c r="CT438" i="2" a="1"/>
  <c r="CT438" i="2" s="1"/>
  <c r="CT410" i="2" a="1"/>
  <c r="CT410" i="2" s="1"/>
  <c r="CU340" i="2" a="1"/>
  <c r="CU340" i="2" s="1"/>
  <c r="CU312" i="2" a="1"/>
  <c r="CU312" i="2" s="1"/>
  <c r="CT144" i="2" a="1"/>
  <c r="CT144" i="2" s="1"/>
  <c r="CT130" i="2" a="1"/>
  <c r="CT130" i="2" s="1"/>
  <c r="CV664" i="2" a="1"/>
  <c r="CV664" i="2" s="1"/>
  <c r="CV532" i="2" a="1"/>
  <c r="CV532" i="2" s="1"/>
  <c r="CV486" i="2" a="1"/>
  <c r="CV486" i="2" s="1"/>
  <c r="CV448" i="2" a="1"/>
  <c r="CV448" i="2" s="1"/>
  <c r="CV304" i="2" a="1"/>
  <c r="CV304" i="2" s="1"/>
  <c r="CV266" i="2" a="1"/>
  <c r="CV266" i="2" s="1"/>
  <c r="CV234" i="2" a="1"/>
  <c r="CV234" i="2" s="1"/>
  <c r="CU626" i="2" a="1"/>
  <c r="CU626" i="2" s="1"/>
  <c r="CU612" i="2" a="1"/>
  <c r="CU612" i="2" s="1"/>
  <c r="CT458" i="2" a="1"/>
  <c r="CT458" i="2" s="1"/>
  <c r="CT336" i="2" a="1"/>
  <c r="CT336" i="2" s="1"/>
  <c r="CT238" i="2" a="1"/>
  <c r="CT238" i="2" s="1"/>
  <c r="CT52" i="2" a="1"/>
  <c r="CT52" i="2" s="1"/>
  <c r="CU510" i="2" a="1"/>
  <c r="CU510" i="2" s="1"/>
  <c r="CT630" i="2" a="1"/>
  <c r="CT630" i="2" s="1"/>
  <c r="CT86" i="2" a="1"/>
  <c r="CT86" i="2" s="1"/>
  <c r="CU650" i="2" a="1"/>
  <c r="CU650" i="2" s="1"/>
  <c r="CT426" i="2" a="1"/>
  <c r="CT426" i="2" s="1"/>
  <c r="CU308" i="2" a="1"/>
  <c r="CU308" i="2" s="1"/>
  <c r="CT10" i="2" a="1"/>
  <c r="CT10" i="2" s="1"/>
  <c r="CV636" i="2" a="1"/>
  <c r="CV636" i="2" s="1"/>
  <c r="CU636" i="2" a="1"/>
  <c r="CU636" i="2" s="1"/>
  <c r="CV626" i="2" a="1"/>
  <c r="CV626" i="2" s="1"/>
  <c r="CU416" i="2" a="1"/>
  <c r="CU416" i="2" s="1"/>
  <c r="CT574" i="2" a="1"/>
  <c r="CT574" i="2" s="1"/>
  <c r="CT118" i="2" a="1"/>
  <c r="CT118" i="2" s="1"/>
  <c r="CT48" i="2" a="1"/>
  <c r="CT48" i="2" s="1"/>
  <c r="CV696" i="2" a="1"/>
  <c r="CV696" i="2" s="1"/>
  <c r="CV608" i="2" a="1"/>
  <c r="CV608" i="2" s="1"/>
  <c r="CV538" i="2" a="1"/>
  <c r="CV538" i="2" s="1"/>
  <c r="CV210" i="2" a="1"/>
  <c r="CV210" i="2" s="1"/>
  <c r="CV178" i="2" a="1"/>
  <c r="CV178" i="2" s="1"/>
  <c r="CU476" i="2" a="1"/>
  <c r="CU476" i="2" s="1"/>
  <c r="CU294" i="2" a="1"/>
  <c r="CU294" i="2" s="1"/>
  <c r="CT356" i="2" a="1"/>
  <c r="CT356" i="2" s="1"/>
  <c r="CU538" i="2" a="1"/>
  <c r="CU538" i="2" s="1"/>
  <c r="CT468" i="2" a="1"/>
  <c r="CT468" i="2" s="1"/>
  <c r="CT454" i="2" a="1"/>
  <c r="CT454" i="2" s="1"/>
  <c r="CU145" i="2" a="1"/>
  <c r="CU145" i="2" s="1"/>
  <c r="CT89" i="2" a="1"/>
  <c r="CT89" i="2" s="1"/>
  <c r="CT695" i="2" a="1"/>
  <c r="CT695" i="2" s="1"/>
  <c r="CU694" i="2" a="1"/>
  <c r="CU694" i="2" s="1"/>
  <c r="CT582" i="2" a="1"/>
  <c r="CT582" i="2" s="1"/>
  <c r="CT526" i="2" a="1"/>
  <c r="CT526" i="2" s="1"/>
  <c r="CT659" i="2" a="1"/>
  <c r="CT659" i="2" s="1"/>
  <c r="CU156" i="2" a="1"/>
  <c r="CU156" i="2" s="1"/>
  <c r="CT142" i="2" a="1"/>
  <c r="CT142" i="2" s="1"/>
  <c r="CU128" i="2" a="1"/>
  <c r="CU128" i="2" s="1"/>
  <c r="CU86" i="2" a="1"/>
  <c r="CU86" i="2" s="1"/>
  <c r="CV72" i="2" a="1"/>
  <c r="CV72" i="2" s="1"/>
  <c r="CU72" i="2" a="1"/>
  <c r="CU72" i="2" s="1"/>
  <c r="CT30" i="2" a="1"/>
  <c r="CT30" i="2" s="1"/>
  <c r="CU30" i="2" a="1"/>
  <c r="CU30" i="2" s="1"/>
  <c r="CU16" i="2" a="1"/>
  <c r="CU16" i="2" s="1"/>
  <c r="CT2" i="2" a="1"/>
  <c r="CT2" i="2" s="1"/>
  <c r="CT692" i="2" a="1"/>
  <c r="CT692" i="2" s="1"/>
  <c r="CU692" i="2" a="1"/>
  <c r="CU692" i="2" s="1"/>
  <c r="CT594" i="2" a="1"/>
  <c r="CT594" i="2" s="1"/>
  <c r="CU580" i="2" a="1"/>
  <c r="CU580" i="2" s="1"/>
  <c r="CT552" i="2" a="1"/>
  <c r="CT552" i="2" s="1"/>
  <c r="CT524" i="2" a="1"/>
  <c r="CT524" i="2" s="1"/>
  <c r="CT496" i="2" a="1"/>
  <c r="CT496" i="2" s="1"/>
  <c r="CU482" i="2" a="1"/>
  <c r="CU482" i="2" s="1"/>
  <c r="CT440" i="2" a="1"/>
  <c r="CT440" i="2" s="1"/>
  <c r="CT412" i="2" a="1"/>
  <c r="CT412" i="2" s="1"/>
  <c r="CU398" i="2" a="1"/>
  <c r="CU398" i="2" s="1"/>
  <c r="CU384" i="2" a="1"/>
  <c r="CU384" i="2" s="1"/>
  <c r="CT370" i="2" a="1"/>
  <c r="CT370" i="2" s="1"/>
  <c r="CT342" i="2" a="1"/>
  <c r="CT342" i="2" s="1"/>
  <c r="CU342" i="2" a="1"/>
  <c r="CU342" i="2" s="1"/>
  <c r="CT328" i="2" a="1"/>
  <c r="CT328" i="2" s="1"/>
  <c r="CT314" i="2" a="1"/>
  <c r="CT314" i="2" s="1"/>
  <c r="CT300" i="2" a="1"/>
  <c r="CT300" i="2" s="1"/>
  <c r="CU286" i="2" a="1"/>
  <c r="CU286" i="2" s="1"/>
  <c r="CU272" i="2" a="1"/>
  <c r="CU272" i="2" s="1"/>
  <c r="CV258" i="2" a="1"/>
  <c r="CV258" i="2" s="1"/>
  <c r="CT244" i="2" a="1"/>
  <c r="CT244" i="2" s="1"/>
  <c r="CV244" i="2" a="1"/>
  <c r="CV244" i="2" s="1"/>
  <c r="CU230" i="2" a="1"/>
  <c r="CU230" i="2" s="1"/>
  <c r="CV230" i="2" a="1"/>
  <c r="CV230" i="2" s="1"/>
  <c r="CV216" i="2" a="1"/>
  <c r="CV216" i="2" s="1"/>
  <c r="CV202" i="2" a="1"/>
  <c r="CV202" i="2" s="1"/>
  <c r="CV188" i="2" a="1"/>
  <c r="CV188" i="2" s="1"/>
  <c r="CT174" i="2" a="1"/>
  <c r="CT174" i="2" s="1"/>
  <c r="CV174" i="2" a="1"/>
  <c r="CV174" i="2" s="1"/>
  <c r="CV160" i="2" a="1"/>
  <c r="CV160" i="2" s="1"/>
  <c r="CT146" i="2" a="1"/>
  <c r="CT146" i="2" s="1"/>
  <c r="CV146" i="2" a="1"/>
  <c r="CV146" i="2" s="1"/>
  <c r="CU132" i="2" a="1"/>
  <c r="CU132" i="2" s="1"/>
  <c r="CV132" i="2" a="1"/>
  <c r="CV132" i="2" s="1"/>
  <c r="CV118" i="2" a="1"/>
  <c r="CV118" i="2" s="1"/>
  <c r="CV104" i="2" a="1"/>
  <c r="CV104" i="2" s="1"/>
  <c r="CV90" i="2" a="1"/>
  <c r="CV90" i="2" s="1"/>
  <c r="CU76" i="2" a="1"/>
  <c r="CU76" i="2" s="1"/>
  <c r="CU62" i="2" a="1"/>
  <c r="CU62" i="2" s="1"/>
  <c r="CU48" i="2" a="1"/>
  <c r="CU48" i="2" s="1"/>
  <c r="CT20" i="2" a="1"/>
  <c r="CT20" i="2" s="1"/>
  <c r="CU20" i="2" a="1"/>
  <c r="CU20" i="2" s="1"/>
  <c r="CU6" i="2" a="1"/>
  <c r="CU6" i="2" s="1"/>
  <c r="CT682" i="2" a="1"/>
  <c r="CT682" i="2" s="1"/>
  <c r="CU668" i="2" a="1"/>
  <c r="CU668" i="2" s="1"/>
  <c r="CT654" i="2" a="1"/>
  <c r="CT654" i="2" s="1"/>
  <c r="CU556" i="2" a="1"/>
  <c r="CU556" i="2" s="1"/>
  <c r="CU197" i="2" a="1"/>
  <c r="CU197" i="2" s="1"/>
  <c r="CV57" i="2" a="1"/>
  <c r="CV57" i="2" s="1"/>
  <c r="CV29" i="2" a="1"/>
  <c r="CV29" i="2" s="1"/>
  <c r="CT677" i="2" a="1"/>
  <c r="CT677" i="2" s="1"/>
  <c r="CT663" i="2" a="1"/>
  <c r="CT663" i="2" s="1"/>
  <c r="CT649" i="2" a="1"/>
  <c r="CT649" i="2" s="1"/>
  <c r="CT635" i="2" a="1"/>
  <c r="CT635" i="2" s="1"/>
  <c r="CU635" i="2" a="1"/>
  <c r="CU635" i="2" s="1"/>
  <c r="CT621" i="2" a="1"/>
  <c r="CT621" i="2" s="1"/>
  <c r="CT607" i="2" a="1"/>
  <c r="CT607" i="2" s="1"/>
  <c r="CT593" i="2" a="1"/>
  <c r="CT593" i="2" s="1"/>
  <c r="CT579" i="2" a="1"/>
  <c r="CT579" i="2" s="1"/>
  <c r="CT565" i="2" a="1"/>
  <c r="CT565" i="2" s="1"/>
  <c r="CU565" i="2" a="1"/>
  <c r="CU565" i="2" s="1"/>
  <c r="CU509" i="2" a="1"/>
  <c r="CU509" i="2" s="1"/>
  <c r="CU495" i="2" a="1"/>
  <c r="CU495" i="2" s="1"/>
  <c r="CT467" i="2" a="1"/>
  <c r="CT467" i="2" s="1"/>
  <c r="CU467" i="2" a="1"/>
  <c r="CU467" i="2" s="1"/>
  <c r="CT453" i="2" a="1"/>
  <c r="CT453" i="2" s="1"/>
  <c r="CU439" i="2" a="1"/>
  <c r="CU439" i="2" s="1"/>
  <c r="CT383" i="2" a="1"/>
  <c r="CT383" i="2" s="1"/>
  <c r="CU369" i="2" a="1"/>
  <c r="CU369" i="2" s="1"/>
  <c r="CT355" i="2" a="1"/>
  <c r="CT355" i="2" s="1"/>
  <c r="CT327" i="2" a="1"/>
  <c r="CT327" i="2" s="1"/>
  <c r="CT313" i="2" a="1"/>
  <c r="CT313" i="2" s="1"/>
  <c r="CU271" i="2" a="1"/>
  <c r="CU271" i="2" s="1"/>
  <c r="CT257" i="2" a="1"/>
  <c r="CT257" i="2" s="1"/>
  <c r="CT243" i="2" a="1"/>
  <c r="CT243" i="2" s="1"/>
  <c r="CU243" i="2" a="1"/>
  <c r="CU243" i="2" s="1"/>
  <c r="CU215" i="2" a="1"/>
  <c r="CU215" i="2" s="1"/>
  <c r="CT201" i="2" a="1"/>
  <c r="CT201" i="2" s="1"/>
  <c r="CT187" i="2" a="1"/>
  <c r="CT187" i="2" s="1"/>
  <c r="CU173" i="2" a="1"/>
  <c r="CU173" i="2" s="1"/>
  <c r="CT117" i="2" a="1"/>
  <c r="CT117" i="2" s="1"/>
  <c r="CU103" i="2" a="1"/>
  <c r="CU103" i="2" s="1"/>
  <c r="CV75" i="2" a="1"/>
  <c r="CV75" i="2" s="1"/>
  <c r="CT61" i="2" a="1"/>
  <c r="CT61" i="2" s="1"/>
  <c r="CU47" i="2" a="1"/>
  <c r="CU47" i="2" s="1"/>
  <c r="CU33" i="2" a="1"/>
  <c r="CU33" i="2" s="1"/>
  <c r="CT19" i="2" a="1"/>
  <c r="CT19" i="2" s="1"/>
  <c r="CU681" i="2" a="1"/>
  <c r="CU681" i="2" s="1"/>
  <c r="CU597" i="2" a="1"/>
  <c r="CU597" i="2" s="1"/>
  <c r="CT666" i="2" a="1"/>
  <c r="CT666" i="2" s="1"/>
  <c r="CT652" i="2" a="1"/>
  <c r="CT652" i="2" s="1"/>
  <c r="CT638" i="2" a="1"/>
  <c r="CT638" i="2" s="1"/>
  <c r="CU610" i="2" a="1"/>
  <c r="CU610" i="2" s="1"/>
  <c r="CT596" i="2" a="1"/>
  <c r="CT596" i="2" s="1"/>
  <c r="CT568" i="2" a="1"/>
  <c r="CT568" i="2" s="1"/>
  <c r="CT554" i="2" a="1"/>
  <c r="CT554" i="2" s="1"/>
  <c r="CT540" i="2" a="1"/>
  <c r="CT540" i="2" s="1"/>
  <c r="CU512" i="2" a="1"/>
  <c r="CU512" i="2" s="1"/>
  <c r="CT512" i="2" a="1"/>
  <c r="CT512" i="2" s="1"/>
  <c r="CT456" i="2" a="1"/>
  <c r="CT456" i="2" s="1"/>
  <c r="CU456" i="2" a="1"/>
  <c r="CU456" i="2" s="1"/>
  <c r="CU442" i="2" a="1"/>
  <c r="CU442" i="2" s="1"/>
  <c r="CT428" i="2" a="1"/>
  <c r="CT428" i="2" s="1"/>
  <c r="CT358" i="2" a="1"/>
  <c r="CT358" i="2" s="1"/>
  <c r="CT687" i="2" a="1"/>
  <c r="CT687" i="2" s="1"/>
  <c r="CU673" i="2" a="1"/>
  <c r="CU673" i="2" s="1"/>
  <c r="CT645" i="2" a="1"/>
  <c r="CT645" i="2" s="1"/>
  <c r="CT631" i="2" a="1"/>
  <c r="CT631" i="2" s="1"/>
  <c r="CT589" i="2" a="1"/>
  <c r="CT589" i="2" s="1"/>
  <c r="CT561" i="2" a="1"/>
  <c r="CT561" i="2" s="1"/>
  <c r="CT547" i="2" a="1"/>
  <c r="CT547" i="2" s="1"/>
  <c r="CU547" i="2" a="1"/>
  <c r="CU547" i="2" s="1"/>
  <c r="CT435" i="2" a="1"/>
  <c r="CT435" i="2" s="1"/>
  <c r="CU140" i="2" a="1"/>
  <c r="CU140" i="2" s="1"/>
  <c r="CT126" i="2" a="1"/>
  <c r="CT126" i="2" s="1"/>
  <c r="CT112" i="2" a="1"/>
  <c r="CT112" i="2" s="1"/>
  <c r="CU112" i="2" a="1"/>
  <c r="CU112" i="2" s="1"/>
  <c r="CT98" i="2" a="1"/>
  <c r="CT98" i="2" s="1"/>
  <c r="CU98" i="2" a="1"/>
  <c r="CU98" i="2" s="1"/>
  <c r="CU84" i="2" a="1"/>
  <c r="CU84" i="2" s="1"/>
  <c r="CT70" i="2" a="1"/>
  <c r="CT70" i="2" s="1"/>
  <c r="CV42" i="2" a="1"/>
  <c r="CV42" i="2" s="1"/>
  <c r="CT14" i="2" a="1"/>
  <c r="CT14" i="2" s="1"/>
  <c r="CT704" i="2" a="1"/>
  <c r="CT704" i="2" s="1"/>
  <c r="CT690" i="2" a="1"/>
  <c r="CT690" i="2" s="1"/>
  <c r="CU676" i="2" a="1"/>
  <c r="CU676" i="2" s="1"/>
  <c r="CT648" i="2" a="1"/>
  <c r="CT648" i="2" s="1"/>
  <c r="CT620" i="2" a="1"/>
  <c r="CT620" i="2" s="1"/>
  <c r="CT606" i="2" a="1"/>
  <c r="CT606" i="2" s="1"/>
  <c r="CU592" i="2" a="1"/>
  <c r="CU592" i="2" s="1"/>
  <c r="CT564" i="2" a="1"/>
  <c r="CT564" i="2" s="1"/>
  <c r="CT508" i="2" a="1"/>
  <c r="CT508" i="2" s="1"/>
  <c r="CU494" i="2" a="1"/>
  <c r="CU494" i="2" s="1"/>
  <c r="CT480" i="2" a="1"/>
  <c r="CT480" i="2" s="1"/>
  <c r="CT424" i="2" a="1"/>
  <c r="CT424" i="2" s="1"/>
  <c r="CU424" i="2" a="1"/>
  <c r="CU424" i="2" s="1"/>
  <c r="CT396" i="2" a="1"/>
  <c r="CT396" i="2" s="1"/>
  <c r="CU396" i="2" a="1"/>
  <c r="CU396" i="2" s="1"/>
  <c r="CT368" i="2" a="1"/>
  <c r="CT368" i="2" s="1"/>
  <c r="CU368" i="2" a="1"/>
  <c r="CU368" i="2" s="1"/>
  <c r="CU354" i="2" a="1"/>
  <c r="CU354" i="2" s="1"/>
  <c r="CT298" i="2" a="1"/>
  <c r="CT298" i="2" s="1"/>
  <c r="CU298" i="2" a="1"/>
  <c r="CU298" i="2" s="1"/>
  <c r="CT284" i="2" a="1"/>
  <c r="CT284" i="2" s="1"/>
  <c r="CT270" i="2" a="1"/>
  <c r="CT270" i="2" s="1"/>
  <c r="CU256" i="2" a="1"/>
  <c r="CU256" i="2" s="1"/>
  <c r="CT242" i="2" a="1"/>
  <c r="CT242" i="2" s="1"/>
  <c r="CT228" i="2" a="1"/>
  <c r="CT228" i="2" s="1"/>
  <c r="CT214" i="2" a="1"/>
  <c r="CT214" i="2" s="1"/>
  <c r="CT200" i="2" a="1"/>
  <c r="CT200" i="2" s="1"/>
  <c r="CT186" i="2" a="1"/>
  <c r="CT186" i="2" s="1"/>
  <c r="CU186" i="2" a="1"/>
  <c r="CU186" i="2" s="1"/>
  <c r="CT172" i="2" a="1"/>
  <c r="CT172" i="2" s="1"/>
  <c r="CT158" i="2" a="1"/>
  <c r="CT158" i="2" s="1"/>
  <c r="CU116" i="2" a="1"/>
  <c r="CU116" i="2" s="1"/>
  <c r="CT102" i="2" a="1"/>
  <c r="CT102" i="2" s="1"/>
  <c r="CU102" i="2" a="1"/>
  <c r="CU102" i="2" s="1"/>
  <c r="CT88" i="2" a="1"/>
  <c r="CT88" i="2" s="1"/>
  <c r="CU88" i="2" a="1"/>
  <c r="CU88" i="2" s="1"/>
  <c r="CT74" i="2" a="1"/>
  <c r="CT74" i="2" s="1"/>
  <c r="CT60" i="2" a="1"/>
  <c r="CT60" i="2" s="1"/>
  <c r="CV60" i="2" a="1"/>
  <c r="CV60" i="2" s="1"/>
  <c r="CT46" i="2" a="1"/>
  <c r="CT46" i="2" s="1"/>
  <c r="CU18" i="2" a="1"/>
  <c r="CU18" i="2" s="1"/>
  <c r="CV18" i="2" a="1"/>
  <c r="CV18" i="2" s="1"/>
  <c r="CT4" i="2" a="1"/>
  <c r="CT4" i="2" s="1"/>
  <c r="CV393" i="2" a="1"/>
  <c r="CV393" i="2" s="1"/>
  <c r="CV142" i="2" a="1"/>
  <c r="CV142" i="2" s="1"/>
  <c r="CV126" i="2" a="1"/>
  <c r="CV126" i="2" s="1"/>
  <c r="CU620" i="2" a="1"/>
  <c r="CU620" i="2" s="1"/>
  <c r="CU579" i="2" a="1"/>
  <c r="CU579" i="2" s="1"/>
  <c r="CU466" i="2" a="1"/>
  <c r="CU466" i="2" s="1"/>
  <c r="CU216" i="2" a="1"/>
  <c r="CU216" i="2" s="1"/>
  <c r="CU160" i="2" a="1"/>
  <c r="CU160" i="2" s="1"/>
  <c r="CT272" i="2" a="1"/>
  <c r="CT272" i="2" s="1"/>
  <c r="CT42" i="2" a="1"/>
  <c r="CT42" i="2" s="1"/>
  <c r="CU126" i="2" a="1"/>
  <c r="CU126" i="2" s="1"/>
  <c r="CU114" i="2" a="1"/>
  <c r="CU114" i="2" s="1"/>
  <c r="CT439" i="2" a="1"/>
  <c r="CT439" i="2" s="1"/>
  <c r="CT271" i="2" a="1"/>
  <c r="CT271" i="2" s="1"/>
  <c r="CT466" i="2" a="1"/>
  <c r="CT466" i="2" s="1"/>
  <c r="CT128" i="2" a="1"/>
  <c r="CT128" i="2" s="1"/>
  <c r="CV156" i="2" a="1"/>
  <c r="CV156" i="2" s="1"/>
  <c r="CU704" i="2" a="1"/>
  <c r="CU704" i="2" s="1"/>
  <c r="CU4" i="2" a="1"/>
  <c r="CU4" i="2" s="1"/>
  <c r="CV197" i="2" a="1"/>
  <c r="CV197" i="2" s="1"/>
  <c r="CV140" i="2" a="1"/>
  <c r="CV140" i="2" s="1"/>
  <c r="CU28" i="2" a="1"/>
  <c r="CU28" i="2" s="1"/>
  <c r="CT481" i="2" a="1"/>
  <c r="CT481" i="2" s="1"/>
  <c r="CV692" i="2" a="1"/>
  <c r="CV692" i="2" s="1"/>
  <c r="CV677" i="2" a="1"/>
  <c r="CV677" i="2" s="1"/>
  <c r="CV594" i="2" a="1"/>
  <c r="CV594" i="2" s="1"/>
  <c r="CV579" i="2" a="1"/>
  <c r="CV579" i="2" s="1"/>
  <c r="CV564" i="2" a="1"/>
  <c r="CV564" i="2" s="1"/>
  <c r="CV496" i="2" a="1"/>
  <c r="CV496" i="2" s="1"/>
  <c r="CV398" i="2" a="1"/>
  <c r="CV398" i="2" s="1"/>
  <c r="CV383" i="2" a="1"/>
  <c r="CV383" i="2" s="1"/>
  <c r="CV368" i="2" a="1"/>
  <c r="CV368" i="2" s="1"/>
  <c r="CV300" i="2" a="1"/>
  <c r="CV300" i="2" s="1"/>
  <c r="CV270" i="2" a="1"/>
  <c r="CV270" i="2" s="1"/>
  <c r="CV172" i="2" a="1"/>
  <c r="CV172" i="2" s="1"/>
  <c r="CU606" i="2" a="1"/>
  <c r="CU606" i="2" s="1"/>
  <c r="CU524" i="2" a="1"/>
  <c r="CU524" i="2" s="1"/>
  <c r="CU453" i="2" a="1"/>
  <c r="CU453" i="2" s="1"/>
  <c r="CU257" i="2" a="1"/>
  <c r="CU257" i="2" s="1"/>
  <c r="CU201" i="2" a="1"/>
  <c r="CU201" i="2" s="1"/>
  <c r="CU14" i="2" a="1"/>
  <c r="CU14" i="2" s="1"/>
  <c r="CT495" i="2" a="1"/>
  <c r="CT495" i="2" s="1"/>
  <c r="CT230" i="2" a="1"/>
  <c r="CT230" i="2" s="1"/>
  <c r="CT215" i="2" a="1"/>
  <c r="CT215" i="2" s="1"/>
  <c r="CT160" i="2" a="1"/>
  <c r="CT160" i="2" s="1"/>
  <c r="CT18" i="2" a="1"/>
  <c r="CT18" i="2" s="1"/>
  <c r="CT640" i="2" a="1"/>
  <c r="CT640" i="2" s="1"/>
  <c r="CT598" i="2" a="1"/>
  <c r="CT598" i="2" s="1"/>
  <c r="CT570" i="2" a="1"/>
  <c r="CT570" i="2" s="1"/>
  <c r="CU542" i="2" a="1"/>
  <c r="CU542" i="2" s="1"/>
  <c r="CT528" i="2" a="1"/>
  <c r="CT528" i="2" s="1"/>
  <c r="CT500" i="2" a="1"/>
  <c r="CT500" i="2" s="1"/>
  <c r="CT486" i="2" a="1"/>
  <c r="CT486" i="2" s="1"/>
  <c r="CU444" i="2" a="1"/>
  <c r="CU444" i="2" s="1"/>
  <c r="CT430" i="2" a="1"/>
  <c r="CT430" i="2" s="1"/>
  <c r="CT346" i="2" a="1"/>
  <c r="CT346" i="2" s="1"/>
  <c r="CT639" i="2" a="1"/>
  <c r="CT639" i="2" s="1"/>
  <c r="CU625" i="2" a="1"/>
  <c r="CU625" i="2" s="1"/>
  <c r="CT611" i="2" a="1"/>
  <c r="CT611" i="2" s="1"/>
  <c r="CT555" i="2" a="1"/>
  <c r="CT555" i="2" s="1"/>
  <c r="CU527" i="2" a="1"/>
  <c r="CU527" i="2" s="1"/>
  <c r="CT513" i="2" a="1"/>
  <c r="CT513" i="2" s="1"/>
  <c r="CU429" i="2" a="1"/>
  <c r="CU429" i="2" s="1"/>
  <c r="CT401" i="2" a="1"/>
  <c r="CT401" i="2" s="1"/>
  <c r="CT387" i="2" a="1"/>
  <c r="CT387" i="2" s="1"/>
  <c r="CT261" i="2" a="1"/>
  <c r="CT261" i="2" s="1"/>
  <c r="CU414" i="2" a="1"/>
  <c r="CU414" i="2" s="1"/>
  <c r="CT386" i="2" a="1"/>
  <c r="CT386" i="2" s="1"/>
  <c r="CU316" i="2" a="1"/>
  <c r="CU316" i="2" s="1"/>
  <c r="CT302" i="2" a="1"/>
  <c r="CT302" i="2" s="1"/>
  <c r="CT288" i="2" a="1"/>
  <c r="CT288" i="2" s="1"/>
  <c r="CT274" i="2" a="1"/>
  <c r="CT274" i="2" s="1"/>
  <c r="CT260" i="2" a="1"/>
  <c r="CT260" i="2" s="1"/>
  <c r="CT246" i="2" a="1"/>
  <c r="CT246" i="2" s="1"/>
  <c r="CU246" i="2" a="1"/>
  <c r="CU246" i="2" s="1"/>
  <c r="CT232" i="2" a="1"/>
  <c r="CT232" i="2" s="1"/>
  <c r="CT218" i="2" a="1"/>
  <c r="CT218" i="2" s="1"/>
  <c r="CT204" i="2" a="1"/>
  <c r="CT204" i="2" s="1"/>
  <c r="CT533" i="2" a="1"/>
  <c r="CT533" i="2" s="1"/>
  <c r="CT519" i="2" a="1"/>
  <c r="CT519" i="2" s="1"/>
  <c r="CT505" i="2" a="1"/>
  <c r="CT505" i="2" s="1"/>
  <c r="CT477" i="2" a="1"/>
  <c r="CT477" i="2" s="1"/>
  <c r="CT449" i="2" a="1"/>
  <c r="CT449" i="2" s="1"/>
  <c r="CU449" i="2" a="1"/>
  <c r="CU449" i="2" s="1"/>
  <c r="CT421" i="2" a="1"/>
  <c r="CT421" i="2" s="1"/>
  <c r="CT407" i="2" a="1"/>
  <c r="CT407" i="2" s="1"/>
  <c r="CT379" i="2" a="1"/>
  <c r="CT379" i="2" s="1"/>
  <c r="CU351" i="2" a="1"/>
  <c r="CU351" i="2" s="1"/>
  <c r="CT337" i="2" a="1"/>
  <c r="CT337" i="2" s="1"/>
  <c r="CU477" i="2" a="1"/>
  <c r="CU477" i="2" s="1"/>
  <c r="CU407" i="2" a="1"/>
  <c r="CU407" i="2" s="1"/>
  <c r="CU421" i="2" a="1"/>
  <c r="CU421" i="2" s="1"/>
  <c r="CU386" i="2" a="1"/>
  <c r="CU386" i="2" s="1"/>
  <c r="CT402" i="2" a="1"/>
  <c r="CT402" i="2" s="1"/>
  <c r="CT388" i="2" a="1"/>
  <c r="CT388" i="2" s="1"/>
  <c r="CT374" i="2" a="1"/>
  <c r="CT374" i="2" s="1"/>
  <c r="CT332" i="2" a="1"/>
  <c r="CT332" i="2" s="1"/>
  <c r="CT276" i="2" a="1"/>
  <c r="CT276" i="2" s="1"/>
  <c r="CT262" i="2" a="1"/>
  <c r="CT262" i="2" s="1"/>
  <c r="CU262" i="2" a="1"/>
  <c r="CU262" i="2" s="1"/>
  <c r="CU248" i="2" a="1"/>
  <c r="CU248" i="2" s="1"/>
  <c r="CU234" i="2" a="1"/>
  <c r="CU234" i="2" s="1"/>
  <c r="CU220" i="2" a="1"/>
  <c r="CU220" i="2" s="1"/>
  <c r="CU206" i="2" a="1"/>
  <c r="CU206" i="2" s="1"/>
  <c r="CU192" i="2" a="1"/>
  <c r="CU192" i="2" s="1"/>
  <c r="CT499" i="2" a="1"/>
  <c r="CT499" i="2" s="1"/>
  <c r="CT471" i="2" a="1"/>
  <c r="CT471" i="2" s="1"/>
  <c r="CT443" i="2" a="1"/>
  <c r="CT443" i="2" s="1"/>
  <c r="CT415" i="2" a="1"/>
  <c r="CT415" i="2" s="1"/>
  <c r="CT345" i="2" a="1"/>
  <c r="CT345" i="2" s="1"/>
  <c r="CT331" i="2" a="1"/>
  <c r="CT331" i="2" s="1"/>
  <c r="CT317" i="2" a="1"/>
  <c r="CT317" i="2" s="1"/>
  <c r="CT289" i="2" a="1"/>
  <c r="CT289" i="2" s="1"/>
  <c r="CT247" i="2" a="1"/>
  <c r="CT247" i="2" s="1"/>
  <c r="CT233" i="2" a="1"/>
  <c r="CT233" i="2" s="1"/>
  <c r="CT190" i="2" a="1"/>
  <c r="CT190" i="2" s="1"/>
  <c r="CT176" i="2" a="1"/>
  <c r="CT176" i="2" s="1"/>
  <c r="CT162" i="2" a="1"/>
  <c r="CT162" i="2" s="1"/>
  <c r="CT148" i="2" a="1"/>
  <c r="CT148" i="2" s="1"/>
  <c r="CT134" i="2" a="1"/>
  <c r="CT134" i="2" s="1"/>
  <c r="CT120" i="2" a="1"/>
  <c r="CT120" i="2" s="1"/>
  <c r="CU120" i="2" a="1"/>
  <c r="CU120" i="2" s="1"/>
  <c r="CT106" i="2" a="1"/>
  <c r="CT106" i="2" s="1"/>
  <c r="CU106" i="2" a="1"/>
  <c r="CU106" i="2" s="1"/>
  <c r="CT92" i="2" a="1"/>
  <c r="CT92" i="2" s="1"/>
  <c r="CU92" i="2" a="1"/>
  <c r="CU92" i="2" s="1"/>
  <c r="CT78" i="2" a="1"/>
  <c r="CT78" i="2" s="1"/>
  <c r="CU78" i="2" a="1"/>
  <c r="CU78" i="2" s="1"/>
  <c r="CT64" i="2" a="1"/>
  <c r="CT64" i="2" s="1"/>
  <c r="CU64" i="2" a="1"/>
  <c r="CU64" i="2" s="1"/>
  <c r="CT50" i="2" a="1"/>
  <c r="CT50" i="2" s="1"/>
  <c r="CU50" i="2" a="1"/>
  <c r="CU50" i="2" s="1"/>
  <c r="CT36" i="2" a="1"/>
  <c r="CT36" i="2" s="1"/>
  <c r="CU36" i="2" a="1"/>
  <c r="CU36" i="2" s="1"/>
  <c r="CT22" i="2" a="1"/>
  <c r="CT22" i="2" s="1"/>
  <c r="CU22" i="2" a="1"/>
  <c r="CU22" i="2" s="1"/>
  <c r="CT8" i="2" a="1"/>
  <c r="CT8" i="2" s="1"/>
  <c r="CU8" i="2" a="1"/>
  <c r="CU8" i="2" s="1"/>
  <c r="CT309" i="2" a="1"/>
  <c r="CT309" i="2" s="1"/>
  <c r="CT281" i="2" a="1"/>
  <c r="CT281" i="2" s="1"/>
  <c r="CT267" i="2" a="1"/>
  <c r="CT267" i="2" s="1"/>
  <c r="CT253" i="2" a="1"/>
  <c r="CT253" i="2" s="1"/>
  <c r="CT239" i="2" a="1"/>
  <c r="CT239" i="2" s="1"/>
  <c r="CT225" i="2" a="1"/>
  <c r="CT225" i="2" s="1"/>
  <c r="CT211" i="2" a="1"/>
  <c r="CT211" i="2" s="1"/>
  <c r="CT197" i="2" a="1"/>
  <c r="CT197" i="2" s="1"/>
  <c r="CT183" i="2" a="1"/>
  <c r="CT183" i="2" s="1"/>
  <c r="CT169" i="2" a="1"/>
  <c r="CT169" i="2" s="1"/>
  <c r="CT155" i="2" a="1"/>
  <c r="CT155" i="2" s="1"/>
  <c r="CU346" i="2" a="1"/>
  <c r="CU346" i="2" s="1"/>
  <c r="CU148" i="2" a="1"/>
  <c r="CU148" i="2" s="1"/>
  <c r="CT248" i="2" a="1"/>
  <c r="CT248" i="2" s="1"/>
  <c r="CT380" i="2" a="1"/>
  <c r="CT380" i="2" s="1"/>
  <c r="CT268" i="2" a="1"/>
  <c r="CT268" i="2" s="1"/>
  <c r="CT254" i="2" a="1"/>
  <c r="CT254" i="2" s="1"/>
  <c r="CT184" i="2" a="1"/>
  <c r="CT184" i="2" s="1"/>
  <c r="CT170" i="2" a="1"/>
  <c r="CT170" i="2" s="1"/>
  <c r="CT156" i="2" a="1"/>
  <c r="CT156" i="2" s="1"/>
  <c r="CT72" i="2" a="1"/>
  <c r="CT72" i="2" s="1"/>
  <c r="CT141" i="2" a="1"/>
  <c r="CT141" i="2" s="1"/>
  <c r="CT127" i="2" a="1"/>
  <c r="CT127" i="2" s="1"/>
  <c r="CT113" i="2" a="1"/>
  <c r="CT113" i="2" s="1"/>
  <c r="CU113" i="2" a="1"/>
  <c r="CU113" i="2" s="1"/>
  <c r="CT99" i="2" a="1"/>
  <c r="CT99" i="2" s="1"/>
  <c r="CU99" i="2" a="1"/>
  <c r="CU99" i="2" s="1"/>
  <c r="CT85" i="2" a="1"/>
  <c r="CT85" i="2" s="1"/>
  <c r="CU85" i="2" a="1"/>
  <c r="CU85" i="2" s="1"/>
  <c r="CT71" i="2" a="1"/>
  <c r="CT71" i="2" s="1"/>
  <c r="CU71" i="2" a="1"/>
  <c r="CU71" i="2" s="1"/>
  <c r="CT57" i="2" a="1"/>
  <c r="CT57" i="2" s="1"/>
  <c r="CU57" i="2" a="1"/>
  <c r="CU57" i="2" s="1"/>
  <c r="CT705" i="2" a="1"/>
  <c r="CT705" i="2" s="1"/>
  <c r="CT691" i="2" a="1"/>
  <c r="CT691" i="2" s="1"/>
  <c r="CT178" i="2" a="1"/>
  <c r="CT178" i="2" s="1"/>
  <c r="CT164" i="2" a="1"/>
  <c r="CT164" i="2" s="1"/>
  <c r="CT80" i="2" a="1"/>
  <c r="CT80" i="2" s="1"/>
  <c r="CT66" i="2" a="1"/>
  <c r="CT66" i="2" s="1"/>
  <c r="CT219" i="2" a="1"/>
  <c r="CT219" i="2" s="1"/>
  <c r="CT205" i="2" a="1"/>
  <c r="CT205" i="2" s="1"/>
  <c r="CT121" i="2" a="1"/>
  <c r="CT121" i="2" s="1"/>
  <c r="CT107" i="2" a="1"/>
  <c r="CT107" i="2" s="1"/>
  <c r="CT23" i="2" a="1"/>
  <c r="CT23" i="2" s="1"/>
  <c r="CT9" i="2" a="1"/>
  <c r="CT9" i="2" s="1"/>
  <c r="CT227" i="2" a="1"/>
  <c r="CT227" i="2" s="1"/>
  <c r="CT213" i="2" a="1"/>
  <c r="CT213" i="2" s="1"/>
  <c r="CT129" i="2" a="1"/>
  <c r="CT129" i="2" s="1"/>
  <c r="CT115" i="2" a="1"/>
  <c r="CT115" i="2" s="1"/>
  <c r="CT31" i="2" a="1"/>
  <c r="CT31" i="2" s="1"/>
  <c r="CT17" i="2" a="1"/>
  <c r="CT17" i="2" s="1"/>
  <c r="CT245" i="2" a="1"/>
  <c r="CT245" i="2" s="1"/>
  <c r="CT147" i="2" a="1"/>
  <c r="CT147" i="2" s="1"/>
  <c r="CT63" i="2" a="1"/>
  <c r="CT63" i="2" s="1"/>
  <c r="CT49" i="2" a="1"/>
  <c r="CT49" i="2" s="1"/>
  <c r="CT58" i="2" a="1"/>
  <c r="CT58" i="2" s="1"/>
  <c r="CT286" i="2" a="1"/>
  <c r="CT286" i="2" s="1"/>
  <c r="CT202" i="2" a="1"/>
  <c r="CT202" i="2" s="1"/>
  <c r="CT188" i="2" a="1"/>
  <c r="CT188" i="2" s="1"/>
  <c r="CT104" i="2" a="1"/>
  <c r="CT104" i="2" s="1"/>
  <c r="CT90" i="2" a="1"/>
  <c r="CT90" i="2" s="1"/>
  <c r="CT6" i="2" a="1"/>
  <c r="CT6" i="2" s="1"/>
  <c r="CT43" i="2" a="1"/>
  <c r="CT43" i="2" s="1"/>
  <c r="CT29" i="2" a="1"/>
  <c r="CT29" i="2" s="1"/>
  <c r="CT15" i="2" a="1"/>
  <c r="CT15" i="2" s="1"/>
  <c r="CT229" i="2" a="1"/>
  <c r="CT229" i="2" s="1"/>
  <c r="CT145" i="2" a="1"/>
  <c r="CT145" i="2" s="1"/>
  <c r="CT131" i="2" a="1"/>
  <c r="CT131" i="2" s="1"/>
  <c r="CT47" i="2" a="1"/>
  <c r="CT47" i="2" s="1"/>
  <c r="CT33" i="2" a="1"/>
  <c r="CT33" i="2" s="1"/>
  <c r="CU43" i="2" a="1"/>
  <c r="CU43" i="2" s="1"/>
  <c r="CU29" i="2" a="1"/>
  <c r="CU29" i="2" s="1"/>
  <c r="CU15" i="2" a="1"/>
  <c r="CU15" i="2" s="1"/>
  <c r="G43" i="13"/>
  <c r="D22" i="1" l="1"/>
  <c r="D31" i="1"/>
  <c r="D38" i="1"/>
  <c r="D30" i="1"/>
  <c r="D29" i="1"/>
  <c r="D21" i="1"/>
  <c r="D20" i="1"/>
  <c r="D19" i="1"/>
  <c r="D18" i="1"/>
  <c r="D17" i="1"/>
  <c r="D16" i="1"/>
  <c r="D37" i="1"/>
  <c r="D35" i="1"/>
  <c r="D15" i="1"/>
  <c r="D14" i="1"/>
  <c r="D13" i="1"/>
  <c r="D12" i="1"/>
  <c r="D11" i="1"/>
  <c r="D10" i="1"/>
  <c r="D36" i="1"/>
  <c r="E9" i="1"/>
  <c r="D9" i="1"/>
  <c r="D34" i="1"/>
  <c r="D33" i="1"/>
  <c r="D32" i="1"/>
  <c r="D28" i="1"/>
  <c r="D8" i="1"/>
  <c r="E7" i="1"/>
  <c r="D7" i="1"/>
  <c r="D27" i="1"/>
  <c r="D26" i="1"/>
  <c r="D25" i="1"/>
  <c r="D24" i="1"/>
  <c r="E6" i="1"/>
  <c r="D6" i="1"/>
  <c r="D23" i="1"/>
  <c r="D5" i="1"/>
  <c r="D4" i="1"/>
  <c r="D3" i="1"/>
  <c r="E2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3F9D41-E328-486C-B8C7-E4D856A01109}" keepAlive="1" name="Consulta - AVANCE" description="Conexión a la consulta 'AVANCE' en el libro." type="5" refreshedVersion="8" background="1" saveData="1">
    <dbPr connection="Provider=Microsoft.Mashup.OleDb.1;Data Source=$Workbook$;Location=AVANCE;Extended Properties=&quot;&quot;" command="SELECT * FROM [AVANC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<sst xmlns="http://schemas.openxmlformats.org/spreadsheetml/2006/main" count="2748" uniqueCount="931">
  <si>
    <t>TORRE</t>
  </si>
  <si>
    <t>N° MÓDULO</t>
  </si>
  <si>
    <t>N° SERIE</t>
  </si>
  <si>
    <t>TIPO</t>
  </si>
  <si>
    <t>% AVANCE</t>
  </si>
  <si>
    <t>FECHA INICIO TEORICO</t>
  </si>
  <si>
    <t>FECHA INICIO REAL</t>
  </si>
  <si>
    <t>FECHA ULTIMO REGISTRO</t>
  </si>
  <si>
    <t>FECHA TERMINO  PLANIFICADO</t>
  </si>
  <si>
    <t>DIAS SIN MOVIMIENTO</t>
  </si>
  <si>
    <t>FECHA TERMINO</t>
  </si>
  <si>
    <t>APORTE OBRA GRUESA</t>
  </si>
  <si>
    <t>OBRA GRUESA</t>
  </si>
  <si>
    <t>PISO</t>
  </si>
  <si>
    <t>TABIQUES</t>
  </si>
  <si>
    <t>MUROS</t>
  </si>
  <si>
    <t>CIELO</t>
  </si>
  <si>
    <t>BALCÓN</t>
  </si>
  <si>
    <t>APORTE SANITARIO</t>
  </si>
  <si>
    <t>SANITARIO</t>
  </si>
  <si>
    <t>RED ALCANTARILLADO</t>
  </si>
  <si>
    <t>RED DE AGUA</t>
  </si>
  <si>
    <t>VENTILACIONES</t>
  </si>
  <si>
    <t>TINA</t>
  </si>
  <si>
    <t>WC</t>
  </si>
  <si>
    <t>LAVAMANOS / LAVAPLATOS / LAVADERO</t>
  </si>
  <si>
    <t>APORTE ELÉCTRICO</t>
  </si>
  <si>
    <t>ELÉCTRICO</t>
  </si>
  <si>
    <t>CANALIZACIÓN</t>
  </si>
  <si>
    <t>CABLEADO</t>
  </si>
  <si>
    <t>ARTEFACTOS</t>
  </si>
  <si>
    <t>TABLERO</t>
  </si>
  <si>
    <t>CAJA PAU</t>
  </si>
  <si>
    <t>APORTE TERMINACIONES</t>
  </si>
  <si>
    <t>TERMINACIONES</t>
  </si>
  <si>
    <t>INSTALACION VINILICO</t>
  </si>
  <si>
    <t>OSB CUBIERTA</t>
  </si>
  <si>
    <t>BARANDA BALCON</t>
  </si>
  <si>
    <t>OSB EXTERIOR</t>
  </si>
  <si>
    <t>SMART PANEL</t>
  </si>
  <si>
    <t>PINTURA EXTERIOR</t>
  </si>
  <si>
    <t>ZOCALOS LOGIA</t>
  </si>
  <si>
    <t>MOLDURAS</t>
  </si>
  <si>
    <t>PILASTREO</t>
  </si>
  <si>
    <t>CELOSIAS</t>
  </si>
  <si>
    <t>VENTANAS</t>
  </si>
  <si>
    <t>PUERTAS ACCESO - LOGIA - BANO</t>
  </si>
  <si>
    <t>CERRADURAS</t>
  </si>
  <si>
    <t>REVESTIMIENTO INTERIOR ZONA SECA</t>
  </si>
  <si>
    <t>REVESTIMIENTO INTERIOR ZONAS HUMEDAS</t>
  </si>
  <si>
    <t>MEMBRANA CIELO</t>
  </si>
  <si>
    <t>LIMPIEZA FINAL</t>
  </si>
  <si>
    <t>PUERTAS DORMITORIO</t>
  </si>
  <si>
    <t>REVESTIMIENTO INTERIOR BANO</t>
  </si>
  <si>
    <t>MUEBLE LAVAPLATOS</t>
  </si>
  <si>
    <t>IMPERMEABILIZACION BANO - COCINA LOGIA</t>
  </si>
  <si>
    <t>TORRE 01</t>
  </si>
  <si>
    <t>M-00001</t>
  </si>
  <si>
    <t>SECO</t>
  </si>
  <si>
    <t>M-00002</t>
  </si>
  <si>
    <t>HUMEDO</t>
  </si>
  <si>
    <t>M-00003</t>
  </si>
  <si>
    <t>M-00004</t>
  </si>
  <si>
    <t>M-00005</t>
  </si>
  <si>
    <t>M-00006</t>
  </si>
  <si>
    <t>M-00007</t>
  </si>
  <si>
    <t>M-00008</t>
  </si>
  <si>
    <t>M-00009</t>
  </si>
  <si>
    <t>M-00010</t>
  </si>
  <si>
    <t>M-00011</t>
  </si>
  <si>
    <t>M-00012</t>
  </si>
  <si>
    <t>M-00013</t>
  </si>
  <si>
    <t>M-00014</t>
  </si>
  <si>
    <t>M-00015</t>
  </si>
  <si>
    <t>M-00016</t>
  </si>
  <si>
    <t>M-00017</t>
  </si>
  <si>
    <t>M-00018</t>
  </si>
  <si>
    <t>M-00019</t>
  </si>
  <si>
    <t>M-00020</t>
  </si>
  <si>
    <t>M-00021</t>
  </si>
  <si>
    <t>M-00022</t>
  </si>
  <si>
    <t>M-00023</t>
  </si>
  <si>
    <t>M-00024</t>
  </si>
  <si>
    <t>M-00025</t>
  </si>
  <si>
    <t>M-00026</t>
  </si>
  <si>
    <t>M-00027</t>
  </si>
  <si>
    <t>M-00028</t>
  </si>
  <si>
    <t>M-00029</t>
  </si>
  <si>
    <t>M-00030</t>
  </si>
  <si>
    <t>M-00031</t>
  </si>
  <si>
    <t>M-00032</t>
  </si>
  <si>
    <t>TORRE 02</t>
  </si>
  <si>
    <t>M-00033</t>
  </si>
  <si>
    <t>M-00034</t>
  </si>
  <si>
    <t>M-00035</t>
  </si>
  <si>
    <t>M-00036</t>
  </si>
  <si>
    <t>M-00037</t>
  </si>
  <si>
    <t>M-00038</t>
  </si>
  <si>
    <t>M-00039</t>
  </si>
  <si>
    <t>M-00040</t>
  </si>
  <si>
    <t>M-00041</t>
  </si>
  <si>
    <t>M-00042</t>
  </si>
  <si>
    <t>M-00043</t>
  </si>
  <si>
    <t>M-00044</t>
  </si>
  <si>
    <t>M-00045</t>
  </si>
  <si>
    <t>M-00046</t>
  </si>
  <si>
    <t>M-00047</t>
  </si>
  <si>
    <t>M-00048</t>
  </si>
  <si>
    <t>M-00049</t>
  </si>
  <si>
    <t>M-00050</t>
  </si>
  <si>
    <t>M-00051</t>
  </si>
  <si>
    <t>M-00052</t>
  </si>
  <si>
    <t>M-00053</t>
  </si>
  <si>
    <t>M-00054</t>
  </si>
  <si>
    <t>M-00055</t>
  </si>
  <si>
    <t>M-00056</t>
  </si>
  <si>
    <t>M-00057</t>
  </si>
  <si>
    <t>M-00058</t>
  </si>
  <si>
    <t>M-00059</t>
  </si>
  <si>
    <t>M-00060</t>
  </si>
  <si>
    <t>M-00061</t>
  </si>
  <si>
    <t>M-00062</t>
  </si>
  <si>
    <t>M-00063</t>
  </si>
  <si>
    <t>M-00064</t>
  </si>
  <si>
    <t>TORRE 03</t>
  </si>
  <si>
    <t>M-00065</t>
  </si>
  <si>
    <t>M-00066</t>
  </si>
  <si>
    <t>M-00067</t>
  </si>
  <si>
    <t>M-00068</t>
  </si>
  <si>
    <t>M-00069</t>
  </si>
  <si>
    <t>M-00070</t>
  </si>
  <si>
    <t>M-00071</t>
  </si>
  <si>
    <t>M-00072</t>
  </si>
  <si>
    <t>M-00073</t>
  </si>
  <si>
    <t>M-00074</t>
  </si>
  <si>
    <t>M-00075</t>
  </si>
  <si>
    <t>M-00076</t>
  </si>
  <si>
    <t>M-00077</t>
  </si>
  <si>
    <t>M-00078</t>
  </si>
  <si>
    <t>M-00079</t>
  </si>
  <si>
    <t>M-00080</t>
  </si>
  <si>
    <t>M-00081</t>
  </si>
  <si>
    <t>M-00082</t>
  </si>
  <si>
    <t>M-00083</t>
  </si>
  <si>
    <t>M-00084</t>
  </si>
  <si>
    <t>M-00085</t>
  </si>
  <si>
    <t>M-00086</t>
  </si>
  <si>
    <t>M-00087</t>
  </si>
  <si>
    <t>M-00088</t>
  </si>
  <si>
    <t>M-00089</t>
  </si>
  <si>
    <t>M-00090</t>
  </si>
  <si>
    <t>M-00091</t>
  </si>
  <si>
    <t>M-00092</t>
  </si>
  <si>
    <t>M-00093</t>
  </si>
  <si>
    <t>M-00094</t>
  </si>
  <si>
    <t>M-00095</t>
  </si>
  <si>
    <t>M-00096</t>
  </si>
  <si>
    <t>TORRE 04</t>
  </si>
  <si>
    <t>M-00097</t>
  </si>
  <si>
    <t>M-00098</t>
  </si>
  <si>
    <t>M-00099</t>
  </si>
  <si>
    <t>M-00100</t>
  </si>
  <si>
    <t>M-00101</t>
  </si>
  <si>
    <t>M-00102</t>
  </si>
  <si>
    <t>M-00103</t>
  </si>
  <si>
    <t>M-00104</t>
  </si>
  <si>
    <t>M-00105</t>
  </si>
  <si>
    <t>M-00106</t>
  </si>
  <si>
    <t>M-00107</t>
  </si>
  <si>
    <t>M-00108</t>
  </si>
  <si>
    <t>M-00109</t>
  </si>
  <si>
    <t>M-00110</t>
  </si>
  <si>
    <t>M-00111</t>
  </si>
  <si>
    <t>M-00112</t>
  </si>
  <si>
    <t>M-00113</t>
  </si>
  <si>
    <t>M-00114</t>
  </si>
  <si>
    <t>M-00115</t>
  </si>
  <si>
    <t>M-00116</t>
  </si>
  <si>
    <t>M-00117</t>
  </si>
  <si>
    <t>M-00118</t>
  </si>
  <si>
    <t>M-00119</t>
  </si>
  <si>
    <t>M-00120</t>
  </si>
  <si>
    <t>M-00121</t>
  </si>
  <si>
    <t>M-00122</t>
  </si>
  <si>
    <t>M-00123</t>
  </si>
  <si>
    <t>M-00124</t>
  </si>
  <si>
    <t>M-00125</t>
  </si>
  <si>
    <t>M-00126</t>
  </si>
  <si>
    <t>M-00127</t>
  </si>
  <si>
    <t>M-00128</t>
  </si>
  <si>
    <t>TORRE 05</t>
  </si>
  <si>
    <t>M-00129</t>
  </si>
  <si>
    <t>M-00130</t>
  </si>
  <si>
    <t>M-00131</t>
  </si>
  <si>
    <t>M-00132</t>
  </si>
  <si>
    <t>M-00133</t>
  </si>
  <si>
    <t>M-00134</t>
  </si>
  <si>
    <t>M-00135</t>
  </si>
  <si>
    <t>M-00136</t>
  </si>
  <si>
    <t>M-00137</t>
  </si>
  <si>
    <t>M-00138</t>
  </si>
  <si>
    <t>M-00139</t>
  </si>
  <si>
    <t>M-00140</t>
  </si>
  <si>
    <t>M-00141</t>
  </si>
  <si>
    <t>M-00142</t>
  </si>
  <si>
    <t>M-00143</t>
  </si>
  <si>
    <t>M-00144</t>
  </si>
  <si>
    <t>M-00145</t>
  </si>
  <si>
    <t>M-00146</t>
  </si>
  <si>
    <t>M-00147</t>
  </si>
  <si>
    <t>M-00148</t>
  </si>
  <si>
    <t>M-00149</t>
  </si>
  <si>
    <t>M-00150</t>
  </si>
  <si>
    <t>M-00151</t>
  </si>
  <si>
    <t>M-00152</t>
  </si>
  <si>
    <t>M-00153</t>
  </si>
  <si>
    <t>M-00154</t>
  </si>
  <si>
    <t>M-00155</t>
  </si>
  <si>
    <t>M-00156</t>
  </si>
  <si>
    <t>M-00157</t>
  </si>
  <si>
    <t>M-00158</t>
  </si>
  <si>
    <t>M-00159</t>
  </si>
  <si>
    <t>M-00160</t>
  </si>
  <si>
    <t>TORRE 06</t>
  </si>
  <si>
    <t>M-00161</t>
  </si>
  <si>
    <t>M-00162</t>
  </si>
  <si>
    <t>M-00163</t>
  </si>
  <si>
    <t>M-00164</t>
  </si>
  <si>
    <t>M-00165</t>
  </si>
  <si>
    <t>M-00166</t>
  </si>
  <si>
    <t>M-00167</t>
  </si>
  <si>
    <t>M-00168</t>
  </si>
  <si>
    <t>M-00169</t>
  </si>
  <si>
    <t>M-00170</t>
  </si>
  <si>
    <t>M-00171</t>
  </si>
  <si>
    <t>M-00172</t>
  </si>
  <si>
    <t>M-00173</t>
  </si>
  <si>
    <t>M-00174</t>
  </si>
  <si>
    <t>M-00175</t>
  </si>
  <si>
    <t>M-00176</t>
  </si>
  <si>
    <t>M-00177</t>
  </si>
  <si>
    <t>M-00178</t>
  </si>
  <si>
    <t>M-00179</t>
  </si>
  <si>
    <t>M-00180</t>
  </si>
  <si>
    <t>M-00181</t>
  </si>
  <si>
    <t>M-00182</t>
  </si>
  <si>
    <t>M-00183</t>
  </si>
  <si>
    <t>M-00184</t>
  </si>
  <si>
    <t>M-00185</t>
  </si>
  <si>
    <t>M-00186</t>
  </si>
  <si>
    <t>M-00187</t>
  </si>
  <si>
    <t>M-00188</t>
  </si>
  <si>
    <t>M-00189</t>
  </si>
  <si>
    <t>M-00190</t>
  </si>
  <si>
    <t>M-00191</t>
  </si>
  <si>
    <t>M-00192</t>
  </si>
  <si>
    <t>TORRE 07</t>
  </si>
  <si>
    <t>M-00193</t>
  </si>
  <si>
    <t>M-00194</t>
  </si>
  <si>
    <t>M-00195</t>
  </si>
  <si>
    <t>M-00196</t>
  </si>
  <si>
    <t>M-00197</t>
  </si>
  <si>
    <t>M-00198</t>
  </si>
  <si>
    <t>M-00199</t>
  </si>
  <si>
    <t>M-00200</t>
  </si>
  <si>
    <t>M-00201</t>
  </si>
  <si>
    <t>M-00202</t>
  </si>
  <si>
    <t>M-00203</t>
  </si>
  <si>
    <t>M-00204</t>
  </si>
  <si>
    <t>M-00205</t>
  </si>
  <si>
    <t>M-00206</t>
  </si>
  <si>
    <t>M-00207</t>
  </si>
  <si>
    <t>M-00208</t>
  </si>
  <si>
    <t>M-00209</t>
  </si>
  <si>
    <t>M-00210</t>
  </si>
  <si>
    <t>M-00211</t>
  </si>
  <si>
    <t>M-00212</t>
  </si>
  <si>
    <t>M-00213</t>
  </si>
  <si>
    <t>M-00214</t>
  </si>
  <si>
    <t>M-00215</t>
  </si>
  <si>
    <t>M-00216</t>
  </si>
  <si>
    <t>M-00217</t>
  </si>
  <si>
    <t>M-00218</t>
  </si>
  <si>
    <t>M-00219</t>
  </si>
  <si>
    <t>M-00220</t>
  </si>
  <si>
    <t>M-00221</t>
  </si>
  <si>
    <t>M-00222</t>
  </si>
  <si>
    <t>M-00223</t>
  </si>
  <si>
    <t>M-00224</t>
  </si>
  <si>
    <t>TORRE 08</t>
  </si>
  <si>
    <t>M-00225</t>
  </si>
  <si>
    <t>M-00226</t>
  </si>
  <si>
    <t>M-00227</t>
  </si>
  <si>
    <t>M-00228</t>
  </si>
  <si>
    <t>M-00229</t>
  </si>
  <si>
    <t>M-00230</t>
  </si>
  <si>
    <t>M-00231</t>
  </si>
  <si>
    <t>M-00232</t>
  </si>
  <si>
    <t>M-00233</t>
  </si>
  <si>
    <t>M-00234</t>
  </si>
  <si>
    <t>M-00235</t>
  </si>
  <si>
    <t>M-00236</t>
  </si>
  <si>
    <t>M-00237</t>
  </si>
  <si>
    <t>M-00238</t>
  </si>
  <si>
    <t>M-00239</t>
  </si>
  <si>
    <t>M-00240</t>
  </si>
  <si>
    <t>M-00241</t>
  </si>
  <si>
    <t>M-00242</t>
  </si>
  <si>
    <t>M-00243</t>
  </si>
  <si>
    <t>M-00244</t>
  </si>
  <si>
    <t>M-00245</t>
  </si>
  <si>
    <t>M-00246</t>
  </si>
  <si>
    <t>M-00247</t>
  </si>
  <si>
    <t>M-00248</t>
  </si>
  <si>
    <t>M-00249</t>
  </si>
  <si>
    <t>M-00250</t>
  </si>
  <si>
    <t>M-00251</t>
  </si>
  <si>
    <t>M-00252</t>
  </si>
  <si>
    <t>M-00253</t>
  </si>
  <si>
    <t>M-00254</t>
  </si>
  <si>
    <t>M-00255</t>
  </si>
  <si>
    <t>M-00256</t>
  </si>
  <si>
    <t>TORRE 09</t>
  </si>
  <si>
    <t>M-00257</t>
  </si>
  <si>
    <t>M-00258</t>
  </si>
  <si>
    <t>M-00259</t>
  </si>
  <si>
    <t>M-00260</t>
  </si>
  <si>
    <t>M-00261</t>
  </si>
  <si>
    <t>M-00262</t>
  </si>
  <si>
    <t>M-00263</t>
  </si>
  <si>
    <t>M-00264</t>
  </si>
  <si>
    <t>M-00265</t>
  </si>
  <si>
    <t>M-00266</t>
  </si>
  <si>
    <t>M-00267</t>
  </si>
  <si>
    <t>M-00268</t>
  </si>
  <si>
    <t>M-00269</t>
  </si>
  <si>
    <t>M-00270</t>
  </si>
  <si>
    <t>M-00271</t>
  </si>
  <si>
    <t>M-00272</t>
  </si>
  <si>
    <t>M-00273</t>
  </si>
  <si>
    <t>M-00274</t>
  </si>
  <si>
    <t>M-00275</t>
  </si>
  <si>
    <t>M-00276</t>
  </si>
  <si>
    <t>M-00277</t>
  </si>
  <si>
    <t>M-00278</t>
  </si>
  <si>
    <t>M-00279</t>
  </si>
  <si>
    <t>M-00280</t>
  </si>
  <si>
    <t>M-00281</t>
  </si>
  <si>
    <t>M-00282</t>
  </si>
  <si>
    <t>M-00283</t>
  </si>
  <si>
    <t>M-00284</t>
  </si>
  <si>
    <t>M-00285</t>
  </si>
  <si>
    <t>M-00286</t>
  </si>
  <si>
    <t>M-00287</t>
  </si>
  <si>
    <t>M-00288</t>
  </si>
  <si>
    <t>TORRE 10</t>
  </si>
  <si>
    <t>M-00289</t>
  </si>
  <si>
    <t>M-00290</t>
  </si>
  <si>
    <t>M-00291</t>
  </si>
  <si>
    <t>M-00292</t>
  </si>
  <si>
    <t>M-00293</t>
  </si>
  <si>
    <t>M-00294</t>
  </si>
  <si>
    <t>M-00295</t>
  </si>
  <si>
    <t>M-00296</t>
  </si>
  <si>
    <t>M-00297</t>
  </si>
  <si>
    <t>M-00298</t>
  </si>
  <si>
    <t>M-00299</t>
  </si>
  <si>
    <t>M-00300</t>
  </si>
  <si>
    <t>M-00301</t>
  </si>
  <si>
    <t>M-00302</t>
  </si>
  <si>
    <t>M-00303</t>
  </si>
  <si>
    <t>M-00304</t>
  </si>
  <si>
    <t>M-00305</t>
  </si>
  <si>
    <t>M-00306</t>
  </si>
  <si>
    <t>M-00307</t>
  </si>
  <si>
    <t>M-00308</t>
  </si>
  <si>
    <t>M-00309</t>
  </si>
  <si>
    <t>M-00310</t>
  </si>
  <si>
    <t>M-00311</t>
  </si>
  <si>
    <t>M-00312</t>
  </si>
  <si>
    <t>M-00313</t>
  </si>
  <si>
    <t>M-00314</t>
  </si>
  <si>
    <t>M-00315</t>
  </si>
  <si>
    <t>M-00316</t>
  </si>
  <si>
    <t>M-00317</t>
  </si>
  <si>
    <t>M-00318</t>
  </si>
  <si>
    <t>M-00319</t>
  </si>
  <si>
    <t>M-00320</t>
  </si>
  <si>
    <t>TORRE 11</t>
  </si>
  <si>
    <t>M-00321</t>
  </si>
  <si>
    <t>M-00322</t>
  </si>
  <si>
    <t>M-00323</t>
  </si>
  <si>
    <t>M-00324</t>
  </si>
  <si>
    <t>M-00325</t>
  </si>
  <si>
    <t>M-00326</t>
  </si>
  <si>
    <t>M-00327</t>
  </si>
  <si>
    <t>M-00328</t>
  </si>
  <si>
    <t>M-00329</t>
  </si>
  <si>
    <t>M-00330</t>
  </si>
  <si>
    <t>M-00331</t>
  </si>
  <si>
    <t>M-00332</t>
  </si>
  <si>
    <t>M-00333</t>
  </si>
  <si>
    <t>M-00334</t>
  </si>
  <si>
    <t>M-00335</t>
  </si>
  <si>
    <t>M-00336</t>
  </si>
  <si>
    <t>M-00337</t>
  </si>
  <si>
    <t>M-00338</t>
  </si>
  <si>
    <t>M-00339</t>
  </si>
  <si>
    <t>M-00340</t>
  </si>
  <si>
    <t>M-00341</t>
  </si>
  <si>
    <t>M-00342</t>
  </si>
  <si>
    <t>M-00343</t>
  </si>
  <si>
    <t>M-00344</t>
  </si>
  <si>
    <t>M-00345</t>
  </si>
  <si>
    <t>M-00346</t>
  </si>
  <si>
    <t>M-00347</t>
  </si>
  <si>
    <t>M-00348</t>
  </si>
  <si>
    <t>M-00349</t>
  </si>
  <si>
    <t>M-00350</t>
  </si>
  <si>
    <t>M-00351</t>
  </si>
  <si>
    <t>M-00352</t>
  </si>
  <si>
    <t>TORRE 12</t>
  </si>
  <si>
    <t>M-00353</t>
  </si>
  <si>
    <t>M-00354</t>
  </si>
  <si>
    <t>M-00355</t>
  </si>
  <si>
    <t>M-00356</t>
  </si>
  <si>
    <t>M-00357</t>
  </si>
  <si>
    <t>M-00358</t>
  </si>
  <si>
    <t>M-00359</t>
  </si>
  <si>
    <t>M-00360</t>
  </si>
  <si>
    <t>M-00361</t>
  </si>
  <si>
    <t>M-00362</t>
  </si>
  <si>
    <t>M-00363</t>
  </si>
  <si>
    <t>M-00364</t>
  </si>
  <si>
    <t>M-00365</t>
  </si>
  <si>
    <t>M-00366</t>
  </si>
  <si>
    <t>M-00367</t>
  </si>
  <si>
    <t>M-00368</t>
  </si>
  <si>
    <t>M-00369</t>
  </si>
  <si>
    <t>M-00370</t>
  </si>
  <si>
    <t>M-00371</t>
  </si>
  <si>
    <t>M-00372</t>
  </si>
  <si>
    <t>M-00373</t>
  </si>
  <si>
    <t>M-00374</t>
  </si>
  <si>
    <t>M-00375</t>
  </si>
  <si>
    <t>M-00376</t>
  </si>
  <si>
    <t>M-00377</t>
  </si>
  <si>
    <t>M-00378</t>
  </si>
  <si>
    <t>M-00379</t>
  </si>
  <si>
    <t>M-00380</t>
  </si>
  <si>
    <t>M-00381</t>
  </si>
  <si>
    <t>M-00382</t>
  </si>
  <si>
    <t>M-00383</t>
  </si>
  <si>
    <t>M-00384</t>
  </si>
  <si>
    <t>TORRE 13</t>
  </si>
  <si>
    <t>M-00385</t>
  </si>
  <si>
    <t>M-00386</t>
  </si>
  <si>
    <t>M-00387</t>
  </si>
  <si>
    <t>M-00388</t>
  </si>
  <si>
    <t>M-00389</t>
  </si>
  <si>
    <t>M-00390</t>
  </si>
  <si>
    <t>M-00391</t>
  </si>
  <si>
    <t>M-00392</t>
  </si>
  <si>
    <t>M-00393</t>
  </si>
  <si>
    <t>M-00394</t>
  </si>
  <si>
    <t>M-00395</t>
  </si>
  <si>
    <t>M-00396</t>
  </si>
  <si>
    <t>M-00397</t>
  </si>
  <si>
    <t>M-00398</t>
  </si>
  <si>
    <t>M-00399</t>
  </si>
  <si>
    <t>M-00400</t>
  </si>
  <si>
    <t>M-00401</t>
  </si>
  <si>
    <t>M-00402</t>
  </si>
  <si>
    <t>M-00403</t>
  </si>
  <si>
    <t>M-00404</t>
  </si>
  <si>
    <t>M-00405</t>
  </si>
  <si>
    <t>M-00406</t>
  </si>
  <si>
    <t>M-00407</t>
  </si>
  <si>
    <t>M-00408</t>
  </si>
  <si>
    <t>M-00409</t>
  </si>
  <si>
    <t>M-00410</t>
  </si>
  <si>
    <t>M-00411</t>
  </si>
  <si>
    <t>M-00412</t>
  </si>
  <si>
    <t>M-00413</t>
  </si>
  <si>
    <t>M-00414</t>
  </si>
  <si>
    <t>M-00415</t>
  </si>
  <si>
    <t>M-00416</t>
  </si>
  <si>
    <t>TORRE 14</t>
  </si>
  <si>
    <t>M-00417</t>
  </si>
  <si>
    <t>M-00418</t>
  </si>
  <si>
    <t>M-00419</t>
  </si>
  <si>
    <t>M-00420</t>
  </si>
  <si>
    <t>M-00421</t>
  </si>
  <si>
    <t>M-00422</t>
  </si>
  <si>
    <t>M-00423</t>
  </si>
  <si>
    <t>M-00424</t>
  </si>
  <si>
    <t>M-00425</t>
  </si>
  <si>
    <t>M-00426</t>
  </si>
  <si>
    <t>M-00427</t>
  </si>
  <si>
    <t>M-00428</t>
  </si>
  <si>
    <t>M-00429</t>
  </si>
  <si>
    <t>M-00430</t>
  </si>
  <si>
    <t>M-00431</t>
  </si>
  <si>
    <t>M-00432</t>
  </si>
  <si>
    <t>M-00433</t>
  </si>
  <si>
    <t>M-00434</t>
  </si>
  <si>
    <t>M-00435</t>
  </si>
  <si>
    <t>M-00436</t>
  </si>
  <si>
    <t>M-00437</t>
  </si>
  <si>
    <t>M-00438</t>
  </si>
  <si>
    <t>M-00439</t>
  </si>
  <si>
    <t>M-00440</t>
  </si>
  <si>
    <t>M-00441</t>
  </si>
  <si>
    <t>M-00442</t>
  </si>
  <si>
    <t>M-00443</t>
  </si>
  <si>
    <t>M-00444</t>
  </si>
  <si>
    <t>M-00445</t>
  </si>
  <si>
    <t>M-00446</t>
  </si>
  <si>
    <t>M-00447</t>
  </si>
  <si>
    <t>M-00448</t>
  </si>
  <si>
    <t>TORRE 15</t>
  </si>
  <si>
    <t>M-00449</t>
  </si>
  <si>
    <t>M-00450</t>
  </si>
  <si>
    <t>M-00451</t>
  </si>
  <si>
    <t>M-00452</t>
  </si>
  <si>
    <t>M-00453</t>
  </si>
  <si>
    <t>M-00454</t>
  </si>
  <si>
    <t>M-00455</t>
  </si>
  <si>
    <t>M-00456</t>
  </si>
  <si>
    <t>M-00457</t>
  </si>
  <si>
    <t>M-00458</t>
  </si>
  <si>
    <t>M-00459</t>
  </si>
  <si>
    <t>M-00460</t>
  </si>
  <si>
    <t>M-00461</t>
  </si>
  <si>
    <t>M-00462</t>
  </si>
  <si>
    <t>M-00463</t>
  </si>
  <si>
    <t>M-00464</t>
  </si>
  <si>
    <t>M-00465</t>
  </si>
  <si>
    <t>M-00466</t>
  </si>
  <si>
    <t>M-00467</t>
  </si>
  <si>
    <t>M-00468</t>
  </si>
  <si>
    <t>M-00469</t>
  </si>
  <si>
    <t>M-00470</t>
  </si>
  <si>
    <t>M-00471</t>
  </si>
  <si>
    <t>M-00472</t>
  </si>
  <si>
    <t>M-00473</t>
  </si>
  <si>
    <t>M-00474</t>
  </si>
  <si>
    <t>M-00475</t>
  </si>
  <si>
    <t>M-00476</t>
  </si>
  <si>
    <t>M-00477</t>
  </si>
  <si>
    <t>M-00478</t>
  </si>
  <si>
    <t>M-00479</t>
  </si>
  <si>
    <t>M-00480</t>
  </si>
  <si>
    <t>TORRE 16</t>
  </si>
  <si>
    <t>M-00481</t>
  </si>
  <si>
    <t>M-00482</t>
  </si>
  <si>
    <t>M-00483</t>
  </si>
  <si>
    <t>M-00484</t>
  </si>
  <si>
    <t>M-00485</t>
  </si>
  <si>
    <t>M-00486</t>
  </si>
  <si>
    <t>M-00487</t>
  </si>
  <si>
    <t>M-00488</t>
  </si>
  <si>
    <t>M-00489</t>
  </si>
  <si>
    <t>M-00490</t>
  </si>
  <si>
    <t>M-00491</t>
  </si>
  <si>
    <t>M-00492</t>
  </si>
  <si>
    <t>M-00493</t>
  </si>
  <si>
    <t>M-00494</t>
  </si>
  <si>
    <t>M-00495</t>
  </si>
  <si>
    <t>M-00496</t>
  </si>
  <si>
    <t>M-00497</t>
  </si>
  <si>
    <t>M-00498</t>
  </si>
  <si>
    <t>M-00499</t>
  </si>
  <si>
    <t>M-00500</t>
  </si>
  <si>
    <t>M-00501</t>
  </si>
  <si>
    <t>M-00502</t>
  </si>
  <si>
    <t>M-00503</t>
  </si>
  <si>
    <t>M-00504</t>
  </si>
  <si>
    <t>M-00505</t>
  </si>
  <si>
    <t>M-00506</t>
  </si>
  <si>
    <t>M-00507</t>
  </si>
  <si>
    <t>M-00508</t>
  </si>
  <si>
    <t>M-00509</t>
  </si>
  <si>
    <t>M-00510</t>
  </si>
  <si>
    <t>M-00511</t>
  </si>
  <si>
    <t>M-00512</t>
  </si>
  <si>
    <t>TORRE 17</t>
  </si>
  <si>
    <t>M-00513</t>
  </si>
  <si>
    <t>M-00514</t>
  </si>
  <si>
    <t>M-00515</t>
  </si>
  <si>
    <t>M-00516</t>
  </si>
  <si>
    <t>M-00517</t>
  </si>
  <si>
    <t>M-00518</t>
  </si>
  <si>
    <t>M-00519</t>
  </si>
  <si>
    <t>M-00520</t>
  </si>
  <si>
    <t>M-00521</t>
  </si>
  <si>
    <t>M-00522</t>
  </si>
  <si>
    <t>M-00523</t>
  </si>
  <si>
    <t>M-00524</t>
  </si>
  <si>
    <t>M-00525</t>
  </si>
  <si>
    <t>M-00526</t>
  </si>
  <si>
    <t>M-00527</t>
  </si>
  <si>
    <t>M-00528</t>
  </si>
  <si>
    <t>M-00529</t>
  </si>
  <si>
    <t>M-00530</t>
  </si>
  <si>
    <t>M-00531</t>
  </si>
  <si>
    <t>M-00532</t>
  </si>
  <si>
    <t>M-00533</t>
  </si>
  <si>
    <t>M-00534</t>
  </si>
  <si>
    <t>M-00535</t>
  </si>
  <si>
    <t>M-00536</t>
  </si>
  <si>
    <t>M-00537</t>
  </si>
  <si>
    <t>M-00538</t>
  </si>
  <si>
    <t>M-00539</t>
  </si>
  <si>
    <t>M-00540</t>
  </si>
  <si>
    <t>M-00541</t>
  </si>
  <si>
    <t>M-00542</t>
  </si>
  <si>
    <t>M-00543</t>
  </si>
  <si>
    <t>M-00544</t>
  </si>
  <si>
    <t>TORRE 18</t>
  </si>
  <si>
    <t>M-00545</t>
  </si>
  <si>
    <t>M-00546</t>
  </si>
  <si>
    <t>M-00547</t>
  </si>
  <si>
    <t>M-00548</t>
  </si>
  <si>
    <t>M-00549</t>
  </si>
  <si>
    <t>M-00550</t>
  </si>
  <si>
    <t>M-00551</t>
  </si>
  <si>
    <t>M-00552</t>
  </si>
  <si>
    <t>M-00553</t>
  </si>
  <si>
    <t>M-00554</t>
  </si>
  <si>
    <t>M-00555</t>
  </si>
  <si>
    <t>M-00556</t>
  </si>
  <si>
    <t>M-00557</t>
  </si>
  <si>
    <t>M-00558</t>
  </si>
  <si>
    <t>M-00559</t>
  </si>
  <si>
    <t>M-00560</t>
  </si>
  <si>
    <t>M-00561</t>
  </si>
  <si>
    <t>M-00562</t>
  </si>
  <si>
    <t>M-00563</t>
  </si>
  <si>
    <t>M-00564</t>
  </si>
  <si>
    <t>M-00565</t>
  </si>
  <si>
    <t>M-00566</t>
  </si>
  <si>
    <t>M-00567</t>
  </si>
  <si>
    <t>M-00568</t>
  </si>
  <si>
    <t>M-00569</t>
  </si>
  <si>
    <t>M-00570</t>
  </si>
  <si>
    <t>M-00571</t>
  </si>
  <si>
    <t>M-00572</t>
  </si>
  <si>
    <t>M-00573</t>
  </si>
  <si>
    <t>M-00574</t>
  </si>
  <si>
    <t>M-00575</t>
  </si>
  <si>
    <t>M-00576</t>
  </si>
  <si>
    <t>TORRE 19</t>
  </si>
  <si>
    <t>M-00577</t>
  </si>
  <si>
    <t>M-00578</t>
  </si>
  <si>
    <t>M-00579</t>
  </si>
  <si>
    <t>M-00580</t>
  </si>
  <si>
    <t>M-00581</t>
  </si>
  <si>
    <t>M-00582</t>
  </si>
  <si>
    <t>M-00583</t>
  </si>
  <si>
    <t>M-00584</t>
  </si>
  <si>
    <t>M-00585</t>
  </si>
  <si>
    <t>M-00586</t>
  </si>
  <si>
    <t>M-00587</t>
  </si>
  <si>
    <t>M-00588</t>
  </si>
  <si>
    <t>M-00589</t>
  </si>
  <si>
    <t>M-00590</t>
  </si>
  <si>
    <t>M-00591</t>
  </si>
  <si>
    <t>M-00592</t>
  </si>
  <si>
    <t>M-00593</t>
  </si>
  <si>
    <t>M-00594</t>
  </si>
  <si>
    <t>M-00595</t>
  </si>
  <si>
    <t>M-00596</t>
  </si>
  <si>
    <t>M-00597</t>
  </si>
  <si>
    <t>M-00598</t>
  </si>
  <si>
    <t>M-00599</t>
  </si>
  <si>
    <t>M-00600</t>
  </si>
  <si>
    <t>M-00601</t>
  </si>
  <si>
    <t>M-00602</t>
  </si>
  <si>
    <t>M-00603</t>
  </si>
  <si>
    <t>M-00604</t>
  </si>
  <si>
    <t>M-00605</t>
  </si>
  <si>
    <t>M-00606</t>
  </si>
  <si>
    <t>M-00607</t>
  </si>
  <si>
    <t>M-00608</t>
  </si>
  <si>
    <t>TORRE 20</t>
  </si>
  <si>
    <t>M-00609</t>
  </si>
  <si>
    <t>M-00610</t>
  </si>
  <si>
    <t>M-00611</t>
  </si>
  <si>
    <t>M-00612</t>
  </si>
  <si>
    <t>M-00613</t>
  </si>
  <si>
    <t>M-00614</t>
  </si>
  <si>
    <t>M-00615</t>
  </si>
  <si>
    <t>M-00616</t>
  </si>
  <si>
    <t>M-00617</t>
  </si>
  <si>
    <t>M-00618</t>
  </si>
  <si>
    <t>M-00619</t>
  </si>
  <si>
    <t>M-00620</t>
  </si>
  <si>
    <t>M-00621</t>
  </si>
  <si>
    <t>M-00622</t>
  </si>
  <si>
    <t>M-00623</t>
  </si>
  <si>
    <t>M-00624</t>
  </si>
  <si>
    <t>M-00625</t>
  </si>
  <si>
    <t>M-00626</t>
  </si>
  <si>
    <t>M-00627</t>
  </si>
  <si>
    <t>M-00628</t>
  </si>
  <si>
    <t>M-00629</t>
  </si>
  <si>
    <t>M-00630</t>
  </si>
  <si>
    <t>M-00631</t>
  </si>
  <si>
    <t>M-00632</t>
  </si>
  <si>
    <t>M-00633</t>
  </si>
  <si>
    <t>M-00634</t>
  </si>
  <si>
    <t>M-00635</t>
  </si>
  <si>
    <t>M-00636</t>
  </si>
  <si>
    <t>M-00637</t>
  </si>
  <si>
    <t>M-00638</t>
  </si>
  <si>
    <t>M-00639</t>
  </si>
  <si>
    <t>M-00640</t>
  </si>
  <si>
    <t>TORRE 21</t>
  </si>
  <si>
    <t>M-00641</t>
  </si>
  <si>
    <t>M-00642</t>
  </si>
  <si>
    <t>M-00643</t>
  </si>
  <si>
    <t>M-00644</t>
  </si>
  <si>
    <t>M-00645</t>
  </si>
  <si>
    <t>M-00646</t>
  </si>
  <si>
    <t>M-00647</t>
  </si>
  <si>
    <t>M-00648</t>
  </si>
  <si>
    <t>M-00649</t>
  </si>
  <si>
    <t>M-00650</t>
  </si>
  <si>
    <t>M-00651</t>
  </si>
  <si>
    <t>M-00652</t>
  </si>
  <si>
    <t>M-00653</t>
  </si>
  <si>
    <t>M-00654</t>
  </si>
  <si>
    <t>M-00655</t>
  </si>
  <si>
    <t>M-00656</t>
  </si>
  <si>
    <t>M-00657</t>
  </si>
  <si>
    <t>M-00658</t>
  </si>
  <si>
    <t>M-00659</t>
  </si>
  <si>
    <t>M-00660</t>
  </si>
  <si>
    <t>M-00661</t>
  </si>
  <si>
    <t>M-00662</t>
  </si>
  <si>
    <t>M-00663</t>
  </si>
  <si>
    <t>M-00664</t>
  </si>
  <si>
    <t>M-00665</t>
  </si>
  <si>
    <t>M-00666</t>
  </si>
  <si>
    <t>M-00667</t>
  </si>
  <si>
    <t>M-00668</t>
  </si>
  <si>
    <t>M-00669</t>
  </si>
  <si>
    <t>M-00670</t>
  </si>
  <si>
    <t>M-00671</t>
  </si>
  <si>
    <t>M-00672</t>
  </si>
  <si>
    <t>TORRE 22</t>
  </si>
  <si>
    <t>M-00673</t>
  </si>
  <si>
    <t>M-00674</t>
  </si>
  <si>
    <t>M-00675</t>
  </si>
  <si>
    <t>M-00676</t>
  </si>
  <si>
    <t>M-00677</t>
  </si>
  <si>
    <t>M-00678</t>
  </si>
  <si>
    <t>M-00679</t>
  </si>
  <si>
    <t>M-00680</t>
  </si>
  <si>
    <t>M-00681</t>
  </si>
  <si>
    <t>M-00682</t>
  </si>
  <si>
    <t>M-00683</t>
  </si>
  <si>
    <t>M-00684</t>
  </si>
  <si>
    <t>M-00685</t>
  </si>
  <si>
    <t>M-00686</t>
  </si>
  <si>
    <t>M-00687</t>
  </si>
  <si>
    <t>M-00688</t>
  </si>
  <si>
    <t>M-00689</t>
  </si>
  <si>
    <t>M-00690</t>
  </si>
  <si>
    <t>M-00691</t>
  </si>
  <si>
    <t>M-00692</t>
  </si>
  <si>
    <t>M-00693</t>
  </si>
  <si>
    <t>M-00694</t>
  </si>
  <si>
    <t>M-00695</t>
  </si>
  <si>
    <t>M-00696</t>
  </si>
  <si>
    <t>M-00697</t>
  </si>
  <si>
    <t>M-00698</t>
  </si>
  <si>
    <t>M-00699</t>
  </si>
  <si>
    <t>M-00700</t>
  </si>
  <si>
    <t>M-00701</t>
  </si>
  <si>
    <t>M-00702</t>
  </si>
  <si>
    <t>M-00703</t>
  </si>
  <si>
    <t>M-00704</t>
  </si>
  <si>
    <t>PARTIDA</t>
  </si>
  <si>
    <t>CATEGORIA</t>
  </si>
  <si>
    <t>PESO</t>
  </si>
  <si>
    <t>PESO POR PARTIDA</t>
  </si>
  <si>
    <t>PESO GRUPO</t>
  </si>
  <si>
    <t>Piso</t>
  </si>
  <si>
    <t>Tabiques</t>
  </si>
  <si>
    <t>Muros</t>
  </si>
  <si>
    <t>Cielo</t>
  </si>
  <si>
    <t>Balcón</t>
  </si>
  <si>
    <t>Canalizacion</t>
  </si>
  <si>
    <t>Conductores (cableado)</t>
  </si>
  <si>
    <t>Artefactos</t>
  </si>
  <si>
    <t>Tablero</t>
  </si>
  <si>
    <t>Caja Pau</t>
  </si>
  <si>
    <t>SANITARIOS</t>
  </si>
  <si>
    <t>Ventilaciones</t>
  </si>
  <si>
    <t>Impermeabilizacion BAÑO - COCINA LOGIA</t>
  </si>
  <si>
    <t>Revestimiento interior Zona seca</t>
  </si>
  <si>
    <t>Revestimiento interior Zonas Húmedas</t>
  </si>
  <si>
    <t>Revestimiento interior Baño</t>
  </si>
  <si>
    <t>Instalacion vinilico</t>
  </si>
  <si>
    <t>Mueble Lavaplatos</t>
  </si>
  <si>
    <t>Ventanas</t>
  </si>
  <si>
    <t>Puertas Acceso - Logia - BAÑO</t>
  </si>
  <si>
    <t xml:space="preserve">Puertas dormitorio </t>
  </si>
  <si>
    <t>Cerraduras</t>
  </si>
  <si>
    <t>Zocalos Logia</t>
  </si>
  <si>
    <t>Molduras</t>
  </si>
  <si>
    <t>Pilastreo</t>
  </si>
  <si>
    <t>Celosias</t>
  </si>
  <si>
    <t>Baranda Balcon</t>
  </si>
  <si>
    <t>Pintura exterior</t>
  </si>
  <si>
    <t>Limpieza Final</t>
  </si>
  <si>
    <t>ELECTRICO</t>
  </si>
  <si>
    <t>ESTADO MODULO</t>
  </si>
  <si>
    <t>PENDIENTE</t>
  </si>
  <si>
    <t xml:space="preserve"> OBRA GRUESA</t>
  </si>
  <si>
    <t xml:space="preserve"> SANITARIO</t>
  </si>
  <si>
    <t xml:space="preserve"> ELÉCTRICO</t>
  </si>
  <si>
    <t>VENTANAS2</t>
  </si>
  <si>
    <t xml:space="preserve"> TERMINACIONES</t>
  </si>
  <si>
    <t xml:space="preserve">VENTANAS </t>
  </si>
  <si>
    <t xml:space="preserve"> DIAS SIN MOVIMIENTO</t>
  </si>
  <si>
    <t>AVANCE TOTAL</t>
  </si>
  <si>
    <t>PISO2</t>
  </si>
  <si>
    <t>BALCÓN2</t>
  </si>
  <si>
    <t>TABIQUES2</t>
  </si>
  <si>
    <t>MUROS2</t>
  </si>
  <si>
    <t>CIELO2</t>
  </si>
  <si>
    <t>RED ALCANTARILLADO2</t>
  </si>
  <si>
    <t>RED DE AGUA2</t>
  </si>
  <si>
    <t>VENTILACIONES2</t>
  </si>
  <si>
    <t>TINA2</t>
  </si>
  <si>
    <t>WC2</t>
  </si>
  <si>
    <t>LAVAMANOS / LAVAPLATOS / LAVADERO2</t>
  </si>
  <si>
    <t>CANALIZACIÓN2</t>
  </si>
  <si>
    <t>CABLEADO2</t>
  </si>
  <si>
    <t>ARTEFACTOS2</t>
  </si>
  <si>
    <t>TABLERO2</t>
  </si>
  <si>
    <t>CAJA PAU2</t>
  </si>
  <si>
    <t>INSTALACION VINILICO2</t>
  </si>
  <si>
    <t>OSB CUBIERTA3</t>
  </si>
  <si>
    <t>BARANDA BALCON4</t>
  </si>
  <si>
    <t>OSB EXTERIOR5</t>
  </si>
  <si>
    <t>SMART PANEL6</t>
  </si>
  <si>
    <t>PINTURA EXTERIOR7</t>
  </si>
  <si>
    <t>ZOCALOS LOGIA8</t>
  </si>
  <si>
    <t>MOLDURAS9</t>
  </si>
  <si>
    <t>PILASTREO10</t>
  </si>
  <si>
    <t>CELOSIAS11</t>
  </si>
  <si>
    <t>VENTANAS12</t>
  </si>
  <si>
    <t>PUERTAS ACCESO - LOGIA - BANO13</t>
  </si>
  <si>
    <t>CERRADURAS14</t>
  </si>
  <si>
    <t>REVESTIMIENTO INTERIOR ZONA SECA15</t>
  </si>
  <si>
    <t>REVESTIMIENTO INTERIOR ZONAS HUMEDAS16</t>
  </si>
  <si>
    <t>MEMBRANA CIELO17</t>
  </si>
  <si>
    <t>LIMPIEZA FINAL18</t>
  </si>
  <si>
    <t>PUERTAS DORMITORIO19</t>
  </si>
  <si>
    <t>REVESTIMIENTO INTERIOR BANO20</t>
  </si>
  <si>
    <t>MUEBLE LAVAPLATOS21</t>
  </si>
  <si>
    <t>IMPERMEABILIZACION BANO - COCINA LOGIA22</t>
  </si>
  <si>
    <t xml:space="preserve">PISO </t>
  </si>
  <si>
    <t xml:space="preserve">TABIQUES </t>
  </si>
  <si>
    <t xml:space="preserve">MUROS </t>
  </si>
  <si>
    <t xml:space="preserve">CIELO </t>
  </si>
  <si>
    <t xml:space="preserve">BALCON </t>
  </si>
  <si>
    <t xml:space="preserve">OBRA GRUESA </t>
  </si>
  <si>
    <t xml:space="preserve">RED ALCANTARILLADO </t>
  </si>
  <si>
    <t xml:space="preserve">RED DE AGUA </t>
  </si>
  <si>
    <t xml:space="preserve">VENTILACIONES </t>
  </si>
  <si>
    <t xml:space="preserve">TINA </t>
  </si>
  <si>
    <t xml:space="preserve">WC </t>
  </si>
  <si>
    <t xml:space="preserve">LAVAMANOS/LAVAPLATOS/LAVADERO </t>
  </si>
  <si>
    <t xml:space="preserve">CANALIZACIÓN </t>
  </si>
  <si>
    <t xml:space="preserve">CABLEADO </t>
  </si>
  <si>
    <t xml:space="preserve">ARTEFACTOS </t>
  </si>
  <si>
    <t xml:space="preserve">TABLERO </t>
  </si>
  <si>
    <t xml:space="preserve">CAJA PAU </t>
  </si>
  <si>
    <t xml:space="preserve">VINILICO </t>
  </si>
  <si>
    <t xml:space="preserve">OSB CUBIERTA </t>
  </si>
  <si>
    <t xml:space="preserve">BARANDA BALCON </t>
  </si>
  <si>
    <t xml:space="preserve">OSB EXTERIOR </t>
  </si>
  <si>
    <t xml:space="preserve">SMART PANEL </t>
  </si>
  <si>
    <t xml:space="preserve">PINTURA EXTERIOR </t>
  </si>
  <si>
    <t xml:space="preserve">ZOCALOS LOGIA </t>
  </si>
  <si>
    <t xml:space="preserve">MOLDURAS </t>
  </si>
  <si>
    <t xml:space="preserve">PILASTREO </t>
  </si>
  <si>
    <t xml:space="preserve">CELOSIAS </t>
  </si>
  <si>
    <t xml:space="preserve">PUERTAS </t>
  </si>
  <si>
    <t xml:space="preserve">CERRADURAS </t>
  </si>
  <si>
    <t>REVESTIMIENTO INTERIOR HUMEDO</t>
  </si>
  <si>
    <t xml:space="preserve">REVESTIMIENTO INTERIOR SECO  </t>
  </si>
  <si>
    <t xml:space="preserve">MEMBRANA CIELO </t>
  </si>
  <si>
    <t>PUERTAS DORMITORIOS</t>
  </si>
  <si>
    <t>REVESTIMIENTO BAÑO</t>
  </si>
  <si>
    <t xml:space="preserve">MUEBLE LAVPLATOS </t>
  </si>
  <si>
    <t>IMPERMEABILIZACIÓN</t>
  </si>
  <si>
    <t xml:space="preserve">LIMPIEZA FINAL </t>
  </si>
  <si>
    <t xml:space="preserve">TERMINACIONES </t>
  </si>
  <si>
    <t>DIAS RETRASO</t>
  </si>
  <si>
    <t>N° PENDIENTES</t>
  </si>
  <si>
    <t>VENTANAS (TERM)</t>
  </si>
  <si>
    <t xml:space="preserve"> DIAS RETRASO</t>
  </si>
  <si>
    <t>← Fila 1: nombres de partidas. Fila 2: categorías. Orden = BD_AVANCE!BF:CQ. Usados por las columnas CS/CT/CU de BD_AVANCE.</t>
  </si>
  <si>
    <t>PARTIDAS PENDIENTES POR CATEGORÍA</t>
  </si>
  <si>
    <t>CATEGORÍAS PENDIENTES</t>
  </si>
  <si>
    <t>TIEMPO EN DIAS</t>
  </si>
  <si>
    <t>PRIORIDAD</t>
  </si>
  <si>
    <t>CATEGORIA2</t>
  </si>
  <si>
    <t>A</t>
  </si>
  <si>
    <t>C</t>
  </si>
  <si>
    <t>B</t>
  </si>
  <si>
    <t>D</t>
  </si>
  <si>
    <t>ORDEN</t>
  </si>
  <si>
    <t>GRUPO</t>
  </si>
  <si>
    <t>CATEGORÍA</t>
  </si>
  <si>
    <t>Puertas dormitorio</t>
  </si>
  <si>
    <t>CRONOGRAMA CON TRASLAPES POR CATEGORÍA</t>
  </si>
  <si>
    <t>DIAGRAMA DE GANTT (días)</t>
  </si>
  <si>
    <t>Punto de partida: Obra Gruesa. Balcón postergado (no bloquea instalaciones ni terminaciones interiores).</t>
  </si>
  <si>
    <t>DURACIÓN</t>
  </si>
  <si>
    <t>INICIO</t>
  </si>
  <si>
    <t>TÉRMINO</t>
  </si>
  <si>
    <t>DURACIÓN TOTAL DEL CICLO (con traslapes):</t>
  </si>
  <si>
    <t>LEYENDA:</t>
  </si>
  <si>
    <t>METROS CUADRADOS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</si>
</sst>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18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14" fontId="0" fillId="0" borderId="0" xfId="0" applyNumberFormat="1"/>
    <xf numFmtId="9" fontId="0" fillId="0" borderId="0" xfId="2" applyFont="1"/>
    <xf numFmtId="10" fontId="0" fillId="0" borderId="0" xfId="2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3" borderId="1" xfId="2" applyNumberFormat="1" applyFont="1" applyFill="1" applyBorder="1" applyAlignment="1">
      <alignment horizontal="center" vertical="center"/>
    </xf>
    <xf numFmtId="164" fontId="0" fillId="3" borderId="1" xfId="2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2" applyNumberFormat="1" applyFont="1" applyFill="1" applyBorder="1" applyAlignment="1">
      <alignment horizontal="center" vertical="center"/>
    </xf>
    <xf numFmtId="164" fontId="0" fillId="4" borderId="1" xfId="2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2" applyNumberFormat="1" applyFont="1" applyFill="1" applyBorder="1" applyAlignment="1">
      <alignment horizontal="center" vertical="center"/>
    </xf>
    <xf numFmtId="164" fontId="0" fillId="5" borderId="1" xfId="2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64" fontId="4" fillId="5" borderId="1" xfId="2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/>
    </xf>
    <xf numFmtId="164" fontId="0" fillId="6" borderId="1" xfId="2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4" fillId="5" borderId="3" xfId="0" applyFont="1" applyFill="1" applyBorder="1"/>
    <xf numFmtId="0" fontId="0" fillId="6" borderId="3" xfId="0" applyFill="1" applyBorder="1"/>
    <xf numFmtId="0" fontId="5" fillId="6" borderId="3" xfId="0" applyFont="1" applyFill="1" applyBorder="1"/>
    <xf numFmtId="0" fontId="0" fillId="0" borderId="0" xfId="0" pivotButton="1"/>
    <xf numFmtId="0" fontId="3" fillId="0" borderId="0" xfId="0" applyFont="1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41" fontId="0" fillId="0" borderId="0" xfId="1" applyFont="1"/>
    <xf numFmtId="10" fontId="0" fillId="0" borderId="0" xfId="2" applyNumberFormat="1" applyFont="1" applyAlignment="1">
      <alignment horizontal="left"/>
    </xf>
    <xf numFmtId="41" fontId="0" fillId="0" borderId="0" xfId="0" applyNumberFormat="1"/>
    <xf numFmtId="1" fontId="0" fillId="0" borderId="0" xfId="2" applyNumberFormat="1" applyFont="1" applyAlignment="1">
      <alignment horizontal="left"/>
    </xf>
    <xf numFmtId="1" fontId="0" fillId="0" borderId="0" xfId="0" applyNumberFormat="1" applyAlignment="1">
      <alignment horizontal="center"/>
    </xf>
    <xf numFmtId="41" fontId="0" fillId="0" borderId="0" xfId="0" applyNumberFormat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41" fontId="3" fillId="3" borderId="0" xfId="1" applyFont="1" applyFill="1" applyBorder="1" applyAlignment="1">
      <alignment horizontal="center" vertical="center"/>
    </xf>
    <xf numFmtId="41" fontId="3" fillId="4" borderId="0" xfId="1" applyFont="1" applyFill="1" applyBorder="1" applyAlignment="1">
      <alignment horizontal="center" vertical="center"/>
    </xf>
    <xf numFmtId="41" fontId="3" fillId="5" borderId="0" xfId="1" applyFont="1" applyFill="1" applyBorder="1" applyAlignment="1">
      <alignment horizontal="center" vertical="center"/>
    </xf>
    <xf numFmtId="41" fontId="3" fillId="6" borderId="0" xfId="1" applyFont="1" applyFill="1" applyBorder="1" applyAlignment="1">
      <alignment horizontal="center" vertical="center"/>
    </xf>
    <xf numFmtId="41" fontId="2" fillId="2" borderId="2" xfId="1" applyFont="1" applyFill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8" fillId="7" borderId="0" xfId="0" applyFont="1" applyFill="1" applyAlignment="1">
      <alignment horizont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8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/>
    <xf numFmtId="0" fontId="0" fillId="0" borderId="1" xfId="0" applyBorder="1"/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0" fontId="0" fillId="11" borderId="1" xfId="0" applyFill="1" applyBorder="1" applyAlignment="1">
      <alignment horizontal="left"/>
    </xf>
    <xf numFmtId="0" fontId="0" fillId="11" borderId="1" xfId="0" applyFill="1" applyBorder="1"/>
    <xf numFmtId="0" fontId="0" fillId="12" borderId="1" xfId="0" applyFill="1" applyBorder="1" applyAlignment="1">
      <alignment horizontal="left"/>
    </xf>
    <xf numFmtId="0" fontId="0" fillId="12" borderId="1" xfId="0" applyFill="1" applyBorder="1"/>
    <xf numFmtId="10" fontId="0" fillId="0" borderId="0" xfId="0" applyNumberFormat="1" applyAlignment="1">
      <alignment horizontal="center" vertical="center" wrapText="1"/>
    </xf>
    <xf numFmtId="0" fontId="6" fillId="7" borderId="0" xfId="0" applyFont="1" applyFill="1" applyAlignment="1">
      <alignment horizontal="center"/>
    </xf>
    <xf numFmtId="0" fontId="0" fillId="0" borderId="0" xfId="0"/>
    <xf numFmtId="0" fontId="8" fillId="7" borderId="0" xfId="0" applyFont="1" applyFill="1" applyAlignment="1">
      <alignment horizontal="center"/>
    </xf>
    <xf numFmtId="0" fontId="7" fillId="0" borderId="0" xfId="0" applyFont="1"/>
    <xf numFmtId="0" fontId="8" fillId="7" borderId="0" xfId="0" applyFont="1" applyFill="1" applyAlignment="1">
      <alignment horizontal="right"/>
    </xf>
    <xf numFmtId="0" fontId="0" fillId="0" borderId="0" xfId="0" applyNumberFormat="1" applyAlignment="1">
      <alignment horizontal="center" vertical="center"/>
    </xf>
  </cellXfs>
  <cellStyles count="3">
    <cellStyle name="Millares [0]" xfId="1" builtinId="6"/>
    <cellStyle name="Normal" xfId="0" builtinId="0"/>
    <cellStyle name="Porcentaje" xfId="2" builtinId="5"/>
  </cellStyles>
  <dxfs count="338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numFmt numFmtId="33" formatCode="_ * #,##0_ ;_ * \-#,##0_ ;_ * &quot;-&quot;_ ;_ 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horizontal="center" vertical="center" wrapText="1"/>
    </dxf>
    <dxf>
      <alignment horizontal="center" vertical="center"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horizontal="center" vertical="center" wrapText="1"/>
    </dxf>
    <dxf>
      <alignment horizontal="center" vertical="center"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horizontal="center"/>
    </dxf>
    <dxf>
      <alignment horizontal="center" vertical="center" wrapText="1"/>
    </dxf>
    <dxf>
      <alignment horizontal="center" vertical="center"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 vertical="center" wrapText="1"/>
    </dxf>
    <dxf>
      <alignment horizontal="center" vertical="center" wrapText="1"/>
    </dxf>
    <dxf>
      <alignment horizontal="center"/>
    </dxf>
    <dxf>
      <alignment vertic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%"/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4.xml"/><Relationship Id="rId18" Type="http://schemas.microsoft.com/office/2007/relationships/slicerCache" Target="slicerCaches/slicerCache9.xml"/><Relationship Id="rId26" Type="http://schemas.microsoft.com/office/2007/relationships/slicerCache" Target="slicerCaches/slicerCache17.xml"/><Relationship Id="rId21" Type="http://schemas.microsoft.com/office/2007/relationships/slicerCache" Target="slicerCaches/slicerCache12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microsoft.com/office/2007/relationships/slicerCache" Target="slicerCaches/slicerCache8.xml"/><Relationship Id="rId25" Type="http://schemas.microsoft.com/office/2007/relationships/slicerCache" Target="slicerCaches/slicerCache16.xml"/><Relationship Id="rId33" Type="http://schemas.openxmlformats.org/officeDocument/2006/relationships/connections" Target="connections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7.xml"/><Relationship Id="rId20" Type="http://schemas.microsoft.com/office/2007/relationships/slicerCache" Target="slicerCaches/slicerCache11.xml"/><Relationship Id="rId29" Type="http://schemas.microsoft.com/office/2007/relationships/slicerCache" Target="slicerCaches/slicerCache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24" Type="http://schemas.microsoft.com/office/2007/relationships/slicerCache" Target="slicerCaches/slicerCache15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23" Type="http://schemas.microsoft.com/office/2007/relationships/slicerCache" Target="slicerCaches/slicerCache14.xml"/><Relationship Id="rId28" Type="http://schemas.microsoft.com/office/2007/relationships/slicerCache" Target="slicerCaches/slicerCache19.xml"/><Relationship Id="rId36" Type="http://schemas.openxmlformats.org/officeDocument/2006/relationships/sheetMetadata" Target="metadata.xml"/><Relationship Id="rId10" Type="http://schemas.microsoft.com/office/2007/relationships/slicerCache" Target="slicerCaches/slicerCache1.xml"/><Relationship Id="rId19" Type="http://schemas.microsoft.com/office/2007/relationships/slicerCache" Target="slicerCaches/slicerCache10.xml"/><Relationship Id="rId31" Type="http://schemas.microsoft.com/office/2007/relationships/slicerCache" Target="slicerCaches/slicerCache2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5.xml"/><Relationship Id="rId22" Type="http://schemas.microsoft.com/office/2007/relationships/slicerCache" Target="slicerCaches/slicerCache13.xml"/><Relationship Id="rId27" Type="http://schemas.microsoft.com/office/2007/relationships/slicerCache" Target="slicerCaches/slicerCache18.xml"/><Relationship Id="rId30" Type="http://schemas.microsoft.com/office/2007/relationships/slicerCache" Target="slicerCaches/slicerCache21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133350</xdr:rowOff>
    </xdr:from>
    <xdr:to>
      <xdr:col>11</xdr:col>
      <xdr:colOff>161925</xdr:colOff>
      <xdr:row>5</xdr:row>
      <xdr:rowOff>171450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8F844EA7-3AD8-D937-9168-59366C21EABC}"/>
            </a:ext>
          </a:extLst>
        </xdr:cNvPr>
        <xdr:cNvGrpSpPr/>
      </xdr:nvGrpSpPr>
      <xdr:grpSpPr>
        <a:xfrm>
          <a:off x="914400" y="133350"/>
          <a:ext cx="9296400" cy="990600"/>
          <a:chOff x="914400" y="133350"/>
          <a:chExt cx="9801225" cy="9906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TORRE">
                <a:extLst>
                  <a:ext uri="{FF2B5EF4-FFF2-40B4-BE49-F238E27FC236}">
                    <a16:creationId xmlns:a16="http://schemas.microsoft.com/office/drawing/2014/main" id="{86A7A400-79E5-F63C-618A-4AB03D508517}"/>
                  </a:ext>
                </a:extLst>
              </xdr:cNvPr>
              <xdr:cNvGraphicFramePr/>
            </xdr:nvGraphicFramePr>
            <xdr:xfrm>
              <a:off x="914400" y="138113"/>
              <a:ext cx="2854141" cy="981075"/>
            </xdr:xfrm>
            <a:graphic>
              <a:graphicData uri="http://schemas.microsoft.com/office/drawing/2010/slicer">
                <sle:slicer xmlns:sle="http://schemas.microsoft.com/office/drawing/2010/slicer" name="TORR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14400" y="138113"/>
                <a:ext cx="2707135" cy="9810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TIPO">
                <a:extLst>
                  <a:ext uri="{FF2B5EF4-FFF2-40B4-BE49-F238E27FC236}">
                    <a16:creationId xmlns:a16="http://schemas.microsoft.com/office/drawing/2014/main" id="{CA53DF10-DC9F-9EA5-6A54-1888CF6871CA}"/>
                  </a:ext>
                </a:extLst>
              </xdr:cNvPr>
              <xdr:cNvGraphicFramePr/>
            </xdr:nvGraphicFramePr>
            <xdr:xfrm>
              <a:off x="3807866" y="138113"/>
              <a:ext cx="1899411" cy="981075"/>
            </xdr:xfrm>
            <a:graphic>
              <a:graphicData uri="http://schemas.microsoft.com/office/drawing/2010/slicer">
                <sle:slicer xmlns:sle="http://schemas.microsoft.com/office/drawing/2010/slicer" name="TIP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658834" y="138113"/>
                <a:ext cx="1801579" cy="9810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DIAS SIN MOVIMIENTO">
                <a:extLst>
                  <a:ext uri="{FF2B5EF4-FFF2-40B4-BE49-F238E27FC236}">
                    <a16:creationId xmlns:a16="http://schemas.microsoft.com/office/drawing/2014/main" id="{37583405-BB79-57BB-1465-D1F37882E967}"/>
                  </a:ext>
                </a:extLst>
              </xdr:cNvPr>
              <xdr:cNvGraphicFramePr/>
            </xdr:nvGraphicFramePr>
            <xdr:xfrm>
              <a:off x="5746602" y="147638"/>
              <a:ext cx="2472249" cy="962025"/>
            </xdr:xfrm>
            <a:graphic>
              <a:graphicData uri="http://schemas.microsoft.com/office/drawing/2010/slicer">
                <sle:slicer xmlns:sle="http://schemas.microsoft.com/office/drawing/2010/slicer" name="DIAS SIN MOVIMIENT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497713" y="147638"/>
                <a:ext cx="2344913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DIAS RETRASO">
                <a:extLst>
                  <a:ext uri="{FF2B5EF4-FFF2-40B4-BE49-F238E27FC236}">
                    <a16:creationId xmlns:a16="http://schemas.microsoft.com/office/drawing/2014/main" id="{45AAB49D-0568-49E1-338E-D370767BB3D2}"/>
                  </a:ext>
                </a:extLst>
              </xdr:cNvPr>
              <xdr:cNvGraphicFramePr/>
            </xdr:nvGraphicFramePr>
            <xdr:xfrm>
              <a:off x="8258175" y="133350"/>
              <a:ext cx="2457450" cy="990600"/>
            </xdr:xfrm>
            <a:graphic>
              <a:graphicData uri="http://schemas.microsoft.com/office/drawing/2010/slicer">
                <sle:slicer xmlns:sle="http://schemas.microsoft.com/office/drawing/2010/slicer" name="DIAS RETRAS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879924" y="133350"/>
                <a:ext cx="2330876" cy="9906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104776</xdr:colOff>
      <xdr:row>0</xdr:row>
      <xdr:rowOff>66675</xdr:rowOff>
    </xdr:from>
    <xdr:to>
      <xdr:col>12</xdr:col>
      <xdr:colOff>200025</xdr:colOff>
      <xdr:row>5</xdr:row>
      <xdr:rowOff>76200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777A6C1B-C9E4-68D8-1CA6-375DCEB41390}"/>
            </a:ext>
          </a:extLst>
        </xdr:cNvPr>
        <xdr:cNvGrpSpPr/>
      </xdr:nvGrpSpPr>
      <xdr:grpSpPr>
        <a:xfrm>
          <a:off x="352426" y="66675"/>
          <a:ext cx="7743824" cy="962025"/>
          <a:chOff x="352426" y="66675"/>
          <a:chExt cx="8248649" cy="962025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TORRE 1">
                <a:extLst>
                  <a:ext uri="{FF2B5EF4-FFF2-40B4-BE49-F238E27FC236}">
                    <a16:creationId xmlns:a16="http://schemas.microsoft.com/office/drawing/2014/main" id="{D02E193B-378F-47A8-B925-4DD252887700}"/>
                  </a:ext>
                </a:extLst>
              </xdr:cNvPr>
              <xdr:cNvGraphicFramePr/>
            </xdr:nvGraphicFramePr>
            <xdr:xfrm>
              <a:off x="352426" y="66675"/>
              <a:ext cx="1428749" cy="962025"/>
            </xdr:xfrm>
            <a:graphic>
              <a:graphicData uri="http://schemas.microsoft.com/office/drawing/2010/slicer">
                <sle:slicer xmlns:sle="http://schemas.microsoft.com/office/drawing/2010/slicer" name="TORRE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52426" y="66675"/>
                <a:ext cx="1328110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TIPO 1">
                <a:extLst>
                  <a:ext uri="{FF2B5EF4-FFF2-40B4-BE49-F238E27FC236}">
                    <a16:creationId xmlns:a16="http://schemas.microsoft.com/office/drawing/2014/main" id="{EAF4BC6A-D312-428D-B4B3-BFECD1046B88}"/>
                  </a:ext>
                </a:extLst>
              </xdr:cNvPr>
              <xdr:cNvGraphicFramePr/>
            </xdr:nvGraphicFramePr>
            <xdr:xfrm>
              <a:off x="1825625" y="66675"/>
              <a:ext cx="981075" cy="962025"/>
            </xdr:xfrm>
            <a:graphic>
              <a:graphicData uri="http://schemas.microsoft.com/office/drawing/2010/slicer">
                <sle:slicer xmlns:sle="http://schemas.microsoft.com/office/drawing/2010/slicer" name="TIP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721855" y="66675"/>
                <a:ext cx="911969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DIAS SIN MOVIMIENTO 1">
                <a:extLst>
                  <a:ext uri="{FF2B5EF4-FFF2-40B4-BE49-F238E27FC236}">
                    <a16:creationId xmlns:a16="http://schemas.microsoft.com/office/drawing/2014/main" id="{EC6648E1-FC7F-48BD-8EEB-F8A64C692F30}"/>
                  </a:ext>
                </a:extLst>
              </xdr:cNvPr>
              <xdr:cNvGraphicFramePr/>
            </xdr:nvGraphicFramePr>
            <xdr:xfrm>
              <a:off x="2851150" y="66675"/>
              <a:ext cx="1990725" cy="962025"/>
            </xdr:xfrm>
            <a:graphic>
              <a:graphicData uri="http://schemas.microsoft.com/office/drawing/2010/slicer">
                <sle:slicer xmlns:sle="http://schemas.microsoft.com/office/drawing/2010/slicer" name="DIAS SIN MOVIMIENT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675143" y="66675"/>
                <a:ext cx="1850501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DIAS RETRASO 3">
                <a:extLst>
                  <a:ext uri="{FF2B5EF4-FFF2-40B4-BE49-F238E27FC236}">
                    <a16:creationId xmlns:a16="http://schemas.microsoft.com/office/drawing/2014/main" id="{33A02D2F-4111-1A9E-787D-682C44CBC291}"/>
                  </a:ext>
                </a:extLst>
              </xdr:cNvPr>
              <xdr:cNvGraphicFramePr/>
            </xdr:nvGraphicFramePr>
            <xdr:xfrm>
              <a:off x="4886325" y="76200"/>
              <a:ext cx="3714750" cy="942975"/>
            </xdr:xfrm>
            <a:graphic>
              <a:graphicData uri="http://schemas.microsoft.com/office/drawing/2010/slicer">
                <sle:slicer xmlns:sle="http://schemas.microsoft.com/office/drawing/2010/slicer" name="DIAS RETRASO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566963" y="76200"/>
                <a:ext cx="3453087" cy="9429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133351</xdr:colOff>
      <xdr:row>0</xdr:row>
      <xdr:rowOff>71437</xdr:rowOff>
    </xdr:from>
    <xdr:to>
      <xdr:col>12</xdr:col>
      <xdr:colOff>104775</xdr:colOff>
      <xdr:row>5</xdr:row>
      <xdr:rowOff>90487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C791410F-3247-4887-4A57-1678CB6C9B35}"/>
            </a:ext>
          </a:extLst>
        </xdr:cNvPr>
        <xdr:cNvGrpSpPr/>
      </xdr:nvGrpSpPr>
      <xdr:grpSpPr>
        <a:xfrm>
          <a:off x="133351" y="71437"/>
          <a:ext cx="9532143" cy="971550"/>
          <a:chOff x="133351" y="71437"/>
          <a:chExt cx="9534524" cy="97155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TORRE 2">
                <a:extLst>
                  <a:ext uri="{FF2B5EF4-FFF2-40B4-BE49-F238E27FC236}">
                    <a16:creationId xmlns:a16="http://schemas.microsoft.com/office/drawing/2014/main" id="{FBCD19A8-F299-42EE-8D63-BE3304CB4EF3}"/>
                  </a:ext>
                </a:extLst>
              </xdr:cNvPr>
              <xdr:cNvGraphicFramePr/>
            </xdr:nvGraphicFramePr>
            <xdr:xfrm>
              <a:off x="133351" y="80962"/>
              <a:ext cx="1295400" cy="952500"/>
            </xdr:xfrm>
            <a:graphic>
              <a:graphicData uri="http://schemas.microsoft.com/office/drawing/2010/slicer">
                <sle:slicer xmlns:sle="http://schemas.microsoft.com/office/drawing/2010/slicer" name="TORRE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33351" y="80962"/>
                <a:ext cx="1295077" cy="9525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TIPO 2">
                <a:extLst>
                  <a:ext uri="{FF2B5EF4-FFF2-40B4-BE49-F238E27FC236}">
                    <a16:creationId xmlns:a16="http://schemas.microsoft.com/office/drawing/2014/main" id="{27F00D9A-016F-4F83-85D5-73DF071ED952}"/>
                  </a:ext>
                </a:extLst>
              </xdr:cNvPr>
              <xdr:cNvGraphicFramePr/>
            </xdr:nvGraphicFramePr>
            <xdr:xfrm>
              <a:off x="1485900" y="76200"/>
              <a:ext cx="1152526" cy="962024"/>
            </xdr:xfrm>
            <a:graphic>
              <a:graphicData uri="http://schemas.microsoft.com/office/drawing/2010/slicer">
                <sle:slicer xmlns:sle="http://schemas.microsoft.com/office/drawing/2010/slicer" name="TIP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85562" y="76200"/>
                <a:ext cx="1152238" cy="96202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DIAS SIN MOVIMIENTO 2">
                <a:extLst>
                  <a:ext uri="{FF2B5EF4-FFF2-40B4-BE49-F238E27FC236}">
                    <a16:creationId xmlns:a16="http://schemas.microsoft.com/office/drawing/2014/main" id="{6207F501-B0C6-4011-9491-CC049135CE04}"/>
                  </a:ext>
                </a:extLst>
              </xdr:cNvPr>
              <xdr:cNvGraphicFramePr/>
            </xdr:nvGraphicFramePr>
            <xdr:xfrm>
              <a:off x="2695575" y="71437"/>
              <a:ext cx="2057401" cy="971550"/>
            </xdr:xfrm>
            <a:graphic>
              <a:graphicData uri="http://schemas.microsoft.com/office/drawing/2010/slicer">
                <sle:slicer xmlns:sle="http://schemas.microsoft.com/office/drawing/2010/slicer" name="DIAS SIN MOVIMIENT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694935" y="71437"/>
                <a:ext cx="2056887" cy="9715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DIAS RETRASO 4">
                <a:extLst>
                  <a:ext uri="{FF2B5EF4-FFF2-40B4-BE49-F238E27FC236}">
                    <a16:creationId xmlns:a16="http://schemas.microsoft.com/office/drawing/2014/main" id="{2610EB2A-9728-624F-65FA-D9164B1D39F9}"/>
                  </a:ext>
                </a:extLst>
              </xdr:cNvPr>
              <xdr:cNvGraphicFramePr/>
            </xdr:nvGraphicFramePr>
            <xdr:xfrm>
              <a:off x="4810125" y="76200"/>
              <a:ext cx="2209801" cy="962025"/>
            </xdr:xfrm>
            <a:graphic>
              <a:graphicData uri="http://schemas.microsoft.com/office/drawing/2010/slicer">
                <sle:slicer xmlns:sle="http://schemas.microsoft.com/office/drawing/2010/slicer" name="DIAS RETRASO 4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808957" y="76200"/>
                <a:ext cx="2209249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7" name="SANITARIO">
                <a:extLst>
                  <a:ext uri="{FF2B5EF4-FFF2-40B4-BE49-F238E27FC236}">
                    <a16:creationId xmlns:a16="http://schemas.microsoft.com/office/drawing/2014/main" id="{71CED9B3-E3B8-99DD-4E62-D5B8305FFCC3}"/>
                  </a:ext>
                </a:extLst>
              </xdr:cNvPr>
              <xdr:cNvGraphicFramePr/>
            </xdr:nvGraphicFramePr>
            <xdr:xfrm>
              <a:off x="7077075" y="76200"/>
              <a:ext cx="2590800" cy="962025"/>
            </xdr:xfrm>
            <a:graphic>
              <a:graphicData uri="http://schemas.microsoft.com/office/drawing/2010/slicer">
                <sle:slicer xmlns:sle="http://schemas.microsoft.com/office/drawing/2010/slicer" name="SANITARI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075341" y="76200"/>
                <a:ext cx="2590153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28575</xdr:rowOff>
    </xdr:from>
    <xdr:to>
      <xdr:col>12</xdr:col>
      <xdr:colOff>152399</xdr:colOff>
      <xdr:row>5</xdr:row>
      <xdr:rowOff>66675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6402EAB0-33B3-EE02-1A25-3E459A5F4CE6}"/>
            </a:ext>
          </a:extLst>
        </xdr:cNvPr>
        <xdr:cNvGrpSpPr/>
      </xdr:nvGrpSpPr>
      <xdr:grpSpPr>
        <a:xfrm>
          <a:off x="38100" y="28575"/>
          <a:ext cx="9571263" cy="990600"/>
          <a:chOff x="38100" y="28575"/>
          <a:chExt cx="10439399" cy="9906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TORRE 3">
                <a:extLst>
                  <a:ext uri="{FF2B5EF4-FFF2-40B4-BE49-F238E27FC236}">
                    <a16:creationId xmlns:a16="http://schemas.microsoft.com/office/drawing/2014/main" id="{F7F7C386-2A1D-4108-AD92-96F80B27584E}"/>
                  </a:ext>
                </a:extLst>
              </xdr:cNvPr>
              <xdr:cNvGraphicFramePr/>
            </xdr:nvGraphicFramePr>
            <xdr:xfrm>
              <a:off x="38100" y="28575"/>
              <a:ext cx="2581275" cy="990600"/>
            </xdr:xfrm>
            <a:graphic>
              <a:graphicData uri="http://schemas.microsoft.com/office/drawing/2010/slicer">
                <sle:slicer xmlns:sle="http://schemas.microsoft.com/office/drawing/2010/slicer" name="TORRE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8100" y="28575"/>
                <a:ext cx="2361571" cy="9906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TIPO 3">
                <a:extLst>
                  <a:ext uri="{FF2B5EF4-FFF2-40B4-BE49-F238E27FC236}">
                    <a16:creationId xmlns:a16="http://schemas.microsoft.com/office/drawing/2014/main" id="{3C31E3C8-52A8-42AC-910C-E63DC16B872B}"/>
                  </a:ext>
                </a:extLst>
              </xdr:cNvPr>
              <xdr:cNvGraphicFramePr/>
            </xdr:nvGraphicFramePr>
            <xdr:xfrm>
              <a:off x="2647950" y="33338"/>
              <a:ext cx="1085850" cy="981075"/>
            </xdr:xfrm>
            <a:graphic>
              <a:graphicData uri="http://schemas.microsoft.com/office/drawing/2010/slicer">
                <sle:slicer xmlns:sle="http://schemas.microsoft.com/office/drawing/2010/slicer" name="TIPO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425813" y="33338"/>
                <a:ext cx="993428" cy="9810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DIAS SIN MOVIMIENTO 3">
                <a:extLst>
                  <a:ext uri="{FF2B5EF4-FFF2-40B4-BE49-F238E27FC236}">
                    <a16:creationId xmlns:a16="http://schemas.microsoft.com/office/drawing/2014/main" id="{A8F8B68E-EE1E-44BA-9EC6-E35282A8F7D2}"/>
                  </a:ext>
                </a:extLst>
              </xdr:cNvPr>
              <xdr:cNvGraphicFramePr/>
            </xdr:nvGraphicFramePr>
            <xdr:xfrm>
              <a:off x="3781424" y="38100"/>
              <a:ext cx="1990725" cy="971550"/>
            </xdr:xfrm>
            <a:graphic>
              <a:graphicData uri="http://schemas.microsoft.com/office/drawing/2010/slicer">
                <sle:slicer xmlns:sle="http://schemas.microsoft.com/office/drawing/2010/slicer" name="DIAS SIN MOVIMIENTO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462812" y="38100"/>
                <a:ext cx="1821285" cy="9715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DIAS RETRASO 2">
                <a:extLst>
                  <a:ext uri="{FF2B5EF4-FFF2-40B4-BE49-F238E27FC236}">
                    <a16:creationId xmlns:a16="http://schemas.microsoft.com/office/drawing/2014/main" id="{F46539C7-3545-42BF-CFAB-9E33719572EA}"/>
                  </a:ext>
                </a:extLst>
              </xdr:cNvPr>
              <xdr:cNvGraphicFramePr/>
            </xdr:nvGraphicFramePr>
            <xdr:xfrm>
              <a:off x="5829299" y="33338"/>
              <a:ext cx="2695575" cy="981075"/>
            </xdr:xfrm>
            <a:graphic>
              <a:graphicData uri="http://schemas.microsoft.com/office/drawing/2010/slicer">
                <sle:slicer xmlns:sle="http://schemas.microsoft.com/office/drawing/2010/slicer" name="DIAS RETRAS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336383" y="33338"/>
                <a:ext cx="2466142" cy="9810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6" name="ELÉCTRICO">
                <a:extLst>
                  <a:ext uri="{FF2B5EF4-FFF2-40B4-BE49-F238E27FC236}">
                    <a16:creationId xmlns:a16="http://schemas.microsoft.com/office/drawing/2014/main" id="{3463FD04-A63C-7843-9315-F5699404FC2C}"/>
                  </a:ext>
                </a:extLst>
              </xdr:cNvPr>
              <xdr:cNvGraphicFramePr/>
            </xdr:nvGraphicFramePr>
            <xdr:xfrm>
              <a:off x="8582024" y="28575"/>
              <a:ext cx="1895475" cy="990600"/>
            </xdr:xfrm>
            <a:graphic>
              <a:graphicData uri="http://schemas.microsoft.com/office/drawing/2010/slicer">
                <sle:slicer xmlns:sle="http://schemas.microsoft.com/office/drawing/2010/slicer" name="ELÉCTRIC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854811" y="28575"/>
                <a:ext cx="1734142" cy="9906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11642</xdr:rowOff>
    </xdr:from>
    <xdr:to>
      <xdr:col>18</xdr:col>
      <xdr:colOff>352425</xdr:colOff>
      <xdr:row>5</xdr:row>
      <xdr:rowOff>125942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F596E86C-46F6-6C1A-3B5A-56A745CF5175}"/>
            </a:ext>
          </a:extLst>
        </xdr:cNvPr>
        <xdr:cNvGrpSpPr/>
      </xdr:nvGrpSpPr>
      <xdr:grpSpPr>
        <a:xfrm>
          <a:off x="57150" y="11642"/>
          <a:ext cx="13201650" cy="1066800"/>
          <a:chOff x="57150" y="11642"/>
          <a:chExt cx="13640858" cy="10668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TORRE 4">
                <a:extLst>
                  <a:ext uri="{FF2B5EF4-FFF2-40B4-BE49-F238E27FC236}">
                    <a16:creationId xmlns:a16="http://schemas.microsoft.com/office/drawing/2014/main" id="{38D1E994-6BAC-483F-8D71-9F2E9534140F}"/>
                  </a:ext>
                </a:extLst>
              </xdr:cNvPr>
              <xdr:cNvGraphicFramePr/>
            </xdr:nvGraphicFramePr>
            <xdr:xfrm>
              <a:off x="57150" y="16405"/>
              <a:ext cx="2752725" cy="1057275"/>
            </xdr:xfrm>
            <a:graphic>
              <a:graphicData uri="http://schemas.microsoft.com/office/drawing/2010/slicer">
                <sle:slicer xmlns:sle="http://schemas.microsoft.com/office/drawing/2010/slicer" name="TORRE 4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7150" y="16405"/>
                <a:ext cx="2754434" cy="10572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TIPO 4">
                <a:extLst>
                  <a:ext uri="{FF2B5EF4-FFF2-40B4-BE49-F238E27FC236}">
                    <a16:creationId xmlns:a16="http://schemas.microsoft.com/office/drawing/2014/main" id="{D573A6FC-64ED-4897-8216-A2E9D5E68F42}"/>
                  </a:ext>
                </a:extLst>
              </xdr:cNvPr>
              <xdr:cNvGraphicFramePr/>
            </xdr:nvGraphicFramePr>
            <xdr:xfrm>
              <a:off x="3687334" y="16405"/>
              <a:ext cx="1811564" cy="1057275"/>
            </xdr:xfrm>
            <a:graphic>
              <a:graphicData uri="http://schemas.microsoft.com/office/drawing/2010/slicer">
                <sle:slicer xmlns:sle="http://schemas.microsoft.com/office/drawing/2010/slicer" name="TIPO 4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689587" y="16405"/>
                <a:ext cx="1812688" cy="10572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DIAS SIN MOVIMIENTO 4">
                <a:extLst>
                  <a:ext uri="{FF2B5EF4-FFF2-40B4-BE49-F238E27FC236}">
                    <a16:creationId xmlns:a16="http://schemas.microsoft.com/office/drawing/2014/main" id="{0A71B422-B340-4EF3-ADAF-2B79F74AB435}"/>
                  </a:ext>
                </a:extLst>
              </xdr:cNvPr>
              <xdr:cNvGraphicFramePr/>
            </xdr:nvGraphicFramePr>
            <xdr:xfrm>
              <a:off x="6376357" y="14817"/>
              <a:ext cx="3049058" cy="1060450"/>
            </xdr:xfrm>
            <a:graphic>
              <a:graphicData uri="http://schemas.microsoft.com/office/drawing/2010/slicer">
                <sle:slicer xmlns:sle="http://schemas.microsoft.com/office/drawing/2010/slicer" name="DIAS SIN MOVIMIENTO 4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380279" y="14817"/>
                <a:ext cx="3050951" cy="10604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DIAS RETRASO 1">
                <a:extLst>
                  <a:ext uri="{FF2B5EF4-FFF2-40B4-BE49-F238E27FC236}">
                    <a16:creationId xmlns:a16="http://schemas.microsoft.com/office/drawing/2014/main" id="{3DB5B103-0310-1702-8379-E2EA24C9D333}"/>
                  </a:ext>
                </a:extLst>
              </xdr:cNvPr>
              <xdr:cNvGraphicFramePr/>
            </xdr:nvGraphicFramePr>
            <xdr:xfrm>
              <a:off x="10302875" y="11642"/>
              <a:ext cx="3395133" cy="1066800"/>
            </xdr:xfrm>
            <a:graphic>
              <a:graphicData uri="http://schemas.microsoft.com/office/drawing/2010/slicer">
                <sle:slicer xmlns:sle="http://schemas.microsoft.com/office/drawing/2010/slicer" name="DIAS RETRAS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309235" y="11642"/>
                <a:ext cx="3397240" cy="10668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_Pinto" refreshedDate="46230.367386342594" createdVersion="8" refreshedVersion="8" minRefreshableVersion="3" recordCount="704" xr:uid="{3D89B5DD-D620-484A-A508-0B14038745A7}">
  <cacheSource type="worksheet">
    <worksheetSource name="AVANCE"/>
  </cacheSource>
  <cacheFields count="100">
    <cacheField name="TORRE" numFmtId="0">
      <sharedItems count="22">
        <s v="TORRE 01"/>
        <s v="TORRE 02"/>
        <s v="TORRE 03"/>
        <s v="TORRE 04"/>
        <s v="TORRE 05"/>
        <s v="TORRE 06"/>
        <s v="TORRE 07"/>
        <s v="TORRE 08"/>
        <s v="TORRE 09"/>
        <s v="TORRE 10"/>
        <s v="TORRE 11"/>
        <s v="TORRE 12"/>
        <s v="TORRE 13"/>
        <s v="TORRE 14"/>
        <s v="TORRE 15"/>
        <s v="TORRE 16"/>
        <s v="TORRE 17"/>
        <s v="TORRE 18"/>
        <s v="TORRE 19"/>
        <s v="TORRE 20"/>
        <s v="TORRE 21"/>
        <s v="TORRE 22"/>
      </sharedItems>
    </cacheField>
    <cacheField name="N° MÓDULO" numFmtId="0">
      <sharedItems count="704">
        <s v="M-00001"/>
        <s v="M-00002"/>
        <s v="M-00003"/>
        <s v="M-00004"/>
        <s v="M-00005"/>
        <s v="M-00006"/>
        <s v="M-00007"/>
        <s v="M-00008"/>
        <s v="M-00009"/>
        <s v="M-00010"/>
        <s v="M-00011"/>
        <s v="M-00012"/>
        <s v="M-00013"/>
        <s v="M-00014"/>
        <s v="M-00015"/>
        <s v="M-00016"/>
        <s v="M-00017"/>
        <s v="M-00018"/>
        <s v="M-00019"/>
        <s v="M-00020"/>
        <s v="M-00021"/>
        <s v="M-00022"/>
        <s v="M-00023"/>
        <s v="M-00024"/>
        <s v="M-00025"/>
        <s v="M-00026"/>
        <s v="M-00027"/>
        <s v="M-00028"/>
        <s v="M-00029"/>
        <s v="M-00030"/>
        <s v="M-00031"/>
        <s v="M-00032"/>
        <s v="M-00033"/>
        <s v="M-00034"/>
        <s v="M-00035"/>
        <s v="M-00036"/>
        <s v="M-00037"/>
        <s v="M-00038"/>
        <s v="M-00039"/>
        <s v="M-00040"/>
        <s v="M-00041"/>
        <s v="M-00042"/>
        <s v="M-00043"/>
        <s v="M-00044"/>
        <s v="M-00045"/>
        <s v="M-00046"/>
        <s v="M-00047"/>
        <s v="M-00048"/>
        <s v="M-00049"/>
        <s v="M-00050"/>
        <s v="M-00051"/>
        <s v="M-00052"/>
        <s v="M-00053"/>
        <s v="M-00054"/>
        <s v="M-00055"/>
        <s v="M-00056"/>
        <s v="M-00057"/>
        <s v="M-00058"/>
        <s v="M-00059"/>
        <s v="M-00060"/>
        <s v="M-00061"/>
        <s v="M-00062"/>
        <s v="M-00063"/>
        <s v="M-00064"/>
        <s v="M-00065"/>
        <s v="M-00066"/>
        <s v="M-00067"/>
        <s v="M-00068"/>
        <s v="M-00069"/>
        <s v="M-00070"/>
        <s v="M-00071"/>
        <s v="M-00072"/>
        <s v="M-00073"/>
        <s v="M-00074"/>
        <s v="M-00075"/>
        <s v="M-00076"/>
        <s v="M-00077"/>
        <s v="M-00078"/>
        <s v="M-00079"/>
        <s v="M-00080"/>
        <s v="M-00081"/>
        <s v="M-00082"/>
        <s v="M-00083"/>
        <s v="M-00084"/>
        <s v="M-00085"/>
        <s v="M-00086"/>
        <s v="M-00087"/>
        <s v="M-00088"/>
        <s v="M-00089"/>
        <s v="M-00090"/>
        <s v="M-00091"/>
        <s v="M-00092"/>
        <s v="M-00093"/>
        <s v="M-00094"/>
        <s v="M-00095"/>
        <s v="M-00096"/>
        <s v="M-00097"/>
        <s v="M-00098"/>
        <s v="M-00099"/>
        <s v="M-00100"/>
        <s v="M-00101"/>
        <s v="M-00102"/>
        <s v="M-00103"/>
        <s v="M-00104"/>
        <s v="M-00105"/>
        <s v="M-00106"/>
        <s v="M-00107"/>
        <s v="M-00108"/>
        <s v="M-00109"/>
        <s v="M-00110"/>
        <s v="M-00111"/>
        <s v="M-00112"/>
        <s v="M-00113"/>
        <s v="M-00114"/>
        <s v="M-00115"/>
        <s v="M-00116"/>
        <s v="M-00117"/>
        <s v="M-00118"/>
        <s v="M-00119"/>
        <s v="M-00120"/>
        <s v="M-00121"/>
        <s v="M-00122"/>
        <s v="M-00123"/>
        <s v="M-00124"/>
        <s v="M-00125"/>
        <s v="M-00126"/>
        <s v="M-00127"/>
        <s v="M-00128"/>
        <s v="M-00129"/>
        <s v="M-00130"/>
        <s v="M-00131"/>
        <s v="M-00132"/>
        <s v="M-00133"/>
        <s v="M-00134"/>
        <s v="M-00135"/>
        <s v="M-00136"/>
        <s v="M-00137"/>
        <s v="M-00138"/>
        <s v="M-00139"/>
        <s v="M-00140"/>
        <s v="M-00141"/>
        <s v="M-00142"/>
        <s v="M-00143"/>
        <s v="M-00144"/>
        <s v="M-00145"/>
        <s v="M-00146"/>
        <s v="M-00147"/>
        <s v="M-00148"/>
        <s v="M-00149"/>
        <s v="M-00150"/>
        <s v="M-00151"/>
        <s v="M-00152"/>
        <s v="M-00153"/>
        <s v="M-00154"/>
        <s v="M-00155"/>
        <s v="M-00156"/>
        <s v="M-00157"/>
        <s v="M-00158"/>
        <s v="M-00159"/>
        <s v="M-00160"/>
        <s v="M-00161"/>
        <s v="M-00162"/>
        <s v="M-00163"/>
        <s v="M-00164"/>
        <s v="M-00165"/>
        <s v="M-00166"/>
        <s v="M-00167"/>
        <s v="M-00168"/>
        <s v="M-00169"/>
        <s v="M-00170"/>
        <s v="M-00171"/>
        <s v="M-00172"/>
        <s v="M-00173"/>
        <s v="M-00174"/>
        <s v="M-00175"/>
        <s v="M-00176"/>
        <s v="M-00177"/>
        <s v="M-00178"/>
        <s v="M-00179"/>
        <s v="M-00180"/>
        <s v="M-00181"/>
        <s v="M-00182"/>
        <s v="M-00183"/>
        <s v="M-00184"/>
        <s v="M-00185"/>
        <s v="M-00186"/>
        <s v="M-00187"/>
        <s v="M-00188"/>
        <s v="M-00189"/>
        <s v="M-00190"/>
        <s v="M-00191"/>
        <s v="M-00192"/>
        <s v="M-00193"/>
        <s v="M-00194"/>
        <s v="M-00195"/>
        <s v="M-00196"/>
        <s v="M-00197"/>
        <s v="M-00198"/>
        <s v="M-00199"/>
        <s v="M-00200"/>
        <s v="M-00201"/>
        <s v="M-00202"/>
        <s v="M-00203"/>
        <s v="M-00204"/>
        <s v="M-00205"/>
        <s v="M-00206"/>
        <s v="M-00207"/>
        <s v="M-00208"/>
        <s v="M-00209"/>
        <s v="M-00210"/>
        <s v="M-00211"/>
        <s v="M-00212"/>
        <s v="M-00213"/>
        <s v="M-00214"/>
        <s v="M-00215"/>
        <s v="M-00216"/>
        <s v="M-00217"/>
        <s v="M-00218"/>
        <s v="M-00219"/>
        <s v="M-00220"/>
        <s v="M-00221"/>
        <s v="M-00222"/>
        <s v="M-00223"/>
        <s v="M-00224"/>
        <s v="M-00225"/>
        <s v="M-00226"/>
        <s v="M-00227"/>
        <s v="M-00228"/>
        <s v="M-00229"/>
        <s v="M-00230"/>
        <s v="M-00231"/>
        <s v="M-00232"/>
        <s v="M-00233"/>
        <s v="M-00234"/>
        <s v="M-00235"/>
        <s v="M-00236"/>
        <s v="M-00237"/>
        <s v="M-00238"/>
        <s v="M-00239"/>
        <s v="M-00240"/>
        <s v="M-00241"/>
        <s v="M-00242"/>
        <s v="M-00243"/>
        <s v="M-00244"/>
        <s v="M-00245"/>
        <s v="M-00246"/>
        <s v="M-00247"/>
        <s v="M-00248"/>
        <s v="M-00249"/>
        <s v="M-00250"/>
        <s v="M-00251"/>
        <s v="M-00252"/>
        <s v="M-00253"/>
        <s v="M-00254"/>
        <s v="M-00255"/>
        <s v="M-00256"/>
        <s v="M-00257"/>
        <s v="M-00258"/>
        <s v="M-00259"/>
        <s v="M-00260"/>
        <s v="M-00261"/>
        <s v="M-00262"/>
        <s v="M-00263"/>
        <s v="M-00264"/>
        <s v="M-00265"/>
        <s v="M-00266"/>
        <s v="M-00267"/>
        <s v="M-00268"/>
        <s v="M-00269"/>
        <s v="M-00270"/>
        <s v="M-00271"/>
        <s v="M-00272"/>
        <s v="M-00273"/>
        <s v="M-00274"/>
        <s v="M-00275"/>
        <s v="M-00276"/>
        <s v="M-00277"/>
        <s v="M-00278"/>
        <s v="M-00279"/>
        <s v="M-00280"/>
        <s v="M-00281"/>
        <s v="M-00282"/>
        <s v="M-00283"/>
        <s v="M-00284"/>
        <s v="M-00285"/>
        <s v="M-00286"/>
        <s v="M-00287"/>
        <s v="M-00288"/>
        <s v="M-00289"/>
        <s v="M-00290"/>
        <s v="M-00291"/>
        <s v="M-00292"/>
        <s v="M-00293"/>
        <s v="M-00294"/>
        <s v="M-00295"/>
        <s v="M-00296"/>
        <s v="M-00297"/>
        <s v="M-00298"/>
        <s v="M-00299"/>
        <s v="M-00300"/>
        <s v="M-00301"/>
        <s v="M-00302"/>
        <s v="M-00303"/>
        <s v="M-00304"/>
        <s v="M-00305"/>
        <s v="M-00306"/>
        <s v="M-00307"/>
        <s v="M-00308"/>
        <s v="M-00309"/>
        <s v="M-00310"/>
        <s v="M-00311"/>
        <s v="M-00312"/>
        <s v="M-00313"/>
        <s v="M-00314"/>
        <s v="M-00315"/>
        <s v="M-00316"/>
        <s v="M-00317"/>
        <s v="M-00318"/>
        <s v="M-00319"/>
        <s v="M-00320"/>
        <s v="M-00321"/>
        <s v="M-00322"/>
        <s v="M-00323"/>
        <s v="M-00324"/>
        <s v="M-00325"/>
        <s v="M-00326"/>
        <s v="M-00327"/>
        <s v="M-00328"/>
        <s v="M-00329"/>
        <s v="M-00330"/>
        <s v="M-00331"/>
        <s v="M-00332"/>
        <s v="M-00333"/>
        <s v="M-00334"/>
        <s v="M-00335"/>
        <s v="M-00336"/>
        <s v="M-00337"/>
        <s v="M-00338"/>
        <s v="M-00339"/>
        <s v="M-00340"/>
        <s v="M-00341"/>
        <s v="M-00342"/>
        <s v="M-00343"/>
        <s v="M-00344"/>
        <s v="M-00345"/>
        <s v="M-00346"/>
        <s v="M-00347"/>
        <s v="M-00348"/>
        <s v="M-00349"/>
        <s v="M-00350"/>
        <s v="M-00351"/>
        <s v="M-00352"/>
        <s v="M-00353"/>
        <s v="M-00354"/>
        <s v="M-00355"/>
        <s v="M-00356"/>
        <s v="M-00357"/>
        <s v="M-00358"/>
        <s v="M-00359"/>
        <s v="M-00360"/>
        <s v="M-00361"/>
        <s v="M-00362"/>
        <s v="M-00363"/>
        <s v="M-00364"/>
        <s v="M-00365"/>
        <s v="M-00366"/>
        <s v="M-00367"/>
        <s v="M-00368"/>
        <s v="M-00369"/>
        <s v="M-00370"/>
        <s v="M-00371"/>
        <s v="M-00372"/>
        <s v="M-00373"/>
        <s v="M-00374"/>
        <s v="M-00375"/>
        <s v="M-00376"/>
        <s v="M-00377"/>
        <s v="M-00378"/>
        <s v="M-00379"/>
        <s v="M-00380"/>
        <s v="M-00381"/>
        <s v="M-00382"/>
        <s v="M-00383"/>
        <s v="M-00384"/>
        <s v="M-00385"/>
        <s v="M-00386"/>
        <s v="M-00387"/>
        <s v="M-00388"/>
        <s v="M-00389"/>
        <s v="M-00390"/>
        <s v="M-00391"/>
        <s v="M-00392"/>
        <s v="M-00393"/>
        <s v="M-00394"/>
        <s v="M-00395"/>
        <s v="M-00396"/>
        <s v="M-00397"/>
        <s v="M-00398"/>
        <s v="M-00399"/>
        <s v="M-00400"/>
        <s v="M-00401"/>
        <s v="M-00402"/>
        <s v="M-00403"/>
        <s v="M-00404"/>
        <s v="M-00405"/>
        <s v="M-00406"/>
        <s v="M-00407"/>
        <s v="M-00408"/>
        <s v="M-00409"/>
        <s v="M-00410"/>
        <s v="M-00411"/>
        <s v="M-00412"/>
        <s v="M-00413"/>
        <s v="M-00414"/>
        <s v="M-00415"/>
        <s v="M-00416"/>
        <s v="M-00417"/>
        <s v="M-00418"/>
        <s v="M-00419"/>
        <s v="M-00420"/>
        <s v="M-00421"/>
        <s v="M-00422"/>
        <s v="M-00423"/>
        <s v="M-00424"/>
        <s v="M-00425"/>
        <s v="M-00426"/>
        <s v="M-00427"/>
        <s v="M-00428"/>
        <s v="M-00429"/>
        <s v="M-00430"/>
        <s v="M-00431"/>
        <s v="M-00432"/>
        <s v="M-00433"/>
        <s v="M-00434"/>
        <s v="M-00435"/>
        <s v="M-00436"/>
        <s v="M-00437"/>
        <s v="M-00438"/>
        <s v="M-00439"/>
        <s v="M-00440"/>
        <s v="M-00441"/>
        <s v="M-00442"/>
        <s v="M-00443"/>
        <s v="M-00444"/>
        <s v="M-00445"/>
        <s v="M-00446"/>
        <s v="M-00447"/>
        <s v="M-00448"/>
        <s v="M-00449"/>
        <s v="M-00450"/>
        <s v="M-00451"/>
        <s v="M-00452"/>
        <s v="M-00453"/>
        <s v="M-00454"/>
        <s v="M-00455"/>
        <s v="M-00456"/>
        <s v="M-00457"/>
        <s v="M-00458"/>
        <s v="M-00459"/>
        <s v="M-00460"/>
        <s v="M-00461"/>
        <s v="M-00462"/>
        <s v="M-00463"/>
        <s v="M-00464"/>
        <s v="M-00465"/>
        <s v="M-00466"/>
        <s v="M-00467"/>
        <s v="M-00468"/>
        <s v="M-00469"/>
        <s v="M-00470"/>
        <s v="M-00471"/>
        <s v="M-00472"/>
        <s v="M-00473"/>
        <s v="M-00474"/>
        <s v="M-00475"/>
        <s v="M-00476"/>
        <s v="M-00477"/>
        <s v="M-00478"/>
        <s v="M-00479"/>
        <s v="M-00480"/>
        <s v="M-00481"/>
        <s v="M-00482"/>
        <s v="M-00483"/>
        <s v="M-00484"/>
        <s v="M-00485"/>
        <s v="M-00486"/>
        <s v="M-00487"/>
        <s v="M-00488"/>
        <s v="M-00489"/>
        <s v="M-00490"/>
        <s v="M-00491"/>
        <s v="M-00492"/>
        <s v="M-00493"/>
        <s v="M-00494"/>
        <s v="M-00495"/>
        <s v="M-00496"/>
        <s v="M-00497"/>
        <s v="M-00498"/>
        <s v="M-00499"/>
        <s v="M-00500"/>
        <s v="M-00501"/>
        <s v="M-00502"/>
        <s v="M-00503"/>
        <s v="M-00504"/>
        <s v="M-00505"/>
        <s v="M-00506"/>
        <s v="M-00507"/>
        <s v="M-00508"/>
        <s v="M-00509"/>
        <s v="M-00510"/>
        <s v="M-00511"/>
        <s v="M-00512"/>
        <s v="M-00513"/>
        <s v="M-00514"/>
        <s v="M-00515"/>
        <s v="M-00516"/>
        <s v="M-00517"/>
        <s v="M-00518"/>
        <s v="M-00519"/>
        <s v="M-00520"/>
        <s v="M-00521"/>
        <s v="M-00522"/>
        <s v="M-00523"/>
        <s v="M-00524"/>
        <s v="M-00525"/>
        <s v="M-00526"/>
        <s v="M-00527"/>
        <s v="M-00528"/>
        <s v="M-00529"/>
        <s v="M-00530"/>
        <s v="M-00531"/>
        <s v="M-00532"/>
        <s v="M-00533"/>
        <s v="M-00534"/>
        <s v="M-00535"/>
        <s v="M-00536"/>
        <s v="M-00537"/>
        <s v="M-00538"/>
        <s v="M-00539"/>
        <s v="M-00540"/>
        <s v="M-00541"/>
        <s v="M-00542"/>
        <s v="M-00543"/>
        <s v="M-00544"/>
        <s v="M-00545"/>
        <s v="M-00546"/>
        <s v="M-00547"/>
        <s v="M-00548"/>
        <s v="M-00549"/>
        <s v="M-00550"/>
        <s v="M-00551"/>
        <s v="M-00552"/>
        <s v="M-00553"/>
        <s v="M-00554"/>
        <s v="M-00555"/>
        <s v="M-00556"/>
        <s v="M-00557"/>
        <s v="M-00558"/>
        <s v="M-00559"/>
        <s v="M-00560"/>
        <s v="M-00561"/>
        <s v="M-00562"/>
        <s v="M-00563"/>
        <s v="M-00564"/>
        <s v="M-00565"/>
        <s v="M-00566"/>
        <s v="M-00567"/>
        <s v="M-00568"/>
        <s v="M-00569"/>
        <s v="M-00570"/>
        <s v="M-00571"/>
        <s v="M-00572"/>
        <s v="M-00573"/>
        <s v="M-00574"/>
        <s v="M-00575"/>
        <s v="M-00576"/>
        <s v="M-00577"/>
        <s v="M-00578"/>
        <s v="M-00579"/>
        <s v="M-00580"/>
        <s v="M-00581"/>
        <s v="M-00582"/>
        <s v="M-00583"/>
        <s v="M-00584"/>
        <s v="M-00585"/>
        <s v="M-00586"/>
        <s v="M-00587"/>
        <s v="M-00588"/>
        <s v="M-00589"/>
        <s v="M-00590"/>
        <s v="M-00591"/>
        <s v="M-00592"/>
        <s v="M-00593"/>
        <s v="M-00594"/>
        <s v="M-00595"/>
        <s v="M-00596"/>
        <s v="M-00597"/>
        <s v="M-00598"/>
        <s v="M-00599"/>
        <s v="M-00600"/>
        <s v="M-00601"/>
        <s v="M-00602"/>
        <s v="M-00603"/>
        <s v="M-00604"/>
        <s v="M-00605"/>
        <s v="M-00606"/>
        <s v="M-00607"/>
        <s v="M-00608"/>
        <s v="M-00609"/>
        <s v="M-00610"/>
        <s v="M-00611"/>
        <s v="M-00612"/>
        <s v="M-00613"/>
        <s v="M-00614"/>
        <s v="M-00615"/>
        <s v="M-00616"/>
        <s v="M-00617"/>
        <s v="M-00618"/>
        <s v="M-00619"/>
        <s v="M-00620"/>
        <s v="M-00621"/>
        <s v="M-00622"/>
        <s v="M-00623"/>
        <s v="M-00624"/>
        <s v="M-00625"/>
        <s v="M-00626"/>
        <s v="M-00627"/>
        <s v="M-00628"/>
        <s v="M-00629"/>
        <s v="M-00630"/>
        <s v="M-00631"/>
        <s v="M-00632"/>
        <s v="M-00633"/>
        <s v="M-00634"/>
        <s v="M-00635"/>
        <s v="M-00636"/>
        <s v="M-00637"/>
        <s v="M-00638"/>
        <s v="M-00639"/>
        <s v="M-00640"/>
        <s v="M-00641"/>
        <s v="M-00642"/>
        <s v="M-00643"/>
        <s v="M-00644"/>
        <s v="M-00645"/>
        <s v="M-00646"/>
        <s v="M-00647"/>
        <s v="M-00648"/>
        <s v="M-00649"/>
        <s v="M-00650"/>
        <s v="M-00651"/>
        <s v="M-00652"/>
        <s v="M-00653"/>
        <s v="M-00654"/>
        <s v="M-00655"/>
        <s v="M-00656"/>
        <s v="M-00657"/>
        <s v="M-00658"/>
        <s v="M-00659"/>
        <s v="M-00660"/>
        <s v="M-00661"/>
        <s v="M-00662"/>
        <s v="M-00663"/>
        <s v="M-00664"/>
        <s v="M-00665"/>
        <s v="M-00666"/>
        <s v="M-00667"/>
        <s v="M-00668"/>
        <s v="M-00669"/>
        <s v="M-00670"/>
        <s v="M-00671"/>
        <s v="M-00672"/>
        <s v="M-00673"/>
        <s v="M-00674"/>
        <s v="M-00675"/>
        <s v="M-00676"/>
        <s v="M-00677"/>
        <s v="M-00678"/>
        <s v="M-00679"/>
        <s v="M-00680"/>
        <s v="M-00681"/>
        <s v="M-00682"/>
        <s v="M-00683"/>
        <s v="M-00684"/>
        <s v="M-00685"/>
        <s v="M-00686"/>
        <s v="M-00687"/>
        <s v="M-00688"/>
        <s v="M-00689"/>
        <s v="M-00690"/>
        <s v="M-00691"/>
        <s v="M-00692"/>
        <s v="M-00693"/>
        <s v="M-00694"/>
        <s v="M-00695"/>
        <s v="M-00696"/>
        <s v="M-00697"/>
        <s v="M-00698"/>
        <s v="M-00699"/>
        <s v="M-00700"/>
        <s v="M-00701"/>
        <s v="M-00702"/>
        <s v="M-00703"/>
        <s v="M-00704"/>
      </sharedItems>
    </cacheField>
    <cacheField name="N° SERIE" numFmtId="0">
      <sharedItems containsSemiMixedTypes="0" containsString="0" containsNumber="1" containsInteger="1" minValue="2282600001" maxValue="2302600703"/>
    </cacheField>
    <cacheField name="TIPO" numFmtId="0">
      <sharedItems count="2">
        <s v="SECO"/>
        <s v="HUMEDO"/>
      </sharedItems>
    </cacheField>
    <cacheField name="% AVANCE" numFmtId="9">
      <sharedItems containsSemiMixedTypes="0" containsString="0" containsNumber="1" minValue="0" maxValue="0.99999999999999978"/>
    </cacheField>
    <cacheField name="FECHA INICIO TEORICO" numFmtId="14">
      <sharedItems containsSemiMixedTypes="0" containsNonDate="0" containsDate="1" containsString="0" minDate="2026-02-17T00:00:00" maxDate="2027-04-13T00:00:00"/>
    </cacheField>
    <cacheField name="FECHA INICIO REAL" numFmtId="14">
      <sharedItems containsNonDate="0" containsDate="1" containsString="0" containsBlank="1" minDate="2026-02-17T00:00:00" maxDate="2026-07-25T00:00:00"/>
    </cacheField>
    <cacheField name="FECHA ULTIMO REGISTRO" numFmtId="14">
      <sharedItems containsSemiMixedTypes="0" containsNonDate="0" containsDate="1" containsString="0" minDate="1899-12-30T00:00:00" maxDate="2026-07-25T00:00:00"/>
    </cacheField>
    <cacheField name="FECHA TERMINO  PLANIFICADO" numFmtId="14">
      <sharedItems containsSemiMixedTypes="0" containsNonDate="0" containsDate="1" containsString="0" minDate="2026-04-17T00:00:00" maxDate="2027-05-10T00:00:00"/>
    </cacheField>
    <cacheField name="DIAS SIN MOVIMIENTO" numFmtId="0">
      <sharedItems containsString="0" containsBlank="1" containsNumber="1" containsInteger="1" minValue="0" maxValue="46230" count="37">
        <m/>
        <n v="3"/>
        <n v="4"/>
        <n v="5"/>
        <n v="14"/>
        <n v="6"/>
        <n v="7"/>
        <n v="12"/>
        <n v="46230"/>
        <n v="1" u="1"/>
        <n v="2" u="1"/>
        <n v="11" u="1"/>
        <n v="9" u="1"/>
        <n v="46227" u="1"/>
        <n v="13" u="1"/>
        <n v="17" u="1"/>
        <n v="8" u="1"/>
        <n v="46212" u="1"/>
        <n v="0" u="1"/>
        <n v="36" u="1"/>
        <n v="10" u="1"/>
        <n v="46198" u="1"/>
        <n v="19" u="1"/>
        <n v="46181" u="1"/>
        <n v="15" u="1"/>
        <n v="46177" u="1"/>
        <n v="26" u="1"/>
        <n v="46176" u="1"/>
        <n v="25" u="1"/>
        <n v="46175" u="1"/>
        <n v="24" u="1"/>
        <n v="46174" u="1"/>
        <n v="21" u="1"/>
        <n v="46171" u="1"/>
        <n v="20" u="1"/>
        <n v="23" u="1"/>
        <n v="46170" u="1"/>
      </sharedItems>
    </cacheField>
    <cacheField name="FECHA TERMINO" numFmtId="14">
      <sharedItems containsNonDate="0" containsDate="1" containsString="0" containsBlank="1" minDate="2026-05-08T00:00:00" maxDate="2026-07-25T00:00:00"/>
    </cacheField>
    <cacheField name="APORTE OBRA GRUESA" numFmtId="10">
      <sharedItems containsSemiMixedTypes="0" containsString="0" containsNumber="1" minValue="0" maxValue="0.43"/>
    </cacheField>
    <cacheField name="OBRA GRUESA" numFmtId="10">
      <sharedItems containsSemiMixedTypes="0" containsString="0" containsNumber="1" minValue="0" maxValue="1"/>
    </cacheField>
    <cacheField name="PISO" numFmtId="10">
      <sharedItems containsSemiMixedTypes="0" containsString="0" containsNumber="1" minValue="0" maxValue="0.27906976744186046"/>
    </cacheField>
    <cacheField name="TABIQUES" numFmtId="10">
      <sharedItems containsSemiMixedTypes="0" containsString="0" containsNumber="1" minValue="0" maxValue="0.18604651162790697"/>
    </cacheField>
    <cacheField name="MUROS" numFmtId="10">
      <sharedItems containsSemiMixedTypes="0" containsString="0" containsNumber="1" minValue="0" maxValue="0.2558139534883721"/>
    </cacheField>
    <cacheField name="CIELO" numFmtId="10">
      <sharedItems containsSemiMixedTypes="0" containsString="0" containsNumber="1" minValue="0" maxValue="0.18604651162790697"/>
    </cacheField>
    <cacheField name="BALCÓN" numFmtId="10">
      <sharedItems containsSemiMixedTypes="0" containsString="0" containsNumber="1" minValue="0" maxValue="9.3023255813953487E-2"/>
    </cacheField>
    <cacheField name="APORTE SANITARIO" numFmtId="10">
      <sharedItems containsSemiMixedTypes="0" containsString="0" containsNumber="1" minValue="0" maxValue="0.09"/>
    </cacheField>
    <cacheField name="SANITARIO" numFmtId="10">
      <sharedItems containsSemiMixedTypes="0" containsString="0" containsNumber="1" minValue="0" maxValue="1" count="8">
        <n v="1"/>
        <n v="0.88888888888888895"/>
        <n v="0.55555555555555558"/>
        <n v="0.44444444444444442"/>
        <n v="0"/>
        <n v="0.22222222222222221" u="1"/>
        <n v="0.77777777777777779" u="1"/>
        <n v="0.66666666666666674" u="1"/>
      </sharedItems>
    </cacheField>
    <cacheField name="RED ALCANTARILLADO" numFmtId="10">
      <sharedItems containsSemiMixedTypes="0" containsString="0" containsNumber="1" minValue="0" maxValue="0.22222222222222221"/>
    </cacheField>
    <cacheField name="RED DE AGUA" numFmtId="10">
      <sharedItems containsSemiMixedTypes="0" containsString="0" containsNumber="1" minValue="0" maxValue="0.22222222222222221"/>
    </cacheField>
    <cacheField name="VENTILACIONES" numFmtId="10">
      <sharedItems containsSemiMixedTypes="0" containsString="0" containsNumber="1" minValue="0" maxValue="0.1111111111111111"/>
    </cacheField>
    <cacheField name="TINA" numFmtId="10">
      <sharedItems containsSemiMixedTypes="0" containsString="0" containsNumber="1" minValue="0" maxValue="0.1111111111111111"/>
    </cacheField>
    <cacheField name="WC" numFmtId="10">
      <sharedItems containsSemiMixedTypes="0" containsString="0" containsNumber="1" minValue="0" maxValue="0.1111111111111111"/>
    </cacheField>
    <cacheField name="LAVAMANOS / LAVAPLATOS / LAVADERO" numFmtId="10">
      <sharedItems containsSemiMixedTypes="0" containsString="0" containsNumber="1" minValue="0" maxValue="0.22222222222222221"/>
    </cacheField>
    <cacheField name="APORTE ELÉCTRICO" numFmtId="10">
      <sharedItems containsSemiMixedTypes="0" containsString="0" containsNumber="1" minValue="0" maxValue="0.11"/>
    </cacheField>
    <cacheField name="ELÉCTRICO" numFmtId="10">
      <sharedItems containsSemiMixedTypes="0" containsString="0" containsNumber="1" minValue="0" maxValue="1" count="8">
        <n v="1"/>
        <n v="0.72727272727272729"/>
        <n v="0.27272727272727271"/>
        <n v="0.63636363636363635"/>
        <n v="0.54545454545454541"/>
        <n v="0"/>
        <n v="0.81818181818181812" u="1"/>
        <n v="0.90909090909090917" u="1"/>
      </sharedItems>
    </cacheField>
    <cacheField name="CANALIZACIÓN" numFmtId="10">
      <sharedItems containsSemiMixedTypes="0" containsString="0" containsNumber="1" minValue="0" maxValue="0.27272727272727271"/>
    </cacheField>
    <cacheField name="CABLEADO" numFmtId="10">
      <sharedItems containsSemiMixedTypes="0" containsString="0" containsNumber="1" minValue="0" maxValue="0.27272727272727271"/>
    </cacheField>
    <cacheField name="ARTEFACTOS" numFmtId="10">
      <sharedItems containsSemiMixedTypes="0" containsString="0" containsNumber="1" minValue="0" maxValue="9.0909090909090912E-2"/>
    </cacheField>
    <cacheField name="TABLERO" numFmtId="10">
      <sharedItems containsSemiMixedTypes="0" containsString="0" containsNumber="1" minValue="0" maxValue="0.18181818181818182"/>
    </cacheField>
    <cacheField name="CAJA PAU" numFmtId="10">
      <sharedItems containsSemiMixedTypes="0" containsString="0" containsNumber="1" minValue="0" maxValue="0.18181818181818182"/>
    </cacheField>
    <cacheField name="APORTE TERMINACIONES" numFmtId="10">
      <sharedItems containsSemiMixedTypes="0" containsString="0" containsNumber="1" minValue="0" maxValue="0.36999999999999983"/>
    </cacheField>
    <cacheField name="TERMINACIONES" numFmtId="10">
      <sharedItems containsSemiMixedTypes="0" containsString="0" containsNumber="1" minValue="0" maxValue="0.99999999999999956"/>
    </cacheField>
    <cacheField name="INSTALACION VINILICO" numFmtId="10">
      <sharedItems containsSemiMixedTypes="0" containsString="0" containsNumber="1" minValue="0" maxValue="5.4054054054054036E-2"/>
    </cacheField>
    <cacheField name="OSB CUBIERTA" numFmtId="10">
      <sharedItems containsSemiMixedTypes="0" containsString="0" containsNumber="1" minValue="0" maxValue="5.4054054054054036E-2"/>
    </cacheField>
    <cacheField name="BARANDA BALCON" numFmtId="10">
      <sharedItems containsSemiMixedTypes="0" containsString="0" containsNumber="1" minValue="0" maxValue="2.7027027027027018E-2"/>
    </cacheField>
    <cacheField name="OSB EXTERIOR" numFmtId="10">
      <sharedItems containsSemiMixedTypes="0" containsString="0" containsNumber="1" minValue="0" maxValue="8.1081081081081058E-2"/>
    </cacheField>
    <cacheField name="SMART PANEL" numFmtId="10">
      <sharedItems containsSemiMixedTypes="0" containsString="0" containsNumber="1" minValue="0" maxValue="8.1081081081081058E-2"/>
    </cacheField>
    <cacheField name="PINTURA EXTERIOR" numFmtId="10">
      <sharedItems containsSemiMixedTypes="0" containsString="0" containsNumber="1" minValue="0" maxValue="6.7567567567567557E-2"/>
    </cacheField>
    <cacheField name="ZOCALOS LOGIA" numFmtId="10">
      <sharedItems containsSemiMixedTypes="0" containsString="0" containsNumber="1" minValue="0" maxValue="5.4054054054054036E-2"/>
    </cacheField>
    <cacheField name="MOLDURAS" numFmtId="10">
      <sharedItems containsSemiMixedTypes="0" containsString="0" containsNumber="1" minValue="0" maxValue="1.3513513513513509E-2"/>
    </cacheField>
    <cacheField name="PILASTREO" numFmtId="10">
      <sharedItems containsSemiMixedTypes="0" containsString="0" containsNumber="1" minValue="0" maxValue="4.0540540540540529E-2"/>
    </cacheField>
    <cacheField name="CELOSIAS" numFmtId="10">
      <sharedItems containsSemiMixedTypes="0" containsString="0" containsNumber="1" minValue="0" maxValue="1.3513513513513509E-2"/>
    </cacheField>
    <cacheField name="VENTANAS" numFmtId="10">
      <sharedItems containsSemiMixedTypes="0" containsString="0" containsNumber="1" minValue="0" maxValue="8.1081081081081058E-2"/>
    </cacheField>
    <cacheField name="PUERTAS ACCESO - LOGIA - BANO" numFmtId="10">
      <sharedItems containsSemiMixedTypes="0" containsString="0" containsNumber="1" minValue="0" maxValue="5.4054054054054036E-2"/>
    </cacheField>
    <cacheField name="CERRADURAS" numFmtId="10">
      <sharedItems containsSemiMixedTypes="0" containsString="0" containsNumber="1" minValue="0" maxValue="2.7027027027027018E-2"/>
    </cacheField>
    <cacheField name="REVESTIMIENTO INTERIOR ZONA SECA" numFmtId="10">
      <sharedItems containsSemiMixedTypes="0" containsString="0" containsNumber="1" minValue="0" maxValue="5.4054054054054036E-2"/>
    </cacheField>
    <cacheField name="REVESTIMIENTO INTERIOR ZONAS HUMEDAS" numFmtId="10">
      <sharedItems containsSemiMixedTypes="0" containsString="0" containsNumber="1" minValue="0" maxValue="5.4054054054054036E-2"/>
    </cacheField>
    <cacheField name="MEMBRANA CIELO" numFmtId="10">
      <sharedItems containsSemiMixedTypes="0" containsString="0" containsNumber="1" minValue="0" maxValue="2.7027027027027018E-2"/>
    </cacheField>
    <cacheField name="LIMPIEZA FINAL" numFmtId="10">
      <sharedItems containsSemiMixedTypes="0" containsString="0" containsNumber="1" minValue="0" maxValue="4.0540540540540529E-2"/>
    </cacheField>
    <cacheField name="PUERTAS DORMITORIO" numFmtId="10">
      <sharedItems containsSemiMixedTypes="0" containsString="0" containsNumber="1" minValue="0" maxValue="5.4054054054054036E-2"/>
    </cacheField>
    <cacheField name="REVESTIMIENTO INTERIOR BANO" numFmtId="10">
      <sharedItems containsSemiMixedTypes="0" containsString="0" containsNumber="1" minValue="0" maxValue="8.1081081081081058E-2"/>
    </cacheField>
    <cacheField name="MUEBLE LAVAPLATOS" numFmtId="10">
      <sharedItems containsSemiMixedTypes="0" containsString="0" containsNumber="1" minValue="0" maxValue="1.3513513513513509E-2"/>
    </cacheField>
    <cacheField name="IMPERMEABILIZACION BANO - COCINA LOGIA" numFmtId="10">
      <sharedItems containsSemiMixedTypes="0" containsString="0" containsNumber="1" minValue="0" maxValue="2.7027027027027018E-2"/>
    </cacheField>
    <cacheField name="METROS CUADRADOS" numFmtId="0">
      <sharedItems containsSemiMixedTypes="0" containsString="0" containsNumber="1" minValue="28.87" maxValue="31.32"/>
    </cacheField>
    <cacheField name="ESTADO MODULO" numFmtId="10">
      <sharedItems count="3">
        <s v="MODULO TERMINADO"/>
        <s v="PENDIENTE"/>
        <s v="MODULO NO INICIADO"/>
      </sharedItems>
    </cacheField>
    <cacheField name="VENTANAS2" numFmtId="10">
      <sharedItems containsSemiMixedTypes="0" containsString="0" containsNumber="1" containsInteger="1" minValue="0" maxValue="1"/>
    </cacheField>
    <cacheField name="PISO2" numFmtId="10">
      <sharedItems containsSemiMixedTypes="0" containsString="0" containsNumber="1" containsInteger="1" minValue="0" maxValue="1"/>
    </cacheField>
    <cacheField name="TABIQUES2" numFmtId="10">
      <sharedItems containsSemiMixedTypes="0" containsString="0" containsNumber="1" containsInteger="1" minValue="0" maxValue="1"/>
    </cacheField>
    <cacheField name="MUROS2" numFmtId="10">
      <sharedItems containsSemiMixedTypes="0" containsString="0" containsNumber="1" containsInteger="1" minValue="0" maxValue="1"/>
    </cacheField>
    <cacheField name="CIELO2" numFmtId="10">
      <sharedItems containsSemiMixedTypes="0" containsString="0" containsNumber="1" containsInteger="1" minValue="0" maxValue="1"/>
    </cacheField>
    <cacheField name="BALCÓN2" numFmtId="10">
      <sharedItems containsSemiMixedTypes="0" containsString="0" containsNumber="1" containsInteger="1" minValue="0" maxValue="1"/>
    </cacheField>
    <cacheField name="RED ALCANTARILLADO2" numFmtId="10">
      <sharedItems containsSemiMixedTypes="0" containsString="0" containsNumber="1" containsInteger="1" minValue="0" maxValue="1"/>
    </cacheField>
    <cacheField name="RED DE AGUA2" numFmtId="10">
      <sharedItems containsSemiMixedTypes="0" containsString="0" containsNumber="1" containsInteger="1" minValue="0" maxValue="1"/>
    </cacheField>
    <cacheField name="VENTILACIONES2" numFmtId="10">
      <sharedItems containsSemiMixedTypes="0" containsString="0" containsNumber="1" containsInteger="1" minValue="0" maxValue="1"/>
    </cacheField>
    <cacheField name="TINA2" numFmtId="10">
      <sharedItems containsSemiMixedTypes="0" containsString="0" containsNumber="1" containsInteger="1" minValue="0" maxValue="1"/>
    </cacheField>
    <cacheField name="WC2" numFmtId="10">
      <sharedItems containsSemiMixedTypes="0" containsString="0" containsNumber="1" containsInteger="1" minValue="0" maxValue="1"/>
    </cacheField>
    <cacheField name="LAVAMANOS / LAVAPLATOS / LAVADERO2" numFmtId="10">
      <sharedItems containsSemiMixedTypes="0" containsString="0" containsNumber="1" containsInteger="1" minValue="0" maxValue="1"/>
    </cacheField>
    <cacheField name="CANALIZACIÓN2" numFmtId="10">
      <sharedItems containsSemiMixedTypes="0" containsString="0" containsNumber="1" containsInteger="1" minValue="0" maxValue="1"/>
    </cacheField>
    <cacheField name="CABLEADO2" numFmtId="10">
      <sharedItems containsSemiMixedTypes="0" containsString="0" containsNumber="1" containsInteger="1" minValue="0" maxValue="1"/>
    </cacheField>
    <cacheField name="ARTEFACTOS2" numFmtId="10">
      <sharedItems containsSemiMixedTypes="0" containsString="0" containsNumber="1" containsInteger="1" minValue="0" maxValue="1"/>
    </cacheField>
    <cacheField name="TABLERO2" numFmtId="10">
      <sharedItems containsSemiMixedTypes="0" containsString="0" containsNumber="1" containsInteger="1" minValue="0" maxValue="1"/>
    </cacheField>
    <cacheField name="CAJA PAU2" numFmtId="10">
      <sharedItems containsSemiMixedTypes="0" containsString="0" containsNumber="1" containsInteger="1" minValue="0" maxValue="1"/>
    </cacheField>
    <cacheField name="INSTALACION VINILICO2" numFmtId="10">
      <sharedItems containsSemiMixedTypes="0" containsString="0" containsNumber="1" containsInteger="1" minValue="0" maxValue="1"/>
    </cacheField>
    <cacheField name="OSB CUBIERTA3" numFmtId="10">
      <sharedItems containsSemiMixedTypes="0" containsString="0" containsNumber="1" containsInteger="1" minValue="0" maxValue="1"/>
    </cacheField>
    <cacheField name="BARANDA BALCON4" numFmtId="10">
      <sharedItems containsSemiMixedTypes="0" containsString="0" containsNumber="1" containsInteger="1" minValue="0" maxValue="1"/>
    </cacheField>
    <cacheField name="OSB EXTERIOR5" numFmtId="10">
      <sharedItems containsSemiMixedTypes="0" containsString="0" containsNumber="1" containsInteger="1" minValue="0" maxValue="1"/>
    </cacheField>
    <cacheField name="SMART PANEL6" numFmtId="10">
      <sharedItems containsSemiMixedTypes="0" containsString="0" containsNumber="1" containsInteger="1" minValue="0" maxValue="1"/>
    </cacheField>
    <cacheField name="PINTURA EXTERIOR7" numFmtId="10">
      <sharedItems containsSemiMixedTypes="0" containsString="0" containsNumber="1" containsInteger="1" minValue="0" maxValue="1"/>
    </cacheField>
    <cacheField name="ZOCALOS LOGIA8" numFmtId="10">
      <sharedItems containsSemiMixedTypes="0" containsString="0" containsNumber="1" containsInteger="1" minValue="0" maxValue="1"/>
    </cacheField>
    <cacheField name="MOLDURAS9" numFmtId="10">
      <sharedItems containsSemiMixedTypes="0" containsString="0" containsNumber="1" containsInteger="1" minValue="0" maxValue="1"/>
    </cacheField>
    <cacheField name="PILASTREO10" numFmtId="10">
      <sharedItems containsSemiMixedTypes="0" containsString="0" containsNumber="1" containsInteger="1" minValue="0" maxValue="1"/>
    </cacheField>
    <cacheField name="CELOSIAS11" numFmtId="10">
      <sharedItems containsSemiMixedTypes="0" containsString="0" containsNumber="1" containsInteger="1" minValue="0" maxValue="1"/>
    </cacheField>
    <cacheField name="VENTANAS12" numFmtId="10">
      <sharedItems containsSemiMixedTypes="0" containsString="0" containsNumber="1" containsInteger="1" minValue="0" maxValue="1"/>
    </cacheField>
    <cacheField name="PUERTAS ACCESO - LOGIA - BANO13" numFmtId="10">
      <sharedItems containsSemiMixedTypes="0" containsString="0" containsNumber="1" containsInteger="1" minValue="0" maxValue="1"/>
    </cacheField>
    <cacheField name="CERRADURAS14" numFmtId="10">
      <sharedItems containsSemiMixedTypes="0" containsString="0" containsNumber="1" containsInteger="1" minValue="0" maxValue="1"/>
    </cacheField>
    <cacheField name="REVESTIMIENTO INTERIOR ZONA SECA15" numFmtId="10">
      <sharedItems containsSemiMixedTypes="0" containsString="0" containsNumber="1" containsInteger="1" minValue="0" maxValue="1"/>
    </cacheField>
    <cacheField name="REVESTIMIENTO INTERIOR ZONAS HUMEDAS16" numFmtId="10">
      <sharedItems containsSemiMixedTypes="0" containsString="0" containsNumber="1" containsInteger="1" minValue="0" maxValue="1"/>
    </cacheField>
    <cacheField name="MEMBRANA CIELO17" numFmtId="10">
      <sharedItems containsSemiMixedTypes="0" containsString="0" containsNumber="1" containsInteger="1" minValue="0" maxValue="1"/>
    </cacheField>
    <cacheField name="LIMPIEZA FINAL18" numFmtId="10">
      <sharedItems containsSemiMixedTypes="0" containsString="0" containsNumber="1" containsInteger="1" minValue="0" maxValue="1"/>
    </cacheField>
    <cacheField name="PUERTAS DORMITORIO19" numFmtId="10">
      <sharedItems containsSemiMixedTypes="0" containsString="0" containsNumber="1" containsInteger="1" minValue="0" maxValue="1"/>
    </cacheField>
    <cacheField name="REVESTIMIENTO INTERIOR BANO20" numFmtId="10">
      <sharedItems containsSemiMixedTypes="0" containsString="0" containsNumber="1" containsInteger="1" minValue="0" maxValue="1"/>
    </cacheField>
    <cacheField name="MUEBLE LAVAPLATOS21" numFmtId="10">
      <sharedItems containsSemiMixedTypes="0" containsString="0" containsNumber="1" containsInteger="1" minValue="0" maxValue="1"/>
    </cacheField>
    <cacheField name="IMPERMEABILIZACION BANO - COCINA LOGIA22" numFmtId="10">
      <sharedItems containsSemiMixedTypes="0" containsString="0" containsNumber="1" containsInteger="1" minValue="0" maxValue="1"/>
    </cacheField>
    <cacheField name="DIAS RETRASO" numFmtId="41">
      <sharedItems containsSemiMixedTypes="0" containsString="0" containsNumber="1" containsInteger="1" minValue="-33" maxValue="44" count="71">
        <n v="0"/>
        <n v="29"/>
        <n v="19"/>
        <n v="18"/>
        <n v="15"/>
        <n v="14"/>
        <n v="24"/>
        <n v="23"/>
        <n v="13"/>
        <n v="12"/>
        <n v="22"/>
        <n v="21"/>
        <n v="11"/>
        <n v="8"/>
        <n v="17"/>
        <n v="7"/>
        <n v="6"/>
        <n v="16"/>
        <n v="5"/>
        <n v="4"/>
        <n v="1"/>
        <n v="10"/>
        <n v="-1"/>
        <n v="-4"/>
        <n v="-5"/>
        <n v="-6"/>
        <n v="3"/>
        <n v="-8"/>
        <n v="2"/>
        <n v="-11"/>
        <n v="-12"/>
        <n v="-2"/>
        <n v="20" u="1"/>
        <n v="30" u="1"/>
        <n v="34" u="1"/>
        <n v="44" u="1"/>
        <n v="31" u="1"/>
        <n v="40" u="1"/>
        <n v="39" u="1"/>
        <n v="27" u="1"/>
        <n v="37" u="1"/>
        <n v="33" u="1"/>
        <n v="32" u="1"/>
        <n v="28" u="1"/>
        <n v="26" u="1"/>
        <n v="25" u="1"/>
        <n v="9" u="1"/>
        <n v="-3" u="1"/>
        <n v="35" u="1"/>
        <n v="-7" u="1"/>
        <n v="-9" u="1"/>
        <n v="-10" u="1"/>
        <n v="-13" u="1"/>
        <n v="-14" u="1"/>
        <n v="-17" u="1"/>
        <n v="-18" u="1"/>
        <n v="-19" u="1"/>
        <n v="-20" u="1"/>
        <n v="-21" u="1"/>
        <n v="-16" u="1"/>
        <n v="-15" u="1"/>
        <n v="-22" u="1"/>
        <n v="-23" u="1"/>
        <n v="-24" u="1"/>
        <n v="-25" u="1"/>
        <n v="-26" u="1"/>
        <n v="-29" u="1"/>
        <n v="-27" u="1"/>
        <n v="-28" u="1"/>
        <n v="-33" u="1"/>
        <n v="-30" u="1"/>
      </sharedItems>
    </cacheField>
    <cacheField name="PARTIDAS PENDIENTES POR CATEGORÍA" numFmtId="10">
      <sharedItems longText="1"/>
    </cacheField>
    <cacheField name="CATEGORÍAS PENDIENTES" numFmtId="1">
      <sharedItems/>
    </cacheField>
    <cacheField name="N° PENDIENTES" numFmtId="1">
      <sharedItems containsSemiMixedTypes="0" containsString="0" containsNumber="1" containsInteger="1" minValue="0" maxValue="38"/>
    </cacheField>
  </cacheFields>
  <extLst>
    <ext xmlns:x14="http://schemas.microsoft.com/office/spreadsheetml/2009/9/main" uri="{725AE2AE-9491-48be-B2B4-4EB974FC3084}">
      <x14:pivotCacheDefinition pivotCacheId="12754652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">
  <r>
    <x v="0"/>
    <x v="0"/>
    <n v="2282600001"/>
    <x v="0"/>
    <n v="0.99999999999999978"/>
    <d v="2026-03-16T00:00:00"/>
    <d v="2026-03-16T00:00:00"/>
    <d v="2026-05-11T00:00:00"/>
    <d v="2026-04-28T00:00:00"/>
    <x v="0"/>
    <d v="2026-05-1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"/>
    <n v="2302600002"/>
    <x v="1"/>
    <n v="0.99999999999999978"/>
    <d v="2026-03-19T00:00:00"/>
    <d v="2026-03-19T00:00:00"/>
    <d v="2026-05-14T00:00:00"/>
    <d v="2026-04-28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"/>
    <n v="2302600003"/>
    <x v="1"/>
    <n v="0.99999999999999978"/>
    <d v="2026-03-18T00:00:00"/>
    <d v="2026-03-18T00:00:00"/>
    <d v="2026-05-18T00:00:00"/>
    <d v="2026-05-05T00:00:00"/>
    <x v="0"/>
    <d v="2026-05-1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3"/>
    <n v="2282600004"/>
    <x v="0"/>
    <n v="0.99999999999999978"/>
    <d v="2026-03-12T00:00:00"/>
    <d v="2026-03-12T00:00:00"/>
    <d v="2026-05-14T00:00:00"/>
    <d v="2026-04-30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4"/>
    <n v="2282600005"/>
    <x v="0"/>
    <n v="0.99999999999999978"/>
    <d v="2026-03-23T00:00:00"/>
    <d v="2026-03-23T00:00:00"/>
    <d v="2026-05-08T00:00:00"/>
    <d v="2026-05-05T00:00:00"/>
    <x v="0"/>
    <d v="2026-05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5"/>
    <n v="2302600006"/>
    <x v="1"/>
    <n v="0.99999999999999978"/>
    <d v="2026-03-24T00:00:00"/>
    <d v="2026-03-24T00:00:00"/>
    <d v="2026-05-27T00:00:00"/>
    <d v="2026-05-11T00:00:00"/>
    <x v="0"/>
    <d v="2026-05-2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6"/>
    <n v="2302600007"/>
    <x v="1"/>
    <n v="0.99999999999999978"/>
    <d v="2026-03-24T00:00:00"/>
    <d v="2026-03-24T00:00:00"/>
    <d v="2026-06-05T00:00:00"/>
    <d v="2026-05-13T00:00:00"/>
    <x v="0"/>
    <d v="2026-06-0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7"/>
    <n v="2282600008"/>
    <x v="0"/>
    <n v="0.99999999999999978"/>
    <d v="2026-03-25T00:00:00"/>
    <d v="2026-03-25T00:00:00"/>
    <d v="2026-06-04T00:00:00"/>
    <d v="2026-05-06T00:00:00"/>
    <x v="0"/>
    <d v="2026-06-0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8"/>
    <n v="2282600009"/>
    <x v="0"/>
    <n v="0.99999999999999978"/>
    <d v="2026-02-17T00:00:00"/>
    <d v="2026-02-17T00:00:00"/>
    <d v="2026-05-14T00:00:00"/>
    <d v="2026-04-22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9"/>
    <n v="2302600010"/>
    <x v="1"/>
    <n v="0.99999999999999978"/>
    <d v="2026-02-17T00:00:00"/>
    <d v="2026-02-17T00:00:00"/>
    <d v="2026-05-14T00:00:00"/>
    <d v="2026-04-22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0"/>
    <n v="2302600011"/>
    <x v="1"/>
    <n v="0.99999999999999978"/>
    <d v="2026-02-20T00:00:00"/>
    <d v="2026-02-20T00:00:00"/>
    <d v="2026-05-18T00:00:00"/>
    <d v="2026-04-24T00:00:00"/>
    <x v="0"/>
    <d v="2026-05-1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1"/>
    <n v="2282600012"/>
    <x v="0"/>
    <n v="0.99999999999999978"/>
    <d v="2026-02-25T00:00:00"/>
    <d v="2026-02-25T00:00:00"/>
    <d v="2026-05-20T00:00:00"/>
    <d v="2026-04-20T00:00:00"/>
    <x v="0"/>
    <d v="2026-05-2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2"/>
    <n v="2282600013"/>
    <x v="0"/>
    <n v="0.99999999999999978"/>
    <d v="2026-02-25T00:00:00"/>
    <d v="2026-02-25T00:00:00"/>
    <d v="2026-06-01T00:00:00"/>
    <d v="2026-05-12T00:00:00"/>
    <x v="0"/>
    <d v="2026-06-0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3"/>
    <n v="2302600014"/>
    <x v="1"/>
    <n v="0.99999999999999978"/>
    <d v="2026-02-20T00:00:00"/>
    <d v="2026-02-20T00:00:00"/>
    <d v="2026-05-14T00:00:00"/>
    <d v="2026-04-21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4"/>
    <n v="2302600015"/>
    <x v="1"/>
    <n v="0.99999999999999978"/>
    <d v="2026-02-19T00:00:00"/>
    <d v="2026-02-19T00:00:00"/>
    <d v="2026-05-15T00:00:00"/>
    <d v="2026-04-17T00:00:00"/>
    <x v="0"/>
    <d v="2026-05-1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5"/>
    <n v="2282600016"/>
    <x v="0"/>
    <n v="0.99999999999999978"/>
    <d v="2026-02-23T00:00:00"/>
    <d v="2026-02-23T00:00:00"/>
    <d v="2026-06-08T00:00:00"/>
    <d v="2026-05-04T00:00:00"/>
    <x v="0"/>
    <d v="2026-06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6"/>
    <n v="2282600017"/>
    <x v="0"/>
    <n v="0.99999999999999978"/>
    <d v="2026-02-26T00:00:00"/>
    <d v="2026-02-26T00:00:00"/>
    <d v="2026-05-14T00:00:00"/>
    <d v="2026-04-20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7"/>
    <n v="2302600018"/>
    <x v="1"/>
    <n v="0.99999999999999978"/>
    <d v="2026-03-06T00:00:00"/>
    <d v="2026-03-06T00:00:00"/>
    <d v="2026-05-15T00:00:00"/>
    <d v="2026-04-30T00:00:00"/>
    <x v="0"/>
    <d v="2026-05-1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8"/>
    <n v="2302600019"/>
    <x v="1"/>
    <n v="0.99999999999999978"/>
    <d v="2026-03-09T00:00:00"/>
    <d v="2026-03-09T00:00:00"/>
    <d v="2026-05-27T00:00:00"/>
    <d v="2026-05-07T00:00:00"/>
    <x v="0"/>
    <d v="2026-05-2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19"/>
    <n v="2282600020"/>
    <x v="0"/>
    <n v="0.99999999999999978"/>
    <d v="2026-02-27T00:00:00"/>
    <d v="2026-02-27T00:00:00"/>
    <d v="2026-05-14T00:00:00"/>
    <d v="2026-04-27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0"/>
    <n v="2282600021"/>
    <x v="0"/>
    <n v="0.99999999999999978"/>
    <d v="2026-03-04T00:00:00"/>
    <d v="2026-03-04T00:00:00"/>
    <d v="2026-05-19T00:00:00"/>
    <d v="2026-04-21T00:00:00"/>
    <x v="0"/>
    <d v="2026-05-19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1"/>
    <n v="2302600022"/>
    <x v="1"/>
    <n v="0.99999999999999978"/>
    <d v="2026-03-10T00:00:00"/>
    <d v="2026-03-10T00:00:00"/>
    <d v="2026-06-08T00:00:00"/>
    <d v="2026-05-08T00:00:00"/>
    <x v="0"/>
    <d v="2026-06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2"/>
    <n v="2302600023"/>
    <x v="1"/>
    <n v="0.99999999999999978"/>
    <d v="2026-03-12T00:00:00"/>
    <d v="2026-03-12T00:00:00"/>
    <d v="2026-06-09T00:00:00"/>
    <d v="2026-05-12T00:00:00"/>
    <x v="0"/>
    <d v="2026-06-09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3"/>
    <n v="2282600024"/>
    <x v="0"/>
    <n v="0.99999999999999978"/>
    <d v="2026-03-05T00:00:00"/>
    <d v="2026-03-05T00:00:00"/>
    <d v="2026-06-08T00:00:00"/>
    <d v="2026-05-06T00:00:00"/>
    <x v="0"/>
    <d v="2026-06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4"/>
    <n v="2282600025"/>
    <x v="0"/>
    <n v="0.99999999999999978"/>
    <d v="2026-03-27T00:00:00"/>
    <d v="2026-03-27T00:00:00"/>
    <d v="2026-05-14T00:00:00"/>
    <d v="2026-04-28T00:00:00"/>
    <x v="0"/>
    <d v="2026-05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5"/>
    <n v="2302600026"/>
    <x v="1"/>
    <n v="0.99999999999999978"/>
    <d v="2026-04-01T00:00:00"/>
    <d v="2026-04-01T00:00:00"/>
    <d v="2026-05-20T00:00:00"/>
    <d v="2026-05-07T00:00:00"/>
    <x v="0"/>
    <d v="2026-05-2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6"/>
    <n v="2302600027"/>
    <x v="1"/>
    <n v="0.99999999999999978"/>
    <d v="2026-03-30T00:00:00"/>
    <d v="2026-03-30T00:00:00"/>
    <d v="2026-05-27T00:00:00"/>
    <d v="2026-05-08T00:00:00"/>
    <x v="0"/>
    <d v="2026-05-2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7"/>
    <n v="2282600028"/>
    <x v="0"/>
    <n v="0.99999999999999978"/>
    <d v="2026-03-27T00:00:00"/>
    <d v="2026-03-27T00:00:00"/>
    <d v="2026-05-27T00:00:00"/>
    <d v="2026-05-04T00:00:00"/>
    <x v="0"/>
    <d v="2026-05-2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8"/>
    <n v="2282600029"/>
    <x v="0"/>
    <n v="0.99999999999999978"/>
    <d v="2026-03-30T00:00:00"/>
    <d v="2026-03-30T00:00:00"/>
    <d v="2026-06-01T00:00:00"/>
    <d v="2026-05-06T00:00:00"/>
    <x v="0"/>
    <d v="2026-06-0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29"/>
    <n v="2302600030"/>
    <x v="1"/>
    <n v="0.99999999999999978"/>
    <d v="2026-03-31T00:00:00"/>
    <d v="2026-03-31T00:00:00"/>
    <d v="2026-06-08T00:00:00"/>
    <d v="2026-05-11T00:00:00"/>
    <x v="0"/>
    <d v="2026-06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30"/>
    <n v="2302600031"/>
    <x v="1"/>
    <n v="0.99999999999999978"/>
    <d v="2026-04-02T00:00:00"/>
    <d v="2026-04-02T00:00:00"/>
    <d v="2026-06-09T00:00:00"/>
    <d v="2026-05-13T00:00:00"/>
    <x v="0"/>
    <d v="2026-06-09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0"/>
    <x v="31"/>
    <n v="2282600032"/>
    <x v="0"/>
    <n v="0.99999999999999978"/>
    <d v="2026-03-30T00:00:00"/>
    <d v="2026-03-30T00:00:00"/>
    <d v="2026-06-05T00:00:00"/>
    <d v="2026-05-05T00:00:00"/>
    <x v="0"/>
    <d v="2026-06-0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32"/>
    <n v="2282600033"/>
    <x v="0"/>
    <n v="0.99999999999999978"/>
    <d v="2026-04-06T00:00:00"/>
    <d v="2026-04-06T00:00:00"/>
    <d v="2026-06-12T00:00:00"/>
    <d v="2026-05-05T00:00:00"/>
    <x v="0"/>
    <d v="2026-06-1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33"/>
    <n v="2302600034"/>
    <x v="1"/>
    <n v="0.99999999999999978"/>
    <d v="2026-04-07T00:00:00"/>
    <d v="2026-04-07T00:00:00"/>
    <d v="2026-06-11T00:00:00"/>
    <d v="2026-05-17T00:00:00"/>
    <x v="0"/>
    <d v="2026-06-1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34"/>
    <n v="2302600035"/>
    <x v="1"/>
    <n v="0.99999999999999978"/>
    <d v="2026-04-10T00:00:00"/>
    <d v="2026-04-10T00:00:00"/>
    <d v="2026-06-12T00:00:00"/>
    <d v="2026-05-20T00:00:00"/>
    <x v="0"/>
    <d v="2026-06-1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35"/>
    <n v="2282600036"/>
    <x v="0"/>
    <n v="0.99999999999999978"/>
    <d v="2026-04-10T00:00:00"/>
    <d v="2026-04-10T00:00:00"/>
    <d v="2026-06-12T00:00:00"/>
    <d v="2026-05-09T00:00:00"/>
    <x v="0"/>
    <d v="2026-06-1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36"/>
    <n v="2282600037"/>
    <x v="0"/>
    <n v="0.99999999999999978"/>
    <d v="2026-04-11T00:00:00"/>
    <d v="2026-04-11T00:00:00"/>
    <d v="2026-06-15T00:00:00"/>
    <d v="2026-05-10T00:00:00"/>
    <x v="0"/>
    <d v="2026-06-1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37"/>
    <n v="2302600038"/>
    <x v="1"/>
    <n v="0.99999999999999978"/>
    <d v="2026-04-11T00:00:00"/>
    <d v="2026-04-11T00:00:00"/>
    <d v="2026-06-17T00:00:00"/>
    <d v="2026-05-21T00:00:00"/>
    <x v="0"/>
    <d v="2026-06-1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38"/>
    <n v="2302600039"/>
    <x v="1"/>
    <n v="0.99999999999999978"/>
    <d v="2026-04-07T00:00:00"/>
    <d v="2026-04-07T00:00:00"/>
    <d v="2026-06-22T00:00:00"/>
    <d v="2026-05-17T00:00:00"/>
    <x v="0"/>
    <d v="2026-06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39"/>
    <n v="2282600040"/>
    <x v="0"/>
    <n v="0.99999999999999978"/>
    <d v="2026-04-07T00:00:00"/>
    <d v="2026-04-07T00:00:00"/>
    <d v="2026-06-12T00:00:00"/>
    <d v="2026-05-06T00:00:00"/>
    <x v="0"/>
    <d v="2026-06-1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0"/>
    <n v="2282600041"/>
    <x v="0"/>
    <n v="0.99999999999999978"/>
    <d v="2026-04-12T00:00:00"/>
    <d v="2026-04-12T00:00:00"/>
    <d v="2026-06-12T00:00:00"/>
    <d v="2026-05-11T00:00:00"/>
    <x v="0"/>
    <d v="2026-06-1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1"/>
    <n v="2302600042"/>
    <x v="1"/>
    <n v="0.99999999999999978"/>
    <d v="2026-04-17T00:00:00"/>
    <d v="2026-04-17T00:00:00"/>
    <d v="2026-06-18T00:00:00"/>
    <d v="2026-05-27T00:00:00"/>
    <x v="0"/>
    <d v="2026-06-1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2"/>
    <n v="2302600043"/>
    <x v="1"/>
    <n v="0.99999999999999978"/>
    <d v="2026-04-15T00:00:00"/>
    <d v="2026-04-15T00:00:00"/>
    <d v="2026-06-22T00:00:00"/>
    <d v="2026-05-25T00:00:00"/>
    <x v="0"/>
    <d v="2026-06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3"/>
    <n v="2282600044"/>
    <x v="0"/>
    <n v="0.99999999999999978"/>
    <d v="2026-04-15T00:00:00"/>
    <d v="2026-04-15T00:00:00"/>
    <d v="2026-06-17T00:00:00"/>
    <d v="2026-05-14T00:00:00"/>
    <x v="0"/>
    <d v="2026-06-1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4"/>
    <n v="2282600045"/>
    <x v="0"/>
    <n v="0.99999999999999978"/>
    <d v="2026-04-20T00:00:00"/>
    <d v="2026-04-20T00:00:00"/>
    <d v="2026-06-18T00:00:00"/>
    <d v="2026-05-19T00:00:00"/>
    <x v="0"/>
    <d v="2026-06-1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5"/>
    <n v="2302600046"/>
    <x v="1"/>
    <n v="0.99999999999999978"/>
    <d v="2026-04-14T00:00:00"/>
    <d v="2026-04-14T00:00:00"/>
    <d v="2026-06-22T00:00:00"/>
    <d v="2026-05-24T00:00:00"/>
    <x v="0"/>
    <d v="2026-06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6"/>
    <n v="2302600047"/>
    <x v="1"/>
    <n v="0.99999999999999978"/>
    <d v="2026-04-15T00:00:00"/>
    <d v="2026-04-15T00:00:00"/>
    <d v="2026-06-22T00:00:00"/>
    <d v="2026-05-25T00:00:00"/>
    <x v="0"/>
    <d v="2026-06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7"/>
    <n v="2282600048"/>
    <x v="0"/>
    <n v="0.99999999999999978"/>
    <d v="2026-04-14T00:00:00"/>
    <d v="2026-04-14T00:00:00"/>
    <d v="2026-06-19T00:00:00"/>
    <d v="2026-05-13T00:00:00"/>
    <x v="0"/>
    <d v="2026-06-19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8"/>
    <n v="2282600049"/>
    <x v="0"/>
    <n v="0.99999999999999978"/>
    <d v="2026-04-22T00:00:00"/>
    <d v="2026-04-22T00:00:00"/>
    <d v="2026-06-18T00:00:00"/>
    <d v="2026-05-21T00:00:00"/>
    <x v="0"/>
    <d v="2026-06-1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49"/>
    <n v="2302600050"/>
    <x v="1"/>
    <n v="0.99999999999999978"/>
    <d v="2026-04-24T00:00:00"/>
    <d v="2026-04-24T00:00:00"/>
    <d v="2026-06-22T00:00:00"/>
    <d v="2026-06-03T00:00:00"/>
    <x v="0"/>
    <d v="2026-06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0"/>
    <n v="2302600051"/>
    <x v="1"/>
    <n v="0.99999999999999978"/>
    <d v="2026-04-28T00:00:00"/>
    <d v="2026-04-28T00:00:00"/>
    <d v="2026-06-24T00:00:00"/>
    <d v="2026-06-07T00:00:00"/>
    <x v="0"/>
    <d v="2026-06-2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1"/>
    <n v="2282600052"/>
    <x v="0"/>
    <n v="0.99999999999999978"/>
    <d v="2026-04-22T00:00:00"/>
    <d v="2026-04-22T00:00:00"/>
    <d v="2026-06-23T00:00:00"/>
    <d v="2026-05-21T00:00:00"/>
    <x v="0"/>
    <d v="2026-06-2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2"/>
    <n v="2282600053"/>
    <x v="0"/>
    <n v="0.99999999999999978"/>
    <d v="2026-04-27T00:00:00"/>
    <d v="2026-04-27T00:00:00"/>
    <d v="2026-06-23T00:00:00"/>
    <d v="2026-05-26T00:00:00"/>
    <x v="0"/>
    <d v="2026-06-2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3"/>
    <n v="2302600054"/>
    <x v="1"/>
    <n v="0.99999999999999978"/>
    <d v="2026-04-29T00:00:00"/>
    <d v="2026-04-29T00:00:00"/>
    <d v="2026-06-25T00:00:00"/>
    <d v="2026-06-08T00:00:00"/>
    <x v="0"/>
    <d v="2026-06-2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4"/>
    <n v="2302600055"/>
    <x v="1"/>
    <n v="0.99999999999999978"/>
    <d v="2026-04-24T00:00:00"/>
    <d v="2026-04-24T00:00:00"/>
    <d v="2026-06-30T00:00:00"/>
    <d v="2026-06-03T00:00:00"/>
    <x v="0"/>
    <d v="2026-06-3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5"/>
    <n v="2282600056"/>
    <x v="0"/>
    <n v="0.99999999999999978"/>
    <d v="2026-04-22T00:00:00"/>
    <d v="2026-04-22T00:00:00"/>
    <d v="2026-06-26T00:00:00"/>
    <d v="2026-05-21T00:00:00"/>
    <x v="0"/>
    <d v="2026-06-26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6"/>
    <n v="2282600057"/>
    <x v="0"/>
    <n v="0.99999999999999978"/>
    <d v="2026-05-04T00:00:00"/>
    <d v="2026-05-06T00:00:00"/>
    <d v="2026-06-25T00:00:00"/>
    <d v="2026-06-02T00:00:00"/>
    <x v="0"/>
    <d v="2026-06-2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7"/>
    <n v="2302600058"/>
    <x v="1"/>
    <n v="0.99999999999999978"/>
    <d v="2026-05-04T00:00:00"/>
    <d v="2026-05-05T00:00:00"/>
    <d v="2026-07-01T00:00:00"/>
    <d v="2026-06-13T00:00:00"/>
    <x v="0"/>
    <d v="2026-07-0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8"/>
    <n v="2302600059"/>
    <x v="1"/>
    <n v="0.99999999999999978"/>
    <d v="2026-05-05T00:00:00"/>
    <d v="2026-05-04T00:00:00"/>
    <d v="2026-07-01T00:00:00"/>
    <d v="2026-06-14T00:00:00"/>
    <x v="0"/>
    <d v="2026-07-0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59"/>
    <n v="2282600060"/>
    <x v="0"/>
    <n v="0.99999999999999978"/>
    <d v="2026-05-05T00:00:00"/>
    <d v="2026-05-07T00:00:00"/>
    <d v="2026-06-30T00:00:00"/>
    <d v="2026-06-03T00:00:00"/>
    <x v="0"/>
    <d v="2026-06-3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60"/>
    <n v="2282600061"/>
    <x v="0"/>
    <n v="0.99999999999999978"/>
    <d v="2026-05-06T00:00:00"/>
    <d v="2026-05-08T00:00:00"/>
    <d v="2026-06-30T00:00:00"/>
    <d v="2026-06-04T00:00:00"/>
    <x v="0"/>
    <d v="2026-06-3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61"/>
    <n v="2302600062"/>
    <x v="1"/>
    <n v="0.99999999999999978"/>
    <d v="2026-05-06T00:00:00"/>
    <d v="2026-05-07T00:00:00"/>
    <d v="2026-07-02T00:00:00"/>
    <d v="2026-06-15T00:00:00"/>
    <x v="0"/>
    <d v="2026-07-0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62"/>
    <n v="2302600063"/>
    <x v="1"/>
    <n v="0.99999999999999978"/>
    <d v="2026-05-07T00:00:00"/>
    <d v="2026-05-05T00:00:00"/>
    <d v="2026-07-03T00:00:00"/>
    <d v="2026-06-16T00:00:00"/>
    <x v="0"/>
    <d v="2026-07-0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1"/>
    <x v="63"/>
    <n v="2282600064"/>
    <x v="0"/>
    <n v="0.99999999999999978"/>
    <d v="2026-05-07T00:00:00"/>
    <d v="2026-05-07T00:00:00"/>
    <d v="2026-07-02T00:00:00"/>
    <d v="2026-06-05T00:00:00"/>
    <x v="0"/>
    <d v="2026-07-0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64"/>
    <n v="2282600065"/>
    <x v="0"/>
    <n v="0.99999999999999978"/>
    <d v="2026-05-08T00:00:00"/>
    <d v="2026-05-11T00:00:00"/>
    <d v="2026-07-02T00:00:00"/>
    <d v="2026-06-03T00:00:00"/>
    <x v="0"/>
    <d v="2026-07-0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65"/>
    <n v="2302600066"/>
    <x v="1"/>
    <n v="0.99999999999999978"/>
    <d v="2026-05-08T00:00:00"/>
    <d v="2026-05-12T00:00:00"/>
    <d v="2026-07-08T00:00:00"/>
    <d v="2026-06-13T00:00:00"/>
    <x v="0"/>
    <d v="2026-07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66"/>
    <n v="2302600067"/>
    <x v="1"/>
    <n v="0.99999999999999978"/>
    <d v="2026-05-11T00:00:00"/>
    <d v="2026-05-16T00:00:00"/>
    <d v="2026-07-07T00:00:00"/>
    <d v="2026-06-16T00:00:00"/>
    <x v="0"/>
    <d v="2026-07-0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67"/>
    <n v="2282600068"/>
    <x v="0"/>
    <n v="0.99999999999999978"/>
    <d v="2026-05-11T00:00:00"/>
    <d v="2026-05-14T00:00:00"/>
    <d v="2026-07-03T00:00:00"/>
    <d v="2026-06-06T00:00:00"/>
    <x v="0"/>
    <d v="2026-07-0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68"/>
    <n v="2282600069"/>
    <x v="0"/>
    <n v="0.99999999999999978"/>
    <d v="2026-05-12T00:00:00"/>
    <d v="2026-05-14T00:00:00"/>
    <d v="2026-07-03T00:00:00"/>
    <d v="2026-06-07T00:00:00"/>
    <x v="0"/>
    <d v="2026-07-0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69"/>
    <n v="2302600070"/>
    <x v="1"/>
    <n v="0.99999999999999978"/>
    <d v="2026-05-12T00:00:00"/>
    <d v="2026-05-16T00:00:00"/>
    <d v="2026-07-07T00:00:00"/>
    <d v="2026-06-17T00:00:00"/>
    <x v="0"/>
    <d v="2026-07-0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0"/>
    <n v="2302600071"/>
    <x v="1"/>
    <n v="0.99999999999999978"/>
    <d v="2026-05-13T00:00:00"/>
    <d v="2026-05-14T00:00:00"/>
    <d v="2026-07-07T00:00:00"/>
    <d v="2026-06-18T00:00:00"/>
    <x v="0"/>
    <d v="2026-07-0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1"/>
    <n v="2282600072"/>
    <x v="0"/>
    <n v="0.99999999999999978"/>
    <d v="2026-05-13T00:00:00"/>
    <d v="2026-05-12T00:00:00"/>
    <d v="2026-07-07T00:00:00"/>
    <d v="2026-06-08T00:00:00"/>
    <x v="0"/>
    <d v="2026-07-07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2"/>
    <n v="2282600073"/>
    <x v="0"/>
    <n v="0.99999999999999978"/>
    <d v="2026-05-14T00:00:00"/>
    <d v="2026-05-25T00:00:00"/>
    <d v="2026-07-08T00:00:00"/>
    <d v="2026-06-09T00:00:00"/>
    <x v="0"/>
    <d v="2026-07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3"/>
    <n v="2302600074"/>
    <x v="1"/>
    <n v="0.99999999999999978"/>
    <d v="2026-05-14T00:00:00"/>
    <d v="2026-05-19T00:00:00"/>
    <d v="2026-07-08T00:00:00"/>
    <d v="2026-06-19T00:00:00"/>
    <x v="0"/>
    <d v="2026-07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4"/>
    <n v="2302600075"/>
    <x v="1"/>
    <n v="0.99999999999999978"/>
    <d v="2026-05-15T00:00:00"/>
    <d v="2026-05-18T00:00:00"/>
    <d v="2026-07-10T00:00:00"/>
    <d v="2026-06-20T00:00:00"/>
    <x v="0"/>
    <d v="2026-07-1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5"/>
    <n v="2282600076"/>
    <x v="0"/>
    <n v="0.99999999999999978"/>
    <d v="2026-05-15T00:00:00"/>
    <d v="2026-05-27T00:00:00"/>
    <d v="2026-07-10T00:00:00"/>
    <d v="2026-06-10T00:00:00"/>
    <x v="0"/>
    <d v="2026-07-1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6"/>
    <n v="2282600077"/>
    <x v="0"/>
    <n v="0.99999999999999978"/>
    <d v="2026-05-18T00:00:00"/>
    <d v="2026-05-26T00:00:00"/>
    <d v="2026-07-08T00:00:00"/>
    <d v="2026-06-13T00:00:00"/>
    <x v="0"/>
    <d v="2026-07-08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7"/>
    <n v="2302600078"/>
    <x v="1"/>
    <n v="0.99999999999999978"/>
    <d v="2026-05-18T00:00:00"/>
    <d v="2026-05-16T00:00:00"/>
    <d v="2026-07-13T00:00:00"/>
    <d v="2026-06-23T00:00:00"/>
    <x v="0"/>
    <d v="2026-07-1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8"/>
    <n v="2302600079"/>
    <x v="1"/>
    <n v="0.99999999999999978"/>
    <d v="2026-05-19T00:00:00"/>
    <d v="2026-05-20T00:00:00"/>
    <d v="2026-07-13T00:00:00"/>
    <d v="2026-06-24T00:00:00"/>
    <x v="0"/>
    <d v="2026-07-1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79"/>
    <n v="2282600080"/>
    <x v="0"/>
    <n v="0.99999999999999978"/>
    <d v="2026-05-19T00:00:00"/>
    <d v="2026-05-26T00:00:00"/>
    <d v="2026-07-10T00:00:00"/>
    <d v="2026-06-14T00:00:00"/>
    <x v="0"/>
    <d v="2026-07-1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0"/>
    <n v="2282600081"/>
    <x v="0"/>
    <n v="0.99999999999999978"/>
    <d v="2026-05-20T00:00:00"/>
    <d v="2026-05-29T00:00:00"/>
    <d v="2026-07-10T00:00:00"/>
    <d v="2026-06-15T00:00:00"/>
    <x v="0"/>
    <d v="2026-07-10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1"/>
    <n v="2302600082"/>
    <x v="1"/>
    <n v="0.99999999999999978"/>
    <d v="2026-05-20T00:00:00"/>
    <d v="2026-05-29T00:00:00"/>
    <d v="2026-07-14T00:00:00"/>
    <d v="2026-06-25T00:00:00"/>
    <x v="0"/>
    <d v="2026-07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2"/>
    <n v="2302600083"/>
    <x v="1"/>
    <n v="0.99999999999999978"/>
    <d v="2026-05-22T00:00:00"/>
    <d v="2026-06-01T00:00:00"/>
    <d v="2026-07-14T00:00:00"/>
    <d v="2026-06-27T00:00:00"/>
    <x v="0"/>
    <d v="2026-07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3"/>
    <n v="2282600084"/>
    <x v="0"/>
    <n v="0.99999999999999978"/>
    <d v="2026-05-22T00:00:00"/>
    <d v="2026-05-29T00:00:00"/>
    <d v="2026-07-13T00:00:00"/>
    <d v="2026-06-17T00:00:00"/>
    <x v="0"/>
    <d v="2026-07-1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4"/>
    <n v="2282600085"/>
    <x v="0"/>
    <n v="0.99999999999999978"/>
    <d v="2026-05-25T00:00:00"/>
    <d v="2026-05-29T00:00:00"/>
    <d v="2026-07-13T00:00:00"/>
    <d v="2026-06-20T00:00:00"/>
    <x v="0"/>
    <d v="2026-07-1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5"/>
    <n v="2302600086"/>
    <x v="1"/>
    <n v="0.99999999999999978"/>
    <d v="2026-05-25T00:00:00"/>
    <d v="2026-06-03T00:00:00"/>
    <d v="2026-07-22T00:00:00"/>
    <d v="2026-06-30T00:00:00"/>
    <x v="0"/>
    <d v="2026-07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6"/>
    <n v="2302600087"/>
    <x v="1"/>
    <n v="0.99999999999999978"/>
    <d v="2026-05-26T00:00:00"/>
    <d v="2026-05-29T00:00:00"/>
    <d v="2026-07-15T00:00:00"/>
    <d v="2026-07-01T00:00:00"/>
    <x v="0"/>
    <d v="2026-07-1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7"/>
    <n v="2282600088"/>
    <x v="0"/>
    <n v="0.99999999999999978"/>
    <d v="2026-05-26T00:00:00"/>
    <d v="2026-05-29T00:00:00"/>
    <d v="2026-07-14T00:00:00"/>
    <d v="2026-06-21T00:00:00"/>
    <x v="0"/>
    <d v="2026-07-1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8"/>
    <n v="2282600089"/>
    <x v="0"/>
    <n v="0.99999999999999978"/>
    <d v="2026-05-27T00:00:00"/>
    <d v="2026-06-05T00:00:00"/>
    <d v="2026-07-13T00:00:00"/>
    <d v="2026-06-22T00:00:00"/>
    <x v="0"/>
    <d v="2026-07-1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89"/>
    <n v="2302600090"/>
    <x v="1"/>
    <n v="0.99999999999999978"/>
    <d v="2026-05-27T00:00:00"/>
    <d v="2026-06-03T00:00:00"/>
    <d v="2026-07-22T00:00:00"/>
    <d v="2026-07-02T00:00:00"/>
    <x v="0"/>
    <d v="2026-07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90"/>
    <n v="2302600091"/>
    <x v="1"/>
    <n v="0.99999999999999978"/>
    <d v="2026-05-28T00:00:00"/>
    <d v="2026-06-08T00:00:00"/>
    <d v="2026-07-22T00:00:00"/>
    <d v="2026-07-03T00:00:00"/>
    <x v="0"/>
    <d v="2026-07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91"/>
    <n v="2282600092"/>
    <x v="0"/>
    <n v="0.99999999999999978"/>
    <d v="2026-05-28T00:00:00"/>
    <d v="2026-06-11T00:00:00"/>
    <d v="2026-07-15T00:00:00"/>
    <d v="2026-06-23T00:00:00"/>
    <x v="0"/>
    <d v="2026-07-1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92"/>
    <n v="2282600093"/>
    <x v="0"/>
    <n v="0.99999999999999978"/>
    <d v="2026-05-29T00:00:00"/>
    <d v="2026-06-11T00:00:00"/>
    <d v="2026-07-21T00:00:00"/>
    <d v="2026-06-24T00:00:00"/>
    <x v="0"/>
    <d v="2026-07-2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93"/>
    <n v="2302600094"/>
    <x v="1"/>
    <n v="0.99999999999999978"/>
    <d v="2026-05-29T00:00:00"/>
    <d v="2026-06-08T00:00:00"/>
    <d v="2026-07-22T00:00:00"/>
    <d v="2026-07-04T00:00:00"/>
    <x v="0"/>
    <d v="2026-07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94"/>
    <n v="2302600095"/>
    <x v="1"/>
    <n v="0.99999999999999978"/>
    <d v="2026-06-01T00:00:00"/>
    <d v="2026-06-04T00:00:00"/>
    <d v="2026-07-22T00:00:00"/>
    <d v="2026-07-07T00:00:00"/>
    <x v="0"/>
    <d v="2026-07-22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2"/>
    <x v="95"/>
    <n v="2282600096"/>
    <x v="0"/>
    <n v="0.99999999999999978"/>
    <d v="2026-06-01T00:00:00"/>
    <d v="2026-06-04T00:00:00"/>
    <d v="2026-07-15T00:00:00"/>
    <d v="2026-06-27T00:00:00"/>
    <x v="0"/>
    <d v="2026-07-15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96"/>
    <n v="2282600097"/>
    <x v="0"/>
    <n v="0.99999999999999978"/>
    <d v="2026-06-02T00:00:00"/>
    <d v="2026-06-11T00:00:00"/>
    <d v="2026-07-23T00:00:00"/>
    <d v="2026-06-26T00:00:00"/>
    <x v="0"/>
    <d v="2026-07-2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97"/>
    <n v="2302600098"/>
    <x v="1"/>
    <n v="0.99999999999999978"/>
    <d v="2026-06-02T00:00:00"/>
    <d v="2026-06-11T00:00:00"/>
    <d v="2026-07-24T00:00:00"/>
    <d v="2026-07-06T00:00:00"/>
    <x v="0"/>
    <d v="2026-07-2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98"/>
    <n v="2302600099"/>
    <x v="1"/>
    <n v="0.99999999999999978"/>
    <d v="2026-06-03T00:00:00"/>
    <d v="2026-06-19T00:00:00"/>
    <d v="2026-07-24T00:00:00"/>
    <d v="2026-07-07T00:00:00"/>
    <x v="0"/>
    <d v="2026-07-2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31.32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99"/>
    <n v="2282600100"/>
    <x v="0"/>
    <n v="0.99999999999999978"/>
    <d v="2026-06-03T00:00:00"/>
    <d v="2026-06-15T00:00:00"/>
    <d v="2026-07-24T00:00:00"/>
    <d v="2026-06-27T00:00:00"/>
    <x v="0"/>
    <d v="2026-07-24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100"/>
    <n v="2282600101"/>
    <x v="0"/>
    <n v="0.98499999999999988"/>
    <d v="2026-06-04T00:00:00"/>
    <d v="2026-06-17T00:00:00"/>
    <d v="2026-07-24T00:00:00"/>
    <d v="2026-06-28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5499999999999982"/>
    <n v="0.95945945945945899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1"/>
    <s v="TERMINACIONES: LIMPIEZA FINAL"/>
    <s v="TERMINACIONES"/>
    <n v="1"/>
  </r>
  <r>
    <x v="3"/>
    <x v="101"/>
    <n v="2302600102"/>
    <x v="1"/>
    <n v="0.98499999999999988"/>
    <d v="2026-06-04T00:00:00"/>
    <d v="2026-06-17T00:00:00"/>
    <d v="2026-07-24T00:00:00"/>
    <d v="2026-07-08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5499999999999982"/>
    <n v="0.95945945945945899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31.32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2"/>
    <s v="TERMINACIONES: LIMPIEZA FINAL"/>
    <s v="TERMINACIONES"/>
    <n v="1"/>
  </r>
  <r>
    <x v="3"/>
    <x v="102"/>
    <n v="2302600103"/>
    <x v="1"/>
    <n v="0.95499999999999985"/>
    <d v="2026-06-05T00:00:00"/>
    <d v="2026-06-11T00:00:00"/>
    <d v="2026-07-23T00:00:00"/>
    <d v="2026-07-09T00:00:00"/>
    <x v="2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2499999999999984"/>
    <n v="0.8783783783783779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0"/>
    <n v="1.3513513513513509E-2"/>
    <n v="2.7027027027027018E-2"/>
    <n v="31.32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1"/>
    <x v="3"/>
    <s v="TERMINACIONES: LIMPIEZA FINAL, REVESTIMIENTO INTERIOR BANO"/>
    <s v="TERMINACIONES"/>
    <n v="2"/>
  </r>
  <r>
    <x v="3"/>
    <x v="103"/>
    <n v="2282600104"/>
    <x v="0"/>
    <n v="0.99999999999999978"/>
    <d v="2026-06-05T00:00:00"/>
    <d v="2026-06-11T00:00:00"/>
    <d v="2026-07-21T00:00:00"/>
    <d v="2026-06-29T00:00:00"/>
    <x v="0"/>
    <d v="2026-07-21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104"/>
    <n v="2282600105"/>
    <x v="0"/>
    <n v="0.99999999999999978"/>
    <d v="2026-06-08T00:00:00"/>
    <d v="2026-06-16T00:00:00"/>
    <d v="2026-07-23T00:00:00"/>
    <d v="2026-07-02T00:00:00"/>
    <x v="0"/>
    <d v="2026-07-23T00:00:00"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6999999999999983"/>
    <n v="0.9999999999999995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4.0540540540540529E-2"/>
    <n v="5.4054054054054036E-2"/>
    <n v="8.1081081081081058E-2"/>
    <n v="1.3513513513513509E-2"/>
    <n v="2.7027027027027018E-2"/>
    <n v="28.87"/>
    <x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s v=""/>
    <s v=""/>
    <n v="0"/>
  </r>
  <r>
    <x v="3"/>
    <x v="105"/>
    <n v="2302600106"/>
    <x v="1"/>
    <n v="0.95499999999999985"/>
    <d v="2026-06-08T00:00:00"/>
    <d v="2026-06-17T00:00:00"/>
    <d v="2026-07-24T00:00:00"/>
    <d v="2026-07-12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2499999999999984"/>
    <n v="0.87837837837837796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0"/>
    <n v="1.3513513513513509E-2"/>
    <n v="2.7027027027027018E-2"/>
    <n v="31.32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1"/>
    <x v="4"/>
    <s v="TERMINACIONES: LIMPIEZA FINAL, REVESTIMIENTO INTERIOR BANO"/>
    <s v="TERMINACIONES"/>
    <n v="2"/>
  </r>
  <r>
    <x v="3"/>
    <x v="106"/>
    <n v="2302600107"/>
    <x v="1"/>
    <n v="0.90999999999999992"/>
    <d v="2026-06-09T00:00:00"/>
    <d v="2026-06-23T00:00:00"/>
    <d v="2026-07-24T00:00:00"/>
    <d v="2026-07-13T00:00:00"/>
    <x v="1"/>
    <m/>
    <n v="0.43"/>
    <n v="1"/>
    <n v="0.27906976744186046"/>
    <n v="0.18604651162790697"/>
    <n v="0.2558139534883721"/>
    <n v="0.18604651162790697"/>
    <n v="9.3023255813953487E-2"/>
    <n v="0.08"/>
    <x v="1"/>
    <n v="0.22222222222222221"/>
    <n v="0.22222222222222221"/>
    <n v="0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28999999999999987"/>
    <n v="0.78378378378378344"/>
    <n v="5.4054054054054036E-2"/>
    <n v="5.4054054054054036E-2"/>
    <n v="0"/>
    <n v="8.1081081081081058E-2"/>
    <n v="8.1081081081081058E-2"/>
    <n v="6.7567567567567557E-2"/>
    <n v="5.4054054054054036E-2"/>
    <n v="0"/>
    <n v="4.0540540540540529E-2"/>
    <n v="1.3513513513513509E-2"/>
    <n v="8.1081081081081058E-2"/>
    <n v="5.4054054054054036E-2"/>
    <n v="2.7027027027027018E-2"/>
    <n v="0"/>
    <n v="5.4054054054054036E-2"/>
    <n v="2.7027027027027018E-2"/>
    <n v="0"/>
    <n v="5.4054054054054036E-2"/>
    <n v="0"/>
    <n v="1.3513513513513509E-2"/>
    <n v="2.7027027027027018E-2"/>
    <n v="31.32"/>
    <x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0"/>
    <n v="1"/>
    <n v="1"/>
    <n v="1"/>
    <n v="1"/>
    <n v="0"/>
    <n v="1"/>
    <n v="1"/>
    <n v="1"/>
    <n v="1"/>
    <n v="1"/>
    <n v="0"/>
    <n v="1"/>
    <n v="1"/>
    <n v="0"/>
    <n v="1"/>
    <n v="0"/>
    <n v="1"/>
    <n v="1"/>
    <x v="5"/>
    <s v="SANITARIOS: VENTILACIONES | TERMINACIONES: BARANDA BALCON, MOLDURAS, REVESTIMIENTO INTERIOR ZONA SECA, LIMPIEZA FINAL, REVESTIMIENTO INTERIOR BANO"/>
    <s v="SANITARIOS, TERMINACIONES"/>
    <n v="6"/>
  </r>
  <r>
    <x v="3"/>
    <x v="107"/>
    <n v="2282600108"/>
    <x v="0"/>
    <n v="0.95999999999999985"/>
    <d v="2026-06-09T00:00:00"/>
    <d v="2026-06-23T00:00:00"/>
    <d v="2026-07-24T00:00:00"/>
    <d v="2026-07-03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2999999999999985"/>
    <n v="0.89189189189189144"/>
    <n v="5.4054054054054036E-2"/>
    <n v="5.4054054054054036E-2"/>
    <n v="2.7027027027027018E-2"/>
    <n v="8.1081081081081058E-2"/>
    <n v="8.1081081081081058E-2"/>
    <n v="0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0"/>
    <n v="1"/>
    <n v="1"/>
    <n v="1"/>
    <n v="1"/>
    <x v="6"/>
    <s v="TERMINACIONES: PINTURA EXTERIOR, LIMPIEZA FINAL"/>
    <s v="TERMINACIONES"/>
    <n v="2"/>
  </r>
  <r>
    <x v="3"/>
    <x v="108"/>
    <n v="2282600109"/>
    <x v="0"/>
    <n v="0.96499999999999986"/>
    <d v="2026-06-10T00:00:00"/>
    <d v="2026-06-23T00:00:00"/>
    <d v="2026-07-24T00:00:00"/>
    <d v="2026-07-04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33499999999999985"/>
    <n v="0.90540540540540504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0"/>
    <n v="0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0"/>
    <n v="1"/>
    <n v="1"/>
    <n v="1"/>
    <n v="1"/>
    <x v="7"/>
    <s v="TERMINACIONES: PILASTREO, CELOSIAS, LIMPIEZA FINAL"/>
    <s v="TERMINACIONES"/>
    <n v="3"/>
  </r>
  <r>
    <x v="3"/>
    <x v="109"/>
    <n v="2302600110"/>
    <x v="1"/>
    <n v="0.80499999999999983"/>
    <d v="2026-06-10T00:00:00"/>
    <d v="2026-06-24T00:00:00"/>
    <d v="2026-07-24T00:00:00"/>
    <d v="2026-07-14T00:00:00"/>
    <x v="1"/>
    <m/>
    <n v="0.43"/>
    <n v="1"/>
    <n v="0.27906976744186046"/>
    <n v="0.18604651162790697"/>
    <n v="0.2558139534883721"/>
    <n v="0.18604651162790697"/>
    <n v="9.3023255813953487E-2"/>
    <n v="0.05"/>
    <x v="2"/>
    <n v="0.22222222222222221"/>
    <n v="0.22222222222222221"/>
    <n v="0"/>
    <n v="0.1111111111111111"/>
    <n v="0"/>
    <n v="0"/>
    <n v="0.08"/>
    <x v="1"/>
    <n v="0.27272727272727271"/>
    <n v="0.27272727272727271"/>
    <n v="0"/>
    <n v="0"/>
    <n v="0.18181818181818182"/>
    <n v="0.24499999999999988"/>
    <n v="0.66216216216216184"/>
    <n v="5.4054054054054036E-2"/>
    <n v="5.4054054054054036E-2"/>
    <n v="0"/>
    <n v="8.1081081081081058E-2"/>
    <n v="8.1081081081081058E-2"/>
    <n v="0"/>
    <n v="5.4054054054054036E-2"/>
    <n v="0"/>
    <n v="0"/>
    <n v="1.3513513513513509E-2"/>
    <n v="8.1081081081081058E-2"/>
    <n v="5.4054054054054036E-2"/>
    <n v="2.7027027027027018E-2"/>
    <n v="0"/>
    <n v="5.4054054054054036E-2"/>
    <n v="2.7027027027027018E-2"/>
    <n v="0"/>
    <n v="5.4054054054054036E-2"/>
    <n v="0"/>
    <n v="0"/>
    <n v="2.7027027027027018E-2"/>
    <n v="31.32"/>
    <x v="1"/>
    <n v="1"/>
    <n v="1"/>
    <n v="1"/>
    <n v="1"/>
    <n v="1"/>
    <n v="1"/>
    <n v="1"/>
    <n v="1"/>
    <n v="0"/>
    <n v="1"/>
    <n v="0"/>
    <n v="0"/>
    <n v="1"/>
    <n v="1"/>
    <n v="0"/>
    <n v="0"/>
    <n v="1"/>
    <n v="1"/>
    <n v="1"/>
    <n v="0"/>
    <n v="1"/>
    <n v="1"/>
    <n v="0"/>
    <n v="1"/>
    <n v="0"/>
    <n v="0"/>
    <n v="1"/>
    <n v="1"/>
    <n v="1"/>
    <n v="1"/>
    <n v="0"/>
    <n v="1"/>
    <n v="1"/>
    <n v="0"/>
    <n v="1"/>
    <n v="0"/>
    <n v="0"/>
    <n v="1"/>
    <x v="8"/>
    <s v="SANITARIOS: VENTILACIONES, WC, LAVAMANOS / LAVAPLATOS / LAVADERO | ELÉCTRICO: ARTEFACTOS, TABLERO | TERMINACIONES: BARANDA BALCON, PINTURA EXTERIOR, MOLDURAS, PILASTREO, REVESTIMIENTO INTERIOR ZONA SECA, LIMPIEZA FINAL, REVESTIMIENTO INTERIOR BANO, MUEBLE LAVAPLATOS"/>
    <s v="SANITARIOS, ELÉCTRICO, TERMINACIONES"/>
    <n v="13"/>
  </r>
  <r>
    <x v="3"/>
    <x v="110"/>
    <n v="2302600111"/>
    <x v="1"/>
    <n v="0.86999999999999988"/>
    <d v="2026-06-11T00:00:00"/>
    <d v="2026-06-17T00:00:00"/>
    <d v="2026-07-22T00:00:00"/>
    <d v="2026-07-15T00:00:00"/>
    <x v="3"/>
    <m/>
    <n v="0.43"/>
    <n v="1"/>
    <n v="0.27906976744186046"/>
    <n v="0.18604651162790697"/>
    <n v="0.2558139534883721"/>
    <n v="0.18604651162790697"/>
    <n v="9.3023255813953487E-2"/>
    <n v="0.08"/>
    <x v="1"/>
    <n v="0.22222222222222221"/>
    <n v="0.22222222222222221"/>
    <n v="0"/>
    <n v="0.1111111111111111"/>
    <n v="0.1111111111111111"/>
    <n v="0.22222222222222221"/>
    <n v="0.03"/>
    <x v="2"/>
    <n v="0.27272727272727271"/>
    <n v="0"/>
    <n v="0"/>
    <n v="0"/>
    <n v="0"/>
    <n v="0.32999999999999985"/>
    <n v="0.89189189189189144"/>
    <n v="5.4054054054054036E-2"/>
    <n v="5.4054054054054036E-2"/>
    <n v="2.7027027027027018E-2"/>
    <n v="8.1081081081081058E-2"/>
    <n v="8.1081081081081058E-2"/>
    <n v="6.7567567567567557E-2"/>
    <n v="5.4054054054054036E-2"/>
    <n v="0"/>
    <n v="4.0540540540540529E-2"/>
    <n v="1.3513513513513509E-2"/>
    <n v="8.1081081081081058E-2"/>
    <n v="5.4054054054054036E-2"/>
    <n v="2.7027027027027018E-2"/>
    <n v="0"/>
    <n v="5.4054054054054036E-2"/>
    <n v="2.7027027027027018E-2"/>
    <n v="0"/>
    <n v="5.4054054054054036E-2"/>
    <n v="8.1081081081081058E-2"/>
    <n v="1.3513513513513509E-2"/>
    <n v="2.7027027027027018E-2"/>
    <n v="31.32"/>
    <x v="1"/>
    <n v="1"/>
    <n v="1"/>
    <n v="1"/>
    <n v="1"/>
    <n v="1"/>
    <n v="1"/>
    <n v="1"/>
    <n v="1"/>
    <n v="0"/>
    <n v="1"/>
    <n v="1"/>
    <n v="1"/>
    <n v="1"/>
    <n v="0"/>
    <n v="0"/>
    <n v="0"/>
    <n v="0"/>
    <n v="1"/>
    <n v="1"/>
    <n v="1"/>
    <n v="1"/>
    <n v="1"/>
    <n v="1"/>
    <n v="1"/>
    <n v="0"/>
    <n v="1"/>
    <n v="1"/>
    <n v="1"/>
    <n v="1"/>
    <n v="1"/>
    <n v="0"/>
    <n v="1"/>
    <n v="1"/>
    <n v="0"/>
    <n v="1"/>
    <n v="1"/>
    <n v="1"/>
    <n v="1"/>
    <x v="9"/>
    <s v="SANITARIOS: VENTILACIONES | ELÉCTRICO: CABLEADO, ARTEFACTOS, TABLERO, CAJA PAU | TERMINACIONES: MOLDURAS, REVESTIMIENTO INTERIOR ZONA SECA, LIMPIEZA FINAL"/>
    <s v="SANITARIOS, ELÉCTRICO, TERMINACIONES"/>
    <n v="8"/>
  </r>
  <r>
    <x v="3"/>
    <x v="111"/>
    <n v="2282600112"/>
    <x v="0"/>
    <n v="0.92499999999999982"/>
    <d v="2026-06-11T00:00:00"/>
    <d v="2026-06-19T00:00:00"/>
    <d v="2026-07-24T00:00:00"/>
    <d v="2026-07-05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0.11"/>
    <x v="0"/>
    <n v="0.27272727272727271"/>
    <n v="0.27272727272727271"/>
    <n v="9.0909090909090912E-2"/>
    <n v="0.18181818181818182"/>
    <n v="0.18181818181818182"/>
    <n v="0.29499999999999987"/>
    <n v="0.79729729729729704"/>
    <n v="5.4054054054054036E-2"/>
    <n v="5.4054054054054036E-2"/>
    <n v="2.7027027027027018E-2"/>
    <n v="8.1081081081081058E-2"/>
    <n v="8.1081081081081058E-2"/>
    <n v="0"/>
    <n v="5.4054054054054036E-2"/>
    <n v="0"/>
    <n v="0"/>
    <n v="0"/>
    <n v="8.1081081081081058E-2"/>
    <n v="5.4054054054054036E-2"/>
    <n v="0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1"/>
    <n v="1"/>
    <n v="0"/>
    <n v="1"/>
    <n v="1"/>
    <n v="1"/>
    <n v="0"/>
    <n v="1"/>
    <n v="1"/>
    <n v="1"/>
    <n v="1"/>
    <x v="10"/>
    <s v="TERMINACIONES: PINTURA EXTERIOR, MOLDURAS, PILASTREO, CELOSIAS, CERRADURAS, LIMPIEZA FINAL"/>
    <s v="TERMINACIONES"/>
    <n v="6"/>
  </r>
  <r>
    <x v="3"/>
    <x v="112"/>
    <n v="2282600113"/>
    <x v="0"/>
    <n v="0.8949999999999998"/>
    <d v="2026-06-12T00:00:00"/>
    <d v="2026-06-25T00:00:00"/>
    <d v="2026-07-24T00:00:00"/>
    <d v="2026-07-06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3"/>
    <n v="0.27272727272727271"/>
    <n v="0"/>
    <n v="0"/>
    <n v="0.18181818181818182"/>
    <n v="0.18181818181818182"/>
    <n v="0.30499999999999988"/>
    <n v="0.82432432432432401"/>
    <n v="5.4054054054054036E-2"/>
    <n v="5.4054054054054036E-2"/>
    <n v="2.7027027027027018E-2"/>
    <n v="8.1081081081081058E-2"/>
    <n v="8.1081081081081058E-2"/>
    <n v="0"/>
    <n v="5.4054054054054036E-2"/>
    <n v="0"/>
    <n v="0"/>
    <n v="0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1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0"/>
    <n v="1"/>
    <n v="0"/>
    <n v="0"/>
    <n v="0"/>
    <n v="1"/>
    <n v="1"/>
    <n v="1"/>
    <n v="1"/>
    <n v="1"/>
    <n v="1"/>
    <n v="0"/>
    <n v="1"/>
    <n v="1"/>
    <n v="1"/>
    <n v="1"/>
    <x v="11"/>
    <s v="ELÉCTRICO: CABLEADO, ARTEFACTOS | TERMINACIONES: PINTURA EXTERIOR, MOLDURAS, PILASTREO, CELOSIAS, LIMPIEZA FINAL"/>
    <s v="ELÉCTRICO, TERMINACIONES"/>
    <n v="7"/>
  </r>
  <r>
    <x v="3"/>
    <x v="113"/>
    <n v="2302600114"/>
    <x v="1"/>
    <n v="0.73"/>
    <d v="2026-06-12T00:00:00"/>
    <d v="2026-06-25T00:00:00"/>
    <d v="2026-07-24T00:00:00"/>
    <d v="2026-07-16T00:00:00"/>
    <x v="1"/>
    <m/>
    <n v="0.43"/>
    <n v="1"/>
    <n v="0.27906976744186046"/>
    <n v="0.18604651162790697"/>
    <n v="0.2558139534883721"/>
    <n v="0.18604651162790697"/>
    <n v="9.3023255813953487E-2"/>
    <n v="0.05"/>
    <x v="2"/>
    <n v="0.22222222222222221"/>
    <n v="0.22222222222222221"/>
    <n v="0"/>
    <n v="0.1111111111111111"/>
    <n v="0"/>
    <n v="0"/>
    <n v="0.06"/>
    <x v="4"/>
    <n v="0.27272727272727271"/>
    <n v="0.27272727272727271"/>
    <n v="0"/>
    <n v="0"/>
    <n v="0"/>
    <n v="0.18999999999999995"/>
    <n v="0.51351351351351338"/>
    <n v="5.4054054054054036E-2"/>
    <n v="5.4054054054054036E-2"/>
    <n v="0"/>
    <n v="8.1081081081081058E-2"/>
    <n v="8.1081081081081058E-2"/>
    <n v="0"/>
    <n v="0"/>
    <n v="0"/>
    <n v="0"/>
    <n v="0"/>
    <n v="0"/>
    <n v="5.4054054054054036E-2"/>
    <n v="2.7027027027027018E-2"/>
    <n v="0"/>
    <n v="5.4054054054054036E-2"/>
    <n v="2.7027027027027018E-2"/>
    <n v="0"/>
    <n v="5.4054054054054036E-2"/>
    <n v="0"/>
    <n v="0"/>
    <n v="2.7027027027027018E-2"/>
    <n v="31.32"/>
    <x v="1"/>
    <n v="0"/>
    <n v="1"/>
    <n v="1"/>
    <n v="1"/>
    <n v="1"/>
    <n v="1"/>
    <n v="1"/>
    <n v="1"/>
    <n v="0"/>
    <n v="1"/>
    <n v="0"/>
    <n v="0"/>
    <n v="1"/>
    <n v="1"/>
    <n v="0"/>
    <n v="0"/>
    <n v="0"/>
    <n v="1"/>
    <n v="1"/>
    <n v="0"/>
    <n v="1"/>
    <n v="1"/>
    <n v="0"/>
    <n v="0"/>
    <n v="0"/>
    <n v="0"/>
    <n v="0"/>
    <n v="0"/>
    <n v="1"/>
    <n v="1"/>
    <n v="0"/>
    <n v="1"/>
    <n v="1"/>
    <n v="0"/>
    <n v="1"/>
    <n v="0"/>
    <n v="0"/>
    <n v="1"/>
    <x v="12"/>
    <s v="SANITARIOS: VENTILACIONES, WC, LAVAMANOS / LAVAPLATOS / LAVADERO | ELÉCTRICO: ARTEFACTOS, TABLERO, CAJA PAU | TERMINACIONES: VENTANAS, BARANDA BALCON, PINTURA EXTERIOR, ZOCALOS LOGIA, MOLDURAS, PILASTREO, CELOSIAS, VENTANAS (TERM), REVESTIMIENTO INTERIOR ZONA SECA, LIMPIEZA FINAL, REVESTIMIENTO INTERIOR BANO, MUEBLE LAVAPLATOS"/>
    <s v="SANITARIOS, ELÉCTRICO, TERMINACIONES"/>
    <n v="18"/>
  </r>
  <r>
    <x v="3"/>
    <x v="114"/>
    <n v="2302600115"/>
    <x v="1"/>
    <n v="0.77499999999999991"/>
    <d v="2026-06-15T00:00:00"/>
    <d v="2026-06-26T00:00:00"/>
    <d v="2026-07-24T00:00:00"/>
    <d v="2026-07-19T00:00:00"/>
    <x v="1"/>
    <m/>
    <n v="0.43"/>
    <n v="1"/>
    <n v="0.27906976744186046"/>
    <n v="0.18604651162790697"/>
    <n v="0.2558139534883721"/>
    <n v="0.18604651162790697"/>
    <n v="9.3023255813953487E-2"/>
    <n v="0.05"/>
    <x v="2"/>
    <n v="0.22222222222222221"/>
    <n v="0.22222222222222221"/>
    <n v="0"/>
    <n v="0.1111111111111111"/>
    <n v="0"/>
    <n v="0"/>
    <n v="0.06"/>
    <x v="4"/>
    <n v="0.27272727272727271"/>
    <n v="0.27272727272727271"/>
    <n v="0"/>
    <n v="0"/>
    <n v="0"/>
    <n v="0.2349999999999999"/>
    <n v="0.63513513513513487"/>
    <n v="5.4054054054054036E-2"/>
    <n v="5.4054054054054036E-2"/>
    <n v="0"/>
    <n v="8.1081081081081058E-2"/>
    <n v="8.1081081081081058E-2"/>
    <n v="0"/>
    <n v="5.4054054054054036E-2"/>
    <n v="0"/>
    <n v="0"/>
    <n v="1.3513513513513509E-2"/>
    <n v="8.1081081081081058E-2"/>
    <n v="5.4054054054054036E-2"/>
    <n v="0"/>
    <n v="0"/>
    <n v="5.4054054054054036E-2"/>
    <n v="2.7027027027027018E-2"/>
    <n v="0"/>
    <n v="5.4054054054054036E-2"/>
    <n v="0"/>
    <n v="0"/>
    <n v="2.7027027027027018E-2"/>
    <n v="31.32"/>
    <x v="1"/>
    <n v="1"/>
    <n v="1"/>
    <n v="1"/>
    <n v="1"/>
    <n v="1"/>
    <n v="1"/>
    <n v="1"/>
    <n v="1"/>
    <n v="0"/>
    <n v="1"/>
    <n v="0"/>
    <n v="0"/>
    <n v="1"/>
    <n v="1"/>
    <n v="0"/>
    <n v="0"/>
    <n v="0"/>
    <n v="1"/>
    <n v="1"/>
    <n v="0"/>
    <n v="1"/>
    <n v="1"/>
    <n v="0"/>
    <n v="1"/>
    <n v="0"/>
    <n v="0"/>
    <n v="1"/>
    <n v="1"/>
    <n v="1"/>
    <n v="0"/>
    <n v="0"/>
    <n v="1"/>
    <n v="1"/>
    <n v="0"/>
    <n v="1"/>
    <n v="0"/>
    <n v="0"/>
    <n v="1"/>
    <x v="13"/>
    <s v="SANITARIOS: VENTILACIONES, WC, LAVAMANOS / LAVAPLATOS / LAVADERO | ELÉCTRICO: ARTEFACTOS, TABLERO, CAJA PAU | TERMINACIONES: BARANDA BALCON, PINTURA EXTERIOR, MOLDURAS, PILASTREO, CERRADURAS, REVESTIMIENTO INTERIOR ZONA SECA, LIMPIEZA FINAL, REVESTIMIENTO INTERIOR BANO, MUEBLE LAVAPLATOS"/>
    <s v="SANITARIOS, ELÉCTRICO, TERMINACIONES"/>
    <n v="15"/>
  </r>
  <r>
    <x v="3"/>
    <x v="115"/>
    <n v="2282600116"/>
    <x v="0"/>
    <n v="0.86999999999999988"/>
    <d v="2026-06-15T00:00:00"/>
    <d v="2026-06-26T00:00:00"/>
    <d v="2026-07-22T00:00:00"/>
    <d v="2026-07-09T00:00:00"/>
    <x v="3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3"/>
    <n v="0.27272727272727271"/>
    <n v="0"/>
    <n v="0"/>
    <n v="0.18181818181818182"/>
    <n v="0.18181818181818182"/>
    <n v="0.27999999999999992"/>
    <n v="0.75675675675675647"/>
    <n v="5.4054054054054036E-2"/>
    <n v="5.4054054054054036E-2"/>
    <n v="2.7027027027027018E-2"/>
    <n v="8.1081081081081058E-2"/>
    <n v="8.1081081081081058E-2"/>
    <n v="0"/>
    <n v="5.4054054054054036E-2"/>
    <n v="1.3513513513513509E-2"/>
    <n v="0"/>
    <n v="0"/>
    <n v="8.1081081081081058E-2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n v="28.87"/>
    <x v="1"/>
    <n v="1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0"/>
    <n v="1"/>
    <n v="1"/>
    <n v="0"/>
    <n v="0"/>
    <n v="1"/>
    <n v="1"/>
    <n v="0"/>
    <n v="1"/>
    <n v="1"/>
    <n v="1"/>
    <n v="0"/>
    <n v="0"/>
    <n v="1"/>
    <n v="1"/>
    <n v="1"/>
    <x v="3"/>
    <s v="ELÉCTRICO: CABLEADO, ARTEFACTOS | TERMINACIONES: PINTURA EXTERIOR, PILASTREO, CELOSIAS, CERRADURAS, LIMPIEZA FINAL, PUERTAS DORMITORIO"/>
    <s v="ELÉCTRICO, TERMINACIONES"/>
    <n v="8"/>
  </r>
  <r>
    <x v="3"/>
    <x v="116"/>
    <n v="2282600117"/>
    <x v="0"/>
    <n v="0.94499999999999984"/>
    <d v="2026-06-16T00:00:00"/>
    <d v="2026-06-26T00:00:00"/>
    <d v="2026-07-24T00:00:00"/>
    <d v="2026-07-10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3"/>
    <n v="0.27272727272727271"/>
    <n v="0"/>
    <n v="0"/>
    <n v="0.18181818181818182"/>
    <n v="0.18181818181818182"/>
    <n v="0.35499999999999982"/>
    <n v="0.95945945945945899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4.0540540540540529E-2"/>
    <n v="1.3513513513513509E-2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1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x v="14"/>
    <s v="ELÉCTRICO: CABLEADO, ARTEFACTOS | TERMINACIONES: LIMPIEZA FINAL"/>
    <s v="ELÉCTRICO, TERMINACIONES"/>
    <n v="3"/>
  </r>
  <r>
    <x v="3"/>
    <x v="117"/>
    <n v="2302600118"/>
    <x v="1"/>
    <n v="0.66999999999999993"/>
    <d v="2026-06-16T00:00:00"/>
    <d v="2026-06-26T00:00:00"/>
    <d v="2026-07-24T00:00:00"/>
    <d v="2026-07-20T00:00:00"/>
    <x v="1"/>
    <m/>
    <n v="0.43"/>
    <n v="1"/>
    <n v="0.27906976744186046"/>
    <n v="0.18604651162790697"/>
    <n v="0.2558139534883721"/>
    <n v="0.18604651162790697"/>
    <n v="9.3023255813953487E-2"/>
    <n v="0.05"/>
    <x v="2"/>
    <n v="0.22222222222222221"/>
    <n v="0.22222222222222221"/>
    <n v="0"/>
    <n v="0.1111111111111111"/>
    <n v="0"/>
    <n v="0"/>
    <n v="0.03"/>
    <x v="2"/>
    <n v="0.27272727272727271"/>
    <n v="0"/>
    <n v="0"/>
    <n v="0"/>
    <n v="0"/>
    <n v="0.15999999999999998"/>
    <n v="0.43243243243243235"/>
    <n v="5.4054054054054036E-2"/>
    <n v="5.4054054054054036E-2"/>
    <n v="0"/>
    <n v="8.1081081081081058E-2"/>
    <n v="8.1081081081081058E-2"/>
    <n v="0"/>
    <n v="0"/>
    <n v="0"/>
    <n v="0"/>
    <n v="0"/>
    <n v="0"/>
    <n v="0"/>
    <n v="0"/>
    <n v="0"/>
    <n v="5.4054054054054036E-2"/>
    <n v="2.7027027027027018E-2"/>
    <n v="0"/>
    <n v="5.4054054054054036E-2"/>
    <n v="0"/>
    <n v="0"/>
    <n v="2.7027027027027018E-2"/>
    <n v="31.32"/>
    <x v="1"/>
    <n v="0"/>
    <n v="1"/>
    <n v="1"/>
    <n v="1"/>
    <n v="1"/>
    <n v="1"/>
    <n v="1"/>
    <n v="1"/>
    <n v="0"/>
    <n v="1"/>
    <n v="0"/>
    <n v="0"/>
    <n v="1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1"/>
    <n v="1"/>
    <n v="0"/>
    <n v="1"/>
    <n v="0"/>
    <n v="0"/>
    <n v="1"/>
    <x v="15"/>
    <s v="SANITARIOS: VENTILACIONES, WC, LAVAMANOS / LAVAPLATOS / LAVADERO | ELÉCTRICO: CABLEADO, ARTEFACTOS, TABLERO, CAJA PAU | TERMINACIONES: VENTANAS, BARANDA BALCON, PINTURA EXTERIOR, ZOCALOS LOGIA, MOLDURAS, PILASTREO, CELOSIAS, VENTANAS (TERM), PUERTAS ACCESO - LOGIA - BANO, CERRADURAS, REVESTIMIENTO INTERIOR ZONA SECA, LIMPIEZA FINAL, REVESTIMIENTO INTERIOR BANO, MUEBLE LAVAPLATOS"/>
    <s v="SANITARIOS, ELÉCTRICO, TERMINACIONES"/>
    <n v="21"/>
  </r>
  <r>
    <x v="3"/>
    <x v="118"/>
    <n v="2302600119"/>
    <x v="1"/>
    <n v="0.69"/>
    <d v="2026-06-17T00:00:00"/>
    <d v="2026-06-26T00:00:00"/>
    <d v="2026-07-24T00:00:00"/>
    <d v="2026-07-21T00:00:00"/>
    <x v="1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0.18999999999999995"/>
    <n v="0.51351351351351338"/>
    <n v="5.4054054054054036E-2"/>
    <n v="5.4054054054054036E-2"/>
    <n v="0"/>
    <n v="8.1081081081081058E-2"/>
    <n v="8.1081081081081058E-2"/>
    <n v="0"/>
    <n v="0"/>
    <n v="0"/>
    <n v="0"/>
    <n v="0"/>
    <n v="0"/>
    <n v="5.4054054054054036E-2"/>
    <n v="2.7027027027027018E-2"/>
    <n v="0"/>
    <n v="5.4054054054054036E-2"/>
    <n v="2.7027027027027018E-2"/>
    <n v="0"/>
    <n v="5.4054054054054036E-2"/>
    <n v="0"/>
    <n v="0"/>
    <n v="2.7027027027027018E-2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1"/>
    <n v="1"/>
    <n v="0"/>
    <n v="1"/>
    <n v="1"/>
    <n v="0"/>
    <n v="0"/>
    <n v="0"/>
    <n v="0"/>
    <n v="0"/>
    <n v="0"/>
    <n v="1"/>
    <n v="1"/>
    <n v="0"/>
    <n v="1"/>
    <n v="1"/>
    <n v="0"/>
    <n v="1"/>
    <n v="0"/>
    <n v="0"/>
    <n v="1"/>
    <x v="16"/>
    <s v="SANITARIOS: VENTILACIONES, TINA, WC, LAVAMANOS / LAVAPLATOS / LAVADERO | ELÉCTRICO: CABLEADO, ARTEFACTOS, TABLERO, CAJA PAU | TERMINACIONES: VENTANAS, BARANDA BALCON, PINTURA EXTERIOR, ZOCALOS LOGIA, MOLDURAS, PILASTREO, CELOSIAS, VENTANAS (TERM), REVESTIMIENTO INTERIOR ZONA SECA, LIMPIEZA FINAL, REVESTIMIENTO INTERIOR BANO, MUEBLE LAVAPLATOS"/>
    <s v="SANITARIOS, ELÉCTRICO, TERMINACIONES"/>
    <n v="20"/>
  </r>
  <r>
    <x v="3"/>
    <x v="119"/>
    <n v="2282600120"/>
    <x v="0"/>
    <n v="0.8949999999999998"/>
    <d v="2026-06-17T00:00:00"/>
    <d v="2026-06-25T00:00:00"/>
    <d v="2026-07-22T00:00:00"/>
    <d v="2026-07-11T00:00:00"/>
    <x v="3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3"/>
    <n v="0.27272727272727271"/>
    <n v="0"/>
    <n v="0"/>
    <n v="0.18181818181818182"/>
    <n v="0.18181818181818182"/>
    <n v="0.30499999999999988"/>
    <n v="0.82432432432432401"/>
    <n v="5.4054054054054036E-2"/>
    <n v="5.4054054054054036E-2"/>
    <n v="2.7027027027027018E-2"/>
    <n v="8.1081081081081058E-2"/>
    <n v="8.1081081081081058E-2"/>
    <n v="6.7567567567567557E-2"/>
    <n v="5.4054054054054036E-2"/>
    <n v="1.3513513513513509E-2"/>
    <n v="0"/>
    <n v="0"/>
    <n v="8.1081081081081058E-2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n v="28.87"/>
    <x v="1"/>
    <n v="1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1"/>
    <n v="1"/>
    <n v="1"/>
    <n v="0"/>
    <n v="0"/>
    <n v="1"/>
    <n v="1"/>
    <n v="0"/>
    <n v="1"/>
    <n v="1"/>
    <n v="1"/>
    <n v="0"/>
    <n v="0"/>
    <n v="1"/>
    <n v="1"/>
    <n v="1"/>
    <x v="17"/>
    <s v="ELÉCTRICO: CABLEADO, ARTEFACTOS | TERMINACIONES: PILASTREO, CELOSIAS, CERRADURAS, LIMPIEZA FINAL, PUERTAS DORMITORIO"/>
    <s v="ELÉCTRICO, TERMINACIONES"/>
    <n v="7"/>
  </r>
  <r>
    <x v="3"/>
    <x v="120"/>
    <n v="2282600121"/>
    <x v="0"/>
    <n v="0.80499999999999994"/>
    <d v="2026-06-18T00:00:00"/>
    <d v="2026-07-03T00:00:00"/>
    <d v="2026-07-13T00:00:00"/>
    <d v="2026-07-12T00:00:00"/>
    <x v="4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3"/>
    <n v="0.27272727272727271"/>
    <n v="0"/>
    <n v="0"/>
    <n v="0.18181818181818182"/>
    <n v="0.18181818181818182"/>
    <n v="0.21499999999999994"/>
    <n v="0.58108108108108092"/>
    <n v="5.4054054054054036E-2"/>
    <n v="5.4054054054054036E-2"/>
    <n v="2.7027027027027018E-2"/>
    <n v="8.1081081081081058E-2"/>
    <n v="0"/>
    <n v="0"/>
    <n v="5.4054054054054036E-2"/>
    <n v="0"/>
    <n v="0"/>
    <n v="0"/>
    <n v="0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0"/>
    <n v="0"/>
    <n v="1"/>
    <n v="0"/>
    <n v="0"/>
    <n v="0"/>
    <n v="0"/>
    <n v="1"/>
    <n v="0"/>
    <n v="1"/>
    <n v="1"/>
    <n v="1"/>
    <n v="0"/>
    <n v="0"/>
    <n v="1"/>
    <n v="1"/>
    <n v="1"/>
    <x v="4"/>
    <s v="ELÉCTRICO: CABLEADO, ARTEFACTOS | TERMINACIONES: VENTANAS, SMART PANEL, PINTURA EXTERIOR, MOLDURAS, PILASTREO, CELOSIAS, VENTANAS (TERM), CERRADURAS, LIMPIEZA FINAL, PUERTAS DORMITORIO"/>
    <s v="ELÉCTRICO, TERMINACIONES"/>
    <n v="12"/>
  </r>
  <r>
    <x v="3"/>
    <x v="121"/>
    <n v="2302600122"/>
    <x v="1"/>
    <n v="0.6"/>
    <d v="2026-06-18T00:00:00"/>
    <d v="2026-07-02T00:00:00"/>
    <d v="2026-07-21T00:00:00"/>
    <d v="2026-07-22T00:00:00"/>
    <x v="5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9.9999999999999964E-2"/>
    <n v="0.27027027027027017"/>
    <n v="0"/>
    <n v="5.4054054054054036E-2"/>
    <n v="0"/>
    <n v="8.1081081081081058E-2"/>
    <n v="0"/>
    <n v="0"/>
    <n v="0"/>
    <n v="0"/>
    <n v="0"/>
    <n v="0"/>
    <n v="0"/>
    <n v="0"/>
    <n v="0"/>
    <n v="0"/>
    <n v="5.4054054054054036E-2"/>
    <n v="2.7027027027027018E-2"/>
    <n v="0"/>
    <n v="5.4054054054054036E-2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1"/>
    <n v="0"/>
    <n v="1"/>
    <n v="0"/>
    <n v="0"/>
    <n v="0"/>
    <x v="18"/>
    <s v="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"/>
    <s v="SANITARIOS, ELÉCTRICO, TERMINACIONES"/>
    <n v="25"/>
  </r>
  <r>
    <x v="3"/>
    <x v="122"/>
    <n v="2302600123"/>
    <x v="1"/>
    <n v="0.57999999999999996"/>
    <d v="2026-06-19T00:00:00"/>
    <d v="2026-07-03T00:00:00"/>
    <d v="2026-07-13T00:00:00"/>
    <d v="2026-07-23T00:00:00"/>
    <x v="4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7.9999999999999974E-2"/>
    <n v="0.21621621621621614"/>
    <n v="0"/>
    <n v="5.4054054054054036E-2"/>
    <n v="0"/>
    <n v="8.1081081081081058E-2"/>
    <n v="0"/>
    <n v="0"/>
    <n v="0"/>
    <n v="0"/>
    <n v="0"/>
    <n v="0"/>
    <n v="0"/>
    <n v="0"/>
    <n v="0"/>
    <n v="0"/>
    <n v="0"/>
    <n v="2.7027027027027018E-2"/>
    <n v="0"/>
    <n v="5.4054054054054036E-2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x v="19"/>
    <s v="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"/>
    <s v="SANITARIOS, ELÉCTRICO, TERMINACIONES"/>
    <n v="26"/>
  </r>
  <r>
    <x v="3"/>
    <x v="123"/>
    <n v="2282600124"/>
    <x v="0"/>
    <n v="0.91499999999999981"/>
    <d v="2026-06-19T00:00:00"/>
    <d v="2026-07-03T00:00:00"/>
    <d v="2026-07-24T00:00:00"/>
    <d v="2026-07-13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3"/>
    <n v="0.27272727272727271"/>
    <n v="0"/>
    <n v="0"/>
    <n v="0.18181818181818182"/>
    <n v="0.18181818181818182"/>
    <n v="0.32499999999999984"/>
    <n v="0.87837837837837796"/>
    <n v="5.4054054054054036E-2"/>
    <n v="5.4054054054054036E-2"/>
    <n v="2.7027027027027018E-2"/>
    <n v="8.1081081081081058E-2"/>
    <n v="8.1081081081081058E-2"/>
    <n v="0"/>
    <n v="5.4054054054054036E-2"/>
    <n v="1.3513513513513509E-2"/>
    <n v="4.0540540540540529E-2"/>
    <n v="0"/>
    <n v="8.1081081081081058E-2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1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0"/>
    <n v="1"/>
    <n v="1"/>
    <n v="1"/>
    <n v="0"/>
    <n v="1"/>
    <n v="1"/>
    <n v="1"/>
    <n v="1"/>
    <n v="1"/>
    <n v="1"/>
    <n v="0"/>
    <n v="1"/>
    <n v="1"/>
    <n v="1"/>
    <n v="1"/>
    <x v="5"/>
    <s v="ELÉCTRICO: CABLEADO, ARTEFACTOS | TERMINACIONES: PINTURA EXTERIOR, CELOSIAS, LIMPIEZA FINAL"/>
    <s v="ELÉCTRICO, TERMINACIONES"/>
    <n v="5"/>
  </r>
  <r>
    <x v="3"/>
    <x v="124"/>
    <n v="2282600125"/>
    <x v="0"/>
    <n v="0.83499999999999985"/>
    <d v="2026-06-22T00:00:00"/>
    <d v="2026-07-07T00:00:00"/>
    <d v="2026-07-20T00:00:00"/>
    <d v="2026-07-16T00:00:00"/>
    <x v="6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3"/>
    <n v="0.27272727272727271"/>
    <n v="0"/>
    <n v="0"/>
    <n v="0.18181818181818182"/>
    <n v="0.18181818181818182"/>
    <n v="0.24499999999999988"/>
    <n v="0.66216216216216184"/>
    <n v="5.4054054054054036E-2"/>
    <n v="5.4054054054054036E-2"/>
    <n v="2.7027027027027018E-2"/>
    <n v="8.1081081081081058E-2"/>
    <n v="8.1081081081081058E-2"/>
    <n v="0"/>
    <n v="5.4054054054054036E-2"/>
    <n v="0"/>
    <n v="0"/>
    <n v="0"/>
    <n v="0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0"/>
    <n v="1"/>
    <n v="0"/>
    <n v="0"/>
    <n v="0"/>
    <n v="0"/>
    <n v="1"/>
    <n v="0"/>
    <n v="1"/>
    <n v="1"/>
    <n v="1"/>
    <n v="0"/>
    <n v="0"/>
    <n v="1"/>
    <n v="1"/>
    <n v="1"/>
    <x v="12"/>
    <s v="ELÉCTRICO: CABLEADO, ARTEFACTOS | TERMINACIONES: VENTANAS, PINTURA EXTERIOR, MOLDURAS, PILASTREO, CELOSIAS, VENTANAS (TERM), CERRADURAS, LIMPIEZA FINAL, PUERTAS DORMITORIO"/>
    <s v="ELÉCTRICO, TERMINACIONES"/>
    <n v="11"/>
  </r>
  <r>
    <x v="3"/>
    <x v="125"/>
    <n v="2302600126"/>
    <x v="1"/>
    <n v="0.6399999999999999"/>
    <d v="2026-06-22T00:00:00"/>
    <d v="2026-07-03T00:00:00"/>
    <d v="2026-07-24T00:00:00"/>
    <d v="2026-07-26T00:00:00"/>
    <x v="1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0.13999999999999996"/>
    <n v="0.37837837837837829"/>
    <n v="0"/>
    <n v="5.4054054054054036E-2"/>
    <n v="0"/>
    <n v="8.1081081081081058E-2"/>
    <n v="8.1081081081081058E-2"/>
    <n v="0"/>
    <n v="0"/>
    <n v="0"/>
    <n v="0"/>
    <n v="0"/>
    <n v="0"/>
    <n v="0"/>
    <n v="0"/>
    <n v="0"/>
    <n v="5.4054054054054036E-2"/>
    <n v="2.7027027027027018E-2"/>
    <n v="0"/>
    <n v="5.4054054054054036E-2"/>
    <n v="0"/>
    <n v="0"/>
    <n v="2.7027027027027018E-2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0"/>
    <n v="1"/>
    <n v="0"/>
    <n v="0"/>
    <n v="1"/>
    <x v="20"/>
    <s v="SANITARIOS: VENTILACIONES, TINA, WC, LAVAMANOS / LAVAPLATOS / LAVADERO | ELÉCTRICO: CABLEADO, ARTEFACTOS, TABLERO, CAJA PAU | TERMINACIONES: VENTANAS, INSTALACION VINILICO, BARANDA BALCON, PINTURA EXTERIOR, ZOCALOS LOGIA, MOLDURAS, PILASTREO, CELOSIAS, VENTANAS (TERM), PUERTAS ACCESO - LOGIA - BANO, CERRADURAS, REVESTIMIENTO INTERIOR ZONA SECA, LIMPIEZA FINAL, REVESTIMIENTO INTERIOR BANO, MUEBLE LAVAPLATOS"/>
    <s v="SANITARIOS, ELÉCTRICO, TERMINACIONES"/>
    <n v="23"/>
  </r>
  <r>
    <x v="3"/>
    <x v="126"/>
    <n v="2302600127"/>
    <x v="1"/>
    <n v="0.57999999999999996"/>
    <d v="2026-06-23T00:00:00"/>
    <d v="2026-07-02T00:00:00"/>
    <d v="2026-07-20T00:00:00"/>
    <d v="2026-07-27T00:00:00"/>
    <x v="6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7.9999999999999974E-2"/>
    <n v="0.21621621621621614"/>
    <n v="0"/>
    <n v="5.4054054054054036E-2"/>
    <n v="0"/>
    <n v="8.1081081081081058E-2"/>
    <n v="0"/>
    <n v="0"/>
    <n v="0"/>
    <n v="0"/>
    <n v="0"/>
    <n v="0"/>
    <n v="0"/>
    <n v="0"/>
    <n v="0"/>
    <n v="0"/>
    <n v="0"/>
    <n v="2.7027027027027018E-2"/>
    <n v="0"/>
    <n v="5.4054054054054036E-2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x v="0"/>
    <s v="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"/>
    <s v="SANITARIOS, ELÉCTRICO, TERMINACIONES"/>
    <n v="26"/>
  </r>
  <r>
    <x v="3"/>
    <x v="127"/>
    <n v="2282600128"/>
    <x v="0"/>
    <n v="0.86499999999999988"/>
    <d v="2026-06-23T00:00:00"/>
    <d v="2026-07-02T00:00:00"/>
    <d v="2026-07-24T00:00:00"/>
    <d v="2026-07-17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3"/>
    <n v="0.27272727272727271"/>
    <n v="0"/>
    <n v="0"/>
    <n v="0.18181818181818182"/>
    <n v="0.18181818181818182"/>
    <n v="0.27499999999999991"/>
    <n v="0.74324324324324298"/>
    <n v="5.4054054054054036E-2"/>
    <n v="5.4054054054054036E-2"/>
    <n v="2.7027027027027018E-2"/>
    <n v="8.1081081081081058E-2"/>
    <n v="8.1081081081081058E-2"/>
    <n v="0"/>
    <n v="5.4054054054054036E-2"/>
    <n v="0"/>
    <n v="0"/>
    <n v="0"/>
    <n v="0"/>
    <n v="5.4054054054054036E-2"/>
    <n v="2.7027027027027018E-2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0"/>
    <n v="1"/>
    <n v="0"/>
    <n v="0"/>
    <n v="0"/>
    <n v="0"/>
    <n v="1"/>
    <n v="1"/>
    <n v="1"/>
    <n v="1"/>
    <n v="1"/>
    <n v="0"/>
    <n v="1"/>
    <n v="1"/>
    <n v="1"/>
    <n v="1"/>
    <x v="21"/>
    <s v="ELÉCTRICO: CABLEADO, ARTEFACTOS | TERMINACIONES: VENTANAS, PINTURA EXTERIOR, MOLDURAS, PILASTREO, CELOSIAS, VENTANAS (TERM), LIMPIEZA FINAL"/>
    <s v="ELÉCTRICO, TERMINACIONES"/>
    <n v="9"/>
  </r>
  <r>
    <x v="4"/>
    <x v="128"/>
    <n v="2282600129"/>
    <x v="0"/>
    <n v="0.80499999999999994"/>
    <d v="2026-06-24T00:00:00"/>
    <d v="2026-07-09T00:00:00"/>
    <d v="2026-07-15T00:00:00"/>
    <d v="2026-07-16T00:00:00"/>
    <x v="7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3"/>
    <n v="0.27272727272727271"/>
    <n v="0"/>
    <n v="0"/>
    <n v="0.18181818181818182"/>
    <n v="0.18181818181818182"/>
    <n v="0.21499999999999994"/>
    <n v="0.58108108108108092"/>
    <n v="5.4054054054054036E-2"/>
    <n v="5.4054054054054036E-2"/>
    <n v="2.7027027027027018E-2"/>
    <n v="8.1081081081081058E-2"/>
    <n v="0"/>
    <n v="0"/>
    <n v="5.4054054054054036E-2"/>
    <n v="0"/>
    <n v="0"/>
    <n v="0"/>
    <n v="0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0"/>
    <n v="0"/>
    <n v="1"/>
    <n v="0"/>
    <n v="0"/>
    <n v="0"/>
    <n v="0"/>
    <n v="1"/>
    <n v="0"/>
    <n v="1"/>
    <n v="1"/>
    <n v="1"/>
    <n v="0"/>
    <n v="0"/>
    <n v="1"/>
    <n v="1"/>
    <n v="1"/>
    <x v="12"/>
    <s v="ELÉCTRICO: CABLEADO, ARTEFACTOS | TERMINACIONES: VENTANAS, SMART PANEL, PINTURA EXTERIOR, MOLDURAS, PILASTREO, CELOSIAS, VENTANAS (TERM), CERRADURAS, LIMPIEZA FINAL, PUERTAS DORMITORIO"/>
    <s v="ELÉCTRICO, TERMINACIONES"/>
    <n v="12"/>
  </r>
  <r>
    <x v="4"/>
    <x v="129"/>
    <n v="2302600130"/>
    <x v="1"/>
    <n v="0.6"/>
    <d v="2026-06-24T00:00:00"/>
    <d v="2026-07-08T00:00:00"/>
    <d v="2026-07-22T00:00:00"/>
    <d v="2026-07-26T00:00:00"/>
    <x v="3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9.9999999999999964E-2"/>
    <n v="0.27027027027027017"/>
    <n v="0"/>
    <n v="5.4054054054054036E-2"/>
    <n v="0"/>
    <n v="8.1081081081081058E-2"/>
    <n v="0"/>
    <n v="0"/>
    <n v="0"/>
    <n v="0"/>
    <n v="0"/>
    <n v="0"/>
    <n v="0"/>
    <n v="0"/>
    <n v="0"/>
    <n v="0"/>
    <n v="5.4054054054054036E-2"/>
    <n v="2.7027027027027018E-2"/>
    <n v="0"/>
    <n v="5.4054054054054036E-2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1"/>
    <n v="0"/>
    <n v="1"/>
    <n v="0"/>
    <n v="0"/>
    <n v="0"/>
    <x v="20"/>
    <s v="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"/>
    <s v="SANITARIOS, ELÉCTRICO, TERMINACIONES"/>
    <n v="25"/>
  </r>
  <r>
    <x v="4"/>
    <x v="130"/>
    <n v="2302600131"/>
    <x v="1"/>
    <n v="0.61"/>
    <d v="2026-06-25T00:00:00"/>
    <d v="2026-07-09T00:00:00"/>
    <d v="2026-07-20T00:00:00"/>
    <d v="2026-07-27T00:00:00"/>
    <x v="6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6"/>
    <x v="4"/>
    <n v="0.27272727272727271"/>
    <n v="0.27272727272727271"/>
    <n v="0"/>
    <n v="0"/>
    <n v="0"/>
    <n v="7.9999999999999974E-2"/>
    <n v="0.21621621621621614"/>
    <n v="0"/>
    <n v="5.4054054054054036E-2"/>
    <n v="0"/>
    <n v="8.1081081081081058E-2"/>
    <n v="0"/>
    <n v="0"/>
    <n v="0"/>
    <n v="0"/>
    <n v="0"/>
    <n v="0"/>
    <n v="0"/>
    <n v="0"/>
    <n v="0"/>
    <n v="0"/>
    <n v="0"/>
    <n v="2.7027027027027018E-2"/>
    <n v="0"/>
    <n v="5.4054054054054036E-2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x v="0"/>
    <s v="SANITARIOS: VENTILACIONES, TINA, WC, LAVAMANOS / LAVAPLATOS / LAVADERO | ELÉCTRICO: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"/>
    <s v="SANITARIOS, ELÉCTRICO, TERMINACIONES"/>
    <n v="25"/>
  </r>
  <r>
    <x v="4"/>
    <x v="131"/>
    <n v="2282600132"/>
    <x v="0"/>
    <n v="0.80499999999999994"/>
    <d v="2026-06-25T00:00:00"/>
    <d v="2026-07-13T00:00:00"/>
    <d v="2026-07-20T00:00:00"/>
    <d v="2026-07-17T00:00:00"/>
    <x v="6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3"/>
    <n v="0.27272727272727271"/>
    <n v="0"/>
    <n v="0"/>
    <n v="0.18181818181818182"/>
    <n v="0.18181818181818182"/>
    <n v="0.21499999999999994"/>
    <n v="0.58108108108108092"/>
    <n v="5.4054054054054036E-2"/>
    <n v="5.4054054054054036E-2"/>
    <n v="2.7027027027027018E-2"/>
    <n v="8.1081081081081058E-2"/>
    <n v="0"/>
    <n v="0"/>
    <n v="5.4054054054054036E-2"/>
    <n v="0"/>
    <n v="0"/>
    <n v="0"/>
    <n v="0"/>
    <n v="5.4054054054054036E-2"/>
    <n v="0"/>
    <n v="5.4054054054054036E-2"/>
    <n v="5.4054054054054036E-2"/>
    <n v="2.7027027027027018E-2"/>
    <n v="0"/>
    <n v="0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0"/>
    <n v="0"/>
    <n v="1"/>
    <n v="0"/>
    <n v="0"/>
    <n v="0"/>
    <n v="0"/>
    <n v="1"/>
    <n v="0"/>
    <n v="1"/>
    <n v="1"/>
    <n v="1"/>
    <n v="0"/>
    <n v="0"/>
    <n v="1"/>
    <n v="1"/>
    <n v="1"/>
    <x v="21"/>
    <s v="ELÉCTRICO: CABLEADO, ARTEFACTOS | TERMINACIONES: VENTANAS, SMART PANEL, PINTURA EXTERIOR, MOLDURAS, PILASTREO, CELOSIAS, VENTANAS (TERM), CERRADURAS, LIMPIEZA FINAL, PUERTAS DORMITORIO"/>
    <s v="ELÉCTRICO, TERMINACIONES"/>
    <n v="12"/>
  </r>
  <r>
    <x v="4"/>
    <x v="132"/>
    <n v="2282600133"/>
    <x v="0"/>
    <n v="0.59"/>
    <d v="2026-06-25T00:00:00"/>
    <d v="2026-07-13T00:00:00"/>
    <d v="2026-07-20T00:00:00"/>
    <d v="2026-07-17T00:00:00"/>
    <x v="6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3"/>
    <n v="0.27272727272727271"/>
    <n v="0"/>
    <n v="0"/>
    <n v="0.18181818181818182"/>
    <n v="0.181818181818181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1"/>
    <s v="ELÉCTRICO: CABLEADO, ARTEFACTOS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ELÉCTRICO, TERMINACIONES"/>
    <n v="24"/>
  </r>
  <r>
    <x v="4"/>
    <x v="133"/>
    <n v="2302600134"/>
    <x v="1"/>
    <n v="0.53999999999999992"/>
    <d v="2026-06-26T00:00:00"/>
    <d v="2026-07-13T00:00:00"/>
    <d v="2026-07-21T00:00:00"/>
    <d v="2026-07-28T00:00:00"/>
    <x v="5"/>
    <m/>
    <n v="0.38999999999999996"/>
    <n v="0.90697674418604646"/>
    <n v="0.27906976744186046"/>
    <n v="0.18604651162790697"/>
    <n v="0.2558139534883721"/>
    <n v="0.18604651162790697"/>
    <n v="0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7.9999999999999974E-2"/>
    <n v="0.21621621621621614"/>
    <n v="0"/>
    <n v="5.4054054054054036E-2"/>
    <n v="0"/>
    <n v="8.1081081081081058E-2"/>
    <n v="0"/>
    <n v="0"/>
    <n v="0"/>
    <n v="0"/>
    <n v="0"/>
    <n v="0"/>
    <n v="0"/>
    <n v="0"/>
    <n v="0"/>
    <n v="0"/>
    <n v="0"/>
    <n v="2.7027027027027018E-2"/>
    <n v="0"/>
    <n v="5.4054054054054036E-2"/>
    <n v="0"/>
    <n v="0"/>
    <n v="0"/>
    <n v="31.32"/>
    <x v="1"/>
    <n v="0"/>
    <n v="1"/>
    <n v="1"/>
    <n v="1"/>
    <n v="1"/>
    <n v="0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x v="22"/>
    <s v="OBRA GRUESA: BALCÓN | 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"/>
    <s v="OBRA GRUESA, SANITARIOS, ELÉCTRICO, TERMINACIONES"/>
    <n v="27"/>
  </r>
  <r>
    <x v="4"/>
    <x v="134"/>
    <n v="2302600135"/>
    <x v="1"/>
    <n v="0.6399999999999999"/>
    <d v="2026-06-26T00:00:00"/>
    <d v="2026-07-09T00:00:00"/>
    <d v="2026-07-24T00:00:00"/>
    <d v="2026-07-28T00:00:00"/>
    <x v="1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0.13999999999999996"/>
    <n v="0.37837837837837829"/>
    <n v="0"/>
    <n v="5.4054054054054036E-2"/>
    <n v="0"/>
    <n v="8.1081081081081058E-2"/>
    <n v="8.1081081081081058E-2"/>
    <n v="0"/>
    <n v="0"/>
    <n v="0"/>
    <n v="0"/>
    <n v="0"/>
    <n v="0"/>
    <n v="0"/>
    <n v="0"/>
    <n v="0"/>
    <n v="5.4054054054054036E-2"/>
    <n v="2.7027027027027018E-2"/>
    <n v="0"/>
    <n v="5.4054054054054036E-2"/>
    <n v="0"/>
    <n v="0"/>
    <n v="2.7027027027027018E-2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0"/>
    <n v="1"/>
    <n v="0"/>
    <n v="0"/>
    <n v="1"/>
    <x v="22"/>
    <s v="SANITARIOS: VENTILACIONES, TINA, WC, LAVAMANOS / LAVAPLATOS / LAVADERO | ELÉCTRICO: CABLEADO, ARTEFACTOS, TABLERO, CAJA PAU | TERMINACIONES: VENTANAS, INSTALACION VINILICO, BARANDA BALCON, PINTURA EXTERIOR, ZOCALOS LOGIA, MOLDURAS, PILASTREO, CELOSIAS, VENTANAS (TERM), PUERTAS ACCESO - LOGIA - BANO, CERRADURAS, REVESTIMIENTO INTERIOR ZONA SECA, LIMPIEZA FINAL, REVESTIMIENTO INTERIOR BANO, MUEBLE LAVAPLATOS"/>
    <s v="SANITARIOS, ELÉCTRICO, TERMINACIONES"/>
    <n v="23"/>
  </r>
  <r>
    <x v="4"/>
    <x v="135"/>
    <n v="2282600136"/>
    <x v="0"/>
    <n v="0.82499999999999984"/>
    <d v="2026-06-29T00:00:00"/>
    <d v="2026-07-09T00:00:00"/>
    <d v="2026-07-24T00:00:00"/>
    <d v="2026-07-21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3"/>
    <n v="0.27272727272727271"/>
    <n v="0"/>
    <n v="0"/>
    <n v="0.18181818181818182"/>
    <n v="0.18181818181818182"/>
    <n v="0.2349999999999999"/>
    <n v="0.63513513513513487"/>
    <n v="5.4054054054054036E-2"/>
    <n v="5.4054054054054036E-2"/>
    <n v="2.7027027027027018E-2"/>
    <n v="8.1081081081081058E-2"/>
    <n v="0"/>
    <n v="0"/>
    <n v="5.4054054054054036E-2"/>
    <n v="0"/>
    <n v="0"/>
    <n v="0"/>
    <n v="0"/>
    <n v="5.4054054054054036E-2"/>
    <n v="0"/>
    <n v="5.4054054054054036E-2"/>
    <n v="5.4054054054054036E-2"/>
    <n v="2.7027027027027018E-2"/>
    <n v="0"/>
    <n v="5.4054054054054036E-2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0"/>
    <n v="0"/>
    <n v="1"/>
    <n v="0"/>
    <n v="0"/>
    <n v="0"/>
    <n v="0"/>
    <n v="1"/>
    <n v="0"/>
    <n v="1"/>
    <n v="1"/>
    <n v="1"/>
    <n v="0"/>
    <n v="1"/>
    <n v="1"/>
    <n v="1"/>
    <n v="1"/>
    <x v="16"/>
    <s v="ELÉCTRICO: CABLEADO, ARTEFACTOS | TERMINACIONES: VENTANAS, SMART PANEL, PINTURA EXTERIOR, MOLDURAS, PILASTREO, CELOSIAS, VENTANAS (TERM), CERRADURAS, LIMPIEZA FINAL"/>
    <s v="ELÉCTRICO, TERMINACIONES"/>
    <n v="11"/>
  </r>
  <r>
    <x v="4"/>
    <x v="136"/>
    <n v="2282600137"/>
    <x v="0"/>
    <n v="0.38999999999999996"/>
    <d v="2026-06-29T00:00:00"/>
    <d v="2026-07-15T00:00:00"/>
    <d v="2026-07-20T00:00:00"/>
    <d v="2026-07-21T00:00:00"/>
    <x v="6"/>
    <m/>
    <n v="0.38999999999999996"/>
    <n v="0.90697674418604646"/>
    <n v="0.27906976744186046"/>
    <n v="0.18604651162790697"/>
    <n v="0.2558139534883721"/>
    <n v="0.18604651162790697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6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4"/>
    <x v="137"/>
    <n v="2302600138"/>
    <x v="1"/>
    <n v="0.53"/>
    <d v="2026-06-29T00:00:00"/>
    <d v="2026-07-14T00:00:00"/>
    <d v="2026-07-22T00:00:00"/>
    <d v="2026-07-31T00:00:00"/>
    <x v="3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2.9999999999999992E-2"/>
    <n v="8.1081081081081058E-2"/>
    <n v="0"/>
    <n v="0"/>
    <n v="0"/>
    <n v="8.1081081081081058E-2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x v="23"/>
    <s v="SANITARIOS: VENTILACIONES, TINA, WC, LAVAMANOS / LAVAPLATOS / LAVADERO | ELÉCTRICO: CABLEADO, ARTEFACTOS, TABLERO, CAJA PAU | TERMINACIONES: VENTANAS, INSTALACION VINILICO, OSB CUBIERTA, BARANDA BALCON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SANITARIOS, ELÉCTRICO, TERMINACIONES"/>
    <n v="29"/>
  </r>
  <r>
    <x v="4"/>
    <x v="138"/>
    <n v="2302600139"/>
    <x v="1"/>
    <n v="0.57999999999999996"/>
    <d v="2026-06-30T00:00:00"/>
    <d v="2026-07-15T00:00:00"/>
    <d v="2026-07-24T00:00:00"/>
    <d v="2026-08-01T00:00:00"/>
    <x v="1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7.9999999999999974E-2"/>
    <n v="0.21621621621621614"/>
    <n v="0"/>
    <n v="5.4054054054054036E-2"/>
    <n v="0"/>
    <n v="8.1081081081081058E-2"/>
    <n v="0"/>
    <n v="0"/>
    <n v="0"/>
    <n v="0"/>
    <n v="0"/>
    <n v="0"/>
    <n v="0"/>
    <n v="0"/>
    <n v="0"/>
    <n v="0"/>
    <n v="0"/>
    <n v="2.7027027027027018E-2"/>
    <n v="0"/>
    <n v="5.4054054054054036E-2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x v="24"/>
    <s v="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"/>
    <s v="SANITARIOS, ELÉCTRICO, TERMINACIONES"/>
    <n v="26"/>
  </r>
  <r>
    <x v="4"/>
    <x v="139"/>
    <n v="2282600140"/>
    <x v="0"/>
    <n v="0.78499999999999992"/>
    <d v="2026-06-30T00:00:00"/>
    <d v="2026-07-17T00:00:00"/>
    <d v="2026-07-24T00:00:00"/>
    <d v="2026-07-22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3"/>
    <n v="0.27272727272727271"/>
    <n v="0"/>
    <n v="0"/>
    <n v="0.18181818181818182"/>
    <n v="0.18181818181818182"/>
    <n v="0.19499999999999992"/>
    <n v="0.52702702702702686"/>
    <n v="5.4054054054054036E-2"/>
    <n v="5.4054054054054036E-2"/>
    <n v="2.7027027027027018E-2"/>
    <n v="8.1081081081081058E-2"/>
    <n v="0"/>
    <n v="0"/>
    <n v="5.4054054054054036E-2"/>
    <n v="0"/>
    <n v="0"/>
    <n v="0"/>
    <n v="0"/>
    <n v="5.4054054054054036E-2"/>
    <n v="0"/>
    <n v="0"/>
    <n v="5.4054054054054036E-2"/>
    <n v="2.7027027027027018E-2"/>
    <n v="0"/>
    <n v="0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0"/>
    <n v="0"/>
    <n v="1"/>
    <n v="0"/>
    <n v="0"/>
    <n v="0"/>
    <n v="0"/>
    <n v="1"/>
    <n v="0"/>
    <n v="0"/>
    <n v="1"/>
    <n v="1"/>
    <n v="0"/>
    <n v="0"/>
    <n v="1"/>
    <n v="1"/>
    <n v="1"/>
    <x v="18"/>
    <s v="ELÉCTRICO: CABLEADO, ARTEFACTOS | TERMINACIONES: VENTANAS, SMART PANEL, PINTURA EXTERIOR, MOLDURAS, PILASTREO, CELOSIAS, VENTANAS (TERM), CERRADURAS, REVESTIMIENTO INTERIOR ZONA SECA, LIMPIEZA FINAL, PUERTAS DORMITORIO"/>
    <s v="ELÉCTRICO, TERMINACIONES"/>
    <n v="13"/>
  </r>
  <r>
    <x v="4"/>
    <x v="140"/>
    <n v="2282600141"/>
    <x v="0"/>
    <n v="0.38999999999999996"/>
    <d v="2026-07-01T00:00:00"/>
    <d v="2026-07-17T00:00:00"/>
    <d v="2026-07-21T00:00:00"/>
    <d v="2026-07-23T00:00:00"/>
    <x v="5"/>
    <m/>
    <n v="0.38999999999999996"/>
    <n v="0.90697674418604646"/>
    <n v="0.27906976744186046"/>
    <n v="0.18604651162790697"/>
    <n v="0.2558139534883721"/>
    <n v="0.18604651162790697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9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4"/>
    <x v="141"/>
    <n v="2302600142"/>
    <x v="1"/>
    <n v="0.57999999999999996"/>
    <d v="2026-07-01T00:00:00"/>
    <d v="2026-07-15T00:00:00"/>
    <d v="2026-07-23T00:00:00"/>
    <d v="2026-08-02T00:00:00"/>
    <x v="2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7.9999999999999974E-2"/>
    <n v="0.21621621621621614"/>
    <n v="0"/>
    <n v="5.4054054054054036E-2"/>
    <n v="0"/>
    <n v="8.1081081081081058E-2"/>
    <n v="0"/>
    <n v="0"/>
    <n v="0"/>
    <n v="0"/>
    <n v="0"/>
    <n v="0"/>
    <n v="0"/>
    <n v="0"/>
    <n v="0"/>
    <n v="0"/>
    <n v="0"/>
    <n v="2.7027027027027018E-2"/>
    <n v="0"/>
    <n v="5.4054054054054036E-2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x v="25"/>
    <s v="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"/>
    <s v="SANITARIOS, ELÉCTRICO, TERMINACIONES"/>
    <n v="26"/>
  </r>
  <r>
    <x v="4"/>
    <x v="142"/>
    <n v="2302600143"/>
    <x v="1"/>
    <n v="0.57999999999999996"/>
    <d v="2026-07-01T00:00:00"/>
    <d v="2026-07-14T00:00:00"/>
    <d v="2026-07-22T00:00:00"/>
    <d v="2026-08-02T00:00:00"/>
    <x v="3"/>
    <m/>
    <n v="0.43"/>
    <n v="1"/>
    <n v="0.27906976744186046"/>
    <n v="0.18604651162790697"/>
    <n v="0.2558139534883721"/>
    <n v="0.18604651162790697"/>
    <n v="9.3023255813953487E-2"/>
    <n v="3.9999999999999994E-2"/>
    <x v="3"/>
    <n v="0.22222222222222221"/>
    <n v="0.22222222222222221"/>
    <n v="0"/>
    <n v="0"/>
    <n v="0"/>
    <n v="0"/>
    <n v="0.03"/>
    <x v="2"/>
    <n v="0.27272727272727271"/>
    <n v="0"/>
    <n v="0"/>
    <n v="0"/>
    <n v="0"/>
    <n v="7.9999999999999974E-2"/>
    <n v="0.21621621621621614"/>
    <n v="0"/>
    <n v="5.4054054054054036E-2"/>
    <n v="0"/>
    <n v="8.1081081081081058E-2"/>
    <n v="0"/>
    <n v="0"/>
    <n v="0"/>
    <n v="0"/>
    <n v="0"/>
    <n v="0"/>
    <n v="0"/>
    <n v="0"/>
    <n v="0"/>
    <n v="0"/>
    <n v="0"/>
    <n v="2.7027027027027018E-2"/>
    <n v="0"/>
    <n v="5.4054054054054036E-2"/>
    <n v="0"/>
    <n v="0"/>
    <n v="0"/>
    <n v="31.32"/>
    <x v="1"/>
    <n v="0"/>
    <n v="1"/>
    <n v="1"/>
    <n v="1"/>
    <n v="1"/>
    <n v="1"/>
    <n v="1"/>
    <n v="1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x v="25"/>
    <s v="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"/>
    <s v="SANITARIOS, ELÉCTRICO, TERMINACIONES"/>
    <n v="26"/>
  </r>
  <r>
    <x v="4"/>
    <x v="143"/>
    <n v="2282600144"/>
    <x v="0"/>
    <n v="0.64999999999999991"/>
    <d v="2026-07-02T00:00:00"/>
    <d v="2026-07-14T00:00:00"/>
    <d v="2026-07-20T00:00:00"/>
    <d v="2026-07-24T00:00:00"/>
    <x v="6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3"/>
    <n v="0.27272727272727271"/>
    <n v="0"/>
    <n v="0"/>
    <n v="0.18181818181818182"/>
    <n v="0.18181818181818182"/>
    <n v="5.9999999999999984E-2"/>
    <n v="0.16216216216216212"/>
    <n v="0"/>
    <n v="5.4054054054054036E-2"/>
    <n v="0"/>
    <n v="8.1081081081081058E-2"/>
    <n v="0"/>
    <n v="0"/>
    <n v="0"/>
    <n v="0"/>
    <n v="0"/>
    <n v="0"/>
    <n v="0"/>
    <n v="0"/>
    <n v="0"/>
    <n v="0"/>
    <n v="0"/>
    <n v="2.7027027027027018E-2"/>
    <n v="0"/>
    <n v="0"/>
    <n v="0"/>
    <n v="0"/>
    <n v="0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x v="26"/>
    <s v="ELÉCTRICO: CABLEADO, ARTEFACTOS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PUERTAS DORMITORIO, REVESTIMIENTO INTERIOR BANO, MUEBLE LAVAPLATOS, IMPERMEABILIZACION BANO - COCINA LOGIA"/>
    <s v="ELÉCTRICO, TERMINACIONES"/>
    <n v="21"/>
  </r>
  <r>
    <x v="4"/>
    <x v="144"/>
    <n v="2282600145"/>
    <x v="0"/>
    <n v="0.38999999999999996"/>
    <d v="2026-07-02T00:00:00"/>
    <d v="2026-07-23T00:00:00"/>
    <d v="2026-07-23T00:00:00"/>
    <d v="2026-07-24T00:00:00"/>
    <x v="2"/>
    <m/>
    <n v="0.38999999999999996"/>
    <n v="0.90697674418604646"/>
    <n v="0.27906976744186046"/>
    <n v="0.18604651162790697"/>
    <n v="0.2558139534883721"/>
    <n v="0.18604651162790697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6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4"/>
    <x v="145"/>
    <n v="2302600146"/>
    <x v="1"/>
    <n v="0.38999999999999996"/>
    <d v="2026-07-03T00:00:00"/>
    <d v="2026-07-22T00:00:00"/>
    <d v="2026-07-23T00:00:00"/>
    <d v="2026-08-04T00:00:00"/>
    <x v="2"/>
    <m/>
    <n v="0.38999999999999996"/>
    <n v="0.90697674418604646"/>
    <n v="0.27906976744186046"/>
    <n v="0.18604651162790697"/>
    <n v="0.2558139534883721"/>
    <n v="0.18604651162790697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7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4"/>
    <x v="146"/>
    <n v="2302600147"/>
    <x v="1"/>
    <n v="0.38999999999999996"/>
    <d v="2026-07-03T00:00:00"/>
    <d v="2026-07-22T00:00:00"/>
    <d v="2026-07-24T00:00:00"/>
    <d v="2026-08-04T00:00:00"/>
    <x v="1"/>
    <m/>
    <n v="0.38999999999999996"/>
    <n v="0.90697674418604646"/>
    <n v="0.27906976744186046"/>
    <n v="0.18604651162790697"/>
    <n v="0.2558139534883721"/>
    <n v="0.18604651162790697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7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4"/>
    <x v="147"/>
    <n v="2282600148"/>
    <x v="0"/>
    <n v="0.38999999999999996"/>
    <d v="2026-07-03T00:00:00"/>
    <d v="2026-07-21T00:00:00"/>
    <d v="2026-07-22T00:00:00"/>
    <d v="2026-07-25T00:00:00"/>
    <x v="3"/>
    <m/>
    <n v="0.38999999999999996"/>
    <n v="0.90697674418604646"/>
    <n v="0.27906976744186046"/>
    <n v="0.18604651162790697"/>
    <n v="0.2558139534883721"/>
    <n v="0.18604651162790697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8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4"/>
    <x v="148"/>
    <n v="2282600149"/>
    <x v="0"/>
    <n v="0.75499999999999989"/>
    <d v="2026-07-06T00:00:00"/>
    <d v="2026-07-21T00:00:00"/>
    <d v="2026-07-24T00:00:00"/>
    <d v="2026-07-28T00:00:00"/>
    <x v="1"/>
    <m/>
    <n v="0.43"/>
    <n v="1"/>
    <n v="0.27906976744186046"/>
    <n v="0.18604651162790697"/>
    <n v="0.2558139534883721"/>
    <n v="0.18604651162790697"/>
    <n v="9.3023255813953487E-2"/>
    <n v="0.09"/>
    <x v="0"/>
    <n v="0.22222222222222221"/>
    <n v="0.22222222222222221"/>
    <n v="0.1111111111111111"/>
    <n v="0.1111111111111111"/>
    <n v="0.1111111111111111"/>
    <n v="0.22222222222222221"/>
    <n v="6.9999999999999993E-2"/>
    <x v="3"/>
    <n v="0.27272727272727271"/>
    <n v="0"/>
    <n v="0"/>
    <n v="0.18181818181818182"/>
    <n v="0.18181818181818182"/>
    <n v="0.16499999999999992"/>
    <n v="0.44594594594594578"/>
    <n v="5.4054054054054036E-2"/>
    <n v="5.4054054054054036E-2"/>
    <n v="2.7027027027027018E-2"/>
    <n v="0"/>
    <n v="0"/>
    <n v="0"/>
    <n v="5.4054054054054036E-2"/>
    <n v="0"/>
    <n v="0"/>
    <n v="0"/>
    <n v="0"/>
    <n v="5.4054054054054036E-2"/>
    <n v="0"/>
    <n v="0"/>
    <n v="5.4054054054054036E-2"/>
    <n v="2.7027027027027018E-2"/>
    <n v="0"/>
    <n v="0"/>
    <n v="8.1081081081081058E-2"/>
    <n v="1.3513513513513509E-2"/>
    <n v="2.7027027027027018E-2"/>
    <n v="28.87"/>
    <x v="1"/>
    <n v="0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0"/>
    <n v="0"/>
    <n v="0"/>
    <n v="1"/>
    <n v="0"/>
    <n v="0"/>
    <n v="0"/>
    <n v="0"/>
    <n v="1"/>
    <n v="0"/>
    <n v="0"/>
    <n v="1"/>
    <n v="1"/>
    <n v="0"/>
    <n v="0"/>
    <n v="1"/>
    <n v="1"/>
    <n v="1"/>
    <x v="22"/>
    <s v="ELÉCTRICO: CABLEADO, ARTEFACTOS | TERMINACIONES: VENTANAS, OSB EXTERIOR, SMART PANEL, PINTURA EXTERIOR, MOLDURAS, PILASTREO, CELOSIAS, VENTANAS (TERM), CERRADURAS, REVESTIMIENTO INTERIOR ZONA SECA, LIMPIEZA FINAL, PUERTAS DORMITORIO"/>
    <s v="ELÉCTRICO, TERMINACIONES"/>
    <n v="14"/>
  </r>
  <r>
    <x v="4"/>
    <x v="149"/>
    <n v="2302600150"/>
    <x v="1"/>
    <n v="0.38999999999999996"/>
    <d v="2026-07-06T00:00:00"/>
    <d v="2026-07-21T00:00:00"/>
    <d v="2026-07-23T00:00:00"/>
    <d v="2026-08-07T00:00:00"/>
    <x v="2"/>
    <m/>
    <n v="0.38999999999999996"/>
    <n v="0.90697674418604646"/>
    <n v="0.27906976744186046"/>
    <n v="0.18604651162790697"/>
    <n v="0.2558139534883721"/>
    <n v="0.18604651162790697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9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4"/>
    <x v="150"/>
    <n v="2302600151"/>
    <x v="1"/>
    <n v="0.38999999999999996"/>
    <d v="2026-07-07T00:00:00"/>
    <d v="2026-07-23T00:00:00"/>
    <d v="2026-07-23T00:00:00"/>
    <d v="2026-08-08T00:00:00"/>
    <x v="2"/>
    <m/>
    <n v="0.38999999999999996"/>
    <n v="0.90697674418604646"/>
    <n v="0.27906976744186046"/>
    <n v="0.18604651162790697"/>
    <n v="0.2558139534883721"/>
    <n v="0.18604651162790697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0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4"/>
    <x v="151"/>
    <n v="2282600152"/>
    <x v="0"/>
    <n v="0.38999999999999996"/>
    <d v="2026-07-07T00:00:00"/>
    <d v="2026-07-21T00:00:00"/>
    <d v="2026-07-23T00:00:00"/>
    <d v="2026-07-29T00:00:00"/>
    <x v="2"/>
    <m/>
    <n v="0.38999999999999996"/>
    <n v="0.90697674418604646"/>
    <n v="0.27906976744186046"/>
    <n v="0.18604651162790697"/>
    <n v="0.2558139534883721"/>
    <n v="0.18604651162790697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1"/>
    <s v="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4"/>
  </r>
  <r>
    <x v="4"/>
    <x v="152"/>
    <n v="2282600153"/>
    <x v="0"/>
    <n v="0.12"/>
    <d v="2026-07-07T00:00:00"/>
    <d v="2026-07-24T00:00:00"/>
    <d v="2026-07-24T00:00:00"/>
    <d v="2026-07-29T00:00:00"/>
    <x v="1"/>
    <m/>
    <n v="0.12"/>
    <n v="0.27906976744186046"/>
    <n v="0.27906976744186046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1"/>
    <s v="OBRA GRUESA: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7"/>
  </r>
  <r>
    <x v="4"/>
    <x v="153"/>
    <n v="2302600154"/>
    <x v="1"/>
    <n v="0"/>
    <d v="2026-07-08T00:00:00"/>
    <m/>
    <d v="1899-12-30T00:00:00"/>
    <d v="2026-08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54"/>
    <n v="2302600155"/>
    <x v="1"/>
    <n v="0"/>
    <d v="2026-07-08T00:00:00"/>
    <m/>
    <d v="1899-12-30T00:00:00"/>
    <d v="2026-08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55"/>
    <n v="2282600156"/>
    <x v="0"/>
    <n v="0"/>
    <d v="2026-07-09T00:00:00"/>
    <m/>
    <d v="1899-12-30T00:00:00"/>
    <d v="2026-07-3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56"/>
    <n v="2282600157"/>
    <x v="0"/>
    <n v="0"/>
    <d v="2026-07-09T00:00:00"/>
    <m/>
    <d v="1899-12-30T00:00:00"/>
    <d v="2026-07-3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57"/>
    <n v="2302600158"/>
    <x v="1"/>
    <n v="0"/>
    <d v="2026-07-09T00:00:00"/>
    <m/>
    <d v="1899-12-30T00:00:00"/>
    <d v="2026-08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58"/>
    <n v="2302600159"/>
    <x v="1"/>
    <n v="0"/>
    <d v="2026-07-10T00:00:00"/>
    <m/>
    <d v="1899-12-30T00:00:00"/>
    <d v="2026-08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4"/>
    <x v="159"/>
    <n v="2282600160"/>
    <x v="0"/>
    <n v="0.12"/>
    <d v="2026-07-10T00:00:00"/>
    <d v="2026-07-24T00:00:00"/>
    <d v="2026-07-24T00:00:00"/>
    <d v="2026-08-01T00:00:00"/>
    <x v="1"/>
    <m/>
    <n v="0.12"/>
    <n v="0.27906976744186046"/>
    <n v="0.27906976744186046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4"/>
    <s v="OBRA GRUESA: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7"/>
  </r>
  <r>
    <x v="5"/>
    <x v="160"/>
    <n v="2282600161"/>
    <x v="0"/>
    <n v="0"/>
    <d v="2026-07-13T00:00:00"/>
    <m/>
    <d v="1899-12-30T00:00:00"/>
    <d v="2026-08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1"/>
    <n v="2302600162"/>
    <x v="1"/>
    <n v="0"/>
    <d v="2026-07-13T00:00:00"/>
    <m/>
    <d v="1899-12-30T00:00:00"/>
    <d v="2026-08-1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2"/>
    <n v="2302600163"/>
    <x v="1"/>
    <n v="0"/>
    <d v="2026-07-13T00:00:00"/>
    <m/>
    <d v="1899-12-30T00:00:00"/>
    <d v="2026-08-1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3"/>
    <n v="2282600164"/>
    <x v="0"/>
    <n v="0"/>
    <d v="2026-07-14T00:00:00"/>
    <m/>
    <d v="1899-12-30T00:00:00"/>
    <d v="2026-08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4"/>
    <n v="2282600165"/>
    <x v="0"/>
    <n v="0"/>
    <d v="2026-07-14T00:00:00"/>
    <m/>
    <d v="1899-12-30T00:00:00"/>
    <d v="2026-08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5"/>
    <n v="2302600166"/>
    <x v="1"/>
    <n v="0"/>
    <d v="2026-07-15T00:00:00"/>
    <m/>
    <d v="1899-12-30T00:00:00"/>
    <d v="2026-08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6"/>
    <n v="2302600167"/>
    <x v="1"/>
    <n v="0"/>
    <d v="2026-07-15T00:00:00"/>
    <m/>
    <d v="1899-12-30T00:00:00"/>
    <d v="2026-08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7"/>
    <n v="2282600168"/>
    <x v="0"/>
    <n v="0"/>
    <d v="2026-07-15T00:00:00"/>
    <m/>
    <d v="1899-12-30T00:00:00"/>
    <d v="2026-08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8"/>
    <n v="2282600169"/>
    <x v="0"/>
    <n v="0"/>
    <d v="2026-07-16T00:00:00"/>
    <m/>
    <d v="1899-12-30T00:00:00"/>
    <d v="2026-08-0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69"/>
    <n v="2302600170"/>
    <x v="1"/>
    <n v="0"/>
    <d v="2026-07-16T00:00:00"/>
    <m/>
    <d v="1899-12-30T00:00:00"/>
    <d v="2026-08-1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0"/>
    <n v="2302600171"/>
    <x v="1"/>
    <n v="0"/>
    <d v="2026-07-17T00:00:00"/>
    <m/>
    <d v="1899-12-30T00:00:00"/>
    <d v="2026-08-1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1"/>
    <n v="2282600172"/>
    <x v="0"/>
    <n v="0"/>
    <d v="2026-07-17T00:00:00"/>
    <m/>
    <d v="1899-12-30T00:00:00"/>
    <d v="2026-08-0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2"/>
    <n v="2282600173"/>
    <x v="0"/>
    <n v="0"/>
    <d v="2026-07-17T00:00:00"/>
    <m/>
    <d v="1899-12-30T00:00:00"/>
    <d v="2026-08-0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3"/>
    <n v="2302600174"/>
    <x v="1"/>
    <n v="0"/>
    <d v="2026-07-20T00:00:00"/>
    <m/>
    <d v="1899-12-30T00:00:00"/>
    <d v="2026-08-1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4"/>
    <n v="2302600175"/>
    <x v="1"/>
    <n v="0"/>
    <d v="2026-07-20T00:00:00"/>
    <m/>
    <d v="1899-12-30T00:00:00"/>
    <d v="2026-08-1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5"/>
    <n v="2282600176"/>
    <x v="0"/>
    <n v="0"/>
    <d v="2026-07-21T00:00:00"/>
    <m/>
    <d v="1899-12-30T00:00:00"/>
    <d v="2026-08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6"/>
    <n v="2282600177"/>
    <x v="0"/>
    <n v="0"/>
    <d v="2026-07-21T00:00:00"/>
    <m/>
    <d v="1899-12-30T00:00:00"/>
    <d v="2026-08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7"/>
    <n v="2302600178"/>
    <x v="1"/>
    <n v="0"/>
    <d v="2026-07-21T00:00:00"/>
    <m/>
    <d v="1899-12-30T00:00:00"/>
    <d v="2026-08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8"/>
    <n v="2302600179"/>
    <x v="1"/>
    <n v="0"/>
    <d v="2026-07-22T00:00:00"/>
    <m/>
    <d v="1899-12-30T00:00:00"/>
    <d v="2026-08-2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79"/>
    <n v="2282600180"/>
    <x v="0"/>
    <n v="0"/>
    <d v="2026-07-22T00:00:00"/>
    <m/>
    <d v="1899-12-30T00:00:00"/>
    <d v="2026-08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0"/>
    <n v="2282600181"/>
    <x v="0"/>
    <n v="0"/>
    <d v="2026-07-23T00:00:00"/>
    <m/>
    <d v="1899-12-30T00:00:00"/>
    <d v="2026-08-1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1"/>
    <n v="2302600182"/>
    <x v="1"/>
    <n v="0"/>
    <d v="2026-07-23T00:00:00"/>
    <m/>
    <d v="1899-12-30T00:00:00"/>
    <d v="2026-08-2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2"/>
    <n v="2302600183"/>
    <x v="1"/>
    <n v="0"/>
    <d v="2026-07-23T00:00:00"/>
    <m/>
    <d v="1899-12-30T00:00:00"/>
    <d v="2026-08-2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3"/>
    <n v="2282600184"/>
    <x v="0"/>
    <n v="0"/>
    <d v="2026-07-24T00:00:00"/>
    <m/>
    <d v="1899-12-30T00:00:00"/>
    <d v="2026-08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4"/>
    <n v="2282600185"/>
    <x v="0"/>
    <n v="0"/>
    <d v="2026-07-24T00:00:00"/>
    <m/>
    <d v="1899-12-30T00:00:00"/>
    <d v="2026-08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5"/>
    <n v="2302600186"/>
    <x v="1"/>
    <n v="0"/>
    <d v="2026-07-27T00:00:00"/>
    <m/>
    <d v="1899-12-30T00:00:00"/>
    <d v="2026-08-2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6"/>
    <n v="2302600187"/>
    <x v="1"/>
    <n v="0"/>
    <d v="2026-07-27T00:00:00"/>
    <m/>
    <d v="1899-12-30T00:00:00"/>
    <d v="2026-08-2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7"/>
    <n v="2282600188"/>
    <x v="0"/>
    <n v="0"/>
    <d v="2026-07-27T00:00:00"/>
    <m/>
    <d v="1899-12-30T00:00:00"/>
    <d v="2026-08-1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8"/>
    <n v="2282600189"/>
    <x v="0"/>
    <n v="0"/>
    <d v="2026-07-28T00:00:00"/>
    <m/>
    <d v="1899-12-30T00:00:00"/>
    <d v="2026-08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89"/>
    <n v="2302600190"/>
    <x v="1"/>
    <n v="0"/>
    <d v="2026-07-28T00:00:00"/>
    <m/>
    <d v="1899-12-30T00:00:00"/>
    <d v="2026-08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90"/>
    <n v="2302600191"/>
    <x v="1"/>
    <n v="0"/>
    <d v="2026-07-29T00:00:00"/>
    <m/>
    <d v="1899-12-30T00:00:00"/>
    <d v="2026-08-2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5"/>
    <x v="191"/>
    <n v="2282600192"/>
    <x v="0"/>
    <n v="0"/>
    <d v="2026-07-29T00:00:00"/>
    <m/>
    <d v="1899-12-30T00:00:00"/>
    <d v="2026-08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2"/>
    <n v="2282600193"/>
    <x v="0"/>
    <n v="0"/>
    <d v="2026-07-29T00:00:00"/>
    <m/>
    <d v="1899-12-30T00:00:00"/>
    <d v="2026-08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3"/>
    <n v="2302600194"/>
    <x v="1"/>
    <n v="0"/>
    <d v="2026-07-30T00:00:00"/>
    <m/>
    <d v="1899-12-30T00:00:00"/>
    <d v="2026-08-2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4"/>
    <n v="2302600195"/>
    <x v="1"/>
    <n v="0"/>
    <d v="2026-07-30T00:00:00"/>
    <m/>
    <d v="1899-12-30T00:00:00"/>
    <d v="2026-08-2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5"/>
    <n v="2282600196"/>
    <x v="0"/>
    <n v="0"/>
    <d v="2026-07-31T00:00:00"/>
    <m/>
    <d v="1899-12-30T00:00:00"/>
    <d v="2026-08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6"/>
    <n v="2282600197"/>
    <x v="0"/>
    <n v="0"/>
    <d v="2026-07-31T00:00:00"/>
    <m/>
    <d v="1899-12-30T00:00:00"/>
    <d v="2026-08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7"/>
    <n v="2302600198"/>
    <x v="1"/>
    <n v="0"/>
    <d v="2026-07-31T00:00:00"/>
    <m/>
    <d v="1899-12-30T00:00:00"/>
    <d v="2026-08-3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8"/>
    <n v="2302600199"/>
    <x v="1"/>
    <n v="0"/>
    <d v="2026-08-03T00:00:00"/>
    <m/>
    <d v="1899-12-30T00:00:00"/>
    <d v="2026-09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199"/>
    <n v="2282600200"/>
    <x v="0"/>
    <n v="0"/>
    <d v="2026-08-03T00:00:00"/>
    <m/>
    <d v="1899-12-30T00:00:00"/>
    <d v="2026-08-2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0"/>
    <n v="2282600201"/>
    <x v="0"/>
    <n v="0"/>
    <d v="2026-08-04T00:00:00"/>
    <m/>
    <d v="1899-12-30T00:00:00"/>
    <d v="2026-08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1"/>
    <n v="2302600202"/>
    <x v="1"/>
    <n v="0"/>
    <d v="2026-08-04T00:00:00"/>
    <m/>
    <d v="1899-12-30T00:00:00"/>
    <d v="2026-09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2"/>
    <n v="2302600203"/>
    <x v="1"/>
    <n v="0"/>
    <d v="2026-08-04T00:00:00"/>
    <m/>
    <d v="1899-12-30T00:00:00"/>
    <d v="2026-09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3"/>
    <n v="2282600204"/>
    <x v="0"/>
    <n v="0"/>
    <d v="2026-08-05T00:00:00"/>
    <m/>
    <d v="1899-12-30T00:00:00"/>
    <d v="2026-08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4"/>
    <n v="2282600205"/>
    <x v="0"/>
    <n v="0"/>
    <d v="2026-08-05T00:00:00"/>
    <m/>
    <d v="1899-12-30T00:00:00"/>
    <d v="2026-08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5"/>
    <n v="2302600206"/>
    <x v="1"/>
    <n v="0"/>
    <d v="2026-08-06T00:00:00"/>
    <m/>
    <d v="1899-12-30T00:00:00"/>
    <d v="2026-09-0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6"/>
    <n v="2302600207"/>
    <x v="1"/>
    <n v="0"/>
    <d v="2026-08-06T00:00:00"/>
    <m/>
    <d v="1899-12-30T00:00:00"/>
    <d v="2026-09-0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7"/>
    <n v="2282600208"/>
    <x v="0"/>
    <n v="0"/>
    <d v="2026-08-06T00:00:00"/>
    <m/>
    <d v="1899-12-30T00:00:00"/>
    <d v="2026-08-2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8"/>
    <n v="2282600209"/>
    <x v="0"/>
    <n v="0"/>
    <d v="2026-08-07T00:00:00"/>
    <m/>
    <d v="1899-12-30T00:00:00"/>
    <d v="2026-08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09"/>
    <n v="2302600210"/>
    <x v="1"/>
    <n v="0"/>
    <d v="2026-08-07T00:00:00"/>
    <m/>
    <d v="1899-12-30T00:00:00"/>
    <d v="2026-09-0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0"/>
    <n v="2302600211"/>
    <x v="1"/>
    <n v="0"/>
    <d v="2026-08-10T00:00:00"/>
    <m/>
    <d v="1899-12-30T00:00:00"/>
    <d v="2026-09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1"/>
    <n v="2282600212"/>
    <x v="0"/>
    <n v="0"/>
    <d v="2026-08-10T00:00:00"/>
    <m/>
    <d v="1899-12-30T00:00:00"/>
    <d v="2026-08-3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2"/>
    <n v="2282600213"/>
    <x v="0"/>
    <n v="0"/>
    <d v="2026-08-10T00:00:00"/>
    <m/>
    <d v="1899-12-30T00:00:00"/>
    <d v="2026-08-3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3"/>
    <n v="2302600214"/>
    <x v="1"/>
    <n v="0"/>
    <d v="2026-08-11T00:00:00"/>
    <m/>
    <d v="1899-12-30T00:00:00"/>
    <d v="2026-09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4"/>
    <n v="2302600215"/>
    <x v="1"/>
    <n v="0"/>
    <d v="2026-08-11T00:00:00"/>
    <m/>
    <d v="1899-12-30T00:00:00"/>
    <d v="2026-09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5"/>
    <n v="2282600216"/>
    <x v="0"/>
    <n v="0"/>
    <d v="2026-08-12T00:00:00"/>
    <m/>
    <d v="1899-12-30T00:00:00"/>
    <d v="2026-09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6"/>
    <n v="2282600217"/>
    <x v="0"/>
    <n v="0"/>
    <d v="2026-08-12T00:00:00"/>
    <m/>
    <d v="1899-12-30T00:00:00"/>
    <d v="2026-09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7"/>
    <n v="2302600218"/>
    <x v="1"/>
    <n v="0"/>
    <d v="2026-08-12T00:00:00"/>
    <m/>
    <d v="1899-12-30T00:00:00"/>
    <d v="2026-09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8"/>
    <n v="2302600219"/>
    <x v="1"/>
    <n v="0"/>
    <d v="2026-08-13T00:00:00"/>
    <m/>
    <d v="1899-12-30T00:00:00"/>
    <d v="2026-09-1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19"/>
    <n v="2282600220"/>
    <x v="0"/>
    <n v="0"/>
    <d v="2026-08-13T00:00:00"/>
    <m/>
    <d v="1899-12-30T00:00:00"/>
    <d v="2026-09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20"/>
    <n v="2282600221"/>
    <x v="0"/>
    <n v="0"/>
    <d v="2026-08-14T00:00:00"/>
    <m/>
    <d v="1899-12-30T00:00:00"/>
    <d v="2026-09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21"/>
    <n v="2302600222"/>
    <x v="1"/>
    <n v="0"/>
    <d v="2026-08-14T00:00:00"/>
    <m/>
    <d v="1899-12-30T00:00:00"/>
    <d v="2026-09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22"/>
    <n v="2302600223"/>
    <x v="1"/>
    <n v="0"/>
    <d v="2026-08-14T00:00:00"/>
    <m/>
    <d v="1899-12-30T00:00:00"/>
    <d v="2026-09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6"/>
    <x v="223"/>
    <n v="2282600224"/>
    <x v="0"/>
    <n v="0"/>
    <d v="2026-08-17T00:00:00"/>
    <m/>
    <d v="1899-12-30T00:00:00"/>
    <d v="2026-09-0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4"/>
    <n v="2282600225"/>
    <x v="0"/>
    <n v="0"/>
    <d v="2026-08-17T00:00:00"/>
    <m/>
    <d v="1899-12-30T00:00:00"/>
    <d v="2026-09-0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5"/>
    <n v="2302600226"/>
    <x v="1"/>
    <n v="0"/>
    <d v="2026-08-18T00:00:00"/>
    <m/>
    <d v="1899-12-30T00:00:00"/>
    <d v="2026-09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6"/>
    <n v="2302600227"/>
    <x v="1"/>
    <n v="0"/>
    <d v="2026-08-18T00:00:00"/>
    <m/>
    <d v="1899-12-30T00:00:00"/>
    <d v="2026-09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7"/>
    <n v="2282600228"/>
    <x v="0"/>
    <n v="0"/>
    <d v="2026-08-18T00:00:00"/>
    <m/>
    <d v="1899-12-30T00:00:00"/>
    <d v="2026-09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8"/>
    <n v="2282600229"/>
    <x v="0"/>
    <n v="0"/>
    <d v="2026-08-19T00:00:00"/>
    <m/>
    <d v="1899-12-30T00:00:00"/>
    <d v="2026-09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29"/>
    <n v="2302600230"/>
    <x v="1"/>
    <n v="0"/>
    <d v="2026-08-19T00:00:00"/>
    <m/>
    <d v="1899-12-30T00:00:00"/>
    <d v="2026-09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0"/>
    <n v="2302600231"/>
    <x v="1"/>
    <n v="0"/>
    <d v="2026-08-20T00:00:00"/>
    <m/>
    <d v="1899-12-30T00:00:00"/>
    <d v="2026-09-1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1"/>
    <n v="2282600232"/>
    <x v="0"/>
    <n v="0"/>
    <d v="2026-08-20T00:00:00"/>
    <m/>
    <d v="1899-12-30T00:00:00"/>
    <d v="2026-09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2"/>
    <n v="2282600233"/>
    <x v="0"/>
    <n v="0"/>
    <d v="2026-08-20T00:00:00"/>
    <m/>
    <d v="1899-12-30T00:00:00"/>
    <d v="2026-09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3"/>
    <n v="2302600234"/>
    <x v="1"/>
    <n v="0"/>
    <d v="2026-08-21T00:00:00"/>
    <m/>
    <d v="1899-12-30T00:00:00"/>
    <d v="2026-09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4"/>
    <n v="2302600235"/>
    <x v="1"/>
    <n v="0"/>
    <d v="2026-08-21T00:00:00"/>
    <m/>
    <d v="1899-12-30T00:00:00"/>
    <d v="2026-09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5"/>
    <n v="2282600236"/>
    <x v="0"/>
    <n v="0"/>
    <d v="2026-08-24T00:00:00"/>
    <m/>
    <d v="1899-12-30T00:00:00"/>
    <d v="2026-09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6"/>
    <n v="2282600237"/>
    <x v="0"/>
    <n v="0"/>
    <d v="2026-08-24T00:00:00"/>
    <m/>
    <d v="1899-12-30T00:00:00"/>
    <d v="2026-09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7"/>
    <n v="2302600238"/>
    <x v="1"/>
    <n v="0"/>
    <d v="2026-08-24T00:00:00"/>
    <m/>
    <d v="1899-12-30T00:00:00"/>
    <d v="2026-09-2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8"/>
    <n v="2302600239"/>
    <x v="1"/>
    <n v="0"/>
    <d v="2026-08-25T00:00:00"/>
    <m/>
    <d v="1899-12-30T00:00:00"/>
    <d v="2026-09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39"/>
    <n v="2282600240"/>
    <x v="0"/>
    <n v="0"/>
    <d v="2026-08-25T00:00:00"/>
    <m/>
    <d v="1899-12-30T00:00:00"/>
    <d v="2026-09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0"/>
    <n v="2282600241"/>
    <x v="0"/>
    <n v="0"/>
    <d v="2026-08-26T00:00:00"/>
    <m/>
    <d v="1899-12-30T00:00:00"/>
    <d v="2026-09-1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1"/>
    <n v="2302600242"/>
    <x v="1"/>
    <n v="0"/>
    <d v="2026-08-26T00:00:00"/>
    <m/>
    <d v="1899-12-30T00:00:00"/>
    <d v="2026-09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2"/>
    <n v="2302600243"/>
    <x v="1"/>
    <n v="0"/>
    <d v="2026-08-26T00:00:00"/>
    <m/>
    <d v="1899-12-30T00:00:00"/>
    <d v="2026-09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3"/>
    <n v="2282600244"/>
    <x v="0"/>
    <n v="0"/>
    <d v="2026-08-27T00:00:00"/>
    <m/>
    <d v="1899-12-30T00:00:00"/>
    <d v="2026-09-1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4"/>
    <n v="2282600245"/>
    <x v="0"/>
    <n v="0"/>
    <d v="2026-08-27T00:00:00"/>
    <m/>
    <d v="1899-12-30T00:00:00"/>
    <d v="2026-09-1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5"/>
    <n v="2302600246"/>
    <x v="1"/>
    <n v="0"/>
    <d v="2026-08-28T00:00:00"/>
    <m/>
    <d v="1899-12-30T00:00:00"/>
    <d v="2026-09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6"/>
    <n v="2302600247"/>
    <x v="1"/>
    <n v="0"/>
    <d v="2026-08-28T00:00:00"/>
    <m/>
    <d v="1899-12-30T00:00:00"/>
    <d v="2026-09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7"/>
    <n v="2282600248"/>
    <x v="0"/>
    <n v="0"/>
    <d v="2026-08-28T00:00:00"/>
    <m/>
    <d v="1899-12-30T00:00:00"/>
    <d v="2026-09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8"/>
    <n v="2282600249"/>
    <x v="0"/>
    <n v="0"/>
    <d v="2026-08-31T00:00:00"/>
    <m/>
    <d v="1899-12-30T00:00:00"/>
    <d v="2026-09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49"/>
    <n v="2302600250"/>
    <x v="1"/>
    <n v="0"/>
    <d v="2026-08-31T00:00:00"/>
    <m/>
    <d v="1899-12-30T00:00:00"/>
    <d v="2026-09-3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0"/>
    <n v="2302600251"/>
    <x v="1"/>
    <n v="0"/>
    <d v="2026-09-01T00:00:00"/>
    <m/>
    <d v="1899-12-30T00:00:00"/>
    <d v="2026-10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1"/>
    <n v="2282600252"/>
    <x v="0"/>
    <n v="0"/>
    <d v="2026-09-01T00:00:00"/>
    <m/>
    <d v="1899-12-30T00:00:00"/>
    <d v="2026-09-2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2"/>
    <n v="2282600253"/>
    <x v="0"/>
    <n v="0"/>
    <d v="2026-09-01T00:00:00"/>
    <m/>
    <d v="1899-12-30T00:00:00"/>
    <d v="2026-09-2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3"/>
    <n v="2302600254"/>
    <x v="1"/>
    <n v="0"/>
    <d v="2026-09-02T00:00:00"/>
    <m/>
    <d v="1899-12-30T00:00:00"/>
    <d v="2026-10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4"/>
    <n v="2302600255"/>
    <x v="1"/>
    <n v="0"/>
    <d v="2026-09-02T00:00:00"/>
    <m/>
    <d v="1899-12-30T00:00:00"/>
    <d v="2026-10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7"/>
    <x v="255"/>
    <n v="2282600256"/>
    <x v="0"/>
    <n v="0"/>
    <d v="2026-09-02T00:00:00"/>
    <m/>
    <d v="1899-12-30T00:00:00"/>
    <d v="2026-09-2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56"/>
    <n v="2282600257"/>
    <x v="0"/>
    <n v="0"/>
    <d v="2026-09-03T00:00:00"/>
    <m/>
    <d v="1899-12-30T00:00:00"/>
    <d v="2026-09-2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57"/>
    <n v="2302600258"/>
    <x v="1"/>
    <n v="0"/>
    <d v="2026-09-03T00:00:00"/>
    <m/>
    <d v="1899-12-30T00:00:00"/>
    <d v="2026-10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58"/>
    <n v="2302600259"/>
    <x v="1"/>
    <n v="0"/>
    <d v="2026-09-03T00:00:00"/>
    <m/>
    <d v="1899-12-30T00:00:00"/>
    <d v="2026-10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59"/>
    <n v="2282600260"/>
    <x v="0"/>
    <n v="0"/>
    <d v="2026-09-04T00:00:00"/>
    <m/>
    <d v="1899-12-30T00:00:00"/>
    <d v="2026-09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0"/>
    <n v="2282600261"/>
    <x v="0"/>
    <n v="0"/>
    <d v="2026-09-04T00:00:00"/>
    <m/>
    <d v="1899-12-30T00:00:00"/>
    <d v="2026-09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1"/>
    <n v="2302600262"/>
    <x v="1"/>
    <n v="0"/>
    <d v="2026-09-04T00:00:00"/>
    <m/>
    <d v="1899-12-30T00:00:00"/>
    <d v="2026-10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2"/>
    <n v="2302600263"/>
    <x v="1"/>
    <n v="0"/>
    <d v="2026-09-07T00:00:00"/>
    <m/>
    <d v="1899-12-30T00:00:00"/>
    <d v="2026-10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3"/>
    <n v="2282600264"/>
    <x v="0"/>
    <n v="0"/>
    <d v="2026-09-07T00:00:00"/>
    <m/>
    <d v="1899-12-30T00:00:00"/>
    <d v="2026-09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4"/>
    <n v="2282600265"/>
    <x v="0"/>
    <n v="0"/>
    <d v="2026-09-07T00:00:00"/>
    <m/>
    <d v="1899-12-30T00:00:00"/>
    <d v="2026-09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5"/>
    <n v="2302600266"/>
    <x v="1"/>
    <n v="0"/>
    <d v="2026-09-08T00:00:00"/>
    <m/>
    <d v="1899-12-30T00:00:00"/>
    <d v="2026-10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6"/>
    <n v="2302600267"/>
    <x v="1"/>
    <n v="0"/>
    <d v="2026-09-08T00:00:00"/>
    <m/>
    <d v="1899-12-30T00:00:00"/>
    <d v="2026-10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7"/>
    <n v="2282600268"/>
    <x v="0"/>
    <n v="0"/>
    <d v="2026-09-08T00:00:00"/>
    <m/>
    <d v="1899-12-30T00:00:00"/>
    <d v="2026-09-2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8"/>
    <n v="2282600269"/>
    <x v="0"/>
    <n v="0"/>
    <d v="2026-09-09T00:00:00"/>
    <m/>
    <d v="1899-12-30T00:00:00"/>
    <d v="2026-09-2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69"/>
    <n v="2302600270"/>
    <x v="1"/>
    <n v="0"/>
    <d v="2026-09-09T00:00:00"/>
    <m/>
    <d v="1899-12-30T00:00:00"/>
    <d v="2026-10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0"/>
    <n v="2302600271"/>
    <x v="1"/>
    <n v="0"/>
    <d v="2026-09-09T00:00:00"/>
    <m/>
    <d v="1899-12-30T00:00:00"/>
    <d v="2026-10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1"/>
    <n v="2282600272"/>
    <x v="0"/>
    <n v="0"/>
    <d v="2026-09-10T00:00:00"/>
    <m/>
    <d v="1899-12-30T00:00:00"/>
    <d v="2026-09-3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2"/>
    <n v="2282600273"/>
    <x v="0"/>
    <n v="0"/>
    <d v="2026-09-10T00:00:00"/>
    <m/>
    <d v="1899-12-30T00:00:00"/>
    <d v="2026-09-3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3"/>
    <n v="2302600274"/>
    <x v="1"/>
    <n v="0"/>
    <d v="2026-09-10T00:00:00"/>
    <m/>
    <d v="1899-12-30T00:00:00"/>
    <d v="2026-10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4"/>
    <n v="2302600275"/>
    <x v="1"/>
    <n v="0"/>
    <d v="2026-09-11T00:00:00"/>
    <m/>
    <d v="1899-12-30T00:00:00"/>
    <d v="2026-10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5"/>
    <n v="2282600276"/>
    <x v="0"/>
    <n v="0"/>
    <d v="2026-09-11T00:00:00"/>
    <m/>
    <d v="1899-12-30T00:00:00"/>
    <d v="2026-10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6"/>
    <n v="2282600277"/>
    <x v="0"/>
    <n v="0"/>
    <d v="2026-09-11T00:00:00"/>
    <m/>
    <d v="1899-12-30T00:00:00"/>
    <d v="2026-10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7"/>
    <n v="2302600278"/>
    <x v="1"/>
    <n v="0"/>
    <d v="2026-09-14T00:00:00"/>
    <m/>
    <d v="1899-12-30T00:00:00"/>
    <d v="2026-10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8"/>
    <n v="2302600279"/>
    <x v="1"/>
    <n v="0"/>
    <d v="2026-09-14T00:00:00"/>
    <m/>
    <d v="1899-12-30T00:00:00"/>
    <d v="2026-10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79"/>
    <n v="2282600280"/>
    <x v="0"/>
    <n v="0"/>
    <d v="2026-09-14T00:00:00"/>
    <m/>
    <d v="1899-12-30T00:00:00"/>
    <d v="2026-10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0"/>
    <n v="2282600281"/>
    <x v="0"/>
    <n v="0"/>
    <d v="2026-09-15T00:00:00"/>
    <m/>
    <d v="1899-12-30T00:00:00"/>
    <d v="2026-10-0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1"/>
    <n v="2302600282"/>
    <x v="1"/>
    <n v="0"/>
    <d v="2026-09-15T00:00:00"/>
    <m/>
    <d v="1899-12-30T00:00:00"/>
    <d v="2026-10-1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2"/>
    <n v="2302600283"/>
    <x v="1"/>
    <n v="0"/>
    <d v="2026-09-15T00:00:00"/>
    <m/>
    <d v="1899-12-30T00:00:00"/>
    <d v="2026-10-1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3"/>
    <n v="2282600284"/>
    <x v="0"/>
    <n v="0"/>
    <d v="2026-09-21T00:00:00"/>
    <m/>
    <d v="1899-12-30T00:00:00"/>
    <d v="2026-10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4"/>
    <n v="2282600285"/>
    <x v="0"/>
    <n v="0"/>
    <d v="2026-09-21T00:00:00"/>
    <m/>
    <d v="1899-12-30T00:00:00"/>
    <d v="2026-10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5"/>
    <n v="2302600286"/>
    <x v="1"/>
    <n v="0"/>
    <d v="2026-09-21T00:00:00"/>
    <m/>
    <d v="1899-12-30T00:00:00"/>
    <d v="2026-10-2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6"/>
    <n v="2302600287"/>
    <x v="1"/>
    <n v="0"/>
    <d v="2026-09-22T00:00:00"/>
    <m/>
    <d v="1899-12-30T00:00:00"/>
    <d v="2026-10-2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8"/>
    <x v="287"/>
    <n v="2282600288"/>
    <x v="0"/>
    <n v="0"/>
    <d v="2026-09-22T00:00:00"/>
    <m/>
    <d v="1899-12-30T00:00:00"/>
    <d v="2026-10-1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88"/>
    <n v="2282600289"/>
    <x v="0"/>
    <n v="0"/>
    <d v="2026-09-22T00:00:00"/>
    <m/>
    <d v="1899-12-30T00:00:00"/>
    <d v="2026-10-1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89"/>
    <n v="2302600290"/>
    <x v="1"/>
    <n v="0"/>
    <d v="2026-09-23T00:00:00"/>
    <m/>
    <d v="1899-12-30T00:00:00"/>
    <d v="2026-10-2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0"/>
    <n v="2302600291"/>
    <x v="1"/>
    <n v="0"/>
    <d v="2026-09-23T00:00:00"/>
    <m/>
    <d v="1899-12-30T00:00:00"/>
    <d v="2026-10-2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1"/>
    <n v="2282600292"/>
    <x v="0"/>
    <n v="0"/>
    <d v="2026-09-23T00:00:00"/>
    <m/>
    <d v="1899-12-30T00:00:00"/>
    <d v="2026-10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2"/>
    <n v="2282600293"/>
    <x v="0"/>
    <n v="0"/>
    <d v="2026-09-24T00:00:00"/>
    <m/>
    <d v="1899-12-30T00:00:00"/>
    <d v="2026-10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3"/>
    <n v="2302600294"/>
    <x v="1"/>
    <n v="0"/>
    <d v="2026-09-24T00:00:00"/>
    <m/>
    <d v="1899-12-30T00:00:00"/>
    <d v="2026-10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4"/>
    <n v="2302600295"/>
    <x v="1"/>
    <n v="0"/>
    <d v="2026-09-24T00:00:00"/>
    <m/>
    <d v="1899-12-30T00:00:00"/>
    <d v="2026-10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5"/>
    <n v="2282600296"/>
    <x v="0"/>
    <n v="0"/>
    <d v="2026-09-25T00:00:00"/>
    <m/>
    <d v="1899-12-30T00:00:00"/>
    <d v="2026-10-1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6"/>
    <n v="2282600297"/>
    <x v="0"/>
    <n v="0"/>
    <d v="2026-09-25T00:00:00"/>
    <m/>
    <d v="1899-12-30T00:00:00"/>
    <d v="2026-10-1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7"/>
    <n v="2302600298"/>
    <x v="1"/>
    <n v="0"/>
    <d v="2026-09-25T00:00:00"/>
    <m/>
    <d v="1899-12-30T00:00:00"/>
    <d v="2026-10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8"/>
    <n v="2302600299"/>
    <x v="1"/>
    <n v="0"/>
    <d v="2026-09-28T00:00:00"/>
    <m/>
    <d v="1899-12-30T00:00:00"/>
    <d v="2026-10-2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299"/>
    <n v="2282600300"/>
    <x v="0"/>
    <n v="0"/>
    <d v="2026-09-28T00:00:00"/>
    <m/>
    <d v="1899-12-30T00:00:00"/>
    <d v="2026-10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0"/>
    <n v="2282600301"/>
    <x v="0"/>
    <n v="0"/>
    <d v="2026-09-28T00:00:00"/>
    <m/>
    <d v="1899-12-30T00:00:00"/>
    <d v="2026-10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1"/>
    <n v="2302600302"/>
    <x v="1"/>
    <n v="0"/>
    <d v="2026-09-29T00:00:00"/>
    <m/>
    <d v="1899-12-30T00:00:00"/>
    <d v="2026-10-2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2"/>
    <n v="2302600303"/>
    <x v="1"/>
    <n v="0"/>
    <d v="2026-09-29T00:00:00"/>
    <m/>
    <d v="1899-12-30T00:00:00"/>
    <d v="2026-10-2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3"/>
    <n v="2282600304"/>
    <x v="0"/>
    <n v="0"/>
    <d v="2026-09-29T00:00:00"/>
    <m/>
    <d v="1899-12-30T00:00:00"/>
    <d v="2026-10-1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4"/>
    <n v="2282600305"/>
    <x v="0"/>
    <n v="0"/>
    <d v="2026-09-30T00:00:00"/>
    <m/>
    <d v="1899-12-30T00:00:00"/>
    <d v="2026-10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5"/>
    <n v="2302600306"/>
    <x v="1"/>
    <n v="0"/>
    <d v="2026-09-30T00:00:00"/>
    <m/>
    <d v="1899-12-30T00:00:00"/>
    <d v="2026-10-3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6"/>
    <n v="2302600307"/>
    <x v="1"/>
    <n v="0"/>
    <d v="2026-09-30T00:00:00"/>
    <m/>
    <d v="1899-12-30T00:00:00"/>
    <d v="2026-10-3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7"/>
    <n v="2282600308"/>
    <x v="0"/>
    <n v="0"/>
    <d v="2026-10-01T00:00:00"/>
    <m/>
    <d v="1899-12-30T00:00:00"/>
    <d v="2026-10-2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8"/>
    <n v="2282600309"/>
    <x v="0"/>
    <n v="0"/>
    <d v="2026-10-01T00:00:00"/>
    <m/>
    <d v="1899-12-30T00:00:00"/>
    <d v="2026-10-2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09"/>
    <n v="2302600310"/>
    <x v="1"/>
    <n v="0"/>
    <d v="2026-10-01T00:00:00"/>
    <m/>
    <d v="1899-12-30T00:00:00"/>
    <d v="2026-10-3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0"/>
    <n v="2302600311"/>
    <x v="1"/>
    <n v="0"/>
    <d v="2026-10-02T00:00:00"/>
    <m/>
    <d v="1899-12-30T00:00:00"/>
    <d v="2026-11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1"/>
    <n v="2282600312"/>
    <x v="0"/>
    <n v="0"/>
    <d v="2026-10-02T00:00:00"/>
    <m/>
    <d v="1899-12-30T00:00:00"/>
    <d v="2026-10-2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2"/>
    <n v="2282600313"/>
    <x v="0"/>
    <n v="0"/>
    <d v="2026-10-02T00:00:00"/>
    <m/>
    <d v="1899-12-30T00:00:00"/>
    <d v="2026-10-2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3"/>
    <n v="2302600314"/>
    <x v="1"/>
    <n v="0"/>
    <d v="2026-10-05T00:00:00"/>
    <m/>
    <d v="1899-12-30T00:00:00"/>
    <d v="2026-11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4"/>
    <n v="2302600315"/>
    <x v="1"/>
    <n v="0"/>
    <d v="2026-10-05T00:00:00"/>
    <m/>
    <d v="1899-12-30T00:00:00"/>
    <d v="2026-11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5"/>
    <n v="2282600316"/>
    <x v="0"/>
    <n v="0"/>
    <d v="2026-10-05T00:00:00"/>
    <m/>
    <d v="1899-12-30T00:00:00"/>
    <d v="2026-10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6"/>
    <n v="2282600317"/>
    <x v="0"/>
    <n v="0"/>
    <d v="2026-10-06T00:00:00"/>
    <m/>
    <d v="1899-12-30T00:00:00"/>
    <d v="2026-10-2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7"/>
    <n v="2302600318"/>
    <x v="1"/>
    <n v="0"/>
    <d v="2026-10-06T00:00:00"/>
    <m/>
    <d v="1899-12-30T00:00:00"/>
    <d v="2026-11-0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8"/>
    <n v="2302600319"/>
    <x v="1"/>
    <n v="0"/>
    <d v="2026-10-06T00:00:00"/>
    <m/>
    <d v="1899-12-30T00:00:00"/>
    <d v="2026-11-0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9"/>
    <x v="319"/>
    <n v="2282600320"/>
    <x v="0"/>
    <n v="0"/>
    <d v="2026-10-07T00:00:00"/>
    <m/>
    <d v="1899-12-30T00:00:00"/>
    <d v="2026-10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0"/>
    <n v="2282600321"/>
    <x v="0"/>
    <n v="0"/>
    <d v="2026-10-07T00:00:00"/>
    <m/>
    <d v="1899-12-30T00:00:00"/>
    <d v="2026-10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1"/>
    <n v="2302600322"/>
    <x v="1"/>
    <n v="0"/>
    <d v="2026-10-07T00:00:00"/>
    <m/>
    <d v="1899-12-30T00:00:00"/>
    <d v="2026-11-0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2"/>
    <n v="2302600323"/>
    <x v="1"/>
    <n v="0"/>
    <d v="2026-10-08T00:00:00"/>
    <m/>
    <d v="1899-12-30T00:00:00"/>
    <d v="2026-11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3"/>
    <n v="2282600324"/>
    <x v="0"/>
    <n v="0"/>
    <d v="2026-10-08T00:00:00"/>
    <m/>
    <d v="1899-12-30T00:00:00"/>
    <d v="2026-10-2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4"/>
    <n v="2282600325"/>
    <x v="0"/>
    <n v="0"/>
    <d v="2026-10-08T00:00:00"/>
    <m/>
    <d v="1899-12-30T00:00:00"/>
    <d v="2026-10-2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5"/>
    <n v="2302600326"/>
    <x v="1"/>
    <n v="0"/>
    <d v="2026-10-09T00:00:00"/>
    <m/>
    <d v="1899-12-30T00:00:00"/>
    <d v="2026-11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6"/>
    <n v="2302600327"/>
    <x v="1"/>
    <n v="0"/>
    <d v="2026-10-09T00:00:00"/>
    <m/>
    <d v="1899-12-30T00:00:00"/>
    <d v="2026-11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7"/>
    <n v="2282600328"/>
    <x v="0"/>
    <n v="0"/>
    <d v="2026-10-09T00:00:00"/>
    <m/>
    <d v="1899-12-30T00:00:00"/>
    <d v="2026-10-2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8"/>
    <n v="2282600329"/>
    <x v="0"/>
    <n v="0"/>
    <d v="2026-10-12T00:00:00"/>
    <m/>
    <d v="1899-12-30T00:00:00"/>
    <d v="2026-11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29"/>
    <n v="2302600330"/>
    <x v="1"/>
    <n v="0"/>
    <d v="2026-10-12T00:00:00"/>
    <m/>
    <d v="1899-12-30T00:00:00"/>
    <d v="2026-11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0"/>
    <n v="2302600331"/>
    <x v="1"/>
    <n v="0"/>
    <d v="2026-10-12T00:00:00"/>
    <m/>
    <d v="1899-12-30T00:00:00"/>
    <d v="2026-11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1"/>
    <n v="2282600332"/>
    <x v="0"/>
    <n v="0"/>
    <d v="2026-10-13T00:00:00"/>
    <m/>
    <d v="1899-12-30T00:00:00"/>
    <d v="2026-11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2"/>
    <n v="2282600333"/>
    <x v="0"/>
    <n v="0"/>
    <d v="2026-10-13T00:00:00"/>
    <m/>
    <d v="1899-12-30T00:00:00"/>
    <d v="2026-11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3"/>
    <n v="2302600334"/>
    <x v="1"/>
    <n v="0"/>
    <d v="2026-10-13T00:00:00"/>
    <m/>
    <d v="1899-12-30T00:00:00"/>
    <d v="2026-11-1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4"/>
    <n v="2302600335"/>
    <x v="1"/>
    <n v="0"/>
    <d v="2026-10-14T00:00:00"/>
    <m/>
    <d v="1899-12-30T00:00:00"/>
    <d v="2026-11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5"/>
    <n v="2282600336"/>
    <x v="0"/>
    <n v="0"/>
    <d v="2026-10-14T00:00:00"/>
    <m/>
    <d v="1899-12-30T00:00:00"/>
    <d v="2026-11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6"/>
    <n v="2282600337"/>
    <x v="0"/>
    <n v="0"/>
    <d v="2026-10-14T00:00:00"/>
    <m/>
    <d v="1899-12-30T00:00:00"/>
    <d v="2026-11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7"/>
    <n v="2302600338"/>
    <x v="1"/>
    <n v="0"/>
    <d v="2026-10-15T00:00:00"/>
    <m/>
    <d v="1899-12-30T00:00:00"/>
    <d v="2026-11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8"/>
    <n v="2302600339"/>
    <x v="1"/>
    <n v="0"/>
    <d v="2026-10-15T00:00:00"/>
    <m/>
    <d v="1899-12-30T00:00:00"/>
    <d v="2026-11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39"/>
    <n v="2282600340"/>
    <x v="0"/>
    <n v="0"/>
    <d v="2026-10-15T00:00:00"/>
    <m/>
    <d v="1899-12-30T00:00:00"/>
    <d v="2026-11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0"/>
    <n v="2282600341"/>
    <x v="0"/>
    <n v="0"/>
    <d v="2026-10-16T00:00:00"/>
    <m/>
    <d v="1899-12-30T00:00:00"/>
    <d v="2026-11-0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1"/>
    <n v="2302600342"/>
    <x v="1"/>
    <n v="0"/>
    <d v="2026-10-16T00:00:00"/>
    <m/>
    <d v="1899-12-30T00:00:00"/>
    <d v="2026-11-1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2"/>
    <n v="2302600343"/>
    <x v="1"/>
    <n v="0"/>
    <d v="2026-10-16T00:00:00"/>
    <m/>
    <d v="1899-12-30T00:00:00"/>
    <d v="2026-11-1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3"/>
    <n v="2282600344"/>
    <x v="0"/>
    <n v="0"/>
    <d v="2026-10-19T00:00:00"/>
    <m/>
    <d v="1899-12-30T00:00:00"/>
    <d v="2026-11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4"/>
    <n v="2282600345"/>
    <x v="0"/>
    <n v="0"/>
    <d v="2026-10-19T00:00:00"/>
    <m/>
    <d v="1899-12-30T00:00:00"/>
    <d v="2026-11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5"/>
    <n v="2302600346"/>
    <x v="1"/>
    <n v="0"/>
    <d v="2026-10-19T00:00:00"/>
    <m/>
    <d v="1899-12-30T00:00:00"/>
    <d v="2026-11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6"/>
    <n v="2302600347"/>
    <x v="1"/>
    <n v="0"/>
    <d v="2026-10-20T00:00:00"/>
    <m/>
    <d v="1899-12-30T00:00:00"/>
    <d v="2026-11-1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7"/>
    <n v="2282600348"/>
    <x v="0"/>
    <n v="0"/>
    <d v="2026-10-20T00:00:00"/>
    <m/>
    <d v="1899-12-30T00:00:00"/>
    <d v="2026-11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8"/>
    <n v="2282600349"/>
    <x v="0"/>
    <n v="0"/>
    <d v="2026-10-20T00:00:00"/>
    <m/>
    <d v="1899-12-30T00:00:00"/>
    <d v="2026-11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49"/>
    <n v="2302600350"/>
    <x v="1"/>
    <n v="0"/>
    <d v="2026-10-21T00:00:00"/>
    <m/>
    <d v="1899-12-30T00:00:00"/>
    <d v="2026-11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50"/>
    <n v="2302600351"/>
    <x v="1"/>
    <n v="0"/>
    <d v="2026-10-21T00:00:00"/>
    <m/>
    <d v="1899-12-30T00:00:00"/>
    <d v="2026-11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0"/>
    <x v="351"/>
    <n v="2282600352"/>
    <x v="0"/>
    <n v="0"/>
    <d v="2026-10-21T00:00:00"/>
    <m/>
    <d v="1899-12-30T00:00:00"/>
    <d v="2026-11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2"/>
    <n v="2282600353"/>
    <x v="0"/>
    <n v="0"/>
    <d v="2026-10-22T00:00:00"/>
    <m/>
    <d v="1899-12-30T00:00:00"/>
    <d v="2026-11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3"/>
    <n v="2302600354"/>
    <x v="1"/>
    <n v="0"/>
    <d v="2026-10-22T00:00:00"/>
    <m/>
    <d v="1899-12-30T00:00:00"/>
    <d v="2026-11-2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4"/>
    <n v="2302600355"/>
    <x v="1"/>
    <n v="0"/>
    <d v="2026-10-22T00:00:00"/>
    <m/>
    <d v="1899-12-30T00:00:00"/>
    <d v="2026-11-2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5"/>
    <n v="2282600356"/>
    <x v="0"/>
    <n v="0"/>
    <d v="2026-10-23T00:00:00"/>
    <m/>
    <d v="1899-12-30T00:00:00"/>
    <d v="2026-11-1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6"/>
    <n v="2282600357"/>
    <x v="0"/>
    <n v="0"/>
    <d v="2026-10-23T00:00:00"/>
    <m/>
    <d v="1899-12-30T00:00:00"/>
    <d v="2026-11-1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7"/>
    <n v="2302600358"/>
    <x v="1"/>
    <n v="0"/>
    <d v="2026-10-23T00:00:00"/>
    <m/>
    <d v="1899-12-30T00:00:00"/>
    <d v="2026-11-2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8"/>
    <n v="2302600359"/>
    <x v="1"/>
    <n v="0"/>
    <d v="2026-10-26T00:00:00"/>
    <m/>
    <d v="1899-12-30T00:00:00"/>
    <d v="2026-11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59"/>
    <n v="2282600360"/>
    <x v="0"/>
    <n v="0"/>
    <d v="2026-10-26T00:00:00"/>
    <m/>
    <d v="1899-12-30T00:00:00"/>
    <d v="2026-11-1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0"/>
    <n v="2282600361"/>
    <x v="0"/>
    <n v="0"/>
    <d v="2026-10-26T00:00:00"/>
    <m/>
    <d v="1899-12-30T00:00:00"/>
    <d v="2026-11-1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1"/>
    <n v="2302600362"/>
    <x v="1"/>
    <n v="0"/>
    <d v="2026-10-27T00:00:00"/>
    <m/>
    <d v="1899-12-30T00:00:00"/>
    <d v="2026-11-2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2"/>
    <n v="2302600363"/>
    <x v="1"/>
    <n v="0"/>
    <d v="2026-10-27T00:00:00"/>
    <m/>
    <d v="1899-12-30T00:00:00"/>
    <d v="2026-11-2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3"/>
    <n v="2282600364"/>
    <x v="0"/>
    <n v="0"/>
    <d v="2026-10-27T00:00:00"/>
    <m/>
    <d v="1899-12-30T00:00:00"/>
    <d v="2026-11-1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4"/>
    <n v="2282600365"/>
    <x v="0"/>
    <n v="0"/>
    <d v="2026-10-28T00:00:00"/>
    <m/>
    <d v="1899-12-30T00:00:00"/>
    <d v="2026-11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5"/>
    <n v="2302600366"/>
    <x v="1"/>
    <n v="0"/>
    <d v="2026-10-28T00:00:00"/>
    <m/>
    <d v="1899-12-30T00:00:00"/>
    <d v="2026-11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6"/>
    <n v="2302600367"/>
    <x v="1"/>
    <n v="0"/>
    <d v="2026-10-28T00:00:00"/>
    <m/>
    <d v="1899-12-30T00:00:00"/>
    <d v="2026-11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7"/>
    <n v="2282600368"/>
    <x v="0"/>
    <n v="0"/>
    <d v="2026-10-29T00:00:00"/>
    <m/>
    <d v="1899-12-30T00:00:00"/>
    <d v="2026-11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8"/>
    <n v="2282600369"/>
    <x v="0"/>
    <n v="0"/>
    <d v="2026-10-29T00:00:00"/>
    <m/>
    <d v="1899-12-30T00:00:00"/>
    <d v="2026-11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69"/>
    <n v="2302600370"/>
    <x v="1"/>
    <n v="0"/>
    <d v="2026-10-29T00:00:00"/>
    <m/>
    <d v="1899-12-30T00:00:00"/>
    <d v="2026-11-2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0"/>
    <n v="2302600371"/>
    <x v="1"/>
    <n v="0"/>
    <d v="2026-10-30T00:00:00"/>
    <m/>
    <d v="1899-12-30T00:00:00"/>
    <d v="2026-11-2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1"/>
    <n v="2282600372"/>
    <x v="0"/>
    <n v="0"/>
    <d v="2026-10-30T00:00:00"/>
    <m/>
    <d v="1899-12-30T00:00:00"/>
    <d v="2026-11-1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2"/>
    <n v="2282600373"/>
    <x v="0"/>
    <n v="0"/>
    <d v="2026-10-30T00:00:00"/>
    <m/>
    <d v="1899-12-30T00:00:00"/>
    <d v="2026-11-1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3"/>
    <n v="2302600374"/>
    <x v="1"/>
    <n v="0"/>
    <d v="2026-11-02T00:00:00"/>
    <m/>
    <d v="1899-12-30T00:00:00"/>
    <d v="2026-12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4"/>
    <n v="2302600375"/>
    <x v="1"/>
    <n v="0"/>
    <d v="2026-11-02T00:00:00"/>
    <m/>
    <d v="1899-12-30T00:00:00"/>
    <d v="2026-12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5"/>
    <n v="2282600376"/>
    <x v="0"/>
    <n v="0"/>
    <d v="2026-11-02T00:00:00"/>
    <m/>
    <d v="1899-12-30T00:00:00"/>
    <d v="2026-11-2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6"/>
    <n v="2282600377"/>
    <x v="0"/>
    <n v="0"/>
    <d v="2026-11-03T00:00:00"/>
    <m/>
    <d v="1899-12-30T00:00:00"/>
    <d v="2026-11-2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7"/>
    <n v="2302600378"/>
    <x v="1"/>
    <n v="0"/>
    <d v="2026-11-03T00:00:00"/>
    <m/>
    <d v="1899-12-30T00:00:00"/>
    <d v="2026-12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8"/>
    <n v="2302600379"/>
    <x v="1"/>
    <n v="0"/>
    <d v="2026-11-03T00:00:00"/>
    <m/>
    <d v="1899-12-30T00:00:00"/>
    <d v="2026-12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79"/>
    <n v="2282600380"/>
    <x v="0"/>
    <n v="0"/>
    <d v="2026-11-04T00:00:00"/>
    <m/>
    <d v="1899-12-30T00:00:00"/>
    <d v="2026-11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80"/>
    <n v="2282600381"/>
    <x v="0"/>
    <n v="0"/>
    <d v="2026-11-04T00:00:00"/>
    <m/>
    <d v="1899-12-30T00:00:00"/>
    <d v="2026-11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81"/>
    <n v="2302600382"/>
    <x v="1"/>
    <n v="0"/>
    <d v="2026-11-04T00:00:00"/>
    <m/>
    <d v="1899-12-30T00:00:00"/>
    <d v="2026-12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82"/>
    <n v="2302600383"/>
    <x v="1"/>
    <n v="0"/>
    <d v="2026-11-05T00:00:00"/>
    <m/>
    <d v="1899-12-30T00:00:00"/>
    <d v="2026-12-0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1"/>
    <x v="383"/>
    <n v="2282600384"/>
    <x v="0"/>
    <n v="0"/>
    <d v="2026-11-05T00:00:00"/>
    <m/>
    <d v="1899-12-30T00:00:00"/>
    <d v="2026-11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4"/>
    <n v="2282600385"/>
    <x v="0"/>
    <n v="0"/>
    <d v="2026-11-05T00:00:00"/>
    <m/>
    <d v="1899-12-30T00:00:00"/>
    <d v="2026-11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5"/>
    <n v="2302600386"/>
    <x v="1"/>
    <n v="0"/>
    <d v="2026-11-06T00:00:00"/>
    <m/>
    <d v="1899-12-30T00:00:00"/>
    <d v="2026-12-0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6"/>
    <n v="2302600387"/>
    <x v="1"/>
    <n v="0"/>
    <d v="2026-11-06T00:00:00"/>
    <m/>
    <d v="1899-12-30T00:00:00"/>
    <d v="2026-12-0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7"/>
    <n v="2282600388"/>
    <x v="0"/>
    <n v="0"/>
    <d v="2026-11-06T00:00:00"/>
    <m/>
    <d v="1899-12-30T00:00:00"/>
    <d v="2026-11-2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8"/>
    <n v="2282600389"/>
    <x v="0"/>
    <n v="0"/>
    <d v="2026-11-09T00:00:00"/>
    <m/>
    <d v="1899-12-30T00:00:00"/>
    <d v="2026-11-2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89"/>
    <n v="2302600390"/>
    <x v="1"/>
    <n v="0"/>
    <d v="2026-11-09T00:00:00"/>
    <m/>
    <d v="1899-12-30T00:00:00"/>
    <d v="2026-12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0"/>
    <n v="2302600391"/>
    <x v="1"/>
    <n v="0"/>
    <d v="2026-11-09T00:00:00"/>
    <m/>
    <d v="1899-12-30T00:00:00"/>
    <d v="2026-12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1"/>
    <n v="2282600392"/>
    <x v="0"/>
    <n v="0"/>
    <d v="2026-11-10T00:00:00"/>
    <m/>
    <d v="1899-12-30T00:00:00"/>
    <d v="2026-11-3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2"/>
    <n v="2282600393"/>
    <x v="0"/>
    <n v="0"/>
    <d v="2026-11-10T00:00:00"/>
    <m/>
    <d v="1899-12-30T00:00:00"/>
    <d v="2026-11-3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3"/>
    <n v="2302600394"/>
    <x v="1"/>
    <n v="0"/>
    <d v="2026-11-10T00:00:00"/>
    <m/>
    <d v="1899-12-30T00:00:00"/>
    <d v="2026-12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4"/>
    <n v="2302600395"/>
    <x v="1"/>
    <n v="0"/>
    <d v="2026-11-11T00:00:00"/>
    <m/>
    <d v="1899-12-30T00:00:00"/>
    <d v="2026-12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5"/>
    <n v="2282600396"/>
    <x v="0"/>
    <n v="0"/>
    <d v="2026-11-11T00:00:00"/>
    <m/>
    <d v="1899-12-30T00:00:00"/>
    <d v="2026-12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6"/>
    <n v="2282600397"/>
    <x v="0"/>
    <n v="0"/>
    <d v="2026-11-11T00:00:00"/>
    <m/>
    <d v="1899-12-30T00:00:00"/>
    <d v="2026-12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7"/>
    <n v="2302600398"/>
    <x v="1"/>
    <n v="0"/>
    <d v="2026-11-12T00:00:00"/>
    <m/>
    <d v="1899-12-30T00:00:00"/>
    <d v="2026-12-1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8"/>
    <n v="2302600399"/>
    <x v="1"/>
    <n v="0"/>
    <d v="2026-11-12T00:00:00"/>
    <m/>
    <d v="1899-12-30T00:00:00"/>
    <d v="2026-12-1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399"/>
    <n v="2282600400"/>
    <x v="0"/>
    <n v="0"/>
    <d v="2026-11-12T00:00:00"/>
    <m/>
    <d v="1899-12-30T00:00:00"/>
    <d v="2026-12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0"/>
    <n v="2282600401"/>
    <x v="0"/>
    <n v="0"/>
    <d v="2026-11-13T00:00:00"/>
    <m/>
    <d v="1899-12-30T00:00:00"/>
    <d v="2026-12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1"/>
    <n v="2302600402"/>
    <x v="1"/>
    <n v="0"/>
    <d v="2026-11-13T00:00:00"/>
    <m/>
    <d v="1899-12-30T00:00:00"/>
    <d v="2026-12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2"/>
    <n v="2302600403"/>
    <x v="1"/>
    <n v="0"/>
    <d v="2026-11-13T00:00:00"/>
    <m/>
    <d v="1899-12-30T00:00:00"/>
    <d v="2026-12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3"/>
    <n v="2282600404"/>
    <x v="0"/>
    <n v="0"/>
    <d v="2026-11-16T00:00:00"/>
    <m/>
    <d v="1899-12-30T00:00:00"/>
    <d v="2026-12-0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4"/>
    <n v="2282600405"/>
    <x v="0"/>
    <n v="0"/>
    <d v="2026-11-16T00:00:00"/>
    <m/>
    <d v="1899-12-30T00:00:00"/>
    <d v="2026-12-0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5"/>
    <n v="2302600406"/>
    <x v="1"/>
    <n v="0"/>
    <d v="2026-11-16T00:00:00"/>
    <m/>
    <d v="1899-12-30T00:00:00"/>
    <d v="2026-12-1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6"/>
    <n v="2302600407"/>
    <x v="1"/>
    <n v="0"/>
    <d v="2026-11-17T00:00:00"/>
    <m/>
    <d v="1899-12-30T00:00:00"/>
    <d v="2026-12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7"/>
    <n v="2282600408"/>
    <x v="0"/>
    <n v="0"/>
    <d v="2026-11-17T00:00:00"/>
    <m/>
    <d v="1899-12-30T00:00:00"/>
    <d v="2026-12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8"/>
    <n v="2282600409"/>
    <x v="0"/>
    <n v="0"/>
    <d v="2026-11-17T00:00:00"/>
    <m/>
    <d v="1899-12-30T00:00:00"/>
    <d v="2026-12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09"/>
    <n v="2302600410"/>
    <x v="1"/>
    <n v="0"/>
    <d v="2026-11-18T00:00:00"/>
    <m/>
    <d v="1899-12-30T00:00:00"/>
    <d v="2026-12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0"/>
    <n v="2302600411"/>
    <x v="1"/>
    <n v="0"/>
    <d v="2026-11-18T00:00:00"/>
    <m/>
    <d v="1899-12-30T00:00:00"/>
    <d v="2026-12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1"/>
    <n v="2282600412"/>
    <x v="0"/>
    <n v="0"/>
    <d v="2026-11-18T00:00:00"/>
    <m/>
    <d v="1899-12-30T00:00:00"/>
    <d v="2026-12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2"/>
    <n v="2282600413"/>
    <x v="0"/>
    <n v="0"/>
    <d v="2026-11-19T00:00:00"/>
    <m/>
    <d v="1899-12-30T00:00:00"/>
    <d v="2026-12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3"/>
    <n v="2302600414"/>
    <x v="1"/>
    <n v="0"/>
    <d v="2026-11-19T00:00:00"/>
    <m/>
    <d v="1899-12-30T00:00:00"/>
    <d v="2026-12-1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4"/>
    <n v="2302600415"/>
    <x v="1"/>
    <n v="0"/>
    <d v="2026-11-19T00:00:00"/>
    <m/>
    <d v="1899-12-30T00:00:00"/>
    <d v="2026-12-1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2"/>
    <x v="415"/>
    <n v="2282600416"/>
    <x v="0"/>
    <n v="0"/>
    <d v="2026-11-20T00:00:00"/>
    <m/>
    <d v="1899-12-30T00:00:00"/>
    <d v="2026-12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16"/>
    <n v="2282600417"/>
    <x v="0"/>
    <n v="0"/>
    <d v="2026-11-20T00:00:00"/>
    <m/>
    <d v="1899-12-30T00:00:00"/>
    <d v="2026-12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17"/>
    <n v="2302600418"/>
    <x v="1"/>
    <n v="0"/>
    <d v="2026-11-20T00:00:00"/>
    <m/>
    <d v="1899-12-30T00:00:00"/>
    <d v="2026-12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18"/>
    <n v="2302600419"/>
    <x v="1"/>
    <n v="0"/>
    <d v="2026-11-23T00:00:00"/>
    <m/>
    <d v="1899-12-30T00:00:00"/>
    <d v="2026-12-2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19"/>
    <n v="2282600420"/>
    <x v="0"/>
    <n v="0"/>
    <d v="2026-11-23T00:00:00"/>
    <m/>
    <d v="1899-12-30T00:00:00"/>
    <d v="2026-12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0"/>
    <n v="2282600421"/>
    <x v="0"/>
    <n v="0"/>
    <d v="2026-11-23T00:00:00"/>
    <m/>
    <d v="1899-12-30T00:00:00"/>
    <d v="2026-12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1"/>
    <n v="2302600422"/>
    <x v="1"/>
    <n v="0"/>
    <d v="2026-11-24T00:00:00"/>
    <m/>
    <d v="1899-12-30T00:00:00"/>
    <d v="2026-12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2"/>
    <n v="2302600423"/>
    <x v="1"/>
    <n v="0"/>
    <d v="2026-11-24T00:00:00"/>
    <m/>
    <d v="1899-12-30T00:00:00"/>
    <d v="2026-12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3"/>
    <n v="2282600424"/>
    <x v="0"/>
    <n v="0"/>
    <d v="2026-11-24T00:00:00"/>
    <m/>
    <d v="1899-12-30T00:00:00"/>
    <d v="2026-12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4"/>
    <n v="2282600425"/>
    <x v="0"/>
    <n v="0"/>
    <d v="2026-11-25T00:00:00"/>
    <m/>
    <d v="1899-12-30T00:00:00"/>
    <d v="2026-12-1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5"/>
    <n v="2302600426"/>
    <x v="1"/>
    <n v="0"/>
    <d v="2026-11-25T00:00:00"/>
    <m/>
    <d v="1899-12-30T00:00:00"/>
    <d v="2026-12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6"/>
    <n v="2302600427"/>
    <x v="1"/>
    <n v="0"/>
    <d v="2026-11-25T00:00:00"/>
    <m/>
    <d v="1899-12-30T00:00:00"/>
    <d v="2026-12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7"/>
    <n v="2282600428"/>
    <x v="0"/>
    <n v="0"/>
    <d v="2026-11-26T00:00:00"/>
    <m/>
    <d v="1899-12-30T00:00:00"/>
    <d v="2026-12-1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8"/>
    <n v="2282600429"/>
    <x v="0"/>
    <n v="0"/>
    <d v="2026-11-26T00:00:00"/>
    <m/>
    <d v="1899-12-30T00:00:00"/>
    <d v="2026-12-1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29"/>
    <n v="2302600430"/>
    <x v="1"/>
    <n v="0"/>
    <d v="2026-11-26T00:00:00"/>
    <m/>
    <d v="1899-12-30T00:00:00"/>
    <d v="2026-12-2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0"/>
    <n v="2302600431"/>
    <x v="1"/>
    <n v="0"/>
    <d v="2026-11-27T00:00:00"/>
    <m/>
    <d v="1899-12-30T00:00:00"/>
    <d v="2026-12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1"/>
    <n v="2282600432"/>
    <x v="0"/>
    <n v="0"/>
    <d v="2026-11-27T00:00:00"/>
    <m/>
    <d v="1899-12-30T00:00:00"/>
    <d v="2026-12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2"/>
    <n v="2282600433"/>
    <x v="0"/>
    <n v="0"/>
    <d v="2026-11-27T00:00:00"/>
    <m/>
    <d v="1899-12-30T00:00:00"/>
    <d v="2026-12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3"/>
    <n v="2302600434"/>
    <x v="1"/>
    <n v="0"/>
    <d v="2026-11-30T00:00:00"/>
    <m/>
    <d v="1899-12-30T00:00:00"/>
    <d v="2026-12-3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4"/>
    <n v="2302600435"/>
    <x v="1"/>
    <n v="0"/>
    <d v="2026-11-30T00:00:00"/>
    <m/>
    <d v="1899-12-30T00:00:00"/>
    <d v="2026-12-3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5"/>
    <n v="2282600436"/>
    <x v="0"/>
    <n v="0"/>
    <d v="2026-11-30T00:00:00"/>
    <m/>
    <d v="1899-12-30T00:00:00"/>
    <d v="2026-12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6"/>
    <n v="2282600437"/>
    <x v="0"/>
    <n v="0"/>
    <d v="2026-12-01T00:00:00"/>
    <m/>
    <d v="1899-12-30T00:00:00"/>
    <d v="2026-12-2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7"/>
    <n v="2302600438"/>
    <x v="1"/>
    <n v="0"/>
    <d v="2026-12-01T00:00:00"/>
    <m/>
    <d v="1899-12-30T00:00:00"/>
    <d v="2026-12-3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8"/>
    <n v="2302600439"/>
    <x v="1"/>
    <n v="0"/>
    <d v="2026-12-01T00:00:00"/>
    <m/>
    <d v="1899-12-30T00:00:00"/>
    <d v="2026-12-3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39"/>
    <n v="2282600440"/>
    <x v="0"/>
    <n v="0"/>
    <d v="2026-12-02T00:00:00"/>
    <m/>
    <d v="1899-12-30T00:00:00"/>
    <d v="2026-12-2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0"/>
    <n v="2282600441"/>
    <x v="0"/>
    <n v="0"/>
    <d v="2026-12-02T00:00:00"/>
    <m/>
    <d v="1899-12-30T00:00:00"/>
    <d v="2026-12-2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1"/>
    <n v="2302600442"/>
    <x v="1"/>
    <n v="0"/>
    <d v="2026-12-02T00:00:00"/>
    <m/>
    <d v="1899-12-30T00:00:00"/>
    <d v="2027-01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2"/>
    <n v="2302600443"/>
    <x v="1"/>
    <n v="0"/>
    <d v="2026-12-03T00:00:00"/>
    <m/>
    <d v="1899-12-30T00:00:00"/>
    <d v="2027-01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3"/>
    <n v="2282600444"/>
    <x v="0"/>
    <n v="0"/>
    <d v="2026-12-03T00:00:00"/>
    <m/>
    <d v="1899-12-30T00:00:00"/>
    <d v="2026-12-2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4"/>
    <n v="2282600445"/>
    <x v="0"/>
    <n v="0"/>
    <d v="2026-12-03T00:00:00"/>
    <m/>
    <d v="1899-12-30T00:00:00"/>
    <d v="2026-12-2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5"/>
    <n v="2302600446"/>
    <x v="1"/>
    <n v="0"/>
    <d v="2026-12-04T00:00:00"/>
    <m/>
    <d v="1899-12-30T00:00:00"/>
    <d v="2027-01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6"/>
    <n v="2302600447"/>
    <x v="1"/>
    <n v="0"/>
    <d v="2026-12-04T00:00:00"/>
    <m/>
    <d v="1899-12-30T00:00:00"/>
    <d v="2027-01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3"/>
    <x v="447"/>
    <n v="2282600448"/>
    <x v="0"/>
    <n v="0"/>
    <d v="2026-12-04T00:00:00"/>
    <m/>
    <d v="1899-12-30T00:00:00"/>
    <d v="2026-12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48"/>
    <n v="2282600449"/>
    <x v="0"/>
    <n v="0"/>
    <d v="2026-12-07T00:00:00"/>
    <m/>
    <d v="1899-12-30T00:00:00"/>
    <d v="2026-12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49"/>
    <n v="2302600450"/>
    <x v="1"/>
    <n v="0"/>
    <d v="2026-12-07T00:00:00"/>
    <m/>
    <d v="1899-12-30T00:00:00"/>
    <d v="2027-01-0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0"/>
    <n v="2302600451"/>
    <x v="1"/>
    <n v="0"/>
    <d v="2026-12-07T00:00:00"/>
    <m/>
    <d v="1899-12-30T00:00:00"/>
    <d v="2027-01-0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1"/>
    <n v="2282600452"/>
    <x v="0"/>
    <n v="0"/>
    <d v="2026-12-09T00:00:00"/>
    <m/>
    <d v="1899-12-30T00:00:00"/>
    <d v="2026-12-2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2"/>
    <n v="2282600453"/>
    <x v="0"/>
    <n v="0"/>
    <d v="2026-12-09T00:00:00"/>
    <m/>
    <d v="1899-12-30T00:00:00"/>
    <d v="2026-12-2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3"/>
    <n v="2302600454"/>
    <x v="1"/>
    <n v="0"/>
    <d v="2026-12-09T00:00:00"/>
    <m/>
    <d v="1899-12-30T00:00:00"/>
    <d v="2027-01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4"/>
    <n v="2302600455"/>
    <x v="1"/>
    <n v="0"/>
    <d v="2026-12-10T00:00:00"/>
    <m/>
    <d v="1899-12-30T00:00:00"/>
    <d v="2027-01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5"/>
    <n v="2282600456"/>
    <x v="0"/>
    <n v="0"/>
    <d v="2026-12-10T00:00:00"/>
    <m/>
    <d v="1899-12-30T00:00:00"/>
    <d v="2026-12-3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6"/>
    <n v="2282600457"/>
    <x v="0"/>
    <n v="0"/>
    <d v="2026-12-10T00:00:00"/>
    <m/>
    <d v="1899-12-30T00:00:00"/>
    <d v="2026-12-3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7"/>
    <n v="2302600458"/>
    <x v="1"/>
    <n v="0"/>
    <d v="2026-12-11T00:00:00"/>
    <m/>
    <d v="1899-12-30T00:00:00"/>
    <d v="2027-01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8"/>
    <n v="2302600459"/>
    <x v="1"/>
    <n v="0"/>
    <d v="2026-12-11T00:00:00"/>
    <m/>
    <d v="1899-12-30T00:00:00"/>
    <d v="2027-01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59"/>
    <n v="2282600460"/>
    <x v="0"/>
    <n v="0"/>
    <d v="2026-12-11T00:00:00"/>
    <m/>
    <d v="1899-12-30T00:00:00"/>
    <d v="2026-12-3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0"/>
    <n v="2282600461"/>
    <x v="0"/>
    <n v="0"/>
    <d v="2026-12-14T00:00:00"/>
    <m/>
    <d v="1899-12-30T00:00:00"/>
    <d v="2027-01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1"/>
    <n v="2302600462"/>
    <x v="1"/>
    <n v="0"/>
    <d v="2026-12-14T00:00:00"/>
    <m/>
    <d v="1899-12-30T00:00:00"/>
    <d v="2027-01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2"/>
    <n v="2302600463"/>
    <x v="1"/>
    <n v="0"/>
    <d v="2026-12-14T00:00:00"/>
    <m/>
    <d v="1899-12-30T00:00:00"/>
    <d v="2027-01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3"/>
    <n v="2282600464"/>
    <x v="0"/>
    <n v="0"/>
    <d v="2026-12-15T00:00:00"/>
    <m/>
    <d v="1899-12-30T00:00:00"/>
    <d v="2027-01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4"/>
    <n v="2282600465"/>
    <x v="0"/>
    <n v="0"/>
    <d v="2026-12-15T00:00:00"/>
    <m/>
    <d v="1899-12-30T00:00:00"/>
    <d v="2027-01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5"/>
    <n v="2302600466"/>
    <x v="1"/>
    <n v="0"/>
    <d v="2026-12-15T00:00:00"/>
    <m/>
    <d v="1899-12-30T00:00:00"/>
    <d v="2027-01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6"/>
    <n v="2302600467"/>
    <x v="1"/>
    <n v="0"/>
    <d v="2026-12-16T00:00:00"/>
    <m/>
    <d v="1899-12-30T00:00:00"/>
    <d v="2027-01-1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7"/>
    <n v="2282600468"/>
    <x v="0"/>
    <n v="0"/>
    <d v="2026-12-16T00:00:00"/>
    <m/>
    <d v="1899-12-30T00:00:00"/>
    <d v="2027-01-0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8"/>
    <n v="2282600469"/>
    <x v="0"/>
    <n v="0"/>
    <d v="2026-12-16T00:00:00"/>
    <m/>
    <d v="1899-12-30T00:00:00"/>
    <d v="2027-01-0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69"/>
    <n v="2302600470"/>
    <x v="1"/>
    <n v="0"/>
    <d v="2026-12-17T00:00:00"/>
    <m/>
    <d v="1899-12-30T00:00:00"/>
    <d v="2027-01-1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0"/>
    <n v="2302600471"/>
    <x v="1"/>
    <n v="0"/>
    <d v="2026-12-17T00:00:00"/>
    <m/>
    <d v="1899-12-30T00:00:00"/>
    <d v="2027-01-1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1"/>
    <n v="2282600472"/>
    <x v="0"/>
    <n v="0"/>
    <d v="2026-12-17T00:00:00"/>
    <m/>
    <d v="1899-12-30T00:00:00"/>
    <d v="2027-01-0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2"/>
    <n v="2282600473"/>
    <x v="0"/>
    <n v="0"/>
    <d v="2026-12-18T00:00:00"/>
    <m/>
    <d v="1899-12-30T00:00:00"/>
    <d v="2027-01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3"/>
    <n v="2302600474"/>
    <x v="1"/>
    <n v="0"/>
    <d v="2026-12-18T00:00:00"/>
    <m/>
    <d v="1899-12-30T00:00:00"/>
    <d v="2027-01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4"/>
    <n v="2302600475"/>
    <x v="1"/>
    <n v="0"/>
    <d v="2026-12-18T00:00:00"/>
    <m/>
    <d v="1899-12-30T00:00:00"/>
    <d v="2027-01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5"/>
    <n v="2282600476"/>
    <x v="0"/>
    <n v="0"/>
    <d v="2026-12-21T00:00:00"/>
    <m/>
    <d v="1899-12-30T00:00:00"/>
    <d v="2027-01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6"/>
    <n v="2282600477"/>
    <x v="0"/>
    <n v="0"/>
    <d v="2026-12-21T00:00:00"/>
    <m/>
    <d v="1899-12-30T00:00:00"/>
    <d v="2027-01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7"/>
    <n v="2302600478"/>
    <x v="1"/>
    <n v="0"/>
    <d v="2026-12-21T00:00:00"/>
    <m/>
    <d v="1899-12-30T00:00:00"/>
    <d v="2027-01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8"/>
    <n v="2302600479"/>
    <x v="1"/>
    <n v="0"/>
    <d v="2026-12-22T00:00:00"/>
    <m/>
    <d v="1899-12-30T00:00:00"/>
    <d v="2027-01-2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4"/>
    <x v="479"/>
    <n v="2282600480"/>
    <x v="0"/>
    <n v="0"/>
    <d v="2026-12-22T00:00:00"/>
    <m/>
    <d v="1899-12-30T00:00:00"/>
    <d v="2027-01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0"/>
    <n v="2282600481"/>
    <x v="0"/>
    <n v="0"/>
    <d v="2026-12-22T00:00:00"/>
    <m/>
    <d v="1899-12-30T00:00:00"/>
    <d v="2027-01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1"/>
    <n v="2302600482"/>
    <x v="1"/>
    <n v="0"/>
    <d v="2026-12-23T00:00:00"/>
    <m/>
    <d v="1899-12-30T00:00:00"/>
    <d v="2027-01-2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2"/>
    <n v="2302600483"/>
    <x v="1"/>
    <n v="0"/>
    <d v="2026-12-23T00:00:00"/>
    <m/>
    <d v="1899-12-30T00:00:00"/>
    <d v="2027-01-2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3"/>
    <n v="2282600484"/>
    <x v="0"/>
    <n v="0"/>
    <d v="2026-12-23T00:00:00"/>
    <m/>
    <d v="1899-12-30T00:00:00"/>
    <d v="2027-01-1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4"/>
    <n v="2282600485"/>
    <x v="0"/>
    <n v="0"/>
    <d v="2026-12-28T00:00:00"/>
    <m/>
    <d v="1899-12-30T00:00:00"/>
    <d v="2027-01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5"/>
    <n v="2302600486"/>
    <x v="1"/>
    <n v="0"/>
    <d v="2026-12-28T00:00:00"/>
    <m/>
    <d v="1899-12-30T00:00:00"/>
    <d v="2027-01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6"/>
    <n v="2302600487"/>
    <x v="1"/>
    <n v="0"/>
    <d v="2026-12-28T00:00:00"/>
    <m/>
    <d v="1899-12-30T00:00:00"/>
    <d v="2027-01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7"/>
    <n v="2282600488"/>
    <x v="0"/>
    <n v="0"/>
    <d v="2026-12-29T00:00:00"/>
    <m/>
    <d v="1899-12-30T00:00:00"/>
    <d v="2027-01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8"/>
    <n v="2282600489"/>
    <x v="0"/>
    <n v="0"/>
    <d v="2026-12-29T00:00:00"/>
    <m/>
    <d v="1899-12-30T00:00:00"/>
    <d v="2027-01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89"/>
    <n v="2302600490"/>
    <x v="1"/>
    <n v="0"/>
    <d v="2026-12-29T00:00:00"/>
    <m/>
    <d v="1899-12-30T00:00:00"/>
    <d v="2027-01-2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0"/>
    <n v="2302600491"/>
    <x v="1"/>
    <n v="0"/>
    <d v="2026-12-30T00:00:00"/>
    <m/>
    <d v="1899-12-30T00:00:00"/>
    <d v="2027-01-2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1"/>
    <n v="2282600492"/>
    <x v="0"/>
    <n v="0"/>
    <d v="2026-12-30T00:00:00"/>
    <m/>
    <d v="1899-12-30T00:00:00"/>
    <d v="2027-01-1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2"/>
    <n v="2282600493"/>
    <x v="0"/>
    <n v="0"/>
    <d v="2026-12-30T00:00:00"/>
    <m/>
    <d v="1899-12-30T00:00:00"/>
    <d v="2027-01-1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3"/>
    <n v="2302600494"/>
    <x v="1"/>
    <n v="0"/>
    <d v="2027-01-04T00:00:00"/>
    <m/>
    <d v="1899-12-30T00:00:00"/>
    <d v="2027-02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4"/>
    <n v="2302600495"/>
    <x v="1"/>
    <n v="0"/>
    <d v="2027-01-04T00:00:00"/>
    <m/>
    <d v="1899-12-30T00:00:00"/>
    <d v="2027-02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5"/>
    <n v="2282600496"/>
    <x v="0"/>
    <n v="0"/>
    <d v="2027-01-04T00:00:00"/>
    <m/>
    <d v="1899-12-30T00:00:00"/>
    <d v="2027-01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6"/>
    <n v="2282600497"/>
    <x v="0"/>
    <n v="0"/>
    <d v="2027-01-05T00:00:00"/>
    <m/>
    <d v="1899-12-30T00:00:00"/>
    <d v="2027-01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7"/>
    <n v="2302600498"/>
    <x v="1"/>
    <n v="0"/>
    <d v="2027-01-05T00:00:00"/>
    <m/>
    <d v="1899-12-30T00:00:00"/>
    <d v="2027-02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8"/>
    <n v="2302600499"/>
    <x v="1"/>
    <n v="0"/>
    <d v="2027-01-05T00:00:00"/>
    <m/>
    <d v="1899-12-30T00:00:00"/>
    <d v="2027-02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499"/>
    <n v="2282600500"/>
    <x v="0"/>
    <n v="0"/>
    <d v="2027-01-06T00:00:00"/>
    <m/>
    <d v="1899-12-30T00:00:00"/>
    <d v="2027-01-2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0"/>
    <n v="2282600501"/>
    <x v="0"/>
    <n v="0"/>
    <d v="2027-01-06T00:00:00"/>
    <m/>
    <d v="1899-12-30T00:00:00"/>
    <d v="2027-01-2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1"/>
    <n v="2302600502"/>
    <x v="1"/>
    <n v="0"/>
    <d v="2027-01-06T00:00:00"/>
    <m/>
    <d v="1899-12-30T00:00:00"/>
    <d v="2027-02-0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2"/>
    <n v="2302600503"/>
    <x v="1"/>
    <n v="0"/>
    <d v="2027-01-07T00:00:00"/>
    <m/>
    <d v="1899-12-30T00:00:00"/>
    <d v="2027-02-0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3"/>
    <n v="2282600504"/>
    <x v="0"/>
    <n v="0"/>
    <d v="2027-01-07T00:00:00"/>
    <m/>
    <d v="1899-12-30T00:00:00"/>
    <d v="2027-01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4"/>
    <n v="2282600505"/>
    <x v="0"/>
    <n v="0"/>
    <d v="2027-01-07T00:00:00"/>
    <m/>
    <d v="1899-12-30T00:00:00"/>
    <d v="2027-01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5"/>
    <n v="2302600506"/>
    <x v="1"/>
    <n v="0"/>
    <d v="2027-01-08T00:00:00"/>
    <m/>
    <d v="1899-12-30T00:00:00"/>
    <d v="2027-02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6"/>
    <n v="2302600507"/>
    <x v="1"/>
    <n v="0"/>
    <d v="2027-01-08T00:00:00"/>
    <m/>
    <d v="1899-12-30T00:00:00"/>
    <d v="2027-02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7"/>
    <n v="2282600508"/>
    <x v="0"/>
    <n v="0"/>
    <d v="2027-01-08T00:00:00"/>
    <m/>
    <d v="1899-12-30T00:00:00"/>
    <d v="2027-01-2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8"/>
    <n v="2282600509"/>
    <x v="0"/>
    <n v="0"/>
    <d v="2027-01-11T00:00:00"/>
    <m/>
    <d v="1899-12-30T00:00:00"/>
    <d v="2027-01-3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09"/>
    <n v="2302600510"/>
    <x v="1"/>
    <n v="0"/>
    <d v="2027-01-11T00:00:00"/>
    <m/>
    <d v="1899-12-30T00:00:00"/>
    <d v="2027-02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10"/>
    <n v="2302600511"/>
    <x v="1"/>
    <n v="0"/>
    <d v="2027-01-11T00:00:00"/>
    <m/>
    <d v="1899-12-30T00:00:00"/>
    <d v="2027-02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5"/>
    <x v="511"/>
    <n v="2282600512"/>
    <x v="0"/>
    <n v="0"/>
    <d v="2027-01-12T00:00:00"/>
    <m/>
    <d v="1899-12-30T00:00:00"/>
    <d v="2027-02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2"/>
    <n v="2282600513"/>
    <x v="0"/>
    <n v="0"/>
    <d v="2027-01-12T00:00:00"/>
    <m/>
    <d v="1899-12-30T00:00:00"/>
    <d v="2027-02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3"/>
    <n v="2302600514"/>
    <x v="1"/>
    <n v="0"/>
    <d v="2027-01-12T00:00:00"/>
    <m/>
    <d v="1899-12-30T00:00:00"/>
    <d v="2027-02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4"/>
    <n v="2302600515"/>
    <x v="1"/>
    <n v="0"/>
    <d v="2027-01-13T00:00:00"/>
    <m/>
    <d v="1899-12-30T00:00:00"/>
    <d v="2027-02-1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5"/>
    <n v="2282600516"/>
    <x v="0"/>
    <n v="0"/>
    <d v="2027-01-13T00:00:00"/>
    <m/>
    <d v="1899-12-30T00:00:00"/>
    <d v="2027-02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6"/>
    <n v="2282600517"/>
    <x v="0"/>
    <n v="0"/>
    <d v="2027-01-13T00:00:00"/>
    <m/>
    <d v="1899-12-30T00:00:00"/>
    <d v="2027-02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7"/>
    <n v="2302600518"/>
    <x v="1"/>
    <n v="0"/>
    <d v="2027-01-14T00:00:00"/>
    <m/>
    <d v="1899-12-30T00:00:00"/>
    <d v="2027-02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8"/>
    <n v="2302600519"/>
    <x v="1"/>
    <n v="0"/>
    <d v="2027-01-14T00:00:00"/>
    <m/>
    <d v="1899-12-30T00:00:00"/>
    <d v="2027-02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19"/>
    <n v="2282600520"/>
    <x v="0"/>
    <n v="0"/>
    <d v="2027-01-14T00:00:00"/>
    <m/>
    <d v="1899-12-30T00:00:00"/>
    <d v="2027-02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0"/>
    <n v="2282600521"/>
    <x v="0"/>
    <n v="0"/>
    <d v="2027-01-15T00:00:00"/>
    <m/>
    <d v="1899-12-30T00:00:00"/>
    <d v="2027-02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1"/>
    <n v="2302600522"/>
    <x v="1"/>
    <n v="0"/>
    <d v="2027-01-15T00:00:00"/>
    <m/>
    <d v="1899-12-30T00:00:00"/>
    <d v="2027-02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2"/>
    <n v="2302600523"/>
    <x v="1"/>
    <n v="0"/>
    <d v="2027-01-15T00:00:00"/>
    <m/>
    <d v="1899-12-30T00:00:00"/>
    <d v="2027-02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3"/>
    <n v="2282600524"/>
    <x v="0"/>
    <n v="0"/>
    <d v="2027-01-18T00:00:00"/>
    <m/>
    <d v="1899-12-30T00:00:00"/>
    <d v="2027-02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4"/>
    <n v="2282600525"/>
    <x v="0"/>
    <n v="0"/>
    <d v="2027-01-18T00:00:00"/>
    <m/>
    <d v="1899-12-30T00:00:00"/>
    <d v="2027-02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5"/>
    <n v="2302600526"/>
    <x v="1"/>
    <n v="0"/>
    <d v="2027-01-18T00:00:00"/>
    <m/>
    <d v="1899-12-30T00:00:00"/>
    <d v="2027-02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6"/>
    <n v="2302600527"/>
    <x v="1"/>
    <n v="0"/>
    <d v="2027-01-19T00:00:00"/>
    <m/>
    <d v="1899-12-30T00:00:00"/>
    <d v="2027-02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7"/>
    <n v="2282600528"/>
    <x v="0"/>
    <n v="0"/>
    <d v="2027-01-19T00:00:00"/>
    <m/>
    <d v="1899-12-30T00:00:00"/>
    <d v="2027-02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8"/>
    <n v="2282600529"/>
    <x v="0"/>
    <n v="0"/>
    <d v="2027-01-19T00:00:00"/>
    <m/>
    <d v="1899-12-30T00:00:00"/>
    <d v="2027-02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29"/>
    <n v="2302600530"/>
    <x v="1"/>
    <n v="0"/>
    <d v="2027-01-20T00:00:00"/>
    <m/>
    <d v="1899-12-30T00:00:00"/>
    <d v="2027-02-1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0"/>
    <n v="2302600531"/>
    <x v="1"/>
    <n v="0"/>
    <d v="2027-01-20T00:00:00"/>
    <m/>
    <d v="1899-12-30T00:00:00"/>
    <d v="2027-02-1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1"/>
    <n v="2282600532"/>
    <x v="0"/>
    <n v="0"/>
    <d v="2027-01-20T00:00:00"/>
    <m/>
    <d v="1899-12-30T00:00:00"/>
    <d v="2027-02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2"/>
    <n v="2282600533"/>
    <x v="0"/>
    <n v="0"/>
    <d v="2027-01-21T00:00:00"/>
    <m/>
    <d v="1899-12-30T00:00:00"/>
    <d v="2027-02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3"/>
    <n v="2302600534"/>
    <x v="1"/>
    <n v="0"/>
    <d v="2027-01-21T00:00:00"/>
    <m/>
    <d v="1899-12-30T00:00:00"/>
    <d v="2027-02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4"/>
    <n v="2302600535"/>
    <x v="1"/>
    <n v="0"/>
    <d v="2027-01-21T00:00:00"/>
    <m/>
    <d v="1899-12-30T00:00:00"/>
    <d v="2027-02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5"/>
    <n v="2282600536"/>
    <x v="0"/>
    <n v="0"/>
    <d v="2027-01-22T00:00:00"/>
    <m/>
    <d v="1899-12-30T00:00:00"/>
    <d v="2027-02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6"/>
    <n v="2282600537"/>
    <x v="0"/>
    <n v="0"/>
    <d v="2027-01-22T00:00:00"/>
    <m/>
    <d v="1899-12-30T00:00:00"/>
    <d v="2027-02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7"/>
    <n v="2302600538"/>
    <x v="1"/>
    <n v="0"/>
    <d v="2027-01-22T00:00:00"/>
    <m/>
    <d v="1899-12-30T00:00:00"/>
    <d v="2027-02-2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8"/>
    <n v="2302600539"/>
    <x v="1"/>
    <n v="0"/>
    <d v="2027-01-25T00:00:00"/>
    <m/>
    <d v="1899-12-30T00:00:00"/>
    <d v="2027-02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39"/>
    <n v="2282600540"/>
    <x v="0"/>
    <n v="0"/>
    <d v="2027-01-25T00:00:00"/>
    <m/>
    <d v="1899-12-30T00:00:00"/>
    <d v="2027-02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40"/>
    <n v="2282600541"/>
    <x v="0"/>
    <n v="0"/>
    <d v="2027-01-25T00:00:00"/>
    <m/>
    <d v="1899-12-30T00:00:00"/>
    <d v="2027-02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41"/>
    <n v="2302600542"/>
    <x v="1"/>
    <n v="0"/>
    <d v="2027-01-26T00:00:00"/>
    <m/>
    <d v="1899-12-30T00:00:00"/>
    <d v="2027-02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42"/>
    <n v="2302600543"/>
    <x v="1"/>
    <n v="0"/>
    <d v="2027-01-26T00:00:00"/>
    <m/>
    <d v="1899-12-30T00:00:00"/>
    <d v="2027-02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6"/>
    <x v="543"/>
    <n v="2282600544"/>
    <x v="0"/>
    <n v="0"/>
    <d v="2027-01-26T00:00:00"/>
    <m/>
    <d v="1899-12-30T00:00:00"/>
    <d v="2027-02-1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4"/>
    <n v="2282600545"/>
    <x v="0"/>
    <n v="0"/>
    <d v="2027-01-27T00:00:00"/>
    <m/>
    <d v="1899-12-30T00:00:00"/>
    <d v="2027-02-1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5"/>
    <n v="2302600546"/>
    <x v="1"/>
    <n v="0"/>
    <d v="2027-01-27T00:00:00"/>
    <m/>
    <d v="1899-12-30T00:00:00"/>
    <d v="2027-02-2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6"/>
    <n v="2302600547"/>
    <x v="1"/>
    <n v="0"/>
    <d v="2027-01-27T00:00:00"/>
    <m/>
    <d v="1899-12-30T00:00:00"/>
    <d v="2027-02-2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7"/>
    <n v="2282600548"/>
    <x v="0"/>
    <n v="0"/>
    <d v="2027-01-28T00:00:00"/>
    <m/>
    <d v="1899-12-30T00:00:00"/>
    <d v="2027-02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8"/>
    <n v="2282600549"/>
    <x v="0"/>
    <n v="0"/>
    <d v="2027-01-28T00:00:00"/>
    <m/>
    <d v="1899-12-30T00:00:00"/>
    <d v="2027-02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49"/>
    <n v="2302600550"/>
    <x v="1"/>
    <n v="0"/>
    <d v="2027-01-28T00:00:00"/>
    <m/>
    <d v="1899-12-30T00:00:00"/>
    <d v="2027-02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0"/>
    <n v="2302600551"/>
    <x v="1"/>
    <n v="0"/>
    <d v="2027-01-29T00:00:00"/>
    <m/>
    <d v="1899-12-30T00:00:00"/>
    <d v="2027-02-2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1"/>
    <n v="2282600552"/>
    <x v="0"/>
    <n v="0"/>
    <d v="2027-01-29T00:00:00"/>
    <m/>
    <d v="1899-12-30T00:00:00"/>
    <d v="2027-02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2"/>
    <n v="2282600553"/>
    <x v="0"/>
    <n v="0"/>
    <d v="2027-01-29T00:00:00"/>
    <m/>
    <d v="1899-12-30T00:00:00"/>
    <d v="2027-02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3"/>
    <n v="2302600554"/>
    <x v="1"/>
    <n v="0"/>
    <d v="2027-02-01T00:00:00"/>
    <m/>
    <d v="1899-12-30T00:00:00"/>
    <d v="2027-03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4"/>
    <n v="2302600555"/>
    <x v="1"/>
    <n v="0"/>
    <d v="2027-02-01T00:00:00"/>
    <m/>
    <d v="1899-12-30T00:00:00"/>
    <d v="2027-03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5"/>
    <n v="2282600556"/>
    <x v="0"/>
    <n v="0"/>
    <d v="2027-02-01T00:00:00"/>
    <m/>
    <d v="1899-12-30T00:00:00"/>
    <d v="2027-02-2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6"/>
    <n v="2282600557"/>
    <x v="0"/>
    <n v="0"/>
    <d v="2027-02-02T00:00:00"/>
    <m/>
    <d v="1899-12-30T00:00:00"/>
    <d v="2027-02-2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7"/>
    <n v="2302600558"/>
    <x v="1"/>
    <n v="0"/>
    <d v="2027-02-02T00:00:00"/>
    <m/>
    <d v="1899-12-30T00:00:00"/>
    <d v="2027-03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8"/>
    <n v="2302600559"/>
    <x v="1"/>
    <n v="0"/>
    <d v="2027-02-02T00:00:00"/>
    <m/>
    <d v="1899-12-30T00:00:00"/>
    <d v="2027-03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59"/>
    <n v="2282600560"/>
    <x v="0"/>
    <n v="0"/>
    <d v="2027-02-03T00:00:00"/>
    <m/>
    <d v="1899-12-30T00:00:00"/>
    <d v="2027-02-2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0"/>
    <n v="2282600561"/>
    <x v="0"/>
    <n v="0"/>
    <d v="2027-02-03T00:00:00"/>
    <m/>
    <d v="1899-12-30T00:00:00"/>
    <d v="2027-02-2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1"/>
    <n v="2302600562"/>
    <x v="1"/>
    <n v="0"/>
    <d v="2027-02-03T00:00:00"/>
    <m/>
    <d v="1899-12-30T00:00:00"/>
    <d v="2027-03-0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2"/>
    <n v="2302600563"/>
    <x v="1"/>
    <n v="0"/>
    <d v="2027-02-04T00:00:00"/>
    <m/>
    <d v="1899-12-30T00:00:00"/>
    <d v="2027-03-0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3"/>
    <n v="2282600564"/>
    <x v="0"/>
    <n v="0"/>
    <d v="2027-02-04T00:00:00"/>
    <m/>
    <d v="1899-12-30T00:00:00"/>
    <d v="2027-02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4"/>
    <n v="2282600565"/>
    <x v="0"/>
    <n v="0"/>
    <d v="2027-02-04T00:00:00"/>
    <m/>
    <d v="1899-12-30T00:00:00"/>
    <d v="2027-02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5"/>
    <n v="2302600566"/>
    <x v="1"/>
    <n v="0"/>
    <d v="2027-02-05T00:00:00"/>
    <m/>
    <d v="1899-12-30T00:00:00"/>
    <d v="2027-03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6"/>
    <n v="2302600567"/>
    <x v="1"/>
    <n v="0"/>
    <d v="2027-02-05T00:00:00"/>
    <m/>
    <d v="1899-12-30T00:00:00"/>
    <d v="2027-03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7"/>
    <n v="2282600568"/>
    <x v="0"/>
    <n v="0"/>
    <d v="2027-02-05T00:00:00"/>
    <m/>
    <d v="1899-12-30T00:00:00"/>
    <d v="2027-02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8"/>
    <n v="2282600569"/>
    <x v="0"/>
    <n v="0"/>
    <d v="2027-02-08T00:00:00"/>
    <m/>
    <d v="1899-12-30T00:00:00"/>
    <d v="2027-02-2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69"/>
    <n v="2302600570"/>
    <x v="1"/>
    <n v="0"/>
    <d v="2027-02-08T00:00:00"/>
    <m/>
    <d v="1899-12-30T00:00:00"/>
    <d v="2027-03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0"/>
    <n v="2302600571"/>
    <x v="1"/>
    <n v="0"/>
    <d v="2027-02-08T00:00:00"/>
    <m/>
    <d v="1899-12-30T00:00:00"/>
    <d v="2027-03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1"/>
    <n v="2282600572"/>
    <x v="0"/>
    <n v="0"/>
    <d v="2027-02-09T00:00:00"/>
    <m/>
    <d v="1899-12-30T00:00:00"/>
    <d v="2027-03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2"/>
    <n v="2282600573"/>
    <x v="0"/>
    <n v="0"/>
    <d v="2027-02-09T00:00:00"/>
    <m/>
    <d v="1899-12-30T00:00:00"/>
    <d v="2027-03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3"/>
    <n v="2302600574"/>
    <x v="1"/>
    <n v="0"/>
    <d v="2027-02-09T00:00:00"/>
    <m/>
    <d v="1899-12-30T00:00:00"/>
    <d v="2027-03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4"/>
    <n v="2302600575"/>
    <x v="1"/>
    <n v="0"/>
    <d v="2027-02-10T00:00:00"/>
    <m/>
    <d v="1899-12-30T00:00:00"/>
    <d v="2027-03-1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7"/>
    <x v="575"/>
    <n v="2282600576"/>
    <x v="0"/>
    <n v="0"/>
    <d v="2027-02-10T00:00:00"/>
    <m/>
    <d v="1899-12-30T00:00:00"/>
    <d v="2027-03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76"/>
    <n v="2282600577"/>
    <x v="0"/>
    <n v="0"/>
    <d v="2027-02-10T00:00:00"/>
    <m/>
    <d v="1899-12-30T00:00:00"/>
    <d v="2027-03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77"/>
    <n v="2302600578"/>
    <x v="1"/>
    <n v="0"/>
    <d v="2027-02-11T00:00:00"/>
    <m/>
    <d v="1899-12-30T00:00:00"/>
    <d v="2027-03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78"/>
    <n v="2302600579"/>
    <x v="1"/>
    <n v="0"/>
    <d v="2027-02-11T00:00:00"/>
    <m/>
    <d v="1899-12-30T00:00:00"/>
    <d v="2027-03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79"/>
    <n v="2282600580"/>
    <x v="0"/>
    <n v="0"/>
    <d v="2027-02-11T00:00:00"/>
    <m/>
    <d v="1899-12-30T00:00:00"/>
    <d v="2027-03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0"/>
    <n v="2282600581"/>
    <x v="0"/>
    <n v="0"/>
    <d v="2027-02-12T00:00:00"/>
    <m/>
    <d v="1899-12-30T00:00:00"/>
    <d v="2027-03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1"/>
    <n v="2302600582"/>
    <x v="1"/>
    <n v="0"/>
    <d v="2027-02-12T00:00:00"/>
    <m/>
    <d v="1899-12-30T00:00:00"/>
    <d v="2027-03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2"/>
    <n v="2302600583"/>
    <x v="1"/>
    <n v="0"/>
    <d v="2027-02-12T00:00:00"/>
    <m/>
    <d v="1899-12-30T00:00:00"/>
    <d v="2027-03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3"/>
    <n v="2282600584"/>
    <x v="0"/>
    <n v="0"/>
    <d v="2027-02-15T00:00:00"/>
    <m/>
    <d v="1899-12-30T00:00:00"/>
    <d v="2027-03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4"/>
    <n v="2282600585"/>
    <x v="0"/>
    <n v="0"/>
    <d v="2027-02-15T00:00:00"/>
    <m/>
    <d v="1899-12-30T00:00:00"/>
    <d v="2027-03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5"/>
    <n v="2302600586"/>
    <x v="1"/>
    <n v="0"/>
    <d v="2027-02-15T00:00:00"/>
    <m/>
    <d v="1899-12-30T00:00:00"/>
    <d v="2027-03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6"/>
    <n v="2302600587"/>
    <x v="1"/>
    <n v="0"/>
    <d v="2027-02-16T00:00:00"/>
    <m/>
    <d v="1899-12-30T00:00:00"/>
    <d v="2027-03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7"/>
    <n v="2282600588"/>
    <x v="0"/>
    <n v="0"/>
    <d v="2027-02-16T00:00:00"/>
    <m/>
    <d v="1899-12-30T00:00:00"/>
    <d v="2027-03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8"/>
    <n v="2282600589"/>
    <x v="0"/>
    <n v="0"/>
    <d v="2027-02-16T00:00:00"/>
    <m/>
    <d v="1899-12-30T00:00:00"/>
    <d v="2027-03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89"/>
    <n v="2302600590"/>
    <x v="1"/>
    <n v="0"/>
    <d v="2027-02-17T00:00:00"/>
    <m/>
    <d v="1899-12-30T00:00:00"/>
    <d v="2027-03-1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0"/>
    <n v="2302600591"/>
    <x v="1"/>
    <n v="0"/>
    <d v="2027-02-17T00:00:00"/>
    <m/>
    <d v="1899-12-30T00:00:00"/>
    <d v="2027-03-1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1"/>
    <n v="2282600592"/>
    <x v="0"/>
    <n v="0"/>
    <d v="2027-02-17T00:00:00"/>
    <m/>
    <d v="1899-12-30T00:00:00"/>
    <d v="2027-03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2"/>
    <n v="2282600593"/>
    <x v="0"/>
    <n v="0"/>
    <d v="2027-02-18T00:00:00"/>
    <m/>
    <d v="1899-12-30T00:00:00"/>
    <d v="2027-03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3"/>
    <n v="2302600594"/>
    <x v="1"/>
    <n v="0"/>
    <d v="2027-02-18T00:00:00"/>
    <m/>
    <d v="1899-12-30T00:00:00"/>
    <d v="2027-03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4"/>
    <n v="2302600595"/>
    <x v="1"/>
    <n v="0"/>
    <d v="2027-02-18T00:00:00"/>
    <m/>
    <d v="1899-12-30T00:00:00"/>
    <d v="2027-03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5"/>
    <n v="2282600596"/>
    <x v="0"/>
    <n v="0"/>
    <d v="2027-02-19T00:00:00"/>
    <m/>
    <d v="1899-12-30T00:00:00"/>
    <d v="2027-03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6"/>
    <n v="2282600597"/>
    <x v="0"/>
    <n v="0"/>
    <d v="2027-02-19T00:00:00"/>
    <m/>
    <d v="1899-12-30T00:00:00"/>
    <d v="2027-03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7"/>
    <n v="2302600598"/>
    <x v="1"/>
    <n v="0"/>
    <d v="2027-02-19T00:00:00"/>
    <m/>
    <d v="1899-12-30T00:00:00"/>
    <d v="2027-03-2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8"/>
    <n v="2302600599"/>
    <x v="1"/>
    <n v="0"/>
    <d v="2027-02-22T00:00:00"/>
    <m/>
    <d v="1899-12-30T00:00:00"/>
    <d v="2027-03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599"/>
    <n v="2282600600"/>
    <x v="0"/>
    <n v="0"/>
    <d v="2027-02-22T00:00:00"/>
    <m/>
    <d v="1899-12-30T00:00:00"/>
    <d v="2027-03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0"/>
    <n v="2282600601"/>
    <x v="0"/>
    <n v="0"/>
    <d v="2027-02-22T00:00:00"/>
    <m/>
    <d v="1899-12-30T00:00:00"/>
    <d v="2027-03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1"/>
    <n v="2302600602"/>
    <x v="1"/>
    <n v="0"/>
    <d v="2027-02-23T00:00:00"/>
    <m/>
    <d v="1899-12-30T00:00:00"/>
    <d v="2027-03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2"/>
    <n v="2302600603"/>
    <x v="1"/>
    <n v="0"/>
    <d v="2027-02-23T00:00:00"/>
    <m/>
    <d v="1899-12-30T00:00:00"/>
    <d v="2027-03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3"/>
    <n v="2282600604"/>
    <x v="0"/>
    <n v="0"/>
    <d v="2027-02-23T00:00:00"/>
    <m/>
    <d v="1899-12-30T00:00:00"/>
    <d v="2027-03-1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4"/>
    <n v="2282600605"/>
    <x v="0"/>
    <n v="0"/>
    <d v="2027-02-24T00:00:00"/>
    <m/>
    <d v="1899-12-30T00:00:00"/>
    <d v="2027-03-1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5"/>
    <n v="2302600606"/>
    <x v="1"/>
    <n v="0"/>
    <d v="2027-02-24T00:00:00"/>
    <m/>
    <d v="1899-12-30T00:00:00"/>
    <d v="2027-03-2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6"/>
    <n v="2302600607"/>
    <x v="1"/>
    <n v="0"/>
    <d v="2027-02-24T00:00:00"/>
    <m/>
    <d v="1899-12-30T00:00:00"/>
    <d v="2027-03-2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8"/>
    <x v="607"/>
    <n v="2282600608"/>
    <x v="0"/>
    <n v="0"/>
    <d v="2027-02-25T00:00:00"/>
    <m/>
    <d v="1899-12-30T00:00:00"/>
    <d v="2027-03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08"/>
    <n v="2282600609"/>
    <x v="0"/>
    <n v="0"/>
    <d v="2027-02-25T00:00:00"/>
    <m/>
    <d v="1899-12-30T00:00:00"/>
    <d v="2027-03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09"/>
    <n v="2302600610"/>
    <x v="1"/>
    <n v="0"/>
    <d v="2027-02-25T00:00:00"/>
    <m/>
    <d v="1899-12-30T00:00:00"/>
    <d v="2027-03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0"/>
    <n v="2302600611"/>
    <x v="1"/>
    <n v="0"/>
    <d v="2027-02-26T00:00:00"/>
    <m/>
    <d v="1899-12-30T00:00:00"/>
    <d v="2027-03-2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1"/>
    <n v="2282600612"/>
    <x v="0"/>
    <n v="0"/>
    <d v="2027-02-26T00:00:00"/>
    <m/>
    <d v="1899-12-30T00:00:00"/>
    <d v="2027-03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2"/>
    <n v="2282600613"/>
    <x v="0"/>
    <n v="0"/>
    <d v="2027-02-26T00:00:00"/>
    <m/>
    <d v="1899-12-30T00:00:00"/>
    <d v="2027-03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3"/>
    <n v="2302600614"/>
    <x v="1"/>
    <n v="0"/>
    <d v="2027-03-01T00:00:00"/>
    <m/>
    <d v="1899-12-30T00:00:00"/>
    <d v="2027-03-3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4"/>
    <n v="2302600615"/>
    <x v="1"/>
    <n v="0"/>
    <d v="2027-03-01T00:00:00"/>
    <m/>
    <d v="1899-12-30T00:00:00"/>
    <d v="2027-03-3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5"/>
    <n v="2282600616"/>
    <x v="0"/>
    <n v="0"/>
    <d v="2027-03-01T00:00:00"/>
    <m/>
    <d v="1899-12-30T00:00:00"/>
    <d v="2027-03-2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6"/>
    <n v="2282600617"/>
    <x v="0"/>
    <n v="0"/>
    <d v="2027-03-02T00:00:00"/>
    <m/>
    <d v="1899-12-30T00:00:00"/>
    <d v="2027-03-2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7"/>
    <n v="2302600618"/>
    <x v="1"/>
    <n v="0"/>
    <d v="2027-03-02T00:00:00"/>
    <m/>
    <d v="1899-12-30T00:00:00"/>
    <d v="2027-04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8"/>
    <n v="2302600619"/>
    <x v="1"/>
    <n v="0"/>
    <d v="2027-03-02T00:00:00"/>
    <m/>
    <d v="1899-12-30T00:00:00"/>
    <d v="2027-04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19"/>
    <n v="2282600620"/>
    <x v="0"/>
    <n v="0"/>
    <d v="2027-03-03T00:00:00"/>
    <m/>
    <d v="1899-12-30T00:00:00"/>
    <d v="2027-03-2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0"/>
    <n v="2282600621"/>
    <x v="0"/>
    <n v="0"/>
    <d v="2027-03-03T00:00:00"/>
    <m/>
    <d v="1899-12-30T00:00:00"/>
    <d v="2027-03-2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1"/>
    <n v="2302600622"/>
    <x v="1"/>
    <n v="0"/>
    <d v="2027-03-03T00:00:00"/>
    <m/>
    <d v="1899-12-30T00:00:00"/>
    <d v="2027-04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2"/>
    <n v="2302600623"/>
    <x v="1"/>
    <n v="0"/>
    <d v="2027-03-04T00:00:00"/>
    <m/>
    <d v="1899-12-30T00:00:00"/>
    <d v="2027-04-0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3"/>
    <n v="2282600624"/>
    <x v="0"/>
    <n v="0"/>
    <d v="2027-03-04T00:00:00"/>
    <m/>
    <d v="1899-12-30T00:00:00"/>
    <d v="2027-03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4"/>
    <n v="2282600625"/>
    <x v="0"/>
    <n v="0"/>
    <d v="2027-03-04T00:00:00"/>
    <m/>
    <d v="1899-12-30T00:00:00"/>
    <d v="2027-03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5"/>
    <n v="2302600626"/>
    <x v="1"/>
    <n v="0"/>
    <d v="2027-03-05T00:00:00"/>
    <m/>
    <d v="1899-12-30T00:00:00"/>
    <d v="2027-04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6"/>
    <n v="2302600627"/>
    <x v="1"/>
    <n v="0"/>
    <d v="2027-03-05T00:00:00"/>
    <m/>
    <d v="1899-12-30T00:00:00"/>
    <d v="2027-04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7"/>
    <n v="2282600628"/>
    <x v="0"/>
    <n v="0"/>
    <d v="2027-03-05T00:00:00"/>
    <m/>
    <d v="1899-12-30T00:00:00"/>
    <d v="2027-03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8"/>
    <n v="2282600629"/>
    <x v="0"/>
    <n v="0"/>
    <d v="2027-03-08T00:00:00"/>
    <m/>
    <d v="1899-12-30T00:00:00"/>
    <d v="2027-03-2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29"/>
    <n v="2302600630"/>
    <x v="1"/>
    <n v="0"/>
    <d v="2027-03-08T00:00:00"/>
    <m/>
    <d v="1899-12-30T00:00:00"/>
    <d v="2027-04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0"/>
    <n v="2302600631"/>
    <x v="1"/>
    <n v="0"/>
    <d v="2027-03-08T00:00:00"/>
    <m/>
    <d v="1899-12-30T00:00:00"/>
    <d v="2027-04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1"/>
    <n v="2282600632"/>
    <x v="0"/>
    <n v="0"/>
    <d v="2027-03-09T00:00:00"/>
    <m/>
    <d v="1899-12-30T00:00:00"/>
    <d v="2027-03-2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2"/>
    <n v="2282600633"/>
    <x v="0"/>
    <n v="0"/>
    <d v="2027-03-09T00:00:00"/>
    <m/>
    <d v="1899-12-30T00:00:00"/>
    <d v="2027-03-2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3"/>
    <n v="2302600634"/>
    <x v="1"/>
    <n v="0"/>
    <d v="2027-03-09T00:00:00"/>
    <m/>
    <d v="1899-12-30T00:00:00"/>
    <d v="2027-04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4"/>
    <n v="2302600635"/>
    <x v="1"/>
    <n v="0"/>
    <d v="2027-03-10T00:00:00"/>
    <m/>
    <d v="1899-12-30T00:00:00"/>
    <d v="2027-04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5"/>
    <n v="2282600636"/>
    <x v="0"/>
    <n v="0"/>
    <d v="2027-03-10T00:00:00"/>
    <m/>
    <d v="1899-12-30T00:00:00"/>
    <d v="2027-03-3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6"/>
    <n v="2282600637"/>
    <x v="0"/>
    <n v="0"/>
    <d v="2027-03-10T00:00:00"/>
    <m/>
    <d v="1899-12-30T00:00:00"/>
    <d v="2027-03-3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7"/>
    <n v="2302600638"/>
    <x v="1"/>
    <n v="0"/>
    <d v="2027-03-11T00:00:00"/>
    <m/>
    <d v="1899-12-30T00:00:00"/>
    <d v="2027-04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8"/>
    <n v="2302600639"/>
    <x v="1"/>
    <n v="0"/>
    <d v="2027-03-11T00:00:00"/>
    <m/>
    <d v="1899-12-30T00:00:00"/>
    <d v="2027-04-1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19"/>
    <x v="639"/>
    <n v="2282600640"/>
    <x v="0"/>
    <n v="0"/>
    <d v="2027-03-11T00:00:00"/>
    <m/>
    <d v="1899-12-30T00:00:00"/>
    <d v="2027-03-3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0"/>
    <n v="2282600641"/>
    <x v="0"/>
    <n v="0"/>
    <d v="2027-03-12T00:00:00"/>
    <m/>
    <d v="1899-12-30T00:00:00"/>
    <d v="2027-04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1"/>
    <n v="2302600642"/>
    <x v="1"/>
    <n v="0"/>
    <d v="2027-03-12T00:00:00"/>
    <m/>
    <d v="1899-12-30T00:00:00"/>
    <d v="2027-04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2"/>
    <n v="2302600643"/>
    <x v="1"/>
    <n v="0"/>
    <d v="2027-03-12T00:00:00"/>
    <m/>
    <d v="1899-12-30T00:00:00"/>
    <d v="2027-04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3"/>
    <n v="2282600644"/>
    <x v="0"/>
    <n v="0"/>
    <d v="2027-03-15T00:00:00"/>
    <m/>
    <d v="1899-12-30T00:00:00"/>
    <d v="2027-04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4"/>
    <n v="2282600645"/>
    <x v="0"/>
    <n v="0"/>
    <d v="2027-03-15T00:00:00"/>
    <m/>
    <d v="1899-12-30T00:00:00"/>
    <d v="2027-04-0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5"/>
    <n v="2302600646"/>
    <x v="1"/>
    <n v="0"/>
    <d v="2027-03-15T00:00:00"/>
    <m/>
    <d v="1899-12-30T00:00:00"/>
    <d v="2027-04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6"/>
    <n v="2302600647"/>
    <x v="1"/>
    <n v="0"/>
    <d v="2027-03-16T00:00:00"/>
    <m/>
    <d v="1899-12-30T00:00:00"/>
    <d v="2027-04-1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7"/>
    <n v="2282600648"/>
    <x v="0"/>
    <n v="0"/>
    <d v="2027-03-16T00:00:00"/>
    <m/>
    <d v="1899-12-30T00:00:00"/>
    <d v="2027-04-0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8"/>
    <n v="2282600649"/>
    <x v="0"/>
    <n v="0"/>
    <d v="2027-03-16T00:00:00"/>
    <m/>
    <d v="1899-12-30T00:00:00"/>
    <d v="2027-04-0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49"/>
    <n v="2302600650"/>
    <x v="1"/>
    <n v="0"/>
    <d v="2027-03-17T00:00:00"/>
    <m/>
    <d v="1899-12-30T00:00:00"/>
    <d v="2027-04-1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0"/>
    <n v="2302600651"/>
    <x v="1"/>
    <n v="0"/>
    <d v="2027-03-17T00:00:00"/>
    <m/>
    <d v="1899-12-30T00:00:00"/>
    <d v="2027-04-1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1"/>
    <n v="2282600652"/>
    <x v="0"/>
    <n v="0"/>
    <d v="2027-03-17T00:00:00"/>
    <m/>
    <d v="1899-12-30T00:00:00"/>
    <d v="2027-04-0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2"/>
    <n v="2282600653"/>
    <x v="0"/>
    <n v="0"/>
    <d v="2027-03-18T00:00:00"/>
    <m/>
    <d v="1899-12-30T00:00:00"/>
    <d v="2027-04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3"/>
    <n v="2302600654"/>
    <x v="1"/>
    <n v="0"/>
    <d v="2027-03-18T00:00:00"/>
    <m/>
    <d v="1899-12-30T00:00:00"/>
    <d v="2027-04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4"/>
    <n v="2302600655"/>
    <x v="1"/>
    <n v="0"/>
    <d v="2027-03-18T00:00:00"/>
    <m/>
    <d v="1899-12-30T00:00:00"/>
    <d v="2027-04-1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5"/>
    <n v="2282600656"/>
    <x v="0"/>
    <n v="0"/>
    <d v="2027-03-19T00:00:00"/>
    <m/>
    <d v="1899-12-30T00:00:00"/>
    <d v="2027-04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6"/>
    <n v="2282600657"/>
    <x v="0"/>
    <n v="0"/>
    <d v="2027-03-19T00:00:00"/>
    <m/>
    <d v="1899-12-30T00:00:00"/>
    <d v="2027-04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7"/>
    <n v="2302600658"/>
    <x v="1"/>
    <n v="0"/>
    <d v="2027-03-19T00:00:00"/>
    <m/>
    <d v="1899-12-30T00:00:00"/>
    <d v="2027-04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8"/>
    <n v="2302600659"/>
    <x v="1"/>
    <n v="0"/>
    <d v="2027-03-22T00:00:00"/>
    <m/>
    <d v="1899-12-30T00:00:00"/>
    <d v="2027-04-2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59"/>
    <n v="2282600660"/>
    <x v="0"/>
    <n v="0"/>
    <d v="2027-03-22T00:00:00"/>
    <m/>
    <d v="1899-12-30T00:00:00"/>
    <d v="2027-04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0"/>
    <n v="2282600661"/>
    <x v="0"/>
    <n v="0"/>
    <d v="2027-03-22T00:00:00"/>
    <m/>
    <d v="1899-12-30T00:00:00"/>
    <d v="2027-04-1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1"/>
    <n v="2302600662"/>
    <x v="1"/>
    <n v="0"/>
    <d v="2027-03-23T00:00:00"/>
    <m/>
    <d v="1899-12-30T00:00:00"/>
    <d v="2027-04-2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2"/>
    <n v="2302600663"/>
    <x v="1"/>
    <n v="0"/>
    <d v="2027-03-23T00:00:00"/>
    <m/>
    <d v="1899-12-30T00:00:00"/>
    <d v="2027-04-2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3"/>
    <n v="2282600664"/>
    <x v="0"/>
    <n v="0"/>
    <d v="2027-03-23T00:00:00"/>
    <m/>
    <d v="1899-12-30T00:00:00"/>
    <d v="2027-04-1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4"/>
    <n v="2282600665"/>
    <x v="0"/>
    <n v="0"/>
    <d v="2027-03-24T00:00:00"/>
    <m/>
    <d v="1899-12-30T00:00:00"/>
    <d v="2027-04-1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5"/>
    <n v="2302600666"/>
    <x v="1"/>
    <n v="0"/>
    <d v="2027-03-24T00:00:00"/>
    <m/>
    <d v="1899-12-30T00:00:00"/>
    <d v="2027-04-2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6"/>
    <n v="2302600667"/>
    <x v="1"/>
    <n v="0"/>
    <d v="2027-03-24T00:00:00"/>
    <m/>
    <d v="1899-12-30T00:00:00"/>
    <d v="2027-04-23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7"/>
    <n v="2282600668"/>
    <x v="0"/>
    <n v="0"/>
    <d v="2027-03-25T00:00:00"/>
    <m/>
    <d v="1899-12-30T00:00:00"/>
    <d v="2027-04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8"/>
    <n v="2282600669"/>
    <x v="0"/>
    <n v="0"/>
    <d v="2027-03-25T00:00:00"/>
    <m/>
    <d v="1899-12-30T00:00:00"/>
    <d v="2027-04-1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69"/>
    <n v="2302600670"/>
    <x v="1"/>
    <n v="0"/>
    <d v="2027-03-25T00:00:00"/>
    <m/>
    <d v="1899-12-30T00:00:00"/>
    <d v="2027-04-24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70"/>
    <n v="2302600671"/>
    <x v="1"/>
    <n v="0"/>
    <d v="2027-03-26T00:00:00"/>
    <m/>
    <d v="1899-12-30T00:00:00"/>
    <d v="2027-04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0"/>
    <x v="671"/>
    <n v="2282600672"/>
    <x v="0"/>
    <n v="0"/>
    <d v="2027-03-26T00:00:00"/>
    <m/>
    <d v="1899-12-30T00:00:00"/>
    <d v="2027-04-1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2"/>
    <n v="2282600673"/>
    <x v="0"/>
    <n v="0"/>
    <d v="2027-03-26T00:00:00"/>
    <m/>
    <d v="1899-12-30T00:00:00"/>
    <d v="2027-04-1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3"/>
    <n v="2302600674"/>
    <x v="1"/>
    <n v="0"/>
    <d v="2027-03-29T00:00:00"/>
    <m/>
    <d v="1899-12-30T00:00:00"/>
    <d v="2027-04-2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4"/>
    <n v="2302600675"/>
    <x v="1"/>
    <n v="0"/>
    <d v="2027-03-29T00:00:00"/>
    <m/>
    <d v="1899-12-30T00:00:00"/>
    <d v="2027-04-2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5"/>
    <n v="2282600676"/>
    <x v="0"/>
    <n v="0"/>
    <d v="2027-03-29T00:00:00"/>
    <m/>
    <d v="1899-12-30T00:00:00"/>
    <d v="2027-04-1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6"/>
    <n v="2282600677"/>
    <x v="0"/>
    <n v="0"/>
    <d v="2027-03-30T00:00:00"/>
    <m/>
    <d v="1899-12-30T00:00:00"/>
    <d v="2027-04-1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7"/>
    <n v="2302600678"/>
    <x v="1"/>
    <n v="0"/>
    <d v="2027-03-30T00:00:00"/>
    <m/>
    <d v="1899-12-30T00:00:00"/>
    <d v="2027-04-2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8"/>
    <n v="2302600679"/>
    <x v="1"/>
    <n v="0"/>
    <d v="2027-03-30T00:00:00"/>
    <m/>
    <d v="1899-12-30T00:00:00"/>
    <d v="2027-04-2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79"/>
    <n v="2282600680"/>
    <x v="0"/>
    <n v="0"/>
    <d v="2027-03-31T00:00:00"/>
    <m/>
    <d v="1899-12-30T00:00:00"/>
    <d v="2027-04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0"/>
    <n v="2282600681"/>
    <x v="0"/>
    <n v="0"/>
    <d v="2027-03-31T00:00:00"/>
    <m/>
    <d v="1899-12-30T00:00:00"/>
    <d v="2027-04-2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1"/>
    <n v="2302600682"/>
    <x v="1"/>
    <n v="0"/>
    <d v="2027-03-31T00:00:00"/>
    <m/>
    <d v="1899-12-30T00:00:00"/>
    <d v="2027-04-30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2"/>
    <n v="2302600683"/>
    <x v="1"/>
    <n v="0"/>
    <d v="2027-04-01T00:00:00"/>
    <m/>
    <d v="1899-12-30T00:00:00"/>
    <d v="2027-05-0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3"/>
    <n v="2282600684"/>
    <x v="0"/>
    <n v="0"/>
    <d v="2027-04-01T00:00:00"/>
    <m/>
    <d v="1899-12-30T00:00:00"/>
    <d v="2027-04-2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4"/>
    <n v="2282600685"/>
    <x v="0"/>
    <n v="0"/>
    <d v="2027-04-01T00:00:00"/>
    <m/>
    <d v="1899-12-30T00:00:00"/>
    <d v="2027-04-21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5"/>
    <n v="2302600686"/>
    <x v="1"/>
    <n v="0"/>
    <d v="2027-04-02T00:00:00"/>
    <m/>
    <d v="1899-12-30T00:00:00"/>
    <d v="2027-05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6"/>
    <n v="2302600687"/>
    <x v="1"/>
    <n v="0"/>
    <d v="2027-04-02T00:00:00"/>
    <m/>
    <d v="1899-12-30T00:00:00"/>
    <d v="2027-05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7"/>
    <n v="2282600688"/>
    <x v="0"/>
    <n v="0"/>
    <d v="2027-04-02T00:00:00"/>
    <m/>
    <d v="1899-12-30T00:00:00"/>
    <d v="2027-04-2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8"/>
    <n v="2282600689"/>
    <x v="0"/>
    <n v="0"/>
    <d v="2027-04-05T00:00:00"/>
    <m/>
    <d v="1899-12-30T00:00:00"/>
    <d v="2027-04-2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89"/>
    <n v="2302600690"/>
    <x v="1"/>
    <n v="0"/>
    <d v="2027-04-05T00:00:00"/>
    <m/>
    <d v="1899-12-30T00:00:00"/>
    <d v="2027-05-0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0"/>
    <n v="2302600691"/>
    <x v="1"/>
    <n v="0"/>
    <d v="2027-04-05T00:00:00"/>
    <m/>
    <d v="1899-12-30T00:00:00"/>
    <d v="2027-05-05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1"/>
    <n v="2282600692"/>
    <x v="0"/>
    <n v="0"/>
    <d v="2027-04-06T00:00:00"/>
    <m/>
    <d v="1899-12-30T00:00:00"/>
    <d v="2027-04-2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2"/>
    <n v="2282600693"/>
    <x v="0"/>
    <n v="0"/>
    <d v="2027-04-06T00:00:00"/>
    <m/>
    <d v="1899-12-30T00:00:00"/>
    <d v="2027-04-2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3"/>
    <n v="2302600694"/>
    <x v="1"/>
    <n v="0"/>
    <d v="2027-04-06T00:00:00"/>
    <m/>
    <d v="1899-12-30T00:00:00"/>
    <d v="2027-05-06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4"/>
    <n v="2302600695"/>
    <x v="1"/>
    <n v="0"/>
    <d v="2027-04-07T00:00:00"/>
    <m/>
    <d v="1899-12-30T00:00:00"/>
    <d v="2027-05-0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5"/>
    <n v="2282600696"/>
    <x v="0"/>
    <n v="0"/>
    <d v="2027-04-07T00:00:00"/>
    <m/>
    <d v="1899-12-30T00:00:00"/>
    <d v="2027-04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6"/>
    <n v="2282600697"/>
    <x v="0"/>
    <n v="0"/>
    <d v="2027-04-07T00:00:00"/>
    <m/>
    <d v="1899-12-30T00:00:00"/>
    <d v="2027-04-27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7"/>
    <n v="2302600698"/>
    <x v="1"/>
    <n v="0"/>
    <d v="2027-04-08T00:00:00"/>
    <m/>
    <d v="1899-12-30T00:00:00"/>
    <d v="2027-05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8"/>
    <n v="2302600699"/>
    <x v="1"/>
    <n v="0"/>
    <d v="2027-04-08T00:00:00"/>
    <m/>
    <d v="1899-12-30T00:00:00"/>
    <d v="2027-05-0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699"/>
    <n v="2282600700"/>
    <x v="0"/>
    <n v="0"/>
    <d v="2027-04-08T00:00:00"/>
    <m/>
    <d v="1899-12-30T00:00:00"/>
    <d v="2027-04-28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700"/>
    <n v="2282600701"/>
    <x v="0"/>
    <n v="0"/>
    <d v="2027-04-09T00:00:00"/>
    <m/>
    <d v="1899-12-30T00:00:00"/>
    <d v="2027-04-2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701"/>
    <n v="2302600702"/>
    <x v="1"/>
    <n v="0"/>
    <d v="2027-04-09T00:00:00"/>
    <m/>
    <d v="1899-12-30T00:00:00"/>
    <d v="2027-05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702"/>
    <n v="2302600703"/>
    <x v="1"/>
    <n v="0"/>
    <d v="2027-04-09T00:00:00"/>
    <m/>
    <d v="1899-12-30T00:00:00"/>
    <d v="2027-05-09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3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  <r>
    <x v="21"/>
    <x v="703"/>
    <n v="2282600704"/>
    <x v="0"/>
    <n v="0"/>
    <d v="2027-04-12T00:00:00"/>
    <m/>
    <d v="1899-12-30T00:00:00"/>
    <d v="2027-05-02T00:00:00"/>
    <x v="8"/>
    <m/>
    <n v="0"/>
    <n v="0"/>
    <n v="0"/>
    <n v="0"/>
    <n v="0"/>
    <n v="0"/>
    <n v="0"/>
    <n v="0"/>
    <x v="4"/>
    <n v="0"/>
    <n v="0"/>
    <n v="0"/>
    <n v="0"/>
    <n v="0"/>
    <n v="0"/>
    <n v="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87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s v="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"/>
    <s v="OBRA GRUESA, SANITARIOS, ELÉCTRICO, TERMINACIONES"/>
    <n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776B7-3412-425B-85DC-DD751132C727}" name="TablaDinámica1" cacheId="3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outline="1" outlineData="1" compactData="0" multipleFieldFilters="0">
  <location ref="B10:J68" firstHeaderRow="0" firstDataRow="1" firstDataCol="3" rowPageCount="1" colPageCount="1"/>
  <pivotFields count="100">
    <pivotField axis="axisRow" compact="0" showAll="0" defaultSubtotal="0">
      <items count="22">
        <item x="0"/>
        <item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compact="0" showAll="0" defaultSubtotal="0">
      <items count="704">
        <item x="0"/>
        <item x="1"/>
        <item x="2"/>
        <item x="3"/>
        <item x="4"/>
        <item x="5"/>
        <item h="1"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</items>
    </pivotField>
    <pivotField compact="0" showAll="0" defaultSubtotal="0"/>
    <pivotField axis="axisRow" compact="0" showAll="0" defaultSubtotal="0">
      <items count="2">
        <item x="1"/>
        <item x="0"/>
      </items>
    </pivotField>
    <pivotField dataField="1" compact="0" numFmtId="9" showAll="0" defaultSubtotal="0"/>
    <pivotField compact="0" numFmtId="14" showAll="0" defaultSubtotal="0"/>
    <pivotField compact="0" showAll="0" defaultSubtotal="0"/>
    <pivotField compact="0" numFmtId="14" showAll="0" defaultSubtotal="0"/>
    <pivotField compact="0" numFmtId="14" showAll="0" defaultSubtotal="0"/>
    <pivotField compact="0" showAll="0" defaultSubtotal="0">
      <items count="37">
        <item m="1" x="18"/>
        <item m="1" x="9"/>
        <item m="1" x="10"/>
        <item x="1"/>
        <item x="2"/>
        <item x="3"/>
        <item x="5"/>
        <item x="6"/>
        <item m="1" x="16"/>
        <item m="1" x="12"/>
        <item m="1" x="20"/>
        <item m="1" x="11"/>
        <item x="7"/>
        <item m="1" x="14"/>
        <item x="4"/>
        <item m="1" x="24"/>
        <item m="1" x="15"/>
        <item m="1" x="22"/>
        <item m="1" x="34"/>
        <item m="1" x="32"/>
        <item m="1" x="35"/>
        <item m="1" x="30"/>
        <item m="1" x="28"/>
        <item m="1" x="26"/>
        <item m="1" x="19"/>
        <item m="1" x="36"/>
        <item m="1" x="33"/>
        <item m="1" x="31"/>
        <item m="1" x="29"/>
        <item m="1" x="27"/>
        <item m="1" x="25"/>
        <item m="1" x="23"/>
        <item m="1" x="21"/>
        <item m="1" x="17"/>
        <item m="1" x="13"/>
        <item x="8"/>
        <item x="0"/>
      </items>
    </pivotField>
    <pivotField compact="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subtotalTop="0" showAll="0" defaultSubtotal="0"/>
    <pivotField axis="axisPage" compact="0" showAll="0" defaultSubtotal="0">
      <items count="3">
        <item x="2"/>
        <item x="0"/>
        <item x="1"/>
      </items>
    </pivotField>
    <pivotField dataField="1" compact="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41" subtotalTop="0" showAll="0" defaultSubtotal="0">
      <items count="71">
        <item m="1" x="69"/>
        <item m="1" x="70"/>
        <item m="1" x="66"/>
        <item m="1" x="68"/>
        <item m="1" x="67"/>
        <item m="1" x="65"/>
        <item m="1" x="64"/>
        <item m="1" x="63"/>
        <item m="1" x="62"/>
        <item m="1" x="61"/>
        <item m="1" x="58"/>
        <item m="1" x="57"/>
        <item m="1" x="56"/>
        <item m="1" x="55"/>
        <item m="1" x="54"/>
        <item m="1" x="59"/>
        <item m="1" x="60"/>
        <item m="1" x="53"/>
        <item m="1" x="52"/>
        <item x="30"/>
        <item x="29"/>
        <item m="1" x="51"/>
        <item m="1" x="50"/>
        <item x="27"/>
        <item m="1" x="49"/>
        <item x="25"/>
        <item x="24"/>
        <item x="23"/>
        <item m="1" x="47"/>
        <item x="31"/>
        <item x="22"/>
        <item x="0"/>
        <item x="20"/>
        <item x="28"/>
        <item x="26"/>
        <item x="19"/>
        <item x="18"/>
        <item x="16"/>
        <item x="15"/>
        <item x="13"/>
        <item m="1" x="46"/>
        <item x="21"/>
        <item x="12"/>
        <item x="9"/>
        <item x="8"/>
        <item x="5"/>
        <item x="4"/>
        <item x="17"/>
        <item x="14"/>
        <item x="3"/>
        <item x="2"/>
        <item m="1" x="32"/>
        <item x="11"/>
        <item x="10"/>
        <item x="7"/>
        <item x="6"/>
        <item m="1" x="45"/>
        <item m="1" x="44"/>
        <item m="1" x="39"/>
        <item m="1" x="43"/>
        <item x="1"/>
        <item m="1" x="33"/>
        <item m="1" x="36"/>
        <item m="1" x="42"/>
        <item m="1" x="41"/>
        <item m="1" x="34"/>
        <item m="1" x="48"/>
        <item m="1" x="40"/>
        <item m="1" x="38"/>
        <item m="1" x="37"/>
        <item m="1" x="35"/>
      </items>
    </pivotField>
    <pivotField compact="0" subtotalTop="0" showAll="0" defaultSubtotal="0"/>
    <pivotField compact="0" subtotalTop="0" showAll="0" defaultSubtotal="0"/>
    <pivotField compact="0" numFmtId="1" subtotalTop="0" showAll="0" defaultSubtotal="0"/>
  </pivotFields>
  <rowFields count="3">
    <field x="0"/>
    <field x="3"/>
    <field x="1"/>
  </rowFields>
  <rowItems count="58">
    <i>
      <x v="3"/>
    </i>
    <i r="1">
      <x/>
    </i>
    <i r="2">
      <x v="101"/>
    </i>
    <i r="2">
      <x v="102"/>
    </i>
    <i r="2">
      <x v="105"/>
    </i>
    <i r="2">
      <x v="106"/>
    </i>
    <i r="2">
      <x v="109"/>
    </i>
    <i r="2">
      <x v="110"/>
    </i>
    <i r="2">
      <x v="113"/>
    </i>
    <i r="2">
      <x v="114"/>
    </i>
    <i r="2">
      <x v="117"/>
    </i>
    <i r="2">
      <x v="118"/>
    </i>
    <i r="2">
      <x v="121"/>
    </i>
    <i r="2">
      <x v="122"/>
    </i>
    <i r="2">
      <x v="125"/>
    </i>
    <i r="2">
      <x v="126"/>
    </i>
    <i r="1">
      <x v="1"/>
    </i>
    <i r="2">
      <x v="100"/>
    </i>
    <i r="2">
      <x v="107"/>
    </i>
    <i r="2">
      <x v="108"/>
    </i>
    <i r="2">
      <x v="111"/>
    </i>
    <i r="2">
      <x v="112"/>
    </i>
    <i r="2">
      <x v="115"/>
    </i>
    <i r="2">
      <x v="116"/>
    </i>
    <i r="2">
      <x v="119"/>
    </i>
    <i r="2">
      <x v="120"/>
    </i>
    <i r="2">
      <x v="123"/>
    </i>
    <i r="2">
      <x v="124"/>
    </i>
    <i r="2">
      <x v="127"/>
    </i>
    <i>
      <x v="4"/>
    </i>
    <i r="1">
      <x/>
    </i>
    <i r="2">
      <x v="129"/>
    </i>
    <i r="2">
      <x v="130"/>
    </i>
    <i r="2">
      <x v="133"/>
    </i>
    <i r="2">
      <x v="134"/>
    </i>
    <i r="2">
      <x v="137"/>
    </i>
    <i r="2">
      <x v="138"/>
    </i>
    <i r="2">
      <x v="141"/>
    </i>
    <i r="2">
      <x v="142"/>
    </i>
    <i r="2">
      <x v="145"/>
    </i>
    <i r="2">
      <x v="146"/>
    </i>
    <i r="2">
      <x v="149"/>
    </i>
    <i r="2">
      <x v="150"/>
    </i>
    <i r="1">
      <x v="1"/>
    </i>
    <i r="2">
      <x v="128"/>
    </i>
    <i r="2">
      <x v="131"/>
    </i>
    <i r="2">
      <x v="132"/>
    </i>
    <i r="2">
      <x v="135"/>
    </i>
    <i r="2">
      <x v="136"/>
    </i>
    <i r="2">
      <x v="139"/>
    </i>
    <i r="2">
      <x v="140"/>
    </i>
    <i r="2">
      <x v="143"/>
    </i>
    <i r="2">
      <x v="144"/>
    </i>
    <i r="2">
      <x v="147"/>
    </i>
    <i r="2">
      <x v="148"/>
    </i>
    <i r="2">
      <x v="151"/>
    </i>
    <i r="2">
      <x v="152"/>
    </i>
    <i r="2">
      <x v="159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57" item="2" hier="-1"/>
  </pageFields>
  <dataFields count="6">
    <dataField name=" OBRA GRUESA" fld="12" baseField="1" baseItem="22" numFmtId="10"/>
    <dataField name=" SANITARIO" fld="19" baseField="1" baseItem="22" numFmtId="10"/>
    <dataField name=" ELÉCTRICO" fld="27" baseField="1" baseItem="22" numFmtId="10"/>
    <dataField name="VENTANAS " fld="58" baseField="0" baseItem="0" numFmtId="10"/>
    <dataField name=" TERMINACIONES" fld="34" baseField="0" baseItem="0" numFmtId="10"/>
    <dataField name="AVANCE TOTAL" fld="4" baseField="1" baseItem="37" numFmtId="9"/>
  </dataFields>
  <formats count="2">
    <format dxfId="325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324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</formats>
  <conditionalFormats count="2">
    <conditionalFormat priority="14">
      <pivotAreas count="1">
        <pivotArea type="data" collapsedLevelsAreSubtotals="1" fieldPosition="0">
          <references count="4">
            <reference field="4294967294" count="1" selected="0">
              <x v="5"/>
            </reference>
            <reference field="0" count="1" selected="0">
              <x v="0"/>
            </reference>
            <reference field="1" count="1">
              <x v="6"/>
            </reference>
            <reference field="3" count="1" selected="0">
              <x v="0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4">
            <reference field="4294967294" count="5" selected="0">
              <x v="0"/>
              <x v="1"/>
              <x v="2"/>
              <x v="3"/>
              <x v="4"/>
            </reference>
            <reference field="0" count="1" selected="0">
              <x v="0"/>
            </reference>
            <reference field="1" count="1">
              <x v="6"/>
            </reference>
            <reference field="3" count="1" selected="0">
              <x v="0"/>
            </reference>
          </references>
        </pivotArea>
      </pivotAreas>
    </conditionalFormat>
  </conditional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43189-B590-4371-BEBB-96B53B92CA27}" name="TablaDinámica1" cacheId="3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outline="1" outlineData="1" compactData="0" multipleFieldFilters="0">
  <location ref="D9:L67" firstHeaderRow="0" firstDataRow="1" firstDataCol="3" rowPageCount="1" colPageCount="1"/>
  <pivotFields count="100">
    <pivotField axis="axisRow" compact="0" showAll="0" defaultSubtotal="0">
      <items count="22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compact="0" showAll="0" defaultSubtotal="0">
      <items count="7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</items>
    </pivotField>
    <pivotField compact="0" showAll="0" defaultSubtotal="0"/>
    <pivotField axis="axisRow" compact="0" showAll="0" defaultSubtotal="0">
      <items count="2">
        <item x="1"/>
        <item x="0"/>
      </items>
    </pivotField>
    <pivotField compact="0" numFmtId="9" showAll="0" defaultSubtotal="0"/>
    <pivotField compact="0" numFmtId="14" showAll="0" defaultSubtotal="0"/>
    <pivotField compact="0" showAll="0" defaultSubtotal="0"/>
    <pivotField compact="0" numFmtId="14" showAll="0" defaultSubtotal="0"/>
    <pivotField compact="0" numFmtId="14" showAll="0" defaultSubtotal="0"/>
    <pivotField compact="0" showAll="0" defaultSubtotal="0">
      <items count="37">
        <item m="1" x="18"/>
        <item m="1" x="9"/>
        <item m="1" x="10"/>
        <item x="1"/>
        <item x="2"/>
        <item x="3"/>
        <item x="5"/>
        <item x="6"/>
        <item m="1" x="16"/>
        <item m="1" x="12"/>
        <item m="1" x="20"/>
        <item m="1" x="11"/>
        <item x="7"/>
        <item m="1" x="14"/>
        <item x="4"/>
        <item m="1" x="24"/>
        <item m="1" x="15"/>
        <item m="1" x="22"/>
        <item m="1" x="34"/>
        <item m="1" x="32"/>
        <item m="1" x="35"/>
        <item m="1" x="30"/>
        <item m="1" x="28"/>
        <item m="1" x="26"/>
        <item m="1" x="19"/>
        <item m="1" x="36"/>
        <item m="1" x="33"/>
        <item m="1" x="31"/>
        <item m="1" x="29"/>
        <item m="1" x="27"/>
        <item m="1" x="25"/>
        <item m="1" x="23"/>
        <item m="1" x="21"/>
        <item m="1" x="17"/>
        <item m="1" x="13"/>
        <item x="8"/>
        <item x="0"/>
      </items>
    </pivotField>
    <pivotField compact="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subtotalTop="0" showAll="0" defaultSubtotal="0"/>
    <pivotField axis="axisPage" compact="0" showAll="0" defaultSubtotal="0">
      <items count="3">
        <item x="2"/>
        <item x="0"/>
        <item x="1"/>
      </items>
    </pivotField>
    <pivotField compact="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41" subtotalTop="0" showAll="0" defaultSubtotal="0">
      <items count="71">
        <item m="1" x="69"/>
        <item m="1" x="70"/>
        <item m="1" x="66"/>
        <item m="1" x="68"/>
        <item m="1" x="67"/>
        <item m="1" x="65"/>
        <item m="1" x="64"/>
        <item m="1" x="63"/>
        <item m="1" x="62"/>
        <item m="1" x="61"/>
        <item m="1" x="58"/>
        <item m="1" x="57"/>
        <item m="1" x="56"/>
        <item m="1" x="55"/>
        <item m="1" x="54"/>
        <item m="1" x="59"/>
        <item m="1" x="60"/>
        <item m="1" x="53"/>
        <item m="1" x="52"/>
        <item x="30"/>
        <item x="29"/>
        <item m="1" x="51"/>
        <item m="1" x="50"/>
        <item x="27"/>
        <item m="1" x="49"/>
        <item x="25"/>
        <item x="24"/>
        <item x="23"/>
        <item m="1" x="47"/>
        <item x="31"/>
        <item x="22"/>
        <item x="0"/>
        <item x="20"/>
        <item x="28"/>
        <item x="26"/>
        <item x="19"/>
        <item x="18"/>
        <item x="16"/>
        <item x="15"/>
        <item x="13"/>
        <item m="1" x="46"/>
        <item x="21"/>
        <item x="12"/>
        <item x="9"/>
        <item x="8"/>
        <item x="5"/>
        <item x="4"/>
        <item x="17"/>
        <item x="14"/>
        <item x="3"/>
        <item x="2"/>
        <item m="1" x="32"/>
        <item x="11"/>
        <item x="10"/>
        <item x="7"/>
        <item x="6"/>
        <item m="1" x="45"/>
        <item m="1" x="44"/>
        <item m="1" x="39"/>
        <item m="1" x="43"/>
        <item x="1"/>
        <item m="1" x="33"/>
        <item m="1" x="36"/>
        <item m="1" x="42"/>
        <item m="1" x="41"/>
        <item m="1" x="34"/>
        <item m="1" x="48"/>
        <item m="1" x="40"/>
        <item m="1" x="38"/>
        <item m="1" x="37"/>
        <item m="1" x="35"/>
      </items>
    </pivotField>
    <pivotField compact="0" subtotalTop="0" showAll="0" defaultSubtotal="0"/>
    <pivotField compact="0" subtotalTop="0" showAll="0" defaultSubtotal="0"/>
    <pivotField compact="0" numFmtId="1" subtotalTop="0" showAll="0" defaultSubtotal="0"/>
  </pivotFields>
  <rowFields count="3">
    <field x="0"/>
    <field x="3"/>
    <field x="1"/>
  </rowFields>
  <rowItems count="58">
    <i>
      <x v="3"/>
    </i>
    <i r="1">
      <x/>
    </i>
    <i r="2">
      <x v="101"/>
    </i>
    <i r="2">
      <x v="102"/>
    </i>
    <i r="2">
      <x v="105"/>
    </i>
    <i r="2">
      <x v="106"/>
    </i>
    <i r="2">
      <x v="109"/>
    </i>
    <i r="2">
      <x v="110"/>
    </i>
    <i r="2">
      <x v="113"/>
    </i>
    <i r="2">
      <x v="114"/>
    </i>
    <i r="2">
      <x v="117"/>
    </i>
    <i r="2">
      <x v="118"/>
    </i>
    <i r="2">
      <x v="121"/>
    </i>
    <i r="2">
      <x v="122"/>
    </i>
    <i r="2">
      <x v="125"/>
    </i>
    <i r="2">
      <x v="126"/>
    </i>
    <i r="1">
      <x v="1"/>
    </i>
    <i r="2">
      <x v="100"/>
    </i>
    <i r="2">
      <x v="107"/>
    </i>
    <i r="2">
      <x v="108"/>
    </i>
    <i r="2">
      <x v="111"/>
    </i>
    <i r="2">
      <x v="112"/>
    </i>
    <i r="2">
      <x v="115"/>
    </i>
    <i r="2">
      <x v="116"/>
    </i>
    <i r="2">
      <x v="119"/>
    </i>
    <i r="2">
      <x v="120"/>
    </i>
    <i r="2">
      <x v="123"/>
    </i>
    <i r="2">
      <x v="124"/>
    </i>
    <i r="2">
      <x v="127"/>
    </i>
    <i>
      <x v="4"/>
    </i>
    <i r="1">
      <x/>
    </i>
    <i r="2">
      <x v="129"/>
    </i>
    <i r="2">
      <x v="130"/>
    </i>
    <i r="2">
      <x v="133"/>
    </i>
    <i r="2">
      <x v="134"/>
    </i>
    <i r="2">
      <x v="137"/>
    </i>
    <i r="2">
      <x v="138"/>
    </i>
    <i r="2">
      <x v="141"/>
    </i>
    <i r="2">
      <x v="142"/>
    </i>
    <i r="2">
      <x v="145"/>
    </i>
    <i r="2">
      <x v="146"/>
    </i>
    <i r="2">
      <x v="149"/>
    </i>
    <i r="2">
      <x v="150"/>
    </i>
    <i r="1">
      <x v="1"/>
    </i>
    <i r="2">
      <x v="128"/>
    </i>
    <i r="2">
      <x v="131"/>
    </i>
    <i r="2">
      <x v="132"/>
    </i>
    <i r="2">
      <x v="135"/>
    </i>
    <i r="2">
      <x v="136"/>
    </i>
    <i r="2">
      <x v="139"/>
    </i>
    <i r="2">
      <x v="140"/>
    </i>
    <i r="2">
      <x v="143"/>
    </i>
    <i r="2">
      <x v="144"/>
    </i>
    <i r="2">
      <x v="147"/>
    </i>
    <i r="2">
      <x v="148"/>
    </i>
    <i r="2">
      <x v="151"/>
    </i>
    <i r="2">
      <x v="152"/>
    </i>
    <i r="2">
      <x v="159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57" item="2" hier="-1"/>
  </pageFields>
  <dataFields count="6">
    <dataField name="PISO " fld="59" baseField="3" baseItem="0" numFmtId="10"/>
    <dataField name="TABIQUES " fld="60" baseField="3" baseItem="0" numFmtId="10"/>
    <dataField name="MUROS " fld="61" baseField="3" baseItem="0" numFmtId="10"/>
    <dataField name="CIELO " fld="62" baseField="3" baseItem="0" numFmtId="10"/>
    <dataField name="BALCON " fld="63" baseField="3" baseItem="0" numFmtId="10"/>
    <dataField name="OBRA GRUESA " fld="12" baseField="3" baseItem="0" numFmtId="10"/>
  </dataFields>
  <formats count="10">
    <format dxfId="323">
      <pivotArea fieldPosition="0">
        <references count="2">
          <reference field="0" count="1" selected="0">
            <x v="0"/>
          </reference>
          <reference field="1" count="11">
            <x v="6"/>
            <x v="7"/>
            <x v="12"/>
            <x v="15"/>
            <x v="21"/>
            <x v="22"/>
            <x v="23"/>
            <x v="28"/>
            <x v="29"/>
            <x v="30"/>
            <x v="31"/>
          </reference>
        </references>
      </pivotArea>
    </format>
    <format dxfId="322">
      <pivotArea fieldPosition="0">
        <references count="1">
          <reference field="0" count="1">
            <x v="1"/>
          </reference>
        </references>
      </pivotArea>
    </format>
    <format dxfId="321">
      <pivotArea fieldPosition="0">
        <references count="2">
          <reference field="0" count="1" selected="0">
            <x v="1"/>
          </reference>
          <reference field="1" count="22"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</reference>
        </references>
      </pivotArea>
    </format>
    <format dxfId="320">
      <pivotArea fieldPosition="0">
        <references count="2">
          <reference field="0" count="1" selected="0">
            <x v="0"/>
          </reference>
          <reference field="1" count="11">
            <x v="6"/>
            <x v="7"/>
            <x v="12"/>
            <x v="15"/>
            <x v="21"/>
            <x v="22"/>
            <x v="23"/>
            <x v="28"/>
            <x v="29"/>
            <x v="30"/>
            <x v="31"/>
          </reference>
        </references>
      </pivotArea>
    </format>
    <format dxfId="319">
      <pivotArea fieldPosition="0">
        <references count="1">
          <reference field="0" count="1">
            <x v="1"/>
          </reference>
        </references>
      </pivotArea>
    </format>
    <format dxfId="318">
      <pivotArea fieldPosition="0">
        <references count="2">
          <reference field="0" count="1" selected="0">
            <x v="1"/>
          </reference>
          <reference field="1" count="22"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</reference>
        </references>
      </pivotArea>
    </format>
    <format dxfId="317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3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15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31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onditionalFormats count="1">
    <conditionalFormat priority="9">
      <pivotAreas count="2">
        <pivotArea type="data" collapsedLevelsAreSubtotals="1" fieldPosition="0">
          <references count="2">
            <reference field="4294967294" count="6" selected="0">
              <x v="0"/>
              <x v="1"/>
              <x v="2"/>
              <x v="3"/>
              <x v="4"/>
              <x v="5"/>
            </reference>
            <reference field="0" count="1">
              <x v="0"/>
            </reference>
          </references>
        </pivotArea>
        <pivotArea type="data" collapsedLevelsAreSubtotals="1" fieldPosition="0">
          <references count="4">
            <reference field="4294967294" count="6" selected="0">
              <x v="0"/>
              <x v="1"/>
              <x v="2"/>
              <x v="3"/>
              <x v="4"/>
              <x v="5"/>
            </reference>
            <reference field="0" count="1" selected="0">
              <x v="0"/>
            </reference>
            <reference field="1" count="1">
              <x v="6"/>
            </reference>
            <reference field="3" count="1" selected="0">
              <x v="0"/>
            </reference>
          </references>
        </pivotArea>
      </pivotAreas>
    </conditionalFormat>
  </conditional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E62A6C-9214-46F4-8C95-247EDBDD95A2}" name="TablaDinámica1" cacheId="3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outline="1" outlineData="1" compactData="0" multipleFieldFilters="0">
  <location ref="B9:K17" firstHeaderRow="0" firstDataRow="1" firstDataCol="2" rowPageCount="1" colPageCount="1"/>
  <pivotFields count="100">
    <pivotField axis="axisRow" compact="0" showAll="0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compact="0" showAll="0" defaultSubtotal="0">
      <items count="7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</items>
    </pivotField>
    <pivotField compact="0" showAll="0" defaultSubtotal="0"/>
    <pivotField compact="0" showAll="0" defaultSubtotal="0">
      <items count="2">
        <item x="1"/>
        <item h="1" x="0"/>
      </items>
    </pivotField>
    <pivotField compact="0" numFmtId="9" showAll="0" defaultSubtotal="0"/>
    <pivotField compact="0" numFmtId="14" showAll="0" defaultSubtotal="0"/>
    <pivotField compact="0" showAll="0" defaultSubtotal="0"/>
    <pivotField compact="0" numFmtId="14" showAll="0" defaultSubtotal="0"/>
    <pivotField compact="0" numFmtId="14" showAll="0" defaultSubtotal="0"/>
    <pivotField dataField="1" compact="0" showAll="0" defaultSubtotal="0">
      <items count="37">
        <item m="1" x="18"/>
        <item m="1" x="9"/>
        <item m="1" x="10"/>
        <item x="1"/>
        <item x="2"/>
        <item x="3"/>
        <item x="5"/>
        <item x="6"/>
        <item m="1" x="16"/>
        <item m="1" x="12"/>
        <item m="1" x="20"/>
        <item m="1" x="11"/>
        <item x="7"/>
        <item m="1" x="14"/>
        <item x="4"/>
        <item m="1" x="24"/>
        <item m="1" x="15"/>
        <item m="1" x="22"/>
        <item m="1" x="34"/>
        <item m="1" x="32"/>
        <item m="1" x="35"/>
        <item m="1" x="30"/>
        <item m="1" x="28"/>
        <item m="1" x="26"/>
        <item m="1" x="19"/>
        <item m="1" x="36"/>
        <item m="1" x="33"/>
        <item m="1" x="31"/>
        <item m="1" x="29"/>
        <item m="1" x="27"/>
        <item m="1" x="25"/>
        <item m="1" x="23"/>
        <item m="1" x="21"/>
        <item m="1" x="17"/>
        <item m="1" x="13"/>
        <item x="8"/>
        <item x="0"/>
      </items>
    </pivotField>
    <pivotField compact="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>
      <items count="8">
        <item x="4"/>
        <item h="1" m="1" x="5"/>
        <item x="3"/>
        <item x="2"/>
        <item h="1" m="1" x="7"/>
        <item h="1" m="1" x="6"/>
        <item x="1"/>
        <item h="1" x="0"/>
      </items>
    </pivotField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subtotalTop="0" showAll="0" defaultSubtotal="0"/>
    <pivotField axis="axisPage" compact="0" showAll="0" defaultSubtotal="0">
      <items count="3">
        <item x="2"/>
        <item x="0"/>
        <item x="1"/>
      </items>
    </pivotField>
    <pivotField compact="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dataField="1" compact="0" numFmtId="41" subtotalTop="0" showAll="0" defaultSubtotal="0">
      <items count="71">
        <item h="1" m="1" x="69"/>
        <item h="1" m="1" x="70"/>
        <item h="1" m="1" x="66"/>
        <item h="1" m="1" x="68"/>
        <item h="1" m="1" x="67"/>
        <item h="1" m="1" x="65"/>
        <item h="1" m="1" x="64"/>
        <item h="1" m="1" x="63"/>
        <item h="1" m="1" x="62"/>
        <item h="1" m="1" x="61"/>
        <item h="1" m="1" x="58"/>
        <item h="1" m="1" x="57"/>
        <item h="1" m="1" x="56"/>
        <item h="1" m="1" x="55"/>
        <item h="1" m="1" x="54"/>
        <item h="1" m="1" x="59"/>
        <item h="1" m="1" x="60"/>
        <item h="1" m="1" x="53"/>
        <item h="1" m="1" x="52"/>
        <item h="1" x="30"/>
        <item h="1" x="29"/>
        <item h="1" m="1" x="51"/>
        <item h="1" m="1" x="50"/>
        <item h="1" x="27"/>
        <item h="1" m="1" x="49"/>
        <item h="1" x="25"/>
        <item h="1" x="24"/>
        <item h="1" x="23"/>
        <item h="1" m="1" x="47"/>
        <item x="31"/>
        <item h="1" x="22"/>
        <item x="0"/>
        <item x="20"/>
        <item h="1" x="28"/>
        <item h="1" x="26"/>
        <item h="1" x="19"/>
        <item h="1" x="18"/>
        <item h="1" x="16"/>
        <item x="15"/>
        <item h="1" x="13"/>
        <item h="1" m="1" x="46"/>
        <item x="21"/>
        <item h="1" x="12"/>
        <item h="1" x="9"/>
        <item x="8"/>
        <item h="1" x="5"/>
        <item h="1" x="4"/>
        <item h="1" x="17"/>
        <item x="14"/>
        <item h="1" x="3"/>
        <item h="1" x="2"/>
        <item h="1" m="1" x="32"/>
        <item h="1" x="11"/>
        <item h="1" x="10"/>
        <item h="1" x="7"/>
        <item x="6"/>
        <item h="1" m="1" x="45"/>
        <item h="1" m="1" x="44"/>
        <item h="1" m="1" x="39"/>
        <item h="1" m="1" x="43"/>
        <item h="1" x="1"/>
        <item h="1" m="1" x="33"/>
        <item h="1" m="1" x="36"/>
        <item h="1" m="1" x="42"/>
        <item h="1" m="1" x="41"/>
        <item h="1" m="1" x="34"/>
        <item h="1" m="1" x="48"/>
        <item h="1" m="1" x="40"/>
        <item h="1" m="1" x="38"/>
        <item h="1" m="1" x="37"/>
        <item h="1" m="1" x="35"/>
      </items>
    </pivotField>
    <pivotField compact="0" subtotalTop="0" showAll="0" defaultSubtotal="0"/>
    <pivotField compact="0" subtotalTop="0" showAll="0" defaultSubtotal="0"/>
    <pivotField compact="0" numFmtId="1" subtotalTop="0" showAll="0" defaultSubtotal="0"/>
  </pivotFields>
  <rowFields count="2">
    <field x="0"/>
    <field x="1"/>
  </rowFields>
  <rowItems count="8">
    <i>
      <x v="3"/>
    </i>
    <i r="1">
      <x v="109"/>
    </i>
    <i r="1">
      <x v="117"/>
    </i>
    <i r="1">
      <x v="125"/>
    </i>
    <i r="1">
      <x v="126"/>
    </i>
    <i>
      <x v="4"/>
    </i>
    <i r="1">
      <x v="129"/>
    </i>
    <i r="1">
      <x v="130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57" item="2" hier="-1"/>
  </pageFields>
  <dataFields count="8">
    <dataField name=" DIAS SIN MOVIMIENTO" fld="9" baseField="1" baseItem="41"/>
    <dataField name=" DIAS RETRASO" fld="96" baseField="1" baseItem="6" numFmtId="41"/>
    <dataField name="RED ALCANTARILLADO " fld="64" baseField="1" baseItem="58" numFmtId="10"/>
    <dataField name="RED DE AGUA " fld="65" baseField="1" baseItem="58" numFmtId="10"/>
    <dataField name="VENTILACIONES " fld="66" baseField="1" baseItem="58" numFmtId="10"/>
    <dataField name="TINA " fld="67" baseField="1" baseItem="58" numFmtId="10"/>
    <dataField name="WC " fld="68" baseField="1" baseItem="58" numFmtId="10"/>
    <dataField name="LAVAMANOS/LAVAPLATOS/LAVADERO " fld="69" baseField="1" baseItem="58" numFmtId="10"/>
  </dataFields>
  <formats count="29">
    <format dxfId="313">
      <pivotArea fieldPosition="0">
        <references count="2">
          <reference field="0" count="1" selected="0">
            <x v="0"/>
          </reference>
          <reference field="1" count="5">
            <x v="6"/>
            <x v="21"/>
            <x v="22"/>
            <x v="29"/>
            <x v="30"/>
          </reference>
        </references>
      </pivotArea>
    </format>
    <format dxfId="312">
      <pivotArea fieldPosition="0">
        <references count="1">
          <reference field="0" count="1">
            <x v="1"/>
          </reference>
        </references>
      </pivotArea>
    </format>
    <format dxfId="311">
      <pivotArea fieldPosition="0">
        <references count="2">
          <reference field="0" count="1" selected="0">
            <x v="1"/>
          </reference>
          <reference field="1" count="16">
            <x v="33"/>
            <x v="34"/>
            <x v="37"/>
            <x v="38"/>
            <x v="41"/>
            <x v="42"/>
            <x v="45"/>
            <x v="46"/>
            <x v="49"/>
            <x v="50"/>
            <x v="53"/>
            <x v="54"/>
            <x v="57"/>
            <x v="58"/>
            <x v="61"/>
            <x v="62"/>
          </reference>
        </references>
      </pivotArea>
    </format>
    <format dxfId="310">
      <pivotArea fieldPosition="0">
        <references count="1">
          <reference field="0" count="1">
            <x v="2"/>
          </reference>
        </references>
      </pivotArea>
    </format>
    <format dxfId="309">
      <pivotArea fieldPosition="0">
        <references count="2">
          <reference field="0" count="1" selected="0">
            <x v="0"/>
          </reference>
          <reference field="1" count="5">
            <x v="6"/>
            <x v="21"/>
            <x v="22"/>
            <x v="29"/>
            <x v="30"/>
          </reference>
        </references>
      </pivotArea>
    </format>
    <format dxfId="308">
      <pivotArea fieldPosition="0">
        <references count="1">
          <reference field="0" count="1">
            <x v="1"/>
          </reference>
        </references>
      </pivotArea>
    </format>
    <format dxfId="307">
      <pivotArea fieldPosition="0">
        <references count="2">
          <reference field="0" count="1" selected="0">
            <x v="1"/>
          </reference>
          <reference field="1" count="16">
            <x v="33"/>
            <x v="34"/>
            <x v="37"/>
            <x v="38"/>
            <x v="41"/>
            <x v="42"/>
            <x v="45"/>
            <x v="46"/>
            <x v="49"/>
            <x v="50"/>
            <x v="53"/>
            <x v="54"/>
            <x v="57"/>
            <x v="58"/>
            <x v="61"/>
            <x v="62"/>
          </reference>
        </references>
      </pivotArea>
    </format>
    <format dxfId="306">
      <pivotArea fieldPosition="0">
        <references count="1">
          <reference field="0" count="1">
            <x v="2"/>
          </reference>
        </references>
      </pivotArea>
    </format>
    <format dxfId="305">
      <pivotArea field="0" type="button" dataOnly="0" labelOnly="1" outline="0" axis="axisRow" fieldPosition="0"/>
    </format>
    <format dxfId="304">
      <pivotArea field="1" type="button" dataOnly="0" labelOnly="1" outline="0" axis="axisRow" fieldPosition="1"/>
    </format>
    <format dxfId="303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302">
      <pivotArea field="0" type="button" dataOnly="0" labelOnly="1" outline="0" axis="axisRow" fieldPosition="0"/>
    </format>
    <format dxfId="301">
      <pivotArea field="1" type="button" dataOnly="0" labelOnly="1" outline="0" axis="axisRow" fieldPosition="1"/>
    </format>
    <format dxfId="30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99">
      <pivotArea field="0" type="button" dataOnly="0" labelOnly="1" outline="0" axis="axisRow" fieldPosition="0"/>
    </format>
    <format dxfId="298">
      <pivotArea field="1" type="button" dataOnly="0" labelOnly="1" outline="0" axis="axisRow" fieldPosition="1"/>
    </format>
    <format dxfId="297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96">
      <pivotArea outline="0" collapsedLevelsAreSubtotals="1" fieldPosition="0"/>
    </format>
    <format dxfId="295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294">
      <pivotArea dataOnly="0" labelOnly="1" outline="0" fieldPosition="0">
        <references count="2">
          <reference field="0" count="1" selected="0">
            <x v="0"/>
          </reference>
          <reference field="1" count="5">
            <x v="6"/>
            <x v="21"/>
            <x v="22"/>
            <x v="29"/>
            <x v="30"/>
          </reference>
        </references>
      </pivotArea>
    </format>
    <format dxfId="293">
      <pivotArea dataOnly="0" labelOnly="1" outline="0" fieldPosition="0">
        <references count="2">
          <reference field="0" count="1" selected="0">
            <x v="1"/>
          </reference>
          <reference field="1" count="16">
            <x v="33"/>
            <x v="34"/>
            <x v="37"/>
            <x v="38"/>
            <x v="41"/>
            <x v="42"/>
            <x v="45"/>
            <x v="46"/>
            <x v="49"/>
            <x v="50"/>
            <x v="53"/>
            <x v="54"/>
            <x v="57"/>
            <x v="58"/>
            <x v="61"/>
            <x v="62"/>
          </reference>
        </references>
      </pivotArea>
    </format>
    <format dxfId="292">
      <pivotArea dataOnly="0" labelOnly="1" outline="0" fieldPosition="0">
        <references count="2">
          <reference field="0" count="1" selected="0">
            <x v="2"/>
          </reference>
          <reference field="1" count="10">
            <x v="65"/>
            <x v="66"/>
            <x v="69"/>
            <x v="70"/>
            <x v="73"/>
            <x v="74"/>
            <x v="77"/>
            <x v="78"/>
            <x v="81"/>
            <x v="86"/>
          </reference>
        </references>
      </pivotArea>
    </format>
    <format dxfId="291">
      <pivotArea outline="0" collapsedLevelsAreSubtotals="1" fieldPosition="0"/>
    </format>
    <format dxfId="290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289">
      <pivotArea dataOnly="0" labelOnly="1" outline="0" fieldPosition="0">
        <references count="2">
          <reference field="0" count="1" selected="0">
            <x v="0"/>
          </reference>
          <reference field="1" count="5">
            <x v="6"/>
            <x v="21"/>
            <x v="22"/>
            <x v="29"/>
            <x v="30"/>
          </reference>
        </references>
      </pivotArea>
    </format>
    <format dxfId="288">
      <pivotArea dataOnly="0" labelOnly="1" outline="0" fieldPosition="0">
        <references count="2">
          <reference field="0" count="1" selected="0">
            <x v="1"/>
          </reference>
          <reference field="1" count="16">
            <x v="33"/>
            <x v="34"/>
            <x v="37"/>
            <x v="38"/>
            <x v="41"/>
            <x v="42"/>
            <x v="45"/>
            <x v="46"/>
            <x v="49"/>
            <x v="50"/>
            <x v="53"/>
            <x v="54"/>
            <x v="57"/>
            <x v="58"/>
            <x v="61"/>
            <x v="62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2"/>
          </reference>
          <reference field="1" count="10">
            <x v="65"/>
            <x v="66"/>
            <x v="69"/>
            <x v="70"/>
            <x v="73"/>
            <x v="74"/>
            <x v="77"/>
            <x v="78"/>
            <x v="81"/>
            <x v="86"/>
          </reference>
        </references>
      </pivotArea>
    </format>
    <format dxfId="286">
      <pivotArea dataOnly="0" labelOnly="1" outline="0" fieldPosition="0">
        <references count="2">
          <reference field="0" count="1" selected="0">
            <x v="2"/>
          </reference>
          <reference field="1" count="1">
            <x v="82"/>
          </reference>
        </references>
      </pivotArea>
    </format>
    <format dxfId="285">
      <pivotArea dataOnly="0" labelOnly="1" outline="0" fieldPosition="0">
        <references count="2">
          <reference field="0" count="1" selected="0">
            <x v="2"/>
          </reference>
          <reference field="1" count="1">
            <x v="85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6" selected="0"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1EDD6-71DE-47D2-8EFE-B14A375633C4}" name="TablaDinámica1" cacheId="3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outline="1" outlineData="1" compactData="0" multipleFieldFilters="0">
  <location ref="B10:J10" firstHeaderRow="0" firstDataRow="1" firstDataCol="3" rowPageCount="1" colPageCount="1"/>
  <pivotFields count="100">
    <pivotField axis="axisRow" compact="0" showAll="0" defaultSubtotal="0">
      <items count="22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</items>
    </pivotField>
    <pivotField axis="axisRow" compact="0" showAll="0" defaultSubtotal="0">
      <items count="7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</items>
    </pivotField>
    <pivotField compact="0" showAll="0" defaultSubtotal="0"/>
    <pivotField axis="axisRow" compact="0" showAll="0" defaultSubtotal="0">
      <items count="2">
        <item x="1"/>
        <item x="0"/>
      </items>
    </pivotField>
    <pivotField compact="0" numFmtId="9" showAll="0" defaultSubtotal="0"/>
    <pivotField compact="0" numFmtId="14" showAll="0" defaultSubtotal="0"/>
    <pivotField compact="0" showAll="0" defaultSubtotal="0"/>
    <pivotField compact="0" numFmtId="14" showAll="0" defaultSubtotal="0"/>
    <pivotField compact="0" numFmtId="14" showAll="0" defaultSubtotal="0"/>
    <pivotField compact="0" showAll="0" defaultSubtotal="0">
      <items count="37">
        <item m="1" x="18"/>
        <item m="1" x="9"/>
        <item m="1" x="10"/>
        <item x="1"/>
        <item x="2"/>
        <item x="3"/>
        <item x="5"/>
        <item x="6"/>
        <item m="1" x="16"/>
        <item m="1" x="12"/>
        <item m="1" x="20"/>
        <item m="1" x="11"/>
        <item x="7"/>
        <item m="1" x="14"/>
        <item x="4"/>
        <item m="1" x="24"/>
        <item m="1" x="15"/>
        <item m="1" x="22"/>
        <item m="1" x="34"/>
        <item m="1" x="32"/>
        <item m="1" x="35"/>
        <item m="1" x="30"/>
        <item m="1" x="28"/>
        <item m="1" x="26"/>
        <item m="1" x="19"/>
        <item m="1" x="36"/>
        <item m="1" x="33"/>
        <item m="1" x="31"/>
        <item m="1" x="29"/>
        <item m="1" x="27"/>
        <item m="1" x="25"/>
        <item m="1" x="23"/>
        <item m="1" x="21"/>
        <item m="1" x="17"/>
        <item m="1" x="13"/>
        <item x="8"/>
        <item x="0"/>
      </items>
    </pivotField>
    <pivotField compact="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dataField="1" compact="0" numFmtId="10" showAll="0" defaultSubtotal="0">
      <items count="8">
        <item x="5"/>
        <item x="2"/>
        <item x="4"/>
        <item x="3"/>
        <item h="1" x="1"/>
        <item h="1" m="1" x="6"/>
        <item h="1" m="1" x="7"/>
        <item h="1" x="0"/>
      </items>
    </pivotField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subtotalTop="0" showAll="0" defaultSubtotal="0"/>
    <pivotField axis="axisPage" compact="0" showAll="0" defaultSubtotal="0">
      <items count="3">
        <item x="2"/>
        <item x="0"/>
        <item x="1"/>
      </items>
    </pivotField>
    <pivotField compact="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41" subtotalTop="0" showAll="0" defaultSubtotal="0">
      <items count="71">
        <item h="1" m="1" x="69"/>
        <item h="1" m="1" x="70"/>
        <item h="1" m="1" x="66"/>
        <item h="1" m="1" x="68"/>
        <item h="1" m="1" x="67"/>
        <item h="1" m="1" x="65"/>
        <item h="1" m="1" x="64"/>
        <item h="1" m="1" x="63"/>
        <item h="1" m="1" x="62"/>
        <item h="1" m="1" x="61"/>
        <item h="1" m="1" x="58"/>
        <item h="1" m="1" x="57"/>
        <item h="1" m="1" x="56"/>
        <item h="1" m="1" x="55"/>
        <item h="1" m="1" x="54"/>
        <item h="1" m="1" x="59"/>
        <item h="1" m="1" x="60"/>
        <item h="1" m="1" x="53"/>
        <item h="1" m="1" x="52"/>
        <item h="1" x="30"/>
        <item h="1" x="29"/>
        <item h="1" m="1" x="51"/>
        <item h="1" m="1" x="50"/>
        <item h="1" x="27"/>
        <item h="1" m="1" x="49"/>
        <item h="1" x="25"/>
        <item h="1" x="24"/>
        <item h="1" x="23"/>
        <item h="1" m="1" x="47"/>
        <item h="1" x="31"/>
        <item h="1" x="22"/>
        <item x="0"/>
        <item x="20"/>
        <item h="1" x="28"/>
        <item h="1" x="26"/>
        <item h="1" x="19"/>
        <item h="1" x="18"/>
        <item h="1" x="16"/>
        <item x="15"/>
        <item h="1" x="13"/>
        <item h="1" m="1" x="46"/>
        <item x="21"/>
        <item h="1" x="12"/>
        <item h="1" x="9"/>
        <item x="8"/>
        <item h="1" x="5"/>
        <item h="1" x="4"/>
        <item h="1" x="17"/>
        <item x="14"/>
        <item h="1" x="3"/>
        <item h="1" x="2"/>
        <item h="1" m="1" x="32"/>
        <item h="1" x="11"/>
        <item h="1" x="10"/>
        <item h="1" x="7"/>
        <item x="6"/>
        <item h="1" m="1" x="45"/>
        <item h="1" m="1" x="44"/>
        <item h="1" m="1" x="39"/>
        <item h="1" m="1" x="43"/>
        <item h="1" x="1"/>
        <item h="1" m="1" x="33"/>
        <item h="1" m="1" x="36"/>
        <item h="1" m="1" x="42"/>
        <item h="1" m="1" x="41"/>
        <item h="1" m="1" x="34"/>
        <item h="1" m="1" x="48"/>
        <item h="1" m="1" x="40"/>
        <item h="1" m="1" x="38"/>
        <item h="1" m="1" x="37"/>
        <item h="1" m="1" x="35"/>
      </items>
    </pivotField>
    <pivotField compact="0" subtotalTop="0" showAll="0" defaultSubtotal="0"/>
    <pivotField compact="0" subtotalTop="0" showAll="0" defaultSubtotal="0"/>
    <pivotField compact="0" numFmtId="1" subtotalTop="0" showAll="0" defaultSubtotal="0"/>
  </pivotFields>
  <rowFields count="3">
    <field x="0"/>
    <field x="3"/>
    <field x="1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57" item="2" hier="-1"/>
  </pageFields>
  <dataFields count="6">
    <dataField name="CANALIZACIÓN " fld="70" baseField="3" baseItem="0" numFmtId="10"/>
    <dataField name="CABLEADO " fld="71" baseField="3" baseItem="0" numFmtId="10"/>
    <dataField name="ARTEFACTOS " fld="72" baseField="3" baseItem="0" numFmtId="10"/>
    <dataField name="TABLERO " fld="73" baseField="3" baseItem="0" numFmtId="10"/>
    <dataField name="CAJA PAU " fld="74" baseField="3" baseItem="0" numFmtId="10"/>
    <dataField name="ELECTRICO" fld="27" baseField="3" baseItem="0" numFmtId="10"/>
  </dataFields>
  <formats count="4">
    <format dxfId="284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28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82">
      <pivotArea outline="0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28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1AEE2-4611-4576-B4B4-1DCE42DC4B95}" name="TablaDinámica1" cacheId="3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outline="1" outlineData="1" compactData="0" multipleFieldFilters="0">
  <location ref="B10:Z27" firstHeaderRow="0" firstDataRow="1" firstDataCol="3" rowPageCount="1" colPageCount="1"/>
  <pivotFields count="100">
    <pivotField axis="axisRow" compact="0" showAll="0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compact="0" showAll="0" defaultSubtotal="0">
      <items count="704">
        <item x="0"/>
        <item x="1"/>
        <item x="2"/>
        <item x="3"/>
        <item x="4"/>
        <item x="5"/>
        <item h="1"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</items>
    </pivotField>
    <pivotField compact="0" showAll="0" defaultSubtotal="0"/>
    <pivotField axis="axisRow" compact="0" showAll="0" defaultSubtotal="0">
      <items count="2">
        <item x="1"/>
        <item x="0"/>
      </items>
    </pivotField>
    <pivotField compact="0" numFmtId="9" showAll="0" defaultSubtotal="0"/>
    <pivotField compact="0" numFmtId="14" showAll="0" defaultSubtotal="0"/>
    <pivotField compact="0" showAll="0" defaultSubtotal="0"/>
    <pivotField compact="0" numFmtId="14" showAll="0" defaultSubtotal="0"/>
    <pivotField compact="0" numFmtId="14" showAll="0" defaultSubtotal="0"/>
    <pivotField compact="0" showAll="0" defaultSubtotal="0">
      <items count="37">
        <item m="1" x="18"/>
        <item m="1" x="9"/>
        <item m="1" x="10"/>
        <item x="1"/>
        <item x="2"/>
        <item x="3"/>
        <item x="5"/>
        <item x="6"/>
        <item m="1" x="16"/>
        <item m="1" x="12"/>
        <item m="1" x="20"/>
        <item m="1" x="11"/>
        <item x="7"/>
        <item m="1" x="14"/>
        <item x="4"/>
        <item m="1" x="24"/>
        <item m="1" x="15"/>
        <item m="1" x="22"/>
        <item m="1" x="34"/>
        <item m="1" x="32"/>
        <item m="1" x="35"/>
        <item m="1" x="30"/>
        <item m="1" x="28"/>
        <item m="1" x="26"/>
        <item m="1" x="19"/>
        <item m="1" x="36"/>
        <item m="1" x="33"/>
        <item m="1" x="31"/>
        <item m="1" x="29"/>
        <item m="1" x="27"/>
        <item m="1" x="25"/>
        <item m="1" x="23"/>
        <item m="1" x="21"/>
        <item m="1" x="17"/>
        <item m="1" x="13"/>
        <item x="8"/>
        <item x="0"/>
      </items>
    </pivotField>
    <pivotField compact="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dataField="1"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numFmtId="10" showAll="0" defaultSubtotal="0"/>
    <pivotField compact="0" subtotalTop="0" showAll="0" defaultSubtotal="0"/>
    <pivotField axis="axisPage" compact="0" showAll="0" defaultSubtotal="0">
      <items count="3">
        <item x="2"/>
        <item x="0"/>
        <item x="1"/>
      </items>
    </pivotField>
    <pivotField compact="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dataField="1" compact="0" numFmtId="10" subtotalTop="0" showAll="0" defaultSubtotal="0"/>
    <pivotField compact="0" numFmtId="41" subtotalTop="0" showAll="0" defaultSubtotal="0">
      <items count="71">
        <item h="1" m="1" x="69"/>
        <item h="1" m="1" x="70"/>
        <item h="1" m="1" x="66"/>
        <item h="1" m="1" x="68"/>
        <item h="1" m="1" x="67"/>
        <item h="1" m="1" x="65"/>
        <item h="1" m="1" x="64"/>
        <item h="1" m="1" x="63"/>
        <item h="1" m="1" x="62"/>
        <item h="1" m="1" x="61"/>
        <item h="1" m="1" x="58"/>
        <item h="1" m="1" x="57"/>
        <item h="1" m="1" x="56"/>
        <item h="1" m="1" x="55"/>
        <item h="1" m="1" x="54"/>
        <item h="1" m="1" x="59"/>
        <item h="1" m="1" x="60"/>
        <item h="1" m="1" x="53"/>
        <item h="1" m="1" x="52"/>
        <item h="1" x="30"/>
        <item h="1" x="29"/>
        <item h="1" m="1" x="51"/>
        <item h="1" m="1" x="50"/>
        <item h="1" x="27"/>
        <item h="1" m="1" x="49"/>
        <item h="1" x="25"/>
        <item h="1" x="24"/>
        <item h="1" x="23"/>
        <item h="1" m="1" x="47"/>
        <item h="1" x="31"/>
        <item h="1" x="22"/>
        <item x="0"/>
        <item x="20"/>
        <item h="1" x="28"/>
        <item h="1" x="26"/>
        <item h="1" x="19"/>
        <item h="1" x="18"/>
        <item h="1" x="16"/>
        <item x="15"/>
        <item h="1" x="13"/>
        <item h="1" m="1" x="46"/>
        <item x="21"/>
        <item h="1" x="12"/>
        <item h="1" x="9"/>
        <item x="8"/>
        <item h="1" x="5"/>
        <item h="1" x="4"/>
        <item h="1" x="17"/>
        <item x="14"/>
        <item h="1" x="3"/>
        <item h="1" x="2"/>
        <item h="1" m="1" x="32"/>
        <item h="1" x="11"/>
        <item h="1" x="10"/>
        <item h="1" x="7"/>
        <item x="6"/>
        <item h="1" m="1" x="45"/>
        <item h="1" m="1" x="44"/>
        <item h="1" m="1" x="39"/>
        <item h="1" m="1" x="43"/>
        <item h="1" x="1"/>
        <item h="1" m="1" x="33"/>
        <item h="1" m="1" x="36"/>
        <item h="1" m="1" x="42"/>
        <item h="1" m="1" x="41"/>
        <item h="1" m="1" x="34"/>
        <item h="1" m="1" x="48"/>
        <item h="1" m="1" x="40"/>
        <item h="1" m="1" x="38"/>
        <item h="1" m="1" x="37"/>
        <item h="1" m="1" x="35"/>
      </items>
    </pivotField>
    <pivotField compact="0" subtotalTop="0" showAll="0" defaultSubtotal="0"/>
    <pivotField compact="0" subtotalTop="0" showAll="0" defaultSubtotal="0"/>
    <pivotField compact="0" numFmtId="1" subtotalTop="0" showAll="0" defaultSubtotal="0"/>
  </pivotFields>
  <rowFields count="3">
    <field x="0"/>
    <field x="3"/>
    <field x="1"/>
  </rowFields>
  <rowItems count="17">
    <i>
      <x v="3"/>
    </i>
    <i r="1">
      <x/>
    </i>
    <i r="2">
      <x v="109"/>
    </i>
    <i r="2">
      <x v="117"/>
    </i>
    <i r="2">
      <x v="125"/>
    </i>
    <i r="2">
      <x v="126"/>
    </i>
    <i r="1">
      <x v="1"/>
    </i>
    <i r="2">
      <x v="107"/>
    </i>
    <i r="2">
      <x v="116"/>
    </i>
    <i r="2">
      <x v="127"/>
    </i>
    <i>
      <x v="4"/>
    </i>
    <i r="1">
      <x/>
    </i>
    <i r="2">
      <x v="129"/>
    </i>
    <i r="2">
      <x v="130"/>
    </i>
    <i r="1">
      <x v="1"/>
    </i>
    <i r="2">
      <x v="131"/>
    </i>
    <i r="2">
      <x v="132"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pageFields count="1">
    <pageField fld="57" item="2" hier="-1"/>
  </pageFields>
  <dataFields count="22">
    <dataField name="VINILICO " fld="75" baseField="1" baseItem="45" numFmtId="10"/>
    <dataField name="OSB CUBIERTA " fld="76" baseField="1" baseItem="45" numFmtId="10"/>
    <dataField name="BARANDA BALCON " fld="77" baseField="1" baseItem="45" numFmtId="10"/>
    <dataField name="OSB EXTERIOR " fld="78" baseField="1" baseItem="45" numFmtId="10"/>
    <dataField name="VENTANAS " fld="85" baseField="1" baseItem="49" numFmtId="10"/>
    <dataField name="SMART PANEL " fld="79" baseField="1" baseItem="45" numFmtId="10"/>
    <dataField name="PINTURA EXTERIOR " fld="80" baseField="1" baseItem="45" numFmtId="10"/>
    <dataField name="ZOCALOS LOGIA " fld="81" baseField="1" baseItem="45" numFmtId="10"/>
    <dataField name="MOLDURAS " fld="82" baseField="1" baseItem="45" numFmtId="10"/>
    <dataField name="PILASTREO " fld="83" baseField="1" baseItem="45" numFmtId="10"/>
    <dataField name="CELOSIAS " fld="84" baseField="1" baseItem="45" numFmtId="10"/>
    <dataField name="PUERTAS " fld="86" baseField="1" baseItem="45" numFmtId="10"/>
    <dataField name="CERRADURAS " fld="87" baseField="1" baseItem="45" numFmtId="10"/>
    <dataField name="REVESTIMIENTO INTERIOR SECO  " fld="88" baseField="1" baseItem="45" numFmtId="10"/>
    <dataField name="REVESTIMIENTO INTERIOR HUMEDO" fld="89" baseField="1" baseItem="45" numFmtId="10"/>
    <dataField name="MEMBRANA CIELO " fld="90" baseField="1" baseItem="45" numFmtId="10"/>
    <dataField name="PUERTAS DORMITORIOS" fld="92" baseField="1" baseItem="45" numFmtId="10"/>
    <dataField name="REVESTIMIENTO BAÑO" fld="93" baseField="1" baseItem="45" numFmtId="10"/>
    <dataField name="MUEBLE LAVPLATOS " fld="94" baseField="1" baseItem="45" numFmtId="10"/>
    <dataField name="IMPERMEABILIZACIÓN" fld="95" baseField="1" baseItem="45" numFmtId="10"/>
    <dataField name="LIMPIEZA FINAL " fld="91" baseField="1" baseItem="45" numFmtId="10"/>
    <dataField name="TERMINACIONES " fld="34" baseField="1" baseItem="45" numFmtId="10"/>
  </dataFields>
  <formats count="13">
    <format dxfId="280">
      <pivotArea field="3" type="button" dataOnly="0" labelOnly="1" outline="0" axis="axisRow" fieldPosition="1"/>
    </format>
    <format dxfId="279">
      <pivotArea field="1" type="button" dataOnly="0" labelOnly="1" outline="0" axis="axisRow" fieldPosition="2"/>
    </format>
    <format dxfId="278">
      <pivotArea dataOnly="0" labelOnly="1" outline="0" fieldPosition="0">
        <references count="1">
          <reference field="4294967294" count="21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277">
      <pivotArea field="3" type="button" dataOnly="0" labelOnly="1" outline="0" axis="axisRow" fieldPosition="1"/>
    </format>
    <format dxfId="276">
      <pivotArea field="1" type="button" dataOnly="0" labelOnly="1" outline="0" axis="axisRow" fieldPosition="2"/>
    </format>
    <format dxfId="275">
      <pivotArea dataOnly="0" labelOnly="1" outline="0" fieldPosition="0">
        <references count="1">
          <reference field="4294967294" count="21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274">
      <pivotArea field="3" type="button" dataOnly="0" labelOnly="1" outline="0" axis="axisRow" fieldPosition="1"/>
    </format>
    <format dxfId="273">
      <pivotArea field="1" type="button" dataOnly="0" labelOnly="1" outline="0" axis="axisRow" fieldPosition="2"/>
    </format>
    <format dxfId="272">
      <pivotArea dataOnly="0" labelOnly="1" outline="0" fieldPosition="0">
        <references count="1">
          <reference field="4294967294" count="21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271">
      <pivotArea outline="0" fieldPosition="0">
        <references count="1">
          <reference field="4294967294" count="21" selected="0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270">
      <pivotArea outline="0" fieldPosition="0">
        <references count="1">
          <reference field="4294967294" count="21" selected="0">
            <x v="0"/>
            <x v="1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269">
      <pivotArea outline="0" fieldPosition="0">
        <references count="1">
          <reference field="4294967294" count="1" selected="0">
            <x v="4"/>
          </reference>
        </references>
      </pivotArea>
    </format>
    <format dxfId="268">
      <pivotArea dataOnly="0" labelOnly="1" outline="0" fieldPosition="0">
        <references count="1">
          <reference field="4294967294" count="1">
            <x v="4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21" selected="0">
              <x v="0"/>
              <x v="1"/>
              <x v="2"/>
              <x v="3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</reference>
          </references>
        </pivotArea>
      </pivotAreas>
    </conditionalFormat>
  </conditional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6C18BAC-0228-403A-AC4C-0207C9EB530F}" autoFormatId="16" applyNumberFormats="0" applyBorderFormats="0" applyFontFormats="0" applyPatternFormats="0" applyAlignmentFormats="0" applyWidthHeightFormats="0">
  <queryTableRefresh nextId="101" unboundColumnsRight="43">
    <queryTableFields count="100">
      <queryTableField id="1" name="TORRE" tableColumnId="1"/>
      <queryTableField id="2" name="N° MÓDULO" tableColumnId="2"/>
      <queryTableField id="3" name="N° SERIE" tableColumnId="3"/>
      <queryTableField id="4" name="TIPO" tableColumnId="4"/>
      <queryTableField id="5" name="% AVANCE" tableColumnId="5"/>
      <queryTableField id="6" name="FECHA INICIO TEORICO" tableColumnId="6"/>
      <queryTableField id="7" name="FECHA INICIO REAL" tableColumnId="7"/>
      <queryTableField id="8" name="FECHA ULTIMO REGISTRO" tableColumnId="8"/>
      <queryTableField id="9" name="FECHA TERMINO  PLANIFICADO" tableColumnId="9"/>
      <queryTableField id="10" name="DIAS SIN MOVIMIENTO" tableColumnId="10"/>
      <queryTableField id="11" name="FECHA TERMINO" tableColumnId="11"/>
      <queryTableField id="12" name="APORTE OBRA GRUESA" tableColumnId="12"/>
      <queryTableField id="13" name="OBRA GRUESA" tableColumnId="13"/>
      <queryTableField id="14" name="PISO" tableColumnId="14"/>
      <queryTableField id="15" name="TABIQUES" tableColumnId="15"/>
      <queryTableField id="16" name="MUROS" tableColumnId="16"/>
      <queryTableField id="17" name="CIELO" tableColumnId="17"/>
      <queryTableField id="18" name="BALCÓN" tableColumnId="18"/>
      <queryTableField id="19" name="APORTE SANITARIO" tableColumnId="19"/>
      <queryTableField id="20" name="SANITARIO" tableColumnId="20"/>
      <queryTableField id="21" name="RED ALCANTARILLADO" tableColumnId="21"/>
      <queryTableField id="22" name="RED DE AGUA" tableColumnId="22"/>
      <queryTableField id="23" name="VENTILACIONES" tableColumnId="23"/>
      <queryTableField id="24" name="TINA" tableColumnId="24"/>
      <queryTableField id="25" name="WC" tableColumnId="25"/>
      <queryTableField id="26" name="LAVAMANOS / LAVAPLATOS / LAVADERO" tableColumnId="26"/>
      <queryTableField id="27" name="APORTE ELÉCTRICO" tableColumnId="27"/>
      <queryTableField id="28" name="ELÉCTRICO" tableColumnId="28"/>
      <queryTableField id="29" name="CANALIZACIÓN" tableColumnId="29"/>
      <queryTableField id="30" name="CABLEADO" tableColumnId="30"/>
      <queryTableField id="31" name="ARTEFACTOS" tableColumnId="31"/>
      <queryTableField id="32" name="TABLERO" tableColumnId="32"/>
      <queryTableField id="33" name="CAJA PAU" tableColumnId="33"/>
      <queryTableField id="34" name="APORTE TERMINACIONES" tableColumnId="34"/>
      <queryTableField id="35" name="TERMINACIONES" tableColumnId="35"/>
      <queryTableField id="36" name="INSTALACION VINILICO" tableColumnId="36"/>
      <queryTableField id="37" name="OSB CUBIERTA" tableColumnId="37"/>
      <queryTableField id="38" name="BARANDA BALCON" tableColumnId="38"/>
      <queryTableField id="39" name="OSB EXTERIOR" tableColumnId="39"/>
      <queryTableField id="40" name="SMART PANEL" tableColumnId="40"/>
      <queryTableField id="41" name="PINTURA EXTERIOR" tableColumnId="41"/>
      <queryTableField id="42" name="ZOCALOS LOGIA" tableColumnId="42"/>
      <queryTableField id="43" name="MOLDURAS" tableColumnId="43"/>
      <queryTableField id="44" name="PILASTREO" tableColumnId="44"/>
      <queryTableField id="45" name="CELOSIAS" tableColumnId="45"/>
      <queryTableField id="46" name="VENTANAS" tableColumnId="46"/>
      <queryTableField id="47" name="PUERTAS ACCESO - LOGIA - BANO" tableColumnId="47"/>
      <queryTableField id="48" name="CERRADURAS" tableColumnId="48"/>
      <queryTableField id="49" name="REVESTIMIENTO INTERIOR ZONA SECA" tableColumnId="49"/>
      <queryTableField id="50" name="REVESTIMIENTO INTERIOR ZONAS HUMEDAS" tableColumnId="50"/>
      <queryTableField id="51" name="MEMBRANA CIELO" tableColumnId="51"/>
      <queryTableField id="52" name="LIMPIEZA FINAL" tableColumnId="52"/>
      <queryTableField id="53" name="PUERTAS DORMITORIO" tableColumnId="53"/>
      <queryTableField id="54" name="REVESTIMIENTO INTERIOR BANO" tableColumnId="54"/>
      <queryTableField id="55" name="MUEBLE LAVAPLATOS" tableColumnId="55"/>
      <queryTableField id="56" name="IMPERMEABILIZACION BANO - COCINA LOGIA" tableColumnId="56"/>
      <queryTableField id="100" name="METROS CUADRADOS" tableColumnId="100"/>
      <queryTableField id="57" dataBound="0" tableColumnId="57"/>
      <queryTableField id="58" dataBound="0" tableColumnId="58"/>
      <queryTableField id="59" dataBound="0" tableColumnId="59"/>
      <queryTableField id="60" dataBound="0" tableColumnId="60"/>
      <queryTableField id="61" dataBound="0" tableColumnId="61"/>
      <queryTableField id="62" dataBound="0" tableColumnId="62"/>
      <queryTableField id="63" dataBound="0" tableColumnId="63"/>
      <queryTableField id="64" dataBound="0" tableColumnId="64"/>
      <queryTableField id="65" dataBound="0" tableColumnId="65"/>
      <queryTableField id="66" dataBound="0" tableColumnId="66"/>
      <queryTableField id="67" dataBound="0" tableColumnId="67"/>
      <queryTableField id="68" dataBound="0" tableColumnId="68"/>
      <queryTableField id="69" dataBound="0" tableColumnId="69"/>
      <queryTableField id="70" dataBound="0" tableColumnId="70"/>
      <queryTableField id="71" dataBound="0" tableColumnId="71"/>
      <queryTableField id="72" dataBound="0" tableColumnId="72"/>
      <queryTableField id="73" dataBound="0" tableColumnId="73"/>
      <queryTableField id="74" dataBound="0" tableColumnId="74"/>
      <queryTableField id="75" dataBound="0" tableColumnId="75"/>
      <queryTableField id="76" dataBound="0" tableColumnId="76"/>
      <queryTableField id="77" dataBound="0" tableColumnId="77"/>
      <queryTableField id="78" dataBound="0" tableColumnId="78"/>
      <queryTableField id="79" dataBound="0" tableColumnId="79"/>
      <queryTableField id="80" dataBound="0" tableColumnId="80"/>
      <queryTableField id="81" dataBound="0" tableColumnId="81"/>
      <queryTableField id="82" dataBound="0" tableColumnId="82"/>
      <queryTableField id="83" dataBound="0" tableColumnId="83"/>
      <queryTableField id="84" dataBound="0" tableColumnId="84"/>
      <queryTableField id="85" dataBound="0" tableColumnId="85"/>
      <queryTableField id="86" dataBound="0" tableColumnId="86"/>
      <queryTableField id="87" dataBound="0" tableColumnId="87"/>
      <queryTableField id="88" dataBound="0" tableColumnId="88"/>
      <queryTableField id="89" dataBound="0" tableColumnId="89"/>
      <queryTableField id="90" dataBound="0" tableColumnId="90"/>
      <queryTableField id="91" dataBound="0" tableColumnId="91"/>
      <queryTableField id="92" dataBound="0" tableColumnId="92"/>
      <queryTableField id="93" dataBound="0" tableColumnId="93"/>
      <queryTableField id="94" dataBound="0" tableColumnId="94"/>
      <queryTableField id="95" dataBound="0" tableColumnId="95"/>
      <queryTableField id="96" dataBound="0" tableColumnId="96"/>
      <queryTableField id="97" dataBound="0" tableColumnId="97"/>
      <queryTableField id="98" dataBound="0" tableColumnId="98"/>
      <queryTableField id="99" dataBound="0" tableColumnId="9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RRE" xr10:uid="{E8551EED-6722-4D32-8D65-BC23DEDAB1A8}" sourceName="TORRE">
  <pivotTables>
    <pivotTable tabId="3" name="TablaDinámica1"/>
  </pivotTables>
  <data>
    <tabular pivotCacheId="1275465272">
      <items count="22">
        <i x="3" s="1"/>
        <i x="4" s="1"/>
        <i x="0" s="1" nd="1"/>
        <i x="1" s="1" nd="1"/>
        <i x="2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963B780F-A686-48B5-A576-13A8DA2FEF84}" sourceName="TIPO">
  <pivotTables>
    <pivotTable tabId="3" name="TablaDinámica1"/>
  </pivotTables>
  <data>
    <tabular pivotCacheId="1275465272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SIN_MOVIMIENTO" xr10:uid="{B41288B7-4251-4B2B-8269-00F5057A1135}" sourceName="DIAS SIN MOVIMIENTO">
  <pivotTables>
    <pivotTable tabId="3" name="TablaDinámica1"/>
  </pivotTables>
  <data>
    <tabular pivotCacheId="1275465272">
      <items count="37">
        <i x="1" s="1"/>
        <i x="2" s="1"/>
        <i x="3" s="1"/>
        <i x="5" s="1"/>
        <i x="6" s="1"/>
        <i x="7" s="1"/>
        <i x="4" s="1"/>
        <i x="18" s="1" nd="1"/>
        <i x="9" s="1" nd="1"/>
        <i x="10" s="1" nd="1"/>
        <i x="16" s="1" nd="1"/>
        <i x="12" s="1" nd="1"/>
        <i x="20" s="1" nd="1"/>
        <i x="11" s="1" nd="1"/>
        <i x="14" s="1" nd="1"/>
        <i x="24" s="1" nd="1"/>
        <i x="15" s="1" nd="1"/>
        <i x="22" s="1" nd="1"/>
        <i x="34" s="1" nd="1"/>
        <i x="32" s="1" nd="1"/>
        <i x="35" s="1" nd="1"/>
        <i x="30" s="1" nd="1"/>
        <i x="28" s="1" nd="1"/>
        <i x="26" s="1" nd="1"/>
        <i x="19" s="1" nd="1"/>
        <i x="36" s="1" nd="1"/>
        <i x="33" s="1" nd="1"/>
        <i x="31" s="1" nd="1"/>
        <i x="29" s="1" nd="1"/>
        <i x="27" s="1" nd="1"/>
        <i x="25" s="1" nd="1"/>
        <i x="23" s="1" nd="1"/>
        <i x="21" s="1" nd="1"/>
        <i x="17" s="1" nd="1"/>
        <i x="13" s="1" nd="1"/>
        <i x="8" s="1" nd="1"/>
        <i x="0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RRE1" xr10:uid="{80FC56CC-B96E-4595-8719-842510A36290}" sourceName="TORRE">
  <pivotTables>
    <pivotTable tabId="7" name="TablaDinámica1"/>
  </pivotTables>
  <data>
    <tabular pivotCacheId="1275465272">
      <items count="22">
        <i x="3" s="1"/>
        <i x="4" s="1"/>
        <i x="0" nd="1"/>
        <i x="1" s="1" nd="1"/>
        <i x="2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1" xr10:uid="{4721FA09-BBA3-4FEC-B521-559B525057AD}" sourceName="TIPO">
  <pivotTables>
    <pivotTable tabId="7" name="TablaDinámica1"/>
  </pivotTables>
  <data>
    <tabular pivotCacheId="1275465272">
      <items count="2">
        <i x="1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SIN_MOVIMIENTO1" xr10:uid="{E9452EFB-F074-4C37-8A47-E4E921914F41}" sourceName="DIAS SIN MOVIMIENTO">
  <pivotTables>
    <pivotTable tabId="7" name="TablaDinámica1"/>
  </pivotTables>
  <data>
    <tabular pivotCacheId="1275465272">
      <items count="37">
        <i x="1" s="1"/>
        <i x="2" s="1"/>
        <i x="3" s="1"/>
        <i x="5" s="1"/>
        <i x="6" s="1"/>
        <i x="7" s="1"/>
        <i x="4" s="1"/>
        <i x="18" s="1" nd="1"/>
        <i x="9" s="1" nd="1"/>
        <i x="10" s="1" nd="1"/>
        <i x="16" s="1" nd="1"/>
        <i x="12" s="1" nd="1"/>
        <i x="20" s="1" nd="1"/>
        <i x="11" s="1" nd="1"/>
        <i x="14" s="1" nd="1"/>
        <i x="24" s="1" nd="1"/>
        <i x="15" s="1" nd="1"/>
        <i x="22" s="1" nd="1"/>
        <i x="34" s="1" nd="1"/>
        <i x="32" s="1" nd="1"/>
        <i x="35" s="1" nd="1"/>
        <i x="30" s="1" nd="1"/>
        <i x="28" s="1" nd="1"/>
        <i x="26" s="1" nd="1"/>
        <i x="19" s="1" nd="1"/>
        <i x="36" s="1" nd="1"/>
        <i x="33" s="1" nd="1"/>
        <i x="31" s="1" nd="1"/>
        <i x="29" s="1" nd="1"/>
        <i x="27" s="1" nd="1"/>
        <i x="25" s="1" nd="1"/>
        <i x="23" s="1" nd="1"/>
        <i x="21" s="1" nd="1"/>
        <i x="17" s="1" nd="1"/>
        <i x="13" s="1" nd="1"/>
        <i x="8" s="1" nd="1"/>
        <i x="0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RRE11" xr10:uid="{56A6A008-8869-433B-B342-268F9C928D6B}" sourceName="TORRE">
  <pivotTables>
    <pivotTable tabId="8" name="TablaDinámica1"/>
  </pivotTables>
  <data>
    <tabular pivotCacheId="1275465272">
      <items count="22">
        <i x="3" s="1"/>
        <i x="4" s="1"/>
        <i x="0" s="1" nd="1"/>
        <i x="1" s="1" nd="1"/>
        <i x="2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11" xr10:uid="{6309C942-DB2A-42A2-A946-A08EC162F883}" sourceName="TIPO">
  <pivotTables>
    <pivotTable tabId="8" name="TablaDinámica1"/>
  </pivotTables>
  <data>
    <tabular pivotCacheId="1275465272">
      <items count="2">
        <i x="1" s="1"/>
        <i x="0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SIN_MOVIMIENTO11" xr10:uid="{4CCB28F4-4F33-44F8-B3B1-BED13AF4DB7D}" sourceName="DIAS SIN MOVIMIENTO">
  <pivotTables>
    <pivotTable tabId="8" name="TablaDinámica1"/>
  </pivotTables>
  <data>
    <tabular pivotCacheId="1275465272">
      <items count="37">
        <i x="1" s="1"/>
        <i x="3" s="1"/>
        <i x="6" s="1"/>
        <i x="18" s="1" nd="1"/>
        <i x="9" s="1" nd="1"/>
        <i x="10" s="1" nd="1"/>
        <i x="2" s="1" nd="1"/>
        <i x="5" s="1" nd="1"/>
        <i x="16" s="1" nd="1"/>
        <i x="12" s="1" nd="1"/>
        <i x="20" s="1" nd="1"/>
        <i x="11" s="1" nd="1"/>
        <i x="7" s="1" nd="1"/>
        <i x="14" s="1" nd="1"/>
        <i x="4" s="1" nd="1"/>
        <i x="24" s="1" nd="1"/>
        <i x="15" s="1" nd="1"/>
        <i x="22" s="1" nd="1"/>
        <i x="34" s="1" nd="1"/>
        <i x="32" s="1" nd="1"/>
        <i x="35" s="1" nd="1"/>
        <i x="30" s="1" nd="1"/>
        <i x="28" s="1" nd="1"/>
        <i x="26" s="1" nd="1"/>
        <i x="19" s="1" nd="1"/>
        <i x="36" s="1" nd="1"/>
        <i x="33" s="1" nd="1"/>
        <i x="31" s="1" nd="1"/>
        <i x="29" s="1" nd="1"/>
        <i x="27" s="1" nd="1"/>
        <i x="25" s="1" nd="1"/>
        <i x="23" s="1" nd="1"/>
        <i x="21" s="1" nd="1"/>
        <i x="17" s="1" nd="1"/>
        <i x="13" s="1" nd="1"/>
        <i x="8" s="1" nd="1"/>
        <i x="0" s="1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RRE111" xr10:uid="{9C70869C-1DEC-47F4-94F7-8B1158ED9EE3}" sourceName="TORRE">
  <pivotTables>
    <pivotTable tabId="9" name="TablaDinámica1"/>
  </pivotTables>
  <data>
    <tabular pivotCacheId="1275465272">
      <items count="22">
        <i x="3"/>
        <i x="4"/>
        <i x="0" nd="1"/>
        <i x="1" s="1" nd="1"/>
        <i x="2" nd="1"/>
        <i x="5" nd="1"/>
        <i x="6" nd="1"/>
        <i x="7" nd="1"/>
        <i x="8" nd="1"/>
        <i x="9" nd="1"/>
        <i x="10" nd="1"/>
        <i x="11" nd="1"/>
        <i x="12" nd="1"/>
        <i x="13" nd="1"/>
        <i x="14" nd="1"/>
        <i x="15" nd="1"/>
        <i x="16" nd="1"/>
        <i x="17" nd="1"/>
        <i x="18" nd="1"/>
        <i x="19" nd="1"/>
        <i x="20" nd="1"/>
        <i x="2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111" xr10:uid="{46C4ED99-7C1E-49A6-81F1-C726ABB8C0B9}" sourceName="TIPO">
  <pivotTables>
    <pivotTable tabId="9" name="TablaDinámica1"/>
  </pivotTables>
  <data>
    <tabular pivotCacheId="1275465272">
      <items count="2">
        <i x="1" s="1" nd="1"/>
        <i x="0" s="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SIN_MOVIMIENTO111" xr10:uid="{5E2C60C4-FC60-404C-90C5-3E04D16AF0CE}" sourceName="DIAS SIN MOVIMIENTO">
  <pivotTables>
    <pivotTable tabId="9" name="TablaDinámica1"/>
  </pivotTables>
  <data>
    <tabular pivotCacheId="1275465272">
      <items count="37">
        <i x="18" s="1" nd="1"/>
        <i x="9" s="1" nd="1"/>
        <i x="10" s="1" nd="1"/>
        <i x="1" s="1" nd="1"/>
        <i x="2" s="1" nd="1"/>
        <i x="3" s="1" nd="1"/>
        <i x="5" s="1" nd="1"/>
        <i x="6" s="1" nd="1"/>
        <i x="16" s="1" nd="1"/>
        <i x="12" s="1" nd="1"/>
        <i x="20" s="1" nd="1"/>
        <i x="11" s="1" nd="1"/>
        <i x="7" s="1" nd="1"/>
        <i x="14" s="1" nd="1"/>
        <i x="4" s="1" nd="1"/>
        <i x="24" s="1" nd="1"/>
        <i x="15" s="1" nd="1"/>
        <i x="22" s="1" nd="1"/>
        <i x="34" s="1" nd="1"/>
        <i x="32" s="1" nd="1"/>
        <i x="35" s="1" nd="1"/>
        <i x="30" s="1" nd="1"/>
        <i x="28" s="1" nd="1"/>
        <i x="26" s="1" nd="1"/>
        <i x="19" s="1" nd="1"/>
        <i x="36" s="1" nd="1"/>
        <i x="33" s="1" nd="1"/>
        <i x="31" s="1" nd="1"/>
        <i x="29" s="1" nd="1"/>
        <i x="27" s="1" nd="1"/>
        <i x="25" s="1" nd="1"/>
        <i x="23" s="1" nd="1"/>
        <i x="21" s="1" nd="1"/>
        <i x="17" s="1" nd="1"/>
        <i x="13" s="1" nd="1"/>
        <i x="8" s="1" nd="1"/>
        <i x="0" s="1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RRE1111" xr10:uid="{9974012D-6BBE-45E2-AB96-CC7C3BE3089D}" sourceName="TORRE">
  <pivotTables>
    <pivotTable tabId="10" name="TablaDinámica1"/>
  </pivotTables>
  <data>
    <tabular pivotCacheId="1275465272">
      <items count="22">
        <i x="3" s="1"/>
        <i x="4" s="1"/>
        <i x="0" s="1" nd="1"/>
        <i x="1" s="1" nd="1"/>
        <i x="2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1111" xr10:uid="{30D769DE-E774-4ED3-9BE6-F7EDF318BAA5}" sourceName="TIPO">
  <pivotTables>
    <pivotTable tabId="10" name="TablaDinámica1"/>
  </pivotTables>
  <data>
    <tabular pivotCacheId="1275465272">
      <items count="2">
        <i x="1" s="1"/>
        <i x="0" s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SIN_MOVIMIENTO1111" xr10:uid="{320B8738-EFF5-4B41-8FCA-667BE4D6F4BD}" sourceName="DIAS SIN MOVIMIENTO">
  <pivotTables>
    <pivotTable tabId="10" name="TablaDinámica1"/>
  </pivotTables>
  <data>
    <tabular pivotCacheId="1275465272">
      <items count="37">
        <i x="1" s="1"/>
        <i x="3" s="1"/>
        <i x="6" s="1"/>
        <i x="18" s="1" nd="1"/>
        <i x="9" s="1" nd="1"/>
        <i x="10" s="1" nd="1"/>
        <i x="2" s="1" nd="1"/>
        <i x="5" s="1" nd="1"/>
        <i x="16" s="1" nd="1"/>
        <i x="12" s="1" nd="1"/>
        <i x="20" s="1" nd="1"/>
        <i x="11" s="1" nd="1"/>
        <i x="7" s="1" nd="1"/>
        <i x="14" s="1" nd="1"/>
        <i x="4" s="1" nd="1"/>
        <i x="24" s="1" nd="1"/>
        <i x="15" s="1" nd="1"/>
        <i x="22" s="1" nd="1"/>
        <i x="34" s="1" nd="1"/>
        <i x="32" s="1" nd="1"/>
        <i x="35" s="1" nd="1"/>
        <i x="30" s="1" nd="1"/>
        <i x="28" s="1" nd="1"/>
        <i x="26" s="1" nd="1"/>
        <i x="19" s="1" nd="1"/>
        <i x="36" s="1" nd="1"/>
        <i x="33" s="1" nd="1"/>
        <i x="31" s="1" nd="1"/>
        <i x="29" s="1" nd="1"/>
        <i x="27" s="1" nd="1"/>
        <i x="25" s="1" nd="1"/>
        <i x="23" s="1" nd="1"/>
        <i x="21" s="1" nd="1"/>
        <i x="17" s="1" nd="1"/>
        <i x="13" s="1" nd="1"/>
        <i x="8" s="1" nd="1"/>
        <i x="0" s="1" nd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RETRASO" xr10:uid="{EC9FCF80-3DEE-4264-8A30-EB7D105B18F5}" sourceName="DIAS RETRASO">
  <pivotTables>
    <pivotTable tabId="3" name="TablaDinámica1"/>
  </pivotTables>
  <data>
    <tabular pivotCacheId="1275465272">
      <items count="71">
        <i x="30" s="1"/>
        <i x="29" s="1"/>
        <i x="27" s="1"/>
        <i x="25" s="1"/>
        <i x="24" s="1"/>
        <i x="23" s="1"/>
        <i x="31" s="1"/>
        <i x="22" s="1"/>
        <i x="0" s="1"/>
        <i x="20" s="1"/>
        <i x="28" s="1"/>
        <i x="26" s="1"/>
        <i x="19" s="1"/>
        <i x="18" s="1"/>
        <i x="16" s="1"/>
        <i x="15" s="1"/>
        <i x="13" s="1"/>
        <i x="21" s="1"/>
        <i x="12" s="1"/>
        <i x="9" s="1"/>
        <i x="8" s="1"/>
        <i x="5" s="1"/>
        <i x="4" s="1"/>
        <i x="17" s="1"/>
        <i x="14" s="1"/>
        <i x="3" s="1"/>
        <i x="2" s="1"/>
        <i x="11" s="1"/>
        <i x="10" s="1"/>
        <i x="7" s="1"/>
        <i x="6" s="1"/>
        <i x="1" s="1"/>
        <i x="69" s="1" nd="1"/>
        <i x="70" s="1" nd="1"/>
        <i x="66" s="1" nd="1"/>
        <i x="68" s="1" nd="1"/>
        <i x="67" s="1" nd="1"/>
        <i x="65" s="1" nd="1"/>
        <i x="64" s="1" nd="1"/>
        <i x="63" s="1" nd="1"/>
        <i x="62" s="1" nd="1"/>
        <i x="61" s="1" nd="1"/>
        <i x="58" s="1" nd="1"/>
        <i x="57" s="1" nd="1"/>
        <i x="56" s="1" nd="1"/>
        <i x="55" s="1" nd="1"/>
        <i x="54" s="1" nd="1"/>
        <i x="59" s="1" nd="1"/>
        <i x="60" s="1" nd="1"/>
        <i x="53" s="1" nd="1"/>
        <i x="52" s="1" nd="1"/>
        <i x="51" s="1" nd="1"/>
        <i x="50" s="1" nd="1"/>
        <i x="49" s="1" nd="1"/>
        <i x="47" s="1" nd="1"/>
        <i x="46" s="1" nd="1"/>
        <i x="32" s="1" nd="1"/>
        <i x="45" s="1" nd="1"/>
        <i x="44" s="1" nd="1"/>
        <i x="39" s="1" nd="1"/>
        <i x="43" s="1" nd="1"/>
        <i x="33" s="1" nd="1"/>
        <i x="36" s="1" nd="1"/>
        <i x="42" s="1" nd="1"/>
        <i x="41" s="1" nd="1"/>
        <i x="34" s="1" nd="1"/>
        <i x="48" s="1" nd="1"/>
        <i x="40" s="1" nd="1"/>
        <i x="38" s="1" nd="1"/>
        <i x="37" s="1" nd="1"/>
        <i x="35" s="1" nd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RETRASO1" xr10:uid="{A58245D6-9AEA-4C3F-A4E7-1D9EF68B8ABD}" sourceName="DIAS RETRASO">
  <pivotTables>
    <pivotTable tabId="10" name="TablaDinámica1"/>
  </pivotTables>
  <data>
    <tabular pivotCacheId="1275465272">
      <items count="71">
        <i x="30"/>
        <i x="29"/>
        <i x="27"/>
        <i x="25"/>
        <i x="24"/>
        <i x="23"/>
        <i x="31"/>
        <i x="22"/>
        <i x="0" s="1"/>
        <i x="20" s="1"/>
        <i x="28"/>
        <i x="26"/>
        <i x="19"/>
        <i x="18"/>
        <i x="16"/>
        <i x="15" s="1"/>
        <i x="13"/>
        <i x="21" s="1"/>
        <i x="12"/>
        <i x="9"/>
        <i x="8" s="1"/>
        <i x="5"/>
        <i x="4"/>
        <i x="17"/>
        <i x="14" s="1"/>
        <i x="3"/>
        <i x="2"/>
        <i x="11"/>
        <i x="10"/>
        <i x="7"/>
        <i x="6" s="1"/>
        <i x="1"/>
        <i x="69" nd="1"/>
        <i x="70" nd="1"/>
        <i x="66" nd="1"/>
        <i x="68" nd="1"/>
        <i x="67" nd="1"/>
        <i x="65" nd="1"/>
        <i x="64" nd="1"/>
        <i x="63" nd="1"/>
        <i x="62" nd="1"/>
        <i x="61" nd="1"/>
        <i x="58" nd="1"/>
        <i x="57" nd="1"/>
        <i x="56" nd="1"/>
        <i x="55" nd="1"/>
        <i x="54" nd="1"/>
        <i x="59" nd="1"/>
        <i x="60" nd="1"/>
        <i x="53" nd="1"/>
        <i x="52" nd="1"/>
        <i x="51" nd="1"/>
        <i x="50" nd="1"/>
        <i x="49" nd="1"/>
        <i x="47" nd="1"/>
        <i x="46" nd="1"/>
        <i x="32" nd="1"/>
        <i x="45" nd="1"/>
        <i x="44" nd="1"/>
        <i x="39" nd="1"/>
        <i x="43" nd="1"/>
        <i x="33" nd="1"/>
        <i x="36" nd="1"/>
        <i x="42" nd="1"/>
        <i x="41" nd="1"/>
        <i x="34" nd="1"/>
        <i x="48" nd="1"/>
        <i x="40" nd="1"/>
        <i x="38" nd="1"/>
        <i x="37" nd="1"/>
        <i x="35" nd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RETRASO2" xr10:uid="{644CF804-A139-401D-B223-D77E5CDAD566}" sourceName="DIAS RETRASO">
  <pivotTables>
    <pivotTable tabId="9" name="TablaDinámica1"/>
  </pivotTables>
  <data>
    <tabular pivotCacheId="1275465272">
      <items count="71">
        <i x="69" nd="1"/>
        <i x="70" nd="1"/>
        <i x="66" nd="1"/>
        <i x="68" nd="1"/>
        <i x="67" nd="1"/>
        <i x="65" nd="1"/>
        <i x="64" nd="1"/>
        <i x="63" nd="1"/>
        <i x="62" nd="1"/>
        <i x="61" nd="1"/>
        <i x="58" nd="1"/>
        <i x="57" nd="1"/>
        <i x="56" nd="1"/>
        <i x="55" nd="1"/>
        <i x="54" nd="1"/>
        <i x="59" nd="1"/>
        <i x="60" nd="1"/>
        <i x="53" nd="1"/>
        <i x="52" nd="1"/>
        <i x="30" nd="1"/>
        <i x="29" nd="1"/>
        <i x="51" nd="1"/>
        <i x="50" nd="1"/>
        <i x="27" nd="1"/>
        <i x="49" nd="1"/>
        <i x="25" nd="1"/>
        <i x="24" nd="1"/>
        <i x="23" nd="1"/>
        <i x="47" nd="1"/>
        <i x="31" nd="1"/>
        <i x="22" nd="1"/>
        <i x="0" s="1" nd="1"/>
        <i x="20" s="1" nd="1"/>
        <i x="28" nd="1"/>
        <i x="26" nd="1"/>
        <i x="19" nd="1"/>
        <i x="18" nd="1"/>
        <i x="16" nd="1"/>
        <i x="15" s="1" nd="1"/>
        <i x="13" nd="1"/>
        <i x="46" nd="1"/>
        <i x="21" s="1" nd="1"/>
        <i x="12" nd="1"/>
        <i x="9" nd="1"/>
        <i x="8" s="1" nd="1"/>
        <i x="5" nd="1"/>
        <i x="4" nd="1"/>
        <i x="17" nd="1"/>
        <i x="14" s="1" nd="1"/>
        <i x="3" nd="1"/>
        <i x="2" nd="1"/>
        <i x="32" nd="1"/>
        <i x="11" nd="1"/>
        <i x="10" nd="1"/>
        <i x="7" nd="1"/>
        <i x="6" s="1" nd="1"/>
        <i x="45" nd="1"/>
        <i x="44" nd="1"/>
        <i x="39" nd="1"/>
        <i x="43" nd="1"/>
        <i x="1" nd="1"/>
        <i x="33" nd="1"/>
        <i x="36" nd="1"/>
        <i x="42" nd="1"/>
        <i x="41" nd="1"/>
        <i x="34" nd="1"/>
        <i x="48" nd="1"/>
        <i x="40" nd="1"/>
        <i x="38" nd="1"/>
        <i x="37" nd="1"/>
        <i x="35" nd="1"/>
      </items>
    </tabular>
  </data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LÉCTRICO" xr10:uid="{88273EF7-99A7-4806-8EF0-B6FFCDFF9CB9}" sourceName="ELÉCTRICO">
  <pivotTables>
    <pivotTable tabId="9" name="TablaDinámica1"/>
  </pivotTables>
  <data>
    <tabular pivotCacheId="1275465272">
      <items count="8">
        <i x="5" s="1" nd="1"/>
        <i x="2" s="1" nd="1"/>
        <i x="4" s="1" nd="1"/>
        <i x="3" s="1" nd="1"/>
        <i x="1" nd="1"/>
        <i x="6" nd="1"/>
        <i x="7" nd="1"/>
        <i x="0" nd="1"/>
      </items>
    </tabular>
  </data>
</slicerCacheDefinition>
</file>

<file path=xl/slicerCaches/slicerCache2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RETRASO3" xr10:uid="{24A06C2A-CD7C-4CAC-8CC2-DBA8933E3A2C}" sourceName="DIAS RETRASO">
  <pivotTables>
    <pivotTable tabId="7" name="TablaDinámica1"/>
  </pivotTables>
  <data>
    <tabular pivotCacheId="1275465272">
      <items count="71">
        <i x="30" s="1"/>
        <i x="29" s="1"/>
        <i x="27" s="1"/>
        <i x="25" s="1"/>
        <i x="24" s="1"/>
        <i x="23" s="1"/>
        <i x="31" s="1"/>
        <i x="22" s="1"/>
        <i x="0" s="1"/>
        <i x="20" s="1"/>
        <i x="28" s="1"/>
        <i x="26" s="1"/>
        <i x="19" s="1"/>
        <i x="18" s="1"/>
        <i x="16" s="1"/>
        <i x="15" s="1"/>
        <i x="13" s="1"/>
        <i x="21" s="1"/>
        <i x="12" s="1"/>
        <i x="9" s="1"/>
        <i x="8" s="1"/>
        <i x="5" s="1"/>
        <i x="4" s="1"/>
        <i x="17" s="1"/>
        <i x="14" s="1"/>
        <i x="3" s="1"/>
        <i x="2" s="1"/>
        <i x="11" s="1"/>
        <i x="10" s="1"/>
        <i x="7" s="1"/>
        <i x="6" s="1"/>
        <i x="1" s="1"/>
        <i x="69" s="1" nd="1"/>
        <i x="70" s="1" nd="1"/>
        <i x="66" s="1" nd="1"/>
        <i x="68" s="1" nd="1"/>
        <i x="67" s="1" nd="1"/>
        <i x="65" s="1" nd="1"/>
        <i x="64" s="1" nd="1"/>
        <i x="63" s="1" nd="1"/>
        <i x="62" s="1" nd="1"/>
        <i x="61" s="1" nd="1"/>
        <i x="58" s="1" nd="1"/>
        <i x="57" s="1" nd="1"/>
        <i x="56" s="1" nd="1"/>
        <i x="55" s="1" nd="1"/>
        <i x="54" s="1" nd="1"/>
        <i x="59" s="1" nd="1"/>
        <i x="60" s="1" nd="1"/>
        <i x="53" s="1" nd="1"/>
        <i x="52" s="1" nd="1"/>
        <i x="51" s="1" nd="1"/>
        <i x="50" s="1" nd="1"/>
        <i x="49" s="1" nd="1"/>
        <i x="47" s="1" nd="1"/>
        <i x="46" s="1" nd="1"/>
        <i x="32" s="1" nd="1"/>
        <i x="45" s="1" nd="1"/>
        <i x="44" s="1" nd="1"/>
        <i x="39" s="1" nd="1"/>
        <i x="43" s="1" nd="1"/>
        <i x="33" s="1" nd="1"/>
        <i x="36" s="1" nd="1"/>
        <i x="42" s="1" nd="1"/>
        <i x="41" s="1" nd="1"/>
        <i x="34" s="1" nd="1"/>
        <i x="48" s="1" nd="1"/>
        <i x="40" s="1" nd="1"/>
        <i x="38" s="1" nd="1"/>
        <i x="37" s="1" nd="1"/>
        <i x="35" s="1" nd="1"/>
      </items>
    </tabular>
  </data>
</slicerCacheDefinition>
</file>

<file path=xl/slicerCaches/slicerCache2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S_RETRASO4" xr10:uid="{D20FCDF1-149F-4EA7-BBDC-9E24BB941050}" sourceName="DIAS RETRASO">
  <pivotTables>
    <pivotTable tabId="8" name="TablaDinámica1"/>
  </pivotTables>
  <data>
    <tabular pivotCacheId="1275465272">
      <items count="71">
        <i x="30"/>
        <i x="29"/>
        <i x="27"/>
        <i x="25"/>
        <i x="24"/>
        <i x="23"/>
        <i x="22"/>
        <i x="0" s="1"/>
        <i x="20" s="1"/>
        <i x="19"/>
        <i x="18"/>
        <i x="16"/>
        <i x="15" s="1"/>
        <i x="13"/>
        <i x="12"/>
        <i x="9"/>
        <i x="8" s="1"/>
        <i x="5"/>
        <i x="69" nd="1"/>
        <i x="70" nd="1"/>
        <i x="66" nd="1"/>
        <i x="68" nd="1"/>
        <i x="67" nd="1"/>
        <i x="65" nd="1"/>
        <i x="64" nd="1"/>
        <i x="63" nd="1"/>
        <i x="62" nd="1"/>
        <i x="61" nd="1"/>
        <i x="58" nd="1"/>
        <i x="57" nd="1"/>
        <i x="56" nd="1"/>
        <i x="55" nd="1"/>
        <i x="54" nd="1"/>
        <i x="59" nd="1"/>
        <i x="60" nd="1"/>
        <i x="53" nd="1"/>
        <i x="52" nd="1"/>
        <i x="51" nd="1"/>
        <i x="50" nd="1"/>
        <i x="49" nd="1"/>
        <i x="47" nd="1"/>
        <i x="31" s="1" nd="1"/>
        <i x="28" nd="1"/>
        <i x="26" nd="1"/>
        <i x="46" nd="1"/>
        <i x="21" s="1" nd="1"/>
        <i x="4" nd="1"/>
        <i x="17" nd="1"/>
        <i x="14" s="1" nd="1"/>
        <i x="3" nd="1"/>
        <i x="2" nd="1"/>
        <i x="32" nd="1"/>
        <i x="11" nd="1"/>
        <i x="10" nd="1"/>
        <i x="7" nd="1"/>
        <i x="6" s="1" nd="1"/>
        <i x="45" nd="1"/>
        <i x="44" nd="1"/>
        <i x="39" nd="1"/>
        <i x="43" nd="1"/>
        <i x="1" nd="1"/>
        <i x="33" nd="1"/>
        <i x="36" nd="1"/>
        <i x="42" nd="1"/>
        <i x="41" nd="1"/>
        <i x="34" nd="1"/>
        <i x="48" nd="1"/>
        <i x="40" nd="1"/>
        <i x="38" nd="1"/>
        <i x="37" nd="1"/>
        <i x="35" nd="1"/>
      </items>
    </tabular>
  </data>
</slicerCacheDefinition>
</file>

<file path=xl/slicerCaches/slicerCache2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ANITARIO" xr10:uid="{DB625481-287D-4621-B35D-CC22336E925B}" sourceName="SANITARIO">
  <pivotTables>
    <pivotTable tabId="8" name="TablaDinámica1"/>
  </pivotTables>
  <data>
    <tabular pivotCacheId="1275465272">
      <items count="8">
        <i x="3" s="1"/>
        <i x="2" s="1"/>
        <i x="4" s="1" nd="1"/>
        <i x="5" nd="1"/>
        <i x="7" nd="1"/>
        <i x="6" nd="1"/>
        <i x="1" s="1" nd="1"/>
        <i x="0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RRE" xr10:uid="{2F6288A4-B501-4C30-B155-FF9CE18711D3}" cache="SegmentaciónDeDatos_TORRE" caption="TORRE" columnCount="2" style="SlicerStyleDark6" rowHeight="257175"/>
  <slicer name="TIPO" xr10:uid="{38E57BD1-3240-4B12-A58B-63F7F3DC8A2D}" cache="SegmentaciónDeDatos_TIPO" caption="TIPO" style="SlicerStyleDark6" rowHeight="257175"/>
  <slicer name="DIAS SIN MOVIMIENTO" xr10:uid="{7E066009-A729-4D93-872B-3FF2A80331A8}" cache="SegmentaciónDeDatos_DIAS_SIN_MOVIMIENTO" caption="DIAS SIN MOVIMIENTO" startItem="9" columnCount="3" style="SlicerStyleDark6" rowHeight="257175"/>
  <slicer name="DIAS RETRASO" xr10:uid="{8F5C05B4-C5D1-46DB-956C-D8F878068469}" cache="SegmentaciónDeDatos_DIAS_RETRASO" caption="DIAS RETRASO" columnCount="3" style="SlicerStyleDark6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RRE 1" xr10:uid="{F6891B2B-D15A-44DC-A003-ABD3903DD8E3}" cache="SegmentaciónDeDatos_TORRE1" caption="TORRE" style="SlicerStyleDark6" rowHeight="257175"/>
  <slicer name="TIPO 1" xr10:uid="{A34E5D76-67DF-4BFD-AD29-CD887AA533E7}" cache="SegmentaciónDeDatos_TIPO1" caption="TIPO" style="SlicerStyleDark6" rowHeight="257175"/>
  <slicer name="DIAS SIN MOVIMIENTO 1" xr10:uid="{1A1BAF75-5206-4884-89AA-2C2BE3910A67}" cache="SegmentaciónDeDatos_DIAS_SIN_MOVIMIENTO1" caption="DIAS SIN MOVIMIENTO" columnCount="3" style="SlicerStyleDark6" rowHeight="257175"/>
  <slicer name="DIAS RETRASO 3" xr10:uid="{CEBF9CA2-0E25-4699-B8AA-FDBAEE147F36}" cache="SegmentaciónDeDatos_DIAS_RETRASO3" caption="DIAS RETRASO" startItem="15" columnCount="5" style="SlicerStyleDark6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RRE 2" xr10:uid="{8A1B2F27-0DD3-41C1-8565-665ADA777EE0}" cache="SegmentaciónDeDatos_TORRE11" caption="TORRE" style="SlicerStyleDark6" rowHeight="257175"/>
  <slicer name="TIPO 2" xr10:uid="{ECB7D785-9CA2-4888-9FEB-4DF197600115}" cache="SegmentaciónDeDatos_TIPO11" caption="TIPO" style="SlicerStyleDark6" rowHeight="257175"/>
  <slicer name="DIAS SIN MOVIMIENTO 2" xr10:uid="{8E99D43A-98D3-4A08-81E7-11C42086D46E}" cache="SegmentaciónDeDatos_DIAS_SIN_MOVIMIENTO11" caption="DIAS SIN MOVIMIENTO" columnCount="4" style="SlicerStyleDark6" rowHeight="257175"/>
  <slicer name="DIAS RETRASO 4" xr10:uid="{34807ED4-192B-404A-A62E-AAD2D9B4F473}" cache="SegmentaciónDeDatos_DIAS_RETRASO4" caption="DIAS RETRASO" startItem="16" columnCount="4" style="SlicerStyleDark6" rowHeight="257175"/>
  <slicer name="SANITARIO" xr10:uid="{F6109C5A-C13F-41C0-8574-A2F868EA9229}" cache="SegmentaciónDeDatos_SANITARIO" caption="SANITARIO" columnCount="3" style="SlicerStyleDark6" rowHeight="25717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RRE 3" xr10:uid="{1DB84C4D-790B-42CA-89BF-D76E2F3DFE24}" cache="SegmentaciónDeDatos_TORRE111" caption="TORRE" columnCount="2" style="SlicerStyleDark6" rowHeight="257175"/>
  <slicer name="TIPO 3" xr10:uid="{5082FCFC-B6B5-469C-A191-4AD36AFFB8B8}" cache="SegmentaciónDeDatos_TIPO111" caption="TIPO" style="SlicerStyleDark6" rowHeight="257175"/>
  <slicer name="DIAS SIN MOVIMIENTO 3" xr10:uid="{D1727041-EF27-4D05-82AA-971E01D105CC}" cache="SegmentaciónDeDatos_DIAS_SIN_MOVIMIENTO111" caption="DIAS SIN MOVIMIENTO" columnCount="3" style="SlicerStyleDark6" rowHeight="257175"/>
  <slicer name="DIAS RETRASO 2" xr10:uid="{83146E39-5E6E-41C9-A775-A5F3B7BB2615}" cache="SegmentaciónDeDatos_DIAS_RETRASO2" caption="DIAS RETRASO" columnCount="4" style="SlicerStyleDark6" rowHeight="257175"/>
  <slicer name="ELÉCTRICO" xr10:uid="{91F7C256-086F-4EE2-8361-DA95A44088DB}" cache="SegmentaciónDeDatos_ELÉCTRICO" caption="ELÉCTRICO" startItem="2" columnCount="2" style="SlicerStyleDark6" rowHeight="257175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RRE 4" xr10:uid="{2551A57F-8FFA-4023-838C-EE3F2CF07E12}" cache="SegmentaciónDeDatos_TORRE1111" caption="TORRE" columnCount="3" style="SlicerStyleDark6" rowHeight="257175"/>
  <slicer name="TIPO 4" xr10:uid="{5C048F82-BC07-4A72-A7DE-6361708E610B}" cache="SegmentaciónDeDatos_TIPO1111" caption="TIPO" style="SlicerStyleDark6" rowHeight="257175"/>
  <slicer name="DIAS SIN MOVIMIENTO 4" xr10:uid="{32A2E2AF-F328-4729-B077-5AA4A930D6B9}" cache="SegmentaciónDeDatos_DIAS_SIN_MOVIMIENTO1111" caption="DIAS SIN MOVIMIENTO" startItem="6" columnCount="3" style="SlicerStyleDark6" rowHeight="257175"/>
  <slicer name="DIAS RETRASO 1" xr10:uid="{28198CCC-8647-4CA6-AE21-52477E59E705}" cache="SegmentaciónDeDatos_DIAS_RETRASO1" caption="DIAS RETRASO" startItem="20" columnCount="4" style="SlicerStyleDark6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246C4-E2E1-4D48-9471-55D5994ADFC4}" name="AVANCE" displayName="AVANCE" ref="A1:CV705" tableType="queryTable" totalsRowShown="0">
  <autoFilter ref="A1:CV705" xr:uid="{B31246C4-E2E1-4D48-9471-55D5994ADFC4}">
    <filterColumn colId="0">
      <filters>
        <filter val="TORRE 05"/>
      </filters>
    </filterColumn>
  </autoFilter>
  <tableColumns count="100">
    <tableColumn id="1" xr3:uid="{CC01D0E6-5846-4187-87EB-14127EDCC871}" uniqueName="1" name="TORRE" queryTableFieldId="1" dataDxfId="337"/>
    <tableColumn id="2" xr3:uid="{E130894E-F6CA-4D5D-905F-4F1F366536F5}" uniqueName="2" name="N° MÓDULO" queryTableFieldId="2" dataDxfId="336"/>
    <tableColumn id="3" xr3:uid="{BFF2FF07-40FD-4F09-8007-2AF1CE9F45C4}" uniqueName="3" name="N° SERIE" queryTableFieldId="3"/>
    <tableColumn id="4" xr3:uid="{33BD3205-6122-4974-AC22-14FF964CBA44}" uniqueName="4" name="TIPO" queryTableFieldId="4" dataDxfId="335"/>
    <tableColumn id="5" xr3:uid="{BDE361FF-29C5-4670-8A01-C179CACB81B8}" uniqueName="5" name="% AVANCE" queryTableFieldId="5" dataDxfId="93" dataCellStyle="Porcentaje"/>
    <tableColumn id="6" xr3:uid="{19FE1DA0-E6E8-484B-9F75-7230AEFEC694}" uniqueName="6" name="FECHA INICIO TEORICO" queryTableFieldId="6" dataDxfId="92"/>
    <tableColumn id="7" xr3:uid="{037FE330-ECF9-4623-B410-4453FA8C044B}" uniqueName="7" name="FECHA INICIO REAL" queryTableFieldId="7" dataDxfId="91"/>
    <tableColumn id="8" xr3:uid="{87DEA689-5A21-4E82-A17E-1BCD3638A15D}" uniqueName="8" name="FECHA ULTIMO REGISTRO" queryTableFieldId="8" dataDxfId="90"/>
    <tableColumn id="9" xr3:uid="{BB1C7759-8AAE-482A-AC1C-B4C4F3E528C8}" uniqueName="9" name="FECHA TERMINO  PLANIFICADO" queryTableFieldId="9" dataDxfId="89"/>
    <tableColumn id="10" xr3:uid="{BF954D12-049B-4D88-AD1D-B24411010111}" uniqueName="10" name="DIAS SIN MOVIMIENTO" queryTableFieldId="10"/>
    <tableColumn id="11" xr3:uid="{47420B43-E97F-4F63-8B5A-A2841D2424EF}" uniqueName="11" name="FECHA TERMINO" queryTableFieldId="11" dataDxfId="88"/>
    <tableColumn id="12" xr3:uid="{92588F43-4D77-4560-AA59-42EDC231A3FB}" uniqueName="12" name="APORTE OBRA GRUESA" queryTableFieldId="12" dataDxfId="87" dataCellStyle="Porcentaje"/>
    <tableColumn id="13" xr3:uid="{353E4603-6E18-4BA3-93BC-B0655C7304B5}" uniqueName="13" name="OBRA GRUESA" queryTableFieldId="13" dataDxfId="86" dataCellStyle="Porcentaje"/>
    <tableColumn id="14" xr3:uid="{A635A82C-90F3-48F1-A052-800D10824798}" uniqueName="14" name="PISO" queryTableFieldId="14" dataDxfId="85" dataCellStyle="Porcentaje"/>
    <tableColumn id="15" xr3:uid="{AE55B1F4-E596-4A14-A439-DCF55F3BD905}" uniqueName="15" name="TABIQUES" queryTableFieldId="15" dataDxfId="84" dataCellStyle="Porcentaje"/>
    <tableColumn id="16" xr3:uid="{062B9351-6F03-47DE-BD88-BCC0736FA2A4}" uniqueName="16" name="MUROS" queryTableFieldId="16" dataDxfId="83" dataCellStyle="Porcentaje"/>
    <tableColumn id="17" xr3:uid="{CCBACE7F-10CB-4F7E-9256-C6EBC9384071}" uniqueName="17" name="CIELO" queryTableFieldId="17" dataDxfId="82" dataCellStyle="Porcentaje"/>
    <tableColumn id="18" xr3:uid="{C868841B-8D5E-4CA6-AE90-08F127F878CE}" uniqueName="18" name="BALCÓN" queryTableFieldId="18" dataDxfId="81" dataCellStyle="Porcentaje"/>
    <tableColumn id="19" xr3:uid="{903874A1-27E8-44CA-AF00-8283C1F0EA17}" uniqueName="19" name="APORTE SANITARIO" queryTableFieldId="19" dataDxfId="80" dataCellStyle="Porcentaje"/>
    <tableColumn id="20" xr3:uid="{29AD6DF0-DDE8-4E32-8129-4CB2E5576476}" uniqueName="20" name="SANITARIO" queryTableFieldId="20" dataDxfId="79" dataCellStyle="Porcentaje"/>
    <tableColumn id="21" xr3:uid="{2F25EC20-6B07-4147-8819-2A144F217783}" uniqueName="21" name="RED ALCANTARILLADO" queryTableFieldId="21" dataDxfId="78" dataCellStyle="Porcentaje"/>
    <tableColumn id="22" xr3:uid="{C440C4EE-6B4B-487A-BEC4-CFFFE7757B47}" uniqueName="22" name="RED DE AGUA" queryTableFieldId="22" dataDxfId="77" dataCellStyle="Porcentaje"/>
    <tableColumn id="23" xr3:uid="{8A70897F-9636-4981-A17C-2149BA979800}" uniqueName="23" name="VENTILACIONES" queryTableFieldId="23" dataDxfId="76" dataCellStyle="Porcentaje"/>
    <tableColumn id="24" xr3:uid="{5797A3BC-E6AB-4DE7-8C7D-F1CDD4EB18CB}" uniqueName="24" name="TINA" queryTableFieldId="24" dataDxfId="75" dataCellStyle="Porcentaje"/>
    <tableColumn id="25" xr3:uid="{6526A2CB-2325-4EED-B21B-FAF84B05C3C9}" uniqueName="25" name="WC" queryTableFieldId="25" dataDxfId="74" dataCellStyle="Porcentaje"/>
    <tableColumn id="26" xr3:uid="{09E6A506-7D87-441A-A371-7C72D4BF0401}" uniqueName="26" name="LAVAMANOS / LAVAPLATOS / LAVADERO" queryTableFieldId="26" dataDxfId="73" dataCellStyle="Porcentaje"/>
    <tableColumn id="27" xr3:uid="{E39FAC50-4AD2-4435-B927-4258F81998FF}" uniqueName="27" name="APORTE ELÉCTRICO" queryTableFieldId="27" dataDxfId="72" dataCellStyle="Porcentaje"/>
    <tableColumn id="28" xr3:uid="{976C8C1B-A6E2-4AC6-A253-B23762665627}" uniqueName="28" name="ELÉCTRICO" queryTableFieldId="28" dataDxfId="71" dataCellStyle="Porcentaje"/>
    <tableColumn id="29" xr3:uid="{5B18FF7D-D99B-4445-AAAA-186FA3733BA7}" uniqueName="29" name="CANALIZACIÓN" queryTableFieldId="29" dataDxfId="70" dataCellStyle="Porcentaje"/>
    <tableColumn id="30" xr3:uid="{3534CFEF-B985-4CAE-AC90-8E0E4C8614E9}" uniqueName="30" name="CABLEADO" queryTableFieldId="30" dataDxfId="69" dataCellStyle="Porcentaje"/>
    <tableColumn id="31" xr3:uid="{9711328A-E52C-4AC9-9269-2B50B6D34A24}" uniqueName="31" name="ARTEFACTOS" queryTableFieldId="31" dataDxfId="68" dataCellStyle="Porcentaje"/>
    <tableColumn id="32" xr3:uid="{265B52E6-BDA1-448B-A3DC-C9386EEB2E36}" uniqueName="32" name="TABLERO" queryTableFieldId="32" dataDxfId="67" dataCellStyle="Porcentaje"/>
    <tableColumn id="33" xr3:uid="{53A0BC67-EFEF-41B8-9FE9-73209B35471F}" uniqueName="33" name="CAJA PAU" queryTableFieldId="33" dataDxfId="66" dataCellStyle="Porcentaje"/>
    <tableColumn id="34" xr3:uid="{6DBCD4E5-A4FC-4B12-8EF8-B67B95E704EA}" uniqueName="34" name="APORTE TERMINACIONES" queryTableFieldId="34" dataDxfId="65" dataCellStyle="Porcentaje"/>
    <tableColumn id="35" xr3:uid="{2B79BFAD-46C2-4BFD-939D-C648578DD440}" uniqueName="35" name="TERMINACIONES" queryTableFieldId="35" dataDxfId="64" dataCellStyle="Porcentaje"/>
    <tableColumn id="36" xr3:uid="{51BBEE62-7953-4DA1-B583-BA88BBD4EFAC}" uniqueName="36" name="INSTALACION VINILICO" queryTableFieldId="36" dataDxfId="63" dataCellStyle="Porcentaje"/>
    <tableColumn id="37" xr3:uid="{C692D996-6C4A-41F9-99E8-4C3E01D43424}" uniqueName="37" name="OSB CUBIERTA" queryTableFieldId="37" dataDxfId="62" dataCellStyle="Porcentaje"/>
    <tableColumn id="38" xr3:uid="{F9C399E0-E657-4A34-BA4C-704D774F07BE}" uniqueName="38" name="BARANDA BALCON" queryTableFieldId="38" dataDxfId="61" dataCellStyle="Porcentaje"/>
    <tableColumn id="39" xr3:uid="{A99725E0-A7A2-489E-8473-5E9949F7BC0F}" uniqueName="39" name="OSB EXTERIOR" queryTableFieldId="39" dataDxfId="60" dataCellStyle="Porcentaje"/>
    <tableColumn id="40" xr3:uid="{8465EF93-CA88-4054-95FE-C37D83E9083F}" uniqueName="40" name="SMART PANEL" queryTableFieldId="40" dataDxfId="59" dataCellStyle="Porcentaje"/>
    <tableColumn id="41" xr3:uid="{65151F6C-CD6C-46F1-91DA-A4D7122E888E}" uniqueName="41" name="PINTURA EXTERIOR" queryTableFieldId="41" dataDxfId="58" dataCellStyle="Porcentaje"/>
    <tableColumn id="42" xr3:uid="{9726C0CF-DF38-4D39-9F0E-51DCD7374B56}" uniqueName="42" name="ZOCALOS LOGIA" queryTableFieldId="42" dataDxfId="57" dataCellStyle="Porcentaje"/>
    <tableColumn id="43" xr3:uid="{F6CA1DF9-1FF3-4998-8F25-0CF29E6BFE50}" uniqueName="43" name="MOLDURAS" queryTableFieldId="43" dataDxfId="56" dataCellStyle="Porcentaje"/>
    <tableColumn id="44" xr3:uid="{63ABC693-3673-48B2-8DEE-DC9044CE0593}" uniqueName="44" name="PILASTREO" queryTableFieldId="44" dataDxfId="55" dataCellStyle="Porcentaje"/>
    <tableColumn id="45" xr3:uid="{A9CE56FA-F56B-4EF7-9DB7-056F5728DCEA}" uniqueName="45" name="CELOSIAS" queryTableFieldId="45" dataDxfId="54" dataCellStyle="Porcentaje"/>
    <tableColumn id="46" xr3:uid="{01F1BF41-9B22-4B7F-8ED3-E38B4DE6EE76}" uniqueName="46" name="VENTANAS" queryTableFieldId="46" dataDxfId="53" dataCellStyle="Porcentaje"/>
    <tableColumn id="47" xr3:uid="{D60904CF-CF14-479F-ACBD-DADC69BCA28A}" uniqueName="47" name="PUERTAS ACCESO - LOGIA - BANO" queryTableFieldId="47" dataDxfId="52" dataCellStyle="Porcentaje"/>
    <tableColumn id="48" xr3:uid="{869738D7-7DF1-44F4-9510-8C8AEC15289B}" uniqueName="48" name="CERRADURAS" queryTableFieldId="48" dataDxfId="51" dataCellStyle="Porcentaje"/>
    <tableColumn id="49" xr3:uid="{A9A0E484-9AAD-4FD3-AC4D-600DD7620FEF}" uniqueName="49" name="REVESTIMIENTO INTERIOR ZONA SECA" queryTableFieldId="49" dataDxfId="50" dataCellStyle="Porcentaje"/>
    <tableColumn id="50" xr3:uid="{28CACDE0-8E4C-46B0-9829-89CF6278B21B}" uniqueName="50" name="REVESTIMIENTO INTERIOR ZONAS HUMEDAS" queryTableFieldId="50" dataDxfId="49" dataCellStyle="Porcentaje"/>
    <tableColumn id="51" xr3:uid="{4E166BEB-6F61-464A-97E4-EC0BA0DAD324}" uniqueName="51" name="MEMBRANA CIELO" queryTableFieldId="51" dataDxfId="48" dataCellStyle="Porcentaje"/>
    <tableColumn id="52" xr3:uid="{11C862BD-267A-44B0-A840-45135C4A3BEE}" uniqueName="52" name="LIMPIEZA FINAL" queryTableFieldId="52" dataDxfId="47" dataCellStyle="Porcentaje"/>
    <tableColumn id="53" xr3:uid="{77F70AF2-D4BC-4064-8A19-2D2A42EC569F}" uniqueName="53" name="PUERTAS DORMITORIO" queryTableFieldId="53" dataDxfId="46" dataCellStyle="Porcentaje"/>
    <tableColumn id="54" xr3:uid="{4F684587-9394-4B13-A1C7-52E85E812278}" uniqueName="54" name="REVESTIMIENTO INTERIOR BANO" queryTableFieldId="54" dataDxfId="45" dataCellStyle="Porcentaje"/>
    <tableColumn id="55" xr3:uid="{7CBE9F23-D996-45F8-AF61-5430E758D31E}" uniqueName="55" name="MUEBLE LAVAPLATOS" queryTableFieldId="55" dataDxfId="44" dataCellStyle="Porcentaje"/>
    <tableColumn id="56" xr3:uid="{A33F75BC-6088-4D55-BD9B-2978D7728AEC}" uniqueName="56" name="IMPERMEABILIZACION BANO - COCINA LOGIA" queryTableFieldId="56" dataDxfId="43" dataCellStyle="Porcentaje"/>
    <tableColumn id="100" xr3:uid="{A3C70B57-D8CF-4733-AC82-F9A3EDDC9231}" uniqueName="100" name="METROS CUADRADOS" queryTableFieldId="100" dataCellStyle="Porcentaje"/>
    <tableColumn id="57" xr3:uid="{922116AD-AB76-4B3E-893D-0CCAF6FAA288}" uniqueName="57" name="ESTADO MODULO" queryTableFieldId="57" dataDxfId="42" dataCellStyle="Porcentaje">
      <calculatedColumnFormula>+IF(AVANCE[[#This Row],[% AVANCE]]=100%,"MODULO TERMINADO",IF(AVANCE[[#This Row],[FECHA INICIO REAL]]="","MODULO NO INICIADO","PENDIENTE"))</calculatedColumnFormula>
    </tableColumn>
    <tableColumn id="58" xr3:uid="{E14AB307-B50C-4489-ABB9-AD6299C7DC08}" uniqueName="58" name="VENTANAS2" queryTableFieldId="58" dataDxfId="41" dataCellStyle="Porcentaje">
      <calculatedColumnFormula>+IF(AVANCE[[#This Row],[VENTANAS]]=8.10810810810811%,100%,AVANCE[[#This Row],[VENTANAS]])</calculatedColumnFormula>
    </tableColumn>
    <tableColumn id="59" xr3:uid="{30F8A16E-4CED-45F2-AAF0-54D1B085FC27}" uniqueName="59" name="PISO2" queryTableFieldId="59" dataDxfId="40" dataCellStyle="Porcentaje">
      <calculatedColumnFormula>+IF(AVANCE[[#This Row],[PISO]]=N$2,100%,AVANCE[[#This Row],[PISO]])</calculatedColumnFormula>
    </tableColumn>
    <tableColumn id="60" xr3:uid="{430B4B4B-9D0D-45B6-977B-159471BBA7DD}" uniqueName="60" name="TABIQUES2" queryTableFieldId="60" dataDxfId="39" dataCellStyle="Porcentaje">
      <calculatedColumnFormula>+IF(AVANCE[[#This Row],[TABIQUES]]=O$2,100%,AVANCE[[#This Row],[TABIQUES]])</calculatedColumnFormula>
    </tableColumn>
    <tableColumn id="61" xr3:uid="{31D2F122-710B-42E4-BBDA-6772EEE40E9F}" uniqueName="61" name="MUROS2" queryTableFieldId="61" dataDxfId="38" dataCellStyle="Porcentaje">
      <calculatedColumnFormula>+IF(AVANCE[[#This Row],[MUROS]]=P$2,100%,AVANCE[[#This Row],[MUROS]])</calculatedColumnFormula>
    </tableColumn>
    <tableColumn id="62" xr3:uid="{F779D7F1-65BB-4DF5-803C-77B33F0126CB}" uniqueName="62" name="CIELO2" queryTableFieldId="62" dataDxfId="37" dataCellStyle="Porcentaje">
      <calculatedColumnFormula>+IF(AVANCE[[#This Row],[CIELO]]=Q$2,100%,AVANCE[[#This Row],[CIELO]])</calculatedColumnFormula>
    </tableColumn>
    <tableColumn id="63" xr3:uid="{6EA109BB-BA93-489A-86B9-AAC1547EE1D9}" uniqueName="63" name="BALCÓN2" queryTableFieldId="63" dataDxfId="36" dataCellStyle="Porcentaje">
      <calculatedColumnFormula>+IF(AVANCE[[#This Row],[BALCÓN]]=R$2,100%,AVANCE[[#This Row],[BALCÓN]])</calculatedColumnFormula>
    </tableColumn>
    <tableColumn id="64" xr3:uid="{050685A7-652E-4DE7-8CF2-DD5D87126712}" uniqueName="64" name="RED ALCANTARILLADO2" queryTableFieldId="64" dataDxfId="35" dataCellStyle="Porcentaje">
      <calculatedColumnFormula>+IF(AVANCE[[#This Row],[RED ALCANTARILLADO]]=U$2,100%,AVANCE[[#This Row],[RED ALCANTARILLADO]])</calculatedColumnFormula>
    </tableColumn>
    <tableColumn id="65" xr3:uid="{05C6A12E-D484-4A30-9269-355CC36E19E2}" uniqueName="65" name="RED DE AGUA2" queryTableFieldId="65" dataDxfId="34" dataCellStyle="Porcentaje">
      <calculatedColumnFormula>+IF(AVANCE[[#This Row],[RED DE AGUA]]=V$2,100%,AVANCE[[#This Row],[RED DE AGUA]])</calculatedColumnFormula>
    </tableColumn>
    <tableColumn id="66" xr3:uid="{D822E2E5-7115-43E9-8F1C-AC9FA1C98F90}" uniqueName="66" name="VENTILACIONES2" queryTableFieldId="66" dataDxfId="33" dataCellStyle="Porcentaje">
      <calculatedColumnFormula>+IF(AVANCE[[#This Row],[VENTILACIONES]]=W$2,100%,AVANCE[[#This Row],[VENTILACIONES]])</calculatedColumnFormula>
    </tableColumn>
    <tableColumn id="67" xr3:uid="{397A12A0-2945-44BE-B237-92BB9497B0AE}" uniqueName="67" name="TINA2" queryTableFieldId="67" dataDxfId="32" dataCellStyle="Porcentaje">
      <calculatedColumnFormula>+IF(AVANCE[[#This Row],[TINA]]=X$2,100%,AVANCE[[#This Row],[TINA]])</calculatedColumnFormula>
    </tableColumn>
    <tableColumn id="68" xr3:uid="{C2D9A39E-CC21-46DB-8EE7-98C929DEBFD5}" uniqueName="68" name="WC2" queryTableFieldId="68" dataDxfId="31" dataCellStyle="Porcentaje">
      <calculatedColumnFormula>+IF(AVANCE[[#This Row],[WC]]=Y$2,100%,AVANCE[[#This Row],[WC]])</calculatedColumnFormula>
    </tableColumn>
    <tableColumn id="69" xr3:uid="{D1EAFB20-57F3-43CE-87ED-7EEC3A4305D2}" uniqueName="69" name="LAVAMANOS / LAVAPLATOS / LAVADERO2" queryTableFieldId="69" dataDxfId="30" dataCellStyle="Porcentaje">
      <calculatedColumnFormula>+IF(AVANCE[[#This Row],[LAVAMANOS / LAVAPLATOS / LAVADERO]]=Z$2,100%,AVANCE[[#This Row],[LAVAMANOS / LAVAPLATOS / LAVADERO]])</calculatedColumnFormula>
    </tableColumn>
    <tableColumn id="70" xr3:uid="{74611D6A-4EFE-44A1-B51F-635083AC10D1}" uniqueName="70" name="CANALIZACIÓN2" queryTableFieldId="70" dataDxfId="29" dataCellStyle="Porcentaje">
      <calculatedColumnFormula>+IF(AVANCE[[#This Row],[CANALIZACIÓN]]=AC$2,100%,AVANCE[[#This Row],[CANALIZACIÓN]])</calculatedColumnFormula>
    </tableColumn>
    <tableColumn id="71" xr3:uid="{A39CD572-38BF-43F1-A753-5A205B9CF6C7}" uniqueName="71" name="CABLEADO2" queryTableFieldId="71" dataDxfId="28" dataCellStyle="Porcentaje">
      <calculatedColumnFormula>+IF(AVANCE[[#This Row],[CABLEADO]]=AD$2,100%,AVANCE[[#This Row],[CABLEADO]])</calculatedColumnFormula>
    </tableColumn>
    <tableColumn id="72" xr3:uid="{83F15726-0D2B-460F-A936-D858F4765244}" uniqueName="72" name="ARTEFACTOS2" queryTableFieldId="72" dataDxfId="27" dataCellStyle="Porcentaje">
      <calculatedColumnFormula>+IF(AVANCE[[#This Row],[ARTEFACTOS]]=AE$2,100%,AVANCE[[#This Row],[ARTEFACTOS]])</calculatedColumnFormula>
    </tableColumn>
    <tableColumn id="73" xr3:uid="{AD1DA630-D983-47B9-98A5-1EAB18D54AD3}" uniqueName="73" name="TABLERO2" queryTableFieldId="73" dataDxfId="26" dataCellStyle="Porcentaje">
      <calculatedColumnFormula>+IF(AVANCE[[#This Row],[TABLERO]]=AF$2,100%,AVANCE[[#This Row],[TABLERO]])</calculatedColumnFormula>
    </tableColumn>
    <tableColumn id="74" xr3:uid="{DE5D6D78-034B-4AF5-936B-915A653E9FD7}" uniqueName="74" name="CAJA PAU2" queryTableFieldId="74" dataDxfId="25" dataCellStyle="Porcentaje">
      <calculatedColumnFormula>+IF(AVANCE[[#This Row],[CAJA PAU]]=AG$2,100%,AVANCE[[#This Row],[CAJA PAU]])</calculatedColumnFormula>
    </tableColumn>
    <tableColumn id="75" xr3:uid="{A8805F3E-6909-47E9-8C96-C3929801CF91}" uniqueName="75" name="INSTALACION VINILICO2" queryTableFieldId="75" dataDxfId="24" dataCellStyle="Porcentaje">
      <calculatedColumnFormula>+IF(AVANCE[[#This Row],[INSTALACION VINILICO]]=AJ$2,100%,AVANCE[[#This Row],[INSTALACION VINILICO]])</calculatedColumnFormula>
    </tableColumn>
    <tableColumn id="76" xr3:uid="{2A1A5F1B-142C-45D9-8464-C6AB1E7D3C74}" uniqueName="76" name="OSB CUBIERTA3" queryTableFieldId="76" dataDxfId="23" dataCellStyle="Porcentaje">
      <calculatedColumnFormula>+IF(AVANCE[[#This Row],[OSB CUBIERTA]]=AK$2,100%,AVANCE[[#This Row],[OSB CUBIERTA]])</calculatedColumnFormula>
    </tableColumn>
    <tableColumn id="77" xr3:uid="{3D5FADF2-02BC-4D04-BC64-3CA363939B60}" uniqueName="77" name="BARANDA BALCON4" queryTableFieldId="77" dataDxfId="22" dataCellStyle="Porcentaje">
      <calculatedColumnFormula>+IF(AVANCE[[#This Row],[BARANDA BALCON]]=AL$2,100%,AVANCE[[#This Row],[BARANDA BALCON]])</calculatedColumnFormula>
    </tableColumn>
    <tableColumn id="78" xr3:uid="{981B437B-032D-4C53-8611-5DA1A4728F2E}" uniqueName="78" name="OSB EXTERIOR5" queryTableFieldId="78" dataDxfId="21" dataCellStyle="Porcentaje">
      <calculatedColumnFormula>+IF(AVANCE[[#This Row],[OSB EXTERIOR]]=AM$2,100%,AVANCE[[#This Row],[OSB EXTERIOR]])</calculatedColumnFormula>
    </tableColumn>
    <tableColumn id="79" xr3:uid="{1DA28184-7541-4F5A-B340-E042CFFFE85C}" uniqueName="79" name="SMART PANEL6" queryTableFieldId="79" dataDxfId="20" dataCellStyle="Porcentaje">
      <calculatedColumnFormula>+IF(AVANCE[[#This Row],[SMART PANEL]]=AN$2,100%,AVANCE[[#This Row],[SMART PANEL]])</calculatedColumnFormula>
    </tableColumn>
    <tableColumn id="80" xr3:uid="{E5E1F7AB-3912-494A-BAF8-E7C9B5795BDC}" uniqueName="80" name="PINTURA EXTERIOR7" queryTableFieldId="80" dataDxfId="19" dataCellStyle="Porcentaje">
      <calculatedColumnFormula>+IF(AVANCE[[#This Row],[PINTURA EXTERIOR]]=AO$2,100%,AVANCE[[#This Row],[PINTURA EXTERIOR]])</calculatedColumnFormula>
    </tableColumn>
    <tableColumn id="81" xr3:uid="{71E1A795-D9A4-44EA-8BF2-169BD650CEAC}" uniqueName="81" name="ZOCALOS LOGIA8" queryTableFieldId="81" dataDxfId="18" dataCellStyle="Porcentaje">
      <calculatedColumnFormula>+IF(AVANCE[[#This Row],[ZOCALOS LOGIA]]=AP$2,100%,AVANCE[[#This Row],[ZOCALOS LOGIA]])</calculatedColumnFormula>
    </tableColumn>
    <tableColumn id="82" xr3:uid="{457EF949-CBC4-4438-B7F4-4821BD42CD0F}" uniqueName="82" name="MOLDURAS9" queryTableFieldId="82" dataDxfId="17" dataCellStyle="Porcentaje">
      <calculatedColumnFormula>+IF(AVANCE[[#This Row],[MOLDURAS]]=AQ$2,100%,AVANCE[[#This Row],[MOLDURAS]])</calculatedColumnFormula>
    </tableColumn>
    <tableColumn id="83" xr3:uid="{BDCC8745-DD3C-4BA7-A4FD-EC5D1F3A26A7}" uniqueName="83" name="PILASTREO10" queryTableFieldId="83" dataDxfId="16" dataCellStyle="Porcentaje">
      <calculatedColumnFormula>+IF(AVANCE[[#This Row],[PILASTREO]]=AR$2,100%,AVANCE[[#This Row],[PILASTREO]])</calculatedColumnFormula>
    </tableColumn>
    <tableColumn id="84" xr3:uid="{E31B1713-5297-4044-A17A-0ED250938007}" uniqueName="84" name="CELOSIAS11" queryTableFieldId="84" dataDxfId="15" dataCellStyle="Porcentaje">
      <calculatedColumnFormula>+IF(AVANCE[[#This Row],[CELOSIAS]]=AS$2,100%,AVANCE[[#This Row],[CELOSIAS]])</calculatedColumnFormula>
    </tableColumn>
    <tableColumn id="85" xr3:uid="{DD070B07-D15A-41D6-84A0-53E8246EA9E6}" uniqueName="85" name="VENTANAS12" queryTableFieldId="85" dataDxfId="14" dataCellStyle="Porcentaje">
      <calculatedColumnFormula>+IF(AVANCE[[#This Row],[VENTANAS]]=AT$2,100%,AVANCE[[#This Row],[VENTANAS]])</calculatedColumnFormula>
    </tableColumn>
    <tableColumn id="86" xr3:uid="{C73768B6-9332-412F-907E-83529A21CEF8}" uniqueName="86" name="PUERTAS ACCESO - LOGIA - BANO13" queryTableFieldId="86" dataDxfId="13" dataCellStyle="Porcentaje">
      <calculatedColumnFormula>+IF(AVANCE[[#This Row],[PUERTAS ACCESO - LOGIA - BANO]]=AU$2,100%,AVANCE[[#This Row],[PUERTAS ACCESO - LOGIA - BANO]])</calculatedColumnFormula>
    </tableColumn>
    <tableColumn id="87" xr3:uid="{40738DB7-909A-4DE8-85D0-68DB7912F6BC}" uniqueName="87" name="CERRADURAS14" queryTableFieldId="87" dataDxfId="12" dataCellStyle="Porcentaje">
      <calculatedColumnFormula>+IF(AVANCE[[#This Row],[CERRADURAS]]=AV$2,100%,AVANCE[[#This Row],[CERRADURAS]])</calculatedColumnFormula>
    </tableColumn>
    <tableColumn id="88" xr3:uid="{D5BAB3EC-9BBC-4F4A-A46B-A44F0B9E3316}" uniqueName="88" name="REVESTIMIENTO INTERIOR ZONA SECA15" queryTableFieldId="88" dataDxfId="11" dataCellStyle="Porcentaje">
      <calculatedColumnFormula>+IF(AVANCE[[#This Row],[REVESTIMIENTO INTERIOR ZONA SECA]]=AW$2,100%,AVANCE[[#This Row],[REVESTIMIENTO INTERIOR ZONA SECA]])</calculatedColumnFormula>
    </tableColumn>
    <tableColumn id="89" xr3:uid="{28F808E3-7F52-4D57-A3D8-2757D75BDE27}" uniqueName="89" name="REVESTIMIENTO INTERIOR ZONAS HUMEDAS16" queryTableFieldId="89" dataDxfId="10" dataCellStyle="Porcentaje">
      <calculatedColumnFormula>+IF(AVANCE[[#This Row],[REVESTIMIENTO INTERIOR ZONAS HUMEDAS]]=AX$2,100%,AVANCE[[#This Row],[REVESTIMIENTO INTERIOR ZONAS HUMEDAS]])</calculatedColumnFormula>
    </tableColumn>
    <tableColumn id="90" xr3:uid="{14B08ED8-8381-4999-BAA5-D2F1095FD7FF}" uniqueName="90" name="MEMBRANA CIELO17" queryTableFieldId="90" dataDxfId="9" dataCellStyle="Porcentaje">
      <calculatedColumnFormula>+IF(AVANCE[[#This Row],[MEMBRANA CIELO]]=AY$2,100%,AVANCE[[#This Row],[MEMBRANA CIELO]])</calculatedColumnFormula>
    </tableColumn>
    <tableColumn id="91" xr3:uid="{6D87D781-4C7E-4320-AC09-345D5579D8FB}" uniqueName="91" name="LIMPIEZA FINAL18" queryTableFieldId="91" dataDxfId="8" dataCellStyle="Porcentaje">
      <calculatedColumnFormula>+IF(AVANCE[[#This Row],[LIMPIEZA FINAL]]=AZ$2,100%,AVANCE[[#This Row],[LIMPIEZA FINAL]])</calculatedColumnFormula>
    </tableColumn>
    <tableColumn id="92" xr3:uid="{212CF2E0-B214-46FF-A80C-60C687F103A7}" uniqueName="92" name="PUERTAS DORMITORIO19" queryTableFieldId="92" dataDxfId="7" dataCellStyle="Porcentaje">
      <calculatedColumnFormula>+IF(AVANCE[[#This Row],[PUERTAS DORMITORIO]]=BA$2,100%,AVANCE[[#This Row],[PUERTAS DORMITORIO]])</calculatedColumnFormula>
    </tableColumn>
    <tableColumn id="93" xr3:uid="{FC6EB19C-DBB9-4C29-B3FD-E297290B4D94}" uniqueName="93" name="REVESTIMIENTO INTERIOR BANO20" queryTableFieldId="93" dataDxfId="6" dataCellStyle="Porcentaje">
      <calculatedColumnFormula>+IF(AVANCE[[#This Row],[REVESTIMIENTO INTERIOR BANO]]=BB$2,100%,AVANCE[[#This Row],[REVESTIMIENTO INTERIOR BANO]])</calculatedColumnFormula>
    </tableColumn>
    <tableColumn id="94" xr3:uid="{61FED892-CF50-4585-9950-75E9DDCF89C0}" uniqueName="94" name="MUEBLE LAVAPLATOS21" queryTableFieldId="94" dataDxfId="5" dataCellStyle="Porcentaje">
      <calculatedColumnFormula>+IF(AVANCE[[#This Row],[MUEBLE LAVAPLATOS]]=BC$2,100%,AVANCE[[#This Row],[MUEBLE LAVAPLATOS]])</calculatedColumnFormula>
    </tableColumn>
    <tableColumn id="95" xr3:uid="{8885C3DB-2D31-48EF-9442-B488B80FAF95}" uniqueName="95" name="IMPERMEABILIZACION BANO - COCINA LOGIA22" queryTableFieldId="95" dataDxfId="4" dataCellStyle="Porcentaje">
      <calculatedColumnFormula>+IF(AVANCE[[#This Row],[IMPERMEABILIZACION BANO - COCINA LOGIA]]=BD$2,100%,AVANCE[[#This Row],[IMPERMEABILIZACION BANO - COCINA LOGIA]])</calculatedColumnFormula>
    </tableColumn>
    <tableColumn id="96" xr3:uid="{F71CA000-49AF-4DA1-92CB-71AD6574FB04}" uniqueName="96" name="DIAS RETRASO" queryTableFieldId="96" dataDxfId="3" dataCellStyle="Millares [0]">
      <calculatedColumnFormula>+IF(AVANCE[[#This Row],[ESTADO MODULO]]="PENDIENTE",(TODAY()-AVANCE[[#This Row],[FECHA TERMINO  PLANIFICADO]]),0)</calculatedColumnFormula>
    </tableColumn>
    <tableColumn id="97" xr3:uid="{1CEFB6FB-9DB3-425D-B353-5CA46AB85533}" uniqueName="97" name="PARTIDAS PENDIENTES POR CATEGORÍA" queryTableFieldId="97" dataDxfId="2" dataCellStyle="Porcentaje">
      <calculatedColumnFormula array="1">_xlfn.TEXTJOIN(" | ",TRUE,IF(SUMPRODUCT((BG2:CR2&lt;1)*(PARTIDAS!$I$2:$AT$2="OBRA GRUESA"))&gt;0,"OBRA GRUESA: "&amp;_xlfn.TEXTJOIN(", ",TRUE,IF((BG2:CR2&lt;1)*(PARTIDAS!$I$2:$AT$2="OBRA GRUESA"),PARTIDAS!$I$1:$AT$1,"")),""),IF(SUMPRODUCT((BG2:CR2&lt;1)*(PARTIDAS!$I$2:$AT$2="SANITARIOS"))&gt;0,"SANITARIOS: "&amp;_xlfn.TEXTJOIN(", ",TRUE,IF((BG2:CR2&lt;1)*(PARTIDAS!$I$2:$AT$2="SANITARIOS"),PARTIDAS!$I$1:$AT$1,"")),""),IF(SUMPRODUCT((BG2:CR2&lt;1)*(PARTIDAS!$I$2:$AT$2="ELÉCTRICO"))&gt;0,"ELÉCTRICO: "&amp;_xlfn.TEXTJOIN(", ",TRUE,IF((BG2:CR2&lt;1)*(PARTIDAS!$I$2:$AT$2="ELÉCTRICO"),PARTIDAS!$I$1:$AT$1,"")),""),IF(SUMPRODUCT((BG2:CR2&lt;1)*(PARTIDAS!$I$2:$AT$2="TERMINACIONES"))&gt;0,"TERMINACIONES: "&amp;_xlfn.TEXTJOIN(", ",TRUE,IF((BG2:CR2&lt;1)*(PARTIDAS!$I$2:$AT$2="TERMINACIONES"),PARTIDAS!$I$1:$AT$1,"")),""))</calculatedColumnFormula>
    </tableColumn>
    <tableColumn id="98" xr3:uid="{A9D294A4-B286-41D7-AC9A-EBBB7A53ABE3}" uniqueName="98" name="CATEGORÍAS PENDIENTES" queryTableFieldId="98" dataDxfId="1" dataCellStyle="Porcentaje">
      <calculatedColumnFormula array="1">_xlfn.TEXTJOIN(", ",TRUE,IF(SUMPRODUCT((BG2:CR2&lt;1)*(PARTIDAS!$I$2:$AT$2="OBRA GRUESA"))&gt;0,"OBRA GRUESA",""),IF(SUMPRODUCT((BG2:CR2&lt;1)*(PARTIDAS!$I$2:$AT$2="SANITARIOS"))&gt;0,"SANITARIOS",""),IF(SUMPRODUCT((BG2:CR2&lt;1)*(PARTIDAS!$I$2:$AT$2="ELÉCTRICO"))&gt;0,"ELÉCTRICO",""),IF(SUMPRODUCT((BG2:CR2&lt;1)*(PARTIDAS!$I$2:$AT$2="TERMINACIONES"))&gt;0,"TERMINACIONES",""))</calculatedColumnFormula>
    </tableColumn>
    <tableColumn id="99" xr3:uid="{D54A0F0F-E317-4DF8-963B-A42D587F8C25}" uniqueName="99" name="N° PENDIENTES" queryTableFieldId="99" dataDxfId="0">
      <calculatedColumnFormula array="1">SUMPRODUCT(--(BG2:CR2&lt;1))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594F07-E2F8-42F6-8504-DE5B4F7F91C3}" name="PARTIDAS" displayName="PARTIDAS" ref="A1:H38" totalsRowShown="0" headerRowDxfId="334" tableBorderDxfId="333">
  <autoFilter ref="A1:H38" xr:uid="{CA594F07-E2F8-42F6-8504-DE5B4F7F91C3}"/>
  <sortState xmlns:xlrd2="http://schemas.microsoft.com/office/spreadsheetml/2017/richdata2" ref="A2:H38">
    <sortCondition ref="F1:F38"/>
  </sortState>
  <tableColumns count="8">
    <tableColumn id="1" xr3:uid="{4C525355-FA65-492D-8E5A-B3AABA9EC7A3}" name="PARTIDA" dataDxfId="332"/>
    <tableColumn id="2" xr3:uid="{9038CCEA-ADD0-4D49-AFF2-359752B71E85}" name="CATEGORIA" dataDxfId="331"/>
    <tableColumn id="3" xr3:uid="{71B32BC0-0A68-48A1-A6AD-BAD1CF9ECEE9}" name="PESO" dataDxfId="330"/>
    <tableColumn id="4" xr3:uid="{3E30F266-296D-4A97-B06C-DB9F66D56A96}" name="PESO POR PARTIDA" dataDxfId="329">
      <calculatedColumnFormula>C2/SUM(C$18:C$38)</calculatedColumnFormula>
    </tableColumn>
    <tableColumn id="5" xr3:uid="{AF139575-BD72-4422-8F18-D7158E40BE85}" name="PESO GRUPO" dataDxfId="328"/>
    <tableColumn id="9" xr3:uid="{4865F242-E371-4145-8AC7-4CE4A19AC892}" name="CATEGORIA2" dataDxfId="327"/>
    <tableColumn id="8" xr3:uid="{CC58262B-B4D1-4698-871C-EAAF1A3B0485}" name="PRIORIDAD" dataDxfId="326" dataCellStyle="Millares [0]"/>
    <tableColumn id="7" xr3:uid="{619E6A61-87C5-4428-8784-2191785D4A1C}" name="TIEMPO EN D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F67EA7-2857-438B-AB5A-CF3D6A271A94}">
  <we:reference id="wa200009404" version="1.0.0.8" store="es-MX" storeType="OMEX"/>
  <we:alternateReferences>
    <we:reference id="WA200009404" version="1.0.0.8" store="WA200009404" storeType="OMEX"/>
  </we:alternateReferences>
  <we:properties>
    <we:property name="claude.fileId" value="&quot;d99a0ee2-5cb0-4779-8324-e331101f821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575F-3C9F-4A24-A39B-D74A02D46C63}">
  <dimension ref="A1:CV705"/>
  <sheetViews>
    <sheetView tabSelected="1" workbookViewId="0">
      <selection activeCell="C160" sqref="C160"/>
    </sheetView>
  </sheetViews>
  <sheetFormatPr baseColWidth="10" defaultRowHeight="15" x14ac:dyDescent="0.25"/>
  <cols>
    <col min="1" max="1" width="9.42578125" bestFit="1" customWidth="1"/>
    <col min="2" max="2" width="14.140625" bestFit="1" customWidth="1"/>
    <col min="3" max="3" width="11.28515625" bestFit="1" customWidth="1"/>
    <col min="4" max="4" width="8.85546875" bestFit="1" customWidth="1"/>
    <col min="5" max="5" width="12.7109375" style="2" bestFit="1" customWidth="1"/>
    <col min="6" max="6" width="24.85546875" bestFit="1" customWidth="1"/>
    <col min="7" max="7" width="21" bestFit="1" customWidth="1"/>
    <col min="8" max="8" width="26.7109375" bestFit="1" customWidth="1"/>
    <col min="9" max="9" width="31.85546875" bestFit="1" customWidth="1"/>
    <col min="10" max="10" width="23.7109375" bestFit="1" customWidth="1"/>
    <col min="11" max="11" width="18.42578125" hidden="1" customWidth="1"/>
    <col min="12" max="12" width="24" style="3" hidden="1" customWidth="1"/>
    <col min="13" max="13" width="16.140625" style="3" customWidth="1"/>
    <col min="14" max="14" width="12" style="3" hidden="1" customWidth="1"/>
    <col min="15" max="15" width="12.140625" style="3" hidden="1" customWidth="1"/>
    <col min="16" max="18" width="12" style="3" hidden="1" customWidth="1"/>
    <col min="19" max="19" width="20.7109375" style="3" hidden="1" customWidth="1"/>
    <col min="20" max="20" width="13" style="3" customWidth="1"/>
    <col min="21" max="21" width="24" style="3" hidden="1" customWidth="1"/>
    <col min="22" max="22" width="15.5703125" style="3" hidden="1" customWidth="1"/>
    <col min="23" max="23" width="17.85546875" style="3" hidden="1" customWidth="1"/>
    <col min="24" max="25" width="12" style="3" hidden="1" customWidth="1"/>
    <col min="26" max="26" width="15" style="3" hidden="1" customWidth="1"/>
    <col min="27" max="27" width="21.42578125" style="3" hidden="1" customWidth="1"/>
    <col min="28" max="28" width="13.7109375" style="3" customWidth="1"/>
    <col min="29" max="29" width="17" style="3" hidden="1" customWidth="1"/>
    <col min="30" max="30" width="13.140625" style="3" hidden="1" customWidth="1"/>
    <col min="31" max="31" width="15" style="3" hidden="1" customWidth="1"/>
    <col min="32" max="33" width="12" style="3" hidden="1" customWidth="1"/>
    <col min="34" max="34" width="26.42578125" style="3" hidden="1" customWidth="1"/>
    <col min="35" max="35" width="18.7109375" style="3" customWidth="1"/>
    <col min="36" max="56" width="10.140625" style="3" hidden="1" customWidth="1"/>
    <col min="57" max="57" width="23.140625" style="3" bestFit="1" customWidth="1"/>
    <col min="58" max="58" width="20.85546875" bestFit="1" customWidth="1"/>
    <col min="59" max="59" width="13.85546875" bestFit="1" customWidth="1"/>
    <col min="60" max="60" width="8.5703125" bestFit="1" customWidth="1"/>
    <col min="61" max="61" width="13.140625" bestFit="1" customWidth="1"/>
    <col min="62" max="62" width="11" bestFit="1" customWidth="1"/>
    <col min="63" max="63" width="9.85546875" bestFit="1" customWidth="1"/>
    <col min="64" max="64" width="11.85546875" bestFit="1" customWidth="1"/>
    <col min="65" max="65" width="25" bestFit="1" customWidth="1"/>
    <col min="66" max="66" width="16.5703125" bestFit="1" customWidth="1"/>
    <col min="67" max="67" width="19" bestFit="1" customWidth="1"/>
    <col min="68" max="68" width="8.42578125" bestFit="1" customWidth="1"/>
    <col min="69" max="69" width="8.140625" bestFit="1" customWidth="1"/>
    <col min="70" max="70" width="40.28515625" bestFit="1" customWidth="1"/>
    <col min="71" max="71" width="18" bestFit="1" customWidth="1"/>
    <col min="72" max="72" width="14.140625" bestFit="1" customWidth="1"/>
    <col min="73" max="73" width="16" bestFit="1" customWidth="1"/>
    <col min="74" max="74" width="12.42578125" bestFit="1" customWidth="1"/>
    <col min="75" max="75" width="12.7109375" bestFit="1" customWidth="1"/>
    <col min="76" max="76" width="25.42578125" bestFit="1" customWidth="1"/>
    <col min="77" max="77" width="17.42578125" bestFit="1" customWidth="1"/>
    <col min="78" max="78" width="21.140625" bestFit="1" customWidth="1"/>
    <col min="79" max="79" width="17.42578125" bestFit="1" customWidth="1"/>
    <col min="80" max="80" width="16.7109375" bestFit="1" customWidth="1"/>
    <col min="81" max="81" width="21.7109375" bestFit="1" customWidth="1"/>
    <col min="82" max="82" width="19" bestFit="1" customWidth="1"/>
    <col min="83" max="83" width="14.5703125" bestFit="1" customWidth="1"/>
    <col min="84" max="84" width="15.140625" bestFit="1" customWidth="1"/>
    <col min="85" max="85" width="14.28515625" bestFit="1" customWidth="1"/>
    <col min="86" max="86" width="14.85546875" bestFit="1" customWidth="1"/>
    <col min="87" max="87" width="36" bestFit="1" customWidth="1"/>
    <col min="88" max="88" width="17.85546875" bestFit="1" customWidth="1"/>
    <col min="89" max="89" width="40.42578125" bestFit="1" customWidth="1"/>
    <col min="90" max="90" width="46" bestFit="1" customWidth="1"/>
    <col min="91" max="91" width="21.85546875" bestFit="1" customWidth="1"/>
    <col min="92" max="92" width="19.140625" bestFit="1" customWidth="1"/>
    <col min="93" max="93" width="26.140625" bestFit="1" customWidth="1"/>
    <col min="94" max="94" width="35.140625" bestFit="1" customWidth="1"/>
    <col min="95" max="95" width="24.5703125" bestFit="1" customWidth="1"/>
    <col min="96" max="96" width="46.5703125" bestFit="1" customWidth="1"/>
    <col min="97" max="97" width="17.28515625" style="40" bestFit="1" customWidth="1"/>
    <col min="98" max="98" width="81.140625" bestFit="1" customWidth="1"/>
    <col min="99" max="99" width="51.28515625" bestFit="1" customWidth="1"/>
    <col min="100" max="100" width="18.5703125" bestFit="1" customWidth="1"/>
  </cols>
  <sheetData>
    <row r="1" spans="1:100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t="s">
        <v>930</v>
      </c>
      <c r="BF1" t="s">
        <v>819</v>
      </c>
      <c r="BG1" t="s">
        <v>824</v>
      </c>
      <c r="BH1" s="3" t="s">
        <v>829</v>
      </c>
      <c r="BI1" s="3" t="s">
        <v>831</v>
      </c>
      <c r="BJ1" s="3" t="s">
        <v>832</v>
      </c>
      <c r="BK1" s="3" t="s">
        <v>833</v>
      </c>
      <c r="BL1" s="3" t="s">
        <v>830</v>
      </c>
      <c r="BM1" s="3" t="s">
        <v>834</v>
      </c>
      <c r="BN1" s="3" t="s">
        <v>835</v>
      </c>
      <c r="BO1" s="3" t="s">
        <v>836</v>
      </c>
      <c r="BP1" s="3" t="s">
        <v>837</v>
      </c>
      <c r="BQ1" s="3" t="s">
        <v>838</v>
      </c>
      <c r="BR1" s="3" t="s">
        <v>839</v>
      </c>
      <c r="BS1" s="3" t="s">
        <v>840</v>
      </c>
      <c r="BT1" s="3" t="s">
        <v>841</v>
      </c>
      <c r="BU1" s="3" t="s">
        <v>842</v>
      </c>
      <c r="BV1" s="3" t="s">
        <v>843</v>
      </c>
      <c r="BW1" s="3" t="s">
        <v>844</v>
      </c>
      <c r="BX1" s="3" t="s">
        <v>845</v>
      </c>
      <c r="BY1" s="3" t="s">
        <v>846</v>
      </c>
      <c r="BZ1" s="3" t="s">
        <v>847</v>
      </c>
      <c r="CA1" s="3" t="s">
        <v>848</v>
      </c>
      <c r="CB1" s="3" t="s">
        <v>849</v>
      </c>
      <c r="CC1" s="3" t="s">
        <v>850</v>
      </c>
      <c r="CD1" s="3" t="s">
        <v>851</v>
      </c>
      <c r="CE1" s="3" t="s">
        <v>852</v>
      </c>
      <c r="CF1" s="3" t="s">
        <v>853</v>
      </c>
      <c r="CG1" s="3" t="s">
        <v>854</v>
      </c>
      <c r="CH1" s="3" t="s">
        <v>855</v>
      </c>
      <c r="CI1" s="3" t="s">
        <v>856</v>
      </c>
      <c r="CJ1" s="3" t="s">
        <v>857</v>
      </c>
      <c r="CK1" s="3" t="s">
        <v>858</v>
      </c>
      <c r="CL1" s="3" t="s">
        <v>859</v>
      </c>
      <c r="CM1" s="3" t="s">
        <v>860</v>
      </c>
      <c r="CN1" s="3" t="s">
        <v>861</v>
      </c>
      <c r="CO1" s="3" t="s">
        <v>862</v>
      </c>
      <c r="CP1" s="3" t="s">
        <v>863</v>
      </c>
      <c r="CQ1" s="3" t="s">
        <v>864</v>
      </c>
      <c r="CR1" s="3" t="s">
        <v>865</v>
      </c>
      <c r="CS1" s="40" t="s">
        <v>904</v>
      </c>
      <c r="CT1" s="40" t="s">
        <v>909</v>
      </c>
      <c r="CU1" s="40" t="s">
        <v>910</v>
      </c>
      <c r="CV1" s="40" t="s">
        <v>905</v>
      </c>
    </row>
    <row r="2" spans="1:100" hidden="1" x14ac:dyDescent="0.25">
      <c r="A2" t="s">
        <v>56</v>
      </c>
      <c r="B2" t="s">
        <v>57</v>
      </c>
      <c r="C2">
        <v>2282600001</v>
      </c>
      <c r="D2" t="s">
        <v>58</v>
      </c>
      <c r="E2" s="2">
        <v>0.99999999999999978</v>
      </c>
      <c r="F2" s="1">
        <v>46097</v>
      </c>
      <c r="G2" s="1">
        <v>46097</v>
      </c>
      <c r="H2" s="1">
        <v>46153</v>
      </c>
      <c r="I2" s="1">
        <v>46140</v>
      </c>
      <c r="K2" s="1">
        <v>46153</v>
      </c>
      <c r="L2" s="3">
        <v>0.43</v>
      </c>
      <c r="M2" s="3">
        <v>1</v>
      </c>
      <c r="N2" s="3">
        <v>0.27906976744186046</v>
      </c>
      <c r="O2" s="3">
        <v>0.18604651162790697</v>
      </c>
      <c r="P2" s="3">
        <v>0.2558139534883721</v>
      </c>
      <c r="Q2" s="3">
        <v>0.18604651162790697</v>
      </c>
      <c r="R2" s="3">
        <v>9.3023255813953487E-2</v>
      </c>
      <c r="S2" s="3">
        <v>0.09</v>
      </c>
      <c r="T2" s="3">
        <v>1</v>
      </c>
      <c r="U2" s="3">
        <v>0.22222222222222221</v>
      </c>
      <c r="V2" s="3">
        <v>0.22222222222222221</v>
      </c>
      <c r="W2" s="3">
        <v>0.1111111111111111</v>
      </c>
      <c r="X2" s="3">
        <v>0.1111111111111111</v>
      </c>
      <c r="Y2" s="3">
        <v>0.1111111111111111</v>
      </c>
      <c r="Z2" s="3">
        <v>0.22222222222222221</v>
      </c>
      <c r="AA2" s="3">
        <v>0.11</v>
      </c>
      <c r="AB2" s="3">
        <v>1</v>
      </c>
      <c r="AC2" s="3">
        <v>0.27272727272727271</v>
      </c>
      <c r="AD2" s="3">
        <v>0.27272727272727271</v>
      </c>
      <c r="AE2" s="3">
        <v>9.0909090909090912E-2</v>
      </c>
      <c r="AF2" s="3">
        <v>0.18181818181818182</v>
      </c>
      <c r="AG2" s="3">
        <v>0.18181818181818182</v>
      </c>
      <c r="AH2" s="3">
        <v>0.36999999999999983</v>
      </c>
      <c r="AI2" s="3">
        <v>0.99999999999999956</v>
      </c>
      <c r="AJ2" s="3">
        <v>5.4054054054054036E-2</v>
      </c>
      <c r="AK2" s="3">
        <v>5.4054054054054036E-2</v>
      </c>
      <c r="AL2" s="3">
        <v>2.7027027027027018E-2</v>
      </c>
      <c r="AM2" s="3">
        <v>8.1081081081081058E-2</v>
      </c>
      <c r="AN2" s="3">
        <v>8.1081081081081058E-2</v>
      </c>
      <c r="AO2" s="3">
        <v>6.7567567567567557E-2</v>
      </c>
      <c r="AP2" s="3">
        <v>5.4054054054054036E-2</v>
      </c>
      <c r="AQ2" s="3">
        <v>1.3513513513513509E-2</v>
      </c>
      <c r="AR2" s="3">
        <v>4.0540540540540529E-2</v>
      </c>
      <c r="AS2" s="3">
        <v>1.3513513513513509E-2</v>
      </c>
      <c r="AT2" s="3">
        <v>8.1081081081081058E-2</v>
      </c>
      <c r="AU2" s="3">
        <v>5.4054054054054036E-2</v>
      </c>
      <c r="AV2" s="3">
        <v>2.7027027027027018E-2</v>
      </c>
      <c r="AW2" s="3">
        <v>5.4054054054054036E-2</v>
      </c>
      <c r="AX2" s="3">
        <v>5.4054054054054036E-2</v>
      </c>
      <c r="AY2" s="3">
        <v>2.7027027027027018E-2</v>
      </c>
      <c r="AZ2" s="3">
        <v>4.0540540540540529E-2</v>
      </c>
      <c r="BA2" s="3">
        <v>5.4054054054054036E-2</v>
      </c>
      <c r="BB2" s="3">
        <v>8.1081081081081058E-2</v>
      </c>
      <c r="BC2" s="3">
        <v>1.3513513513513509E-2</v>
      </c>
      <c r="BD2" s="3">
        <v>2.7027027027027018E-2</v>
      </c>
      <c r="BE2">
        <v>28.87</v>
      </c>
      <c r="BF2" s="3" t="str">
        <f>+IF(AVANCE[[#This Row],[% AVANCE]]=100%,"MODULO TERMINADO",IF(AVANCE[[#This Row],[FECHA INICIO REAL]]="","MODULO NO INICIADO","PENDIENTE"))</f>
        <v>MODULO TERMINADO</v>
      </c>
      <c r="BG2" s="3">
        <f>+IF(AVANCE[[#This Row],[VENTANAS]]=8.10810810810811%,100%,AVANCE[[#This Row],[VENTANAS]])</f>
        <v>1</v>
      </c>
      <c r="BH2" s="3">
        <f>+IF(AVANCE[[#This Row],[PISO]]=N$2,100%,AVANCE[[#This Row],[PISO]])</f>
        <v>1</v>
      </c>
      <c r="BI2" s="3">
        <f>+IF(AVANCE[[#This Row],[TABIQUES]]=O$2,100%,AVANCE[[#This Row],[TABIQUES]])</f>
        <v>1</v>
      </c>
      <c r="BJ2" s="3">
        <f>+IF(AVANCE[[#This Row],[MUROS]]=P$2,100%,AVANCE[[#This Row],[MUROS]])</f>
        <v>1</v>
      </c>
      <c r="BK2" s="3">
        <f>+IF(AVANCE[[#This Row],[CIELO]]=Q$2,100%,AVANCE[[#This Row],[CIELO]])</f>
        <v>1</v>
      </c>
      <c r="BL2" s="3">
        <f>+IF(AVANCE[[#This Row],[BALCÓN]]=R$2,100%,AVANCE[[#This Row],[BALCÓN]])</f>
        <v>1</v>
      </c>
      <c r="BM2" s="3">
        <f>+IF(AVANCE[[#This Row],[RED ALCANTARILLADO]]=U$2,100%,AVANCE[[#This Row],[RED ALCANTARILLADO]])</f>
        <v>1</v>
      </c>
      <c r="BN2" s="3">
        <f>+IF(AVANCE[[#This Row],[RED DE AGUA]]=V$2,100%,AVANCE[[#This Row],[RED DE AGUA]])</f>
        <v>1</v>
      </c>
      <c r="BO2" s="3">
        <f>+IF(AVANCE[[#This Row],[VENTILACIONES]]=W$2,100%,AVANCE[[#This Row],[VENTILACIONES]])</f>
        <v>1</v>
      </c>
      <c r="BP2" s="3">
        <f>+IF(AVANCE[[#This Row],[TINA]]=X$2,100%,AVANCE[[#This Row],[TINA]])</f>
        <v>1</v>
      </c>
      <c r="BQ2" s="3">
        <f>+IF(AVANCE[[#This Row],[WC]]=Y$2,100%,AVANCE[[#This Row],[WC]])</f>
        <v>1</v>
      </c>
      <c r="BR2" s="3">
        <f>+IF(AVANCE[[#This Row],[LAVAMANOS / LAVAPLATOS / LAVADERO]]=Z$2,100%,AVANCE[[#This Row],[LAVAMANOS / LAVAPLATOS / LAVADERO]])</f>
        <v>1</v>
      </c>
      <c r="BS2" s="3">
        <f>+IF(AVANCE[[#This Row],[CANALIZACIÓN]]=AC$2,100%,AVANCE[[#This Row],[CANALIZACIÓN]])</f>
        <v>1</v>
      </c>
      <c r="BT2" s="3">
        <f>+IF(AVANCE[[#This Row],[CABLEADO]]=AD$2,100%,AVANCE[[#This Row],[CABLEADO]])</f>
        <v>1</v>
      </c>
      <c r="BU2" s="3">
        <f>+IF(AVANCE[[#This Row],[ARTEFACTOS]]=AE$2,100%,AVANCE[[#This Row],[ARTEFACTOS]])</f>
        <v>1</v>
      </c>
      <c r="BV2" s="3">
        <f>+IF(AVANCE[[#This Row],[TABLERO]]=AF$2,100%,AVANCE[[#This Row],[TABLERO]])</f>
        <v>1</v>
      </c>
      <c r="BW2" s="3">
        <f>+IF(AVANCE[[#This Row],[CAJA PAU]]=AG$2,100%,AVANCE[[#This Row],[CAJA PAU]])</f>
        <v>1</v>
      </c>
      <c r="BX2" s="3">
        <f>+IF(AVANCE[[#This Row],[INSTALACION VINILICO]]=AJ$2,100%,AVANCE[[#This Row],[INSTALACION VINILICO]])</f>
        <v>1</v>
      </c>
      <c r="BY2" s="3">
        <f>+IF(AVANCE[[#This Row],[OSB CUBIERTA]]=AK$2,100%,AVANCE[[#This Row],[OSB CUBIERTA]])</f>
        <v>1</v>
      </c>
      <c r="BZ2" s="3">
        <f>+IF(AVANCE[[#This Row],[BARANDA BALCON]]=AL$2,100%,AVANCE[[#This Row],[BARANDA BALCON]])</f>
        <v>1</v>
      </c>
      <c r="CA2" s="3">
        <f>+IF(AVANCE[[#This Row],[OSB EXTERIOR]]=AM$2,100%,AVANCE[[#This Row],[OSB EXTERIOR]])</f>
        <v>1</v>
      </c>
      <c r="CB2" s="3">
        <f>+IF(AVANCE[[#This Row],[SMART PANEL]]=AN$2,100%,AVANCE[[#This Row],[SMART PANEL]])</f>
        <v>1</v>
      </c>
      <c r="CC2" s="3">
        <f>+IF(AVANCE[[#This Row],[PINTURA EXTERIOR]]=AO$2,100%,AVANCE[[#This Row],[PINTURA EXTERIOR]])</f>
        <v>1</v>
      </c>
      <c r="CD2" s="3">
        <f>+IF(AVANCE[[#This Row],[ZOCALOS LOGIA]]=AP$2,100%,AVANCE[[#This Row],[ZOCALOS LOGIA]])</f>
        <v>1</v>
      </c>
      <c r="CE2" s="3">
        <f>+IF(AVANCE[[#This Row],[MOLDURAS]]=AQ$2,100%,AVANCE[[#This Row],[MOLDURAS]])</f>
        <v>1</v>
      </c>
      <c r="CF2" s="3">
        <f>+IF(AVANCE[[#This Row],[PILASTREO]]=AR$2,100%,AVANCE[[#This Row],[PILASTREO]])</f>
        <v>1</v>
      </c>
      <c r="CG2" s="3">
        <f>+IF(AVANCE[[#This Row],[CELOSIAS]]=AS$2,100%,AVANCE[[#This Row],[CELOSIAS]])</f>
        <v>1</v>
      </c>
      <c r="CH2" s="3">
        <f>+IF(AVANCE[[#This Row],[VENTANAS]]=AT$2,100%,AVANCE[[#This Row],[VENTANAS]])</f>
        <v>1</v>
      </c>
      <c r="CI2" s="3">
        <f>+IF(AVANCE[[#This Row],[PUERTAS ACCESO - LOGIA - BANO]]=AU$2,100%,AVANCE[[#This Row],[PUERTAS ACCESO - LOGIA - BANO]])</f>
        <v>1</v>
      </c>
      <c r="CJ2" s="3">
        <f>+IF(AVANCE[[#This Row],[CERRADURAS]]=AV$2,100%,AVANCE[[#This Row],[CERRADURAS]])</f>
        <v>1</v>
      </c>
      <c r="CK2" s="3">
        <f>+IF(AVANCE[[#This Row],[REVESTIMIENTO INTERIOR ZONA SECA]]=AW$2,100%,AVANCE[[#This Row],[REVESTIMIENTO INTERIOR ZONA SECA]])</f>
        <v>1</v>
      </c>
      <c r="CL2" s="3">
        <f>+IF(AVANCE[[#This Row],[REVESTIMIENTO INTERIOR ZONAS HUMEDAS]]=AX$2,100%,AVANCE[[#This Row],[REVESTIMIENTO INTERIOR ZONAS HUMEDAS]])</f>
        <v>1</v>
      </c>
      <c r="CM2" s="3">
        <f>+IF(AVANCE[[#This Row],[MEMBRANA CIELO]]=AY$2,100%,AVANCE[[#This Row],[MEMBRANA CIELO]])</f>
        <v>1</v>
      </c>
      <c r="CN2" s="3">
        <f>+IF(AVANCE[[#This Row],[LIMPIEZA FINAL]]=AZ$2,100%,AVANCE[[#This Row],[LIMPIEZA FINAL]])</f>
        <v>1</v>
      </c>
      <c r="CO2" s="3">
        <f>+IF(AVANCE[[#This Row],[PUERTAS DORMITORIO]]=BA$2,100%,AVANCE[[#This Row],[PUERTAS DORMITORIO]])</f>
        <v>1</v>
      </c>
      <c r="CP2" s="3">
        <f>+IF(AVANCE[[#This Row],[REVESTIMIENTO INTERIOR BANO]]=BB$2,100%,AVANCE[[#This Row],[REVESTIMIENTO INTERIOR BANO]])</f>
        <v>1</v>
      </c>
      <c r="CQ2" s="3">
        <f>+IF(AVANCE[[#This Row],[MUEBLE LAVAPLATOS]]=BC$2,100%,AVANCE[[#This Row],[MUEBLE LAVAPLATOS]])</f>
        <v>1</v>
      </c>
      <c r="CR2" s="3">
        <f>+IF(AVANCE[[#This Row],[IMPERMEABILIZACION BANO - COCINA LOGIA]]=BD$2,100%,AVANCE[[#This Row],[IMPERMEABILIZACION BANO - COCINA LOGIA]])</f>
        <v>1</v>
      </c>
      <c r="CS2" s="40">
        <f ca="1">+IF(AVANCE[[#This Row],[ESTADO MODULO]]="PENDIENTE",(TODAY()-AVANCE[[#This Row],[FECHA TERMINO  PLANIFICADO]]),0)</f>
        <v>0</v>
      </c>
      <c r="CT2" s="41" t="str" cm="1">
        <f t="array" ref="CT2">_xlfn.TEXTJOIN(" | ",TRUE,IF(SUMPRODUCT((BG2:CR2&lt;1)*(PARTIDAS!$I$2:$AT$2="OBRA GRUESA"))&gt;0,"OBRA GRUESA: "&amp;_xlfn.TEXTJOIN(", ",TRUE,IF((BG2:CR2&lt;1)*(PARTIDAS!$I$2:$AT$2="OBRA GRUESA"),PARTIDAS!$I$1:$AT$1,"")),""),IF(SUMPRODUCT((BG2:CR2&lt;1)*(PARTIDAS!$I$2:$AT$2="SANITARIOS"))&gt;0,"SANITARIOS: "&amp;_xlfn.TEXTJOIN(", ",TRUE,IF((BG2:CR2&lt;1)*(PARTIDAS!$I$2:$AT$2="SANITARIOS"),PARTIDAS!$I$1:$AT$1,"")),""),IF(SUMPRODUCT((BG2:CR2&lt;1)*(PARTIDAS!$I$2:$AT$2="ELÉCTRICO"))&gt;0,"ELÉCTRICO: "&amp;_xlfn.TEXTJOIN(", ",TRUE,IF((BG2:CR2&lt;1)*(PARTIDAS!$I$2:$AT$2="ELÉCTRICO"),PARTIDAS!$I$1:$AT$1,"")),""),IF(SUMPRODUCT((BG2:CR2&lt;1)*(PARTIDAS!$I$2:$AT$2="TERMINACIONES"))&gt;0,"TERMINACIONES: "&amp;_xlfn.TEXTJOIN(", ",TRUE,IF((BG2:CR2&lt;1)*(PARTIDAS!$I$2:$AT$2="TERMINACIONES"),PARTIDAS!$I$1:$AT$1,"")),""))</f>
        <v/>
      </c>
      <c r="CU2" s="43" t="str" cm="1">
        <f t="array" ref="CU2">_xlfn.TEXTJOIN(", ",TRUE,IF(SUMPRODUCT((BG2:CR2&lt;1)*(PARTIDAS!$I$2:$AT$2="OBRA GRUESA"))&gt;0,"OBRA GRUESA",""),IF(SUMPRODUCT((BG2:CR2&lt;1)*(PARTIDAS!$I$2:$AT$2="SANITARIOS"))&gt;0,"SANITARIOS",""),IF(SUMPRODUCT((BG2:CR2&lt;1)*(PARTIDAS!$I$2:$AT$2="ELÉCTRICO"))&gt;0,"ELÉCTRICO",""),IF(SUMPRODUCT((BG2:CR2&lt;1)*(PARTIDAS!$I$2:$AT$2="TERMINACIONES"))&gt;0,"TERMINACIONES",""))</f>
        <v/>
      </c>
      <c r="CV2" s="44" cm="1">
        <f t="array" ref="CV2">SUMPRODUCT(--(BG2:CR2&lt;1))</f>
        <v>0</v>
      </c>
    </row>
    <row r="3" spans="1:100" hidden="1" x14ac:dyDescent="0.25">
      <c r="A3" t="s">
        <v>56</v>
      </c>
      <c r="B3" t="s">
        <v>59</v>
      </c>
      <c r="C3">
        <v>2302600002</v>
      </c>
      <c r="D3" t="s">
        <v>60</v>
      </c>
      <c r="E3" s="2">
        <v>0.99999999999999978</v>
      </c>
      <c r="F3" s="1">
        <v>46100</v>
      </c>
      <c r="G3" s="1">
        <v>46100</v>
      </c>
      <c r="H3" s="1">
        <v>46156</v>
      </c>
      <c r="I3" s="1">
        <v>46140</v>
      </c>
      <c r="K3" s="1">
        <v>46156</v>
      </c>
      <c r="L3" s="3">
        <v>0.43</v>
      </c>
      <c r="M3" s="3">
        <v>1</v>
      </c>
      <c r="N3" s="3">
        <v>0.27906976744186046</v>
      </c>
      <c r="O3" s="3">
        <v>0.18604651162790697</v>
      </c>
      <c r="P3" s="3">
        <v>0.2558139534883721</v>
      </c>
      <c r="Q3" s="3">
        <v>0.18604651162790697</v>
      </c>
      <c r="R3" s="3">
        <v>9.3023255813953487E-2</v>
      </c>
      <c r="S3" s="3">
        <v>0.09</v>
      </c>
      <c r="T3" s="3">
        <v>1</v>
      </c>
      <c r="U3" s="3">
        <v>0.22222222222222221</v>
      </c>
      <c r="V3" s="3">
        <v>0.22222222222222221</v>
      </c>
      <c r="W3" s="3">
        <v>0.1111111111111111</v>
      </c>
      <c r="X3" s="3">
        <v>0.1111111111111111</v>
      </c>
      <c r="Y3" s="3">
        <v>0.1111111111111111</v>
      </c>
      <c r="Z3" s="3">
        <v>0.22222222222222221</v>
      </c>
      <c r="AA3" s="3">
        <v>0.11</v>
      </c>
      <c r="AB3" s="3">
        <v>1</v>
      </c>
      <c r="AC3" s="3">
        <v>0.27272727272727271</v>
      </c>
      <c r="AD3" s="3">
        <v>0.27272727272727271</v>
      </c>
      <c r="AE3" s="3">
        <v>9.0909090909090912E-2</v>
      </c>
      <c r="AF3" s="3">
        <v>0.18181818181818182</v>
      </c>
      <c r="AG3" s="3">
        <v>0.18181818181818182</v>
      </c>
      <c r="AH3" s="3">
        <v>0.36999999999999983</v>
      </c>
      <c r="AI3" s="3">
        <v>0.99999999999999956</v>
      </c>
      <c r="AJ3" s="3">
        <v>5.4054054054054036E-2</v>
      </c>
      <c r="AK3" s="3">
        <v>5.4054054054054036E-2</v>
      </c>
      <c r="AL3" s="3">
        <v>2.7027027027027018E-2</v>
      </c>
      <c r="AM3" s="3">
        <v>8.1081081081081058E-2</v>
      </c>
      <c r="AN3" s="3">
        <v>8.1081081081081058E-2</v>
      </c>
      <c r="AO3" s="3">
        <v>6.7567567567567557E-2</v>
      </c>
      <c r="AP3" s="3">
        <v>5.4054054054054036E-2</v>
      </c>
      <c r="AQ3" s="3">
        <v>1.3513513513513509E-2</v>
      </c>
      <c r="AR3" s="3">
        <v>4.0540540540540529E-2</v>
      </c>
      <c r="AS3" s="3">
        <v>1.3513513513513509E-2</v>
      </c>
      <c r="AT3" s="3">
        <v>8.1081081081081058E-2</v>
      </c>
      <c r="AU3" s="3">
        <v>5.4054054054054036E-2</v>
      </c>
      <c r="AV3" s="3">
        <v>2.7027027027027018E-2</v>
      </c>
      <c r="AW3" s="3">
        <v>5.4054054054054036E-2</v>
      </c>
      <c r="AX3" s="3">
        <v>5.4054054054054036E-2</v>
      </c>
      <c r="AY3" s="3">
        <v>2.7027027027027018E-2</v>
      </c>
      <c r="AZ3" s="3">
        <v>4.0540540540540529E-2</v>
      </c>
      <c r="BA3" s="3">
        <v>5.4054054054054036E-2</v>
      </c>
      <c r="BB3" s="3">
        <v>8.1081081081081058E-2</v>
      </c>
      <c r="BC3" s="3">
        <v>1.3513513513513509E-2</v>
      </c>
      <c r="BD3" s="3">
        <v>2.7027027027027018E-2</v>
      </c>
      <c r="BE3">
        <v>31.32</v>
      </c>
      <c r="BF3" s="3" t="str">
        <f>+IF(AVANCE[[#This Row],[% AVANCE]]=100%,"MODULO TERMINADO",IF(AVANCE[[#This Row],[FECHA INICIO REAL]]="","MODULO NO INICIADO","PENDIENTE"))</f>
        <v>MODULO TERMINADO</v>
      </c>
      <c r="BG3" s="3">
        <f>+IF(AVANCE[[#This Row],[VENTANAS]]=8.10810810810811%,100%,AVANCE[[#This Row],[VENTANAS]])</f>
        <v>1</v>
      </c>
      <c r="BH3" s="3">
        <f>+IF(AVANCE[[#This Row],[PISO]]=N$2,100%,AVANCE[[#This Row],[PISO]])</f>
        <v>1</v>
      </c>
      <c r="BI3" s="3">
        <f>+IF(AVANCE[[#This Row],[TABIQUES]]=O$2,100%,AVANCE[[#This Row],[TABIQUES]])</f>
        <v>1</v>
      </c>
      <c r="BJ3" s="3">
        <f>+IF(AVANCE[[#This Row],[MUROS]]=P$2,100%,AVANCE[[#This Row],[MUROS]])</f>
        <v>1</v>
      </c>
      <c r="BK3" s="3">
        <f>+IF(AVANCE[[#This Row],[CIELO]]=Q$2,100%,AVANCE[[#This Row],[CIELO]])</f>
        <v>1</v>
      </c>
      <c r="BL3" s="3">
        <f>+IF(AVANCE[[#This Row],[BALCÓN]]=R$2,100%,AVANCE[[#This Row],[BALCÓN]])</f>
        <v>1</v>
      </c>
      <c r="BM3" s="3">
        <f>+IF(AVANCE[[#This Row],[RED ALCANTARILLADO]]=U$2,100%,AVANCE[[#This Row],[RED ALCANTARILLADO]])</f>
        <v>1</v>
      </c>
      <c r="BN3" s="3">
        <f>+IF(AVANCE[[#This Row],[RED DE AGUA]]=V$2,100%,AVANCE[[#This Row],[RED DE AGUA]])</f>
        <v>1</v>
      </c>
      <c r="BO3" s="3">
        <f>+IF(AVANCE[[#This Row],[VENTILACIONES]]=W$2,100%,AVANCE[[#This Row],[VENTILACIONES]])</f>
        <v>1</v>
      </c>
      <c r="BP3" s="3">
        <f>+IF(AVANCE[[#This Row],[TINA]]=X$2,100%,AVANCE[[#This Row],[TINA]])</f>
        <v>1</v>
      </c>
      <c r="BQ3" s="3">
        <f>+IF(AVANCE[[#This Row],[WC]]=Y$2,100%,AVANCE[[#This Row],[WC]])</f>
        <v>1</v>
      </c>
      <c r="BR3" s="3">
        <f>+IF(AVANCE[[#This Row],[LAVAMANOS / LAVAPLATOS / LAVADERO]]=Z$2,100%,AVANCE[[#This Row],[LAVAMANOS / LAVAPLATOS / LAVADERO]])</f>
        <v>1</v>
      </c>
      <c r="BS3" s="3">
        <f>+IF(AVANCE[[#This Row],[CANALIZACIÓN]]=AC$2,100%,AVANCE[[#This Row],[CANALIZACIÓN]])</f>
        <v>1</v>
      </c>
      <c r="BT3" s="3">
        <f>+IF(AVANCE[[#This Row],[CABLEADO]]=AD$2,100%,AVANCE[[#This Row],[CABLEADO]])</f>
        <v>1</v>
      </c>
      <c r="BU3" s="3">
        <f>+IF(AVANCE[[#This Row],[ARTEFACTOS]]=AE$2,100%,AVANCE[[#This Row],[ARTEFACTOS]])</f>
        <v>1</v>
      </c>
      <c r="BV3" s="3">
        <f>+IF(AVANCE[[#This Row],[TABLERO]]=AF$2,100%,AVANCE[[#This Row],[TABLERO]])</f>
        <v>1</v>
      </c>
      <c r="BW3" s="3">
        <f>+IF(AVANCE[[#This Row],[CAJA PAU]]=AG$2,100%,AVANCE[[#This Row],[CAJA PAU]])</f>
        <v>1</v>
      </c>
      <c r="BX3" s="3">
        <f>+IF(AVANCE[[#This Row],[INSTALACION VINILICO]]=AJ$2,100%,AVANCE[[#This Row],[INSTALACION VINILICO]])</f>
        <v>1</v>
      </c>
      <c r="BY3" s="3">
        <f>+IF(AVANCE[[#This Row],[OSB CUBIERTA]]=AK$2,100%,AVANCE[[#This Row],[OSB CUBIERTA]])</f>
        <v>1</v>
      </c>
      <c r="BZ3" s="3">
        <f>+IF(AVANCE[[#This Row],[BARANDA BALCON]]=AL$2,100%,AVANCE[[#This Row],[BARANDA BALCON]])</f>
        <v>1</v>
      </c>
      <c r="CA3" s="3">
        <f>+IF(AVANCE[[#This Row],[OSB EXTERIOR]]=AM$2,100%,AVANCE[[#This Row],[OSB EXTERIOR]])</f>
        <v>1</v>
      </c>
      <c r="CB3" s="3">
        <f>+IF(AVANCE[[#This Row],[SMART PANEL]]=AN$2,100%,AVANCE[[#This Row],[SMART PANEL]])</f>
        <v>1</v>
      </c>
      <c r="CC3" s="3">
        <f>+IF(AVANCE[[#This Row],[PINTURA EXTERIOR]]=AO$2,100%,AVANCE[[#This Row],[PINTURA EXTERIOR]])</f>
        <v>1</v>
      </c>
      <c r="CD3" s="3">
        <f>+IF(AVANCE[[#This Row],[ZOCALOS LOGIA]]=AP$2,100%,AVANCE[[#This Row],[ZOCALOS LOGIA]])</f>
        <v>1</v>
      </c>
      <c r="CE3" s="3">
        <f>+IF(AVANCE[[#This Row],[MOLDURAS]]=AQ$2,100%,AVANCE[[#This Row],[MOLDURAS]])</f>
        <v>1</v>
      </c>
      <c r="CF3" s="3">
        <f>+IF(AVANCE[[#This Row],[PILASTREO]]=AR$2,100%,AVANCE[[#This Row],[PILASTREO]])</f>
        <v>1</v>
      </c>
      <c r="CG3" s="3">
        <f>+IF(AVANCE[[#This Row],[CELOSIAS]]=AS$2,100%,AVANCE[[#This Row],[CELOSIAS]])</f>
        <v>1</v>
      </c>
      <c r="CH3" s="3">
        <f>+IF(AVANCE[[#This Row],[VENTANAS]]=AT$2,100%,AVANCE[[#This Row],[VENTANAS]])</f>
        <v>1</v>
      </c>
      <c r="CI3" s="3">
        <f>+IF(AVANCE[[#This Row],[PUERTAS ACCESO - LOGIA - BANO]]=AU$2,100%,AVANCE[[#This Row],[PUERTAS ACCESO - LOGIA - BANO]])</f>
        <v>1</v>
      </c>
      <c r="CJ3" s="3">
        <f>+IF(AVANCE[[#This Row],[CERRADURAS]]=AV$2,100%,AVANCE[[#This Row],[CERRADURAS]])</f>
        <v>1</v>
      </c>
      <c r="CK3" s="3">
        <f>+IF(AVANCE[[#This Row],[REVESTIMIENTO INTERIOR ZONA SECA]]=AW$2,100%,AVANCE[[#This Row],[REVESTIMIENTO INTERIOR ZONA SECA]])</f>
        <v>1</v>
      </c>
      <c r="CL3" s="3">
        <f>+IF(AVANCE[[#This Row],[REVESTIMIENTO INTERIOR ZONAS HUMEDAS]]=AX$2,100%,AVANCE[[#This Row],[REVESTIMIENTO INTERIOR ZONAS HUMEDAS]])</f>
        <v>1</v>
      </c>
      <c r="CM3" s="3">
        <f>+IF(AVANCE[[#This Row],[MEMBRANA CIELO]]=AY$2,100%,AVANCE[[#This Row],[MEMBRANA CIELO]])</f>
        <v>1</v>
      </c>
      <c r="CN3" s="3">
        <f>+IF(AVANCE[[#This Row],[LIMPIEZA FINAL]]=AZ$2,100%,AVANCE[[#This Row],[LIMPIEZA FINAL]])</f>
        <v>1</v>
      </c>
      <c r="CO3" s="3">
        <f>+IF(AVANCE[[#This Row],[PUERTAS DORMITORIO]]=BA$2,100%,AVANCE[[#This Row],[PUERTAS DORMITORIO]])</f>
        <v>1</v>
      </c>
      <c r="CP3" s="3">
        <f>+IF(AVANCE[[#This Row],[REVESTIMIENTO INTERIOR BANO]]=BB$2,100%,AVANCE[[#This Row],[REVESTIMIENTO INTERIOR BANO]])</f>
        <v>1</v>
      </c>
      <c r="CQ3" s="3">
        <f>+IF(AVANCE[[#This Row],[MUEBLE LAVAPLATOS]]=BC$2,100%,AVANCE[[#This Row],[MUEBLE LAVAPLATOS]])</f>
        <v>1</v>
      </c>
      <c r="CR3" s="3">
        <f>+IF(AVANCE[[#This Row],[IMPERMEABILIZACION BANO - COCINA LOGIA]]=BD$2,100%,AVANCE[[#This Row],[IMPERMEABILIZACION BANO - COCINA LOGIA]])</f>
        <v>1</v>
      </c>
      <c r="CS3" s="40">
        <f ca="1">+IF(AVANCE[[#This Row],[ESTADO MODULO]]="PENDIENTE",(TODAY()-AVANCE[[#This Row],[FECHA TERMINO  PLANIFICADO]]),0)</f>
        <v>0</v>
      </c>
      <c r="CT3" s="41" t="str" cm="1">
        <f t="array" ref="CT3">_xlfn.TEXTJOIN(" | ",TRUE,IF(SUMPRODUCT((BG3:CR3&lt;1)*(PARTIDAS!$I$2:$AT$2="OBRA GRUESA"))&gt;0,"OBRA GRUESA: "&amp;_xlfn.TEXTJOIN(", ",TRUE,IF((BG3:CR3&lt;1)*(PARTIDAS!$I$2:$AT$2="OBRA GRUESA"),PARTIDAS!$I$1:$AT$1,"")),""),IF(SUMPRODUCT((BG3:CR3&lt;1)*(PARTIDAS!$I$2:$AT$2="SANITARIOS"))&gt;0,"SANITARIOS: "&amp;_xlfn.TEXTJOIN(", ",TRUE,IF((BG3:CR3&lt;1)*(PARTIDAS!$I$2:$AT$2="SANITARIOS"),PARTIDAS!$I$1:$AT$1,"")),""),IF(SUMPRODUCT((BG3:CR3&lt;1)*(PARTIDAS!$I$2:$AT$2="ELÉCTRICO"))&gt;0,"ELÉCTRICO: "&amp;_xlfn.TEXTJOIN(", ",TRUE,IF((BG3:CR3&lt;1)*(PARTIDAS!$I$2:$AT$2="ELÉCTRICO"),PARTIDAS!$I$1:$AT$1,"")),""),IF(SUMPRODUCT((BG3:CR3&lt;1)*(PARTIDAS!$I$2:$AT$2="TERMINACIONES"))&gt;0,"TERMINACIONES: "&amp;_xlfn.TEXTJOIN(", ",TRUE,IF((BG3:CR3&lt;1)*(PARTIDAS!$I$2:$AT$2="TERMINACIONES"),PARTIDAS!$I$1:$AT$1,"")),""))</f>
        <v/>
      </c>
      <c r="CU3" s="43" t="str" cm="1">
        <f t="array" ref="CU3">_xlfn.TEXTJOIN(", ",TRUE,IF(SUMPRODUCT((BG3:CR3&lt;1)*(PARTIDAS!$I$2:$AT$2="OBRA GRUESA"))&gt;0,"OBRA GRUESA",""),IF(SUMPRODUCT((BG3:CR3&lt;1)*(PARTIDAS!$I$2:$AT$2="SANITARIOS"))&gt;0,"SANITARIOS",""),IF(SUMPRODUCT((BG3:CR3&lt;1)*(PARTIDAS!$I$2:$AT$2="ELÉCTRICO"))&gt;0,"ELÉCTRICO",""),IF(SUMPRODUCT((BG3:CR3&lt;1)*(PARTIDAS!$I$2:$AT$2="TERMINACIONES"))&gt;0,"TERMINACIONES",""))</f>
        <v/>
      </c>
      <c r="CV3" s="44" cm="1">
        <f t="array" ref="CV3">SUMPRODUCT(--(BG3:CR3&lt;1))</f>
        <v>0</v>
      </c>
    </row>
    <row r="4" spans="1:100" hidden="1" x14ac:dyDescent="0.25">
      <c r="A4" t="s">
        <v>56</v>
      </c>
      <c r="B4" t="s">
        <v>61</v>
      </c>
      <c r="C4">
        <v>2302600003</v>
      </c>
      <c r="D4" t="s">
        <v>60</v>
      </c>
      <c r="E4" s="2">
        <v>0.99999999999999978</v>
      </c>
      <c r="F4" s="1">
        <v>46099</v>
      </c>
      <c r="G4" s="1">
        <v>46099</v>
      </c>
      <c r="H4" s="1">
        <v>46160</v>
      </c>
      <c r="I4" s="1">
        <v>46147</v>
      </c>
      <c r="K4" s="1">
        <v>46160</v>
      </c>
      <c r="L4" s="3">
        <v>0.43</v>
      </c>
      <c r="M4" s="3">
        <v>1</v>
      </c>
      <c r="N4" s="3">
        <v>0.27906976744186046</v>
      </c>
      <c r="O4" s="3">
        <v>0.18604651162790697</v>
      </c>
      <c r="P4" s="3">
        <v>0.2558139534883721</v>
      </c>
      <c r="Q4" s="3">
        <v>0.18604651162790697</v>
      </c>
      <c r="R4" s="3">
        <v>9.3023255813953487E-2</v>
      </c>
      <c r="S4" s="3">
        <v>0.09</v>
      </c>
      <c r="T4" s="3">
        <v>1</v>
      </c>
      <c r="U4" s="3">
        <v>0.22222222222222221</v>
      </c>
      <c r="V4" s="3">
        <v>0.22222222222222221</v>
      </c>
      <c r="W4" s="3">
        <v>0.1111111111111111</v>
      </c>
      <c r="X4" s="3">
        <v>0.1111111111111111</v>
      </c>
      <c r="Y4" s="3">
        <v>0.1111111111111111</v>
      </c>
      <c r="Z4" s="3">
        <v>0.22222222222222221</v>
      </c>
      <c r="AA4" s="3">
        <v>0.11</v>
      </c>
      <c r="AB4" s="3">
        <v>1</v>
      </c>
      <c r="AC4" s="3">
        <v>0.27272727272727271</v>
      </c>
      <c r="AD4" s="3">
        <v>0.27272727272727271</v>
      </c>
      <c r="AE4" s="3">
        <v>9.0909090909090912E-2</v>
      </c>
      <c r="AF4" s="3">
        <v>0.18181818181818182</v>
      </c>
      <c r="AG4" s="3">
        <v>0.18181818181818182</v>
      </c>
      <c r="AH4" s="3">
        <v>0.36999999999999983</v>
      </c>
      <c r="AI4" s="3">
        <v>0.99999999999999956</v>
      </c>
      <c r="AJ4" s="3">
        <v>5.4054054054054036E-2</v>
      </c>
      <c r="AK4" s="3">
        <v>5.4054054054054036E-2</v>
      </c>
      <c r="AL4" s="3">
        <v>2.7027027027027018E-2</v>
      </c>
      <c r="AM4" s="3">
        <v>8.1081081081081058E-2</v>
      </c>
      <c r="AN4" s="3">
        <v>8.1081081081081058E-2</v>
      </c>
      <c r="AO4" s="3">
        <v>6.7567567567567557E-2</v>
      </c>
      <c r="AP4" s="3">
        <v>5.4054054054054036E-2</v>
      </c>
      <c r="AQ4" s="3">
        <v>1.3513513513513509E-2</v>
      </c>
      <c r="AR4" s="3">
        <v>4.0540540540540529E-2</v>
      </c>
      <c r="AS4" s="3">
        <v>1.3513513513513509E-2</v>
      </c>
      <c r="AT4" s="3">
        <v>8.1081081081081058E-2</v>
      </c>
      <c r="AU4" s="3">
        <v>5.4054054054054036E-2</v>
      </c>
      <c r="AV4" s="3">
        <v>2.7027027027027018E-2</v>
      </c>
      <c r="AW4" s="3">
        <v>5.4054054054054036E-2</v>
      </c>
      <c r="AX4" s="3">
        <v>5.4054054054054036E-2</v>
      </c>
      <c r="AY4" s="3">
        <v>2.7027027027027018E-2</v>
      </c>
      <c r="AZ4" s="3">
        <v>4.0540540540540529E-2</v>
      </c>
      <c r="BA4" s="3">
        <v>5.4054054054054036E-2</v>
      </c>
      <c r="BB4" s="3">
        <v>8.1081081081081058E-2</v>
      </c>
      <c r="BC4" s="3">
        <v>1.3513513513513509E-2</v>
      </c>
      <c r="BD4" s="3">
        <v>2.7027027027027018E-2</v>
      </c>
      <c r="BE4">
        <v>31.32</v>
      </c>
      <c r="BF4" s="3" t="str">
        <f>+IF(AVANCE[[#This Row],[% AVANCE]]=100%,"MODULO TERMINADO",IF(AVANCE[[#This Row],[FECHA INICIO REAL]]="","MODULO NO INICIADO","PENDIENTE"))</f>
        <v>MODULO TERMINADO</v>
      </c>
      <c r="BG4" s="3">
        <f>+IF(AVANCE[[#This Row],[VENTANAS]]=8.10810810810811%,100%,AVANCE[[#This Row],[VENTANAS]])</f>
        <v>1</v>
      </c>
      <c r="BH4" s="3">
        <f>+IF(AVANCE[[#This Row],[PISO]]=N$2,100%,AVANCE[[#This Row],[PISO]])</f>
        <v>1</v>
      </c>
      <c r="BI4" s="3">
        <f>+IF(AVANCE[[#This Row],[TABIQUES]]=O$2,100%,AVANCE[[#This Row],[TABIQUES]])</f>
        <v>1</v>
      </c>
      <c r="BJ4" s="3">
        <f>+IF(AVANCE[[#This Row],[MUROS]]=P$2,100%,AVANCE[[#This Row],[MUROS]])</f>
        <v>1</v>
      </c>
      <c r="BK4" s="3">
        <f>+IF(AVANCE[[#This Row],[CIELO]]=Q$2,100%,AVANCE[[#This Row],[CIELO]])</f>
        <v>1</v>
      </c>
      <c r="BL4" s="3">
        <f>+IF(AVANCE[[#This Row],[BALCÓN]]=R$2,100%,AVANCE[[#This Row],[BALCÓN]])</f>
        <v>1</v>
      </c>
      <c r="BM4" s="3">
        <f>+IF(AVANCE[[#This Row],[RED ALCANTARILLADO]]=U$2,100%,AVANCE[[#This Row],[RED ALCANTARILLADO]])</f>
        <v>1</v>
      </c>
      <c r="BN4" s="3">
        <f>+IF(AVANCE[[#This Row],[RED DE AGUA]]=V$2,100%,AVANCE[[#This Row],[RED DE AGUA]])</f>
        <v>1</v>
      </c>
      <c r="BO4" s="3">
        <f>+IF(AVANCE[[#This Row],[VENTILACIONES]]=W$2,100%,AVANCE[[#This Row],[VENTILACIONES]])</f>
        <v>1</v>
      </c>
      <c r="BP4" s="3">
        <f>+IF(AVANCE[[#This Row],[TINA]]=X$2,100%,AVANCE[[#This Row],[TINA]])</f>
        <v>1</v>
      </c>
      <c r="BQ4" s="3">
        <f>+IF(AVANCE[[#This Row],[WC]]=Y$2,100%,AVANCE[[#This Row],[WC]])</f>
        <v>1</v>
      </c>
      <c r="BR4" s="3">
        <f>+IF(AVANCE[[#This Row],[LAVAMANOS / LAVAPLATOS / LAVADERO]]=Z$2,100%,AVANCE[[#This Row],[LAVAMANOS / LAVAPLATOS / LAVADERO]])</f>
        <v>1</v>
      </c>
      <c r="BS4" s="3">
        <f>+IF(AVANCE[[#This Row],[CANALIZACIÓN]]=AC$2,100%,AVANCE[[#This Row],[CANALIZACIÓN]])</f>
        <v>1</v>
      </c>
      <c r="BT4" s="3">
        <f>+IF(AVANCE[[#This Row],[CABLEADO]]=AD$2,100%,AVANCE[[#This Row],[CABLEADO]])</f>
        <v>1</v>
      </c>
      <c r="BU4" s="3">
        <f>+IF(AVANCE[[#This Row],[ARTEFACTOS]]=AE$2,100%,AVANCE[[#This Row],[ARTEFACTOS]])</f>
        <v>1</v>
      </c>
      <c r="BV4" s="3">
        <f>+IF(AVANCE[[#This Row],[TABLERO]]=AF$2,100%,AVANCE[[#This Row],[TABLERO]])</f>
        <v>1</v>
      </c>
      <c r="BW4" s="3">
        <f>+IF(AVANCE[[#This Row],[CAJA PAU]]=AG$2,100%,AVANCE[[#This Row],[CAJA PAU]])</f>
        <v>1</v>
      </c>
      <c r="BX4" s="3">
        <f>+IF(AVANCE[[#This Row],[INSTALACION VINILICO]]=AJ$2,100%,AVANCE[[#This Row],[INSTALACION VINILICO]])</f>
        <v>1</v>
      </c>
      <c r="BY4" s="3">
        <f>+IF(AVANCE[[#This Row],[OSB CUBIERTA]]=AK$2,100%,AVANCE[[#This Row],[OSB CUBIERTA]])</f>
        <v>1</v>
      </c>
      <c r="BZ4" s="3">
        <f>+IF(AVANCE[[#This Row],[BARANDA BALCON]]=AL$2,100%,AVANCE[[#This Row],[BARANDA BALCON]])</f>
        <v>1</v>
      </c>
      <c r="CA4" s="3">
        <f>+IF(AVANCE[[#This Row],[OSB EXTERIOR]]=AM$2,100%,AVANCE[[#This Row],[OSB EXTERIOR]])</f>
        <v>1</v>
      </c>
      <c r="CB4" s="3">
        <f>+IF(AVANCE[[#This Row],[SMART PANEL]]=AN$2,100%,AVANCE[[#This Row],[SMART PANEL]])</f>
        <v>1</v>
      </c>
      <c r="CC4" s="3">
        <f>+IF(AVANCE[[#This Row],[PINTURA EXTERIOR]]=AO$2,100%,AVANCE[[#This Row],[PINTURA EXTERIOR]])</f>
        <v>1</v>
      </c>
      <c r="CD4" s="3">
        <f>+IF(AVANCE[[#This Row],[ZOCALOS LOGIA]]=AP$2,100%,AVANCE[[#This Row],[ZOCALOS LOGIA]])</f>
        <v>1</v>
      </c>
      <c r="CE4" s="3">
        <f>+IF(AVANCE[[#This Row],[MOLDURAS]]=AQ$2,100%,AVANCE[[#This Row],[MOLDURAS]])</f>
        <v>1</v>
      </c>
      <c r="CF4" s="3">
        <f>+IF(AVANCE[[#This Row],[PILASTREO]]=AR$2,100%,AVANCE[[#This Row],[PILASTREO]])</f>
        <v>1</v>
      </c>
      <c r="CG4" s="3">
        <f>+IF(AVANCE[[#This Row],[CELOSIAS]]=AS$2,100%,AVANCE[[#This Row],[CELOSIAS]])</f>
        <v>1</v>
      </c>
      <c r="CH4" s="3">
        <f>+IF(AVANCE[[#This Row],[VENTANAS]]=AT$2,100%,AVANCE[[#This Row],[VENTANAS]])</f>
        <v>1</v>
      </c>
      <c r="CI4" s="3">
        <f>+IF(AVANCE[[#This Row],[PUERTAS ACCESO - LOGIA - BANO]]=AU$2,100%,AVANCE[[#This Row],[PUERTAS ACCESO - LOGIA - BANO]])</f>
        <v>1</v>
      </c>
      <c r="CJ4" s="3">
        <f>+IF(AVANCE[[#This Row],[CERRADURAS]]=AV$2,100%,AVANCE[[#This Row],[CERRADURAS]])</f>
        <v>1</v>
      </c>
      <c r="CK4" s="3">
        <f>+IF(AVANCE[[#This Row],[REVESTIMIENTO INTERIOR ZONA SECA]]=AW$2,100%,AVANCE[[#This Row],[REVESTIMIENTO INTERIOR ZONA SECA]])</f>
        <v>1</v>
      </c>
      <c r="CL4" s="3">
        <f>+IF(AVANCE[[#This Row],[REVESTIMIENTO INTERIOR ZONAS HUMEDAS]]=AX$2,100%,AVANCE[[#This Row],[REVESTIMIENTO INTERIOR ZONAS HUMEDAS]])</f>
        <v>1</v>
      </c>
      <c r="CM4" s="3">
        <f>+IF(AVANCE[[#This Row],[MEMBRANA CIELO]]=AY$2,100%,AVANCE[[#This Row],[MEMBRANA CIELO]])</f>
        <v>1</v>
      </c>
      <c r="CN4" s="3">
        <f>+IF(AVANCE[[#This Row],[LIMPIEZA FINAL]]=AZ$2,100%,AVANCE[[#This Row],[LIMPIEZA FINAL]])</f>
        <v>1</v>
      </c>
      <c r="CO4" s="3">
        <f>+IF(AVANCE[[#This Row],[PUERTAS DORMITORIO]]=BA$2,100%,AVANCE[[#This Row],[PUERTAS DORMITORIO]])</f>
        <v>1</v>
      </c>
      <c r="CP4" s="3">
        <f>+IF(AVANCE[[#This Row],[REVESTIMIENTO INTERIOR BANO]]=BB$2,100%,AVANCE[[#This Row],[REVESTIMIENTO INTERIOR BANO]])</f>
        <v>1</v>
      </c>
      <c r="CQ4" s="3">
        <f>+IF(AVANCE[[#This Row],[MUEBLE LAVAPLATOS]]=BC$2,100%,AVANCE[[#This Row],[MUEBLE LAVAPLATOS]])</f>
        <v>1</v>
      </c>
      <c r="CR4" s="3">
        <f>+IF(AVANCE[[#This Row],[IMPERMEABILIZACION BANO - COCINA LOGIA]]=BD$2,100%,AVANCE[[#This Row],[IMPERMEABILIZACION BANO - COCINA LOGIA]])</f>
        <v>1</v>
      </c>
      <c r="CS4" s="40">
        <f ca="1">+IF(AVANCE[[#This Row],[ESTADO MODULO]]="PENDIENTE",(TODAY()-AVANCE[[#This Row],[FECHA TERMINO  PLANIFICADO]]),0)</f>
        <v>0</v>
      </c>
      <c r="CT4" s="41" t="str" cm="1">
        <f t="array" ref="CT4">_xlfn.TEXTJOIN(" | ",TRUE,IF(SUMPRODUCT((BG4:CR4&lt;1)*(PARTIDAS!$I$2:$AT$2="OBRA GRUESA"))&gt;0,"OBRA GRUESA: "&amp;_xlfn.TEXTJOIN(", ",TRUE,IF((BG4:CR4&lt;1)*(PARTIDAS!$I$2:$AT$2="OBRA GRUESA"),PARTIDAS!$I$1:$AT$1,"")),""),IF(SUMPRODUCT((BG4:CR4&lt;1)*(PARTIDAS!$I$2:$AT$2="SANITARIOS"))&gt;0,"SANITARIOS: "&amp;_xlfn.TEXTJOIN(", ",TRUE,IF((BG4:CR4&lt;1)*(PARTIDAS!$I$2:$AT$2="SANITARIOS"),PARTIDAS!$I$1:$AT$1,"")),""),IF(SUMPRODUCT((BG4:CR4&lt;1)*(PARTIDAS!$I$2:$AT$2="ELÉCTRICO"))&gt;0,"ELÉCTRICO: "&amp;_xlfn.TEXTJOIN(", ",TRUE,IF((BG4:CR4&lt;1)*(PARTIDAS!$I$2:$AT$2="ELÉCTRICO"),PARTIDAS!$I$1:$AT$1,"")),""),IF(SUMPRODUCT((BG4:CR4&lt;1)*(PARTIDAS!$I$2:$AT$2="TERMINACIONES"))&gt;0,"TERMINACIONES: "&amp;_xlfn.TEXTJOIN(", ",TRUE,IF((BG4:CR4&lt;1)*(PARTIDAS!$I$2:$AT$2="TERMINACIONES"),PARTIDAS!$I$1:$AT$1,"")),""))</f>
        <v/>
      </c>
      <c r="CU4" s="43" t="str" cm="1">
        <f t="array" ref="CU4">_xlfn.TEXTJOIN(", ",TRUE,IF(SUMPRODUCT((BG4:CR4&lt;1)*(PARTIDAS!$I$2:$AT$2="OBRA GRUESA"))&gt;0,"OBRA GRUESA",""),IF(SUMPRODUCT((BG4:CR4&lt;1)*(PARTIDAS!$I$2:$AT$2="SANITARIOS"))&gt;0,"SANITARIOS",""),IF(SUMPRODUCT((BG4:CR4&lt;1)*(PARTIDAS!$I$2:$AT$2="ELÉCTRICO"))&gt;0,"ELÉCTRICO",""),IF(SUMPRODUCT((BG4:CR4&lt;1)*(PARTIDAS!$I$2:$AT$2="TERMINACIONES"))&gt;0,"TERMINACIONES",""))</f>
        <v/>
      </c>
      <c r="CV4" s="44" cm="1">
        <f t="array" ref="CV4">SUMPRODUCT(--(BG4:CR4&lt;1))</f>
        <v>0</v>
      </c>
    </row>
    <row r="5" spans="1:100" hidden="1" x14ac:dyDescent="0.25">
      <c r="A5" t="s">
        <v>56</v>
      </c>
      <c r="B5" t="s">
        <v>62</v>
      </c>
      <c r="C5">
        <v>2282600004</v>
      </c>
      <c r="D5" t="s">
        <v>58</v>
      </c>
      <c r="E5" s="2">
        <v>0.99999999999999978</v>
      </c>
      <c r="F5" s="1">
        <v>46093</v>
      </c>
      <c r="G5" s="1">
        <v>46093</v>
      </c>
      <c r="H5" s="1">
        <v>46156</v>
      </c>
      <c r="I5" s="1">
        <v>46142</v>
      </c>
      <c r="K5" s="1">
        <v>46156</v>
      </c>
      <c r="L5" s="3">
        <v>0.43</v>
      </c>
      <c r="M5" s="3">
        <v>1</v>
      </c>
      <c r="N5" s="3">
        <v>0.27906976744186046</v>
      </c>
      <c r="O5" s="3">
        <v>0.18604651162790697</v>
      </c>
      <c r="P5" s="3">
        <v>0.2558139534883721</v>
      </c>
      <c r="Q5" s="3">
        <v>0.18604651162790697</v>
      </c>
      <c r="R5" s="3">
        <v>9.3023255813953487E-2</v>
      </c>
      <c r="S5" s="3">
        <v>0.09</v>
      </c>
      <c r="T5" s="3">
        <v>1</v>
      </c>
      <c r="U5" s="3">
        <v>0.22222222222222221</v>
      </c>
      <c r="V5" s="3">
        <v>0.22222222222222221</v>
      </c>
      <c r="W5" s="3">
        <v>0.1111111111111111</v>
      </c>
      <c r="X5" s="3">
        <v>0.1111111111111111</v>
      </c>
      <c r="Y5" s="3">
        <v>0.1111111111111111</v>
      </c>
      <c r="Z5" s="3">
        <v>0.22222222222222221</v>
      </c>
      <c r="AA5" s="3">
        <v>0.11</v>
      </c>
      <c r="AB5" s="3">
        <v>1</v>
      </c>
      <c r="AC5" s="3">
        <v>0.27272727272727271</v>
      </c>
      <c r="AD5" s="3">
        <v>0.27272727272727271</v>
      </c>
      <c r="AE5" s="3">
        <v>9.0909090909090912E-2</v>
      </c>
      <c r="AF5" s="3">
        <v>0.18181818181818182</v>
      </c>
      <c r="AG5" s="3">
        <v>0.18181818181818182</v>
      </c>
      <c r="AH5" s="3">
        <v>0.36999999999999983</v>
      </c>
      <c r="AI5" s="3">
        <v>0.99999999999999956</v>
      </c>
      <c r="AJ5" s="3">
        <v>5.4054054054054036E-2</v>
      </c>
      <c r="AK5" s="3">
        <v>5.4054054054054036E-2</v>
      </c>
      <c r="AL5" s="3">
        <v>2.7027027027027018E-2</v>
      </c>
      <c r="AM5" s="3">
        <v>8.1081081081081058E-2</v>
      </c>
      <c r="AN5" s="3">
        <v>8.1081081081081058E-2</v>
      </c>
      <c r="AO5" s="3">
        <v>6.7567567567567557E-2</v>
      </c>
      <c r="AP5" s="3">
        <v>5.4054054054054036E-2</v>
      </c>
      <c r="AQ5" s="3">
        <v>1.3513513513513509E-2</v>
      </c>
      <c r="AR5" s="3">
        <v>4.0540540540540529E-2</v>
      </c>
      <c r="AS5" s="3">
        <v>1.3513513513513509E-2</v>
      </c>
      <c r="AT5" s="3">
        <v>8.1081081081081058E-2</v>
      </c>
      <c r="AU5" s="3">
        <v>5.4054054054054036E-2</v>
      </c>
      <c r="AV5" s="3">
        <v>2.7027027027027018E-2</v>
      </c>
      <c r="AW5" s="3">
        <v>5.4054054054054036E-2</v>
      </c>
      <c r="AX5" s="3">
        <v>5.4054054054054036E-2</v>
      </c>
      <c r="AY5" s="3">
        <v>2.7027027027027018E-2</v>
      </c>
      <c r="AZ5" s="3">
        <v>4.0540540540540529E-2</v>
      </c>
      <c r="BA5" s="3">
        <v>5.4054054054054036E-2</v>
      </c>
      <c r="BB5" s="3">
        <v>8.1081081081081058E-2</v>
      </c>
      <c r="BC5" s="3">
        <v>1.3513513513513509E-2</v>
      </c>
      <c r="BD5" s="3">
        <v>2.7027027027027018E-2</v>
      </c>
      <c r="BE5">
        <v>28.87</v>
      </c>
      <c r="BF5" s="3" t="str">
        <f>+IF(AVANCE[[#This Row],[% AVANCE]]=100%,"MODULO TERMINADO",IF(AVANCE[[#This Row],[FECHA INICIO REAL]]="","MODULO NO INICIADO","PENDIENTE"))</f>
        <v>MODULO TERMINADO</v>
      </c>
      <c r="BG5" s="3">
        <f>+IF(AVANCE[[#This Row],[VENTANAS]]=8.10810810810811%,100%,AVANCE[[#This Row],[VENTANAS]])</f>
        <v>1</v>
      </c>
      <c r="BH5" s="3">
        <f>+IF(AVANCE[[#This Row],[PISO]]=N$2,100%,AVANCE[[#This Row],[PISO]])</f>
        <v>1</v>
      </c>
      <c r="BI5" s="3">
        <f>+IF(AVANCE[[#This Row],[TABIQUES]]=O$2,100%,AVANCE[[#This Row],[TABIQUES]])</f>
        <v>1</v>
      </c>
      <c r="BJ5" s="3">
        <f>+IF(AVANCE[[#This Row],[MUROS]]=P$2,100%,AVANCE[[#This Row],[MUROS]])</f>
        <v>1</v>
      </c>
      <c r="BK5" s="3">
        <f>+IF(AVANCE[[#This Row],[CIELO]]=Q$2,100%,AVANCE[[#This Row],[CIELO]])</f>
        <v>1</v>
      </c>
      <c r="BL5" s="3">
        <f>+IF(AVANCE[[#This Row],[BALCÓN]]=R$2,100%,AVANCE[[#This Row],[BALCÓN]])</f>
        <v>1</v>
      </c>
      <c r="BM5" s="3">
        <f>+IF(AVANCE[[#This Row],[RED ALCANTARILLADO]]=U$2,100%,AVANCE[[#This Row],[RED ALCANTARILLADO]])</f>
        <v>1</v>
      </c>
      <c r="BN5" s="3">
        <f>+IF(AVANCE[[#This Row],[RED DE AGUA]]=V$2,100%,AVANCE[[#This Row],[RED DE AGUA]])</f>
        <v>1</v>
      </c>
      <c r="BO5" s="3">
        <f>+IF(AVANCE[[#This Row],[VENTILACIONES]]=W$2,100%,AVANCE[[#This Row],[VENTILACIONES]])</f>
        <v>1</v>
      </c>
      <c r="BP5" s="3">
        <f>+IF(AVANCE[[#This Row],[TINA]]=X$2,100%,AVANCE[[#This Row],[TINA]])</f>
        <v>1</v>
      </c>
      <c r="BQ5" s="3">
        <f>+IF(AVANCE[[#This Row],[WC]]=Y$2,100%,AVANCE[[#This Row],[WC]])</f>
        <v>1</v>
      </c>
      <c r="BR5" s="3">
        <f>+IF(AVANCE[[#This Row],[LAVAMANOS / LAVAPLATOS / LAVADERO]]=Z$2,100%,AVANCE[[#This Row],[LAVAMANOS / LAVAPLATOS / LAVADERO]])</f>
        <v>1</v>
      </c>
      <c r="BS5" s="3">
        <f>+IF(AVANCE[[#This Row],[CANALIZACIÓN]]=AC$2,100%,AVANCE[[#This Row],[CANALIZACIÓN]])</f>
        <v>1</v>
      </c>
      <c r="BT5" s="3">
        <f>+IF(AVANCE[[#This Row],[CABLEADO]]=AD$2,100%,AVANCE[[#This Row],[CABLEADO]])</f>
        <v>1</v>
      </c>
      <c r="BU5" s="3">
        <f>+IF(AVANCE[[#This Row],[ARTEFACTOS]]=AE$2,100%,AVANCE[[#This Row],[ARTEFACTOS]])</f>
        <v>1</v>
      </c>
      <c r="BV5" s="3">
        <f>+IF(AVANCE[[#This Row],[TABLERO]]=AF$2,100%,AVANCE[[#This Row],[TABLERO]])</f>
        <v>1</v>
      </c>
      <c r="BW5" s="3">
        <f>+IF(AVANCE[[#This Row],[CAJA PAU]]=AG$2,100%,AVANCE[[#This Row],[CAJA PAU]])</f>
        <v>1</v>
      </c>
      <c r="BX5" s="3">
        <f>+IF(AVANCE[[#This Row],[INSTALACION VINILICO]]=AJ$2,100%,AVANCE[[#This Row],[INSTALACION VINILICO]])</f>
        <v>1</v>
      </c>
      <c r="BY5" s="3">
        <f>+IF(AVANCE[[#This Row],[OSB CUBIERTA]]=AK$2,100%,AVANCE[[#This Row],[OSB CUBIERTA]])</f>
        <v>1</v>
      </c>
      <c r="BZ5" s="3">
        <f>+IF(AVANCE[[#This Row],[BARANDA BALCON]]=AL$2,100%,AVANCE[[#This Row],[BARANDA BALCON]])</f>
        <v>1</v>
      </c>
      <c r="CA5" s="3">
        <f>+IF(AVANCE[[#This Row],[OSB EXTERIOR]]=AM$2,100%,AVANCE[[#This Row],[OSB EXTERIOR]])</f>
        <v>1</v>
      </c>
      <c r="CB5" s="3">
        <f>+IF(AVANCE[[#This Row],[SMART PANEL]]=AN$2,100%,AVANCE[[#This Row],[SMART PANEL]])</f>
        <v>1</v>
      </c>
      <c r="CC5" s="3">
        <f>+IF(AVANCE[[#This Row],[PINTURA EXTERIOR]]=AO$2,100%,AVANCE[[#This Row],[PINTURA EXTERIOR]])</f>
        <v>1</v>
      </c>
      <c r="CD5" s="3">
        <f>+IF(AVANCE[[#This Row],[ZOCALOS LOGIA]]=AP$2,100%,AVANCE[[#This Row],[ZOCALOS LOGIA]])</f>
        <v>1</v>
      </c>
      <c r="CE5" s="3">
        <f>+IF(AVANCE[[#This Row],[MOLDURAS]]=AQ$2,100%,AVANCE[[#This Row],[MOLDURAS]])</f>
        <v>1</v>
      </c>
      <c r="CF5" s="3">
        <f>+IF(AVANCE[[#This Row],[PILASTREO]]=AR$2,100%,AVANCE[[#This Row],[PILASTREO]])</f>
        <v>1</v>
      </c>
      <c r="CG5" s="3">
        <f>+IF(AVANCE[[#This Row],[CELOSIAS]]=AS$2,100%,AVANCE[[#This Row],[CELOSIAS]])</f>
        <v>1</v>
      </c>
      <c r="CH5" s="3">
        <f>+IF(AVANCE[[#This Row],[VENTANAS]]=AT$2,100%,AVANCE[[#This Row],[VENTANAS]])</f>
        <v>1</v>
      </c>
      <c r="CI5" s="3">
        <f>+IF(AVANCE[[#This Row],[PUERTAS ACCESO - LOGIA - BANO]]=AU$2,100%,AVANCE[[#This Row],[PUERTAS ACCESO - LOGIA - BANO]])</f>
        <v>1</v>
      </c>
      <c r="CJ5" s="3">
        <f>+IF(AVANCE[[#This Row],[CERRADURAS]]=AV$2,100%,AVANCE[[#This Row],[CERRADURAS]])</f>
        <v>1</v>
      </c>
      <c r="CK5" s="3">
        <f>+IF(AVANCE[[#This Row],[REVESTIMIENTO INTERIOR ZONA SECA]]=AW$2,100%,AVANCE[[#This Row],[REVESTIMIENTO INTERIOR ZONA SECA]])</f>
        <v>1</v>
      </c>
      <c r="CL5" s="3">
        <f>+IF(AVANCE[[#This Row],[REVESTIMIENTO INTERIOR ZONAS HUMEDAS]]=AX$2,100%,AVANCE[[#This Row],[REVESTIMIENTO INTERIOR ZONAS HUMEDAS]])</f>
        <v>1</v>
      </c>
      <c r="CM5" s="3">
        <f>+IF(AVANCE[[#This Row],[MEMBRANA CIELO]]=AY$2,100%,AVANCE[[#This Row],[MEMBRANA CIELO]])</f>
        <v>1</v>
      </c>
      <c r="CN5" s="3">
        <f>+IF(AVANCE[[#This Row],[LIMPIEZA FINAL]]=AZ$2,100%,AVANCE[[#This Row],[LIMPIEZA FINAL]])</f>
        <v>1</v>
      </c>
      <c r="CO5" s="3">
        <f>+IF(AVANCE[[#This Row],[PUERTAS DORMITORIO]]=BA$2,100%,AVANCE[[#This Row],[PUERTAS DORMITORIO]])</f>
        <v>1</v>
      </c>
      <c r="CP5" s="3">
        <f>+IF(AVANCE[[#This Row],[REVESTIMIENTO INTERIOR BANO]]=BB$2,100%,AVANCE[[#This Row],[REVESTIMIENTO INTERIOR BANO]])</f>
        <v>1</v>
      </c>
      <c r="CQ5" s="3">
        <f>+IF(AVANCE[[#This Row],[MUEBLE LAVAPLATOS]]=BC$2,100%,AVANCE[[#This Row],[MUEBLE LAVAPLATOS]])</f>
        <v>1</v>
      </c>
      <c r="CR5" s="3">
        <f>+IF(AVANCE[[#This Row],[IMPERMEABILIZACION BANO - COCINA LOGIA]]=BD$2,100%,AVANCE[[#This Row],[IMPERMEABILIZACION BANO - COCINA LOGIA]])</f>
        <v>1</v>
      </c>
      <c r="CS5" s="40">
        <f ca="1">+IF(AVANCE[[#This Row],[ESTADO MODULO]]="PENDIENTE",(TODAY()-AVANCE[[#This Row],[FECHA TERMINO  PLANIFICADO]]),0)</f>
        <v>0</v>
      </c>
      <c r="CT5" s="41" t="str" cm="1">
        <f t="array" ref="CT5">_xlfn.TEXTJOIN(" | ",TRUE,IF(SUMPRODUCT((BG5:CR5&lt;1)*(PARTIDAS!$I$2:$AT$2="OBRA GRUESA"))&gt;0,"OBRA GRUESA: "&amp;_xlfn.TEXTJOIN(", ",TRUE,IF((BG5:CR5&lt;1)*(PARTIDAS!$I$2:$AT$2="OBRA GRUESA"),PARTIDAS!$I$1:$AT$1,"")),""),IF(SUMPRODUCT((BG5:CR5&lt;1)*(PARTIDAS!$I$2:$AT$2="SANITARIOS"))&gt;0,"SANITARIOS: "&amp;_xlfn.TEXTJOIN(", ",TRUE,IF((BG5:CR5&lt;1)*(PARTIDAS!$I$2:$AT$2="SANITARIOS"),PARTIDAS!$I$1:$AT$1,"")),""),IF(SUMPRODUCT((BG5:CR5&lt;1)*(PARTIDAS!$I$2:$AT$2="ELÉCTRICO"))&gt;0,"ELÉCTRICO: "&amp;_xlfn.TEXTJOIN(", ",TRUE,IF((BG5:CR5&lt;1)*(PARTIDAS!$I$2:$AT$2="ELÉCTRICO"),PARTIDAS!$I$1:$AT$1,"")),""),IF(SUMPRODUCT((BG5:CR5&lt;1)*(PARTIDAS!$I$2:$AT$2="TERMINACIONES"))&gt;0,"TERMINACIONES: "&amp;_xlfn.TEXTJOIN(", ",TRUE,IF((BG5:CR5&lt;1)*(PARTIDAS!$I$2:$AT$2="TERMINACIONES"),PARTIDAS!$I$1:$AT$1,"")),""))</f>
        <v/>
      </c>
      <c r="CU5" s="43" t="str" cm="1">
        <f t="array" ref="CU5">_xlfn.TEXTJOIN(", ",TRUE,IF(SUMPRODUCT((BG5:CR5&lt;1)*(PARTIDAS!$I$2:$AT$2="OBRA GRUESA"))&gt;0,"OBRA GRUESA",""),IF(SUMPRODUCT((BG5:CR5&lt;1)*(PARTIDAS!$I$2:$AT$2="SANITARIOS"))&gt;0,"SANITARIOS",""),IF(SUMPRODUCT((BG5:CR5&lt;1)*(PARTIDAS!$I$2:$AT$2="ELÉCTRICO"))&gt;0,"ELÉCTRICO",""),IF(SUMPRODUCT((BG5:CR5&lt;1)*(PARTIDAS!$I$2:$AT$2="TERMINACIONES"))&gt;0,"TERMINACIONES",""))</f>
        <v/>
      </c>
      <c r="CV5" s="44" cm="1">
        <f t="array" ref="CV5">SUMPRODUCT(--(BG5:CR5&lt;1))</f>
        <v>0</v>
      </c>
    </row>
    <row r="6" spans="1:100" hidden="1" x14ac:dyDescent="0.25">
      <c r="A6" t="s">
        <v>56</v>
      </c>
      <c r="B6" t="s">
        <v>63</v>
      </c>
      <c r="C6">
        <v>2282600005</v>
      </c>
      <c r="D6" t="s">
        <v>58</v>
      </c>
      <c r="E6" s="2">
        <v>0.99999999999999978</v>
      </c>
      <c r="F6" s="1">
        <v>46104</v>
      </c>
      <c r="G6" s="1">
        <v>46104</v>
      </c>
      <c r="H6" s="1">
        <v>46150</v>
      </c>
      <c r="I6" s="1">
        <v>46147</v>
      </c>
      <c r="K6" s="1">
        <v>46150</v>
      </c>
      <c r="L6" s="3">
        <v>0.43</v>
      </c>
      <c r="M6" s="3">
        <v>1</v>
      </c>
      <c r="N6" s="3">
        <v>0.27906976744186046</v>
      </c>
      <c r="O6" s="3">
        <v>0.18604651162790697</v>
      </c>
      <c r="P6" s="3">
        <v>0.2558139534883721</v>
      </c>
      <c r="Q6" s="3">
        <v>0.18604651162790697</v>
      </c>
      <c r="R6" s="3">
        <v>9.3023255813953487E-2</v>
      </c>
      <c r="S6" s="3">
        <v>0.09</v>
      </c>
      <c r="T6" s="3">
        <v>1</v>
      </c>
      <c r="U6" s="3">
        <v>0.22222222222222221</v>
      </c>
      <c r="V6" s="3">
        <v>0.22222222222222221</v>
      </c>
      <c r="W6" s="3">
        <v>0.1111111111111111</v>
      </c>
      <c r="X6" s="3">
        <v>0.1111111111111111</v>
      </c>
      <c r="Y6" s="3">
        <v>0.1111111111111111</v>
      </c>
      <c r="Z6" s="3">
        <v>0.22222222222222221</v>
      </c>
      <c r="AA6" s="3">
        <v>0.11</v>
      </c>
      <c r="AB6" s="3">
        <v>1</v>
      </c>
      <c r="AC6" s="3">
        <v>0.27272727272727271</v>
      </c>
      <c r="AD6" s="3">
        <v>0.27272727272727271</v>
      </c>
      <c r="AE6" s="3">
        <v>9.0909090909090912E-2</v>
      </c>
      <c r="AF6" s="3">
        <v>0.18181818181818182</v>
      </c>
      <c r="AG6" s="3">
        <v>0.18181818181818182</v>
      </c>
      <c r="AH6" s="3">
        <v>0.36999999999999983</v>
      </c>
      <c r="AI6" s="3">
        <v>0.99999999999999956</v>
      </c>
      <c r="AJ6" s="3">
        <v>5.4054054054054036E-2</v>
      </c>
      <c r="AK6" s="3">
        <v>5.4054054054054036E-2</v>
      </c>
      <c r="AL6" s="3">
        <v>2.7027027027027018E-2</v>
      </c>
      <c r="AM6" s="3">
        <v>8.1081081081081058E-2</v>
      </c>
      <c r="AN6" s="3">
        <v>8.1081081081081058E-2</v>
      </c>
      <c r="AO6" s="3">
        <v>6.7567567567567557E-2</v>
      </c>
      <c r="AP6" s="3">
        <v>5.4054054054054036E-2</v>
      </c>
      <c r="AQ6" s="3">
        <v>1.3513513513513509E-2</v>
      </c>
      <c r="AR6" s="3">
        <v>4.0540540540540529E-2</v>
      </c>
      <c r="AS6" s="3">
        <v>1.3513513513513509E-2</v>
      </c>
      <c r="AT6" s="3">
        <v>8.1081081081081058E-2</v>
      </c>
      <c r="AU6" s="3">
        <v>5.4054054054054036E-2</v>
      </c>
      <c r="AV6" s="3">
        <v>2.7027027027027018E-2</v>
      </c>
      <c r="AW6" s="3">
        <v>5.4054054054054036E-2</v>
      </c>
      <c r="AX6" s="3">
        <v>5.4054054054054036E-2</v>
      </c>
      <c r="AY6" s="3">
        <v>2.7027027027027018E-2</v>
      </c>
      <c r="AZ6" s="3">
        <v>4.0540540540540529E-2</v>
      </c>
      <c r="BA6" s="3">
        <v>5.4054054054054036E-2</v>
      </c>
      <c r="BB6" s="3">
        <v>8.1081081081081058E-2</v>
      </c>
      <c r="BC6" s="3">
        <v>1.3513513513513509E-2</v>
      </c>
      <c r="BD6" s="3">
        <v>2.7027027027027018E-2</v>
      </c>
      <c r="BE6">
        <v>28.87</v>
      </c>
      <c r="BF6" s="3" t="str">
        <f>+IF(AVANCE[[#This Row],[% AVANCE]]=100%,"MODULO TERMINADO",IF(AVANCE[[#This Row],[FECHA INICIO REAL]]="","MODULO NO INICIADO","PENDIENTE"))</f>
        <v>MODULO TERMINADO</v>
      </c>
      <c r="BG6" s="3">
        <f>+IF(AVANCE[[#This Row],[VENTANAS]]=8.10810810810811%,100%,AVANCE[[#This Row],[VENTANAS]])</f>
        <v>1</v>
      </c>
      <c r="BH6" s="3">
        <f>+IF(AVANCE[[#This Row],[PISO]]=N$2,100%,AVANCE[[#This Row],[PISO]])</f>
        <v>1</v>
      </c>
      <c r="BI6" s="3">
        <f>+IF(AVANCE[[#This Row],[TABIQUES]]=O$2,100%,AVANCE[[#This Row],[TABIQUES]])</f>
        <v>1</v>
      </c>
      <c r="BJ6" s="3">
        <f>+IF(AVANCE[[#This Row],[MUROS]]=P$2,100%,AVANCE[[#This Row],[MUROS]])</f>
        <v>1</v>
      </c>
      <c r="BK6" s="3">
        <f>+IF(AVANCE[[#This Row],[CIELO]]=Q$2,100%,AVANCE[[#This Row],[CIELO]])</f>
        <v>1</v>
      </c>
      <c r="BL6" s="3">
        <f>+IF(AVANCE[[#This Row],[BALCÓN]]=R$2,100%,AVANCE[[#This Row],[BALCÓN]])</f>
        <v>1</v>
      </c>
      <c r="BM6" s="3">
        <f>+IF(AVANCE[[#This Row],[RED ALCANTARILLADO]]=U$2,100%,AVANCE[[#This Row],[RED ALCANTARILLADO]])</f>
        <v>1</v>
      </c>
      <c r="BN6" s="3">
        <f>+IF(AVANCE[[#This Row],[RED DE AGUA]]=V$2,100%,AVANCE[[#This Row],[RED DE AGUA]])</f>
        <v>1</v>
      </c>
      <c r="BO6" s="3">
        <f>+IF(AVANCE[[#This Row],[VENTILACIONES]]=W$2,100%,AVANCE[[#This Row],[VENTILACIONES]])</f>
        <v>1</v>
      </c>
      <c r="BP6" s="3">
        <f>+IF(AVANCE[[#This Row],[TINA]]=X$2,100%,AVANCE[[#This Row],[TINA]])</f>
        <v>1</v>
      </c>
      <c r="BQ6" s="3">
        <f>+IF(AVANCE[[#This Row],[WC]]=Y$2,100%,AVANCE[[#This Row],[WC]])</f>
        <v>1</v>
      </c>
      <c r="BR6" s="3">
        <f>+IF(AVANCE[[#This Row],[LAVAMANOS / LAVAPLATOS / LAVADERO]]=Z$2,100%,AVANCE[[#This Row],[LAVAMANOS / LAVAPLATOS / LAVADERO]])</f>
        <v>1</v>
      </c>
      <c r="BS6" s="3">
        <f>+IF(AVANCE[[#This Row],[CANALIZACIÓN]]=AC$2,100%,AVANCE[[#This Row],[CANALIZACIÓN]])</f>
        <v>1</v>
      </c>
      <c r="BT6" s="3">
        <f>+IF(AVANCE[[#This Row],[CABLEADO]]=AD$2,100%,AVANCE[[#This Row],[CABLEADO]])</f>
        <v>1</v>
      </c>
      <c r="BU6" s="3">
        <f>+IF(AVANCE[[#This Row],[ARTEFACTOS]]=AE$2,100%,AVANCE[[#This Row],[ARTEFACTOS]])</f>
        <v>1</v>
      </c>
      <c r="BV6" s="3">
        <f>+IF(AVANCE[[#This Row],[TABLERO]]=AF$2,100%,AVANCE[[#This Row],[TABLERO]])</f>
        <v>1</v>
      </c>
      <c r="BW6" s="3">
        <f>+IF(AVANCE[[#This Row],[CAJA PAU]]=AG$2,100%,AVANCE[[#This Row],[CAJA PAU]])</f>
        <v>1</v>
      </c>
      <c r="BX6" s="3">
        <f>+IF(AVANCE[[#This Row],[INSTALACION VINILICO]]=AJ$2,100%,AVANCE[[#This Row],[INSTALACION VINILICO]])</f>
        <v>1</v>
      </c>
      <c r="BY6" s="3">
        <f>+IF(AVANCE[[#This Row],[OSB CUBIERTA]]=AK$2,100%,AVANCE[[#This Row],[OSB CUBIERTA]])</f>
        <v>1</v>
      </c>
      <c r="BZ6" s="3">
        <f>+IF(AVANCE[[#This Row],[BARANDA BALCON]]=AL$2,100%,AVANCE[[#This Row],[BARANDA BALCON]])</f>
        <v>1</v>
      </c>
      <c r="CA6" s="3">
        <f>+IF(AVANCE[[#This Row],[OSB EXTERIOR]]=AM$2,100%,AVANCE[[#This Row],[OSB EXTERIOR]])</f>
        <v>1</v>
      </c>
      <c r="CB6" s="3">
        <f>+IF(AVANCE[[#This Row],[SMART PANEL]]=AN$2,100%,AVANCE[[#This Row],[SMART PANEL]])</f>
        <v>1</v>
      </c>
      <c r="CC6" s="3">
        <f>+IF(AVANCE[[#This Row],[PINTURA EXTERIOR]]=AO$2,100%,AVANCE[[#This Row],[PINTURA EXTERIOR]])</f>
        <v>1</v>
      </c>
      <c r="CD6" s="3">
        <f>+IF(AVANCE[[#This Row],[ZOCALOS LOGIA]]=AP$2,100%,AVANCE[[#This Row],[ZOCALOS LOGIA]])</f>
        <v>1</v>
      </c>
      <c r="CE6" s="3">
        <f>+IF(AVANCE[[#This Row],[MOLDURAS]]=AQ$2,100%,AVANCE[[#This Row],[MOLDURAS]])</f>
        <v>1</v>
      </c>
      <c r="CF6" s="3">
        <f>+IF(AVANCE[[#This Row],[PILASTREO]]=AR$2,100%,AVANCE[[#This Row],[PILASTREO]])</f>
        <v>1</v>
      </c>
      <c r="CG6" s="3">
        <f>+IF(AVANCE[[#This Row],[CELOSIAS]]=AS$2,100%,AVANCE[[#This Row],[CELOSIAS]])</f>
        <v>1</v>
      </c>
      <c r="CH6" s="3">
        <f>+IF(AVANCE[[#This Row],[VENTANAS]]=AT$2,100%,AVANCE[[#This Row],[VENTANAS]])</f>
        <v>1</v>
      </c>
      <c r="CI6" s="3">
        <f>+IF(AVANCE[[#This Row],[PUERTAS ACCESO - LOGIA - BANO]]=AU$2,100%,AVANCE[[#This Row],[PUERTAS ACCESO - LOGIA - BANO]])</f>
        <v>1</v>
      </c>
      <c r="CJ6" s="3">
        <f>+IF(AVANCE[[#This Row],[CERRADURAS]]=AV$2,100%,AVANCE[[#This Row],[CERRADURAS]])</f>
        <v>1</v>
      </c>
      <c r="CK6" s="3">
        <f>+IF(AVANCE[[#This Row],[REVESTIMIENTO INTERIOR ZONA SECA]]=AW$2,100%,AVANCE[[#This Row],[REVESTIMIENTO INTERIOR ZONA SECA]])</f>
        <v>1</v>
      </c>
      <c r="CL6" s="3">
        <f>+IF(AVANCE[[#This Row],[REVESTIMIENTO INTERIOR ZONAS HUMEDAS]]=AX$2,100%,AVANCE[[#This Row],[REVESTIMIENTO INTERIOR ZONAS HUMEDAS]])</f>
        <v>1</v>
      </c>
      <c r="CM6" s="3">
        <f>+IF(AVANCE[[#This Row],[MEMBRANA CIELO]]=AY$2,100%,AVANCE[[#This Row],[MEMBRANA CIELO]])</f>
        <v>1</v>
      </c>
      <c r="CN6" s="3">
        <f>+IF(AVANCE[[#This Row],[LIMPIEZA FINAL]]=AZ$2,100%,AVANCE[[#This Row],[LIMPIEZA FINAL]])</f>
        <v>1</v>
      </c>
      <c r="CO6" s="3">
        <f>+IF(AVANCE[[#This Row],[PUERTAS DORMITORIO]]=BA$2,100%,AVANCE[[#This Row],[PUERTAS DORMITORIO]])</f>
        <v>1</v>
      </c>
      <c r="CP6" s="3">
        <f>+IF(AVANCE[[#This Row],[REVESTIMIENTO INTERIOR BANO]]=BB$2,100%,AVANCE[[#This Row],[REVESTIMIENTO INTERIOR BANO]])</f>
        <v>1</v>
      </c>
      <c r="CQ6" s="3">
        <f>+IF(AVANCE[[#This Row],[MUEBLE LAVAPLATOS]]=BC$2,100%,AVANCE[[#This Row],[MUEBLE LAVAPLATOS]])</f>
        <v>1</v>
      </c>
      <c r="CR6" s="3">
        <f>+IF(AVANCE[[#This Row],[IMPERMEABILIZACION BANO - COCINA LOGIA]]=BD$2,100%,AVANCE[[#This Row],[IMPERMEABILIZACION BANO - COCINA LOGIA]])</f>
        <v>1</v>
      </c>
      <c r="CS6" s="40">
        <f ca="1">+IF(AVANCE[[#This Row],[ESTADO MODULO]]="PENDIENTE",(TODAY()-AVANCE[[#This Row],[FECHA TERMINO  PLANIFICADO]]),0)</f>
        <v>0</v>
      </c>
      <c r="CT6" s="41" t="str" cm="1">
        <f t="array" ref="CT6">_xlfn.TEXTJOIN(" | ",TRUE,IF(SUMPRODUCT((BG6:CR6&lt;1)*(PARTIDAS!$I$2:$AT$2="OBRA GRUESA"))&gt;0,"OBRA GRUESA: "&amp;_xlfn.TEXTJOIN(", ",TRUE,IF((BG6:CR6&lt;1)*(PARTIDAS!$I$2:$AT$2="OBRA GRUESA"),PARTIDAS!$I$1:$AT$1,"")),""),IF(SUMPRODUCT((BG6:CR6&lt;1)*(PARTIDAS!$I$2:$AT$2="SANITARIOS"))&gt;0,"SANITARIOS: "&amp;_xlfn.TEXTJOIN(", ",TRUE,IF((BG6:CR6&lt;1)*(PARTIDAS!$I$2:$AT$2="SANITARIOS"),PARTIDAS!$I$1:$AT$1,"")),""),IF(SUMPRODUCT((BG6:CR6&lt;1)*(PARTIDAS!$I$2:$AT$2="ELÉCTRICO"))&gt;0,"ELÉCTRICO: "&amp;_xlfn.TEXTJOIN(", ",TRUE,IF((BG6:CR6&lt;1)*(PARTIDAS!$I$2:$AT$2="ELÉCTRICO"),PARTIDAS!$I$1:$AT$1,"")),""),IF(SUMPRODUCT((BG6:CR6&lt;1)*(PARTIDAS!$I$2:$AT$2="TERMINACIONES"))&gt;0,"TERMINACIONES: "&amp;_xlfn.TEXTJOIN(", ",TRUE,IF((BG6:CR6&lt;1)*(PARTIDAS!$I$2:$AT$2="TERMINACIONES"),PARTIDAS!$I$1:$AT$1,"")),""))</f>
        <v/>
      </c>
      <c r="CU6" s="43" t="str" cm="1">
        <f t="array" ref="CU6">_xlfn.TEXTJOIN(", ",TRUE,IF(SUMPRODUCT((BG6:CR6&lt;1)*(PARTIDAS!$I$2:$AT$2="OBRA GRUESA"))&gt;0,"OBRA GRUESA",""),IF(SUMPRODUCT((BG6:CR6&lt;1)*(PARTIDAS!$I$2:$AT$2="SANITARIOS"))&gt;0,"SANITARIOS",""),IF(SUMPRODUCT((BG6:CR6&lt;1)*(PARTIDAS!$I$2:$AT$2="ELÉCTRICO"))&gt;0,"ELÉCTRICO",""),IF(SUMPRODUCT((BG6:CR6&lt;1)*(PARTIDAS!$I$2:$AT$2="TERMINACIONES"))&gt;0,"TERMINACIONES",""))</f>
        <v/>
      </c>
      <c r="CV6" s="44" cm="1">
        <f t="array" ref="CV6">SUMPRODUCT(--(BG6:CR6&lt;1))</f>
        <v>0</v>
      </c>
    </row>
    <row r="7" spans="1:100" hidden="1" x14ac:dyDescent="0.25">
      <c r="A7" t="s">
        <v>56</v>
      </c>
      <c r="B7" t="s">
        <v>64</v>
      </c>
      <c r="C7">
        <v>2302600006</v>
      </c>
      <c r="D7" t="s">
        <v>60</v>
      </c>
      <c r="E7" s="2">
        <v>0.99999999999999978</v>
      </c>
      <c r="F7" s="1">
        <v>46105</v>
      </c>
      <c r="G7" s="1">
        <v>46105</v>
      </c>
      <c r="H7" s="1">
        <v>46169</v>
      </c>
      <c r="I7" s="1">
        <v>46153</v>
      </c>
      <c r="K7" s="1">
        <v>46169</v>
      </c>
      <c r="L7" s="3">
        <v>0.43</v>
      </c>
      <c r="M7" s="3">
        <v>1</v>
      </c>
      <c r="N7" s="3">
        <v>0.27906976744186046</v>
      </c>
      <c r="O7" s="3">
        <v>0.18604651162790697</v>
      </c>
      <c r="P7" s="3">
        <v>0.2558139534883721</v>
      </c>
      <c r="Q7" s="3">
        <v>0.18604651162790697</v>
      </c>
      <c r="R7" s="3">
        <v>9.3023255813953487E-2</v>
      </c>
      <c r="S7" s="3">
        <v>0.09</v>
      </c>
      <c r="T7" s="3">
        <v>1</v>
      </c>
      <c r="U7" s="3">
        <v>0.22222222222222221</v>
      </c>
      <c r="V7" s="3">
        <v>0.22222222222222221</v>
      </c>
      <c r="W7" s="3">
        <v>0.1111111111111111</v>
      </c>
      <c r="X7" s="3">
        <v>0.1111111111111111</v>
      </c>
      <c r="Y7" s="3">
        <v>0.1111111111111111</v>
      </c>
      <c r="Z7" s="3">
        <v>0.22222222222222221</v>
      </c>
      <c r="AA7" s="3">
        <v>0.11</v>
      </c>
      <c r="AB7" s="3">
        <v>1</v>
      </c>
      <c r="AC7" s="3">
        <v>0.27272727272727271</v>
      </c>
      <c r="AD7" s="3">
        <v>0.27272727272727271</v>
      </c>
      <c r="AE7" s="3">
        <v>9.0909090909090912E-2</v>
      </c>
      <c r="AF7" s="3">
        <v>0.18181818181818182</v>
      </c>
      <c r="AG7" s="3">
        <v>0.18181818181818182</v>
      </c>
      <c r="AH7" s="3">
        <v>0.36999999999999983</v>
      </c>
      <c r="AI7" s="3">
        <v>0.99999999999999956</v>
      </c>
      <c r="AJ7" s="3">
        <v>5.4054054054054036E-2</v>
      </c>
      <c r="AK7" s="3">
        <v>5.4054054054054036E-2</v>
      </c>
      <c r="AL7" s="3">
        <v>2.7027027027027018E-2</v>
      </c>
      <c r="AM7" s="3">
        <v>8.1081081081081058E-2</v>
      </c>
      <c r="AN7" s="3">
        <v>8.1081081081081058E-2</v>
      </c>
      <c r="AO7" s="3">
        <v>6.7567567567567557E-2</v>
      </c>
      <c r="AP7" s="3">
        <v>5.4054054054054036E-2</v>
      </c>
      <c r="AQ7" s="3">
        <v>1.3513513513513509E-2</v>
      </c>
      <c r="AR7" s="3">
        <v>4.0540540540540529E-2</v>
      </c>
      <c r="AS7" s="3">
        <v>1.3513513513513509E-2</v>
      </c>
      <c r="AT7" s="3">
        <v>8.1081081081081058E-2</v>
      </c>
      <c r="AU7" s="3">
        <v>5.4054054054054036E-2</v>
      </c>
      <c r="AV7" s="3">
        <v>2.7027027027027018E-2</v>
      </c>
      <c r="AW7" s="3">
        <v>5.4054054054054036E-2</v>
      </c>
      <c r="AX7" s="3">
        <v>5.4054054054054036E-2</v>
      </c>
      <c r="AY7" s="3">
        <v>2.7027027027027018E-2</v>
      </c>
      <c r="AZ7" s="3">
        <v>4.0540540540540529E-2</v>
      </c>
      <c r="BA7" s="3">
        <v>5.4054054054054036E-2</v>
      </c>
      <c r="BB7" s="3">
        <v>8.1081081081081058E-2</v>
      </c>
      <c r="BC7" s="3">
        <v>1.3513513513513509E-2</v>
      </c>
      <c r="BD7" s="3">
        <v>2.7027027027027018E-2</v>
      </c>
      <c r="BE7">
        <v>31.32</v>
      </c>
      <c r="BF7" s="3" t="str">
        <f>+IF(AVANCE[[#This Row],[% AVANCE]]=100%,"MODULO TERMINADO",IF(AVANCE[[#This Row],[FECHA INICIO REAL]]="","MODULO NO INICIADO","PENDIENTE"))</f>
        <v>MODULO TERMINADO</v>
      </c>
      <c r="BG7" s="3">
        <f>+IF(AVANCE[[#This Row],[VENTANAS]]=8.10810810810811%,100%,AVANCE[[#This Row],[VENTANAS]])</f>
        <v>1</v>
      </c>
      <c r="BH7" s="3">
        <f>+IF(AVANCE[[#This Row],[PISO]]=N$2,100%,AVANCE[[#This Row],[PISO]])</f>
        <v>1</v>
      </c>
      <c r="BI7" s="3">
        <f>+IF(AVANCE[[#This Row],[TABIQUES]]=O$2,100%,AVANCE[[#This Row],[TABIQUES]])</f>
        <v>1</v>
      </c>
      <c r="BJ7" s="3">
        <f>+IF(AVANCE[[#This Row],[MUROS]]=P$2,100%,AVANCE[[#This Row],[MUROS]])</f>
        <v>1</v>
      </c>
      <c r="BK7" s="3">
        <f>+IF(AVANCE[[#This Row],[CIELO]]=Q$2,100%,AVANCE[[#This Row],[CIELO]])</f>
        <v>1</v>
      </c>
      <c r="BL7" s="3">
        <f>+IF(AVANCE[[#This Row],[BALCÓN]]=R$2,100%,AVANCE[[#This Row],[BALCÓN]])</f>
        <v>1</v>
      </c>
      <c r="BM7" s="3">
        <f>+IF(AVANCE[[#This Row],[RED ALCANTARILLADO]]=U$2,100%,AVANCE[[#This Row],[RED ALCANTARILLADO]])</f>
        <v>1</v>
      </c>
      <c r="BN7" s="3">
        <f>+IF(AVANCE[[#This Row],[RED DE AGUA]]=V$2,100%,AVANCE[[#This Row],[RED DE AGUA]])</f>
        <v>1</v>
      </c>
      <c r="BO7" s="3">
        <f>+IF(AVANCE[[#This Row],[VENTILACIONES]]=W$2,100%,AVANCE[[#This Row],[VENTILACIONES]])</f>
        <v>1</v>
      </c>
      <c r="BP7" s="3">
        <f>+IF(AVANCE[[#This Row],[TINA]]=X$2,100%,AVANCE[[#This Row],[TINA]])</f>
        <v>1</v>
      </c>
      <c r="BQ7" s="3">
        <f>+IF(AVANCE[[#This Row],[WC]]=Y$2,100%,AVANCE[[#This Row],[WC]])</f>
        <v>1</v>
      </c>
      <c r="BR7" s="3">
        <f>+IF(AVANCE[[#This Row],[LAVAMANOS / LAVAPLATOS / LAVADERO]]=Z$2,100%,AVANCE[[#This Row],[LAVAMANOS / LAVAPLATOS / LAVADERO]])</f>
        <v>1</v>
      </c>
      <c r="BS7" s="3">
        <f>+IF(AVANCE[[#This Row],[CANALIZACIÓN]]=AC$2,100%,AVANCE[[#This Row],[CANALIZACIÓN]])</f>
        <v>1</v>
      </c>
      <c r="BT7" s="3">
        <f>+IF(AVANCE[[#This Row],[CABLEADO]]=AD$2,100%,AVANCE[[#This Row],[CABLEADO]])</f>
        <v>1</v>
      </c>
      <c r="BU7" s="3">
        <f>+IF(AVANCE[[#This Row],[ARTEFACTOS]]=AE$2,100%,AVANCE[[#This Row],[ARTEFACTOS]])</f>
        <v>1</v>
      </c>
      <c r="BV7" s="3">
        <f>+IF(AVANCE[[#This Row],[TABLERO]]=AF$2,100%,AVANCE[[#This Row],[TABLERO]])</f>
        <v>1</v>
      </c>
      <c r="BW7" s="3">
        <f>+IF(AVANCE[[#This Row],[CAJA PAU]]=AG$2,100%,AVANCE[[#This Row],[CAJA PAU]])</f>
        <v>1</v>
      </c>
      <c r="BX7" s="3">
        <f>+IF(AVANCE[[#This Row],[INSTALACION VINILICO]]=AJ$2,100%,AVANCE[[#This Row],[INSTALACION VINILICO]])</f>
        <v>1</v>
      </c>
      <c r="BY7" s="3">
        <f>+IF(AVANCE[[#This Row],[OSB CUBIERTA]]=AK$2,100%,AVANCE[[#This Row],[OSB CUBIERTA]])</f>
        <v>1</v>
      </c>
      <c r="BZ7" s="3">
        <f>+IF(AVANCE[[#This Row],[BARANDA BALCON]]=AL$2,100%,AVANCE[[#This Row],[BARANDA BALCON]])</f>
        <v>1</v>
      </c>
      <c r="CA7" s="3">
        <f>+IF(AVANCE[[#This Row],[OSB EXTERIOR]]=AM$2,100%,AVANCE[[#This Row],[OSB EXTERIOR]])</f>
        <v>1</v>
      </c>
      <c r="CB7" s="3">
        <f>+IF(AVANCE[[#This Row],[SMART PANEL]]=AN$2,100%,AVANCE[[#This Row],[SMART PANEL]])</f>
        <v>1</v>
      </c>
      <c r="CC7" s="3">
        <f>+IF(AVANCE[[#This Row],[PINTURA EXTERIOR]]=AO$2,100%,AVANCE[[#This Row],[PINTURA EXTERIOR]])</f>
        <v>1</v>
      </c>
      <c r="CD7" s="3">
        <f>+IF(AVANCE[[#This Row],[ZOCALOS LOGIA]]=AP$2,100%,AVANCE[[#This Row],[ZOCALOS LOGIA]])</f>
        <v>1</v>
      </c>
      <c r="CE7" s="3">
        <f>+IF(AVANCE[[#This Row],[MOLDURAS]]=AQ$2,100%,AVANCE[[#This Row],[MOLDURAS]])</f>
        <v>1</v>
      </c>
      <c r="CF7" s="3">
        <f>+IF(AVANCE[[#This Row],[PILASTREO]]=AR$2,100%,AVANCE[[#This Row],[PILASTREO]])</f>
        <v>1</v>
      </c>
      <c r="CG7" s="3">
        <f>+IF(AVANCE[[#This Row],[CELOSIAS]]=AS$2,100%,AVANCE[[#This Row],[CELOSIAS]])</f>
        <v>1</v>
      </c>
      <c r="CH7" s="3">
        <f>+IF(AVANCE[[#This Row],[VENTANAS]]=AT$2,100%,AVANCE[[#This Row],[VENTANAS]])</f>
        <v>1</v>
      </c>
      <c r="CI7" s="3">
        <f>+IF(AVANCE[[#This Row],[PUERTAS ACCESO - LOGIA - BANO]]=AU$2,100%,AVANCE[[#This Row],[PUERTAS ACCESO - LOGIA - BANO]])</f>
        <v>1</v>
      </c>
      <c r="CJ7" s="3">
        <f>+IF(AVANCE[[#This Row],[CERRADURAS]]=AV$2,100%,AVANCE[[#This Row],[CERRADURAS]])</f>
        <v>1</v>
      </c>
      <c r="CK7" s="3">
        <f>+IF(AVANCE[[#This Row],[REVESTIMIENTO INTERIOR ZONA SECA]]=AW$2,100%,AVANCE[[#This Row],[REVESTIMIENTO INTERIOR ZONA SECA]])</f>
        <v>1</v>
      </c>
      <c r="CL7" s="3">
        <f>+IF(AVANCE[[#This Row],[REVESTIMIENTO INTERIOR ZONAS HUMEDAS]]=AX$2,100%,AVANCE[[#This Row],[REVESTIMIENTO INTERIOR ZONAS HUMEDAS]])</f>
        <v>1</v>
      </c>
      <c r="CM7" s="3">
        <f>+IF(AVANCE[[#This Row],[MEMBRANA CIELO]]=AY$2,100%,AVANCE[[#This Row],[MEMBRANA CIELO]])</f>
        <v>1</v>
      </c>
      <c r="CN7" s="3">
        <f>+IF(AVANCE[[#This Row],[LIMPIEZA FINAL]]=AZ$2,100%,AVANCE[[#This Row],[LIMPIEZA FINAL]])</f>
        <v>1</v>
      </c>
      <c r="CO7" s="3">
        <f>+IF(AVANCE[[#This Row],[PUERTAS DORMITORIO]]=BA$2,100%,AVANCE[[#This Row],[PUERTAS DORMITORIO]])</f>
        <v>1</v>
      </c>
      <c r="CP7" s="3">
        <f>+IF(AVANCE[[#This Row],[REVESTIMIENTO INTERIOR BANO]]=BB$2,100%,AVANCE[[#This Row],[REVESTIMIENTO INTERIOR BANO]])</f>
        <v>1</v>
      </c>
      <c r="CQ7" s="3">
        <f>+IF(AVANCE[[#This Row],[MUEBLE LAVAPLATOS]]=BC$2,100%,AVANCE[[#This Row],[MUEBLE LAVAPLATOS]])</f>
        <v>1</v>
      </c>
      <c r="CR7" s="3">
        <f>+IF(AVANCE[[#This Row],[IMPERMEABILIZACION BANO - COCINA LOGIA]]=BD$2,100%,AVANCE[[#This Row],[IMPERMEABILIZACION BANO - COCINA LOGIA]])</f>
        <v>1</v>
      </c>
      <c r="CS7" s="40">
        <f ca="1">+IF(AVANCE[[#This Row],[ESTADO MODULO]]="PENDIENTE",(TODAY()-AVANCE[[#This Row],[FECHA TERMINO  PLANIFICADO]]),0)</f>
        <v>0</v>
      </c>
      <c r="CT7" s="41" t="str" cm="1">
        <f t="array" ref="CT7">_xlfn.TEXTJOIN(" | ",TRUE,IF(SUMPRODUCT((BG7:CR7&lt;1)*(PARTIDAS!$I$2:$AT$2="OBRA GRUESA"))&gt;0,"OBRA GRUESA: "&amp;_xlfn.TEXTJOIN(", ",TRUE,IF((BG7:CR7&lt;1)*(PARTIDAS!$I$2:$AT$2="OBRA GRUESA"),PARTIDAS!$I$1:$AT$1,"")),""),IF(SUMPRODUCT((BG7:CR7&lt;1)*(PARTIDAS!$I$2:$AT$2="SANITARIOS"))&gt;0,"SANITARIOS: "&amp;_xlfn.TEXTJOIN(", ",TRUE,IF((BG7:CR7&lt;1)*(PARTIDAS!$I$2:$AT$2="SANITARIOS"),PARTIDAS!$I$1:$AT$1,"")),""),IF(SUMPRODUCT((BG7:CR7&lt;1)*(PARTIDAS!$I$2:$AT$2="ELÉCTRICO"))&gt;0,"ELÉCTRICO: "&amp;_xlfn.TEXTJOIN(", ",TRUE,IF((BG7:CR7&lt;1)*(PARTIDAS!$I$2:$AT$2="ELÉCTRICO"),PARTIDAS!$I$1:$AT$1,"")),""),IF(SUMPRODUCT((BG7:CR7&lt;1)*(PARTIDAS!$I$2:$AT$2="TERMINACIONES"))&gt;0,"TERMINACIONES: "&amp;_xlfn.TEXTJOIN(", ",TRUE,IF((BG7:CR7&lt;1)*(PARTIDAS!$I$2:$AT$2="TERMINACIONES"),PARTIDAS!$I$1:$AT$1,"")),""))</f>
        <v/>
      </c>
      <c r="CU7" s="43" t="str" cm="1">
        <f t="array" ref="CU7">_xlfn.TEXTJOIN(", ",TRUE,IF(SUMPRODUCT((BG7:CR7&lt;1)*(PARTIDAS!$I$2:$AT$2="OBRA GRUESA"))&gt;0,"OBRA GRUESA",""),IF(SUMPRODUCT((BG7:CR7&lt;1)*(PARTIDAS!$I$2:$AT$2="SANITARIOS"))&gt;0,"SANITARIOS",""),IF(SUMPRODUCT((BG7:CR7&lt;1)*(PARTIDAS!$I$2:$AT$2="ELÉCTRICO"))&gt;0,"ELÉCTRICO",""),IF(SUMPRODUCT((BG7:CR7&lt;1)*(PARTIDAS!$I$2:$AT$2="TERMINACIONES"))&gt;0,"TERMINACIONES",""))</f>
        <v/>
      </c>
      <c r="CV7" s="44" cm="1">
        <f t="array" ref="CV7">SUMPRODUCT(--(BG7:CR7&lt;1))</f>
        <v>0</v>
      </c>
    </row>
    <row r="8" spans="1:100" hidden="1" x14ac:dyDescent="0.25">
      <c r="A8" t="s">
        <v>56</v>
      </c>
      <c r="B8" t="s">
        <v>65</v>
      </c>
      <c r="C8">
        <v>2302600007</v>
      </c>
      <c r="D8" t="s">
        <v>60</v>
      </c>
      <c r="E8" s="2">
        <v>0.99999999999999978</v>
      </c>
      <c r="F8" s="1">
        <v>46105</v>
      </c>
      <c r="G8" s="1">
        <v>46105</v>
      </c>
      <c r="H8" s="1">
        <v>46178</v>
      </c>
      <c r="I8" s="1">
        <v>46155</v>
      </c>
      <c r="K8" s="1">
        <v>46178</v>
      </c>
      <c r="L8" s="3">
        <v>0.43</v>
      </c>
      <c r="M8" s="3">
        <v>1</v>
      </c>
      <c r="N8" s="3">
        <v>0.27906976744186046</v>
      </c>
      <c r="O8" s="3">
        <v>0.18604651162790697</v>
      </c>
      <c r="P8" s="3">
        <v>0.2558139534883721</v>
      </c>
      <c r="Q8" s="3">
        <v>0.18604651162790697</v>
      </c>
      <c r="R8" s="3">
        <v>9.3023255813953487E-2</v>
      </c>
      <c r="S8" s="3">
        <v>0.09</v>
      </c>
      <c r="T8" s="3">
        <v>1</v>
      </c>
      <c r="U8" s="3">
        <v>0.22222222222222221</v>
      </c>
      <c r="V8" s="3">
        <v>0.22222222222222221</v>
      </c>
      <c r="W8" s="3">
        <v>0.1111111111111111</v>
      </c>
      <c r="X8" s="3">
        <v>0.1111111111111111</v>
      </c>
      <c r="Y8" s="3">
        <v>0.1111111111111111</v>
      </c>
      <c r="Z8" s="3">
        <v>0.22222222222222221</v>
      </c>
      <c r="AA8" s="3">
        <v>0.11</v>
      </c>
      <c r="AB8" s="3">
        <v>1</v>
      </c>
      <c r="AC8" s="3">
        <v>0.27272727272727271</v>
      </c>
      <c r="AD8" s="3">
        <v>0.27272727272727271</v>
      </c>
      <c r="AE8" s="3">
        <v>9.0909090909090912E-2</v>
      </c>
      <c r="AF8" s="3">
        <v>0.18181818181818182</v>
      </c>
      <c r="AG8" s="3">
        <v>0.18181818181818182</v>
      </c>
      <c r="AH8" s="3">
        <v>0.36999999999999983</v>
      </c>
      <c r="AI8" s="3">
        <v>0.99999999999999956</v>
      </c>
      <c r="AJ8" s="3">
        <v>5.4054054054054036E-2</v>
      </c>
      <c r="AK8" s="3">
        <v>5.4054054054054036E-2</v>
      </c>
      <c r="AL8" s="3">
        <v>2.7027027027027018E-2</v>
      </c>
      <c r="AM8" s="3">
        <v>8.1081081081081058E-2</v>
      </c>
      <c r="AN8" s="3">
        <v>8.1081081081081058E-2</v>
      </c>
      <c r="AO8" s="3">
        <v>6.7567567567567557E-2</v>
      </c>
      <c r="AP8" s="3">
        <v>5.4054054054054036E-2</v>
      </c>
      <c r="AQ8" s="3">
        <v>1.3513513513513509E-2</v>
      </c>
      <c r="AR8" s="3">
        <v>4.0540540540540529E-2</v>
      </c>
      <c r="AS8" s="3">
        <v>1.3513513513513509E-2</v>
      </c>
      <c r="AT8" s="3">
        <v>8.1081081081081058E-2</v>
      </c>
      <c r="AU8" s="3">
        <v>5.4054054054054036E-2</v>
      </c>
      <c r="AV8" s="3">
        <v>2.7027027027027018E-2</v>
      </c>
      <c r="AW8" s="3">
        <v>5.4054054054054036E-2</v>
      </c>
      <c r="AX8" s="3">
        <v>5.4054054054054036E-2</v>
      </c>
      <c r="AY8" s="3">
        <v>2.7027027027027018E-2</v>
      </c>
      <c r="AZ8" s="3">
        <v>4.0540540540540529E-2</v>
      </c>
      <c r="BA8" s="3">
        <v>5.4054054054054036E-2</v>
      </c>
      <c r="BB8" s="3">
        <v>8.1081081081081058E-2</v>
      </c>
      <c r="BC8" s="3">
        <v>1.3513513513513509E-2</v>
      </c>
      <c r="BD8" s="3">
        <v>2.7027027027027018E-2</v>
      </c>
      <c r="BE8">
        <v>31.32</v>
      </c>
      <c r="BF8" s="3" t="str">
        <f>+IF(AVANCE[[#This Row],[% AVANCE]]=100%,"MODULO TERMINADO",IF(AVANCE[[#This Row],[FECHA INICIO REAL]]="","MODULO NO INICIADO","PENDIENTE"))</f>
        <v>MODULO TERMINADO</v>
      </c>
      <c r="BG8" s="3">
        <f>+IF(AVANCE[[#This Row],[VENTANAS]]=8.10810810810811%,100%,AVANCE[[#This Row],[VENTANAS]])</f>
        <v>1</v>
      </c>
      <c r="BH8" s="3">
        <f>+IF(AVANCE[[#This Row],[PISO]]=N$2,100%,AVANCE[[#This Row],[PISO]])</f>
        <v>1</v>
      </c>
      <c r="BI8" s="3">
        <f>+IF(AVANCE[[#This Row],[TABIQUES]]=O$2,100%,AVANCE[[#This Row],[TABIQUES]])</f>
        <v>1</v>
      </c>
      <c r="BJ8" s="3">
        <f>+IF(AVANCE[[#This Row],[MUROS]]=P$2,100%,AVANCE[[#This Row],[MUROS]])</f>
        <v>1</v>
      </c>
      <c r="BK8" s="3">
        <f>+IF(AVANCE[[#This Row],[CIELO]]=Q$2,100%,AVANCE[[#This Row],[CIELO]])</f>
        <v>1</v>
      </c>
      <c r="BL8" s="3">
        <f>+IF(AVANCE[[#This Row],[BALCÓN]]=R$2,100%,AVANCE[[#This Row],[BALCÓN]])</f>
        <v>1</v>
      </c>
      <c r="BM8" s="3">
        <f>+IF(AVANCE[[#This Row],[RED ALCANTARILLADO]]=U$2,100%,AVANCE[[#This Row],[RED ALCANTARILLADO]])</f>
        <v>1</v>
      </c>
      <c r="BN8" s="3">
        <f>+IF(AVANCE[[#This Row],[RED DE AGUA]]=V$2,100%,AVANCE[[#This Row],[RED DE AGUA]])</f>
        <v>1</v>
      </c>
      <c r="BO8" s="3">
        <f>+IF(AVANCE[[#This Row],[VENTILACIONES]]=W$2,100%,AVANCE[[#This Row],[VENTILACIONES]])</f>
        <v>1</v>
      </c>
      <c r="BP8" s="3">
        <f>+IF(AVANCE[[#This Row],[TINA]]=X$2,100%,AVANCE[[#This Row],[TINA]])</f>
        <v>1</v>
      </c>
      <c r="BQ8" s="3">
        <f>+IF(AVANCE[[#This Row],[WC]]=Y$2,100%,AVANCE[[#This Row],[WC]])</f>
        <v>1</v>
      </c>
      <c r="BR8" s="3">
        <f>+IF(AVANCE[[#This Row],[LAVAMANOS / LAVAPLATOS / LAVADERO]]=Z$2,100%,AVANCE[[#This Row],[LAVAMANOS / LAVAPLATOS / LAVADERO]])</f>
        <v>1</v>
      </c>
      <c r="BS8" s="3">
        <f>+IF(AVANCE[[#This Row],[CANALIZACIÓN]]=AC$2,100%,AVANCE[[#This Row],[CANALIZACIÓN]])</f>
        <v>1</v>
      </c>
      <c r="BT8" s="3">
        <f>+IF(AVANCE[[#This Row],[CABLEADO]]=AD$2,100%,AVANCE[[#This Row],[CABLEADO]])</f>
        <v>1</v>
      </c>
      <c r="BU8" s="3">
        <f>+IF(AVANCE[[#This Row],[ARTEFACTOS]]=AE$2,100%,AVANCE[[#This Row],[ARTEFACTOS]])</f>
        <v>1</v>
      </c>
      <c r="BV8" s="3">
        <f>+IF(AVANCE[[#This Row],[TABLERO]]=AF$2,100%,AVANCE[[#This Row],[TABLERO]])</f>
        <v>1</v>
      </c>
      <c r="BW8" s="3">
        <f>+IF(AVANCE[[#This Row],[CAJA PAU]]=AG$2,100%,AVANCE[[#This Row],[CAJA PAU]])</f>
        <v>1</v>
      </c>
      <c r="BX8" s="3">
        <f>+IF(AVANCE[[#This Row],[INSTALACION VINILICO]]=AJ$2,100%,AVANCE[[#This Row],[INSTALACION VINILICO]])</f>
        <v>1</v>
      </c>
      <c r="BY8" s="3">
        <f>+IF(AVANCE[[#This Row],[OSB CUBIERTA]]=AK$2,100%,AVANCE[[#This Row],[OSB CUBIERTA]])</f>
        <v>1</v>
      </c>
      <c r="BZ8" s="3">
        <f>+IF(AVANCE[[#This Row],[BARANDA BALCON]]=AL$2,100%,AVANCE[[#This Row],[BARANDA BALCON]])</f>
        <v>1</v>
      </c>
      <c r="CA8" s="3">
        <f>+IF(AVANCE[[#This Row],[OSB EXTERIOR]]=AM$2,100%,AVANCE[[#This Row],[OSB EXTERIOR]])</f>
        <v>1</v>
      </c>
      <c r="CB8" s="3">
        <f>+IF(AVANCE[[#This Row],[SMART PANEL]]=AN$2,100%,AVANCE[[#This Row],[SMART PANEL]])</f>
        <v>1</v>
      </c>
      <c r="CC8" s="3">
        <f>+IF(AVANCE[[#This Row],[PINTURA EXTERIOR]]=AO$2,100%,AVANCE[[#This Row],[PINTURA EXTERIOR]])</f>
        <v>1</v>
      </c>
      <c r="CD8" s="3">
        <f>+IF(AVANCE[[#This Row],[ZOCALOS LOGIA]]=AP$2,100%,AVANCE[[#This Row],[ZOCALOS LOGIA]])</f>
        <v>1</v>
      </c>
      <c r="CE8" s="3">
        <f>+IF(AVANCE[[#This Row],[MOLDURAS]]=AQ$2,100%,AVANCE[[#This Row],[MOLDURAS]])</f>
        <v>1</v>
      </c>
      <c r="CF8" s="3">
        <f>+IF(AVANCE[[#This Row],[PILASTREO]]=AR$2,100%,AVANCE[[#This Row],[PILASTREO]])</f>
        <v>1</v>
      </c>
      <c r="CG8" s="3">
        <f>+IF(AVANCE[[#This Row],[CELOSIAS]]=AS$2,100%,AVANCE[[#This Row],[CELOSIAS]])</f>
        <v>1</v>
      </c>
      <c r="CH8" s="3">
        <f>+IF(AVANCE[[#This Row],[VENTANAS]]=AT$2,100%,AVANCE[[#This Row],[VENTANAS]])</f>
        <v>1</v>
      </c>
      <c r="CI8" s="3">
        <f>+IF(AVANCE[[#This Row],[PUERTAS ACCESO - LOGIA - BANO]]=AU$2,100%,AVANCE[[#This Row],[PUERTAS ACCESO - LOGIA - BANO]])</f>
        <v>1</v>
      </c>
      <c r="CJ8" s="3">
        <f>+IF(AVANCE[[#This Row],[CERRADURAS]]=AV$2,100%,AVANCE[[#This Row],[CERRADURAS]])</f>
        <v>1</v>
      </c>
      <c r="CK8" s="3">
        <f>+IF(AVANCE[[#This Row],[REVESTIMIENTO INTERIOR ZONA SECA]]=AW$2,100%,AVANCE[[#This Row],[REVESTIMIENTO INTERIOR ZONA SECA]])</f>
        <v>1</v>
      </c>
      <c r="CL8" s="3">
        <f>+IF(AVANCE[[#This Row],[REVESTIMIENTO INTERIOR ZONAS HUMEDAS]]=AX$2,100%,AVANCE[[#This Row],[REVESTIMIENTO INTERIOR ZONAS HUMEDAS]])</f>
        <v>1</v>
      </c>
      <c r="CM8" s="3">
        <f>+IF(AVANCE[[#This Row],[MEMBRANA CIELO]]=AY$2,100%,AVANCE[[#This Row],[MEMBRANA CIELO]])</f>
        <v>1</v>
      </c>
      <c r="CN8" s="3">
        <f>+IF(AVANCE[[#This Row],[LIMPIEZA FINAL]]=AZ$2,100%,AVANCE[[#This Row],[LIMPIEZA FINAL]])</f>
        <v>1</v>
      </c>
      <c r="CO8" s="3">
        <f>+IF(AVANCE[[#This Row],[PUERTAS DORMITORIO]]=BA$2,100%,AVANCE[[#This Row],[PUERTAS DORMITORIO]])</f>
        <v>1</v>
      </c>
      <c r="CP8" s="3">
        <f>+IF(AVANCE[[#This Row],[REVESTIMIENTO INTERIOR BANO]]=BB$2,100%,AVANCE[[#This Row],[REVESTIMIENTO INTERIOR BANO]])</f>
        <v>1</v>
      </c>
      <c r="CQ8" s="3">
        <f>+IF(AVANCE[[#This Row],[MUEBLE LAVAPLATOS]]=BC$2,100%,AVANCE[[#This Row],[MUEBLE LAVAPLATOS]])</f>
        <v>1</v>
      </c>
      <c r="CR8" s="3">
        <f>+IF(AVANCE[[#This Row],[IMPERMEABILIZACION BANO - COCINA LOGIA]]=BD$2,100%,AVANCE[[#This Row],[IMPERMEABILIZACION BANO - COCINA LOGIA]])</f>
        <v>1</v>
      </c>
      <c r="CS8" s="40">
        <f ca="1">+IF(AVANCE[[#This Row],[ESTADO MODULO]]="PENDIENTE",(TODAY()-AVANCE[[#This Row],[FECHA TERMINO  PLANIFICADO]]),0)</f>
        <v>0</v>
      </c>
      <c r="CT8" s="41" t="str" cm="1">
        <f t="array" ref="CT8">_xlfn.TEXTJOIN(" | ",TRUE,IF(SUMPRODUCT((BG8:CR8&lt;1)*(PARTIDAS!$I$2:$AT$2="OBRA GRUESA"))&gt;0,"OBRA GRUESA: "&amp;_xlfn.TEXTJOIN(", ",TRUE,IF((BG8:CR8&lt;1)*(PARTIDAS!$I$2:$AT$2="OBRA GRUESA"),PARTIDAS!$I$1:$AT$1,"")),""),IF(SUMPRODUCT((BG8:CR8&lt;1)*(PARTIDAS!$I$2:$AT$2="SANITARIOS"))&gt;0,"SANITARIOS: "&amp;_xlfn.TEXTJOIN(", ",TRUE,IF((BG8:CR8&lt;1)*(PARTIDAS!$I$2:$AT$2="SANITARIOS"),PARTIDAS!$I$1:$AT$1,"")),""),IF(SUMPRODUCT((BG8:CR8&lt;1)*(PARTIDAS!$I$2:$AT$2="ELÉCTRICO"))&gt;0,"ELÉCTRICO: "&amp;_xlfn.TEXTJOIN(", ",TRUE,IF((BG8:CR8&lt;1)*(PARTIDAS!$I$2:$AT$2="ELÉCTRICO"),PARTIDAS!$I$1:$AT$1,"")),""),IF(SUMPRODUCT((BG8:CR8&lt;1)*(PARTIDAS!$I$2:$AT$2="TERMINACIONES"))&gt;0,"TERMINACIONES: "&amp;_xlfn.TEXTJOIN(", ",TRUE,IF((BG8:CR8&lt;1)*(PARTIDAS!$I$2:$AT$2="TERMINACIONES"),PARTIDAS!$I$1:$AT$1,"")),""))</f>
        <v/>
      </c>
      <c r="CU8" s="43" t="str" cm="1">
        <f t="array" ref="CU8">_xlfn.TEXTJOIN(", ",TRUE,IF(SUMPRODUCT((BG8:CR8&lt;1)*(PARTIDAS!$I$2:$AT$2="OBRA GRUESA"))&gt;0,"OBRA GRUESA",""),IF(SUMPRODUCT((BG8:CR8&lt;1)*(PARTIDAS!$I$2:$AT$2="SANITARIOS"))&gt;0,"SANITARIOS",""),IF(SUMPRODUCT((BG8:CR8&lt;1)*(PARTIDAS!$I$2:$AT$2="ELÉCTRICO"))&gt;0,"ELÉCTRICO",""),IF(SUMPRODUCT((BG8:CR8&lt;1)*(PARTIDAS!$I$2:$AT$2="TERMINACIONES"))&gt;0,"TERMINACIONES",""))</f>
        <v/>
      </c>
      <c r="CV8" s="44" cm="1">
        <f t="array" ref="CV8">SUMPRODUCT(--(BG8:CR8&lt;1))</f>
        <v>0</v>
      </c>
    </row>
    <row r="9" spans="1:100" hidden="1" x14ac:dyDescent="0.25">
      <c r="A9" t="s">
        <v>56</v>
      </c>
      <c r="B9" t="s">
        <v>66</v>
      </c>
      <c r="C9">
        <v>2282600008</v>
      </c>
      <c r="D9" t="s">
        <v>58</v>
      </c>
      <c r="E9" s="2">
        <v>0.99999999999999978</v>
      </c>
      <c r="F9" s="1">
        <v>46106</v>
      </c>
      <c r="G9" s="1">
        <v>46106</v>
      </c>
      <c r="H9" s="1">
        <v>46177</v>
      </c>
      <c r="I9" s="1">
        <v>46148</v>
      </c>
      <c r="K9" s="1">
        <v>46177</v>
      </c>
      <c r="L9" s="3">
        <v>0.43</v>
      </c>
      <c r="M9" s="3">
        <v>1</v>
      </c>
      <c r="N9" s="3">
        <v>0.27906976744186046</v>
      </c>
      <c r="O9" s="3">
        <v>0.18604651162790697</v>
      </c>
      <c r="P9" s="3">
        <v>0.2558139534883721</v>
      </c>
      <c r="Q9" s="3">
        <v>0.18604651162790697</v>
      </c>
      <c r="R9" s="3">
        <v>9.3023255813953487E-2</v>
      </c>
      <c r="S9" s="3">
        <v>0.09</v>
      </c>
      <c r="T9" s="3">
        <v>1</v>
      </c>
      <c r="U9" s="3">
        <v>0.22222222222222221</v>
      </c>
      <c r="V9" s="3">
        <v>0.22222222222222221</v>
      </c>
      <c r="W9" s="3">
        <v>0.1111111111111111</v>
      </c>
      <c r="X9" s="3">
        <v>0.1111111111111111</v>
      </c>
      <c r="Y9" s="3">
        <v>0.1111111111111111</v>
      </c>
      <c r="Z9" s="3">
        <v>0.22222222222222221</v>
      </c>
      <c r="AA9" s="3">
        <v>0.11</v>
      </c>
      <c r="AB9" s="3">
        <v>1</v>
      </c>
      <c r="AC9" s="3">
        <v>0.27272727272727271</v>
      </c>
      <c r="AD9" s="3">
        <v>0.27272727272727271</v>
      </c>
      <c r="AE9" s="3">
        <v>9.0909090909090912E-2</v>
      </c>
      <c r="AF9" s="3">
        <v>0.18181818181818182</v>
      </c>
      <c r="AG9" s="3">
        <v>0.18181818181818182</v>
      </c>
      <c r="AH9" s="3">
        <v>0.36999999999999983</v>
      </c>
      <c r="AI9" s="3">
        <v>0.99999999999999956</v>
      </c>
      <c r="AJ9" s="3">
        <v>5.4054054054054036E-2</v>
      </c>
      <c r="AK9" s="3">
        <v>5.4054054054054036E-2</v>
      </c>
      <c r="AL9" s="3">
        <v>2.7027027027027018E-2</v>
      </c>
      <c r="AM9" s="3">
        <v>8.1081081081081058E-2</v>
      </c>
      <c r="AN9" s="3">
        <v>8.1081081081081058E-2</v>
      </c>
      <c r="AO9" s="3">
        <v>6.7567567567567557E-2</v>
      </c>
      <c r="AP9" s="3">
        <v>5.4054054054054036E-2</v>
      </c>
      <c r="AQ9" s="3">
        <v>1.3513513513513509E-2</v>
      </c>
      <c r="AR9" s="3">
        <v>4.0540540540540529E-2</v>
      </c>
      <c r="AS9" s="3">
        <v>1.3513513513513509E-2</v>
      </c>
      <c r="AT9" s="3">
        <v>8.1081081081081058E-2</v>
      </c>
      <c r="AU9" s="3">
        <v>5.4054054054054036E-2</v>
      </c>
      <c r="AV9" s="3">
        <v>2.7027027027027018E-2</v>
      </c>
      <c r="AW9" s="3">
        <v>5.4054054054054036E-2</v>
      </c>
      <c r="AX9" s="3">
        <v>5.4054054054054036E-2</v>
      </c>
      <c r="AY9" s="3">
        <v>2.7027027027027018E-2</v>
      </c>
      <c r="AZ9" s="3">
        <v>4.0540540540540529E-2</v>
      </c>
      <c r="BA9" s="3">
        <v>5.4054054054054036E-2</v>
      </c>
      <c r="BB9" s="3">
        <v>8.1081081081081058E-2</v>
      </c>
      <c r="BC9" s="3">
        <v>1.3513513513513509E-2</v>
      </c>
      <c r="BD9" s="3">
        <v>2.7027027027027018E-2</v>
      </c>
      <c r="BE9">
        <v>28.87</v>
      </c>
      <c r="BF9" s="3" t="str">
        <f>+IF(AVANCE[[#This Row],[% AVANCE]]=100%,"MODULO TERMINADO",IF(AVANCE[[#This Row],[FECHA INICIO REAL]]="","MODULO NO INICIADO","PENDIENTE"))</f>
        <v>MODULO TERMINADO</v>
      </c>
      <c r="BG9" s="3">
        <f>+IF(AVANCE[[#This Row],[VENTANAS]]=8.10810810810811%,100%,AVANCE[[#This Row],[VENTANAS]])</f>
        <v>1</v>
      </c>
      <c r="BH9" s="3">
        <f>+IF(AVANCE[[#This Row],[PISO]]=N$2,100%,AVANCE[[#This Row],[PISO]])</f>
        <v>1</v>
      </c>
      <c r="BI9" s="3">
        <f>+IF(AVANCE[[#This Row],[TABIQUES]]=O$2,100%,AVANCE[[#This Row],[TABIQUES]])</f>
        <v>1</v>
      </c>
      <c r="BJ9" s="3">
        <f>+IF(AVANCE[[#This Row],[MUROS]]=P$2,100%,AVANCE[[#This Row],[MUROS]])</f>
        <v>1</v>
      </c>
      <c r="BK9" s="3">
        <f>+IF(AVANCE[[#This Row],[CIELO]]=Q$2,100%,AVANCE[[#This Row],[CIELO]])</f>
        <v>1</v>
      </c>
      <c r="BL9" s="3">
        <f>+IF(AVANCE[[#This Row],[BALCÓN]]=R$2,100%,AVANCE[[#This Row],[BALCÓN]])</f>
        <v>1</v>
      </c>
      <c r="BM9" s="3">
        <f>+IF(AVANCE[[#This Row],[RED ALCANTARILLADO]]=U$2,100%,AVANCE[[#This Row],[RED ALCANTARILLADO]])</f>
        <v>1</v>
      </c>
      <c r="BN9" s="3">
        <f>+IF(AVANCE[[#This Row],[RED DE AGUA]]=V$2,100%,AVANCE[[#This Row],[RED DE AGUA]])</f>
        <v>1</v>
      </c>
      <c r="BO9" s="3">
        <f>+IF(AVANCE[[#This Row],[VENTILACIONES]]=W$2,100%,AVANCE[[#This Row],[VENTILACIONES]])</f>
        <v>1</v>
      </c>
      <c r="BP9" s="3">
        <f>+IF(AVANCE[[#This Row],[TINA]]=X$2,100%,AVANCE[[#This Row],[TINA]])</f>
        <v>1</v>
      </c>
      <c r="BQ9" s="3">
        <f>+IF(AVANCE[[#This Row],[WC]]=Y$2,100%,AVANCE[[#This Row],[WC]])</f>
        <v>1</v>
      </c>
      <c r="BR9" s="3">
        <f>+IF(AVANCE[[#This Row],[LAVAMANOS / LAVAPLATOS / LAVADERO]]=Z$2,100%,AVANCE[[#This Row],[LAVAMANOS / LAVAPLATOS / LAVADERO]])</f>
        <v>1</v>
      </c>
      <c r="BS9" s="3">
        <f>+IF(AVANCE[[#This Row],[CANALIZACIÓN]]=AC$2,100%,AVANCE[[#This Row],[CANALIZACIÓN]])</f>
        <v>1</v>
      </c>
      <c r="BT9" s="3">
        <f>+IF(AVANCE[[#This Row],[CABLEADO]]=AD$2,100%,AVANCE[[#This Row],[CABLEADO]])</f>
        <v>1</v>
      </c>
      <c r="BU9" s="3">
        <f>+IF(AVANCE[[#This Row],[ARTEFACTOS]]=AE$2,100%,AVANCE[[#This Row],[ARTEFACTOS]])</f>
        <v>1</v>
      </c>
      <c r="BV9" s="3">
        <f>+IF(AVANCE[[#This Row],[TABLERO]]=AF$2,100%,AVANCE[[#This Row],[TABLERO]])</f>
        <v>1</v>
      </c>
      <c r="BW9" s="3">
        <f>+IF(AVANCE[[#This Row],[CAJA PAU]]=AG$2,100%,AVANCE[[#This Row],[CAJA PAU]])</f>
        <v>1</v>
      </c>
      <c r="BX9" s="3">
        <f>+IF(AVANCE[[#This Row],[INSTALACION VINILICO]]=AJ$2,100%,AVANCE[[#This Row],[INSTALACION VINILICO]])</f>
        <v>1</v>
      </c>
      <c r="BY9" s="3">
        <f>+IF(AVANCE[[#This Row],[OSB CUBIERTA]]=AK$2,100%,AVANCE[[#This Row],[OSB CUBIERTA]])</f>
        <v>1</v>
      </c>
      <c r="BZ9" s="3">
        <f>+IF(AVANCE[[#This Row],[BARANDA BALCON]]=AL$2,100%,AVANCE[[#This Row],[BARANDA BALCON]])</f>
        <v>1</v>
      </c>
      <c r="CA9" s="3">
        <f>+IF(AVANCE[[#This Row],[OSB EXTERIOR]]=AM$2,100%,AVANCE[[#This Row],[OSB EXTERIOR]])</f>
        <v>1</v>
      </c>
      <c r="CB9" s="3">
        <f>+IF(AVANCE[[#This Row],[SMART PANEL]]=AN$2,100%,AVANCE[[#This Row],[SMART PANEL]])</f>
        <v>1</v>
      </c>
      <c r="CC9" s="3">
        <f>+IF(AVANCE[[#This Row],[PINTURA EXTERIOR]]=AO$2,100%,AVANCE[[#This Row],[PINTURA EXTERIOR]])</f>
        <v>1</v>
      </c>
      <c r="CD9" s="3">
        <f>+IF(AVANCE[[#This Row],[ZOCALOS LOGIA]]=AP$2,100%,AVANCE[[#This Row],[ZOCALOS LOGIA]])</f>
        <v>1</v>
      </c>
      <c r="CE9" s="3">
        <f>+IF(AVANCE[[#This Row],[MOLDURAS]]=AQ$2,100%,AVANCE[[#This Row],[MOLDURAS]])</f>
        <v>1</v>
      </c>
      <c r="CF9" s="3">
        <f>+IF(AVANCE[[#This Row],[PILASTREO]]=AR$2,100%,AVANCE[[#This Row],[PILASTREO]])</f>
        <v>1</v>
      </c>
      <c r="CG9" s="3">
        <f>+IF(AVANCE[[#This Row],[CELOSIAS]]=AS$2,100%,AVANCE[[#This Row],[CELOSIAS]])</f>
        <v>1</v>
      </c>
      <c r="CH9" s="3">
        <f>+IF(AVANCE[[#This Row],[VENTANAS]]=AT$2,100%,AVANCE[[#This Row],[VENTANAS]])</f>
        <v>1</v>
      </c>
      <c r="CI9" s="3">
        <f>+IF(AVANCE[[#This Row],[PUERTAS ACCESO - LOGIA - BANO]]=AU$2,100%,AVANCE[[#This Row],[PUERTAS ACCESO - LOGIA - BANO]])</f>
        <v>1</v>
      </c>
      <c r="CJ9" s="3">
        <f>+IF(AVANCE[[#This Row],[CERRADURAS]]=AV$2,100%,AVANCE[[#This Row],[CERRADURAS]])</f>
        <v>1</v>
      </c>
      <c r="CK9" s="3">
        <f>+IF(AVANCE[[#This Row],[REVESTIMIENTO INTERIOR ZONA SECA]]=AW$2,100%,AVANCE[[#This Row],[REVESTIMIENTO INTERIOR ZONA SECA]])</f>
        <v>1</v>
      </c>
      <c r="CL9" s="3">
        <f>+IF(AVANCE[[#This Row],[REVESTIMIENTO INTERIOR ZONAS HUMEDAS]]=AX$2,100%,AVANCE[[#This Row],[REVESTIMIENTO INTERIOR ZONAS HUMEDAS]])</f>
        <v>1</v>
      </c>
      <c r="CM9" s="3">
        <f>+IF(AVANCE[[#This Row],[MEMBRANA CIELO]]=AY$2,100%,AVANCE[[#This Row],[MEMBRANA CIELO]])</f>
        <v>1</v>
      </c>
      <c r="CN9" s="3">
        <f>+IF(AVANCE[[#This Row],[LIMPIEZA FINAL]]=AZ$2,100%,AVANCE[[#This Row],[LIMPIEZA FINAL]])</f>
        <v>1</v>
      </c>
      <c r="CO9" s="3">
        <f>+IF(AVANCE[[#This Row],[PUERTAS DORMITORIO]]=BA$2,100%,AVANCE[[#This Row],[PUERTAS DORMITORIO]])</f>
        <v>1</v>
      </c>
      <c r="CP9" s="3">
        <f>+IF(AVANCE[[#This Row],[REVESTIMIENTO INTERIOR BANO]]=BB$2,100%,AVANCE[[#This Row],[REVESTIMIENTO INTERIOR BANO]])</f>
        <v>1</v>
      </c>
      <c r="CQ9" s="3">
        <f>+IF(AVANCE[[#This Row],[MUEBLE LAVAPLATOS]]=BC$2,100%,AVANCE[[#This Row],[MUEBLE LAVAPLATOS]])</f>
        <v>1</v>
      </c>
      <c r="CR9" s="3">
        <f>+IF(AVANCE[[#This Row],[IMPERMEABILIZACION BANO - COCINA LOGIA]]=BD$2,100%,AVANCE[[#This Row],[IMPERMEABILIZACION BANO - COCINA LOGIA]])</f>
        <v>1</v>
      </c>
      <c r="CS9" s="40">
        <f ca="1">+IF(AVANCE[[#This Row],[ESTADO MODULO]]="PENDIENTE",(TODAY()-AVANCE[[#This Row],[FECHA TERMINO  PLANIFICADO]]),0)</f>
        <v>0</v>
      </c>
      <c r="CT9" s="41" t="str" cm="1">
        <f t="array" ref="CT9">_xlfn.TEXTJOIN(" | ",TRUE,IF(SUMPRODUCT((BG9:CR9&lt;1)*(PARTIDAS!$I$2:$AT$2="OBRA GRUESA"))&gt;0,"OBRA GRUESA: "&amp;_xlfn.TEXTJOIN(", ",TRUE,IF((BG9:CR9&lt;1)*(PARTIDAS!$I$2:$AT$2="OBRA GRUESA"),PARTIDAS!$I$1:$AT$1,"")),""),IF(SUMPRODUCT((BG9:CR9&lt;1)*(PARTIDAS!$I$2:$AT$2="SANITARIOS"))&gt;0,"SANITARIOS: "&amp;_xlfn.TEXTJOIN(", ",TRUE,IF((BG9:CR9&lt;1)*(PARTIDAS!$I$2:$AT$2="SANITARIOS"),PARTIDAS!$I$1:$AT$1,"")),""),IF(SUMPRODUCT((BG9:CR9&lt;1)*(PARTIDAS!$I$2:$AT$2="ELÉCTRICO"))&gt;0,"ELÉCTRICO: "&amp;_xlfn.TEXTJOIN(", ",TRUE,IF((BG9:CR9&lt;1)*(PARTIDAS!$I$2:$AT$2="ELÉCTRICO"),PARTIDAS!$I$1:$AT$1,"")),""),IF(SUMPRODUCT((BG9:CR9&lt;1)*(PARTIDAS!$I$2:$AT$2="TERMINACIONES"))&gt;0,"TERMINACIONES: "&amp;_xlfn.TEXTJOIN(", ",TRUE,IF((BG9:CR9&lt;1)*(PARTIDAS!$I$2:$AT$2="TERMINACIONES"),PARTIDAS!$I$1:$AT$1,"")),""))</f>
        <v/>
      </c>
      <c r="CU9" s="43" t="str" cm="1">
        <f t="array" ref="CU9">_xlfn.TEXTJOIN(", ",TRUE,IF(SUMPRODUCT((BG9:CR9&lt;1)*(PARTIDAS!$I$2:$AT$2="OBRA GRUESA"))&gt;0,"OBRA GRUESA",""),IF(SUMPRODUCT((BG9:CR9&lt;1)*(PARTIDAS!$I$2:$AT$2="SANITARIOS"))&gt;0,"SANITARIOS",""),IF(SUMPRODUCT((BG9:CR9&lt;1)*(PARTIDAS!$I$2:$AT$2="ELÉCTRICO"))&gt;0,"ELÉCTRICO",""),IF(SUMPRODUCT((BG9:CR9&lt;1)*(PARTIDAS!$I$2:$AT$2="TERMINACIONES"))&gt;0,"TERMINACIONES",""))</f>
        <v/>
      </c>
      <c r="CV9" s="44" cm="1">
        <f t="array" ref="CV9">SUMPRODUCT(--(BG9:CR9&lt;1))</f>
        <v>0</v>
      </c>
    </row>
    <row r="10" spans="1:100" hidden="1" x14ac:dyDescent="0.25">
      <c r="A10" t="s">
        <v>56</v>
      </c>
      <c r="B10" t="s">
        <v>67</v>
      </c>
      <c r="C10">
        <v>2282600009</v>
      </c>
      <c r="D10" t="s">
        <v>58</v>
      </c>
      <c r="E10" s="2">
        <v>0.99999999999999978</v>
      </c>
      <c r="F10" s="1">
        <v>46070</v>
      </c>
      <c r="G10" s="1">
        <v>46070</v>
      </c>
      <c r="H10" s="1">
        <v>46156</v>
      </c>
      <c r="I10" s="1">
        <v>46134</v>
      </c>
      <c r="K10" s="1">
        <v>46156</v>
      </c>
      <c r="L10" s="3">
        <v>0.43</v>
      </c>
      <c r="M10" s="3">
        <v>1</v>
      </c>
      <c r="N10" s="3">
        <v>0.27906976744186046</v>
      </c>
      <c r="O10" s="3">
        <v>0.18604651162790697</v>
      </c>
      <c r="P10" s="3">
        <v>0.2558139534883721</v>
      </c>
      <c r="Q10" s="3">
        <v>0.18604651162790697</v>
      </c>
      <c r="R10" s="3">
        <v>9.3023255813953487E-2</v>
      </c>
      <c r="S10" s="3">
        <v>0.09</v>
      </c>
      <c r="T10" s="3">
        <v>1</v>
      </c>
      <c r="U10" s="3">
        <v>0.22222222222222221</v>
      </c>
      <c r="V10" s="3">
        <v>0.22222222222222221</v>
      </c>
      <c r="W10" s="3">
        <v>0.1111111111111111</v>
      </c>
      <c r="X10" s="3">
        <v>0.1111111111111111</v>
      </c>
      <c r="Y10" s="3">
        <v>0.1111111111111111</v>
      </c>
      <c r="Z10" s="3">
        <v>0.22222222222222221</v>
      </c>
      <c r="AA10" s="3">
        <v>0.11</v>
      </c>
      <c r="AB10" s="3">
        <v>1</v>
      </c>
      <c r="AC10" s="3">
        <v>0.27272727272727271</v>
      </c>
      <c r="AD10" s="3">
        <v>0.27272727272727271</v>
      </c>
      <c r="AE10" s="3">
        <v>9.0909090909090912E-2</v>
      </c>
      <c r="AF10" s="3">
        <v>0.18181818181818182</v>
      </c>
      <c r="AG10" s="3">
        <v>0.18181818181818182</v>
      </c>
      <c r="AH10" s="3">
        <v>0.36999999999999983</v>
      </c>
      <c r="AI10" s="3">
        <v>0.99999999999999956</v>
      </c>
      <c r="AJ10" s="3">
        <v>5.4054054054054036E-2</v>
      </c>
      <c r="AK10" s="3">
        <v>5.4054054054054036E-2</v>
      </c>
      <c r="AL10" s="3">
        <v>2.7027027027027018E-2</v>
      </c>
      <c r="AM10" s="3">
        <v>8.1081081081081058E-2</v>
      </c>
      <c r="AN10" s="3">
        <v>8.1081081081081058E-2</v>
      </c>
      <c r="AO10" s="3">
        <v>6.7567567567567557E-2</v>
      </c>
      <c r="AP10" s="3">
        <v>5.4054054054054036E-2</v>
      </c>
      <c r="AQ10" s="3">
        <v>1.3513513513513509E-2</v>
      </c>
      <c r="AR10" s="3">
        <v>4.0540540540540529E-2</v>
      </c>
      <c r="AS10" s="3">
        <v>1.3513513513513509E-2</v>
      </c>
      <c r="AT10" s="3">
        <v>8.1081081081081058E-2</v>
      </c>
      <c r="AU10" s="3">
        <v>5.4054054054054036E-2</v>
      </c>
      <c r="AV10" s="3">
        <v>2.7027027027027018E-2</v>
      </c>
      <c r="AW10" s="3">
        <v>5.4054054054054036E-2</v>
      </c>
      <c r="AX10" s="3">
        <v>5.4054054054054036E-2</v>
      </c>
      <c r="AY10" s="3">
        <v>2.7027027027027018E-2</v>
      </c>
      <c r="AZ10" s="3">
        <v>4.0540540540540529E-2</v>
      </c>
      <c r="BA10" s="3">
        <v>5.4054054054054036E-2</v>
      </c>
      <c r="BB10" s="3">
        <v>8.1081081081081058E-2</v>
      </c>
      <c r="BC10" s="3">
        <v>1.3513513513513509E-2</v>
      </c>
      <c r="BD10" s="3">
        <v>2.7027027027027018E-2</v>
      </c>
      <c r="BE10">
        <v>28.87</v>
      </c>
      <c r="BF10" s="3" t="str">
        <f>+IF(AVANCE[[#This Row],[% AVANCE]]=100%,"MODULO TERMINADO",IF(AVANCE[[#This Row],[FECHA INICIO REAL]]="","MODULO NO INICIADO","PENDIENTE"))</f>
        <v>MODULO TERMINADO</v>
      </c>
      <c r="BG10" s="3">
        <f>+IF(AVANCE[[#This Row],[VENTANAS]]=8.10810810810811%,100%,AVANCE[[#This Row],[VENTANAS]])</f>
        <v>1</v>
      </c>
      <c r="BH10" s="3">
        <f>+IF(AVANCE[[#This Row],[PISO]]=N$2,100%,AVANCE[[#This Row],[PISO]])</f>
        <v>1</v>
      </c>
      <c r="BI10" s="3">
        <f>+IF(AVANCE[[#This Row],[TABIQUES]]=O$2,100%,AVANCE[[#This Row],[TABIQUES]])</f>
        <v>1</v>
      </c>
      <c r="BJ10" s="3">
        <f>+IF(AVANCE[[#This Row],[MUROS]]=P$2,100%,AVANCE[[#This Row],[MUROS]])</f>
        <v>1</v>
      </c>
      <c r="BK10" s="3">
        <f>+IF(AVANCE[[#This Row],[CIELO]]=Q$2,100%,AVANCE[[#This Row],[CIELO]])</f>
        <v>1</v>
      </c>
      <c r="BL10" s="3">
        <f>+IF(AVANCE[[#This Row],[BALCÓN]]=R$2,100%,AVANCE[[#This Row],[BALCÓN]])</f>
        <v>1</v>
      </c>
      <c r="BM10" s="3">
        <f>+IF(AVANCE[[#This Row],[RED ALCANTARILLADO]]=U$2,100%,AVANCE[[#This Row],[RED ALCANTARILLADO]])</f>
        <v>1</v>
      </c>
      <c r="BN10" s="3">
        <f>+IF(AVANCE[[#This Row],[RED DE AGUA]]=V$2,100%,AVANCE[[#This Row],[RED DE AGUA]])</f>
        <v>1</v>
      </c>
      <c r="BO10" s="3">
        <f>+IF(AVANCE[[#This Row],[VENTILACIONES]]=W$2,100%,AVANCE[[#This Row],[VENTILACIONES]])</f>
        <v>1</v>
      </c>
      <c r="BP10" s="3">
        <f>+IF(AVANCE[[#This Row],[TINA]]=X$2,100%,AVANCE[[#This Row],[TINA]])</f>
        <v>1</v>
      </c>
      <c r="BQ10" s="3">
        <f>+IF(AVANCE[[#This Row],[WC]]=Y$2,100%,AVANCE[[#This Row],[WC]])</f>
        <v>1</v>
      </c>
      <c r="BR10" s="3">
        <f>+IF(AVANCE[[#This Row],[LAVAMANOS / LAVAPLATOS / LAVADERO]]=Z$2,100%,AVANCE[[#This Row],[LAVAMANOS / LAVAPLATOS / LAVADERO]])</f>
        <v>1</v>
      </c>
      <c r="BS10" s="3">
        <f>+IF(AVANCE[[#This Row],[CANALIZACIÓN]]=AC$2,100%,AVANCE[[#This Row],[CANALIZACIÓN]])</f>
        <v>1</v>
      </c>
      <c r="BT10" s="3">
        <f>+IF(AVANCE[[#This Row],[CABLEADO]]=AD$2,100%,AVANCE[[#This Row],[CABLEADO]])</f>
        <v>1</v>
      </c>
      <c r="BU10" s="3">
        <f>+IF(AVANCE[[#This Row],[ARTEFACTOS]]=AE$2,100%,AVANCE[[#This Row],[ARTEFACTOS]])</f>
        <v>1</v>
      </c>
      <c r="BV10" s="3">
        <f>+IF(AVANCE[[#This Row],[TABLERO]]=AF$2,100%,AVANCE[[#This Row],[TABLERO]])</f>
        <v>1</v>
      </c>
      <c r="BW10" s="3">
        <f>+IF(AVANCE[[#This Row],[CAJA PAU]]=AG$2,100%,AVANCE[[#This Row],[CAJA PAU]])</f>
        <v>1</v>
      </c>
      <c r="BX10" s="3">
        <f>+IF(AVANCE[[#This Row],[INSTALACION VINILICO]]=AJ$2,100%,AVANCE[[#This Row],[INSTALACION VINILICO]])</f>
        <v>1</v>
      </c>
      <c r="BY10" s="3">
        <f>+IF(AVANCE[[#This Row],[OSB CUBIERTA]]=AK$2,100%,AVANCE[[#This Row],[OSB CUBIERTA]])</f>
        <v>1</v>
      </c>
      <c r="BZ10" s="3">
        <f>+IF(AVANCE[[#This Row],[BARANDA BALCON]]=AL$2,100%,AVANCE[[#This Row],[BARANDA BALCON]])</f>
        <v>1</v>
      </c>
      <c r="CA10" s="3">
        <f>+IF(AVANCE[[#This Row],[OSB EXTERIOR]]=AM$2,100%,AVANCE[[#This Row],[OSB EXTERIOR]])</f>
        <v>1</v>
      </c>
      <c r="CB10" s="3">
        <f>+IF(AVANCE[[#This Row],[SMART PANEL]]=AN$2,100%,AVANCE[[#This Row],[SMART PANEL]])</f>
        <v>1</v>
      </c>
      <c r="CC10" s="3">
        <f>+IF(AVANCE[[#This Row],[PINTURA EXTERIOR]]=AO$2,100%,AVANCE[[#This Row],[PINTURA EXTERIOR]])</f>
        <v>1</v>
      </c>
      <c r="CD10" s="3">
        <f>+IF(AVANCE[[#This Row],[ZOCALOS LOGIA]]=AP$2,100%,AVANCE[[#This Row],[ZOCALOS LOGIA]])</f>
        <v>1</v>
      </c>
      <c r="CE10" s="3">
        <f>+IF(AVANCE[[#This Row],[MOLDURAS]]=AQ$2,100%,AVANCE[[#This Row],[MOLDURAS]])</f>
        <v>1</v>
      </c>
      <c r="CF10" s="3">
        <f>+IF(AVANCE[[#This Row],[PILASTREO]]=AR$2,100%,AVANCE[[#This Row],[PILASTREO]])</f>
        <v>1</v>
      </c>
      <c r="CG10" s="3">
        <f>+IF(AVANCE[[#This Row],[CELOSIAS]]=AS$2,100%,AVANCE[[#This Row],[CELOSIAS]])</f>
        <v>1</v>
      </c>
      <c r="CH10" s="3">
        <f>+IF(AVANCE[[#This Row],[VENTANAS]]=AT$2,100%,AVANCE[[#This Row],[VENTANAS]])</f>
        <v>1</v>
      </c>
      <c r="CI10" s="3">
        <f>+IF(AVANCE[[#This Row],[PUERTAS ACCESO - LOGIA - BANO]]=AU$2,100%,AVANCE[[#This Row],[PUERTAS ACCESO - LOGIA - BANO]])</f>
        <v>1</v>
      </c>
      <c r="CJ10" s="3">
        <f>+IF(AVANCE[[#This Row],[CERRADURAS]]=AV$2,100%,AVANCE[[#This Row],[CERRADURAS]])</f>
        <v>1</v>
      </c>
      <c r="CK10" s="3">
        <f>+IF(AVANCE[[#This Row],[REVESTIMIENTO INTERIOR ZONA SECA]]=AW$2,100%,AVANCE[[#This Row],[REVESTIMIENTO INTERIOR ZONA SECA]])</f>
        <v>1</v>
      </c>
      <c r="CL10" s="3">
        <f>+IF(AVANCE[[#This Row],[REVESTIMIENTO INTERIOR ZONAS HUMEDAS]]=AX$2,100%,AVANCE[[#This Row],[REVESTIMIENTO INTERIOR ZONAS HUMEDAS]])</f>
        <v>1</v>
      </c>
      <c r="CM10" s="3">
        <f>+IF(AVANCE[[#This Row],[MEMBRANA CIELO]]=AY$2,100%,AVANCE[[#This Row],[MEMBRANA CIELO]])</f>
        <v>1</v>
      </c>
      <c r="CN10" s="3">
        <f>+IF(AVANCE[[#This Row],[LIMPIEZA FINAL]]=AZ$2,100%,AVANCE[[#This Row],[LIMPIEZA FINAL]])</f>
        <v>1</v>
      </c>
      <c r="CO10" s="3">
        <f>+IF(AVANCE[[#This Row],[PUERTAS DORMITORIO]]=BA$2,100%,AVANCE[[#This Row],[PUERTAS DORMITORIO]])</f>
        <v>1</v>
      </c>
      <c r="CP10" s="3">
        <f>+IF(AVANCE[[#This Row],[REVESTIMIENTO INTERIOR BANO]]=BB$2,100%,AVANCE[[#This Row],[REVESTIMIENTO INTERIOR BANO]])</f>
        <v>1</v>
      </c>
      <c r="CQ10" s="3">
        <f>+IF(AVANCE[[#This Row],[MUEBLE LAVAPLATOS]]=BC$2,100%,AVANCE[[#This Row],[MUEBLE LAVAPLATOS]])</f>
        <v>1</v>
      </c>
      <c r="CR10" s="3">
        <f>+IF(AVANCE[[#This Row],[IMPERMEABILIZACION BANO - COCINA LOGIA]]=BD$2,100%,AVANCE[[#This Row],[IMPERMEABILIZACION BANO - COCINA LOGIA]])</f>
        <v>1</v>
      </c>
      <c r="CS10" s="40">
        <f ca="1">+IF(AVANCE[[#This Row],[ESTADO MODULO]]="PENDIENTE",(TODAY()-AVANCE[[#This Row],[FECHA TERMINO  PLANIFICADO]]),0)</f>
        <v>0</v>
      </c>
      <c r="CT10" s="41" t="str" cm="1">
        <f t="array" ref="CT10">_xlfn.TEXTJOIN(" | ",TRUE,IF(SUMPRODUCT((BG10:CR10&lt;1)*(PARTIDAS!$I$2:$AT$2="OBRA GRUESA"))&gt;0,"OBRA GRUESA: "&amp;_xlfn.TEXTJOIN(", ",TRUE,IF((BG10:CR10&lt;1)*(PARTIDAS!$I$2:$AT$2="OBRA GRUESA"),PARTIDAS!$I$1:$AT$1,"")),""),IF(SUMPRODUCT((BG10:CR10&lt;1)*(PARTIDAS!$I$2:$AT$2="SANITARIOS"))&gt;0,"SANITARIOS: "&amp;_xlfn.TEXTJOIN(", ",TRUE,IF((BG10:CR10&lt;1)*(PARTIDAS!$I$2:$AT$2="SANITARIOS"),PARTIDAS!$I$1:$AT$1,"")),""),IF(SUMPRODUCT((BG10:CR10&lt;1)*(PARTIDAS!$I$2:$AT$2="ELÉCTRICO"))&gt;0,"ELÉCTRICO: "&amp;_xlfn.TEXTJOIN(", ",TRUE,IF((BG10:CR10&lt;1)*(PARTIDAS!$I$2:$AT$2="ELÉCTRICO"),PARTIDAS!$I$1:$AT$1,"")),""),IF(SUMPRODUCT((BG10:CR10&lt;1)*(PARTIDAS!$I$2:$AT$2="TERMINACIONES"))&gt;0,"TERMINACIONES: "&amp;_xlfn.TEXTJOIN(", ",TRUE,IF((BG10:CR10&lt;1)*(PARTIDAS!$I$2:$AT$2="TERMINACIONES"),PARTIDAS!$I$1:$AT$1,"")),""))</f>
        <v/>
      </c>
      <c r="CU10" s="43" t="str" cm="1">
        <f t="array" ref="CU10">_xlfn.TEXTJOIN(", ",TRUE,IF(SUMPRODUCT((BG10:CR10&lt;1)*(PARTIDAS!$I$2:$AT$2="OBRA GRUESA"))&gt;0,"OBRA GRUESA",""),IF(SUMPRODUCT((BG10:CR10&lt;1)*(PARTIDAS!$I$2:$AT$2="SANITARIOS"))&gt;0,"SANITARIOS",""),IF(SUMPRODUCT((BG10:CR10&lt;1)*(PARTIDAS!$I$2:$AT$2="ELÉCTRICO"))&gt;0,"ELÉCTRICO",""),IF(SUMPRODUCT((BG10:CR10&lt;1)*(PARTIDAS!$I$2:$AT$2="TERMINACIONES"))&gt;0,"TERMINACIONES",""))</f>
        <v/>
      </c>
      <c r="CV10" s="44" cm="1">
        <f t="array" ref="CV10">SUMPRODUCT(--(BG10:CR10&lt;1))</f>
        <v>0</v>
      </c>
    </row>
    <row r="11" spans="1:100" hidden="1" x14ac:dyDescent="0.25">
      <c r="A11" t="s">
        <v>56</v>
      </c>
      <c r="B11" t="s">
        <v>68</v>
      </c>
      <c r="C11">
        <v>2302600010</v>
      </c>
      <c r="D11" t="s">
        <v>60</v>
      </c>
      <c r="E11" s="2">
        <v>0.99999999999999978</v>
      </c>
      <c r="F11" s="1">
        <v>46070</v>
      </c>
      <c r="G11" s="1">
        <v>46070</v>
      </c>
      <c r="H11" s="1">
        <v>46156</v>
      </c>
      <c r="I11" s="1">
        <v>46134</v>
      </c>
      <c r="K11" s="1">
        <v>46156</v>
      </c>
      <c r="L11" s="3">
        <v>0.43</v>
      </c>
      <c r="M11" s="3">
        <v>1</v>
      </c>
      <c r="N11" s="3">
        <v>0.27906976744186046</v>
      </c>
      <c r="O11" s="3">
        <v>0.18604651162790697</v>
      </c>
      <c r="P11" s="3">
        <v>0.2558139534883721</v>
      </c>
      <c r="Q11" s="3">
        <v>0.18604651162790697</v>
      </c>
      <c r="R11" s="3">
        <v>9.3023255813953487E-2</v>
      </c>
      <c r="S11" s="3">
        <v>0.09</v>
      </c>
      <c r="T11" s="3">
        <v>1</v>
      </c>
      <c r="U11" s="3">
        <v>0.22222222222222221</v>
      </c>
      <c r="V11" s="3">
        <v>0.22222222222222221</v>
      </c>
      <c r="W11" s="3">
        <v>0.1111111111111111</v>
      </c>
      <c r="X11" s="3">
        <v>0.1111111111111111</v>
      </c>
      <c r="Y11" s="3">
        <v>0.1111111111111111</v>
      </c>
      <c r="Z11" s="3">
        <v>0.22222222222222221</v>
      </c>
      <c r="AA11" s="3">
        <v>0.11</v>
      </c>
      <c r="AB11" s="3">
        <v>1</v>
      </c>
      <c r="AC11" s="3">
        <v>0.27272727272727271</v>
      </c>
      <c r="AD11" s="3">
        <v>0.27272727272727271</v>
      </c>
      <c r="AE11" s="3">
        <v>9.0909090909090912E-2</v>
      </c>
      <c r="AF11" s="3">
        <v>0.18181818181818182</v>
      </c>
      <c r="AG11" s="3">
        <v>0.18181818181818182</v>
      </c>
      <c r="AH11" s="3">
        <v>0.36999999999999983</v>
      </c>
      <c r="AI11" s="3">
        <v>0.99999999999999956</v>
      </c>
      <c r="AJ11" s="3">
        <v>5.4054054054054036E-2</v>
      </c>
      <c r="AK11" s="3">
        <v>5.4054054054054036E-2</v>
      </c>
      <c r="AL11" s="3">
        <v>2.7027027027027018E-2</v>
      </c>
      <c r="AM11" s="3">
        <v>8.1081081081081058E-2</v>
      </c>
      <c r="AN11" s="3">
        <v>8.1081081081081058E-2</v>
      </c>
      <c r="AO11" s="3">
        <v>6.7567567567567557E-2</v>
      </c>
      <c r="AP11" s="3">
        <v>5.4054054054054036E-2</v>
      </c>
      <c r="AQ11" s="3">
        <v>1.3513513513513509E-2</v>
      </c>
      <c r="AR11" s="3">
        <v>4.0540540540540529E-2</v>
      </c>
      <c r="AS11" s="3">
        <v>1.3513513513513509E-2</v>
      </c>
      <c r="AT11" s="3">
        <v>8.1081081081081058E-2</v>
      </c>
      <c r="AU11" s="3">
        <v>5.4054054054054036E-2</v>
      </c>
      <c r="AV11" s="3">
        <v>2.7027027027027018E-2</v>
      </c>
      <c r="AW11" s="3">
        <v>5.4054054054054036E-2</v>
      </c>
      <c r="AX11" s="3">
        <v>5.4054054054054036E-2</v>
      </c>
      <c r="AY11" s="3">
        <v>2.7027027027027018E-2</v>
      </c>
      <c r="AZ11" s="3">
        <v>4.0540540540540529E-2</v>
      </c>
      <c r="BA11" s="3">
        <v>5.4054054054054036E-2</v>
      </c>
      <c r="BB11" s="3">
        <v>8.1081081081081058E-2</v>
      </c>
      <c r="BC11" s="3">
        <v>1.3513513513513509E-2</v>
      </c>
      <c r="BD11" s="3">
        <v>2.7027027027027018E-2</v>
      </c>
      <c r="BE11">
        <v>31.32</v>
      </c>
      <c r="BF11" s="3" t="str">
        <f>+IF(AVANCE[[#This Row],[% AVANCE]]=100%,"MODULO TERMINADO",IF(AVANCE[[#This Row],[FECHA INICIO REAL]]="","MODULO NO INICIADO","PENDIENTE"))</f>
        <v>MODULO TERMINADO</v>
      </c>
      <c r="BG11" s="3">
        <f>+IF(AVANCE[[#This Row],[VENTANAS]]=8.10810810810811%,100%,AVANCE[[#This Row],[VENTANAS]])</f>
        <v>1</v>
      </c>
      <c r="BH11" s="3">
        <f>+IF(AVANCE[[#This Row],[PISO]]=N$2,100%,AVANCE[[#This Row],[PISO]])</f>
        <v>1</v>
      </c>
      <c r="BI11" s="3">
        <f>+IF(AVANCE[[#This Row],[TABIQUES]]=O$2,100%,AVANCE[[#This Row],[TABIQUES]])</f>
        <v>1</v>
      </c>
      <c r="BJ11" s="3">
        <f>+IF(AVANCE[[#This Row],[MUROS]]=P$2,100%,AVANCE[[#This Row],[MUROS]])</f>
        <v>1</v>
      </c>
      <c r="BK11" s="3">
        <f>+IF(AVANCE[[#This Row],[CIELO]]=Q$2,100%,AVANCE[[#This Row],[CIELO]])</f>
        <v>1</v>
      </c>
      <c r="BL11" s="3">
        <f>+IF(AVANCE[[#This Row],[BALCÓN]]=R$2,100%,AVANCE[[#This Row],[BALCÓN]])</f>
        <v>1</v>
      </c>
      <c r="BM11" s="3">
        <f>+IF(AVANCE[[#This Row],[RED ALCANTARILLADO]]=U$2,100%,AVANCE[[#This Row],[RED ALCANTARILLADO]])</f>
        <v>1</v>
      </c>
      <c r="BN11" s="3">
        <f>+IF(AVANCE[[#This Row],[RED DE AGUA]]=V$2,100%,AVANCE[[#This Row],[RED DE AGUA]])</f>
        <v>1</v>
      </c>
      <c r="BO11" s="3">
        <f>+IF(AVANCE[[#This Row],[VENTILACIONES]]=W$2,100%,AVANCE[[#This Row],[VENTILACIONES]])</f>
        <v>1</v>
      </c>
      <c r="BP11" s="3">
        <f>+IF(AVANCE[[#This Row],[TINA]]=X$2,100%,AVANCE[[#This Row],[TINA]])</f>
        <v>1</v>
      </c>
      <c r="BQ11" s="3">
        <f>+IF(AVANCE[[#This Row],[WC]]=Y$2,100%,AVANCE[[#This Row],[WC]])</f>
        <v>1</v>
      </c>
      <c r="BR11" s="3">
        <f>+IF(AVANCE[[#This Row],[LAVAMANOS / LAVAPLATOS / LAVADERO]]=Z$2,100%,AVANCE[[#This Row],[LAVAMANOS / LAVAPLATOS / LAVADERO]])</f>
        <v>1</v>
      </c>
      <c r="BS11" s="3">
        <f>+IF(AVANCE[[#This Row],[CANALIZACIÓN]]=AC$2,100%,AVANCE[[#This Row],[CANALIZACIÓN]])</f>
        <v>1</v>
      </c>
      <c r="BT11" s="3">
        <f>+IF(AVANCE[[#This Row],[CABLEADO]]=AD$2,100%,AVANCE[[#This Row],[CABLEADO]])</f>
        <v>1</v>
      </c>
      <c r="BU11" s="3">
        <f>+IF(AVANCE[[#This Row],[ARTEFACTOS]]=AE$2,100%,AVANCE[[#This Row],[ARTEFACTOS]])</f>
        <v>1</v>
      </c>
      <c r="BV11" s="3">
        <f>+IF(AVANCE[[#This Row],[TABLERO]]=AF$2,100%,AVANCE[[#This Row],[TABLERO]])</f>
        <v>1</v>
      </c>
      <c r="BW11" s="3">
        <f>+IF(AVANCE[[#This Row],[CAJA PAU]]=AG$2,100%,AVANCE[[#This Row],[CAJA PAU]])</f>
        <v>1</v>
      </c>
      <c r="BX11" s="3">
        <f>+IF(AVANCE[[#This Row],[INSTALACION VINILICO]]=AJ$2,100%,AVANCE[[#This Row],[INSTALACION VINILICO]])</f>
        <v>1</v>
      </c>
      <c r="BY11" s="3">
        <f>+IF(AVANCE[[#This Row],[OSB CUBIERTA]]=AK$2,100%,AVANCE[[#This Row],[OSB CUBIERTA]])</f>
        <v>1</v>
      </c>
      <c r="BZ11" s="3">
        <f>+IF(AVANCE[[#This Row],[BARANDA BALCON]]=AL$2,100%,AVANCE[[#This Row],[BARANDA BALCON]])</f>
        <v>1</v>
      </c>
      <c r="CA11" s="3">
        <f>+IF(AVANCE[[#This Row],[OSB EXTERIOR]]=AM$2,100%,AVANCE[[#This Row],[OSB EXTERIOR]])</f>
        <v>1</v>
      </c>
      <c r="CB11" s="3">
        <f>+IF(AVANCE[[#This Row],[SMART PANEL]]=AN$2,100%,AVANCE[[#This Row],[SMART PANEL]])</f>
        <v>1</v>
      </c>
      <c r="CC11" s="3">
        <f>+IF(AVANCE[[#This Row],[PINTURA EXTERIOR]]=AO$2,100%,AVANCE[[#This Row],[PINTURA EXTERIOR]])</f>
        <v>1</v>
      </c>
      <c r="CD11" s="3">
        <f>+IF(AVANCE[[#This Row],[ZOCALOS LOGIA]]=AP$2,100%,AVANCE[[#This Row],[ZOCALOS LOGIA]])</f>
        <v>1</v>
      </c>
      <c r="CE11" s="3">
        <f>+IF(AVANCE[[#This Row],[MOLDURAS]]=AQ$2,100%,AVANCE[[#This Row],[MOLDURAS]])</f>
        <v>1</v>
      </c>
      <c r="CF11" s="3">
        <f>+IF(AVANCE[[#This Row],[PILASTREO]]=AR$2,100%,AVANCE[[#This Row],[PILASTREO]])</f>
        <v>1</v>
      </c>
      <c r="CG11" s="3">
        <f>+IF(AVANCE[[#This Row],[CELOSIAS]]=AS$2,100%,AVANCE[[#This Row],[CELOSIAS]])</f>
        <v>1</v>
      </c>
      <c r="CH11" s="3">
        <f>+IF(AVANCE[[#This Row],[VENTANAS]]=AT$2,100%,AVANCE[[#This Row],[VENTANAS]])</f>
        <v>1</v>
      </c>
      <c r="CI11" s="3">
        <f>+IF(AVANCE[[#This Row],[PUERTAS ACCESO - LOGIA - BANO]]=AU$2,100%,AVANCE[[#This Row],[PUERTAS ACCESO - LOGIA - BANO]])</f>
        <v>1</v>
      </c>
      <c r="CJ11" s="3">
        <f>+IF(AVANCE[[#This Row],[CERRADURAS]]=AV$2,100%,AVANCE[[#This Row],[CERRADURAS]])</f>
        <v>1</v>
      </c>
      <c r="CK11" s="3">
        <f>+IF(AVANCE[[#This Row],[REVESTIMIENTO INTERIOR ZONA SECA]]=AW$2,100%,AVANCE[[#This Row],[REVESTIMIENTO INTERIOR ZONA SECA]])</f>
        <v>1</v>
      </c>
      <c r="CL11" s="3">
        <f>+IF(AVANCE[[#This Row],[REVESTIMIENTO INTERIOR ZONAS HUMEDAS]]=AX$2,100%,AVANCE[[#This Row],[REVESTIMIENTO INTERIOR ZONAS HUMEDAS]])</f>
        <v>1</v>
      </c>
      <c r="CM11" s="3">
        <f>+IF(AVANCE[[#This Row],[MEMBRANA CIELO]]=AY$2,100%,AVANCE[[#This Row],[MEMBRANA CIELO]])</f>
        <v>1</v>
      </c>
      <c r="CN11" s="3">
        <f>+IF(AVANCE[[#This Row],[LIMPIEZA FINAL]]=AZ$2,100%,AVANCE[[#This Row],[LIMPIEZA FINAL]])</f>
        <v>1</v>
      </c>
      <c r="CO11" s="3">
        <f>+IF(AVANCE[[#This Row],[PUERTAS DORMITORIO]]=BA$2,100%,AVANCE[[#This Row],[PUERTAS DORMITORIO]])</f>
        <v>1</v>
      </c>
      <c r="CP11" s="3">
        <f>+IF(AVANCE[[#This Row],[REVESTIMIENTO INTERIOR BANO]]=BB$2,100%,AVANCE[[#This Row],[REVESTIMIENTO INTERIOR BANO]])</f>
        <v>1</v>
      </c>
      <c r="CQ11" s="3">
        <f>+IF(AVANCE[[#This Row],[MUEBLE LAVAPLATOS]]=BC$2,100%,AVANCE[[#This Row],[MUEBLE LAVAPLATOS]])</f>
        <v>1</v>
      </c>
      <c r="CR11" s="3">
        <f>+IF(AVANCE[[#This Row],[IMPERMEABILIZACION BANO - COCINA LOGIA]]=BD$2,100%,AVANCE[[#This Row],[IMPERMEABILIZACION BANO - COCINA LOGIA]])</f>
        <v>1</v>
      </c>
      <c r="CS11" s="40">
        <f ca="1">+IF(AVANCE[[#This Row],[ESTADO MODULO]]="PENDIENTE",(TODAY()-AVANCE[[#This Row],[FECHA TERMINO  PLANIFICADO]]),0)</f>
        <v>0</v>
      </c>
      <c r="CT11" s="41" t="str" cm="1">
        <f t="array" ref="CT11">_xlfn.TEXTJOIN(" | ",TRUE,IF(SUMPRODUCT((BG11:CR11&lt;1)*(PARTIDAS!$I$2:$AT$2="OBRA GRUESA"))&gt;0,"OBRA GRUESA: "&amp;_xlfn.TEXTJOIN(", ",TRUE,IF((BG11:CR11&lt;1)*(PARTIDAS!$I$2:$AT$2="OBRA GRUESA"),PARTIDAS!$I$1:$AT$1,"")),""),IF(SUMPRODUCT((BG11:CR11&lt;1)*(PARTIDAS!$I$2:$AT$2="SANITARIOS"))&gt;0,"SANITARIOS: "&amp;_xlfn.TEXTJOIN(", ",TRUE,IF((BG11:CR11&lt;1)*(PARTIDAS!$I$2:$AT$2="SANITARIOS"),PARTIDAS!$I$1:$AT$1,"")),""),IF(SUMPRODUCT((BG11:CR11&lt;1)*(PARTIDAS!$I$2:$AT$2="ELÉCTRICO"))&gt;0,"ELÉCTRICO: "&amp;_xlfn.TEXTJOIN(", ",TRUE,IF((BG11:CR11&lt;1)*(PARTIDAS!$I$2:$AT$2="ELÉCTRICO"),PARTIDAS!$I$1:$AT$1,"")),""),IF(SUMPRODUCT((BG11:CR11&lt;1)*(PARTIDAS!$I$2:$AT$2="TERMINACIONES"))&gt;0,"TERMINACIONES: "&amp;_xlfn.TEXTJOIN(", ",TRUE,IF((BG11:CR11&lt;1)*(PARTIDAS!$I$2:$AT$2="TERMINACIONES"),PARTIDAS!$I$1:$AT$1,"")),""))</f>
        <v/>
      </c>
      <c r="CU11" s="43" t="str" cm="1">
        <f t="array" ref="CU11">_xlfn.TEXTJOIN(", ",TRUE,IF(SUMPRODUCT((BG11:CR11&lt;1)*(PARTIDAS!$I$2:$AT$2="OBRA GRUESA"))&gt;0,"OBRA GRUESA",""),IF(SUMPRODUCT((BG11:CR11&lt;1)*(PARTIDAS!$I$2:$AT$2="SANITARIOS"))&gt;0,"SANITARIOS",""),IF(SUMPRODUCT((BG11:CR11&lt;1)*(PARTIDAS!$I$2:$AT$2="ELÉCTRICO"))&gt;0,"ELÉCTRICO",""),IF(SUMPRODUCT((BG11:CR11&lt;1)*(PARTIDAS!$I$2:$AT$2="TERMINACIONES"))&gt;0,"TERMINACIONES",""))</f>
        <v/>
      </c>
      <c r="CV11" s="44" cm="1">
        <f t="array" ref="CV11">SUMPRODUCT(--(BG11:CR11&lt;1))</f>
        <v>0</v>
      </c>
    </row>
    <row r="12" spans="1:100" hidden="1" x14ac:dyDescent="0.25">
      <c r="A12" t="s">
        <v>56</v>
      </c>
      <c r="B12" t="s">
        <v>69</v>
      </c>
      <c r="C12">
        <v>2302600011</v>
      </c>
      <c r="D12" t="s">
        <v>60</v>
      </c>
      <c r="E12" s="2">
        <v>0.99999999999999978</v>
      </c>
      <c r="F12" s="1">
        <v>46073</v>
      </c>
      <c r="G12" s="1">
        <v>46073</v>
      </c>
      <c r="H12" s="1">
        <v>46160</v>
      </c>
      <c r="I12" s="1">
        <v>46136</v>
      </c>
      <c r="K12" s="1">
        <v>46160</v>
      </c>
      <c r="L12" s="3">
        <v>0.43</v>
      </c>
      <c r="M12" s="3">
        <v>1</v>
      </c>
      <c r="N12" s="3">
        <v>0.27906976744186046</v>
      </c>
      <c r="O12" s="3">
        <v>0.18604651162790697</v>
      </c>
      <c r="P12" s="3">
        <v>0.2558139534883721</v>
      </c>
      <c r="Q12" s="3">
        <v>0.18604651162790697</v>
      </c>
      <c r="R12" s="3">
        <v>9.3023255813953487E-2</v>
      </c>
      <c r="S12" s="3">
        <v>0.09</v>
      </c>
      <c r="T12" s="3">
        <v>1</v>
      </c>
      <c r="U12" s="3">
        <v>0.22222222222222221</v>
      </c>
      <c r="V12" s="3">
        <v>0.22222222222222221</v>
      </c>
      <c r="W12" s="3">
        <v>0.1111111111111111</v>
      </c>
      <c r="X12" s="3">
        <v>0.1111111111111111</v>
      </c>
      <c r="Y12" s="3">
        <v>0.1111111111111111</v>
      </c>
      <c r="Z12" s="3">
        <v>0.22222222222222221</v>
      </c>
      <c r="AA12" s="3">
        <v>0.11</v>
      </c>
      <c r="AB12" s="3">
        <v>1</v>
      </c>
      <c r="AC12" s="3">
        <v>0.27272727272727271</v>
      </c>
      <c r="AD12" s="3">
        <v>0.27272727272727271</v>
      </c>
      <c r="AE12" s="3">
        <v>9.0909090909090912E-2</v>
      </c>
      <c r="AF12" s="3">
        <v>0.18181818181818182</v>
      </c>
      <c r="AG12" s="3">
        <v>0.18181818181818182</v>
      </c>
      <c r="AH12" s="3">
        <v>0.36999999999999983</v>
      </c>
      <c r="AI12" s="3">
        <v>0.99999999999999956</v>
      </c>
      <c r="AJ12" s="3">
        <v>5.4054054054054036E-2</v>
      </c>
      <c r="AK12" s="3">
        <v>5.4054054054054036E-2</v>
      </c>
      <c r="AL12" s="3">
        <v>2.7027027027027018E-2</v>
      </c>
      <c r="AM12" s="3">
        <v>8.1081081081081058E-2</v>
      </c>
      <c r="AN12" s="3">
        <v>8.1081081081081058E-2</v>
      </c>
      <c r="AO12" s="3">
        <v>6.7567567567567557E-2</v>
      </c>
      <c r="AP12" s="3">
        <v>5.4054054054054036E-2</v>
      </c>
      <c r="AQ12" s="3">
        <v>1.3513513513513509E-2</v>
      </c>
      <c r="AR12" s="3">
        <v>4.0540540540540529E-2</v>
      </c>
      <c r="AS12" s="3">
        <v>1.3513513513513509E-2</v>
      </c>
      <c r="AT12" s="3">
        <v>8.1081081081081058E-2</v>
      </c>
      <c r="AU12" s="3">
        <v>5.4054054054054036E-2</v>
      </c>
      <c r="AV12" s="3">
        <v>2.7027027027027018E-2</v>
      </c>
      <c r="AW12" s="3">
        <v>5.4054054054054036E-2</v>
      </c>
      <c r="AX12" s="3">
        <v>5.4054054054054036E-2</v>
      </c>
      <c r="AY12" s="3">
        <v>2.7027027027027018E-2</v>
      </c>
      <c r="AZ12" s="3">
        <v>4.0540540540540529E-2</v>
      </c>
      <c r="BA12" s="3">
        <v>5.4054054054054036E-2</v>
      </c>
      <c r="BB12" s="3">
        <v>8.1081081081081058E-2</v>
      </c>
      <c r="BC12" s="3">
        <v>1.3513513513513509E-2</v>
      </c>
      <c r="BD12" s="3">
        <v>2.7027027027027018E-2</v>
      </c>
      <c r="BE12">
        <v>31.32</v>
      </c>
      <c r="BF12" s="3" t="str">
        <f>+IF(AVANCE[[#This Row],[% AVANCE]]=100%,"MODULO TERMINADO",IF(AVANCE[[#This Row],[FECHA INICIO REAL]]="","MODULO NO INICIADO","PENDIENTE"))</f>
        <v>MODULO TERMINADO</v>
      </c>
      <c r="BG12" s="3">
        <f>+IF(AVANCE[[#This Row],[VENTANAS]]=8.10810810810811%,100%,AVANCE[[#This Row],[VENTANAS]])</f>
        <v>1</v>
      </c>
      <c r="BH12" s="3">
        <f>+IF(AVANCE[[#This Row],[PISO]]=N$2,100%,AVANCE[[#This Row],[PISO]])</f>
        <v>1</v>
      </c>
      <c r="BI12" s="3">
        <f>+IF(AVANCE[[#This Row],[TABIQUES]]=O$2,100%,AVANCE[[#This Row],[TABIQUES]])</f>
        <v>1</v>
      </c>
      <c r="BJ12" s="3">
        <f>+IF(AVANCE[[#This Row],[MUROS]]=P$2,100%,AVANCE[[#This Row],[MUROS]])</f>
        <v>1</v>
      </c>
      <c r="BK12" s="3">
        <f>+IF(AVANCE[[#This Row],[CIELO]]=Q$2,100%,AVANCE[[#This Row],[CIELO]])</f>
        <v>1</v>
      </c>
      <c r="BL12" s="3">
        <f>+IF(AVANCE[[#This Row],[BALCÓN]]=R$2,100%,AVANCE[[#This Row],[BALCÓN]])</f>
        <v>1</v>
      </c>
      <c r="BM12" s="3">
        <f>+IF(AVANCE[[#This Row],[RED ALCANTARILLADO]]=U$2,100%,AVANCE[[#This Row],[RED ALCANTARILLADO]])</f>
        <v>1</v>
      </c>
      <c r="BN12" s="3">
        <f>+IF(AVANCE[[#This Row],[RED DE AGUA]]=V$2,100%,AVANCE[[#This Row],[RED DE AGUA]])</f>
        <v>1</v>
      </c>
      <c r="BO12" s="3">
        <f>+IF(AVANCE[[#This Row],[VENTILACIONES]]=W$2,100%,AVANCE[[#This Row],[VENTILACIONES]])</f>
        <v>1</v>
      </c>
      <c r="BP12" s="3">
        <f>+IF(AVANCE[[#This Row],[TINA]]=X$2,100%,AVANCE[[#This Row],[TINA]])</f>
        <v>1</v>
      </c>
      <c r="BQ12" s="3">
        <f>+IF(AVANCE[[#This Row],[WC]]=Y$2,100%,AVANCE[[#This Row],[WC]])</f>
        <v>1</v>
      </c>
      <c r="BR12" s="3">
        <f>+IF(AVANCE[[#This Row],[LAVAMANOS / LAVAPLATOS / LAVADERO]]=Z$2,100%,AVANCE[[#This Row],[LAVAMANOS / LAVAPLATOS / LAVADERO]])</f>
        <v>1</v>
      </c>
      <c r="BS12" s="3">
        <f>+IF(AVANCE[[#This Row],[CANALIZACIÓN]]=AC$2,100%,AVANCE[[#This Row],[CANALIZACIÓN]])</f>
        <v>1</v>
      </c>
      <c r="BT12" s="3">
        <f>+IF(AVANCE[[#This Row],[CABLEADO]]=AD$2,100%,AVANCE[[#This Row],[CABLEADO]])</f>
        <v>1</v>
      </c>
      <c r="BU12" s="3">
        <f>+IF(AVANCE[[#This Row],[ARTEFACTOS]]=AE$2,100%,AVANCE[[#This Row],[ARTEFACTOS]])</f>
        <v>1</v>
      </c>
      <c r="BV12" s="3">
        <f>+IF(AVANCE[[#This Row],[TABLERO]]=AF$2,100%,AVANCE[[#This Row],[TABLERO]])</f>
        <v>1</v>
      </c>
      <c r="BW12" s="3">
        <f>+IF(AVANCE[[#This Row],[CAJA PAU]]=AG$2,100%,AVANCE[[#This Row],[CAJA PAU]])</f>
        <v>1</v>
      </c>
      <c r="BX12" s="3">
        <f>+IF(AVANCE[[#This Row],[INSTALACION VINILICO]]=AJ$2,100%,AVANCE[[#This Row],[INSTALACION VINILICO]])</f>
        <v>1</v>
      </c>
      <c r="BY12" s="3">
        <f>+IF(AVANCE[[#This Row],[OSB CUBIERTA]]=AK$2,100%,AVANCE[[#This Row],[OSB CUBIERTA]])</f>
        <v>1</v>
      </c>
      <c r="BZ12" s="3">
        <f>+IF(AVANCE[[#This Row],[BARANDA BALCON]]=AL$2,100%,AVANCE[[#This Row],[BARANDA BALCON]])</f>
        <v>1</v>
      </c>
      <c r="CA12" s="3">
        <f>+IF(AVANCE[[#This Row],[OSB EXTERIOR]]=AM$2,100%,AVANCE[[#This Row],[OSB EXTERIOR]])</f>
        <v>1</v>
      </c>
      <c r="CB12" s="3">
        <f>+IF(AVANCE[[#This Row],[SMART PANEL]]=AN$2,100%,AVANCE[[#This Row],[SMART PANEL]])</f>
        <v>1</v>
      </c>
      <c r="CC12" s="3">
        <f>+IF(AVANCE[[#This Row],[PINTURA EXTERIOR]]=AO$2,100%,AVANCE[[#This Row],[PINTURA EXTERIOR]])</f>
        <v>1</v>
      </c>
      <c r="CD12" s="3">
        <f>+IF(AVANCE[[#This Row],[ZOCALOS LOGIA]]=AP$2,100%,AVANCE[[#This Row],[ZOCALOS LOGIA]])</f>
        <v>1</v>
      </c>
      <c r="CE12" s="3">
        <f>+IF(AVANCE[[#This Row],[MOLDURAS]]=AQ$2,100%,AVANCE[[#This Row],[MOLDURAS]])</f>
        <v>1</v>
      </c>
      <c r="CF12" s="3">
        <f>+IF(AVANCE[[#This Row],[PILASTREO]]=AR$2,100%,AVANCE[[#This Row],[PILASTREO]])</f>
        <v>1</v>
      </c>
      <c r="CG12" s="3">
        <f>+IF(AVANCE[[#This Row],[CELOSIAS]]=AS$2,100%,AVANCE[[#This Row],[CELOSIAS]])</f>
        <v>1</v>
      </c>
      <c r="CH12" s="3">
        <f>+IF(AVANCE[[#This Row],[VENTANAS]]=AT$2,100%,AVANCE[[#This Row],[VENTANAS]])</f>
        <v>1</v>
      </c>
      <c r="CI12" s="3">
        <f>+IF(AVANCE[[#This Row],[PUERTAS ACCESO - LOGIA - BANO]]=AU$2,100%,AVANCE[[#This Row],[PUERTAS ACCESO - LOGIA - BANO]])</f>
        <v>1</v>
      </c>
      <c r="CJ12" s="3">
        <f>+IF(AVANCE[[#This Row],[CERRADURAS]]=AV$2,100%,AVANCE[[#This Row],[CERRADURAS]])</f>
        <v>1</v>
      </c>
      <c r="CK12" s="3">
        <f>+IF(AVANCE[[#This Row],[REVESTIMIENTO INTERIOR ZONA SECA]]=AW$2,100%,AVANCE[[#This Row],[REVESTIMIENTO INTERIOR ZONA SECA]])</f>
        <v>1</v>
      </c>
      <c r="CL12" s="3">
        <f>+IF(AVANCE[[#This Row],[REVESTIMIENTO INTERIOR ZONAS HUMEDAS]]=AX$2,100%,AVANCE[[#This Row],[REVESTIMIENTO INTERIOR ZONAS HUMEDAS]])</f>
        <v>1</v>
      </c>
      <c r="CM12" s="3">
        <f>+IF(AVANCE[[#This Row],[MEMBRANA CIELO]]=AY$2,100%,AVANCE[[#This Row],[MEMBRANA CIELO]])</f>
        <v>1</v>
      </c>
      <c r="CN12" s="3">
        <f>+IF(AVANCE[[#This Row],[LIMPIEZA FINAL]]=AZ$2,100%,AVANCE[[#This Row],[LIMPIEZA FINAL]])</f>
        <v>1</v>
      </c>
      <c r="CO12" s="3">
        <f>+IF(AVANCE[[#This Row],[PUERTAS DORMITORIO]]=BA$2,100%,AVANCE[[#This Row],[PUERTAS DORMITORIO]])</f>
        <v>1</v>
      </c>
      <c r="CP12" s="3">
        <f>+IF(AVANCE[[#This Row],[REVESTIMIENTO INTERIOR BANO]]=BB$2,100%,AVANCE[[#This Row],[REVESTIMIENTO INTERIOR BANO]])</f>
        <v>1</v>
      </c>
      <c r="CQ12" s="3">
        <f>+IF(AVANCE[[#This Row],[MUEBLE LAVAPLATOS]]=BC$2,100%,AVANCE[[#This Row],[MUEBLE LAVAPLATOS]])</f>
        <v>1</v>
      </c>
      <c r="CR12" s="3">
        <f>+IF(AVANCE[[#This Row],[IMPERMEABILIZACION BANO - COCINA LOGIA]]=BD$2,100%,AVANCE[[#This Row],[IMPERMEABILIZACION BANO - COCINA LOGIA]])</f>
        <v>1</v>
      </c>
      <c r="CS12" s="40">
        <f ca="1">+IF(AVANCE[[#This Row],[ESTADO MODULO]]="PENDIENTE",(TODAY()-AVANCE[[#This Row],[FECHA TERMINO  PLANIFICADO]]),0)</f>
        <v>0</v>
      </c>
      <c r="CT12" s="41" t="str" cm="1">
        <f t="array" ref="CT12">_xlfn.TEXTJOIN(" | ",TRUE,IF(SUMPRODUCT((BG12:CR12&lt;1)*(PARTIDAS!$I$2:$AT$2="OBRA GRUESA"))&gt;0,"OBRA GRUESA: "&amp;_xlfn.TEXTJOIN(", ",TRUE,IF((BG12:CR12&lt;1)*(PARTIDAS!$I$2:$AT$2="OBRA GRUESA"),PARTIDAS!$I$1:$AT$1,"")),""),IF(SUMPRODUCT((BG12:CR12&lt;1)*(PARTIDAS!$I$2:$AT$2="SANITARIOS"))&gt;0,"SANITARIOS: "&amp;_xlfn.TEXTJOIN(", ",TRUE,IF((BG12:CR12&lt;1)*(PARTIDAS!$I$2:$AT$2="SANITARIOS"),PARTIDAS!$I$1:$AT$1,"")),""),IF(SUMPRODUCT((BG12:CR12&lt;1)*(PARTIDAS!$I$2:$AT$2="ELÉCTRICO"))&gt;0,"ELÉCTRICO: "&amp;_xlfn.TEXTJOIN(", ",TRUE,IF((BG12:CR12&lt;1)*(PARTIDAS!$I$2:$AT$2="ELÉCTRICO"),PARTIDAS!$I$1:$AT$1,"")),""),IF(SUMPRODUCT((BG12:CR12&lt;1)*(PARTIDAS!$I$2:$AT$2="TERMINACIONES"))&gt;0,"TERMINACIONES: "&amp;_xlfn.TEXTJOIN(", ",TRUE,IF((BG12:CR12&lt;1)*(PARTIDAS!$I$2:$AT$2="TERMINACIONES"),PARTIDAS!$I$1:$AT$1,"")),""))</f>
        <v/>
      </c>
      <c r="CU12" s="43" t="str" cm="1">
        <f t="array" ref="CU12">_xlfn.TEXTJOIN(", ",TRUE,IF(SUMPRODUCT((BG12:CR12&lt;1)*(PARTIDAS!$I$2:$AT$2="OBRA GRUESA"))&gt;0,"OBRA GRUESA",""),IF(SUMPRODUCT((BG12:CR12&lt;1)*(PARTIDAS!$I$2:$AT$2="SANITARIOS"))&gt;0,"SANITARIOS",""),IF(SUMPRODUCT((BG12:CR12&lt;1)*(PARTIDAS!$I$2:$AT$2="ELÉCTRICO"))&gt;0,"ELÉCTRICO",""),IF(SUMPRODUCT((BG12:CR12&lt;1)*(PARTIDAS!$I$2:$AT$2="TERMINACIONES"))&gt;0,"TERMINACIONES",""))</f>
        <v/>
      </c>
      <c r="CV12" s="44" cm="1">
        <f t="array" ref="CV12">SUMPRODUCT(--(BG12:CR12&lt;1))</f>
        <v>0</v>
      </c>
    </row>
    <row r="13" spans="1:100" hidden="1" x14ac:dyDescent="0.25">
      <c r="A13" t="s">
        <v>56</v>
      </c>
      <c r="B13" t="s">
        <v>70</v>
      </c>
      <c r="C13">
        <v>2282600012</v>
      </c>
      <c r="D13" t="s">
        <v>58</v>
      </c>
      <c r="E13" s="2">
        <v>0.99999999999999978</v>
      </c>
      <c r="F13" s="1">
        <v>46078</v>
      </c>
      <c r="G13" s="1">
        <v>46078</v>
      </c>
      <c r="H13" s="1">
        <v>46162</v>
      </c>
      <c r="I13" s="1">
        <v>46132</v>
      </c>
      <c r="K13" s="1">
        <v>46162</v>
      </c>
      <c r="L13" s="3">
        <v>0.43</v>
      </c>
      <c r="M13" s="3">
        <v>1</v>
      </c>
      <c r="N13" s="3">
        <v>0.27906976744186046</v>
      </c>
      <c r="O13" s="3">
        <v>0.18604651162790697</v>
      </c>
      <c r="P13" s="3">
        <v>0.2558139534883721</v>
      </c>
      <c r="Q13" s="3">
        <v>0.18604651162790697</v>
      </c>
      <c r="R13" s="3">
        <v>9.3023255813953487E-2</v>
      </c>
      <c r="S13" s="3">
        <v>0.09</v>
      </c>
      <c r="T13" s="3">
        <v>1</v>
      </c>
      <c r="U13" s="3">
        <v>0.22222222222222221</v>
      </c>
      <c r="V13" s="3">
        <v>0.22222222222222221</v>
      </c>
      <c r="W13" s="3">
        <v>0.1111111111111111</v>
      </c>
      <c r="X13" s="3">
        <v>0.1111111111111111</v>
      </c>
      <c r="Y13" s="3">
        <v>0.1111111111111111</v>
      </c>
      <c r="Z13" s="3">
        <v>0.22222222222222221</v>
      </c>
      <c r="AA13" s="3">
        <v>0.11</v>
      </c>
      <c r="AB13" s="3">
        <v>1</v>
      </c>
      <c r="AC13" s="3">
        <v>0.27272727272727271</v>
      </c>
      <c r="AD13" s="3">
        <v>0.27272727272727271</v>
      </c>
      <c r="AE13" s="3">
        <v>9.0909090909090912E-2</v>
      </c>
      <c r="AF13" s="3">
        <v>0.18181818181818182</v>
      </c>
      <c r="AG13" s="3">
        <v>0.18181818181818182</v>
      </c>
      <c r="AH13" s="3">
        <v>0.36999999999999983</v>
      </c>
      <c r="AI13" s="3">
        <v>0.99999999999999956</v>
      </c>
      <c r="AJ13" s="3">
        <v>5.4054054054054036E-2</v>
      </c>
      <c r="AK13" s="3">
        <v>5.4054054054054036E-2</v>
      </c>
      <c r="AL13" s="3">
        <v>2.7027027027027018E-2</v>
      </c>
      <c r="AM13" s="3">
        <v>8.1081081081081058E-2</v>
      </c>
      <c r="AN13" s="3">
        <v>8.1081081081081058E-2</v>
      </c>
      <c r="AO13" s="3">
        <v>6.7567567567567557E-2</v>
      </c>
      <c r="AP13" s="3">
        <v>5.4054054054054036E-2</v>
      </c>
      <c r="AQ13" s="3">
        <v>1.3513513513513509E-2</v>
      </c>
      <c r="AR13" s="3">
        <v>4.0540540540540529E-2</v>
      </c>
      <c r="AS13" s="3">
        <v>1.3513513513513509E-2</v>
      </c>
      <c r="AT13" s="3">
        <v>8.1081081081081058E-2</v>
      </c>
      <c r="AU13" s="3">
        <v>5.4054054054054036E-2</v>
      </c>
      <c r="AV13" s="3">
        <v>2.7027027027027018E-2</v>
      </c>
      <c r="AW13" s="3">
        <v>5.4054054054054036E-2</v>
      </c>
      <c r="AX13" s="3">
        <v>5.4054054054054036E-2</v>
      </c>
      <c r="AY13" s="3">
        <v>2.7027027027027018E-2</v>
      </c>
      <c r="AZ13" s="3">
        <v>4.0540540540540529E-2</v>
      </c>
      <c r="BA13" s="3">
        <v>5.4054054054054036E-2</v>
      </c>
      <c r="BB13" s="3">
        <v>8.1081081081081058E-2</v>
      </c>
      <c r="BC13" s="3">
        <v>1.3513513513513509E-2</v>
      </c>
      <c r="BD13" s="3">
        <v>2.7027027027027018E-2</v>
      </c>
      <c r="BE13">
        <v>28.87</v>
      </c>
      <c r="BF13" s="3" t="str">
        <f>+IF(AVANCE[[#This Row],[% AVANCE]]=100%,"MODULO TERMINADO",IF(AVANCE[[#This Row],[FECHA INICIO REAL]]="","MODULO NO INICIADO","PENDIENTE"))</f>
        <v>MODULO TERMINADO</v>
      </c>
      <c r="BG13" s="3">
        <f>+IF(AVANCE[[#This Row],[VENTANAS]]=8.10810810810811%,100%,AVANCE[[#This Row],[VENTANAS]])</f>
        <v>1</v>
      </c>
      <c r="BH13" s="3">
        <f>+IF(AVANCE[[#This Row],[PISO]]=N$2,100%,AVANCE[[#This Row],[PISO]])</f>
        <v>1</v>
      </c>
      <c r="BI13" s="3">
        <f>+IF(AVANCE[[#This Row],[TABIQUES]]=O$2,100%,AVANCE[[#This Row],[TABIQUES]])</f>
        <v>1</v>
      </c>
      <c r="BJ13" s="3">
        <f>+IF(AVANCE[[#This Row],[MUROS]]=P$2,100%,AVANCE[[#This Row],[MUROS]])</f>
        <v>1</v>
      </c>
      <c r="BK13" s="3">
        <f>+IF(AVANCE[[#This Row],[CIELO]]=Q$2,100%,AVANCE[[#This Row],[CIELO]])</f>
        <v>1</v>
      </c>
      <c r="BL13" s="3">
        <f>+IF(AVANCE[[#This Row],[BALCÓN]]=R$2,100%,AVANCE[[#This Row],[BALCÓN]])</f>
        <v>1</v>
      </c>
      <c r="BM13" s="3">
        <f>+IF(AVANCE[[#This Row],[RED ALCANTARILLADO]]=U$2,100%,AVANCE[[#This Row],[RED ALCANTARILLADO]])</f>
        <v>1</v>
      </c>
      <c r="BN13" s="3">
        <f>+IF(AVANCE[[#This Row],[RED DE AGUA]]=V$2,100%,AVANCE[[#This Row],[RED DE AGUA]])</f>
        <v>1</v>
      </c>
      <c r="BO13" s="3">
        <f>+IF(AVANCE[[#This Row],[VENTILACIONES]]=W$2,100%,AVANCE[[#This Row],[VENTILACIONES]])</f>
        <v>1</v>
      </c>
      <c r="BP13" s="3">
        <f>+IF(AVANCE[[#This Row],[TINA]]=X$2,100%,AVANCE[[#This Row],[TINA]])</f>
        <v>1</v>
      </c>
      <c r="BQ13" s="3">
        <f>+IF(AVANCE[[#This Row],[WC]]=Y$2,100%,AVANCE[[#This Row],[WC]])</f>
        <v>1</v>
      </c>
      <c r="BR13" s="3">
        <f>+IF(AVANCE[[#This Row],[LAVAMANOS / LAVAPLATOS / LAVADERO]]=Z$2,100%,AVANCE[[#This Row],[LAVAMANOS / LAVAPLATOS / LAVADERO]])</f>
        <v>1</v>
      </c>
      <c r="BS13" s="3">
        <f>+IF(AVANCE[[#This Row],[CANALIZACIÓN]]=AC$2,100%,AVANCE[[#This Row],[CANALIZACIÓN]])</f>
        <v>1</v>
      </c>
      <c r="BT13" s="3">
        <f>+IF(AVANCE[[#This Row],[CABLEADO]]=AD$2,100%,AVANCE[[#This Row],[CABLEADO]])</f>
        <v>1</v>
      </c>
      <c r="BU13" s="3">
        <f>+IF(AVANCE[[#This Row],[ARTEFACTOS]]=AE$2,100%,AVANCE[[#This Row],[ARTEFACTOS]])</f>
        <v>1</v>
      </c>
      <c r="BV13" s="3">
        <f>+IF(AVANCE[[#This Row],[TABLERO]]=AF$2,100%,AVANCE[[#This Row],[TABLERO]])</f>
        <v>1</v>
      </c>
      <c r="BW13" s="3">
        <f>+IF(AVANCE[[#This Row],[CAJA PAU]]=AG$2,100%,AVANCE[[#This Row],[CAJA PAU]])</f>
        <v>1</v>
      </c>
      <c r="BX13" s="3">
        <f>+IF(AVANCE[[#This Row],[INSTALACION VINILICO]]=AJ$2,100%,AVANCE[[#This Row],[INSTALACION VINILICO]])</f>
        <v>1</v>
      </c>
      <c r="BY13" s="3">
        <f>+IF(AVANCE[[#This Row],[OSB CUBIERTA]]=AK$2,100%,AVANCE[[#This Row],[OSB CUBIERTA]])</f>
        <v>1</v>
      </c>
      <c r="BZ13" s="3">
        <f>+IF(AVANCE[[#This Row],[BARANDA BALCON]]=AL$2,100%,AVANCE[[#This Row],[BARANDA BALCON]])</f>
        <v>1</v>
      </c>
      <c r="CA13" s="3">
        <f>+IF(AVANCE[[#This Row],[OSB EXTERIOR]]=AM$2,100%,AVANCE[[#This Row],[OSB EXTERIOR]])</f>
        <v>1</v>
      </c>
      <c r="CB13" s="3">
        <f>+IF(AVANCE[[#This Row],[SMART PANEL]]=AN$2,100%,AVANCE[[#This Row],[SMART PANEL]])</f>
        <v>1</v>
      </c>
      <c r="CC13" s="3">
        <f>+IF(AVANCE[[#This Row],[PINTURA EXTERIOR]]=AO$2,100%,AVANCE[[#This Row],[PINTURA EXTERIOR]])</f>
        <v>1</v>
      </c>
      <c r="CD13" s="3">
        <f>+IF(AVANCE[[#This Row],[ZOCALOS LOGIA]]=AP$2,100%,AVANCE[[#This Row],[ZOCALOS LOGIA]])</f>
        <v>1</v>
      </c>
      <c r="CE13" s="3">
        <f>+IF(AVANCE[[#This Row],[MOLDURAS]]=AQ$2,100%,AVANCE[[#This Row],[MOLDURAS]])</f>
        <v>1</v>
      </c>
      <c r="CF13" s="3">
        <f>+IF(AVANCE[[#This Row],[PILASTREO]]=AR$2,100%,AVANCE[[#This Row],[PILASTREO]])</f>
        <v>1</v>
      </c>
      <c r="CG13" s="3">
        <f>+IF(AVANCE[[#This Row],[CELOSIAS]]=AS$2,100%,AVANCE[[#This Row],[CELOSIAS]])</f>
        <v>1</v>
      </c>
      <c r="CH13" s="3">
        <f>+IF(AVANCE[[#This Row],[VENTANAS]]=AT$2,100%,AVANCE[[#This Row],[VENTANAS]])</f>
        <v>1</v>
      </c>
      <c r="CI13" s="3">
        <f>+IF(AVANCE[[#This Row],[PUERTAS ACCESO - LOGIA - BANO]]=AU$2,100%,AVANCE[[#This Row],[PUERTAS ACCESO - LOGIA - BANO]])</f>
        <v>1</v>
      </c>
      <c r="CJ13" s="3">
        <f>+IF(AVANCE[[#This Row],[CERRADURAS]]=AV$2,100%,AVANCE[[#This Row],[CERRADURAS]])</f>
        <v>1</v>
      </c>
      <c r="CK13" s="3">
        <f>+IF(AVANCE[[#This Row],[REVESTIMIENTO INTERIOR ZONA SECA]]=AW$2,100%,AVANCE[[#This Row],[REVESTIMIENTO INTERIOR ZONA SECA]])</f>
        <v>1</v>
      </c>
      <c r="CL13" s="3">
        <f>+IF(AVANCE[[#This Row],[REVESTIMIENTO INTERIOR ZONAS HUMEDAS]]=AX$2,100%,AVANCE[[#This Row],[REVESTIMIENTO INTERIOR ZONAS HUMEDAS]])</f>
        <v>1</v>
      </c>
      <c r="CM13" s="3">
        <f>+IF(AVANCE[[#This Row],[MEMBRANA CIELO]]=AY$2,100%,AVANCE[[#This Row],[MEMBRANA CIELO]])</f>
        <v>1</v>
      </c>
      <c r="CN13" s="3">
        <f>+IF(AVANCE[[#This Row],[LIMPIEZA FINAL]]=AZ$2,100%,AVANCE[[#This Row],[LIMPIEZA FINAL]])</f>
        <v>1</v>
      </c>
      <c r="CO13" s="3">
        <f>+IF(AVANCE[[#This Row],[PUERTAS DORMITORIO]]=BA$2,100%,AVANCE[[#This Row],[PUERTAS DORMITORIO]])</f>
        <v>1</v>
      </c>
      <c r="CP13" s="3">
        <f>+IF(AVANCE[[#This Row],[REVESTIMIENTO INTERIOR BANO]]=BB$2,100%,AVANCE[[#This Row],[REVESTIMIENTO INTERIOR BANO]])</f>
        <v>1</v>
      </c>
      <c r="CQ13" s="3">
        <f>+IF(AVANCE[[#This Row],[MUEBLE LAVAPLATOS]]=BC$2,100%,AVANCE[[#This Row],[MUEBLE LAVAPLATOS]])</f>
        <v>1</v>
      </c>
      <c r="CR13" s="3">
        <f>+IF(AVANCE[[#This Row],[IMPERMEABILIZACION BANO - COCINA LOGIA]]=BD$2,100%,AVANCE[[#This Row],[IMPERMEABILIZACION BANO - COCINA LOGIA]])</f>
        <v>1</v>
      </c>
      <c r="CS13" s="40">
        <f ca="1">+IF(AVANCE[[#This Row],[ESTADO MODULO]]="PENDIENTE",(TODAY()-AVANCE[[#This Row],[FECHA TERMINO  PLANIFICADO]]),0)</f>
        <v>0</v>
      </c>
      <c r="CT13" s="41" t="str" cm="1">
        <f t="array" ref="CT13">_xlfn.TEXTJOIN(" | ",TRUE,IF(SUMPRODUCT((BG13:CR13&lt;1)*(PARTIDAS!$I$2:$AT$2="OBRA GRUESA"))&gt;0,"OBRA GRUESA: "&amp;_xlfn.TEXTJOIN(", ",TRUE,IF((BG13:CR13&lt;1)*(PARTIDAS!$I$2:$AT$2="OBRA GRUESA"),PARTIDAS!$I$1:$AT$1,"")),""),IF(SUMPRODUCT((BG13:CR13&lt;1)*(PARTIDAS!$I$2:$AT$2="SANITARIOS"))&gt;0,"SANITARIOS: "&amp;_xlfn.TEXTJOIN(", ",TRUE,IF((BG13:CR13&lt;1)*(PARTIDAS!$I$2:$AT$2="SANITARIOS"),PARTIDAS!$I$1:$AT$1,"")),""),IF(SUMPRODUCT((BG13:CR13&lt;1)*(PARTIDAS!$I$2:$AT$2="ELÉCTRICO"))&gt;0,"ELÉCTRICO: "&amp;_xlfn.TEXTJOIN(", ",TRUE,IF((BG13:CR13&lt;1)*(PARTIDAS!$I$2:$AT$2="ELÉCTRICO"),PARTIDAS!$I$1:$AT$1,"")),""),IF(SUMPRODUCT((BG13:CR13&lt;1)*(PARTIDAS!$I$2:$AT$2="TERMINACIONES"))&gt;0,"TERMINACIONES: "&amp;_xlfn.TEXTJOIN(", ",TRUE,IF((BG13:CR13&lt;1)*(PARTIDAS!$I$2:$AT$2="TERMINACIONES"),PARTIDAS!$I$1:$AT$1,"")),""))</f>
        <v/>
      </c>
      <c r="CU13" s="43" t="str" cm="1">
        <f t="array" ref="CU13">_xlfn.TEXTJOIN(", ",TRUE,IF(SUMPRODUCT((BG13:CR13&lt;1)*(PARTIDAS!$I$2:$AT$2="OBRA GRUESA"))&gt;0,"OBRA GRUESA",""),IF(SUMPRODUCT((BG13:CR13&lt;1)*(PARTIDAS!$I$2:$AT$2="SANITARIOS"))&gt;0,"SANITARIOS",""),IF(SUMPRODUCT((BG13:CR13&lt;1)*(PARTIDAS!$I$2:$AT$2="ELÉCTRICO"))&gt;0,"ELÉCTRICO",""),IF(SUMPRODUCT((BG13:CR13&lt;1)*(PARTIDAS!$I$2:$AT$2="TERMINACIONES"))&gt;0,"TERMINACIONES",""))</f>
        <v/>
      </c>
      <c r="CV13" s="44" cm="1">
        <f t="array" ref="CV13">SUMPRODUCT(--(BG13:CR13&lt;1))</f>
        <v>0</v>
      </c>
    </row>
    <row r="14" spans="1:100" hidden="1" x14ac:dyDescent="0.25">
      <c r="A14" t="s">
        <v>56</v>
      </c>
      <c r="B14" t="s">
        <v>71</v>
      </c>
      <c r="C14">
        <v>2282600013</v>
      </c>
      <c r="D14" t="s">
        <v>58</v>
      </c>
      <c r="E14" s="2">
        <v>0.99999999999999978</v>
      </c>
      <c r="F14" s="1">
        <v>46078</v>
      </c>
      <c r="G14" s="1">
        <v>46078</v>
      </c>
      <c r="H14" s="1">
        <v>46174</v>
      </c>
      <c r="I14" s="1">
        <v>46154</v>
      </c>
      <c r="K14" s="1">
        <v>46174</v>
      </c>
      <c r="L14" s="3">
        <v>0.43</v>
      </c>
      <c r="M14" s="3">
        <v>1</v>
      </c>
      <c r="N14" s="3">
        <v>0.27906976744186046</v>
      </c>
      <c r="O14" s="3">
        <v>0.18604651162790697</v>
      </c>
      <c r="P14" s="3">
        <v>0.2558139534883721</v>
      </c>
      <c r="Q14" s="3">
        <v>0.18604651162790697</v>
      </c>
      <c r="R14" s="3">
        <v>9.3023255813953487E-2</v>
      </c>
      <c r="S14" s="3">
        <v>0.09</v>
      </c>
      <c r="T14" s="3">
        <v>1</v>
      </c>
      <c r="U14" s="3">
        <v>0.22222222222222221</v>
      </c>
      <c r="V14" s="3">
        <v>0.22222222222222221</v>
      </c>
      <c r="W14" s="3">
        <v>0.1111111111111111</v>
      </c>
      <c r="X14" s="3">
        <v>0.1111111111111111</v>
      </c>
      <c r="Y14" s="3">
        <v>0.1111111111111111</v>
      </c>
      <c r="Z14" s="3">
        <v>0.22222222222222221</v>
      </c>
      <c r="AA14" s="3">
        <v>0.11</v>
      </c>
      <c r="AB14" s="3">
        <v>1</v>
      </c>
      <c r="AC14" s="3">
        <v>0.27272727272727271</v>
      </c>
      <c r="AD14" s="3">
        <v>0.27272727272727271</v>
      </c>
      <c r="AE14" s="3">
        <v>9.0909090909090912E-2</v>
      </c>
      <c r="AF14" s="3">
        <v>0.18181818181818182</v>
      </c>
      <c r="AG14" s="3">
        <v>0.18181818181818182</v>
      </c>
      <c r="AH14" s="3">
        <v>0.36999999999999983</v>
      </c>
      <c r="AI14" s="3">
        <v>0.99999999999999956</v>
      </c>
      <c r="AJ14" s="3">
        <v>5.4054054054054036E-2</v>
      </c>
      <c r="AK14" s="3">
        <v>5.4054054054054036E-2</v>
      </c>
      <c r="AL14" s="3">
        <v>2.7027027027027018E-2</v>
      </c>
      <c r="AM14" s="3">
        <v>8.1081081081081058E-2</v>
      </c>
      <c r="AN14" s="3">
        <v>8.1081081081081058E-2</v>
      </c>
      <c r="AO14" s="3">
        <v>6.7567567567567557E-2</v>
      </c>
      <c r="AP14" s="3">
        <v>5.4054054054054036E-2</v>
      </c>
      <c r="AQ14" s="3">
        <v>1.3513513513513509E-2</v>
      </c>
      <c r="AR14" s="3">
        <v>4.0540540540540529E-2</v>
      </c>
      <c r="AS14" s="3">
        <v>1.3513513513513509E-2</v>
      </c>
      <c r="AT14" s="3">
        <v>8.1081081081081058E-2</v>
      </c>
      <c r="AU14" s="3">
        <v>5.4054054054054036E-2</v>
      </c>
      <c r="AV14" s="3">
        <v>2.7027027027027018E-2</v>
      </c>
      <c r="AW14" s="3">
        <v>5.4054054054054036E-2</v>
      </c>
      <c r="AX14" s="3">
        <v>5.4054054054054036E-2</v>
      </c>
      <c r="AY14" s="3">
        <v>2.7027027027027018E-2</v>
      </c>
      <c r="AZ14" s="3">
        <v>4.0540540540540529E-2</v>
      </c>
      <c r="BA14" s="3">
        <v>5.4054054054054036E-2</v>
      </c>
      <c r="BB14" s="3">
        <v>8.1081081081081058E-2</v>
      </c>
      <c r="BC14" s="3">
        <v>1.3513513513513509E-2</v>
      </c>
      <c r="BD14" s="3">
        <v>2.7027027027027018E-2</v>
      </c>
      <c r="BE14">
        <v>28.87</v>
      </c>
      <c r="BF14" s="3" t="str">
        <f>+IF(AVANCE[[#This Row],[% AVANCE]]=100%,"MODULO TERMINADO",IF(AVANCE[[#This Row],[FECHA INICIO REAL]]="","MODULO NO INICIADO","PENDIENTE"))</f>
        <v>MODULO TERMINADO</v>
      </c>
      <c r="BG14" s="3">
        <f>+IF(AVANCE[[#This Row],[VENTANAS]]=8.10810810810811%,100%,AVANCE[[#This Row],[VENTANAS]])</f>
        <v>1</v>
      </c>
      <c r="BH14" s="3">
        <f>+IF(AVANCE[[#This Row],[PISO]]=N$2,100%,AVANCE[[#This Row],[PISO]])</f>
        <v>1</v>
      </c>
      <c r="BI14" s="3">
        <f>+IF(AVANCE[[#This Row],[TABIQUES]]=O$2,100%,AVANCE[[#This Row],[TABIQUES]])</f>
        <v>1</v>
      </c>
      <c r="BJ14" s="3">
        <f>+IF(AVANCE[[#This Row],[MUROS]]=P$2,100%,AVANCE[[#This Row],[MUROS]])</f>
        <v>1</v>
      </c>
      <c r="BK14" s="3">
        <f>+IF(AVANCE[[#This Row],[CIELO]]=Q$2,100%,AVANCE[[#This Row],[CIELO]])</f>
        <v>1</v>
      </c>
      <c r="BL14" s="3">
        <f>+IF(AVANCE[[#This Row],[BALCÓN]]=R$2,100%,AVANCE[[#This Row],[BALCÓN]])</f>
        <v>1</v>
      </c>
      <c r="BM14" s="3">
        <f>+IF(AVANCE[[#This Row],[RED ALCANTARILLADO]]=U$2,100%,AVANCE[[#This Row],[RED ALCANTARILLADO]])</f>
        <v>1</v>
      </c>
      <c r="BN14" s="3">
        <f>+IF(AVANCE[[#This Row],[RED DE AGUA]]=V$2,100%,AVANCE[[#This Row],[RED DE AGUA]])</f>
        <v>1</v>
      </c>
      <c r="BO14" s="3">
        <f>+IF(AVANCE[[#This Row],[VENTILACIONES]]=W$2,100%,AVANCE[[#This Row],[VENTILACIONES]])</f>
        <v>1</v>
      </c>
      <c r="BP14" s="3">
        <f>+IF(AVANCE[[#This Row],[TINA]]=X$2,100%,AVANCE[[#This Row],[TINA]])</f>
        <v>1</v>
      </c>
      <c r="BQ14" s="3">
        <f>+IF(AVANCE[[#This Row],[WC]]=Y$2,100%,AVANCE[[#This Row],[WC]])</f>
        <v>1</v>
      </c>
      <c r="BR14" s="3">
        <f>+IF(AVANCE[[#This Row],[LAVAMANOS / LAVAPLATOS / LAVADERO]]=Z$2,100%,AVANCE[[#This Row],[LAVAMANOS / LAVAPLATOS / LAVADERO]])</f>
        <v>1</v>
      </c>
      <c r="BS14" s="3">
        <f>+IF(AVANCE[[#This Row],[CANALIZACIÓN]]=AC$2,100%,AVANCE[[#This Row],[CANALIZACIÓN]])</f>
        <v>1</v>
      </c>
      <c r="BT14" s="3">
        <f>+IF(AVANCE[[#This Row],[CABLEADO]]=AD$2,100%,AVANCE[[#This Row],[CABLEADO]])</f>
        <v>1</v>
      </c>
      <c r="BU14" s="3">
        <f>+IF(AVANCE[[#This Row],[ARTEFACTOS]]=AE$2,100%,AVANCE[[#This Row],[ARTEFACTOS]])</f>
        <v>1</v>
      </c>
      <c r="BV14" s="3">
        <f>+IF(AVANCE[[#This Row],[TABLERO]]=AF$2,100%,AVANCE[[#This Row],[TABLERO]])</f>
        <v>1</v>
      </c>
      <c r="BW14" s="3">
        <f>+IF(AVANCE[[#This Row],[CAJA PAU]]=AG$2,100%,AVANCE[[#This Row],[CAJA PAU]])</f>
        <v>1</v>
      </c>
      <c r="BX14" s="3">
        <f>+IF(AVANCE[[#This Row],[INSTALACION VINILICO]]=AJ$2,100%,AVANCE[[#This Row],[INSTALACION VINILICO]])</f>
        <v>1</v>
      </c>
      <c r="BY14" s="3">
        <f>+IF(AVANCE[[#This Row],[OSB CUBIERTA]]=AK$2,100%,AVANCE[[#This Row],[OSB CUBIERTA]])</f>
        <v>1</v>
      </c>
      <c r="BZ14" s="3">
        <f>+IF(AVANCE[[#This Row],[BARANDA BALCON]]=AL$2,100%,AVANCE[[#This Row],[BARANDA BALCON]])</f>
        <v>1</v>
      </c>
      <c r="CA14" s="3">
        <f>+IF(AVANCE[[#This Row],[OSB EXTERIOR]]=AM$2,100%,AVANCE[[#This Row],[OSB EXTERIOR]])</f>
        <v>1</v>
      </c>
      <c r="CB14" s="3">
        <f>+IF(AVANCE[[#This Row],[SMART PANEL]]=AN$2,100%,AVANCE[[#This Row],[SMART PANEL]])</f>
        <v>1</v>
      </c>
      <c r="CC14" s="3">
        <f>+IF(AVANCE[[#This Row],[PINTURA EXTERIOR]]=AO$2,100%,AVANCE[[#This Row],[PINTURA EXTERIOR]])</f>
        <v>1</v>
      </c>
      <c r="CD14" s="3">
        <f>+IF(AVANCE[[#This Row],[ZOCALOS LOGIA]]=AP$2,100%,AVANCE[[#This Row],[ZOCALOS LOGIA]])</f>
        <v>1</v>
      </c>
      <c r="CE14" s="3">
        <f>+IF(AVANCE[[#This Row],[MOLDURAS]]=AQ$2,100%,AVANCE[[#This Row],[MOLDURAS]])</f>
        <v>1</v>
      </c>
      <c r="CF14" s="3">
        <f>+IF(AVANCE[[#This Row],[PILASTREO]]=AR$2,100%,AVANCE[[#This Row],[PILASTREO]])</f>
        <v>1</v>
      </c>
      <c r="CG14" s="3">
        <f>+IF(AVANCE[[#This Row],[CELOSIAS]]=AS$2,100%,AVANCE[[#This Row],[CELOSIAS]])</f>
        <v>1</v>
      </c>
      <c r="CH14" s="3">
        <f>+IF(AVANCE[[#This Row],[VENTANAS]]=AT$2,100%,AVANCE[[#This Row],[VENTANAS]])</f>
        <v>1</v>
      </c>
      <c r="CI14" s="3">
        <f>+IF(AVANCE[[#This Row],[PUERTAS ACCESO - LOGIA - BANO]]=AU$2,100%,AVANCE[[#This Row],[PUERTAS ACCESO - LOGIA - BANO]])</f>
        <v>1</v>
      </c>
      <c r="CJ14" s="3">
        <f>+IF(AVANCE[[#This Row],[CERRADURAS]]=AV$2,100%,AVANCE[[#This Row],[CERRADURAS]])</f>
        <v>1</v>
      </c>
      <c r="CK14" s="3">
        <f>+IF(AVANCE[[#This Row],[REVESTIMIENTO INTERIOR ZONA SECA]]=AW$2,100%,AVANCE[[#This Row],[REVESTIMIENTO INTERIOR ZONA SECA]])</f>
        <v>1</v>
      </c>
      <c r="CL14" s="3">
        <f>+IF(AVANCE[[#This Row],[REVESTIMIENTO INTERIOR ZONAS HUMEDAS]]=AX$2,100%,AVANCE[[#This Row],[REVESTIMIENTO INTERIOR ZONAS HUMEDAS]])</f>
        <v>1</v>
      </c>
      <c r="CM14" s="3">
        <f>+IF(AVANCE[[#This Row],[MEMBRANA CIELO]]=AY$2,100%,AVANCE[[#This Row],[MEMBRANA CIELO]])</f>
        <v>1</v>
      </c>
      <c r="CN14" s="3">
        <f>+IF(AVANCE[[#This Row],[LIMPIEZA FINAL]]=AZ$2,100%,AVANCE[[#This Row],[LIMPIEZA FINAL]])</f>
        <v>1</v>
      </c>
      <c r="CO14" s="3">
        <f>+IF(AVANCE[[#This Row],[PUERTAS DORMITORIO]]=BA$2,100%,AVANCE[[#This Row],[PUERTAS DORMITORIO]])</f>
        <v>1</v>
      </c>
      <c r="CP14" s="3">
        <f>+IF(AVANCE[[#This Row],[REVESTIMIENTO INTERIOR BANO]]=BB$2,100%,AVANCE[[#This Row],[REVESTIMIENTO INTERIOR BANO]])</f>
        <v>1</v>
      </c>
      <c r="CQ14" s="3">
        <f>+IF(AVANCE[[#This Row],[MUEBLE LAVAPLATOS]]=BC$2,100%,AVANCE[[#This Row],[MUEBLE LAVAPLATOS]])</f>
        <v>1</v>
      </c>
      <c r="CR14" s="3">
        <f>+IF(AVANCE[[#This Row],[IMPERMEABILIZACION BANO - COCINA LOGIA]]=BD$2,100%,AVANCE[[#This Row],[IMPERMEABILIZACION BANO - COCINA LOGIA]])</f>
        <v>1</v>
      </c>
      <c r="CS14" s="40">
        <f ca="1">+IF(AVANCE[[#This Row],[ESTADO MODULO]]="PENDIENTE",(TODAY()-AVANCE[[#This Row],[FECHA TERMINO  PLANIFICADO]]),0)</f>
        <v>0</v>
      </c>
      <c r="CT14" s="41" t="str" cm="1">
        <f t="array" ref="CT14">_xlfn.TEXTJOIN(" | ",TRUE,IF(SUMPRODUCT((BG14:CR14&lt;1)*(PARTIDAS!$I$2:$AT$2="OBRA GRUESA"))&gt;0,"OBRA GRUESA: "&amp;_xlfn.TEXTJOIN(", ",TRUE,IF((BG14:CR14&lt;1)*(PARTIDAS!$I$2:$AT$2="OBRA GRUESA"),PARTIDAS!$I$1:$AT$1,"")),""),IF(SUMPRODUCT((BG14:CR14&lt;1)*(PARTIDAS!$I$2:$AT$2="SANITARIOS"))&gt;0,"SANITARIOS: "&amp;_xlfn.TEXTJOIN(", ",TRUE,IF((BG14:CR14&lt;1)*(PARTIDAS!$I$2:$AT$2="SANITARIOS"),PARTIDAS!$I$1:$AT$1,"")),""),IF(SUMPRODUCT((BG14:CR14&lt;1)*(PARTIDAS!$I$2:$AT$2="ELÉCTRICO"))&gt;0,"ELÉCTRICO: "&amp;_xlfn.TEXTJOIN(", ",TRUE,IF((BG14:CR14&lt;1)*(PARTIDAS!$I$2:$AT$2="ELÉCTRICO"),PARTIDAS!$I$1:$AT$1,"")),""),IF(SUMPRODUCT((BG14:CR14&lt;1)*(PARTIDAS!$I$2:$AT$2="TERMINACIONES"))&gt;0,"TERMINACIONES: "&amp;_xlfn.TEXTJOIN(", ",TRUE,IF((BG14:CR14&lt;1)*(PARTIDAS!$I$2:$AT$2="TERMINACIONES"),PARTIDAS!$I$1:$AT$1,"")),""))</f>
        <v/>
      </c>
      <c r="CU14" s="43" t="str" cm="1">
        <f t="array" ref="CU14">_xlfn.TEXTJOIN(", ",TRUE,IF(SUMPRODUCT((BG14:CR14&lt;1)*(PARTIDAS!$I$2:$AT$2="OBRA GRUESA"))&gt;0,"OBRA GRUESA",""),IF(SUMPRODUCT((BG14:CR14&lt;1)*(PARTIDAS!$I$2:$AT$2="SANITARIOS"))&gt;0,"SANITARIOS",""),IF(SUMPRODUCT((BG14:CR14&lt;1)*(PARTIDAS!$I$2:$AT$2="ELÉCTRICO"))&gt;0,"ELÉCTRICO",""),IF(SUMPRODUCT((BG14:CR14&lt;1)*(PARTIDAS!$I$2:$AT$2="TERMINACIONES"))&gt;0,"TERMINACIONES",""))</f>
        <v/>
      </c>
      <c r="CV14" s="44" cm="1">
        <f t="array" ref="CV14">SUMPRODUCT(--(BG14:CR14&lt;1))</f>
        <v>0</v>
      </c>
    </row>
    <row r="15" spans="1:100" hidden="1" x14ac:dyDescent="0.25">
      <c r="A15" t="s">
        <v>56</v>
      </c>
      <c r="B15" t="s">
        <v>72</v>
      </c>
      <c r="C15">
        <v>2302600014</v>
      </c>
      <c r="D15" t="s">
        <v>60</v>
      </c>
      <c r="E15" s="2">
        <v>0.99999999999999978</v>
      </c>
      <c r="F15" s="1">
        <v>46073</v>
      </c>
      <c r="G15" s="1">
        <v>46073</v>
      </c>
      <c r="H15" s="1">
        <v>46156</v>
      </c>
      <c r="I15" s="1">
        <v>46133</v>
      </c>
      <c r="K15" s="1">
        <v>46156</v>
      </c>
      <c r="L15" s="3">
        <v>0.43</v>
      </c>
      <c r="M15" s="3">
        <v>1</v>
      </c>
      <c r="N15" s="3">
        <v>0.27906976744186046</v>
      </c>
      <c r="O15" s="3">
        <v>0.18604651162790697</v>
      </c>
      <c r="P15" s="3">
        <v>0.2558139534883721</v>
      </c>
      <c r="Q15" s="3">
        <v>0.18604651162790697</v>
      </c>
      <c r="R15" s="3">
        <v>9.3023255813953487E-2</v>
      </c>
      <c r="S15" s="3">
        <v>0.09</v>
      </c>
      <c r="T15" s="3">
        <v>1</v>
      </c>
      <c r="U15" s="3">
        <v>0.22222222222222221</v>
      </c>
      <c r="V15" s="3">
        <v>0.22222222222222221</v>
      </c>
      <c r="W15" s="3">
        <v>0.1111111111111111</v>
      </c>
      <c r="X15" s="3">
        <v>0.1111111111111111</v>
      </c>
      <c r="Y15" s="3">
        <v>0.1111111111111111</v>
      </c>
      <c r="Z15" s="3">
        <v>0.22222222222222221</v>
      </c>
      <c r="AA15" s="3">
        <v>0.11</v>
      </c>
      <c r="AB15" s="3">
        <v>1</v>
      </c>
      <c r="AC15" s="3">
        <v>0.27272727272727271</v>
      </c>
      <c r="AD15" s="3">
        <v>0.27272727272727271</v>
      </c>
      <c r="AE15" s="3">
        <v>9.0909090909090912E-2</v>
      </c>
      <c r="AF15" s="3">
        <v>0.18181818181818182</v>
      </c>
      <c r="AG15" s="3">
        <v>0.18181818181818182</v>
      </c>
      <c r="AH15" s="3">
        <v>0.36999999999999983</v>
      </c>
      <c r="AI15" s="3">
        <v>0.99999999999999956</v>
      </c>
      <c r="AJ15" s="3">
        <v>5.4054054054054036E-2</v>
      </c>
      <c r="AK15" s="3">
        <v>5.4054054054054036E-2</v>
      </c>
      <c r="AL15" s="3">
        <v>2.7027027027027018E-2</v>
      </c>
      <c r="AM15" s="3">
        <v>8.1081081081081058E-2</v>
      </c>
      <c r="AN15" s="3">
        <v>8.1081081081081058E-2</v>
      </c>
      <c r="AO15" s="3">
        <v>6.7567567567567557E-2</v>
      </c>
      <c r="AP15" s="3">
        <v>5.4054054054054036E-2</v>
      </c>
      <c r="AQ15" s="3">
        <v>1.3513513513513509E-2</v>
      </c>
      <c r="AR15" s="3">
        <v>4.0540540540540529E-2</v>
      </c>
      <c r="AS15" s="3">
        <v>1.3513513513513509E-2</v>
      </c>
      <c r="AT15" s="3">
        <v>8.1081081081081058E-2</v>
      </c>
      <c r="AU15" s="3">
        <v>5.4054054054054036E-2</v>
      </c>
      <c r="AV15" s="3">
        <v>2.7027027027027018E-2</v>
      </c>
      <c r="AW15" s="3">
        <v>5.4054054054054036E-2</v>
      </c>
      <c r="AX15" s="3">
        <v>5.4054054054054036E-2</v>
      </c>
      <c r="AY15" s="3">
        <v>2.7027027027027018E-2</v>
      </c>
      <c r="AZ15" s="3">
        <v>4.0540540540540529E-2</v>
      </c>
      <c r="BA15" s="3">
        <v>5.4054054054054036E-2</v>
      </c>
      <c r="BB15" s="3">
        <v>8.1081081081081058E-2</v>
      </c>
      <c r="BC15" s="3">
        <v>1.3513513513513509E-2</v>
      </c>
      <c r="BD15" s="3">
        <v>2.7027027027027018E-2</v>
      </c>
      <c r="BE15">
        <v>31.32</v>
      </c>
      <c r="BF15" s="3" t="str">
        <f>+IF(AVANCE[[#This Row],[% AVANCE]]=100%,"MODULO TERMINADO",IF(AVANCE[[#This Row],[FECHA INICIO REAL]]="","MODULO NO INICIADO","PENDIENTE"))</f>
        <v>MODULO TERMINADO</v>
      </c>
      <c r="BG15" s="3">
        <f>+IF(AVANCE[[#This Row],[VENTANAS]]=8.10810810810811%,100%,AVANCE[[#This Row],[VENTANAS]])</f>
        <v>1</v>
      </c>
      <c r="BH15" s="3">
        <f>+IF(AVANCE[[#This Row],[PISO]]=N$2,100%,AVANCE[[#This Row],[PISO]])</f>
        <v>1</v>
      </c>
      <c r="BI15" s="3">
        <f>+IF(AVANCE[[#This Row],[TABIQUES]]=O$2,100%,AVANCE[[#This Row],[TABIQUES]])</f>
        <v>1</v>
      </c>
      <c r="BJ15" s="3">
        <f>+IF(AVANCE[[#This Row],[MUROS]]=P$2,100%,AVANCE[[#This Row],[MUROS]])</f>
        <v>1</v>
      </c>
      <c r="BK15" s="3">
        <f>+IF(AVANCE[[#This Row],[CIELO]]=Q$2,100%,AVANCE[[#This Row],[CIELO]])</f>
        <v>1</v>
      </c>
      <c r="BL15" s="3">
        <f>+IF(AVANCE[[#This Row],[BALCÓN]]=R$2,100%,AVANCE[[#This Row],[BALCÓN]])</f>
        <v>1</v>
      </c>
      <c r="BM15" s="3">
        <f>+IF(AVANCE[[#This Row],[RED ALCANTARILLADO]]=U$2,100%,AVANCE[[#This Row],[RED ALCANTARILLADO]])</f>
        <v>1</v>
      </c>
      <c r="BN15" s="3">
        <f>+IF(AVANCE[[#This Row],[RED DE AGUA]]=V$2,100%,AVANCE[[#This Row],[RED DE AGUA]])</f>
        <v>1</v>
      </c>
      <c r="BO15" s="3">
        <f>+IF(AVANCE[[#This Row],[VENTILACIONES]]=W$2,100%,AVANCE[[#This Row],[VENTILACIONES]])</f>
        <v>1</v>
      </c>
      <c r="BP15" s="3">
        <f>+IF(AVANCE[[#This Row],[TINA]]=X$2,100%,AVANCE[[#This Row],[TINA]])</f>
        <v>1</v>
      </c>
      <c r="BQ15" s="3">
        <f>+IF(AVANCE[[#This Row],[WC]]=Y$2,100%,AVANCE[[#This Row],[WC]])</f>
        <v>1</v>
      </c>
      <c r="BR15" s="3">
        <f>+IF(AVANCE[[#This Row],[LAVAMANOS / LAVAPLATOS / LAVADERO]]=Z$2,100%,AVANCE[[#This Row],[LAVAMANOS / LAVAPLATOS / LAVADERO]])</f>
        <v>1</v>
      </c>
      <c r="BS15" s="3">
        <f>+IF(AVANCE[[#This Row],[CANALIZACIÓN]]=AC$2,100%,AVANCE[[#This Row],[CANALIZACIÓN]])</f>
        <v>1</v>
      </c>
      <c r="BT15" s="3">
        <f>+IF(AVANCE[[#This Row],[CABLEADO]]=AD$2,100%,AVANCE[[#This Row],[CABLEADO]])</f>
        <v>1</v>
      </c>
      <c r="BU15" s="3">
        <f>+IF(AVANCE[[#This Row],[ARTEFACTOS]]=AE$2,100%,AVANCE[[#This Row],[ARTEFACTOS]])</f>
        <v>1</v>
      </c>
      <c r="BV15" s="3">
        <f>+IF(AVANCE[[#This Row],[TABLERO]]=AF$2,100%,AVANCE[[#This Row],[TABLERO]])</f>
        <v>1</v>
      </c>
      <c r="BW15" s="3">
        <f>+IF(AVANCE[[#This Row],[CAJA PAU]]=AG$2,100%,AVANCE[[#This Row],[CAJA PAU]])</f>
        <v>1</v>
      </c>
      <c r="BX15" s="3">
        <f>+IF(AVANCE[[#This Row],[INSTALACION VINILICO]]=AJ$2,100%,AVANCE[[#This Row],[INSTALACION VINILICO]])</f>
        <v>1</v>
      </c>
      <c r="BY15" s="3">
        <f>+IF(AVANCE[[#This Row],[OSB CUBIERTA]]=AK$2,100%,AVANCE[[#This Row],[OSB CUBIERTA]])</f>
        <v>1</v>
      </c>
      <c r="BZ15" s="3">
        <f>+IF(AVANCE[[#This Row],[BARANDA BALCON]]=AL$2,100%,AVANCE[[#This Row],[BARANDA BALCON]])</f>
        <v>1</v>
      </c>
      <c r="CA15" s="3">
        <f>+IF(AVANCE[[#This Row],[OSB EXTERIOR]]=AM$2,100%,AVANCE[[#This Row],[OSB EXTERIOR]])</f>
        <v>1</v>
      </c>
      <c r="CB15" s="3">
        <f>+IF(AVANCE[[#This Row],[SMART PANEL]]=AN$2,100%,AVANCE[[#This Row],[SMART PANEL]])</f>
        <v>1</v>
      </c>
      <c r="CC15" s="3">
        <f>+IF(AVANCE[[#This Row],[PINTURA EXTERIOR]]=AO$2,100%,AVANCE[[#This Row],[PINTURA EXTERIOR]])</f>
        <v>1</v>
      </c>
      <c r="CD15" s="3">
        <f>+IF(AVANCE[[#This Row],[ZOCALOS LOGIA]]=AP$2,100%,AVANCE[[#This Row],[ZOCALOS LOGIA]])</f>
        <v>1</v>
      </c>
      <c r="CE15" s="3">
        <f>+IF(AVANCE[[#This Row],[MOLDURAS]]=AQ$2,100%,AVANCE[[#This Row],[MOLDURAS]])</f>
        <v>1</v>
      </c>
      <c r="CF15" s="3">
        <f>+IF(AVANCE[[#This Row],[PILASTREO]]=AR$2,100%,AVANCE[[#This Row],[PILASTREO]])</f>
        <v>1</v>
      </c>
      <c r="CG15" s="3">
        <f>+IF(AVANCE[[#This Row],[CELOSIAS]]=AS$2,100%,AVANCE[[#This Row],[CELOSIAS]])</f>
        <v>1</v>
      </c>
      <c r="CH15" s="3">
        <f>+IF(AVANCE[[#This Row],[VENTANAS]]=AT$2,100%,AVANCE[[#This Row],[VENTANAS]])</f>
        <v>1</v>
      </c>
      <c r="CI15" s="3">
        <f>+IF(AVANCE[[#This Row],[PUERTAS ACCESO - LOGIA - BANO]]=AU$2,100%,AVANCE[[#This Row],[PUERTAS ACCESO - LOGIA - BANO]])</f>
        <v>1</v>
      </c>
      <c r="CJ15" s="3">
        <f>+IF(AVANCE[[#This Row],[CERRADURAS]]=AV$2,100%,AVANCE[[#This Row],[CERRADURAS]])</f>
        <v>1</v>
      </c>
      <c r="CK15" s="3">
        <f>+IF(AVANCE[[#This Row],[REVESTIMIENTO INTERIOR ZONA SECA]]=AW$2,100%,AVANCE[[#This Row],[REVESTIMIENTO INTERIOR ZONA SECA]])</f>
        <v>1</v>
      </c>
      <c r="CL15" s="3">
        <f>+IF(AVANCE[[#This Row],[REVESTIMIENTO INTERIOR ZONAS HUMEDAS]]=AX$2,100%,AVANCE[[#This Row],[REVESTIMIENTO INTERIOR ZONAS HUMEDAS]])</f>
        <v>1</v>
      </c>
      <c r="CM15" s="3">
        <f>+IF(AVANCE[[#This Row],[MEMBRANA CIELO]]=AY$2,100%,AVANCE[[#This Row],[MEMBRANA CIELO]])</f>
        <v>1</v>
      </c>
      <c r="CN15" s="3">
        <f>+IF(AVANCE[[#This Row],[LIMPIEZA FINAL]]=AZ$2,100%,AVANCE[[#This Row],[LIMPIEZA FINAL]])</f>
        <v>1</v>
      </c>
      <c r="CO15" s="3">
        <f>+IF(AVANCE[[#This Row],[PUERTAS DORMITORIO]]=BA$2,100%,AVANCE[[#This Row],[PUERTAS DORMITORIO]])</f>
        <v>1</v>
      </c>
      <c r="CP15" s="3">
        <f>+IF(AVANCE[[#This Row],[REVESTIMIENTO INTERIOR BANO]]=BB$2,100%,AVANCE[[#This Row],[REVESTIMIENTO INTERIOR BANO]])</f>
        <v>1</v>
      </c>
      <c r="CQ15" s="3">
        <f>+IF(AVANCE[[#This Row],[MUEBLE LAVAPLATOS]]=BC$2,100%,AVANCE[[#This Row],[MUEBLE LAVAPLATOS]])</f>
        <v>1</v>
      </c>
      <c r="CR15" s="3">
        <f>+IF(AVANCE[[#This Row],[IMPERMEABILIZACION BANO - COCINA LOGIA]]=BD$2,100%,AVANCE[[#This Row],[IMPERMEABILIZACION BANO - COCINA LOGIA]])</f>
        <v>1</v>
      </c>
      <c r="CS15" s="40">
        <f ca="1">+IF(AVANCE[[#This Row],[ESTADO MODULO]]="PENDIENTE",(TODAY()-AVANCE[[#This Row],[FECHA TERMINO  PLANIFICADO]]),0)</f>
        <v>0</v>
      </c>
      <c r="CT15" s="41" t="str" cm="1">
        <f t="array" ref="CT15">_xlfn.TEXTJOIN(" | ",TRUE,IF(SUMPRODUCT((BG15:CR15&lt;1)*(PARTIDAS!$I$2:$AT$2="OBRA GRUESA"))&gt;0,"OBRA GRUESA: "&amp;_xlfn.TEXTJOIN(", ",TRUE,IF((BG15:CR15&lt;1)*(PARTIDAS!$I$2:$AT$2="OBRA GRUESA"),PARTIDAS!$I$1:$AT$1,"")),""),IF(SUMPRODUCT((BG15:CR15&lt;1)*(PARTIDAS!$I$2:$AT$2="SANITARIOS"))&gt;0,"SANITARIOS: "&amp;_xlfn.TEXTJOIN(", ",TRUE,IF((BG15:CR15&lt;1)*(PARTIDAS!$I$2:$AT$2="SANITARIOS"),PARTIDAS!$I$1:$AT$1,"")),""),IF(SUMPRODUCT((BG15:CR15&lt;1)*(PARTIDAS!$I$2:$AT$2="ELÉCTRICO"))&gt;0,"ELÉCTRICO: "&amp;_xlfn.TEXTJOIN(", ",TRUE,IF((BG15:CR15&lt;1)*(PARTIDAS!$I$2:$AT$2="ELÉCTRICO"),PARTIDAS!$I$1:$AT$1,"")),""),IF(SUMPRODUCT((BG15:CR15&lt;1)*(PARTIDAS!$I$2:$AT$2="TERMINACIONES"))&gt;0,"TERMINACIONES: "&amp;_xlfn.TEXTJOIN(", ",TRUE,IF((BG15:CR15&lt;1)*(PARTIDAS!$I$2:$AT$2="TERMINACIONES"),PARTIDAS!$I$1:$AT$1,"")),""))</f>
        <v/>
      </c>
      <c r="CU15" s="43" t="str" cm="1">
        <f t="array" ref="CU15">_xlfn.TEXTJOIN(", ",TRUE,IF(SUMPRODUCT((BG15:CR15&lt;1)*(PARTIDAS!$I$2:$AT$2="OBRA GRUESA"))&gt;0,"OBRA GRUESA",""),IF(SUMPRODUCT((BG15:CR15&lt;1)*(PARTIDAS!$I$2:$AT$2="SANITARIOS"))&gt;0,"SANITARIOS",""),IF(SUMPRODUCT((BG15:CR15&lt;1)*(PARTIDAS!$I$2:$AT$2="ELÉCTRICO"))&gt;0,"ELÉCTRICO",""),IF(SUMPRODUCT((BG15:CR15&lt;1)*(PARTIDAS!$I$2:$AT$2="TERMINACIONES"))&gt;0,"TERMINACIONES",""))</f>
        <v/>
      </c>
      <c r="CV15" s="44" cm="1">
        <f t="array" ref="CV15">SUMPRODUCT(--(BG15:CR15&lt;1))</f>
        <v>0</v>
      </c>
    </row>
    <row r="16" spans="1:100" hidden="1" x14ac:dyDescent="0.25">
      <c r="A16" t="s">
        <v>56</v>
      </c>
      <c r="B16" t="s">
        <v>73</v>
      </c>
      <c r="C16">
        <v>2302600015</v>
      </c>
      <c r="D16" t="s">
        <v>60</v>
      </c>
      <c r="E16" s="2">
        <v>0.99999999999999978</v>
      </c>
      <c r="F16" s="1">
        <v>46072</v>
      </c>
      <c r="G16" s="1">
        <v>46072</v>
      </c>
      <c r="H16" s="1">
        <v>46157</v>
      </c>
      <c r="I16" s="1">
        <v>46129</v>
      </c>
      <c r="K16" s="1">
        <v>46157</v>
      </c>
      <c r="L16" s="3">
        <v>0.43</v>
      </c>
      <c r="M16" s="3">
        <v>1</v>
      </c>
      <c r="N16" s="3">
        <v>0.27906976744186046</v>
      </c>
      <c r="O16" s="3">
        <v>0.18604651162790697</v>
      </c>
      <c r="P16" s="3">
        <v>0.2558139534883721</v>
      </c>
      <c r="Q16" s="3">
        <v>0.18604651162790697</v>
      </c>
      <c r="R16" s="3">
        <v>9.3023255813953487E-2</v>
      </c>
      <c r="S16" s="3">
        <v>0.09</v>
      </c>
      <c r="T16" s="3">
        <v>1</v>
      </c>
      <c r="U16" s="3">
        <v>0.22222222222222221</v>
      </c>
      <c r="V16" s="3">
        <v>0.22222222222222221</v>
      </c>
      <c r="W16" s="3">
        <v>0.1111111111111111</v>
      </c>
      <c r="X16" s="3">
        <v>0.1111111111111111</v>
      </c>
      <c r="Y16" s="3">
        <v>0.1111111111111111</v>
      </c>
      <c r="Z16" s="3">
        <v>0.22222222222222221</v>
      </c>
      <c r="AA16" s="3">
        <v>0.11</v>
      </c>
      <c r="AB16" s="3">
        <v>1</v>
      </c>
      <c r="AC16" s="3">
        <v>0.27272727272727271</v>
      </c>
      <c r="AD16" s="3">
        <v>0.27272727272727271</v>
      </c>
      <c r="AE16" s="3">
        <v>9.0909090909090912E-2</v>
      </c>
      <c r="AF16" s="3">
        <v>0.18181818181818182</v>
      </c>
      <c r="AG16" s="3">
        <v>0.18181818181818182</v>
      </c>
      <c r="AH16" s="3">
        <v>0.36999999999999983</v>
      </c>
      <c r="AI16" s="3">
        <v>0.99999999999999956</v>
      </c>
      <c r="AJ16" s="3">
        <v>5.4054054054054036E-2</v>
      </c>
      <c r="AK16" s="3">
        <v>5.4054054054054036E-2</v>
      </c>
      <c r="AL16" s="3">
        <v>2.7027027027027018E-2</v>
      </c>
      <c r="AM16" s="3">
        <v>8.1081081081081058E-2</v>
      </c>
      <c r="AN16" s="3">
        <v>8.1081081081081058E-2</v>
      </c>
      <c r="AO16" s="3">
        <v>6.7567567567567557E-2</v>
      </c>
      <c r="AP16" s="3">
        <v>5.4054054054054036E-2</v>
      </c>
      <c r="AQ16" s="3">
        <v>1.3513513513513509E-2</v>
      </c>
      <c r="AR16" s="3">
        <v>4.0540540540540529E-2</v>
      </c>
      <c r="AS16" s="3">
        <v>1.3513513513513509E-2</v>
      </c>
      <c r="AT16" s="3">
        <v>8.1081081081081058E-2</v>
      </c>
      <c r="AU16" s="3">
        <v>5.4054054054054036E-2</v>
      </c>
      <c r="AV16" s="3">
        <v>2.7027027027027018E-2</v>
      </c>
      <c r="AW16" s="3">
        <v>5.4054054054054036E-2</v>
      </c>
      <c r="AX16" s="3">
        <v>5.4054054054054036E-2</v>
      </c>
      <c r="AY16" s="3">
        <v>2.7027027027027018E-2</v>
      </c>
      <c r="AZ16" s="3">
        <v>4.0540540540540529E-2</v>
      </c>
      <c r="BA16" s="3">
        <v>5.4054054054054036E-2</v>
      </c>
      <c r="BB16" s="3">
        <v>8.1081081081081058E-2</v>
      </c>
      <c r="BC16" s="3">
        <v>1.3513513513513509E-2</v>
      </c>
      <c r="BD16" s="3">
        <v>2.7027027027027018E-2</v>
      </c>
      <c r="BE16">
        <v>31.32</v>
      </c>
      <c r="BF16" s="3" t="str">
        <f>+IF(AVANCE[[#This Row],[% AVANCE]]=100%,"MODULO TERMINADO",IF(AVANCE[[#This Row],[FECHA INICIO REAL]]="","MODULO NO INICIADO","PENDIENTE"))</f>
        <v>MODULO TERMINADO</v>
      </c>
      <c r="BG16" s="3">
        <f>+IF(AVANCE[[#This Row],[VENTANAS]]=8.10810810810811%,100%,AVANCE[[#This Row],[VENTANAS]])</f>
        <v>1</v>
      </c>
      <c r="BH16" s="3">
        <f>+IF(AVANCE[[#This Row],[PISO]]=N$2,100%,AVANCE[[#This Row],[PISO]])</f>
        <v>1</v>
      </c>
      <c r="BI16" s="3">
        <f>+IF(AVANCE[[#This Row],[TABIQUES]]=O$2,100%,AVANCE[[#This Row],[TABIQUES]])</f>
        <v>1</v>
      </c>
      <c r="BJ16" s="3">
        <f>+IF(AVANCE[[#This Row],[MUROS]]=P$2,100%,AVANCE[[#This Row],[MUROS]])</f>
        <v>1</v>
      </c>
      <c r="BK16" s="3">
        <f>+IF(AVANCE[[#This Row],[CIELO]]=Q$2,100%,AVANCE[[#This Row],[CIELO]])</f>
        <v>1</v>
      </c>
      <c r="BL16" s="3">
        <f>+IF(AVANCE[[#This Row],[BALCÓN]]=R$2,100%,AVANCE[[#This Row],[BALCÓN]])</f>
        <v>1</v>
      </c>
      <c r="BM16" s="3">
        <f>+IF(AVANCE[[#This Row],[RED ALCANTARILLADO]]=U$2,100%,AVANCE[[#This Row],[RED ALCANTARILLADO]])</f>
        <v>1</v>
      </c>
      <c r="BN16" s="3">
        <f>+IF(AVANCE[[#This Row],[RED DE AGUA]]=V$2,100%,AVANCE[[#This Row],[RED DE AGUA]])</f>
        <v>1</v>
      </c>
      <c r="BO16" s="3">
        <f>+IF(AVANCE[[#This Row],[VENTILACIONES]]=W$2,100%,AVANCE[[#This Row],[VENTILACIONES]])</f>
        <v>1</v>
      </c>
      <c r="BP16" s="3">
        <f>+IF(AVANCE[[#This Row],[TINA]]=X$2,100%,AVANCE[[#This Row],[TINA]])</f>
        <v>1</v>
      </c>
      <c r="BQ16" s="3">
        <f>+IF(AVANCE[[#This Row],[WC]]=Y$2,100%,AVANCE[[#This Row],[WC]])</f>
        <v>1</v>
      </c>
      <c r="BR16" s="3">
        <f>+IF(AVANCE[[#This Row],[LAVAMANOS / LAVAPLATOS / LAVADERO]]=Z$2,100%,AVANCE[[#This Row],[LAVAMANOS / LAVAPLATOS / LAVADERO]])</f>
        <v>1</v>
      </c>
      <c r="BS16" s="3">
        <f>+IF(AVANCE[[#This Row],[CANALIZACIÓN]]=AC$2,100%,AVANCE[[#This Row],[CANALIZACIÓN]])</f>
        <v>1</v>
      </c>
      <c r="BT16" s="3">
        <f>+IF(AVANCE[[#This Row],[CABLEADO]]=AD$2,100%,AVANCE[[#This Row],[CABLEADO]])</f>
        <v>1</v>
      </c>
      <c r="BU16" s="3">
        <f>+IF(AVANCE[[#This Row],[ARTEFACTOS]]=AE$2,100%,AVANCE[[#This Row],[ARTEFACTOS]])</f>
        <v>1</v>
      </c>
      <c r="BV16" s="3">
        <f>+IF(AVANCE[[#This Row],[TABLERO]]=AF$2,100%,AVANCE[[#This Row],[TABLERO]])</f>
        <v>1</v>
      </c>
      <c r="BW16" s="3">
        <f>+IF(AVANCE[[#This Row],[CAJA PAU]]=AG$2,100%,AVANCE[[#This Row],[CAJA PAU]])</f>
        <v>1</v>
      </c>
      <c r="BX16" s="3">
        <f>+IF(AVANCE[[#This Row],[INSTALACION VINILICO]]=AJ$2,100%,AVANCE[[#This Row],[INSTALACION VINILICO]])</f>
        <v>1</v>
      </c>
      <c r="BY16" s="3">
        <f>+IF(AVANCE[[#This Row],[OSB CUBIERTA]]=AK$2,100%,AVANCE[[#This Row],[OSB CUBIERTA]])</f>
        <v>1</v>
      </c>
      <c r="BZ16" s="3">
        <f>+IF(AVANCE[[#This Row],[BARANDA BALCON]]=AL$2,100%,AVANCE[[#This Row],[BARANDA BALCON]])</f>
        <v>1</v>
      </c>
      <c r="CA16" s="3">
        <f>+IF(AVANCE[[#This Row],[OSB EXTERIOR]]=AM$2,100%,AVANCE[[#This Row],[OSB EXTERIOR]])</f>
        <v>1</v>
      </c>
      <c r="CB16" s="3">
        <f>+IF(AVANCE[[#This Row],[SMART PANEL]]=AN$2,100%,AVANCE[[#This Row],[SMART PANEL]])</f>
        <v>1</v>
      </c>
      <c r="CC16" s="3">
        <f>+IF(AVANCE[[#This Row],[PINTURA EXTERIOR]]=AO$2,100%,AVANCE[[#This Row],[PINTURA EXTERIOR]])</f>
        <v>1</v>
      </c>
      <c r="CD16" s="3">
        <f>+IF(AVANCE[[#This Row],[ZOCALOS LOGIA]]=AP$2,100%,AVANCE[[#This Row],[ZOCALOS LOGIA]])</f>
        <v>1</v>
      </c>
      <c r="CE16" s="3">
        <f>+IF(AVANCE[[#This Row],[MOLDURAS]]=AQ$2,100%,AVANCE[[#This Row],[MOLDURAS]])</f>
        <v>1</v>
      </c>
      <c r="CF16" s="3">
        <f>+IF(AVANCE[[#This Row],[PILASTREO]]=AR$2,100%,AVANCE[[#This Row],[PILASTREO]])</f>
        <v>1</v>
      </c>
      <c r="CG16" s="3">
        <f>+IF(AVANCE[[#This Row],[CELOSIAS]]=AS$2,100%,AVANCE[[#This Row],[CELOSIAS]])</f>
        <v>1</v>
      </c>
      <c r="CH16" s="3">
        <f>+IF(AVANCE[[#This Row],[VENTANAS]]=AT$2,100%,AVANCE[[#This Row],[VENTANAS]])</f>
        <v>1</v>
      </c>
      <c r="CI16" s="3">
        <f>+IF(AVANCE[[#This Row],[PUERTAS ACCESO - LOGIA - BANO]]=AU$2,100%,AVANCE[[#This Row],[PUERTAS ACCESO - LOGIA - BANO]])</f>
        <v>1</v>
      </c>
      <c r="CJ16" s="3">
        <f>+IF(AVANCE[[#This Row],[CERRADURAS]]=AV$2,100%,AVANCE[[#This Row],[CERRADURAS]])</f>
        <v>1</v>
      </c>
      <c r="CK16" s="3">
        <f>+IF(AVANCE[[#This Row],[REVESTIMIENTO INTERIOR ZONA SECA]]=AW$2,100%,AVANCE[[#This Row],[REVESTIMIENTO INTERIOR ZONA SECA]])</f>
        <v>1</v>
      </c>
      <c r="CL16" s="3">
        <f>+IF(AVANCE[[#This Row],[REVESTIMIENTO INTERIOR ZONAS HUMEDAS]]=AX$2,100%,AVANCE[[#This Row],[REVESTIMIENTO INTERIOR ZONAS HUMEDAS]])</f>
        <v>1</v>
      </c>
      <c r="CM16" s="3">
        <f>+IF(AVANCE[[#This Row],[MEMBRANA CIELO]]=AY$2,100%,AVANCE[[#This Row],[MEMBRANA CIELO]])</f>
        <v>1</v>
      </c>
      <c r="CN16" s="3">
        <f>+IF(AVANCE[[#This Row],[LIMPIEZA FINAL]]=AZ$2,100%,AVANCE[[#This Row],[LIMPIEZA FINAL]])</f>
        <v>1</v>
      </c>
      <c r="CO16" s="3">
        <f>+IF(AVANCE[[#This Row],[PUERTAS DORMITORIO]]=BA$2,100%,AVANCE[[#This Row],[PUERTAS DORMITORIO]])</f>
        <v>1</v>
      </c>
      <c r="CP16" s="3">
        <f>+IF(AVANCE[[#This Row],[REVESTIMIENTO INTERIOR BANO]]=BB$2,100%,AVANCE[[#This Row],[REVESTIMIENTO INTERIOR BANO]])</f>
        <v>1</v>
      </c>
      <c r="CQ16" s="3">
        <f>+IF(AVANCE[[#This Row],[MUEBLE LAVAPLATOS]]=BC$2,100%,AVANCE[[#This Row],[MUEBLE LAVAPLATOS]])</f>
        <v>1</v>
      </c>
      <c r="CR16" s="3">
        <f>+IF(AVANCE[[#This Row],[IMPERMEABILIZACION BANO - COCINA LOGIA]]=BD$2,100%,AVANCE[[#This Row],[IMPERMEABILIZACION BANO - COCINA LOGIA]])</f>
        <v>1</v>
      </c>
      <c r="CS16" s="40">
        <f ca="1">+IF(AVANCE[[#This Row],[ESTADO MODULO]]="PENDIENTE",(TODAY()-AVANCE[[#This Row],[FECHA TERMINO  PLANIFICADO]]),0)</f>
        <v>0</v>
      </c>
      <c r="CT16" s="41" t="str" cm="1">
        <f t="array" ref="CT16">_xlfn.TEXTJOIN(" | ",TRUE,IF(SUMPRODUCT((BG16:CR16&lt;1)*(PARTIDAS!$I$2:$AT$2="OBRA GRUESA"))&gt;0,"OBRA GRUESA: "&amp;_xlfn.TEXTJOIN(", ",TRUE,IF((BG16:CR16&lt;1)*(PARTIDAS!$I$2:$AT$2="OBRA GRUESA"),PARTIDAS!$I$1:$AT$1,"")),""),IF(SUMPRODUCT((BG16:CR16&lt;1)*(PARTIDAS!$I$2:$AT$2="SANITARIOS"))&gt;0,"SANITARIOS: "&amp;_xlfn.TEXTJOIN(", ",TRUE,IF((BG16:CR16&lt;1)*(PARTIDAS!$I$2:$AT$2="SANITARIOS"),PARTIDAS!$I$1:$AT$1,"")),""),IF(SUMPRODUCT((BG16:CR16&lt;1)*(PARTIDAS!$I$2:$AT$2="ELÉCTRICO"))&gt;0,"ELÉCTRICO: "&amp;_xlfn.TEXTJOIN(", ",TRUE,IF((BG16:CR16&lt;1)*(PARTIDAS!$I$2:$AT$2="ELÉCTRICO"),PARTIDAS!$I$1:$AT$1,"")),""),IF(SUMPRODUCT((BG16:CR16&lt;1)*(PARTIDAS!$I$2:$AT$2="TERMINACIONES"))&gt;0,"TERMINACIONES: "&amp;_xlfn.TEXTJOIN(", ",TRUE,IF((BG16:CR16&lt;1)*(PARTIDAS!$I$2:$AT$2="TERMINACIONES"),PARTIDAS!$I$1:$AT$1,"")),""))</f>
        <v/>
      </c>
      <c r="CU16" s="43" t="str" cm="1">
        <f t="array" ref="CU16">_xlfn.TEXTJOIN(", ",TRUE,IF(SUMPRODUCT((BG16:CR16&lt;1)*(PARTIDAS!$I$2:$AT$2="OBRA GRUESA"))&gt;0,"OBRA GRUESA",""),IF(SUMPRODUCT((BG16:CR16&lt;1)*(PARTIDAS!$I$2:$AT$2="SANITARIOS"))&gt;0,"SANITARIOS",""),IF(SUMPRODUCT((BG16:CR16&lt;1)*(PARTIDAS!$I$2:$AT$2="ELÉCTRICO"))&gt;0,"ELÉCTRICO",""),IF(SUMPRODUCT((BG16:CR16&lt;1)*(PARTIDAS!$I$2:$AT$2="TERMINACIONES"))&gt;0,"TERMINACIONES",""))</f>
        <v/>
      </c>
      <c r="CV16" s="44" cm="1">
        <f t="array" ref="CV16">SUMPRODUCT(--(BG16:CR16&lt;1))</f>
        <v>0</v>
      </c>
    </row>
    <row r="17" spans="1:100" hidden="1" x14ac:dyDescent="0.25">
      <c r="A17" t="s">
        <v>56</v>
      </c>
      <c r="B17" t="s">
        <v>74</v>
      </c>
      <c r="C17">
        <v>2282600016</v>
      </c>
      <c r="D17" t="s">
        <v>58</v>
      </c>
      <c r="E17" s="2">
        <v>0.99999999999999978</v>
      </c>
      <c r="F17" s="1">
        <v>46076</v>
      </c>
      <c r="G17" s="1">
        <v>46076</v>
      </c>
      <c r="H17" s="1">
        <v>46181</v>
      </c>
      <c r="I17" s="1">
        <v>46146</v>
      </c>
      <c r="K17" s="1">
        <v>46181</v>
      </c>
      <c r="L17" s="3">
        <v>0.43</v>
      </c>
      <c r="M17" s="3">
        <v>1</v>
      </c>
      <c r="N17" s="3">
        <v>0.27906976744186046</v>
      </c>
      <c r="O17" s="3">
        <v>0.18604651162790697</v>
      </c>
      <c r="P17" s="3">
        <v>0.2558139534883721</v>
      </c>
      <c r="Q17" s="3">
        <v>0.18604651162790697</v>
      </c>
      <c r="R17" s="3">
        <v>9.3023255813953487E-2</v>
      </c>
      <c r="S17" s="3">
        <v>0.09</v>
      </c>
      <c r="T17" s="3">
        <v>1</v>
      </c>
      <c r="U17" s="3">
        <v>0.22222222222222221</v>
      </c>
      <c r="V17" s="3">
        <v>0.22222222222222221</v>
      </c>
      <c r="W17" s="3">
        <v>0.1111111111111111</v>
      </c>
      <c r="X17" s="3">
        <v>0.1111111111111111</v>
      </c>
      <c r="Y17" s="3">
        <v>0.1111111111111111</v>
      </c>
      <c r="Z17" s="3">
        <v>0.22222222222222221</v>
      </c>
      <c r="AA17" s="3">
        <v>0.11</v>
      </c>
      <c r="AB17" s="3">
        <v>1</v>
      </c>
      <c r="AC17" s="3">
        <v>0.27272727272727271</v>
      </c>
      <c r="AD17" s="3">
        <v>0.27272727272727271</v>
      </c>
      <c r="AE17" s="3">
        <v>9.0909090909090912E-2</v>
      </c>
      <c r="AF17" s="3">
        <v>0.18181818181818182</v>
      </c>
      <c r="AG17" s="3">
        <v>0.18181818181818182</v>
      </c>
      <c r="AH17" s="3">
        <v>0.36999999999999983</v>
      </c>
      <c r="AI17" s="3">
        <v>0.99999999999999956</v>
      </c>
      <c r="AJ17" s="3">
        <v>5.4054054054054036E-2</v>
      </c>
      <c r="AK17" s="3">
        <v>5.4054054054054036E-2</v>
      </c>
      <c r="AL17" s="3">
        <v>2.7027027027027018E-2</v>
      </c>
      <c r="AM17" s="3">
        <v>8.1081081081081058E-2</v>
      </c>
      <c r="AN17" s="3">
        <v>8.1081081081081058E-2</v>
      </c>
      <c r="AO17" s="3">
        <v>6.7567567567567557E-2</v>
      </c>
      <c r="AP17" s="3">
        <v>5.4054054054054036E-2</v>
      </c>
      <c r="AQ17" s="3">
        <v>1.3513513513513509E-2</v>
      </c>
      <c r="AR17" s="3">
        <v>4.0540540540540529E-2</v>
      </c>
      <c r="AS17" s="3">
        <v>1.3513513513513509E-2</v>
      </c>
      <c r="AT17" s="3">
        <v>8.1081081081081058E-2</v>
      </c>
      <c r="AU17" s="3">
        <v>5.4054054054054036E-2</v>
      </c>
      <c r="AV17" s="3">
        <v>2.7027027027027018E-2</v>
      </c>
      <c r="AW17" s="3">
        <v>5.4054054054054036E-2</v>
      </c>
      <c r="AX17" s="3">
        <v>5.4054054054054036E-2</v>
      </c>
      <c r="AY17" s="3">
        <v>2.7027027027027018E-2</v>
      </c>
      <c r="AZ17" s="3">
        <v>4.0540540540540529E-2</v>
      </c>
      <c r="BA17" s="3">
        <v>5.4054054054054036E-2</v>
      </c>
      <c r="BB17" s="3">
        <v>8.1081081081081058E-2</v>
      </c>
      <c r="BC17" s="3">
        <v>1.3513513513513509E-2</v>
      </c>
      <c r="BD17" s="3">
        <v>2.7027027027027018E-2</v>
      </c>
      <c r="BE17">
        <v>28.87</v>
      </c>
      <c r="BF17" s="3" t="str">
        <f>+IF(AVANCE[[#This Row],[% AVANCE]]=100%,"MODULO TERMINADO",IF(AVANCE[[#This Row],[FECHA INICIO REAL]]="","MODULO NO INICIADO","PENDIENTE"))</f>
        <v>MODULO TERMINADO</v>
      </c>
      <c r="BG17" s="3">
        <f>+IF(AVANCE[[#This Row],[VENTANAS]]=8.10810810810811%,100%,AVANCE[[#This Row],[VENTANAS]])</f>
        <v>1</v>
      </c>
      <c r="BH17" s="3">
        <f>+IF(AVANCE[[#This Row],[PISO]]=N$2,100%,AVANCE[[#This Row],[PISO]])</f>
        <v>1</v>
      </c>
      <c r="BI17" s="3">
        <f>+IF(AVANCE[[#This Row],[TABIQUES]]=O$2,100%,AVANCE[[#This Row],[TABIQUES]])</f>
        <v>1</v>
      </c>
      <c r="BJ17" s="3">
        <f>+IF(AVANCE[[#This Row],[MUROS]]=P$2,100%,AVANCE[[#This Row],[MUROS]])</f>
        <v>1</v>
      </c>
      <c r="BK17" s="3">
        <f>+IF(AVANCE[[#This Row],[CIELO]]=Q$2,100%,AVANCE[[#This Row],[CIELO]])</f>
        <v>1</v>
      </c>
      <c r="BL17" s="3">
        <f>+IF(AVANCE[[#This Row],[BALCÓN]]=R$2,100%,AVANCE[[#This Row],[BALCÓN]])</f>
        <v>1</v>
      </c>
      <c r="BM17" s="3">
        <f>+IF(AVANCE[[#This Row],[RED ALCANTARILLADO]]=U$2,100%,AVANCE[[#This Row],[RED ALCANTARILLADO]])</f>
        <v>1</v>
      </c>
      <c r="BN17" s="3">
        <f>+IF(AVANCE[[#This Row],[RED DE AGUA]]=V$2,100%,AVANCE[[#This Row],[RED DE AGUA]])</f>
        <v>1</v>
      </c>
      <c r="BO17" s="3">
        <f>+IF(AVANCE[[#This Row],[VENTILACIONES]]=W$2,100%,AVANCE[[#This Row],[VENTILACIONES]])</f>
        <v>1</v>
      </c>
      <c r="BP17" s="3">
        <f>+IF(AVANCE[[#This Row],[TINA]]=X$2,100%,AVANCE[[#This Row],[TINA]])</f>
        <v>1</v>
      </c>
      <c r="BQ17" s="3">
        <f>+IF(AVANCE[[#This Row],[WC]]=Y$2,100%,AVANCE[[#This Row],[WC]])</f>
        <v>1</v>
      </c>
      <c r="BR17" s="3">
        <f>+IF(AVANCE[[#This Row],[LAVAMANOS / LAVAPLATOS / LAVADERO]]=Z$2,100%,AVANCE[[#This Row],[LAVAMANOS / LAVAPLATOS / LAVADERO]])</f>
        <v>1</v>
      </c>
      <c r="BS17" s="3">
        <f>+IF(AVANCE[[#This Row],[CANALIZACIÓN]]=AC$2,100%,AVANCE[[#This Row],[CANALIZACIÓN]])</f>
        <v>1</v>
      </c>
      <c r="BT17" s="3">
        <f>+IF(AVANCE[[#This Row],[CABLEADO]]=AD$2,100%,AVANCE[[#This Row],[CABLEADO]])</f>
        <v>1</v>
      </c>
      <c r="BU17" s="3">
        <f>+IF(AVANCE[[#This Row],[ARTEFACTOS]]=AE$2,100%,AVANCE[[#This Row],[ARTEFACTOS]])</f>
        <v>1</v>
      </c>
      <c r="BV17" s="3">
        <f>+IF(AVANCE[[#This Row],[TABLERO]]=AF$2,100%,AVANCE[[#This Row],[TABLERO]])</f>
        <v>1</v>
      </c>
      <c r="BW17" s="3">
        <f>+IF(AVANCE[[#This Row],[CAJA PAU]]=AG$2,100%,AVANCE[[#This Row],[CAJA PAU]])</f>
        <v>1</v>
      </c>
      <c r="BX17" s="3">
        <f>+IF(AVANCE[[#This Row],[INSTALACION VINILICO]]=AJ$2,100%,AVANCE[[#This Row],[INSTALACION VINILICO]])</f>
        <v>1</v>
      </c>
      <c r="BY17" s="3">
        <f>+IF(AVANCE[[#This Row],[OSB CUBIERTA]]=AK$2,100%,AVANCE[[#This Row],[OSB CUBIERTA]])</f>
        <v>1</v>
      </c>
      <c r="BZ17" s="3">
        <f>+IF(AVANCE[[#This Row],[BARANDA BALCON]]=AL$2,100%,AVANCE[[#This Row],[BARANDA BALCON]])</f>
        <v>1</v>
      </c>
      <c r="CA17" s="3">
        <f>+IF(AVANCE[[#This Row],[OSB EXTERIOR]]=AM$2,100%,AVANCE[[#This Row],[OSB EXTERIOR]])</f>
        <v>1</v>
      </c>
      <c r="CB17" s="3">
        <f>+IF(AVANCE[[#This Row],[SMART PANEL]]=AN$2,100%,AVANCE[[#This Row],[SMART PANEL]])</f>
        <v>1</v>
      </c>
      <c r="CC17" s="3">
        <f>+IF(AVANCE[[#This Row],[PINTURA EXTERIOR]]=AO$2,100%,AVANCE[[#This Row],[PINTURA EXTERIOR]])</f>
        <v>1</v>
      </c>
      <c r="CD17" s="3">
        <f>+IF(AVANCE[[#This Row],[ZOCALOS LOGIA]]=AP$2,100%,AVANCE[[#This Row],[ZOCALOS LOGIA]])</f>
        <v>1</v>
      </c>
      <c r="CE17" s="3">
        <f>+IF(AVANCE[[#This Row],[MOLDURAS]]=AQ$2,100%,AVANCE[[#This Row],[MOLDURAS]])</f>
        <v>1</v>
      </c>
      <c r="CF17" s="3">
        <f>+IF(AVANCE[[#This Row],[PILASTREO]]=AR$2,100%,AVANCE[[#This Row],[PILASTREO]])</f>
        <v>1</v>
      </c>
      <c r="CG17" s="3">
        <f>+IF(AVANCE[[#This Row],[CELOSIAS]]=AS$2,100%,AVANCE[[#This Row],[CELOSIAS]])</f>
        <v>1</v>
      </c>
      <c r="CH17" s="3">
        <f>+IF(AVANCE[[#This Row],[VENTANAS]]=AT$2,100%,AVANCE[[#This Row],[VENTANAS]])</f>
        <v>1</v>
      </c>
      <c r="CI17" s="3">
        <f>+IF(AVANCE[[#This Row],[PUERTAS ACCESO - LOGIA - BANO]]=AU$2,100%,AVANCE[[#This Row],[PUERTAS ACCESO - LOGIA - BANO]])</f>
        <v>1</v>
      </c>
      <c r="CJ17" s="3">
        <f>+IF(AVANCE[[#This Row],[CERRADURAS]]=AV$2,100%,AVANCE[[#This Row],[CERRADURAS]])</f>
        <v>1</v>
      </c>
      <c r="CK17" s="3">
        <f>+IF(AVANCE[[#This Row],[REVESTIMIENTO INTERIOR ZONA SECA]]=AW$2,100%,AVANCE[[#This Row],[REVESTIMIENTO INTERIOR ZONA SECA]])</f>
        <v>1</v>
      </c>
      <c r="CL17" s="3">
        <f>+IF(AVANCE[[#This Row],[REVESTIMIENTO INTERIOR ZONAS HUMEDAS]]=AX$2,100%,AVANCE[[#This Row],[REVESTIMIENTO INTERIOR ZONAS HUMEDAS]])</f>
        <v>1</v>
      </c>
      <c r="CM17" s="3">
        <f>+IF(AVANCE[[#This Row],[MEMBRANA CIELO]]=AY$2,100%,AVANCE[[#This Row],[MEMBRANA CIELO]])</f>
        <v>1</v>
      </c>
      <c r="CN17" s="3">
        <f>+IF(AVANCE[[#This Row],[LIMPIEZA FINAL]]=AZ$2,100%,AVANCE[[#This Row],[LIMPIEZA FINAL]])</f>
        <v>1</v>
      </c>
      <c r="CO17" s="3">
        <f>+IF(AVANCE[[#This Row],[PUERTAS DORMITORIO]]=BA$2,100%,AVANCE[[#This Row],[PUERTAS DORMITORIO]])</f>
        <v>1</v>
      </c>
      <c r="CP17" s="3">
        <f>+IF(AVANCE[[#This Row],[REVESTIMIENTO INTERIOR BANO]]=BB$2,100%,AVANCE[[#This Row],[REVESTIMIENTO INTERIOR BANO]])</f>
        <v>1</v>
      </c>
      <c r="CQ17" s="3">
        <f>+IF(AVANCE[[#This Row],[MUEBLE LAVAPLATOS]]=BC$2,100%,AVANCE[[#This Row],[MUEBLE LAVAPLATOS]])</f>
        <v>1</v>
      </c>
      <c r="CR17" s="3">
        <f>+IF(AVANCE[[#This Row],[IMPERMEABILIZACION BANO - COCINA LOGIA]]=BD$2,100%,AVANCE[[#This Row],[IMPERMEABILIZACION BANO - COCINA LOGIA]])</f>
        <v>1</v>
      </c>
      <c r="CS17" s="40">
        <f ca="1">+IF(AVANCE[[#This Row],[ESTADO MODULO]]="PENDIENTE",(TODAY()-AVANCE[[#This Row],[FECHA TERMINO  PLANIFICADO]]),0)</f>
        <v>0</v>
      </c>
      <c r="CT17" s="41" t="str" cm="1">
        <f t="array" ref="CT17">_xlfn.TEXTJOIN(" | ",TRUE,IF(SUMPRODUCT((BG17:CR17&lt;1)*(PARTIDAS!$I$2:$AT$2="OBRA GRUESA"))&gt;0,"OBRA GRUESA: "&amp;_xlfn.TEXTJOIN(", ",TRUE,IF((BG17:CR17&lt;1)*(PARTIDAS!$I$2:$AT$2="OBRA GRUESA"),PARTIDAS!$I$1:$AT$1,"")),""),IF(SUMPRODUCT((BG17:CR17&lt;1)*(PARTIDAS!$I$2:$AT$2="SANITARIOS"))&gt;0,"SANITARIOS: "&amp;_xlfn.TEXTJOIN(", ",TRUE,IF((BG17:CR17&lt;1)*(PARTIDAS!$I$2:$AT$2="SANITARIOS"),PARTIDAS!$I$1:$AT$1,"")),""),IF(SUMPRODUCT((BG17:CR17&lt;1)*(PARTIDAS!$I$2:$AT$2="ELÉCTRICO"))&gt;0,"ELÉCTRICO: "&amp;_xlfn.TEXTJOIN(", ",TRUE,IF((BG17:CR17&lt;1)*(PARTIDAS!$I$2:$AT$2="ELÉCTRICO"),PARTIDAS!$I$1:$AT$1,"")),""),IF(SUMPRODUCT((BG17:CR17&lt;1)*(PARTIDAS!$I$2:$AT$2="TERMINACIONES"))&gt;0,"TERMINACIONES: "&amp;_xlfn.TEXTJOIN(", ",TRUE,IF((BG17:CR17&lt;1)*(PARTIDAS!$I$2:$AT$2="TERMINACIONES"),PARTIDAS!$I$1:$AT$1,"")),""))</f>
        <v/>
      </c>
      <c r="CU17" s="43" t="str" cm="1">
        <f t="array" ref="CU17">_xlfn.TEXTJOIN(", ",TRUE,IF(SUMPRODUCT((BG17:CR17&lt;1)*(PARTIDAS!$I$2:$AT$2="OBRA GRUESA"))&gt;0,"OBRA GRUESA",""),IF(SUMPRODUCT((BG17:CR17&lt;1)*(PARTIDAS!$I$2:$AT$2="SANITARIOS"))&gt;0,"SANITARIOS",""),IF(SUMPRODUCT((BG17:CR17&lt;1)*(PARTIDAS!$I$2:$AT$2="ELÉCTRICO"))&gt;0,"ELÉCTRICO",""),IF(SUMPRODUCT((BG17:CR17&lt;1)*(PARTIDAS!$I$2:$AT$2="TERMINACIONES"))&gt;0,"TERMINACIONES",""))</f>
        <v/>
      </c>
      <c r="CV17" s="44" cm="1">
        <f t="array" ref="CV17">SUMPRODUCT(--(BG17:CR17&lt;1))</f>
        <v>0</v>
      </c>
    </row>
    <row r="18" spans="1:100" hidden="1" x14ac:dyDescent="0.25">
      <c r="A18" t="s">
        <v>56</v>
      </c>
      <c r="B18" t="s">
        <v>75</v>
      </c>
      <c r="C18">
        <v>2282600017</v>
      </c>
      <c r="D18" t="s">
        <v>58</v>
      </c>
      <c r="E18" s="2">
        <v>0.99999999999999978</v>
      </c>
      <c r="F18" s="1">
        <v>46079</v>
      </c>
      <c r="G18" s="1">
        <v>46079</v>
      </c>
      <c r="H18" s="1">
        <v>46156</v>
      </c>
      <c r="I18" s="1">
        <v>46132</v>
      </c>
      <c r="K18" s="1">
        <v>46156</v>
      </c>
      <c r="L18" s="3">
        <v>0.43</v>
      </c>
      <c r="M18" s="3">
        <v>1</v>
      </c>
      <c r="N18" s="3">
        <v>0.27906976744186046</v>
      </c>
      <c r="O18" s="3">
        <v>0.18604651162790697</v>
      </c>
      <c r="P18" s="3">
        <v>0.2558139534883721</v>
      </c>
      <c r="Q18" s="3">
        <v>0.18604651162790697</v>
      </c>
      <c r="R18" s="3">
        <v>9.3023255813953487E-2</v>
      </c>
      <c r="S18" s="3">
        <v>0.09</v>
      </c>
      <c r="T18" s="3">
        <v>1</v>
      </c>
      <c r="U18" s="3">
        <v>0.22222222222222221</v>
      </c>
      <c r="V18" s="3">
        <v>0.22222222222222221</v>
      </c>
      <c r="W18" s="3">
        <v>0.1111111111111111</v>
      </c>
      <c r="X18" s="3">
        <v>0.1111111111111111</v>
      </c>
      <c r="Y18" s="3">
        <v>0.1111111111111111</v>
      </c>
      <c r="Z18" s="3">
        <v>0.22222222222222221</v>
      </c>
      <c r="AA18" s="3">
        <v>0.11</v>
      </c>
      <c r="AB18" s="3">
        <v>1</v>
      </c>
      <c r="AC18" s="3">
        <v>0.27272727272727271</v>
      </c>
      <c r="AD18" s="3">
        <v>0.27272727272727271</v>
      </c>
      <c r="AE18" s="3">
        <v>9.0909090909090912E-2</v>
      </c>
      <c r="AF18" s="3">
        <v>0.18181818181818182</v>
      </c>
      <c r="AG18" s="3">
        <v>0.18181818181818182</v>
      </c>
      <c r="AH18" s="3">
        <v>0.36999999999999983</v>
      </c>
      <c r="AI18" s="3">
        <v>0.99999999999999956</v>
      </c>
      <c r="AJ18" s="3">
        <v>5.4054054054054036E-2</v>
      </c>
      <c r="AK18" s="3">
        <v>5.4054054054054036E-2</v>
      </c>
      <c r="AL18" s="3">
        <v>2.7027027027027018E-2</v>
      </c>
      <c r="AM18" s="3">
        <v>8.1081081081081058E-2</v>
      </c>
      <c r="AN18" s="3">
        <v>8.1081081081081058E-2</v>
      </c>
      <c r="AO18" s="3">
        <v>6.7567567567567557E-2</v>
      </c>
      <c r="AP18" s="3">
        <v>5.4054054054054036E-2</v>
      </c>
      <c r="AQ18" s="3">
        <v>1.3513513513513509E-2</v>
      </c>
      <c r="AR18" s="3">
        <v>4.0540540540540529E-2</v>
      </c>
      <c r="AS18" s="3">
        <v>1.3513513513513509E-2</v>
      </c>
      <c r="AT18" s="3">
        <v>8.1081081081081058E-2</v>
      </c>
      <c r="AU18" s="3">
        <v>5.4054054054054036E-2</v>
      </c>
      <c r="AV18" s="3">
        <v>2.7027027027027018E-2</v>
      </c>
      <c r="AW18" s="3">
        <v>5.4054054054054036E-2</v>
      </c>
      <c r="AX18" s="3">
        <v>5.4054054054054036E-2</v>
      </c>
      <c r="AY18" s="3">
        <v>2.7027027027027018E-2</v>
      </c>
      <c r="AZ18" s="3">
        <v>4.0540540540540529E-2</v>
      </c>
      <c r="BA18" s="3">
        <v>5.4054054054054036E-2</v>
      </c>
      <c r="BB18" s="3">
        <v>8.1081081081081058E-2</v>
      </c>
      <c r="BC18" s="3">
        <v>1.3513513513513509E-2</v>
      </c>
      <c r="BD18" s="3">
        <v>2.7027027027027018E-2</v>
      </c>
      <c r="BE18">
        <v>28.87</v>
      </c>
      <c r="BF18" s="3" t="str">
        <f>+IF(AVANCE[[#This Row],[% AVANCE]]=100%,"MODULO TERMINADO",IF(AVANCE[[#This Row],[FECHA INICIO REAL]]="","MODULO NO INICIADO","PENDIENTE"))</f>
        <v>MODULO TERMINADO</v>
      </c>
      <c r="BG18" s="3">
        <f>+IF(AVANCE[[#This Row],[VENTANAS]]=8.10810810810811%,100%,AVANCE[[#This Row],[VENTANAS]])</f>
        <v>1</v>
      </c>
      <c r="BH18" s="3">
        <f>+IF(AVANCE[[#This Row],[PISO]]=N$2,100%,AVANCE[[#This Row],[PISO]])</f>
        <v>1</v>
      </c>
      <c r="BI18" s="3">
        <f>+IF(AVANCE[[#This Row],[TABIQUES]]=O$2,100%,AVANCE[[#This Row],[TABIQUES]])</f>
        <v>1</v>
      </c>
      <c r="BJ18" s="3">
        <f>+IF(AVANCE[[#This Row],[MUROS]]=P$2,100%,AVANCE[[#This Row],[MUROS]])</f>
        <v>1</v>
      </c>
      <c r="BK18" s="3">
        <f>+IF(AVANCE[[#This Row],[CIELO]]=Q$2,100%,AVANCE[[#This Row],[CIELO]])</f>
        <v>1</v>
      </c>
      <c r="BL18" s="3">
        <f>+IF(AVANCE[[#This Row],[BALCÓN]]=R$2,100%,AVANCE[[#This Row],[BALCÓN]])</f>
        <v>1</v>
      </c>
      <c r="BM18" s="3">
        <f>+IF(AVANCE[[#This Row],[RED ALCANTARILLADO]]=U$2,100%,AVANCE[[#This Row],[RED ALCANTARILLADO]])</f>
        <v>1</v>
      </c>
      <c r="BN18" s="3">
        <f>+IF(AVANCE[[#This Row],[RED DE AGUA]]=V$2,100%,AVANCE[[#This Row],[RED DE AGUA]])</f>
        <v>1</v>
      </c>
      <c r="BO18" s="3">
        <f>+IF(AVANCE[[#This Row],[VENTILACIONES]]=W$2,100%,AVANCE[[#This Row],[VENTILACIONES]])</f>
        <v>1</v>
      </c>
      <c r="BP18" s="3">
        <f>+IF(AVANCE[[#This Row],[TINA]]=X$2,100%,AVANCE[[#This Row],[TINA]])</f>
        <v>1</v>
      </c>
      <c r="BQ18" s="3">
        <f>+IF(AVANCE[[#This Row],[WC]]=Y$2,100%,AVANCE[[#This Row],[WC]])</f>
        <v>1</v>
      </c>
      <c r="BR18" s="3">
        <f>+IF(AVANCE[[#This Row],[LAVAMANOS / LAVAPLATOS / LAVADERO]]=Z$2,100%,AVANCE[[#This Row],[LAVAMANOS / LAVAPLATOS / LAVADERO]])</f>
        <v>1</v>
      </c>
      <c r="BS18" s="3">
        <f>+IF(AVANCE[[#This Row],[CANALIZACIÓN]]=AC$2,100%,AVANCE[[#This Row],[CANALIZACIÓN]])</f>
        <v>1</v>
      </c>
      <c r="BT18" s="3">
        <f>+IF(AVANCE[[#This Row],[CABLEADO]]=AD$2,100%,AVANCE[[#This Row],[CABLEADO]])</f>
        <v>1</v>
      </c>
      <c r="BU18" s="3">
        <f>+IF(AVANCE[[#This Row],[ARTEFACTOS]]=AE$2,100%,AVANCE[[#This Row],[ARTEFACTOS]])</f>
        <v>1</v>
      </c>
      <c r="BV18" s="3">
        <f>+IF(AVANCE[[#This Row],[TABLERO]]=AF$2,100%,AVANCE[[#This Row],[TABLERO]])</f>
        <v>1</v>
      </c>
      <c r="BW18" s="3">
        <f>+IF(AVANCE[[#This Row],[CAJA PAU]]=AG$2,100%,AVANCE[[#This Row],[CAJA PAU]])</f>
        <v>1</v>
      </c>
      <c r="BX18" s="3">
        <f>+IF(AVANCE[[#This Row],[INSTALACION VINILICO]]=AJ$2,100%,AVANCE[[#This Row],[INSTALACION VINILICO]])</f>
        <v>1</v>
      </c>
      <c r="BY18" s="3">
        <f>+IF(AVANCE[[#This Row],[OSB CUBIERTA]]=AK$2,100%,AVANCE[[#This Row],[OSB CUBIERTA]])</f>
        <v>1</v>
      </c>
      <c r="BZ18" s="3">
        <f>+IF(AVANCE[[#This Row],[BARANDA BALCON]]=AL$2,100%,AVANCE[[#This Row],[BARANDA BALCON]])</f>
        <v>1</v>
      </c>
      <c r="CA18" s="3">
        <f>+IF(AVANCE[[#This Row],[OSB EXTERIOR]]=AM$2,100%,AVANCE[[#This Row],[OSB EXTERIOR]])</f>
        <v>1</v>
      </c>
      <c r="CB18" s="3">
        <f>+IF(AVANCE[[#This Row],[SMART PANEL]]=AN$2,100%,AVANCE[[#This Row],[SMART PANEL]])</f>
        <v>1</v>
      </c>
      <c r="CC18" s="3">
        <f>+IF(AVANCE[[#This Row],[PINTURA EXTERIOR]]=AO$2,100%,AVANCE[[#This Row],[PINTURA EXTERIOR]])</f>
        <v>1</v>
      </c>
      <c r="CD18" s="3">
        <f>+IF(AVANCE[[#This Row],[ZOCALOS LOGIA]]=AP$2,100%,AVANCE[[#This Row],[ZOCALOS LOGIA]])</f>
        <v>1</v>
      </c>
      <c r="CE18" s="3">
        <f>+IF(AVANCE[[#This Row],[MOLDURAS]]=AQ$2,100%,AVANCE[[#This Row],[MOLDURAS]])</f>
        <v>1</v>
      </c>
      <c r="CF18" s="3">
        <f>+IF(AVANCE[[#This Row],[PILASTREO]]=AR$2,100%,AVANCE[[#This Row],[PILASTREO]])</f>
        <v>1</v>
      </c>
      <c r="CG18" s="3">
        <f>+IF(AVANCE[[#This Row],[CELOSIAS]]=AS$2,100%,AVANCE[[#This Row],[CELOSIAS]])</f>
        <v>1</v>
      </c>
      <c r="CH18" s="3">
        <f>+IF(AVANCE[[#This Row],[VENTANAS]]=AT$2,100%,AVANCE[[#This Row],[VENTANAS]])</f>
        <v>1</v>
      </c>
      <c r="CI18" s="3">
        <f>+IF(AVANCE[[#This Row],[PUERTAS ACCESO - LOGIA - BANO]]=AU$2,100%,AVANCE[[#This Row],[PUERTAS ACCESO - LOGIA - BANO]])</f>
        <v>1</v>
      </c>
      <c r="CJ18" s="3">
        <f>+IF(AVANCE[[#This Row],[CERRADURAS]]=AV$2,100%,AVANCE[[#This Row],[CERRADURAS]])</f>
        <v>1</v>
      </c>
      <c r="CK18" s="3">
        <f>+IF(AVANCE[[#This Row],[REVESTIMIENTO INTERIOR ZONA SECA]]=AW$2,100%,AVANCE[[#This Row],[REVESTIMIENTO INTERIOR ZONA SECA]])</f>
        <v>1</v>
      </c>
      <c r="CL18" s="3">
        <f>+IF(AVANCE[[#This Row],[REVESTIMIENTO INTERIOR ZONAS HUMEDAS]]=AX$2,100%,AVANCE[[#This Row],[REVESTIMIENTO INTERIOR ZONAS HUMEDAS]])</f>
        <v>1</v>
      </c>
      <c r="CM18" s="3">
        <f>+IF(AVANCE[[#This Row],[MEMBRANA CIELO]]=AY$2,100%,AVANCE[[#This Row],[MEMBRANA CIELO]])</f>
        <v>1</v>
      </c>
      <c r="CN18" s="3">
        <f>+IF(AVANCE[[#This Row],[LIMPIEZA FINAL]]=AZ$2,100%,AVANCE[[#This Row],[LIMPIEZA FINAL]])</f>
        <v>1</v>
      </c>
      <c r="CO18" s="3">
        <f>+IF(AVANCE[[#This Row],[PUERTAS DORMITORIO]]=BA$2,100%,AVANCE[[#This Row],[PUERTAS DORMITORIO]])</f>
        <v>1</v>
      </c>
      <c r="CP18" s="3">
        <f>+IF(AVANCE[[#This Row],[REVESTIMIENTO INTERIOR BANO]]=BB$2,100%,AVANCE[[#This Row],[REVESTIMIENTO INTERIOR BANO]])</f>
        <v>1</v>
      </c>
      <c r="CQ18" s="3">
        <f>+IF(AVANCE[[#This Row],[MUEBLE LAVAPLATOS]]=BC$2,100%,AVANCE[[#This Row],[MUEBLE LAVAPLATOS]])</f>
        <v>1</v>
      </c>
      <c r="CR18" s="3">
        <f>+IF(AVANCE[[#This Row],[IMPERMEABILIZACION BANO - COCINA LOGIA]]=BD$2,100%,AVANCE[[#This Row],[IMPERMEABILIZACION BANO - COCINA LOGIA]])</f>
        <v>1</v>
      </c>
      <c r="CS18" s="40">
        <f ca="1">+IF(AVANCE[[#This Row],[ESTADO MODULO]]="PENDIENTE",(TODAY()-AVANCE[[#This Row],[FECHA TERMINO  PLANIFICADO]]),0)</f>
        <v>0</v>
      </c>
      <c r="CT18" s="41" t="str" cm="1">
        <f t="array" ref="CT18">_xlfn.TEXTJOIN(" | ",TRUE,IF(SUMPRODUCT((BG18:CR18&lt;1)*(PARTIDAS!$I$2:$AT$2="OBRA GRUESA"))&gt;0,"OBRA GRUESA: "&amp;_xlfn.TEXTJOIN(", ",TRUE,IF((BG18:CR18&lt;1)*(PARTIDAS!$I$2:$AT$2="OBRA GRUESA"),PARTIDAS!$I$1:$AT$1,"")),""),IF(SUMPRODUCT((BG18:CR18&lt;1)*(PARTIDAS!$I$2:$AT$2="SANITARIOS"))&gt;0,"SANITARIOS: "&amp;_xlfn.TEXTJOIN(", ",TRUE,IF((BG18:CR18&lt;1)*(PARTIDAS!$I$2:$AT$2="SANITARIOS"),PARTIDAS!$I$1:$AT$1,"")),""),IF(SUMPRODUCT((BG18:CR18&lt;1)*(PARTIDAS!$I$2:$AT$2="ELÉCTRICO"))&gt;0,"ELÉCTRICO: "&amp;_xlfn.TEXTJOIN(", ",TRUE,IF((BG18:CR18&lt;1)*(PARTIDAS!$I$2:$AT$2="ELÉCTRICO"),PARTIDAS!$I$1:$AT$1,"")),""),IF(SUMPRODUCT((BG18:CR18&lt;1)*(PARTIDAS!$I$2:$AT$2="TERMINACIONES"))&gt;0,"TERMINACIONES: "&amp;_xlfn.TEXTJOIN(", ",TRUE,IF((BG18:CR18&lt;1)*(PARTIDAS!$I$2:$AT$2="TERMINACIONES"),PARTIDAS!$I$1:$AT$1,"")),""))</f>
        <v/>
      </c>
      <c r="CU18" s="43" t="str" cm="1">
        <f t="array" ref="CU18">_xlfn.TEXTJOIN(", ",TRUE,IF(SUMPRODUCT((BG18:CR18&lt;1)*(PARTIDAS!$I$2:$AT$2="OBRA GRUESA"))&gt;0,"OBRA GRUESA",""),IF(SUMPRODUCT((BG18:CR18&lt;1)*(PARTIDAS!$I$2:$AT$2="SANITARIOS"))&gt;0,"SANITARIOS",""),IF(SUMPRODUCT((BG18:CR18&lt;1)*(PARTIDAS!$I$2:$AT$2="ELÉCTRICO"))&gt;0,"ELÉCTRICO",""),IF(SUMPRODUCT((BG18:CR18&lt;1)*(PARTIDAS!$I$2:$AT$2="TERMINACIONES"))&gt;0,"TERMINACIONES",""))</f>
        <v/>
      </c>
      <c r="CV18" s="44" cm="1">
        <f t="array" ref="CV18">SUMPRODUCT(--(BG18:CR18&lt;1))</f>
        <v>0</v>
      </c>
    </row>
    <row r="19" spans="1:100" hidden="1" x14ac:dyDescent="0.25">
      <c r="A19" t="s">
        <v>56</v>
      </c>
      <c r="B19" t="s">
        <v>76</v>
      </c>
      <c r="C19">
        <v>2302600018</v>
      </c>
      <c r="D19" t="s">
        <v>60</v>
      </c>
      <c r="E19" s="2">
        <v>0.99999999999999978</v>
      </c>
      <c r="F19" s="1">
        <v>46087</v>
      </c>
      <c r="G19" s="1">
        <v>46087</v>
      </c>
      <c r="H19" s="1">
        <v>46157</v>
      </c>
      <c r="I19" s="1">
        <v>46142</v>
      </c>
      <c r="K19" s="1">
        <v>46157</v>
      </c>
      <c r="L19" s="3">
        <v>0.43</v>
      </c>
      <c r="M19" s="3">
        <v>1</v>
      </c>
      <c r="N19" s="3">
        <v>0.27906976744186046</v>
      </c>
      <c r="O19" s="3">
        <v>0.18604651162790697</v>
      </c>
      <c r="P19" s="3">
        <v>0.2558139534883721</v>
      </c>
      <c r="Q19" s="3">
        <v>0.18604651162790697</v>
      </c>
      <c r="R19" s="3">
        <v>9.3023255813953487E-2</v>
      </c>
      <c r="S19" s="3">
        <v>0.09</v>
      </c>
      <c r="T19" s="3">
        <v>1</v>
      </c>
      <c r="U19" s="3">
        <v>0.22222222222222221</v>
      </c>
      <c r="V19" s="3">
        <v>0.22222222222222221</v>
      </c>
      <c r="W19" s="3">
        <v>0.1111111111111111</v>
      </c>
      <c r="X19" s="3">
        <v>0.1111111111111111</v>
      </c>
      <c r="Y19" s="3">
        <v>0.1111111111111111</v>
      </c>
      <c r="Z19" s="3">
        <v>0.22222222222222221</v>
      </c>
      <c r="AA19" s="3">
        <v>0.11</v>
      </c>
      <c r="AB19" s="3">
        <v>1</v>
      </c>
      <c r="AC19" s="3">
        <v>0.27272727272727271</v>
      </c>
      <c r="AD19" s="3">
        <v>0.27272727272727271</v>
      </c>
      <c r="AE19" s="3">
        <v>9.0909090909090912E-2</v>
      </c>
      <c r="AF19" s="3">
        <v>0.18181818181818182</v>
      </c>
      <c r="AG19" s="3">
        <v>0.18181818181818182</v>
      </c>
      <c r="AH19" s="3">
        <v>0.36999999999999983</v>
      </c>
      <c r="AI19" s="3">
        <v>0.99999999999999956</v>
      </c>
      <c r="AJ19" s="3">
        <v>5.4054054054054036E-2</v>
      </c>
      <c r="AK19" s="3">
        <v>5.4054054054054036E-2</v>
      </c>
      <c r="AL19" s="3">
        <v>2.7027027027027018E-2</v>
      </c>
      <c r="AM19" s="3">
        <v>8.1081081081081058E-2</v>
      </c>
      <c r="AN19" s="3">
        <v>8.1081081081081058E-2</v>
      </c>
      <c r="AO19" s="3">
        <v>6.7567567567567557E-2</v>
      </c>
      <c r="AP19" s="3">
        <v>5.4054054054054036E-2</v>
      </c>
      <c r="AQ19" s="3">
        <v>1.3513513513513509E-2</v>
      </c>
      <c r="AR19" s="3">
        <v>4.0540540540540529E-2</v>
      </c>
      <c r="AS19" s="3">
        <v>1.3513513513513509E-2</v>
      </c>
      <c r="AT19" s="3">
        <v>8.1081081081081058E-2</v>
      </c>
      <c r="AU19" s="3">
        <v>5.4054054054054036E-2</v>
      </c>
      <c r="AV19" s="3">
        <v>2.7027027027027018E-2</v>
      </c>
      <c r="AW19" s="3">
        <v>5.4054054054054036E-2</v>
      </c>
      <c r="AX19" s="3">
        <v>5.4054054054054036E-2</v>
      </c>
      <c r="AY19" s="3">
        <v>2.7027027027027018E-2</v>
      </c>
      <c r="AZ19" s="3">
        <v>4.0540540540540529E-2</v>
      </c>
      <c r="BA19" s="3">
        <v>5.4054054054054036E-2</v>
      </c>
      <c r="BB19" s="3">
        <v>8.1081081081081058E-2</v>
      </c>
      <c r="BC19" s="3">
        <v>1.3513513513513509E-2</v>
      </c>
      <c r="BD19" s="3">
        <v>2.7027027027027018E-2</v>
      </c>
      <c r="BE19">
        <v>31.32</v>
      </c>
      <c r="BF19" s="3" t="str">
        <f>+IF(AVANCE[[#This Row],[% AVANCE]]=100%,"MODULO TERMINADO",IF(AVANCE[[#This Row],[FECHA INICIO REAL]]="","MODULO NO INICIADO","PENDIENTE"))</f>
        <v>MODULO TERMINADO</v>
      </c>
      <c r="BG19" s="3">
        <f>+IF(AVANCE[[#This Row],[VENTANAS]]=8.10810810810811%,100%,AVANCE[[#This Row],[VENTANAS]])</f>
        <v>1</v>
      </c>
      <c r="BH19" s="3">
        <f>+IF(AVANCE[[#This Row],[PISO]]=N$2,100%,AVANCE[[#This Row],[PISO]])</f>
        <v>1</v>
      </c>
      <c r="BI19" s="3">
        <f>+IF(AVANCE[[#This Row],[TABIQUES]]=O$2,100%,AVANCE[[#This Row],[TABIQUES]])</f>
        <v>1</v>
      </c>
      <c r="BJ19" s="3">
        <f>+IF(AVANCE[[#This Row],[MUROS]]=P$2,100%,AVANCE[[#This Row],[MUROS]])</f>
        <v>1</v>
      </c>
      <c r="BK19" s="3">
        <f>+IF(AVANCE[[#This Row],[CIELO]]=Q$2,100%,AVANCE[[#This Row],[CIELO]])</f>
        <v>1</v>
      </c>
      <c r="BL19" s="3">
        <f>+IF(AVANCE[[#This Row],[BALCÓN]]=R$2,100%,AVANCE[[#This Row],[BALCÓN]])</f>
        <v>1</v>
      </c>
      <c r="BM19" s="3">
        <f>+IF(AVANCE[[#This Row],[RED ALCANTARILLADO]]=U$2,100%,AVANCE[[#This Row],[RED ALCANTARILLADO]])</f>
        <v>1</v>
      </c>
      <c r="BN19" s="3">
        <f>+IF(AVANCE[[#This Row],[RED DE AGUA]]=V$2,100%,AVANCE[[#This Row],[RED DE AGUA]])</f>
        <v>1</v>
      </c>
      <c r="BO19" s="3">
        <f>+IF(AVANCE[[#This Row],[VENTILACIONES]]=W$2,100%,AVANCE[[#This Row],[VENTILACIONES]])</f>
        <v>1</v>
      </c>
      <c r="BP19" s="3">
        <f>+IF(AVANCE[[#This Row],[TINA]]=X$2,100%,AVANCE[[#This Row],[TINA]])</f>
        <v>1</v>
      </c>
      <c r="BQ19" s="3">
        <f>+IF(AVANCE[[#This Row],[WC]]=Y$2,100%,AVANCE[[#This Row],[WC]])</f>
        <v>1</v>
      </c>
      <c r="BR19" s="3">
        <f>+IF(AVANCE[[#This Row],[LAVAMANOS / LAVAPLATOS / LAVADERO]]=Z$2,100%,AVANCE[[#This Row],[LAVAMANOS / LAVAPLATOS / LAVADERO]])</f>
        <v>1</v>
      </c>
      <c r="BS19" s="3">
        <f>+IF(AVANCE[[#This Row],[CANALIZACIÓN]]=AC$2,100%,AVANCE[[#This Row],[CANALIZACIÓN]])</f>
        <v>1</v>
      </c>
      <c r="BT19" s="3">
        <f>+IF(AVANCE[[#This Row],[CABLEADO]]=AD$2,100%,AVANCE[[#This Row],[CABLEADO]])</f>
        <v>1</v>
      </c>
      <c r="BU19" s="3">
        <f>+IF(AVANCE[[#This Row],[ARTEFACTOS]]=AE$2,100%,AVANCE[[#This Row],[ARTEFACTOS]])</f>
        <v>1</v>
      </c>
      <c r="BV19" s="3">
        <f>+IF(AVANCE[[#This Row],[TABLERO]]=AF$2,100%,AVANCE[[#This Row],[TABLERO]])</f>
        <v>1</v>
      </c>
      <c r="BW19" s="3">
        <f>+IF(AVANCE[[#This Row],[CAJA PAU]]=AG$2,100%,AVANCE[[#This Row],[CAJA PAU]])</f>
        <v>1</v>
      </c>
      <c r="BX19" s="3">
        <f>+IF(AVANCE[[#This Row],[INSTALACION VINILICO]]=AJ$2,100%,AVANCE[[#This Row],[INSTALACION VINILICO]])</f>
        <v>1</v>
      </c>
      <c r="BY19" s="3">
        <f>+IF(AVANCE[[#This Row],[OSB CUBIERTA]]=AK$2,100%,AVANCE[[#This Row],[OSB CUBIERTA]])</f>
        <v>1</v>
      </c>
      <c r="BZ19" s="3">
        <f>+IF(AVANCE[[#This Row],[BARANDA BALCON]]=AL$2,100%,AVANCE[[#This Row],[BARANDA BALCON]])</f>
        <v>1</v>
      </c>
      <c r="CA19" s="3">
        <f>+IF(AVANCE[[#This Row],[OSB EXTERIOR]]=AM$2,100%,AVANCE[[#This Row],[OSB EXTERIOR]])</f>
        <v>1</v>
      </c>
      <c r="CB19" s="3">
        <f>+IF(AVANCE[[#This Row],[SMART PANEL]]=AN$2,100%,AVANCE[[#This Row],[SMART PANEL]])</f>
        <v>1</v>
      </c>
      <c r="CC19" s="3">
        <f>+IF(AVANCE[[#This Row],[PINTURA EXTERIOR]]=AO$2,100%,AVANCE[[#This Row],[PINTURA EXTERIOR]])</f>
        <v>1</v>
      </c>
      <c r="CD19" s="3">
        <f>+IF(AVANCE[[#This Row],[ZOCALOS LOGIA]]=AP$2,100%,AVANCE[[#This Row],[ZOCALOS LOGIA]])</f>
        <v>1</v>
      </c>
      <c r="CE19" s="3">
        <f>+IF(AVANCE[[#This Row],[MOLDURAS]]=AQ$2,100%,AVANCE[[#This Row],[MOLDURAS]])</f>
        <v>1</v>
      </c>
      <c r="CF19" s="3">
        <f>+IF(AVANCE[[#This Row],[PILASTREO]]=AR$2,100%,AVANCE[[#This Row],[PILASTREO]])</f>
        <v>1</v>
      </c>
      <c r="CG19" s="3">
        <f>+IF(AVANCE[[#This Row],[CELOSIAS]]=AS$2,100%,AVANCE[[#This Row],[CELOSIAS]])</f>
        <v>1</v>
      </c>
      <c r="CH19" s="3">
        <f>+IF(AVANCE[[#This Row],[VENTANAS]]=AT$2,100%,AVANCE[[#This Row],[VENTANAS]])</f>
        <v>1</v>
      </c>
      <c r="CI19" s="3">
        <f>+IF(AVANCE[[#This Row],[PUERTAS ACCESO - LOGIA - BANO]]=AU$2,100%,AVANCE[[#This Row],[PUERTAS ACCESO - LOGIA - BANO]])</f>
        <v>1</v>
      </c>
      <c r="CJ19" s="3">
        <f>+IF(AVANCE[[#This Row],[CERRADURAS]]=AV$2,100%,AVANCE[[#This Row],[CERRADURAS]])</f>
        <v>1</v>
      </c>
      <c r="CK19" s="3">
        <f>+IF(AVANCE[[#This Row],[REVESTIMIENTO INTERIOR ZONA SECA]]=AW$2,100%,AVANCE[[#This Row],[REVESTIMIENTO INTERIOR ZONA SECA]])</f>
        <v>1</v>
      </c>
      <c r="CL19" s="3">
        <f>+IF(AVANCE[[#This Row],[REVESTIMIENTO INTERIOR ZONAS HUMEDAS]]=AX$2,100%,AVANCE[[#This Row],[REVESTIMIENTO INTERIOR ZONAS HUMEDAS]])</f>
        <v>1</v>
      </c>
      <c r="CM19" s="3">
        <f>+IF(AVANCE[[#This Row],[MEMBRANA CIELO]]=AY$2,100%,AVANCE[[#This Row],[MEMBRANA CIELO]])</f>
        <v>1</v>
      </c>
      <c r="CN19" s="3">
        <f>+IF(AVANCE[[#This Row],[LIMPIEZA FINAL]]=AZ$2,100%,AVANCE[[#This Row],[LIMPIEZA FINAL]])</f>
        <v>1</v>
      </c>
      <c r="CO19" s="3">
        <f>+IF(AVANCE[[#This Row],[PUERTAS DORMITORIO]]=BA$2,100%,AVANCE[[#This Row],[PUERTAS DORMITORIO]])</f>
        <v>1</v>
      </c>
      <c r="CP19" s="3">
        <f>+IF(AVANCE[[#This Row],[REVESTIMIENTO INTERIOR BANO]]=BB$2,100%,AVANCE[[#This Row],[REVESTIMIENTO INTERIOR BANO]])</f>
        <v>1</v>
      </c>
      <c r="CQ19" s="3">
        <f>+IF(AVANCE[[#This Row],[MUEBLE LAVAPLATOS]]=BC$2,100%,AVANCE[[#This Row],[MUEBLE LAVAPLATOS]])</f>
        <v>1</v>
      </c>
      <c r="CR19" s="3">
        <f>+IF(AVANCE[[#This Row],[IMPERMEABILIZACION BANO - COCINA LOGIA]]=BD$2,100%,AVANCE[[#This Row],[IMPERMEABILIZACION BANO - COCINA LOGIA]])</f>
        <v>1</v>
      </c>
      <c r="CS19" s="40">
        <f ca="1">+IF(AVANCE[[#This Row],[ESTADO MODULO]]="PENDIENTE",(TODAY()-AVANCE[[#This Row],[FECHA TERMINO  PLANIFICADO]]),0)</f>
        <v>0</v>
      </c>
      <c r="CT19" s="41" t="str" cm="1">
        <f t="array" ref="CT19">_xlfn.TEXTJOIN(" | ",TRUE,IF(SUMPRODUCT((BG19:CR19&lt;1)*(PARTIDAS!$I$2:$AT$2="OBRA GRUESA"))&gt;0,"OBRA GRUESA: "&amp;_xlfn.TEXTJOIN(", ",TRUE,IF((BG19:CR19&lt;1)*(PARTIDAS!$I$2:$AT$2="OBRA GRUESA"),PARTIDAS!$I$1:$AT$1,"")),""),IF(SUMPRODUCT((BG19:CR19&lt;1)*(PARTIDAS!$I$2:$AT$2="SANITARIOS"))&gt;0,"SANITARIOS: "&amp;_xlfn.TEXTJOIN(", ",TRUE,IF((BG19:CR19&lt;1)*(PARTIDAS!$I$2:$AT$2="SANITARIOS"),PARTIDAS!$I$1:$AT$1,"")),""),IF(SUMPRODUCT((BG19:CR19&lt;1)*(PARTIDAS!$I$2:$AT$2="ELÉCTRICO"))&gt;0,"ELÉCTRICO: "&amp;_xlfn.TEXTJOIN(", ",TRUE,IF((BG19:CR19&lt;1)*(PARTIDAS!$I$2:$AT$2="ELÉCTRICO"),PARTIDAS!$I$1:$AT$1,"")),""),IF(SUMPRODUCT((BG19:CR19&lt;1)*(PARTIDAS!$I$2:$AT$2="TERMINACIONES"))&gt;0,"TERMINACIONES: "&amp;_xlfn.TEXTJOIN(", ",TRUE,IF((BG19:CR19&lt;1)*(PARTIDAS!$I$2:$AT$2="TERMINACIONES"),PARTIDAS!$I$1:$AT$1,"")),""))</f>
        <v/>
      </c>
      <c r="CU19" s="43" t="str" cm="1">
        <f t="array" ref="CU19">_xlfn.TEXTJOIN(", ",TRUE,IF(SUMPRODUCT((BG19:CR19&lt;1)*(PARTIDAS!$I$2:$AT$2="OBRA GRUESA"))&gt;0,"OBRA GRUESA",""),IF(SUMPRODUCT((BG19:CR19&lt;1)*(PARTIDAS!$I$2:$AT$2="SANITARIOS"))&gt;0,"SANITARIOS",""),IF(SUMPRODUCT((BG19:CR19&lt;1)*(PARTIDAS!$I$2:$AT$2="ELÉCTRICO"))&gt;0,"ELÉCTRICO",""),IF(SUMPRODUCT((BG19:CR19&lt;1)*(PARTIDAS!$I$2:$AT$2="TERMINACIONES"))&gt;0,"TERMINACIONES",""))</f>
        <v/>
      </c>
      <c r="CV19" s="44" cm="1">
        <f t="array" ref="CV19">SUMPRODUCT(--(BG19:CR19&lt;1))</f>
        <v>0</v>
      </c>
    </row>
    <row r="20" spans="1:100" hidden="1" x14ac:dyDescent="0.25">
      <c r="A20" t="s">
        <v>56</v>
      </c>
      <c r="B20" t="s">
        <v>77</v>
      </c>
      <c r="C20">
        <v>2302600019</v>
      </c>
      <c r="D20" t="s">
        <v>60</v>
      </c>
      <c r="E20" s="2">
        <v>0.99999999999999978</v>
      </c>
      <c r="F20" s="1">
        <v>46090</v>
      </c>
      <c r="G20" s="1">
        <v>46090</v>
      </c>
      <c r="H20" s="1">
        <v>46169</v>
      </c>
      <c r="I20" s="1">
        <v>46149</v>
      </c>
      <c r="K20" s="1">
        <v>46169</v>
      </c>
      <c r="L20" s="3">
        <v>0.43</v>
      </c>
      <c r="M20" s="3">
        <v>1</v>
      </c>
      <c r="N20" s="3">
        <v>0.27906976744186046</v>
      </c>
      <c r="O20" s="3">
        <v>0.18604651162790697</v>
      </c>
      <c r="P20" s="3">
        <v>0.2558139534883721</v>
      </c>
      <c r="Q20" s="3">
        <v>0.18604651162790697</v>
      </c>
      <c r="R20" s="3">
        <v>9.3023255813953487E-2</v>
      </c>
      <c r="S20" s="3">
        <v>0.09</v>
      </c>
      <c r="T20" s="3">
        <v>1</v>
      </c>
      <c r="U20" s="3">
        <v>0.22222222222222221</v>
      </c>
      <c r="V20" s="3">
        <v>0.22222222222222221</v>
      </c>
      <c r="W20" s="3">
        <v>0.1111111111111111</v>
      </c>
      <c r="X20" s="3">
        <v>0.1111111111111111</v>
      </c>
      <c r="Y20" s="3">
        <v>0.1111111111111111</v>
      </c>
      <c r="Z20" s="3">
        <v>0.22222222222222221</v>
      </c>
      <c r="AA20" s="3">
        <v>0.11</v>
      </c>
      <c r="AB20" s="3">
        <v>1</v>
      </c>
      <c r="AC20" s="3">
        <v>0.27272727272727271</v>
      </c>
      <c r="AD20" s="3">
        <v>0.27272727272727271</v>
      </c>
      <c r="AE20" s="3">
        <v>9.0909090909090912E-2</v>
      </c>
      <c r="AF20" s="3">
        <v>0.18181818181818182</v>
      </c>
      <c r="AG20" s="3">
        <v>0.18181818181818182</v>
      </c>
      <c r="AH20" s="3">
        <v>0.36999999999999983</v>
      </c>
      <c r="AI20" s="3">
        <v>0.99999999999999956</v>
      </c>
      <c r="AJ20" s="3">
        <v>5.4054054054054036E-2</v>
      </c>
      <c r="AK20" s="3">
        <v>5.4054054054054036E-2</v>
      </c>
      <c r="AL20" s="3">
        <v>2.7027027027027018E-2</v>
      </c>
      <c r="AM20" s="3">
        <v>8.1081081081081058E-2</v>
      </c>
      <c r="AN20" s="3">
        <v>8.1081081081081058E-2</v>
      </c>
      <c r="AO20" s="3">
        <v>6.7567567567567557E-2</v>
      </c>
      <c r="AP20" s="3">
        <v>5.4054054054054036E-2</v>
      </c>
      <c r="AQ20" s="3">
        <v>1.3513513513513509E-2</v>
      </c>
      <c r="AR20" s="3">
        <v>4.0540540540540529E-2</v>
      </c>
      <c r="AS20" s="3">
        <v>1.3513513513513509E-2</v>
      </c>
      <c r="AT20" s="3">
        <v>8.1081081081081058E-2</v>
      </c>
      <c r="AU20" s="3">
        <v>5.4054054054054036E-2</v>
      </c>
      <c r="AV20" s="3">
        <v>2.7027027027027018E-2</v>
      </c>
      <c r="AW20" s="3">
        <v>5.4054054054054036E-2</v>
      </c>
      <c r="AX20" s="3">
        <v>5.4054054054054036E-2</v>
      </c>
      <c r="AY20" s="3">
        <v>2.7027027027027018E-2</v>
      </c>
      <c r="AZ20" s="3">
        <v>4.0540540540540529E-2</v>
      </c>
      <c r="BA20" s="3">
        <v>5.4054054054054036E-2</v>
      </c>
      <c r="BB20" s="3">
        <v>8.1081081081081058E-2</v>
      </c>
      <c r="BC20" s="3">
        <v>1.3513513513513509E-2</v>
      </c>
      <c r="BD20" s="3">
        <v>2.7027027027027018E-2</v>
      </c>
      <c r="BE20">
        <v>31.32</v>
      </c>
      <c r="BF20" s="3" t="str">
        <f>+IF(AVANCE[[#This Row],[% AVANCE]]=100%,"MODULO TERMINADO",IF(AVANCE[[#This Row],[FECHA INICIO REAL]]="","MODULO NO INICIADO","PENDIENTE"))</f>
        <v>MODULO TERMINADO</v>
      </c>
      <c r="BG20" s="3">
        <f>+IF(AVANCE[[#This Row],[VENTANAS]]=8.10810810810811%,100%,AVANCE[[#This Row],[VENTANAS]])</f>
        <v>1</v>
      </c>
      <c r="BH20" s="3">
        <f>+IF(AVANCE[[#This Row],[PISO]]=N$2,100%,AVANCE[[#This Row],[PISO]])</f>
        <v>1</v>
      </c>
      <c r="BI20" s="3">
        <f>+IF(AVANCE[[#This Row],[TABIQUES]]=O$2,100%,AVANCE[[#This Row],[TABIQUES]])</f>
        <v>1</v>
      </c>
      <c r="BJ20" s="3">
        <f>+IF(AVANCE[[#This Row],[MUROS]]=P$2,100%,AVANCE[[#This Row],[MUROS]])</f>
        <v>1</v>
      </c>
      <c r="BK20" s="3">
        <f>+IF(AVANCE[[#This Row],[CIELO]]=Q$2,100%,AVANCE[[#This Row],[CIELO]])</f>
        <v>1</v>
      </c>
      <c r="BL20" s="3">
        <f>+IF(AVANCE[[#This Row],[BALCÓN]]=R$2,100%,AVANCE[[#This Row],[BALCÓN]])</f>
        <v>1</v>
      </c>
      <c r="BM20" s="3">
        <f>+IF(AVANCE[[#This Row],[RED ALCANTARILLADO]]=U$2,100%,AVANCE[[#This Row],[RED ALCANTARILLADO]])</f>
        <v>1</v>
      </c>
      <c r="BN20" s="3">
        <f>+IF(AVANCE[[#This Row],[RED DE AGUA]]=V$2,100%,AVANCE[[#This Row],[RED DE AGUA]])</f>
        <v>1</v>
      </c>
      <c r="BO20" s="3">
        <f>+IF(AVANCE[[#This Row],[VENTILACIONES]]=W$2,100%,AVANCE[[#This Row],[VENTILACIONES]])</f>
        <v>1</v>
      </c>
      <c r="BP20" s="3">
        <f>+IF(AVANCE[[#This Row],[TINA]]=X$2,100%,AVANCE[[#This Row],[TINA]])</f>
        <v>1</v>
      </c>
      <c r="BQ20" s="3">
        <f>+IF(AVANCE[[#This Row],[WC]]=Y$2,100%,AVANCE[[#This Row],[WC]])</f>
        <v>1</v>
      </c>
      <c r="BR20" s="3">
        <f>+IF(AVANCE[[#This Row],[LAVAMANOS / LAVAPLATOS / LAVADERO]]=Z$2,100%,AVANCE[[#This Row],[LAVAMANOS / LAVAPLATOS / LAVADERO]])</f>
        <v>1</v>
      </c>
      <c r="BS20" s="3">
        <f>+IF(AVANCE[[#This Row],[CANALIZACIÓN]]=AC$2,100%,AVANCE[[#This Row],[CANALIZACIÓN]])</f>
        <v>1</v>
      </c>
      <c r="BT20" s="3">
        <f>+IF(AVANCE[[#This Row],[CABLEADO]]=AD$2,100%,AVANCE[[#This Row],[CABLEADO]])</f>
        <v>1</v>
      </c>
      <c r="BU20" s="3">
        <f>+IF(AVANCE[[#This Row],[ARTEFACTOS]]=AE$2,100%,AVANCE[[#This Row],[ARTEFACTOS]])</f>
        <v>1</v>
      </c>
      <c r="BV20" s="3">
        <f>+IF(AVANCE[[#This Row],[TABLERO]]=AF$2,100%,AVANCE[[#This Row],[TABLERO]])</f>
        <v>1</v>
      </c>
      <c r="BW20" s="3">
        <f>+IF(AVANCE[[#This Row],[CAJA PAU]]=AG$2,100%,AVANCE[[#This Row],[CAJA PAU]])</f>
        <v>1</v>
      </c>
      <c r="BX20" s="3">
        <f>+IF(AVANCE[[#This Row],[INSTALACION VINILICO]]=AJ$2,100%,AVANCE[[#This Row],[INSTALACION VINILICO]])</f>
        <v>1</v>
      </c>
      <c r="BY20" s="3">
        <f>+IF(AVANCE[[#This Row],[OSB CUBIERTA]]=AK$2,100%,AVANCE[[#This Row],[OSB CUBIERTA]])</f>
        <v>1</v>
      </c>
      <c r="BZ20" s="3">
        <f>+IF(AVANCE[[#This Row],[BARANDA BALCON]]=AL$2,100%,AVANCE[[#This Row],[BARANDA BALCON]])</f>
        <v>1</v>
      </c>
      <c r="CA20" s="3">
        <f>+IF(AVANCE[[#This Row],[OSB EXTERIOR]]=AM$2,100%,AVANCE[[#This Row],[OSB EXTERIOR]])</f>
        <v>1</v>
      </c>
      <c r="CB20" s="3">
        <f>+IF(AVANCE[[#This Row],[SMART PANEL]]=AN$2,100%,AVANCE[[#This Row],[SMART PANEL]])</f>
        <v>1</v>
      </c>
      <c r="CC20" s="3">
        <f>+IF(AVANCE[[#This Row],[PINTURA EXTERIOR]]=AO$2,100%,AVANCE[[#This Row],[PINTURA EXTERIOR]])</f>
        <v>1</v>
      </c>
      <c r="CD20" s="3">
        <f>+IF(AVANCE[[#This Row],[ZOCALOS LOGIA]]=AP$2,100%,AVANCE[[#This Row],[ZOCALOS LOGIA]])</f>
        <v>1</v>
      </c>
      <c r="CE20" s="3">
        <f>+IF(AVANCE[[#This Row],[MOLDURAS]]=AQ$2,100%,AVANCE[[#This Row],[MOLDURAS]])</f>
        <v>1</v>
      </c>
      <c r="CF20" s="3">
        <f>+IF(AVANCE[[#This Row],[PILASTREO]]=AR$2,100%,AVANCE[[#This Row],[PILASTREO]])</f>
        <v>1</v>
      </c>
      <c r="CG20" s="3">
        <f>+IF(AVANCE[[#This Row],[CELOSIAS]]=AS$2,100%,AVANCE[[#This Row],[CELOSIAS]])</f>
        <v>1</v>
      </c>
      <c r="CH20" s="3">
        <f>+IF(AVANCE[[#This Row],[VENTANAS]]=AT$2,100%,AVANCE[[#This Row],[VENTANAS]])</f>
        <v>1</v>
      </c>
      <c r="CI20" s="3">
        <f>+IF(AVANCE[[#This Row],[PUERTAS ACCESO - LOGIA - BANO]]=AU$2,100%,AVANCE[[#This Row],[PUERTAS ACCESO - LOGIA - BANO]])</f>
        <v>1</v>
      </c>
      <c r="CJ20" s="3">
        <f>+IF(AVANCE[[#This Row],[CERRADURAS]]=AV$2,100%,AVANCE[[#This Row],[CERRADURAS]])</f>
        <v>1</v>
      </c>
      <c r="CK20" s="3">
        <f>+IF(AVANCE[[#This Row],[REVESTIMIENTO INTERIOR ZONA SECA]]=AW$2,100%,AVANCE[[#This Row],[REVESTIMIENTO INTERIOR ZONA SECA]])</f>
        <v>1</v>
      </c>
      <c r="CL20" s="3">
        <f>+IF(AVANCE[[#This Row],[REVESTIMIENTO INTERIOR ZONAS HUMEDAS]]=AX$2,100%,AVANCE[[#This Row],[REVESTIMIENTO INTERIOR ZONAS HUMEDAS]])</f>
        <v>1</v>
      </c>
      <c r="CM20" s="3">
        <f>+IF(AVANCE[[#This Row],[MEMBRANA CIELO]]=AY$2,100%,AVANCE[[#This Row],[MEMBRANA CIELO]])</f>
        <v>1</v>
      </c>
      <c r="CN20" s="3">
        <f>+IF(AVANCE[[#This Row],[LIMPIEZA FINAL]]=AZ$2,100%,AVANCE[[#This Row],[LIMPIEZA FINAL]])</f>
        <v>1</v>
      </c>
      <c r="CO20" s="3">
        <f>+IF(AVANCE[[#This Row],[PUERTAS DORMITORIO]]=BA$2,100%,AVANCE[[#This Row],[PUERTAS DORMITORIO]])</f>
        <v>1</v>
      </c>
      <c r="CP20" s="3">
        <f>+IF(AVANCE[[#This Row],[REVESTIMIENTO INTERIOR BANO]]=BB$2,100%,AVANCE[[#This Row],[REVESTIMIENTO INTERIOR BANO]])</f>
        <v>1</v>
      </c>
      <c r="CQ20" s="3">
        <f>+IF(AVANCE[[#This Row],[MUEBLE LAVAPLATOS]]=BC$2,100%,AVANCE[[#This Row],[MUEBLE LAVAPLATOS]])</f>
        <v>1</v>
      </c>
      <c r="CR20" s="3">
        <f>+IF(AVANCE[[#This Row],[IMPERMEABILIZACION BANO - COCINA LOGIA]]=BD$2,100%,AVANCE[[#This Row],[IMPERMEABILIZACION BANO - COCINA LOGIA]])</f>
        <v>1</v>
      </c>
      <c r="CS20" s="40">
        <f ca="1">+IF(AVANCE[[#This Row],[ESTADO MODULO]]="PENDIENTE",(TODAY()-AVANCE[[#This Row],[FECHA TERMINO  PLANIFICADO]]),0)</f>
        <v>0</v>
      </c>
      <c r="CT20" s="41" t="str" cm="1">
        <f t="array" ref="CT20">_xlfn.TEXTJOIN(" | ",TRUE,IF(SUMPRODUCT((BG20:CR20&lt;1)*(PARTIDAS!$I$2:$AT$2="OBRA GRUESA"))&gt;0,"OBRA GRUESA: "&amp;_xlfn.TEXTJOIN(", ",TRUE,IF((BG20:CR20&lt;1)*(PARTIDAS!$I$2:$AT$2="OBRA GRUESA"),PARTIDAS!$I$1:$AT$1,"")),""),IF(SUMPRODUCT((BG20:CR20&lt;1)*(PARTIDAS!$I$2:$AT$2="SANITARIOS"))&gt;0,"SANITARIOS: "&amp;_xlfn.TEXTJOIN(", ",TRUE,IF((BG20:CR20&lt;1)*(PARTIDAS!$I$2:$AT$2="SANITARIOS"),PARTIDAS!$I$1:$AT$1,"")),""),IF(SUMPRODUCT((BG20:CR20&lt;1)*(PARTIDAS!$I$2:$AT$2="ELÉCTRICO"))&gt;0,"ELÉCTRICO: "&amp;_xlfn.TEXTJOIN(", ",TRUE,IF((BG20:CR20&lt;1)*(PARTIDAS!$I$2:$AT$2="ELÉCTRICO"),PARTIDAS!$I$1:$AT$1,"")),""),IF(SUMPRODUCT((BG20:CR20&lt;1)*(PARTIDAS!$I$2:$AT$2="TERMINACIONES"))&gt;0,"TERMINACIONES: "&amp;_xlfn.TEXTJOIN(", ",TRUE,IF((BG20:CR20&lt;1)*(PARTIDAS!$I$2:$AT$2="TERMINACIONES"),PARTIDAS!$I$1:$AT$1,"")),""))</f>
        <v/>
      </c>
      <c r="CU20" s="43" t="str" cm="1">
        <f t="array" ref="CU20">_xlfn.TEXTJOIN(", ",TRUE,IF(SUMPRODUCT((BG20:CR20&lt;1)*(PARTIDAS!$I$2:$AT$2="OBRA GRUESA"))&gt;0,"OBRA GRUESA",""),IF(SUMPRODUCT((BG20:CR20&lt;1)*(PARTIDAS!$I$2:$AT$2="SANITARIOS"))&gt;0,"SANITARIOS",""),IF(SUMPRODUCT((BG20:CR20&lt;1)*(PARTIDAS!$I$2:$AT$2="ELÉCTRICO"))&gt;0,"ELÉCTRICO",""),IF(SUMPRODUCT((BG20:CR20&lt;1)*(PARTIDAS!$I$2:$AT$2="TERMINACIONES"))&gt;0,"TERMINACIONES",""))</f>
        <v/>
      </c>
      <c r="CV20" s="44" cm="1">
        <f t="array" ref="CV20">SUMPRODUCT(--(BG20:CR20&lt;1))</f>
        <v>0</v>
      </c>
    </row>
    <row r="21" spans="1:100" hidden="1" x14ac:dyDescent="0.25">
      <c r="A21" t="s">
        <v>56</v>
      </c>
      <c r="B21" t="s">
        <v>78</v>
      </c>
      <c r="C21">
        <v>2282600020</v>
      </c>
      <c r="D21" t="s">
        <v>58</v>
      </c>
      <c r="E21" s="2">
        <v>0.99999999999999978</v>
      </c>
      <c r="F21" s="1">
        <v>46080</v>
      </c>
      <c r="G21" s="1">
        <v>46080</v>
      </c>
      <c r="H21" s="1">
        <v>46156</v>
      </c>
      <c r="I21" s="1">
        <v>46139</v>
      </c>
      <c r="K21" s="1">
        <v>46156</v>
      </c>
      <c r="L21" s="3">
        <v>0.43</v>
      </c>
      <c r="M21" s="3">
        <v>1</v>
      </c>
      <c r="N21" s="3">
        <v>0.27906976744186046</v>
      </c>
      <c r="O21" s="3">
        <v>0.18604651162790697</v>
      </c>
      <c r="P21" s="3">
        <v>0.2558139534883721</v>
      </c>
      <c r="Q21" s="3">
        <v>0.18604651162790697</v>
      </c>
      <c r="R21" s="3">
        <v>9.3023255813953487E-2</v>
      </c>
      <c r="S21" s="3">
        <v>0.09</v>
      </c>
      <c r="T21" s="3">
        <v>1</v>
      </c>
      <c r="U21" s="3">
        <v>0.22222222222222221</v>
      </c>
      <c r="V21" s="3">
        <v>0.22222222222222221</v>
      </c>
      <c r="W21" s="3">
        <v>0.1111111111111111</v>
      </c>
      <c r="X21" s="3">
        <v>0.1111111111111111</v>
      </c>
      <c r="Y21" s="3">
        <v>0.1111111111111111</v>
      </c>
      <c r="Z21" s="3">
        <v>0.22222222222222221</v>
      </c>
      <c r="AA21" s="3">
        <v>0.11</v>
      </c>
      <c r="AB21" s="3">
        <v>1</v>
      </c>
      <c r="AC21" s="3">
        <v>0.27272727272727271</v>
      </c>
      <c r="AD21" s="3">
        <v>0.27272727272727271</v>
      </c>
      <c r="AE21" s="3">
        <v>9.0909090909090912E-2</v>
      </c>
      <c r="AF21" s="3">
        <v>0.18181818181818182</v>
      </c>
      <c r="AG21" s="3">
        <v>0.18181818181818182</v>
      </c>
      <c r="AH21" s="3">
        <v>0.36999999999999983</v>
      </c>
      <c r="AI21" s="3">
        <v>0.99999999999999956</v>
      </c>
      <c r="AJ21" s="3">
        <v>5.4054054054054036E-2</v>
      </c>
      <c r="AK21" s="3">
        <v>5.4054054054054036E-2</v>
      </c>
      <c r="AL21" s="3">
        <v>2.7027027027027018E-2</v>
      </c>
      <c r="AM21" s="3">
        <v>8.1081081081081058E-2</v>
      </c>
      <c r="AN21" s="3">
        <v>8.1081081081081058E-2</v>
      </c>
      <c r="AO21" s="3">
        <v>6.7567567567567557E-2</v>
      </c>
      <c r="AP21" s="3">
        <v>5.4054054054054036E-2</v>
      </c>
      <c r="AQ21" s="3">
        <v>1.3513513513513509E-2</v>
      </c>
      <c r="AR21" s="3">
        <v>4.0540540540540529E-2</v>
      </c>
      <c r="AS21" s="3">
        <v>1.3513513513513509E-2</v>
      </c>
      <c r="AT21" s="3">
        <v>8.1081081081081058E-2</v>
      </c>
      <c r="AU21" s="3">
        <v>5.4054054054054036E-2</v>
      </c>
      <c r="AV21" s="3">
        <v>2.7027027027027018E-2</v>
      </c>
      <c r="AW21" s="3">
        <v>5.4054054054054036E-2</v>
      </c>
      <c r="AX21" s="3">
        <v>5.4054054054054036E-2</v>
      </c>
      <c r="AY21" s="3">
        <v>2.7027027027027018E-2</v>
      </c>
      <c r="AZ21" s="3">
        <v>4.0540540540540529E-2</v>
      </c>
      <c r="BA21" s="3">
        <v>5.4054054054054036E-2</v>
      </c>
      <c r="BB21" s="3">
        <v>8.1081081081081058E-2</v>
      </c>
      <c r="BC21" s="3">
        <v>1.3513513513513509E-2</v>
      </c>
      <c r="BD21" s="3">
        <v>2.7027027027027018E-2</v>
      </c>
      <c r="BE21">
        <v>28.87</v>
      </c>
      <c r="BF21" s="3" t="str">
        <f>+IF(AVANCE[[#This Row],[% AVANCE]]=100%,"MODULO TERMINADO",IF(AVANCE[[#This Row],[FECHA INICIO REAL]]="","MODULO NO INICIADO","PENDIENTE"))</f>
        <v>MODULO TERMINADO</v>
      </c>
      <c r="BG21" s="3">
        <f>+IF(AVANCE[[#This Row],[VENTANAS]]=8.10810810810811%,100%,AVANCE[[#This Row],[VENTANAS]])</f>
        <v>1</v>
      </c>
      <c r="BH21" s="3">
        <f>+IF(AVANCE[[#This Row],[PISO]]=N$2,100%,AVANCE[[#This Row],[PISO]])</f>
        <v>1</v>
      </c>
      <c r="BI21" s="3">
        <f>+IF(AVANCE[[#This Row],[TABIQUES]]=O$2,100%,AVANCE[[#This Row],[TABIQUES]])</f>
        <v>1</v>
      </c>
      <c r="BJ21" s="3">
        <f>+IF(AVANCE[[#This Row],[MUROS]]=P$2,100%,AVANCE[[#This Row],[MUROS]])</f>
        <v>1</v>
      </c>
      <c r="BK21" s="3">
        <f>+IF(AVANCE[[#This Row],[CIELO]]=Q$2,100%,AVANCE[[#This Row],[CIELO]])</f>
        <v>1</v>
      </c>
      <c r="BL21" s="3">
        <f>+IF(AVANCE[[#This Row],[BALCÓN]]=R$2,100%,AVANCE[[#This Row],[BALCÓN]])</f>
        <v>1</v>
      </c>
      <c r="BM21" s="3">
        <f>+IF(AVANCE[[#This Row],[RED ALCANTARILLADO]]=U$2,100%,AVANCE[[#This Row],[RED ALCANTARILLADO]])</f>
        <v>1</v>
      </c>
      <c r="BN21" s="3">
        <f>+IF(AVANCE[[#This Row],[RED DE AGUA]]=V$2,100%,AVANCE[[#This Row],[RED DE AGUA]])</f>
        <v>1</v>
      </c>
      <c r="BO21" s="3">
        <f>+IF(AVANCE[[#This Row],[VENTILACIONES]]=W$2,100%,AVANCE[[#This Row],[VENTILACIONES]])</f>
        <v>1</v>
      </c>
      <c r="BP21" s="3">
        <f>+IF(AVANCE[[#This Row],[TINA]]=X$2,100%,AVANCE[[#This Row],[TINA]])</f>
        <v>1</v>
      </c>
      <c r="BQ21" s="3">
        <f>+IF(AVANCE[[#This Row],[WC]]=Y$2,100%,AVANCE[[#This Row],[WC]])</f>
        <v>1</v>
      </c>
      <c r="BR21" s="3">
        <f>+IF(AVANCE[[#This Row],[LAVAMANOS / LAVAPLATOS / LAVADERO]]=Z$2,100%,AVANCE[[#This Row],[LAVAMANOS / LAVAPLATOS / LAVADERO]])</f>
        <v>1</v>
      </c>
      <c r="BS21" s="3">
        <f>+IF(AVANCE[[#This Row],[CANALIZACIÓN]]=AC$2,100%,AVANCE[[#This Row],[CANALIZACIÓN]])</f>
        <v>1</v>
      </c>
      <c r="BT21" s="3">
        <f>+IF(AVANCE[[#This Row],[CABLEADO]]=AD$2,100%,AVANCE[[#This Row],[CABLEADO]])</f>
        <v>1</v>
      </c>
      <c r="BU21" s="3">
        <f>+IF(AVANCE[[#This Row],[ARTEFACTOS]]=AE$2,100%,AVANCE[[#This Row],[ARTEFACTOS]])</f>
        <v>1</v>
      </c>
      <c r="BV21" s="3">
        <f>+IF(AVANCE[[#This Row],[TABLERO]]=AF$2,100%,AVANCE[[#This Row],[TABLERO]])</f>
        <v>1</v>
      </c>
      <c r="BW21" s="3">
        <f>+IF(AVANCE[[#This Row],[CAJA PAU]]=AG$2,100%,AVANCE[[#This Row],[CAJA PAU]])</f>
        <v>1</v>
      </c>
      <c r="BX21" s="3">
        <f>+IF(AVANCE[[#This Row],[INSTALACION VINILICO]]=AJ$2,100%,AVANCE[[#This Row],[INSTALACION VINILICO]])</f>
        <v>1</v>
      </c>
      <c r="BY21" s="3">
        <f>+IF(AVANCE[[#This Row],[OSB CUBIERTA]]=AK$2,100%,AVANCE[[#This Row],[OSB CUBIERTA]])</f>
        <v>1</v>
      </c>
      <c r="BZ21" s="3">
        <f>+IF(AVANCE[[#This Row],[BARANDA BALCON]]=AL$2,100%,AVANCE[[#This Row],[BARANDA BALCON]])</f>
        <v>1</v>
      </c>
      <c r="CA21" s="3">
        <f>+IF(AVANCE[[#This Row],[OSB EXTERIOR]]=AM$2,100%,AVANCE[[#This Row],[OSB EXTERIOR]])</f>
        <v>1</v>
      </c>
      <c r="CB21" s="3">
        <f>+IF(AVANCE[[#This Row],[SMART PANEL]]=AN$2,100%,AVANCE[[#This Row],[SMART PANEL]])</f>
        <v>1</v>
      </c>
      <c r="CC21" s="3">
        <f>+IF(AVANCE[[#This Row],[PINTURA EXTERIOR]]=AO$2,100%,AVANCE[[#This Row],[PINTURA EXTERIOR]])</f>
        <v>1</v>
      </c>
      <c r="CD21" s="3">
        <f>+IF(AVANCE[[#This Row],[ZOCALOS LOGIA]]=AP$2,100%,AVANCE[[#This Row],[ZOCALOS LOGIA]])</f>
        <v>1</v>
      </c>
      <c r="CE21" s="3">
        <f>+IF(AVANCE[[#This Row],[MOLDURAS]]=AQ$2,100%,AVANCE[[#This Row],[MOLDURAS]])</f>
        <v>1</v>
      </c>
      <c r="CF21" s="3">
        <f>+IF(AVANCE[[#This Row],[PILASTREO]]=AR$2,100%,AVANCE[[#This Row],[PILASTREO]])</f>
        <v>1</v>
      </c>
      <c r="CG21" s="3">
        <f>+IF(AVANCE[[#This Row],[CELOSIAS]]=AS$2,100%,AVANCE[[#This Row],[CELOSIAS]])</f>
        <v>1</v>
      </c>
      <c r="CH21" s="3">
        <f>+IF(AVANCE[[#This Row],[VENTANAS]]=AT$2,100%,AVANCE[[#This Row],[VENTANAS]])</f>
        <v>1</v>
      </c>
      <c r="CI21" s="3">
        <f>+IF(AVANCE[[#This Row],[PUERTAS ACCESO - LOGIA - BANO]]=AU$2,100%,AVANCE[[#This Row],[PUERTAS ACCESO - LOGIA - BANO]])</f>
        <v>1</v>
      </c>
      <c r="CJ21" s="3">
        <f>+IF(AVANCE[[#This Row],[CERRADURAS]]=AV$2,100%,AVANCE[[#This Row],[CERRADURAS]])</f>
        <v>1</v>
      </c>
      <c r="CK21" s="3">
        <f>+IF(AVANCE[[#This Row],[REVESTIMIENTO INTERIOR ZONA SECA]]=AW$2,100%,AVANCE[[#This Row],[REVESTIMIENTO INTERIOR ZONA SECA]])</f>
        <v>1</v>
      </c>
      <c r="CL21" s="3">
        <f>+IF(AVANCE[[#This Row],[REVESTIMIENTO INTERIOR ZONAS HUMEDAS]]=AX$2,100%,AVANCE[[#This Row],[REVESTIMIENTO INTERIOR ZONAS HUMEDAS]])</f>
        <v>1</v>
      </c>
      <c r="CM21" s="3">
        <f>+IF(AVANCE[[#This Row],[MEMBRANA CIELO]]=AY$2,100%,AVANCE[[#This Row],[MEMBRANA CIELO]])</f>
        <v>1</v>
      </c>
      <c r="CN21" s="3">
        <f>+IF(AVANCE[[#This Row],[LIMPIEZA FINAL]]=AZ$2,100%,AVANCE[[#This Row],[LIMPIEZA FINAL]])</f>
        <v>1</v>
      </c>
      <c r="CO21" s="3">
        <f>+IF(AVANCE[[#This Row],[PUERTAS DORMITORIO]]=BA$2,100%,AVANCE[[#This Row],[PUERTAS DORMITORIO]])</f>
        <v>1</v>
      </c>
      <c r="CP21" s="3">
        <f>+IF(AVANCE[[#This Row],[REVESTIMIENTO INTERIOR BANO]]=BB$2,100%,AVANCE[[#This Row],[REVESTIMIENTO INTERIOR BANO]])</f>
        <v>1</v>
      </c>
      <c r="CQ21" s="3">
        <f>+IF(AVANCE[[#This Row],[MUEBLE LAVAPLATOS]]=BC$2,100%,AVANCE[[#This Row],[MUEBLE LAVAPLATOS]])</f>
        <v>1</v>
      </c>
      <c r="CR21" s="3">
        <f>+IF(AVANCE[[#This Row],[IMPERMEABILIZACION BANO - COCINA LOGIA]]=BD$2,100%,AVANCE[[#This Row],[IMPERMEABILIZACION BANO - COCINA LOGIA]])</f>
        <v>1</v>
      </c>
      <c r="CS21" s="40">
        <f ca="1">+IF(AVANCE[[#This Row],[ESTADO MODULO]]="PENDIENTE",(TODAY()-AVANCE[[#This Row],[FECHA TERMINO  PLANIFICADO]]),0)</f>
        <v>0</v>
      </c>
      <c r="CT21" s="41" t="str" cm="1">
        <f t="array" ref="CT21">_xlfn.TEXTJOIN(" | ",TRUE,IF(SUMPRODUCT((BG21:CR21&lt;1)*(PARTIDAS!$I$2:$AT$2="OBRA GRUESA"))&gt;0,"OBRA GRUESA: "&amp;_xlfn.TEXTJOIN(", ",TRUE,IF((BG21:CR21&lt;1)*(PARTIDAS!$I$2:$AT$2="OBRA GRUESA"),PARTIDAS!$I$1:$AT$1,"")),""),IF(SUMPRODUCT((BG21:CR21&lt;1)*(PARTIDAS!$I$2:$AT$2="SANITARIOS"))&gt;0,"SANITARIOS: "&amp;_xlfn.TEXTJOIN(", ",TRUE,IF((BG21:CR21&lt;1)*(PARTIDAS!$I$2:$AT$2="SANITARIOS"),PARTIDAS!$I$1:$AT$1,"")),""),IF(SUMPRODUCT((BG21:CR21&lt;1)*(PARTIDAS!$I$2:$AT$2="ELÉCTRICO"))&gt;0,"ELÉCTRICO: "&amp;_xlfn.TEXTJOIN(", ",TRUE,IF((BG21:CR21&lt;1)*(PARTIDAS!$I$2:$AT$2="ELÉCTRICO"),PARTIDAS!$I$1:$AT$1,"")),""),IF(SUMPRODUCT((BG21:CR21&lt;1)*(PARTIDAS!$I$2:$AT$2="TERMINACIONES"))&gt;0,"TERMINACIONES: "&amp;_xlfn.TEXTJOIN(", ",TRUE,IF((BG21:CR21&lt;1)*(PARTIDAS!$I$2:$AT$2="TERMINACIONES"),PARTIDAS!$I$1:$AT$1,"")),""))</f>
        <v/>
      </c>
      <c r="CU21" s="43" t="str" cm="1">
        <f t="array" ref="CU21">_xlfn.TEXTJOIN(", ",TRUE,IF(SUMPRODUCT((BG21:CR21&lt;1)*(PARTIDAS!$I$2:$AT$2="OBRA GRUESA"))&gt;0,"OBRA GRUESA",""),IF(SUMPRODUCT((BG21:CR21&lt;1)*(PARTIDAS!$I$2:$AT$2="SANITARIOS"))&gt;0,"SANITARIOS",""),IF(SUMPRODUCT((BG21:CR21&lt;1)*(PARTIDAS!$I$2:$AT$2="ELÉCTRICO"))&gt;0,"ELÉCTRICO",""),IF(SUMPRODUCT((BG21:CR21&lt;1)*(PARTIDAS!$I$2:$AT$2="TERMINACIONES"))&gt;0,"TERMINACIONES",""))</f>
        <v/>
      </c>
      <c r="CV21" s="44" cm="1">
        <f t="array" ref="CV21">SUMPRODUCT(--(BG21:CR21&lt;1))</f>
        <v>0</v>
      </c>
    </row>
    <row r="22" spans="1:100" hidden="1" x14ac:dyDescent="0.25">
      <c r="A22" t="s">
        <v>56</v>
      </c>
      <c r="B22" t="s">
        <v>79</v>
      </c>
      <c r="C22">
        <v>2282600021</v>
      </c>
      <c r="D22" t="s">
        <v>58</v>
      </c>
      <c r="E22" s="2">
        <v>0.99999999999999978</v>
      </c>
      <c r="F22" s="1">
        <v>46085</v>
      </c>
      <c r="G22" s="1">
        <v>46085</v>
      </c>
      <c r="H22" s="1">
        <v>46161</v>
      </c>
      <c r="I22" s="1">
        <v>46133</v>
      </c>
      <c r="K22" s="1">
        <v>46161</v>
      </c>
      <c r="L22" s="3">
        <v>0.43</v>
      </c>
      <c r="M22" s="3">
        <v>1</v>
      </c>
      <c r="N22" s="3">
        <v>0.27906976744186046</v>
      </c>
      <c r="O22" s="3">
        <v>0.18604651162790697</v>
      </c>
      <c r="P22" s="3">
        <v>0.2558139534883721</v>
      </c>
      <c r="Q22" s="3">
        <v>0.18604651162790697</v>
      </c>
      <c r="R22" s="3">
        <v>9.3023255813953487E-2</v>
      </c>
      <c r="S22" s="3">
        <v>0.09</v>
      </c>
      <c r="T22" s="3">
        <v>1</v>
      </c>
      <c r="U22" s="3">
        <v>0.22222222222222221</v>
      </c>
      <c r="V22" s="3">
        <v>0.22222222222222221</v>
      </c>
      <c r="W22" s="3">
        <v>0.1111111111111111</v>
      </c>
      <c r="X22" s="3">
        <v>0.1111111111111111</v>
      </c>
      <c r="Y22" s="3">
        <v>0.1111111111111111</v>
      </c>
      <c r="Z22" s="3">
        <v>0.22222222222222221</v>
      </c>
      <c r="AA22" s="3">
        <v>0.11</v>
      </c>
      <c r="AB22" s="3">
        <v>1</v>
      </c>
      <c r="AC22" s="3">
        <v>0.27272727272727271</v>
      </c>
      <c r="AD22" s="3">
        <v>0.27272727272727271</v>
      </c>
      <c r="AE22" s="3">
        <v>9.0909090909090912E-2</v>
      </c>
      <c r="AF22" s="3">
        <v>0.18181818181818182</v>
      </c>
      <c r="AG22" s="3">
        <v>0.18181818181818182</v>
      </c>
      <c r="AH22" s="3">
        <v>0.36999999999999983</v>
      </c>
      <c r="AI22" s="3">
        <v>0.99999999999999956</v>
      </c>
      <c r="AJ22" s="3">
        <v>5.4054054054054036E-2</v>
      </c>
      <c r="AK22" s="3">
        <v>5.4054054054054036E-2</v>
      </c>
      <c r="AL22" s="3">
        <v>2.7027027027027018E-2</v>
      </c>
      <c r="AM22" s="3">
        <v>8.1081081081081058E-2</v>
      </c>
      <c r="AN22" s="3">
        <v>8.1081081081081058E-2</v>
      </c>
      <c r="AO22" s="3">
        <v>6.7567567567567557E-2</v>
      </c>
      <c r="AP22" s="3">
        <v>5.4054054054054036E-2</v>
      </c>
      <c r="AQ22" s="3">
        <v>1.3513513513513509E-2</v>
      </c>
      <c r="AR22" s="3">
        <v>4.0540540540540529E-2</v>
      </c>
      <c r="AS22" s="3">
        <v>1.3513513513513509E-2</v>
      </c>
      <c r="AT22" s="3">
        <v>8.1081081081081058E-2</v>
      </c>
      <c r="AU22" s="3">
        <v>5.4054054054054036E-2</v>
      </c>
      <c r="AV22" s="3">
        <v>2.7027027027027018E-2</v>
      </c>
      <c r="AW22" s="3">
        <v>5.4054054054054036E-2</v>
      </c>
      <c r="AX22" s="3">
        <v>5.4054054054054036E-2</v>
      </c>
      <c r="AY22" s="3">
        <v>2.7027027027027018E-2</v>
      </c>
      <c r="AZ22" s="3">
        <v>4.0540540540540529E-2</v>
      </c>
      <c r="BA22" s="3">
        <v>5.4054054054054036E-2</v>
      </c>
      <c r="BB22" s="3">
        <v>8.1081081081081058E-2</v>
      </c>
      <c r="BC22" s="3">
        <v>1.3513513513513509E-2</v>
      </c>
      <c r="BD22" s="3">
        <v>2.7027027027027018E-2</v>
      </c>
      <c r="BE22">
        <v>28.87</v>
      </c>
      <c r="BF22" s="3" t="str">
        <f>+IF(AVANCE[[#This Row],[% AVANCE]]=100%,"MODULO TERMINADO",IF(AVANCE[[#This Row],[FECHA INICIO REAL]]="","MODULO NO INICIADO","PENDIENTE"))</f>
        <v>MODULO TERMINADO</v>
      </c>
      <c r="BG22" s="3">
        <f>+IF(AVANCE[[#This Row],[VENTANAS]]=8.10810810810811%,100%,AVANCE[[#This Row],[VENTANAS]])</f>
        <v>1</v>
      </c>
      <c r="BH22" s="3">
        <f>+IF(AVANCE[[#This Row],[PISO]]=N$2,100%,AVANCE[[#This Row],[PISO]])</f>
        <v>1</v>
      </c>
      <c r="BI22" s="3">
        <f>+IF(AVANCE[[#This Row],[TABIQUES]]=O$2,100%,AVANCE[[#This Row],[TABIQUES]])</f>
        <v>1</v>
      </c>
      <c r="BJ22" s="3">
        <f>+IF(AVANCE[[#This Row],[MUROS]]=P$2,100%,AVANCE[[#This Row],[MUROS]])</f>
        <v>1</v>
      </c>
      <c r="BK22" s="3">
        <f>+IF(AVANCE[[#This Row],[CIELO]]=Q$2,100%,AVANCE[[#This Row],[CIELO]])</f>
        <v>1</v>
      </c>
      <c r="BL22" s="3">
        <f>+IF(AVANCE[[#This Row],[BALCÓN]]=R$2,100%,AVANCE[[#This Row],[BALCÓN]])</f>
        <v>1</v>
      </c>
      <c r="BM22" s="3">
        <f>+IF(AVANCE[[#This Row],[RED ALCANTARILLADO]]=U$2,100%,AVANCE[[#This Row],[RED ALCANTARILLADO]])</f>
        <v>1</v>
      </c>
      <c r="BN22" s="3">
        <f>+IF(AVANCE[[#This Row],[RED DE AGUA]]=V$2,100%,AVANCE[[#This Row],[RED DE AGUA]])</f>
        <v>1</v>
      </c>
      <c r="BO22" s="3">
        <f>+IF(AVANCE[[#This Row],[VENTILACIONES]]=W$2,100%,AVANCE[[#This Row],[VENTILACIONES]])</f>
        <v>1</v>
      </c>
      <c r="BP22" s="3">
        <f>+IF(AVANCE[[#This Row],[TINA]]=X$2,100%,AVANCE[[#This Row],[TINA]])</f>
        <v>1</v>
      </c>
      <c r="BQ22" s="3">
        <f>+IF(AVANCE[[#This Row],[WC]]=Y$2,100%,AVANCE[[#This Row],[WC]])</f>
        <v>1</v>
      </c>
      <c r="BR22" s="3">
        <f>+IF(AVANCE[[#This Row],[LAVAMANOS / LAVAPLATOS / LAVADERO]]=Z$2,100%,AVANCE[[#This Row],[LAVAMANOS / LAVAPLATOS / LAVADERO]])</f>
        <v>1</v>
      </c>
      <c r="BS22" s="3">
        <f>+IF(AVANCE[[#This Row],[CANALIZACIÓN]]=AC$2,100%,AVANCE[[#This Row],[CANALIZACIÓN]])</f>
        <v>1</v>
      </c>
      <c r="BT22" s="3">
        <f>+IF(AVANCE[[#This Row],[CABLEADO]]=AD$2,100%,AVANCE[[#This Row],[CABLEADO]])</f>
        <v>1</v>
      </c>
      <c r="BU22" s="3">
        <f>+IF(AVANCE[[#This Row],[ARTEFACTOS]]=AE$2,100%,AVANCE[[#This Row],[ARTEFACTOS]])</f>
        <v>1</v>
      </c>
      <c r="BV22" s="3">
        <f>+IF(AVANCE[[#This Row],[TABLERO]]=AF$2,100%,AVANCE[[#This Row],[TABLERO]])</f>
        <v>1</v>
      </c>
      <c r="BW22" s="3">
        <f>+IF(AVANCE[[#This Row],[CAJA PAU]]=AG$2,100%,AVANCE[[#This Row],[CAJA PAU]])</f>
        <v>1</v>
      </c>
      <c r="BX22" s="3">
        <f>+IF(AVANCE[[#This Row],[INSTALACION VINILICO]]=AJ$2,100%,AVANCE[[#This Row],[INSTALACION VINILICO]])</f>
        <v>1</v>
      </c>
      <c r="BY22" s="3">
        <f>+IF(AVANCE[[#This Row],[OSB CUBIERTA]]=AK$2,100%,AVANCE[[#This Row],[OSB CUBIERTA]])</f>
        <v>1</v>
      </c>
      <c r="BZ22" s="3">
        <f>+IF(AVANCE[[#This Row],[BARANDA BALCON]]=AL$2,100%,AVANCE[[#This Row],[BARANDA BALCON]])</f>
        <v>1</v>
      </c>
      <c r="CA22" s="3">
        <f>+IF(AVANCE[[#This Row],[OSB EXTERIOR]]=AM$2,100%,AVANCE[[#This Row],[OSB EXTERIOR]])</f>
        <v>1</v>
      </c>
      <c r="CB22" s="3">
        <f>+IF(AVANCE[[#This Row],[SMART PANEL]]=AN$2,100%,AVANCE[[#This Row],[SMART PANEL]])</f>
        <v>1</v>
      </c>
      <c r="CC22" s="3">
        <f>+IF(AVANCE[[#This Row],[PINTURA EXTERIOR]]=AO$2,100%,AVANCE[[#This Row],[PINTURA EXTERIOR]])</f>
        <v>1</v>
      </c>
      <c r="CD22" s="3">
        <f>+IF(AVANCE[[#This Row],[ZOCALOS LOGIA]]=AP$2,100%,AVANCE[[#This Row],[ZOCALOS LOGIA]])</f>
        <v>1</v>
      </c>
      <c r="CE22" s="3">
        <f>+IF(AVANCE[[#This Row],[MOLDURAS]]=AQ$2,100%,AVANCE[[#This Row],[MOLDURAS]])</f>
        <v>1</v>
      </c>
      <c r="CF22" s="3">
        <f>+IF(AVANCE[[#This Row],[PILASTREO]]=AR$2,100%,AVANCE[[#This Row],[PILASTREO]])</f>
        <v>1</v>
      </c>
      <c r="CG22" s="3">
        <f>+IF(AVANCE[[#This Row],[CELOSIAS]]=AS$2,100%,AVANCE[[#This Row],[CELOSIAS]])</f>
        <v>1</v>
      </c>
      <c r="CH22" s="3">
        <f>+IF(AVANCE[[#This Row],[VENTANAS]]=AT$2,100%,AVANCE[[#This Row],[VENTANAS]])</f>
        <v>1</v>
      </c>
      <c r="CI22" s="3">
        <f>+IF(AVANCE[[#This Row],[PUERTAS ACCESO - LOGIA - BANO]]=AU$2,100%,AVANCE[[#This Row],[PUERTAS ACCESO - LOGIA - BANO]])</f>
        <v>1</v>
      </c>
      <c r="CJ22" s="3">
        <f>+IF(AVANCE[[#This Row],[CERRADURAS]]=AV$2,100%,AVANCE[[#This Row],[CERRADURAS]])</f>
        <v>1</v>
      </c>
      <c r="CK22" s="3">
        <f>+IF(AVANCE[[#This Row],[REVESTIMIENTO INTERIOR ZONA SECA]]=AW$2,100%,AVANCE[[#This Row],[REVESTIMIENTO INTERIOR ZONA SECA]])</f>
        <v>1</v>
      </c>
      <c r="CL22" s="3">
        <f>+IF(AVANCE[[#This Row],[REVESTIMIENTO INTERIOR ZONAS HUMEDAS]]=AX$2,100%,AVANCE[[#This Row],[REVESTIMIENTO INTERIOR ZONAS HUMEDAS]])</f>
        <v>1</v>
      </c>
      <c r="CM22" s="3">
        <f>+IF(AVANCE[[#This Row],[MEMBRANA CIELO]]=AY$2,100%,AVANCE[[#This Row],[MEMBRANA CIELO]])</f>
        <v>1</v>
      </c>
      <c r="CN22" s="3">
        <f>+IF(AVANCE[[#This Row],[LIMPIEZA FINAL]]=AZ$2,100%,AVANCE[[#This Row],[LIMPIEZA FINAL]])</f>
        <v>1</v>
      </c>
      <c r="CO22" s="3">
        <f>+IF(AVANCE[[#This Row],[PUERTAS DORMITORIO]]=BA$2,100%,AVANCE[[#This Row],[PUERTAS DORMITORIO]])</f>
        <v>1</v>
      </c>
      <c r="CP22" s="3">
        <f>+IF(AVANCE[[#This Row],[REVESTIMIENTO INTERIOR BANO]]=BB$2,100%,AVANCE[[#This Row],[REVESTIMIENTO INTERIOR BANO]])</f>
        <v>1</v>
      </c>
      <c r="CQ22" s="3">
        <f>+IF(AVANCE[[#This Row],[MUEBLE LAVAPLATOS]]=BC$2,100%,AVANCE[[#This Row],[MUEBLE LAVAPLATOS]])</f>
        <v>1</v>
      </c>
      <c r="CR22" s="3">
        <f>+IF(AVANCE[[#This Row],[IMPERMEABILIZACION BANO - COCINA LOGIA]]=BD$2,100%,AVANCE[[#This Row],[IMPERMEABILIZACION BANO - COCINA LOGIA]])</f>
        <v>1</v>
      </c>
      <c r="CS22" s="40">
        <f ca="1">+IF(AVANCE[[#This Row],[ESTADO MODULO]]="PENDIENTE",(TODAY()-AVANCE[[#This Row],[FECHA TERMINO  PLANIFICADO]]),0)</f>
        <v>0</v>
      </c>
      <c r="CT22" s="41" t="str" cm="1">
        <f t="array" ref="CT22">_xlfn.TEXTJOIN(" | ",TRUE,IF(SUMPRODUCT((BG22:CR22&lt;1)*(PARTIDAS!$I$2:$AT$2="OBRA GRUESA"))&gt;0,"OBRA GRUESA: "&amp;_xlfn.TEXTJOIN(", ",TRUE,IF((BG22:CR22&lt;1)*(PARTIDAS!$I$2:$AT$2="OBRA GRUESA"),PARTIDAS!$I$1:$AT$1,"")),""),IF(SUMPRODUCT((BG22:CR22&lt;1)*(PARTIDAS!$I$2:$AT$2="SANITARIOS"))&gt;0,"SANITARIOS: "&amp;_xlfn.TEXTJOIN(", ",TRUE,IF((BG22:CR22&lt;1)*(PARTIDAS!$I$2:$AT$2="SANITARIOS"),PARTIDAS!$I$1:$AT$1,"")),""),IF(SUMPRODUCT((BG22:CR22&lt;1)*(PARTIDAS!$I$2:$AT$2="ELÉCTRICO"))&gt;0,"ELÉCTRICO: "&amp;_xlfn.TEXTJOIN(", ",TRUE,IF((BG22:CR22&lt;1)*(PARTIDAS!$I$2:$AT$2="ELÉCTRICO"),PARTIDAS!$I$1:$AT$1,"")),""),IF(SUMPRODUCT((BG22:CR22&lt;1)*(PARTIDAS!$I$2:$AT$2="TERMINACIONES"))&gt;0,"TERMINACIONES: "&amp;_xlfn.TEXTJOIN(", ",TRUE,IF((BG22:CR22&lt;1)*(PARTIDAS!$I$2:$AT$2="TERMINACIONES"),PARTIDAS!$I$1:$AT$1,"")),""))</f>
        <v/>
      </c>
      <c r="CU22" s="43" t="str" cm="1">
        <f t="array" ref="CU22">_xlfn.TEXTJOIN(", ",TRUE,IF(SUMPRODUCT((BG22:CR22&lt;1)*(PARTIDAS!$I$2:$AT$2="OBRA GRUESA"))&gt;0,"OBRA GRUESA",""),IF(SUMPRODUCT((BG22:CR22&lt;1)*(PARTIDAS!$I$2:$AT$2="SANITARIOS"))&gt;0,"SANITARIOS",""),IF(SUMPRODUCT((BG22:CR22&lt;1)*(PARTIDAS!$I$2:$AT$2="ELÉCTRICO"))&gt;0,"ELÉCTRICO",""),IF(SUMPRODUCT((BG22:CR22&lt;1)*(PARTIDAS!$I$2:$AT$2="TERMINACIONES"))&gt;0,"TERMINACIONES",""))</f>
        <v/>
      </c>
      <c r="CV22" s="44" cm="1">
        <f t="array" ref="CV22">SUMPRODUCT(--(BG22:CR22&lt;1))</f>
        <v>0</v>
      </c>
    </row>
    <row r="23" spans="1:100" hidden="1" x14ac:dyDescent="0.25">
      <c r="A23" t="s">
        <v>56</v>
      </c>
      <c r="B23" t="s">
        <v>80</v>
      </c>
      <c r="C23">
        <v>2302600022</v>
      </c>
      <c r="D23" t="s">
        <v>60</v>
      </c>
      <c r="E23" s="2">
        <v>0.99999999999999978</v>
      </c>
      <c r="F23" s="1">
        <v>46091</v>
      </c>
      <c r="G23" s="1">
        <v>46091</v>
      </c>
      <c r="H23" s="1">
        <v>46181</v>
      </c>
      <c r="I23" s="1">
        <v>46150</v>
      </c>
      <c r="K23" s="1">
        <v>46181</v>
      </c>
      <c r="L23" s="3">
        <v>0.43</v>
      </c>
      <c r="M23" s="3">
        <v>1</v>
      </c>
      <c r="N23" s="3">
        <v>0.27906976744186046</v>
      </c>
      <c r="O23" s="3">
        <v>0.18604651162790697</v>
      </c>
      <c r="P23" s="3">
        <v>0.2558139534883721</v>
      </c>
      <c r="Q23" s="3">
        <v>0.18604651162790697</v>
      </c>
      <c r="R23" s="3">
        <v>9.3023255813953487E-2</v>
      </c>
      <c r="S23" s="3">
        <v>0.09</v>
      </c>
      <c r="T23" s="3">
        <v>1</v>
      </c>
      <c r="U23" s="3">
        <v>0.22222222222222221</v>
      </c>
      <c r="V23" s="3">
        <v>0.22222222222222221</v>
      </c>
      <c r="W23" s="3">
        <v>0.1111111111111111</v>
      </c>
      <c r="X23" s="3">
        <v>0.1111111111111111</v>
      </c>
      <c r="Y23" s="3">
        <v>0.1111111111111111</v>
      </c>
      <c r="Z23" s="3">
        <v>0.22222222222222221</v>
      </c>
      <c r="AA23" s="3">
        <v>0.11</v>
      </c>
      <c r="AB23" s="3">
        <v>1</v>
      </c>
      <c r="AC23" s="3">
        <v>0.27272727272727271</v>
      </c>
      <c r="AD23" s="3">
        <v>0.27272727272727271</v>
      </c>
      <c r="AE23" s="3">
        <v>9.0909090909090912E-2</v>
      </c>
      <c r="AF23" s="3">
        <v>0.18181818181818182</v>
      </c>
      <c r="AG23" s="3">
        <v>0.18181818181818182</v>
      </c>
      <c r="AH23" s="3">
        <v>0.36999999999999983</v>
      </c>
      <c r="AI23" s="3">
        <v>0.99999999999999956</v>
      </c>
      <c r="AJ23" s="3">
        <v>5.4054054054054036E-2</v>
      </c>
      <c r="AK23" s="3">
        <v>5.4054054054054036E-2</v>
      </c>
      <c r="AL23" s="3">
        <v>2.7027027027027018E-2</v>
      </c>
      <c r="AM23" s="3">
        <v>8.1081081081081058E-2</v>
      </c>
      <c r="AN23" s="3">
        <v>8.1081081081081058E-2</v>
      </c>
      <c r="AO23" s="3">
        <v>6.7567567567567557E-2</v>
      </c>
      <c r="AP23" s="3">
        <v>5.4054054054054036E-2</v>
      </c>
      <c r="AQ23" s="3">
        <v>1.3513513513513509E-2</v>
      </c>
      <c r="AR23" s="3">
        <v>4.0540540540540529E-2</v>
      </c>
      <c r="AS23" s="3">
        <v>1.3513513513513509E-2</v>
      </c>
      <c r="AT23" s="3">
        <v>8.1081081081081058E-2</v>
      </c>
      <c r="AU23" s="3">
        <v>5.4054054054054036E-2</v>
      </c>
      <c r="AV23" s="3">
        <v>2.7027027027027018E-2</v>
      </c>
      <c r="AW23" s="3">
        <v>5.4054054054054036E-2</v>
      </c>
      <c r="AX23" s="3">
        <v>5.4054054054054036E-2</v>
      </c>
      <c r="AY23" s="3">
        <v>2.7027027027027018E-2</v>
      </c>
      <c r="AZ23" s="3">
        <v>4.0540540540540529E-2</v>
      </c>
      <c r="BA23" s="3">
        <v>5.4054054054054036E-2</v>
      </c>
      <c r="BB23" s="3">
        <v>8.1081081081081058E-2</v>
      </c>
      <c r="BC23" s="3">
        <v>1.3513513513513509E-2</v>
      </c>
      <c r="BD23" s="3">
        <v>2.7027027027027018E-2</v>
      </c>
      <c r="BE23">
        <v>31.32</v>
      </c>
      <c r="BF23" s="3" t="str">
        <f>+IF(AVANCE[[#This Row],[% AVANCE]]=100%,"MODULO TERMINADO",IF(AVANCE[[#This Row],[FECHA INICIO REAL]]="","MODULO NO INICIADO","PENDIENTE"))</f>
        <v>MODULO TERMINADO</v>
      </c>
      <c r="BG23" s="3">
        <f>+IF(AVANCE[[#This Row],[VENTANAS]]=8.10810810810811%,100%,AVANCE[[#This Row],[VENTANAS]])</f>
        <v>1</v>
      </c>
      <c r="BH23" s="3">
        <f>+IF(AVANCE[[#This Row],[PISO]]=N$2,100%,AVANCE[[#This Row],[PISO]])</f>
        <v>1</v>
      </c>
      <c r="BI23" s="3">
        <f>+IF(AVANCE[[#This Row],[TABIQUES]]=O$2,100%,AVANCE[[#This Row],[TABIQUES]])</f>
        <v>1</v>
      </c>
      <c r="BJ23" s="3">
        <f>+IF(AVANCE[[#This Row],[MUROS]]=P$2,100%,AVANCE[[#This Row],[MUROS]])</f>
        <v>1</v>
      </c>
      <c r="BK23" s="3">
        <f>+IF(AVANCE[[#This Row],[CIELO]]=Q$2,100%,AVANCE[[#This Row],[CIELO]])</f>
        <v>1</v>
      </c>
      <c r="BL23" s="3">
        <f>+IF(AVANCE[[#This Row],[BALCÓN]]=R$2,100%,AVANCE[[#This Row],[BALCÓN]])</f>
        <v>1</v>
      </c>
      <c r="BM23" s="3">
        <f>+IF(AVANCE[[#This Row],[RED ALCANTARILLADO]]=U$2,100%,AVANCE[[#This Row],[RED ALCANTARILLADO]])</f>
        <v>1</v>
      </c>
      <c r="BN23" s="3">
        <f>+IF(AVANCE[[#This Row],[RED DE AGUA]]=V$2,100%,AVANCE[[#This Row],[RED DE AGUA]])</f>
        <v>1</v>
      </c>
      <c r="BO23" s="3">
        <f>+IF(AVANCE[[#This Row],[VENTILACIONES]]=W$2,100%,AVANCE[[#This Row],[VENTILACIONES]])</f>
        <v>1</v>
      </c>
      <c r="BP23" s="3">
        <f>+IF(AVANCE[[#This Row],[TINA]]=X$2,100%,AVANCE[[#This Row],[TINA]])</f>
        <v>1</v>
      </c>
      <c r="BQ23" s="3">
        <f>+IF(AVANCE[[#This Row],[WC]]=Y$2,100%,AVANCE[[#This Row],[WC]])</f>
        <v>1</v>
      </c>
      <c r="BR23" s="3">
        <f>+IF(AVANCE[[#This Row],[LAVAMANOS / LAVAPLATOS / LAVADERO]]=Z$2,100%,AVANCE[[#This Row],[LAVAMANOS / LAVAPLATOS / LAVADERO]])</f>
        <v>1</v>
      </c>
      <c r="BS23" s="3">
        <f>+IF(AVANCE[[#This Row],[CANALIZACIÓN]]=AC$2,100%,AVANCE[[#This Row],[CANALIZACIÓN]])</f>
        <v>1</v>
      </c>
      <c r="BT23" s="3">
        <f>+IF(AVANCE[[#This Row],[CABLEADO]]=AD$2,100%,AVANCE[[#This Row],[CABLEADO]])</f>
        <v>1</v>
      </c>
      <c r="BU23" s="3">
        <f>+IF(AVANCE[[#This Row],[ARTEFACTOS]]=AE$2,100%,AVANCE[[#This Row],[ARTEFACTOS]])</f>
        <v>1</v>
      </c>
      <c r="BV23" s="3">
        <f>+IF(AVANCE[[#This Row],[TABLERO]]=AF$2,100%,AVANCE[[#This Row],[TABLERO]])</f>
        <v>1</v>
      </c>
      <c r="BW23" s="3">
        <f>+IF(AVANCE[[#This Row],[CAJA PAU]]=AG$2,100%,AVANCE[[#This Row],[CAJA PAU]])</f>
        <v>1</v>
      </c>
      <c r="BX23" s="3">
        <f>+IF(AVANCE[[#This Row],[INSTALACION VINILICO]]=AJ$2,100%,AVANCE[[#This Row],[INSTALACION VINILICO]])</f>
        <v>1</v>
      </c>
      <c r="BY23" s="3">
        <f>+IF(AVANCE[[#This Row],[OSB CUBIERTA]]=AK$2,100%,AVANCE[[#This Row],[OSB CUBIERTA]])</f>
        <v>1</v>
      </c>
      <c r="BZ23" s="3">
        <f>+IF(AVANCE[[#This Row],[BARANDA BALCON]]=AL$2,100%,AVANCE[[#This Row],[BARANDA BALCON]])</f>
        <v>1</v>
      </c>
      <c r="CA23" s="3">
        <f>+IF(AVANCE[[#This Row],[OSB EXTERIOR]]=AM$2,100%,AVANCE[[#This Row],[OSB EXTERIOR]])</f>
        <v>1</v>
      </c>
      <c r="CB23" s="3">
        <f>+IF(AVANCE[[#This Row],[SMART PANEL]]=AN$2,100%,AVANCE[[#This Row],[SMART PANEL]])</f>
        <v>1</v>
      </c>
      <c r="CC23" s="3">
        <f>+IF(AVANCE[[#This Row],[PINTURA EXTERIOR]]=AO$2,100%,AVANCE[[#This Row],[PINTURA EXTERIOR]])</f>
        <v>1</v>
      </c>
      <c r="CD23" s="3">
        <f>+IF(AVANCE[[#This Row],[ZOCALOS LOGIA]]=AP$2,100%,AVANCE[[#This Row],[ZOCALOS LOGIA]])</f>
        <v>1</v>
      </c>
      <c r="CE23" s="3">
        <f>+IF(AVANCE[[#This Row],[MOLDURAS]]=AQ$2,100%,AVANCE[[#This Row],[MOLDURAS]])</f>
        <v>1</v>
      </c>
      <c r="CF23" s="3">
        <f>+IF(AVANCE[[#This Row],[PILASTREO]]=AR$2,100%,AVANCE[[#This Row],[PILASTREO]])</f>
        <v>1</v>
      </c>
      <c r="CG23" s="3">
        <f>+IF(AVANCE[[#This Row],[CELOSIAS]]=AS$2,100%,AVANCE[[#This Row],[CELOSIAS]])</f>
        <v>1</v>
      </c>
      <c r="CH23" s="3">
        <f>+IF(AVANCE[[#This Row],[VENTANAS]]=AT$2,100%,AVANCE[[#This Row],[VENTANAS]])</f>
        <v>1</v>
      </c>
      <c r="CI23" s="3">
        <f>+IF(AVANCE[[#This Row],[PUERTAS ACCESO - LOGIA - BANO]]=AU$2,100%,AVANCE[[#This Row],[PUERTAS ACCESO - LOGIA - BANO]])</f>
        <v>1</v>
      </c>
      <c r="CJ23" s="3">
        <f>+IF(AVANCE[[#This Row],[CERRADURAS]]=AV$2,100%,AVANCE[[#This Row],[CERRADURAS]])</f>
        <v>1</v>
      </c>
      <c r="CK23" s="3">
        <f>+IF(AVANCE[[#This Row],[REVESTIMIENTO INTERIOR ZONA SECA]]=AW$2,100%,AVANCE[[#This Row],[REVESTIMIENTO INTERIOR ZONA SECA]])</f>
        <v>1</v>
      </c>
      <c r="CL23" s="3">
        <f>+IF(AVANCE[[#This Row],[REVESTIMIENTO INTERIOR ZONAS HUMEDAS]]=AX$2,100%,AVANCE[[#This Row],[REVESTIMIENTO INTERIOR ZONAS HUMEDAS]])</f>
        <v>1</v>
      </c>
      <c r="CM23" s="3">
        <f>+IF(AVANCE[[#This Row],[MEMBRANA CIELO]]=AY$2,100%,AVANCE[[#This Row],[MEMBRANA CIELO]])</f>
        <v>1</v>
      </c>
      <c r="CN23" s="3">
        <f>+IF(AVANCE[[#This Row],[LIMPIEZA FINAL]]=AZ$2,100%,AVANCE[[#This Row],[LIMPIEZA FINAL]])</f>
        <v>1</v>
      </c>
      <c r="CO23" s="3">
        <f>+IF(AVANCE[[#This Row],[PUERTAS DORMITORIO]]=BA$2,100%,AVANCE[[#This Row],[PUERTAS DORMITORIO]])</f>
        <v>1</v>
      </c>
      <c r="CP23" s="3">
        <f>+IF(AVANCE[[#This Row],[REVESTIMIENTO INTERIOR BANO]]=BB$2,100%,AVANCE[[#This Row],[REVESTIMIENTO INTERIOR BANO]])</f>
        <v>1</v>
      </c>
      <c r="CQ23" s="3">
        <f>+IF(AVANCE[[#This Row],[MUEBLE LAVAPLATOS]]=BC$2,100%,AVANCE[[#This Row],[MUEBLE LAVAPLATOS]])</f>
        <v>1</v>
      </c>
      <c r="CR23" s="3">
        <f>+IF(AVANCE[[#This Row],[IMPERMEABILIZACION BANO - COCINA LOGIA]]=BD$2,100%,AVANCE[[#This Row],[IMPERMEABILIZACION BANO - COCINA LOGIA]])</f>
        <v>1</v>
      </c>
      <c r="CS23" s="40">
        <f ca="1">+IF(AVANCE[[#This Row],[ESTADO MODULO]]="PENDIENTE",(TODAY()-AVANCE[[#This Row],[FECHA TERMINO  PLANIFICADO]]),0)</f>
        <v>0</v>
      </c>
      <c r="CT23" s="41" t="str" cm="1">
        <f t="array" ref="CT23">_xlfn.TEXTJOIN(" | ",TRUE,IF(SUMPRODUCT((BG23:CR23&lt;1)*(PARTIDAS!$I$2:$AT$2="OBRA GRUESA"))&gt;0,"OBRA GRUESA: "&amp;_xlfn.TEXTJOIN(", ",TRUE,IF((BG23:CR23&lt;1)*(PARTIDAS!$I$2:$AT$2="OBRA GRUESA"),PARTIDAS!$I$1:$AT$1,"")),""),IF(SUMPRODUCT((BG23:CR23&lt;1)*(PARTIDAS!$I$2:$AT$2="SANITARIOS"))&gt;0,"SANITARIOS: "&amp;_xlfn.TEXTJOIN(", ",TRUE,IF((BG23:CR23&lt;1)*(PARTIDAS!$I$2:$AT$2="SANITARIOS"),PARTIDAS!$I$1:$AT$1,"")),""),IF(SUMPRODUCT((BG23:CR23&lt;1)*(PARTIDAS!$I$2:$AT$2="ELÉCTRICO"))&gt;0,"ELÉCTRICO: "&amp;_xlfn.TEXTJOIN(", ",TRUE,IF((BG23:CR23&lt;1)*(PARTIDAS!$I$2:$AT$2="ELÉCTRICO"),PARTIDAS!$I$1:$AT$1,"")),""),IF(SUMPRODUCT((BG23:CR23&lt;1)*(PARTIDAS!$I$2:$AT$2="TERMINACIONES"))&gt;0,"TERMINACIONES: "&amp;_xlfn.TEXTJOIN(", ",TRUE,IF((BG23:CR23&lt;1)*(PARTIDAS!$I$2:$AT$2="TERMINACIONES"),PARTIDAS!$I$1:$AT$1,"")),""))</f>
        <v/>
      </c>
      <c r="CU23" s="43" t="str" cm="1">
        <f t="array" ref="CU23">_xlfn.TEXTJOIN(", ",TRUE,IF(SUMPRODUCT((BG23:CR23&lt;1)*(PARTIDAS!$I$2:$AT$2="OBRA GRUESA"))&gt;0,"OBRA GRUESA",""),IF(SUMPRODUCT((BG23:CR23&lt;1)*(PARTIDAS!$I$2:$AT$2="SANITARIOS"))&gt;0,"SANITARIOS",""),IF(SUMPRODUCT((BG23:CR23&lt;1)*(PARTIDAS!$I$2:$AT$2="ELÉCTRICO"))&gt;0,"ELÉCTRICO",""),IF(SUMPRODUCT((BG23:CR23&lt;1)*(PARTIDAS!$I$2:$AT$2="TERMINACIONES"))&gt;0,"TERMINACIONES",""))</f>
        <v/>
      </c>
      <c r="CV23" s="44" cm="1">
        <f t="array" ref="CV23">SUMPRODUCT(--(BG23:CR23&lt;1))</f>
        <v>0</v>
      </c>
    </row>
    <row r="24" spans="1:100" hidden="1" x14ac:dyDescent="0.25">
      <c r="A24" t="s">
        <v>56</v>
      </c>
      <c r="B24" t="s">
        <v>81</v>
      </c>
      <c r="C24">
        <v>2302600023</v>
      </c>
      <c r="D24" t="s">
        <v>60</v>
      </c>
      <c r="E24" s="2">
        <v>0.99999999999999978</v>
      </c>
      <c r="F24" s="1">
        <v>46093</v>
      </c>
      <c r="G24" s="1">
        <v>46093</v>
      </c>
      <c r="H24" s="1">
        <v>46182</v>
      </c>
      <c r="I24" s="1">
        <v>46154</v>
      </c>
      <c r="K24" s="1">
        <v>46182</v>
      </c>
      <c r="L24" s="3">
        <v>0.43</v>
      </c>
      <c r="M24" s="3">
        <v>1</v>
      </c>
      <c r="N24" s="3">
        <v>0.27906976744186046</v>
      </c>
      <c r="O24" s="3">
        <v>0.18604651162790697</v>
      </c>
      <c r="P24" s="3">
        <v>0.2558139534883721</v>
      </c>
      <c r="Q24" s="3">
        <v>0.18604651162790697</v>
      </c>
      <c r="R24" s="3">
        <v>9.3023255813953487E-2</v>
      </c>
      <c r="S24" s="3">
        <v>0.09</v>
      </c>
      <c r="T24" s="3">
        <v>1</v>
      </c>
      <c r="U24" s="3">
        <v>0.22222222222222221</v>
      </c>
      <c r="V24" s="3">
        <v>0.22222222222222221</v>
      </c>
      <c r="W24" s="3">
        <v>0.1111111111111111</v>
      </c>
      <c r="X24" s="3">
        <v>0.1111111111111111</v>
      </c>
      <c r="Y24" s="3">
        <v>0.1111111111111111</v>
      </c>
      <c r="Z24" s="3">
        <v>0.22222222222222221</v>
      </c>
      <c r="AA24" s="3">
        <v>0.11</v>
      </c>
      <c r="AB24" s="3">
        <v>1</v>
      </c>
      <c r="AC24" s="3">
        <v>0.27272727272727271</v>
      </c>
      <c r="AD24" s="3">
        <v>0.27272727272727271</v>
      </c>
      <c r="AE24" s="3">
        <v>9.0909090909090912E-2</v>
      </c>
      <c r="AF24" s="3">
        <v>0.18181818181818182</v>
      </c>
      <c r="AG24" s="3">
        <v>0.18181818181818182</v>
      </c>
      <c r="AH24" s="3">
        <v>0.36999999999999983</v>
      </c>
      <c r="AI24" s="3">
        <v>0.99999999999999956</v>
      </c>
      <c r="AJ24" s="3">
        <v>5.4054054054054036E-2</v>
      </c>
      <c r="AK24" s="3">
        <v>5.4054054054054036E-2</v>
      </c>
      <c r="AL24" s="3">
        <v>2.7027027027027018E-2</v>
      </c>
      <c r="AM24" s="3">
        <v>8.1081081081081058E-2</v>
      </c>
      <c r="AN24" s="3">
        <v>8.1081081081081058E-2</v>
      </c>
      <c r="AO24" s="3">
        <v>6.7567567567567557E-2</v>
      </c>
      <c r="AP24" s="3">
        <v>5.4054054054054036E-2</v>
      </c>
      <c r="AQ24" s="3">
        <v>1.3513513513513509E-2</v>
      </c>
      <c r="AR24" s="3">
        <v>4.0540540540540529E-2</v>
      </c>
      <c r="AS24" s="3">
        <v>1.3513513513513509E-2</v>
      </c>
      <c r="AT24" s="3">
        <v>8.1081081081081058E-2</v>
      </c>
      <c r="AU24" s="3">
        <v>5.4054054054054036E-2</v>
      </c>
      <c r="AV24" s="3">
        <v>2.7027027027027018E-2</v>
      </c>
      <c r="AW24" s="3">
        <v>5.4054054054054036E-2</v>
      </c>
      <c r="AX24" s="3">
        <v>5.4054054054054036E-2</v>
      </c>
      <c r="AY24" s="3">
        <v>2.7027027027027018E-2</v>
      </c>
      <c r="AZ24" s="3">
        <v>4.0540540540540529E-2</v>
      </c>
      <c r="BA24" s="3">
        <v>5.4054054054054036E-2</v>
      </c>
      <c r="BB24" s="3">
        <v>8.1081081081081058E-2</v>
      </c>
      <c r="BC24" s="3">
        <v>1.3513513513513509E-2</v>
      </c>
      <c r="BD24" s="3">
        <v>2.7027027027027018E-2</v>
      </c>
      <c r="BE24">
        <v>31.32</v>
      </c>
      <c r="BF24" s="3" t="str">
        <f>+IF(AVANCE[[#This Row],[% AVANCE]]=100%,"MODULO TERMINADO",IF(AVANCE[[#This Row],[FECHA INICIO REAL]]="","MODULO NO INICIADO","PENDIENTE"))</f>
        <v>MODULO TERMINADO</v>
      </c>
      <c r="BG24" s="3">
        <f>+IF(AVANCE[[#This Row],[VENTANAS]]=8.10810810810811%,100%,AVANCE[[#This Row],[VENTANAS]])</f>
        <v>1</v>
      </c>
      <c r="BH24" s="3">
        <f>+IF(AVANCE[[#This Row],[PISO]]=N$2,100%,AVANCE[[#This Row],[PISO]])</f>
        <v>1</v>
      </c>
      <c r="BI24" s="3">
        <f>+IF(AVANCE[[#This Row],[TABIQUES]]=O$2,100%,AVANCE[[#This Row],[TABIQUES]])</f>
        <v>1</v>
      </c>
      <c r="BJ24" s="3">
        <f>+IF(AVANCE[[#This Row],[MUROS]]=P$2,100%,AVANCE[[#This Row],[MUROS]])</f>
        <v>1</v>
      </c>
      <c r="BK24" s="3">
        <f>+IF(AVANCE[[#This Row],[CIELO]]=Q$2,100%,AVANCE[[#This Row],[CIELO]])</f>
        <v>1</v>
      </c>
      <c r="BL24" s="3">
        <f>+IF(AVANCE[[#This Row],[BALCÓN]]=R$2,100%,AVANCE[[#This Row],[BALCÓN]])</f>
        <v>1</v>
      </c>
      <c r="BM24" s="3">
        <f>+IF(AVANCE[[#This Row],[RED ALCANTARILLADO]]=U$2,100%,AVANCE[[#This Row],[RED ALCANTARILLADO]])</f>
        <v>1</v>
      </c>
      <c r="BN24" s="3">
        <f>+IF(AVANCE[[#This Row],[RED DE AGUA]]=V$2,100%,AVANCE[[#This Row],[RED DE AGUA]])</f>
        <v>1</v>
      </c>
      <c r="BO24" s="3">
        <f>+IF(AVANCE[[#This Row],[VENTILACIONES]]=W$2,100%,AVANCE[[#This Row],[VENTILACIONES]])</f>
        <v>1</v>
      </c>
      <c r="BP24" s="3">
        <f>+IF(AVANCE[[#This Row],[TINA]]=X$2,100%,AVANCE[[#This Row],[TINA]])</f>
        <v>1</v>
      </c>
      <c r="BQ24" s="3">
        <f>+IF(AVANCE[[#This Row],[WC]]=Y$2,100%,AVANCE[[#This Row],[WC]])</f>
        <v>1</v>
      </c>
      <c r="BR24" s="3">
        <f>+IF(AVANCE[[#This Row],[LAVAMANOS / LAVAPLATOS / LAVADERO]]=Z$2,100%,AVANCE[[#This Row],[LAVAMANOS / LAVAPLATOS / LAVADERO]])</f>
        <v>1</v>
      </c>
      <c r="BS24" s="3">
        <f>+IF(AVANCE[[#This Row],[CANALIZACIÓN]]=AC$2,100%,AVANCE[[#This Row],[CANALIZACIÓN]])</f>
        <v>1</v>
      </c>
      <c r="BT24" s="3">
        <f>+IF(AVANCE[[#This Row],[CABLEADO]]=AD$2,100%,AVANCE[[#This Row],[CABLEADO]])</f>
        <v>1</v>
      </c>
      <c r="BU24" s="3">
        <f>+IF(AVANCE[[#This Row],[ARTEFACTOS]]=AE$2,100%,AVANCE[[#This Row],[ARTEFACTOS]])</f>
        <v>1</v>
      </c>
      <c r="BV24" s="3">
        <f>+IF(AVANCE[[#This Row],[TABLERO]]=AF$2,100%,AVANCE[[#This Row],[TABLERO]])</f>
        <v>1</v>
      </c>
      <c r="BW24" s="3">
        <f>+IF(AVANCE[[#This Row],[CAJA PAU]]=AG$2,100%,AVANCE[[#This Row],[CAJA PAU]])</f>
        <v>1</v>
      </c>
      <c r="BX24" s="3">
        <f>+IF(AVANCE[[#This Row],[INSTALACION VINILICO]]=AJ$2,100%,AVANCE[[#This Row],[INSTALACION VINILICO]])</f>
        <v>1</v>
      </c>
      <c r="BY24" s="3">
        <f>+IF(AVANCE[[#This Row],[OSB CUBIERTA]]=AK$2,100%,AVANCE[[#This Row],[OSB CUBIERTA]])</f>
        <v>1</v>
      </c>
      <c r="BZ24" s="3">
        <f>+IF(AVANCE[[#This Row],[BARANDA BALCON]]=AL$2,100%,AVANCE[[#This Row],[BARANDA BALCON]])</f>
        <v>1</v>
      </c>
      <c r="CA24" s="3">
        <f>+IF(AVANCE[[#This Row],[OSB EXTERIOR]]=AM$2,100%,AVANCE[[#This Row],[OSB EXTERIOR]])</f>
        <v>1</v>
      </c>
      <c r="CB24" s="3">
        <f>+IF(AVANCE[[#This Row],[SMART PANEL]]=AN$2,100%,AVANCE[[#This Row],[SMART PANEL]])</f>
        <v>1</v>
      </c>
      <c r="CC24" s="3">
        <f>+IF(AVANCE[[#This Row],[PINTURA EXTERIOR]]=AO$2,100%,AVANCE[[#This Row],[PINTURA EXTERIOR]])</f>
        <v>1</v>
      </c>
      <c r="CD24" s="3">
        <f>+IF(AVANCE[[#This Row],[ZOCALOS LOGIA]]=AP$2,100%,AVANCE[[#This Row],[ZOCALOS LOGIA]])</f>
        <v>1</v>
      </c>
      <c r="CE24" s="3">
        <f>+IF(AVANCE[[#This Row],[MOLDURAS]]=AQ$2,100%,AVANCE[[#This Row],[MOLDURAS]])</f>
        <v>1</v>
      </c>
      <c r="CF24" s="3">
        <f>+IF(AVANCE[[#This Row],[PILASTREO]]=AR$2,100%,AVANCE[[#This Row],[PILASTREO]])</f>
        <v>1</v>
      </c>
      <c r="CG24" s="3">
        <f>+IF(AVANCE[[#This Row],[CELOSIAS]]=AS$2,100%,AVANCE[[#This Row],[CELOSIAS]])</f>
        <v>1</v>
      </c>
      <c r="CH24" s="3">
        <f>+IF(AVANCE[[#This Row],[VENTANAS]]=AT$2,100%,AVANCE[[#This Row],[VENTANAS]])</f>
        <v>1</v>
      </c>
      <c r="CI24" s="3">
        <f>+IF(AVANCE[[#This Row],[PUERTAS ACCESO - LOGIA - BANO]]=AU$2,100%,AVANCE[[#This Row],[PUERTAS ACCESO - LOGIA - BANO]])</f>
        <v>1</v>
      </c>
      <c r="CJ24" s="3">
        <f>+IF(AVANCE[[#This Row],[CERRADURAS]]=AV$2,100%,AVANCE[[#This Row],[CERRADURAS]])</f>
        <v>1</v>
      </c>
      <c r="CK24" s="3">
        <f>+IF(AVANCE[[#This Row],[REVESTIMIENTO INTERIOR ZONA SECA]]=AW$2,100%,AVANCE[[#This Row],[REVESTIMIENTO INTERIOR ZONA SECA]])</f>
        <v>1</v>
      </c>
      <c r="CL24" s="3">
        <f>+IF(AVANCE[[#This Row],[REVESTIMIENTO INTERIOR ZONAS HUMEDAS]]=AX$2,100%,AVANCE[[#This Row],[REVESTIMIENTO INTERIOR ZONAS HUMEDAS]])</f>
        <v>1</v>
      </c>
      <c r="CM24" s="3">
        <f>+IF(AVANCE[[#This Row],[MEMBRANA CIELO]]=AY$2,100%,AVANCE[[#This Row],[MEMBRANA CIELO]])</f>
        <v>1</v>
      </c>
      <c r="CN24" s="3">
        <f>+IF(AVANCE[[#This Row],[LIMPIEZA FINAL]]=AZ$2,100%,AVANCE[[#This Row],[LIMPIEZA FINAL]])</f>
        <v>1</v>
      </c>
      <c r="CO24" s="3">
        <f>+IF(AVANCE[[#This Row],[PUERTAS DORMITORIO]]=BA$2,100%,AVANCE[[#This Row],[PUERTAS DORMITORIO]])</f>
        <v>1</v>
      </c>
      <c r="CP24" s="3">
        <f>+IF(AVANCE[[#This Row],[REVESTIMIENTO INTERIOR BANO]]=BB$2,100%,AVANCE[[#This Row],[REVESTIMIENTO INTERIOR BANO]])</f>
        <v>1</v>
      </c>
      <c r="CQ24" s="3">
        <f>+IF(AVANCE[[#This Row],[MUEBLE LAVAPLATOS]]=BC$2,100%,AVANCE[[#This Row],[MUEBLE LAVAPLATOS]])</f>
        <v>1</v>
      </c>
      <c r="CR24" s="3">
        <f>+IF(AVANCE[[#This Row],[IMPERMEABILIZACION BANO - COCINA LOGIA]]=BD$2,100%,AVANCE[[#This Row],[IMPERMEABILIZACION BANO - COCINA LOGIA]])</f>
        <v>1</v>
      </c>
      <c r="CS24" s="40">
        <f ca="1">+IF(AVANCE[[#This Row],[ESTADO MODULO]]="PENDIENTE",(TODAY()-AVANCE[[#This Row],[FECHA TERMINO  PLANIFICADO]]),0)</f>
        <v>0</v>
      </c>
      <c r="CT24" s="41" t="str" cm="1">
        <f t="array" ref="CT24">_xlfn.TEXTJOIN(" | ",TRUE,IF(SUMPRODUCT((BG24:CR24&lt;1)*(PARTIDAS!$I$2:$AT$2="OBRA GRUESA"))&gt;0,"OBRA GRUESA: "&amp;_xlfn.TEXTJOIN(", ",TRUE,IF((BG24:CR24&lt;1)*(PARTIDAS!$I$2:$AT$2="OBRA GRUESA"),PARTIDAS!$I$1:$AT$1,"")),""),IF(SUMPRODUCT((BG24:CR24&lt;1)*(PARTIDAS!$I$2:$AT$2="SANITARIOS"))&gt;0,"SANITARIOS: "&amp;_xlfn.TEXTJOIN(", ",TRUE,IF((BG24:CR24&lt;1)*(PARTIDAS!$I$2:$AT$2="SANITARIOS"),PARTIDAS!$I$1:$AT$1,"")),""),IF(SUMPRODUCT((BG24:CR24&lt;1)*(PARTIDAS!$I$2:$AT$2="ELÉCTRICO"))&gt;0,"ELÉCTRICO: "&amp;_xlfn.TEXTJOIN(", ",TRUE,IF((BG24:CR24&lt;1)*(PARTIDAS!$I$2:$AT$2="ELÉCTRICO"),PARTIDAS!$I$1:$AT$1,"")),""),IF(SUMPRODUCT((BG24:CR24&lt;1)*(PARTIDAS!$I$2:$AT$2="TERMINACIONES"))&gt;0,"TERMINACIONES: "&amp;_xlfn.TEXTJOIN(", ",TRUE,IF((BG24:CR24&lt;1)*(PARTIDAS!$I$2:$AT$2="TERMINACIONES"),PARTIDAS!$I$1:$AT$1,"")),""))</f>
        <v/>
      </c>
      <c r="CU24" s="43" t="str" cm="1">
        <f t="array" ref="CU24">_xlfn.TEXTJOIN(", ",TRUE,IF(SUMPRODUCT((BG24:CR24&lt;1)*(PARTIDAS!$I$2:$AT$2="OBRA GRUESA"))&gt;0,"OBRA GRUESA",""),IF(SUMPRODUCT((BG24:CR24&lt;1)*(PARTIDAS!$I$2:$AT$2="SANITARIOS"))&gt;0,"SANITARIOS",""),IF(SUMPRODUCT((BG24:CR24&lt;1)*(PARTIDAS!$I$2:$AT$2="ELÉCTRICO"))&gt;0,"ELÉCTRICO",""),IF(SUMPRODUCT((BG24:CR24&lt;1)*(PARTIDAS!$I$2:$AT$2="TERMINACIONES"))&gt;0,"TERMINACIONES",""))</f>
        <v/>
      </c>
      <c r="CV24" s="44" cm="1">
        <f t="array" ref="CV24">SUMPRODUCT(--(BG24:CR24&lt;1))</f>
        <v>0</v>
      </c>
    </row>
    <row r="25" spans="1:100" hidden="1" x14ac:dyDescent="0.25">
      <c r="A25" t="s">
        <v>56</v>
      </c>
      <c r="B25" t="s">
        <v>82</v>
      </c>
      <c r="C25">
        <v>2282600024</v>
      </c>
      <c r="D25" t="s">
        <v>58</v>
      </c>
      <c r="E25" s="2">
        <v>0.99999999999999978</v>
      </c>
      <c r="F25" s="1">
        <v>46086</v>
      </c>
      <c r="G25" s="1">
        <v>46086</v>
      </c>
      <c r="H25" s="1">
        <v>46181</v>
      </c>
      <c r="I25" s="1">
        <v>46148</v>
      </c>
      <c r="K25" s="1">
        <v>46181</v>
      </c>
      <c r="L25" s="3">
        <v>0.43</v>
      </c>
      <c r="M25" s="3">
        <v>1</v>
      </c>
      <c r="N25" s="3">
        <v>0.27906976744186046</v>
      </c>
      <c r="O25" s="3">
        <v>0.18604651162790697</v>
      </c>
      <c r="P25" s="3">
        <v>0.2558139534883721</v>
      </c>
      <c r="Q25" s="3">
        <v>0.18604651162790697</v>
      </c>
      <c r="R25" s="3">
        <v>9.3023255813953487E-2</v>
      </c>
      <c r="S25" s="3">
        <v>0.09</v>
      </c>
      <c r="T25" s="3">
        <v>1</v>
      </c>
      <c r="U25" s="3">
        <v>0.22222222222222221</v>
      </c>
      <c r="V25" s="3">
        <v>0.22222222222222221</v>
      </c>
      <c r="W25" s="3">
        <v>0.1111111111111111</v>
      </c>
      <c r="X25" s="3">
        <v>0.1111111111111111</v>
      </c>
      <c r="Y25" s="3">
        <v>0.1111111111111111</v>
      </c>
      <c r="Z25" s="3">
        <v>0.22222222222222221</v>
      </c>
      <c r="AA25" s="3">
        <v>0.11</v>
      </c>
      <c r="AB25" s="3">
        <v>1</v>
      </c>
      <c r="AC25" s="3">
        <v>0.27272727272727271</v>
      </c>
      <c r="AD25" s="3">
        <v>0.27272727272727271</v>
      </c>
      <c r="AE25" s="3">
        <v>9.0909090909090912E-2</v>
      </c>
      <c r="AF25" s="3">
        <v>0.18181818181818182</v>
      </c>
      <c r="AG25" s="3">
        <v>0.18181818181818182</v>
      </c>
      <c r="AH25" s="3">
        <v>0.36999999999999983</v>
      </c>
      <c r="AI25" s="3">
        <v>0.99999999999999956</v>
      </c>
      <c r="AJ25" s="3">
        <v>5.4054054054054036E-2</v>
      </c>
      <c r="AK25" s="3">
        <v>5.4054054054054036E-2</v>
      </c>
      <c r="AL25" s="3">
        <v>2.7027027027027018E-2</v>
      </c>
      <c r="AM25" s="3">
        <v>8.1081081081081058E-2</v>
      </c>
      <c r="AN25" s="3">
        <v>8.1081081081081058E-2</v>
      </c>
      <c r="AO25" s="3">
        <v>6.7567567567567557E-2</v>
      </c>
      <c r="AP25" s="3">
        <v>5.4054054054054036E-2</v>
      </c>
      <c r="AQ25" s="3">
        <v>1.3513513513513509E-2</v>
      </c>
      <c r="AR25" s="3">
        <v>4.0540540540540529E-2</v>
      </c>
      <c r="AS25" s="3">
        <v>1.3513513513513509E-2</v>
      </c>
      <c r="AT25" s="3">
        <v>8.1081081081081058E-2</v>
      </c>
      <c r="AU25" s="3">
        <v>5.4054054054054036E-2</v>
      </c>
      <c r="AV25" s="3">
        <v>2.7027027027027018E-2</v>
      </c>
      <c r="AW25" s="3">
        <v>5.4054054054054036E-2</v>
      </c>
      <c r="AX25" s="3">
        <v>5.4054054054054036E-2</v>
      </c>
      <c r="AY25" s="3">
        <v>2.7027027027027018E-2</v>
      </c>
      <c r="AZ25" s="3">
        <v>4.0540540540540529E-2</v>
      </c>
      <c r="BA25" s="3">
        <v>5.4054054054054036E-2</v>
      </c>
      <c r="BB25" s="3">
        <v>8.1081081081081058E-2</v>
      </c>
      <c r="BC25" s="3">
        <v>1.3513513513513509E-2</v>
      </c>
      <c r="BD25" s="3">
        <v>2.7027027027027018E-2</v>
      </c>
      <c r="BE25">
        <v>28.87</v>
      </c>
      <c r="BF25" s="3" t="str">
        <f>+IF(AVANCE[[#This Row],[% AVANCE]]=100%,"MODULO TERMINADO",IF(AVANCE[[#This Row],[FECHA INICIO REAL]]="","MODULO NO INICIADO","PENDIENTE"))</f>
        <v>MODULO TERMINADO</v>
      </c>
      <c r="BG25" s="3">
        <f>+IF(AVANCE[[#This Row],[VENTANAS]]=8.10810810810811%,100%,AVANCE[[#This Row],[VENTANAS]])</f>
        <v>1</v>
      </c>
      <c r="BH25" s="3">
        <f>+IF(AVANCE[[#This Row],[PISO]]=N$2,100%,AVANCE[[#This Row],[PISO]])</f>
        <v>1</v>
      </c>
      <c r="BI25" s="3">
        <f>+IF(AVANCE[[#This Row],[TABIQUES]]=O$2,100%,AVANCE[[#This Row],[TABIQUES]])</f>
        <v>1</v>
      </c>
      <c r="BJ25" s="3">
        <f>+IF(AVANCE[[#This Row],[MUROS]]=P$2,100%,AVANCE[[#This Row],[MUROS]])</f>
        <v>1</v>
      </c>
      <c r="BK25" s="3">
        <f>+IF(AVANCE[[#This Row],[CIELO]]=Q$2,100%,AVANCE[[#This Row],[CIELO]])</f>
        <v>1</v>
      </c>
      <c r="BL25" s="3">
        <f>+IF(AVANCE[[#This Row],[BALCÓN]]=R$2,100%,AVANCE[[#This Row],[BALCÓN]])</f>
        <v>1</v>
      </c>
      <c r="BM25" s="3">
        <f>+IF(AVANCE[[#This Row],[RED ALCANTARILLADO]]=U$2,100%,AVANCE[[#This Row],[RED ALCANTARILLADO]])</f>
        <v>1</v>
      </c>
      <c r="BN25" s="3">
        <f>+IF(AVANCE[[#This Row],[RED DE AGUA]]=V$2,100%,AVANCE[[#This Row],[RED DE AGUA]])</f>
        <v>1</v>
      </c>
      <c r="BO25" s="3">
        <f>+IF(AVANCE[[#This Row],[VENTILACIONES]]=W$2,100%,AVANCE[[#This Row],[VENTILACIONES]])</f>
        <v>1</v>
      </c>
      <c r="BP25" s="3">
        <f>+IF(AVANCE[[#This Row],[TINA]]=X$2,100%,AVANCE[[#This Row],[TINA]])</f>
        <v>1</v>
      </c>
      <c r="BQ25" s="3">
        <f>+IF(AVANCE[[#This Row],[WC]]=Y$2,100%,AVANCE[[#This Row],[WC]])</f>
        <v>1</v>
      </c>
      <c r="BR25" s="3">
        <f>+IF(AVANCE[[#This Row],[LAVAMANOS / LAVAPLATOS / LAVADERO]]=Z$2,100%,AVANCE[[#This Row],[LAVAMANOS / LAVAPLATOS / LAVADERO]])</f>
        <v>1</v>
      </c>
      <c r="BS25" s="3">
        <f>+IF(AVANCE[[#This Row],[CANALIZACIÓN]]=AC$2,100%,AVANCE[[#This Row],[CANALIZACIÓN]])</f>
        <v>1</v>
      </c>
      <c r="BT25" s="3">
        <f>+IF(AVANCE[[#This Row],[CABLEADO]]=AD$2,100%,AVANCE[[#This Row],[CABLEADO]])</f>
        <v>1</v>
      </c>
      <c r="BU25" s="3">
        <f>+IF(AVANCE[[#This Row],[ARTEFACTOS]]=AE$2,100%,AVANCE[[#This Row],[ARTEFACTOS]])</f>
        <v>1</v>
      </c>
      <c r="BV25" s="3">
        <f>+IF(AVANCE[[#This Row],[TABLERO]]=AF$2,100%,AVANCE[[#This Row],[TABLERO]])</f>
        <v>1</v>
      </c>
      <c r="BW25" s="3">
        <f>+IF(AVANCE[[#This Row],[CAJA PAU]]=AG$2,100%,AVANCE[[#This Row],[CAJA PAU]])</f>
        <v>1</v>
      </c>
      <c r="BX25" s="3">
        <f>+IF(AVANCE[[#This Row],[INSTALACION VINILICO]]=AJ$2,100%,AVANCE[[#This Row],[INSTALACION VINILICO]])</f>
        <v>1</v>
      </c>
      <c r="BY25" s="3">
        <f>+IF(AVANCE[[#This Row],[OSB CUBIERTA]]=AK$2,100%,AVANCE[[#This Row],[OSB CUBIERTA]])</f>
        <v>1</v>
      </c>
      <c r="BZ25" s="3">
        <f>+IF(AVANCE[[#This Row],[BARANDA BALCON]]=AL$2,100%,AVANCE[[#This Row],[BARANDA BALCON]])</f>
        <v>1</v>
      </c>
      <c r="CA25" s="3">
        <f>+IF(AVANCE[[#This Row],[OSB EXTERIOR]]=AM$2,100%,AVANCE[[#This Row],[OSB EXTERIOR]])</f>
        <v>1</v>
      </c>
      <c r="CB25" s="3">
        <f>+IF(AVANCE[[#This Row],[SMART PANEL]]=AN$2,100%,AVANCE[[#This Row],[SMART PANEL]])</f>
        <v>1</v>
      </c>
      <c r="CC25" s="3">
        <f>+IF(AVANCE[[#This Row],[PINTURA EXTERIOR]]=AO$2,100%,AVANCE[[#This Row],[PINTURA EXTERIOR]])</f>
        <v>1</v>
      </c>
      <c r="CD25" s="3">
        <f>+IF(AVANCE[[#This Row],[ZOCALOS LOGIA]]=AP$2,100%,AVANCE[[#This Row],[ZOCALOS LOGIA]])</f>
        <v>1</v>
      </c>
      <c r="CE25" s="3">
        <f>+IF(AVANCE[[#This Row],[MOLDURAS]]=AQ$2,100%,AVANCE[[#This Row],[MOLDURAS]])</f>
        <v>1</v>
      </c>
      <c r="CF25" s="3">
        <f>+IF(AVANCE[[#This Row],[PILASTREO]]=AR$2,100%,AVANCE[[#This Row],[PILASTREO]])</f>
        <v>1</v>
      </c>
      <c r="CG25" s="3">
        <f>+IF(AVANCE[[#This Row],[CELOSIAS]]=AS$2,100%,AVANCE[[#This Row],[CELOSIAS]])</f>
        <v>1</v>
      </c>
      <c r="CH25" s="3">
        <f>+IF(AVANCE[[#This Row],[VENTANAS]]=AT$2,100%,AVANCE[[#This Row],[VENTANAS]])</f>
        <v>1</v>
      </c>
      <c r="CI25" s="3">
        <f>+IF(AVANCE[[#This Row],[PUERTAS ACCESO - LOGIA - BANO]]=AU$2,100%,AVANCE[[#This Row],[PUERTAS ACCESO - LOGIA - BANO]])</f>
        <v>1</v>
      </c>
      <c r="CJ25" s="3">
        <f>+IF(AVANCE[[#This Row],[CERRADURAS]]=AV$2,100%,AVANCE[[#This Row],[CERRADURAS]])</f>
        <v>1</v>
      </c>
      <c r="CK25" s="3">
        <f>+IF(AVANCE[[#This Row],[REVESTIMIENTO INTERIOR ZONA SECA]]=AW$2,100%,AVANCE[[#This Row],[REVESTIMIENTO INTERIOR ZONA SECA]])</f>
        <v>1</v>
      </c>
      <c r="CL25" s="3">
        <f>+IF(AVANCE[[#This Row],[REVESTIMIENTO INTERIOR ZONAS HUMEDAS]]=AX$2,100%,AVANCE[[#This Row],[REVESTIMIENTO INTERIOR ZONAS HUMEDAS]])</f>
        <v>1</v>
      </c>
      <c r="CM25" s="3">
        <f>+IF(AVANCE[[#This Row],[MEMBRANA CIELO]]=AY$2,100%,AVANCE[[#This Row],[MEMBRANA CIELO]])</f>
        <v>1</v>
      </c>
      <c r="CN25" s="3">
        <f>+IF(AVANCE[[#This Row],[LIMPIEZA FINAL]]=AZ$2,100%,AVANCE[[#This Row],[LIMPIEZA FINAL]])</f>
        <v>1</v>
      </c>
      <c r="CO25" s="3">
        <f>+IF(AVANCE[[#This Row],[PUERTAS DORMITORIO]]=BA$2,100%,AVANCE[[#This Row],[PUERTAS DORMITORIO]])</f>
        <v>1</v>
      </c>
      <c r="CP25" s="3">
        <f>+IF(AVANCE[[#This Row],[REVESTIMIENTO INTERIOR BANO]]=BB$2,100%,AVANCE[[#This Row],[REVESTIMIENTO INTERIOR BANO]])</f>
        <v>1</v>
      </c>
      <c r="CQ25" s="3">
        <f>+IF(AVANCE[[#This Row],[MUEBLE LAVAPLATOS]]=BC$2,100%,AVANCE[[#This Row],[MUEBLE LAVAPLATOS]])</f>
        <v>1</v>
      </c>
      <c r="CR25" s="3">
        <f>+IF(AVANCE[[#This Row],[IMPERMEABILIZACION BANO - COCINA LOGIA]]=BD$2,100%,AVANCE[[#This Row],[IMPERMEABILIZACION BANO - COCINA LOGIA]])</f>
        <v>1</v>
      </c>
      <c r="CS25" s="40">
        <f ca="1">+IF(AVANCE[[#This Row],[ESTADO MODULO]]="PENDIENTE",(TODAY()-AVANCE[[#This Row],[FECHA TERMINO  PLANIFICADO]]),0)</f>
        <v>0</v>
      </c>
      <c r="CT25" s="41" t="str" cm="1">
        <f t="array" ref="CT25">_xlfn.TEXTJOIN(" | ",TRUE,IF(SUMPRODUCT((BG25:CR25&lt;1)*(PARTIDAS!$I$2:$AT$2="OBRA GRUESA"))&gt;0,"OBRA GRUESA: "&amp;_xlfn.TEXTJOIN(", ",TRUE,IF((BG25:CR25&lt;1)*(PARTIDAS!$I$2:$AT$2="OBRA GRUESA"),PARTIDAS!$I$1:$AT$1,"")),""),IF(SUMPRODUCT((BG25:CR25&lt;1)*(PARTIDAS!$I$2:$AT$2="SANITARIOS"))&gt;0,"SANITARIOS: "&amp;_xlfn.TEXTJOIN(", ",TRUE,IF((BG25:CR25&lt;1)*(PARTIDAS!$I$2:$AT$2="SANITARIOS"),PARTIDAS!$I$1:$AT$1,"")),""),IF(SUMPRODUCT((BG25:CR25&lt;1)*(PARTIDAS!$I$2:$AT$2="ELÉCTRICO"))&gt;0,"ELÉCTRICO: "&amp;_xlfn.TEXTJOIN(", ",TRUE,IF((BG25:CR25&lt;1)*(PARTIDAS!$I$2:$AT$2="ELÉCTRICO"),PARTIDAS!$I$1:$AT$1,"")),""),IF(SUMPRODUCT((BG25:CR25&lt;1)*(PARTIDAS!$I$2:$AT$2="TERMINACIONES"))&gt;0,"TERMINACIONES: "&amp;_xlfn.TEXTJOIN(", ",TRUE,IF((BG25:CR25&lt;1)*(PARTIDAS!$I$2:$AT$2="TERMINACIONES"),PARTIDAS!$I$1:$AT$1,"")),""))</f>
        <v/>
      </c>
      <c r="CU25" s="43" t="str" cm="1">
        <f t="array" ref="CU25">_xlfn.TEXTJOIN(", ",TRUE,IF(SUMPRODUCT((BG25:CR25&lt;1)*(PARTIDAS!$I$2:$AT$2="OBRA GRUESA"))&gt;0,"OBRA GRUESA",""),IF(SUMPRODUCT((BG25:CR25&lt;1)*(PARTIDAS!$I$2:$AT$2="SANITARIOS"))&gt;0,"SANITARIOS",""),IF(SUMPRODUCT((BG25:CR25&lt;1)*(PARTIDAS!$I$2:$AT$2="ELÉCTRICO"))&gt;0,"ELÉCTRICO",""),IF(SUMPRODUCT((BG25:CR25&lt;1)*(PARTIDAS!$I$2:$AT$2="TERMINACIONES"))&gt;0,"TERMINACIONES",""))</f>
        <v/>
      </c>
      <c r="CV25" s="44" cm="1">
        <f t="array" ref="CV25">SUMPRODUCT(--(BG25:CR25&lt;1))</f>
        <v>0</v>
      </c>
    </row>
    <row r="26" spans="1:100" hidden="1" x14ac:dyDescent="0.25">
      <c r="A26" t="s">
        <v>56</v>
      </c>
      <c r="B26" t="s">
        <v>83</v>
      </c>
      <c r="C26">
        <v>2282600025</v>
      </c>
      <c r="D26" t="s">
        <v>58</v>
      </c>
      <c r="E26" s="2">
        <v>0.99999999999999978</v>
      </c>
      <c r="F26" s="1">
        <v>46108</v>
      </c>
      <c r="G26" s="1">
        <v>46108</v>
      </c>
      <c r="H26" s="1">
        <v>46156</v>
      </c>
      <c r="I26" s="1">
        <v>46140</v>
      </c>
      <c r="K26" s="1">
        <v>46156</v>
      </c>
      <c r="L26" s="3">
        <v>0.43</v>
      </c>
      <c r="M26" s="3">
        <v>1</v>
      </c>
      <c r="N26" s="3">
        <v>0.27906976744186046</v>
      </c>
      <c r="O26" s="3">
        <v>0.18604651162790697</v>
      </c>
      <c r="P26" s="3">
        <v>0.2558139534883721</v>
      </c>
      <c r="Q26" s="3">
        <v>0.18604651162790697</v>
      </c>
      <c r="R26" s="3">
        <v>9.3023255813953487E-2</v>
      </c>
      <c r="S26" s="3">
        <v>0.09</v>
      </c>
      <c r="T26" s="3">
        <v>1</v>
      </c>
      <c r="U26" s="3">
        <v>0.22222222222222221</v>
      </c>
      <c r="V26" s="3">
        <v>0.22222222222222221</v>
      </c>
      <c r="W26" s="3">
        <v>0.1111111111111111</v>
      </c>
      <c r="X26" s="3">
        <v>0.1111111111111111</v>
      </c>
      <c r="Y26" s="3">
        <v>0.1111111111111111</v>
      </c>
      <c r="Z26" s="3">
        <v>0.22222222222222221</v>
      </c>
      <c r="AA26" s="3">
        <v>0.11</v>
      </c>
      <c r="AB26" s="3">
        <v>1</v>
      </c>
      <c r="AC26" s="3">
        <v>0.27272727272727271</v>
      </c>
      <c r="AD26" s="3">
        <v>0.27272727272727271</v>
      </c>
      <c r="AE26" s="3">
        <v>9.0909090909090912E-2</v>
      </c>
      <c r="AF26" s="3">
        <v>0.18181818181818182</v>
      </c>
      <c r="AG26" s="3">
        <v>0.18181818181818182</v>
      </c>
      <c r="AH26" s="3">
        <v>0.36999999999999983</v>
      </c>
      <c r="AI26" s="3">
        <v>0.99999999999999956</v>
      </c>
      <c r="AJ26" s="3">
        <v>5.4054054054054036E-2</v>
      </c>
      <c r="AK26" s="3">
        <v>5.4054054054054036E-2</v>
      </c>
      <c r="AL26" s="3">
        <v>2.7027027027027018E-2</v>
      </c>
      <c r="AM26" s="3">
        <v>8.1081081081081058E-2</v>
      </c>
      <c r="AN26" s="3">
        <v>8.1081081081081058E-2</v>
      </c>
      <c r="AO26" s="3">
        <v>6.7567567567567557E-2</v>
      </c>
      <c r="AP26" s="3">
        <v>5.4054054054054036E-2</v>
      </c>
      <c r="AQ26" s="3">
        <v>1.3513513513513509E-2</v>
      </c>
      <c r="AR26" s="3">
        <v>4.0540540540540529E-2</v>
      </c>
      <c r="AS26" s="3">
        <v>1.3513513513513509E-2</v>
      </c>
      <c r="AT26" s="3">
        <v>8.1081081081081058E-2</v>
      </c>
      <c r="AU26" s="3">
        <v>5.4054054054054036E-2</v>
      </c>
      <c r="AV26" s="3">
        <v>2.7027027027027018E-2</v>
      </c>
      <c r="AW26" s="3">
        <v>5.4054054054054036E-2</v>
      </c>
      <c r="AX26" s="3">
        <v>5.4054054054054036E-2</v>
      </c>
      <c r="AY26" s="3">
        <v>2.7027027027027018E-2</v>
      </c>
      <c r="AZ26" s="3">
        <v>4.0540540540540529E-2</v>
      </c>
      <c r="BA26" s="3">
        <v>5.4054054054054036E-2</v>
      </c>
      <c r="BB26" s="3">
        <v>8.1081081081081058E-2</v>
      </c>
      <c r="BC26" s="3">
        <v>1.3513513513513509E-2</v>
      </c>
      <c r="BD26" s="3">
        <v>2.7027027027027018E-2</v>
      </c>
      <c r="BE26">
        <v>28.87</v>
      </c>
      <c r="BF26" s="3" t="str">
        <f>+IF(AVANCE[[#This Row],[% AVANCE]]=100%,"MODULO TERMINADO",IF(AVANCE[[#This Row],[FECHA INICIO REAL]]="","MODULO NO INICIADO","PENDIENTE"))</f>
        <v>MODULO TERMINADO</v>
      </c>
      <c r="BG26" s="3">
        <f>+IF(AVANCE[[#This Row],[VENTANAS]]=8.10810810810811%,100%,AVANCE[[#This Row],[VENTANAS]])</f>
        <v>1</v>
      </c>
      <c r="BH26" s="3">
        <f>+IF(AVANCE[[#This Row],[PISO]]=N$2,100%,AVANCE[[#This Row],[PISO]])</f>
        <v>1</v>
      </c>
      <c r="BI26" s="3">
        <f>+IF(AVANCE[[#This Row],[TABIQUES]]=O$2,100%,AVANCE[[#This Row],[TABIQUES]])</f>
        <v>1</v>
      </c>
      <c r="BJ26" s="3">
        <f>+IF(AVANCE[[#This Row],[MUROS]]=P$2,100%,AVANCE[[#This Row],[MUROS]])</f>
        <v>1</v>
      </c>
      <c r="BK26" s="3">
        <f>+IF(AVANCE[[#This Row],[CIELO]]=Q$2,100%,AVANCE[[#This Row],[CIELO]])</f>
        <v>1</v>
      </c>
      <c r="BL26" s="3">
        <f>+IF(AVANCE[[#This Row],[BALCÓN]]=R$2,100%,AVANCE[[#This Row],[BALCÓN]])</f>
        <v>1</v>
      </c>
      <c r="BM26" s="3">
        <f>+IF(AVANCE[[#This Row],[RED ALCANTARILLADO]]=U$2,100%,AVANCE[[#This Row],[RED ALCANTARILLADO]])</f>
        <v>1</v>
      </c>
      <c r="BN26" s="3">
        <f>+IF(AVANCE[[#This Row],[RED DE AGUA]]=V$2,100%,AVANCE[[#This Row],[RED DE AGUA]])</f>
        <v>1</v>
      </c>
      <c r="BO26" s="3">
        <f>+IF(AVANCE[[#This Row],[VENTILACIONES]]=W$2,100%,AVANCE[[#This Row],[VENTILACIONES]])</f>
        <v>1</v>
      </c>
      <c r="BP26" s="3">
        <f>+IF(AVANCE[[#This Row],[TINA]]=X$2,100%,AVANCE[[#This Row],[TINA]])</f>
        <v>1</v>
      </c>
      <c r="BQ26" s="3">
        <f>+IF(AVANCE[[#This Row],[WC]]=Y$2,100%,AVANCE[[#This Row],[WC]])</f>
        <v>1</v>
      </c>
      <c r="BR26" s="3">
        <f>+IF(AVANCE[[#This Row],[LAVAMANOS / LAVAPLATOS / LAVADERO]]=Z$2,100%,AVANCE[[#This Row],[LAVAMANOS / LAVAPLATOS / LAVADERO]])</f>
        <v>1</v>
      </c>
      <c r="BS26" s="3">
        <f>+IF(AVANCE[[#This Row],[CANALIZACIÓN]]=AC$2,100%,AVANCE[[#This Row],[CANALIZACIÓN]])</f>
        <v>1</v>
      </c>
      <c r="BT26" s="3">
        <f>+IF(AVANCE[[#This Row],[CABLEADO]]=AD$2,100%,AVANCE[[#This Row],[CABLEADO]])</f>
        <v>1</v>
      </c>
      <c r="BU26" s="3">
        <f>+IF(AVANCE[[#This Row],[ARTEFACTOS]]=AE$2,100%,AVANCE[[#This Row],[ARTEFACTOS]])</f>
        <v>1</v>
      </c>
      <c r="BV26" s="3">
        <f>+IF(AVANCE[[#This Row],[TABLERO]]=AF$2,100%,AVANCE[[#This Row],[TABLERO]])</f>
        <v>1</v>
      </c>
      <c r="BW26" s="3">
        <f>+IF(AVANCE[[#This Row],[CAJA PAU]]=AG$2,100%,AVANCE[[#This Row],[CAJA PAU]])</f>
        <v>1</v>
      </c>
      <c r="BX26" s="3">
        <f>+IF(AVANCE[[#This Row],[INSTALACION VINILICO]]=AJ$2,100%,AVANCE[[#This Row],[INSTALACION VINILICO]])</f>
        <v>1</v>
      </c>
      <c r="BY26" s="3">
        <f>+IF(AVANCE[[#This Row],[OSB CUBIERTA]]=AK$2,100%,AVANCE[[#This Row],[OSB CUBIERTA]])</f>
        <v>1</v>
      </c>
      <c r="BZ26" s="3">
        <f>+IF(AVANCE[[#This Row],[BARANDA BALCON]]=AL$2,100%,AVANCE[[#This Row],[BARANDA BALCON]])</f>
        <v>1</v>
      </c>
      <c r="CA26" s="3">
        <f>+IF(AVANCE[[#This Row],[OSB EXTERIOR]]=AM$2,100%,AVANCE[[#This Row],[OSB EXTERIOR]])</f>
        <v>1</v>
      </c>
      <c r="CB26" s="3">
        <f>+IF(AVANCE[[#This Row],[SMART PANEL]]=AN$2,100%,AVANCE[[#This Row],[SMART PANEL]])</f>
        <v>1</v>
      </c>
      <c r="CC26" s="3">
        <f>+IF(AVANCE[[#This Row],[PINTURA EXTERIOR]]=AO$2,100%,AVANCE[[#This Row],[PINTURA EXTERIOR]])</f>
        <v>1</v>
      </c>
      <c r="CD26" s="3">
        <f>+IF(AVANCE[[#This Row],[ZOCALOS LOGIA]]=AP$2,100%,AVANCE[[#This Row],[ZOCALOS LOGIA]])</f>
        <v>1</v>
      </c>
      <c r="CE26" s="3">
        <f>+IF(AVANCE[[#This Row],[MOLDURAS]]=AQ$2,100%,AVANCE[[#This Row],[MOLDURAS]])</f>
        <v>1</v>
      </c>
      <c r="CF26" s="3">
        <f>+IF(AVANCE[[#This Row],[PILASTREO]]=AR$2,100%,AVANCE[[#This Row],[PILASTREO]])</f>
        <v>1</v>
      </c>
      <c r="CG26" s="3">
        <f>+IF(AVANCE[[#This Row],[CELOSIAS]]=AS$2,100%,AVANCE[[#This Row],[CELOSIAS]])</f>
        <v>1</v>
      </c>
      <c r="CH26" s="3">
        <f>+IF(AVANCE[[#This Row],[VENTANAS]]=AT$2,100%,AVANCE[[#This Row],[VENTANAS]])</f>
        <v>1</v>
      </c>
      <c r="CI26" s="3">
        <f>+IF(AVANCE[[#This Row],[PUERTAS ACCESO - LOGIA - BANO]]=AU$2,100%,AVANCE[[#This Row],[PUERTAS ACCESO - LOGIA - BANO]])</f>
        <v>1</v>
      </c>
      <c r="CJ26" s="3">
        <f>+IF(AVANCE[[#This Row],[CERRADURAS]]=AV$2,100%,AVANCE[[#This Row],[CERRADURAS]])</f>
        <v>1</v>
      </c>
      <c r="CK26" s="3">
        <f>+IF(AVANCE[[#This Row],[REVESTIMIENTO INTERIOR ZONA SECA]]=AW$2,100%,AVANCE[[#This Row],[REVESTIMIENTO INTERIOR ZONA SECA]])</f>
        <v>1</v>
      </c>
      <c r="CL26" s="3">
        <f>+IF(AVANCE[[#This Row],[REVESTIMIENTO INTERIOR ZONAS HUMEDAS]]=AX$2,100%,AVANCE[[#This Row],[REVESTIMIENTO INTERIOR ZONAS HUMEDAS]])</f>
        <v>1</v>
      </c>
      <c r="CM26" s="3">
        <f>+IF(AVANCE[[#This Row],[MEMBRANA CIELO]]=AY$2,100%,AVANCE[[#This Row],[MEMBRANA CIELO]])</f>
        <v>1</v>
      </c>
      <c r="CN26" s="3">
        <f>+IF(AVANCE[[#This Row],[LIMPIEZA FINAL]]=AZ$2,100%,AVANCE[[#This Row],[LIMPIEZA FINAL]])</f>
        <v>1</v>
      </c>
      <c r="CO26" s="3">
        <f>+IF(AVANCE[[#This Row],[PUERTAS DORMITORIO]]=BA$2,100%,AVANCE[[#This Row],[PUERTAS DORMITORIO]])</f>
        <v>1</v>
      </c>
      <c r="CP26" s="3">
        <f>+IF(AVANCE[[#This Row],[REVESTIMIENTO INTERIOR BANO]]=BB$2,100%,AVANCE[[#This Row],[REVESTIMIENTO INTERIOR BANO]])</f>
        <v>1</v>
      </c>
      <c r="CQ26" s="3">
        <f>+IF(AVANCE[[#This Row],[MUEBLE LAVAPLATOS]]=BC$2,100%,AVANCE[[#This Row],[MUEBLE LAVAPLATOS]])</f>
        <v>1</v>
      </c>
      <c r="CR26" s="3">
        <f>+IF(AVANCE[[#This Row],[IMPERMEABILIZACION BANO - COCINA LOGIA]]=BD$2,100%,AVANCE[[#This Row],[IMPERMEABILIZACION BANO - COCINA LOGIA]])</f>
        <v>1</v>
      </c>
      <c r="CS26" s="40">
        <f ca="1">+IF(AVANCE[[#This Row],[ESTADO MODULO]]="PENDIENTE",(TODAY()-AVANCE[[#This Row],[FECHA TERMINO  PLANIFICADO]]),0)</f>
        <v>0</v>
      </c>
      <c r="CT26" s="41" t="str" cm="1">
        <f t="array" ref="CT26">_xlfn.TEXTJOIN(" | ",TRUE,IF(SUMPRODUCT((BG26:CR26&lt;1)*(PARTIDAS!$I$2:$AT$2="OBRA GRUESA"))&gt;0,"OBRA GRUESA: "&amp;_xlfn.TEXTJOIN(", ",TRUE,IF((BG26:CR26&lt;1)*(PARTIDAS!$I$2:$AT$2="OBRA GRUESA"),PARTIDAS!$I$1:$AT$1,"")),""),IF(SUMPRODUCT((BG26:CR26&lt;1)*(PARTIDAS!$I$2:$AT$2="SANITARIOS"))&gt;0,"SANITARIOS: "&amp;_xlfn.TEXTJOIN(", ",TRUE,IF((BG26:CR26&lt;1)*(PARTIDAS!$I$2:$AT$2="SANITARIOS"),PARTIDAS!$I$1:$AT$1,"")),""),IF(SUMPRODUCT((BG26:CR26&lt;1)*(PARTIDAS!$I$2:$AT$2="ELÉCTRICO"))&gt;0,"ELÉCTRICO: "&amp;_xlfn.TEXTJOIN(", ",TRUE,IF((BG26:CR26&lt;1)*(PARTIDAS!$I$2:$AT$2="ELÉCTRICO"),PARTIDAS!$I$1:$AT$1,"")),""),IF(SUMPRODUCT((BG26:CR26&lt;1)*(PARTIDAS!$I$2:$AT$2="TERMINACIONES"))&gt;0,"TERMINACIONES: "&amp;_xlfn.TEXTJOIN(", ",TRUE,IF((BG26:CR26&lt;1)*(PARTIDAS!$I$2:$AT$2="TERMINACIONES"),PARTIDAS!$I$1:$AT$1,"")),""))</f>
        <v/>
      </c>
      <c r="CU26" s="43" t="str" cm="1">
        <f t="array" ref="CU26">_xlfn.TEXTJOIN(", ",TRUE,IF(SUMPRODUCT((BG26:CR26&lt;1)*(PARTIDAS!$I$2:$AT$2="OBRA GRUESA"))&gt;0,"OBRA GRUESA",""),IF(SUMPRODUCT((BG26:CR26&lt;1)*(PARTIDAS!$I$2:$AT$2="SANITARIOS"))&gt;0,"SANITARIOS",""),IF(SUMPRODUCT((BG26:CR26&lt;1)*(PARTIDAS!$I$2:$AT$2="ELÉCTRICO"))&gt;0,"ELÉCTRICO",""),IF(SUMPRODUCT((BG26:CR26&lt;1)*(PARTIDAS!$I$2:$AT$2="TERMINACIONES"))&gt;0,"TERMINACIONES",""))</f>
        <v/>
      </c>
      <c r="CV26" s="44" cm="1">
        <f t="array" ref="CV26">SUMPRODUCT(--(BG26:CR26&lt;1))</f>
        <v>0</v>
      </c>
    </row>
    <row r="27" spans="1:100" hidden="1" x14ac:dyDescent="0.25">
      <c r="A27" t="s">
        <v>56</v>
      </c>
      <c r="B27" t="s">
        <v>84</v>
      </c>
      <c r="C27">
        <v>2302600026</v>
      </c>
      <c r="D27" t="s">
        <v>60</v>
      </c>
      <c r="E27" s="2">
        <v>0.99999999999999978</v>
      </c>
      <c r="F27" s="1">
        <v>46113</v>
      </c>
      <c r="G27" s="1">
        <v>46113</v>
      </c>
      <c r="H27" s="1">
        <v>46162</v>
      </c>
      <c r="I27" s="1">
        <v>46149</v>
      </c>
      <c r="K27" s="1">
        <v>46162</v>
      </c>
      <c r="L27" s="3">
        <v>0.43</v>
      </c>
      <c r="M27" s="3">
        <v>1</v>
      </c>
      <c r="N27" s="3">
        <v>0.27906976744186046</v>
      </c>
      <c r="O27" s="3">
        <v>0.18604651162790697</v>
      </c>
      <c r="P27" s="3">
        <v>0.2558139534883721</v>
      </c>
      <c r="Q27" s="3">
        <v>0.18604651162790697</v>
      </c>
      <c r="R27" s="3">
        <v>9.3023255813953487E-2</v>
      </c>
      <c r="S27" s="3">
        <v>0.09</v>
      </c>
      <c r="T27" s="3">
        <v>1</v>
      </c>
      <c r="U27" s="3">
        <v>0.22222222222222221</v>
      </c>
      <c r="V27" s="3">
        <v>0.22222222222222221</v>
      </c>
      <c r="W27" s="3">
        <v>0.1111111111111111</v>
      </c>
      <c r="X27" s="3">
        <v>0.1111111111111111</v>
      </c>
      <c r="Y27" s="3">
        <v>0.1111111111111111</v>
      </c>
      <c r="Z27" s="3">
        <v>0.22222222222222221</v>
      </c>
      <c r="AA27" s="3">
        <v>0.11</v>
      </c>
      <c r="AB27" s="3">
        <v>1</v>
      </c>
      <c r="AC27" s="3">
        <v>0.27272727272727271</v>
      </c>
      <c r="AD27" s="3">
        <v>0.27272727272727271</v>
      </c>
      <c r="AE27" s="3">
        <v>9.0909090909090912E-2</v>
      </c>
      <c r="AF27" s="3">
        <v>0.18181818181818182</v>
      </c>
      <c r="AG27" s="3">
        <v>0.18181818181818182</v>
      </c>
      <c r="AH27" s="3">
        <v>0.36999999999999983</v>
      </c>
      <c r="AI27" s="3">
        <v>0.99999999999999956</v>
      </c>
      <c r="AJ27" s="3">
        <v>5.4054054054054036E-2</v>
      </c>
      <c r="AK27" s="3">
        <v>5.4054054054054036E-2</v>
      </c>
      <c r="AL27" s="3">
        <v>2.7027027027027018E-2</v>
      </c>
      <c r="AM27" s="3">
        <v>8.1081081081081058E-2</v>
      </c>
      <c r="AN27" s="3">
        <v>8.1081081081081058E-2</v>
      </c>
      <c r="AO27" s="3">
        <v>6.7567567567567557E-2</v>
      </c>
      <c r="AP27" s="3">
        <v>5.4054054054054036E-2</v>
      </c>
      <c r="AQ27" s="3">
        <v>1.3513513513513509E-2</v>
      </c>
      <c r="AR27" s="3">
        <v>4.0540540540540529E-2</v>
      </c>
      <c r="AS27" s="3">
        <v>1.3513513513513509E-2</v>
      </c>
      <c r="AT27" s="3">
        <v>8.1081081081081058E-2</v>
      </c>
      <c r="AU27" s="3">
        <v>5.4054054054054036E-2</v>
      </c>
      <c r="AV27" s="3">
        <v>2.7027027027027018E-2</v>
      </c>
      <c r="AW27" s="3">
        <v>5.4054054054054036E-2</v>
      </c>
      <c r="AX27" s="3">
        <v>5.4054054054054036E-2</v>
      </c>
      <c r="AY27" s="3">
        <v>2.7027027027027018E-2</v>
      </c>
      <c r="AZ27" s="3">
        <v>4.0540540540540529E-2</v>
      </c>
      <c r="BA27" s="3">
        <v>5.4054054054054036E-2</v>
      </c>
      <c r="BB27" s="3">
        <v>8.1081081081081058E-2</v>
      </c>
      <c r="BC27" s="3">
        <v>1.3513513513513509E-2</v>
      </c>
      <c r="BD27" s="3">
        <v>2.7027027027027018E-2</v>
      </c>
      <c r="BE27">
        <v>31.32</v>
      </c>
      <c r="BF27" s="3" t="str">
        <f>+IF(AVANCE[[#This Row],[% AVANCE]]=100%,"MODULO TERMINADO",IF(AVANCE[[#This Row],[FECHA INICIO REAL]]="","MODULO NO INICIADO","PENDIENTE"))</f>
        <v>MODULO TERMINADO</v>
      </c>
      <c r="BG27" s="3">
        <f>+IF(AVANCE[[#This Row],[VENTANAS]]=8.10810810810811%,100%,AVANCE[[#This Row],[VENTANAS]])</f>
        <v>1</v>
      </c>
      <c r="BH27" s="3">
        <f>+IF(AVANCE[[#This Row],[PISO]]=N$2,100%,AVANCE[[#This Row],[PISO]])</f>
        <v>1</v>
      </c>
      <c r="BI27" s="3">
        <f>+IF(AVANCE[[#This Row],[TABIQUES]]=O$2,100%,AVANCE[[#This Row],[TABIQUES]])</f>
        <v>1</v>
      </c>
      <c r="BJ27" s="3">
        <f>+IF(AVANCE[[#This Row],[MUROS]]=P$2,100%,AVANCE[[#This Row],[MUROS]])</f>
        <v>1</v>
      </c>
      <c r="BK27" s="3">
        <f>+IF(AVANCE[[#This Row],[CIELO]]=Q$2,100%,AVANCE[[#This Row],[CIELO]])</f>
        <v>1</v>
      </c>
      <c r="BL27" s="3">
        <f>+IF(AVANCE[[#This Row],[BALCÓN]]=R$2,100%,AVANCE[[#This Row],[BALCÓN]])</f>
        <v>1</v>
      </c>
      <c r="BM27" s="3">
        <f>+IF(AVANCE[[#This Row],[RED ALCANTARILLADO]]=U$2,100%,AVANCE[[#This Row],[RED ALCANTARILLADO]])</f>
        <v>1</v>
      </c>
      <c r="BN27" s="3">
        <f>+IF(AVANCE[[#This Row],[RED DE AGUA]]=V$2,100%,AVANCE[[#This Row],[RED DE AGUA]])</f>
        <v>1</v>
      </c>
      <c r="BO27" s="3">
        <f>+IF(AVANCE[[#This Row],[VENTILACIONES]]=W$2,100%,AVANCE[[#This Row],[VENTILACIONES]])</f>
        <v>1</v>
      </c>
      <c r="BP27" s="3">
        <f>+IF(AVANCE[[#This Row],[TINA]]=X$2,100%,AVANCE[[#This Row],[TINA]])</f>
        <v>1</v>
      </c>
      <c r="BQ27" s="3">
        <f>+IF(AVANCE[[#This Row],[WC]]=Y$2,100%,AVANCE[[#This Row],[WC]])</f>
        <v>1</v>
      </c>
      <c r="BR27" s="3">
        <f>+IF(AVANCE[[#This Row],[LAVAMANOS / LAVAPLATOS / LAVADERO]]=Z$2,100%,AVANCE[[#This Row],[LAVAMANOS / LAVAPLATOS / LAVADERO]])</f>
        <v>1</v>
      </c>
      <c r="BS27" s="3">
        <f>+IF(AVANCE[[#This Row],[CANALIZACIÓN]]=AC$2,100%,AVANCE[[#This Row],[CANALIZACIÓN]])</f>
        <v>1</v>
      </c>
      <c r="BT27" s="3">
        <f>+IF(AVANCE[[#This Row],[CABLEADO]]=AD$2,100%,AVANCE[[#This Row],[CABLEADO]])</f>
        <v>1</v>
      </c>
      <c r="BU27" s="3">
        <f>+IF(AVANCE[[#This Row],[ARTEFACTOS]]=AE$2,100%,AVANCE[[#This Row],[ARTEFACTOS]])</f>
        <v>1</v>
      </c>
      <c r="BV27" s="3">
        <f>+IF(AVANCE[[#This Row],[TABLERO]]=AF$2,100%,AVANCE[[#This Row],[TABLERO]])</f>
        <v>1</v>
      </c>
      <c r="BW27" s="3">
        <f>+IF(AVANCE[[#This Row],[CAJA PAU]]=AG$2,100%,AVANCE[[#This Row],[CAJA PAU]])</f>
        <v>1</v>
      </c>
      <c r="BX27" s="3">
        <f>+IF(AVANCE[[#This Row],[INSTALACION VINILICO]]=AJ$2,100%,AVANCE[[#This Row],[INSTALACION VINILICO]])</f>
        <v>1</v>
      </c>
      <c r="BY27" s="3">
        <f>+IF(AVANCE[[#This Row],[OSB CUBIERTA]]=AK$2,100%,AVANCE[[#This Row],[OSB CUBIERTA]])</f>
        <v>1</v>
      </c>
      <c r="BZ27" s="3">
        <f>+IF(AVANCE[[#This Row],[BARANDA BALCON]]=AL$2,100%,AVANCE[[#This Row],[BARANDA BALCON]])</f>
        <v>1</v>
      </c>
      <c r="CA27" s="3">
        <f>+IF(AVANCE[[#This Row],[OSB EXTERIOR]]=AM$2,100%,AVANCE[[#This Row],[OSB EXTERIOR]])</f>
        <v>1</v>
      </c>
      <c r="CB27" s="3">
        <f>+IF(AVANCE[[#This Row],[SMART PANEL]]=AN$2,100%,AVANCE[[#This Row],[SMART PANEL]])</f>
        <v>1</v>
      </c>
      <c r="CC27" s="3">
        <f>+IF(AVANCE[[#This Row],[PINTURA EXTERIOR]]=AO$2,100%,AVANCE[[#This Row],[PINTURA EXTERIOR]])</f>
        <v>1</v>
      </c>
      <c r="CD27" s="3">
        <f>+IF(AVANCE[[#This Row],[ZOCALOS LOGIA]]=AP$2,100%,AVANCE[[#This Row],[ZOCALOS LOGIA]])</f>
        <v>1</v>
      </c>
      <c r="CE27" s="3">
        <f>+IF(AVANCE[[#This Row],[MOLDURAS]]=AQ$2,100%,AVANCE[[#This Row],[MOLDURAS]])</f>
        <v>1</v>
      </c>
      <c r="CF27" s="3">
        <f>+IF(AVANCE[[#This Row],[PILASTREO]]=AR$2,100%,AVANCE[[#This Row],[PILASTREO]])</f>
        <v>1</v>
      </c>
      <c r="CG27" s="3">
        <f>+IF(AVANCE[[#This Row],[CELOSIAS]]=AS$2,100%,AVANCE[[#This Row],[CELOSIAS]])</f>
        <v>1</v>
      </c>
      <c r="CH27" s="3">
        <f>+IF(AVANCE[[#This Row],[VENTANAS]]=AT$2,100%,AVANCE[[#This Row],[VENTANAS]])</f>
        <v>1</v>
      </c>
      <c r="CI27" s="3">
        <f>+IF(AVANCE[[#This Row],[PUERTAS ACCESO - LOGIA - BANO]]=AU$2,100%,AVANCE[[#This Row],[PUERTAS ACCESO - LOGIA - BANO]])</f>
        <v>1</v>
      </c>
      <c r="CJ27" s="3">
        <f>+IF(AVANCE[[#This Row],[CERRADURAS]]=AV$2,100%,AVANCE[[#This Row],[CERRADURAS]])</f>
        <v>1</v>
      </c>
      <c r="CK27" s="3">
        <f>+IF(AVANCE[[#This Row],[REVESTIMIENTO INTERIOR ZONA SECA]]=AW$2,100%,AVANCE[[#This Row],[REVESTIMIENTO INTERIOR ZONA SECA]])</f>
        <v>1</v>
      </c>
      <c r="CL27" s="3">
        <f>+IF(AVANCE[[#This Row],[REVESTIMIENTO INTERIOR ZONAS HUMEDAS]]=AX$2,100%,AVANCE[[#This Row],[REVESTIMIENTO INTERIOR ZONAS HUMEDAS]])</f>
        <v>1</v>
      </c>
      <c r="CM27" s="3">
        <f>+IF(AVANCE[[#This Row],[MEMBRANA CIELO]]=AY$2,100%,AVANCE[[#This Row],[MEMBRANA CIELO]])</f>
        <v>1</v>
      </c>
      <c r="CN27" s="3">
        <f>+IF(AVANCE[[#This Row],[LIMPIEZA FINAL]]=AZ$2,100%,AVANCE[[#This Row],[LIMPIEZA FINAL]])</f>
        <v>1</v>
      </c>
      <c r="CO27" s="3">
        <f>+IF(AVANCE[[#This Row],[PUERTAS DORMITORIO]]=BA$2,100%,AVANCE[[#This Row],[PUERTAS DORMITORIO]])</f>
        <v>1</v>
      </c>
      <c r="CP27" s="3">
        <f>+IF(AVANCE[[#This Row],[REVESTIMIENTO INTERIOR BANO]]=BB$2,100%,AVANCE[[#This Row],[REVESTIMIENTO INTERIOR BANO]])</f>
        <v>1</v>
      </c>
      <c r="CQ27" s="3">
        <f>+IF(AVANCE[[#This Row],[MUEBLE LAVAPLATOS]]=BC$2,100%,AVANCE[[#This Row],[MUEBLE LAVAPLATOS]])</f>
        <v>1</v>
      </c>
      <c r="CR27" s="3">
        <f>+IF(AVANCE[[#This Row],[IMPERMEABILIZACION BANO - COCINA LOGIA]]=BD$2,100%,AVANCE[[#This Row],[IMPERMEABILIZACION BANO - COCINA LOGIA]])</f>
        <v>1</v>
      </c>
      <c r="CS27" s="40">
        <f ca="1">+IF(AVANCE[[#This Row],[ESTADO MODULO]]="PENDIENTE",(TODAY()-AVANCE[[#This Row],[FECHA TERMINO  PLANIFICADO]]),0)</f>
        <v>0</v>
      </c>
      <c r="CT27" s="41" t="str" cm="1">
        <f t="array" ref="CT27">_xlfn.TEXTJOIN(" | ",TRUE,IF(SUMPRODUCT((BG27:CR27&lt;1)*(PARTIDAS!$I$2:$AT$2="OBRA GRUESA"))&gt;0,"OBRA GRUESA: "&amp;_xlfn.TEXTJOIN(", ",TRUE,IF((BG27:CR27&lt;1)*(PARTIDAS!$I$2:$AT$2="OBRA GRUESA"),PARTIDAS!$I$1:$AT$1,"")),""),IF(SUMPRODUCT((BG27:CR27&lt;1)*(PARTIDAS!$I$2:$AT$2="SANITARIOS"))&gt;0,"SANITARIOS: "&amp;_xlfn.TEXTJOIN(", ",TRUE,IF((BG27:CR27&lt;1)*(PARTIDAS!$I$2:$AT$2="SANITARIOS"),PARTIDAS!$I$1:$AT$1,"")),""),IF(SUMPRODUCT((BG27:CR27&lt;1)*(PARTIDAS!$I$2:$AT$2="ELÉCTRICO"))&gt;0,"ELÉCTRICO: "&amp;_xlfn.TEXTJOIN(", ",TRUE,IF((BG27:CR27&lt;1)*(PARTIDAS!$I$2:$AT$2="ELÉCTRICO"),PARTIDAS!$I$1:$AT$1,"")),""),IF(SUMPRODUCT((BG27:CR27&lt;1)*(PARTIDAS!$I$2:$AT$2="TERMINACIONES"))&gt;0,"TERMINACIONES: "&amp;_xlfn.TEXTJOIN(", ",TRUE,IF((BG27:CR27&lt;1)*(PARTIDAS!$I$2:$AT$2="TERMINACIONES"),PARTIDAS!$I$1:$AT$1,"")),""))</f>
        <v/>
      </c>
      <c r="CU27" s="43" t="str" cm="1">
        <f t="array" ref="CU27">_xlfn.TEXTJOIN(", ",TRUE,IF(SUMPRODUCT((BG27:CR27&lt;1)*(PARTIDAS!$I$2:$AT$2="OBRA GRUESA"))&gt;0,"OBRA GRUESA",""),IF(SUMPRODUCT((BG27:CR27&lt;1)*(PARTIDAS!$I$2:$AT$2="SANITARIOS"))&gt;0,"SANITARIOS",""),IF(SUMPRODUCT((BG27:CR27&lt;1)*(PARTIDAS!$I$2:$AT$2="ELÉCTRICO"))&gt;0,"ELÉCTRICO",""),IF(SUMPRODUCT((BG27:CR27&lt;1)*(PARTIDAS!$I$2:$AT$2="TERMINACIONES"))&gt;0,"TERMINACIONES",""))</f>
        <v/>
      </c>
      <c r="CV27" s="44" cm="1">
        <f t="array" ref="CV27">SUMPRODUCT(--(BG27:CR27&lt;1))</f>
        <v>0</v>
      </c>
    </row>
    <row r="28" spans="1:100" hidden="1" x14ac:dyDescent="0.25">
      <c r="A28" t="s">
        <v>56</v>
      </c>
      <c r="B28" t="s">
        <v>85</v>
      </c>
      <c r="C28">
        <v>2302600027</v>
      </c>
      <c r="D28" t="s">
        <v>60</v>
      </c>
      <c r="E28" s="2">
        <v>0.99999999999999978</v>
      </c>
      <c r="F28" s="1">
        <v>46111</v>
      </c>
      <c r="G28" s="1">
        <v>46111</v>
      </c>
      <c r="H28" s="1">
        <v>46169</v>
      </c>
      <c r="I28" s="1">
        <v>46150</v>
      </c>
      <c r="K28" s="1">
        <v>46169</v>
      </c>
      <c r="L28" s="3">
        <v>0.43</v>
      </c>
      <c r="M28" s="3">
        <v>1</v>
      </c>
      <c r="N28" s="3">
        <v>0.27906976744186046</v>
      </c>
      <c r="O28" s="3">
        <v>0.18604651162790697</v>
      </c>
      <c r="P28" s="3">
        <v>0.2558139534883721</v>
      </c>
      <c r="Q28" s="3">
        <v>0.18604651162790697</v>
      </c>
      <c r="R28" s="3">
        <v>9.3023255813953487E-2</v>
      </c>
      <c r="S28" s="3">
        <v>0.09</v>
      </c>
      <c r="T28" s="3">
        <v>1</v>
      </c>
      <c r="U28" s="3">
        <v>0.22222222222222221</v>
      </c>
      <c r="V28" s="3">
        <v>0.22222222222222221</v>
      </c>
      <c r="W28" s="3">
        <v>0.1111111111111111</v>
      </c>
      <c r="X28" s="3">
        <v>0.1111111111111111</v>
      </c>
      <c r="Y28" s="3">
        <v>0.1111111111111111</v>
      </c>
      <c r="Z28" s="3">
        <v>0.22222222222222221</v>
      </c>
      <c r="AA28" s="3">
        <v>0.11</v>
      </c>
      <c r="AB28" s="3">
        <v>1</v>
      </c>
      <c r="AC28" s="3">
        <v>0.27272727272727271</v>
      </c>
      <c r="AD28" s="3">
        <v>0.27272727272727271</v>
      </c>
      <c r="AE28" s="3">
        <v>9.0909090909090912E-2</v>
      </c>
      <c r="AF28" s="3">
        <v>0.18181818181818182</v>
      </c>
      <c r="AG28" s="3">
        <v>0.18181818181818182</v>
      </c>
      <c r="AH28" s="3">
        <v>0.36999999999999983</v>
      </c>
      <c r="AI28" s="3">
        <v>0.99999999999999956</v>
      </c>
      <c r="AJ28" s="3">
        <v>5.4054054054054036E-2</v>
      </c>
      <c r="AK28" s="3">
        <v>5.4054054054054036E-2</v>
      </c>
      <c r="AL28" s="3">
        <v>2.7027027027027018E-2</v>
      </c>
      <c r="AM28" s="3">
        <v>8.1081081081081058E-2</v>
      </c>
      <c r="AN28" s="3">
        <v>8.1081081081081058E-2</v>
      </c>
      <c r="AO28" s="3">
        <v>6.7567567567567557E-2</v>
      </c>
      <c r="AP28" s="3">
        <v>5.4054054054054036E-2</v>
      </c>
      <c r="AQ28" s="3">
        <v>1.3513513513513509E-2</v>
      </c>
      <c r="AR28" s="3">
        <v>4.0540540540540529E-2</v>
      </c>
      <c r="AS28" s="3">
        <v>1.3513513513513509E-2</v>
      </c>
      <c r="AT28" s="3">
        <v>8.1081081081081058E-2</v>
      </c>
      <c r="AU28" s="3">
        <v>5.4054054054054036E-2</v>
      </c>
      <c r="AV28" s="3">
        <v>2.7027027027027018E-2</v>
      </c>
      <c r="AW28" s="3">
        <v>5.4054054054054036E-2</v>
      </c>
      <c r="AX28" s="3">
        <v>5.4054054054054036E-2</v>
      </c>
      <c r="AY28" s="3">
        <v>2.7027027027027018E-2</v>
      </c>
      <c r="AZ28" s="3">
        <v>4.0540540540540529E-2</v>
      </c>
      <c r="BA28" s="3">
        <v>5.4054054054054036E-2</v>
      </c>
      <c r="BB28" s="3">
        <v>8.1081081081081058E-2</v>
      </c>
      <c r="BC28" s="3">
        <v>1.3513513513513509E-2</v>
      </c>
      <c r="BD28" s="3">
        <v>2.7027027027027018E-2</v>
      </c>
      <c r="BE28">
        <v>31.32</v>
      </c>
      <c r="BF28" s="3" t="str">
        <f>+IF(AVANCE[[#This Row],[% AVANCE]]=100%,"MODULO TERMINADO",IF(AVANCE[[#This Row],[FECHA INICIO REAL]]="","MODULO NO INICIADO","PENDIENTE"))</f>
        <v>MODULO TERMINADO</v>
      </c>
      <c r="BG28" s="3">
        <f>+IF(AVANCE[[#This Row],[VENTANAS]]=8.10810810810811%,100%,AVANCE[[#This Row],[VENTANAS]])</f>
        <v>1</v>
      </c>
      <c r="BH28" s="3">
        <f>+IF(AVANCE[[#This Row],[PISO]]=N$2,100%,AVANCE[[#This Row],[PISO]])</f>
        <v>1</v>
      </c>
      <c r="BI28" s="3">
        <f>+IF(AVANCE[[#This Row],[TABIQUES]]=O$2,100%,AVANCE[[#This Row],[TABIQUES]])</f>
        <v>1</v>
      </c>
      <c r="BJ28" s="3">
        <f>+IF(AVANCE[[#This Row],[MUROS]]=P$2,100%,AVANCE[[#This Row],[MUROS]])</f>
        <v>1</v>
      </c>
      <c r="BK28" s="3">
        <f>+IF(AVANCE[[#This Row],[CIELO]]=Q$2,100%,AVANCE[[#This Row],[CIELO]])</f>
        <v>1</v>
      </c>
      <c r="BL28" s="3">
        <f>+IF(AVANCE[[#This Row],[BALCÓN]]=R$2,100%,AVANCE[[#This Row],[BALCÓN]])</f>
        <v>1</v>
      </c>
      <c r="BM28" s="3">
        <f>+IF(AVANCE[[#This Row],[RED ALCANTARILLADO]]=U$2,100%,AVANCE[[#This Row],[RED ALCANTARILLADO]])</f>
        <v>1</v>
      </c>
      <c r="BN28" s="3">
        <f>+IF(AVANCE[[#This Row],[RED DE AGUA]]=V$2,100%,AVANCE[[#This Row],[RED DE AGUA]])</f>
        <v>1</v>
      </c>
      <c r="BO28" s="3">
        <f>+IF(AVANCE[[#This Row],[VENTILACIONES]]=W$2,100%,AVANCE[[#This Row],[VENTILACIONES]])</f>
        <v>1</v>
      </c>
      <c r="BP28" s="3">
        <f>+IF(AVANCE[[#This Row],[TINA]]=X$2,100%,AVANCE[[#This Row],[TINA]])</f>
        <v>1</v>
      </c>
      <c r="BQ28" s="3">
        <f>+IF(AVANCE[[#This Row],[WC]]=Y$2,100%,AVANCE[[#This Row],[WC]])</f>
        <v>1</v>
      </c>
      <c r="BR28" s="3">
        <f>+IF(AVANCE[[#This Row],[LAVAMANOS / LAVAPLATOS / LAVADERO]]=Z$2,100%,AVANCE[[#This Row],[LAVAMANOS / LAVAPLATOS / LAVADERO]])</f>
        <v>1</v>
      </c>
      <c r="BS28" s="3">
        <f>+IF(AVANCE[[#This Row],[CANALIZACIÓN]]=AC$2,100%,AVANCE[[#This Row],[CANALIZACIÓN]])</f>
        <v>1</v>
      </c>
      <c r="BT28" s="3">
        <f>+IF(AVANCE[[#This Row],[CABLEADO]]=AD$2,100%,AVANCE[[#This Row],[CABLEADO]])</f>
        <v>1</v>
      </c>
      <c r="BU28" s="3">
        <f>+IF(AVANCE[[#This Row],[ARTEFACTOS]]=AE$2,100%,AVANCE[[#This Row],[ARTEFACTOS]])</f>
        <v>1</v>
      </c>
      <c r="BV28" s="3">
        <f>+IF(AVANCE[[#This Row],[TABLERO]]=AF$2,100%,AVANCE[[#This Row],[TABLERO]])</f>
        <v>1</v>
      </c>
      <c r="BW28" s="3">
        <f>+IF(AVANCE[[#This Row],[CAJA PAU]]=AG$2,100%,AVANCE[[#This Row],[CAJA PAU]])</f>
        <v>1</v>
      </c>
      <c r="BX28" s="3">
        <f>+IF(AVANCE[[#This Row],[INSTALACION VINILICO]]=AJ$2,100%,AVANCE[[#This Row],[INSTALACION VINILICO]])</f>
        <v>1</v>
      </c>
      <c r="BY28" s="3">
        <f>+IF(AVANCE[[#This Row],[OSB CUBIERTA]]=AK$2,100%,AVANCE[[#This Row],[OSB CUBIERTA]])</f>
        <v>1</v>
      </c>
      <c r="BZ28" s="3">
        <f>+IF(AVANCE[[#This Row],[BARANDA BALCON]]=AL$2,100%,AVANCE[[#This Row],[BARANDA BALCON]])</f>
        <v>1</v>
      </c>
      <c r="CA28" s="3">
        <f>+IF(AVANCE[[#This Row],[OSB EXTERIOR]]=AM$2,100%,AVANCE[[#This Row],[OSB EXTERIOR]])</f>
        <v>1</v>
      </c>
      <c r="CB28" s="3">
        <f>+IF(AVANCE[[#This Row],[SMART PANEL]]=AN$2,100%,AVANCE[[#This Row],[SMART PANEL]])</f>
        <v>1</v>
      </c>
      <c r="CC28" s="3">
        <f>+IF(AVANCE[[#This Row],[PINTURA EXTERIOR]]=AO$2,100%,AVANCE[[#This Row],[PINTURA EXTERIOR]])</f>
        <v>1</v>
      </c>
      <c r="CD28" s="3">
        <f>+IF(AVANCE[[#This Row],[ZOCALOS LOGIA]]=AP$2,100%,AVANCE[[#This Row],[ZOCALOS LOGIA]])</f>
        <v>1</v>
      </c>
      <c r="CE28" s="3">
        <f>+IF(AVANCE[[#This Row],[MOLDURAS]]=AQ$2,100%,AVANCE[[#This Row],[MOLDURAS]])</f>
        <v>1</v>
      </c>
      <c r="CF28" s="3">
        <f>+IF(AVANCE[[#This Row],[PILASTREO]]=AR$2,100%,AVANCE[[#This Row],[PILASTREO]])</f>
        <v>1</v>
      </c>
      <c r="CG28" s="3">
        <f>+IF(AVANCE[[#This Row],[CELOSIAS]]=AS$2,100%,AVANCE[[#This Row],[CELOSIAS]])</f>
        <v>1</v>
      </c>
      <c r="CH28" s="3">
        <f>+IF(AVANCE[[#This Row],[VENTANAS]]=AT$2,100%,AVANCE[[#This Row],[VENTANAS]])</f>
        <v>1</v>
      </c>
      <c r="CI28" s="3">
        <f>+IF(AVANCE[[#This Row],[PUERTAS ACCESO - LOGIA - BANO]]=AU$2,100%,AVANCE[[#This Row],[PUERTAS ACCESO - LOGIA - BANO]])</f>
        <v>1</v>
      </c>
      <c r="CJ28" s="3">
        <f>+IF(AVANCE[[#This Row],[CERRADURAS]]=AV$2,100%,AVANCE[[#This Row],[CERRADURAS]])</f>
        <v>1</v>
      </c>
      <c r="CK28" s="3">
        <f>+IF(AVANCE[[#This Row],[REVESTIMIENTO INTERIOR ZONA SECA]]=AW$2,100%,AVANCE[[#This Row],[REVESTIMIENTO INTERIOR ZONA SECA]])</f>
        <v>1</v>
      </c>
      <c r="CL28" s="3">
        <f>+IF(AVANCE[[#This Row],[REVESTIMIENTO INTERIOR ZONAS HUMEDAS]]=AX$2,100%,AVANCE[[#This Row],[REVESTIMIENTO INTERIOR ZONAS HUMEDAS]])</f>
        <v>1</v>
      </c>
      <c r="CM28" s="3">
        <f>+IF(AVANCE[[#This Row],[MEMBRANA CIELO]]=AY$2,100%,AVANCE[[#This Row],[MEMBRANA CIELO]])</f>
        <v>1</v>
      </c>
      <c r="CN28" s="3">
        <f>+IF(AVANCE[[#This Row],[LIMPIEZA FINAL]]=AZ$2,100%,AVANCE[[#This Row],[LIMPIEZA FINAL]])</f>
        <v>1</v>
      </c>
      <c r="CO28" s="3">
        <f>+IF(AVANCE[[#This Row],[PUERTAS DORMITORIO]]=BA$2,100%,AVANCE[[#This Row],[PUERTAS DORMITORIO]])</f>
        <v>1</v>
      </c>
      <c r="CP28" s="3">
        <f>+IF(AVANCE[[#This Row],[REVESTIMIENTO INTERIOR BANO]]=BB$2,100%,AVANCE[[#This Row],[REVESTIMIENTO INTERIOR BANO]])</f>
        <v>1</v>
      </c>
      <c r="CQ28" s="3">
        <f>+IF(AVANCE[[#This Row],[MUEBLE LAVAPLATOS]]=BC$2,100%,AVANCE[[#This Row],[MUEBLE LAVAPLATOS]])</f>
        <v>1</v>
      </c>
      <c r="CR28" s="3">
        <f>+IF(AVANCE[[#This Row],[IMPERMEABILIZACION BANO - COCINA LOGIA]]=BD$2,100%,AVANCE[[#This Row],[IMPERMEABILIZACION BANO - COCINA LOGIA]])</f>
        <v>1</v>
      </c>
      <c r="CS28" s="40">
        <f ca="1">+IF(AVANCE[[#This Row],[ESTADO MODULO]]="PENDIENTE",(TODAY()-AVANCE[[#This Row],[FECHA TERMINO  PLANIFICADO]]),0)</f>
        <v>0</v>
      </c>
      <c r="CT28" s="41" t="str" cm="1">
        <f t="array" ref="CT28">_xlfn.TEXTJOIN(" | ",TRUE,IF(SUMPRODUCT((BG28:CR28&lt;1)*(PARTIDAS!$I$2:$AT$2="OBRA GRUESA"))&gt;0,"OBRA GRUESA: "&amp;_xlfn.TEXTJOIN(", ",TRUE,IF((BG28:CR28&lt;1)*(PARTIDAS!$I$2:$AT$2="OBRA GRUESA"),PARTIDAS!$I$1:$AT$1,"")),""),IF(SUMPRODUCT((BG28:CR28&lt;1)*(PARTIDAS!$I$2:$AT$2="SANITARIOS"))&gt;0,"SANITARIOS: "&amp;_xlfn.TEXTJOIN(", ",TRUE,IF((BG28:CR28&lt;1)*(PARTIDAS!$I$2:$AT$2="SANITARIOS"),PARTIDAS!$I$1:$AT$1,"")),""),IF(SUMPRODUCT((BG28:CR28&lt;1)*(PARTIDAS!$I$2:$AT$2="ELÉCTRICO"))&gt;0,"ELÉCTRICO: "&amp;_xlfn.TEXTJOIN(", ",TRUE,IF((BG28:CR28&lt;1)*(PARTIDAS!$I$2:$AT$2="ELÉCTRICO"),PARTIDAS!$I$1:$AT$1,"")),""),IF(SUMPRODUCT((BG28:CR28&lt;1)*(PARTIDAS!$I$2:$AT$2="TERMINACIONES"))&gt;0,"TERMINACIONES: "&amp;_xlfn.TEXTJOIN(", ",TRUE,IF((BG28:CR28&lt;1)*(PARTIDAS!$I$2:$AT$2="TERMINACIONES"),PARTIDAS!$I$1:$AT$1,"")),""))</f>
        <v/>
      </c>
      <c r="CU28" s="43" t="str" cm="1">
        <f t="array" ref="CU28">_xlfn.TEXTJOIN(", ",TRUE,IF(SUMPRODUCT((BG28:CR28&lt;1)*(PARTIDAS!$I$2:$AT$2="OBRA GRUESA"))&gt;0,"OBRA GRUESA",""),IF(SUMPRODUCT((BG28:CR28&lt;1)*(PARTIDAS!$I$2:$AT$2="SANITARIOS"))&gt;0,"SANITARIOS",""),IF(SUMPRODUCT((BG28:CR28&lt;1)*(PARTIDAS!$I$2:$AT$2="ELÉCTRICO"))&gt;0,"ELÉCTRICO",""),IF(SUMPRODUCT((BG28:CR28&lt;1)*(PARTIDAS!$I$2:$AT$2="TERMINACIONES"))&gt;0,"TERMINACIONES",""))</f>
        <v/>
      </c>
      <c r="CV28" s="44" cm="1">
        <f t="array" ref="CV28">SUMPRODUCT(--(BG28:CR28&lt;1))</f>
        <v>0</v>
      </c>
    </row>
    <row r="29" spans="1:100" hidden="1" x14ac:dyDescent="0.25">
      <c r="A29" t="s">
        <v>56</v>
      </c>
      <c r="B29" t="s">
        <v>86</v>
      </c>
      <c r="C29">
        <v>2282600028</v>
      </c>
      <c r="D29" t="s">
        <v>58</v>
      </c>
      <c r="E29" s="2">
        <v>0.99999999999999978</v>
      </c>
      <c r="F29" s="1">
        <v>46108</v>
      </c>
      <c r="G29" s="1">
        <v>46108</v>
      </c>
      <c r="H29" s="1">
        <v>46169</v>
      </c>
      <c r="I29" s="1">
        <v>46146</v>
      </c>
      <c r="K29" s="1">
        <v>46169</v>
      </c>
      <c r="L29" s="3">
        <v>0.43</v>
      </c>
      <c r="M29" s="3">
        <v>1</v>
      </c>
      <c r="N29" s="3">
        <v>0.27906976744186046</v>
      </c>
      <c r="O29" s="3">
        <v>0.18604651162790697</v>
      </c>
      <c r="P29" s="3">
        <v>0.2558139534883721</v>
      </c>
      <c r="Q29" s="3">
        <v>0.18604651162790697</v>
      </c>
      <c r="R29" s="3">
        <v>9.3023255813953487E-2</v>
      </c>
      <c r="S29" s="3">
        <v>0.09</v>
      </c>
      <c r="T29" s="3">
        <v>1</v>
      </c>
      <c r="U29" s="3">
        <v>0.22222222222222221</v>
      </c>
      <c r="V29" s="3">
        <v>0.22222222222222221</v>
      </c>
      <c r="W29" s="3">
        <v>0.1111111111111111</v>
      </c>
      <c r="X29" s="3">
        <v>0.1111111111111111</v>
      </c>
      <c r="Y29" s="3">
        <v>0.1111111111111111</v>
      </c>
      <c r="Z29" s="3">
        <v>0.22222222222222221</v>
      </c>
      <c r="AA29" s="3">
        <v>0.11</v>
      </c>
      <c r="AB29" s="3">
        <v>1</v>
      </c>
      <c r="AC29" s="3">
        <v>0.27272727272727271</v>
      </c>
      <c r="AD29" s="3">
        <v>0.27272727272727271</v>
      </c>
      <c r="AE29" s="3">
        <v>9.0909090909090912E-2</v>
      </c>
      <c r="AF29" s="3">
        <v>0.18181818181818182</v>
      </c>
      <c r="AG29" s="3">
        <v>0.18181818181818182</v>
      </c>
      <c r="AH29" s="3">
        <v>0.36999999999999983</v>
      </c>
      <c r="AI29" s="3">
        <v>0.99999999999999956</v>
      </c>
      <c r="AJ29" s="3">
        <v>5.4054054054054036E-2</v>
      </c>
      <c r="AK29" s="3">
        <v>5.4054054054054036E-2</v>
      </c>
      <c r="AL29" s="3">
        <v>2.7027027027027018E-2</v>
      </c>
      <c r="AM29" s="3">
        <v>8.1081081081081058E-2</v>
      </c>
      <c r="AN29" s="3">
        <v>8.1081081081081058E-2</v>
      </c>
      <c r="AO29" s="3">
        <v>6.7567567567567557E-2</v>
      </c>
      <c r="AP29" s="3">
        <v>5.4054054054054036E-2</v>
      </c>
      <c r="AQ29" s="3">
        <v>1.3513513513513509E-2</v>
      </c>
      <c r="AR29" s="3">
        <v>4.0540540540540529E-2</v>
      </c>
      <c r="AS29" s="3">
        <v>1.3513513513513509E-2</v>
      </c>
      <c r="AT29" s="3">
        <v>8.1081081081081058E-2</v>
      </c>
      <c r="AU29" s="3">
        <v>5.4054054054054036E-2</v>
      </c>
      <c r="AV29" s="3">
        <v>2.7027027027027018E-2</v>
      </c>
      <c r="AW29" s="3">
        <v>5.4054054054054036E-2</v>
      </c>
      <c r="AX29" s="3">
        <v>5.4054054054054036E-2</v>
      </c>
      <c r="AY29" s="3">
        <v>2.7027027027027018E-2</v>
      </c>
      <c r="AZ29" s="3">
        <v>4.0540540540540529E-2</v>
      </c>
      <c r="BA29" s="3">
        <v>5.4054054054054036E-2</v>
      </c>
      <c r="BB29" s="3">
        <v>8.1081081081081058E-2</v>
      </c>
      <c r="BC29" s="3">
        <v>1.3513513513513509E-2</v>
      </c>
      <c r="BD29" s="3">
        <v>2.7027027027027018E-2</v>
      </c>
      <c r="BE29">
        <v>28.87</v>
      </c>
      <c r="BF29" s="3" t="str">
        <f>+IF(AVANCE[[#This Row],[% AVANCE]]=100%,"MODULO TERMINADO",IF(AVANCE[[#This Row],[FECHA INICIO REAL]]="","MODULO NO INICIADO","PENDIENTE"))</f>
        <v>MODULO TERMINADO</v>
      </c>
      <c r="BG29" s="3">
        <f>+IF(AVANCE[[#This Row],[VENTANAS]]=8.10810810810811%,100%,AVANCE[[#This Row],[VENTANAS]])</f>
        <v>1</v>
      </c>
      <c r="BH29" s="3">
        <f>+IF(AVANCE[[#This Row],[PISO]]=N$2,100%,AVANCE[[#This Row],[PISO]])</f>
        <v>1</v>
      </c>
      <c r="BI29" s="3">
        <f>+IF(AVANCE[[#This Row],[TABIQUES]]=O$2,100%,AVANCE[[#This Row],[TABIQUES]])</f>
        <v>1</v>
      </c>
      <c r="BJ29" s="3">
        <f>+IF(AVANCE[[#This Row],[MUROS]]=P$2,100%,AVANCE[[#This Row],[MUROS]])</f>
        <v>1</v>
      </c>
      <c r="BK29" s="3">
        <f>+IF(AVANCE[[#This Row],[CIELO]]=Q$2,100%,AVANCE[[#This Row],[CIELO]])</f>
        <v>1</v>
      </c>
      <c r="BL29" s="3">
        <f>+IF(AVANCE[[#This Row],[BALCÓN]]=R$2,100%,AVANCE[[#This Row],[BALCÓN]])</f>
        <v>1</v>
      </c>
      <c r="BM29" s="3">
        <f>+IF(AVANCE[[#This Row],[RED ALCANTARILLADO]]=U$2,100%,AVANCE[[#This Row],[RED ALCANTARILLADO]])</f>
        <v>1</v>
      </c>
      <c r="BN29" s="3">
        <f>+IF(AVANCE[[#This Row],[RED DE AGUA]]=V$2,100%,AVANCE[[#This Row],[RED DE AGUA]])</f>
        <v>1</v>
      </c>
      <c r="BO29" s="3">
        <f>+IF(AVANCE[[#This Row],[VENTILACIONES]]=W$2,100%,AVANCE[[#This Row],[VENTILACIONES]])</f>
        <v>1</v>
      </c>
      <c r="BP29" s="3">
        <f>+IF(AVANCE[[#This Row],[TINA]]=X$2,100%,AVANCE[[#This Row],[TINA]])</f>
        <v>1</v>
      </c>
      <c r="BQ29" s="3">
        <f>+IF(AVANCE[[#This Row],[WC]]=Y$2,100%,AVANCE[[#This Row],[WC]])</f>
        <v>1</v>
      </c>
      <c r="BR29" s="3">
        <f>+IF(AVANCE[[#This Row],[LAVAMANOS / LAVAPLATOS / LAVADERO]]=Z$2,100%,AVANCE[[#This Row],[LAVAMANOS / LAVAPLATOS / LAVADERO]])</f>
        <v>1</v>
      </c>
      <c r="BS29" s="3">
        <f>+IF(AVANCE[[#This Row],[CANALIZACIÓN]]=AC$2,100%,AVANCE[[#This Row],[CANALIZACIÓN]])</f>
        <v>1</v>
      </c>
      <c r="BT29" s="3">
        <f>+IF(AVANCE[[#This Row],[CABLEADO]]=AD$2,100%,AVANCE[[#This Row],[CABLEADO]])</f>
        <v>1</v>
      </c>
      <c r="BU29" s="3">
        <f>+IF(AVANCE[[#This Row],[ARTEFACTOS]]=AE$2,100%,AVANCE[[#This Row],[ARTEFACTOS]])</f>
        <v>1</v>
      </c>
      <c r="BV29" s="3">
        <f>+IF(AVANCE[[#This Row],[TABLERO]]=AF$2,100%,AVANCE[[#This Row],[TABLERO]])</f>
        <v>1</v>
      </c>
      <c r="BW29" s="3">
        <f>+IF(AVANCE[[#This Row],[CAJA PAU]]=AG$2,100%,AVANCE[[#This Row],[CAJA PAU]])</f>
        <v>1</v>
      </c>
      <c r="BX29" s="3">
        <f>+IF(AVANCE[[#This Row],[INSTALACION VINILICO]]=AJ$2,100%,AVANCE[[#This Row],[INSTALACION VINILICO]])</f>
        <v>1</v>
      </c>
      <c r="BY29" s="3">
        <f>+IF(AVANCE[[#This Row],[OSB CUBIERTA]]=AK$2,100%,AVANCE[[#This Row],[OSB CUBIERTA]])</f>
        <v>1</v>
      </c>
      <c r="BZ29" s="3">
        <f>+IF(AVANCE[[#This Row],[BARANDA BALCON]]=AL$2,100%,AVANCE[[#This Row],[BARANDA BALCON]])</f>
        <v>1</v>
      </c>
      <c r="CA29" s="3">
        <f>+IF(AVANCE[[#This Row],[OSB EXTERIOR]]=AM$2,100%,AVANCE[[#This Row],[OSB EXTERIOR]])</f>
        <v>1</v>
      </c>
      <c r="CB29" s="3">
        <f>+IF(AVANCE[[#This Row],[SMART PANEL]]=AN$2,100%,AVANCE[[#This Row],[SMART PANEL]])</f>
        <v>1</v>
      </c>
      <c r="CC29" s="3">
        <f>+IF(AVANCE[[#This Row],[PINTURA EXTERIOR]]=AO$2,100%,AVANCE[[#This Row],[PINTURA EXTERIOR]])</f>
        <v>1</v>
      </c>
      <c r="CD29" s="3">
        <f>+IF(AVANCE[[#This Row],[ZOCALOS LOGIA]]=AP$2,100%,AVANCE[[#This Row],[ZOCALOS LOGIA]])</f>
        <v>1</v>
      </c>
      <c r="CE29" s="3">
        <f>+IF(AVANCE[[#This Row],[MOLDURAS]]=AQ$2,100%,AVANCE[[#This Row],[MOLDURAS]])</f>
        <v>1</v>
      </c>
      <c r="CF29" s="3">
        <f>+IF(AVANCE[[#This Row],[PILASTREO]]=AR$2,100%,AVANCE[[#This Row],[PILASTREO]])</f>
        <v>1</v>
      </c>
      <c r="CG29" s="3">
        <f>+IF(AVANCE[[#This Row],[CELOSIAS]]=AS$2,100%,AVANCE[[#This Row],[CELOSIAS]])</f>
        <v>1</v>
      </c>
      <c r="CH29" s="3">
        <f>+IF(AVANCE[[#This Row],[VENTANAS]]=AT$2,100%,AVANCE[[#This Row],[VENTANAS]])</f>
        <v>1</v>
      </c>
      <c r="CI29" s="3">
        <f>+IF(AVANCE[[#This Row],[PUERTAS ACCESO - LOGIA - BANO]]=AU$2,100%,AVANCE[[#This Row],[PUERTAS ACCESO - LOGIA - BANO]])</f>
        <v>1</v>
      </c>
      <c r="CJ29" s="3">
        <f>+IF(AVANCE[[#This Row],[CERRADURAS]]=AV$2,100%,AVANCE[[#This Row],[CERRADURAS]])</f>
        <v>1</v>
      </c>
      <c r="CK29" s="3">
        <f>+IF(AVANCE[[#This Row],[REVESTIMIENTO INTERIOR ZONA SECA]]=AW$2,100%,AVANCE[[#This Row],[REVESTIMIENTO INTERIOR ZONA SECA]])</f>
        <v>1</v>
      </c>
      <c r="CL29" s="3">
        <f>+IF(AVANCE[[#This Row],[REVESTIMIENTO INTERIOR ZONAS HUMEDAS]]=AX$2,100%,AVANCE[[#This Row],[REVESTIMIENTO INTERIOR ZONAS HUMEDAS]])</f>
        <v>1</v>
      </c>
      <c r="CM29" s="3">
        <f>+IF(AVANCE[[#This Row],[MEMBRANA CIELO]]=AY$2,100%,AVANCE[[#This Row],[MEMBRANA CIELO]])</f>
        <v>1</v>
      </c>
      <c r="CN29" s="3">
        <f>+IF(AVANCE[[#This Row],[LIMPIEZA FINAL]]=AZ$2,100%,AVANCE[[#This Row],[LIMPIEZA FINAL]])</f>
        <v>1</v>
      </c>
      <c r="CO29" s="3">
        <f>+IF(AVANCE[[#This Row],[PUERTAS DORMITORIO]]=BA$2,100%,AVANCE[[#This Row],[PUERTAS DORMITORIO]])</f>
        <v>1</v>
      </c>
      <c r="CP29" s="3">
        <f>+IF(AVANCE[[#This Row],[REVESTIMIENTO INTERIOR BANO]]=BB$2,100%,AVANCE[[#This Row],[REVESTIMIENTO INTERIOR BANO]])</f>
        <v>1</v>
      </c>
      <c r="CQ29" s="3">
        <f>+IF(AVANCE[[#This Row],[MUEBLE LAVAPLATOS]]=BC$2,100%,AVANCE[[#This Row],[MUEBLE LAVAPLATOS]])</f>
        <v>1</v>
      </c>
      <c r="CR29" s="3">
        <f>+IF(AVANCE[[#This Row],[IMPERMEABILIZACION BANO - COCINA LOGIA]]=BD$2,100%,AVANCE[[#This Row],[IMPERMEABILIZACION BANO - COCINA LOGIA]])</f>
        <v>1</v>
      </c>
      <c r="CS29" s="40">
        <f ca="1">+IF(AVANCE[[#This Row],[ESTADO MODULO]]="PENDIENTE",(TODAY()-AVANCE[[#This Row],[FECHA TERMINO  PLANIFICADO]]),0)</f>
        <v>0</v>
      </c>
      <c r="CT29" s="41" t="str" cm="1">
        <f t="array" ref="CT29">_xlfn.TEXTJOIN(" | ",TRUE,IF(SUMPRODUCT((BG29:CR29&lt;1)*(PARTIDAS!$I$2:$AT$2="OBRA GRUESA"))&gt;0,"OBRA GRUESA: "&amp;_xlfn.TEXTJOIN(", ",TRUE,IF((BG29:CR29&lt;1)*(PARTIDAS!$I$2:$AT$2="OBRA GRUESA"),PARTIDAS!$I$1:$AT$1,"")),""),IF(SUMPRODUCT((BG29:CR29&lt;1)*(PARTIDAS!$I$2:$AT$2="SANITARIOS"))&gt;0,"SANITARIOS: "&amp;_xlfn.TEXTJOIN(", ",TRUE,IF((BG29:CR29&lt;1)*(PARTIDAS!$I$2:$AT$2="SANITARIOS"),PARTIDAS!$I$1:$AT$1,"")),""),IF(SUMPRODUCT((BG29:CR29&lt;1)*(PARTIDAS!$I$2:$AT$2="ELÉCTRICO"))&gt;0,"ELÉCTRICO: "&amp;_xlfn.TEXTJOIN(", ",TRUE,IF((BG29:CR29&lt;1)*(PARTIDAS!$I$2:$AT$2="ELÉCTRICO"),PARTIDAS!$I$1:$AT$1,"")),""),IF(SUMPRODUCT((BG29:CR29&lt;1)*(PARTIDAS!$I$2:$AT$2="TERMINACIONES"))&gt;0,"TERMINACIONES: "&amp;_xlfn.TEXTJOIN(", ",TRUE,IF((BG29:CR29&lt;1)*(PARTIDAS!$I$2:$AT$2="TERMINACIONES"),PARTIDAS!$I$1:$AT$1,"")),""))</f>
        <v/>
      </c>
      <c r="CU29" s="43" t="str" cm="1">
        <f t="array" ref="CU29">_xlfn.TEXTJOIN(", ",TRUE,IF(SUMPRODUCT((BG29:CR29&lt;1)*(PARTIDAS!$I$2:$AT$2="OBRA GRUESA"))&gt;0,"OBRA GRUESA",""),IF(SUMPRODUCT((BG29:CR29&lt;1)*(PARTIDAS!$I$2:$AT$2="SANITARIOS"))&gt;0,"SANITARIOS",""),IF(SUMPRODUCT((BG29:CR29&lt;1)*(PARTIDAS!$I$2:$AT$2="ELÉCTRICO"))&gt;0,"ELÉCTRICO",""),IF(SUMPRODUCT((BG29:CR29&lt;1)*(PARTIDAS!$I$2:$AT$2="TERMINACIONES"))&gt;0,"TERMINACIONES",""))</f>
        <v/>
      </c>
      <c r="CV29" s="44" cm="1">
        <f t="array" ref="CV29">SUMPRODUCT(--(BG29:CR29&lt;1))</f>
        <v>0</v>
      </c>
    </row>
    <row r="30" spans="1:100" hidden="1" x14ac:dyDescent="0.25">
      <c r="A30" t="s">
        <v>56</v>
      </c>
      <c r="B30" t="s">
        <v>87</v>
      </c>
      <c r="C30">
        <v>2282600029</v>
      </c>
      <c r="D30" t="s">
        <v>58</v>
      </c>
      <c r="E30" s="2">
        <v>0.99999999999999978</v>
      </c>
      <c r="F30" s="1">
        <v>46111</v>
      </c>
      <c r="G30" s="1">
        <v>46111</v>
      </c>
      <c r="H30" s="1">
        <v>46174</v>
      </c>
      <c r="I30" s="1">
        <v>46148</v>
      </c>
      <c r="K30" s="1">
        <v>46174</v>
      </c>
      <c r="L30" s="3">
        <v>0.43</v>
      </c>
      <c r="M30" s="3">
        <v>1</v>
      </c>
      <c r="N30" s="3">
        <v>0.27906976744186046</v>
      </c>
      <c r="O30" s="3">
        <v>0.18604651162790697</v>
      </c>
      <c r="P30" s="3">
        <v>0.2558139534883721</v>
      </c>
      <c r="Q30" s="3">
        <v>0.18604651162790697</v>
      </c>
      <c r="R30" s="3">
        <v>9.3023255813953487E-2</v>
      </c>
      <c r="S30" s="3">
        <v>0.09</v>
      </c>
      <c r="T30" s="3">
        <v>1</v>
      </c>
      <c r="U30" s="3">
        <v>0.22222222222222221</v>
      </c>
      <c r="V30" s="3">
        <v>0.22222222222222221</v>
      </c>
      <c r="W30" s="3">
        <v>0.1111111111111111</v>
      </c>
      <c r="X30" s="3">
        <v>0.1111111111111111</v>
      </c>
      <c r="Y30" s="3">
        <v>0.1111111111111111</v>
      </c>
      <c r="Z30" s="3">
        <v>0.22222222222222221</v>
      </c>
      <c r="AA30" s="3">
        <v>0.11</v>
      </c>
      <c r="AB30" s="3">
        <v>1</v>
      </c>
      <c r="AC30" s="3">
        <v>0.27272727272727271</v>
      </c>
      <c r="AD30" s="3">
        <v>0.27272727272727271</v>
      </c>
      <c r="AE30" s="3">
        <v>9.0909090909090912E-2</v>
      </c>
      <c r="AF30" s="3">
        <v>0.18181818181818182</v>
      </c>
      <c r="AG30" s="3">
        <v>0.18181818181818182</v>
      </c>
      <c r="AH30" s="3">
        <v>0.36999999999999983</v>
      </c>
      <c r="AI30" s="3">
        <v>0.99999999999999956</v>
      </c>
      <c r="AJ30" s="3">
        <v>5.4054054054054036E-2</v>
      </c>
      <c r="AK30" s="3">
        <v>5.4054054054054036E-2</v>
      </c>
      <c r="AL30" s="3">
        <v>2.7027027027027018E-2</v>
      </c>
      <c r="AM30" s="3">
        <v>8.1081081081081058E-2</v>
      </c>
      <c r="AN30" s="3">
        <v>8.1081081081081058E-2</v>
      </c>
      <c r="AO30" s="3">
        <v>6.7567567567567557E-2</v>
      </c>
      <c r="AP30" s="3">
        <v>5.4054054054054036E-2</v>
      </c>
      <c r="AQ30" s="3">
        <v>1.3513513513513509E-2</v>
      </c>
      <c r="AR30" s="3">
        <v>4.0540540540540529E-2</v>
      </c>
      <c r="AS30" s="3">
        <v>1.3513513513513509E-2</v>
      </c>
      <c r="AT30" s="3">
        <v>8.1081081081081058E-2</v>
      </c>
      <c r="AU30" s="3">
        <v>5.4054054054054036E-2</v>
      </c>
      <c r="AV30" s="3">
        <v>2.7027027027027018E-2</v>
      </c>
      <c r="AW30" s="3">
        <v>5.4054054054054036E-2</v>
      </c>
      <c r="AX30" s="3">
        <v>5.4054054054054036E-2</v>
      </c>
      <c r="AY30" s="3">
        <v>2.7027027027027018E-2</v>
      </c>
      <c r="AZ30" s="3">
        <v>4.0540540540540529E-2</v>
      </c>
      <c r="BA30" s="3">
        <v>5.4054054054054036E-2</v>
      </c>
      <c r="BB30" s="3">
        <v>8.1081081081081058E-2</v>
      </c>
      <c r="BC30" s="3">
        <v>1.3513513513513509E-2</v>
      </c>
      <c r="BD30" s="3">
        <v>2.7027027027027018E-2</v>
      </c>
      <c r="BE30">
        <v>28.87</v>
      </c>
      <c r="BF30" s="3" t="str">
        <f>+IF(AVANCE[[#This Row],[% AVANCE]]=100%,"MODULO TERMINADO",IF(AVANCE[[#This Row],[FECHA INICIO REAL]]="","MODULO NO INICIADO","PENDIENTE"))</f>
        <v>MODULO TERMINADO</v>
      </c>
      <c r="BG30" s="3">
        <f>+IF(AVANCE[[#This Row],[VENTANAS]]=8.10810810810811%,100%,AVANCE[[#This Row],[VENTANAS]])</f>
        <v>1</v>
      </c>
      <c r="BH30" s="3">
        <f>+IF(AVANCE[[#This Row],[PISO]]=N$2,100%,AVANCE[[#This Row],[PISO]])</f>
        <v>1</v>
      </c>
      <c r="BI30" s="3">
        <f>+IF(AVANCE[[#This Row],[TABIQUES]]=O$2,100%,AVANCE[[#This Row],[TABIQUES]])</f>
        <v>1</v>
      </c>
      <c r="BJ30" s="3">
        <f>+IF(AVANCE[[#This Row],[MUROS]]=P$2,100%,AVANCE[[#This Row],[MUROS]])</f>
        <v>1</v>
      </c>
      <c r="BK30" s="3">
        <f>+IF(AVANCE[[#This Row],[CIELO]]=Q$2,100%,AVANCE[[#This Row],[CIELO]])</f>
        <v>1</v>
      </c>
      <c r="BL30" s="3">
        <f>+IF(AVANCE[[#This Row],[BALCÓN]]=R$2,100%,AVANCE[[#This Row],[BALCÓN]])</f>
        <v>1</v>
      </c>
      <c r="BM30" s="3">
        <f>+IF(AVANCE[[#This Row],[RED ALCANTARILLADO]]=U$2,100%,AVANCE[[#This Row],[RED ALCANTARILLADO]])</f>
        <v>1</v>
      </c>
      <c r="BN30" s="3">
        <f>+IF(AVANCE[[#This Row],[RED DE AGUA]]=V$2,100%,AVANCE[[#This Row],[RED DE AGUA]])</f>
        <v>1</v>
      </c>
      <c r="BO30" s="3">
        <f>+IF(AVANCE[[#This Row],[VENTILACIONES]]=W$2,100%,AVANCE[[#This Row],[VENTILACIONES]])</f>
        <v>1</v>
      </c>
      <c r="BP30" s="3">
        <f>+IF(AVANCE[[#This Row],[TINA]]=X$2,100%,AVANCE[[#This Row],[TINA]])</f>
        <v>1</v>
      </c>
      <c r="BQ30" s="3">
        <f>+IF(AVANCE[[#This Row],[WC]]=Y$2,100%,AVANCE[[#This Row],[WC]])</f>
        <v>1</v>
      </c>
      <c r="BR30" s="3">
        <f>+IF(AVANCE[[#This Row],[LAVAMANOS / LAVAPLATOS / LAVADERO]]=Z$2,100%,AVANCE[[#This Row],[LAVAMANOS / LAVAPLATOS / LAVADERO]])</f>
        <v>1</v>
      </c>
      <c r="BS30" s="3">
        <f>+IF(AVANCE[[#This Row],[CANALIZACIÓN]]=AC$2,100%,AVANCE[[#This Row],[CANALIZACIÓN]])</f>
        <v>1</v>
      </c>
      <c r="BT30" s="3">
        <f>+IF(AVANCE[[#This Row],[CABLEADO]]=AD$2,100%,AVANCE[[#This Row],[CABLEADO]])</f>
        <v>1</v>
      </c>
      <c r="BU30" s="3">
        <f>+IF(AVANCE[[#This Row],[ARTEFACTOS]]=AE$2,100%,AVANCE[[#This Row],[ARTEFACTOS]])</f>
        <v>1</v>
      </c>
      <c r="BV30" s="3">
        <f>+IF(AVANCE[[#This Row],[TABLERO]]=AF$2,100%,AVANCE[[#This Row],[TABLERO]])</f>
        <v>1</v>
      </c>
      <c r="BW30" s="3">
        <f>+IF(AVANCE[[#This Row],[CAJA PAU]]=AG$2,100%,AVANCE[[#This Row],[CAJA PAU]])</f>
        <v>1</v>
      </c>
      <c r="BX30" s="3">
        <f>+IF(AVANCE[[#This Row],[INSTALACION VINILICO]]=AJ$2,100%,AVANCE[[#This Row],[INSTALACION VINILICO]])</f>
        <v>1</v>
      </c>
      <c r="BY30" s="3">
        <f>+IF(AVANCE[[#This Row],[OSB CUBIERTA]]=AK$2,100%,AVANCE[[#This Row],[OSB CUBIERTA]])</f>
        <v>1</v>
      </c>
      <c r="BZ30" s="3">
        <f>+IF(AVANCE[[#This Row],[BARANDA BALCON]]=AL$2,100%,AVANCE[[#This Row],[BARANDA BALCON]])</f>
        <v>1</v>
      </c>
      <c r="CA30" s="3">
        <f>+IF(AVANCE[[#This Row],[OSB EXTERIOR]]=AM$2,100%,AVANCE[[#This Row],[OSB EXTERIOR]])</f>
        <v>1</v>
      </c>
      <c r="CB30" s="3">
        <f>+IF(AVANCE[[#This Row],[SMART PANEL]]=AN$2,100%,AVANCE[[#This Row],[SMART PANEL]])</f>
        <v>1</v>
      </c>
      <c r="CC30" s="3">
        <f>+IF(AVANCE[[#This Row],[PINTURA EXTERIOR]]=AO$2,100%,AVANCE[[#This Row],[PINTURA EXTERIOR]])</f>
        <v>1</v>
      </c>
      <c r="CD30" s="3">
        <f>+IF(AVANCE[[#This Row],[ZOCALOS LOGIA]]=AP$2,100%,AVANCE[[#This Row],[ZOCALOS LOGIA]])</f>
        <v>1</v>
      </c>
      <c r="CE30" s="3">
        <f>+IF(AVANCE[[#This Row],[MOLDURAS]]=AQ$2,100%,AVANCE[[#This Row],[MOLDURAS]])</f>
        <v>1</v>
      </c>
      <c r="CF30" s="3">
        <f>+IF(AVANCE[[#This Row],[PILASTREO]]=AR$2,100%,AVANCE[[#This Row],[PILASTREO]])</f>
        <v>1</v>
      </c>
      <c r="CG30" s="3">
        <f>+IF(AVANCE[[#This Row],[CELOSIAS]]=AS$2,100%,AVANCE[[#This Row],[CELOSIAS]])</f>
        <v>1</v>
      </c>
      <c r="CH30" s="3">
        <f>+IF(AVANCE[[#This Row],[VENTANAS]]=AT$2,100%,AVANCE[[#This Row],[VENTANAS]])</f>
        <v>1</v>
      </c>
      <c r="CI30" s="3">
        <f>+IF(AVANCE[[#This Row],[PUERTAS ACCESO - LOGIA - BANO]]=AU$2,100%,AVANCE[[#This Row],[PUERTAS ACCESO - LOGIA - BANO]])</f>
        <v>1</v>
      </c>
      <c r="CJ30" s="3">
        <f>+IF(AVANCE[[#This Row],[CERRADURAS]]=AV$2,100%,AVANCE[[#This Row],[CERRADURAS]])</f>
        <v>1</v>
      </c>
      <c r="CK30" s="3">
        <f>+IF(AVANCE[[#This Row],[REVESTIMIENTO INTERIOR ZONA SECA]]=AW$2,100%,AVANCE[[#This Row],[REVESTIMIENTO INTERIOR ZONA SECA]])</f>
        <v>1</v>
      </c>
      <c r="CL30" s="3">
        <f>+IF(AVANCE[[#This Row],[REVESTIMIENTO INTERIOR ZONAS HUMEDAS]]=AX$2,100%,AVANCE[[#This Row],[REVESTIMIENTO INTERIOR ZONAS HUMEDAS]])</f>
        <v>1</v>
      </c>
      <c r="CM30" s="3">
        <f>+IF(AVANCE[[#This Row],[MEMBRANA CIELO]]=AY$2,100%,AVANCE[[#This Row],[MEMBRANA CIELO]])</f>
        <v>1</v>
      </c>
      <c r="CN30" s="3">
        <f>+IF(AVANCE[[#This Row],[LIMPIEZA FINAL]]=AZ$2,100%,AVANCE[[#This Row],[LIMPIEZA FINAL]])</f>
        <v>1</v>
      </c>
      <c r="CO30" s="3">
        <f>+IF(AVANCE[[#This Row],[PUERTAS DORMITORIO]]=BA$2,100%,AVANCE[[#This Row],[PUERTAS DORMITORIO]])</f>
        <v>1</v>
      </c>
      <c r="CP30" s="3">
        <f>+IF(AVANCE[[#This Row],[REVESTIMIENTO INTERIOR BANO]]=BB$2,100%,AVANCE[[#This Row],[REVESTIMIENTO INTERIOR BANO]])</f>
        <v>1</v>
      </c>
      <c r="CQ30" s="3">
        <f>+IF(AVANCE[[#This Row],[MUEBLE LAVAPLATOS]]=BC$2,100%,AVANCE[[#This Row],[MUEBLE LAVAPLATOS]])</f>
        <v>1</v>
      </c>
      <c r="CR30" s="3">
        <f>+IF(AVANCE[[#This Row],[IMPERMEABILIZACION BANO - COCINA LOGIA]]=BD$2,100%,AVANCE[[#This Row],[IMPERMEABILIZACION BANO - COCINA LOGIA]])</f>
        <v>1</v>
      </c>
      <c r="CS30" s="40">
        <f ca="1">+IF(AVANCE[[#This Row],[ESTADO MODULO]]="PENDIENTE",(TODAY()-AVANCE[[#This Row],[FECHA TERMINO  PLANIFICADO]]),0)</f>
        <v>0</v>
      </c>
      <c r="CT30" s="41" t="str" cm="1">
        <f t="array" ref="CT30">_xlfn.TEXTJOIN(" | ",TRUE,IF(SUMPRODUCT((BG30:CR30&lt;1)*(PARTIDAS!$I$2:$AT$2="OBRA GRUESA"))&gt;0,"OBRA GRUESA: "&amp;_xlfn.TEXTJOIN(", ",TRUE,IF((BG30:CR30&lt;1)*(PARTIDAS!$I$2:$AT$2="OBRA GRUESA"),PARTIDAS!$I$1:$AT$1,"")),""),IF(SUMPRODUCT((BG30:CR30&lt;1)*(PARTIDAS!$I$2:$AT$2="SANITARIOS"))&gt;0,"SANITARIOS: "&amp;_xlfn.TEXTJOIN(", ",TRUE,IF((BG30:CR30&lt;1)*(PARTIDAS!$I$2:$AT$2="SANITARIOS"),PARTIDAS!$I$1:$AT$1,"")),""),IF(SUMPRODUCT((BG30:CR30&lt;1)*(PARTIDAS!$I$2:$AT$2="ELÉCTRICO"))&gt;0,"ELÉCTRICO: "&amp;_xlfn.TEXTJOIN(", ",TRUE,IF((BG30:CR30&lt;1)*(PARTIDAS!$I$2:$AT$2="ELÉCTRICO"),PARTIDAS!$I$1:$AT$1,"")),""),IF(SUMPRODUCT((BG30:CR30&lt;1)*(PARTIDAS!$I$2:$AT$2="TERMINACIONES"))&gt;0,"TERMINACIONES: "&amp;_xlfn.TEXTJOIN(", ",TRUE,IF((BG30:CR30&lt;1)*(PARTIDAS!$I$2:$AT$2="TERMINACIONES"),PARTIDAS!$I$1:$AT$1,"")),""))</f>
        <v/>
      </c>
      <c r="CU30" s="43" t="str" cm="1">
        <f t="array" ref="CU30">_xlfn.TEXTJOIN(", ",TRUE,IF(SUMPRODUCT((BG30:CR30&lt;1)*(PARTIDAS!$I$2:$AT$2="OBRA GRUESA"))&gt;0,"OBRA GRUESA",""),IF(SUMPRODUCT((BG30:CR30&lt;1)*(PARTIDAS!$I$2:$AT$2="SANITARIOS"))&gt;0,"SANITARIOS",""),IF(SUMPRODUCT((BG30:CR30&lt;1)*(PARTIDAS!$I$2:$AT$2="ELÉCTRICO"))&gt;0,"ELÉCTRICO",""),IF(SUMPRODUCT((BG30:CR30&lt;1)*(PARTIDAS!$I$2:$AT$2="TERMINACIONES"))&gt;0,"TERMINACIONES",""))</f>
        <v/>
      </c>
      <c r="CV30" s="44" cm="1">
        <f t="array" ref="CV30">SUMPRODUCT(--(BG30:CR30&lt;1))</f>
        <v>0</v>
      </c>
    </row>
    <row r="31" spans="1:100" hidden="1" x14ac:dyDescent="0.25">
      <c r="A31" t="s">
        <v>56</v>
      </c>
      <c r="B31" t="s">
        <v>88</v>
      </c>
      <c r="C31">
        <v>2302600030</v>
      </c>
      <c r="D31" t="s">
        <v>60</v>
      </c>
      <c r="E31" s="2">
        <v>0.99999999999999978</v>
      </c>
      <c r="F31" s="1">
        <v>46112</v>
      </c>
      <c r="G31" s="1">
        <v>46112</v>
      </c>
      <c r="H31" s="1">
        <v>46181</v>
      </c>
      <c r="I31" s="1">
        <v>46153</v>
      </c>
      <c r="K31" s="1">
        <v>46181</v>
      </c>
      <c r="L31" s="3">
        <v>0.43</v>
      </c>
      <c r="M31" s="3">
        <v>1</v>
      </c>
      <c r="N31" s="3">
        <v>0.27906976744186046</v>
      </c>
      <c r="O31" s="3">
        <v>0.18604651162790697</v>
      </c>
      <c r="P31" s="3">
        <v>0.2558139534883721</v>
      </c>
      <c r="Q31" s="3">
        <v>0.18604651162790697</v>
      </c>
      <c r="R31" s="3">
        <v>9.3023255813953487E-2</v>
      </c>
      <c r="S31" s="3">
        <v>0.09</v>
      </c>
      <c r="T31" s="3">
        <v>1</v>
      </c>
      <c r="U31" s="3">
        <v>0.22222222222222221</v>
      </c>
      <c r="V31" s="3">
        <v>0.22222222222222221</v>
      </c>
      <c r="W31" s="3">
        <v>0.1111111111111111</v>
      </c>
      <c r="X31" s="3">
        <v>0.1111111111111111</v>
      </c>
      <c r="Y31" s="3">
        <v>0.1111111111111111</v>
      </c>
      <c r="Z31" s="3">
        <v>0.22222222222222221</v>
      </c>
      <c r="AA31" s="3">
        <v>0.11</v>
      </c>
      <c r="AB31" s="3">
        <v>1</v>
      </c>
      <c r="AC31" s="3">
        <v>0.27272727272727271</v>
      </c>
      <c r="AD31" s="3">
        <v>0.27272727272727271</v>
      </c>
      <c r="AE31" s="3">
        <v>9.0909090909090912E-2</v>
      </c>
      <c r="AF31" s="3">
        <v>0.18181818181818182</v>
      </c>
      <c r="AG31" s="3">
        <v>0.18181818181818182</v>
      </c>
      <c r="AH31" s="3">
        <v>0.36999999999999983</v>
      </c>
      <c r="AI31" s="3">
        <v>0.99999999999999956</v>
      </c>
      <c r="AJ31" s="3">
        <v>5.4054054054054036E-2</v>
      </c>
      <c r="AK31" s="3">
        <v>5.4054054054054036E-2</v>
      </c>
      <c r="AL31" s="3">
        <v>2.7027027027027018E-2</v>
      </c>
      <c r="AM31" s="3">
        <v>8.1081081081081058E-2</v>
      </c>
      <c r="AN31" s="3">
        <v>8.1081081081081058E-2</v>
      </c>
      <c r="AO31" s="3">
        <v>6.7567567567567557E-2</v>
      </c>
      <c r="AP31" s="3">
        <v>5.4054054054054036E-2</v>
      </c>
      <c r="AQ31" s="3">
        <v>1.3513513513513509E-2</v>
      </c>
      <c r="AR31" s="3">
        <v>4.0540540540540529E-2</v>
      </c>
      <c r="AS31" s="3">
        <v>1.3513513513513509E-2</v>
      </c>
      <c r="AT31" s="3">
        <v>8.1081081081081058E-2</v>
      </c>
      <c r="AU31" s="3">
        <v>5.4054054054054036E-2</v>
      </c>
      <c r="AV31" s="3">
        <v>2.7027027027027018E-2</v>
      </c>
      <c r="AW31" s="3">
        <v>5.4054054054054036E-2</v>
      </c>
      <c r="AX31" s="3">
        <v>5.4054054054054036E-2</v>
      </c>
      <c r="AY31" s="3">
        <v>2.7027027027027018E-2</v>
      </c>
      <c r="AZ31" s="3">
        <v>4.0540540540540529E-2</v>
      </c>
      <c r="BA31" s="3">
        <v>5.4054054054054036E-2</v>
      </c>
      <c r="BB31" s="3">
        <v>8.1081081081081058E-2</v>
      </c>
      <c r="BC31" s="3">
        <v>1.3513513513513509E-2</v>
      </c>
      <c r="BD31" s="3">
        <v>2.7027027027027018E-2</v>
      </c>
      <c r="BE31">
        <v>31.32</v>
      </c>
      <c r="BF31" s="3" t="str">
        <f>+IF(AVANCE[[#This Row],[% AVANCE]]=100%,"MODULO TERMINADO",IF(AVANCE[[#This Row],[FECHA INICIO REAL]]="","MODULO NO INICIADO","PENDIENTE"))</f>
        <v>MODULO TERMINADO</v>
      </c>
      <c r="BG31" s="3">
        <f>+IF(AVANCE[[#This Row],[VENTANAS]]=8.10810810810811%,100%,AVANCE[[#This Row],[VENTANAS]])</f>
        <v>1</v>
      </c>
      <c r="BH31" s="3">
        <f>+IF(AVANCE[[#This Row],[PISO]]=N$2,100%,AVANCE[[#This Row],[PISO]])</f>
        <v>1</v>
      </c>
      <c r="BI31" s="3">
        <f>+IF(AVANCE[[#This Row],[TABIQUES]]=O$2,100%,AVANCE[[#This Row],[TABIQUES]])</f>
        <v>1</v>
      </c>
      <c r="BJ31" s="3">
        <f>+IF(AVANCE[[#This Row],[MUROS]]=P$2,100%,AVANCE[[#This Row],[MUROS]])</f>
        <v>1</v>
      </c>
      <c r="BK31" s="3">
        <f>+IF(AVANCE[[#This Row],[CIELO]]=Q$2,100%,AVANCE[[#This Row],[CIELO]])</f>
        <v>1</v>
      </c>
      <c r="BL31" s="3">
        <f>+IF(AVANCE[[#This Row],[BALCÓN]]=R$2,100%,AVANCE[[#This Row],[BALCÓN]])</f>
        <v>1</v>
      </c>
      <c r="BM31" s="3">
        <f>+IF(AVANCE[[#This Row],[RED ALCANTARILLADO]]=U$2,100%,AVANCE[[#This Row],[RED ALCANTARILLADO]])</f>
        <v>1</v>
      </c>
      <c r="BN31" s="3">
        <f>+IF(AVANCE[[#This Row],[RED DE AGUA]]=V$2,100%,AVANCE[[#This Row],[RED DE AGUA]])</f>
        <v>1</v>
      </c>
      <c r="BO31" s="3">
        <f>+IF(AVANCE[[#This Row],[VENTILACIONES]]=W$2,100%,AVANCE[[#This Row],[VENTILACIONES]])</f>
        <v>1</v>
      </c>
      <c r="BP31" s="3">
        <f>+IF(AVANCE[[#This Row],[TINA]]=X$2,100%,AVANCE[[#This Row],[TINA]])</f>
        <v>1</v>
      </c>
      <c r="BQ31" s="3">
        <f>+IF(AVANCE[[#This Row],[WC]]=Y$2,100%,AVANCE[[#This Row],[WC]])</f>
        <v>1</v>
      </c>
      <c r="BR31" s="3">
        <f>+IF(AVANCE[[#This Row],[LAVAMANOS / LAVAPLATOS / LAVADERO]]=Z$2,100%,AVANCE[[#This Row],[LAVAMANOS / LAVAPLATOS / LAVADERO]])</f>
        <v>1</v>
      </c>
      <c r="BS31" s="3">
        <f>+IF(AVANCE[[#This Row],[CANALIZACIÓN]]=AC$2,100%,AVANCE[[#This Row],[CANALIZACIÓN]])</f>
        <v>1</v>
      </c>
      <c r="BT31" s="3">
        <f>+IF(AVANCE[[#This Row],[CABLEADO]]=AD$2,100%,AVANCE[[#This Row],[CABLEADO]])</f>
        <v>1</v>
      </c>
      <c r="BU31" s="3">
        <f>+IF(AVANCE[[#This Row],[ARTEFACTOS]]=AE$2,100%,AVANCE[[#This Row],[ARTEFACTOS]])</f>
        <v>1</v>
      </c>
      <c r="BV31" s="3">
        <f>+IF(AVANCE[[#This Row],[TABLERO]]=AF$2,100%,AVANCE[[#This Row],[TABLERO]])</f>
        <v>1</v>
      </c>
      <c r="BW31" s="3">
        <f>+IF(AVANCE[[#This Row],[CAJA PAU]]=AG$2,100%,AVANCE[[#This Row],[CAJA PAU]])</f>
        <v>1</v>
      </c>
      <c r="BX31" s="3">
        <f>+IF(AVANCE[[#This Row],[INSTALACION VINILICO]]=AJ$2,100%,AVANCE[[#This Row],[INSTALACION VINILICO]])</f>
        <v>1</v>
      </c>
      <c r="BY31" s="3">
        <f>+IF(AVANCE[[#This Row],[OSB CUBIERTA]]=AK$2,100%,AVANCE[[#This Row],[OSB CUBIERTA]])</f>
        <v>1</v>
      </c>
      <c r="BZ31" s="3">
        <f>+IF(AVANCE[[#This Row],[BARANDA BALCON]]=AL$2,100%,AVANCE[[#This Row],[BARANDA BALCON]])</f>
        <v>1</v>
      </c>
      <c r="CA31" s="3">
        <f>+IF(AVANCE[[#This Row],[OSB EXTERIOR]]=AM$2,100%,AVANCE[[#This Row],[OSB EXTERIOR]])</f>
        <v>1</v>
      </c>
      <c r="CB31" s="3">
        <f>+IF(AVANCE[[#This Row],[SMART PANEL]]=AN$2,100%,AVANCE[[#This Row],[SMART PANEL]])</f>
        <v>1</v>
      </c>
      <c r="CC31" s="3">
        <f>+IF(AVANCE[[#This Row],[PINTURA EXTERIOR]]=AO$2,100%,AVANCE[[#This Row],[PINTURA EXTERIOR]])</f>
        <v>1</v>
      </c>
      <c r="CD31" s="3">
        <f>+IF(AVANCE[[#This Row],[ZOCALOS LOGIA]]=AP$2,100%,AVANCE[[#This Row],[ZOCALOS LOGIA]])</f>
        <v>1</v>
      </c>
      <c r="CE31" s="3">
        <f>+IF(AVANCE[[#This Row],[MOLDURAS]]=AQ$2,100%,AVANCE[[#This Row],[MOLDURAS]])</f>
        <v>1</v>
      </c>
      <c r="CF31" s="3">
        <f>+IF(AVANCE[[#This Row],[PILASTREO]]=AR$2,100%,AVANCE[[#This Row],[PILASTREO]])</f>
        <v>1</v>
      </c>
      <c r="CG31" s="3">
        <f>+IF(AVANCE[[#This Row],[CELOSIAS]]=AS$2,100%,AVANCE[[#This Row],[CELOSIAS]])</f>
        <v>1</v>
      </c>
      <c r="CH31" s="3">
        <f>+IF(AVANCE[[#This Row],[VENTANAS]]=AT$2,100%,AVANCE[[#This Row],[VENTANAS]])</f>
        <v>1</v>
      </c>
      <c r="CI31" s="3">
        <f>+IF(AVANCE[[#This Row],[PUERTAS ACCESO - LOGIA - BANO]]=AU$2,100%,AVANCE[[#This Row],[PUERTAS ACCESO - LOGIA - BANO]])</f>
        <v>1</v>
      </c>
      <c r="CJ31" s="3">
        <f>+IF(AVANCE[[#This Row],[CERRADURAS]]=AV$2,100%,AVANCE[[#This Row],[CERRADURAS]])</f>
        <v>1</v>
      </c>
      <c r="CK31" s="3">
        <f>+IF(AVANCE[[#This Row],[REVESTIMIENTO INTERIOR ZONA SECA]]=AW$2,100%,AVANCE[[#This Row],[REVESTIMIENTO INTERIOR ZONA SECA]])</f>
        <v>1</v>
      </c>
      <c r="CL31" s="3">
        <f>+IF(AVANCE[[#This Row],[REVESTIMIENTO INTERIOR ZONAS HUMEDAS]]=AX$2,100%,AVANCE[[#This Row],[REVESTIMIENTO INTERIOR ZONAS HUMEDAS]])</f>
        <v>1</v>
      </c>
      <c r="CM31" s="3">
        <f>+IF(AVANCE[[#This Row],[MEMBRANA CIELO]]=AY$2,100%,AVANCE[[#This Row],[MEMBRANA CIELO]])</f>
        <v>1</v>
      </c>
      <c r="CN31" s="3">
        <f>+IF(AVANCE[[#This Row],[LIMPIEZA FINAL]]=AZ$2,100%,AVANCE[[#This Row],[LIMPIEZA FINAL]])</f>
        <v>1</v>
      </c>
      <c r="CO31" s="3">
        <f>+IF(AVANCE[[#This Row],[PUERTAS DORMITORIO]]=BA$2,100%,AVANCE[[#This Row],[PUERTAS DORMITORIO]])</f>
        <v>1</v>
      </c>
      <c r="CP31" s="3">
        <f>+IF(AVANCE[[#This Row],[REVESTIMIENTO INTERIOR BANO]]=BB$2,100%,AVANCE[[#This Row],[REVESTIMIENTO INTERIOR BANO]])</f>
        <v>1</v>
      </c>
      <c r="CQ31" s="3">
        <f>+IF(AVANCE[[#This Row],[MUEBLE LAVAPLATOS]]=BC$2,100%,AVANCE[[#This Row],[MUEBLE LAVAPLATOS]])</f>
        <v>1</v>
      </c>
      <c r="CR31" s="3">
        <f>+IF(AVANCE[[#This Row],[IMPERMEABILIZACION BANO - COCINA LOGIA]]=BD$2,100%,AVANCE[[#This Row],[IMPERMEABILIZACION BANO - COCINA LOGIA]])</f>
        <v>1</v>
      </c>
      <c r="CS31" s="40">
        <f ca="1">+IF(AVANCE[[#This Row],[ESTADO MODULO]]="PENDIENTE",(TODAY()-AVANCE[[#This Row],[FECHA TERMINO  PLANIFICADO]]),0)</f>
        <v>0</v>
      </c>
      <c r="CT31" s="41" t="str" cm="1">
        <f t="array" ref="CT31">_xlfn.TEXTJOIN(" | ",TRUE,IF(SUMPRODUCT((BG31:CR31&lt;1)*(PARTIDAS!$I$2:$AT$2="OBRA GRUESA"))&gt;0,"OBRA GRUESA: "&amp;_xlfn.TEXTJOIN(", ",TRUE,IF((BG31:CR31&lt;1)*(PARTIDAS!$I$2:$AT$2="OBRA GRUESA"),PARTIDAS!$I$1:$AT$1,"")),""),IF(SUMPRODUCT((BG31:CR31&lt;1)*(PARTIDAS!$I$2:$AT$2="SANITARIOS"))&gt;0,"SANITARIOS: "&amp;_xlfn.TEXTJOIN(", ",TRUE,IF((BG31:CR31&lt;1)*(PARTIDAS!$I$2:$AT$2="SANITARIOS"),PARTIDAS!$I$1:$AT$1,"")),""),IF(SUMPRODUCT((BG31:CR31&lt;1)*(PARTIDAS!$I$2:$AT$2="ELÉCTRICO"))&gt;0,"ELÉCTRICO: "&amp;_xlfn.TEXTJOIN(", ",TRUE,IF((BG31:CR31&lt;1)*(PARTIDAS!$I$2:$AT$2="ELÉCTRICO"),PARTIDAS!$I$1:$AT$1,"")),""),IF(SUMPRODUCT((BG31:CR31&lt;1)*(PARTIDAS!$I$2:$AT$2="TERMINACIONES"))&gt;0,"TERMINACIONES: "&amp;_xlfn.TEXTJOIN(", ",TRUE,IF((BG31:CR31&lt;1)*(PARTIDAS!$I$2:$AT$2="TERMINACIONES"),PARTIDAS!$I$1:$AT$1,"")),""))</f>
        <v/>
      </c>
      <c r="CU31" s="43" t="str" cm="1">
        <f t="array" ref="CU31">_xlfn.TEXTJOIN(", ",TRUE,IF(SUMPRODUCT((BG31:CR31&lt;1)*(PARTIDAS!$I$2:$AT$2="OBRA GRUESA"))&gt;0,"OBRA GRUESA",""),IF(SUMPRODUCT((BG31:CR31&lt;1)*(PARTIDAS!$I$2:$AT$2="SANITARIOS"))&gt;0,"SANITARIOS",""),IF(SUMPRODUCT((BG31:CR31&lt;1)*(PARTIDAS!$I$2:$AT$2="ELÉCTRICO"))&gt;0,"ELÉCTRICO",""),IF(SUMPRODUCT((BG31:CR31&lt;1)*(PARTIDAS!$I$2:$AT$2="TERMINACIONES"))&gt;0,"TERMINACIONES",""))</f>
        <v/>
      </c>
      <c r="CV31" s="44" cm="1">
        <f t="array" ref="CV31">SUMPRODUCT(--(BG31:CR31&lt;1))</f>
        <v>0</v>
      </c>
    </row>
    <row r="32" spans="1:100" hidden="1" x14ac:dyDescent="0.25">
      <c r="A32" t="s">
        <v>56</v>
      </c>
      <c r="B32" t="s">
        <v>89</v>
      </c>
      <c r="C32">
        <v>2302600031</v>
      </c>
      <c r="D32" t="s">
        <v>60</v>
      </c>
      <c r="E32" s="2">
        <v>0.99999999999999978</v>
      </c>
      <c r="F32" s="1">
        <v>46114</v>
      </c>
      <c r="G32" s="1">
        <v>46114</v>
      </c>
      <c r="H32" s="1">
        <v>46182</v>
      </c>
      <c r="I32" s="1">
        <v>46155</v>
      </c>
      <c r="K32" s="1">
        <v>46182</v>
      </c>
      <c r="L32" s="3">
        <v>0.43</v>
      </c>
      <c r="M32" s="3">
        <v>1</v>
      </c>
      <c r="N32" s="3">
        <v>0.27906976744186046</v>
      </c>
      <c r="O32" s="3">
        <v>0.18604651162790697</v>
      </c>
      <c r="P32" s="3">
        <v>0.2558139534883721</v>
      </c>
      <c r="Q32" s="3">
        <v>0.18604651162790697</v>
      </c>
      <c r="R32" s="3">
        <v>9.3023255813953487E-2</v>
      </c>
      <c r="S32" s="3">
        <v>0.09</v>
      </c>
      <c r="T32" s="3">
        <v>1</v>
      </c>
      <c r="U32" s="3">
        <v>0.22222222222222221</v>
      </c>
      <c r="V32" s="3">
        <v>0.22222222222222221</v>
      </c>
      <c r="W32" s="3">
        <v>0.1111111111111111</v>
      </c>
      <c r="X32" s="3">
        <v>0.1111111111111111</v>
      </c>
      <c r="Y32" s="3">
        <v>0.1111111111111111</v>
      </c>
      <c r="Z32" s="3">
        <v>0.22222222222222221</v>
      </c>
      <c r="AA32" s="3">
        <v>0.11</v>
      </c>
      <c r="AB32" s="3">
        <v>1</v>
      </c>
      <c r="AC32" s="3">
        <v>0.27272727272727271</v>
      </c>
      <c r="AD32" s="3">
        <v>0.27272727272727271</v>
      </c>
      <c r="AE32" s="3">
        <v>9.0909090909090912E-2</v>
      </c>
      <c r="AF32" s="3">
        <v>0.18181818181818182</v>
      </c>
      <c r="AG32" s="3">
        <v>0.18181818181818182</v>
      </c>
      <c r="AH32" s="3">
        <v>0.36999999999999983</v>
      </c>
      <c r="AI32" s="3">
        <v>0.99999999999999956</v>
      </c>
      <c r="AJ32" s="3">
        <v>5.4054054054054036E-2</v>
      </c>
      <c r="AK32" s="3">
        <v>5.4054054054054036E-2</v>
      </c>
      <c r="AL32" s="3">
        <v>2.7027027027027018E-2</v>
      </c>
      <c r="AM32" s="3">
        <v>8.1081081081081058E-2</v>
      </c>
      <c r="AN32" s="3">
        <v>8.1081081081081058E-2</v>
      </c>
      <c r="AO32" s="3">
        <v>6.7567567567567557E-2</v>
      </c>
      <c r="AP32" s="3">
        <v>5.4054054054054036E-2</v>
      </c>
      <c r="AQ32" s="3">
        <v>1.3513513513513509E-2</v>
      </c>
      <c r="AR32" s="3">
        <v>4.0540540540540529E-2</v>
      </c>
      <c r="AS32" s="3">
        <v>1.3513513513513509E-2</v>
      </c>
      <c r="AT32" s="3">
        <v>8.1081081081081058E-2</v>
      </c>
      <c r="AU32" s="3">
        <v>5.4054054054054036E-2</v>
      </c>
      <c r="AV32" s="3">
        <v>2.7027027027027018E-2</v>
      </c>
      <c r="AW32" s="3">
        <v>5.4054054054054036E-2</v>
      </c>
      <c r="AX32" s="3">
        <v>5.4054054054054036E-2</v>
      </c>
      <c r="AY32" s="3">
        <v>2.7027027027027018E-2</v>
      </c>
      <c r="AZ32" s="3">
        <v>4.0540540540540529E-2</v>
      </c>
      <c r="BA32" s="3">
        <v>5.4054054054054036E-2</v>
      </c>
      <c r="BB32" s="3">
        <v>8.1081081081081058E-2</v>
      </c>
      <c r="BC32" s="3">
        <v>1.3513513513513509E-2</v>
      </c>
      <c r="BD32" s="3">
        <v>2.7027027027027018E-2</v>
      </c>
      <c r="BE32">
        <v>31.32</v>
      </c>
      <c r="BF32" s="3" t="str">
        <f>+IF(AVANCE[[#This Row],[% AVANCE]]=100%,"MODULO TERMINADO",IF(AVANCE[[#This Row],[FECHA INICIO REAL]]="","MODULO NO INICIADO","PENDIENTE"))</f>
        <v>MODULO TERMINADO</v>
      </c>
      <c r="BG32" s="3">
        <f>+IF(AVANCE[[#This Row],[VENTANAS]]=8.10810810810811%,100%,AVANCE[[#This Row],[VENTANAS]])</f>
        <v>1</v>
      </c>
      <c r="BH32" s="3">
        <f>+IF(AVANCE[[#This Row],[PISO]]=N$2,100%,AVANCE[[#This Row],[PISO]])</f>
        <v>1</v>
      </c>
      <c r="BI32" s="3">
        <f>+IF(AVANCE[[#This Row],[TABIQUES]]=O$2,100%,AVANCE[[#This Row],[TABIQUES]])</f>
        <v>1</v>
      </c>
      <c r="BJ32" s="3">
        <f>+IF(AVANCE[[#This Row],[MUROS]]=P$2,100%,AVANCE[[#This Row],[MUROS]])</f>
        <v>1</v>
      </c>
      <c r="BK32" s="3">
        <f>+IF(AVANCE[[#This Row],[CIELO]]=Q$2,100%,AVANCE[[#This Row],[CIELO]])</f>
        <v>1</v>
      </c>
      <c r="BL32" s="3">
        <f>+IF(AVANCE[[#This Row],[BALCÓN]]=R$2,100%,AVANCE[[#This Row],[BALCÓN]])</f>
        <v>1</v>
      </c>
      <c r="BM32" s="3">
        <f>+IF(AVANCE[[#This Row],[RED ALCANTARILLADO]]=U$2,100%,AVANCE[[#This Row],[RED ALCANTARILLADO]])</f>
        <v>1</v>
      </c>
      <c r="BN32" s="3">
        <f>+IF(AVANCE[[#This Row],[RED DE AGUA]]=V$2,100%,AVANCE[[#This Row],[RED DE AGUA]])</f>
        <v>1</v>
      </c>
      <c r="BO32" s="3">
        <f>+IF(AVANCE[[#This Row],[VENTILACIONES]]=W$2,100%,AVANCE[[#This Row],[VENTILACIONES]])</f>
        <v>1</v>
      </c>
      <c r="BP32" s="3">
        <f>+IF(AVANCE[[#This Row],[TINA]]=X$2,100%,AVANCE[[#This Row],[TINA]])</f>
        <v>1</v>
      </c>
      <c r="BQ32" s="3">
        <f>+IF(AVANCE[[#This Row],[WC]]=Y$2,100%,AVANCE[[#This Row],[WC]])</f>
        <v>1</v>
      </c>
      <c r="BR32" s="3">
        <f>+IF(AVANCE[[#This Row],[LAVAMANOS / LAVAPLATOS / LAVADERO]]=Z$2,100%,AVANCE[[#This Row],[LAVAMANOS / LAVAPLATOS / LAVADERO]])</f>
        <v>1</v>
      </c>
      <c r="BS32" s="3">
        <f>+IF(AVANCE[[#This Row],[CANALIZACIÓN]]=AC$2,100%,AVANCE[[#This Row],[CANALIZACIÓN]])</f>
        <v>1</v>
      </c>
      <c r="BT32" s="3">
        <f>+IF(AVANCE[[#This Row],[CABLEADO]]=AD$2,100%,AVANCE[[#This Row],[CABLEADO]])</f>
        <v>1</v>
      </c>
      <c r="BU32" s="3">
        <f>+IF(AVANCE[[#This Row],[ARTEFACTOS]]=AE$2,100%,AVANCE[[#This Row],[ARTEFACTOS]])</f>
        <v>1</v>
      </c>
      <c r="BV32" s="3">
        <f>+IF(AVANCE[[#This Row],[TABLERO]]=AF$2,100%,AVANCE[[#This Row],[TABLERO]])</f>
        <v>1</v>
      </c>
      <c r="BW32" s="3">
        <f>+IF(AVANCE[[#This Row],[CAJA PAU]]=AG$2,100%,AVANCE[[#This Row],[CAJA PAU]])</f>
        <v>1</v>
      </c>
      <c r="BX32" s="3">
        <f>+IF(AVANCE[[#This Row],[INSTALACION VINILICO]]=AJ$2,100%,AVANCE[[#This Row],[INSTALACION VINILICO]])</f>
        <v>1</v>
      </c>
      <c r="BY32" s="3">
        <f>+IF(AVANCE[[#This Row],[OSB CUBIERTA]]=AK$2,100%,AVANCE[[#This Row],[OSB CUBIERTA]])</f>
        <v>1</v>
      </c>
      <c r="BZ32" s="3">
        <f>+IF(AVANCE[[#This Row],[BARANDA BALCON]]=AL$2,100%,AVANCE[[#This Row],[BARANDA BALCON]])</f>
        <v>1</v>
      </c>
      <c r="CA32" s="3">
        <f>+IF(AVANCE[[#This Row],[OSB EXTERIOR]]=AM$2,100%,AVANCE[[#This Row],[OSB EXTERIOR]])</f>
        <v>1</v>
      </c>
      <c r="CB32" s="3">
        <f>+IF(AVANCE[[#This Row],[SMART PANEL]]=AN$2,100%,AVANCE[[#This Row],[SMART PANEL]])</f>
        <v>1</v>
      </c>
      <c r="CC32" s="3">
        <f>+IF(AVANCE[[#This Row],[PINTURA EXTERIOR]]=AO$2,100%,AVANCE[[#This Row],[PINTURA EXTERIOR]])</f>
        <v>1</v>
      </c>
      <c r="CD32" s="3">
        <f>+IF(AVANCE[[#This Row],[ZOCALOS LOGIA]]=AP$2,100%,AVANCE[[#This Row],[ZOCALOS LOGIA]])</f>
        <v>1</v>
      </c>
      <c r="CE32" s="3">
        <f>+IF(AVANCE[[#This Row],[MOLDURAS]]=AQ$2,100%,AVANCE[[#This Row],[MOLDURAS]])</f>
        <v>1</v>
      </c>
      <c r="CF32" s="3">
        <f>+IF(AVANCE[[#This Row],[PILASTREO]]=AR$2,100%,AVANCE[[#This Row],[PILASTREO]])</f>
        <v>1</v>
      </c>
      <c r="CG32" s="3">
        <f>+IF(AVANCE[[#This Row],[CELOSIAS]]=AS$2,100%,AVANCE[[#This Row],[CELOSIAS]])</f>
        <v>1</v>
      </c>
      <c r="CH32" s="3">
        <f>+IF(AVANCE[[#This Row],[VENTANAS]]=AT$2,100%,AVANCE[[#This Row],[VENTANAS]])</f>
        <v>1</v>
      </c>
      <c r="CI32" s="3">
        <f>+IF(AVANCE[[#This Row],[PUERTAS ACCESO - LOGIA - BANO]]=AU$2,100%,AVANCE[[#This Row],[PUERTAS ACCESO - LOGIA - BANO]])</f>
        <v>1</v>
      </c>
      <c r="CJ32" s="3">
        <f>+IF(AVANCE[[#This Row],[CERRADURAS]]=AV$2,100%,AVANCE[[#This Row],[CERRADURAS]])</f>
        <v>1</v>
      </c>
      <c r="CK32" s="3">
        <f>+IF(AVANCE[[#This Row],[REVESTIMIENTO INTERIOR ZONA SECA]]=AW$2,100%,AVANCE[[#This Row],[REVESTIMIENTO INTERIOR ZONA SECA]])</f>
        <v>1</v>
      </c>
      <c r="CL32" s="3">
        <f>+IF(AVANCE[[#This Row],[REVESTIMIENTO INTERIOR ZONAS HUMEDAS]]=AX$2,100%,AVANCE[[#This Row],[REVESTIMIENTO INTERIOR ZONAS HUMEDAS]])</f>
        <v>1</v>
      </c>
      <c r="CM32" s="3">
        <f>+IF(AVANCE[[#This Row],[MEMBRANA CIELO]]=AY$2,100%,AVANCE[[#This Row],[MEMBRANA CIELO]])</f>
        <v>1</v>
      </c>
      <c r="CN32" s="3">
        <f>+IF(AVANCE[[#This Row],[LIMPIEZA FINAL]]=AZ$2,100%,AVANCE[[#This Row],[LIMPIEZA FINAL]])</f>
        <v>1</v>
      </c>
      <c r="CO32" s="3">
        <f>+IF(AVANCE[[#This Row],[PUERTAS DORMITORIO]]=BA$2,100%,AVANCE[[#This Row],[PUERTAS DORMITORIO]])</f>
        <v>1</v>
      </c>
      <c r="CP32" s="3">
        <f>+IF(AVANCE[[#This Row],[REVESTIMIENTO INTERIOR BANO]]=BB$2,100%,AVANCE[[#This Row],[REVESTIMIENTO INTERIOR BANO]])</f>
        <v>1</v>
      </c>
      <c r="CQ32" s="3">
        <f>+IF(AVANCE[[#This Row],[MUEBLE LAVAPLATOS]]=BC$2,100%,AVANCE[[#This Row],[MUEBLE LAVAPLATOS]])</f>
        <v>1</v>
      </c>
      <c r="CR32" s="3">
        <f>+IF(AVANCE[[#This Row],[IMPERMEABILIZACION BANO - COCINA LOGIA]]=BD$2,100%,AVANCE[[#This Row],[IMPERMEABILIZACION BANO - COCINA LOGIA]])</f>
        <v>1</v>
      </c>
      <c r="CS32" s="40">
        <f ca="1">+IF(AVANCE[[#This Row],[ESTADO MODULO]]="PENDIENTE",(TODAY()-AVANCE[[#This Row],[FECHA TERMINO  PLANIFICADO]]),0)</f>
        <v>0</v>
      </c>
      <c r="CT32" s="41" t="str" cm="1">
        <f t="array" ref="CT32">_xlfn.TEXTJOIN(" | ",TRUE,IF(SUMPRODUCT((BG32:CR32&lt;1)*(PARTIDAS!$I$2:$AT$2="OBRA GRUESA"))&gt;0,"OBRA GRUESA: "&amp;_xlfn.TEXTJOIN(", ",TRUE,IF((BG32:CR32&lt;1)*(PARTIDAS!$I$2:$AT$2="OBRA GRUESA"),PARTIDAS!$I$1:$AT$1,"")),""),IF(SUMPRODUCT((BG32:CR32&lt;1)*(PARTIDAS!$I$2:$AT$2="SANITARIOS"))&gt;0,"SANITARIOS: "&amp;_xlfn.TEXTJOIN(", ",TRUE,IF((BG32:CR32&lt;1)*(PARTIDAS!$I$2:$AT$2="SANITARIOS"),PARTIDAS!$I$1:$AT$1,"")),""),IF(SUMPRODUCT((BG32:CR32&lt;1)*(PARTIDAS!$I$2:$AT$2="ELÉCTRICO"))&gt;0,"ELÉCTRICO: "&amp;_xlfn.TEXTJOIN(", ",TRUE,IF((BG32:CR32&lt;1)*(PARTIDAS!$I$2:$AT$2="ELÉCTRICO"),PARTIDAS!$I$1:$AT$1,"")),""),IF(SUMPRODUCT((BG32:CR32&lt;1)*(PARTIDAS!$I$2:$AT$2="TERMINACIONES"))&gt;0,"TERMINACIONES: "&amp;_xlfn.TEXTJOIN(", ",TRUE,IF((BG32:CR32&lt;1)*(PARTIDAS!$I$2:$AT$2="TERMINACIONES"),PARTIDAS!$I$1:$AT$1,"")),""))</f>
        <v/>
      </c>
      <c r="CU32" s="43" t="str" cm="1">
        <f t="array" ref="CU32">_xlfn.TEXTJOIN(", ",TRUE,IF(SUMPRODUCT((BG32:CR32&lt;1)*(PARTIDAS!$I$2:$AT$2="OBRA GRUESA"))&gt;0,"OBRA GRUESA",""),IF(SUMPRODUCT((BG32:CR32&lt;1)*(PARTIDAS!$I$2:$AT$2="SANITARIOS"))&gt;0,"SANITARIOS",""),IF(SUMPRODUCT((BG32:CR32&lt;1)*(PARTIDAS!$I$2:$AT$2="ELÉCTRICO"))&gt;0,"ELÉCTRICO",""),IF(SUMPRODUCT((BG32:CR32&lt;1)*(PARTIDAS!$I$2:$AT$2="TERMINACIONES"))&gt;0,"TERMINACIONES",""))</f>
        <v/>
      </c>
      <c r="CV32" s="44" cm="1">
        <f t="array" ref="CV32">SUMPRODUCT(--(BG32:CR32&lt;1))</f>
        <v>0</v>
      </c>
    </row>
    <row r="33" spans="1:100" hidden="1" x14ac:dyDescent="0.25">
      <c r="A33" t="s">
        <v>56</v>
      </c>
      <c r="B33" t="s">
        <v>90</v>
      </c>
      <c r="C33">
        <v>2282600032</v>
      </c>
      <c r="D33" t="s">
        <v>58</v>
      </c>
      <c r="E33" s="2">
        <v>0.99999999999999978</v>
      </c>
      <c r="F33" s="1">
        <v>46111</v>
      </c>
      <c r="G33" s="1">
        <v>46111</v>
      </c>
      <c r="H33" s="1">
        <v>46178</v>
      </c>
      <c r="I33" s="1">
        <v>46147</v>
      </c>
      <c r="K33" s="1">
        <v>46178</v>
      </c>
      <c r="L33" s="3">
        <v>0.43</v>
      </c>
      <c r="M33" s="3">
        <v>1</v>
      </c>
      <c r="N33" s="3">
        <v>0.27906976744186046</v>
      </c>
      <c r="O33" s="3">
        <v>0.18604651162790697</v>
      </c>
      <c r="P33" s="3">
        <v>0.2558139534883721</v>
      </c>
      <c r="Q33" s="3">
        <v>0.18604651162790697</v>
      </c>
      <c r="R33" s="3">
        <v>9.3023255813953487E-2</v>
      </c>
      <c r="S33" s="3">
        <v>0.09</v>
      </c>
      <c r="T33" s="3">
        <v>1</v>
      </c>
      <c r="U33" s="3">
        <v>0.22222222222222221</v>
      </c>
      <c r="V33" s="3">
        <v>0.22222222222222221</v>
      </c>
      <c r="W33" s="3">
        <v>0.1111111111111111</v>
      </c>
      <c r="X33" s="3">
        <v>0.1111111111111111</v>
      </c>
      <c r="Y33" s="3">
        <v>0.1111111111111111</v>
      </c>
      <c r="Z33" s="3">
        <v>0.22222222222222221</v>
      </c>
      <c r="AA33" s="3">
        <v>0.11</v>
      </c>
      <c r="AB33" s="3">
        <v>1</v>
      </c>
      <c r="AC33" s="3">
        <v>0.27272727272727271</v>
      </c>
      <c r="AD33" s="3">
        <v>0.27272727272727271</v>
      </c>
      <c r="AE33" s="3">
        <v>9.0909090909090912E-2</v>
      </c>
      <c r="AF33" s="3">
        <v>0.18181818181818182</v>
      </c>
      <c r="AG33" s="3">
        <v>0.18181818181818182</v>
      </c>
      <c r="AH33" s="3">
        <v>0.36999999999999983</v>
      </c>
      <c r="AI33" s="3">
        <v>0.99999999999999956</v>
      </c>
      <c r="AJ33" s="3">
        <v>5.4054054054054036E-2</v>
      </c>
      <c r="AK33" s="3">
        <v>5.4054054054054036E-2</v>
      </c>
      <c r="AL33" s="3">
        <v>2.7027027027027018E-2</v>
      </c>
      <c r="AM33" s="3">
        <v>8.1081081081081058E-2</v>
      </c>
      <c r="AN33" s="3">
        <v>8.1081081081081058E-2</v>
      </c>
      <c r="AO33" s="3">
        <v>6.7567567567567557E-2</v>
      </c>
      <c r="AP33" s="3">
        <v>5.4054054054054036E-2</v>
      </c>
      <c r="AQ33" s="3">
        <v>1.3513513513513509E-2</v>
      </c>
      <c r="AR33" s="3">
        <v>4.0540540540540529E-2</v>
      </c>
      <c r="AS33" s="3">
        <v>1.3513513513513509E-2</v>
      </c>
      <c r="AT33" s="3">
        <v>8.1081081081081058E-2</v>
      </c>
      <c r="AU33" s="3">
        <v>5.4054054054054036E-2</v>
      </c>
      <c r="AV33" s="3">
        <v>2.7027027027027018E-2</v>
      </c>
      <c r="AW33" s="3">
        <v>5.4054054054054036E-2</v>
      </c>
      <c r="AX33" s="3">
        <v>5.4054054054054036E-2</v>
      </c>
      <c r="AY33" s="3">
        <v>2.7027027027027018E-2</v>
      </c>
      <c r="AZ33" s="3">
        <v>4.0540540540540529E-2</v>
      </c>
      <c r="BA33" s="3">
        <v>5.4054054054054036E-2</v>
      </c>
      <c r="BB33" s="3">
        <v>8.1081081081081058E-2</v>
      </c>
      <c r="BC33" s="3">
        <v>1.3513513513513509E-2</v>
      </c>
      <c r="BD33" s="3">
        <v>2.7027027027027018E-2</v>
      </c>
      <c r="BE33">
        <v>28.87</v>
      </c>
      <c r="BF33" s="3" t="str">
        <f>+IF(AVANCE[[#This Row],[% AVANCE]]=100%,"MODULO TERMINADO",IF(AVANCE[[#This Row],[FECHA INICIO REAL]]="","MODULO NO INICIADO","PENDIENTE"))</f>
        <v>MODULO TERMINADO</v>
      </c>
      <c r="BG33" s="3">
        <f>+IF(AVANCE[[#This Row],[VENTANAS]]=8.10810810810811%,100%,AVANCE[[#This Row],[VENTANAS]])</f>
        <v>1</v>
      </c>
      <c r="BH33" s="3">
        <f>+IF(AVANCE[[#This Row],[PISO]]=N$2,100%,AVANCE[[#This Row],[PISO]])</f>
        <v>1</v>
      </c>
      <c r="BI33" s="3">
        <f>+IF(AVANCE[[#This Row],[TABIQUES]]=O$2,100%,AVANCE[[#This Row],[TABIQUES]])</f>
        <v>1</v>
      </c>
      <c r="BJ33" s="3">
        <f>+IF(AVANCE[[#This Row],[MUROS]]=P$2,100%,AVANCE[[#This Row],[MUROS]])</f>
        <v>1</v>
      </c>
      <c r="BK33" s="3">
        <f>+IF(AVANCE[[#This Row],[CIELO]]=Q$2,100%,AVANCE[[#This Row],[CIELO]])</f>
        <v>1</v>
      </c>
      <c r="BL33" s="3">
        <f>+IF(AVANCE[[#This Row],[BALCÓN]]=R$2,100%,AVANCE[[#This Row],[BALCÓN]])</f>
        <v>1</v>
      </c>
      <c r="BM33" s="3">
        <f>+IF(AVANCE[[#This Row],[RED ALCANTARILLADO]]=U$2,100%,AVANCE[[#This Row],[RED ALCANTARILLADO]])</f>
        <v>1</v>
      </c>
      <c r="BN33" s="3">
        <f>+IF(AVANCE[[#This Row],[RED DE AGUA]]=V$2,100%,AVANCE[[#This Row],[RED DE AGUA]])</f>
        <v>1</v>
      </c>
      <c r="BO33" s="3">
        <f>+IF(AVANCE[[#This Row],[VENTILACIONES]]=W$2,100%,AVANCE[[#This Row],[VENTILACIONES]])</f>
        <v>1</v>
      </c>
      <c r="BP33" s="3">
        <f>+IF(AVANCE[[#This Row],[TINA]]=X$2,100%,AVANCE[[#This Row],[TINA]])</f>
        <v>1</v>
      </c>
      <c r="BQ33" s="3">
        <f>+IF(AVANCE[[#This Row],[WC]]=Y$2,100%,AVANCE[[#This Row],[WC]])</f>
        <v>1</v>
      </c>
      <c r="BR33" s="3">
        <f>+IF(AVANCE[[#This Row],[LAVAMANOS / LAVAPLATOS / LAVADERO]]=Z$2,100%,AVANCE[[#This Row],[LAVAMANOS / LAVAPLATOS / LAVADERO]])</f>
        <v>1</v>
      </c>
      <c r="BS33" s="3">
        <f>+IF(AVANCE[[#This Row],[CANALIZACIÓN]]=AC$2,100%,AVANCE[[#This Row],[CANALIZACIÓN]])</f>
        <v>1</v>
      </c>
      <c r="BT33" s="3">
        <f>+IF(AVANCE[[#This Row],[CABLEADO]]=AD$2,100%,AVANCE[[#This Row],[CABLEADO]])</f>
        <v>1</v>
      </c>
      <c r="BU33" s="3">
        <f>+IF(AVANCE[[#This Row],[ARTEFACTOS]]=AE$2,100%,AVANCE[[#This Row],[ARTEFACTOS]])</f>
        <v>1</v>
      </c>
      <c r="BV33" s="3">
        <f>+IF(AVANCE[[#This Row],[TABLERO]]=AF$2,100%,AVANCE[[#This Row],[TABLERO]])</f>
        <v>1</v>
      </c>
      <c r="BW33" s="3">
        <f>+IF(AVANCE[[#This Row],[CAJA PAU]]=AG$2,100%,AVANCE[[#This Row],[CAJA PAU]])</f>
        <v>1</v>
      </c>
      <c r="BX33" s="3">
        <f>+IF(AVANCE[[#This Row],[INSTALACION VINILICO]]=AJ$2,100%,AVANCE[[#This Row],[INSTALACION VINILICO]])</f>
        <v>1</v>
      </c>
      <c r="BY33" s="3">
        <f>+IF(AVANCE[[#This Row],[OSB CUBIERTA]]=AK$2,100%,AVANCE[[#This Row],[OSB CUBIERTA]])</f>
        <v>1</v>
      </c>
      <c r="BZ33" s="3">
        <f>+IF(AVANCE[[#This Row],[BARANDA BALCON]]=AL$2,100%,AVANCE[[#This Row],[BARANDA BALCON]])</f>
        <v>1</v>
      </c>
      <c r="CA33" s="3">
        <f>+IF(AVANCE[[#This Row],[OSB EXTERIOR]]=AM$2,100%,AVANCE[[#This Row],[OSB EXTERIOR]])</f>
        <v>1</v>
      </c>
      <c r="CB33" s="3">
        <f>+IF(AVANCE[[#This Row],[SMART PANEL]]=AN$2,100%,AVANCE[[#This Row],[SMART PANEL]])</f>
        <v>1</v>
      </c>
      <c r="CC33" s="3">
        <f>+IF(AVANCE[[#This Row],[PINTURA EXTERIOR]]=AO$2,100%,AVANCE[[#This Row],[PINTURA EXTERIOR]])</f>
        <v>1</v>
      </c>
      <c r="CD33" s="3">
        <f>+IF(AVANCE[[#This Row],[ZOCALOS LOGIA]]=AP$2,100%,AVANCE[[#This Row],[ZOCALOS LOGIA]])</f>
        <v>1</v>
      </c>
      <c r="CE33" s="3">
        <f>+IF(AVANCE[[#This Row],[MOLDURAS]]=AQ$2,100%,AVANCE[[#This Row],[MOLDURAS]])</f>
        <v>1</v>
      </c>
      <c r="CF33" s="3">
        <f>+IF(AVANCE[[#This Row],[PILASTREO]]=AR$2,100%,AVANCE[[#This Row],[PILASTREO]])</f>
        <v>1</v>
      </c>
      <c r="CG33" s="3">
        <f>+IF(AVANCE[[#This Row],[CELOSIAS]]=AS$2,100%,AVANCE[[#This Row],[CELOSIAS]])</f>
        <v>1</v>
      </c>
      <c r="CH33" s="3">
        <f>+IF(AVANCE[[#This Row],[VENTANAS]]=AT$2,100%,AVANCE[[#This Row],[VENTANAS]])</f>
        <v>1</v>
      </c>
      <c r="CI33" s="3">
        <f>+IF(AVANCE[[#This Row],[PUERTAS ACCESO - LOGIA - BANO]]=AU$2,100%,AVANCE[[#This Row],[PUERTAS ACCESO - LOGIA - BANO]])</f>
        <v>1</v>
      </c>
      <c r="CJ33" s="3">
        <f>+IF(AVANCE[[#This Row],[CERRADURAS]]=AV$2,100%,AVANCE[[#This Row],[CERRADURAS]])</f>
        <v>1</v>
      </c>
      <c r="CK33" s="3">
        <f>+IF(AVANCE[[#This Row],[REVESTIMIENTO INTERIOR ZONA SECA]]=AW$2,100%,AVANCE[[#This Row],[REVESTIMIENTO INTERIOR ZONA SECA]])</f>
        <v>1</v>
      </c>
      <c r="CL33" s="3">
        <f>+IF(AVANCE[[#This Row],[REVESTIMIENTO INTERIOR ZONAS HUMEDAS]]=AX$2,100%,AVANCE[[#This Row],[REVESTIMIENTO INTERIOR ZONAS HUMEDAS]])</f>
        <v>1</v>
      </c>
      <c r="CM33" s="3">
        <f>+IF(AVANCE[[#This Row],[MEMBRANA CIELO]]=AY$2,100%,AVANCE[[#This Row],[MEMBRANA CIELO]])</f>
        <v>1</v>
      </c>
      <c r="CN33" s="3">
        <f>+IF(AVANCE[[#This Row],[LIMPIEZA FINAL]]=AZ$2,100%,AVANCE[[#This Row],[LIMPIEZA FINAL]])</f>
        <v>1</v>
      </c>
      <c r="CO33" s="3">
        <f>+IF(AVANCE[[#This Row],[PUERTAS DORMITORIO]]=BA$2,100%,AVANCE[[#This Row],[PUERTAS DORMITORIO]])</f>
        <v>1</v>
      </c>
      <c r="CP33" s="3">
        <f>+IF(AVANCE[[#This Row],[REVESTIMIENTO INTERIOR BANO]]=BB$2,100%,AVANCE[[#This Row],[REVESTIMIENTO INTERIOR BANO]])</f>
        <v>1</v>
      </c>
      <c r="CQ33" s="3">
        <f>+IF(AVANCE[[#This Row],[MUEBLE LAVAPLATOS]]=BC$2,100%,AVANCE[[#This Row],[MUEBLE LAVAPLATOS]])</f>
        <v>1</v>
      </c>
      <c r="CR33" s="3">
        <f>+IF(AVANCE[[#This Row],[IMPERMEABILIZACION BANO - COCINA LOGIA]]=BD$2,100%,AVANCE[[#This Row],[IMPERMEABILIZACION BANO - COCINA LOGIA]])</f>
        <v>1</v>
      </c>
      <c r="CS33" s="40">
        <f ca="1">+IF(AVANCE[[#This Row],[ESTADO MODULO]]="PENDIENTE",(TODAY()-AVANCE[[#This Row],[FECHA TERMINO  PLANIFICADO]]),0)</f>
        <v>0</v>
      </c>
      <c r="CT33" s="41" t="str" cm="1">
        <f t="array" ref="CT33">_xlfn.TEXTJOIN(" | ",TRUE,IF(SUMPRODUCT((BG33:CR33&lt;1)*(PARTIDAS!$I$2:$AT$2="OBRA GRUESA"))&gt;0,"OBRA GRUESA: "&amp;_xlfn.TEXTJOIN(", ",TRUE,IF((BG33:CR33&lt;1)*(PARTIDAS!$I$2:$AT$2="OBRA GRUESA"),PARTIDAS!$I$1:$AT$1,"")),""),IF(SUMPRODUCT((BG33:CR33&lt;1)*(PARTIDAS!$I$2:$AT$2="SANITARIOS"))&gt;0,"SANITARIOS: "&amp;_xlfn.TEXTJOIN(", ",TRUE,IF((BG33:CR33&lt;1)*(PARTIDAS!$I$2:$AT$2="SANITARIOS"),PARTIDAS!$I$1:$AT$1,"")),""),IF(SUMPRODUCT((BG33:CR33&lt;1)*(PARTIDAS!$I$2:$AT$2="ELÉCTRICO"))&gt;0,"ELÉCTRICO: "&amp;_xlfn.TEXTJOIN(", ",TRUE,IF((BG33:CR33&lt;1)*(PARTIDAS!$I$2:$AT$2="ELÉCTRICO"),PARTIDAS!$I$1:$AT$1,"")),""),IF(SUMPRODUCT((BG33:CR33&lt;1)*(PARTIDAS!$I$2:$AT$2="TERMINACIONES"))&gt;0,"TERMINACIONES: "&amp;_xlfn.TEXTJOIN(", ",TRUE,IF((BG33:CR33&lt;1)*(PARTIDAS!$I$2:$AT$2="TERMINACIONES"),PARTIDAS!$I$1:$AT$1,"")),""))</f>
        <v/>
      </c>
      <c r="CU33" s="43" t="str" cm="1">
        <f t="array" ref="CU33">_xlfn.TEXTJOIN(", ",TRUE,IF(SUMPRODUCT((BG33:CR33&lt;1)*(PARTIDAS!$I$2:$AT$2="OBRA GRUESA"))&gt;0,"OBRA GRUESA",""),IF(SUMPRODUCT((BG33:CR33&lt;1)*(PARTIDAS!$I$2:$AT$2="SANITARIOS"))&gt;0,"SANITARIOS",""),IF(SUMPRODUCT((BG33:CR33&lt;1)*(PARTIDAS!$I$2:$AT$2="ELÉCTRICO"))&gt;0,"ELÉCTRICO",""),IF(SUMPRODUCT((BG33:CR33&lt;1)*(PARTIDAS!$I$2:$AT$2="TERMINACIONES"))&gt;0,"TERMINACIONES",""))</f>
        <v/>
      </c>
      <c r="CV33" s="44" cm="1">
        <f t="array" ref="CV33">SUMPRODUCT(--(BG33:CR33&lt;1))</f>
        <v>0</v>
      </c>
    </row>
    <row r="34" spans="1:100" hidden="1" x14ac:dyDescent="0.25">
      <c r="A34" t="s">
        <v>91</v>
      </c>
      <c r="B34" t="s">
        <v>92</v>
      </c>
      <c r="C34">
        <v>2282600033</v>
      </c>
      <c r="D34" t="s">
        <v>58</v>
      </c>
      <c r="E34" s="2">
        <v>0.99999999999999978</v>
      </c>
      <c r="F34" s="1">
        <v>46118</v>
      </c>
      <c r="G34" s="1">
        <v>46118</v>
      </c>
      <c r="H34" s="1">
        <v>46185</v>
      </c>
      <c r="I34" s="1">
        <v>46147</v>
      </c>
      <c r="K34" s="1">
        <v>46185</v>
      </c>
      <c r="L34" s="3">
        <v>0.43</v>
      </c>
      <c r="M34" s="3">
        <v>1</v>
      </c>
      <c r="N34" s="3">
        <v>0.27906976744186046</v>
      </c>
      <c r="O34" s="3">
        <v>0.18604651162790697</v>
      </c>
      <c r="P34" s="3">
        <v>0.2558139534883721</v>
      </c>
      <c r="Q34" s="3">
        <v>0.18604651162790697</v>
      </c>
      <c r="R34" s="3">
        <v>9.3023255813953487E-2</v>
      </c>
      <c r="S34" s="3">
        <v>0.09</v>
      </c>
      <c r="T34" s="3">
        <v>1</v>
      </c>
      <c r="U34" s="3">
        <v>0.22222222222222221</v>
      </c>
      <c r="V34" s="3">
        <v>0.22222222222222221</v>
      </c>
      <c r="W34" s="3">
        <v>0.1111111111111111</v>
      </c>
      <c r="X34" s="3">
        <v>0.1111111111111111</v>
      </c>
      <c r="Y34" s="3">
        <v>0.1111111111111111</v>
      </c>
      <c r="Z34" s="3">
        <v>0.22222222222222221</v>
      </c>
      <c r="AA34" s="3">
        <v>0.11</v>
      </c>
      <c r="AB34" s="3">
        <v>1</v>
      </c>
      <c r="AC34" s="3">
        <v>0.27272727272727271</v>
      </c>
      <c r="AD34" s="3">
        <v>0.27272727272727271</v>
      </c>
      <c r="AE34" s="3">
        <v>9.0909090909090912E-2</v>
      </c>
      <c r="AF34" s="3">
        <v>0.18181818181818182</v>
      </c>
      <c r="AG34" s="3">
        <v>0.18181818181818182</v>
      </c>
      <c r="AH34" s="3">
        <v>0.36999999999999983</v>
      </c>
      <c r="AI34" s="3">
        <v>0.99999999999999956</v>
      </c>
      <c r="AJ34" s="3">
        <v>5.4054054054054036E-2</v>
      </c>
      <c r="AK34" s="3">
        <v>5.4054054054054036E-2</v>
      </c>
      <c r="AL34" s="3">
        <v>2.7027027027027018E-2</v>
      </c>
      <c r="AM34" s="3">
        <v>8.1081081081081058E-2</v>
      </c>
      <c r="AN34" s="3">
        <v>8.1081081081081058E-2</v>
      </c>
      <c r="AO34" s="3">
        <v>6.7567567567567557E-2</v>
      </c>
      <c r="AP34" s="3">
        <v>5.4054054054054036E-2</v>
      </c>
      <c r="AQ34" s="3">
        <v>1.3513513513513509E-2</v>
      </c>
      <c r="AR34" s="3">
        <v>4.0540540540540529E-2</v>
      </c>
      <c r="AS34" s="3">
        <v>1.3513513513513509E-2</v>
      </c>
      <c r="AT34" s="3">
        <v>8.1081081081081058E-2</v>
      </c>
      <c r="AU34" s="3">
        <v>5.4054054054054036E-2</v>
      </c>
      <c r="AV34" s="3">
        <v>2.7027027027027018E-2</v>
      </c>
      <c r="AW34" s="3">
        <v>5.4054054054054036E-2</v>
      </c>
      <c r="AX34" s="3">
        <v>5.4054054054054036E-2</v>
      </c>
      <c r="AY34" s="3">
        <v>2.7027027027027018E-2</v>
      </c>
      <c r="AZ34" s="3">
        <v>4.0540540540540529E-2</v>
      </c>
      <c r="BA34" s="3">
        <v>5.4054054054054036E-2</v>
      </c>
      <c r="BB34" s="3">
        <v>8.1081081081081058E-2</v>
      </c>
      <c r="BC34" s="3">
        <v>1.3513513513513509E-2</v>
      </c>
      <c r="BD34" s="3">
        <v>2.7027027027027018E-2</v>
      </c>
      <c r="BE34">
        <v>28.87</v>
      </c>
      <c r="BF34" s="3" t="str">
        <f>+IF(AVANCE[[#This Row],[% AVANCE]]=100%,"MODULO TERMINADO",IF(AVANCE[[#This Row],[FECHA INICIO REAL]]="","MODULO NO INICIADO","PENDIENTE"))</f>
        <v>MODULO TERMINADO</v>
      </c>
      <c r="BG34" s="3">
        <f>+IF(AVANCE[[#This Row],[VENTANAS]]=8.10810810810811%,100%,AVANCE[[#This Row],[VENTANAS]])</f>
        <v>1</v>
      </c>
      <c r="BH34" s="3">
        <f>+IF(AVANCE[[#This Row],[PISO]]=N$2,100%,AVANCE[[#This Row],[PISO]])</f>
        <v>1</v>
      </c>
      <c r="BI34" s="3">
        <f>+IF(AVANCE[[#This Row],[TABIQUES]]=O$2,100%,AVANCE[[#This Row],[TABIQUES]])</f>
        <v>1</v>
      </c>
      <c r="BJ34" s="3">
        <f>+IF(AVANCE[[#This Row],[MUROS]]=P$2,100%,AVANCE[[#This Row],[MUROS]])</f>
        <v>1</v>
      </c>
      <c r="BK34" s="3">
        <f>+IF(AVANCE[[#This Row],[CIELO]]=Q$2,100%,AVANCE[[#This Row],[CIELO]])</f>
        <v>1</v>
      </c>
      <c r="BL34" s="3">
        <f>+IF(AVANCE[[#This Row],[BALCÓN]]=R$2,100%,AVANCE[[#This Row],[BALCÓN]])</f>
        <v>1</v>
      </c>
      <c r="BM34" s="3">
        <f>+IF(AVANCE[[#This Row],[RED ALCANTARILLADO]]=U$2,100%,AVANCE[[#This Row],[RED ALCANTARILLADO]])</f>
        <v>1</v>
      </c>
      <c r="BN34" s="3">
        <f>+IF(AVANCE[[#This Row],[RED DE AGUA]]=V$2,100%,AVANCE[[#This Row],[RED DE AGUA]])</f>
        <v>1</v>
      </c>
      <c r="BO34" s="3">
        <f>+IF(AVANCE[[#This Row],[VENTILACIONES]]=W$2,100%,AVANCE[[#This Row],[VENTILACIONES]])</f>
        <v>1</v>
      </c>
      <c r="BP34" s="3">
        <f>+IF(AVANCE[[#This Row],[TINA]]=X$2,100%,AVANCE[[#This Row],[TINA]])</f>
        <v>1</v>
      </c>
      <c r="BQ34" s="3">
        <f>+IF(AVANCE[[#This Row],[WC]]=Y$2,100%,AVANCE[[#This Row],[WC]])</f>
        <v>1</v>
      </c>
      <c r="BR34" s="3">
        <f>+IF(AVANCE[[#This Row],[LAVAMANOS / LAVAPLATOS / LAVADERO]]=Z$2,100%,AVANCE[[#This Row],[LAVAMANOS / LAVAPLATOS / LAVADERO]])</f>
        <v>1</v>
      </c>
      <c r="BS34" s="3">
        <f>+IF(AVANCE[[#This Row],[CANALIZACIÓN]]=AC$2,100%,AVANCE[[#This Row],[CANALIZACIÓN]])</f>
        <v>1</v>
      </c>
      <c r="BT34" s="3">
        <f>+IF(AVANCE[[#This Row],[CABLEADO]]=AD$2,100%,AVANCE[[#This Row],[CABLEADO]])</f>
        <v>1</v>
      </c>
      <c r="BU34" s="3">
        <f>+IF(AVANCE[[#This Row],[ARTEFACTOS]]=AE$2,100%,AVANCE[[#This Row],[ARTEFACTOS]])</f>
        <v>1</v>
      </c>
      <c r="BV34" s="3">
        <f>+IF(AVANCE[[#This Row],[TABLERO]]=AF$2,100%,AVANCE[[#This Row],[TABLERO]])</f>
        <v>1</v>
      </c>
      <c r="BW34" s="3">
        <f>+IF(AVANCE[[#This Row],[CAJA PAU]]=AG$2,100%,AVANCE[[#This Row],[CAJA PAU]])</f>
        <v>1</v>
      </c>
      <c r="BX34" s="3">
        <f>+IF(AVANCE[[#This Row],[INSTALACION VINILICO]]=AJ$2,100%,AVANCE[[#This Row],[INSTALACION VINILICO]])</f>
        <v>1</v>
      </c>
      <c r="BY34" s="3">
        <f>+IF(AVANCE[[#This Row],[OSB CUBIERTA]]=AK$2,100%,AVANCE[[#This Row],[OSB CUBIERTA]])</f>
        <v>1</v>
      </c>
      <c r="BZ34" s="3">
        <f>+IF(AVANCE[[#This Row],[BARANDA BALCON]]=AL$2,100%,AVANCE[[#This Row],[BARANDA BALCON]])</f>
        <v>1</v>
      </c>
      <c r="CA34" s="3">
        <f>+IF(AVANCE[[#This Row],[OSB EXTERIOR]]=AM$2,100%,AVANCE[[#This Row],[OSB EXTERIOR]])</f>
        <v>1</v>
      </c>
      <c r="CB34" s="3">
        <f>+IF(AVANCE[[#This Row],[SMART PANEL]]=AN$2,100%,AVANCE[[#This Row],[SMART PANEL]])</f>
        <v>1</v>
      </c>
      <c r="CC34" s="3">
        <f>+IF(AVANCE[[#This Row],[PINTURA EXTERIOR]]=AO$2,100%,AVANCE[[#This Row],[PINTURA EXTERIOR]])</f>
        <v>1</v>
      </c>
      <c r="CD34" s="3">
        <f>+IF(AVANCE[[#This Row],[ZOCALOS LOGIA]]=AP$2,100%,AVANCE[[#This Row],[ZOCALOS LOGIA]])</f>
        <v>1</v>
      </c>
      <c r="CE34" s="3">
        <f>+IF(AVANCE[[#This Row],[MOLDURAS]]=AQ$2,100%,AVANCE[[#This Row],[MOLDURAS]])</f>
        <v>1</v>
      </c>
      <c r="CF34" s="3">
        <f>+IF(AVANCE[[#This Row],[PILASTREO]]=AR$2,100%,AVANCE[[#This Row],[PILASTREO]])</f>
        <v>1</v>
      </c>
      <c r="CG34" s="3">
        <f>+IF(AVANCE[[#This Row],[CELOSIAS]]=AS$2,100%,AVANCE[[#This Row],[CELOSIAS]])</f>
        <v>1</v>
      </c>
      <c r="CH34" s="3">
        <f>+IF(AVANCE[[#This Row],[VENTANAS]]=AT$2,100%,AVANCE[[#This Row],[VENTANAS]])</f>
        <v>1</v>
      </c>
      <c r="CI34" s="3">
        <f>+IF(AVANCE[[#This Row],[PUERTAS ACCESO - LOGIA - BANO]]=AU$2,100%,AVANCE[[#This Row],[PUERTAS ACCESO - LOGIA - BANO]])</f>
        <v>1</v>
      </c>
      <c r="CJ34" s="3">
        <f>+IF(AVANCE[[#This Row],[CERRADURAS]]=AV$2,100%,AVANCE[[#This Row],[CERRADURAS]])</f>
        <v>1</v>
      </c>
      <c r="CK34" s="3">
        <f>+IF(AVANCE[[#This Row],[REVESTIMIENTO INTERIOR ZONA SECA]]=AW$2,100%,AVANCE[[#This Row],[REVESTIMIENTO INTERIOR ZONA SECA]])</f>
        <v>1</v>
      </c>
      <c r="CL34" s="3">
        <f>+IF(AVANCE[[#This Row],[REVESTIMIENTO INTERIOR ZONAS HUMEDAS]]=AX$2,100%,AVANCE[[#This Row],[REVESTIMIENTO INTERIOR ZONAS HUMEDAS]])</f>
        <v>1</v>
      </c>
      <c r="CM34" s="3">
        <f>+IF(AVANCE[[#This Row],[MEMBRANA CIELO]]=AY$2,100%,AVANCE[[#This Row],[MEMBRANA CIELO]])</f>
        <v>1</v>
      </c>
      <c r="CN34" s="3">
        <f>+IF(AVANCE[[#This Row],[LIMPIEZA FINAL]]=AZ$2,100%,AVANCE[[#This Row],[LIMPIEZA FINAL]])</f>
        <v>1</v>
      </c>
      <c r="CO34" s="3">
        <f>+IF(AVANCE[[#This Row],[PUERTAS DORMITORIO]]=BA$2,100%,AVANCE[[#This Row],[PUERTAS DORMITORIO]])</f>
        <v>1</v>
      </c>
      <c r="CP34" s="3">
        <f>+IF(AVANCE[[#This Row],[REVESTIMIENTO INTERIOR BANO]]=BB$2,100%,AVANCE[[#This Row],[REVESTIMIENTO INTERIOR BANO]])</f>
        <v>1</v>
      </c>
      <c r="CQ34" s="3">
        <f>+IF(AVANCE[[#This Row],[MUEBLE LAVAPLATOS]]=BC$2,100%,AVANCE[[#This Row],[MUEBLE LAVAPLATOS]])</f>
        <v>1</v>
      </c>
      <c r="CR34" s="3">
        <f>+IF(AVANCE[[#This Row],[IMPERMEABILIZACION BANO - COCINA LOGIA]]=BD$2,100%,AVANCE[[#This Row],[IMPERMEABILIZACION BANO - COCINA LOGIA]])</f>
        <v>1</v>
      </c>
      <c r="CS34" s="40">
        <f ca="1">+IF(AVANCE[[#This Row],[ESTADO MODULO]]="PENDIENTE",(TODAY()-AVANCE[[#This Row],[FECHA TERMINO  PLANIFICADO]]),0)</f>
        <v>0</v>
      </c>
      <c r="CT34" s="41" t="str" cm="1">
        <f t="array" ref="CT34">_xlfn.TEXTJOIN(" | ",TRUE,IF(SUMPRODUCT((BG34:CR34&lt;1)*(PARTIDAS!$I$2:$AT$2="OBRA GRUESA"))&gt;0,"OBRA GRUESA: "&amp;_xlfn.TEXTJOIN(", ",TRUE,IF((BG34:CR34&lt;1)*(PARTIDAS!$I$2:$AT$2="OBRA GRUESA"),PARTIDAS!$I$1:$AT$1,"")),""),IF(SUMPRODUCT((BG34:CR34&lt;1)*(PARTIDAS!$I$2:$AT$2="SANITARIOS"))&gt;0,"SANITARIOS: "&amp;_xlfn.TEXTJOIN(", ",TRUE,IF((BG34:CR34&lt;1)*(PARTIDAS!$I$2:$AT$2="SANITARIOS"),PARTIDAS!$I$1:$AT$1,"")),""),IF(SUMPRODUCT((BG34:CR34&lt;1)*(PARTIDAS!$I$2:$AT$2="ELÉCTRICO"))&gt;0,"ELÉCTRICO: "&amp;_xlfn.TEXTJOIN(", ",TRUE,IF((BG34:CR34&lt;1)*(PARTIDAS!$I$2:$AT$2="ELÉCTRICO"),PARTIDAS!$I$1:$AT$1,"")),""),IF(SUMPRODUCT((BG34:CR34&lt;1)*(PARTIDAS!$I$2:$AT$2="TERMINACIONES"))&gt;0,"TERMINACIONES: "&amp;_xlfn.TEXTJOIN(", ",TRUE,IF((BG34:CR34&lt;1)*(PARTIDAS!$I$2:$AT$2="TERMINACIONES"),PARTIDAS!$I$1:$AT$1,"")),""))</f>
        <v/>
      </c>
      <c r="CU34" s="43" t="str" cm="1">
        <f t="array" ref="CU34">_xlfn.TEXTJOIN(", ",TRUE,IF(SUMPRODUCT((BG34:CR34&lt;1)*(PARTIDAS!$I$2:$AT$2="OBRA GRUESA"))&gt;0,"OBRA GRUESA",""),IF(SUMPRODUCT((BG34:CR34&lt;1)*(PARTIDAS!$I$2:$AT$2="SANITARIOS"))&gt;0,"SANITARIOS",""),IF(SUMPRODUCT((BG34:CR34&lt;1)*(PARTIDAS!$I$2:$AT$2="ELÉCTRICO"))&gt;0,"ELÉCTRICO",""),IF(SUMPRODUCT((BG34:CR34&lt;1)*(PARTIDAS!$I$2:$AT$2="TERMINACIONES"))&gt;0,"TERMINACIONES",""))</f>
        <v/>
      </c>
      <c r="CV34" s="44" cm="1">
        <f t="array" ref="CV34">SUMPRODUCT(--(BG34:CR34&lt;1))</f>
        <v>0</v>
      </c>
    </row>
    <row r="35" spans="1:100" hidden="1" x14ac:dyDescent="0.25">
      <c r="A35" t="s">
        <v>91</v>
      </c>
      <c r="B35" t="s">
        <v>93</v>
      </c>
      <c r="C35">
        <v>2302600034</v>
      </c>
      <c r="D35" t="s">
        <v>60</v>
      </c>
      <c r="E35" s="2">
        <v>0.99999999999999978</v>
      </c>
      <c r="F35" s="1">
        <v>46119</v>
      </c>
      <c r="G35" s="1">
        <v>46119</v>
      </c>
      <c r="H35" s="1">
        <v>46184</v>
      </c>
      <c r="I35" s="1">
        <v>46159</v>
      </c>
      <c r="K35" s="1">
        <v>46184</v>
      </c>
      <c r="L35" s="3">
        <v>0.43</v>
      </c>
      <c r="M35" s="3">
        <v>1</v>
      </c>
      <c r="N35" s="3">
        <v>0.27906976744186046</v>
      </c>
      <c r="O35" s="3">
        <v>0.18604651162790697</v>
      </c>
      <c r="P35" s="3">
        <v>0.2558139534883721</v>
      </c>
      <c r="Q35" s="3">
        <v>0.18604651162790697</v>
      </c>
      <c r="R35" s="3">
        <v>9.3023255813953487E-2</v>
      </c>
      <c r="S35" s="3">
        <v>0.09</v>
      </c>
      <c r="T35" s="3">
        <v>1</v>
      </c>
      <c r="U35" s="3">
        <v>0.22222222222222221</v>
      </c>
      <c r="V35" s="3">
        <v>0.22222222222222221</v>
      </c>
      <c r="W35" s="3">
        <v>0.1111111111111111</v>
      </c>
      <c r="X35" s="3">
        <v>0.1111111111111111</v>
      </c>
      <c r="Y35" s="3">
        <v>0.1111111111111111</v>
      </c>
      <c r="Z35" s="3">
        <v>0.22222222222222221</v>
      </c>
      <c r="AA35" s="3">
        <v>0.11</v>
      </c>
      <c r="AB35" s="3">
        <v>1</v>
      </c>
      <c r="AC35" s="3">
        <v>0.27272727272727271</v>
      </c>
      <c r="AD35" s="3">
        <v>0.27272727272727271</v>
      </c>
      <c r="AE35" s="3">
        <v>9.0909090909090912E-2</v>
      </c>
      <c r="AF35" s="3">
        <v>0.18181818181818182</v>
      </c>
      <c r="AG35" s="3">
        <v>0.18181818181818182</v>
      </c>
      <c r="AH35" s="3">
        <v>0.36999999999999983</v>
      </c>
      <c r="AI35" s="3">
        <v>0.99999999999999956</v>
      </c>
      <c r="AJ35" s="3">
        <v>5.4054054054054036E-2</v>
      </c>
      <c r="AK35" s="3">
        <v>5.4054054054054036E-2</v>
      </c>
      <c r="AL35" s="3">
        <v>2.7027027027027018E-2</v>
      </c>
      <c r="AM35" s="3">
        <v>8.1081081081081058E-2</v>
      </c>
      <c r="AN35" s="3">
        <v>8.1081081081081058E-2</v>
      </c>
      <c r="AO35" s="3">
        <v>6.7567567567567557E-2</v>
      </c>
      <c r="AP35" s="3">
        <v>5.4054054054054036E-2</v>
      </c>
      <c r="AQ35" s="3">
        <v>1.3513513513513509E-2</v>
      </c>
      <c r="AR35" s="3">
        <v>4.0540540540540529E-2</v>
      </c>
      <c r="AS35" s="3">
        <v>1.3513513513513509E-2</v>
      </c>
      <c r="AT35" s="3">
        <v>8.1081081081081058E-2</v>
      </c>
      <c r="AU35" s="3">
        <v>5.4054054054054036E-2</v>
      </c>
      <c r="AV35" s="3">
        <v>2.7027027027027018E-2</v>
      </c>
      <c r="AW35" s="3">
        <v>5.4054054054054036E-2</v>
      </c>
      <c r="AX35" s="3">
        <v>5.4054054054054036E-2</v>
      </c>
      <c r="AY35" s="3">
        <v>2.7027027027027018E-2</v>
      </c>
      <c r="AZ35" s="3">
        <v>4.0540540540540529E-2</v>
      </c>
      <c r="BA35" s="3">
        <v>5.4054054054054036E-2</v>
      </c>
      <c r="BB35" s="3">
        <v>8.1081081081081058E-2</v>
      </c>
      <c r="BC35" s="3">
        <v>1.3513513513513509E-2</v>
      </c>
      <c r="BD35" s="3">
        <v>2.7027027027027018E-2</v>
      </c>
      <c r="BE35">
        <v>31.32</v>
      </c>
      <c r="BF35" s="3" t="str">
        <f>+IF(AVANCE[[#This Row],[% AVANCE]]=100%,"MODULO TERMINADO",IF(AVANCE[[#This Row],[FECHA INICIO REAL]]="","MODULO NO INICIADO","PENDIENTE"))</f>
        <v>MODULO TERMINADO</v>
      </c>
      <c r="BG35" s="3">
        <f>+IF(AVANCE[[#This Row],[VENTANAS]]=8.10810810810811%,100%,AVANCE[[#This Row],[VENTANAS]])</f>
        <v>1</v>
      </c>
      <c r="BH35" s="3">
        <f>+IF(AVANCE[[#This Row],[PISO]]=N$2,100%,AVANCE[[#This Row],[PISO]])</f>
        <v>1</v>
      </c>
      <c r="BI35" s="3">
        <f>+IF(AVANCE[[#This Row],[TABIQUES]]=O$2,100%,AVANCE[[#This Row],[TABIQUES]])</f>
        <v>1</v>
      </c>
      <c r="BJ35" s="3">
        <f>+IF(AVANCE[[#This Row],[MUROS]]=P$2,100%,AVANCE[[#This Row],[MUROS]])</f>
        <v>1</v>
      </c>
      <c r="BK35" s="3">
        <f>+IF(AVANCE[[#This Row],[CIELO]]=Q$2,100%,AVANCE[[#This Row],[CIELO]])</f>
        <v>1</v>
      </c>
      <c r="BL35" s="3">
        <f>+IF(AVANCE[[#This Row],[BALCÓN]]=R$2,100%,AVANCE[[#This Row],[BALCÓN]])</f>
        <v>1</v>
      </c>
      <c r="BM35" s="3">
        <f>+IF(AVANCE[[#This Row],[RED ALCANTARILLADO]]=U$2,100%,AVANCE[[#This Row],[RED ALCANTARILLADO]])</f>
        <v>1</v>
      </c>
      <c r="BN35" s="3">
        <f>+IF(AVANCE[[#This Row],[RED DE AGUA]]=V$2,100%,AVANCE[[#This Row],[RED DE AGUA]])</f>
        <v>1</v>
      </c>
      <c r="BO35" s="3">
        <f>+IF(AVANCE[[#This Row],[VENTILACIONES]]=W$2,100%,AVANCE[[#This Row],[VENTILACIONES]])</f>
        <v>1</v>
      </c>
      <c r="BP35" s="3">
        <f>+IF(AVANCE[[#This Row],[TINA]]=X$2,100%,AVANCE[[#This Row],[TINA]])</f>
        <v>1</v>
      </c>
      <c r="BQ35" s="3">
        <f>+IF(AVANCE[[#This Row],[WC]]=Y$2,100%,AVANCE[[#This Row],[WC]])</f>
        <v>1</v>
      </c>
      <c r="BR35" s="3">
        <f>+IF(AVANCE[[#This Row],[LAVAMANOS / LAVAPLATOS / LAVADERO]]=Z$2,100%,AVANCE[[#This Row],[LAVAMANOS / LAVAPLATOS / LAVADERO]])</f>
        <v>1</v>
      </c>
      <c r="BS35" s="3">
        <f>+IF(AVANCE[[#This Row],[CANALIZACIÓN]]=AC$2,100%,AVANCE[[#This Row],[CANALIZACIÓN]])</f>
        <v>1</v>
      </c>
      <c r="BT35" s="3">
        <f>+IF(AVANCE[[#This Row],[CABLEADO]]=AD$2,100%,AVANCE[[#This Row],[CABLEADO]])</f>
        <v>1</v>
      </c>
      <c r="BU35" s="3">
        <f>+IF(AVANCE[[#This Row],[ARTEFACTOS]]=AE$2,100%,AVANCE[[#This Row],[ARTEFACTOS]])</f>
        <v>1</v>
      </c>
      <c r="BV35" s="3">
        <f>+IF(AVANCE[[#This Row],[TABLERO]]=AF$2,100%,AVANCE[[#This Row],[TABLERO]])</f>
        <v>1</v>
      </c>
      <c r="BW35" s="3">
        <f>+IF(AVANCE[[#This Row],[CAJA PAU]]=AG$2,100%,AVANCE[[#This Row],[CAJA PAU]])</f>
        <v>1</v>
      </c>
      <c r="BX35" s="3">
        <f>+IF(AVANCE[[#This Row],[INSTALACION VINILICO]]=AJ$2,100%,AVANCE[[#This Row],[INSTALACION VINILICO]])</f>
        <v>1</v>
      </c>
      <c r="BY35" s="3">
        <f>+IF(AVANCE[[#This Row],[OSB CUBIERTA]]=AK$2,100%,AVANCE[[#This Row],[OSB CUBIERTA]])</f>
        <v>1</v>
      </c>
      <c r="BZ35" s="3">
        <f>+IF(AVANCE[[#This Row],[BARANDA BALCON]]=AL$2,100%,AVANCE[[#This Row],[BARANDA BALCON]])</f>
        <v>1</v>
      </c>
      <c r="CA35" s="3">
        <f>+IF(AVANCE[[#This Row],[OSB EXTERIOR]]=AM$2,100%,AVANCE[[#This Row],[OSB EXTERIOR]])</f>
        <v>1</v>
      </c>
      <c r="CB35" s="3">
        <f>+IF(AVANCE[[#This Row],[SMART PANEL]]=AN$2,100%,AVANCE[[#This Row],[SMART PANEL]])</f>
        <v>1</v>
      </c>
      <c r="CC35" s="3">
        <f>+IF(AVANCE[[#This Row],[PINTURA EXTERIOR]]=AO$2,100%,AVANCE[[#This Row],[PINTURA EXTERIOR]])</f>
        <v>1</v>
      </c>
      <c r="CD35" s="3">
        <f>+IF(AVANCE[[#This Row],[ZOCALOS LOGIA]]=AP$2,100%,AVANCE[[#This Row],[ZOCALOS LOGIA]])</f>
        <v>1</v>
      </c>
      <c r="CE35" s="3">
        <f>+IF(AVANCE[[#This Row],[MOLDURAS]]=AQ$2,100%,AVANCE[[#This Row],[MOLDURAS]])</f>
        <v>1</v>
      </c>
      <c r="CF35" s="3">
        <f>+IF(AVANCE[[#This Row],[PILASTREO]]=AR$2,100%,AVANCE[[#This Row],[PILASTREO]])</f>
        <v>1</v>
      </c>
      <c r="CG35" s="3">
        <f>+IF(AVANCE[[#This Row],[CELOSIAS]]=AS$2,100%,AVANCE[[#This Row],[CELOSIAS]])</f>
        <v>1</v>
      </c>
      <c r="CH35" s="3">
        <f>+IF(AVANCE[[#This Row],[VENTANAS]]=AT$2,100%,AVANCE[[#This Row],[VENTANAS]])</f>
        <v>1</v>
      </c>
      <c r="CI35" s="3">
        <f>+IF(AVANCE[[#This Row],[PUERTAS ACCESO - LOGIA - BANO]]=AU$2,100%,AVANCE[[#This Row],[PUERTAS ACCESO - LOGIA - BANO]])</f>
        <v>1</v>
      </c>
      <c r="CJ35" s="3">
        <f>+IF(AVANCE[[#This Row],[CERRADURAS]]=AV$2,100%,AVANCE[[#This Row],[CERRADURAS]])</f>
        <v>1</v>
      </c>
      <c r="CK35" s="3">
        <f>+IF(AVANCE[[#This Row],[REVESTIMIENTO INTERIOR ZONA SECA]]=AW$2,100%,AVANCE[[#This Row],[REVESTIMIENTO INTERIOR ZONA SECA]])</f>
        <v>1</v>
      </c>
      <c r="CL35" s="3">
        <f>+IF(AVANCE[[#This Row],[REVESTIMIENTO INTERIOR ZONAS HUMEDAS]]=AX$2,100%,AVANCE[[#This Row],[REVESTIMIENTO INTERIOR ZONAS HUMEDAS]])</f>
        <v>1</v>
      </c>
      <c r="CM35" s="3">
        <f>+IF(AVANCE[[#This Row],[MEMBRANA CIELO]]=AY$2,100%,AVANCE[[#This Row],[MEMBRANA CIELO]])</f>
        <v>1</v>
      </c>
      <c r="CN35" s="3">
        <f>+IF(AVANCE[[#This Row],[LIMPIEZA FINAL]]=AZ$2,100%,AVANCE[[#This Row],[LIMPIEZA FINAL]])</f>
        <v>1</v>
      </c>
      <c r="CO35" s="3">
        <f>+IF(AVANCE[[#This Row],[PUERTAS DORMITORIO]]=BA$2,100%,AVANCE[[#This Row],[PUERTAS DORMITORIO]])</f>
        <v>1</v>
      </c>
      <c r="CP35" s="3">
        <f>+IF(AVANCE[[#This Row],[REVESTIMIENTO INTERIOR BANO]]=BB$2,100%,AVANCE[[#This Row],[REVESTIMIENTO INTERIOR BANO]])</f>
        <v>1</v>
      </c>
      <c r="CQ35" s="3">
        <f>+IF(AVANCE[[#This Row],[MUEBLE LAVAPLATOS]]=BC$2,100%,AVANCE[[#This Row],[MUEBLE LAVAPLATOS]])</f>
        <v>1</v>
      </c>
      <c r="CR35" s="3">
        <f>+IF(AVANCE[[#This Row],[IMPERMEABILIZACION BANO - COCINA LOGIA]]=BD$2,100%,AVANCE[[#This Row],[IMPERMEABILIZACION BANO - COCINA LOGIA]])</f>
        <v>1</v>
      </c>
      <c r="CS35" s="40">
        <f ca="1">+IF(AVANCE[[#This Row],[ESTADO MODULO]]="PENDIENTE",(TODAY()-AVANCE[[#This Row],[FECHA TERMINO  PLANIFICADO]]),0)</f>
        <v>0</v>
      </c>
      <c r="CT35" s="41" t="str" cm="1">
        <f t="array" ref="CT35">_xlfn.TEXTJOIN(" | ",TRUE,IF(SUMPRODUCT((BG35:CR35&lt;1)*(PARTIDAS!$I$2:$AT$2="OBRA GRUESA"))&gt;0,"OBRA GRUESA: "&amp;_xlfn.TEXTJOIN(", ",TRUE,IF((BG35:CR35&lt;1)*(PARTIDAS!$I$2:$AT$2="OBRA GRUESA"),PARTIDAS!$I$1:$AT$1,"")),""),IF(SUMPRODUCT((BG35:CR35&lt;1)*(PARTIDAS!$I$2:$AT$2="SANITARIOS"))&gt;0,"SANITARIOS: "&amp;_xlfn.TEXTJOIN(", ",TRUE,IF((BG35:CR35&lt;1)*(PARTIDAS!$I$2:$AT$2="SANITARIOS"),PARTIDAS!$I$1:$AT$1,"")),""),IF(SUMPRODUCT((BG35:CR35&lt;1)*(PARTIDAS!$I$2:$AT$2="ELÉCTRICO"))&gt;0,"ELÉCTRICO: "&amp;_xlfn.TEXTJOIN(", ",TRUE,IF((BG35:CR35&lt;1)*(PARTIDAS!$I$2:$AT$2="ELÉCTRICO"),PARTIDAS!$I$1:$AT$1,"")),""),IF(SUMPRODUCT((BG35:CR35&lt;1)*(PARTIDAS!$I$2:$AT$2="TERMINACIONES"))&gt;0,"TERMINACIONES: "&amp;_xlfn.TEXTJOIN(", ",TRUE,IF((BG35:CR35&lt;1)*(PARTIDAS!$I$2:$AT$2="TERMINACIONES"),PARTIDAS!$I$1:$AT$1,"")),""))</f>
        <v/>
      </c>
      <c r="CU35" s="43" t="str" cm="1">
        <f t="array" ref="CU35">_xlfn.TEXTJOIN(", ",TRUE,IF(SUMPRODUCT((BG35:CR35&lt;1)*(PARTIDAS!$I$2:$AT$2="OBRA GRUESA"))&gt;0,"OBRA GRUESA",""),IF(SUMPRODUCT((BG35:CR35&lt;1)*(PARTIDAS!$I$2:$AT$2="SANITARIOS"))&gt;0,"SANITARIOS",""),IF(SUMPRODUCT((BG35:CR35&lt;1)*(PARTIDAS!$I$2:$AT$2="ELÉCTRICO"))&gt;0,"ELÉCTRICO",""),IF(SUMPRODUCT((BG35:CR35&lt;1)*(PARTIDAS!$I$2:$AT$2="TERMINACIONES"))&gt;0,"TERMINACIONES",""))</f>
        <v/>
      </c>
      <c r="CV35" s="44" cm="1">
        <f t="array" ref="CV35">SUMPRODUCT(--(BG35:CR35&lt;1))</f>
        <v>0</v>
      </c>
    </row>
    <row r="36" spans="1:100" hidden="1" x14ac:dyDescent="0.25">
      <c r="A36" t="s">
        <v>91</v>
      </c>
      <c r="B36" t="s">
        <v>94</v>
      </c>
      <c r="C36">
        <v>2302600035</v>
      </c>
      <c r="D36" t="s">
        <v>60</v>
      </c>
      <c r="E36" s="2">
        <v>0.99999999999999978</v>
      </c>
      <c r="F36" s="1">
        <v>46122</v>
      </c>
      <c r="G36" s="1">
        <v>46122</v>
      </c>
      <c r="H36" s="1">
        <v>46185</v>
      </c>
      <c r="I36" s="1">
        <v>46162</v>
      </c>
      <c r="K36" s="1">
        <v>46185</v>
      </c>
      <c r="L36" s="3">
        <v>0.43</v>
      </c>
      <c r="M36" s="3">
        <v>1</v>
      </c>
      <c r="N36" s="3">
        <v>0.27906976744186046</v>
      </c>
      <c r="O36" s="3">
        <v>0.18604651162790697</v>
      </c>
      <c r="P36" s="3">
        <v>0.2558139534883721</v>
      </c>
      <c r="Q36" s="3">
        <v>0.18604651162790697</v>
      </c>
      <c r="R36" s="3">
        <v>9.3023255813953487E-2</v>
      </c>
      <c r="S36" s="3">
        <v>0.09</v>
      </c>
      <c r="T36" s="3">
        <v>1</v>
      </c>
      <c r="U36" s="3">
        <v>0.22222222222222221</v>
      </c>
      <c r="V36" s="3">
        <v>0.22222222222222221</v>
      </c>
      <c r="W36" s="3">
        <v>0.1111111111111111</v>
      </c>
      <c r="X36" s="3">
        <v>0.1111111111111111</v>
      </c>
      <c r="Y36" s="3">
        <v>0.1111111111111111</v>
      </c>
      <c r="Z36" s="3">
        <v>0.22222222222222221</v>
      </c>
      <c r="AA36" s="3">
        <v>0.11</v>
      </c>
      <c r="AB36" s="3">
        <v>1</v>
      </c>
      <c r="AC36" s="3">
        <v>0.27272727272727271</v>
      </c>
      <c r="AD36" s="3">
        <v>0.27272727272727271</v>
      </c>
      <c r="AE36" s="3">
        <v>9.0909090909090912E-2</v>
      </c>
      <c r="AF36" s="3">
        <v>0.18181818181818182</v>
      </c>
      <c r="AG36" s="3">
        <v>0.18181818181818182</v>
      </c>
      <c r="AH36" s="3">
        <v>0.36999999999999983</v>
      </c>
      <c r="AI36" s="3">
        <v>0.99999999999999956</v>
      </c>
      <c r="AJ36" s="3">
        <v>5.4054054054054036E-2</v>
      </c>
      <c r="AK36" s="3">
        <v>5.4054054054054036E-2</v>
      </c>
      <c r="AL36" s="3">
        <v>2.7027027027027018E-2</v>
      </c>
      <c r="AM36" s="3">
        <v>8.1081081081081058E-2</v>
      </c>
      <c r="AN36" s="3">
        <v>8.1081081081081058E-2</v>
      </c>
      <c r="AO36" s="3">
        <v>6.7567567567567557E-2</v>
      </c>
      <c r="AP36" s="3">
        <v>5.4054054054054036E-2</v>
      </c>
      <c r="AQ36" s="3">
        <v>1.3513513513513509E-2</v>
      </c>
      <c r="AR36" s="3">
        <v>4.0540540540540529E-2</v>
      </c>
      <c r="AS36" s="3">
        <v>1.3513513513513509E-2</v>
      </c>
      <c r="AT36" s="3">
        <v>8.1081081081081058E-2</v>
      </c>
      <c r="AU36" s="3">
        <v>5.4054054054054036E-2</v>
      </c>
      <c r="AV36" s="3">
        <v>2.7027027027027018E-2</v>
      </c>
      <c r="AW36" s="3">
        <v>5.4054054054054036E-2</v>
      </c>
      <c r="AX36" s="3">
        <v>5.4054054054054036E-2</v>
      </c>
      <c r="AY36" s="3">
        <v>2.7027027027027018E-2</v>
      </c>
      <c r="AZ36" s="3">
        <v>4.0540540540540529E-2</v>
      </c>
      <c r="BA36" s="3">
        <v>5.4054054054054036E-2</v>
      </c>
      <c r="BB36" s="3">
        <v>8.1081081081081058E-2</v>
      </c>
      <c r="BC36" s="3">
        <v>1.3513513513513509E-2</v>
      </c>
      <c r="BD36" s="3">
        <v>2.7027027027027018E-2</v>
      </c>
      <c r="BE36">
        <v>31.32</v>
      </c>
      <c r="BF36" s="3" t="str">
        <f>+IF(AVANCE[[#This Row],[% AVANCE]]=100%,"MODULO TERMINADO",IF(AVANCE[[#This Row],[FECHA INICIO REAL]]="","MODULO NO INICIADO","PENDIENTE"))</f>
        <v>MODULO TERMINADO</v>
      </c>
      <c r="BG36" s="3">
        <f>+IF(AVANCE[[#This Row],[VENTANAS]]=8.10810810810811%,100%,AVANCE[[#This Row],[VENTANAS]])</f>
        <v>1</v>
      </c>
      <c r="BH36" s="3">
        <f>+IF(AVANCE[[#This Row],[PISO]]=N$2,100%,AVANCE[[#This Row],[PISO]])</f>
        <v>1</v>
      </c>
      <c r="BI36" s="3">
        <f>+IF(AVANCE[[#This Row],[TABIQUES]]=O$2,100%,AVANCE[[#This Row],[TABIQUES]])</f>
        <v>1</v>
      </c>
      <c r="BJ36" s="3">
        <f>+IF(AVANCE[[#This Row],[MUROS]]=P$2,100%,AVANCE[[#This Row],[MUROS]])</f>
        <v>1</v>
      </c>
      <c r="BK36" s="3">
        <f>+IF(AVANCE[[#This Row],[CIELO]]=Q$2,100%,AVANCE[[#This Row],[CIELO]])</f>
        <v>1</v>
      </c>
      <c r="BL36" s="3">
        <f>+IF(AVANCE[[#This Row],[BALCÓN]]=R$2,100%,AVANCE[[#This Row],[BALCÓN]])</f>
        <v>1</v>
      </c>
      <c r="BM36" s="3">
        <f>+IF(AVANCE[[#This Row],[RED ALCANTARILLADO]]=U$2,100%,AVANCE[[#This Row],[RED ALCANTARILLADO]])</f>
        <v>1</v>
      </c>
      <c r="BN36" s="3">
        <f>+IF(AVANCE[[#This Row],[RED DE AGUA]]=V$2,100%,AVANCE[[#This Row],[RED DE AGUA]])</f>
        <v>1</v>
      </c>
      <c r="BO36" s="3">
        <f>+IF(AVANCE[[#This Row],[VENTILACIONES]]=W$2,100%,AVANCE[[#This Row],[VENTILACIONES]])</f>
        <v>1</v>
      </c>
      <c r="BP36" s="3">
        <f>+IF(AVANCE[[#This Row],[TINA]]=X$2,100%,AVANCE[[#This Row],[TINA]])</f>
        <v>1</v>
      </c>
      <c r="BQ36" s="3">
        <f>+IF(AVANCE[[#This Row],[WC]]=Y$2,100%,AVANCE[[#This Row],[WC]])</f>
        <v>1</v>
      </c>
      <c r="BR36" s="3">
        <f>+IF(AVANCE[[#This Row],[LAVAMANOS / LAVAPLATOS / LAVADERO]]=Z$2,100%,AVANCE[[#This Row],[LAVAMANOS / LAVAPLATOS / LAVADERO]])</f>
        <v>1</v>
      </c>
      <c r="BS36" s="3">
        <f>+IF(AVANCE[[#This Row],[CANALIZACIÓN]]=AC$2,100%,AVANCE[[#This Row],[CANALIZACIÓN]])</f>
        <v>1</v>
      </c>
      <c r="BT36" s="3">
        <f>+IF(AVANCE[[#This Row],[CABLEADO]]=AD$2,100%,AVANCE[[#This Row],[CABLEADO]])</f>
        <v>1</v>
      </c>
      <c r="BU36" s="3">
        <f>+IF(AVANCE[[#This Row],[ARTEFACTOS]]=AE$2,100%,AVANCE[[#This Row],[ARTEFACTOS]])</f>
        <v>1</v>
      </c>
      <c r="BV36" s="3">
        <f>+IF(AVANCE[[#This Row],[TABLERO]]=AF$2,100%,AVANCE[[#This Row],[TABLERO]])</f>
        <v>1</v>
      </c>
      <c r="BW36" s="3">
        <f>+IF(AVANCE[[#This Row],[CAJA PAU]]=AG$2,100%,AVANCE[[#This Row],[CAJA PAU]])</f>
        <v>1</v>
      </c>
      <c r="BX36" s="3">
        <f>+IF(AVANCE[[#This Row],[INSTALACION VINILICO]]=AJ$2,100%,AVANCE[[#This Row],[INSTALACION VINILICO]])</f>
        <v>1</v>
      </c>
      <c r="BY36" s="3">
        <f>+IF(AVANCE[[#This Row],[OSB CUBIERTA]]=AK$2,100%,AVANCE[[#This Row],[OSB CUBIERTA]])</f>
        <v>1</v>
      </c>
      <c r="BZ36" s="3">
        <f>+IF(AVANCE[[#This Row],[BARANDA BALCON]]=AL$2,100%,AVANCE[[#This Row],[BARANDA BALCON]])</f>
        <v>1</v>
      </c>
      <c r="CA36" s="3">
        <f>+IF(AVANCE[[#This Row],[OSB EXTERIOR]]=AM$2,100%,AVANCE[[#This Row],[OSB EXTERIOR]])</f>
        <v>1</v>
      </c>
      <c r="CB36" s="3">
        <f>+IF(AVANCE[[#This Row],[SMART PANEL]]=AN$2,100%,AVANCE[[#This Row],[SMART PANEL]])</f>
        <v>1</v>
      </c>
      <c r="CC36" s="3">
        <f>+IF(AVANCE[[#This Row],[PINTURA EXTERIOR]]=AO$2,100%,AVANCE[[#This Row],[PINTURA EXTERIOR]])</f>
        <v>1</v>
      </c>
      <c r="CD36" s="3">
        <f>+IF(AVANCE[[#This Row],[ZOCALOS LOGIA]]=AP$2,100%,AVANCE[[#This Row],[ZOCALOS LOGIA]])</f>
        <v>1</v>
      </c>
      <c r="CE36" s="3">
        <f>+IF(AVANCE[[#This Row],[MOLDURAS]]=AQ$2,100%,AVANCE[[#This Row],[MOLDURAS]])</f>
        <v>1</v>
      </c>
      <c r="CF36" s="3">
        <f>+IF(AVANCE[[#This Row],[PILASTREO]]=AR$2,100%,AVANCE[[#This Row],[PILASTREO]])</f>
        <v>1</v>
      </c>
      <c r="CG36" s="3">
        <f>+IF(AVANCE[[#This Row],[CELOSIAS]]=AS$2,100%,AVANCE[[#This Row],[CELOSIAS]])</f>
        <v>1</v>
      </c>
      <c r="CH36" s="3">
        <f>+IF(AVANCE[[#This Row],[VENTANAS]]=AT$2,100%,AVANCE[[#This Row],[VENTANAS]])</f>
        <v>1</v>
      </c>
      <c r="CI36" s="3">
        <f>+IF(AVANCE[[#This Row],[PUERTAS ACCESO - LOGIA - BANO]]=AU$2,100%,AVANCE[[#This Row],[PUERTAS ACCESO - LOGIA - BANO]])</f>
        <v>1</v>
      </c>
      <c r="CJ36" s="3">
        <f>+IF(AVANCE[[#This Row],[CERRADURAS]]=AV$2,100%,AVANCE[[#This Row],[CERRADURAS]])</f>
        <v>1</v>
      </c>
      <c r="CK36" s="3">
        <f>+IF(AVANCE[[#This Row],[REVESTIMIENTO INTERIOR ZONA SECA]]=AW$2,100%,AVANCE[[#This Row],[REVESTIMIENTO INTERIOR ZONA SECA]])</f>
        <v>1</v>
      </c>
      <c r="CL36" s="3">
        <f>+IF(AVANCE[[#This Row],[REVESTIMIENTO INTERIOR ZONAS HUMEDAS]]=AX$2,100%,AVANCE[[#This Row],[REVESTIMIENTO INTERIOR ZONAS HUMEDAS]])</f>
        <v>1</v>
      </c>
      <c r="CM36" s="3">
        <f>+IF(AVANCE[[#This Row],[MEMBRANA CIELO]]=AY$2,100%,AVANCE[[#This Row],[MEMBRANA CIELO]])</f>
        <v>1</v>
      </c>
      <c r="CN36" s="3">
        <f>+IF(AVANCE[[#This Row],[LIMPIEZA FINAL]]=AZ$2,100%,AVANCE[[#This Row],[LIMPIEZA FINAL]])</f>
        <v>1</v>
      </c>
      <c r="CO36" s="3">
        <f>+IF(AVANCE[[#This Row],[PUERTAS DORMITORIO]]=BA$2,100%,AVANCE[[#This Row],[PUERTAS DORMITORIO]])</f>
        <v>1</v>
      </c>
      <c r="CP36" s="3">
        <f>+IF(AVANCE[[#This Row],[REVESTIMIENTO INTERIOR BANO]]=BB$2,100%,AVANCE[[#This Row],[REVESTIMIENTO INTERIOR BANO]])</f>
        <v>1</v>
      </c>
      <c r="CQ36" s="3">
        <f>+IF(AVANCE[[#This Row],[MUEBLE LAVAPLATOS]]=BC$2,100%,AVANCE[[#This Row],[MUEBLE LAVAPLATOS]])</f>
        <v>1</v>
      </c>
      <c r="CR36" s="3">
        <f>+IF(AVANCE[[#This Row],[IMPERMEABILIZACION BANO - COCINA LOGIA]]=BD$2,100%,AVANCE[[#This Row],[IMPERMEABILIZACION BANO - COCINA LOGIA]])</f>
        <v>1</v>
      </c>
      <c r="CS36" s="40">
        <f ca="1">+IF(AVANCE[[#This Row],[ESTADO MODULO]]="PENDIENTE",(TODAY()-AVANCE[[#This Row],[FECHA TERMINO  PLANIFICADO]]),0)</f>
        <v>0</v>
      </c>
      <c r="CT36" s="41" t="str" cm="1">
        <f t="array" ref="CT36">_xlfn.TEXTJOIN(" | ",TRUE,IF(SUMPRODUCT((BG36:CR36&lt;1)*(PARTIDAS!$I$2:$AT$2="OBRA GRUESA"))&gt;0,"OBRA GRUESA: "&amp;_xlfn.TEXTJOIN(", ",TRUE,IF((BG36:CR36&lt;1)*(PARTIDAS!$I$2:$AT$2="OBRA GRUESA"),PARTIDAS!$I$1:$AT$1,"")),""),IF(SUMPRODUCT((BG36:CR36&lt;1)*(PARTIDAS!$I$2:$AT$2="SANITARIOS"))&gt;0,"SANITARIOS: "&amp;_xlfn.TEXTJOIN(", ",TRUE,IF((BG36:CR36&lt;1)*(PARTIDAS!$I$2:$AT$2="SANITARIOS"),PARTIDAS!$I$1:$AT$1,"")),""),IF(SUMPRODUCT((BG36:CR36&lt;1)*(PARTIDAS!$I$2:$AT$2="ELÉCTRICO"))&gt;0,"ELÉCTRICO: "&amp;_xlfn.TEXTJOIN(", ",TRUE,IF((BG36:CR36&lt;1)*(PARTIDAS!$I$2:$AT$2="ELÉCTRICO"),PARTIDAS!$I$1:$AT$1,"")),""),IF(SUMPRODUCT((BG36:CR36&lt;1)*(PARTIDAS!$I$2:$AT$2="TERMINACIONES"))&gt;0,"TERMINACIONES: "&amp;_xlfn.TEXTJOIN(", ",TRUE,IF((BG36:CR36&lt;1)*(PARTIDAS!$I$2:$AT$2="TERMINACIONES"),PARTIDAS!$I$1:$AT$1,"")),""))</f>
        <v/>
      </c>
      <c r="CU36" s="43" t="str" cm="1">
        <f t="array" ref="CU36">_xlfn.TEXTJOIN(", ",TRUE,IF(SUMPRODUCT((BG36:CR36&lt;1)*(PARTIDAS!$I$2:$AT$2="OBRA GRUESA"))&gt;0,"OBRA GRUESA",""),IF(SUMPRODUCT((BG36:CR36&lt;1)*(PARTIDAS!$I$2:$AT$2="SANITARIOS"))&gt;0,"SANITARIOS",""),IF(SUMPRODUCT((BG36:CR36&lt;1)*(PARTIDAS!$I$2:$AT$2="ELÉCTRICO"))&gt;0,"ELÉCTRICO",""),IF(SUMPRODUCT((BG36:CR36&lt;1)*(PARTIDAS!$I$2:$AT$2="TERMINACIONES"))&gt;0,"TERMINACIONES",""))</f>
        <v/>
      </c>
      <c r="CV36" s="44" cm="1">
        <f t="array" ref="CV36">SUMPRODUCT(--(BG36:CR36&lt;1))</f>
        <v>0</v>
      </c>
    </row>
    <row r="37" spans="1:100" hidden="1" x14ac:dyDescent="0.25">
      <c r="A37" t="s">
        <v>91</v>
      </c>
      <c r="B37" t="s">
        <v>95</v>
      </c>
      <c r="C37">
        <v>2282600036</v>
      </c>
      <c r="D37" t="s">
        <v>58</v>
      </c>
      <c r="E37" s="2">
        <v>0.99999999999999978</v>
      </c>
      <c r="F37" s="1">
        <v>46122</v>
      </c>
      <c r="G37" s="1">
        <v>46122</v>
      </c>
      <c r="H37" s="1">
        <v>46185</v>
      </c>
      <c r="I37" s="1">
        <v>46151</v>
      </c>
      <c r="K37" s="1">
        <v>46185</v>
      </c>
      <c r="L37" s="3">
        <v>0.43</v>
      </c>
      <c r="M37" s="3">
        <v>1</v>
      </c>
      <c r="N37" s="3">
        <v>0.27906976744186046</v>
      </c>
      <c r="O37" s="3">
        <v>0.18604651162790697</v>
      </c>
      <c r="P37" s="3">
        <v>0.2558139534883721</v>
      </c>
      <c r="Q37" s="3">
        <v>0.18604651162790697</v>
      </c>
      <c r="R37" s="3">
        <v>9.3023255813953487E-2</v>
      </c>
      <c r="S37" s="3">
        <v>0.09</v>
      </c>
      <c r="T37" s="3">
        <v>1</v>
      </c>
      <c r="U37" s="3">
        <v>0.22222222222222221</v>
      </c>
      <c r="V37" s="3">
        <v>0.22222222222222221</v>
      </c>
      <c r="W37" s="3">
        <v>0.1111111111111111</v>
      </c>
      <c r="X37" s="3">
        <v>0.1111111111111111</v>
      </c>
      <c r="Y37" s="3">
        <v>0.1111111111111111</v>
      </c>
      <c r="Z37" s="3">
        <v>0.22222222222222221</v>
      </c>
      <c r="AA37" s="3">
        <v>0.11</v>
      </c>
      <c r="AB37" s="3">
        <v>1</v>
      </c>
      <c r="AC37" s="3">
        <v>0.27272727272727271</v>
      </c>
      <c r="AD37" s="3">
        <v>0.27272727272727271</v>
      </c>
      <c r="AE37" s="3">
        <v>9.0909090909090912E-2</v>
      </c>
      <c r="AF37" s="3">
        <v>0.18181818181818182</v>
      </c>
      <c r="AG37" s="3">
        <v>0.18181818181818182</v>
      </c>
      <c r="AH37" s="3">
        <v>0.36999999999999983</v>
      </c>
      <c r="AI37" s="3">
        <v>0.99999999999999956</v>
      </c>
      <c r="AJ37" s="3">
        <v>5.4054054054054036E-2</v>
      </c>
      <c r="AK37" s="3">
        <v>5.4054054054054036E-2</v>
      </c>
      <c r="AL37" s="3">
        <v>2.7027027027027018E-2</v>
      </c>
      <c r="AM37" s="3">
        <v>8.1081081081081058E-2</v>
      </c>
      <c r="AN37" s="3">
        <v>8.1081081081081058E-2</v>
      </c>
      <c r="AO37" s="3">
        <v>6.7567567567567557E-2</v>
      </c>
      <c r="AP37" s="3">
        <v>5.4054054054054036E-2</v>
      </c>
      <c r="AQ37" s="3">
        <v>1.3513513513513509E-2</v>
      </c>
      <c r="AR37" s="3">
        <v>4.0540540540540529E-2</v>
      </c>
      <c r="AS37" s="3">
        <v>1.3513513513513509E-2</v>
      </c>
      <c r="AT37" s="3">
        <v>8.1081081081081058E-2</v>
      </c>
      <c r="AU37" s="3">
        <v>5.4054054054054036E-2</v>
      </c>
      <c r="AV37" s="3">
        <v>2.7027027027027018E-2</v>
      </c>
      <c r="AW37" s="3">
        <v>5.4054054054054036E-2</v>
      </c>
      <c r="AX37" s="3">
        <v>5.4054054054054036E-2</v>
      </c>
      <c r="AY37" s="3">
        <v>2.7027027027027018E-2</v>
      </c>
      <c r="AZ37" s="3">
        <v>4.0540540540540529E-2</v>
      </c>
      <c r="BA37" s="3">
        <v>5.4054054054054036E-2</v>
      </c>
      <c r="BB37" s="3">
        <v>8.1081081081081058E-2</v>
      </c>
      <c r="BC37" s="3">
        <v>1.3513513513513509E-2</v>
      </c>
      <c r="BD37" s="3">
        <v>2.7027027027027018E-2</v>
      </c>
      <c r="BE37">
        <v>28.87</v>
      </c>
      <c r="BF37" s="3" t="str">
        <f>+IF(AVANCE[[#This Row],[% AVANCE]]=100%,"MODULO TERMINADO",IF(AVANCE[[#This Row],[FECHA INICIO REAL]]="","MODULO NO INICIADO","PENDIENTE"))</f>
        <v>MODULO TERMINADO</v>
      </c>
      <c r="BG37" s="3">
        <f>+IF(AVANCE[[#This Row],[VENTANAS]]=8.10810810810811%,100%,AVANCE[[#This Row],[VENTANAS]])</f>
        <v>1</v>
      </c>
      <c r="BH37" s="3">
        <f>+IF(AVANCE[[#This Row],[PISO]]=N$2,100%,AVANCE[[#This Row],[PISO]])</f>
        <v>1</v>
      </c>
      <c r="BI37" s="3">
        <f>+IF(AVANCE[[#This Row],[TABIQUES]]=O$2,100%,AVANCE[[#This Row],[TABIQUES]])</f>
        <v>1</v>
      </c>
      <c r="BJ37" s="3">
        <f>+IF(AVANCE[[#This Row],[MUROS]]=P$2,100%,AVANCE[[#This Row],[MUROS]])</f>
        <v>1</v>
      </c>
      <c r="BK37" s="3">
        <f>+IF(AVANCE[[#This Row],[CIELO]]=Q$2,100%,AVANCE[[#This Row],[CIELO]])</f>
        <v>1</v>
      </c>
      <c r="BL37" s="3">
        <f>+IF(AVANCE[[#This Row],[BALCÓN]]=R$2,100%,AVANCE[[#This Row],[BALCÓN]])</f>
        <v>1</v>
      </c>
      <c r="BM37" s="3">
        <f>+IF(AVANCE[[#This Row],[RED ALCANTARILLADO]]=U$2,100%,AVANCE[[#This Row],[RED ALCANTARILLADO]])</f>
        <v>1</v>
      </c>
      <c r="BN37" s="3">
        <f>+IF(AVANCE[[#This Row],[RED DE AGUA]]=V$2,100%,AVANCE[[#This Row],[RED DE AGUA]])</f>
        <v>1</v>
      </c>
      <c r="BO37" s="3">
        <f>+IF(AVANCE[[#This Row],[VENTILACIONES]]=W$2,100%,AVANCE[[#This Row],[VENTILACIONES]])</f>
        <v>1</v>
      </c>
      <c r="BP37" s="3">
        <f>+IF(AVANCE[[#This Row],[TINA]]=X$2,100%,AVANCE[[#This Row],[TINA]])</f>
        <v>1</v>
      </c>
      <c r="BQ37" s="3">
        <f>+IF(AVANCE[[#This Row],[WC]]=Y$2,100%,AVANCE[[#This Row],[WC]])</f>
        <v>1</v>
      </c>
      <c r="BR37" s="3">
        <f>+IF(AVANCE[[#This Row],[LAVAMANOS / LAVAPLATOS / LAVADERO]]=Z$2,100%,AVANCE[[#This Row],[LAVAMANOS / LAVAPLATOS / LAVADERO]])</f>
        <v>1</v>
      </c>
      <c r="BS37" s="3">
        <f>+IF(AVANCE[[#This Row],[CANALIZACIÓN]]=AC$2,100%,AVANCE[[#This Row],[CANALIZACIÓN]])</f>
        <v>1</v>
      </c>
      <c r="BT37" s="3">
        <f>+IF(AVANCE[[#This Row],[CABLEADO]]=AD$2,100%,AVANCE[[#This Row],[CABLEADO]])</f>
        <v>1</v>
      </c>
      <c r="BU37" s="3">
        <f>+IF(AVANCE[[#This Row],[ARTEFACTOS]]=AE$2,100%,AVANCE[[#This Row],[ARTEFACTOS]])</f>
        <v>1</v>
      </c>
      <c r="BV37" s="3">
        <f>+IF(AVANCE[[#This Row],[TABLERO]]=AF$2,100%,AVANCE[[#This Row],[TABLERO]])</f>
        <v>1</v>
      </c>
      <c r="BW37" s="3">
        <f>+IF(AVANCE[[#This Row],[CAJA PAU]]=AG$2,100%,AVANCE[[#This Row],[CAJA PAU]])</f>
        <v>1</v>
      </c>
      <c r="BX37" s="3">
        <f>+IF(AVANCE[[#This Row],[INSTALACION VINILICO]]=AJ$2,100%,AVANCE[[#This Row],[INSTALACION VINILICO]])</f>
        <v>1</v>
      </c>
      <c r="BY37" s="3">
        <f>+IF(AVANCE[[#This Row],[OSB CUBIERTA]]=AK$2,100%,AVANCE[[#This Row],[OSB CUBIERTA]])</f>
        <v>1</v>
      </c>
      <c r="BZ37" s="3">
        <f>+IF(AVANCE[[#This Row],[BARANDA BALCON]]=AL$2,100%,AVANCE[[#This Row],[BARANDA BALCON]])</f>
        <v>1</v>
      </c>
      <c r="CA37" s="3">
        <f>+IF(AVANCE[[#This Row],[OSB EXTERIOR]]=AM$2,100%,AVANCE[[#This Row],[OSB EXTERIOR]])</f>
        <v>1</v>
      </c>
      <c r="CB37" s="3">
        <f>+IF(AVANCE[[#This Row],[SMART PANEL]]=AN$2,100%,AVANCE[[#This Row],[SMART PANEL]])</f>
        <v>1</v>
      </c>
      <c r="CC37" s="3">
        <f>+IF(AVANCE[[#This Row],[PINTURA EXTERIOR]]=AO$2,100%,AVANCE[[#This Row],[PINTURA EXTERIOR]])</f>
        <v>1</v>
      </c>
      <c r="CD37" s="3">
        <f>+IF(AVANCE[[#This Row],[ZOCALOS LOGIA]]=AP$2,100%,AVANCE[[#This Row],[ZOCALOS LOGIA]])</f>
        <v>1</v>
      </c>
      <c r="CE37" s="3">
        <f>+IF(AVANCE[[#This Row],[MOLDURAS]]=AQ$2,100%,AVANCE[[#This Row],[MOLDURAS]])</f>
        <v>1</v>
      </c>
      <c r="CF37" s="3">
        <f>+IF(AVANCE[[#This Row],[PILASTREO]]=AR$2,100%,AVANCE[[#This Row],[PILASTREO]])</f>
        <v>1</v>
      </c>
      <c r="CG37" s="3">
        <f>+IF(AVANCE[[#This Row],[CELOSIAS]]=AS$2,100%,AVANCE[[#This Row],[CELOSIAS]])</f>
        <v>1</v>
      </c>
      <c r="CH37" s="3">
        <f>+IF(AVANCE[[#This Row],[VENTANAS]]=AT$2,100%,AVANCE[[#This Row],[VENTANAS]])</f>
        <v>1</v>
      </c>
      <c r="CI37" s="3">
        <f>+IF(AVANCE[[#This Row],[PUERTAS ACCESO - LOGIA - BANO]]=AU$2,100%,AVANCE[[#This Row],[PUERTAS ACCESO - LOGIA - BANO]])</f>
        <v>1</v>
      </c>
      <c r="CJ37" s="3">
        <f>+IF(AVANCE[[#This Row],[CERRADURAS]]=AV$2,100%,AVANCE[[#This Row],[CERRADURAS]])</f>
        <v>1</v>
      </c>
      <c r="CK37" s="3">
        <f>+IF(AVANCE[[#This Row],[REVESTIMIENTO INTERIOR ZONA SECA]]=AW$2,100%,AVANCE[[#This Row],[REVESTIMIENTO INTERIOR ZONA SECA]])</f>
        <v>1</v>
      </c>
      <c r="CL37" s="3">
        <f>+IF(AVANCE[[#This Row],[REVESTIMIENTO INTERIOR ZONAS HUMEDAS]]=AX$2,100%,AVANCE[[#This Row],[REVESTIMIENTO INTERIOR ZONAS HUMEDAS]])</f>
        <v>1</v>
      </c>
      <c r="CM37" s="3">
        <f>+IF(AVANCE[[#This Row],[MEMBRANA CIELO]]=AY$2,100%,AVANCE[[#This Row],[MEMBRANA CIELO]])</f>
        <v>1</v>
      </c>
      <c r="CN37" s="3">
        <f>+IF(AVANCE[[#This Row],[LIMPIEZA FINAL]]=AZ$2,100%,AVANCE[[#This Row],[LIMPIEZA FINAL]])</f>
        <v>1</v>
      </c>
      <c r="CO37" s="3">
        <f>+IF(AVANCE[[#This Row],[PUERTAS DORMITORIO]]=BA$2,100%,AVANCE[[#This Row],[PUERTAS DORMITORIO]])</f>
        <v>1</v>
      </c>
      <c r="CP37" s="3">
        <f>+IF(AVANCE[[#This Row],[REVESTIMIENTO INTERIOR BANO]]=BB$2,100%,AVANCE[[#This Row],[REVESTIMIENTO INTERIOR BANO]])</f>
        <v>1</v>
      </c>
      <c r="CQ37" s="3">
        <f>+IF(AVANCE[[#This Row],[MUEBLE LAVAPLATOS]]=BC$2,100%,AVANCE[[#This Row],[MUEBLE LAVAPLATOS]])</f>
        <v>1</v>
      </c>
      <c r="CR37" s="3">
        <f>+IF(AVANCE[[#This Row],[IMPERMEABILIZACION BANO - COCINA LOGIA]]=BD$2,100%,AVANCE[[#This Row],[IMPERMEABILIZACION BANO - COCINA LOGIA]])</f>
        <v>1</v>
      </c>
      <c r="CS37" s="40">
        <f ca="1">+IF(AVANCE[[#This Row],[ESTADO MODULO]]="PENDIENTE",(TODAY()-AVANCE[[#This Row],[FECHA TERMINO  PLANIFICADO]]),0)</f>
        <v>0</v>
      </c>
      <c r="CT37" s="41" t="str" cm="1">
        <f t="array" ref="CT37">_xlfn.TEXTJOIN(" | ",TRUE,IF(SUMPRODUCT((BG37:CR37&lt;1)*(PARTIDAS!$I$2:$AT$2="OBRA GRUESA"))&gt;0,"OBRA GRUESA: "&amp;_xlfn.TEXTJOIN(", ",TRUE,IF((BG37:CR37&lt;1)*(PARTIDAS!$I$2:$AT$2="OBRA GRUESA"),PARTIDAS!$I$1:$AT$1,"")),""),IF(SUMPRODUCT((BG37:CR37&lt;1)*(PARTIDAS!$I$2:$AT$2="SANITARIOS"))&gt;0,"SANITARIOS: "&amp;_xlfn.TEXTJOIN(", ",TRUE,IF((BG37:CR37&lt;1)*(PARTIDAS!$I$2:$AT$2="SANITARIOS"),PARTIDAS!$I$1:$AT$1,"")),""),IF(SUMPRODUCT((BG37:CR37&lt;1)*(PARTIDAS!$I$2:$AT$2="ELÉCTRICO"))&gt;0,"ELÉCTRICO: "&amp;_xlfn.TEXTJOIN(", ",TRUE,IF((BG37:CR37&lt;1)*(PARTIDAS!$I$2:$AT$2="ELÉCTRICO"),PARTIDAS!$I$1:$AT$1,"")),""),IF(SUMPRODUCT((BG37:CR37&lt;1)*(PARTIDAS!$I$2:$AT$2="TERMINACIONES"))&gt;0,"TERMINACIONES: "&amp;_xlfn.TEXTJOIN(", ",TRUE,IF((BG37:CR37&lt;1)*(PARTIDAS!$I$2:$AT$2="TERMINACIONES"),PARTIDAS!$I$1:$AT$1,"")),""))</f>
        <v/>
      </c>
      <c r="CU37" s="43" t="str" cm="1">
        <f t="array" ref="CU37">_xlfn.TEXTJOIN(", ",TRUE,IF(SUMPRODUCT((BG37:CR37&lt;1)*(PARTIDAS!$I$2:$AT$2="OBRA GRUESA"))&gt;0,"OBRA GRUESA",""),IF(SUMPRODUCT((BG37:CR37&lt;1)*(PARTIDAS!$I$2:$AT$2="SANITARIOS"))&gt;0,"SANITARIOS",""),IF(SUMPRODUCT((BG37:CR37&lt;1)*(PARTIDAS!$I$2:$AT$2="ELÉCTRICO"))&gt;0,"ELÉCTRICO",""),IF(SUMPRODUCT((BG37:CR37&lt;1)*(PARTIDAS!$I$2:$AT$2="TERMINACIONES"))&gt;0,"TERMINACIONES",""))</f>
        <v/>
      </c>
      <c r="CV37" s="44" cm="1">
        <f t="array" ref="CV37">SUMPRODUCT(--(BG37:CR37&lt;1))</f>
        <v>0</v>
      </c>
    </row>
    <row r="38" spans="1:100" hidden="1" x14ac:dyDescent="0.25">
      <c r="A38" t="s">
        <v>91</v>
      </c>
      <c r="B38" t="s">
        <v>96</v>
      </c>
      <c r="C38">
        <v>2282600037</v>
      </c>
      <c r="D38" t="s">
        <v>58</v>
      </c>
      <c r="E38" s="2">
        <v>0.99999999999999978</v>
      </c>
      <c r="F38" s="1">
        <v>46123</v>
      </c>
      <c r="G38" s="1">
        <v>46123</v>
      </c>
      <c r="H38" s="1">
        <v>46188</v>
      </c>
      <c r="I38" s="1">
        <v>46152</v>
      </c>
      <c r="K38" s="1">
        <v>46188</v>
      </c>
      <c r="L38" s="3">
        <v>0.43</v>
      </c>
      <c r="M38" s="3">
        <v>1</v>
      </c>
      <c r="N38" s="3">
        <v>0.27906976744186046</v>
      </c>
      <c r="O38" s="3">
        <v>0.18604651162790697</v>
      </c>
      <c r="P38" s="3">
        <v>0.2558139534883721</v>
      </c>
      <c r="Q38" s="3">
        <v>0.18604651162790697</v>
      </c>
      <c r="R38" s="3">
        <v>9.3023255813953487E-2</v>
      </c>
      <c r="S38" s="3">
        <v>0.09</v>
      </c>
      <c r="T38" s="3">
        <v>1</v>
      </c>
      <c r="U38" s="3">
        <v>0.22222222222222221</v>
      </c>
      <c r="V38" s="3">
        <v>0.22222222222222221</v>
      </c>
      <c r="W38" s="3">
        <v>0.1111111111111111</v>
      </c>
      <c r="X38" s="3">
        <v>0.1111111111111111</v>
      </c>
      <c r="Y38" s="3">
        <v>0.1111111111111111</v>
      </c>
      <c r="Z38" s="3">
        <v>0.22222222222222221</v>
      </c>
      <c r="AA38" s="3">
        <v>0.11</v>
      </c>
      <c r="AB38" s="3">
        <v>1</v>
      </c>
      <c r="AC38" s="3">
        <v>0.27272727272727271</v>
      </c>
      <c r="AD38" s="3">
        <v>0.27272727272727271</v>
      </c>
      <c r="AE38" s="3">
        <v>9.0909090909090912E-2</v>
      </c>
      <c r="AF38" s="3">
        <v>0.18181818181818182</v>
      </c>
      <c r="AG38" s="3">
        <v>0.18181818181818182</v>
      </c>
      <c r="AH38" s="3">
        <v>0.36999999999999983</v>
      </c>
      <c r="AI38" s="3">
        <v>0.99999999999999956</v>
      </c>
      <c r="AJ38" s="3">
        <v>5.4054054054054036E-2</v>
      </c>
      <c r="AK38" s="3">
        <v>5.4054054054054036E-2</v>
      </c>
      <c r="AL38" s="3">
        <v>2.7027027027027018E-2</v>
      </c>
      <c r="AM38" s="3">
        <v>8.1081081081081058E-2</v>
      </c>
      <c r="AN38" s="3">
        <v>8.1081081081081058E-2</v>
      </c>
      <c r="AO38" s="3">
        <v>6.7567567567567557E-2</v>
      </c>
      <c r="AP38" s="3">
        <v>5.4054054054054036E-2</v>
      </c>
      <c r="AQ38" s="3">
        <v>1.3513513513513509E-2</v>
      </c>
      <c r="AR38" s="3">
        <v>4.0540540540540529E-2</v>
      </c>
      <c r="AS38" s="3">
        <v>1.3513513513513509E-2</v>
      </c>
      <c r="AT38" s="3">
        <v>8.1081081081081058E-2</v>
      </c>
      <c r="AU38" s="3">
        <v>5.4054054054054036E-2</v>
      </c>
      <c r="AV38" s="3">
        <v>2.7027027027027018E-2</v>
      </c>
      <c r="AW38" s="3">
        <v>5.4054054054054036E-2</v>
      </c>
      <c r="AX38" s="3">
        <v>5.4054054054054036E-2</v>
      </c>
      <c r="AY38" s="3">
        <v>2.7027027027027018E-2</v>
      </c>
      <c r="AZ38" s="3">
        <v>4.0540540540540529E-2</v>
      </c>
      <c r="BA38" s="3">
        <v>5.4054054054054036E-2</v>
      </c>
      <c r="BB38" s="3">
        <v>8.1081081081081058E-2</v>
      </c>
      <c r="BC38" s="3">
        <v>1.3513513513513509E-2</v>
      </c>
      <c r="BD38" s="3">
        <v>2.7027027027027018E-2</v>
      </c>
      <c r="BE38">
        <v>28.87</v>
      </c>
      <c r="BF38" s="3" t="str">
        <f>+IF(AVANCE[[#This Row],[% AVANCE]]=100%,"MODULO TERMINADO",IF(AVANCE[[#This Row],[FECHA INICIO REAL]]="","MODULO NO INICIADO","PENDIENTE"))</f>
        <v>MODULO TERMINADO</v>
      </c>
      <c r="BG38" s="3">
        <f>+IF(AVANCE[[#This Row],[VENTANAS]]=8.10810810810811%,100%,AVANCE[[#This Row],[VENTANAS]])</f>
        <v>1</v>
      </c>
      <c r="BH38" s="3">
        <f>+IF(AVANCE[[#This Row],[PISO]]=N$2,100%,AVANCE[[#This Row],[PISO]])</f>
        <v>1</v>
      </c>
      <c r="BI38" s="3">
        <f>+IF(AVANCE[[#This Row],[TABIQUES]]=O$2,100%,AVANCE[[#This Row],[TABIQUES]])</f>
        <v>1</v>
      </c>
      <c r="BJ38" s="3">
        <f>+IF(AVANCE[[#This Row],[MUROS]]=P$2,100%,AVANCE[[#This Row],[MUROS]])</f>
        <v>1</v>
      </c>
      <c r="BK38" s="3">
        <f>+IF(AVANCE[[#This Row],[CIELO]]=Q$2,100%,AVANCE[[#This Row],[CIELO]])</f>
        <v>1</v>
      </c>
      <c r="BL38" s="3">
        <f>+IF(AVANCE[[#This Row],[BALCÓN]]=R$2,100%,AVANCE[[#This Row],[BALCÓN]])</f>
        <v>1</v>
      </c>
      <c r="BM38" s="3">
        <f>+IF(AVANCE[[#This Row],[RED ALCANTARILLADO]]=U$2,100%,AVANCE[[#This Row],[RED ALCANTARILLADO]])</f>
        <v>1</v>
      </c>
      <c r="BN38" s="3">
        <f>+IF(AVANCE[[#This Row],[RED DE AGUA]]=V$2,100%,AVANCE[[#This Row],[RED DE AGUA]])</f>
        <v>1</v>
      </c>
      <c r="BO38" s="3">
        <f>+IF(AVANCE[[#This Row],[VENTILACIONES]]=W$2,100%,AVANCE[[#This Row],[VENTILACIONES]])</f>
        <v>1</v>
      </c>
      <c r="BP38" s="3">
        <f>+IF(AVANCE[[#This Row],[TINA]]=X$2,100%,AVANCE[[#This Row],[TINA]])</f>
        <v>1</v>
      </c>
      <c r="BQ38" s="3">
        <f>+IF(AVANCE[[#This Row],[WC]]=Y$2,100%,AVANCE[[#This Row],[WC]])</f>
        <v>1</v>
      </c>
      <c r="BR38" s="3">
        <f>+IF(AVANCE[[#This Row],[LAVAMANOS / LAVAPLATOS / LAVADERO]]=Z$2,100%,AVANCE[[#This Row],[LAVAMANOS / LAVAPLATOS / LAVADERO]])</f>
        <v>1</v>
      </c>
      <c r="BS38" s="3">
        <f>+IF(AVANCE[[#This Row],[CANALIZACIÓN]]=AC$2,100%,AVANCE[[#This Row],[CANALIZACIÓN]])</f>
        <v>1</v>
      </c>
      <c r="BT38" s="3">
        <f>+IF(AVANCE[[#This Row],[CABLEADO]]=AD$2,100%,AVANCE[[#This Row],[CABLEADO]])</f>
        <v>1</v>
      </c>
      <c r="BU38" s="3">
        <f>+IF(AVANCE[[#This Row],[ARTEFACTOS]]=AE$2,100%,AVANCE[[#This Row],[ARTEFACTOS]])</f>
        <v>1</v>
      </c>
      <c r="BV38" s="3">
        <f>+IF(AVANCE[[#This Row],[TABLERO]]=AF$2,100%,AVANCE[[#This Row],[TABLERO]])</f>
        <v>1</v>
      </c>
      <c r="BW38" s="3">
        <f>+IF(AVANCE[[#This Row],[CAJA PAU]]=AG$2,100%,AVANCE[[#This Row],[CAJA PAU]])</f>
        <v>1</v>
      </c>
      <c r="BX38" s="3">
        <f>+IF(AVANCE[[#This Row],[INSTALACION VINILICO]]=AJ$2,100%,AVANCE[[#This Row],[INSTALACION VINILICO]])</f>
        <v>1</v>
      </c>
      <c r="BY38" s="3">
        <f>+IF(AVANCE[[#This Row],[OSB CUBIERTA]]=AK$2,100%,AVANCE[[#This Row],[OSB CUBIERTA]])</f>
        <v>1</v>
      </c>
      <c r="BZ38" s="3">
        <f>+IF(AVANCE[[#This Row],[BARANDA BALCON]]=AL$2,100%,AVANCE[[#This Row],[BARANDA BALCON]])</f>
        <v>1</v>
      </c>
      <c r="CA38" s="3">
        <f>+IF(AVANCE[[#This Row],[OSB EXTERIOR]]=AM$2,100%,AVANCE[[#This Row],[OSB EXTERIOR]])</f>
        <v>1</v>
      </c>
      <c r="CB38" s="3">
        <f>+IF(AVANCE[[#This Row],[SMART PANEL]]=AN$2,100%,AVANCE[[#This Row],[SMART PANEL]])</f>
        <v>1</v>
      </c>
      <c r="CC38" s="3">
        <f>+IF(AVANCE[[#This Row],[PINTURA EXTERIOR]]=AO$2,100%,AVANCE[[#This Row],[PINTURA EXTERIOR]])</f>
        <v>1</v>
      </c>
      <c r="CD38" s="3">
        <f>+IF(AVANCE[[#This Row],[ZOCALOS LOGIA]]=AP$2,100%,AVANCE[[#This Row],[ZOCALOS LOGIA]])</f>
        <v>1</v>
      </c>
      <c r="CE38" s="3">
        <f>+IF(AVANCE[[#This Row],[MOLDURAS]]=AQ$2,100%,AVANCE[[#This Row],[MOLDURAS]])</f>
        <v>1</v>
      </c>
      <c r="CF38" s="3">
        <f>+IF(AVANCE[[#This Row],[PILASTREO]]=AR$2,100%,AVANCE[[#This Row],[PILASTREO]])</f>
        <v>1</v>
      </c>
      <c r="CG38" s="3">
        <f>+IF(AVANCE[[#This Row],[CELOSIAS]]=AS$2,100%,AVANCE[[#This Row],[CELOSIAS]])</f>
        <v>1</v>
      </c>
      <c r="CH38" s="3">
        <f>+IF(AVANCE[[#This Row],[VENTANAS]]=AT$2,100%,AVANCE[[#This Row],[VENTANAS]])</f>
        <v>1</v>
      </c>
      <c r="CI38" s="3">
        <f>+IF(AVANCE[[#This Row],[PUERTAS ACCESO - LOGIA - BANO]]=AU$2,100%,AVANCE[[#This Row],[PUERTAS ACCESO - LOGIA - BANO]])</f>
        <v>1</v>
      </c>
      <c r="CJ38" s="3">
        <f>+IF(AVANCE[[#This Row],[CERRADURAS]]=AV$2,100%,AVANCE[[#This Row],[CERRADURAS]])</f>
        <v>1</v>
      </c>
      <c r="CK38" s="3">
        <f>+IF(AVANCE[[#This Row],[REVESTIMIENTO INTERIOR ZONA SECA]]=AW$2,100%,AVANCE[[#This Row],[REVESTIMIENTO INTERIOR ZONA SECA]])</f>
        <v>1</v>
      </c>
      <c r="CL38" s="3">
        <f>+IF(AVANCE[[#This Row],[REVESTIMIENTO INTERIOR ZONAS HUMEDAS]]=AX$2,100%,AVANCE[[#This Row],[REVESTIMIENTO INTERIOR ZONAS HUMEDAS]])</f>
        <v>1</v>
      </c>
      <c r="CM38" s="3">
        <f>+IF(AVANCE[[#This Row],[MEMBRANA CIELO]]=AY$2,100%,AVANCE[[#This Row],[MEMBRANA CIELO]])</f>
        <v>1</v>
      </c>
      <c r="CN38" s="3">
        <f>+IF(AVANCE[[#This Row],[LIMPIEZA FINAL]]=AZ$2,100%,AVANCE[[#This Row],[LIMPIEZA FINAL]])</f>
        <v>1</v>
      </c>
      <c r="CO38" s="3">
        <f>+IF(AVANCE[[#This Row],[PUERTAS DORMITORIO]]=BA$2,100%,AVANCE[[#This Row],[PUERTAS DORMITORIO]])</f>
        <v>1</v>
      </c>
      <c r="CP38" s="3">
        <f>+IF(AVANCE[[#This Row],[REVESTIMIENTO INTERIOR BANO]]=BB$2,100%,AVANCE[[#This Row],[REVESTIMIENTO INTERIOR BANO]])</f>
        <v>1</v>
      </c>
      <c r="CQ38" s="3">
        <f>+IF(AVANCE[[#This Row],[MUEBLE LAVAPLATOS]]=BC$2,100%,AVANCE[[#This Row],[MUEBLE LAVAPLATOS]])</f>
        <v>1</v>
      </c>
      <c r="CR38" s="3">
        <f>+IF(AVANCE[[#This Row],[IMPERMEABILIZACION BANO - COCINA LOGIA]]=BD$2,100%,AVANCE[[#This Row],[IMPERMEABILIZACION BANO - COCINA LOGIA]])</f>
        <v>1</v>
      </c>
      <c r="CS38" s="40">
        <f ca="1">+IF(AVANCE[[#This Row],[ESTADO MODULO]]="PENDIENTE",(TODAY()-AVANCE[[#This Row],[FECHA TERMINO  PLANIFICADO]]),0)</f>
        <v>0</v>
      </c>
      <c r="CT38" s="41" t="str" cm="1">
        <f t="array" ref="CT38">_xlfn.TEXTJOIN(" | ",TRUE,IF(SUMPRODUCT((BG38:CR38&lt;1)*(PARTIDAS!$I$2:$AT$2="OBRA GRUESA"))&gt;0,"OBRA GRUESA: "&amp;_xlfn.TEXTJOIN(", ",TRUE,IF((BG38:CR38&lt;1)*(PARTIDAS!$I$2:$AT$2="OBRA GRUESA"),PARTIDAS!$I$1:$AT$1,"")),""),IF(SUMPRODUCT((BG38:CR38&lt;1)*(PARTIDAS!$I$2:$AT$2="SANITARIOS"))&gt;0,"SANITARIOS: "&amp;_xlfn.TEXTJOIN(", ",TRUE,IF((BG38:CR38&lt;1)*(PARTIDAS!$I$2:$AT$2="SANITARIOS"),PARTIDAS!$I$1:$AT$1,"")),""),IF(SUMPRODUCT((BG38:CR38&lt;1)*(PARTIDAS!$I$2:$AT$2="ELÉCTRICO"))&gt;0,"ELÉCTRICO: "&amp;_xlfn.TEXTJOIN(", ",TRUE,IF((BG38:CR38&lt;1)*(PARTIDAS!$I$2:$AT$2="ELÉCTRICO"),PARTIDAS!$I$1:$AT$1,"")),""),IF(SUMPRODUCT((BG38:CR38&lt;1)*(PARTIDAS!$I$2:$AT$2="TERMINACIONES"))&gt;0,"TERMINACIONES: "&amp;_xlfn.TEXTJOIN(", ",TRUE,IF((BG38:CR38&lt;1)*(PARTIDAS!$I$2:$AT$2="TERMINACIONES"),PARTIDAS!$I$1:$AT$1,"")),""))</f>
        <v/>
      </c>
      <c r="CU38" s="43" t="str" cm="1">
        <f t="array" ref="CU38">_xlfn.TEXTJOIN(", ",TRUE,IF(SUMPRODUCT((BG38:CR38&lt;1)*(PARTIDAS!$I$2:$AT$2="OBRA GRUESA"))&gt;0,"OBRA GRUESA",""),IF(SUMPRODUCT((BG38:CR38&lt;1)*(PARTIDAS!$I$2:$AT$2="SANITARIOS"))&gt;0,"SANITARIOS",""),IF(SUMPRODUCT((BG38:CR38&lt;1)*(PARTIDAS!$I$2:$AT$2="ELÉCTRICO"))&gt;0,"ELÉCTRICO",""),IF(SUMPRODUCT((BG38:CR38&lt;1)*(PARTIDAS!$I$2:$AT$2="TERMINACIONES"))&gt;0,"TERMINACIONES",""))</f>
        <v/>
      </c>
      <c r="CV38" s="44" cm="1">
        <f t="array" ref="CV38">SUMPRODUCT(--(BG38:CR38&lt;1))</f>
        <v>0</v>
      </c>
    </row>
    <row r="39" spans="1:100" hidden="1" x14ac:dyDescent="0.25">
      <c r="A39" t="s">
        <v>91</v>
      </c>
      <c r="B39" t="s">
        <v>97</v>
      </c>
      <c r="C39">
        <v>2302600038</v>
      </c>
      <c r="D39" t="s">
        <v>60</v>
      </c>
      <c r="E39" s="2">
        <v>0.99999999999999978</v>
      </c>
      <c r="F39" s="1">
        <v>46123</v>
      </c>
      <c r="G39" s="1">
        <v>46123</v>
      </c>
      <c r="H39" s="1">
        <v>46190</v>
      </c>
      <c r="I39" s="1">
        <v>46163</v>
      </c>
      <c r="K39" s="1">
        <v>46190</v>
      </c>
      <c r="L39" s="3">
        <v>0.43</v>
      </c>
      <c r="M39" s="3">
        <v>1</v>
      </c>
      <c r="N39" s="3">
        <v>0.27906976744186046</v>
      </c>
      <c r="O39" s="3">
        <v>0.18604651162790697</v>
      </c>
      <c r="P39" s="3">
        <v>0.2558139534883721</v>
      </c>
      <c r="Q39" s="3">
        <v>0.18604651162790697</v>
      </c>
      <c r="R39" s="3">
        <v>9.3023255813953487E-2</v>
      </c>
      <c r="S39" s="3">
        <v>0.09</v>
      </c>
      <c r="T39" s="3">
        <v>1</v>
      </c>
      <c r="U39" s="3">
        <v>0.22222222222222221</v>
      </c>
      <c r="V39" s="3">
        <v>0.22222222222222221</v>
      </c>
      <c r="W39" s="3">
        <v>0.1111111111111111</v>
      </c>
      <c r="X39" s="3">
        <v>0.1111111111111111</v>
      </c>
      <c r="Y39" s="3">
        <v>0.1111111111111111</v>
      </c>
      <c r="Z39" s="3">
        <v>0.22222222222222221</v>
      </c>
      <c r="AA39" s="3">
        <v>0.11</v>
      </c>
      <c r="AB39" s="3">
        <v>1</v>
      </c>
      <c r="AC39" s="3">
        <v>0.27272727272727271</v>
      </c>
      <c r="AD39" s="3">
        <v>0.27272727272727271</v>
      </c>
      <c r="AE39" s="3">
        <v>9.0909090909090912E-2</v>
      </c>
      <c r="AF39" s="3">
        <v>0.18181818181818182</v>
      </c>
      <c r="AG39" s="3">
        <v>0.18181818181818182</v>
      </c>
      <c r="AH39" s="3">
        <v>0.36999999999999983</v>
      </c>
      <c r="AI39" s="3">
        <v>0.99999999999999956</v>
      </c>
      <c r="AJ39" s="3">
        <v>5.4054054054054036E-2</v>
      </c>
      <c r="AK39" s="3">
        <v>5.4054054054054036E-2</v>
      </c>
      <c r="AL39" s="3">
        <v>2.7027027027027018E-2</v>
      </c>
      <c r="AM39" s="3">
        <v>8.1081081081081058E-2</v>
      </c>
      <c r="AN39" s="3">
        <v>8.1081081081081058E-2</v>
      </c>
      <c r="AO39" s="3">
        <v>6.7567567567567557E-2</v>
      </c>
      <c r="AP39" s="3">
        <v>5.4054054054054036E-2</v>
      </c>
      <c r="AQ39" s="3">
        <v>1.3513513513513509E-2</v>
      </c>
      <c r="AR39" s="3">
        <v>4.0540540540540529E-2</v>
      </c>
      <c r="AS39" s="3">
        <v>1.3513513513513509E-2</v>
      </c>
      <c r="AT39" s="3">
        <v>8.1081081081081058E-2</v>
      </c>
      <c r="AU39" s="3">
        <v>5.4054054054054036E-2</v>
      </c>
      <c r="AV39" s="3">
        <v>2.7027027027027018E-2</v>
      </c>
      <c r="AW39" s="3">
        <v>5.4054054054054036E-2</v>
      </c>
      <c r="AX39" s="3">
        <v>5.4054054054054036E-2</v>
      </c>
      <c r="AY39" s="3">
        <v>2.7027027027027018E-2</v>
      </c>
      <c r="AZ39" s="3">
        <v>4.0540540540540529E-2</v>
      </c>
      <c r="BA39" s="3">
        <v>5.4054054054054036E-2</v>
      </c>
      <c r="BB39" s="3">
        <v>8.1081081081081058E-2</v>
      </c>
      <c r="BC39" s="3">
        <v>1.3513513513513509E-2</v>
      </c>
      <c r="BD39" s="3">
        <v>2.7027027027027018E-2</v>
      </c>
      <c r="BE39">
        <v>31.32</v>
      </c>
      <c r="BF39" s="3" t="str">
        <f>+IF(AVANCE[[#This Row],[% AVANCE]]=100%,"MODULO TERMINADO",IF(AVANCE[[#This Row],[FECHA INICIO REAL]]="","MODULO NO INICIADO","PENDIENTE"))</f>
        <v>MODULO TERMINADO</v>
      </c>
      <c r="BG39" s="3">
        <f>+IF(AVANCE[[#This Row],[VENTANAS]]=8.10810810810811%,100%,AVANCE[[#This Row],[VENTANAS]])</f>
        <v>1</v>
      </c>
      <c r="BH39" s="3">
        <f>+IF(AVANCE[[#This Row],[PISO]]=N$2,100%,AVANCE[[#This Row],[PISO]])</f>
        <v>1</v>
      </c>
      <c r="BI39" s="3">
        <f>+IF(AVANCE[[#This Row],[TABIQUES]]=O$2,100%,AVANCE[[#This Row],[TABIQUES]])</f>
        <v>1</v>
      </c>
      <c r="BJ39" s="3">
        <f>+IF(AVANCE[[#This Row],[MUROS]]=P$2,100%,AVANCE[[#This Row],[MUROS]])</f>
        <v>1</v>
      </c>
      <c r="BK39" s="3">
        <f>+IF(AVANCE[[#This Row],[CIELO]]=Q$2,100%,AVANCE[[#This Row],[CIELO]])</f>
        <v>1</v>
      </c>
      <c r="BL39" s="3">
        <f>+IF(AVANCE[[#This Row],[BALCÓN]]=R$2,100%,AVANCE[[#This Row],[BALCÓN]])</f>
        <v>1</v>
      </c>
      <c r="BM39" s="3">
        <f>+IF(AVANCE[[#This Row],[RED ALCANTARILLADO]]=U$2,100%,AVANCE[[#This Row],[RED ALCANTARILLADO]])</f>
        <v>1</v>
      </c>
      <c r="BN39" s="3">
        <f>+IF(AVANCE[[#This Row],[RED DE AGUA]]=V$2,100%,AVANCE[[#This Row],[RED DE AGUA]])</f>
        <v>1</v>
      </c>
      <c r="BO39" s="3">
        <f>+IF(AVANCE[[#This Row],[VENTILACIONES]]=W$2,100%,AVANCE[[#This Row],[VENTILACIONES]])</f>
        <v>1</v>
      </c>
      <c r="BP39" s="3">
        <f>+IF(AVANCE[[#This Row],[TINA]]=X$2,100%,AVANCE[[#This Row],[TINA]])</f>
        <v>1</v>
      </c>
      <c r="BQ39" s="3">
        <f>+IF(AVANCE[[#This Row],[WC]]=Y$2,100%,AVANCE[[#This Row],[WC]])</f>
        <v>1</v>
      </c>
      <c r="BR39" s="3">
        <f>+IF(AVANCE[[#This Row],[LAVAMANOS / LAVAPLATOS / LAVADERO]]=Z$2,100%,AVANCE[[#This Row],[LAVAMANOS / LAVAPLATOS / LAVADERO]])</f>
        <v>1</v>
      </c>
      <c r="BS39" s="3">
        <f>+IF(AVANCE[[#This Row],[CANALIZACIÓN]]=AC$2,100%,AVANCE[[#This Row],[CANALIZACIÓN]])</f>
        <v>1</v>
      </c>
      <c r="BT39" s="3">
        <f>+IF(AVANCE[[#This Row],[CABLEADO]]=AD$2,100%,AVANCE[[#This Row],[CABLEADO]])</f>
        <v>1</v>
      </c>
      <c r="BU39" s="3">
        <f>+IF(AVANCE[[#This Row],[ARTEFACTOS]]=AE$2,100%,AVANCE[[#This Row],[ARTEFACTOS]])</f>
        <v>1</v>
      </c>
      <c r="BV39" s="3">
        <f>+IF(AVANCE[[#This Row],[TABLERO]]=AF$2,100%,AVANCE[[#This Row],[TABLERO]])</f>
        <v>1</v>
      </c>
      <c r="BW39" s="3">
        <f>+IF(AVANCE[[#This Row],[CAJA PAU]]=AG$2,100%,AVANCE[[#This Row],[CAJA PAU]])</f>
        <v>1</v>
      </c>
      <c r="BX39" s="3">
        <f>+IF(AVANCE[[#This Row],[INSTALACION VINILICO]]=AJ$2,100%,AVANCE[[#This Row],[INSTALACION VINILICO]])</f>
        <v>1</v>
      </c>
      <c r="BY39" s="3">
        <f>+IF(AVANCE[[#This Row],[OSB CUBIERTA]]=AK$2,100%,AVANCE[[#This Row],[OSB CUBIERTA]])</f>
        <v>1</v>
      </c>
      <c r="BZ39" s="3">
        <f>+IF(AVANCE[[#This Row],[BARANDA BALCON]]=AL$2,100%,AVANCE[[#This Row],[BARANDA BALCON]])</f>
        <v>1</v>
      </c>
      <c r="CA39" s="3">
        <f>+IF(AVANCE[[#This Row],[OSB EXTERIOR]]=AM$2,100%,AVANCE[[#This Row],[OSB EXTERIOR]])</f>
        <v>1</v>
      </c>
      <c r="CB39" s="3">
        <f>+IF(AVANCE[[#This Row],[SMART PANEL]]=AN$2,100%,AVANCE[[#This Row],[SMART PANEL]])</f>
        <v>1</v>
      </c>
      <c r="CC39" s="3">
        <f>+IF(AVANCE[[#This Row],[PINTURA EXTERIOR]]=AO$2,100%,AVANCE[[#This Row],[PINTURA EXTERIOR]])</f>
        <v>1</v>
      </c>
      <c r="CD39" s="3">
        <f>+IF(AVANCE[[#This Row],[ZOCALOS LOGIA]]=AP$2,100%,AVANCE[[#This Row],[ZOCALOS LOGIA]])</f>
        <v>1</v>
      </c>
      <c r="CE39" s="3">
        <f>+IF(AVANCE[[#This Row],[MOLDURAS]]=AQ$2,100%,AVANCE[[#This Row],[MOLDURAS]])</f>
        <v>1</v>
      </c>
      <c r="CF39" s="3">
        <f>+IF(AVANCE[[#This Row],[PILASTREO]]=AR$2,100%,AVANCE[[#This Row],[PILASTREO]])</f>
        <v>1</v>
      </c>
      <c r="CG39" s="3">
        <f>+IF(AVANCE[[#This Row],[CELOSIAS]]=AS$2,100%,AVANCE[[#This Row],[CELOSIAS]])</f>
        <v>1</v>
      </c>
      <c r="CH39" s="3">
        <f>+IF(AVANCE[[#This Row],[VENTANAS]]=AT$2,100%,AVANCE[[#This Row],[VENTANAS]])</f>
        <v>1</v>
      </c>
      <c r="CI39" s="3">
        <f>+IF(AVANCE[[#This Row],[PUERTAS ACCESO - LOGIA - BANO]]=AU$2,100%,AVANCE[[#This Row],[PUERTAS ACCESO - LOGIA - BANO]])</f>
        <v>1</v>
      </c>
      <c r="CJ39" s="3">
        <f>+IF(AVANCE[[#This Row],[CERRADURAS]]=AV$2,100%,AVANCE[[#This Row],[CERRADURAS]])</f>
        <v>1</v>
      </c>
      <c r="CK39" s="3">
        <f>+IF(AVANCE[[#This Row],[REVESTIMIENTO INTERIOR ZONA SECA]]=AW$2,100%,AVANCE[[#This Row],[REVESTIMIENTO INTERIOR ZONA SECA]])</f>
        <v>1</v>
      </c>
      <c r="CL39" s="3">
        <f>+IF(AVANCE[[#This Row],[REVESTIMIENTO INTERIOR ZONAS HUMEDAS]]=AX$2,100%,AVANCE[[#This Row],[REVESTIMIENTO INTERIOR ZONAS HUMEDAS]])</f>
        <v>1</v>
      </c>
      <c r="CM39" s="3">
        <f>+IF(AVANCE[[#This Row],[MEMBRANA CIELO]]=AY$2,100%,AVANCE[[#This Row],[MEMBRANA CIELO]])</f>
        <v>1</v>
      </c>
      <c r="CN39" s="3">
        <f>+IF(AVANCE[[#This Row],[LIMPIEZA FINAL]]=AZ$2,100%,AVANCE[[#This Row],[LIMPIEZA FINAL]])</f>
        <v>1</v>
      </c>
      <c r="CO39" s="3">
        <f>+IF(AVANCE[[#This Row],[PUERTAS DORMITORIO]]=BA$2,100%,AVANCE[[#This Row],[PUERTAS DORMITORIO]])</f>
        <v>1</v>
      </c>
      <c r="CP39" s="3">
        <f>+IF(AVANCE[[#This Row],[REVESTIMIENTO INTERIOR BANO]]=BB$2,100%,AVANCE[[#This Row],[REVESTIMIENTO INTERIOR BANO]])</f>
        <v>1</v>
      </c>
      <c r="CQ39" s="3">
        <f>+IF(AVANCE[[#This Row],[MUEBLE LAVAPLATOS]]=BC$2,100%,AVANCE[[#This Row],[MUEBLE LAVAPLATOS]])</f>
        <v>1</v>
      </c>
      <c r="CR39" s="3">
        <f>+IF(AVANCE[[#This Row],[IMPERMEABILIZACION BANO - COCINA LOGIA]]=BD$2,100%,AVANCE[[#This Row],[IMPERMEABILIZACION BANO - COCINA LOGIA]])</f>
        <v>1</v>
      </c>
      <c r="CS39" s="40">
        <f ca="1">+IF(AVANCE[[#This Row],[ESTADO MODULO]]="PENDIENTE",(TODAY()-AVANCE[[#This Row],[FECHA TERMINO  PLANIFICADO]]),0)</f>
        <v>0</v>
      </c>
      <c r="CT39" s="41" t="str" cm="1">
        <f t="array" ref="CT39">_xlfn.TEXTJOIN(" | ",TRUE,IF(SUMPRODUCT((BG39:CR39&lt;1)*(PARTIDAS!$I$2:$AT$2="OBRA GRUESA"))&gt;0,"OBRA GRUESA: "&amp;_xlfn.TEXTJOIN(", ",TRUE,IF((BG39:CR39&lt;1)*(PARTIDAS!$I$2:$AT$2="OBRA GRUESA"),PARTIDAS!$I$1:$AT$1,"")),""),IF(SUMPRODUCT((BG39:CR39&lt;1)*(PARTIDAS!$I$2:$AT$2="SANITARIOS"))&gt;0,"SANITARIOS: "&amp;_xlfn.TEXTJOIN(", ",TRUE,IF((BG39:CR39&lt;1)*(PARTIDAS!$I$2:$AT$2="SANITARIOS"),PARTIDAS!$I$1:$AT$1,"")),""),IF(SUMPRODUCT((BG39:CR39&lt;1)*(PARTIDAS!$I$2:$AT$2="ELÉCTRICO"))&gt;0,"ELÉCTRICO: "&amp;_xlfn.TEXTJOIN(", ",TRUE,IF((BG39:CR39&lt;1)*(PARTIDAS!$I$2:$AT$2="ELÉCTRICO"),PARTIDAS!$I$1:$AT$1,"")),""),IF(SUMPRODUCT((BG39:CR39&lt;1)*(PARTIDAS!$I$2:$AT$2="TERMINACIONES"))&gt;0,"TERMINACIONES: "&amp;_xlfn.TEXTJOIN(", ",TRUE,IF((BG39:CR39&lt;1)*(PARTIDAS!$I$2:$AT$2="TERMINACIONES"),PARTIDAS!$I$1:$AT$1,"")),""))</f>
        <v/>
      </c>
      <c r="CU39" s="43" t="str" cm="1">
        <f t="array" ref="CU39">_xlfn.TEXTJOIN(", ",TRUE,IF(SUMPRODUCT((BG39:CR39&lt;1)*(PARTIDAS!$I$2:$AT$2="OBRA GRUESA"))&gt;0,"OBRA GRUESA",""),IF(SUMPRODUCT((BG39:CR39&lt;1)*(PARTIDAS!$I$2:$AT$2="SANITARIOS"))&gt;0,"SANITARIOS",""),IF(SUMPRODUCT((BG39:CR39&lt;1)*(PARTIDAS!$I$2:$AT$2="ELÉCTRICO"))&gt;0,"ELÉCTRICO",""),IF(SUMPRODUCT((BG39:CR39&lt;1)*(PARTIDAS!$I$2:$AT$2="TERMINACIONES"))&gt;0,"TERMINACIONES",""))</f>
        <v/>
      </c>
      <c r="CV39" s="44" cm="1">
        <f t="array" ref="CV39">SUMPRODUCT(--(BG39:CR39&lt;1))</f>
        <v>0</v>
      </c>
    </row>
    <row r="40" spans="1:100" hidden="1" x14ac:dyDescent="0.25">
      <c r="A40" t="s">
        <v>91</v>
      </c>
      <c r="B40" t="s">
        <v>98</v>
      </c>
      <c r="C40">
        <v>2302600039</v>
      </c>
      <c r="D40" t="s">
        <v>60</v>
      </c>
      <c r="E40" s="2">
        <v>0.99999999999999978</v>
      </c>
      <c r="F40" s="1">
        <v>46119</v>
      </c>
      <c r="G40" s="1">
        <v>46119</v>
      </c>
      <c r="H40" s="1">
        <v>46195</v>
      </c>
      <c r="I40" s="1">
        <v>46159</v>
      </c>
      <c r="K40" s="1">
        <v>46195</v>
      </c>
      <c r="L40" s="3">
        <v>0.43</v>
      </c>
      <c r="M40" s="3">
        <v>1</v>
      </c>
      <c r="N40" s="3">
        <v>0.27906976744186046</v>
      </c>
      <c r="O40" s="3">
        <v>0.18604651162790697</v>
      </c>
      <c r="P40" s="3">
        <v>0.2558139534883721</v>
      </c>
      <c r="Q40" s="3">
        <v>0.18604651162790697</v>
      </c>
      <c r="R40" s="3">
        <v>9.3023255813953487E-2</v>
      </c>
      <c r="S40" s="3">
        <v>0.09</v>
      </c>
      <c r="T40" s="3">
        <v>1</v>
      </c>
      <c r="U40" s="3">
        <v>0.22222222222222221</v>
      </c>
      <c r="V40" s="3">
        <v>0.22222222222222221</v>
      </c>
      <c r="W40" s="3">
        <v>0.1111111111111111</v>
      </c>
      <c r="X40" s="3">
        <v>0.1111111111111111</v>
      </c>
      <c r="Y40" s="3">
        <v>0.1111111111111111</v>
      </c>
      <c r="Z40" s="3">
        <v>0.22222222222222221</v>
      </c>
      <c r="AA40" s="3">
        <v>0.11</v>
      </c>
      <c r="AB40" s="3">
        <v>1</v>
      </c>
      <c r="AC40" s="3">
        <v>0.27272727272727271</v>
      </c>
      <c r="AD40" s="3">
        <v>0.27272727272727271</v>
      </c>
      <c r="AE40" s="3">
        <v>9.0909090909090912E-2</v>
      </c>
      <c r="AF40" s="3">
        <v>0.18181818181818182</v>
      </c>
      <c r="AG40" s="3">
        <v>0.18181818181818182</v>
      </c>
      <c r="AH40" s="3">
        <v>0.36999999999999983</v>
      </c>
      <c r="AI40" s="3">
        <v>0.99999999999999956</v>
      </c>
      <c r="AJ40" s="3">
        <v>5.4054054054054036E-2</v>
      </c>
      <c r="AK40" s="3">
        <v>5.4054054054054036E-2</v>
      </c>
      <c r="AL40" s="3">
        <v>2.7027027027027018E-2</v>
      </c>
      <c r="AM40" s="3">
        <v>8.1081081081081058E-2</v>
      </c>
      <c r="AN40" s="3">
        <v>8.1081081081081058E-2</v>
      </c>
      <c r="AO40" s="3">
        <v>6.7567567567567557E-2</v>
      </c>
      <c r="AP40" s="3">
        <v>5.4054054054054036E-2</v>
      </c>
      <c r="AQ40" s="3">
        <v>1.3513513513513509E-2</v>
      </c>
      <c r="AR40" s="3">
        <v>4.0540540540540529E-2</v>
      </c>
      <c r="AS40" s="3">
        <v>1.3513513513513509E-2</v>
      </c>
      <c r="AT40" s="3">
        <v>8.1081081081081058E-2</v>
      </c>
      <c r="AU40" s="3">
        <v>5.4054054054054036E-2</v>
      </c>
      <c r="AV40" s="3">
        <v>2.7027027027027018E-2</v>
      </c>
      <c r="AW40" s="3">
        <v>5.4054054054054036E-2</v>
      </c>
      <c r="AX40" s="3">
        <v>5.4054054054054036E-2</v>
      </c>
      <c r="AY40" s="3">
        <v>2.7027027027027018E-2</v>
      </c>
      <c r="AZ40" s="3">
        <v>4.0540540540540529E-2</v>
      </c>
      <c r="BA40" s="3">
        <v>5.4054054054054036E-2</v>
      </c>
      <c r="BB40" s="3">
        <v>8.1081081081081058E-2</v>
      </c>
      <c r="BC40" s="3">
        <v>1.3513513513513509E-2</v>
      </c>
      <c r="BD40" s="3">
        <v>2.7027027027027018E-2</v>
      </c>
      <c r="BE40">
        <v>31.32</v>
      </c>
      <c r="BF40" s="3" t="str">
        <f>+IF(AVANCE[[#This Row],[% AVANCE]]=100%,"MODULO TERMINADO",IF(AVANCE[[#This Row],[FECHA INICIO REAL]]="","MODULO NO INICIADO","PENDIENTE"))</f>
        <v>MODULO TERMINADO</v>
      </c>
      <c r="BG40" s="3">
        <f>+IF(AVANCE[[#This Row],[VENTANAS]]=8.10810810810811%,100%,AVANCE[[#This Row],[VENTANAS]])</f>
        <v>1</v>
      </c>
      <c r="BH40" s="3">
        <f>+IF(AVANCE[[#This Row],[PISO]]=N$2,100%,AVANCE[[#This Row],[PISO]])</f>
        <v>1</v>
      </c>
      <c r="BI40" s="3">
        <f>+IF(AVANCE[[#This Row],[TABIQUES]]=O$2,100%,AVANCE[[#This Row],[TABIQUES]])</f>
        <v>1</v>
      </c>
      <c r="BJ40" s="3">
        <f>+IF(AVANCE[[#This Row],[MUROS]]=P$2,100%,AVANCE[[#This Row],[MUROS]])</f>
        <v>1</v>
      </c>
      <c r="BK40" s="3">
        <f>+IF(AVANCE[[#This Row],[CIELO]]=Q$2,100%,AVANCE[[#This Row],[CIELO]])</f>
        <v>1</v>
      </c>
      <c r="BL40" s="3">
        <f>+IF(AVANCE[[#This Row],[BALCÓN]]=R$2,100%,AVANCE[[#This Row],[BALCÓN]])</f>
        <v>1</v>
      </c>
      <c r="BM40" s="3">
        <f>+IF(AVANCE[[#This Row],[RED ALCANTARILLADO]]=U$2,100%,AVANCE[[#This Row],[RED ALCANTARILLADO]])</f>
        <v>1</v>
      </c>
      <c r="BN40" s="3">
        <f>+IF(AVANCE[[#This Row],[RED DE AGUA]]=V$2,100%,AVANCE[[#This Row],[RED DE AGUA]])</f>
        <v>1</v>
      </c>
      <c r="BO40" s="3">
        <f>+IF(AVANCE[[#This Row],[VENTILACIONES]]=W$2,100%,AVANCE[[#This Row],[VENTILACIONES]])</f>
        <v>1</v>
      </c>
      <c r="BP40" s="3">
        <f>+IF(AVANCE[[#This Row],[TINA]]=X$2,100%,AVANCE[[#This Row],[TINA]])</f>
        <v>1</v>
      </c>
      <c r="BQ40" s="3">
        <f>+IF(AVANCE[[#This Row],[WC]]=Y$2,100%,AVANCE[[#This Row],[WC]])</f>
        <v>1</v>
      </c>
      <c r="BR40" s="3">
        <f>+IF(AVANCE[[#This Row],[LAVAMANOS / LAVAPLATOS / LAVADERO]]=Z$2,100%,AVANCE[[#This Row],[LAVAMANOS / LAVAPLATOS / LAVADERO]])</f>
        <v>1</v>
      </c>
      <c r="BS40" s="3">
        <f>+IF(AVANCE[[#This Row],[CANALIZACIÓN]]=AC$2,100%,AVANCE[[#This Row],[CANALIZACIÓN]])</f>
        <v>1</v>
      </c>
      <c r="BT40" s="3">
        <f>+IF(AVANCE[[#This Row],[CABLEADO]]=AD$2,100%,AVANCE[[#This Row],[CABLEADO]])</f>
        <v>1</v>
      </c>
      <c r="BU40" s="3">
        <f>+IF(AVANCE[[#This Row],[ARTEFACTOS]]=AE$2,100%,AVANCE[[#This Row],[ARTEFACTOS]])</f>
        <v>1</v>
      </c>
      <c r="BV40" s="3">
        <f>+IF(AVANCE[[#This Row],[TABLERO]]=AF$2,100%,AVANCE[[#This Row],[TABLERO]])</f>
        <v>1</v>
      </c>
      <c r="BW40" s="3">
        <f>+IF(AVANCE[[#This Row],[CAJA PAU]]=AG$2,100%,AVANCE[[#This Row],[CAJA PAU]])</f>
        <v>1</v>
      </c>
      <c r="BX40" s="3">
        <f>+IF(AVANCE[[#This Row],[INSTALACION VINILICO]]=AJ$2,100%,AVANCE[[#This Row],[INSTALACION VINILICO]])</f>
        <v>1</v>
      </c>
      <c r="BY40" s="3">
        <f>+IF(AVANCE[[#This Row],[OSB CUBIERTA]]=AK$2,100%,AVANCE[[#This Row],[OSB CUBIERTA]])</f>
        <v>1</v>
      </c>
      <c r="BZ40" s="3">
        <f>+IF(AVANCE[[#This Row],[BARANDA BALCON]]=AL$2,100%,AVANCE[[#This Row],[BARANDA BALCON]])</f>
        <v>1</v>
      </c>
      <c r="CA40" s="3">
        <f>+IF(AVANCE[[#This Row],[OSB EXTERIOR]]=AM$2,100%,AVANCE[[#This Row],[OSB EXTERIOR]])</f>
        <v>1</v>
      </c>
      <c r="CB40" s="3">
        <f>+IF(AVANCE[[#This Row],[SMART PANEL]]=AN$2,100%,AVANCE[[#This Row],[SMART PANEL]])</f>
        <v>1</v>
      </c>
      <c r="CC40" s="3">
        <f>+IF(AVANCE[[#This Row],[PINTURA EXTERIOR]]=AO$2,100%,AVANCE[[#This Row],[PINTURA EXTERIOR]])</f>
        <v>1</v>
      </c>
      <c r="CD40" s="3">
        <f>+IF(AVANCE[[#This Row],[ZOCALOS LOGIA]]=AP$2,100%,AVANCE[[#This Row],[ZOCALOS LOGIA]])</f>
        <v>1</v>
      </c>
      <c r="CE40" s="3">
        <f>+IF(AVANCE[[#This Row],[MOLDURAS]]=AQ$2,100%,AVANCE[[#This Row],[MOLDURAS]])</f>
        <v>1</v>
      </c>
      <c r="CF40" s="3">
        <f>+IF(AVANCE[[#This Row],[PILASTREO]]=AR$2,100%,AVANCE[[#This Row],[PILASTREO]])</f>
        <v>1</v>
      </c>
      <c r="CG40" s="3">
        <f>+IF(AVANCE[[#This Row],[CELOSIAS]]=AS$2,100%,AVANCE[[#This Row],[CELOSIAS]])</f>
        <v>1</v>
      </c>
      <c r="CH40" s="3">
        <f>+IF(AVANCE[[#This Row],[VENTANAS]]=AT$2,100%,AVANCE[[#This Row],[VENTANAS]])</f>
        <v>1</v>
      </c>
      <c r="CI40" s="3">
        <f>+IF(AVANCE[[#This Row],[PUERTAS ACCESO - LOGIA - BANO]]=AU$2,100%,AVANCE[[#This Row],[PUERTAS ACCESO - LOGIA - BANO]])</f>
        <v>1</v>
      </c>
      <c r="CJ40" s="3">
        <f>+IF(AVANCE[[#This Row],[CERRADURAS]]=AV$2,100%,AVANCE[[#This Row],[CERRADURAS]])</f>
        <v>1</v>
      </c>
      <c r="CK40" s="3">
        <f>+IF(AVANCE[[#This Row],[REVESTIMIENTO INTERIOR ZONA SECA]]=AW$2,100%,AVANCE[[#This Row],[REVESTIMIENTO INTERIOR ZONA SECA]])</f>
        <v>1</v>
      </c>
      <c r="CL40" s="3">
        <f>+IF(AVANCE[[#This Row],[REVESTIMIENTO INTERIOR ZONAS HUMEDAS]]=AX$2,100%,AVANCE[[#This Row],[REVESTIMIENTO INTERIOR ZONAS HUMEDAS]])</f>
        <v>1</v>
      </c>
      <c r="CM40" s="3">
        <f>+IF(AVANCE[[#This Row],[MEMBRANA CIELO]]=AY$2,100%,AVANCE[[#This Row],[MEMBRANA CIELO]])</f>
        <v>1</v>
      </c>
      <c r="CN40" s="3">
        <f>+IF(AVANCE[[#This Row],[LIMPIEZA FINAL]]=AZ$2,100%,AVANCE[[#This Row],[LIMPIEZA FINAL]])</f>
        <v>1</v>
      </c>
      <c r="CO40" s="3">
        <f>+IF(AVANCE[[#This Row],[PUERTAS DORMITORIO]]=BA$2,100%,AVANCE[[#This Row],[PUERTAS DORMITORIO]])</f>
        <v>1</v>
      </c>
      <c r="CP40" s="3">
        <f>+IF(AVANCE[[#This Row],[REVESTIMIENTO INTERIOR BANO]]=BB$2,100%,AVANCE[[#This Row],[REVESTIMIENTO INTERIOR BANO]])</f>
        <v>1</v>
      </c>
      <c r="CQ40" s="3">
        <f>+IF(AVANCE[[#This Row],[MUEBLE LAVAPLATOS]]=BC$2,100%,AVANCE[[#This Row],[MUEBLE LAVAPLATOS]])</f>
        <v>1</v>
      </c>
      <c r="CR40" s="3">
        <f>+IF(AVANCE[[#This Row],[IMPERMEABILIZACION BANO - COCINA LOGIA]]=BD$2,100%,AVANCE[[#This Row],[IMPERMEABILIZACION BANO - COCINA LOGIA]])</f>
        <v>1</v>
      </c>
      <c r="CS40" s="40">
        <f ca="1">+IF(AVANCE[[#This Row],[ESTADO MODULO]]="PENDIENTE",(TODAY()-AVANCE[[#This Row],[FECHA TERMINO  PLANIFICADO]]),0)</f>
        <v>0</v>
      </c>
      <c r="CT40" s="41" t="str" cm="1">
        <f t="array" ref="CT40">_xlfn.TEXTJOIN(" | ",TRUE,IF(SUMPRODUCT((BG40:CR40&lt;1)*(PARTIDAS!$I$2:$AT$2="OBRA GRUESA"))&gt;0,"OBRA GRUESA: "&amp;_xlfn.TEXTJOIN(", ",TRUE,IF((BG40:CR40&lt;1)*(PARTIDAS!$I$2:$AT$2="OBRA GRUESA"),PARTIDAS!$I$1:$AT$1,"")),""),IF(SUMPRODUCT((BG40:CR40&lt;1)*(PARTIDAS!$I$2:$AT$2="SANITARIOS"))&gt;0,"SANITARIOS: "&amp;_xlfn.TEXTJOIN(", ",TRUE,IF((BG40:CR40&lt;1)*(PARTIDAS!$I$2:$AT$2="SANITARIOS"),PARTIDAS!$I$1:$AT$1,"")),""),IF(SUMPRODUCT((BG40:CR40&lt;1)*(PARTIDAS!$I$2:$AT$2="ELÉCTRICO"))&gt;0,"ELÉCTRICO: "&amp;_xlfn.TEXTJOIN(", ",TRUE,IF((BG40:CR40&lt;1)*(PARTIDAS!$I$2:$AT$2="ELÉCTRICO"),PARTIDAS!$I$1:$AT$1,"")),""),IF(SUMPRODUCT((BG40:CR40&lt;1)*(PARTIDAS!$I$2:$AT$2="TERMINACIONES"))&gt;0,"TERMINACIONES: "&amp;_xlfn.TEXTJOIN(", ",TRUE,IF((BG40:CR40&lt;1)*(PARTIDAS!$I$2:$AT$2="TERMINACIONES"),PARTIDAS!$I$1:$AT$1,"")),""))</f>
        <v/>
      </c>
      <c r="CU40" s="43" t="str" cm="1">
        <f t="array" ref="CU40">_xlfn.TEXTJOIN(", ",TRUE,IF(SUMPRODUCT((BG40:CR40&lt;1)*(PARTIDAS!$I$2:$AT$2="OBRA GRUESA"))&gt;0,"OBRA GRUESA",""),IF(SUMPRODUCT((BG40:CR40&lt;1)*(PARTIDAS!$I$2:$AT$2="SANITARIOS"))&gt;0,"SANITARIOS",""),IF(SUMPRODUCT((BG40:CR40&lt;1)*(PARTIDAS!$I$2:$AT$2="ELÉCTRICO"))&gt;0,"ELÉCTRICO",""),IF(SUMPRODUCT((BG40:CR40&lt;1)*(PARTIDAS!$I$2:$AT$2="TERMINACIONES"))&gt;0,"TERMINACIONES",""))</f>
        <v/>
      </c>
      <c r="CV40" s="44" cm="1">
        <f t="array" ref="CV40">SUMPRODUCT(--(BG40:CR40&lt;1))</f>
        <v>0</v>
      </c>
    </row>
    <row r="41" spans="1:100" hidden="1" x14ac:dyDescent="0.25">
      <c r="A41" t="s">
        <v>91</v>
      </c>
      <c r="B41" t="s">
        <v>99</v>
      </c>
      <c r="C41">
        <v>2282600040</v>
      </c>
      <c r="D41" t="s">
        <v>58</v>
      </c>
      <c r="E41" s="2">
        <v>0.99999999999999978</v>
      </c>
      <c r="F41" s="1">
        <v>46119</v>
      </c>
      <c r="G41" s="1">
        <v>46119</v>
      </c>
      <c r="H41" s="1">
        <v>46185</v>
      </c>
      <c r="I41" s="1">
        <v>46148</v>
      </c>
      <c r="K41" s="1">
        <v>46185</v>
      </c>
      <c r="L41" s="3">
        <v>0.43</v>
      </c>
      <c r="M41" s="3">
        <v>1</v>
      </c>
      <c r="N41" s="3">
        <v>0.27906976744186046</v>
      </c>
      <c r="O41" s="3">
        <v>0.18604651162790697</v>
      </c>
      <c r="P41" s="3">
        <v>0.2558139534883721</v>
      </c>
      <c r="Q41" s="3">
        <v>0.18604651162790697</v>
      </c>
      <c r="R41" s="3">
        <v>9.3023255813953487E-2</v>
      </c>
      <c r="S41" s="3">
        <v>0.09</v>
      </c>
      <c r="T41" s="3">
        <v>1</v>
      </c>
      <c r="U41" s="3">
        <v>0.22222222222222221</v>
      </c>
      <c r="V41" s="3">
        <v>0.22222222222222221</v>
      </c>
      <c r="W41" s="3">
        <v>0.1111111111111111</v>
      </c>
      <c r="X41" s="3">
        <v>0.1111111111111111</v>
      </c>
      <c r="Y41" s="3">
        <v>0.1111111111111111</v>
      </c>
      <c r="Z41" s="3">
        <v>0.22222222222222221</v>
      </c>
      <c r="AA41" s="3">
        <v>0.11</v>
      </c>
      <c r="AB41" s="3">
        <v>1</v>
      </c>
      <c r="AC41" s="3">
        <v>0.27272727272727271</v>
      </c>
      <c r="AD41" s="3">
        <v>0.27272727272727271</v>
      </c>
      <c r="AE41" s="3">
        <v>9.0909090909090912E-2</v>
      </c>
      <c r="AF41" s="3">
        <v>0.18181818181818182</v>
      </c>
      <c r="AG41" s="3">
        <v>0.18181818181818182</v>
      </c>
      <c r="AH41" s="3">
        <v>0.36999999999999983</v>
      </c>
      <c r="AI41" s="3">
        <v>0.99999999999999956</v>
      </c>
      <c r="AJ41" s="3">
        <v>5.4054054054054036E-2</v>
      </c>
      <c r="AK41" s="3">
        <v>5.4054054054054036E-2</v>
      </c>
      <c r="AL41" s="3">
        <v>2.7027027027027018E-2</v>
      </c>
      <c r="AM41" s="3">
        <v>8.1081081081081058E-2</v>
      </c>
      <c r="AN41" s="3">
        <v>8.1081081081081058E-2</v>
      </c>
      <c r="AO41" s="3">
        <v>6.7567567567567557E-2</v>
      </c>
      <c r="AP41" s="3">
        <v>5.4054054054054036E-2</v>
      </c>
      <c r="AQ41" s="3">
        <v>1.3513513513513509E-2</v>
      </c>
      <c r="AR41" s="3">
        <v>4.0540540540540529E-2</v>
      </c>
      <c r="AS41" s="3">
        <v>1.3513513513513509E-2</v>
      </c>
      <c r="AT41" s="3">
        <v>8.1081081081081058E-2</v>
      </c>
      <c r="AU41" s="3">
        <v>5.4054054054054036E-2</v>
      </c>
      <c r="AV41" s="3">
        <v>2.7027027027027018E-2</v>
      </c>
      <c r="AW41" s="3">
        <v>5.4054054054054036E-2</v>
      </c>
      <c r="AX41" s="3">
        <v>5.4054054054054036E-2</v>
      </c>
      <c r="AY41" s="3">
        <v>2.7027027027027018E-2</v>
      </c>
      <c r="AZ41" s="3">
        <v>4.0540540540540529E-2</v>
      </c>
      <c r="BA41" s="3">
        <v>5.4054054054054036E-2</v>
      </c>
      <c r="BB41" s="3">
        <v>8.1081081081081058E-2</v>
      </c>
      <c r="BC41" s="3">
        <v>1.3513513513513509E-2</v>
      </c>
      <c r="BD41" s="3">
        <v>2.7027027027027018E-2</v>
      </c>
      <c r="BE41">
        <v>28.87</v>
      </c>
      <c r="BF41" s="3" t="str">
        <f>+IF(AVANCE[[#This Row],[% AVANCE]]=100%,"MODULO TERMINADO",IF(AVANCE[[#This Row],[FECHA INICIO REAL]]="","MODULO NO INICIADO","PENDIENTE"))</f>
        <v>MODULO TERMINADO</v>
      </c>
      <c r="BG41" s="3">
        <f>+IF(AVANCE[[#This Row],[VENTANAS]]=8.10810810810811%,100%,AVANCE[[#This Row],[VENTANAS]])</f>
        <v>1</v>
      </c>
      <c r="BH41" s="3">
        <f>+IF(AVANCE[[#This Row],[PISO]]=N$2,100%,AVANCE[[#This Row],[PISO]])</f>
        <v>1</v>
      </c>
      <c r="BI41" s="3">
        <f>+IF(AVANCE[[#This Row],[TABIQUES]]=O$2,100%,AVANCE[[#This Row],[TABIQUES]])</f>
        <v>1</v>
      </c>
      <c r="BJ41" s="3">
        <f>+IF(AVANCE[[#This Row],[MUROS]]=P$2,100%,AVANCE[[#This Row],[MUROS]])</f>
        <v>1</v>
      </c>
      <c r="BK41" s="3">
        <f>+IF(AVANCE[[#This Row],[CIELO]]=Q$2,100%,AVANCE[[#This Row],[CIELO]])</f>
        <v>1</v>
      </c>
      <c r="BL41" s="3">
        <f>+IF(AVANCE[[#This Row],[BALCÓN]]=R$2,100%,AVANCE[[#This Row],[BALCÓN]])</f>
        <v>1</v>
      </c>
      <c r="BM41" s="3">
        <f>+IF(AVANCE[[#This Row],[RED ALCANTARILLADO]]=U$2,100%,AVANCE[[#This Row],[RED ALCANTARILLADO]])</f>
        <v>1</v>
      </c>
      <c r="BN41" s="3">
        <f>+IF(AVANCE[[#This Row],[RED DE AGUA]]=V$2,100%,AVANCE[[#This Row],[RED DE AGUA]])</f>
        <v>1</v>
      </c>
      <c r="BO41" s="3">
        <f>+IF(AVANCE[[#This Row],[VENTILACIONES]]=W$2,100%,AVANCE[[#This Row],[VENTILACIONES]])</f>
        <v>1</v>
      </c>
      <c r="BP41" s="3">
        <f>+IF(AVANCE[[#This Row],[TINA]]=X$2,100%,AVANCE[[#This Row],[TINA]])</f>
        <v>1</v>
      </c>
      <c r="BQ41" s="3">
        <f>+IF(AVANCE[[#This Row],[WC]]=Y$2,100%,AVANCE[[#This Row],[WC]])</f>
        <v>1</v>
      </c>
      <c r="BR41" s="3">
        <f>+IF(AVANCE[[#This Row],[LAVAMANOS / LAVAPLATOS / LAVADERO]]=Z$2,100%,AVANCE[[#This Row],[LAVAMANOS / LAVAPLATOS / LAVADERO]])</f>
        <v>1</v>
      </c>
      <c r="BS41" s="3">
        <f>+IF(AVANCE[[#This Row],[CANALIZACIÓN]]=AC$2,100%,AVANCE[[#This Row],[CANALIZACIÓN]])</f>
        <v>1</v>
      </c>
      <c r="BT41" s="3">
        <f>+IF(AVANCE[[#This Row],[CABLEADO]]=AD$2,100%,AVANCE[[#This Row],[CABLEADO]])</f>
        <v>1</v>
      </c>
      <c r="BU41" s="3">
        <f>+IF(AVANCE[[#This Row],[ARTEFACTOS]]=AE$2,100%,AVANCE[[#This Row],[ARTEFACTOS]])</f>
        <v>1</v>
      </c>
      <c r="BV41" s="3">
        <f>+IF(AVANCE[[#This Row],[TABLERO]]=AF$2,100%,AVANCE[[#This Row],[TABLERO]])</f>
        <v>1</v>
      </c>
      <c r="BW41" s="3">
        <f>+IF(AVANCE[[#This Row],[CAJA PAU]]=AG$2,100%,AVANCE[[#This Row],[CAJA PAU]])</f>
        <v>1</v>
      </c>
      <c r="BX41" s="3">
        <f>+IF(AVANCE[[#This Row],[INSTALACION VINILICO]]=AJ$2,100%,AVANCE[[#This Row],[INSTALACION VINILICO]])</f>
        <v>1</v>
      </c>
      <c r="BY41" s="3">
        <f>+IF(AVANCE[[#This Row],[OSB CUBIERTA]]=AK$2,100%,AVANCE[[#This Row],[OSB CUBIERTA]])</f>
        <v>1</v>
      </c>
      <c r="BZ41" s="3">
        <f>+IF(AVANCE[[#This Row],[BARANDA BALCON]]=AL$2,100%,AVANCE[[#This Row],[BARANDA BALCON]])</f>
        <v>1</v>
      </c>
      <c r="CA41" s="3">
        <f>+IF(AVANCE[[#This Row],[OSB EXTERIOR]]=AM$2,100%,AVANCE[[#This Row],[OSB EXTERIOR]])</f>
        <v>1</v>
      </c>
      <c r="CB41" s="3">
        <f>+IF(AVANCE[[#This Row],[SMART PANEL]]=AN$2,100%,AVANCE[[#This Row],[SMART PANEL]])</f>
        <v>1</v>
      </c>
      <c r="CC41" s="3">
        <f>+IF(AVANCE[[#This Row],[PINTURA EXTERIOR]]=AO$2,100%,AVANCE[[#This Row],[PINTURA EXTERIOR]])</f>
        <v>1</v>
      </c>
      <c r="CD41" s="3">
        <f>+IF(AVANCE[[#This Row],[ZOCALOS LOGIA]]=AP$2,100%,AVANCE[[#This Row],[ZOCALOS LOGIA]])</f>
        <v>1</v>
      </c>
      <c r="CE41" s="3">
        <f>+IF(AVANCE[[#This Row],[MOLDURAS]]=AQ$2,100%,AVANCE[[#This Row],[MOLDURAS]])</f>
        <v>1</v>
      </c>
      <c r="CF41" s="3">
        <f>+IF(AVANCE[[#This Row],[PILASTREO]]=AR$2,100%,AVANCE[[#This Row],[PILASTREO]])</f>
        <v>1</v>
      </c>
      <c r="CG41" s="3">
        <f>+IF(AVANCE[[#This Row],[CELOSIAS]]=AS$2,100%,AVANCE[[#This Row],[CELOSIAS]])</f>
        <v>1</v>
      </c>
      <c r="CH41" s="3">
        <f>+IF(AVANCE[[#This Row],[VENTANAS]]=AT$2,100%,AVANCE[[#This Row],[VENTANAS]])</f>
        <v>1</v>
      </c>
      <c r="CI41" s="3">
        <f>+IF(AVANCE[[#This Row],[PUERTAS ACCESO - LOGIA - BANO]]=AU$2,100%,AVANCE[[#This Row],[PUERTAS ACCESO - LOGIA - BANO]])</f>
        <v>1</v>
      </c>
      <c r="CJ41" s="3">
        <f>+IF(AVANCE[[#This Row],[CERRADURAS]]=AV$2,100%,AVANCE[[#This Row],[CERRADURAS]])</f>
        <v>1</v>
      </c>
      <c r="CK41" s="3">
        <f>+IF(AVANCE[[#This Row],[REVESTIMIENTO INTERIOR ZONA SECA]]=AW$2,100%,AVANCE[[#This Row],[REVESTIMIENTO INTERIOR ZONA SECA]])</f>
        <v>1</v>
      </c>
      <c r="CL41" s="3">
        <f>+IF(AVANCE[[#This Row],[REVESTIMIENTO INTERIOR ZONAS HUMEDAS]]=AX$2,100%,AVANCE[[#This Row],[REVESTIMIENTO INTERIOR ZONAS HUMEDAS]])</f>
        <v>1</v>
      </c>
      <c r="CM41" s="3">
        <f>+IF(AVANCE[[#This Row],[MEMBRANA CIELO]]=AY$2,100%,AVANCE[[#This Row],[MEMBRANA CIELO]])</f>
        <v>1</v>
      </c>
      <c r="CN41" s="3">
        <f>+IF(AVANCE[[#This Row],[LIMPIEZA FINAL]]=AZ$2,100%,AVANCE[[#This Row],[LIMPIEZA FINAL]])</f>
        <v>1</v>
      </c>
      <c r="CO41" s="3">
        <f>+IF(AVANCE[[#This Row],[PUERTAS DORMITORIO]]=BA$2,100%,AVANCE[[#This Row],[PUERTAS DORMITORIO]])</f>
        <v>1</v>
      </c>
      <c r="CP41" s="3">
        <f>+IF(AVANCE[[#This Row],[REVESTIMIENTO INTERIOR BANO]]=BB$2,100%,AVANCE[[#This Row],[REVESTIMIENTO INTERIOR BANO]])</f>
        <v>1</v>
      </c>
      <c r="CQ41" s="3">
        <f>+IF(AVANCE[[#This Row],[MUEBLE LAVAPLATOS]]=BC$2,100%,AVANCE[[#This Row],[MUEBLE LAVAPLATOS]])</f>
        <v>1</v>
      </c>
      <c r="CR41" s="3">
        <f>+IF(AVANCE[[#This Row],[IMPERMEABILIZACION BANO - COCINA LOGIA]]=BD$2,100%,AVANCE[[#This Row],[IMPERMEABILIZACION BANO - COCINA LOGIA]])</f>
        <v>1</v>
      </c>
      <c r="CS41" s="40">
        <f ca="1">+IF(AVANCE[[#This Row],[ESTADO MODULO]]="PENDIENTE",(TODAY()-AVANCE[[#This Row],[FECHA TERMINO  PLANIFICADO]]),0)</f>
        <v>0</v>
      </c>
      <c r="CT41" s="41" t="str" cm="1">
        <f t="array" ref="CT41">_xlfn.TEXTJOIN(" | ",TRUE,IF(SUMPRODUCT((BG41:CR41&lt;1)*(PARTIDAS!$I$2:$AT$2="OBRA GRUESA"))&gt;0,"OBRA GRUESA: "&amp;_xlfn.TEXTJOIN(", ",TRUE,IF((BG41:CR41&lt;1)*(PARTIDAS!$I$2:$AT$2="OBRA GRUESA"),PARTIDAS!$I$1:$AT$1,"")),""),IF(SUMPRODUCT((BG41:CR41&lt;1)*(PARTIDAS!$I$2:$AT$2="SANITARIOS"))&gt;0,"SANITARIOS: "&amp;_xlfn.TEXTJOIN(", ",TRUE,IF((BG41:CR41&lt;1)*(PARTIDAS!$I$2:$AT$2="SANITARIOS"),PARTIDAS!$I$1:$AT$1,"")),""),IF(SUMPRODUCT((BG41:CR41&lt;1)*(PARTIDAS!$I$2:$AT$2="ELÉCTRICO"))&gt;0,"ELÉCTRICO: "&amp;_xlfn.TEXTJOIN(", ",TRUE,IF((BG41:CR41&lt;1)*(PARTIDAS!$I$2:$AT$2="ELÉCTRICO"),PARTIDAS!$I$1:$AT$1,"")),""),IF(SUMPRODUCT((BG41:CR41&lt;1)*(PARTIDAS!$I$2:$AT$2="TERMINACIONES"))&gt;0,"TERMINACIONES: "&amp;_xlfn.TEXTJOIN(", ",TRUE,IF((BG41:CR41&lt;1)*(PARTIDAS!$I$2:$AT$2="TERMINACIONES"),PARTIDAS!$I$1:$AT$1,"")),""))</f>
        <v/>
      </c>
      <c r="CU41" s="43" t="str" cm="1">
        <f t="array" ref="CU41">_xlfn.TEXTJOIN(", ",TRUE,IF(SUMPRODUCT((BG41:CR41&lt;1)*(PARTIDAS!$I$2:$AT$2="OBRA GRUESA"))&gt;0,"OBRA GRUESA",""),IF(SUMPRODUCT((BG41:CR41&lt;1)*(PARTIDAS!$I$2:$AT$2="SANITARIOS"))&gt;0,"SANITARIOS",""),IF(SUMPRODUCT((BG41:CR41&lt;1)*(PARTIDAS!$I$2:$AT$2="ELÉCTRICO"))&gt;0,"ELÉCTRICO",""),IF(SUMPRODUCT((BG41:CR41&lt;1)*(PARTIDAS!$I$2:$AT$2="TERMINACIONES"))&gt;0,"TERMINACIONES",""))</f>
        <v/>
      </c>
      <c r="CV41" s="44" cm="1">
        <f t="array" ref="CV41">SUMPRODUCT(--(BG41:CR41&lt;1))</f>
        <v>0</v>
      </c>
    </row>
    <row r="42" spans="1:100" hidden="1" x14ac:dyDescent="0.25">
      <c r="A42" t="s">
        <v>91</v>
      </c>
      <c r="B42" t="s">
        <v>100</v>
      </c>
      <c r="C42">
        <v>2282600041</v>
      </c>
      <c r="D42" t="s">
        <v>58</v>
      </c>
      <c r="E42" s="2">
        <v>0.99999999999999978</v>
      </c>
      <c r="F42" s="1">
        <v>46124</v>
      </c>
      <c r="G42" s="1">
        <v>46124</v>
      </c>
      <c r="H42" s="1">
        <v>46185</v>
      </c>
      <c r="I42" s="1">
        <v>46153</v>
      </c>
      <c r="K42" s="1">
        <v>46185</v>
      </c>
      <c r="L42" s="3">
        <v>0.43</v>
      </c>
      <c r="M42" s="3">
        <v>1</v>
      </c>
      <c r="N42" s="3">
        <v>0.27906976744186046</v>
      </c>
      <c r="O42" s="3">
        <v>0.18604651162790697</v>
      </c>
      <c r="P42" s="3">
        <v>0.2558139534883721</v>
      </c>
      <c r="Q42" s="3">
        <v>0.18604651162790697</v>
      </c>
      <c r="R42" s="3">
        <v>9.3023255813953487E-2</v>
      </c>
      <c r="S42" s="3">
        <v>0.09</v>
      </c>
      <c r="T42" s="3">
        <v>1</v>
      </c>
      <c r="U42" s="3">
        <v>0.22222222222222221</v>
      </c>
      <c r="V42" s="3">
        <v>0.22222222222222221</v>
      </c>
      <c r="W42" s="3">
        <v>0.1111111111111111</v>
      </c>
      <c r="X42" s="3">
        <v>0.1111111111111111</v>
      </c>
      <c r="Y42" s="3">
        <v>0.1111111111111111</v>
      </c>
      <c r="Z42" s="3">
        <v>0.22222222222222221</v>
      </c>
      <c r="AA42" s="3">
        <v>0.11</v>
      </c>
      <c r="AB42" s="3">
        <v>1</v>
      </c>
      <c r="AC42" s="3">
        <v>0.27272727272727271</v>
      </c>
      <c r="AD42" s="3">
        <v>0.27272727272727271</v>
      </c>
      <c r="AE42" s="3">
        <v>9.0909090909090912E-2</v>
      </c>
      <c r="AF42" s="3">
        <v>0.18181818181818182</v>
      </c>
      <c r="AG42" s="3">
        <v>0.18181818181818182</v>
      </c>
      <c r="AH42" s="3">
        <v>0.36999999999999983</v>
      </c>
      <c r="AI42" s="3">
        <v>0.99999999999999956</v>
      </c>
      <c r="AJ42" s="3">
        <v>5.4054054054054036E-2</v>
      </c>
      <c r="AK42" s="3">
        <v>5.4054054054054036E-2</v>
      </c>
      <c r="AL42" s="3">
        <v>2.7027027027027018E-2</v>
      </c>
      <c r="AM42" s="3">
        <v>8.1081081081081058E-2</v>
      </c>
      <c r="AN42" s="3">
        <v>8.1081081081081058E-2</v>
      </c>
      <c r="AO42" s="3">
        <v>6.7567567567567557E-2</v>
      </c>
      <c r="AP42" s="3">
        <v>5.4054054054054036E-2</v>
      </c>
      <c r="AQ42" s="3">
        <v>1.3513513513513509E-2</v>
      </c>
      <c r="AR42" s="3">
        <v>4.0540540540540529E-2</v>
      </c>
      <c r="AS42" s="3">
        <v>1.3513513513513509E-2</v>
      </c>
      <c r="AT42" s="3">
        <v>8.1081081081081058E-2</v>
      </c>
      <c r="AU42" s="3">
        <v>5.4054054054054036E-2</v>
      </c>
      <c r="AV42" s="3">
        <v>2.7027027027027018E-2</v>
      </c>
      <c r="AW42" s="3">
        <v>5.4054054054054036E-2</v>
      </c>
      <c r="AX42" s="3">
        <v>5.4054054054054036E-2</v>
      </c>
      <c r="AY42" s="3">
        <v>2.7027027027027018E-2</v>
      </c>
      <c r="AZ42" s="3">
        <v>4.0540540540540529E-2</v>
      </c>
      <c r="BA42" s="3">
        <v>5.4054054054054036E-2</v>
      </c>
      <c r="BB42" s="3">
        <v>8.1081081081081058E-2</v>
      </c>
      <c r="BC42" s="3">
        <v>1.3513513513513509E-2</v>
      </c>
      <c r="BD42" s="3">
        <v>2.7027027027027018E-2</v>
      </c>
      <c r="BE42">
        <v>28.87</v>
      </c>
      <c r="BF42" s="3" t="str">
        <f>+IF(AVANCE[[#This Row],[% AVANCE]]=100%,"MODULO TERMINADO",IF(AVANCE[[#This Row],[FECHA INICIO REAL]]="","MODULO NO INICIADO","PENDIENTE"))</f>
        <v>MODULO TERMINADO</v>
      </c>
      <c r="BG42" s="3">
        <f>+IF(AVANCE[[#This Row],[VENTANAS]]=8.10810810810811%,100%,AVANCE[[#This Row],[VENTANAS]])</f>
        <v>1</v>
      </c>
      <c r="BH42" s="3">
        <f>+IF(AVANCE[[#This Row],[PISO]]=N$2,100%,AVANCE[[#This Row],[PISO]])</f>
        <v>1</v>
      </c>
      <c r="BI42" s="3">
        <f>+IF(AVANCE[[#This Row],[TABIQUES]]=O$2,100%,AVANCE[[#This Row],[TABIQUES]])</f>
        <v>1</v>
      </c>
      <c r="BJ42" s="3">
        <f>+IF(AVANCE[[#This Row],[MUROS]]=P$2,100%,AVANCE[[#This Row],[MUROS]])</f>
        <v>1</v>
      </c>
      <c r="BK42" s="3">
        <f>+IF(AVANCE[[#This Row],[CIELO]]=Q$2,100%,AVANCE[[#This Row],[CIELO]])</f>
        <v>1</v>
      </c>
      <c r="BL42" s="3">
        <f>+IF(AVANCE[[#This Row],[BALCÓN]]=R$2,100%,AVANCE[[#This Row],[BALCÓN]])</f>
        <v>1</v>
      </c>
      <c r="BM42" s="3">
        <f>+IF(AVANCE[[#This Row],[RED ALCANTARILLADO]]=U$2,100%,AVANCE[[#This Row],[RED ALCANTARILLADO]])</f>
        <v>1</v>
      </c>
      <c r="BN42" s="3">
        <f>+IF(AVANCE[[#This Row],[RED DE AGUA]]=V$2,100%,AVANCE[[#This Row],[RED DE AGUA]])</f>
        <v>1</v>
      </c>
      <c r="BO42" s="3">
        <f>+IF(AVANCE[[#This Row],[VENTILACIONES]]=W$2,100%,AVANCE[[#This Row],[VENTILACIONES]])</f>
        <v>1</v>
      </c>
      <c r="BP42" s="3">
        <f>+IF(AVANCE[[#This Row],[TINA]]=X$2,100%,AVANCE[[#This Row],[TINA]])</f>
        <v>1</v>
      </c>
      <c r="BQ42" s="3">
        <f>+IF(AVANCE[[#This Row],[WC]]=Y$2,100%,AVANCE[[#This Row],[WC]])</f>
        <v>1</v>
      </c>
      <c r="BR42" s="3">
        <f>+IF(AVANCE[[#This Row],[LAVAMANOS / LAVAPLATOS / LAVADERO]]=Z$2,100%,AVANCE[[#This Row],[LAVAMANOS / LAVAPLATOS / LAVADERO]])</f>
        <v>1</v>
      </c>
      <c r="BS42" s="3">
        <f>+IF(AVANCE[[#This Row],[CANALIZACIÓN]]=AC$2,100%,AVANCE[[#This Row],[CANALIZACIÓN]])</f>
        <v>1</v>
      </c>
      <c r="BT42" s="3">
        <f>+IF(AVANCE[[#This Row],[CABLEADO]]=AD$2,100%,AVANCE[[#This Row],[CABLEADO]])</f>
        <v>1</v>
      </c>
      <c r="BU42" s="3">
        <f>+IF(AVANCE[[#This Row],[ARTEFACTOS]]=AE$2,100%,AVANCE[[#This Row],[ARTEFACTOS]])</f>
        <v>1</v>
      </c>
      <c r="BV42" s="3">
        <f>+IF(AVANCE[[#This Row],[TABLERO]]=AF$2,100%,AVANCE[[#This Row],[TABLERO]])</f>
        <v>1</v>
      </c>
      <c r="BW42" s="3">
        <f>+IF(AVANCE[[#This Row],[CAJA PAU]]=AG$2,100%,AVANCE[[#This Row],[CAJA PAU]])</f>
        <v>1</v>
      </c>
      <c r="BX42" s="3">
        <f>+IF(AVANCE[[#This Row],[INSTALACION VINILICO]]=AJ$2,100%,AVANCE[[#This Row],[INSTALACION VINILICO]])</f>
        <v>1</v>
      </c>
      <c r="BY42" s="3">
        <f>+IF(AVANCE[[#This Row],[OSB CUBIERTA]]=AK$2,100%,AVANCE[[#This Row],[OSB CUBIERTA]])</f>
        <v>1</v>
      </c>
      <c r="BZ42" s="3">
        <f>+IF(AVANCE[[#This Row],[BARANDA BALCON]]=AL$2,100%,AVANCE[[#This Row],[BARANDA BALCON]])</f>
        <v>1</v>
      </c>
      <c r="CA42" s="3">
        <f>+IF(AVANCE[[#This Row],[OSB EXTERIOR]]=AM$2,100%,AVANCE[[#This Row],[OSB EXTERIOR]])</f>
        <v>1</v>
      </c>
      <c r="CB42" s="3">
        <f>+IF(AVANCE[[#This Row],[SMART PANEL]]=AN$2,100%,AVANCE[[#This Row],[SMART PANEL]])</f>
        <v>1</v>
      </c>
      <c r="CC42" s="3">
        <f>+IF(AVANCE[[#This Row],[PINTURA EXTERIOR]]=AO$2,100%,AVANCE[[#This Row],[PINTURA EXTERIOR]])</f>
        <v>1</v>
      </c>
      <c r="CD42" s="3">
        <f>+IF(AVANCE[[#This Row],[ZOCALOS LOGIA]]=AP$2,100%,AVANCE[[#This Row],[ZOCALOS LOGIA]])</f>
        <v>1</v>
      </c>
      <c r="CE42" s="3">
        <f>+IF(AVANCE[[#This Row],[MOLDURAS]]=AQ$2,100%,AVANCE[[#This Row],[MOLDURAS]])</f>
        <v>1</v>
      </c>
      <c r="CF42" s="3">
        <f>+IF(AVANCE[[#This Row],[PILASTREO]]=AR$2,100%,AVANCE[[#This Row],[PILASTREO]])</f>
        <v>1</v>
      </c>
      <c r="CG42" s="3">
        <f>+IF(AVANCE[[#This Row],[CELOSIAS]]=AS$2,100%,AVANCE[[#This Row],[CELOSIAS]])</f>
        <v>1</v>
      </c>
      <c r="CH42" s="3">
        <f>+IF(AVANCE[[#This Row],[VENTANAS]]=AT$2,100%,AVANCE[[#This Row],[VENTANAS]])</f>
        <v>1</v>
      </c>
      <c r="CI42" s="3">
        <f>+IF(AVANCE[[#This Row],[PUERTAS ACCESO - LOGIA - BANO]]=AU$2,100%,AVANCE[[#This Row],[PUERTAS ACCESO - LOGIA - BANO]])</f>
        <v>1</v>
      </c>
      <c r="CJ42" s="3">
        <f>+IF(AVANCE[[#This Row],[CERRADURAS]]=AV$2,100%,AVANCE[[#This Row],[CERRADURAS]])</f>
        <v>1</v>
      </c>
      <c r="CK42" s="3">
        <f>+IF(AVANCE[[#This Row],[REVESTIMIENTO INTERIOR ZONA SECA]]=AW$2,100%,AVANCE[[#This Row],[REVESTIMIENTO INTERIOR ZONA SECA]])</f>
        <v>1</v>
      </c>
      <c r="CL42" s="3">
        <f>+IF(AVANCE[[#This Row],[REVESTIMIENTO INTERIOR ZONAS HUMEDAS]]=AX$2,100%,AVANCE[[#This Row],[REVESTIMIENTO INTERIOR ZONAS HUMEDAS]])</f>
        <v>1</v>
      </c>
      <c r="CM42" s="3">
        <f>+IF(AVANCE[[#This Row],[MEMBRANA CIELO]]=AY$2,100%,AVANCE[[#This Row],[MEMBRANA CIELO]])</f>
        <v>1</v>
      </c>
      <c r="CN42" s="3">
        <f>+IF(AVANCE[[#This Row],[LIMPIEZA FINAL]]=AZ$2,100%,AVANCE[[#This Row],[LIMPIEZA FINAL]])</f>
        <v>1</v>
      </c>
      <c r="CO42" s="3">
        <f>+IF(AVANCE[[#This Row],[PUERTAS DORMITORIO]]=BA$2,100%,AVANCE[[#This Row],[PUERTAS DORMITORIO]])</f>
        <v>1</v>
      </c>
      <c r="CP42" s="3">
        <f>+IF(AVANCE[[#This Row],[REVESTIMIENTO INTERIOR BANO]]=BB$2,100%,AVANCE[[#This Row],[REVESTIMIENTO INTERIOR BANO]])</f>
        <v>1</v>
      </c>
      <c r="CQ42" s="3">
        <f>+IF(AVANCE[[#This Row],[MUEBLE LAVAPLATOS]]=BC$2,100%,AVANCE[[#This Row],[MUEBLE LAVAPLATOS]])</f>
        <v>1</v>
      </c>
      <c r="CR42" s="3">
        <f>+IF(AVANCE[[#This Row],[IMPERMEABILIZACION BANO - COCINA LOGIA]]=BD$2,100%,AVANCE[[#This Row],[IMPERMEABILIZACION BANO - COCINA LOGIA]])</f>
        <v>1</v>
      </c>
      <c r="CS42" s="40">
        <f ca="1">+IF(AVANCE[[#This Row],[ESTADO MODULO]]="PENDIENTE",(TODAY()-AVANCE[[#This Row],[FECHA TERMINO  PLANIFICADO]]),0)</f>
        <v>0</v>
      </c>
      <c r="CT42" s="41" t="str" cm="1">
        <f t="array" ref="CT42">_xlfn.TEXTJOIN(" | ",TRUE,IF(SUMPRODUCT((BG42:CR42&lt;1)*(PARTIDAS!$I$2:$AT$2="OBRA GRUESA"))&gt;0,"OBRA GRUESA: "&amp;_xlfn.TEXTJOIN(", ",TRUE,IF((BG42:CR42&lt;1)*(PARTIDAS!$I$2:$AT$2="OBRA GRUESA"),PARTIDAS!$I$1:$AT$1,"")),""),IF(SUMPRODUCT((BG42:CR42&lt;1)*(PARTIDAS!$I$2:$AT$2="SANITARIOS"))&gt;0,"SANITARIOS: "&amp;_xlfn.TEXTJOIN(", ",TRUE,IF((BG42:CR42&lt;1)*(PARTIDAS!$I$2:$AT$2="SANITARIOS"),PARTIDAS!$I$1:$AT$1,"")),""),IF(SUMPRODUCT((BG42:CR42&lt;1)*(PARTIDAS!$I$2:$AT$2="ELÉCTRICO"))&gt;0,"ELÉCTRICO: "&amp;_xlfn.TEXTJOIN(", ",TRUE,IF((BG42:CR42&lt;1)*(PARTIDAS!$I$2:$AT$2="ELÉCTRICO"),PARTIDAS!$I$1:$AT$1,"")),""),IF(SUMPRODUCT((BG42:CR42&lt;1)*(PARTIDAS!$I$2:$AT$2="TERMINACIONES"))&gt;0,"TERMINACIONES: "&amp;_xlfn.TEXTJOIN(", ",TRUE,IF((BG42:CR42&lt;1)*(PARTIDAS!$I$2:$AT$2="TERMINACIONES"),PARTIDAS!$I$1:$AT$1,"")),""))</f>
        <v/>
      </c>
      <c r="CU42" s="43" t="str" cm="1">
        <f t="array" ref="CU42">_xlfn.TEXTJOIN(", ",TRUE,IF(SUMPRODUCT((BG42:CR42&lt;1)*(PARTIDAS!$I$2:$AT$2="OBRA GRUESA"))&gt;0,"OBRA GRUESA",""),IF(SUMPRODUCT((BG42:CR42&lt;1)*(PARTIDAS!$I$2:$AT$2="SANITARIOS"))&gt;0,"SANITARIOS",""),IF(SUMPRODUCT((BG42:CR42&lt;1)*(PARTIDAS!$I$2:$AT$2="ELÉCTRICO"))&gt;0,"ELÉCTRICO",""),IF(SUMPRODUCT((BG42:CR42&lt;1)*(PARTIDAS!$I$2:$AT$2="TERMINACIONES"))&gt;0,"TERMINACIONES",""))</f>
        <v/>
      </c>
      <c r="CV42" s="44" cm="1">
        <f t="array" ref="CV42">SUMPRODUCT(--(BG42:CR42&lt;1))</f>
        <v>0</v>
      </c>
    </row>
    <row r="43" spans="1:100" hidden="1" x14ac:dyDescent="0.25">
      <c r="A43" t="s">
        <v>91</v>
      </c>
      <c r="B43" t="s">
        <v>101</v>
      </c>
      <c r="C43">
        <v>2302600042</v>
      </c>
      <c r="D43" t="s">
        <v>60</v>
      </c>
      <c r="E43" s="2">
        <v>0.99999999999999978</v>
      </c>
      <c r="F43" s="1">
        <v>46129</v>
      </c>
      <c r="G43" s="1">
        <v>46129</v>
      </c>
      <c r="H43" s="1">
        <v>46191</v>
      </c>
      <c r="I43" s="1">
        <v>46169</v>
      </c>
      <c r="K43" s="1">
        <v>46191</v>
      </c>
      <c r="L43" s="3">
        <v>0.43</v>
      </c>
      <c r="M43" s="3">
        <v>1</v>
      </c>
      <c r="N43" s="3">
        <v>0.27906976744186046</v>
      </c>
      <c r="O43" s="3">
        <v>0.18604651162790697</v>
      </c>
      <c r="P43" s="3">
        <v>0.2558139534883721</v>
      </c>
      <c r="Q43" s="3">
        <v>0.18604651162790697</v>
      </c>
      <c r="R43" s="3">
        <v>9.3023255813953487E-2</v>
      </c>
      <c r="S43" s="3">
        <v>0.09</v>
      </c>
      <c r="T43" s="3">
        <v>1</v>
      </c>
      <c r="U43" s="3">
        <v>0.22222222222222221</v>
      </c>
      <c r="V43" s="3">
        <v>0.22222222222222221</v>
      </c>
      <c r="W43" s="3">
        <v>0.1111111111111111</v>
      </c>
      <c r="X43" s="3">
        <v>0.1111111111111111</v>
      </c>
      <c r="Y43" s="3">
        <v>0.1111111111111111</v>
      </c>
      <c r="Z43" s="3">
        <v>0.22222222222222221</v>
      </c>
      <c r="AA43" s="3">
        <v>0.11</v>
      </c>
      <c r="AB43" s="3">
        <v>1</v>
      </c>
      <c r="AC43" s="3">
        <v>0.27272727272727271</v>
      </c>
      <c r="AD43" s="3">
        <v>0.27272727272727271</v>
      </c>
      <c r="AE43" s="3">
        <v>9.0909090909090912E-2</v>
      </c>
      <c r="AF43" s="3">
        <v>0.18181818181818182</v>
      </c>
      <c r="AG43" s="3">
        <v>0.18181818181818182</v>
      </c>
      <c r="AH43" s="3">
        <v>0.36999999999999983</v>
      </c>
      <c r="AI43" s="3">
        <v>0.99999999999999956</v>
      </c>
      <c r="AJ43" s="3">
        <v>5.4054054054054036E-2</v>
      </c>
      <c r="AK43" s="3">
        <v>5.4054054054054036E-2</v>
      </c>
      <c r="AL43" s="3">
        <v>2.7027027027027018E-2</v>
      </c>
      <c r="AM43" s="3">
        <v>8.1081081081081058E-2</v>
      </c>
      <c r="AN43" s="3">
        <v>8.1081081081081058E-2</v>
      </c>
      <c r="AO43" s="3">
        <v>6.7567567567567557E-2</v>
      </c>
      <c r="AP43" s="3">
        <v>5.4054054054054036E-2</v>
      </c>
      <c r="AQ43" s="3">
        <v>1.3513513513513509E-2</v>
      </c>
      <c r="AR43" s="3">
        <v>4.0540540540540529E-2</v>
      </c>
      <c r="AS43" s="3">
        <v>1.3513513513513509E-2</v>
      </c>
      <c r="AT43" s="3">
        <v>8.1081081081081058E-2</v>
      </c>
      <c r="AU43" s="3">
        <v>5.4054054054054036E-2</v>
      </c>
      <c r="AV43" s="3">
        <v>2.7027027027027018E-2</v>
      </c>
      <c r="AW43" s="3">
        <v>5.4054054054054036E-2</v>
      </c>
      <c r="AX43" s="3">
        <v>5.4054054054054036E-2</v>
      </c>
      <c r="AY43" s="3">
        <v>2.7027027027027018E-2</v>
      </c>
      <c r="AZ43" s="3">
        <v>4.0540540540540529E-2</v>
      </c>
      <c r="BA43" s="3">
        <v>5.4054054054054036E-2</v>
      </c>
      <c r="BB43" s="3">
        <v>8.1081081081081058E-2</v>
      </c>
      <c r="BC43" s="3">
        <v>1.3513513513513509E-2</v>
      </c>
      <c r="BD43" s="3">
        <v>2.7027027027027018E-2</v>
      </c>
      <c r="BE43">
        <v>31.32</v>
      </c>
      <c r="BF43" s="3" t="str">
        <f>+IF(AVANCE[[#This Row],[% AVANCE]]=100%,"MODULO TERMINADO",IF(AVANCE[[#This Row],[FECHA INICIO REAL]]="","MODULO NO INICIADO","PENDIENTE"))</f>
        <v>MODULO TERMINADO</v>
      </c>
      <c r="BG43" s="3">
        <f>+IF(AVANCE[[#This Row],[VENTANAS]]=8.10810810810811%,100%,AVANCE[[#This Row],[VENTANAS]])</f>
        <v>1</v>
      </c>
      <c r="BH43" s="3">
        <f>+IF(AVANCE[[#This Row],[PISO]]=N$2,100%,AVANCE[[#This Row],[PISO]])</f>
        <v>1</v>
      </c>
      <c r="BI43" s="3">
        <f>+IF(AVANCE[[#This Row],[TABIQUES]]=O$2,100%,AVANCE[[#This Row],[TABIQUES]])</f>
        <v>1</v>
      </c>
      <c r="BJ43" s="3">
        <f>+IF(AVANCE[[#This Row],[MUROS]]=P$2,100%,AVANCE[[#This Row],[MUROS]])</f>
        <v>1</v>
      </c>
      <c r="BK43" s="3">
        <f>+IF(AVANCE[[#This Row],[CIELO]]=Q$2,100%,AVANCE[[#This Row],[CIELO]])</f>
        <v>1</v>
      </c>
      <c r="BL43" s="3">
        <f>+IF(AVANCE[[#This Row],[BALCÓN]]=R$2,100%,AVANCE[[#This Row],[BALCÓN]])</f>
        <v>1</v>
      </c>
      <c r="BM43" s="3">
        <f>+IF(AVANCE[[#This Row],[RED ALCANTARILLADO]]=U$2,100%,AVANCE[[#This Row],[RED ALCANTARILLADO]])</f>
        <v>1</v>
      </c>
      <c r="BN43" s="3">
        <f>+IF(AVANCE[[#This Row],[RED DE AGUA]]=V$2,100%,AVANCE[[#This Row],[RED DE AGUA]])</f>
        <v>1</v>
      </c>
      <c r="BO43" s="3">
        <f>+IF(AVANCE[[#This Row],[VENTILACIONES]]=W$2,100%,AVANCE[[#This Row],[VENTILACIONES]])</f>
        <v>1</v>
      </c>
      <c r="BP43" s="3">
        <f>+IF(AVANCE[[#This Row],[TINA]]=X$2,100%,AVANCE[[#This Row],[TINA]])</f>
        <v>1</v>
      </c>
      <c r="BQ43" s="3">
        <f>+IF(AVANCE[[#This Row],[WC]]=Y$2,100%,AVANCE[[#This Row],[WC]])</f>
        <v>1</v>
      </c>
      <c r="BR43" s="3">
        <f>+IF(AVANCE[[#This Row],[LAVAMANOS / LAVAPLATOS / LAVADERO]]=Z$2,100%,AVANCE[[#This Row],[LAVAMANOS / LAVAPLATOS / LAVADERO]])</f>
        <v>1</v>
      </c>
      <c r="BS43" s="3">
        <f>+IF(AVANCE[[#This Row],[CANALIZACIÓN]]=AC$2,100%,AVANCE[[#This Row],[CANALIZACIÓN]])</f>
        <v>1</v>
      </c>
      <c r="BT43" s="3">
        <f>+IF(AVANCE[[#This Row],[CABLEADO]]=AD$2,100%,AVANCE[[#This Row],[CABLEADO]])</f>
        <v>1</v>
      </c>
      <c r="BU43" s="3">
        <f>+IF(AVANCE[[#This Row],[ARTEFACTOS]]=AE$2,100%,AVANCE[[#This Row],[ARTEFACTOS]])</f>
        <v>1</v>
      </c>
      <c r="BV43" s="3">
        <f>+IF(AVANCE[[#This Row],[TABLERO]]=AF$2,100%,AVANCE[[#This Row],[TABLERO]])</f>
        <v>1</v>
      </c>
      <c r="BW43" s="3">
        <f>+IF(AVANCE[[#This Row],[CAJA PAU]]=AG$2,100%,AVANCE[[#This Row],[CAJA PAU]])</f>
        <v>1</v>
      </c>
      <c r="BX43" s="3">
        <f>+IF(AVANCE[[#This Row],[INSTALACION VINILICO]]=AJ$2,100%,AVANCE[[#This Row],[INSTALACION VINILICO]])</f>
        <v>1</v>
      </c>
      <c r="BY43" s="3">
        <f>+IF(AVANCE[[#This Row],[OSB CUBIERTA]]=AK$2,100%,AVANCE[[#This Row],[OSB CUBIERTA]])</f>
        <v>1</v>
      </c>
      <c r="BZ43" s="3">
        <f>+IF(AVANCE[[#This Row],[BARANDA BALCON]]=AL$2,100%,AVANCE[[#This Row],[BARANDA BALCON]])</f>
        <v>1</v>
      </c>
      <c r="CA43" s="3">
        <f>+IF(AVANCE[[#This Row],[OSB EXTERIOR]]=AM$2,100%,AVANCE[[#This Row],[OSB EXTERIOR]])</f>
        <v>1</v>
      </c>
      <c r="CB43" s="3">
        <f>+IF(AVANCE[[#This Row],[SMART PANEL]]=AN$2,100%,AVANCE[[#This Row],[SMART PANEL]])</f>
        <v>1</v>
      </c>
      <c r="CC43" s="3">
        <f>+IF(AVANCE[[#This Row],[PINTURA EXTERIOR]]=AO$2,100%,AVANCE[[#This Row],[PINTURA EXTERIOR]])</f>
        <v>1</v>
      </c>
      <c r="CD43" s="3">
        <f>+IF(AVANCE[[#This Row],[ZOCALOS LOGIA]]=AP$2,100%,AVANCE[[#This Row],[ZOCALOS LOGIA]])</f>
        <v>1</v>
      </c>
      <c r="CE43" s="3">
        <f>+IF(AVANCE[[#This Row],[MOLDURAS]]=AQ$2,100%,AVANCE[[#This Row],[MOLDURAS]])</f>
        <v>1</v>
      </c>
      <c r="CF43" s="3">
        <f>+IF(AVANCE[[#This Row],[PILASTREO]]=AR$2,100%,AVANCE[[#This Row],[PILASTREO]])</f>
        <v>1</v>
      </c>
      <c r="CG43" s="3">
        <f>+IF(AVANCE[[#This Row],[CELOSIAS]]=AS$2,100%,AVANCE[[#This Row],[CELOSIAS]])</f>
        <v>1</v>
      </c>
      <c r="CH43" s="3">
        <f>+IF(AVANCE[[#This Row],[VENTANAS]]=AT$2,100%,AVANCE[[#This Row],[VENTANAS]])</f>
        <v>1</v>
      </c>
      <c r="CI43" s="3">
        <f>+IF(AVANCE[[#This Row],[PUERTAS ACCESO - LOGIA - BANO]]=AU$2,100%,AVANCE[[#This Row],[PUERTAS ACCESO - LOGIA - BANO]])</f>
        <v>1</v>
      </c>
      <c r="CJ43" s="3">
        <f>+IF(AVANCE[[#This Row],[CERRADURAS]]=AV$2,100%,AVANCE[[#This Row],[CERRADURAS]])</f>
        <v>1</v>
      </c>
      <c r="CK43" s="3">
        <f>+IF(AVANCE[[#This Row],[REVESTIMIENTO INTERIOR ZONA SECA]]=AW$2,100%,AVANCE[[#This Row],[REVESTIMIENTO INTERIOR ZONA SECA]])</f>
        <v>1</v>
      </c>
      <c r="CL43" s="3">
        <f>+IF(AVANCE[[#This Row],[REVESTIMIENTO INTERIOR ZONAS HUMEDAS]]=AX$2,100%,AVANCE[[#This Row],[REVESTIMIENTO INTERIOR ZONAS HUMEDAS]])</f>
        <v>1</v>
      </c>
      <c r="CM43" s="3">
        <f>+IF(AVANCE[[#This Row],[MEMBRANA CIELO]]=AY$2,100%,AVANCE[[#This Row],[MEMBRANA CIELO]])</f>
        <v>1</v>
      </c>
      <c r="CN43" s="3">
        <f>+IF(AVANCE[[#This Row],[LIMPIEZA FINAL]]=AZ$2,100%,AVANCE[[#This Row],[LIMPIEZA FINAL]])</f>
        <v>1</v>
      </c>
      <c r="CO43" s="3">
        <f>+IF(AVANCE[[#This Row],[PUERTAS DORMITORIO]]=BA$2,100%,AVANCE[[#This Row],[PUERTAS DORMITORIO]])</f>
        <v>1</v>
      </c>
      <c r="CP43" s="3">
        <f>+IF(AVANCE[[#This Row],[REVESTIMIENTO INTERIOR BANO]]=BB$2,100%,AVANCE[[#This Row],[REVESTIMIENTO INTERIOR BANO]])</f>
        <v>1</v>
      </c>
      <c r="CQ43" s="3">
        <f>+IF(AVANCE[[#This Row],[MUEBLE LAVAPLATOS]]=BC$2,100%,AVANCE[[#This Row],[MUEBLE LAVAPLATOS]])</f>
        <v>1</v>
      </c>
      <c r="CR43" s="3">
        <f>+IF(AVANCE[[#This Row],[IMPERMEABILIZACION BANO - COCINA LOGIA]]=BD$2,100%,AVANCE[[#This Row],[IMPERMEABILIZACION BANO - COCINA LOGIA]])</f>
        <v>1</v>
      </c>
      <c r="CS43" s="40">
        <f ca="1">+IF(AVANCE[[#This Row],[ESTADO MODULO]]="PENDIENTE",(TODAY()-AVANCE[[#This Row],[FECHA TERMINO  PLANIFICADO]]),0)</f>
        <v>0</v>
      </c>
      <c r="CT43" s="41" t="str" cm="1">
        <f t="array" ref="CT43">_xlfn.TEXTJOIN(" | ",TRUE,IF(SUMPRODUCT((BG43:CR43&lt;1)*(PARTIDAS!$I$2:$AT$2="OBRA GRUESA"))&gt;0,"OBRA GRUESA: "&amp;_xlfn.TEXTJOIN(", ",TRUE,IF((BG43:CR43&lt;1)*(PARTIDAS!$I$2:$AT$2="OBRA GRUESA"),PARTIDAS!$I$1:$AT$1,"")),""),IF(SUMPRODUCT((BG43:CR43&lt;1)*(PARTIDAS!$I$2:$AT$2="SANITARIOS"))&gt;0,"SANITARIOS: "&amp;_xlfn.TEXTJOIN(", ",TRUE,IF((BG43:CR43&lt;1)*(PARTIDAS!$I$2:$AT$2="SANITARIOS"),PARTIDAS!$I$1:$AT$1,"")),""),IF(SUMPRODUCT((BG43:CR43&lt;1)*(PARTIDAS!$I$2:$AT$2="ELÉCTRICO"))&gt;0,"ELÉCTRICO: "&amp;_xlfn.TEXTJOIN(", ",TRUE,IF((BG43:CR43&lt;1)*(PARTIDAS!$I$2:$AT$2="ELÉCTRICO"),PARTIDAS!$I$1:$AT$1,"")),""),IF(SUMPRODUCT((BG43:CR43&lt;1)*(PARTIDAS!$I$2:$AT$2="TERMINACIONES"))&gt;0,"TERMINACIONES: "&amp;_xlfn.TEXTJOIN(", ",TRUE,IF((BG43:CR43&lt;1)*(PARTIDAS!$I$2:$AT$2="TERMINACIONES"),PARTIDAS!$I$1:$AT$1,"")),""))</f>
        <v/>
      </c>
      <c r="CU43" s="43" t="str" cm="1">
        <f t="array" ref="CU43">_xlfn.TEXTJOIN(", ",TRUE,IF(SUMPRODUCT((BG43:CR43&lt;1)*(PARTIDAS!$I$2:$AT$2="OBRA GRUESA"))&gt;0,"OBRA GRUESA",""),IF(SUMPRODUCT((BG43:CR43&lt;1)*(PARTIDAS!$I$2:$AT$2="SANITARIOS"))&gt;0,"SANITARIOS",""),IF(SUMPRODUCT((BG43:CR43&lt;1)*(PARTIDAS!$I$2:$AT$2="ELÉCTRICO"))&gt;0,"ELÉCTRICO",""),IF(SUMPRODUCT((BG43:CR43&lt;1)*(PARTIDAS!$I$2:$AT$2="TERMINACIONES"))&gt;0,"TERMINACIONES",""))</f>
        <v/>
      </c>
      <c r="CV43" s="44" cm="1">
        <f t="array" ref="CV43">SUMPRODUCT(--(BG43:CR43&lt;1))</f>
        <v>0</v>
      </c>
    </row>
    <row r="44" spans="1:100" hidden="1" x14ac:dyDescent="0.25">
      <c r="A44" t="s">
        <v>91</v>
      </c>
      <c r="B44" t="s">
        <v>102</v>
      </c>
      <c r="C44">
        <v>2302600043</v>
      </c>
      <c r="D44" t="s">
        <v>60</v>
      </c>
      <c r="E44" s="2">
        <v>0.99999999999999978</v>
      </c>
      <c r="F44" s="1">
        <v>46127</v>
      </c>
      <c r="G44" s="1">
        <v>46127</v>
      </c>
      <c r="H44" s="1">
        <v>46195</v>
      </c>
      <c r="I44" s="1">
        <v>46167</v>
      </c>
      <c r="K44" s="1">
        <v>46195</v>
      </c>
      <c r="L44" s="3">
        <v>0.43</v>
      </c>
      <c r="M44" s="3">
        <v>1</v>
      </c>
      <c r="N44" s="3">
        <v>0.27906976744186046</v>
      </c>
      <c r="O44" s="3">
        <v>0.18604651162790697</v>
      </c>
      <c r="P44" s="3">
        <v>0.2558139534883721</v>
      </c>
      <c r="Q44" s="3">
        <v>0.18604651162790697</v>
      </c>
      <c r="R44" s="3">
        <v>9.3023255813953487E-2</v>
      </c>
      <c r="S44" s="3">
        <v>0.09</v>
      </c>
      <c r="T44" s="3">
        <v>1</v>
      </c>
      <c r="U44" s="3">
        <v>0.22222222222222221</v>
      </c>
      <c r="V44" s="3">
        <v>0.22222222222222221</v>
      </c>
      <c r="W44" s="3">
        <v>0.1111111111111111</v>
      </c>
      <c r="X44" s="3">
        <v>0.1111111111111111</v>
      </c>
      <c r="Y44" s="3">
        <v>0.1111111111111111</v>
      </c>
      <c r="Z44" s="3">
        <v>0.22222222222222221</v>
      </c>
      <c r="AA44" s="3">
        <v>0.11</v>
      </c>
      <c r="AB44" s="3">
        <v>1</v>
      </c>
      <c r="AC44" s="3">
        <v>0.27272727272727271</v>
      </c>
      <c r="AD44" s="3">
        <v>0.27272727272727271</v>
      </c>
      <c r="AE44" s="3">
        <v>9.0909090909090912E-2</v>
      </c>
      <c r="AF44" s="3">
        <v>0.18181818181818182</v>
      </c>
      <c r="AG44" s="3">
        <v>0.18181818181818182</v>
      </c>
      <c r="AH44" s="3">
        <v>0.36999999999999983</v>
      </c>
      <c r="AI44" s="3">
        <v>0.99999999999999956</v>
      </c>
      <c r="AJ44" s="3">
        <v>5.4054054054054036E-2</v>
      </c>
      <c r="AK44" s="3">
        <v>5.4054054054054036E-2</v>
      </c>
      <c r="AL44" s="3">
        <v>2.7027027027027018E-2</v>
      </c>
      <c r="AM44" s="3">
        <v>8.1081081081081058E-2</v>
      </c>
      <c r="AN44" s="3">
        <v>8.1081081081081058E-2</v>
      </c>
      <c r="AO44" s="3">
        <v>6.7567567567567557E-2</v>
      </c>
      <c r="AP44" s="3">
        <v>5.4054054054054036E-2</v>
      </c>
      <c r="AQ44" s="3">
        <v>1.3513513513513509E-2</v>
      </c>
      <c r="AR44" s="3">
        <v>4.0540540540540529E-2</v>
      </c>
      <c r="AS44" s="3">
        <v>1.3513513513513509E-2</v>
      </c>
      <c r="AT44" s="3">
        <v>8.1081081081081058E-2</v>
      </c>
      <c r="AU44" s="3">
        <v>5.4054054054054036E-2</v>
      </c>
      <c r="AV44" s="3">
        <v>2.7027027027027018E-2</v>
      </c>
      <c r="AW44" s="3">
        <v>5.4054054054054036E-2</v>
      </c>
      <c r="AX44" s="3">
        <v>5.4054054054054036E-2</v>
      </c>
      <c r="AY44" s="3">
        <v>2.7027027027027018E-2</v>
      </c>
      <c r="AZ44" s="3">
        <v>4.0540540540540529E-2</v>
      </c>
      <c r="BA44" s="3">
        <v>5.4054054054054036E-2</v>
      </c>
      <c r="BB44" s="3">
        <v>8.1081081081081058E-2</v>
      </c>
      <c r="BC44" s="3">
        <v>1.3513513513513509E-2</v>
      </c>
      <c r="BD44" s="3">
        <v>2.7027027027027018E-2</v>
      </c>
      <c r="BE44">
        <v>31.32</v>
      </c>
      <c r="BF44" s="3" t="str">
        <f>+IF(AVANCE[[#This Row],[% AVANCE]]=100%,"MODULO TERMINADO",IF(AVANCE[[#This Row],[FECHA INICIO REAL]]="","MODULO NO INICIADO","PENDIENTE"))</f>
        <v>MODULO TERMINADO</v>
      </c>
      <c r="BG44" s="3">
        <f>+IF(AVANCE[[#This Row],[VENTANAS]]=8.10810810810811%,100%,AVANCE[[#This Row],[VENTANAS]])</f>
        <v>1</v>
      </c>
      <c r="BH44" s="3">
        <f>+IF(AVANCE[[#This Row],[PISO]]=N$2,100%,AVANCE[[#This Row],[PISO]])</f>
        <v>1</v>
      </c>
      <c r="BI44" s="3">
        <f>+IF(AVANCE[[#This Row],[TABIQUES]]=O$2,100%,AVANCE[[#This Row],[TABIQUES]])</f>
        <v>1</v>
      </c>
      <c r="BJ44" s="3">
        <f>+IF(AVANCE[[#This Row],[MUROS]]=P$2,100%,AVANCE[[#This Row],[MUROS]])</f>
        <v>1</v>
      </c>
      <c r="BK44" s="3">
        <f>+IF(AVANCE[[#This Row],[CIELO]]=Q$2,100%,AVANCE[[#This Row],[CIELO]])</f>
        <v>1</v>
      </c>
      <c r="BL44" s="3">
        <f>+IF(AVANCE[[#This Row],[BALCÓN]]=R$2,100%,AVANCE[[#This Row],[BALCÓN]])</f>
        <v>1</v>
      </c>
      <c r="BM44" s="3">
        <f>+IF(AVANCE[[#This Row],[RED ALCANTARILLADO]]=U$2,100%,AVANCE[[#This Row],[RED ALCANTARILLADO]])</f>
        <v>1</v>
      </c>
      <c r="BN44" s="3">
        <f>+IF(AVANCE[[#This Row],[RED DE AGUA]]=V$2,100%,AVANCE[[#This Row],[RED DE AGUA]])</f>
        <v>1</v>
      </c>
      <c r="BO44" s="3">
        <f>+IF(AVANCE[[#This Row],[VENTILACIONES]]=W$2,100%,AVANCE[[#This Row],[VENTILACIONES]])</f>
        <v>1</v>
      </c>
      <c r="BP44" s="3">
        <f>+IF(AVANCE[[#This Row],[TINA]]=X$2,100%,AVANCE[[#This Row],[TINA]])</f>
        <v>1</v>
      </c>
      <c r="BQ44" s="3">
        <f>+IF(AVANCE[[#This Row],[WC]]=Y$2,100%,AVANCE[[#This Row],[WC]])</f>
        <v>1</v>
      </c>
      <c r="BR44" s="3">
        <f>+IF(AVANCE[[#This Row],[LAVAMANOS / LAVAPLATOS / LAVADERO]]=Z$2,100%,AVANCE[[#This Row],[LAVAMANOS / LAVAPLATOS / LAVADERO]])</f>
        <v>1</v>
      </c>
      <c r="BS44" s="3">
        <f>+IF(AVANCE[[#This Row],[CANALIZACIÓN]]=AC$2,100%,AVANCE[[#This Row],[CANALIZACIÓN]])</f>
        <v>1</v>
      </c>
      <c r="BT44" s="3">
        <f>+IF(AVANCE[[#This Row],[CABLEADO]]=AD$2,100%,AVANCE[[#This Row],[CABLEADO]])</f>
        <v>1</v>
      </c>
      <c r="BU44" s="3">
        <f>+IF(AVANCE[[#This Row],[ARTEFACTOS]]=AE$2,100%,AVANCE[[#This Row],[ARTEFACTOS]])</f>
        <v>1</v>
      </c>
      <c r="BV44" s="3">
        <f>+IF(AVANCE[[#This Row],[TABLERO]]=AF$2,100%,AVANCE[[#This Row],[TABLERO]])</f>
        <v>1</v>
      </c>
      <c r="BW44" s="3">
        <f>+IF(AVANCE[[#This Row],[CAJA PAU]]=AG$2,100%,AVANCE[[#This Row],[CAJA PAU]])</f>
        <v>1</v>
      </c>
      <c r="BX44" s="3">
        <f>+IF(AVANCE[[#This Row],[INSTALACION VINILICO]]=AJ$2,100%,AVANCE[[#This Row],[INSTALACION VINILICO]])</f>
        <v>1</v>
      </c>
      <c r="BY44" s="3">
        <f>+IF(AVANCE[[#This Row],[OSB CUBIERTA]]=AK$2,100%,AVANCE[[#This Row],[OSB CUBIERTA]])</f>
        <v>1</v>
      </c>
      <c r="BZ44" s="3">
        <f>+IF(AVANCE[[#This Row],[BARANDA BALCON]]=AL$2,100%,AVANCE[[#This Row],[BARANDA BALCON]])</f>
        <v>1</v>
      </c>
      <c r="CA44" s="3">
        <f>+IF(AVANCE[[#This Row],[OSB EXTERIOR]]=AM$2,100%,AVANCE[[#This Row],[OSB EXTERIOR]])</f>
        <v>1</v>
      </c>
      <c r="CB44" s="3">
        <f>+IF(AVANCE[[#This Row],[SMART PANEL]]=AN$2,100%,AVANCE[[#This Row],[SMART PANEL]])</f>
        <v>1</v>
      </c>
      <c r="CC44" s="3">
        <f>+IF(AVANCE[[#This Row],[PINTURA EXTERIOR]]=AO$2,100%,AVANCE[[#This Row],[PINTURA EXTERIOR]])</f>
        <v>1</v>
      </c>
      <c r="CD44" s="3">
        <f>+IF(AVANCE[[#This Row],[ZOCALOS LOGIA]]=AP$2,100%,AVANCE[[#This Row],[ZOCALOS LOGIA]])</f>
        <v>1</v>
      </c>
      <c r="CE44" s="3">
        <f>+IF(AVANCE[[#This Row],[MOLDURAS]]=AQ$2,100%,AVANCE[[#This Row],[MOLDURAS]])</f>
        <v>1</v>
      </c>
      <c r="CF44" s="3">
        <f>+IF(AVANCE[[#This Row],[PILASTREO]]=AR$2,100%,AVANCE[[#This Row],[PILASTREO]])</f>
        <v>1</v>
      </c>
      <c r="CG44" s="3">
        <f>+IF(AVANCE[[#This Row],[CELOSIAS]]=AS$2,100%,AVANCE[[#This Row],[CELOSIAS]])</f>
        <v>1</v>
      </c>
      <c r="CH44" s="3">
        <f>+IF(AVANCE[[#This Row],[VENTANAS]]=AT$2,100%,AVANCE[[#This Row],[VENTANAS]])</f>
        <v>1</v>
      </c>
      <c r="CI44" s="3">
        <f>+IF(AVANCE[[#This Row],[PUERTAS ACCESO - LOGIA - BANO]]=AU$2,100%,AVANCE[[#This Row],[PUERTAS ACCESO - LOGIA - BANO]])</f>
        <v>1</v>
      </c>
      <c r="CJ44" s="3">
        <f>+IF(AVANCE[[#This Row],[CERRADURAS]]=AV$2,100%,AVANCE[[#This Row],[CERRADURAS]])</f>
        <v>1</v>
      </c>
      <c r="CK44" s="3">
        <f>+IF(AVANCE[[#This Row],[REVESTIMIENTO INTERIOR ZONA SECA]]=AW$2,100%,AVANCE[[#This Row],[REVESTIMIENTO INTERIOR ZONA SECA]])</f>
        <v>1</v>
      </c>
      <c r="CL44" s="3">
        <f>+IF(AVANCE[[#This Row],[REVESTIMIENTO INTERIOR ZONAS HUMEDAS]]=AX$2,100%,AVANCE[[#This Row],[REVESTIMIENTO INTERIOR ZONAS HUMEDAS]])</f>
        <v>1</v>
      </c>
      <c r="CM44" s="3">
        <f>+IF(AVANCE[[#This Row],[MEMBRANA CIELO]]=AY$2,100%,AVANCE[[#This Row],[MEMBRANA CIELO]])</f>
        <v>1</v>
      </c>
      <c r="CN44" s="3">
        <f>+IF(AVANCE[[#This Row],[LIMPIEZA FINAL]]=AZ$2,100%,AVANCE[[#This Row],[LIMPIEZA FINAL]])</f>
        <v>1</v>
      </c>
      <c r="CO44" s="3">
        <f>+IF(AVANCE[[#This Row],[PUERTAS DORMITORIO]]=BA$2,100%,AVANCE[[#This Row],[PUERTAS DORMITORIO]])</f>
        <v>1</v>
      </c>
      <c r="CP44" s="3">
        <f>+IF(AVANCE[[#This Row],[REVESTIMIENTO INTERIOR BANO]]=BB$2,100%,AVANCE[[#This Row],[REVESTIMIENTO INTERIOR BANO]])</f>
        <v>1</v>
      </c>
      <c r="CQ44" s="3">
        <f>+IF(AVANCE[[#This Row],[MUEBLE LAVAPLATOS]]=BC$2,100%,AVANCE[[#This Row],[MUEBLE LAVAPLATOS]])</f>
        <v>1</v>
      </c>
      <c r="CR44" s="3">
        <f>+IF(AVANCE[[#This Row],[IMPERMEABILIZACION BANO - COCINA LOGIA]]=BD$2,100%,AVANCE[[#This Row],[IMPERMEABILIZACION BANO - COCINA LOGIA]])</f>
        <v>1</v>
      </c>
      <c r="CS44" s="40">
        <f ca="1">+IF(AVANCE[[#This Row],[ESTADO MODULO]]="PENDIENTE",(TODAY()-AVANCE[[#This Row],[FECHA TERMINO  PLANIFICADO]]),0)</f>
        <v>0</v>
      </c>
      <c r="CT44" s="41" t="str" cm="1">
        <f t="array" ref="CT44">_xlfn.TEXTJOIN(" | ",TRUE,IF(SUMPRODUCT((BG44:CR44&lt;1)*(PARTIDAS!$I$2:$AT$2="OBRA GRUESA"))&gt;0,"OBRA GRUESA: "&amp;_xlfn.TEXTJOIN(", ",TRUE,IF((BG44:CR44&lt;1)*(PARTIDAS!$I$2:$AT$2="OBRA GRUESA"),PARTIDAS!$I$1:$AT$1,"")),""),IF(SUMPRODUCT((BG44:CR44&lt;1)*(PARTIDAS!$I$2:$AT$2="SANITARIOS"))&gt;0,"SANITARIOS: "&amp;_xlfn.TEXTJOIN(", ",TRUE,IF((BG44:CR44&lt;1)*(PARTIDAS!$I$2:$AT$2="SANITARIOS"),PARTIDAS!$I$1:$AT$1,"")),""),IF(SUMPRODUCT((BG44:CR44&lt;1)*(PARTIDAS!$I$2:$AT$2="ELÉCTRICO"))&gt;0,"ELÉCTRICO: "&amp;_xlfn.TEXTJOIN(", ",TRUE,IF((BG44:CR44&lt;1)*(PARTIDAS!$I$2:$AT$2="ELÉCTRICO"),PARTIDAS!$I$1:$AT$1,"")),""),IF(SUMPRODUCT((BG44:CR44&lt;1)*(PARTIDAS!$I$2:$AT$2="TERMINACIONES"))&gt;0,"TERMINACIONES: "&amp;_xlfn.TEXTJOIN(", ",TRUE,IF((BG44:CR44&lt;1)*(PARTIDAS!$I$2:$AT$2="TERMINACIONES"),PARTIDAS!$I$1:$AT$1,"")),""))</f>
        <v/>
      </c>
      <c r="CU44" s="43" t="str" cm="1">
        <f t="array" ref="CU44">_xlfn.TEXTJOIN(", ",TRUE,IF(SUMPRODUCT((BG44:CR44&lt;1)*(PARTIDAS!$I$2:$AT$2="OBRA GRUESA"))&gt;0,"OBRA GRUESA",""),IF(SUMPRODUCT((BG44:CR44&lt;1)*(PARTIDAS!$I$2:$AT$2="SANITARIOS"))&gt;0,"SANITARIOS",""),IF(SUMPRODUCT((BG44:CR44&lt;1)*(PARTIDAS!$I$2:$AT$2="ELÉCTRICO"))&gt;0,"ELÉCTRICO",""),IF(SUMPRODUCT((BG44:CR44&lt;1)*(PARTIDAS!$I$2:$AT$2="TERMINACIONES"))&gt;0,"TERMINACIONES",""))</f>
        <v/>
      </c>
      <c r="CV44" s="44" cm="1">
        <f t="array" ref="CV44">SUMPRODUCT(--(BG44:CR44&lt;1))</f>
        <v>0</v>
      </c>
    </row>
    <row r="45" spans="1:100" hidden="1" x14ac:dyDescent="0.25">
      <c r="A45" t="s">
        <v>91</v>
      </c>
      <c r="B45" t="s">
        <v>103</v>
      </c>
      <c r="C45">
        <v>2282600044</v>
      </c>
      <c r="D45" t="s">
        <v>58</v>
      </c>
      <c r="E45" s="2">
        <v>0.99999999999999978</v>
      </c>
      <c r="F45" s="1">
        <v>46127</v>
      </c>
      <c r="G45" s="1">
        <v>46127</v>
      </c>
      <c r="H45" s="1">
        <v>46190</v>
      </c>
      <c r="I45" s="1">
        <v>46156</v>
      </c>
      <c r="K45" s="1">
        <v>46190</v>
      </c>
      <c r="L45" s="3">
        <v>0.43</v>
      </c>
      <c r="M45" s="3">
        <v>1</v>
      </c>
      <c r="N45" s="3">
        <v>0.27906976744186046</v>
      </c>
      <c r="O45" s="3">
        <v>0.18604651162790697</v>
      </c>
      <c r="P45" s="3">
        <v>0.2558139534883721</v>
      </c>
      <c r="Q45" s="3">
        <v>0.18604651162790697</v>
      </c>
      <c r="R45" s="3">
        <v>9.3023255813953487E-2</v>
      </c>
      <c r="S45" s="3">
        <v>0.09</v>
      </c>
      <c r="T45" s="3">
        <v>1</v>
      </c>
      <c r="U45" s="3">
        <v>0.22222222222222221</v>
      </c>
      <c r="V45" s="3">
        <v>0.22222222222222221</v>
      </c>
      <c r="W45" s="3">
        <v>0.1111111111111111</v>
      </c>
      <c r="X45" s="3">
        <v>0.1111111111111111</v>
      </c>
      <c r="Y45" s="3">
        <v>0.1111111111111111</v>
      </c>
      <c r="Z45" s="3">
        <v>0.22222222222222221</v>
      </c>
      <c r="AA45" s="3">
        <v>0.11</v>
      </c>
      <c r="AB45" s="3">
        <v>1</v>
      </c>
      <c r="AC45" s="3">
        <v>0.27272727272727271</v>
      </c>
      <c r="AD45" s="3">
        <v>0.27272727272727271</v>
      </c>
      <c r="AE45" s="3">
        <v>9.0909090909090912E-2</v>
      </c>
      <c r="AF45" s="3">
        <v>0.18181818181818182</v>
      </c>
      <c r="AG45" s="3">
        <v>0.18181818181818182</v>
      </c>
      <c r="AH45" s="3">
        <v>0.36999999999999983</v>
      </c>
      <c r="AI45" s="3">
        <v>0.99999999999999956</v>
      </c>
      <c r="AJ45" s="3">
        <v>5.4054054054054036E-2</v>
      </c>
      <c r="AK45" s="3">
        <v>5.4054054054054036E-2</v>
      </c>
      <c r="AL45" s="3">
        <v>2.7027027027027018E-2</v>
      </c>
      <c r="AM45" s="3">
        <v>8.1081081081081058E-2</v>
      </c>
      <c r="AN45" s="3">
        <v>8.1081081081081058E-2</v>
      </c>
      <c r="AO45" s="3">
        <v>6.7567567567567557E-2</v>
      </c>
      <c r="AP45" s="3">
        <v>5.4054054054054036E-2</v>
      </c>
      <c r="AQ45" s="3">
        <v>1.3513513513513509E-2</v>
      </c>
      <c r="AR45" s="3">
        <v>4.0540540540540529E-2</v>
      </c>
      <c r="AS45" s="3">
        <v>1.3513513513513509E-2</v>
      </c>
      <c r="AT45" s="3">
        <v>8.1081081081081058E-2</v>
      </c>
      <c r="AU45" s="3">
        <v>5.4054054054054036E-2</v>
      </c>
      <c r="AV45" s="3">
        <v>2.7027027027027018E-2</v>
      </c>
      <c r="AW45" s="3">
        <v>5.4054054054054036E-2</v>
      </c>
      <c r="AX45" s="3">
        <v>5.4054054054054036E-2</v>
      </c>
      <c r="AY45" s="3">
        <v>2.7027027027027018E-2</v>
      </c>
      <c r="AZ45" s="3">
        <v>4.0540540540540529E-2</v>
      </c>
      <c r="BA45" s="3">
        <v>5.4054054054054036E-2</v>
      </c>
      <c r="BB45" s="3">
        <v>8.1081081081081058E-2</v>
      </c>
      <c r="BC45" s="3">
        <v>1.3513513513513509E-2</v>
      </c>
      <c r="BD45" s="3">
        <v>2.7027027027027018E-2</v>
      </c>
      <c r="BE45">
        <v>28.87</v>
      </c>
      <c r="BF45" s="3" t="str">
        <f>+IF(AVANCE[[#This Row],[% AVANCE]]=100%,"MODULO TERMINADO",IF(AVANCE[[#This Row],[FECHA INICIO REAL]]="","MODULO NO INICIADO","PENDIENTE"))</f>
        <v>MODULO TERMINADO</v>
      </c>
      <c r="BG45" s="3">
        <f>+IF(AVANCE[[#This Row],[VENTANAS]]=8.10810810810811%,100%,AVANCE[[#This Row],[VENTANAS]])</f>
        <v>1</v>
      </c>
      <c r="BH45" s="3">
        <f>+IF(AVANCE[[#This Row],[PISO]]=N$2,100%,AVANCE[[#This Row],[PISO]])</f>
        <v>1</v>
      </c>
      <c r="BI45" s="3">
        <f>+IF(AVANCE[[#This Row],[TABIQUES]]=O$2,100%,AVANCE[[#This Row],[TABIQUES]])</f>
        <v>1</v>
      </c>
      <c r="BJ45" s="3">
        <f>+IF(AVANCE[[#This Row],[MUROS]]=P$2,100%,AVANCE[[#This Row],[MUROS]])</f>
        <v>1</v>
      </c>
      <c r="BK45" s="3">
        <f>+IF(AVANCE[[#This Row],[CIELO]]=Q$2,100%,AVANCE[[#This Row],[CIELO]])</f>
        <v>1</v>
      </c>
      <c r="BL45" s="3">
        <f>+IF(AVANCE[[#This Row],[BALCÓN]]=R$2,100%,AVANCE[[#This Row],[BALCÓN]])</f>
        <v>1</v>
      </c>
      <c r="BM45" s="3">
        <f>+IF(AVANCE[[#This Row],[RED ALCANTARILLADO]]=U$2,100%,AVANCE[[#This Row],[RED ALCANTARILLADO]])</f>
        <v>1</v>
      </c>
      <c r="BN45" s="3">
        <f>+IF(AVANCE[[#This Row],[RED DE AGUA]]=V$2,100%,AVANCE[[#This Row],[RED DE AGUA]])</f>
        <v>1</v>
      </c>
      <c r="BO45" s="3">
        <f>+IF(AVANCE[[#This Row],[VENTILACIONES]]=W$2,100%,AVANCE[[#This Row],[VENTILACIONES]])</f>
        <v>1</v>
      </c>
      <c r="BP45" s="3">
        <f>+IF(AVANCE[[#This Row],[TINA]]=X$2,100%,AVANCE[[#This Row],[TINA]])</f>
        <v>1</v>
      </c>
      <c r="BQ45" s="3">
        <f>+IF(AVANCE[[#This Row],[WC]]=Y$2,100%,AVANCE[[#This Row],[WC]])</f>
        <v>1</v>
      </c>
      <c r="BR45" s="3">
        <f>+IF(AVANCE[[#This Row],[LAVAMANOS / LAVAPLATOS / LAVADERO]]=Z$2,100%,AVANCE[[#This Row],[LAVAMANOS / LAVAPLATOS / LAVADERO]])</f>
        <v>1</v>
      </c>
      <c r="BS45" s="3">
        <f>+IF(AVANCE[[#This Row],[CANALIZACIÓN]]=AC$2,100%,AVANCE[[#This Row],[CANALIZACIÓN]])</f>
        <v>1</v>
      </c>
      <c r="BT45" s="3">
        <f>+IF(AVANCE[[#This Row],[CABLEADO]]=AD$2,100%,AVANCE[[#This Row],[CABLEADO]])</f>
        <v>1</v>
      </c>
      <c r="BU45" s="3">
        <f>+IF(AVANCE[[#This Row],[ARTEFACTOS]]=AE$2,100%,AVANCE[[#This Row],[ARTEFACTOS]])</f>
        <v>1</v>
      </c>
      <c r="BV45" s="3">
        <f>+IF(AVANCE[[#This Row],[TABLERO]]=AF$2,100%,AVANCE[[#This Row],[TABLERO]])</f>
        <v>1</v>
      </c>
      <c r="BW45" s="3">
        <f>+IF(AVANCE[[#This Row],[CAJA PAU]]=AG$2,100%,AVANCE[[#This Row],[CAJA PAU]])</f>
        <v>1</v>
      </c>
      <c r="BX45" s="3">
        <f>+IF(AVANCE[[#This Row],[INSTALACION VINILICO]]=AJ$2,100%,AVANCE[[#This Row],[INSTALACION VINILICO]])</f>
        <v>1</v>
      </c>
      <c r="BY45" s="3">
        <f>+IF(AVANCE[[#This Row],[OSB CUBIERTA]]=AK$2,100%,AVANCE[[#This Row],[OSB CUBIERTA]])</f>
        <v>1</v>
      </c>
      <c r="BZ45" s="3">
        <f>+IF(AVANCE[[#This Row],[BARANDA BALCON]]=AL$2,100%,AVANCE[[#This Row],[BARANDA BALCON]])</f>
        <v>1</v>
      </c>
      <c r="CA45" s="3">
        <f>+IF(AVANCE[[#This Row],[OSB EXTERIOR]]=AM$2,100%,AVANCE[[#This Row],[OSB EXTERIOR]])</f>
        <v>1</v>
      </c>
      <c r="CB45" s="3">
        <f>+IF(AVANCE[[#This Row],[SMART PANEL]]=AN$2,100%,AVANCE[[#This Row],[SMART PANEL]])</f>
        <v>1</v>
      </c>
      <c r="CC45" s="3">
        <f>+IF(AVANCE[[#This Row],[PINTURA EXTERIOR]]=AO$2,100%,AVANCE[[#This Row],[PINTURA EXTERIOR]])</f>
        <v>1</v>
      </c>
      <c r="CD45" s="3">
        <f>+IF(AVANCE[[#This Row],[ZOCALOS LOGIA]]=AP$2,100%,AVANCE[[#This Row],[ZOCALOS LOGIA]])</f>
        <v>1</v>
      </c>
      <c r="CE45" s="3">
        <f>+IF(AVANCE[[#This Row],[MOLDURAS]]=AQ$2,100%,AVANCE[[#This Row],[MOLDURAS]])</f>
        <v>1</v>
      </c>
      <c r="CF45" s="3">
        <f>+IF(AVANCE[[#This Row],[PILASTREO]]=AR$2,100%,AVANCE[[#This Row],[PILASTREO]])</f>
        <v>1</v>
      </c>
      <c r="CG45" s="3">
        <f>+IF(AVANCE[[#This Row],[CELOSIAS]]=AS$2,100%,AVANCE[[#This Row],[CELOSIAS]])</f>
        <v>1</v>
      </c>
      <c r="CH45" s="3">
        <f>+IF(AVANCE[[#This Row],[VENTANAS]]=AT$2,100%,AVANCE[[#This Row],[VENTANAS]])</f>
        <v>1</v>
      </c>
      <c r="CI45" s="3">
        <f>+IF(AVANCE[[#This Row],[PUERTAS ACCESO - LOGIA - BANO]]=AU$2,100%,AVANCE[[#This Row],[PUERTAS ACCESO - LOGIA - BANO]])</f>
        <v>1</v>
      </c>
      <c r="CJ45" s="3">
        <f>+IF(AVANCE[[#This Row],[CERRADURAS]]=AV$2,100%,AVANCE[[#This Row],[CERRADURAS]])</f>
        <v>1</v>
      </c>
      <c r="CK45" s="3">
        <f>+IF(AVANCE[[#This Row],[REVESTIMIENTO INTERIOR ZONA SECA]]=AW$2,100%,AVANCE[[#This Row],[REVESTIMIENTO INTERIOR ZONA SECA]])</f>
        <v>1</v>
      </c>
      <c r="CL45" s="3">
        <f>+IF(AVANCE[[#This Row],[REVESTIMIENTO INTERIOR ZONAS HUMEDAS]]=AX$2,100%,AVANCE[[#This Row],[REVESTIMIENTO INTERIOR ZONAS HUMEDAS]])</f>
        <v>1</v>
      </c>
      <c r="CM45" s="3">
        <f>+IF(AVANCE[[#This Row],[MEMBRANA CIELO]]=AY$2,100%,AVANCE[[#This Row],[MEMBRANA CIELO]])</f>
        <v>1</v>
      </c>
      <c r="CN45" s="3">
        <f>+IF(AVANCE[[#This Row],[LIMPIEZA FINAL]]=AZ$2,100%,AVANCE[[#This Row],[LIMPIEZA FINAL]])</f>
        <v>1</v>
      </c>
      <c r="CO45" s="3">
        <f>+IF(AVANCE[[#This Row],[PUERTAS DORMITORIO]]=BA$2,100%,AVANCE[[#This Row],[PUERTAS DORMITORIO]])</f>
        <v>1</v>
      </c>
      <c r="CP45" s="3">
        <f>+IF(AVANCE[[#This Row],[REVESTIMIENTO INTERIOR BANO]]=BB$2,100%,AVANCE[[#This Row],[REVESTIMIENTO INTERIOR BANO]])</f>
        <v>1</v>
      </c>
      <c r="CQ45" s="3">
        <f>+IF(AVANCE[[#This Row],[MUEBLE LAVAPLATOS]]=BC$2,100%,AVANCE[[#This Row],[MUEBLE LAVAPLATOS]])</f>
        <v>1</v>
      </c>
      <c r="CR45" s="3">
        <f>+IF(AVANCE[[#This Row],[IMPERMEABILIZACION BANO - COCINA LOGIA]]=BD$2,100%,AVANCE[[#This Row],[IMPERMEABILIZACION BANO - COCINA LOGIA]])</f>
        <v>1</v>
      </c>
      <c r="CS45" s="40">
        <f ca="1">+IF(AVANCE[[#This Row],[ESTADO MODULO]]="PENDIENTE",(TODAY()-AVANCE[[#This Row],[FECHA TERMINO  PLANIFICADO]]),0)</f>
        <v>0</v>
      </c>
      <c r="CT45" s="41" t="str" cm="1">
        <f t="array" ref="CT45">_xlfn.TEXTJOIN(" | ",TRUE,IF(SUMPRODUCT((BG45:CR45&lt;1)*(PARTIDAS!$I$2:$AT$2="OBRA GRUESA"))&gt;0,"OBRA GRUESA: "&amp;_xlfn.TEXTJOIN(", ",TRUE,IF((BG45:CR45&lt;1)*(PARTIDAS!$I$2:$AT$2="OBRA GRUESA"),PARTIDAS!$I$1:$AT$1,"")),""),IF(SUMPRODUCT((BG45:CR45&lt;1)*(PARTIDAS!$I$2:$AT$2="SANITARIOS"))&gt;0,"SANITARIOS: "&amp;_xlfn.TEXTJOIN(", ",TRUE,IF((BG45:CR45&lt;1)*(PARTIDAS!$I$2:$AT$2="SANITARIOS"),PARTIDAS!$I$1:$AT$1,"")),""),IF(SUMPRODUCT((BG45:CR45&lt;1)*(PARTIDAS!$I$2:$AT$2="ELÉCTRICO"))&gt;0,"ELÉCTRICO: "&amp;_xlfn.TEXTJOIN(", ",TRUE,IF((BG45:CR45&lt;1)*(PARTIDAS!$I$2:$AT$2="ELÉCTRICO"),PARTIDAS!$I$1:$AT$1,"")),""),IF(SUMPRODUCT((BG45:CR45&lt;1)*(PARTIDAS!$I$2:$AT$2="TERMINACIONES"))&gt;0,"TERMINACIONES: "&amp;_xlfn.TEXTJOIN(", ",TRUE,IF((BG45:CR45&lt;1)*(PARTIDAS!$I$2:$AT$2="TERMINACIONES"),PARTIDAS!$I$1:$AT$1,"")),""))</f>
        <v/>
      </c>
      <c r="CU45" s="43" t="str" cm="1">
        <f t="array" ref="CU45">_xlfn.TEXTJOIN(", ",TRUE,IF(SUMPRODUCT((BG45:CR45&lt;1)*(PARTIDAS!$I$2:$AT$2="OBRA GRUESA"))&gt;0,"OBRA GRUESA",""),IF(SUMPRODUCT((BG45:CR45&lt;1)*(PARTIDAS!$I$2:$AT$2="SANITARIOS"))&gt;0,"SANITARIOS",""),IF(SUMPRODUCT((BG45:CR45&lt;1)*(PARTIDAS!$I$2:$AT$2="ELÉCTRICO"))&gt;0,"ELÉCTRICO",""),IF(SUMPRODUCT((BG45:CR45&lt;1)*(PARTIDAS!$I$2:$AT$2="TERMINACIONES"))&gt;0,"TERMINACIONES",""))</f>
        <v/>
      </c>
      <c r="CV45" s="44" cm="1">
        <f t="array" ref="CV45">SUMPRODUCT(--(BG45:CR45&lt;1))</f>
        <v>0</v>
      </c>
    </row>
    <row r="46" spans="1:100" hidden="1" x14ac:dyDescent="0.25">
      <c r="A46" t="s">
        <v>91</v>
      </c>
      <c r="B46" t="s">
        <v>104</v>
      </c>
      <c r="C46">
        <v>2282600045</v>
      </c>
      <c r="D46" t="s">
        <v>58</v>
      </c>
      <c r="E46" s="2">
        <v>0.99999999999999978</v>
      </c>
      <c r="F46" s="1">
        <v>46132</v>
      </c>
      <c r="G46" s="1">
        <v>46132</v>
      </c>
      <c r="H46" s="1">
        <v>46191</v>
      </c>
      <c r="I46" s="1">
        <v>46161</v>
      </c>
      <c r="K46" s="1">
        <v>46191</v>
      </c>
      <c r="L46" s="3">
        <v>0.43</v>
      </c>
      <c r="M46" s="3">
        <v>1</v>
      </c>
      <c r="N46" s="3">
        <v>0.27906976744186046</v>
      </c>
      <c r="O46" s="3">
        <v>0.18604651162790697</v>
      </c>
      <c r="P46" s="3">
        <v>0.2558139534883721</v>
      </c>
      <c r="Q46" s="3">
        <v>0.18604651162790697</v>
      </c>
      <c r="R46" s="3">
        <v>9.3023255813953487E-2</v>
      </c>
      <c r="S46" s="3">
        <v>0.09</v>
      </c>
      <c r="T46" s="3">
        <v>1</v>
      </c>
      <c r="U46" s="3">
        <v>0.22222222222222221</v>
      </c>
      <c r="V46" s="3">
        <v>0.22222222222222221</v>
      </c>
      <c r="W46" s="3">
        <v>0.1111111111111111</v>
      </c>
      <c r="X46" s="3">
        <v>0.1111111111111111</v>
      </c>
      <c r="Y46" s="3">
        <v>0.1111111111111111</v>
      </c>
      <c r="Z46" s="3">
        <v>0.22222222222222221</v>
      </c>
      <c r="AA46" s="3">
        <v>0.11</v>
      </c>
      <c r="AB46" s="3">
        <v>1</v>
      </c>
      <c r="AC46" s="3">
        <v>0.27272727272727271</v>
      </c>
      <c r="AD46" s="3">
        <v>0.27272727272727271</v>
      </c>
      <c r="AE46" s="3">
        <v>9.0909090909090912E-2</v>
      </c>
      <c r="AF46" s="3">
        <v>0.18181818181818182</v>
      </c>
      <c r="AG46" s="3">
        <v>0.18181818181818182</v>
      </c>
      <c r="AH46" s="3">
        <v>0.36999999999999983</v>
      </c>
      <c r="AI46" s="3">
        <v>0.99999999999999956</v>
      </c>
      <c r="AJ46" s="3">
        <v>5.4054054054054036E-2</v>
      </c>
      <c r="AK46" s="3">
        <v>5.4054054054054036E-2</v>
      </c>
      <c r="AL46" s="3">
        <v>2.7027027027027018E-2</v>
      </c>
      <c r="AM46" s="3">
        <v>8.1081081081081058E-2</v>
      </c>
      <c r="AN46" s="3">
        <v>8.1081081081081058E-2</v>
      </c>
      <c r="AO46" s="3">
        <v>6.7567567567567557E-2</v>
      </c>
      <c r="AP46" s="3">
        <v>5.4054054054054036E-2</v>
      </c>
      <c r="AQ46" s="3">
        <v>1.3513513513513509E-2</v>
      </c>
      <c r="AR46" s="3">
        <v>4.0540540540540529E-2</v>
      </c>
      <c r="AS46" s="3">
        <v>1.3513513513513509E-2</v>
      </c>
      <c r="AT46" s="3">
        <v>8.1081081081081058E-2</v>
      </c>
      <c r="AU46" s="3">
        <v>5.4054054054054036E-2</v>
      </c>
      <c r="AV46" s="3">
        <v>2.7027027027027018E-2</v>
      </c>
      <c r="AW46" s="3">
        <v>5.4054054054054036E-2</v>
      </c>
      <c r="AX46" s="3">
        <v>5.4054054054054036E-2</v>
      </c>
      <c r="AY46" s="3">
        <v>2.7027027027027018E-2</v>
      </c>
      <c r="AZ46" s="3">
        <v>4.0540540540540529E-2</v>
      </c>
      <c r="BA46" s="3">
        <v>5.4054054054054036E-2</v>
      </c>
      <c r="BB46" s="3">
        <v>8.1081081081081058E-2</v>
      </c>
      <c r="BC46" s="3">
        <v>1.3513513513513509E-2</v>
      </c>
      <c r="BD46" s="3">
        <v>2.7027027027027018E-2</v>
      </c>
      <c r="BE46">
        <v>28.87</v>
      </c>
      <c r="BF46" s="3" t="str">
        <f>+IF(AVANCE[[#This Row],[% AVANCE]]=100%,"MODULO TERMINADO",IF(AVANCE[[#This Row],[FECHA INICIO REAL]]="","MODULO NO INICIADO","PENDIENTE"))</f>
        <v>MODULO TERMINADO</v>
      </c>
      <c r="BG46" s="3">
        <f>+IF(AVANCE[[#This Row],[VENTANAS]]=8.10810810810811%,100%,AVANCE[[#This Row],[VENTANAS]])</f>
        <v>1</v>
      </c>
      <c r="BH46" s="3">
        <f>+IF(AVANCE[[#This Row],[PISO]]=N$2,100%,AVANCE[[#This Row],[PISO]])</f>
        <v>1</v>
      </c>
      <c r="BI46" s="3">
        <f>+IF(AVANCE[[#This Row],[TABIQUES]]=O$2,100%,AVANCE[[#This Row],[TABIQUES]])</f>
        <v>1</v>
      </c>
      <c r="BJ46" s="3">
        <f>+IF(AVANCE[[#This Row],[MUROS]]=P$2,100%,AVANCE[[#This Row],[MUROS]])</f>
        <v>1</v>
      </c>
      <c r="BK46" s="3">
        <f>+IF(AVANCE[[#This Row],[CIELO]]=Q$2,100%,AVANCE[[#This Row],[CIELO]])</f>
        <v>1</v>
      </c>
      <c r="BL46" s="3">
        <f>+IF(AVANCE[[#This Row],[BALCÓN]]=R$2,100%,AVANCE[[#This Row],[BALCÓN]])</f>
        <v>1</v>
      </c>
      <c r="BM46" s="3">
        <f>+IF(AVANCE[[#This Row],[RED ALCANTARILLADO]]=U$2,100%,AVANCE[[#This Row],[RED ALCANTARILLADO]])</f>
        <v>1</v>
      </c>
      <c r="BN46" s="3">
        <f>+IF(AVANCE[[#This Row],[RED DE AGUA]]=V$2,100%,AVANCE[[#This Row],[RED DE AGUA]])</f>
        <v>1</v>
      </c>
      <c r="BO46" s="3">
        <f>+IF(AVANCE[[#This Row],[VENTILACIONES]]=W$2,100%,AVANCE[[#This Row],[VENTILACIONES]])</f>
        <v>1</v>
      </c>
      <c r="BP46" s="3">
        <f>+IF(AVANCE[[#This Row],[TINA]]=X$2,100%,AVANCE[[#This Row],[TINA]])</f>
        <v>1</v>
      </c>
      <c r="BQ46" s="3">
        <f>+IF(AVANCE[[#This Row],[WC]]=Y$2,100%,AVANCE[[#This Row],[WC]])</f>
        <v>1</v>
      </c>
      <c r="BR46" s="3">
        <f>+IF(AVANCE[[#This Row],[LAVAMANOS / LAVAPLATOS / LAVADERO]]=Z$2,100%,AVANCE[[#This Row],[LAVAMANOS / LAVAPLATOS / LAVADERO]])</f>
        <v>1</v>
      </c>
      <c r="BS46" s="3">
        <f>+IF(AVANCE[[#This Row],[CANALIZACIÓN]]=AC$2,100%,AVANCE[[#This Row],[CANALIZACIÓN]])</f>
        <v>1</v>
      </c>
      <c r="BT46" s="3">
        <f>+IF(AVANCE[[#This Row],[CABLEADO]]=AD$2,100%,AVANCE[[#This Row],[CABLEADO]])</f>
        <v>1</v>
      </c>
      <c r="BU46" s="3">
        <f>+IF(AVANCE[[#This Row],[ARTEFACTOS]]=AE$2,100%,AVANCE[[#This Row],[ARTEFACTOS]])</f>
        <v>1</v>
      </c>
      <c r="BV46" s="3">
        <f>+IF(AVANCE[[#This Row],[TABLERO]]=AF$2,100%,AVANCE[[#This Row],[TABLERO]])</f>
        <v>1</v>
      </c>
      <c r="BW46" s="3">
        <f>+IF(AVANCE[[#This Row],[CAJA PAU]]=AG$2,100%,AVANCE[[#This Row],[CAJA PAU]])</f>
        <v>1</v>
      </c>
      <c r="BX46" s="3">
        <f>+IF(AVANCE[[#This Row],[INSTALACION VINILICO]]=AJ$2,100%,AVANCE[[#This Row],[INSTALACION VINILICO]])</f>
        <v>1</v>
      </c>
      <c r="BY46" s="3">
        <f>+IF(AVANCE[[#This Row],[OSB CUBIERTA]]=AK$2,100%,AVANCE[[#This Row],[OSB CUBIERTA]])</f>
        <v>1</v>
      </c>
      <c r="BZ46" s="3">
        <f>+IF(AVANCE[[#This Row],[BARANDA BALCON]]=AL$2,100%,AVANCE[[#This Row],[BARANDA BALCON]])</f>
        <v>1</v>
      </c>
      <c r="CA46" s="3">
        <f>+IF(AVANCE[[#This Row],[OSB EXTERIOR]]=AM$2,100%,AVANCE[[#This Row],[OSB EXTERIOR]])</f>
        <v>1</v>
      </c>
      <c r="CB46" s="3">
        <f>+IF(AVANCE[[#This Row],[SMART PANEL]]=AN$2,100%,AVANCE[[#This Row],[SMART PANEL]])</f>
        <v>1</v>
      </c>
      <c r="CC46" s="3">
        <f>+IF(AVANCE[[#This Row],[PINTURA EXTERIOR]]=AO$2,100%,AVANCE[[#This Row],[PINTURA EXTERIOR]])</f>
        <v>1</v>
      </c>
      <c r="CD46" s="3">
        <f>+IF(AVANCE[[#This Row],[ZOCALOS LOGIA]]=AP$2,100%,AVANCE[[#This Row],[ZOCALOS LOGIA]])</f>
        <v>1</v>
      </c>
      <c r="CE46" s="3">
        <f>+IF(AVANCE[[#This Row],[MOLDURAS]]=AQ$2,100%,AVANCE[[#This Row],[MOLDURAS]])</f>
        <v>1</v>
      </c>
      <c r="CF46" s="3">
        <f>+IF(AVANCE[[#This Row],[PILASTREO]]=AR$2,100%,AVANCE[[#This Row],[PILASTREO]])</f>
        <v>1</v>
      </c>
      <c r="CG46" s="3">
        <f>+IF(AVANCE[[#This Row],[CELOSIAS]]=AS$2,100%,AVANCE[[#This Row],[CELOSIAS]])</f>
        <v>1</v>
      </c>
      <c r="CH46" s="3">
        <f>+IF(AVANCE[[#This Row],[VENTANAS]]=AT$2,100%,AVANCE[[#This Row],[VENTANAS]])</f>
        <v>1</v>
      </c>
      <c r="CI46" s="3">
        <f>+IF(AVANCE[[#This Row],[PUERTAS ACCESO - LOGIA - BANO]]=AU$2,100%,AVANCE[[#This Row],[PUERTAS ACCESO - LOGIA - BANO]])</f>
        <v>1</v>
      </c>
      <c r="CJ46" s="3">
        <f>+IF(AVANCE[[#This Row],[CERRADURAS]]=AV$2,100%,AVANCE[[#This Row],[CERRADURAS]])</f>
        <v>1</v>
      </c>
      <c r="CK46" s="3">
        <f>+IF(AVANCE[[#This Row],[REVESTIMIENTO INTERIOR ZONA SECA]]=AW$2,100%,AVANCE[[#This Row],[REVESTIMIENTO INTERIOR ZONA SECA]])</f>
        <v>1</v>
      </c>
      <c r="CL46" s="3">
        <f>+IF(AVANCE[[#This Row],[REVESTIMIENTO INTERIOR ZONAS HUMEDAS]]=AX$2,100%,AVANCE[[#This Row],[REVESTIMIENTO INTERIOR ZONAS HUMEDAS]])</f>
        <v>1</v>
      </c>
      <c r="CM46" s="3">
        <f>+IF(AVANCE[[#This Row],[MEMBRANA CIELO]]=AY$2,100%,AVANCE[[#This Row],[MEMBRANA CIELO]])</f>
        <v>1</v>
      </c>
      <c r="CN46" s="3">
        <f>+IF(AVANCE[[#This Row],[LIMPIEZA FINAL]]=AZ$2,100%,AVANCE[[#This Row],[LIMPIEZA FINAL]])</f>
        <v>1</v>
      </c>
      <c r="CO46" s="3">
        <f>+IF(AVANCE[[#This Row],[PUERTAS DORMITORIO]]=BA$2,100%,AVANCE[[#This Row],[PUERTAS DORMITORIO]])</f>
        <v>1</v>
      </c>
      <c r="CP46" s="3">
        <f>+IF(AVANCE[[#This Row],[REVESTIMIENTO INTERIOR BANO]]=BB$2,100%,AVANCE[[#This Row],[REVESTIMIENTO INTERIOR BANO]])</f>
        <v>1</v>
      </c>
      <c r="CQ46" s="3">
        <f>+IF(AVANCE[[#This Row],[MUEBLE LAVAPLATOS]]=BC$2,100%,AVANCE[[#This Row],[MUEBLE LAVAPLATOS]])</f>
        <v>1</v>
      </c>
      <c r="CR46" s="3">
        <f>+IF(AVANCE[[#This Row],[IMPERMEABILIZACION BANO - COCINA LOGIA]]=BD$2,100%,AVANCE[[#This Row],[IMPERMEABILIZACION BANO - COCINA LOGIA]])</f>
        <v>1</v>
      </c>
      <c r="CS46" s="40">
        <f ca="1">+IF(AVANCE[[#This Row],[ESTADO MODULO]]="PENDIENTE",(TODAY()-AVANCE[[#This Row],[FECHA TERMINO  PLANIFICADO]]),0)</f>
        <v>0</v>
      </c>
      <c r="CT46" s="41" t="str" cm="1">
        <f t="array" ref="CT46">_xlfn.TEXTJOIN(" | ",TRUE,IF(SUMPRODUCT((BG46:CR46&lt;1)*(PARTIDAS!$I$2:$AT$2="OBRA GRUESA"))&gt;0,"OBRA GRUESA: "&amp;_xlfn.TEXTJOIN(", ",TRUE,IF((BG46:CR46&lt;1)*(PARTIDAS!$I$2:$AT$2="OBRA GRUESA"),PARTIDAS!$I$1:$AT$1,"")),""),IF(SUMPRODUCT((BG46:CR46&lt;1)*(PARTIDAS!$I$2:$AT$2="SANITARIOS"))&gt;0,"SANITARIOS: "&amp;_xlfn.TEXTJOIN(", ",TRUE,IF((BG46:CR46&lt;1)*(PARTIDAS!$I$2:$AT$2="SANITARIOS"),PARTIDAS!$I$1:$AT$1,"")),""),IF(SUMPRODUCT((BG46:CR46&lt;1)*(PARTIDAS!$I$2:$AT$2="ELÉCTRICO"))&gt;0,"ELÉCTRICO: "&amp;_xlfn.TEXTJOIN(", ",TRUE,IF((BG46:CR46&lt;1)*(PARTIDAS!$I$2:$AT$2="ELÉCTRICO"),PARTIDAS!$I$1:$AT$1,"")),""),IF(SUMPRODUCT((BG46:CR46&lt;1)*(PARTIDAS!$I$2:$AT$2="TERMINACIONES"))&gt;0,"TERMINACIONES: "&amp;_xlfn.TEXTJOIN(", ",TRUE,IF((BG46:CR46&lt;1)*(PARTIDAS!$I$2:$AT$2="TERMINACIONES"),PARTIDAS!$I$1:$AT$1,"")),""))</f>
        <v/>
      </c>
      <c r="CU46" s="43" t="str" cm="1">
        <f t="array" ref="CU46">_xlfn.TEXTJOIN(", ",TRUE,IF(SUMPRODUCT((BG46:CR46&lt;1)*(PARTIDAS!$I$2:$AT$2="OBRA GRUESA"))&gt;0,"OBRA GRUESA",""),IF(SUMPRODUCT((BG46:CR46&lt;1)*(PARTIDAS!$I$2:$AT$2="SANITARIOS"))&gt;0,"SANITARIOS",""),IF(SUMPRODUCT((BG46:CR46&lt;1)*(PARTIDAS!$I$2:$AT$2="ELÉCTRICO"))&gt;0,"ELÉCTRICO",""),IF(SUMPRODUCT((BG46:CR46&lt;1)*(PARTIDAS!$I$2:$AT$2="TERMINACIONES"))&gt;0,"TERMINACIONES",""))</f>
        <v/>
      </c>
      <c r="CV46" s="44" cm="1">
        <f t="array" ref="CV46">SUMPRODUCT(--(BG46:CR46&lt;1))</f>
        <v>0</v>
      </c>
    </row>
    <row r="47" spans="1:100" hidden="1" x14ac:dyDescent="0.25">
      <c r="A47" t="s">
        <v>91</v>
      </c>
      <c r="B47" t="s">
        <v>105</v>
      </c>
      <c r="C47">
        <v>2302600046</v>
      </c>
      <c r="D47" t="s">
        <v>60</v>
      </c>
      <c r="E47" s="2">
        <v>0.99999999999999978</v>
      </c>
      <c r="F47" s="1">
        <v>46126</v>
      </c>
      <c r="G47" s="1">
        <v>46126</v>
      </c>
      <c r="H47" s="1">
        <v>46195</v>
      </c>
      <c r="I47" s="1">
        <v>46166</v>
      </c>
      <c r="K47" s="1">
        <v>46195</v>
      </c>
      <c r="L47" s="3">
        <v>0.43</v>
      </c>
      <c r="M47" s="3">
        <v>1</v>
      </c>
      <c r="N47" s="3">
        <v>0.27906976744186046</v>
      </c>
      <c r="O47" s="3">
        <v>0.18604651162790697</v>
      </c>
      <c r="P47" s="3">
        <v>0.2558139534883721</v>
      </c>
      <c r="Q47" s="3">
        <v>0.18604651162790697</v>
      </c>
      <c r="R47" s="3">
        <v>9.3023255813953487E-2</v>
      </c>
      <c r="S47" s="3">
        <v>0.09</v>
      </c>
      <c r="T47" s="3">
        <v>1</v>
      </c>
      <c r="U47" s="3">
        <v>0.22222222222222221</v>
      </c>
      <c r="V47" s="3">
        <v>0.22222222222222221</v>
      </c>
      <c r="W47" s="3">
        <v>0.1111111111111111</v>
      </c>
      <c r="X47" s="3">
        <v>0.1111111111111111</v>
      </c>
      <c r="Y47" s="3">
        <v>0.1111111111111111</v>
      </c>
      <c r="Z47" s="3">
        <v>0.22222222222222221</v>
      </c>
      <c r="AA47" s="3">
        <v>0.11</v>
      </c>
      <c r="AB47" s="3">
        <v>1</v>
      </c>
      <c r="AC47" s="3">
        <v>0.27272727272727271</v>
      </c>
      <c r="AD47" s="3">
        <v>0.27272727272727271</v>
      </c>
      <c r="AE47" s="3">
        <v>9.0909090909090912E-2</v>
      </c>
      <c r="AF47" s="3">
        <v>0.18181818181818182</v>
      </c>
      <c r="AG47" s="3">
        <v>0.18181818181818182</v>
      </c>
      <c r="AH47" s="3">
        <v>0.36999999999999983</v>
      </c>
      <c r="AI47" s="3">
        <v>0.99999999999999956</v>
      </c>
      <c r="AJ47" s="3">
        <v>5.4054054054054036E-2</v>
      </c>
      <c r="AK47" s="3">
        <v>5.4054054054054036E-2</v>
      </c>
      <c r="AL47" s="3">
        <v>2.7027027027027018E-2</v>
      </c>
      <c r="AM47" s="3">
        <v>8.1081081081081058E-2</v>
      </c>
      <c r="AN47" s="3">
        <v>8.1081081081081058E-2</v>
      </c>
      <c r="AO47" s="3">
        <v>6.7567567567567557E-2</v>
      </c>
      <c r="AP47" s="3">
        <v>5.4054054054054036E-2</v>
      </c>
      <c r="AQ47" s="3">
        <v>1.3513513513513509E-2</v>
      </c>
      <c r="AR47" s="3">
        <v>4.0540540540540529E-2</v>
      </c>
      <c r="AS47" s="3">
        <v>1.3513513513513509E-2</v>
      </c>
      <c r="AT47" s="3">
        <v>8.1081081081081058E-2</v>
      </c>
      <c r="AU47" s="3">
        <v>5.4054054054054036E-2</v>
      </c>
      <c r="AV47" s="3">
        <v>2.7027027027027018E-2</v>
      </c>
      <c r="AW47" s="3">
        <v>5.4054054054054036E-2</v>
      </c>
      <c r="AX47" s="3">
        <v>5.4054054054054036E-2</v>
      </c>
      <c r="AY47" s="3">
        <v>2.7027027027027018E-2</v>
      </c>
      <c r="AZ47" s="3">
        <v>4.0540540540540529E-2</v>
      </c>
      <c r="BA47" s="3">
        <v>5.4054054054054036E-2</v>
      </c>
      <c r="BB47" s="3">
        <v>8.1081081081081058E-2</v>
      </c>
      <c r="BC47" s="3">
        <v>1.3513513513513509E-2</v>
      </c>
      <c r="BD47" s="3">
        <v>2.7027027027027018E-2</v>
      </c>
      <c r="BE47">
        <v>31.32</v>
      </c>
      <c r="BF47" s="3" t="str">
        <f>+IF(AVANCE[[#This Row],[% AVANCE]]=100%,"MODULO TERMINADO",IF(AVANCE[[#This Row],[FECHA INICIO REAL]]="","MODULO NO INICIADO","PENDIENTE"))</f>
        <v>MODULO TERMINADO</v>
      </c>
      <c r="BG47" s="3">
        <f>+IF(AVANCE[[#This Row],[VENTANAS]]=8.10810810810811%,100%,AVANCE[[#This Row],[VENTANAS]])</f>
        <v>1</v>
      </c>
      <c r="BH47" s="3">
        <f>+IF(AVANCE[[#This Row],[PISO]]=N$2,100%,AVANCE[[#This Row],[PISO]])</f>
        <v>1</v>
      </c>
      <c r="BI47" s="3">
        <f>+IF(AVANCE[[#This Row],[TABIQUES]]=O$2,100%,AVANCE[[#This Row],[TABIQUES]])</f>
        <v>1</v>
      </c>
      <c r="BJ47" s="3">
        <f>+IF(AVANCE[[#This Row],[MUROS]]=P$2,100%,AVANCE[[#This Row],[MUROS]])</f>
        <v>1</v>
      </c>
      <c r="BK47" s="3">
        <f>+IF(AVANCE[[#This Row],[CIELO]]=Q$2,100%,AVANCE[[#This Row],[CIELO]])</f>
        <v>1</v>
      </c>
      <c r="BL47" s="3">
        <f>+IF(AVANCE[[#This Row],[BALCÓN]]=R$2,100%,AVANCE[[#This Row],[BALCÓN]])</f>
        <v>1</v>
      </c>
      <c r="BM47" s="3">
        <f>+IF(AVANCE[[#This Row],[RED ALCANTARILLADO]]=U$2,100%,AVANCE[[#This Row],[RED ALCANTARILLADO]])</f>
        <v>1</v>
      </c>
      <c r="BN47" s="3">
        <f>+IF(AVANCE[[#This Row],[RED DE AGUA]]=V$2,100%,AVANCE[[#This Row],[RED DE AGUA]])</f>
        <v>1</v>
      </c>
      <c r="BO47" s="3">
        <f>+IF(AVANCE[[#This Row],[VENTILACIONES]]=W$2,100%,AVANCE[[#This Row],[VENTILACIONES]])</f>
        <v>1</v>
      </c>
      <c r="BP47" s="3">
        <f>+IF(AVANCE[[#This Row],[TINA]]=X$2,100%,AVANCE[[#This Row],[TINA]])</f>
        <v>1</v>
      </c>
      <c r="BQ47" s="3">
        <f>+IF(AVANCE[[#This Row],[WC]]=Y$2,100%,AVANCE[[#This Row],[WC]])</f>
        <v>1</v>
      </c>
      <c r="BR47" s="3">
        <f>+IF(AVANCE[[#This Row],[LAVAMANOS / LAVAPLATOS / LAVADERO]]=Z$2,100%,AVANCE[[#This Row],[LAVAMANOS / LAVAPLATOS / LAVADERO]])</f>
        <v>1</v>
      </c>
      <c r="BS47" s="3">
        <f>+IF(AVANCE[[#This Row],[CANALIZACIÓN]]=AC$2,100%,AVANCE[[#This Row],[CANALIZACIÓN]])</f>
        <v>1</v>
      </c>
      <c r="BT47" s="3">
        <f>+IF(AVANCE[[#This Row],[CABLEADO]]=AD$2,100%,AVANCE[[#This Row],[CABLEADO]])</f>
        <v>1</v>
      </c>
      <c r="BU47" s="3">
        <f>+IF(AVANCE[[#This Row],[ARTEFACTOS]]=AE$2,100%,AVANCE[[#This Row],[ARTEFACTOS]])</f>
        <v>1</v>
      </c>
      <c r="BV47" s="3">
        <f>+IF(AVANCE[[#This Row],[TABLERO]]=AF$2,100%,AVANCE[[#This Row],[TABLERO]])</f>
        <v>1</v>
      </c>
      <c r="BW47" s="3">
        <f>+IF(AVANCE[[#This Row],[CAJA PAU]]=AG$2,100%,AVANCE[[#This Row],[CAJA PAU]])</f>
        <v>1</v>
      </c>
      <c r="BX47" s="3">
        <f>+IF(AVANCE[[#This Row],[INSTALACION VINILICO]]=AJ$2,100%,AVANCE[[#This Row],[INSTALACION VINILICO]])</f>
        <v>1</v>
      </c>
      <c r="BY47" s="3">
        <f>+IF(AVANCE[[#This Row],[OSB CUBIERTA]]=AK$2,100%,AVANCE[[#This Row],[OSB CUBIERTA]])</f>
        <v>1</v>
      </c>
      <c r="BZ47" s="3">
        <f>+IF(AVANCE[[#This Row],[BARANDA BALCON]]=AL$2,100%,AVANCE[[#This Row],[BARANDA BALCON]])</f>
        <v>1</v>
      </c>
      <c r="CA47" s="3">
        <f>+IF(AVANCE[[#This Row],[OSB EXTERIOR]]=AM$2,100%,AVANCE[[#This Row],[OSB EXTERIOR]])</f>
        <v>1</v>
      </c>
      <c r="CB47" s="3">
        <f>+IF(AVANCE[[#This Row],[SMART PANEL]]=AN$2,100%,AVANCE[[#This Row],[SMART PANEL]])</f>
        <v>1</v>
      </c>
      <c r="CC47" s="3">
        <f>+IF(AVANCE[[#This Row],[PINTURA EXTERIOR]]=AO$2,100%,AVANCE[[#This Row],[PINTURA EXTERIOR]])</f>
        <v>1</v>
      </c>
      <c r="CD47" s="3">
        <f>+IF(AVANCE[[#This Row],[ZOCALOS LOGIA]]=AP$2,100%,AVANCE[[#This Row],[ZOCALOS LOGIA]])</f>
        <v>1</v>
      </c>
      <c r="CE47" s="3">
        <f>+IF(AVANCE[[#This Row],[MOLDURAS]]=AQ$2,100%,AVANCE[[#This Row],[MOLDURAS]])</f>
        <v>1</v>
      </c>
      <c r="CF47" s="3">
        <f>+IF(AVANCE[[#This Row],[PILASTREO]]=AR$2,100%,AVANCE[[#This Row],[PILASTREO]])</f>
        <v>1</v>
      </c>
      <c r="CG47" s="3">
        <f>+IF(AVANCE[[#This Row],[CELOSIAS]]=AS$2,100%,AVANCE[[#This Row],[CELOSIAS]])</f>
        <v>1</v>
      </c>
      <c r="CH47" s="3">
        <f>+IF(AVANCE[[#This Row],[VENTANAS]]=AT$2,100%,AVANCE[[#This Row],[VENTANAS]])</f>
        <v>1</v>
      </c>
      <c r="CI47" s="3">
        <f>+IF(AVANCE[[#This Row],[PUERTAS ACCESO - LOGIA - BANO]]=AU$2,100%,AVANCE[[#This Row],[PUERTAS ACCESO - LOGIA - BANO]])</f>
        <v>1</v>
      </c>
      <c r="CJ47" s="3">
        <f>+IF(AVANCE[[#This Row],[CERRADURAS]]=AV$2,100%,AVANCE[[#This Row],[CERRADURAS]])</f>
        <v>1</v>
      </c>
      <c r="CK47" s="3">
        <f>+IF(AVANCE[[#This Row],[REVESTIMIENTO INTERIOR ZONA SECA]]=AW$2,100%,AVANCE[[#This Row],[REVESTIMIENTO INTERIOR ZONA SECA]])</f>
        <v>1</v>
      </c>
      <c r="CL47" s="3">
        <f>+IF(AVANCE[[#This Row],[REVESTIMIENTO INTERIOR ZONAS HUMEDAS]]=AX$2,100%,AVANCE[[#This Row],[REVESTIMIENTO INTERIOR ZONAS HUMEDAS]])</f>
        <v>1</v>
      </c>
      <c r="CM47" s="3">
        <f>+IF(AVANCE[[#This Row],[MEMBRANA CIELO]]=AY$2,100%,AVANCE[[#This Row],[MEMBRANA CIELO]])</f>
        <v>1</v>
      </c>
      <c r="CN47" s="3">
        <f>+IF(AVANCE[[#This Row],[LIMPIEZA FINAL]]=AZ$2,100%,AVANCE[[#This Row],[LIMPIEZA FINAL]])</f>
        <v>1</v>
      </c>
      <c r="CO47" s="3">
        <f>+IF(AVANCE[[#This Row],[PUERTAS DORMITORIO]]=BA$2,100%,AVANCE[[#This Row],[PUERTAS DORMITORIO]])</f>
        <v>1</v>
      </c>
      <c r="CP47" s="3">
        <f>+IF(AVANCE[[#This Row],[REVESTIMIENTO INTERIOR BANO]]=BB$2,100%,AVANCE[[#This Row],[REVESTIMIENTO INTERIOR BANO]])</f>
        <v>1</v>
      </c>
      <c r="CQ47" s="3">
        <f>+IF(AVANCE[[#This Row],[MUEBLE LAVAPLATOS]]=BC$2,100%,AVANCE[[#This Row],[MUEBLE LAVAPLATOS]])</f>
        <v>1</v>
      </c>
      <c r="CR47" s="3">
        <f>+IF(AVANCE[[#This Row],[IMPERMEABILIZACION BANO - COCINA LOGIA]]=BD$2,100%,AVANCE[[#This Row],[IMPERMEABILIZACION BANO - COCINA LOGIA]])</f>
        <v>1</v>
      </c>
      <c r="CS47" s="40">
        <f ca="1">+IF(AVANCE[[#This Row],[ESTADO MODULO]]="PENDIENTE",(TODAY()-AVANCE[[#This Row],[FECHA TERMINO  PLANIFICADO]]),0)</f>
        <v>0</v>
      </c>
      <c r="CT47" s="41" t="str" cm="1">
        <f t="array" ref="CT47">_xlfn.TEXTJOIN(" | ",TRUE,IF(SUMPRODUCT((BG47:CR47&lt;1)*(PARTIDAS!$I$2:$AT$2="OBRA GRUESA"))&gt;0,"OBRA GRUESA: "&amp;_xlfn.TEXTJOIN(", ",TRUE,IF((BG47:CR47&lt;1)*(PARTIDAS!$I$2:$AT$2="OBRA GRUESA"),PARTIDAS!$I$1:$AT$1,"")),""),IF(SUMPRODUCT((BG47:CR47&lt;1)*(PARTIDAS!$I$2:$AT$2="SANITARIOS"))&gt;0,"SANITARIOS: "&amp;_xlfn.TEXTJOIN(", ",TRUE,IF((BG47:CR47&lt;1)*(PARTIDAS!$I$2:$AT$2="SANITARIOS"),PARTIDAS!$I$1:$AT$1,"")),""),IF(SUMPRODUCT((BG47:CR47&lt;1)*(PARTIDAS!$I$2:$AT$2="ELÉCTRICO"))&gt;0,"ELÉCTRICO: "&amp;_xlfn.TEXTJOIN(", ",TRUE,IF((BG47:CR47&lt;1)*(PARTIDAS!$I$2:$AT$2="ELÉCTRICO"),PARTIDAS!$I$1:$AT$1,"")),""),IF(SUMPRODUCT((BG47:CR47&lt;1)*(PARTIDAS!$I$2:$AT$2="TERMINACIONES"))&gt;0,"TERMINACIONES: "&amp;_xlfn.TEXTJOIN(", ",TRUE,IF((BG47:CR47&lt;1)*(PARTIDAS!$I$2:$AT$2="TERMINACIONES"),PARTIDAS!$I$1:$AT$1,"")),""))</f>
        <v/>
      </c>
      <c r="CU47" s="43" t="str" cm="1">
        <f t="array" ref="CU47">_xlfn.TEXTJOIN(", ",TRUE,IF(SUMPRODUCT((BG47:CR47&lt;1)*(PARTIDAS!$I$2:$AT$2="OBRA GRUESA"))&gt;0,"OBRA GRUESA",""),IF(SUMPRODUCT((BG47:CR47&lt;1)*(PARTIDAS!$I$2:$AT$2="SANITARIOS"))&gt;0,"SANITARIOS",""),IF(SUMPRODUCT((BG47:CR47&lt;1)*(PARTIDAS!$I$2:$AT$2="ELÉCTRICO"))&gt;0,"ELÉCTRICO",""),IF(SUMPRODUCT((BG47:CR47&lt;1)*(PARTIDAS!$I$2:$AT$2="TERMINACIONES"))&gt;0,"TERMINACIONES",""))</f>
        <v/>
      </c>
      <c r="CV47" s="44" cm="1">
        <f t="array" ref="CV47">SUMPRODUCT(--(BG47:CR47&lt;1))</f>
        <v>0</v>
      </c>
    </row>
    <row r="48" spans="1:100" hidden="1" x14ac:dyDescent="0.25">
      <c r="A48" t="s">
        <v>91</v>
      </c>
      <c r="B48" t="s">
        <v>106</v>
      </c>
      <c r="C48">
        <v>2302600047</v>
      </c>
      <c r="D48" t="s">
        <v>60</v>
      </c>
      <c r="E48" s="2">
        <v>0.99999999999999978</v>
      </c>
      <c r="F48" s="1">
        <v>46127</v>
      </c>
      <c r="G48" s="1">
        <v>46127</v>
      </c>
      <c r="H48" s="1">
        <v>46195</v>
      </c>
      <c r="I48" s="1">
        <v>46167</v>
      </c>
      <c r="K48" s="1">
        <v>46195</v>
      </c>
      <c r="L48" s="3">
        <v>0.43</v>
      </c>
      <c r="M48" s="3">
        <v>1</v>
      </c>
      <c r="N48" s="3">
        <v>0.27906976744186046</v>
      </c>
      <c r="O48" s="3">
        <v>0.18604651162790697</v>
      </c>
      <c r="P48" s="3">
        <v>0.2558139534883721</v>
      </c>
      <c r="Q48" s="3">
        <v>0.18604651162790697</v>
      </c>
      <c r="R48" s="3">
        <v>9.3023255813953487E-2</v>
      </c>
      <c r="S48" s="3">
        <v>0.09</v>
      </c>
      <c r="T48" s="3">
        <v>1</v>
      </c>
      <c r="U48" s="3">
        <v>0.22222222222222221</v>
      </c>
      <c r="V48" s="3">
        <v>0.22222222222222221</v>
      </c>
      <c r="W48" s="3">
        <v>0.1111111111111111</v>
      </c>
      <c r="X48" s="3">
        <v>0.1111111111111111</v>
      </c>
      <c r="Y48" s="3">
        <v>0.1111111111111111</v>
      </c>
      <c r="Z48" s="3">
        <v>0.22222222222222221</v>
      </c>
      <c r="AA48" s="3">
        <v>0.11</v>
      </c>
      <c r="AB48" s="3">
        <v>1</v>
      </c>
      <c r="AC48" s="3">
        <v>0.27272727272727271</v>
      </c>
      <c r="AD48" s="3">
        <v>0.27272727272727271</v>
      </c>
      <c r="AE48" s="3">
        <v>9.0909090909090912E-2</v>
      </c>
      <c r="AF48" s="3">
        <v>0.18181818181818182</v>
      </c>
      <c r="AG48" s="3">
        <v>0.18181818181818182</v>
      </c>
      <c r="AH48" s="3">
        <v>0.36999999999999983</v>
      </c>
      <c r="AI48" s="3">
        <v>0.99999999999999956</v>
      </c>
      <c r="AJ48" s="3">
        <v>5.4054054054054036E-2</v>
      </c>
      <c r="AK48" s="3">
        <v>5.4054054054054036E-2</v>
      </c>
      <c r="AL48" s="3">
        <v>2.7027027027027018E-2</v>
      </c>
      <c r="AM48" s="3">
        <v>8.1081081081081058E-2</v>
      </c>
      <c r="AN48" s="3">
        <v>8.1081081081081058E-2</v>
      </c>
      <c r="AO48" s="3">
        <v>6.7567567567567557E-2</v>
      </c>
      <c r="AP48" s="3">
        <v>5.4054054054054036E-2</v>
      </c>
      <c r="AQ48" s="3">
        <v>1.3513513513513509E-2</v>
      </c>
      <c r="AR48" s="3">
        <v>4.0540540540540529E-2</v>
      </c>
      <c r="AS48" s="3">
        <v>1.3513513513513509E-2</v>
      </c>
      <c r="AT48" s="3">
        <v>8.1081081081081058E-2</v>
      </c>
      <c r="AU48" s="3">
        <v>5.4054054054054036E-2</v>
      </c>
      <c r="AV48" s="3">
        <v>2.7027027027027018E-2</v>
      </c>
      <c r="AW48" s="3">
        <v>5.4054054054054036E-2</v>
      </c>
      <c r="AX48" s="3">
        <v>5.4054054054054036E-2</v>
      </c>
      <c r="AY48" s="3">
        <v>2.7027027027027018E-2</v>
      </c>
      <c r="AZ48" s="3">
        <v>4.0540540540540529E-2</v>
      </c>
      <c r="BA48" s="3">
        <v>5.4054054054054036E-2</v>
      </c>
      <c r="BB48" s="3">
        <v>8.1081081081081058E-2</v>
      </c>
      <c r="BC48" s="3">
        <v>1.3513513513513509E-2</v>
      </c>
      <c r="BD48" s="3">
        <v>2.7027027027027018E-2</v>
      </c>
      <c r="BE48">
        <v>31.32</v>
      </c>
      <c r="BF48" s="3" t="str">
        <f>+IF(AVANCE[[#This Row],[% AVANCE]]=100%,"MODULO TERMINADO",IF(AVANCE[[#This Row],[FECHA INICIO REAL]]="","MODULO NO INICIADO","PENDIENTE"))</f>
        <v>MODULO TERMINADO</v>
      </c>
      <c r="BG48" s="3">
        <f>+IF(AVANCE[[#This Row],[VENTANAS]]=8.10810810810811%,100%,AVANCE[[#This Row],[VENTANAS]])</f>
        <v>1</v>
      </c>
      <c r="BH48" s="3">
        <f>+IF(AVANCE[[#This Row],[PISO]]=N$2,100%,AVANCE[[#This Row],[PISO]])</f>
        <v>1</v>
      </c>
      <c r="BI48" s="3">
        <f>+IF(AVANCE[[#This Row],[TABIQUES]]=O$2,100%,AVANCE[[#This Row],[TABIQUES]])</f>
        <v>1</v>
      </c>
      <c r="BJ48" s="3">
        <f>+IF(AVANCE[[#This Row],[MUROS]]=P$2,100%,AVANCE[[#This Row],[MUROS]])</f>
        <v>1</v>
      </c>
      <c r="BK48" s="3">
        <f>+IF(AVANCE[[#This Row],[CIELO]]=Q$2,100%,AVANCE[[#This Row],[CIELO]])</f>
        <v>1</v>
      </c>
      <c r="BL48" s="3">
        <f>+IF(AVANCE[[#This Row],[BALCÓN]]=R$2,100%,AVANCE[[#This Row],[BALCÓN]])</f>
        <v>1</v>
      </c>
      <c r="BM48" s="3">
        <f>+IF(AVANCE[[#This Row],[RED ALCANTARILLADO]]=U$2,100%,AVANCE[[#This Row],[RED ALCANTARILLADO]])</f>
        <v>1</v>
      </c>
      <c r="BN48" s="3">
        <f>+IF(AVANCE[[#This Row],[RED DE AGUA]]=V$2,100%,AVANCE[[#This Row],[RED DE AGUA]])</f>
        <v>1</v>
      </c>
      <c r="BO48" s="3">
        <f>+IF(AVANCE[[#This Row],[VENTILACIONES]]=W$2,100%,AVANCE[[#This Row],[VENTILACIONES]])</f>
        <v>1</v>
      </c>
      <c r="BP48" s="3">
        <f>+IF(AVANCE[[#This Row],[TINA]]=X$2,100%,AVANCE[[#This Row],[TINA]])</f>
        <v>1</v>
      </c>
      <c r="BQ48" s="3">
        <f>+IF(AVANCE[[#This Row],[WC]]=Y$2,100%,AVANCE[[#This Row],[WC]])</f>
        <v>1</v>
      </c>
      <c r="BR48" s="3">
        <f>+IF(AVANCE[[#This Row],[LAVAMANOS / LAVAPLATOS / LAVADERO]]=Z$2,100%,AVANCE[[#This Row],[LAVAMANOS / LAVAPLATOS / LAVADERO]])</f>
        <v>1</v>
      </c>
      <c r="BS48" s="3">
        <f>+IF(AVANCE[[#This Row],[CANALIZACIÓN]]=AC$2,100%,AVANCE[[#This Row],[CANALIZACIÓN]])</f>
        <v>1</v>
      </c>
      <c r="BT48" s="3">
        <f>+IF(AVANCE[[#This Row],[CABLEADO]]=AD$2,100%,AVANCE[[#This Row],[CABLEADO]])</f>
        <v>1</v>
      </c>
      <c r="BU48" s="3">
        <f>+IF(AVANCE[[#This Row],[ARTEFACTOS]]=AE$2,100%,AVANCE[[#This Row],[ARTEFACTOS]])</f>
        <v>1</v>
      </c>
      <c r="BV48" s="3">
        <f>+IF(AVANCE[[#This Row],[TABLERO]]=AF$2,100%,AVANCE[[#This Row],[TABLERO]])</f>
        <v>1</v>
      </c>
      <c r="BW48" s="3">
        <f>+IF(AVANCE[[#This Row],[CAJA PAU]]=AG$2,100%,AVANCE[[#This Row],[CAJA PAU]])</f>
        <v>1</v>
      </c>
      <c r="BX48" s="3">
        <f>+IF(AVANCE[[#This Row],[INSTALACION VINILICO]]=AJ$2,100%,AVANCE[[#This Row],[INSTALACION VINILICO]])</f>
        <v>1</v>
      </c>
      <c r="BY48" s="3">
        <f>+IF(AVANCE[[#This Row],[OSB CUBIERTA]]=AK$2,100%,AVANCE[[#This Row],[OSB CUBIERTA]])</f>
        <v>1</v>
      </c>
      <c r="BZ48" s="3">
        <f>+IF(AVANCE[[#This Row],[BARANDA BALCON]]=AL$2,100%,AVANCE[[#This Row],[BARANDA BALCON]])</f>
        <v>1</v>
      </c>
      <c r="CA48" s="3">
        <f>+IF(AVANCE[[#This Row],[OSB EXTERIOR]]=AM$2,100%,AVANCE[[#This Row],[OSB EXTERIOR]])</f>
        <v>1</v>
      </c>
      <c r="CB48" s="3">
        <f>+IF(AVANCE[[#This Row],[SMART PANEL]]=AN$2,100%,AVANCE[[#This Row],[SMART PANEL]])</f>
        <v>1</v>
      </c>
      <c r="CC48" s="3">
        <f>+IF(AVANCE[[#This Row],[PINTURA EXTERIOR]]=AO$2,100%,AVANCE[[#This Row],[PINTURA EXTERIOR]])</f>
        <v>1</v>
      </c>
      <c r="CD48" s="3">
        <f>+IF(AVANCE[[#This Row],[ZOCALOS LOGIA]]=AP$2,100%,AVANCE[[#This Row],[ZOCALOS LOGIA]])</f>
        <v>1</v>
      </c>
      <c r="CE48" s="3">
        <f>+IF(AVANCE[[#This Row],[MOLDURAS]]=AQ$2,100%,AVANCE[[#This Row],[MOLDURAS]])</f>
        <v>1</v>
      </c>
      <c r="CF48" s="3">
        <f>+IF(AVANCE[[#This Row],[PILASTREO]]=AR$2,100%,AVANCE[[#This Row],[PILASTREO]])</f>
        <v>1</v>
      </c>
      <c r="CG48" s="3">
        <f>+IF(AVANCE[[#This Row],[CELOSIAS]]=AS$2,100%,AVANCE[[#This Row],[CELOSIAS]])</f>
        <v>1</v>
      </c>
      <c r="CH48" s="3">
        <f>+IF(AVANCE[[#This Row],[VENTANAS]]=AT$2,100%,AVANCE[[#This Row],[VENTANAS]])</f>
        <v>1</v>
      </c>
      <c r="CI48" s="3">
        <f>+IF(AVANCE[[#This Row],[PUERTAS ACCESO - LOGIA - BANO]]=AU$2,100%,AVANCE[[#This Row],[PUERTAS ACCESO - LOGIA - BANO]])</f>
        <v>1</v>
      </c>
      <c r="CJ48" s="3">
        <f>+IF(AVANCE[[#This Row],[CERRADURAS]]=AV$2,100%,AVANCE[[#This Row],[CERRADURAS]])</f>
        <v>1</v>
      </c>
      <c r="CK48" s="3">
        <f>+IF(AVANCE[[#This Row],[REVESTIMIENTO INTERIOR ZONA SECA]]=AW$2,100%,AVANCE[[#This Row],[REVESTIMIENTO INTERIOR ZONA SECA]])</f>
        <v>1</v>
      </c>
      <c r="CL48" s="3">
        <f>+IF(AVANCE[[#This Row],[REVESTIMIENTO INTERIOR ZONAS HUMEDAS]]=AX$2,100%,AVANCE[[#This Row],[REVESTIMIENTO INTERIOR ZONAS HUMEDAS]])</f>
        <v>1</v>
      </c>
      <c r="CM48" s="3">
        <f>+IF(AVANCE[[#This Row],[MEMBRANA CIELO]]=AY$2,100%,AVANCE[[#This Row],[MEMBRANA CIELO]])</f>
        <v>1</v>
      </c>
      <c r="CN48" s="3">
        <f>+IF(AVANCE[[#This Row],[LIMPIEZA FINAL]]=AZ$2,100%,AVANCE[[#This Row],[LIMPIEZA FINAL]])</f>
        <v>1</v>
      </c>
      <c r="CO48" s="3">
        <f>+IF(AVANCE[[#This Row],[PUERTAS DORMITORIO]]=BA$2,100%,AVANCE[[#This Row],[PUERTAS DORMITORIO]])</f>
        <v>1</v>
      </c>
      <c r="CP48" s="3">
        <f>+IF(AVANCE[[#This Row],[REVESTIMIENTO INTERIOR BANO]]=BB$2,100%,AVANCE[[#This Row],[REVESTIMIENTO INTERIOR BANO]])</f>
        <v>1</v>
      </c>
      <c r="CQ48" s="3">
        <f>+IF(AVANCE[[#This Row],[MUEBLE LAVAPLATOS]]=BC$2,100%,AVANCE[[#This Row],[MUEBLE LAVAPLATOS]])</f>
        <v>1</v>
      </c>
      <c r="CR48" s="3">
        <f>+IF(AVANCE[[#This Row],[IMPERMEABILIZACION BANO - COCINA LOGIA]]=BD$2,100%,AVANCE[[#This Row],[IMPERMEABILIZACION BANO - COCINA LOGIA]])</f>
        <v>1</v>
      </c>
      <c r="CS48" s="40">
        <f ca="1">+IF(AVANCE[[#This Row],[ESTADO MODULO]]="PENDIENTE",(TODAY()-AVANCE[[#This Row],[FECHA TERMINO  PLANIFICADO]]),0)</f>
        <v>0</v>
      </c>
      <c r="CT48" s="41" t="str" cm="1">
        <f t="array" ref="CT48">_xlfn.TEXTJOIN(" | ",TRUE,IF(SUMPRODUCT((BG48:CR48&lt;1)*(PARTIDAS!$I$2:$AT$2="OBRA GRUESA"))&gt;0,"OBRA GRUESA: "&amp;_xlfn.TEXTJOIN(", ",TRUE,IF((BG48:CR48&lt;1)*(PARTIDAS!$I$2:$AT$2="OBRA GRUESA"),PARTIDAS!$I$1:$AT$1,"")),""),IF(SUMPRODUCT((BG48:CR48&lt;1)*(PARTIDAS!$I$2:$AT$2="SANITARIOS"))&gt;0,"SANITARIOS: "&amp;_xlfn.TEXTJOIN(", ",TRUE,IF((BG48:CR48&lt;1)*(PARTIDAS!$I$2:$AT$2="SANITARIOS"),PARTIDAS!$I$1:$AT$1,"")),""),IF(SUMPRODUCT((BG48:CR48&lt;1)*(PARTIDAS!$I$2:$AT$2="ELÉCTRICO"))&gt;0,"ELÉCTRICO: "&amp;_xlfn.TEXTJOIN(", ",TRUE,IF((BG48:CR48&lt;1)*(PARTIDAS!$I$2:$AT$2="ELÉCTRICO"),PARTIDAS!$I$1:$AT$1,"")),""),IF(SUMPRODUCT((BG48:CR48&lt;1)*(PARTIDAS!$I$2:$AT$2="TERMINACIONES"))&gt;0,"TERMINACIONES: "&amp;_xlfn.TEXTJOIN(", ",TRUE,IF((BG48:CR48&lt;1)*(PARTIDAS!$I$2:$AT$2="TERMINACIONES"),PARTIDAS!$I$1:$AT$1,"")),""))</f>
        <v/>
      </c>
      <c r="CU48" s="43" t="str" cm="1">
        <f t="array" ref="CU48">_xlfn.TEXTJOIN(", ",TRUE,IF(SUMPRODUCT((BG48:CR48&lt;1)*(PARTIDAS!$I$2:$AT$2="OBRA GRUESA"))&gt;0,"OBRA GRUESA",""),IF(SUMPRODUCT((BG48:CR48&lt;1)*(PARTIDAS!$I$2:$AT$2="SANITARIOS"))&gt;0,"SANITARIOS",""),IF(SUMPRODUCT((BG48:CR48&lt;1)*(PARTIDAS!$I$2:$AT$2="ELÉCTRICO"))&gt;0,"ELÉCTRICO",""),IF(SUMPRODUCT((BG48:CR48&lt;1)*(PARTIDAS!$I$2:$AT$2="TERMINACIONES"))&gt;0,"TERMINACIONES",""))</f>
        <v/>
      </c>
      <c r="CV48" s="44" cm="1">
        <f t="array" ref="CV48">SUMPRODUCT(--(BG48:CR48&lt;1))</f>
        <v>0</v>
      </c>
    </row>
    <row r="49" spans="1:100" hidden="1" x14ac:dyDescent="0.25">
      <c r="A49" t="s">
        <v>91</v>
      </c>
      <c r="B49" t="s">
        <v>107</v>
      </c>
      <c r="C49">
        <v>2282600048</v>
      </c>
      <c r="D49" t="s">
        <v>58</v>
      </c>
      <c r="E49" s="2">
        <v>0.99999999999999978</v>
      </c>
      <c r="F49" s="1">
        <v>46126</v>
      </c>
      <c r="G49" s="1">
        <v>46126</v>
      </c>
      <c r="H49" s="1">
        <v>46192</v>
      </c>
      <c r="I49" s="1">
        <v>46155</v>
      </c>
      <c r="K49" s="1">
        <v>46192</v>
      </c>
      <c r="L49" s="3">
        <v>0.43</v>
      </c>
      <c r="M49" s="3">
        <v>1</v>
      </c>
      <c r="N49" s="3">
        <v>0.27906976744186046</v>
      </c>
      <c r="O49" s="3">
        <v>0.18604651162790697</v>
      </c>
      <c r="P49" s="3">
        <v>0.2558139534883721</v>
      </c>
      <c r="Q49" s="3">
        <v>0.18604651162790697</v>
      </c>
      <c r="R49" s="3">
        <v>9.3023255813953487E-2</v>
      </c>
      <c r="S49" s="3">
        <v>0.09</v>
      </c>
      <c r="T49" s="3">
        <v>1</v>
      </c>
      <c r="U49" s="3">
        <v>0.22222222222222221</v>
      </c>
      <c r="V49" s="3">
        <v>0.22222222222222221</v>
      </c>
      <c r="W49" s="3">
        <v>0.1111111111111111</v>
      </c>
      <c r="X49" s="3">
        <v>0.1111111111111111</v>
      </c>
      <c r="Y49" s="3">
        <v>0.1111111111111111</v>
      </c>
      <c r="Z49" s="3">
        <v>0.22222222222222221</v>
      </c>
      <c r="AA49" s="3">
        <v>0.11</v>
      </c>
      <c r="AB49" s="3">
        <v>1</v>
      </c>
      <c r="AC49" s="3">
        <v>0.27272727272727271</v>
      </c>
      <c r="AD49" s="3">
        <v>0.27272727272727271</v>
      </c>
      <c r="AE49" s="3">
        <v>9.0909090909090912E-2</v>
      </c>
      <c r="AF49" s="3">
        <v>0.18181818181818182</v>
      </c>
      <c r="AG49" s="3">
        <v>0.18181818181818182</v>
      </c>
      <c r="AH49" s="3">
        <v>0.36999999999999983</v>
      </c>
      <c r="AI49" s="3">
        <v>0.99999999999999956</v>
      </c>
      <c r="AJ49" s="3">
        <v>5.4054054054054036E-2</v>
      </c>
      <c r="AK49" s="3">
        <v>5.4054054054054036E-2</v>
      </c>
      <c r="AL49" s="3">
        <v>2.7027027027027018E-2</v>
      </c>
      <c r="AM49" s="3">
        <v>8.1081081081081058E-2</v>
      </c>
      <c r="AN49" s="3">
        <v>8.1081081081081058E-2</v>
      </c>
      <c r="AO49" s="3">
        <v>6.7567567567567557E-2</v>
      </c>
      <c r="AP49" s="3">
        <v>5.4054054054054036E-2</v>
      </c>
      <c r="AQ49" s="3">
        <v>1.3513513513513509E-2</v>
      </c>
      <c r="AR49" s="3">
        <v>4.0540540540540529E-2</v>
      </c>
      <c r="AS49" s="3">
        <v>1.3513513513513509E-2</v>
      </c>
      <c r="AT49" s="3">
        <v>8.1081081081081058E-2</v>
      </c>
      <c r="AU49" s="3">
        <v>5.4054054054054036E-2</v>
      </c>
      <c r="AV49" s="3">
        <v>2.7027027027027018E-2</v>
      </c>
      <c r="AW49" s="3">
        <v>5.4054054054054036E-2</v>
      </c>
      <c r="AX49" s="3">
        <v>5.4054054054054036E-2</v>
      </c>
      <c r="AY49" s="3">
        <v>2.7027027027027018E-2</v>
      </c>
      <c r="AZ49" s="3">
        <v>4.0540540540540529E-2</v>
      </c>
      <c r="BA49" s="3">
        <v>5.4054054054054036E-2</v>
      </c>
      <c r="BB49" s="3">
        <v>8.1081081081081058E-2</v>
      </c>
      <c r="BC49" s="3">
        <v>1.3513513513513509E-2</v>
      </c>
      <c r="BD49" s="3">
        <v>2.7027027027027018E-2</v>
      </c>
      <c r="BE49">
        <v>28.87</v>
      </c>
      <c r="BF49" s="3" t="str">
        <f>+IF(AVANCE[[#This Row],[% AVANCE]]=100%,"MODULO TERMINADO",IF(AVANCE[[#This Row],[FECHA INICIO REAL]]="","MODULO NO INICIADO","PENDIENTE"))</f>
        <v>MODULO TERMINADO</v>
      </c>
      <c r="BG49" s="3">
        <f>+IF(AVANCE[[#This Row],[VENTANAS]]=8.10810810810811%,100%,AVANCE[[#This Row],[VENTANAS]])</f>
        <v>1</v>
      </c>
      <c r="BH49" s="3">
        <f>+IF(AVANCE[[#This Row],[PISO]]=N$2,100%,AVANCE[[#This Row],[PISO]])</f>
        <v>1</v>
      </c>
      <c r="BI49" s="3">
        <f>+IF(AVANCE[[#This Row],[TABIQUES]]=O$2,100%,AVANCE[[#This Row],[TABIQUES]])</f>
        <v>1</v>
      </c>
      <c r="BJ49" s="3">
        <f>+IF(AVANCE[[#This Row],[MUROS]]=P$2,100%,AVANCE[[#This Row],[MUROS]])</f>
        <v>1</v>
      </c>
      <c r="BK49" s="3">
        <f>+IF(AVANCE[[#This Row],[CIELO]]=Q$2,100%,AVANCE[[#This Row],[CIELO]])</f>
        <v>1</v>
      </c>
      <c r="BL49" s="3">
        <f>+IF(AVANCE[[#This Row],[BALCÓN]]=R$2,100%,AVANCE[[#This Row],[BALCÓN]])</f>
        <v>1</v>
      </c>
      <c r="BM49" s="3">
        <f>+IF(AVANCE[[#This Row],[RED ALCANTARILLADO]]=U$2,100%,AVANCE[[#This Row],[RED ALCANTARILLADO]])</f>
        <v>1</v>
      </c>
      <c r="BN49" s="3">
        <f>+IF(AVANCE[[#This Row],[RED DE AGUA]]=V$2,100%,AVANCE[[#This Row],[RED DE AGUA]])</f>
        <v>1</v>
      </c>
      <c r="BO49" s="3">
        <f>+IF(AVANCE[[#This Row],[VENTILACIONES]]=W$2,100%,AVANCE[[#This Row],[VENTILACIONES]])</f>
        <v>1</v>
      </c>
      <c r="BP49" s="3">
        <f>+IF(AVANCE[[#This Row],[TINA]]=X$2,100%,AVANCE[[#This Row],[TINA]])</f>
        <v>1</v>
      </c>
      <c r="BQ49" s="3">
        <f>+IF(AVANCE[[#This Row],[WC]]=Y$2,100%,AVANCE[[#This Row],[WC]])</f>
        <v>1</v>
      </c>
      <c r="BR49" s="3">
        <f>+IF(AVANCE[[#This Row],[LAVAMANOS / LAVAPLATOS / LAVADERO]]=Z$2,100%,AVANCE[[#This Row],[LAVAMANOS / LAVAPLATOS / LAVADERO]])</f>
        <v>1</v>
      </c>
      <c r="BS49" s="3">
        <f>+IF(AVANCE[[#This Row],[CANALIZACIÓN]]=AC$2,100%,AVANCE[[#This Row],[CANALIZACIÓN]])</f>
        <v>1</v>
      </c>
      <c r="BT49" s="3">
        <f>+IF(AVANCE[[#This Row],[CABLEADO]]=AD$2,100%,AVANCE[[#This Row],[CABLEADO]])</f>
        <v>1</v>
      </c>
      <c r="BU49" s="3">
        <f>+IF(AVANCE[[#This Row],[ARTEFACTOS]]=AE$2,100%,AVANCE[[#This Row],[ARTEFACTOS]])</f>
        <v>1</v>
      </c>
      <c r="BV49" s="3">
        <f>+IF(AVANCE[[#This Row],[TABLERO]]=AF$2,100%,AVANCE[[#This Row],[TABLERO]])</f>
        <v>1</v>
      </c>
      <c r="BW49" s="3">
        <f>+IF(AVANCE[[#This Row],[CAJA PAU]]=AG$2,100%,AVANCE[[#This Row],[CAJA PAU]])</f>
        <v>1</v>
      </c>
      <c r="BX49" s="3">
        <f>+IF(AVANCE[[#This Row],[INSTALACION VINILICO]]=AJ$2,100%,AVANCE[[#This Row],[INSTALACION VINILICO]])</f>
        <v>1</v>
      </c>
      <c r="BY49" s="3">
        <f>+IF(AVANCE[[#This Row],[OSB CUBIERTA]]=AK$2,100%,AVANCE[[#This Row],[OSB CUBIERTA]])</f>
        <v>1</v>
      </c>
      <c r="BZ49" s="3">
        <f>+IF(AVANCE[[#This Row],[BARANDA BALCON]]=AL$2,100%,AVANCE[[#This Row],[BARANDA BALCON]])</f>
        <v>1</v>
      </c>
      <c r="CA49" s="3">
        <f>+IF(AVANCE[[#This Row],[OSB EXTERIOR]]=AM$2,100%,AVANCE[[#This Row],[OSB EXTERIOR]])</f>
        <v>1</v>
      </c>
      <c r="CB49" s="3">
        <f>+IF(AVANCE[[#This Row],[SMART PANEL]]=AN$2,100%,AVANCE[[#This Row],[SMART PANEL]])</f>
        <v>1</v>
      </c>
      <c r="CC49" s="3">
        <f>+IF(AVANCE[[#This Row],[PINTURA EXTERIOR]]=AO$2,100%,AVANCE[[#This Row],[PINTURA EXTERIOR]])</f>
        <v>1</v>
      </c>
      <c r="CD49" s="3">
        <f>+IF(AVANCE[[#This Row],[ZOCALOS LOGIA]]=AP$2,100%,AVANCE[[#This Row],[ZOCALOS LOGIA]])</f>
        <v>1</v>
      </c>
      <c r="CE49" s="3">
        <f>+IF(AVANCE[[#This Row],[MOLDURAS]]=AQ$2,100%,AVANCE[[#This Row],[MOLDURAS]])</f>
        <v>1</v>
      </c>
      <c r="CF49" s="3">
        <f>+IF(AVANCE[[#This Row],[PILASTREO]]=AR$2,100%,AVANCE[[#This Row],[PILASTREO]])</f>
        <v>1</v>
      </c>
      <c r="CG49" s="3">
        <f>+IF(AVANCE[[#This Row],[CELOSIAS]]=AS$2,100%,AVANCE[[#This Row],[CELOSIAS]])</f>
        <v>1</v>
      </c>
      <c r="CH49" s="3">
        <f>+IF(AVANCE[[#This Row],[VENTANAS]]=AT$2,100%,AVANCE[[#This Row],[VENTANAS]])</f>
        <v>1</v>
      </c>
      <c r="CI49" s="3">
        <f>+IF(AVANCE[[#This Row],[PUERTAS ACCESO - LOGIA - BANO]]=AU$2,100%,AVANCE[[#This Row],[PUERTAS ACCESO - LOGIA - BANO]])</f>
        <v>1</v>
      </c>
      <c r="CJ49" s="3">
        <f>+IF(AVANCE[[#This Row],[CERRADURAS]]=AV$2,100%,AVANCE[[#This Row],[CERRADURAS]])</f>
        <v>1</v>
      </c>
      <c r="CK49" s="3">
        <f>+IF(AVANCE[[#This Row],[REVESTIMIENTO INTERIOR ZONA SECA]]=AW$2,100%,AVANCE[[#This Row],[REVESTIMIENTO INTERIOR ZONA SECA]])</f>
        <v>1</v>
      </c>
      <c r="CL49" s="3">
        <f>+IF(AVANCE[[#This Row],[REVESTIMIENTO INTERIOR ZONAS HUMEDAS]]=AX$2,100%,AVANCE[[#This Row],[REVESTIMIENTO INTERIOR ZONAS HUMEDAS]])</f>
        <v>1</v>
      </c>
      <c r="CM49" s="3">
        <f>+IF(AVANCE[[#This Row],[MEMBRANA CIELO]]=AY$2,100%,AVANCE[[#This Row],[MEMBRANA CIELO]])</f>
        <v>1</v>
      </c>
      <c r="CN49" s="3">
        <f>+IF(AVANCE[[#This Row],[LIMPIEZA FINAL]]=AZ$2,100%,AVANCE[[#This Row],[LIMPIEZA FINAL]])</f>
        <v>1</v>
      </c>
      <c r="CO49" s="3">
        <f>+IF(AVANCE[[#This Row],[PUERTAS DORMITORIO]]=BA$2,100%,AVANCE[[#This Row],[PUERTAS DORMITORIO]])</f>
        <v>1</v>
      </c>
      <c r="CP49" s="3">
        <f>+IF(AVANCE[[#This Row],[REVESTIMIENTO INTERIOR BANO]]=BB$2,100%,AVANCE[[#This Row],[REVESTIMIENTO INTERIOR BANO]])</f>
        <v>1</v>
      </c>
      <c r="CQ49" s="3">
        <f>+IF(AVANCE[[#This Row],[MUEBLE LAVAPLATOS]]=BC$2,100%,AVANCE[[#This Row],[MUEBLE LAVAPLATOS]])</f>
        <v>1</v>
      </c>
      <c r="CR49" s="3">
        <f>+IF(AVANCE[[#This Row],[IMPERMEABILIZACION BANO - COCINA LOGIA]]=BD$2,100%,AVANCE[[#This Row],[IMPERMEABILIZACION BANO - COCINA LOGIA]])</f>
        <v>1</v>
      </c>
      <c r="CS49" s="40">
        <f ca="1">+IF(AVANCE[[#This Row],[ESTADO MODULO]]="PENDIENTE",(TODAY()-AVANCE[[#This Row],[FECHA TERMINO  PLANIFICADO]]),0)</f>
        <v>0</v>
      </c>
      <c r="CT49" s="41" t="str" cm="1">
        <f t="array" ref="CT49">_xlfn.TEXTJOIN(" | ",TRUE,IF(SUMPRODUCT((BG49:CR49&lt;1)*(PARTIDAS!$I$2:$AT$2="OBRA GRUESA"))&gt;0,"OBRA GRUESA: "&amp;_xlfn.TEXTJOIN(", ",TRUE,IF((BG49:CR49&lt;1)*(PARTIDAS!$I$2:$AT$2="OBRA GRUESA"),PARTIDAS!$I$1:$AT$1,"")),""),IF(SUMPRODUCT((BG49:CR49&lt;1)*(PARTIDAS!$I$2:$AT$2="SANITARIOS"))&gt;0,"SANITARIOS: "&amp;_xlfn.TEXTJOIN(", ",TRUE,IF((BG49:CR49&lt;1)*(PARTIDAS!$I$2:$AT$2="SANITARIOS"),PARTIDAS!$I$1:$AT$1,"")),""),IF(SUMPRODUCT((BG49:CR49&lt;1)*(PARTIDAS!$I$2:$AT$2="ELÉCTRICO"))&gt;0,"ELÉCTRICO: "&amp;_xlfn.TEXTJOIN(", ",TRUE,IF((BG49:CR49&lt;1)*(PARTIDAS!$I$2:$AT$2="ELÉCTRICO"),PARTIDAS!$I$1:$AT$1,"")),""),IF(SUMPRODUCT((BG49:CR49&lt;1)*(PARTIDAS!$I$2:$AT$2="TERMINACIONES"))&gt;0,"TERMINACIONES: "&amp;_xlfn.TEXTJOIN(", ",TRUE,IF((BG49:CR49&lt;1)*(PARTIDAS!$I$2:$AT$2="TERMINACIONES"),PARTIDAS!$I$1:$AT$1,"")),""))</f>
        <v/>
      </c>
      <c r="CU49" s="43" t="str" cm="1">
        <f t="array" ref="CU49">_xlfn.TEXTJOIN(", ",TRUE,IF(SUMPRODUCT((BG49:CR49&lt;1)*(PARTIDAS!$I$2:$AT$2="OBRA GRUESA"))&gt;0,"OBRA GRUESA",""),IF(SUMPRODUCT((BG49:CR49&lt;1)*(PARTIDAS!$I$2:$AT$2="SANITARIOS"))&gt;0,"SANITARIOS",""),IF(SUMPRODUCT((BG49:CR49&lt;1)*(PARTIDAS!$I$2:$AT$2="ELÉCTRICO"))&gt;0,"ELÉCTRICO",""),IF(SUMPRODUCT((BG49:CR49&lt;1)*(PARTIDAS!$I$2:$AT$2="TERMINACIONES"))&gt;0,"TERMINACIONES",""))</f>
        <v/>
      </c>
      <c r="CV49" s="44" cm="1">
        <f t="array" ref="CV49">SUMPRODUCT(--(BG49:CR49&lt;1))</f>
        <v>0</v>
      </c>
    </row>
    <row r="50" spans="1:100" hidden="1" x14ac:dyDescent="0.25">
      <c r="A50" t="s">
        <v>91</v>
      </c>
      <c r="B50" t="s">
        <v>108</v>
      </c>
      <c r="C50">
        <v>2282600049</v>
      </c>
      <c r="D50" t="s">
        <v>58</v>
      </c>
      <c r="E50" s="2">
        <v>0.99999999999999978</v>
      </c>
      <c r="F50" s="1">
        <v>46134</v>
      </c>
      <c r="G50" s="1">
        <v>46134</v>
      </c>
      <c r="H50" s="1">
        <v>46191</v>
      </c>
      <c r="I50" s="1">
        <v>46163</v>
      </c>
      <c r="K50" s="1">
        <v>46191</v>
      </c>
      <c r="L50" s="3">
        <v>0.43</v>
      </c>
      <c r="M50" s="3">
        <v>1</v>
      </c>
      <c r="N50" s="3">
        <v>0.27906976744186046</v>
      </c>
      <c r="O50" s="3">
        <v>0.18604651162790697</v>
      </c>
      <c r="P50" s="3">
        <v>0.2558139534883721</v>
      </c>
      <c r="Q50" s="3">
        <v>0.18604651162790697</v>
      </c>
      <c r="R50" s="3">
        <v>9.3023255813953487E-2</v>
      </c>
      <c r="S50" s="3">
        <v>0.09</v>
      </c>
      <c r="T50" s="3">
        <v>1</v>
      </c>
      <c r="U50" s="3">
        <v>0.22222222222222221</v>
      </c>
      <c r="V50" s="3">
        <v>0.22222222222222221</v>
      </c>
      <c r="W50" s="3">
        <v>0.1111111111111111</v>
      </c>
      <c r="X50" s="3">
        <v>0.1111111111111111</v>
      </c>
      <c r="Y50" s="3">
        <v>0.1111111111111111</v>
      </c>
      <c r="Z50" s="3">
        <v>0.22222222222222221</v>
      </c>
      <c r="AA50" s="3">
        <v>0.11</v>
      </c>
      <c r="AB50" s="3">
        <v>1</v>
      </c>
      <c r="AC50" s="3">
        <v>0.27272727272727271</v>
      </c>
      <c r="AD50" s="3">
        <v>0.27272727272727271</v>
      </c>
      <c r="AE50" s="3">
        <v>9.0909090909090912E-2</v>
      </c>
      <c r="AF50" s="3">
        <v>0.18181818181818182</v>
      </c>
      <c r="AG50" s="3">
        <v>0.18181818181818182</v>
      </c>
      <c r="AH50" s="3">
        <v>0.36999999999999983</v>
      </c>
      <c r="AI50" s="3">
        <v>0.99999999999999956</v>
      </c>
      <c r="AJ50" s="3">
        <v>5.4054054054054036E-2</v>
      </c>
      <c r="AK50" s="3">
        <v>5.4054054054054036E-2</v>
      </c>
      <c r="AL50" s="3">
        <v>2.7027027027027018E-2</v>
      </c>
      <c r="AM50" s="3">
        <v>8.1081081081081058E-2</v>
      </c>
      <c r="AN50" s="3">
        <v>8.1081081081081058E-2</v>
      </c>
      <c r="AO50" s="3">
        <v>6.7567567567567557E-2</v>
      </c>
      <c r="AP50" s="3">
        <v>5.4054054054054036E-2</v>
      </c>
      <c r="AQ50" s="3">
        <v>1.3513513513513509E-2</v>
      </c>
      <c r="AR50" s="3">
        <v>4.0540540540540529E-2</v>
      </c>
      <c r="AS50" s="3">
        <v>1.3513513513513509E-2</v>
      </c>
      <c r="AT50" s="3">
        <v>8.1081081081081058E-2</v>
      </c>
      <c r="AU50" s="3">
        <v>5.4054054054054036E-2</v>
      </c>
      <c r="AV50" s="3">
        <v>2.7027027027027018E-2</v>
      </c>
      <c r="AW50" s="3">
        <v>5.4054054054054036E-2</v>
      </c>
      <c r="AX50" s="3">
        <v>5.4054054054054036E-2</v>
      </c>
      <c r="AY50" s="3">
        <v>2.7027027027027018E-2</v>
      </c>
      <c r="AZ50" s="3">
        <v>4.0540540540540529E-2</v>
      </c>
      <c r="BA50" s="3">
        <v>5.4054054054054036E-2</v>
      </c>
      <c r="BB50" s="3">
        <v>8.1081081081081058E-2</v>
      </c>
      <c r="BC50" s="3">
        <v>1.3513513513513509E-2</v>
      </c>
      <c r="BD50" s="3">
        <v>2.7027027027027018E-2</v>
      </c>
      <c r="BE50">
        <v>28.87</v>
      </c>
      <c r="BF50" s="3" t="str">
        <f>+IF(AVANCE[[#This Row],[% AVANCE]]=100%,"MODULO TERMINADO",IF(AVANCE[[#This Row],[FECHA INICIO REAL]]="","MODULO NO INICIADO","PENDIENTE"))</f>
        <v>MODULO TERMINADO</v>
      </c>
      <c r="BG50" s="3">
        <f>+IF(AVANCE[[#This Row],[VENTANAS]]=8.10810810810811%,100%,AVANCE[[#This Row],[VENTANAS]])</f>
        <v>1</v>
      </c>
      <c r="BH50" s="3">
        <f>+IF(AVANCE[[#This Row],[PISO]]=N$2,100%,AVANCE[[#This Row],[PISO]])</f>
        <v>1</v>
      </c>
      <c r="BI50" s="3">
        <f>+IF(AVANCE[[#This Row],[TABIQUES]]=O$2,100%,AVANCE[[#This Row],[TABIQUES]])</f>
        <v>1</v>
      </c>
      <c r="BJ50" s="3">
        <f>+IF(AVANCE[[#This Row],[MUROS]]=P$2,100%,AVANCE[[#This Row],[MUROS]])</f>
        <v>1</v>
      </c>
      <c r="BK50" s="3">
        <f>+IF(AVANCE[[#This Row],[CIELO]]=Q$2,100%,AVANCE[[#This Row],[CIELO]])</f>
        <v>1</v>
      </c>
      <c r="BL50" s="3">
        <f>+IF(AVANCE[[#This Row],[BALCÓN]]=R$2,100%,AVANCE[[#This Row],[BALCÓN]])</f>
        <v>1</v>
      </c>
      <c r="BM50" s="3">
        <f>+IF(AVANCE[[#This Row],[RED ALCANTARILLADO]]=U$2,100%,AVANCE[[#This Row],[RED ALCANTARILLADO]])</f>
        <v>1</v>
      </c>
      <c r="BN50" s="3">
        <f>+IF(AVANCE[[#This Row],[RED DE AGUA]]=V$2,100%,AVANCE[[#This Row],[RED DE AGUA]])</f>
        <v>1</v>
      </c>
      <c r="BO50" s="3">
        <f>+IF(AVANCE[[#This Row],[VENTILACIONES]]=W$2,100%,AVANCE[[#This Row],[VENTILACIONES]])</f>
        <v>1</v>
      </c>
      <c r="BP50" s="3">
        <f>+IF(AVANCE[[#This Row],[TINA]]=X$2,100%,AVANCE[[#This Row],[TINA]])</f>
        <v>1</v>
      </c>
      <c r="BQ50" s="3">
        <f>+IF(AVANCE[[#This Row],[WC]]=Y$2,100%,AVANCE[[#This Row],[WC]])</f>
        <v>1</v>
      </c>
      <c r="BR50" s="3">
        <f>+IF(AVANCE[[#This Row],[LAVAMANOS / LAVAPLATOS / LAVADERO]]=Z$2,100%,AVANCE[[#This Row],[LAVAMANOS / LAVAPLATOS / LAVADERO]])</f>
        <v>1</v>
      </c>
      <c r="BS50" s="3">
        <f>+IF(AVANCE[[#This Row],[CANALIZACIÓN]]=AC$2,100%,AVANCE[[#This Row],[CANALIZACIÓN]])</f>
        <v>1</v>
      </c>
      <c r="BT50" s="3">
        <f>+IF(AVANCE[[#This Row],[CABLEADO]]=AD$2,100%,AVANCE[[#This Row],[CABLEADO]])</f>
        <v>1</v>
      </c>
      <c r="BU50" s="3">
        <f>+IF(AVANCE[[#This Row],[ARTEFACTOS]]=AE$2,100%,AVANCE[[#This Row],[ARTEFACTOS]])</f>
        <v>1</v>
      </c>
      <c r="BV50" s="3">
        <f>+IF(AVANCE[[#This Row],[TABLERO]]=AF$2,100%,AVANCE[[#This Row],[TABLERO]])</f>
        <v>1</v>
      </c>
      <c r="BW50" s="3">
        <f>+IF(AVANCE[[#This Row],[CAJA PAU]]=AG$2,100%,AVANCE[[#This Row],[CAJA PAU]])</f>
        <v>1</v>
      </c>
      <c r="BX50" s="3">
        <f>+IF(AVANCE[[#This Row],[INSTALACION VINILICO]]=AJ$2,100%,AVANCE[[#This Row],[INSTALACION VINILICO]])</f>
        <v>1</v>
      </c>
      <c r="BY50" s="3">
        <f>+IF(AVANCE[[#This Row],[OSB CUBIERTA]]=AK$2,100%,AVANCE[[#This Row],[OSB CUBIERTA]])</f>
        <v>1</v>
      </c>
      <c r="BZ50" s="3">
        <f>+IF(AVANCE[[#This Row],[BARANDA BALCON]]=AL$2,100%,AVANCE[[#This Row],[BARANDA BALCON]])</f>
        <v>1</v>
      </c>
      <c r="CA50" s="3">
        <f>+IF(AVANCE[[#This Row],[OSB EXTERIOR]]=AM$2,100%,AVANCE[[#This Row],[OSB EXTERIOR]])</f>
        <v>1</v>
      </c>
      <c r="CB50" s="3">
        <f>+IF(AVANCE[[#This Row],[SMART PANEL]]=AN$2,100%,AVANCE[[#This Row],[SMART PANEL]])</f>
        <v>1</v>
      </c>
      <c r="CC50" s="3">
        <f>+IF(AVANCE[[#This Row],[PINTURA EXTERIOR]]=AO$2,100%,AVANCE[[#This Row],[PINTURA EXTERIOR]])</f>
        <v>1</v>
      </c>
      <c r="CD50" s="3">
        <f>+IF(AVANCE[[#This Row],[ZOCALOS LOGIA]]=AP$2,100%,AVANCE[[#This Row],[ZOCALOS LOGIA]])</f>
        <v>1</v>
      </c>
      <c r="CE50" s="3">
        <f>+IF(AVANCE[[#This Row],[MOLDURAS]]=AQ$2,100%,AVANCE[[#This Row],[MOLDURAS]])</f>
        <v>1</v>
      </c>
      <c r="CF50" s="3">
        <f>+IF(AVANCE[[#This Row],[PILASTREO]]=AR$2,100%,AVANCE[[#This Row],[PILASTREO]])</f>
        <v>1</v>
      </c>
      <c r="CG50" s="3">
        <f>+IF(AVANCE[[#This Row],[CELOSIAS]]=AS$2,100%,AVANCE[[#This Row],[CELOSIAS]])</f>
        <v>1</v>
      </c>
      <c r="CH50" s="3">
        <f>+IF(AVANCE[[#This Row],[VENTANAS]]=AT$2,100%,AVANCE[[#This Row],[VENTANAS]])</f>
        <v>1</v>
      </c>
      <c r="CI50" s="3">
        <f>+IF(AVANCE[[#This Row],[PUERTAS ACCESO - LOGIA - BANO]]=AU$2,100%,AVANCE[[#This Row],[PUERTAS ACCESO - LOGIA - BANO]])</f>
        <v>1</v>
      </c>
      <c r="CJ50" s="3">
        <f>+IF(AVANCE[[#This Row],[CERRADURAS]]=AV$2,100%,AVANCE[[#This Row],[CERRADURAS]])</f>
        <v>1</v>
      </c>
      <c r="CK50" s="3">
        <f>+IF(AVANCE[[#This Row],[REVESTIMIENTO INTERIOR ZONA SECA]]=AW$2,100%,AVANCE[[#This Row],[REVESTIMIENTO INTERIOR ZONA SECA]])</f>
        <v>1</v>
      </c>
      <c r="CL50" s="3">
        <f>+IF(AVANCE[[#This Row],[REVESTIMIENTO INTERIOR ZONAS HUMEDAS]]=AX$2,100%,AVANCE[[#This Row],[REVESTIMIENTO INTERIOR ZONAS HUMEDAS]])</f>
        <v>1</v>
      </c>
      <c r="CM50" s="3">
        <f>+IF(AVANCE[[#This Row],[MEMBRANA CIELO]]=AY$2,100%,AVANCE[[#This Row],[MEMBRANA CIELO]])</f>
        <v>1</v>
      </c>
      <c r="CN50" s="3">
        <f>+IF(AVANCE[[#This Row],[LIMPIEZA FINAL]]=AZ$2,100%,AVANCE[[#This Row],[LIMPIEZA FINAL]])</f>
        <v>1</v>
      </c>
      <c r="CO50" s="3">
        <f>+IF(AVANCE[[#This Row],[PUERTAS DORMITORIO]]=BA$2,100%,AVANCE[[#This Row],[PUERTAS DORMITORIO]])</f>
        <v>1</v>
      </c>
      <c r="CP50" s="3">
        <f>+IF(AVANCE[[#This Row],[REVESTIMIENTO INTERIOR BANO]]=BB$2,100%,AVANCE[[#This Row],[REVESTIMIENTO INTERIOR BANO]])</f>
        <v>1</v>
      </c>
      <c r="CQ50" s="3">
        <f>+IF(AVANCE[[#This Row],[MUEBLE LAVAPLATOS]]=BC$2,100%,AVANCE[[#This Row],[MUEBLE LAVAPLATOS]])</f>
        <v>1</v>
      </c>
      <c r="CR50" s="3">
        <f>+IF(AVANCE[[#This Row],[IMPERMEABILIZACION BANO - COCINA LOGIA]]=BD$2,100%,AVANCE[[#This Row],[IMPERMEABILIZACION BANO - COCINA LOGIA]])</f>
        <v>1</v>
      </c>
      <c r="CS50" s="40">
        <f ca="1">+IF(AVANCE[[#This Row],[ESTADO MODULO]]="PENDIENTE",(TODAY()-AVANCE[[#This Row],[FECHA TERMINO  PLANIFICADO]]),0)</f>
        <v>0</v>
      </c>
      <c r="CT50" s="41" t="str" cm="1">
        <f t="array" ref="CT50">_xlfn.TEXTJOIN(" | ",TRUE,IF(SUMPRODUCT((BG50:CR50&lt;1)*(PARTIDAS!$I$2:$AT$2="OBRA GRUESA"))&gt;0,"OBRA GRUESA: "&amp;_xlfn.TEXTJOIN(", ",TRUE,IF((BG50:CR50&lt;1)*(PARTIDAS!$I$2:$AT$2="OBRA GRUESA"),PARTIDAS!$I$1:$AT$1,"")),""),IF(SUMPRODUCT((BG50:CR50&lt;1)*(PARTIDAS!$I$2:$AT$2="SANITARIOS"))&gt;0,"SANITARIOS: "&amp;_xlfn.TEXTJOIN(", ",TRUE,IF((BG50:CR50&lt;1)*(PARTIDAS!$I$2:$AT$2="SANITARIOS"),PARTIDAS!$I$1:$AT$1,"")),""),IF(SUMPRODUCT((BG50:CR50&lt;1)*(PARTIDAS!$I$2:$AT$2="ELÉCTRICO"))&gt;0,"ELÉCTRICO: "&amp;_xlfn.TEXTJOIN(", ",TRUE,IF((BG50:CR50&lt;1)*(PARTIDAS!$I$2:$AT$2="ELÉCTRICO"),PARTIDAS!$I$1:$AT$1,"")),""),IF(SUMPRODUCT((BG50:CR50&lt;1)*(PARTIDAS!$I$2:$AT$2="TERMINACIONES"))&gt;0,"TERMINACIONES: "&amp;_xlfn.TEXTJOIN(", ",TRUE,IF((BG50:CR50&lt;1)*(PARTIDAS!$I$2:$AT$2="TERMINACIONES"),PARTIDAS!$I$1:$AT$1,"")),""))</f>
        <v/>
      </c>
      <c r="CU50" s="43" t="str" cm="1">
        <f t="array" ref="CU50">_xlfn.TEXTJOIN(", ",TRUE,IF(SUMPRODUCT((BG50:CR50&lt;1)*(PARTIDAS!$I$2:$AT$2="OBRA GRUESA"))&gt;0,"OBRA GRUESA",""),IF(SUMPRODUCT((BG50:CR50&lt;1)*(PARTIDAS!$I$2:$AT$2="SANITARIOS"))&gt;0,"SANITARIOS",""),IF(SUMPRODUCT((BG50:CR50&lt;1)*(PARTIDAS!$I$2:$AT$2="ELÉCTRICO"))&gt;0,"ELÉCTRICO",""),IF(SUMPRODUCT((BG50:CR50&lt;1)*(PARTIDAS!$I$2:$AT$2="TERMINACIONES"))&gt;0,"TERMINACIONES",""))</f>
        <v/>
      </c>
      <c r="CV50" s="44" cm="1">
        <f t="array" ref="CV50">SUMPRODUCT(--(BG50:CR50&lt;1))</f>
        <v>0</v>
      </c>
    </row>
    <row r="51" spans="1:100" hidden="1" x14ac:dyDescent="0.25">
      <c r="A51" t="s">
        <v>91</v>
      </c>
      <c r="B51" t="s">
        <v>109</v>
      </c>
      <c r="C51">
        <v>2302600050</v>
      </c>
      <c r="D51" t="s">
        <v>60</v>
      </c>
      <c r="E51" s="2">
        <v>0.99999999999999978</v>
      </c>
      <c r="F51" s="1">
        <v>46136</v>
      </c>
      <c r="G51" s="1">
        <v>46136</v>
      </c>
      <c r="H51" s="1">
        <v>46195</v>
      </c>
      <c r="I51" s="1">
        <v>46176</v>
      </c>
      <c r="K51" s="1">
        <v>46195</v>
      </c>
      <c r="L51" s="3">
        <v>0.43</v>
      </c>
      <c r="M51" s="3">
        <v>1</v>
      </c>
      <c r="N51" s="3">
        <v>0.27906976744186046</v>
      </c>
      <c r="O51" s="3">
        <v>0.18604651162790697</v>
      </c>
      <c r="P51" s="3">
        <v>0.2558139534883721</v>
      </c>
      <c r="Q51" s="3">
        <v>0.18604651162790697</v>
      </c>
      <c r="R51" s="3">
        <v>9.3023255813953487E-2</v>
      </c>
      <c r="S51" s="3">
        <v>0.09</v>
      </c>
      <c r="T51" s="3">
        <v>1</v>
      </c>
      <c r="U51" s="3">
        <v>0.22222222222222221</v>
      </c>
      <c r="V51" s="3">
        <v>0.22222222222222221</v>
      </c>
      <c r="W51" s="3">
        <v>0.1111111111111111</v>
      </c>
      <c r="X51" s="3">
        <v>0.1111111111111111</v>
      </c>
      <c r="Y51" s="3">
        <v>0.1111111111111111</v>
      </c>
      <c r="Z51" s="3">
        <v>0.22222222222222221</v>
      </c>
      <c r="AA51" s="3">
        <v>0.11</v>
      </c>
      <c r="AB51" s="3">
        <v>1</v>
      </c>
      <c r="AC51" s="3">
        <v>0.27272727272727271</v>
      </c>
      <c r="AD51" s="3">
        <v>0.27272727272727271</v>
      </c>
      <c r="AE51" s="3">
        <v>9.0909090909090912E-2</v>
      </c>
      <c r="AF51" s="3">
        <v>0.18181818181818182</v>
      </c>
      <c r="AG51" s="3">
        <v>0.18181818181818182</v>
      </c>
      <c r="AH51" s="3">
        <v>0.36999999999999983</v>
      </c>
      <c r="AI51" s="3">
        <v>0.99999999999999956</v>
      </c>
      <c r="AJ51" s="3">
        <v>5.4054054054054036E-2</v>
      </c>
      <c r="AK51" s="3">
        <v>5.4054054054054036E-2</v>
      </c>
      <c r="AL51" s="3">
        <v>2.7027027027027018E-2</v>
      </c>
      <c r="AM51" s="3">
        <v>8.1081081081081058E-2</v>
      </c>
      <c r="AN51" s="3">
        <v>8.1081081081081058E-2</v>
      </c>
      <c r="AO51" s="3">
        <v>6.7567567567567557E-2</v>
      </c>
      <c r="AP51" s="3">
        <v>5.4054054054054036E-2</v>
      </c>
      <c r="AQ51" s="3">
        <v>1.3513513513513509E-2</v>
      </c>
      <c r="AR51" s="3">
        <v>4.0540540540540529E-2</v>
      </c>
      <c r="AS51" s="3">
        <v>1.3513513513513509E-2</v>
      </c>
      <c r="AT51" s="3">
        <v>8.1081081081081058E-2</v>
      </c>
      <c r="AU51" s="3">
        <v>5.4054054054054036E-2</v>
      </c>
      <c r="AV51" s="3">
        <v>2.7027027027027018E-2</v>
      </c>
      <c r="AW51" s="3">
        <v>5.4054054054054036E-2</v>
      </c>
      <c r="AX51" s="3">
        <v>5.4054054054054036E-2</v>
      </c>
      <c r="AY51" s="3">
        <v>2.7027027027027018E-2</v>
      </c>
      <c r="AZ51" s="3">
        <v>4.0540540540540529E-2</v>
      </c>
      <c r="BA51" s="3">
        <v>5.4054054054054036E-2</v>
      </c>
      <c r="BB51" s="3">
        <v>8.1081081081081058E-2</v>
      </c>
      <c r="BC51" s="3">
        <v>1.3513513513513509E-2</v>
      </c>
      <c r="BD51" s="3">
        <v>2.7027027027027018E-2</v>
      </c>
      <c r="BE51">
        <v>31.32</v>
      </c>
      <c r="BF51" s="3" t="str">
        <f>+IF(AVANCE[[#This Row],[% AVANCE]]=100%,"MODULO TERMINADO",IF(AVANCE[[#This Row],[FECHA INICIO REAL]]="","MODULO NO INICIADO","PENDIENTE"))</f>
        <v>MODULO TERMINADO</v>
      </c>
      <c r="BG51" s="3">
        <f>+IF(AVANCE[[#This Row],[VENTANAS]]=8.10810810810811%,100%,AVANCE[[#This Row],[VENTANAS]])</f>
        <v>1</v>
      </c>
      <c r="BH51" s="3">
        <f>+IF(AVANCE[[#This Row],[PISO]]=N$2,100%,AVANCE[[#This Row],[PISO]])</f>
        <v>1</v>
      </c>
      <c r="BI51" s="3">
        <f>+IF(AVANCE[[#This Row],[TABIQUES]]=O$2,100%,AVANCE[[#This Row],[TABIQUES]])</f>
        <v>1</v>
      </c>
      <c r="BJ51" s="3">
        <f>+IF(AVANCE[[#This Row],[MUROS]]=P$2,100%,AVANCE[[#This Row],[MUROS]])</f>
        <v>1</v>
      </c>
      <c r="BK51" s="3">
        <f>+IF(AVANCE[[#This Row],[CIELO]]=Q$2,100%,AVANCE[[#This Row],[CIELO]])</f>
        <v>1</v>
      </c>
      <c r="BL51" s="3">
        <f>+IF(AVANCE[[#This Row],[BALCÓN]]=R$2,100%,AVANCE[[#This Row],[BALCÓN]])</f>
        <v>1</v>
      </c>
      <c r="BM51" s="3">
        <f>+IF(AVANCE[[#This Row],[RED ALCANTARILLADO]]=U$2,100%,AVANCE[[#This Row],[RED ALCANTARILLADO]])</f>
        <v>1</v>
      </c>
      <c r="BN51" s="3">
        <f>+IF(AVANCE[[#This Row],[RED DE AGUA]]=V$2,100%,AVANCE[[#This Row],[RED DE AGUA]])</f>
        <v>1</v>
      </c>
      <c r="BO51" s="3">
        <f>+IF(AVANCE[[#This Row],[VENTILACIONES]]=W$2,100%,AVANCE[[#This Row],[VENTILACIONES]])</f>
        <v>1</v>
      </c>
      <c r="BP51" s="3">
        <f>+IF(AVANCE[[#This Row],[TINA]]=X$2,100%,AVANCE[[#This Row],[TINA]])</f>
        <v>1</v>
      </c>
      <c r="BQ51" s="3">
        <f>+IF(AVANCE[[#This Row],[WC]]=Y$2,100%,AVANCE[[#This Row],[WC]])</f>
        <v>1</v>
      </c>
      <c r="BR51" s="3">
        <f>+IF(AVANCE[[#This Row],[LAVAMANOS / LAVAPLATOS / LAVADERO]]=Z$2,100%,AVANCE[[#This Row],[LAVAMANOS / LAVAPLATOS / LAVADERO]])</f>
        <v>1</v>
      </c>
      <c r="BS51" s="3">
        <f>+IF(AVANCE[[#This Row],[CANALIZACIÓN]]=AC$2,100%,AVANCE[[#This Row],[CANALIZACIÓN]])</f>
        <v>1</v>
      </c>
      <c r="BT51" s="3">
        <f>+IF(AVANCE[[#This Row],[CABLEADO]]=AD$2,100%,AVANCE[[#This Row],[CABLEADO]])</f>
        <v>1</v>
      </c>
      <c r="BU51" s="3">
        <f>+IF(AVANCE[[#This Row],[ARTEFACTOS]]=AE$2,100%,AVANCE[[#This Row],[ARTEFACTOS]])</f>
        <v>1</v>
      </c>
      <c r="BV51" s="3">
        <f>+IF(AVANCE[[#This Row],[TABLERO]]=AF$2,100%,AVANCE[[#This Row],[TABLERO]])</f>
        <v>1</v>
      </c>
      <c r="BW51" s="3">
        <f>+IF(AVANCE[[#This Row],[CAJA PAU]]=AG$2,100%,AVANCE[[#This Row],[CAJA PAU]])</f>
        <v>1</v>
      </c>
      <c r="BX51" s="3">
        <f>+IF(AVANCE[[#This Row],[INSTALACION VINILICO]]=AJ$2,100%,AVANCE[[#This Row],[INSTALACION VINILICO]])</f>
        <v>1</v>
      </c>
      <c r="BY51" s="3">
        <f>+IF(AVANCE[[#This Row],[OSB CUBIERTA]]=AK$2,100%,AVANCE[[#This Row],[OSB CUBIERTA]])</f>
        <v>1</v>
      </c>
      <c r="BZ51" s="3">
        <f>+IF(AVANCE[[#This Row],[BARANDA BALCON]]=AL$2,100%,AVANCE[[#This Row],[BARANDA BALCON]])</f>
        <v>1</v>
      </c>
      <c r="CA51" s="3">
        <f>+IF(AVANCE[[#This Row],[OSB EXTERIOR]]=AM$2,100%,AVANCE[[#This Row],[OSB EXTERIOR]])</f>
        <v>1</v>
      </c>
      <c r="CB51" s="3">
        <f>+IF(AVANCE[[#This Row],[SMART PANEL]]=AN$2,100%,AVANCE[[#This Row],[SMART PANEL]])</f>
        <v>1</v>
      </c>
      <c r="CC51" s="3">
        <f>+IF(AVANCE[[#This Row],[PINTURA EXTERIOR]]=AO$2,100%,AVANCE[[#This Row],[PINTURA EXTERIOR]])</f>
        <v>1</v>
      </c>
      <c r="CD51" s="3">
        <f>+IF(AVANCE[[#This Row],[ZOCALOS LOGIA]]=AP$2,100%,AVANCE[[#This Row],[ZOCALOS LOGIA]])</f>
        <v>1</v>
      </c>
      <c r="CE51" s="3">
        <f>+IF(AVANCE[[#This Row],[MOLDURAS]]=AQ$2,100%,AVANCE[[#This Row],[MOLDURAS]])</f>
        <v>1</v>
      </c>
      <c r="CF51" s="3">
        <f>+IF(AVANCE[[#This Row],[PILASTREO]]=AR$2,100%,AVANCE[[#This Row],[PILASTREO]])</f>
        <v>1</v>
      </c>
      <c r="CG51" s="3">
        <f>+IF(AVANCE[[#This Row],[CELOSIAS]]=AS$2,100%,AVANCE[[#This Row],[CELOSIAS]])</f>
        <v>1</v>
      </c>
      <c r="CH51" s="3">
        <f>+IF(AVANCE[[#This Row],[VENTANAS]]=AT$2,100%,AVANCE[[#This Row],[VENTANAS]])</f>
        <v>1</v>
      </c>
      <c r="CI51" s="3">
        <f>+IF(AVANCE[[#This Row],[PUERTAS ACCESO - LOGIA - BANO]]=AU$2,100%,AVANCE[[#This Row],[PUERTAS ACCESO - LOGIA - BANO]])</f>
        <v>1</v>
      </c>
      <c r="CJ51" s="3">
        <f>+IF(AVANCE[[#This Row],[CERRADURAS]]=AV$2,100%,AVANCE[[#This Row],[CERRADURAS]])</f>
        <v>1</v>
      </c>
      <c r="CK51" s="3">
        <f>+IF(AVANCE[[#This Row],[REVESTIMIENTO INTERIOR ZONA SECA]]=AW$2,100%,AVANCE[[#This Row],[REVESTIMIENTO INTERIOR ZONA SECA]])</f>
        <v>1</v>
      </c>
      <c r="CL51" s="3">
        <f>+IF(AVANCE[[#This Row],[REVESTIMIENTO INTERIOR ZONAS HUMEDAS]]=AX$2,100%,AVANCE[[#This Row],[REVESTIMIENTO INTERIOR ZONAS HUMEDAS]])</f>
        <v>1</v>
      </c>
      <c r="CM51" s="3">
        <f>+IF(AVANCE[[#This Row],[MEMBRANA CIELO]]=AY$2,100%,AVANCE[[#This Row],[MEMBRANA CIELO]])</f>
        <v>1</v>
      </c>
      <c r="CN51" s="3">
        <f>+IF(AVANCE[[#This Row],[LIMPIEZA FINAL]]=AZ$2,100%,AVANCE[[#This Row],[LIMPIEZA FINAL]])</f>
        <v>1</v>
      </c>
      <c r="CO51" s="3">
        <f>+IF(AVANCE[[#This Row],[PUERTAS DORMITORIO]]=BA$2,100%,AVANCE[[#This Row],[PUERTAS DORMITORIO]])</f>
        <v>1</v>
      </c>
      <c r="CP51" s="3">
        <f>+IF(AVANCE[[#This Row],[REVESTIMIENTO INTERIOR BANO]]=BB$2,100%,AVANCE[[#This Row],[REVESTIMIENTO INTERIOR BANO]])</f>
        <v>1</v>
      </c>
      <c r="CQ51" s="3">
        <f>+IF(AVANCE[[#This Row],[MUEBLE LAVAPLATOS]]=BC$2,100%,AVANCE[[#This Row],[MUEBLE LAVAPLATOS]])</f>
        <v>1</v>
      </c>
      <c r="CR51" s="3">
        <f>+IF(AVANCE[[#This Row],[IMPERMEABILIZACION BANO - COCINA LOGIA]]=BD$2,100%,AVANCE[[#This Row],[IMPERMEABILIZACION BANO - COCINA LOGIA]])</f>
        <v>1</v>
      </c>
      <c r="CS51" s="40">
        <f ca="1">+IF(AVANCE[[#This Row],[ESTADO MODULO]]="PENDIENTE",(TODAY()-AVANCE[[#This Row],[FECHA TERMINO  PLANIFICADO]]),0)</f>
        <v>0</v>
      </c>
      <c r="CT51" s="41" t="str" cm="1">
        <f t="array" ref="CT51">_xlfn.TEXTJOIN(" | ",TRUE,IF(SUMPRODUCT((BG51:CR51&lt;1)*(PARTIDAS!$I$2:$AT$2="OBRA GRUESA"))&gt;0,"OBRA GRUESA: "&amp;_xlfn.TEXTJOIN(", ",TRUE,IF((BG51:CR51&lt;1)*(PARTIDAS!$I$2:$AT$2="OBRA GRUESA"),PARTIDAS!$I$1:$AT$1,"")),""),IF(SUMPRODUCT((BG51:CR51&lt;1)*(PARTIDAS!$I$2:$AT$2="SANITARIOS"))&gt;0,"SANITARIOS: "&amp;_xlfn.TEXTJOIN(", ",TRUE,IF((BG51:CR51&lt;1)*(PARTIDAS!$I$2:$AT$2="SANITARIOS"),PARTIDAS!$I$1:$AT$1,"")),""),IF(SUMPRODUCT((BG51:CR51&lt;1)*(PARTIDAS!$I$2:$AT$2="ELÉCTRICO"))&gt;0,"ELÉCTRICO: "&amp;_xlfn.TEXTJOIN(", ",TRUE,IF((BG51:CR51&lt;1)*(PARTIDAS!$I$2:$AT$2="ELÉCTRICO"),PARTIDAS!$I$1:$AT$1,"")),""),IF(SUMPRODUCT((BG51:CR51&lt;1)*(PARTIDAS!$I$2:$AT$2="TERMINACIONES"))&gt;0,"TERMINACIONES: "&amp;_xlfn.TEXTJOIN(", ",TRUE,IF((BG51:CR51&lt;1)*(PARTIDAS!$I$2:$AT$2="TERMINACIONES"),PARTIDAS!$I$1:$AT$1,"")),""))</f>
        <v/>
      </c>
      <c r="CU51" s="43" t="str" cm="1">
        <f t="array" ref="CU51">_xlfn.TEXTJOIN(", ",TRUE,IF(SUMPRODUCT((BG51:CR51&lt;1)*(PARTIDAS!$I$2:$AT$2="OBRA GRUESA"))&gt;0,"OBRA GRUESA",""),IF(SUMPRODUCT((BG51:CR51&lt;1)*(PARTIDAS!$I$2:$AT$2="SANITARIOS"))&gt;0,"SANITARIOS",""),IF(SUMPRODUCT((BG51:CR51&lt;1)*(PARTIDAS!$I$2:$AT$2="ELÉCTRICO"))&gt;0,"ELÉCTRICO",""),IF(SUMPRODUCT((BG51:CR51&lt;1)*(PARTIDAS!$I$2:$AT$2="TERMINACIONES"))&gt;0,"TERMINACIONES",""))</f>
        <v/>
      </c>
      <c r="CV51" s="44" cm="1">
        <f t="array" ref="CV51">SUMPRODUCT(--(BG51:CR51&lt;1))</f>
        <v>0</v>
      </c>
    </row>
    <row r="52" spans="1:100" hidden="1" x14ac:dyDescent="0.25">
      <c r="A52" t="s">
        <v>91</v>
      </c>
      <c r="B52" t="s">
        <v>110</v>
      </c>
      <c r="C52">
        <v>2302600051</v>
      </c>
      <c r="D52" t="s">
        <v>60</v>
      </c>
      <c r="E52" s="2">
        <v>0.99999999999999978</v>
      </c>
      <c r="F52" s="1">
        <v>46140</v>
      </c>
      <c r="G52" s="1">
        <v>46140</v>
      </c>
      <c r="H52" s="1">
        <v>46197</v>
      </c>
      <c r="I52" s="1">
        <v>46180</v>
      </c>
      <c r="K52" s="1">
        <v>46197</v>
      </c>
      <c r="L52" s="3">
        <v>0.43</v>
      </c>
      <c r="M52" s="3">
        <v>1</v>
      </c>
      <c r="N52" s="3">
        <v>0.27906976744186046</v>
      </c>
      <c r="O52" s="3">
        <v>0.18604651162790697</v>
      </c>
      <c r="P52" s="3">
        <v>0.2558139534883721</v>
      </c>
      <c r="Q52" s="3">
        <v>0.18604651162790697</v>
      </c>
      <c r="R52" s="3">
        <v>9.3023255813953487E-2</v>
      </c>
      <c r="S52" s="3">
        <v>0.09</v>
      </c>
      <c r="T52" s="3">
        <v>1</v>
      </c>
      <c r="U52" s="3">
        <v>0.22222222222222221</v>
      </c>
      <c r="V52" s="3">
        <v>0.22222222222222221</v>
      </c>
      <c r="W52" s="3">
        <v>0.1111111111111111</v>
      </c>
      <c r="X52" s="3">
        <v>0.1111111111111111</v>
      </c>
      <c r="Y52" s="3">
        <v>0.1111111111111111</v>
      </c>
      <c r="Z52" s="3">
        <v>0.22222222222222221</v>
      </c>
      <c r="AA52" s="3">
        <v>0.11</v>
      </c>
      <c r="AB52" s="3">
        <v>1</v>
      </c>
      <c r="AC52" s="3">
        <v>0.27272727272727271</v>
      </c>
      <c r="AD52" s="3">
        <v>0.27272727272727271</v>
      </c>
      <c r="AE52" s="3">
        <v>9.0909090909090912E-2</v>
      </c>
      <c r="AF52" s="3">
        <v>0.18181818181818182</v>
      </c>
      <c r="AG52" s="3">
        <v>0.18181818181818182</v>
      </c>
      <c r="AH52" s="3">
        <v>0.36999999999999983</v>
      </c>
      <c r="AI52" s="3">
        <v>0.99999999999999956</v>
      </c>
      <c r="AJ52" s="3">
        <v>5.4054054054054036E-2</v>
      </c>
      <c r="AK52" s="3">
        <v>5.4054054054054036E-2</v>
      </c>
      <c r="AL52" s="3">
        <v>2.7027027027027018E-2</v>
      </c>
      <c r="AM52" s="3">
        <v>8.1081081081081058E-2</v>
      </c>
      <c r="AN52" s="3">
        <v>8.1081081081081058E-2</v>
      </c>
      <c r="AO52" s="3">
        <v>6.7567567567567557E-2</v>
      </c>
      <c r="AP52" s="3">
        <v>5.4054054054054036E-2</v>
      </c>
      <c r="AQ52" s="3">
        <v>1.3513513513513509E-2</v>
      </c>
      <c r="AR52" s="3">
        <v>4.0540540540540529E-2</v>
      </c>
      <c r="AS52" s="3">
        <v>1.3513513513513509E-2</v>
      </c>
      <c r="AT52" s="3">
        <v>8.1081081081081058E-2</v>
      </c>
      <c r="AU52" s="3">
        <v>5.4054054054054036E-2</v>
      </c>
      <c r="AV52" s="3">
        <v>2.7027027027027018E-2</v>
      </c>
      <c r="AW52" s="3">
        <v>5.4054054054054036E-2</v>
      </c>
      <c r="AX52" s="3">
        <v>5.4054054054054036E-2</v>
      </c>
      <c r="AY52" s="3">
        <v>2.7027027027027018E-2</v>
      </c>
      <c r="AZ52" s="3">
        <v>4.0540540540540529E-2</v>
      </c>
      <c r="BA52" s="3">
        <v>5.4054054054054036E-2</v>
      </c>
      <c r="BB52" s="3">
        <v>8.1081081081081058E-2</v>
      </c>
      <c r="BC52" s="3">
        <v>1.3513513513513509E-2</v>
      </c>
      <c r="BD52" s="3">
        <v>2.7027027027027018E-2</v>
      </c>
      <c r="BE52">
        <v>31.32</v>
      </c>
      <c r="BF52" s="3" t="str">
        <f>+IF(AVANCE[[#This Row],[% AVANCE]]=100%,"MODULO TERMINADO",IF(AVANCE[[#This Row],[FECHA INICIO REAL]]="","MODULO NO INICIADO","PENDIENTE"))</f>
        <v>MODULO TERMINADO</v>
      </c>
      <c r="BG52" s="3">
        <f>+IF(AVANCE[[#This Row],[VENTANAS]]=8.10810810810811%,100%,AVANCE[[#This Row],[VENTANAS]])</f>
        <v>1</v>
      </c>
      <c r="BH52" s="3">
        <f>+IF(AVANCE[[#This Row],[PISO]]=N$2,100%,AVANCE[[#This Row],[PISO]])</f>
        <v>1</v>
      </c>
      <c r="BI52" s="3">
        <f>+IF(AVANCE[[#This Row],[TABIQUES]]=O$2,100%,AVANCE[[#This Row],[TABIQUES]])</f>
        <v>1</v>
      </c>
      <c r="BJ52" s="3">
        <f>+IF(AVANCE[[#This Row],[MUROS]]=P$2,100%,AVANCE[[#This Row],[MUROS]])</f>
        <v>1</v>
      </c>
      <c r="BK52" s="3">
        <f>+IF(AVANCE[[#This Row],[CIELO]]=Q$2,100%,AVANCE[[#This Row],[CIELO]])</f>
        <v>1</v>
      </c>
      <c r="BL52" s="3">
        <f>+IF(AVANCE[[#This Row],[BALCÓN]]=R$2,100%,AVANCE[[#This Row],[BALCÓN]])</f>
        <v>1</v>
      </c>
      <c r="BM52" s="3">
        <f>+IF(AVANCE[[#This Row],[RED ALCANTARILLADO]]=U$2,100%,AVANCE[[#This Row],[RED ALCANTARILLADO]])</f>
        <v>1</v>
      </c>
      <c r="BN52" s="3">
        <f>+IF(AVANCE[[#This Row],[RED DE AGUA]]=V$2,100%,AVANCE[[#This Row],[RED DE AGUA]])</f>
        <v>1</v>
      </c>
      <c r="BO52" s="3">
        <f>+IF(AVANCE[[#This Row],[VENTILACIONES]]=W$2,100%,AVANCE[[#This Row],[VENTILACIONES]])</f>
        <v>1</v>
      </c>
      <c r="BP52" s="3">
        <f>+IF(AVANCE[[#This Row],[TINA]]=X$2,100%,AVANCE[[#This Row],[TINA]])</f>
        <v>1</v>
      </c>
      <c r="BQ52" s="3">
        <f>+IF(AVANCE[[#This Row],[WC]]=Y$2,100%,AVANCE[[#This Row],[WC]])</f>
        <v>1</v>
      </c>
      <c r="BR52" s="3">
        <f>+IF(AVANCE[[#This Row],[LAVAMANOS / LAVAPLATOS / LAVADERO]]=Z$2,100%,AVANCE[[#This Row],[LAVAMANOS / LAVAPLATOS / LAVADERO]])</f>
        <v>1</v>
      </c>
      <c r="BS52" s="3">
        <f>+IF(AVANCE[[#This Row],[CANALIZACIÓN]]=AC$2,100%,AVANCE[[#This Row],[CANALIZACIÓN]])</f>
        <v>1</v>
      </c>
      <c r="BT52" s="3">
        <f>+IF(AVANCE[[#This Row],[CABLEADO]]=AD$2,100%,AVANCE[[#This Row],[CABLEADO]])</f>
        <v>1</v>
      </c>
      <c r="BU52" s="3">
        <f>+IF(AVANCE[[#This Row],[ARTEFACTOS]]=AE$2,100%,AVANCE[[#This Row],[ARTEFACTOS]])</f>
        <v>1</v>
      </c>
      <c r="BV52" s="3">
        <f>+IF(AVANCE[[#This Row],[TABLERO]]=AF$2,100%,AVANCE[[#This Row],[TABLERO]])</f>
        <v>1</v>
      </c>
      <c r="BW52" s="3">
        <f>+IF(AVANCE[[#This Row],[CAJA PAU]]=AG$2,100%,AVANCE[[#This Row],[CAJA PAU]])</f>
        <v>1</v>
      </c>
      <c r="BX52" s="3">
        <f>+IF(AVANCE[[#This Row],[INSTALACION VINILICO]]=AJ$2,100%,AVANCE[[#This Row],[INSTALACION VINILICO]])</f>
        <v>1</v>
      </c>
      <c r="BY52" s="3">
        <f>+IF(AVANCE[[#This Row],[OSB CUBIERTA]]=AK$2,100%,AVANCE[[#This Row],[OSB CUBIERTA]])</f>
        <v>1</v>
      </c>
      <c r="BZ52" s="3">
        <f>+IF(AVANCE[[#This Row],[BARANDA BALCON]]=AL$2,100%,AVANCE[[#This Row],[BARANDA BALCON]])</f>
        <v>1</v>
      </c>
      <c r="CA52" s="3">
        <f>+IF(AVANCE[[#This Row],[OSB EXTERIOR]]=AM$2,100%,AVANCE[[#This Row],[OSB EXTERIOR]])</f>
        <v>1</v>
      </c>
      <c r="CB52" s="3">
        <f>+IF(AVANCE[[#This Row],[SMART PANEL]]=AN$2,100%,AVANCE[[#This Row],[SMART PANEL]])</f>
        <v>1</v>
      </c>
      <c r="CC52" s="3">
        <f>+IF(AVANCE[[#This Row],[PINTURA EXTERIOR]]=AO$2,100%,AVANCE[[#This Row],[PINTURA EXTERIOR]])</f>
        <v>1</v>
      </c>
      <c r="CD52" s="3">
        <f>+IF(AVANCE[[#This Row],[ZOCALOS LOGIA]]=AP$2,100%,AVANCE[[#This Row],[ZOCALOS LOGIA]])</f>
        <v>1</v>
      </c>
      <c r="CE52" s="3">
        <f>+IF(AVANCE[[#This Row],[MOLDURAS]]=AQ$2,100%,AVANCE[[#This Row],[MOLDURAS]])</f>
        <v>1</v>
      </c>
      <c r="CF52" s="3">
        <f>+IF(AVANCE[[#This Row],[PILASTREO]]=AR$2,100%,AVANCE[[#This Row],[PILASTREO]])</f>
        <v>1</v>
      </c>
      <c r="CG52" s="3">
        <f>+IF(AVANCE[[#This Row],[CELOSIAS]]=AS$2,100%,AVANCE[[#This Row],[CELOSIAS]])</f>
        <v>1</v>
      </c>
      <c r="CH52" s="3">
        <f>+IF(AVANCE[[#This Row],[VENTANAS]]=AT$2,100%,AVANCE[[#This Row],[VENTANAS]])</f>
        <v>1</v>
      </c>
      <c r="CI52" s="3">
        <f>+IF(AVANCE[[#This Row],[PUERTAS ACCESO - LOGIA - BANO]]=AU$2,100%,AVANCE[[#This Row],[PUERTAS ACCESO - LOGIA - BANO]])</f>
        <v>1</v>
      </c>
      <c r="CJ52" s="3">
        <f>+IF(AVANCE[[#This Row],[CERRADURAS]]=AV$2,100%,AVANCE[[#This Row],[CERRADURAS]])</f>
        <v>1</v>
      </c>
      <c r="CK52" s="3">
        <f>+IF(AVANCE[[#This Row],[REVESTIMIENTO INTERIOR ZONA SECA]]=AW$2,100%,AVANCE[[#This Row],[REVESTIMIENTO INTERIOR ZONA SECA]])</f>
        <v>1</v>
      </c>
      <c r="CL52" s="3">
        <f>+IF(AVANCE[[#This Row],[REVESTIMIENTO INTERIOR ZONAS HUMEDAS]]=AX$2,100%,AVANCE[[#This Row],[REVESTIMIENTO INTERIOR ZONAS HUMEDAS]])</f>
        <v>1</v>
      </c>
      <c r="CM52" s="3">
        <f>+IF(AVANCE[[#This Row],[MEMBRANA CIELO]]=AY$2,100%,AVANCE[[#This Row],[MEMBRANA CIELO]])</f>
        <v>1</v>
      </c>
      <c r="CN52" s="3">
        <f>+IF(AVANCE[[#This Row],[LIMPIEZA FINAL]]=AZ$2,100%,AVANCE[[#This Row],[LIMPIEZA FINAL]])</f>
        <v>1</v>
      </c>
      <c r="CO52" s="3">
        <f>+IF(AVANCE[[#This Row],[PUERTAS DORMITORIO]]=BA$2,100%,AVANCE[[#This Row],[PUERTAS DORMITORIO]])</f>
        <v>1</v>
      </c>
      <c r="CP52" s="3">
        <f>+IF(AVANCE[[#This Row],[REVESTIMIENTO INTERIOR BANO]]=BB$2,100%,AVANCE[[#This Row],[REVESTIMIENTO INTERIOR BANO]])</f>
        <v>1</v>
      </c>
      <c r="CQ52" s="3">
        <f>+IF(AVANCE[[#This Row],[MUEBLE LAVAPLATOS]]=BC$2,100%,AVANCE[[#This Row],[MUEBLE LAVAPLATOS]])</f>
        <v>1</v>
      </c>
      <c r="CR52" s="3">
        <f>+IF(AVANCE[[#This Row],[IMPERMEABILIZACION BANO - COCINA LOGIA]]=BD$2,100%,AVANCE[[#This Row],[IMPERMEABILIZACION BANO - COCINA LOGIA]])</f>
        <v>1</v>
      </c>
      <c r="CS52" s="40">
        <f ca="1">+IF(AVANCE[[#This Row],[ESTADO MODULO]]="PENDIENTE",(TODAY()-AVANCE[[#This Row],[FECHA TERMINO  PLANIFICADO]]),0)</f>
        <v>0</v>
      </c>
      <c r="CT52" s="41" t="str" cm="1">
        <f t="array" ref="CT52">_xlfn.TEXTJOIN(" | ",TRUE,IF(SUMPRODUCT((BG52:CR52&lt;1)*(PARTIDAS!$I$2:$AT$2="OBRA GRUESA"))&gt;0,"OBRA GRUESA: "&amp;_xlfn.TEXTJOIN(", ",TRUE,IF((BG52:CR52&lt;1)*(PARTIDAS!$I$2:$AT$2="OBRA GRUESA"),PARTIDAS!$I$1:$AT$1,"")),""),IF(SUMPRODUCT((BG52:CR52&lt;1)*(PARTIDAS!$I$2:$AT$2="SANITARIOS"))&gt;0,"SANITARIOS: "&amp;_xlfn.TEXTJOIN(", ",TRUE,IF((BG52:CR52&lt;1)*(PARTIDAS!$I$2:$AT$2="SANITARIOS"),PARTIDAS!$I$1:$AT$1,"")),""),IF(SUMPRODUCT((BG52:CR52&lt;1)*(PARTIDAS!$I$2:$AT$2="ELÉCTRICO"))&gt;0,"ELÉCTRICO: "&amp;_xlfn.TEXTJOIN(", ",TRUE,IF((BG52:CR52&lt;1)*(PARTIDAS!$I$2:$AT$2="ELÉCTRICO"),PARTIDAS!$I$1:$AT$1,"")),""),IF(SUMPRODUCT((BG52:CR52&lt;1)*(PARTIDAS!$I$2:$AT$2="TERMINACIONES"))&gt;0,"TERMINACIONES: "&amp;_xlfn.TEXTJOIN(", ",TRUE,IF((BG52:CR52&lt;1)*(PARTIDAS!$I$2:$AT$2="TERMINACIONES"),PARTIDAS!$I$1:$AT$1,"")),""))</f>
        <v/>
      </c>
      <c r="CU52" s="43" t="str" cm="1">
        <f t="array" ref="CU52">_xlfn.TEXTJOIN(", ",TRUE,IF(SUMPRODUCT((BG52:CR52&lt;1)*(PARTIDAS!$I$2:$AT$2="OBRA GRUESA"))&gt;0,"OBRA GRUESA",""),IF(SUMPRODUCT((BG52:CR52&lt;1)*(PARTIDAS!$I$2:$AT$2="SANITARIOS"))&gt;0,"SANITARIOS",""),IF(SUMPRODUCT((BG52:CR52&lt;1)*(PARTIDAS!$I$2:$AT$2="ELÉCTRICO"))&gt;0,"ELÉCTRICO",""),IF(SUMPRODUCT((BG52:CR52&lt;1)*(PARTIDAS!$I$2:$AT$2="TERMINACIONES"))&gt;0,"TERMINACIONES",""))</f>
        <v/>
      </c>
      <c r="CV52" s="44" cm="1">
        <f t="array" ref="CV52">SUMPRODUCT(--(BG52:CR52&lt;1))</f>
        <v>0</v>
      </c>
    </row>
    <row r="53" spans="1:100" hidden="1" x14ac:dyDescent="0.25">
      <c r="A53" t="s">
        <v>91</v>
      </c>
      <c r="B53" t="s">
        <v>111</v>
      </c>
      <c r="C53">
        <v>2282600052</v>
      </c>
      <c r="D53" t="s">
        <v>58</v>
      </c>
      <c r="E53" s="2">
        <v>0.99999999999999978</v>
      </c>
      <c r="F53" s="1">
        <v>46134</v>
      </c>
      <c r="G53" s="1">
        <v>46134</v>
      </c>
      <c r="H53" s="1">
        <v>46196</v>
      </c>
      <c r="I53" s="1">
        <v>46163</v>
      </c>
      <c r="K53" s="1">
        <v>46196</v>
      </c>
      <c r="L53" s="3">
        <v>0.43</v>
      </c>
      <c r="M53" s="3">
        <v>1</v>
      </c>
      <c r="N53" s="3">
        <v>0.27906976744186046</v>
      </c>
      <c r="O53" s="3">
        <v>0.18604651162790697</v>
      </c>
      <c r="P53" s="3">
        <v>0.2558139534883721</v>
      </c>
      <c r="Q53" s="3">
        <v>0.18604651162790697</v>
      </c>
      <c r="R53" s="3">
        <v>9.3023255813953487E-2</v>
      </c>
      <c r="S53" s="3">
        <v>0.09</v>
      </c>
      <c r="T53" s="3">
        <v>1</v>
      </c>
      <c r="U53" s="3">
        <v>0.22222222222222221</v>
      </c>
      <c r="V53" s="3">
        <v>0.22222222222222221</v>
      </c>
      <c r="W53" s="3">
        <v>0.1111111111111111</v>
      </c>
      <c r="X53" s="3">
        <v>0.1111111111111111</v>
      </c>
      <c r="Y53" s="3">
        <v>0.1111111111111111</v>
      </c>
      <c r="Z53" s="3">
        <v>0.22222222222222221</v>
      </c>
      <c r="AA53" s="3">
        <v>0.11</v>
      </c>
      <c r="AB53" s="3">
        <v>1</v>
      </c>
      <c r="AC53" s="3">
        <v>0.27272727272727271</v>
      </c>
      <c r="AD53" s="3">
        <v>0.27272727272727271</v>
      </c>
      <c r="AE53" s="3">
        <v>9.0909090909090912E-2</v>
      </c>
      <c r="AF53" s="3">
        <v>0.18181818181818182</v>
      </c>
      <c r="AG53" s="3">
        <v>0.18181818181818182</v>
      </c>
      <c r="AH53" s="3">
        <v>0.36999999999999983</v>
      </c>
      <c r="AI53" s="3">
        <v>0.99999999999999956</v>
      </c>
      <c r="AJ53" s="3">
        <v>5.4054054054054036E-2</v>
      </c>
      <c r="AK53" s="3">
        <v>5.4054054054054036E-2</v>
      </c>
      <c r="AL53" s="3">
        <v>2.7027027027027018E-2</v>
      </c>
      <c r="AM53" s="3">
        <v>8.1081081081081058E-2</v>
      </c>
      <c r="AN53" s="3">
        <v>8.1081081081081058E-2</v>
      </c>
      <c r="AO53" s="3">
        <v>6.7567567567567557E-2</v>
      </c>
      <c r="AP53" s="3">
        <v>5.4054054054054036E-2</v>
      </c>
      <c r="AQ53" s="3">
        <v>1.3513513513513509E-2</v>
      </c>
      <c r="AR53" s="3">
        <v>4.0540540540540529E-2</v>
      </c>
      <c r="AS53" s="3">
        <v>1.3513513513513509E-2</v>
      </c>
      <c r="AT53" s="3">
        <v>8.1081081081081058E-2</v>
      </c>
      <c r="AU53" s="3">
        <v>5.4054054054054036E-2</v>
      </c>
      <c r="AV53" s="3">
        <v>2.7027027027027018E-2</v>
      </c>
      <c r="AW53" s="3">
        <v>5.4054054054054036E-2</v>
      </c>
      <c r="AX53" s="3">
        <v>5.4054054054054036E-2</v>
      </c>
      <c r="AY53" s="3">
        <v>2.7027027027027018E-2</v>
      </c>
      <c r="AZ53" s="3">
        <v>4.0540540540540529E-2</v>
      </c>
      <c r="BA53" s="3">
        <v>5.4054054054054036E-2</v>
      </c>
      <c r="BB53" s="3">
        <v>8.1081081081081058E-2</v>
      </c>
      <c r="BC53" s="3">
        <v>1.3513513513513509E-2</v>
      </c>
      <c r="BD53" s="3">
        <v>2.7027027027027018E-2</v>
      </c>
      <c r="BE53">
        <v>28.87</v>
      </c>
      <c r="BF53" s="3" t="str">
        <f>+IF(AVANCE[[#This Row],[% AVANCE]]=100%,"MODULO TERMINADO",IF(AVANCE[[#This Row],[FECHA INICIO REAL]]="","MODULO NO INICIADO","PENDIENTE"))</f>
        <v>MODULO TERMINADO</v>
      </c>
      <c r="BG53" s="3">
        <f>+IF(AVANCE[[#This Row],[VENTANAS]]=8.10810810810811%,100%,AVANCE[[#This Row],[VENTANAS]])</f>
        <v>1</v>
      </c>
      <c r="BH53" s="3">
        <f>+IF(AVANCE[[#This Row],[PISO]]=N$2,100%,AVANCE[[#This Row],[PISO]])</f>
        <v>1</v>
      </c>
      <c r="BI53" s="3">
        <f>+IF(AVANCE[[#This Row],[TABIQUES]]=O$2,100%,AVANCE[[#This Row],[TABIQUES]])</f>
        <v>1</v>
      </c>
      <c r="BJ53" s="3">
        <f>+IF(AVANCE[[#This Row],[MUROS]]=P$2,100%,AVANCE[[#This Row],[MUROS]])</f>
        <v>1</v>
      </c>
      <c r="BK53" s="3">
        <f>+IF(AVANCE[[#This Row],[CIELO]]=Q$2,100%,AVANCE[[#This Row],[CIELO]])</f>
        <v>1</v>
      </c>
      <c r="BL53" s="3">
        <f>+IF(AVANCE[[#This Row],[BALCÓN]]=R$2,100%,AVANCE[[#This Row],[BALCÓN]])</f>
        <v>1</v>
      </c>
      <c r="BM53" s="3">
        <f>+IF(AVANCE[[#This Row],[RED ALCANTARILLADO]]=U$2,100%,AVANCE[[#This Row],[RED ALCANTARILLADO]])</f>
        <v>1</v>
      </c>
      <c r="BN53" s="3">
        <f>+IF(AVANCE[[#This Row],[RED DE AGUA]]=V$2,100%,AVANCE[[#This Row],[RED DE AGUA]])</f>
        <v>1</v>
      </c>
      <c r="BO53" s="3">
        <f>+IF(AVANCE[[#This Row],[VENTILACIONES]]=W$2,100%,AVANCE[[#This Row],[VENTILACIONES]])</f>
        <v>1</v>
      </c>
      <c r="BP53" s="3">
        <f>+IF(AVANCE[[#This Row],[TINA]]=X$2,100%,AVANCE[[#This Row],[TINA]])</f>
        <v>1</v>
      </c>
      <c r="BQ53" s="3">
        <f>+IF(AVANCE[[#This Row],[WC]]=Y$2,100%,AVANCE[[#This Row],[WC]])</f>
        <v>1</v>
      </c>
      <c r="BR53" s="3">
        <f>+IF(AVANCE[[#This Row],[LAVAMANOS / LAVAPLATOS / LAVADERO]]=Z$2,100%,AVANCE[[#This Row],[LAVAMANOS / LAVAPLATOS / LAVADERO]])</f>
        <v>1</v>
      </c>
      <c r="BS53" s="3">
        <f>+IF(AVANCE[[#This Row],[CANALIZACIÓN]]=AC$2,100%,AVANCE[[#This Row],[CANALIZACIÓN]])</f>
        <v>1</v>
      </c>
      <c r="BT53" s="3">
        <f>+IF(AVANCE[[#This Row],[CABLEADO]]=AD$2,100%,AVANCE[[#This Row],[CABLEADO]])</f>
        <v>1</v>
      </c>
      <c r="BU53" s="3">
        <f>+IF(AVANCE[[#This Row],[ARTEFACTOS]]=AE$2,100%,AVANCE[[#This Row],[ARTEFACTOS]])</f>
        <v>1</v>
      </c>
      <c r="BV53" s="3">
        <f>+IF(AVANCE[[#This Row],[TABLERO]]=AF$2,100%,AVANCE[[#This Row],[TABLERO]])</f>
        <v>1</v>
      </c>
      <c r="BW53" s="3">
        <f>+IF(AVANCE[[#This Row],[CAJA PAU]]=AG$2,100%,AVANCE[[#This Row],[CAJA PAU]])</f>
        <v>1</v>
      </c>
      <c r="BX53" s="3">
        <f>+IF(AVANCE[[#This Row],[INSTALACION VINILICO]]=AJ$2,100%,AVANCE[[#This Row],[INSTALACION VINILICO]])</f>
        <v>1</v>
      </c>
      <c r="BY53" s="3">
        <f>+IF(AVANCE[[#This Row],[OSB CUBIERTA]]=AK$2,100%,AVANCE[[#This Row],[OSB CUBIERTA]])</f>
        <v>1</v>
      </c>
      <c r="BZ53" s="3">
        <f>+IF(AVANCE[[#This Row],[BARANDA BALCON]]=AL$2,100%,AVANCE[[#This Row],[BARANDA BALCON]])</f>
        <v>1</v>
      </c>
      <c r="CA53" s="3">
        <f>+IF(AVANCE[[#This Row],[OSB EXTERIOR]]=AM$2,100%,AVANCE[[#This Row],[OSB EXTERIOR]])</f>
        <v>1</v>
      </c>
      <c r="CB53" s="3">
        <f>+IF(AVANCE[[#This Row],[SMART PANEL]]=AN$2,100%,AVANCE[[#This Row],[SMART PANEL]])</f>
        <v>1</v>
      </c>
      <c r="CC53" s="3">
        <f>+IF(AVANCE[[#This Row],[PINTURA EXTERIOR]]=AO$2,100%,AVANCE[[#This Row],[PINTURA EXTERIOR]])</f>
        <v>1</v>
      </c>
      <c r="CD53" s="3">
        <f>+IF(AVANCE[[#This Row],[ZOCALOS LOGIA]]=AP$2,100%,AVANCE[[#This Row],[ZOCALOS LOGIA]])</f>
        <v>1</v>
      </c>
      <c r="CE53" s="3">
        <f>+IF(AVANCE[[#This Row],[MOLDURAS]]=AQ$2,100%,AVANCE[[#This Row],[MOLDURAS]])</f>
        <v>1</v>
      </c>
      <c r="CF53" s="3">
        <f>+IF(AVANCE[[#This Row],[PILASTREO]]=AR$2,100%,AVANCE[[#This Row],[PILASTREO]])</f>
        <v>1</v>
      </c>
      <c r="CG53" s="3">
        <f>+IF(AVANCE[[#This Row],[CELOSIAS]]=AS$2,100%,AVANCE[[#This Row],[CELOSIAS]])</f>
        <v>1</v>
      </c>
      <c r="CH53" s="3">
        <f>+IF(AVANCE[[#This Row],[VENTANAS]]=AT$2,100%,AVANCE[[#This Row],[VENTANAS]])</f>
        <v>1</v>
      </c>
      <c r="CI53" s="3">
        <f>+IF(AVANCE[[#This Row],[PUERTAS ACCESO - LOGIA - BANO]]=AU$2,100%,AVANCE[[#This Row],[PUERTAS ACCESO - LOGIA - BANO]])</f>
        <v>1</v>
      </c>
      <c r="CJ53" s="3">
        <f>+IF(AVANCE[[#This Row],[CERRADURAS]]=AV$2,100%,AVANCE[[#This Row],[CERRADURAS]])</f>
        <v>1</v>
      </c>
      <c r="CK53" s="3">
        <f>+IF(AVANCE[[#This Row],[REVESTIMIENTO INTERIOR ZONA SECA]]=AW$2,100%,AVANCE[[#This Row],[REVESTIMIENTO INTERIOR ZONA SECA]])</f>
        <v>1</v>
      </c>
      <c r="CL53" s="3">
        <f>+IF(AVANCE[[#This Row],[REVESTIMIENTO INTERIOR ZONAS HUMEDAS]]=AX$2,100%,AVANCE[[#This Row],[REVESTIMIENTO INTERIOR ZONAS HUMEDAS]])</f>
        <v>1</v>
      </c>
      <c r="CM53" s="3">
        <f>+IF(AVANCE[[#This Row],[MEMBRANA CIELO]]=AY$2,100%,AVANCE[[#This Row],[MEMBRANA CIELO]])</f>
        <v>1</v>
      </c>
      <c r="CN53" s="3">
        <f>+IF(AVANCE[[#This Row],[LIMPIEZA FINAL]]=AZ$2,100%,AVANCE[[#This Row],[LIMPIEZA FINAL]])</f>
        <v>1</v>
      </c>
      <c r="CO53" s="3">
        <f>+IF(AVANCE[[#This Row],[PUERTAS DORMITORIO]]=BA$2,100%,AVANCE[[#This Row],[PUERTAS DORMITORIO]])</f>
        <v>1</v>
      </c>
      <c r="CP53" s="3">
        <f>+IF(AVANCE[[#This Row],[REVESTIMIENTO INTERIOR BANO]]=BB$2,100%,AVANCE[[#This Row],[REVESTIMIENTO INTERIOR BANO]])</f>
        <v>1</v>
      </c>
      <c r="CQ53" s="3">
        <f>+IF(AVANCE[[#This Row],[MUEBLE LAVAPLATOS]]=BC$2,100%,AVANCE[[#This Row],[MUEBLE LAVAPLATOS]])</f>
        <v>1</v>
      </c>
      <c r="CR53" s="3">
        <f>+IF(AVANCE[[#This Row],[IMPERMEABILIZACION BANO - COCINA LOGIA]]=BD$2,100%,AVANCE[[#This Row],[IMPERMEABILIZACION BANO - COCINA LOGIA]])</f>
        <v>1</v>
      </c>
      <c r="CS53" s="40">
        <f ca="1">+IF(AVANCE[[#This Row],[ESTADO MODULO]]="PENDIENTE",(TODAY()-AVANCE[[#This Row],[FECHA TERMINO  PLANIFICADO]]),0)</f>
        <v>0</v>
      </c>
      <c r="CT53" s="41" t="str" cm="1">
        <f t="array" ref="CT53">_xlfn.TEXTJOIN(" | ",TRUE,IF(SUMPRODUCT((BG53:CR53&lt;1)*(PARTIDAS!$I$2:$AT$2="OBRA GRUESA"))&gt;0,"OBRA GRUESA: "&amp;_xlfn.TEXTJOIN(", ",TRUE,IF((BG53:CR53&lt;1)*(PARTIDAS!$I$2:$AT$2="OBRA GRUESA"),PARTIDAS!$I$1:$AT$1,"")),""),IF(SUMPRODUCT((BG53:CR53&lt;1)*(PARTIDAS!$I$2:$AT$2="SANITARIOS"))&gt;0,"SANITARIOS: "&amp;_xlfn.TEXTJOIN(", ",TRUE,IF((BG53:CR53&lt;1)*(PARTIDAS!$I$2:$AT$2="SANITARIOS"),PARTIDAS!$I$1:$AT$1,"")),""),IF(SUMPRODUCT((BG53:CR53&lt;1)*(PARTIDAS!$I$2:$AT$2="ELÉCTRICO"))&gt;0,"ELÉCTRICO: "&amp;_xlfn.TEXTJOIN(", ",TRUE,IF((BG53:CR53&lt;1)*(PARTIDAS!$I$2:$AT$2="ELÉCTRICO"),PARTIDAS!$I$1:$AT$1,"")),""),IF(SUMPRODUCT((BG53:CR53&lt;1)*(PARTIDAS!$I$2:$AT$2="TERMINACIONES"))&gt;0,"TERMINACIONES: "&amp;_xlfn.TEXTJOIN(", ",TRUE,IF((BG53:CR53&lt;1)*(PARTIDAS!$I$2:$AT$2="TERMINACIONES"),PARTIDAS!$I$1:$AT$1,"")),""))</f>
        <v/>
      </c>
      <c r="CU53" s="43" t="str" cm="1">
        <f t="array" ref="CU53">_xlfn.TEXTJOIN(", ",TRUE,IF(SUMPRODUCT((BG53:CR53&lt;1)*(PARTIDAS!$I$2:$AT$2="OBRA GRUESA"))&gt;0,"OBRA GRUESA",""),IF(SUMPRODUCT((BG53:CR53&lt;1)*(PARTIDAS!$I$2:$AT$2="SANITARIOS"))&gt;0,"SANITARIOS",""),IF(SUMPRODUCT((BG53:CR53&lt;1)*(PARTIDAS!$I$2:$AT$2="ELÉCTRICO"))&gt;0,"ELÉCTRICO",""),IF(SUMPRODUCT((BG53:CR53&lt;1)*(PARTIDAS!$I$2:$AT$2="TERMINACIONES"))&gt;0,"TERMINACIONES",""))</f>
        <v/>
      </c>
      <c r="CV53" s="44" cm="1">
        <f t="array" ref="CV53">SUMPRODUCT(--(BG53:CR53&lt;1))</f>
        <v>0</v>
      </c>
    </row>
    <row r="54" spans="1:100" hidden="1" x14ac:dyDescent="0.25">
      <c r="A54" t="s">
        <v>91</v>
      </c>
      <c r="B54" t="s">
        <v>112</v>
      </c>
      <c r="C54">
        <v>2282600053</v>
      </c>
      <c r="D54" t="s">
        <v>58</v>
      </c>
      <c r="E54" s="2">
        <v>0.99999999999999978</v>
      </c>
      <c r="F54" s="1">
        <v>46139</v>
      </c>
      <c r="G54" s="1">
        <v>46139</v>
      </c>
      <c r="H54" s="1">
        <v>46196</v>
      </c>
      <c r="I54" s="1">
        <v>46168</v>
      </c>
      <c r="K54" s="1">
        <v>46196</v>
      </c>
      <c r="L54" s="3">
        <v>0.43</v>
      </c>
      <c r="M54" s="3">
        <v>1</v>
      </c>
      <c r="N54" s="3">
        <v>0.27906976744186046</v>
      </c>
      <c r="O54" s="3">
        <v>0.18604651162790697</v>
      </c>
      <c r="P54" s="3">
        <v>0.2558139534883721</v>
      </c>
      <c r="Q54" s="3">
        <v>0.18604651162790697</v>
      </c>
      <c r="R54" s="3">
        <v>9.3023255813953487E-2</v>
      </c>
      <c r="S54" s="3">
        <v>0.09</v>
      </c>
      <c r="T54" s="3">
        <v>1</v>
      </c>
      <c r="U54" s="3">
        <v>0.22222222222222221</v>
      </c>
      <c r="V54" s="3">
        <v>0.22222222222222221</v>
      </c>
      <c r="W54" s="3">
        <v>0.1111111111111111</v>
      </c>
      <c r="X54" s="3">
        <v>0.1111111111111111</v>
      </c>
      <c r="Y54" s="3">
        <v>0.1111111111111111</v>
      </c>
      <c r="Z54" s="3">
        <v>0.22222222222222221</v>
      </c>
      <c r="AA54" s="3">
        <v>0.11</v>
      </c>
      <c r="AB54" s="3">
        <v>1</v>
      </c>
      <c r="AC54" s="3">
        <v>0.27272727272727271</v>
      </c>
      <c r="AD54" s="3">
        <v>0.27272727272727271</v>
      </c>
      <c r="AE54" s="3">
        <v>9.0909090909090912E-2</v>
      </c>
      <c r="AF54" s="3">
        <v>0.18181818181818182</v>
      </c>
      <c r="AG54" s="3">
        <v>0.18181818181818182</v>
      </c>
      <c r="AH54" s="3">
        <v>0.36999999999999983</v>
      </c>
      <c r="AI54" s="3">
        <v>0.99999999999999956</v>
      </c>
      <c r="AJ54" s="3">
        <v>5.4054054054054036E-2</v>
      </c>
      <c r="AK54" s="3">
        <v>5.4054054054054036E-2</v>
      </c>
      <c r="AL54" s="3">
        <v>2.7027027027027018E-2</v>
      </c>
      <c r="AM54" s="3">
        <v>8.1081081081081058E-2</v>
      </c>
      <c r="AN54" s="3">
        <v>8.1081081081081058E-2</v>
      </c>
      <c r="AO54" s="3">
        <v>6.7567567567567557E-2</v>
      </c>
      <c r="AP54" s="3">
        <v>5.4054054054054036E-2</v>
      </c>
      <c r="AQ54" s="3">
        <v>1.3513513513513509E-2</v>
      </c>
      <c r="AR54" s="3">
        <v>4.0540540540540529E-2</v>
      </c>
      <c r="AS54" s="3">
        <v>1.3513513513513509E-2</v>
      </c>
      <c r="AT54" s="3">
        <v>8.1081081081081058E-2</v>
      </c>
      <c r="AU54" s="3">
        <v>5.4054054054054036E-2</v>
      </c>
      <c r="AV54" s="3">
        <v>2.7027027027027018E-2</v>
      </c>
      <c r="AW54" s="3">
        <v>5.4054054054054036E-2</v>
      </c>
      <c r="AX54" s="3">
        <v>5.4054054054054036E-2</v>
      </c>
      <c r="AY54" s="3">
        <v>2.7027027027027018E-2</v>
      </c>
      <c r="AZ54" s="3">
        <v>4.0540540540540529E-2</v>
      </c>
      <c r="BA54" s="3">
        <v>5.4054054054054036E-2</v>
      </c>
      <c r="BB54" s="3">
        <v>8.1081081081081058E-2</v>
      </c>
      <c r="BC54" s="3">
        <v>1.3513513513513509E-2</v>
      </c>
      <c r="BD54" s="3">
        <v>2.7027027027027018E-2</v>
      </c>
      <c r="BE54">
        <v>28.87</v>
      </c>
      <c r="BF54" s="3" t="str">
        <f>+IF(AVANCE[[#This Row],[% AVANCE]]=100%,"MODULO TERMINADO",IF(AVANCE[[#This Row],[FECHA INICIO REAL]]="","MODULO NO INICIADO","PENDIENTE"))</f>
        <v>MODULO TERMINADO</v>
      </c>
      <c r="BG54" s="3">
        <f>+IF(AVANCE[[#This Row],[VENTANAS]]=8.10810810810811%,100%,AVANCE[[#This Row],[VENTANAS]])</f>
        <v>1</v>
      </c>
      <c r="BH54" s="3">
        <f>+IF(AVANCE[[#This Row],[PISO]]=N$2,100%,AVANCE[[#This Row],[PISO]])</f>
        <v>1</v>
      </c>
      <c r="BI54" s="3">
        <f>+IF(AVANCE[[#This Row],[TABIQUES]]=O$2,100%,AVANCE[[#This Row],[TABIQUES]])</f>
        <v>1</v>
      </c>
      <c r="BJ54" s="3">
        <f>+IF(AVANCE[[#This Row],[MUROS]]=P$2,100%,AVANCE[[#This Row],[MUROS]])</f>
        <v>1</v>
      </c>
      <c r="BK54" s="3">
        <f>+IF(AVANCE[[#This Row],[CIELO]]=Q$2,100%,AVANCE[[#This Row],[CIELO]])</f>
        <v>1</v>
      </c>
      <c r="BL54" s="3">
        <f>+IF(AVANCE[[#This Row],[BALCÓN]]=R$2,100%,AVANCE[[#This Row],[BALCÓN]])</f>
        <v>1</v>
      </c>
      <c r="BM54" s="3">
        <f>+IF(AVANCE[[#This Row],[RED ALCANTARILLADO]]=U$2,100%,AVANCE[[#This Row],[RED ALCANTARILLADO]])</f>
        <v>1</v>
      </c>
      <c r="BN54" s="3">
        <f>+IF(AVANCE[[#This Row],[RED DE AGUA]]=V$2,100%,AVANCE[[#This Row],[RED DE AGUA]])</f>
        <v>1</v>
      </c>
      <c r="BO54" s="3">
        <f>+IF(AVANCE[[#This Row],[VENTILACIONES]]=W$2,100%,AVANCE[[#This Row],[VENTILACIONES]])</f>
        <v>1</v>
      </c>
      <c r="BP54" s="3">
        <f>+IF(AVANCE[[#This Row],[TINA]]=X$2,100%,AVANCE[[#This Row],[TINA]])</f>
        <v>1</v>
      </c>
      <c r="BQ54" s="3">
        <f>+IF(AVANCE[[#This Row],[WC]]=Y$2,100%,AVANCE[[#This Row],[WC]])</f>
        <v>1</v>
      </c>
      <c r="BR54" s="3">
        <f>+IF(AVANCE[[#This Row],[LAVAMANOS / LAVAPLATOS / LAVADERO]]=Z$2,100%,AVANCE[[#This Row],[LAVAMANOS / LAVAPLATOS / LAVADERO]])</f>
        <v>1</v>
      </c>
      <c r="BS54" s="3">
        <f>+IF(AVANCE[[#This Row],[CANALIZACIÓN]]=AC$2,100%,AVANCE[[#This Row],[CANALIZACIÓN]])</f>
        <v>1</v>
      </c>
      <c r="BT54" s="3">
        <f>+IF(AVANCE[[#This Row],[CABLEADO]]=AD$2,100%,AVANCE[[#This Row],[CABLEADO]])</f>
        <v>1</v>
      </c>
      <c r="BU54" s="3">
        <f>+IF(AVANCE[[#This Row],[ARTEFACTOS]]=AE$2,100%,AVANCE[[#This Row],[ARTEFACTOS]])</f>
        <v>1</v>
      </c>
      <c r="BV54" s="3">
        <f>+IF(AVANCE[[#This Row],[TABLERO]]=AF$2,100%,AVANCE[[#This Row],[TABLERO]])</f>
        <v>1</v>
      </c>
      <c r="BW54" s="3">
        <f>+IF(AVANCE[[#This Row],[CAJA PAU]]=AG$2,100%,AVANCE[[#This Row],[CAJA PAU]])</f>
        <v>1</v>
      </c>
      <c r="BX54" s="3">
        <f>+IF(AVANCE[[#This Row],[INSTALACION VINILICO]]=AJ$2,100%,AVANCE[[#This Row],[INSTALACION VINILICO]])</f>
        <v>1</v>
      </c>
      <c r="BY54" s="3">
        <f>+IF(AVANCE[[#This Row],[OSB CUBIERTA]]=AK$2,100%,AVANCE[[#This Row],[OSB CUBIERTA]])</f>
        <v>1</v>
      </c>
      <c r="BZ54" s="3">
        <f>+IF(AVANCE[[#This Row],[BARANDA BALCON]]=AL$2,100%,AVANCE[[#This Row],[BARANDA BALCON]])</f>
        <v>1</v>
      </c>
      <c r="CA54" s="3">
        <f>+IF(AVANCE[[#This Row],[OSB EXTERIOR]]=AM$2,100%,AVANCE[[#This Row],[OSB EXTERIOR]])</f>
        <v>1</v>
      </c>
      <c r="CB54" s="3">
        <f>+IF(AVANCE[[#This Row],[SMART PANEL]]=AN$2,100%,AVANCE[[#This Row],[SMART PANEL]])</f>
        <v>1</v>
      </c>
      <c r="CC54" s="3">
        <f>+IF(AVANCE[[#This Row],[PINTURA EXTERIOR]]=AO$2,100%,AVANCE[[#This Row],[PINTURA EXTERIOR]])</f>
        <v>1</v>
      </c>
      <c r="CD54" s="3">
        <f>+IF(AVANCE[[#This Row],[ZOCALOS LOGIA]]=AP$2,100%,AVANCE[[#This Row],[ZOCALOS LOGIA]])</f>
        <v>1</v>
      </c>
      <c r="CE54" s="3">
        <f>+IF(AVANCE[[#This Row],[MOLDURAS]]=AQ$2,100%,AVANCE[[#This Row],[MOLDURAS]])</f>
        <v>1</v>
      </c>
      <c r="CF54" s="3">
        <f>+IF(AVANCE[[#This Row],[PILASTREO]]=AR$2,100%,AVANCE[[#This Row],[PILASTREO]])</f>
        <v>1</v>
      </c>
      <c r="CG54" s="3">
        <f>+IF(AVANCE[[#This Row],[CELOSIAS]]=AS$2,100%,AVANCE[[#This Row],[CELOSIAS]])</f>
        <v>1</v>
      </c>
      <c r="CH54" s="3">
        <f>+IF(AVANCE[[#This Row],[VENTANAS]]=AT$2,100%,AVANCE[[#This Row],[VENTANAS]])</f>
        <v>1</v>
      </c>
      <c r="CI54" s="3">
        <f>+IF(AVANCE[[#This Row],[PUERTAS ACCESO - LOGIA - BANO]]=AU$2,100%,AVANCE[[#This Row],[PUERTAS ACCESO - LOGIA - BANO]])</f>
        <v>1</v>
      </c>
      <c r="CJ54" s="3">
        <f>+IF(AVANCE[[#This Row],[CERRADURAS]]=AV$2,100%,AVANCE[[#This Row],[CERRADURAS]])</f>
        <v>1</v>
      </c>
      <c r="CK54" s="3">
        <f>+IF(AVANCE[[#This Row],[REVESTIMIENTO INTERIOR ZONA SECA]]=AW$2,100%,AVANCE[[#This Row],[REVESTIMIENTO INTERIOR ZONA SECA]])</f>
        <v>1</v>
      </c>
      <c r="CL54" s="3">
        <f>+IF(AVANCE[[#This Row],[REVESTIMIENTO INTERIOR ZONAS HUMEDAS]]=AX$2,100%,AVANCE[[#This Row],[REVESTIMIENTO INTERIOR ZONAS HUMEDAS]])</f>
        <v>1</v>
      </c>
      <c r="CM54" s="3">
        <f>+IF(AVANCE[[#This Row],[MEMBRANA CIELO]]=AY$2,100%,AVANCE[[#This Row],[MEMBRANA CIELO]])</f>
        <v>1</v>
      </c>
      <c r="CN54" s="3">
        <f>+IF(AVANCE[[#This Row],[LIMPIEZA FINAL]]=AZ$2,100%,AVANCE[[#This Row],[LIMPIEZA FINAL]])</f>
        <v>1</v>
      </c>
      <c r="CO54" s="3">
        <f>+IF(AVANCE[[#This Row],[PUERTAS DORMITORIO]]=BA$2,100%,AVANCE[[#This Row],[PUERTAS DORMITORIO]])</f>
        <v>1</v>
      </c>
      <c r="CP54" s="3">
        <f>+IF(AVANCE[[#This Row],[REVESTIMIENTO INTERIOR BANO]]=BB$2,100%,AVANCE[[#This Row],[REVESTIMIENTO INTERIOR BANO]])</f>
        <v>1</v>
      </c>
      <c r="CQ54" s="3">
        <f>+IF(AVANCE[[#This Row],[MUEBLE LAVAPLATOS]]=BC$2,100%,AVANCE[[#This Row],[MUEBLE LAVAPLATOS]])</f>
        <v>1</v>
      </c>
      <c r="CR54" s="3">
        <f>+IF(AVANCE[[#This Row],[IMPERMEABILIZACION BANO - COCINA LOGIA]]=BD$2,100%,AVANCE[[#This Row],[IMPERMEABILIZACION BANO - COCINA LOGIA]])</f>
        <v>1</v>
      </c>
      <c r="CS54" s="40">
        <f ca="1">+IF(AVANCE[[#This Row],[ESTADO MODULO]]="PENDIENTE",(TODAY()-AVANCE[[#This Row],[FECHA TERMINO  PLANIFICADO]]),0)</f>
        <v>0</v>
      </c>
      <c r="CT54" s="41" t="str" cm="1">
        <f t="array" ref="CT54">_xlfn.TEXTJOIN(" | ",TRUE,IF(SUMPRODUCT((BG54:CR54&lt;1)*(PARTIDAS!$I$2:$AT$2="OBRA GRUESA"))&gt;0,"OBRA GRUESA: "&amp;_xlfn.TEXTJOIN(", ",TRUE,IF((BG54:CR54&lt;1)*(PARTIDAS!$I$2:$AT$2="OBRA GRUESA"),PARTIDAS!$I$1:$AT$1,"")),""),IF(SUMPRODUCT((BG54:CR54&lt;1)*(PARTIDAS!$I$2:$AT$2="SANITARIOS"))&gt;0,"SANITARIOS: "&amp;_xlfn.TEXTJOIN(", ",TRUE,IF((BG54:CR54&lt;1)*(PARTIDAS!$I$2:$AT$2="SANITARIOS"),PARTIDAS!$I$1:$AT$1,"")),""),IF(SUMPRODUCT((BG54:CR54&lt;1)*(PARTIDAS!$I$2:$AT$2="ELÉCTRICO"))&gt;0,"ELÉCTRICO: "&amp;_xlfn.TEXTJOIN(", ",TRUE,IF((BG54:CR54&lt;1)*(PARTIDAS!$I$2:$AT$2="ELÉCTRICO"),PARTIDAS!$I$1:$AT$1,"")),""),IF(SUMPRODUCT((BG54:CR54&lt;1)*(PARTIDAS!$I$2:$AT$2="TERMINACIONES"))&gt;0,"TERMINACIONES: "&amp;_xlfn.TEXTJOIN(", ",TRUE,IF((BG54:CR54&lt;1)*(PARTIDAS!$I$2:$AT$2="TERMINACIONES"),PARTIDAS!$I$1:$AT$1,"")),""))</f>
        <v/>
      </c>
      <c r="CU54" s="43" t="str" cm="1">
        <f t="array" ref="CU54">_xlfn.TEXTJOIN(", ",TRUE,IF(SUMPRODUCT((BG54:CR54&lt;1)*(PARTIDAS!$I$2:$AT$2="OBRA GRUESA"))&gt;0,"OBRA GRUESA",""),IF(SUMPRODUCT((BG54:CR54&lt;1)*(PARTIDAS!$I$2:$AT$2="SANITARIOS"))&gt;0,"SANITARIOS",""),IF(SUMPRODUCT((BG54:CR54&lt;1)*(PARTIDAS!$I$2:$AT$2="ELÉCTRICO"))&gt;0,"ELÉCTRICO",""),IF(SUMPRODUCT((BG54:CR54&lt;1)*(PARTIDAS!$I$2:$AT$2="TERMINACIONES"))&gt;0,"TERMINACIONES",""))</f>
        <v/>
      </c>
      <c r="CV54" s="44" cm="1">
        <f t="array" ref="CV54">SUMPRODUCT(--(BG54:CR54&lt;1))</f>
        <v>0</v>
      </c>
    </row>
    <row r="55" spans="1:100" hidden="1" x14ac:dyDescent="0.25">
      <c r="A55" t="s">
        <v>91</v>
      </c>
      <c r="B55" t="s">
        <v>113</v>
      </c>
      <c r="C55">
        <v>2302600054</v>
      </c>
      <c r="D55" t="s">
        <v>60</v>
      </c>
      <c r="E55" s="2">
        <v>0.99999999999999978</v>
      </c>
      <c r="F55" s="1">
        <v>46141</v>
      </c>
      <c r="G55" s="1">
        <v>46141</v>
      </c>
      <c r="H55" s="1">
        <v>46198</v>
      </c>
      <c r="I55" s="1">
        <v>46181</v>
      </c>
      <c r="K55" s="1">
        <v>46198</v>
      </c>
      <c r="L55" s="3">
        <v>0.43</v>
      </c>
      <c r="M55" s="3">
        <v>1</v>
      </c>
      <c r="N55" s="3">
        <v>0.27906976744186046</v>
      </c>
      <c r="O55" s="3">
        <v>0.18604651162790697</v>
      </c>
      <c r="P55" s="3">
        <v>0.2558139534883721</v>
      </c>
      <c r="Q55" s="3">
        <v>0.18604651162790697</v>
      </c>
      <c r="R55" s="3">
        <v>9.3023255813953487E-2</v>
      </c>
      <c r="S55" s="3">
        <v>0.09</v>
      </c>
      <c r="T55" s="3">
        <v>1</v>
      </c>
      <c r="U55" s="3">
        <v>0.22222222222222221</v>
      </c>
      <c r="V55" s="3">
        <v>0.22222222222222221</v>
      </c>
      <c r="W55" s="3">
        <v>0.1111111111111111</v>
      </c>
      <c r="X55" s="3">
        <v>0.1111111111111111</v>
      </c>
      <c r="Y55" s="3">
        <v>0.1111111111111111</v>
      </c>
      <c r="Z55" s="3">
        <v>0.22222222222222221</v>
      </c>
      <c r="AA55" s="3">
        <v>0.11</v>
      </c>
      <c r="AB55" s="3">
        <v>1</v>
      </c>
      <c r="AC55" s="3">
        <v>0.27272727272727271</v>
      </c>
      <c r="AD55" s="3">
        <v>0.27272727272727271</v>
      </c>
      <c r="AE55" s="3">
        <v>9.0909090909090912E-2</v>
      </c>
      <c r="AF55" s="3">
        <v>0.18181818181818182</v>
      </c>
      <c r="AG55" s="3">
        <v>0.18181818181818182</v>
      </c>
      <c r="AH55" s="3">
        <v>0.36999999999999983</v>
      </c>
      <c r="AI55" s="3">
        <v>0.99999999999999956</v>
      </c>
      <c r="AJ55" s="3">
        <v>5.4054054054054036E-2</v>
      </c>
      <c r="AK55" s="3">
        <v>5.4054054054054036E-2</v>
      </c>
      <c r="AL55" s="3">
        <v>2.7027027027027018E-2</v>
      </c>
      <c r="AM55" s="3">
        <v>8.1081081081081058E-2</v>
      </c>
      <c r="AN55" s="3">
        <v>8.1081081081081058E-2</v>
      </c>
      <c r="AO55" s="3">
        <v>6.7567567567567557E-2</v>
      </c>
      <c r="AP55" s="3">
        <v>5.4054054054054036E-2</v>
      </c>
      <c r="AQ55" s="3">
        <v>1.3513513513513509E-2</v>
      </c>
      <c r="AR55" s="3">
        <v>4.0540540540540529E-2</v>
      </c>
      <c r="AS55" s="3">
        <v>1.3513513513513509E-2</v>
      </c>
      <c r="AT55" s="3">
        <v>8.1081081081081058E-2</v>
      </c>
      <c r="AU55" s="3">
        <v>5.4054054054054036E-2</v>
      </c>
      <c r="AV55" s="3">
        <v>2.7027027027027018E-2</v>
      </c>
      <c r="AW55" s="3">
        <v>5.4054054054054036E-2</v>
      </c>
      <c r="AX55" s="3">
        <v>5.4054054054054036E-2</v>
      </c>
      <c r="AY55" s="3">
        <v>2.7027027027027018E-2</v>
      </c>
      <c r="AZ55" s="3">
        <v>4.0540540540540529E-2</v>
      </c>
      <c r="BA55" s="3">
        <v>5.4054054054054036E-2</v>
      </c>
      <c r="BB55" s="3">
        <v>8.1081081081081058E-2</v>
      </c>
      <c r="BC55" s="3">
        <v>1.3513513513513509E-2</v>
      </c>
      <c r="BD55" s="3">
        <v>2.7027027027027018E-2</v>
      </c>
      <c r="BE55">
        <v>31.32</v>
      </c>
      <c r="BF55" s="3" t="str">
        <f>+IF(AVANCE[[#This Row],[% AVANCE]]=100%,"MODULO TERMINADO",IF(AVANCE[[#This Row],[FECHA INICIO REAL]]="","MODULO NO INICIADO","PENDIENTE"))</f>
        <v>MODULO TERMINADO</v>
      </c>
      <c r="BG55" s="3">
        <f>+IF(AVANCE[[#This Row],[VENTANAS]]=8.10810810810811%,100%,AVANCE[[#This Row],[VENTANAS]])</f>
        <v>1</v>
      </c>
      <c r="BH55" s="3">
        <f>+IF(AVANCE[[#This Row],[PISO]]=N$2,100%,AVANCE[[#This Row],[PISO]])</f>
        <v>1</v>
      </c>
      <c r="BI55" s="3">
        <f>+IF(AVANCE[[#This Row],[TABIQUES]]=O$2,100%,AVANCE[[#This Row],[TABIQUES]])</f>
        <v>1</v>
      </c>
      <c r="BJ55" s="3">
        <f>+IF(AVANCE[[#This Row],[MUROS]]=P$2,100%,AVANCE[[#This Row],[MUROS]])</f>
        <v>1</v>
      </c>
      <c r="BK55" s="3">
        <f>+IF(AVANCE[[#This Row],[CIELO]]=Q$2,100%,AVANCE[[#This Row],[CIELO]])</f>
        <v>1</v>
      </c>
      <c r="BL55" s="3">
        <f>+IF(AVANCE[[#This Row],[BALCÓN]]=R$2,100%,AVANCE[[#This Row],[BALCÓN]])</f>
        <v>1</v>
      </c>
      <c r="BM55" s="3">
        <f>+IF(AVANCE[[#This Row],[RED ALCANTARILLADO]]=U$2,100%,AVANCE[[#This Row],[RED ALCANTARILLADO]])</f>
        <v>1</v>
      </c>
      <c r="BN55" s="3">
        <f>+IF(AVANCE[[#This Row],[RED DE AGUA]]=V$2,100%,AVANCE[[#This Row],[RED DE AGUA]])</f>
        <v>1</v>
      </c>
      <c r="BO55" s="3">
        <f>+IF(AVANCE[[#This Row],[VENTILACIONES]]=W$2,100%,AVANCE[[#This Row],[VENTILACIONES]])</f>
        <v>1</v>
      </c>
      <c r="BP55" s="3">
        <f>+IF(AVANCE[[#This Row],[TINA]]=X$2,100%,AVANCE[[#This Row],[TINA]])</f>
        <v>1</v>
      </c>
      <c r="BQ55" s="3">
        <f>+IF(AVANCE[[#This Row],[WC]]=Y$2,100%,AVANCE[[#This Row],[WC]])</f>
        <v>1</v>
      </c>
      <c r="BR55" s="3">
        <f>+IF(AVANCE[[#This Row],[LAVAMANOS / LAVAPLATOS / LAVADERO]]=Z$2,100%,AVANCE[[#This Row],[LAVAMANOS / LAVAPLATOS / LAVADERO]])</f>
        <v>1</v>
      </c>
      <c r="BS55" s="3">
        <f>+IF(AVANCE[[#This Row],[CANALIZACIÓN]]=AC$2,100%,AVANCE[[#This Row],[CANALIZACIÓN]])</f>
        <v>1</v>
      </c>
      <c r="BT55" s="3">
        <f>+IF(AVANCE[[#This Row],[CABLEADO]]=AD$2,100%,AVANCE[[#This Row],[CABLEADO]])</f>
        <v>1</v>
      </c>
      <c r="BU55" s="3">
        <f>+IF(AVANCE[[#This Row],[ARTEFACTOS]]=AE$2,100%,AVANCE[[#This Row],[ARTEFACTOS]])</f>
        <v>1</v>
      </c>
      <c r="BV55" s="3">
        <f>+IF(AVANCE[[#This Row],[TABLERO]]=AF$2,100%,AVANCE[[#This Row],[TABLERO]])</f>
        <v>1</v>
      </c>
      <c r="BW55" s="3">
        <f>+IF(AVANCE[[#This Row],[CAJA PAU]]=AG$2,100%,AVANCE[[#This Row],[CAJA PAU]])</f>
        <v>1</v>
      </c>
      <c r="BX55" s="3">
        <f>+IF(AVANCE[[#This Row],[INSTALACION VINILICO]]=AJ$2,100%,AVANCE[[#This Row],[INSTALACION VINILICO]])</f>
        <v>1</v>
      </c>
      <c r="BY55" s="3">
        <f>+IF(AVANCE[[#This Row],[OSB CUBIERTA]]=AK$2,100%,AVANCE[[#This Row],[OSB CUBIERTA]])</f>
        <v>1</v>
      </c>
      <c r="BZ55" s="3">
        <f>+IF(AVANCE[[#This Row],[BARANDA BALCON]]=AL$2,100%,AVANCE[[#This Row],[BARANDA BALCON]])</f>
        <v>1</v>
      </c>
      <c r="CA55" s="3">
        <f>+IF(AVANCE[[#This Row],[OSB EXTERIOR]]=AM$2,100%,AVANCE[[#This Row],[OSB EXTERIOR]])</f>
        <v>1</v>
      </c>
      <c r="CB55" s="3">
        <f>+IF(AVANCE[[#This Row],[SMART PANEL]]=AN$2,100%,AVANCE[[#This Row],[SMART PANEL]])</f>
        <v>1</v>
      </c>
      <c r="CC55" s="3">
        <f>+IF(AVANCE[[#This Row],[PINTURA EXTERIOR]]=AO$2,100%,AVANCE[[#This Row],[PINTURA EXTERIOR]])</f>
        <v>1</v>
      </c>
      <c r="CD55" s="3">
        <f>+IF(AVANCE[[#This Row],[ZOCALOS LOGIA]]=AP$2,100%,AVANCE[[#This Row],[ZOCALOS LOGIA]])</f>
        <v>1</v>
      </c>
      <c r="CE55" s="3">
        <f>+IF(AVANCE[[#This Row],[MOLDURAS]]=AQ$2,100%,AVANCE[[#This Row],[MOLDURAS]])</f>
        <v>1</v>
      </c>
      <c r="CF55" s="3">
        <f>+IF(AVANCE[[#This Row],[PILASTREO]]=AR$2,100%,AVANCE[[#This Row],[PILASTREO]])</f>
        <v>1</v>
      </c>
      <c r="CG55" s="3">
        <f>+IF(AVANCE[[#This Row],[CELOSIAS]]=AS$2,100%,AVANCE[[#This Row],[CELOSIAS]])</f>
        <v>1</v>
      </c>
      <c r="CH55" s="3">
        <f>+IF(AVANCE[[#This Row],[VENTANAS]]=AT$2,100%,AVANCE[[#This Row],[VENTANAS]])</f>
        <v>1</v>
      </c>
      <c r="CI55" s="3">
        <f>+IF(AVANCE[[#This Row],[PUERTAS ACCESO - LOGIA - BANO]]=AU$2,100%,AVANCE[[#This Row],[PUERTAS ACCESO - LOGIA - BANO]])</f>
        <v>1</v>
      </c>
      <c r="CJ55" s="3">
        <f>+IF(AVANCE[[#This Row],[CERRADURAS]]=AV$2,100%,AVANCE[[#This Row],[CERRADURAS]])</f>
        <v>1</v>
      </c>
      <c r="CK55" s="3">
        <f>+IF(AVANCE[[#This Row],[REVESTIMIENTO INTERIOR ZONA SECA]]=AW$2,100%,AVANCE[[#This Row],[REVESTIMIENTO INTERIOR ZONA SECA]])</f>
        <v>1</v>
      </c>
      <c r="CL55" s="3">
        <f>+IF(AVANCE[[#This Row],[REVESTIMIENTO INTERIOR ZONAS HUMEDAS]]=AX$2,100%,AVANCE[[#This Row],[REVESTIMIENTO INTERIOR ZONAS HUMEDAS]])</f>
        <v>1</v>
      </c>
      <c r="CM55" s="3">
        <f>+IF(AVANCE[[#This Row],[MEMBRANA CIELO]]=AY$2,100%,AVANCE[[#This Row],[MEMBRANA CIELO]])</f>
        <v>1</v>
      </c>
      <c r="CN55" s="3">
        <f>+IF(AVANCE[[#This Row],[LIMPIEZA FINAL]]=AZ$2,100%,AVANCE[[#This Row],[LIMPIEZA FINAL]])</f>
        <v>1</v>
      </c>
      <c r="CO55" s="3">
        <f>+IF(AVANCE[[#This Row],[PUERTAS DORMITORIO]]=BA$2,100%,AVANCE[[#This Row],[PUERTAS DORMITORIO]])</f>
        <v>1</v>
      </c>
      <c r="CP55" s="3">
        <f>+IF(AVANCE[[#This Row],[REVESTIMIENTO INTERIOR BANO]]=BB$2,100%,AVANCE[[#This Row],[REVESTIMIENTO INTERIOR BANO]])</f>
        <v>1</v>
      </c>
      <c r="CQ55" s="3">
        <f>+IF(AVANCE[[#This Row],[MUEBLE LAVAPLATOS]]=BC$2,100%,AVANCE[[#This Row],[MUEBLE LAVAPLATOS]])</f>
        <v>1</v>
      </c>
      <c r="CR55" s="3">
        <f>+IF(AVANCE[[#This Row],[IMPERMEABILIZACION BANO - COCINA LOGIA]]=BD$2,100%,AVANCE[[#This Row],[IMPERMEABILIZACION BANO - COCINA LOGIA]])</f>
        <v>1</v>
      </c>
      <c r="CS55" s="40">
        <f ca="1">+IF(AVANCE[[#This Row],[ESTADO MODULO]]="PENDIENTE",(TODAY()-AVANCE[[#This Row],[FECHA TERMINO  PLANIFICADO]]),0)</f>
        <v>0</v>
      </c>
      <c r="CT55" s="41" t="str" cm="1">
        <f t="array" ref="CT55">_xlfn.TEXTJOIN(" | ",TRUE,IF(SUMPRODUCT((BG55:CR55&lt;1)*(PARTIDAS!$I$2:$AT$2="OBRA GRUESA"))&gt;0,"OBRA GRUESA: "&amp;_xlfn.TEXTJOIN(", ",TRUE,IF((BG55:CR55&lt;1)*(PARTIDAS!$I$2:$AT$2="OBRA GRUESA"),PARTIDAS!$I$1:$AT$1,"")),""),IF(SUMPRODUCT((BG55:CR55&lt;1)*(PARTIDAS!$I$2:$AT$2="SANITARIOS"))&gt;0,"SANITARIOS: "&amp;_xlfn.TEXTJOIN(", ",TRUE,IF((BG55:CR55&lt;1)*(PARTIDAS!$I$2:$AT$2="SANITARIOS"),PARTIDAS!$I$1:$AT$1,"")),""),IF(SUMPRODUCT((BG55:CR55&lt;1)*(PARTIDAS!$I$2:$AT$2="ELÉCTRICO"))&gt;0,"ELÉCTRICO: "&amp;_xlfn.TEXTJOIN(", ",TRUE,IF((BG55:CR55&lt;1)*(PARTIDAS!$I$2:$AT$2="ELÉCTRICO"),PARTIDAS!$I$1:$AT$1,"")),""),IF(SUMPRODUCT((BG55:CR55&lt;1)*(PARTIDAS!$I$2:$AT$2="TERMINACIONES"))&gt;0,"TERMINACIONES: "&amp;_xlfn.TEXTJOIN(", ",TRUE,IF((BG55:CR55&lt;1)*(PARTIDAS!$I$2:$AT$2="TERMINACIONES"),PARTIDAS!$I$1:$AT$1,"")),""))</f>
        <v/>
      </c>
      <c r="CU55" s="43" t="str" cm="1">
        <f t="array" ref="CU55">_xlfn.TEXTJOIN(", ",TRUE,IF(SUMPRODUCT((BG55:CR55&lt;1)*(PARTIDAS!$I$2:$AT$2="OBRA GRUESA"))&gt;0,"OBRA GRUESA",""),IF(SUMPRODUCT((BG55:CR55&lt;1)*(PARTIDAS!$I$2:$AT$2="SANITARIOS"))&gt;0,"SANITARIOS",""),IF(SUMPRODUCT((BG55:CR55&lt;1)*(PARTIDAS!$I$2:$AT$2="ELÉCTRICO"))&gt;0,"ELÉCTRICO",""),IF(SUMPRODUCT((BG55:CR55&lt;1)*(PARTIDAS!$I$2:$AT$2="TERMINACIONES"))&gt;0,"TERMINACIONES",""))</f>
        <v/>
      </c>
      <c r="CV55" s="44" cm="1">
        <f t="array" ref="CV55">SUMPRODUCT(--(BG55:CR55&lt;1))</f>
        <v>0</v>
      </c>
    </row>
    <row r="56" spans="1:100" hidden="1" x14ac:dyDescent="0.25">
      <c r="A56" t="s">
        <v>91</v>
      </c>
      <c r="B56" t="s">
        <v>114</v>
      </c>
      <c r="C56">
        <v>2302600055</v>
      </c>
      <c r="D56" t="s">
        <v>60</v>
      </c>
      <c r="E56" s="2">
        <v>0.99999999999999978</v>
      </c>
      <c r="F56" s="1">
        <v>46136</v>
      </c>
      <c r="G56" s="1">
        <v>46136</v>
      </c>
      <c r="H56" s="1">
        <v>46203</v>
      </c>
      <c r="I56" s="1">
        <v>46176</v>
      </c>
      <c r="K56" s="1">
        <v>46203</v>
      </c>
      <c r="L56" s="3">
        <v>0.43</v>
      </c>
      <c r="M56" s="3">
        <v>1</v>
      </c>
      <c r="N56" s="3">
        <v>0.27906976744186046</v>
      </c>
      <c r="O56" s="3">
        <v>0.18604651162790697</v>
      </c>
      <c r="P56" s="3">
        <v>0.2558139534883721</v>
      </c>
      <c r="Q56" s="3">
        <v>0.18604651162790697</v>
      </c>
      <c r="R56" s="3">
        <v>9.3023255813953487E-2</v>
      </c>
      <c r="S56" s="3">
        <v>0.09</v>
      </c>
      <c r="T56" s="3">
        <v>1</v>
      </c>
      <c r="U56" s="3">
        <v>0.22222222222222221</v>
      </c>
      <c r="V56" s="3">
        <v>0.22222222222222221</v>
      </c>
      <c r="W56" s="3">
        <v>0.1111111111111111</v>
      </c>
      <c r="X56" s="3">
        <v>0.1111111111111111</v>
      </c>
      <c r="Y56" s="3">
        <v>0.1111111111111111</v>
      </c>
      <c r="Z56" s="3">
        <v>0.22222222222222221</v>
      </c>
      <c r="AA56" s="3">
        <v>0.11</v>
      </c>
      <c r="AB56" s="3">
        <v>1</v>
      </c>
      <c r="AC56" s="3">
        <v>0.27272727272727271</v>
      </c>
      <c r="AD56" s="3">
        <v>0.27272727272727271</v>
      </c>
      <c r="AE56" s="3">
        <v>9.0909090909090912E-2</v>
      </c>
      <c r="AF56" s="3">
        <v>0.18181818181818182</v>
      </c>
      <c r="AG56" s="3">
        <v>0.18181818181818182</v>
      </c>
      <c r="AH56" s="3">
        <v>0.36999999999999983</v>
      </c>
      <c r="AI56" s="3">
        <v>0.99999999999999956</v>
      </c>
      <c r="AJ56" s="3">
        <v>5.4054054054054036E-2</v>
      </c>
      <c r="AK56" s="3">
        <v>5.4054054054054036E-2</v>
      </c>
      <c r="AL56" s="3">
        <v>2.7027027027027018E-2</v>
      </c>
      <c r="AM56" s="3">
        <v>8.1081081081081058E-2</v>
      </c>
      <c r="AN56" s="3">
        <v>8.1081081081081058E-2</v>
      </c>
      <c r="AO56" s="3">
        <v>6.7567567567567557E-2</v>
      </c>
      <c r="AP56" s="3">
        <v>5.4054054054054036E-2</v>
      </c>
      <c r="AQ56" s="3">
        <v>1.3513513513513509E-2</v>
      </c>
      <c r="AR56" s="3">
        <v>4.0540540540540529E-2</v>
      </c>
      <c r="AS56" s="3">
        <v>1.3513513513513509E-2</v>
      </c>
      <c r="AT56" s="3">
        <v>8.1081081081081058E-2</v>
      </c>
      <c r="AU56" s="3">
        <v>5.4054054054054036E-2</v>
      </c>
      <c r="AV56" s="3">
        <v>2.7027027027027018E-2</v>
      </c>
      <c r="AW56" s="3">
        <v>5.4054054054054036E-2</v>
      </c>
      <c r="AX56" s="3">
        <v>5.4054054054054036E-2</v>
      </c>
      <c r="AY56" s="3">
        <v>2.7027027027027018E-2</v>
      </c>
      <c r="AZ56" s="3">
        <v>4.0540540540540529E-2</v>
      </c>
      <c r="BA56" s="3">
        <v>5.4054054054054036E-2</v>
      </c>
      <c r="BB56" s="3">
        <v>8.1081081081081058E-2</v>
      </c>
      <c r="BC56" s="3">
        <v>1.3513513513513509E-2</v>
      </c>
      <c r="BD56" s="3">
        <v>2.7027027027027018E-2</v>
      </c>
      <c r="BE56">
        <v>31.32</v>
      </c>
      <c r="BF56" s="3" t="str">
        <f>+IF(AVANCE[[#This Row],[% AVANCE]]=100%,"MODULO TERMINADO",IF(AVANCE[[#This Row],[FECHA INICIO REAL]]="","MODULO NO INICIADO","PENDIENTE"))</f>
        <v>MODULO TERMINADO</v>
      </c>
      <c r="BG56" s="3">
        <f>+IF(AVANCE[[#This Row],[VENTANAS]]=8.10810810810811%,100%,AVANCE[[#This Row],[VENTANAS]])</f>
        <v>1</v>
      </c>
      <c r="BH56" s="3">
        <f>+IF(AVANCE[[#This Row],[PISO]]=N$2,100%,AVANCE[[#This Row],[PISO]])</f>
        <v>1</v>
      </c>
      <c r="BI56" s="3">
        <f>+IF(AVANCE[[#This Row],[TABIQUES]]=O$2,100%,AVANCE[[#This Row],[TABIQUES]])</f>
        <v>1</v>
      </c>
      <c r="BJ56" s="3">
        <f>+IF(AVANCE[[#This Row],[MUROS]]=P$2,100%,AVANCE[[#This Row],[MUROS]])</f>
        <v>1</v>
      </c>
      <c r="BK56" s="3">
        <f>+IF(AVANCE[[#This Row],[CIELO]]=Q$2,100%,AVANCE[[#This Row],[CIELO]])</f>
        <v>1</v>
      </c>
      <c r="BL56" s="3">
        <f>+IF(AVANCE[[#This Row],[BALCÓN]]=R$2,100%,AVANCE[[#This Row],[BALCÓN]])</f>
        <v>1</v>
      </c>
      <c r="BM56" s="3">
        <f>+IF(AVANCE[[#This Row],[RED ALCANTARILLADO]]=U$2,100%,AVANCE[[#This Row],[RED ALCANTARILLADO]])</f>
        <v>1</v>
      </c>
      <c r="BN56" s="3">
        <f>+IF(AVANCE[[#This Row],[RED DE AGUA]]=V$2,100%,AVANCE[[#This Row],[RED DE AGUA]])</f>
        <v>1</v>
      </c>
      <c r="BO56" s="3">
        <f>+IF(AVANCE[[#This Row],[VENTILACIONES]]=W$2,100%,AVANCE[[#This Row],[VENTILACIONES]])</f>
        <v>1</v>
      </c>
      <c r="BP56" s="3">
        <f>+IF(AVANCE[[#This Row],[TINA]]=X$2,100%,AVANCE[[#This Row],[TINA]])</f>
        <v>1</v>
      </c>
      <c r="BQ56" s="3">
        <f>+IF(AVANCE[[#This Row],[WC]]=Y$2,100%,AVANCE[[#This Row],[WC]])</f>
        <v>1</v>
      </c>
      <c r="BR56" s="3">
        <f>+IF(AVANCE[[#This Row],[LAVAMANOS / LAVAPLATOS / LAVADERO]]=Z$2,100%,AVANCE[[#This Row],[LAVAMANOS / LAVAPLATOS / LAVADERO]])</f>
        <v>1</v>
      </c>
      <c r="BS56" s="3">
        <f>+IF(AVANCE[[#This Row],[CANALIZACIÓN]]=AC$2,100%,AVANCE[[#This Row],[CANALIZACIÓN]])</f>
        <v>1</v>
      </c>
      <c r="BT56" s="3">
        <f>+IF(AVANCE[[#This Row],[CABLEADO]]=AD$2,100%,AVANCE[[#This Row],[CABLEADO]])</f>
        <v>1</v>
      </c>
      <c r="BU56" s="3">
        <f>+IF(AVANCE[[#This Row],[ARTEFACTOS]]=AE$2,100%,AVANCE[[#This Row],[ARTEFACTOS]])</f>
        <v>1</v>
      </c>
      <c r="BV56" s="3">
        <f>+IF(AVANCE[[#This Row],[TABLERO]]=AF$2,100%,AVANCE[[#This Row],[TABLERO]])</f>
        <v>1</v>
      </c>
      <c r="BW56" s="3">
        <f>+IF(AVANCE[[#This Row],[CAJA PAU]]=AG$2,100%,AVANCE[[#This Row],[CAJA PAU]])</f>
        <v>1</v>
      </c>
      <c r="BX56" s="3">
        <f>+IF(AVANCE[[#This Row],[INSTALACION VINILICO]]=AJ$2,100%,AVANCE[[#This Row],[INSTALACION VINILICO]])</f>
        <v>1</v>
      </c>
      <c r="BY56" s="3">
        <f>+IF(AVANCE[[#This Row],[OSB CUBIERTA]]=AK$2,100%,AVANCE[[#This Row],[OSB CUBIERTA]])</f>
        <v>1</v>
      </c>
      <c r="BZ56" s="3">
        <f>+IF(AVANCE[[#This Row],[BARANDA BALCON]]=AL$2,100%,AVANCE[[#This Row],[BARANDA BALCON]])</f>
        <v>1</v>
      </c>
      <c r="CA56" s="3">
        <f>+IF(AVANCE[[#This Row],[OSB EXTERIOR]]=AM$2,100%,AVANCE[[#This Row],[OSB EXTERIOR]])</f>
        <v>1</v>
      </c>
      <c r="CB56" s="3">
        <f>+IF(AVANCE[[#This Row],[SMART PANEL]]=AN$2,100%,AVANCE[[#This Row],[SMART PANEL]])</f>
        <v>1</v>
      </c>
      <c r="CC56" s="3">
        <f>+IF(AVANCE[[#This Row],[PINTURA EXTERIOR]]=AO$2,100%,AVANCE[[#This Row],[PINTURA EXTERIOR]])</f>
        <v>1</v>
      </c>
      <c r="CD56" s="3">
        <f>+IF(AVANCE[[#This Row],[ZOCALOS LOGIA]]=AP$2,100%,AVANCE[[#This Row],[ZOCALOS LOGIA]])</f>
        <v>1</v>
      </c>
      <c r="CE56" s="3">
        <f>+IF(AVANCE[[#This Row],[MOLDURAS]]=AQ$2,100%,AVANCE[[#This Row],[MOLDURAS]])</f>
        <v>1</v>
      </c>
      <c r="CF56" s="3">
        <f>+IF(AVANCE[[#This Row],[PILASTREO]]=AR$2,100%,AVANCE[[#This Row],[PILASTREO]])</f>
        <v>1</v>
      </c>
      <c r="CG56" s="3">
        <f>+IF(AVANCE[[#This Row],[CELOSIAS]]=AS$2,100%,AVANCE[[#This Row],[CELOSIAS]])</f>
        <v>1</v>
      </c>
      <c r="CH56" s="3">
        <f>+IF(AVANCE[[#This Row],[VENTANAS]]=AT$2,100%,AVANCE[[#This Row],[VENTANAS]])</f>
        <v>1</v>
      </c>
      <c r="CI56" s="3">
        <f>+IF(AVANCE[[#This Row],[PUERTAS ACCESO - LOGIA - BANO]]=AU$2,100%,AVANCE[[#This Row],[PUERTAS ACCESO - LOGIA - BANO]])</f>
        <v>1</v>
      </c>
      <c r="CJ56" s="3">
        <f>+IF(AVANCE[[#This Row],[CERRADURAS]]=AV$2,100%,AVANCE[[#This Row],[CERRADURAS]])</f>
        <v>1</v>
      </c>
      <c r="CK56" s="3">
        <f>+IF(AVANCE[[#This Row],[REVESTIMIENTO INTERIOR ZONA SECA]]=AW$2,100%,AVANCE[[#This Row],[REVESTIMIENTO INTERIOR ZONA SECA]])</f>
        <v>1</v>
      </c>
      <c r="CL56" s="3">
        <f>+IF(AVANCE[[#This Row],[REVESTIMIENTO INTERIOR ZONAS HUMEDAS]]=AX$2,100%,AVANCE[[#This Row],[REVESTIMIENTO INTERIOR ZONAS HUMEDAS]])</f>
        <v>1</v>
      </c>
      <c r="CM56" s="3">
        <f>+IF(AVANCE[[#This Row],[MEMBRANA CIELO]]=AY$2,100%,AVANCE[[#This Row],[MEMBRANA CIELO]])</f>
        <v>1</v>
      </c>
      <c r="CN56" s="3">
        <f>+IF(AVANCE[[#This Row],[LIMPIEZA FINAL]]=AZ$2,100%,AVANCE[[#This Row],[LIMPIEZA FINAL]])</f>
        <v>1</v>
      </c>
      <c r="CO56" s="3">
        <f>+IF(AVANCE[[#This Row],[PUERTAS DORMITORIO]]=BA$2,100%,AVANCE[[#This Row],[PUERTAS DORMITORIO]])</f>
        <v>1</v>
      </c>
      <c r="CP56" s="3">
        <f>+IF(AVANCE[[#This Row],[REVESTIMIENTO INTERIOR BANO]]=BB$2,100%,AVANCE[[#This Row],[REVESTIMIENTO INTERIOR BANO]])</f>
        <v>1</v>
      </c>
      <c r="CQ56" s="3">
        <f>+IF(AVANCE[[#This Row],[MUEBLE LAVAPLATOS]]=BC$2,100%,AVANCE[[#This Row],[MUEBLE LAVAPLATOS]])</f>
        <v>1</v>
      </c>
      <c r="CR56" s="3">
        <f>+IF(AVANCE[[#This Row],[IMPERMEABILIZACION BANO - COCINA LOGIA]]=BD$2,100%,AVANCE[[#This Row],[IMPERMEABILIZACION BANO - COCINA LOGIA]])</f>
        <v>1</v>
      </c>
      <c r="CS56" s="40">
        <f ca="1">+IF(AVANCE[[#This Row],[ESTADO MODULO]]="PENDIENTE",(TODAY()-AVANCE[[#This Row],[FECHA TERMINO  PLANIFICADO]]),0)</f>
        <v>0</v>
      </c>
      <c r="CT56" s="41" t="str" cm="1">
        <f t="array" ref="CT56">_xlfn.TEXTJOIN(" | ",TRUE,IF(SUMPRODUCT((BG56:CR56&lt;1)*(PARTIDAS!$I$2:$AT$2="OBRA GRUESA"))&gt;0,"OBRA GRUESA: "&amp;_xlfn.TEXTJOIN(", ",TRUE,IF((BG56:CR56&lt;1)*(PARTIDAS!$I$2:$AT$2="OBRA GRUESA"),PARTIDAS!$I$1:$AT$1,"")),""),IF(SUMPRODUCT((BG56:CR56&lt;1)*(PARTIDAS!$I$2:$AT$2="SANITARIOS"))&gt;0,"SANITARIOS: "&amp;_xlfn.TEXTJOIN(", ",TRUE,IF((BG56:CR56&lt;1)*(PARTIDAS!$I$2:$AT$2="SANITARIOS"),PARTIDAS!$I$1:$AT$1,"")),""),IF(SUMPRODUCT((BG56:CR56&lt;1)*(PARTIDAS!$I$2:$AT$2="ELÉCTRICO"))&gt;0,"ELÉCTRICO: "&amp;_xlfn.TEXTJOIN(", ",TRUE,IF((BG56:CR56&lt;1)*(PARTIDAS!$I$2:$AT$2="ELÉCTRICO"),PARTIDAS!$I$1:$AT$1,"")),""),IF(SUMPRODUCT((BG56:CR56&lt;1)*(PARTIDAS!$I$2:$AT$2="TERMINACIONES"))&gt;0,"TERMINACIONES: "&amp;_xlfn.TEXTJOIN(", ",TRUE,IF((BG56:CR56&lt;1)*(PARTIDAS!$I$2:$AT$2="TERMINACIONES"),PARTIDAS!$I$1:$AT$1,"")),""))</f>
        <v/>
      </c>
      <c r="CU56" s="43" t="str" cm="1">
        <f t="array" ref="CU56">_xlfn.TEXTJOIN(", ",TRUE,IF(SUMPRODUCT((BG56:CR56&lt;1)*(PARTIDAS!$I$2:$AT$2="OBRA GRUESA"))&gt;0,"OBRA GRUESA",""),IF(SUMPRODUCT((BG56:CR56&lt;1)*(PARTIDAS!$I$2:$AT$2="SANITARIOS"))&gt;0,"SANITARIOS",""),IF(SUMPRODUCT((BG56:CR56&lt;1)*(PARTIDAS!$I$2:$AT$2="ELÉCTRICO"))&gt;0,"ELÉCTRICO",""),IF(SUMPRODUCT((BG56:CR56&lt;1)*(PARTIDAS!$I$2:$AT$2="TERMINACIONES"))&gt;0,"TERMINACIONES",""))</f>
        <v/>
      </c>
      <c r="CV56" s="44" cm="1">
        <f t="array" ref="CV56">SUMPRODUCT(--(BG56:CR56&lt;1))</f>
        <v>0</v>
      </c>
    </row>
    <row r="57" spans="1:100" hidden="1" x14ac:dyDescent="0.25">
      <c r="A57" t="s">
        <v>91</v>
      </c>
      <c r="B57" t="s">
        <v>115</v>
      </c>
      <c r="C57">
        <v>2282600056</v>
      </c>
      <c r="D57" t="s">
        <v>58</v>
      </c>
      <c r="E57" s="2">
        <v>0.99999999999999978</v>
      </c>
      <c r="F57" s="1">
        <v>46134</v>
      </c>
      <c r="G57" s="1">
        <v>46134</v>
      </c>
      <c r="H57" s="1">
        <v>46199</v>
      </c>
      <c r="I57" s="1">
        <v>46163</v>
      </c>
      <c r="K57" s="1">
        <v>46199</v>
      </c>
      <c r="L57" s="3">
        <v>0.43</v>
      </c>
      <c r="M57" s="3">
        <v>1</v>
      </c>
      <c r="N57" s="3">
        <v>0.27906976744186046</v>
      </c>
      <c r="O57" s="3">
        <v>0.18604651162790697</v>
      </c>
      <c r="P57" s="3">
        <v>0.2558139534883721</v>
      </c>
      <c r="Q57" s="3">
        <v>0.18604651162790697</v>
      </c>
      <c r="R57" s="3">
        <v>9.3023255813953487E-2</v>
      </c>
      <c r="S57" s="3">
        <v>0.09</v>
      </c>
      <c r="T57" s="3">
        <v>1</v>
      </c>
      <c r="U57" s="3">
        <v>0.22222222222222221</v>
      </c>
      <c r="V57" s="3">
        <v>0.22222222222222221</v>
      </c>
      <c r="W57" s="3">
        <v>0.1111111111111111</v>
      </c>
      <c r="X57" s="3">
        <v>0.1111111111111111</v>
      </c>
      <c r="Y57" s="3">
        <v>0.1111111111111111</v>
      </c>
      <c r="Z57" s="3">
        <v>0.22222222222222221</v>
      </c>
      <c r="AA57" s="3">
        <v>0.11</v>
      </c>
      <c r="AB57" s="3">
        <v>1</v>
      </c>
      <c r="AC57" s="3">
        <v>0.27272727272727271</v>
      </c>
      <c r="AD57" s="3">
        <v>0.27272727272727271</v>
      </c>
      <c r="AE57" s="3">
        <v>9.0909090909090912E-2</v>
      </c>
      <c r="AF57" s="3">
        <v>0.18181818181818182</v>
      </c>
      <c r="AG57" s="3">
        <v>0.18181818181818182</v>
      </c>
      <c r="AH57" s="3">
        <v>0.36999999999999983</v>
      </c>
      <c r="AI57" s="3">
        <v>0.99999999999999956</v>
      </c>
      <c r="AJ57" s="3">
        <v>5.4054054054054036E-2</v>
      </c>
      <c r="AK57" s="3">
        <v>5.4054054054054036E-2</v>
      </c>
      <c r="AL57" s="3">
        <v>2.7027027027027018E-2</v>
      </c>
      <c r="AM57" s="3">
        <v>8.1081081081081058E-2</v>
      </c>
      <c r="AN57" s="3">
        <v>8.1081081081081058E-2</v>
      </c>
      <c r="AO57" s="3">
        <v>6.7567567567567557E-2</v>
      </c>
      <c r="AP57" s="3">
        <v>5.4054054054054036E-2</v>
      </c>
      <c r="AQ57" s="3">
        <v>1.3513513513513509E-2</v>
      </c>
      <c r="AR57" s="3">
        <v>4.0540540540540529E-2</v>
      </c>
      <c r="AS57" s="3">
        <v>1.3513513513513509E-2</v>
      </c>
      <c r="AT57" s="3">
        <v>8.1081081081081058E-2</v>
      </c>
      <c r="AU57" s="3">
        <v>5.4054054054054036E-2</v>
      </c>
      <c r="AV57" s="3">
        <v>2.7027027027027018E-2</v>
      </c>
      <c r="AW57" s="3">
        <v>5.4054054054054036E-2</v>
      </c>
      <c r="AX57" s="3">
        <v>5.4054054054054036E-2</v>
      </c>
      <c r="AY57" s="3">
        <v>2.7027027027027018E-2</v>
      </c>
      <c r="AZ57" s="3">
        <v>4.0540540540540529E-2</v>
      </c>
      <c r="BA57" s="3">
        <v>5.4054054054054036E-2</v>
      </c>
      <c r="BB57" s="3">
        <v>8.1081081081081058E-2</v>
      </c>
      <c r="BC57" s="3">
        <v>1.3513513513513509E-2</v>
      </c>
      <c r="BD57" s="3">
        <v>2.7027027027027018E-2</v>
      </c>
      <c r="BE57">
        <v>28.87</v>
      </c>
      <c r="BF57" s="3" t="str">
        <f>+IF(AVANCE[[#This Row],[% AVANCE]]=100%,"MODULO TERMINADO",IF(AVANCE[[#This Row],[FECHA INICIO REAL]]="","MODULO NO INICIADO","PENDIENTE"))</f>
        <v>MODULO TERMINADO</v>
      </c>
      <c r="BG57" s="3">
        <f>+IF(AVANCE[[#This Row],[VENTANAS]]=8.10810810810811%,100%,AVANCE[[#This Row],[VENTANAS]])</f>
        <v>1</v>
      </c>
      <c r="BH57" s="3">
        <f>+IF(AVANCE[[#This Row],[PISO]]=N$2,100%,AVANCE[[#This Row],[PISO]])</f>
        <v>1</v>
      </c>
      <c r="BI57" s="3">
        <f>+IF(AVANCE[[#This Row],[TABIQUES]]=O$2,100%,AVANCE[[#This Row],[TABIQUES]])</f>
        <v>1</v>
      </c>
      <c r="BJ57" s="3">
        <f>+IF(AVANCE[[#This Row],[MUROS]]=P$2,100%,AVANCE[[#This Row],[MUROS]])</f>
        <v>1</v>
      </c>
      <c r="BK57" s="3">
        <f>+IF(AVANCE[[#This Row],[CIELO]]=Q$2,100%,AVANCE[[#This Row],[CIELO]])</f>
        <v>1</v>
      </c>
      <c r="BL57" s="3">
        <f>+IF(AVANCE[[#This Row],[BALCÓN]]=R$2,100%,AVANCE[[#This Row],[BALCÓN]])</f>
        <v>1</v>
      </c>
      <c r="BM57" s="3">
        <f>+IF(AVANCE[[#This Row],[RED ALCANTARILLADO]]=U$2,100%,AVANCE[[#This Row],[RED ALCANTARILLADO]])</f>
        <v>1</v>
      </c>
      <c r="BN57" s="3">
        <f>+IF(AVANCE[[#This Row],[RED DE AGUA]]=V$2,100%,AVANCE[[#This Row],[RED DE AGUA]])</f>
        <v>1</v>
      </c>
      <c r="BO57" s="3">
        <f>+IF(AVANCE[[#This Row],[VENTILACIONES]]=W$2,100%,AVANCE[[#This Row],[VENTILACIONES]])</f>
        <v>1</v>
      </c>
      <c r="BP57" s="3">
        <f>+IF(AVANCE[[#This Row],[TINA]]=X$2,100%,AVANCE[[#This Row],[TINA]])</f>
        <v>1</v>
      </c>
      <c r="BQ57" s="3">
        <f>+IF(AVANCE[[#This Row],[WC]]=Y$2,100%,AVANCE[[#This Row],[WC]])</f>
        <v>1</v>
      </c>
      <c r="BR57" s="3">
        <f>+IF(AVANCE[[#This Row],[LAVAMANOS / LAVAPLATOS / LAVADERO]]=Z$2,100%,AVANCE[[#This Row],[LAVAMANOS / LAVAPLATOS / LAVADERO]])</f>
        <v>1</v>
      </c>
      <c r="BS57" s="3">
        <f>+IF(AVANCE[[#This Row],[CANALIZACIÓN]]=AC$2,100%,AVANCE[[#This Row],[CANALIZACIÓN]])</f>
        <v>1</v>
      </c>
      <c r="BT57" s="3">
        <f>+IF(AVANCE[[#This Row],[CABLEADO]]=AD$2,100%,AVANCE[[#This Row],[CABLEADO]])</f>
        <v>1</v>
      </c>
      <c r="BU57" s="3">
        <f>+IF(AVANCE[[#This Row],[ARTEFACTOS]]=AE$2,100%,AVANCE[[#This Row],[ARTEFACTOS]])</f>
        <v>1</v>
      </c>
      <c r="BV57" s="3">
        <f>+IF(AVANCE[[#This Row],[TABLERO]]=AF$2,100%,AVANCE[[#This Row],[TABLERO]])</f>
        <v>1</v>
      </c>
      <c r="BW57" s="3">
        <f>+IF(AVANCE[[#This Row],[CAJA PAU]]=AG$2,100%,AVANCE[[#This Row],[CAJA PAU]])</f>
        <v>1</v>
      </c>
      <c r="BX57" s="3">
        <f>+IF(AVANCE[[#This Row],[INSTALACION VINILICO]]=AJ$2,100%,AVANCE[[#This Row],[INSTALACION VINILICO]])</f>
        <v>1</v>
      </c>
      <c r="BY57" s="3">
        <f>+IF(AVANCE[[#This Row],[OSB CUBIERTA]]=AK$2,100%,AVANCE[[#This Row],[OSB CUBIERTA]])</f>
        <v>1</v>
      </c>
      <c r="BZ57" s="3">
        <f>+IF(AVANCE[[#This Row],[BARANDA BALCON]]=AL$2,100%,AVANCE[[#This Row],[BARANDA BALCON]])</f>
        <v>1</v>
      </c>
      <c r="CA57" s="3">
        <f>+IF(AVANCE[[#This Row],[OSB EXTERIOR]]=AM$2,100%,AVANCE[[#This Row],[OSB EXTERIOR]])</f>
        <v>1</v>
      </c>
      <c r="CB57" s="3">
        <f>+IF(AVANCE[[#This Row],[SMART PANEL]]=AN$2,100%,AVANCE[[#This Row],[SMART PANEL]])</f>
        <v>1</v>
      </c>
      <c r="CC57" s="3">
        <f>+IF(AVANCE[[#This Row],[PINTURA EXTERIOR]]=AO$2,100%,AVANCE[[#This Row],[PINTURA EXTERIOR]])</f>
        <v>1</v>
      </c>
      <c r="CD57" s="3">
        <f>+IF(AVANCE[[#This Row],[ZOCALOS LOGIA]]=AP$2,100%,AVANCE[[#This Row],[ZOCALOS LOGIA]])</f>
        <v>1</v>
      </c>
      <c r="CE57" s="3">
        <f>+IF(AVANCE[[#This Row],[MOLDURAS]]=AQ$2,100%,AVANCE[[#This Row],[MOLDURAS]])</f>
        <v>1</v>
      </c>
      <c r="CF57" s="3">
        <f>+IF(AVANCE[[#This Row],[PILASTREO]]=AR$2,100%,AVANCE[[#This Row],[PILASTREO]])</f>
        <v>1</v>
      </c>
      <c r="CG57" s="3">
        <f>+IF(AVANCE[[#This Row],[CELOSIAS]]=AS$2,100%,AVANCE[[#This Row],[CELOSIAS]])</f>
        <v>1</v>
      </c>
      <c r="CH57" s="3">
        <f>+IF(AVANCE[[#This Row],[VENTANAS]]=AT$2,100%,AVANCE[[#This Row],[VENTANAS]])</f>
        <v>1</v>
      </c>
      <c r="CI57" s="3">
        <f>+IF(AVANCE[[#This Row],[PUERTAS ACCESO - LOGIA - BANO]]=AU$2,100%,AVANCE[[#This Row],[PUERTAS ACCESO - LOGIA - BANO]])</f>
        <v>1</v>
      </c>
      <c r="CJ57" s="3">
        <f>+IF(AVANCE[[#This Row],[CERRADURAS]]=AV$2,100%,AVANCE[[#This Row],[CERRADURAS]])</f>
        <v>1</v>
      </c>
      <c r="CK57" s="3">
        <f>+IF(AVANCE[[#This Row],[REVESTIMIENTO INTERIOR ZONA SECA]]=AW$2,100%,AVANCE[[#This Row],[REVESTIMIENTO INTERIOR ZONA SECA]])</f>
        <v>1</v>
      </c>
      <c r="CL57" s="3">
        <f>+IF(AVANCE[[#This Row],[REVESTIMIENTO INTERIOR ZONAS HUMEDAS]]=AX$2,100%,AVANCE[[#This Row],[REVESTIMIENTO INTERIOR ZONAS HUMEDAS]])</f>
        <v>1</v>
      </c>
      <c r="CM57" s="3">
        <f>+IF(AVANCE[[#This Row],[MEMBRANA CIELO]]=AY$2,100%,AVANCE[[#This Row],[MEMBRANA CIELO]])</f>
        <v>1</v>
      </c>
      <c r="CN57" s="3">
        <f>+IF(AVANCE[[#This Row],[LIMPIEZA FINAL]]=AZ$2,100%,AVANCE[[#This Row],[LIMPIEZA FINAL]])</f>
        <v>1</v>
      </c>
      <c r="CO57" s="3">
        <f>+IF(AVANCE[[#This Row],[PUERTAS DORMITORIO]]=BA$2,100%,AVANCE[[#This Row],[PUERTAS DORMITORIO]])</f>
        <v>1</v>
      </c>
      <c r="CP57" s="3">
        <f>+IF(AVANCE[[#This Row],[REVESTIMIENTO INTERIOR BANO]]=BB$2,100%,AVANCE[[#This Row],[REVESTIMIENTO INTERIOR BANO]])</f>
        <v>1</v>
      </c>
      <c r="CQ57" s="3">
        <f>+IF(AVANCE[[#This Row],[MUEBLE LAVAPLATOS]]=BC$2,100%,AVANCE[[#This Row],[MUEBLE LAVAPLATOS]])</f>
        <v>1</v>
      </c>
      <c r="CR57" s="3">
        <f>+IF(AVANCE[[#This Row],[IMPERMEABILIZACION BANO - COCINA LOGIA]]=BD$2,100%,AVANCE[[#This Row],[IMPERMEABILIZACION BANO - COCINA LOGIA]])</f>
        <v>1</v>
      </c>
      <c r="CS57" s="40">
        <f ca="1">+IF(AVANCE[[#This Row],[ESTADO MODULO]]="PENDIENTE",(TODAY()-AVANCE[[#This Row],[FECHA TERMINO  PLANIFICADO]]),0)</f>
        <v>0</v>
      </c>
      <c r="CT57" s="41" t="str" cm="1">
        <f t="array" ref="CT57">_xlfn.TEXTJOIN(" | ",TRUE,IF(SUMPRODUCT((BG57:CR57&lt;1)*(PARTIDAS!$I$2:$AT$2="OBRA GRUESA"))&gt;0,"OBRA GRUESA: "&amp;_xlfn.TEXTJOIN(", ",TRUE,IF((BG57:CR57&lt;1)*(PARTIDAS!$I$2:$AT$2="OBRA GRUESA"),PARTIDAS!$I$1:$AT$1,"")),""),IF(SUMPRODUCT((BG57:CR57&lt;1)*(PARTIDAS!$I$2:$AT$2="SANITARIOS"))&gt;0,"SANITARIOS: "&amp;_xlfn.TEXTJOIN(", ",TRUE,IF((BG57:CR57&lt;1)*(PARTIDAS!$I$2:$AT$2="SANITARIOS"),PARTIDAS!$I$1:$AT$1,"")),""),IF(SUMPRODUCT((BG57:CR57&lt;1)*(PARTIDAS!$I$2:$AT$2="ELÉCTRICO"))&gt;0,"ELÉCTRICO: "&amp;_xlfn.TEXTJOIN(", ",TRUE,IF((BG57:CR57&lt;1)*(PARTIDAS!$I$2:$AT$2="ELÉCTRICO"),PARTIDAS!$I$1:$AT$1,"")),""),IF(SUMPRODUCT((BG57:CR57&lt;1)*(PARTIDAS!$I$2:$AT$2="TERMINACIONES"))&gt;0,"TERMINACIONES: "&amp;_xlfn.TEXTJOIN(", ",TRUE,IF((BG57:CR57&lt;1)*(PARTIDAS!$I$2:$AT$2="TERMINACIONES"),PARTIDAS!$I$1:$AT$1,"")),""))</f>
        <v/>
      </c>
      <c r="CU57" s="43" t="str" cm="1">
        <f t="array" ref="CU57">_xlfn.TEXTJOIN(", ",TRUE,IF(SUMPRODUCT((BG57:CR57&lt;1)*(PARTIDAS!$I$2:$AT$2="OBRA GRUESA"))&gt;0,"OBRA GRUESA",""),IF(SUMPRODUCT((BG57:CR57&lt;1)*(PARTIDAS!$I$2:$AT$2="SANITARIOS"))&gt;0,"SANITARIOS",""),IF(SUMPRODUCT((BG57:CR57&lt;1)*(PARTIDAS!$I$2:$AT$2="ELÉCTRICO"))&gt;0,"ELÉCTRICO",""),IF(SUMPRODUCT((BG57:CR57&lt;1)*(PARTIDAS!$I$2:$AT$2="TERMINACIONES"))&gt;0,"TERMINACIONES",""))</f>
        <v/>
      </c>
      <c r="CV57" s="44" cm="1">
        <f t="array" ref="CV57">SUMPRODUCT(--(BG57:CR57&lt;1))</f>
        <v>0</v>
      </c>
    </row>
    <row r="58" spans="1:100" hidden="1" x14ac:dyDescent="0.25">
      <c r="A58" t="s">
        <v>91</v>
      </c>
      <c r="B58" t="s">
        <v>116</v>
      </c>
      <c r="C58">
        <v>2282600057</v>
      </c>
      <c r="D58" t="s">
        <v>58</v>
      </c>
      <c r="E58" s="2">
        <v>0.99999999999999978</v>
      </c>
      <c r="F58" s="1">
        <v>46146</v>
      </c>
      <c r="G58" s="1">
        <v>46148</v>
      </c>
      <c r="H58" s="1">
        <v>46198</v>
      </c>
      <c r="I58" s="1">
        <v>46175</v>
      </c>
      <c r="K58" s="1">
        <v>46198</v>
      </c>
      <c r="L58" s="3">
        <v>0.43</v>
      </c>
      <c r="M58" s="3">
        <v>1</v>
      </c>
      <c r="N58" s="3">
        <v>0.27906976744186046</v>
      </c>
      <c r="O58" s="3">
        <v>0.18604651162790697</v>
      </c>
      <c r="P58" s="3">
        <v>0.2558139534883721</v>
      </c>
      <c r="Q58" s="3">
        <v>0.18604651162790697</v>
      </c>
      <c r="R58" s="3">
        <v>9.3023255813953487E-2</v>
      </c>
      <c r="S58" s="3">
        <v>0.09</v>
      </c>
      <c r="T58" s="3">
        <v>1</v>
      </c>
      <c r="U58" s="3">
        <v>0.22222222222222221</v>
      </c>
      <c r="V58" s="3">
        <v>0.22222222222222221</v>
      </c>
      <c r="W58" s="3">
        <v>0.1111111111111111</v>
      </c>
      <c r="X58" s="3">
        <v>0.1111111111111111</v>
      </c>
      <c r="Y58" s="3">
        <v>0.1111111111111111</v>
      </c>
      <c r="Z58" s="3">
        <v>0.22222222222222221</v>
      </c>
      <c r="AA58" s="3">
        <v>0.11</v>
      </c>
      <c r="AB58" s="3">
        <v>1</v>
      </c>
      <c r="AC58" s="3">
        <v>0.27272727272727271</v>
      </c>
      <c r="AD58" s="3">
        <v>0.27272727272727271</v>
      </c>
      <c r="AE58" s="3">
        <v>9.0909090909090912E-2</v>
      </c>
      <c r="AF58" s="3">
        <v>0.18181818181818182</v>
      </c>
      <c r="AG58" s="3">
        <v>0.18181818181818182</v>
      </c>
      <c r="AH58" s="3">
        <v>0.36999999999999983</v>
      </c>
      <c r="AI58" s="3">
        <v>0.99999999999999956</v>
      </c>
      <c r="AJ58" s="3">
        <v>5.4054054054054036E-2</v>
      </c>
      <c r="AK58" s="3">
        <v>5.4054054054054036E-2</v>
      </c>
      <c r="AL58" s="3">
        <v>2.7027027027027018E-2</v>
      </c>
      <c r="AM58" s="3">
        <v>8.1081081081081058E-2</v>
      </c>
      <c r="AN58" s="3">
        <v>8.1081081081081058E-2</v>
      </c>
      <c r="AO58" s="3">
        <v>6.7567567567567557E-2</v>
      </c>
      <c r="AP58" s="3">
        <v>5.4054054054054036E-2</v>
      </c>
      <c r="AQ58" s="3">
        <v>1.3513513513513509E-2</v>
      </c>
      <c r="AR58" s="3">
        <v>4.0540540540540529E-2</v>
      </c>
      <c r="AS58" s="3">
        <v>1.3513513513513509E-2</v>
      </c>
      <c r="AT58" s="3">
        <v>8.1081081081081058E-2</v>
      </c>
      <c r="AU58" s="3">
        <v>5.4054054054054036E-2</v>
      </c>
      <c r="AV58" s="3">
        <v>2.7027027027027018E-2</v>
      </c>
      <c r="AW58" s="3">
        <v>5.4054054054054036E-2</v>
      </c>
      <c r="AX58" s="3">
        <v>5.4054054054054036E-2</v>
      </c>
      <c r="AY58" s="3">
        <v>2.7027027027027018E-2</v>
      </c>
      <c r="AZ58" s="3">
        <v>4.0540540540540529E-2</v>
      </c>
      <c r="BA58" s="3">
        <v>5.4054054054054036E-2</v>
      </c>
      <c r="BB58" s="3">
        <v>8.1081081081081058E-2</v>
      </c>
      <c r="BC58" s="3">
        <v>1.3513513513513509E-2</v>
      </c>
      <c r="BD58" s="3">
        <v>2.7027027027027018E-2</v>
      </c>
      <c r="BE58">
        <v>28.87</v>
      </c>
      <c r="BF58" s="3" t="str">
        <f>+IF(AVANCE[[#This Row],[% AVANCE]]=100%,"MODULO TERMINADO",IF(AVANCE[[#This Row],[FECHA INICIO REAL]]="","MODULO NO INICIADO","PENDIENTE"))</f>
        <v>MODULO TERMINADO</v>
      </c>
      <c r="BG58" s="3">
        <f>+IF(AVANCE[[#This Row],[VENTANAS]]=8.10810810810811%,100%,AVANCE[[#This Row],[VENTANAS]])</f>
        <v>1</v>
      </c>
      <c r="BH58" s="3">
        <f>+IF(AVANCE[[#This Row],[PISO]]=N$2,100%,AVANCE[[#This Row],[PISO]])</f>
        <v>1</v>
      </c>
      <c r="BI58" s="3">
        <f>+IF(AVANCE[[#This Row],[TABIQUES]]=O$2,100%,AVANCE[[#This Row],[TABIQUES]])</f>
        <v>1</v>
      </c>
      <c r="BJ58" s="3">
        <f>+IF(AVANCE[[#This Row],[MUROS]]=P$2,100%,AVANCE[[#This Row],[MUROS]])</f>
        <v>1</v>
      </c>
      <c r="BK58" s="3">
        <f>+IF(AVANCE[[#This Row],[CIELO]]=Q$2,100%,AVANCE[[#This Row],[CIELO]])</f>
        <v>1</v>
      </c>
      <c r="BL58" s="3">
        <f>+IF(AVANCE[[#This Row],[BALCÓN]]=R$2,100%,AVANCE[[#This Row],[BALCÓN]])</f>
        <v>1</v>
      </c>
      <c r="BM58" s="3">
        <f>+IF(AVANCE[[#This Row],[RED ALCANTARILLADO]]=U$2,100%,AVANCE[[#This Row],[RED ALCANTARILLADO]])</f>
        <v>1</v>
      </c>
      <c r="BN58" s="3">
        <f>+IF(AVANCE[[#This Row],[RED DE AGUA]]=V$2,100%,AVANCE[[#This Row],[RED DE AGUA]])</f>
        <v>1</v>
      </c>
      <c r="BO58" s="3">
        <f>+IF(AVANCE[[#This Row],[VENTILACIONES]]=W$2,100%,AVANCE[[#This Row],[VENTILACIONES]])</f>
        <v>1</v>
      </c>
      <c r="BP58" s="3">
        <f>+IF(AVANCE[[#This Row],[TINA]]=X$2,100%,AVANCE[[#This Row],[TINA]])</f>
        <v>1</v>
      </c>
      <c r="BQ58" s="3">
        <f>+IF(AVANCE[[#This Row],[WC]]=Y$2,100%,AVANCE[[#This Row],[WC]])</f>
        <v>1</v>
      </c>
      <c r="BR58" s="3">
        <f>+IF(AVANCE[[#This Row],[LAVAMANOS / LAVAPLATOS / LAVADERO]]=Z$2,100%,AVANCE[[#This Row],[LAVAMANOS / LAVAPLATOS / LAVADERO]])</f>
        <v>1</v>
      </c>
      <c r="BS58" s="3">
        <f>+IF(AVANCE[[#This Row],[CANALIZACIÓN]]=AC$2,100%,AVANCE[[#This Row],[CANALIZACIÓN]])</f>
        <v>1</v>
      </c>
      <c r="BT58" s="3">
        <f>+IF(AVANCE[[#This Row],[CABLEADO]]=AD$2,100%,AVANCE[[#This Row],[CABLEADO]])</f>
        <v>1</v>
      </c>
      <c r="BU58" s="3">
        <f>+IF(AVANCE[[#This Row],[ARTEFACTOS]]=AE$2,100%,AVANCE[[#This Row],[ARTEFACTOS]])</f>
        <v>1</v>
      </c>
      <c r="BV58" s="3">
        <f>+IF(AVANCE[[#This Row],[TABLERO]]=AF$2,100%,AVANCE[[#This Row],[TABLERO]])</f>
        <v>1</v>
      </c>
      <c r="BW58" s="3">
        <f>+IF(AVANCE[[#This Row],[CAJA PAU]]=AG$2,100%,AVANCE[[#This Row],[CAJA PAU]])</f>
        <v>1</v>
      </c>
      <c r="BX58" s="3">
        <f>+IF(AVANCE[[#This Row],[INSTALACION VINILICO]]=AJ$2,100%,AVANCE[[#This Row],[INSTALACION VINILICO]])</f>
        <v>1</v>
      </c>
      <c r="BY58" s="3">
        <f>+IF(AVANCE[[#This Row],[OSB CUBIERTA]]=AK$2,100%,AVANCE[[#This Row],[OSB CUBIERTA]])</f>
        <v>1</v>
      </c>
      <c r="BZ58" s="3">
        <f>+IF(AVANCE[[#This Row],[BARANDA BALCON]]=AL$2,100%,AVANCE[[#This Row],[BARANDA BALCON]])</f>
        <v>1</v>
      </c>
      <c r="CA58" s="3">
        <f>+IF(AVANCE[[#This Row],[OSB EXTERIOR]]=AM$2,100%,AVANCE[[#This Row],[OSB EXTERIOR]])</f>
        <v>1</v>
      </c>
      <c r="CB58" s="3">
        <f>+IF(AVANCE[[#This Row],[SMART PANEL]]=AN$2,100%,AVANCE[[#This Row],[SMART PANEL]])</f>
        <v>1</v>
      </c>
      <c r="CC58" s="3">
        <f>+IF(AVANCE[[#This Row],[PINTURA EXTERIOR]]=AO$2,100%,AVANCE[[#This Row],[PINTURA EXTERIOR]])</f>
        <v>1</v>
      </c>
      <c r="CD58" s="3">
        <f>+IF(AVANCE[[#This Row],[ZOCALOS LOGIA]]=AP$2,100%,AVANCE[[#This Row],[ZOCALOS LOGIA]])</f>
        <v>1</v>
      </c>
      <c r="CE58" s="3">
        <f>+IF(AVANCE[[#This Row],[MOLDURAS]]=AQ$2,100%,AVANCE[[#This Row],[MOLDURAS]])</f>
        <v>1</v>
      </c>
      <c r="CF58" s="3">
        <f>+IF(AVANCE[[#This Row],[PILASTREO]]=AR$2,100%,AVANCE[[#This Row],[PILASTREO]])</f>
        <v>1</v>
      </c>
      <c r="CG58" s="3">
        <f>+IF(AVANCE[[#This Row],[CELOSIAS]]=AS$2,100%,AVANCE[[#This Row],[CELOSIAS]])</f>
        <v>1</v>
      </c>
      <c r="CH58" s="3">
        <f>+IF(AVANCE[[#This Row],[VENTANAS]]=AT$2,100%,AVANCE[[#This Row],[VENTANAS]])</f>
        <v>1</v>
      </c>
      <c r="CI58" s="3">
        <f>+IF(AVANCE[[#This Row],[PUERTAS ACCESO - LOGIA - BANO]]=AU$2,100%,AVANCE[[#This Row],[PUERTAS ACCESO - LOGIA - BANO]])</f>
        <v>1</v>
      </c>
      <c r="CJ58" s="3">
        <f>+IF(AVANCE[[#This Row],[CERRADURAS]]=AV$2,100%,AVANCE[[#This Row],[CERRADURAS]])</f>
        <v>1</v>
      </c>
      <c r="CK58" s="3">
        <f>+IF(AVANCE[[#This Row],[REVESTIMIENTO INTERIOR ZONA SECA]]=AW$2,100%,AVANCE[[#This Row],[REVESTIMIENTO INTERIOR ZONA SECA]])</f>
        <v>1</v>
      </c>
      <c r="CL58" s="3">
        <f>+IF(AVANCE[[#This Row],[REVESTIMIENTO INTERIOR ZONAS HUMEDAS]]=AX$2,100%,AVANCE[[#This Row],[REVESTIMIENTO INTERIOR ZONAS HUMEDAS]])</f>
        <v>1</v>
      </c>
      <c r="CM58" s="3">
        <f>+IF(AVANCE[[#This Row],[MEMBRANA CIELO]]=AY$2,100%,AVANCE[[#This Row],[MEMBRANA CIELO]])</f>
        <v>1</v>
      </c>
      <c r="CN58" s="3">
        <f>+IF(AVANCE[[#This Row],[LIMPIEZA FINAL]]=AZ$2,100%,AVANCE[[#This Row],[LIMPIEZA FINAL]])</f>
        <v>1</v>
      </c>
      <c r="CO58" s="3">
        <f>+IF(AVANCE[[#This Row],[PUERTAS DORMITORIO]]=BA$2,100%,AVANCE[[#This Row],[PUERTAS DORMITORIO]])</f>
        <v>1</v>
      </c>
      <c r="CP58" s="3">
        <f>+IF(AVANCE[[#This Row],[REVESTIMIENTO INTERIOR BANO]]=BB$2,100%,AVANCE[[#This Row],[REVESTIMIENTO INTERIOR BANO]])</f>
        <v>1</v>
      </c>
      <c r="CQ58" s="3">
        <f>+IF(AVANCE[[#This Row],[MUEBLE LAVAPLATOS]]=BC$2,100%,AVANCE[[#This Row],[MUEBLE LAVAPLATOS]])</f>
        <v>1</v>
      </c>
      <c r="CR58" s="3">
        <f>+IF(AVANCE[[#This Row],[IMPERMEABILIZACION BANO - COCINA LOGIA]]=BD$2,100%,AVANCE[[#This Row],[IMPERMEABILIZACION BANO - COCINA LOGIA]])</f>
        <v>1</v>
      </c>
      <c r="CS58" s="40">
        <f ca="1">+IF(AVANCE[[#This Row],[ESTADO MODULO]]="PENDIENTE",(TODAY()-AVANCE[[#This Row],[FECHA TERMINO  PLANIFICADO]]),0)</f>
        <v>0</v>
      </c>
      <c r="CT58" s="41" t="str" cm="1">
        <f t="array" ref="CT58">_xlfn.TEXTJOIN(" | ",TRUE,IF(SUMPRODUCT((BG58:CR58&lt;1)*(PARTIDAS!$I$2:$AT$2="OBRA GRUESA"))&gt;0,"OBRA GRUESA: "&amp;_xlfn.TEXTJOIN(", ",TRUE,IF((BG58:CR58&lt;1)*(PARTIDAS!$I$2:$AT$2="OBRA GRUESA"),PARTIDAS!$I$1:$AT$1,"")),""),IF(SUMPRODUCT((BG58:CR58&lt;1)*(PARTIDAS!$I$2:$AT$2="SANITARIOS"))&gt;0,"SANITARIOS: "&amp;_xlfn.TEXTJOIN(", ",TRUE,IF((BG58:CR58&lt;1)*(PARTIDAS!$I$2:$AT$2="SANITARIOS"),PARTIDAS!$I$1:$AT$1,"")),""),IF(SUMPRODUCT((BG58:CR58&lt;1)*(PARTIDAS!$I$2:$AT$2="ELÉCTRICO"))&gt;0,"ELÉCTRICO: "&amp;_xlfn.TEXTJOIN(", ",TRUE,IF((BG58:CR58&lt;1)*(PARTIDAS!$I$2:$AT$2="ELÉCTRICO"),PARTIDAS!$I$1:$AT$1,"")),""),IF(SUMPRODUCT((BG58:CR58&lt;1)*(PARTIDAS!$I$2:$AT$2="TERMINACIONES"))&gt;0,"TERMINACIONES: "&amp;_xlfn.TEXTJOIN(", ",TRUE,IF((BG58:CR58&lt;1)*(PARTIDAS!$I$2:$AT$2="TERMINACIONES"),PARTIDAS!$I$1:$AT$1,"")),""))</f>
        <v/>
      </c>
      <c r="CU58" s="43" t="str" cm="1">
        <f t="array" ref="CU58">_xlfn.TEXTJOIN(", ",TRUE,IF(SUMPRODUCT((BG58:CR58&lt;1)*(PARTIDAS!$I$2:$AT$2="OBRA GRUESA"))&gt;0,"OBRA GRUESA",""),IF(SUMPRODUCT((BG58:CR58&lt;1)*(PARTIDAS!$I$2:$AT$2="SANITARIOS"))&gt;0,"SANITARIOS",""),IF(SUMPRODUCT((BG58:CR58&lt;1)*(PARTIDAS!$I$2:$AT$2="ELÉCTRICO"))&gt;0,"ELÉCTRICO",""),IF(SUMPRODUCT((BG58:CR58&lt;1)*(PARTIDAS!$I$2:$AT$2="TERMINACIONES"))&gt;0,"TERMINACIONES",""))</f>
        <v/>
      </c>
      <c r="CV58" s="44" cm="1">
        <f t="array" ref="CV58">SUMPRODUCT(--(BG58:CR58&lt;1))</f>
        <v>0</v>
      </c>
    </row>
    <row r="59" spans="1:100" hidden="1" x14ac:dyDescent="0.25">
      <c r="A59" t="s">
        <v>91</v>
      </c>
      <c r="B59" t="s">
        <v>117</v>
      </c>
      <c r="C59">
        <v>2302600058</v>
      </c>
      <c r="D59" t="s">
        <v>60</v>
      </c>
      <c r="E59" s="2">
        <v>0.99999999999999978</v>
      </c>
      <c r="F59" s="1">
        <v>46146</v>
      </c>
      <c r="G59" s="1">
        <v>46147</v>
      </c>
      <c r="H59" s="1">
        <v>46204</v>
      </c>
      <c r="I59" s="1">
        <v>46186</v>
      </c>
      <c r="K59" s="1">
        <v>46204</v>
      </c>
      <c r="L59" s="3">
        <v>0.43</v>
      </c>
      <c r="M59" s="3">
        <v>1</v>
      </c>
      <c r="N59" s="3">
        <v>0.27906976744186046</v>
      </c>
      <c r="O59" s="3">
        <v>0.18604651162790697</v>
      </c>
      <c r="P59" s="3">
        <v>0.2558139534883721</v>
      </c>
      <c r="Q59" s="3">
        <v>0.18604651162790697</v>
      </c>
      <c r="R59" s="3">
        <v>9.3023255813953487E-2</v>
      </c>
      <c r="S59" s="3">
        <v>0.09</v>
      </c>
      <c r="T59" s="3">
        <v>1</v>
      </c>
      <c r="U59" s="3">
        <v>0.22222222222222221</v>
      </c>
      <c r="V59" s="3">
        <v>0.22222222222222221</v>
      </c>
      <c r="W59" s="3">
        <v>0.1111111111111111</v>
      </c>
      <c r="X59" s="3">
        <v>0.1111111111111111</v>
      </c>
      <c r="Y59" s="3">
        <v>0.1111111111111111</v>
      </c>
      <c r="Z59" s="3">
        <v>0.22222222222222221</v>
      </c>
      <c r="AA59" s="3">
        <v>0.11</v>
      </c>
      <c r="AB59" s="3">
        <v>1</v>
      </c>
      <c r="AC59" s="3">
        <v>0.27272727272727271</v>
      </c>
      <c r="AD59" s="3">
        <v>0.27272727272727271</v>
      </c>
      <c r="AE59" s="3">
        <v>9.0909090909090912E-2</v>
      </c>
      <c r="AF59" s="3">
        <v>0.18181818181818182</v>
      </c>
      <c r="AG59" s="3">
        <v>0.18181818181818182</v>
      </c>
      <c r="AH59" s="3">
        <v>0.36999999999999983</v>
      </c>
      <c r="AI59" s="3">
        <v>0.99999999999999956</v>
      </c>
      <c r="AJ59" s="3">
        <v>5.4054054054054036E-2</v>
      </c>
      <c r="AK59" s="3">
        <v>5.4054054054054036E-2</v>
      </c>
      <c r="AL59" s="3">
        <v>2.7027027027027018E-2</v>
      </c>
      <c r="AM59" s="3">
        <v>8.1081081081081058E-2</v>
      </c>
      <c r="AN59" s="3">
        <v>8.1081081081081058E-2</v>
      </c>
      <c r="AO59" s="3">
        <v>6.7567567567567557E-2</v>
      </c>
      <c r="AP59" s="3">
        <v>5.4054054054054036E-2</v>
      </c>
      <c r="AQ59" s="3">
        <v>1.3513513513513509E-2</v>
      </c>
      <c r="AR59" s="3">
        <v>4.0540540540540529E-2</v>
      </c>
      <c r="AS59" s="3">
        <v>1.3513513513513509E-2</v>
      </c>
      <c r="AT59" s="3">
        <v>8.1081081081081058E-2</v>
      </c>
      <c r="AU59" s="3">
        <v>5.4054054054054036E-2</v>
      </c>
      <c r="AV59" s="3">
        <v>2.7027027027027018E-2</v>
      </c>
      <c r="AW59" s="3">
        <v>5.4054054054054036E-2</v>
      </c>
      <c r="AX59" s="3">
        <v>5.4054054054054036E-2</v>
      </c>
      <c r="AY59" s="3">
        <v>2.7027027027027018E-2</v>
      </c>
      <c r="AZ59" s="3">
        <v>4.0540540540540529E-2</v>
      </c>
      <c r="BA59" s="3">
        <v>5.4054054054054036E-2</v>
      </c>
      <c r="BB59" s="3">
        <v>8.1081081081081058E-2</v>
      </c>
      <c r="BC59" s="3">
        <v>1.3513513513513509E-2</v>
      </c>
      <c r="BD59" s="3">
        <v>2.7027027027027018E-2</v>
      </c>
      <c r="BE59">
        <v>31.32</v>
      </c>
      <c r="BF59" s="3" t="str">
        <f>+IF(AVANCE[[#This Row],[% AVANCE]]=100%,"MODULO TERMINADO",IF(AVANCE[[#This Row],[FECHA INICIO REAL]]="","MODULO NO INICIADO","PENDIENTE"))</f>
        <v>MODULO TERMINADO</v>
      </c>
      <c r="BG59" s="3">
        <f>+IF(AVANCE[[#This Row],[VENTANAS]]=8.10810810810811%,100%,AVANCE[[#This Row],[VENTANAS]])</f>
        <v>1</v>
      </c>
      <c r="BH59" s="3">
        <f>+IF(AVANCE[[#This Row],[PISO]]=N$2,100%,AVANCE[[#This Row],[PISO]])</f>
        <v>1</v>
      </c>
      <c r="BI59" s="3">
        <f>+IF(AVANCE[[#This Row],[TABIQUES]]=O$2,100%,AVANCE[[#This Row],[TABIQUES]])</f>
        <v>1</v>
      </c>
      <c r="BJ59" s="3">
        <f>+IF(AVANCE[[#This Row],[MUROS]]=P$2,100%,AVANCE[[#This Row],[MUROS]])</f>
        <v>1</v>
      </c>
      <c r="BK59" s="3">
        <f>+IF(AVANCE[[#This Row],[CIELO]]=Q$2,100%,AVANCE[[#This Row],[CIELO]])</f>
        <v>1</v>
      </c>
      <c r="BL59" s="3">
        <f>+IF(AVANCE[[#This Row],[BALCÓN]]=R$2,100%,AVANCE[[#This Row],[BALCÓN]])</f>
        <v>1</v>
      </c>
      <c r="BM59" s="3">
        <f>+IF(AVANCE[[#This Row],[RED ALCANTARILLADO]]=U$2,100%,AVANCE[[#This Row],[RED ALCANTARILLADO]])</f>
        <v>1</v>
      </c>
      <c r="BN59" s="3">
        <f>+IF(AVANCE[[#This Row],[RED DE AGUA]]=V$2,100%,AVANCE[[#This Row],[RED DE AGUA]])</f>
        <v>1</v>
      </c>
      <c r="BO59" s="3">
        <f>+IF(AVANCE[[#This Row],[VENTILACIONES]]=W$2,100%,AVANCE[[#This Row],[VENTILACIONES]])</f>
        <v>1</v>
      </c>
      <c r="BP59" s="3">
        <f>+IF(AVANCE[[#This Row],[TINA]]=X$2,100%,AVANCE[[#This Row],[TINA]])</f>
        <v>1</v>
      </c>
      <c r="BQ59" s="3">
        <f>+IF(AVANCE[[#This Row],[WC]]=Y$2,100%,AVANCE[[#This Row],[WC]])</f>
        <v>1</v>
      </c>
      <c r="BR59" s="3">
        <f>+IF(AVANCE[[#This Row],[LAVAMANOS / LAVAPLATOS / LAVADERO]]=Z$2,100%,AVANCE[[#This Row],[LAVAMANOS / LAVAPLATOS / LAVADERO]])</f>
        <v>1</v>
      </c>
      <c r="BS59" s="3">
        <f>+IF(AVANCE[[#This Row],[CANALIZACIÓN]]=AC$2,100%,AVANCE[[#This Row],[CANALIZACIÓN]])</f>
        <v>1</v>
      </c>
      <c r="BT59" s="3">
        <f>+IF(AVANCE[[#This Row],[CABLEADO]]=AD$2,100%,AVANCE[[#This Row],[CABLEADO]])</f>
        <v>1</v>
      </c>
      <c r="BU59" s="3">
        <f>+IF(AVANCE[[#This Row],[ARTEFACTOS]]=AE$2,100%,AVANCE[[#This Row],[ARTEFACTOS]])</f>
        <v>1</v>
      </c>
      <c r="BV59" s="3">
        <f>+IF(AVANCE[[#This Row],[TABLERO]]=AF$2,100%,AVANCE[[#This Row],[TABLERO]])</f>
        <v>1</v>
      </c>
      <c r="BW59" s="3">
        <f>+IF(AVANCE[[#This Row],[CAJA PAU]]=AG$2,100%,AVANCE[[#This Row],[CAJA PAU]])</f>
        <v>1</v>
      </c>
      <c r="BX59" s="3">
        <f>+IF(AVANCE[[#This Row],[INSTALACION VINILICO]]=AJ$2,100%,AVANCE[[#This Row],[INSTALACION VINILICO]])</f>
        <v>1</v>
      </c>
      <c r="BY59" s="3">
        <f>+IF(AVANCE[[#This Row],[OSB CUBIERTA]]=AK$2,100%,AVANCE[[#This Row],[OSB CUBIERTA]])</f>
        <v>1</v>
      </c>
      <c r="BZ59" s="3">
        <f>+IF(AVANCE[[#This Row],[BARANDA BALCON]]=AL$2,100%,AVANCE[[#This Row],[BARANDA BALCON]])</f>
        <v>1</v>
      </c>
      <c r="CA59" s="3">
        <f>+IF(AVANCE[[#This Row],[OSB EXTERIOR]]=AM$2,100%,AVANCE[[#This Row],[OSB EXTERIOR]])</f>
        <v>1</v>
      </c>
      <c r="CB59" s="3">
        <f>+IF(AVANCE[[#This Row],[SMART PANEL]]=AN$2,100%,AVANCE[[#This Row],[SMART PANEL]])</f>
        <v>1</v>
      </c>
      <c r="CC59" s="3">
        <f>+IF(AVANCE[[#This Row],[PINTURA EXTERIOR]]=AO$2,100%,AVANCE[[#This Row],[PINTURA EXTERIOR]])</f>
        <v>1</v>
      </c>
      <c r="CD59" s="3">
        <f>+IF(AVANCE[[#This Row],[ZOCALOS LOGIA]]=AP$2,100%,AVANCE[[#This Row],[ZOCALOS LOGIA]])</f>
        <v>1</v>
      </c>
      <c r="CE59" s="3">
        <f>+IF(AVANCE[[#This Row],[MOLDURAS]]=AQ$2,100%,AVANCE[[#This Row],[MOLDURAS]])</f>
        <v>1</v>
      </c>
      <c r="CF59" s="3">
        <f>+IF(AVANCE[[#This Row],[PILASTREO]]=AR$2,100%,AVANCE[[#This Row],[PILASTREO]])</f>
        <v>1</v>
      </c>
      <c r="CG59" s="3">
        <f>+IF(AVANCE[[#This Row],[CELOSIAS]]=AS$2,100%,AVANCE[[#This Row],[CELOSIAS]])</f>
        <v>1</v>
      </c>
      <c r="CH59" s="3">
        <f>+IF(AVANCE[[#This Row],[VENTANAS]]=AT$2,100%,AVANCE[[#This Row],[VENTANAS]])</f>
        <v>1</v>
      </c>
      <c r="CI59" s="3">
        <f>+IF(AVANCE[[#This Row],[PUERTAS ACCESO - LOGIA - BANO]]=AU$2,100%,AVANCE[[#This Row],[PUERTAS ACCESO - LOGIA - BANO]])</f>
        <v>1</v>
      </c>
      <c r="CJ59" s="3">
        <f>+IF(AVANCE[[#This Row],[CERRADURAS]]=AV$2,100%,AVANCE[[#This Row],[CERRADURAS]])</f>
        <v>1</v>
      </c>
      <c r="CK59" s="3">
        <f>+IF(AVANCE[[#This Row],[REVESTIMIENTO INTERIOR ZONA SECA]]=AW$2,100%,AVANCE[[#This Row],[REVESTIMIENTO INTERIOR ZONA SECA]])</f>
        <v>1</v>
      </c>
      <c r="CL59" s="3">
        <f>+IF(AVANCE[[#This Row],[REVESTIMIENTO INTERIOR ZONAS HUMEDAS]]=AX$2,100%,AVANCE[[#This Row],[REVESTIMIENTO INTERIOR ZONAS HUMEDAS]])</f>
        <v>1</v>
      </c>
      <c r="CM59" s="3">
        <f>+IF(AVANCE[[#This Row],[MEMBRANA CIELO]]=AY$2,100%,AVANCE[[#This Row],[MEMBRANA CIELO]])</f>
        <v>1</v>
      </c>
      <c r="CN59" s="3">
        <f>+IF(AVANCE[[#This Row],[LIMPIEZA FINAL]]=AZ$2,100%,AVANCE[[#This Row],[LIMPIEZA FINAL]])</f>
        <v>1</v>
      </c>
      <c r="CO59" s="3">
        <f>+IF(AVANCE[[#This Row],[PUERTAS DORMITORIO]]=BA$2,100%,AVANCE[[#This Row],[PUERTAS DORMITORIO]])</f>
        <v>1</v>
      </c>
      <c r="CP59" s="3">
        <f>+IF(AVANCE[[#This Row],[REVESTIMIENTO INTERIOR BANO]]=BB$2,100%,AVANCE[[#This Row],[REVESTIMIENTO INTERIOR BANO]])</f>
        <v>1</v>
      </c>
      <c r="CQ59" s="3">
        <f>+IF(AVANCE[[#This Row],[MUEBLE LAVAPLATOS]]=BC$2,100%,AVANCE[[#This Row],[MUEBLE LAVAPLATOS]])</f>
        <v>1</v>
      </c>
      <c r="CR59" s="3">
        <f>+IF(AVANCE[[#This Row],[IMPERMEABILIZACION BANO - COCINA LOGIA]]=BD$2,100%,AVANCE[[#This Row],[IMPERMEABILIZACION BANO - COCINA LOGIA]])</f>
        <v>1</v>
      </c>
      <c r="CS59" s="40">
        <f ca="1">+IF(AVANCE[[#This Row],[ESTADO MODULO]]="PENDIENTE",(TODAY()-AVANCE[[#This Row],[FECHA TERMINO  PLANIFICADO]]),0)</f>
        <v>0</v>
      </c>
      <c r="CT59" s="41" t="str" cm="1">
        <f t="array" ref="CT59">_xlfn.TEXTJOIN(" | ",TRUE,IF(SUMPRODUCT((BG59:CR59&lt;1)*(PARTIDAS!$I$2:$AT$2="OBRA GRUESA"))&gt;0,"OBRA GRUESA: "&amp;_xlfn.TEXTJOIN(", ",TRUE,IF((BG59:CR59&lt;1)*(PARTIDAS!$I$2:$AT$2="OBRA GRUESA"),PARTIDAS!$I$1:$AT$1,"")),""),IF(SUMPRODUCT((BG59:CR59&lt;1)*(PARTIDAS!$I$2:$AT$2="SANITARIOS"))&gt;0,"SANITARIOS: "&amp;_xlfn.TEXTJOIN(", ",TRUE,IF((BG59:CR59&lt;1)*(PARTIDAS!$I$2:$AT$2="SANITARIOS"),PARTIDAS!$I$1:$AT$1,"")),""),IF(SUMPRODUCT((BG59:CR59&lt;1)*(PARTIDAS!$I$2:$AT$2="ELÉCTRICO"))&gt;0,"ELÉCTRICO: "&amp;_xlfn.TEXTJOIN(", ",TRUE,IF((BG59:CR59&lt;1)*(PARTIDAS!$I$2:$AT$2="ELÉCTRICO"),PARTIDAS!$I$1:$AT$1,"")),""),IF(SUMPRODUCT((BG59:CR59&lt;1)*(PARTIDAS!$I$2:$AT$2="TERMINACIONES"))&gt;0,"TERMINACIONES: "&amp;_xlfn.TEXTJOIN(", ",TRUE,IF((BG59:CR59&lt;1)*(PARTIDAS!$I$2:$AT$2="TERMINACIONES"),PARTIDAS!$I$1:$AT$1,"")),""))</f>
        <v/>
      </c>
      <c r="CU59" s="43" t="str" cm="1">
        <f t="array" ref="CU59">_xlfn.TEXTJOIN(", ",TRUE,IF(SUMPRODUCT((BG59:CR59&lt;1)*(PARTIDAS!$I$2:$AT$2="OBRA GRUESA"))&gt;0,"OBRA GRUESA",""),IF(SUMPRODUCT((BG59:CR59&lt;1)*(PARTIDAS!$I$2:$AT$2="SANITARIOS"))&gt;0,"SANITARIOS",""),IF(SUMPRODUCT((BG59:CR59&lt;1)*(PARTIDAS!$I$2:$AT$2="ELÉCTRICO"))&gt;0,"ELÉCTRICO",""),IF(SUMPRODUCT((BG59:CR59&lt;1)*(PARTIDAS!$I$2:$AT$2="TERMINACIONES"))&gt;0,"TERMINACIONES",""))</f>
        <v/>
      </c>
      <c r="CV59" s="44" cm="1">
        <f t="array" ref="CV59">SUMPRODUCT(--(BG59:CR59&lt;1))</f>
        <v>0</v>
      </c>
    </row>
    <row r="60" spans="1:100" hidden="1" x14ac:dyDescent="0.25">
      <c r="A60" t="s">
        <v>91</v>
      </c>
      <c r="B60" t="s">
        <v>118</v>
      </c>
      <c r="C60">
        <v>2302600059</v>
      </c>
      <c r="D60" t="s">
        <v>60</v>
      </c>
      <c r="E60" s="2">
        <v>0.99999999999999978</v>
      </c>
      <c r="F60" s="1">
        <v>46147</v>
      </c>
      <c r="G60" s="1">
        <v>46146</v>
      </c>
      <c r="H60" s="1">
        <v>46204</v>
      </c>
      <c r="I60" s="1">
        <v>46187</v>
      </c>
      <c r="K60" s="1">
        <v>46204</v>
      </c>
      <c r="L60" s="3">
        <v>0.43</v>
      </c>
      <c r="M60" s="3">
        <v>1</v>
      </c>
      <c r="N60" s="3">
        <v>0.27906976744186046</v>
      </c>
      <c r="O60" s="3">
        <v>0.18604651162790697</v>
      </c>
      <c r="P60" s="3">
        <v>0.2558139534883721</v>
      </c>
      <c r="Q60" s="3">
        <v>0.18604651162790697</v>
      </c>
      <c r="R60" s="3">
        <v>9.3023255813953487E-2</v>
      </c>
      <c r="S60" s="3">
        <v>0.09</v>
      </c>
      <c r="T60" s="3">
        <v>1</v>
      </c>
      <c r="U60" s="3">
        <v>0.22222222222222221</v>
      </c>
      <c r="V60" s="3">
        <v>0.22222222222222221</v>
      </c>
      <c r="W60" s="3">
        <v>0.1111111111111111</v>
      </c>
      <c r="X60" s="3">
        <v>0.1111111111111111</v>
      </c>
      <c r="Y60" s="3">
        <v>0.1111111111111111</v>
      </c>
      <c r="Z60" s="3">
        <v>0.22222222222222221</v>
      </c>
      <c r="AA60" s="3">
        <v>0.11</v>
      </c>
      <c r="AB60" s="3">
        <v>1</v>
      </c>
      <c r="AC60" s="3">
        <v>0.27272727272727271</v>
      </c>
      <c r="AD60" s="3">
        <v>0.27272727272727271</v>
      </c>
      <c r="AE60" s="3">
        <v>9.0909090909090912E-2</v>
      </c>
      <c r="AF60" s="3">
        <v>0.18181818181818182</v>
      </c>
      <c r="AG60" s="3">
        <v>0.18181818181818182</v>
      </c>
      <c r="AH60" s="3">
        <v>0.36999999999999983</v>
      </c>
      <c r="AI60" s="3">
        <v>0.99999999999999956</v>
      </c>
      <c r="AJ60" s="3">
        <v>5.4054054054054036E-2</v>
      </c>
      <c r="AK60" s="3">
        <v>5.4054054054054036E-2</v>
      </c>
      <c r="AL60" s="3">
        <v>2.7027027027027018E-2</v>
      </c>
      <c r="AM60" s="3">
        <v>8.1081081081081058E-2</v>
      </c>
      <c r="AN60" s="3">
        <v>8.1081081081081058E-2</v>
      </c>
      <c r="AO60" s="3">
        <v>6.7567567567567557E-2</v>
      </c>
      <c r="AP60" s="3">
        <v>5.4054054054054036E-2</v>
      </c>
      <c r="AQ60" s="3">
        <v>1.3513513513513509E-2</v>
      </c>
      <c r="AR60" s="3">
        <v>4.0540540540540529E-2</v>
      </c>
      <c r="AS60" s="3">
        <v>1.3513513513513509E-2</v>
      </c>
      <c r="AT60" s="3">
        <v>8.1081081081081058E-2</v>
      </c>
      <c r="AU60" s="3">
        <v>5.4054054054054036E-2</v>
      </c>
      <c r="AV60" s="3">
        <v>2.7027027027027018E-2</v>
      </c>
      <c r="AW60" s="3">
        <v>5.4054054054054036E-2</v>
      </c>
      <c r="AX60" s="3">
        <v>5.4054054054054036E-2</v>
      </c>
      <c r="AY60" s="3">
        <v>2.7027027027027018E-2</v>
      </c>
      <c r="AZ60" s="3">
        <v>4.0540540540540529E-2</v>
      </c>
      <c r="BA60" s="3">
        <v>5.4054054054054036E-2</v>
      </c>
      <c r="BB60" s="3">
        <v>8.1081081081081058E-2</v>
      </c>
      <c r="BC60" s="3">
        <v>1.3513513513513509E-2</v>
      </c>
      <c r="BD60" s="3">
        <v>2.7027027027027018E-2</v>
      </c>
      <c r="BE60">
        <v>31.32</v>
      </c>
      <c r="BF60" s="3" t="str">
        <f>+IF(AVANCE[[#This Row],[% AVANCE]]=100%,"MODULO TERMINADO",IF(AVANCE[[#This Row],[FECHA INICIO REAL]]="","MODULO NO INICIADO","PENDIENTE"))</f>
        <v>MODULO TERMINADO</v>
      </c>
      <c r="BG60" s="3">
        <f>+IF(AVANCE[[#This Row],[VENTANAS]]=8.10810810810811%,100%,AVANCE[[#This Row],[VENTANAS]])</f>
        <v>1</v>
      </c>
      <c r="BH60" s="3">
        <f>+IF(AVANCE[[#This Row],[PISO]]=N$2,100%,AVANCE[[#This Row],[PISO]])</f>
        <v>1</v>
      </c>
      <c r="BI60" s="3">
        <f>+IF(AVANCE[[#This Row],[TABIQUES]]=O$2,100%,AVANCE[[#This Row],[TABIQUES]])</f>
        <v>1</v>
      </c>
      <c r="BJ60" s="3">
        <f>+IF(AVANCE[[#This Row],[MUROS]]=P$2,100%,AVANCE[[#This Row],[MUROS]])</f>
        <v>1</v>
      </c>
      <c r="BK60" s="3">
        <f>+IF(AVANCE[[#This Row],[CIELO]]=Q$2,100%,AVANCE[[#This Row],[CIELO]])</f>
        <v>1</v>
      </c>
      <c r="BL60" s="3">
        <f>+IF(AVANCE[[#This Row],[BALCÓN]]=R$2,100%,AVANCE[[#This Row],[BALCÓN]])</f>
        <v>1</v>
      </c>
      <c r="BM60" s="3">
        <f>+IF(AVANCE[[#This Row],[RED ALCANTARILLADO]]=U$2,100%,AVANCE[[#This Row],[RED ALCANTARILLADO]])</f>
        <v>1</v>
      </c>
      <c r="BN60" s="3">
        <f>+IF(AVANCE[[#This Row],[RED DE AGUA]]=V$2,100%,AVANCE[[#This Row],[RED DE AGUA]])</f>
        <v>1</v>
      </c>
      <c r="BO60" s="3">
        <f>+IF(AVANCE[[#This Row],[VENTILACIONES]]=W$2,100%,AVANCE[[#This Row],[VENTILACIONES]])</f>
        <v>1</v>
      </c>
      <c r="BP60" s="3">
        <f>+IF(AVANCE[[#This Row],[TINA]]=X$2,100%,AVANCE[[#This Row],[TINA]])</f>
        <v>1</v>
      </c>
      <c r="BQ60" s="3">
        <f>+IF(AVANCE[[#This Row],[WC]]=Y$2,100%,AVANCE[[#This Row],[WC]])</f>
        <v>1</v>
      </c>
      <c r="BR60" s="3">
        <f>+IF(AVANCE[[#This Row],[LAVAMANOS / LAVAPLATOS / LAVADERO]]=Z$2,100%,AVANCE[[#This Row],[LAVAMANOS / LAVAPLATOS / LAVADERO]])</f>
        <v>1</v>
      </c>
      <c r="BS60" s="3">
        <f>+IF(AVANCE[[#This Row],[CANALIZACIÓN]]=AC$2,100%,AVANCE[[#This Row],[CANALIZACIÓN]])</f>
        <v>1</v>
      </c>
      <c r="BT60" s="3">
        <f>+IF(AVANCE[[#This Row],[CABLEADO]]=AD$2,100%,AVANCE[[#This Row],[CABLEADO]])</f>
        <v>1</v>
      </c>
      <c r="BU60" s="3">
        <f>+IF(AVANCE[[#This Row],[ARTEFACTOS]]=AE$2,100%,AVANCE[[#This Row],[ARTEFACTOS]])</f>
        <v>1</v>
      </c>
      <c r="BV60" s="3">
        <f>+IF(AVANCE[[#This Row],[TABLERO]]=AF$2,100%,AVANCE[[#This Row],[TABLERO]])</f>
        <v>1</v>
      </c>
      <c r="BW60" s="3">
        <f>+IF(AVANCE[[#This Row],[CAJA PAU]]=AG$2,100%,AVANCE[[#This Row],[CAJA PAU]])</f>
        <v>1</v>
      </c>
      <c r="BX60" s="3">
        <f>+IF(AVANCE[[#This Row],[INSTALACION VINILICO]]=AJ$2,100%,AVANCE[[#This Row],[INSTALACION VINILICO]])</f>
        <v>1</v>
      </c>
      <c r="BY60" s="3">
        <f>+IF(AVANCE[[#This Row],[OSB CUBIERTA]]=AK$2,100%,AVANCE[[#This Row],[OSB CUBIERTA]])</f>
        <v>1</v>
      </c>
      <c r="BZ60" s="3">
        <f>+IF(AVANCE[[#This Row],[BARANDA BALCON]]=AL$2,100%,AVANCE[[#This Row],[BARANDA BALCON]])</f>
        <v>1</v>
      </c>
      <c r="CA60" s="3">
        <f>+IF(AVANCE[[#This Row],[OSB EXTERIOR]]=AM$2,100%,AVANCE[[#This Row],[OSB EXTERIOR]])</f>
        <v>1</v>
      </c>
      <c r="CB60" s="3">
        <f>+IF(AVANCE[[#This Row],[SMART PANEL]]=AN$2,100%,AVANCE[[#This Row],[SMART PANEL]])</f>
        <v>1</v>
      </c>
      <c r="CC60" s="3">
        <f>+IF(AVANCE[[#This Row],[PINTURA EXTERIOR]]=AO$2,100%,AVANCE[[#This Row],[PINTURA EXTERIOR]])</f>
        <v>1</v>
      </c>
      <c r="CD60" s="3">
        <f>+IF(AVANCE[[#This Row],[ZOCALOS LOGIA]]=AP$2,100%,AVANCE[[#This Row],[ZOCALOS LOGIA]])</f>
        <v>1</v>
      </c>
      <c r="CE60" s="3">
        <f>+IF(AVANCE[[#This Row],[MOLDURAS]]=AQ$2,100%,AVANCE[[#This Row],[MOLDURAS]])</f>
        <v>1</v>
      </c>
      <c r="CF60" s="3">
        <f>+IF(AVANCE[[#This Row],[PILASTREO]]=AR$2,100%,AVANCE[[#This Row],[PILASTREO]])</f>
        <v>1</v>
      </c>
      <c r="CG60" s="3">
        <f>+IF(AVANCE[[#This Row],[CELOSIAS]]=AS$2,100%,AVANCE[[#This Row],[CELOSIAS]])</f>
        <v>1</v>
      </c>
      <c r="CH60" s="3">
        <f>+IF(AVANCE[[#This Row],[VENTANAS]]=AT$2,100%,AVANCE[[#This Row],[VENTANAS]])</f>
        <v>1</v>
      </c>
      <c r="CI60" s="3">
        <f>+IF(AVANCE[[#This Row],[PUERTAS ACCESO - LOGIA - BANO]]=AU$2,100%,AVANCE[[#This Row],[PUERTAS ACCESO - LOGIA - BANO]])</f>
        <v>1</v>
      </c>
      <c r="CJ60" s="3">
        <f>+IF(AVANCE[[#This Row],[CERRADURAS]]=AV$2,100%,AVANCE[[#This Row],[CERRADURAS]])</f>
        <v>1</v>
      </c>
      <c r="CK60" s="3">
        <f>+IF(AVANCE[[#This Row],[REVESTIMIENTO INTERIOR ZONA SECA]]=AW$2,100%,AVANCE[[#This Row],[REVESTIMIENTO INTERIOR ZONA SECA]])</f>
        <v>1</v>
      </c>
      <c r="CL60" s="3">
        <f>+IF(AVANCE[[#This Row],[REVESTIMIENTO INTERIOR ZONAS HUMEDAS]]=AX$2,100%,AVANCE[[#This Row],[REVESTIMIENTO INTERIOR ZONAS HUMEDAS]])</f>
        <v>1</v>
      </c>
      <c r="CM60" s="3">
        <f>+IF(AVANCE[[#This Row],[MEMBRANA CIELO]]=AY$2,100%,AVANCE[[#This Row],[MEMBRANA CIELO]])</f>
        <v>1</v>
      </c>
      <c r="CN60" s="3">
        <f>+IF(AVANCE[[#This Row],[LIMPIEZA FINAL]]=AZ$2,100%,AVANCE[[#This Row],[LIMPIEZA FINAL]])</f>
        <v>1</v>
      </c>
      <c r="CO60" s="3">
        <f>+IF(AVANCE[[#This Row],[PUERTAS DORMITORIO]]=BA$2,100%,AVANCE[[#This Row],[PUERTAS DORMITORIO]])</f>
        <v>1</v>
      </c>
      <c r="CP60" s="3">
        <f>+IF(AVANCE[[#This Row],[REVESTIMIENTO INTERIOR BANO]]=BB$2,100%,AVANCE[[#This Row],[REVESTIMIENTO INTERIOR BANO]])</f>
        <v>1</v>
      </c>
      <c r="CQ60" s="3">
        <f>+IF(AVANCE[[#This Row],[MUEBLE LAVAPLATOS]]=BC$2,100%,AVANCE[[#This Row],[MUEBLE LAVAPLATOS]])</f>
        <v>1</v>
      </c>
      <c r="CR60" s="3">
        <f>+IF(AVANCE[[#This Row],[IMPERMEABILIZACION BANO - COCINA LOGIA]]=BD$2,100%,AVANCE[[#This Row],[IMPERMEABILIZACION BANO - COCINA LOGIA]])</f>
        <v>1</v>
      </c>
      <c r="CS60" s="40">
        <f ca="1">+IF(AVANCE[[#This Row],[ESTADO MODULO]]="PENDIENTE",(TODAY()-AVANCE[[#This Row],[FECHA TERMINO  PLANIFICADO]]),0)</f>
        <v>0</v>
      </c>
      <c r="CT60" s="41" t="str" cm="1">
        <f t="array" ref="CT60">_xlfn.TEXTJOIN(" | ",TRUE,IF(SUMPRODUCT((BG60:CR60&lt;1)*(PARTIDAS!$I$2:$AT$2="OBRA GRUESA"))&gt;0,"OBRA GRUESA: "&amp;_xlfn.TEXTJOIN(", ",TRUE,IF((BG60:CR60&lt;1)*(PARTIDAS!$I$2:$AT$2="OBRA GRUESA"),PARTIDAS!$I$1:$AT$1,"")),""),IF(SUMPRODUCT((BG60:CR60&lt;1)*(PARTIDAS!$I$2:$AT$2="SANITARIOS"))&gt;0,"SANITARIOS: "&amp;_xlfn.TEXTJOIN(", ",TRUE,IF((BG60:CR60&lt;1)*(PARTIDAS!$I$2:$AT$2="SANITARIOS"),PARTIDAS!$I$1:$AT$1,"")),""),IF(SUMPRODUCT((BG60:CR60&lt;1)*(PARTIDAS!$I$2:$AT$2="ELÉCTRICO"))&gt;0,"ELÉCTRICO: "&amp;_xlfn.TEXTJOIN(", ",TRUE,IF((BG60:CR60&lt;1)*(PARTIDAS!$I$2:$AT$2="ELÉCTRICO"),PARTIDAS!$I$1:$AT$1,"")),""),IF(SUMPRODUCT((BG60:CR60&lt;1)*(PARTIDAS!$I$2:$AT$2="TERMINACIONES"))&gt;0,"TERMINACIONES: "&amp;_xlfn.TEXTJOIN(", ",TRUE,IF((BG60:CR60&lt;1)*(PARTIDAS!$I$2:$AT$2="TERMINACIONES"),PARTIDAS!$I$1:$AT$1,"")),""))</f>
        <v/>
      </c>
      <c r="CU60" s="43" t="str" cm="1">
        <f t="array" ref="CU60">_xlfn.TEXTJOIN(", ",TRUE,IF(SUMPRODUCT((BG60:CR60&lt;1)*(PARTIDAS!$I$2:$AT$2="OBRA GRUESA"))&gt;0,"OBRA GRUESA",""),IF(SUMPRODUCT((BG60:CR60&lt;1)*(PARTIDAS!$I$2:$AT$2="SANITARIOS"))&gt;0,"SANITARIOS",""),IF(SUMPRODUCT((BG60:CR60&lt;1)*(PARTIDAS!$I$2:$AT$2="ELÉCTRICO"))&gt;0,"ELÉCTRICO",""),IF(SUMPRODUCT((BG60:CR60&lt;1)*(PARTIDAS!$I$2:$AT$2="TERMINACIONES"))&gt;0,"TERMINACIONES",""))</f>
        <v/>
      </c>
      <c r="CV60" s="44" cm="1">
        <f t="array" ref="CV60">SUMPRODUCT(--(BG60:CR60&lt;1))</f>
        <v>0</v>
      </c>
    </row>
    <row r="61" spans="1:100" hidden="1" x14ac:dyDescent="0.25">
      <c r="A61" t="s">
        <v>91</v>
      </c>
      <c r="B61" t="s">
        <v>119</v>
      </c>
      <c r="C61">
        <v>2282600060</v>
      </c>
      <c r="D61" t="s">
        <v>58</v>
      </c>
      <c r="E61" s="2">
        <v>0.99999999999999978</v>
      </c>
      <c r="F61" s="1">
        <v>46147</v>
      </c>
      <c r="G61" s="1">
        <v>46149</v>
      </c>
      <c r="H61" s="1">
        <v>46203</v>
      </c>
      <c r="I61" s="1">
        <v>46176</v>
      </c>
      <c r="K61" s="1">
        <v>46203</v>
      </c>
      <c r="L61" s="3">
        <v>0.43</v>
      </c>
      <c r="M61" s="3">
        <v>1</v>
      </c>
      <c r="N61" s="3">
        <v>0.27906976744186046</v>
      </c>
      <c r="O61" s="3">
        <v>0.18604651162790697</v>
      </c>
      <c r="P61" s="3">
        <v>0.2558139534883721</v>
      </c>
      <c r="Q61" s="3">
        <v>0.18604651162790697</v>
      </c>
      <c r="R61" s="3">
        <v>9.3023255813953487E-2</v>
      </c>
      <c r="S61" s="3">
        <v>0.09</v>
      </c>
      <c r="T61" s="3">
        <v>1</v>
      </c>
      <c r="U61" s="3">
        <v>0.22222222222222221</v>
      </c>
      <c r="V61" s="3">
        <v>0.22222222222222221</v>
      </c>
      <c r="W61" s="3">
        <v>0.1111111111111111</v>
      </c>
      <c r="X61" s="3">
        <v>0.1111111111111111</v>
      </c>
      <c r="Y61" s="3">
        <v>0.1111111111111111</v>
      </c>
      <c r="Z61" s="3">
        <v>0.22222222222222221</v>
      </c>
      <c r="AA61" s="3">
        <v>0.11</v>
      </c>
      <c r="AB61" s="3">
        <v>1</v>
      </c>
      <c r="AC61" s="3">
        <v>0.27272727272727271</v>
      </c>
      <c r="AD61" s="3">
        <v>0.27272727272727271</v>
      </c>
      <c r="AE61" s="3">
        <v>9.0909090909090912E-2</v>
      </c>
      <c r="AF61" s="3">
        <v>0.18181818181818182</v>
      </c>
      <c r="AG61" s="3">
        <v>0.18181818181818182</v>
      </c>
      <c r="AH61" s="3">
        <v>0.36999999999999983</v>
      </c>
      <c r="AI61" s="3">
        <v>0.99999999999999956</v>
      </c>
      <c r="AJ61" s="3">
        <v>5.4054054054054036E-2</v>
      </c>
      <c r="AK61" s="3">
        <v>5.4054054054054036E-2</v>
      </c>
      <c r="AL61" s="3">
        <v>2.7027027027027018E-2</v>
      </c>
      <c r="AM61" s="3">
        <v>8.1081081081081058E-2</v>
      </c>
      <c r="AN61" s="3">
        <v>8.1081081081081058E-2</v>
      </c>
      <c r="AO61" s="3">
        <v>6.7567567567567557E-2</v>
      </c>
      <c r="AP61" s="3">
        <v>5.4054054054054036E-2</v>
      </c>
      <c r="AQ61" s="3">
        <v>1.3513513513513509E-2</v>
      </c>
      <c r="AR61" s="3">
        <v>4.0540540540540529E-2</v>
      </c>
      <c r="AS61" s="3">
        <v>1.3513513513513509E-2</v>
      </c>
      <c r="AT61" s="3">
        <v>8.1081081081081058E-2</v>
      </c>
      <c r="AU61" s="3">
        <v>5.4054054054054036E-2</v>
      </c>
      <c r="AV61" s="3">
        <v>2.7027027027027018E-2</v>
      </c>
      <c r="AW61" s="3">
        <v>5.4054054054054036E-2</v>
      </c>
      <c r="AX61" s="3">
        <v>5.4054054054054036E-2</v>
      </c>
      <c r="AY61" s="3">
        <v>2.7027027027027018E-2</v>
      </c>
      <c r="AZ61" s="3">
        <v>4.0540540540540529E-2</v>
      </c>
      <c r="BA61" s="3">
        <v>5.4054054054054036E-2</v>
      </c>
      <c r="BB61" s="3">
        <v>8.1081081081081058E-2</v>
      </c>
      <c r="BC61" s="3">
        <v>1.3513513513513509E-2</v>
      </c>
      <c r="BD61" s="3">
        <v>2.7027027027027018E-2</v>
      </c>
      <c r="BE61">
        <v>28.87</v>
      </c>
      <c r="BF61" s="3" t="str">
        <f>+IF(AVANCE[[#This Row],[% AVANCE]]=100%,"MODULO TERMINADO",IF(AVANCE[[#This Row],[FECHA INICIO REAL]]="","MODULO NO INICIADO","PENDIENTE"))</f>
        <v>MODULO TERMINADO</v>
      </c>
      <c r="BG61" s="3">
        <f>+IF(AVANCE[[#This Row],[VENTANAS]]=8.10810810810811%,100%,AVANCE[[#This Row],[VENTANAS]])</f>
        <v>1</v>
      </c>
      <c r="BH61" s="3">
        <f>+IF(AVANCE[[#This Row],[PISO]]=N$2,100%,AVANCE[[#This Row],[PISO]])</f>
        <v>1</v>
      </c>
      <c r="BI61" s="3">
        <f>+IF(AVANCE[[#This Row],[TABIQUES]]=O$2,100%,AVANCE[[#This Row],[TABIQUES]])</f>
        <v>1</v>
      </c>
      <c r="BJ61" s="3">
        <f>+IF(AVANCE[[#This Row],[MUROS]]=P$2,100%,AVANCE[[#This Row],[MUROS]])</f>
        <v>1</v>
      </c>
      <c r="BK61" s="3">
        <f>+IF(AVANCE[[#This Row],[CIELO]]=Q$2,100%,AVANCE[[#This Row],[CIELO]])</f>
        <v>1</v>
      </c>
      <c r="BL61" s="3">
        <f>+IF(AVANCE[[#This Row],[BALCÓN]]=R$2,100%,AVANCE[[#This Row],[BALCÓN]])</f>
        <v>1</v>
      </c>
      <c r="BM61" s="3">
        <f>+IF(AVANCE[[#This Row],[RED ALCANTARILLADO]]=U$2,100%,AVANCE[[#This Row],[RED ALCANTARILLADO]])</f>
        <v>1</v>
      </c>
      <c r="BN61" s="3">
        <f>+IF(AVANCE[[#This Row],[RED DE AGUA]]=V$2,100%,AVANCE[[#This Row],[RED DE AGUA]])</f>
        <v>1</v>
      </c>
      <c r="BO61" s="3">
        <f>+IF(AVANCE[[#This Row],[VENTILACIONES]]=W$2,100%,AVANCE[[#This Row],[VENTILACIONES]])</f>
        <v>1</v>
      </c>
      <c r="BP61" s="3">
        <f>+IF(AVANCE[[#This Row],[TINA]]=X$2,100%,AVANCE[[#This Row],[TINA]])</f>
        <v>1</v>
      </c>
      <c r="BQ61" s="3">
        <f>+IF(AVANCE[[#This Row],[WC]]=Y$2,100%,AVANCE[[#This Row],[WC]])</f>
        <v>1</v>
      </c>
      <c r="BR61" s="3">
        <f>+IF(AVANCE[[#This Row],[LAVAMANOS / LAVAPLATOS / LAVADERO]]=Z$2,100%,AVANCE[[#This Row],[LAVAMANOS / LAVAPLATOS / LAVADERO]])</f>
        <v>1</v>
      </c>
      <c r="BS61" s="3">
        <f>+IF(AVANCE[[#This Row],[CANALIZACIÓN]]=AC$2,100%,AVANCE[[#This Row],[CANALIZACIÓN]])</f>
        <v>1</v>
      </c>
      <c r="BT61" s="3">
        <f>+IF(AVANCE[[#This Row],[CABLEADO]]=AD$2,100%,AVANCE[[#This Row],[CABLEADO]])</f>
        <v>1</v>
      </c>
      <c r="BU61" s="3">
        <f>+IF(AVANCE[[#This Row],[ARTEFACTOS]]=AE$2,100%,AVANCE[[#This Row],[ARTEFACTOS]])</f>
        <v>1</v>
      </c>
      <c r="BV61" s="3">
        <f>+IF(AVANCE[[#This Row],[TABLERO]]=AF$2,100%,AVANCE[[#This Row],[TABLERO]])</f>
        <v>1</v>
      </c>
      <c r="BW61" s="3">
        <f>+IF(AVANCE[[#This Row],[CAJA PAU]]=AG$2,100%,AVANCE[[#This Row],[CAJA PAU]])</f>
        <v>1</v>
      </c>
      <c r="BX61" s="3">
        <f>+IF(AVANCE[[#This Row],[INSTALACION VINILICO]]=AJ$2,100%,AVANCE[[#This Row],[INSTALACION VINILICO]])</f>
        <v>1</v>
      </c>
      <c r="BY61" s="3">
        <f>+IF(AVANCE[[#This Row],[OSB CUBIERTA]]=AK$2,100%,AVANCE[[#This Row],[OSB CUBIERTA]])</f>
        <v>1</v>
      </c>
      <c r="BZ61" s="3">
        <f>+IF(AVANCE[[#This Row],[BARANDA BALCON]]=AL$2,100%,AVANCE[[#This Row],[BARANDA BALCON]])</f>
        <v>1</v>
      </c>
      <c r="CA61" s="3">
        <f>+IF(AVANCE[[#This Row],[OSB EXTERIOR]]=AM$2,100%,AVANCE[[#This Row],[OSB EXTERIOR]])</f>
        <v>1</v>
      </c>
      <c r="CB61" s="3">
        <f>+IF(AVANCE[[#This Row],[SMART PANEL]]=AN$2,100%,AVANCE[[#This Row],[SMART PANEL]])</f>
        <v>1</v>
      </c>
      <c r="CC61" s="3">
        <f>+IF(AVANCE[[#This Row],[PINTURA EXTERIOR]]=AO$2,100%,AVANCE[[#This Row],[PINTURA EXTERIOR]])</f>
        <v>1</v>
      </c>
      <c r="CD61" s="3">
        <f>+IF(AVANCE[[#This Row],[ZOCALOS LOGIA]]=AP$2,100%,AVANCE[[#This Row],[ZOCALOS LOGIA]])</f>
        <v>1</v>
      </c>
      <c r="CE61" s="3">
        <f>+IF(AVANCE[[#This Row],[MOLDURAS]]=AQ$2,100%,AVANCE[[#This Row],[MOLDURAS]])</f>
        <v>1</v>
      </c>
      <c r="CF61" s="3">
        <f>+IF(AVANCE[[#This Row],[PILASTREO]]=AR$2,100%,AVANCE[[#This Row],[PILASTREO]])</f>
        <v>1</v>
      </c>
      <c r="CG61" s="3">
        <f>+IF(AVANCE[[#This Row],[CELOSIAS]]=AS$2,100%,AVANCE[[#This Row],[CELOSIAS]])</f>
        <v>1</v>
      </c>
      <c r="CH61" s="3">
        <f>+IF(AVANCE[[#This Row],[VENTANAS]]=AT$2,100%,AVANCE[[#This Row],[VENTANAS]])</f>
        <v>1</v>
      </c>
      <c r="CI61" s="3">
        <f>+IF(AVANCE[[#This Row],[PUERTAS ACCESO - LOGIA - BANO]]=AU$2,100%,AVANCE[[#This Row],[PUERTAS ACCESO - LOGIA - BANO]])</f>
        <v>1</v>
      </c>
      <c r="CJ61" s="3">
        <f>+IF(AVANCE[[#This Row],[CERRADURAS]]=AV$2,100%,AVANCE[[#This Row],[CERRADURAS]])</f>
        <v>1</v>
      </c>
      <c r="CK61" s="3">
        <f>+IF(AVANCE[[#This Row],[REVESTIMIENTO INTERIOR ZONA SECA]]=AW$2,100%,AVANCE[[#This Row],[REVESTIMIENTO INTERIOR ZONA SECA]])</f>
        <v>1</v>
      </c>
      <c r="CL61" s="3">
        <f>+IF(AVANCE[[#This Row],[REVESTIMIENTO INTERIOR ZONAS HUMEDAS]]=AX$2,100%,AVANCE[[#This Row],[REVESTIMIENTO INTERIOR ZONAS HUMEDAS]])</f>
        <v>1</v>
      </c>
      <c r="CM61" s="3">
        <f>+IF(AVANCE[[#This Row],[MEMBRANA CIELO]]=AY$2,100%,AVANCE[[#This Row],[MEMBRANA CIELO]])</f>
        <v>1</v>
      </c>
      <c r="CN61" s="3">
        <f>+IF(AVANCE[[#This Row],[LIMPIEZA FINAL]]=AZ$2,100%,AVANCE[[#This Row],[LIMPIEZA FINAL]])</f>
        <v>1</v>
      </c>
      <c r="CO61" s="3">
        <f>+IF(AVANCE[[#This Row],[PUERTAS DORMITORIO]]=BA$2,100%,AVANCE[[#This Row],[PUERTAS DORMITORIO]])</f>
        <v>1</v>
      </c>
      <c r="CP61" s="3">
        <f>+IF(AVANCE[[#This Row],[REVESTIMIENTO INTERIOR BANO]]=BB$2,100%,AVANCE[[#This Row],[REVESTIMIENTO INTERIOR BANO]])</f>
        <v>1</v>
      </c>
      <c r="CQ61" s="3">
        <f>+IF(AVANCE[[#This Row],[MUEBLE LAVAPLATOS]]=BC$2,100%,AVANCE[[#This Row],[MUEBLE LAVAPLATOS]])</f>
        <v>1</v>
      </c>
      <c r="CR61" s="3">
        <f>+IF(AVANCE[[#This Row],[IMPERMEABILIZACION BANO - COCINA LOGIA]]=BD$2,100%,AVANCE[[#This Row],[IMPERMEABILIZACION BANO - COCINA LOGIA]])</f>
        <v>1</v>
      </c>
      <c r="CS61" s="40">
        <f ca="1">+IF(AVANCE[[#This Row],[ESTADO MODULO]]="PENDIENTE",(TODAY()-AVANCE[[#This Row],[FECHA TERMINO  PLANIFICADO]]),0)</f>
        <v>0</v>
      </c>
      <c r="CT61" s="41" t="str" cm="1">
        <f t="array" ref="CT61">_xlfn.TEXTJOIN(" | ",TRUE,IF(SUMPRODUCT((BG61:CR61&lt;1)*(PARTIDAS!$I$2:$AT$2="OBRA GRUESA"))&gt;0,"OBRA GRUESA: "&amp;_xlfn.TEXTJOIN(", ",TRUE,IF((BG61:CR61&lt;1)*(PARTIDAS!$I$2:$AT$2="OBRA GRUESA"),PARTIDAS!$I$1:$AT$1,"")),""),IF(SUMPRODUCT((BG61:CR61&lt;1)*(PARTIDAS!$I$2:$AT$2="SANITARIOS"))&gt;0,"SANITARIOS: "&amp;_xlfn.TEXTJOIN(", ",TRUE,IF((BG61:CR61&lt;1)*(PARTIDAS!$I$2:$AT$2="SANITARIOS"),PARTIDAS!$I$1:$AT$1,"")),""),IF(SUMPRODUCT((BG61:CR61&lt;1)*(PARTIDAS!$I$2:$AT$2="ELÉCTRICO"))&gt;0,"ELÉCTRICO: "&amp;_xlfn.TEXTJOIN(", ",TRUE,IF((BG61:CR61&lt;1)*(PARTIDAS!$I$2:$AT$2="ELÉCTRICO"),PARTIDAS!$I$1:$AT$1,"")),""),IF(SUMPRODUCT((BG61:CR61&lt;1)*(PARTIDAS!$I$2:$AT$2="TERMINACIONES"))&gt;0,"TERMINACIONES: "&amp;_xlfn.TEXTJOIN(", ",TRUE,IF((BG61:CR61&lt;1)*(PARTIDAS!$I$2:$AT$2="TERMINACIONES"),PARTIDAS!$I$1:$AT$1,"")),""))</f>
        <v/>
      </c>
      <c r="CU61" s="43" t="str" cm="1">
        <f t="array" ref="CU61">_xlfn.TEXTJOIN(", ",TRUE,IF(SUMPRODUCT((BG61:CR61&lt;1)*(PARTIDAS!$I$2:$AT$2="OBRA GRUESA"))&gt;0,"OBRA GRUESA",""),IF(SUMPRODUCT((BG61:CR61&lt;1)*(PARTIDAS!$I$2:$AT$2="SANITARIOS"))&gt;0,"SANITARIOS",""),IF(SUMPRODUCT((BG61:CR61&lt;1)*(PARTIDAS!$I$2:$AT$2="ELÉCTRICO"))&gt;0,"ELÉCTRICO",""),IF(SUMPRODUCT((BG61:CR61&lt;1)*(PARTIDAS!$I$2:$AT$2="TERMINACIONES"))&gt;0,"TERMINACIONES",""))</f>
        <v/>
      </c>
      <c r="CV61" s="44" cm="1">
        <f t="array" ref="CV61">SUMPRODUCT(--(BG61:CR61&lt;1))</f>
        <v>0</v>
      </c>
    </row>
    <row r="62" spans="1:100" hidden="1" x14ac:dyDescent="0.25">
      <c r="A62" t="s">
        <v>91</v>
      </c>
      <c r="B62" t="s">
        <v>120</v>
      </c>
      <c r="C62">
        <v>2282600061</v>
      </c>
      <c r="D62" t="s">
        <v>58</v>
      </c>
      <c r="E62" s="2">
        <v>0.99999999999999978</v>
      </c>
      <c r="F62" s="1">
        <v>46148</v>
      </c>
      <c r="G62" s="1">
        <v>46150</v>
      </c>
      <c r="H62" s="1">
        <v>46203</v>
      </c>
      <c r="I62" s="1">
        <v>46177</v>
      </c>
      <c r="K62" s="1">
        <v>46203</v>
      </c>
      <c r="L62" s="3">
        <v>0.43</v>
      </c>
      <c r="M62" s="3">
        <v>1</v>
      </c>
      <c r="N62" s="3">
        <v>0.27906976744186046</v>
      </c>
      <c r="O62" s="3">
        <v>0.18604651162790697</v>
      </c>
      <c r="P62" s="3">
        <v>0.2558139534883721</v>
      </c>
      <c r="Q62" s="3">
        <v>0.18604651162790697</v>
      </c>
      <c r="R62" s="3">
        <v>9.3023255813953487E-2</v>
      </c>
      <c r="S62" s="3">
        <v>0.09</v>
      </c>
      <c r="T62" s="3">
        <v>1</v>
      </c>
      <c r="U62" s="3">
        <v>0.22222222222222221</v>
      </c>
      <c r="V62" s="3">
        <v>0.22222222222222221</v>
      </c>
      <c r="W62" s="3">
        <v>0.1111111111111111</v>
      </c>
      <c r="X62" s="3">
        <v>0.1111111111111111</v>
      </c>
      <c r="Y62" s="3">
        <v>0.1111111111111111</v>
      </c>
      <c r="Z62" s="3">
        <v>0.22222222222222221</v>
      </c>
      <c r="AA62" s="3">
        <v>0.11</v>
      </c>
      <c r="AB62" s="3">
        <v>1</v>
      </c>
      <c r="AC62" s="3">
        <v>0.27272727272727271</v>
      </c>
      <c r="AD62" s="3">
        <v>0.27272727272727271</v>
      </c>
      <c r="AE62" s="3">
        <v>9.0909090909090912E-2</v>
      </c>
      <c r="AF62" s="3">
        <v>0.18181818181818182</v>
      </c>
      <c r="AG62" s="3">
        <v>0.18181818181818182</v>
      </c>
      <c r="AH62" s="3">
        <v>0.36999999999999983</v>
      </c>
      <c r="AI62" s="3">
        <v>0.99999999999999956</v>
      </c>
      <c r="AJ62" s="3">
        <v>5.4054054054054036E-2</v>
      </c>
      <c r="AK62" s="3">
        <v>5.4054054054054036E-2</v>
      </c>
      <c r="AL62" s="3">
        <v>2.7027027027027018E-2</v>
      </c>
      <c r="AM62" s="3">
        <v>8.1081081081081058E-2</v>
      </c>
      <c r="AN62" s="3">
        <v>8.1081081081081058E-2</v>
      </c>
      <c r="AO62" s="3">
        <v>6.7567567567567557E-2</v>
      </c>
      <c r="AP62" s="3">
        <v>5.4054054054054036E-2</v>
      </c>
      <c r="AQ62" s="3">
        <v>1.3513513513513509E-2</v>
      </c>
      <c r="AR62" s="3">
        <v>4.0540540540540529E-2</v>
      </c>
      <c r="AS62" s="3">
        <v>1.3513513513513509E-2</v>
      </c>
      <c r="AT62" s="3">
        <v>8.1081081081081058E-2</v>
      </c>
      <c r="AU62" s="3">
        <v>5.4054054054054036E-2</v>
      </c>
      <c r="AV62" s="3">
        <v>2.7027027027027018E-2</v>
      </c>
      <c r="AW62" s="3">
        <v>5.4054054054054036E-2</v>
      </c>
      <c r="AX62" s="3">
        <v>5.4054054054054036E-2</v>
      </c>
      <c r="AY62" s="3">
        <v>2.7027027027027018E-2</v>
      </c>
      <c r="AZ62" s="3">
        <v>4.0540540540540529E-2</v>
      </c>
      <c r="BA62" s="3">
        <v>5.4054054054054036E-2</v>
      </c>
      <c r="BB62" s="3">
        <v>8.1081081081081058E-2</v>
      </c>
      <c r="BC62" s="3">
        <v>1.3513513513513509E-2</v>
      </c>
      <c r="BD62" s="3">
        <v>2.7027027027027018E-2</v>
      </c>
      <c r="BE62">
        <v>28.87</v>
      </c>
      <c r="BF62" s="3" t="str">
        <f>+IF(AVANCE[[#This Row],[% AVANCE]]=100%,"MODULO TERMINADO",IF(AVANCE[[#This Row],[FECHA INICIO REAL]]="","MODULO NO INICIADO","PENDIENTE"))</f>
        <v>MODULO TERMINADO</v>
      </c>
      <c r="BG62" s="3">
        <f>+IF(AVANCE[[#This Row],[VENTANAS]]=8.10810810810811%,100%,AVANCE[[#This Row],[VENTANAS]])</f>
        <v>1</v>
      </c>
      <c r="BH62" s="3">
        <f>+IF(AVANCE[[#This Row],[PISO]]=N$2,100%,AVANCE[[#This Row],[PISO]])</f>
        <v>1</v>
      </c>
      <c r="BI62" s="3">
        <f>+IF(AVANCE[[#This Row],[TABIQUES]]=O$2,100%,AVANCE[[#This Row],[TABIQUES]])</f>
        <v>1</v>
      </c>
      <c r="BJ62" s="3">
        <f>+IF(AVANCE[[#This Row],[MUROS]]=P$2,100%,AVANCE[[#This Row],[MUROS]])</f>
        <v>1</v>
      </c>
      <c r="BK62" s="3">
        <f>+IF(AVANCE[[#This Row],[CIELO]]=Q$2,100%,AVANCE[[#This Row],[CIELO]])</f>
        <v>1</v>
      </c>
      <c r="BL62" s="3">
        <f>+IF(AVANCE[[#This Row],[BALCÓN]]=R$2,100%,AVANCE[[#This Row],[BALCÓN]])</f>
        <v>1</v>
      </c>
      <c r="BM62" s="3">
        <f>+IF(AVANCE[[#This Row],[RED ALCANTARILLADO]]=U$2,100%,AVANCE[[#This Row],[RED ALCANTARILLADO]])</f>
        <v>1</v>
      </c>
      <c r="BN62" s="3">
        <f>+IF(AVANCE[[#This Row],[RED DE AGUA]]=V$2,100%,AVANCE[[#This Row],[RED DE AGUA]])</f>
        <v>1</v>
      </c>
      <c r="BO62" s="3">
        <f>+IF(AVANCE[[#This Row],[VENTILACIONES]]=W$2,100%,AVANCE[[#This Row],[VENTILACIONES]])</f>
        <v>1</v>
      </c>
      <c r="BP62" s="3">
        <f>+IF(AVANCE[[#This Row],[TINA]]=X$2,100%,AVANCE[[#This Row],[TINA]])</f>
        <v>1</v>
      </c>
      <c r="BQ62" s="3">
        <f>+IF(AVANCE[[#This Row],[WC]]=Y$2,100%,AVANCE[[#This Row],[WC]])</f>
        <v>1</v>
      </c>
      <c r="BR62" s="3">
        <f>+IF(AVANCE[[#This Row],[LAVAMANOS / LAVAPLATOS / LAVADERO]]=Z$2,100%,AVANCE[[#This Row],[LAVAMANOS / LAVAPLATOS / LAVADERO]])</f>
        <v>1</v>
      </c>
      <c r="BS62" s="3">
        <f>+IF(AVANCE[[#This Row],[CANALIZACIÓN]]=AC$2,100%,AVANCE[[#This Row],[CANALIZACIÓN]])</f>
        <v>1</v>
      </c>
      <c r="BT62" s="3">
        <f>+IF(AVANCE[[#This Row],[CABLEADO]]=AD$2,100%,AVANCE[[#This Row],[CABLEADO]])</f>
        <v>1</v>
      </c>
      <c r="BU62" s="3">
        <f>+IF(AVANCE[[#This Row],[ARTEFACTOS]]=AE$2,100%,AVANCE[[#This Row],[ARTEFACTOS]])</f>
        <v>1</v>
      </c>
      <c r="BV62" s="3">
        <f>+IF(AVANCE[[#This Row],[TABLERO]]=AF$2,100%,AVANCE[[#This Row],[TABLERO]])</f>
        <v>1</v>
      </c>
      <c r="BW62" s="3">
        <f>+IF(AVANCE[[#This Row],[CAJA PAU]]=AG$2,100%,AVANCE[[#This Row],[CAJA PAU]])</f>
        <v>1</v>
      </c>
      <c r="BX62" s="3">
        <f>+IF(AVANCE[[#This Row],[INSTALACION VINILICO]]=AJ$2,100%,AVANCE[[#This Row],[INSTALACION VINILICO]])</f>
        <v>1</v>
      </c>
      <c r="BY62" s="3">
        <f>+IF(AVANCE[[#This Row],[OSB CUBIERTA]]=AK$2,100%,AVANCE[[#This Row],[OSB CUBIERTA]])</f>
        <v>1</v>
      </c>
      <c r="BZ62" s="3">
        <f>+IF(AVANCE[[#This Row],[BARANDA BALCON]]=AL$2,100%,AVANCE[[#This Row],[BARANDA BALCON]])</f>
        <v>1</v>
      </c>
      <c r="CA62" s="3">
        <f>+IF(AVANCE[[#This Row],[OSB EXTERIOR]]=AM$2,100%,AVANCE[[#This Row],[OSB EXTERIOR]])</f>
        <v>1</v>
      </c>
      <c r="CB62" s="3">
        <f>+IF(AVANCE[[#This Row],[SMART PANEL]]=AN$2,100%,AVANCE[[#This Row],[SMART PANEL]])</f>
        <v>1</v>
      </c>
      <c r="CC62" s="3">
        <f>+IF(AVANCE[[#This Row],[PINTURA EXTERIOR]]=AO$2,100%,AVANCE[[#This Row],[PINTURA EXTERIOR]])</f>
        <v>1</v>
      </c>
      <c r="CD62" s="3">
        <f>+IF(AVANCE[[#This Row],[ZOCALOS LOGIA]]=AP$2,100%,AVANCE[[#This Row],[ZOCALOS LOGIA]])</f>
        <v>1</v>
      </c>
      <c r="CE62" s="3">
        <f>+IF(AVANCE[[#This Row],[MOLDURAS]]=AQ$2,100%,AVANCE[[#This Row],[MOLDURAS]])</f>
        <v>1</v>
      </c>
      <c r="CF62" s="3">
        <f>+IF(AVANCE[[#This Row],[PILASTREO]]=AR$2,100%,AVANCE[[#This Row],[PILASTREO]])</f>
        <v>1</v>
      </c>
      <c r="CG62" s="3">
        <f>+IF(AVANCE[[#This Row],[CELOSIAS]]=AS$2,100%,AVANCE[[#This Row],[CELOSIAS]])</f>
        <v>1</v>
      </c>
      <c r="CH62" s="3">
        <f>+IF(AVANCE[[#This Row],[VENTANAS]]=AT$2,100%,AVANCE[[#This Row],[VENTANAS]])</f>
        <v>1</v>
      </c>
      <c r="CI62" s="3">
        <f>+IF(AVANCE[[#This Row],[PUERTAS ACCESO - LOGIA - BANO]]=AU$2,100%,AVANCE[[#This Row],[PUERTAS ACCESO - LOGIA - BANO]])</f>
        <v>1</v>
      </c>
      <c r="CJ62" s="3">
        <f>+IF(AVANCE[[#This Row],[CERRADURAS]]=AV$2,100%,AVANCE[[#This Row],[CERRADURAS]])</f>
        <v>1</v>
      </c>
      <c r="CK62" s="3">
        <f>+IF(AVANCE[[#This Row],[REVESTIMIENTO INTERIOR ZONA SECA]]=AW$2,100%,AVANCE[[#This Row],[REVESTIMIENTO INTERIOR ZONA SECA]])</f>
        <v>1</v>
      </c>
      <c r="CL62" s="3">
        <f>+IF(AVANCE[[#This Row],[REVESTIMIENTO INTERIOR ZONAS HUMEDAS]]=AX$2,100%,AVANCE[[#This Row],[REVESTIMIENTO INTERIOR ZONAS HUMEDAS]])</f>
        <v>1</v>
      </c>
      <c r="CM62" s="3">
        <f>+IF(AVANCE[[#This Row],[MEMBRANA CIELO]]=AY$2,100%,AVANCE[[#This Row],[MEMBRANA CIELO]])</f>
        <v>1</v>
      </c>
      <c r="CN62" s="3">
        <f>+IF(AVANCE[[#This Row],[LIMPIEZA FINAL]]=AZ$2,100%,AVANCE[[#This Row],[LIMPIEZA FINAL]])</f>
        <v>1</v>
      </c>
      <c r="CO62" s="3">
        <f>+IF(AVANCE[[#This Row],[PUERTAS DORMITORIO]]=BA$2,100%,AVANCE[[#This Row],[PUERTAS DORMITORIO]])</f>
        <v>1</v>
      </c>
      <c r="CP62" s="3">
        <f>+IF(AVANCE[[#This Row],[REVESTIMIENTO INTERIOR BANO]]=BB$2,100%,AVANCE[[#This Row],[REVESTIMIENTO INTERIOR BANO]])</f>
        <v>1</v>
      </c>
      <c r="CQ62" s="3">
        <f>+IF(AVANCE[[#This Row],[MUEBLE LAVAPLATOS]]=BC$2,100%,AVANCE[[#This Row],[MUEBLE LAVAPLATOS]])</f>
        <v>1</v>
      </c>
      <c r="CR62" s="3">
        <f>+IF(AVANCE[[#This Row],[IMPERMEABILIZACION BANO - COCINA LOGIA]]=BD$2,100%,AVANCE[[#This Row],[IMPERMEABILIZACION BANO - COCINA LOGIA]])</f>
        <v>1</v>
      </c>
      <c r="CS62" s="40">
        <f ca="1">+IF(AVANCE[[#This Row],[ESTADO MODULO]]="PENDIENTE",(TODAY()-AVANCE[[#This Row],[FECHA TERMINO  PLANIFICADO]]),0)</f>
        <v>0</v>
      </c>
      <c r="CT62" s="41" t="str" cm="1">
        <f t="array" ref="CT62">_xlfn.TEXTJOIN(" | ",TRUE,IF(SUMPRODUCT((BG62:CR62&lt;1)*(PARTIDAS!$I$2:$AT$2="OBRA GRUESA"))&gt;0,"OBRA GRUESA: "&amp;_xlfn.TEXTJOIN(", ",TRUE,IF((BG62:CR62&lt;1)*(PARTIDAS!$I$2:$AT$2="OBRA GRUESA"),PARTIDAS!$I$1:$AT$1,"")),""),IF(SUMPRODUCT((BG62:CR62&lt;1)*(PARTIDAS!$I$2:$AT$2="SANITARIOS"))&gt;0,"SANITARIOS: "&amp;_xlfn.TEXTJOIN(", ",TRUE,IF((BG62:CR62&lt;1)*(PARTIDAS!$I$2:$AT$2="SANITARIOS"),PARTIDAS!$I$1:$AT$1,"")),""),IF(SUMPRODUCT((BG62:CR62&lt;1)*(PARTIDAS!$I$2:$AT$2="ELÉCTRICO"))&gt;0,"ELÉCTRICO: "&amp;_xlfn.TEXTJOIN(", ",TRUE,IF((BG62:CR62&lt;1)*(PARTIDAS!$I$2:$AT$2="ELÉCTRICO"),PARTIDAS!$I$1:$AT$1,"")),""),IF(SUMPRODUCT((BG62:CR62&lt;1)*(PARTIDAS!$I$2:$AT$2="TERMINACIONES"))&gt;0,"TERMINACIONES: "&amp;_xlfn.TEXTJOIN(", ",TRUE,IF((BG62:CR62&lt;1)*(PARTIDAS!$I$2:$AT$2="TERMINACIONES"),PARTIDAS!$I$1:$AT$1,"")),""))</f>
        <v/>
      </c>
      <c r="CU62" s="43" t="str" cm="1">
        <f t="array" ref="CU62">_xlfn.TEXTJOIN(", ",TRUE,IF(SUMPRODUCT((BG62:CR62&lt;1)*(PARTIDAS!$I$2:$AT$2="OBRA GRUESA"))&gt;0,"OBRA GRUESA",""),IF(SUMPRODUCT((BG62:CR62&lt;1)*(PARTIDAS!$I$2:$AT$2="SANITARIOS"))&gt;0,"SANITARIOS",""),IF(SUMPRODUCT((BG62:CR62&lt;1)*(PARTIDAS!$I$2:$AT$2="ELÉCTRICO"))&gt;0,"ELÉCTRICO",""),IF(SUMPRODUCT((BG62:CR62&lt;1)*(PARTIDAS!$I$2:$AT$2="TERMINACIONES"))&gt;0,"TERMINACIONES",""))</f>
        <v/>
      </c>
      <c r="CV62" s="44" cm="1">
        <f t="array" ref="CV62">SUMPRODUCT(--(BG62:CR62&lt;1))</f>
        <v>0</v>
      </c>
    </row>
    <row r="63" spans="1:100" hidden="1" x14ac:dyDescent="0.25">
      <c r="A63" t="s">
        <v>91</v>
      </c>
      <c r="B63" t="s">
        <v>121</v>
      </c>
      <c r="C63">
        <v>2302600062</v>
      </c>
      <c r="D63" t="s">
        <v>60</v>
      </c>
      <c r="E63" s="2">
        <v>0.99999999999999978</v>
      </c>
      <c r="F63" s="1">
        <v>46148</v>
      </c>
      <c r="G63" s="1">
        <v>46149</v>
      </c>
      <c r="H63" s="1">
        <v>46205</v>
      </c>
      <c r="I63" s="1">
        <v>46188</v>
      </c>
      <c r="K63" s="1">
        <v>46205</v>
      </c>
      <c r="L63" s="3">
        <v>0.43</v>
      </c>
      <c r="M63" s="3">
        <v>1</v>
      </c>
      <c r="N63" s="3">
        <v>0.27906976744186046</v>
      </c>
      <c r="O63" s="3">
        <v>0.18604651162790697</v>
      </c>
      <c r="P63" s="3">
        <v>0.2558139534883721</v>
      </c>
      <c r="Q63" s="3">
        <v>0.18604651162790697</v>
      </c>
      <c r="R63" s="3">
        <v>9.3023255813953487E-2</v>
      </c>
      <c r="S63" s="3">
        <v>0.09</v>
      </c>
      <c r="T63" s="3">
        <v>1</v>
      </c>
      <c r="U63" s="3">
        <v>0.22222222222222221</v>
      </c>
      <c r="V63" s="3">
        <v>0.22222222222222221</v>
      </c>
      <c r="W63" s="3">
        <v>0.1111111111111111</v>
      </c>
      <c r="X63" s="3">
        <v>0.1111111111111111</v>
      </c>
      <c r="Y63" s="3">
        <v>0.1111111111111111</v>
      </c>
      <c r="Z63" s="3">
        <v>0.22222222222222221</v>
      </c>
      <c r="AA63" s="3">
        <v>0.11</v>
      </c>
      <c r="AB63" s="3">
        <v>1</v>
      </c>
      <c r="AC63" s="3">
        <v>0.27272727272727271</v>
      </c>
      <c r="AD63" s="3">
        <v>0.27272727272727271</v>
      </c>
      <c r="AE63" s="3">
        <v>9.0909090909090912E-2</v>
      </c>
      <c r="AF63" s="3">
        <v>0.18181818181818182</v>
      </c>
      <c r="AG63" s="3">
        <v>0.18181818181818182</v>
      </c>
      <c r="AH63" s="3">
        <v>0.36999999999999983</v>
      </c>
      <c r="AI63" s="3">
        <v>0.99999999999999956</v>
      </c>
      <c r="AJ63" s="3">
        <v>5.4054054054054036E-2</v>
      </c>
      <c r="AK63" s="3">
        <v>5.4054054054054036E-2</v>
      </c>
      <c r="AL63" s="3">
        <v>2.7027027027027018E-2</v>
      </c>
      <c r="AM63" s="3">
        <v>8.1081081081081058E-2</v>
      </c>
      <c r="AN63" s="3">
        <v>8.1081081081081058E-2</v>
      </c>
      <c r="AO63" s="3">
        <v>6.7567567567567557E-2</v>
      </c>
      <c r="AP63" s="3">
        <v>5.4054054054054036E-2</v>
      </c>
      <c r="AQ63" s="3">
        <v>1.3513513513513509E-2</v>
      </c>
      <c r="AR63" s="3">
        <v>4.0540540540540529E-2</v>
      </c>
      <c r="AS63" s="3">
        <v>1.3513513513513509E-2</v>
      </c>
      <c r="AT63" s="3">
        <v>8.1081081081081058E-2</v>
      </c>
      <c r="AU63" s="3">
        <v>5.4054054054054036E-2</v>
      </c>
      <c r="AV63" s="3">
        <v>2.7027027027027018E-2</v>
      </c>
      <c r="AW63" s="3">
        <v>5.4054054054054036E-2</v>
      </c>
      <c r="AX63" s="3">
        <v>5.4054054054054036E-2</v>
      </c>
      <c r="AY63" s="3">
        <v>2.7027027027027018E-2</v>
      </c>
      <c r="AZ63" s="3">
        <v>4.0540540540540529E-2</v>
      </c>
      <c r="BA63" s="3">
        <v>5.4054054054054036E-2</v>
      </c>
      <c r="BB63" s="3">
        <v>8.1081081081081058E-2</v>
      </c>
      <c r="BC63" s="3">
        <v>1.3513513513513509E-2</v>
      </c>
      <c r="BD63" s="3">
        <v>2.7027027027027018E-2</v>
      </c>
      <c r="BE63">
        <v>31.32</v>
      </c>
      <c r="BF63" s="3" t="str">
        <f>+IF(AVANCE[[#This Row],[% AVANCE]]=100%,"MODULO TERMINADO",IF(AVANCE[[#This Row],[FECHA INICIO REAL]]="","MODULO NO INICIADO","PENDIENTE"))</f>
        <v>MODULO TERMINADO</v>
      </c>
      <c r="BG63" s="3">
        <f>+IF(AVANCE[[#This Row],[VENTANAS]]=8.10810810810811%,100%,AVANCE[[#This Row],[VENTANAS]])</f>
        <v>1</v>
      </c>
      <c r="BH63" s="3">
        <f>+IF(AVANCE[[#This Row],[PISO]]=N$2,100%,AVANCE[[#This Row],[PISO]])</f>
        <v>1</v>
      </c>
      <c r="BI63" s="3">
        <f>+IF(AVANCE[[#This Row],[TABIQUES]]=O$2,100%,AVANCE[[#This Row],[TABIQUES]])</f>
        <v>1</v>
      </c>
      <c r="BJ63" s="3">
        <f>+IF(AVANCE[[#This Row],[MUROS]]=P$2,100%,AVANCE[[#This Row],[MUROS]])</f>
        <v>1</v>
      </c>
      <c r="BK63" s="3">
        <f>+IF(AVANCE[[#This Row],[CIELO]]=Q$2,100%,AVANCE[[#This Row],[CIELO]])</f>
        <v>1</v>
      </c>
      <c r="BL63" s="3">
        <f>+IF(AVANCE[[#This Row],[BALCÓN]]=R$2,100%,AVANCE[[#This Row],[BALCÓN]])</f>
        <v>1</v>
      </c>
      <c r="BM63" s="3">
        <f>+IF(AVANCE[[#This Row],[RED ALCANTARILLADO]]=U$2,100%,AVANCE[[#This Row],[RED ALCANTARILLADO]])</f>
        <v>1</v>
      </c>
      <c r="BN63" s="3">
        <f>+IF(AVANCE[[#This Row],[RED DE AGUA]]=V$2,100%,AVANCE[[#This Row],[RED DE AGUA]])</f>
        <v>1</v>
      </c>
      <c r="BO63" s="3">
        <f>+IF(AVANCE[[#This Row],[VENTILACIONES]]=W$2,100%,AVANCE[[#This Row],[VENTILACIONES]])</f>
        <v>1</v>
      </c>
      <c r="BP63" s="3">
        <f>+IF(AVANCE[[#This Row],[TINA]]=X$2,100%,AVANCE[[#This Row],[TINA]])</f>
        <v>1</v>
      </c>
      <c r="BQ63" s="3">
        <f>+IF(AVANCE[[#This Row],[WC]]=Y$2,100%,AVANCE[[#This Row],[WC]])</f>
        <v>1</v>
      </c>
      <c r="BR63" s="3">
        <f>+IF(AVANCE[[#This Row],[LAVAMANOS / LAVAPLATOS / LAVADERO]]=Z$2,100%,AVANCE[[#This Row],[LAVAMANOS / LAVAPLATOS / LAVADERO]])</f>
        <v>1</v>
      </c>
      <c r="BS63" s="3">
        <f>+IF(AVANCE[[#This Row],[CANALIZACIÓN]]=AC$2,100%,AVANCE[[#This Row],[CANALIZACIÓN]])</f>
        <v>1</v>
      </c>
      <c r="BT63" s="3">
        <f>+IF(AVANCE[[#This Row],[CABLEADO]]=AD$2,100%,AVANCE[[#This Row],[CABLEADO]])</f>
        <v>1</v>
      </c>
      <c r="BU63" s="3">
        <f>+IF(AVANCE[[#This Row],[ARTEFACTOS]]=AE$2,100%,AVANCE[[#This Row],[ARTEFACTOS]])</f>
        <v>1</v>
      </c>
      <c r="BV63" s="3">
        <f>+IF(AVANCE[[#This Row],[TABLERO]]=AF$2,100%,AVANCE[[#This Row],[TABLERO]])</f>
        <v>1</v>
      </c>
      <c r="BW63" s="3">
        <f>+IF(AVANCE[[#This Row],[CAJA PAU]]=AG$2,100%,AVANCE[[#This Row],[CAJA PAU]])</f>
        <v>1</v>
      </c>
      <c r="BX63" s="3">
        <f>+IF(AVANCE[[#This Row],[INSTALACION VINILICO]]=AJ$2,100%,AVANCE[[#This Row],[INSTALACION VINILICO]])</f>
        <v>1</v>
      </c>
      <c r="BY63" s="3">
        <f>+IF(AVANCE[[#This Row],[OSB CUBIERTA]]=AK$2,100%,AVANCE[[#This Row],[OSB CUBIERTA]])</f>
        <v>1</v>
      </c>
      <c r="BZ63" s="3">
        <f>+IF(AVANCE[[#This Row],[BARANDA BALCON]]=AL$2,100%,AVANCE[[#This Row],[BARANDA BALCON]])</f>
        <v>1</v>
      </c>
      <c r="CA63" s="3">
        <f>+IF(AVANCE[[#This Row],[OSB EXTERIOR]]=AM$2,100%,AVANCE[[#This Row],[OSB EXTERIOR]])</f>
        <v>1</v>
      </c>
      <c r="CB63" s="3">
        <f>+IF(AVANCE[[#This Row],[SMART PANEL]]=AN$2,100%,AVANCE[[#This Row],[SMART PANEL]])</f>
        <v>1</v>
      </c>
      <c r="CC63" s="3">
        <f>+IF(AVANCE[[#This Row],[PINTURA EXTERIOR]]=AO$2,100%,AVANCE[[#This Row],[PINTURA EXTERIOR]])</f>
        <v>1</v>
      </c>
      <c r="CD63" s="3">
        <f>+IF(AVANCE[[#This Row],[ZOCALOS LOGIA]]=AP$2,100%,AVANCE[[#This Row],[ZOCALOS LOGIA]])</f>
        <v>1</v>
      </c>
      <c r="CE63" s="3">
        <f>+IF(AVANCE[[#This Row],[MOLDURAS]]=AQ$2,100%,AVANCE[[#This Row],[MOLDURAS]])</f>
        <v>1</v>
      </c>
      <c r="CF63" s="3">
        <f>+IF(AVANCE[[#This Row],[PILASTREO]]=AR$2,100%,AVANCE[[#This Row],[PILASTREO]])</f>
        <v>1</v>
      </c>
      <c r="CG63" s="3">
        <f>+IF(AVANCE[[#This Row],[CELOSIAS]]=AS$2,100%,AVANCE[[#This Row],[CELOSIAS]])</f>
        <v>1</v>
      </c>
      <c r="CH63" s="3">
        <f>+IF(AVANCE[[#This Row],[VENTANAS]]=AT$2,100%,AVANCE[[#This Row],[VENTANAS]])</f>
        <v>1</v>
      </c>
      <c r="CI63" s="3">
        <f>+IF(AVANCE[[#This Row],[PUERTAS ACCESO - LOGIA - BANO]]=AU$2,100%,AVANCE[[#This Row],[PUERTAS ACCESO - LOGIA - BANO]])</f>
        <v>1</v>
      </c>
      <c r="CJ63" s="3">
        <f>+IF(AVANCE[[#This Row],[CERRADURAS]]=AV$2,100%,AVANCE[[#This Row],[CERRADURAS]])</f>
        <v>1</v>
      </c>
      <c r="CK63" s="3">
        <f>+IF(AVANCE[[#This Row],[REVESTIMIENTO INTERIOR ZONA SECA]]=AW$2,100%,AVANCE[[#This Row],[REVESTIMIENTO INTERIOR ZONA SECA]])</f>
        <v>1</v>
      </c>
      <c r="CL63" s="3">
        <f>+IF(AVANCE[[#This Row],[REVESTIMIENTO INTERIOR ZONAS HUMEDAS]]=AX$2,100%,AVANCE[[#This Row],[REVESTIMIENTO INTERIOR ZONAS HUMEDAS]])</f>
        <v>1</v>
      </c>
      <c r="CM63" s="3">
        <f>+IF(AVANCE[[#This Row],[MEMBRANA CIELO]]=AY$2,100%,AVANCE[[#This Row],[MEMBRANA CIELO]])</f>
        <v>1</v>
      </c>
      <c r="CN63" s="3">
        <f>+IF(AVANCE[[#This Row],[LIMPIEZA FINAL]]=AZ$2,100%,AVANCE[[#This Row],[LIMPIEZA FINAL]])</f>
        <v>1</v>
      </c>
      <c r="CO63" s="3">
        <f>+IF(AVANCE[[#This Row],[PUERTAS DORMITORIO]]=BA$2,100%,AVANCE[[#This Row],[PUERTAS DORMITORIO]])</f>
        <v>1</v>
      </c>
      <c r="CP63" s="3">
        <f>+IF(AVANCE[[#This Row],[REVESTIMIENTO INTERIOR BANO]]=BB$2,100%,AVANCE[[#This Row],[REVESTIMIENTO INTERIOR BANO]])</f>
        <v>1</v>
      </c>
      <c r="CQ63" s="3">
        <f>+IF(AVANCE[[#This Row],[MUEBLE LAVAPLATOS]]=BC$2,100%,AVANCE[[#This Row],[MUEBLE LAVAPLATOS]])</f>
        <v>1</v>
      </c>
      <c r="CR63" s="3">
        <f>+IF(AVANCE[[#This Row],[IMPERMEABILIZACION BANO - COCINA LOGIA]]=BD$2,100%,AVANCE[[#This Row],[IMPERMEABILIZACION BANO - COCINA LOGIA]])</f>
        <v>1</v>
      </c>
      <c r="CS63" s="40">
        <f ca="1">+IF(AVANCE[[#This Row],[ESTADO MODULO]]="PENDIENTE",(TODAY()-AVANCE[[#This Row],[FECHA TERMINO  PLANIFICADO]]),0)</f>
        <v>0</v>
      </c>
      <c r="CT63" s="41" t="str" cm="1">
        <f t="array" ref="CT63">_xlfn.TEXTJOIN(" | ",TRUE,IF(SUMPRODUCT((BG63:CR63&lt;1)*(PARTIDAS!$I$2:$AT$2="OBRA GRUESA"))&gt;0,"OBRA GRUESA: "&amp;_xlfn.TEXTJOIN(", ",TRUE,IF((BG63:CR63&lt;1)*(PARTIDAS!$I$2:$AT$2="OBRA GRUESA"),PARTIDAS!$I$1:$AT$1,"")),""),IF(SUMPRODUCT((BG63:CR63&lt;1)*(PARTIDAS!$I$2:$AT$2="SANITARIOS"))&gt;0,"SANITARIOS: "&amp;_xlfn.TEXTJOIN(", ",TRUE,IF((BG63:CR63&lt;1)*(PARTIDAS!$I$2:$AT$2="SANITARIOS"),PARTIDAS!$I$1:$AT$1,"")),""),IF(SUMPRODUCT((BG63:CR63&lt;1)*(PARTIDAS!$I$2:$AT$2="ELÉCTRICO"))&gt;0,"ELÉCTRICO: "&amp;_xlfn.TEXTJOIN(", ",TRUE,IF((BG63:CR63&lt;1)*(PARTIDAS!$I$2:$AT$2="ELÉCTRICO"),PARTIDAS!$I$1:$AT$1,"")),""),IF(SUMPRODUCT((BG63:CR63&lt;1)*(PARTIDAS!$I$2:$AT$2="TERMINACIONES"))&gt;0,"TERMINACIONES: "&amp;_xlfn.TEXTJOIN(", ",TRUE,IF((BG63:CR63&lt;1)*(PARTIDAS!$I$2:$AT$2="TERMINACIONES"),PARTIDAS!$I$1:$AT$1,"")),""))</f>
        <v/>
      </c>
      <c r="CU63" s="43" t="str" cm="1">
        <f t="array" ref="CU63">_xlfn.TEXTJOIN(", ",TRUE,IF(SUMPRODUCT((BG63:CR63&lt;1)*(PARTIDAS!$I$2:$AT$2="OBRA GRUESA"))&gt;0,"OBRA GRUESA",""),IF(SUMPRODUCT((BG63:CR63&lt;1)*(PARTIDAS!$I$2:$AT$2="SANITARIOS"))&gt;0,"SANITARIOS",""),IF(SUMPRODUCT((BG63:CR63&lt;1)*(PARTIDAS!$I$2:$AT$2="ELÉCTRICO"))&gt;0,"ELÉCTRICO",""),IF(SUMPRODUCT((BG63:CR63&lt;1)*(PARTIDAS!$I$2:$AT$2="TERMINACIONES"))&gt;0,"TERMINACIONES",""))</f>
        <v/>
      </c>
      <c r="CV63" s="44" cm="1">
        <f t="array" ref="CV63">SUMPRODUCT(--(BG63:CR63&lt;1))</f>
        <v>0</v>
      </c>
    </row>
    <row r="64" spans="1:100" hidden="1" x14ac:dyDescent="0.25">
      <c r="A64" t="s">
        <v>91</v>
      </c>
      <c r="B64" t="s">
        <v>122</v>
      </c>
      <c r="C64">
        <v>2302600063</v>
      </c>
      <c r="D64" t="s">
        <v>60</v>
      </c>
      <c r="E64" s="2">
        <v>0.99999999999999978</v>
      </c>
      <c r="F64" s="1">
        <v>46149</v>
      </c>
      <c r="G64" s="1">
        <v>46147</v>
      </c>
      <c r="H64" s="1">
        <v>46206</v>
      </c>
      <c r="I64" s="1">
        <v>46189</v>
      </c>
      <c r="K64" s="1">
        <v>46206</v>
      </c>
      <c r="L64" s="3">
        <v>0.43</v>
      </c>
      <c r="M64" s="3">
        <v>1</v>
      </c>
      <c r="N64" s="3">
        <v>0.27906976744186046</v>
      </c>
      <c r="O64" s="3">
        <v>0.18604651162790697</v>
      </c>
      <c r="P64" s="3">
        <v>0.2558139534883721</v>
      </c>
      <c r="Q64" s="3">
        <v>0.18604651162790697</v>
      </c>
      <c r="R64" s="3">
        <v>9.3023255813953487E-2</v>
      </c>
      <c r="S64" s="3">
        <v>0.09</v>
      </c>
      <c r="T64" s="3">
        <v>1</v>
      </c>
      <c r="U64" s="3">
        <v>0.22222222222222221</v>
      </c>
      <c r="V64" s="3">
        <v>0.22222222222222221</v>
      </c>
      <c r="W64" s="3">
        <v>0.1111111111111111</v>
      </c>
      <c r="X64" s="3">
        <v>0.1111111111111111</v>
      </c>
      <c r="Y64" s="3">
        <v>0.1111111111111111</v>
      </c>
      <c r="Z64" s="3">
        <v>0.22222222222222221</v>
      </c>
      <c r="AA64" s="3">
        <v>0.11</v>
      </c>
      <c r="AB64" s="3">
        <v>1</v>
      </c>
      <c r="AC64" s="3">
        <v>0.27272727272727271</v>
      </c>
      <c r="AD64" s="3">
        <v>0.27272727272727271</v>
      </c>
      <c r="AE64" s="3">
        <v>9.0909090909090912E-2</v>
      </c>
      <c r="AF64" s="3">
        <v>0.18181818181818182</v>
      </c>
      <c r="AG64" s="3">
        <v>0.18181818181818182</v>
      </c>
      <c r="AH64" s="3">
        <v>0.36999999999999983</v>
      </c>
      <c r="AI64" s="3">
        <v>0.99999999999999956</v>
      </c>
      <c r="AJ64" s="3">
        <v>5.4054054054054036E-2</v>
      </c>
      <c r="AK64" s="3">
        <v>5.4054054054054036E-2</v>
      </c>
      <c r="AL64" s="3">
        <v>2.7027027027027018E-2</v>
      </c>
      <c r="AM64" s="3">
        <v>8.1081081081081058E-2</v>
      </c>
      <c r="AN64" s="3">
        <v>8.1081081081081058E-2</v>
      </c>
      <c r="AO64" s="3">
        <v>6.7567567567567557E-2</v>
      </c>
      <c r="AP64" s="3">
        <v>5.4054054054054036E-2</v>
      </c>
      <c r="AQ64" s="3">
        <v>1.3513513513513509E-2</v>
      </c>
      <c r="AR64" s="3">
        <v>4.0540540540540529E-2</v>
      </c>
      <c r="AS64" s="3">
        <v>1.3513513513513509E-2</v>
      </c>
      <c r="AT64" s="3">
        <v>8.1081081081081058E-2</v>
      </c>
      <c r="AU64" s="3">
        <v>5.4054054054054036E-2</v>
      </c>
      <c r="AV64" s="3">
        <v>2.7027027027027018E-2</v>
      </c>
      <c r="AW64" s="3">
        <v>5.4054054054054036E-2</v>
      </c>
      <c r="AX64" s="3">
        <v>5.4054054054054036E-2</v>
      </c>
      <c r="AY64" s="3">
        <v>2.7027027027027018E-2</v>
      </c>
      <c r="AZ64" s="3">
        <v>4.0540540540540529E-2</v>
      </c>
      <c r="BA64" s="3">
        <v>5.4054054054054036E-2</v>
      </c>
      <c r="BB64" s="3">
        <v>8.1081081081081058E-2</v>
      </c>
      <c r="BC64" s="3">
        <v>1.3513513513513509E-2</v>
      </c>
      <c r="BD64" s="3">
        <v>2.7027027027027018E-2</v>
      </c>
      <c r="BE64">
        <v>31.32</v>
      </c>
      <c r="BF64" s="3" t="str">
        <f>+IF(AVANCE[[#This Row],[% AVANCE]]=100%,"MODULO TERMINADO",IF(AVANCE[[#This Row],[FECHA INICIO REAL]]="","MODULO NO INICIADO","PENDIENTE"))</f>
        <v>MODULO TERMINADO</v>
      </c>
      <c r="BG64" s="3">
        <f>+IF(AVANCE[[#This Row],[VENTANAS]]=8.10810810810811%,100%,AVANCE[[#This Row],[VENTANAS]])</f>
        <v>1</v>
      </c>
      <c r="BH64" s="3">
        <f>+IF(AVANCE[[#This Row],[PISO]]=N$2,100%,AVANCE[[#This Row],[PISO]])</f>
        <v>1</v>
      </c>
      <c r="BI64" s="3">
        <f>+IF(AVANCE[[#This Row],[TABIQUES]]=O$2,100%,AVANCE[[#This Row],[TABIQUES]])</f>
        <v>1</v>
      </c>
      <c r="BJ64" s="3">
        <f>+IF(AVANCE[[#This Row],[MUROS]]=P$2,100%,AVANCE[[#This Row],[MUROS]])</f>
        <v>1</v>
      </c>
      <c r="BK64" s="3">
        <f>+IF(AVANCE[[#This Row],[CIELO]]=Q$2,100%,AVANCE[[#This Row],[CIELO]])</f>
        <v>1</v>
      </c>
      <c r="BL64" s="3">
        <f>+IF(AVANCE[[#This Row],[BALCÓN]]=R$2,100%,AVANCE[[#This Row],[BALCÓN]])</f>
        <v>1</v>
      </c>
      <c r="BM64" s="3">
        <f>+IF(AVANCE[[#This Row],[RED ALCANTARILLADO]]=U$2,100%,AVANCE[[#This Row],[RED ALCANTARILLADO]])</f>
        <v>1</v>
      </c>
      <c r="BN64" s="3">
        <f>+IF(AVANCE[[#This Row],[RED DE AGUA]]=V$2,100%,AVANCE[[#This Row],[RED DE AGUA]])</f>
        <v>1</v>
      </c>
      <c r="BO64" s="3">
        <f>+IF(AVANCE[[#This Row],[VENTILACIONES]]=W$2,100%,AVANCE[[#This Row],[VENTILACIONES]])</f>
        <v>1</v>
      </c>
      <c r="BP64" s="3">
        <f>+IF(AVANCE[[#This Row],[TINA]]=X$2,100%,AVANCE[[#This Row],[TINA]])</f>
        <v>1</v>
      </c>
      <c r="BQ64" s="3">
        <f>+IF(AVANCE[[#This Row],[WC]]=Y$2,100%,AVANCE[[#This Row],[WC]])</f>
        <v>1</v>
      </c>
      <c r="BR64" s="3">
        <f>+IF(AVANCE[[#This Row],[LAVAMANOS / LAVAPLATOS / LAVADERO]]=Z$2,100%,AVANCE[[#This Row],[LAVAMANOS / LAVAPLATOS / LAVADERO]])</f>
        <v>1</v>
      </c>
      <c r="BS64" s="3">
        <f>+IF(AVANCE[[#This Row],[CANALIZACIÓN]]=AC$2,100%,AVANCE[[#This Row],[CANALIZACIÓN]])</f>
        <v>1</v>
      </c>
      <c r="BT64" s="3">
        <f>+IF(AVANCE[[#This Row],[CABLEADO]]=AD$2,100%,AVANCE[[#This Row],[CABLEADO]])</f>
        <v>1</v>
      </c>
      <c r="BU64" s="3">
        <f>+IF(AVANCE[[#This Row],[ARTEFACTOS]]=AE$2,100%,AVANCE[[#This Row],[ARTEFACTOS]])</f>
        <v>1</v>
      </c>
      <c r="BV64" s="3">
        <f>+IF(AVANCE[[#This Row],[TABLERO]]=AF$2,100%,AVANCE[[#This Row],[TABLERO]])</f>
        <v>1</v>
      </c>
      <c r="BW64" s="3">
        <f>+IF(AVANCE[[#This Row],[CAJA PAU]]=AG$2,100%,AVANCE[[#This Row],[CAJA PAU]])</f>
        <v>1</v>
      </c>
      <c r="BX64" s="3">
        <f>+IF(AVANCE[[#This Row],[INSTALACION VINILICO]]=AJ$2,100%,AVANCE[[#This Row],[INSTALACION VINILICO]])</f>
        <v>1</v>
      </c>
      <c r="BY64" s="3">
        <f>+IF(AVANCE[[#This Row],[OSB CUBIERTA]]=AK$2,100%,AVANCE[[#This Row],[OSB CUBIERTA]])</f>
        <v>1</v>
      </c>
      <c r="BZ64" s="3">
        <f>+IF(AVANCE[[#This Row],[BARANDA BALCON]]=AL$2,100%,AVANCE[[#This Row],[BARANDA BALCON]])</f>
        <v>1</v>
      </c>
      <c r="CA64" s="3">
        <f>+IF(AVANCE[[#This Row],[OSB EXTERIOR]]=AM$2,100%,AVANCE[[#This Row],[OSB EXTERIOR]])</f>
        <v>1</v>
      </c>
      <c r="CB64" s="3">
        <f>+IF(AVANCE[[#This Row],[SMART PANEL]]=AN$2,100%,AVANCE[[#This Row],[SMART PANEL]])</f>
        <v>1</v>
      </c>
      <c r="CC64" s="3">
        <f>+IF(AVANCE[[#This Row],[PINTURA EXTERIOR]]=AO$2,100%,AVANCE[[#This Row],[PINTURA EXTERIOR]])</f>
        <v>1</v>
      </c>
      <c r="CD64" s="3">
        <f>+IF(AVANCE[[#This Row],[ZOCALOS LOGIA]]=AP$2,100%,AVANCE[[#This Row],[ZOCALOS LOGIA]])</f>
        <v>1</v>
      </c>
      <c r="CE64" s="3">
        <f>+IF(AVANCE[[#This Row],[MOLDURAS]]=AQ$2,100%,AVANCE[[#This Row],[MOLDURAS]])</f>
        <v>1</v>
      </c>
      <c r="CF64" s="3">
        <f>+IF(AVANCE[[#This Row],[PILASTREO]]=AR$2,100%,AVANCE[[#This Row],[PILASTREO]])</f>
        <v>1</v>
      </c>
      <c r="CG64" s="3">
        <f>+IF(AVANCE[[#This Row],[CELOSIAS]]=AS$2,100%,AVANCE[[#This Row],[CELOSIAS]])</f>
        <v>1</v>
      </c>
      <c r="CH64" s="3">
        <f>+IF(AVANCE[[#This Row],[VENTANAS]]=AT$2,100%,AVANCE[[#This Row],[VENTANAS]])</f>
        <v>1</v>
      </c>
      <c r="CI64" s="3">
        <f>+IF(AVANCE[[#This Row],[PUERTAS ACCESO - LOGIA - BANO]]=AU$2,100%,AVANCE[[#This Row],[PUERTAS ACCESO - LOGIA - BANO]])</f>
        <v>1</v>
      </c>
      <c r="CJ64" s="3">
        <f>+IF(AVANCE[[#This Row],[CERRADURAS]]=AV$2,100%,AVANCE[[#This Row],[CERRADURAS]])</f>
        <v>1</v>
      </c>
      <c r="CK64" s="3">
        <f>+IF(AVANCE[[#This Row],[REVESTIMIENTO INTERIOR ZONA SECA]]=AW$2,100%,AVANCE[[#This Row],[REVESTIMIENTO INTERIOR ZONA SECA]])</f>
        <v>1</v>
      </c>
      <c r="CL64" s="3">
        <f>+IF(AVANCE[[#This Row],[REVESTIMIENTO INTERIOR ZONAS HUMEDAS]]=AX$2,100%,AVANCE[[#This Row],[REVESTIMIENTO INTERIOR ZONAS HUMEDAS]])</f>
        <v>1</v>
      </c>
      <c r="CM64" s="3">
        <f>+IF(AVANCE[[#This Row],[MEMBRANA CIELO]]=AY$2,100%,AVANCE[[#This Row],[MEMBRANA CIELO]])</f>
        <v>1</v>
      </c>
      <c r="CN64" s="3">
        <f>+IF(AVANCE[[#This Row],[LIMPIEZA FINAL]]=AZ$2,100%,AVANCE[[#This Row],[LIMPIEZA FINAL]])</f>
        <v>1</v>
      </c>
      <c r="CO64" s="3">
        <f>+IF(AVANCE[[#This Row],[PUERTAS DORMITORIO]]=BA$2,100%,AVANCE[[#This Row],[PUERTAS DORMITORIO]])</f>
        <v>1</v>
      </c>
      <c r="CP64" s="3">
        <f>+IF(AVANCE[[#This Row],[REVESTIMIENTO INTERIOR BANO]]=BB$2,100%,AVANCE[[#This Row],[REVESTIMIENTO INTERIOR BANO]])</f>
        <v>1</v>
      </c>
      <c r="CQ64" s="3">
        <f>+IF(AVANCE[[#This Row],[MUEBLE LAVAPLATOS]]=BC$2,100%,AVANCE[[#This Row],[MUEBLE LAVAPLATOS]])</f>
        <v>1</v>
      </c>
      <c r="CR64" s="3">
        <f>+IF(AVANCE[[#This Row],[IMPERMEABILIZACION BANO - COCINA LOGIA]]=BD$2,100%,AVANCE[[#This Row],[IMPERMEABILIZACION BANO - COCINA LOGIA]])</f>
        <v>1</v>
      </c>
      <c r="CS64" s="40">
        <f ca="1">+IF(AVANCE[[#This Row],[ESTADO MODULO]]="PENDIENTE",(TODAY()-AVANCE[[#This Row],[FECHA TERMINO  PLANIFICADO]]),0)</f>
        <v>0</v>
      </c>
      <c r="CT64" s="41" t="str" cm="1">
        <f t="array" ref="CT64">_xlfn.TEXTJOIN(" | ",TRUE,IF(SUMPRODUCT((BG64:CR64&lt;1)*(PARTIDAS!$I$2:$AT$2="OBRA GRUESA"))&gt;0,"OBRA GRUESA: "&amp;_xlfn.TEXTJOIN(", ",TRUE,IF((BG64:CR64&lt;1)*(PARTIDAS!$I$2:$AT$2="OBRA GRUESA"),PARTIDAS!$I$1:$AT$1,"")),""),IF(SUMPRODUCT((BG64:CR64&lt;1)*(PARTIDAS!$I$2:$AT$2="SANITARIOS"))&gt;0,"SANITARIOS: "&amp;_xlfn.TEXTJOIN(", ",TRUE,IF((BG64:CR64&lt;1)*(PARTIDAS!$I$2:$AT$2="SANITARIOS"),PARTIDAS!$I$1:$AT$1,"")),""),IF(SUMPRODUCT((BG64:CR64&lt;1)*(PARTIDAS!$I$2:$AT$2="ELÉCTRICO"))&gt;0,"ELÉCTRICO: "&amp;_xlfn.TEXTJOIN(", ",TRUE,IF((BG64:CR64&lt;1)*(PARTIDAS!$I$2:$AT$2="ELÉCTRICO"),PARTIDAS!$I$1:$AT$1,"")),""),IF(SUMPRODUCT((BG64:CR64&lt;1)*(PARTIDAS!$I$2:$AT$2="TERMINACIONES"))&gt;0,"TERMINACIONES: "&amp;_xlfn.TEXTJOIN(", ",TRUE,IF((BG64:CR64&lt;1)*(PARTIDAS!$I$2:$AT$2="TERMINACIONES"),PARTIDAS!$I$1:$AT$1,"")),""))</f>
        <v/>
      </c>
      <c r="CU64" s="43" t="str" cm="1">
        <f t="array" ref="CU64">_xlfn.TEXTJOIN(", ",TRUE,IF(SUMPRODUCT((BG64:CR64&lt;1)*(PARTIDAS!$I$2:$AT$2="OBRA GRUESA"))&gt;0,"OBRA GRUESA",""),IF(SUMPRODUCT((BG64:CR64&lt;1)*(PARTIDAS!$I$2:$AT$2="SANITARIOS"))&gt;0,"SANITARIOS",""),IF(SUMPRODUCT((BG64:CR64&lt;1)*(PARTIDAS!$I$2:$AT$2="ELÉCTRICO"))&gt;0,"ELÉCTRICO",""),IF(SUMPRODUCT((BG64:CR64&lt;1)*(PARTIDAS!$I$2:$AT$2="TERMINACIONES"))&gt;0,"TERMINACIONES",""))</f>
        <v/>
      </c>
      <c r="CV64" s="44" cm="1">
        <f t="array" ref="CV64">SUMPRODUCT(--(BG64:CR64&lt;1))</f>
        <v>0</v>
      </c>
    </row>
    <row r="65" spans="1:100" hidden="1" x14ac:dyDescent="0.25">
      <c r="A65" t="s">
        <v>91</v>
      </c>
      <c r="B65" t="s">
        <v>123</v>
      </c>
      <c r="C65">
        <v>2282600064</v>
      </c>
      <c r="D65" t="s">
        <v>58</v>
      </c>
      <c r="E65" s="2">
        <v>0.99999999999999978</v>
      </c>
      <c r="F65" s="1">
        <v>46149</v>
      </c>
      <c r="G65" s="1">
        <v>46149</v>
      </c>
      <c r="H65" s="1">
        <v>46205</v>
      </c>
      <c r="I65" s="1">
        <v>46178</v>
      </c>
      <c r="K65" s="1">
        <v>46205</v>
      </c>
      <c r="L65" s="3">
        <v>0.43</v>
      </c>
      <c r="M65" s="3">
        <v>1</v>
      </c>
      <c r="N65" s="3">
        <v>0.27906976744186046</v>
      </c>
      <c r="O65" s="3">
        <v>0.18604651162790697</v>
      </c>
      <c r="P65" s="3">
        <v>0.2558139534883721</v>
      </c>
      <c r="Q65" s="3">
        <v>0.18604651162790697</v>
      </c>
      <c r="R65" s="3">
        <v>9.3023255813953487E-2</v>
      </c>
      <c r="S65" s="3">
        <v>0.09</v>
      </c>
      <c r="T65" s="3">
        <v>1</v>
      </c>
      <c r="U65" s="3">
        <v>0.22222222222222221</v>
      </c>
      <c r="V65" s="3">
        <v>0.22222222222222221</v>
      </c>
      <c r="W65" s="3">
        <v>0.1111111111111111</v>
      </c>
      <c r="X65" s="3">
        <v>0.1111111111111111</v>
      </c>
      <c r="Y65" s="3">
        <v>0.1111111111111111</v>
      </c>
      <c r="Z65" s="3">
        <v>0.22222222222222221</v>
      </c>
      <c r="AA65" s="3">
        <v>0.11</v>
      </c>
      <c r="AB65" s="3">
        <v>1</v>
      </c>
      <c r="AC65" s="3">
        <v>0.27272727272727271</v>
      </c>
      <c r="AD65" s="3">
        <v>0.27272727272727271</v>
      </c>
      <c r="AE65" s="3">
        <v>9.0909090909090912E-2</v>
      </c>
      <c r="AF65" s="3">
        <v>0.18181818181818182</v>
      </c>
      <c r="AG65" s="3">
        <v>0.18181818181818182</v>
      </c>
      <c r="AH65" s="3">
        <v>0.36999999999999983</v>
      </c>
      <c r="AI65" s="3">
        <v>0.99999999999999956</v>
      </c>
      <c r="AJ65" s="3">
        <v>5.4054054054054036E-2</v>
      </c>
      <c r="AK65" s="3">
        <v>5.4054054054054036E-2</v>
      </c>
      <c r="AL65" s="3">
        <v>2.7027027027027018E-2</v>
      </c>
      <c r="AM65" s="3">
        <v>8.1081081081081058E-2</v>
      </c>
      <c r="AN65" s="3">
        <v>8.1081081081081058E-2</v>
      </c>
      <c r="AO65" s="3">
        <v>6.7567567567567557E-2</v>
      </c>
      <c r="AP65" s="3">
        <v>5.4054054054054036E-2</v>
      </c>
      <c r="AQ65" s="3">
        <v>1.3513513513513509E-2</v>
      </c>
      <c r="AR65" s="3">
        <v>4.0540540540540529E-2</v>
      </c>
      <c r="AS65" s="3">
        <v>1.3513513513513509E-2</v>
      </c>
      <c r="AT65" s="3">
        <v>8.1081081081081058E-2</v>
      </c>
      <c r="AU65" s="3">
        <v>5.4054054054054036E-2</v>
      </c>
      <c r="AV65" s="3">
        <v>2.7027027027027018E-2</v>
      </c>
      <c r="AW65" s="3">
        <v>5.4054054054054036E-2</v>
      </c>
      <c r="AX65" s="3">
        <v>5.4054054054054036E-2</v>
      </c>
      <c r="AY65" s="3">
        <v>2.7027027027027018E-2</v>
      </c>
      <c r="AZ65" s="3">
        <v>4.0540540540540529E-2</v>
      </c>
      <c r="BA65" s="3">
        <v>5.4054054054054036E-2</v>
      </c>
      <c r="BB65" s="3">
        <v>8.1081081081081058E-2</v>
      </c>
      <c r="BC65" s="3">
        <v>1.3513513513513509E-2</v>
      </c>
      <c r="BD65" s="3">
        <v>2.7027027027027018E-2</v>
      </c>
      <c r="BE65">
        <v>28.87</v>
      </c>
      <c r="BF65" s="3" t="str">
        <f>+IF(AVANCE[[#This Row],[% AVANCE]]=100%,"MODULO TERMINADO",IF(AVANCE[[#This Row],[FECHA INICIO REAL]]="","MODULO NO INICIADO","PENDIENTE"))</f>
        <v>MODULO TERMINADO</v>
      </c>
      <c r="BG65" s="3">
        <f>+IF(AVANCE[[#This Row],[VENTANAS]]=8.10810810810811%,100%,AVANCE[[#This Row],[VENTANAS]])</f>
        <v>1</v>
      </c>
      <c r="BH65" s="3">
        <f>+IF(AVANCE[[#This Row],[PISO]]=N$2,100%,AVANCE[[#This Row],[PISO]])</f>
        <v>1</v>
      </c>
      <c r="BI65" s="3">
        <f>+IF(AVANCE[[#This Row],[TABIQUES]]=O$2,100%,AVANCE[[#This Row],[TABIQUES]])</f>
        <v>1</v>
      </c>
      <c r="BJ65" s="3">
        <f>+IF(AVANCE[[#This Row],[MUROS]]=P$2,100%,AVANCE[[#This Row],[MUROS]])</f>
        <v>1</v>
      </c>
      <c r="BK65" s="3">
        <f>+IF(AVANCE[[#This Row],[CIELO]]=Q$2,100%,AVANCE[[#This Row],[CIELO]])</f>
        <v>1</v>
      </c>
      <c r="BL65" s="3">
        <f>+IF(AVANCE[[#This Row],[BALCÓN]]=R$2,100%,AVANCE[[#This Row],[BALCÓN]])</f>
        <v>1</v>
      </c>
      <c r="BM65" s="3">
        <f>+IF(AVANCE[[#This Row],[RED ALCANTARILLADO]]=U$2,100%,AVANCE[[#This Row],[RED ALCANTARILLADO]])</f>
        <v>1</v>
      </c>
      <c r="BN65" s="3">
        <f>+IF(AVANCE[[#This Row],[RED DE AGUA]]=V$2,100%,AVANCE[[#This Row],[RED DE AGUA]])</f>
        <v>1</v>
      </c>
      <c r="BO65" s="3">
        <f>+IF(AVANCE[[#This Row],[VENTILACIONES]]=W$2,100%,AVANCE[[#This Row],[VENTILACIONES]])</f>
        <v>1</v>
      </c>
      <c r="BP65" s="3">
        <f>+IF(AVANCE[[#This Row],[TINA]]=X$2,100%,AVANCE[[#This Row],[TINA]])</f>
        <v>1</v>
      </c>
      <c r="BQ65" s="3">
        <f>+IF(AVANCE[[#This Row],[WC]]=Y$2,100%,AVANCE[[#This Row],[WC]])</f>
        <v>1</v>
      </c>
      <c r="BR65" s="3">
        <f>+IF(AVANCE[[#This Row],[LAVAMANOS / LAVAPLATOS / LAVADERO]]=Z$2,100%,AVANCE[[#This Row],[LAVAMANOS / LAVAPLATOS / LAVADERO]])</f>
        <v>1</v>
      </c>
      <c r="BS65" s="3">
        <f>+IF(AVANCE[[#This Row],[CANALIZACIÓN]]=AC$2,100%,AVANCE[[#This Row],[CANALIZACIÓN]])</f>
        <v>1</v>
      </c>
      <c r="BT65" s="3">
        <f>+IF(AVANCE[[#This Row],[CABLEADO]]=AD$2,100%,AVANCE[[#This Row],[CABLEADO]])</f>
        <v>1</v>
      </c>
      <c r="BU65" s="3">
        <f>+IF(AVANCE[[#This Row],[ARTEFACTOS]]=AE$2,100%,AVANCE[[#This Row],[ARTEFACTOS]])</f>
        <v>1</v>
      </c>
      <c r="BV65" s="3">
        <f>+IF(AVANCE[[#This Row],[TABLERO]]=AF$2,100%,AVANCE[[#This Row],[TABLERO]])</f>
        <v>1</v>
      </c>
      <c r="BW65" s="3">
        <f>+IF(AVANCE[[#This Row],[CAJA PAU]]=AG$2,100%,AVANCE[[#This Row],[CAJA PAU]])</f>
        <v>1</v>
      </c>
      <c r="BX65" s="3">
        <f>+IF(AVANCE[[#This Row],[INSTALACION VINILICO]]=AJ$2,100%,AVANCE[[#This Row],[INSTALACION VINILICO]])</f>
        <v>1</v>
      </c>
      <c r="BY65" s="3">
        <f>+IF(AVANCE[[#This Row],[OSB CUBIERTA]]=AK$2,100%,AVANCE[[#This Row],[OSB CUBIERTA]])</f>
        <v>1</v>
      </c>
      <c r="BZ65" s="3">
        <f>+IF(AVANCE[[#This Row],[BARANDA BALCON]]=AL$2,100%,AVANCE[[#This Row],[BARANDA BALCON]])</f>
        <v>1</v>
      </c>
      <c r="CA65" s="3">
        <f>+IF(AVANCE[[#This Row],[OSB EXTERIOR]]=AM$2,100%,AVANCE[[#This Row],[OSB EXTERIOR]])</f>
        <v>1</v>
      </c>
      <c r="CB65" s="3">
        <f>+IF(AVANCE[[#This Row],[SMART PANEL]]=AN$2,100%,AVANCE[[#This Row],[SMART PANEL]])</f>
        <v>1</v>
      </c>
      <c r="CC65" s="3">
        <f>+IF(AVANCE[[#This Row],[PINTURA EXTERIOR]]=AO$2,100%,AVANCE[[#This Row],[PINTURA EXTERIOR]])</f>
        <v>1</v>
      </c>
      <c r="CD65" s="3">
        <f>+IF(AVANCE[[#This Row],[ZOCALOS LOGIA]]=AP$2,100%,AVANCE[[#This Row],[ZOCALOS LOGIA]])</f>
        <v>1</v>
      </c>
      <c r="CE65" s="3">
        <f>+IF(AVANCE[[#This Row],[MOLDURAS]]=AQ$2,100%,AVANCE[[#This Row],[MOLDURAS]])</f>
        <v>1</v>
      </c>
      <c r="CF65" s="3">
        <f>+IF(AVANCE[[#This Row],[PILASTREO]]=AR$2,100%,AVANCE[[#This Row],[PILASTREO]])</f>
        <v>1</v>
      </c>
      <c r="CG65" s="3">
        <f>+IF(AVANCE[[#This Row],[CELOSIAS]]=AS$2,100%,AVANCE[[#This Row],[CELOSIAS]])</f>
        <v>1</v>
      </c>
      <c r="CH65" s="3">
        <f>+IF(AVANCE[[#This Row],[VENTANAS]]=AT$2,100%,AVANCE[[#This Row],[VENTANAS]])</f>
        <v>1</v>
      </c>
      <c r="CI65" s="3">
        <f>+IF(AVANCE[[#This Row],[PUERTAS ACCESO - LOGIA - BANO]]=AU$2,100%,AVANCE[[#This Row],[PUERTAS ACCESO - LOGIA - BANO]])</f>
        <v>1</v>
      </c>
      <c r="CJ65" s="3">
        <f>+IF(AVANCE[[#This Row],[CERRADURAS]]=AV$2,100%,AVANCE[[#This Row],[CERRADURAS]])</f>
        <v>1</v>
      </c>
      <c r="CK65" s="3">
        <f>+IF(AVANCE[[#This Row],[REVESTIMIENTO INTERIOR ZONA SECA]]=AW$2,100%,AVANCE[[#This Row],[REVESTIMIENTO INTERIOR ZONA SECA]])</f>
        <v>1</v>
      </c>
      <c r="CL65" s="3">
        <f>+IF(AVANCE[[#This Row],[REVESTIMIENTO INTERIOR ZONAS HUMEDAS]]=AX$2,100%,AVANCE[[#This Row],[REVESTIMIENTO INTERIOR ZONAS HUMEDAS]])</f>
        <v>1</v>
      </c>
      <c r="CM65" s="3">
        <f>+IF(AVANCE[[#This Row],[MEMBRANA CIELO]]=AY$2,100%,AVANCE[[#This Row],[MEMBRANA CIELO]])</f>
        <v>1</v>
      </c>
      <c r="CN65" s="3">
        <f>+IF(AVANCE[[#This Row],[LIMPIEZA FINAL]]=AZ$2,100%,AVANCE[[#This Row],[LIMPIEZA FINAL]])</f>
        <v>1</v>
      </c>
      <c r="CO65" s="3">
        <f>+IF(AVANCE[[#This Row],[PUERTAS DORMITORIO]]=BA$2,100%,AVANCE[[#This Row],[PUERTAS DORMITORIO]])</f>
        <v>1</v>
      </c>
      <c r="CP65" s="3">
        <f>+IF(AVANCE[[#This Row],[REVESTIMIENTO INTERIOR BANO]]=BB$2,100%,AVANCE[[#This Row],[REVESTIMIENTO INTERIOR BANO]])</f>
        <v>1</v>
      </c>
      <c r="CQ65" s="3">
        <f>+IF(AVANCE[[#This Row],[MUEBLE LAVAPLATOS]]=BC$2,100%,AVANCE[[#This Row],[MUEBLE LAVAPLATOS]])</f>
        <v>1</v>
      </c>
      <c r="CR65" s="3">
        <f>+IF(AVANCE[[#This Row],[IMPERMEABILIZACION BANO - COCINA LOGIA]]=BD$2,100%,AVANCE[[#This Row],[IMPERMEABILIZACION BANO - COCINA LOGIA]])</f>
        <v>1</v>
      </c>
      <c r="CS65" s="40">
        <f ca="1">+IF(AVANCE[[#This Row],[ESTADO MODULO]]="PENDIENTE",(TODAY()-AVANCE[[#This Row],[FECHA TERMINO  PLANIFICADO]]),0)</f>
        <v>0</v>
      </c>
      <c r="CT65" s="41" t="str" cm="1">
        <f t="array" ref="CT65">_xlfn.TEXTJOIN(" | ",TRUE,IF(SUMPRODUCT((BG65:CR65&lt;1)*(PARTIDAS!$I$2:$AT$2="OBRA GRUESA"))&gt;0,"OBRA GRUESA: "&amp;_xlfn.TEXTJOIN(", ",TRUE,IF((BG65:CR65&lt;1)*(PARTIDAS!$I$2:$AT$2="OBRA GRUESA"),PARTIDAS!$I$1:$AT$1,"")),""),IF(SUMPRODUCT((BG65:CR65&lt;1)*(PARTIDAS!$I$2:$AT$2="SANITARIOS"))&gt;0,"SANITARIOS: "&amp;_xlfn.TEXTJOIN(", ",TRUE,IF((BG65:CR65&lt;1)*(PARTIDAS!$I$2:$AT$2="SANITARIOS"),PARTIDAS!$I$1:$AT$1,"")),""),IF(SUMPRODUCT((BG65:CR65&lt;1)*(PARTIDAS!$I$2:$AT$2="ELÉCTRICO"))&gt;0,"ELÉCTRICO: "&amp;_xlfn.TEXTJOIN(", ",TRUE,IF((BG65:CR65&lt;1)*(PARTIDAS!$I$2:$AT$2="ELÉCTRICO"),PARTIDAS!$I$1:$AT$1,"")),""),IF(SUMPRODUCT((BG65:CR65&lt;1)*(PARTIDAS!$I$2:$AT$2="TERMINACIONES"))&gt;0,"TERMINACIONES: "&amp;_xlfn.TEXTJOIN(", ",TRUE,IF((BG65:CR65&lt;1)*(PARTIDAS!$I$2:$AT$2="TERMINACIONES"),PARTIDAS!$I$1:$AT$1,"")),""))</f>
        <v/>
      </c>
      <c r="CU65" s="43" t="str" cm="1">
        <f t="array" ref="CU65">_xlfn.TEXTJOIN(", ",TRUE,IF(SUMPRODUCT((BG65:CR65&lt;1)*(PARTIDAS!$I$2:$AT$2="OBRA GRUESA"))&gt;0,"OBRA GRUESA",""),IF(SUMPRODUCT((BG65:CR65&lt;1)*(PARTIDAS!$I$2:$AT$2="SANITARIOS"))&gt;0,"SANITARIOS",""),IF(SUMPRODUCT((BG65:CR65&lt;1)*(PARTIDAS!$I$2:$AT$2="ELÉCTRICO"))&gt;0,"ELÉCTRICO",""),IF(SUMPRODUCT((BG65:CR65&lt;1)*(PARTIDAS!$I$2:$AT$2="TERMINACIONES"))&gt;0,"TERMINACIONES",""))</f>
        <v/>
      </c>
      <c r="CV65" s="44" cm="1">
        <f t="array" ref="CV65">SUMPRODUCT(--(BG65:CR65&lt;1))</f>
        <v>0</v>
      </c>
    </row>
    <row r="66" spans="1:100" hidden="1" x14ac:dyDescent="0.25">
      <c r="A66" t="s">
        <v>124</v>
      </c>
      <c r="B66" t="s">
        <v>125</v>
      </c>
      <c r="C66">
        <v>2282600065</v>
      </c>
      <c r="D66" t="s">
        <v>58</v>
      </c>
      <c r="E66" s="2">
        <v>0.99999999999999978</v>
      </c>
      <c r="F66" s="1">
        <v>46150</v>
      </c>
      <c r="G66" s="1">
        <v>46153</v>
      </c>
      <c r="H66" s="1">
        <v>46205</v>
      </c>
      <c r="I66" s="1">
        <v>46176</v>
      </c>
      <c r="K66" s="1">
        <v>46205</v>
      </c>
      <c r="L66" s="3">
        <v>0.43</v>
      </c>
      <c r="M66" s="3">
        <v>1</v>
      </c>
      <c r="N66" s="3">
        <v>0.27906976744186046</v>
      </c>
      <c r="O66" s="3">
        <v>0.18604651162790697</v>
      </c>
      <c r="P66" s="3">
        <v>0.2558139534883721</v>
      </c>
      <c r="Q66" s="3">
        <v>0.18604651162790697</v>
      </c>
      <c r="R66" s="3">
        <v>9.3023255813953487E-2</v>
      </c>
      <c r="S66" s="3">
        <v>0.09</v>
      </c>
      <c r="T66" s="3">
        <v>1</v>
      </c>
      <c r="U66" s="3">
        <v>0.22222222222222221</v>
      </c>
      <c r="V66" s="3">
        <v>0.22222222222222221</v>
      </c>
      <c r="W66" s="3">
        <v>0.1111111111111111</v>
      </c>
      <c r="X66" s="3">
        <v>0.1111111111111111</v>
      </c>
      <c r="Y66" s="3">
        <v>0.1111111111111111</v>
      </c>
      <c r="Z66" s="3">
        <v>0.22222222222222221</v>
      </c>
      <c r="AA66" s="3">
        <v>0.11</v>
      </c>
      <c r="AB66" s="3">
        <v>1</v>
      </c>
      <c r="AC66" s="3">
        <v>0.27272727272727271</v>
      </c>
      <c r="AD66" s="3">
        <v>0.27272727272727271</v>
      </c>
      <c r="AE66" s="3">
        <v>9.0909090909090912E-2</v>
      </c>
      <c r="AF66" s="3">
        <v>0.18181818181818182</v>
      </c>
      <c r="AG66" s="3">
        <v>0.18181818181818182</v>
      </c>
      <c r="AH66" s="3">
        <v>0.36999999999999983</v>
      </c>
      <c r="AI66" s="3">
        <v>0.99999999999999956</v>
      </c>
      <c r="AJ66" s="3">
        <v>5.4054054054054036E-2</v>
      </c>
      <c r="AK66" s="3">
        <v>5.4054054054054036E-2</v>
      </c>
      <c r="AL66" s="3">
        <v>2.7027027027027018E-2</v>
      </c>
      <c r="AM66" s="3">
        <v>8.1081081081081058E-2</v>
      </c>
      <c r="AN66" s="3">
        <v>8.1081081081081058E-2</v>
      </c>
      <c r="AO66" s="3">
        <v>6.7567567567567557E-2</v>
      </c>
      <c r="AP66" s="3">
        <v>5.4054054054054036E-2</v>
      </c>
      <c r="AQ66" s="3">
        <v>1.3513513513513509E-2</v>
      </c>
      <c r="AR66" s="3">
        <v>4.0540540540540529E-2</v>
      </c>
      <c r="AS66" s="3">
        <v>1.3513513513513509E-2</v>
      </c>
      <c r="AT66" s="3">
        <v>8.1081081081081058E-2</v>
      </c>
      <c r="AU66" s="3">
        <v>5.4054054054054036E-2</v>
      </c>
      <c r="AV66" s="3">
        <v>2.7027027027027018E-2</v>
      </c>
      <c r="AW66" s="3">
        <v>5.4054054054054036E-2</v>
      </c>
      <c r="AX66" s="3">
        <v>5.4054054054054036E-2</v>
      </c>
      <c r="AY66" s="3">
        <v>2.7027027027027018E-2</v>
      </c>
      <c r="AZ66" s="3">
        <v>4.0540540540540529E-2</v>
      </c>
      <c r="BA66" s="3">
        <v>5.4054054054054036E-2</v>
      </c>
      <c r="BB66" s="3">
        <v>8.1081081081081058E-2</v>
      </c>
      <c r="BC66" s="3">
        <v>1.3513513513513509E-2</v>
      </c>
      <c r="BD66" s="3">
        <v>2.7027027027027018E-2</v>
      </c>
      <c r="BE66">
        <v>28.87</v>
      </c>
      <c r="BF66" s="3" t="str">
        <f>+IF(AVANCE[[#This Row],[% AVANCE]]=100%,"MODULO TERMINADO",IF(AVANCE[[#This Row],[FECHA INICIO REAL]]="","MODULO NO INICIADO","PENDIENTE"))</f>
        <v>MODULO TERMINADO</v>
      </c>
      <c r="BG66" s="3">
        <f>+IF(AVANCE[[#This Row],[VENTANAS]]=8.10810810810811%,100%,AVANCE[[#This Row],[VENTANAS]])</f>
        <v>1</v>
      </c>
      <c r="BH66" s="3">
        <f>+IF(AVANCE[[#This Row],[PISO]]=N$2,100%,AVANCE[[#This Row],[PISO]])</f>
        <v>1</v>
      </c>
      <c r="BI66" s="3">
        <f>+IF(AVANCE[[#This Row],[TABIQUES]]=O$2,100%,AVANCE[[#This Row],[TABIQUES]])</f>
        <v>1</v>
      </c>
      <c r="BJ66" s="3">
        <f>+IF(AVANCE[[#This Row],[MUROS]]=P$2,100%,AVANCE[[#This Row],[MUROS]])</f>
        <v>1</v>
      </c>
      <c r="BK66" s="3">
        <f>+IF(AVANCE[[#This Row],[CIELO]]=Q$2,100%,AVANCE[[#This Row],[CIELO]])</f>
        <v>1</v>
      </c>
      <c r="BL66" s="3">
        <f>+IF(AVANCE[[#This Row],[BALCÓN]]=R$2,100%,AVANCE[[#This Row],[BALCÓN]])</f>
        <v>1</v>
      </c>
      <c r="BM66" s="3">
        <f>+IF(AVANCE[[#This Row],[RED ALCANTARILLADO]]=U$2,100%,AVANCE[[#This Row],[RED ALCANTARILLADO]])</f>
        <v>1</v>
      </c>
      <c r="BN66" s="3">
        <f>+IF(AVANCE[[#This Row],[RED DE AGUA]]=V$2,100%,AVANCE[[#This Row],[RED DE AGUA]])</f>
        <v>1</v>
      </c>
      <c r="BO66" s="3">
        <f>+IF(AVANCE[[#This Row],[VENTILACIONES]]=W$2,100%,AVANCE[[#This Row],[VENTILACIONES]])</f>
        <v>1</v>
      </c>
      <c r="BP66" s="3">
        <f>+IF(AVANCE[[#This Row],[TINA]]=X$2,100%,AVANCE[[#This Row],[TINA]])</f>
        <v>1</v>
      </c>
      <c r="BQ66" s="3">
        <f>+IF(AVANCE[[#This Row],[WC]]=Y$2,100%,AVANCE[[#This Row],[WC]])</f>
        <v>1</v>
      </c>
      <c r="BR66" s="3">
        <f>+IF(AVANCE[[#This Row],[LAVAMANOS / LAVAPLATOS / LAVADERO]]=Z$2,100%,AVANCE[[#This Row],[LAVAMANOS / LAVAPLATOS / LAVADERO]])</f>
        <v>1</v>
      </c>
      <c r="BS66" s="3">
        <f>+IF(AVANCE[[#This Row],[CANALIZACIÓN]]=AC$2,100%,AVANCE[[#This Row],[CANALIZACIÓN]])</f>
        <v>1</v>
      </c>
      <c r="BT66" s="3">
        <f>+IF(AVANCE[[#This Row],[CABLEADO]]=AD$2,100%,AVANCE[[#This Row],[CABLEADO]])</f>
        <v>1</v>
      </c>
      <c r="BU66" s="3">
        <f>+IF(AVANCE[[#This Row],[ARTEFACTOS]]=AE$2,100%,AVANCE[[#This Row],[ARTEFACTOS]])</f>
        <v>1</v>
      </c>
      <c r="BV66" s="3">
        <f>+IF(AVANCE[[#This Row],[TABLERO]]=AF$2,100%,AVANCE[[#This Row],[TABLERO]])</f>
        <v>1</v>
      </c>
      <c r="BW66" s="3">
        <f>+IF(AVANCE[[#This Row],[CAJA PAU]]=AG$2,100%,AVANCE[[#This Row],[CAJA PAU]])</f>
        <v>1</v>
      </c>
      <c r="BX66" s="3">
        <f>+IF(AVANCE[[#This Row],[INSTALACION VINILICO]]=AJ$2,100%,AVANCE[[#This Row],[INSTALACION VINILICO]])</f>
        <v>1</v>
      </c>
      <c r="BY66" s="3">
        <f>+IF(AVANCE[[#This Row],[OSB CUBIERTA]]=AK$2,100%,AVANCE[[#This Row],[OSB CUBIERTA]])</f>
        <v>1</v>
      </c>
      <c r="BZ66" s="3">
        <f>+IF(AVANCE[[#This Row],[BARANDA BALCON]]=AL$2,100%,AVANCE[[#This Row],[BARANDA BALCON]])</f>
        <v>1</v>
      </c>
      <c r="CA66" s="3">
        <f>+IF(AVANCE[[#This Row],[OSB EXTERIOR]]=AM$2,100%,AVANCE[[#This Row],[OSB EXTERIOR]])</f>
        <v>1</v>
      </c>
      <c r="CB66" s="3">
        <f>+IF(AVANCE[[#This Row],[SMART PANEL]]=AN$2,100%,AVANCE[[#This Row],[SMART PANEL]])</f>
        <v>1</v>
      </c>
      <c r="CC66" s="3">
        <f>+IF(AVANCE[[#This Row],[PINTURA EXTERIOR]]=AO$2,100%,AVANCE[[#This Row],[PINTURA EXTERIOR]])</f>
        <v>1</v>
      </c>
      <c r="CD66" s="3">
        <f>+IF(AVANCE[[#This Row],[ZOCALOS LOGIA]]=AP$2,100%,AVANCE[[#This Row],[ZOCALOS LOGIA]])</f>
        <v>1</v>
      </c>
      <c r="CE66" s="3">
        <f>+IF(AVANCE[[#This Row],[MOLDURAS]]=AQ$2,100%,AVANCE[[#This Row],[MOLDURAS]])</f>
        <v>1</v>
      </c>
      <c r="CF66" s="3">
        <f>+IF(AVANCE[[#This Row],[PILASTREO]]=AR$2,100%,AVANCE[[#This Row],[PILASTREO]])</f>
        <v>1</v>
      </c>
      <c r="CG66" s="3">
        <f>+IF(AVANCE[[#This Row],[CELOSIAS]]=AS$2,100%,AVANCE[[#This Row],[CELOSIAS]])</f>
        <v>1</v>
      </c>
      <c r="CH66" s="3">
        <f>+IF(AVANCE[[#This Row],[VENTANAS]]=AT$2,100%,AVANCE[[#This Row],[VENTANAS]])</f>
        <v>1</v>
      </c>
      <c r="CI66" s="3">
        <f>+IF(AVANCE[[#This Row],[PUERTAS ACCESO - LOGIA - BANO]]=AU$2,100%,AVANCE[[#This Row],[PUERTAS ACCESO - LOGIA - BANO]])</f>
        <v>1</v>
      </c>
      <c r="CJ66" s="3">
        <f>+IF(AVANCE[[#This Row],[CERRADURAS]]=AV$2,100%,AVANCE[[#This Row],[CERRADURAS]])</f>
        <v>1</v>
      </c>
      <c r="CK66" s="3">
        <f>+IF(AVANCE[[#This Row],[REVESTIMIENTO INTERIOR ZONA SECA]]=AW$2,100%,AVANCE[[#This Row],[REVESTIMIENTO INTERIOR ZONA SECA]])</f>
        <v>1</v>
      </c>
      <c r="CL66" s="3">
        <f>+IF(AVANCE[[#This Row],[REVESTIMIENTO INTERIOR ZONAS HUMEDAS]]=AX$2,100%,AVANCE[[#This Row],[REVESTIMIENTO INTERIOR ZONAS HUMEDAS]])</f>
        <v>1</v>
      </c>
      <c r="CM66" s="3">
        <f>+IF(AVANCE[[#This Row],[MEMBRANA CIELO]]=AY$2,100%,AVANCE[[#This Row],[MEMBRANA CIELO]])</f>
        <v>1</v>
      </c>
      <c r="CN66" s="3">
        <f>+IF(AVANCE[[#This Row],[LIMPIEZA FINAL]]=AZ$2,100%,AVANCE[[#This Row],[LIMPIEZA FINAL]])</f>
        <v>1</v>
      </c>
      <c r="CO66" s="3">
        <f>+IF(AVANCE[[#This Row],[PUERTAS DORMITORIO]]=BA$2,100%,AVANCE[[#This Row],[PUERTAS DORMITORIO]])</f>
        <v>1</v>
      </c>
      <c r="CP66" s="3">
        <f>+IF(AVANCE[[#This Row],[REVESTIMIENTO INTERIOR BANO]]=BB$2,100%,AVANCE[[#This Row],[REVESTIMIENTO INTERIOR BANO]])</f>
        <v>1</v>
      </c>
      <c r="CQ66" s="3">
        <f>+IF(AVANCE[[#This Row],[MUEBLE LAVAPLATOS]]=BC$2,100%,AVANCE[[#This Row],[MUEBLE LAVAPLATOS]])</f>
        <v>1</v>
      </c>
      <c r="CR66" s="3">
        <f>+IF(AVANCE[[#This Row],[IMPERMEABILIZACION BANO - COCINA LOGIA]]=BD$2,100%,AVANCE[[#This Row],[IMPERMEABILIZACION BANO - COCINA LOGIA]])</f>
        <v>1</v>
      </c>
      <c r="CS66" s="40">
        <f ca="1">+IF(AVANCE[[#This Row],[ESTADO MODULO]]="PENDIENTE",(TODAY()-AVANCE[[#This Row],[FECHA TERMINO  PLANIFICADO]]),0)</f>
        <v>0</v>
      </c>
      <c r="CT66" s="41" t="str" cm="1">
        <f t="array" ref="CT66">_xlfn.TEXTJOIN(" | ",TRUE,IF(SUMPRODUCT((BG66:CR66&lt;1)*(PARTIDAS!$I$2:$AT$2="OBRA GRUESA"))&gt;0,"OBRA GRUESA: "&amp;_xlfn.TEXTJOIN(", ",TRUE,IF((BG66:CR66&lt;1)*(PARTIDAS!$I$2:$AT$2="OBRA GRUESA"),PARTIDAS!$I$1:$AT$1,"")),""),IF(SUMPRODUCT((BG66:CR66&lt;1)*(PARTIDAS!$I$2:$AT$2="SANITARIOS"))&gt;0,"SANITARIOS: "&amp;_xlfn.TEXTJOIN(", ",TRUE,IF((BG66:CR66&lt;1)*(PARTIDAS!$I$2:$AT$2="SANITARIOS"),PARTIDAS!$I$1:$AT$1,"")),""),IF(SUMPRODUCT((BG66:CR66&lt;1)*(PARTIDAS!$I$2:$AT$2="ELÉCTRICO"))&gt;0,"ELÉCTRICO: "&amp;_xlfn.TEXTJOIN(", ",TRUE,IF((BG66:CR66&lt;1)*(PARTIDAS!$I$2:$AT$2="ELÉCTRICO"),PARTIDAS!$I$1:$AT$1,"")),""),IF(SUMPRODUCT((BG66:CR66&lt;1)*(PARTIDAS!$I$2:$AT$2="TERMINACIONES"))&gt;0,"TERMINACIONES: "&amp;_xlfn.TEXTJOIN(", ",TRUE,IF((BG66:CR66&lt;1)*(PARTIDAS!$I$2:$AT$2="TERMINACIONES"),PARTIDAS!$I$1:$AT$1,"")),""))</f>
        <v/>
      </c>
      <c r="CU66" s="43" t="str" cm="1">
        <f t="array" ref="CU66">_xlfn.TEXTJOIN(", ",TRUE,IF(SUMPRODUCT((BG66:CR66&lt;1)*(PARTIDAS!$I$2:$AT$2="OBRA GRUESA"))&gt;0,"OBRA GRUESA",""),IF(SUMPRODUCT((BG66:CR66&lt;1)*(PARTIDAS!$I$2:$AT$2="SANITARIOS"))&gt;0,"SANITARIOS",""),IF(SUMPRODUCT((BG66:CR66&lt;1)*(PARTIDAS!$I$2:$AT$2="ELÉCTRICO"))&gt;0,"ELÉCTRICO",""),IF(SUMPRODUCT((BG66:CR66&lt;1)*(PARTIDAS!$I$2:$AT$2="TERMINACIONES"))&gt;0,"TERMINACIONES",""))</f>
        <v/>
      </c>
      <c r="CV66" s="44" cm="1">
        <f t="array" ref="CV66">SUMPRODUCT(--(BG66:CR66&lt;1))</f>
        <v>0</v>
      </c>
    </row>
    <row r="67" spans="1:100" hidden="1" x14ac:dyDescent="0.25">
      <c r="A67" t="s">
        <v>124</v>
      </c>
      <c r="B67" t="s">
        <v>126</v>
      </c>
      <c r="C67">
        <v>2302600066</v>
      </c>
      <c r="D67" t="s">
        <v>60</v>
      </c>
      <c r="E67" s="2">
        <v>0.99999999999999978</v>
      </c>
      <c r="F67" s="1">
        <v>46150</v>
      </c>
      <c r="G67" s="1">
        <v>46154</v>
      </c>
      <c r="H67" s="1">
        <v>46211</v>
      </c>
      <c r="I67" s="1">
        <v>46186</v>
      </c>
      <c r="K67" s="1">
        <v>46211</v>
      </c>
      <c r="L67" s="3">
        <v>0.43</v>
      </c>
      <c r="M67" s="3">
        <v>1</v>
      </c>
      <c r="N67" s="3">
        <v>0.27906976744186046</v>
      </c>
      <c r="O67" s="3">
        <v>0.18604651162790697</v>
      </c>
      <c r="P67" s="3">
        <v>0.2558139534883721</v>
      </c>
      <c r="Q67" s="3">
        <v>0.18604651162790697</v>
      </c>
      <c r="R67" s="3">
        <v>9.3023255813953487E-2</v>
      </c>
      <c r="S67" s="3">
        <v>0.09</v>
      </c>
      <c r="T67" s="3">
        <v>1</v>
      </c>
      <c r="U67" s="3">
        <v>0.22222222222222221</v>
      </c>
      <c r="V67" s="3">
        <v>0.22222222222222221</v>
      </c>
      <c r="W67" s="3">
        <v>0.1111111111111111</v>
      </c>
      <c r="X67" s="3">
        <v>0.1111111111111111</v>
      </c>
      <c r="Y67" s="3">
        <v>0.1111111111111111</v>
      </c>
      <c r="Z67" s="3">
        <v>0.22222222222222221</v>
      </c>
      <c r="AA67" s="3">
        <v>0.11</v>
      </c>
      <c r="AB67" s="3">
        <v>1</v>
      </c>
      <c r="AC67" s="3">
        <v>0.27272727272727271</v>
      </c>
      <c r="AD67" s="3">
        <v>0.27272727272727271</v>
      </c>
      <c r="AE67" s="3">
        <v>9.0909090909090912E-2</v>
      </c>
      <c r="AF67" s="3">
        <v>0.18181818181818182</v>
      </c>
      <c r="AG67" s="3">
        <v>0.18181818181818182</v>
      </c>
      <c r="AH67" s="3">
        <v>0.36999999999999983</v>
      </c>
      <c r="AI67" s="3">
        <v>0.99999999999999956</v>
      </c>
      <c r="AJ67" s="3">
        <v>5.4054054054054036E-2</v>
      </c>
      <c r="AK67" s="3">
        <v>5.4054054054054036E-2</v>
      </c>
      <c r="AL67" s="3">
        <v>2.7027027027027018E-2</v>
      </c>
      <c r="AM67" s="3">
        <v>8.1081081081081058E-2</v>
      </c>
      <c r="AN67" s="3">
        <v>8.1081081081081058E-2</v>
      </c>
      <c r="AO67" s="3">
        <v>6.7567567567567557E-2</v>
      </c>
      <c r="AP67" s="3">
        <v>5.4054054054054036E-2</v>
      </c>
      <c r="AQ67" s="3">
        <v>1.3513513513513509E-2</v>
      </c>
      <c r="AR67" s="3">
        <v>4.0540540540540529E-2</v>
      </c>
      <c r="AS67" s="3">
        <v>1.3513513513513509E-2</v>
      </c>
      <c r="AT67" s="3">
        <v>8.1081081081081058E-2</v>
      </c>
      <c r="AU67" s="3">
        <v>5.4054054054054036E-2</v>
      </c>
      <c r="AV67" s="3">
        <v>2.7027027027027018E-2</v>
      </c>
      <c r="AW67" s="3">
        <v>5.4054054054054036E-2</v>
      </c>
      <c r="AX67" s="3">
        <v>5.4054054054054036E-2</v>
      </c>
      <c r="AY67" s="3">
        <v>2.7027027027027018E-2</v>
      </c>
      <c r="AZ67" s="3">
        <v>4.0540540540540529E-2</v>
      </c>
      <c r="BA67" s="3">
        <v>5.4054054054054036E-2</v>
      </c>
      <c r="BB67" s="3">
        <v>8.1081081081081058E-2</v>
      </c>
      <c r="BC67" s="3">
        <v>1.3513513513513509E-2</v>
      </c>
      <c r="BD67" s="3">
        <v>2.7027027027027018E-2</v>
      </c>
      <c r="BE67">
        <v>31.32</v>
      </c>
      <c r="BF67" s="3" t="str">
        <f>+IF(AVANCE[[#This Row],[% AVANCE]]=100%,"MODULO TERMINADO",IF(AVANCE[[#This Row],[FECHA INICIO REAL]]="","MODULO NO INICIADO","PENDIENTE"))</f>
        <v>MODULO TERMINADO</v>
      </c>
      <c r="BG67" s="3">
        <f>+IF(AVANCE[[#This Row],[VENTANAS]]=8.10810810810811%,100%,AVANCE[[#This Row],[VENTANAS]])</f>
        <v>1</v>
      </c>
      <c r="BH67" s="3">
        <f>+IF(AVANCE[[#This Row],[PISO]]=N$2,100%,AVANCE[[#This Row],[PISO]])</f>
        <v>1</v>
      </c>
      <c r="BI67" s="3">
        <f>+IF(AVANCE[[#This Row],[TABIQUES]]=O$2,100%,AVANCE[[#This Row],[TABIQUES]])</f>
        <v>1</v>
      </c>
      <c r="BJ67" s="3">
        <f>+IF(AVANCE[[#This Row],[MUROS]]=P$2,100%,AVANCE[[#This Row],[MUROS]])</f>
        <v>1</v>
      </c>
      <c r="BK67" s="3">
        <f>+IF(AVANCE[[#This Row],[CIELO]]=Q$2,100%,AVANCE[[#This Row],[CIELO]])</f>
        <v>1</v>
      </c>
      <c r="BL67" s="3">
        <f>+IF(AVANCE[[#This Row],[BALCÓN]]=R$2,100%,AVANCE[[#This Row],[BALCÓN]])</f>
        <v>1</v>
      </c>
      <c r="BM67" s="3">
        <f>+IF(AVANCE[[#This Row],[RED ALCANTARILLADO]]=U$2,100%,AVANCE[[#This Row],[RED ALCANTARILLADO]])</f>
        <v>1</v>
      </c>
      <c r="BN67" s="3">
        <f>+IF(AVANCE[[#This Row],[RED DE AGUA]]=V$2,100%,AVANCE[[#This Row],[RED DE AGUA]])</f>
        <v>1</v>
      </c>
      <c r="BO67" s="3">
        <f>+IF(AVANCE[[#This Row],[VENTILACIONES]]=W$2,100%,AVANCE[[#This Row],[VENTILACIONES]])</f>
        <v>1</v>
      </c>
      <c r="BP67" s="3">
        <f>+IF(AVANCE[[#This Row],[TINA]]=X$2,100%,AVANCE[[#This Row],[TINA]])</f>
        <v>1</v>
      </c>
      <c r="BQ67" s="3">
        <f>+IF(AVANCE[[#This Row],[WC]]=Y$2,100%,AVANCE[[#This Row],[WC]])</f>
        <v>1</v>
      </c>
      <c r="BR67" s="3">
        <f>+IF(AVANCE[[#This Row],[LAVAMANOS / LAVAPLATOS / LAVADERO]]=Z$2,100%,AVANCE[[#This Row],[LAVAMANOS / LAVAPLATOS / LAVADERO]])</f>
        <v>1</v>
      </c>
      <c r="BS67" s="3">
        <f>+IF(AVANCE[[#This Row],[CANALIZACIÓN]]=AC$2,100%,AVANCE[[#This Row],[CANALIZACIÓN]])</f>
        <v>1</v>
      </c>
      <c r="BT67" s="3">
        <f>+IF(AVANCE[[#This Row],[CABLEADO]]=AD$2,100%,AVANCE[[#This Row],[CABLEADO]])</f>
        <v>1</v>
      </c>
      <c r="BU67" s="3">
        <f>+IF(AVANCE[[#This Row],[ARTEFACTOS]]=AE$2,100%,AVANCE[[#This Row],[ARTEFACTOS]])</f>
        <v>1</v>
      </c>
      <c r="BV67" s="3">
        <f>+IF(AVANCE[[#This Row],[TABLERO]]=AF$2,100%,AVANCE[[#This Row],[TABLERO]])</f>
        <v>1</v>
      </c>
      <c r="BW67" s="3">
        <f>+IF(AVANCE[[#This Row],[CAJA PAU]]=AG$2,100%,AVANCE[[#This Row],[CAJA PAU]])</f>
        <v>1</v>
      </c>
      <c r="BX67" s="3">
        <f>+IF(AVANCE[[#This Row],[INSTALACION VINILICO]]=AJ$2,100%,AVANCE[[#This Row],[INSTALACION VINILICO]])</f>
        <v>1</v>
      </c>
      <c r="BY67" s="3">
        <f>+IF(AVANCE[[#This Row],[OSB CUBIERTA]]=AK$2,100%,AVANCE[[#This Row],[OSB CUBIERTA]])</f>
        <v>1</v>
      </c>
      <c r="BZ67" s="3">
        <f>+IF(AVANCE[[#This Row],[BARANDA BALCON]]=AL$2,100%,AVANCE[[#This Row],[BARANDA BALCON]])</f>
        <v>1</v>
      </c>
      <c r="CA67" s="3">
        <f>+IF(AVANCE[[#This Row],[OSB EXTERIOR]]=AM$2,100%,AVANCE[[#This Row],[OSB EXTERIOR]])</f>
        <v>1</v>
      </c>
      <c r="CB67" s="3">
        <f>+IF(AVANCE[[#This Row],[SMART PANEL]]=AN$2,100%,AVANCE[[#This Row],[SMART PANEL]])</f>
        <v>1</v>
      </c>
      <c r="CC67" s="3">
        <f>+IF(AVANCE[[#This Row],[PINTURA EXTERIOR]]=AO$2,100%,AVANCE[[#This Row],[PINTURA EXTERIOR]])</f>
        <v>1</v>
      </c>
      <c r="CD67" s="3">
        <f>+IF(AVANCE[[#This Row],[ZOCALOS LOGIA]]=AP$2,100%,AVANCE[[#This Row],[ZOCALOS LOGIA]])</f>
        <v>1</v>
      </c>
      <c r="CE67" s="3">
        <f>+IF(AVANCE[[#This Row],[MOLDURAS]]=AQ$2,100%,AVANCE[[#This Row],[MOLDURAS]])</f>
        <v>1</v>
      </c>
      <c r="CF67" s="3">
        <f>+IF(AVANCE[[#This Row],[PILASTREO]]=AR$2,100%,AVANCE[[#This Row],[PILASTREO]])</f>
        <v>1</v>
      </c>
      <c r="CG67" s="3">
        <f>+IF(AVANCE[[#This Row],[CELOSIAS]]=AS$2,100%,AVANCE[[#This Row],[CELOSIAS]])</f>
        <v>1</v>
      </c>
      <c r="CH67" s="3">
        <f>+IF(AVANCE[[#This Row],[VENTANAS]]=AT$2,100%,AVANCE[[#This Row],[VENTANAS]])</f>
        <v>1</v>
      </c>
      <c r="CI67" s="3">
        <f>+IF(AVANCE[[#This Row],[PUERTAS ACCESO - LOGIA - BANO]]=AU$2,100%,AVANCE[[#This Row],[PUERTAS ACCESO - LOGIA - BANO]])</f>
        <v>1</v>
      </c>
      <c r="CJ67" s="3">
        <f>+IF(AVANCE[[#This Row],[CERRADURAS]]=AV$2,100%,AVANCE[[#This Row],[CERRADURAS]])</f>
        <v>1</v>
      </c>
      <c r="CK67" s="3">
        <f>+IF(AVANCE[[#This Row],[REVESTIMIENTO INTERIOR ZONA SECA]]=AW$2,100%,AVANCE[[#This Row],[REVESTIMIENTO INTERIOR ZONA SECA]])</f>
        <v>1</v>
      </c>
      <c r="CL67" s="3">
        <f>+IF(AVANCE[[#This Row],[REVESTIMIENTO INTERIOR ZONAS HUMEDAS]]=AX$2,100%,AVANCE[[#This Row],[REVESTIMIENTO INTERIOR ZONAS HUMEDAS]])</f>
        <v>1</v>
      </c>
      <c r="CM67" s="3">
        <f>+IF(AVANCE[[#This Row],[MEMBRANA CIELO]]=AY$2,100%,AVANCE[[#This Row],[MEMBRANA CIELO]])</f>
        <v>1</v>
      </c>
      <c r="CN67" s="3">
        <f>+IF(AVANCE[[#This Row],[LIMPIEZA FINAL]]=AZ$2,100%,AVANCE[[#This Row],[LIMPIEZA FINAL]])</f>
        <v>1</v>
      </c>
      <c r="CO67" s="3">
        <f>+IF(AVANCE[[#This Row],[PUERTAS DORMITORIO]]=BA$2,100%,AVANCE[[#This Row],[PUERTAS DORMITORIO]])</f>
        <v>1</v>
      </c>
      <c r="CP67" s="3">
        <f>+IF(AVANCE[[#This Row],[REVESTIMIENTO INTERIOR BANO]]=BB$2,100%,AVANCE[[#This Row],[REVESTIMIENTO INTERIOR BANO]])</f>
        <v>1</v>
      </c>
      <c r="CQ67" s="3">
        <f>+IF(AVANCE[[#This Row],[MUEBLE LAVAPLATOS]]=BC$2,100%,AVANCE[[#This Row],[MUEBLE LAVAPLATOS]])</f>
        <v>1</v>
      </c>
      <c r="CR67" s="3">
        <f>+IF(AVANCE[[#This Row],[IMPERMEABILIZACION BANO - COCINA LOGIA]]=BD$2,100%,AVANCE[[#This Row],[IMPERMEABILIZACION BANO - COCINA LOGIA]])</f>
        <v>1</v>
      </c>
      <c r="CS67" s="40">
        <f ca="1">+IF(AVANCE[[#This Row],[ESTADO MODULO]]="PENDIENTE",(TODAY()-AVANCE[[#This Row],[FECHA TERMINO  PLANIFICADO]]),0)</f>
        <v>0</v>
      </c>
      <c r="CT67" s="41" t="str" cm="1">
        <f t="array" ref="CT67">_xlfn.TEXTJOIN(" | ",TRUE,IF(SUMPRODUCT((BG67:CR67&lt;1)*(PARTIDAS!$I$2:$AT$2="OBRA GRUESA"))&gt;0,"OBRA GRUESA: "&amp;_xlfn.TEXTJOIN(", ",TRUE,IF((BG67:CR67&lt;1)*(PARTIDAS!$I$2:$AT$2="OBRA GRUESA"),PARTIDAS!$I$1:$AT$1,"")),""),IF(SUMPRODUCT((BG67:CR67&lt;1)*(PARTIDAS!$I$2:$AT$2="SANITARIOS"))&gt;0,"SANITARIOS: "&amp;_xlfn.TEXTJOIN(", ",TRUE,IF((BG67:CR67&lt;1)*(PARTIDAS!$I$2:$AT$2="SANITARIOS"),PARTIDAS!$I$1:$AT$1,"")),""),IF(SUMPRODUCT((BG67:CR67&lt;1)*(PARTIDAS!$I$2:$AT$2="ELÉCTRICO"))&gt;0,"ELÉCTRICO: "&amp;_xlfn.TEXTJOIN(", ",TRUE,IF((BG67:CR67&lt;1)*(PARTIDAS!$I$2:$AT$2="ELÉCTRICO"),PARTIDAS!$I$1:$AT$1,"")),""),IF(SUMPRODUCT((BG67:CR67&lt;1)*(PARTIDAS!$I$2:$AT$2="TERMINACIONES"))&gt;0,"TERMINACIONES: "&amp;_xlfn.TEXTJOIN(", ",TRUE,IF((BG67:CR67&lt;1)*(PARTIDAS!$I$2:$AT$2="TERMINACIONES"),PARTIDAS!$I$1:$AT$1,"")),""))</f>
        <v/>
      </c>
      <c r="CU67" s="43" t="str" cm="1">
        <f t="array" ref="CU67">_xlfn.TEXTJOIN(", ",TRUE,IF(SUMPRODUCT((BG67:CR67&lt;1)*(PARTIDAS!$I$2:$AT$2="OBRA GRUESA"))&gt;0,"OBRA GRUESA",""),IF(SUMPRODUCT((BG67:CR67&lt;1)*(PARTIDAS!$I$2:$AT$2="SANITARIOS"))&gt;0,"SANITARIOS",""),IF(SUMPRODUCT((BG67:CR67&lt;1)*(PARTIDAS!$I$2:$AT$2="ELÉCTRICO"))&gt;0,"ELÉCTRICO",""),IF(SUMPRODUCT((BG67:CR67&lt;1)*(PARTIDAS!$I$2:$AT$2="TERMINACIONES"))&gt;0,"TERMINACIONES",""))</f>
        <v/>
      </c>
      <c r="CV67" s="44" cm="1">
        <f t="array" ref="CV67">SUMPRODUCT(--(BG67:CR67&lt;1))</f>
        <v>0</v>
      </c>
    </row>
    <row r="68" spans="1:100" hidden="1" x14ac:dyDescent="0.25">
      <c r="A68" t="s">
        <v>124</v>
      </c>
      <c r="B68" t="s">
        <v>127</v>
      </c>
      <c r="C68">
        <v>2302600067</v>
      </c>
      <c r="D68" t="s">
        <v>60</v>
      </c>
      <c r="E68" s="2">
        <v>0.99999999999999978</v>
      </c>
      <c r="F68" s="1">
        <v>46153</v>
      </c>
      <c r="G68" s="1">
        <v>46158</v>
      </c>
      <c r="H68" s="1">
        <v>46210</v>
      </c>
      <c r="I68" s="1">
        <v>46189</v>
      </c>
      <c r="K68" s="1">
        <v>46210</v>
      </c>
      <c r="L68" s="3">
        <v>0.43</v>
      </c>
      <c r="M68" s="3">
        <v>1</v>
      </c>
      <c r="N68" s="3">
        <v>0.27906976744186046</v>
      </c>
      <c r="O68" s="3">
        <v>0.18604651162790697</v>
      </c>
      <c r="P68" s="3">
        <v>0.2558139534883721</v>
      </c>
      <c r="Q68" s="3">
        <v>0.18604651162790697</v>
      </c>
      <c r="R68" s="3">
        <v>9.3023255813953487E-2</v>
      </c>
      <c r="S68" s="3">
        <v>0.09</v>
      </c>
      <c r="T68" s="3">
        <v>1</v>
      </c>
      <c r="U68" s="3">
        <v>0.22222222222222221</v>
      </c>
      <c r="V68" s="3">
        <v>0.22222222222222221</v>
      </c>
      <c r="W68" s="3">
        <v>0.1111111111111111</v>
      </c>
      <c r="X68" s="3">
        <v>0.1111111111111111</v>
      </c>
      <c r="Y68" s="3">
        <v>0.1111111111111111</v>
      </c>
      <c r="Z68" s="3">
        <v>0.22222222222222221</v>
      </c>
      <c r="AA68" s="3">
        <v>0.11</v>
      </c>
      <c r="AB68" s="3">
        <v>1</v>
      </c>
      <c r="AC68" s="3">
        <v>0.27272727272727271</v>
      </c>
      <c r="AD68" s="3">
        <v>0.27272727272727271</v>
      </c>
      <c r="AE68" s="3">
        <v>9.0909090909090912E-2</v>
      </c>
      <c r="AF68" s="3">
        <v>0.18181818181818182</v>
      </c>
      <c r="AG68" s="3">
        <v>0.18181818181818182</v>
      </c>
      <c r="AH68" s="3">
        <v>0.36999999999999983</v>
      </c>
      <c r="AI68" s="3">
        <v>0.99999999999999956</v>
      </c>
      <c r="AJ68" s="3">
        <v>5.4054054054054036E-2</v>
      </c>
      <c r="AK68" s="3">
        <v>5.4054054054054036E-2</v>
      </c>
      <c r="AL68" s="3">
        <v>2.7027027027027018E-2</v>
      </c>
      <c r="AM68" s="3">
        <v>8.1081081081081058E-2</v>
      </c>
      <c r="AN68" s="3">
        <v>8.1081081081081058E-2</v>
      </c>
      <c r="AO68" s="3">
        <v>6.7567567567567557E-2</v>
      </c>
      <c r="AP68" s="3">
        <v>5.4054054054054036E-2</v>
      </c>
      <c r="AQ68" s="3">
        <v>1.3513513513513509E-2</v>
      </c>
      <c r="AR68" s="3">
        <v>4.0540540540540529E-2</v>
      </c>
      <c r="AS68" s="3">
        <v>1.3513513513513509E-2</v>
      </c>
      <c r="AT68" s="3">
        <v>8.1081081081081058E-2</v>
      </c>
      <c r="AU68" s="3">
        <v>5.4054054054054036E-2</v>
      </c>
      <c r="AV68" s="3">
        <v>2.7027027027027018E-2</v>
      </c>
      <c r="AW68" s="3">
        <v>5.4054054054054036E-2</v>
      </c>
      <c r="AX68" s="3">
        <v>5.4054054054054036E-2</v>
      </c>
      <c r="AY68" s="3">
        <v>2.7027027027027018E-2</v>
      </c>
      <c r="AZ68" s="3">
        <v>4.0540540540540529E-2</v>
      </c>
      <c r="BA68" s="3">
        <v>5.4054054054054036E-2</v>
      </c>
      <c r="BB68" s="3">
        <v>8.1081081081081058E-2</v>
      </c>
      <c r="BC68" s="3">
        <v>1.3513513513513509E-2</v>
      </c>
      <c r="BD68" s="3">
        <v>2.7027027027027018E-2</v>
      </c>
      <c r="BE68">
        <v>31.32</v>
      </c>
      <c r="BF68" s="3" t="str">
        <f>+IF(AVANCE[[#This Row],[% AVANCE]]=100%,"MODULO TERMINADO",IF(AVANCE[[#This Row],[FECHA INICIO REAL]]="","MODULO NO INICIADO","PENDIENTE"))</f>
        <v>MODULO TERMINADO</v>
      </c>
      <c r="BG68" s="3">
        <f>+IF(AVANCE[[#This Row],[VENTANAS]]=8.10810810810811%,100%,AVANCE[[#This Row],[VENTANAS]])</f>
        <v>1</v>
      </c>
      <c r="BH68" s="3">
        <f>+IF(AVANCE[[#This Row],[PISO]]=N$2,100%,AVANCE[[#This Row],[PISO]])</f>
        <v>1</v>
      </c>
      <c r="BI68" s="3">
        <f>+IF(AVANCE[[#This Row],[TABIQUES]]=O$2,100%,AVANCE[[#This Row],[TABIQUES]])</f>
        <v>1</v>
      </c>
      <c r="BJ68" s="3">
        <f>+IF(AVANCE[[#This Row],[MUROS]]=P$2,100%,AVANCE[[#This Row],[MUROS]])</f>
        <v>1</v>
      </c>
      <c r="BK68" s="3">
        <f>+IF(AVANCE[[#This Row],[CIELO]]=Q$2,100%,AVANCE[[#This Row],[CIELO]])</f>
        <v>1</v>
      </c>
      <c r="BL68" s="3">
        <f>+IF(AVANCE[[#This Row],[BALCÓN]]=R$2,100%,AVANCE[[#This Row],[BALCÓN]])</f>
        <v>1</v>
      </c>
      <c r="BM68" s="3">
        <f>+IF(AVANCE[[#This Row],[RED ALCANTARILLADO]]=U$2,100%,AVANCE[[#This Row],[RED ALCANTARILLADO]])</f>
        <v>1</v>
      </c>
      <c r="BN68" s="3">
        <f>+IF(AVANCE[[#This Row],[RED DE AGUA]]=V$2,100%,AVANCE[[#This Row],[RED DE AGUA]])</f>
        <v>1</v>
      </c>
      <c r="BO68" s="3">
        <f>+IF(AVANCE[[#This Row],[VENTILACIONES]]=W$2,100%,AVANCE[[#This Row],[VENTILACIONES]])</f>
        <v>1</v>
      </c>
      <c r="BP68" s="3">
        <f>+IF(AVANCE[[#This Row],[TINA]]=X$2,100%,AVANCE[[#This Row],[TINA]])</f>
        <v>1</v>
      </c>
      <c r="BQ68" s="3">
        <f>+IF(AVANCE[[#This Row],[WC]]=Y$2,100%,AVANCE[[#This Row],[WC]])</f>
        <v>1</v>
      </c>
      <c r="BR68" s="3">
        <f>+IF(AVANCE[[#This Row],[LAVAMANOS / LAVAPLATOS / LAVADERO]]=Z$2,100%,AVANCE[[#This Row],[LAVAMANOS / LAVAPLATOS / LAVADERO]])</f>
        <v>1</v>
      </c>
      <c r="BS68" s="3">
        <f>+IF(AVANCE[[#This Row],[CANALIZACIÓN]]=AC$2,100%,AVANCE[[#This Row],[CANALIZACIÓN]])</f>
        <v>1</v>
      </c>
      <c r="BT68" s="3">
        <f>+IF(AVANCE[[#This Row],[CABLEADO]]=AD$2,100%,AVANCE[[#This Row],[CABLEADO]])</f>
        <v>1</v>
      </c>
      <c r="BU68" s="3">
        <f>+IF(AVANCE[[#This Row],[ARTEFACTOS]]=AE$2,100%,AVANCE[[#This Row],[ARTEFACTOS]])</f>
        <v>1</v>
      </c>
      <c r="BV68" s="3">
        <f>+IF(AVANCE[[#This Row],[TABLERO]]=AF$2,100%,AVANCE[[#This Row],[TABLERO]])</f>
        <v>1</v>
      </c>
      <c r="BW68" s="3">
        <f>+IF(AVANCE[[#This Row],[CAJA PAU]]=AG$2,100%,AVANCE[[#This Row],[CAJA PAU]])</f>
        <v>1</v>
      </c>
      <c r="BX68" s="3">
        <f>+IF(AVANCE[[#This Row],[INSTALACION VINILICO]]=AJ$2,100%,AVANCE[[#This Row],[INSTALACION VINILICO]])</f>
        <v>1</v>
      </c>
      <c r="BY68" s="3">
        <f>+IF(AVANCE[[#This Row],[OSB CUBIERTA]]=AK$2,100%,AVANCE[[#This Row],[OSB CUBIERTA]])</f>
        <v>1</v>
      </c>
      <c r="BZ68" s="3">
        <f>+IF(AVANCE[[#This Row],[BARANDA BALCON]]=AL$2,100%,AVANCE[[#This Row],[BARANDA BALCON]])</f>
        <v>1</v>
      </c>
      <c r="CA68" s="3">
        <f>+IF(AVANCE[[#This Row],[OSB EXTERIOR]]=AM$2,100%,AVANCE[[#This Row],[OSB EXTERIOR]])</f>
        <v>1</v>
      </c>
      <c r="CB68" s="3">
        <f>+IF(AVANCE[[#This Row],[SMART PANEL]]=AN$2,100%,AVANCE[[#This Row],[SMART PANEL]])</f>
        <v>1</v>
      </c>
      <c r="CC68" s="3">
        <f>+IF(AVANCE[[#This Row],[PINTURA EXTERIOR]]=AO$2,100%,AVANCE[[#This Row],[PINTURA EXTERIOR]])</f>
        <v>1</v>
      </c>
      <c r="CD68" s="3">
        <f>+IF(AVANCE[[#This Row],[ZOCALOS LOGIA]]=AP$2,100%,AVANCE[[#This Row],[ZOCALOS LOGIA]])</f>
        <v>1</v>
      </c>
      <c r="CE68" s="3">
        <f>+IF(AVANCE[[#This Row],[MOLDURAS]]=AQ$2,100%,AVANCE[[#This Row],[MOLDURAS]])</f>
        <v>1</v>
      </c>
      <c r="CF68" s="3">
        <f>+IF(AVANCE[[#This Row],[PILASTREO]]=AR$2,100%,AVANCE[[#This Row],[PILASTREO]])</f>
        <v>1</v>
      </c>
      <c r="CG68" s="3">
        <f>+IF(AVANCE[[#This Row],[CELOSIAS]]=AS$2,100%,AVANCE[[#This Row],[CELOSIAS]])</f>
        <v>1</v>
      </c>
      <c r="CH68" s="3">
        <f>+IF(AVANCE[[#This Row],[VENTANAS]]=AT$2,100%,AVANCE[[#This Row],[VENTANAS]])</f>
        <v>1</v>
      </c>
      <c r="CI68" s="3">
        <f>+IF(AVANCE[[#This Row],[PUERTAS ACCESO - LOGIA - BANO]]=AU$2,100%,AVANCE[[#This Row],[PUERTAS ACCESO - LOGIA - BANO]])</f>
        <v>1</v>
      </c>
      <c r="CJ68" s="3">
        <f>+IF(AVANCE[[#This Row],[CERRADURAS]]=AV$2,100%,AVANCE[[#This Row],[CERRADURAS]])</f>
        <v>1</v>
      </c>
      <c r="CK68" s="3">
        <f>+IF(AVANCE[[#This Row],[REVESTIMIENTO INTERIOR ZONA SECA]]=AW$2,100%,AVANCE[[#This Row],[REVESTIMIENTO INTERIOR ZONA SECA]])</f>
        <v>1</v>
      </c>
      <c r="CL68" s="3">
        <f>+IF(AVANCE[[#This Row],[REVESTIMIENTO INTERIOR ZONAS HUMEDAS]]=AX$2,100%,AVANCE[[#This Row],[REVESTIMIENTO INTERIOR ZONAS HUMEDAS]])</f>
        <v>1</v>
      </c>
      <c r="CM68" s="3">
        <f>+IF(AVANCE[[#This Row],[MEMBRANA CIELO]]=AY$2,100%,AVANCE[[#This Row],[MEMBRANA CIELO]])</f>
        <v>1</v>
      </c>
      <c r="CN68" s="3">
        <f>+IF(AVANCE[[#This Row],[LIMPIEZA FINAL]]=AZ$2,100%,AVANCE[[#This Row],[LIMPIEZA FINAL]])</f>
        <v>1</v>
      </c>
      <c r="CO68" s="3">
        <f>+IF(AVANCE[[#This Row],[PUERTAS DORMITORIO]]=BA$2,100%,AVANCE[[#This Row],[PUERTAS DORMITORIO]])</f>
        <v>1</v>
      </c>
      <c r="CP68" s="3">
        <f>+IF(AVANCE[[#This Row],[REVESTIMIENTO INTERIOR BANO]]=BB$2,100%,AVANCE[[#This Row],[REVESTIMIENTO INTERIOR BANO]])</f>
        <v>1</v>
      </c>
      <c r="CQ68" s="3">
        <f>+IF(AVANCE[[#This Row],[MUEBLE LAVAPLATOS]]=BC$2,100%,AVANCE[[#This Row],[MUEBLE LAVAPLATOS]])</f>
        <v>1</v>
      </c>
      <c r="CR68" s="3">
        <f>+IF(AVANCE[[#This Row],[IMPERMEABILIZACION BANO - COCINA LOGIA]]=BD$2,100%,AVANCE[[#This Row],[IMPERMEABILIZACION BANO - COCINA LOGIA]])</f>
        <v>1</v>
      </c>
      <c r="CS68" s="40">
        <f ca="1">+IF(AVANCE[[#This Row],[ESTADO MODULO]]="PENDIENTE",(TODAY()-AVANCE[[#This Row],[FECHA TERMINO  PLANIFICADO]]),0)</f>
        <v>0</v>
      </c>
      <c r="CT68" s="41" t="str" cm="1">
        <f t="array" ref="CT68">_xlfn.TEXTJOIN(" | ",TRUE,IF(SUMPRODUCT((BG68:CR68&lt;1)*(PARTIDAS!$I$2:$AT$2="OBRA GRUESA"))&gt;0,"OBRA GRUESA: "&amp;_xlfn.TEXTJOIN(", ",TRUE,IF((BG68:CR68&lt;1)*(PARTIDAS!$I$2:$AT$2="OBRA GRUESA"),PARTIDAS!$I$1:$AT$1,"")),""),IF(SUMPRODUCT((BG68:CR68&lt;1)*(PARTIDAS!$I$2:$AT$2="SANITARIOS"))&gt;0,"SANITARIOS: "&amp;_xlfn.TEXTJOIN(", ",TRUE,IF((BG68:CR68&lt;1)*(PARTIDAS!$I$2:$AT$2="SANITARIOS"),PARTIDAS!$I$1:$AT$1,"")),""),IF(SUMPRODUCT((BG68:CR68&lt;1)*(PARTIDAS!$I$2:$AT$2="ELÉCTRICO"))&gt;0,"ELÉCTRICO: "&amp;_xlfn.TEXTJOIN(", ",TRUE,IF((BG68:CR68&lt;1)*(PARTIDAS!$I$2:$AT$2="ELÉCTRICO"),PARTIDAS!$I$1:$AT$1,"")),""),IF(SUMPRODUCT((BG68:CR68&lt;1)*(PARTIDAS!$I$2:$AT$2="TERMINACIONES"))&gt;0,"TERMINACIONES: "&amp;_xlfn.TEXTJOIN(", ",TRUE,IF((BG68:CR68&lt;1)*(PARTIDAS!$I$2:$AT$2="TERMINACIONES"),PARTIDAS!$I$1:$AT$1,"")),""))</f>
        <v/>
      </c>
      <c r="CU68" s="43" t="str" cm="1">
        <f t="array" ref="CU68">_xlfn.TEXTJOIN(", ",TRUE,IF(SUMPRODUCT((BG68:CR68&lt;1)*(PARTIDAS!$I$2:$AT$2="OBRA GRUESA"))&gt;0,"OBRA GRUESA",""),IF(SUMPRODUCT((BG68:CR68&lt;1)*(PARTIDAS!$I$2:$AT$2="SANITARIOS"))&gt;0,"SANITARIOS",""),IF(SUMPRODUCT((BG68:CR68&lt;1)*(PARTIDAS!$I$2:$AT$2="ELÉCTRICO"))&gt;0,"ELÉCTRICO",""),IF(SUMPRODUCT((BG68:CR68&lt;1)*(PARTIDAS!$I$2:$AT$2="TERMINACIONES"))&gt;0,"TERMINACIONES",""))</f>
        <v/>
      </c>
      <c r="CV68" s="44" cm="1">
        <f t="array" ref="CV68">SUMPRODUCT(--(BG68:CR68&lt;1))</f>
        <v>0</v>
      </c>
    </row>
    <row r="69" spans="1:100" hidden="1" x14ac:dyDescent="0.25">
      <c r="A69" t="s">
        <v>124</v>
      </c>
      <c r="B69" t="s">
        <v>128</v>
      </c>
      <c r="C69">
        <v>2282600068</v>
      </c>
      <c r="D69" t="s">
        <v>58</v>
      </c>
      <c r="E69" s="2">
        <v>0.99999999999999978</v>
      </c>
      <c r="F69" s="1">
        <v>46153</v>
      </c>
      <c r="G69" s="1">
        <v>46156</v>
      </c>
      <c r="H69" s="1">
        <v>46206</v>
      </c>
      <c r="I69" s="1">
        <v>46179</v>
      </c>
      <c r="K69" s="1">
        <v>46206</v>
      </c>
      <c r="L69" s="3">
        <v>0.43</v>
      </c>
      <c r="M69" s="3">
        <v>1</v>
      </c>
      <c r="N69" s="3">
        <v>0.27906976744186046</v>
      </c>
      <c r="O69" s="3">
        <v>0.18604651162790697</v>
      </c>
      <c r="P69" s="3">
        <v>0.2558139534883721</v>
      </c>
      <c r="Q69" s="3">
        <v>0.18604651162790697</v>
      </c>
      <c r="R69" s="3">
        <v>9.3023255813953487E-2</v>
      </c>
      <c r="S69" s="3">
        <v>0.09</v>
      </c>
      <c r="T69" s="3">
        <v>1</v>
      </c>
      <c r="U69" s="3">
        <v>0.22222222222222221</v>
      </c>
      <c r="V69" s="3">
        <v>0.22222222222222221</v>
      </c>
      <c r="W69" s="3">
        <v>0.1111111111111111</v>
      </c>
      <c r="X69" s="3">
        <v>0.1111111111111111</v>
      </c>
      <c r="Y69" s="3">
        <v>0.1111111111111111</v>
      </c>
      <c r="Z69" s="3">
        <v>0.22222222222222221</v>
      </c>
      <c r="AA69" s="3">
        <v>0.11</v>
      </c>
      <c r="AB69" s="3">
        <v>1</v>
      </c>
      <c r="AC69" s="3">
        <v>0.27272727272727271</v>
      </c>
      <c r="AD69" s="3">
        <v>0.27272727272727271</v>
      </c>
      <c r="AE69" s="3">
        <v>9.0909090909090912E-2</v>
      </c>
      <c r="AF69" s="3">
        <v>0.18181818181818182</v>
      </c>
      <c r="AG69" s="3">
        <v>0.18181818181818182</v>
      </c>
      <c r="AH69" s="3">
        <v>0.36999999999999983</v>
      </c>
      <c r="AI69" s="3">
        <v>0.99999999999999956</v>
      </c>
      <c r="AJ69" s="3">
        <v>5.4054054054054036E-2</v>
      </c>
      <c r="AK69" s="3">
        <v>5.4054054054054036E-2</v>
      </c>
      <c r="AL69" s="3">
        <v>2.7027027027027018E-2</v>
      </c>
      <c r="AM69" s="3">
        <v>8.1081081081081058E-2</v>
      </c>
      <c r="AN69" s="3">
        <v>8.1081081081081058E-2</v>
      </c>
      <c r="AO69" s="3">
        <v>6.7567567567567557E-2</v>
      </c>
      <c r="AP69" s="3">
        <v>5.4054054054054036E-2</v>
      </c>
      <c r="AQ69" s="3">
        <v>1.3513513513513509E-2</v>
      </c>
      <c r="AR69" s="3">
        <v>4.0540540540540529E-2</v>
      </c>
      <c r="AS69" s="3">
        <v>1.3513513513513509E-2</v>
      </c>
      <c r="AT69" s="3">
        <v>8.1081081081081058E-2</v>
      </c>
      <c r="AU69" s="3">
        <v>5.4054054054054036E-2</v>
      </c>
      <c r="AV69" s="3">
        <v>2.7027027027027018E-2</v>
      </c>
      <c r="AW69" s="3">
        <v>5.4054054054054036E-2</v>
      </c>
      <c r="AX69" s="3">
        <v>5.4054054054054036E-2</v>
      </c>
      <c r="AY69" s="3">
        <v>2.7027027027027018E-2</v>
      </c>
      <c r="AZ69" s="3">
        <v>4.0540540540540529E-2</v>
      </c>
      <c r="BA69" s="3">
        <v>5.4054054054054036E-2</v>
      </c>
      <c r="BB69" s="3">
        <v>8.1081081081081058E-2</v>
      </c>
      <c r="BC69" s="3">
        <v>1.3513513513513509E-2</v>
      </c>
      <c r="BD69" s="3">
        <v>2.7027027027027018E-2</v>
      </c>
      <c r="BE69">
        <v>28.87</v>
      </c>
      <c r="BF69" s="3" t="str">
        <f>+IF(AVANCE[[#This Row],[% AVANCE]]=100%,"MODULO TERMINADO",IF(AVANCE[[#This Row],[FECHA INICIO REAL]]="","MODULO NO INICIADO","PENDIENTE"))</f>
        <v>MODULO TERMINADO</v>
      </c>
      <c r="BG69" s="3">
        <f>+IF(AVANCE[[#This Row],[VENTANAS]]=8.10810810810811%,100%,AVANCE[[#This Row],[VENTANAS]])</f>
        <v>1</v>
      </c>
      <c r="BH69" s="3">
        <f>+IF(AVANCE[[#This Row],[PISO]]=N$2,100%,AVANCE[[#This Row],[PISO]])</f>
        <v>1</v>
      </c>
      <c r="BI69" s="3">
        <f>+IF(AVANCE[[#This Row],[TABIQUES]]=O$2,100%,AVANCE[[#This Row],[TABIQUES]])</f>
        <v>1</v>
      </c>
      <c r="BJ69" s="3">
        <f>+IF(AVANCE[[#This Row],[MUROS]]=P$2,100%,AVANCE[[#This Row],[MUROS]])</f>
        <v>1</v>
      </c>
      <c r="BK69" s="3">
        <f>+IF(AVANCE[[#This Row],[CIELO]]=Q$2,100%,AVANCE[[#This Row],[CIELO]])</f>
        <v>1</v>
      </c>
      <c r="BL69" s="3">
        <f>+IF(AVANCE[[#This Row],[BALCÓN]]=R$2,100%,AVANCE[[#This Row],[BALCÓN]])</f>
        <v>1</v>
      </c>
      <c r="BM69" s="3">
        <f>+IF(AVANCE[[#This Row],[RED ALCANTARILLADO]]=U$2,100%,AVANCE[[#This Row],[RED ALCANTARILLADO]])</f>
        <v>1</v>
      </c>
      <c r="BN69" s="3">
        <f>+IF(AVANCE[[#This Row],[RED DE AGUA]]=V$2,100%,AVANCE[[#This Row],[RED DE AGUA]])</f>
        <v>1</v>
      </c>
      <c r="BO69" s="3">
        <f>+IF(AVANCE[[#This Row],[VENTILACIONES]]=W$2,100%,AVANCE[[#This Row],[VENTILACIONES]])</f>
        <v>1</v>
      </c>
      <c r="BP69" s="3">
        <f>+IF(AVANCE[[#This Row],[TINA]]=X$2,100%,AVANCE[[#This Row],[TINA]])</f>
        <v>1</v>
      </c>
      <c r="BQ69" s="3">
        <f>+IF(AVANCE[[#This Row],[WC]]=Y$2,100%,AVANCE[[#This Row],[WC]])</f>
        <v>1</v>
      </c>
      <c r="BR69" s="3">
        <f>+IF(AVANCE[[#This Row],[LAVAMANOS / LAVAPLATOS / LAVADERO]]=Z$2,100%,AVANCE[[#This Row],[LAVAMANOS / LAVAPLATOS / LAVADERO]])</f>
        <v>1</v>
      </c>
      <c r="BS69" s="3">
        <f>+IF(AVANCE[[#This Row],[CANALIZACIÓN]]=AC$2,100%,AVANCE[[#This Row],[CANALIZACIÓN]])</f>
        <v>1</v>
      </c>
      <c r="BT69" s="3">
        <f>+IF(AVANCE[[#This Row],[CABLEADO]]=AD$2,100%,AVANCE[[#This Row],[CABLEADO]])</f>
        <v>1</v>
      </c>
      <c r="BU69" s="3">
        <f>+IF(AVANCE[[#This Row],[ARTEFACTOS]]=AE$2,100%,AVANCE[[#This Row],[ARTEFACTOS]])</f>
        <v>1</v>
      </c>
      <c r="BV69" s="3">
        <f>+IF(AVANCE[[#This Row],[TABLERO]]=AF$2,100%,AVANCE[[#This Row],[TABLERO]])</f>
        <v>1</v>
      </c>
      <c r="BW69" s="3">
        <f>+IF(AVANCE[[#This Row],[CAJA PAU]]=AG$2,100%,AVANCE[[#This Row],[CAJA PAU]])</f>
        <v>1</v>
      </c>
      <c r="BX69" s="3">
        <f>+IF(AVANCE[[#This Row],[INSTALACION VINILICO]]=AJ$2,100%,AVANCE[[#This Row],[INSTALACION VINILICO]])</f>
        <v>1</v>
      </c>
      <c r="BY69" s="3">
        <f>+IF(AVANCE[[#This Row],[OSB CUBIERTA]]=AK$2,100%,AVANCE[[#This Row],[OSB CUBIERTA]])</f>
        <v>1</v>
      </c>
      <c r="BZ69" s="3">
        <f>+IF(AVANCE[[#This Row],[BARANDA BALCON]]=AL$2,100%,AVANCE[[#This Row],[BARANDA BALCON]])</f>
        <v>1</v>
      </c>
      <c r="CA69" s="3">
        <f>+IF(AVANCE[[#This Row],[OSB EXTERIOR]]=AM$2,100%,AVANCE[[#This Row],[OSB EXTERIOR]])</f>
        <v>1</v>
      </c>
      <c r="CB69" s="3">
        <f>+IF(AVANCE[[#This Row],[SMART PANEL]]=AN$2,100%,AVANCE[[#This Row],[SMART PANEL]])</f>
        <v>1</v>
      </c>
      <c r="CC69" s="3">
        <f>+IF(AVANCE[[#This Row],[PINTURA EXTERIOR]]=AO$2,100%,AVANCE[[#This Row],[PINTURA EXTERIOR]])</f>
        <v>1</v>
      </c>
      <c r="CD69" s="3">
        <f>+IF(AVANCE[[#This Row],[ZOCALOS LOGIA]]=AP$2,100%,AVANCE[[#This Row],[ZOCALOS LOGIA]])</f>
        <v>1</v>
      </c>
      <c r="CE69" s="3">
        <f>+IF(AVANCE[[#This Row],[MOLDURAS]]=AQ$2,100%,AVANCE[[#This Row],[MOLDURAS]])</f>
        <v>1</v>
      </c>
      <c r="CF69" s="3">
        <f>+IF(AVANCE[[#This Row],[PILASTREO]]=AR$2,100%,AVANCE[[#This Row],[PILASTREO]])</f>
        <v>1</v>
      </c>
      <c r="CG69" s="3">
        <f>+IF(AVANCE[[#This Row],[CELOSIAS]]=AS$2,100%,AVANCE[[#This Row],[CELOSIAS]])</f>
        <v>1</v>
      </c>
      <c r="CH69" s="3">
        <f>+IF(AVANCE[[#This Row],[VENTANAS]]=AT$2,100%,AVANCE[[#This Row],[VENTANAS]])</f>
        <v>1</v>
      </c>
      <c r="CI69" s="3">
        <f>+IF(AVANCE[[#This Row],[PUERTAS ACCESO - LOGIA - BANO]]=AU$2,100%,AVANCE[[#This Row],[PUERTAS ACCESO - LOGIA - BANO]])</f>
        <v>1</v>
      </c>
      <c r="CJ69" s="3">
        <f>+IF(AVANCE[[#This Row],[CERRADURAS]]=AV$2,100%,AVANCE[[#This Row],[CERRADURAS]])</f>
        <v>1</v>
      </c>
      <c r="CK69" s="3">
        <f>+IF(AVANCE[[#This Row],[REVESTIMIENTO INTERIOR ZONA SECA]]=AW$2,100%,AVANCE[[#This Row],[REVESTIMIENTO INTERIOR ZONA SECA]])</f>
        <v>1</v>
      </c>
      <c r="CL69" s="3">
        <f>+IF(AVANCE[[#This Row],[REVESTIMIENTO INTERIOR ZONAS HUMEDAS]]=AX$2,100%,AVANCE[[#This Row],[REVESTIMIENTO INTERIOR ZONAS HUMEDAS]])</f>
        <v>1</v>
      </c>
      <c r="CM69" s="3">
        <f>+IF(AVANCE[[#This Row],[MEMBRANA CIELO]]=AY$2,100%,AVANCE[[#This Row],[MEMBRANA CIELO]])</f>
        <v>1</v>
      </c>
      <c r="CN69" s="3">
        <f>+IF(AVANCE[[#This Row],[LIMPIEZA FINAL]]=AZ$2,100%,AVANCE[[#This Row],[LIMPIEZA FINAL]])</f>
        <v>1</v>
      </c>
      <c r="CO69" s="3">
        <f>+IF(AVANCE[[#This Row],[PUERTAS DORMITORIO]]=BA$2,100%,AVANCE[[#This Row],[PUERTAS DORMITORIO]])</f>
        <v>1</v>
      </c>
      <c r="CP69" s="3">
        <f>+IF(AVANCE[[#This Row],[REVESTIMIENTO INTERIOR BANO]]=BB$2,100%,AVANCE[[#This Row],[REVESTIMIENTO INTERIOR BANO]])</f>
        <v>1</v>
      </c>
      <c r="CQ69" s="3">
        <f>+IF(AVANCE[[#This Row],[MUEBLE LAVAPLATOS]]=BC$2,100%,AVANCE[[#This Row],[MUEBLE LAVAPLATOS]])</f>
        <v>1</v>
      </c>
      <c r="CR69" s="3">
        <f>+IF(AVANCE[[#This Row],[IMPERMEABILIZACION BANO - COCINA LOGIA]]=BD$2,100%,AVANCE[[#This Row],[IMPERMEABILIZACION BANO - COCINA LOGIA]])</f>
        <v>1</v>
      </c>
      <c r="CS69" s="40">
        <f ca="1">+IF(AVANCE[[#This Row],[ESTADO MODULO]]="PENDIENTE",(TODAY()-AVANCE[[#This Row],[FECHA TERMINO  PLANIFICADO]]),0)</f>
        <v>0</v>
      </c>
      <c r="CT69" s="41" t="str" cm="1">
        <f t="array" ref="CT69">_xlfn.TEXTJOIN(" | ",TRUE,IF(SUMPRODUCT((BG69:CR69&lt;1)*(PARTIDAS!$I$2:$AT$2="OBRA GRUESA"))&gt;0,"OBRA GRUESA: "&amp;_xlfn.TEXTJOIN(", ",TRUE,IF((BG69:CR69&lt;1)*(PARTIDAS!$I$2:$AT$2="OBRA GRUESA"),PARTIDAS!$I$1:$AT$1,"")),""),IF(SUMPRODUCT((BG69:CR69&lt;1)*(PARTIDAS!$I$2:$AT$2="SANITARIOS"))&gt;0,"SANITARIOS: "&amp;_xlfn.TEXTJOIN(", ",TRUE,IF((BG69:CR69&lt;1)*(PARTIDAS!$I$2:$AT$2="SANITARIOS"),PARTIDAS!$I$1:$AT$1,"")),""),IF(SUMPRODUCT((BG69:CR69&lt;1)*(PARTIDAS!$I$2:$AT$2="ELÉCTRICO"))&gt;0,"ELÉCTRICO: "&amp;_xlfn.TEXTJOIN(", ",TRUE,IF((BG69:CR69&lt;1)*(PARTIDAS!$I$2:$AT$2="ELÉCTRICO"),PARTIDAS!$I$1:$AT$1,"")),""),IF(SUMPRODUCT((BG69:CR69&lt;1)*(PARTIDAS!$I$2:$AT$2="TERMINACIONES"))&gt;0,"TERMINACIONES: "&amp;_xlfn.TEXTJOIN(", ",TRUE,IF((BG69:CR69&lt;1)*(PARTIDAS!$I$2:$AT$2="TERMINACIONES"),PARTIDAS!$I$1:$AT$1,"")),""))</f>
        <v/>
      </c>
      <c r="CU69" s="43" t="str" cm="1">
        <f t="array" ref="CU69">_xlfn.TEXTJOIN(", ",TRUE,IF(SUMPRODUCT((BG69:CR69&lt;1)*(PARTIDAS!$I$2:$AT$2="OBRA GRUESA"))&gt;0,"OBRA GRUESA",""),IF(SUMPRODUCT((BG69:CR69&lt;1)*(PARTIDAS!$I$2:$AT$2="SANITARIOS"))&gt;0,"SANITARIOS",""),IF(SUMPRODUCT((BG69:CR69&lt;1)*(PARTIDAS!$I$2:$AT$2="ELÉCTRICO"))&gt;0,"ELÉCTRICO",""),IF(SUMPRODUCT((BG69:CR69&lt;1)*(PARTIDAS!$I$2:$AT$2="TERMINACIONES"))&gt;0,"TERMINACIONES",""))</f>
        <v/>
      </c>
      <c r="CV69" s="44" cm="1">
        <f t="array" ref="CV69">SUMPRODUCT(--(BG69:CR69&lt;1))</f>
        <v>0</v>
      </c>
    </row>
    <row r="70" spans="1:100" hidden="1" x14ac:dyDescent="0.25">
      <c r="A70" t="s">
        <v>124</v>
      </c>
      <c r="B70" t="s">
        <v>129</v>
      </c>
      <c r="C70">
        <v>2282600069</v>
      </c>
      <c r="D70" t="s">
        <v>58</v>
      </c>
      <c r="E70" s="2">
        <v>0.99999999999999978</v>
      </c>
      <c r="F70" s="1">
        <v>46154</v>
      </c>
      <c r="G70" s="1">
        <v>46156</v>
      </c>
      <c r="H70" s="1">
        <v>46206</v>
      </c>
      <c r="I70" s="1">
        <v>46180</v>
      </c>
      <c r="K70" s="1">
        <v>46206</v>
      </c>
      <c r="L70" s="3">
        <v>0.43</v>
      </c>
      <c r="M70" s="3">
        <v>1</v>
      </c>
      <c r="N70" s="3">
        <v>0.27906976744186046</v>
      </c>
      <c r="O70" s="3">
        <v>0.18604651162790697</v>
      </c>
      <c r="P70" s="3">
        <v>0.2558139534883721</v>
      </c>
      <c r="Q70" s="3">
        <v>0.18604651162790697</v>
      </c>
      <c r="R70" s="3">
        <v>9.3023255813953487E-2</v>
      </c>
      <c r="S70" s="3">
        <v>0.09</v>
      </c>
      <c r="T70" s="3">
        <v>1</v>
      </c>
      <c r="U70" s="3">
        <v>0.22222222222222221</v>
      </c>
      <c r="V70" s="3">
        <v>0.22222222222222221</v>
      </c>
      <c r="W70" s="3">
        <v>0.1111111111111111</v>
      </c>
      <c r="X70" s="3">
        <v>0.1111111111111111</v>
      </c>
      <c r="Y70" s="3">
        <v>0.1111111111111111</v>
      </c>
      <c r="Z70" s="3">
        <v>0.22222222222222221</v>
      </c>
      <c r="AA70" s="3">
        <v>0.11</v>
      </c>
      <c r="AB70" s="3">
        <v>1</v>
      </c>
      <c r="AC70" s="3">
        <v>0.27272727272727271</v>
      </c>
      <c r="AD70" s="3">
        <v>0.27272727272727271</v>
      </c>
      <c r="AE70" s="3">
        <v>9.0909090909090912E-2</v>
      </c>
      <c r="AF70" s="3">
        <v>0.18181818181818182</v>
      </c>
      <c r="AG70" s="3">
        <v>0.18181818181818182</v>
      </c>
      <c r="AH70" s="3">
        <v>0.36999999999999983</v>
      </c>
      <c r="AI70" s="3">
        <v>0.99999999999999956</v>
      </c>
      <c r="AJ70" s="3">
        <v>5.4054054054054036E-2</v>
      </c>
      <c r="AK70" s="3">
        <v>5.4054054054054036E-2</v>
      </c>
      <c r="AL70" s="3">
        <v>2.7027027027027018E-2</v>
      </c>
      <c r="AM70" s="3">
        <v>8.1081081081081058E-2</v>
      </c>
      <c r="AN70" s="3">
        <v>8.1081081081081058E-2</v>
      </c>
      <c r="AO70" s="3">
        <v>6.7567567567567557E-2</v>
      </c>
      <c r="AP70" s="3">
        <v>5.4054054054054036E-2</v>
      </c>
      <c r="AQ70" s="3">
        <v>1.3513513513513509E-2</v>
      </c>
      <c r="AR70" s="3">
        <v>4.0540540540540529E-2</v>
      </c>
      <c r="AS70" s="3">
        <v>1.3513513513513509E-2</v>
      </c>
      <c r="AT70" s="3">
        <v>8.1081081081081058E-2</v>
      </c>
      <c r="AU70" s="3">
        <v>5.4054054054054036E-2</v>
      </c>
      <c r="AV70" s="3">
        <v>2.7027027027027018E-2</v>
      </c>
      <c r="AW70" s="3">
        <v>5.4054054054054036E-2</v>
      </c>
      <c r="AX70" s="3">
        <v>5.4054054054054036E-2</v>
      </c>
      <c r="AY70" s="3">
        <v>2.7027027027027018E-2</v>
      </c>
      <c r="AZ70" s="3">
        <v>4.0540540540540529E-2</v>
      </c>
      <c r="BA70" s="3">
        <v>5.4054054054054036E-2</v>
      </c>
      <c r="BB70" s="3">
        <v>8.1081081081081058E-2</v>
      </c>
      <c r="BC70" s="3">
        <v>1.3513513513513509E-2</v>
      </c>
      <c r="BD70" s="3">
        <v>2.7027027027027018E-2</v>
      </c>
      <c r="BE70">
        <v>28.87</v>
      </c>
      <c r="BF70" s="3" t="str">
        <f>+IF(AVANCE[[#This Row],[% AVANCE]]=100%,"MODULO TERMINADO",IF(AVANCE[[#This Row],[FECHA INICIO REAL]]="","MODULO NO INICIADO","PENDIENTE"))</f>
        <v>MODULO TERMINADO</v>
      </c>
      <c r="BG70" s="3">
        <f>+IF(AVANCE[[#This Row],[VENTANAS]]=8.10810810810811%,100%,AVANCE[[#This Row],[VENTANAS]])</f>
        <v>1</v>
      </c>
      <c r="BH70" s="3">
        <f>+IF(AVANCE[[#This Row],[PISO]]=N$2,100%,AVANCE[[#This Row],[PISO]])</f>
        <v>1</v>
      </c>
      <c r="BI70" s="3">
        <f>+IF(AVANCE[[#This Row],[TABIQUES]]=O$2,100%,AVANCE[[#This Row],[TABIQUES]])</f>
        <v>1</v>
      </c>
      <c r="BJ70" s="3">
        <f>+IF(AVANCE[[#This Row],[MUROS]]=P$2,100%,AVANCE[[#This Row],[MUROS]])</f>
        <v>1</v>
      </c>
      <c r="BK70" s="3">
        <f>+IF(AVANCE[[#This Row],[CIELO]]=Q$2,100%,AVANCE[[#This Row],[CIELO]])</f>
        <v>1</v>
      </c>
      <c r="BL70" s="3">
        <f>+IF(AVANCE[[#This Row],[BALCÓN]]=R$2,100%,AVANCE[[#This Row],[BALCÓN]])</f>
        <v>1</v>
      </c>
      <c r="BM70" s="3">
        <f>+IF(AVANCE[[#This Row],[RED ALCANTARILLADO]]=U$2,100%,AVANCE[[#This Row],[RED ALCANTARILLADO]])</f>
        <v>1</v>
      </c>
      <c r="BN70" s="3">
        <f>+IF(AVANCE[[#This Row],[RED DE AGUA]]=V$2,100%,AVANCE[[#This Row],[RED DE AGUA]])</f>
        <v>1</v>
      </c>
      <c r="BO70" s="3">
        <f>+IF(AVANCE[[#This Row],[VENTILACIONES]]=W$2,100%,AVANCE[[#This Row],[VENTILACIONES]])</f>
        <v>1</v>
      </c>
      <c r="BP70" s="3">
        <f>+IF(AVANCE[[#This Row],[TINA]]=X$2,100%,AVANCE[[#This Row],[TINA]])</f>
        <v>1</v>
      </c>
      <c r="BQ70" s="3">
        <f>+IF(AVANCE[[#This Row],[WC]]=Y$2,100%,AVANCE[[#This Row],[WC]])</f>
        <v>1</v>
      </c>
      <c r="BR70" s="3">
        <f>+IF(AVANCE[[#This Row],[LAVAMANOS / LAVAPLATOS / LAVADERO]]=Z$2,100%,AVANCE[[#This Row],[LAVAMANOS / LAVAPLATOS / LAVADERO]])</f>
        <v>1</v>
      </c>
      <c r="BS70" s="3">
        <f>+IF(AVANCE[[#This Row],[CANALIZACIÓN]]=AC$2,100%,AVANCE[[#This Row],[CANALIZACIÓN]])</f>
        <v>1</v>
      </c>
      <c r="BT70" s="3">
        <f>+IF(AVANCE[[#This Row],[CABLEADO]]=AD$2,100%,AVANCE[[#This Row],[CABLEADO]])</f>
        <v>1</v>
      </c>
      <c r="BU70" s="3">
        <f>+IF(AVANCE[[#This Row],[ARTEFACTOS]]=AE$2,100%,AVANCE[[#This Row],[ARTEFACTOS]])</f>
        <v>1</v>
      </c>
      <c r="BV70" s="3">
        <f>+IF(AVANCE[[#This Row],[TABLERO]]=AF$2,100%,AVANCE[[#This Row],[TABLERO]])</f>
        <v>1</v>
      </c>
      <c r="BW70" s="3">
        <f>+IF(AVANCE[[#This Row],[CAJA PAU]]=AG$2,100%,AVANCE[[#This Row],[CAJA PAU]])</f>
        <v>1</v>
      </c>
      <c r="BX70" s="3">
        <f>+IF(AVANCE[[#This Row],[INSTALACION VINILICO]]=AJ$2,100%,AVANCE[[#This Row],[INSTALACION VINILICO]])</f>
        <v>1</v>
      </c>
      <c r="BY70" s="3">
        <f>+IF(AVANCE[[#This Row],[OSB CUBIERTA]]=AK$2,100%,AVANCE[[#This Row],[OSB CUBIERTA]])</f>
        <v>1</v>
      </c>
      <c r="BZ70" s="3">
        <f>+IF(AVANCE[[#This Row],[BARANDA BALCON]]=AL$2,100%,AVANCE[[#This Row],[BARANDA BALCON]])</f>
        <v>1</v>
      </c>
      <c r="CA70" s="3">
        <f>+IF(AVANCE[[#This Row],[OSB EXTERIOR]]=AM$2,100%,AVANCE[[#This Row],[OSB EXTERIOR]])</f>
        <v>1</v>
      </c>
      <c r="CB70" s="3">
        <f>+IF(AVANCE[[#This Row],[SMART PANEL]]=AN$2,100%,AVANCE[[#This Row],[SMART PANEL]])</f>
        <v>1</v>
      </c>
      <c r="CC70" s="3">
        <f>+IF(AVANCE[[#This Row],[PINTURA EXTERIOR]]=AO$2,100%,AVANCE[[#This Row],[PINTURA EXTERIOR]])</f>
        <v>1</v>
      </c>
      <c r="CD70" s="3">
        <f>+IF(AVANCE[[#This Row],[ZOCALOS LOGIA]]=AP$2,100%,AVANCE[[#This Row],[ZOCALOS LOGIA]])</f>
        <v>1</v>
      </c>
      <c r="CE70" s="3">
        <f>+IF(AVANCE[[#This Row],[MOLDURAS]]=AQ$2,100%,AVANCE[[#This Row],[MOLDURAS]])</f>
        <v>1</v>
      </c>
      <c r="CF70" s="3">
        <f>+IF(AVANCE[[#This Row],[PILASTREO]]=AR$2,100%,AVANCE[[#This Row],[PILASTREO]])</f>
        <v>1</v>
      </c>
      <c r="CG70" s="3">
        <f>+IF(AVANCE[[#This Row],[CELOSIAS]]=AS$2,100%,AVANCE[[#This Row],[CELOSIAS]])</f>
        <v>1</v>
      </c>
      <c r="CH70" s="3">
        <f>+IF(AVANCE[[#This Row],[VENTANAS]]=AT$2,100%,AVANCE[[#This Row],[VENTANAS]])</f>
        <v>1</v>
      </c>
      <c r="CI70" s="3">
        <f>+IF(AVANCE[[#This Row],[PUERTAS ACCESO - LOGIA - BANO]]=AU$2,100%,AVANCE[[#This Row],[PUERTAS ACCESO - LOGIA - BANO]])</f>
        <v>1</v>
      </c>
      <c r="CJ70" s="3">
        <f>+IF(AVANCE[[#This Row],[CERRADURAS]]=AV$2,100%,AVANCE[[#This Row],[CERRADURAS]])</f>
        <v>1</v>
      </c>
      <c r="CK70" s="3">
        <f>+IF(AVANCE[[#This Row],[REVESTIMIENTO INTERIOR ZONA SECA]]=AW$2,100%,AVANCE[[#This Row],[REVESTIMIENTO INTERIOR ZONA SECA]])</f>
        <v>1</v>
      </c>
      <c r="CL70" s="3">
        <f>+IF(AVANCE[[#This Row],[REVESTIMIENTO INTERIOR ZONAS HUMEDAS]]=AX$2,100%,AVANCE[[#This Row],[REVESTIMIENTO INTERIOR ZONAS HUMEDAS]])</f>
        <v>1</v>
      </c>
      <c r="CM70" s="3">
        <f>+IF(AVANCE[[#This Row],[MEMBRANA CIELO]]=AY$2,100%,AVANCE[[#This Row],[MEMBRANA CIELO]])</f>
        <v>1</v>
      </c>
      <c r="CN70" s="3">
        <f>+IF(AVANCE[[#This Row],[LIMPIEZA FINAL]]=AZ$2,100%,AVANCE[[#This Row],[LIMPIEZA FINAL]])</f>
        <v>1</v>
      </c>
      <c r="CO70" s="3">
        <f>+IF(AVANCE[[#This Row],[PUERTAS DORMITORIO]]=BA$2,100%,AVANCE[[#This Row],[PUERTAS DORMITORIO]])</f>
        <v>1</v>
      </c>
      <c r="CP70" s="3">
        <f>+IF(AVANCE[[#This Row],[REVESTIMIENTO INTERIOR BANO]]=BB$2,100%,AVANCE[[#This Row],[REVESTIMIENTO INTERIOR BANO]])</f>
        <v>1</v>
      </c>
      <c r="CQ70" s="3">
        <f>+IF(AVANCE[[#This Row],[MUEBLE LAVAPLATOS]]=BC$2,100%,AVANCE[[#This Row],[MUEBLE LAVAPLATOS]])</f>
        <v>1</v>
      </c>
      <c r="CR70" s="3">
        <f>+IF(AVANCE[[#This Row],[IMPERMEABILIZACION BANO - COCINA LOGIA]]=BD$2,100%,AVANCE[[#This Row],[IMPERMEABILIZACION BANO - COCINA LOGIA]])</f>
        <v>1</v>
      </c>
      <c r="CS70" s="40">
        <f ca="1">+IF(AVANCE[[#This Row],[ESTADO MODULO]]="PENDIENTE",(TODAY()-AVANCE[[#This Row],[FECHA TERMINO  PLANIFICADO]]),0)</f>
        <v>0</v>
      </c>
      <c r="CT70" s="41" t="str" cm="1">
        <f t="array" ref="CT70">_xlfn.TEXTJOIN(" | ",TRUE,IF(SUMPRODUCT((BG70:CR70&lt;1)*(PARTIDAS!$I$2:$AT$2="OBRA GRUESA"))&gt;0,"OBRA GRUESA: "&amp;_xlfn.TEXTJOIN(", ",TRUE,IF((BG70:CR70&lt;1)*(PARTIDAS!$I$2:$AT$2="OBRA GRUESA"),PARTIDAS!$I$1:$AT$1,"")),""),IF(SUMPRODUCT((BG70:CR70&lt;1)*(PARTIDAS!$I$2:$AT$2="SANITARIOS"))&gt;0,"SANITARIOS: "&amp;_xlfn.TEXTJOIN(", ",TRUE,IF((BG70:CR70&lt;1)*(PARTIDAS!$I$2:$AT$2="SANITARIOS"),PARTIDAS!$I$1:$AT$1,"")),""),IF(SUMPRODUCT((BG70:CR70&lt;1)*(PARTIDAS!$I$2:$AT$2="ELÉCTRICO"))&gt;0,"ELÉCTRICO: "&amp;_xlfn.TEXTJOIN(", ",TRUE,IF((BG70:CR70&lt;1)*(PARTIDAS!$I$2:$AT$2="ELÉCTRICO"),PARTIDAS!$I$1:$AT$1,"")),""),IF(SUMPRODUCT((BG70:CR70&lt;1)*(PARTIDAS!$I$2:$AT$2="TERMINACIONES"))&gt;0,"TERMINACIONES: "&amp;_xlfn.TEXTJOIN(", ",TRUE,IF((BG70:CR70&lt;1)*(PARTIDAS!$I$2:$AT$2="TERMINACIONES"),PARTIDAS!$I$1:$AT$1,"")),""))</f>
        <v/>
      </c>
      <c r="CU70" s="43" t="str" cm="1">
        <f t="array" ref="CU70">_xlfn.TEXTJOIN(", ",TRUE,IF(SUMPRODUCT((BG70:CR70&lt;1)*(PARTIDAS!$I$2:$AT$2="OBRA GRUESA"))&gt;0,"OBRA GRUESA",""),IF(SUMPRODUCT((BG70:CR70&lt;1)*(PARTIDAS!$I$2:$AT$2="SANITARIOS"))&gt;0,"SANITARIOS",""),IF(SUMPRODUCT((BG70:CR70&lt;1)*(PARTIDAS!$I$2:$AT$2="ELÉCTRICO"))&gt;0,"ELÉCTRICO",""),IF(SUMPRODUCT((BG70:CR70&lt;1)*(PARTIDAS!$I$2:$AT$2="TERMINACIONES"))&gt;0,"TERMINACIONES",""))</f>
        <v/>
      </c>
      <c r="CV70" s="44" cm="1">
        <f t="array" ref="CV70">SUMPRODUCT(--(BG70:CR70&lt;1))</f>
        <v>0</v>
      </c>
    </row>
    <row r="71" spans="1:100" hidden="1" x14ac:dyDescent="0.25">
      <c r="A71" t="s">
        <v>124</v>
      </c>
      <c r="B71" t="s">
        <v>130</v>
      </c>
      <c r="C71">
        <v>2302600070</v>
      </c>
      <c r="D71" t="s">
        <v>60</v>
      </c>
      <c r="E71" s="2">
        <v>0.99999999999999978</v>
      </c>
      <c r="F71" s="1">
        <v>46154</v>
      </c>
      <c r="G71" s="1">
        <v>46158</v>
      </c>
      <c r="H71" s="1">
        <v>46210</v>
      </c>
      <c r="I71" s="1">
        <v>46190</v>
      </c>
      <c r="K71" s="1">
        <v>46210</v>
      </c>
      <c r="L71" s="3">
        <v>0.43</v>
      </c>
      <c r="M71" s="3">
        <v>1</v>
      </c>
      <c r="N71" s="3">
        <v>0.27906976744186046</v>
      </c>
      <c r="O71" s="3">
        <v>0.18604651162790697</v>
      </c>
      <c r="P71" s="3">
        <v>0.2558139534883721</v>
      </c>
      <c r="Q71" s="3">
        <v>0.18604651162790697</v>
      </c>
      <c r="R71" s="3">
        <v>9.3023255813953487E-2</v>
      </c>
      <c r="S71" s="3">
        <v>0.09</v>
      </c>
      <c r="T71" s="3">
        <v>1</v>
      </c>
      <c r="U71" s="3">
        <v>0.22222222222222221</v>
      </c>
      <c r="V71" s="3">
        <v>0.22222222222222221</v>
      </c>
      <c r="W71" s="3">
        <v>0.1111111111111111</v>
      </c>
      <c r="X71" s="3">
        <v>0.1111111111111111</v>
      </c>
      <c r="Y71" s="3">
        <v>0.1111111111111111</v>
      </c>
      <c r="Z71" s="3">
        <v>0.22222222222222221</v>
      </c>
      <c r="AA71" s="3">
        <v>0.11</v>
      </c>
      <c r="AB71" s="3">
        <v>1</v>
      </c>
      <c r="AC71" s="3">
        <v>0.27272727272727271</v>
      </c>
      <c r="AD71" s="3">
        <v>0.27272727272727271</v>
      </c>
      <c r="AE71" s="3">
        <v>9.0909090909090912E-2</v>
      </c>
      <c r="AF71" s="3">
        <v>0.18181818181818182</v>
      </c>
      <c r="AG71" s="3">
        <v>0.18181818181818182</v>
      </c>
      <c r="AH71" s="3">
        <v>0.36999999999999983</v>
      </c>
      <c r="AI71" s="3">
        <v>0.99999999999999956</v>
      </c>
      <c r="AJ71" s="3">
        <v>5.4054054054054036E-2</v>
      </c>
      <c r="AK71" s="3">
        <v>5.4054054054054036E-2</v>
      </c>
      <c r="AL71" s="3">
        <v>2.7027027027027018E-2</v>
      </c>
      <c r="AM71" s="3">
        <v>8.1081081081081058E-2</v>
      </c>
      <c r="AN71" s="3">
        <v>8.1081081081081058E-2</v>
      </c>
      <c r="AO71" s="3">
        <v>6.7567567567567557E-2</v>
      </c>
      <c r="AP71" s="3">
        <v>5.4054054054054036E-2</v>
      </c>
      <c r="AQ71" s="3">
        <v>1.3513513513513509E-2</v>
      </c>
      <c r="AR71" s="3">
        <v>4.0540540540540529E-2</v>
      </c>
      <c r="AS71" s="3">
        <v>1.3513513513513509E-2</v>
      </c>
      <c r="AT71" s="3">
        <v>8.1081081081081058E-2</v>
      </c>
      <c r="AU71" s="3">
        <v>5.4054054054054036E-2</v>
      </c>
      <c r="AV71" s="3">
        <v>2.7027027027027018E-2</v>
      </c>
      <c r="AW71" s="3">
        <v>5.4054054054054036E-2</v>
      </c>
      <c r="AX71" s="3">
        <v>5.4054054054054036E-2</v>
      </c>
      <c r="AY71" s="3">
        <v>2.7027027027027018E-2</v>
      </c>
      <c r="AZ71" s="3">
        <v>4.0540540540540529E-2</v>
      </c>
      <c r="BA71" s="3">
        <v>5.4054054054054036E-2</v>
      </c>
      <c r="BB71" s="3">
        <v>8.1081081081081058E-2</v>
      </c>
      <c r="BC71" s="3">
        <v>1.3513513513513509E-2</v>
      </c>
      <c r="BD71" s="3">
        <v>2.7027027027027018E-2</v>
      </c>
      <c r="BE71">
        <v>31.32</v>
      </c>
      <c r="BF71" s="3" t="str">
        <f>+IF(AVANCE[[#This Row],[% AVANCE]]=100%,"MODULO TERMINADO",IF(AVANCE[[#This Row],[FECHA INICIO REAL]]="","MODULO NO INICIADO","PENDIENTE"))</f>
        <v>MODULO TERMINADO</v>
      </c>
      <c r="BG71" s="3">
        <f>+IF(AVANCE[[#This Row],[VENTANAS]]=8.10810810810811%,100%,AVANCE[[#This Row],[VENTANAS]])</f>
        <v>1</v>
      </c>
      <c r="BH71" s="3">
        <f>+IF(AVANCE[[#This Row],[PISO]]=N$2,100%,AVANCE[[#This Row],[PISO]])</f>
        <v>1</v>
      </c>
      <c r="BI71" s="3">
        <f>+IF(AVANCE[[#This Row],[TABIQUES]]=O$2,100%,AVANCE[[#This Row],[TABIQUES]])</f>
        <v>1</v>
      </c>
      <c r="BJ71" s="3">
        <f>+IF(AVANCE[[#This Row],[MUROS]]=P$2,100%,AVANCE[[#This Row],[MUROS]])</f>
        <v>1</v>
      </c>
      <c r="BK71" s="3">
        <f>+IF(AVANCE[[#This Row],[CIELO]]=Q$2,100%,AVANCE[[#This Row],[CIELO]])</f>
        <v>1</v>
      </c>
      <c r="BL71" s="3">
        <f>+IF(AVANCE[[#This Row],[BALCÓN]]=R$2,100%,AVANCE[[#This Row],[BALCÓN]])</f>
        <v>1</v>
      </c>
      <c r="BM71" s="3">
        <f>+IF(AVANCE[[#This Row],[RED ALCANTARILLADO]]=U$2,100%,AVANCE[[#This Row],[RED ALCANTARILLADO]])</f>
        <v>1</v>
      </c>
      <c r="BN71" s="3">
        <f>+IF(AVANCE[[#This Row],[RED DE AGUA]]=V$2,100%,AVANCE[[#This Row],[RED DE AGUA]])</f>
        <v>1</v>
      </c>
      <c r="BO71" s="3">
        <f>+IF(AVANCE[[#This Row],[VENTILACIONES]]=W$2,100%,AVANCE[[#This Row],[VENTILACIONES]])</f>
        <v>1</v>
      </c>
      <c r="BP71" s="3">
        <f>+IF(AVANCE[[#This Row],[TINA]]=X$2,100%,AVANCE[[#This Row],[TINA]])</f>
        <v>1</v>
      </c>
      <c r="BQ71" s="3">
        <f>+IF(AVANCE[[#This Row],[WC]]=Y$2,100%,AVANCE[[#This Row],[WC]])</f>
        <v>1</v>
      </c>
      <c r="BR71" s="3">
        <f>+IF(AVANCE[[#This Row],[LAVAMANOS / LAVAPLATOS / LAVADERO]]=Z$2,100%,AVANCE[[#This Row],[LAVAMANOS / LAVAPLATOS / LAVADERO]])</f>
        <v>1</v>
      </c>
      <c r="BS71" s="3">
        <f>+IF(AVANCE[[#This Row],[CANALIZACIÓN]]=AC$2,100%,AVANCE[[#This Row],[CANALIZACIÓN]])</f>
        <v>1</v>
      </c>
      <c r="BT71" s="3">
        <f>+IF(AVANCE[[#This Row],[CABLEADO]]=AD$2,100%,AVANCE[[#This Row],[CABLEADO]])</f>
        <v>1</v>
      </c>
      <c r="BU71" s="3">
        <f>+IF(AVANCE[[#This Row],[ARTEFACTOS]]=AE$2,100%,AVANCE[[#This Row],[ARTEFACTOS]])</f>
        <v>1</v>
      </c>
      <c r="BV71" s="3">
        <f>+IF(AVANCE[[#This Row],[TABLERO]]=AF$2,100%,AVANCE[[#This Row],[TABLERO]])</f>
        <v>1</v>
      </c>
      <c r="BW71" s="3">
        <f>+IF(AVANCE[[#This Row],[CAJA PAU]]=AG$2,100%,AVANCE[[#This Row],[CAJA PAU]])</f>
        <v>1</v>
      </c>
      <c r="BX71" s="3">
        <f>+IF(AVANCE[[#This Row],[INSTALACION VINILICO]]=AJ$2,100%,AVANCE[[#This Row],[INSTALACION VINILICO]])</f>
        <v>1</v>
      </c>
      <c r="BY71" s="3">
        <f>+IF(AVANCE[[#This Row],[OSB CUBIERTA]]=AK$2,100%,AVANCE[[#This Row],[OSB CUBIERTA]])</f>
        <v>1</v>
      </c>
      <c r="BZ71" s="3">
        <f>+IF(AVANCE[[#This Row],[BARANDA BALCON]]=AL$2,100%,AVANCE[[#This Row],[BARANDA BALCON]])</f>
        <v>1</v>
      </c>
      <c r="CA71" s="3">
        <f>+IF(AVANCE[[#This Row],[OSB EXTERIOR]]=AM$2,100%,AVANCE[[#This Row],[OSB EXTERIOR]])</f>
        <v>1</v>
      </c>
      <c r="CB71" s="3">
        <f>+IF(AVANCE[[#This Row],[SMART PANEL]]=AN$2,100%,AVANCE[[#This Row],[SMART PANEL]])</f>
        <v>1</v>
      </c>
      <c r="CC71" s="3">
        <f>+IF(AVANCE[[#This Row],[PINTURA EXTERIOR]]=AO$2,100%,AVANCE[[#This Row],[PINTURA EXTERIOR]])</f>
        <v>1</v>
      </c>
      <c r="CD71" s="3">
        <f>+IF(AVANCE[[#This Row],[ZOCALOS LOGIA]]=AP$2,100%,AVANCE[[#This Row],[ZOCALOS LOGIA]])</f>
        <v>1</v>
      </c>
      <c r="CE71" s="3">
        <f>+IF(AVANCE[[#This Row],[MOLDURAS]]=AQ$2,100%,AVANCE[[#This Row],[MOLDURAS]])</f>
        <v>1</v>
      </c>
      <c r="CF71" s="3">
        <f>+IF(AVANCE[[#This Row],[PILASTREO]]=AR$2,100%,AVANCE[[#This Row],[PILASTREO]])</f>
        <v>1</v>
      </c>
      <c r="CG71" s="3">
        <f>+IF(AVANCE[[#This Row],[CELOSIAS]]=AS$2,100%,AVANCE[[#This Row],[CELOSIAS]])</f>
        <v>1</v>
      </c>
      <c r="CH71" s="3">
        <f>+IF(AVANCE[[#This Row],[VENTANAS]]=AT$2,100%,AVANCE[[#This Row],[VENTANAS]])</f>
        <v>1</v>
      </c>
      <c r="CI71" s="3">
        <f>+IF(AVANCE[[#This Row],[PUERTAS ACCESO - LOGIA - BANO]]=AU$2,100%,AVANCE[[#This Row],[PUERTAS ACCESO - LOGIA - BANO]])</f>
        <v>1</v>
      </c>
      <c r="CJ71" s="3">
        <f>+IF(AVANCE[[#This Row],[CERRADURAS]]=AV$2,100%,AVANCE[[#This Row],[CERRADURAS]])</f>
        <v>1</v>
      </c>
      <c r="CK71" s="3">
        <f>+IF(AVANCE[[#This Row],[REVESTIMIENTO INTERIOR ZONA SECA]]=AW$2,100%,AVANCE[[#This Row],[REVESTIMIENTO INTERIOR ZONA SECA]])</f>
        <v>1</v>
      </c>
      <c r="CL71" s="3">
        <f>+IF(AVANCE[[#This Row],[REVESTIMIENTO INTERIOR ZONAS HUMEDAS]]=AX$2,100%,AVANCE[[#This Row],[REVESTIMIENTO INTERIOR ZONAS HUMEDAS]])</f>
        <v>1</v>
      </c>
      <c r="CM71" s="3">
        <f>+IF(AVANCE[[#This Row],[MEMBRANA CIELO]]=AY$2,100%,AVANCE[[#This Row],[MEMBRANA CIELO]])</f>
        <v>1</v>
      </c>
      <c r="CN71" s="3">
        <f>+IF(AVANCE[[#This Row],[LIMPIEZA FINAL]]=AZ$2,100%,AVANCE[[#This Row],[LIMPIEZA FINAL]])</f>
        <v>1</v>
      </c>
      <c r="CO71" s="3">
        <f>+IF(AVANCE[[#This Row],[PUERTAS DORMITORIO]]=BA$2,100%,AVANCE[[#This Row],[PUERTAS DORMITORIO]])</f>
        <v>1</v>
      </c>
      <c r="CP71" s="3">
        <f>+IF(AVANCE[[#This Row],[REVESTIMIENTO INTERIOR BANO]]=BB$2,100%,AVANCE[[#This Row],[REVESTIMIENTO INTERIOR BANO]])</f>
        <v>1</v>
      </c>
      <c r="CQ71" s="3">
        <f>+IF(AVANCE[[#This Row],[MUEBLE LAVAPLATOS]]=BC$2,100%,AVANCE[[#This Row],[MUEBLE LAVAPLATOS]])</f>
        <v>1</v>
      </c>
      <c r="CR71" s="3">
        <f>+IF(AVANCE[[#This Row],[IMPERMEABILIZACION BANO - COCINA LOGIA]]=BD$2,100%,AVANCE[[#This Row],[IMPERMEABILIZACION BANO - COCINA LOGIA]])</f>
        <v>1</v>
      </c>
      <c r="CS71" s="40">
        <f ca="1">+IF(AVANCE[[#This Row],[ESTADO MODULO]]="PENDIENTE",(TODAY()-AVANCE[[#This Row],[FECHA TERMINO  PLANIFICADO]]),0)</f>
        <v>0</v>
      </c>
      <c r="CT71" s="41" t="str" cm="1">
        <f t="array" ref="CT71">_xlfn.TEXTJOIN(" | ",TRUE,IF(SUMPRODUCT((BG71:CR71&lt;1)*(PARTIDAS!$I$2:$AT$2="OBRA GRUESA"))&gt;0,"OBRA GRUESA: "&amp;_xlfn.TEXTJOIN(", ",TRUE,IF((BG71:CR71&lt;1)*(PARTIDAS!$I$2:$AT$2="OBRA GRUESA"),PARTIDAS!$I$1:$AT$1,"")),""),IF(SUMPRODUCT((BG71:CR71&lt;1)*(PARTIDAS!$I$2:$AT$2="SANITARIOS"))&gt;0,"SANITARIOS: "&amp;_xlfn.TEXTJOIN(", ",TRUE,IF((BG71:CR71&lt;1)*(PARTIDAS!$I$2:$AT$2="SANITARIOS"),PARTIDAS!$I$1:$AT$1,"")),""),IF(SUMPRODUCT((BG71:CR71&lt;1)*(PARTIDAS!$I$2:$AT$2="ELÉCTRICO"))&gt;0,"ELÉCTRICO: "&amp;_xlfn.TEXTJOIN(", ",TRUE,IF((BG71:CR71&lt;1)*(PARTIDAS!$I$2:$AT$2="ELÉCTRICO"),PARTIDAS!$I$1:$AT$1,"")),""),IF(SUMPRODUCT((BG71:CR71&lt;1)*(PARTIDAS!$I$2:$AT$2="TERMINACIONES"))&gt;0,"TERMINACIONES: "&amp;_xlfn.TEXTJOIN(", ",TRUE,IF((BG71:CR71&lt;1)*(PARTIDAS!$I$2:$AT$2="TERMINACIONES"),PARTIDAS!$I$1:$AT$1,"")),""))</f>
        <v/>
      </c>
      <c r="CU71" s="43" t="str" cm="1">
        <f t="array" ref="CU71">_xlfn.TEXTJOIN(", ",TRUE,IF(SUMPRODUCT((BG71:CR71&lt;1)*(PARTIDAS!$I$2:$AT$2="OBRA GRUESA"))&gt;0,"OBRA GRUESA",""),IF(SUMPRODUCT((BG71:CR71&lt;1)*(PARTIDAS!$I$2:$AT$2="SANITARIOS"))&gt;0,"SANITARIOS",""),IF(SUMPRODUCT((BG71:CR71&lt;1)*(PARTIDAS!$I$2:$AT$2="ELÉCTRICO"))&gt;0,"ELÉCTRICO",""),IF(SUMPRODUCT((BG71:CR71&lt;1)*(PARTIDAS!$I$2:$AT$2="TERMINACIONES"))&gt;0,"TERMINACIONES",""))</f>
        <v/>
      </c>
      <c r="CV71" s="44" cm="1">
        <f t="array" ref="CV71">SUMPRODUCT(--(BG71:CR71&lt;1))</f>
        <v>0</v>
      </c>
    </row>
    <row r="72" spans="1:100" hidden="1" x14ac:dyDescent="0.25">
      <c r="A72" t="s">
        <v>124</v>
      </c>
      <c r="B72" t="s">
        <v>131</v>
      </c>
      <c r="C72">
        <v>2302600071</v>
      </c>
      <c r="D72" t="s">
        <v>60</v>
      </c>
      <c r="E72" s="2">
        <v>0.99999999999999978</v>
      </c>
      <c r="F72" s="1">
        <v>46155</v>
      </c>
      <c r="G72" s="1">
        <v>46156</v>
      </c>
      <c r="H72" s="1">
        <v>46210</v>
      </c>
      <c r="I72" s="1">
        <v>46191</v>
      </c>
      <c r="K72" s="1">
        <v>46210</v>
      </c>
      <c r="L72" s="3">
        <v>0.43</v>
      </c>
      <c r="M72" s="3">
        <v>1</v>
      </c>
      <c r="N72" s="3">
        <v>0.27906976744186046</v>
      </c>
      <c r="O72" s="3">
        <v>0.18604651162790697</v>
      </c>
      <c r="P72" s="3">
        <v>0.2558139534883721</v>
      </c>
      <c r="Q72" s="3">
        <v>0.18604651162790697</v>
      </c>
      <c r="R72" s="3">
        <v>9.3023255813953487E-2</v>
      </c>
      <c r="S72" s="3">
        <v>0.09</v>
      </c>
      <c r="T72" s="3">
        <v>1</v>
      </c>
      <c r="U72" s="3">
        <v>0.22222222222222221</v>
      </c>
      <c r="V72" s="3">
        <v>0.22222222222222221</v>
      </c>
      <c r="W72" s="3">
        <v>0.1111111111111111</v>
      </c>
      <c r="X72" s="3">
        <v>0.1111111111111111</v>
      </c>
      <c r="Y72" s="3">
        <v>0.1111111111111111</v>
      </c>
      <c r="Z72" s="3">
        <v>0.22222222222222221</v>
      </c>
      <c r="AA72" s="3">
        <v>0.11</v>
      </c>
      <c r="AB72" s="3">
        <v>1</v>
      </c>
      <c r="AC72" s="3">
        <v>0.27272727272727271</v>
      </c>
      <c r="AD72" s="3">
        <v>0.27272727272727271</v>
      </c>
      <c r="AE72" s="3">
        <v>9.0909090909090912E-2</v>
      </c>
      <c r="AF72" s="3">
        <v>0.18181818181818182</v>
      </c>
      <c r="AG72" s="3">
        <v>0.18181818181818182</v>
      </c>
      <c r="AH72" s="3">
        <v>0.36999999999999983</v>
      </c>
      <c r="AI72" s="3">
        <v>0.99999999999999956</v>
      </c>
      <c r="AJ72" s="3">
        <v>5.4054054054054036E-2</v>
      </c>
      <c r="AK72" s="3">
        <v>5.4054054054054036E-2</v>
      </c>
      <c r="AL72" s="3">
        <v>2.7027027027027018E-2</v>
      </c>
      <c r="AM72" s="3">
        <v>8.1081081081081058E-2</v>
      </c>
      <c r="AN72" s="3">
        <v>8.1081081081081058E-2</v>
      </c>
      <c r="AO72" s="3">
        <v>6.7567567567567557E-2</v>
      </c>
      <c r="AP72" s="3">
        <v>5.4054054054054036E-2</v>
      </c>
      <c r="AQ72" s="3">
        <v>1.3513513513513509E-2</v>
      </c>
      <c r="AR72" s="3">
        <v>4.0540540540540529E-2</v>
      </c>
      <c r="AS72" s="3">
        <v>1.3513513513513509E-2</v>
      </c>
      <c r="AT72" s="3">
        <v>8.1081081081081058E-2</v>
      </c>
      <c r="AU72" s="3">
        <v>5.4054054054054036E-2</v>
      </c>
      <c r="AV72" s="3">
        <v>2.7027027027027018E-2</v>
      </c>
      <c r="AW72" s="3">
        <v>5.4054054054054036E-2</v>
      </c>
      <c r="AX72" s="3">
        <v>5.4054054054054036E-2</v>
      </c>
      <c r="AY72" s="3">
        <v>2.7027027027027018E-2</v>
      </c>
      <c r="AZ72" s="3">
        <v>4.0540540540540529E-2</v>
      </c>
      <c r="BA72" s="3">
        <v>5.4054054054054036E-2</v>
      </c>
      <c r="BB72" s="3">
        <v>8.1081081081081058E-2</v>
      </c>
      <c r="BC72" s="3">
        <v>1.3513513513513509E-2</v>
      </c>
      <c r="BD72" s="3">
        <v>2.7027027027027018E-2</v>
      </c>
      <c r="BE72">
        <v>31.32</v>
      </c>
      <c r="BF72" s="3" t="str">
        <f>+IF(AVANCE[[#This Row],[% AVANCE]]=100%,"MODULO TERMINADO",IF(AVANCE[[#This Row],[FECHA INICIO REAL]]="","MODULO NO INICIADO","PENDIENTE"))</f>
        <v>MODULO TERMINADO</v>
      </c>
      <c r="BG72" s="3">
        <f>+IF(AVANCE[[#This Row],[VENTANAS]]=8.10810810810811%,100%,AVANCE[[#This Row],[VENTANAS]])</f>
        <v>1</v>
      </c>
      <c r="BH72" s="3">
        <f>+IF(AVANCE[[#This Row],[PISO]]=N$2,100%,AVANCE[[#This Row],[PISO]])</f>
        <v>1</v>
      </c>
      <c r="BI72" s="3">
        <f>+IF(AVANCE[[#This Row],[TABIQUES]]=O$2,100%,AVANCE[[#This Row],[TABIQUES]])</f>
        <v>1</v>
      </c>
      <c r="BJ72" s="3">
        <f>+IF(AVANCE[[#This Row],[MUROS]]=P$2,100%,AVANCE[[#This Row],[MUROS]])</f>
        <v>1</v>
      </c>
      <c r="BK72" s="3">
        <f>+IF(AVANCE[[#This Row],[CIELO]]=Q$2,100%,AVANCE[[#This Row],[CIELO]])</f>
        <v>1</v>
      </c>
      <c r="BL72" s="3">
        <f>+IF(AVANCE[[#This Row],[BALCÓN]]=R$2,100%,AVANCE[[#This Row],[BALCÓN]])</f>
        <v>1</v>
      </c>
      <c r="BM72" s="3">
        <f>+IF(AVANCE[[#This Row],[RED ALCANTARILLADO]]=U$2,100%,AVANCE[[#This Row],[RED ALCANTARILLADO]])</f>
        <v>1</v>
      </c>
      <c r="BN72" s="3">
        <f>+IF(AVANCE[[#This Row],[RED DE AGUA]]=V$2,100%,AVANCE[[#This Row],[RED DE AGUA]])</f>
        <v>1</v>
      </c>
      <c r="BO72" s="3">
        <f>+IF(AVANCE[[#This Row],[VENTILACIONES]]=W$2,100%,AVANCE[[#This Row],[VENTILACIONES]])</f>
        <v>1</v>
      </c>
      <c r="BP72" s="3">
        <f>+IF(AVANCE[[#This Row],[TINA]]=X$2,100%,AVANCE[[#This Row],[TINA]])</f>
        <v>1</v>
      </c>
      <c r="BQ72" s="3">
        <f>+IF(AVANCE[[#This Row],[WC]]=Y$2,100%,AVANCE[[#This Row],[WC]])</f>
        <v>1</v>
      </c>
      <c r="BR72" s="3">
        <f>+IF(AVANCE[[#This Row],[LAVAMANOS / LAVAPLATOS / LAVADERO]]=Z$2,100%,AVANCE[[#This Row],[LAVAMANOS / LAVAPLATOS / LAVADERO]])</f>
        <v>1</v>
      </c>
      <c r="BS72" s="3">
        <f>+IF(AVANCE[[#This Row],[CANALIZACIÓN]]=AC$2,100%,AVANCE[[#This Row],[CANALIZACIÓN]])</f>
        <v>1</v>
      </c>
      <c r="BT72" s="3">
        <f>+IF(AVANCE[[#This Row],[CABLEADO]]=AD$2,100%,AVANCE[[#This Row],[CABLEADO]])</f>
        <v>1</v>
      </c>
      <c r="BU72" s="3">
        <f>+IF(AVANCE[[#This Row],[ARTEFACTOS]]=AE$2,100%,AVANCE[[#This Row],[ARTEFACTOS]])</f>
        <v>1</v>
      </c>
      <c r="BV72" s="3">
        <f>+IF(AVANCE[[#This Row],[TABLERO]]=AF$2,100%,AVANCE[[#This Row],[TABLERO]])</f>
        <v>1</v>
      </c>
      <c r="BW72" s="3">
        <f>+IF(AVANCE[[#This Row],[CAJA PAU]]=AG$2,100%,AVANCE[[#This Row],[CAJA PAU]])</f>
        <v>1</v>
      </c>
      <c r="BX72" s="3">
        <f>+IF(AVANCE[[#This Row],[INSTALACION VINILICO]]=AJ$2,100%,AVANCE[[#This Row],[INSTALACION VINILICO]])</f>
        <v>1</v>
      </c>
      <c r="BY72" s="3">
        <f>+IF(AVANCE[[#This Row],[OSB CUBIERTA]]=AK$2,100%,AVANCE[[#This Row],[OSB CUBIERTA]])</f>
        <v>1</v>
      </c>
      <c r="BZ72" s="3">
        <f>+IF(AVANCE[[#This Row],[BARANDA BALCON]]=AL$2,100%,AVANCE[[#This Row],[BARANDA BALCON]])</f>
        <v>1</v>
      </c>
      <c r="CA72" s="3">
        <f>+IF(AVANCE[[#This Row],[OSB EXTERIOR]]=AM$2,100%,AVANCE[[#This Row],[OSB EXTERIOR]])</f>
        <v>1</v>
      </c>
      <c r="CB72" s="3">
        <f>+IF(AVANCE[[#This Row],[SMART PANEL]]=AN$2,100%,AVANCE[[#This Row],[SMART PANEL]])</f>
        <v>1</v>
      </c>
      <c r="CC72" s="3">
        <f>+IF(AVANCE[[#This Row],[PINTURA EXTERIOR]]=AO$2,100%,AVANCE[[#This Row],[PINTURA EXTERIOR]])</f>
        <v>1</v>
      </c>
      <c r="CD72" s="3">
        <f>+IF(AVANCE[[#This Row],[ZOCALOS LOGIA]]=AP$2,100%,AVANCE[[#This Row],[ZOCALOS LOGIA]])</f>
        <v>1</v>
      </c>
      <c r="CE72" s="3">
        <f>+IF(AVANCE[[#This Row],[MOLDURAS]]=AQ$2,100%,AVANCE[[#This Row],[MOLDURAS]])</f>
        <v>1</v>
      </c>
      <c r="CF72" s="3">
        <f>+IF(AVANCE[[#This Row],[PILASTREO]]=AR$2,100%,AVANCE[[#This Row],[PILASTREO]])</f>
        <v>1</v>
      </c>
      <c r="CG72" s="3">
        <f>+IF(AVANCE[[#This Row],[CELOSIAS]]=AS$2,100%,AVANCE[[#This Row],[CELOSIAS]])</f>
        <v>1</v>
      </c>
      <c r="CH72" s="3">
        <f>+IF(AVANCE[[#This Row],[VENTANAS]]=AT$2,100%,AVANCE[[#This Row],[VENTANAS]])</f>
        <v>1</v>
      </c>
      <c r="CI72" s="3">
        <f>+IF(AVANCE[[#This Row],[PUERTAS ACCESO - LOGIA - BANO]]=AU$2,100%,AVANCE[[#This Row],[PUERTAS ACCESO - LOGIA - BANO]])</f>
        <v>1</v>
      </c>
      <c r="CJ72" s="3">
        <f>+IF(AVANCE[[#This Row],[CERRADURAS]]=AV$2,100%,AVANCE[[#This Row],[CERRADURAS]])</f>
        <v>1</v>
      </c>
      <c r="CK72" s="3">
        <f>+IF(AVANCE[[#This Row],[REVESTIMIENTO INTERIOR ZONA SECA]]=AW$2,100%,AVANCE[[#This Row],[REVESTIMIENTO INTERIOR ZONA SECA]])</f>
        <v>1</v>
      </c>
      <c r="CL72" s="3">
        <f>+IF(AVANCE[[#This Row],[REVESTIMIENTO INTERIOR ZONAS HUMEDAS]]=AX$2,100%,AVANCE[[#This Row],[REVESTIMIENTO INTERIOR ZONAS HUMEDAS]])</f>
        <v>1</v>
      </c>
      <c r="CM72" s="3">
        <f>+IF(AVANCE[[#This Row],[MEMBRANA CIELO]]=AY$2,100%,AVANCE[[#This Row],[MEMBRANA CIELO]])</f>
        <v>1</v>
      </c>
      <c r="CN72" s="3">
        <f>+IF(AVANCE[[#This Row],[LIMPIEZA FINAL]]=AZ$2,100%,AVANCE[[#This Row],[LIMPIEZA FINAL]])</f>
        <v>1</v>
      </c>
      <c r="CO72" s="3">
        <f>+IF(AVANCE[[#This Row],[PUERTAS DORMITORIO]]=BA$2,100%,AVANCE[[#This Row],[PUERTAS DORMITORIO]])</f>
        <v>1</v>
      </c>
      <c r="CP72" s="3">
        <f>+IF(AVANCE[[#This Row],[REVESTIMIENTO INTERIOR BANO]]=BB$2,100%,AVANCE[[#This Row],[REVESTIMIENTO INTERIOR BANO]])</f>
        <v>1</v>
      </c>
      <c r="CQ72" s="3">
        <f>+IF(AVANCE[[#This Row],[MUEBLE LAVAPLATOS]]=BC$2,100%,AVANCE[[#This Row],[MUEBLE LAVAPLATOS]])</f>
        <v>1</v>
      </c>
      <c r="CR72" s="3">
        <f>+IF(AVANCE[[#This Row],[IMPERMEABILIZACION BANO - COCINA LOGIA]]=BD$2,100%,AVANCE[[#This Row],[IMPERMEABILIZACION BANO - COCINA LOGIA]])</f>
        <v>1</v>
      </c>
      <c r="CS72" s="40">
        <f ca="1">+IF(AVANCE[[#This Row],[ESTADO MODULO]]="PENDIENTE",(TODAY()-AVANCE[[#This Row],[FECHA TERMINO  PLANIFICADO]]),0)</f>
        <v>0</v>
      </c>
      <c r="CT72" s="41" t="str" cm="1">
        <f t="array" ref="CT72">_xlfn.TEXTJOIN(" | ",TRUE,IF(SUMPRODUCT((BG72:CR72&lt;1)*(PARTIDAS!$I$2:$AT$2="OBRA GRUESA"))&gt;0,"OBRA GRUESA: "&amp;_xlfn.TEXTJOIN(", ",TRUE,IF((BG72:CR72&lt;1)*(PARTIDAS!$I$2:$AT$2="OBRA GRUESA"),PARTIDAS!$I$1:$AT$1,"")),""),IF(SUMPRODUCT((BG72:CR72&lt;1)*(PARTIDAS!$I$2:$AT$2="SANITARIOS"))&gt;0,"SANITARIOS: "&amp;_xlfn.TEXTJOIN(", ",TRUE,IF((BG72:CR72&lt;1)*(PARTIDAS!$I$2:$AT$2="SANITARIOS"),PARTIDAS!$I$1:$AT$1,"")),""),IF(SUMPRODUCT((BG72:CR72&lt;1)*(PARTIDAS!$I$2:$AT$2="ELÉCTRICO"))&gt;0,"ELÉCTRICO: "&amp;_xlfn.TEXTJOIN(", ",TRUE,IF((BG72:CR72&lt;1)*(PARTIDAS!$I$2:$AT$2="ELÉCTRICO"),PARTIDAS!$I$1:$AT$1,"")),""),IF(SUMPRODUCT((BG72:CR72&lt;1)*(PARTIDAS!$I$2:$AT$2="TERMINACIONES"))&gt;0,"TERMINACIONES: "&amp;_xlfn.TEXTJOIN(", ",TRUE,IF((BG72:CR72&lt;1)*(PARTIDAS!$I$2:$AT$2="TERMINACIONES"),PARTIDAS!$I$1:$AT$1,"")),""))</f>
        <v/>
      </c>
      <c r="CU72" s="43" t="str" cm="1">
        <f t="array" ref="CU72">_xlfn.TEXTJOIN(", ",TRUE,IF(SUMPRODUCT((BG72:CR72&lt;1)*(PARTIDAS!$I$2:$AT$2="OBRA GRUESA"))&gt;0,"OBRA GRUESA",""),IF(SUMPRODUCT((BG72:CR72&lt;1)*(PARTIDAS!$I$2:$AT$2="SANITARIOS"))&gt;0,"SANITARIOS",""),IF(SUMPRODUCT((BG72:CR72&lt;1)*(PARTIDAS!$I$2:$AT$2="ELÉCTRICO"))&gt;0,"ELÉCTRICO",""),IF(SUMPRODUCT((BG72:CR72&lt;1)*(PARTIDAS!$I$2:$AT$2="TERMINACIONES"))&gt;0,"TERMINACIONES",""))</f>
        <v/>
      </c>
      <c r="CV72" s="44" cm="1">
        <f t="array" ref="CV72">SUMPRODUCT(--(BG72:CR72&lt;1))</f>
        <v>0</v>
      </c>
    </row>
    <row r="73" spans="1:100" hidden="1" x14ac:dyDescent="0.25">
      <c r="A73" t="s">
        <v>124</v>
      </c>
      <c r="B73" t="s">
        <v>132</v>
      </c>
      <c r="C73">
        <v>2282600072</v>
      </c>
      <c r="D73" t="s">
        <v>58</v>
      </c>
      <c r="E73" s="2">
        <v>0.99999999999999978</v>
      </c>
      <c r="F73" s="1">
        <v>46155</v>
      </c>
      <c r="G73" s="1">
        <v>46154</v>
      </c>
      <c r="H73" s="1">
        <v>46210</v>
      </c>
      <c r="I73" s="1">
        <v>46181</v>
      </c>
      <c r="K73" s="1">
        <v>46210</v>
      </c>
      <c r="L73" s="3">
        <v>0.43</v>
      </c>
      <c r="M73" s="3">
        <v>1</v>
      </c>
      <c r="N73" s="3">
        <v>0.27906976744186046</v>
      </c>
      <c r="O73" s="3">
        <v>0.18604651162790697</v>
      </c>
      <c r="P73" s="3">
        <v>0.2558139534883721</v>
      </c>
      <c r="Q73" s="3">
        <v>0.18604651162790697</v>
      </c>
      <c r="R73" s="3">
        <v>9.3023255813953487E-2</v>
      </c>
      <c r="S73" s="3">
        <v>0.09</v>
      </c>
      <c r="T73" s="3">
        <v>1</v>
      </c>
      <c r="U73" s="3">
        <v>0.22222222222222221</v>
      </c>
      <c r="V73" s="3">
        <v>0.22222222222222221</v>
      </c>
      <c r="W73" s="3">
        <v>0.1111111111111111</v>
      </c>
      <c r="X73" s="3">
        <v>0.1111111111111111</v>
      </c>
      <c r="Y73" s="3">
        <v>0.1111111111111111</v>
      </c>
      <c r="Z73" s="3">
        <v>0.22222222222222221</v>
      </c>
      <c r="AA73" s="3">
        <v>0.11</v>
      </c>
      <c r="AB73" s="3">
        <v>1</v>
      </c>
      <c r="AC73" s="3">
        <v>0.27272727272727271</v>
      </c>
      <c r="AD73" s="3">
        <v>0.27272727272727271</v>
      </c>
      <c r="AE73" s="3">
        <v>9.0909090909090912E-2</v>
      </c>
      <c r="AF73" s="3">
        <v>0.18181818181818182</v>
      </c>
      <c r="AG73" s="3">
        <v>0.18181818181818182</v>
      </c>
      <c r="AH73" s="3">
        <v>0.36999999999999983</v>
      </c>
      <c r="AI73" s="3">
        <v>0.99999999999999956</v>
      </c>
      <c r="AJ73" s="3">
        <v>5.4054054054054036E-2</v>
      </c>
      <c r="AK73" s="3">
        <v>5.4054054054054036E-2</v>
      </c>
      <c r="AL73" s="3">
        <v>2.7027027027027018E-2</v>
      </c>
      <c r="AM73" s="3">
        <v>8.1081081081081058E-2</v>
      </c>
      <c r="AN73" s="3">
        <v>8.1081081081081058E-2</v>
      </c>
      <c r="AO73" s="3">
        <v>6.7567567567567557E-2</v>
      </c>
      <c r="AP73" s="3">
        <v>5.4054054054054036E-2</v>
      </c>
      <c r="AQ73" s="3">
        <v>1.3513513513513509E-2</v>
      </c>
      <c r="AR73" s="3">
        <v>4.0540540540540529E-2</v>
      </c>
      <c r="AS73" s="3">
        <v>1.3513513513513509E-2</v>
      </c>
      <c r="AT73" s="3">
        <v>8.1081081081081058E-2</v>
      </c>
      <c r="AU73" s="3">
        <v>5.4054054054054036E-2</v>
      </c>
      <c r="AV73" s="3">
        <v>2.7027027027027018E-2</v>
      </c>
      <c r="AW73" s="3">
        <v>5.4054054054054036E-2</v>
      </c>
      <c r="AX73" s="3">
        <v>5.4054054054054036E-2</v>
      </c>
      <c r="AY73" s="3">
        <v>2.7027027027027018E-2</v>
      </c>
      <c r="AZ73" s="3">
        <v>4.0540540540540529E-2</v>
      </c>
      <c r="BA73" s="3">
        <v>5.4054054054054036E-2</v>
      </c>
      <c r="BB73" s="3">
        <v>8.1081081081081058E-2</v>
      </c>
      <c r="BC73" s="3">
        <v>1.3513513513513509E-2</v>
      </c>
      <c r="BD73" s="3">
        <v>2.7027027027027018E-2</v>
      </c>
      <c r="BE73">
        <v>28.87</v>
      </c>
      <c r="BF73" s="3" t="str">
        <f>+IF(AVANCE[[#This Row],[% AVANCE]]=100%,"MODULO TERMINADO",IF(AVANCE[[#This Row],[FECHA INICIO REAL]]="","MODULO NO INICIADO","PENDIENTE"))</f>
        <v>MODULO TERMINADO</v>
      </c>
      <c r="BG73" s="3">
        <f>+IF(AVANCE[[#This Row],[VENTANAS]]=8.10810810810811%,100%,AVANCE[[#This Row],[VENTANAS]])</f>
        <v>1</v>
      </c>
      <c r="BH73" s="3">
        <f>+IF(AVANCE[[#This Row],[PISO]]=N$2,100%,AVANCE[[#This Row],[PISO]])</f>
        <v>1</v>
      </c>
      <c r="BI73" s="3">
        <f>+IF(AVANCE[[#This Row],[TABIQUES]]=O$2,100%,AVANCE[[#This Row],[TABIQUES]])</f>
        <v>1</v>
      </c>
      <c r="BJ73" s="3">
        <f>+IF(AVANCE[[#This Row],[MUROS]]=P$2,100%,AVANCE[[#This Row],[MUROS]])</f>
        <v>1</v>
      </c>
      <c r="BK73" s="3">
        <f>+IF(AVANCE[[#This Row],[CIELO]]=Q$2,100%,AVANCE[[#This Row],[CIELO]])</f>
        <v>1</v>
      </c>
      <c r="BL73" s="3">
        <f>+IF(AVANCE[[#This Row],[BALCÓN]]=R$2,100%,AVANCE[[#This Row],[BALCÓN]])</f>
        <v>1</v>
      </c>
      <c r="BM73" s="3">
        <f>+IF(AVANCE[[#This Row],[RED ALCANTARILLADO]]=U$2,100%,AVANCE[[#This Row],[RED ALCANTARILLADO]])</f>
        <v>1</v>
      </c>
      <c r="BN73" s="3">
        <f>+IF(AVANCE[[#This Row],[RED DE AGUA]]=V$2,100%,AVANCE[[#This Row],[RED DE AGUA]])</f>
        <v>1</v>
      </c>
      <c r="BO73" s="3">
        <f>+IF(AVANCE[[#This Row],[VENTILACIONES]]=W$2,100%,AVANCE[[#This Row],[VENTILACIONES]])</f>
        <v>1</v>
      </c>
      <c r="BP73" s="3">
        <f>+IF(AVANCE[[#This Row],[TINA]]=X$2,100%,AVANCE[[#This Row],[TINA]])</f>
        <v>1</v>
      </c>
      <c r="BQ73" s="3">
        <f>+IF(AVANCE[[#This Row],[WC]]=Y$2,100%,AVANCE[[#This Row],[WC]])</f>
        <v>1</v>
      </c>
      <c r="BR73" s="3">
        <f>+IF(AVANCE[[#This Row],[LAVAMANOS / LAVAPLATOS / LAVADERO]]=Z$2,100%,AVANCE[[#This Row],[LAVAMANOS / LAVAPLATOS / LAVADERO]])</f>
        <v>1</v>
      </c>
      <c r="BS73" s="3">
        <f>+IF(AVANCE[[#This Row],[CANALIZACIÓN]]=AC$2,100%,AVANCE[[#This Row],[CANALIZACIÓN]])</f>
        <v>1</v>
      </c>
      <c r="BT73" s="3">
        <f>+IF(AVANCE[[#This Row],[CABLEADO]]=AD$2,100%,AVANCE[[#This Row],[CABLEADO]])</f>
        <v>1</v>
      </c>
      <c r="BU73" s="3">
        <f>+IF(AVANCE[[#This Row],[ARTEFACTOS]]=AE$2,100%,AVANCE[[#This Row],[ARTEFACTOS]])</f>
        <v>1</v>
      </c>
      <c r="BV73" s="3">
        <f>+IF(AVANCE[[#This Row],[TABLERO]]=AF$2,100%,AVANCE[[#This Row],[TABLERO]])</f>
        <v>1</v>
      </c>
      <c r="BW73" s="3">
        <f>+IF(AVANCE[[#This Row],[CAJA PAU]]=AG$2,100%,AVANCE[[#This Row],[CAJA PAU]])</f>
        <v>1</v>
      </c>
      <c r="BX73" s="3">
        <f>+IF(AVANCE[[#This Row],[INSTALACION VINILICO]]=AJ$2,100%,AVANCE[[#This Row],[INSTALACION VINILICO]])</f>
        <v>1</v>
      </c>
      <c r="BY73" s="3">
        <f>+IF(AVANCE[[#This Row],[OSB CUBIERTA]]=AK$2,100%,AVANCE[[#This Row],[OSB CUBIERTA]])</f>
        <v>1</v>
      </c>
      <c r="BZ73" s="3">
        <f>+IF(AVANCE[[#This Row],[BARANDA BALCON]]=AL$2,100%,AVANCE[[#This Row],[BARANDA BALCON]])</f>
        <v>1</v>
      </c>
      <c r="CA73" s="3">
        <f>+IF(AVANCE[[#This Row],[OSB EXTERIOR]]=AM$2,100%,AVANCE[[#This Row],[OSB EXTERIOR]])</f>
        <v>1</v>
      </c>
      <c r="CB73" s="3">
        <f>+IF(AVANCE[[#This Row],[SMART PANEL]]=AN$2,100%,AVANCE[[#This Row],[SMART PANEL]])</f>
        <v>1</v>
      </c>
      <c r="CC73" s="3">
        <f>+IF(AVANCE[[#This Row],[PINTURA EXTERIOR]]=AO$2,100%,AVANCE[[#This Row],[PINTURA EXTERIOR]])</f>
        <v>1</v>
      </c>
      <c r="CD73" s="3">
        <f>+IF(AVANCE[[#This Row],[ZOCALOS LOGIA]]=AP$2,100%,AVANCE[[#This Row],[ZOCALOS LOGIA]])</f>
        <v>1</v>
      </c>
      <c r="CE73" s="3">
        <f>+IF(AVANCE[[#This Row],[MOLDURAS]]=AQ$2,100%,AVANCE[[#This Row],[MOLDURAS]])</f>
        <v>1</v>
      </c>
      <c r="CF73" s="3">
        <f>+IF(AVANCE[[#This Row],[PILASTREO]]=AR$2,100%,AVANCE[[#This Row],[PILASTREO]])</f>
        <v>1</v>
      </c>
      <c r="CG73" s="3">
        <f>+IF(AVANCE[[#This Row],[CELOSIAS]]=AS$2,100%,AVANCE[[#This Row],[CELOSIAS]])</f>
        <v>1</v>
      </c>
      <c r="CH73" s="3">
        <f>+IF(AVANCE[[#This Row],[VENTANAS]]=AT$2,100%,AVANCE[[#This Row],[VENTANAS]])</f>
        <v>1</v>
      </c>
      <c r="CI73" s="3">
        <f>+IF(AVANCE[[#This Row],[PUERTAS ACCESO - LOGIA - BANO]]=AU$2,100%,AVANCE[[#This Row],[PUERTAS ACCESO - LOGIA - BANO]])</f>
        <v>1</v>
      </c>
      <c r="CJ73" s="3">
        <f>+IF(AVANCE[[#This Row],[CERRADURAS]]=AV$2,100%,AVANCE[[#This Row],[CERRADURAS]])</f>
        <v>1</v>
      </c>
      <c r="CK73" s="3">
        <f>+IF(AVANCE[[#This Row],[REVESTIMIENTO INTERIOR ZONA SECA]]=AW$2,100%,AVANCE[[#This Row],[REVESTIMIENTO INTERIOR ZONA SECA]])</f>
        <v>1</v>
      </c>
      <c r="CL73" s="3">
        <f>+IF(AVANCE[[#This Row],[REVESTIMIENTO INTERIOR ZONAS HUMEDAS]]=AX$2,100%,AVANCE[[#This Row],[REVESTIMIENTO INTERIOR ZONAS HUMEDAS]])</f>
        <v>1</v>
      </c>
      <c r="CM73" s="3">
        <f>+IF(AVANCE[[#This Row],[MEMBRANA CIELO]]=AY$2,100%,AVANCE[[#This Row],[MEMBRANA CIELO]])</f>
        <v>1</v>
      </c>
      <c r="CN73" s="3">
        <f>+IF(AVANCE[[#This Row],[LIMPIEZA FINAL]]=AZ$2,100%,AVANCE[[#This Row],[LIMPIEZA FINAL]])</f>
        <v>1</v>
      </c>
      <c r="CO73" s="3">
        <f>+IF(AVANCE[[#This Row],[PUERTAS DORMITORIO]]=BA$2,100%,AVANCE[[#This Row],[PUERTAS DORMITORIO]])</f>
        <v>1</v>
      </c>
      <c r="CP73" s="3">
        <f>+IF(AVANCE[[#This Row],[REVESTIMIENTO INTERIOR BANO]]=BB$2,100%,AVANCE[[#This Row],[REVESTIMIENTO INTERIOR BANO]])</f>
        <v>1</v>
      </c>
      <c r="CQ73" s="3">
        <f>+IF(AVANCE[[#This Row],[MUEBLE LAVAPLATOS]]=BC$2,100%,AVANCE[[#This Row],[MUEBLE LAVAPLATOS]])</f>
        <v>1</v>
      </c>
      <c r="CR73" s="3">
        <f>+IF(AVANCE[[#This Row],[IMPERMEABILIZACION BANO - COCINA LOGIA]]=BD$2,100%,AVANCE[[#This Row],[IMPERMEABILIZACION BANO - COCINA LOGIA]])</f>
        <v>1</v>
      </c>
      <c r="CS73" s="40">
        <f ca="1">+IF(AVANCE[[#This Row],[ESTADO MODULO]]="PENDIENTE",(TODAY()-AVANCE[[#This Row],[FECHA TERMINO  PLANIFICADO]]),0)</f>
        <v>0</v>
      </c>
      <c r="CT73" s="41" t="str" cm="1">
        <f t="array" ref="CT73">_xlfn.TEXTJOIN(" | ",TRUE,IF(SUMPRODUCT((BG73:CR73&lt;1)*(PARTIDAS!$I$2:$AT$2="OBRA GRUESA"))&gt;0,"OBRA GRUESA: "&amp;_xlfn.TEXTJOIN(", ",TRUE,IF((BG73:CR73&lt;1)*(PARTIDAS!$I$2:$AT$2="OBRA GRUESA"),PARTIDAS!$I$1:$AT$1,"")),""),IF(SUMPRODUCT((BG73:CR73&lt;1)*(PARTIDAS!$I$2:$AT$2="SANITARIOS"))&gt;0,"SANITARIOS: "&amp;_xlfn.TEXTJOIN(", ",TRUE,IF((BG73:CR73&lt;1)*(PARTIDAS!$I$2:$AT$2="SANITARIOS"),PARTIDAS!$I$1:$AT$1,"")),""),IF(SUMPRODUCT((BG73:CR73&lt;1)*(PARTIDAS!$I$2:$AT$2="ELÉCTRICO"))&gt;0,"ELÉCTRICO: "&amp;_xlfn.TEXTJOIN(", ",TRUE,IF((BG73:CR73&lt;1)*(PARTIDAS!$I$2:$AT$2="ELÉCTRICO"),PARTIDAS!$I$1:$AT$1,"")),""),IF(SUMPRODUCT((BG73:CR73&lt;1)*(PARTIDAS!$I$2:$AT$2="TERMINACIONES"))&gt;0,"TERMINACIONES: "&amp;_xlfn.TEXTJOIN(", ",TRUE,IF((BG73:CR73&lt;1)*(PARTIDAS!$I$2:$AT$2="TERMINACIONES"),PARTIDAS!$I$1:$AT$1,"")),""))</f>
        <v/>
      </c>
      <c r="CU73" s="43" t="str" cm="1">
        <f t="array" ref="CU73">_xlfn.TEXTJOIN(", ",TRUE,IF(SUMPRODUCT((BG73:CR73&lt;1)*(PARTIDAS!$I$2:$AT$2="OBRA GRUESA"))&gt;0,"OBRA GRUESA",""),IF(SUMPRODUCT((BG73:CR73&lt;1)*(PARTIDAS!$I$2:$AT$2="SANITARIOS"))&gt;0,"SANITARIOS",""),IF(SUMPRODUCT((BG73:CR73&lt;1)*(PARTIDAS!$I$2:$AT$2="ELÉCTRICO"))&gt;0,"ELÉCTRICO",""),IF(SUMPRODUCT((BG73:CR73&lt;1)*(PARTIDAS!$I$2:$AT$2="TERMINACIONES"))&gt;0,"TERMINACIONES",""))</f>
        <v/>
      </c>
      <c r="CV73" s="44" cm="1">
        <f t="array" ref="CV73">SUMPRODUCT(--(BG73:CR73&lt;1))</f>
        <v>0</v>
      </c>
    </row>
    <row r="74" spans="1:100" hidden="1" x14ac:dyDescent="0.25">
      <c r="A74" t="s">
        <v>124</v>
      </c>
      <c r="B74" t="s">
        <v>133</v>
      </c>
      <c r="C74">
        <v>2282600073</v>
      </c>
      <c r="D74" t="s">
        <v>58</v>
      </c>
      <c r="E74" s="2">
        <v>0.99999999999999978</v>
      </c>
      <c r="F74" s="1">
        <v>46156</v>
      </c>
      <c r="G74" s="1">
        <v>46167</v>
      </c>
      <c r="H74" s="1">
        <v>46211</v>
      </c>
      <c r="I74" s="1">
        <v>46182</v>
      </c>
      <c r="K74" s="1">
        <v>46211</v>
      </c>
      <c r="L74" s="3">
        <v>0.43</v>
      </c>
      <c r="M74" s="3">
        <v>1</v>
      </c>
      <c r="N74" s="3">
        <v>0.27906976744186046</v>
      </c>
      <c r="O74" s="3">
        <v>0.18604651162790697</v>
      </c>
      <c r="P74" s="3">
        <v>0.2558139534883721</v>
      </c>
      <c r="Q74" s="3">
        <v>0.18604651162790697</v>
      </c>
      <c r="R74" s="3">
        <v>9.3023255813953487E-2</v>
      </c>
      <c r="S74" s="3">
        <v>0.09</v>
      </c>
      <c r="T74" s="3">
        <v>1</v>
      </c>
      <c r="U74" s="3">
        <v>0.22222222222222221</v>
      </c>
      <c r="V74" s="3">
        <v>0.22222222222222221</v>
      </c>
      <c r="W74" s="3">
        <v>0.1111111111111111</v>
      </c>
      <c r="X74" s="3">
        <v>0.1111111111111111</v>
      </c>
      <c r="Y74" s="3">
        <v>0.1111111111111111</v>
      </c>
      <c r="Z74" s="3">
        <v>0.22222222222222221</v>
      </c>
      <c r="AA74" s="3">
        <v>0.11</v>
      </c>
      <c r="AB74" s="3">
        <v>1</v>
      </c>
      <c r="AC74" s="3">
        <v>0.27272727272727271</v>
      </c>
      <c r="AD74" s="3">
        <v>0.27272727272727271</v>
      </c>
      <c r="AE74" s="3">
        <v>9.0909090909090912E-2</v>
      </c>
      <c r="AF74" s="3">
        <v>0.18181818181818182</v>
      </c>
      <c r="AG74" s="3">
        <v>0.18181818181818182</v>
      </c>
      <c r="AH74" s="3">
        <v>0.36999999999999983</v>
      </c>
      <c r="AI74" s="3">
        <v>0.99999999999999956</v>
      </c>
      <c r="AJ74" s="3">
        <v>5.4054054054054036E-2</v>
      </c>
      <c r="AK74" s="3">
        <v>5.4054054054054036E-2</v>
      </c>
      <c r="AL74" s="3">
        <v>2.7027027027027018E-2</v>
      </c>
      <c r="AM74" s="3">
        <v>8.1081081081081058E-2</v>
      </c>
      <c r="AN74" s="3">
        <v>8.1081081081081058E-2</v>
      </c>
      <c r="AO74" s="3">
        <v>6.7567567567567557E-2</v>
      </c>
      <c r="AP74" s="3">
        <v>5.4054054054054036E-2</v>
      </c>
      <c r="AQ74" s="3">
        <v>1.3513513513513509E-2</v>
      </c>
      <c r="AR74" s="3">
        <v>4.0540540540540529E-2</v>
      </c>
      <c r="AS74" s="3">
        <v>1.3513513513513509E-2</v>
      </c>
      <c r="AT74" s="3">
        <v>8.1081081081081058E-2</v>
      </c>
      <c r="AU74" s="3">
        <v>5.4054054054054036E-2</v>
      </c>
      <c r="AV74" s="3">
        <v>2.7027027027027018E-2</v>
      </c>
      <c r="AW74" s="3">
        <v>5.4054054054054036E-2</v>
      </c>
      <c r="AX74" s="3">
        <v>5.4054054054054036E-2</v>
      </c>
      <c r="AY74" s="3">
        <v>2.7027027027027018E-2</v>
      </c>
      <c r="AZ74" s="3">
        <v>4.0540540540540529E-2</v>
      </c>
      <c r="BA74" s="3">
        <v>5.4054054054054036E-2</v>
      </c>
      <c r="BB74" s="3">
        <v>8.1081081081081058E-2</v>
      </c>
      <c r="BC74" s="3">
        <v>1.3513513513513509E-2</v>
      </c>
      <c r="BD74" s="3">
        <v>2.7027027027027018E-2</v>
      </c>
      <c r="BE74">
        <v>28.87</v>
      </c>
      <c r="BF74" s="3" t="str">
        <f>+IF(AVANCE[[#This Row],[% AVANCE]]=100%,"MODULO TERMINADO",IF(AVANCE[[#This Row],[FECHA INICIO REAL]]="","MODULO NO INICIADO","PENDIENTE"))</f>
        <v>MODULO TERMINADO</v>
      </c>
      <c r="BG74" s="3">
        <f>+IF(AVANCE[[#This Row],[VENTANAS]]=8.10810810810811%,100%,AVANCE[[#This Row],[VENTANAS]])</f>
        <v>1</v>
      </c>
      <c r="BH74" s="3">
        <f>+IF(AVANCE[[#This Row],[PISO]]=N$2,100%,AVANCE[[#This Row],[PISO]])</f>
        <v>1</v>
      </c>
      <c r="BI74" s="3">
        <f>+IF(AVANCE[[#This Row],[TABIQUES]]=O$2,100%,AVANCE[[#This Row],[TABIQUES]])</f>
        <v>1</v>
      </c>
      <c r="BJ74" s="3">
        <f>+IF(AVANCE[[#This Row],[MUROS]]=P$2,100%,AVANCE[[#This Row],[MUROS]])</f>
        <v>1</v>
      </c>
      <c r="BK74" s="3">
        <f>+IF(AVANCE[[#This Row],[CIELO]]=Q$2,100%,AVANCE[[#This Row],[CIELO]])</f>
        <v>1</v>
      </c>
      <c r="BL74" s="3">
        <f>+IF(AVANCE[[#This Row],[BALCÓN]]=R$2,100%,AVANCE[[#This Row],[BALCÓN]])</f>
        <v>1</v>
      </c>
      <c r="BM74" s="3">
        <f>+IF(AVANCE[[#This Row],[RED ALCANTARILLADO]]=U$2,100%,AVANCE[[#This Row],[RED ALCANTARILLADO]])</f>
        <v>1</v>
      </c>
      <c r="BN74" s="3">
        <f>+IF(AVANCE[[#This Row],[RED DE AGUA]]=V$2,100%,AVANCE[[#This Row],[RED DE AGUA]])</f>
        <v>1</v>
      </c>
      <c r="BO74" s="3">
        <f>+IF(AVANCE[[#This Row],[VENTILACIONES]]=W$2,100%,AVANCE[[#This Row],[VENTILACIONES]])</f>
        <v>1</v>
      </c>
      <c r="BP74" s="3">
        <f>+IF(AVANCE[[#This Row],[TINA]]=X$2,100%,AVANCE[[#This Row],[TINA]])</f>
        <v>1</v>
      </c>
      <c r="BQ74" s="3">
        <f>+IF(AVANCE[[#This Row],[WC]]=Y$2,100%,AVANCE[[#This Row],[WC]])</f>
        <v>1</v>
      </c>
      <c r="BR74" s="3">
        <f>+IF(AVANCE[[#This Row],[LAVAMANOS / LAVAPLATOS / LAVADERO]]=Z$2,100%,AVANCE[[#This Row],[LAVAMANOS / LAVAPLATOS / LAVADERO]])</f>
        <v>1</v>
      </c>
      <c r="BS74" s="3">
        <f>+IF(AVANCE[[#This Row],[CANALIZACIÓN]]=AC$2,100%,AVANCE[[#This Row],[CANALIZACIÓN]])</f>
        <v>1</v>
      </c>
      <c r="BT74" s="3">
        <f>+IF(AVANCE[[#This Row],[CABLEADO]]=AD$2,100%,AVANCE[[#This Row],[CABLEADO]])</f>
        <v>1</v>
      </c>
      <c r="BU74" s="3">
        <f>+IF(AVANCE[[#This Row],[ARTEFACTOS]]=AE$2,100%,AVANCE[[#This Row],[ARTEFACTOS]])</f>
        <v>1</v>
      </c>
      <c r="BV74" s="3">
        <f>+IF(AVANCE[[#This Row],[TABLERO]]=AF$2,100%,AVANCE[[#This Row],[TABLERO]])</f>
        <v>1</v>
      </c>
      <c r="BW74" s="3">
        <f>+IF(AVANCE[[#This Row],[CAJA PAU]]=AG$2,100%,AVANCE[[#This Row],[CAJA PAU]])</f>
        <v>1</v>
      </c>
      <c r="BX74" s="3">
        <f>+IF(AVANCE[[#This Row],[INSTALACION VINILICO]]=AJ$2,100%,AVANCE[[#This Row],[INSTALACION VINILICO]])</f>
        <v>1</v>
      </c>
      <c r="BY74" s="3">
        <f>+IF(AVANCE[[#This Row],[OSB CUBIERTA]]=AK$2,100%,AVANCE[[#This Row],[OSB CUBIERTA]])</f>
        <v>1</v>
      </c>
      <c r="BZ74" s="3">
        <f>+IF(AVANCE[[#This Row],[BARANDA BALCON]]=AL$2,100%,AVANCE[[#This Row],[BARANDA BALCON]])</f>
        <v>1</v>
      </c>
      <c r="CA74" s="3">
        <f>+IF(AVANCE[[#This Row],[OSB EXTERIOR]]=AM$2,100%,AVANCE[[#This Row],[OSB EXTERIOR]])</f>
        <v>1</v>
      </c>
      <c r="CB74" s="3">
        <f>+IF(AVANCE[[#This Row],[SMART PANEL]]=AN$2,100%,AVANCE[[#This Row],[SMART PANEL]])</f>
        <v>1</v>
      </c>
      <c r="CC74" s="3">
        <f>+IF(AVANCE[[#This Row],[PINTURA EXTERIOR]]=AO$2,100%,AVANCE[[#This Row],[PINTURA EXTERIOR]])</f>
        <v>1</v>
      </c>
      <c r="CD74" s="3">
        <f>+IF(AVANCE[[#This Row],[ZOCALOS LOGIA]]=AP$2,100%,AVANCE[[#This Row],[ZOCALOS LOGIA]])</f>
        <v>1</v>
      </c>
      <c r="CE74" s="3">
        <f>+IF(AVANCE[[#This Row],[MOLDURAS]]=AQ$2,100%,AVANCE[[#This Row],[MOLDURAS]])</f>
        <v>1</v>
      </c>
      <c r="CF74" s="3">
        <f>+IF(AVANCE[[#This Row],[PILASTREO]]=AR$2,100%,AVANCE[[#This Row],[PILASTREO]])</f>
        <v>1</v>
      </c>
      <c r="CG74" s="3">
        <f>+IF(AVANCE[[#This Row],[CELOSIAS]]=AS$2,100%,AVANCE[[#This Row],[CELOSIAS]])</f>
        <v>1</v>
      </c>
      <c r="CH74" s="3">
        <f>+IF(AVANCE[[#This Row],[VENTANAS]]=AT$2,100%,AVANCE[[#This Row],[VENTANAS]])</f>
        <v>1</v>
      </c>
      <c r="CI74" s="3">
        <f>+IF(AVANCE[[#This Row],[PUERTAS ACCESO - LOGIA - BANO]]=AU$2,100%,AVANCE[[#This Row],[PUERTAS ACCESO - LOGIA - BANO]])</f>
        <v>1</v>
      </c>
      <c r="CJ74" s="3">
        <f>+IF(AVANCE[[#This Row],[CERRADURAS]]=AV$2,100%,AVANCE[[#This Row],[CERRADURAS]])</f>
        <v>1</v>
      </c>
      <c r="CK74" s="3">
        <f>+IF(AVANCE[[#This Row],[REVESTIMIENTO INTERIOR ZONA SECA]]=AW$2,100%,AVANCE[[#This Row],[REVESTIMIENTO INTERIOR ZONA SECA]])</f>
        <v>1</v>
      </c>
      <c r="CL74" s="3">
        <f>+IF(AVANCE[[#This Row],[REVESTIMIENTO INTERIOR ZONAS HUMEDAS]]=AX$2,100%,AVANCE[[#This Row],[REVESTIMIENTO INTERIOR ZONAS HUMEDAS]])</f>
        <v>1</v>
      </c>
      <c r="CM74" s="3">
        <f>+IF(AVANCE[[#This Row],[MEMBRANA CIELO]]=AY$2,100%,AVANCE[[#This Row],[MEMBRANA CIELO]])</f>
        <v>1</v>
      </c>
      <c r="CN74" s="3">
        <f>+IF(AVANCE[[#This Row],[LIMPIEZA FINAL]]=AZ$2,100%,AVANCE[[#This Row],[LIMPIEZA FINAL]])</f>
        <v>1</v>
      </c>
      <c r="CO74" s="3">
        <f>+IF(AVANCE[[#This Row],[PUERTAS DORMITORIO]]=BA$2,100%,AVANCE[[#This Row],[PUERTAS DORMITORIO]])</f>
        <v>1</v>
      </c>
      <c r="CP74" s="3">
        <f>+IF(AVANCE[[#This Row],[REVESTIMIENTO INTERIOR BANO]]=BB$2,100%,AVANCE[[#This Row],[REVESTIMIENTO INTERIOR BANO]])</f>
        <v>1</v>
      </c>
      <c r="CQ74" s="3">
        <f>+IF(AVANCE[[#This Row],[MUEBLE LAVAPLATOS]]=BC$2,100%,AVANCE[[#This Row],[MUEBLE LAVAPLATOS]])</f>
        <v>1</v>
      </c>
      <c r="CR74" s="3">
        <f>+IF(AVANCE[[#This Row],[IMPERMEABILIZACION BANO - COCINA LOGIA]]=BD$2,100%,AVANCE[[#This Row],[IMPERMEABILIZACION BANO - COCINA LOGIA]])</f>
        <v>1</v>
      </c>
      <c r="CS74" s="40">
        <f ca="1">+IF(AVANCE[[#This Row],[ESTADO MODULO]]="PENDIENTE",(TODAY()-AVANCE[[#This Row],[FECHA TERMINO  PLANIFICADO]]),0)</f>
        <v>0</v>
      </c>
      <c r="CT74" s="41" t="str" cm="1">
        <f t="array" ref="CT74">_xlfn.TEXTJOIN(" | ",TRUE,IF(SUMPRODUCT((BG74:CR74&lt;1)*(PARTIDAS!$I$2:$AT$2="OBRA GRUESA"))&gt;0,"OBRA GRUESA: "&amp;_xlfn.TEXTJOIN(", ",TRUE,IF((BG74:CR74&lt;1)*(PARTIDAS!$I$2:$AT$2="OBRA GRUESA"),PARTIDAS!$I$1:$AT$1,"")),""),IF(SUMPRODUCT((BG74:CR74&lt;1)*(PARTIDAS!$I$2:$AT$2="SANITARIOS"))&gt;0,"SANITARIOS: "&amp;_xlfn.TEXTJOIN(", ",TRUE,IF((BG74:CR74&lt;1)*(PARTIDAS!$I$2:$AT$2="SANITARIOS"),PARTIDAS!$I$1:$AT$1,"")),""),IF(SUMPRODUCT((BG74:CR74&lt;1)*(PARTIDAS!$I$2:$AT$2="ELÉCTRICO"))&gt;0,"ELÉCTRICO: "&amp;_xlfn.TEXTJOIN(", ",TRUE,IF((BG74:CR74&lt;1)*(PARTIDAS!$I$2:$AT$2="ELÉCTRICO"),PARTIDAS!$I$1:$AT$1,"")),""),IF(SUMPRODUCT((BG74:CR74&lt;1)*(PARTIDAS!$I$2:$AT$2="TERMINACIONES"))&gt;0,"TERMINACIONES: "&amp;_xlfn.TEXTJOIN(", ",TRUE,IF((BG74:CR74&lt;1)*(PARTIDAS!$I$2:$AT$2="TERMINACIONES"),PARTIDAS!$I$1:$AT$1,"")),""))</f>
        <v/>
      </c>
      <c r="CU74" s="43" t="str" cm="1">
        <f t="array" ref="CU74">_xlfn.TEXTJOIN(", ",TRUE,IF(SUMPRODUCT((BG74:CR74&lt;1)*(PARTIDAS!$I$2:$AT$2="OBRA GRUESA"))&gt;0,"OBRA GRUESA",""),IF(SUMPRODUCT((BG74:CR74&lt;1)*(PARTIDAS!$I$2:$AT$2="SANITARIOS"))&gt;0,"SANITARIOS",""),IF(SUMPRODUCT((BG74:CR74&lt;1)*(PARTIDAS!$I$2:$AT$2="ELÉCTRICO"))&gt;0,"ELÉCTRICO",""),IF(SUMPRODUCT((BG74:CR74&lt;1)*(PARTIDAS!$I$2:$AT$2="TERMINACIONES"))&gt;0,"TERMINACIONES",""))</f>
        <v/>
      </c>
      <c r="CV74" s="44" cm="1">
        <f t="array" ref="CV74">SUMPRODUCT(--(BG74:CR74&lt;1))</f>
        <v>0</v>
      </c>
    </row>
    <row r="75" spans="1:100" hidden="1" x14ac:dyDescent="0.25">
      <c r="A75" t="s">
        <v>124</v>
      </c>
      <c r="B75" t="s">
        <v>134</v>
      </c>
      <c r="C75">
        <v>2302600074</v>
      </c>
      <c r="D75" t="s">
        <v>60</v>
      </c>
      <c r="E75" s="2">
        <v>0.99999999999999978</v>
      </c>
      <c r="F75" s="1">
        <v>46156</v>
      </c>
      <c r="G75" s="1">
        <v>46161</v>
      </c>
      <c r="H75" s="1">
        <v>46211</v>
      </c>
      <c r="I75" s="1">
        <v>46192</v>
      </c>
      <c r="K75" s="1">
        <v>46211</v>
      </c>
      <c r="L75" s="3">
        <v>0.43</v>
      </c>
      <c r="M75" s="3">
        <v>1</v>
      </c>
      <c r="N75" s="3">
        <v>0.27906976744186046</v>
      </c>
      <c r="O75" s="3">
        <v>0.18604651162790697</v>
      </c>
      <c r="P75" s="3">
        <v>0.2558139534883721</v>
      </c>
      <c r="Q75" s="3">
        <v>0.18604651162790697</v>
      </c>
      <c r="R75" s="3">
        <v>9.3023255813953487E-2</v>
      </c>
      <c r="S75" s="3">
        <v>0.09</v>
      </c>
      <c r="T75" s="3">
        <v>1</v>
      </c>
      <c r="U75" s="3">
        <v>0.22222222222222221</v>
      </c>
      <c r="V75" s="3">
        <v>0.22222222222222221</v>
      </c>
      <c r="W75" s="3">
        <v>0.1111111111111111</v>
      </c>
      <c r="X75" s="3">
        <v>0.1111111111111111</v>
      </c>
      <c r="Y75" s="3">
        <v>0.1111111111111111</v>
      </c>
      <c r="Z75" s="3">
        <v>0.22222222222222221</v>
      </c>
      <c r="AA75" s="3">
        <v>0.11</v>
      </c>
      <c r="AB75" s="3">
        <v>1</v>
      </c>
      <c r="AC75" s="3">
        <v>0.27272727272727271</v>
      </c>
      <c r="AD75" s="3">
        <v>0.27272727272727271</v>
      </c>
      <c r="AE75" s="3">
        <v>9.0909090909090912E-2</v>
      </c>
      <c r="AF75" s="3">
        <v>0.18181818181818182</v>
      </c>
      <c r="AG75" s="3">
        <v>0.18181818181818182</v>
      </c>
      <c r="AH75" s="3">
        <v>0.36999999999999983</v>
      </c>
      <c r="AI75" s="3">
        <v>0.99999999999999956</v>
      </c>
      <c r="AJ75" s="3">
        <v>5.4054054054054036E-2</v>
      </c>
      <c r="AK75" s="3">
        <v>5.4054054054054036E-2</v>
      </c>
      <c r="AL75" s="3">
        <v>2.7027027027027018E-2</v>
      </c>
      <c r="AM75" s="3">
        <v>8.1081081081081058E-2</v>
      </c>
      <c r="AN75" s="3">
        <v>8.1081081081081058E-2</v>
      </c>
      <c r="AO75" s="3">
        <v>6.7567567567567557E-2</v>
      </c>
      <c r="AP75" s="3">
        <v>5.4054054054054036E-2</v>
      </c>
      <c r="AQ75" s="3">
        <v>1.3513513513513509E-2</v>
      </c>
      <c r="AR75" s="3">
        <v>4.0540540540540529E-2</v>
      </c>
      <c r="AS75" s="3">
        <v>1.3513513513513509E-2</v>
      </c>
      <c r="AT75" s="3">
        <v>8.1081081081081058E-2</v>
      </c>
      <c r="AU75" s="3">
        <v>5.4054054054054036E-2</v>
      </c>
      <c r="AV75" s="3">
        <v>2.7027027027027018E-2</v>
      </c>
      <c r="AW75" s="3">
        <v>5.4054054054054036E-2</v>
      </c>
      <c r="AX75" s="3">
        <v>5.4054054054054036E-2</v>
      </c>
      <c r="AY75" s="3">
        <v>2.7027027027027018E-2</v>
      </c>
      <c r="AZ75" s="3">
        <v>4.0540540540540529E-2</v>
      </c>
      <c r="BA75" s="3">
        <v>5.4054054054054036E-2</v>
      </c>
      <c r="BB75" s="3">
        <v>8.1081081081081058E-2</v>
      </c>
      <c r="BC75" s="3">
        <v>1.3513513513513509E-2</v>
      </c>
      <c r="BD75" s="3">
        <v>2.7027027027027018E-2</v>
      </c>
      <c r="BE75">
        <v>31.32</v>
      </c>
      <c r="BF75" s="3" t="str">
        <f>+IF(AVANCE[[#This Row],[% AVANCE]]=100%,"MODULO TERMINADO",IF(AVANCE[[#This Row],[FECHA INICIO REAL]]="","MODULO NO INICIADO","PENDIENTE"))</f>
        <v>MODULO TERMINADO</v>
      </c>
      <c r="BG75" s="3">
        <f>+IF(AVANCE[[#This Row],[VENTANAS]]=8.10810810810811%,100%,AVANCE[[#This Row],[VENTANAS]])</f>
        <v>1</v>
      </c>
      <c r="BH75" s="3">
        <f>+IF(AVANCE[[#This Row],[PISO]]=N$2,100%,AVANCE[[#This Row],[PISO]])</f>
        <v>1</v>
      </c>
      <c r="BI75" s="3">
        <f>+IF(AVANCE[[#This Row],[TABIQUES]]=O$2,100%,AVANCE[[#This Row],[TABIQUES]])</f>
        <v>1</v>
      </c>
      <c r="BJ75" s="3">
        <f>+IF(AVANCE[[#This Row],[MUROS]]=P$2,100%,AVANCE[[#This Row],[MUROS]])</f>
        <v>1</v>
      </c>
      <c r="BK75" s="3">
        <f>+IF(AVANCE[[#This Row],[CIELO]]=Q$2,100%,AVANCE[[#This Row],[CIELO]])</f>
        <v>1</v>
      </c>
      <c r="BL75" s="3">
        <f>+IF(AVANCE[[#This Row],[BALCÓN]]=R$2,100%,AVANCE[[#This Row],[BALCÓN]])</f>
        <v>1</v>
      </c>
      <c r="BM75" s="3">
        <f>+IF(AVANCE[[#This Row],[RED ALCANTARILLADO]]=U$2,100%,AVANCE[[#This Row],[RED ALCANTARILLADO]])</f>
        <v>1</v>
      </c>
      <c r="BN75" s="3">
        <f>+IF(AVANCE[[#This Row],[RED DE AGUA]]=V$2,100%,AVANCE[[#This Row],[RED DE AGUA]])</f>
        <v>1</v>
      </c>
      <c r="BO75" s="3">
        <f>+IF(AVANCE[[#This Row],[VENTILACIONES]]=W$2,100%,AVANCE[[#This Row],[VENTILACIONES]])</f>
        <v>1</v>
      </c>
      <c r="BP75" s="3">
        <f>+IF(AVANCE[[#This Row],[TINA]]=X$2,100%,AVANCE[[#This Row],[TINA]])</f>
        <v>1</v>
      </c>
      <c r="BQ75" s="3">
        <f>+IF(AVANCE[[#This Row],[WC]]=Y$2,100%,AVANCE[[#This Row],[WC]])</f>
        <v>1</v>
      </c>
      <c r="BR75" s="3">
        <f>+IF(AVANCE[[#This Row],[LAVAMANOS / LAVAPLATOS / LAVADERO]]=Z$2,100%,AVANCE[[#This Row],[LAVAMANOS / LAVAPLATOS / LAVADERO]])</f>
        <v>1</v>
      </c>
      <c r="BS75" s="3">
        <f>+IF(AVANCE[[#This Row],[CANALIZACIÓN]]=AC$2,100%,AVANCE[[#This Row],[CANALIZACIÓN]])</f>
        <v>1</v>
      </c>
      <c r="BT75" s="3">
        <f>+IF(AVANCE[[#This Row],[CABLEADO]]=AD$2,100%,AVANCE[[#This Row],[CABLEADO]])</f>
        <v>1</v>
      </c>
      <c r="BU75" s="3">
        <f>+IF(AVANCE[[#This Row],[ARTEFACTOS]]=AE$2,100%,AVANCE[[#This Row],[ARTEFACTOS]])</f>
        <v>1</v>
      </c>
      <c r="BV75" s="3">
        <f>+IF(AVANCE[[#This Row],[TABLERO]]=AF$2,100%,AVANCE[[#This Row],[TABLERO]])</f>
        <v>1</v>
      </c>
      <c r="BW75" s="3">
        <f>+IF(AVANCE[[#This Row],[CAJA PAU]]=AG$2,100%,AVANCE[[#This Row],[CAJA PAU]])</f>
        <v>1</v>
      </c>
      <c r="BX75" s="3">
        <f>+IF(AVANCE[[#This Row],[INSTALACION VINILICO]]=AJ$2,100%,AVANCE[[#This Row],[INSTALACION VINILICO]])</f>
        <v>1</v>
      </c>
      <c r="BY75" s="3">
        <f>+IF(AVANCE[[#This Row],[OSB CUBIERTA]]=AK$2,100%,AVANCE[[#This Row],[OSB CUBIERTA]])</f>
        <v>1</v>
      </c>
      <c r="BZ75" s="3">
        <f>+IF(AVANCE[[#This Row],[BARANDA BALCON]]=AL$2,100%,AVANCE[[#This Row],[BARANDA BALCON]])</f>
        <v>1</v>
      </c>
      <c r="CA75" s="3">
        <f>+IF(AVANCE[[#This Row],[OSB EXTERIOR]]=AM$2,100%,AVANCE[[#This Row],[OSB EXTERIOR]])</f>
        <v>1</v>
      </c>
      <c r="CB75" s="3">
        <f>+IF(AVANCE[[#This Row],[SMART PANEL]]=AN$2,100%,AVANCE[[#This Row],[SMART PANEL]])</f>
        <v>1</v>
      </c>
      <c r="CC75" s="3">
        <f>+IF(AVANCE[[#This Row],[PINTURA EXTERIOR]]=AO$2,100%,AVANCE[[#This Row],[PINTURA EXTERIOR]])</f>
        <v>1</v>
      </c>
      <c r="CD75" s="3">
        <f>+IF(AVANCE[[#This Row],[ZOCALOS LOGIA]]=AP$2,100%,AVANCE[[#This Row],[ZOCALOS LOGIA]])</f>
        <v>1</v>
      </c>
      <c r="CE75" s="3">
        <f>+IF(AVANCE[[#This Row],[MOLDURAS]]=AQ$2,100%,AVANCE[[#This Row],[MOLDURAS]])</f>
        <v>1</v>
      </c>
      <c r="CF75" s="3">
        <f>+IF(AVANCE[[#This Row],[PILASTREO]]=AR$2,100%,AVANCE[[#This Row],[PILASTREO]])</f>
        <v>1</v>
      </c>
      <c r="CG75" s="3">
        <f>+IF(AVANCE[[#This Row],[CELOSIAS]]=AS$2,100%,AVANCE[[#This Row],[CELOSIAS]])</f>
        <v>1</v>
      </c>
      <c r="CH75" s="3">
        <f>+IF(AVANCE[[#This Row],[VENTANAS]]=AT$2,100%,AVANCE[[#This Row],[VENTANAS]])</f>
        <v>1</v>
      </c>
      <c r="CI75" s="3">
        <f>+IF(AVANCE[[#This Row],[PUERTAS ACCESO - LOGIA - BANO]]=AU$2,100%,AVANCE[[#This Row],[PUERTAS ACCESO - LOGIA - BANO]])</f>
        <v>1</v>
      </c>
      <c r="CJ75" s="3">
        <f>+IF(AVANCE[[#This Row],[CERRADURAS]]=AV$2,100%,AVANCE[[#This Row],[CERRADURAS]])</f>
        <v>1</v>
      </c>
      <c r="CK75" s="3">
        <f>+IF(AVANCE[[#This Row],[REVESTIMIENTO INTERIOR ZONA SECA]]=AW$2,100%,AVANCE[[#This Row],[REVESTIMIENTO INTERIOR ZONA SECA]])</f>
        <v>1</v>
      </c>
      <c r="CL75" s="3">
        <f>+IF(AVANCE[[#This Row],[REVESTIMIENTO INTERIOR ZONAS HUMEDAS]]=AX$2,100%,AVANCE[[#This Row],[REVESTIMIENTO INTERIOR ZONAS HUMEDAS]])</f>
        <v>1</v>
      </c>
      <c r="CM75" s="3">
        <f>+IF(AVANCE[[#This Row],[MEMBRANA CIELO]]=AY$2,100%,AVANCE[[#This Row],[MEMBRANA CIELO]])</f>
        <v>1</v>
      </c>
      <c r="CN75" s="3">
        <f>+IF(AVANCE[[#This Row],[LIMPIEZA FINAL]]=AZ$2,100%,AVANCE[[#This Row],[LIMPIEZA FINAL]])</f>
        <v>1</v>
      </c>
      <c r="CO75" s="3">
        <f>+IF(AVANCE[[#This Row],[PUERTAS DORMITORIO]]=BA$2,100%,AVANCE[[#This Row],[PUERTAS DORMITORIO]])</f>
        <v>1</v>
      </c>
      <c r="CP75" s="3">
        <f>+IF(AVANCE[[#This Row],[REVESTIMIENTO INTERIOR BANO]]=BB$2,100%,AVANCE[[#This Row],[REVESTIMIENTO INTERIOR BANO]])</f>
        <v>1</v>
      </c>
      <c r="CQ75" s="3">
        <f>+IF(AVANCE[[#This Row],[MUEBLE LAVAPLATOS]]=BC$2,100%,AVANCE[[#This Row],[MUEBLE LAVAPLATOS]])</f>
        <v>1</v>
      </c>
      <c r="CR75" s="3">
        <f>+IF(AVANCE[[#This Row],[IMPERMEABILIZACION BANO - COCINA LOGIA]]=BD$2,100%,AVANCE[[#This Row],[IMPERMEABILIZACION BANO - COCINA LOGIA]])</f>
        <v>1</v>
      </c>
      <c r="CS75" s="40">
        <f ca="1">+IF(AVANCE[[#This Row],[ESTADO MODULO]]="PENDIENTE",(TODAY()-AVANCE[[#This Row],[FECHA TERMINO  PLANIFICADO]]),0)</f>
        <v>0</v>
      </c>
      <c r="CT75" s="41" t="str" cm="1">
        <f t="array" ref="CT75">_xlfn.TEXTJOIN(" | ",TRUE,IF(SUMPRODUCT((BG75:CR75&lt;1)*(PARTIDAS!$I$2:$AT$2="OBRA GRUESA"))&gt;0,"OBRA GRUESA: "&amp;_xlfn.TEXTJOIN(", ",TRUE,IF((BG75:CR75&lt;1)*(PARTIDAS!$I$2:$AT$2="OBRA GRUESA"),PARTIDAS!$I$1:$AT$1,"")),""),IF(SUMPRODUCT((BG75:CR75&lt;1)*(PARTIDAS!$I$2:$AT$2="SANITARIOS"))&gt;0,"SANITARIOS: "&amp;_xlfn.TEXTJOIN(", ",TRUE,IF((BG75:CR75&lt;1)*(PARTIDAS!$I$2:$AT$2="SANITARIOS"),PARTIDAS!$I$1:$AT$1,"")),""),IF(SUMPRODUCT((BG75:CR75&lt;1)*(PARTIDAS!$I$2:$AT$2="ELÉCTRICO"))&gt;0,"ELÉCTRICO: "&amp;_xlfn.TEXTJOIN(", ",TRUE,IF((BG75:CR75&lt;1)*(PARTIDAS!$I$2:$AT$2="ELÉCTRICO"),PARTIDAS!$I$1:$AT$1,"")),""),IF(SUMPRODUCT((BG75:CR75&lt;1)*(PARTIDAS!$I$2:$AT$2="TERMINACIONES"))&gt;0,"TERMINACIONES: "&amp;_xlfn.TEXTJOIN(", ",TRUE,IF((BG75:CR75&lt;1)*(PARTIDAS!$I$2:$AT$2="TERMINACIONES"),PARTIDAS!$I$1:$AT$1,"")),""))</f>
        <v/>
      </c>
      <c r="CU75" s="43" t="str" cm="1">
        <f t="array" ref="CU75">_xlfn.TEXTJOIN(", ",TRUE,IF(SUMPRODUCT((BG75:CR75&lt;1)*(PARTIDAS!$I$2:$AT$2="OBRA GRUESA"))&gt;0,"OBRA GRUESA",""),IF(SUMPRODUCT((BG75:CR75&lt;1)*(PARTIDAS!$I$2:$AT$2="SANITARIOS"))&gt;0,"SANITARIOS",""),IF(SUMPRODUCT((BG75:CR75&lt;1)*(PARTIDAS!$I$2:$AT$2="ELÉCTRICO"))&gt;0,"ELÉCTRICO",""),IF(SUMPRODUCT((BG75:CR75&lt;1)*(PARTIDAS!$I$2:$AT$2="TERMINACIONES"))&gt;0,"TERMINACIONES",""))</f>
        <v/>
      </c>
      <c r="CV75" s="44" cm="1">
        <f t="array" ref="CV75">SUMPRODUCT(--(BG75:CR75&lt;1))</f>
        <v>0</v>
      </c>
    </row>
    <row r="76" spans="1:100" hidden="1" x14ac:dyDescent="0.25">
      <c r="A76" t="s">
        <v>124</v>
      </c>
      <c r="B76" t="s">
        <v>135</v>
      </c>
      <c r="C76">
        <v>2302600075</v>
      </c>
      <c r="D76" t="s">
        <v>60</v>
      </c>
      <c r="E76" s="2">
        <v>0.99999999999999978</v>
      </c>
      <c r="F76" s="1">
        <v>46157</v>
      </c>
      <c r="G76" s="1">
        <v>46160</v>
      </c>
      <c r="H76" s="1">
        <v>46213</v>
      </c>
      <c r="I76" s="1">
        <v>46193</v>
      </c>
      <c r="K76" s="1">
        <v>46213</v>
      </c>
      <c r="L76" s="3">
        <v>0.43</v>
      </c>
      <c r="M76" s="3">
        <v>1</v>
      </c>
      <c r="N76" s="3">
        <v>0.27906976744186046</v>
      </c>
      <c r="O76" s="3">
        <v>0.18604651162790697</v>
      </c>
      <c r="P76" s="3">
        <v>0.2558139534883721</v>
      </c>
      <c r="Q76" s="3">
        <v>0.18604651162790697</v>
      </c>
      <c r="R76" s="3">
        <v>9.3023255813953487E-2</v>
      </c>
      <c r="S76" s="3">
        <v>0.09</v>
      </c>
      <c r="T76" s="3">
        <v>1</v>
      </c>
      <c r="U76" s="3">
        <v>0.22222222222222221</v>
      </c>
      <c r="V76" s="3">
        <v>0.22222222222222221</v>
      </c>
      <c r="W76" s="3">
        <v>0.1111111111111111</v>
      </c>
      <c r="X76" s="3">
        <v>0.1111111111111111</v>
      </c>
      <c r="Y76" s="3">
        <v>0.1111111111111111</v>
      </c>
      <c r="Z76" s="3">
        <v>0.22222222222222221</v>
      </c>
      <c r="AA76" s="3">
        <v>0.11</v>
      </c>
      <c r="AB76" s="3">
        <v>1</v>
      </c>
      <c r="AC76" s="3">
        <v>0.27272727272727271</v>
      </c>
      <c r="AD76" s="3">
        <v>0.27272727272727271</v>
      </c>
      <c r="AE76" s="3">
        <v>9.0909090909090912E-2</v>
      </c>
      <c r="AF76" s="3">
        <v>0.18181818181818182</v>
      </c>
      <c r="AG76" s="3">
        <v>0.18181818181818182</v>
      </c>
      <c r="AH76" s="3">
        <v>0.36999999999999983</v>
      </c>
      <c r="AI76" s="3">
        <v>0.99999999999999956</v>
      </c>
      <c r="AJ76" s="3">
        <v>5.4054054054054036E-2</v>
      </c>
      <c r="AK76" s="3">
        <v>5.4054054054054036E-2</v>
      </c>
      <c r="AL76" s="3">
        <v>2.7027027027027018E-2</v>
      </c>
      <c r="AM76" s="3">
        <v>8.1081081081081058E-2</v>
      </c>
      <c r="AN76" s="3">
        <v>8.1081081081081058E-2</v>
      </c>
      <c r="AO76" s="3">
        <v>6.7567567567567557E-2</v>
      </c>
      <c r="AP76" s="3">
        <v>5.4054054054054036E-2</v>
      </c>
      <c r="AQ76" s="3">
        <v>1.3513513513513509E-2</v>
      </c>
      <c r="AR76" s="3">
        <v>4.0540540540540529E-2</v>
      </c>
      <c r="AS76" s="3">
        <v>1.3513513513513509E-2</v>
      </c>
      <c r="AT76" s="3">
        <v>8.1081081081081058E-2</v>
      </c>
      <c r="AU76" s="3">
        <v>5.4054054054054036E-2</v>
      </c>
      <c r="AV76" s="3">
        <v>2.7027027027027018E-2</v>
      </c>
      <c r="AW76" s="3">
        <v>5.4054054054054036E-2</v>
      </c>
      <c r="AX76" s="3">
        <v>5.4054054054054036E-2</v>
      </c>
      <c r="AY76" s="3">
        <v>2.7027027027027018E-2</v>
      </c>
      <c r="AZ76" s="3">
        <v>4.0540540540540529E-2</v>
      </c>
      <c r="BA76" s="3">
        <v>5.4054054054054036E-2</v>
      </c>
      <c r="BB76" s="3">
        <v>8.1081081081081058E-2</v>
      </c>
      <c r="BC76" s="3">
        <v>1.3513513513513509E-2</v>
      </c>
      <c r="BD76" s="3">
        <v>2.7027027027027018E-2</v>
      </c>
      <c r="BE76">
        <v>31.32</v>
      </c>
      <c r="BF76" s="3" t="str">
        <f>+IF(AVANCE[[#This Row],[% AVANCE]]=100%,"MODULO TERMINADO",IF(AVANCE[[#This Row],[FECHA INICIO REAL]]="","MODULO NO INICIADO","PENDIENTE"))</f>
        <v>MODULO TERMINADO</v>
      </c>
      <c r="BG76" s="3">
        <f>+IF(AVANCE[[#This Row],[VENTANAS]]=8.10810810810811%,100%,AVANCE[[#This Row],[VENTANAS]])</f>
        <v>1</v>
      </c>
      <c r="BH76" s="3">
        <f>+IF(AVANCE[[#This Row],[PISO]]=N$2,100%,AVANCE[[#This Row],[PISO]])</f>
        <v>1</v>
      </c>
      <c r="BI76" s="3">
        <f>+IF(AVANCE[[#This Row],[TABIQUES]]=O$2,100%,AVANCE[[#This Row],[TABIQUES]])</f>
        <v>1</v>
      </c>
      <c r="BJ76" s="3">
        <f>+IF(AVANCE[[#This Row],[MUROS]]=P$2,100%,AVANCE[[#This Row],[MUROS]])</f>
        <v>1</v>
      </c>
      <c r="BK76" s="3">
        <f>+IF(AVANCE[[#This Row],[CIELO]]=Q$2,100%,AVANCE[[#This Row],[CIELO]])</f>
        <v>1</v>
      </c>
      <c r="BL76" s="3">
        <f>+IF(AVANCE[[#This Row],[BALCÓN]]=R$2,100%,AVANCE[[#This Row],[BALCÓN]])</f>
        <v>1</v>
      </c>
      <c r="BM76" s="3">
        <f>+IF(AVANCE[[#This Row],[RED ALCANTARILLADO]]=U$2,100%,AVANCE[[#This Row],[RED ALCANTARILLADO]])</f>
        <v>1</v>
      </c>
      <c r="BN76" s="3">
        <f>+IF(AVANCE[[#This Row],[RED DE AGUA]]=V$2,100%,AVANCE[[#This Row],[RED DE AGUA]])</f>
        <v>1</v>
      </c>
      <c r="BO76" s="3">
        <f>+IF(AVANCE[[#This Row],[VENTILACIONES]]=W$2,100%,AVANCE[[#This Row],[VENTILACIONES]])</f>
        <v>1</v>
      </c>
      <c r="BP76" s="3">
        <f>+IF(AVANCE[[#This Row],[TINA]]=X$2,100%,AVANCE[[#This Row],[TINA]])</f>
        <v>1</v>
      </c>
      <c r="BQ76" s="3">
        <f>+IF(AVANCE[[#This Row],[WC]]=Y$2,100%,AVANCE[[#This Row],[WC]])</f>
        <v>1</v>
      </c>
      <c r="BR76" s="3">
        <f>+IF(AVANCE[[#This Row],[LAVAMANOS / LAVAPLATOS / LAVADERO]]=Z$2,100%,AVANCE[[#This Row],[LAVAMANOS / LAVAPLATOS / LAVADERO]])</f>
        <v>1</v>
      </c>
      <c r="BS76" s="3">
        <f>+IF(AVANCE[[#This Row],[CANALIZACIÓN]]=AC$2,100%,AVANCE[[#This Row],[CANALIZACIÓN]])</f>
        <v>1</v>
      </c>
      <c r="BT76" s="3">
        <f>+IF(AVANCE[[#This Row],[CABLEADO]]=AD$2,100%,AVANCE[[#This Row],[CABLEADO]])</f>
        <v>1</v>
      </c>
      <c r="BU76" s="3">
        <f>+IF(AVANCE[[#This Row],[ARTEFACTOS]]=AE$2,100%,AVANCE[[#This Row],[ARTEFACTOS]])</f>
        <v>1</v>
      </c>
      <c r="BV76" s="3">
        <f>+IF(AVANCE[[#This Row],[TABLERO]]=AF$2,100%,AVANCE[[#This Row],[TABLERO]])</f>
        <v>1</v>
      </c>
      <c r="BW76" s="3">
        <f>+IF(AVANCE[[#This Row],[CAJA PAU]]=AG$2,100%,AVANCE[[#This Row],[CAJA PAU]])</f>
        <v>1</v>
      </c>
      <c r="BX76" s="3">
        <f>+IF(AVANCE[[#This Row],[INSTALACION VINILICO]]=AJ$2,100%,AVANCE[[#This Row],[INSTALACION VINILICO]])</f>
        <v>1</v>
      </c>
      <c r="BY76" s="3">
        <f>+IF(AVANCE[[#This Row],[OSB CUBIERTA]]=AK$2,100%,AVANCE[[#This Row],[OSB CUBIERTA]])</f>
        <v>1</v>
      </c>
      <c r="BZ76" s="3">
        <f>+IF(AVANCE[[#This Row],[BARANDA BALCON]]=AL$2,100%,AVANCE[[#This Row],[BARANDA BALCON]])</f>
        <v>1</v>
      </c>
      <c r="CA76" s="3">
        <f>+IF(AVANCE[[#This Row],[OSB EXTERIOR]]=AM$2,100%,AVANCE[[#This Row],[OSB EXTERIOR]])</f>
        <v>1</v>
      </c>
      <c r="CB76" s="3">
        <f>+IF(AVANCE[[#This Row],[SMART PANEL]]=AN$2,100%,AVANCE[[#This Row],[SMART PANEL]])</f>
        <v>1</v>
      </c>
      <c r="CC76" s="3">
        <f>+IF(AVANCE[[#This Row],[PINTURA EXTERIOR]]=AO$2,100%,AVANCE[[#This Row],[PINTURA EXTERIOR]])</f>
        <v>1</v>
      </c>
      <c r="CD76" s="3">
        <f>+IF(AVANCE[[#This Row],[ZOCALOS LOGIA]]=AP$2,100%,AVANCE[[#This Row],[ZOCALOS LOGIA]])</f>
        <v>1</v>
      </c>
      <c r="CE76" s="3">
        <f>+IF(AVANCE[[#This Row],[MOLDURAS]]=AQ$2,100%,AVANCE[[#This Row],[MOLDURAS]])</f>
        <v>1</v>
      </c>
      <c r="CF76" s="3">
        <f>+IF(AVANCE[[#This Row],[PILASTREO]]=AR$2,100%,AVANCE[[#This Row],[PILASTREO]])</f>
        <v>1</v>
      </c>
      <c r="CG76" s="3">
        <f>+IF(AVANCE[[#This Row],[CELOSIAS]]=AS$2,100%,AVANCE[[#This Row],[CELOSIAS]])</f>
        <v>1</v>
      </c>
      <c r="CH76" s="3">
        <f>+IF(AVANCE[[#This Row],[VENTANAS]]=AT$2,100%,AVANCE[[#This Row],[VENTANAS]])</f>
        <v>1</v>
      </c>
      <c r="CI76" s="3">
        <f>+IF(AVANCE[[#This Row],[PUERTAS ACCESO - LOGIA - BANO]]=AU$2,100%,AVANCE[[#This Row],[PUERTAS ACCESO - LOGIA - BANO]])</f>
        <v>1</v>
      </c>
      <c r="CJ76" s="3">
        <f>+IF(AVANCE[[#This Row],[CERRADURAS]]=AV$2,100%,AVANCE[[#This Row],[CERRADURAS]])</f>
        <v>1</v>
      </c>
      <c r="CK76" s="3">
        <f>+IF(AVANCE[[#This Row],[REVESTIMIENTO INTERIOR ZONA SECA]]=AW$2,100%,AVANCE[[#This Row],[REVESTIMIENTO INTERIOR ZONA SECA]])</f>
        <v>1</v>
      </c>
      <c r="CL76" s="3">
        <f>+IF(AVANCE[[#This Row],[REVESTIMIENTO INTERIOR ZONAS HUMEDAS]]=AX$2,100%,AVANCE[[#This Row],[REVESTIMIENTO INTERIOR ZONAS HUMEDAS]])</f>
        <v>1</v>
      </c>
      <c r="CM76" s="3">
        <f>+IF(AVANCE[[#This Row],[MEMBRANA CIELO]]=AY$2,100%,AVANCE[[#This Row],[MEMBRANA CIELO]])</f>
        <v>1</v>
      </c>
      <c r="CN76" s="3">
        <f>+IF(AVANCE[[#This Row],[LIMPIEZA FINAL]]=AZ$2,100%,AVANCE[[#This Row],[LIMPIEZA FINAL]])</f>
        <v>1</v>
      </c>
      <c r="CO76" s="3">
        <f>+IF(AVANCE[[#This Row],[PUERTAS DORMITORIO]]=BA$2,100%,AVANCE[[#This Row],[PUERTAS DORMITORIO]])</f>
        <v>1</v>
      </c>
      <c r="CP76" s="3">
        <f>+IF(AVANCE[[#This Row],[REVESTIMIENTO INTERIOR BANO]]=BB$2,100%,AVANCE[[#This Row],[REVESTIMIENTO INTERIOR BANO]])</f>
        <v>1</v>
      </c>
      <c r="CQ76" s="3">
        <f>+IF(AVANCE[[#This Row],[MUEBLE LAVAPLATOS]]=BC$2,100%,AVANCE[[#This Row],[MUEBLE LAVAPLATOS]])</f>
        <v>1</v>
      </c>
      <c r="CR76" s="3">
        <f>+IF(AVANCE[[#This Row],[IMPERMEABILIZACION BANO - COCINA LOGIA]]=BD$2,100%,AVANCE[[#This Row],[IMPERMEABILIZACION BANO - COCINA LOGIA]])</f>
        <v>1</v>
      </c>
      <c r="CS76" s="40">
        <f ca="1">+IF(AVANCE[[#This Row],[ESTADO MODULO]]="PENDIENTE",(TODAY()-AVANCE[[#This Row],[FECHA TERMINO  PLANIFICADO]]),0)</f>
        <v>0</v>
      </c>
      <c r="CT76" s="41" t="str" cm="1">
        <f t="array" ref="CT76">_xlfn.TEXTJOIN(" | ",TRUE,IF(SUMPRODUCT((BG76:CR76&lt;1)*(PARTIDAS!$I$2:$AT$2="OBRA GRUESA"))&gt;0,"OBRA GRUESA: "&amp;_xlfn.TEXTJOIN(", ",TRUE,IF((BG76:CR76&lt;1)*(PARTIDAS!$I$2:$AT$2="OBRA GRUESA"),PARTIDAS!$I$1:$AT$1,"")),""),IF(SUMPRODUCT((BG76:CR76&lt;1)*(PARTIDAS!$I$2:$AT$2="SANITARIOS"))&gt;0,"SANITARIOS: "&amp;_xlfn.TEXTJOIN(", ",TRUE,IF((BG76:CR76&lt;1)*(PARTIDAS!$I$2:$AT$2="SANITARIOS"),PARTIDAS!$I$1:$AT$1,"")),""),IF(SUMPRODUCT((BG76:CR76&lt;1)*(PARTIDAS!$I$2:$AT$2="ELÉCTRICO"))&gt;0,"ELÉCTRICO: "&amp;_xlfn.TEXTJOIN(", ",TRUE,IF((BG76:CR76&lt;1)*(PARTIDAS!$I$2:$AT$2="ELÉCTRICO"),PARTIDAS!$I$1:$AT$1,"")),""),IF(SUMPRODUCT((BG76:CR76&lt;1)*(PARTIDAS!$I$2:$AT$2="TERMINACIONES"))&gt;0,"TERMINACIONES: "&amp;_xlfn.TEXTJOIN(", ",TRUE,IF((BG76:CR76&lt;1)*(PARTIDAS!$I$2:$AT$2="TERMINACIONES"),PARTIDAS!$I$1:$AT$1,"")),""))</f>
        <v/>
      </c>
      <c r="CU76" s="43" t="str" cm="1">
        <f t="array" ref="CU76">_xlfn.TEXTJOIN(", ",TRUE,IF(SUMPRODUCT((BG76:CR76&lt;1)*(PARTIDAS!$I$2:$AT$2="OBRA GRUESA"))&gt;0,"OBRA GRUESA",""),IF(SUMPRODUCT((BG76:CR76&lt;1)*(PARTIDAS!$I$2:$AT$2="SANITARIOS"))&gt;0,"SANITARIOS",""),IF(SUMPRODUCT((BG76:CR76&lt;1)*(PARTIDAS!$I$2:$AT$2="ELÉCTRICO"))&gt;0,"ELÉCTRICO",""),IF(SUMPRODUCT((BG76:CR76&lt;1)*(PARTIDAS!$I$2:$AT$2="TERMINACIONES"))&gt;0,"TERMINACIONES",""))</f>
        <v/>
      </c>
      <c r="CV76" s="44" cm="1">
        <f t="array" ref="CV76">SUMPRODUCT(--(BG76:CR76&lt;1))</f>
        <v>0</v>
      </c>
    </row>
    <row r="77" spans="1:100" hidden="1" x14ac:dyDescent="0.25">
      <c r="A77" t="s">
        <v>124</v>
      </c>
      <c r="B77" t="s">
        <v>136</v>
      </c>
      <c r="C77">
        <v>2282600076</v>
      </c>
      <c r="D77" t="s">
        <v>58</v>
      </c>
      <c r="E77" s="2">
        <v>0.99999999999999978</v>
      </c>
      <c r="F77" s="1">
        <v>46157</v>
      </c>
      <c r="G77" s="1">
        <v>46169</v>
      </c>
      <c r="H77" s="1">
        <v>46213</v>
      </c>
      <c r="I77" s="1">
        <v>46183</v>
      </c>
      <c r="K77" s="1">
        <v>46213</v>
      </c>
      <c r="L77" s="3">
        <v>0.43</v>
      </c>
      <c r="M77" s="3">
        <v>1</v>
      </c>
      <c r="N77" s="3">
        <v>0.27906976744186046</v>
      </c>
      <c r="O77" s="3">
        <v>0.18604651162790697</v>
      </c>
      <c r="P77" s="3">
        <v>0.2558139534883721</v>
      </c>
      <c r="Q77" s="3">
        <v>0.18604651162790697</v>
      </c>
      <c r="R77" s="3">
        <v>9.3023255813953487E-2</v>
      </c>
      <c r="S77" s="3">
        <v>0.09</v>
      </c>
      <c r="T77" s="3">
        <v>1</v>
      </c>
      <c r="U77" s="3">
        <v>0.22222222222222221</v>
      </c>
      <c r="V77" s="3">
        <v>0.22222222222222221</v>
      </c>
      <c r="W77" s="3">
        <v>0.1111111111111111</v>
      </c>
      <c r="X77" s="3">
        <v>0.1111111111111111</v>
      </c>
      <c r="Y77" s="3">
        <v>0.1111111111111111</v>
      </c>
      <c r="Z77" s="3">
        <v>0.22222222222222221</v>
      </c>
      <c r="AA77" s="3">
        <v>0.11</v>
      </c>
      <c r="AB77" s="3">
        <v>1</v>
      </c>
      <c r="AC77" s="3">
        <v>0.27272727272727271</v>
      </c>
      <c r="AD77" s="3">
        <v>0.27272727272727271</v>
      </c>
      <c r="AE77" s="3">
        <v>9.0909090909090912E-2</v>
      </c>
      <c r="AF77" s="3">
        <v>0.18181818181818182</v>
      </c>
      <c r="AG77" s="3">
        <v>0.18181818181818182</v>
      </c>
      <c r="AH77" s="3">
        <v>0.36999999999999983</v>
      </c>
      <c r="AI77" s="3">
        <v>0.99999999999999956</v>
      </c>
      <c r="AJ77" s="3">
        <v>5.4054054054054036E-2</v>
      </c>
      <c r="AK77" s="3">
        <v>5.4054054054054036E-2</v>
      </c>
      <c r="AL77" s="3">
        <v>2.7027027027027018E-2</v>
      </c>
      <c r="AM77" s="3">
        <v>8.1081081081081058E-2</v>
      </c>
      <c r="AN77" s="3">
        <v>8.1081081081081058E-2</v>
      </c>
      <c r="AO77" s="3">
        <v>6.7567567567567557E-2</v>
      </c>
      <c r="AP77" s="3">
        <v>5.4054054054054036E-2</v>
      </c>
      <c r="AQ77" s="3">
        <v>1.3513513513513509E-2</v>
      </c>
      <c r="AR77" s="3">
        <v>4.0540540540540529E-2</v>
      </c>
      <c r="AS77" s="3">
        <v>1.3513513513513509E-2</v>
      </c>
      <c r="AT77" s="3">
        <v>8.1081081081081058E-2</v>
      </c>
      <c r="AU77" s="3">
        <v>5.4054054054054036E-2</v>
      </c>
      <c r="AV77" s="3">
        <v>2.7027027027027018E-2</v>
      </c>
      <c r="AW77" s="3">
        <v>5.4054054054054036E-2</v>
      </c>
      <c r="AX77" s="3">
        <v>5.4054054054054036E-2</v>
      </c>
      <c r="AY77" s="3">
        <v>2.7027027027027018E-2</v>
      </c>
      <c r="AZ77" s="3">
        <v>4.0540540540540529E-2</v>
      </c>
      <c r="BA77" s="3">
        <v>5.4054054054054036E-2</v>
      </c>
      <c r="BB77" s="3">
        <v>8.1081081081081058E-2</v>
      </c>
      <c r="BC77" s="3">
        <v>1.3513513513513509E-2</v>
      </c>
      <c r="BD77" s="3">
        <v>2.7027027027027018E-2</v>
      </c>
      <c r="BE77">
        <v>28.87</v>
      </c>
      <c r="BF77" s="3" t="str">
        <f>+IF(AVANCE[[#This Row],[% AVANCE]]=100%,"MODULO TERMINADO",IF(AVANCE[[#This Row],[FECHA INICIO REAL]]="","MODULO NO INICIADO","PENDIENTE"))</f>
        <v>MODULO TERMINADO</v>
      </c>
      <c r="BG77" s="3">
        <f>+IF(AVANCE[[#This Row],[VENTANAS]]=8.10810810810811%,100%,AVANCE[[#This Row],[VENTANAS]])</f>
        <v>1</v>
      </c>
      <c r="BH77" s="3">
        <f>+IF(AVANCE[[#This Row],[PISO]]=N$2,100%,AVANCE[[#This Row],[PISO]])</f>
        <v>1</v>
      </c>
      <c r="BI77" s="3">
        <f>+IF(AVANCE[[#This Row],[TABIQUES]]=O$2,100%,AVANCE[[#This Row],[TABIQUES]])</f>
        <v>1</v>
      </c>
      <c r="BJ77" s="3">
        <f>+IF(AVANCE[[#This Row],[MUROS]]=P$2,100%,AVANCE[[#This Row],[MUROS]])</f>
        <v>1</v>
      </c>
      <c r="BK77" s="3">
        <f>+IF(AVANCE[[#This Row],[CIELO]]=Q$2,100%,AVANCE[[#This Row],[CIELO]])</f>
        <v>1</v>
      </c>
      <c r="BL77" s="3">
        <f>+IF(AVANCE[[#This Row],[BALCÓN]]=R$2,100%,AVANCE[[#This Row],[BALCÓN]])</f>
        <v>1</v>
      </c>
      <c r="BM77" s="3">
        <f>+IF(AVANCE[[#This Row],[RED ALCANTARILLADO]]=U$2,100%,AVANCE[[#This Row],[RED ALCANTARILLADO]])</f>
        <v>1</v>
      </c>
      <c r="BN77" s="3">
        <f>+IF(AVANCE[[#This Row],[RED DE AGUA]]=V$2,100%,AVANCE[[#This Row],[RED DE AGUA]])</f>
        <v>1</v>
      </c>
      <c r="BO77" s="3">
        <f>+IF(AVANCE[[#This Row],[VENTILACIONES]]=W$2,100%,AVANCE[[#This Row],[VENTILACIONES]])</f>
        <v>1</v>
      </c>
      <c r="BP77" s="3">
        <f>+IF(AVANCE[[#This Row],[TINA]]=X$2,100%,AVANCE[[#This Row],[TINA]])</f>
        <v>1</v>
      </c>
      <c r="BQ77" s="3">
        <f>+IF(AVANCE[[#This Row],[WC]]=Y$2,100%,AVANCE[[#This Row],[WC]])</f>
        <v>1</v>
      </c>
      <c r="BR77" s="3">
        <f>+IF(AVANCE[[#This Row],[LAVAMANOS / LAVAPLATOS / LAVADERO]]=Z$2,100%,AVANCE[[#This Row],[LAVAMANOS / LAVAPLATOS / LAVADERO]])</f>
        <v>1</v>
      </c>
      <c r="BS77" s="3">
        <f>+IF(AVANCE[[#This Row],[CANALIZACIÓN]]=AC$2,100%,AVANCE[[#This Row],[CANALIZACIÓN]])</f>
        <v>1</v>
      </c>
      <c r="BT77" s="3">
        <f>+IF(AVANCE[[#This Row],[CABLEADO]]=AD$2,100%,AVANCE[[#This Row],[CABLEADO]])</f>
        <v>1</v>
      </c>
      <c r="BU77" s="3">
        <f>+IF(AVANCE[[#This Row],[ARTEFACTOS]]=AE$2,100%,AVANCE[[#This Row],[ARTEFACTOS]])</f>
        <v>1</v>
      </c>
      <c r="BV77" s="3">
        <f>+IF(AVANCE[[#This Row],[TABLERO]]=AF$2,100%,AVANCE[[#This Row],[TABLERO]])</f>
        <v>1</v>
      </c>
      <c r="BW77" s="3">
        <f>+IF(AVANCE[[#This Row],[CAJA PAU]]=AG$2,100%,AVANCE[[#This Row],[CAJA PAU]])</f>
        <v>1</v>
      </c>
      <c r="BX77" s="3">
        <f>+IF(AVANCE[[#This Row],[INSTALACION VINILICO]]=AJ$2,100%,AVANCE[[#This Row],[INSTALACION VINILICO]])</f>
        <v>1</v>
      </c>
      <c r="BY77" s="3">
        <f>+IF(AVANCE[[#This Row],[OSB CUBIERTA]]=AK$2,100%,AVANCE[[#This Row],[OSB CUBIERTA]])</f>
        <v>1</v>
      </c>
      <c r="BZ77" s="3">
        <f>+IF(AVANCE[[#This Row],[BARANDA BALCON]]=AL$2,100%,AVANCE[[#This Row],[BARANDA BALCON]])</f>
        <v>1</v>
      </c>
      <c r="CA77" s="3">
        <f>+IF(AVANCE[[#This Row],[OSB EXTERIOR]]=AM$2,100%,AVANCE[[#This Row],[OSB EXTERIOR]])</f>
        <v>1</v>
      </c>
      <c r="CB77" s="3">
        <f>+IF(AVANCE[[#This Row],[SMART PANEL]]=AN$2,100%,AVANCE[[#This Row],[SMART PANEL]])</f>
        <v>1</v>
      </c>
      <c r="CC77" s="3">
        <f>+IF(AVANCE[[#This Row],[PINTURA EXTERIOR]]=AO$2,100%,AVANCE[[#This Row],[PINTURA EXTERIOR]])</f>
        <v>1</v>
      </c>
      <c r="CD77" s="3">
        <f>+IF(AVANCE[[#This Row],[ZOCALOS LOGIA]]=AP$2,100%,AVANCE[[#This Row],[ZOCALOS LOGIA]])</f>
        <v>1</v>
      </c>
      <c r="CE77" s="3">
        <f>+IF(AVANCE[[#This Row],[MOLDURAS]]=AQ$2,100%,AVANCE[[#This Row],[MOLDURAS]])</f>
        <v>1</v>
      </c>
      <c r="CF77" s="3">
        <f>+IF(AVANCE[[#This Row],[PILASTREO]]=AR$2,100%,AVANCE[[#This Row],[PILASTREO]])</f>
        <v>1</v>
      </c>
      <c r="CG77" s="3">
        <f>+IF(AVANCE[[#This Row],[CELOSIAS]]=AS$2,100%,AVANCE[[#This Row],[CELOSIAS]])</f>
        <v>1</v>
      </c>
      <c r="CH77" s="3">
        <f>+IF(AVANCE[[#This Row],[VENTANAS]]=AT$2,100%,AVANCE[[#This Row],[VENTANAS]])</f>
        <v>1</v>
      </c>
      <c r="CI77" s="3">
        <f>+IF(AVANCE[[#This Row],[PUERTAS ACCESO - LOGIA - BANO]]=AU$2,100%,AVANCE[[#This Row],[PUERTAS ACCESO - LOGIA - BANO]])</f>
        <v>1</v>
      </c>
      <c r="CJ77" s="3">
        <f>+IF(AVANCE[[#This Row],[CERRADURAS]]=AV$2,100%,AVANCE[[#This Row],[CERRADURAS]])</f>
        <v>1</v>
      </c>
      <c r="CK77" s="3">
        <f>+IF(AVANCE[[#This Row],[REVESTIMIENTO INTERIOR ZONA SECA]]=AW$2,100%,AVANCE[[#This Row],[REVESTIMIENTO INTERIOR ZONA SECA]])</f>
        <v>1</v>
      </c>
      <c r="CL77" s="3">
        <f>+IF(AVANCE[[#This Row],[REVESTIMIENTO INTERIOR ZONAS HUMEDAS]]=AX$2,100%,AVANCE[[#This Row],[REVESTIMIENTO INTERIOR ZONAS HUMEDAS]])</f>
        <v>1</v>
      </c>
      <c r="CM77" s="3">
        <f>+IF(AVANCE[[#This Row],[MEMBRANA CIELO]]=AY$2,100%,AVANCE[[#This Row],[MEMBRANA CIELO]])</f>
        <v>1</v>
      </c>
      <c r="CN77" s="3">
        <f>+IF(AVANCE[[#This Row],[LIMPIEZA FINAL]]=AZ$2,100%,AVANCE[[#This Row],[LIMPIEZA FINAL]])</f>
        <v>1</v>
      </c>
      <c r="CO77" s="3">
        <f>+IF(AVANCE[[#This Row],[PUERTAS DORMITORIO]]=BA$2,100%,AVANCE[[#This Row],[PUERTAS DORMITORIO]])</f>
        <v>1</v>
      </c>
      <c r="CP77" s="3">
        <f>+IF(AVANCE[[#This Row],[REVESTIMIENTO INTERIOR BANO]]=BB$2,100%,AVANCE[[#This Row],[REVESTIMIENTO INTERIOR BANO]])</f>
        <v>1</v>
      </c>
      <c r="CQ77" s="3">
        <f>+IF(AVANCE[[#This Row],[MUEBLE LAVAPLATOS]]=BC$2,100%,AVANCE[[#This Row],[MUEBLE LAVAPLATOS]])</f>
        <v>1</v>
      </c>
      <c r="CR77" s="3">
        <f>+IF(AVANCE[[#This Row],[IMPERMEABILIZACION BANO - COCINA LOGIA]]=BD$2,100%,AVANCE[[#This Row],[IMPERMEABILIZACION BANO - COCINA LOGIA]])</f>
        <v>1</v>
      </c>
      <c r="CS77" s="40">
        <f ca="1">+IF(AVANCE[[#This Row],[ESTADO MODULO]]="PENDIENTE",(TODAY()-AVANCE[[#This Row],[FECHA TERMINO  PLANIFICADO]]),0)</f>
        <v>0</v>
      </c>
      <c r="CT77" s="41" t="str" cm="1">
        <f t="array" ref="CT77">_xlfn.TEXTJOIN(" | ",TRUE,IF(SUMPRODUCT((BG77:CR77&lt;1)*(PARTIDAS!$I$2:$AT$2="OBRA GRUESA"))&gt;0,"OBRA GRUESA: "&amp;_xlfn.TEXTJOIN(", ",TRUE,IF((BG77:CR77&lt;1)*(PARTIDAS!$I$2:$AT$2="OBRA GRUESA"),PARTIDAS!$I$1:$AT$1,"")),""),IF(SUMPRODUCT((BG77:CR77&lt;1)*(PARTIDAS!$I$2:$AT$2="SANITARIOS"))&gt;0,"SANITARIOS: "&amp;_xlfn.TEXTJOIN(", ",TRUE,IF((BG77:CR77&lt;1)*(PARTIDAS!$I$2:$AT$2="SANITARIOS"),PARTIDAS!$I$1:$AT$1,"")),""),IF(SUMPRODUCT((BG77:CR77&lt;1)*(PARTIDAS!$I$2:$AT$2="ELÉCTRICO"))&gt;0,"ELÉCTRICO: "&amp;_xlfn.TEXTJOIN(", ",TRUE,IF((BG77:CR77&lt;1)*(PARTIDAS!$I$2:$AT$2="ELÉCTRICO"),PARTIDAS!$I$1:$AT$1,"")),""),IF(SUMPRODUCT((BG77:CR77&lt;1)*(PARTIDAS!$I$2:$AT$2="TERMINACIONES"))&gt;0,"TERMINACIONES: "&amp;_xlfn.TEXTJOIN(", ",TRUE,IF((BG77:CR77&lt;1)*(PARTIDAS!$I$2:$AT$2="TERMINACIONES"),PARTIDAS!$I$1:$AT$1,"")),""))</f>
        <v/>
      </c>
      <c r="CU77" s="43" t="str" cm="1">
        <f t="array" ref="CU77">_xlfn.TEXTJOIN(", ",TRUE,IF(SUMPRODUCT((BG77:CR77&lt;1)*(PARTIDAS!$I$2:$AT$2="OBRA GRUESA"))&gt;0,"OBRA GRUESA",""),IF(SUMPRODUCT((BG77:CR77&lt;1)*(PARTIDAS!$I$2:$AT$2="SANITARIOS"))&gt;0,"SANITARIOS",""),IF(SUMPRODUCT((BG77:CR77&lt;1)*(PARTIDAS!$I$2:$AT$2="ELÉCTRICO"))&gt;0,"ELÉCTRICO",""),IF(SUMPRODUCT((BG77:CR77&lt;1)*(PARTIDAS!$I$2:$AT$2="TERMINACIONES"))&gt;0,"TERMINACIONES",""))</f>
        <v/>
      </c>
      <c r="CV77" s="44" cm="1">
        <f t="array" ref="CV77">SUMPRODUCT(--(BG77:CR77&lt;1))</f>
        <v>0</v>
      </c>
    </row>
    <row r="78" spans="1:100" hidden="1" x14ac:dyDescent="0.25">
      <c r="A78" t="s">
        <v>124</v>
      </c>
      <c r="B78" t="s">
        <v>137</v>
      </c>
      <c r="C78">
        <v>2282600077</v>
      </c>
      <c r="D78" t="s">
        <v>58</v>
      </c>
      <c r="E78" s="2">
        <v>0.99999999999999978</v>
      </c>
      <c r="F78" s="1">
        <v>46160</v>
      </c>
      <c r="G78" s="1">
        <v>46168</v>
      </c>
      <c r="H78" s="1">
        <v>46211</v>
      </c>
      <c r="I78" s="1">
        <v>46186</v>
      </c>
      <c r="K78" s="1">
        <v>46211</v>
      </c>
      <c r="L78" s="3">
        <v>0.43</v>
      </c>
      <c r="M78" s="3">
        <v>1</v>
      </c>
      <c r="N78" s="3">
        <v>0.27906976744186046</v>
      </c>
      <c r="O78" s="3">
        <v>0.18604651162790697</v>
      </c>
      <c r="P78" s="3">
        <v>0.2558139534883721</v>
      </c>
      <c r="Q78" s="3">
        <v>0.18604651162790697</v>
      </c>
      <c r="R78" s="3">
        <v>9.3023255813953487E-2</v>
      </c>
      <c r="S78" s="3">
        <v>0.09</v>
      </c>
      <c r="T78" s="3">
        <v>1</v>
      </c>
      <c r="U78" s="3">
        <v>0.22222222222222221</v>
      </c>
      <c r="V78" s="3">
        <v>0.22222222222222221</v>
      </c>
      <c r="W78" s="3">
        <v>0.1111111111111111</v>
      </c>
      <c r="X78" s="3">
        <v>0.1111111111111111</v>
      </c>
      <c r="Y78" s="3">
        <v>0.1111111111111111</v>
      </c>
      <c r="Z78" s="3">
        <v>0.22222222222222221</v>
      </c>
      <c r="AA78" s="3">
        <v>0.11</v>
      </c>
      <c r="AB78" s="3">
        <v>1</v>
      </c>
      <c r="AC78" s="3">
        <v>0.27272727272727271</v>
      </c>
      <c r="AD78" s="3">
        <v>0.27272727272727271</v>
      </c>
      <c r="AE78" s="3">
        <v>9.0909090909090912E-2</v>
      </c>
      <c r="AF78" s="3">
        <v>0.18181818181818182</v>
      </c>
      <c r="AG78" s="3">
        <v>0.18181818181818182</v>
      </c>
      <c r="AH78" s="3">
        <v>0.36999999999999983</v>
      </c>
      <c r="AI78" s="3">
        <v>0.99999999999999956</v>
      </c>
      <c r="AJ78" s="3">
        <v>5.4054054054054036E-2</v>
      </c>
      <c r="AK78" s="3">
        <v>5.4054054054054036E-2</v>
      </c>
      <c r="AL78" s="3">
        <v>2.7027027027027018E-2</v>
      </c>
      <c r="AM78" s="3">
        <v>8.1081081081081058E-2</v>
      </c>
      <c r="AN78" s="3">
        <v>8.1081081081081058E-2</v>
      </c>
      <c r="AO78" s="3">
        <v>6.7567567567567557E-2</v>
      </c>
      <c r="AP78" s="3">
        <v>5.4054054054054036E-2</v>
      </c>
      <c r="AQ78" s="3">
        <v>1.3513513513513509E-2</v>
      </c>
      <c r="AR78" s="3">
        <v>4.0540540540540529E-2</v>
      </c>
      <c r="AS78" s="3">
        <v>1.3513513513513509E-2</v>
      </c>
      <c r="AT78" s="3">
        <v>8.1081081081081058E-2</v>
      </c>
      <c r="AU78" s="3">
        <v>5.4054054054054036E-2</v>
      </c>
      <c r="AV78" s="3">
        <v>2.7027027027027018E-2</v>
      </c>
      <c r="AW78" s="3">
        <v>5.4054054054054036E-2</v>
      </c>
      <c r="AX78" s="3">
        <v>5.4054054054054036E-2</v>
      </c>
      <c r="AY78" s="3">
        <v>2.7027027027027018E-2</v>
      </c>
      <c r="AZ78" s="3">
        <v>4.0540540540540529E-2</v>
      </c>
      <c r="BA78" s="3">
        <v>5.4054054054054036E-2</v>
      </c>
      <c r="BB78" s="3">
        <v>8.1081081081081058E-2</v>
      </c>
      <c r="BC78" s="3">
        <v>1.3513513513513509E-2</v>
      </c>
      <c r="BD78" s="3">
        <v>2.7027027027027018E-2</v>
      </c>
      <c r="BE78">
        <v>28.87</v>
      </c>
      <c r="BF78" s="3" t="str">
        <f>+IF(AVANCE[[#This Row],[% AVANCE]]=100%,"MODULO TERMINADO",IF(AVANCE[[#This Row],[FECHA INICIO REAL]]="","MODULO NO INICIADO","PENDIENTE"))</f>
        <v>MODULO TERMINADO</v>
      </c>
      <c r="BG78" s="3">
        <f>+IF(AVANCE[[#This Row],[VENTANAS]]=8.10810810810811%,100%,AVANCE[[#This Row],[VENTANAS]])</f>
        <v>1</v>
      </c>
      <c r="BH78" s="3">
        <f>+IF(AVANCE[[#This Row],[PISO]]=N$2,100%,AVANCE[[#This Row],[PISO]])</f>
        <v>1</v>
      </c>
      <c r="BI78" s="3">
        <f>+IF(AVANCE[[#This Row],[TABIQUES]]=O$2,100%,AVANCE[[#This Row],[TABIQUES]])</f>
        <v>1</v>
      </c>
      <c r="BJ78" s="3">
        <f>+IF(AVANCE[[#This Row],[MUROS]]=P$2,100%,AVANCE[[#This Row],[MUROS]])</f>
        <v>1</v>
      </c>
      <c r="BK78" s="3">
        <f>+IF(AVANCE[[#This Row],[CIELO]]=Q$2,100%,AVANCE[[#This Row],[CIELO]])</f>
        <v>1</v>
      </c>
      <c r="BL78" s="3">
        <f>+IF(AVANCE[[#This Row],[BALCÓN]]=R$2,100%,AVANCE[[#This Row],[BALCÓN]])</f>
        <v>1</v>
      </c>
      <c r="BM78" s="3">
        <f>+IF(AVANCE[[#This Row],[RED ALCANTARILLADO]]=U$2,100%,AVANCE[[#This Row],[RED ALCANTARILLADO]])</f>
        <v>1</v>
      </c>
      <c r="BN78" s="3">
        <f>+IF(AVANCE[[#This Row],[RED DE AGUA]]=V$2,100%,AVANCE[[#This Row],[RED DE AGUA]])</f>
        <v>1</v>
      </c>
      <c r="BO78" s="3">
        <f>+IF(AVANCE[[#This Row],[VENTILACIONES]]=W$2,100%,AVANCE[[#This Row],[VENTILACIONES]])</f>
        <v>1</v>
      </c>
      <c r="BP78" s="3">
        <f>+IF(AVANCE[[#This Row],[TINA]]=X$2,100%,AVANCE[[#This Row],[TINA]])</f>
        <v>1</v>
      </c>
      <c r="BQ78" s="3">
        <f>+IF(AVANCE[[#This Row],[WC]]=Y$2,100%,AVANCE[[#This Row],[WC]])</f>
        <v>1</v>
      </c>
      <c r="BR78" s="3">
        <f>+IF(AVANCE[[#This Row],[LAVAMANOS / LAVAPLATOS / LAVADERO]]=Z$2,100%,AVANCE[[#This Row],[LAVAMANOS / LAVAPLATOS / LAVADERO]])</f>
        <v>1</v>
      </c>
      <c r="BS78" s="3">
        <f>+IF(AVANCE[[#This Row],[CANALIZACIÓN]]=AC$2,100%,AVANCE[[#This Row],[CANALIZACIÓN]])</f>
        <v>1</v>
      </c>
      <c r="BT78" s="3">
        <f>+IF(AVANCE[[#This Row],[CABLEADO]]=AD$2,100%,AVANCE[[#This Row],[CABLEADO]])</f>
        <v>1</v>
      </c>
      <c r="BU78" s="3">
        <f>+IF(AVANCE[[#This Row],[ARTEFACTOS]]=AE$2,100%,AVANCE[[#This Row],[ARTEFACTOS]])</f>
        <v>1</v>
      </c>
      <c r="BV78" s="3">
        <f>+IF(AVANCE[[#This Row],[TABLERO]]=AF$2,100%,AVANCE[[#This Row],[TABLERO]])</f>
        <v>1</v>
      </c>
      <c r="BW78" s="3">
        <f>+IF(AVANCE[[#This Row],[CAJA PAU]]=AG$2,100%,AVANCE[[#This Row],[CAJA PAU]])</f>
        <v>1</v>
      </c>
      <c r="BX78" s="3">
        <f>+IF(AVANCE[[#This Row],[INSTALACION VINILICO]]=AJ$2,100%,AVANCE[[#This Row],[INSTALACION VINILICO]])</f>
        <v>1</v>
      </c>
      <c r="BY78" s="3">
        <f>+IF(AVANCE[[#This Row],[OSB CUBIERTA]]=AK$2,100%,AVANCE[[#This Row],[OSB CUBIERTA]])</f>
        <v>1</v>
      </c>
      <c r="BZ78" s="3">
        <f>+IF(AVANCE[[#This Row],[BARANDA BALCON]]=AL$2,100%,AVANCE[[#This Row],[BARANDA BALCON]])</f>
        <v>1</v>
      </c>
      <c r="CA78" s="3">
        <f>+IF(AVANCE[[#This Row],[OSB EXTERIOR]]=AM$2,100%,AVANCE[[#This Row],[OSB EXTERIOR]])</f>
        <v>1</v>
      </c>
      <c r="CB78" s="3">
        <f>+IF(AVANCE[[#This Row],[SMART PANEL]]=AN$2,100%,AVANCE[[#This Row],[SMART PANEL]])</f>
        <v>1</v>
      </c>
      <c r="CC78" s="3">
        <f>+IF(AVANCE[[#This Row],[PINTURA EXTERIOR]]=AO$2,100%,AVANCE[[#This Row],[PINTURA EXTERIOR]])</f>
        <v>1</v>
      </c>
      <c r="CD78" s="3">
        <f>+IF(AVANCE[[#This Row],[ZOCALOS LOGIA]]=AP$2,100%,AVANCE[[#This Row],[ZOCALOS LOGIA]])</f>
        <v>1</v>
      </c>
      <c r="CE78" s="3">
        <f>+IF(AVANCE[[#This Row],[MOLDURAS]]=AQ$2,100%,AVANCE[[#This Row],[MOLDURAS]])</f>
        <v>1</v>
      </c>
      <c r="CF78" s="3">
        <f>+IF(AVANCE[[#This Row],[PILASTREO]]=AR$2,100%,AVANCE[[#This Row],[PILASTREO]])</f>
        <v>1</v>
      </c>
      <c r="CG78" s="3">
        <f>+IF(AVANCE[[#This Row],[CELOSIAS]]=AS$2,100%,AVANCE[[#This Row],[CELOSIAS]])</f>
        <v>1</v>
      </c>
      <c r="CH78" s="3">
        <f>+IF(AVANCE[[#This Row],[VENTANAS]]=AT$2,100%,AVANCE[[#This Row],[VENTANAS]])</f>
        <v>1</v>
      </c>
      <c r="CI78" s="3">
        <f>+IF(AVANCE[[#This Row],[PUERTAS ACCESO - LOGIA - BANO]]=AU$2,100%,AVANCE[[#This Row],[PUERTAS ACCESO - LOGIA - BANO]])</f>
        <v>1</v>
      </c>
      <c r="CJ78" s="3">
        <f>+IF(AVANCE[[#This Row],[CERRADURAS]]=AV$2,100%,AVANCE[[#This Row],[CERRADURAS]])</f>
        <v>1</v>
      </c>
      <c r="CK78" s="3">
        <f>+IF(AVANCE[[#This Row],[REVESTIMIENTO INTERIOR ZONA SECA]]=AW$2,100%,AVANCE[[#This Row],[REVESTIMIENTO INTERIOR ZONA SECA]])</f>
        <v>1</v>
      </c>
      <c r="CL78" s="3">
        <f>+IF(AVANCE[[#This Row],[REVESTIMIENTO INTERIOR ZONAS HUMEDAS]]=AX$2,100%,AVANCE[[#This Row],[REVESTIMIENTO INTERIOR ZONAS HUMEDAS]])</f>
        <v>1</v>
      </c>
      <c r="CM78" s="3">
        <f>+IF(AVANCE[[#This Row],[MEMBRANA CIELO]]=AY$2,100%,AVANCE[[#This Row],[MEMBRANA CIELO]])</f>
        <v>1</v>
      </c>
      <c r="CN78" s="3">
        <f>+IF(AVANCE[[#This Row],[LIMPIEZA FINAL]]=AZ$2,100%,AVANCE[[#This Row],[LIMPIEZA FINAL]])</f>
        <v>1</v>
      </c>
      <c r="CO78" s="3">
        <f>+IF(AVANCE[[#This Row],[PUERTAS DORMITORIO]]=BA$2,100%,AVANCE[[#This Row],[PUERTAS DORMITORIO]])</f>
        <v>1</v>
      </c>
      <c r="CP78" s="3">
        <f>+IF(AVANCE[[#This Row],[REVESTIMIENTO INTERIOR BANO]]=BB$2,100%,AVANCE[[#This Row],[REVESTIMIENTO INTERIOR BANO]])</f>
        <v>1</v>
      </c>
      <c r="CQ78" s="3">
        <f>+IF(AVANCE[[#This Row],[MUEBLE LAVAPLATOS]]=BC$2,100%,AVANCE[[#This Row],[MUEBLE LAVAPLATOS]])</f>
        <v>1</v>
      </c>
      <c r="CR78" s="3">
        <f>+IF(AVANCE[[#This Row],[IMPERMEABILIZACION BANO - COCINA LOGIA]]=BD$2,100%,AVANCE[[#This Row],[IMPERMEABILIZACION BANO - COCINA LOGIA]])</f>
        <v>1</v>
      </c>
      <c r="CS78" s="40">
        <f ca="1">+IF(AVANCE[[#This Row],[ESTADO MODULO]]="PENDIENTE",(TODAY()-AVANCE[[#This Row],[FECHA TERMINO  PLANIFICADO]]),0)</f>
        <v>0</v>
      </c>
      <c r="CT78" s="41" t="str" cm="1">
        <f t="array" ref="CT78">_xlfn.TEXTJOIN(" | ",TRUE,IF(SUMPRODUCT((BG78:CR78&lt;1)*(PARTIDAS!$I$2:$AT$2="OBRA GRUESA"))&gt;0,"OBRA GRUESA: "&amp;_xlfn.TEXTJOIN(", ",TRUE,IF((BG78:CR78&lt;1)*(PARTIDAS!$I$2:$AT$2="OBRA GRUESA"),PARTIDAS!$I$1:$AT$1,"")),""),IF(SUMPRODUCT((BG78:CR78&lt;1)*(PARTIDAS!$I$2:$AT$2="SANITARIOS"))&gt;0,"SANITARIOS: "&amp;_xlfn.TEXTJOIN(", ",TRUE,IF((BG78:CR78&lt;1)*(PARTIDAS!$I$2:$AT$2="SANITARIOS"),PARTIDAS!$I$1:$AT$1,"")),""),IF(SUMPRODUCT((BG78:CR78&lt;1)*(PARTIDAS!$I$2:$AT$2="ELÉCTRICO"))&gt;0,"ELÉCTRICO: "&amp;_xlfn.TEXTJOIN(", ",TRUE,IF((BG78:CR78&lt;1)*(PARTIDAS!$I$2:$AT$2="ELÉCTRICO"),PARTIDAS!$I$1:$AT$1,"")),""),IF(SUMPRODUCT((BG78:CR78&lt;1)*(PARTIDAS!$I$2:$AT$2="TERMINACIONES"))&gt;0,"TERMINACIONES: "&amp;_xlfn.TEXTJOIN(", ",TRUE,IF((BG78:CR78&lt;1)*(PARTIDAS!$I$2:$AT$2="TERMINACIONES"),PARTIDAS!$I$1:$AT$1,"")),""))</f>
        <v/>
      </c>
      <c r="CU78" s="43" t="str" cm="1">
        <f t="array" ref="CU78">_xlfn.TEXTJOIN(", ",TRUE,IF(SUMPRODUCT((BG78:CR78&lt;1)*(PARTIDAS!$I$2:$AT$2="OBRA GRUESA"))&gt;0,"OBRA GRUESA",""),IF(SUMPRODUCT((BG78:CR78&lt;1)*(PARTIDAS!$I$2:$AT$2="SANITARIOS"))&gt;0,"SANITARIOS",""),IF(SUMPRODUCT((BG78:CR78&lt;1)*(PARTIDAS!$I$2:$AT$2="ELÉCTRICO"))&gt;0,"ELÉCTRICO",""),IF(SUMPRODUCT((BG78:CR78&lt;1)*(PARTIDAS!$I$2:$AT$2="TERMINACIONES"))&gt;0,"TERMINACIONES",""))</f>
        <v/>
      </c>
      <c r="CV78" s="44" cm="1">
        <f t="array" ref="CV78">SUMPRODUCT(--(BG78:CR78&lt;1))</f>
        <v>0</v>
      </c>
    </row>
    <row r="79" spans="1:100" hidden="1" x14ac:dyDescent="0.25">
      <c r="A79" t="s">
        <v>124</v>
      </c>
      <c r="B79" t="s">
        <v>138</v>
      </c>
      <c r="C79">
        <v>2302600078</v>
      </c>
      <c r="D79" t="s">
        <v>60</v>
      </c>
      <c r="E79" s="2">
        <v>0.99999999999999978</v>
      </c>
      <c r="F79" s="1">
        <v>46160</v>
      </c>
      <c r="G79" s="1">
        <v>46158</v>
      </c>
      <c r="H79" s="1">
        <v>46216</v>
      </c>
      <c r="I79" s="1">
        <v>46196</v>
      </c>
      <c r="K79" s="1">
        <v>46216</v>
      </c>
      <c r="L79" s="3">
        <v>0.43</v>
      </c>
      <c r="M79" s="3">
        <v>1</v>
      </c>
      <c r="N79" s="3">
        <v>0.27906976744186046</v>
      </c>
      <c r="O79" s="3">
        <v>0.18604651162790697</v>
      </c>
      <c r="P79" s="3">
        <v>0.2558139534883721</v>
      </c>
      <c r="Q79" s="3">
        <v>0.18604651162790697</v>
      </c>
      <c r="R79" s="3">
        <v>9.3023255813953487E-2</v>
      </c>
      <c r="S79" s="3">
        <v>0.09</v>
      </c>
      <c r="T79" s="3">
        <v>1</v>
      </c>
      <c r="U79" s="3">
        <v>0.22222222222222221</v>
      </c>
      <c r="V79" s="3">
        <v>0.22222222222222221</v>
      </c>
      <c r="W79" s="3">
        <v>0.1111111111111111</v>
      </c>
      <c r="X79" s="3">
        <v>0.1111111111111111</v>
      </c>
      <c r="Y79" s="3">
        <v>0.1111111111111111</v>
      </c>
      <c r="Z79" s="3">
        <v>0.22222222222222221</v>
      </c>
      <c r="AA79" s="3">
        <v>0.11</v>
      </c>
      <c r="AB79" s="3">
        <v>1</v>
      </c>
      <c r="AC79" s="3">
        <v>0.27272727272727271</v>
      </c>
      <c r="AD79" s="3">
        <v>0.27272727272727271</v>
      </c>
      <c r="AE79" s="3">
        <v>9.0909090909090912E-2</v>
      </c>
      <c r="AF79" s="3">
        <v>0.18181818181818182</v>
      </c>
      <c r="AG79" s="3">
        <v>0.18181818181818182</v>
      </c>
      <c r="AH79" s="3">
        <v>0.36999999999999983</v>
      </c>
      <c r="AI79" s="3">
        <v>0.99999999999999956</v>
      </c>
      <c r="AJ79" s="3">
        <v>5.4054054054054036E-2</v>
      </c>
      <c r="AK79" s="3">
        <v>5.4054054054054036E-2</v>
      </c>
      <c r="AL79" s="3">
        <v>2.7027027027027018E-2</v>
      </c>
      <c r="AM79" s="3">
        <v>8.1081081081081058E-2</v>
      </c>
      <c r="AN79" s="3">
        <v>8.1081081081081058E-2</v>
      </c>
      <c r="AO79" s="3">
        <v>6.7567567567567557E-2</v>
      </c>
      <c r="AP79" s="3">
        <v>5.4054054054054036E-2</v>
      </c>
      <c r="AQ79" s="3">
        <v>1.3513513513513509E-2</v>
      </c>
      <c r="AR79" s="3">
        <v>4.0540540540540529E-2</v>
      </c>
      <c r="AS79" s="3">
        <v>1.3513513513513509E-2</v>
      </c>
      <c r="AT79" s="3">
        <v>8.1081081081081058E-2</v>
      </c>
      <c r="AU79" s="3">
        <v>5.4054054054054036E-2</v>
      </c>
      <c r="AV79" s="3">
        <v>2.7027027027027018E-2</v>
      </c>
      <c r="AW79" s="3">
        <v>5.4054054054054036E-2</v>
      </c>
      <c r="AX79" s="3">
        <v>5.4054054054054036E-2</v>
      </c>
      <c r="AY79" s="3">
        <v>2.7027027027027018E-2</v>
      </c>
      <c r="AZ79" s="3">
        <v>4.0540540540540529E-2</v>
      </c>
      <c r="BA79" s="3">
        <v>5.4054054054054036E-2</v>
      </c>
      <c r="BB79" s="3">
        <v>8.1081081081081058E-2</v>
      </c>
      <c r="BC79" s="3">
        <v>1.3513513513513509E-2</v>
      </c>
      <c r="BD79" s="3">
        <v>2.7027027027027018E-2</v>
      </c>
      <c r="BE79">
        <v>31.32</v>
      </c>
      <c r="BF79" s="3" t="str">
        <f>+IF(AVANCE[[#This Row],[% AVANCE]]=100%,"MODULO TERMINADO",IF(AVANCE[[#This Row],[FECHA INICIO REAL]]="","MODULO NO INICIADO","PENDIENTE"))</f>
        <v>MODULO TERMINADO</v>
      </c>
      <c r="BG79" s="3">
        <f>+IF(AVANCE[[#This Row],[VENTANAS]]=8.10810810810811%,100%,AVANCE[[#This Row],[VENTANAS]])</f>
        <v>1</v>
      </c>
      <c r="BH79" s="3">
        <f>+IF(AVANCE[[#This Row],[PISO]]=N$2,100%,AVANCE[[#This Row],[PISO]])</f>
        <v>1</v>
      </c>
      <c r="BI79" s="3">
        <f>+IF(AVANCE[[#This Row],[TABIQUES]]=O$2,100%,AVANCE[[#This Row],[TABIQUES]])</f>
        <v>1</v>
      </c>
      <c r="BJ79" s="3">
        <f>+IF(AVANCE[[#This Row],[MUROS]]=P$2,100%,AVANCE[[#This Row],[MUROS]])</f>
        <v>1</v>
      </c>
      <c r="BK79" s="3">
        <f>+IF(AVANCE[[#This Row],[CIELO]]=Q$2,100%,AVANCE[[#This Row],[CIELO]])</f>
        <v>1</v>
      </c>
      <c r="BL79" s="3">
        <f>+IF(AVANCE[[#This Row],[BALCÓN]]=R$2,100%,AVANCE[[#This Row],[BALCÓN]])</f>
        <v>1</v>
      </c>
      <c r="BM79" s="3">
        <f>+IF(AVANCE[[#This Row],[RED ALCANTARILLADO]]=U$2,100%,AVANCE[[#This Row],[RED ALCANTARILLADO]])</f>
        <v>1</v>
      </c>
      <c r="BN79" s="3">
        <f>+IF(AVANCE[[#This Row],[RED DE AGUA]]=V$2,100%,AVANCE[[#This Row],[RED DE AGUA]])</f>
        <v>1</v>
      </c>
      <c r="BO79" s="3">
        <f>+IF(AVANCE[[#This Row],[VENTILACIONES]]=W$2,100%,AVANCE[[#This Row],[VENTILACIONES]])</f>
        <v>1</v>
      </c>
      <c r="BP79" s="3">
        <f>+IF(AVANCE[[#This Row],[TINA]]=X$2,100%,AVANCE[[#This Row],[TINA]])</f>
        <v>1</v>
      </c>
      <c r="BQ79" s="3">
        <f>+IF(AVANCE[[#This Row],[WC]]=Y$2,100%,AVANCE[[#This Row],[WC]])</f>
        <v>1</v>
      </c>
      <c r="BR79" s="3">
        <f>+IF(AVANCE[[#This Row],[LAVAMANOS / LAVAPLATOS / LAVADERO]]=Z$2,100%,AVANCE[[#This Row],[LAVAMANOS / LAVAPLATOS / LAVADERO]])</f>
        <v>1</v>
      </c>
      <c r="BS79" s="3">
        <f>+IF(AVANCE[[#This Row],[CANALIZACIÓN]]=AC$2,100%,AVANCE[[#This Row],[CANALIZACIÓN]])</f>
        <v>1</v>
      </c>
      <c r="BT79" s="3">
        <f>+IF(AVANCE[[#This Row],[CABLEADO]]=AD$2,100%,AVANCE[[#This Row],[CABLEADO]])</f>
        <v>1</v>
      </c>
      <c r="BU79" s="3">
        <f>+IF(AVANCE[[#This Row],[ARTEFACTOS]]=AE$2,100%,AVANCE[[#This Row],[ARTEFACTOS]])</f>
        <v>1</v>
      </c>
      <c r="BV79" s="3">
        <f>+IF(AVANCE[[#This Row],[TABLERO]]=AF$2,100%,AVANCE[[#This Row],[TABLERO]])</f>
        <v>1</v>
      </c>
      <c r="BW79" s="3">
        <f>+IF(AVANCE[[#This Row],[CAJA PAU]]=AG$2,100%,AVANCE[[#This Row],[CAJA PAU]])</f>
        <v>1</v>
      </c>
      <c r="BX79" s="3">
        <f>+IF(AVANCE[[#This Row],[INSTALACION VINILICO]]=AJ$2,100%,AVANCE[[#This Row],[INSTALACION VINILICO]])</f>
        <v>1</v>
      </c>
      <c r="BY79" s="3">
        <f>+IF(AVANCE[[#This Row],[OSB CUBIERTA]]=AK$2,100%,AVANCE[[#This Row],[OSB CUBIERTA]])</f>
        <v>1</v>
      </c>
      <c r="BZ79" s="3">
        <f>+IF(AVANCE[[#This Row],[BARANDA BALCON]]=AL$2,100%,AVANCE[[#This Row],[BARANDA BALCON]])</f>
        <v>1</v>
      </c>
      <c r="CA79" s="3">
        <f>+IF(AVANCE[[#This Row],[OSB EXTERIOR]]=AM$2,100%,AVANCE[[#This Row],[OSB EXTERIOR]])</f>
        <v>1</v>
      </c>
      <c r="CB79" s="3">
        <f>+IF(AVANCE[[#This Row],[SMART PANEL]]=AN$2,100%,AVANCE[[#This Row],[SMART PANEL]])</f>
        <v>1</v>
      </c>
      <c r="CC79" s="3">
        <f>+IF(AVANCE[[#This Row],[PINTURA EXTERIOR]]=AO$2,100%,AVANCE[[#This Row],[PINTURA EXTERIOR]])</f>
        <v>1</v>
      </c>
      <c r="CD79" s="3">
        <f>+IF(AVANCE[[#This Row],[ZOCALOS LOGIA]]=AP$2,100%,AVANCE[[#This Row],[ZOCALOS LOGIA]])</f>
        <v>1</v>
      </c>
      <c r="CE79" s="3">
        <f>+IF(AVANCE[[#This Row],[MOLDURAS]]=AQ$2,100%,AVANCE[[#This Row],[MOLDURAS]])</f>
        <v>1</v>
      </c>
      <c r="CF79" s="3">
        <f>+IF(AVANCE[[#This Row],[PILASTREO]]=AR$2,100%,AVANCE[[#This Row],[PILASTREO]])</f>
        <v>1</v>
      </c>
      <c r="CG79" s="3">
        <f>+IF(AVANCE[[#This Row],[CELOSIAS]]=AS$2,100%,AVANCE[[#This Row],[CELOSIAS]])</f>
        <v>1</v>
      </c>
      <c r="CH79" s="3">
        <f>+IF(AVANCE[[#This Row],[VENTANAS]]=AT$2,100%,AVANCE[[#This Row],[VENTANAS]])</f>
        <v>1</v>
      </c>
      <c r="CI79" s="3">
        <f>+IF(AVANCE[[#This Row],[PUERTAS ACCESO - LOGIA - BANO]]=AU$2,100%,AVANCE[[#This Row],[PUERTAS ACCESO - LOGIA - BANO]])</f>
        <v>1</v>
      </c>
      <c r="CJ79" s="3">
        <f>+IF(AVANCE[[#This Row],[CERRADURAS]]=AV$2,100%,AVANCE[[#This Row],[CERRADURAS]])</f>
        <v>1</v>
      </c>
      <c r="CK79" s="3">
        <f>+IF(AVANCE[[#This Row],[REVESTIMIENTO INTERIOR ZONA SECA]]=AW$2,100%,AVANCE[[#This Row],[REVESTIMIENTO INTERIOR ZONA SECA]])</f>
        <v>1</v>
      </c>
      <c r="CL79" s="3">
        <f>+IF(AVANCE[[#This Row],[REVESTIMIENTO INTERIOR ZONAS HUMEDAS]]=AX$2,100%,AVANCE[[#This Row],[REVESTIMIENTO INTERIOR ZONAS HUMEDAS]])</f>
        <v>1</v>
      </c>
      <c r="CM79" s="3">
        <f>+IF(AVANCE[[#This Row],[MEMBRANA CIELO]]=AY$2,100%,AVANCE[[#This Row],[MEMBRANA CIELO]])</f>
        <v>1</v>
      </c>
      <c r="CN79" s="3">
        <f>+IF(AVANCE[[#This Row],[LIMPIEZA FINAL]]=AZ$2,100%,AVANCE[[#This Row],[LIMPIEZA FINAL]])</f>
        <v>1</v>
      </c>
      <c r="CO79" s="3">
        <f>+IF(AVANCE[[#This Row],[PUERTAS DORMITORIO]]=BA$2,100%,AVANCE[[#This Row],[PUERTAS DORMITORIO]])</f>
        <v>1</v>
      </c>
      <c r="CP79" s="3">
        <f>+IF(AVANCE[[#This Row],[REVESTIMIENTO INTERIOR BANO]]=BB$2,100%,AVANCE[[#This Row],[REVESTIMIENTO INTERIOR BANO]])</f>
        <v>1</v>
      </c>
      <c r="CQ79" s="3">
        <f>+IF(AVANCE[[#This Row],[MUEBLE LAVAPLATOS]]=BC$2,100%,AVANCE[[#This Row],[MUEBLE LAVAPLATOS]])</f>
        <v>1</v>
      </c>
      <c r="CR79" s="3">
        <f>+IF(AVANCE[[#This Row],[IMPERMEABILIZACION BANO - COCINA LOGIA]]=BD$2,100%,AVANCE[[#This Row],[IMPERMEABILIZACION BANO - COCINA LOGIA]])</f>
        <v>1</v>
      </c>
      <c r="CS79" s="40">
        <f ca="1">+IF(AVANCE[[#This Row],[ESTADO MODULO]]="PENDIENTE",(TODAY()-AVANCE[[#This Row],[FECHA TERMINO  PLANIFICADO]]),0)</f>
        <v>0</v>
      </c>
      <c r="CT79" s="41" t="str" cm="1">
        <f t="array" ref="CT79">_xlfn.TEXTJOIN(" | ",TRUE,IF(SUMPRODUCT((BG79:CR79&lt;1)*(PARTIDAS!$I$2:$AT$2="OBRA GRUESA"))&gt;0,"OBRA GRUESA: "&amp;_xlfn.TEXTJOIN(", ",TRUE,IF((BG79:CR79&lt;1)*(PARTIDAS!$I$2:$AT$2="OBRA GRUESA"),PARTIDAS!$I$1:$AT$1,"")),""),IF(SUMPRODUCT((BG79:CR79&lt;1)*(PARTIDAS!$I$2:$AT$2="SANITARIOS"))&gt;0,"SANITARIOS: "&amp;_xlfn.TEXTJOIN(", ",TRUE,IF((BG79:CR79&lt;1)*(PARTIDAS!$I$2:$AT$2="SANITARIOS"),PARTIDAS!$I$1:$AT$1,"")),""),IF(SUMPRODUCT((BG79:CR79&lt;1)*(PARTIDAS!$I$2:$AT$2="ELÉCTRICO"))&gt;0,"ELÉCTRICO: "&amp;_xlfn.TEXTJOIN(", ",TRUE,IF((BG79:CR79&lt;1)*(PARTIDAS!$I$2:$AT$2="ELÉCTRICO"),PARTIDAS!$I$1:$AT$1,"")),""),IF(SUMPRODUCT((BG79:CR79&lt;1)*(PARTIDAS!$I$2:$AT$2="TERMINACIONES"))&gt;0,"TERMINACIONES: "&amp;_xlfn.TEXTJOIN(", ",TRUE,IF((BG79:CR79&lt;1)*(PARTIDAS!$I$2:$AT$2="TERMINACIONES"),PARTIDAS!$I$1:$AT$1,"")),""))</f>
        <v/>
      </c>
      <c r="CU79" s="43" t="str" cm="1">
        <f t="array" ref="CU79">_xlfn.TEXTJOIN(", ",TRUE,IF(SUMPRODUCT((BG79:CR79&lt;1)*(PARTIDAS!$I$2:$AT$2="OBRA GRUESA"))&gt;0,"OBRA GRUESA",""),IF(SUMPRODUCT((BG79:CR79&lt;1)*(PARTIDAS!$I$2:$AT$2="SANITARIOS"))&gt;0,"SANITARIOS",""),IF(SUMPRODUCT((BG79:CR79&lt;1)*(PARTIDAS!$I$2:$AT$2="ELÉCTRICO"))&gt;0,"ELÉCTRICO",""),IF(SUMPRODUCT((BG79:CR79&lt;1)*(PARTIDAS!$I$2:$AT$2="TERMINACIONES"))&gt;0,"TERMINACIONES",""))</f>
        <v/>
      </c>
      <c r="CV79" s="44" cm="1">
        <f t="array" ref="CV79">SUMPRODUCT(--(BG79:CR79&lt;1))</f>
        <v>0</v>
      </c>
    </row>
    <row r="80" spans="1:100" hidden="1" x14ac:dyDescent="0.25">
      <c r="A80" t="s">
        <v>124</v>
      </c>
      <c r="B80" t="s">
        <v>139</v>
      </c>
      <c r="C80">
        <v>2302600079</v>
      </c>
      <c r="D80" t="s">
        <v>60</v>
      </c>
      <c r="E80" s="2">
        <v>0.99999999999999978</v>
      </c>
      <c r="F80" s="1">
        <v>46161</v>
      </c>
      <c r="G80" s="1">
        <v>46162</v>
      </c>
      <c r="H80" s="1">
        <v>46216</v>
      </c>
      <c r="I80" s="1">
        <v>46197</v>
      </c>
      <c r="K80" s="1">
        <v>46216</v>
      </c>
      <c r="L80" s="3">
        <v>0.43</v>
      </c>
      <c r="M80" s="3">
        <v>1</v>
      </c>
      <c r="N80" s="3">
        <v>0.27906976744186046</v>
      </c>
      <c r="O80" s="3">
        <v>0.18604651162790697</v>
      </c>
      <c r="P80" s="3">
        <v>0.2558139534883721</v>
      </c>
      <c r="Q80" s="3">
        <v>0.18604651162790697</v>
      </c>
      <c r="R80" s="3">
        <v>9.3023255813953487E-2</v>
      </c>
      <c r="S80" s="3">
        <v>0.09</v>
      </c>
      <c r="T80" s="3">
        <v>1</v>
      </c>
      <c r="U80" s="3">
        <v>0.22222222222222221</v>
      </c>
      <c r="V80" s="3">
        <v>0.22222222222222221</v>
      </c>
      <c r="W80" s="3">
        <v>0.1111111111111111</v>
      </c>
      <c r="X80" s="3">
        <v>0.1111111111111111</v>
      </c>
      <c r="Y80" s="3">
        <v>0.1111111111111111</v>
      </c>
      <c r="Z80" s="3">
        <v>0.22222222222222221</v>
      </c>
      <c r="AA80" s="3">
        <v>0.11</v>
      </c>
      <c r="AB80" s="3">
        <v>1</v>
      </c>
      <c r="AC80" s="3">
        <v>0.27272727272727271</v>
      </c>
      <c r="AD80" s="3">
        <v>0.27272727272727271</v>
      </c>
      <c r="AE80" s="3">
        <v>9.0909090909090912E-2</v>
      </c>
      <c r="AF80" s="3">
        <v>0.18181818181818182</v>
      </c>
      <c r="AG80" s="3">
        <v>0.18181818181818182</v>
      </c>
      <c r="AH80" s="3">
        <v>0.36999999999999983</v>
      </c>
      <c r="AI80" s="3">
        <v>0.99999999999999956</v>
      </c>
      <c r="AJ80" s="3">
        <v>5.4054054054054036E-2</v>
      </c>
      <c r="AK80" s="3">
        <v>5.4054054054054036E-2</v>
      </c>
      <c r="AL80" s="3">
        <v>2.7027027027027018E-2</v>
      </c>
      <c r="AM80" s="3">
        <v>8.1081081081081058E-2</v>
      </c>
      <c r="AN80" s="3">
        <v>8.1081081081081058E-2</v>
      </c>
      <c r="AO80" s="3">
        <v>6.7567567567567557E-2</v>
      </c>
      <c r="AP80" s="3">
        <v>5.4054054054054036E-2</v>
      </c>
      <c r="AQ80" s="3">
        <v>1.3513513513513509E-2</v>
      </c>
      <c r="AR80" s="3">
        <v>4.0540540540540529E-2</v>
      </c>
      <c r="AS80" s="3">
        <v>1.3513513513513509E-2</v>
      </c>
      <c r="AT80" s="3">
        <v>8.1081081081081058E-2</v>
      </c>
      <c r="AU80" s="3">
        <v>5.4054054054054036E-2</v>
      </c>
      <c r="AV80" s="3">
        <v>2.7027027027027018E-2</v>
      </c>
      <c r="AW80" s="3">
        <v>5.4054054054054036E-2</v>
      </c>
      <c r="AX80" s="3">
        <v>5.4054054054054036E-2</v>
      </c>
      <c r="AY80" s="3">
        <v>2.7027027027027018E-2</v>
      </c>
      <c r="AZ80" s="3">
        <v>4.0540540540540529E-2</v>
      </c>
      <c r="BA80" s="3">
        <v>5.4054054054054036E-2</v>
      </c>
      <c r="BB80" s="3">
        <v>8.1081081081081058E-2</v>
      </c>
      <c r="BC80" s="3">
        <v>1.3513513513513509E-2</v>
      </c>
      <c r="BD80" s="3">
        <v>2.7027027027027018E-2</v>
      </c>
      <c r="BE80">
        <v>31.32</v>
      </c>
      <c r="BF80" s="3" t="str">
        <f>+IF(AVANCE[[#This Row],[% AVANCE]]=100%,"MODULO TERMINADO",IF(AVANCE[[#This Row],[FECHA INICIO REAL]]="","MODULO NO INICIADO","PENDIENTE"))</f>
        <v>MODULO TERMINADO</v>
      </c>
      <c r="BG80" s="3">
        <f>+IF(AVANCE[[#This Row],[VENTANAS]]=8.10810810810811%,100%,AVANCE[[#This Row],[VENTANAS]])</f>
        <v>1</v>
      </c>
      <c r="BH80" s="3">
        <f>+IF(AVANCE[[#This Row],[PISO]]=N$2,100%,AVANCE[[#This Row],[PISO]])</f>
        <v>1</v>
      </c>
      <c r="BI80" s="3">
        <f>+IF(AVANCE[[#This Row],[TABIQUES]]=O$2,100%,AVANCE[[#This Row],[TABIQUES]])</f>
        <v>1</v>
      </c>
      <c r="BJ80" s="3">
        <f>+IF(AVANCE[[#This Row],[MUROS]]=P$2,100%,AVANCE[[#This Row],[MUROS]])</f>
        <v>1</v>
      </c>
      <c r="BK80" s="3">
        <f>+IF(AVANCE[[#This Row],[CIELO]]=Q$2,100%,AVANCE[[#This Row],[CIELO]])</f>
        <v>1</v>
      </c>
      <c r="BL80" s="3">
        <f>+IF(AVANCE[[#This Row],[BALCÓN]]=R$2,100%,AVANCE[[#This Row],[BALCÓN]])</f>
        <v>1</v>
      </c>
      <c r="BM80" s="3">
        <f>+IF(AVANCE[[#This Row],[RED ALCANTARILLADO]]=U$2,100%,AVANCE[[#This Row],[RED ALCANTARILLADO]])</f>
        <v>1</v>
      </c>
      <c r="BN80" s="3">
        <f>+IF(AVANCE[[#This Row],[RED DE AGUA]]=V$2,100%,AVANCE[[#This Row],[RED DE AGUA]])</f>
        <v>1</v>
      </c>
      <c r="BO80" s="3">
        <f>+IF(AVANCE[[#This Row],[VENTILACIONES]]=W$2,100%,AVANCE[[#This Row],[VENTILACIONES]])</f>
        <v>1</v>
      </c>
      <c r="BP80" s="3">
        <f>+IF(AVANCE[[#This Row],[TINA]]=X$2,100%,AVANCE[[#This Row],[TINA]])</f>
        <v>1</v>
      </c>
      <c r="BQ80" s="3">
        <f>+IF(AVANCE[[#This Row],[WC]]=Y$2,100%,AVANCE[[#This Row],[WC]])</f>
        <v>1</v>
      </c>
      <c r="BR80" s="3">
        <f>+IF(AVANCE[[#This Row],[LAVAMANOS / LAVAPLATOS / LAVADERO]]=Z$2,100%,AVANCE[[#This Row],[LAVAMANOS / LAVAPLATOS / LAVADERO]])</f>
        <v>1</v>
      </c>
      <c r="BS80" s="3">
        <f>+IF(AVANCE[[#This Row],[CANALIZACIÓN]]=AC$2,100%,AVANCE[[#This Row],[CANALIZACIÓN]])</f>
        <v>1</v>
      </c>
      <c r="BT80" s="3">
        <f>+IF(AVANCE[[#This Row],[CABLEADO]]=AD$2,100%,AVANCE[[#This Row],[CABLEADO]])</f>
        <v>1</v>
      </c>
      <c r="BU80" s="3">
        <f>+IF(AVANCE[[#This Row],[ARTEFACTOS]]=AE$2,100%,AVANCE[[#This Row],[ARTEFACTOS]])</f>
        <v>1</v>
      </c>
      <c r="BV80" s="3">
        <f>+IF(AVANCE[[#This Row],[TABLERO]]=AF$2,100%,AVANCE[[#This Row],[TABLERO]])</f>
        <v>1</v>
      </c>
      <c r="BW80" s="3">
        <f>+IF(AVANCE[[#This Row],[CAJA PAU]]=AG$2,100%,AVANCE[[#This Row],[CAJA PAU]])</f>
        <v>1</v>
      </c>
      <c r="BX80" s="3">
        <f>+IF(AVANCE[[#This Row],[INSTALACION VINILICO]]=AJ$2,100%,AVANCE[[#This Row],[INSTALACION VINILICO]])</f>
        <v>1</v>
      </c>
      <c r="BY80" s="3">
        <f>+IF(AVANCE[[#This Row],[OSB CUBIERTA]]=AK$2,100%,AVANCE[[#This Row],[OSB CUBIERTA]])</f>
        <v>1</v>
      </c>
      <c r="BZ80" s="3">
        <f>+IF(AVANCE[[#This Row],[BARANDA BALCON]]=AL$2,100%,AVANCE[[#This Row],[BARANDA BALCON]])</f>
        <v>1</v>
      </c>
      <c r="CA80" s="3">
        <f>+IF(AVANCE[[#This Row],[OSB EXTERIOR]]=AM$2,100%,AVANCE[[#This Row],[OSB EXTERIOR]])</f>
        <v>1</v>
      </c>
      <c r="CB80" s="3">
        <f>+IF(AVANCE[[#This Row],[SMART PANEL]]=AN$2,100%,AVANCE[[#This Row],[SMART PANEL]])</f>
        <v>1</v>
      </c>
      <c r="CC80" s="3">
        <f>+IF(AVANCE[[#This Row],[PINTURA EXTERIOR]]=AO$2,100%,AVANCE[[#This Row],[PINTURA EXTERIOR]])</f>
        <v>1</v>
      </c>
      <c r="CD80" s="3">
        <f>+IF(AVANCE[[#This Row],[ZOCALOS LOGIA]]=AP$2,100%,AVANCE[[#This Row],[ZOCALOS LOGIA]])</f>
        <v>1</v>
      </c>
      <c r="CE80" s="3">
        <f>+IF(AVANCE[[#This Row],[MOLDURAS]]=AQ$2,100%,AVANCE[[#This Row],[MOLDURAS]])</f>
        <v>1</v>
      </c>
      <c r="CF80" s="3">
        <f>+IF(AVANCE[[#This Row],[PILASTREO]]=AR$2,100%,AVANCE[[#This Row],[PILASTREO]])</f>
        <v>1</v>
      </c>
      <c r="CG80" s="3">
        <f>+IF(AVANCE[[#This Row],[CELOSIAS]]=AS$2,100%,AVANCE[[#This Row],[CELOSIAS]])</f>
        <v>1</v>
      </c>
      <c r="CH80" s="3">
        <f>+IF(AVANCE[[#This Row],[VENTANAS]]=AT$2,100%,AVANCE[[#This Row],[VENTANAS]])</f>
        <v>1</v>
      </c>
      <c r="CI80" s="3">
        <f>+IF(AVANCE[[#This Row],[PUERTAS ACCESO - LOGIA - BANO]]=AU$2,100%,AVANCE[[#This Row],[PUERTAS ACCESO - LOGIA - BANO]])</f>
        <v>1</v>
      </c>
      <c r="CJ80" s="3">
        <f>+IF(AVANCE[[#This Row],[CERRADURAS]]=AV$2,100%,AVANCE[[#This Row],[CERRADURAS]])</f>
        <v>1</v>
      </c>
      <c r="CK80" s="3">
        <f>+IF(AVANCE[[#This Row],[REVESTIMIENTO INTERIOR ZONA SECA]]=AW$2,100%,AVANCE[[#This Row],[REVESTIMIENTO INTERIOR ZONA SECA]])</f>
        <v>1</v>
      </c>
      <c r="CL80" s="3">
        <f>+IF(AVANCE[[#This Row],[REVESTIMIENTO INTERIOR ZONAS HUMEDAS]]=AX$2,100%,AVANCE[[#This Row],[REVESTIMIENTO INTERIOR ZONAS HUMEDAS]])</f>
        <v>1</v>
      </c>
      <c r="CM80" s="3">
        <f>+IF(AVANCE[[#This Row],[MEMBRANA CIELO]]=AY$2,100%,AVANCE[[#This Row],[MEMBRANA CIELO]])</f>
        <v>1</v>
      </c>
      <c r="CN80" s="3">
        <f>+IF(AVANCE[[#This Row],[LIMPIEZA FINAL]]=AZ$2,100%,AVANCE[[#This Row],[LIMPIEZA FINAL]])</f>
        <v>1</v>
      </c>
      <c r="CO80" s="3">
        <f>+IF(AVANCE[[#This Row],[PUERTAS DORMITORIO]]=BA$2,100%,AVANCE[[#This Row],[PUERTAS DORMITORIO]])</f>
        <v>1</v>
      </c>
      <c r="CP80" s="3">
        <f>+IF(AVANCE[[#This Row],[REVESTIMIENTO INTERIOR BANO]]=BB$2,100%,AVANCE[[#This Row],[REVESTIMIENTO INTERIOR BANO]])</f>
        <v>1</v>
      </c>
      <c r="CQ80" s="3">
        <f>+IF(AVANCE[[#This Row],[MUEBLE LAVAPLATOS]]=BC$2,100%,AVANCE[[#This Row],[MUEBLE LAVAPLATOS]])</f>
        <v>1</v>
      </c>
      <c r="CR80" s="3">
        <f>+IF(AVANCE[[#This Row],[IMPERMEABILIZACION BANO - COCINA LOGIA]]=BD$2,100%,AVANCE[[#This Row],[IMPERMEABILIZACION BANO - COCINA LOGIA]])</f>
        <v>1</v>
      </c>
      <c r="CS80" s="40">
        <f ca="1">+IF(AVANCE[[#This Row],[ESTADO MODULO]]="PENDIENTE",(TODAY()-AVANCE[[#This Row],[FECHA TERMINO  PLANIFICADO]]),0)</f>
        <v>0</v>
      </c>
      <c r="CT80" s="41" t="str" cm="1">
        <f t="array" ref="CT80">_xlfn.TEXTJOIN(" | ",TRUE,IF(SUMPRODUCT((BG80:CR80&lt;1)*(PARTIDAS!$I$2:$AT$2="OBRA GRUESA"))&gt;0,"OBRA GRUESA: "&amp;_xlfn.TEXTJOIN(", ",TRUE,IF((BG80:CR80&lt;1)*(PARTIDAS!$I$2:$AT$2="OBRA GRUESA"),PARTIDAS!$I$1:$AT$1,"")),""),IF(SUMPRODUCT((BG80:CR80&lt;1)*(PARTIDAS!$I$2:$AT$2="SANITARIOS"))&gt;0,"SANITARIOS: "&amp;_xlfn.TEXTJOIN(", ",TRUE,IF((BG80:CR80&lt;1)*(PARTIDAS!$I$2:$AT$2="SANITARIOS"),PARTIDAS!$I$1:$AT$1,"")),""),IF(SUMPRODUCT((BG80:CR80&lt;1)*(PARTIDAS!$I$2:$AT$2="ELÉCTRICO"))&gt;0,"ELÉCTRICO: "&amp;_xlfn.TEXTJOIN(", ",TRUE,IF((BG80:CR80&lt;1)*(PARTIDAS!$I$2:$AT$2="ELÉCTRICO"),PARTIDAS!$I$1:$AT$1,"")),""),IF(SUMPRODUCT((BG80:CR80&lt;1)*(PARTIDAS!$I$2:$AT$2="TERMINACIONES"))&gt;0,"TERMINACIONES: "&amp;_xlfn.TEXTJOIN(", ",TRUE,IF((BG80:CR80&lt;1)*(PARTIDAS!$I$2:$AT$2="TERMINACIONES"),PARTIDAS!$I$1:$AT$1,"")),""))</f>
        <v/>
      </c>
      <c r="CU80" s="43" t="str" cm="1">
        <f t="array" ref="CU80">_xlfn.TEXTJOIN(", ",TRUE,IF(SUMPRODUCT((BG80:CR80&lt;1)*(PARTIDAS!$I$2:$AT$2="OBRA GRUESA"))&gt;0,"OBRA GRUESA",""),IF(SUMPRODUCT((BG80:CR80&lt;1)*(PARTIDAS!$I$2:$AT$2="SANITARIOS"))&gt;0,"SANITARIOS",""),IF(SUMPRODUCT((BG80:CR80&lt;1)*(PARTIDAS!$I$2:$AT$2="ELÉCTRICO"))&gt;0,"ELÉCTRICO",""),IF(SUMPRODUCT((BG80:CR80&lt;1)*(PARTIDAS!$I$2:$AT$2="TERMINACIONES"))&gt;0,"TERMINACIONES",""))</f>
        <v/>
      </c>
      <c r="CV80" s="44" cm="1">
        <f t="array" ref="CV80">SUMPRODUCT(--(BG80:CR80&lt;1))</f>
        <v>0</v>
      </c>
    </row>
    <row r="81" spans="1:100" hidden="1" x14ac:dyDescent="0.25">
      <c r="A81" t="s">
        <v>124</v>
      </c>
      <c r="B81" t="s">
        <v>140</v>
      </c>
      <c r="C81">
        <v>2282600080</v>
      </c>
      <c r="D81" t="s">
        <v>58</v>
      </c>
      <c r="E81" s="2">
        <v>0.99999999999999978</v>
      </c>
      <c r="F81" s="1">
        <v>46161</v>
      </c>
      <c r="G81" s="1">
        <v>46168</v>
      </c>
      <c r="H81" s="1">
        <v>46213</v>
      </c>
      <c r="I81" s="1">
        <v>46187</v>
      </c>
      <c r="K81" s="1">
        <v>46213</v>
      </c>
      <c r="L81" s="3">
        <v>0.43</v>
      </c>
      <c r="M81" s="3">
        <v>1</v>
      </c>
      <c r="N81" s="3">
        <v>0.27906976744186046</v>
      </c>
      <c r="O81" s="3">
        <v>0.18604651162790697</v>
      </c>
      <c r="P81" s="3">
        <v>0.2558139534883721</v>
      </c>
      <c r="Q81" s="3">
        <v>0.18604651162790697</v>
      </c>
      <c r="R81" s="3">
        <v>9.3023255813953487E-2</v>
      </c>
      <c r="S81" s="3">
        <v>0.09</v>
      </c>
      <c r="T81" s="3">
        <v>1</v>
      </c>
      <c r="U81" s="3">
        <v>0.22222222222222221</v>
      </c>
      <c r="V81" s="3">
        <v>0.22222222222222221</v>
      </c>
      <c r="W81" s="3">
        <v>0.1111111111111111</v>
      </c>
      <c r="X81" s="3">
        <v>0.1111111111111111</v>
      </c>
      <c r="Y81" s="3">
        <v>0.1111111111111111</v>
      </c>
      <c r="Z81" s="3">
        <v>0.22222222222222221</v>
      </c>
      <c r="AA81" s="3">
        <v>0.11</v>
      </c>
      <c r="AB81" s="3">
        <v>1</v>
      </c>
      <c r="AC81" s="3">
        <v>0.27272727272727271</v>
      </c>
      <c r="AD81" s="3">
        <v>0.27272727272727271</v>
      </c>
      <c r="AE81" s="3">
        <v>9.0909090909090912E-2</v>
      </c>
      <c r="AF81" s="3">
        <v>0.18181818181818182</v>
      </c>
      <c r="AG81" s="3">
        <v>0.18181818181818182</v>
      </c>
      <c r="AH81" s="3">
        <v>0.36999999999999983</v>
      </c>
      <c r="AI81" s="3">
        <v>0.99999999999999956</v>
      </c>
      <c r="AJ81" s="3">
        <v>5.4054054054054036E-2</v>
      </c>
      <c r="AK81" s="3">
        <v>5.4054054054054036E-2</v>
      </c>
      <c r="AL81" s="3">
        <v>2.7027027027027018E-2</v>
      </c>
      <c r="AM81" s="3">
        <v>8.1081081081081058E-2</v>
      </c>
      <c r="AN81" s="3">
        <v>8.1081081081081058E-2</v>
      </c>
      <c r="AO81" s="3">
        <v>6.7567567567567557E-2</v>
      </c>
      <c r="AP81" s="3">
        <v>5.4054054054054036E-2</v>
      </c>
      <c r="AQ81" s="3">
        <v>1.3513513513513509E-2</v>
      </c>
      <c r="AR81" s="3">
        <v>4.0540540540540529E-2</v>
      </c>
      <c r="AS81" s="3">
        <v>1.3513513513513509E-2</v>
      </c>
      <c r="AT81" s="3">
        <v>8.1081081081081058E-2</v>
      </c>
      <c r="AU81" s="3">
        <v>5.4054054054054036E-2</v>
      </c>
      <c r="AV81" s="3">
        <v>2.7027027027027018E-2</v>
      </c>
      <c r="AW81" s="3">
        <v>5.4054054054054036E-2</v>
      </c>
      <c r="AX81" s="3">
        <v>5.4054054054054036E-2</v>
      </c>
      <c r="AY81" s="3">
        <v>2.7027027027027018E-2</v>
      </c>
      <c r="AZ81" s="3">
        <v>4.0540540540540529E-2</v>
      </c>
      <c r="BA81" s="3">
        <v>5.4054054054054036E-2</v>
      </c>
      <c r="BB81" s="3">
        <v>8.1081081081081058E-2</v>
      </c>
      <c r="BC81" s="3">
        <v>1.3513513513513509E-2</v>
      </c>
      <c r="BD81" s="3">
        <v>2.7027027027027018E-2</v>
      </c>
      <c r="BE81">
        <v>28.87</v>
      </c>
      <c r="BF81" s="3" t="str">
        <f>+IF(AVANCE[[#This Row],[% AVANCE]]=100%,"MODULO TERMINADO",IF(AVANCE[[#This Row],[FECHA INICIO REAL]]="","MODULO NO INICIADO","PENDIENTE"))</f>
        <v>MODULO TERMINADO</v>
      </c>
      <c r="BG81" s="3">
        <f>+IF(AVANCE[[#This Row],[VENTANAS]]=8.10810810810811%,100%,AVANCE[[#This Row],[VENTANAS]])</f>
        <v>1</v>
      </c>
      <c r="BH81" s="3">
        <f>+IF(AVANCE[[#This Row],[PISO]]=N$2,100%,AVANCE[[#This Row],[PISO]])</f>
        <v>1</v>
      </c>
      <c r="BI81" s="3">
        <f>+IF(AVANCE[[#This Row],[TABIQUES]]=O$2,100%,AVANCE[[#This Row],[TABIQUES]])</f>
        <v>1</v>
      </c>
      <c r="BJ81" s="3">
        <f>+IF(AVANCE[[#This Row],[MUROS]]=P$2,100%,AVANCE[[#This Row],[MUROS]])</f>
        <v>1</v>
      </c>
      <c r="BK81" s="3">
        <f>+IF(AVANCE[[#This Row],[CIELO]]=Q$2,100%,AVANCE[[#This Row],[CIELO]])</f>
        <v>1</v>
      </c>
      <c r="BL81" s="3">
        <f>+IF(AVANCE[[#This Row],[BALCÓN]]=R$2,100%,AVANCE[[#This Row],[BALCÓN]])</f>
        <v>1</v>
      </c>
      <c r="BM81" s="3">
        <f>+IF(AVANCE[[#This Row],[RED ALCANTARILLADO]]=U$2,100%,AVANCE[[#This Row],[RED ALCANTARILLADO]])</f>
        <v>1</v>
      </c>
      <c r="BN81" s="3">
        <f>+IF(AVANCE[[#This Row],[RED DE AGUA]]=V$2,100%,AVANCE[[#This Row],[RED DE AGUA]])</f>
        <v>1</v>
      </c>
      <c r="BO81" s="3">
        <f>+IF(AVANCE[[#This Row],[VENTILACIONES]]=W$2,100%,AVANCE[[#This Row],[VENTILACIONES]])</f>
        <v>1</v>
      </c>
      <c r="BP81" s="3">
        <f>+IF(AVANCE[[#This Row],[TINA]]=X$2,100%,AVANCE[[#This Row],[TINA]])</f>
        <v>1</v>
      </c>
      <c r="BQ81" s="3">
        <f>+IF(AVANCE[[#This Row],[WC]]=Y$2,100%,AVANCE[[#This Row],[WC]])</f>
        <v>1</v>
      </c>
      <c r="BR81" s="3">
        <f>+IF(AVANCE[[#This Row],[LAVAMANOS / LAVAPLATOS / LAVADERO]]=Z$2,100%,AVANCE[[#This Row],[LAVAMANOS / LAVAPLATOS / LAVADERO]])</f>
        <v>1</v>
      </c>
      <c r="BS81" s="3">
        <f>+IF(AVANCE[[#This Row],[CANALIZACIÓN]]=AC$2,100%,AVANCE[[#This Row],[CANALIZACIÓN]])</f>
        <v>1</v>
      </c>
      <c r="BT81" s="3">
        <f>+IF(AVANCE[[#This Row],[CABLEADO]]=AD$2,100%,AVANCE[[#This Row],[CABLEADO]])</f>
        <v>1</v>
      </c>
      <c r="BU81" s="3">
        <f>+IF(AVANCE[[#This Row],[ARTEFACTOS]]=AE$2,100%,AVANCE[[#This Row],[ARTEFACTOS]])</f>
        <v>1</v>
      </c>
      <c r="BV81" s="3">
        <f>+IF(AVANCE[[#This Row],[TABLERO]]=AF$2,100%,AVANCE[[#This Row],[TABLERO]])</f>
        <v>1</v>
      </c>
      <c r="BW81" s="3">
        <f>+IF(AVANCE[[#This Row],[CAJA PAU]]=AG$2,100%,AVANCE[[#This Row],[CAJA PAU]])</f>
        <v>1</v>
      </c>
      <c r="BX81" s="3">
        <f>+IF(AVANCE[[#This Row],[INSTALACION VINILICO]]=AJ$2,100%,AVANCE[[#This Row],[INSTALACION VINILICO]])</f>
        <v>1</v>
      </c>
      <c r="BY81" s="3">
        <f>+IF(AVANCE[[#This Row],[OSB CUBIERTA]]=AK$2,100%,AVANCE[[#This Row],[OSB CUBIERTA]])</f>
        <v>1</v>
      </c>
      <c r="BZ81" s="3">
        <f>+IF(AVANCE[[#This Row],[BARANDA BALCON]]=AL$2,100%,AVANCE[[#This Row],[BARANDA BALCON]])</f>
        <v>1</v>
      </c>
      <c r="CA81" s="3">
        <f>+IF(AVANCE[[#This Row],[OSB EXTERIOR]]=AM$2,100%,AVANCE[[#This Row],[OSB EXTERIOR]])</f>
        <v>1</v>
      </c>
      <c r="CB81" s="3">
        <f>+IF(AVANCE[[#This Row],[SMART PANEL]]=AN$2,100%,AVANCE[[#This Row],[SMART PANEL]])</f>
        <v>1</v>
      </c>
      <c r="CC81" s="3">
        <f>+IF(AVANCE[[#This Row],[PINTURA EXTERIOR]]=AO$2,100%,AVANCE[[#This Row],[PINTURA EXTERIOR]])</f>
        <v>1</v>
      </c>
      <c r="CD81" s="3">
        <f>+IF(AVANCE[[#This Row],[ZOCALOS LOGIA]]=AP$2,100%,AVANCE[[#This Row],[ZOCALOS LOGIA]])</f>
        <v>1</v>
      </c>
      <c r="CE81" s="3">
        <f>+IF(AVANCE[[#This Row],[MOLDURAS]]=AQ$2,100%,AVANCE[[#This Row],[MOLDURAS]])</f>
        <v>1</v>
      </c>
      <c r="CF81" s="3">
        <f>+IF(AVANCE[[#This Row],[PILASTREO]]=AR$2,100%,AVANCE[[#This Row],[PILASTREO]])</f>
        <v>1</v>
      </c>
      <c r="CG81" s="3">
        <f>+IF(AVANCE[[#This Row],[CELOSIAS]]=AS$2,100%,AVANCE[[#This Row],[CELOSIAS]])</f>
        <v>1</v>
      </c>
      <c r="CH81" s="3">
        <f>+IF(AVANCE[[#This Row],[VENTANAS]]=AT$2,100%,AVANCE[[#This Row],[VENTANAS]])</f>
        <v>1</v>
      </c>
      <c r="CI81" s="3">
        <f>+IF(AVANCE[[#This Row],[PUERTAS ACCESO - LOGIA - BANO]]=AU$2,100%,AVANCE[[#This Row],[PUERTAS ACCESO - LOGIA - BANO]])</f>
        <v>1</v>
      </c>
      <c r="CJ81" s="3">
        <f>+IF(AVANCE[[#This Row],[CERRADURAS]]=AV$2,100%,AVANCE[[#This Row],[CERRADURAS]])</f>
        <v>1</v>
      </c>
      <c r="CK81" s="3">
        <f>+IF(AVANCE[[#This Row],[REVESTIMIENTO INTERIOR ZONA SECA]]=AW$2,100%,AVANCE[[#This Row],[REVESTIMIENTO INTERIOR ZONA SECA]])</f>
        <v>1</v>
      </c>
      <c r="CL81" s="3">
        <f>+IF(AVANCE[[#This Row],[REVESTIMIENTO INTERIOR ZONAS HUMEDAS]]=AX$2,100%,AVANCE[[#This Row],[REVESTIMIENTO INTERIOR ZONAS HUMEDAS]])</f>
        <v>1</v>
      </c>
      <c r="CM81" s="3">
        <f>+IF(AVANCE[[#This Row],[MEMBRANA CIELO]]=AY$2,100%,AVANCE[[#This Row],[MEMBRANA CIELO]])</f>
        <v>1</v>
      </c>
      <c r="CN81" s="3">
        <f>+IF(AVANCE[[#This Row],[LIMPIEZA FINAL]]=AZ$2,100%,AVANCE[[#This Row],[LIMPIEZA FINAL]])</f>
        <v>1</v>
      </c>
      <c r="CO81" s="3">
        <f>+IF(AVANCE[[#This Row],[PUERTAS DORMITORIO]]=BA$2,100%,AVANCE[[#This Row],[PUERTAS DORMITORIO]])</f>
        <v>1</v>
      </c>
      <c r="CP81" s="3">
        <f>+IF(AVANCE[[#This Row],[REVESTIMIENTO INTERIOR BANO]]=BB$2,100%,AVANCE[[#This Row],[REVESTIMIENTO INTERIOR BANO]])</f>
        <v>1</v>
      </c>
      <c r="CQ81" s="3">
        <f>+IF(AVANCE[[#This Row],[MUEBLE LAVAPLATOS]]=BC$2,100%,AVANCE[[#This Row],[MUEBLE LAVAPLATOS]])</f>
        <v>1</v>
      </c>
      <c r="CR81" s="3">
        <f>+IF(AVANCE[[#This Row],[IMPERMEABILIZACION BANO - COCINA LOGIA]]=BD$2,100%,AVANCE[[#This Row],[IMPERMEABILIZACION BANO - COCINA LOGIA]])</f>
        <v>1</v>
      </c>
      <c r="CS81" s="40">
        <f ca="1">+IF(AVANCE[[#This Row],[ESTADO MODULO]]="PENDIENTE",(TODAY()-AVANCE[[#This Row],[FECHA TERMINO  PLANIFICADO]]),0)</f>
        <v>0</v>
      </c>
      <c r="CT81" s="41" t="str" cm="1">
        <f t="array" ref="CT81">_xlfn.TEXTJOIN(" | ",TRUE,IF(SUMPRODUCT((BG81:CR81&lt;1)*(PARTIDAS!$I$2:$AT$2="OBRA GRUESA"))&gt;0,"OBRA GRUESA: "&amp;_xlfn.TEXTJOIN(", ",TRUE,IF((BG81:CR81&lt;1)*(PARTIDAS!$I$2:$AT$2="OBRA GRUESA"),PARTIDAS!$I$1:$AT$1,"")),""),IF(SUMPRODUCT((BG81:CR81&lt;1)*(PARTIDAS!$I$2:$AT$2="SANITARIOS"))&gt;0,"SANITARIOS: "&amp;_xlfn.TEXTJOIN(", ",TRUE,IF((BG81:CR81&lt;1)*(PARTIDAS!$I$2:$AT$2="SANITARIOS"),PARTIDAS!$I$1:$AT$1,"")),""),IF(SUMPRODUCT((BG81:CR81&lt;1)*(PARTIDAS!$I$2:$AT$2="ELÉCTRICO"))&gt;0,"ELÉCTRICO: "&amp;_xlfn.TEXTJOIN(", ",TRUE,IF((BG81:CR81&lt;1)*(PARTIDAS!$I$2:$AT$2="ELÉCTRICO"),PARTIDAS!$I$1:$AT$1,"")),""),IF(SUMPRODUCT((BG81:CR81&lt;1)*(PARTIDAS!$I$2:$AT$2="TERMINACIONES"))&gt;0,"TERMINACIONES: "&amp;_xlfn.TEXTJOIN(", ",TRUE,IF((BG81:CR81&lt;1)*(PARTIDAS!$I$2:$AT$2="TERMINACIONES"),PARTIDAS!$I$1:$AT$1,"")),""))</f>
        <v/>
      </c>
      <c r="CU81" s="43" t="str" cm="1">
        <f t="array" ref="CU81">_xlfn.TEXTJOIN(", ",TRUE,IF(SUMPRODUCT((BG81:CR81&lt;1)*(PARTIDAS!$I$2:$AT$2="OBRA GRUESA"))&gt;0,"OBRA GRUESA",""),IF(SUMPRODUCT((BG81:CR81&lt;1)*(PARTIDAS!$I$2:$AT$2="SANITARIOS"))&gt;0,"SANITARIOS",""),IF(SUMPRODUCT((BG81:CR81&lt;1)*(PARTIDAS!$I$2:$AT$2="ELÉCTRICO"))&gt;0,"ELÉCTRICO",""),IF(SUMPRODUCT((BG81:CR81&lt;1)*(PARTIDAS!$I$2:$AT$2="TERMINACIONES"))&gt;0,"TERMINACIONES",""))</f>
        <v/>
      </c>
      <c r="CV81" s="44" cm="1">
        <f t="array" ref="CV81">SUMPRODUCT(--(BG81:CR81&lt;1))</f>
        <v>0</v>
      </c>
    </row>
    <row r="82" spans="1:100" hidden="1" x14ac:dyDescent="0.25">
      <c r="A82" t="s">
        <v>124</v>
      </c>
      <c r="B82" t="s">
        <v>141</v>
      </c>
      <c r="C82">
        <v>2282600081</v>
      </c>
      <c r="D82" t="s">
        <v>58</v>
      </c>
      <c r="E82" s="2">
        <v>0.99999999999999978</v>
      </c>
      <c r="F82" s="1">
        <v>46162</v>
      </c>
      <c r="G82" s="1">
        <v>46171</v>
      </c>
      <c r="H82" s="1">
        <v>46213</v>
      </c>
      <c r="I82" s="1">
        <v>46188</v>
      </c>
      <c r="K82" s="1">
        <v>46213</v>
      </c>
      <c r="L82" s="3">
        <v>0.43</v>
      </c>
      <c r="M82" s="3">
        <v>1</v>
      </c>
      <c r="N82" s="3">
        <v>0.27906976744186046</v>
      </c>
      <c r="O82" s="3">
        <v>0.18604651162790697</v>
      </c>
      <c r="P82" s="3">
        <v>0.2558139534883721</v>
      </c>
      <c r="Q82" s="3">
        <v>0.18604651162790697</v>
      </c>
      <c r="R82" s="3">
        <v>9.3023255813953487E-2</v>
      </c>
      <c r="S82" s="3">
        <v>0.09</v>
      </c>
      <c r="T82" s="3">
        <v>1</v>
      </c>
      <c r="U82" s="3">
        <v>0.22222222222222221</v>
      </c>
      <c r="V82" s="3">
        <v>0.22222222222222221</v>
      </c>
      <c r="W82" s="3">
        <v>0.1111111111111111</v>
      </c>
      <c r="X82" s="3">
        <v>0.1111111111111111</v>
      </c>
      <c r="Y82" s="3">
        <v>0.1111111111111111</v>
      </c>
      <c r="Z82" s="3">
        <v>0.22222222222222221</v>
      </c>
      <c r="AA82" s="3">
        <v>0.11</v>
      </c>
      <c r="AB82" s="3">
        <v>1</v>
      </c>
      <c r="AC82" s="3">
        <v>0.27272727272727271</v>
      </c>
      <c r="AD82" s="3">
        <v>0.27272727272727271</v>
      </c>
      <c r="AE82" s="3">
        <v>9.0909090909090912E-2</v>
      </c>
      <c r="AF82" s="3">
        <v>0.18181818181818182</v>
      </c>
      <c r="AG82" s="3">
        <v>0.18181818181818182</v>
      </c>
      <c r="AH82" s="3">
        <v>0.36999999999999983</v>
      </c>
      <c r="AI82" s="3">
        <v>0.99999999999999956</v>
      </c>
      <c r="AJ82" s="3">
        <v>5.4054054054054036E-2</v>
      </c>
      <c r="AK82" s="3">
        <v>5.4054054054054036E-2</v>
      </c>
      <c r="AL82" s="3">
        <v>2.7027027027027018E-2</v>
      </c>
      <c r="AM82" s="3">
        <v>8.1081081081081058E-2</v>
      </c>
      <c r="AN82" s="3">
        <v>8.1081081081081058E-2</v>
      </c>
      <c r="AO82" s="3">
        <v>6.7567567567567557E-2</v>
      </c>
      <c r="AP82" s="3">
        <v>5.4054054054054036E-2</v>
      </c>
      <c r="AQ82" s="3">
        <v>1.3513513513513509E-2</v>
      </c>
      <c r="AR82" s="3">
        <v>4.0540540540540529E-2</v>
      </c>
      <c r="AS82" s="3">
        <v>1.3513513513513509E-2</v>
      </c>
      <c r="AT82" s="3">
        <v>8.1081081081081058E-2</v>
      </c>
      <c r="AU82" s="3">
        <v>5.4054054054054036E-2</v>
      </c>
      <c r="AV82" s="3">
        <v>2.7027027027027018E-2</v>
      </c>
      <c r="AW82" s="3">
        <v>5.4054054054054036E-2</v>
      </c>
      <c r="AX82" s="3">
        <v>5.4054054054054036E-2</v>
      </c>
      <c r="AY82" s="3">
        <v>2.7027027027027018E-2</v>
      </c>
      <c r="AZ82" s="3">
        <v>4.0540540540540529E-2</v>
      </c>
      <c r="BA82" s="3">
        <v>5.4054054054054036E-2</v>
      </c>
      <c r="BB82" s="3">
        <v>8.1081081081081058E-2</v>
      </c>
      <c r="BC82" s="3">
        <v>1.3513513513513509E-2</v>
      </c>
      <c r="BD82" s="3">
        <v>2.7027027027027018E-2</v>
      </c>
      <c r="BE82">
        <v>28.87</v>
      </c>
      <c r="BF82" s="3" t="str">
        <f>+IF(AVANCE[[#This Row],[% AVANCE]]=100%,"MODULO TERMINADO",IF(AVANCE[[#This Row],[FECHA INICIO REAL]]="","MODULO NO INICIADO","PENDIENTE"))</f>
        <v>MODULO TERMINADO</v>
      </c>
      <c r="BG82" s="3">
        <f>+IF(AVANCE[[#This Row],[VENTANAS]]=8.10810810810811%,100%,AVANCE[[#This Row],[VENTANAS]])</f>
        <v>1</v>
      </c>
      <c r="BH82" s="3">
        <f>+IF(AVANCE[[#This Row],[PISO]]=N$2,100%,AVANCE[[#This Row],[PISO]])</f>
        <v>1</v>
      </c>
      <c r="BI82" s="3">
        <f>+IF(AVANCE[[#This Row],[TABIQUES]]=O$2,100%,AVANCE[[#This Row],[TABIQUES]])</f>
        <v>1</v>
      </c>
      <c r="BJ82" s="3">
        <f>+IF(AVANCE[[#This Row],[MUROS]]=P$2,100%,AVANCE[[#This Row],[MUROS]])</f>
        <v>1</v>
      </c>
      <c r="BK82" s="3">
        <f>+IF(AVANCE[[#This Row],[CIELO]]=Q$2,100%,AVANCE[[#This Row],[CIELO]])</f>
        <v>1</v>
      </c>
      <c r="BL82" s="3">
        <f>+IF(AVANCE[[#This Row],[BALCÓN]]=R$2,100%,AVANCE[[#This Row],[BALCÓN]])</f>
        <v>1</v>
      </c>
      <c r="BM82" s="3">
        <f>+IF(AVANCE[[#This Row],[RED ALCANTARILLADO]]=U$2,100%,AVANCE[[#This Row],[RED ALCANTARILLADO]])</f>
        <v>1</v>
      </c>
      <c r="BN82" s="3">
        <f>+IF(AVANCE[[#This Row],[RED DE AGUA]]=V$2,100%,AVANCE[[#This Row],[RED DE AGUA]])</f>
        <v>1</v>
      </c>
      <c r="BO82" s="3">
        <f>+IF(AVANCE[[#This Row],[VENTILACIONES]]=W$2,100%,AVANCE[[#This Row],[VENTILACIONES]])</f>
        <v>1</v>
      </c>
      <c r="BP82" s="3">
        <f>+IF(AVANCE[[#This Row],[TINA]]=X$2,100%,AVANCE[[#This Row],[TINA]])</f>
        <v>1</v>
      </c>
      <c r="BQ82" s="3">
        <f>+IF(AVANCE[[#This Row],[WC]]=Y$2,100%,AVANCE[[#This Row],[WC]])</f>
        <v>1</v>
      </c>
      <c r="BR82" s="3">
        <f>+IF(AVANCE[[#This Row],[LAVAMANOS / LAVAPLATOS / LAVADERO]]=Z$2,100%,AVANCE[[#This Row],[LAVAMANOS / LAVAPLATOS / LAVADERO]])</f>
        <v>1</v>
      </c>
      <c r="BS82" s="3">
        <f>+IF(AVANCE[[#This Row],[CANALIZACIÓN]]=AC$2,100%,AVANCE[[#This Row],[CANALIZACIÓN]])</f>
        <v>1</v>
      </c>
      <c r="BT82" s="3">
        <f>+IF(AVANCE[[#This Row],[CABLEADO]]=AD$2,100%,AVANCE[[#This Row],[CABLEADO]])</f>
        <v>1</v>
      </c>
      <c r="BU82" s="3">
        <f>+IF(AVANCE[[#This Row],[ARTEFACTOS]]=AE$2,100%,AVANCE[[#This Row],[ARTEFACTOS]])</f>
        <v>1</v>
      </c>
      <c r="BV82" s="3">
        <f>+IF(AVANCE[[#This Row],[TABLERO]]=AF$2,100%,AVANCE[[#This Row],[TABLERO]])</f>
        <v>1</v>
      </c>
      <c r="BW82" s="3">
        <f>+IF(AVANCE[[#This Row],[CAJA PAU]]=AG$2,100%,AVANCE[[#This Row],[CAJA PAU]])</f>
        <v>1</v>
      </c>
      <c r="BX82" s="3">
        <f>+IF(AVANCE[[#This Row],[INSTALACION VINILICO]]=AJ$2,100%,AVANCE[[#This Row],[INSTALACION VINILICO]])</f>
        <v>1</v>
      </c>
      <c r="BY82" s="3">
        <f>+IF(AVANCE[[#This Row],[OSB CUBIERTA]]=AK$2,100%,AVANCE[[#This Row],[OSB CUBIERTA]])</f>
        <v>1</v>
      </c>
      <c r="BZ82" s="3">
        <f>+IF(AVANCE[[#This Row],[BARANDA BALCON]]=AL$2,100%,AVANCE[[#This Row],[BARANDA BALCON]])</f>
        <v>1</v>
      </c>
      <c r="CA82" s="3">
        <f>+IF(AVANCE[[#This Row],[OSB EXTERIOR]]=AM$2,100%,AVANCE[[#This Row],[OSB EXTERIOR]])</f>
        <v>1</v>
      </c>
      <c r="CB82" s="3">
        <f>+IF(AVANCE[[#This Row],[SMART PANEL]]=AN$2,100%,AVANCE[[#This Row],[SMART PANEL]])</f>
        <v>1</v>
      </c>
      <c r="CC82" s="3">
        <f>+IF(AVANCE[[#This Row],[PINTURA EXTERIOR]]=AO$2,100%,AVANCE[[#This Row],[PINTURA EXTERIOR]])</f>
        <v>1</v>
      </c>
      <c r="CD82" s="3">
        <f>+IF(AVANCE[[#This Row],[ZOCALOS LOGIA]]=AP$2,100%,AVANCE[[#This Row],[ZOCALOS LOGIA]])</f>
        <v>1</v>
      </c>
      <c r="CE82" s="3">
        <f>+IF(AVANCE[[#This Row],[MOLDURAS]]=AQ$2,100%,AVANCE[[#This Row],[MOLDURAS]])</f>
        <v>1</v>
      </c>
      <c r="CF82" s="3">
        <f>+IF(AVANCE[[#This Row],[PILASTREO]]=AR$2,100%,AVANCE[[#This Row],[PILASTREO]])</f>
        <v>1</v>
      </c>
      <c r="CG82" s="3">
        <f>+IF(AVANCE[[#This Row],[CELOSIAS]]=AS$2,100%,AVANCE[[#This Row],[CELOSIAS]])</f>
        <v>1</v>
      </c>
      <c r="CH82" s="3">
        <f>+IF(AVANCE[[#This Row],[VENTANAS]]=AT$2,100%,AVANCE[[#This Row],[VENTANAS]])</f>
        <v>1</v>
      </c>
      <c r="CI82" s="3">
        <f>+IF(AVANCE[[#This Row],[PUERTAS ACCESO - LOGIA - BANO]]=AU$2,100%,AVANCE[[#This Row],[PUERTAS ACCESO - LOGIA - BANO]])</f>
        <v>1</v>
      </c>
      <c r="CJ82" s="3">
        <f>+IF(AVANCE[[#This Row],[CERRADURAS]]=AV$2,100%,AVANCE[[#This Row],[CERRADURAS]])</f>
        <v>1</v>
      </c>
      <c r="CK82" s="3">
        <f>+IF(AVANCE[[#This Row],[REVESTIMIENTO INTERIOR ZONA SECA]]=AW$2,100%,AVANCE[[#This Row],[REVESTIMIENTO INTERIOR ZONA SECA]])</f>
        <v>1</v>
      </c>
      <c r="CL82" s="3">
        <f>+IF(AVANCE[[#This Row],[REVESTIMIENTO INTERIOR ZONAS HUMEDAS]]=AX$2,100%,AVANCE[[#This Row],[REVESTIMIENTO INTERIOR ZONAS HUMEDAS]])</f>
        <v>1</v>
      </c>
      <c r="CM82" s="3">
        <f>+IF(AVANCE[[#This Row],[MEMBRANA CIELO]]=AY$2,100%,AVANCE[[#This Row],[MEMBRANA CIELO]])</f>
        <v>1</v>
      </c>
      <c r="CN82" s="3">
        <f>+IF(AVANCE[[#This Row],[LIMPIEZA FINAL]]=AZ$2,100%,AVANCE[[#This Row],[LIMPIEZA FINAL]])</f>
        <v>1</v>
      </c>
      <c r="CO82" s="3">
        <f>+IF(AVANCE[[#This Row],[PUERTAS DORMITORIO]]=BA$2,100%,AVANCE[[#This Row],[PUERTAS DORMITORIO]])</f>
        <v>1</v>
      </c>
      <c r="CP82" s="3">
        <f>+IF(AVANCE[[#This Row],[REVESTIMIENTO INTERIOR BANO]]=BB$2,100%,AVANCE[[#This Row],[REVESTIMIENTO INTERIOR BANO]])</f>
        <v>1</v>
      </c>
      <c r="CQ82" s="3">
        <f>+IF(AVANCE[[#This Row],[MUEBLE LAVAPLATOS]]=BC$2,100%,AVANCE[[#This Row],[MUEBLE LAVAPLATOS]])</f>
        <v>1</v>
      </c>
      <c r="CR82" s="3">
        <f>+IF(AVANCE[[#This Row],[IMPERMEABILIZACION BANO - COCINA LOGIA]]=BD$2,100%,AVANCE[[#This Row],[IMPERMEABILIZACION BANO - COCINA LOGIA]])</f>
        <v>1</v>
      </c>
      <c r="CS82" s="40">
        <f ca="1">+IF(AVANCE[[#This Row],[ESTADO MODULO]]="PENDIENTE",(TODAY()-AVANCE[[#This Row],[FECHA TERMINO  PLANIFICADO]]),0)</f>
        <v>0</v>
      </c>
      <c r="CT82" s="41" t="str" cm="1">
        <f t="array" ref="CT82">_xlfn.TEXTJOIN(" | ",TRUE,IF(SUMPRODUCT((BG82:CR82&lt;1)*(PARTIDAS!$I$2:$AT$2="OBRA GRUESA"))&gt;0,"OBRA GRUESA: "&amp;_xlfn.TEXTJOIN(", ",TRUE,IF((BG82:CR82&lt;1)*(PARTIDAS!$I$2:$AT$2="OBRA GRUESA"),PARTIDAS!$I$1:$AT$1,"")),""),IF(SUMPRODUCT((BG82:CR82&lt;1)*(PARTIDAS!$I$2:$AT$2="SANITARIOS"))&gt;0,"SANITARIOS: "&amp;_xlfn.TEXTJOIN(", ",TRUE,IF((BG82:CR82&lt;1)*(PARTIDAS!$I$2:$AT$2="SANITARIOS"),PARTIDAS!$I$1:$AT$1,"")),""),IF(SUMPRODUCT((BG82:CR82&lt;1)*(PARTIDAS!$I$2:$AT$2="ELÉCTRICO"))&gt;0,"ELÉCTRICO: "&amp;_xlfn.TEXTJOIN(", ",TRUE,IF((BG82:CR82&lt;1)*(PARTIDAS!$I$2:$AT$2="ELÉCTRICO"),PARTIDAS!$I$1:$AT$1,"")),""),IF(SUMPRODUCT((BG82:CR82&lt;1)*(PARTIDAS!$I$2:$AT$2="TERMINACIONES"))&gt;0,"TERMINACIONES: "&amp;_xlfn.TEXTJOIN(", ",TRUE,IF((BG82:CR82&lt;1)*(PARTIDAS!$I$2:$AT$2="TERMINACIONES"),PARTIDAS!$I$1:$AT$1,"")),""))</f>
        <v/>
      </c>
      <c r="CU82" s="43" t="str" cm="1">
        <f t="array" ref="CU82">_xlfn.TEXTJOIN(", ",TRUE,IF(SUMPRODUCT((BG82:CR82&lt;1)*(PARTIDAS!$I$2:$AT$2="OBRA GRUESA"))&gt;0,"OBRA GRUESA",""),IF(SUMPRODUCT((BG82:CR82&lt;1)*(PARTIDAS!$I$2:$AT$2="SANITARIOS"))&gt;0,"SANITARIOS",""),IF(SUMPRODUCT((BG82:CR82&lt;1)*(PARTIDAS!$I$2:$AT$2="ELÉCTRICO"))&gt;0,"ELÉCTRICO",""),IF(SUMPRODUCT((BG82:CR82&lt;1)*(PARTIDAS!$I$2:$AT$2="TERMINACIONES"))&gt;0,"TERMINACIONES",""))</f>
        <v/>
      </c>
      <c r="CV82" s="44" cm="1">
        <f t="array" ref="CV82">SUMPRODUCT(--(BG82:CR82&lt;1))</f>
        <v>0</v>
      </c>
    </row>
    <row r="83" spans="1:100" hidden="1" x14ac:dyDescent="0.25">
      <c r="A83" t="s">
        <v>124</v>
      </c>
      <c r="B83" t="s">
        <v>142</v>
      </c>
      <c r="C83">
        <v>2302600082</v>
      </c>
      <c r="D83" t="s">
        <v>60</v>
      </c>
      <c r="E83" s="2">
        <v>0.99999999999999978</v>
      </c>
      <c r="F83" s="1">
        <v>46162</v>
      </c>
      <c r="G83" s="1">
        <v>46171</v>
      </c>
      <c r="H83" s="1">
        <v>46217</v>
      </c>
      <c r="I83" s="1">
        <v>46198</v>
      </c>
      <c r="K83" s="1">
        <v>46217</v>
      </c>
      <c r="L83" s="3">
        <v>0.43</v>
      </c>
      <c r="M83" s="3">
        <v>1</v>
      </c>
      <c r="N83" s="3">
        <v>0.27906976744186046</v>
      </c>
      <c r="O83" s="3">
        <v>0.18604651162790697</v>
      </c>
      <c r="P83" s="3">
        <v>0.2558139534883721</v>
      </c>
      <c r="Q83" s="3">
        <v>0.18604651162790697</v>
      </c>
      <c r="R83" s="3">
        <v>9.3023255813953487E-2</v>
      </c>
      <c r="S83" s="3">
        <v>0.09</v>
      </c>
      <c r="T83" s="3">
        <v>1</v>
      </c>
      <c r="U83" s="3">
        <v>0.22222222222222221</v>
      </c>
      <c r="V83" s="3">
        <v>0.22222222222222221</v>
      </c>
      <c r="W83" s="3">
        <v>0.1111111111111111</v>
      </c>
      <c r="X83" s="3">
        <v>0.1111111111111111</v>
      </c>
      <c r="Y83" s="3">
        <v>0.1111111111111111</v>
      </c>
      <c r="Z83" s="3">
        <v>0.22222222222222221</v>
      </c>
      <c r="AA83" s="3">
        <v>0.11</v>
      </c>
      <c r="AB83" s="3">
        <v>1</v>
      </c>
      <c r="AC83" s="3">
        <v>0.27272727272727271</v>
      </c>
      <c r="AD83" s="3">
        <v>0.27272727272727271</v>
      </c>
      <c r="AE83" s="3">
        <v>9.0909090909090912E-2</v>
      </c>
      <c r="AF83" s="3">
        <v>0.18181818181818182</v>
      </c>
      <c r="AG83" s="3">
        <v>0.18181818181818182</v>
      </c>
      <c r="AH83" s="3">
        <v>0.36999999999999983</v>
      </c>
      <c r="AI83" s="3">
        <v>0.99999999999999956</v>
      </c>
      <c r="AJ83" s="3">
        <v>5.4054054054054036E-2</v>
      </c>
      <c r="AK83" s="3">
        <v>5.4054054054054036E-2</v>
      </c>
      <c r="AL83" s="3">
        <v>2.7027027027027018E-2</v>
      </c>
      <c r="AM83" s="3">
        <v>8.1081081081081058E-2</v>
      </c>
      <c r="AN83" s="3">
        <v>8.1081081081081058E-2</v>
      </c>
      <c r="AO83" s="3">
        <v>6.7567567567567557E-2</v>
      </c>
      <c r="AP83" s="3">
        <v>5.4054054054054036E-2</v>
      </c>
      <c r="AQ83" s="3">
        <v>1.3513513513513509E-2</v>
      </c>
      <c r="AR83" s="3">
        <v>4.0540540540540529E-2</v>
      </c>
      <c r="AS83" s="3">
        <v>1.3513513513513509E-2</v>
      </c>
      <c r="AT83" s="3">
        <v>8.1081081081081058E-2</v>
      </c>
      <c r="AU83" s="3">
        <v>5.4054054054054036E-2</v>
      </c>
      <c r="AV83" s="3">
        <v>2.7027027027027018E-2</v>
      </c>
      <c r="AW83" s="3">
        <v>5.4054054054054036E-2</v>
      </c>
      <c r="AX83" s="3">
        <v>5.4054054054054036E-2</v>
      </c>
      <c r="AY83" s="3">
        <v>2.7027027027027018E-2</v>
      </c>
      <c r="AZ83" s="3">
        <v>4.0540540540540529E-2</v>
      </c>
      <c r="BA83" s="3">
        <v>5.4054054054054036E-2</v>
      </c>
      <c r="BB83" s="3">
        <v>8.1081081081081058E-2</v>
      </c>
      <c r="BC83" s="3">
        <v>1.3513513513513509E-2</v>
      </c>
      <c r="BD83" s="3">
        <v>2.7027027027027018E-2</v>
      </c>
      <c r="BE83">
        <v>31.32</v>
      </c>
      <c r="BF83" s="3" t="str">
        <f>+IF(AVANCE[[#This Row],[% AVANCE]]=100%,"MODULO TERMINADO",IF(AVANCE[[#This Row],[FECHA INICIO REAL]]="","MODULO NO INICIADO","PENDIENTE"))</f>
        <v>MODULO TERMINADO</v>
      </c>
      <c r="BG83" s="3">
        <f>+IF(AVANCE[[#This Row],[VENTANAS]]=8.10810810810811%,100%,AVANCE[[#This Row],[VENTANAS]])</f>
        <v>1</v>
      </c>
      <c r="BH83" s="3">
        <f>+IF(AVANCE[[#This Row],[PISO]]=N$2,100%,AVANCE[[#This Row],[PISO]])</f>
        <v>1</v>
      </c>
      <c r="BI83" s="3">
        <f>+IF(AVANCE[[#This Row],[TABIQUES]]=O$2,100%,AVANCE[[#This Row],[TABIQUES]])</f>
        <v>1</v>
      </c>
      <c r="BJ83" s="3">
        <f>+IF(AVANCE[[#This Row],[MUROS]]=P$2,100%,AVANCE[[#This Row],[MUROS]])</f>
        <v>1</v>
      </c>
      <c r="BK83" s="3">
        <f>+IF(AVANCE[[#This Row],[CIELO]]=Q$2,100%,AVANCE[[#This Row],[CIELO]])</f>
        <v>1</v>
      </c>
      <c r="BL83" s="3">
        <f>+IF(AVANCE[[#This Row],[BALCÓN]]=R$2,100%,AVANCE[[#This Row],[BALCÓN]])</f>
        <v>1</v>
      </c>
      <c r="BM83" s="3">
        <f>+IF(AVANCE[[#This Row],[RED ALCANTARILLADO]]=U$2,100%,AVANCE[[#This Row],[RED ALCANTARILLADO]])</f>
        <v>1</v>
      </c>
      <c r="BN83" s="3">
        <f>+IF(AVANCE[[#This Row],[RED DE AGUA]]=V$2,100%,AVANCE[[#This Row],[RED DE AGUA]])</f>
        <v>1</v>
      </c>
      <c r="BO83" s="3">
        <f>+IF(AVANCE[[#This Row],[VENTILACIONES]]=W$2,100%,AVANCE[[#This Row],[VENTILACIONES]])</f>
        <v>1</v>
      </c>
      <c r="BP83" s="3">
        <f>+IF(AVANCE[[#This Row],[TINA]]=X$2,100%,AVANCE[[#This Row],[TINA]])</f>
        <v>1</v>
      </c>
      <c r="BQ83" s="3">
        <f>+IF(AVANCE[[#This Row],[WC]]=Y$2,100%,AVANCE[[#This Row],[WC]])</f>
        <v>1</v>
      </c>
      <c r="BR83" s="3">
        <f>+IF(AVANCE[[#This Row],[LAVAMANOS / LAVAPLATOS / LAVADERO]]=Z$2,100%,AVANCE[[#This Row],[LAVAMANOS / LAVAPLATOS / LAVADERO]])</f>
        <v>1</v>
      </c>
      <c r="BS83" s="3">
        <f>+IF(AVANCE[[#This Row],[CANALIZACIÓN]]=AC$2,100%,AVANCE[[#This Row],[CANALIZACIÓN]])</f>
        <v>1</v>
      </c>
      <c r="BT83" s="3">
        <f>+IF(AVANCE[[#This Row],[CABLEADO]]=AD$2,100%,AVANCE[[#This Row],[CABLEADO]])</f>
        <v>1</v>
      </c>
      <c r="BU83" s="3">
        <f>+IF(AVANCE[[#This Row],[ARTEFACTOS]]=AE$2,100%,AVANCE[[#This Row],[ARTEFACTOS]])</f>
        <v>1</v>
      </c>
      <c r="BV83" s="3">
        <f>+IF(AVANCE[[#This Row],[TABLERO]]=AF$2,100%,AVANCE[[#This Row],[TABLERO]])</f>
        <v>1</v>
      </c>
      <c r="BW83" s="3">
        <f>+IF(AVANCE[[#This Row],[CAJA PAU]]=AG$2,100%,AVANCE[[#This Row],[CAJA PAU]])</f>
        <v>1</v>
      </c>
      <c r="BX83" s="3">
        <f>+IF(AVANCE[[#This Row],[INSTALACION VINILICO]]=AJ$2,100%,AVANCE[[#This Row],[INSTALACION VINILICO]])</f>
        <v>1</v>
      </c>
      <c r="BY83" s="3">
        <f>+IF(AVANCE[[#This Row],[OSB CUBIERTA]]=AK$2,100%,AVANCE[[#This Row],[OSB CUBIERTA]])</f>
        <v>1</v>
      </c>
      <c r="BZ83" s="3">
        <f>+IF(AVANCE[[#This Row],[BARANDA BALCON]]=AL$2,100%,AVANCE[[#This Row],[BARANDA BALCON]])</f>
        <v>1</v>
      </c>
      <c r="CA83" s="3">
        <f>+IF(AVANCE[[#This Row],[OSB EXTERIOR]]=AM$2,100%,AVANCE[[#This Row],[OSB EXTERIOR]])</f>
        <v>1</v>
      </c>
      <c r="CB83" s="3">
        <f>+IF(AVANCE[[#This Row],[SMART PANEL]]=AN$2,100%,AVANCE[[#This Row],[SMART PANEL]])</f>
        <v>1</v>
      </c>
      <c r="CC83" s="3">
        <f>+IF(AVANCE[[#This Row],[PINTURA EXTERIOR]]=AO$2,100%,AVANCE[[#This Row],[PINTURA EXTERIOR]])</f>
        <v>1</v>
      </c>
      <c r="CD83" s="3">
        <f>+IF(AVANCE[[#This Row],[ZOCALOS LOGIA]]=AP$2,100%,AVANCE[[#This Row],[ZOCALOS LOGIA]])</f>
        <v>1</v>
      </c>
      <c r="CE83" s="3">
        <f>+IF(AVANCE[[#This Row],[MOLDURAS]]=AQ$2,100%,AVANCE[[#This Row],[MOLDURAS]])</f>
        <v>1</v>
      </c>
      <c r="CF83" s="3">
        <f>+IF(AVANCE[[#This Row],[PILASTREO]]=AR$2,100%,AVANCE[[#This Row],[PILASTREO]])</f>
        <v>1</v>
      </c>
      <c r="CG83" s="3">
        <f>+IF(AVANCE[[#This Row],[CELOSIAS]]=AS$2,100%,AVANCE[[#This Row],[CELOSIAS]])</f>
        <v>1</v>
      </c>
      <c r="CH83" s="3">
        <f>+IF(AVANCE[[#This Row],[VENTANAS]]=AT$2,100%,AVANCE[[#This Row],[VENTANAS]])</f>
        <v>1</v>
      </c>
      <c r="CI83" s="3">
        <f>+IF(AVANCE[[#This Row],[PUERTAS ACCESO - LOGIA - BANO]]=AU$2,100%,AVANCE[[#This Row],[PUERTAS ACCESO - LOGIA - BANO]])</f>
        <v>1</v>
      </c>
      <c r="CJ83" s="3">
        <f>+IF(AVANCE[[#This Row],[CERRADURAS]]=AV$2,100%,AVANCE[[#This Row],[CERRADURAS]])</f>
        <v>1</v>
      </c>
      <c r="CK83" s="3">
        <f>+IF(AVANCE[[#This Row],[REVESTIMIENTO INTERIOR ZONA SECA]]=AW$2,100%,AVANCE[[#This Row],[REVESTIMIENTO INTERIOR ZONA SECA]])</f>
        <v>1</v>
      </c>
      <c r="CL83" s="3">
        <f>+IF(AVANCE[[#This Row],[REVESTIMIENTO INTERIOR ZONAS HUMEDAS]]=AX$2,100%,AVANCE[[#This Row],[REVESTIMIENTO INTERIOR ZONAS HUMEDAS]])</f>
        <v>1</v>
      </c>
      <c r="CM83" s="3">
        <f>+IF(AVANCE[[#This Row],[MEMBRANA CIELO]]=AY$2,100%,AVANCE[[#This Row],[MEMBRANA CIELO]])</f>
        <v>1</v>
      </c>
      <c r="CN83" s="3">
        <f>+IF(AVANCE[[#This Row],[LIMPIEZA FINAL]]=AZ$2,100%,AVANCE[[#This Row],[LIMPIEZA FINAL]])</f>
        <v>1</v>
      </c>
      <c r="CO83" s="3">
        <f>+IF(AVANCE[[#This Row],[PUERTAS DORMITORIO]]=BA$2,100%,AVANCE[[#This Row],[PUERTAS DORMITORIO]])</f>
        <v>1</v>
      </c>
      <c r="CP83" s="3">
        <f>+IF(AVANCE[[#This Row],[REVESTIMIENTO INTERIOR BANO]]=BB$2,100%,AVANCE[[#This Row],[REVESTIMIENTO INTERIOR BANO]])</f>
        <v>1</v>
      </c>
      <c r="CQ83" s="3">
        <f>+IF(AVANCE[[#This Row],[MUEBLE LAVAPLATOS]]=BC$2,100%,AVANCE[[#This Row],[MUEBLE LAVAPLATOS]])</f>
        <v>1</v>
      </c>
      <c r="CR83" s="3">
        <f>+IF(AVANCE[[#This Row],[IMPERMEABILIZACION BANO - COCINA LOGIA]]=BD$2,100%,AVANCE[[#This Row],[IMPERMEABILIZACION BANO - COCINA LOGIA]])</f>
        <v>1</v>
      </c>
      <c r="CS83" s="40">
        <f ca="1">+IF(AVANCE[[#This Row],[ESTADO MODULO]]="PENDIENTE",(TODAY()-AVANCE[[#This Row],[FECHA TERMINO  PLANIFICADO]]),0)</f>
        <v>0</v>
      </c>
      <c r="CT83" s="41" t="str" cm="1">
        <f t="array" ref="CT83">_xlfn.TEXTJOIN(" | ",TRUE,IF(SUMPRODUCT((BG83:CR83&lt;1)*(PARTIDAS!$I$2:$AT$2="OBRA GRUESA"))&gt;0,"OBRA GRUESA: "&amp;_xlfn.TEXTJOIN(", ",TRUE,IF((BG83:CR83&lt;1)*(PARTIDAS!$I$2:$AT$2="OBRA GRUESA"),PARTIDAS!$I$1:$AT$1,"")),""),IF(SUMPRODUCT((BG83:CR83&lt;1)*(PARTIDAS!$I$2:$AT$2="SANITARIOS"))&gt;0,"SANITARIOS: "&amp;_xlfn.TEXTJOIN(", ",TRUE,IF((BG83:CR83&lt;1)*(PARTIDAS!$I$2:$AT$2="SANITARIOS"),PARTIDAS!$I$1:$AT$1,"")),""),IF(SUMPRODUCT((BG83:CR83&lt;1)*(PARTIDAS!$I$2:$AT$2="ELÉCTRICO"))&gt;0,"ELÉCTRICO: "&amp;_xlfn.TEXTJOIN(", ",TRUE,IF((BG83:CR83&lt;1)*(PARTIDAS!$I$2:$AT$2="ELÉCTRICO"),PARTIDAS!$I$1:$AT$1,"")),""),IF(SUMPRODUCT((BG83:CR83&lt;1)*(PARTIDAS!$I$2:$AT$2="TERMINACIONES"))&gt;0,"TERMINACIONES: "&amp;_xlfn.TEXTJOIN(", ",TRUE,IF((BG83:CR83&lt;1)*(PARTIDAS!$I$2:$AT$2="TERMINACIONES"),PARTIDAS!$I$1:$AT$1,"")),""))</f>
        <v/>
      </c>
      <c r="CU83" s="43" t="str" cm="1">
        <f t="array" ref="CU83">_xlfn.TEXTJOIN(", ",TRUE,IF(SUMPRODUCT((BG83:CR83&lt;1)*(PARTIDAS!$I$2:$AT$2="OBRA GRUESA"))&gt;0,"OBRA GRUESA",""),IF(SUMPRODUCT((BG83:CR83&lt;1)*(PARTIDAS!$I$2:$AT$2="SANITARIOS"))&gt;0,"SANITARIOS",""),IF(SUMPRODUCT((BG83:CR83&lt;1)*(PARTIDAS!$I$2:$AT$2="ELÉCTRICO"))&gt;0,"ELÉCTRICO",""),IF(SUMPRODUCT((BG83:CR83&lt;1)*(PARTIDAS!$I$2:$AT$2="TERMINACIONES"))&gt;0,"TERMINACIONES",""))</f>
        <v/>
      </c>
      <c r="CV83" s="44" cm="1">
        <f t="array" ref="CV83">SUMPRODUCT(--(BG83:CR83&lt;1))</f>
        <v>0</v>
      </c>
    </row>
    <row r="84" spans="1:100" hidden="1" x14ac:dyDescent="0.25">
      <c r="A84" t="s">
        <v>124</v>
      </c>
      <c r="B84" t="s">
        <v>143</v>
      </c>
      <c r="C84">
        <v>2302600083</v>
      </c>
      <c r="D84" t="s">
        <v>60</v>
      </c>
      <c r="E84" s="2">
        <v>0.99999999999999978</v>
      </c>
      <c r="F84" s="1">
        <v>46164</v>
      </c>
      <c r="G84" s="1">
        <v>46174</v>
      </c>
      <c r="H84" s="1">
        <v>46217</v>
      </c>
      <c r="I84" s="1">
        <v>46200</v>
      </c>
      <c r="K84" s="1">
        <v>46217</v>
      </c>
      <c r="L84" s="3">
        <v>0.43</v>
      </c>
      <c r="M84" s="3">
        <v>1</v>
      </c>
      <c r="N84" s="3">
        <v>0.27906976744186046</v>
      </c>
      <c r="O84" s="3">
        <v>0.18604651162790697</v>
      </c>
      <c r="P84" s="3">
        <v>0.2558139534883721</v>
      </c>
      <c r="Q84" s="3">
        <v>0.18604651162790697</v>
      </c>
      <c r="R84" s="3">
        <v>9.3023255813953487E-2</v>
      </c>
      <c r="S84" s="3">
        <v>0.09</v>
      </c>
      <c r="T84" s="3">
        <v>1</v>
      </c>
      <c r="U84" s="3">
        <v>0.22222222222222221</v>
      </c>
      <c r="V84" s="3">
        <v>0.22222222222222221</v>
      </c>
      <c r="W84" s="3">
        <v>0.1111111111111111</v>
      </c>
      <c r="X84" s="3">
        <v>0.1111111111111111</v>
      </c>
      <c r="Y84" s="3">
        <v>0.1111111111111111</v>
      </c>
      <c r="Z84" s="3">
        <v>0.22222222222222221</v>
      </c>
      <c r="AA84" s="3">
        <v>0.11</v>
      </c>
      <c r="AB84" s="3">
        <v>1</v>
      </c>
      <c r="AC84" s="3">
        <v>0.27272727272727271</v>
      </c>
      <c r="AD84" s="3">
        <v>0.27272727272727271</v>
      </c>
      <c r="AE84" s="3">
        <v>9.0909090909090912E-2</v>
      </c>
      <c r="AF84" s="3">
        <v>0.18181818181818182</v>
      </c>
      <c r="AG84" s="3">
        <v>0.18181818181818182</v>
      </c>
      <c r="AH84" s="3">
        <v>0.36999999999999983</v>
      </c>
      <c r="AI84" s="3">
        <v>0.99999999999999956</v>
      </c>
      <c r="AJ84" s="3">
        <v>5.4054054054054036E-2</v>
      </c>
      <c r="AK84" s="3">
        <v>5.4054054054054036E-2</v>
      </c>
      <c r="AL84" s="3">
        <v>2.7027027027027018E-2</v>
      </c>
      <c r="AM84" s="3">
        <v>8.1081081081081058E-2</v>
      </c>
      <c r="AN84" s="3">
        <v>8.1081081081081058E-2</v>
      </c>
      <c r="AO84" s="3">
        <v>6.7567567567567557E-2</v>
      </c>
      <c r="AP84" s="3">
        <v>5.4054054054054036E-2</v>
      </c>
      <c r="AQ84" s="3">
        <v>1.3513513513513509E-2</v>
      </c>
      <c r="AR84" s="3">
        <v>4.0540540540540529E-2</v>
      </c>
      <c r="AS84" s="3">
        <v>1.3513513513513509E-2</v>
      </c>
      <c r="AT84" s="3">
        <v>8.1081081081081058E-2</v>
      </c>
      <c r="AU84" s="3">
        <v>5.4054054054054036E-2</v>
      </c>
      <c r="AV84" s="3">
        <v>2.7027027027027018E-2</v>
      </c>
      <c r="AW84" s="3">
        <v>5.4054054054054036E-2</v>
      </c>
      <c r="AX84" s="3">
        <v>5.4054054054054036E-2</v>
      </c>
      <c r="AY84" s="3">
        <v>2.7027027027027018E-2</v>
      </c>
      <c r="AZ84" s="3">
        <v>4.0540540540540529E-2</v>
      </c>
      <c r="BA84" s="3">
        <v>5.4054054054054036E-2</v>
      </c>
      <c r="BB84" s="3">
        <v>8.1081081081081058E-2</v>
      </c>
      <c r="BC84" s="3">
        <v>1.3513513513513509E-2</v>
      </c>
      <c r="BD84" s="3">
        <v>2.7027027027027018E-2</v>
      </c>
      <c r="BE84">
        <v>31.32</v>
      </c>
      <c r="BF84" s="3" t="str">
        <f>+IF(AVANCE[[#This Row],[% AVANCE]]=100%,"MODULO TERMINADO",IF(AVANCE[[#This Row],[FECHA INICIO REAL]]="","MODULO NO INICIADO","PENDIENTE"))</f>
        <v>MODULO TERMINADO</v>
      </c>
      <c r="BG84" s="3">
        <f>+IF(AVANCE[[#This Row],[VENTANAS]]=8.10810810810811%,100%,AVANCE[[#This Row],[VENTANAS]])</f>
        <v>1</v>
      </c>
      <c r="BH84" s="3">
        <f>+IF(AVANCE[[#This Row],[PISO]]=N$2,100%,AVANCE[[#This Row],[PISO]])</f>
        <v>1</v>
      </c>
      <c r="BI84" s="3">
        <f>+IF(AVANCE[[#This Row],[TABIQUES]]=O$2,100%,AVANCE[[#This Row],[TABIQUES]])</f>
        <v>1</v>
      </c>
      <c r="BJ84" s="3">
        <f>+IF(AVANCE[[#This Row],[MUROS]]=P$2,100%,AVANCE[[#This Row],[MUROS]])</f>
        <v>1</v>
      </c>
      <c r="BK84" s="3">
        <f>+IF(AVANCE[[#This Row],[CIELO]]=Q$2,100%,AVANCE[[#This Row],[CIELO]])</f>
        <v>1</v>
      </c>
      <c r="BL84" s="3">
        <f>+IF(AVANCE[[#This Row],[BALCÓN]]=R$2,100%,AVANCE[[#This Row],[BALCÓN]])</f>
        <v>1</v>
      </c>
      <c r="BM84" s="3">
        <f>+IF(AVANCE[[#This Row],[RED ALCANTARILLADO]]=U$2,100%,AVANCE[[#This Row],[RED ALCANTARILLADO]])</f>
        <v>1</v>
      </c>
      <c r="BN84" s="3">
        <f>+IF(AVANCE[[#This Row],[RED DE AGUA]]=V$2,100%,AVANCE[[#This Row],[RED DE AGUA]])</f>
        <v>1</v>
      </c>
      <c r="BO84" s="3">
        <f>+IF(AVANCE[[#This Row],[VENTILACIONES]]=W$2,100%,AVANCE[[#This Row],[VENTILACIONES]])</f>
        <v>1</v>
      </c>
      <c r="BP84" s="3">
        <f>+IF(AVANCE[[#This Row],[TINA]]=X$2,100%,AVANCE[[#This Row],[TINA]])</f>
        <v>1</v>
      </c>
      <c r="BQ84" s="3">
        <f>+IF(AVANCE[[#This Row],[WC]]=Y$2,100%,AVANCE[[#This Row],[WC]])</f>
        <v>1</v>
      </c>
      <c r="BR84" s="3">
        <f>+IF(AVANCE[[#This Row],[LAVAMANOS / LAVAPLATOS / LAVADERO]]=Z$2,100%,AVANCE[[#This Row],[LAVAMANOS / LAVAPLATOS / LAVADERO]])</f>
        <v>1</v>
      </c>
      <c r="BS84" s="3">
        <f>+IF(AVANCE[[#This Row],[CANALIZACIÓN]]=AC$2,100%,AVANCE[[#This Row],[CANALIZACIÓN]])</f>
        <v>1</v>
      </c>
      <c r="BT84" s="3">
        <f>+IF(AVANCE[[#This Row],[CABLEADO]]=AD$2,100%,AVANCE[[#This Row],[CABLEADO]])</f>
        <v>1</v>
      </c>
      <c r="BU84" s="3">
        <f>+IF(AVANCE[[#This Row],[ARTEFACTOS]]=AE$2,100%,AVANCE[[#This Row],[ARTEFACTOS]])</f>
        <v>1</v>
      </c>
      <c r="BV84" s="3">
        <f>+IF(AVANCE[[#This Row],[TABLERO]]=AF$2,100%,AVANCE[[#This Row],[TABLERO]])</f>
        <v>1</v>
      </c>
      <c r="BW84" s="3">
        <f>+IF(AVANCE[[#This Row],[CAJA PAU]]=AG$2,100%,AVANCE[[#This Row],[CAJA PAU]])</f>
        <v>1</v>
      </c>
      <c r="BX84" s="3">
        <f>+IF(AVANCE[[#This Row],[INSTALACION VINILICO]]=AJ$2,100%,AVANCE[[#This Row],[INSTALACION VINILICO]])</f>
        <v>1</v>
      </c>
      <c r="BY84" s="3">
        <f>+IF(AVANCE[[#This Row],[OSB CUBIERTA]]=AK$2,100%,AVANCE[[#This Row],[OSB CUBIERTA]])</f>
        <v>1</v>
      </c>
      <c r="BZ84" s="3">
        <f>+IF(AVANCE[[#This Row],[BARANDA BALCON]]=AL$2,100%,AVANCE[[#This Row],[BARANDA BALCON]])</f>
        <v>1</v>
      </c>
      <c r="CA84" s="3">
        <f>+IF(AVANCE[[#This Row],[OSB EXTERIOR]]=AM$2,100%,AVANCE[[#This Row],[OSB EXTERIOR]])</f>
        <v>1</v>
      </c>
      <c r="CB84" s="3">
        <f>+IF(AVANCE[[#This Row],[SMART PANEL]]=AN$2,100%,AVANCE[[#This Row],[SMART PANEL]])</f>
        <v>1</v>
      </c>
      <c r="CC84" s="3">
        <f>+IF(AVANCE[[#This Row],[PINTURA EXTERIOR]]=AO$2,100%,AVANCE[[#This Row],[PINTURA EXTERIOR]])</f>
        <v>1</v>
      </c>
      <c r="CD84" s="3">
        <f>+IF(AVANCE[[#This Row],[ZOCALOS LOGIA]]=AP$2,100%,AVANCE[[#This Row],[ZOCALOS LOGIA]])</f>
        <v>1</v>
      </c>
      <c r="CE84" s="3">
        <f>+IF(AVANCE[[#This Row],[MOLDURAS]]=AQ$2,100%,AVANCE[[#This Row],[MOLDURAS]])</f>
        <v>1</v>
      </c>
      <c r="CF84" s="3">
        <f>+IF(AVANCE[[#This Row],[PILASTREO]]=AR$2,100%,AVANCE[[#This Row],[PILASTREO]])</f>
        <v>1</v>
      </c>
      <c r="CG84" s="3">
        <f>+IF(AVANCE[[#This Row],[CELOSIAS]]=AS$2,100%,AVANCE[[#This Row],[CELOSIAS]])</f>
        <v>1</v>
      </c>
      <c r="CH84" s="3">
        <f>+IF(AVANCE[[#This Row],[VENTANAS]]=AT$2,100%,AVANCE[[#This Row],[VENTANAS]])</f>
        <v>1</v>
      </c>
      <c r="CI84" s="3">
        <f>+IF(AVANCE[[#This Row],[PUERTAS ACCESO - LOGIA - BANO]]=AU$2,100%,AVANCE[[#This Row],[PUERTAS ACCESO - LOGIA - BANO]])</f>
        <v>1</v>
      </c>
      <c r="CJ84" s="3">
        <f>+IF(AVANCE[[#This Row],[CERRADURAS]]=AV$2,100%,AVANCE[[#This Row],[CERRADURAS]])</f>
        <v>1</v>
      </c>
      <c r="CK84" s="3">
        <f>+IF(AVANCE[[#This Row],[REVESTIMIENTO INTERIOR ZONA SECA]]=AW$2,100%,AVANCE[[#This Row],[REVESTIMIENTO INTERIOR ZONA SECA]])</f>
        <v>1</v>
      </c>
      <c r="CL84" s="3">
        <f>+IF(AVANCE[[#This Row],[REVESTIMIENTO INTERIOR ZONAS HUMEDAS]]=AX$2,100%,AVANCE[[#This Row],[REVESTIMIENTO INTERIOR ZONAS HUMEDAS]])</f>
        <v>1</v>
      </c>
      <c r="CM84" s="3">
        <f>+IF(AVANCE[[#This Row],[MEMBRANA CIELO]]=AY$2,100%,AVANCE[[#This Row],[MEMBRANA CIELO]])</f>
        <v>1</v>
      </c>
      <c r="CN84" s="3">
        <f>+IF(AVANCE[[#This Row],[LIMPIEZA FINAL]]=AZ$2,100%,AVANCE[[#This Row],[LIMPIEZA FINAL]])</f>
        <v>1</v>
      </c>
      <c r="CO84" s="3">
        <f>+IF(AVANCE[[#This Row],[PUERTAS DORMITORIO]]=BA$2,100%,AVANCE[[#This Row],[PUERTAS DORMITORIO]])</f>
        <v>1</v>
      </c>
      <c r="CP84" s="3">
        <f>+IF(AVANCE[[#This Row],[REVESTIMIENTO INTERIOR BANO]]=BB$2,100%,AVANCE[[#This Row],[REVESTIMIENTO INTERIOR BANO]])</f>
        <v>1</v>
      </c>
      <c r="CQ84" s="3">
        <f>+IF(AVANCE[[#This Row],[MUEBLE LAVAPLATOS]]=BC$2,100%,AVANCE[[#This Row],[MUEBLE LAVAPLATOS]])</f>
        <v>1</v>
      </c>
      <c r="CR84" s="3">
        <f>+IF(AVANCE[[#This Row],[IMPERMEABILIZACION BANO - COCINA LOGIA]]=BD$2,100%,AVANCE[[#This Row],[IMPERMEABILIZACION BANO - COCINA LOGIA]])</f>
        <v>1</v>
      </c>
      <c r="CS84" s="40">
        <f ca="1">+IF(AVANCE[[#This Row],[ESTADO MODULO]]="PENDIENTE",(TODAY()-AVANCE[[#This Row],[FECHA TERMINO  PLANIFICADO]]),0)</f>
        <v>0</v>
      </c>
      <c r="CT84" s="41" t="str" cm="1">
        <f t="array" ref="CT84">_xlfn.TEXTJOIN(" | ",TRUE,IF(SUMPRODUCT((BG84:CR84&lt;1)*(PARTIDAS!$I$2:$AT$2="OBRA GRUESA"))&gt;0,"OBRA GRUESA: "&amp;_xlfn.TEXTJOIN(", ",TRUE,IF((BG84:CR84&lt;1)*(PARTIDAS!$I$2:$AT$2="OBRA GRUESA"),PARTIDAS!$I$1:$AT$1,"")),""),IF(SUMPRODUCT((BG84:CR84&lt;1)*(PARTIDAS!$I$2:$AT$2="SANITARIOS"))&gt;0,"SANITARIOS: "&amp;_xlfn.TEXTJOIN(", ",TRUE,IF((BG84:CR84&lt;1)*(PARTIDAS!$I$2:$AT$2="SANITARIOS"),PARTIDAS!$I$1:$AT$1,"")),""),IF(SUMPRODUCT((BG84:CR84&lt;1)*(PARTIDAS!$I$2:$AT$2="ELÉCTRICO"))&gt;0,"ELÉCTRICO: "&amp;_xlfn.TEXTJOIN(", ",TRUE,IF((BG84:CR84&lt;1)*(PARTIDAS!$I$2:$AT$2="ELÉCTRICO"),PARTIDAS!$I$1:$AT$1,"")),""),IF(SUMPRODUCT((BG84:CR84&lt;1)*(PARTIDAS!$I$2:$AT$2="TERMINACIONES"))&gt;0,"TERMINACIONES: "&amp;_xlfn.TEXTJOIN(", ",TRUE,IF((BG84:CR84&lt;1)*(PARTIDAS!$I$2:$AT$2="TERMINACIONES"),PARTIDAS!$I$1:$AT$1,"")),""))</f>
        <v/>
      </c>
      <c r="CU84" s="43" t="str" cm="1">
        <f t="array" ref="CU84">_xlfn.TEXTJOIN(", ",TRUE,IF(SUMPRODUCT((BG84:CR84&lt;1)*(PARTIDAS!$I$2:$AT$2="OBRA GRUESA"))&gt;0,"OBRA GRUESA",""),IF(SUMPRODUCT((BG84:CR84&lt;1)*(PARTIDAS!$I$2:$AT$2="SANITARIOS"))&gt;0,"SANITARIOS",""),IF(SUMPRODUCT((BG84:CR84&lt;1)*(PARTIDAS!$I$2:$AT$2="ELÉCTRICO"))&gt;0,"ELÉCTRICO",""),IF(SUMPRODUCT((BG84:CR84&lt;1)*(PARTIDAS!$I$2:$AT$2="TERMINACIONES"))&gt;0,"TERMINACIONES",""))</f>
        <v/>
      </c>
      <c r="CV84" s="44" cm="1">
        <f t="array" ref="CV84">SUMPRODUCT(--(BG84:CR84&lt;1))</f>
        <v>0</v>
      </c>
    </row>
    <row r="85" spans="1:100" hidden="1" x14ac:dyDescent="0.25">
      <c r="A85" t="s">
        <v>124</v>
      </c>
      <c r="B85" t="s">
        <v>144</v>
      </c>
      <c r="C85">
        <v>2282600084</v>
      </c>
      <c r="D85" t="s">
        <v>58</v>
      </c>
      <c r="E85" s="2">
        <v>0.99999999999999978</v>
      </c>
      <c r="F85" s="1">
        <v>46164</v>
      </c>
      <c r="G85" s="1">
        <v>46171</v>
      </c>
      <c r="H85" s="1">
        <v>46216</v>
      </c>
      <c r="I85" s="1">
        <v>46190</v>
      </c>
      <c r="K85" s="1">
        <v>46216</v>
      </c>
      <c r="L85" s="3">
        <v>0.43</v>
      </c>
      <c r="M85" s="3">
        <v>1</v>
      </c>
      <c r="N85" s="3">
        <v>0.27906976744186046</v>
      </c>
      <c r="O85" s="3">
        <v>0.18604651162790697</v>
      </c>
      <c r="P85" s="3">
        <v>0.2558139534883721</v>
      </c>
      <c r="Q85" s="3">
        <v>0.18604651162790697</v>
      </c>
      <c r="R85" s="3">
        <v>9.3023255813953487E-2</v>
      </c>
      <c r="S85" s="3">
        <v>0.09</v>
      </c>
      <c r="T85" s="3">
        <v>1</v>
      </c>
      <c r="U85" s="3">
        <v>0.22222222222222221</v>
      </c>
      <c r="V85" s="3">
        <v>0.22222222222222221</v>
      </c>
      <c r="W85" s="3">
        <v>0.1111111111111111</v>
      </c>
      <c r="X85" s="3">
        <v>0.1111111111111111</v>
      </c>
      <c r="Y85" s="3">
        <v>0.1111111111111111</v>
      </c>
      <c r="Z85" s="3">
        <v>0.22222222222222221</v>
      </c>
      <c r="AA85" s="3">
        <v>0.11</v>
      </c>
      <c r="AB85" s="3">
        <v>1</v>
      </c>
      <c r="AC85" s="3">
        <v>0.27272727272727271</v>
      </c>
      <c r="AD85" s="3">
        <v>0.27272727272727271</v>
      </c>
      <c r="AE85" s="3">
        <v>9.0909090909090912E-2</v>
      </c>
      <c r="AF85" s="3">
        <v>0.18181818181818182</v>
      </c>
      <c r="AG85" s="3">
        <v>0.18181818181818182</v>
      </c>
      <c r="AH85" s="3">
        <v>0.36999999999999983</v>
      </c>
      <c r="AI85" s="3">
        <v>0.99999999999999956</v>
      </c>
      <c r="AJ85" s="3">
        <v>5.4054054054054036E-2</v>
      </c>
      <c r="AK85" s="3">
        <v>5.4054054054054036E-2</v>
      </c>
      <c r="AL85" s="3">
        <v>2.7027027027027018E-2</v>
      </c>
      <c r="AM85" s="3">
        <v>8.1081081081081058E-2</v>
      </c>
      <c r="AN85" s="3">
        <v>8.1081081081081058E-2</v>
      </c>
      <c r="AO85" s="3">
        <v>6.7567567567567557E-2</v>
      </c>
      <c r="AP85" s="3">
        <v>5.4054054054054036E-2</v>
      </c>
      <c r="AQ85" s="3">
        <v>1.3513513513513509E-2</v>
      </c>
      <c r="AR85" s="3">
        <v>4.0540540540540529E-2</v>
      </c>
      <c r="AS85" s="3">
        <v>1.3513513513513509E-2</v>
      </c>
      <c r="AT85" s="3">
        <v>8.1081081081081058E-2</v>
      </c>
      <c r="AU85" s="3">
        <v>5.4054054054054036E-2</v>
      </c>
      <c r="AV85" s="3">
        <v>2.7027027027027018E-2</v>
      </c>
      <c r="AW85" s="3">
        <v>5.4054054054054036E-2</v>
      </c>
      <c r="AX85" s="3">
        <v>5.4054054054054036E-2</v>
      </c>
      <c r="AY85" s="3">
        <v>2.7027027027027018E-2</v>
      </c>
      <c r="AZ85" s="3">
        <v>4.0540540540540529E-2</v>
      </c>
      <c r="BA85" s="3">
        <v>5.4054054054054036E-2</v>
      </c>
      <c r="BB85" s="3">
        <v>8.1081081081081058E-2</v>
      </c>
      <c r="BC85" s="3">
        <v>1.3513513513513509E-2</v>
      </c>
      <c r="BD85" s="3">
        <v>2.7027027027027018E-2</v>
      </c>
      <c r="BE85">
        <v>28.87</v>
      </c>
      <c r="BF85" s="3" t="str">
        <f>+IF(AVANCE[[#This Row],[% AVANCE]]=100%,"MODULO TERMINADO",IF(AVANCE[[#This Row],[FECHA INICIO REAL]]="","MODULO NO INICIADO","PENDIENTE"))</f>
        <v>MODULO TERMINADO</v>
      </c>
      <c r="BG85" s="3">
        <f>+IF(AVANCE[[#This Row],[VENTANAS]]=8.10810810810811%,100%,AVANCE[[#This Row],[VENTANAS]])</f>
        <v>1</v>
      </c>
      <c r="BH85" s="3">
        <f>+IF(AVANCE[[#This Row],[PISO]]=N$2,100%,AVANCE[[#This Row],[PISO]])</f>
        <v>1</v>
      </c>
      <c r="BI85" s="3">
        <f>+IF(AVANCE[[#This Row],[TABIQUES]]=O$2,100%,AVANCE[[#This Row],[TABIQUES]])</f>
        <v>1</v>
      </c>
      <c r="BJ85" s="3">
        <f>+IF(AVANCE[[#This Row],[MUROS]]=P$2,100%,AVANCE[[#This Row],[MUROS]])</f>
        <v>1</v>
      </c>
      <c r="BK85" s="3">
        <f>+IF(AVANCE[[#This Row],[CIELO]]=Q$2,100%,AVANCE[[#This Row],[CIELO]])</f>
        <v>1</v>
      </c>
      <c r="BL85" s="3">
        <f>+IF(AVANCE[[#This Row],[BALCÓN]]=R$2,100%,AVANCE[[#This Row],[BALCÓN]])</f>
        <v>1</v>
      </c>
      <c r="BM85" s="3">
        <f>+IF(AVANCE[[#This Row],[RED ALCANTARILLADO]]=U$2,100%,AVANCE[[#This Row],[RED ALCANTARILLADO]])</f>
        <v>1</v>
      </c>
      <c r="BN85" s="3">
        <f>+IF(AVANCE[[#This Row],[RED DE AGUA]]=V$2,100%,AVANCE[[#This Row],[RED DE AGUA]])</f>
        <v>1</v>
      </c>
      <c r="BO85" s="3">
        <f>+IF(AVANCE[[#This Row],[VENTILACIONES]]=W$2,100%,AVANCE[[#This Row],[VENTILACIONES]])</f>
        <v>1</v>
      </c>
      <c r="BP85" s="3">
        <f>+IF(AVANCE[[#This Row],[TINA]]=X$2,100%,AVANCE[[#This Row],[TINA]])</f>
        <v>1</v>
      </c>
      <c r="BQ85" s="3">
        <f>+IF(AVANCE[[#This Row],[WC]]=Y$2,100%,AVANCE[[#This Row],[WC]])</f>
        <v>1</v>
      </c>
      <c r="BR85" s="3">
        <f>+IF(AVANCE[[#This Row],[LAVAMANOS / LAVAPLATOS / LAVADERO]]=Z$2,100%,AVANCE[[#This Row],[LAVAMANOS / LAVAPLATOS / LAVADERO]])</f>
        <v>1</v>
      </c>
      <c r="BS85" s="3">
        <f>+IF(AVANCE[[#This Row],[CANALIZACIÓN]]=AC$2,100%,AVANCE[[#This Row],[CANALIZACIÓN]])</f>
        <v>1</v>
      </c>
      <c r="BT85" s="3">
        <f>+IF(AVANCE[[#This Row],[CABLEADO]]=AD$2,100%,AVANCE[[#This Row],[CABLEADO]])</f>
        <v>1</v>
      </c>
      <c r="BU85" s="3">
        <f>+IF(AVANCE[[#This Row],[ARTEFACTOS]]=AE$2,100%,AVANCE[[#This Row],[ARTEFACTOS]])</f>
        <v>1</v>
      </c>
      <c r="BV85" s="3">
        <f>+IF(AVANCE[[#This Row],[TABLERO]]=AF$2,100%,AVANCE[[#This Row],[TABLERO]])</f>
        <v>1</v>
      </c>
      <c r="BW85" s="3">
        <f>+IF(AVANCE[[#This Row],[CAJA PAU]]=AG$2,100%,AVANCE[[#This Row],[CAJA PAU]])</f>
        <v>1</v>
      </c>
      <c r="BX85" s="3">
        <f>+IF(AVANCE[[#This Row],[INSTALACION VINILICO]]=AJ$2,100%,AVANCE[[#This Row],[INSTALACION VINILICO]])</f>
        <v>1</v>
      </c>
      <c r="BY85" s="3">
        <f>+IF(AVANCE[[#This Row],[OSB CUBIERTA]]=AK$2,100%,AVANCE[[#This Row],[OSB CUBIERTA]])</f>
        <v>1</v>
      </c>
      <c r="BZ85" s="3">
        <f>+IF(AVANCE[[#This Row],[BARANDA BALCON]]=AL$2,100%,AVANCE[[#This Row],[BARANDA BALCON]])</f>
        <v>1</v>
      </c>
      <c r="CA85" s="3">
        <f>+IF(AVANCE[[#This Row],[OSB EXTERIOR]]=AM$2,100%,AVANCE[[#This Row],[OSB EXTERIOR]])</f>
        <v>1</v>
      </c>
      <c r="CB85" s="3">
        <f>+IF(AVANCE[[#This Row],[SMART PANEL]]=AN$2,100%,AVANCE[[#This Row],[SMART PANEL]])</f>
        <v>1</v>
      </c>
      <c r="CC85" s="3">
        <f>+IF(AVANCE[[#This Row],[PINTURA EXTERIOR]]=AO$2,100%,AVANCE[[#This Row],[PINTURA EXTERIOR]])</f>
        <v>1</v>
      </c>
      <c r="CD85" s="3">
        <f>+IF(AVANCE[[#This Row],[ZOCALOS LOGIA]]=AP$2,100%,AVANCE[[#This Row],[ZOCALOS LOGIA]])</f>
        <v>1</v>
      </c>
      <c r="CE85" s="3">
        <f>+IF(AVANCE[[#This Row],[MOLDURAS]]=AQ$2,100%,AVANCE[[#This Row],[MOLDURAS]])</f>
        <v>1</v>
      </c>
      <c r="CF85" s="3">
        <f>+IF(AVANCE[[#This Row],[PILASTREO]]=AR$2,100%,AVANCE[[#This Row],[PILASTREO]])</f>
        <v>1</v>
      </c>
      <c r="CG85" s="3">
        <f>+IF(AVANCE[[#This Row],[CELOSIAS]]=AS$2,100%,AVANCE[[#This Row],[CELOSIAS]])</f>
        <v>1</v>
      </c>
      <c r="CH85" s="3">
        <f>+IF(AVANCE[[#This Row],[VENTANAS]]=AT$2,100%,AVANCE[[#This Row],[VENTANAS]])</f>
        <v>1</v>
      </c>
      <c r="CI85" s="3">
        <f>+IF(AVANCE[[#This Row],[PUERTAS ACCESO - LOGIA - BANO]]=AU$2,100%,AVANCE[[#This Row],[PUERTAS ACCESO - LOGIA - BANO]])</f>
        <v>1</v>
      </c>
      <c r="CJ85" s="3">
        <f>+IF(AVANCE[[#This Row],[CERRADURAS]]=AV$2,100%,AVANCE[[#This Row],[CERRADURAS]])</f>
        <v>1</v>
      </c>
      <c r="CK85" s="3">
        <f>+IF(AVANCE[[#This Row],[REVESTIMIENTO INTERIOR ZONA SECA]]=AW$2,100%,AVANCE[[#This Row],[REVESTIMIENTO INTERIOR ZONA SECA]])</f>
        <v>1</v>
      </c>
      <c r="CL85" s="3">
        <f>+IF(AVANCE[[#This Row],[REVESTIMIENTO INTERIOR ZONAS HUMEDAS]]=AX$2,100%,AVANCE[[#This Row],[REVESTIMIENTO INTERIOR ZONAS HUMEDAS]])</f>
        <v>1</v>
      </c>
      <c r="CM85" s="3">
        <f>+IF(AVANCE[[#This Row],[MEMBRANA CIELO]]=AY$2,100%,AVANCE[[#This Row],[MEMBRANA CIELO]])</f>
        <v>1</v>
      </c>
      <c r="CN85" s="3">
        <f>+IF(AVANCE[[#This Row],[LIMPIEZA FINAL]]=AZ$2,100%,AVANCE[[#This Row],[LIMPIEZA FINAL]])</f>
        <v>1</v>
      </c>
      <c r="CO85" s="3">
        <f>+IF(AVANCE[[#This Row],[PUERTAS DORMITORIO]]=BA$2,100%,AVANCE[[#This Row],[PUERTAS DORMITORIO]])</f>
        <v>1</v>
      </c>
      <c r="CP85" s="3">
        <f>+IF(AVANCE[[#This Row],[REVESTIMIENTO INTERIOR BANO]]=BB$2,100%,AVANCE[[#This Row],[REVESTIMIENTO INTERIOR BANO]])</f>
        <v>1</v>
      </c>
      <c r="CQ85" s="3">
        <f>+IF(AVANCE[[#This Row],[MUEBLE LAVAPLATOS]]=BC$2,100%,AVANCE[[#This Row],[MUEBLE LAVAPLATOS]])</f>
        <v>1</v>
      </c>
      <c r="CR85" s="3">
        <f>+IF(AVANCE[[#This Row],[IMPERMEABILIZACION BANO - COCINA LOGIA]]=BD$2,100%,AVANCE[[#This Row],[IMPERMEABILIZACION BANO - COCINA LOGIA]])</f>
        <v>1</v>
      </c>
      <c r="CS85" s="40">
        <f ca="1">+IF(AVANCE[[#This Row],[ESTADO MODULO]]="PENDIENTE",(TODAY()-AVANCE[[#This Row],[FECHA TERMINO  PLANIFICADO]]),0)</f>
        <v>0</v>
      </c>
      <c r="CT85" s="41" t="str" cm="1">
        <f t="array" ref="CT85">_xlfn.TEXTJOIN(" | ",TRUE,IF(SUMPRODUCT((BG85:CR85&lt;1)*(PARTIDAS!$I$2:$AT$2="OBRA GRUESA"))&gt;0,"OBRA GRUESA: "&amp;_xlfn.TEXTJOIN(", ",TRUE,IF((BG85:CR85&lt;1)*(PARTIDAS!$I$2:$AT$2="OBRA GRUESA"),PARTIDAS!$I$1:$AT$1,"")),""),IF(SUMPRODUCT((BG85:CR85&lt;1)*(PARTIDAS!$I$2:$AT$2="SANITARIOS"))&gt;0,"SANITARIOS: "&amp;_xlfn.TEXTJOIN(", ",TRUE,IF((BG85:CR85&lt;1)*(PARTIDAS!$I$2:$AT$2="SANITARIOS"),PARTIDAS!$I$1:$AT$1,"")),""),IF(SUMPRODUCT((BG85:CR85&lt;1)*(PARTIDAS!$I$2:$AT$2="ELÉCTRICO"))&gt;0,"ELÉCTRICO: "&amp;_xlfn.TEXTJOIN(", ",TRUE,IF((BG85:CR85&lt;1)*(PARTIDAS!$I$2:$AT$2="ELÉCTRICO"),PARTIDAS!$I$1:$AT$1,"")),""),IF(SUMPRODUCT((BG85:CR85&lt;1)*(PARTIDAS!$I$2:$AT$2="TERMINACIONES"))&gt;0,"TERMINACIONES: "&amp;_xlfn.TEXTJOIN(", ",TRUE,IF((BG85:CR85&lt;1)*(PARTIDAS!$I$2:$AT$2="TERMINACIONES"),PARTIDAS!$I$1:$AT$1,"")),""))</f>
        <v/>
      </c>
      <c r="CU85" s="43" t="str" cm="1">
        <f t="array" ref="CU85">_xlfn.TEXTJOIN(", ",TRUE,IF(SUMPRODUCT((BG85:CR85&lt;1)*(PARTIDAS!$I$2:$AT$2="OBRA GRUESA"))&gt;0,"OBRA GRUESA",""),IF(SUMPRODUCT((BG85:CR85&lt;1)*(PARTIDAS!$I$2:$AT$2="SANITARIOS"))&gt;0,"SANITARIOS",""),IF(SUMPRODUCT((BG85:CR85&lt;1)*(PARTIDAS!$I$2:$AT$2="ELÉCTRICO"))&gt;0,"ELÉCTRICO",""),IF(SUMPRODUCT((BG85:CR85&lt;1)*(PARTIDAS!$I$2:$AT$2="TERMINACIONES"))&gt;0,"TERMINACIONES",""))</f>
        <v/>
      </c>
      <c r="CV85" s="44" cm="1">
        <f t="array" ref="CV85">SUMPRODUCT(--(BG85:CR85&lt;1))</f>
        <v>0</v>
      </c>
    </row>
    <row r="86" spans="1:100" hidden="1" x14ac:dyDescent="0.25">
      <c r="A86" t="s">
        <v>124</v>
      </c>
      <c r="B86" t="s">
        <v>145</v>
      </c>
      <c r="C86">
        <v>2282600085</v>
      </c>
      <c r="D86" t="s">
        <v>58</v>
      </c>
      <c r="E86" s="2">
        <v>0.99999999999999978</v>
      </c>
      <c r="F86" s="1">
        <v>46167</v>
      </c>
      <c r="G86" s="1">
        <v>46171</v>
      </c>
      <c r="H86" s="1">
        <v>46216</v>
      </c>
      <c r="I86" s="1">
        <v>46193</v>
      </c>
      <c r="K86" s="1">
        <v>46216</v>
      </c>
      <c r="L86" s="3">
        <v>0.43</v>
      </c>
      <c r="M86" s="3">
        <v>1</v>
      </c>
      <c r="N86" s="3">
        <v>0.27906976744186046</v>
      </c>
      <c r="O86" s="3">
        <v>0.18604651162790697</v>
      </c>
      <c r="P86" s="3">
        <v>0.2558139534883721</v>
      </c>
      <c r="Q86" s="3">
        <v>0.18604651162790697</v>
      </c>
      <c r="R86" s="3">
        <v>9.3023255813953487E-2</v>
      </c>
      <c r="S86" s="3">
        <v>0.09</v>
      </c>
      <c r="T86" s="3">
        <v>1</v>
      </c>
      <c r="U86" s="3">
        <v>0.22222222222222221</v>
      </c>
      <c r="V86" s="3">
        <v>0.22222222222222221</v>
      </c>
      <c r="W86" s="3">
        <v>0.1111111111111111</v>
      </c>
      <c r="X86" s="3">
        <v>0.1111111111111111</v>
      </c>
      <c r="Y86" s="3">
        <v>0.1111111111111111</v>
      </c>
      <c r="Z86" s="3">
        <v>0.22222222222222221</v>
      </c>
      <c r="AA86" s="3">
        <v>0.11</v>
      </c>
      <c r="AB86" s="3">
        <v>1</v>
      </c>
      <c r="AC86" s="3">
        <v>0.27272727272727271</v>
      </c>
      <c r="AD86" s="3">
        <v>0.27272727272727271</v>
      </c>
      <c r="AE86" s="3">
        <v>9.0909090909090912E-2</v>
      </c>
      <c r="AF86" s="3">
        <v>0.18181818181818182</v>
      </c>
      <c r="AG86" s="3">
        <v>0.18181818181818182</v>
      </c>
      <c r="AH86" s="3">
        <v>0.36999999999999983</v>
      </c>
      <c r="AI86" s="3">
        <v>0.99999999999999956</v>
      </c>
      <c r="AJ86" s="3">
        <v>5.4054054054054036E-2</v>
      </c>
      <c r="AK86" s="3">
        <v>5.4054054054054036E-2</v>
      </c>
      <c r="AL86" s="3">
        <v>2.7027027027027018E-2</v>
      </c>
      <c r="AM86" s="3">
        <v>8.1081081081081058E-2</v>
      </c>
      <c r="AN86" s="3">
        <v>8.1081081081081058E-2</v>
      </c>
      <c r="AO86" s="3">
        <v>6.7567567567567557E-2</v>
      </c>
      <c r="AP86" s="3">
        <v>5.4054054054054036E-2</v>
      </c>
      <c r="AQ86" s="3">
        <v>1.3513513513513509E-2</v>
      </c>
      <c r="AR86" s="3">
        <v>4.0540540540540529E-2</v>
      </c>
      <c r="AS86" s="3">
        <v>1.3513513513513509E-2</v>
      </c>
      <c r="AT86" s="3">
        <v>8.1081081081081058E-2</v>
      </c>
      <c r="AU86" s="3">
        <v>5.4054054054054036E-2</v>
      </c>
      <c r="AV86" s="3">
        <v>2.7027027027027018E-2</v>
      </c>
      <c r="AW86" s="3">
        <v>5.4054054054054036E-2</v>
      </c>
      <c r="AX86" s="3">
        <v>5.4054054054054036E-2</v>
      </c>
      <c r="AY86" s="3">
        <v>2.7027027027027018E-2</v>
      </c>
      <c r="AZ86" s="3">
        <v>4.0540540540540529E-2</v>
      </c>
      <c r="BA86" s="3">
        <v>5.4054054054054036E-2</v>
      </c>
      <c r="BB86" s="3">
        <v>8.1081081081081058E-2</v>
      </c>
      <c r="BC86" s="3">
        <v>1.3513513513513509E-2</v>
      </c>
      <c r="BD86" s="3">
        <v>2.7027027027027018E-2</v>
      </c>
      <c r="BE86">
        <v>28.87</v>
      </c>
      <c r="BF86" s="3" t="str">
        <f>+IF(AVANCE[[#This Row],[% AVANCE]]=100%,"MODULO TERMINADO",IF(AVANCE[[#This Row],[FECHA INICIO REAL]]="","MODULO NO INICIADO","PENDIENTE"))</f>
        <v>MODULO TERMINADO</v>
      </c>
      <c r="BG86" s="3">
        <f>+IF(AVANCE[[#This Row],[VENTANAS]]=8.10810810810811%,100%,AVANCE[[#This Row],[VENTANAS]])</f>
        <v>1</v>
      </c>
      <c r="BH86" s="3">
        <f>+IF(AVANCE[[#This Row],[PISO]]=N$2,100%,AVANCE[[#This Row],[PISO]])</f>
        <v>1</v>
      </c>
      <c r="BI86" s="3">
        <f>+IF(AVANCE[[#This Row],[TABIQUES]]=O$2,100%,AVANCE[[#This Row],[TABIQUES]])</f>
        <v>1</v>
      </c>
      <c r="BJ86" s="3">
        <f>+IF(AVANCE[[#This Row],[MUROS]]=P$2,100%,AVANCE[[#This Row],[MUROS]])</f>
        <v>1</v>
      </c>
      <c r="BK86" s="3">
        <f>+IF(AVANCE[[#This Row],[CIELO]]=Q$2,100%,AVANCE[[#This Row],[CIELO]])</f>
        <v>1</v>
      </c>
      <c r="BL86" s="3">
        <f>+IF(AVANCE[[#This Row],[BALCÓN]]=R$2,100%,AVANCE[[#This Row],[BALCÓN]])</f>
        <v>1</v>
      </c>
      <c r="BM86" s="3">
        <f>+IF(AVANCE[[#This Row],[RED ALCANTARILLADO]]=U$2,100%,AVANCE[[#This Row],[RED ALCANTARILLADO]])</f>
        <v>1</v>
      </c>
      <c r="BN86" s="3">
        <f>+IF(AVANCE[[#This Row],[RED DE AGUA]]=V$2,100%,AVANCE[[#This Row],[RED DE AGUA]])</f>
        <v>1</v>
      </c>
      <c r="BO86" s="3">
        <f>+IF(AVANCE[[#This Row],[VENTILACIONES]]=W$2,100%,AVANCE[[#This Row],[VENTILACIONES]])</f>
        <v>1</v>
      </c>
      <c r="BP86" s="3">
        <f>+IF(AVANCE[[#This Row],[TINA]]=X$2,100%,AVANCE[[#This Row],[TINA]])</f>
        <v>1</v>
      </c>
      <c r="BQ86" s="3">
        <f>+IF(AVANCE[[#This Row],[WC]]=Y$2,100%,AVANCE[[#This Row],[WC]])</f>
        <v>1</v>
      </c>
      <c r="BR86" s="3">
        <f>+IF(AVANCE[[#This Row],[LAVAMANOS / LAVAPLATOS / LAVADERO]]=Z$2,100%,AVANCE[[#This Row],[LAVAMANOS / LAVAPLATOS / LAVADERO]])</f>
        <v>1</v>
      </c>
      <c r="BS86" s="3">
        <f>+IF(AVANCE[[#This Row],[CANALIZACIÓN]]=AC$2,100%,AVANCE[[#This Row],[CANALIZACIÓN]])</f>
        <v>1</v>
      </c>
      <c r="BT86" s="3">
        <f>+IF(AVANCE[[#This Row],[CABLEADO]]=AD$2,100%,AVANCE[[#This Row],[CABLEADO]])</f>
        <v>1</v>
      </c>
      <c r="BU86" s="3">
        <f>+IF(AVANCE[[#This Row],[ARTEFACTOS]]=AE$2,100%,AVANCE[[#This Row],[ARTEFACTOS]])</f>
        <v>1</v>
      </c>
      <c r="BV86" s="3">
        <f>+IF(AVANCE[[#This Row],[TABLERO]]=AF$2,100%,AVANCE[[#This Row],[TABLERO]])</f>
        <v>1</v>
      </c>
      <c r="BW86" s="3">
        <f>+IF(AVANCE[[#This Row],[CAJA PAU]]=AG$2,100%,AVANCE[[#This Row],[CAJA PAU]])</f>
        <v>1</v>
      </c>
      <c r="BX86" s="3">
        <f>+IF(AVANCE[[#This Row],[INSTALACION VINILICO]]=AJ$2,100%,AVANCE[[#This Row],[INSTALACION VINILICO]])</f>
        <v>1</v>
      </c>
      <c r="BY86" s="3">
        <f>+IF(AVANCE[[#This Row],[OSB CUBIERTA]]=AK$2,100%,AVANCE[[#This Row],[OSB CUBIERTA]])</f>
        <v>1</v>
      </c>
      <c r="BZ86" s="3">
        <f>+IF(AVANCE[[#This Row],[BARANDA BALCON]]=AL$2,100%,AVANCE[[#This Row],[BARANDA BALCON]])</f>
        <v>1</v>
      </c>
      <c r="CA86" s="3">
        <f>+IF(AVANCE[[#This Row],[OSB EXTERIOR]]=AM$2,100%,AVANCE[[#This Row],[OSB EXTERIOR]])</f>
        <v>1</v>
      </c>
      <c r="CB86" s="3">
        <f>+IF(AVANCE[[#This Row],[SMART PANEL]]=AN$2,100%,AVANCE[[#This Row],[SMART PANEL]])</f>
        <v>1</v>
      </c>
      <c r="CC86" s="3">
        <f>+IF(AVANCE[[#This Row],[PINTURA EXTERIOR]]=AO$2,100%,AVANCE[[#This Row],[PINTURA EXTERIOR]])</f>
        <v>1</v>
      </c>
      <c r="CD86" s="3">
        <f>+IF(AVANCE[[#This Row],[ZOCALOS LOGIA]]=AP$2,100%,AVANCE[[#This Row],[ZOCALOS LOGIA]])</f>
        <v>1</v>
      </c>
      <c r="CE86" s="3">
        <f>+IF(AVANCE[[#This Row],[MOLDURAS]]=AQ$2,100%,AVANCE[[#This Row],[MOLDURAS]])</f>
        <v>1</v>
      </c>
      <c r="CF86" s="3">
        <f>+IF(AVANCE[[#This Row],[PILASTREO]]=AR$2,100%,AVANCE[[#This Row],[PILASTREO]])</f>
        <v>1</v>
      </c>
      <c r="CG86" s="3">
        <f>+IF(AVANCE[[#This Row],[CELOSIAS]]=AS$2,100%,AVANCE[[#This Row],[CELOSIAS]])</f>
        <v>1</v>
      </c>
      <c r="CH86" s="3">
        <f>+IF(AVANCE[[#This Row],[VENTANAS]]=AT$2,100%,AVANCE[[#This Row],[VENTANAS]])</f>
        <v>1</v>
      </c>
      <c r="CI86" s="3">
        <f>+IF(AVANCE[[#This Row],[PUERTAS ACCESO - LOGIA - BANO]]=AU$2,100%,AVANCE[[#This Row],[PUERTAS ACCESO - LOGIA - BANO]])</f>
        <v>1</v>
      </c>
      <c r="CJ86" s="3">
        <f>+IF(AVANCE[[#This Row],[CERRADURAS]]=AV$2,100%,AVANCE[[#This Row],[CERRADURAS]])</f>
        <v>1</v>
      </c>
      <c r="CK86" s="3">
        <f>+IF(AVANCE[[#This Row],[REVESTIMIENTO INTERIOR ZONA SECA]]=AW$2,100%,AVANCE[[#This Row],[REVESTIMIENTO INTERIOR ZONA SECA]])</f>
        <v>1</v>
      </c>
      <c r="CL86" s="3">
        <f>+IF(AVANCE[[#This Row],[REVESTIMIENTO INTERIOR ZONAS HUMEDAS]]=AX$2,100%,AVANCE[[#This Row],[REVESTIMIENTO INTERIOR ZONAS HUMEDAS]])</f>
        <v>1</v>
      </c>
      <c r="CM86" s="3">
        <f>+IF(AVANCE[[#This Row],[MEMBRANA CIELO]]=AY$2,100%,AVANCE[[#This Row],[MEMBRANA CIELO]])</f>
        <v>1</v>
      </c>
      <c r="CN86" s="3">
        <f>+IF(AVANCE[[#This Row],[LIMPIEZA FINAL]]=AZ$2,100%,AVANCE[[#This Row],[LIMPIEZA FINAL]])</f>
        <v>1</v>
      </c>
      <c r="CO86" s="3">
        <f>+IF(AVANCE[[#This Row],[PUERTAS DORMITORIO]]=BA$2,100%,AVANCE[[#This Row],[PUERTAS DORMITORIO]])</f>
        <v>1</v>
      </c>
      <c r="CP86" s="3">
        <f>+IF(AVANCE[[#This Row],[REVESTIMIENTO INTERIOR BANO]]=BB$2,100%,AVANCE[[#This Row],[REVESTIMIENTO INTERIOR BANO]])</f>
        <v>1</v>
      </c>
      <c r="CQ86" s="3">
        <f>+IF(AVANCE[[#This Row],[MUEBLE LAVAPLATOS]]=BC$2,100%,AVANCE[[#This Row],[MUEBLE LAVAPLATOS]])</f>
        <v>1</v>
      </c>
      <c r="CR86" s="3">
        <f>+IF(AVANCE[[#This Row],[IMPERMEABILIZACION BANO - COCINA LOGIA]]=BD$2,100%,AVANCE[[#This Row],[IMPERMEABILIZACION BANO - COCINA LOGIA]])</f>
        <v>1</v>
      </c>
      <c r="CS86" s="40">
        <f ca="1">+IF(AVANCE[[#This Row],[ESTADO MODULO]]="PENDIENTE",(TODAY()-AVANCE[[#This Row],[FECHA TERMINO  PLANIFICADO]]),0)</f>
        <v>0</v>
      </c>
      <c r="CT86" s="41" t="str" cm="1">
        <f t="array" ref="CT86">_xlfn.TEXTJOIN(" | ",TRUE,IF(SUMPRODUCT((BG86:CR86&lt;1)*(PARTIDAS!$I$2:$AT$2="OBRA GRUESA"))&gt;0,"OBRA GRUESA: "&amp;_xlfn.TEXTJOIN(", ",TRUE,IF((BG86:CR86&lt;1)*(PARTIDAS!$I$2:$AT$2="OBRA GRUESA"),PARTIDAS!$I$1:$AT$1,"")),""),IF(SUMPRODUCT((BG86:CR86&lt;1)*(PARTIDAS!$I$2:$AT$2="SANITARIOS"))&gt;0,"SANITARIOS: "&amp;_xlfn.TEXTJOIN(", ",TRUE,IF((BG86:CR86&lt;1)*(PARTIDAS!$I$2:$AT$2="SANITARIOS"),PARTIDAS!$I$1:$AT$1,"")),""),IF(SUMPRODUCT((BG86:CR86&lt;1)*(PARTIDAS!$I$2:$AT$2="ELÉCTRICO"))&gt;0,"ELÉCTRICO: "&amp;_xlfn.TEXTJOIN(", ",TRUE,IF((BG86:CR86&lt;1)*(PARTIDAS!$I$2:$AT$2="ELÉCTRICO"),PARTIDAS!$I$1:$AT$1,"")),""),IF(SUMPRODUCT((BG86:CR86&lt;1)*(PARTIDAS!$I$2:$AT$2="TERMINACIONES"))&gt;0,"TERMINACIONES: "&amp;_xlfn.TEXTJOIN(", ",TRUE,IF((BG86:CR86&lt;1)*(PARTIDAS!$I$2:$AT$2="TERMINACIONES"),PARTIDAS!$I$1:$AT$1,"")),""))</f>
        <v/>
      </c>
      <c r="CU86" s="43" t="str" cm="1">
        <f t="array" ref="CU86">_xlfn.TEXTJOIN(", ",TRUE,IF(SUMPRODUCT((BG86:CR86&lt;1)*(PARTIDAS!$I$2:$AT$2="OBRA GRUESA"))&gt;0,"OBRA GRUESA",""),IF(SUMPRODUCT((BG86:CR86&lt;1)*(PARTIDAS!$I$2:$AT$2="SANITARIOS"))&gt;0,"SANITARIOS",""),IF(SUMPRODUCT((BG86:CR86&lt;1)*(PARTIDAS!$I$2:$AT$2="ELÉCTRICO"))&gt;0,"ELÉCTRICO",""),IF(SUMPRODUCT((BG86:CR86&lt;1)*(PARTIDAS!$I$2:$AT$2="TERMINACIONES"))&gt;0,"TERMINACIONES",""))</f>
        <v/>
      </c>
      <c r="CV86" s="44" cm="1">
        <f t="array" ref="CV86">SUMPRODUCT(--(BG86:CR86&lt;1))</f>
        <v>0</v>
      </c>
    </row>
    <row r="87" spans="1:100" hidden="1" x14ac:dyDescent="0.25">
      <c r="A87" t="s">
        <v>124</v>
      </c>
      <c r="B87" t="s">
        <v>146</v>
      </c>
      <c r="C87">
        <v>2302600086</v>
      </c>
      <c r="D87" t="s">
        <v>60</v>
      </c>
      <c r="E87" s="2">
        <v>0.99999999999999978</v>
      </c>
      <c r="F87" s="1">
        <v>46167</v>
      </c>
      <c r="G87" s="1">
        <v>46176</v>
      </c>
      <c r="H87" s="1">
        <v>46225</v>
      </c>
      <c r="I87" s="1">
        <v>46203</v>
      </c>
      <c r="K87" s="1">
        <v>46225</v>
      </c>
      <c r="L87" s="3">
        <v>0.43</v>
      </c>
      <c r="M87" s="3">
        <v>1</v>
      </c>
      <c r="N87" s="3">
        <v>0.27906976744186046</v>
      </c>
      <c r="O87" s="3">
        <v>0.18604651162790697</v>
      </c>
      <c r="P87" s="3">
        <v>0.2558139534883721</v>
      </c>
      <c r="Q87" s="3">
        <v>0.18604651162790697</v>
      </c>
      <c r="R87" s="3">
        <v>9.3023255813953487E-2</v>
      </c>
      <c r="S87" s="3">
        <v>0.09</v>
      </c>
      <c r="T87" s="3">
        <v>1</v>
      </c>
      <c r="U87" s="3">
        <v>0.22222222222222221</v>
      </c>
      <c r="V87" s="3">
        <v>0.22222222222222221</v>
      </c>
      <c r="W87" s="3">
        <v>0.1111111111111111</v>
      </c>
      <c r="X87" s="3">
        <v>0.1111111111111111</v>
      </c>
      <c r="Y87" s="3">
        <v>0.1111111111111111</v>
      </c>
      <c r="Z87" s="3">
        <v>0.22222222222222221</v>
      </c>
      <c r="AA87" s="3">
        <v>0.11</v>
      </c>
      <c r="AB87" s="3">
        <v>1</v>
      </c>
      <c r="AC87" s="3">
        <v>0.27272727272727271</v>
      </c>
      <c r="AD87" s="3">
        <v>0.27272727272727271</v>
      </c>
      <c r="AE87" s="3">
        <v>9.0909090909090912E-2</v>
      </c>
      <c r="AF87" s="3">
        <v>0.18181818181818182</v>
      </c>
      <c r="AG87" s="3">
        <v>0.18181818181818182</v>
      </c>
      <c r="AH87" s="3">
        <v>0.36999999999999983</v>
      </c>
      <c r="AI87" s="3">
        <v>0.99999999999999956</v>
      </c>
      <c r="AJ87" s="3">
        <v>5.4054054054054036E-2</v>
      </c>
      <c r="AK87" s="3">
        <v>5.4054054054054036E-2</v>
      </c>
      <c r="AL87" s="3">
        <v>2.7027027027027018E-2</v>
      </c>
      <c r="AM87" s="3">
        <v>8.1081081081081058E-2</v>
      </c>
      <c r="AN87" s="3">
        <v>8.1081081081081058E-2</v>
      </c>
      <c r="AO87" s="3">
        <v>6.7567567567567557E-2</v>
      </c>
      <c r="AP87" s="3">
        <v>5.4054054054054036E-2</v>
      </c>
      <c r="AQ87" s="3">
        <v>1.3513513513513509E-2</v>
      </c>
      <c r="AR87" s="3">
        <v>4.0540540540540529E-2</v>
      </c>
      <c r="AS87" s="3">
        <v>1.3513513513513509E-2</v>
      </c>
      <c r="AT87" s="3">
        <v>8.1081081081081058E-2</v>
      </c>
      <c r="AU87" s="3">
        <v>5.4054054054054036E-2</v>
      </c>
      <c r="AV87" s="3">
        <v>2.7027027027027018E-2</v>
      </c>
      <c r="AW87" s="3">
        <v>5.4054054054054036E-2</v>
      </c>
      <c r="AX87" s="3">
        <v>5.4054054054054036E-2</v>
      </c>
      <c r="AY87" s="3">
        <v>2.7027027027027018E-2</v>
      </c>
      <c r="AZ87" s="3">
        <v>4.0540540540540529E-2</v>
      </c>
      <c r="BA87" s="3">
        <v>5.4054054054054036E-2</v>
      </c>
      <c r="BB87" s="3">
        <v>8.1081081081081058E-2</v>
      </c>
      <c r="BC87" s="3">
        <v>1.3513513513513509E-2</v>
      </c>
      <c r="BD87" s="3">
        <v>2.7027027027027018E-2</v>
      </c>
      <c r="BE87">
        <v>31.32</v>
      </c>
      <c r="BF87" s="3" t="str">
        <f>+IF(AVANCE[[#This Row],[% AVANCE]]=100%,"MODULO TERMINADO",IF(AVANCE[[#This Row],[FECHA INICIO REAL]]="","MODULO NO INICIADO","PENDIENTE"))</f>
        <v>MODULO TERMINADO</v>
      </c>
      <c r="BG87" s="3">
        <f>+IF(AVANCE[[#This Row],[VENTANAS]]=8.10810810810811%,100%,AVANCE[[#This Row],[VENTANAS]])</f>
        <v>1</v>
      </c>
      <c r="BH87" s="3">
        <f>+IF(AVANCE[[#This Row],[PISO]]=N$2,100%,AVANCE[[#This Row],[PISO]])</f>
        <v>1</v>
      </c>
      <c r="BI87" s="3">
        <f>+IF(AVANCE[[#This Row],[TABIQUES]]=O$2,100%,AVANCE[[#This Row],[TABIQUES]])</f>
        <v>1</v>
      </c>
      <c r="BJ87" s="3">
        <f>+IF(AVANCE[[#This Row],[MUROS]]=P$2,100%,AVANCE[[#This Row],[MUROS]])</f>
        <v>1</v>
      </c>
      <c r="BK87" s="3">
        <f>+IF(AVANCE[[#This Row],[CIELO]]=Q$2,100%,AVANCE[[#This Row],[CIELO]])</f>
        <v>1</v>
      </c>
      <c r="BL87" s="3">
        <f>+IF(AVANCE[[#This Row],[BALCÓN]]=R$2,100%,AVANCE[[#This Row],[BALCÓN]])</f>
        <v>1</v>
      </c>
      <c r="BM87" s="3">
        <f>+IF(AVANCE[[#This Row],[RED ALCANTARILLADO]]=U$2,100%,AVANCE[[#This Row],[RED ALCANTARILLADO]])</f>
        <v>1</v>
      </c>
      <c r="BN87" s="3">
        <f>+IF(AVANCE[[#This Row],[RED DE AGUA]]=V$2,100%,AVANCE[[#This Row],[RED DE AGUA]])</f>
        <v>1</v>
      </c>
      <c r="BO87" s="3">
        <f>+IF(AVANCE[[#This Row],[VENTILACIONES]]=W$2,100%,AVANCE[[#This Row],[VENTILACIONES]])</f>
        <v>1</v>
      </c>
      <c r="BP87" s="3">
        <f>+IF(AVANCE[[#This Row],[TINA]]=X$2,100%,AVANCE[[#This Row],[TINA]])</f>
        <v>1</v>
      </c>
      <c r="BQ87" s="3">
        <f>+IF(AVANCE[[#This Row],[WC]]=Y$2,100%,AVANCE[[#This Row],[WC]])</f>
        <v>1</v>
      </c>
      <c r="BR87" s="3">
        <f>+IF(AVANCE[[#This Row],[LAVAMANOS / LAVAPLATOS / LAVADERO]]=Z$2,100%,AVANCE[[#This Row],[LAVAMANOS / LAVAPLATOS / LAVADERO]])</f>
        <v>1</v>
      </c>
      <c r="BS87" s="3">
        <f>+IF(AVANCE[[#This Row],[CANALIZACIÓN]]=AC$2,100%,AVANCE[[#This Row],[CANALIZACIÓN]])</f>
        <v>1</v>
      </c>
      <c r="BT87" s="3">
        <f>+IF(AVANCE[[#This Row],[CABLEADO]]=AD$2,100%,AVANCE[[#This Row],[CABLEADO]])</f>
        <v>1</v>
      </c>
      <c r="BU87" s="3">
        <f>+IF(AVANCE[[#This Row],[ARTEFACTOS]]=AE$2,100%,AVANCE[[#This Row],[ARTEFACTOS]])</f>
        <v>1</v>
      </c>
      <c r="BV87" s="3">
        <f>+IF(AVANCE[[#This Row],[TABLERO]]=AF$2,100%,AVANCE[[#This Row],[TABLERO]])</f>
        <v>1</v>
      </c>
      <c r="BW87" s="3">
        <f>+IF(AVANCE[[#This Row],[CAJA PAU]]=AG$2,100%,AVANCE[[#This Row],[CAJA PAU]])</f>
        <v>1</v>
      </c>
      <c r="BX87" s="3">
        <f>+IF(AVANCE[[#This Row],[INSTALACION VINILICO]]=AJ$2,100%,AVANCE[[#This Row],[INSTALACION VINILICO]])</f>
        <v>1</v>
      </c>
      <c r="BY87" s="3">
        <f>+IF(AVANCE[[#This Row],[OSB CUBIERTA]]=AK$2,100%,AVANCE[[#This Row],[OSB CUBIERTA]])</f>
        <v>1</v>
      </c>
      <c r="BZ87" s="3">
        <f>+IF(AVANCE[[#This Row],[BARANDA BALCON]]=AL$2,100%,AVANCE[[#This Row],[BARANDA BALCON]])</f>
        <v>1</v>
      </c>
      <c r="CA87" s="3">
        <f>+IF(AVANCE[[#This Row],[OSB EXTERIOR]]=AM$2,100%,AVANCE[[#This Row],[OSB EXTERIOR]])</f>
        <v>1</v>
      </c>
      <c r="CB87" s="3">
        <f>+IF(AVANCE[[#This Row],[SMART PANEL]]=AN$2,100%,AVANCE[[#This Row],[SMART PANEL]])</f>
        <v>1</v>
      </c>
      <c r="CC87" s="3">
        <f>+IF(AVANCE[[#This Row],[PINTURA EXTERIOR]]=AO$2,100%,AVANCE[[#This Row],[PINTURA EXTERIOR]])</f>
        <v>1</v>
      </c>
      <c r="CD87" s="3">
        <f>+IF(AVANCE[[#This Row],[ZOCALOS LOGIA]]=AP$2,100%,AVANCE[[#This Row],[ZOCALOS LOGIA]])</f>
        <v>1</v>
      </c>
      <c r="CE87" s="3">
        <f>+IF(AVANCE[[#This Row],[MOLDURAS]]=AQ$2,100%,AVANCE[[#This Row],[MOLDURAS]])</f>
        <v>1</v>
      </c>
      <c r="CF87" s="3">
        <f>+IF(AVANCE[[#This Row],[PILASTREO]]=AR$2,100%,AVANCE[[#This Row],[PILASTREO]])</f>
        <v>1</v>
      </c>
      <c r="CG87" s="3">
        <f>+IF(AVANCE[[#This Row],[CELOSIAS]]=AS$2,100%,AVANCE[[#This Row],[CELOSIAS]])</f>
        <v>1</v>
      </c>
      <c r="CH87" s="3">
        <f>+IF(AVANCE[[#This Row],[VENTANAS]]=AT$2,100%,AVANCE[[#This Row],[VENTANAS]])</f>
        <v>1</v>
      </c>
      <c r="CI87" s="3">
        <f>+IF(AVANCE[[#This Row],[PUERTAS ACCESO - LOGIA - BANO]]=AU$2,100%,AVANCE[[#This Row],[PUERTAS ACCESO - LOGIA - BANO]])</f>
        <v>1</v>
      </c>
      <c r="CJ87" s="3">
        <f>+IF(AVANCE[[#This Row],[CERRADURAS]]=AV$2,100%,AVANCE[[#This Row],[CERRADURAS]])</f>
        <v>1</v>
      </c>
      <c r="CK87" s="3">
        <f>+IF(AVANCE[[#This Row],[REVESTIMIENTO INTERIOR ZONA SECA]]=AW$2,100%,AVANCE[[#This Row],[REVESTIMIENTO INTERIOR ZONA SECA]])</f>
        <v>1</v>
      </c>
      <c r="CL87" s="3">
        <f>+IF(AVANCE[[#This Row],[REVESTIMIENTO INTERIOR ZONAS HUMEDAS]]=AX$2,100%,AVANCE[[#This Row],[REVESTIMIENTO INTERIOR ZONAS HUMEDAS]])</f>
        <v>1</v>
      </c>
      <c r="CM87" s="3">
        <f>+IF(AVANCE[[#This Row],[MEMBRANA CIELO]]=AY$2,100%,AVANCE[[#This Row],[MEMBRANA CIELO]])</f>
        <v>1</v>
      </c>
      <c r="CN87" s="3">
        <f>+IF(AVANCE[[#This Row],[LIMPIEZA FINAL]]=AZ$2,100%,AVANCE[[#This Row],[LIMPIEZA FINAL]])</f>
        <v>1</v>
      </c>
      <c r="CO87" s="3">
        <f>+IF(AVANCE[[#This Row],[PUERTAS DORMITORIO]]=BA$2,100%,AVANCE[[#This Row],[PUERTAS DORMITORIO]])</f>
        <v>1</v>
      </c>
      <c r="CP87" s="3">
        <f>+IF(AVANCE[[#This Row],[REVESTIMIENTO INTERIOR BANO]]=BB$2,100%,AVANCE[[#This Row],[REVESTIMIENTO INTERIOR BANO]])</f>
        <v>1</v>
      </c>
      <c r="CQ87" s="3">
        <f>+IF(AVANCE[[#This Row],[MUEBLE LAVAPLATOS]]=BC$2,100%,AVANCE[[#This Row],[MUEBLE LAVAPLATOS]])</f>
        <v>1</v>
      </c>
      <c r="CR87" s="3">
        <f>+IF(AVANCE[[#This Row],[IMPERMEABILIZACION BANO - COCINA LOGIA]]=BD$2,100%,AVANCE[[#This Row],[IMPERMEABILIZACION BANO - COCINA LOGIA]])</f>
        <v>1</v>
      </c>
      <c r="CS87" s="40">
        <f ca="1">+IF(AVANCE[[#This Row],[ESTADO MODULO]]="PENDIENTE",(TODAY()-AVANCE[[#This Row],[FECHA TERMINO  PLANIFICADO]]),0)</f>
        <v>0</v>
      </c>
      <c r="CT87" s="41" t="str" cm="1">
        <f t="array" ref="CT87">_xlfn.TEXTJOIN(" | ",TRUE,IF(SUMPRODUCT((BG87:CR87&lt;1)*(PARTIDAS!$I$2:$AT$2="OBRA GRUESA"))&gt;0,"OBRA GRUESA: "&amp;_xlfn.TEXTJOIN(", ",TRUE,IF((BG87:CR87&lt;1)*(PARTIDAS!$I$2:$AT$2="OBRA GRUESA"),PARTIDAS!$I$1:$AT$1,"")),""),IF(SUMPRODUCT((BG87:CR87&lt;1)*(PARTIDAS!$I$2:$AT$2="SANITARIOS"))&gt;0,"SANITARIOS: "&amp;_xlfn.TEXTJOIN(", ",TRUE,IF((BG87:CR87&lt;1)*(PARTIDAS!$I$2:$AT$2="SANITARIOS"),PARTIDAS!$I$1:$AT$1,"")),""),IF(SUMPRODUCT((BG87:CR87&lt;1)*(PARTIDAS!$I$2:$AT$2="ELÉCTRICO"))&gt;0,"ELÉCTRICO: "&amp;_xlfn.TEXTJOIN(", ",TRUE,IF((BG87:CR87&lt;1)*(PARTIDAS!$I$2:$AT$2="ELÉCTRICO"),PARTIDAS!$I$1:$AT$1,"")),""),IF(SUMPRODUCT((BG87:CR87&lt;1)*(PARTIDAS!$I$2:$AT$2="TERMINACIONES"))&gt;0,"TERMINACIONES: "&amp;_xlfn.TEXTJOIN(", ",TRUE,IF((BG87:CR87&lt;1)*(PARTIDAS!$I$2:$AT$2="TERMINACIONES"),PARTIDAS!$I$1:$AT$1,"")),""))</f>
        <v/>
      </c>
      <c r="CU87" s="43" t="str" cm="1">
        <f t="array" ref="CU87">_xlfn.TEXTJOIN(", ",TRUE,IF(SUMPRODUCT((BG87:CR87&lt;1)*(PARTIDAS!$I$2:$AT$2="OBRA GRUESA"))&gt;0,"OBRA GRUESA",""),IF(SUMPRODUCT((BG87:CR87&lt;1)*(PARTIDAS!$I$2:$AT$2="SANITARIOS"))&gt;0,"SANITARIOS",""),IF(SUMPRODUCT((BG87:CR87&lt;1)*(PARTIDAS!$I$2:$AT$2="ELÉCTRICO"))&gt;0,"ELÉCTRICO",""),IF(SUMPRODUCT((BG87:CR87&lt;1)*(PARTIDAS!$I$2:$AT$2="TERMINACIONES"))&gt;0,"TERMINACIONES",""))</f>
        <v/>
      </c>
      <c r="CV87" s="44" cm="1">
        <f t="array" ref="CV87">SUMPRODUCT(--(BG87:CR87&lt;1))</f>
        <v>0</v>
      </c>
    </row>
    <row r="88" spans="1:100" hidden="1" x14ac:dyDescent="0.25">
      <c r="A88" t="s">
        <v>124</v>
      </c>
      <c r="B88" t="s">
        <v>147</v>
      </c>
      <c r="C88">
        <v>2302600087</v>
      </c>
      <c r="D88" t="s">
        <v>60</v>
      </c>
      <c r="E88" s="2">
        <v>0.99999999999999978</v>
      </c>
      <c r="F88" s="1">
        <v>46168</v>
      </c>
      <c r="G88" s="1">
        <v>46171</v>
      </c>
      <c r="H88" s="1">
        <v>46218</v>
      </c>
      <c r="I88" s="1">
        <v>46204</v>
      </c>
      <c r="K88" s="1">
        <v>46218</v>
      </c>
      <c r="L88" s="3">
        <v>0.43</v>
      </c>
      <c r="M88" s="3">
        <v>1</v>
      </c>
      <c r="N88" s="3">
        <v>0.27906976744186046</v>
      </c>
      <c r="O88" s="3">
        <v>0.18604651162790697</v>
      </c>
      <c r="P88" s="3">
        <v>0.2558139534883721</v>
      </c>
      <c r="Q88" s="3">
        <v>0.18604651162790697</v>
      </c>
      <c r="R88" s="3">
        <v>9.3023255813953487E-2</v>
      </c>
      <c r="S88" s="3">
        <v>0.09</v>
      </c>
      <c r="T88" s="3">
        <v>1</v>
      </c>
      <c r="U88" s="3">
        <v>0.22222222222222221</v>
      </c>
      <c r="V88" s="3">
        <v>0.22222222222222221</v>
      </c>
      <c r="W88" s="3">
        <v>0.1111111111111111</v>
      </c>
      <c r="X88" s="3">
        <v>0.1111111111111111</v>
      </c>
      <c r="Y88" s="3">
        <v>0.1111111111111111</v>
      </c>
      <c r="Z88" s="3">
        <v>0.22222222222222221</v>
      </c>
      <c r="AA88" s="3">
        <v>0.11</v>
      </c>
      <c r="AB88" s="3">
        <v>1</v>
      </c>
      <c r="AC88" s="3">
        <v>0.27272727272727271</v>
      </c>
      <c r="AD88" s="3">
        <v>0.27272727272727271</v>
      </c>
      <c r="AE88" s="3">
        <v>9.0909090909090912E-2</v>
      </c>
      <c r="AF88" s="3">
        <v>0.18181818181818182</v>
      </c>
      <c r="AG88" s="3">
        <v>0.18181818181818182</v>
      </c>
      <c r="AH88" s="3">
        <v>0.36999999999999983</v>
      </c>
      <c r="AI88" s="3">
        <v>0.99999999999999956</v>
      </c>
      <c r="AJ88" s="3">
        <v>5.4054054054054036E-2</v>
      </c>
      <c r="AK88" s="3">
        <v>5.4054054054054036E-2</v>
      </c>
      <c r="AL88" s="3">
        <v>2.7027027027027018E-2</v>
      </c>
      <c r="AM88" s="3">
        <v>8.1081081081081058E-2</v>
      </c>
      <c r="AN88" s="3">
        <v>8.1081081081081058E-2</v>
      </c>
      <c r="AO88" s="3">
        <v>6.7567567567567557E-2</v>
      </c>
      <c r="AP88" s="3">
        <v>5.4054054054054036E-2</v>
      </c>
      <c r="AQ88" s="3">
        <v>1.3513513513513509E-2</v>
      </c>
      <c r="AR88" s="3">
        <v>4.0540540540540529E-2</v>
      </c>
      <c r="AS88" s="3">
        <v>1.3513513513513509E-2</v>
      </c>
      <c r="AT88" s="3">
        <v>8.1081081081081058E-2</v>
      </c>
      <c r="AU88" s="3">
        <v>5.4054054054054036E-2</v>
      </c>
      <c r="AV88" s="3">
        <v>2.7027027027027018E-2</v>
      </c>
      <c r="AW88" s="3">
        <v>5.4054054054054036E-2</v>
      </c>
      <c r="AX88" s="3">
        <v>5.4054054054054036E-2</v>
      </c>
      <c r="AY88" s="3">
        <v>2.7027027027027018E-2</v>
      </c>
      <c r="AZ88" s="3">
        <v>4.0540540540540529E-2</v>
      </c>
      <c r="BA88" s="3">
        <v>5.4054054054054036E-2</v>
      </c>
      <c r="BB88" s="3">
        <v>8.1081081081081058E-2</v>
      </c>
      <c r="BC88" s="3">
        <v>1.3513513513513509E-2</v>
      </c>
      <c r="BD88" s="3">
        <v>2.7027027027027018E-2</v>
      </c>
      <c r="BE88">
        <v>31.32</v>
      </c>
      <c r="BF88" s="3" t="str">
        <f>+IF(AVANCE[[#This Row],[% AVANCE]]=100%,"MODULO TERMINADO",IF(AVANCE[[#This Row],[FECHA INICIO REAL]]="","MODULO NO INICIADO","PENDIENTE"))</f>
        <v>MODULO TERMINADO</v>
      </c>
      <c r="BG88" s="3">
        <f>+IF(AVANCE[[#This Row],[VENTANAS]]=8.10810810810811%,100%,AVANCE[[#This Row],[VENTANAS]])</f>
        <v>1</v>
      </c>
      <c r="BH88" s="3">
        <f>+IF(AVANCE[[#This Row],[PISO]]=N$2,100%,AVANCE[[#This Row],[PISO]])</f>
        <v>1</v>
      </c>
      <c r="BI88" s="3">
        <f>+IF(AVANCE[[#This Row],[TABIQUES]]=O$2,100%,AVANCE[[#This Row],[TABIQUES]])</f>
        <v>1</v>
      </c>
      <c r="BJ88" s="3">
        <f>+IF(AVANCE[[#This Row],[MUROS]]=P$2,100%,AVANCE[[#This Row],[MUROS]])</f>
        <v>1</v>
      </c>
      <c r="BK88" s="3">
        <f>+IF(AVANCE[[#This Row],[CIELO]]=Q$2,100%,AVANCE[[#This Row],[CIELO]])</f>
        <v>1</v>
      </c>
      <c r="BL88" s="3">
        <f>+IF(AVANCE[[#This Row],[BALCÓN]]=R$2,100%,AVANCE[[#This Row],[BALCÓN]])</f>
        <v>1</v>
      </c>
      <c r="BM88" s="3">
        <f>+IF(AVANCE[[#This Row],[RED ALCANTARILLADO]]=U$2,100%,AVANCE[[#This Row],[RED ALCANTARILLADO]])</f>
        <v>1</v>
      </c>
      <c r="BN88" s="3">
        <f>+IF(AVANCE[[#This Row],[RED DE AGUA]]=V$2,100%,AVANCE[[#This Row],[RED DE AGUA]])</f>
        <v>1</v>
      </c>
      <c r="BO88" s="3">
        <f>+IF(AVANCE[[#This Row],[VENTILACIONES]]=W$2,100%,AVANCE[[#This Row],[VENTILACIONES]])</f>
        <v>1</v>
      </c>
      <c r="BP88" s="3">
        <f>+IF(AVANCE[[#This Row],[TINA]]=X$2,100%,AVANCE[[#This Row],[TINA]])</f>
        <v>1</v>
      </c>
      <c r="BQ88" s="3">
        <f>+IF(AVANCE[[#This Row],[WC]]=Y$2,100%,AVANCE[[#This Row],[WC]])</f>
        <v>1</v>
      </c>
      <c r="BR88" s="3">
        <f>+IF(AVANCE[[#This Row],[LAVAMANOS / LAVAPLATOS / LAVADERO]]=Z$2,100%,AVANCE[[#This Row],[LAVAMANOS / LAVAPLATOS / LAVADERO]])</f>
        <v>1</v>
      </c>
      <c r="BS88" s="3">
        <f>+IF(AVANCE[[#This Row],[CANALIZACIÓN]]=AC$2,100%,AVANCE[[#This Row],[CANALIZACIÓN]])</f>
        <v>1</v>
      </c>
      <c r="BT88" s="3">
        <f>+IF(AVANCE[[#This Row],[CABLEADO]]=AD$2,100%,AVANCE[[#This Row],[CABLEADO]])</f>
        <v>1</v>
      </c>
      <c r="BU88" s="3">
        <f>+IF(AVANCE[[#This Row],[ARTEFACTOS]]=AE$2,100%,AVANCE[[#This Row],[ARTEFACTOS]])</f>
        <v>1</v>
      </c>
      <c r="BV88" s="3">
        <f>+IF(AVANCE[[#This Row],[TABLERO]]=AF$2,100%,AVANCE[[#This Row],[TABLERO]])</f>
        <v>1</v>
      </c>
      <c r="BW88" s="3">
        <f>+IF(AVANCE[[#This Row],[CAJA PAU]]=AG$2,100%,AVANCE[[#This Row],[CAJA PAU]])</f>
        <v>1</v>
      </c>
      <c r="BX88" s="3">
        <f>+IF(AVANCE[[#This Row],[INSTALACION VINILICO]]=AJ$2,100%,AVANCE[[#This Row],[INSTALACION VINILICO]])</f>
        <v>1</v>
      </c>
      <c r="BY88" s="3">
        <f>+IF(AVANCE[[#This Row],[OSB CUBIERTA]]=AK$2,100%,AVANCE[[#This Row],[OSB CUBIERTA]])</f>
        <v>1</v>
      </c>
      <c r="BZ88" s="3">
        <f>+IF(AVANCE[[#This Row],[BARANDA BALCON]]=AL$2,100%,AVANCE[[#This Row],[BARANDA BALCON]])</f>
        <v>1</v>
      </c>
      <c r="CA88" s="3">
        <f>+IF(AVANCE[[#This Row],[OSB EXTERIOR]]=AM$2,100%,AVANCE[[#This Row],[OSB EXTERIOR]])</f>
        <v>1</v>
      </c>
      <c r="CB88" s="3">
        <f>+IF(AVANCE[[#This Row],[SMART PANEL]]=AN$2,100%,AVANCE[[#This Row],[SMART PANEL]])</f>
        <v>1</v>
      </c>
      <c r="CC88" s="3">
        <f>+IF(AVANCE[[#This Row],[PINTURA EXTERIOR]]=AO$2,100%,AVANCE[[#This Row],[PINTURA EXTERIOR]])</f>
        <v>1</v>
      </c>
      <c r="CD88" s="3">
        <f>+IF(AVANCE[[#This Row],[ZOCALOS LOGIA]]=AP$2,100%,AVANCE[[#This Row],[ZOCALOS LOGIA]])</f>
        <v>1</v>
      </c>
      <c r="CE88" s="3">
        <f>+IF(AVANCE[[#This Row],[MOLDURAS]]=AQ$2,100%,AVANCE[[#This Row],[MOLDURAS]])</f>
        <v>1</v>
      </c>
      <c r="CF88" s="3">
        <f>+IF(AVANCE[[#This Row],[PILASTREO]]=AR$2,100%,AVANCE[[#This Row],[PILASTREO]])</f>
        <v>1</v>
      </c>
      <c r="CG88" s="3">
        <f>+IF(AVANCE[[#This Row],[CELOSIAS]]=AS$2,100%,AVANCE[[#This Row],[CELOSIAS]])</f>
        <v>1</v>
      </c>
      <c r="CH88" s="3">
        <f>+IF(AVANCE[[#This Row],[VENTANAS]]=AT$2,100%,AVANCE[[#This Row],[VENTANAS]])</f>
        <v>1</v>
      </c>
      <c r="CI88" s="3">
        <f>+IF(AVANCE[[#This Row],[PUERTAS ACCESO - LOGIA - BANO]]=AU$2,100%,AVANCE[[#This Row],[PUERTAS ACCESO - LOGIA - BANO]])</f>
        <v>1</v>
      </c>
      <c r="CJ88" s="3">
        <f>+IF(AVANCE[[#This Row],[CERRADURAS]]=AV$2,100%,AVANCE[[#This Row],[CERRADURAS]])</f>
        <v>1</v>
      </c>
      <c r="CK88" s="3">
        <f>+IF(AVANCE[[#This Row],[REVESTIMIENTO INTERIOR ZONA SECA]]=AW$2,100%,AVANCE[[#This Row],[REVESTIMIENTO INTERIOR ZONA SECA]])</f>
        <v>1</v>
      </c>
      <c r="CL88" s="3">
        <f>+IF(AVANCE[[#This Row],[REVESTIMIENTO INTERIOR ZONAS HUMEDAS]]=AX$2,100%,AVANCE[[#This Row],[REVESTIMIENTO INTERIOR ZONAS HUMEDAS]])</f>
        <v>1</v>
      </c>
      <c r="CM88" s="3">
        <f>+IF(AVANCE[[#This Row],[MEMBRANA CIELO]]=AY$2,100%,AVANCE[[#This Row],[MEMBRANA CIELO]])</f>
        <v>1</v>
      </c>
      <c r="CN88" s="3">
        <f>+IF(AVANCE[[#This Row],[LIMPIEZA FINAL]]=AZ$2,100%,AVANCE[[#This Row],[LIMPIEZA FINAL]])</f>
        <v>1</v>
      </c>
      <c r="CO88" s="3">
        <f>+IF(AVANCE[[#This Row],[PUERTAS DORMITORIO]]=BA$2,100%,AVANCE[[#This Row],[PUERTAS DORMITORIO]])</f>
        <v>1</v>
      </c>
      <c r="CP88" s="3">
        <f>+IF(AVANCE[[#This Row],[REVESTIMIENTO INTERIOR BANO]]=BB$2,100%,AVANCE[[#This Row],[REVESTIMIENTO INTERIOR BANO]])</f>
        <v>1</v>
      </c>
      <c r="CQ88" s="3">
        <f>+IF(AVANCE[[#This Row],[MUEBLE LAVAPLATOS]]=BC$2,100%,AVANCE[[#This Row],[MUEBLE LAVAPLATOS]])</f>
        <v>1</v>
      </c>
      <c r="CR88" s="3">
        <f>+IF(AVANCE[[#This Row],[IMPERMEABILIZACION BANO - COCINA LOGIA]]=BD$2,100%,AVANCE[[#This Row],[IMPERMEABILIZACION BANO - COCINA LOGIA]])</f>
        <v>1</v>
      </c>
      <c r="CS88" s="40">
        <f ca="1">+IF(AVANCE[[#This Row],[ESTADO MODULO]]="PENDIENTE",(TODAY()-AVANCE[[#This Row],[FECHA TERMINO  PLANIFICADO]]),0)</f>
        <v>0</v>
      </c>
      <c r="CT88" s="41" t="str" cm="1">
        <f t="array" ref="CT88">_xlfn.TEXTJOIN(" | ",TRUE,IF(SUMPRODUCT((BG88:CR88&lt;1)*(PARTIDAS!$I$2:$AT$2="OBRA GRUESA"))&gt;0,"OBRA GRUESA: "&amp;_xlfn.TEXTJOIN(", ",TRUE,IF((BG88:CR88&lt;1)*(PARTIDAS!$I$2:$AT$2="OBRA GRUESA"),PARTIDAS!$I$1:$AT$1,"")),""),IF(SUMPRODUCT((BG88:CR88&lt;1)*(PARTIDAS!$I$2:$AT$2="SANITARIOS"))&gt;0,"SANITARIOS: "&amp;_xlfn.TEXTJOIN(", ",TRUE,IF((BG88:CR88&lt;1)*(PARTIDAS!$I$2:$AT$2="SANITARIOS"),PARTIDAS!$I$1:$AT$1,"")),""),IF(SUMPRODUCT((BG88:CR88&lt;1)*(PARTIDAS!$I$2:$AT$2="ELÉCTRICO"))&gt;0,"ELÉCTRICO: "&amp;_xlfn.TEXTJOIN(", ",TRUE,IF((BG88:CR88&lt;1)*(PARTIDAS!$I$2:$AT$2="ELÉCTRICO"),PARTIDAS!$I$1:$AT$1,"")),""),IF(SUMPRODUCT((BG88:CR88&lt;1)*(PARTIDAS!$I$2:$AT$2="TERMINACIONES"))&gt;0,"TERMINACIONES: "&amp;_xlfn.TEXTJOIN(", ",TRUE,IF((BG88:CR88&lt;1)*(PARTIDAS!$I$2:$AT$2="TERMINACIONES"),PARTIDAS!$I$1:$AT$1,"")),""))</f>
        <v/>
      </c>
      <c r="CU88" s="43" t="str" cm="1">
        <f t="array" ref="CU88">_xlfn.TEXTJOIN(", ",TRUE,IF(SUMPRODUCT((BG88:CR88&lt;1)*(PARTIDAS!$I$2:$AT$2="OBRA GRUESA"))&gt;0,"OBRA GRUESA",""),IF(SUMPRODUCT((BG88:CR88&lt;1)*(PARTIDAS!$I$2:$AT$2="SANITARIOS"))&gt;0,"SANITARIOS",""),IF(SUMPRODUCT((BG88:CR88&lt;1)*(PARTIDAS!$I$2:$AT$2="ELÉCTRICO"))&gt;0,"ELÉCTRICO",""),IF(SUMPRODUCT((BG88:CR88&lt;1)*(PARTIDAS!$I$2:$AT$2="TERMINACIONES"))&gt;0,"TERMINACIONES",""))</f>
        <v/>
      </c>
      <c r="CV88" s="44" cm="1">
        <f t="array" ref="CV88">SUMPRODUCT(--(BG88:CR88&lt;1))</f>
        <v>0</v>
      </c>
    </row>
    <row r="89" spans="1:100" hidden="1" x14ac:dyDescent="0.25">
      <c r="A89" t="s">
        <v>124</v>
      </c>
      <c r="B89" t="s">
        <v>148</v>
      </c>
      <c r="C89">
        <v>2282600088</v>
      </c>
      <c r="D89" t="s">
        <v>58</v>
      </c>
      <c r="E89" s="2">
        <v>0.99999999999999978</v>
      </c>
      <c r="F89" s="1">
        <v>46168</v>
      </c>
      <c r="G89" s="1">
        <v>46171</v>
      </c>
      <c r="H89" s="1">
        <v>46217</v>
      </c>
      <c r="I89" s="1">
        <v>46194</v>
      </c>
      <c r="K89" s="1">
        <v>46217</v>
      </c>
      <c r="L89" s="3">
        <v>0.43</v>
      </c>
      <c r="M89" s="3">
        <v>1</v>
      </c>
      <c r="N89" s="3">
        <v>0.27906976744186046</v>
      </c>
      <c r="O89" s="3">
        <v>0.18604651162790697</v>
      </c>
      <c r="P89" s="3">
        <v>0.2558139534883721</v>
      </c>
      <c r="Q89" s="3">
        <v>0.18604651162790697</v>
      </c>
      <c r="R89" s="3">
        <v>9.3023255813953487E-2</v>
      </c>
      <c r="S89" s="3">
        <v>0.09</v>
      </c>
      <c r="T89" s="3">
        <v>1</v>
      </c>
      <c r="U89" s="3">
        <v>0.22222222222222221</v>
      </c>
      <c r="V89" s="3">
        <v>0.22222222222222221</v>
      </c>
      <c r="W89" s="3">
        <v>0.1111111111111111</v>
      </c>
      <c r="X89" s="3">
        <v>0.1111111111111111</v>
      </c>
      <c r="Y89" s="3">
        <v>0.1111111111111111</v>
      </c>
      <c r="Z89" s="3">
        <v>0.22222222222222221</v>
      </c>
      <c r="AA89" s="3">
        <v>0.11</v>
      </c>
      <c r="AB89" s="3">
        <v>1</v>
      </c>
      <c r="AC89" s="3">
        <v>0.27272727272727271</v>
      </c>
      <c r="AD89" s="3">
        <v>0.27272727272727271</v>
      </c>
      <c r="AE89" s="3">
        <v>9.0909090909090912E-2</v>
      </c>
      <c r="AF89" s="3">
        <v>0.18181818181818182</v>
      </c>
      <c r="AG89" s="3">
        <v>0.18181818181818182</v>
      </c>
      <c r="AH89" s="3">
        <v>0.36999999999999983</v>
      </c>
      <c r="AI89" s="3">
        <v>0.99999999999999956</v>
      </c>
      <c r="AJ89" s="3">
        <v>5.4054054054054036E-2</v>
      </c>
      <c r="AK89" s="3">
        <v>5.4054054054054036E-2</v>
      </c>
      <c r="AL89" s="3">
        <v>2.7027027027027018E-2</v>
      </c>
      <c r="AM89" s="3">
        <v>8.1081081081081058E-2</v>
      </c>
      <c r="AN89" s="3">
        <v>8.1081081081081058E-2</v>
      </c>
      <c r="AO89" s="3">
        <v>6.7567567567567557E-2</v>
      </c>
      <c r="AP89" s="3">
        <v>5.4054054054054036E-2</v>
      </c>
      <c r="AQ89" s="3">
        <v>1.3513513513513509E-2</v>
      </c>
      <c r="AR89" s="3">
        <v>4.0540540540540529E-2</v>
      </c>
      <c r="AS89" s="3">
        <v>1.3513513513513509E-2</v>
      </c>
      <c r="AT89" s="3">
        <v>8.1081081081081058E-2</v>
      </c>
      <c r="AU89" s="3">
        <v>5.4054054054054036E-2</v>
      </c>
      <c r="AV89" s="3">
        <v>2.7027027027027018E-2</v>
      </c>
      <c r="AW89" s="3">
        <v>5.4054054054054036E-2</v>
      </c>
      <c r="AX89" s="3">
        <v>5.4054054054054036E-2</v>
      </c>
      <c r="AY89" s="3">
        <v>2.7027027027027018E-2</v>
      </c>
      <c r="AZ89" s="3">
        <v>4.0540540540540529E-2</v>
      </c>
      <c r="BA89" s="3">
        <v>5.4054054054054036E-2</v>
      </c>
      <c r="BB89" s="3">
        <v>8.1081081081081058E-2</v>
      </c>
      <c r="BC89" s="3">
        <v>1.3513513513513509E-2</v>
      </c>
      <c r="BD89" s="3">
        <v>2.7027027027027018E-2</v>
      </c>
      <c r="BE89">
        <v>28.87</v>
      </c>
      <c r="BF89" s="3" t="str">
        <f>+IF(AVANCE[[#This Row],[% AVANCE]]=100%,"MODULO TERMINADO",IF(AVANCE[[#This Row],[FECHA INICIO REAL]]="","MODULO NO INICIADO","PENDIENTE"))</f>
        <v>MODULO TERMINADO</v>
      </c>
      <c r="BG89" s="3">
        <f>+IF(AVANCE[[#This Row],[VENTANAS]]=8.10810810810811%,100%,AVANCE[[#This Row],[VENTANAS]])</f>
        <v>1</v>
      </c>
      <c r="BH89" s="3">
        <f>+IF(AVANCE[[#This Row],[PISO]]=N$2,100%,AVANCE[[#This Row],[PISO]])</f>
        <v>1</v>
      </c>
      <c r="BI89" s="3">
        <f>+IF(AVANCE[[#This Row],[TABIQUES]]=O$2,100%,AVANCE[[#This Row],[TABIQUES]])</f>
        <v>1</v>
      </c>
      <c r="BJ89" s="3">
        <f>+IF(AVANCE[[#This Row],[MUROS]]=P$2,100%,AVANCE[[#This Row],[MUROS]])</f>
        <v>1</v>
      </c>
      <c r="BK89" s="3">
        <f>+IF(AVANCE[[#This Row],[CIELO]]=Q$2,100%,AVANCE[[#This Row],[CIELO]])</f>
        <v>1</v>
      </c>
      <c r="BL89" s="3">
        <f>+IF(AVANCE[[#This Row],[BALCÓN]]=R$2,100%,AVANCE[[#This Row],[BALCÓN]])</f>
        <v>1</v>
      </c>
      <c r="BM89" s="3">
        <f>+IF(AVANCE[[#This Row],[RED ALCANTARILLADO]]=U$2,100%,AVANCE[[#This Row],[RED ALCANTARILLADO]])</f>
        <v>1</v>
      </c>
      <c r="BN89" s="3">
        <f>+IF(AVANCE[[#This Row],[RED DE AGUA]]=V$2,100%,AVANCE[[#This Row],[RED DE AGUA]])</f>
        <v>1</v>
      </c>
      <c r="BO89" s="3">
        <f>+IF(AVANCE[[#This Row],[VENTILACIONES]]=W$2,100%,AVANCE[[#This Row],[VENTILACIONES]])</f>
        <v>1</v>
      </c>
      <c r="BP89" s="3">
        <f>+IF(AVANCE[[#This Row],[TINA]]=X$2,100%,AVANCE[[#This Row],[TINA]])</f>
        <v>1</v>
      </c>
      <c r="BQ89" s="3">
        <f>+IF(AVANCE[[#This Row],[WC]]=Y$2,100%,AVANCE[[#This Row],[WC]])</f>
        <v>1</v>
      </c>
      <c r="BR89" s="3">
        <f>+IF(AVANCE[[#This Row],[LAVAMANOS / LAVAPLATOS / LAVADERO]]=Z$2,100%,AVANCE[[#This Row],[LAVAMANOS / LAVAPLATOS / LAVADERO]])</f>
        <v>1</v>
      </c>
      <c r="BS89" s="3">
        <f>+IF(AVANCE[[#This Row],[CANALIZACIÓN]]=AC$2,100%,AVANCE[[#This Row],[CANALIZACIÓN]])</f>
        <v>1</v>
      </c>
      <c r="BT89" s="3">
        <f>+IF(AVANCE[[#This Row],[CABLEADO]]=AD$2,100%,AVANCE[[#This Row],[CABLEADO]])</f>
        <v>1</v>
      </c>
      <c r="BU89" s="3">
        <f>+IF(AVANCE[[#This Row],[ARTEFACTOS]]=AE$2,100%,AVANCE[[#This Row],[ARTEFACTOS]])</f>
        <v>1</v>
      </c>
      <c r="BV89" s="3">
        <f>+IF(AVANCE[[#This Row],[TABLERO]]=AF$2,100%,AVANCE[[#This Row],[TABLERO]])</f>
        <v>1</v>
      </c>
      <c r="BW89" s="3">
        <f>+IF(AVANCE[[#This Row],[CAJA PAU]]=AG$2,100%,AVANCE[[#This Row],[CAJA PAU]])</f>
        <v>1</v>
      </c>
      <c r="BX89" s="3">
        <f>+IF(AVANCE[[#This Row],[INSTALACION VINILICO]]=AJ$2,100%,AVANCE[[#This Row],[INSTALACION VINILICO]])</f>
        <v>1</v>
      </c>
      <c r="BY89" s="3">
        <f>+IF(AVANCE[[#This Row],[OSB CUBIERTA]]=AK$2,100%,AVANCE[[#This Row],[OSB CUBIERTA]])</f>
        <v>1</v>
      </c>
      <c r="BZ89" s="3">
        <f>+IF(AVANCE[[#This Row],[BARANDA BALCON]]=AL$2,100%,AVANCE[[#This Row],[BARANDA BALCON]])</f>
        <v>1</v>
      </c>
      <c r="CA89" s="3">
        <f>+IF(AVANCE[[#This Row],[OSB EXTERIOR]]=AM$2,100%,AVANCE[[#This Row],[OSB EXTERIOR]])</f>
        <v>1</v>
      </c>
      <c r="CB89" s="3">
        <f>+IF(AVANCE[[#This Row],[SMART PANEL]]=AN$2,100%,AVANCE[[#This Row],[SMART PANEL]])</f>
        <v>1</v>
      </c>
      <c r="CC89" s="3">
        <f>+IF(AVANCE[[#This Row],[PINTURA EXTERIOR]]=AO$2,100%,AVANCE[[#This Row],[PINTURA EXTERIOR]])</f>
        <v>1</v>
      </c>
      <c r="CD89" s="3">
        <f>+IF(AVANCE[[#This Row],[ZOCALOS LOGIA]]=AP$2,100%,AVANCE[[#This Row],[ZOCALOS LOGIA]])</f>
        <v>1</v>
      </c>
      <c r="CE89" s="3">
        <f>+IF(AVANCE[[#This Row],[MOLDURAS]]=AQ$2,100%,AVANCE[[#This Row],[MOLDURAS]])</f>
        <v>1</v>
      </c>
      <c r="CF89" s="3">
        <f>+IF(AVANCE[[#This Row],[PILASTREO]]=AR$2,100%,AVANCE[[#This Row],[PILASTREO]])</f>
        <v>1</v>
      </c>
      <c r="CG89" s="3">
        <f>+IF(AVANCE[[#This Row],[CELOSIAS]]=AS$2,100%,AVANCE[[#This Row],[CELOSIAS]])</f>
        <v>1</v>
      </c>
      <c r="CH89" s="3">
        <f>+IF(AVANCE[[#This Row],[VENTANAS]]=AT$2,100%,AVANCE[[#This Row],[VENTANAS]])</f>
        <v>1</v>
      </c>
      <c r="CI89" s="3">
        <f>+IF(AVANCE[[#This Row],[PUERTAS ACCESO - LOGIA - BANO]]=AU$2,100%,AVANCE[[#This Row],[PUERTAS ACCESO - LOGIA - BANO]])</f>
        <v>1</v>
      </c>
      <c r="CJ89" s="3">
        <f>+IF(AVANCE[[#This Row],[CERRADURAS]]=AV$2,100%,AVANCE[[#This Row],[CERRADURAS]])</f>
        <v>1</v>
      </c>
      <c r="CK89" s="3">
        <f>+IF(AVANCE[[#This Row],[REVESTIMIENTO INTERIOR ZONA SECA]]=AW$2,100%,AVANCE[[#This Row],[REVESTIMIENTO INTERIOR ZONA SECA]])</f>
        <v>1</v>
      </c>
      <c r="CL89" s="3">
        <f>+IF(AVANCE[[#This Row],[REVESTIMIENTO INTERIOR ZONAS HUMEDAS]]=AX$2,100%,AVANCE[[#This Row],[REVESTIMIENTO INTERIOR ZONAS HUMEDAS]])</f>
        <v>1</v>
      </c>
      <c r="CM89" s="3">
        <f>+IF(AVANCE[[#This Row],[MEMBRANA CIELO]]=AY$2,100%,AVANCE[[#This Row],[MEMBRANA CIELO]])</f>
        <v>1</v>
      </c>
      <c r="CN89" s="3">
        <f>+IF(AVANCE[[#This Row],[LIMPIEZA FINAL]]=AZ$2,100%,AVANCE[[#This Row],[LIMPIEZA FINAL]])</f>
        <v>1</v>
      </c>
      <c r="CO89" s="3">
        <f>+IF(AVANCE[[#This Row],[PUERTAS DORMITORIO]]=BA$2,100%,AVANCE[[#This Row],[PUERTAS DORMITORIO]])</f>
        <v>1</v>
      </c>
      <c r="CP89" s="3">
        <f>+IF(AVANCE[[#This Row],[REVESTIMIENTO INTERIOR BANO]]=BB$2,100%,AVANCE[[#This Row],[REVESTIMIENTO INTERIOR BANO]])</f>
        <v>1</v>
      </c>
      <c r="CQ89" s="3">
        <f>+IF(AVANCE[[#This Row],[MUEBLE LAVAPLATOS]]=BC$2,100%,AVANCE[[#This Row],[MUEBLE LAVAPLATOS]])</f>
        <v>1</v>
      </c>
      <c r="CR89" s="3">
        <f>+IF(AVANCE[[#This Row],[IMPERMEABILIZACION BANO - COCINA LOGIA]]=BD$2,100%,AVANCE[[#This Row],[IMPERMEABILIZACION BANO - COCINA LOGIA]])</f>
        <v>1</v>
      </c>
      <c r="CS89" s="40">
        <f ca="1">+IF(AVANCE[[#This Row],[ESTADO MODULO]]="PENDIENTE",(TODAY()-AVANCE[[#This Row],[FECHA TERMINO  PLANIFICADO]]),0)</f>
        <v>0</v>
      </c>
      <c r="CT89" s="41" t="str" cm="1">
        <f t="array" ref="CT89">_xlfn.TEXTJOIN(" | ",TRUE,IF(SUMPRODUCT((BG89:CR89&lt;1)*(PARTIDAS!$I$2:$AT$2="OBRA GRUESA"))&gt;0,"OBRA GRUESA: "&amp;_xlfn.TEXTJOIN(", ",TRUE,IF((BG89:CR89&lt;1)*(PARTIDAS!$I$2:$AT$2="OBRA GRUESA"),PARTIDAS!$I$1:$AT$1,"")),""),IF(SUMPRODUCT((BG89:CR89&lt;1)*(PARTIDAS!$I$2:$AT$2="SANITARIOS"))&gt;0,"SANITARIOS: "&amp;_xlfn.TEXTJOIN(", ",TRUE,IF((BG89:CR89&lt;1)*(PARTIDAS!$I$2:$AT$2="SANITARIOS"),PARTIDAS!$I$1:$AT$1,"")),""),IF(SUMPRODUCT((BG89:CR89&lt;1)*(PARTIDAS!$I$2:$AT$2="ELÉCTRICO"))&gt;0,"ELÉCTRICO: "&amp;_xlfn.TEXTJOIN(", ",TRUE,IF((BG89:CR89&lt;1)*(PARTIDAS!$I$2:$AT$2="ELÉCTRICO"),PARTIDAS!$I$1:$AT$1,"")),""),IF(SUMPRODUCT((BG89:CR89&lt;1)*(PARTIDAS!$I$2:$AT$2="TERMINACIONES"))&gt;0,"TERMINACIONES: "&amp;_xlfn.TEXTJOIN(", ",TRUE,IF((BG89:CR89&lt;1)*(PARTIDAS!$I$2:$AT$2="TERMINACIONES"),PARTIDAS!$I$1:$AT$1,"")),""))</f>
        <v/>
      </c>
      <c r="CU89" s="43" t="str" cm="1">
        <f t="array" ref="CU89">_xlfn.TEXTJOIN(", ",TRUE,IF(SUMPRODUCT((BG89:CR89&lt;1)*(PARTIDAS!$I$2:$AT$2="OBRA GRUESA"))&gt;0,"OBRA GRUESA",""),IF(SUMPRODUCT((BG89:CR89&lt;1)*(PARTIDAS!$I$2:$AT$2="SANITARIOS"))&gt;0,"SANITARIOS",""),IF(SUMPRODUCT((BG89:CR89&lt;1)*(PARTIDAS!$I$2:$AT$2="ELÉCTRICO"))&gt;0,"ELÉCTRICO",""),IF(SUMPRODUCT((BG89:CR89&lt;1)*(PARTIDAS!$I$2:$AT$2="TERMINACIONES"))&gt;0,"TERMINACIONES",""))</f>
        <v/>
      </c>
      <c r="CV89" s="44" cm="1">
        <f t="array" ref="CV89">SUMPRODUCT(--(BG89:CR89&lt;1))</f>
        <v>0</v>
      </c>
    </row>
    <row r="90" spans="1:100" hidden="1" x14ac:dyDescent="0.25">
      <c r="A90" t="s">
        <v>124</v>
      </c>
      <c r="B90" t="s">
        <v>149</v>
      </c>
      <c r="C90">
        <v>2282600089</v>
      </c>
      <c r="D90" t="s">
        <v>58</v>
      </c>
      <c r="E90" s="2">
        <v>0.99999999999999978</v>
      </c>
      <c r="F90" s="1">
        <v>46169</v>
      </c>
      <c r="G90" s="1">
        <v>46178</v>
      </c>
      <c r="H90" s="1">
        <v>46216</v>
      </c>
      <c r="I90" s="1">
        <v>46195</v>
      </c>
      <c r="K90" s="1">
        <v>46216</v>
      </c>
      <c r="L90" s="3">
        <v>0.43</v>
      </c>
      <c r="M90" s="3">
        <v>1</v>
      </c>
      <c r="N90" s="3">
        <v>0.27906976744186046</v>
      </c>
      <c r="O90" s="3">
        <v>0.18604651162790697</v>
      </c>
      <c r="P90" s="3">
        <v>0.2558139534883721</v>
      </c>
      <c r="Q90" s="3">
        <v>0.18604651162790697</v>
      </c>
      <c r="R90" s="3">
        <v>9.3023255813953487E-2</v>
      </c>
      <c r="S90" s="3">
        <v>0.09</v>
      </c>
      <c r="T90" s="3">
        <v>1</v>
      </c>
      <c r="U90" s="3">
        <v>0.22222222222222221</v>
      </c>
      <c r="V90" s="3">
        <v>0.22222222222222221</v>
      </c>
      <c r="W90" s="3">
        <v>0.1111111111111111</v>
      </c>
      <c r="X90" s="3">
        <v>0.1111111111111111</v>
      </c>
      <c r="Y90" s="3">
        <v>0.1111111111111111</v>
      </c>
      <c r="Z90" s="3">
        <v>0.22222222222222221</v>
      </c>
      <c r="AA90" s="3">
        <v>0.11</v>
      </c>
      <c r="AB90" s="3">
        <v>1</v>
      </c>
      <c r="AC90" s="3">
        <v>0.27272727272727271</v>
      </c>
      <c r="AD90" s="3">
        <v>0.27272727272727271</v>
      </c>
      <c r="AE90" s="3">
        <v>9.0909090909090912E-2</v>
      </c>
      <c r="AF90" s="3">
        <v>0.18181818181818182</v>
      </c>
      <c r="AG90" s="3">
        <v>0.18181818181818182</v>
      </c>
      <c r="AH90" s="3">
        <v>0.36999999999999983</v>
      </c>
      <c r="AI90" s="3">
        <v>0.99999999999999956</v>
      </c>
      <c r="AJ90" s="3">
        <v>5.4054054054054036E-2</v>
      </c>
      <c r="AK90" s="3">
        <v>5.4054054054054036E-2</v>
      </c>
      <c r="AL90" s="3">
        <v>2.7027027027027018E-2</v>
      </c>
      <c r="AM90" s="3">
        <v>8.1081081081081058E-2</v>
      </c>
      <c r="AN90" s="3">
        <v>8.1081081081081058E-2</v>
      </c>
      <c r="AO90" s="3">
        <v>6.7567567567567557E-2</v>
      </c>
      <c r="AP90" s="3">
        <v>5.4054054054054036E-2</v>
      </c>
      <c r="AQ90" s="3">
        <v>1.3513513513513509E-2</v>
      </c>
      <c r="AR90" s="3">
        <v>4.0540540540540529E-2</v>
      </c>
      <c r="AS90" s="3">
        <v>1.3513513513513509E-2</v>
      </c>
      <c r="AT90" s="3">
        <v>8.1081081081081058E-2</v>
      </c>
      <c r="AU90" s="3">
        <v>5.4054054054054036E-2</v>
      </c>
      <c r="AV90" s="3">
        <v>2.7027027027027018E-2</v>
      </c>
      <c r="AW90" s="3">
        <v>5.4054054054054036E-2</v>
      </c>
      <c r="AX90" s="3">
        <v>5.4054054054054036E-2</v>
      </c>
      <c r="AY90" s="3">
        <v>2.7027027027027018E-2</v>
      </c>
      <c r="AZ90" s="3">
        <v>4.0540540540540529E-2</v>
      </c>
      <c r="BA90" s="3">
        <v>5.4054054054054036E-2</v>
      </c>
      <c r="BB90" s="3">
        <v>8.1081081081081058E-2</v>
      </c>
      <c r="BC90" s="3">
        <v>1.3513513513513509E-2</v>
      </c>
      <c r="BD90" s="3">
        <v>2.7027027027027018E-2</v>
      </c>
      <c r="BE90">
        <v>28.87</v>
      </c>
      <c r="BF90" s="3" t="str">
        <f>+IF(AVANCE[[#This Row],[% AVANCE]]=100%,"MODULO TERMINADO",IF(AVANCE[[#This Row],[FECHA INICIO REAL]]="","MODULO NO INICIADO","PENDIENTE"))</f>
        <v>MODULO TERMINADO</v>
      </c>
      <c r="BG90" s="3">
        <f>+IF(AVANCE[[#This Row],[VENTANAS]]=8.10810810810811%,100%,AVANCE[[#This Row],[VENTANAS]])</f>
        <v>1</v>
      </c>
      <c r="BH90" s="3">
        <f>+IF(AVANCE[[#This Row],[PISO]]=N$2,100%,AVANCE[[#This Row],[PISO]])</f>
        <v>1</v>
      </c>
      <c r="BI90" s="3">
        <f>+IF(AVANCE[[#This Row],[TABIQUES]]=O$2,100%,AVANCE[[#This Row],[TABIQUES]])</f>
        <v>1</v>
      </c>
      <c r="BJ90" s="3">
        <f>+IF(AVANCE[[#This Row],[MUROS]]=P$2,100%,AVANCE[[#This Row],[MUROS]])</f>
        <v>1</v>
      </c>
      <c r="BK90" s="3">
        <f>+IF(AVANCE[[#This Row],[CIELO]]=Q$2,100%,AVANCE[[#This Row],[CIELO]])</f>
        <v>1</v>
      </c>
      <c r="BL90" s="3">
        <f>+IF(AVANCE[[#This Row],[BALCÓN]]=R$2,100%,AVANCE[[#This Row],[BALCÓN]])</f>
        <v>1</v>
      </c>
      <c r="BM90" s="3">
        <f>+IF(AVANCE[[#This Row],[RED ALCANTARILLADO]]=U$2,100%,AVANCE[[#This Row],[RED ALCANTARILLADO]])</f>
        <v>1</v>
      </c>
      <c r="BN90" s="3">
        <f>+IF(AVANCE[[#This Row],[RED DE AGUA]]=V$2,100%,AVANCE[[#This Row],[RED DE AGUA]])</f>
        <v>1</v>
      </c>
      <c r="BO90" s="3">
        <f>+IF(AVANCE[[#This Row],[VENTILACIONES]]=W$2,100%,AVANCE[[#This Row],[VENTILACIONES]])</f>
        <v>1</v>
      </c>
      <c r="BP90" s="3">
        <f>+IF(AVANCE[[#This Row],[TINA]]=X$2,100%,AVANCE[[#This Row],[TINA]])</f>
        <v>1</v>
      </c>
      <c r="BQ90" s="3">
        <f>+IF(AVANCE[[#This Row],[WC]]=Y$2,100%,AVANCE[[#This Row],[WC]])</f>
        <v>1</v>
      </c>
      <c r="BR90" s="3">
        <f>+IF(AVANCE[[#This Row],[LAVAMANOS / LAVAPLATOS / LAVADERO]]=Z$2,100%,AVANCE[[#This Row],[LAVAMANOS / LAVAPLATOS / LAVADERO]])</f>
        <v>1</v>
      </c>
      <c r="BS90" s="3">
        <f>+IF(AVANCE[[#This Row],[CANALIZACIÓN]]=AC$2,100%,AVANCE[[#This Row],[CANALIZACIÓN]])</f>
        <v>1</v>
      </c>
      <c r="BT90" s="3">
        <f>+IF(AVANCE[[#This Row],[CABLEADO]]=AD$2,100%,AVANCE[[#This Row],[CABLEADO]])</f>
        <v>1</v>
      </c>
      <c r="BU90" s="3">
        <f>+IF(AVANCE[[#This Row],[ARTEFACTOS]]=AE$2,100%,AVANCE[[#This Row],[ARTEFACTOS]])</f>
        <v>1</v>
      </c>
      <c r="BV90" s="3">
        <f>+IF(AVANCE[[#This Row],[TABLERO]]=AF$2,100%,AVANCE[[#This Row],[TABLERO]])</f>
        <v>1</v>
      </c>
      <c r="BW90" s="3">
        <f>+IF(AVANCE[[#This Row],[CAJA PAU]]=AG$2,100%,AVANCE[[#This Row],[CAJA PAU]])</f>
        <v>1</v>
      </c>
      <c r="BX90" s="3">
        <f>+IF(AVANCE[[#This Row],[INSTALACION VINILICO]]=AJ$2,100%,AVANCE[[#This Row],[INSTALACION VINILICO]])</f>
        <v>1</v>
      </c>
      <c r="BY90" s="3">
        <f>+IF(AVANCE[[#This Row],[OSB CUBIERTA]]=AK$2,100%,AVANCE[[#This Row],[OSB CUBIERTA]])</f>
        <v>1</v>
      </c>
      <c r="BZ90" s="3">
        <f>+IF(AVANCE[[#This Row],[BARANDA BALCON]]=AL$2,100%,AVANCE[[#This Row],[BARANDA BALCON]])</f>
        <v>1</v>
      </c>
      <c r="CA90" s="3">
        <f>+IF(AVANCE[[#This Row],[OSB EXTERIOR]]=AM$2,100%,AVANCE[[#This Row],[OSB EXTERIOR]])</f>
        <v>1</v>
      </c>
      <c r="CB90" s="3">
        <f>+IF(AVANCE[[#This Row],[SMART PANEL]]=AN$2,100%,AVANCE[[#This Row],[SMART PANEL]])</f>
        <v>1</v>
      </c>
      <c r="CC90" s="3">
        <f>+IF(AVANCE[[#This Row],[PINTURA EXTERIOR]]=AO$2,100%,AVANCE[[#This Row],[PINTURA EXTERIOR]])</f>
        <v>1</v>
      </c>
      <c r="CD90" s="3">
        <f>+IF(AVANCE[[#This Row],[ZOCALOS LOGIA]]=AP$2,100%,AVANCE[[#This Row],[ZOCALOS LOGIA]])</f>
        <v>1</v>
      </c>
      <c r="CE90" s="3">
        <f>+IF(AVANCE[[#This Row],[MOLDURAS]]=AQ$2,100%,AVANCE[[#This Row],[MOLDURAS]])</f>
        <v>1</v>
      </c>
      <c r="CF90" s="3">
        <f>+IF(AVANCE[[#This Row],[PILASTREO]]=AR$2,100%,AVANCE[[#This Row],[PILASTREO]])</f>
        <v>1</v>
      </c>
      <c r="CG90" s="3">
        <f>+IF(AVANCE[[#This Row],[CELOSIAS]]=AS$2,100%,AVANCE[[#This Row],[CELOSIAS]])</f>
        <v>1</v>
      </c>
      <c r="CH90" s="3">
        <f>+IF(AVANCE[[#This Row],[VENTANAS]]=AT$2,100%,AVANCE[[#This Row],[VENTANAS]])</f>
        <v>1</v>
      </c>
      <c r="CI90" s="3">
        <f>+IF(AVANCE[[#This Row],[PUERTAS ACCESO - LOGIA - BANO]]=AU$2,100%,AVANCE[[#This Row],[PUERTAS ACCESO - LOGIA - BANO]])</f>
        <v>1</v>
      </c>
      <c r="CJ90" s="3">
        <f>+IF(AVANCE[[#This Row],[CERRADURAS]]=AV$2,100%,AVANCE[[#This Row],[CERRADURAS]])</f>
        <v>1</v>
      </c>
      <c r="CK90" s="3">
        <f>+IF(AVANCE[[#This Row],[REVESTIMIENTO INTERIOR ZONA SECA]]=AW$2,100%,AVANCE[[#This Row],[REVESTIMIENTO INTERIOR ZONA SECA]])</f>
        <v>1</v>
      </c>
      <c r="CL90" s="3">
        <f>+IF(AVANCE[[#This Row],[REVESTIMIENTO INTERIOR ZONAS HUMEDAS]]=AX$2,100%,AVANCE[[#This Row],[REVESTIMIENTO INTERIOR ZONAS HUMEDAS]])</f>
        <v>1</v>
      </c>
      <c r="CM90" s="3">
        <f>+IF(AVANCE[[#This Row],[MEMBRANA CIELO]]=AY$2,100%,AVANCE[[#This Row],[MEMBRANA CIELO]])</f>
        <v>1</v>
      </c>
      <c r="CN90" s="3">
        <f>+IF(AVANCE[[#This Row],[LIMPIEZA FINAL]]=AZ$2,100%,AVANCE[[#This Row],[LIMPIEZA FINAL]])</f>
        <v>1</v>
      </c>
      <c r="CO90" s="3">
        <f>+IF(AVANCE[[#This Row],[PUERTAS DORMITORIO]]=BA$2,100%,AVANCE[[#This Row],[PUERTAS DORMITORIO]])</f>
        <v>1</v>
      </c>
      <c r="CP90" s="3">
        <f>+IF(AVANCE[[#This Row],[REVESTIMIENTO INTERIOR BANO]]=BB$2,100%,AVANCE[[#This Row],[REVESTIMIENTO INTERIOR BANO]])</f>
        <v>1</v>
      </c>
      <c r="CQ90" s="3">
        <f>+IF(AVANCE[[#This Row],[MUEBLE LAVAPLATOS]]=BC$2,100%,AVANCE[[#This Row],[MUEBLE LAVAPLATOS]])</f>
        <v>1</v>
      </c>
      <c r="CR90" s="3">
        <f>+IF(AVANCE[[#This Row],[IMPERMEABILIZACION BANO - COCINA LOGIA]]=BD$2,100%,AVANCE[[#This Row],[IMPERMEABILIZACION BANO - COCINA LOGIA]])</f>
        <v>1</v>
      </c>
      <c r="CS90" s="40">
        <f ca="1">+IF(AVANCE[[#This Row],[ESTADO MODULO]]="PENDIENTE",(TODAY()-AVANCE[[#This Row],[FECHA TERMINO  PLANIFICADO]]),0)</f>
        <v>0</v>
      </c>
      <c r="CT90" s="41" t="str" cm="1">
        <f t="array" ref="CT90">_xlfn.TEXTJOIN(" | ",TRUE,IF(SUMPRODUCT((BG90:CR90&lt;1)*(PARTIDAS!$I$2:$AT$2="OBRA GRUESA"))&gt;0,"OBRA GRUESA: "&amp;_xlfn.TEXTJOIN(", ",TRUE,IF((BG90:CR90&lt;1)*(PARTIDAS!$I$2:$AT$2="OBRA GRUESA"),PARTIDAS!$I$1:$AT$1,"")),""),IF(SUMPRODUCT((BG90:CR90&lt;1)*(PARTIDAS!$I$2:$AT$2="SANITARIOS"))&gt;0,"SANITARIOS: "&amp;_xlfn.TEXTJOIN(", ",TRUE,IF((BG90:CR90&lt;1)*(PARTIDAS!$I$2:$AT$2="SANITARIOS"),PARTIDAS!$I$1:$AT$1,"")),""),IF(SUMPRODUCT((BG90:CR90&lt;1)*(PARTIDAS!$I$2:$AT$2="ELÉCTRICO"))&gt;0,"ELÉCTRICO: "&amp;_xlfn.TEXTJOIN(", ",TRUE,IF((BG90:CR90&lt;1)*(PARTIDAS!$I$2:$AT$2="ELÉCTRICO"),PARTIDAS!$I$1:$AT$1,"")),""),IF(SUMPRODUCT((BG90:CR90&lt;1)*(PARTIDAS!$I$2:$AT$2="TERMINACIONES"))&gt;0,"TERMINACIONES: "&amp;_xlfn.TEXTJOIN(", ",TRUE,IF((BG90:CR90&lt;1)*(PARTIDAS!$I$2:$AT$2="TERMINACIONES"),PARTIDAS!$I$1:$AT$1,"")),""))</f>
        <v/>
      </c>
      <c r="CU90" s="43" t="str" cm="1">
        <f t="array" ref="CU90">_xlfn.TEXTJOIN(", ",TRUE,IF(SUMPRODUCT((BG90:CR90&lt;1)*(PARTIDAS!$I$2:$AT$2="OBRA GRUESA"))&gt;0,"OBRA GRUESA",""),IF(SUMPRODUCT((BG90:CR90&lt;1)*(PARTIDAS!$I$2:$AT$2="SANITARIOS"))&gt;0,"SANITARIOS",""),IF(SUMPRODUCT((BG90:CR90&lt;1)*(PARTIDAS!$I$2:$AT$2="ELÉCTRICO"))&gt;0,"ELÉCTRICO",""),IF(SUMPRODUCT((BG90:CR90&lt;1)*(PARTIDAS!$I$2:$AT$2="TERMINACIONES"))&gt;0,"TERMINACIONES",""))</f>
        <v/>
      </c>
      <c r="CV90" s="44" cm="1">
        <f t="array" ref="CV90">SUMPRODUCT(--(BG90:CR90&lt;1))</f>
        <v>0</v>
      </c>
    </row>
    <row r="91" spans="1:100" hidden="1" x14ac:dyDescent="0.25">
      <c r="A91" t="s">
        <v>124</v>
      </c>
      <c r="B91" t="s">
        <v>150</v>
      </c>
      <c r="C91">
        <v>2302600090</v>
      </c>
      <c r="D91" t="s">
        <v>60</v>
      </c>
      <c r="E91" s="2">
        <v>0.99999999999999978</v>
      </c>
      <c r="F91" s="1">
        <v>46169</v>
      </c>
      <c r="G91" s="1">
        <v>46176</v>
      </c>
      <c r="H91" s="1">
        <v>46225</v>
      </c>
      <c r="I91" s="1">
        <v>46205</v>
      </c>
      <c r="K91" s="1">
        <v>46225</v>
      </c>
      <c r="L91" s="3">
        <v>0.43</v>
      </c>
      <c r="M91" s="3">
        <v>1</v>
      </c>
      <c r="N91" s="3">
        <v>0.27906976744186046</v>
      </c>
      <c r="O91" s="3">
        <v>0.18604651162790697</v>
      </c>
      <c r="P91" s="3">
        <v>0.2558139534883721</v>
      </c>
      <c r="Q91" s="3">
        <v>0.18604651162790697</v>
      </c>
      <c r="R91" s="3">
        <v>9.3023255813953487E-2</v>
      </c>
      <c r="S91" s="3">
        <v>0.09</v>
      </c>
      <c r="T91" s="3">
        <v>1</v>
      </c>
      <c r="U91" s="3">
        <v>0.22222222222222221</v>
      </c>
      <c r="V91" s="3">
        <v>0.22222222222222221</v>
      </c>
      <c r="W91" s="3">
        <v>0.1111111111111111</v>
      </c>
      <c r="X91" s="3">
        <v>0.1111111111111111</v>
      </c>
      <c r="Y91" s="3">
        <v>0.1111111111111111</v>
      </c>
      <c r="Z91" s="3">
        <v>0.22222222222222221</v>
      </c>
      <c r="AA91" s="3">
        <v>0.11</v>
      </c>
      <c r="AB91" s="3">
        <v>1</v>
      </c>
      <c r="AC91" s="3">
        <v>0.27272727272727271</v>
      </c>
      <c r="AD91" s="3">
        <v>0.27272727272727271</v>
      </c>
      <c r="AE91" s="3">
        <v>9.0909090909090912E-2</v>
      </c>
      <c r="AF91" s="3">
        <v>0.18181818181818182</v>
      </c>
      <c r="AG91" s="3">
        <v>0.18181818181818182</v>
      </c>
      <c r="AH91" s="3">
        <v>0.36999999999999983</v>
      </c>
      <c r="AI91" s="3">
        <v>0.99999999999999956</v>
      </c>
      <c r="AJ91" s="3">
        <v>5.4054054054054036E-2</v>
      </c>
      <c r="AK91" s="3">
        <v>5.4054054054054036E-2</v>
      </c>
      <c r="AL91" s="3">
        <v>2.7027027027027018E-2</v>
      </c>
      <c r="AM91" s="3">
        <v>8.1081081081081058E-2</v>
      </c>
      <c r="AN91" s="3">
        <v>8.1081081081081058E-2</v>
      </c>
      <c r="AO91" s="3">
        <v>6.7567567567567557E-2</v>
      </c>
      <c r="AP91" s="3">
        <v>5.4054054054054036E-2</v>
      </c>
      <c r="AQ91" s="3">
        <v>1.3513513513513509E-2</v>
      </c>
      <c r="AR91" s="3">
        <v>4.0540540540540529E-2</v>
      </c>
      <c r="AS91" s="3">
        <v>1.3513513513513509E-2</v>
      </c>
      <c r="AT91" s="3">
        <v>8.1081081081081058E-2</v>
      </c>
      <c r="AU91" s="3">
        <v>5.4054054054054036E-2</v>
      </c>
      <c r="AV91" s="3">
        <v>2.7027027027027018E-2</v>
      </c>
      <c r="AW91" s="3">
        <v>5.4054054054054036E-2</v>
      </c>
      <c r="AX91" s="3">
        <v>5.4054054054054036E-2</v>
      </c>
      <c r="AY91" s="3">
        <v>2.7027027027027018E-2</v>
      </c>
      <c r="AZ91" s="3">
        <v>4.0540540540540529E-2</v>
      </c>
      <c r="BA91" s="3">
        <v>5.4054054054054036E-2</v>
      </c>
      <c r="BB91" s="3">
        <v>8.1081081081081058E-2</v>
      </c>
      <c r="BC91" s="3">
        <v>1.3513513513513509E-2</v>
      </c>
      <c r="BD91" s="3">
        <v>2.7027027027027018E-2</v>
      </c>
      <c r="BE91">
        <v>31.32</v>
      </c>
      <c r="BF91" s="3" t="str">
        <f>+IF(AVANCE[[#This Row],[% AVANCE]]=100%,"MODULO TERMINADO",IF(AVANCE[[#This Row],[FECHA INICIO REAL]]="","MODULO NO INICIADO","PENDIENTE"))</f>
        <v>MODULO TERMINADO</v>
      </c>
      <c r="BG91" s="3">
        <f>+IF(AVANCE[[#This Row],[VENTANAS]]=8.10810810810811%,100%,AVANCE[[#This Row],[VENTANAS]])</f>
        <v>1</v>
      </c>
      <c r="BH91" s="3">
        <f>+IF(AVANCE[[#This Row],[PISO]]=N$2,100%,AVANCE[[#This Row],[PISO]])</f>
        <v>1</v>
      </c>
      <c r="BI91" s="3">
        <f>+IF(AVANCE[[#This Row],[TABIQUES]]=O$2,100%,AVANCE[[#This Row],[TABIQUES]])</f>
        <v>1</v>
      </c>
      <c r="BJ91" s="3">
        <f>+IF(AVANCE[[#This Row],[MUROS]]=P$2,100%,AVANCE[[#This Row],[MUROS]])</f>
        <v>1</v>
      </c>
      <c r="BK91" s="3">
        <f>+IF(AVANCE[[#This Row],[CIELO]]=Q$2,100%,AVANCE[[#This Row],[CIELO]])</f>
        <v>1</v>
      </c>
      <c r="BL91" s="3">
        <f>+IF(AVANCE[[#This Row],[BALCÓN]]=R$2,100%,AVANCE[[#This Row],[BALCÓN]])</f>
        <v>1</v>
      </c>
      <c r="BM91" s="3">
        <f>+IF(AVANCE[[#This Row],[RED ALCANTARILLADO]]=U$2,100%,AVANCE[[#This Row],[RED ALCANTARILLADO]])</f>
        <v>1</v>
      </c>
      <c r="BN91" s="3">
        <f>+IF(AVANCE[[#This Row],[RED DE AGUA]]=V$2,100%,AVANCE[[#This Row],[RED DE AGUA]])</f>
        <v>1</v>
      </c>
      <c r="BO91" s="3">
        <f>+IF(AVANCE[[#This Row],[VENTILACIONES]]=W$2,100%,AVANCE[[#This Row],[VENTILACIONES]])</f>
        <v>1</v>
      </c>
      <c r="BP91" s="3">
        <f>+IF(AVANCE[[#This Row],[TINA]]=X$2,100%,AVANCE[[#This Row],[TINA]])</f>
        <v>1</v>
      </c>
      <c r="BQ91" s="3">
        <f>+IF(AVANCE[[#This Row],[WC]]=Y$2,100%,AVANCE[[#This Row],[WC]])</f>
        <v>1</v>
      </c>
      <c r="BR91" s="3">
        <f>+IF(AVANCE[[#This Row],[LAVAMANOS / LAVAPLATOS / LAVADERO]]=Z$2,100%,AVANCE[[#This Row],[LAVAMANOS / LAVAPLATOS / LAVADERO]])</f>
        <v>1</v>
      </c>
      <c r="BS91" s="3">
        <f>+IF(AVANCE[[#This Row],[CANALIZACIÓN]]=AC$2,100%,AVANCE[[#This Row],[CANALIZACIÓN]])</f>
        <v>1</v>
      </c>
      <c r="BT91" s="3">
        <f>+IF(AVANCE[[#This Row],[CABLEADO]]=AD$2,100%,AVANCE[[#This Row],[CABLEADO]])</f>
        <v>1</v>
      </c>
      <c r="BU91" s="3">
        <f>+IF(AVANCE[[#This Row],[ARTEFACTOS]]=AE$2,100%,AVANCE[[#This Row],[ARTEFACTOS]])</f>
        <v>1</v>
      </c>
      <c r="BV91" s="3">
        <f>+IF(AVANCE[[#This Row],[TABLERO]]=AF$2,100%,AVANCE[[#This Row],[TABLERO]])</f>
        <v>1</v>
      </c>
      <c r="BW91" s="3">
        <f>+IF(AVANCE[[#This Row],[CAJA PAU]]=AG$2,100%,AVANCE[[#This Row],[CAJA PAU]])</f>
        <v>1</v>
      </c>
      <c r="BX91" s="3">
        <f>+IF(AVANCE[[#This Row],[INSTALACION VINILICO]]=AJ$2,100%,AVANCE[[#This Row],[INSTALACION VINILICO]])</f>
        <v>1</v>
      </c>
      <c r="BY91" s="3">
        <f>+IF(AVANCE[[#This Row],[OSB CUBIERTA]]=AK$2,100%,AVANCE[[#This Row],[OSB CUBIERTA]])</f>
        <v>1</v>
      </c>
      <c r="BZ91" s="3">
        <f>+IF(AVANCE[[#This Row],[BARANDA BALCON]]=AL$2,100%,AVANCE[[#This Row],[BARANDA BALCON]])</f>
        <v>1</v>
      </c>
      <c r="CA91" s="3">
        <f>+IF(AVANCE[[#This Row],[OSB EXTERIOR]]=AM$2,100%,AVANCE[[#This Row],[OSB EXTERIOR]])</f>
        <v>1</v>
      </c>
      <c r="CB91" s="3">
        <f>+IF(AVANCE[[#This Row],[SMART PANEL]]=AN$2,100%,AVANCE[[#This Row],[SMART PANEL]])</f>
        <v>1</v>
      </c>
      <c r="CC91" s="3">
        <f>+IF(AVANCE[[#This Row],[PINTURA EXTERIOR]]=AO$2,100%,AVANCE[[#This Row],[PINTURA EXTERIOR]])</f>
        <v>1</v>
      </c>
      <c r="CD91" s="3">
        <f>+IF(AVANCE[[#This Row],[ZOCALOS LOGIA]]=AP$2,100%,AVANCE[[#This Row],[ZOCALOS LOGIA]])</f>
        <v>1</v>
      </c>
      <c r="CE91" s="3">
        <f>+IF(AVANCE[[#This Row],[MOLDURAS]]=AQ$2,100%,AVANCE[[#This Row],[MOLDURAS]])</f>
        <v>1</v>
      </c>
      <c r="CF91" s="3">
        <f>+IF(AVANCE[[#This Row],[PILASTREO]]=AR$2,100%,AVANCE[[#This Row],[PILASTREO]])</f>
        <v>1</v>
      </c>
      <c r="CG91" s="3">
        <f>+IF(AVANCE[[#This Row],[CELOSIAS]]=AS$2,100%,AVANCE[[#This Row],[CELOSIAS]])</f>
        <v>1</v>
      </c>
      <c r="CH91" s="3">
        <f>+IF(AVANCE[[#This Row],[VENTANAS]]=AT$2,100%,AVANCE[[#This Row],[VENTANAS]])</f>
        <v>1</v>
      </c>
      <c r="CI91" s="3">
        <f>+IF(AVANCE[[#This Row],[PUERTAS ACCESO - LOGIA - BANO]]=AU$2,100%,AVANCE[[#This Row],[PUERTAS ACCESO - LOGIA - BANO]])</f>
        <v>1</v>
      </c>
      <c r="CJ91" s="3">
        <f>+IF(AVANCE[[#This Row],[CERRADURAS]]=AV$2,100%,AVANCE[[#This Row],[CERRADURAS]])</f>
        <v>1</v>
      </c>
      <c r="CK91" s="3">
        <f>+IF(AVANCE[[#This Row],[REVESTIMIENTO INTERIOR ZONA SECA]]=AW$2,100%,AVANCE[[#This Row],[REVESTIMIENTO INTERIOR ZONA SECA]])</f>
        <v>1</v>
      </c>
      <c r="CL91" s="3">
        <f>+IF(AVANCE[[#This Row],[REVESTIMIENTO INTERIOR ZONAS HUMEDAS]]=AX$2,100%,AVANCE[[#This Row],[REVESTIMIENTO INTERIOR ZONAS HUMEDAS]])</f>
        <v>1</v>
      </c>
      <c r="CM91" s="3">
        <f>+IF(AVANCE[[#This Row],[MEMBRANA CIELO]]=AY$2,100%,AVANCE[[#This Row],[MEMBRANA CIELO]])</f>
        <v>1</v>
      </c>
      <c r="CN91" s="3">
        <f>+IF(AVANCE[[#This Row],[LIMPIEZA FINAL]]=AZ$2,100%,AVANCE[[#This Row],[LIMPIEZA FINAL]])</f>
        <v>1</v>
      </c>
      <c r="CO91" s="3">
        <f>+IF(AVANCE[[#This Row],[PUERTAS DORMITORIO]]=BA$2,100%,AVANCE[[#This Row],[PUERTAS DORMITORIO]])</f>
        <v>1</v>
      </c>
      <c r="CP91" s="3">
        <f>+IF(AVANCE[[#This Row],[REVESTIMIENTO INTERIOR BANO]]=BB$2,100%,AVANCE[[#This Row],[REVESTIMIENTO INTERIOR BANO]])</f>
        <v>1</v>
      </c>
      <c r="CQ91" s="3">
        <f>+IF(AVANCE[[#This Row],[MUEBLE LAVAPLATOS]]=BC$2,100%,AVANCE[[#This Row],[MUEBLE LAVAPLATOS]])</f>
        <v>1</v>
      </c>
      <c r="CR91" s="3">
        <f>+IF(AVANCE[[#This Row],[IMPERMEABILIZACION BANO - COCINA LOGIA]]=BD$2,100%,AVANCE[[#This Row],[IMPERMEABILIZACION BANO - COCINA LOGIA]])</f>
        <v>1</v>
      </c>
      <c r="CS91" s="40">
        <f ca="1">+IF(AVANCE[[#This Row],[ESTADO MODULO]]="PENDIENTE",(TODAY()-AVANCE[[#This Row],[FECHA TERMINO  PLANIFICADO]]),0)</f>
        <v>0</v>
      </c>
      <c r="CT91" s="41" t="str" cm="1">
        <f t="array" ref="CT91">_xlfn.TEXTJOIN(" | ",TRUE,IF(SUMPRODUCT((BG91:CR91&lt;1)*(PARTIDAS!$I$2:$AT$2="OBRA GRUESA"))&gt;0,"OBRA GRUESA: "&amp;_xlfn.TEXTJOIN(", ",TRUE,IF((BG91:CR91&lt;1)*(PARTIDAS!$I$2:$AT$2="OBRA GRUESA"),PARTIDAS!$I$1:$AT$1,"")),""),IF(SUMPRODUCT((BG91:CR91&lt;1)*(PARTIDAS!$I$2:$AT$2="SANITARIOS"))&gt;0,"SANITARIOS: "&amp;_xlfn.TEXTJOIN(", ",TRUE,IF((BG91:CR91&lt;1)*(PARTIDAS!$I$2:$AT$2="SANITARIOS"),PARTIDAS!$I$1:$AT$1,"")),""),IF(SUMPRODUCT((BG91:CR91&lt;1)*(PARTIDAS!$I$2:$AT$2="ELÉCTRICO"))&gt;0,"ELÉCTRICO: "&amp;_xlfn.TEXTJOIN(", ",TRUE,IF((BG91:CR91&lt;1)*(PARTIDAS!$I$2:$AT$2="ELÉCTRICO"),PARTIDAS!$I$1:$AT$1,"")),""),IF(SUMPRODUCT((BG91:CR91&lt;1)*(PARTIDAS!$I$2:$AT$2="TERMINACIONES"))&gt;0,"TERMINACIONES: "&amp;_xlfn.TEXTJOIN(", ",TRUE,IF((BG91:CR91&lt;1)*(PARTIDAS!$I$2:$AT$2="TERMINACIONES"),PARTIDAS!$I$1:$AT$1,"")),""))</f>
        <v/>
      </c>
      <c r="CU91" s="43" t="str" cm="1">
        <f t="array" ref="CU91">_xlfn.TEXTJOIN(", ",TRUE,IF(SUMPRODUCT((BG91:CR91&lt;1)*(PARTIDAS!$I$2:$AT$2="OBRA GRUESA"))&gt;0,"OBRA GRUESA",""),IF(SUMPRODUCT((BG91:CR91&lt;1)*(PARTIDAS!$I$2:$AT$2="SANITARIOS"))&gt;0,"SANITARIOS",""),IF(SUMPRODUCT((BG91:CR91&lt;1)*(PARTIDAS!$I$2:$AT$2="ELÉCTRICO"))&gt;0,"ELÉCTRICO",""),IF(SUMPRODUCT((BG91:CR91&lt;1)*(PARTIDAS!$I$2:$AT$2="TERMINACIONES"))&gt;0,"TERMINACIONES",""))</f>
        <v/>
      </c>
      <c r="CV91" s="44" cm="1">
        <f t="array" ref="CV91">SUMPRODUCT(--(BG91:CR91&lt;1))</f>
        <v>0</v>
      </c>
    </row>
    <row r="92" spans="1:100" hidden="1" x14ac:dyDescent="0.25">
      <c r="A92" t="s">
        <v>124</v>
      </c>
      <c r="B92" t="s">
        <v>151</v>
      </c>
      <c r="C92">
        <v>2302600091</v>
      </c>
      <c r="D92" t="s">
        <v>60</v>
      </c>
      <c r="E92" s="2">
        <v>0.99999999999999978</v>
      </c>
      <c r="F92" s="1">
        <v>46170</v>
      </c>
      <c r="G92" s="1">
        <v>46181</v>
      </c>
      <c r="H92" s="1">
        <v>46225</v>
      </c>
      <c r="I92" s="1">
        <v>46206</v>
      </c>
      <c r="K92" s="1">
        <v>46225</v>
      </c>
      <c r="L92" s="3">
        <v>0.43</v>
      </c>
      <c r="M92" s="3">
        <v>1</v>
      </c>
      <c r="N92" s="3">
        <v>0.27906976744186046</v>
      </c>
      <c r="O92" s="3">
        <v>0.18604651162790697</v>
      </c>
      <c r="P92" s="3">
        <v>0.2558139534883721</v>
      </c>
      <c r="Q92" s="3">
        <v>0.18604651162790697</v>
      </c>
      <c r="R92" s="3">
        <v>9.3023255813953487E-2</v>
      </c>
      <c r="S92" s="3">
        <v>0.09</v>
      </c>
      <c r="T92" s="3">
        <v>1</v>
      </c>
      <c r="U92" s="3">
        <v>0.22222222222222221</v>
      </c>
      <c r="V92" s="3">
        <v>0.22222222222222221</v>
      </c>
      <c r="W92" s="3">
        <v>0.1111111111111111</v>
      </c>
      <c r="X92" s="3">
        <v>0.1111111111111111</v>
      </c>
      <c r="Y92" s="3">
        <v>0.1111111111111111</v>
      </c>
      <c r="Z92" s="3">
        <v>0.22222222222222221</v>
      </c>
      <c r="AA92" s="3">
        <v>0.11</v>
      </c>
      <c r="AB92" s="3">
        <v>1</v>
      </c>
      <c r="AC92" s="3">
        <v>0.27272727272727271</v>
      </c>
      <c r="AD92" s="3">
        <v>0.27272727272727271</v>
      </c>
      <c r="AE92" s="3">
        <v>9.0909090909090912E-2</v>
      </c>
      <c r="AF92" s="3">
        <v>0.18181818181818182</v>
      </c>
      <c r="AG92" s="3">
        <v>0.18181818181818182</v>
      </c>
      <c r="AH92" s="3">
        <v>0.36999999999999983</v>
      </c>
      <c r="AI92" s="3">
        <v>0.99999999999999956</v>
      </c>
      <c r="AJ92" s="3">
        <v>5.4054054054054036E-2</v>
      </c>
      <c r="AK92" s="3">
        <v>5.4054054054054036E-2</v>
      </c>
      <c r="AL92" s="3">
        <v>2.7027027027027018E-2</v>
      </c>
      <c r="AM92" s="3">
        <v>8.1081081081081058E-2</v>
      </c>
      <c r="AN92" s="3">
        <v>8.1081081081081058E-2</v>
      </c>
      <c r="AO92" s="3">
        <v>6.7567567567567557E-2</v>
      </c>
      <c r="AP92" s="3">
        <v>5.4054054054054036E-2</v>
      </c>
      <c r="AQ92" s="3">
        <v>1.3513513513513509E-2</v>
      </c>
      <c r="AR92" s="3">
        <v>4.0540540540540529E-2</v>
      </c>
      <c r="AS92" s="3">
        <v>1.3513513513513509E-2</v>
      </c>
      <c r="AT92" s="3">
        <v>8.1081081081081058E-2</v>
      </c>
      <c r="AU92" s="3">
        <v>5.4054054054054036E-2</v>
      </c>
      <c r="AV92" s="3">
        <v>2.7027027027027018E-2</v>
      </c>
      <c r="AW92" s="3">
        <v>5.4054054054054036E-2</v>
      </c>
      <c r="AX92" s="3">
        <v>5.4054054054054036E-2</v>
      </c>
      <c r="AY92" s="3">
        <v>2.7027027027027018E-2</v>
      </c>
      <c r="AZ92" s="3">
        <v>4.0540540540540529E-2</v>
      </c>
      <c r="BA92" s="3">
        <v>5.4054054054054036E-2</v>
      </c>
      <c r="BB92" s="3">
        <v>8.1081081081081058E-2</v>
      </c>
      <c r="BC92" s="3">
        <v>1.3513513513513509E-2</v>
      </c>
      <c r="BD92" s="3">
        <v>2.7027027027027018E-2</v>
      </c>
      <c r="BE92">
        <v>31.32</v>
      </c>
      <c r="BF92" s="3" t="str">
        <f>+IF(AVANCE[[#This Row],[% AVANCE]]=100%,"MODULO TERMINADO",IF(AVANCE[[#This Row],[FECHA INICIO REAL]]="","MODULO NO INICIADO","PENDIENTE"))</f>
        <v>MODULO TERMINADO</v>
      </c>
      <c r="BG92" s="3">
        <f>+IF(AVANCE[[#This Row],[VENTANAS]]=8.10810810810811%,100%,AVANCE[[#This Row],[VENTANAS]])</f>
        <v>1</v>
      </c>
      <c r="BH92" s="3">
        <f>+IF(AVANCE[[#This Row],[PISO]]=N$2,100%,AVANCE[[#This Row],[PISO]])</f>
        <v>1</v>
      </c>
      <c r="BI92" s="3">
        <f>+IF(AVANCE[[#This Row],[TABIQUES]]=O$2,100%,AVANCE[[#This Row],[TABIQUES]])</f>
        <v>1</v>
      </c>
      <c r="BJ92" s="3">
        <f>+IF(AVANCE[[#This Row],[MUROS]]=P$2,100%,AVANCE[[#This Row],[MUROS]])</f>
        <v>1</v>
      </c>
      <c r="BK92" s="3">
        <f>+IF(AVANCE[[#This Row],[CIELO]]=Q$2,100%,AVANCE[[#This Row],[CIELO]])</f>
        <v>1</v>
      </c>
      <c r="BL92" s="3">
        <f>+IF(AVANCE[[#This Row],[BALCÓN]]=R$2,100%,AVANCE[[#This Row],[BALCÓN]])</f>
        <v>1</v>
      </c>
      <c r="BM92" s="3">
        <f>+IF(AVANCE[[#This Row],[RED ALCANTARILLADO]]=U$2,100%,AVANCE[[#This Row],[RED ALCANTARILLADO]])</f>
        <v>1</v>
      </c>
      <c r="BN92" s="3">
        <f>+IF(AVANCE[[#This Row],[RED DE AGUA]]=V$2,100%,AVANCE[[#This Row],[RED DE AGUA]])</f>
        <v>1</v>
      </c>
      <c r="BO92" s="3">
        <f>+IF(AVANCE[[#This Row],[VENTILACIONES]]=W$2,100%,AVANCE[[#This Row],[VENTILACIONES]])</f>
        <v>1</v>
      </c>
      <c r="BP92" s="3">
        <f>+IF(AVANCE[[#This Row],[TINA]]=X$2,100%,AVANCE[[#This Row],[TINA]])</f>
        <v>1</v>
      </c>
      <c r="BQ92" s="3">
        <f>+IF(AVANCE[[#This Row],[WC]]=Y$2,100%,AVANCE[[#This Row],[WC]])</f>
        <v>1</v>
      </c>
      <c r="BR92" s="3">
        <f>+IF(AVANCE[[#This Row],[LAVAMANOS / LAVAPLATOS / LAVADERO]]=Z$2,100%,AVANCE[[#This Row],[LAVAMANOS / LAVAPLATOS / LAVADERO]])</f>
        <v>1</v>
      </c>
      <c r="BS92" s="3">
        <f>+IF(AVANCE[[#This Row],[CANALIZACIÓN]]=AC$2,100%,AVANCE[[#This Row],[CANALIZACIÓN]])</f>
        <v>1</v>
      </c>
      <c r="BT92" s="3">
        <f>+IF(AVANCE[[#This Row],[CABLEADO]]=AD$2,100%,AVANCE[[#This Row],[CABLEADO]])</f>
        <v>1</v>
      </c>
      <c r="BU92" s="3">
        <f>+IF(AVANCE[[#This Row],[ARTEFACTOS]]=AE$2,100%,AVANCE[[#This Row],[ARTEFACTOS]])</f>
        <v>1</v>
      </c>
      <c r="BV92" s="3">
        <f>+IF(AVANCE[[#This Row],[TABLERO]]=AF$2,100%,AVANCE[[#This Row],[TABLERO]])</f>
        <v>1</v>
      </c>
      <c r="BW92" s="3">
        <f>+IF(AVANCE[[#This Row],[CAJA PAU]]=AG$2,100%,AVANCE[[#This Row],[CAJA PAU]])</f>
        <v>1</v>
      </c>
      <c r="BX92" s="3">
        <f>+IF(AVANCE[[#This Row],[INSTALACION VINILICO]]=AJ$2,100%,AVANCE[[#This Row],[INSTALACION VINILICO]])</f>
        <v>1</v>
      </c>
      <c r="BY92" s="3">
        <f>+IF(AVANCE[[#This Row],[OSB CUBIERTA]]=AK$2,100%,AVANCE[[#This Row],[OSB CUBIERTA]])</f>
        <v>1</v>
      </c>
      <c r="BZ92" s="3">
        <f>+IF(AVANCE[[#This Row],[BARANDA BALCON]]=AL$2,100%,AVANCE[[#This Row],[BARANDA BALCON]])</f>
        <v>1</v>
      </c>
      <c r="CA92" s="3">
        <f>+IF(AVANCE[[#This Row],[OSB EXTERIOR]]=AM$2,100%,AVANCE[[#This Row],[OSB EXTERIOR]])</f>
        <v>1</v>
      </c>
      <c r="CB92" s="3">
        <f>+IF(AVANCE[[#This Row],[SMART PANEL]]=AN$2,100%,AVANCE[[#This Row],[SMART PANEL]])</f>
        <v>1</v>
      </c>
      <c r="CC92" s="3">
        <f>+IF(AVANCE[[#This Row],[PINTURA EXTERIOR]]=AO$2,100%,AVANCE[[#This Row],[PINTURA EXTERIOR]])</f>
        <v>1</v>
      </c>
      <c r="CD92" s="3">
        <f>+IF(AVANCE[[#This Row],[ZOCALOS LOGIA]]=AP$2,100%,AVANCE[[#This Row],[ZOCALOS LOGIA]])</f>
        <v>1</v>
      </c>
      <c r="CE92" s="3">
        <f>+IF(AVANCE[[#This Row],[MOLDURAS]]=AQ$2,100%,AVANCE[[#This Row],[MOLDURAS]])</f>
        <v>1</v>
      </c>
      <c r="CF92" s="3">
        <f>+IF(AVANCE[[#This Row],[PILASTREO]]=AR$2,100%,AVANCE[[#This Row],[PILASTREO]])</f>
        <v>1</v>
      </c>
      <c r="CG92" s="3">
        <f>+IF(AVANCE[[#This Row],[CELOSIAS]]=AS$2,100%,AVANCE[[#This Row],[CELOSIAS]])</f>
        <v>1</v>
      </c>
      <c r="CH92" s="3">
        <f>+IF(AVANCE[[#This Row],[VENTANAS]]=AT$2,100%,AVANCE[[#This Row],[VENTANAS]])</f>
        <v>1</v>
      </c>
      <c r="CI92" s="3">
        <f>+IF(AVANCE[[#This Row],[PUERTAS ACCESO - LOGIA - BANO]]=AU$2,100%,AVANCE[[#This Row],[PUERTAS ACCESO - LOGIA - BANO]])</f>
        <v>1</v>
      </c>
      <c r="CJ92" s="3">
        <f>+IF(AVANCE[[#This Row],[CERRADURAS]]=AV$2,100%,AVANCE[[#This Row],[CERRADURAS]])</f>
        <v>1</v>
      </c>
      <c r="CK92" s="3">
        <f>+IF(AVANCE[[#This Row],[REVESTIMIENTO INTERIOR ZONA SECA]]=AW$2,100%,AVANCE[[#This Row],[REVESTIMIENTO INTERIOR ZONA SECA]])</f>
        <v>1</v>
      </c>
      <c r="CL92" s="3">
        <f>+IF(AVANCE[[#This Row],[REVESTIMIENTO INTERIOR ZONAS HUMEDAS]]=AX$2,100%,AVANCE[[#This Row],[REVESTIMIENTO INTERIOR ZONAS HUMEDAS]])</f>
        <v>1</v>
      </c>
      <c r="CM92" s="3">
        <f>+IF(AVANCE[[#This Row],[MEMBRANA CIELO]]=AY$2,100%,AVANCE[[#This Row],[MEMBRANA CIELO]])</f>
        <v>1</v>
      </c>
      <c r="CN92" s="3">
        <f>+IF(AVANCE[[#This Row],[LIMPIEZA FINAL]]=AZ$2,100%,AVANCE[[#This Row],[LIMPIEZA FINAL]])</f>
        <v>1</v>
      </c>
      <c r="CO92" s="3">
        <f>+IF(AVANCE[[#This Row],[PUERTAS DORMITORIO]]=BA$2,100%,AVANCE[[#This Row],[PUERTAS DORMITORIO]])</f>
        <v>1</v>
      </c>
      <c r="CP92" s="3">
        <f>+IF(AVANCE[[#This Row],[REVESTIMIENTO INTERIOR BANO]]=BB$2,100%,AVANCE[[#This Row],[REVESTIMIENTO INTERIOR BANO]])</f>
        <v>1</v>
      </c>
      <c r="CQ92" s="3">
        <f>+IF(AVANCE[[#This Row],[MUEBLE LAVAPLATOS]]=BC$2,100%,AVANCE[[#This Row],[MUEBLE LAVAPLATOS]])</f>
        <v>1</v>
      </c>
      <c r="CR92" s="3">
        <f>+IF(AVANCE[[#This Row],[IMPERMEABILIZACION BANO - COCINA LOGIA]]=BD$2,100%,AVANCE[[#This Row],[IMPERMEABILIZACION BANO - COCINA LOGIA]])</f>
        <v>1</v>
      </c>
      <c r="CS92" s="40">
        <f ca="1">+IF(AVANCE[[#This Row],[ESTADO MODULO]]="PENDIENTE",(TODAY()-AVANCE[[#This Row],[FECHA TERMINO  PLANIFICADO]]),0)</f>
        <v>0</v>
      </c>
      <c r="CT92" s="41" t="str" cm="1">
        <f t="array" ref="CT92">_xlfn.TEXTJOIN(" | ",TRUE,IF(SUMPRODUCT((BG92:CR92&lt;1)*(PARTIDAS!$I$2:$AT$2="OBRA GRUESA"))&gt;0,"OBRA GRUESA: "&amp;_xlfn.TEXTJOIN(", ",TRUE,IF((BG92:CR92&lt;1)*(PARTIDAS!$I$2:$AT$2="OBRA GRUESA"),PARTIDAS!$I$1:$AT$1,"")),""),IF(SUMPRODUCT((BG92:CR92&lt;1)*(PARTIDAS!$I$2:$AT$2="SANITARIOS"))&gt;0,"SANITARIOS: "&amp;_xlfn.TEXTJOIN(", ",TRUE,IF((BG92:CR92&lt;1)*(PARTIDAS!$I$2:$AT$2="SANITARIOS"),PARTIDAS!$I$1:$AT$1,"")),""),IF(SUMPRODUCT((BG92:CR92&lt;1)*(PARTIDAS!$I$2:$AT$2="ELÉCTRICO"))&gt;0,"ELÉCTRICO: "&amp;_xlfn.TEXTJOIN(", ",TRUE,IF((BG92:CR92&lt;1)*(PARTIDAS!$I$2:$AT$2="ELÉCTRICO"),PARTIDAS!$I$1:$AT$1,"")),""),IF(SUMPRODUCT((BG92:CR92&lt;1)*(PARTIDAS!$I$2:$AT$2="TERMINACIONES"))&gt;0,"TERMINACIONES: "&amp;_xlfn.TEXTJOIN(", ",TRUE,IF((BG92:CR92&lt;1)*(PARTIDAS!$I$2:$AT$2="TERMINACIONES"),PARTIDAS!$I$1:$AT$1,"")),""))</f>
        <v/>
      </c>
      <c r="CU92" s="43" t="str" cm="1">
        <f t="array" ref="CU92">_xlfn.TEXTJOIN(", ",TRUE,IF(SUMPRODUCT((BG92:CR92&lt;1)*(PARTIDAS!$I$2:$AT$2="OBRA GRUESA"))&gt;0,"OBRA GRUESA",""),IF(SUMPRODUCT((BG92:CR92&lt;1)*(PARTIDAS!$I$2:$AT$2="SANITARIOS"))&gt;0,"SANITARIOS",""),IF(SUMPRODUCT((BG92:CR92&lt;1)*(PARTIDAS!$I$2:$AT$2="ELÉCTRICO"))&gt;0,"ELÉCTRICO",""),IF(SUMPRODUCT((BG92:CR92&lt;1)*(PARTIDAS!$I$2:$AT$2="TERMINACIONES"))&gt;0,"TERMINACIONES",""))</f>
        <v/>
      </c>
      <c r="CV92" s="44" cm="1">
        <f t="array" ref="CV92">SUMPRODUCT(--(BG92:CR92&lt;1))</f>
        <v>0</v>
      </c>
    </row>
    <row r="93" spans="1:100" hidden="1" x14ac:dyDescent="0.25">
      <c r="A93" t="s">
        <v>124</v>
      </c>
      <c r="B93" t="s">
        <v>152</v>
      </c>
      <c r="C93">
        <v>2282600092</v>
      </c>
      <c r="D93" t="s">
        <v>58</v>
      </c>
      <c r="E93" s="2">
        <v>0.99999999999999978</v>
      </c>
      <c r="F93" s="1">
        <v>46170</v>
      </c>
      <c r="G93" s="1">
        <v>46184</v>
      </c>
      <c r="H93" s="1">
        <v>46218</v>
      </c>
      <c r="I93" s="1">
        <v>46196</v>
      </c>
      <c r="K93" s="1">
        <v>46218</v>
      </c>
      <c r="L93" s="3">
        <v>0.43</v>
      </c>
      <c r="M93" s="3">
        <v>1</v>
      </c>
      <c r="N93" s="3">
        <v>0.27906976744186046</v>
      </c>
      <c r="O93" s="3">
        <v>0.18604651162790697</v>
      </c>
      <c r="P93" s="3">
        <v>0.2558139534883721</v>
      </c>
      <c r="Q93" s="3">
        <v>0.18604651162790697</v>
      </c>
      <c r="R93" s="3">
        <v>9.3023255813953487E-2</v>
      </c>
      <c r="S93" s="3">
        <v>0.09</v>
      </c>
      <c r="T93" s="3">
        <v>1</v>
      </c>
      <c r="U93" s="3">
        <v>0.22222222222222221</v>
      </c>
      <c r="V93" s="3">
        <v>0.22222222222222221</v>
      </c>
      <c r="W93" s="3">
        <v>0.1111111111111111</v>
      </c>
      <c r="X93" s="3">
        <v>0.1111111111111111</v>
      </c>
      <c r="Y93" s="3">
        <v>0.1111111111111111</v>
      </c>
      <c r="Z93" s="3">
        <v>0.22222222222222221</v>
      </c>
      <c r="AA93" s="3">
        <v>0.11</v>
      </c>
      <c r="AB93" s="3">
        <v>1</v>
      </c>
      <c r="AC93" s="3">
        <v>0.27272727272727271</v>
      </c>
      <c r="AD93" s="3">
        <v>0.27272727272727271</v>
      </c>
      <c r="AE93" s="3">
        <v>9.0909090909090912E-2</v>
      </c>
      <c r="AF93" s="3">
        <v>0.18181818181818182</v>
      </c>
      <c r="AG93" s="3">
        <v>0.18181818181818182</v>
      </c>
      <c r="AH93" s="3">
        <v>0.36999999999999983</v>
      </c>
      <c r="AI93" s="3">
        <v>0.99999999999999956</v>
      </c>
      <c r="AJ93" s="3">
        <v>5.4054054054054036E-2</v>
      </c>
      <c r="AK93" s="3">
        <v>5.4054054054054036E-2</v>
      </c>
      <c r="AL93" s="3">
        <v>2.7027027027027018E-2</v>
      </c>
      <c r="AM93" s="3">
        <v>8.1081081081081058E-2</v>
      </c>
      <c r="AN93" s="3">
        <v>8.1081081081081058E-2</v>
      </c>
      <c r="AO93" s="3">
        <v>6.7567567567567557E-2</v>
      </c>
      <c r="AP93" s="3">
        <v>5.4054054054054036E-2</v>
      </c>
      <c r="AQ93" s="3">
        <v>1.3513513513513509E-2</v>
      </c>
      <c r="AR93" s="3">
        <v>4.0540540540540529E-2</v>
      </c>
      <c r="AS93" s="3">
        <v>1.3513513513513509E-2</v>
      </c>
      <c r="AT93" s="3">
        <v>8.1081081081081058E-2</v>
      </c>
      <c r="AU93" s="3">
        <v>5.4054054054054036E-2</v>
      </c>
      <c r="AV93" s="3">
        <v>2.7027027027027018E-2</v>
      </c>
      <c r="AW93" s="3">
        <v>5.4054054054054036E-2</v>
      </c>
      <c r="AX93" s="3">
        <v>5.4054054054054036E-2</v>
      </c>
      <c r="AY93" s="3">
        <v>2.7027027027027018E-2</v>
      </c>
      <c r="AZ93" s="3">
        <v>4.0540540540540529E-2</v>
      </c>
      <c r="BA93" s="3">
        <v>5.4054054054054036E-2</v>
      </c>
      <c r="BB93" s="3">
        <v>8.1081081081081058E-2</v>
      </c>
      <c r="BC93" s="3">
        <v>1.3513513513513509E-2</v>
      </c>
      <c r="BD93" s="3">
        <v>2.7027027027027018E-2</v>
      </c>
      <c r="BE93">
        <v>28.87</v>
      </c>
      <c r="BF93" s="3" t="str">
        <f>+IF(AVANCE[[#This Row],[% AVANCE]]=100%,"MODULO TERMINADO",IF(AVANCE[[#This Row],[FECHA INICIO REAL]]="","MODULO NO INICIADO","PENDIENTE"))</f>
        <v>MODULO TERMINADO</v>
      </c>
      <c r="BG93" s="3">
        <f>+IF(AVANCE[[#This Row],[VENTANAS]]=8.10810810810811%,100%,AVANCE[[#This Row],[VENTANAS]])</f>
        <v>1</v>
      </c>
      <c r="BH93" s="3">
        <f>+IF(AVANCE[[#This Row],[PISO]]=N$2,100%,AVANCE[[#This Row],[PISO]])</f>
        <v>1</v>
      </c>
      <c r="BI93" s="3">
        <f>+IF(AVANCE[[#This Row],[TABIQUES]]=O$2,100%,AVANCE[[#This Row],[TABIQUES]])</f>
        <v>1</v>
      </c>
      <c r="BJ93" s="3">
        <f>+IF(AVANCE[[#This Row],[MUROS]]=P$2,100%,AVANCE[[#This Row],[MUROS]])</f>
        <v>1</v>
      </c>
      <c r="BK93" s="3">
        <f>+IF(AVANCE[[#This Row],[CIELO]]=Q$2,100%,AVANCE[[#This Row],[CIELO]])</f>
        <v>1</v>
      </c>
      <c r="BL93" s="3">
        <f>+IF(AVANCE[[#This Row],[BALCÓN]]=R$2,100%,AVANCE[[#This Row],[BALCÓN]])</f>
        <v>1</v>
      </c>
      <c r="BM93" s="3">
        <f>+IF(AVANCE[[#This Row],[RED ALCANTARILLADO]]=U$2,100%,AVANCE[[#This Row],[RED ALCANTARILLADO]])</f>
        <v>1</v>
      </c>
      <c r="BN93" s="3">
        <f>+IF(AVANCE[[#This Row],[RED DE AGUA]]=V$2,100%,AVANCE[[#This Row],[RED DE AGUA]])</f>
        <v>1</v>
      </c>
      <c r="BO93" s="3">
        <f>+IF(AVANCE[[#This Row],[VENTILACIONES]]=W$2,100%,AVANCE[[#This Row],[VENTILACIONES]])</f>
        <v>1</v>
      </c>
      <c r="BP93" s="3">
        <f>+IF(AVANCE[[#This Row],[TINA]]=X$2,100%,AVANCE[[#This Row],[TINA]])</f>
        <v>1</v>
      </c>
      <c r="BQ93" s="3">
        <f>+IF(AVANCE[[#This Row],[WC]]=Y$2,100%,AVANCE[[#This Row],[WC]])</f>
        <v>1</v>
      </c>
      <c r="BR93" s="3">
        <f>+IF(AVANCE[[#This Row],[LAVAMANOS / LAVAPLATOS / LAVADERO]]=Z$2,100%,AVANCE[[#This Row],[LAVAMANOS / LAVAPLATOS / LAVADERO]])</f>
        <v>1</v>
      </c>
      <c r="BS93" s="3">
        <f>+IF(AVANCE[[#This Row],[CANALIZACIÓN]]=AC$2,100%,AVANCE[[#This Row],[CANALIZACIÓN]])</f>
        <v>1</v>
      </c>
      <c r="BT93" s="3">
        <f>+IF(AVANCE[[#This Row],[CABLEADO]]=AD$2,100%,AVANCE[[#This Row],[CABLEADO]])</f>
        <v>1</v>
      </c>
      <c r="BU93" s="3">
        <f>+IF(AVANCE[[#This Row],[ARTEFACTOS]]=AE$2,100%,AVANCE[[#This Row],[ARTEFACTOS]])</f>
        <v>1</v>
      </c>
      <c r="BV93" s="3">
        <f>+IF(AVANCE[[#This Row],[TABLERO]]=AF$2,100%,AVANCE[[#This Row],[TABLERO]])</f>
        <v>1</v>
      </c>
      <c r="BW93" s="3">
        <f>+IF(AVANCE[[#This Row],[CAJA PAU]]=AG$2,100%,AVANCE[[#This Row],[CAJA PAU]])</f>
        <v>1</v>
      </c>
      <c r="BX93" s="3">
        <f>+IF(AVANCE[[#This Row],[INSTALACION VINILICO]]=AJ$2,100%,AVANCE[[#This Row],[INSTALACION VINILICO]])</f>
        <v>1</v>
      </c>
      <c r="BY93" s="3">
        <f>+IF(AVANCE[[#This Row],[OSB CUBIERTA]]=AK$2,100%,AVANCE[[#This Row],[OSB CUBIERTA]])</f>
        <v>1</v>
      </c>
      <c r="BZ93" s="3">
        <f>+IF(AVANCE[[#This Row],[BARANDA BALCON]]=AL$2,100%,AVANCE[[#This Row],[BARANDA BALCON]])</f>
        <v>1</v>
      </c>
      <c r="CA93" s="3">
        <f>+IF(AVANCE[[#This Row],[OSB EXTERIOR]]=AM$2,100%,AVANCE[[#This Row],[OSB EXTERIOR]])</f>
        <v>1</v>
      </c>
      <c r="CB93" s="3">
        <f>+IF(AVANCE[[#This Row],[SMART PANEL]]=AN$2,100%,AVANCE[[#This Row],[SMART PANEL]])</f>
        <v>1</v>
      </c>
      <c r="CC93" s="3">
        <f>+IF(AVANCE[[#This Row],[PINTURA EXTERIOR]]=AO$2,100%,AVANCE[[#This Row],[PINTURA EXTERIOR]])</f>
        <v>1</v>
      </c>
      <c r="CD93" s="3">
        <f>+IF(AVANCE[[#This Row],[ZOCALOS LOGIA]]=AP$2,100%,AVANCE[[#This Row],[ZOCALOS LOGIA]])</f>
        <v>1</v>
      </c>
      <c r="CE93" s="3">
        <f>+IF(AVANCE[[#This Row],[MOLDURAS]]=AQ$2,100%,AVANCE[[#This Row],[MOLDURAS]])</f>
        <v>1</v>
      </c>
      <c r="CF93" s="3">
        <f>+IF(AVANCE[[#This Row],[PILASTREO]]=AR$2,100%,AVANCE[[#This Row],[PILASTREO]])</f>
        <v>1</v>
      </c>
      <c r="CG93" s="3">
        <f>+IF(AVANCE[[#This Row],[CELOSIAS]]=AS$2,100%,AVANCE[[#This Row],[CELOSIAS]])</f>
        <v>1</v>
      </c>
      <c r="CH93" s="3">
        <f>+IF(AVANCE[[#This Row],[VENTANAS]]=AT$2,100%,AVANCE[[#This Row],[VENTANAS]])</f>
        <v>1</v>
      </c>
      <c r="CI93" s="3">
        <f>+IF(AVANCE[[#This Row],[PUERTAS ACCESO - LOGIA - BANO]]=AU$2,100%,AVANCE[[#This Row],[PUERTAS ACCESO - LOGIA - BANO]])</f>
        <v>1</v>
      </c>
      <c r="CJ93" s="3">
        <f>+IF(AVANCE[[#This Row],[CERRADURAS]]=AV$2,100%,AVANCE[[#This Row],[CERRADURAS]])</f>
        <v>1</v>
      </c>
      <c r="CK93" s="3">
        <f>+IF(AVANCE[[#This Row],[REVESTIMIENTO INTERIOR ZONA SECA]]=AW$2,100%,AVANCE[[#This Row],[REVESTIMIENTO INTERIOR ZONA SECA]])</f>
        <v>1</v>
      </c>
      <c r="CL93" s="3">
        <f>+IF(AVANCE[[#This Row],[REVESTIMIENTO INTERIOR ZONAS HUMEDAS]]=AX$2,100%,AVANCE[[#This Row],[REVESTIMIENTO INTERIOR ZONAS HUMEDAS]])</f>
        <v>1</v>
      </c>
      <c r="CM93" s="3">
        <f>+IF(AVANCE[[#This Row],[MEMBRANA CIELO]]=AY$2,100%,AVANCE[[#This Row],[MEMBRANA CIELO]])</f>
        <v>1</v>
      </c>
      <c r="CN93" s="3">
        <f>+IF(AVANCE[[#This Row],[LIMPIEZA FINAL]]=AZ$2,100%,AVANCE[[#This Row],[LIMPIEZA FINAL]])</f>
        <v>1</v>
      </c>
      <c r="CO93" s="3">
        <f>+IF(AVANCE[[#This Row],[PUERTAS DORMITORIO]]=BA$2,100%,AVANCE[[#This Row],[PUERTAS DORMITORIO]])</f>
        <v>1</v>
      </c>
      <c r="CP93" s="3">
        <f>+IF(AVANCE[[#This Row],[REVESTIMIENTO INTERIOR BANO]]=BB$2,100%,AVANCE[[#This Row],[REVESTIMIENTO INTERIOR BANO]])</f>
        <v>1</v>
      </c>
      <c r="CQ93" s="3">
        <f>+IF(AVANCE[[#This Row],[MUEBLE LAVAPLATOS]]=BC$2,100%,AVANCE[[#This Row],[MUEBLE LAVAPLATOS]])</f>
        <v>1</v>
      </c>
      <c r="CR93" s="3">
        <f>+IF(AVANCE[[#This Row],[IMPERMEABILIZACION BANO - COCINA LOGIA]]=BD$2,100%,AVANCE[[#This Row],[IMPERMEABILIZACION BANO - COCINA LOGIA]])</f>
        <v>1</v>
      </c>
      <c r="CS93" s="40">
        <f ca="1">+IF(AVANCE[[#This Row],[ESTADO MODULO]]="PENDIENTE",(TODAY()-AVANCE[[#This Row],[FECHA TERMINO  PLANIFICADO]]),0)</f>
        <v>0</v>
      </c>
      <c r="CT93" s="41" t="str" cm="1">
        <f t="array" ref="CT93">_xlfn.TEXTJOIN(" | ",TRUE,IF(SUMPRODUCT((BG93:CR93&lt;1)*(PARTIDAS!$I$2:$AT$2="OBRA GRUESA"))&gt;0,"OBRA GRUESA: "&amp;_xlfn.TEXTJOIN(", ",TRUE,IF((BG93:CR93&lt;1)*(PARTIDAS!$I$2:$AT$2="OBRA GRUESA"),PARTIDAS!$I$1:$AT$1,"")),""),IF(SUMPRODUCT((BG93:CR93&lt;1)*(PARTIDAS!$I$2:$AT$2="SANITARIOS"))&gt;0,"SANITARIOS: "&amp;_xlfn.TEXTJOIN(", ",TRUE,IF((BG93:CR93&lt;1)*(PARTIDAS!$I$2:$AT$2="SANITARIOS"),PARTIDAS!$I$1:$AT$1,"")),""),IF(SUMPRODUCT((BG93:CR93&lt;1)*(PARTIDAS!$I$2:$AT$2="ELÉCTRICO"))&gt;0,"ELÉCTRICO: "&amp;_xlfn.TEXTJOIN(", ",TRUE,IF((BG93:CR93&lt;1)*(PARTIDAS!$I$2:$AT$2="ELÉCTRICO"),PARTIDAS!$I$1:$AT$1,"")),""),IF(SUMPRODUCT((BG93:CR93&lt;1)*(PARTIDAS!$I$2:$AT$2="TERMINACIONES"))&gt;0,"TERMINACIONES: "&amp;_xlfn.TEXTJOIN(", ",TRUE,IF((BG93:CR93&lt;1)*(PARTIDAS!$I$2:$AT$2="TERMINACIONES"),PARTIDAS!$I$1:$AT$1,"")),""))</f>
        <v/>
      </c>
      <c r="CU93" s="43" t="str" cm="1">
        <f t="array" ref="CU93">_xlfn.TEXTJOIN(", ",TRUE,IF(SUMPRODUCT((BG93:CR93&lt;1)*(PARTIDAS!$I$2:$AT$2="OBRA GRUESA"))&gt;0,"OBRA GRUESA",""),IF(SUMPRODUCT((BG93:CR93&lt;1)*(PARTIDAS!$I$2:$AT$2="SANITARIOS"))&gt;0,"SANITARIOS",""),IF(SUMPRODUCT((BG93:CR93&lt;1)*(PARTIDAS!$I$2:$AT$2="ELÉCTRICO"))&gt;0,"ELÉCTRICO",""),IF(SUMPRODUCT((BG93:CR93&lt;1)*(PARTIDAS!$I$2:$AT$2="TERMINACIONES"))&gt;0,"TERMINACIONES",""))</f>
        <v/>
      </c>
      <c r="CV93" s="44" cm="1">
        <f t="array" ref="CV93">SUMPRODUCT(--(BG93:CR93&lt;1))</f>
        <v>0</v>
      </c>
    </row>
    <row r="94" spans="1:100" hidden="1" x14ac:dyDescent="0.25">
      <c r="A94" t="s">
        <v>124</v>
      </c>
      <c r="B94" t="s">
        <v>153</v>
      </c>
      <c r="C94">
        <v>2282600093</v>
      </c>
      <c r="D94" t="s">
        <v>58</v>
      </c>
      <c r="E94" s="2">
        <v>0.99999999999999978</v>
      </c>
      <c r="F94" s="1">
        <v>46171</v>
      </c>
      <c r="G94" s="1">
        <v>46184</v>
      </c>
      <c r="H94" s="1">
        <v>46224</v>
      </c>
      <c r="I94" s="1">
        <v>46197</v>
      </c>
      <c r="K94" s="1">
        <v>46224</v>
      </c>
      <c r="L94" s="3">
        <v>0.43</v>
      </c>
      <c r="M94" s="3">
        <v>1</v>
      </c>
      <c r="N94" s="3">
        <v>0.27906976744186046</v>
      </c>
      <c r="O94" s="3">
        <v>0.18604651162790697</v>
      </c>
      <c r="P94" s="3">
        <v>0.2558139534883721</v>
      </c>
      <c r="Q94" s="3">
        <v>0.18604651162790697</v>
      </c>
      <c r="R94" s="3">
        <v>9.3023255813953487E-2</v>
      </c>
      <c r="S94" s="3">
        <v>0.09</v>
      </c>
      <c r="T94" s="3">
        <v>1</v>
      </c>
      <c r="U94" s="3">
        <v>0.22222222222222221</v>
      </c>
      <c r="V94" s="3">
        <v>0.22222222222222221</v>
      </c>
      <c r="W94" s="3">
        <v>0.1111111111111111</v>
      </c>
      <c r="X94" s="3">
        <v>0.1111111111111111</v>
      </c>
      <c r="Y94" s="3">
        <v>0.1111111111111111</v>
      </c>
      <c r="Z94" s="3">
        <v>0.22222222222222221</v>
      </c>
      <c r="AA94" s="3">
        <v>0.11</v>
      </c>
      <c r="AB94" s="3">
        <v>1</v>
      </c>
      <c r="AC94" s="3">
        <v>0.27272727272727271</v>
      </c>
      <c r="AD94" s="3">
        <v>0.27272727272727271</v>
      </c>
      <c r="AE94" s="3">
        <v>9.0909090909090912E-2</v>
      </c>
      <c r="AF94" s="3">
        <v>0.18181818181818182</v>
      </c>
      <c r="AG94" s="3">
        <v>0.18181818181818182</v>
      </c>
      <c r="AH94" s="3">
        <v>0.36999999999999983</v>
      </c>
      <c r="AI94" s="3">
        <v>0.99999999999999956</v>
      </c>
      <c r="AJ94" s="3">
        <v>5.4054054054054036E-2</v>
      </c>
      <c r="AK94" s="3">
        <v>5.4054054054054036E-2</v>
      </c>
      <c r="AL94" s="3">
        <v>2.7027027027027018E-2</v>
      </c>
      <c r="AM94" s="3">
        <v>8.1081081081081058E-2</v>
      </c>
      <c r="AN94" s="3">
        <v>8.1081081081081058E-2</v>
      </c>
      <c r="AO94" s="3">
        <v>6.7567567567567557E-2</v>
      </c>
      <c r="AP94" s="3">
        <v>5.4054054054054036E-2</v>
      </c>
      <c r="AQ94" s="3">
        <v>1.3513513513513509E-2</v>
      </c>
      <c r="AR94" s="3">
        <v>4.0540540540540529E-2</v>
      </c>
      <c r="AS94" s="3">
        <v>1.3513513513513509E-2</v>
      </c>
      <c r="AT94" s="3">
        <v>8.1081081081081058E-2</v>
      </c>
      <c r="AU94" s="3">
        <v>5.4054054054054036E-2</v>
      </c>
      <c r="AV94" s="3">
        <v>2.7027027027027018E-2</v>
      </c>
      <c r="AW94" s="3">
        <v>5.4054054054054036E-2</v>
      </c>
      <c r="AX94" s="3">
        <v>5.4054054054054036E-2</v>
      </c>
      <c r="AY94" s="3">
        <v>2.7027027027027018E-2</v>
      </c>
      <c r="AZ94" s="3">
        <v>4.0540540540540529E-2</v>
      </c>
      <c r="BA94" s="3">
        <v>5.4054054054054036E-2</v>
      </c>
      <c r="BB94" s="3">
        <v>8.1081081081081058E-2</v>
      </c>
      <c r="BC94" s="3">
        <v>1.3513513513513509E-2</v>
      </c>
      <c r="BD94" s="3">
        <v>2.7027027027027018E-2</v>
      </c>
      <c r="BE94">
        <v>28.87</v>
      </c>
      <c r="BF94" s="3" t="str">
        <f>+IF(AVANCE[[#This Row],[% AVANCE]]=100%,"MODULO TERMINADO",IF(AVANCE[[#This Row],[FECHA INICIO REAL]]="","MODULO NO INICIADO","PENDIENTE"))</f>
        <v>MODULO TERMINADO</v>
      </c>
      <c r="BG94" s="3">
        <f>+IF(AVANCE[[#This Row],[VENTANAS]]=8.10810810810811%,100%,AVANCE[[#This Row],[VENTANAS]])</f>
        <v>1</v>
      </c>
      <c r="BH94" s="3">
        <f>+IF(AVANCE[[#This Row],[PISO]]=N$2,100%,AVANCE[[#This Row],[PISO]])</f>
        <v>1</v>
      </c>
      <c r="BI94" s="3">
        <f>+IF(AVANCE[[#This Row],[TABIQUES]]=O$2,100%,AVANCE[[#This Row],[TABIQUES]])</f>
        <v>1</v>
      </c>
      <c r="BJ94" s="3">
        <f>+IF(AVANCE[[#This Row],[MUROS]]=P$2,100%,AVANCE[[#This Row],[MUROS]])</f>
        <v>1</v>
      </c>
      <c r="BK94" s="3">
        <f>+IF(AVANCE[[#This Row],[CIELO]]=Q$2,100%,AVANCE[[#This Row],[CIELO]])</f>
        <v>1</v>
      </c>
      <c r="BL94" s="3">
        <f>+IF(AVANCE[[#This Row],[BALCÓN]]=R$2,100%,AVANCE[[#This Row],[BALCÓN]])</f>
        <v>1</v>
      </c>
      <c r="BM94" s="3">
        <f>+IF(AVANCE[[#This Row],[RED ALCANTARILLADO]]=U$2,100%,AVANCE[[#This Row],[RED ALCANTARILLADO]])</f>
        <v>1</v>
      </c>
      <c r="BN94" s="3">
        <f>+IF(AVANCE[[#This Row],[RED DE AGUA]]=V$2,100%,AVANCE[[#This Row],[RED DE AGUA]])</f>
        <v>1</v>
      </c>
      <c r="BO94" s="3">
        <f>+IF(AVANCE[[#This Row],[VENTILACIONES]]=W$2,100%,AVANCE[[#This Row],[VENTILACIONES]])</f>
        <v>1</v>
      </c>
      <c r="BP94" s="3">
        <f>+IF(AVANCE[[#This Row],[TINA]]=X$2,100%,AVANCE[[#This Row],[TINA]])</f>
        <v>1</v>
      </c>
      <c r="BQ94" s="3">
        <f>+IF(AVANCE[[#This Row],[WC]]=Y$2,100%,AVANCE[[#This Row],[WC]])</f>
        <v>1</v>
      </c>
      <c r="BR94" s="3">
        <f>+IF(AVANCE[[#This Row],[LAVAMANOS / LAVAPLATOS / LAVADERO]]=Z$2,100%,AVANCE[[#This Row],[LAVAMANOS / LAVAPLATOS / LAVADERO]])</f>
        <v>1</v>
      </c>
      <c r="BS94" s="3">
        <f>+IF(AVANCE[[#This Row],[CANALIZACIÓN]]=AC$2,100%,AVANCE[[#This Row],[CANALIZACIÓN]])</f>
        <v>1</v>
      </c>
      <c r="BT94" s="3">
        <f>+IF(AVANCE[[#This Row],[CABLEADO]]=AD$2,100%,AVANCE[[#This Row],[CABLEADO]])</f>
        <v>1</v>
      </c>
      <c r="BU94" s="3">
        <f>+IF(AVANCE[[#This Row],[ARTEFACTOS]]=AE$2,100%,AVANCE[[#This Row],[ARTEFACTOS]])</f>
        <v>1</v>
      </c>
      <c r="BV94" s="3">
        <f>+IF(AVANCE[[#This Row],[TABLERO]]=AF$2,100%,AVANCE[[#This Row],[TABLERO]])</f>
        <v>1</v>
      </c>
      <c r="BW94" s="3">
        <f>+IF(AVANCE[[#This Row],[CAJA PAU]]=AG$2,100%,AVANCE[[#This Row],[CAJA PAU]])</f>
        <v>1</v>
      </c>
      <c r="BX94" s="3">
        <f>+IF(AVANCE[[#This Row],[INSTALACION VINILICO]]=AJ$2,100%,AVANCE[[#This Row],[INSTALACION VINILICO]])</f>
        <v>1</v>
      </c>
      <c r="BY94" s="3">
        <f>+IF(AVANCE[[#This Row],[OSB CUBIERTA]]=AK$2,100%,AVANCE[[#This Row],[OSB CUBIERTA]])</f>
        <v>1</v>
      </c>
      <c r="BZ94" s="3">
        <f>+IF(AVANCE[[#This Row],[BARANDA BALCON]]=AL$2,100%,AVANCE[[#This Row],[BARANDA BALCON]])</f>
        <v>1</v>
      </c>
      <c r="CA94" s="3">
        <f>+IF(AVANCE[[#This Row],[OSB EXTERIOR]]=AM$2,100%,AVANCE[[#This Row],[OSB EXTERIOR]])</f>
        <v>1</v>
      </c>
      <c r="CB94" s="3">
        <f>+IF(AVANCE[[#This Row],[SMART PANEL]]=AN$2,100%,AVANCE[[#This Row],[SMART PANEL]])</f>
        <v>1</v>
      </c>
      <c r="CC94" s="3">
        <f>+IF(AVANCE[[#This Row],[PINTURA EXTERIOR]]=AO$2,100%,AVANCE[[#This Row],[PINTURA EXTERIOR]])</f>
        <v>1</v>
      </c>
      <c r="CD94" s="3">
        <f>+IF(AVANCE[[#This Row],[ZOCALOS LOGIA]]=AP$2,100%,AVANCE[[#This Row],[ZOCALOS LOGIA]])</f>
        <v>1</v>
      </c>
      <c r="CE94" s="3">
        <f>+IF(AVANCE[[#This Row],[MOLDURAS]]=AQ$2,100%,AVANCE[[#This Row],[MOLDURAS]])</f>
        <v>1</v>
      </c>
      <c r="CF94" s="3">
        <f>+IF(AVANCE[[#This Row],[PILASTREO]]=AR$2,100%,AVANCE[[#This Row],[PILASTREO]])</f>
        <v>1</v>
      </c>
      <c r="CG94" s="3">
        <f>+IF(AVANCE[[#This Row],[CELOSIAS]]=AS$2,100%,AVANCE[[#This Row],[CELOSIAS]])</f>
        <v>1</v>
      </c>
      <c r="CH94" s="3">
        <f>+IF(AVANCE[[#This Row],[VENTANAS]]=AT$2,100%,AVANCE[[#This Row],[VENTANAS]])</f>
        <v>1</v>
      </c>
      <c r="CI94" s="3">
        <f>+IF(AVANCE[[#This Row],[PUERTAS ACCESO - LOGIA - BANO]]=AU$2,100%,AVANCE[[#This Row],[PUERTAS ACCESO - LOGIA - BANO]])</f>
        <v>1</v>
      </c>
      <c r="CJ94" s="3">
        <f>+IF(AVANCE[[#This Row],[CERRADURAS]]=AV$2,100%,AVANCE[[#This Row],[CERRADURAS]])</f>
        <v>1</v>
      </c>
      <c r="CK94" s="3">
        <f>+IF(AVANCE[[#This Row],[REVESTIMIENTO INTERIOR ZONA SECA]]=AW$2,100%,AVANCE[[#This Row],[REVESTIMIENTO INTERIOR ZONA SECA]])</f>
        <v>1</v>
      </c>
      <c r="CL94" s="3">
        <f>+IF(AVANCE[[#This Row],[REVESTIMIENTO INTERIOR ZONAS HUMEDAS]]=AX$2,100%,AVANCE[[#This Row],[REVESTIMIENTO INTERIOR ZONAS HUMEDAS]])</f>
        <v>1</v>
      </c>
      <c r="CM94" s="3">
        <f>+IF(AVANCE[[#This Row],[MEMBRANA CIELO]]=AY$2,100%,AVANCE[[#This Row],[MEMBRANA CIELO]])</f>
        <v>1</v>
      </c>
      <c r="CN94" s="3">
        <f>+IF(AVANCE[[#This Row],[LIMPIEZA FINAL]]=AZ$2,100%,AVANCE[[#This Row],[LIMPIEZA FINAL]])</f>
        <v>1</v>
      </c>
      <c r="CO94" s="3">
        <f>+IF(AVANCE[[#This Row],[PUERTAS DORMITORIO]]=BA$2,100%,AVANCE[[#This Row],[PUERTAS DORMITORIO]])</f>
        <v>1</v>
      </c>
      <c r="CP94" s="3">
        <f>+IF(AVANCE[[#This Row],[REVESTIMIENTO INTERIOR BANO]]=BB$2,100%,AVANCE[[#This Row],[REVESTIMIENTO INTERIOR BANO]])</f>
        <v>1</v>
      </c>
      <c r="CQ94" s="3">
        <f>+IF(AVANCE[[#This Row],[MUEBLE LAVAPLATOS]]=BC$2,100%,AVANCE[[#This Row],[MUEBLE LAVAPLATOS]])</f>
        <v>1</v>
      </c>
      <c r="CR94" s="3">
        <f>+IF(AVANCE[[#This Row],[IMPERMEABILIZACION BANO - COCINA LOGIA]]=BD$2,100%,AVANCE[[#This Row],[IMPERMEABILIZACION BANO - COCINA LOGIA]])</f>
        <v>1</v>
      </c>
      <c r="CS94" s="40">
        <f ca="1">+IF(AVANCE[[#This Row],[ESTADO MODULO]]="PENDIENTE",(TODAY()-AVANCE[[#This Row],[FECHA TERMINO  PLANIFICADO]]),0)</f>
        <v>0</v>
      </c>
      <c r="CT94" s="41" t="str" cm="1">
        <f t="array" ref="CT94">_xlfn.TEXTJOIN(" | ",TRUE,IF(SUMPRODUCT((BG94:CR94&lt;1)*(PARTIDAS!$I$2:$AT$2="OBRA GRUESA"))&gt;0,"OBRA GRUESA: "&amp;_xlfn.TEXTJOIN(", ",TRUE,IF((BG94:CR94&lt;1)*(PARTIDAS!$I$2:$AT$2="OBRA GRUESA"),PARTIDAS!$I$1:$AT$1,"")),""),IF(SUMPRODUCT((BG94:CR94&lt;1)*(PARTIDAS!$I$2:$AT$2="SANITARIOS"))&gt;0,"SANITARIOS: "&amp;_xlfn.TEXTJOIN(", ",TRUE,IF((BG94:CR94&lt;1)*(PARTIDAS!$I$2:$AT$2="SANITARIOS"),PARTIDAS!$I$1:$AT$1,"")),""),IF(SUMPRODUCT((BG94:CR94&lt;1)*(PARTIDAS!$I$2:$AT$2="ELÉCTRICO"))&gt;0,"ELÉCTRICO: "&amp;_xlfn.TEXTJOIN(", ",TRUE,IF((BG94:CR94&lt;1)*(PARTIDAS!$I$2:$AT$2="ELÉCTRICO"),PARTIDAS!$I$1:$AT$1,"")),""),IF(SUMPRODUCT((BG94:CR94&lt;1)*(PARTIDAS!$I$2:$AT$2="TERMINACIONES"))&gt;0,"TERMINACIONES: "&amp;_xlfn.TEXTJOIN(", ",TRUE,IF((BG94:CR94&lt;1)*(PARTIDAS!$I$2:$AT$2="TERMINACIONES"),PARTIDAS!$I$1:$AT$1,"")),""))</f>
        <v/>
      </c>
      <c r="CU94" s="43" t="str" cm="1">
        <f t="array" ref="CU94">_xlfn.TEXTJOIN(", ",TRUE,IF(SUMPRODUCT((BG94:CR94&lt;1)*(PARTIDAS!$I$2:$AT$2="OBRA GRUESA"))&gt;0,"OBRA GRUESA",""),IF(SUMPRODUCT((BG94:CR94&lt;1)*(PARTIDAS!$I$2:$AT$2="SANITARIOS"))&gt;0,"SANITARIOS",""),IF(SUMPRODUCT((BG94:CR94&lt;1)*(PARTIDAS!$I$2:$AT$2="ELÉCTRICO"))&gt;0,"ELÉCTRICO",""),IF(SUMPRODUCT((BG94:CR94&lt;1)*(PARTIDAS!$I$2:$AT$2="TERMINACIONES"))&gt;0,"TERMINACIONES",""))</f>
        <v/>
      </c>
      <c r="CV94" s="44" cm="1">
        <f t="array" ref="CV94">SUMPRODUCT(--(BG94:CR94&lt;1))</f>
        <v>0</v>
      </c>
    </row>
    <row r="95" spans="1:100" hidden="1" x14ac:dyDescent="0.25">
      <c r="A95" t="s">
        <v>124</v>
      </c>
      <c r="B95" t="s">
        <v>154</v>
      </c>
      <c r="C95">
        <v>2302600094</v>
      </c>
      <c r="D95" t="s">
        <v>60</v>
      </c>
      <c r="E95" s="2">
        <v>0.99999999999999978</v>
      </c>
      <c r="F95" s="1">
        <v>46171</v>
      </c>
      <c r="G95" s="1">
        <v>46181</v>
      </c>
      <c r="H95" s="1">
        <v>46225</v>
      </c>
      <c r="I95" s="1">
        <v>46207</v>
      </c>
      <c r="K95" s="1">
        <v>46225</v>
      </c>
      <c r="L95" s="3">
        <v>0.43</v>
      </c>
      <c r="M95" s="3">
        <v>1</v>
      </c>
      <c r="N95" s="3">
        <v>0.27906976744186046</v>
      </c>
      <c r="O95" s="3">
        <v>0.18604651162790697</v>
      </c>
      <c r="P95" s="3">
        <v>0.2558139534883721</v>
      </c>
      <c r="Q95" s="3">
        <v>0.18604651162790697</v>
      </c>
      <c r="R95" s="3">
        <v>9.3023255813953487E-2</v>
      </c>
      <c r="S95" s="3">
        <v>0.09</v>
      </c>
      <c r="T95" s="3">
        <v>1</v>
      </c>
      <c r="U95" s="3">
        <v>0.22222222222222221</v>
      </c>
      <c r="V95" s="3">
        <v>0.22222222222222221</v>
      </c>
      <c r="W95" s="3">
        <v>0.1111111111111111</v>
      </c>
      <c r="X95" s="3">
        <v>0.1111111111111111</v>
      </c>
      <c r="Y95" s="3">
        <v>0.1111111111111111</v>
      </c>
      <c r="Z95" s="3">
        <v>0.22222222222222221</v>
      </c>
      <c r="AA95" s="3">
        <v>0.11</v>
      </c>
      <c r="AB95" s="3">
        <v>1</v>
      </c>
      <c r="AC95" s="3">
        <v>0.27272727272727271</v>
      </c>
      <c r="AD95" s="3">
        <v>0.27272727272727271</v>
      </c>
      <c r="AE95" s="3">
        <v>9.0909090909090912E-2</v>
      </c>
      <c r="AF95" s="3">
        <v>0.18181818181818182</v>
      </c>
      <c r="AG95" s="3">
        <v>0.18181818181818182</v>
      </c>
      <c r="AH95" s="3">
        <v>0.36999999999999983</v>
      </c>
      <c r="AI95" s="3">
        <v>0.99999999999999956</v>
      </c>
      <c r="AJ95" s="3">
        <v>5.4054054054054036E-2</v>
      </c>
      <c r="AK95" s="3">
        <v>5.4054054054054036E-2</v>
      </c>
      <c r="AL95" s="3">
        <v>2.7027027027027018E-2</v>
      </c>
      <c r="AM95" s="3">
        <v>8.1081081081081058E-2</v>
      </c>
      <c r="AN95" s="3">
        <v>8.1081081081081058E-2</v>
      </c>
      <c r="AO95" s="3">
        <v>6.7567567567567557E-2</v>
      </c>
      <c r="AP95" s="3">
        <v>5.4054054054054036E-2</v>
      </c>
      <c r="AQ95" s="3">
        <v>1.3513513513513509E-2</v>
      </c>
      <c r="AR95" s="3">
        <v>4.0540540540540529E-2</v>
      </c>
      <c r="AS95" s="3">
        <v>1.3513513513513509E-2</v>
      </c>
      <c r="AT95" s="3">
        <v>8.1081081081081058E-2</v>
      </c>
      <c r="AU95" s="3">
        <v>5.4054054054054036E-2</v>
      </c>
      <c r="AV95" s="3">
        <v>2.7027027027027018E-2</v>
      </c>
      <c r="AW95" s="3">
        <v>5.4054054054054036E-2</v>
      </c>
      <c r="AX95" s="3">
        <v>5.4054054054054036E-2</v>
      </c>
      <c r="AY95" s="3">
        <v>2.7027027027027018E-2</v>
      </c>
      <c r="AZ95" s="3">
        <v>4.0540540540540529E-2</v>
      </c>
      <c r="BA95" s="3">
        <v>5.4054054054054036E-2</v>
      </c>
      <c r="BB95" s="3">
        <v>8.1081081081081058E-2</v>
      </c>
      <c r="BC95" s="3">
        <v>1.3513513513513509E-2</v>
      </c>
      <c r="BD95" s="3">
        <v>2.7027027027027018E-2</v>
      </c>
      <c r="BE95">
        <v>31.32</v>
      </c>
      <c r="BF95" s="3" t="str">
        <f>+IF(AVANCE[[#This Row],[% AVANCE]]=100%,"MODULO TERMINADO",IF(AVANCE[[#This Row],[FECHA INICIO REAL]]="","MODULO NO INICIADO","PENDIENTE"))</f>
        <v>MODULO TERMINADO</v>
      </c>
      <c r="BG95" s="3">
        <f>+IF(AVANCE[[#This Row],[VENTANAS]]=8.10810810810811%,100%,AVANCE[[#This Row],[VENTANAS]])</f>
        <v>1</v>
      </c>
      <c r="BH95" s="3">
        <f>+IF(AVANCE[[#This Row],[PISO]]=N$2,100%,AVANCE[[#This Row],[PISO]])</f>
        <v>1</v>
      </c>
      <c r="BI95" s="3">
        <f>+IF(AVANCE[[#This Row],[TABIQUES]]=O$2,100%,AVANCE[[#This Row],[TABIQUES]])</f>
        <v>1</v>
      </c>
      <c r="BJ95" s="3">
        <f>+IF(AVANCE[[#This Row],[MUROS]]=P$2,100%,AVANCE[[#This Row],[MUROS]])</f>
        <v>1</v>
      </c>
      <c r="BK95" s="3">
        <f>+IF(AVANCE[[#This Row],[CIELO]]=Q$2,100%,AVANCE[[#This Row],[CIELO]])</f>
        <v>1</v>
      </c>
      <c r="BL95" s="3">
        <f>+IF(AVANCE[[#This Row],[BALCÓN]]=R$2,100%,AVANCE[[#This Row],[BALCÓN]])</f>
        <v>1</v>
      </c>
      <c r="BM95" s="3">
        <f>+IF(AVANCE[[#This Row],[RED ALCANTARILLADO]]=U$2,100%,AVANCE[[#This Row],[RED ALCANTARILLADO]])</f>
        <v>1</v>
      </c>
      <c r="BN95" s="3">
        <f>+IF(AVANCE[[#This Row],[RED DE AGUA]]=V$2,100%,AVANCE[[#This Row],[RED DE AGUA]])</f>
        <v>1</v>
      </c>
      <c r="BO95" s="3">
        <f>+IF(AVANCE[[#This Row],[VENTILACIONES]]=W$2,100%,AVANCE[[#This Row],[VENTILACIONES]])</f>
        <v>1</v>
      </c>
      <c r="BP95" s="3">
        <f>+IF(AVANCE[[#This Row],[TINA]]=X$2,100%,AVANCE[[#This Row],[TINA]])</f>
        <v>1</v>
      </c>
      <c r="BQ95" s="3">
        <f>+IF(AVANCE[[#This Row],[WC]]=Y$2,100%,AVANCE[[#This Row],[WC]])</f>
        <v>1</v>
      </c>
      <c r="BR95" s="3">
        <f>+IF(AVANCE[[#This Row],[LAVAMANOS / LAVAPLATOS / LAVADERO]]=Z$2,100%,AVANCE[[#This Row],[LAVAMANOS / LAVAPLATOS / LAVADERO]])</f>
        <v>1</v>
      </c>
      <c r="BS95" s="3">
        <f>+IF(AVANCE[[#This Row],[CANALIZACIÓN]]=AC$2,100%,AVANCE[[#This Row],[CANALIZACIÓN]])</f>
        <v>1</v>
      </c>
      <c r="BT95" s="3">
        <f>+IF(AVANCE[[#This Row],[CABLEADO]]=AD$2,100%,AVANCE[[#This Row],[CABLEADO]])</f>
        <v>1</v>
      </c>
      <c r="BU95" s="3">
        <f>+IF(AVANCE[[#This Row],[ARTEFACTOS]]=AE$2,100%,AVANCE[[#This Row],[ARTEFACTOS]])</f>
        <v>1</v>
      </c>
      <c r="BV95" s="3">
        <f>+IF(AVANCE[[#This Row],[TABLERO]]=AF$2,100%,AVANCE[[#This Row],[TABLERO]])</f>
        <v>1</v>
      </c>
      <c r="BW95" s="3">
        <f>+IF(AVANCE[[#This Row],[CAJA PAU]]=AG$2,100%,AVANCE[[#This Row],[CAJA PAU]])</f>
        <v>1</v>
      </c>
      <c r="BX95" s="3">
        <f>+IF(AVANCE[[#This Row],[INSTALACION VINILICO]]=AJ$2,100%,AVANCE[[#This Row],[INSTALACION VINILICO]])</f>
        <v>1</v>
      </c>
      <c r="BY95" s="3">
        <f>+IF(AVANCE[[#This Row],[OSB CUBIERTA]]=AK$2,100%,AVANCE[[#This Row],[OSB CUBIERTA]])</f>
        <v>1</v>
      </c>
      <c r="BZ95" s="3">
        <f>+IF(AVANCE[[#This Row],[BARANDA BALCON]]=AL$2,100%,AVANCE[[#This Row],[BARANDA BALCON]])</f>
        <v>1</v>
      </c>
      <c r="CA95" s="3">
        <f>+IF(AVANCE[[#This Row],[OSB EXTERIOR]]=AM$2,100%,AVANCE[[#This Row],[OSB EXTERIOR]])</f>
        <v>1</v>
      </c>
      <c r="CB95" s="3">
        <f>+IF(AVANCE[[#This Row],[SMART PANEL]]=AN$2,100%,AVANCE[[#This Row],[SMART PANEL]])</f>
        <v>1</v>
      </c>
      <c r="CC95" s="3">
        <f>+IF(AVANCE[[#This Row],[PINTURA EXTERIOR]]=AO$2,100%,AVANCE[[#This Row],[PINTURA EXTERIOR]])</f>
        <v>1</v>
      </c>
      <c r="CD95" s="3">
        <f>+IF(AVANCE[[#This Row],[ZOCALOS LOGIA]]=AP$2,100%,AVANCE[[#This Row],[ZOCALOS LOGIA]])</f>
        <v>1</v>
      </c>
      <c r="CE95" s="3">
        <f>+IF(AVANCE[[#This Row],[MOLDURAS]]=AQ$2,100%,AVANCE[[#This Row],[MOLDURAS]])</f>
        <v>1</v>
      </c>
      <c r="CF95" s="3">
        <f>+IF(AVANCE[[#This Row],[PILASTREO]]=AR$2,100%,AVANCE[[#This Row],[PILASTREO]])</f>
        <v>1</v>
      </c>
      <c r="CG95" s="3">
        <f>+IF(AVANCE[[#This Row],[CELOSIAS]]=AS$2,100%,AVANCE[[#This Row],[CELOSIAS]])</f>
        <v>1</v>
      </c>
      <c r="CH95" s="3">
        <f>+IF(AVANCE[[#This Row],[VENTANAS]]=AT$2,100%,AVANCE[[#This Row],[VENTANAS]])</f>
        <v>1</v>
      </c>
      <c r="CI95" s="3">
        <f>+IF(AVANCE[[#This Row],[PUERTAS ACCESO - LOGIA - BANO]]=AU$2,100%,AVANCE[[#This Row],[PUERTAS ACCESO - LOGIA - BANO]])</f>
        <v>1</v>
      </c>
      <c r="CJ95" s="3">
        <f>+IF(AVANCE[[#This Row],[CERRADURAS]]=AV$2,100%,AVANCE[[#This Row],[CERRADURAS]])</f>
        <v>1</v>
      </c>
      <c r="CK95" s="3">
        <f>+IF(AVANCE[[#This Row],[REVESTIMIENTO INTERIOR ZONA SECA]]=AW$2,100%,AVANCE[[#This Row],[REVESTIMIENTO INTERIOR ZONA SECA]])</f>
        <v>1</v>
      </c>
      <c r="CL95" s="3">
        <f>+IF(AVANCE[[#This Row],[REVESTIMIENTO INTERIOR ZONAS HUMEDAS]]=AX$2,100%,AVANCE[[#This Row],[REVESTIMIENTO INTERIOR ZONAS HUMEDAS]])</f>
        <v>1</v>
      </c>
      <c r="CM95" s="3">
        <f>+IF(AVANCE[[#This Row],[MEMBRANA CIELO]]=AY$2,100%,AVANCE[[#This Row],[MEMBRANA CIELO]])</f>
        <v>1</v>
      </c>
      <c r="CN95" s="3">
        <f>+IF(AVANCE[[#This Row],[LIMPIEZA FINAL]]=AZ$2,100%,AVANCE[[#This Row],[LIMPIEZA FINAL]])</f>
        <v>1</v>
      </c>
      <c r="CO95" s="3">
        <f>+IF(AVANCE[[#This Row],[PUERTAS DORMITORIO]]=BA$2,100%,AVANCE[[#This Row],[PUERTAS DORMITORIO]])</f>
        <v>1</v>
      </c>
      <c r="CP95" s="3">
        <f>+IF(AVANCE[[#This Row],[REVESTIMIENTO INTERIOR BANO]]=BB$2,100%,AVANCE[[#This Row],[REVESTIMIENTO INTERIOR BANO]])</f>
        <v>1</v>
      </c>
      <c r="CQ95" s="3">
        <f>+IF(AVANCE[[#This Row],[MUEBLE LAVAPLATOS]]=BC$2,100%,AVANCE[[#This Row],[MUEBLE LAVAPLATOS]])</f>
        <v>1</v>
      </c>
      <c r="CR95" s="3">
        <f>+IF(AVANCE[[#This Row],[IMPERMEABILIZACION BANO - COCINA LOGIA]]=BD$2,100%,AVANCE[[#This Row],[IMPERMEABILIZACION BANO - COCINA LOGIA]])</f>
        <v>1</v>
      </c>
      <c r="CS95" s="40">
        <f ca="1">+IF(AVANCE[[#This Row],[ESTADO MODULO]]="PENDIENTE",(TODAY()-AVANCE[[#This Row],[FECHA TERMINO  PLANIFICADO]]),0)</f>
        <v>0</v>
      </c>
      <c r="CT95" s="41" t="str" cm="1">
        <f t="array" ref="CT95">_xlfn.TEXTJOIN(" | ",TRUE,IF(SUMPRODUCT((BG95:CR95&lt;1)*(PARTIDAS!$I$2:$AT$2="OBRA GRUESA"))&gt;0,"OBRA GRUESA: "&amp;_xlfn.TEXTJOIN(", ",TRUE,IF((BG95:CR95&lt;1)*(PARTIDAS!$I$2:$AT$2="OBRA GRUESA"),PARTIDAS!$I$1:$AT$1,"")),""),IF(SUMPRODUCT((BG95:CR95&lt;1)*(PARTIDAS!$I$2:$AT$2="SANITARIOS"))&gt;0,"SANITARIOS: "&amp;_xlfn.TEXTJOIN(", ",TRUE,IF((BG95:CR95&lt;1)*(PARTIDAS!$I$2:$AT$2="SANITARIOS"),PARTIDAS!$I$1:$AT$1,"")),""),IF(SUMPRODUCT((BG95:CR95&lt;1)*(PARTIDAS!$I$2:$AT$2="ELÉCTRICO"))&gt;0,"ELÉCTRICO: "&amp;_xlfn.TEXTJOIN(", ",TRUE,IF((BG95:CR95&lt;1)*(PARTIDAS!$I$2:$AT$2="ELÉCTRICO"),PARTIDAS!$I$1:$AT$1,"")),""),IF(SUMPRODUCT((BG95:CR95&lt;1)*(PARTIDAS!$I$2:$AT$2="TERMINACIONES"))&gt;0,"TERMINACIONES: "&amp;_xlfn.TEXTJOIN(", ",TRUE,IF((BG95:CR95&lt;1)*(PARTIDAS!$I$2:$AT$2="TERMINACIONES"),PARTIDAS!$I$1:$AT$1,"")),""))</f>
        <v/>
      </c>
      <c r="CU95" s="43" t="str" cm="1">
        <f t="array" ref="CU95">_xlfn.TEXTJOIN(", ",TRUE,IF(SUMPRODUCT((BG95:CR95&lt;1)*(PARTIDAS!$I$2:$AT$2="OBRA GRUESA"))&gt;0,"OBRA GRUESA",""),IF(SUMPRODUCT((BG95:CR95&lt;1)*(PARTIDAS!$I$2:$AT$2="SANITARIOS"))&gt;0,"SANITARIOS",""),IF(SUMPRODUCT((BG95:CR95&lt;1)*(PARTIDAS!$I$2:$AT$2="ELÉCTRICO"))&gt;0,"ELÉCTRICO",""),IF(SUMPRODUCT((BG95:CR95&lt;1)*(PARTIDAS!$I$2:$AT$2="TERMINACIONES"))&gt;0,"TERMINACIONES",""))</f>
        <v/>
      </c>
      <c r="CV95" s="44" cm="1">
        <f t="array" ref="CV95">SUMPRODUCT(--(BG95:CR95&lt;1))</f>
        <v>0</v>
      </c>
    </row>
    <row r="96" spans="1:100" hidden="1" x14ac:dyDescent="0.25">
      <c r="A96" t="s">
        <v>124</v>
      </c>
      <c r="B96" t="s">
        <v>155</v>
      </c>
      <c r="C96">
        <v>2302600095</v>
      </c>
      <c r="D96" t="s">
        <v>60</v>
      </c>
      <c r="E96" s="2">
        <v>0.99999999999999978</v>
      </c>
      <c r="F96" s="1">
        <v>46174</v>
      </c>
      <c r="G96" s="1">
        <v>46177</v>
      </c>
      <c r="H96" s="1">
        <v>46225</v>
      </c>
      <c r="I96" s="1">
        <v>46210</v>
      </c>
      <c r="K96" s="1">
        <v>46225</v>
      </c>
      <c r="L96" s="3">
        <v>0.43</v>
      </c>
      <c r="M96" s="3">
        <v>1</v>
      </c>
      <c r="N96" s="3">
        <v>0.27906976744186046</v>
      </c>
      <c r="O96" s="3">
        <v>0.18604651162790697</v>
      </c>
      <c r="P96" s="3">
        <v>0.2558139534883721</v>
      </c>
      <c r="Q96" s="3">
        <v>0.18604651162790697</v>
      </c>
      <c r="R96" s="3">
        <v>9.3023255813953487E-2</v>
      </c>
      <c r="S96" s="3">
        <v>0.09</v>
      </c>
      <c r="T96" s="3">
        <v>1</v>
      </c>
      <c r="U96" s="3">
        <v>0.22222222222222221</v>
      </c>
      <c r="V96" s="3">
        <v>0.22222222222222221</v>
      </c>
      <c r="W96" s="3">
        <v>0.1111111111111111</v>
      </c>
      <c r="X96" s="3">
        <v>0.1111111111111111</v>
      </c>
      <c r="Y96" s="3">
        <v>0.1111111111111111</v>
      </c>
      <c r="Z96" s="3">
        <v>0.22222222222222221</v>
      </c>
      <c r="AA96" s="3">
        <v>0.11</v>
      </c>
      <c r="AB96" s="3">
        <v>1</v>
      </c>
      <c r="AC96" s="3">
        <v>0.27272727272727271</v>
      </c>
      <c r="AD96" s="3">
        <v>0.27272727272727271</v>
      </c>
      <c r="AE96" s="3">
        <v>9.0909090909090912E-2</v>
      </c>
      <c r="AF96" s="3">
        <v>0.18181818181818182</v>
      </c>
      <c r="AG96" s="3">
        <v>0.18181818181818182</v>
      </c>
      <c r="AH96" s="3">
        <v>0.36999999999999983</v>
      </c>
      <c r="AI96" s="3">
        <v>0.99999999999999956</v>
      </c>
      <c r="AJ96" s="3">
        <v>5.4054054054054036E-2</v>
      </c>
      <c r="AK96" s="3">
        <v>5.4054054054054036E-2</v>
      </c>
      <c r="AL96" s="3">
        <v>2.7027027027027018E-2</v>
      </c>
      <c r="AM96" s="3">
        <v>8.1081081081081058E-2</v>
      </c>
      <c r="AN96" s="3">
        <v>8.1081081081081058E-2</v>
      </c>
      <c r="AO96" s="3">
        <v>6.7567567567567557E-2</v>
      </c>
      <c r="AP96" s="3">
        <v>5.4054054054054036E-2</v>
      </c>
      <c r="AQ96" s="3">
        <v>1.3513513513513509E-2</v>
      </c>
      <c r="AR96" s="3">
        <v>4.0540540540540529E-2</v>
      </c>
      <c r="AS96" s="3">
        <v>1.3513513513513509E-2</v>
      </c>
      <c r="AT96" s="3">
        <v>8.1081081081081058E-2</v>
      </c>
      <c r="AU96" s="3">
        <v>5.4054054054054036E-2</v>
      </c>
      <c r="AV96" s="3">
        <v>2.7027027027027018E-2</v>
      </c>
      <c r="AW96" s="3">
        <v>5.4054054054054036E-2</v>
      </c>
      <c r="AX96" s="3">
        <v>5.4054054054054036E-2</v>
      </c>
      <c r="AY96" s="3">
        <v>2.7027027027027018E-2</v>
      </c>
      <c r="AZ96" s="3">
        <v>4.0540540540540529E-2</v>
      </c>
      <c r="BA96" s="3">
        <v>5.4054054054054036E-2</v>
      </c>
      <c r="BB96" s="3">
        <v>8.1081081081081058E-2</v>
      </c>
      <c r="BC96" s="3">
        <v>1.3513513513513509E-2</v>
      </c>
      <c r="BD96" s="3">
        <v>2.7027027027027018E-2</v>
      </c>
      <c r="BE96">
        <v>31.32</v>
      </c>
      <c r="BF96" s="3" t="str">
        <f>+IF(AVANCE[[#This Row],[% AVANCE]]=100%,"MODULO TERMINADO",IF(AVANCE[[#This Row],[FECHA INICIO REAL]]="","MODULO NO INICIADO","PENDIENTE"))</f>
        <v>MODULO TERMINADO</v>
      </c>
      <c r="BG96" s="3">
        <f>+IF(AVANCE[[#This Row],[VENTANAS]]=8.10810810810811%,100%,AVANCE[[#This Row],[VENTANAS]])</f>
        <v>1</v>
      </c>
      <c r="BH96" s="3">
        <f>+IF(AVANCE[[#This Row],[PISO]]=N$2,100%,AVANCE[[#This Row],[PISO]])</f>
        <v>1</v>
      </c>
      <c r="BI96" s="3">
        <f>+IF(AVANCE[[#This Row],[TABIQUES]]=O$2,100%,AVANCE[[#This Row],[TABIQUES]])</f>
        <v>1</v>
      </c>
      <c r="BJ96" s="3">
        <f>+IF(AVANCE[[#This Row],[MUROS]]=P$2,100%,AVANCE[[#This Row],[MUROS]])</f>
        <v>1</v>
      </c>
      <c r="BK96" s="3">
        <f>+IF(AVANCE[[#This Row],[CIELO]]=Q$2,100%,AVANCE[[#This Row],[CIELO]])</f>
        <v>1</v>
      </c>
      <c r="BL96" s="3">
        <f>+IF(AVANCE[[#This Row],[BALCÓN]]=R$2,100%,AVANCE[[#This Row],[BALCÓN]])</f>
        <v>1</v>
      </c>
      <c r="BM96" s="3">
        <f>+IF(AVANCE[[#This Row],[RED ALCANTARILLADO]]=U$2,100%,AVANCE[[#This Row],[RED ALCANTARILLADO]])</f>
        <v>1</v>
      </c>
      <c r="BN96" s="3">
        <f>+IF(AVANCE[[#This Row],[RED DE AGUA]]=V$2,100%,AVANCE[[#This Row],[RED DE AGUA]])</f>
        <v>1</v>
      </c>
      <c r="BO96" s="3">
        <f>+IF(AVANCE[[#This Row],[VENTILACIONES]]=W$2,100%,AVANCE[[#This Row],[VENTILACIONES]])</f>
        <v>1</v>
      </c>
      <c r="BP96" s="3">
        <f>+IF(AVANCE[[#This Row],[TINA]]=X$2,100%,AVANCE[[#This Row],[TINA]])</f>
        <v>1</v>
      </c>
      <c r="BQ96" s="3">
        <f>+IF(AVANCE[[#This Row],[WC]]=Y$2,100%,AVANCE[[#This Row],[WC]])</f>
        <v>1</v>
      </c>
      <c r="BR96" s="3">
        <f>+IF(AVANCE[[#This Row],[LAVAMANOS / LAVAPLATOS / LAVADERO]]=Z$2,100%,AVANCE[[#This Row],[LAVAMANOS / LAVAPLATOS / LAVADERO]])</f>
        <v>1</v>
      </c>
      <c r="BS96" s="3">
        <f>+IF(AVANCE[[#This Row],[CANALIZACIÓN]]=AC$2,100%,AVANCE[[#This Row],[CANALIZACIÓN]])</f>
        <v>1</v>
      </c>
      <c r="BT96" s="3">
        <f>+IF(AVANCE[[#This Row],[CABLEADO]]=AD$2,100%,AVANCE[[#This Row],[CABLEADO]])</f>
        <v>1</v>
      </c>
      <c r="BU96" s="3">
        <f>+IF(AVANCE[[#This Row],[ARTEFACTOS]]=AE$2,100%,AVANCE[[#This Row],[ARTEFACTOS]])</f>
        <v>1</v>
      </c>
      <c r="BV96" s="3">
        <f>+IF(AVANCE[[#This Row],[TABLERO]]=AF$2,100%,AVANCE[[#This Row],[TABLERO]])</f>
        <v>1</v>
      </c>
      <c r="BW96" s="3">
        <f>+IF(AVANCE[[#This Row],[CAJA PAU]]=AG$2,100%,AVANCE[[#This Row],[CAJA PAU]])</f>
        <v>1</v>
      </c>
      <c r="BX96" s="3">
        <f>+IF(AVANCE[[#This Row],[INSTALACION VINILICO]]=AJ$2,100%,AVANCE[[#This Row],[INSTALACION VINILICO]])</f>
        <v>1</v>
      </c>
      <c r="BY96" s="3">
        <f>+IF(AVANCE[[#This Row],[OSB CUBIERTA]]=AK$2,100%,AVANCE[[#This Row],[OSB CUBIERTA]])</f>
        <v>1</v>
      </c>
      <c r="BZ96" s="3">
        <f>+IF(AVANCE[[#This Row],[BARANDA BALCON]]=AL$2,100%,AVANCE[[#This Row],[BARANDA BALCON]])</f>
        <v>1</v>
      </c>
      <c r="CA96" s="3">
        <f>+IF(AVANCE[[#This Row],[OSB EXTERIOR]]=AM$2,100%,AVANCE[[#This Row],[OSB EXTERIOR]])</f>
        <v>1</v>
      </c>
      <c r="CB96" s="3">
        <f>+IF(AVANCE[[#This Row],[SMART PANEL]]=AN$2,100%,AVANCE[[#This Row],[SMART PANEL]])</f>
        <v>1</v>
      </c>
      <c r="CC96" s="3">
        <f>+IF(AVANCE[[#This Row],[PINTURA EXTERIOR]]=AO$2,100%,AVANCE[[#This Row],[PINTURA EXTERIOR]])</f>
        <v>1</v>
      </c>
      <c r="CD96" s="3">
        <f>+IF(AVANCE[[#This Row],[ZOCALOS LOGIA]]=AP$2,100%,AVANCE[[#This Row],[ZOCALOS LOGIA]])</f>
        <v>1</v>
      </c>
      <c r="CE96" s="3">
        <f>+IF(AVANCE[[#This Row],[MOLDURAS]]=AQ$2,100%,AVANCE[[#This Row],[MOLDURAS]])</f>
        <v>1</v>
      </c>
      <c r="CF96" s="3">
        <f>+IF(AVANCE[[#This Row],[PILASTREO]]=AR$2,100%,AVANCE[[#This Row],[PILASTREO]])</f>
        <v>1</v>
      </c>
      <c r="CG96" s="3">
        <f>+IF(AVANCE[[#This Row],[CELOSIAS]]=AS$2,100%,AVANCE[[#This Row],[CELOSIAS]])</f>
        <v>1</v>
      </c>
      <c r="CH96" s="3">
        <f>+IF(AVANCE[[#This Row],[VENTANAS]]=AT$2,100%,AVANCE[[#This Row],[VENTANAS]])</f>
        <v>1</v>
      </c>
      <c r="CI96" s="3">
        <f>+IF(AVANCE[[#This Row],[PUERTAS ACCESO - LOGIA - BANO]]=AU$2,100%,AVANCE[[#This Row],[PUERTAS ACCESO - LOGIA - BANO]])</f>
        <v>1</v>
      </c>
      <c r="CJ96" s="3">
        <f>+IF(AVANCE[[#This Row],[CERRADURAS]]=AV$2,100%,AVANCE[[#This Row],[CERRADURAS]])</f>
        <v>1</v>
      </c>
      <c r="CK96" s="3">
        <f>+IF(AVANCE[[#This Row],[REVESTIMIENTO INTERIOR ZONA SECA]]=AW$2,100%,AVANCE[[#This Row],[REVESTIMIENTO INTERIOR ZONA SECA]])</f>
        <v>1</v>
      </c>
      <c r="CL96" s="3">
        <f>+IF(AVANCE[[#This Row],[REVESTIMIENTO INTERIOR ZONAS HUMEDAS]]=AX$2,100%,AVANCE[[#This Row],[REVESTIMIENTO INTERIOR ZONAS HUMEDAS]])</f>
        <v>1</v>
      </c>
      <c r="CM96" s="3">
        <f>+IF(AVANCE[[#This Row],[MEMBRANA CIELO]]=AY$2,100%,AVANCE[[#This Row],[MEMBRANA CIELO]])</f>
        <v>1</v>
      </c>
      <c r="CN96" s="3">
        <f>+IF(AVANCE[[#This Row],[LIMPIEZA FINAL]]=AZ$2,100%,AVANCE[[#This Row],[LIMPIEZA FINAL]])</f>
        <v>1</v>
      </c>
      <c r="CO96" s="3">
        <f>+IF(AVANCE[[#This Row],[PUERTAS DORMITORIO]]=BA$2,100%,AVANCE[[#This Row],[PUERTAS DORMITORIO]])</f>
        <v>1</v>
      </c>
      <c r="CP96" s="3">
        <f>+IF(AVANCE[[#This Row],[REVESTIMIENTO INTERIOR BANO]]=BB$2,100%,AVANCE[[#This Row],[REVESTIMIENTO INTERIOR BANO]])</f>
        <v>1</v>
      </c>
      <c r="CQ96" s="3">
        <f>+IF(AVANCE[[#This Row],[MUEBLE LAVAPLATOS]]=BC$2,100%,AVANCE[[#This Row],[MUEBLE LAVAPLATOS]])</f>
        <v>1</v>
      </c>
      <c r="CR96" s="3">
        <f>+IF(AVANCE[[#This Row],[IMPERMEABILIZACION BANO - COCINA LOGIA]]=BD$2,100%,AVANCE[[#This Row],[IMPERMEABILIZACION BANO - COCINA LOGIA]])</f>
        <v>1</v>
      </c>
      <c r="CS96" s="40">
        <f ca="1">+IF(AVANCE[[#This Row],[ESTADO MODULO]]="PENDIENTE",(TODAY()-AVANCE[[#This Row],[FECHA TERMINO  PLANIFICADO]]),0)</f>
        <v>0</v>
      </c>
      <c r="CT96" s="41" t="str" cm="1">
        <f t="array" ref="CT96">_xlfn.TEXTJOIN(" | ",TRUE,IF(SUMPRODUCT((BG96:CR96&lt;1)*(PARTIDAS!$I$2:$AT$2="OBRA GRUESA"))&gt;0,"OBRA GRUESA: "&amp;_xlfn.TEXTJOIN(", ",TRUE,IF((BG96:CR96&lt;1)*(PARTIDAS!$I$2:$AT$2="OBRA GRUESA"),PARTIDAS!$I$1:$AT$1,"")),""),IF(SUMPRODUCT((BG96:CR96&lt;1)*(PARTIDAS!$I$2:$AT$2="SANITARIOS"))&gt;0,"SANITARIOS: "&amp;_xlfn.TEXTJOIN(", ",TRUE,IF((BG96:CR96&lt;1)*(PARTIDAS!$I$2:$AT$2="SANITARIOS"),PARTIDAS!$I$1:$AT$1,"")),""),IF(SUMPRODUCT((BG96:CR96&lt;1)*(PARTIDAS!$I$2:$AT$2="ELÉCTRICO"))&gt;0,"ELÉCTRICO: "&amp;_xlfn.TEXTJOIN(", ",TRUE,IF((BG96:CR96&lt;1)*(PARTIDAS!$I$2:$AT$2="ELÉCTRICO"),PARTIDAS!$I$1:$AT$1,"")),""),IF(SUMPRODUCT((BG96:CR96&lt;1)*(PARTIDAS!$I$2:$AT$2="TERMINACIONES"))&gt;0,"TERMINACIONES: "&amp;_xlfn.TEXTJOIN(", ",TRUE,IF((BG96:CR96&lt;1)*(PARTIDAS!$I$2:$AT$2="TERMINACIONES"),PARTIDAS!$I$1:$AT$1,"")),""))</f>
        <v/>
      </c>
      <c r="CU96" s="43" t="str" cm="1">
        <f t="array" ref="CU96">_xlfn.TEXTJOIN(", ",TRUE,IF(SUMPRODUCT((BG96:CR96&lt;1)*(PARTIDAS!$I$2:$AT$2="OBRA GRUESA"))&gt;0,"OBRA GRUESA",""),IF(SUMPRODUCT((BG96:CR96&lt;1)*(PARTIDAS!$I$2:$AT$2="SANITARIOS"))&gt;0,"SANITARIOS",""),IF(SUMPRODUCT((BG96:CR96&lt;1)*(PARTIDAS!$I$2:$AT$2="ELÉCTRICO"))&gt;0,"ELÉCTRICO",""),IF(SUMPRODUCT((BG96:CR96&lt;1)*(PARTIDAS!$I$2:$AT$2="TERMINACIONES"))&gt;0,"TERMINACIONES",""))</f>
        <v/>
      </c>
      <c r="CV96" s="44" cm="1">
        <f t="array" ref="CV96">SUMPRODUCT(--(BG96:CR96&lt;1))</f>
        <v>0</v>
      </c>
    </row>
    <row r="97" spans="1:100" hidden="1" x14ac:dyDescent="0.25">
      <c r="A97" t="s">
        <v>124</v>
      </c>
      <c r="B97" t="s">
        <v>156</v>
      </c>
      <c r="C97">
        <v>2282600096</v>
      </c>
      <c r="D97" t="s">
        <v>58</v>
      </c>
      <c r="E97" s="2">
        <v>0.99999999999999978</v>
      </c>
      <c r="F97" s="1">
        <v>46174</v>
      </c>
      <c r="G97" s="1">
        <v>46177</v>
      </c>
      <c r="H97" s="1">
        <v>46218</v>
      </c>
      <c r="I97" s="1">
        <v>46200</v>
      </c>
      <c r="K97" s="1">
        <v>46218</v>
      </c>
      <c r="L97" s="3">
        <v>0.43</v>
      </c>
      <c r="M97" s="3">
        <v>1</v>
      </c>
      <c r="N97" s="3">
        <v>0.27906976744186046</v>
      </c>
      <c r="O97" s="3">
        <v>0.18604651162790697</v>
      </c>
      <c r="P97" s="3">
        <v>0.2558139534883721</v>
      </c>
      <c r="Q97" s="3">
        <v>0.18604651162790697</v>
      </c>
      <c r="R97" s="3">
        <v>9.3023255813953487E-2</v>
      </c>
      <c r="S97" s="3">
        <v>0.09</v>
      </c>
      <c r="T97" s="3">
        <v>1</v>
      </c>
      <c r="U97" s="3">
        <v>0.22222222222222221</v>
      </c>
      <c r="V97" s="3">
        <v>0.22222222222222221</v>
      </c>
      <c r="W97" s="3">
        <v>0.1111111111111111</v>
      </c>
      <c r="X97" s="3">
        <v>0.1111111111111111</v>
      </c>
      <c r="Y97" s="3">
        <v>0.1111111111111111</v>
      </c>
      <c r="Z97" s="3">
        <v>0.22222222222222221</v>
      </c>
      <c r="AA97" s="3">
        <v>0.11</v>
      </c>
      <c r="AB97" s="3">
        <v>1</v>
      </c>
      <c r="AC97" s="3">
        <v>0.27272727272727271</v>
      </c>
      <c r="AD97" s="3">
        <v>0.27272727272727271</v>
      </c>
      <c r="AE97" s="3">
        <v>9.0909090909090912E-2</v>
      </c>
      <c r="AF97" s="3">
        <v>0.18181818181818182</v>
      </c>
      <c r="AG97" s="3">
        <v>0.18181818181818182</v>
      </c>
      <c r="AH97" s="3">
        <v>0.36999999999999983</v>
      </c>
      <c r="AI97" s="3">
        <v>0.99999999999999956</v>
      </c>
      <c r="AJ97" s="3">
        <v>5.4054054054054036E-2</v>
      </c>
      <c r="AK97" s="3">
        <v>5.4054054054054036E-2</v>
      </c>
      <c r="AL97" s="3">
        <v>2.7027027027027018E-2</v>
      </c>
      <c r="AM97" s="3">
        <v>8.1081081081081058E-2</v>
      </c>
      <c r="AN97" s="3">
        <v>8.1081081081081058E-2</v>
      </c>
      <c r="AO97" s="3">
        <v>6.7567567567567557E-2</v>
      </c>
      <c r="AP97" s="3">
        <v>5.4054054054054036E-2</v>
      </c>
      <c r="AQ97" s="3">
        <v>1.3513513513513509E-2</v>
      </c>
      <c r="AR97" s="3">
        <v>4.0540540540540529E-2</v>
      </c>
      <c r="AS97" s="3">
        <v>1.3513513513513509E-2</v>
      </c>
      <c r="AT97" s="3">
        <v>8.1081081081081058E-2</v>
      </c>
      <c r="AU97" s="3">
        <v>5.4054054054054036E-2</v>
      </c>
      <c r="AV97" s="3">
        <v>2.7027027027027018E-2</v>
      </c>
      <c r="AW97" s="3">
        <v>5.4054054054054036E-2</v>
      </c>
      <c r="AX97" s="3">
        <v>5.4054054054054036E-2</v>
      </c>
      <c r="AY97" s="3">
        <v>2.7027027027027018E-2</v>
      </c>
      <c r="AZ97" s="3">
        <v>4.0540540540540529E-2</v>
      </c>
      <c r="BA97" s="3">
        <v>5.4054054054054036E-2</v>
      </c>
      <c r="BB97" s="3">
        <v>8.1081081081081058E-2</v>
      </c>
      <c r="BC97" s="3">
        <v>1.3513513513513509E-2</v>
      </c>
      <c r="BD97" s="3">
        <v>2.7027027027027018E-2</v>
      </c>
      <c r="BE97">
        <v>28.87</v>
      </c>
      <c r="BF97" s="3" t="str">
        <f>+IF(AVANCE[[#This Row],[% AVANCE]]=100%,"MODULO TERMINADO",IF(AVANCE[[#This Row],[FECHA INICIO REAL]]="","MODULO NO INICIADO","PENDIENTE"))</f>
        <v>MODULO TERMINADO</v>
      </c>
      <c r="BG97" s="3">
        <f>+IF(AVANCE[[#This Row],[VENTANAS]]=8.10810810810811%,100%,AVANCE[[#This Row],[VENTANAS]])</f>
        <v>1</v>
      </c>
      <c r="BH97" s="3">
        <f>+IF(AVANCE[[#This Row],[PISO]]=N$2,100%,AVANCE[[#This Row],[PISO]])</f>
        <v>1</v>
      </c>
      <c r="BI97" s="3">
        <f>+IF(AVANCE[[#This Row],[TABIQUES]]=O$2,100%,AVANCE[[#This Row],[TABIQUES]])</f>
        <v>1</v>
      </c>
      <c r="BJ97" s="3">
        <f>+IF(AVANCE[[#This Row],[MUROS]]=P$2,100%,AVANCE[[#This Row],[MUROS]])</f>
        <v>1</v>
      </c>
      <c r="BK97" s="3">
        <f>+IF(AVANCE[[#This Row],[CIELO]]=Q$2,100%,AVANCE[[#This Row],[CIELO]])</f>
        <v>1</v>
      </c>
      <c r="BL97" s="3">
        <f>+IF(AVANCE[[#This Row],[BALCÓN]]=R$2,100%,AVANCE[[#This Row],[BALCÓN]])</f>
        <v>1</v>
      </c>
      <c r="BM97" s="3">
        <f>+IF(AVANCE[[#This Row],[RED ALCANTARILLADO]]=U$2,100%,AVANCE[[#This Row],[RED ALCANTARILLADO]])</f>
        <v>1</v>
      </c>
      <c r="BN97" s="3">
        <f>+IF(AVANCE[[#This Row],[RED DE AGUA]]=V$2,100%,AVANCE[[#This Row],[RED DE AGUA]])</f>
        <v>1</v>
      </c>
      <c r="BO97" s="3">
        <f>+IF(AVANCE[[#This Row],[VENTILACIONES]]=W$2,100%,AVANCE[[#This Row],[VENTILACIONES]])</f>
        <v>1</v>
      </c>
      <c r="BP97" s="3">
        <f>+IF(AVANCE[[#This Row],[TINA]]=X$2,100%,AVANCE[[#This Row],[TINA]])</f>
        <v>1</v>
      </c>
      <c r="BQ97" s="3">
        <f>+IF(AVANCE[[#This Row],[WC]]=Y$2,100%,AVANCE[[#This Row],[WC]])</f>
        <v>1</v>
      </c>
      <c r="BR97" s="3">
        <f>+IF(AVANCE[[#This Row],[LAVAMANOS / LAVAPLATOS / LAVADERO]]=Z$2,100%,AVANCE[[#This Row],[LAVAMANOS / LAVAPLATOS / LAVADERO]])</f>
        <v>1</v>
      </c>
      <c r="BS97" s="3">
        <f>+IF(AVANCE[[#This Row],[CANALIZACIÓN]]=AC$2,100%,AVANCE[[#This Row],[CANALIZACIÓN]])</f>
        <v>1</v>
      </c>
      <c r="BT97" s="3">
        <f>+IF(AVANCE[[#This Row],[CABLEADO]]=AD$2,100%,AVANCE[[#This Row],[CABLEADO]])</f>
        <v>1</v>
      </c>
      <c r="BU97" s="3">
        <f>+IF(AVANCE[[#This Row],[ARTEFACTOS]]=AE$2,100%,AVANCE[[#This Row],[ARTEFACTOS]])</f>
        <v>1</v>
      </c>
      <c r="BV97" s="3">
        <f>+IF(AVANCE[[#This Row],[TABLERO]]=AF$2,100%,AVANCE[[#This Row],[TABLERO]])</f>
        <v>1</v>
      </c>
      <c r="BW97" s="3">
        <f>+IF(AVANCE[[#This Row],[CAJA PAU]]=AG$2,100%,AVANCE[[#This Row],[CAJA PAU]])</f>
        <v>1</v>
      </c>
      <c r="BX97" s="3">
        <f>+IF(AVANCE[[#This Row],[INSTALACION VINILICO]]=AJ$2,100%,AVANCE[[#This Row],[INSTALACION VINILICO]])</f>
        <v>1</v>
      </c>
      <c r="BY97" s="3">
        <f>+IF(AVANCE[[#This Row],[OSB CUBIERTA]]=AK$2,100%,AVANCE[[#This Row],[OSB CUBIERTA]])</f>
        <v>1</v>
      </c>
      <c r="BZ97" s="3">
        <f>+IF(AVANCE[[#This Row],[BARANDA BALCON]]=AL$2,100%,AVANCE[[#This Row],[BARANDA BALCON]])</f>
        <v>1</v>
      </c>
      <c r="CA97" s="3">
        <f>+IF(AVANCE[[#This Row],[OSB EXTERIOR]]=AM$2,100%,AVANCE[[#This Row],[OSB EXTERIOR]])</f>
        <v>1</v>
      </c>
      <c r="CB97" s="3">
        <f>+IF(AVANCE[[#This Row],[SMART PANEL]]=AN$2,100%,AVANCE[[#This Row],[SMART PANEL]])</f>
        <v>1</v>
      </c>
      <c r="CC97" s="3">
        <f>+IF(AVANCE[[#This Row],[PINTURA EXTERIOR]]=AO$2,100%,AVANCE[[#This Row],[PINTURA EXTERIOR]])</f>
        <v>1</v>
      </c>
      <c r="CD97" s="3">
        <f>+IF(AVANCE[[#This Row],[ZOCALOS LOGIA]]=AP$2,100%,AVANCE[[#This Row],[ZOCALOS LOGIA]])</f>
        <v>1</v>
      </c>
      <c r="CE97" s="3">
        <f>+IF(AVANCE[[#This Row],[MOLDURAS]]=AQ$2,100%,AVANCE[[#This Row],[MOLDURAS]])</f>
        <v>1</v>
      </c>
      <c r="CF97" s="3">
        <f>+IF(AVANCE[[#This Row],[PILASTREO]]=AR$2,100%,AVANCE[[#This Row],[PILASTREO]])</f>
        <v>1</v>
      </c>
      <c r="CG97" s="3">
        <f>+IF(AVANCE[[#This Row],[CELOSIAS]]=AS$2,100%,AVANCE[[#This Row],[CELOSIAS]])</f>
        <v>1</v>
      </c>
      <c r="CH97" s="3">
        <f>+IF(AVANCE[[#This Row],[VENTANAS]]=AT$2,100%,AVANCE[[#This Row],[VENTANAS]])</f>
        <v>1</v>
      </c>
      <c r="CI97" s="3">
        <f>+IF(AVANCE[[#This Row],[PUERTAS ACCESO - LOGIA - BANO]]=AU$2,100%,AVANCE[[#This Row],[PUERTAS ACCESO - LOGIA - BANO]])</f>
        <v>1</v>
      </c>
      <c r="CJ97" s="3">
        <f>+IF(AVANCE[[#This Row],[CERRADURAS]]=AV$2,100%,AVANCE[[#This Row],[CERRADURAS]])</f>
        <v>1</v>
      </c>
      <c r="CK97" s="3">
        <f>+IF(AVANCE[[#This Row],[REVESTIMIENTO INTERIOR ZONA SECA]]=AW$2,100%,AVANCE[[#This Row],[REVESTIMIENTO INTERIOR ZONA SECA]])</f>
        <v>1</v>
      </c>
      <c r="CL97" s="3">
        <f>+IF(AVANCE[[#This Row],[REVESTIMIENTO INTERIOR ZONAS HUMEDAS]]=AX$2,100%,AVANCE[[#This Row],[REVESTIMIENTO INTERIOR ZONAS HUMEDAS]])</f>
        <v>1</v>
      </c>
      <c r="CM97" s="3">
        <f>+IF(AVANCE[[#This Row],[MEMBRANA CIELO]]=AY$2,100%,AVANCE[[#This Row],[MEMBRANA CIELO]])</f>
        <v>1</v>
      </c>
      <c r="CN97" s="3">
        <f>+IF(AVANCE[[#This Row],[LIMPIEZA FINAL]]=AZ$2,100%,AVANCE[[#This Row],[LIMPIEZA FINAL]])</f>
        <v>1</v>
      </c>
      <c r="CO97" s="3">
        <f>+IF(AVANCE[[#This Row],[PUERTAS DORMITORIO]]=BA$2,100%,AVANCE[[#This Row],[PUERTAS DORMITORIO]])</f>
        <v>1</v>
      </c>
      <c r="CP97" s="3">
        <f>+IF(AVANCE[[#This Row],[REVESTIMIENTO INTERIOR BANO]]=BB$2,100%,AVANCE[[#This Row],[REVESTIMIENTO INTERIOR BANO]])</f>
        <v>1</v>
      </c>
      <c r="CQ97" s="3">
        <f>+IF(AVANCE[[#This Row],[MUEBLE LAVAPLATOS]]=BC$2,100%,AVANCE[[#This Row],[MUEBLE LAVAPLATOS]])</f>
        <v>1</v>
      </c>
      <c r="CR97" s="3">
        <f>+IF(AVANCE[[#This Row],[IMPERMEABILIZACION BANO - COCINA LOGIA]]=BD$2,100%,AVANCE[[#This Row],[IMPERMEABILIZACION BANO - COCINA LOGIA]])</f>
        <v>1</v>
      </c>
      <c r="CS97" s="40">
        <f ca="1">+IF(AVANCE[[#This Row],[ESTADO MODULO]]="PENDIENTE",(TODAY()-AVANCE[[#This Row],[FECHA TERMINO  PLANIFICADO]]),0)</f>
        <v>0</v>
      </c>
      <c r="CT97" s="41" t="str" cm="1">
        <f t="array" ref="CT97">_xlfn.TEXTJOIN(" | ",TRUE,IF(SUMPRODUCT((BG97:CR97&lt;1)*(PARTIDAS!$I$2:$AT$2="OBRA GRUESA"))&gt;0,"OBRA GRUESA: "&amp;_xlfn.TEXTJOIN(", ",TRUE,IF((BG97:CR97&lt;1)*(PARTIDAS!$I$2:$AT$2="OBRA GRUESA"),PARTIDAS!$I$1:$AT$1,"")),""),IF(SUMPRODUCT((BG97:CR97&lt;1)*(PARTIDAS!$I$2:$AT$2="SANITARIOS"))&gt;0,"SANITARIOS: "&amp;_xlfn.TEXTJOIN(", ",TRUE,IF((BG97:CR97&lt;1)*(PARTIDAS!$I$2:$AT$2="SANITARIOS"),PARTIDAS!$I$1:$AT$1,"")),""),IF(SUMPRODUCT((BG97:CR97&lt;1)*(PARTIDAS!$I$2:$AT$2="ELÉCTRICO"))&gt;0,"ELÉCTRICO: "&amp;_xlfn.TEXTJOIN(", ",TRUE,IF((BG97:CR97&lt;1)*(PARTIDAS!$I$2:$AT$2="ELÉCTRICO"),PARTIDAS!$I$1:$AT$1,"")),""),IF(SUMPRODUCT((BG97:CR97&lt;1)*(PARTIDAS!$I$2:$AT$2="TERMINACIONES"))&gt;0,"TERMINACIONES: "&amp;_xlfn.TEXTJOIN(", ",TRUE,IF((BG97:CR97&lt;1)*(PARTIDAS!$I$2:$AT$2="TERMINACIONES"),PARTIDAS!$I$1:$AT$1,"")),""))</f>
        <v/>
      </c>
      <c r="CU97" s="43" t="str" cm="1">
        <f t="array" ref="CU97">_xlfn.TEXTJOIN(", ",TRUE,IF(SUMPRODUCT((BG97:CR97&lt;1)*(PARTIDAS!$I$2:$AT$2="OBRA GRUESA"))&gt;0,"OBRA GRUESA",""),IF(SUMPRODUCT((BG97:CR97&lt;1)*(PARTIDAS!$I$2:$AT$2="SANITARIOS"))&gt;0,"SANITARIOS",""),IF(SUMPRODUCT((BG97:CR97&lt;1)*(PARTIDAS!$I$2:$AT$2="ELÉCTRICO"))&gt;0,"ELÉCTRICO",""),IF(SUMPRODUCT((BG97:CR97&lt;1)*(PARTIDAS!$I$2:$AT$2="TERMINACIONES"))&gt;0,"TERMINACIONES",""))</f>
        <v/>
      </c>
      <c r="CV97" s="44" cm="1">
        <f t="array" ref="CV97">SUMPRODUCT(--(BG97:CR97&lt;1))</f>
        <v>0</v>
      </c>
    </row>
    <row r="98" spans="1:100" hidden="1" x14ac:dyDescent="0.25">
      <c r="A98" t="s">
        <v>157</v>
      </c>
      <c r="B98" t="s">
        <v>158</v>
      </c>
      <c r="C98">
        <v>2282600097</v>
      </c>
      <c r="D98" t="s">
        <v>58</v>
      </c>
      <c r="E98" s="2">
        <v>0.99999999999999978</v>
      </c>
      <c r="F98" s="1">
        <v>46175</v>
      </c>
      <c r="G98" s="1">
        <v>46184</v>
      </c>
      <c r="H98" s="1">
        <v>46226</v>
      </c>
      <c r="I98" s="1">
        <v>46199</v>
      </c>
      <c r="K98" s="1">
        <v>46226</v>
      </c>
      <c r="L98" s="3">
        <v>0.43</v>
      </c>
      <c r="M98" s="3">
        <v>1</v>
      </c>
      <c r="N98" s="3">
        <v>0.27906976744186046</v>
      </c>
      <c r="O98" s="3">
        <v>0.18604651162790697</v>
      </c>
      <c r="P98" s="3">
        <v>0.2558139534883721</v>
      </c>
      <c r="Q98" s="3">
        <v>0.18604651162790697</v>
      </c>
      <c r="R98" s="3">
        <v>9.3023255813953487E-2</v>
      </c>
      <c r="S98" s="3">
        <v>0.09</v>
      </c>
      <c r="T98" s="3">
        <v>1</v>
      </c>
      <c r="U98" s="3">
        <v>0.22222222222222221</v>
      </c>
      <c r="V98" s="3">
        <v>0.22222222222222221</v>
      </c>
      <c r="W98" s="3">
        <v>0.1111111111111111</v>
      </c>
      <c r="X98" s="3">
        <v>0.1111111111111111</v>
      </c>
      <c r="Y98" s="3">
        <v>0.1111111111111111</v>
      </c>
      <c r="Z98" s="3">
        <v>0.22222222222222221</v>
      </c>
      <c r="AA98" s="3">
        <v>0.11</v>
      </c>
      <c r="AB98" s="3">
        <v>1</v>
      </c>
      <c r="AC98" s="3">
        <v>0.27272727272727271</v>
      </c>
      <c r="AD98" s="3">
        <v>0.27272727272727271</v>
      </c>
      <c r="AE98" s="3">
        <v>9.0909090909090912E-2</v>
      </c>
      <c r="AF98" s="3">
        <v>0.18181818181818182</v>
      </c>
      <c r="AG98" s="3">
        <v>0.18181818181818182</v>
      </c>
      <c r="AH98" s="3">
        <v>0.36999999999999983</v>
      </c>
      <c r="AI98" s="3">
        <v>0.99999999999999956</v>
      </c>
      <c r="AJ98" s="3">
        <v>5.4054054054054036E-2</v>
      </c>
      <c r="AK98" s="3">
        <v>5.4054054054054036E-2</v>
      </c>
      <c r="AL98" s="3">
        <v>2.7027027027027018E-2</v>
      </c>
      <c r="AM98" s="3">
        <v>8.1081081081081058E-2</v>
      </c>
      <c r="AN98" s="3">
        <v>8.1081081081081058E-2</v>
      </c>
      <c r="AO98" s="3">
        <v>6.7567567567567557E-2</v>
      </c>
      <c r="AP98" s="3">
        <v>5.4054054054054036E-2</v>
      </c>
      <c r="AQ98" s="3">
        <v>1.3513513513513509E-2</v>
      </c>
      <c r="AR98" s="3">
        <v>4.0540540540540529E-2</v>
      </c>
      <c r="AS98" s="3">
        <v>1.3513513513513509E-2</v>
      </c>
      <c r="AT98" s="3">
        <v>8.1081081081081058E-2</v>
      </c>
      <c r="AU98" s="3">
        <v>5.4054054054054036E-2</v>
      </c>
      <c r="AV98" s="3">
        <v>2.7027027027027018E-2</v>
      </c>
      <c r="AW98" s="3">
        <v>5.4054054054054036E-2</v>
      </c>
      <c r="AX98" s="3">
        <v>5.4054054054054036E-2</v>
      </c>
      <c r="AY98" s="3">
        <v>2.7027027027027018E-2</v>
      </c>
      <c r="AZ98" s="3">
        <v>4.0540540540540529E-2</v>
      </c>
      <c r="BA98" s="3">
        <v>5.4054054054054036E-2</v>
      </c>
      <c r="BB98" s="3">
        <v>8.1081081081081058E-2</v>
      </c>
      <c r="BC98" s="3">
        <v>1.3513513513513509E-2</v>
      </c>
      <c r="BD98" s="3">
        <v>2.7027027027027018E-2</v>
      </c>
      <c r="BE98">
        <v>28.87</v>
      </c>
      <c r="BF98" s="3" t="str">
        <f>+IF(AVANCE[[#This Row],[% AVANCE]]=100%,"MODULO TERMINADO",IF(AVANCE[[#This Row],[FECHA INICIO REAL]]="","MODULO NO INICIADO","PENDIENTE"))</f>
        <v>MODULO TERMINADO</v>
      </c>
      <c r="BG98" s="3">
        <f>+IF(AVANCE[[#This Row],[VENTANAS]]=8.10810810810811%,100%,AVANCE[[#This Row],[VENTANAS]])</f>
        <v>1</v>
      </c>
      <c r="BH98" s="3">
        <f>+IF(AVANCE[[#This Row],[PISO]]=N$2,100%,AVANCE[[#This Row],[PISO]])</f>
        <v>1</v>
      </c>
      <c r="BI98" s="3">
        <f>+IF(AVANCE[[#This Row],[TABIQUES]]=O$2,100%,AVANCE[[#This Row],[TABIQUES]])</f>
        <v>1</v>
      </c>
      <c r="BJ98" s="3">
        <f>+IF(AVANCE[[#This Row],[MUROS]]=P$2,100%,AVANCE[[#This Row],[MUROS]])</f>
        <v>1</v>
      </c>
      <c r="BK98" s="3">
        <f>+IF(AVANCE[[#This Row],[CIELO]]=Q$2,100%,AVANCE[[#This Row],[CIELO]])</f>
        <v>1</v>
      </c>
      <c r="BL98" s="3">
        <f>+IF(AVANCE[[#This Row],[BALCÓN]]=R$2,100%,AVANCE[[#This Row],[BALCÓN]])</f>
        <v>1</v>
      </c>
      <c r="BM98" s="3">
        <f>+IF(AVANCE[[#This Row],[RED ALCANTARILLADO]]=U$2,100%,AVANCE[[#This Row],[RED ALCANTARILLADO]])</f>
        <v>1</v>
      </c>
      <c r="BN98" s="3">
        <f>+IF(AVANCE[[#This Row],[RED DE AGUA]]=V$2,100%,AVANCE[[#This Row],[RED DE AGUA]])</f>
        <v>1</v>
      </c>
      <c r="BO98" s="3">
        <f>+IF(AVANCE[[#This Row],[VENTILACIONES]]=W$2,100%,AVANCE[[#This Row],[VENTILACIONES]])</f>
        <v>1</v>
      </c>
      <c r="BP98" s="3">
        <f>+IF(AVANCE[[#This Row],[TINA]]=X$2,100%,AVANCE[[#This Row],[TINA]])</f>
        <v>1</v>
      </c>
      <c r="BQ98" s="3">
        <f>+IF(AVANCE[[#This Row],[WC]]=Y$2,100%,AVANCE[[#This Row],[WC]])</f>
        <v>1</v>
      </c>
      <c r="BR98" s="3">
        <f>+IF(AVANCE[[#This Row],[LAVAMANOS / LAVAPLATOS / LAVADERO]]=Z$2,100%,AVANCE[[#This Row],[LAVAMANOS / LAVAPLATOS / LAVADERO]])</f>
        <v>1</v>
      </c>
      <c r="BS98" s="3">
        <f>+IF(AVANCE[[#This Row],[CANALIZACIÓN]]=AC$2,100%,AVANCE[[#This Row],[CANALIZACIÓN]])</f>
        <v>1</v>
      </c>
      <c r="BT98" s="3">
        <f>+IF(AVANCE[[#This Row],[CABLEADO]]=AD$2,100%,AVANCE[[#This Row],[CABLEADO]])</f>
        <v>1</v>
      </c>
      <c r="BU98" s="3">
        <f>+IF(AVANCE[[#This Row],[ARTEFACTOS]]=AE$2,100%,AVANCE[[#This Row],[ARTEFACTOS]])</f>
        <v>1</v>
      </c>
      <c r="BV98" s="3">
        <f>+IF(AVANCE[[#This Row],[TABLERO]]=AF$2,100%,AVANCE[[#This Row],[TABLERO]])</f>
        <v>1</v>
      </c>
      <c r="BW98" s="3">
        <f>+IF(AVANCE[[#This Row],[CAJA PAU]]=AG$2,100%,AVANCE[[#This Row],[CAJA PAU]])</f>
        <v>1</v>
      </c>
      <c r="BX98" s="3">
        <f>+IF(AVANCE[[#This Row],[INSTALACION VINILICO]]=AJ$2,100%,AVANCE[[#This Row],[INSTALACION VINILICO]])</f>
        <v>1</v>
      </c>
      <c r="BY98" s="3">
        <f>+IF(AVANCE[[#This Row],[OSB CUBIERTA]]=AK$2,100%,AVANCE[[#This Row],[OSB CUBIERTA]])</f>
        <v>1</v>
      </c>
      <c r="BZ98" s="3">
        <f>+IF(AVANCE[[#This Row],[BARANDA BALCON]]=AL$2,100%,AVANCE[[#This Row],[BARANDA BALCON]])</f>
        <v>1</v>
      </c>
      <c r="CA98" s="3">
        <f>+IF(AVANCE[[#This Row],[OSB EXTERIOR]]=AM$2,100%,AVANCE[[#This Row],[OSB EXTERIOR]])</f>
        <v>1</v>
      </c>
      <c r="CB98" s="3">
        <f>+IF(AVANCE[[#This Row],[SMART PANEL]]=AN$2,100%,AVANCE[[#This Row],[SMART PANEL]])</f>
        <v>1</v>
      </c>
      <c r="CC98" s="3">
        <f>+IF(AVANCE[[#This Row],[PINTURA EXTERIOR]]=AO$2,100%,AVANCE[[#This Row],[PINTURA EXTERIOR]])</f>
        <v>1</v>
      </c>
      <c r="CD98" s="3">
        <f>+IF(AVANCE[[#This Row],[ZOCALOS LOGIA]]=AP$2,100%,AVANCE[[#This Row],[ZOCALOS LOGIA]])</f>
        <v>1</v>
      </c>
      <c r="CE98" s="3">
        <f>+IF(AVANCE[[#This Row],[MOLDURAS]]=AQ$2,100%,AVANCE[[#This Row],[MOLDURAS]])</f>
        <v>1</v>
      </c>
      <c r="CF98" s="3">
        <f>+IF(AVANCE[[#This Row],[PILASTREO]]=AR$2,100%,AVANCE[[#This Row],[PILASTREO]])</f>
        <v>1</v>
      </c>
      <c r="CG98" s="3">
        <f>+IF(AVANCE[[#This Row],[CELOSIAS]]=AS$2,100%,AVANCE[[#This Row],[CELOSIAS]])</f>
        <v>1</v>
      </c>
      <c r="CH98" s="3">
        <f>+IF(AVANCE[[#This Row],[VENTANAS]]=AT$2,100%,AVANCE[[#This Row],[VENTANAS]])</f>
        <v>1</v>
      </c>
      <c r="CI98" s="3">
        <f>+IF(AVANCE[[#This Row],[PUERTAS ACCESO - LOGIA - BANO]]=AU$2,100%,AVANCE[[#This Row],[PUERTAS ACCESO - LOGIA - BANO]])</f>
        <v>1</v>
      </c>
      <c r="CJ98" s="3">
        <f>+IF(AVANCE[[#This Row],[CERRADURAS]]=AV$2,100%,AVANCE[[#This Row],[CERRADURAS]])</f>
        <v>1</v>
      </c>
      <c r="CK98" s="3">
        <f>+IF(AVANCE[[#This Row],[REVESTIMIENTO INTERIOR ZONA SECA]]=AW$2,100%,AVANCE[[#This Row],[REVESTIMIENTO INTERIOR ZONA SECA]])</f>
        <v>1</v>
      </c>
      <c r="CL98" s="3">
        <f>+IF(AVANCE[[#This Row],[REVESTIMIENTO INTERIOR ZONAS HUMEDAS]]=AX$2,100%,AVANCE[[#This Row],[REVESTIMIENTO INTERIOR ZONAS HUMEDAS]])</f>
        <v>1</v>
      </c>
      <c r="CM98" s="3">
        <f>+IF(AVANCE[[#This Row],[MEMBRANA CIELO]]=AY$2,100%,AVANCE[[#This Row],[MEMBRANA CIELO]])</f>
        <v>1</v>
      </c>
      <c r="CN98" s="3">
        <f>+IF(AVANCE[[#This Row],[LIMPIEZA FINAL]]=AZ$2,100%,AVANCE[[#This Row],[LIMPIEZA FINAL]])</f>
        <v>1</v>
      </c>
      <c r="CO98" s="3">
        <f>+IF(AVANCE[[#This Row],[PUERTAS DORMITORIO]]=BA$2,100%,AVANCE[[#This Row],[PUERTAS DORMITORIO]])</f>
        <v>1</v>
      </c>
      <c r="CP98" s="3">
        <f>+IF(AVANCE[[#This Row],[REVESTIMIENTO INTERIOR BANO]]=BB$2,100%,AVANCE[[#This Row],[REVESTIMIENTO INTERIOR BANO]])</f>
        <v>1</v>
      </c>
      <c r="CQ98" s="3">
        <f>+IF(AVANCE[[#This Row],[MUEBLE LAVAPLATOS]]=BC$2,100%,AVANCE[[#This Row],[MUEBLE LAVAPLATOS]])</f>
        <v>1</v>
      </c>
      <c r="CR98" s="3">
        <f>+IF(AVANCE[[#This Row],[IMPERMEABILIZACION BANO - COCINA LOGIA]]=BD$2,100%,AVANCE[[#This Row],[IMPERMEABILIZACION BANO - COCINA LOGIA]])</f>
        <v>1</v>
      </c>
      <c r="CS98" s="40">
        <f ca="1">+IF(AVANCE[[#This Row],[ESTADO MODULO]]="PENDIENTE",(TODAY()-AVANCE[[#This Row],[FECHA TERMINO  PLANIFICADO]]),0)</f>
        <v>0</v>
      </c>
      <c r="CT98" s="41" t="str" cm="1">
        <f t="array" ref="CT98">_xlfn.TEXTJOIN(" | ",TRUE,IF(SUMPRODUCT((BG98:CR98&lt;1)*(PARTIDAS!$I$2:$AT$2="OBRA GRUESA"))&gt;0,"OBRA GRUESA: "&amp;_xlfn.TEXTJOIN(", ",TRUE,IF((BG98:CR98&lt;1)*(PARTIDAS!$I$2:$AT$2="OBRA GRUESA"),PARTIDAS!$I$1:$AT$1,"")),""),IF(SUMPRODUCT((BG98:CR98&lt;1)*(PARTIDAS!$I$2:$AT$2="SANITARIOS"))&gt;0,"SANITARIOS: "&amp;_xlfn.TEXTJOIN(", ",TRUE,IF((BG98:CR98&lt;1)*(PARTIDAS!$I$2:$AT$2="SANITARIOS"),PARTIDAS!$I$1:$AT$1,"")),""),IF(SUMPRODUCT((BG98:CR98&lt;1)*(PARTIDAS!$I$2:$AT$2="ELÉCTRICO"))&gt;0,"ELÉCTRICO: "&amp;_xlfn.TEXTJOIN(", ",TRUE,IF((BG98:CR98&lt;1)*(PARTIDAS!$I$2:$AT$2="ELÉCTRICO"),PARTIDAS!$I$1:$AT$1,"")),""),IF(SUMPRODUCT((BG98:CR98&lt;1)*(PARTIDAS!$I$2:$AT$2="TERMINACIONES"))&gt;0,"TERMINACIONES: "&amp;_xlfn.TEXTJOIN(", ",TRUE,IF((BG98:CR98&lt;1)*(PARTIDAS!$I$2:$AT$2="TERMINACIONES"),PARTIDAS!$I$1:$AT$1,"")),""))</f>
        <v/>
      </c>
      <c r="CU98" s="43" t="str" cm="1">
        <f t="array" ref="CU98">_xlfn.TEXTJOIN(", ",TRUE,IF(SUMPRODUCT((BG98:CR98&lt;1)*(PARTIDAS!$I$2:$AT$2="OBRA GRUESA"))&gt;0,"OBRA GRUESA",""),IF(SUMPRODUCT((BG98:CR98&lt;1)*(PARTIDAS!$I$2:$AT$2="SANITARIOS"))&gt;0,"SANITARIOS",""),IF(SUMPRODUCT((BG98:CR98&lt;1)*(PARTIDAS!$I$2:$AT$2="ELÉCTRICO"))&gt;0,"ELÉCTRICO",""),IF(SUMPRODUCT((BG98:CR98&lt;1)*(PARTIDAS!$I$2:$AT$2="TERMINACIONES"))&gt;0,"TERMINACIONES",""))</f>
        <v/>
      </c>
      <c r="CV98" s="44" cm="1">
        <f t="array" ref="CV98">SUMPRODUCT(--(BG98:CR98&lt;1))</f>
        <v>0</v>
      </c>
    </row>
    <row r="99" spans="1:100" hidden="1" x14ac:dyDescent="0.25">
      <c r="A99" t="s">
        <v>157</v>
      </c>
      <c r="B99" t="s">
        <v>159</v>
      </c>
      <c r="C99">
        <v>2302600098</v>
      </c>
      <c r="D99" t="s">
        <v>60</v>
      </c>
      <c r="E99" s="2">
        <v>0.99999999999999978</v>
      </c>
      <c r="F99" s="1">
        <v>46175</v>
      </c>
      <c r="G99" s="1">
        <v>46184</v>
      </c>
      <c r="H99" s="1">
        <v>46227</v>
      </c>
      <c r="I99" s="1">
        <v>46209</v>
      </c>
      <c r="K99" s="1">
        <v>46227</v>
      </c>
      <c r="L99" s="3">
        <v>0.43</v>
      </c>
      <c r="M99" s="3">
        <v>1</v>
      </c>
      <c r="N99" s="3">
        <v>0.27906976744186046</v>
      </c>
      <c r="O99" s="3">
        <v>0.18604651162790697</v>
      </c>
      <c r="P99" s="3">
        <v>0.2558139534883721</v>
      </c>
      <c r="Q99" s="3">
        <v>0.18604651162790697</v>
      </c>
      <c r="R99" s="3">
        <v>9.3023255813953487E-2</v>
      </c>
      <c r="S99" s="3">
        <v>0.09</v>
      </c>
      <c r="T99" s="3">
        <v>1</v>
      </c>
      <c r="U99" s="3">
        <v>0.22222222222222221</v>
      </c>
      <c r="V99" s="3">
        <v>0.22222222222222221</v>
      </c>
      <c r="W99" s="3">
        <v>0.1111111111111111</v>
      </c>
      <c r="X99" s="3">
        <v>0.1111111111111111</v>
      </c>
      <c r="Y99" s="3">
        <v>0.1111111111111111</v>
      </c>
      <c r="Z99" s="3">
        <v>0.22222222222222221</v>
      </c>
      <c r="AA99" s="3">
        <v>0.11</v>
      </c>
      <c r="AB99" s="3">
        <v>1</v>
      </c>
      <c r="AC99" s="3">
        <v>0.27272727272727271</v>
      </c>
      <c r="AD99" s="3">
        <v>0.27272727272727271</v>
      </c>
      <c r="AE99" s="3">
        <v>9.0909090909090912E-2</v>
      </c>
      <c r="AF99" s="3">
        <v>0.18181818181818182</v>
      </c>
      <c r="AG99" s="3">
        <v>0.18181818181818182</v>
      </c>
      <c r="AH99" s="3">
        <v>0.36999999999999983</v>
      </c>
      <c r="AI99" s="3">
        <v>0.99999999999999956</v>
      </c>
      <c r="AJ99" s="3">
        <v>5.4054054054054036E-2</v>
      </c>
      <c r="AK99" s="3">
        <v>5.4054054054054036E-2</v>
      </c>
      <c r="AL99" s="3">
        <v>2.7027027027027018E-2</v>
      </c>
      <c r="AM99" s="3">
        <v>8.1081081081081058E-2</v>
      </c>
      <c r="AN99" s="3">
        <v>8.1081081081081058E-2</v>
      </c>
      <c r="AO99" s="3">
        <v>6.7567567567567557E-2</v>
      </c>
      <c r="AP99" s="3">
        <v>5.4054054054054036E-2</v>
      </c>
      <c r="AQ99" s="3">
        <v>1.3513513513513509E-2</v>
      </c>
      <c r="AR99" s="3">
        <v>4.0540540540540529E-2</v>
      </c>
      <c r="AS99" s="3">
        <v>1.3513513513513509E-2</v>
      </c>
      <c r="AT99" s="3">
        <v>8.1081081081081058E-2</v>
      </c>
      <c r="AU99" s="3">
        <v>5.4054054054054036E-2</v>
      </c>
      <c r="AV99" s="3">
        <v>2.7027027027027018E-2</v>
      </c>
      <c r="AW99" s="3">
        <v>5.4054054054054036E-2</v>
      </c>
      <c r="AX99" s="3">
        <v>5.4054054054054036E-2</v>
      </c>
      <c r="AY99" s="3">
        <v>2.7027027027027018E-2</v>
      </c>
      <c r="AZ99" s="3">
        <v>4.0540540540540529E-2</v>
      </c>
      <c r="BA99" s="3">
        <v>5.4054054054054036E-2</v>
      </c>
      <c r="BB99" s="3">
        <v>8.1081081081081058E-2</v>
      </c>
      <c r="BC99" s="3">
        <v>1.3513513513513509E-2</v>
      </c>
      <c r="BD99" s="3">
        <v>2.7027027027027018E-2</v>
      </c>
      <c r="BE99">
        <v>31.32</v>
      </c>
      <c r="BF99" s="3" t="str">
        <f>+IF(AVANCE[[#This Row],[% AVANCE]]=100%,"MODULO TERMINADO",IF(AVANCE[[#This Row],[FECHA INICIO REAL]]="","MODULO NO INICIADO","PENDIENTE"))</f>
        <v>MODULO TERMINADO</v>
      </c>
      <c r="BG99" s="3">
        <f>+IF(AVANCE[[#This Row],[VENTANAS]]=8.10810810810811%,100%,AVANCE[[#This Row],[VENTANAS]])</f>
        <v>1</v>
      </c>
      <c r="BH99" s="3">
        <f>+IF(AVANCE[[#This Row],[PISO]]=N$2,100%,AVANCE[[#This Row],[PISO]])</f>
        <v>1</v>
      </c>
      <c r="BI99" s="3">
        <f>+IF(AVANCE[[#This Row],[TABIQUES]]=O$2,100%,AVANCE[[#This Row],[TABIQUES]])</f>
        <v>1</v>
      </c>
      <c r="BJ99" s="3">
        <f>+IF(AVANCE[[#This Row],[MUROS]]=P$2,100%,AVANCE[[#This Row],[MUROS]])</f>
        <v>1</v>
      </c>
      <c r="BK99" s="3">
        <f>+IF(AVANCE[[#This Row],[CIELO]]=Q$2,100%,AVANCE[[#This Row],[CIELO]])</f>
        <v>1</v>
      </c>
      <c r="BL99" s="3">
        <f>+IF(AVANCE[[#This Row],[BALCÓN]]=R$2,100%,AVANCE[[#This Row],[BALCÓN]])</f>
        <v>1</v>
      </c>
      <c r="BM99" s="3">
        <f>+IF(AVANCE[[#This Row],[RED ALCANTARILLADO]]=U$2,100%,AVANCE[[#This Row],[RED ALCANTARILLADO]])</f>
        <v>1</v>
      </c>
      <c r="BN99" s="3">
        <f>+IF(AVANCE[[#This Row],[RED DE AGUA]]=V$2,100%,AVANCE[[#This Row],[RED DE AGUA]])</f>
        <v>1</v>
      </c>
      <c r="BO99" s="3">
        <f>+IF(AVANCE[[#This Row],[VENTILACIONES]]=W$2,100%,AVANCE[[#This Row],[VENTILACIONES]])</f>
        <v>1</v>
      </c>
      <c r="BP99" s="3">
        <f>+IF(AVANCE[[#This Row],[TINA]]=X$2,100%,AVANCE[[#This Row],[TINA]])</f>
        <v>1</v>
      </c>
      <c r="BQ99" s="3">
        <f>+IF(AVANCE[[#This Row],[WC]]=Y$2,100%,AVANCE[[#This Row],[WC]])</f>
        <v>1</v>
      </c>
      <c r="BR99" s="3">
        <f>+IF(AVANCE[[#This Row],[LAVAMANOS / LAVAPLATOS / LAVADERO]]=Z$2,100%,AVANCE[[#This Row],[LAVAMANOS / LAVAPLATOS / LAVADERO]])</f>
        <v>1</v>
      </c>
      <c r="BS99" s="3">
        <f>+IF(AVANCE[[#This Row],[CANALIZACIÓN]]=AC$2,100%,AVANCE[[#This Row],[CANALIZACIÓN]])</f>
        <v>1</v>
      </c>
      <c r="BT99" s="3">
        <f>+IF(AVANCE[[#This Row],[CABLEADO]]=AD$2,100%,AVANCE[[#This Row],[CABLEADO]])</f>
        <v>1</v>
      </c>
      <c r="BU99" s="3">
        <f>+IF(AVANCE[[#This Row],[ARTEFACTOS]]=AE$2,100%,AVANCE[[#This Row],[ARTEFACTOS]])</f>
        <v>1</v>
      </c>
      <c r="BV99" s="3">
        <f>+IF(AVANCE[[#This Row],[TABLERO]]=AF$2,100%,AVANCE[[#This Row],[TABLERO]])</f>
        <v>1</v>
      </c>
      <c r="BW99" s="3">
        <f>+IF(AVANCE[[#This Row],[CAJA PAU]]=AG$2,100%,AVANCE[[#This Row],[CAJA PAU]])</f>
        <v>1</v>
      </c>
      <c r="BX99" s="3">
        <f>+IF(AVANCE[[#This Row],[INSTALACION VINILICO]]=AJ$2,100%,AVANCE[[#This Row],[INSTALACION VINILICO]])</f>
        <v>1</v>
      </c>
      <c r="BY99" s="3">
        <f>+IF(AVANCE[[#This Row],[OSB CUBIERTA]]=AK$2,100%,AVANCE[[#This Row],[OSB CUBIERTA]])</f>
        <v>1</v>
      </c>
      <c r="BZ99" s="3">
        <f>+IF(AVANCE[[#This Row],[BARANDA BALCON]]=AL$2,100%,AVANCE[[#This Row],[BARANDA BALCON]])</f>
        <v>1</v>
      </c>
      <c r="CA99" s="3">
        <f>+IF(AVANCE[[#This Row],[OSB EXTERIOR]]=AM$2,100%,AVANCE[[#This Row],[OSB EXTERIOR]])</f>
        <v>1</v>
      </c>
      <c r="CB99" s="3">
        <f>+IF(AVANCE[[#This Row],[SMART PANEL]]=AN$2,100%,AVANCE[[#This Row],[SMART PANEL]])</f>
        <v>1</v>
      </c>
      <c r="CC99" s="3">
        <f>+IF(AVANCE[[#This Row],[PINTURA EXTERIOR]]=AO$2,100%,AVANCE[[#This Row],[PINTURA EXTERIOR]])</f>
        <v>1</v>
      </c>
      <c r="CD99" s="3">
        <f>+IF(AVANCE[[#This Row],[ZOCALOS LOGIA]]=AP$2,100%,AVANCE[[#This Row],[ZOCALOS LOGIA]])</f>
        <v>1</v>
      </c>
      <c r="CE99" s="3">
        <f>+IF(AVANCE[[#This Row],[MOLDURAS]]=AQ$2,100%,AVANCE[[#This Row],[MOLDURAS]])</f>
        <v>1</v>
      </c>
      <c r="CF99" s="3">
        <f>+IF(AVANCE[[#This Row],[PILASTREO]]=AR$2,100%,AVANCE[[#This Row],[PILASTREO]])</f>
        <v>1</v>
      </c>
      <c r="CG99" s="3">
        <f>+IF(AVANCE[[#This Row],[CELOSIAS]]=AS$2,100%,AVANCE[[#This Row],[CELOSIAS]])</f>
        <v>1</v>
      </c>
      <c r="CH99" s="3">
        <f>+IF(AVANCE[[#This Row],[VENTANAS]]=AT$2,100%,AVANCE[[#This Row],[VENTANAS]])</f>
        <v>1</v>
      </c>
      <c r="CI99" s="3">
        <f>+IF(AVANCE[[#This Row],[PUERTAS ACCESO - LOGIA - BANO]]=AU$2,100%,AVANCE[[#This Row],[PUERTAS ACCESO - LOGIA - BANO]])</f>
        <v>1</v>
      </c>
      <c r="CJ99" s="3">
        <f>+IF(AVANCE[[#This Row],[CERRADURAS]]=AV$2,100%,AVANCE[[#This Row],[CERRADURAS]])</f>
        <v>1</v>
      </c>
      <c r="CK99" s="3">
        <f>+IF(AVANCE[[#This Row],[REVESTIMIENTO INTERIOR ZONA SECA]]=AW$2,100%,AVANCE[[#This Row],[REVESTIMIENTO INTERIOR ZONA SECA]])</f>
        <v>1</v>
      </c>
      <c r="CL99" s="3">
        <f>+IF(AVANCE[[#This Row],[REVESTIMIENTO INTERIOR ZONAS HUMEDAS]]=AX$2,100%,AVANCE[[#This Row],[REVESTIMIENTO INTERIOR ZONAS HUMEDAS]])</f>
        <v>1</v>
      </c>
      <c r="CM99" s="3">
        <f>+IF(AVANCE[[#This Row],[MEMBRANA CIELO]]=AY$2,100%,AVANCE[[#This Row],[MEMBRANA CIELO]])</f>
        <v>1</v>
      </c>
      <c r="CN99" s="3">
        <f>+IF(AVANCE[[#This Row],[LIMPIEZA FINAL]]=AZ$2,100%,AVANCE[[#This Row],[LIMPIEZA FINAL]])</f>
        <v>1</v>
      </c>
      <c r="CO99" s="3">
        <f>+IF(AVANCE[[#This Row],[PUERTAS DORMITORIO]]=BA$2,100%,AVANCE[[#This Row],[PUERTAS DORMITORIO]])</f>
        <v>1</v>
      </c>
      <c r="CP99" s="3">
        <f>+IF(AVANCE[[#This Row],[REVESTIMIENTO INTERIOR BANO]]=BB$2,100%,AVANCE[[#This Row],[REVESTIMIENTO INTERIOR BANO]])</f>
        <v>1</v>
      </c>
      <c r="CQ99" s="3">
        <f>+IF(AVANCE[[#This Row],[MUEBLE LAVAPLATOS]]=BC$2,100%,AVANCE[[#This Row],[MUEBLE LAVAPLATOS]])</f>
        <v>1</v>
      </c>
      <c r="CR99" s="3">
        <f>+IF(AVANCE[[#This Row],[IMPERMEABILIZACION BANO - COCINA LOGIA]]=BD$2,100%,AVANCE[[#This Row],[IMPERMEABILIZACION BANO - COCINA LOGIA]])</f>
        <v>1</v>
      </c>
      <c r="CS99" s="40">
        <f ca="1">+IF(AVANCE[[#This Row],[ESTADO MODULO]]="PENDIENTE",(TODAY()-AVANCE[[#This Row],[FECHA TERMINO  PLANIFICADO]]),0)</f>
        <v>0</v>
      </c>
      <c r="CT99" s="41" t="str" cm="1">
        <f t="array" ref="CT99">_xlfn.TEXTJOIN(" | ",TRUE,IF(SUMPRODUCT((BG99:CR99&lt;1)*(PARTIDAS!$I$2:$AT$2="OBRA GRUESA"))&gt;0,"OBRA GRUESA: "&amp;_xlfn.TEXTJOIN(", ",TRUE,IF((BG99:CR99&lt;1)*(PARTIDAS!$I$2:$AT$2="OBRA GRUESA"),PARTIDAS!$I$1:$AT$1,"")),""),IF(SUMPRODUCT((BG99:CR99&lt;1)*(PARTIDAS!$I$2:$AT$2="SANITARIOS"))&gt;0,"SANITARIOS: "&amp;_xlfn.TEXTJOIN(", ",TRUE,IF((BG99:CR99&lt;1)*(PARTIDAS!$I$2:$AT$2="SANITARIOS"),PARTIDAS!$I$1:$AT$1,"")),""),IF(SUMPRODUCT((BG99:CR99&lt;1)*(PARTIDAS!$I$2:$AT$2="ELÉCTRICO"))&gt;0,"ELÉCTRICO: "&amp;_xlfn.TEXTJOIN(", ",TRUE,IF((BG99:CR99&lt;1)*(PARTIDAS!$I$2:$AT$2="ELÉCTRICO"),PARTIDAS!$I$1:$AT$1,"")),""),IF(SUMPRODUCT((BG99:CR99&lt;1)*(PARTIDAS!$I$2:$AT$2="TERMINACIONES"))&gt;0,"TERMINACIONES: "&amp;_xlfn.TEXTJOIN(", ",TRUE,IF((BG99:CR99&lt;1)*(PARTIDAS!$I$2:$AT$2="TERMINACIONES"),PARTIDAS!$I$1:$AT$1,"")),""))</f>
        <v/>
      </c>
      <c r="CU99" s="43" t="str" cm="1">
        <f t="array" ref="CU99">_xlfn.TEXTJOIN(", ",TRUE,IF(SUMPRODUCT((BG99:CR99&lt;1)*(PARTIDAS!$I$2:$AT$2="OBRA GRUESA"))&gt;0,"OBRA GRUESA",""),IF(SUMPRODUCT((BG99:CR99&lt;1)*(PARTIDAS!$I$2:$AT$2="SANITARIOS"))&gt;0,"SANITARIOS",""),IF(SUMPRODUCT((BG99:CR99&lt;1)*(PARTIDAS!$I$2:$AT$2="ELÉCTRICO"))&gt;0,"ELÉCTRICO",""),IF(SUMPRODUCT((BG99:CR99&lt;1)*(PARTIDAS!$I$2:$AT$2="TERMINACIONES"))&gt;0,"TERMINACIONES",""))</f>
        <v/>
      </c>
      <c r="CV99" s="44" cm="1">
        <f t="array" ref="CV99">SUMPRODUCT(--(BG99:CR99&lt;1))</f>
        <v>0</v>
      </c>
    </row>
    <row r="100" spans="1:100" hidden="1" x14ac:dyDescent="0.25">
      <c r="A100" t="s">
        <v>157</v>
      </c>
      <c r="B100" t="s">
        <v>160</v>
      </c>
      <c r="C100">
        <v>2302600099</v>
      </c>
      <c r="D100" t="s">
        <v>60</v>
      </c>
      <c r="E100" s="2">
        <v>0.99999999999999978</v>
      </c>
      <c r="F100" s="1">
        <v>46176</v>
      </c>
      <c r="G100" s="1">
        <v>46192</v>
      </c>
      <c r="H100" s="1">
        <v>46227</v>
      </c>
      <c r="I100" s="1">
        <v>46210</v>
      </c>
      <c r="K100" s="1">
        <v>46227</v>
      </c>
      <c r="L100" s="3">
        <v>0.43</v>
      </c>
      <c r="M100" s="3">
        <v>1</v>
      </c>
      <c r="N100" s="3">
        <v>0.27906976744186046</v>
      </c>
      <c r="O100" s="3">
        <v>0.18604651162790697</v>
      </c>
      <c r="P100" s="3">
        <v>0.2558139534883721</v>
      </c>
      <c r="Q100" s="3">
        <v>0.18604651162790697</v>
      </c>
      <c r="R100" s="3">
        <v>9.3023255813953487E-2</v>
      </c>
      <c r="S100" s="3">
        <v>0.09</v>
      </c>
      <c r="T100" s="3">
        <v>1</v>
      </c>
      <c r="U100" s="3">
        <v>0.22222222222222221</v>
      </c>
      <c r="V100" s="3">
        <v>0.22222222222222221</v>
      </c>
      <c r="W100" s="3">
        <v>0.1111111111111111</v>
      </c>
      <c r="X100" s="3">
        <v>0.1111111111111111</v>
      </c>
      <c r="Y100" s="3">
        <v>0.1111111111111111</v>
      </c>
      <c r="Z100" s="3">
        <v>0.22222222222222221</v>
      </c>
      <c r="AA100" s="3">
        <v>0.11</v>
      </c>
      <c r="AB100" s="3">
        <v>1</v>
      </c>
      <c r="AC100" s="3">
        <v>0.27272727272727271</v>
      </c>
      <c r="AD100" s="3">
        <v>0.27272727272727271</v>
      </c>
      <c r="AE100" s="3">
        <v>9.0909090909090912E-2</v>
      </c>
      <c r="AF100" s="3">
        <v>0.18181818181818182</v>
      </c>
      <c r="AG100" s="3">
        <v>0.18181818181818182</v>
      </c>
      <c r="AH100" s="3">
        <v>0.36999999999999983</v>
      </c>
      <c r="AI100" s="3">
        <v>0.99999999999999956</v>
      </c>
      <c r="AJ100" s="3">
        <v>5.4054054054054036E-2</v>
      </c>
      <c r="AK100" s="3">
        <v>5.4054054054054036E-2</v>
      </c>
      <c r="AL100" s="3">
        <v>2.7027027027027018E-2</v>
      </c>
      <c r="AM100" s="3">
        <v>8.1081081081081058E-2</v>
      </c>
      <c r="AN100" s="3">
        <v>8.1081081081081058E-2</v>
      </c>
      <c r="AO100" s="3">
        <v>6.7567567567567557E-2</v>
      </c>
      <c r="AP100" s="3">
        <v>5.4054054054054036E-2</v>
      </c>
      <c r="AQ100" s="3">
        <v>1.3513513513513509E-2</v>
      </c>
      <c r="AR100" s="3">
        <v>4.0540540540540529E-2</v>
      </c>
      <c r="AS100" s="3">
        <v>1.3513513513513509E-2</v>
      </c>
      <c r="AT100" s="3">
        <v>8.1081081081081058E-2</v>
      </c>
      <c r="AU100" s="3">
        <v>5.4054054054054036E-2</v>
      </c>
      <c r="AV100" s="3">
        <v>2.7027027027027018E-2</v>
      </c>
      <c r="AW100" s="3">
        <v>5.4054054054054036E-2</v>
      </c>
      <c r="AX100" s="3">
        <v>5.4054054054054036E-2</v>
      </c>
      <c r="AY100" s="3">
        <v>2.7027027027027018E-2</v>
      </c>
      <c r="AZ100" s="3">
        <v>4.0540540540540529E-2</v>
      </c>
      <c r="BA100" s="3">
        <v>5.4054054054054036E-2</v>
      </c>
      <c r="BB100" s="3">
        <v>8.1081081081081058E-2</v>
      </c>
      <c r="BC100" s="3">
        <v>1.3513513513513509E-2</v>
      </c>
      <c r="BD100" s="3">
        <v>2.7027027027027018E-2</v>
      </c>
      <c r="BE100">
        <v>31.32</v>
      </c>
      <c r="BF100" s="3" t="str">
        <f>+IF(AVANCE[[#This Row],[% AVANCE]]=100%,"MODULO TERMINADO",IF(AVANCE[[#This Row],[FECHA INICIO REAL]]="","MODULO NO INICIADO","PENDIENTE"))</f>
        <v>MODULO TERMINADO</v>
      </c>
      <c r="BG100" s="3">
        <f>+IF(AVANCE[[#This Row],[VENTANAS]]=8.10810810810811%,100%,AVANCE[[#This Row],[VENTANAS]])</f>
        <v>1</v>
      </c>
      <c r="BH100" s="3">
        <f>+IF(AVANCE[[#This Row],[PISO]]=N$2,100%,AVANCE[[#This Row],[PISO]])</f>
        <v>1</v>
      </c>
      <c r="BI100" s="3">
        <f>+IF(AVANCE[[#This Row],[TABIQUES]]=O$2,100%,AVANCE[[#This Row],[TABIQUES]])</f>
        <v>1</v>
      </c>
      <c r="BJ100" s="3">
        <f>+IF(AVANCE[[#This Row],[MUROS]]=P$2,100%,AVANCE[[#This Row],[MUROS]])</f>
        <v>1</v>
      </c>
      <c r="BK100" s="3">
        <f>+IF(AVANCE[[#This Row],[CIELO]]=Q$2,100%,AVANCE[[#This Row],[CIELO]])</f>
        <v>1</v>
      </c>
      <c r="BL100" s="3">
        <f>+IF(AVANCE[[#This Row],[BALCÓN]]=R$2,100%,AVANCE[[#This Row],[BALCÓN]])</f>
        <v>1</v>
      </c>
      <c r="BM100" s="3">
        <f>+IF(AVANCE[[#This Row],[RED ALCANTARILLADO]]=U$2,100%,AVANCE[[#This Row],[RED ALCANTARILLADO]])</f>
        <v>1</v>
      </c>
      <c r="BN100" s="3">
        <f>+IF(AVANCE[[#This Row],[RED DE AGUA]]=V$2,100%,AVANCE[[#This Row],[RED DE AGUA]])</f>
        <v>1</v>
      </c>
      <c r="BO100" s="3">
        <f>+IF(AVANCE[[#This Row],[VENTILACIONES]]=W$2,100%,AVANCE[[#This Row],[VENTILACIONES]])</f>
        <v>1</v>
      </c>
      <c r="BP100" s="3">
        <f>+IF(AVANCE[[#This Row],[TINA]]=X$2,100%,AVANCE[[#This Row],[TINA]])</f>
        <v>1</v>
      </c>
      <c r="BQ100" s="3">
        <f>+IF(AVANCE[[#This Row],[WC]]=Y$2,100%,AVANCE[[#This Row],[WC]])</f>
        <v>1</v>
      </c>
      <c r="BR100" s="3">
        <f>+IF(AVANCE[[#This Row],[LAVAMANOS / LAVAPLATOS / LAVADERO]]=Z$2,100%,AVANCE[[#This Row],[LAVAMANOS / LAVAPLATOS / LAVADERO]])</f>
        <v>1</v>
      </c>
      <c r="BS100" s="3">
        <f>+IF(AVANCE[[#This Row],[CANALIZACIÓN]]=AC$2,100%,AVANCE[[#This Row],[CANALIZACIÓN]])</f>
        <v>1</v>
      </c>
      <c r="BT100" s="3">
        <f>+IF(AVANCE[[#This Row],[CABLEADO]]=AD$2,100%,AVANCE[[#This Row],[CABLEADO]])</f>
        <v>1</v>
      </c>
      <c r="BU100" s="3">
        <f>+IF(AVANCE[[#This Row],[ARTEFACTOS]]=AE$2,100%,AVANCE[[#This Row],[ARTEFACTOS]])</f>
        <v>1</v>
      </c>
      <c r="BV100" s="3">
        <f>+IF(AVANCE[[#This Row],[TABLERO]]=AF$2,100%,AVANCE[[#This Row],[TABLERO]])</f>
        <v>1</v>
      </c>
      <c r="BW100" s="3">
        <f>+IF(AVANCE[[#This Row],[CAJA PAU]]=AG$2,100%,AVANCE[[#This Row],[CAJA PAU]])</f>
        <v>1</v>
      </c>
      <c r="BX100" s="3">
        <f>+IF(AVANCE[[#This Row],[INSTALACION VINILICO]]=AJ$2,100%,AVANCE[[#This Row],[INSTALACION VINILICO]])</f>
        <v>1</v>
      </c>
      <c r="BY100" s="3">
        <f>+IF(AVANCE[[#This Row],[OSB CUBIERTA]]=AK$2,100%,AVANCE[[#This Row],[OSB CUBIERTA]])</f>
        <v>1</v>
      </c>
      <c r="BZ100" s="3">
        <f>+IF(AVANCE[[#This Row],[BARANDA BALCON]]=AL$2,100%,AVANCE[[#This Row],[BARANDA BALCON]])</f>
        <v>1</v>
      </c>
      <c r="CA100" s="3">
        <f>+IF(AVANCE[[#This Row],[OSB EXTERIOR]]=AM$2,100%,AVANCE[[#This Row],[OSB EXTERIOR]])</f>
        <v>1</v>
      </c>
      <c r="CB100" s="3">
        <f>+IF(AVANCE[[#This Row],[SMART PANEL]]=AN$2,100%,AVANCE[[#This Row],[SMART PANEL]])</f>
        <v>1</v>
      </c>
      <c r="CC100" s="3">
        <f>+IF(AVANCE[[#This Row],[PINTURA EXTERIOR]]=AO$2,100%,AVANCE[[#This Row],[PINTURA EXTERIOR]])</f>
        <v>1</v>
      </c>
      <c r="CD100" s="3">
        <f>+IF(AVANCE[[#This Row],[ZOCALOS LOGIA]]=AP$2,100%,AVANCE[[#This Row],[ZOCALOS LOGIA]])</f>
        <v>1</v>
      </c>
      <c r="CE100" s="3">
        <f>+IF(AVANCE[[#This Row],[MOLDURAS]]=AQ$2,100%,AVANCE[[#This Row],[MOLDURAS]])</f>
        <v>1</v>
      </c>
      <c r="CF100" s="3">
        <f>+IF(AVANCE[[#This Row],[PILASTREO]]=AR$2,100%,AVANCE[[#This Row],[PILASTREO]])</f>
        <v>1</v>
      </c>
      <c r="CG100" s="3">
        <f>+IF(AVANCE[[#This Row],[CELOSIAS]]=AS$2,100%,AVANCE[[#This Row],[CELOSIAS]])</f>
        <v>1</v>
      </c>
      <c r="CH100" s="3">
        <f>+IF(AVANCE[[#This Row],[VENTANAS]]=AT$2,100%,AVANCE[[#This Row],[VENTANAS]])</f>
        <v>1</v>
      </c>
      <c r="CI100" s="3">
        <f>+IF(AVANCE[[#This Row],[PUERTAS ACCESO - LOGIA - BANO]]=AU$2,100%,AVANCE[[#This Row],[PUERTAS ACCESO - LOGIA - BANO]])</f>
        <v>1</v>
      </c>
      <c r="CJ100" s="3">
        <f>+IF(AVANCE[[#This Row],[CERRADURAS]]=AV$2,100%,AVANCE[[#This Row],[CERRADURAS]])</f>
        <v>1</v>
      </c>
      <c r="CK100" s="3">
        <f>+IF(AVANCE[[#This Row],[REVESTIMIENTO INTERIOR ZONA SECA]]=AW$2,100%,AVANCE[[#This Row],[REVESTIMIENTO INTERIOR ZONA SECA]])</f>
        <v>1</v>
      </c>
      <c r="CL100" s="3">
        <f>+IF(AVANCE[[#This Row],[REVESTIMIENTO INTERIOR ZONAS HUMEDAS]]=AX$2,100%,AVANCE[[#This Row],[REVESTIMIENTO INTERIOR ZONAS HUMEDAS]])</f>
        <v>1</v>
      </c>
      <c r="CM100" s="3">
        <f>+IF(AVANCE[[#This Row],[MEMBRANA CIELO]]=AY$2,100%,AVANCE[[#This Row],[MEMBRANA CIELO]])</f>
        <v>1</v>
      </c>
      <c r="CN100" s="3">
        <f>+IF(AVANCE[[#This Row],[LIMPIEZA FINAL]]=AZ$2,100%,AVANCE[[#This Row],[LIMPIEZA FINAL]])</f>
        <v>1</v>
      </c>
      <c r="CO100" s="3">
        <f>+IF(AVANCE[[#This Row],[PUERTAS DORMITORIO]]=BA$2,100%,AVANCE[[#This Row],[PUERTAS DORMITORIO]])</f>
        <v>1</v>
      </c>
      <c r="CP100" s="3">
        <f>+IF(AVANCE[[#This Row],[REVESTIMIENTO INTERIOR BANO]]=BB$2,100%,AVANCE[[#This Row],[REVESTIMIENTO INTERIOR BANO]])</f>
        <v>1</v>
      </c>
      <c r="CQ100" s="3">
        <f>+IF(AVANCE[[#This Row],[MUEBLE LAVAPLATOS]]=BC$2,100%,AVANCE[[#This Row],[MUEBLE LAVAPLATOS]])</f>
        <v>1</v>
      </c>
      <c r="CR100" s="3">
        <f>+IF(AVANCE[[#This Row],[IMPERMEABILIZACION BANO - COCINA LOGIA]]=BD$2,100%,AVANCE[[#This Row],[IMPERMEABILIZACION BANO - COCINA LOGIA]])</f>
        <v>1</v>
      </c>
      <c r="CS100" s="40">
        <f ca="1">+IF(AVANCE[[#This Row],[ESTADO MODULO]]="PENDIENTE",(TODAY()-AVANCE[[#This Row],[FECHA TERMINO  PLANIFICADO]]),0)</f>
        <v>0</v>
      </c>
      <c r="CT100" s="41" t="str" cm="1">
        <f t="array" ref="CT100">_xlfn.TEXTJOIN(" | ",TRUE,IF(SUMPRODUCT((BG100:CR100&lt;1)*(PARTIDAS!$I$2:$AT$2="OBRA GRUESA"))&gt;0,"OBRA GRUESA: "&amp;_xlfn.TEXTJOIN(", ",TRUE,IF((BG100:CR100&lt;1)*(PARTIDAS!$I$2:$AT$2="OBRA GRUESA"),PARTIDAS!$I$1:$AT$1,"")),""),IF(SUMPRODUCT((BG100:CR100&lt;1)*(PARTIDAS!$I$2:$AT$2="SANITARIOS"))&gt;0,"SANITARIOS: "&amp;_xlfn.TEXTJOIN(", ",TRUE,IF((BG100:CR100&lt;1)*(PARTIDAS!$I$2:$AT$2="SANITARIOS"),PARTIDAS!$I$1:$AT$1,"")),""),IF(SUMPRODUCT((BG100:CR100&lt;1)*(PARTIDAS!$I$2:$AT$2="ELÉCTRICO"))&gt;0,"ELÉCTRICO: "&amp;_xlfn.TEXTJOIN(", ",TRUE,IF((BG100:CR100&lt;1)*(PARTIDAS!$I$2:$AT$2="ELÉCTRICO"),PARTIDAS!$I$1:$AT$1,"")),""),IF(SUMPRODUCT((BG100:CR100&lt;1)*(PARTIDAS!$I$2:$AT$2="TERMINACIONES"))&gt;0,"TERMINACIONES: "&amp;_xlfn.TEXTJOIN(", ",TRUE,IF((BG100:CR100&lt;1)*(PARTIDAS!$I$2:$AT$2="TERMINACIONES"),PARTIDAS!$I$1:$AT$1,"")),""))</f>
        <v/>
      </c>
      <c r="CU100" s="43" t="str" cm="1">
        <f t="array" ref="CU100">_xlfn.TEXTJOIN(", ",TRUE,IF(SUMPRODUCT((BG100:CR100&lt;1)*(PARTIDAS!$I$2:$AT$2="OBRA GRUESA"))&gt;0,"OBRA GRUESA",""),IF(SUMPRODUCT((BG100:CR100&lt;1)*(PARTIDAS!$I$2:$AT$2="SANITARIOS"))&gt;0,"SANITARIOS",""),IF(SUMPRODUCT((BG100:CR100&lt;1)*(PARTIDAS!$I$2:$AT$2="ELÉCTRICO"))&gt;0,"ELÉCTRICO",""),IF(SUMPRODUCT((BG100:CR100&lt;1)*(PARTIDAS!$I$2:$AT$2="TERMINACIONES"))&gt;0,"TERMINACIONES",""))</f>
        <v/>
      </c>
      <c r="CV100" s="44" cm="1">
        <f t="array" ref="CV100">SUMPRODUCT(--(BG100:CR100&lt;1))</f>
        <v>0</v>
      </c>
    </row>
    <row r="101" spans="1:100" hidden="1" x14ac:dyDescent="0.25">
      <c r="A101" t="s">
        <v>157</v>
      </c>
      <c r="B101" t="s">
        <v>161</v>
      </c>
      <c r="C101">
        <v>2282600100</v>
      </c>
      <c r="D101" t="s">
        <v>58</v>
      </c>
      <c r="E101" s="2">
        <v>0.99999999999999978</v>
      </c>
      <c r="F101" s="1">
        <v>46176</v>
      </c>
      <c r="G101" s="1">
        <v>46188</v>
      </c>
      <c r="H101" s="1">
        <v>46227</v>
      </c>
      <c r="I101" s="1">
        <v>46200</v>
      </c>
      <c r="K101" s="1">
        <v>46227</v>
      </c>
      <c r="L101" s="3">
        <v>0.43</v>
      </c>
      <c r="M101" s="3">
        <v>1</v>
      </c>
      <c r="N101" s="3">
        <v>0.27906976744186046</v>
      </c>
      <c r="O101" s="3">
        <v>0.18604651162790697</v>
      </c>
      <c r="P101" s="3">
        <v>0.2558139534883721</v>
      </c>
      <c r="Q101" s="3">
        <v>0.18604651162790697</v>
      </c>
      <c r="R101" s="3">
        <v>9.3023255813953487E-2</v>
      </c>
      <c r="S101" s="3">
        <v>0.09</v>
      </c>
      <c r="T101" s="3">
        <v>1</v>
      </c>
      <c r="U101" s="3">
        <v>0.22222222222222221</v>
      </c>
      <c r="V101" s="3">
        <v>0.22222222222222221</v>
      </c>
      <c r="W101" s="3">
        <v>0.1111111111111111</v>
      </c>
      <c r="X101" s="3">
        <v>0.1111111111111111</v>
      </c>
      <c r="Y101" s="3">
        <v>0.1111111111111111</v>
      </c>
      <c r="Z101" s="3">
        <v>0.22222222222222221</v>
      </c>
      <c r="AA101" s="3">
        <v>0.11</v>
      </c>
      <c r="AB101" s="3">
        <v>1</v>
      </c>
      <c r="AC101" s="3">
        <v>0.27272727272727271</v>
      </c>
      <c r="AD101" s="3">
        <v>0.27272727272727271</v>
      </c>
      <c r="AE101" s="3">
        <v>9.0909090909090912E-2</v>
      </c>
      <c r="AF101" s="3">
        <v>0.18181818181818182</v>
      </c>
      <c r="AG101" s="3">
        <v>0.18181818181818182</v>
      </c>
      <c r="AH101" s="3">
        <v>0.36999999999999983</v>
      </c>
      <c r="AI101" s="3">
        <v>0.99999999999999956</v>
      </c>
      <c r="AJ101" s="3">
        <v>5.4054054054054036E-2</v>
      </c>
      <c r="AK101" s="3">
        <v>5.4054054054054036E-2</v>
      </c>
      <c r="AL101" s="3">
        <v>2.7027027027027018E-2</v>
      </c>
      <c r="AM101" s="3">
        <v>8.1081081081081058E-2</v>
      </c>
      <c r="AN101" s="3">
        <v>8.1081081081081058E-2</v>
      </c>
      <c r="AO101" s="3">
        <v>6.7567567567567557E-2</v>
      </c>
      <c r="AP101" s="3">
        <v>5.4054054054054036E-2</v>
      </c>
      <c r="AQ101" s="3">
        <v>1.3513513513513509E-2</v>
      </c>
      <c r="AR101" s="3">
        <v>4.0540540540540529E-2</v>
      </c>
      <c r="AS101" s="3">
        <v>1.3513513513513509E-2</v>
      </c>
      <c r="AT101" s="3">
        <v>8.1081081081081058E-2</v>
      </c>
      <c r="AU101" s="3">
        <v>5.4054054054054036E-2</v>
      </c>
      <c r="AV101" s="3">
        <v>2.7027027027027018E-2</v>
      </c>
      <c r="AW101" s="3">
        <v>5.4054054054054036E-2</v>
      </c>
      <c r="AX101" s="3">
        <v>5.4054054054054036E-2</v>
      </c>
      <c r="AY101" s="3">
        <v>2.7027027027027018E-2</v>
      </c>
      <c r="AZ101" s="3">
        <v>4.0540540540540529E-2</v>
      </c>
      <c r="BA101" s="3">
        <v>5.4054054054054036E-2</v>
      </c>
      <c r="BB101" s="3">
        <v>8.1081081081081058E-2</v>
      </c>
      <c r="BC101" s="3">
        <v>1.3513513513513509E-2</v>
      </c>
      <c r="BD101" s="3">
        <v>2.7027027027027018E-2</v>
      </c>
      <c r="BE101">
        <v>28.87</v>
      </c>
      <c r="BF101" s="3" t="str">
        <f>+IF(AVANCE[[#This Row],[% AVANCE]]=100%,"MODULO TERMINADO",IF(AVANCE[[#This Row],[FECHA INICIO REAL]]="","MODULO NO INICIADO","PENDIENTE"))</f>
        <v>MODULO TERMINADO</v>
      </c>
      <c r="BG101" s="3">
        <f>+IF(AVANCE[[#This Row],[VENTANAS]]=8.10810810810811%,100%,AVANCE[[#This Row],[VENTANAS]])</f>
        <v>1</v>
      </c>
      <c r="BH101" s="3">
        <f>+IF(AVANCE[[#This Row],[PISO]]=N$2,100%,AVANCE[[#This Row],[PISO]])</f>
        <v>1</v>
      </c>
      <c r="BI101" s="3">
        <f>+IF(AVANCE[[#This Row],[TABIQUES]]=O$2,100%,AVANCE[[#This Row],[TABIQUES]])</f>
        <v>1</v>
      </c>
      <c r="BJ101" s="3">
        <f>+IF(AVANCE[[#This Row],[MUROS]]=P$2,100%,AVANCE[[#This Row],[MUROS]])</f>
        <v>1</v>
      </c>
      <c r="BK101" s="3">
        <f>+IF(AVANCE[[#This Row],[CIELO]]=Q$2,100%,AVANCE[[#This Row],[CIELO]])</f>
        <v>1</v>
      </c>
      <c r="BL101" s="3">
        <f>+IF(AVANCE[[#This Row],[BALCÓN]]=R$2,100%,AVANCE[[#This Row],[BALCÓN]])</f>
        <v>1</v>
      </c>
      <c r="BM101" s="3">
        <f>+IF(AVANCE[[#This Row],[RED ALCANTARILLADO]]=U$2,100%,AVANCE[[#This Row],[RED ALCANTARILLADO]])</f>
        <v>1</v>
      </c>
      <c r="BN101" s="3">
        <f>+IF(AVANCE[[#This Row],[RED DE AGUA]]=V$2,100%,AVANCE[[#This Row],[RED DE AGUA]])</f>
        <v>1</v>
      </c>
      <c r="BO101" s="3">
        <f>+IF(AVANCE[[#This Row],[VENTILACIONES]]=W$2,100%,AVANCE[[#This Row],[VENTILACIONES]])</f>
        <v>1</v>
      </c>
      <c r="BP101" s="3">
        <f>+IF(AVANCE[[#This Row],[TINA]]=X$2,100%,AVANCE[[#This Row],[TINA]])</f>
        <v>1</v>
      </c>
      <c r="BQ101" s="3">
        <f>+IF(AVANCE[[#This Row],[WC]]=Y$2,100%,AVANCE[[#This Row],[WC]])</f>
        <v>1</v>
      </c>
      <c r="BR101" s="3">
        <f>+IF(AVANCE[[#This Row],[LAVAMANOS / LAVAPLATOS / LAVADERO]]=Z$2,100%,AVANCE[[#This Row],[LAVAMANOS / LAVAPLATOS / LAVADERO]])</f>
        <v>1</v>
      </c>
      <c r="BS101" s="3">
        <f>+IF(AVANCE[[#This Row],[CANALIZACIÓN]]=AC$2,100%,AVANCE[[#This Row],[CANALIZACIÓN]])</f>
        <v>1</v>
      </c>
      <c r="BT101" s="3">
        <f>+IF(AVANCE[[#This Row],[CABLEADO]]=AD$2,100%,AVANCE[[#This Row],[CABLEADO]])</f>
        <v>1</v>
      </c>
      <c r="BU101" s="3">
        <f>+IF(AVANCE[[#This Row],[ARTEFACTOS]]=AE$2,100%,AVANCE[[#This Row],[ARTEFACTOS]])</f>
        <v>1</v>
      </c>
      <c r="BV101" s="3">
        <f>+IF(AVANCE[[#This Row],[TABLERO]]=AF$2,100%,AVANCE[[#This Row],[TABLERO]])</f>
        <v>1</v>
      </c>
      <c r="BW101" s="3">
        <f>+IF(AVANCE[[#This Row],[CAJA PAU]]=AG$2,100%,AVANCE[[#This Row],[CAJA PAU]])</f>
        <v>1</v>
      </c>
      <c r="BX101" s="3">
        <f>+IF(AVANCE[[#This Row],[INSTALACION VINILICO]]=AJ$2,100%,AVANCE[[#This Row],[INSTALACION VINILICO]])</f>
        <v>1</v>
      </c>
      <c r="BY101" s="3">
        <f>+IF(AVANCE[[#This Row],[OSB CUBIERTA]]=AK$2,100%,AVANCE[[#This Row],[OSB CUBIERTA]])</f>
        <v>1</v>
      </c>
      <c r="BZ101" s="3">
        <f>+IF(AVANCE[[#This Row],[BARANDA BALCON]]=AL$2,100%,AVANCE[[#This Row],[BARANDA BALCON]])</f>
        <v>1</v>
      </c>
      <c r="CA101" s="3">
        <f>+IF(AVANCE[[#This Row],[OSB EXTERIOR]]=AM$2,100%,AVANCE[[#This Row],[OSB EXTERIOR]])</f>
        <v>1</v>
      </c>
      <c r="CB101" s="3">
        <f>+IF(AVANCE[[#This Row],[SMART PANEL]]=AN$2,100%,AVANCE[[#This Row],[SMART PANEL]])</f>
        <v>1</v>
      </c>
      <c r="CC101" s="3">
        <f>+IF(AVANCE[[#This Row],[PINTURA EXTERIOR]]=AO$2,100%,AVANCE[[#This Row],[PINTURA EXTERIOR]])</f>
        <v>1</v>
      </c>
      <c r="CD101" s="3">
        <f>+IF(AVANCE[[#This Row],[ZOCALOS LOGIA]]=AP$2,100%,AVANCE[[#This Row],[ZOCALOS LOGIA]])</f>
        <v>1</v>
      </c>
      <c r="CE101" s="3">
        <f>+IF(AVANCE[[#This Row],[MOLDURAS]]=AQ$2,100%,AVANCE[[#This Row],[MOLDURAS]])</f>
        <v>1</v>
      </c>
      <c r="CF101" s="3">
        <f>+IF(AVANCE[[#This Row],[PILASTREO]]=AR$2,100%,AVANCE[[#This Row],[PILASTREO]])</f>
        <v>1</v>
      </c>
      <c r="CG101" s="3">
        <f>+IF(AVANCE[[#This Row],[CELOSIAS]]=AS$2,100%,AVANCE[[#This Row],[CELOSIAS]])</f>
        <v>1</v>
      </c>
      <c r="CH101" s="3">
        <f>+IF(AVANCE[[#This Row],[VENTANAS]]=AT$2,100%,AVANCE[[#This Row],[VENTANAS]])</f>
        <v>1</v>
      </c>
      <c r="CI101" s="3">
        <f>+IF(AVANCE[[#This Row],[PUERTAS ACCESO - LOGIA - BANO]]=AU$2,100%,AVANCE[[#This Row],[PUERTAS ACCESO - LOGIA - BANO]])</f>
        <v>1</v>
      </c>
      <c r="CJ101" s="3">
        <f>+IF(AVANCE[[#This Row],[CERRADURAS]]=AV$2,100%,AVANCE[[#This Row],[CERRADURAS]])</f>
        <v>1</v>
      </c>
      <c r="CK101" s="3">
        <f>+IF(AVANCE[[#This Row],[REVESTIMIENTO INTERIOR ZONA SECA]]=AW$2,100%,AVANCE[[#This Row],[REVESTIMIENTO INTERIOR ZONA SECA]])</f>
        <v>1</v>
      </c>
      <c r="CL101" s="3">
        <f>+IF(AVANCE[[#This Row],[REVESTIMIENTO INTERIOR ZONAS HUMEDAS]]=AX$2,100%,AVANCE[[#This Row],[REVESTIMIENTO INTERIOR ZONAS HUMEDAS]])</f>
        <v>1</v>
      </c>
      <c r="CM101" s="3">
        <f>+IF(AVANCE[[#This Row],[MEMBRANA CIELO]]=AY$2,100%,AVANCE[[#This Row],[MEMBRANA CIELO]])</f>
        <v>1</v>
      </c>
      <c r="CN101" s="3">
        <f>+IF(AVANCE[[#This Row],[LIMPIEZA FINAL]]=AZ$2,100%,AVANCE[[#This Row],[LIMPIEZA FINAL]])</f>
        <v>1</v>
      </c>
      <c r="CO101" s="3">
        <f>+IF(AVANCE[[#This Row],[PUERTAS DORMITORIO]]=BA$2,100%,AVANCE[[#This Row],[PUERTAS DORMITORIO]])</f>
        <v>1</v>
      </c>
      <c r="CP101" s="3">
        <f>+IF(AVANCE[[#This Row],[REVESTIMIENTO INTERIOR BANO]]=BB$2,100%,AVANCE[[#This Row],[REVESTIMIENTO INTERIOR BANO]])</f>
        <v>1</v>
      </c>
      <c r="CQ101" s="3">
        <f>+IF(AVANCE[[#This Row],[MUEBLE LAVAPLATOS]]=BC$2,100%,AVANCE[[#This Row],[MUEBLE LAVAPLATOS]])</f>
        <v>1</v>
      </c>
      <c r="CR101" s="3">
        <f>+IF(AVANCE[[#This Row],[IMPERMEABILIZACION BANO - COCINA LOGIA]]=BD$2,100%,AVANCE[[#This Row],[IMPERMEABILIZACION BANO - COCINA LOGIA]])</f>
        <v>1</v>
      </c>
      <c r="CS101" s="40">
        <f ca="1">+IF(AVANCE[[#This Row],[ESTADO MODULO]]="PENDIENTE",(TODAY()-AVANCE[[#This Row],[FECHA TERMINO  PLANIFICADO]]),0)</f>
        <v>0</v>
      </c>
      <c r="CT101" s="41" t="str" cm="1">
        <f t="array" ref="CT101">_xlfn.TEXTJOIN(" | ",TRUE,IF(SUMPRODUCT((BG101:CR101&lt;1)*(PARTIDAS!$I$2:$AT$2="OBRA GRUESA"))&gt;0,"OBRA GRUESA: "&amp;_xlfn.TEXTJOIN(", ",TRUE,IF((BG101:CR101&lt;1)*(PARTIDAS!$I$2:$AT$2="OBRA GRUESA"),PARTIDAS!$I$1:$AT$1,"")),""),IF(SUMPRODUCT((BG101:CR101&lt;1)*(PARTIDAS!$I$2:$AT$2="SANITARIOS"))&gt;0,"SANITARIOS: "&amp;_xlfn.TEXTJOIN(", ",TRUE,IF((BG101:CR101&lt;1)*(PARTIDAS!$I$2:$AT$2="SANITARIOS"),PARTIDAS!$I$1:$AT$1,"")),""),IF(SUMPRODUCT((BG101:CR101&lt;1)*(PARTIDAS!$I$2:$AT$2="ELÉCTRICO"))&gt;0,"ELÉCTRICO: "&amp;_xlfn.TEXTJOIN(", ",TRUE,IF((BG101:CR101&lt;1)*(PARTIDAS!$I$2:$AT$2="ELÉCTRICO"),PARTIDAS!$I$1:$AT$1,"")),""),IF(SUMPRODUCT((BG101:CR101&lt;1)*(PARTIDAS!$I$2:$AT$2="TERMINACIONES"))&gt;0,"TERMINACIONES: "&amp;_xlfn.TEXTJOIN(", ",TRUE,IF((BG101:CR101&lt;1)*(PARTIDAS!$I$2:$AT$2="TERMINACIONES"),PARTIDAS!$I$1:$AT$1,"")),""))</f>
        <v/>
      </c>
      <c r="CU101" s="43" t="str" cm="1">
        <f t="array" ref="CU101">_xlfn.TEXTJOIN(", ",TRUE,IF(SUMPRODUCT((BG101:CR101&lt;1)*(PARTIDAS!$I$2:$AT$2="OBRA GRUESA"))&gt;0,"OBRA GRUESA",""),IF(SUMPRODUCT((BG101:CR101&lt;1)*(PARTIDAS!$I$2:$AT$2="SANITARIOS"))&gt;0,"SANITARIOS",""),IF(SUMPRODUCT((BG101:CR101&lt;1)*(PARTIDAS!$I$2:$AT$2="ELÉCTRICO"))&gt;0,"ELÉCTRICO",""),IF(SUMPRODUCT((BG101:CR101&lt;1)*(PARTIDAS!$I$2:$AT$2="TERMINACIONES"))&gt;0,"TERMINACIONES",""))</f>
        <v/>
      </c>
      <c r="CV101" s="44" cm="1">
        <f t="array" ref="CV101">SUMPRODUCT(--(BG101:CR101&lt;1))</f>
        <v>0</v>
      </c>
    </row>
    <row r="102" spans="1:100" hidden="1" x14ac:dyDescent="0.25">
      <c r="A102" t="s">
        <v>157</v>
      </c>
      <c r="B102" t="s">
        <v>162</v>
      </c>
      <c r="C102">
        <v>2282600101</v>
      </c>
      <c r="D102" t="s">
        <v>58</v>
      </c>
      <c r="E102" s="2">
        <v>0.98499999999999988</v>
      </c>
      <c r="F102" s="1">
        <v>46177</v>
      </c>
      <c r="G102" s="1">
        <v>46190</v>
      </c>
      <c r="H102" s="1">
        <v>46227</v>
      </c>
      <c r="I102" s="1">
        <v>46201</v>
      </c>
      <c r="J102">
        <v>3</v>
      </c>
      <c r="K102" s="1"/>
      <c r="L102" s="3">
        <v>0.43</v>
      </c>
      <c r="M102" s="3">
        <v>1</v>
      </c>
      <c r="N102" s="3">
        <v>0.27906976744186046</v>
      </c>
      <c r="O102" s="3">
        <v>0.18604651162790697</v>
      </c>
      <c r="P102" s="3">
        <v>0.2558139534883721</v>
      </c>
      <c r="Q102" s="3">
        <v>0.18604651162790697</v>
      </c>
      <c r="R102" s="3">
        <v>9.3023255813953487E-2</v>
      </c>
      <c r="S102" s="3">
        <v>0.09</v>
      </c>
      <c r="T102" s="3">
        <v>1</v>
      </c>
      <c r="U102" s="3">
        <v>0.22222222222222221</v>
      </c>
      <c r="V102" s="3">
        <v>0.22222222222222221</v>
      </c>
      <c r="W102" s="3">
        <v>0.1111111111111111</v>
      </c>
      <c r="X102" s="3">
        <v>0.1111111111111111</v>
      </c>
      <c r="Y102" s="3">
        <v>0.1111111111111111</v>
      </c>
      <c r="Z102" s="3">
        <v>0.22222222222222221</v>
      </c>
      <c r="AA102" s="3">
        <v>0.11</v>
      </c>
      <c r="AB102" s="3">
        <v>1</v>
      </c>
      <c r="AC102" s="3">
        <v>0.27272727272727271</v>
      </c>
      <c r="AD102" s="3">
        <v>0.27272727272727271</v>
      </c>
      <c r="AE102" s="3">
        <v>9.0909090909090912E-2</v>
      </c>
      <c r="AF102" s="3">
        <v>0.18181818181818182</v>
      </c>
      <c r="AG102" s="3">
        <v>0.18181818181818182</v>
      </c>
      <c r="AH102" s="3">
        <v>0.35499999999999982</v>
      </c>
      <c r="AI102" s="3">
        <v>0.95945945945945899</v>
      </c>
      <c r="AJ102" s="3">
        <v>5.4054054054054036E-2</v>
      </c>
      <c r="AK102" s="3">
        <v>5.4054054054054036E-2</v>
      </c>
      <c r="AL102" s="3">
        <v>2.7027027027027018E-2</v>
      </c>
      <c r="AM102" s="3">
        <v>8.1081081081081058E-2</v>
      </c>
      <c r="AN102" s="3">
        <v>8.1081081081081058E-2</v>
      </c>
      <c r="AO102" s="3">
        <v>6.7567567567567557E-2</v>
      </c>
      <c r="AP102" s="3">
        <v>5.4054054054054036E-2</v>
      </c>
      <c r="AQ102" s="3">
        <v>1.3513513513513509E-2</v>
      </c>
      <c r="AR102" s="3">
        <v>4.0540540540540529E-2</v>
      </c>
      <c r="AS102" s="3">
        <v>1.3513513513513509E-2</v>
      </c>
      <c r="AT102" s="3">
        <v>8.1081081081081058E-2</v>
      </c>
      <c r="AU102" s="3">
        <v>5.4054054054054036E-2</v>
      </c>
      <c r="AV102" s="3">
        <v>2.7027027027027018E-2</v>
      </c>
      <c r="AW102" s="3">
        <v>5.4054054054054036E-2</v>
      </c>
      <c r="AX102" s="3">
        <v>5.4054054054054036E-2</v>
      </c>
      <c r="AY102" s="3">
        <v>2.7027027027027018E-2</v>
      </c>
      <c r="AZ102" s="3">
        <v>0</v>
      </c>
      <c r="BA102" s="3">
        <v>5.4054054054054036E-2</v>
      </c>
      <c r="BB102" s="3">
        <v>8.1081081081081058E-2</v>
      </c>
      <c r="BC102" s="3">
        <v>1.3513513513513509E-2</v>
      </c>
      <c r="BD102" s="3">
        <v>2.7027027027027018E-2</v>
      </c>
      <c r="BE102">
        <v>28.87</v>
      </c>
      <c r="BF102" s="3" t="str">
        <f>+IF(AVANCE[[#This Row],[% AVANCE]]=100%,"MODULO TERMINADO",IF(AVANCE[[#This Row],[FECHA INICIO REAL]]="","MODULO NO INICIADO","PENDIENTE"))</f>
        <v>PENDIENTE</v>
      </c>
      <c r="BG102" s="3">
        <f>+IF(AVANCE[[#This Row],[VENTANAS]]=8.10810810810811%,100%,AVANCE[[#This Row],[VENTANAS]])</f>
        <v>1</v>
      </c>
      <c r="BH102" s="3">
        <f>+IF(AVANCE[[#This Row],[PISO]]=N$2,100%,AVANCE[[#This Row],[PISO]])</f>
        <v>1</v>
      </c>
      <c r="BI102" s="3">
        <f>+IF(AVANCE[[#This Row],[TABIQUES]]=O$2,100%,AVANCE[[#This Row],[TABIQUES]])</f>
        <v>1</v>
      </c>
      <c r="BJ102" s="3">
        <f>+IF(AVANCE[[#This Row],[MUROS]]=P$2,100%,AVANCE[[#This Row],[MUROS]])</f>
        <v>1</v>
      </c>
      <c r="BK102" s="3">
        <f>+IF(AVANCE[[#This Row],[CIELO]]=Q$2,100%,AVANCE[[#This Row],[CIELO]])</f>
        <v>1</v>
      </c>
      <c r="BL102" s="3">
        <f>+IF(AVANCE[[#This Row],[BALCÓN]]=R$2,100%,AVANCE[[#This Row],[BALCÓN]])</f>
        <v>1</v>
      </c>
      <c r="BM102" s="3">
        <f>+IF(AVANCE[[#This Row],[RED ALCANTARILLADO]]=U$2,100%,AVANCE[[#This Row],[RED ALCANTARILLADO]])</f>
        <v>1</v>
      </c>
      <c r="BN102" s="3">
        <f>+IF(AVANCE[[#This Row],[RED DE AGUA]]=V$2,100%,AVANCE[[#This Row],[RED DE AGUA]])</f>
        <v>1</v>
      </c>
      <c r="BO102" s="3">
        <f>+IF(AVANCE[[#This Row],[VENTILACIONES]]=W$2,100%,AVANCE[[#This Row],[VENTILACIONES]])</f>
        <v>1</v>
      </c>
      <c r="BP102" s="3">
        <f>+IF(AVANCE[[#This Row],[TINA]]=X$2,100%,AVANCE[[#This Row],[TINA]])</f>
        <v>1</v>
      </c>
      <c r="BQ102" s="3">
        <f>+IF(AVANCE[[#This Row],[WC]]=Y$2,100%,AVANCE[[#This Row],[WC]])</f>
        <v>1</v>
      </c>
      <c r="BR102" s="3">
        <f>+IF(AVANCE[[#This Row],[LAVAMANOS / LAVAPLATOS / LAVADERO]]=Z$2,100%,AVANCE[[#This Row],[LAVAMANOS / LAVAPLATOS / LAVADERO]])</f>
        <v>1</v>
      </c>
      <c r="BS102" s="3">
        <f>+IF(AVANCE[[#This Row],[CANALIZACIÓN]]=AC$2,100%,AVANCE[[#This Row],[CANALIZACIÓN]])</f>
        <v>1</v>
      </c>
      <c r="BT102" s="3">
        <f>+IF(AVANCE[[#This Row],[CABLEADO]]=AD$2,100%,AVANCE[[#This Row],[CABLEADO]])</f>
        <v>1</v>
      </c>
      <c r="BU102" s="3">
        <f>+IF(AVANCE[[#This Row],[ARTEFACTOS]]=AE$2,100%,AVANCE[[#This Row],[ARTEFACTOS]])</f>
        <v>1</v>
      </c>
      <c r="BV102" s="3">
        <f>+IF(AVANCE[[#This Row],[TABLERO]]=AF$2,100%,AVANCE[[#This Row],[TABLERO]])</f>
        <v>1</v>
      </c>
      <c r="BW102" s="3">
        <f>+IF(AVANCE[[#This Row],[CAJA PAU]]=AG$2,100%,AVANCE[[#This Row],[CAJA PAU]])</f>
        <v>1</v>
      </c>
      <c r="BX102" s="3">
        <f>+IF(AVANCE[[#This Row],[INSTALACION VINILICO]]=AJ$2,100%,AVANCE[[#This Row],[INSTALACION VINILICO]])</f>
        <v>1</v>
      </c>
      <c r="BY102" s="3">
        <f>+IF(AVANCE[[#This Row],[OSB CUBIERTA]]=AK$2,100%,AVANCE[[#This Row],[OSB CUBIERTA]])</f>
        <v>1</v>
      </c>
      <c r="BZ102" s="3">
        <f>+IF(AVANCE[[#This Row],[BARANDA BALCON]]=AL$2,100%,AVANCE[[#This Row],[BARANDA BALCON]])</f>
        <v>1</v>
      </c>
      <c r="CA102" s="3">
        <f>+IF(AVANCE[[#This Row],[OSB EXTERIOR]]=AM$2,100%,AVANCE[[#This Row],[OSB EXTERIOR]])</f>
        <v>1</v>
      </c>
      <c r="CB102" s="3">
        <f>+IF(AVANCE[[#This Row],[SMART PANEL]]=AN$2,100%,AVANCE[[#This Row],[SMART PANEL]])</f>
        <v>1</v>
      </c>
      <c r="CC102" s="3">
        <f>+IF(AVANCE[[#This Row],[PINTURA EXTERIOR]]=AO$2,100%,AVANCE[[#This Row],[PINTURA EXTERIOR]])</f>
        <v>1</v>
      </c>
      <c r="CD102" s="3">
        <f>+IF(AVANCE[[#This Row],[ZOCALOS LOGIA]]=AP$2,100%,AVANCE[[#This Row],[ZOCALOS LOGIA]])</f>
        <v>1</v>
      </c>
      <c r="CE102" s="3">
        <f>+IF(AVANCE[[#This Row],[MOLDURAS]]=AQ$2,100%,AVANCE[[#This Row],[MOLDURAS]])</f>
        <v>1</v>
      </c>
      <c r="CF102" s="3">
        <f>+IF(AVANCE[[#This Row],[PILASTREO]]=AR$2,100%,AVANCE[[#This Row],[PILASTREO]])</f>
        <v>1</v>
      </c>
      <c r="CG102" s="3">
        <f>+IF(AVANCE[[#This Row],[CELOSIAS]]=AS$2,100%,AVANCE[[#This Row],[CELOSIAS]])</f>
        <v>1</v>
      </c>
      <c r="CH102" s="3">
        <f>+IF(AVANCE[[#This Row],[VENTANAS]]=AT$2,100%,AVANCE[[#This Row],[VENTANAS]])</f>
        <v>1</v>
      </c>
      <c r="CI102" s="3">
        <f>+IF(AVANCE[[#This Row],[PUERTAS ACCESO - LOGIA - BANO]]=AU$2,100%,AVANCE[[#This Row],[PUERTAS ACCESO - LOGIA - BANO]])</f>
        <v>1</v>
      </c>
      <c r="CJ102" s="3">
        <f>+IF(AVANCE[[#This Row],[CERRADURAS]]=AV$2,100%,AVANCE[[#This Row],[CERRADURAS]])</f>
        <v>1</v>
      </c>
      <c r="CK102" s="3">
        <f>+IF(AVANCE[[#This Row],[REVESTIMIENTO INTERIOR ZONA SECA]]=AW$2,100%,AVANCE[[#This Row],[REVESTIMIENTO INTERIOR ZONA SECA]])</f>
        <v>1</v>
      </c>
      <c r="CL102" s="3">
        <f>+IF(AVANCE[[#This Row],[REVESTIMIENTO INTERIOR ZONAS HUMEDAS]]=AX$2,100%,AVANCE[[#This Row],[REVESTIMIENTO INTERIOR ZONAS HUMEDAS]])</f>
        <v>1</v>
      </c>
      <c r="CM102" s="3">
        <f>+IF(AVANCE[[#This Row],[MEMBRANA CIELO]]=AY$2,100%,AVANCE[[#This Row],[MEMBRANA CIELO]])</f>
        <v>1</v>
      </c>
      <c r="CN102" s="3">
        <f>+IF(AVANCE[[#This Row],[LIMPIEZA FINAL]]=AZ$2,100%,AVANCE[[#This Row],[LIMPIEZA FINAL]])</f>
        <v>0</v>
      </c>
      <c r="CO102" s="3">
        <f>+IF(AVANCE[[#This Row],[PUERTAS DORMITORIO]]=BA$2,100%,AVANCE[[#This Row],[PUERTAS DORMITORIO]])</f>
        <v>1</v>
      </c>
      <c r="CP102" s="3">
        <f>+IF(AVANCE[[#This Row],[REVESTIMIENTO INTERIOR BANO]]=BB$2,100%,AVANCE[[#This Row],[REVESTIMIENTO INTERIOR BANO]])</f>
        <v>1</v>
      </c>
      <c r="CQ102" s="3">
        <f>+IF(AVANCE[[#This Row],[MUEBLE LAVAPLATOS]]=BC$2,100%,AVANCE[[#This Row],[MUEBLE LAVAPLATOS]])</f>
        <v>1</v>
      </c>
      <c r="CR102" s="3">
        <f>+IF(AVANCE[[#This Row],[IMPERMEABILIZACION BANO - COCINA LOGIA]]=BD$2,100%,AVANCE[[#This Row],[IMPERMEABILIZACION BANO - COCINA LOGIA]])</f>
        <v>1</v>
      </c>
      <c r="CS102" s="40">
        <f ca="1">+IF(AVANCE[[#This Row],[ESTADO MODULO]]="PENDIENTE",(TODAY()-AVANCE[[#This Row],[FECHA TERMINO  PLANIFICADO]]),0)</f>
        <v>29</v>
      </c>
      <c r="CT102" s="41" t="str" cm="1">
        <f t="array" ref="CT102">_xlfn.TEXTJOIN(" | ",TRUE,IF(SUMPRODUCT((BG102:CR102&lt;1)*(PARTIDAS!$I$2:$AT$2="OBRA GRUESA"))&gt;0,"OBRA GRUESA: "&amp;_xlfn.TEXTJOIN(", ",TRUE,IF((BG102:CR102&lt;1)*(PARTIDAS!$I$2:$AT$2="OBRA GRUESA"),PARTIDAS!$I$1:$AT$1,"")),""),IF(SUMPRODUCT((BG102:CR102&lt;1)*(PARTIDAS!$I$2:$AT$2="SANITARIOS"))&gt;0,"SANITARIOS: "&amp;_xlfn.TEXTJOIN(", ",TRUE,IF((BG102:CR102&lt;1)*(PARTIDAS!$I$2:$AT$2="SANITARIOS"),PARTIDAS!$I$1:$AT$1,"")),""),IF(SUMPRODUCT((BG102:CR102&lt;1)*(PARTIDAS!$I$2:$AT$2="ELÉCTRICO"))&gt;0,"ELÉCTRICO: "&amp;_xlfn.TEXTJOIN(", ",TRUE,IF((BG102:CR102&lt;1)*(PARTIDAS!$I$2:$AT$2="ELÉCTRICO"),PARTIDAS!$I$1:$AT$1,"")),""),IF(SUMPRODUCT((BG102:CR102&lt;1)*(PARTIDAS!$I$2:$AT$2="TERMINACIONES"))&gt;0,"TERMINACIONES: "&amp;_xlfn.TEXTJOIN(", ",TRUE,IF((BG102:CR102&lt;1)*(PARTIDAS!$I$2:$AT$2="TERMINACIONES"),PARTIDAS!$I$1:$AT$1,"")),""))</f>
        <v>TERMINACIONES: LIMPIEZA FINAL</v>
      </c>
      <c r="CU102" s="43" t="str" cm="1">
        <f t="array" ref="CU102">_xlfn.TEXTJOIN(", ",TRUE,IF(SUMPRODUCT((BG102:CR102&lt;1)*(PARTIDAS!$I$2:$AT$2="OBRA GRUESA"))&gt;0,"OBRA GRUESA",""),IF(SUMPRODUCT((BG102:CR102&lt;1)*(PARTIDAS!$I$2:$AT$2="SANITARIOS"))&gt;0,"SANITARIOS",""),IF(SUMPRODUCT((BG102:CR102&lt;1)*(PARTIDAS!$I$2:$AT$2="ELÉCTRICO"))&gt;0,"ELÉCTRICO",""),IF(SUMPRODUCT((BG102:CR102&lt;1)*(PARTIDAS!$I$2:$AT$2="TERMINACIONES"))&gt;0,"TERMINACIONES",""))</f>
        <v>TERMINACIONES</v>
      </c>
      <c r="CV102" s="44" cm="1">
        <f t="array" ref="CV102">SUMPRODUCT(--(BG102:CR102&lt;1))</f>
        <v>1</v>
      </c>
    </row>
    <row r="103" spans="1:100" hidden="1" x14ac:dyDescent="0.25">
      <c r="A103" t="s">
        <v>157</v>
      </c>
      <c r="B103" t="s">
        <v>163</v>
      </c>
      <c r="C103">
        <v>2302600102</v>
      </c>
      <c r="D103" t="s">
        <v>60</v>
      </c>
      <c r="E103" s="2">
        <v>0.98499999999999988</v>
      </c>
      <c r="F103" s="1">
        <v>46177</v>
      </c>
      <c r="G103" s="1">
        <v>46190</v>
      </c>
      <c r="H103" s="1">
        <v>46227</v>
      </c>
      <c r="I103" s="1">
        <v>46211</v>
      </c>
      <c r="J103">
        <v>3</v>
      </c>
      <c r="K103" s="1"/>
      <c r="L103" s="3">
        <v>0.43</v>
      </c>
      <c r="M103" s="3">
        <v>1</v>
      </c>
      <c r="N103" s="3">
        <v>0.27906976744186046</v>
      </c>
      <c r="O103" s="3">
        <v>0.18604651162790697</v>
      </c>
      <c r="P103" s="3">
        <v>0.2558139534883721</v>
      </c>
      <c r="Q103" s="3">
        <v>0.18604651162790697</v>
      </c>
      <c r="R103" s="3">
        <v>9.3023255813953487E-2</v>
      </c>
      <c r="S103" s="3">
        <v>0.09</v>
      </c>
      <c r="T103" s="3">
        <v>1</v>
      </c>
      <c r="U103" s="3">
        <v>0.22222222222222221</v>
      </c>
      <c r="V103" s="3">
        <v>0.22222222222222221</v>
      </c>
      <c r="W103" s="3">
        <v>0.1111111111111111</v>
      </c>
      <c r="X103" s="3">
        <v>0.1111111111111111</v>
      </c>
      <c r="Y103" s="3">
        <v>0.1111111111111111</v>
      </c>
      <c r="Z103" s="3">
        <v>0.22222222222222221</v>
      </c>
      <c r="AA103" s="3">
        <v>0.11</v>
      </c>
      <c r="AB103" s="3">
        <v>1</v>
      </c>
      <c r="AC103" s="3">
        <v>0.27272727272727271</v>
      </c>
      <c r="AD103" s="3">
        <v>0.27272727272727271</v>
      </c>
      <c r="AE103" s="3">
        <v>9.0909090909090912E-2</v>
      </c>
      <c r="AF103" s="3">
        <v>0.18181818181818182</v>
      </c>
      <c r="AG103" s="3">
        <v>0.18181818181818182</v>
      </c>
      <c r="AH103" s="3">
        <v>0.35499999999999982</v>
      </c>
      <c r="AI103" s="3">
        <v>0.95945945945945899</v>
      </c>
      <c r="AJ103" s="3">
        <v>5.4054054054054036E-2</v>
      </c>
      <c r="AK103" s="3">
        <v>5.4054054054054036E-2</v>
      </c>
      <c r="AL103" s="3">
        <v>2.7027027027027018E-2</v>
      </c>
      <c r="AM103" s="3">
        <v>8.1081081081081058E-2</v>
      </c>
      <c r="AN103" s="3">
        <v>8.1081081081081058E-2</v>
      </c>
      <c r="AO103" s="3">
        <v>6.7567567567567557E-2</v>
      </c>
      <c r="AP103" s="3">
        <v>5.4054054054054036E-2</v>
      </c>
      <c r="AQ103" s="3">
        <v>1.3513513513513509E-2</v>
      </c>
      <c r="AR103" s="3">
        <v>4.0540540540540529E-2</v>
      </c>
      <c r="AS103" s="3">
        <v>1.3513513513513509E-2</v>
      </c>
      <c r="AT103" s="3">
        <v>8.1081081081081058E-2</v>
      </c>
      <c r="AU103" s="3">
        <v>5.4054054054054036E-2</v>
      </c>
      <c r="AV103" s="3">
        <v>2.7027027027027018E-2</v>
      </c>
      <c r="AW103" s="3">
        <v>5.4054054054054036E-2</v>
      </c>
      <c r="AX103" s="3">
        <v>5.4054054054054036E-2</v>
      </c>
      <c r="AY103" s="3">
        <v>2.7027027027027018E-2</v>
      </c>
      <c r="AZ103" s="3">
        <v>0</v>
      </c>
      <c r="BA103" s="3">
        <v>5.4054054054054036E-2</v>
      </c>
      <c r="BB103" s="3">
        <v>8.1081081081081058E-2</v>
      </c>
      <c r="BC103" s="3">
        <v>1.3513513513513509E-2</v>
      </c>
      <c r="BD103" s="3">
        <v>2.7027027027027018E-2</v>
      </c>
      <c r="BE103">
        <v>31.32</v>
      </c>
      <c r="BF103" s="3" t="str">
        <f>+IF(AVANCE[[#This Row],[% AVANCE]]=100%,"MODULO TERMINADO",IF(AVANCE[[#This Row],[FECHA INICIO REAL]]="","MODULO NO INICIADO","PENDIENTE"))</f>
        <v>PENDIENTE</v>
      </c>
      <c r="BG103" s="3">
        <f>+IF(AVANCE[[#This Row],[VENTANAS]]=8.10810810810811%,100%,AVANCE[[#This Row],[VENTANAS]])</f>
        <v>1</v>
      </c>
      <c r="BH103" s="3">
        <f>+IF(AVANCE[[#This Row],[PISO]]=N$2,100%,AVANCE[[#This Row],[PISO]])</f>
        <v>1</v>
      </c>
      <c r="BI103" s="3">
        <f>+IF(AVANCE[[#This Row],[TABIQUES]]=O$2,100%,AVANCE[[#This Row],[TABIQUES]])</f>
        <v>1</v>
      </c>
      <c r="BJ103" s="3">
        <f>+IF(AVANCE[[#This Row],[MUROS]]=P$2,100%,AVANCE[[#This Row],[MUROS]])</f>
        <v>1</v>
      </c>
      <c r="BK103" s="3">
        <f>+IF(AVANCE[[#This Row],[CIELO]]=Q$2,100%,AVANCE[[#This Row],[CIELO]])</f>
        <v>1</v>
      </c>
      <c r="BL103" s="3">
        <f>+IF(AVANCE[[#This Row],[BALCÓN]]=R$2,100%,AVANCE[[#This Row],[BALCÓN]])</f>
        <v>1</v>
      </c>
      <c r="BM103" s="3">
        <f>+IF(AVANCE[[#This Row],[RED ALCANTARILLADO]]=U$2,100%,AVANCE[[#This Row],[RED ALCANTARILLADO]])</f>
        <v>1</v>
      </c>
      <c r="BN103" s="3">
        <f>+IF(AVANCE[[#This Row],[RED DE AGUA]]=V$2,100%,AVANCE[[#This Row],[RED DE AGUA]])</f>
        <v>1</v>
      </c>
      <c r="BO103" s="3">
        <f>+IF(AVANCE[[#This Row],[VENTILACIONES]]=W$2,100%,AVANCE[[#This Row],[VENTILACIONES]])</f>
        <v>1</v>
      </c>
      <c r="BP103" s="3">
        <f>+IF(AVANCE[[#This Row],[TINA]]=X$2,100%,AVANCE[[#This Row],[TINA]])</f>
        <v>1</v>
      </c>
      <c r="BQ103" s="3">
        <f>+IF(AVANCE[[#This Row],[WC]]=Y$2,100%,AVANCE[[#This Row],[WC]])</f>
        <v>1</v>
      </c>
      <c r="BR103" s="3">
        <f>+IF(AVANCE[[#This Row],[LAVAMANOS / LAVAPLATOS / LAVADERO]]=Z$2,100%,AVANCE[[#This Row],[LAVAMANOS / LAVAPLATOS / LAVADERO]])</f>
        <v>1</v>
      </c>
      <c r="BS103" s="3">
        <f>+IF(AVANCE[[#This Row],[CANALIZACIÓN]]=AC$2,100%,AVANCE[[#This Row],[CANALIZACIÓN]])</f>
        <v>1</v>
      </c>
      <c r="BT103" s="3">
        <f>+IF(AVANCE[[#This Row],[CABLEADO]]=AD$2,100%,AVANCE[[#This Row],[CABLEADO]])</f>
        <v>1</v>
      </c>
      <c r="BU103" s="3">
        <f>+IF(AVANCE[[#This Row],[ARTEFACTOS]]=AE$2,100%,AVANCE[[#This Row],[ARTEFACTOS]])</f>
        <v>1</v>
      </c>
      <c r="BV103" s="3">
        <f>+IF(AVANCE[[#This Row],[TABLERO]]=AF$2,100%,AVANCE[[#This Row],[TABLERO]])</f>
        <v>1</v>
      </c>
      <c r="BW103" s="3">
        <f>+IF(AVANCE[[#This Row],[CAJA PAU]]=AG$2,100%,AVANCE[[#This Row],[CAJA PAU]])</f>
        <v>1</v>
      </c>
      <c r="BX103" s="3">
        <f>+IF(AVANCE[[#This Row],[INSTALACION VINILICO]]=AJ$2,100%,AVANCE[[#This Row],[INSTALACION VINILICO]])</f>
        <v>1</v>
      </c>
      <c r="BY103" s="3">
        <f>+IF(AVANCE[[#This Row],[OSB CUBIERTA]]=AK$2,100%,AVANCE[[#This Row],[OSB CUBIERTA]])</f>
        <v>1</v>
      </c>
      <c r="BZ103" s="3">
        <f>+IF(AVANCE[[#This Row],[BARANDA BALCON]]=AL$2,100%,AVANCE[[#This Row],[BARANDA BALCON]])</f>
        <v>1</v>
      </c>
      <c r="CA103" s="3">
        <f>+IF(AVANCE[[#This Row],[OSB EXTERIOR]]=AM$2,100%,AVANCE[[#This Row],[OSB EXTERIOR]])</f>
        <v>1</v>
      </c>
      <c r="CB103" s="3">
        <f>+IF(AVANCE[[#This Row],[SMART PANEL]]=AN$2,100%,AVANCE[[#This Row],[SMART PANEL]])</f>
        <v>1</v>
      </c>
      <c r="CC103" s="3">
        <f>+IF(AVANCE[[#This Row],[PINTURA EXTERIOR]]=AO$2,100%,AVANCE[[#This Row],[PINTURA EXTERIOR]])</f>
        <v>1</v>
      </c>
      <c r="CD103" s="3">
        <f>+IF(AVANCE[[#This Row],[ZOCALOS LOGIA]]=AP$2,100%,AVANCE[[#This Row],[ZOCALOS LOGIA]])</f>
        <v>1</v>
      </c>
      <c r="CE103" s="3">
        <f>+IF(AVANCE[[#This Row],[MOLDURAS]]=AQ$2,100%,AVANCE[[#This Row],[MOLDURAS]])</f>
        <v>1</v>
      </c>
      <c r="CF103" s="3">
        <f>+IF(AVANCE[[#This Row],[PILASTREO]]=AR$2,100%,AVANCE[[#This Row],[PILASTREO]])</f>
        <v>1</v>
      </c>
      <c r="CG103" s="3">
        <f>+IF(AVANCE[[#This Row],[CELOSIAS]]=AS$2,100%,AVANCE[[#This Row],[CELOSIAS]])</f>
        <v>1</v>
      </c>
      <c r="CH103" s="3">
        <f>+IF(AVANCE[[#This Row],[VENTANAS]]=AT$2,100%,AVANCE[[#This Row],[VENTANAS]])</f>
        <v>1</v>
      </c>
      <c r="CI103" s="3">
        <f>+IF(AVANCE[[#This Row],[PUERTAS ACCESO - LOGIA - BANO]]=AU$2,100%,AVANCE[[#This Row],[PUERTAS ACCESO - LOGIA - BANO]])</f>
        <v>1</v>
      </c>
      <c r="CJ103" s="3">
        <f>+IF(AVANCE[[#This Row],[CERRADURAS]]=AV$2,100%,AVANCE[[#This Row],[CERRADURAS]])</f>
        <v>1</v>
      </c>
      <c r="CK103" s="3">
        <f>+IF(AVANCE[[#This Row],[REVESTIMIENTO INTERIOR ZONA SECA]]=AW$2,100%,AVANCE[[#This Row],[REVESTIMIENTO INTERIOR ZONA SECA]])</f>
        <v>1</v>
      </c>
      <c r="CL103" s="3">
        <f>+IF(AVANCE[[#This Row],[REVESTIMIENTO INTERIOR ZONAS HUMEDAS]]=AX$2,100%,AVANCE[[#This Row],[REVESTIMIENTO INTERIOR ZONAS HUMEDAS]])</f>
        <v>1</v>
      </c>
      <c r="CM103" s="3">
        <f>+IF(AVANCE[[#This Row],[MEMBRANA CIELO]]=AY$2,100%,AVANCE[[#This Row],[MEMBRANA CIELO]])</f>
        <v>1</v>
      </c>
      <c r="CN103" s="3">
        <f>+IF(AVANCE[[#This Row],[LIMPIEZA FINAL]]=AZ$2,100%,AVANCE[[#This Row],[LIMPIEZA FINAL]])</f>
        <v>0</v>
      </c>
      <c r="CO103" s="3">
        <f>+IF(AVANCE[[#This Row],[PUERTAS DORMITORIO]]=BA$2,100%,AVANCE[[#This Row],[PUERTAS DORMITORIO]])</f>
        <v>1</v>
      </c>
      <c r="CP103" s="3">
        <f>+IF(AVANCE[[#This Row],[REVESTIMIENTO INTERIOR BANO]]=BB$2,100%,AVANCE[[#This Row],[REVESTIMIENTO INTERIOR BANO]])</f>
        <v>1</v>
      </c>
      <c r="CQ103" s="3">
        <f>+IF(AVANCE[[#This Row],[MUEBLE LAVAPLATOS]]=BC$2,100%,AVANCE[[#This Row],[MUEBLE LAVAPLATOS]])</f>
        <v>1</v>
      </c>
      <c r="CR103" s="3">
        <f>+IF(AVANCE[[#This Row],[IMPERMEABILIZACION BANO - COCINA LOGIA]]=BD$2,100%,AVANCE[[#This Row],[IMPERMEABILIZACION BANO - COCINA LOGIA]])</f>
        <v>1</v>
      </c>
      <c r="CS103" s="40">
        <f ca="1">+IF(AVANCE[[#This Row],[ESTADO MODULO]]="PENDIENTE",(TODAY()-AVANCE[[#This Row],[FECHA TERMINO  PLANIFICADO]]),0)</f>
        <v>19</v>
      </c>
      <c r="CT103" s="41" t="str" cm="1">
        <f t="array" ref="CT103">_xlfn.TEXTJOIN(" | ",TRUE,IF(SUMPRODUCT((BG103:CR103&lt;1)*(PARTIDAS!$I$2:$AT$2="OBRA GRUESA"))&gt;0,"OBRA GRUESA: "&amp;_xlfn.TEXTJOIN(", ",TRUE,IF((BG103:CR103&lt;1)*(PARTIDAS!$I$2:$AT$2="OBRA GRUESA"),PARTIDAS!$I$1:$AT$1,"")),""),IF(SUMPRODUCT((BG103:CR103&lt;1)*(PARTIDAS!$I$2:$AT$2="SANITARIOS"))&gt;0,"SANITARIOS: "&amp;_xlfn.TEXTJOIN(", ",TRUE,IF((BG103:CR103&lt;1)*(PARTIDAS!$I$2:$AT$2="SANITARIOS"),PARTIDAS!$I$1:$AT$1,"")),""),IF(SUMPRODUCT((BG103:CR103&lt;1)*(PARTIDAS!$I$2:$AT$2="ELÉCTRICO"))&gt;0,"ELÉCTRICO: "&amp;_xlfn.TEXTJOIN(", ",TRUE,IF((BG103:CR103&lt;1)*(PARTIDAS!$I$2:$AT$2="ELÉCTRICO"),PARTIDAS!$I$1:$AT$1,"")),""),IF(SUMPRODUCT((BG103:CR103&lt;1)*(PARTIDAS!$I$2:$AT$2="TERMINACIONES"))&gt;0,"TERMINACIONES: "&amp;_xlfn.TEXTJOIN(", ",TRUE,IF((BG103:CR103&lt;1)*(PARTIDAS!$I$2:$AT$2="TERMINACIONES"),PARTIDAS!$I$1:$AT$1,"")),""))</f>
        <v>TERMINACIONES: LIMPIEZA FINAL</v>
      </c>
      <c r="CU103" s="43" t="str" cm="1">
        <f t="array" ref="CU103">_xlfn.TEXTJOIN(", ",TRUE,IF(SUMPRODUCT((BG103:CR103&lt;1)*(PARTIDAS!$I$2:$AT$2="OBRA GRUESA"))&gt;0,"OBRA GRUESA",""),IF(SUMPRODUCT((BG103:CR103&lt;1)*(PARTIDAS!$I$2:$AT$2="SANITARIOS"))&gt;0,"SANITARIOS",""),IF(SUMPRODUCT((BG103:CR103&lt;1)*(PARTIDAS!$I$2:$AT$2="ELÉCTRICO"))&gt;0,"ELÉCTRICO",""),IF(SUMPRODUCT((BG103:CR103&lt;1)*(PARTIDAS!$I$2:$AT$2="TERMINACIONES"))&gt;0,"TERMINACIONES",""))</f>
        <v>TERMINACIONES</v>
      </c>
      <c r="CV103" s="44" cm="1">
        <f t="array" ref="CV103">SUMPRODUCT(--(BG103:CR103&lt;1))</f>
        <v>1</v>
      </c>
    </row>
    <row r="104" spans="1:100" hidden="1" x14ac:dyDescent="0.25">
      <c r="A104" t="s">
        <v>157</v>
      </c>
      <c r="B104" t="s">
        <v>164</v>
      </c>
      <c r="C104">
        <v>2302600103</v>
      </c>
      <c r="D104" t="s">
        <v>60</v>
      </c>
      <c r="E104" s="2">
        <v>0.95499999999999985</v>
      </c>
      <c r="F104" s="1">
        <v>46178</v>
      </c>
      <c r="G104" s="1">
        <v>46184</v>
      </c>
      <c r="H104" s="1">
        <v>46226</v>
      </c>
      <c r="I104" s="1">
        <v>46212</v>
      </c>
      <c r="J104">
        <v>4</v>
      </c>
      <c r="K104" s="1"/>
      <c r="L104" s="3">
        <v>0.43</v>
      </c>
      <c r="M104" s="3">
        <v>1</v>
      </c>
      <c r="N104" s="3">
        <v>0.27906976744186046</v>
      </c>
      <c r="O104" s="3">
        <v>0.18604651162790697</v>
      </c>
      <c r="P104" s="3">
        <v>0.2558139534883721</v>
      </c>
      <c r="Q104" s="3">
        <v>0.18604651162790697</v>
      </c>
      <c r="R104" s="3">
        <v>9.3023255813953487E-2</v>
      </c>
      <c r="S104" s="3">
        <v>0.09</v>
      </c>
      <c r="T104" s="3">
        <v>1</v>
      </c>
      <c r="U104" s="3">
        <v>0.22222222222222221</v>
      </c>
      <c r="V104" s="3">
        <v>0.22222222222222221</v>
      </c>
      <c r="W104" s="3">
        <v>0.1111111111111111</v>
      </c>
      <c r="X104" s="3">
        <v>0.1111111111111111</v>
      </c>
      <c r="Y104" s="3">
        <v>0.1111111111111111</v>
      </c>
      <c r="Z104" s="3">
        <v>0.22222222222222221</v>
      </c>
      <c r="AA104" s="3">
        <v>0.11</v>
      </c>
      <c r="AB104" s="3">
        <v>1</v>
      </c>
      <c r="AC104" s="3">
        <v>0.27272727272727271</v>
      </c>
      <c r="AD104" s="3">
        <v>0.27272727272727271</v>
      </c>
      <c r="AE104" s="3">
        <v>9.0909090909090912E-2</v>
      </c>
      <c r="AF104" s="3">
        <v>0.18181818181818182</v>
      </c>
      <c r="AG104" s="3">
        <v>0.18181818181818182</v>
      </c>
      <c r="AH104" s="3">
        <v>0.32499999999999984</v>
      </c>
      <c r="AI104" s="3">
        <v>0.87837837837837796</v>
      </c>
      <c r="AJ104" s="3">
        <v>5.4054054054054036E-2</v>
      </c>
      <c r="AK104" s="3">
        <v>5.4054054054054036E-2</v>
      </c>
      <c r="AL104" s="3">
        <v>2.7027027027027018E-2</v>
      </c>
      <c r="AM104" s="3">
        <v>8.1081081081081058E-2</v>
      </c>
      <c r="AN104" s="3">
        <v>8.1081081081081058E-2</v>
      </c>
      <c r="AO104" s="3">
        <v>6.7567567567567557E-2</v>
      </c>
      <c r="AP104" s="3">
        <v>5.4054054054054036E-2</v>
      </c>
      <c r="AQ104" s="3">
        <v>1.3513513513513509E-2</v>
      </c>
      <c r="AR104" s="3">
        <v>4.0540540540540529E-2</v>
      </c>
      <c r="AS104" s="3">
        <v>1.3513513513513509E-2</v>
      </c>
      <c r="AT104" s="3">
        <v>8.1081081081081058E-2</v>
      </c>
      <c r="AU104" s="3">
        <v>5.4054054054054036E-2</v>
      </c>
      <c r="AV104" s="3">
        <v>2.7027027027027018E-2</v>
      </c>
      <c r="AW104" s="3">
        <v>5.4054054054054036E-2</v>
      </c>
      <c r="AX104" s="3">
        <v>5.4054054054054036E-2</v>
      </c>
      <c r="AY104" s="3">
        <v>2.7027027027027018E-2</v>
      </c>
      <c r="AZ104" s="3">
        <v>0</v>
      </c>
      <c r="BA104" s="3">
        <v>5.4054054054054036E-2</v>
      </c>
      <c r="BB104" s="3">
        <v>0</v>
      </c>
      <c r="BC104" s="3">
        <v>1.3513513513513509E-2</v>
      </c>
      <c r="BD104" s="3">
        <v>2.7027027027027018E-2</v>
      </c>
      <c r="BE104">
        <v>31.32</v>
      </c>
      <c r="BF104" s="3" t="str">
        <f>+IF(AVANCE[[#This Row],[% AVANCE]]=100%,"MODULO TERMINADO",IF(AVANCE[[#This Row],[FECHA INICIO REAL]]="","MODULO NO INICIADO","PENDIENTE"))</f>
        <v>PENDIENTE</v>
      </c>
      <c r="BG104" s="3">
        <f>+IF(AVANCE[[#This Row],[VENTANAS]]=8.10810810810811%,100%,AVANCE[[#This Row],[VENTANAS]])</f>
        <v>1</v>
      </c>
      <c r="BH104" s="3">
        <f>+IF(AVANCE[[#This Row],[PISO]]=N$2,100%,AVANCE[[#This Row],[PISO]])</f>
        <v>1</v>
      </c>
      <c r="BI104" s="3">
        <f>+IF(AVANCE[[#This Row],[TABIQUES]]=O$2,100%,AVANCE[[#This Row],[TABIQUES]])</f>
        <v>1</v>
      </c>
      <c r="BJ104" s="3">
        <f>+IF(AVANCE[[#This Row],[MUROS]]=P$2,100%,AVANCE[[#This Row],[MUROS]])</f>
        <v>1</v>
      </c>
      <c r="BK104" s="3">
        <f>+IF(AVANCE[[#This Row],[CIELO]]=Q$2,100%,AVANCE[[#This Row],[CIELO]])</f>
        <v>1</v>
      </c>
      <c r="BL104" s="3">
        <f>+IF(AVANCE[[#This Row],[BALCÓN]]=R$2,100%,AVANCE[[#This Row],[BALCÓN]])</f>
        <v>1</v>
      </c>
      <c r="BM104" s="3">
        <f>+IF(AVANCE[[#This Row],[RED ALCANTARILLADO]]=U$2,100%,AVANCE[[#This Row],[RED ALCANTARILLADO]])</f>
        <v>1</v>
      </c>
      <c r="BN104" s="3">
        <f>+IF(AVANCE[[#This Row],[RED DE AGUA]]=V$2,100%,AVANCE[[#This Row],[RED DE AGUA]])</f>
        <v>1</v>
      </c>
      <c r="BO104" s="3">
        <f>+IF(AVANCE[[#This Row],[VENTILACIONES]]=W$2,100%,AVANCE[[#This Row],[VENTILACIONES]])</f>
        <v>1</v>
      </c>
      <c r="BP104" s="3">
        <f>+IF(AVANCE[[#This Row],[TINA]]=X$2,100%,AVANCE[[#This Row],[TINA]])</f>
        <v>1</v>
      </c>
      <c r="BQ104" s="3">
        <f>+IF(AVANCE[[#This Row],[WC]]=Y$2,100%,AVANCE[[#This Row],[WC]])</f>
        <v>1</v>
      </c>
      <c r="BR104" s="3">
        <f>+IF(AVANCE[[#This Row],[LAVAMANOS / LAVAPLATOS / LAVADERO]]=Z$2,100%,AVANCE[[#This Row],[LAVAMANOS / LAVAPLATOS / LAVADERO]])</f>
        <v>1</v>
      </c>
      <c r="BS104" s="3">
        <f>+IF(AVANCE[[#This Row],[CANALIZACIÓN]]=AC$2,100%,AVANCE[[#This Row],[CANALIZACIÓN]])</f>
        <v>1</v>
      </c>
      <c r="BT104" s="3">
        <f>+IF(AVANCE[[#This Row],[CABLEADO]]=AD$2,100%,AVANCE[[#This Row],[CABLEADO]])</f>
        <v>1</v>
      </c>
      <c r="BU104" s="3">
        <f>+IF(AVANCE[[#This Row],[ARTEFACTOS]]=AE$2,100%,AVANCE[[#This Row],[ARTEFACTOS]])</f>
        <v>1</v>
      </c>
      <c r="BV104" s="3">
        <f>+IF(AVANCE[[#This Row],[TABLERO]]=AF$2,100%,AVANCE[[#This Row],[TABLERO]])</f>
        <v>1</v>
      </c>
      <c r="BW104" s="3">
        <f>+IF(AVANCE[[#This Row],[CAJA PAU]]=AG$2,100%,AVANCE[[#This Row],[CAJA PAU]])</f>
        <v>1</v>
      </c>
      <c r="BX104" s="3">
        <f>+IF(AVANCE[[#This Row],[INSTALACION VINILICO]]=AJ$2,100%,AVANCE[[#This Row],[INSTALACION VINILICO]])</f>
        <v>1</v>
      </c>
      <c r="BY104" s="3">
        <f>+IF(AVANCE[[#This Row],[OSB CUBIERTA]]=AK$2,100%,AVANCE[[#This Row],[OSB CUBIERTA]])</f>
        <v>1</v>
      </c>
      <c r="BZ104" s="3">
        <f>+IF(AVANCE[[#This Row],[BARANDA BALCON]]=AL$2,100%,AVANCE[[#This Row],[BARANDA BALCON]])</f>
        <v>1</v>
      </c>
      <c r="CA104" s="3">
        <f>+IF(AVANCE[[#This Row],[OSB EXTERIOR]]=AM$2,100%,AVANCE[[#This Row],[OSB EXTERIOR]])</f>
        <v>1</v>
      </c>
      <c r="CB104" s="3">
        <f>+IF(AVANCE[[#This Row],[SMART PANEL]]=AN$2,100%,AVANCE[[#This Row],[SMART PANEL]])</f>
        <v>1</v>
      </c>
      <c r="CC104" s="3">
        <f>+IF(AVANCE[[#This Row],[PINTURA EXTERIOR]]=AO$2,100%,AVANCE[[#This Row],[PINTURA EXTERIOR]])</f>
        <v>1</v>
      </c>
      <c r="CD104" s="3">
        <f>+IF(AVANCE[[#This Row],[ZOCALOS LOGIA]]=AP$2,100%,AVANCE[[#This Row],[ZOCALOS LOGIA]])</f>
        <v>1</v>
      </c>
      <c r="CE104" s="3">
        <f>+IF(AVANCE[[#This Row],[MOLDURAS]]=AQ$2,100%,AVANCE[[#This Row],[MOLDURAS]])</f>
        <v>1</v>
      </c>
      <c r="CF104" s="3">
        <f>+IF(AVANCE[[#This Row],[PILASTREO]]=AR$2,100%,AVANCE[[#This Row],[PILASTREO]])</f>
        <v>1</v>
      </c>
      <c r="CG104" s="3">
        <f>+IF(AVANCE[[#This Row],[CELOSIAS]]=AS$2,100%,AVANCE[[#This Row],[CELOSIAS]])</f>
        <v>1</v>
      </c>
      <c r="CH104" s="3">
        <f>+IF(AVANCE[[#This Row],[VENTANAS]]=AT$2,100%,AVANCE[[#This Row],[VENTANAS]])</f>
        <v>1</v>
      </c>
      <c r="CI104" s="3">
        <f>+IF(AVANCE[[#This Row],[PUERTAS ACCESO - LOGIA - BANO]]=AU$2,100%,AVANCE[[#This Row],[PUERTAS ACCESO - LOGIA - BANO]])</f>
        <v>1</v>
      </c>
      <c r="CJ104" s="3">
        <f>+IF(AVANCE[[#This Row],[CERRADURAS]]=AV$2,100%,AVANCE[[#This Row],[CERRADURAS]])</f>
        <v>1</v>
      </c>
      <c r="CK104" s="3">
        <f>+IF(AVANCE[[#This Row],[REVESTIMIENTO INTERIOR ZONA SECA]]=AW$2,100%,AVANCE[[#This Row],[REVESTIMIENTO INTERIOR ZONA SECA]])</f>
        <v>1</v>
      </c>
      <c r="CL104" s="3">
        <f>+IF(AVANCE[[#This Row],[REVESTIMIENTO INTERIOR ZONAS HUMEDAS]]=AX$2,100%,AVANCE[[#This Row],[REVESTIMIENTO INTERIOR ZONAS HUMEDAS]])</f>
        <v>1</v>
      </c>
      <c r="CM104" s="3">
        <f>+IF(AVANCE[[#This Row],[MEMBRANA CIELO]]=AY$2,100%,AVANCE[[#This Row],[MEMBRANA CIELO]])</f>
        <v>1</v>
      </c>
      <c r="CN104" s="3">
        <f>+IF(AVANCE[[#This Row],[LIMPIEZA FINAL]]=AZ$2,100%,AVANCE[[#This Row],[LIMPIEZA FINAL]])</f>
        <v>0</v>
      </c>
      <c r="CO104" s="3">
        <f>+IF(AVANCE[[#This Row],[PUERTAS DORMITORIO]]=BA$2,100%,AVANCE[[#This Row],[PUERTAS DORMITORIO]])</f>
        <v>1</v>
      </c>
      <c r="CP104" s="3">
        <f>+IF(AVANCE[[#This Row],[REVESTIMIENTO INTERIOR BANO]]=BB$2,100%,AVANCE[[#This Row],[REVESTIMIENTO INTERIOR BANO]])</f>
        <v>0</v>
      </c>
      <c r="CQ104" s="3">
        <f>+IF(AVANCE[[#This Row],[MUEBLE LAVAPLATOS]]=BC$2,100%,AVANCE[[#This Row],[MUEBLE LAVAPLATOS]])</f>
        <v>1</v>
      </c>
      <c r="CR104" s="3">
        <f>+IF(AVANCE[[#This Row],[IMPERMEABILIZACION BANO - COCINA LOGIA]]=BD$2,100%,AVANCE[[#This Row],[IMPERMEABILIZACION BANO - COCINA LOGIA]])</f>
        <v>1</v>
      </c>
      <c r="CS104" s="40">
        <f ca="1">+IF(AVANCE[[#This Row],[ESTADO MODULO]]="PENDIENTE",(TODAY()-AVANCE[[#This Row],[FECHA TERMINO  PLANIFICADO]]),0)</f>
        <v>18</v>
      </c>
      <c r="CT104" s="41" t="str" cm="1">
        <f t="array" ref="CT104">_xlfn.TEXTJOIN(" | ",TRUE,IF(SUMPRODUCT((BG104:CR104&lt;1)*(PARTIDAS!$I$2:$AT$2="OBRA GRUESA"))&gt;0,"OBRA GRUESA: "&amp;_xlfn.TEXTJOIN(", ",TRUE,IF((BG104:CR104&lt;1)*(PARTIDAS!$I$2:$AT$2="OBRA GRUESA"),PARTIDAS!$I$1:$AT$1,"")),""),IF(SUMPRODUCT((BG104:CR104&lt;1)*(PARTIDAS!$I$2:$AT$2="SANITARIOS"))&gt;0,"SANITARIOS: "&amp;_xlfn.TEXTJOIN(", ",TRUE,IF((BG104:CR104&lt;1)*(PARTIDAS!$I$2:$AT$2="SANITARIOS"),PARTIDAS!$I$1:$AT$1,"")),""),IF(SUMPRODUCT((BG104:CR104&lt;1)*(PARTIDAS!$I$2:$AT$2="ELÉCTRICO"))&gt;0,"ELÉCTRICO: "&amp;_xlfn.TEXTJOIN(", ",TRUE,IF((BG104:CR104&lt;1)*(PARTIDAS!$I$2:$AT$2="ELÉCTRICO"),PARTIDAS!$I$1:$AT$1,"")),""),IF(SUMPRODUCT((BG104:CR104&lt;1)*(PARTIDAS!$I$2:$AT$2="TERMINACIONES"))&gt;0,"TERMINACIONES: "&amp;_xlfn.TEXTJOIN(", ",TRUE,IF((BG104:CR104&lt;1)*(PARTIDAS!$I$2:$AT$2="TERMINACIONES"),PARTIDAS!$I$1:$AT$1,"")),""))</f>
        <v>TERMINACIONES: LIMPIEZA FINAL, REVESTIMIENTO INTERIOR BANO</v>
      </c>
      <c r="CU104" s="43" t="str" cm="1">
        <f t="array" ref="CU104">_xlfn.TEXTJOIN(", ",TRUE,IF(SUMPRODUCT((BG104:CR104&lt;1)*(PARTIDAS!$I$2:$AT$2="OBRA GRUESA"))&gt;0,"OBRA GRUESA",""),IF(SUMPRODUCT((BG104:CR104&lt;1)*(PARTIDAS!$I$2:$AT$2="SANITARIOS"))&gt;0,"SANITARIOS",""),IF(SUMPRODUCT((BG104:CR104&lt;1)*(PARTIDAS!$I$2:$AT$2="ELÉCTRICO"))&gt;0,"ELÉCTRICO",""),IF(SUMPRODUCT((BG104:CR104&lt;1)*(PARTIDAS!$I$2:$AT$2="TERMINACIONES"))&gt;0,"TERMINACIONES",""))</f>
        <v>TERMINACIONES</v>
      </c>
      <c r="CV104" s="44" cm="1">
        <f t="array" ref="CV104">SUMPRODUCT(--(BG104:CR104&lt;1))</f>
        <v>2</v>
      </c>
    </row>
    <row r="105" spans="1:100" hidden="1" x14ac:dyDescent="0.25">
      <c r="A105" t="s">
        <v>157</v>
      </c>
      <c r="B105" t="s">
        <v>165</v>
      </c>
      <c r="C105">
        <v>2282600104</v>
      </c>
      <c r="D105" t="s">
        <v>58</v>
      </c>
      <c r="E105" s="2">
        <v>0.99999999999999978</v>
      </c>
      <c r="F105" s="1">
        <v>46178</v>
      </c>
      <c r="G105" s="1">
        <v>46184</v>
      </c>
      <c r="H105" s="1">
        <v>46224</v>
      </c>
      <c r="I105" s="1">
        <v>46202</v>
      </c>
      <c r="K105" s="1">
        <v>46224</v>
      </c>
      <c r="L105" s="3">
        <v>0.43</v>
      </c>
      <c r="M105" s="3">
        <v>1</v>
      </c>
      <c r="N105" s="3">
        <v>0.27906976744186046</v>
      </c>
      <c r="O105" s="3">
        <v>0.18604651162790697</v>
      </c>
      <c r="P105" s="3">
        <v>0.2558139534883721</v>
      </c>
      <c r="Q105" s="3">
        <v>0.18604651162790697</v>
      </c>
      <c r="R105" s="3">
        <v>9.3023255813953487E-2</v>
      </c>
      <c r="S105" s="3">
        <v>0.09</v>
      </c>
      <c r="T105" s="3">
        <v>1</v>
      </c>
      <c r="U105" s="3">
        <v>0.22222222222222221</v>
      </c>
      <c r="V105" s="3">
        <v>0.22222222222222221</v>
      </c>
      <c r="W105" s="3">
        <v>0.1111111111111111</v>
      </c>
      <c r="X105" s="3">
        <v>0.1111111111111111</v>
      </c>
      <c r="Y105" s="3">
        <v>0.1111111111111111</v>
      </c>
      <c r="Z105" s="3">
        <v>0.22222222222222221</v>
      </c>
      <c r="AA105" s="3">
        <v>0.11</v>
      </c>
      <c r="AB105" s="3">
        <v>1</v>
      </c>
      <c r="AC105" s="3">
        <v>0.27272727272727271</v>
      </c>
      <c r="AD105" s="3">
        <v>0.27272727272727271</v>
      </c>
      <c r="AE105" s="3">
        <v>9.0909090909090912E-2</v>
      </c>
      <c r="AF105" s="3">
        <v>0.18181818181818182</v>
      </c>
      <c r="AG105" s="3">
        <v>0.18181818181818182</v>
      </c>
      <c r="AH105" s="3">
        <v>0.36999999999999983</v>
      </c>
      <c r="AI105" s="3">
        <v>0.99999999999999956</v>
      </c>
      <c r="AJ105" s="3">
        <v>5.4054054054054036E-2</v>
      </c>
      <c r="AK105" s="3">
        <v>5.4054054054054036E-2</v>
      </c>
      <c r="AL105" s="3">
        <v>2.7027027027027018E-2</v>
      </c>
      <c r="AM105" s="3">
        <v>8.1081081081081058E-2</v>
      </c>
      <c r="AN105" s="3">
        <v>8.1081081081081058E-2</v>
      </c>
      <c r="AO105" s="3">
        <v>6.7567567567567557E-2</v>
      </c>
      <c r="AP105" s="3">
        <v>5.4054054054054036E-2</v>
      </c>
      <c r="AQ105" s="3">
        <v>1.3513513513513509E-2</v>
      </c>
      <c r="AR105" s="3">
        <v>4.0540540540540529E-2</v>
      </c>
      <c r="AS105" s="3">
        <v>1.3513513513513509E-2</v>
      </c>
      <c r="AT105" s="3">
        <v>8.1081081081081058E-2</v>
      </c>
      <c r="AU105" s="3">
        <v>5.4054054054054036E-2</v>
      </c>
      <c r="AV105" s="3">
        <v>2.7027027027027018E-2</v>
      </c>
      <c r="AW105" s="3">
        <v>5.4054054054054036E-2</v>
      </c>
      <c r="AX105" s="3">
        <v>5.4054054054054036E-2</v>
      </c>
      <c r="AY105" s="3">
        <v>2.7027027027027018E-2</v>
      </c>
      <c r="AZ105" s="3">
        <v>4.0540540540540529E-2</v>
      </c>
      <c r="BA105" s="3">
        <v>5.4054054054054036E-2</v>
      </c>
      <c r="BB105" s="3">
        <v>8.1081081081081058E-2</v>
      </c>
      <c r="BC105" s="3">
        <v>1.3513513513513509E-2</v>
      </c>
      <c r="BD105" s="3">
        <v>2.7027027027027018E-2</v>
      </c>
      <c r="BE105">
        <v>28.87</v>
      </c>
      <c r="BF105" s="3" t="str">
        <f>+IF(AVANCE[[#This Row],[% AVANCE]]=100%,"MODULO TERMINADO",IF(AVANCE[[#This Row],[FECHA INICIO REAL]]="","MODULO NO INICIADO","PENDIENTE"))</f>
        <v>MODULO TERMINADO</v>
      </c>
      <c r="BG105" s="3">
        <f>+IF(AVANCE[[#This Row],[VENTANAS]]=8.10810810810811%,100%,AVANCE[[#This Row],[VENTANAS]])</f>
        <v>1</v>
      </c>
      <c r="BH105" s="3">
        <f>+IF(AVANCE[[#This Row],[PISO]]=N$2,100%,AVANCE[[#This Row],[PISO]])</f>
        <v>1</v>
      </c>
      <c r="BI105" s="3">
        <f>+IF(AVANCE[[#This Row],[TABIQUES]]=O$2,100%,AVANCE[[#This Row],[TABIQUES]])</f>
        <v>1</v>
      </c>
      <c r="BJ105" s="3">
        <f>+IF(AVANCE[[#This Row],[MUROS]]=P$2,100%,AVANCE[[#This Row],[MUROS]])</f>
        <v>1</v>
      </c>
      <c r="BK105" s="3">
        <f>+IF(AVANCE[[#This Row],[CIELO]]=Q$2,100%,AVANCE[[#This Row],[CIELO]])</f>
        <v>1</v>
      </c>
      <c r="BL105" s="3">
        <f>+IF(AVANCE[[#This Row],[BALCÓN]]=R$2,100%,AVANCE[[#This Row],[BALCÓN]])</f>
        <v>1</v>
      </c>
      <c r="BM105" s="3">
        <f>+IF(AVANCE[[#This Row],[RED ALCANTARILLADO]]=U$2,100%,AVANCE[[#This Row],[RED ALCANTARILLADO]])</f>
        <v>1</v>
      </c>
      <c r="BN105" s="3">
        <f>+IF(AVANCE[[#This Row],[RED DE AGUA]]=V$2,100%,AVANCE[[#This Row],[RED DE AGUA]])</f>
        <v>1</v>
      </c>
      <c r="BO105" s="3">
        <f>+IF(AVANCE[[#This Row],[VENTILACIONES]]=W$2,100%,AVANCE[[#This Row],[VENTILACIONES]])</f>
        <v>1</v>
      </c>
      <c r="BP105" s="3">
        <f>+IF(AVANCE[[#This Row],[TINA]]=X$2,100%,AVANCE[[#This Row],[TINA]])</f>
        <v>1</v>
      </c>
      <c r="BQ105" s="3">
        <f>+IF(AVANCE[[#This Row],[WC]]=Y$2,100%,AVANCE[[#This Row],[WC]])</f>
        <v>1</v>
      </c>
      <c r="BR105" s="3">
        <f>+IF(AVANCE[[#This Row],[LAVAMANOS / LAVAPLATOS / LAVADERO]]=Z$2,100%,AVANCE[[#This Row],[LAVAMANOS / LAVAPLATOS / LAVADERO]])</f>
        <v>1</v>
      </c>
      <c r="BS105" s="3">
        <f>+IF(AVANCE[[#This Row],[CANALIZACIÓN]]=AC$2,100%,AVANCE[[#This Row],[CANALIZACIÓN]])</f>
        <v>1</v>
      </c>
      <c r="BT105" s="3">
        <f>+IF(AVANCE[[#This Row],[CABLEADO]]=AD$2,100%,AVANCE[[#This Row],[CABLEADO]])</f>
        <v>1</v>
      </c>
      <c r="BU105" s="3">
        <f>+IF(AVANCE[[#This Row],[ARTEFACTOS]]=AE$2,100%,AVANCE[[#This Row],[ARTEFACTOS]])</f>
        <v>1</v>
      </c>
      <c r="BV105" s="3">
        <f>+IF(AVANCE[[#This Row],[TABLERO]]=AF$2,100%,AVANCE[[#This Row],[TABLERO]])</f>
        <v>1</v>
      </c>
      <c r="BW105" s="3">
        <f>+IF(AVANCE[[#This Row],[CAJA PAU]]=AG$2,100%,AVANCE[[#This Row],[CAJA PAU]])</f>
        <v>1</v>
      </c>
      <c r="BX105" s="3">
        <f>+IF(AVANCE[[#This Row],[INSTALACION VINILICO]]=AJ$2,100%,AVANCE[[#This Row],[INSTALACION VINILICO]])</f>
        <v>1</v>
      </c>
      <c r="BY105" s="3">
        <f>+IF(AVANCE[[#This Row],[OSB CUBIERTA]]=AK$2,100%,AVANCE[[#This Row],[OSB CUBIERTA]])</f>
        <v>1</v>
      </c>
      <c r="BZ105" s="3">
        <f>+IF(AVANCE[[#This Row],[BARANDA BALCON]]=AL$2,100%,AVANCE[[#This Row],[BARANDA BALCON]])</f>
        <v>1</v>
      </c>
      <c r="CA105" s="3">
        <f>+IF(AVANCE[[#This Row],[OSB EXTERIOR]]=AM$2,100%,AVANCE[[#This Row],[OSB EXTERIOR]])</f>
        <v>1</v>
      </c>
      <c r="CB105" s="3">
        <f>+IF(AVANCE[[#This Row],[SMART PANEL]]=AN$2,100%,AVANCE[[#This Row],[SMART PANEL]])</f>
        <v>1</v>
      </c>
      <c r="CC105" s="3">
        <f>+IF(AVANCE[[#This Row],[PINTURA EXTERIOR]]=AO$2,100%,AVANCE[[#This Row],[PINTURA EXTERIOR]])</f>
        <v>1</v>
      </c>
      <c r="CD105" s="3">
        <f>+IF(AVANCE[[#This Row],[ZOCALOS LOGIA]]=AP$2,100%,AVANCE[[#This Row],[ZOCALOS LOGIA]])</f>
        <v>1</v>
      </c>
      <c r="CE105" s="3">
        <f>+IF(AVANCE[[#This Row],[MOLDURAS]]=AQ$2,100%,AVANCE[[#This Row],[MOLDURAS]])</f>
        <v>1</v>
      </c>
      <c r="CF105" s="3">
        <f>+IF(AVANCE[[#This Row],[PILASTREO]]=AR$2,100%,AVANCE[[#This Row],[PILASTREO]])</f>
        <v>1</v>
      </c>
      <c r="CG105" s="3">
        <f>+IF(AVANCE[[#This Row],[CELOSIAS]]=AS$2,100%,AVANCE[[#This Row],[CELOSIAS]])</f>
        <v>1</v>
      </c>
      <c r="CH105" s="3">
        <f>+IF(AVANCE[[#This Row],[VENTANAS]]=AT$2,100%,AVANCE[[#This Row],[VENTANAS]])</f>
        <v>1</v>
      </c>
      <c r="CI105" s="3">
        <f>+IF(AVANCE[[#This Row],[PUERTAS ACCESO - LOGIA - BANO]]=AU$2,100%,AVANCE[[#This Row],[PUERTAS ACCESO - LOGIA - BANO]])</f>
        <v>1</v>
      </c>
      <c r="CJ105" s="3">
        <f>+IF(AVANCE[[#This Row],[CERRADURAS]]=AV$2,100%,AVANCE[[#This Row],[CERRADURAS]])</f>
        <v>1</v>
      </c>
      <c r="CK105" s="3">
        <f>+IF(AVANCE[[#This Row],[REVESTIMIENTO INTERIOR ZONA SECA]]=AW$2,100%,AVANCE[[#This Row],[REVESTIMIENTO INTERIOR ZONA SECA]])</f>
        <v>1</v>
      </c>
      <c r="CL105" s="3">
        <f>+IF(AVANCE[[#This Row],[REVESTIMIENTO INTERIOR ZONAS HUMEDAS]]=AX$2,100%,AVANCE[[#This Row],[REVESTIMIENTO INTERIOR ZONAS HUMEDAS]])</f>
        <v>1</v>
      </c>
      <c r="CM105" s="3">
        <f>+IF(AVANCE[[#This Row],[MEMBRANA CIELO]]=AY$2,100%,AVANCE[[#This Row],[MEMBRANA CIELO]])</f>
        <v>1</v>
      </c>
      <c r="CN105" s="3">
        <f>+IF(AVANCE[[#This Row],[LIMPIEZA FINAL]]=AZ$2,100%,AVANCE[[#This Row],[LIMPIEZA FINAL]])</f>
        <v>1</v>
      </c>
      <c r="CO105" s="3">
        <f>+IF(AVANCE[[#This Row],[PUERTAS DORMITORIO]]=BA$2,100%,AVANCE[[#This Row],[PUERTAS DORMITORIO]])</f>
        <v>1</v>
      </c>
      <c r="CP105" s="3">
        <f>+IF(AVANCE[[#This Row],[REVESTIMIENTO INTERIOR BANO]]=BB$2,100%,AVANCE[[#This Row],[REVESTIMIENTO INTERIOR BANO]])</f>
        <v>1</v>
      </c>
      <c r="CQ105" s="3">
        <f>+IF(AVANCE[[#This Row],[MUEBLE LAVAPLATOS]]=BC$2,100%,AVANCE[[#This Row],[MUEBLE LAVAPLATOS]])</f>
        <v>1</v>
      </c>
      <c r="CR105" s="3">
        <f>+IF(AVANCE[[#This Row],[IMPERMEABILIZACION BANO - COCINA LOGIA]]=BD$2,100%,AVANCE[[#This Row],[IMPERMEABILIZACION BANO - COCINA LOGIA]])</f>
        <v>1</v>
      </c>
      <c r="CS105" s="40">
        <f ca="1">+IF(AVANCE[[#This Row],[ESTADO MODULO]]="PENDIENTE",(TODAY()-AVANCE[[#This Row],[FECHA TERMINO  PLANIFICADO]]),0)</f>
        <v>0</v>
      </c>
      <c r="CT105" s="41" t="str" cm="1">
        <f t="array" ref="CT105">_xlfn.TEXTJOIN(" | ",TRUE,IF(SUMPRODUCT((BG105:CR105&lt;1)*(PARTIDAS!$I$2:$AT$2="OBRA GRUESA"))&gt;0,"OBRA GRUESA: "&amp;_xlfn.TEXTJOIN(", ",TRUE,IF((BG105:CR105&lt;1)*(PARTIDAS!$I$2:$AT$2="OBRA GRUESA"),PARTIDAS!$I$1:$AT$1,"")),""),IF(SUMPRODUCT((BG105:CR105&lt;1)*(PARTIDAS!$I$2:$AT$2="SANITARIOS"))&gt;0,"SANITARIOS: "&amp;_xlfn.TEXTJOIN(", ",TRUE,IF((BG105:CR105&lt;1)*(PARTIDAS!$I$2:$AT$2="SANITARIOS"),PARTIDAS!$I$1:$AT$1,"")),""),IF(SUMPRODUCT((BG105:CR105&lt;1)*(PARTIDAS!$I$2:$AT$2="ELÉCTRICO"))&gt;0,"ELÉCTRICO: "&amp;_xlfn.TEXTJOIN(", ",TRUE,IF((BG105:CR105&lt;1)*(PARTIDAS!$I$2:$AT$2="ELÉCTRICO"),PARTIDAS!$I$1:$AT$1,"")),""),IF(SUMPRODUCT((BG105:CR105&lt;1)*(PARTIDAS!$I$2:$AT$2="TERMINACIONES"))&gt;0,"TERMINACIONES: "&amp;_xlfn.TEXTJOIN(", ",TRUE,IF((BG105:CR105&lt;1)*(PARTIDAS!$I$2:$AT$2="TERMINACIONES"),PARTIDAS!$I$1:$AT$1,"")),""))</f>
        <v/>
      </c>
      <c r="CU105" s="43" t="str" cm="1">
        <f t="array" ref="CU105">_xlfn.TEXTJOIN(", ",TRUE,IF(SUMPRODUCT((BG105:CR105&lt;1)*(PARTIDAS!$I$2:$AT$2="OBRA GRUESA"))&gt;0,"OBRA GRUESA",""),IF(SUMPRODUCT((BG105:CR105&lt;1)*(PARTIDAS!$I$2:$AT$2="SANITARIOS"))&gt;0,"SANITARIOS",""),IF(SUMPRODUCT((BG105:CR105&lt;1)*(PARTIDAS!$I$2:$AT$2="ELÉCTRICO"))&gt;0,"ELÉCTRICO",""),IF(SUMPRODUCT((BG105:CR105&lt;1)*(PARTIDAS!$I$2:$AT$2="TERMINACIONES"))&gt;0,"TERMINACIONES",""))</f>
        <v/>
      </c>
      <c r="CV105" s="44" cm="1">
        <f t="array" ref="CV105">SUMPRODUCT(--(BG105:CR105&lt;1))</f>
        <v>0</v>
      </c>
    </row>
    <row r="106" spans="1:100" hidden="1" x14ac:dyDescent="0.25">
      <c r="A106" t="s">
        <v>157</v>
      </c>
      <c r="B106" t="s">
        <v>166</v>
      </c>
      <c r="C106">
        <v>2282600105</v>
      </c>
      <c r="D106" t="s">
        <v>58</v>
      </c>
      <c r="E106" s="2">
        <v>0.99999999999999978</v>
      </c>
      <c r="F106" s="1">
        <v>46181</v>
      </c>
      <c r="G106" s="1">
        <v>46189</v>
      </c>
      <c r="H106" s="1">
        <v>46226</v>
      </c>
      <c r="I106" s="1">
        <v>46205</v>
      </c>
      <c r="K106" s="1">
        <v>46226</v>
      </c>
      <c r="L106" s="3">
        <v>0.43</v>
      </c>
      <c r="M106" s="3">
        <v>1</v>
      </c>
      <c r="N106" s="3">
        <v>0.27906976744186046</v>
      </c>
      <c r="O106" s="3">
        <v>0.18604651162790697</v>
      </c>
      <c r="P106" s="3">
        <v>0.2558139534883721</v>
      </c>
      <c r="Q106" s="3">
        <v>0.18604651162790697</v>
      </c>
      <c r="R106" s="3">
        <v>9.3023255813953487E-2</v>
      </c>
      <c r="S106" s="3">
        <v>0.09</v>
      </c>
      <c r="T106" s="3">
        <v>1</v>
      </c>
      <c r="U106" s="3">
        <v>0.22222222222222221</v>
      </c>
      <c r="V106" s="3">
        <v>0.22222222222222221</v>
      </c>
      <c r="W106" s="3">
        <v>0.1111111111111111</v>
      </c>
      <c r="X106" s="3">
        <v>0.1111111111111111</v>
      </c>
      <c r="Y106" s="3">
        <v>0.1111111111111111</v>
      </c>
      <c r="Z106" s="3">
        <v>0.22222222222222221</v>
      </c>
      <c r="AA106" s="3">
        <v>0.11</v>
      </c>
      <c r="AB106" s="3">
        <v>1</v>
      </c>
      <c r="AC106" s="3">
        <v>0.27272727272727271</v>
      </c>
      <c r="AD106" s="3">
        <v>0.27272727272727271</v>
      </c>
      <c r="AE106" s="3">
        <v>9.0909090909090912E-2</v>
      </c>
      <c r="AF106" s="3">
        <v>0.18181818181818182</v>
      </c>
      <c r="AG106" s="3">
        <v>0.18181818181818182</v>
      </c>
      <c r="AH106" s="3">
        <v>0.36999999999999983</v>
      </c>
      <c r="AI106" s="3">
        <v>0.99999999999999956</v>
      </c>
      <c r="AJ106" s="3">
        <v>5.4054054054054036E-2</v>
      </c>
      <c r="AK106" s="3">
        <v>5.4054054054054036E-2</v>
      </c>
      <c r="AL106" s="3">
        <v>2.7027027027027018E-2</v>
      </c>
      <c r="AM106" s="3">
        <v>8.1081081081081058E-2</v>
      </c>
      <c r="AN106" s="3">
        <v>8.1081081081081058E-2</v>
      </c>
      <c r="AO106" s="3">
        <v>6.7567567567567557E-2</v>
      </c>
      <c r="AP106" s="3">
        <v>5.4054054054054036E-2</v>
      </c>
      <c r="AQ106" s="3">
        <v>1.3513513513513509E-2</v>
      </c>
      <c r="AR106" s="3">
        <v>4.0540540540540529E-2</v>
      </c>
      <c r="AS106" s="3">
        <v>1.3513513513513509E-2</v>
      </c>
      <c r="AT106" s="3">
        <v>8.1081081081081058E-2</v>
      </c>
      <c r="AU106" s="3">
        <v>5.4054054054054036E-2</v>
      </c>
      <c r="AV106" s="3">
        <v>2.7027027027027018E-2</v>
      </c>
      <c r="AW106" s="3">
        <v>5.4054054054054036E-2</v>
      </c>
      <c r="AX106" s="3">
        <v>5.4054054054054036E-2</v>
      </c>
      <c r="AY106" s="3">
        <v>2.7027027027027018E-2</v>
      </c>
      <c r="AZ106" s="3">
        <v>4.0540540540540529E-2</v>
      </c>
      <c r="BA106" s="3">
        <v>5.4054054054054036E-2</v>
      </c>
      <c r="BB106" s="3">
        <v>8.1081081081081058E-2</v>
      </c>
      <c r="BC106" s="3">
        <v>1.3513513513513509E-2</v>
      </c>
      <c r="BD106" s="3">
        <v>2.7027027027027018E-2</v>
      </c>
      <c r="BE106">
        <v>28.87</v>
      </c>
      <c r="BF106" s="3" t="str">
        <f>+IF(AVANCE[[#This Row],[% AVANCE]]=100%,"MODULO TERMINADO",IF(AVANCE[[#This Row],[FECHA INICIO REAL]]="","MODULO NO INICIADO","PENDIENTE"))</f>
        <v>MODULO TERMINADO</v>
      </c>
      <c r="BG106" s="3">
        <f>+IF(AVANCE[[#This Row],[VENTANAS]]=8.10810810810811%,100%,AVANCE[[#This Row],[VENTANAS]])</f>
        <v>1</v>
      </c>
      <c r="BH106" s="3">
        <f>+IF(AVANCE[[#This Row],[PISO]]=N$2,100%,AVANCE[[#This Row],[PISO]])</f>
        <v>1</v>
      </c>
      <c r="BI106" s="3">
        <f>+IF(AVANCE[[#This Row],[TABIQUES]]=O$2,100%,AVANCE[[#This Row],[TABIQUES]])</f>
        <v>1</v>
      </c>
      <c r="BJ106" s="3">
        <f>+IF(AVANCE[[#This Row],[MUROS]]=P$2,100%,AVANCE[[#This Row],[MUROS]])</f>
        <v>1</v>
      </c>
      <c r="BK106" s="3">
        <f>+IF(AVANCE[[#This Row],[CIELO]]=Q$2,100%,AVANCE[[#This Row],[CIELO]])</f>
        <v>1</v>
      </c>
      <c r="BL106" s="3">
        <f>+IF(AVANCE[[#This Row],[BALCÓN]]=R$2,100%,AVANCE[[#This Row],[BALCÓN]])</f>
        <v>1</v>
      </c>
      <c r="BM106" s="3">
        <f>+IF(AVANCE[[#This Row],[RED ALCANTARILLADO]]=U$2,100%,AVANCE[[#This Row],[RED ALCANTARILLADO]])</f>
        <v>1</v>
      </c>
      <c r="BN106" s="3">
        <f>+IF(AVANCE[[#This Row],[RED DE AGUA]]=V$2,100%,AVANCE[[#This Row],[RED DE AGUA]])</f>
        <v>1</v>
      </c>
      <c r="BO106" s="3">
        <f>+IF(AVANCE[[#This Row],[VENTILACIONES]]=W$2,100%,AVANCE[[#This Row],[VENTILACIONES]])</f>
        <v>1</v>
      </c>
      <c r="BP106" s="3">
        <f>+IF(AVANCE[[#This Row],[TINA]]=X$2,100%,AVANCE[[#This Row],[TINA]])</f>
        <v>1</v>
      </c>
      <c r="BQ106" s="3">
        <f>+IF(AVANCE[[#This Row],[WC]]=Y$2,100%,AVANCE[[#This Row],[WC]])</f>
        <v>1</v>
      </c>
      <c r="BR106" s="3">
        <f>+IF(AVANCE[[#This Row],[LAVAMANOS / LAVAPLATOS / LAVADERO]]=Z$2,100%,AVANCE[[#This Row],[LAVAMANOS / LAVAPLATOS / LAVADERO]])</f>
        <v>1</v>
      </c>
      <c r="BS106" s="3">
        <f>+IF(AVANCE[[#This Row],[CANALIZACIÓN]]=AC$2,100%,AVANCE[[#This Row],[CANALIZACIÓN]])</f>
        <v>1</v>
      </c>
      <c r="BT106" s="3">
        <f>+IF(AVANCE[[#This Row],[CABLEADO]]=AD$2,100%,AVANCE[[#This Row],[CABLEADO]])</f>
        <v>1</v>
      </c>
      <c r="BU106" s="3">
        <f>+IF(AVANCE[[#This Row],[ARTEFACTOS]]=AE$2,100%,AVANCE[[#This Row],[ARTEFACTOS]])</f>
        <v>1</v>
      </c>
      <c r="BV106" s="3">
        <f>+IF(AVANCE[[#This Row],[TABLERO]]=AF$2,100%,AVANCE[[#This Row],[TABLERO]])</f>
        <v>1</v>
      </c>
      <c r="BW106" s="3">
        <f>+IF(AVANCE[[#This Row],[CAJA PAU]]=AG$2,100%,AVANCE[[#This Row],[CAJA PAU]])</f>
        <v>1</v>
      </c>
      <c r="BX106" s="3">
        <f>+IF(AVANCE[[#This Row],[INSTALACION VINILICO]]=AJ$2,100%,AVANCE[[#This Row],[INSTALACION VINILICO]])</f>
        <v>1</v>
      </c>
      <c r="BY106" s="3">
        <f>+IF(AVANCE[[#This Row],[OSB CUBIERTA]]=AK$2,100%,AVANCE[[#This Row],[OSB CUBIERTA]])</f>
        <v>1</v>
      </c>
      <c r="BZ106" s="3">
        <f>+IF(AVANCE[[#This Row],[BARANDA BALCON]]=AL$2,100%,AVANCE[[#This Row],[BARANDA BALCON]])</f>
        <v>1</v>
      </c>
      <c r="CA106" s="3">
        <f>+IF(AVANCE[[#This Row],[OSB EXTERIOR]]=AM$2,100%,AVANCE[[#This Row],[OSB EXTERIOR]])</f>
        <v>1</v>
      </c>
      <c r="CB106" s="3">
        <f>+IF(AVANCE[[#This Row],[SMART PANEL]]=AN$2,100%,AVANCE[[#This Row],[SMART PANEL]])</f>
        <v>1</v>
      </c>
      <c r="CC106" s="3">
        <f>+IF(AVANCE[[#This Row],[PINTURA EXTERIOR]]=AO$2,100%,AVANCE[[#This Row],[PINTURA EXTERIOR]])</f>
        <v>1</v>
      </c>
      <c r="CD106" s="3">
        <f>+IF(AVANCE[[#This Row],[ZOCALOS LOGIA]]=AP$2,100%,AVANCE[[#This Row],[ZOCALOS LOGIA]])</f>
        <v>1</v>
      </c>
      <c r="CE106" s="3">
        <f>+IF(AVANCE[[#This Row],[MOLDURAS]]=AQ$2,100%,AVANCE[[#This Row],[MOLDURAS]])</f>
        <v>1</v>
      </c>
      <c r="CF106" s="3">
        <f>+IF(AVANCE[[#This Row],[PILASTREO]]=AR$2,100%,AVANCE[[#This Row],[PILASTREO]])</f>
        <v>1</v>
      </c>
      <c r="CG106" s="3">
        <f>+IF(AVANCE[[#This Row],[CELOSIAS]]=AS$2,100%,AVANCE[[#This Row],[CELOSIAS]])</f>
        <v>1</v>
      </c>
      <c r="CH106" s="3">
        <f>+IF(AVANCE[[#This Row],[VENTANAS]]=AT$2,100%,AVANCE[[#This Row],[VENTANAS]])</f>
        <v>1</v>
      </c>
      <c r="CI106" s="3">
        <f>+IF(AVANCE[[#This Row],[PUERTAS ACCESO - LOGIA - BANO]]=AU$2,100%,AVANCE[[#This Row],[PUERTAS ACCESO - LOGIA - BANO]])</f>
        <v>1</v>
      </c>
      <c r="CJ106" s="3">
        <f>+IF(AVANCE[[#This Row],[CERRADURAS]]=AV$2,100%,AVANCE[[#This Row],[CERRADURAS]])</f>
        <v>1</v>
      </c>
      <c r="CK106" s="3">
        <f>+IF(AVANCE[[#This Row],[REVESTIMIENTO INTERIOR ZONA SECA]]=AW$2,100%,AVANCE[[#This Row],[REVESTIMIENTO INTERIOR ZONA SECA]])</f>
        <v>1</v>
      </c>
      <c r="CL106" s="3">
        <f>+IF(AVANCE[[#This Row],[REVESTIMIENTO INTERIOR ZONAS HUMEDAS]]=AX$2,100%,AVANCE[[#This Row],[REVESTIMIENTO INTERIOR ZONAS HUMEDAS]])</f>
        <v>1</v>
      </c>
      <c r="CM106" s="3">
        <f>+IF(AVANCE[[#This Row],[MEMBRANA CIELO]]=AY$2,100%,AVANCE[[#This Row],[MEMBRANA CIELO]])</f>
        <v>1</v>
      </c>
      <c r="CN106" s="3">
        <f>+IF(AVANCE[[#This Row],[LIMPIEZA FINAL]]=AZ$2,100%,AVANCE[[#This Row],[LIMPIEZA FINAL]])</f>
        <v>1</v>
      </c>
      <c r="CO106" s="3">
        <f>+IF(AVANCE[[#This Row],[PUERTAS DORMITORIO]]=BA$2,100%,AVANCE[[#This Row],[PUERTAS DORMITORIO]])</f>
        <v>1</v>
      </c>
      <c r="CP106" s="3">
        <f>+IF(AVANCE[[#This Row],[REVESTIMIENTO INTERIOR BANO]]=BB$2,100%,AVANCE[[#This Row],[REVESTIMIENTO INTERIOR BANO]])</f>
        <v>1</v>
      </c>
      <c r="CQ106" s="3">
        <f>+IF(AVANCE[[#This Row],[MUEBLE LAVAPLATOS]]=BC$2,100%,AVANCE[[#This Row],[MUEBLE LAVAPLATOS]])</f>
        <v>1</v>
      </c>
      <c r="CR106" s="3">
        <f>+IF(AVANCE[[#This Row],[IMPERMEABILIZACION BANO - COCINA LOGIA]]=BD$2,100%,AVANCE[[#This Row],[IMPERMEABILIZACION BANO - COCINA LOGIA]])</f>
        <v>1</v>
      </c>
      <c r="CS106" s="40">
        <f ca="1">+IF(AVANCE[[#This Row],[ESTADO MODULO]]="PENDIENTE",(TODAY()-AVANCE[[#This Row],[FECHA TERMINO  PLANIFICADO]]),0)</f>
        <v>0</v>
      </c>
      <c r="CT106" s="41" t="str" cm="1">
        <f t="array" ref="CT106">_xlfn.TEXTJOIN(" | ",TRUE,IF(SUMPRODUCT((BG106:CR106&lt;1)*(PARTIDAS!$I$2:$AT$2="OBRA GRUESA"))&gt;0,"OBRA GRUESA: "&amp;_xlfn.TEXTJOIN(", ",TRUE,IF((BG106:CR106&lt;1)*(PARTIDAS!$I$2:$AT$2="OBRA GRUESA"),PARTIDAS!$I$1:$AT$1,"")),""),IF(SUMPRODUCT((BG106:CR106&lt;1)*(PARTIDAS!$I$2:$AT$2="SANITARIOS"))&gt;0,"SANITARIOS: "&amp;_xlfn.TEXTJOIN(", ",TRUE,IF((BG106:CR106&lt;1)*(PARTIDAS!$I$2:$AT$2="SANITARIOS"),PARTIDAS!$I$1:$AT$1,"")),""),IF(SUMPRODUCT((BG106:CR106&lt;1)*(PARTIDAS!$I$2:$AT$2="ELÉCTRICO"))&gt;0,"ELÉCTRICO: "&amp;_xlfn.TEXTJOIN(", ",TRUE,IF((BG106:CR106&lt;1)*(PARTIDAS!$I$2:$AT$2="ELÉCTRICO"),PARTIDAS!$I$1:$AT$1,"")),""),IF(SUMPRODUCT((BG106:CR106&lt;1)*(PARTIDAS!$I$2:$AT$2="TERMINACIONES"))&gt;0,"TERMINACIONES: "&amp;_xlfn.TEXTJOIN(", ",TRUE,IF((BG106:CR106&lt;1)*(PARTIDAS!$I$2:$AT$2="TERMINACIONES"),PARTIDAS!$I$1:$AT$1,"")),""))</f>
        <v/>
      </c>
      <c r="CU106" s="43" t="str" cm="1">
        <f t="array" ref="CU106">_xlfn.TEXTJOIN(", ",TRUE,IF(SUMPRODUCT((BG106:CR106&lt;1)*(PARTIDAS!$I$2:$AT$2="OBRA GRUESA"))&gt;0,"OBRA GRUESA",""),IF(SUMPRODUCT((BG106:CR106&lt;1)*(PARTIDAS!$I$2:$AT$2="SANITARIOS"))&gt;0,"SANITARIOS",""),IF(SUMPRODUCT((BG106:CR106&lt;1)*(PARTIDAS!$I$2:$AT$2="ELÉCTRICO"))&gt;0,"ELÉCTRICO",""),IF(SUMPRODUCT((BG106:CR106&lt;1)*(PARTIDAS!$I$2:$AT$2="TERMINACIONES"))&gt;0,"TERMINACIONES",""))</f>
        <v/>
      </c>
      <c r="CV106" s="44" cm="1">
        <f t="array" ref="CV106">SUMPRODUCT(--(BG106:CR106&lt;1))</f>
        <v>0</v>
      </c>
    </row>
    <row r="107" spans="1:100" hidden="1" x14ac:dyDescent="0.25">
      <c r="A107" t="s">
        <v>157</v>
      </c>
      <c r="B107" t="s">
        <v>167</v>
      </c>
      <c r="C107">
        <v>2302600106</v>
      </c>
      <c r="D107" t="s">
        <v>60</v>
      </c>
      <c r="E107" s="2">
        <v>0.95499999999999985</v>
      </c>
      <c r="F107" s="1">
        <v>46181</v>
      </c>
      <c r="G107" s="1">
        <v>46190</v>
      </c>
      <c r="H107" s="1">
        <v>46227</v>
      </c>
      <c r="I107" s="1">
        <v>46215</v>
      </c>
      <c r="J107">
        <v>3</v>
      </c>
      <c r="K107" s="1"/>
      <c r="L107" s="3">
        <v>0.43</v>
      </c>
      <c r="M107" s="3">
        <v>1</v>
      </c>
      <c r="N107" s="3">
        <v>0.27906976744186046</v>
      </c>
      <c r="O107" s="3">
        <v>0.18604651162790697</v>
      </c>
      <c r="P107" s="3">
        <v>0.2558139534883721</v>
      </c>
      <c r="Q107" s="3">
        <v>0.18604651162790697</v>
      </c>
      <c r="R107" s="3">
        <v>9.3023255813953487E-2</v>
      </c>
      <c r="S107" s="3">
        <v>0.09</v>
      </c>
      <c r="T107" s="3">
        <v>1</v>
      </c>
      <c r="U107" s="3">
        <v>0.22222222222222221</v>
      </c>
      <c r="V107" s="3">
        <v>0.22222222222222221</v>
      </c>
      <c r="W107" s="3">
        <v>0.1111111111111111</v>
      </c>
      <c r="X107" s="3">
        <v>0.1111111111111111</v>
      </c>
      <c r="Y107" s="3">
        <v>0.1111111111111111</v>
      </c>
      <c r="Z107" s="3">
        <v>0.22222222222222221</v>
      </c>
      <c r="AA107" s="3">
        <v>0.11</v>
      </c>
      <c r="AB107" s="3">
        <v>1</v>
      </c>
      <c r="AC107" s="3">
        <v>0.27272727272727271</v>
      </c>
      <c r="AD107" s="3">
        <v>0.27272727272727271</v>
      </c>
      <c r="AE107" s="3">
        <v>9.0909090909090912E-2</v>
      </c>
      <c r="AF107" s="3">
        <v>0.18181818181818182</v>
      </c>
      <c r="AG107" s="3">
        <v>0.18181818181818182</v>
      </c>
      <c r="AH107" s="3">
        <v>0.32499999999999984</v>
      </c>
      <c r="AI107" s="3">
        <v>0.87837837837837796</v>
      </c>
      <c r="AJ107" s="3">
        <v>5.4054054054054036E-2</v>
      </c>
      <c r="AK107" s="3">
        <v>5.4054054054054036E-2</v>
      </c>
      <c r="AL107" s="3">
        <v>2.7027027027027018E-2</v>
      </c>
      <c r="AM107" s="3">
        <v>8.1081081081081058E-2</v>
      </c>
      <c r="AN107" s="3">
        <v>8.1081081081081058E-2</v>
      </c>
      <c r="AO107" s="3">
        <v>6.7567567567567557E-2</v>
      </c>
      <c r="AP107" s="3">
        <v>5.4054054054054036E-2</v>
      </c>
      <c r="AQ107" s="3">
        <v>1.3513513513513509E-2</v>
      </c>
      <c r="AR107" s="3">
        <v>4.0540540540540529E-2</v>
      </c>
      <c r="AS107" s="3">
        <v>1.3513513513513509E-2</v>
      </c>
      <c r="AT107" s="3">
        <v>8.1081081081081058E-2</v>
      </c>
      <c r="AU107" s="3">
        <v>5.4054054054054036E-2</v>
      </c>
      <c r="AV107" s="3">
        <v>2.7027027027027018E-2</v>
      </c>
      <c r="AW107" s="3">
        <v>5.4054054054054036E-2</v>
      </c>
      <c r="AX107" s="3">
        <v>5.4054054054054036E-2</v>
      </c>
      <c r="AY107" s="3">
        <v>2.7027027027027018E-2</v>
      </c>
      <c r="AZ107" s="3">
        <v>0</v>
      </c>
      <c r="BA107" s="3">
        <v>5.4054054054054036E-2</v>
      </c>
      <c r="BB107" s="3">
        <v>0</v>
      </c>
      <c r="BC107" s="3">
        <v>1.3513513513513509E-2</v>
      </c>
      <c r="BD107" s="3">
        <v>2.7027027027027018E-2</v>
      </c>
      <c r="BE107">
        <v>31.32</v>
      </c>
      <c r="BF107" s="3" t="str">
        <f>+IF(AVANCE[[#This Row],[% AVANCE]]=100%,"MODULO TERMINADO",IF(AVANCE[[#This Row],[FECHA INICIO REAL]]="","MODULO NO INICIADO","PENDIENTE"))</f>
        <v>PENDIENTE</v>
      </c>
      <c r="BG107" s="3">
        <f>+IF(AVANCE[[#This Row],[VENTANAS]]=8.10810810810811%,100%,AVANCE[[#This Row],[VENTANAS]])</f>
        <v>1</v>
      </c>
      <c r="BH107" s="3">
        <f>+IF(AVANCE[[#This Row],[PISO]]=N$2,100%,AVANCE[[#This Row],[PISO]])</f>
        <v>1</v>
      </c>
      <c r="BI107" s="3">
        <f>+IF(AVANCE[[#This Row],[TABIQUES]]=O$2,100%,AVANCE[[#This Row],[TABIQUES]])</f>
        <v>1</v>
      </c>
      <c r="BJ107" s="3">
        <f>+IF(AVANCE[[#This Row],[MUROS]]=P$2,100%,AVANCE[[#This Row],[MUROS]])</f>
        <v>1</v>
      </c>
      <c r="BK107" s="3">
        <f>+IF(AVANCE[[#This Row],[CIELO]]=Q$2,100%,AVANCE[[#This Row],[CIELO]])</f>
        <v>1</v>
      </c>
      <c r="BL107" s="3">
        <f>+IF(AVANCE[[#This Row],[BALCÓN]]=R$2,100%,AVANCE[[#This Row],[BALCÓN]])</f>
        <v>1</v>
      </c>
      <c r="BM107" s="3">
        <f>+IF(AVANCE[[#This Row],[RED ALCANTARILLADO]]=U$2,100%,AVANCE[[#This Row],[RED ALCANTARILLADO]])</f>
        <v>1</v>
      </c>
      <c r="BN107" s="3">
        <f>+IF(AVANCE[[#This Row],[RED DE AGUA]]=V$2,100%,AVANCE[[#This Row],[RED DE AGUA]])</f>
        <v>1</v>
      </c>
      <c r="BO107" s="3">
        <f>+IF(AVANCE[[#This Row],[VENTILACIONES]]=W$2,100%,AVANCE[[#This Row],[VENTILACIONES]])</f>
        <v>1</v>
      </c>
      <c r="BP107" s="3">
        <f>+IF(AVANCE[[#This Row],[TINA]]=X$2,100%,AVANCE[[#This Row],[TINA]])</f>
        <v>1</v>
      </c>
      <c r="BQ107" s="3">
        <f>+IF(AVANCE[[#This Row],[WC]]=Y$2,100%,AVANCE[[#This Row],[WC]])</f>
        <v>1</v>
      </c>
      <c r="BR107" s="3">
        <f>+IF(AVANCE[[#This Row],[LAVAMANOS / LAVAPLATOS / LAVADERO]]=Z$2,100%,AVANCE[[#This Row],[LAVAMANOS / LAVAPLATOS / LAVADERO]])</f>
        <v>1</v>
      </c>
      <c r="BS107" s="3">
        <f>+IF(AVANCE[[#This Row],[CANALIZACIÓN]]=AC$2,100%,AVANCE[[#This Row],[CANALIZACIÓN]])</f>
        <v>1</v>
      </c>
      <c r="BT107" s="3">
        <f>+IF(AVANCE[[#This Row],[CABLEADO]]=AD$2,100%,AVANCE[[#This Row],[CABLEADO]])</f>
        <v>1</v>
      </c>
      <c r="BU107" s="3">
        <f>+IF(AVANCE[[#This Row],[ARTEFACTOS]]=AE$2,100%,AVANCE[[#This Row],[ARTEFACTOS]])</f>
        <v>1</v>
      </c>
      <c r="BV107" s="3">
        <f>+IF(AVANCE[[#This Row],[TABLERO]]=AF$2,100%,AVANCE[[#This Row],[TABLERO]])</f>
        <v>1</v>
      </c>
      <c r="BW107" s="3">
        <f>+IF(AVANCE[[#This Row],[CAJA PAU]]=AG$2,100%,AVANCE[[#This Row],[CAJA PAU]])</f>
        <v>1</v>
      </c>
      <c r="BX107" s="3">
        <f>+IF(AVANCE[[#This Row],[INSTALACION VINILICO]]=AJ$2,100%,AVANCE[[#This Row],[INSTALACION VINILICO]])</f>
        <v>1</v>
      </c>
      <c r="BY107" s="3">
        <f>+IF(AVANCE[[#This Row],[OSB CUBIERTA]]=AK$2,100%,AVANCE[[#This Row],[OSB CUBIERTA]])</f>
        <v>1</v>
      </c>
      <c r="BZ107" s="3">
        <f>+IF(AVANCE[[#This Row],[BARANDA BALCON]]=AL$2,100%,AVANCE[[#This Row],[BARANDA BALCON]])</f>
        <v>1</v>
      </c>
      <c r="CA107" s="3">
        <f>+IF(AVANCE[[#This Row],[OSB EXTERIOR]]=AM$2,100%,AVANCE[[#This Row],[OSB EXTERIOR]])</f>
        <v>1</v>
      </c>
      <c r="CB107" s="3">
        <f>+IF(AVANCE[[#This Row],[SMART PANEL]]=AN$2,100%,AVANCE[[#This Row],[SMART PANEL]])</f>
        <v>1</v>
      </c>
      <c r="CC107" s="3">
        <f>+IF(AVANCE[[#This Row],[PINTURA EXTERIOR]]=AO$2,100%,AVANCE[[#This Row],[PINTURA EXTERIOR]])</f>
        <v>1</v>
      </c>
      <c r="CD107" s="3">
        <f>+IF(AVANCE[[#This Row],[ZOCALOS LOGIA]]=AP$2,100%,AVANCE[[#This Row],[ZOCALOS LOGIA]])</f>
        <v>1</v>
      </c>
      <c r="CE107" s="3">
        <f>+IF(AVANCE[[#This Row],[MOLDURAS]]=AQ$2,100%,AVANCE[[#This Row],[MOLDURAS]])</f>
        <v>1</v>
      </c>
      <c r="CF107" s="3">
        <f>+IF(AVANCE[[#This Row],[PILASTREO]]=AR$2,100%,AVANCE[[#This Row],[PILASTREO]])</f>
        <v>1</v>
      </c>
      <c r="CG107" s="3">
        <f>+IF(AVANCE[[#This Row],[CELOSIAS]]=AS$2,100%,AVANCE[[#This Row],[CELOSIAS]])</f>
        <v>1</v>
      </c>
      <c r="CH107" s="3">
        <f>+IF(AVANCE[[#This Row],[VENTANAS]]=AT$2,100%,AVANCE[[#This Row],[VENTANAS]])</f>
        <v>1</v>
      </c>
      <c r="CI107" s="3">
        <f>+IF(AVANCE[[#This Row],[PUERTAS ACCESO - LOGIA - BANO]]=AU$2,100%,AVANCE[[#This Row],[PUERTAS ACCESO - LOGIA - BANO]])</f>
        <v>1</v>
      </c>
      <c r="CJ107" s="3">
        <f>+IF(AVANCE[[#This Row],[CERRADURAS]]=AV$2,100%,AVANCE[[#This Row],[CERRADURAS]])</f>
        <v>1</v>
      </c>
      <c r="CK107" s="3">
        <f>+IF(AVANCE[[#This Row],[REVESTIMIENTO INTERIOR ZONA SECA]]=AW$2,100%,AVANCE[[#This Row],[REVESTIMIENTO INTERIOR ZONA SECA]])</f>
        <v>1</v>
      </c>
      <c r="CL107" s="3">
        <f>+IF(AVANCE[[#This Row],[REVESTIMIENTO INTERIOR ZONAS HUMEDAS]]=AX$2,100%,AVANCE[[#This Row],[REVESTIMIENTO INTERIOR ZONAS HUMEDAS]])</f>
        <v>1</v>
      </c>
      <c r="CM107" s="3">
        <f>+IF(AVANCE[[#This Row],[MEMBRANA CIELO]]=AY$2,100%,AVANCE[[#This Row],[MEMBRANA CIELO]])</f>
        <v>1</v>
      </c>
      <c r="CN107" s="3">
        <f>+IF(AVANCE[[#This Row],[LIMPIEZA FINAL]]=AZ$2,100%,AVANCE[[#This Row],[LIMPIEZA FINAL]])</f>
        <v>0</v>
      </c>
      <c r="CO107" s="3">
        <f>+IF(AVANCE[[#This Row],[PUERTAS DORMITORIO]]=BA$2,100%,AVANCE[[#This Row],[PUERTAS DORMITORIO]])</f>
        <v>1</v>
      </c>
      <c r="CP107" s="3">
        <f>+IF(AVANCE[[#This Row],[REVESTIMIENTO INTERIOR BANO]]=BB$2,100%,AVANCE[[#This Row],[REVESTIMIENTO INTERIOR BANO]])</f>
        <v>0</v>
      </c>
      <c r="CQ107" s="3">
        <f>+IF(AVANCE[[#This Row],[MUEBLE LAVAPLATOS]]=BC$2,100%,AVANCE[[#This Row],[MUEBLE LAVAPLATOS]])</f>
        <v>1</v>
      </c>
      <c r="CR107" s="3">
        <f>+IF(AVANCE[[#This Row],[IMPERMEABILIZACION BANO - COCINA LOGIA]]=BD$2,100%,AVANCE[[#This Row],[IMPERMEABILIZACION BANO - COCINA LOGIA]])</f>
        <v>1</v>
      </c>
      <c r="CS107" s="40">
        <f ca="1">+IF(AVANCE[[#This Row],[ESTADO MODULO]]="PENDIENTE",(TODAY()-AVANCE[[#This Row],[FECHA TERMINO  PLANIFICADO]]),0)</f>
        <v>15</v>
      </c>
      <c r="CT107" s="41" t="str" cm="1">
        <f t="array" ref="CT107">_xlfn.TEXTJOIN(" | ",TRUE,IF(SUMPRODUCT((BG107:CR107&lt;1)*(PARTIDAS!$I$2:$AT$2="OBRA GRUESA"))&gt;0,"OBRA GRUESA: "&amp;_xlfn.TEXTJOIN(", ",TRUE,IF((BG107:CR107&lt;1)*(PARTIDAS!$I$2:$AT$2="OBRA GRUESA"),PARTIDAS!$I$1:$AT$1,"")),""),IF(SUMPRODUCT((BG107:CR107&lt;1)*(PARTIDAS!$I$2:$AT$2="SANITARIOS"))&gt;0,"SANITARIOS: "&amp;_xlfn.TEXTJOIN(", ",TRUE,IF((BG107:CR107&lt;1)*(PARTIDAS!$I$2:$AT$2="SANITARIOS"),PARTIDAS!$I$1:$AT$1,"")),""),IF(SUMPRODUCT((BG107:CR107&lt;1)*(PARTIDAS!$I$2:$AT$2="ELÉCTRICO"))&gt;0,"ELÉCTRICO: "&amp;_xlfn.TEXTJOIN(", ",TRUE,IF((BG107:CR107&lt;1)*(PARTIDAS!$I$2:$AT$2="ELÉCTRICO"),PARTIDAS!$I$1:$AT$1,"")),""),IF(SUMPRODUCT((BG107:CR107&lt;1)*(PARTIDAS!$I$2:$AT$2="TERMINACIONES"))&gt;0,"TERMINACIONES: "&amp;_xlfn.TEXTJOIN(", ",TRUE,IF((BG107:CR107&lt;1)*(PARTIDAS!$I$2:$AT$2="TERMINACIONES"),PARTIDAS!$I$1:$AT$1,"")),""))</f>
        <v>TERMINACIONES: LIMPIEZA FINAL, REVESTIMIENTO INTERIOR BANO</v>
      </c>
      <c r="CU107" s="43" t="str" cm="1">
        <f t="array" ref="CU107">_xlfn.TEXTJOIN(", ",TRUE,IF(SUMPRODUCT((BG107:CR107&lt;1)*(PARTIDAS!$I$2:$AT$2="OBRA GRUESA"))&gt;0,"OBRA GRUESA",""),IF(SUMPRODUCT((BG107:CR107&lt;1)*(PARTIDAS!$I$2:$AT$2="SANITARIOS"))&gt;0,"SANITARIOS",""),IF(SUMPRODUCT((BG107:CR107&lt;1)*(PARTIDAS!$I$2:$AT$2="ELÉCTRICO"))&gt;0,"ELÉCTRICO",""),IF(SUMPRODUCT((BG107:CR107&lt;1)*(PARTIDAS!$I$2:$AT$2="TERMINACIONES"))&gt;0,"TERMINACIONES",""))</f>
        <v>TERMINACIONES</v>
      </c>
      <c r="CV107" s="44" cm="1">
        <f t="array" ref="CV107">SUMPRODUCT(--(BG107:CR107&lt;1))</f>
        <v>2</v>
      </c>
    </row>
    <row r="108" spans="1:100" hidden="1" x14ac:dyDescent="0.25">
      <c r="A108" t="s">
        <v>157</v>
      </c>
      <c r="B108" t="s">
        <v>168</v>
      </c>
      <c r="C108">
        <v>2302600107</v>
      </c>
      <c r="D108" t="s">
        <v>60</v>
      </c>
      <c r="E108" s="2">
        <v>0.90999999999999992</v>
      </c>
      <c r="F108" s="1">
        <v>46182</v>
      </c>
      <c r="G108" s="1">
        <v>46196</v>
      </c>
      <c r="H108" s="1">
        <v>46227</v>
      </c>
      <c r="I108" s="1">
        <v>46216</v>
      </c>
      <c r="J108">
        <v>3</v>
      </c>
      <c r="K108" s="1"/>
      <c r="L108" s="3">
        <v>0.43</v>
      </c>
      <c r="M108" s="3">
        <v>1</v>
      </c>
      <c r="N108" s="3">
        <v>0.27906976744186046</v>
      </c>
      <c r="O108" s="3">
        <v>0.18604651162790697</v>
      </c>
      <c r="P108" s="3">
        <v>0.2558139534883721</v>
      </c>
      <c r="Q108" s="3">
        <v>0.18604651162790697</v>
      </c>
      <c r="R108" s="3">
        <v>9.3023255813953487E-2</v>
      </c>
      <c r="S108" s="3">
        <v>0.08</v>
      </c>
      <c r="T108" s="3">
        <v>0.88888888888888895</v>
      </c>
      <c r="U108" s="3">
        <v>0.22222222222222221</v>
      </c>
      <c r="V108" s="3">
        <v>0.22222222222222221</v>
      </c>
      <c r="W108" s="3">
        <v>0</v>
      </c>
      <c r="X108" s="3">
        <v>0.1111111111111111</v>
      </c>
      <c r="Y108" s="3">
        <v>0.1111111111111111</v>
      </c>
      <c r="Z108" s="3">
        <v>0.22222222222222221</v>
      </c>
      <c r="AA108" s="3">
        <v>0.11</v>
      </c>
      <c r="AB108" s="3">
        <v>1</v>
      </c>
      <c r="AC108" s="3">
        <v>0.27272727272727271</v>
      </c>
      <c r="AD108" s="3">
        <v>0.27272727272727271</v>
      </c>
      <c r="AE108" s="3">
        <v>9.0909090909090912E-2</v>
      </c>
      <c r="AF108" s="3">
        <v>0.18181818181818182</v>
      </c>
      <c r="AG108" s="3">
        <v>0.18181818181818182</v>
      </c>
      <c r="AH108" s="3">
        <v>0.28999999999999987</v>
      </c>
      <c r="AI108" s="3">
        <v>0.78378378378378344</v>
      </c>
      <c r="AJ108" s="3">
        <v>5.4054054054054036E-2</v>
      </c>
      <c r="AK108" s="3">
        <v>5.4054054054054036E-2</v>
      </c>
      <c r="AL108" s="3">
        <v>0</v>
      </c>
      <c r="AM108" s="3">
        <v>8.1081081081081058E-2</v>
      </c>
      <c r="AN108" s="3">
        <v>8.1081081081081058E-2</v>
      </c>
      <c r="AO108" s="3">
        <v>6.7567567567567557E-2</v>
      </c>
      <c r="AP108" s="3">
        <v>5.4054054054054036E-2</v>
      </c>
      <c r="AQ108" s="3">
        <v>0</v>
      </c>
      <c r="AR108" s="3">
        <v>4.0540540540540529E-2</v>
      </c>
      <c r="AS108" s="3">
        <v>1.3513513513513509E-2</v>
      </c>
      <c r="AT108" s="3">
        <v>8.1081081081081058E-2</v>
      </c>
      <c r="AU108" s="3">
        <v>5.4054054054054036E-2</v>
      </c>
      <c r="AV108" s="3">
        <v>2.7027027027027018E-2</v>
      </c>
      <c r="AW108" s="3">
        <v>0</v>
      </c>
      <c r="AX108" s="3">
        <v>5.4054054054054036E-2</v>
      </c>
      <c r="AY108" s="3">
        <v>2.7027027027027018E-2</v>
      </c>
      <c r="AZ108" s="3">
        <v>0</v>
      </c>
      <c r="BA108" s="3">
        <v>5.4054054054054036E-2</v>
      </c>
      <c r="BB108" s="3">
        <v>0</v>
      </c>
      <c r="BC108" s="3">
        <v>1.3513513513513509E-2</v>
      </c>
      <c r="BD108" s="3">
        <v>2.7027027027027018E-2</v>
      </c>
      <c r="BE108">
        <v>31.32</v>
      </c>
      <c r="BF108" s="3" t="str">
        <f>+IF(AVANCE[[#This Row],[% AVANCE]]=100%,"MODULO TERMINADO",IF(AVANCE[[#This Row],[FECHA INICIO REAL]]="","MODULO NO INICIADO","PENDIENTE"))</f>
        <v>PENDIENTE</v>
      </c>
      <c r="BG108" s="3">
        <f>+IF(AVANCE[[#This Row],[VENTANAS]]=8.10810810810811%,100%,AVANCE[[#This Row],[VENTANAS]])</f>
        <v>1</v>
      </c>
      <c r="BH108" s="3">
        <f>+IF(AVANCE[[#This Row],[PISO]]=N$2,100%,AVANCE[[#This Row],[PISO]])</f>
        <v>1</v>
      </c>
      <c r="BI108" s="3">
        <f>+IF(AVANCE[[#This Row],[TABIQUES]]=O$2,100%,AVANCE[[#This Row],[TABIQUES]])</f>
        <v>1</v>
      </c>
      <c r="BJ108" s="3">
        <f>+IF(AVANCE[[#This Row],[MUROS]]=P$2,100%,AVANCE[[#This Row],[MUROS]])</f>
        <v>1</v>
      </c>
      <c r="BK108" s="3">
        <f>+IF(AVANCE[[#This Row],[CIELO]]=Q$2,100%,AVANCE[[#This Row],[CIELO]])</f>
        <v>1</v>
      </c>
      <c r="BL108" s="3">
        <f>+IF(AVANCE[[#This Row],[BALCÓN]]=R$2,100%,AVANCE[[#This Row],[BALCÓN]])</f>
        <v>1</v>
      </c>
      <c r="BM108" s="3">
        <f>+IF(AVANCE[[#This Row],[RED ALCANTARILLADO]]=U$2,100%,AVANCE[[#This Row],[RED ALCANTARILLADO]])</f>
        <v>1</v>
      </c>
      <c r="BN108" s="3">
        <f>+IF(AVANCE[[#This Row],[RED DE AGUA]]=V$2,100%,AVANCE[[#This Row],[RED DE AGUA]])</f>
        <v>1</v>
      </c>
      <c r="BO108" s="3">
        <f>+IF(AVANCE[[#This Row],[VENTILACIONES]]=W$2,100%,AVANCE[[#This Row],[VENTILACIONES]])</f>
        <v>0</v>
      </c>
      <c r="BP108" s="3">
        <f>+IF(AVANCE[[#This Row],[TINA]]=X$2,100%,AVANCE[[#This Row],[TINA]])</f>
        <v>1</v>
      </c>
      <c r="BQ108" s="3">
        <f>+IF(AVANCE[[#This Row],[WC]]=Y$2,100%,AVANCE[[#This Row],[WC]])</f>
        <v>1</v>
      </c>
      <c r="BR108" s="3">
        <f>+IF(AVANCE[[#This Row],[LAVAMANOS / LAVAPLATOS / LAVADERO]]=Z$2,100%,AVANCE[[#This Row],[LAVAMANOS / LAVAPLATOS / LAVADERO]])</f>
        <v>1</v>
      </c>
      <c r="BS108" s="3">
        <f>+IF(AVANCE[[#This Row],[CANALIZACIÓN]]=AC$2,100%,AVANCE[[#This Row],[CANALIZACIÓN]])</f>
        <v>1</v>
      </c>
      <c r="BT108" s="3">
        <f>+IF(AVANCE[[#This Row],[CABLEADO]]=AD$2,100%,AVANCE[[#This Row],[CABLEADO]])</f>
        <v>1</v>
      </c>
      <c r="BU108" s="3">
        <f>+IF(AVANCE[[#This Row],[ARTEFACTOS]]=AE$2,100%,AVANCE[[#This Row],[ARTEFACTOS]])</f>
        <v>1</v>
      </c>
      <c r="BV108" s="3">
        <f>+IF(AVANCE[[#This Row],[TABLERO]]=AF$2,100%,AVANCE[[#This Row],[TABLERO]])</f>
        <v>1</v>
      </c>
      <c r="BW108" s="3">
        <f>+IF(AVANCE[[#This Row],[CAJA PAU]]=AG$2,100%,AVANCE[[#This Row],[CAJA PAU]])</f>
        <v>1</v>
      </c>
      <c r="BX108" s="3">
        <f>+IF(AVANCE[[#This Row],[INSTALACION VINILICO]]=AJ$2,100%,AVANCE[[#This Row],[INSTALACION VINILICO]])</f>
        <v>1</v>
      </c>
      <c r="BY108" s="3">
        <f>+IF(AVANCE[[#This Row],[OSB CUBIERTA]]=AK$2,100%,AVANCE[[#This Row],[OSB CUBIERTA]])</f>
        <v>1</v>
      </c>
      <c r="BZ108" s="3">
        <f>+IF(AVANCE[[#This Row],[BARANDA BALCON]]=AL$2,100%,AVANCE[[#This Row],[BARANDA BALCON]])</f>
        <v>0</v>
      </c>
      <c r="CA108" s="3">
        <f>+IF(AVANCE[[#This Row],[OSB EXTERIOR]]=AM$2,100%,AVANCE[[#This Row],[OSB EXTERIOR]])</f>
        <v>1</v>
      </c>
      <c r="CB108" s="3">
        <f>+IF(AVANCE[[#This Row],[SMART PANEL]]=AN$2,100%,AVANCE[[#This Row],[SMART PANEL]])</f>
        <v>1</v>
      </c>
      <c r="CC108" s="3">
        <f>+IF(AVANCE[[#This Row],[PINTURA EXTERIOR]]=AO$2,100%,AVANCE[[#This Row],[PINTURA EXTERIOR]])</f>
        <v>1</v>
      </c>
      <c r="CD108" s="3">
        <f>+IF(AVANCE[[#This Row],[ZOCALOS LOGIA]]=AP$2,100%,AVANCE[[#This Row],[ZOCALOS LOGIA]])</f>
        <v>1</v>
      </c>
      <c r="CE108" s="3">
        <f>+IF(AVANCE[[#This Row],[MOLDURAS]]=AQ$2,100%,AVANCE[[#This Row],[MOLDURAS]])</f>
        <v>0</v>
      </c>
      <c r="CF108" s="3">
        <f>+IF(AVANCE[[#This Row],[PILASTREO]]=AR$2,100%,AVANCE[[#This Row],[PILASTREO]])</f>
        <v>1</v>
      </c>
      <c r="CG108" s="3">
        <f>+IF(AVANCE[[#This Row],[CELOSIAS]]=AS$2,100%,AVANCE[[#This Row],[CELOSIAS]])</f>
        <v>1</v>
      </c>
      <c r="CH108" s="3">
        <f>+IF(AVANCE[[#This Row],[VENTANAS]]=AT$2,100%,AVANCE[[#This Row],[VENTANAS]])</f>
        <v>1</v>
      </c>
      <c r="CI108" s="3">
        <f>+IF(AVANCE[[#This Row],[PUERTAS ACCESO - LOGIA - BANO]]=AU$2,100%,AVANCE[[#This Row],[PUERTAS ACCESO - LOGIA - BANO]])</f>
        <v>1</v>
      </c>
      <c r="CJ108" s="3">
        <f>+IF(AVANCE[[#This Row],[CERRADURAS]]=AV$2,100%,AVANCE[[#This Row],[CERRADURAS]])</f>
        <v>1</v>
      </c>
      <c r="CK108" s="3">
        <f>+IF(AVANCE[[#This Row],[REVESTIMIENTO INTERIOR ZONA SECA]]=AW$2,100%,AVANCE[[#This Row],[REVESTIMIENTO INTERIOR ZONA SECA]])</f>
        <v>0</v>
      </c>
      <c r="CL108" s="3">
        <f>+IF(AVANCE[[#This Row],[REVESTIMIENTO INTERIOR ZONAS HUMEDAS]]=AX$2,100%,AVANCE[[#This Row],[REVESTIMIENTO INTERIOR ZONAS HUMEDAS]])</f>
        <v>1</v>
      </c>
      <c r="CM108" s="3">
        <f>+IF(AVANCE[[#This Row],[MEMBRANA CIELO]]=AY$2,100%,AVANCE[[#This Row],[MEMBRANA CIELO]])</f>
        <v>1</v>
      </c>
      <c r="CN108" s="3">
        <f>+IF(AVANCE[[#This Row],[LIMPIEZA FINAL]]=AZ$2,100%,AVANCE[[#This Row],[LIMPIEZA FINAL]])</f>
        <v>0</v>
      </c>
      <c r="CO108" s="3">
        <f>+IF(AVANCE[[#This Row],[PUERTAS DORMITORIO]]=BA$2,100%,AVANCE[[#This Row],[PUERTAS DORMITORIO]])</f>
        <v>1</v>
      </c>
      <c r="CP108" s="3">
        <f>+IF(AVANCE[[#This Row],[REVESTIMIENTO INTERIOR BANO]]=BB$2,100%,AVANCE[[#This Row],[REVESTIMIENTO INTERIOR BANO]])</f>
        <v>0</v>
      </c>
      <c r="CQ108" s="3">
        <f>+IF(AVANCE[[#This Row],[MUEBLE LAVAPLATOS]]=BC$2,100%,AVANCE[[#This Row],[MUEBLE LAVAPLATOS]])</f>
        <v>1</v>
      </c>
      <c r="CR108" s="3">
        <f>+IF(AVANCE[[#This Row],[IMPERMEABILIZACION BANO - COCINA LOGIA]]=BD$2,100%,AVANCE[[#This Row],[IMPERMEABILIZACION BANO - COCINA LOGIA]])</f>
        <v>1</v>
      </c>
      <c r="CS108" s="40">
        <f ca="1">+IF(AVANCE[[#This Row],[ESTADO MODULO]]="PENDIENTE",(TODAY()-AVANCE[[#This Row],[FECHA TERMINO  PLANIFICADO]]),0)</f>
        <v>14</v>
      </c>
      <c r="CT108" s="41" t="str" cm="1">
        <f t="array" ref="CT108">_xlfn.TEXTJOIN(" | ",TRUE,IF(SUMPRODUCT((BG108:CR108&lt;1)*(PARTIDAS!$I$2:$AT$2="OBRA GRUESA"))&gt;0,"OBRA GRUESA: "&amp;_xlfn.TEXTJOIN(", ",TRUE,IF((BG108:CR108&lt;1)*(PARTIDAS!$I$2:$AT$2="OBRA GRUESA"),PARTIDAS!$I$1:$AT$1,"")),""),IF(SUMPRODUCT((BG108:CR108&lt;1)*(PARTIDAS!$I$2:$AT$2="SANITARIOS"))&gt;0,"SANITARIOS: "&amp;_xlfn.TEXTJOIN(", ",TRUE,IF((BG108:CR108&lt;1)*(PARTIDAS!$I$2:$AT$2="SANITARIOS"),PARTIDAS!$I$1:$AT$1,"")),""),IF(SUMPRODUCT((BG108:CR108&lt;1)*(PARTIDAS!$I$2:$AT$2="ELÉCTRICO"))&gt;0,"ELÉCTRICO: "&amp;_xlfn.TEXTJOIN(", ",TRUE,IF((BG108:CR108&lt;1)*(PARTIDAS!$I$2:$AT$2="ELÉCTRICO"),PARTIDAS!$I$1:$AT$1,"")),""),IF(SUMPRODUCT((BG108:CR108&lt;1)*(PARTIDAS!$I$2:$AT$2="TERMINACIONES"))&gt;0,"TERMINACIONES: "&amp;_xlfn.TEXTJOIN(", ",TRUE,IF((BG108:CR108&lt;1)*(PARTIDAS!$I$2:$AT$2="TERMINACIONES"),PARTIDAS!$I$1:$AT$1,"")),""))</f>
        <v>SANITARIOS: VENTILACIONES | TERMINACIONES: BARANDA BALCON, MOLDURAS, REVESTIMIENTO INTERIOR ZONA SECA, LIMPIEZA FINAL, REVESTIMIENTO INTERIOR BANO</v>
      </c>
      <c r="CU108" s="43" t="str" cm="1">
        <f t="array" ref="CU108">_xlfn.TEXTJOIN(", ",TRUE,IF(SUMPRODUCT((BG108:CR108&lt;1)*(PARTIDAS!$I$2:$AT$2="OBRA GRUESA"))&gt;0,"OBRA GRUESA",""),IF(SUMPRODUCT((BG108:CR108&lt;1)*(PARTIDAS!$I$2:$AT$2="SANITARIOS"))&gt;0,"SANITARIOS",""),IF(SUMPRODUCT((BG108:CR108&lt;1)*(PARTIDAS!$I$2:$AT$2="ELÉCTRICO"))&gt;0,"ELÉCTRICO",""),IF(SUMPRODUCT((BG108:CR108&lt;1)*(PARTIDAS!$I$2:$AT$2="TERMINACIONES"))&gt;0,"TERMINACIONES",""))</f>
        <v>SANITARIOS, TERMINACIONES</v>
      </c>
      <c r="CV108" s="44" cm="1">
        <f t="array" ref="CV108">SUMPRODUCT(--(BG108:CR108&lt;1))</f>
        <v>6</v>
      </c>
    </row>
    <row r="109" spans="1:100" hidden="1" x14ac:dyDescent="0.25">
      <c r="A109" t="s">
        <v>157</v>
      </c>
      <c r="B109" t="s">
        <v>169</v>
      </c>
      <c r="C109">
        <v>2282600108</v>
      </c>
      <c r="D109" t="s">
        <v>58</v>
      </c>
      <c r="E109" s="2">
        <v>0.95999999999999985</v>
      </c>
      <c r="F109" s="1">
        <v>46182</v>
      </c>
      <c r="G109" s="1">
        <v>46196</v>
      </c>
      <c r="H109" s="1">
        <v>46227</v>
      </c>
      <c r="I109" s="1">
        <v>46206</v>
      </c>
      <c r="J109">
        <v>3</v>
      </c>
      <c r="K109" s="1"/>
      <c r="L109" s="3">
        <v>0.43</v>
      </c>
      <c r="M109" s="3">
        <v>1</v>
      </c>
      <c r="N109" s="3">
        <v>0.27906976744186046</v>
      </c>
      <c r="O109" s="3">
        <v>0.18604651162790697</v>
      </c>
      <c r="P109" s="3">
        <v>0.2558139534883721</v>
      </c>
      <c r="Q109" s="3">
        <v>0.18604651162790697</v>
      </c>
      <c r="R109" s="3">
        <v>9.3023255813953487E-2</v>
      </c>
      <c r="S109" s="3">
        <v>0.09</v>
      </c>
      <c r="T109" s="3">
        <v>1</v>
      </c>
      <c r="U109" s="3">
        <v>0.22222222222222221</v>
      </c>
      <c r="V109" s="3">
        <v>0.22222222222222221</v>
      </c>
      <c r="W109" s="3">
        <v>0.1111111111111111</v>
      </c>
      <c r="X109" s="3">
        <v>0.1111111111111111</v>
      </c>
      <c r="Y109" s="3">
        <v>0.1111111111111111</v>
      </c>
      <c r="Z109" s="3">
        <v>0.22222222222222221</v>
      </c>
      <c r="AA109" s="3">
        <v>0.11</v>
      </c>
      <c r="AB109" s="3">
        <v>1</v>
      </c>
      <c r="AC109" s="3">
        <v>0.27272727272727271</v>
      </c>
      <c r="AD109" s="3">
        <v>0.27272727272727271</v>
      </c>
      <c r="AE109" s="3">
        <v>9.0909090909090912E-2</v>
      </c>
      <c r="AF109" s="3">
        <v>0.18181818181818182</v>
      </c>
      <c r="AG109" s="3">
        <v>0.18181818181818182</v>
      </c>
      <c r="AH109" s="3">
        <v>0.32999999999999985</v>
      </c>
      <c r="AI109" s="3">
        <v>0.89189189189189144</v>
      </c>
      <c r="AJ109" s="3">
        <v>5.4054054054054036E-2</v>
      </c>
      <c r="AK109" s="3">
        <v>5.4054054054054036E-2</v>
      </c>
      <c r="AL109" s="3">
        <v>2.7027027027027018E-2</v>
      </c>
      <c r="AM109" s="3">
        <v>8.1081081081081058E-2</v>
      </c>
      <c r="AN109" s="3">
        <v>8.1081081081081058E-2</v>
      </c>
      <c r="AO109" s="3">
        <v>0</v>
      </c>
      <c r="AP109" s="3">
        <v>5.4054054054054036E-2</v>
      </c>
      <c r="AQ109" s="3">
        <v>1.3513513513513509E-2</v>
      </c>
      <c r="AR109" s="3">
        <v>4.0540540540540529E-2</v>
      </c>
      <c r="AS109" s="3">
        <v>1.3513513513513509E-2</v>
      </c>
      <c r="AT109" s="3">
        <v>8.1081081081081058E-2</v>
      </c>
      <c r="AU109" s="3">
        <v>5.4054054054054036E-2</v>
      </c>
      <c r="AV109" s="3">
        <v>2.7027027027027018E-2</v>
      </c>
      <c r="AW109" s="3">
        <v>5.4054054054054036E-2</v>
      </c>
      <c r="AX109" s="3">
        <v>5.4054054054054036E-2</v>
      </c>
      <c r="AY109" s="3">
        <v>2.7027027027027018E-2</v>
      </c>
      <c r="AZ109" s="3">
        <v>0</v>
      </c>
      <c r="BA109" s="3">
        <v>5.4054054054054036E-2</v>
      </c>
      <c r="BB109" s="3">
        <v>8.1081081081081058E-2</v>
      </c>
      <c r="BC109" s="3">
        <v>1.3513513513513509E-2</v>
      </c>
      <c r="BD109" s="3">
        <v>2.7027027027027018E-2</v>
      </c>
      <c r="BE109">
        <v>28.87</v>
      </c>
      <c r="BF109" s="3" t="str">
        <f>+IF(AVANCE[[#This Row],[% AVANCE]]=100%,"MODULO TERMINADO",IF(AVANCE[[#This Row],[FECHA INICIO REAL]]="","MODULO NO INICIADO","PENDIENTE"))</f>
        <v>PENDIENTE</v>
      </c>
      <c r="BG109" s="3">
        <f>+IF(AVANCE[[#This Row],[VENTANAS]]=8.10810810810811%,100%,AVANCE[[#This Row],[VENTANAS]])</f>
        <v>1</v>
      </c>
      <c r="BH109" s="3">
        <f>+IF(AVANCE[[#This Row],[PISO]]=N$2,100%,AVANCE[[#This Row],[PISO]])</f>
        <v>1</v>
      </c>
      <c r="BI109" s="3">
        <f>+IF(AVANCE[[#This Row],[TABIQUES]]=O$2,100%,AVANCE[[#This Row],[TABIQUES]])</f>
        <v>1</v>
      </c>
      <c r="BJ109" s="3">
        <f>+IF(AVANCE[[#This Row],[MUROS]]=P$2,100%,AVANCE[[#This Row],[MUROS]])</f>
        <v>1</v>
      </c>
      <c r="BK109" s="3">
        <f>+IF(AVANCE[[#This Row],[CIELO]]=Q$2,100%,AVANCE[[#This Row],[CIELO]])</f>
        <v>1</v>
      </c>
      <c r="BL109" s="3">
        <f>+IF(AVANCE[[#This Row],[BALCÓN]]=R$2,100%,AVANCE[[#This Row],[BALCÓN]])</f>
        <v>1</v>
      </c>
      <c r="BM109" s="3">
        <f>+IF(AVANCE[[#This Row],[RED ALCANTARILLADO]]=U$2,100%,AVANCE[[#This Row],[RED ALCANTARILLADO]])</f>
        <v>1</v>
      </c>
      <c r="BN109" s="3">
        <f>+IF(AVANCE[[#This Row],[RED DE AGUA]]=V$2,100%,AVANCE[[#This Row],[RED DE AGUA]])</f>
        <v>1</v>
      </c>
      <c r="BO109" s="3">
        <f>+IF(AVANCE[[#This Row],[VENTILACIONES]]=W$2,100%,AVANCE[[#This Row],[VENTILACIONES]])</f>
        <v>1</v>
      </c>
      <c r="BP109" s="3">
        <f>+IF(AVANCE[[#This Row],[TINA]]=X$2,100%,AVANCE[[#This Row],[TINA]])</f>
        <v>1</v>
      </c>
      <c r="BQ109" s="3">
        <f>+IF(AVANCE[[#This Row],[WC]]=Y$2,100%,AVANCE[[#This Row],[WC]])</f>
        <v>1</v>
      </c>
      <c r="BR109" s="3">
        <f>+IF(AVANCE[[#This Row],[LAVAMANOS / LAVAPLATOS / LAVADERO]]=Z$2,100%,AVANCE[[#This Row],[LAVAMANOS / LAVAPLATOS / LAVADERO]])</f>
        <v>1</v>
      </c>
      <c r="BS109" s="3">
        <f>+IF(AVANCE[[#This Row],[CANALIZACIÓN]]=AC$2,100%,AVANCE[[#This Row],[CANALIZACIÓN]])</f>
        <v>1</v>
      </c>
      <c r="BT109" s="3">
        <f>+IF(AVANCE[[#This Row],[CABLEADO]]=AD$2,100%,AVANCE[[#This Row],[CABLEADO]])</f>
        <v>1</v>
      </c>
      <c r="BU109" s="3">
        <f>+IF(AVANCE[[#This Row],[ARTEFACTOS]]=AE$2,100%,AVANCE[[#This Row],[ARTEFACTOS]])</f>
        <v>1</v>
      </c>
      <c r="BV109" s="3">
        <f>+IF(AVANCE[[#This Row],[TABLERO]]=AF$2,100%,AVANCE[[#This Row],[TABLERO]])</f>
        <v>1</v>
      </c>
      <c r="BW109" s="3">
        <f>+IF(AVANCE[[#This Row],[CAJA PAU]]=AG$2,100%,AVANCE[[#This Row],[CAJA PAU]])</f>
        <v>1</v>
      </c>
      <c r="BX109" s="3">
        <f>+IF(AVANCE[[#This Row],[INSTALACION VINILICO]]=AJ$2,100%,AVANCE[[#This Row],[INSTALACION VINILICO]])</f>
        <v>1</v>
      </c>
      <c r="BY109" s="3">
        <f>+IF(AVANCE[[#This Row],[OSB CUBIERTA]]=AK$2,100%,AVANCE[[#This Row],[OSB CUBIERTA]])</f>
        <v>1</v>
      </c>
      <c r="BZ109" s="3">
        <f>+IF(AVANCE[[#This Row],[BARANDA BALCON]]=AL$2,100%,AVANCE[[#This Row],[BARANDA BALCON]])</f>
        <v>1</v>
      </c>
      <c r="CA109" s="3">
        <f>+IF(AVANCE[[#This Row],[OSB EXTERIOR]]=AM$2,100%,AVANCE[[#This Row],[OSB EXTERIOR]])</f>
        <v>1</v>
      </c>
      <c r="CB109" s="3">
        <f>+IF(AVANCE[[#This Row],[SMART PANEL]]=AN$2,100%,AVANCE[[#This Row],[SMART PANEL]])</f>
        <v>1</v>
      </c>
      <c r="CC109" s="3">
        <f>+IF(AVANCE[[#This Row],[PINTURA EXTERIOR]]=AO$2,100%,AVANCE[[#This Row],[PINTURA EXTERIOR]])</f>
        <v>0</v>
      </c>
      <c r="CD109" s="3">
        <f>+IF(AVANCE[[#This Row],[ZOCALOS LOGIA]]=AP$2,100%,AVANCE[[#This Row],[ZOCALOS LOGIA]])</f>
        <v>1</v>
      </c>
      <c r="CE109" s="3">
        <f>+IF(AVANCE[[#This Row],[MOLDURAS]]=AQ$2,100%,AVANCE[[#This Row],[MOLDURAS]])</f>
        <v>1</v>
      </c>
      <c r="CF109" s="3">
        <f>+IF(AVANCE[[#This Row],[PILASTREO]]=AR$2,100%,AVANCE[[#This Row],[PILASTREO]])</f>
        <v>1</v>
      </c>
      <c r="CG109" s="3">
        <f>+IF(AVANCE[[#This Row],[CELOSIAS]]=AS$2,100%,AVANCE[[#This Row],[CELOSIAS]])</f>
        <v>1</v>
      </c>
      <c r="CH109" s="3">
        <f>+IF(AVANCE[[#This Row],[VENTANAS]]=AT$2,100%,AVANCE[[#This Row],[VENTANAS]])</f>
        <v>1</v>
      </c>
      <c r="CI109" s="3">
        <f>+IF(AVANCE[[#This Row],[PUERTAS ACCESO - LOGIA - BANO]]=AU$2,100%,AVANCE[[#This Row],[PUERTAS ACCESO - LOGIA - BANO]])</f>
        <v>1</v>
      </c>
      <c r="CJ109" s="3">
        <f>+IF(AVANCE[[#This Row],[CERRADURAS]]=AV$2,100%,AVANCE[[#This Row],[CERRADURAS]])</f>
        <v>1</v>
      </c>
      <c r="CK109" s="3">
        <f>+IF(AVANCE[[#This Row],[REVESTIMIENTO INTERIOR ZONA SECA]]=AW$2,100%,AVANCE[[#This Row],[REVESTIMIENTO INTERIOR ZONA SECA]])</f>
        <v>1</v>
      </c>
      <c r="CL109" s="3">
        <f>+IF(AVANCE[[#This Row],[REVESTIMIENTO INTERIOR ZONAS HUMEDAS]]=AX$2,100%,AVANCE[[#This Row],[REVESTIMIENTO INTERIOR ZONAS HUMEDAS]])</f>
        <v>1</v>
      </c>
      <c r="CM109" s="3">
        <f>+IF(AVANCE[[#This Row],[MEMBRANA CIELO]]=AY$2,100%,AVANCE[[#This Row],[MEMBRANA CIELO]])</f>
        <v>1</v>
      </c>
      <c r="CN109" s="3">
        <f>+IF(AVANCE[[#This Row],[LIMPIEZA FINAL]]=AZ$2,100%,AVANCE[[#This Row],[LIMPIEZA FINAL]])</f>
        <v>0</v>
      </c>
      <c r="CO109" s="3">
        <f>+IF(AVANCE[[#This Row],[PUERTAS DORMITORIO]]=BA$2,100%,AVANCE[[#This Row],[PUERTAS DORMITORIO]])</f>
        <v>1</v>
      </c>
      <c r="CP109" s="3">
        <f>+IF(AVANCE[[#This Row],[REVESTIMIENTO INTERIOR BANO]]=BB$2,100%,AVANCE[[#This Row],[REVESTIMIENTO INTERIOR BANO]])</f>
        <v>1</v>
      </c>
      <c r="CQ109" s="3">
        <f>+IF(AVANCE[[#This Row],[MUEBLE LAVAPLATOS]]=BC$2,100%,AVANCE[[#This Row],[MUEBLE LAVAPLATOS]])</f>
        <v>1</v>
      </c>
      <c r="CR109" s="3">
        <f>+IF(AVANCE[[#This Row],[IMPERMEABILIZACION BANO - COCINA LOGIA]]=BD$2,100%,AVANCE[[#This Row],[IMPERMEABILIZACION BANO - COCINA LOGIA]])</f>
        <v>1</v>
      </c>
      <c r="CS109" s="40">
        <f ca="1">+IF(AVANCE[[#This Row],[ESTADO MODULO]]="PENDIENTE",(TODAY()-AVANCE[[#This Row],[FECHA TERMINO  PLANIFICADO]]),0)</f>
        <v>24</v>
      </c>
      <c r="CT109" s="41" t="str" cm="1">
        <f t="array" ref="CT109">_xlfn.TEXTJOIN(" | ",TRUE,IF(SUMPRODUCT((BG109:CR109&lt;1)*(PARTIDAS!$I$2:$AT$2="OBRA GRUESA"))&gt;0,"OBRA GRUESA: "&amp;_xlfn.TEXTJOIN(", ",TRUE,IF((BG109:CR109&lt;1)*(PARTIDAS!$I$2:$AT$2="OBRA GRUESA"),PARTIDAS!$I$1:$AT$1,"")),""),IF(SUMPRODUCT((BG109:CR109&lt;1)*(PARTIDAS!$I$2:$AT$2="SANITARIOS"))&gt;0,"SANITARIOS: "&amp;_xlfn.TEXTJOIN(", ",TRUE,IF((BG109:CR109&lt;1)*(PARTIDAS!$I$2:$AT$2="SANITARIOS"),PARTIDAS!$I$1:$AT$1,"")),""),IF(SUMPRODUCT((BG109:CR109&lt;1)*(PARTIDAS!$I$2:$AT$2="ELÉCTRICO"))&gt;0,"ELÉCTRICO: "&amp;_xlfn.TEXTJOIN(", ",TRUE,IF((BG109:CR109&lt;1)*(PARTIDAS!$I$2:$AT$2="ELÉCTRICO"),PARTIDAS!$I$1:$AT$1,"")),""),IF(SUMPRODUCT((BG109:CR109&lt;1)*(PARTIDAS!$I$2:$AT$2="TERMINACIONES"))&gt;0,"TERMINACIONES: "&amp;_xlfn.TEXTJOIN(", ",TRUE,IF((BG109:CR109&lt;1)*(PARTIDAS!$I$2:$AT$2="TERMINACIONES"),PARTIDAS!$I$1:$AT$1,"")),""))</f>
        <v>TERMINACIONES: PINTURA EXTERIOR, LIMPIEZA FINAL</v>
      </c>
      <c r="CU109" s="43" t="str" cm="1">
        <f t="array" ref="CU109">_xlfn.TEXTJOIN(", ",TRUE,IF(SUMPRODUCT((BG109:CR109&lt;1)*(PARTIDAS!$I$2:$AT$2="OBRA GRUESA"))&gt;0,"OBRA GRUESA",""),IF(SUMPRODUCT((BG109:CR109&lt;1)*(PARTIDAS!$I$2:$AT$2="SANITARIOS"))&gt;0,"SANITARIOS",""),IF(SUMPRODUCT((BG109:CR109&lt;1)*(PARTIDAS!$I$2:$AT$2="ELÉCTRICO"))&gt;0,"ELÉCTRICO",""),IF(SUMPRODUCT((BG109:CR109&lt;1)*(PARTIDAS!$I$2:$AT$2="TERMINACIONES"))&gt;0,"TERMINACIONES",""))</f>
        <v>TERMINACIONES</v>
      </c>
      <c r="CV109" s="44" cm="1">
        <f t="array" ref="CV109">SUMPRODUCT(--(BG109:CR109&lt;1))</f>
        <v>2</v>
      </c>
    </row>
    <row r="110" spans="1:100" hidden="1" x14ac:dyDescent="0.25">
      <c r="A110" t="s">
        <v>157</v>
      </c>
      <c r="B110" t="s">
        <v>170</v>
      </c>
      <c r="C110">
        <v>2282600109</v>
      </c>
      <c r="D110" t="s">
        <v>58</v>
      </c>
      <c r="E110" s="2">
        <v>0.96499999999999986</v>
      </c>
      <c r="F110" s="1">
        <v>46183</v>
      </c>
      <c r="G110" s="1">
        <v>46196</v>
      </c>
      <c r="H110" s="1">
        <v>46227</v>
      </c>
      <c r="I110" s="1">
        <v>46207</v>
      </c>
      <c r="J110">
        <v>3</v>
      </c>
      <c r="K110" s="1"/>
      <c r="L110" s="3">
        <v>0.43</v>
      </c>
      <c r="M110" s="3">
        <v>1</v>
      </c>
      <c r="N110" s="3">
        <v>0.27906976744186046</v>
      </c>
      <c r="O110" s="3">
        <v>0.18604651162790697</v>
      </c>
      <c r="P110" s="3">
        <v>0.2558139534883721</v>
      </c>
      <c r="Q110" s="3">
        <v>0.18604651162790697</v>
      </c>
      <c r="R110" s="3">
        <v>9.3023255813953487E-2</v>
      </c>
      <c r="S110" s="3">
        <v>0.09</v>
      </c>
      <c r="T110" s="3">
        <v>1</v>
      </c>
      <c r="U110" s="3">
        <v>0.22222222222222221</v>
      </c>
      <c r="V110" s="3">
        <v>0.22222222222222221</v>
      </c>
      <c r="W110" s="3">
        <v>0.1111111111111111</v>
      </c>
      <c r="X110" s="3">
        <v>0.1111111111111111</v>
      </c>
      <c r="Y110" s="3">
        <v>0.1111111111111111</v>
      </c>
      <c r="Z110" s="3">
        <v>0.22222222222222221</v>
      </c>
      <c r="AA110" s="3">
        <v>0.11</v>
      </c>
      <c r="AB110" s="3">
        <v>1</v>
      </c>
      <c r="AC110" s="3">
        <v>0.27272727272727271</v>
      </c>
      <c r="AD110" s="3">
        <v>0.27272727272727271</v>
      </c>
      <c r="AE110" s="3">
        <v>9.0909090909090912E-2</v>
      </c>
      <c r="AF110" s="3">
        <v>0.18181818181818182</v>
      </c>
      <c r="AG110" s="3">
        <v>0.18181818181818182</v>
      </c>
      <c r="AH110" s="3">
        <v>0.33499999999999985</v>
      </c>
      <c r="AI110" s="3">
        <v>0.90540540540540504</v>
      </c>
      <c r="AJ110" s="3">
        <v>5.4054054054054036E-2</v>
      </c>
      <c r="AK110" s="3">
        <v>5.4054054054054036E-2</v>
      </c>
      <c r="AL110" s="3">
        <v>2.7027027027027018E-2</v>
      </c>
      <c r="AM110" s="3">
        <v>8.1081081081081058E-2</v>
      </c>
      <c r="AN110" s="3">
        <v>8.1081081081081058E-2</v>
      </c>
      <c r="AO110" s="3">
        <v>6.7567567567567557E-2</v>
      </c>
      <c r="AP110" s="3">
        <v>5.4054054054054036E-2</v>
      </c>
      <c r="AQ110" s="3">
        <v>1.3513513513513509E-2</v>
      </c>
      <c r="AR110" s="3">
        <v>0</v>
      </c>
      <c r="AS110" s="3">
        <v>0</v>
      </c>
      <c r="AT110" s="3">
        <v>8.1081081081081058E-2</v>
      </c>
      <c r="AU110" s="3">
        <v>5.4054054054054036E-2</v>
      </c>
      <c r="AV110" s="3">
        <v>2.7027027027027018E-2</v>
      </c>
      <c r="AW110" s="3">
        <v>5.4054054054054036E-2</v>
      </c>
      <c r="AX110" s="3">
        <v>5.4054054054054036E-2</v>
      </c>
      <c r="AY110" s="3">
        <v>2.7027027027027018E-2</v>
      </c>
      <c r="AZ110" s="3">
        <v>0</v>
      </c>
      <c r="BA110" s="3">
        <v>5.4054054054054036E-2</v>
      </c>
      <c r="BB110" s="3">
        <v>8.1081081081081058E-2</v>
      </c>
      <c r="BC110" s="3">
        <v>1.3513513513513509E-2</v>
      </c>
      <c r="BD110" s="3">
        <v>2.7027027027027018E-2</v>
      </c>
      <c r="BE110">
        <v>28.87</v>
      </c>
      <c r="BF110" s="3" t="str">
        <f>+IF(AVANCE[[#This Row],[% AVANCE]]=100%,"MODULO TERMINADO",IF(AVANCE[[#This Row],[FECHA INICIO REAL]]="","MODULO NO INICIADO","PENDIENTE"))</f>
        <v>PENDIENTE</v>
      </c>
      <c r="BG110" s="3">
        <f>+IF(AVANCE[[#This Row],[VENTANAS]]=8.10810810810811%,100%,AVANCE[[#This Row],[VENTANAS]])</f>
        <v>1</v>
      </c>
      <c r="BH110" s="3">
        <f>+IF(AVANCE[[#This Row],[PISO]]=N$2,100%,AVANCE[[#This Row],[PISO]])</f>
        <v>1</v>
      </c>
      <c r="BI110" s="3">
        <f>+IF(AVANCE[[#This Row],[TABIQUES]]=O$2,100%,AVANCE[[#This Row],[TABIQUES]])</f>
        <v>1</v>
      </c>
      <c r="BJ110" s="3">
        <f>+IF(AVANCE[[#This Row],[MUROS]]=P$2,100%,AVANCE[[#This Row],[MUROS]])</f>
        <v>1</v>
      </c>
      <c r="BK110" s="3">
        <f>+IF(AVANCE[[#This Row],[CIELO]]=Q$2,100%,AVANCE[[#This Row],[CIELO]])</f>
        <v>1</v>
      </c>
      <c r="BL110" s="3">
        <f>+IF(AVANCE[[#This Row],[BALCÓN]]=R$2,100%,AVANCE[[#This Row],[BALCÓN]])</f>
        <v>1</v>
      </c>
      <c r="BM110" s="3">
        <f>+IF(AVANCE[[#This Row],[RED ALCANTARILLADO]]=U$2,100%,AVANCE[[#This Row],[RED ALCANTARILLADO]])</f>
        <v>1</v>
      </c>
      <c r="BN110" s="3">
        <f>+IF(AVANCE[[#This Row],[RED DE AGUA]]=V$2,100%,AVANCE[[#This Row],[RED DE AGUA]])</f>
        <v>1</v>
      </c>
      <c r="BO110" s="3">
        <f>+IF(AVANCE[[#This Row],[VENTILACIONES]]=W$2,100%,AVANCE[[#This Row],[VENTILACIONES]])</f>
        <v>1</v>
      </c>
      <c r="BP110" s="3">
        <f>+IF(AVANCE[[#This Row],[TINA]]=X$2,100%,AVANCE[[#This Row],[TINA]])</f>
        <v>1</v>
      </c>
      <c r="BQ110" s="3">
        <f>+IF(AVANCE[[#This Row],[WC]]=Y$2,100%,AVANCE[[#This Row],[WC]])</f>
        <v>1</v>
      </c>
      <c r="BR110" s="3">
        <f>+IF(AVANCE[[#This Row],[LAVAMANOS / LAVAPLATOS / LAVADERO]]=Z$2,100%,AVANCE[[#This Row],[LAVAMANOS / LAVAPLATOS / LAVADERO]])</f>
        <v>1</v>
      </c>
      <c r="BS110" s="3">
        <f>+IF(AVANCE[[#This Row],[CANALIZACIÓN]]=AC$2,100%,AVANCE[[#This Row],[CANALIZACIÓN]])</f>
        <v>1</v>
      </c>
      <c r="BT110" s="3">
        <f>+IF(AVANCE[[#This Row],[CABLEADO]]=AD$2,100%,AVANCE[[#This Row],[CABLEADO]])</f>
        <v>1</v>
      </c>
      <c r="BU110" s="3">
        <f>+IF(AVANCE[[#This Row],[ARTEFACTOS]]=AE$2,100%,AVANCE[[#This Row],[ARTEFACTOS]])</f>
        <v>1</v>
      </c>
      <c r="BV110" s="3">
        <f>+IF(AVANCE[[#This Row],[TABLERO]]=AF$2,100%,AVANCE[[#This Row],[TABLERO]])</f>
        <v>1</v>
      </c>
      <c r="BW110" s="3">
        <f>+IF(AVANCE[[#This Row],[CAJA PAU]]=AG$2,100%,AVANCE[[#This Row],[CAJA PAU]])</f>
        <v>1</v>
      </c>
      <c r="BX110" s="3">
        <f>+IF(AVANCE[[#This Row],[INSTALACION VINILICO]]=AJ$2,100%,AVANCE[[#This Row],[INSTALACION VINILICO]])</f>
        <v>1</v>
      </c>
      <c r="BY110" s="3">
        <f>+IF(AVANCE[[#This Row],[OSB CUBIERTA]]=AK$2,100%,AVANCE[[#This Row],[OSB CUBIERTA]])</f>
        <v>1</v>
      </c>
      <c r="BZ110" s="3">
        <f>+IF(AVANCE[[#This Row],[BARANDA BALCON]]=AL$2,100%,AVANCE[[#This Row],[BARANDA BALCON]])</f>
        <v>1</v>
      </c>
      <c r="CA110" s="3">
        <f>+IF(AVANCE[[#This Row],[OSB EXTERIOR]]=AM$2,100%,AVANCE[[#This Row],[OSB EXTERIOR]])</f>
        <v>1</v>
      </c>
      <c r="CB110" s="3">
        <f>+IF(AVANCE[[#This Row],[SMART PANEL]]=AN$2,100%,AVANCE[[#This Row],[SMART PANEL]])</f>
        <v>1</v>
      </c>
      <c r="CC110" s="3">
        <f>+IF(AVANCE[[#This Row],[PINTURA EXTERIOR]]=AO$2,100%,AVANCE[[#This Row],[PINTURA EXTERIOR]])</f>
        <v>1</v>
      </c>
      <c r="CD110" s="3">
        <f>+IF(AVANCE[[#This Row],[ZOCALOS LOGIA]]=AP$2,100%,AVANCE[[#This Row],[ZOCALOS LOGIA]])</f>
        <v>1</v>
      </c>
      <c r="CE110" s="3">
        <f>+IF(AVANCE[[#This Row],[MOLDURAS]]=AQ$2,100%,AVANCE[[#This Row],[MOLDURAS]])</f>
        <v>1</v>
      </c>
      <c r="CF110" s="3">
        <f>+IF(AVANCE[[#This Row],[PILASTREO]]=AR$2,100%,AVANCE[[#This Row],[PILASTREO]])</f>
        <v>0</v>
      </c>
      <c r="CG110" s="3">
        <f>+IF(AVANCE[[#This Row],[CELOSIAS]]=AS$2,100%,AVANCE[[#This Row],[CELOSIAS]])</f>
        <v>0</v>
      </c>
      <c r="CH110" s="3">
        <f>+IF(AVANCE[[#This Row],[VENTANAS]]=AT$2,100%,AVANCE[[#This Row],[VENTANAS]])</f>
        <v>1</v>
      </c>
      <c r="CI110" s="3">
        <f>+IF(AVANCE[[#This Row],[PUERTAS ACCESO - LOGIA - BANO]]=AU$2,100%,AVANCE[[#This Row],[PUERTAS ACCESO - LOGIA - BANO]])</f>
        <v>1</v>
      </c>
      <c r="CJ110" s="3">
        <f>+IF(AVANCE[[#This Row],[CERRADURAS]]=AV$2,100%,AVANCE[[#This Row],[CERRADURAS]])</f>
        <v>1</v>
      </c>
      <c r="CK110" s="3">
        <f>+IF(AVANCE[[#This Row],[REVESTIMIENTO INTERIOR ZONA SECA]]=AW$2,100%,AVANCE[[#This Row],[REVESTIMIENTO INTERIOR ZONA SECA]])</f>
        <v>1</v>
      </c>
      <c r="CL110" s="3">
        <f>+IF(AVANCE[[#This Row],[REVESTIMIENTO INTERIOR ZONAS HUMEDAS]]=AX$2,100%,AVANCE[[#This Row],[REVESTIMIENTO INTERIOR ZONAS HUMEDAS]])</f>
        <v>1</v>
      </c>
      <c r="CM110" s="3">
        <f>+IF(AVANCE[[#This Row],[MEMBRANA CIELO]]=AY$2,100%,AVANCE[[#This Row],[MEMBRANA CIELO]])</f>
        <v>1</v>
      </c>
      <c r="CN110" s="3">
        <f>+IF(AVANCE[[#This Row],[LIMPIEZA FINAL]]=AZ$2,100%,AVANCE[[#This Row],[LIMPIEZA FINAL]])</f>
        <v>0</v>
      </c>
      <c r="CO110" s="3">
        <f>+IF(AVANCE[[#This Row],[PUERTAS DORMITORIO]]=BA$2,100%,AVANCE[[#This Row],[PUERTAS DORMITORIO]])</f>
        <v>1</v>
      </c>
      <c r="CP110" s="3">
        <f>+IF(AVANCE[[#This Row],[REVESTIMIENTO INTERIOR BANO]]=BB$2,100%,AVANCE[[#This Row],[REVESTIMIENTO INTERIOR BANO]])</f>
        <v>1</v>
      </c>
      <c r="CQ110" s="3">
        <f>+IF(AVANCE[[#This Row],[MUEBLE LAVAPLATOS]]=BC$2,100%,AVANCE[[#This Row],[MUEBLE LAVAPLATOS]])</f>
        <v>1</v>
      </c>
      <c r="CR110" s="3">
        <f>+IF(AVANCE[[#This Row],[IMPERMEABILIZACION BANO - COCINA LOGIA]]=BD$2,100%,AVANCE[[#This Row],[IMPERMEABILIZACION BANO - COCINA LOGIA]])</f>
        <v>1</v>
      </c>
      <c r="CS110" s="40">
        <f ca="1">+IF(AVANCE[[#This Row],[ESTADO MODULO]]="PENDIENTE",(TODAY()-AVANCE[[#This Row],[FECHA TERMINO  PLANIFICADO]]),0)</f>
        <v>23</v>
      </c>
      <c r="CT110" s="41" t="str" cm="1">
        <f t="array" ref="CT110">_xlfn.TEXTJOIN(" | ",TRUE,IF(SUMPRODUCT((BG110:CR110&lt;1)*(PARTIDAS!$I$2:$AT$2="OBRA GRUESA"))&gt;0,"OBRA GRUESA: "&amp;_xlfn.TEXTJOIN(", ",TRUE,IF((BG110:CR110&lt;1)*(PARTIDAS!$I$2:$AT$2="OBRA GRUESA"),PARTIDAS!$I$1:$AT$1,"")),""),IF(SUMPRODUCT((BG110:CR110&lt;1)*(PARTIDAS!$I$2:$AT$2="SANITARIOS"))&gt;0,"SANITARIOS: "&amp;_xlfn.TEXTJOIN(", ",TRUE,IF((BG110:CR110&lt;1)*(PARTIDAS!$I$2:$AT$2="SANITARIOS"),PARTIDAS!$I$1:$AT$1,"")),""),IF(SUMPRODUCT((BG110:CR110&lt;1)*(PARTIDAS!$I$2:$AT$2="ELÉCTRICO"))&gt;0,"ELÉCTRICO: "&amp;_xlfn.TEXTJOIN(", ",TRUE,IF((BG110:CR110&lt;1)*(PARTIDAS!$I$2:$AT$2="ELÉCTRICO"),PARTIDAS!$I$1:$AT$1,"")),""),IF(SUMPRODUCT((BG110:CR110&lt;1)*(PARTIDAS!$I$2:$AT$2="TERMINACIONES"))&gt;0,"TERMINACIONES: "&amp;_xlfn.TEXTJOIN(", ",TRUE,IF((BG110:CR110&lt;1)*(PARTIDAS!$I$2:$AT$2="TERMINACIONES"),PARTIDAS!$I$1:$AT$1,"")),""))</f>
        <v>TERMINACIONES: PILASTREO, CELOSIAS, LIMPIEZA FINAL</v>
      </c>
      <c r="CU110" s="43" t="str" cm="1">
        <f t="array" ref="CU110">_xlfn.TEXTJOIN(", ",TRUE,IF(SUMPRODUCT((BG110:CR110&lt;1)*(PARTIDAS!$I$2:$AT$2="OBRA GRUESA"))&gt;0,"OBRA GRUESA",""),IF(SUMPRODUCT((BG110:CR110&lt;1)*(PARTIDAS!$I$2:$AT$2="SANITARIOS"))&gt;0,"SANITARIOS",""),IF(SUMPRODUCT((BG110:CR110&lt;1)*(PARTIDAS!$I$2:$AT$2="ELÉCTRICO"))&gt;0,"ELÉCTRICO",""),IF(SUMPRODUCT((BG110:CR110&lt;1)*(PARTIDAS!$I$2:$AT$2="TERMINACIONES"))&gt;0,"TERMINACIONES",""))</f>
        <v>TERMINACIONES</v>
      </c>
      <c r="CV110" s="44" cm="1">
        <f t="array" ref="CV110">SUMPRODUCT(--(BG110:CR110&lt;1))</f>
        <v>3</v>
      </c>
    </row>
    <row r="111" spans="1:100" hidden="1" x14ac:dyDescent="0.25">
      <c r="A111" t="s">
        <v>157</v>
      </c>
      <c r="B111" t="s">
        <v>171</v>
      </c>
      <c r="C111">
        <v>2302600110</v>
      </c>
      <c r="D111" t="s">
        <v>60</v>
      </c>
      <c r="E111" s="2">
        <v>0.80499999999999983</v>
      </c>
      <c r="F111" s="1">
        <v>46183</v>
      </c>
      <c r="G111" s="1">
        <v>46197</v>
      </c>
      <c r="H111" s="1">
        <v>46227</v>
      </c>
      <c r="I111" s="1">
        <v>46217</v>
      </c>
      <c r="J111">
        <v>3</v>
      </c>
      <c r="K111" s="1"/>
      <c r="L111" s="3">
        <v>0.43</v>
      </c>
      <c r="M111" s="3">
        <v>1</v>
      </c>
      <c r="N111" s="3">
        <v>0.27906976744186046</v>
      </c>
      <c r="O111" s="3">
        <v>0.18604651162790697</v>
      </c>
      <c r="P111" s="3">
        <v>0.2558139534883721</v>
      </c>
      <c r="Q111" s="3">
        <v>0.18604651162790697</v>
      </c>
      <c r="R111" s="3">
        <v>9.3023255813953487E-2</v>
      </c>
      <c r="S111" s="3">
        <v>0.05</v>
      </c>
      <c r="T111" s="3">
        <v>0.55555555555555558</v>
      </c>
      <c r="U111" s="3">
        <v>0.22222222222222221</v>
      </c>
      <c r="V111" s="3">
        <v>0.22222222222222221</v>
      </c>
      <c r="W111" s="3">
        <v>0</v>
      </c>
      <c r="X111" s="3">
        <v>0.1111111111111111</v>
      </c>
      <c r="Y111" s="3">
        <v>0</v>
      </c>
      <c r="Z111" s="3">
        <v>0</v>
      </c>
      <c r="AA111" s="3">
        <v>0.08</v>
      </c>
      <c r="AB111" s="3">
        <v>0.72727272727272729</v>
      </c>
      <c r="AC111" s="3">
        <v>0.27272727272727271</v>
      </c>
      <c r="AD111" s="3">
        <v>0.27272727272727271</v>
      </c>
      <c r="AE111" s="3">
        <v>0</v>
      </c>
      <c r="AF111" s="3">
        <v>0</v>
      </c>
      <c r="AG111" s="3">
        <v>0.18181818181818182</v>
      </c>
      <c r="AH111" s="3">
        <v>0.24499999999999988</v>
      </c>
      <c r="AI111" s="3">
        <v>0.66216216216216184</v>
      </c>
      <c r="AJ111" s="3">
        <v>5.4054054054054036E-2</v>
      </c>
      <c r="AK111" s="3">
        <v>5.4054054054054036E-2</v>
      </c>
      <c r="AL111" s="3">
        <v>0</v>
      </c>
      <c r="AM111" s="3">
        <v>8.1081081081081058E-2</v>
      </c>
      <c r="AN111" s="3">
        <v>8.1081081081081058E-2</v>
      </c>
      <c r="AO111" s="3">
        <v>0</v>
      </c>
      <c r="AP111" s="3">
        <v>5.4054054054054036E-2</v>
      </c>
      <c r="AQ111" s="3">
        <v>0</v>
      </c>
      <c r="AR111" s="3">
        <v>0</v>
      </c>
      <c r="AS111" s="3">
        <v>1.3513513513513509E-2</v>
      </c>
      <c r="AT111" s="3">
        <v>8.1081081081081058E-2</v>
      </c>
      <c r="AU111" s="3">
        <v>5.4054054054054036E-2</v>
      </c>
      <c r="AV111" s="3">
        <v>2.7027027027027018E-2</v>
      </c>
      <c r="AW111" s="3">
        <v>0</v>
      </c>
      <c r="AX111" s="3">
        <v>5.4054054054054036E-2</v>
      </c>
      <c r="AY111" s="3">
        <v>2.7027027027027018E-2</v>
      </c>
      <c r="AZ111" s="3">
        <v>0</v>
      </c>
      <c r="BA111" s="3">
        <v>5.4054054054054036E-2</v>
      </c>
      <c r="BB111" s="3">
        <v>0</v>
      </c>
      <c r="BC111" s="3">
        <v>0</v>
      </c>
      <c r="BD111" s="3">
        <v>2.7027027027027018E-2</v>
      </c>
      <c r="BE111">
        <v>31.32</v>
      </c>
      <c r="BF111" s="3" t="str">
        <f>+IF(AVANCE[[#This Row],[% AVANCE]]=100%,"MODULO TERMINADO",IF(AVANCE[[#This Row],[FECHA INICIO REAL]]="","MODULO NO INICIADO","PENDIENTE"))</f>
        <v>PENDIENTE</v>
      </c>
      <c r="BG111" s="3">
        <f>+IF(AVANCE[[#This Row],[VENTANAS]]=8.10810810810811%,100%,AVANCE[[#This Row],[VENTANAS]])</f>
        <v>1</v>
      </c>
      <c r="BH111" s="3">
        <f>+IF(AVANCE[[#This Row],[PISO]]=N$2,100%,AVANCE[[#This Row],[PISO]])</f>
        <v>1</v>
      </c>
      <c r="BI111" s="3">
        <f>+IF(AVANCE[[#This Row],[TABIQUES]]=O$2,100%,AVANCE[[#This Row],[TABIQUES]])</f>
        <v>1</v>
      </c>
      <c r="BJ111" s="3">
        <f>+IF(AVANCE[[#This Row],[MUROS]]=P$2,100%,AVANCE[[#This Row],[MUROS]])</f>
        <v>1</v>
      </c>
      <c r="BK111" s="3">
        <f>+IF(AVANCE[[#This Row],[CIELO]]=Q$2,100%,AVANCE[[#This Row],[CIELO]])</f>
        <v>1</v>
      </c>
      <c r="BL111" s="3">
        <f>+IF(AVANCE[[#This Row],[BALCÓN]]=R$2,100%,AVANCE[[#This Row],[BALCÓN]])</f>
        <v>1</v>
      </c>
      <c r="BM111" s="3">
        <f>+IF(AVANCE[[#This Row],[RED ALCANTARILLADO]]=U$2,100%,AVANCE[[#This Row],[RED ALCANTARILLADO]])</f>
        <v>1</v>
      </c>
      <c r="BN111" s="3">
        <f>+IF(AVANCE[[#This Row],[RED DE AGUA]]=V$2,100%,AVANCE[[#This Row],[RED DE AGUA]])</f>
        <v>1</v>
      </c>
      <c r="BO111" s="3">
        <f>+IF(AVANCE[[#This Row],[VENTILACIONES]]=W$2,100%,AVANCE[[#This Row],[VENTILACIONES]])</f>
        <v>0</v>
      </c>
      <c r="BP111" s="3">
        <f>+IF(AVANCE[[#This Row],[TINA]]=X$2,100%,AVANCE[[#This Row],[TINA]])</f>
        <v>1</v>
      </c>
      <c r="BQ111" s="3">
        <f>+IF(AVANCE[[#This Row],[WC]]=Y$2,100%,AVANCE[[#This Row],[WC]])</f>
        <v>0</v>
      </c>
      <c r="BR111" s="3">
        <f>+IF(AVANCE[[#This Row],[LAVAMANOS / LAVAPLATOS / LAVADERO]]=Z$2,100%,AVANCE[[#This Row],[LAVAMANOS / LAVAPLATOS / LAVADERO]])</f>
        <v>0</v>
      </c>
      <c r="BS111" s="3">
        <f>+IF(AVANCE[[#This Row],[CANALIZACIÓN]]=AC$2,100%,AVANCE[[#This Row],[CANALIZACIÓN]])</f>
        <v>1</v>
      </c>
      <c r="BT111" s="3">
        <f>+IF(AVANCE[[#This Row],[CABLEADO]]=AD$2,100%,AVANCE[[#This Row],[CABLEADO]])</f>
        <v>1</v>
      </c>
      <c r="BU111" s="3">
        <f>+IF(AVANCE[[#This Row],[ARTEFACTOS]]=AE$2,100%,AVANCE[[#This Row],[ARTEFACTOS]])</f>
        <v>0</v>
      </c>
      <c r="BV111" s="3">
        <f>+IF(AVANCE[[#This Row],[TABLERO]]=AF$2,100%,AVANCE[[#This Row],[TABLERO]])</f>
        <v>0</v>
      </c>
      <c r="BW111" s="3">
        <f>+IF(AVANCE[[#This Row],[CAJA PAU]]=AG$2,100%,AVANCE[[#This Row],[CAJA PAU]])</f>
        <v>1</v>
      </c>
      <c r="BX111" s="3">
        <f>+IF(AVANCE[[#This Row],[INSTALACION VINILICO]]=AJ$2,100%,AVANCE[[#This Row],[INSTALACION VINILICO]])</f>
        <v>1</v>
      </c>
      <c r="BY111" s="3">
        <f>+IF(AVANCE[[#This Row],[OSB CUBIERTA]]=AK$2,100%,AVANCE[[#This Row],[OSB CUBIERTA]])</f>
        <v>1</v>
      </c>
      <c r="BZ111" s="3">
        <f>+IF(AVANCE[[#This Row],[BARANDA BALCON]]=AL$2,100%,AVANCE[[#This Row],[BARANDA BALCON]])</f>
        <v>0</v>
      </c>
      <c r="CA111" s="3">
        <f>+IF(AVANCE[[#This Row],[OSB EXTERIOR]]=AM$2,100%,AVANCE[[#This Row],[OSB EXTERIOR]])</f>
        <v>1</v>
      </c>
      <c r="CB111" s="3">
        <f>+IF(AVANCE[[#This Row],[SMART PANEL]]=AN$2,100%,AVANCE[[#This Row],[SMART PANEL]])</f>
        <v>1</v>
      </c>
      <c r="CC111" s="3">
        <f>+IF(AVANCE[[#This Row],[PINTURA EXTERIOR]]=AO$2,100%,AVANCE[[#This Row],[PINTURA EXTERIOR]])</f>
        <v>0</v>
      </c>
      <c r="CD111" s="3">
        <f>+IF(AVANCE[[#This Row],[ZOCALOS LOGIA]]=AP$2,100%,AVANCE[[#This Row],[ZOCALOS LOGIA]])</f>
        <v>1</v>
      </c>
      <c r="CE111" s="3">
        <f>+IF(AVANCE[[#This Row],[MOLDURAS]]=AQ$2,100%,AVANCE[[#This Row],[MOLDURAS]])</f>
        <v>0</v>
      </c>
      <c r="CF111" s="3">
        <f>+IF(AVANCE[[#This Row],[PILASTREO]]=AR$2,100%,AVANCE[[#This Row],[PILASTREO]])</f>
        <v>0</v>
      </c>
      <c r="CG111" s="3">
        <f>+IF(AVANCE[[#This Row],[CELOSIAS]]=AS$2,100%,AVANCE[[#This Row],[CELOSIAS]])</f>
        <v>1</v>
      </c>
      <c r="CH111" s="3">
        <f>+IF(AVANCE[[#This Row],[VENTANAS]]=AT$2,100%,AVANCE[[#This Row],[VENTANAS]])</f>
        <v>1</v>
      </c>
      <c r="CI111" s="3">
        <f>+IF(AVANCE[[#This Row],[PUERTAS ACCESO - LOGIA - BANO]]=AU$2,100%,AVANCE[[#This Row],[PUERTAS ACCESO - LOGIA - BANO]])</f>
        <v>1</v>
      </c>
      <c r="CJ111" s="3">
        <f>+IF(AVANCE[[#This Row],[CERRADURAS]]=AV$2,100%,AVANCE[[#This Row],[CERRADURAS]])</f>
        <v>1</v>
      </c>
      <c r="CK111" s="3">
        <f>+IF(AVANCE[[#This Row],[REVESTIMIENTO INTERIOR ZONA SECA]]=AW$2,100%,AVANCE[[#This Row],[REVESTIMIENTO INTERIOR ZONA SECA]])</f>
        <v>0</v>
      </c>
      <c r="CL111" s="3">
        <f>+IF(AVANCE[[#This Row],[REVESTIMIENTO INTERIOR ZONAS HUMEDAS]]=AX$2,100%,AVANCE[[#This Row],[REVESTIMIENTO INTERIOR ZONAS HUMEDAS]])</f>
        <v>1</v>
      </c>
      <c r="CM111" s="3">
        <f>+IF(AVANCE[[#This Row],[MEMBRANA CIELO]]=AY$2,100%,AVANCE[[#This Row],[MEMBRANA CIELO]])</f>
        <v>1</v>
      </c>
      <c r="CN111" s="3">
        <f>+IF(AVANCE[[#This Row],[LIMPIEZA FINAL]]=AZ$2,100%,AVANCE[[#This Row],[LIMPIEZA FINAL]])</f>
        <v>0</v>
      </c>
      <c r="CO111" s="3">
        <f>+IF(AVANCE[[#This Row],[PUERTAS DORMITORIO]]=BA$2,100%,AVANCE[[#This Row],[PUERTAS DORMITORIO]])</f>
        <v>1</v>
      </c>
      <c r="CP111" s="3">
        <f>+IF(AVANCE[[#This Row],[REVESTIMIENTO INTERIOR BANO]]=BB$2,100%,AVANCE[[#This Row],[REVESTIMIENTO INTERIOR BANO]])</f>
        <v>0</v>
      </c>
      <c r="CQ111" s="3">
        <f>+IF(AVANCE[[#This Row],[MUEBLE LAVAPLATOS]]=BC$2,100%,AVANCE[[#This Row],[MUEBLE LAVAPLATOS]])</f>
        <v>0</v>
      </c>
      <c r="CR111" s="3">
        <f>+IF(AVANCE[[#This Row],[IMPERMEABILIZACION BANO - COCINA LOGIA]]=BD$2,100%,AVANCE[[#This Row],[IMPERMEABILIZACION BANO - COCINA LOGIA]])</f>
        <v>1</v>
      </c>
      <c r="CS111" s="40">
        <f ca="1">+IF(AVANCE[[#This Row],[ESTADO MODULO]]="PENDIENTE",(TODAY()-AVANCE[[#This Row],[FECHA TERMINO  PLANIFICADO]]),0)</f>
        <v>13</v>
      </c>
      <c r="CT111" s="41" t="str" cm="1">
        <f t="array" ref="CT111">_xlfn.TEXTJOIN(" | ",TRUE,IF(SUMPRODUCT((BG111:CR111&lt;1)*(PARTIDAS!$I$2:$AT$2="OBRA GRUESA"))&gt;0,"OBRA GRUESA: "&amp;_xlfn.TEXTJOIN(", ",TRUE,IF((BG111:CR111&lt;1)*(PARTIDAS!$I$2:$AT$2="OBRA GRUESA"),PARTIDAS!$I$1:$AT$1,"")),""),IF(SUMPRODUCT((BG111:CR111&lt;1)*(PARTIDAS!$I$2:$AT$2="SANITARIOS"))&gt;0,"SANITARIOS: "&amp;_xlfn.TEXTJOIN(", ",TRUE,IF((BG111:CR111&lt;1)*(PARTIDAS!$I$2:$AT$2="SANITARIOS"),PARTIDAS!$I$1:$AT$1,"")),""),IF(SUMPRODUCT((BG111:CR111&lt;1)*(PARTIDAS!$I$2:$AT$2="ELÉCTRICO"))&gt;0,"ELÉCTRICO: "&amp;_xlfn.TEXTJOIN(", ",TRUE,IF((BG111:CR111&lt;1)*(PARTIDAS!$I$2:$AT$2="ELÉCTRICO"),PARTIDAS!$I$1:$AT$1,"")),""),IF(SUMPRODUCT((BG111:CR111&lt;1)*(PARTIDAS!$I$2:$AT$2="TERMINACIONES"))&gt;0,"TERMINACIONES: "&amp;_xlfn.TEXTJOIN(", ",TRUE,IF((BG111:CR111&lt;1)*(PARTIDAS!$I$2:$AT$2="TERMINACIONES"),PARTIDAS!$I$1:$AT$1,"")),""))</f>
        <v>SANITARIOS: VENTILACIONES, WC, LAVAMANOS / LAVAPLATOS / LAVADERO | ELÉCTRICO: ARTEFACTOS, TABLERO | TERMINACIONES: BARANDA BALCON, PINTURA EXTERIOR, MOLDURAS, PILASTREO, REVESTIMIENTO INTERIOR ZONA SECA, LIMPIEZA FINAL, REVESTIMIENTO INTERIOR BANO, MUEBLE LAVAPLATOS</v>
      </c>
      <c r="CU111" s="43" t="str" cm="1">
        <f t="array" ref="CU111">_xlfn.TEXTJOIN(", ",TRUE,IF(SUMPRODUCT((BG111:CR111&lt;1)*(PARTIDAS!$I$2:$AT$2="OBRA GRUESA"))&gt;0,"OBRA GRUESA",""),IF(SUMPRODUCT((BG111:CR111&lt;1)*(PARTIDAS!$I$2:$AT$2="SANITARIOS"))&gt;0,"SANITARIOS",""),IF(SUMPRODUCT((BG111:CR111&lt;1)*(PARTIDAS!$I$2:$AT$2="ELÉCTRICO"))&gt;0,"ELÉCTRICO",""),IF(SUMPRODUCT((BG111:CR111&lt;1)*(PARTIDAS!$I$2:$AT$2="TERMINACIONES"))&gt;0,"TERMINACIONES",""))</f>
        <v>SANITARIOS, ELÉCTRICO, TERMINACIONES</v>
      </c>
      <c r="CV111" s="44" cm="1">
        <f t="array" ref="CV111">SUMPRODUCT(--(BG111:CR111&lt;1))</f>
        <v>13</v>
      </c>
    </row>
    <row r="112" spans="1:100" hidden="1" x14ac:dyDescent="0.25">
      <c r="A112" t="s">
        <v>157</v>
      </c>
      <c r="B112" t="s">
        <v>172</v>
      </c>
      <c r="C112">
        <v>2302600111</v>
      </c>
      <c r="D112" t="s">
        <v>60</v>
      </c>
      <c r="E112" s="2">
        <v>0.86999999999999988</v>
      </c>
      <c r="F112" s="1">
        <v>46184</v>
      </c>
      <c r="G112" s="1">
        <v>46190</v>
      </c>
      <c r="H112" s="1">
        <v>46225</v>
      </c>
      <c r="I112" s="1">
        <v>46218</v>
      </c>
      <c r="J112">
        <v>5</v>
      </c>
      <c r="K112" s="1"/>
      <c r="L112" s="3">
        <v>0.43</v>
      </c>
      <c r="M112" s="3">
        <v>1</v>
      </c>
      <c r="N112" s="3">
        <v>0.27906976744186046</v>
      </c>
      <c r="O112" s="3">
        <v>0.18604651162790697</v>
      </c>
      <c r="P112" s="3">
        <v>0.2558139534883721</v>
      </c>
      <c r="Q112" s="3">
        <v>0.18604651162790697</v>
      </c>
      <c r="R112" s="3">
        <v>9.3023255813953487E-2</v>
      </c>
      <c r="S112" s="3">
        <v>0.08</v>
      </c>
      <c r="T112" s="3">
        <v>0.88888888888888895</v>
      </c>
      <c r="U112" s="3">
        <v>0.22222222222222221</v>
      </c>
      <c r="V112" s="3">
        <v>0.22222222222222221</v>
      </c>
      <c r="W112" s="3">
        <v>0</v>
      </c>
      <c r="X112" s="3">
        <v>0.1111111111111111</v>
      </c>
      <c r="Y112" s="3">
        <v>0.1111111111111111</v>
      </c>
      <c r="Z112" s="3">
        <v>0.22222222222222221</v>
      </c>
      <c r="AA112" s="3">
        <v>0.03</v>
      </c>
      <c r="AB112" s="3">
        <v>0.27272727272727271</v>
      </c>
      <c r="AC112" s="3">
        <v>0.27272727272727271</v>
      </c>
      <c r="AD112" s="3">
        <v>0</v>
      </c>
      <c r="AE112" s="3">
        <v>0</v>
      </c>
      <c r="AF112" s="3">
        <v>0</v>
      </c>
      <c r="AG112" s="3">
        <v>0</v>
      </c>
      <c r="AH112" s="3">
        <v>0.32999999999999985</v>
      </c>
      <c r="AI112" s="3">
        <v>0.89189189189189144</v>
      </c>
      <c r="AJ112" s="3">
        <v>5.4054054054054036E-2</v>
      </c>
      <c r="AK112" s="3">
        <v>5.4054054054054036E-2</v>
      </c>
      <c r="AL112" s="3">
        <v>2.7027027027027018E-2</v>
      </c>
      <c r="AM112" s="3">
        <v>8.1081081081081058E-2</v>
      </c>
      <c r="AN112" s="3">
        <v>8.1081081081081058E-2</v>
      </c>
      <c r="AO112" s="3">
        <v>6.7567567567567557E-2</v>
      </c>
      <c r="AP112" s="3">
        <v>5.4054054054054036E-2</v>
      </c>
      <c r="AQ112" s="3">
        <v>0</v>
      </c>
      <c r="AR112" s="3">
        <v>4.0540540540540529E-2</v>
      </c>
      <c r="AS112" s="3">
        <v>1.3513513513513509E-2</v>
      </c>
      <c r="AT112" s="3">
        <v>8.1081081081081058E-2</v>
      </c>
      <c r="AU112" s="3">
        <v>5.4054054054054036E-2</v>
      </c>
      <c r="AV112" s="3">
        <v>2.7027027027027018E-2</v>
      </c>
      <c r="AW112" s="3">
        <v>0</v>
      </c>
      <c r="AX112" s="3">
        <v>5.4054054054054036E-2</v>
      </c>
      <c r="AY112" s="3">
        <v>2.7027027027027018E-2</v>
      </c>
      <c r="AZ112" s="3">
        <v>0</v>
      </c>
      <c r="BA112" s="3">
        <v>5.4054054054054036E-2</v>
      </c>
      <c r="BB112" s="3">
        <v>8.1081081081081058E-2</v>
      </c>
      <c r="BC112" s="3">
        <v>1.3513513513513509E-2</v>
      </c>
      <c r="BD112" s="3">
        <v>2.7027027027027018E-2</v>
      </c>
      <c r="BE112">
        <v>31.32</v>
      </c>
      <c r="BF112" s="3" t="str">
        <f>+IF(AVANCE[[#This Row],[% AVANCE]]=100%,"MODULO TERMINADO",IF(AVANCE[[#This Row],[FECHA INICIO REAL]]="","MODULO NO INICIADO","PENDIENTE"))</f>
        <v>PENDIENTE</v>
      </c>
      <c r="BG112" s="3">
        <f>+IF(AVANCE[[#This Row],[VENTANAS]]=8.10810810810811%,100%,AVANCE[[#This Row],[VENTANAS]])</f>
        <v>1</v>
      </c>
      <c r="BH112" s="3">
        <f>+IF(AVANCE[[#This Row],[PISO]]=N$2,100%,AVANCE[[#This Row],[PISO]])</f>
        <v>1</v>
      </c>
      <c r="BI112" s="3">
        <f>+IF(AVANCE[[#This Row],[TABIQUES]]=O$2,100%,AVANCE[[#This Row],[TABIQUES]])</f>
        <v>1</v>
      </c>
      <c r="BJ112" s="3">
        <f>+IF(AVANCE[[#This Row],[MUROS]]=P$2,100%,AVANCE[[#This Row],[MUROS]])</f>
        <v>1</v>
      </c>
      <c r="BK112" s="3">
        <f>+IF(AVANCE[[#This Row],[CIELO]]=Q$2,100%,AVANCE[[#This Row],[CIELO]])</f>
        <v>1</v>
      </c>
      <c r="BL112" s="3">
        <f>+IF(AVANCE[[#This Row],[BALCÓN]]=R$2,100%,AVANCE[[#This Row],[BALCÓN]])</f>
        <v>1</v>
      </c>
      <c r="BM112" s="3">
        <f>+IF(AVANCE[[#This Row],[RED ALCANTARILLADO]]=U$2,100%,AVANCE[[#This Row],[RED ALCANTARILLADO]])</f>
        <v>1</v>
      </c>
      <c r="BN112" s="3">
        <f>+IF(AVANCE[[#This Row],[RED DE AGUA]]=V$2,100%,AVANCE[[#This Row],[RED DE AGUA]])</f>
        <v>1</v>
      </c>
      <c r="BO112" s="3">
        <f>+IF(AVANCE[[#This Row],[VENTILACIONES]]=W$2,100%,AVANCE[[#This Row],[VENTILACIONES]])</f>
        <v>0</v>
      </c>
      <c r="BP112" s="3">
        <f>+IF(AVANCE[[#This Row],[TINA]]=X$2,100%,AVANCE[[#This Row],[TINA]])</f>
        <v>1</v>
      </c>
      <c r="BQ112" s="3">
        <f>+IF(AVANCE[[#This Row],[WC]]=Y$2,100%,AVANCE[[#This Row],[WC]])</f>
        <v>1</v>
      </c>
      <c r="BR112" s="3">
        <f>+IF(AVANCE[[#This Row],[LAVAMANOS / LAVAPLATOS / LAVADERO]]=Z$2,100%,AVANCE[[#This Row],[LAVAMANOS / LAVAPLATOS / LAVADERO]])</f>
        <v>1</v>
      </c>
      <c r="BS112" s="3">
        <f>+IF(AVANCE[[#This Row],[CANALIZACIÓN]]=AC$2,100%,AVANCE[[#This Row],[CANALIZACIÓN]])</f>
        <v>1</v>
      </c>
      <c r="BT112" s="3">
        <f>+IF(AVANCE[[#This Row],[CABLEADO]]=AD$2,100%,AVANCE[[#This Row],[CABLEADO]])</f>
        <v>0</v>
      </c>
      <c r="BU112" s="3">
        <f>+IF(AVANCE[[#This Row],[ARTEFACTOS]]=AE$2,100%,AVANCE[[#This Row],[ARTEFACTOS]])</f>
        <v>0</v>
      </c>
      <c r="BV112" s="3">
        <f>+IF(AVANCE[[#This Row],[TABLERO]]=AF$2,100%,AVANCE[[#This Row],[TABLERO]])</f>
        <v>0</v>
      </c>
      <c r="BW112" s="3">
        <f>+IF(AVANCE[[#This Row],[CAJA PAU]]=AG$2,100%,AVANCE[[#This Row],[CAJA PAU]])</f>
        <v>0</v>
      </c>
      <c r="BX112" s="3">
        <f>+IF(AVANCE[[#This Row],[INSTALACION VINILICO]]=AJ$2,100%,AVANCE[[#This Row],[INSTALACION VINILICO]])</f>
        <v>1</v>
      </c>
      <c r="BY112" s="3">
        <f>+IF(AVANCE[[#This Row],[OSB CUBIERTA]]=AK$2,100%,AVANCE[[#This Row],[OSB CUBIERTA]])</f>
        <v>1</v>
      </c>
      <c r="BZ112" s="3">
        <f>+IF(AVANCE[[#This Row],[BARANDA BALCON]]=AL$2,100%,AVANCE[[#This Row],[BARANDA BALCON]])</f>
        <v>1</v>
      </c>
      <c r="CA112" s="3">
        <f>+IF(AVANCE[[#This Row],[OSB EXTERIOR]]=AM$2,100%,AVANCE[[#This Row],[OSB EXTERIOR]])</f>
        <v>1</v>
      </c>
      <c r="CB112" s="3">
        <f>+IF(AVANCE[[#This Row],[SMART PANEL]]=AN$2,100%,AVANCE[[#This Row],[SMART PANEL]])</f>
        <v>1</v>
      </c>
      <c r="CC112" s="3">
        <f>+IF(AVANCE[[#This Row],[PINTURA EXTERIOR]]=AO$2,100%,AVANCE[[#This Row],[PINTURA EXTERIOR]])</f>
        <v>1</v>
      </c>
      <c r="CD112" s="3">
        <f>+IF(AVANCE[[#This Row],[ZOCALOS LOGIA]]=AP$2,100%,AVANCE[[#This Row],[ZOCALOS LOGIA]])</f>
        <v>1</v>
      </c>
      <c r="CE112" s="3">
        <f>+IF(AVANCE[[#This Row],[MOLDURAS]]=AQ$2,100%,AVANCE[[#This Row],[MOLDURAS]])</f>
        <v>0</v>
      </c>
      <c r="CF112" s="3">
        <f>+IF(AVANCE[[#This Row],[PILASTREO]]=AR$2,100%,AVANCE[[#This Row],[PILASTREO]])</f>
        <v>1</v>
      </c>
      <c r="CG112" s="3">
        <f>+IF(AVANCE[[#This Row],[CELOSIAS]]=AS$2,100%,AVANCE[[#This Row],[CELOSIAS]])</f>
        <v>1</v>
      </c>
      <c r="CH112" s="3">
        <f>+IF(AVANCE[[#This Row],[VENTANAS]]=AT$2,100%,AVANCE[[#This Row],[VENTANAS]])</f>
        <v>1</v>
      </c>
      <c r="CI112" s="3">
        <f>+IF(AVANCE[[#This Row],[PUERTAS ACCESO - LOGIA - BANO]]=AU$2,100%,AVANCE[[#This Row],[PUERTAS ACCESO - LOGIA - BANO]])</f>
        <v>1</v>
      </c>
      <c r="CJ112" s="3">
        <f>+IF(AVANCE[[#This Row],[CERRADURAS]]=AV$2,100%,AVANCE[[#This Row],[CERRADURAS]])</f>
        <v>1</v>
      </c>
      <c r="CK112" s="3">
        <f>+IF(AVANCE[[#This Row],[REVESTIMIENTO INTERIOR ZONA SECA]]=AW$2,100%,AVANCE[[#This Row],[REVESTIMIENTO INTERIOR ZONA SECA]])</f>
        <v>0</v>
      </c>
      <c r="CL112" s="3">
        <f>+IF(AVANCE[[#This Row],[REVESTIMIENTO INTERIOR ZONAS HUMEDAS]]=AX$2,100%,AVANCE[[#This Row],[REVESTIMIENTO INTERIOR ZONAS HUMEDAS]])</f>
        <v>1</v>
      </c>
      <c r="CM112" s="3">
        <f>+IF(AVANCE[[#This Row],[MEMBRANA CIELO]]=AY$2,100%,AVANCE[[#This Row],[MEMBRANA CIELO]])</f>
        <v>1</v>
      </c>
      <c r="CN112" s="3">
        <f>+IF(AVANCE[[#This Row],[LIMPIEZA FINAL]]=AZ$2,100%,AVANCE[[#This Row],[LIMPIEZA FINAL]])</f>
        <v>0</v>
      </c>
      <c r="CO112" s="3">
        <f>+IF(AVANCE[[#This Row],[PUERTAS DORMITORIO]]=BA$2,100%,AVANCE[[#This Row],[PUERTAS DORMITORIO]])</f>
        <v>1</v>
      </c>
      <c r="CP112" s="3">
        <f>+IF(AVANCE[[#This Row],[REVESTIMIENTO INTERIOR BANO]]=BB$2,100%,AVANCE[[#This Row],[REVESTIMIENTO INTERIOR BANO]])</f>
        <v>1</v>
      </c>
      <c r="CQ112" s="3">
        <f>+IF(AVANCE[[#This Row],[MUEBLE LAVAPLATOS]]=BC$2,100%,AVANCE[[#This Row],[MUEBLE LAVAPLATOS]])</f>
        <v>1</v>
      </c>
      <c r="CR112" s="3">
        <f>+IF(AVANCE[[#This Row],[IMPERMEABILIZACION BANO - COCINA LOGIA]]=BD$2,100%,AVANCE[[#This Row],[IMPERMEABILIZACION BANO - COCINA LOGIA]])</f>
        <v>1</v>
      </c>
      <c r="CS112" s="40">
        <f ca="1">+IF(AVANCE[[#This Row],[ESTADO MODULO]]="PENDIENTE",(TODAY()-AVANCE[[#This Row],[FECHA TERMINO  PLANIFICADO]]),0)</f>
        <v>12</v>
      </c>
      <c r="CT112" s="41" t="str" cm="1">
        <f t="array" ref="CT112">_xlfn.TEXTJOIN(" | ",TRUE,IF(SUMPRODUCT((BG112:CR112&lt;1)*(PARTIDAS!$I$2:$AT$2="OBRA GRUESA"))&gt;0,"OBRA GRUESA: "&amp;_xlfn.TEXTJOIN(", ",TRUE,IF((BG112:CR112&lt;1)*(PARTIDAS!$I$2:$AT$2="OBRA GRUESA"),PARTIDAS!$I$1:$AT$1,"")),""),IF(SUMPRODUCT((BG112:CR112&lt;1)*(PARTIDAS!$I$2:$AT$2="SANITARIOS"))&gt;0,"SANITARIOS: "&amp;_xlfn.TEXTJOIN(", ",TRUE,IF((BG112:CR112&lt;1)*(PARTIDAS!$I$2:$AT$2="SANITARIOS"),PARTIDAS!$I$1:$AT$1,"")),""),IF(SUMPRODUCT((BG112:CR112&lt;1)*(PARTIDAS!$I$2:$AT$2="ELÉCTRICO"))&gt;0,"ELÉCTRICO: "&amp;_xlfn.TEXTJOIN(", ",TRUE,IF((BG112:CR112&lt;1)*(PARTIDAS!$I$2:$AT$2="ELÉCTRICO"),PARTIDAS!$I$1:$AT$1,"")),""),IF(SUMPRODUCT((BG112:CR112&lt;1)*(PARTIDAS!$I$2:$AT$2="TERMINACIONES"))&gt;0,"TERMINACIONES: "&amp;_xlfn.TEXTJOIN(", ",TRUE,IF((BG112:CR112&lt;1)*(PARTIDAS!$I$2:$AT$2="TERMINACIONES"),PARTIDAS!$I$1:$AT$1,"")),""))</f>
        <v>SANITARIOS: VENTILACIONES | ELÉCTRICO: CABLEADO, ARTEFACTOS, TABLERO, CAJA PAU | TERMINACIONES: MOLDURAS, REVESTIMIENTO INTERIOR ZONA SECA, LIMPIEZA FINAL</v>
      </c>
      <c r="CU112" s="43" t="str" cm="1">
        <f t="array" ref="CU112">_xlfn.TEXTJOIN(", ",TRUE,IF(SUMPRODUCT((BG112:CR112&lt;1)*(PARTIDAS!$I$2:$AT$2="OBRA GRUESA"))&gt;0,"OBRA GRUESA",""),IF(SUMPRODUCT((BG112:CR112&lt;1)*(PARTIDAS!$I$2:$AT$2="SANITARIOS"))&gt;0,"SANITARIOS",""),IF(SUMPRODUCT((BG112:CR112&lt;1)*(PARTIDAS!$I$2:$AT$2="ELÉCTRICO"))&gt;0,"ELÉCTRICO",""),IF(SUMPRODUCT((BG112:CR112&lt;1)*(PARTIDAS!$I$2:$AT$2="TERMINACIONES"))&gt;0,"TERMINACIONES",""))</f>
        <v>SANITARIOS, ELÉCTRICO, TERMINACIONES</v>
      </c>
      <c r="CV112" s="44" cm="1">
        <f t="array" ref="CV112">SUMPRODUCT(--(BG112:CR112&lt;1))</f>
        <v>8</v>
      </c>
    </row>
    <row r="113" spans="1:100" hidden="1" x14ac:dyDescent="0.25">
      <c r="A113" t="s">
        <v>157</v>
      </c>
      <c r="B113" t="s">
        <v>173</v>
      </c>
      <c r="C113">
        <v>2282600112</v>
      </c>
      <c r="D113" t="s">
        <v>58</v>
      </c>
      <c r="E113" s="2">
        <v>0.92499999999999982</v>
      </c>
      <c r="F113" s="1">
        <v>46184</v>
      </c>
      <c r="G113" s="1">
        <v>46192</v>
      </c>
      <c r="H113" s="1">
        <v>46227</v>
      </c>
      <c r="I113" s="1">
        <v>46208</v>
      </c>
      <c r="J113">
        <v>3</v>
      </c>
      <c r="K113" s="1"/>
      <c r="L113" s="3">
        <v>0.43</v>
      </c>
      <c r="M113" s="3">
        <v>1</v>
      </c>
      <c r="N113" s="3">
        <v>0.27906976744186046</v>
      </c>
      <c r="O113" s="3">
        <v>0.18604651162790697</v>
      </c>
      <c r="P113" s="3">
        <v>0.2558139534883721</v>
      </c>
      <c r="Q113" s="3">
        <v>0.18604651162790697</v>
      </c>
      <c r="R113" s="3">
        <v>9.3023255813953487E-2</v>
      </c>
      <c r="S113" s="3">
        <v>0.09</v>
      </c>
      <c r="T113" s="3">
        <v>1</v>
      </c>
      <c r="U113" s="3">
        <v>0.22222222222222221</v>
      </c>
      <c r="V113" s="3">
        <v>0.22222222222222221</v>
      </c>
      <c r="W113" s="3">
        <v>0.1111111111111111</v>
      </c>
      <c r="X113" s="3">
        <v>0.1111111111111111</v>
      </c>
      <c r="Y113" s="3">
        <v>0.1111111111111111</v>
      </c>
      <c r="Z113" s="3">
        <v>0.22222222222222221</v>
      </c>
      <c r="AA113" s="3">
        <v>0.11</v>
      </c>
      <c r="AB113" s="3">
        <v>1</v>
      </c>
      <c r="AC113" s="3">
        <v>0.27272727272727271</v>
      </c>
      <c r="AD113" s="3">
        <v>0.27272727272727271</v>
      </c>
      <c r="AE113" s="3">
        <v>9.0909090909090912E-2</v>
      </c>
      <c r="AF113" s="3">
        <v>0.18181818181818182</v>
      </c>
      <c r="AG113" s="3">
        <v>0.18181818181818182</v>
      </c>
      <c r="AH113" s="3">
        <v>0.29499999999999987</v>
      </c>
      <c r="AI113" s="3">
        <v>0.79729729729729704</v>
      </c>
      <c r="AJ113" s="3">
        <v>5.4054054054054036E-2</v>
      </c>
      <c r="AK113" s="3">
        <v>5.4054054054054036E-2</v>
      </c>
      <c r="AL113" s="3">
        <v>2.7027027027027018E-2</v>
      </c>
      <c r="AM113" s="3">
        <v>8.1081081081081058E-2</v>
      </c>
      <c r="AN113" s="3">
        <v>8.1081081081081058E-2</v>
      </c>
      <c r="AO113" s="3">
        <v>0</v>
      </c>
      <c r="AP113" s="3">
        <v>5.4054054054054036E-2</v>
      </c>
      <c r="AQ113" s="3">
        <v>0</v>
      </c>
      <c r="AR113" s="3">
        <v>0</v>
      </c>
      <c r="AS113" s="3">
        <v>0</v>
      </c>
      <c r="AT113" s="3">
        <v>8.1081081081081058E-2</v>
      </c>
      <c r="AU113" s="3">
        <v>5.4054054054054036E-2</v>
      </c>
      <c r="AV113" s="3">
        <v>0</v>
      </c>
      <c r="AW113" s="3">
        <v>5.4054054054054036E-2</v>
      </c>
      <c r="AX113" s="3">
        <v>5.4054054054054036E-2</v>
      </c>
      <c r="AY113" s="3">
        <v>2.7027027027027018E-2</v>
      </c>
      <c r="AZ113" s="3">
        <v>0</v>
      </c>
      <c r="BA113" s="3">
        <v>5.4054054054054036E-2</v>
      </c>
      <c r="BB113" s="3">
        <v>8.1081081081081058E-2</v>
      </c>
      <c r="BC113" s="3">
        <v>1.3513513513513509E-2</v>
      </c>
      <c r="BD113" s="3">
        <v>2.7027027027027018E-2</v>
      </c>
      <c r="BE113">
        <v>28.87</v>
      </c>
      <c r="BF113" s="3" t="str">
        <f>+IF(AVANCE[[#This Row],[% AVANCE]]=100%,"MODULO TERMINADO",IF(AVANCE[[#This Row],[FECHA INICIO REAL]]="","MODULO NO INICIADO","PENDIENTE"))</f>
        <v>PENDIENTE</v>
      </c>
      <c r="BG113" s="3">
        <f>+IF(AVANCE[[#This Row],[VENTANAS]]=8.10810810810811%,100%,AVANCE[[#This Row],[VENTANAS]])</f>
        <v>1</v>
      </c>
      <c r="BH113" s="3">
        <f>+IF(AVANCE[[#This Row],[PISO]]=N$2,100%,AVANCE[[#This Row],[PISO]])</f>
        <v>1</v>
      </c>
      <c r="BI113" s="3">
        <f>+IF(AVANCE[[#This Row],[TABIQUES]]=O$2,100%,AVANCE[[#This Row],[TABIQUES]])</f>
        <v>1</v>
      </c>
      <c r="BJ113" s="3">
        <f>+IF(AVANCE[[#This Row],[MUROS]]=P$2,100%,AVANCE[[#This Row],[MUROS]])</f>
        <v>1</v>
      </c>
      <c r="BK113" s="3">
        <f>+IF(AVANCE[[#This Row],[CIELO]]=Q$2,100%,AVANCE[[#This Row],[CIELO]])</f>
        <v>1</v>
      </c>
      <c r="BL113" s="3">
        <f>+IF(AVANCE[[#This Row],[BALCÓN]]=R$2,100%,AVANCE[[#This Row],[BALCÓN]])</f>
        <v>1</v>
      </c>
      <c r="BM113" s="3">
        <f>+IF(AVANCE[[#This Row],[RED ALCANTARILLADO]]=U$2,100%,AVANCE[[#This Row],[RED ALCANTARILLADO]])</f>
        <v>1</v>
      </c>
      <c r="BN113" s="3">
        <f>+IF(AVANCE[[#This Row],[RED DE AGUA]]=V$2,100%,AVANCE[[#This Row],[RED DE AGUA]])</f>
        <v>1</v>
      </c>
      <c r="BO113" s="3">
        <f>+IF(AVANCE[[#This Row],[VENTILACIONES]]=W$2,100%,AVANCE[[#This Row],[VENTILACIONES]])</f>
        <v>1</v>
      </c>
      <c r="BP113" s="3">
        <f>+IF(AVANCE[[#This Row],[TINA]]=X$2,100%,AVANCE[[#This Row],[TINA]])</f>
        <v>1</v>
      </c>
      <c r="BQ113" s="3">
        <f>+IF(AVANCE[[#This Row],[WC]]=Y$2,100%,AVANCE[[#This Row],[WC]])</f>
        <v>1</v>
      </c>
      <c r="BR113" s="3">
        <f>+IF(AVANCE[[#This Row],[LAVAMANOS / LAVAPLATOS / LAVADERO]]=Z$2,100%,AVANCE[[#This Row],[LAVAMANOS / LAVAPLATOS / LAVADERO]])</f>
        <v>1</v>
      </c>
      <c r="BS113" s="3">
        <f>+IF(AVANCE[[#This Row],[CANALIZACIÓN]]=AC$2,100%,AVANCE[[#This Row],[CANALIZACIÓN]])</f>
        <v>1</v>
      </c>
      <c r="BT113" s="3">
        <f>+IF(AVANCE[[#This Row],[CABLEADO]]=AD$2,100%,AVANCE[[#This Row],[CABLEADO]])</f>
        <v>1</v>
      </c>
      <c r="BU113" s="3">
        <f>+IF(AVANCE[[#This Row],[ARTEFACTOS]]=AE$2,100%,AVANCE[[#This Row],[ARTEFACTOS]])</f>
        <v>1</v>
      </c>
      <c r="BV113" s="3">
        <f>+IF(AVANCE[[#This Row],[TABLERO]]=AF$2,100%,AVANCE[[#This Row],[TABLERO]])</f>
        <v>1</v>
      </c>
      <c r="BW113" s="3">
        <f>+IF(AVANCE[[#This Row],[CAJA PAU]]=AG$2,100%,AVANCE[[#This Row],[CAJA PAU]])</f>
        <v>1</v>
      </c>
      <c r="BX113" s="3">
        <f>+IF(AVANCE[[#This Row],[INSTALACION VINILICO]]=AJ$2,100%,AVANCE[[#This Row],[INSTALACION VINILICO]])</f>
        <v>1</v>
      </c>
      <c r="BY113" s="3">
        <f>+IF(AVANCE[[#This Row],[OSB CUBIERTA]]=AK$2,100%,AVANCE[[#This Row],[OSB CUBIERTA]])</f>
        <v>1</v>
      </c>
      <c r="BZ113" s="3">
        <f>+IF(AVANCE[[#This Row],[BARANDA BALCON]]=AL$2,100%,AVANCE[[#This Row],[BARANDA BALCON]])</f>
        <v>1</v>
      </c>
      <c r="CA113" s="3">
        <f>+IF(AVANCE[[#This Row],[OSB EXTERIOR]]=AM$2,100%,AVANCE[[#This Row],[OSB EXTERIOR]])</f>
        <v>1</v>
      </c>
      <c r="CB113" s="3">
        <f>+IF(AVANCE[[#This Row],[SMART PANEL]]=AN$2,100%,AVANCE[[#This Row],[SMART PANEL]])</f>
        <v>1</v>
      </c>
      <c r="CC113" s="3">
        <f>+IF(AVANCE[[#This Row],[PINTURA EXTERIOR]]=AO$2,100%,AVANCE[[#This Row],[PINTURA EXTERIOR]])</f>
        <v>0</v>
      </c>
      <c r="CD113" s="3">
        <f>+IF(AVANCE[[#This Row],[ZOCALOS LOGIA]]=AP$2,100%,AVANCE[[#This Row],[ZOCALOS LOGIA]])</f>
        <v>1</v>
      </c>
      <c r="CE113" s="3">
        <f>+IF(AVANCE[[#This Row],[MOLDURAS]]=AQ$2,100%,AVANCE[[#This Row],[MOLDURAS]])</f>
        <v>0</v>
      </c>
      <c r="CF113" s="3">
        <f>+IF(AVANCE[[#This Row],[PILASTREO]]=AR$2,100%,AVANCE[[#This Row],[PILASTREO]])</f>
        <v>0</v>
      </c>
      <c r="CG113" s="3">
        <f>+IF(AVANCE[[#This Row],[CELOSIAS]]=AS$2,100%,AVANCE[[#This Row],[CELOSIAS]])</f>
        <v>0</v>
      </c>
      <c r="CH113" s="3">
        <f>+IF(AVANCE[[#This Row],[VENTANAS]]=AT$2,100%,AVANCE[[#This Row],[VENTANAS]])</f>
        <v>1</v>
      </c>
      <c r="CI113" s="3">
        <f>+IF(AVANCE[[#This Row],[PUERTAS ACCESO - LOGIA - BANO]]=AU$2,100%,AVANCE[[#This Row],[PUERTAS ACCESO - LOGIA - BANO]])</f>
        <v>1</v>
      </c>
      <c r="CJ113" s="3">
        <f>+IF(AVANCE[[#This Row],[CERRADURAS]]=AV$2,100%,AVANCE[[#This Row],[CERRADURAS]])</f>
        <v>0</v>
      </c>
      <c r="CK113" s="3">
        <f>+IF(AVANCE[[#This Row],[REVESTIMIENTO INTERIOR ZONA SECA]]=AW$2,100%,AVANCE[[#This Row],[REVESTIMIENTO INTERIOR ZONA SECA]])</f>
        <v>1</v>
      </c>
      <c r="CL113" s="3">
        <f>+IF(AVANCE[[#This Row],[REVESTIMIENTO INTERIOR ZONAS HUMEDAS]]=AX$2,100%,AVANCE[[#This Row],[REVESTIMIENTO INTERIOR ZONAS HUMEDAS]])</f>
        <v>1</v>
      </c>
      <c r="CM113" s="3">
        <f>+IF(AVANCE[[#This Row],[MEMBRANA CIELO]]=AY$2,100%,AVANCE[[#This Row],[MEMBRANA CIELO]])</f>
        <v>1</v>
      </c>
      <c r="CN113" s="3">
        <f>+IF(AVANCE[[#This Row],[LIMPIEZA FINAL]]=AZ$2,100%,AVANCE[[#This Row],[LIMPIEZA FINAL]])</f>
        <v>0</v>
      </c>
      <c r="CO113" s="3">
        <f>+IF(AVANCE[[#This Row],[PUERTAS DORMITORIO]]=BA$2,100%,AVANCE[[#This Row],[PUERTAS DORMITORIO]])</f>
        <v>1</v>
      </c>
      <c r="CP113" s="3">
        <f>+IF(AVANCE[[#This Row],[REVESTIMIENTO INTERIOR BANO]]=BB$2,100%,AVANCE[[#This Row],[REVESTIMIENTO INTERIOR BANO]])</f>
        <v>1</v>
      </c>
      <c r="CQ113" s="3">
        <f>+IF(AVANCE[[#This Row],[MUEBLE LAVAPLATOS]]=BC$2,100%,AVANCE[[#This Row],[MUEBLE LAVAPLATOS]])</f>
        <v>1</v>
      </c>
      <c r="CR113" s="3">
        <f>+IF(AVANCE[[#This Row],[IMPERMEABILIZACION BANO - COCINA LOGIA]]=BD$2,100%,AVANCE[[#This Row],[IMPERMEABILIZACION BANO - COCINA LOGIA]])</f>
        <v>1</v>
      </c>
      <c r="CS113" s="40">
        <f ca="1">+IF(AVANCE[[#This Row],[ESTADO MODULO]]="PENDIENTE",(TODAY()-AVANCE[[#This Row],[FECHA TERMINO  PLANIFICADO]]),0)</f>
        <v>22</v>
      </c>
      <c r="CT113" s="41" t="str" cm="1">
        <f t="array" ref="CT113">_xlfn.TEXTJOIN(" | ",TRUE,IF(SUMPRODUCT((BG113:CR113&lt;1)*(PARTIDAS!$I$2:$AT$2="OBRA GRUESA"))&gt;0,"OBRA GRUESA: "&amp;_xlfn.TEXTJOIN(", ",TRUE,IF((BG113:CR113&lt;1)*(PARTIDAS!$I$2:$AT$2="OBRA GRUESA"),PARTIDAS!$I$1:$AT$1,"")),""),IF(SUMPRODUCT((BG113:CR113&lt;1)*(PARTIDAS!$I$2:$AT$2="SANITARIOS"))&gt;0,"SANITARIOS: "&amp;_xlfn.TEXTJOIN(", ",TRUE,IF((BG113:CR113&lt;1)*(PARTIDAS!$I$2:$AT$2="SANITARIOS"),PARTIDAS!$I$1:$AT$1,"")),""),IF(SUMPRODUCT((BG113:CR113&lt;1)*(PARTIDAS!$I$2:$AT$2="ELÉCTRICO"))&gt;0,"ELÉCTRICO: "&amp;_xlfn.TEXTJOIN(", ",TRUE,IF((BG113:CR113&lt;1)*(PARTIDAS!$I$2:$AT$2="ELÉCTRICO"),PARTIDAS!$I$1:$AT$1,"")),""),IF(SUMPRODUCT((BG113:CR113&lt;1)*(PARTIDAS!$I$2:$AT$2="TERMINACIONES"))&gt;0,"TERMINACIONES: "&amp;_xlfn.TEXTJOIN(", ",TRUE,IF((BG113:CR113&lt;1)*(PARTIDAS!$I$2:$AT$2="TERMINACIONES"),PARTIDAS!$I$1:$AT$1,"")),""))</f>
        <v>TERMINACIONES: PINTURA EXTERIOR, MOLDURAS, PILASTREO, CELOSIAS, CERRADURAS, LIMPIEZA FINAL</v>
      </c>
      <c r="CU113" s="43" t="str" cm="1">
        <f t="array" ref="CU113">_xlfn.TEXTJOIN(", ",TRUE,IF(SUMPRODUCT((BG113:CR113&lt;1)*(PARTIDAS!$I$2:$AT$2="OBRA GRUESA"))&gt;0,"OBRA GRUESA",""),IF(SUMPRODUCT((BG113:CR113&lt;1)*(PARTIDAS!$I$2:$AT$2="SANITARIOS"))&gt;0,"SANITARIOS",""),IF(SUMPRODUCT((BG113:CR113&lt;1)*(PARTIDAS!$I$2:$AT$2="ELÉCTRICO"))&gt;0,"ELÉCTRICO",""),IF(SUMPRODUCT((BG113:CR113&lt;1)*(PARTIDAS!$I$2:$AT$2="TERMINACIONES"))&gt;0,"TERMINACIONES",""))</f>
        <v>TERMINACIONES</v>
      </c>
      <c r="CV113" s="44" cm="1">
        <f t="array" ref="CV113">SUMPRODUCT(--(BG113:CR113&lt;1))</f>
        <v>6</v>
      </c>
    </row>
    <row r="114" spans="1:100" hidden="1" x14ac:dyDescent="0.25">
      <c r="A114" t="s">
        <v>157</v>
      </c>
      <c r="B114" t="s">
        <v>174</v>
      </c>
      <c r="C114">
        <v>2282600113</v>
      </c>
      <c r="D114" t="s">
        <v>58</v>
      </c>
      <c r="E114" s="2">
        <v>0.8949999999999998</v>
      </c>
      <c r="F114" s="1">
        <v>46185</v>
      </c>
      <c r="G114" s="1">
        <v>46198</v>
      </c>
      <c r="H114" s="1">
        <v>46227</v>
      </c>
      <c r="I114" s="1">
        <v>46209</v>
      </c>
      <c r="J114">
        <v>3</v>
      </c>
      <c r="K114" s="1"/>
      <c r="L114" s="3">
        <v>0.43</v>
      </c>
      <c r="M114" s="3">
        <v>1</v>
      </c>
      <c r="N114" s="3">
        <v>0.27906976744186046</v>
      </c>
      <c r="O114" s="3">
        <v>0.18604651162790697</v>
      </c>
      <c r="P114" s="3">
        <v>0.2558139534883721</v>
      </c>
      <c r="Q114" s="3">
        <v>0.18604651162790697</v>
      </c>
      <c r="R114" s="3">
        <v>9.3023255813953487E-2</v>
      </c>
      <c r="S114" s="3">
        <v>0.09</v>
      </c>
      <c r="T114" s="3">
        <v>1</v>
      </c>
      <c r="U114" s="3">
        <v>0.22222222222222221</v>
      </c>
      <c r="V114" s="3">
        <v>0.22222222222222221</v>
      </c>
      <c r="W114" s="3">
        <v>0.1111111111111111</v>
      </c>
      <c r="X114" s="3">
        <v>0.1111111111111111</v>
      </c>
      <c r="Y114" s="3">
        <v>0.1111111111111111</v>
      </c>
      <c r="Z114" s="3">
        <v>0.22222222222222221</v>
      </c>
      <c r="AA114" s="3">
        <v>6.9999999999999993E-2</v>
      </c>
      <c r="AB114" s="3">
        <v>0.63636363636363635</v>
      </c>
      <c r="AC114" s="3">
        <v>0.27272727272727271</v>
      </c>
      <c r="AD114" s="3">
        <v>0</v>
      </c>
      <c r="AE114" s="3">
        <v>0</v>
      </c>
      <c r="AF114" s="3">
        <v>0.18181818181818182</v>
      </c>
      <c r="AG114" s="3">
        <v>0.18181818181818182</v>
      </c>
      <c r="AH114" s="3">
        <v>0.30499999999999988</v>
      </c>
      <c r="AI114" s="3">
        <v>0.82432432432432401</v>
      </c>
      <c r="AJ114" s="3">
        <v>5.4054054054054036E-2</v>
      </c>
      <c r="AK114" s="3">
        <v>5.4054054054054036E-2</v>
      </c>
      <c r="AL114" s="3">
        <v>2.7027027027027018E-2</v>
      </c>
      <c r="AM114" s="3">
        <v>8.1081081081081058E-2</v>
      </c>
      <c r="AN114" s="3">
        <v>8.1081081081081058E-2</v>
      </c>
      <c r="AO114" s="3">
        <v>0</v>
      </c>
      <c r="AP114" s="3">
        <v>5.4054054054054036E-2</v>
      </c>
      <c r="AQ114" s="3">
        <v>0</v>
      </c>
      <c r="AR114" s="3">
        <v>0</v>
      </c>
      <c r="AS114" s="3">
        <v>0</v>
      </c>
      <c r="AT114" s="3">
        <v>8.1081081081081058E-2</v>
      </c>
      <c r="AU114" s="3">
        <v>5.4054054054054036E-2</v>
      </c>
      <c r="AV114" s="3">
        <v>2.7027027027027018E-2</v>
      </c>
      <c r="AW114" s="3">
        <v>5.4054054054054036E-2</v>
      </c>
      <c r="AX114" s="3">
        <v>5.4054054054054036E-2</v>
      </c>
      <c r="AY114" s="3">
        <v>2.7027027027027018E-2</v>
      </c>
      <c r="AZ114" s="3">
        <v>0</v>
      </c>
      <c r="BA114" s="3">
        <v>5.4054054054054036E-2</v>
      </c>
      <c r="BB114" s="3">
        <v>8.1081081081081058E-2</v>
      </c>
      <c r="BC114" s="3">
        <v>1.3513513513513509E-2</v>
      </c>
      <c r="BD114" s="3">
        <v>2.7027027027027018E-2</v>
      </c>
      <c r="BE114">
        <v>28.87</v>
      </c>
      <c r="BF114" s="3" t="str">
        <f>+IF(AVANCE[[#This Row],[% AVANCE]]=100%,"MODULO TERMINADO",IF(AVANCE[[#This Row],[FECHA INICIO REAL]]="","MODULO NO INICIADO","PENDIENTE"))</f>
        <v>PENDIENTE</v>
      </c>
      <c r="BG114" s="3">
        <f>+IF(AVANCE[[#This Row],[VENTANAS]]=8.10810810810811%,100%,AVANCE[[#This Row],[VENTANAS]])</f>
        <v>1</v>
      </c>
      <c r="BH114" s="3">
        <f>+IF(AVANCE[[#This Row],[PISO]]=N$2,100%,AVANCE[[#This Row],[PISO]])</f>
        <v>1</v>
      </c>
      <c r="BI114" s="3">
        <f>+IF(AVANCE[[#This Row],[TABIQUES]]=O$2,100%,AVANCE[[#This Row],[TABIQUES]])</f>
        <v>1</v>
      </c>
      <c r="BJ114" s="3">
        <f>+IF(AVANCE[[#This Row],[MUROS]]=P$2,100%,AVANCE[[#This Row],[MUROS]])</f>
        <v>1</v>
      </c>
      <c r="BK114" s="3">
        <f>+IF(AVANCE[[#This Row],[CIELO]]=Q$2,100%,AVANCE[[#This Row],[CIELO]])</f>
        <v>1</v>
      </c>
      <c r="BL114" s="3">
        <f>+IF(AVANCE[[#This Row],[BALCÓN]]=R$2,100%,AVANCE[[#This Row],[BALCÓN]])</f>
        <v>1</v>
      </c>
      <c r="BM114" s="3">
        <f>+IF(AVANCE[[#This Row],[RED ALCANTARILLADO]]=U$2,100%,AVANCE[[#This Row],[RED ALCANTARILLADO]])</f>
        <v>1</v>
      </c>
      <c r="BN114" s="3">
        <f>+IF(AVANCE[[#This Row],[RED DE AGUA]]=V$2,100%,AVANCE[[#This Row],[RED DE AGUA]])</f>
        <v>1</v>
      </c>
      <c r="BO114" s="3">
        <f>+IF(AVANCE[[#This Row],[VENTILACIONES]]=W$2,100%,AVANCE[[#This Row],[VENTILACIONES]])</f>
        <v>1</v>
      </c>
      <c r="BP114" s="3">
        <f>+IF(AVANCE[[#This Row],[TINA]]=X$2,100%,AVANCE[[#This Row],[TINA]])</f>
        <v>1</v>
      </c>
      <c r="BQ114" s="3">
        <f>+IF(AVANCE[[#This Row],[WC]]=Y$2,100%,AVANCE[[#This Row],[WC]])</f>
        <v>1</v>
      </c>
      <c r="BR114" s="3">
        <f>+IF(AVANCE[[#This Row],[LAVAMANOS / LAVAPLATOS / LAVADERO]]=Z$2,100%,AVANCE[[#This Row],[LAVAMANOS / LAVAPLATOS / LAVADERO]])</f>
        <v>1</v>
      </c>
      <c r="BS114" s="3">
        <f>+IF(AVANCE[[#This Row],[CANALIZACIÓN]]=AC$2,100%,AVANCE[[#This Row],[CANALIZACIÓN]])</f>
        <v>1</v>
      </c>
      <c r="BT114" s="3">
        <f>+IF(AVANCE[[#This Row],[CABLEADO]]=AD$2,100%,AVANCE[[#This Row],[CABLEADO]])</f>
        <v>0</v>
      </c>
      <c r="BU114" s="3">
        <f>+IF(AVANCE[[#This Row],[ARTEFACTOS]]=AE$2,100%,AVANCE[[#This Row],[ARTEFACTOS]])</f>
        <v>0</v>
      </c>
      <c r="BV114" s="3">
        <f>+IF(AVANCE[[#This Row],[TABLERO]]=AF$2,100%,AVANCE[[#This Row],[TABLERO]])</f>
        <v>1</v>
      </c>
      <c r="BW114" s="3">
        <f>+IF(AVANCE[[#This Row],[CAJA PAU]]=AG$2,100%,AVANCE[[#This Row],[CAJA PAU]])</f>
        <v>1</v>
      </c>
      <c r="BX114" s="3">
        <f>+IF(AVANCE[[#This Row],[INSTALACION VINILICO]]=AJ$2,100%,AVANCE[[#This Row],[INSTALACION VINILICO]])</f>
        <v>1</v>
      </c>
      <c r="BY114" s="3">
        <f>+IF(AVANCE[[#This Row],[OSB CUBIERTA]]=AK$2,100%,AVANCE[[#This Row],[OSB CUBIERTA]])</f>
        <v>1</v>
      </c>
      <c r="BZ114" s="3">
        <f>+IF(AVANCE[[#This Row],[BARANDA BALCON]]=AL$2,100%,AVANCE[[#This Row],[BARANDA BALCON]])</f>
        <v>1</v>
      </c>
      <c r="CA114" s="3">
        <f>+IF(AVANCE[[#This Row],[OSB EXTERIOR]]=AM$2,100%,AVANCE[[#This Row],[OSB EXTERIOR]])</f>
        <v>1</v>
      </c>
      <c r="CB114" s="3">
        <f>+IF(AVANCE[[#This Row],[SMART PANEL]]=AN$2,100%,AVANCE[[#This Row],[SMART PANEL]])</f>
        <v>1</v>
      </c>
      <c r="CC114" s="3">
        <f>+IF(AVANCE[[#This Row],[PINTURA EXTERIOR]]=AO$2,100%,AVANCE[[#This Row],[PINTURA EXTERIOR]])</f>
        <v>0</v>
      </c>
      <c r="CD114" s="3">
        <f>+IF(AVANCE[[#This Row],[ZOCALOS LOGIA]]=AP$2,100%,AVANCE[[#This Row],[ZOCALOS LOGIA]])</f>
        <v>1</v>
      </c>
      <c r="CE114" s="3">
        <f>+IF(AVANCE[[#This Row],[MOLDURAS]]=AQ$2,100%,AVANCE[[#This Row],[MOLDURAS]])</f>
        <v>0</v>
      </c>
      <c r="CF114" s="3">
        <f>+IF(AVANCE[[#This Row],[PILASTREO]]=AR$2,100%,AVANCE[[#This Row],[PILASTREO]])</f>
        <v>0</v>
      </c>
      <c r="CG114" s="3">
        <f>+IF(AVANCE[[#This Row],[CELOSIAS]]=AS$2,100%,AVANCE[[#This Row],[CELOSIAS]])</f>
        <v>0</v>
      </c>
      <c r="CH114" s="3">
        <f>+IF(AVANCE[[#This Row],[VENTANAS]]=AT$2,100%,AVANCE[[#This Row],[VENTANAS]])</f>
        <v>1</v>
      </c>
      <c r="CI114" s="3">
        <f>+IF(AVANCE[[#This Row],[PUERTAS ACCESO - LOGIA - BANO]]=AU$2,100%,AVANCE[[#This Row],[PUERTAS ACCESO - LOGIA - BANO]])</f>
        <v>1</v>
      </c>
      <c r="CJ114" s="3">
        <f>+IF(AVANCE[[#This Row],[CERRADURAS]]=AV$2,100%,AVANCE[[#This Row],[CERRADURAS]])</f>
        <v>1</v>
      </c>
      <c r="CK114" s="3">
        <f>+IF(AVANCE[[#This Row],[REVESTIMIENTO INTERIOR ZONA SECA]]=AW$2,100%,AVANCE[[#This Row],[REVESTIMIENTO INTERIOR ZONA SECA]])</f>
        <v>1</v>
      </c>
      <c r="CL114" s="3">
        <f>+IF(AVANCE[[#This Row],[REVESTIMIENTO INTERIOR ZONAS HUMEDAS]]=AX$2,100%,AVANCE[[#This Row],[REVESTIMIENTO INTERIOR ZONAS HUMEDAS]])</f>
        <v>1</v>
      </c>
      <c r="CM114" s="3">
        <f>+IF(AVANCE[[#This Row],[MEMBRANA CIELO]]=AY$2,100%,AVANCE[[#This Row],[MEMBRANA CIELO]])</f>
        <v>1</v>
      </c>
      <c r="CN114" s="3">
        <f>+IF(AVANCE[[#This Row],[LIMPIEZA FINAL]]=AZ$2,100%,AVANCE[[#This Row],[LIMPIEZA FINAL]])</f>
        <v>0</v>
      </c>
      <c r="CO114" s="3">
        <f>+IF(AVANCE[[#This Row],[PUERTAS DORMITORIO]]=BA$2,100%,AVANCE[[#This Row],[PUERTAS DORMITORIO]])</f>
        <v>1</v>
      </c>
      <c r="CP114" s="3">
        <f>+IF(AVANCE[[#This Row],[REVESTIMIENTO INTERIOR BANO]]=BB$2,100%,AVANCE[[#This Row],[REVESTIMIENTO INTERIOR BANO]])</f>
        <v>1</v>
      </c>
      <c r="CQ114" s="3">
        <f>+IF(AVANCE[[#This Row],[MUEBLE LAVAPLATOS]]=BC$2,100%,AVANCE[[#This Row],[MUEBLE LAVAPLATOS]])</f>
        <v>1</v>
      </c>
      <c r="CR114" s="3">
        <f>+IF(AVANCE[[#This Row],[IMPERMEABILIZACION BANO - COCINA LOGIA]]=BD$2,100%,AVANCE[[#This Row],[IMPERMEABILIZACION BANO - COCINA LOGIA]])</f>
        <v>1</v>
      </c>
      <c r="CS114" s="40">
        <f ca="1">+IF(AVANCE[[#This Row],[ESTADO MODULO]]="PENDIENTE",(TODAY()-AVANCE[[#This Row],[FECHA TERMINO  PLANIFICADO]]),0)</f>
        <v>21</v>
      </c>
      <c r="CT114" s="41" t="str" cm="1">
        <f t="array" ref="CT114">_xlfn.TEXTJOIN(" | ",TRUE,IF(SUMPRODUCT((BG114:CR114&lt;1)*(PARTIDAS!$I$2:$AT$2="OBRA GRUESA"))&gt;0,"OBRA GRUESA: "&amp;_xlfn.TEXTJOIN(", ",TRUE,IF((BG114:CR114&lt;1)*(PARTIDAS!$I$2:$AT$2="OBRA GRUESA"),PARTIDAS!$I$1:$AT$1,"")),""),IF(SUMPRODUCT((BG114:CR114&lt;1)*(PARTIDAS!$I$2:$AT$2="SANITARIOS"))&gt;0,"SANITARIOS: "&amp;_xlfn.TEXTJOIN(", ",TRUE,IF((BG114:CR114&lt;1)*(PARTIDAS!$I$2:$AT$2="SANITARIOS"),PARTIDAS!$I$1:$AT$1,"")),""),IF(SUMPRODUCT((BG114:CR114&lt;1)*(PARTIDAS!$I$2:$AT$2="ELÉCTRICO"))&gt;0,"ELÉCTRICO: "&amp;_xlfn.TEXTJOIN(", ",TRUE,IF((BG114:CR114&lt;1)*(PARTIDAS!$I$2:$AT$2="ELÉCTRICO"),PARTIDAS!$I$1:$AT$1,"")),""),IF(SUMPRODUCT((BG114:CR114&lt;1)*(PARTIDAS!$I$2:$AT$2="TERMINACIONES"))&gt;0,"TERMINACIONES: "&amp;_xlfn.TEXTJOIN(", ",TRUE,IF((BG114:CR114&lt;1)*(PARTIDAS!$I$2:$AT$2="TERMINACIONES"),PARTIDAS!$I$1:$AT$1,"")),""))</f>
        <v>ELÉCTRICO: CABLEADO, ARTEFACTOS | TERMINACIONES: PINTURA EXTERIOR, MOLDURAS, PILASTREO, CELOSIAS, LIMPIEZA FINAL</v>
      </c>
      <c r="CU114" s="43" t="str" cm="1">
        <f t="array" ref="CU114">_xlfn.TEXTJOIN(", ",TRUE,IF(SUMPRODUCT((BG114:CR114&lt;1)*(PARTIDAS!$I$2:$AT$2="OBRA GRUESA"))&gt;0,"OBRA GRUESA",""),IF(SUMPRODUCT((BG114:CR114&lt;1)*(PARTIDAS!$I$2:$AT$2="SANITARIOS"))&gt;0,"SANITARIOS",""),IF(SUMPRODUCT((BG114:CR114&lt;1)*(PARTIDAS!$I$2:$AT$2="ELÉCTRICO"))&gt;0,"ELÉCTRICO",""),IF(SUMPRODUCT((BG114:CR114&lt;1)*(PARTIDAS!$I$2:$AT$2="TERMINACIONES"))&gt;0,"TERMINACIONES",""))</f>
        <v>ELÉCTRICO, TERMINACIONES</v>
      </c>
      <c r="CV114" s="44" cm="1">
        <f t="array" ref="CV114">SUMPRODUCT(--(BG114:CR114&lt;1))</f>
        <v>7</v>
      </c>
    </row>
    <row r="115" spans="1:100" hidden="1" x14ac:dyDescent="0.25">
      <c r="A115" t="s">
        <v>157</v>
      </c>
      <c r="B115" t="s">
        <v>175</v>
      </c>
      <c r="C115">
        <v>2302600114</v>
      </c>
      <c r="D115" t="s">
        <v>60</v>
      </c>
      <c r="E115" s="2">
        <v>0.73</v>
      </c>
      <c r="F115" s="1">
        <v>46185</v>
      </c>
      <c r="G115" s="1">
        <v>46198</v>
      </c>
      <c r="H115" s="1">
        <v>46227</v>
      </c>
      <c r="I115" s="1">
        <v>46219</v>
      </c>
      <c r="J115">
        <v>3</v>
      </c>
      <c r="K115" s="1"/>
      <c r="L115" s="3">
        <v>0.43</v>
      </c>
      <c r="M115" s="3">
        <v>1</v>
      </c>
      <c r="N115" s="3">
        <v>0.27906976744186046</v>
      </c>
      <c r="O115" s="3">
        <v>0.18604651162790697</v>
      </c>
      <c r="P115" s="3">
        <v>0.2558139534883721</v>
      </c>
      <c r="Q115" s="3">
        <v>0.18604651162790697</v>
      </c>
      <c r="R115" s="3">
        <v>9.3023255813953487E-2</v>
      </c>
      <c r="S115" s="3">
        <v>0.05</v>
      </c>
      <c r="T115" s="3">
        <v>0.55555555555555558</v>
      </c>
      <c r="U115" s="3">
        <v>0.22222222222222221</v>
      </c>
      <c r="V115" s="3">
        <v>0.22222222222222221</v>
      </c>
      <c r="W115" s="3">
        <v>0</v>
      </c>
      <c r="X115" s="3">
        <v>0.1111111111111111</v>
      </c>
      <c r="Y115" s="3">
        <v>0</v>
      </c>
      <c r="Z115" s="3">
        <v>0</v>
      </c>
      <c r="AA115" s="3">
        <v>0.06</v>
      </c>
      <c r="AB115" s="3">
        <v>0.54545454545454541</v>
      </c>
      <c r="AC115" s="3">
        <v>0.27272727272727271</v>
      </c>
      <c r="AD115" s="3">
        <v>0.27272727272727271</v>
      </c>
      <c r="AE115" s="3">
        <v>0</v>
      </c>
      <c r="AF115" s="3">
        <v>0</v>
      </c>
      <c r="AG115" s="3">
        <v>0</v>
      </c>
      <c r="AH115" s="3">
        <v>0.18999999999999995</v>
      </c>
      <c r="AI115" s="3">
        <v>0.51351351351351338</v>
      </c>
      <c r="AJ115" s="3">
        <v>5.4054054054054036E-2</v>
      </c>
      <c r="AK115" s="3">
        <v>5.4054054054054036E-2</v>
      </c>
      <c r="AL115" s="3">
        <v>0</v>
      </c>
      <c r="AM115" s="3">
        <v>8.1081081081081058E-2</v>
      </c>
      <c r="AN115" s="3">
        <v>8.1081081081081058E-2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5.4054054054054036E-2</v>
      </c>
      <c r="AV115" s="3">
        <v>2.7027027027027018E-2</v>
      </c>
      <c r="AW115" s="3">
        <v>0</v>
      </c>
      <c r="AX115" s="3">
        <v>5.4054054054054036E-2</v>
      </c>
      <c r="AY115" s="3">
        <v>2.7027027027027018E-2</v>
      </c>
      <c r="AZ115" s="3">
        <v>0</v>
      </c>
      <c r="BA115" s="3">
        <v>5.4054054054054036E-2</v>
      </c>
      <c r="BB115" s="3">
        <v>0</v>
      </c>
      <c r="BC115" s="3">
        <v>0</v>
      </c>
      <c r="BD115" s="3">
        <v>2.7027027027027018E-2</v>
      </c>
      <c r="BE115">
        <v>31.32</v>
      </c>
      <c r="BF115" s="3" t="str">
        <f>+IF(AVANCE[[#This Row],[% AVANCE]]=100%,"MODULO TERMINADO",IF(AVANCE[[#This Row],[FECHA INICIO REAL]]="","MODULO NO INICIADO","PENDIENTE"))</f>
        <v>PENDIENTE</v>
      </c>
      <c r="BG115" s="3">
        <f>+IF(AVANCE[[#This Row],[VENTANAS]]=8.10810810810811%,100%,AVANCE[[#This Row],[VENTANAS]])</f>
        <v>0</v>
      </c>
      <c r="BH115" s="3">
        <f>+IF(AVANCE[[#This Row],[PISO]]=N$2,100%,AVANCE[[#This Row],[PISO]])</f>
        <v>1</v>
      </c>
      <c r="BI115" s="3">
        <f>+IF(AVANCE[[#This Row],[TABIQUES]]=O$2,100%,AVANCE[[#This Row],[TABIQUES]])</f>
        <v>1</v>
      </c>
      <c r="BJ115" s="3">
        <f>+IF(AVANCE[[#This Row],[MUROS]]=P$2,100%,AVANCE[[#This Row],[MUROS]])</f>
        <v>1</v>
      </c>
      <c r="BK115" s="3">
        <f>+IF(AVANCE[[#This Row],[CIELO]]=Q$2,100%,AVANCE[[#This Row],[CIELO]])</f>
        <v>1</v>
      </c>
      <c r="BL115" s="3">
        <f>+IF(AVANCE[[#This Row],[BALCÓN]]=R$2,100%,AVANCE[[#This Row],[BALCÓN]])</f>
        <v>1</v>
      </c>
      <c r="BM115" s="3">
        <f>+IF(AVANCE[[#This Row],[RED ALCANTARILLADO]]=U$2,100%,AVANCE[[#This Row],[RED ALCANTARILLADO]])</f>
        <v>1</v>
      </c>
      <c r="BN115" s="3">
        <f>+IF(AVANCE[[#This Row],[RED DE AGUA]]=V$2,100%,AVANCE[[#This Row],[RED DE AGUA]])</f>
        <v>1</v>
      </c>
      <c r="BO115" s="3">
        <f>+IF(AVANCE[[#This Row],[VENTILACIONES]]=W$2,100%,AVANCE[[#This Row],[VENTILACIONES]])</f>
        <v>0</v>
      </c>
      <c r="BP115" s="3">
        <f>+IF(AVANCE[[#This Row],[TINA]]=X$2,100%,AVANCE[[#This Row],[TINA]])</f>
        <v>1</v>
      </c>
      <c r="BQ115" s="3">
        <f>+IF(AVANCE[[#This Row],[WC]]=Y$2,100%,AVANCE[[#This Row],[WC]])</f>
        <v>0</v>
      </c>
      <c r="BR115" s="3">
        <f>+IF(AVANCE[[#This Row],[LAVAMANOS / LAVAPLATOS / LAVADERO]]=Z$2,100%,AVANCE[[#This Row],[LAVAMANOS / LAVAPLATOS / LAVADERO]])</f>
        <v>0</v>
      </c>
      <c r="BS115" s="3">
        <f>+IF(AVANCE[[#This Row],[CANALIZACIÓN]]=AC$2,100%,AVANCE[[#This Row],[CANALIZACIÓN]])</f>
        <v>1</v>
      </c>
      <c r="BT115" s="3">
        <f>+IF(AVANCE[[#This Row],[CABLEADO]]=AD$2,100%,AVANCE[[#This Row],[CABLEADO]])</f>
        <v>1</v>
      </c>
      <c r="BU115" s="3">
        <f>+IF(AVANCE[[#This Row],[ARTEFACTOS]]=AE$2,100%,AVANCE[[#This Row],[ARTEFACTOS]])</f>
        <v>0</v>
      </c>
      <c r="BV115" s="3">
        <f>+IF(AVANCE[[#This Row],[TABLERO]]=AF$2,100%,AVANCE[[#This Row],[TABLERO]])</f>
        <v>0</v>
      </c>
      <c r="BW115" s="3">
        <f>+IF(AVANCE[[#This Row],[CAJA PAU]]=AG$2,100%,AVANCE[[#This Row],[CAJA PAU]])</f>
        <v>0</v>
      </c>
      <c r="BX115" s="3">
        <f>+IF(AVANCE[[#This Row],[INSTALACION VINILICO]]=AJ$2,100%,AVANCE[[#This Row],[INSTALACION VINILICO]])</f>
        <v>1</v>
      </c>
      <c r="BY115" s="3">
        <f>+IF(AVANCE[[#This Row],[OSB CUBIERTA]]=AK$2,100%,AVANCE[[#This Row],[OSB CUBIERTA]])</f>
        <v>1</v>
      </c>
      <c r="BZ115" s="3">
        <f>+IF(AVANCE[[#This Row],[BARANDA BALCON]]=AL$2,100%,AVANCE[[#This Row],[BARANDA BALCON]])</f>
        <v>0</v>
      </c>
      <c r="CA115" s="3">
        <f>+IF(AVANCE[[#This Row],[OSB EXTERIOR]]=AM$2,100%,AVANCE[[#This Row],[OSB EXTERIOR]])</f>
        <v>1</v>
      </c>
      <c r="CB115" s="3">
        <f>+IF(AVANCE[[#This Row],[SMART PANEL]]=AN$2,100%,AVANCE[[#This Row],[SMART PANEL]])</f>
        <v>1</v>
      </c>
      <c r="CC115" s="3">
        <f>+IF(AVANCE[[#This Row],[PINTURA EXTERIOR]]=AO$2,100%,AVANCE[[#This Row],[PINTURA EXTERIOR]])</f>
        <v>0</v>
      </c>
      <c r="CD115" s="3">
        <f>+IF(AVANCE[[#This Row],[ZOCALOS LOGIA]]=AP$2,100%,AVANCE[[#This Row],[ZOCALOS LOGIA]])</f>
        <v>0</v>
      </c>
      <c r="CE115" s="3">
        <f>+IF(AVANCE[[#This Row],[MOLDURAS]]=AQ$2,100%,AVANCE[[#This Row],[MOLDURAS]])</f>
        <v>0</v>
      </c>
      <c r="CF115" s="3">
        <f>+IF(AVANCE[[#This Row],[PILASTREO]]=AR$2,100%,AVANCE[[#This Row],[PILASTREO]])</f>
        <v>0</v>
      </c>
      <c r="CG115" s="3">
        <f>+IF(AVANCE[[#This Row],[CELOSIAS]]=AS$2,100%,AVANCE[[#This Row],[CELOSIAS]])</f>
        <v>0</v>
      </c>
      <c r="CH115" s="3">
        <f>+IF(AVANCE[[#This Row],[VENTANAS]]=AT$2,100%,AVANCE[[#This Row],[VENTANAS]])</f>
        <v>0</v>
      </c>
      <c r="CI115" s="3">
        <f>+IF(AVANCE[[#This Row],[PUERTAS ACCESO - LOGIA - BANO]]=AU$2,100%,AVANCE[[#This Row],[PUERTAS ACCESO - LOGIA - BANO]])</f>
        <v>1</v>
      </c>
      <c r="CJ115" s="3">
        <f>+IF(AVANCE[[#This Row],[CERRADURAS]]=AV$2,100%,AVANCE[[#This Row],[CERRADURAS]])</f>
        <v>1</v>
      </c>
      <c r="CK115" s="3">
        <f>+IF(AVANCE[[#This Row],[REVESTIMIENTO INTERIOR ZONA SECA]]=AW$2,100%,AVANCE[[#This Row],[REVESTIMIENTO INTERIOR ZONA SECA]])</f>
        <v>0</v>
      </c>
      <c r="CL115" s="3">
        <f>+IF(AVANCE[[#This Row],[REVESTIMIENTO INTERIOR ZONAS HUMEDAS]]=AX$2,100%,AVANCE[[#This Row],[REVESTIMIENTO INTERIOR ZONAS HUMEDAS]])</f>
        <v>1</v>
      </c>
      <c r="CM115" s="3">
        <f>+IF(AVANCE[[#This Row],[MEMBRANA CIELO]]=AY$2,100%,AVANCE[[#This Row],[MEMBRANA CIELO]])</f>
        <v>1</v>
      </c>
      <c r="CN115" s="3">
        <f>+IF(AVANCE[[#This Row],[LIMPIEZA FINAL]]=AZ$2,100%,AVANCE[[#This Row],[LIMPIEZA FINAL]])</f>
        <v>0</v>
      </c>
      <c r="CO115" s="3">
        <f>+IF(AVANCE[[#This Row],[PUERTAS DORMITORIO]]=BA$2,100%,AVANCE[[#This Row],[PUERTAS DORMITORIO]])</f>
        <v>1</v>
      </c>
      <c r="CP115" s="3">
        <f>+IF(AVANCE[[#This Row],[REVESTIMIENTO INTERIOR BANO]]=BB$2,100%,AVANCE[[#This Row],[REVESTIMIENTO INTERIOR BANO]])</f>
        <v>0</v>
      </c>
      <c r="CQ115" s="3">
        <f>+IF(AVANCE[[#This Row],[MUEBLE LAVAPLATOS]]=BC$2,100%,AVANCE[[#This Row],[MUEBLE LAVAPLATOS]])</f>
        <v>0</v>
      </c>
      <c r="CR115" s="3">
        <f>+IF(AVANCE[[#This Row],[IMPERMEABILIZACION BANO - COCINA LOGIA]]=BD$2,100%,AVANCE[[#This Row],[IMPERMEABILIZACION BANO - COCINA LOGIA]])</f>
        <v>1</v>
      </c>
      <c r="CS115" s="40">
        <f ca="1">+IF(AVANCE[[#This Row],[ESTADO MODULO]]="PENDIENTE",(TODAY()-AVANCE[[#This Row],[FECHA TERMINO  PLANIFICADO]]),0)</f>
        <v>11</v>
      </c>
      <c r="CT115" s="41" t="str" cm="1">
        <f t="array" ref="CT115">_xlfn.TEXTJOIN(" | ",TRUE,IF(SUMPRODUCT((BG115:CR115&lt;1)*(PARTIDAS!$I$2:$AT$2="OBRA GRUESA"))&gt;0,"OBRA GRUESA: "&amp;_xlfn.TEXTJOIN(", ",TRUE,IF((BG115:CR115&lt;1)*(PARTIDAS!$I$2:$AT$2="OBRA GRUESA"),PARTIDAS!$I$1:$AT$1,"")),""),IF(SUMPRODUCT((BG115:CR115&lt;1)*(PARTIDAS!$I$2:$AT$2="SANITARIOS"))&gt;0,"SANITARIOS: "&amp;_xlfn.TEXTJOIN(", ",TRUE,IF((BG115:CR115&lt;1)*(PARTIDAS!$I$2:$AT$2="SANITARIOS"),PARTIDAS!$I$1:$AT$1,"")),""),IF(SUMPRODUCT((BG115:CR115&lt;1)*(PARTIDAS!$I$2:$AT$2="ELÉCTRICO"))&gt;0,"ELÉCTRICO: "&amp;_xlfn.TEXTJOIN(", ",TRUE,IF((BG115:CR115&lt;1)*(PARTIDAS!$I$2:$AT$2="ELÉCTRICO"),PARTIDAS!$I$1:$AT$1,"")),""),IF(SUMPRODUCT((BG115:CR115&lt;1)*(PARTIDAS!$I$2:$AT$2="TERMINACIONES"))&gt;0,"TERMINACIONES: "&amp;_xlfn.TEXTJOIN(", ",TRUE,IF((BG115:CR115&lt;1)*(PARTIDAS!$I$2:$AT$2="TERMINACIONES"),PARTIDAS!$I$1:$AT$1,"")),""))</f>
        <v>SANITARIOS: VENTILACIONES, WC, LAVAMANOS / LAVAPLATOS / LAVADERO | ELÉCTRICO: ARTEFACTOS, TABLERO, CAJA PAU | TERMINACIONES: VENTANAS, BARANDA BALCON, PINTURA EXTERIOR, ZOCALOS LOGIA, MOLDURAS, PILASTREO, CELOSIAS, VENTANAS (TERM), REVESTIMIENTO INTERIOR ZONA SECA, LIMPIEZA FINAL, REVESTIMIENTO INTERIOR BANO, MUEBLE LAVAPLATOS</v>
      </c>
      <c r="CU115" s="43" t="str" cm="1">
        <f t="array" ref="CU115">_xlfn.TEXTJOIN(", ",TRUE,IF(SUMPRODUCT((BG115:CR115&lt;1)*(PARTIDAS!$I$2:$AT$2="OBRA GRUESA"))&gt;0,"OBRA GRUESA",""),IF(SUMPRODUCT((BG115:CR115&lt;1)*(PARTIDAS!$I$2:$AT$2="SANITARIOS"))&gt;0,"SANITARIOS",""),IF(SUMPRODUCT((BG115:CR115&lt;1)*(PARTIDAS!$I$2:$AT$2="ELÉCTRICO"))&gt;0,"ELÉCTRICO",""),IF(SUMPRODUCT((BG115:CR115&lt;1)*(PARTIDAS!$I$2:$AT$2="TERMINACIONES"))&gt;0,"TERMINACIONES",""))</f>
        <v>SANITARIOS, ELÉCTRICO, TERMINACIONES</v>
      </c>
      <c r="CV115" s="44" cm="1">
        <f t="array" ref="CV115">SUMPRODUCT(--(BG115:CR115&lt;1))</f>
        <v>18</v>
      </c>
    </row>
    <row r="116" spans="1:100" hidden="1" x14ac:dyDescent="0.25">
      <c r="A116" t="s">
        <v>157</v>
      </c>
      <c r="B116" t="s">
        <v>176</v>
      </c>
      <c r="C116">
        <v>2302600115</v>
      </c>
      <c r="D116" t="s">
        <v>60</v>
      </c>
      <c r="E116" s="2">
        <v>0.77499999999999991</v>
      </c>
      <c r="F116" s="1">
        <v>46188</v>
      </c>
      <c r="G116" s="1">
        <v>46199</v>
      </c>
      <c r="H116" s="1">
        <v>46227</v>
      </c>
      <c r="I116" s="1">
        <v>46222</v>
      </c>
      <c r="J116">
        <v>3</v>
      </c>
      <c r="K116" s="1"/>
      <c r="L116" s="3">
        <v>0.43</v>
      </c>
      <c r="M116" s="3">
        <v>1</v>
      </c>
      <c r="N116" s="3">
        <v>0.27906976744186046</v>
      </c>
      <c r="O116" s="3">
        <v>0.18604651162790697</v>
      </c>
      <c r="P116" s="3">
        <v>0.2558139534883721</v>
      </c>
      <c r="Q116" s="3">
        <v>0.18604651162790697</v>
      </c>
      <c r="R116" s="3">
        <v>9.3023255813953487E-2</v>
      </c>
      <c r="S116" s="3">
        <v>0.05</v>
      </c>
      <c r="T116" s="3">
        <v>0.55555555555555558</v>
      </c>
      <c r="U116" s="3">
        <v>0.22222222222222221</v>
      </c>
      <c r="V116" s="3">
        <v>0.22222222222222221</v>
      </c>
      <c r="W116" s="3">
        <v>0</v>
      </c>
      <c r="X116" s="3">
        <v>0.1111111111111111</v>
      </c>
      <c r="Y116" s="3">
        <v>0</v>
      </c>
      <c r="Z116" s="3">
        <v>0</v>
      </c>
      <c r="AA116" s="3">
        <v>0.06</v>
      </c>
      <c r="AB116" s="3">
        <v>0.54545454545454541</v>
      </c>
      <c r="AC116" s="3">
        <v>0.27272727272727271</v>
      </c>
      <c r="AD116" s="3">
        <v>0.27272727272727271</v>
      </c>
      <c r="AE116" s="3">
        <v>0</v>
      </c>
      <c r="AF116" s="3">
        <v>0</v>
      </c>
      <c r="AG116" s="3">
        <v>0</v>
      </c>
      <c r="AH116" s="3">
        <v>0.2349999999999999</v>
      </c>
      <c r="AI116" s="3">
        <v>0.63513513513513487</v>
      </c>
      <c r="AJ116" s="3">
        <v>5.4054054054054036E-2</v>
      </c>
      <c r="AK116" s="3">
        <v>5.4054054054054036E-2</v>
      </c>
      <c r="AL116" s="3">
        <v>0</v>
      </c>
      <c r="AM116" s="3">
        <v>8.1081081081081058E-2</v>
      </c>
      <c r="AN116" s="3">
        <v>8.1081081081081058E-2</v>
      </c>
      <c r="AO116" s="3">
        <v>0</v>
      </c>
      <c r="AP116" s="3">
        <v>5.4054054054054036E-2</v>
      </c>
      <c r="AQ116" s="3">
        <v>0</v>
      </c>
      <c r="AR116" s="3">
        <v>0</v>
      </c>
      <c r="AS116" s="3">
        <v>1.3513513513513509E-2</v>
      </c>
      <c r="AT116" s="3">
        <v>8.1081081081081058E-2</v>
      </c>
      <c r="AU116" s="3">
        <v>5.4054054054054036E-2</v>
      </c>
      <c r="AV116" s="3">
        <v>0</v>
      </c>
      <c r="AW116" s="3">
        <v>0</v>
      </c>
      <c r="AX116" s="3">
        <v>5.4054054054054036E-2</v>
      </c>
      <c r="AY116" s="3">
        <v>2.7027027027027018E-2</v>
      </c>
      <c r="AZ116" s="3">
        <v>0</v>
      </c>
      <c r="BA116" s="3">
        <v>5.4054054054054036E-2</v>
      </c>
      <c r="BB116" s="3">
        <v>0</v>
      </c>
      <c r="BC116" s="3">
        <v>0</v>
      </c>
      <c r="BD116" s="3">
        <v>2.7027027027027018E-2</v>
      </c>
      <c r="BE116">
        <v>31.32</v>
      </c>
      <c r="BF116" s="3" t="str">
        <f>+IF(AVANCE[[#This Row],[% AVANCE]]=100%,"MODULO TERMINADO",IF(AVANCE[[#This Row],[FECHA INICIO REAL]]="","MODULO NO INICIADO","PENDIENTE"))</f>
        <v>PENDIENTE</v>
      </c>
      <c r="BG116" s="3">
        <f>+IF(AVANCE[[#This Row],[VENTANAS]]=8.10810810810811%,100%,AVANCE[[#This Row],[VENTANAS]])</f>
        <v>1</v>
      </c>
      <c r="BH116" s="3">
        <f>+IF(AVANCE[[#This Row],[PISO]]=N$2,100%,AVANCE[[#This Row],[PISO]])</f>
        <v>1</v>
      </c>
      <c r="BI116" s="3">
        <f>+IF(AVANCE[[#This Row],[TABIQUES]]=O$2,100%,AVANCE[[#This Row],[TABIQUES]])</f>
        <v>1</v>
      </c>
      <c r="BJ116" s="3">
        <f>+IF(AVANCE[[#This Row],[MUROS]]=P$2,100%,AVANCE[[#This Row],[MUROS]])</f>
        <v>1</v>
      </c>
      <c r="BK116" s="3">
        <f>+IF(AVANCE[[#This Row],[CIELO]]=Q$2,100%,AVANCE[[#This Row],[CIELO]])</f>
        <v>1</v>
      </c>
      <c r="BL116" s="3">
        <f>+IF(AVANCE[[#This Row],[BALCÓN]]=R$2,100%,AVANCE[[#This Row],[BALCÓN]])</f>
        <v>1</v>
      </c>
      <c r="BM116" s="3">
        <f>+IF(AVANCE[[#This Row],[RED ALCANTARILLADO]]=U$2,100%,AVANCE[[#This Row],[RED ALCANTARILLADO]])</f>
        <v>1</v>
      </c>
      <c r="BN116" s="3">
        <f>+IF(AVANCE[[#This Row],[RED DE AGUA]]=V$2,100%,AVANCE[[#This Row],[RED DE AGUA]])</f>
        <v>1</v>
      </c>
      <c r="BO116" s="3">
        <f>+IF(AVANCE[[#This Row],[VENTILACIONES]]=W$2,100%,AVANCE[[#This Row],[VENTILACIONES]])</f>
        <v>0</v>
      </c>
      <c r="BP116" s="3">
        <f>+IF(AVANCE[[#This Row],[TINA]]=X$2,100%,AVANCE[[#This Row],[TINA]])</f>
        <v>1</v>
      </c>
      <c r="BQ116" s="3">
        <f>+IF(AVANCE[[#This Row],[WC]]=Y$2,100%,AVANCE[[#This Row],[WC]])</f>
        <v>0</v>
      </c>
      <c r="BR116" s="3">
        <f>+IF(AVANCE[[#This Row],[LAVAMANOS / LAVAPLATOS / LAVADERO]]=Z$2,100%,AVANCE[[#This Row],[LAVAMANOS / LAVAPLATOS / LAVADERO]])</f>
        <v>0</v>
      </c>
      <c r="BS116" s="3">
        <f>+IF(AVANCE[[#This Row],[CANALIZACIÓN]]=AC$2,100%,AVANCE[[#This Row],[CANALIZACIÓN]])</f>
        <v>1</v>
      </c>
      <c r="BT116" s="3">
        <f>+IF(AVANCE[[#This Row],[CABLEADO]]=AD$2,100%,AVANCE[[#This Row],[CABLEADO]])</f>
        <v>1</v>
      </c>
      <c r="BU116" s="3">
        <f>+IF(AVANCE[[#This Row],[ARTEFACTOS]]=AE$2,100%,AVANCE[[#This Row],[ARTEFACTOS]])</f>
        <v>0</v>
      </c>
      <c r="BV116" s="3">
        <f>+IF(AVANCE[[#This Row],[TABLERO]]=AF$2,100%,AVANCE[[#This Row],[TABLERO]])</f>
        <v>0</v>
      </c>
      <c r="BW116" s="3">
        <f>+IF(AVANCE[[#This Row],[CAJA PAU]]=AG$2,100%,AVANCE[[#This Row],[CAJA PAU]])</f>
        <v>0</v>
      </c>
      <c r="BX116" s="3">
        <f>+IF(AVANCE[[#This Row],[INSTALACION VINILICO]]=AJ$2,100%,AVANCE[[#This Row],[INSTALACION VINILICO]])</f>
        <v>1</v>
      </c>
      <c r="BY116" s="3">
        <f>+IF(AVANCE[[#This Row],[OSB CUBIERTA]]=AK$2,100%,AVANCE[[#This Row],[OSB CUBIERTA]])</f>
        <v>1</v>
      </c>
      <c r="BZ116" s="3">
        <f>+IF(AVANCE[[#This Row],[BARANDA BALCON]]=AL$2,100%,AVANCE[[#This Row],[BARANDA BALCON]])</f>
        <v>0</v>
      </c>
      <c r="CA116" s="3">
        <f>+IF(AVANCE[[#This Row],[OSB EXTERIOR]]=AM$2,100%,AVANCE[[#This Row],[OSB EXTERIOR]])</f>
        <v>1</v>
      </c>
      <c r="CB116" s="3">
        <f>+IF(AVANCE[[#This Row],[SMART PANEL]]=AN$2,100%,AVANCE[[#This Row],[SMART PANEL]])</f>
        <v>1</v>
      </c>
      <c r="CC116" s="3">
        <f>+IF(AVANCE[[#This Row],[PINTURA EXTERIOR]]=AO$2,100%,AVANCE[[#This Row],[PINTURA EXTERIOR]])</f>
        <v>0</v>
      </c>
      <c r="CD116" s="3">
        <f>+IF(AVANCE[[#This Row],[ZOCALOS LOGIA]]=AP$2,100%,AVANCE[[#This Row],[ZOCALOS LOGIA]])</f>
        <v>1</v>
      </c>
      <c r="CE116" s="3">
        <f>+IF(AVANCE[[#This Row],[MOLDURAS]]=AQ$2,100%,AVANCE[[#This Row],[MOLDURAS]])</f>
        <v>0</v>
      </c>
      <c r="CF116" s="3">
        <f>+IF(AVANCE[[#This Row],[PILASTREO]]=AR$2,100%,AVANCE[[#This Row],[PILASTREO]])</f>
        <v>0</v>
      </c>
      <c r="CG116" s="3">
        <f>+IF(AVANCE[[#This Row],[CELOSIAS]]=AS$2,100%,AVANCE[[#This Row],[CELOSIAS]])</f>
        <v>1</v>
      </c>
      <c r="CH116" s="3">
        <f>+IF(AVANCE[[#This Row],[VENTANAS]]=AT$2,100%,AVANCE[[#This Row],[VENTANAS]])</f>
        <v>1</v>
      </c>
      <c r="CI116" s="3">
        <f>+IF(AVANCE[[#This Row],[PUERTAS ACCESO - LOGIA - BANO]]=AU$2,100%,AVANCE[[#This Row],[PUERTAS ACCESO - LOGIA - BANO]])</f>
        <v>1</v>
      </c>
      <c r="CJ116" s="3">
        <f>+IF(AVANCE[[#This Row],[CERRADURAS]]=AV$2,100%,AVANCE[[#This Row],[CERRADURAS]])</f>
        <v>0</v>
      </c>
      <c r="CK116" s="3">
        <f>+IF(AVANCE[[#This Row],[REVESTIMIENTO INTERIOR ZONA SECA]]=AW$2,100%,AVANCE[[#This Row],[REVESTIMIENTO INTERIOR ZONA SECA]])</f>
        <v>0</v>
      </c>
      <c r="CL116" s="3">
        <f>+IF(AVANCE[[#This Row],[REVESTIMIENTO INTERIOR ZONAS HUMEDAS]]=AX$2,100%,AVANCE[[#This Row],[REVESTIMIENTO INTERIOR ZONAS HUMEDAS]])</f>
        <v>1</v>
      </c>
      <c r="CM116" s="3">
        <f>+IF(AVANCE[[#This Row],[MEMBRANA CIELO]]=AY$2,100%,AVANCE[[#This Row],[MEMBRANA CIELO]])</f>
        <v>1</v>
      </c>
      <c r="CN116" s="3">
        <f>+IF(AVANCE[[#This Row],[LIMPIEZA FINAL]]=AZ$2,100%,AVANCE[[#This Row],[LIMPIEZA FINAL]])</f>
        <v>0</v>
      </c>
      <c r="CO116" s="3">
        <f>+IF(AVANCE[[#This Row],[PUERTAS DORMITORIO]]=BA$2,100%,AVANCE[[#This Row],[PUERTAS DORMITORIO]])</f>
        <v>1</v>
      </c>
      <c r="CP116" s="3">
        <f>+IF(AVANCE[[#This Row],[REVESTIMIENTO INTERIOR BANO]]=BB$2,100%,AVANCE[[#This Row],[REVESTIMIENTO INTERIOR BANO]])</f>
        <v>0</v>
      </c>
      <c r="CQ116" s="3">
        <f>+IF(AVANCE[[#This Row],[MUEBLE LAVAPLATOS]]=BC$2,100%,AVANCE[[#This Row],[MUEBLE LAVAPLATOS]])</f>
        <v>0</v>
      </c>
      <c r="CR116" s="3">
        <f>+IF(AVANCE[[#This Row],[IMPERMEABILIZACION BANO - COCINA LOGIA]]=BD$2,100%,AVANCE[[#This Row],[IMPERMEABILIZACION BANO - COCINA LOGIA]])</f>
        <v>1</v>
      </c>
      <c r="CS116" s="40">
        <f ca="1">+IF(AVANCE[[#This Row],[ESTADO MODULO]]="PENDIENTE",(TODAY()-AVANCE[[#This Row],[FECHA TERMINO  PLANIFICADO]]),0)</f>
        <v>8</v>
      </c>
      <c r="CT116" s="41" t="str" cm="1">
        <f t="array" ref="CT116">_xlfn.TEXTJOIN(" | ",TRUE,IF(SUMPRODUCT((BG116:CR116&lt;1)*(PARTIDAS!$I$2:$AT$2="OBRA GRUESA"))&gt;0,"OBRA GRUESA: "&amp;_xlfn.TEXTJOIN(", ",TRUE,IF((BG116:CR116&lt;1)*(PARTIDAS!$I$2:$AT$2="OBRA GRUESA"),PARTIDAS!$I$1:$AT$1,"")),""),IF(SUMPRODUCT((BG116:CR116&lt;1)*(PARTIDAS!$I$2:$AT$2="SANITARIOS"))&gt;0,"SANITARIOS: "&amp;_xlfn.TEXTJOIN(", ",TRUE,IF((BG116:CR116&lt;1)*(PARTIDAS!$I$2:$AT$2="SANITARIOS"),PARTIDAS!$I$1:$AT$1,"")),""),IF(SUMPRODUCT((BG116:CR116&lt;1)*(PARTIDAS!$I$2:$AT$2="ELÉCTRICO"))&gt;0,"ELÉCTRICO: "&amp;_xlfn.TEXTJOIN(", ",TRUE,IF((BG116:CR116&lt;1)*(PARTIDAS!$I$2:$AT$2="ELÉCTRICO"),PARTIDAS!$I$1:$AT$1,"")),""),IF(SUMPRODUCT((BG116:CR116&lt;1)*(PARTIDAS!$I$2:$AT$2="TERMINACIONES"))&gt;0,"TERMINACIONES: "&amp;_xlfn.TEXTJOIN(", ",TRUE,IF((BG116:CR116&lt;1)*(PARTIDAS!$I$2:$AT$2="TERMINACIONES"),PARTIDAS!$I$1:$AT$1,"")),""))</f>
        <v>SANITARIOS: VENTILACIONES, WC, LAVAMANOS / LAVAPLATOS / LAVADERO | ELÉCTRICO: ARTEFACTOS, TABLERO, CAJA PAU | TERMINACIONES: BARANDA BALCON, PINTURA EXTERIOR, MOLDURAS, PILASTREO, CERRADURAS, REVESTIMIENTO INTERIOR ZONA SECA, LIMPIEZA FINAL, REVESTIMIENTO INTERIOR BANO, MUEBLE LAVAPLATOS</v>
      </c>
      <c r="CU116" s="43" t="str" cm="1">
        <f t="array" ref="CU116">_xlfn.TEXTJOIN(", ",TRUE,IF(SUMPRODUCT((BG116:CR116&lt;1)*(PARTIDAS!$I$2:$AT$2="OBRA GRUESA"))&gt;0,"OBRA GRUESA",""),IF(SUMPRODUCT((BG116:CR116&lt;1)*(PARTIDAS!$I$2:$AT$2="SANITARIOS"))&gt;0,"SANITARIOS",""),IF(SUMPRODUCT((BG116:CR116&lt;1)*(PARTIDAS!$I$2:$AT$2="ELÉCTRICO"))&gt;0,"ELÉCTRICO",""),IF(SUMPRODUCT((BG116:CR116&lt;1)*(PARTIDAS!$I$2:$AT$2="TERMINACIONES"))&gt;0,"TERMINACIONES",""))</f>
        <v>SANITARIOS, ELÉCTRICO, TERMINACIONES</v>
      </c>
      <c r="CV116" s="44" cm="1">
        <f t="array" ref="CV116">SUMPRODUCT(--(BG116:CR116&lt;1))</f>
        <v>15</v>
      </c>
    </row>
    <row r="117" spans="1:100" hidden="1" x14ac:dyDescent="0.25">
      <c r="A117" t="s">
        <v>157</v>
      </c>
      <c r="B117" t="s">
        <v>177</v>
      </c>
      <c r="C117">
        <v>2282600116</v>
      </c>
      <c r="D117" t="s">
        <v>58</v>
      </c>
      <c r="E117" s="2">
        <v>0.86999999999999988</v>
      </c>
      <c r="F117" s="1">
        <v>46188</v>
      </c>
      <c r="G117" s="1">
        <v>46199</v>
      </c>
      <c r="H117" s="1">
        <v>46225</v>
      </c>
      <c r="I117" s="1">
        <v>46212</v>
      </c>
      <c r="J117">
        <v>5</v>
      </c>
      <c r="K117" s="1"/>
      <c r="L117" s="3">
        <v>0.43</v>
      </c>
      <c r="M117" s="3">
        <v>1</v>
      </c>
      <c r="N117" s="3">
        <v>0.27906976744186046</v>
      </c>
      <c r="O117" s="3">
        <v>0.18604651162790697</v>
      </c>
      <c r="P117" s="3">
        <v>0.2558139534883721</v>
      </c>
      <c r="Q117" s="3">
        <v>0.18604651162790697</v>
      </c>
      <c r="R117" s="3">
        <v>9.3023255813953487E-2</v>
      </c>
      <c r="S117" s="3">
        <v>0.09</v>
      </c>
      <c r="T117" s="3">
        <v>1</v>
      </c>
      <c r="U117" s="3">
        <v>0.22222222222222221</v>
      </c>
      <c r="V117" s="3">
        <v>0.22222222222222221</v>
      </c>
      <c r="W117" s="3">
        <v>0.1111111111111111</v>
      </c>
      <c r="X117" s="3">
        <v>0.1111111111111111</v>
      </c>
      <c r="Y117" s="3">
        <v>0.1111111111111111</v>
      </c>
      <c r="Z117" s="3">
        <v>0.22222222222222221</v>
      </c>
      <c r="AA117" s="3">
        <v>6.9999999999999993E-2</v>
      </c>
      <c r="AB117" s="3">
        <v>0.63636363636363635</v>
      </c>
      <c r="AC117" s="3">
        <v>0.27272727272727271</v>
      </c>
      <c r="AD117" s="3">
        <v>0</v>
      </c>
      <c r="AE117" s="3">
        <v>0</v>
      </c>
      <c r="AF117" s="3">
        <v>0.18181818181818182</v>
      </c>
      <c r="AG117" s="3">
        <v>0.18181818181818182</v>
      </c>
      <c r="AH117" s="3">
        <v>0.27999999999999992</v>
      </c>
      <c r="AI117" s="3">
        <v>0.75675675675675647</v>
      </c>
      <c r="AJ117" s="3">
        <v>5.4054054054054036E-2</v>
      </c>
      <c r="AK117" s="3">
        <v>5.4054054054054036E-2</v>
      </c>
      <c r="AL117" s="3">
        <v>2.7027027027027018E-2</v>
      </c>
      <c r="AM117" s="3">
        <v>8.1081081081081058E-2</v>
      </c>
      <c r="AN117" s="3">
        <v>8.1081081081081058E-2</v>
      </c>
      <c r="AO117" s="3">
        <v>0</v>
      </c>
      <c r="AP117" s="3">
        <v>5.4054054054054036E-2</v>
      </c>
      <c r="AQ117" s="3">
        <v>1.3513513513513509E-2</v>
      </c>
      <c r="AR117" s="3">
        <v>0</v>
      </c>
      <c r="AS117" s="3">
        <v>0</v>
      </c>
      <c r="AT117" s="3">
        <v>8.1081081081081058E-2</v>
      </c>
      <c r="AU117" s="3">
        <v>5.4054054054054036E-2</v>
      </c>
      <c r="AV117" s="3">
        <v>0</v>
      </c>
      <c r="AW117" s="3">
        <v>5.4054054054054036E-2</v>
      </c>
      <c r="AX117" s="3">
        <v>5.4054054054054036E-2</v>
      </c>
      <c r="AY117" s="3">
        <v>2.7027027027027018E-2</v>
      </c>
      <c r="AZ117" s="3">
        <v>0</v>
      </c>
      <c r="BA117" s="3">
        <v>0</v>
      </c>
      <c r="BB117" s="3">
        <v>8.1081081081081058E-2</v>
      </c>
      <c r="BC117" s="3">
        <v>1.3513513513513509E-2</v>
      </c>
      <c r="BD117" s="3">
        <v>2.7027027027027018E-2</v>
      </c>
      <c r="BE117">
        <v>28.87</v>
      </c>
      <c r="BF117" s="3" t="str">
        <f>+IF(AVANCE[[#This Row],[% AVANCE]]=100%,"MODULO TERMINADO",IF(AVANCE[[#This Row],[FECHA INICIO REAL]]="","MODULO NO INICIADO","PENDIENTE"))</f>
        <v>PENDIENTE</v>
      </c>
      <c r="BG117" s="3">
        <f>+IF(AVANCE[[#This Row],[VENTANAS]]=8.10810810810811%,100%,AVANCE[[#This Row],[VENTANAS]])</f>
        <v>1</v>
      </c>
      <c r="BH117" s="3">
        <f>+IF(AVANCE[[#This Row],[PISO]]=N$2,100%,AVANCE[[#This Row],[PISO]])</f>
        <v>1</v>
      </c>
      <c r="BI117" s="3">
        <f>+IF(AVANCE[[#This Row],[TABIQUES]]=O$2,100%,AVANCE[[#This Row],[TABIQUES]])</f>
        <v>1</v>
      </c>
      <c r="BJ117" s="3">
        <f>+IF(AVANCE[[#This Row],[MUROS]]=P$2,100%,AVANCE[[#This Row],[MUROS]])</f>
        <v>1</v>
      </c>
      <c r="BK117" s="3">
        <f>+IF(AVANCE[[#This Row],[CIELO]]=Q$2,100%,AVANCE[[#This Row],[CIELO]])</f>
        <v>1</v>
      </c>
      <c r="BL117" s="3">
        <f>+IF(AVANCE[[#This Row],[BALCÓN]]=R$2,100%,AVANCE[[#This Row],[BALCÓN]])</f>
        <v>1</v>
      </c>
      <c r="BM117" s="3">
        <f>+IF(AVANCE[[#This Row],[RED ALCANTARILLADO]]=U$2,100%,AVANCE[[#This Row],[RED ALCANTARILLADO]])</f>
        <v>1</v>
      </c>
      <c r="BN117" s="3">
        <f>+IF(AVANCE[[#This Row],[RED DE AGUA]]=V$2,100%,AVANCE[[#This Row],[RED DE AGUA]])</f>
        <v>1</v>
      </c>
      <c r="BO117" s="3">
        <f>+IF(AVANCE[[#This Row],[VENTILACIONES]]=W$2,100%,AVANCE[[#This Row],[VENTILACIONES]])</f>
        <v>1</v>
      </c>
      <c r="BP117" s="3">
        <f>+IF(AVANCE[[#This Row],[TINA]]=X$2,100%,AVANCE[[#This Row],[TINA]])</f>
        <v>1</v>
      </c>
      <c r="BQ117" s="3">
        <f>+IF(AVANCE[[#This Row],[WC]]=Y$2,100%,AVANCE[[#This Row],[WC]])</f>
        <v>1</v>
      </c>
      <c r="BR117" s="3">
        <f>+IF(AVANCE[[#This Row],[LAVAMANOS / LAVAPLATOS / LAVADERO]]=Z$2,100%,AVANCE[[#This Row],[LAVAMANOS / LAVAPLATOS / LAVADERO]])</f>
        <v>1</v>
      </c>
      <c r="BS117" s="3">
        <f>+IF(AVANCE[[#This Row],[CANALIZACIÓN]]=AC$2,100%,AVANCE[[#This Row],[CANALIZACIÓN]])</f>
        <v>1</v>
      </c>
      <c r="BT117" s="3">
        <f>+IF(AVANCE[[#This Row],[CABLEADO]]=AD$2,100%,AVANCE[[#This Row],[CABLEADO]])</f>
        <v>0</v>
      </c>
      <c r="BU117" s="3">
        <f>+IF(AVANCE[[#This Row],[ARTEFACTOS]]=AE$2,100%,AVANCE[[#This Row],[ARTEFACTOS]])</f>
        <v>0</v>
      </c>
      <c r="BV117" s="3">
        <f>+IF(AVANCE[[#This Row],[TABLERO]]=AF$2,100%,AVANCE[[#This Row],[TABLERO]])</f>
        <v>1</v>
      </c>
      <c r="BW117" s="3">
        <f>+IF(AVANCE[[#This Row],[CAJA PAU]]=AG$2,100%,AVANCE[[#This Row],[CAJA PAU]])</f>
        <v>1</v>
      </c>
      <c r="BX117" s="3">
        <f>+IF(AVANCE[[#This Row],[INSTALACION VINILICO]]=AJ$2,100%,AVANCE[[#This Row],[INSTALACION VINILICO]])</f>
        <v>1</v>
      </c>
      <c r="BY117" s="3">
        <f>+IF(AVANCE[[#This Row],[OSB CUBIERTA]]=AK$2,100%,AVANCE[[#This Row],[OSB CUBIERTA]])</f>
        <v>1</v>
      </c>
      <c r="BZ117" s="3">
        <f>+IF(AVANCE[[#This Row],[BARANDA BALCON]]=AL$2,100%,AVANCE[[#This Row],[BARANDA BALCON]])</f>
        <v>1</v>
      </c>
      <c r="CA117" s="3">
        <f>+IF(AVANCE[[#This Row],[OSB EXTERIOR]]=AM$2,100%,AVANCE[[#This Row],[OSB EXTERIOR]])</f>
        <v>1</v>
      </c>
      <c r="CB117" s="3">
        <f>+IF(AVANCE[[#This Row],[SMART PANEL]]=AN$2,100%,AVANCE[[#This Row],[SMART PANEL]])</f>
        <v>1</v>
      </c>
      <c r="CC117" s="3">
        <f>+IF(AVANCE[[#This Row],[PINTURA EXTERIOR]]=AO$2,100%,AVANCE[[#This Row],[PINTURA EXTERIOR]])</f>
        <v>0</v>
      </c>
      <c r="CD117" s="3">
        <f>+IF(AVANCE[[#This Row],[ZOCALOS LOGIA]]=AP$2,100%,AVANCE[[#This Row],[ZOCALOS LOGIA]])</f>
        <v>1</v>
      </c>
      <c r="CE117" s="3">
        <f>+IF(AVANCE[[#This Row],[MOLDURAS]]=AQ$2,100%,AVANCE[[#This Row],[MOLDURAS]])</f>
        <v>1</v>
      </c>
      <c r="CF117" s="3">
        <f>+IF(AVANCE[[#This Row],[PILASTREO]]=AR$2,100%,AVANCE[[#This Row],[PILASTREO]])</f>
        <v>0</v>
      </c>
      <c r="CG117" s="3">
        <f>+IF(AVANCE[[#This Row],[CELOSIAS]]=AS$2,100%,AVANCE[[#This Row],[CELOSIAS]])</f>
        <v>0</v>
      </c>
      <c r="CH117" s="3">
        <f>+IF(AVANCE[[#This Row],[VENTANAS]]=AT$2,100%,AVANCE[[#This Row],[VENTANAS]])</f>
        <v>1</v>
      </c>
      <c r="CI117" s="3">
        <f>+IF(AVANCE[[#This Row],[PUERTAS ACCESO - LOGIA - BANO]]=AU$2,100%,AVANCE[[#This Row],[PUERTAS ACCESO - LOGIA - BANO]])</f>
        <v>1</v>
      </c>
      <c r="CJ117" s="3">
        <f>+IF(AVANCE[[#This Row],[CERRADURAS]]=AV$2,100%,AVANCE[[#This Row],[CERRADURAS]])</f>
        <v>0</v>
      </c>
      <c r="CK117" s="3">
        <f>+IF(AVANCE[[#This Row],[REVESTIMIENTO INTERIOR ZONA SECA]]=AW$2,100%,AVANCE[[#This Row],[REVESTIMIENTO INTERIOR ZONA SECA]])</f>
        <v>1</v>
      </c>
      <c r="CL117" s="3">
        <f>+IF(AVANCE[[#This Row],[REVESTIMIENTO INTERIOR ZONAS HUMEDAS]]=AX$2,100%,AVANCE[[#This Row],[REVESTIMIENTO INTERIOR ZONAS HUMEDAS]])</f>
        <v>1</v>
      </c>
      <c r="CM117" s="3">
        <f>+IF(AVANCE[[#This Row],[MEMBRANA CIELO]]=AY$2,100%,AVANCE[[#This Row],[MEMBRANA CIELO]])</f>
        <v>1</v>
      </c>
      <c r="CN117" s="3">
        <f>+IF(AVANCE[[#This Row],[LIMPIEZA FINAL]]=AZ$2,100%,AVANCE[[#This Row],[LIMPIEZA FINAL]])</f>
        <v>0</v>
      </c>
      <c r="CO117" s="3">
        <f>+IF(AVANCE[[#This Row],[PUERTAS DORMITORIO]]=BA$2,100%,AVANCE[[#This Row],[PUERTAS DORMITORIO]])</f>
        <v>0</v>
      </c>
      <c r="CP117" s="3">
        <f>+IF(AVANCE[[#This Row],[REVESTIMIENTO INTERIOR BANO]]=BB$2,100%,AVANCE[[#This Row],[REVESTIMIENTO INTERIOR BANO]])</f>
        <v>1</v>
      </c>
      <c r="CQ117" s="3">
        <f>+IF(AVANCE[[#This Row],[MUEBLE LAVAPLATOS]]=BC$2,100%,AVANCE[[#This Row],[MUEBLE LAVAPLATOS]])</f>
        <v>1</v>
      </c>
      <c r="CR117" s="3">
        <f>+IF(AVANCE[[#This Row],[IMPERMEABILIZACION BANO - COCINA LOGIA]]=BD$2,100%,AVANCE[[#This Row],[IMPERMEABILIZACION BANO - COCINA LOGIA]])</f>
        <v>1</v>
      </c>
      <c r="CS117" s="40">
        <f ca="1">+IF(AVANCE[[#This Row],[ESTADO MODULO]]="PENDIENTE",(TODAY()-AVANCE[[#This Row],[FECHA TERMINO  PLANIFICADO]]),0)</f>
        <v>18</v>
      </c>
      <c r="CT117" s="41" t="str" cm="1">
        <f t="array" ref="CT117">_xlfn.TEXTJOIN(" | ",TRUE,IF(SUMPRODUCT((BG117:CR117&lt;1)*(PARTIDAS!$I$2:$AT$2="OBRA GRUESA"))&gt;0,"OBRA GRUESA: "&amp;_xlfn.TEXTJOIN(", ",TRUE,IF((BG117:CR117&lt;1)*(PARTIDAS!$I$2:$AT$2="OBRA GRUESA"),PARTIDAS!$I$1:$AT$1,"")),""),IF(SUMPRODUCT((BG117:CR117&lt;1)*(PARTIDAS!$I$2:$AT$2="SANITARIOS"))&gt;0,"SANITARIOS: "&amp;_xlfn.TEXTJOIN(", ",TRUE,IF((BG117:CR117&lt;1)*(PARTIDAS!$I$2:$AT$2="SANITARIOS"),PARTIDAS!$I$1:$AT$1,"")),""),IF(SUMPRODUCT((BG117:CR117&lt;1)*(PARTIDAS!$I$2:$AT$2="ELÉCTRICO"))&gt;0,"ELÉCTRICO: "&amp;_xlfn.TEXTJOIN(", ",TRUE,IF((BG117:CR117&lt;1)*(PARTIDAS!$I$2:$AT$2="ELÉCTRICO"),PARTIDAS!$I$1:$AT$1,"")),""),IF(SUMPRODUCT((BG117:CR117&lt;1)*(PARTIDAS!$I$2:$AT$2="TERMINACIONES"))&gt;0,"TERMINACIONES: "&amp;_xlfn.TEXTJOIN(", ",TRUE,IF((BG117:CR117&lt;1)*(PARTIDAS!$I$2:$AT$2="TERMINACIONES"),PARTIDAS!$I$1:$AT$1,"")),""))</f>
        <v>ELÉCTRICO: CABLEADO, ARTEFACTOS | TERMINACIONES: PINTURA EXTERIOR, PILASTREO, CELOSIAS, CERRADURAS, LIMPIEZA FINAL, PUERTAS DORMITORIO</v>
      </c>
      <c r="CU117" s="43" t="str" cm="1">
        <f t="array" ref="CU117">_xlfn.TEXTJOIN(", ",TRUE,IF(SUMPRODUCT((BG117:CR117&lt;1)*(PARTIDAS!$I$2:$AT$2="OBRA GRUESA"))&gt;0,"OBRA GRUESA",""),IF(SUMPRODUCT((BG117:CR117&lt;1)*(PARTIDAS!$I$2:$AT$2="SANITARIOS"))&gt;0,"SANITARIOS",""),IF(SUMPRODUCT((BG117:CR117&lt;1)*(PARTIDAS!$I$2:$AT$2="ELÉCTRICO"))&gt;0,"ELÉCTRICO",""),IF(SUMPRODUCT((BG117:CR117&lt;1)*(PARTIDAS!$I$2:$AT$2="TERMINACIONES"))&gt;0,"TERMINACIONES",""))</f>
        <v>ELÉCTRICO, TERMINACIONES</v>
      </c>
      <c r="CV117" s="44" cm="1">
        <f t="array" ref="CV117">SUMPRODUCT(--(BG117:CR117&lt;1))</f>
        <v>8</v>
      </c>
    </row>
    <row r="118" spans="1:100" hidden="1" x14ac:dyDescent="0.25">
      <c r="A118" t="s">
        <v>157</v>
      </c>
      <c r="B118" t="s">
        <v>178</v>
      </c>
      <c r="C118">
        <v>2282600117</v>
      </c>
      <c r="D118" t="s">
        <v>58</v>
      </c>
      <c r="E118" s="2">
        <v>0.94499999999999984</v>
      </c>
      <c r="F118" s="1">
        <v>46189</v>
      </c>
      <c r="G118" s="1">
        <v>46199</v>
      </c>
      <c r="H118" s="1">
        <v>46227</v>
      </c>
      <c r="I118" s="1">
        <v>46213</v>
      </c>
      <c r="J118">
        <v>3</v>
      </c>
      <c r="K118" s="1"/>
      <c r="L118" s="3">
        <v>0.43</v>
      </c>
      <c r="M118" s="3">
        <v>1</v>
      </c>
      <c r="N118" s="3">
        <v>0.27906976744186046</v>
      </c>
      <c r="O118" s="3">
        <v>0.18604651162790697</v>
      </c>
      <c r="P118" s="3">
        <v>0.2558139534883721</v>
      </c>
      <c r="Q118" s="3">
        <v>0.18604651162790697</v>
      </c>
      <c r="R118" s="3">
        <v>9.3023255813953487E-2</v>
      </c>
      <c r="S118" s="3">
        <v>0.09</v>
      </c>
      <c r="T118" s="3">
        <v>1</v>
      </c>
      <c r="U118" s="3">
        <v>0.22222222222222221</v>
      </c>
      <c r="V118" s="3">
        <v>0.22222222222222221</v>
      </c>
      <c r="W118" s="3">
        <v>0.1111111111111111</v>
      </c>
      <c r="X118" s="3">
        <v>0.1111111111111111</v>
      </c>
      <c r="Y118" s="3">
        <v>0.1111111111111111</v>
      </c>
      <c r="Z118" s="3">
        <v>0.22222222222222221</v>
      </c>
      <c r="AA118" s="3">
        <v>6.9999999999999993E-2</v>
      </c>
      <c r="AB118" s="3">
        <v>0.63636363636363635</v>
      </c>
      <c r="AC118" s="3">
        <v>0.27272727272727271</v>
      </c>
      <c r="AD118" s="3">
        <v>0</v>
      </c>
      <c r="AE118" s="3">
        <v>0</v>
      </c>
      <c r="AF118" s="3">
        <v>0.18181818181818182</v>
      </c>
      <c r="AG118" s="3">
        <v>0.18181818181818182</v>
      </c>
      <c r="AH118" s="3">
        <v>0.35499999999999982</v>
      </c>
      <c r="AI118" s="3">
        <v>0.95945945945945899</v>
      </c>
      <c r="AJ118" s="3">
        <v>5.4054054054054036E-2</v>
      </c>
      <c r="AK118" s="3">
        <v>5.4054054054054036E-2</v>
      </c>
      <c r="AL118" s="3">
        <v>2.7027027027027018E-2</v>
      </c>
      <c r="AM118" s="3">
        <v>8.1081081081081058E-2</v>
      </c>
      <c r="AN118" s="3">
        <v>8.1081081081081058E-2</v>
      </c>
      <c r="AO118" s="3">
        <v>6.7567567567567557E-2</v>
      </c>
      <c r="AP118" s="3">
        <v>5.4054054054054036E-2</v>
      </c>
      <c r="AQ118" s="3">
        <v>1.3513513513513509E-2</v>
      </c>
      <c r="AR118" s="3">
        <v>4.0540540540540529E-2</v>
      </c>
      <c r="AS118" s="3">
        <v>1.3513513513513509E-2</v>
      </c>
      <c r="AT118" s="3">
        <v>8.1081081081081058E-2</v>
      </c>
      <c r="AU118" s="3">
        <v>5.4054054054054036E-2</v>
      </c>
      <c r="AV118" s="3">
        <v>2.7027027027027018E-2</v>
      </c>
      <c r="AW118" s="3">
        <v>5.4054054054054036E-2</v>
      </c>
      <c r="AX118" s="3">
        <v>5.4054054054054036E-2</v>
      </c>
      <c r="AY118" s="3">
        <v>2.7027027027027018E-2</v>
      </c>
      <c r="AZ118" s="3">
        <v>0</v>
      </c>
      <c r="BA118" s="3">
        <v>5.4054054054054036E-2</v>
      </c>
      <c r="BB118" s="3">
        <v>8.1081081081081058E-2</v>
      </c>
      <c r="BC118" s="3">
        <v>1.3513513513513509E-2</v>
      </c>
      <c r="BD118" s="3">
        <v>2.7027027027027018E-2</v>
      </c>
      <c r="BE118">
        <v>28.87</v>
      </c>
      <c r="BF118" s="3" t="str">
        <f>+IF(AVANCE[[#This Row],[% AVANCE]]=100%,"MODULO TERMINADO",IF(AVANCE[[#This Row],[FECHA INICIO REAL]]="","MODULO NO INICIADO","PENDIENTE"))</f>
        <v>PENDIENTE</v>
      </c>
      <c r="BG118" s="3">
        <f>+IF(AVANCE[[#This Row],[VENTANAS]]=8.10810810810811%,100%,AVANCE[[#This Row],[VENTANAS]])</f>
        <v>1</v>
      </c>
      <c r="BH118" s="3">
        <f>+IF(AVANCE[[#This Row],[PISO]]=N$2,100%,AVANCE[[#This Row],[PISO]])</f>
        <v>1</v>
      </c>
      <c r="BI118" s="3">
        <f>+IF(AVANCE[[#This Row],[TABIQUES]]=O$2,100%,AVANCE[[#This Row],[TABIQUES]])</f>
        <v>1</v>
      </c>
      <c r="BJ118" s="3">
        <f>+IF(AVANCE[[#This Row],[MUROS]]=P$2,100%,AVANCE[[#This Row],[MUROS]])</f>
        <v>1</v>
      </c>
      <c r="BK118" s="3">
        <f>+IF(AVANCE[[#This Row],[CIELO]]=Q$2,100%,AVANCE[[#This Row],[CIELO]])</f>
        <v>1</v>
      </c>
      <c r="BL118" s="3">
        <f>+IF(AVANCE[[#This Row],[BALCÓN]]=R$2,100%,AVANCE[[#This Row],[BALCÓN]])</f>
        <v>1</v>
      </c>
      <c r="BM118" s="3">
        <f>+IF(AVANCE[[#This Row],[RED ALCANTARILLADO]]=U$2,100%,AVANCE[[#This Row],[RED ALCANTARILLADO]])</f>
        <v>1</v>
      </c>
      <c r="BN118" s="3">
        <f>+IF(AVANCE[[#This Row],[RED DE AGUA]]=V$2,100%,AVANCE[[#This Row],[RED DE AGUA]])</f>
        <v>1</v>
      </c>
      <c r="BO118" s="3">
        <f>+IF(AVANCE[[#This Row],[VENTILACIONES]]=W$2,100%,AVANCE[[#This Row],[VENTILACIONES]])</f>
        <v>1</v>
      </c>
      <c r="BP118" s="3">
        <f>+IF(AVANCE[[#This Row],[TINA]]=X$2,100%,AVANCE[[#This Row],[TINA]])</f>
        <v>1</v>
      </c>
      <c r="BQ118" s="3">
        <f>+IF(AVANCE[[#This Row],[WC]]=Y$2,100%,AVANCE[[#This Row],[WC]])</f>
        <v>1</v>
      </c>
      <c r="BR118" s="3">
        <f>+IF(AVANCE[[#This Row],[LAVAMANOS / LAVAPLATOS / LAVADERO]]=Z$2,100%,AVANCE[[#This Row],[LAVAMANOS / LAVAPLATOS / LAVADERO]])</f>
        <v>1</v>
      </c>
      <c r="BS118" s="3">
        <f>+IF(AVANCE[[#This Row],[CANALIZACIÓN]]=AC$2,100%,AVANCE[[#This Row],[CANALIZACIÓN]])</f>
        <v>1</v>
      </c>
      <c r="BT118" s="3">
        <f>+IF(AVANCE[[#This Row],[CABLEADO]]=AD$2,100%,AVANCE[[#This Row],[CABLEADO]])</f>
        <v>0</v>
      </c>
      <c r="BU118" s="3">
        <f>+IF(AVANCE[[#This Row],[ARTEFACTOS]]=AE$2,100%,AVANCE[[#This Row],[ARTEFACTOS]])</f>
        <v>0</v>
      </c>
      <c r="BV118" s="3">
        <f>+IF(AVANCE[[#This Row],[TABLERO]]=AF$2,100%,AVANCE[[#This Row],[TABLERO]])</f>
        <v>1</v>
      </c>
      <c r="BW118" s="3">
        <f>+IF(AVANCE[[#This Row],[CAJA PAU]]=AG$2,100%,AVANCE[[#This Row],[CAJA PAU]])</f>
        <v>1</v>
      </c>
      <c r="BX118" s="3">
        <f>+IF(AVANCE[[#This Row],[INSTALACION VINILICO]]=AJ$2,100%,AVANCE[[#This Row],[INSTALACION VINILICO]])</f>
        <v>1</v>
      </c>
      <c r="BY118" s="3">
        <f>+IF(AVANCE[[#This Row],[OSB CUBIERTA]]=AK$2,100%,AVANCE[[#This Row],[OSB CUBIERTA]])</f>
        <v>1</v>
      </c>
      <c r="BZ118" s="3">
        <f>+IF(AVANCE[[#This Row],[BARANDA BALCON]]=AL$2,100%,AVANCE[[#This Row],[BARANDA BALCON]])</f>
        <v>1</v>
      </c>
      <c r="CA118" s="3">
        <f>+IF(AVANCE[[#This Row],[OSB EXTERIOR]]=AM$2,100%,AVANCE[[#This Row],[OSB EXTERIOR]])</f>
        <v>1</v>
      </c>
      <c r="CB118" s="3">
        <f>+IF(AVANCE[[#This Row],[SMART PANEL]]=AN$2,100%,AVANCE[[#This Row],[SMART PANEL]])</f>
        <v>1</v>
      </c>
      <c r="CC118" s="3">
        <f>+IF(AVANCE[[#This Row],[PINTURA EXTERIOR]]=AO$2,100%,AVANCE[[#This Row],[PINTURA EXTERIOR]])</f>
        <v>1</v>
      </c>
      <c r="CD118" s="3">
        <f>+IF(AVANCE[[#This Row],[ZOCALOS LOGIA]]=AP$2,100%,AVANCE[[#This Row],[ZOCALOS LOGIA]])</f>
        <v>1</v>
      </c>
      <c r="CE118" s="3">
        <f>+IF(AVANCE[[#This Row],[MOLDURAS]]=AQ$2,100%,AVANCE[[#This Row],[MOLDURAS]])</f>
        <v>1</v>
      </c>
      <c r="CF118" s="3">
        <f>+IF(AVANCE[[#This Row],[PILASTREO]]=AR$2,100%,AVANCE[[#This Row],[PILASTREO]])</f>
        <v>1</v>
      </c>
      <c r="CG118" s="3">
        <f>+IF(AVANCE[[#This Row],[CELOSIAS]]=AS$2,100%,AVANCE[[#This Row],[CELOSIAS]])</f>
        <v>1</v>
      </c>
      <c r="CH118" s="3">
        <f>+IF(AVANCE[[#This Row],[VENTANAS]]=AT$2,100%,AVANCE[[#This Row],[VENTANAS]])</f>
        <v>1</v>
      </c>
      <c r="CI118" s="3">
        <f>+IF(AVANCE[[#This Row],[PUERTAS ACCESO - LOGIA - BANO]]=AU$2,100%,AVANCE[[#This Row],[PUERTAS ACCESO - LOGIA - BANO]])</f>
        <v>1</v>
      </c>
      <c r="CJ118" s="3">
        <f>+IF(AVANCE[[#This Row],[CERRADURAS]]=AV$2,100%,AVANCE[[#This Row],[CERRADURAS]])</f>
        <v>1</v>
      </c>
      <c r="CK118" s="3">
        <f>+IF(AVANCE[[#This Row],[REVESTIMIENTO INTERIOR ZONA SECA]]=AW$2,100%,AVANCE[[#This Row],[REVESTIMIENTO INTERIOR ZONA SECA]])</f>
        <v>1</v>
      </c>
      <c r="CL118" s="3">
        <f>+IF(AVANCE[[#This Row],[REVESTIMIENTO INTERIOR ZONAS HUMEDAS]]=AX$2,100%,AVANCE[[#This Row],[REVESTIMIENTO INTERIOR ZONAS HUMEDAS]])</f>
        <v>1</v>
      </c>
      <c r="CM118" s="3">
        <f>+IF(AVANCE[[#This Row],[MEMBRANA CIELO]]=AY$2,100%,AVANCE[[#This Row],[MEMBRANA CIELO]])</f>
        <v>1</v>
      </c>
      <c r="CN118" s="3">
        <f>+IF(AVANCE[[#This Row],[LIMPIEZA FINAL]]=AZ$2,100%,AVANCE[[#This Row],[LIMPIEZA FINAL]])</f>
        <v>0</v>
      </c>
      <c r="CO118" s="3">
        <f>+IF(AVANCE[[#This Row],[PUERTAS DORMITORIO]]=BA$2,100%,AVANCE[[#This Row],[PUERTAS DORMITORIO]])</f>
        <v>1</v>
      </c>
      <c r="CP118" s="3">
        <f>+IF(AVANCE[[#This Row],[REVESTIMIENTO INTERIOR BANO]]=BB$2,100%,AVANCE[[#This Row],[REVESTIMIENTO INTERIOR BANO]])</f>
        <v>1</v>
      </c>
      <c r="CQ118" s="3">
        <f>+IF(AVANCE[[#This Row],[MUEBLE LAVAPLATOS]]=BC$2,100%,AVANCE[[#This Row],[MUEBLE LAVAPLATOS]])</f>
        <v>1</v>
      </c>
      <c r="CR118" s="3">
        <f>+IF(AVANCE[[#This Row],[IMPERMEABILIZACION BANO - COCINA LOGIA]]=BD$2,100%,AVANCE[[#This Row],[IMPERMEABILIZACION BANO - COCINA LOGIA]])</f>
        <v>1</v>
      </c>
      <c r="CS118" s="40">
        <f ca="1">+IF(AVANCE[[#This Row],[ESTADO MODULO]]="PENDIENTE",(TODAY()-AVANCE[[#This Row],[FECHA TERMINO  PLANIFICADO]]),0)</f>
        <v>17</v>
      </c>
      <c r="CT118" s="41" t="str" cm="1">
        <f t="array" ref="CT118">_xlfn.TEXTJOIN(" | ",TRUE,IF(SUMPRODUCT((BG118:CR118&lt;1)*(PARTIDAS!$I$2:$AT$2="OBRA GRUESA"))&gt;0,"OBRA GRUESA: "&amp;_xlfn.TEXTJOIN(", ",TRUE,IF((BG118:CR118&lt;1)*(PARTIDAS!$I$2:$AT$2="OBRA GRUESA"),PARTIDAS!$I$1:$AT$1,"")),""),IF(SUMPRODUCT((BG118:CR118&lt;1)*(PARTIDAS!$I$2:$AT$2="SANITARIOS"))&gt;0,"SANITARIOS: "&amp;_xlfn.TEXTJOIN(", ",TRUE,IF((BG118:CR118&lt;1)*(PARTIDAS!$I$2:$AT$2="SANITARIOS"),PARTIDAS!$I$1:$AT$1,"")),""),IF(SUMPRODUCT((BG118:CR118&lt;1)*(PARTIDAS!$I$2:$AT$2="ELÉCTRICO"))&gt;0,"ELÉCTRICO: "&amp;_xlfn.TEXTJOIN(", ",TRUE,IF((BG118:CR118&lt;1)*(PARTIDAS!$I$2:$AT$2="ELÉCTRICO"),PARTIDAS!$I$1:$AT$1,"")),""),IF(SUMPRODUCT((BG118:CR118&lt;1)*(PARTIDAS!$I$2:$AT$2="TERMINACIONES"))&gt;0,"TERMINACIONES: "&amp;_xlfn.TEXTJOIN(", ",TRUE,IF((BG118:CR118&lt;1)*(PARTIDAS!$I$2:$AT$2="TERMINACIONES"),PARTIDAS!$I$1:$AT$1,"")),""))</f>
        <v>ELÉCTRICO: CABLEADO, ARTEFACTOS | TERMINACIONES: LIMPIEZA FINAL</v>
      </c>
      <c r="CU118" s="43" t="str" cm="1">
        <f t="array" ref="CU118">_xlfn.TEXTJOIN(", ",TRUE,IF(SUMPRODUCT((BG118:CR118&lt;1)*(PARTIDAS!$I$2:$AT$2="OBRA GRUESA"))&gt;0,"OBRA GRUESA",""),IF(SUMPRODUCT((BG118:CR118&lt;1)*(PARTIDAS!$I$2:$AT$2="SANITARIOS"))&gt;0,"SANITARIOS",""),IF(SUMPRODUCT((BG118:CR118&lt;1)*(PARTIDAS!$I$2:$AT$2="ELÉCTRICO"))&gt;0,"ELÉCTRICO",""),IF(SUMPRODUCT((BG118:CR118&lt;1)*(PARTIDAS!$I$2:$AT$2="TERMINACIONES"))&gt;0,"TERMINACIONES",""))</f>
        <v>ELÉCTRICO, TERMINACIONES</v>
      </c>
      <c r="CV118" s="44" cm="1">
        <f t="array" ref="CV118">SUMPRODUCT(--(BG118:CR118&lt;1))</f>
        <v>3</v>
      </c>
    </row>
    <row r="119" spans="1:100" hidden="1" x14ac:dyDescent="0.25">
      <c r="A119" t="s">
        <v>157</v>
      </c>
      <c r="B119" t="s">
        <v>179</v>
      </c>
      <c r="C119">
        <v>2302600118</v>
      </c>
      <c r="D119" t="s">
        <v>60</v>
      </c>
      <c r="E119" s="2">
        <v>0.66999999999999993</v>
      </c>
      <c r="F119" s="1">
        <v>46189</v>
      </c>
      <c r="G119" s="1">
        <v>46199</v>
      </c>
      <c r="H119" s="1">
        <v>46227</v>
      </c>
      <c r="I119" s="1">
        <v>46223</v>
      </c>
      <c r="J119">
        <v>3</v>
      </c>
      <c r="K119" s="1"/>
      <c r="L119" s="3">
        <v>0.43</v>
      </c>
      <c r="M119" s="3">
        <v>1</v>
      </c>
      <c r="N119" s="3">
        <v>0.27906976744186046</v>
      </c>
      <c r="O119" s="3">
        <v>0.18604651162790697</v>
      </c>
      <c r="P119" s="3">
        <v>0.2558139534883721</v>
      </c>
      <c r="Q119" s="3">
        <v>0.18604651162790697</v>
      </c>
      <c r="R119" s="3">
        <v>9.3023255813953487E-2</v>
      </c>
      <c r="S119" s="3">
        <v>0.05</v>
      </c>
      <c r="T119" s="3">
        <v>0.55555555555555558</v>
      </c>
      <c r="U119" s="3">
        <v>0.22222222222222221</v>
      </c>
      <c r="V119" s="3">
        <v>0.22222222222222221</v>
      </c>
      <c r="W119" s="3">
        <v>0</v>
      </c>
      <c r="X119" s="3">
        <v>0.1111111111111111</v>
      </c>
      <c r="Y119" s="3">
        <v>0</v>
      </c>
      <c r="Z119" s="3">
        <v>0</v>
      </c>
      <c r="AA119" s="3">
        <v>0.03</v>
      </c>
      <c r="AB119" s="3">
        <v>0.27272727272727271</v>
      </c>
      <c r="AC119" s="3">
        <v>0.27272727272727271</v>
      </c>
      <c r="AD119" s="3">
        <v>0</v>
      </c>
      <c r="AE119" s="3">
        <v>0</v>
      </c>
      <c r="AF119" s="3">
        <v>0</v>
      </c>
      <c r="AG119" s="3">
        <v>0</v>
      </c>
      <c r="AH119" s="3">
        <v>0.15999999999999998</v>
      </c>
      <c r="AI119" s="3">
        <v>0.43243243243243235</v>
      </c>
      <c r="AJ119" s="3">
        <v>5.4054054054054036E-2</v>
      </c>
      <c r="AK119" s="3">
        <v>5.4054054054054036E-2</v>
      </c>
      <c r="AL119" s="3">
        <v>0</v>
      </c>
      <c r="AM119" s="3">
        <v>8.1081081081081058E-2</v>
      </c>
      <c r="AN119" s="3">
        <v>8.1081081081081058E-2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5.4054054054054036E-2</v>
      </c>
      <c r="AY119" s="3">
        <v>2.7027027027027018E-2</v>
      </c>
      <c r="AZ119" s="3">
        <v>0</v>
      </c>
      <c r="BA119" s="3">
        <v>5.4054054054054036E-2</v>
      </c>
      <c r="BB119" s="3">
        <v>0</v>
      </c>
      <c r="BC119" s="3">
        <v>0</v>
      </c>
      <c r="BD119" s="3">
        <v>2.7027027027027018E-2</v>
      </c>
      <c r="BE119">
        <v>31.32</v>
      </c>
      <c r="BF119" s="3" t="str">
        <f>+IF(AVANCE[[#This Row],[% AVANCE]]=100%,"MODULO TERMINADO",IF(AVANCE[[#This Row],[FECHA INICIO REAL]]="","MODULO NO INICIADO","PENDIENTE"))</f>
        <v>PENDIENTE</v>
      </c>
      <c r="BG119" s="3">
        <f>+IF(AVANCE[[#This Row],[VENTANAS]]=8.10810810810811%,100%,AVANCE[[#This Row],[VENTANAS]])</f>
        <v>0</v>
      </c>
      <c r="BH119" s="3">
        <f>+IF(AVANCE[[#This Row],[PISO]]=N$2,100%,AVANCE[[#This Row],[PISO]])</f>
        <v>1</v>
      </c>
      <c r="BI119" s="3">
        <f>+IF(AVANCE[[#This Row],[TABIQUES]]=O$2,100%,AVANCE[[#This Row],[TABIQUES]])</f>
        <v>1</v>
      </c>
      <c r="BJ119" s="3">
        <f>+IF(AVANCE[[#This Row],[MUROS]]=P$2,100%,AVANCE[[#This Row],[MUROS]])</f>
        <v>1</v>
      </c>
      <c r="BK119" s="3">
        <f>+IF(AVANCE[[#This Row],[CIELO]]=Q$2,100%,AVANCE[[#This Row],[CIELO]])</f>
        <v>1</v>
      </c>
      <c r="BL119" s="3">
        <f>+IF(AVANCE[[#This Row],[BALCÓN]]=R$2,100%,AVANCE[[#This Row],[BALCÓN]])</f>
        <v>1</v>
      </c>
      <c r="BM119" s="3">
        <f>+IF(AVANCE[[#This Row],[RED ALCANTARILLADO]]=U$2,100%,AVANCE[[#This Row],[RED ALCANTARILLADO]])</f>
        <v>1</v>
      </c>
      <c r="BN119" s="3">
        <f>+IF(AVANCE[[#This Row],[RED DE AGUA]]=V$2,100%,AVANCE[[#This Row],[RED DE AGUA]])</f>
        <v>1</v>
      </c>
      <c r="BO119" s="3">
        <f>+IF(AVANCE[[#This Row],[VENTILACIONES]]=W$2,100%,AVANCE[[#This Row],[VENTILACIONES]])</f>
        <v>0</v>
      </c>
      <c r="BP119" s="3">
        <f>+IF(AVANCE[[#This Row],[TINA]]=X$2,100%,AVANCE[[#This Row],[TINA]])</f>
        <v>1</v>
      </c>
      <c r="BQ119" s="3">
        <f>+IF(AVANCE[[#This Row],[WC]]=Y$2,100%,AVANCE[[#This Row],[WC]])</f>
        <v>0</v>
      </c>
      <c r="BR119" s="3">
        <f>+IF(AVANCE[[#This Row],[LAVAMANOS / LAVAPLATOS / LAVADERO]]=Z$2,100%,AVANCE[[#This Row],[LAVAMANOS / LAVAPLATOS / LAVADERO]])</f>
        <v>0</v>
      </c>
      <c r="BS119" s="3">
        <f>+IF(AVANCE[[#This Row],[CANALIZACIÓN]]=AC$2,100%,AVANCE[[#This Row],[CANALIZACIÓN]])</f>
        <v>1</v>
      </c>
      <c r="BT119" s="3">
        <f>+IF(AVANCE[[#This Row],[CABLEADO]]=AD$2,100%,AVANCE[[#This Row],[CABLEADO]])</f>
        <v>0</v>
      </c>
      <c r="BU119" s="3">
        <f>+IF(AVANCE[[#This Row],[ARTEFACTOS]]=AE$2,100%,AVANCE[[#This Row],[ARTEFACTOS]])</f>
        <v>0</v>
      </c>
      <c r="BV119" s="3">
        <f>+IF(AVANCE[[#This Row],[TABLERO]]=AF$2,100%,AVANCE[[#This Row],[TABLERO]])</f>
        <v>0</v>
      </c>
      <c r="BW119" s="3">
        <f>+IF(AVANCE[[#This Row],[CAJA PAU]]=AG$2,100%,AVANCE[[#This Row],[CAJA PAU]])</f>
        <v>0</v>
      </c>
      <c r="BX119" s="3">
        <f>+IF(AVANCE[[#This Row],[INSTALACION VINILICO]]=AJ$2,100%,AVANCE[[#This Row],[INSTALACION VINILICO]])</f>
        <v>1</v>
      </c>
      <c r="BY119" s="3">
        <f>+IF(AVANCE[[#This Row],[OSB CUBIERTA]]=AK$2,100%,AVANCE[[#This Row],[OSB CUBIERTA]])</f>
        <v>1</v>
      </c>
      <c r="BZ119" s="3">
        <f>+IF(AVANCE[[#This Row],[BARANDA BALCON]]=AL$2,100%,AVANCE[[#This Row],[BARANDA BALCON]])</f>
        <v>0</v>
      </c>
      <c r="CA119" s="3">
        <f>+IF(AVANCE[[#This Row],[OSB EXTERIOR]]=AM$2,100%,AVANCE[[#This Row],[OSB EXTERIOR]])</f>
        <v>1</v>
      </c>
      <c r="CB119" s="3">
        <f>+IF(AVANCE[[#This Row],[SMART PANEL]]=AN$2,100%,AVANCE[[#This Row],[SMART PANEL]])</f>
        <v>1</v>
      </c>
      <c r="CC119" s="3">
        <f>+IF(AVANCE[[#This Row],[PINTURA EXTERIOR]]=AO$2,100%,AVANCE[[#This Row],[PINTURA EXTERIOR]])</f>
        <v>0</v>
      </c>
      <c r="CD119" s="3">
        <f>+IF(AVANCE[[#This Row],[ZOCALOS LOGIA]]=AP$2,100%,AVANCE[[#This Row],[ZOCALOS LOGIA]])</f>
        <v>0</v>
      </c>
      <c r="CE119" s="3">
        <f>+IF(AVANCE[[#This Row],[MOLDURAS]]=AQ$2,100%,AVANCE[[#This Row],[MOLDURAS]])</f>
        <v>0</v>
      </c>
      <c r="CF119" s="3">
        <f>+IF(AVANCE[[#This Row],[PILASTREO]]=AR$2,100%,AVANCE[[#This Row],[PILASTREO]])</f>
        <v>0</v>
      </c>
      <c r="CG119" s="3">
        <f>+IF(AVANCE[[#This Row],[CELOSIAS]]=AS$2,100%,AVANCE[[#This Row],[CELOSIAS]])</f>
        <v>0</v>
      </c>
      <c r="CH119" s="3">
        <f>+IF(AVANCE[[#This Row],[VENTANAS]]=AT$2,100%,AVANCE[[#This Row],[VENTANAS]])</f>
        <v>0</v>
      </c>
      <c r="CI119" s="3">
        <f>+IF(AVANCE[[#This Row],[PUERTAS ACCESO - LOGIA - BANO]]=AU$2,100%,AVANCE[[#This Row],[PUERTAS ACCESO - LOGIA - BANO]])</f>
        <v>0</v>
      </c>
      <c r="CJ119" s="3">
        <f>+IF(AVANCE[[#This Row],[CERRADURAS]]=AV$2,100%,AVANCE[[#This Row],[CERRADURAS]])</f>
        <v>0</v>
      </c>
      <c r="CK119" s="3">
        <f>+IF(AVANCE[[#This Row],[REVESTIMIENTO INTERIOR ZONA SECA]]=AW$2,100%,AVANCE[[#This Row],[REVESTIMIENTO INTERIOR ZONA SECA]])</f>
        <v>0</v>
      </c>
      <c r="CL119" s="3">
        <f>+IF(AVANCE[[#This Row],[REVESTIMIENTO INTERIOR ZONAS HUMEDAS]]=AX$2,100%,AVANCE[[#This Row],[REVESTIMIENTO INTERIOR ZONAS HUMEDAS]])</f>
        <v>1</v>
      </c>
      <c r="CM119" s="3">
        <f>+IF(AVANCE[[#This Row],[MEMBRANA CIELO]]=AY$2,100%,AVANCE[[#This Row],[MEMBRANA CIELO]])</f>
        <v>1</v>
      </c>
      <c r="CN119" s="3">
        <f>+IF(AVANCE[[#This Row],[LIMPIEZA FINAL]]=AZ$2,100%,AVANCE[[#This Row],[LIMPIEZA FINAL]])</f>
        <v>0</v>
      </c>
      <c r="CO119" s="3">
        <f>+IF(AVANCE[[#This Row],[PUERTAS DORMITORIO]]=BA$2,100%,AVANCE[[#This Row],[PUERTAS DORMITORIO]])</f>
        <v>1</v>
      </c>
      <c r="CP119" s="3">
        <f>+IF(AVANCE[[#This Row],[REVESTIMIENTO INTERIOR BANO]]=BB$2,100%,AVANCE[[#This Row],[REVESTIMIENTO INTERIOR BANO]])</f>
        <v>0</v>
      </c>
      <c r="CQ119" s="3">
        <f>+IF(AVANCE[[#This Row],[MUEBLE LAVAPLATOS]]=BC$2,100%,AVANCE[[#This Row],[MUEBLE LAVAPLATOS]])</f>
        <v>0</v>
      </c>
      <c r="CR119" s="3">
        <f>+IF(AVANCE[[#This Row],[IMPERMEABILIZACION BANO - COCINA LOGIA]]=BD$2,100%,AVANCE[[#This Row],[IMPERMEABILIZACION BANO - COCINA LOGIA]])</f>
        <v>1</v>
      </c>
      <c r="CS119" s="40">
        <f ca="1">+IF(AVANCE[[#This Row],[ESTADO MODULO]]="PENDIENTE",(TODAY()-AVANCE[[#This Row],[FECHA TERMINO  PLANIFICADO]]),0)</f>
        <v>7</v>
      </c>
      <c r="CT119" s="41" t="str" cm="1">
        <f t="array" ref="CT119">_xlfn.TEXTJOIN(" | ",TRUE,IF(SUMPRODUCT((BG119:CR119&lt;1)*(PARTIDAS!$I$2:$AT$2="OBRA GRUESA"))&gt;0,"OBRA GRUESA: "&amp;_xlfn.TEXTJOIN(", ",TRUE,IF((BG119:CR119&lt;1)*(PARTIDAS!$I$2:$AT$2="OBRA GRUESA"),PARTIDAS!$I$1:$AT$1,"")),""),IF(SUMPRODUCT((BG119:CR119&lt;1)*(PARTIDAS!$I$2:$AT$2="SANITARIOS"))&gt;0,"SANITARIOS: "&amp;_xlfn.TEXTJOIN(", ",TRUE,IF((BG119:CR119&lt;1)*(PARTIDAS!$I$2:$AT$2="SANITARIOS"),PARTIDAS!$I$1:$AT$1,"")),""),IF(SUMPRODUCT((BG119:CR119&lt;1)*(PARTIDAS!$I$2:$AT$2="ELÉCTRICO"))&gt;0,"ELÉCTRICO: "&amp;_xlfn.TEXTJOIN(", ",TRUE,IF((BG119:CR119&lt;1)*(PARTIDAS!$I$2:$AT$2="ELÉCTRICO"),PARTIDAS!$I$1:$AT$1,"")),""),IF(SUMPRODUCT((BG119:CR119&lt;1)*(PARTIDAS!$I$2:$AT$2="TERMINACIONES"))&gt;0,"TERMINACIONES: "&amp;_xlfn.TEXTJOIN(", ",TRUE,IF((BG119:CR119&lt;1)*(PARTIDAS!$I$2:$AT$2="TERMINACIONES"),PARTIDAS!$I$1:$AT$1,"")),""))</f>
        <v>SANITARIOS: VENTILACIONES, WC, LAVAMANOS / LAVAPLATOS / LAVADERO | ELÉCTRICO: CABLEADO, ARTEFACTOS, TABLERO, CAJA PAU | TERMINACIONES: VENTANAS, BARANDA BALCON, PINTURA EXTERIOR, ZOCALOS LOGIA, MOLDURAS, PILASTREO, CELOSIAS, VENTANAS (TERM), PUERTAS ACCESO - LOGIA - BANO, CERRADURAS, REVESTIMIENTO INTERIOR ZONA SECA, LIMPIEZA FINAL, REVESTIMIENTO INTERIOR BANO, MUEBLE LAVAPLATOS</v>
      </c>
      <c r="CU119" s="43" t="str" cm="1">
        <f t="array" ref="CU119">_xlfn.TEXTJOIN(", ",TRUE,IF(SUMPRODUCT((BG119:CR119&lt;1)*(PARTIDAS!$I$2:$AT$2="OBRA GRUESA"))&gt;0,"OBRA GRUESA",""),IF(SUMPRODUCT((BG119:CR119&lt;1)*(PARTIDAS!$I$2:$AT$2="SANITARIOS"))&gt;0,"SANITARIOS",""),IF(SUMPRODUCT((BG119:CR119&lt;1)*(PARTIDAS!$I$2:$AT$2="ELÉCTRICO"))&gt;0,"ELÉCTRICO",""),IF(SUMPRODUCT((BG119:CR119&lt;1)*(PARTIDAS!$I$2:$AT$2="TERMINACIONES"))&gt;0,"TERMINACIONES",""))</f>
        <v>SANITARIOS, ELÉCTRICO, TERMINACIONES</v>
      </c>
      <c r="CV119" s="44" cm="1">
        <f t="array" ref="CV119">SUMPRODUCT(--(BG119:CR119&lt;1))</f>
        <v>21</v>
      </c>
    </row>
    <row r="120" spans="1:100" hidden="1" x14ac:dyDescent="0.25">
      <c r="A120" t="s">
        <v>157</v>
      </c>
      <c r="B120" t="s">
        <v>180</v>
      </c>
      <c r="C120">
        <v>2302600119</v>
      </c>
      <c r="D120" t="s">
        <v>60</v>
      </c>
      <c r="E120" s="2">
        <v>0.69</v>
      </c>
      <c r="F120" s="1">
        <v>46190</v>
      </c>
      <c r="G120" s="1">
        <v>46199</v>
      </c>
      <c r="H120" s="1">
        <v>46227</v>
      </c>
      <c r="I120" s="1">
        <v>46224</v>
      </c>
      <c r="J120">
        <v>3</v>
      </c>
      <c r="K120" s="1"/>
      <c r="L120" s="3">
        <v>0.43</v>
      </c>
      <c r="M120" s="3">
        <v>1</v>
      </c>
      <c r="N120" s="3">
        <v>0.27906976744186046</v>
      </c>
      <c r="O120" s="3">
        <v>0.18604651162790697</v>
      </c>
      <c r="P120" s="3">
        <v>0.2558139534883721</v>
      </c>
      <c r="Q120" s="3">
        <v>0.18604651162790697</v>
      </c>
      <c r="R120" s="3">
        <v>9.3023255813953487E-2</v>
      </c>
      <c r="S120" s="3">
        <v>3.9999999999999994E-2</v>
      </c>
      <c r="T120" s="3">
        <v>0.44444444444444442</v>
      </c>
      <c r="U120" s="3">
        <v>0.22222222222222221</v>
      </c>
      <c r="V120" s="3">
        <v>0.22222222222222221</v>
      </c>
      <c r="W120" s="3">
        <v>0</v>
      </c>
      <c r="X120" s="3">
        <v>0</v>
      </c>
      <c r="Y120" s="3">
        <v>0</v>
      </c>
      <c r="Z120" s="3">
        <v>0</v>
      </c>
      <c r="AA120" s="3">
        <v>0.03</v>
      </c>
      <c r="AB120" s="3">
        <v>0.27272727272727271</v>
      </c>
      <c r="AC120" s="3">
        <v>0.27272727272727271</v>
      </c>
      <c r="AD120" s="3">
        <v>0</v>
      </c>
      <c r="AE120" s="3">
        <v>0</v>
      </c>
      <c r="AF120" s="3">
        <v>0</v>
      </c>
      <c r="AG120" s="3">
        <v>0</v>
      </c>
      <c r="AH120" s="3">
        <v>0.18999999999999995</v>
      </c>
      <c r="AI120" s="3">
        <v>0.51351351351351338</v>
      </c>
      <c r="AJ120" s="3">
        <v>5.4054054054054036E-2</v>
      </c>
      <c r="AK120" s="3">
        <v>5.4054054054054036E-2</v>
      </c>
      <c r="AL120" s="3">
        <v>0</v>
      </c>
      <c r="AM120" s="3">
        <v>8.1081081081081058E-2</v>
      </c>
      <c r="AN120" s="3">
        <v>8.1081081081081058E-2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5.4054054054054036E-2</v>
      </c>
      <c r="AV120" s="3">
        <v>2.7027027027027018E-2</v>
      </c>
      <c r="AW120" s="3">
        <v>0</v>
      </c>
      <c r="AX120" s="3">
        <v>5.4054054054054036E-2</v>
      </c>
      <c r="AY120" s="3">
        <v>2.7027027027027018E-2</v>
      </c>
      <c r="AZ120" s="3">
        <v>0</v>
      </c>
      <c r="BA120" s="3">
        <v>5.4054054054054036E-2</v>
      </c>
      <c r="BB120" s="3">
        <v>0</v>
      </c>
      <c r="BC120" s="3">
        <v>0</v>
      </c>
      <c r="BD120" s="3">
        <v>2.7027027027027018E-2</v>
      </c>
      <c r="BE120">
        <v>31.32</v>
      </c>
      <c r="BF120" s="3" t="str">
        <f>+IF(AVANCE[[#This Row],[% AVANCE]]=100%,"MODULO TERMINADO",IF(AVANCE[[#This Row],[FECHA INICIO REAL]]="","MODULO NO INICIADO","PENDIENTE"))</f>
        <v>PENDIENTE</v>
      </c>
      <c r="BG120" s="3">
        <f>+IF(AVANCE[[#This Row],[VENTANAS]]=8.10810810810811%,100%,AVANCE[[#This Row],[VENTANAS]])</f>
        <v>0</v>
      </c>
      <c r="BH120" s="3">
        <f>+IF(AVANCE[[#This Row],[PISO]]=N$2,100%,AVANCE[[#This Row],[PISO]])</f>
        <v>1</v>
      </c>
      <c r="BI120" s="3">
        <f>+IF(AVANCE[[#This Row],[TABIQUES]]=O$2,100%,AVANCE[[#This Row],[TABIQUES]])</f>
        <v>1</v>
      </c>
      <c r="BJ120" s="3">
        <f>+IF(AVANCE[[#This Row],[MUROS]]=P$2,100%,AVANCE[[#This Row],[MUROS]])</f>
        <v>1</v>
      </c>
      <c r="BK120" s="3">
        <f>+IF(AVANCE[[#This Row],[CIELO]]=Q$2,100%,AVANCE[[#This Row],[CIELO]])</f>
        <v>1</v>
      </c>
      <c r="BL120" s="3">
        <f>+IF(AVANCE[[#This Row],[BALCÓN]]=R$2,100%,AVANCE[[#This Row],[BALCÓN]])</f>
        <v>1</v>
      </c>
      <c r="BM120" s="3">
        <f>+IF(AVANCE[[#This Row],[RED ALCANTARILLADO]]=U$2,100%,AVANCE[[#This Row],[RED ALCANTARILLADO]])</f>
        <v>1</v>
      </c>
      <c r="BN120" s="3">
        <f>+IF(AVANCE[[#This Row],[RED DE AGUA]]=V$2,100%,AVANCE[[#This Row],[RED DE AGUA]])</f>
        <v>1</v>
      </c>
      <c r="BO120" s="3">
        <f>+IF(AVANCE[[#This Row],[VENTILACIONES]]=W$2,100%,AVANCE[[#This Row],[VENTILACIONES]])</f>
        <v>0</v>
      </c>
      <c r="BP120" s="3">
        <f>+IF(AVANCE[[#This Row],[TINA]]=X$2,100%,AVANCE[[#This Row],[TINA]])</f>
        <v>0</v>
      </c>
      <c r="BQ120" s="3">
        <f>+IF(AVANCE[[#This Row],[WC]]=Y$2,100%,AVANCE[[#This Row],[WC]])</f>
        <v>0</v>
      </c>
      <c r="BR120" s="3">
        <f>+IF(AVANCE[[#This Row],[LAVAMANOS / LAVAPLATOS / LAVADERO]]=Z$2,100%,AVANCE[[#This Row],[LAVAMANOS / LAVAPLATOS / LAVADERO]])</f>
        <v>0</v>
      </c>
      <c r="BS120" s="3">
        <f>+IF(AVANCE[[#This Row],[CANALIZACIÓN]]=AC$2,100%,AVANCE[[#This Row],[CANALIZACIÓN]])</f>
        <v>1</v>
      </c>
      <c r="BT120" s="3">
        <f>+IF(AVANCE[[#This Row],[CABLEADO]]=AD$2,100%,AVANCE[[#This Row],[CABLEADO]])</f>
        <v>0</v>
      </c>
      <c r="BU120" s="3">
        <f>+IF(AVANCE[[#This Row],[ARTEFACTOS]]=AE$2,100%,AVANCE[[#This Row],[ARTEFACTOS]])</f>
        <v>0</v>
      </c>
      <c r="BV120" s="3">
        <f>+IF(AVANCE[[#This Row],[TABLERO]]=AF$2,100%,AVANCE[[#This Row],[TABLERO]])</f>
        <v>0</v>
      </c>
      <c r="BW120" s="3">
        <f>+IF(AVANCE[[#This Row],[CAJA PAU]]=AG$2,100%,AVANCE[[#This Row],[CAJA PAU]])</f>
        <v>0</v>
      </c>
      <c r="BX120" s="3">
        <f>+IF(AVANCE[[#This Row],[INSTALACION VINILICO]]=AJ$2,100%,AVANCE[[#This Row],[INSTALACION VINILICO]])</f>
        <v>1</v>
      </c>
      <c r="BY120" s="3">
        <f>+IF(AVANCE[[#This Row],[OSB CUBIERTA]]=AK$2,100%,AVANCE[[#This Row],[OSB CUBIERTA]])</f>
        <v>1</v>
      </c>
      <c r="BZ120" s="3">
        <f>+IF(AVANCE[[#This Row],[BARANDA BALCON]]=AL$2,100%,AVANCE[[#This Row],[BARANDA BALCON]])</f>
        <v>0</v>
      </c>
      <c r="CA120" s="3">
        <f>+IF(AVANCE[[#This Row],[OSB EXTERIOR]]=AM$2,100%,AVANCE[[#This Row],[OSB EXTERIOR]])</f>
        <v>1</v>
      </c>
      <c r="CB120" s="3">
        <f>+IF(AVANCE[[#This Row],[SMART PANEL]]=AN$2,100%,AVANCE[[#This Row],[SMART PANEL]])</f>
        <v>1</v>
      </c>
      <c r="CC120" s="3">
        <f>+IF(AVANCE[[#This Row],[PINTURA EXTERIOR]]=AO$2,100%,AVANCE[[#This Row],[PINTURA EXTERIOR]])</f>
        <v>0</v>
      </c>
      <c r="CD120" s="3">
        <f>+IF(AVANCE[[#This Row],[ZOCALOS LOGIA]]=AP$2,100%,AVANCE[[#This Row],[ZOCALOS LOGIA]])</f>
        <v>0</v>
      </c>
      <c r="CE120" s="3">
        <f>+IF(AVANCE[[#This Row],[MOLDURAS]]=AQ$2,100%,AVANCE[[#This Row],[MOLDURAS]])</f>
        <v>0</v>
      </c>
      <c r="CF120" s="3">
        <f>+IF(AVANCE[[#This Row],[PILASTREO]]=AR$2,100%,AVANCE[[#This Row],[PILASTREO]])</f>
        <v>0</v>
      </c>
      <c r="CG120" s="3">
        <f>+IF(AVANCE[[#This Row],[CELOSIAS]]=AS$2,100%,AVANCE[[#This Row],[CELOSIAS]])</f>
        <v>0</v>
      </c>
      <c r="CH120" s="3">
        <f>+IF(AVANCE[[#This Row],[VENTANAS]]=AT$2,100%,AVANCE[[#This Row],[VENTANAS]])</f>
        <v>0</v>
      </c>
      <c r="CI120" s="3">
        <f>+IF(AVANCE[[#This Row],[PUERTAS ACCESO - LOGIA - BANO]]=AU$2,100%,AVANCE[[#This Row],[PUERTAS ACCESO - LOGIA - BANO]])</f>
        <v>1</v>
      </c>
      <c r="CJ120" s="3">
        <f>+IF(AVANCE[[#This Row],[CERRADURAS]]=AV$2,100%,AVANCE[[#This Row],[CERRADURAS]])</f>
        <v>1</v>
      </c>
      <c r="CK120" s="3">
        <f>+IF(AVANCE[[#This Row],[REVESTIMIENTO INTERIOR ZONA SECA]]=AW$2,100%,AVANCE[[#This Row],[REVESTIMIENTO INTERIOR ZONA SECA]])</f>
        <v>0</v>
      </c>
      <c r="CL120" s="3">
        <f>+IF(AVANCE[[#This Row],[REVESTIMIENTO INTERIOR ZONAS HUMEDAS]]=AX$2,100%,AVANCE[[#This Row],[REVESTIMIENTO INTERIOR ZONAS HUMEDAS]])</f>
        <v>1</v>
      </c>
      <c r="CM120" s="3">
        <f>+IF(AVANCE[[#This Row],[MEMBRANA CIELO]]=AY$2,100%,AVANCE[[#This Row],[MEMBRANA CIELO]])</f>
        <v>1</v>
      </c>
      <c r="CN120" s="3">
        <f>+IF(AVANCE[[#This Row],[LIMPIEZA FINAL]]=AZ$2,100%,AVANCE[[#This Row],[LIMPIEZA FINAL]])</f>
        <v>0</v>
      </c>
      <c r="CO120" s="3">
        <f>+IF(AVANCE[[#This Row],[PUERTAS DORMITORIO]]=BA$2,100%,AVANCE[[#This Row],[PUERTAS DORMITORIO]])</f>
        <v>1</v>
      </c>
      <c r="CP120" s="3">
        <f>+IF(AVANCE[[#This Row],[REVESTIMIENTO INTERIOR BANO]]=BB$2,100%,AVANCE[[#This Row],[REVESTIMIENTO INTERIOR BANO]])</f>
        <v>0</v>
      </c>
      <c r="CQ120" s="3">
        <f>+IF(AVANCE[[#This Row],[MUEBLE LAVAPLATOS]]=BC$2,100%,AVANCE[[#This Row],[MUEBLE LAVAPLATOS]])</f>
        <v>0</v>
      </c>
      <c r="CR120" s="3">
        <f>+IF(AVANCE[[#This Row],[IMPERMEABILIZACION BANO - COCINA LOGIA]]=BD$2,100%,AVANCE[[#This Row],[IMPERMEABILIZACION BANO - COCINA LOGIA]])</f>
        <v>1</v>
      </c>
      <c r="CS120" s="40">
        <f ca="1">+IF(AVANCE[[#This Row],[ESTADO MODULO]]="PENDIENTE",(TODAY()-AVANCE[[#This Row],[FECHA TERMINO  PLANIFICADO]]),0)</f>
        <v>6</v>
      </c>
      <c r="CT120" s="41" t="str" cm="1">
        <f t="array" ref="CT120">_xlfn.TEXTJOIN(" | ",TRUE,IF(SUMPRODUCT((BG120:CR120&lt;1)*(PARTIDAS!$I$2:$AT$2="OBRA GRUESA"))&gt;0,"OBRA GRUESA: "&amp;_xlfn.TEXTJOIN(", ",TRUE,IF((BG120:CR120&lt;1)*(PARTIDAS!$I$2:$AT$2="OBRA GRUESA"),PARTIDAS!$I$1:$AT$1,"")),""),IF(SUMPRODUCT((BG120:CR120&lt;1)*(PARTIDAS!$I$2:$AT$2="SANITARIOS"))&gt;0,"SANITARIOS: "&amp;_xlfn.TEXTJOIN(", ",TRUE,IF((BG120:CR120&lt;1)*(PARTIDAS!$I$2:$AT$2="SANITARIOS"),PARTIDAS!$I$1:$AT$1,"")),""),IF(SUMPRODUCT((BG120:CR120&lt;1)*(PARTIDAS!$I$2:$AT$2="ELÉCTRICO"))&gt;0,"ELÉCTRICO: "&amp;_xlfn.TEXTJOIN(", ",TRUE,IF((BG120:CR120&lt;1)*(PARTIDAS!$I$2:$AT$2="ELÉCTRICO"),PARTIDAS!$I$1:$AT$1,"")),""),IF(SUMPRODUCT((BG120:CR120&lt;1)*(PARTIDAS!$I$2:$AT$2="TERMINACIONES"))&gt;0,"TERMINACIONES: "&amp;_xlfn.TEXTJOIN(", ",TRUE,IF((BG120:CR120&lt;1)*(PARTIDAS!$I$2:$AT$2="TERMINACIONES"),PARTIDAS!$I$1:$AT$1,"")),""))</f>
        <v>SANITARIOS: VENTILACIONES, TINA, WC, LAVAMANOS / LAVAPLATOS / LAVADERO | ELÉCTRICO: CABLEADO, ARTEFACTOS, TABLERO, CAJA PAU | TERMINACIONES: VENTANAS, BARANDA BALCON, PINTURA EXTERIOR, ZOCALOS LOGIA, MOLDURAS, PILASTREO, CELOSIAS, VENTANAS (TERM), REVESTIMIENTO INTERIOR ZONA SECA, LIMPIEZA FINAL, REVESTIMIENTO INTERIOR BANO, MUEBLE LAVAPLATOS</v>
      </c>
      <c r="CU120" s="43" t="str" cm="1">
        <f t="array" ref="CU120">_xlfn.TEXTJOIN(", ",TRUE,IF(SUMPRODUCT((BG120:CR120&lt;1)*(PARTIDAS!$I$2:$AT$2="OBRA GRUESA"))&gt;0,"OBRA GRUESA",""),IF(SUMPRODUCT((BG120:CR120&lt;1)*(PARTIDAS!$I$2:$AT$2="SANITARIOS"))&gt;0,"SANITARIOS",""),IF(SUMPRODUCT((BG120:CR120&lt;1)*(PARTIDAS!$I$2:$AT$2="ELÉCTRICO"))&gt;0,"ELÉCTRICO",""),IF(SUMPRODUCT((BG120:CR120&lt;1)*(PARTIDAS!$I$2:$AT$2="TERMINACIONES"))&gt;0,"TERMINACIONES",""))</f>
        <v>SANITARIOS, ELÉCTRICO, TERMINACIONES</v>
      </c>
      <c r="CV120" s="44" cm="1">
        <f t="array" ref="CV120">SUMPRODUCT(--(BG120:CR120&lt;1))</f>
        <v>20</v>
      </c>
    </row>
    <row r="121" spans="1:100" hidden="1" x14ac:dyDescent="0.25">
      <c r="A121" t="s">
        <v>157</v>
      </c>
      <c r="B121" t="s">
        <v>181</v>
      </c>
      <c r="C121">
        <v>2282600120</v>
      </c>
      <c r="D121" t="s">
        <v>58</v>
      </c>
      <c r="E121" s="2">
        <v>0.8949999999999998</v>
      </c>
      <c r="F121" s="1">
        <v>46190</v>
      </c>
      <c r="G121" s="1">
        <v>46198</v>
      </c>
      <c r="H121" s="1">
        <v>46225</v>
      </c>
      <c r="I121" s="1">
        <v>46214</v>
      </c>
      <c r="J121">
        <v>5</v>
      </c>
      <c r="K121" s="1"/>
      <c r="L121" s="3">
        <v>0.43</v>
      </c>
      <c r="M121" s="3">
        <v>1</v>
      </c>
      <c r="N121" s="3">
        <v>0.27906976744186046</v>
      </c>
      <c r="O121" s="3">
        <v>0.18604651162790697</v>
      </c>
      <c r="P121" s="3">
        <v>0.2558139534883721</v>
      </c>
      <c r="Q121" s="3">
        <v>0.18604651162790697</v>
      </c>
      <c r="R121" s="3">
        <v>9.3023255813953487E-2</v>
      </c>
      <c r="S121" s="3">
        <v>0.09</v>
      </c>
      <c r="T121" s="3">
        <v>1</v>
      </c>
      <c r="U121" s="3">
        <v>0.22222222222222221</v>
      </c>
      <c r="V121" s="3">
        <v>0.22222222222222221</v>
      </c>
      <c r="W121" s="3">
        <v>0.1111111111111111</v>
      </c>
      <c r="X121" s="3">
        <v>0.1111111111111111</v>
      </c>
      <c r="Y121" s="3">
        <v>0.1111111111111111</v>
      </c>
      <c r="Z121" s="3">
        <v>0.22222222222222221</v>
      </c>
      <c r="AA121" s="3">
        <v>6.9999999999999993E-2</v>
      </c>
      <c r="AB121" s="3">
        <v>0.63636363636363635</v>
      </c>
      <c r="AC121" s="3">
        <v>0.27272727272727271</v>
      </c>
      <c r="AD121" s="3">
        <v>0</v>
      </c>
      <c r="AE121" s="3">
        <v>0</v>
      </c>
      <c r="AF121" s="3">
        <v>0.18181818181818182</v>
      </c>
      <c r="AG121" s="3">
        <v>0.18181818181818182</v>
      </c>
      <c r="AH121" s="3">
        <v>0.30499999999999988</v>
      </c>
      <c r="AI121" s="3">
        <v>0.82432432432432401</v>
      </c>
      <c r="AJ121" s="3">
        <v>5.4054054054054036E-2</v>
      </c>
      <c r="AK121" s="3">
        <v>5.4054054054054036E-2</v>
      </c>
      <c r="AL121" s="3">
        <v>2.7027027027027018E-2</v>
      </c>
      <c r="AM121" s="3">
        <v>8.1081081081081058E-2</v>
      </c>
      <c r="AN121" s="3">
        <v>8.1081081081081058E-2</v>
      </c>
      <c r="AO121" s="3">
        <v>6.7567567567567557E-2</v>
      </c>
      <c r="AP121" s="3">
        <v>5.4054054054054036E-2</v>
      </c>
      <c r="AQ121" s="3">
        <v>1.3513513513513509E-2</v>
      </c>
      <c r="AR121" s="3">
        <v>0</v>
      </c>
      <c r="AS121" s="3">
        <v>0</v>
      </c>
      <c r="AT121" s="3">
        <v>8.1081081081081058E-2</v>
      </c>
      <c r="AU121" s="3">
        <v>5.4054054054054036E-2</v>
      </c>
      <c r="AV121" s="3">
        <v>0</v>
      </c>
      <c r="AW121" s="3">
        <v>5.4054054054054036E-2</v>
      </c>
      <c r="AX121" s="3">
        <v>5.4054054054054036E-2</v>
      </c>
      <c r="AY121" s="3">
        <v>2.7027027027027018E-2</v>
      </c>
      <c r="AZ121" s="3">
        <v>0</v>
      </c>
      <c r="BA121" s="3">
        <v>0</v>
      </c>
      <c r="BB121" s="3">
        <v>8.1081081081081058E-2</v>
      </c>
      <c r="BC121" s="3">
        <v>1.3513513513513509E-2</v>
      </c>
      <c r="BD121" s="3">
        <v>2.7027027027027018E-2</v>
      </c>
      <c r="BE121">
        <v>28.87</v>
      </c>
      <c r="BF121" s="3" t="str">
        <f>+IF(AVANCE[[#This Row],[% AVANCE]]=100%,"MODULO TERMINADO",IF(AVANCE[[#This Row],[FECHA INICIO REAL]]="","MODULO NO INICIADO","PENDIENTE"))</f>
        <v>PENDIENTE</v>
      </c>
      <c r="BG121" s="3">
        <f>+IF(AVANCE[[#This Row],[VENTANAS]]=8.10810810810811%,100%,AVANCE[[#This Row],[VENTANAS]])</f>
        <v>1</v>
      </c>
      <c r="BH121" s="3">
        <f>+IF(AVANCE[[#This Row],[PISO]]=N$2,100%,AVANCE[[#This Row],[PISO]])</f>
        <v>1</v>
      </c>
      <c r="BI121" s="3">
        <f>+IF(AVANCE[[#This Row],[TABIQUES]]=O$2,100%,AVANCE[[#This Row],[TABIQUES]])</f>
        <v>1</v>
      </c>
      <c r="BJ121" s="3">
        <f>+IF(AVANCE[[#This Row],[MUROS]]=P$2,100%,AVANCE[[#This Row],[MUROS]])</f>
        <v>1</v>
      </c>
      <c r="BK121" s="3">
        <f>+IF(AVANCE[[#This Row],[CIELO]]=Q$2,100%,AVANCE[[#This Row],[CIELO]])</f>
        <v>1</v>
      </c>
      <c r="BL121" s="3">
        <f>+IF(AVANCE[[#This Row],[BALCÓN]]=R$2,100%,AVANCE[[#This Row],[BALCÓN]])</f>
        <v>1</v>
      </c>
      <c r="BM121" s="3">
        <f>+IF(AVANCE[[#This Row],[RED ALCANTARILLADO]]=U$2,100%,AVANCE[[#This Row],[RED ALCANTARILLADO]])</f>
        <v>1</v>
      </c>
      <c r="BN121" s="3">
        <f>+IF(AVANCE[[#This Row],[RED DE AGUA]]=V$2,100%,AVANCE[[#This Row],[RED DE AGUA]])</f>
        <v>1</v>
      </c>
      <c r="BO121" s="3">
        <f>+IF(AVANCE[[#This Row],[VENTILACIONES]]=W$2,100%,AVANCE[[#This Row],[VENTILACIONES]])</f>
        <v>1</v>
      </c>
      <c r="BP121" s="3">
        <f>+IF(AVANCE[[#This Row],[TINA]]=X$2,100%,AVANCE[[#This Row],[TINA]])</f>
        <v>1</v>
      </c>
      <c r="BQ121" s="3">
        <f>+IF(AVANCE[[#This Row],[WC]]=Y$2,100%,AVANCE[[#This Row],[WC]])</f>
        <v>1</v>
      </c>
      <c r="BR121" s="3">
        <f>+IF(AVANCE[[#This Row],[LAVAMANOS / LAVAPLATOS / LAVADERO]]=Z$2,100%,AVANCE[[#This Row],[LAVAMANOS / LAVAPLATOS / LAVADERO]])</f>
        <v>1</v>
      </c>
      <c r="BS121" s="3">
        <f>+IF(AVANCE[[#This Row],[CANALIZACIÓN]]=AC$2,100%,AVANCE[[#This Row],[CANALIZACIÓN]])</f>
        <v>1</v>
      </c>
      <c r="BT121" s="3">
        <f>+IF(AVANCE[[#This Row],[CABLEADO]]=AD$2,100%,AVANCE[[#This Row],[CABLEADO]])</f>
        <v>0</v>
      </c>
      <c r="BU121" s="3">
        <f>+IF(AVANCE[[#This Row],[ARTEFACTOS]]=AE$2,100%,AVANCE[[#This Row],[ARTEFACTOS]])</f>
        <v>0</v>
      </c>
      <c r="BV121" s="3">
        <f>+IF(AVANCE[[#This Row],[TABLERO]]=AF$2,100%,AVANCE[[#This Row],[TABLERO]])</f>
        <v>1</v>
      </c>
      <c r="BW121" s="3">
        <f>+IF(AVANCE[[#This Row],[CAJA PAU]]=AG$2,100%,AVANCE[[#This Row],[CAJA PAU]])</f>
        <v>1</v>
      </c>
      <c r="BX121" s="3">
        <f>+IF(AVANCE[[#This Row],[INSTALACION VINILICO]]=AJ$2,100%,AVANCE[[#This Row],[INSTALACION VINILICO]])</f>
        <v>1</v>
      </c>
      <c r="BY121" s="3">
        <f>+IF(AVANCE[[#This Row],[OSB CUBIERTA]]=AK$2,100%,AVANCE[[#This Row],[OSB CUBIERTA]])</f>
        <v>1</v>
      </c>
      <c r="BZ121" s="3">
        <f>+IF(AVANCE[[#This Row],[BARANDA BALCON]]=AL$2,100%,AVANCE[[#This Row],[BARANDA BALCON]])</f>
        <v>1</v>
      </c>
      <c r="CA121" s="3">
        <f>+IF(AVANCE[[#This Row],[OSB EXTERIOR]]=AM$2,100%,AVANCE[[#This Row],[OSB EXTERIOR]])</f>
        <v>1</v>
      </c>
      <c r="CB121" s="3">
        <f>+IF(AVANCE[[#This Row],[SMART PANEL]]=AN$2,100%,AVANCE[[#This Row],[SMART PANEL]])</f>
        <v>1</v>
      </c>
      <c r="CC121" s="3">
        <f>+IF(AVANCE[[#This Row],[PINTURA EXTERIOR]]=AO$2,100%,AVANCE[[#This Row],[PINTURA EXTERIOR]])</f>
        <v>1</v>
      </c>
      <c r="CD121" s="3">
        <f>+IF(AVANCE[[#This Row],[ZOCALOS LOGIA]]=AP$2,100%,AVANCE[[#This Row],[ZOCALOS LOGIA]])</f>
        <v>1</v>
      </c>
      <c r="CE121" s="3">
        <f>+IF(AVANCE[[#This Row],[MOLDURAS]]=AQ$2,100%,AVANCE[[#This Row],[MOLDURAS]])</f>
        <v>1</v>
      </c>
      <c r="CF121" s="3">
        <f>+IF(AVANCE[[#This Row],[PILASTREO]]=AR$2,100%,AVANCE[[#This Row],[PILASTREO]])</f>
        <v>0</v>
      </c>
      <c r="CG121" s="3">
        <f>+IF(AVANCE[[#This Row],[CELOSIAS]]=AS$2,100%,AVANCE[[#This Row],[CELOSIAS]])</f>
        <v>0</v>
      </c>
      <c r="CH121" s="3">
        <f>+IF(AVANCE[[#This Row],[VENTANAS]]=AT$2,100%,AVANCE[[#This Row],[VENTANAS]])</f>
        <v>1</v>
      </c>
      <c r="CI121" s="3">
        <f>+IF(AVANCE[[#This Row],[PUERTAS ACCESO - LOGIA - BANO]]=AU$2,100%,AVANCE[[#This Row],[PUERTAS ACCESO - LOGIA - BANO]])</f>
        <v>1</v>
      </c>
      <c r="CJ121" s="3">
        <f>+IF(AVANCE[[#This Row],[CERRADURAS]]=AV$2,100%,AVANCE[[#This Row],[CERRADURAS]])</f>
        <v>0</v>
      </c>
      <c r="CK121" s="3">
        <f>+IF(AVANCE[[#This Row],[REVESTIMIENTO INTERIOR ZONA SECA]]=AW$2,100%,AVANCE[[#This Row],[REVESTIMIENTO INTERIOR ZONA SECA]])</f>
        <v>1</v>
      </c>
      <c r="CL121" s="3">
        <f>+IF(AVANCE[[#This Row],[REVESTIMIENTO INTERIOR ZONAS HUMEDAS]]=AX$2,100%,AVANCE[[#This Row],[REVESTIMIENTO INTERIOR ZONAS HUMEDAS]])</f>
        <v>1</v>
      </c>
      <c r="CM121" s="3">
        <f>+IF(AVANCE[[#This Row],[MEMBRANA CIELO]]=AY$2,100%,AVANCE[[#This Row],[MEMBRANA CIELO]])</f>
        <v>1</v>
      </c>
      <c r="CN121" s="3">
        <f>+IF(AVANCE[[#This Row],[LIMPIEZA FINAL]]=AZ$2,100%,AVANCE[[#This Row],[LIMPIEZA FINAL]])</f>
        <v>0</v>
      </c>
      <c r="CO121" s="3">
        <f>+IF(AVANCE[[#This Row],[PUERTAS DORMITORIO]]=BA$2,100%,AVANCE[[#This Row],[PUERTAS DORMITORIO]])</f>
        <v>0</v>
      </c>
      <c r="CP121" s="3">
        <f>+IF(AVANCE[[#This Row],[REVESTIMIENTO INTERIOR BANO]]=BB$2,100%,AVANCE[[#This Row],[REVESTIMIENTO INTERIOR BANO]])</f>
        <v>1</v>
      </c>
      <c r="CQ121" s="3">
        <f>+IF(AVANCE[[#This Row],[MUEBLE LAVAPLATOS]]=BC$2,100%,AVANCE[[#This Row],[MUEBLE LAVAPLATOS]])</f>
        <v>1</v>
      </c>
      <c r="CR121" s="3">
        <f>+IF(AVANCE[[#This Row],[IMPERMEABILIZACION BANO - COCINA LOGIA]]=BD$2,100%,AVANCE[[#This Row],[IMPERMEABILIZACION BANO - COCINA LOGIA]])</f>
        <v>1</v>
      </c>
      <c r="CS121" s="40">
        <f ca="1">+IF(AVANCE[[#This Row],[ESTADO MODULO]]="PENDIENTE",(TODAY()-AVANCE[[#This Row],[FECHA TERMINO  PLANIFICADO]]),0)</f>
        <v>16</v>
      </c>
      <c r="CT121" s="41" t="str" cm="1">
        <f t="array" ref="CT121">_xlfn.TEXTJOIN(" | ",TRUE,IF(SUMPRODUCT((BG121:CR121&lt;1)*(PARTIDAS!$I$2:$AT$2="OBRA GRUESA"))&gt;0,"OBRA GRUESA: "&amp;_xlfn.TEXTJOIN(", ",TRUE,IF((BG121:CR121&lt;1)*(PARTIDAS!$I$2:$AT$2="OBRA GRUESA"),PARTIDAS!$I$1:$AT$1,"")),""),IF(SUMPRODUCT((BG121:CR121&lt;1)*(PARTIDAS!$I$2:$AT$2="SANITARIOS"))&gt;0,"SANITARIOS: "&amp;_xlfn.TEXTJOIN(", ",TRUE,IF((BG121:CR121&lt;1)*(PARTIDAS!$I$2:$AT$2="SANITARIOS"),PARTIDAS!$I$1:$AT$1,"")),""),IF(SUMPRODUCT((BG121:CR121&lt;1)*(PARTIDAS!$I$2:$AT$2="ELÉCTRICO"))&gt;0,"ELÉCTRICO: "&amp;_xlfn.TEXTJOIN(", ",TRUE,IF((BG121:CR121&lt;1)*(PARTIDAS!$I$2:$AT$2="ELÉCTRICO"),PARTIDAS!$I$1:$AT$1,"")),""),IF(SUMPRODUCT((BG121:CR121&lt;1)*(PARTIDAS!$I$2:$AT$2="TERMINACIONES"))&gt;0,"TERMINACIONES: "&amp;_xlfn.TEXTJOIN(", ",TRUE,IF((BG121:CR121&lt;1)*(PARTIDAS!$I$2:$AT$2="TERMINACIONES"),PARTIDAS!$I$1:$AT$1,"")),""))</f>
        <v>ELÉCTRICO: CABLEADO, ARTEFACTOS | TERMINACIONES: PILASTREO, CELOSIAS, CERRADURAS, LIMPIEZA FINAL, PUERTAS DORMITORIO</v>
      </c>
      <c r="CU121" s="43" t="str" cm="1">
        <f t="array" ref="CU121">_xlfn.TEXTJOIN(", ",TRUE,IF(SUMPRODUCT((BG121:CR121&lt;1)*(PARTIDAS!$I$2:$AT$2="OBRA GRUESA"))&gt;0,"OBRA GRUESA",""),IF(SUMPRODUCT((BG121:CR121&lt;1)*(PARTIDAS!$I$2:$AT$2="SANITARIOS"))&gt;0,"SANITARIOS",""),IF(SUMPRODUCT((BG121:CR121&lt;1)*(PARTIDAS!$I$2:$AT$2="ELÉCTRICO"))&gt;0,"ELÉCTRICO",""),IF(SUMPRODUCT((BG121:CR121&lt;1)*(PARTIDAS!$I$2:$AT$2="TERMINACIONES"))&gt;0,"TERMINACIONES",""))</f>
        <v>ELÉCTRICO, TERMINACIONES</v>
      </c>
      <c r="CV121" s="44" cm="1">
        <f t="array" ref="CV121">SUMPRODUCT(--(BG121:CR121&lt;1))</f>
        <v>7</v>
      </c>
    </row>
    <row r="122" spans="1:100" hidden="1" x14ac:dyDescent="0.25">
      <c r="A122" t="s">
        <v>157</v>
      </c>
      <c r="B122" t="s">
        <v>182</v>
      </c>
      <c r="C122">
        <v>2282600121</v>
      </c>
      <c r="D122" t="s">
        <v>58</v>
      </c>
      <c r="E122" s="2">
        <v>0.80499999999999994</v>
      </c>
      <c r="F122" s="1">
        <v>46191</v>
      </c>
      <c r="G122" s="1">
        <v>46206</v>
      </c>
      <c r="H122" s="1">
        <v>46216</v>
      </c>
      <c r="I122" s="1">
        <v>46215</v>
      </c>
      <c r="J122">
        <v>14</v>
      </c>
      <c r="K122" s="1"/>
      <c r="L122" s="3">
        <v>0.43</v>
      </c>
      <c r="M122" s="3">
        <v>1</v>
      </c>
      <c r="N122" s="3">
        <v>0.27906976744186046</v>
      </c>
      <c r="O122" s="3">
        <v>0.18604651162790697</v>
      </c>
      <c r="P122" s="3">
        <v>0.2558139534883721</v>
      </c>
      <c r="Q122" s="3">
        <v>0.18604651162790697</v>
      </c>
      <c r="R122" s="3">
        <v>9.3023255813953487E-2</v>
      </c>
      <c r="S122" s="3">
        <v>0.09</v>
      </c>
      <c r="T122" s="3">
        <v>1</v>
      </c>
      <c r="U122" s="3">
        <v>0.22222222222222221</v>
      </c>
      <c r="V122" s="3">
        <v>0.22222222222222221</v>
      </c>
      <c r="W122" s="3">
        <v>0.1111111111111111</v>
      </c>
      <c r="X122" s="3">
        <v>0.1111111111111111</v>
      </c>
      <c r="Y122" s="3">
        <v>0.1111111111111111</v>
      </c>
      <c r="Z122" s="3">
        <v>0.22222222222222221</v>
      </c>
      <c r="AA122" s="3">
        <v>6.9999999999999993E-2</v>
      </c>
      <c r="AB122" s="3">
        <v>0.63636363636363635</v>
      </c>
      <c r="AC122" s="3">
        <v>0.27272727272727271</v>
      </c>
      <c r="AD122" s="3">
        <v>0</v>
      </c>
      <c r="AE122" s="3">
        <v>0</v>
      </c>
      <c r="AF122" s="3">
        <v>0.18181818181818182</v>
      </c>
      <c r="AG122" s="3">
        <v>0.18181818181818182</v>
      </c>
      <c r="AH122" s="3">
        <v>0.21499999999999994</v>
      </c>
      <c r="AI122" s="3">
        <v>0.58108108108108092</v>
      </c>
      <c r="AJ122" s="3">
        <v>5.4054054054054036E-2</v>
      </c>
      <c r="AK122" s="3">
        <v>5.4054054054054036E-2</v>
      </c>
      <c r="AL122" s="3">
        <v>2.7027027027027018E-2</v>
      </c>
      <c r="AM122" s="3">
        <v>8.1081081081081058E-2</v>
      </c>
      <c r="AN122" s="3">
        <v>0</v>
      </c>
      <c r="AO122" s="3">
        <v>0</v>
      </c>
      <c r="AP122" s="3">
        <v>5.4054054054054036E-2</v>
      </c>
      <c r="AQ122" s="3">
        <v>0</v>
      </c>
      <c r="AR122" s="3">
        <v>0</v>
      </c>
      <c r="AS122" s="3">
        <v>0</v>
      </c>
      <c r="AT122" s="3">
        <v>0</v>
      </c>
      <c r="AU122" s="3">
        <v>5.4054054054054036E-2</v>
      </c>
      <c r="AV122" s="3">
        <v>0</v>
      </c>
      <c r="AW122" s="3">
        <v>5.4054054054054036E-2</v>
      </c>
      <c r="AX122" s="3">
        <v>5.4054054054054036E-2</v>
      </c>
      <c r="AY122" s="3">
        <v>2.7027027027027018E-2</v>
      </c>
      <c r="AZ122" s="3">
        <v>0</v>
      </c>
      <c r="BA122" s="3">
        <v>0</v>
      </c>
      <c r="BB122" s="3">
        <v>8.1081081081081058E-2</v>
      </c>
      <c r="BC122" s="3">
        <v>1.3513513513513509E-2</v>
      </c>
      <c r="BD122" s="3">
        <v>2.7027027027027018E-2</v>
      </c>
      <c r="BE122">
        <v>28.87</v>
      </c>
      <c r="BF122" s="3" t="str">
        <f>+IF(AVANCE[[#This Row],[% AVANCE]]=100%,"MODULO TERMINADO",IF(AVANCE[[#This Row],[FECHA INICIO REAL]]="","MODULO NO INICIADO","PENDIENTE"))</f>
        <v>PENDIENTE</v>
      </c>
      <c r="BG122" s="3">
        <f>+IF(AVANCE[[#This Row],[VENTANAS]]=8.10810810810811%,100%,AVANCE[[#This Row],[VENTANAS]])</f>
        <v>0</v>
      </c>
      <c r="BH122" s="3">
        <f>+IF(AVANCE[[#This Row],[PISO]]=N$2,100%,AVANCE[[#This Row],[PISO]])</f>
        <v>1</v>
      </c>
      <c r="BI122" s="3">
        <f>+IF(AVANCE[[#This Row],[TABIQUES]]=O$2,100%,AVANCE[[#This Row],[TABIQUES]])</f>
        <v>1</v>
      </c>
      <c r="BJ122" s="3">
        <f>+IF(AVANCE[[#This Row],[MUROS]]=P$2,100%,AVANCE[[#This Row],[MUROS]])</f>
        <v>1</v>
      </c>
      <c r="BK122" s="3">
        <f>+IF(AVANCE[[#This Row],[CIELO]]=Q$2,100%,AVANCE[[#This Row],[CIELO]])</f>
        <v>1</v>
      </c>
      <c r="BL122" s="3">
        <f>+IF(AVANCE[[#This Row],[BALCÓN]]=R$2,100%,AVANCE[[#This Row],[BALCÓN]])</f>
        <v>1</v>
      </c>
      <c r="BM122" s="3">
        <f>+IF(AVANCE[[#This Row],[RED ALCANTARILLADO]]=U$2,100%,AVANCE[[#This Row],[RED ALCANTARILLADO]])</f>
        <v>1</v>
      </c>
      <c r="BN122" s="3">
        <f>+IF(AVANCE[[#This Row],[RED DE AGUA]]=V$2,100%,AVANCE[[#This Row],[RED DE AGUA]])</f>
        <v>1</v>
      </c>
      <c r="BO122" s="3">
        <f>+IF(AVANCE[[#This Row],[VENTILACIONES]]=W$2,100%,AVANCE[[#This Row],[VENTILACIONES]])</f>
        <v>1</v>
      </c>
      <c r="BP122" s="3">
        <f>+IF(AVANCE[[#This Row],[TINA]]=X$2,100%,AVANCE[[#This Row],[TINA]])</f>
        <v>1</v>
      </c>
      <c r="BQ122" s="3">
        <f>+IF(AVANCE[[#This Row],[WC]]=Y$2,100%,AVANCE[[#This Row],[WC]])</f>
        <v>1</v>
      </c>
      <c r="BR122" s="3">
        <f>+IF(AVANCE[[#This Row],[LAVAMANOS / LAVAPLATOS / LAVADERO]]=Z$2,100%,AVANCE[[#This Row],[LAVAMANOS / LAVAPLATOS / LAVADERO]])</f>
        <v>1</v>
      </c>
      <c r="BS122" s="3">
        <f>+IF(AVANCE[[#This Row],[CANALIZACIÓN]]=AC$2,100%,AVANCE[[#This Row],[CANALIZACIÓN]])</f>
        <v>1</v>
      </c>
      <c r="BT122" s="3">
        <f>+IF(AVANCE[[#This Row],[CABLEADO]]=AD$2,100%,AVANCE[[#This Row],[CABLEADO]])</f>
        <v>0</v>
      </c>
      <c r="BU122" s="3">
        <f>+IF(AVANCE[[#This Row],[ARTEFACTOS]]=AE$2,100%,AVANCE[[#This Row],[ARTEFACTOS]])</f>
        <v>0</v>
      </c>
      <c r="BV122" s="3">
        <f>+IF(AVANCE[[#This Row],[TABLERO]]=AF$2,100%,AVANCE[[#This Row],[TABLERO]])</f>
        <v>1</v>
      </c>
      <c r="BW122" s="3">
        <f>+IF(AVANCE[[#This Row],[CAJA PAU]]=AG$2,100%,AVANCE[[#This Row],[CAJA PAU]])</f>
        <v>1</v>
      </c>
      <c r="BX122" s="3">
        <f>+IF(AVANCE[[#This Row],[INSTALACION VINILICO]]=AJ$2,100%,AVANCE[[#This Row],[INSTALACION VINILICO]])</f>
        <v>1</v>
      </c>
      <c r="BY122" s="3">
        <f>+IF(AVANCE[[#This Row],[OSB CUBIERTA]]=AK$2,100%,AVANCE[[#This Row],[OSB CUBIERTA]])</f>
        <v>1</v>
      </c>
      <c r="BZ122" s="3">
        <f>+IF(AVANCE[[#This Row],[BARANDA BALCON]]=AL$2,100%,AVANCE[[#This Row],[BARANDA BALCON]])</f>
        <v>1</v>
      </c>
      <c r="CA122" s="3">
        <f>+IF(AVANCE[[#This Row],[OSB EXTERIOR]]=AM$2,100%,AVANCE[[#This Row],[OSB EXTERIOR]])</f>
        <v>1</v>
      </c>
      <c r="CB122" s="3">
        <f>+IF(AVANCE[[#This Row],[SMART PANEL]]=AN$2,100%,AVANCE[[#This Row],[SMART PANEL]])</f>
        <v>0</v>
      </c>
      <c r="CC122" s="3">
        <f>+IF(AVANCE[[#This Row],[PINTURA EXTERIOR]]=AO$2,100%,AVANCE[[#This Row],[PINTURA EXTERIOR]])</f>
        <v>0</v>
      </c>
      <c r="CD122" s="3">
        <f>+IF(AVANCE[[#This Row],[ZOCALOS LOGIA]]=AP$2,100%,AVANCE[[#This Row],[ZOCALOS LOGIA]])</f>
        <v>1</v>
      </c>
      <c r="CE122" s="3">
        <f>+IF(AVANCE[[#This Row],[MOLDURAS]]=AQ$2,100%,AVANCE[[#This Row],[MOLDURAS]])</f>
        <v>0</v>
      </c>
      <c r="CF122" s="3">
        <f>+IF(AVANCE[[#This Row],[PILASTREO]]=AR$2,100%,AVANCE[[#This Row],[PILASTREO]])</f>
        <v>0</v>
      </c>
      <c r="CG122" s="3">
        <f>+IF(AVANCE[[#This Row],[CELOSIAS]]=AS$2,100%,AVANCE[[#This Row],[CELOSIAS]])</f>
        <v>0</v>
      </c>
      <c r="CH122" s="3">
        <f>+IF(AVANCE[[#This Row],[VENTANAS]]=AT$2,100%,AVANCE[[#This Row],[VENTANAS]])</f>
        <v>0</v>
      </c>
      <c r="CI122" s="3">
        <f>+IF(AVANCE[[#This Row],[PUERTAS ACCESO - LOGIA - BANO]]=AU$2,100%,AVANCE[[#This Row],[PUERTAS ACCESO - LOGIA - BANO]])</f>
        <v>1</v>
      </c>
      <c r="CJ122" s="3">
        <f>+IF(AVANCE[[#This Row],[CERRADURAS]]=AV$2,100%,AVANCE[[#This Row],[CERRADURAS]])</f>
        <v>0</v>
      </c>
      <c r="CK122" s="3">
        <f>+IF(AVANCE[[#This Row],[REVESTIMIENTO INTERIOR ZONA SECA]]=AW$2,100%,AVANCE[[#This Row],[REVESTIMIENTO INTERIOR ZONA SECA]])</f>
        <v>1</v>
      </c>
      <c r="CL122" s="3">
        <f>+IF(AVANCE[[#This Row],[REVESTIMIENTO INTERIOR ZONAS HUMEDAS]]=AX$2,100%,AVANCE[[#This Row],[REVESTIMIENTO INTERIOR ZONAS HUMEDAS]])</f>
        <v>1</v>
      </c>
      <c r="CM122" s="3">
        <f>+IF(AVANCE[[#This Row],[MEMBRANA CIELO]]=AY$2,100%,AVANCE[[#This Row],[MEMBRANA CIELO]])</f>
        <v>1</v>
      </c>
      <c r="CN122" s="3">
        <f>+IF(AVANCE[[#This Row],[LIMPIEZA FINAL]]=AZ$2,100%,AVANCE[[#This Row],[LIMPIEZA FINAL]])</f>
        <v>0</v>
      </c>
      <c r="CO122" s="3">
        <f>+IF(AVANCE[[#This Row],[PUERTAS DORMITORIO]]=BA$2,100%,AVANCE[[#This Row],[PUERTAS DORMITORIO]])</f>
        <v>0</v>
      </c>
      <c r="CP122" s="3">
        <f>+IF(AVANCE[[#This Row],[REVESTIMIENTO INTERIOR BANO]]=BB$2,100%,AVANCE[[#This Row],[REVESTIMIENTO INTERIOR BANO]])</f>
        <v>1</v>
      </c>
      <c r="CQ122" s="3">
        <f>+IF(AVANCE[[#This Row],[MUEBLE LAVAPLATOS]]=BC$2,100%,AVANCE[[#This Row],[MUEBLE LAVAPLATOS]])</f>
        <v>1</v>
      </c>
      <c r="CR122" s="3">
        <f>+IF(AVANCE[[#This Row],[IMPERMEABILIZACION BANO - COCINA LOGIA]]=BD$2,100%,AVANCE[[#This Row],[IMPERMEABILIZACION BANO - COCINA LOGIA]])</f>
        <v>1</v>
      </c>
      <c r="CS122" s="40">
        <f ca="1">+IF(AVANCE[[#This Row],[ESTADO MODULO]]="PENDIENTE",(TODAY()-AVANCE[[#This Row],[FECHA TERMINO  PLANIFICADO]]),0)</f>
        <v>15</v>
      </c>
      <c r="CT122" s="41" t="str" cm="1">
        <f t="array" ref="CT122">_xlfn.TEXTJOIN(" | ",TRUE,IF(SUMPRODUCT((BG122:CR122&lt;1)*(PARTIDAS!$I$2:$AT$2="OBRA GRUESA"))&gt;0,"OBRA GRUESA: "&amp;_xlfn.TEXTJOIN(", ",TRUE,IF((BG122:CR122&lt;1)*(PARTIDAS!$I$2:$AT$2="OBRA GRUESA"),PARTIDAS!$I$1:$AT$1,"")),""),IF(SUMPRODUCT((BG122:CR122&lt;1)*(PARTIDAS!$I$2:$AT$2="SANITARIOS"))&gt;0,"SANITARIOS: "&amp;_xlfn.TEXTJOIN(", ",TRUE,IF((BG122:CR122&lt;1)*(PARTIDAS!$I$2:$AT$2="SANITARIOS"),PARTIDAS!$I$1:$AT$1,"")),""),IF(SUMPRODUCT((BG122:CR122&lt;1)*(PARTIDAS!$I$2:$AT$2="ELÉCTRICO"))&gt;0,"ELÉCTRICO: "&amp;_xlfn.TEXTJOIN(", ",TRUE,IF((BG122:CR122&lt;1)*(PARTIDAS!$I$2:$AT$2="ELÉCTRICO"),PARTIDAS!$I$1:$AT$1,"")),""),IF(SUMPRODUCT((BG122:CR122&lt;1)*(PARTIDAS!$I$2:$AT$2="TERMINACIONES"))&gt;0,"TERMINACIONES: "&amp;_xlfn.TEXTJOIN(", ",TRUE,IF((BG122:CR122&lt;1)*(PARTIDAS!$I$2:$AT$2="TERMINACIONES"),PARTIDAS!$I$1:$AT$1,"")),""))</f>
        <v>ELÉCTRICO: CABLEADO, ARTEFACTOS | TERMINACIONES: VENTANAS, SMART PANEL, PINTURA EXTERIOR, MOLDURAS, PILASTREO, CELOSIAS, VENTANAS (TERM), CERRADURAS, LIMPIEZA FINAL, PUERTAS DORMITORIO</v>
      </c>
      <c r="CU122" s="43" t="str" cm="1">
        <f t="array" ref="CU122">_xlfn.TEXTJOIN(", ",TRUE,IF(SUMPRODUCT((BG122:CR122&lt;1)*(PARTIDAS!$I$2:$AT$2="OBRA GRUESA"))&gt;0,"OBRA GRUESA",""),IF(SUMPRODUCT((BG122:CR122&lt;1)*(PARTIDAS!$I$2:$AT$2="SANITARIOS"))&gt;0,"SANITARIOS",""),IF(SUMPRODUCT((BG122:CR122&lt;1)*(PARTIDAS!$I$2:$AT$2="ELÉCTRICO"))&gt;0,"ELÉCTRICO",""),IF(SUMPRODUCT((BG122:CR122&lt;1)*(PARTIDAS!$I$2:$AT$2="TERMINACIONES"))&gt;0,"TERMINACIONES",""))</f>
        <v>ELÉCTRICO, TERMINACIONES</v>
      </c>
      <c r="CV122" s="44" cm="1">
        <f t="array" ref="CV122">SUMPRODUCT(--(BG122:CR122&lt;1))</f>
        <v>12</v>
      </c>
    </row>
    <row r="123" spans="1:100" hidden="1" x14ac:dyDescent="0.25">
      <c r="A123" t="s">
        <v>157</v>
      </c>
      <c r="B123" t="s">
        <v>183</v>
      </c>
      <c r="C123">
        <v>2302600122</v>
      </c>
      <c r="D123" t="s">
        <v>60</v>
      </c>
      <c r="E123" s="2">
        <v>0.6</v>
      </c>
      <c r="F123" s="1">
        <v>46191</v>
      </c>
      <c r="G123" s="1">
        <v>46205</v>
      </c>
      <c r="H123" s="1">
        <v>46224</v>
      </c>
      <c r="I123" s="1">
        <v>46225</v>
      </c>
      <c r="J123">
        <v>6</v>
      </c>
      <c r="K123" s="1"/>
      <c r="L123" s="3">
        <v>0.43</v>
      </c>
      <c r="M123" s="3">
        <v>1</v>
      </c>
      <c r="N123" s="3">
        <v>0.27906976744186046</v>
      </c>
      <c r="O123" s="3">
        <v>0.18604651162790697</v>
      </c>
      <c r="P123" s="3">
        <v>0.2558139534883721</v>
      </c>
      <c r="Q123" s="3">
        <v>0.18604651162790697</v>
      </c>
      <c r="R123" s="3">
        <v>9.3023255813953487E-2</v>
      </c>
      <c r="S123" s="3">
        <v>3.9999999999999994E-2</v>
      </c>
      <c r="T123" s="3">
        <v>0.44444444444444442</v>
      </c>
      <c r="U123" s="3">
        <v>0.22222222222222221</v>
      </c>
      <c r="V123" s="3">
        <v>0.22222222222222221</v>
      </c>
      <c r="W123" s="3">
        <v>0</v>
      </c>
      <c r="X123" s="3">
        <v>0</v>
      </c>
      <c r="Y123" s="3">
        <v>0</v>
      </c>
      <c r="Z123" s="3">
        <v>0</v>
      </c>
      <c r="AA123" s="3">
        <v>0.03</v>
      </c>
      <c r="AB123" s="3">
        <v>0.27272727272727271</v>
      </c>
      <c r="AC123" s="3">
        <v>0.27272727272727271</v>
      </c>
      <c r="AD123" s="3">
        <v>0</v>
      </c>
      <c r="AE123" s="3">
        <v>0</v>
      </c>
      <c r="AF123" s="3">
        <v>0</v>
      </c>
      <c r="AG123" s="3">
        <v>0</v>
      </c>
      <c r="AH123" s="3">
        <v>9.9999999999999964E-2</v>
      </c>
      <c r="AI123" s="3">
        <v>0.27027027027027017</v>
      </c>
      <c r="AJ123" s="3">
        <v>0</v>
      </c>
      <c r="AK123" s="3">
        <v>5.4054054054054036E-2</v>
      </c>
      <c r="AL123" s="3">
        <v>0</v>
      </c>
      <c r="AM123" s="3">
        <v>8.1081081081081058E-2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5.4054054054054036E-2</v>
      </c>
      <c r="AY123" s="3">
        <v>2.7027027027027018E-2</v>
      </c>
      <c r="AZ123" s="3">
        <v>0</v>
      </c>
      <c r="BA123" s="3">
        <v>5.4054054054054036E-2</v>
      </c>
      <c r="BB123" s="3">
        <v>0</v>
      </c>
      <c r="BC123" s="3">
        <v>0</v>
      </c>
      <c r="BD123" s="3">
        <v>0</v>
      </c>
      <c r="BE123">
        <v>31.32</v>
      </c>
      <c r="BF123" s="3" t="str">
        <f>+IF(AVANCE[[#This Row],[% AVANCE]]=100%,"MODULO TERMINADO",IF(AVANCE[[#This Row],[FECHA INICIO REAL]]="","MODULO NO INICIADO","PENDIENTE"))</f>
        <v>PENDIENTE</v>
      </c>
      <c r="BG123" s="3">
        <f>+IF(AVANCE[[#This Row],[VENTANAS]]=8.10810810810811%,100%,AVANCE[[#This Row],[VENTANAS]])</f>
        <v>0</v>
      </c>
      <c r="BH123" s="3">
        <f>+IF(AVANCE[[#This Row],[PISO]]=N$2,100%,AVANCE[[#This Row],[PISO]])</f>
        <v>1</v>
      </c>
      <c r="BI123" s="3">
        <f>+IF(AVANCE[[#This Row],[TABIQUES]]=O$2,100%,AVANCE[[#This Row],[TABIQUES]])</f>
        <v>1</v>
      </c>
      <c r="BJ123" s="3">
        <f>+IF(AVANCE[[#This Row],[MUROS]]=P$2,100%,AVANCE[[#This Row],[MUROS]])</f>
        <v>1</v>
      </c>
      <c r="BK123" s="3">
        <f>+IF(AVANCE[[#This Row],[CIELO]]=Q$2,100%,AVANCE[[#This Row],[CIELO]])</f>
        <v>1</v>
      </c>
      <c r="BL123" s="3">
        <f>+IF(AVANCE[[#This Row],[BALCÓN]]=R$2,100%,AVANCE[[#This Row],[BALCÓN]])</f>
        <v>1</v>
      </c>
      <c r="BM123" s="3">
        <f>+IF(AVANCE[[#This Row],[RED ALCANTARILLADO]]=U$2,100%,AVANCE[[#This Row],[RED ALCANTARILLADO]])</f>
        <v>1</v>
      </c>
      <c r="BN123" s="3">
        <f>+IF(AVANCE[[#This Row],[RED DE AGUA]]=V$2,100%,AVANCE[[#This Row],[RED DE AGUA]])</f>
        <v>1</v>
      </c>
      <c r="BO123" s="3">
        <f>+IF(AVANCE[[#This Row],[VENTILACIONES]]=W$2,100%,AVANCE[[#This Row],[VENTILACIONES]])</f>
        <v>0</v>
      </c>
      <c r="BP123" s="3">
        <f>+IF(AVANCE[[#This Row],[TINA]]=X$2,100%,AVANCE[[#This Row],[TINA]])</f>
        <v>0</v>
      </c>
      <c r="BQ123" s="3">
        <f>+IF(AVANCE[[#This Row],[WC]]=Y$2,100%,AVANCE[[#This Row],[WC]])</f>
        <v>0</v>
      </c>
      <c r="BR123" s="3">
        <f>+IF(AVANCE[[#This Row],[LAVAMANOS / LAVAPLATOS / LAVADERO]]=Z$2,100%,AVANCE[[#This Row],[LAVAMANOS / LAVAPLATOS / LAVADERO]])</f>
        <v>0</v>
      </c>
      <c r="BS123" s="3">
        <f>+IF(AVANCE[[#This Row],[CANALIZACIÓN]]=AC$2,100%,AVANCE[[#This Row],[CANALIZACIÓN]])</f>
        <v>1</v>
      </c>
      <c r="BT123" s="3">
        <f>+IF(AVANCE[[#This Row],[CABLEADO]]=AD$2,100%,AVANCE[[#This Row],[CABLEADO]])</f>
        <v>0</v>
      </c>
      <c r="BU123" s="3">
        <f>+IF(AVANCE[[#This Row],[ARTEFACTOS]]=AE$2,100%,AVANCE[[#This Row],[ARTEFACTOS]])</f>
        <v>0</v>
      </c>
      <c r="BV123" s="3">
        <f>+IF(AVANCE[[#This Row],[TABLERO]]=AF$2,100%,AVANCE[[#This Row],[TABLERO]])</f>
        <v>0</v>
      </c>
      <c r="BW123" s="3">
        <f>+IF(AVANCE[[#This Row],[CAJA PAU]]=AG$2,100%,AVANCE[[#This Row],[CAJA PAU]])</f>
        <v>0</v>
      </c>
      <c r="BX123" s="3">
        <f>+IF(AVANCE[[#This Row],[INSTALACION VINILICO]]=AJ$2,100%,AVANCE[[#This Row],[INSTALACION VINILICO]])</f>
        <v>0</v>
      </c>
      <c r="BY123" s="3">
        <f>+IF(AVANCE[[#This Row],[OSB CUBIERTA]]=AK$2,100%,AVANCE[[#This Row],[OSB CUBIERTA]])</f>
        <v>1</v>
      </c>
      <c r="BZ123" s="3">
        <f>+IF(AVANCE[[#This Row],[BARANDA BALCON]]=AL$2,100%,AVANCE[[#This Row],[BARANDA BALCON]])</f>
        <v>0</v>
      </c>
      <c r="CA123" s="3">
        <f>+IF(AVANCE[[#This Row],[OSB EXTERIOR]]=AM$2,100%,AVANCE[[#This Row],[OSB EXTERIOR]])</f>
        <v>1</v>
      </c>
      <c r="CB123" s="3">
        <f>+IF(AVANCE[[#This Row],[SMART PANEL]]=AN$2,100%,AVANCE[[#This Row],[SMART PANEL]])</f>
        <v>0</v>
      </c>
      <c r="CC123" s="3">
        <f>+IF(AVANCE[[#This Row],[PINTURA EXTERIOR]]=AO$2,100%,AVANCE[[#This Row],[PINTURA EXTERIOR]])</f>
        <v>0</v>
      </c>
      <c r="CD123" s="3">
        <f>+IF(AVANCE[[#This Row],[ZOCALOS LOGIA]]=AP$2,100%,AVANCE[[#This Row],[ZOCALOS LOGIA]])</f>
        <v>0</v>
      </c>
      <c r="CE123" s="3">
        <f>+IF(AVANCE[[#This Row],[MOLDURAS]]=AQ$2,100%,AVANCE[[#This Row],[MOLDURAS]])</f>
        <v>0</v>
      </c>
      <c r="CF123" s="3">
        <f>+IF(AVANCE[[#This Row],[PILASTREO]]=AR$2,100%,AVANCE[[#This Row],[PILASTREO]])</f>
        <v>0</v>
      </c>
      <c r="CG123" s="3">
        <f>+IF(AVANCE[[#This Row],[CELOSIAS]]=AS$2,100%,AVANCE[[#This Row],[CELOSIAS]])</f>
        <v>0</v>
      </c>
      <c r="CH123" s="3">
        <f>+IF(AVANCE[[#This Row],[VENTANAS]]=AT$2,100%,AVANCE[[#This Row],[VENTANAS]])</f>
        <v>0</v>
      </c>
      <c r="CI123" s="3">
        <f>+IF(AVANCE[[#This Row],[PUERTAS ACCESO - LOGIA - BANO]]=AU$2,100%,AVANCE[[#This Row],[PUERTAS ACCESO - LOGIA - BANO]])</f>
        <v>0</v>
      </c>
      <c r="CJ123" s="3">
        <f>+IF(AVANCE[[#This Row],[CERRADURAS]]=AV$2,100%,AVANCE[[#This Row],[CERRADURAS]])</f>
        <v>0</v>
      </c>
      <c r="CK123" s="3">
        <f>+IF(AVANCE[[#This Row],[REVESTIMIENTO INTERIOR ZONA SECA]]=AW$2,100%,AVANCE[[#This Row],[REVESTIMIENTO INTERIOR ZONA SECA]])</f>
        <v>0</v>
      </c>
      <c r="CL123" s="3">
        <f>+IF(AVANCE[[#This Row],[REVESTIMIENTO INTERIOR ZONAS HUMEDAS]]=AX$2,100%,AVANCE[[#This Row],[REVESTIMIENTO INTERIOR ZONAS HUMEDAS]])</f>
        <v>1</v>
      </c>
      <c r="CM123" s="3">
        <f>+IF(AVANCE[[#This Row],[MEMBRANA CIELO]]=AY$2,100%,AVANCE[[#This Row],[MEMBRANA CIELO]])</f>
        <v>1</v>
      </c>
      <c r="CN123" s="3">
        <f>+IF(AVANCE[[#This Row],[LIMPIEZA FINAL]]=AZ$2,100%,AVANCE[[#This Row],[LIMPIEZA FINAL]])</f>
        <v>0</v>
      </c>
      <c r="CO123" s="3">
        <f>+IF(AVANCE[[#This Row],[PUERTAS DORMITORIO]]=BA$2,100%,AVANCE[[#This Row],[PUERTAS DORMITORIO]])</f>
        <v>1</v>
      </c>
      <c r="CP123" s="3">
        <f>+IF(AVANCE[[#This Row],[REVESTIMIENTO INTERIOR BANO]]=BB$2,100%,AVANCE[[#This Row],[REVESTIMIENTO INTERIOR BANO]])</f>
        <v>0</v>
      </c>
      <c r="CQ123" s="3">
        <f>+IF(AVANCE[[#This Row],[MUEBLE LAVAPLATOS]]=BC$2,100%,AVANCE[[#This Row],[MUEBLE LAVAPLATOS]])</f>
        <v>0</v>
      </c>
      <c r="CR123" s="3">
        <f>+IF(AVANCE[[#This Row],[IMPERMEABILIZACION BANO - COCINA LOGIA]]=BD$2,100%,AVANCE[[#This Row],[IMPERMEABILIZACION BANO - COCINA LOGIA]])</f>
        <v>0</v>
      </c>
      <c r="CS123" s="40">
        <f ca="1">+IF(AVANCE[[#This Row],[ESTADO MODULO]]="PENDIENTE",(TODAY()-AVANCE[[#This Row],[FECHA TERMINO  PLANIFICADO]]),0)</f>
        <v>5</v>
      </c>
      <c r="CT123" s="41" t="str" cm="1">
        <f t="array" ref="CT123">_xlfn.TEXTJOIN(" | ",TRUE,IF(SUMPRODUCT((BG123:CR123&lt;1)*(PARTIDAS!$I$2:$AT$2="OBRA GRUESA"))&gt;0,"OBRA GRUESA: "&amp;_xlfn.TEXTJOIN(", ",TRUE,IF((BG123:CR123&lt;1)*(PARTIDAS!$I$2:$AT$2="OBRA GRUESA"),PARTIDAS!$I$1:$AT$1,"")),""),IF(SUMPRODUCT((BG123:CR123&lt;1)*(PARTIDAS!$I$2:$AT$2="SANITARIOS"))&gt;0,"SANITARIOS: "&amp;_xlfn.TEXTJOIN(", ",TRUE,IF((BG123:CR123&lt;1)*(PARTIDAS!$I$2:$AT$2="SANITARIOS"),PARTIDAS!$I$1:$AT$1,"")),""),IF(SUMPRODUCT((BG123:CR123&lt;1)*(PARTIDAS!$I$2:$AT$2="ELÉCTRICO"))&gt;0,"ELÉCTRICO: "&amp;_xlfn.TEXTJOIN(", ",TRUE,IF((BG123:CR123&lt;1)*(PARTIDAS!$I$2:$AT$2="ELÉCTRICO"),PARTIDAS!$I$1:$AT$1,"")),""),IF(SUMPRODUCT((BG123:CR123&lt;1)*(PARTIDAS!$I$2:$AT$2="TERMINACIONES"))&gt;0,"TERMINACIONES: "&amp;_xlfn.TEXTJOIN(", ",TRUE,IF((BG123:CR123&lt;1)*(PARTIDAS!$I$2:$AT$2="TERMINACIONES"),PARTIDAS!$I$1:$AT$1,"")),""))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</v>
      </c>
      <c r="CU123" s="43" t="str" cm="1">
        <f t="array" ref="CU123">_xlfn.TEXTJOIN(", ",TRUE,IF(SUMPRODUCT((BG123:CR123&lt;1)*(PARTIDAS!$I$2:$AT$2="OBRA GRUESA"))&gt;0,"OBRA GRUESA",""),IF(SUMPRODUCT((BG123:CR123&lt;1)*(PARTIDAS!$I$2:$AT$2="SANITARIOS"))&gt;0,"SANITARIOS",""),IF(SUMPRODUCT((BG123:CR123&lt;1)*(PARTIDAS!$I$2:$AT$2="ELÉCTRICO"))&gt;0,"ELÉCTRICO",""),IF(SUMPRODUCT((BG123:CR123&lt;1)*(PARTIDAS!$I$2:$AT$2="TERMINACIONES"))&gt;0,"TERMINACIONES",""))</f>
        <v>SANITARIOS, ELÉCTRICO, TERMINACIONES</v>
      </c>
      <c r="CV123" s="44" cm="1">
        <f t="array" ref="CV123">SUMPRODUCT(--(BG123:CR123&lt;1))</f>
        <v>25</v>
      </c>
    </row>
    <row r="124" spans="1:100" hidden="1" x14ac:dyDescent="0.25">
      <c r="A124" t="s">
        <v>157</v>
      </c>
      <c r="B124" t="s">
        <v>184</v>
      </c>
      <c r="C124">
        <v>2302600123</v>
      </c>
      <c r="D124" t="s">
        <v>60</v>
      </c>
      <c r="E124" s="2">
        <v>0.57999999999999996</v>
      </c>
      <c r="F124" s="1">
        <v>46192</v>
      </c>
      <c r="G124" s="1">
        <v>46206</v>
      </c>
      <c r="H124" s="1">
        <v>46216</v>
      </c>
      <c r="I124" s="1">
        <v>46226</v>
      </c>
      <c r="J124">
        <v>14</v>
      </c>
      <c r="K124" s="1"/>
      <c r="L124" s="3">
        <v>0.43</v>
      </c>
      <c r="M124" s="3">
        <v>1</v>
      </c>
      <c r="N124" s="3">
        <v>0.27906976744186046</v>
      </c>
      <c r="O124" s="3">
        <v>0.18604651162790697</v>
      </c>
      <c r="P124" s="3">
        <v>0.2558139534883721</v>
      </c>
      <c r="Q124" s="3">
        <v>0.18604651162790697</v>
      </c>
      <c r="R124" s="3">
        <v>9.3023255813953487E-2</v>
      </c>
      <c r="S124" s="3">
        <v>3.9999999999999994E-2</v>
      </c>
      <c r="T124" s="3">
        <v>0.44444444444444442</v>
      </c>
      <c r="U124" s="3">
        <v>0.22222222222222221</v>
      </c>
      <c r="V124" s="3">
        <v>0.22222222222222221</v>
      </c>
      <c r="W124" s="3">
        <v>0</v>
      </c>
      <c r="X124" s="3">
        <v>0</v>
      </c>
      <c r="Y124" s="3">
        <v>0</v>
      </c>
      <c r="Z124" s="3">
        <v>0</v>
      </c>
      <c r="AA124" s="3">
        <v>0.03</v>
      </c>
      <c r="AB124" s="3">
        <v>0.27272727272727271</v>
      </c>
      <c r="AC124" s="3">
        <v>0.27272727272727271</v>
      </c>
      <c r="AD124" s="3">
        <v>0</v>
      </c>
      <c r="AE124" s="3">
        <v>0</v>
      </c>
      <c r="AF124" s="3">
        <v>0</v>
      </c>
      <c r="AG124" s="3">
        <v>0</v>
      </c>
      <c r="AH124" s="3">
        <v>7.9999999999999974E-2</v>
      </c>
      <c r="AI124" s="3">
        <v>0.21621621621621614</v>
      </c>
      <c r="AJ124" s="3">
        <v>0</v>
      </c>
      <c r="AK124" s="3">
        <v>5.4054054054054036E-2</v>
      </c>
      <c r="AL124" s="3">
        <v>0</v>
      </c>
      <c r="AM124" s="3">
        <v>8.1081081081081058E-2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2.7027027027027018E-2</v>
      </c>
      <c r="AZ124" s="3">
        <v>0</v>
      </c>
      <c r="BA124" s="3">
        <v>5.4054054054054036E-2</v>
      </c>
      <c r="BB124" s="3">
        <v>0</v>
      </c>
      <c r="BC124" s="3">
        <v>0</v>
      </c>
      <c r="BD124" s="3">
        <v>0</v>
      </c>
      <c r="BE124">
        <v>31.32</v>
      </c>
      <c r="BF124" s="3" t="str">
        <f>+IF(AVANCE[[#This Row],[% AVANCE]]=100%,"MODULO TERMINADO",IF(AVANCE[[#This Row],[FECHA INICIO REAL]]="","MODULO NO INICIADO","PENDIENTE"))</f>
        <v>PENDIENTE</v>
      </c>
      <c r="BG124" s="3">
        <f>+IF(AVANCE[[#This Row],[VENTANAS]]=8.10810810810811%,100%,AVANCE[[#This Row],[VENTANAS]])</f>
        <v>0</v>
      </c>
      <c r="BH124" s="3">
        <f>+IF(AVANCE[[#This Row],[PISO]]=N$2,100%,AVANCE[[#This Row],[PISO]])</f>
        <v>1</v>
      </c>
      <c r="BI124" s="3">
        <f>+IF(AVANCE[[#This Row],[TABIQUES]]=O$2,100%,AVANCE[[#This Row],[TABIQUES]])</f>
        <v>1</v>
      </c>
      <c r="BJ124" s="3">
        <f>+IF(AVANCE[[#This Row],[MUROS]]=P$2,100%,AVANCE[[#This Row],[MUROS]])</f>
        <v>1</v>
      </c>
      <c r="BK124" s="3">
        <f>+IF(AVANCE[[#This Row],[CIELO]]=Q$2,100%,AVANCE[[#This Row],[CIELO]])</f>
        <v>1</v>
      </c>
      <c r="BL124" s="3">
        <f>+IF(AVANCE[[#This Row],[BALCÓN]]=R$2,100%,AVANCE[[#This Row],[BALCÓN]])</f>
        <v>1</v>
      </c>
      <c r="BM124" s="3">
        <f>+IF(AVANCE[[#This Row],[RED ALCANTARILLADO]]=U$2,100%,AVANCE[[#This Row],[RED ALCANTARILLADO]])</f>
        <v>1</v>
      </c>
      <c r="BN124" s="3">
        <f>+IF(AVANCE[[#This Row],[RED DE AGUA]]=V$2,100%,AVANCE[[#This Row],[RED DE AGUA]])</f>
        <v>1</v>
      </c>
      <c r="BO124" s="3">
        <f>+IF(AVANCE[[#This Row],[VENTILACIONES]]=W$2,100%,AVANCE[[#This Row],[VENTILACIONES]])</f>
        <v>0</v>
      </c>
      <c r="BP124" s="3">
        <f>+IF(AVANCE[[#This Row],[TINA]]=X$2,100%,AVANCE[[#This Row],[TINA]])</f>
        <v>0</v>
      </c>
      <c r="BQ124" s="3">
        <f>+IF(AVANCE[[#This Row],[WC]]=Y$2,100%,AVANCE[[#This Row],[WC]])</f>
        <v>0</v>
      </c>
      <c r="BR124" s="3">
        <f>+IF(AVANCE[[#This Row],[LAVAMANOS / LAVAPLATOS / LAVADERO]]=Z$2,100%,AVANCE[[#This Row],[LAVAMANOS / LAVAPLATOS / LAVADERO]])</f>
        <v>0</v>
      </c>
      <c r="BS124" s="3">
        <f>+IF(AVANCE[[#This Row],[CANALIZACIÓN]]=AC$2,100%,AVANCE[[#This Row],[CANALIZACIÓN]])</f>
        <v>1</v>
      </c>
      <c r="BT124" s="3">
        <f>+IF(AVANCE[[#This Row],[CABLEADO]]=AD$2,100%,AVANCE[[#This Row],[CABLEADO]])</f>
        <v>0</v>
      </c>
      <c r="BU124" s="3">
        <f>+IF(AVANCE[[#This Row],[ARTEFACTOS]]=AE$2,100%,AVANCE[[#This Row],[ARTEFACTOS]])</f>
        <v>0</v>
      </c>
      <c r="BV124" s="3">
        <f>+IF(AVANCE[[#This Row],[TABLERO]]=AF$2,100%,AVANCE[[#This Row],[TABLERO]])</f>
        <v>0</v>
      </c>
      <c r="BW124" s="3">
        <f>+IF(AVANCE[[#This Row],[CAJA PAU]]=AG$2,100%,AVANCE[[#This Row],[CAJA PAU]])</f>
        <v>0</v>
      </c>
      <c r="BX124" s="3">
        <f>+IF(AVANCE[[#This Row],[INSTALACION VINILICO]]=AJ$2,100%,AVANCE[[#This Row],[INSTALACION VINILICO]])</f>
        <v>0</v>
      </c>
      <c r="BY124" s="3">
        <f>+IF(AVANCE[[#This Row],[OSB CUBIERTA]]=AK$2,100%,AVANCE[[#This Row],[OSB CUBIERTA]])</f>
        <v>1</v>
      </c>
      <c r="BZ124" s="3">
        <f>+IF(AVANCE[[#This Row],[BARANDA BALCON]]=AL$2,100%,AVANCE[[#This Row],[BARANDA BALCON]])</f>
        <v>0</v>
      </c>
      <c r="CA124" s="3">
        <f>+IF(AVANCE[[#This Row],[OSB EXTERIOR]]=AM$2,100%,AVANCE[[#This Row],[OSB EXTERIOR]])</f>
        <v>1</v>
      </c>
      <c r="CB124" s="3">
        <f>+IF(AVANCE[[#This Row],[SMART PANEL]]=AN$2,100%,AVANCE[[#This Row],[SMART PANEL]])</f>
        <v>0</v>
      </c>
      <c r="CC124" s="3">
        <f>+IF(AVANCE[[#This Row],[PINTURA EXTERIOR]]=AO$2,100%,AVANCE[[#This Row],[PINTURA EXTERIOR]])</f>
        <v>0</v>
      </c>
      <c r="CD124" s="3">
        <f>+IF(AVANCE[[#This Row],[ZOCALOS LOGIA]]=AP$2,100%,AVANCE[[#This Row],[ZOCALOS LOGIA]])</f>
        <v>0</v>
      </c>
      <c r="CE124" s="3">
        <f>+IF(AVANCE[[#This Row],[MOLDURAS]]=AQ$2,100%,AVANCE[[#This Row],[MOLDURAS]])</f>
        <v>0</v>
      </c>
      <c r="CF124" s="3">
        <f>+IF(AVANCE[[#This Row],[PILASTREO]]=AR$2,100%,AVANCE[[#This Row],[PILASTREO]])</f>
        <v>0</v>
      </c>
      <c r="CG124" s="3">
        <f>+IF(AVANCE[[#This Row],[CELOSIAS]]=AS$2,100%,AVANCE[[#This Row],[CELOSIAS]])</f>
        <v>0</v>
      </c>
      <c r="CH124" s="3">
        <f>+IF(AVANCE[[#This Row],[VENTANAS]]=AT$2,100%,AVANCE[[#This Row],[VENTANAS]])</f>
        <v>0</v>
      </c>
      <c r="CI124" s="3">
        <f>+IF(AVANCE[[#This Row],[PUERTAS ACCESO - LOGIA - BANO]]=AU$2,100%,AVANCE[[#This Row],[PUERTAS ACCESO - LOGIA - BANO]])</f>
        <v>0</v>
      </c>
      <c r="CJ124" s="3">
        <f>+IF(AVANCE[[#This Row],[CERRADURAS]]=AV$2,100%,AVANCE[[#This Row],[CERRADURAS]])</f>
        <v>0</v>
      </c>
      <c r="CK124" s="3">
        <f>+IF(AVANCE[[#This Row],[REVESTIMIENTO INTERIOR ZONA SECA]]=AW$2,100%,AVANCE[[#This Row],[REVESTIMIENTO INTERIOR ZONA SECA]])</f>
        <v>0</v>
      </c>
      <c r="CL124" s="3">
        <f>+IF(AVANCE[[#This Row],[REVESTIMIENTO INTERIOR ZONAS HUMEDAS]]=AX$2,100%,AVANCE[[#This Row],[REVESTIMIENTO INTERIOR ZONAS HUMEDAS]])</f>
        <v>0</v>
      </c>
      <c r="CM124" s="3">
        <f>+IF(AVANCE[[#This Row],[MEMBRANA CIELO]]=AY$2,100%,AVANCE[[#This Row],[MEMBRANA CIELO]])</f>
        <v>1</v>
      </c>
      <c r="CN124" s="3">
        <f>+IF(AVANCE[[#This Row],[LIMPIEZA FINAL]]=AZ$2,100%,AVANCE[[#This Row],[LIMPIEZA FINAL]])</f>
        <v>0</v>
      </c>
      <c r="CO124" s="3">
        <f>+IF(AVANCE[[#This Row],[PUERTAS DORMITORIO]]=BA$2,100%,AVANCE[[#This Row],[PUERTAS DORMITORIO]])</f>
        <v>1</v>
      </c>
      <c r="CP124" s="3">
        <f>+IF(AVANCE[[#This Row],[REVESTIMIENTO INTERIOR BANO]]=BB$2,100%,AVANCE[[#This Row],[REVESTIMIENTO INTERIOR BANO]])</f>
        <v>0</v>
      </c>
      <c r="CQ124" s="3">
        <f>+IF(AVANCE[[#This Row],[MUEBLE LAVAPLATOS]]=BC$2,100%,AVANCE[[#This Row],[MUEBLE LAVAPLATOS]])</f>
        <v>0</v>
      </c>
      <c r="CR124" s="3">
        <f>+IF(AVANCE[[#This Row],[IMPERMEABILIZACION BANO - COCINA LOGIA]]=BD$2,100%,AVANCE[[#This Row],[IMPERMEABILIZACION BANO - COCINA LOGIA]])</f>
        <v>0</v>
      </c>
      <c r="CS124" s="40">
        <f ca="1">+IF(AVANCE[[#This Row],[ESTADO MODULO]]="PENDIENTE",(TODAY()-AVANCE[[#This Row],[FECHA TERMINO  PLANIFICADO]]),0)</f>
        <v>4</v>
      </c>
      <c r="CT124" s="41" t="str" cm="1">
        <f t="array" ref="CT124">_xlfn.TEXTJOIN(" | ",TRUE,IF(SUMPRODUCT((BG124:CR124&lt;1)*(PARTIDAS!$I$2:$AT$2="OBRA GRUESA"))&gt;0,"OBRA GRUESA: "&amp;_xlfn.TEXTJOIN(", ",TRUE,IF((BG124:CR124&lt;1)*(PARTIDAS!$I$2:$AT$2="OBRA GRUESA"),PARTIDAS!$I$1:$AT$1,"")),""),IF(SUMPRODUCT((BG124:CR124&lt;1)*(PARTIDAS!$I$2:$AT$2="SANITARIOS"))&gt;0,"SANITARIOS: "&amp;_xlfn.TEXTJOIN(", ",TRUE,IF((BG124:CR124&lt;1)*(PARTIDAS!$I$2:$AT$2="SANITARIOS"),PARTIDAS!$I$1:$AT$1,"")),""),IF(SUMPRODUCT((BG124:CR124&lt;1)*(PARTIDAS!$I$2:$AT$2="ELÉCTRICO"))&gt;0,"ELÉCTRICO: "&amp;_xlfn.TEXTJOIN(", ",TRUE,IF((BG124:CR124&lt;1)*(PARTIDAS!$I$2:$AT$2="ELÉCTRICO"),PARTIDAS!$I$1:$AT$1,"")),""),IF(SUMPRODUCT((BG124:CR124&lt;1)*(PARTIDAS!$I$2:$AT$2="TERMINACIONES"))&gt;0,"TERMINACIONES: "&amp;_xlfn.TEXTJOIN(", ",TRUE,IF((BG124:CR124&lt;1)*(PARTIDAS!$I$2:$AT$2="TERMINACIONES"),PARTIDAS!$I$1:$AT$1,"")),""))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</v>
      </c>
      <c r="CU124" s="43" t="str" cm="1">
        <f t="array" ref="CU124">_xlfn.TEXTJOIN(", ",TRUE,IF(SUMPRODUCT((BG124:CR124&lt;1)*(PARTIDAS!$I$2:$AT$2="OBRA GRUESA"))&gt;0,"OBRA GRUESA",""),IF(SUMPRODUCT((BG124:CR124&lt;1)*(PARTIDAS!$I$2:$AT$2="SANITARIOS"))&gt;0,"SANITARIOS",""),IF(SUMPRODUCT((BG124:CR124&lt;1)*(PARTIDAS!$I$2:$AT$2="ELÉCTRICO"))&gt;0,"ELÉCTRICO",""),IF(SUMPRODUCT((BG124:CR124&lt;1)*(PARTIDAS!$I$2:$AT$2="TERMINACIONES"))&gt;0,"TERMINACIONES",""))</f>
        <v>SANITARIOS, ELÉCTRICO, TERMINACIONES</v>
      </c>
      <c r="CV124" s="44" cm="1">
        <f t="array" ref="CV124">SUMPRODUCT(--(BG124:CR124&lt;1))</f>
        <v>26</v>
      </c>
    </row>
    <row r="125" spans="1:100" hidden="1" x14ac:dyDescent="0.25">
      <c r="A125" t="s">
        <v>157</v>
      </c>
      <c r="B125" t="s">
        <v>185</v>
      </c>
      <c r="C125">
        <v>2282600124</v>
      </c>
      <c r="D125" t="s">
        <v>58</v>
      </c>
      <c r="E125" s="2">
        <v>0.91499999999999981</v>
      </c>
      <c r="F125" s="1">
        <v>46192</v>
      </c>
      <c r="G125" s="1">
        <v>46206</v>
      </c>
      <c r="H125" s="1">
        <v>46227</v>
      </c>
      <c r="I125" s="1">
        <v>46216</v>
      </c>
      <c r="J125">
        <v>3</v>
      </c>
      <c r="K125" s="1"/>
      <c r="L125" s="3">
        <v>0.43</v>
      </c>
      <c r="M125" s="3">
        <v>1</v>
      </c>
      <c r="N125" s="3">
        <v>0.27906976744186046</v>
      </c>
      <c r="O125" s="3">
        <v>0.18604651162790697</v>
      </c>
      <c r="P125" s="3">
        <v>0.2558139534883721</v>
      </c>
      <c r="Q125" s="3">
        <v>0.18604651162790697</v>
      </c>
      <c r="R125" s="3">
        <v>9.3023255813953487E-2</v>
      </c>
      <c r="S125" s="3">
        <v>0.09</v>
      </c>
      <c r="T125" s="3">
        <v>1</v>
      </c>
      <c r="U125" s="3">
        <v>0.22222222222222221</v>
      </c>
      <c r="V125" s="3">
        <v>0.22222222222222221</v>
      </c>
      <c r="W125" s="3">
        <v>0.1111111111111111</v>
      </c>
      <c r="X125" s="3">
        <v>0.1111111111111111</v>
      </c>
      <c r="Y125" s="3">
        <v>0.1111111111111111</v>
      </c>
      <c r="Z125" s="3">
        <v>0.22222222222222221</v>
      </c>
      <c r="AA125" s="3">
        <v>6.9999999999999993E-2</v>
      </c>
      <c r="AB125" s="3">
        <v>0.63636363636363635</v>
      </c>
      <c r="AC125" s="3">
        <v>0.27272727272727271</v>
      </c>
      <c r="AD125" s="3">
        <v>0</v>
      </c>
      <c r="AE125" s="3">
        <v>0</v>
      </c>
      <c r="AF125" s="3">
        <v>0.18181818181818182</v>
      </c>
      <c r="AG125" s="3">
        <v>0.18181818181818182</v>
      </c>
      <c r="AH125" s="3">
        <v>0.32499999999999984</v>
      </c>
      <c r="AI125" s="3">
        <v>0.87837837837837796</v>
      </c>
      <c r="AJ125" s="3">
        <v>5.4054054054054036E-2</v>
      </c>
      <c r="AK125" s="3">
        <v>5.4054054054054036E-2</v>
      </c>
      <c r="AL125" s="3">
        <v>2.7027027027027018E-2</v>
      </c>
      <c r="AM125" s="3">
        <v>8.1081081081081058E-2</v>
      </c>
      <c r="AN125" s="3">
        <v>8.1081081081081058E-2</v>
      </c>
      <c r="AO125" s="3">
        <v>0</v>
      </c>
      <c r="AP125" s="3">
        <v>5.4054054054054036E-2</v>
      </c>
      <c r="AQ125" s="3">
        <v>1.3513513513513509E-2</v>
      </c>
      <c r="AR125" s="3">
        <v>4.0540540540540529E-2</v>
      </c>
      <c r="AS125" s="3">
        <v>0</v>
      </c>
      <c r="AT125" s="3">
        <v>8.1081081081081058E-2</v>
      </c>
      <c r="AU125" s="3">
        <v>5.4054054054054036E-2</v>
      </c>
      <c r="AV125" s="3">
        <v>2.7027027027027018E-2</v>
      </c>
      <c r="AW125" s="3">
        <v>5.4054054054054036E-2</v>
      </c>
      <c r="AX125" s="3">
        <v>5.4054054054054036E-2</v>
      </c>
      <c r="AY125" s="3">
        <v>2.7027027027027018E-2</v>
      </c>
      <c r="AZ125" s="3">
        <v>0</v>
      </c>
      <c r="BA125" s="3">
        <v>5.4054054054054036E-2</v>
      </c>
      <c r="BB125" s="3">
        <v>8.1081081081081058E-2</v>
      </c>
      <c r="BC125" s="3">
        <v>1.3513513513513509E-2</v>
      </c>
      <c r="BD125" s="3">
        <v>2.7027027027027018E-2</v>
      </c>
      <c r="BE125">
        <v>28.87</v>
      </c>
      <c r="BF125" s="3" t="str">
        <f>+IF(AVANCE[[#This Row],[% AVANCE]]=100%,"MODULO TERMINADO",IF(AVANCE[[#This Row],[FECHA INICIO REAL]]="","MODULO NO INICIADO","PENDIENTE"))</f>
        <v>PENDIENTE</v>
      </c>
      <c r="BG125" s="3">
        <f>+IF(AVANCE[[#This Row],[VENTANAS]]=8.10810810810811%,100%,AVANCE[[#This Row],[VENTANAS]])</f>
        <v>1</v>
      </c>
      <c r="BH125" s="3">
        <f>+IF(AVANCE[[#This Row],[PISO]]=N$2,100%,AVANCE[[#This Row],[PISO]])</f>
        <v>1</v>
      </c>
      <c r="BI125" s="3">
        <f>+IF(AVANCE[[#This Row],[TABIQUES]]=O$2,100%,AVANCE[[#This Row],[TABIQUES]])</f>
        <v>1</v>
      </c>
      <c r="BJ125" s="3">
        <f>+IF(AVANCE[[#This Row],[MUROS]]=P$2,100%,AVANCE[[#This Row],[MUROS]])</f>
        <v>1</v>
      </c>
      <c r="BK125" s="3">
        <f>+IF(AVANCE[[#This Row],[CIELO]]=Q$2,100%,AVANCE[[#This Row],[CIELO]])</f>
        <v>1</v>
      </c>
      <c r="BL125" s="3">
        <f>+IF(AVANCE[[#This Row],[BALCÓN]]=R$2,100%,AVANCE[[#This Row],[BALCÓN]])</f>
        <v>1</v>
      </c>
      <c r="BM125" s="3">
        <f>+IF(AVANCE[[#This Row],[RED ALCANTARILLADO]]=U$2,100%,AVANCE[[#This Row],[RED ALCANTARILLADO]])</f>
        <v>1</v>
      </c>
      <c r="BN125" s="3">
        <f>+IF(AVANCE[[#This Row],[RED DE AGUA]]=V$2,100%,AVANCE[[#This Row],[RED DE AGUA]])</f>
        <v>1</v>
      </c>
      <c r="BO125" s="3">
        <f>+IF(AVANCE[[#This Row],[VENTILACIONES]]=W$2,100%,AVANCE[[#This Row],[VENTILACIONES]])</f>
        <v>1</v>
      </c>
      <c r="BP125" s="3">
        <f>+IF(AVANCE[[#This Row],[TINA]]=X$2,100%,AVANCE[[#This Row],[TINA]])</f>
        <v>1</v>
      </c>
      <c r="BQ125" s="3">
        <f>+IF(AVANCE[[#This Row],[WC]]=Y$2,100%,AVANCE[[#This Row],[WC]])</f>
        <v>1</v>
      </c>
      <c r="BR125" s="3">
        <f>+IF(AVANCE[[#This Row],[LAVAMANOS / LAVAPLATOS / LAVADERO]]=Z$2,100%,AVANCE[[#This Row],[LAVAMANOS / LAVAPLATOS / LAVADERO]])</f>
        <v>1</v>
      </c>
      <c r="BS125" s="3">
        <f>+IF(AVANCE[[#This Row],[CANALIZACIÓN]]=AC$2,100%,AVANCE[[#This Row],[CANALIZACIÓN]])</f>
        <v>1</v>
      </c>
      <c r="BT125" s="3">
        <f>+IF(AVANCE[[#This Row],[CABLEADO]]=AD$2,100%,AVANCE[[#This Row],[CABLEADO]])</f>
        <v>0</v>
      </c>
      <c r="BU125" s="3">
        <f>+IF(AVANCE[[#This Row],[ARTEFACTOS]]=AE$2,100%,AVANCE[[#This Row],[ARTEFACTOS]])</f>
        <v>0</v>
      </c>
      <c r="BV125" s="3">
        <f>+IF(AVANCE[[#This Row],[TABLERO]]=AF$2,100%,AVANCE[[#This Row],[TABLERO]])</f>
        <v>1</v>
      </c>
      <c r="BW125" s="3">
        <f>+IF(AVANCE[[#This Row],[CAJA PAU]]=AG$2,100%,AVANCE[[#This Row],[CAJA PAU]])</f>
        <v>1</v>
      </c>
      <c r="BX125" s="3">
        <f>+IF(AVANCE[[#This Row],[INSTALACION VINILICO]]=AJ$2,100%,AVANCE[[#This Row],[INSTALACION VINILICO]])</f>
        <v>1</v>
      </c>
      <c r="BY125" s="3">
        <f>+IF(AVANCE[[#This Row],[OSB CUBIERTA]]=AK$2,100%,AVANCE[[#This Row],[OSB CUBIERTA]])</f>
        <v>1</v>
      </c>
      <c r="BZ125" s="3">
        <f>+IF(AVANCE[[#This Row],[BARANDA BALCON]]=AL$2,100%,AVANCE[[#This Row],[BARANDA BALCON]])</f>
        <v>1</v>
      </c>
      <c r="CA125" s="3">
        <f>+IF(AVANCE[[#This Row],[OSB EXTERIOR]]=AM$2,100%,AVANCE[[#This Row],[OSB EXTERIOR]])</f>
        <v>1</v>
      </c>
      <c r="CB125" s="3">
        <f>+IF(AVANCE[[#This Row],[SMART PANEL]]=AN$2,100%,AVANCE[[#This Row],[SMART PANEL]])</f>
        <v>1</v>
      </c>
      <c r="CC125" s="3">
        <f>+IF(AVANCE[[#This Row],[PINTURA EXTERIOR]]=AO$2,100%,AVANCE[[#This Row],[PINTURA EXTERIOR]])</f>
        <v>0</v>
      </c>
      <c r="CD125" s="3">
        <f>+IF(AVANCE[[#This Row],[ZOCALOS LOGIA]]=AP$2,100%,AVANCE[[#This Row],[ZOCALOS LOGIA]])</f>
        <v>1</v>
      </c>
      <c r="CE125" s="3">
        <f>+IF(AVANCE[[#This Row],[MOLDURAS]]=AQ$2,100%,AVANCE[[#This Row],[MOLDURAS]])</f>
        <v>1</v>
      </c>
      <c r="CF125" s="3">
        <f>+IF(AVANCE[[#This Row],[PILASTREO]]=AR$2,100%,AVANCE[[#This Row],[PILASTREO]])</f>
        <v>1</v>
      </c>
      <c r="CG125" s="3">
        <f>+IF(AVANCE[[#This Row],[CELOSIAS]]=AS$2,100%,AVANCE[[#This Row],[CELOSIAS]])</f>
        <v>0</v>
      </c>
      <c r="CH125" s="3">
        <f>+IF(AVANCE[[#This Row],[VENTANAS]]=AT$2,100%,AVANCE[[#This Row],[VENTANAS]])</f>
        <v>1</v>
      </c>
      <c r="CI125" s="3">
        <f>+IF(AVANCE[[#This Row],[PUERTAS ACCESO - LOGIA - BANO]]=AU$2,100%,AVANCE[[#This Row],[PUERTAS ACCESO - LOGIA - BANO]])</f>
        <v>1</v>
      </c>
      <c r="CJ125" s="3">
        <f>+IF(AVANCE[[#This Row],[CERRADURAS]]=AV$2,100%,AVANCE[[#This Row],[CERRADURAS]])</f>
        <v>1</v>
      </c>
      <c r="CK125" s="3">
        <f>+IF(AVANCE[[#This Row],[REVESTIMIENTO INTERIOR ZONA SECA]]=AW$2,100%,AVANCE[[#This Row],[REVESTIMIENTO INTERIOR ZONA SECA]])</f>
        <v>1</v>
      </c>
      <c r="CL125" s="3">
        <f>+IF(AVANCE[[#This Row],[REVESTIMIENTO INTERIOR ZONAS HUMEDAS]]=AX$2,100%,AVANCE[[#This Row],[REVESTIMIENTO INTERIOR ZONAS HUMEDAS]])</f>
        <v>1</v>
      </c>
      <c r="CM125" s="3">
        <f>+IF(AVANCE[[#This Row],[MEMBRANA CIELO]]=AY$2,100%,AVANCE[[#This Row],[MEMBRANA CIELO]])</f>
        <v>1</v>
      </c>
      <c r="CN125" s="3">
        <f>+IF(AVANCE[[#This Row],[LIMPIEZA FINAL]]=AZ$2,100%,AVANCE[[#This Row],[LIMPIEZA FINAL]])</f>
        <v>0</v>
      </c>
      <c r="CO125" s="3">
        <f>+IF(AVANCE[[#This Row],[PUERTAS DORMITORIO]]=BA$2,100%,AVANCE[[#This Row],[PUERTAS DORMITORIO]])</f>
        <v>1</v>
      </c>
      <c r="CP125" s="3">
        <f>+IF(AVANCE[[#This Row],[REVESTIMIENTO INTERIOR BANO]]=BB$2,100%,AVANCE[[#This Row],[REVESTIMIENTO INTERIOR BANO]])</f>
        <v>1</v>
      </c>
      <c r="CQ125" s="3">
        <f>+IF(AVANCE[[#This Row],[MUEBLE LAVAPLATOS]]=BC$2,100%,AVANCE[[#This Row],[MUEBLE LAVAPLATOS]])</f>
        <v>1</v>
      </c>
      <c r="CR125" s="3">
        <f>+IF(AVANCE[[#This Row],[IMPERMEABILIZACION BANO - COCINA LOGIA]]=BD$2,100%,AVANCE[[#This Row],[IMPERMEABILIZACION BANO - COCINA LOGIA]])</f>
        <v>1</v>
      </c>
      <c r="CS125" s="40">
        <f ca="1">+IF(AVANCE[[#This Row],[ESTADO MODULO]]="PENDIENTE",(TODAY()-AVANCE[[#This Row],[FECHA TERMINO  PLANIFICADO]]),0)</f>
        <v>14</v>
      </c>
      <c r="CT125" s="41" t="str" cm="1">
        <f t="array" ref="CT125">_xlfn.TEXTJOIN(" | ",TRUE,IF(SUMPRODUCT((BG125:CR125&lt;1)*(PARTIDAS!$I$2:$AT$2="OBRA GRUESA"))&gt;0,"OBRA GRUESA: "&amp;_xlfn.TEXTJOIN(", ",TRUE,IF((BG125:CR125&lt;1)*(PARTIDAS!$I$2:$AT$2="OBRA GRUESA"),PARTIDAS!$I$1:$AT$1,"")),""),IF(SUMPRODUCT((BG125:CR125&lt;1)*(PARTIDAS!$I$2:$AT$2="SANITARIOS"))&gt;0,"SANITARIOS: "&amp;_xlfn.TEXTJOIN(", ",TRUE,IF((BG125:CR125&lt;1)*(PARTIDAS!$I$2:$AT$2="SANITARIOS"),PARTIDAS!$I$1:$AT$1,"")),""),IF(SUMPRODUCT((BG125:CR125&lt;1)*(PARTIDAS!$I$2:$AT$2="ELÉCTRICO"))&gt;0,"ELÉCTRICO: "&amp;_xlfn.TEXTJOIN(", ",TRUE,IF((BG125:CR125&lt;1)*(PARTIDAS!$I$2:$AT$2="ELÉCTRICO"),PARTIDAS!$I$1:$AT$1,"")),""),IF(SUMPRODUCT((BG125:CR125&lt;1)*(PARTIDAS!$I$2:$AT$2="TERMINACIONES"))&gt;0,"TERMINACIONES: "&amp;_xlfn.TEXTJOIN(", ",TRUE,IF((BG125:CR125&lt;1)*(PARTIDAS!$I$2:$AT$2="TERMINACIONES"),PARTIDAS!$I$1:$AT$1,"")),""))</f>
        <v>ELÉCTRICO: CABLEADO, ARTEFACTOS | TERMINACIONES: PINTURA EXTERIOR, CELOSIAS, LIMPIEZA FINAL</v>
      </c>
      <c r="CU125" s="43" t="str" cm="1">
        <f t="array" ref="CU125">_xlfn.TEXTJOIN(", ",TRUE,IF(SUMPRODUCT((BG125:CR125&lt;1)*(PARTIDAS!$I$2:$AT$2="OBRA GRUESA"))&gt;0,"OBRA GRUESA",""),IF(SUMPRODUCT((BG125:CR125&lt;1)*(PARTIDAS!$I$2:$AT$2="SANITARIOS"))&gt;0,"SANITARIOS",""),IF(SUMPRODUCT((BG125:CR125&lt;1)*(PARTIDAS!$I$2:$AT$2="ELÉCTRICO"))&gt;0,"ELÉCTRICO",""),IF(SUMPRODUCT((BG125:CR125&lt;1)*(PARTIDAS!$I$2:$AT$2="TERMINACIONES"))&gt;0,"TERMINACIONES",""))</f>
        <v>ELÉCTRICO, TERMINACIONES</v>
      </c>
      <c r="CV125" s="44" cm="1">
        <f t="array" ref="CV125">SUMPRODUCT(--(BG125:CR125&lt;1))</f>
        <v>5</v>
      </c>
    </row>
    <row r="126" spans="1:100" hidden="1" x14ac:dyDescent="0.25">
      <c r="A126" t="s">
        <v>157</v>
      </c>
      <c r="B126" t="s">
        <v>186</v>
      </c>
      <c r="C126">
        <v>2282600125</v>
      </c>
      <c r="D126" t="s">
        <v>58</v>
      </c>
      <c r="E126" s="2">
        <v>0.83499999999999985</v>
      </c>
      <c r="F126" s="1">
        <v>46195</v>
      </c>
      <c r="G126" s="1">
        <v>46210</v>
      </c>
      <c r="H126" s="1">
        <v>46223</v>
      </c>
      <c r="I126" s="1">
        <v>46219</v>
      </c>
      <c r="J126">
        <v>7</v>
      </c>
      <c r="K126" s="1"/>
      <c r="L126" s="3">
        <v>0.43</v>
      </c>
      <c r="M126" s="3">
        <v>1</v>
      </c>
      <c r="N126" s="3">
        <v>0.27906976744186046</v>
      </c>
      <c r="O126" s="3">
        <v>0.18604651162790697</v>
      </c>
      <c r="P126" s="3">
        <v>0.2558139534883721</v>
      </c>
      <c r="Q126" s="3">
        <v>0.18604651162790697</v>
      </c>
      <c r="R126" s="3">
        <v>9.3023255813953487E-2</v>
      </c>
      <c r="S126" s="3">
        <v>0.09</v>
      </c>
      <c r="T126" s="3">
        <v>1</v>
      </c>
      <c r="U126" s="3">
        <v>0.22222222222222221</v>
      </c>
      <c r="V126" s="3">
        <v>0.22222222222222221</v>
      </c>
      <c r="W126" s="3">
        <v>0.1111111111111111</v>
      </c>
      <c r="X126" s="3">
        <v>0.1111111111111111</v>
      </c>
      <c r="Y126" s="3">
        <v>0.1111111111111111</v>
      </c>
      <c r="Z126" s="3">
        <v>0.22222222222222221</v>
      </c>
      <c r="AA126" s="3">
        <v>6.9999999999999993E-2</v>
      </c>
      <c r="AB126" s="3">
        <v>0.63636363636363635</v>
      </c>
      <c r="AC126" s="3">
        <v>0.27272727272727271</v>
      </c>
      <c r="AD126" s="3">
        <v>0</v>
      </c>
      <c r="AE126" s="3">
        <v>0</v>
      </c>
      <c r="AF126" s="3">
        <v>0.18181818181818182</v>
      </c>
      <c r="AG126" s="3">
        <v>0.18181818181818182</v>
      </c>
      <c r="AH126" s="3">
        <v>0.24499999999999988</v>
      </c>
      <c r="AI126" s="3">
        <v>0.66216216216216184</v>
      </c>
      <c r="AJ126" s="3">
        <v>5.4054054054054036E-2</v>
      </c>
      <c r="AK126" s="3">
        <v>5.4054054054054036E-2</v>
      </c>
      <c r="AL126" s="3">
        <v>2.7027027027027018E-2</v>
      </c>
      <c r="AM126" s="3">
        <v>8.1081081081081058E-2</v>
      </c>
      <c r="AN126" s="3">
        <v>8.1081081081081058E-2</v>
      </c>
      <c r="AO126" s="3">
        <v>0</v>
      </c>
      <c r="AP126" s="3">
        <v>5.4054054054054036E-2</v>
      </c>
      <c r="AQ126" s="3">
        <v>0</v>
      </c>
      <c r="AR126" s="3">
        <v>0</v>
      </c>
      <c r="AS126" s="3">
        <v>0</v>
      </c>
      <c r="AT126" s="3">
        <v>0</v>
      </c>
      <c r="AU126" s="3">
        <v>5.4054054054054036E-2</v>
      </c>
      <c r="AV126" s="3">
        <v>0</v>
      </c>
      <c r="AW126" s="3">
        <v>5.4054054054054036E-2</v>
      </c>
      <c r="AX126" s="3">
        <v>5.4054054054054036E-2</v>
      </c>
      <c r="AY126" s="3">
        <v>2.7027027027027018E-2</v>
      </c>
      <c r="AZ126" s="3">
        <v>0</v>
      </c>
      <c r="BA126" s="3">
        <v>0</v>
      </c>
      <c r="BB126" s="3">
        <v>8.1081081081081058E-2</v>
      </c>
      <c r="BC126" s="3">
        <v>1.3513513513513509E-2</v>
      </c>
      <c r="BD126" s="3">
        <v>2.7027027027027018E-2</v>
      </c>
      <c r="BE126">
        <v>28.87</v>
      </c>
      <c r="BF126" s="3" t="str">
        <f>+IF(AVANCE[[#This Row],[% AVANCE]]=100%,"MODULO TERMINADO",IF(AVANCE[[#This Row],[FECHA INICIO REAL]]="","MODULO NO INICIADO","PENDIENTE"))</f>
        <v>PENDIENTE</v>
      </c>
      <c r="BG126" s="3">
        <f>+IF(AVANCE[[#This Row],[VENTANAS]]=8.10810810810811%,100%,AVANCE[[#This Row],[VENTANAS]])</f>
        <v>0</v>
      </c>
      <c r="BH126" s="3">
        <f>+IF(AVANCE[[#This Row],[PISO]]=N$2,100%,AVANCE[[#This Row],[PISO]])</f>
        <v>1</v>
      </c>
      <c r="BI126" s="3">
        <f>+IF(AVANCE[[#This Row],[TABIQUES]]=O$2,100%,AVANCE[[#This Row],[TABIQUES]])</f>
        <v>1</v>
      </c>
      <c r="BJ126" s="3">
        <f>+IF(AVANCE[[#This Row],[MUROS]]=P$2,100%,AVANCE[[#This Row],[MUROS]])</f>
        <v>1</v>
      </c>
      <c r="BK126" s="3">
        <f>+IF(AVANCE[[#This Row],[CIELO]]=Q$2,100%,AVANCE[[#This Row],[CIELO]])</f>
        <v>1</v>
      </c>
      <c r="BL126" s="3">
        <f>+IF(AVANCE[[#This Row],[BALCÓN]]=R$2,100%,AVANCE[[#This Row],[BALCÓN]])</f>
        <v>1</v>
      </c>
      <c r="BM126" s="3">
        <f>+IF(AVANCE[[#This Row],[RED ALCANTARILLADO]]=U$2,100%,AVANCE[[#This Row],[RED ALCANTARILLADO]])</f>
        <v>1</v>
      </c>
      <c r="BN126" s="3">
        <f>+IF(AVANCE[[#This Row],[RED DE AGUA]]=V$2,100%,AVANCE[[#This Row],[RED DE AGUA]])</f>
        <v>1</v>
      </c>
      <c r="BO126" s="3">
        <f>+IF(AVANCE[[#This Row],[VENTILACIONES]]=W$2,100%,AVANCE[[#This Row],[VENTILACIONES]])</f>
        <v>1</v>
      </c>
      <c r="BP126" s="3">
        <f>+IF(AVANCE[[#This Row],[TINA]]=X$2,100%,AVANCE[[#This Row],[TINA]])</f>
        <v>1</v>
      </c>
      <c r="BQ126" s="3">
        <f>+IF(AVANCE[[#This Row],[WC]]=Y$2,100%,AVANCE[[#This Row],[WC]])</f>
        <v>1</v>
      </c>
      <c r="BR126" s="3">
        <f>+IF(AVANCE[[#This Row],[LAVAMANOS / LAVAPLATOS / LAVADERO]]=Z$2,100%,AVANCE[[#This Row],[LAVAMANOS / LAVAPLATOS / LAVADERO]])</f>
        <v>1</v>
      </c>
      <c r="BS126" s="3">
        <f>+IF(AVANCE[[#This Row],[CANALIZACIÓN]]=AC$2,100%,AVANCE[[#This Row],[CANALIZACIÓN]])</f>
        <v>1</v>
      </c>
      <c r="BT126" s="3">
        <f>+IF(AVANCE[[#This Row],[CABLEADO]]=AD$2,100%,AVANCE[[#This Row],[CABLEADO]])</f>
        <v>0</v>
      </c>
      <c r="BU126" s="3">
        <f>+IF(AVANCE[[#This Row],[ARTEFACTOS]]=AE$2,100%,AVANCE[[#This Row],[ARTEFACTOS]])</f>
        <v>0</v>
      </c>
      <c r="BV126" s="3">
        <f>+IF(AVANCE[[#This Row],[TABLERO]]=AF$2,100%,AVANCE[[#This Row],[TABLERO]])</f>
        <v>1</v>
      </c>
      <c r="BW126" s="3">
        <f>+IF(AVANCE[[#This Row],[CAJA PAU]]=AG$2,100%,AVANCE[[#This Row],[CAJA PAU]])</f>
        <v>1</v>
      </c>
      <c r="BX126" s="3">
        <f>+IF(AVANCE[[#This Row],[INSTALACION VINILICO]]=AJ$2,100%,AVANCE[[#This Row],[INSTALACION VINILICO]])</f>
        <v>1</v>
      </c>
      <c r="BY126" s="3">
        <f>+IF(AVANCE[[#This Row],[OSB CUBIERTA]]=AK$2,100%,AVANCE[[#This Row],[OSB CUBIERTA]])</f>
        <v>1</v>
      </c>
      <c r="BZ126" s="3">
        <f>+IF(AVANCE[[#This Row],[BARANDA BALCON]]=AL$2,100%,AVANCE[[#This Row],[BARANDA BALCON]])</f>
        <v>1</v>
      </c>
      <c r="CA126" s="3">
        <f>+IF(AVANCE[[#This Row],[OSB EXTERIOR]]=AM$2,100%,AVANCE[[#This Row],[OSB EXTERIOR]])</f>
        <v>1</v>
      </c>
      <c r="CB126" s="3">
        <f>+IF(AVANCE[[#This Row],[SMART PANEL]]=AN$2,100%,AVANCE[[#This Row],[SMART PANEL]])</f>
        <v>1</v>
      </c>
      <c r="CC126" s="3">
        <f>+IF(AVANCE[[#This Row],[PINTURA EXTERIOR]]=AO$2,100%,AVANCE[[#This Row],[PINTURA EXTERIOR]])</f>
        <v>0</v>
      </c>
      <c r="CD126" s="3">
        <f>+IF(AVANCE[[#This Row],[ZOCALOS LOGIA]]=AP$2,100%,AVANCE[[#This Row],[ZOCALOS LOGIA]])</f>
        <v>1</v>
      </c>
      <c r="CE126" s="3">
        <f>+IF(AVANCE[[#This Row],[MOLDURAS]]=AQ$2,100%,AVANCE[[#This Row],[MOLDURAS]])</f>
        <v>0</v>
      </c>
      <c r="CF126" s="3">
        <f>+IF(AVANCE[[#This Row],[PILASTREO]]=AR$2,100%,AVANCE[[#This Row],[PILASTREO]])</f>
        <v>0</v>
      </c>
      <c r="CG126" s="3">
        <f>+IF(AVANCE[[#This Row],[CELOSIAS]]=AS$2,100%,AVANCE[[#This Row],[CELOSIAS]])</f>
        <v>0</v>
      </c>
      <c r="CH126" s="3">
        <f>+IF(AVANCE[[#This Row],[VENTANAS]]=AT$2,100%,AVANCE[[#This Row],[VENTANAS]])</f>
        <v>0</v>
      </c>
      <c r="CI126" s="3">
        <f>+IF(AVANCE[[#This Row],[PUERTAS ACCESO - LOGIA - BANO]]=AU$2,100%,AVANCE[[#This Row],[PUERTAS ACCESO - LOGIA - BANO]])</f>
        <v>1</v>
      </c>
      <c r="CJ126" s="3">
        <f>+IF(AVANCE[[#This Row],[CERRADURAS]]=AV$2,100%,AVANCE[[#This Row],[CERRADURAS]])</f>
        <v>0</v>
      </c>
      <c r="CK126" s="3">
        <f>+IF(AVANCE[[#This Row],[REVESTIMIENTO INTERIOR ZONA SECA]]=AW$2,100%,AVANCE[[#This Row],[REVESTIMIENTO INTERIOR ZONA SECA]])</f>
        <v>1</v>
      </c>
      <c r="CL126" s="3">
        <f>+IF(AVANCE[[#This Row],[REVESTIMIENTO INTERIOR ZONAS HUMEDAS]]=AX$2,100%,AVANCE[[#This Row],[REVESTIMIENTO INTERIOR ZONAS HUMEDAS]])</f>
        <v>1</v>
      </c>
      <c r="CM126" s="3">
        <f>+IF(AVANCE[[#This Row],[MEMBRANA CIELO]]=AY$2,100%,AVANCE[[#This Row],[MEMBRANA CIELO]])</f>
        <v>1</v>
      </c>
      <c r="CN126" s="3">
        <f>+IF(AVANCE[[#This Row],[LIMPIEZA FINAL]]=AZ$2,100%,AVANCE[[#This Row],[LIMPIEZA FINAL]])</f>
        <v>0</v>
      </c>
      <c r="CO126" s="3">
        <f>+IF(AVANCE[[#This Row],[PUERTAS DORMITORIO]]=BA$2,100%,AVANCE[[#This Row],[PUERTAS DORMITORIO]])</f>
        <v>0</v>
      </c>
      <c r="CP126" s="3">
        <f>+IF(AVANCE[[#This Row],[REVESTIMIENTO INTERIOR BANO]]=BB$2,100%,AVANCE[[#This Row],[REVESTIMIENTO INTERIOR BANO]])</f>
        <v>1</v>
      </c>
      <c r="CQ126" s="3">
        <f>+IF(AVANCE[[#This Row],[MUEBLE LAVAPLATOS]]=BC$2,100%,AVANCE[[#This Row],[MUEBLE LAVAPLATOS]])</f>
        <v>1</v>
      </c>
      <c r="CR126" s="3">
        <f>+IF(AVANCE[[#This Row],[IMPERMEABILIZACION BANO - COCINA LOGIA]]=BD$2,100%,AVANCE[[#This Row],[IMPERMEABILIZACION BANO - COCINA LOGIA]])</f>
        <v>1</v>
      </c>
      <c r="CS126" s="40">
        <f ca="1">+IF(AVANCE[[#This Row],[ESTADO MODULO]]="PENDIENTE",(TODAY()-AVANCE[[#This Row],[FECHA TERMINO  PLANIFICADO]]),0)</f>
        <v>11</v>
      </c>
      <c r="CT126" s="41" t="str" cm="1">
        <f t="array" ref="CT126">_xlfn.TEXTJOIN(" | ",TRUE,IF(SUMPRODUCT((BG126:CR126&lt;1)*(PARTIDAS!$I$2:$AT$2="OBRA GRUESA"))&gt;0,"OBRA GRUESA: "&amp;_xlfn.TEXTJOIN(", ",TRUE,IF((BG126:CR126&lt;1)*(PARTIDAS!$I$2:$AT$2="OBRA GRUESA"),PARTIDAS!$I$1:$AT$1,"")),""),IF(SUMPRODUCT((BG126:CR126&lt;1)*(PARTIDAS!$I$2:$AT$2="SANITARIOS"))&gt;0,"SANITARIOS: "&amp;_xlfn.TEXTJOIN(", ",TRUE,IF((BG126:CR126&lt;1)*(PARTIDAS!$I$2:$AT$2="SANITARIOS"),PARTIDAS!$I$1:$AT$1,"")),""),IF(SUMPRODUCT((BG126:CR126&lt;1)*(PARTIDAS!$I$2:$AT$2="ELÉCTRICO"))&gt;0,"ELÉCTRICO: "&amp;_xlfn.TEXTJOIN(", ",TRUE,IF((BG126:CR126&lt;1)*(PARTIDAS!$I$2:$AT$2="ELÉCTRICO"),PARTIDAS!$I$1:$AT$1,"")),""),IF(SUMPRODUCT((BG126:CR126&lt;1)*(PARTIDAS!$I$2:$AT$2="TERMINACIONES"))&gt;0,"TERMINACIONES: "&amp;_xlfn.TEXTJOIN(", ",TRUE,IF((BG126:CR126&lt;1)*(PARTIDAS!$I$2:$AT$2="TERMINACIONES"),PARTIDAS!$I$1:$AT$1,"")),""))</f>
        <v>ELÉCTRICO: CABLEADO, ARTEFACTOS | TERMINACIONES: VENTANAS, PINTURA EXTERIOR, MOLDURAS, PILASTREO, CELOSIAS, VENTANAS (TERM), CERRADURAS, LIMPIEZA FINAL, PUERTAS DORMITORIO</v>
      </c>
      <c r="CU126" s="43" t="str" cm="1">
        <f t="array" ref="CU126">_xlfn.TEXTJOIN(", ",TRUE,IF(SUMPRODUCT((BG126:CR126&lt;1)*(PARTIDAS!$I$2:$AT$2="OBRA GRUESA"))&gt;0,"OBRA GRUESA",""),IF(SUMPRODUCT((BG126:CR126&lt;1)*(PARTIDAS!$I$2:$AT$2="SANITARIOS"))&gt;0,"SANITARIOS",""),IF(SUMPRODUCT((BG126:CR126&lt;1)*(PARTIDAS!$I$2:$AT$2="ELÉCTRICO"))&gt;0,"ELÉCTRICO",""),IF(SUMPRODUCT((BG126:CR126&lt;1)*(PARTIDAS!$I$2:$AT$2="TERMINACIONES"))&gt;0,"TERMINACIONES",""))</f>
        <v>ELÉCTRICO, TERMINACIONES</v>
      </c>
      <c r="CV126" s="44" cm="1">
        <f t="array" ref="CV126">SUMPRODUCT(--(BG126:CR126&lt;1))</f>
        <v>11</v>
      </c>
    </row>
    <row r="127" spans="1:100" hidden="1" x14ac:dyDescent="0.25">
      <c r="A127" t="s">
        <v>157</v>
      </c>
      <c r="B127" t="s">
        <v>187</v>
      </c>
      <c r="C127">
        <v>2302600126</v>
      </c>
      <c r="D127" t="s">
        <v>60</v>
      </c>
      <c r="E127" s="2">
        <v>0.6399999999999999</v>
      </c>
      <c r="F127" s="1">
        <v>46195</v>
      </c>
      <c r="G127" s="1">
        <v>46206</v>
      </c>
      <c r="H127" s="1">
        <v>46227</v>
      </c>
      <c r="I127" s="1">
        <v>46229</v>
      </c>
      <c r="J127">
        <v>3</v>
      </c>
      <c r="K127" s="1"/>
      <c r="L127" s="3">
        <v>0.43</v>
      </c>
      <c r="M127" s="3">
        <v>1</v>
      </c>
      <c r="N127" s="3">
        <v>0.27906976744186046</v>
      </c>
      <c r="O127" s="3">
        <v>0.18604651162790697</v>
      </c>
      <c r="P127" s="3">
        <v>0.2558139534883721</v>
      </c>
      <c r="Q127" s="3">
        <v>0.18604651162790697</v>
      </c>
      <c r="R127" s="3">
        <v>9.3023255813953487E-2</v>
      </c>
      <c r="S127" s="3">
        <v>3.9999999999999994E-2</v>
      </c>
      <c r="T127" s="3">
        <v>0.44444444444444442</v>
      </c>
      <c r="U127" s="3">
        <v>0.22222222222222221</v>
      </c>
      <c r="V127" s="3">
        <v>0.22222222222222221</v>
      </c>
      <c r="W127" s="3">
        <v>0</v>
      </c>
      <c r="X127" s="3">
        <v>0</v>
      </c>
      <c r="Y127" s="3">
        <v>0</v>
      </c>
      <c r="Z127" s="3">
        <v>0</v>
      </c>
      <c r="AA127" s="3">
        <v>0.03</v>
      </c>
      <c r="AB127" s="3">
        <v>0.27272727272727271</v>
      </c>
      <c r="AC127" s="3">
        <v>0.27272727272727271</v>
      </c>
      <c r="AD127" s="3">
        <v>0</v>
      </c>
      <c r="AE127" s="3">
        <v>0</v>
      </c>
      <c r="AF127" s="3">
        <v>0</v>
      </c>
      <c r="AG127" s="3">
        <v>0</v>
      </c>
      <c r="AH127" s="3">
        <v>0.13999999999999996</v>
      </c>
      <c r="AI127" s="3">
        <v>0.37837837837837829</v>
      </c>
      <c r="AJ127" s="3">
        <v>0</v>
      </c>
      <c r="AK127" s="3">
        <v>5.4054054054054036E-2</v>
      </c>
      <c r="AL127" s="3">
        <v>0</v>
      </c>
      <c r="AM127" s="3">
        <v>8.1081081081081058E-2</v>
      </c>
      <c r="AN127" s="3">
        <v>8.1081081081081058E-2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5.4054054054054036E-2</v>
      </c>
      <c r="AY127" s="3">
        <v>2.7027027027027018E-2</v>
      </c>
      <c r="AZ127" s="3">
        <v>0</v>
      </c>
      <c r="BA127" s="3">
        <v>5.4054054054054036E-2</v>
      </c>
      <c r="BB127" s="3">
        <v>0</v>
      </c>
      <c r="BC127" s="3">
        <v>0</v>
      </c>
      <c r="BD127" s="3">
        <v>2.7027027027027018E-2</v>
      </c>
      <c r="BE127">
        <v>31.32</v>
      </c>
      <c r="BF127" s="3" t="str">
        <f>+IF(AVANCE[[#This Row],[% AVANCE]]=100%,"MODULO TERMINADO",IF(AVANCE[[#This Row],[FECHA INICIO REAL]]="","MODULO NO INICIADO","PENDIENTE"))</f>
        <v>PENDIENTE</v>
      </c>
      <c r="BG127" s="3">
        <f>+IF(AVANCE[[#This Row],[VENTANAS]]=8.10810810810811%,100%,AVANCE[[#This Row],[VENTANAS]])</f>
        <v>0</v>
      </c>
      <c r="BH127" s="3">
        <f>+IF(AVANCE[[#This Row],[PISO]]=N$2,100%,AVANCE[[#This Row],[PISO]])</f>
        <v>1</v>
      </c>
      <c r="BI127" s="3">
        <f>+IF(AVANCE[[#This Row],[TABIQUES]]=O$2,100%,AVANCE[[#This Row],[TABIQUES]])</f>
        <v>1</v>
      </c>
      <c r="BJ127" s="3">
        <f>+IF(AVANCE[[#This Row],[MUROS]]=P$2,100%,AVANCE[[#This Row],[MUROS]])</f>
        <v>1</v>
      </c>
      <c r="BK127" s="3">
        <f>+IF(AVANCE[[#This Row],[CIELO]]=Q$2,100%,AVANCE[[#This Row],[CIELO]])</f>
        <v>1</v>
      </c>
      <c r="BL127" s="3">
        <f>+IF(AVANCE[[#This Row],[BALCÓN]]=R$2,100%,AVANCE[[#This Row],[BALCÓN]])</f>
        <v>1</v>
      </c>
      <c r="BM127" s="3">
        <f>+IF(AVANCE[[#This Row],[RED ALCANTARILLADO]]=U$2,100%,AVANCE[[#This Row],[RED ALCANTARILLADO]])</f>
        <v>1</v>
      </c>
      <c r="BN127" s="3">
        <f>+IF(AVANCE[[#This Row],[RED DE AGUA]]=V$2,100%,AVANCE[[#This Row],[RED DE AGUA]])</f>
        <v>1</v>
      </c>
      <c r="BO127" s="3">
        <f>+IF(AVANCE[[#This Row],[VENTILACIONES]]=W$2,100%,AVANCE[[#This Row],[VENTILACIONES]])</f>
        <v>0</v>
      </c>
      <c r="BP127" s="3">
        <f>+IF(AVANCE[[#This Row],[TINA]]=X$2,100%,AVANCE[[#This Row],[TINA]])</f>
        <v>0</v>
      </c>
      <c r="BQ127" s="3">
        <f>+IF(AVANCE[[#This Row],[WC]]=Y$2,100%,AVANCE[[#This Row],[WC]])</f>
        <v>0</v>
      </c>
      <c r="BR127" s="3">
        <f>+IF(AVANCE[[#This Row],[LAVAMANOS / LAVAPLATOS / LAVADERO]]=Z$2,100%,AVANCE[[#This Row],[LAVAMANOS / LAVAPLATOS / LAVADERO]])</f>
        <v>0</v>
      </c>
      <c r="BS127" s="3">
        <f>+IF(AVANCE[[#This Row],[CANALIZACIÓN]]=AC$2,100%,AVANCE[[#This Row],[CANALIZACIÓN]])</f>
        <v>1</v>
      </c>
      <c r="BT127" s="3">
        <f>+IF(AVANCE[[#This Row],[CABLEADO]]=AD$2,100%,AVANCE[[#This Row],[CABLEADO]])</f>
        <v>0</v>
      </c>
      <c r="BU127" s="3">
        <f>+IF(AVANCE[[#This Row],[ARTEFACTOS]]=AE$2,100%,AVANCE[[#This Row],[ARTEFACTOS]])</f>
        <v>0</v>
      </c>
      <c r="BV127" s="3">
        <f>+IF(AVANCE[[#This Row],[TABLERO]]=AF$2,100%,AVANCE[[#This Row],[TABLERO]])</f>
        <v>0</v>
      </c>
      <c r="BW127" s="3">
        <f>+IF(AVANCE[[#This Row],[CAJA PAU]]=AG$2,100%,AVANCE[[#This Row],[CAJA PAU]])</f>
        <v>0</v>
      </c>
      <c r="BX127" s="3">
        <f>+IF(AVANCE[[#This Row],[INSTALACION VINILICO]]=AJ$2,100%,AVANCE[[#This Row],[INSTALACION VINILICO]])</f>
        <v>0</v>
      </c>
      <c r="BY127" s="3">
        <f>+IF(AVANCE[[#This Row],[OSB CUBIERTA]]=AK$2,100%,AVANCE[[#This Row],[OSB CUBIERTA]])</f>
        <v>1</v>
      </c>
      <c r="BZ127" s="3">
        <f>+IF(AVANCE[[#This Row],[BARANDA BALCON]]=AL$2,100%,AVANCE[[#This Row],[BARANDA BALCON]])</f>
        <v>0</v>
      </c>
      <c r="CA127" s="3">
        <f>+IF(AVANCE[[#This Row],[OSB EXTERIOR]]=AM$2,100%,AVANCE[[#This Row],[OSB EXTERIOR]])</f>
        <v>1</v>
      </c>
      <c r="CB127" s="3">
        <f>+IF(AVANCE[[#This Row],[SMART PANEL]]=AN$2,100%,AVANCE[[#This Row],[SMART PANEL]])</f>
        <v>1</v>
      </c>
      <c r="CC127" s="3">
        <f>+IF(AVANCE[[#This Row],[PINTURA EXTERIOR]]=AO$2,100%,AVANCE[[#This Row],[PINTURA EXTERIOR]])</f>
        <v>0</v>
      </c>
      <c r="CD127" s="3">
        <f>+IF(AVANCE[[#This Row],[ZOCALOS LOGIA]]=AP$2,100%,AVANCE[[#This Row],[ZOCALOS LOGIA]])</f>
        <v>0</v>
      </c>
      <c r="CE127" s="3">
        <f>+IF(AVANCE[[#This Row],[MOLDURAS]]=AQ$2,100%,AVANCE[[#This Row],[MOLDURAS]])</f>
        <v>0</v>
      </c>
      <c r="CF127" s="3">
        <f>+IF(AVANCE[[#This Row],[PILASTREO]]=AR$2,100%,AVANCE[[#This Row],[PILASTREO]])</f>
        <v>0</v>
      </c>
      <c r="CG127" s="3">
        <f>+IF(AVANCE[[#This Row],[CELOSIAS]]=AS$2,100%,AVANCE[[#This Row],[CELOSIAS]])</f>
        <v>0</v>
      </c>
      <c r="CH127" s="3">
        <f>+IF(AVANCE[[#This Row],[VENTANAS]]=AT$2,100%,AVANCE[[#This Row],[VENTANAS]])</f>
        <v>0</v>
      </c>
      <c r="CI127" s="3">
        <f>+IF(AVANCE[[#This Row],[PUERTAS ACCESO - LOGIA - BANO]]=AU$2,100%,AVANCE[[#This Row],[PUERTAS ACCESO - LOGIA - BANO]])</f>
        <v>0</v>
      </c>
      <c r="CJ127" s="3">
        <f>+IF(AVANCE[[#This Row],[CERRADURAS]]=AV$2,100%,AVANCE[[#This Row],[CERRADURAS]])</f>
        <v>0</v>
      </c>
      <c r="CK127" s="3">
        <f>+IF(AVANCE[[#This Row],[REVESTIMIENTO INTERIOR ZONA SECA]]=AW$2,100%,AVANCE[[#This Row],[REVESTIMIENTO INTERIOR ZONA SECA]])</f>
        <v>0</v>
      </c>
      <c r="CL127" s="3">
        <f>+IF(AVANCE[[#This Row],[REVESTIMIENTO INTERIOR ZONAS HUMEDAS]]=AX$2,100%,AVANCE[[#This Row],[REVESTIMIENTO INTERIOR ZONAS HUMEDAS]])</f>
        <v>1</v>
      </c>
      <c r="CM127" s="3">
        <f>+IF(AVANCE[[#This Row],[MEMBRANA CIELO]]=AY$2,100%,AVANCE[[#This Row],[MEMBRANA CIELO]])</f>
        <v>1</v>
      </c>
      <c r="CN127" s="3">
        <f>+IF(AVANCE[[#This Row],[LIMPIEZA FINAL]]=AZ$2,100%,AVANCE[[#This Row],[LIMPIEZA FINAL]])</f>
        <v>0</v>
      </c>
      <c r="CO127" s="3">
        <f>+IF(AVANCE[[#This Row],[PUERTAS DORMITORIO]]=BA$2,100%,AVANCE[[#This Row],[PUERTAS DORMITORIO]])</f>
        <v>1</v>
      </c>
      <c r="CP127" s="3">
        <f>+IF(AVANCE[[#This Row],[REVESTIMIENTO INTERIOR BANO]]=BB$2,100%,AVANCE[[#This Row],[REVESTIMIENTO INTERIOR BANO]])</f>
        <v>0</v>
      </c>
      <c r="CQ127" s="3">
        <f>+IF(AVANCE[[#This Row],[MUEBLE LAVAPLATOS]]=BC$2,100%,AVANCE[[#This Row],[MUEBLE LAVAPLATOS]])</f>
        <v>0</v>
      </c>
      <c r="CR127" s="3">
        <f>+IF(AVANCE[[#This Row],[IMPERMEABILIZACION BANO - COCINA LOGIA]]=BD$2,100%,AVANCE[[#This Row],[IMPERMEABILIZACION BANO - COCINA LOGIA]])</f>
        <v>1</v>
      </c>
      <c r="CS127" s="40">
        <f ca="1">+IF(AVANCE[[#This Row],[ESTADO MODULO]]="PENDIENTE",(TODAY()-AVANCE[[#This Row],[FECHA TERMINO  PLANIFICADO]]),0)</f>
        <v>1</v>
      </c>
      <c r="CT127" s="41" t="str" cm="1">
        <f t="array" ref="CT127">_xlfn.TEXTJOIN(" | ",TRUE,IF(SUMPRODUCT((BG127:CR127&lt;1)*(PARTIDAS!$I$2:$AT$2="OBRA GRUESA"))&gt;0,"OBRA GRUESA: "&amp;_xlfn.TEXTJOIN(", ",TRUE,IF((BG127:CR127&lt;1)*(PARTIDAS!$I$2:$AT$2="OBRA GRUESA"),PARTIDAS!$I$1:$AT$1,"")),""),IF(SUMPRODUCT((BG127:CR127&lt;1)*(PARTIDAS!$I$2:$AT$2="SANITARIOS"))&gt;0,"SANITARIOS: "&amp;_xlfn.TEXTJOIN(", ",TRUE,IF((BG127:CR127&lt;1)*(PARTIDAS!$I$2:$AT$2="SANITARIOS"),PARTIDAS!$I$1:$AT$1,"")),""),IF(SUMPRODUCT((BG127:CR127&lt;1)*(PARTIDAS!$I$2:$AT$2="ELÉCTRICO"))&gt;0,"ELÉCTRICO: "&amp;_xlfn.TEXTJOIN(", ",TRUE,IF((BG127:CR127&lt;1)*(PARTIDAS!$I$2:$AT$2="ELÉCTRICO"),PARTIDAS!$I$1:$AT$1,"")),""),IF(SUMPRODUCT((BG127:CR127&lt;1)*(PARTIDAS!$I$2:$AT$2="TERMINACIONES"))&gt;0,"TERMINACIONES: "&amp;_xlfn.TEXTJOIN(", ",TRUE,IF((BG127:CR127&lt;1)*(PARTIDAS!$I$2:$AT$2="TERMINACIONES"),PARTIDAS!$I$1:$AT$1,"")),""))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PINTURA EXTERIOR, ZOCALOS LOGIA, MOLDURAS, PILASTREO, CELOSIAS, VENTANAS (TERM), PUERTAS ACCESO - LOGIA - BANO, CERRADURAS, REVESTIMIENTO INTERIOR ZONA SECA, LIMPIEZA FINAL, REVESTIMIENTO INTERIOR BANO, MUEBLE LAVAPLATOS</v>
      </c>
      <c r="CU127" s="43" t="str" cm="1">
        <f t="array" ref="CU127">_xlfn.TEXTJOIN(", ",TRUE,IF(SUMPRODUCT((BG127:CR127&lt;1)*(PARTIDAS!$I$2:$AT$2="OBRA GRUESA"))&gt;0,"OBRA GRUESA",""),IF(SUMPRODUCT((BG127:CR127&lt;1)*(PARTIDAS!$I$2:$AT$2="SANITARIOS"))&gt;0,"SANITARIOS",""),IF(SUMPRODUCT((BG127:CR127&lt;1)*(PARTIDAS!$I$2:$AT$2="ELÉCTRICO"))&gt;0,"ELÉCTRICO",""),IF(SUMPRODUCT((BG127:CR127&lt;1)*(PARTIDAS!$I$2:$AT$2="TERMINACIONES"))&gt;0,"TERMINACIONES",""))</f>
        <v>SANITARIOS, ELÉCTRICO, TERMINACIONES</v>
      </c>
      <c r="CV127" s="44" cm="1">
        <f t="array" ref="CV127">SUMPRODUCT(--(BG127:CR127&lt;1))</f>
        <v>23</v>
      </c>
    </row>
    <row r="128" spans="1:100" hidden="1" x14ac:dyDescent="0.25">
      <c r="A128" t="s">
        <v>157</v>
      </c>
      <c r="B128" t="s">
        <v>188</v>
      </c>
      <c r="C128">
        <v>2302600127</v>
      </c>
      <c r="D128" t="s">
        <v>60</v>
      </c>
      <c r="E128" s="2">
        <v>0.57999999999999996</v>
      </c>
      <c r="F128" s="1">
        <v>46196</v>
      </c>
      <c r="G128" s="1">
        <v>46205</v>
      </c>
      <c r="H128" s="1">
        <v>46223</v>
      </c>
      <c r="I128" s="1">
        <v>46230</v>
      </c>
      <c r="J128">
        <v>7</v>
      </c>
      <c r="K128" s="1"/>
      <c r="L128" s="3">
        <v>0.43</v>
      </c>
      <c r="M128" s="3">
        <v>1</v>
      </c>
      <c r="N128" s="3">
        <v>0.27906976744186046</v>
      </c>
      <c r="O128" s="3">
        <v>0.18604651162790697</v>
      </c>
      <c r="P128" s="3">
        <v>0.2558139534883721</v>
      </c>
      <c r="Q128" s="3">
        <v>0.18604651162790697</v>
      </c>
      <c r="R128" s="3">
        <v>9.3023255813953487E-2</v>
      </c>
      <c r="S128" s="3">
        <v>3.9999999999999994E-2</v>
      </c>
      <c r="T128" s="3">
        <v>0.44444444444444442</v>
      </c>
      <c r="U128" s="3">
        <v>0.22222222222222221</v>
      </c>
      <c r="V128" s="3">
        <v>0.22222222222222221</v>
      </c>
      <c r="W128" s="3">
        <v>0</v>
      </c>
      <c r="X128" s="3">
        <v>0</v>
      </c>
      <c r="Y128" s="3">
        <v>0</v>
      </c>
      <c r="Z128" s="3">
        <v>0</v>
      </c>
      <c r="AA128" s="3">
        <v>0.03</v>
      </c>
      <c r="AB128" s="3">
        <v>0.27272727272727271</v>
      </c>
      <c r="AC128" s="3">
        <v>0.27272727272727271</v>
      </c>
      <c r="AD128" s="3">
        <v>0</v>
      </c>
      <c r="AE128" s="3">
        <v>0</v>
      </c>
      <c r="AF128" s="3">
        <v>0</v>
      </c>
      <c r="AG128" s="3">
        <v>0</v>
      </c>
      <c r="AH128" s="3">
        <v>7.9999999999999974E-2</v>
      </c>
      <c r="AI128" s="3">
        <v>0.21621621621621614</v>
      </c>
      <c r="AJ128" s="3">
        <v>0</v>
      </c>
      <c r="AK128" s="3">
        <v>5.4054054054054036E-2</v>
      </c>
      <c r="AL128" s="3">
        <v>0</v>
      </c>
      <c r="AM128" s="3">
        <v>8.1081081081081058E-2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2.7027027027027018E-2</v>
      </c>
      <c r="AZ128" s="3">
        <v>0</v>
      </c>
      <c r="BA128" s="3">
        <v>5.4054054054054036E-2</v>
      </c>
      <c r="BB128" s="3">
        <v>0</v>
      </c>
      <c r="BC128" s="3">
        <v>0</v>
      </c>
      <c r="BD128" s="3">
        <v>0</v>
      </c>
      <c r="BE128">
        <v>31.32</v>
      </c>
      <c r="BF128" s="3" t="str">
        <f>+IF(AVANCE[[#This Row],[% AVANCE]]=100%,"MODULO TERMINADO",IF(AVANCE[[#This Row],[FECHA INICIO REAL]]="","MODULO NO INICIADO","PENDIENTE"))</f>
        <v>PENDIENTE</v>
      </c>
      <c r="BG128" s="3">
        <f>+IF(AVANCE[[#This Row],[VENTANAS]]=8.10810810810811%,100%,AVANCE[[#This Row],[VENTANAS]])</f>
        <v>0</v>
      </c>
      <c r="BH128" s="3">
        <f>+IF(AVANCE[[#This Row],[PISO]]=N$2,100%,AVANCE[[#This Row],[PISO]])</f>
        <v>1</v>
      </c>
      <c r="BI128" s="3">
        <f>+IF(AVANCE[[#This Row],[TABIQUES]]=O$2,100%,AVANCE[[#This Row],[TABIQUES]])</f>
        <v>1</v>
      </c>
      <c r="BJ128" s="3">
        <f>+IF(AVANCE[[#This Row],[MUROS]]=P$2,100%,AVANCE[[#This Row],[MUROS]])</f>
        <v>1</v>
      </c>
      <c r="BK128" s="3">
        <f>+IF(AVANCE[[#This Row],[CIELO]]=Q$2,100%,AVANCE[[#This Row],[CIELO]])</f>
        <v>1</v>
      </c>
      <c r="BL128" s="3">
        <f>+IF(AVANCE[[#This Row],[BALCÓN]]=R$2,100%,AVANCE[[#This Row],[BALCÓN]])</f>
        <v>1</v>
      </c>
      <c r="BM128" s="3">
        <f>+IF(AVANCE[[#This Row],[RED ALCANTARILLADO]]=U$2,100%,AVANCE[[#This Row],[RED ALCANTARILLADO]])</f>
        <v>1</v>
      </c>
      <c r="BN128" s="3">
        <f>+IF(AVANCE[[#This Row],[RED DE AGUA]]=V$2,100%,AVANCE[[#This Row],[RED DE AGUA]])</f>
        <v>1</v>
      </c>
      <c r="BO128" s="3">
        <f>+IF(AVANCE[[#This Row],[VENTILACIONES]]=W$2,100%,AVANCE[[#This Row],[VENTILACIONES]])</f>
        <v>0</v>
      </c>
      <c r="BP128" s="3">
        <f>+IF(AVANCE[[#This Row],[TINA]]=X$2,100%,AVANCE[[#This Row],[TINA]])</f>
        <v>0</v>
      </c>
      <c r="BQ128" s="3">
        <f>+IF(AVANCE[[#This Row],[WC]]=Y$2,100%,AVANCE[[#This Row],[WC]])</f>
        <v>0</v>
      </c>
      <c r="BR128" s="3">
        <f>+IF(AVANCE[[#This Row],[LAVAMANOS / LAVAPLATOS / LAVADERO]]=Z$2,100%,AVANCE[[#This Row],[LAVAMANOS / LAVAPLATOS / LAVADERO]])</f>
        <v>0</v>
      </c>
      <c r="BS128" s="3">
        <f>+IF(AVANCE[[#This Row],[CANALIZACIÓN]]=AC$2,100%,AVANCE[[#This Row],[CANALIZACIÓN]])</f>
        <v>1</v>
      </c>
      <c r="BT128" s="3">
        <f>+IF(AVANCE[[#This Row],[CABLEADO]]=AD$2,100%,AVANCE[[#This Row],[CABLEADO]])</f>
        <v>0</v>
      </c>
      <c r="BU128" s="3">
        <f>+IF(AVANCE[[#This Row],[ARTEFACTOS]]=AE$2,100%,AVANCE[[#This Row],[ARTEFACTOS]])</f>
        <v>0</v>
      </c>
      <c r="BV128" s="3">
        <f>+IF(AVANCE[[#This Row],[TABLERO]]=AF$2,100%,AVANCE[[#This Row],[TABLERO]])</f>
        <v>0</v>
      </c>
      <c r="BW128" s="3">
        <f>+IF(AVANCE[[#This Row],[CAJA PAU]]=AG$2,100%,AVANCE[[#This Row],[CAJA PAU]])</f>
        <v>0</v>
      </c>
      <c r="BX128" s="3">
        <f>+IF(AVANCE[[#This Row],[INSTALACION VINILICO]]=AJ$2,100%,AVANCE[[#This Row],[INSTALACION VINILICO]])</f>
        <v>0</v>
      </c>
      <c r="BY128" s="3">
        <f>+IF(AVANCE[[#This Row],[OSB CUBIERTA]]=AK$2,100%,AVANCE[[#This Row],[OSB CUBIERTA]])</f>
        <v>1</v>
      </c>
      <c r="BZ128" s="3">
        <f>+IF(AVANCE[[#This Row],[BARANDA BALCON]]=AL$2,100%,AVANCE[[#This Row],[BARANDA BALCON]])</f>
        <v>0</v>
      </c>
      <c r="CA128" s="3">
        <f>+IF(AVANCE[[#This Row],[OSB EXTERIOR]]=AM$2,100%,AVANCE[[#This Row],[OSB EXTERIOR]])</f>
        <v>1</v>
      </c>
      <c r="CB128" s="3">
        <f>+IF(AVANCE[[#This Row],[SMART PANEL]]=AN$2,100%,AVANCE[[#This Row],[SMART PANEL]])</f>
        <v>0</v>
      </c>
      <c r="CC128" s="3">
        <f>+IF(AVANCE[[#This Row],[PINTURA EXTERIOR]]=AO$2,100%,AVANCE[[#This Row],[PINTURA EXTERIOR]])</f>
        <v>0</v>
      </c>
      <c r="CD128" s="3">
        <f>+IF(AVANCE[[#This Row],[ZOCALOS LOGIA]]=AP$2,100%,AVANCE[[#This Row],[ZOCALOS LOGIA]])</f>
        <v>0</v>
      </c>
      <c r="CE128" s="3">
        <f>+IF(AVANCE[[#This Row],[MOLDURAS]]=AQ$2,100%,AVANCE[[#This Row],[MOLDURAS]])</f>
        <v>0</v>
      </c>
      <c r="CF128" s="3">
        <f>+IF(AVANCE[[#This Row],[PILASTREO]]=AR$2,100%,AVANCE[[#This Row],[PILASTREO]])</f>
        <v>0</v>
      </c>
      <c r="CG128" s="3">
        <f>+IF(AVANCE[[#This Row],[CELOSIAS]]=AS$2,100%,AVANCE[[#This Row],[CELOSIAS]])</f>
        <v>0</v>
      </c>
      <c r="CH128" s="3">
        <f>+IF(AVANCE[[#This Row],[VENTANAS]]=AT$2,100%,AVANCE[[#This Row],[VENTANAS]])</f>
        <v>0</v>
      </c>
      <c r="CI128" s="3">
        <f>+IF(AVANCE[[#This Row],[PUERTAS ACCESO - LOGIA - BANO]]=AU$2,100%,AVANCE[[#This Row],[PUERTAS ACCESO - LOGIA - BANO]])</f>
        <v>0</v>
      </c>
      <c r="CJ128" s="3">
        <f>+IF(AVANCE[[#This Row],[CERRADURAS]]=AV$2,100%,AVANCE[[#This Row],[CERRADURAS]])</f>
        <v>0</v>
      </c>
      <c r="CK128" s="3">
        <f>+IF(AVANCE[[#This Row],[REVESTIMIENTO INTERIOR ZONA SECA]]=AW$2,100%,AVANCE[[#This Row],[REVESTIMIENTO INTERIOR ZONA SECA]])</f>
        <v>0</v>
      </c>
      <c r="CL128" s="3">
        <f>+IF(AVANCE[[#This Row],[REVESTIMIENTO INTERIOR ZONAS HUMEDAS]]=AX$2,100%,AVANCE[[#This Row],[REVESTIMIENTO INTERIOR ZONAS HUMEDAS]])</f>
        <v>0</v>
      </c>
      <c r="CM128" s="3">
        <f>+IF(AVANCE[[#This Row],[MEMBRANA CIELO]]=AY$2,100%,AVANCE[[#This Row],[MEMBRANA CIELO]])</f>
        <v>1</v>
      </c>
      <c r="CN128" s="3">
        <f>+IF(AVANCE[[#This Row],[LIMPIEZA FINAL]]=AZ$2,100%,AVANCE[[#This Row],[LIMPIEZA FINAL]])</f>
        <v>0</v>
      </c>
      <c r="CO128" s="3">
        <f>+IF(AVANCE[[#This Row],[PUERTAS DORMITORIO]]=BA$2,100%,AVANCE[[#This Row],[PUERTAS DORMITORIO]])</f>
        <v>1</v>
      </c>
      <c r="CP128" s="3">
        <f>+IF(AVANCE[[#This Row],[REVESTIMIENTO INTERIOR BANO]]=BB$2,100%,AVANCE[[#This Row],[REVESTIMIENTO INTERIOR BANO]])</f>
        <v>0</v>
      </c>
      <c r="CQ128" s="3">
        <f>+IF(AVANCE[[#This Row],[MUEBLE LAVAPLATOS]]=BC$2,100%,AVANCE[[#This Row],[MUEBLE LAVAPLATOS]])</f>
        <v>0</v>
      </c>
      <c r="CR128" s="3">
        <f>+IF(AVANCE[[#This Row],[IMPERMEABILIZACION BANO - COCINA LOGIA]]=BD$2,100%,AVANCE[[#This Row],[IMPERMEABILIZACION BANO - COCINA LOGIA]])</f>
        <v>0</v>
      </c>
      <c r="CS128" s="40">
        <f ca="1">+IF(AVANCE[[#This Row],[ESTADO MODULO]]="PENDIENTE",(TODAY()-AVANCE[[#This Row],[FECHA TERMINO  PLANIFICADO]]),0)</f>
        <v>0</v>
      </c>
      <c r="CT128" s="41" t="str" cm="1">
        <f t="array" ref="CT128">_xlfn.TEXTJOIN(" | ",TRUE,IF(SUMPRODUCT((BG128:CR128&lt;1)*(PARTIDAS!$I$2:$AT$2="OBRA GRUESA"))&gt;0,"OBRA GRUESA: "&amp;_xlfn.TEXTJOIN(", ",TRUE,IF((BG128:CR128&lt;1)*(PARTIDAS!$I$2:$AT$2="OBRA GRUESA"),PARTIDAS!$I$1:$AT$1,"")),""),IF(SUMPRODUCT((BG128:CR128&lt;1)*(PARTIDAS!$I$2:$AT$2="SANITARIOS"))&gt;0,"SANITARIOS: "&amp;_xlfn.TEXTJOIN(", ",TRUE,IF((BG128:CR128&lt;1)*(PARTIDAS!$I$2:$AT$2="SANITARIOS"),PARTIDAS!$I$1:$AT$1,"")),""),IF(SUMPRODUCT((BG128:CR128&lt;1)*(PARTIDAS!$I$2:$AT$2="ELÉCTRICO"))&gt;0,"ELÉCTRICO: "&amp;_xlfn.TEXTJOIN(", ",TRUE,IF((BG128:CR128&lt;1)*(PARTIDAS!$I$2:$AT$2="ELÉCTRICO"),PARTIDAS!$I$1:$AT$1,"")),""),IF(SUMPRODUCT((BG128:CR128&lt;1)*(PARTIDAS!$I$2:$AT$2="TERMINACIONES"))&gt;0,"TERMINACIONES: "&amp;_xlfn.TEXTJOIN(", ",TRUE,IF((BG128:CR128&lt;1)*(PARTIDAS!$I$2:$AT$2="TERMINACIONES"),PARTIDAS!$I$1:$AT$1,"")),""))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</v>
      </c>
      <c r="CU128" s="43" t="str" cm="1">
        <f t="array" ref="CU128">_xlfn.TEXTJOIN(", ",TRUE,IF(SUMPRODUCT((BG128:CR128&lt;1)*(PARTIDAS!$I$2:$AT$2="OBRA GRUESA"))&gt;0,"OBRA GRUESA",""),IF(SUMPRODUCT((BG128:CR128&lt;1)*(PARTIDAS!$I$2:$AT$2="SANITARIOS"))&gt;0,"SANITARIOS",""),IF(SUMPRODUCT((BG128:CR128&lt;1)*(PARTIDAS!$I$2:$AT$2="ELÉCTRICO"))&gt;0,"ELÉCTRICO",""),IF(SUMPRODUCT((BG128:CR128&lt;1)*(PARTIDAS!$I$2:$AT$2="TERMINACIONES"))&gt;0,"TERMINACIONES",""))</f>
        <v>SANITARIOS, ELÉCTRICO, TERMINACIONES</v>
      </c>
      <c r="CV128" s="44" cm="1">
        <f t="array" ref="CV128">SUMPRODUCT(--(BG128:CR128&lt;1))</f>
        <v>26</v>
      </c>
    </row>
    <row r="129" spans="1:100" hidden="1" x14ac:dyDescent="0.25">
      <c r="A129" t="s">
        <v>157</v>
      </c>
      <c r="B129" t="s">
        <v>189</v>
      </c>
      <c r="C129">
        <v>2282600128</v>
      </c>
      <c r="D129" t="s">
        <v>58</v>
      </c>
      <c r="E129" s="2">
        <v>0.86499999999999988</v>
      </c>
      <c r="F129" s="1">
        <v>46196</v>
      </c>
      <c r="G129" s="1">
        <v>46205</v>
      </c>
      <c r="H129" s="1">
        <v>46227</v>
      </c>
      <c r="I129" s="1">
        <v>46220</v>
      </c>
      <c r="J129">
        <v>3</v>
      </c>
      <c r="K129" s="1"/>
      <c r="L129" s="3">
        <v>0.43</v>
      </c>
      <c r="M129" s="3">
        <v>1</v>
      </c>
      <c r="N129" s="3">
        <v>0.27906976744186046</v>
      </c>
      <c r="O129" s="3">
        <v>0.18604651162790697</v>
      </c>
      <c r="P129" s="3">
        <v>0.2558139534883721</v>
      </c>
      <c r="Q129" s="3">
        <v>0.18604651162790697</v>
      </c>
      <c r="R129" s="3">
        <v>9.3023255813953487E-2</v>
      </c>
      <c r="S129" s="3">
        <v>0.09</v>
      </c>
      <c r="T129" s="3">
        <v>1</v>
      </c>
      <c r="U129" s="3">
        <v>0.22222222222222221</v>
      </c>
      <c r="V129" s="3">
        <v>0.22222222222222221</v>
      </c>
      <c r="W129" s="3">
        <v>0.1111111111111111</v>
      </c>
      <c r="X129" s="3">
        <v>0.1111111111111111</v>
      </c>
      <c r="Y129" s="3">
        <v>0.1111111111111111</v>
      </c>
      <c r="Z129" s="3">
        <v>0.22222222222222221</v>
      </c>
      <c r="AA129" s="3">
        <v>6.9999999999999993E-2</v>
      </c>
      <c r="AB129" s="3">
        <v>0.63636363636363635</v>
      </c>
      <c r="AC129" s="3">
        <v>0.27272727272727271</v>
      </c>
      <c r="AD129" s="3">
        <v>0</v>
      </c>
      <c r="AE129" s="3">
        <v>0</v>
      </c>
      <c r="AF129" s="3">
        <v>0.18181818181818182</v>
      </c>
      <c r="AG129" s="3">
        <v>0.18181818181818182</v>
      </c>
      <c r="AH129" s="3">
        <v>0.27499999999999991</v>
      </c>
      <c r="AI129" s="3">
        <v>0.74324324324324298</v>
      </c>
      <c r="AJ129" s="3">
        <v>5.4054054054054036E-2</v>
      </c>
      <c r="AK129" s="3">
        <v>5.4054054054054036E-2</v>
      </c>
      <c r="AL129" s="3">
        <v>2.7027027027027018E-2</v>
      </c>
      <c r="AM129" s="3">
        <v>8.1081081081081058E-2</v>
      </c>
      <c r="AN129" s="3">
        <v>8.1081081081081058E-2</v>
      </c>
      <c r="AO129" s="3">
        <v>0</v>
      </c>
      <c r="AP129" s="3">
        <v>5.4054054054054036E-2</v>
      </c>
      <c r="AQ129" s="3">
        <v>0</v>
      </c>
      <c r="AR129" s="3">
        <v>0</v>
      </c>
      <c r="AS129" s="3">
        <v>0</v>
      </c>
      <c r="AT129" s="3">
        <v>0</v>
      </c>
      <c r="AU129" s="3">
        <v>5.4054054054054036E-2</v>
      </c>
      <c r="AV129" s="3">
        <v>2.7027027027027018E-2</v>
      </c>
      <c r="AW129" s="3">
        <v>5.4054054054054036E-2</v>
      </c>
      <c r="AX129" s="3">
        <v>5.4054054054054036E-2</v>
      </c>
      <c r="AY129" s="3">
        <v>2.7027027027027018E-2</v>
      </c>
      <c r="AZ129" s="3">
        <v>0</v>
      </c>
      <c r="BA129" s="3">
        <v>5.4054054054054036E-2</v>
      </c>
      <c r="BB129" s="3">
        <v>8.1081081081081058E-2</v>
      </c>
      <c r="BC129" s="3">
        <v>1.3513513513513509E-2</v>
      </c>
      <c r="BD129" s="3">
        <v>2.7027027027027018E-2</v>
      </c>
      <c r="BE129">
        <v>28.87</v>
      </c>
      <c r="BF129" s="3" t="str">
        <f>+IF(AVANCE[[#This Row],[% AVANCE]]=100%,"MODULO TERMINADO",IF(AVANCE[[#This Row],[FECHA INICIO REAL]]="","MODULO NO INICIADO","PENDIENTE"))</f>
        <v>PENDIENTE</v>
      </c>
      <c r="BG129" s="3">
        <f>+IF(AVANCE[[#This Row],[VENTANAS]]=8.10810810810811%,100%,AVANCE[[#This Row],[VENTANAS]])</f>
        <v>0</v>
      </c>
      <c r="BH129" s="3">
        <f>+IF(AVANCE[[#This Row],[PISO]]=N$2,100%,AVANCE[[#This Row],[PISO]])</f>
        <v>1</v>
      </c>
      <c r="BI129" s="3">
        <f>+IF(AVANCE[[#This Row],[TABIQUES]]=O$2,100%,AVANCE[[#This Row],[TABIQUES]])</f>
        <v>1</v>
      </c>
      <c r="BJ129" s="3">
        <f>+IF(AVANCE[[#This Row],[MUROS]]=P$2,100%,AVANCE[[#This Row],[MUROS]])</f>
        <v>1</v>
      </c>
      <c r="BK129" s="3">
        <f>+IF(AVANCE[[#This Row],[CIELO]]=Q$2,100%,AVANCE[[#This Row],[CIELO]])</f>
        <v>1</v>
      </c>
      <c r="BL129" s="3">
        <f>+IF(AVANCE[[#This Row],[BALCÓN]]=R$2,100%,AVANCE[[#This Row],[BALCÓN]])</f>
        <v>1</v>
      </c>
      <c r="BM129" s="3">
        <f>+IF(AVANCE[[#This Row],[RED ALCANTARILLADO]]=U$2,100%,AVANCE[[#This Row],[RED ALCANTARILLADO]])</f>
        <v>1</v>
      </c>
      <c r="BN129" s="3">
        <f>+IF(AVANCE[[#This Row],[RED DE AGUA]]=V$2,100%,AVANCE[[#This Row],[RED DE AGUA]])</f>
        <v>1</v>
      </c>
      <c r="BO129" s="3">
        <f>+IF(AVANCE[[#This Row],[VENTILACIONES]]=W$2,100%,AVANCE[[#This Row],[VENTILACIONES]])</f>
        <v>1</v>
      </c>
      <c r="BP129" s="3">
        <f>+IF(AVANCE[[#This Row],[TINA]]=X$2,100%,AVANCE[[#This Row],[TINA]])</f>
        <v>1</v>
      </c>
      <c r="BQ129" s="3">
        <f>+IF(AVANCE[[#This Row],[WC]]=Y$2,100%,AVANCE[[#This Row],[WC]])</f>
        <v>1</v>
      </c>
      <c r="BR129" s="3">
        <f>+IF(AVANCE[[#This Row],[LAVAMANOS / LAVAPLATOS / LAVADERO]]=Z$2,100%,AVANCE[[#This Row],[LAVAMANOS / LAVAPLATOS / LAVADERO]])</f>
        <v>1</v>
      </c>
      <c r="BS129" s="3">
        <f>+IF(AVANCE[[#This Row],[CANALIZACIÓN]]=AC$2,100%,AVANCE[[#This Row],[CANALIZACIÓN]])</f>
        <v>1</v>
      </c>
      <c r="BT129" s="3">
        <f>+IF(AVANCE[[#This Row],[CABLEADO]]=AD$2,100%,AVANCE[[#This Row],[CABLEADO]])</f>
        <v>0</v>
      </c>
      <c r="BU129" s="3">
        <f>+IF(AVANCE[[#This Row],[ARTEFACTOS]]=AE$2,100%,AVANCE[[#This Row],[ARTEFACTOS]])</f>
        <v>0</v>
      </c>
      <c r="BV129" s="3">
        <f>+IF(AVANCE[[#This Row],[TABLERO]]=AF$2,100%,AVANCE[[#This Row],[TABLERO]])</f>
        <v>1</v>
      </c>
      <c r="BW129" s="3">
        <f>+IF(AVANCE[[#This Row],[CAJA PAU]]=AG$2,100%,AVANCE[[#This Row],[CAJA PAU]])</f>
        <v>1</v>
      </c>
      <c r="BX129" s="3">
        <f>+IF(AVANCE[[#This Row],[INSTALACION VINILICO]]=AJ$2,100%,AVANCE[[#This Row],[INSTALACION VINILICO]])</f>
        <v>1</v>
      </c>
      <c r="BY129" s="3">
        <f>+IF(AVANCE[[#This Row],[OSB CUBIERTA]]=AK$2,100%,AVANCE[[#This Row],[OSB CUBIERTA]])</f>
        <v>1</v>
      </c>
      <c r="BZ129" s="3">
        <f>+IF(AVANCE[[#This Row],[BARANDA BALCON]]=AL$2,100%,AVANCE[[#This Row],[BARANDA BALCON]])</f>
        <v>1</v>
      </c>
      <c r="CA129" s="3">
        <f>+IF(AVANCE[[#This Row],[OSB EXTERIOR]]=AM$2,100%,AVANCE[[#This Row],[OSB EXTERIOR]])</f>
        <v>1</v>
      </c>
      <c r="CB129" s="3">
        <f>+IF(AVANCE[[#This Row],[SMART PANEL]]=AN$2,100%,AVANCE[[#This Row],[SMART PANEL]])</f>
        <v>1</v>
      </c>
      <c r="CC129" s="3">
        <f>+IF(AVANCE[[#This Row],[PINTURA EXTERIOR]]=AO$2,100%,AVANCE[[#This Row],[PINTURA EXTERIOR]])</f>
        <v>0</v>
      </c>
      <c r="CD129" s="3">
        <f>+IF(AVANCE[[#This Row],[ZOCALOS LOGIA]]=AP$2,100%,AVANCE[[#This Row],[ZOCALOS LOGIA]])</f>
        <v>1</v>
      </c>
      <c r="CE129" s="3">
        <f>+IF(AVANCE[[#This Row],[MOLDURAS]]=AQ$2,100%,AVANCE[[#This Row],[MOLDURAS]])</f>
        <v>0</v>
      </c>
      <c r="CF129" s="3">
        <f>+IF(AVANCE[[#This Row],[PILASTREO]]=AR$2,100%,AVANCE[[#This Row],[PILASTREO]])</f>
        <v>0</v>
      </c>
      <c r="CG129" s="3">
        <f>+IF(AVANCE[[#This Row],[CELOSIAS]]=AS$2,100%,AVANCE[[#This Row],[CELOSIAS]])</f>
        <v>0</v>
      </c>
      <c r="CH129" s="3">
        <f>+IF(AVANCE[[#This Row],[VENTANAS]]=AT$2,100%,AVANCE[[#This Row],[VENTANAS]])</f>
        <v>0</v>
      </c>
      <c r="CI129" s="3">
        <f>+IF(AVANCE[[#This Row],[PUERTAS ACCESO - LOGIA - BANO]]=AU$2,100%,AVANCE[[#This Row],[PUERTAS ACCESO - LOGIA - BANO]])</f>
        <v>1</v>
      </c>
      <c r="CJ129" s="3">
        <f>+IF(AVANCE[[#This Row],[CERRADURAS]]=AV$2,100%,AVANCE[[#This Row],[CERRADURAS]])</f>
        <v>1</v>
      </c>
      <c r="CK129" s="3">
        <f>+IF(AVANCE[[#This Row],[REVESTIMIENTO INTERIOR ZONA SECA]]=AW$2,100%,AVANCE[[#This Row],[REVESTIMIENTO INTERIOR ZONA SECA]])</f>
        <v>1</v>
      </c>
      <c r="CL129" s="3">
        <f>+IF(AVANCE[[#This Row],[REVESTIMIENTO INTERIOR ZONAS HUMEDAS]]=AX$2,100%,AVANCE[[#This Row],[REVESTIMIENTO INTERIOR ZONAS HUMEDAS]])</f>
        <v>1</v>
      </c>
      <c r="CM129" s="3">
        <f>+IF(AVANCE[[#This Row],[MEMBRANA CIELO]]=AY$2,100%,AVANCE[[#This Row],[MEMBRANA CIELO]])</f>
        <v>1</v>
      </c>
      <c r="CN129" s="3">
        <f>+IF(AVANCE[[#This Row],[LIMPIEZA FINAL]]=AZ$2,100%,AVANCE[[#This Row],[LIMPIEZA FINAL]])</f>
        <v>0</v>
      </c>
      <c r="CO129" s="3">
        <f>+IF(AVANCE[[#This Row],[PUERTAS DORMITORIO]]=BA$2,100%,AVANCE[[#This Row],[PUERTAS DORMITORIO]])</f>
        <v>1</v>
      </c>
      <c r="CP129" s="3">
        <f>+IF(AVANCE[[#This Row],[REVESTIMIENTO INTERIOR BANO]]=BB$2,100%,AVANCE[[#This Row],[REVESTIMIENTO INTERIOR BANO]])</f>
        <v>1</v>
      </c>
      <c r="CQ129" s="3">
        <f>+IF(AVANCE[[#This Row],[MUEBLE LAVAPLATOS]]=BC$2,100%,AVANCE[[#This Row],[MUEBLE LAVAPLATOS]])</f>
        <v>1</v>
      </c>
      <c r="CR129" s="3">
        <f>+IF(AVANCE[[#This Row],[IMPERMEABILIZACION BANO - COCINA LOGIA]]=BD$2,100%,AVANCE[[#This Row],[IMPERMEABILIZACION BANO - COCINA LOGIA]])</f>
        <v>1</v>
      </c>
      <c r="CS129" s="40">
        <f ca="1">+IF(AVANCE[[#This Row],[ESTADO MODULO]]="PENDIENTE",(TODAY()-AVANCE[[#This Row],[FECHA TERMINO  PLANIFICADO]]),0)</f>
        <v>10</v>
      </c>
      <c r="CT129" s="41" t="str" cm="1">
        <f t="array" ref="CT129">_xlfn.TEXTJOIN(" | ",TRUE,IF(SUMPRODUCT((BG129:CR129&lt;1)*(PARTIDAS!$I$2:$AT$2="OBRA GRUESA"))&gt;0,"OBRA GRUESA: "&amp;_xlfn.TEXTJOIN(", ",TRUE,IF((BG129:CR129&lt;1)*(PARTIDAS!$I$2:$AT$2="OBRA GRUESA"),PARTIDAS!$I$1:$AT$1,"")),""),IF(SUMPRODUCT((BG129:CR129&lt;1)*(PARTIDAS!$I$2:$AT$2="SANITARIOS"))&gt;0,"SANITARIOS: "&amp;_xlfn.TEXTJOIN(", ",TRUE,IF((BG129:CR129&lt;1)*(PARTIDAS!$I$2:$AT$2="SANITARIOS"),PARTIDAS!$I$1:$AT$1,"")),""),IF(SUMPRODUCT((BG129:CR129&lt;1)*(PARTIDAS!$I$2:$AT$2="ELÉCTRICO"))&gt;0,"ELÉCTRICO: "&amp;_xlfn.TEXTJOIN(", ",TRUE,IF((BG129:CR129&lt;1)*(PARTIDAS!$I$2:$AT$2="ELÉCTRICO"),PARTIDAS!$I$1:$AT$1,"")),""),IF(SUMPRODUCT((BG129:CR129&lt;1)*(PARTIDAS!$I$2:$AT$2="TERMINACIONES"))&gt;0,"TERMINACIONES: "&amp;_xlfn.TEXTJOIN(", ",TRUE,IF((BG129:CR129&lt;1)*(PARTIDAS!$I$2:$AT$2="TERMINACIONES"),PARTIDAS!$I$1:$AT$1,"")),""))</f>
        <v>ELÉCTRICO: CABLEADO, ARTEFACTOS | TERMINACIONES: VENTANAS, PINTURA EXTERIOR, MOLDURAS, PILASTREO, CELOSIAS, VENTANAS (TERM), LIMPIEZA FINAL</v>
      </c>
      <c r="CU129" s="43" t="str" cm="1">
        <f t="array" ref="CU129">_xlfn.TEXTJOIN(", ",TRUE,IF(SUMPRODUCT((BG129:CR129&lt;1)*(PARTIDAS!$I$2:$AT$2="OBRA GRUESA"))&gt;0,"OBRA GRUESA",""),IF(SUMPRODUCT((BG129:CR129&lt;1)*(PARTIDAS!$I$2:$AT$2="SANITARIOS"))&gt;0,"SANITARIOS",""),IF(SUMPRODUCT((BG129:CR129&lt;1)*(PARTIDAS!$I$2:$AT$2="ELÉCTRICO"))&gt;0,"ELÉCTRICO",""),IF(SUMPRODUCT((BG129:CR129&lt;1)*(PARTIDAS!$I$2:$AT$2="TERMINACIONES"))&gt;0,"TERMINACIONES",""))</f>
        <v>ELÉCTRICO, TERMINACIONES</v>
      </c>
      <c r="CV129" s="44" cm="1">
        <f t="array" ref="CV129">SUMPRODUCT(--(BG129:CR129&lt;1))</f>
        <v>9</v>
      </c>
    </row>
    <row r="130" spans="1:100" x14ac:dyDescent="0.25">
      <c r="A130" t="s">
        <v>190</v>
      </c>
      <c r="B130" t="s">
        <v>191</v>
      </c>
      <c r="C130">
        <v>2282600129</v>
      </c>
      <c r="D130" t="s">
        <v>58</v>
      </c>
      <c r="E130" s="2">
        <v>0.80499999999999994</v>
      </c>
      <c r="F130" s="1">
        <v>46197</v>
      </c>
      <c r="G130" s="1">
        <v>46212</v>
      </c>
      <c r="H130" s="1">
        <v>46218</v>
      </c>
      <c r="I130" s="1">
        <v>46219</v>
      </c>
      <c r="J130">
        <v>12</v>
      </c>
      <c r="K130" s="1"/>
      <c r="L130" s="3">
        <v>0.43</v>
      </c>
      <c r="M130" s="3">
        <v>1</v>
      </c>
      <c r="N130" s="3">
        <v>0.27906976744186046</v>
      </c>
      <c r="O130" s="3">
        <v>0.18604651162790697</v>
      </c>
      <c r="P130" s="3">
        <v>0.2558139534883721</v>
      </c>
      <c r="Q130" s="3">
        <v>0.18604651162790697</v>
      </c>
      <c r="R130" s="3">
        <v>9.3023255813953487E-2</v>
      </c>
      <c r="S130" s="3">
        <v>0.09</v>
      </c>
      <c r="T130" s="3">
        <v>1</v>
      </c>
      <c r="U130" s="3">
        <v>0.22222222222222221</v>
      </c>
      <c r="V130" s="3">
        <v>0.22222222222222221</v>
      </c>
      <c r="W130" s="3">
        <v>0.1111111111111111</v>
      </c>
      <c r="X130" s="3">
        <v>0.1111111111111111</v>
      </c>
      <c r="Y130" s="3">
        <v>0.1111111111111111</v>
      </c>
      <c r="Z130" s="3">
        <v>0.22222222222222221</v>
      </c>
      <c r="AA130" s="3">
        <v>6.9999999999999993E-2</v>
      </c>
      <c r="AB130" s="3">
        <v>0.63636363636363635</v>
      </c>
      <c r="AC130" s="3">
        <v>0.27272727272727271</v>
      </c>
      <c r="AD130" s="3">
        <v>0</v>
      </c>
      <c r="AE130" s="3">
        <v>0</v>
      </c>
      <c r="AF130" s="3">
        <v>0.18181818181818182</v>
      </c>
      <c r="AG130" s="3">
        <v>0.18181818181818182</v>
      </c>
      <c r="AH130" s="3">
        <v>0.21499999999999994</v>
      </c>
      <c r="AI130" s="3">
        <v>0.58108108108108092</v>
      </c>
      <c r="AJ130" s="3">
        <v>5.4054054054054036E-2</v>
      </c>
      <c r="AK130" s="3">
        <v>5.4054054054054036E-2</v>
      </c>
      <c r="AL130" s="3">
        <v>2.7027027027027018E-2</v>
      </c>
      <c r="AM130" s="3">
        <v>8.1081081081081058E-2</v>
      </c>
      <c r="AN130" s="3">
        <v>0</v>
      </c>
      <c r="AO130" s="3">
        <v>0</v>
      </c>
      <c r="AP130" s="3">
        <v>5.4054054054054036E-2</v>
      </c>
      <c r="AQ130" s="3">
        <v>0</v>
      </c>
      <c r="AR130" s="3">
        <v>0</v>
      </c>
      <c r="AS130" s="3">
        <v>0</v>
      </c>
      <c r="AT130" s="3">
        <v>0</v>
      </c>
      <c r="AU130" s="3">
        <v>5.4054054054054036E-2</v>
      </c>
      <c r="AV130" s="3">
        <v>0</v>
      </c>
      <c r="AW130" s="3">
        <v>5.4054054054054036E-2</v>
      </c>
      <c r="AX130" s="3">
        <v>5.4054054054054036E-2</v>
      </c>
      <c r="AY130" s="3">
        <v>2.7027027027027018E-2</v>
      </c>
      <c r="AZ130" s="3">
        <v>0</v>
      </c>
      <c r="BA130" s="3">
        <v>0</v>
      </c>
      <c r="BB130" s="3">
        <v>8.1081081081081058E-2</v>
      </c>
      <c r="BC130" s="3">
        <v>1.3513513513513509E-2</v>
      </c>
      <c r="BD130" s="3">
        <v>2.7027027027027018E-2</v>
      </c>
      <c r="BE130">
        <v>28.87</v>
      </c>
      <c r="BF130" s="3" t="str">
        <f>+IF(AVANCE[[#This Row],[% AVANCE]]=100%,"MODULO TERMINADO",IF(AVANCE[[#This Row],[FECHA INICIO REAL]]="","MODULO NO INICIADO","PENDIENTE"))</f>
        <v>PENDIENTE</v>
      </c>
      <c r="BG130" s="3">
        <f>+IF(AVANCE[[#This Row],[VENTANAS]]=8.10810810810811%,100%,AVANCE[[#This Row],[VENTANAS]])</f>
        <v>0</v>
      </c>
      <c r="BH130" s="3">
        <f>+IF(AVANCE[[#This Row],[PISO]]=N$2,100%,AVANCE[[#This Row],[PISO]])</f>
        <v>1</v>
      </c>
      <c r="BI130" s="3">
        <f>+IF(AVANCE[[#This Row],[TABIQUES]]=O$2,100%,AVANCE[[#This Row],[TABIQUES]])</f>
        <v>1</v>
      </c>
      <c r="BJ130" s="3">
        <f>+IF(AVANCE[[#This Row],[MUROS]]=P$2,100%,AVANCE[[#This Row],[MUROS]])</f>
        <v>1</v>
      </c>
      <c r="BK130" s="3">
        <f>+IF(AVANCE[[#This Row],[CIELO]]=Q$2,100%,AVANCE[[#This Row],[CIELO]])</f>
        <v>1</v>
      </c>
      <c r="BL130" s="3">
        <f>+IF(AVANCE[[#This Row],[BALCÓN]]=R$2,100%,AVANCE[[#This Row],[BALCÓN]])</f>
        <v>1</v>
      </c>
      <c r="BM130" s="3">
        <f>+IF(AVANCE[[#This Row],[RED ALCANTARILLADO]]=U$2,100%,AVANCE[[#This Row],[RED ALCANTARILLADO]])</f>
        <v>1</v>
      </c>
      <c r="BN130" s="3">
        <f>+IF(AVANCE[[#This Row],[RED DE AGUA]]=V$2,100%,AVANCE[[#This Row],[RED DE AGUA]])</f>
        <v>1</v>
      </c>
      <c r="BO130" s="3">
        <f>+IF(AVANCE[[#This Row],[VENTILACIONES]]=W$2,100%,AVANCE[[#This Row],[VENTILACIONES]])</f>
        <v>1</v>
      </c>
      <c r="BP130" s="3">
        <f>+IF(AVANCE[[#This Row],[TINA]]=X$2,100%,AVANCE[[#This Row],[TINA]])</f>
        <v>1</v>
      </c>
      <c r="BQ130" s="3">
        <f>+IF(AVANCE[[#This Row],[WC]]=Y$2,100%,AVANCE[[#This Row],[WC]])</f>
        <v>1</v>
      </c>
      <c r="BR130" s="3">
        <f>+IF(AVANCE[[#This Row],[LAVAMANOS / LAVAPLATOS / LAVADERO]]=Z$2,100%,AVANCE[[#This Row],[LAVAMANOS / LAVAPLATOS / LAVADERO]])</f>
        <v>1</v>
      </c>
      <c r="BS130" s="3">
        <f>+IF(AVANCE[[#This Row],[CANALIZACIÓN]]=AC$2,100%,AVANCE[[#This Row],[CANALIZACIÓN]])</f>
        <v>1</v>
      </c>
      <c r="BT130" s="3">
        <f>+IF(AVANCE[[#This Row],[CABLEADO]]=AD$2,100%,AVANCE[[#This Row],[CABLEADO]])</f>
        <v>0</v>
      </c>
      <c r="BU130" s="3">
        <f>+IF(AVANCE[[#This Row],[ARTEFACTOS]]=AE$2,100%,AVANCE[[#This Row],[ARTEFACTOS]])</f>
        <v>0</v>
      </c>
      <c r="BV130" s="3">
        <f>+IF(AVANCE[[#This Row],[TABLERO]]=AF$2,100%,AVANCE[[#This Row],[TABLERO]])</f>
        <v>1</v>
      </c>
      <c r="BW130" s="3">
        <f>+IF(AVANCE[[#This Row],[CAJA PAU]]=AG$2,100%,AVANCE[[#This Row],[CAJA PAU]])</f>
        <v>1</v>
      </c>
      <c r="BX130" s="3">
        <f>+IF(AVANCE[[#This Row],[INSTALACION VINILICO]]=AJ$2,100%,AVANCE[[#This Row],[INSTALACION VINILICO]])</f>
        <v>1</v>
      </c>
      <c r="BY130" s="3">
        <f>+IF(AVANCE[[#This Row],[OSB CUBIERTA]]=AK$2,100%,AVANCE[[#This Row],[OSB CUBIERTA]])</f>
        <v>1</v>
      </c>
      <c r="BZ130" s="3">
        <f>+IF(AVANCE[[#This Row],[BARANDA BALCON]]=AL$2,100%,AVANCE[[#This Row],[BARANDA BALCON]])</f>
        <v>1</v>
      </c>
      <c r="CA130" s="3">
        <f>+IF(AVANCE[[#This Row],[OSB EXTERIOR]]=AM$2,100%,AVANCE[[#This Row],[OSB EXTERIOR]])</f>
        <v>1</v>
      </c>
      <c r="CB130" s="3">
        <f>+IF(AVANCE[[#This Row],[SMART PANEL]]=AN$2,100%,AVANCE[[#This Row],[SMART PANEL]])</f>
        <v>0</v>
      </c>
      <c r="CC130" s="3">
        <f>+IF(AVANCE[[#This Row],[PINTURA EXTERIOR]]=AO$2,100%,AVANCE[[#This Row],[PINTURA EXTERIOR]])</f>
        <v>0</v>
      </c>
      <c r="CD130" s="3">
        <f>+IF(AVANCE[[#This Row],[ZOCALOS LOGIA]]=AP$2,100%,AVANCE[[#This Row],[ZOCALOS LOGIA]])</f>
        <v>1</v>
      </c>
      <c r="CE130" s="3">
        <f>+IF(AVANCE[[#This Row],[MOLDURAS]]=AQ$2,100%,AVANCE[[#This Row],[MOLDURAS]])</f>
        <v>0</v>
      </c>
      <c r="CF130" s="3">
        <f>+IF(AVANCE[[#This Row],[PILASTREO]]=AR$2,100%,AVANCE[[#This Row],[PILASTREO]])</f>
        <v>0</v>
      </c>
      <c r="CG130" s="3">
        <f>+IF(AVANCE[[#This Row],[CELOSIAS]]=AS$2,100%,AVANCE[[#This Row],[CELOSIAS]])</f>
        <v>0</v>
      </c>
      <c r="CH130" s="3">
        <f>+IF(AVANCE[[#This Row],[VENTANAS]]=AT$2,100%,AVANCE[[#This Row],[VENTANAS]])</f>
        <v>0</v>
      </c>
      <c r="CI130" s="3">
        <f>+IF(AVANCE[[#This Row],[PUERTAS ACCESO - LOGIA - BANO]]=AU$2,100%,AVANCE[[#This Row],[PUERTAS ACCESO - LOGIA - BANO]])</f>
        <v>1</v>
      </c>
      <c r="CJ130" s="3">
        <f>+IF(AVANCE[[#This Row],[CERRADURAS]]=AV$2,100%,AVANCE[[#This Row],[CERRADURAS]])</f>
        <v>0</v>
      </c>
      <c r="CK130" s="3">
        <f>+IF(AVANCE[[#This Row],[REVESTIMIENTO INTERIOR ZONA SECA]]=AW$2,100%,AVANCE[[#This Row],[REVESTIMIENTO INTERIOR ZONA SECA]])</f>
        <v>1</v>
      </c>
      <c r="CL130" s="3">
        <f>+IF(AVANCE[[#This Row],[REVESTIMIENTO INTERIOR ZONAS HUMEDAS]]=AX$2,100%,AVANCE[[#This Row],[REVESTIMIENTO INTERIOR ZONAS HUMEDAS]])</f>
        <v>1</v>
      </c>
      <c r="CM130" s="3">
        <f>+IF(AVANCE[[#This Row],[MEMBRANA CIELO]]=AY$2,100%,AVANCE[[#This Row],[MEMBRANA CIELO]])</f>
        <v>1</v>
      </c>
      <c r="CN130" s="3">
        <f>+IF(AVANCE[[#This Row],[LIMPIEZA FINAL]]=AZ$2,100%,AVANCE[[#This Row],[LIMPIEZA FINAL]])</f>
        <v>0</v>
      </c>
      <c r="CO130" s="3">
        <f>+IF(AVANCE[[#This Row],[PUERTAS DORMITORIO]]=BA$2,100%,AVANCE[[#This Row],[PUERTAS DORMITORIO]])</f>
        <v>0</v>
      </c>
      <c r="CP130" s="3">
        <f>+IF(AVANCE[[#This Row],[REVESTIMIENTO INTERIOR BANO]]=BB$2,100%,AVANCE[[#This Row],[REVESTIMIENTO INTERIOR BANO]])</f>
        <v>1</v>
      </c>
      <c r="CQ130" s="3">
        <f>+IF(AVANCE[[#This Row],[MUEBLE LAVAPLATOS]]=BC$2,100%,AVANCE[[#This Row],[MUEBLE LAVAPLATOS]])</f>
        <v>1</v>
      </c>
      <c r="CR130" s="3">
        <f>+IF(AVANCE[[#This Row],[IMPERMEABILIZACION BANO - COCINA LOGIA]]=BD$2,100%,AVANCE[[#This Row],[IMPERMEABILIZACION BANO - COCINA LOGIA]])</f>
        <v>1</v>
      </c>
      <c r="CS130" s="40">
        <f ca="1">+IF(AVANCE[[#This Row],[ESTADO MODULO]]="PENDIENTE",(TODAY()-AVANCE[[#This Row],[FECHA TERMINO  PLANIFICADO]]),0)</f>
        <v>11</v>
      </c>
      <c r="CT130" s="41" t="str" cm="1">
        <f t="array" ref="CT130">_xlfn.TEXTJOIN(" | ",TRUE,IF(SUMPRODUCT((BG130:CR130&lt;1)*(PARTIDAS!$I$2:$AT$2="OBRA GRUESA"))&gt;0,"OBRA GRUESA: "&amp;_xlfn.TEXTJOIN(", ",TRUE,IF((BG130:CR130&lt;1)*(PARTIDAS!$I$2:$AT$2="OBRA GRUESA"),PARTIDAS!$I$1:$AT$1,"")),""),IF(SUMPRODUCT((BG130:CR130&lt;1)*(PARTIDAS!$I$2:$AT$2="SANITARIOS"))&gt;0,"SANITARIOS: "&amp;_xlfn.TEXTJOIN(", ",TRUE,IF((BG130:CR130&lt;1)*(PARTIDAS!$I$2:$AT$2="SANITARIOS"),PARTIDAS!$I$1:$AT$1,"")),""),IF(SUMPRODUCT((BG130:CR130&lt;1)*(PARTIDAS!$I$2:$AT$2="ELÉCTRICO"))&gt;0,"ELÉCTRICO: "&amp;_xlfn.TEXTJOIN(", ",TRUE,IF((BG130:CR130&lt;1)*(PARTIDAS!$I$2:$AT$2="ELÉCTRICO"),PARTIDAS!$I$1:$AT$1,"")),""),IF(SUMPRODUCT((BG130:CR130&lt;1)*(PARTIDAS!$I$2:$AT$2="TERMINACIONES"))&gt;0,"TERMINACIONES: "&amp;_xlfn.TEXTJOIN(", ",TRUE,IF((BG130:CR130&lt;1)*(PARTIDAS!$I$2:$AT$2="TERMINACIONES"),PARTIDAS!$I$1:$AT$1,"")),""))</f>
        <v>ELÉCTRICO: CABLEADO, ARTEFACTOS | TERMINACIONES: VENTANAS, SMART PANEL, PINTURA EXTERIOR, MOLDURAS, PILASTREO, CELOSIAS, VENTANAS (TERM), CERRADURAS, LIMPIEZA FINAL, PUERTAS DORMITORIO</v>
      </c>
      <c r="CU130" s="43" t="str" cm="1">
        <f t="array" ref="CU130">_xlfn.TEXTJOIN(", ",TRUE,IF(SUMPRODUCT((BG130:CR130&lt;1)*(PARTIDAS!$I$2:$AT$2="OBRA GRUESA"))&gt;0,"OBRA GRUESA",""),IF(SUMPRODUCT((BG130:CR130&lt;1)*(PARTIDAS!$I$2:$AT$2="SANITARIOS"))&gt;0,"SANITARIOS",""),IF(SUMPRODUCT((BG130:CR130&lt;1)*(PARTIDAS!$I$2:$AT$2="ELÉCTRICO"))&gt;0,"ELÉCTRICO",""),IF(SUMPRODUCT((BG130:CR130&lt;1)*(PARTIDAS!$I$2:$AT$2="TERMINACIONES"))&gt;0,"TERMINACIONES",""))</f>
        <v>ELÉCTRICO, TERMINACIONES</v>
      </c>
      <c r="CV130" s="44" cm="1">
        <f t="array" ref="CV130">SUMPRODUCT(--(BG130:CR130&lt;1))</f>
        <v>12</v>
      </c>
    </row>
    <row r="131" spans="1:100" x14ac:dyDescent="0.25">
      <c r="A131" t="s">
        <v>190</v>
      </c>
      <c r="B131" t="s">
        <v>192</v>
      </c>
      <c r="C131">
        <v>2302600130</v>
      </c>
      <c r="D131" t="s">
        <v>60</v>
      </c>
      <c r="E131" s="2">
        <v>0.6</v>
      </c>
      <c r="F131" s="1">
        <v>46197</v>
      </c>
      <c r="G131" s="1">
        <v>46211</v>
      </c>
      <c r="H131" s="1">
        <v>46225</v>
      </c>
      <c r="I131" s="1">
        <v>46229</v>
      </c>
      <c r="J131">
        <v>5</v>
      </c>
      <c r="K131" s="1"/>
      <c r="L131" s="3">
        <v>0.43</v>
      </c>
      <c r="M131" s="3">
        <v>1</v>
      </c>
      <c r="N131" s="3">
        <v>0.27906976744186046</v>
      </c>
      <c r="O131" s="3">
        <v>0.18604651162790697</v>
      </c>
      <c r="P131" s="3">
        <v>0.2558139534883721</v>
      </c>
      <c r="Q131" s="3">
        <v>0.18604651162790697</v>
      </c>
      <c r="R131" s="3">
        <v>9.3023255813953487E-2</v>
      </c>
      <c r="S131" s="3">
        <v>3.9999999999999994E-2</v>
      </c>
      <c r="T131" s="3">
        <v>0.44444444444444442</v>
      </c>
      <c r="U131" s="3">
        <v>0.22222222222222221</v>
      </c>
      <c r="V131" s="3">
        <v>0.22222222222222221</v>
      </c>
      <c r="W131" s="3">
        <v>0</v>
      </c>
      <c r="X131" s="3">
        <v>0</v>
      </c>
      <c r="Y131" s="3">
        <v>0</v>
      </c>
      <c r="Z131" s="3">
        <v>0</v>
      </c>
      <c r="AA131" s="3">
        <v>0.03</v>
      </c>
      <c r="AB131" s="3">
        <v>0.27272727272727271</v>
      </c>
      <c r="AC131" s="3">
        <v>0.27272727272727271</v>
      </c>
      <c r="AD131" s="3">
        <v>0</v>
      </c>
      <c r="AE131" s="3">
        <v>0</v>
      </c>
      <c r="AF131" s="3">
        <v>0</v>
      </c>
      <c r="AG131" s="3">
        <v>0</v>
      </c>
      <c r="AH131" s="3">
        <v>9.9999999999999964E-2</v>
      </c>
      <c r="AI131" s="3">
        <v>0.27027027027027017</v>
      </c>
      <c r="AJ131" s="3">
        <v>0</v>
      </c>
      <c r="AK131" s="3">
        <v>5.4054054054054036E-2</v>
      </c>
      <c r="AL131" s="3">
        <v>0</v>
      </c>
      <c r="AM131" s="3">
        <v>8.1081081081081058E-2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5.4054054054054036E-2</v>
      </c>
      <c r="AY131" s="3">
        <v>2.7027027027027018E-2</v>
      </c>
      <c r="AZ131" s="3">
        <v>0</v>
      </c>
      <c r="BA131" s="3">
        <v>5.4054054054054036E-2</v>
      </c>
      <c r="BB131" s="3">
        <v>0</v>
      </c>
      <c r="BC131" s="3">
        <v>0</v>
      </c>
      <c r="BD131" s="3">
        <v>0</v>
      </c>
      <c r="BE131">
        <v>31.32</v>
      </c>
      <c r="BF131" s="3" t="str">
        <f>+IF(AVANCE[[#This Row],[% AVANCE]]=100%,"MODULO TERMINADO",IF(AVANCE[[#This Row],[FECHA INICIO REAL]]="","MODULO NO INICIADO","PENDIENTE"))</f>
        <v>PENDIENTE</v>
      </c>
      <c r="BG131" s="3">
        <f>+IF(AVANCE[[#This Row],[VENTANAS]]=8.10810810810811%,100%,AVANCE[[#This Row],[VENTANAS]])</f>
        <v>0</v>
      </c>
      <c r="BH131" s="3">
        <f>+IF(AVANCE[[#This Row],[PISO]]=N$2,100%,AVANCE[[#This Row],[PISO]])</f>
        <v>1</v>
      </c>
      <c r="BI131" s="3">
        <f>+IF(AVANCE[[#This Row],[TABIQUES]]=O$2,100%,AVANCE[[#This Row],[TABIQUES]])</f>
        <v>1</v>
      </c>
      <c r="BJ131" s="3">
        <f>+IF(AVANCE[[#This Row],[MUROS]]=P$2,100%,AVANCE[[#This Row],[MUROS]])</f>
        <v>1</v>
      </c>
      <c r="BK131" s="3">
        <f>+IF(AVANCE[[#This Row],[CIELO]]=Q$2,100%,AVANCE[[#This Row],[CIELO]])</f>
        <v>1</v>
      </c>
      <c r="BL131" s="3">
        <f>+IF(AVANCE[[#This Row],[BALCÓN]]=R$2,100%,AVANCE[[#This Row],[BALCÓN]])</f>
        <v>1</v>
      </c>
      <c r="BM131" s="3">
        <f>+IF(AVANCE[[#This Row],[RED ALCANTARILLADO]]=U$2,100%,AVANCE[[#This Row],[RED ALCANTARILLADO]])</f>
        <v>1</v>
      </c>
      <c r="BN131" s="3">
        <f>+IF(AVANCE[[#This Row],[RED DE AGUA]]=V$2,100%,AVANCE[[#This Row],[RED DE AGUA]])</f>
        <v>1</v>
      </c>
      <c r="BO131" s="3">
        <f>+IF(AVANCE[[#This Row],[VENTILACIONES]]=W$2,100%,AVANCE[[#This Row],[VENTILACIONES]])</f>
        <v>0</v>
      </c>
      <c r="BP131" s="3">
        <f>+IF(AVANCE[[#This Row],[TINA]]=X$2,100%,AVANCE[[#This Row],[TINA]])</f>
        <v>0</v>
      </c>
      <c r="BQ131" s="3">
        <f>+IF(AVANCE[[#This Row],[WC]]=Y$2,100%,AVANCE[[#This Row],[WC]])</f>
        <v>0</v>
      </c>
      <c r="BR131" s="3">
        <f>+IF(AVANCE[[#This Row],[LAVAMANOS / LAVAPLATOS / LAVADERO]]=Z$2,100%,AVANCE[[#This Row],[LAVAMANOS / LAVAPLATOS / LAVADERO]])</f>
        <v>0</v>
      </c>
      <c r="BS131" s="3">
        <f>+IF(AVANCE[[#This Row],[CANALIZACIÓN]]=AC$2,100%,AVANCE[[#This Row],[CANALIZACIÓN]])</f>
        <v>1</v>
      </c>
      <c r="BT131" s="3">
        <f>+IF(AVANCE[[#This Row],[CABLEADO]]=AD$2,100%,AVANCE[[#This Row],[CABLEADO]])</f>
        <v>0</v>
      </c>
      <c r="BU131" s="3">
        <f>+IF(AVANCE[[#This Row],[ARTEFACTOS]]=AE$2,100%,AVANCE[[#This Row],[ARTEFACTOS]])</f>
        <v>0</v>
      </c>
      <c r="BV131" s="3">
        <f>+IF(AVANCE[[#This Row],[TABLERO]]=AF$2,100%,AVANCE[[#This Row],[TABLERO]])</f>
        <v>0</v>
      </c>
      <c r="BW131" s="3">
        <f>+IF(AVANCE[[#This Row],[CAJA PAU]]=AG$2,100%,AVANCE[[#This Row],[CAJA PAU]])</f>
        <v>0</v>
      </c>
      <c r="BX131" s="3">
        <f>+IF(AVANCE[[#This Row],[INSTALACION VINILICO]]=AJ$2,100%,AVANCE[[#This Row],[INSTALACION VINILICO]])</f>
        <v>0</v>
      </c>
      <c r="BY131" s="3">
        <f>+IF(AVANCE[[#This Row],[OSB CUBIERTA]]=AK$2,100%,AVANCE[[#This Row],[OSB CUBIERTA]])</f>
        <v>1</v>
      </c>
      <c r="BZ131" s="3">
        <f>+IF(AVANCE[[#This Row],[BARANDA BALCON]]=AL$2,100%,AVANCE[[#This Row],[BARANDA BALCON]])</f>
        <v>0</v>
      </c>
      <c r="CA131" s="3">
        <f>+IF(AVANCE[[#This Row],[OSB EXTERIOR]]=AM$2,100%,AVANCE[[#This Row],[OSB EXTERIOR]])</f>
        <v>1</v>
      </c>
      <c r="CB131" s="3">
        <f>+IF(AVANCE[[#This Row],[SMART PANEL]]=AN$2,100%,AVANCE[[#This Row],[SMART PANEL]])</f>
        <v>0</v>
      </c>
      <c r="CC131" s="3">
        <f>+IF(AVANCE[[#This Row],[PINTURA EXTERIOR]]=AO$2,100%,AVANCE[[#This Row],[PINTURA EXTERIOR]])</f>
        <v>0</v>
      </c>
      <c r="CD131" s="3">
        <f>+IF(AVANCE[[#This Row],[ZOCALOS LOGIA]]=AP$2,100%,AVANCE[[#This Row],[ZOCALOS LOGIA]])</f>
        <v>0</v>
      </c>
      <c r="CE131" s="3">
        <f>+IF(AVANCE[[#This Row],[MOLDURAS]]=AQ$2,100%,AVANCE[[#This Row],[MOLDURAS]])</f>
        <v>0</v>
      </c>
      <c r="CF131" s="3">
        <f>+IF(AVANCE[[#This Row],[PILASTREO]]=AR$2,100%,AVANCE[[#This Row],[PILASTREO]])</f>
        <v>0</v>
      </c>
      <c r="CG131" s="3">
        <f>+IF(AVANCE[[#This Row],[CELOSIAS]]=AS$2,100%,AVANCE[[#This Row],[CELOSIAS]])</f>
        <v>0</v>
      </c>
      <c r="CH131" s="3">
        <f>+IF(AVANCE[[#This Row],[VENTANAS]]=AT$2,100%,AVANCE[[#This Row],[VENTANAS]])</f>
        <v>0</v>
      </c>
      <c r="CI131" s="3">
        <f>+IF(AVANCE[[#This Row],[PUERTAS ACCESO - LOGIA - BANO]]=AU$2,100%,AVANCE[[#This Row],[PUERTAS ACCESO - LOGIA - BANO]])</f>
        <v>0</v>
      </c>
      <c r="CJ131" s="3">
        <f>+IF(AVANCE[[#This Row],[CERRADURAS]]=AV$2,100%,AVANCE[[#This Row],[CERRADURAS]])</f>
        <v>0</v>
      </c>
      <c r="CK131" s="3">
        <f>+IF(AVANCE[[#This Row],[REVESTIMIENTO INTERIOR ZONA SECA]]=AW$2,100%,AVANCE[[#This Row],[REVESTIMIENTO INTERIOR ZONA SECA]])</f>
        <v>0</v>
      </c>
      <c r="CL131" s="3">
        <f>+IF(AVANCE[[#This Row],[REVESTIMIENTO INTERIOR ZONAS HUMEDAS]]=AX$2,100%,AVANCE[[#This Row],[REVESTIMIENTO INTERIOR ZONAS HUMEDAS]])</f>
        <v>1</v>
      </c>
      <c r="CM131" s="3">
        <f>+IF(AVANCE[[#This Row],[MEMBRANA CIELO]]=AY$2,100%,AVANCE[[#This Row],[MEMBRANA CIELO]])</f>
        <v>1</v>
      </c>
      <c r="CN131" s="3">
        <f>+IF(AVANCE[[#This Row],[LIMPIEZA FINAL]]=AZ$2,100%,AVANCE[[#This Row],[LIMPIEZA FINAL]])</f>
        <v>0</v>
      </c>
      <c r="CO131" s="3">
        <f>+IF(AVANCE[[#This Row],[PUERTAS DORMITORIO]]=BA$2,100%,AVANCE[[#This Row],[PUERTAS DORMITORIO]])</f>
        <v>1</v>
      </c>
      <c r="CP131" s="3">
        <f>+IF(AVANCE[[#This Row],[REVESTIMIENTO INTERIOR BANO]]=BB$2,100%,AVANCE[[#This Row],[REVESTIMIENTO INTERIOR BANO]])</f>
        <v>0</v>
      </c>
      <c r="CQ131" s="3">
        <f>+IF(AVANCE[[#This Row],[MUEBLE LAVAPLATOS]]=BC$2,100%,AVANCE[[#This Row],[MUEBLE LAVAPLATOS]])</f>
        <v>0</v>
      </c>
      <c r="CR131" s="3">
        <f>+IF(AVANCE[[#This Row],[IMPERMEABILIZACION BANO - COCINA LOGIA]]=BD$2,100%,AVANCE[[#This Row],[IMPERMEABILIZACION BANO - COCINA LOGIA]])</f>
        <v>0</v>
      </c>
      <c r="CS131" s="40">
        <f ca="1">+IF(AVANCE[[#This Row],[ESTADO MODULO]]="PENDIENTE",(TODAY()-AVANCE[[#This Row],[FECHA TERMINO  PLANIFICADO]]),0)</f>
        <v>1</v>
      </c>
      <c r="CT131" s="41" t="str" cm="1">
        <f t="array" ref="CT131">_xlfn.TEXTJOIN(" | ",TRUE,IF(SUMPRODUCT((BG131:CR131&lt;1)*(PARTIDAS!$I$2:$AT$2="OBRA GRUESA"))&gt;0,"OBRA GRUESA: "&amp;_xlfn.TEXTJOIN(", ",TRUE,IF((BG131:CR131&lt;1)*(PARTIDAS!$I$2:$AT$2="OBRA GRUESA"),PARTIDAS!$I$1:$AT$1,"")),""),IF(SUMPRODUCT((BG131:CR131&lt;1)*(PARTIDAS!$I$2:$AT$2="SANITARIOS"))&gt;0,"SANITARIOS: "&amp;_xlfn.TEXTJOIN(", ",TRUE,IF((BG131:CR131&lt;1)*(PARTIDAS!$I$2:$AT$2="SANITARIOS"),PARTIDAS!$I$1:$AT$1,"")),""),IF(SUMPRODUCT((BG131:CR131&lt;1)*(PARTIDAS!$I$2:$AT$2="ELÉCTRICO"))&gt;0,"ELÉCTRICO: "&amp;_xlfn.TEXTJOIN(", ",TRUE,IF((BG131:CR131&lt;1)*(PARTIDAS!$I$2:$AT$2="ELÉCTRICO"),PARTIDAS!$I$1:$AT$1,"")),""),IF(SUMPRODUCT((BG131:CR131&lt;1)*(PARTIDAS!$I$2:$AT$2="TERMINACIONES"))&gt;0,"TERMINACIONES: "&amp;_xlfn.TEXTJOIN(", ",TRUE,IF((BG131:CR131&lt;1)*(PARTIDAS!$I$2:$AT$2="TERMINACIONES"),PARTIDAS!$I$1:$AT$1,"")),""))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LIMPIEZA FINAL, REVESTIMIENTO INTERIOR BANO, MUEBLE LAVAPLATOS, IMPERMEABILIZACION BANO - COCINA LOGIA</v>
      </c>
      <c r="CU131" s="43" t="str" cm="1">
        <f t="array" ref="CU131">_xlfn.TEXTJOIN(", ",TRUE,IF(SUMPRODUCT((BG131:CR131&lt;1)*(PARTIDAS!$I$2:$AT$2="OBRA GRUESA"))&gt;0,"OBRA GRUESA",""),IF(SUMPRODUCT((BG131:CR131&lt;1)*(PARTIDAS!$I$2:$AT$2="SANITARIOS"))&gt;0,"SANITARIOS",""),IF(SUMPRODUCT((BG131:CR131&lt;1)*(PARTIDAS!$I$2:$AT$2="ELÉCTRICO"))&gt;0,"ELÉCTRICO",""),IF(SUMPRODUCT((BG131:CR131&lt;1)*(PARTIDAS!$I$2:$AT$2="TERMINACIONES"))&gt;0,"TERMINACIONES",""))</f>
        <v>SANITARIOS, ELÉCTRICO, TERMINACIONES</v>
      </c>
      <c r="CV131" s="44" cm="1">
        <f t="array" ref="CV131">SUMPRODUCT(--(BG131:CR131&lt;1))</f>
        <v>25</v>
      </c>
    </row>
    <row r="132" spans="1:100" x14ac:dyDescent="0.25">
      <c r="A132" t="s">
        <v>190</v>
      </c>
      <c r="B132" t="s">
        <v>193</v>
      </c>
      <c r="C132">
        <v>2302600131</v>
      </c>
      <c r="D132" t="s">
        <v>60</v>
      </c>
      <c r="E132" s="2">
        <v>0.61</v>
      </c>
      <c r="F132" s="1">
        <v>46198</v>
      </c>
      <c r="G132" s="1">
        <v>46212</v>
      </c>
      <c r="H132" s="1">
        <v>46223</v>
      </c>
      <c r="I132" s="1">
        <v>46230</v>
      </c>
      <c r="J132">
        <v>7</v>
      </c>
      <c r="K132" s="1"/>
      <c r="L132" s="3">
        <v>0.43</v>
      </c>
      <c r="M132" s="3">
        <v>1</v>
      </c>
      <c r="N132" s="3">
        <v>0.27906976744186046</v>
      </c>
      <c r="O132" s="3">
        <v>0.18604651162790697</v>
      </c>
      <c r="P132" s="3">
        <v>0.2558139534883721</v>
      </c>
      <c r="Q132" s="3">
        <v>0.18604651162790697</v>
      </c>
      <c r="R132" s="3">
        <v>9.3023255813953487E-2</v>
      </c>
      <c r="S132" s="3">
        <v>3.9999999999999994E-2</v>
      </c>
      <c r="T132" s="3">
        <v>0.44444444444444442</v>
      </c>
      <c r="U132" s="3">
        <v>0.22222222222222221</v>
      </c>
      <c r="V132" s="3">
        <v>0.22222222222222221</v>
      </c>
      <c r="W132" s="3">
        <v>0</v>
      </c>
      <c r="X132" s="3">
        <v>0</v>
      </c>
      <c r="Y132" s="3">
        <v>0</v>
      </c>
      <c r="Z132" s="3">
        <v>0</v>
      </c>
      <c r="AA132" s="3">
        <v>0.06</v>
      </c>
      <c r="AB132" s="3">
        <v>0.54545454545454541</v>
      </c>
      <c r="AC132" s="3">
        <v>0.27272727272727271</v>
      </c>
      <c r="AD132" s="3">
        <v>0.27272727272727271</v>
      </c>
      <c r="AE132" s="3">
        <v>0</v>
      </c>
      <c r="AF132" s="3">
        <v>0</v>
      </c>
      <c r="AG132" s="3">
        <v>0</v>
      </c>
      <c r="AH132" s="3">
        <v>7.9999999999999974E-2</v>
      </c>
      <c r="AI132" s="3">
        <v>0.21621621621621614</v>
      </c>
      <c r="AJ132" s="3">
        <v>0</v>
      </c>
      <c r="AK132" s="3">
        <v>5.4054054054054036E-2</v>
      </c>
      <c r="AL132" s="3">
        <v>0</v>
      </c>
      <c r="AM132" s="3">
        <v>8.1081081081081058E-2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2.7027027027027018E-2</v>
      </c>
      <c r="AZ132" s="3">
        <v>0</v>
      </c>
      <c r="BA132" s="3">
        <v>5.4054054054054036E-2</v>
      </c>
      <c r="BB132" s="3">
        <v>0</v>
      </c>
      <c r="BC132" s="3">
        <v>0</v>
      </c>
      <c r="BD132" s="3">
        <v>0</v>
      </c>
      <c r="BE132">
        <v>31.32</v>
      </c>
      <c r="BF132" s="3" t="str">
        <f>+IF(AVANCE[[#This Row],[% AVANCE]]=100%,"MODULO TERMINADO",IF(AVANCE[[#This Row],[FECHA INICIO REAL]]="","MODULO NO INICIADO","PENDIENTE"))</f>
        <v>PENDIENTE</v>
      </c>
      <c r="BG132" s="3">
        <f>+IF(AVANCE[[#This Row],[VENTANAS]]=8.10810810810811%,100%,AVANCE[[#This Row],[VENTANAS]])</f>
        <v>0</v>
      </c>
      <c r="BH132" s="3">
        <f>+IF(AVANCE[[#This Row],[PISO]]=N$2,100%,AVANCE[[#This Row],[PISO]])</f>
        <v>1</v>
      </c>
      <c r="BI132" s="3">
        <f>+IF(AVANCE[[#This Row],[TABIQUES]]=O$2,100%,AVANCE[[#This Row],[TABIQUES]])</f>
        <v>1</v>
      </c>
      <c r="BJ132" s="3">
        <f>+IF(AVANCE[[#This Row],[MUROS]]=P$2,100%,AVANCE[[#This Row],[MUROS]])</f>
        <v>1</v>
      </c>
      <c r="BK132" s="3">
        <f>+IF(AVANCE[[#This Row],[CIELO]]=Q$2,100%,AVANCE[[#This Row],[CIELO]])</f>
        <v>1</v>
      </c>
      <c r="BL132" s="3">
        <f>+IF(AVANCE[[#This Row],[BALCÓN]]=R$2,100%,AVANCE[[#This Row],[BALCÓN]])</f>
        <v>1</v>
      </c>
      <c r="BM132" s="3">
        <f>+IF(AVANCE[[#This Row],[RED ALCANTARILLADO]]=U$2,100%,AVANCE[[#This Row],[RED ALCANTARILLADO]])</f>
        <v>1</v>
      </c>
      <c r="BN132" s="3">
        <f>+IF(AVANCE[[#This Row],[RED DE AGUA]]=V$2,100%,AVANCE[[#This Row],[RED DE AGUA]])</f>
        <v>1</v>
      </c>
      <c r="BO132" s="3">
        <f>+IF(AVANCE[[#This Row],[VENTILACIONES]]=W$2,100%,AVANCE[[#This Row],[VENTILACIONES]])</f>
        <v>0</v>
      </c>
      <c r="BP132" s="3">
        <f>+IF(AVANCE[[#This Row],[TINA]]=X$2,100%,AVANCE[[#This Row],[TINA]])</f>
        <v>0</v>
      </c>
      <c r="BQ132" s="3">
        <f>+IF(AVANCE[[#This Row],[WC]]=Y$2,100%,AVANCE[[#This Row],[WC]])</f>
        <v>0</v>
      </c>
      <c r="BR132" s="3">
        <f>+IF(AVANCE[[#This Row],[LAVAMANOS / LAVAPLATOS / LAVADERO]]=Z$2,100%,AVANCE[[#This Row],[LAVAMANOS / LAVAPLATOS / LAVADERO]])</f>
        <v>0</v>
      </c>
      <c r="BS132" s="3">
        <f>+IF(AVANCE[[#This Row],[CANALIZACIÓN]]=AC$2,100%,AVANCE[[#This Row],[CANALIZACIÓN]])</f>
        <v>1</v>
      </c>
      <c r="BT132" s="3">
        <f>+IF(AVANCE[[#This Row],[CABLEADO]]=AD$2,100%,AVANCE[[#This Row],[CABLEADO]])</f>
        <v>1</v>
      </c>
      <c r="BU132" s="3">
        <f>+IF(AVANCE[[#This Row],[ARTEFACTOS]]=AE$2,100%,AVANCE[[#This Row],[ARTEFACTOS]])</f>
        <v>0</v>
      </c>
      <c r="BV132" s="3">
        <f>+IF(AVANCE[[#This Row],[TABLERO]]=AF$2,100%,AVANCE[[#This Row],[TABLERO]])</f>
        <v>0</v>
      </c>
      <c r="BW132" s="3">
        <f>+IF(AVANCE[[#This Row],[CAJA PAU]]=AG$2,100%,AVANCE[[#This Row],[CAJA PAU]])</f>
        <v>0</v>
      </c>
      <c r="BX132" s="3">
        <f>+IF(AVANCE[[#This Row],[INSTALACION VINILICO]]=AJ$2,100%,AVANCE[[#This Row],[INSTALACION VINILICO]])</f>
        <v>0</v>
      </c>
      <c r="BY132" s="3">
        <f>+IF(AVANCE[[#This Row],[OSB CUBIERTA]]=AK$2,100%,AVANCE[[#This Row],[OSB CUBIERTA]])</f>
        <v>1</v>
      </c>
      <c r="BZ132" s="3">
        <f>+IF(AVANCE[[#This Row],[BARANDA BALCON]]=AL$2,100%,AVANCE[[#This Row],[BARANDA BALCON]])</f>
        <v>0</v>
      </c>
      <c r="CA132" s="3">
        <f>+IF(AVANCE[[#This Row],[OSB EXTERIOR]]=AM$2,100%,AVANCE[[#This Row],[OSB EXTERIOR]])</f>
        <v>1</v>
      </c>
      <c r="CB132" s="3">
        <f>+IF(AVANCE[[#This Row],[SMART PANEL]]=AN$2,100%,AVANCE[[#This Row],[SMART PANEL]])</f>
        <v>0</v>
      </c>
      <c r="CC132" s="3">
        <f>+IF(AVANCE[[#This Row],[PINTURA EXTERIOR]]=AO$2,100%,AVANCE[[#This Row],[PINTURA EXTERIOR]])</f>
        <v>0</v>
      </c>
      <c r="CD132" s="3">
        <f>+IF(AVANCE[[#This Row],[ZOCALOS LOGIA]]=AP$2,100%,AVANCE[[#This Row],[ZOCALOS LOGIA]])</f>
        <v>0</v>
      </c>
      <c r="CE132" s="3">
        <f>+IF(AVANCE[[#This Row],[MOLDURAS]]=AQ$2,100%,AVANCE[[#This Row],[MOLDURAS]])</f>
        <v>0</v>
      </c>
      <c r="CF132" s="3">
        <f>+IF(AVANCE[[#This Row],[PILASTREO]]=AR$2,100%,AVANCE[[#This Row],[PILASTREO]])</f>
        <v>0</v>
      </c>
      <c r="CG132" s="3">
        <f>+IF(AVANCE[[#This Row],[CELOSIAS]]=AS$2,100%,AVANCE[[#This Row],[CELOSIAS]])</f>
        <v>0</v>
      </c>
      <c r="CH132" s="3">
        <f>+IF(AVANCE[[#This Row],[VENTANAS]]=AT$2,100%,AVANCE[[#This Row],[VENTANAS]])</f>
        <v>0</v>
      </c>
      <c r="CI132" s="3">
        <f>+IF(AVANCE[[#This Row],[PUERTAS ACCESO - LOGIA - BANO]]=AU$2,100%,AVANCE[[#This Row],[PUERTAS ACCESO - LOGIA - BANO]])</f>
        <v>0</v>
      </c>
      <c r="CJ132" s="3">
        <f>+IF(AVANCE[[#This Row],[CERRADURAS]]=AV$2,100%,AVANCE[[#This Row],[CERRADURAS]])</f>
        <v>0</v>
      </c>
      <c r="CK132" s="3">
        <f>+IF(AVANCE[[#This Row],[REVESTIMIENTO INTERIOR ZONA SECA]]=AW$2,100%,AVANCE[[#This Row],[REVESTIMIENTO INTERIOR ZONA SECA]])</f>
        <v>0</v>
      </c>
      <c r="CL132" s="3">
        <f>+IF(AVANCE[[#This Row],[REVESTIMIENTO INTERIOR ZONAS HUMEDAS]]=AX$2,100%,AVANCE[[#This Row],[REVESTIMIENTO INTERIOR ZONAS HUMEDAS]])</f>
        <v>0</v>
      </c>
      <c r="CM132" s="3">
        <f>+IF(AVANCE[[#This Row],[MEMBRANA CIELO]]=AY$2,100%,AVANCE[[#This Row],[MEMBRANA CIELO]])</f>
        <v>1</v>
      </c>
      <c r="CN132" s="3">
        <f>+IF(AVANCE[[#This Row],[LIMPIEZA FINAL]]=AZ$2,100%,AVANCE[[#This Row],[LIMPIEZA FINAL]])</f>
        <v>0</v>
      </c>
      <c r="CO132" s="3">
        <f>+IF(AVANCE[[#This Row],[PUERTAS DORMITORIO]]=BA$2,100%,AVANCE[[#This Row],[PUERTAS DORMITORIO]])</f>
        <v>1</v>
      </c>
      <c r="CP132" s="3">
        <f>+IF(AVANCE[[#This Row],[REVESTIMIENTO INTERIOR BANO]]=BB$2,100%,AVANCE[[#This Row],[REVESTIMIENTO INTERIOR BANO]])</f>
        <v>0</v>
      </c>
      <c r="CQ132" s="3">
        <f>+IF(AVANCE[[#This Row],[MUEBLE LAVAPLATOS]]=BC$2,100%,AVANCE[[#This Row],[MUEBLE LAVAPLATOS]])</f>
        <v>0</v>
      </c>
      <c r="CR132" s="3">
        <f>+IF(AVANCE[[#This Row],[IMPERMEABILIZACION BANO - COCINA LOGIA]]=BD$2,100%,AVANCE[[#This Row],[IMPERMEABILIZACION BANO - COCINA LOGIA]])</f>
        <v>0</v>
      </c>
      <c r="CS132" s="40">
        <f ca="1">+IF(AVANCE[[#This Row],[ESTADO MODULO]]="PENDIENTE",(TODAY()-AVANCE[[#This Row],[FECHA TERMINO  PLANIFICADO]]),0)</f>
        <v>0</v>
      </c>
      <c r="CT132" s="41" t="str" cm="1">
        <f t="array" ref="CT132">_xlfn.TEXTJOIN(" | ",TRUE,IF(SUMPRODUCT((BG132:CR132&lt;1)*(PARTIDAS!$I$2:$AT$2="OBRA GRUESA"))&gt;0,"OBRA GRUESA: "&amp;_xlfn.TEXTJOIN(", ",TRUE,IF((BG132:CR132&lt;1)*(PARTIDAS!$I$2:$AT$2="OBRA GRUESA"),PARTIDAS!$I$1:$AT$1,"")),""),IF(SUMPRODUCT((BG132:CR132&lt;1)*(PARTIDAS!$I$2:$AT$2="SANITARIOS"))&gt;0,"SANITARIOS: "&amp;_xlfn.TEXTJOIN(", ",TRUE,IF((BG132:CR132&lt;1)*(PARTIDAS!$I$2:$AT$2="SANITARIOS"),PARTIDAS!$I$1:$AT$1,"")),""),IF(SUMPRODUCT((BG132:CR132&lt;1)*(PARTIDAS!$I$2:$AT$2="ELÉCTRICO"))&gt;0,"ELÉCTRICO: "&amp;_xlfn.TEXTJOIN(", ",TRUE,IF((BG132:CR132&lt;1)*(PARTIDAS!$I$2:$AT$2="ELÉCTRICO"),PARTIDAS!$I$1:$AT$1,"")),""),IF(SUMPRODUCT((BG132:CR132&lt;1)*(PARTIDAS!$I$2:$AT$2="TERMINACIONES"))&gt;0,"TERMINACIONES: "&amp;_xlfn.TEXTJOIN(", ",TRUE,IF((BG132:CR132&lt;1)*(PARTIDAS!$I$2:$AT$2="TERMINACIONES"),PARTIDAS!$I$1:$AT$1,"")),""))</f>
        <v>SANITARIOS: VENTILACIONES, TINA, WC, LAVAMANOS / LAVAPLATOS / LAVADERO | ELÉCTRICO: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</v>
      </c>
      <c r="CU132" s="43" t="str" cm="1">
        <f t="array" ref="CU132">_xlfn.TEXTJOIN(", ",TRUE,IF(SUMPRODUCT((BG132:CR132&lt;1)*(PARTIDAS!$I$2:$AT$2="OBRA GRUESA"))&gt;0,"OBRA GRUESA",""),IF(SUMPRODUCT((BG132:CR132&lt;1)*(PARTIDAS!$I$2:$AT$2="SANITARIOS"))&gt;0,"SANITARIOS",""),IF(SUMPRODUCT((BG132:CR132&lt;1)*(PARTIDAS!$I$2:$AT$2="ELÉCTRICO"))&gt;0,"ELÉCTRICO",""),IF(SUMPRODUCT((BG132:CR132&lt;1)*(PARTIDAS!$I$2:$AT$2="TERMINACIONES"))&gt;0,"TERMINACIONES",""))</f>
        <v>SANITARIOS, ELÉCTRICO, TERMINACIONES</v>
      </c>
      <c r="CV132" s="44" cm="1">
        <f t="array" ref="CV132">SUMPRODUCT(--(BG132:CR132&lt;1))</f>
        <v>25</v>
      </c>
    </row>
    <row r="133" spans="1:100" x14ac:dyDescent="0.25">
      <c r="A133" t="s">
        <v>190</v>
      </c>
      <c r="B133" t="s">
        <v>194</v>
      </c>
      <c r="C133">
        <v>2282600132</v>
      </c>
      <c r="D133" t="s">
        <v>58</v>
      </c>
      <c r="E133" s="2">
        <v>0.80499999999999994</v>
      </c>
      <c r="F133" s="1">
        <v>46198</v>
      </c>
      <c r="G133" s="1">
        <v>46216</v>
      </c>
      <c r="H133" s="1">
        <v>46223</v>
      </c>
      <c r="I133" s="1">
        <v>46220</v>
      </c>
      <c r="J133">
        <v>7</v>
      </c>
      <c r="K133" s="1"/>
      <c r="L133" s="3">
        <v>0.43</v>
      </c>
      <c r="M133" s="3">
        <v>1</v>
      </c>
      <c r="N133" s="3">
        <v>0.27906976744186046</v>
      </c>
      <c r="O133" s="3">
        <v>0.18604651162790697</v>
      </c>
      <c r="P133" s="3">
        <v>0.2558139534883721</v>
      </c>
      <c r="Q133" s="3">
        <v>0.18604651162790697</v>
      </c>
      <c r="R133" s="3">
        <v>9.3023255813953487E-2</v>
      </c>
      <c r="S133" s="3">
        <v>0.09</v>
      </c>
      <c r="T133" s="3">
        <v>1</v>
      </c>
      <c r="U133" s="3">
        <v>0.22222222222222221</v>
      </c>
      <c r="V133" s="3">
        <v>0.22222222222222221</v>
      </c>
      <c r="W133" s="3">
        <v>0.1111111111111111</v>
      </c>
      <c r="X133" s="3">
        <v>0.1111111111111111</v>
      </c>
      <c r="Y133" s="3">
        <v>0.1111111111111111</v>
      </c>
      <c r="Z133" s="3">
        <v>0.22222222222222221</v>
      </c>
      <c r="AA133" s="3">
        <v>6.9999999999999993E-2</v>
      </c>
      <c r="AB133" s="3">
        <v>0.63636363636363635</v>
      </c>
      <c r="AC133" s="3">
        <v>0.27272727272727271</v>
      </c>
      <c r="AD133" s="3">
        <v>0</v>
      </c>
      <c r="AE133" s="3">
        <v>0</v>
      </c>
      <c r="AF133" s="3">
        <v>0.18181818181818182</v>
      </c>
      <c r="AG133" s="3">
        <v>0.18181818181818182</v>
      </c>
      <c r="AH133" s="3">
        <v>0.21499999999999994</v>
      </c>
      <c r="AI133" s="3">
        <v>0.58108108108108092</v>
      </c>
      <c r="AJ133" s="3">
        <v>5.4054054054054036E-2</v>
      </c>
      <c r="AK133" s="3">
        <v>5.4054054054054036E-2</v>
      </c>
      <c r="AL133" s="3">
        <v>2.7027027027027018E-2</v>
      </c>
      <c r="AM133" s="3">
        <v>8.1081081081081058E-2</v>
      </c>
      <c r="AN133" s="3">
        <v>0</v>
      </c>
      <c r="AO133" s="3">
        <v>0</v>
      </c>
      <c r="AP133" s="3">
        <v>5.4054054054054036E-2</v>
      </c>
      <c r="AQ133" s="3">
        <v>0</v>
      </c>
      <c r="AR133" s="3">
        <v>0</v>
      </c>
      <c r="AS133" s="3">
        <v>0</v>
      </c>
      <c r="AT133" s="3">
        <v>0</v>
      </c>
      <c r="AU133" s="3">
        <v>5.4054054054054036E-2</v>
      </c>
      <c r="AV133" s="3">
        <v>0</v>
      </c>
      <c r="AW133" s="3">
        <v>5.4054054054054036E-2</v>
      </c>
      <c r="AX133" s="3">
        <v>5.4054054054054036E-2</v>
      </c>
      <c r="AY133" s="3">
        <v>2.7027027027027018E-2</v>
      </c>
      <c r="AZ133" s="3">
        <v>0</v>
      </c>
      <c r="BA133" s="3">
        <v>0</v>
      </c>
      <c r="BB133" s="3">
        <v>8.1081081081081058E-2</v>
      </c>
      <c r="BC133" s="3">
        <v>1.3513513513513509E-2</v>
      </c>
      <c r="BD133" s="3">
        <v>2.7027027027027018E-2</v>
      </c>
      <c r="BE133">
        <v>28.87</v>
      </c>
      <c r="BF133" s="3" t="str">
        <f>+IF(AVANCE[[#This Row],[% AVANCE]]=100%,"MODULO TERMINADO",IF(AVANCE[[#This Row],[FECHA INICIO REAL]]="","MODULO NO INICIADO","PENDIENTE"))</f>
        <v>PENDIENTE</v>
      </c>
      <c r="BG133" s="3">
        <f>+IF(AVANCE[[#This Row],[VENTANAS]]=8.10810810810811%,100%,AVANCE[[#This Row],[VENTANAS]])</f>
        <v>0</v>
      </c>
      <c r="BH133" s="3">
        <f>+IF(AVANCE[[#This Row],[PISO]]=N$2,100%,AVANCE[[#This Row],[PISO]])</f>
        <v>1</v>
      </c>
      <c r="BI133" s="3">
        <f>+IF(AVANCE[[#This Row],[TABIQUES]]=O$2,100%,AVANCE[[#This Row],[TABIQUES]])</f>
        <v>1</v>
      </c>
      <c r="BJ133" s="3">
        <f>+IF(AVANCE[[#This Row],[MUROS]]=P$2,100%,AVANCE[[#This Row],[MUROS]])</f>
        <v>1</v>
      </c>
      <c r="BK133" s="3">
        <f>+IF(AVANCE[[#This Row],[CIELO]]=Q$2,100%,AVANCE[[#This Row],[CIELO]])</f>
        <v>1</v>
      </c>
      <c r="BL133" s="3">
        <f>+IF(AVANCE[[#This Row],[BALCÓN]]=R$2,100%,AVANCE[[#This Row],[BALCÓN]])</f>
        <v>1</v>
      </c>
      <c r="BM133" s="3">
        <f>+IF(AVANCE[[#This Row],[RED ALCANTARILLADO]]=U$2,100%,AVANCE[[#This Row],[RED ALCANTARILLADO]])</f>
        <v>1</v>
      </c>
      <c r="BN133" s="3">
        <f>+IF(AVANCE[[#This Row],[RED DE AGUA]]=V$2,100%,AVANCE[[#This Row],[RED DE AGUA]])</f>
        <v>1</v>
      </c>
      <c r="BO133" s="3">
        <f>+IF(AVANCE[[#This Row],[VENTILACIONES]]=W$2,100%,AVANCE[[#This Row],[VENTILACIONES]])</f>
        <v>1</v>
      </c>
      <c r="BP133" s="3">
        <f>+IF(AVANCE[[#This Row],[TINA]]=X$2,100%,AVANCE[[#This Row],[TINA]])</f>
        <v>1</v>
      </c>
      <c r="BQ133" s="3">
        <f>+IF(AVANCE[[#This Row],[WC]]=Y$2,100%,AVANCE[[#This Row],[WC]])</f>
        <v>1</v>
      </c>
      <c r="BR133" s="3">
        <f>+IF(AVANCE[[#This Row],[LAVAMANOS / LAVAPLATOS / LAVADERO]]=Z$2,100%,AVANCE[[#This Row],[LAVAMANOS / LAVAPLATOS / LAVADERO]])</f>
        <v>1</v>
      </c>
      <c r="BS133" s="3">
        <f>+IF(AVANCE[[#This Row],[CANALIZACIÓN]]=AC$2,100%,AVANCE[[#This Row],[CANALIZACIÓN]])</f>
        <v>1</v>
      </c>
      <c r="BT133" s="3">
        <f>+IF(AVANCE[[#This Row],[CABLEADO]]=AD$2,100%,AVANCE[[#This Row],[CABLEADO]])</f>
        <v>0</v>
      </c>
      <c r="BU133" s="3">
        <f>+IF(AVANCE[[#This Row],[ARTEFACTOS]]=AE$2,100%,AVANCE[[#This Row],[ARTEFACTOS]])</f>
        <v>0</v>
      </c>
      <c r="BV133" s="3">
        <f>+IF(AVANCE[[#This Row],[TABLERO]]=AF$2,100%,AVANCE[[#This Row],[TABLERO]])</f>
        <v>1</v>
      </c>
      <c r="BW133" s="3">
        <f>+IF(AVANCE[[#This Row],[CAJA PAU]]=AG$2,100%,AVANCE[[#This Row],[CAJA PAU]])</f>
        <v>1</v>
      </c>
      <c r="BX133" s="3">
        <f>+IF(AVANCE[[#This Row],[INSTALACION VINILICO]]=AJ$2,100%,AVANCE[[#This Row],[INSTALACION VINILICO]])</f>
        <v>1</v>
      </c>
      <c r="BY133" s="3">
        <f>+IF(AVANCE[[#This Row],[OSB CUBIERTA]]=AK$2,100%,AVANCE[[#This Row],[OSB CUBIERTA]])</f>
        <v>1</v>
      </c>
      <c r="BZ133" s="3">
        <f>+IF(AVANCE[[#This Row],[BARANDA BALCON]]=AL$2,100%,AVANCE[[#This Row],[BARANDA BALCON]])</f>
        <v>1</v>
      </c>
      <c r="CA133" s="3">
        <f>+IF(AVANCE[[#This Row],[OSB EXTERIOR]]=AM$2,100%,AVANCE[[#This Row],[OSB EXTERIOR]])</f>
        <v>1</v>
      </c>
      <c r="CB133" s="3">
        <f>+IF(AVANCE[[#This Row],[SMART PANEL]]=AN$2,100%,AVANCE[[#This Row],[SMART PANEL]])</f>
        <v>0</v>
      </c>
      <c r="CC133" s="3">
        <f>+IF(AVANCE[[#This Row],[PINTURA EXTERIOR]]=AO$2,100%,AVANCE[[#This Row],[PINTURA EXTERIOR]])</f>
        <v>0</v>
      </c>
      <c r="CD133" s="3">
        <f>+IF(AVANCE[[#This Row],[ZOCALOS LOGIA]]=AP$2,100%,AVANCE[[#This Row],[ZOCALOS LOGIA]])</f>
        <v>1</v>
      </c>
      <c r="CE133" s="3">
        <f>+IF(AVANCE[[#This Row],[MOLDURAS]]=AQ$2,100%,AVANCE[[#This Row],[MOLDURAS]])</f>
        <v>0</v>
      </c>
      <c r="CF133" s="3">
        <f>+IF(AVANCE[[#This Row],[PILASTREO]]=AR$2,100%,AVANCE[[#This Row],[PILASTREO]])</f>
        <v>0</v>
      </c>
      <c r="CG133" s="3">
        <f>+IF(AVANCE[[#This Row],[CELOSIAS]]=AS$2,100%,AVANCE[[#This Row],[CELOSIAS]])</f>
        <v>0</v>
      </c>
      <c r="CH133" s="3">
        <f>+IF(AVANCE[[#This Row],[VENTANAS]]=AT$2,100%,AVANCE[[#This Row],[VENTANAS]])</f>
        <v>0</v>
      </c>
      <c r="CI133" s="3">
        <f>+IF(AVANCE[[#This Row],[PUERTAS ACCESO - LOGIA - BANO]]=AU$2,100%,AVANCE[[#This Row],[PUERTAS ACCESO - LOGIA - BANO]])</f>
        <v>1</v>
      </c>
      <c r="CJ133" s="3">
        <f>+IF(AVANCE[[#This Row],[CERRADURAS]]=AV$2,100%,AVANCE[[#This Row],[CERRADURAS]])</f>
        <v>0</v>
      </c>
      <c r="CK133" s="3">
        <f>+IF(AVANCE[[#This Row],[REVESTIMIENTO INTERIOR ZONA SECA]]=AW$2,100%,AVANCE[[#This Row],[REVESTIMIENTO INTERIOR ZONA SECA]])</f>
        <v>1</v>
      </c>
      <c r="CL133" s="3">
        <f>+IF(AVANCE[[#This Row],[REVESTIMIENTO INTERIOR ZONAS HUMEDAS]]=AX$2,100%,AVANCE[[#This Row],[REVESTIMIENTO INTERIOR ZONAS HUMEDAS]])</f>
        <v>1</v>
      </c>
      <c r="CM133" s="3">
        <f>+IF(AVANCE[[#This Row],[MEMBRANA CIELO]]=AY$2,100%,AVANCE[[#This Row],[MEMBRANA CIELO]])</f>
        <v>1</v>
      </c>
      <c r="CN133" s="3">
        <f>+IF(AVANCE[[#This Row],[LIMPIEZA FINAL]]=AZ$2,100%,AVANCE[[#This Row],[LIMPIEZA FINAL]])</f>
        <v>0</v>
      </c>
      <c r="CO133" s="3">
        <f>+IF(AVANCE[[#This Row],[PUERTAS DORMITORIO]]=BA$2,100%,AVANCE[[#This Row],[PUERTAS DORMITORIO]])</f>
        <v>0</v>
      </c>
      <c r="CP133" s="3">
        <f>+IF(AVANCE[[#This Row],[REVESTIMIENTO INTERIOR BANO]]=BB$2,100%,AVANCE[[#This Row],[REVESTIMIENTO INTERIOR BANO]])</f>
        <v>1</v>
      </c>
      <c r="CQ133" s="3">
        <f>+IF(AVANCE[[#This Row],[MUEBLE LAVAPLATOS]]=BC$2,100%,AVANCE[[#This Row],[MUEBLE LAVAPLATOS]])</f>
        <v>1</v>
      </c>
      <c r="CR133" s="3">
        <f>+IF(AVANCE[[#This Row],[IMPERMEABILIZACION BANO - COCINA LOGIA]]=BD$2,100%,AVANCE[[#This Row],[IMPERMEABILIZACION BANO - COCINA LOGIA]])</f>
        <v>1</v>
      </c>
      <c r="CS133" s="40">
        <f ca="1">+IF(AVANCE[[#This Row],[ESTADO MODULO]]="PENDIENTE",(TODAY()-AVANCE[[#This Row],[FECHA TERMINO  PLANIFICADO]]),0)</f>
        <v>10</v>
      </c>
      <c r="CT133" s="41" t="str" cm="1">
        <f t="array" ref="CT133">_xlfn.TEXTJOIN(" | ",TRUE,IF(SUMPRODUCT((BG133:CR133&lt;1)*(PARTIDAS!$I$2:$AT$2="OBRA GRUESA"))&gt;0,"OBRA GRUESA: "&amp;_xlfn.TEXTJOIN(", ",TRUE,IF((BG133:CR133&lt;1)*(PARTIDAS!$I$2:$AT$2="OBRA GRUESA"),PARTIDAS!$I$1:$AT$1,"")),""),IF(SUMPRODUCT((BG133:CR133&lt;1)*(PARTIDAS!$I$2:$AT$2="SANITARIOS"))&gt;0,"SANITARIOS: "&amp;_xlfn.TEXTJOIN(", ",TRUE,IF((BG133:CR133&lt;1)*(PARTIDAS!$I$2:$AT$2="SANITARIOS"),PARTIDAS!$I$1:$AT$1,"")),""),IF(SUMPRODUCT((BG133:CR133&lt;1)*(PARTIDAS!$I$2:$AT$2="ELÉCTRICO"))&gt;0,"ELÉCTRICO: "&amp;_xlfn.TEXTJOIN(", ",TRUE,IF((BG133:CR133&lt;1)*(PARTIDAS!$I$2:$AT$2="ELÉCTRICO"),PARTIDAS!$I$1:$AT$1,"")),""),IF(SUMPRODUCT((BG133:CR133&lt;1)*(PARTIDAS!$I$2:$AT$2="TERMINACIONES"))&gt;0,"TERMINACIONES: "&amp;_xlfn.TEXTJOIN(", ",TRUE,IF((BG133:CR133&lt;1)*(PARTIDAS!$I$2:$AT$2="TERMINACIONES"),PARTIDAS!$I$1:$AT$1,"")),""))</f>
        <v>ELÉCTRICO: CABLEADO, ARTEFACTOS | TERMINACIONES: VENTANAS, SMART PANEL, PINTURA EXTERIOR, MOLDURAS, PILASTREO, CELOSIAS, VENTANAS (TERM), CERRADURAS, LIMPIEZA FINAL, PUERTAS DORMITORIO</v>
      </c>
      <c r="CU133" s="43" t="str" cm="1">
        <f t="array" ref="CU133">_xlfn.TEXTJOIN(", ",TRUE,IF(SUMPRODUCT((BG133:CR133&lt;1)*(PARTIDAS!$I$2:$AT$2="OBRA GRUESA"))&gt;0,"OBRA GRUESA",""),IF(SUMPRODUCT((BG133:CR133&lt;1)*(PARTIDAS!$I$2:$AT$2="SANITARIOS"))&gt;0,"SANITARIOS",""),IF(SUMPRODUCT((BG133:CR133&lt;1)*(PARTIDAS!$I$2:$AT$2="ELÉCTRICO"))&gt;0,"ELÉCTRICO",""),IF(SUMPRODUCT((BG133:CR133&lt;1)*(PARTIDAS!$I$2:$AT$2="TERMINACIONES"))&gt;0,"TERMINACIONES",""))</f>
        <v>ELÉCTRICO, TERMINACIONES</v>
      </c>
      <c r="CV133" s="44" cm="1">
        <f t="array" ref="CV133">SUMPRODUCT(--(BG133:CR133&lt;1))</f>
        <v>12</v>
      </c>
    </row>
    <row r="134" spans="1:100" x14ac:dyDescent="0.25">
      <c r="A134" t="s">
        <v>190</v>
      </c>
      <c r="B134" t="s">
        <v>195</v>
      </c>
      <c r="C134">
        <v>2282600133</v>
      </c>
      <c r="D134" t="s">
        <v>58</v>
      </c>
      <c r="E134" s="2">
        <v>0.59</v>
      </c>
      <c r="F134" s="1">
        <v>46198</v>
      </c>
      <c r="G134" s="1">
        <v>46216</v>
      </c>
      <c r="H134" s="1">
        <v>46223</v>
      </c>
      <c r="I134" s="1">
        <v>46220</v>
      </c>
      <c r="J134">
        <v>7</v>
      </c>
      <c r="K134" s="1"/>
      <c r="L134" s="3">
        <v>0.43</v>
      </c>
      <c r="M134" s="3">
        <v>1</v>
      </c>
      <c r="N134" s="3">
        <v>0.27906976744186046</v>
      </c>
      <c r="O134" s="3">
        <v>0.18604651162790697</v>
      </c>
      <c r="P134" s="3">
        <v>0.2558139534883721</v>
      </c>
      <c r="Q134" s="3">
        <v>0.18604651162790697</v>
      </c>
      <c r="R134" s="3">
        <v>9.3023255813953487E-2</v>
      </c>
      <c r="S134" s="3">
        <v>0.09</v>
      </c>
      <c r="T134" s="3">
        <v>1</v>
      </c>
      <c r="U134" s="3">
        <v>0.22222222222222221</v>
      </c>
      <c r="V134" s="3">
        <v>0.22222222222222221</v>
      </c>
      <c r="W134" s="3">
        <v>0.1111111111111111</v>
      </c>
      <c r="X134" s="3">
        <v>0.1111111111111111</v>
      </c>
      <c r="Y134" s="3">
        <v>0.1111111111111111</v>
      </c>
      <c r="Z134" s="3">
        <v>0.22222222222222221</v>
      </c>
      <c r="AA134" s="3">
        <v>6.9999999999999993E-2</v>
      </c>
      <c r="AB134" s="3">
        <v>0.63636363636363635</v>
      </c>
      <c r="AC134" s="3">
        <v>0.27272727272727271</v>
      </c>
      <c r="AD134" s="3">
        <v>0</v>
      </c>
      <c r="AE134" s="3">
        <v>0</v>
      </c>
      <c r="AF134" s="3">
        <v>0.18181818181818182</v>
      </c>
      <c r="AG134" s="3">
        <v>0.18181818181818182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>
        <v>28.87</v>
      </c>
      <c r="BF134" s="3" t="str">
        <f>+IF(AVANCE[[#This Row],[% AVANCE]]=100%,"MODULO TERMINADO",IF(AVANCE[[#This Row],[FECHA INICIO REAL]]="","MODULO NO INICIADO","PENDIENTE"))</f>
        <v>PENDIENTE</v>
      </c>
      <c r="BG134" s="3">
        <f>+IF(AVANCE[[#This Row],[VENTANAS]]=8.10810810810811%,100%,AVANCE[[#This Row],[VENTANAS]])</f>
        <v>0</v>
      </c>
      <c r="BH134" s="3">
        <f>+IF(AVANCE[[#This Row],[PISO]]=N$2,100%,AVANCE[[#This Row],[PISO]])</f>
        <v>1</v>
      </c>
      <c r="BI134" s="3">
        <f>+IF(AVANCE[[#This Row],[TABIQUES]]=O$2,100%,AVANCE[[#This Row],[TABIQUES]])</f>
        <v>1</v>
      </c>
      <c r="BJ134" s="3">
        <f>+IF(AVANCE[[#This Row],[MUROS]]=P$2,100%,AVANCE[[#This Row],[MUROS]])</f>
        <v>1</v>
      </c>
      <c r="BK134" s="3">
        <f>+IF(AVANCE[[#This Row],[CIELO]]=Q$2,100%,AVANCE[[#This Row],[CIELO]])</f>
        <v>1</v>
      </c>
      <c r="BL134" s="3">
        <f>+IF(AVANCE[[#This Row],[BALCÓN]]=R$2,100%,AVANCE[[#This Row],[BALCÓN]])</f>
        <v>1</v>
      </c>
      <c r="BM134" s="3">
        <f>+IF(AVANCE[[#This Row],[RED ALCANTARILLADO]]=U$2,100%,AVANCE[[#This Row],[RED ALCANTARILLADO]])</f>
        <v>1</v>
      </c>
      <c r="BN134" s="3">
        <f>+IF(AVANCE[[#This Row],[RED DE AGUA]]=V$2,100%,AVANCE[[#This Row],[RED DE AGUA]])</f>
        <v>1</v>
      </c>
      <c r="BO134" s="3">
        <f>+IF(AVANCE[[#This Row],[VENTILACIONES]]=W$2,100%,AVANCE[[#This Row],[VENTILACIONES]])</f>
        <v>1</v>
      </c>
      <c r="BP134" s="3">
        <f>+IF(AVANCE[[#This Row],[TINA]]=X$2,100%,AVANCE[[#This Row],[TINA]])</f>
        <v>1</v>
      </c>
      <c r="BQ134" s="3">
        <f>+IF(AVANCE[[#This Row],[WC]]=Y$2,100%,AVANCE[[#This Row],[WC]])</f>
        <v>1</v>
      </c>
      <c r="BR134" s="3">
        <f>+IF(AVANCE[[#This Row],[LAVAMANOS / LAVAPLATOS / LAVADERO]]=Z$2,100%,AVANCE[[#This Row],[LAVAMANOS / LAVAPLATOS / LAVADERO]])</f>
        <v>1</v>
      </c>
      <c r="BS134" s="3">
        <f>+IF(AVANCE[[#This Row],[CANALIZACIÓN]]=AC$2,100%,AVANCE[[#This Row],[CANALIZACIÓN]])</f>
        <v>1</v>
      </c>
      <c r="BT134" s="3">
        <f>+IF(AVANCE[[#This Row],[CABLEADO]]=AD$2,100%,AVANCE[[#This Row],[CABLEADO]])</f>
        <v>0</v>
      </c>
      <c r="BU134" s="3">
        <f>+IF(AVANCE[[#This Row],[ARTEFACTOS]]=AE$2,100%,AVANCE[[#This Row],[ARTEFACTOS]])</f>
        <v>0</v>
      </c>
      <c r="BV134" s="3">
        <f>+IF(AVANCE[[#This Row],[TABLERO]]=AF$2,100%,AVANCE[[#This Row],[TABLERO]])</f>
        <v>1</v>
      </c>
      <c r="BW134" s="3">
        <f>+IF(AVANCE[[#This Row],[CAJA PAU]]=AG$2,100%,AVANCE[[#This Row],[CAJA PAU]])</f>
        <v>1</v>
      </c>
      <c r="BX134" s="3">
        <f>+IF(AVANCE[[#This Row],[INSTALACION VINILICO]]=AJ$2,100%,AVANCE[[#This Row],[INSTALACION VINILICO]])</f>
        <v>0</v>
      </c>
      <c r="BY134" s="3">
        <f>+IF(AVANCE[[#This Row],[OSB CUBIERTA]]=AK$2,100%,AVANCE[[#This Row],[OSB CUBIERTA]])</f>
        <v>0</v>
      </c>
      <c r="BZ134" s="3">
        <f>+IF(AVANCE[[#This Row],[BARANDA BALCON]]=AL$2,100%,AVANCE[[#This Row],[BARANDA BALCON]])</f>
        <v>0</v>
      </c>
      <c r="CA134" s="3">
        <f>+IF(AVANCE[[#This Row],[OSB EXTERIOR]]=AM$2,100%,AVANCE[[#This Row],[OSB EXTERIOR]])</f>
        <v>0</v>
      </c>
      <c r="CB134" s="3">
        <f>+IF(AVANCE[[#This Row],[SMART PANEL]]=AN$2,100%,AVANCE[[#This Row],[SMART PANEL]])</f>
        <v>0</v>
      </c>
      <c r="CC134" s="3">
        <f>+IF(AVANCE[[#This Row],[PINTURA EXTERIOR]]=AO$2,100%,AVANCE[[#This Row],[PINTURA EXTERIOR]])</f>
        <v>0</v>
      </c>
      <c r="CD134" s="3">
        <f>+IF(AVANCE[[#This Row],[ZOCALOS LOGIA]]=AP$2,100%,AVANCE[[#This Row],[ZOCALOS LOGIA]])</f>
        <v>0</v>
      </c>
      <c r="CE134" s="3">
        <f>+IF(AVANCE[[#This Row],[MOLDURAS]]=AQ$2,100%,AVANCE[[#This Row],[MOLDURAS]])</f>
        <v>0</v>
      </c>
      <c r="CF134" s="3">
        <f>+IF(AVANCE[[#This Row],[PILASTREO]]=AR$2,100%,AVANCE[[#This Row],[PILASTREO]])</f>
        <v>0</v>
      </c>
      <c r="CG134" s="3">
        <f>+IF(AVANCE[[#This Row],[CELOSIAS]]=AS$2,100%,AVANCE[[#This Row],[CELOSIAS]])</f>
        <v>0</v>
      </c>
      <c r="CH134" s="3">
        <f>+IF(AVANCE[[#This Row],[VENTANAS]]=AT$2,100%,AVANCE[[#This Row],[VENTANAS]])</f>
        <v>0</v>
      </c>
      <c r="CI134" s="3">
        <f>+IF(AVANCE[[#This Row],[PUERTAS ACCESO - LOGIA - BANO]]=AU$2,100%,AVANCE[[#This Row],[PUERTAS ACCESO - LOGIA - BANO]])</f>
        <v>0</v>
      </c>
      <c r="CJ134" s="3">
        <f>+IF(AVANCE[[#This Row],[CERRADURAS]]=AV$2,100%,AVANCE[[#This Row],[CERRADURAS]])</f>
        <v>0</v>
      </c>
      <c r="CK134" s="3">
        <f>+IF(AVANCE[[#This Row],[REVESTIMIENTO INTERIOR ZONA SECA]]=AW$2,100%,AVANCE[[#This Row],[REVESTIMIENTO INTERIOR ZONA SECA]])</f>
        <v>0</v>
      </c>
      <c r="CL134" s="3">
        <f>+IF(AVANCE[[#This Row],[REVESTIMIENTO INTERIOR ZONAS HUMEDAS]]=AX$2,100%,AVANCE[[#This Row],[REVESTIMIENTO INTERIOR ZONAS HUMEDAS]])</f>
        <v>0</v>
      </c>
      <c r="CM134" s="3">
        <f>+IF(AVANCE[[#This Row],[MEMBRANA CIELO]]=AY$2,100%,AVANCE[[#This Row],[MEMBRANA CIELO]])</f>
        <v>0</v>
      </c>
      <c r="CN134" s="3">
        <f>+IF(AVANCE[[#This Row],[LIMPIEZA FINAL]]=AZ$2,100%,AVANCE[[#This Row],[LIMPIEZA FINAL]])</f>
        <v>0</v>
      </c>
      <c r="CO134" s="3">
        <f>+IF(AVANCE[[#This Row],[PUERTAS DORMITORIO]]=BA$2,100%,AVANCE[[#This Row],[PUERTAS DORMITORIO]])</f>
        <v>0</v>
      </c>
      <c r="CP134" s="3">
        <f>+IF(AVANCE[[#This Row],[REVESTIMIENTO INTERIOR BANO]]=BB$2,100%,AVANCE[[#This Row],[REVESTIMIENTO INTERIOR BANO]])</f>
        <v>0</v>
      </c>
      <c r="CQ134" s="3">
        <f>+IF(AVANCE[[#This Row],[MUEBLE LAVAPLATOS]]=BC$2,100%,AVANCE[[#This Row],[MUEBLE LAVAPLATOS]])</f>
        <v>0</v>
      </c>
      <c r="CR134" s="3">
        <f>+IF(AVANCE[[#This Row],[IMPERMEABILIZACION BANO - COCINA LOGIA]]=BD$2,100%,AVANCE[[#This Row],[IMPERMEABILIZACION BANO - COCINA LOGIA]])</f>
        <v>0</v>
      </c>
      <c r="CS134" s="40">
        <f ca="1">+IF(AVANCE[[#This Row],[ESTADO MODULO]]="PENDIENTE",(TODAY()-AVANCE[[#This Row],[FECHA TERMINO  PLANIFICADO]]),0)</f>
        <v>10</v>
      </c>
      <c r="CT134" s="41" t="str" cm="1">
        <f t="array" ref="CT134">_xlfn.TEXTJOIN(" | ",TRUE,IF(SUMPRODUCT((BG134:CR134&lt;1)*(PARTIDAS!$I$2:$AT$2="OBRA GRUESA"))&gt;0,"OBRA GRUESA: "&amp;_xlfn.TEXTJOIN(", ",TRUE,IF((BG134:CR134&lt;1)*(PARTIDAS!$I$2:$AT$2="OBRA GRUESA"),PARTIDAS!$I$1:$AT$1,"")),""),IF(SUMPRODUCT((BG134:CR134&lt;1)*(PARTIDAS!$I$2:$AT$2="SANITARIOS"))&gt;0,"SANITARIOS: "&amp;_xlfn.TEXTJOIN(", ",TRUE,IF((BG134:CR134&lt;1)*(PARTIDAS!$I$2:$AT$2="SANITARIOS"),PARTIDAS!$I$1:$AT$1,"")),""),IF(SUMPRODUCT((BG134:CR134&lt;1)*(PARTIDAS!$I$2:$AT$2="ELÉCTRICO"))&gt;0,"ELÉCTRICO: "&amp;_xlfn.TEXTJOIN(", ",TRUE,IF((BG134:CR134&lt;1)*(PARTIDAS!$I$2:$AT$2="ELÉCTRICO"),PARTIDAS!$I$1:$AT$1,"")),""),IF(SUMPRODUCT((BG134:CR134&lt;1)*(PARTIDAS!$I$2:$AT$2="TERMINACIONES"))&gt;0,"TERMINACIONES: "&amp;_xlfn.TEXTJOIN(", ",TRUE,IF((BG134:CR134&lt;1)*(PARTIDAS!$I$2:$AT$2="TERMINACIONES"),PARTIDAS!$I$1:$AT$1,"")),""))</f>
        <v>ELÉCTRICO: CABLEADO, ARTEFACTOS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34" s="43" t="str" cm="1">
        <f t="array" ref="CU134">_xlfn.TEXTJOIN(", ",TRUE,IF(SUMPRODUCT((BG134:CR134&lt;1)*(PARTIDAS!$I$2:$AT$2="OBRA GRUESA"))&gt;0,"OBRA GRUESA",""),IF(SUMPRODUCT((BG134:CR134&lt;1)*(PARTIDAS!$I$2:$AT$2="SANITARIOS"))&gt;0,"SANITARIOS",""),IF(SUMPRODUCT((BG134:CR134&lt;1)*(PARTIDAS!$I$2:$AT$2="ELÉCTRICO"))&gt;0,"ELÉCTRICO",""),IF(SUMPRODUCT((BG134:CR134&lt;1)*(PARTIDAS!$I$2:$AT$2="TERMINACIONES"))&gt;0,"TERMINACIONES",""))</f>
        <v>ELÉCTRICO, TERMINACIONES</v>
      </c>
      <c r="CV134" s="44" cm="1">
        <f t="array" ref="CV134">SUMPRODUCT(--(BG134:CR134&lt;1))</f>
        <v>24</v>
      </c>
    </row>
    <row r="135" spans="1:100" x14ac:dyDescent="0.25">
      <c r="A135" t="s">
        <v>190</v>
      </c>
      <c r="B135" t="s">
        <v>196</v>
      </c>
      <c r="C135">
        <v>2302600134</v>
      </c>
      <c r="D135" t="s">
        <v>60</v>
      </c>
      <c r="E135" s="2">
        <v>0.53999999999999992</v>
      </c>
      <c r="F135" s="1">
        <v>46199</v>
      </c>
      <c r="G135" s="1">
        <v>46216</v>
      </c>
      <c r="H135" s="1">
        <v>46224</v>
      </c>
      <c r="I135" s="1">
        <v>46231</v>
      </c>
      <c r="J135">
        <v>6</v>
      </c>
      <c r="K135" s="1"/>
      <c r="L135" s="3">
        <v>0.38999999999999996</v>
      </c>
      <c r="M135" s="3">
        <v>0.90697674418604646</v>
      </c>
      <c r="N135" s="3">
        <v>0.27906976744186046</v>
      </c>
      <c r="O135" s="3">
        <v>0.18604651162790697</v>
      </c>
      <c r="P135" s="3">
        <v>0.2558139534883721</v>
      </c>
      <c r="Q135" s="3">
        <v>0.18604651162790697</v>
      </c>
      <c r="R135" s="3">
        <v>0</v>
      </c>
      <c r="S135" s="3">
        <v>3.9999999999999994E-2</v>
      </c>
      <c r="T135" s="3">
        <v>0.44444444444444442</v>
      </c>
      <c r="U135" s="3">
        <v>0.22222222222222221</v>
      </c>
      <c r="V135" s="3">
        <v>0.22222222222222221</v>
      </c>
      <c r="W135" s="3">
        <v>0</v>
      </c>
      <c r="X135" s="3">
        <v>0</v>
      </c>
      <c r="Y135" s="3">
        <v>0</v>
      </c>
      <c r="Z135" s="3">
        <v>0</v>
      </c>
      <c r="AA135" s="3">
        <v>0.03</v>
      </c>
      <c r="AB135" s="3">
        <v>0.27272727272727271</v>
      </c>
      <c r="AC135" s="3">
        <v>0.27272727272727271</v>
      </c>
      <c r="AD135" s="3">
        <v>0</v>
      </c>
      <c r="AE135" s="3">
        <v>0</v>
      </c>
      <c r="AF135" s="3">
        <v>0</v>
      </c>
      <c r="AG135" s="3">
        <v>0</v>
      </c>
      <c r="AH135" s="3">
        <v>7.9999999999999974E-2</v>
      </c>
      <c r="AI135" s="3">
        <v>0.21621621621621614</v>
      </c>
      <c r="AJ135" s="3">
        <v>0</v>
      </c>
      <c r="AK135" s="3">
        <v>5.4054054054054036E-2</v>
      </c>
      <c r="AL135" s="3">
        <v>0</v>
      </c>
      <c r="AM135" s="3">
        <v>8.1081081081081058E-2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2.7027027027027018E-2</v>
      </c>
      <c r="AZ135" s="3">
        <v>0</v>
      </c>
      <c r="BA135" s="3">
        <v>5.4054054054054036E-2</v>
      </c>
      <c r="BB135" s="3">
        <v>0</v>
      </c>
      <c r="BC135" s="3">
        <v>0</v>
      </c>
      <c r="BD135" s="3">
        <v>0</v>
      </c>
      <c r="BE135">
        <v>31.32</v>
      </c>
      <c r="BF135" s="3" t="str">
        <f>+IF(AVANCE[[#This Row],[% AVANCE]]=100%,"MODULO TERMINADO",IF(AVANCE[[#This Row],[FECHA INICIO REAL]]="","MODULO NO INICIADO","PENDIENTE"))</f>
        <v>PENDIENTE</v>
      </c>
      <c r="BG135" s="3">
        <f>+IF(AVANCE[[#This Row],[VENTANAS]]=8.10810810810811%,100%,AVANCE[[#This Row],[VENTANAS]])</f>
        <v>0</v>
      </c>
      <c r="BH135" s="3">
        <f>+IF(AVANCE[[#This Row],[PISO]]=N$2,100%,AVANCE[[#This Row],[PISO]])</f>
        <v>1</v>
      </c>
      <c r="BI135" s="3">
        <f>+IF(AVANCE[[#This Row],[TABIQUES]]=O$2,100%,AVANCE[[#This Row],[TABIQUES]])</f>
        <v>1</v>
      </c>
      <c r="BJ135" s="3">
        <f>+IF(AVANCE[[#This Row],[MUROS]]=P$2,100%,AVANCE[[#This Row],[MUROS]])</f>
        <v>1</v>
      </c>
      <c r="BK135" s="3">
        <f>+IF(AVANCE[[#This Row],[CIELO]]=Q$2,100%,AVANCE[[#This Row],[CIELO]])</f>
        <v>1</v>
      </c>
      <c r="BL135" s="3">
        <f>+IF(AVANCE[[#This Row],[BALCÓN]]=R$2,100%,AVANCE[[#This Row],[BALCÓN]])</f>
        <v>0</v>
      </c>
      <c r="BM135" s="3">
        <f>+IF(AVANCE[[#This Row],[RED ALCANTARILLADO]]=U$2,100%,AVANCE[[#This Row],[RED ALCANTARILLADO]])</f>
        <v>1</v>
      </c>
      <c r="BN135" s="3">
        <f>+IF(AVANCE[[#This Row],[RED DE AGUA]]=V$2,100%,AVANCE[[#This Row],[RED DE AGUA]])</f>
        <v>1</v>
      </c>
      <c r="BO135" s="3">
        <f>+IF(AVANCE[[#This Row],[VENTILACIONES]]=W$2,100%,AVANCE[[#This Row],[VENTILACIONES]])</f>
        <v>0</v>
      </c>
      <c r="BP135" s="3">
        <f>+IF(AVANCE[[#This Row],[TINA]]=X$2,100%,AVANCE[[#This Row],[TINA]])</f>
        <v>0</v>
      </c>
      <c r="BQ135" s="3">
        <f>+IF(AVANCE[[#This Row],[WC]]=Y$2,100%,AVANCE[[#This Row],[WC]])</f>
        <v>0</v>
      </c>
      <c r="BR135" s="3">
        <f>+IF(AVANCE[[#This Row],[LAVAMANOS / LAVAPLATOS / LAVADERO]]=Z$2,100%,AVANCE[[#This Row],[LAVAMANOS / LAVAPLATOS / LAVADERO]])</f>
        <v>0</v>
      </c>
      <c r="BS135" s="3">
        <f>+IF(AVANCE[[#This Row],[CANALIZACIÓN]]=AC$2,100%,AVANCE[[#This Row],[CANALIZACIÓN]])</f>
        <v>1</v>
      </c>
      <c r="BT135" s="3">
        <f>+IF(AVANCE[[#This Row],[CABLEADO]]=AD$2,100%,AVANCE[[#This Row],[CABLEADO]])</f>
        <v>0</v>
      </c>
      <c r="BU135" s="3">
        <f>+IF(AVANCE[[#This Row],[ARTEFACTOS]]=AE$2,100%,AVANCE[[#This Row],[ARTEFACTOS]])</f>
        <v>0</v>
      </c>
      <c r="BV135" s="3">
        <f>+IF(AVANCE[[#This Row],[TABLERO]]=AF$2,100%,AVANCE[[#This Row],[TABLERO]])</f>
        <v>0</v>
      </c>
      <c r="BW135" s="3">
        <f>+IF(AVANCE[[#This Row],[CAJA PAU]]=AG$2,100%,AVANCE[[#This Row],[CAJA PAU]])</f>
        <v>0</v>
      </c>
      <c r="BX135" s="3">
        <f>+IF(AVANCE[[#This Row],[INSTALACION VINILICO]]=AJ$2,100%,AVANCE[[#This Row],[INSTALACION VINILICO]])</f>
        <v>0</v>
      </c>
      <c r="BY135" s="3">
        <f>+IF(AVANCE[[#This Row],[OSB CUBIERTA]]=AK$2,100%,AVANCE[[#This Row],[OSB CUBIERTA]])</f>
        <v>1</v>
      </c>
      <c r="BZ135" s="3">
        <f>+IF(AVANCE[[#This Row],[BARANDA BALCON]]=AL$2,100%,AVANCE[[#This Row],[BARANDA BALCON]])</f>
        <v>0</v>
      </c>
      <c r="CA135" s="3">
        <f>+IF(AVANCE[[#This Row],[OSB EXTERIOR]]=AM$2,100%,AVANCE[[#This Row],[OSB EXTERIOR]])</f>
        <v>1</v>
      </c>
      <c r="CB135" s="3">
        <f>+IF(AVANCE[[#This Row],[SMART PANEL]]=AN$2,100%,AVANCE[[#This Row],[SMART PANEL]])</f>
        <v>0</v>
      </c>
      <c r="CC135" s="3">
        <f>+IF(AVANCE[[#This Row],[PINTURA EXTERIOR]]=AO$2,100%,AVANCE[[#This Row],[PINTURA EXTERIOR]])</f>
        <v>0</v>
      </c>
      <c r="CD135" s="3">
        <f>+IF(AVANCE[[#This Row],[ZOCALOS LOGIA]]=AP$2,100%,AVANCE[[#This Row],[ZOCALOS LOGIA]])</f>
        <v>0</v>
      </c>
      <c r="CE135" s="3">
        <f>+IF(AVANCE[[#This Row],[MOLDURAS]]=AQ$2,100%,AVANCE[[#This Row],[MOLDURAS]])</f>
        <v>0</v>
      </c>
      <c r="CF135" s="3">
        <f>+IF(AVANCE[[#This Row],[PILASTREO]]=AR$2,100%,AVANCE[[#This Row],[PILASTREO]])</f>
        <v>0</v>
      </c>
      <c r="CG135" s="3">
        <f>+IF(AVANCE[[#This Row],[CELOSIAS]]=AS$2,100%,AVANCE[[#This Row],[CELOSIAS]])</f>
        <v>0</v>
      </c>
      <c r="CH135" s="3">
        <f>+IF(AVANCE[[#This Row],[VENTANAS]]=AT$2,100%,AVANCE[[#This Row],[VENTANAS]])</f>
        <v>0</v>
      </c>
      <c r="CI135" s="3">
        <f>+IF(AVANCE[[#This Row],[PUERTAS ACCESO - LOGIA - BANO]]=AU$2,100%,AVANCE[[#This Row],[PUERTAS ACCESO - LOGIA - BANO]])</f>
        <v>0</v>
      </c>
      <c r="CJ135" s="3">
        <f>+IF(AVANCE[[#This Row],[CERRADURAS]]=AV$2,100%,AVANCE[[#This Row],[CERRADURAS]])</f>
        <v>0</v>
      </c>
      <c r="CK135" s="3">
        <f>+IF(AVANCE[[#This Row],[REVESTIMIENTO INTERIOR ZONA SECA]]=AW$2,100%,AVANCE[[#This Row],[REVESTIMIENTO INTERIOR ZONA SECA]])</f>
        <v>0</v>
      </c>
      <c r="CL135" s="3">
        <f>+IF(AVANCE[[#This Row],[REVESTIMIENTO INTERIOR ZONAS HUMEDAS]]=AX$2,100%,AVANCE[[#This Row],[REVESTIMIENTO INTERIOR ZONAS HUMEDAS]])</f>
        <v>0</v>
      </c>
      <c r="CM135" s="3">
        <f>+IF(AVANCE[[#This Row],[MEMBRANA CIELO]]=AY$2,100%,AVANCE[[#This Row],[MEMBRANA CIELO]])</f>
        <v>1</v>
      </c>
      <c r="CN135" s="3">
        <f>+IF(AVANCE[[#This Row],[LIMPIEZA FINAL]]=AZ$2,100%,AVANCE[[#This Row],[LIMPIEZA FINAL]])</f>
        <v>0</v>
      </c>
      <c r="CO135" s="3">
        <f>+IF(AVANCE[[#This Row],[PUERTAS DORMITORIO]]=BA$2,100%,AVANCE[[#This Row],[PUERTAS DORMITORIO]])</f>
        <v>1</v>
      </c>
      <c r="CP135" s="3">
        <f>+IF(AVANCE[[#This Row],[REVESTIMIENTO INTERIOR BANO]]=BB$2,100%,AVANCE[[#This Row],[REVESTIMIENTO INTERIOR BANO]])</f>
        <v>0</v>
      </c>
      <c r="CQ135" s="3">
        <f>+IF(AVANCE[[#This Row],[MUEBLE LAVAPLATOS]]=BC$2,100%,AVANCE[[#This Row],[MUEBLE LAVAPLATOS]])</f>
        <v>0</v>
      </c>
      <c r="CR135" s="3">
        <f>+IF(AVANCE[[#This Row],[IMPERMEABILIZACION BANO - COCINA LOGIA]]=BD$2,100%,AVANCE[[#This Row],[IMPERMEABILIZACION BANO - COCINA LOGIA]])</f>
        <v>0</v>
      </c>
      <c r="CS135" s="40">
        <f ca="1">+IF(AVANCE[[#This Row],[ESTADO MODULO]]="PENDIENTE",(TODAY()-AVANCE[[#This Row],[FECHA TERMINO  PLANIFICADO]]),0)</f>
        <v>-1</v>
      </c>
      <c r="CT135" s="41" t="str" cm="1">
        <f t="array" ref="CT135">_xlfn.TEXTJOIN(" | ",TRUE,IF(SUMPRODUCT((BG135:CR135&lt;1)*(PARTIDAS!$I$2:$AT$2="OBRA GRUESA"))&gt;0,"OBRA GRUESA: "&amp;_xlfn.TEXTJOIN(", ",TRUE,IF((BG135:CR135&lt;1)*(PARTIDAS!$I$2:$AT$2="OBRA GRUESA"),PARTIDAS!$I$1:$AT$1,"")),""),IF(SUMPRODUCT((BG135:CR135&lt;1)*(PARTIDAS!$I$2:$AT$2="SANITARIOS"))&gt;0,"SANITARIOS: "&amp;_xlfn.TEXTJOIN(", ",TRUE,IF((BG135:CR135&lt;1)*(PARTIDAS!$I$2:$AT$2="SANITARIOS"),PARTIDAS!$I$1:$AT$1,"")),""),IF(SUMPRODUCT((BG135:CR135&lt;1)*(PARTIDAS!$I$2:$AT$2="ELÉCTRICO"))&gt;0,"ELÉCTRICO: "&amp;_xlfn.TEXTJOIN(", ",TRUE,IF((BG135:CR135&lt;1)*(PARTIDAS!$I$2:$AT$2="ELÉCTRICO"),PARTIDAS!$I$1:$AT$1,"")),""),IF(SUMPRODUCT((BG135:CR135&lt;1)*(PARTIDAS!$I$2:$AT$2="TERMINACIONES"))&gt;0,"TERMINACIONES: "&amp;_xlfn.TEXTJOIN(", ",TRUE,IF((BG135:CR135&lt;1)*(PARTIDAS!$I$2:$AT$2="TERMINACIONES"),PARTIDAS!$I$1:$AT$1,"")),""))</f>
        <v>OBRA GRUESA: BALCÓN | 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</v>
      </c>
      <c r="CU135" s="43" t="str" cm="1">
        <f t="array" ref="CU135">_xlfn.TEXTJOIN(", ",TRUE,IF(SUMPRODUCT((BG135:CR135&lt;1)*(PARTIDAS!$I$2:$AT$2="OBRA GRUESA"))&gt;0,"OBRA GRUESA",""),IF(SUMPRODUCT((BG135:CR135&lt;1)*(PARTIDAS!$I$2:$AT$2="SANITARIOS"))&gt;0,"SANITARIOS",""),IF(SUMPRODUCT((BG135:CR135&lt;1)*(PARTIDAS!$I$2:$AT$2="ELÉCTRICO"))&gt;0,"ELÉCTRICO",""),IF(SUMPRODUCT((BG135:CR135&lt;1)*(PARTIDAS!$I$2:$AT$2="TERMINACIONES"))&gt;0,"TERMINACIONES",""))</f>
        <v>OBRA GRUESA, SANITARIOS, ELÉCTRICO, TERMINACIONES</v>
      </c>
      <c r="CV135" s="44" cm="1">
        <f t="array" ref="CV135">SUMPRODUCT(--(BG135:CR135&lt;1))</f>
        <v>27</v>
      </c>
    </row>
    <row r="136" spans="1:100" x14ac:dyDescent="0.25">
      <c r="A136" t="s">
        <v>190</v>
      </c>
      <c r="B136" t="s">
        <v>197</v>
      </c>
      <c r="C136">
        <v>2302600135</v>
      </c>
      <c r="D136" t="s">
        <v>60</v>
      </c>
      <c r="E136" s="2">
        <v>0.6399999999999999</v>
      </c>
      <c r="F136" s="1">
        <v>46199</v>
      </c>
      <c r="G136" s="1">
        <v>46212</v>
      </c>
      <c r="H136" s="1">
        <v>46227</v>
      </c>
      <c r="I136" s="1">
        <v>46231</v>
      </c>
      <c r="J136">
        <v>3</v>
      </c>
      <c r="K136" s="1"/>
      <c r="L136" s="3">
        <v>0.43</v>
      </c>
      <c r="M136" s="3">
        <v>1</v>
      </c>
      <c r="N136" s="3">
        <v>0.27906976744186046</v>
      </c>
      <c r="O136" s="3">
        <v>0.18604651162790697</v>
      </c>
      <c r="P136" s="3">
        <v>0.2558139534883721</v>
      </c>
      <c r="Q136" s="3">
        <v>0.18604651162790697</v>
      </c>
      <c r="R136" s="3">
        <v>9.3023255813953487E-2</v>
      </c>
      <c r="S136" s="3">
        <v>3.9999999999999994E-2</v>
      </c>
      <c r="T136" s="3">
        <v>0.44444444444444442</v>
      </c>
      <c r="U136" s="3">
        <v>0.22222222222222221</v>
      </c>
      <c r="V136" s="3">
        <v>0.22222222222222221</v>
      </c>
      <c r="W136" s="3">
        <v>0</v>
      </c>
      <c r="X136" s="3">
        <v>0</v>
      </c>
      <c r="Y136" s="3">
        <v>0</v>
      </c>
      <c r="Z136" s="3">
        <v>0</v>
      </c>
      <c r="AA136" s="3">
        <v>0.03</v>
      </c>
      <c r="AB136" s="3">
        <v>0.27272727272727271</v>
      </c>
      <c r="AC136" s="3">
        <v>0.27272727272727271</v>
      </c>
      <c r="AD136" s="3">
        <v>0</v>
      </c>
      <c r="AE136" s="3">
        <v>0</v>
      </c>
      <c r="AF136" s="3">
        <v>0</v>
      </c>
      <c r="AG136" s="3">
        <v>0</v>
      </c>
      <c r="AH136" s="3">
        <v>0.13999999999999996</v>
      </c>
      <c r="AI136" s="3">
        <v>0.37837837837837829</v>
      </c>
      <c r="AJ136" s="3">
        <v>0</v>
      </c>
      <c r="AK136" s="3">
        <v>5.4054054054054036E-2</v>
      </c>
      <c r="AL136" s="3">
        <v>0</v>
      </c>
      <c r="AM136" s="3">
        <v>8.1081081081081058E-2</v>
      </c>
      <c r="AN136" s="3">
        <v>8.1081081081081058E-2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5.4054054054054036E-2</v>
      </c>
      <c r="AY136" s="3">
        <v>2.7027027027027018E-2</v>
      </c>
      <c r="AZ136" s="3">
        <v>0</v>
      </c>
      <c r="BA136" s="3">
        <v>5.4054054054054036E-2</v>
      </c>
      <c r="BB136" s="3">
        <v>0</v>
      </c>
      <c r="BC136" s="3">
        <v>0</v>
      </c>
      <c r="BD136" s="3">
        <v>2.7027027027027018E-2</v>
      </c>
      <c r="BE136">
        <v>31.32</v>
      </c>
      <c r="BF136" s="3" t="str">
        <f>+IF(AVANCE[[#This Row],[% AVANCE]]=100%,"MODULO TERMINADO",IF(AVANCE[[#This Row],[FECHA INICIO REAL]]="","MODULO NO INICIADO","PENDIENTE"))</f>
        <v>PENDIENTE</v>
      </c>
      <c r="BG136" s="3">
        <f>+IF(AVANCE[[#This Row],[VENTANAS]]=8.10810810810811%,100%,AVANCE[[#This Row],[VENTANAS]])</f>
        <v>0</v>
      </c>
      <c r="BH136" s="3">
        <f>+IF(AVANCE[[#This Row],[PISO]]=N$2,100%,AVANCE[[#This Row],[PISO]])</f>
        <v>1</v>
      </c>
      <c r="BI136" s="3">
        <f>+IF(AVANCE[[#This Row],[TABIQUES]]=O$2,100%,AVANCE[[#This Row],[TABIQUES]])</f>
        <v>1</v>
      </c>
      <c r="BJ136" s="3">
        <f>+IF(AVANCE[[#This Row],[MUROS]]=P$2,100%,AVANCE[[#This Row],[MUROS]])</f>
        <v>1</v>
      </c>
      <c r="BK136" s="3">
        <f>+IF(AVANCE[[#This Row],[CIELO]]=Q$2,100%,AVANCE[[#This Row],[CIELO]])</f>
        <v>1</v>
      </c>
      <c r="BL136" s="3">
        <f>+IF(AVANCE[[#This Row],[BALCÓN]]=R$2,100%,AVANCE[[#This Row],[BALCÓN]])</f>
        <v>1</v>
      </c>
      <c r="BM136" s="3">
        <f>+IF(AVANCE[[#This Row],[RED ALCANTARILLADO]]=U$2,100%,AVANCE[[#This Row],[RED ALCANTARILLADO]])</f>
        <v>1</v>
      </c>
      <c r="BN136" s="3">
        <f>+IF(AVANCE[[#This Row],[RED DE AGUA]]=V$2,100%,AVANCE[[#This Row],[RED DE AGUA]])</f>
        <v>1</v>
      </c>
      <c r="BO136" s="3">
        <f>+IF(AVANCE[[#This Row],[VENTILACIONES]]=W$2,100%,AVANCE[[#This Row],[VENTILACIONES]])</f>
        <v>0</v>
      </c>
      <c r="BP136" s="3">
        <f>+IF(AVANCE[[#This Row],[TINA]]=X$2,100%,AVANCE[[#This Row],[TINA]])</f>
        <v>0</v>
      </c>
      <c r="BQ136" s="3">
        <f>+IF(AVANCE[[#This Row],[WC]]=Y$2,100%,AVANCE[[#This Row],[WC]])</f>
        <v>0</v>
      </c>
      <c r="BR136" s="3">
        <f>+IF(AVANCE[[#This Row],[LAVAMANOS / LAVAPLATOS / LAVADERO]]=Z$2,100%,AVANCE[[#This Row],[LAVAMANOS / LAVAPLATOS / LAVADERO]])</f>
        <v>0</v>
      </c>
      <c r="BS136" s="3">
        <f>+IF(AVANCE[[#This Row],[CANALIZACIÓN]]=AC$2,100%,AVANCE[[#This Row],[CANALIZACIÓN]])</f>
        <v>1</v>
      </c>
      <c r="BT136" s="3">
        <f>+IF(AVANCE[[#This Row],[CABLEADO]]=AD$2,100%,AVANCE[[#This Row],[CABLEADO]])</f>
        <v>0</v>
      </c>
      <c r="BU136" s="3">
        <f>+IF(AVANCE[[#This Row],[ARTEFACTOS]]=AE$2,100%,AVANCE[[#This Row],[ARTEFACTOS]])</f>
        <v>0</v>
      </c>
      <c r="BV136" s="3">
        <f>+IF(AVANCE[[#This Row],[TABLERO]]=AF$2,100%,AVANCE[[#This Row],[TABLERO]])</f>
        <v>0</v>
      </c>
      <c r="BW136" s="3">
        <f>+IF(AVANCE[[#This Row],[CAJA PAU]]=AG$2,100%,AVANCE[[#This Row],[CAJA PAU]])</f>
        <v>0</v>
      </c>
      <c r="BX136" s="3">
        <f>+IF(AVANCE[[#This Row],[INSTALACION VINILICO]]=AJ$2,100%,AVANCE[[#This Row],[INSTALACION VINILICO]])</f>
        <v>0</v>
      </c>
      <c r="BY136" s="3">
        <f>+IF(AVANCE[[#This Row],[OSB CUBIERTA]]=AK$2,100%,AVANCE[[#This Row],[OSB CUBIERTA]])</f>
        <v>1</v>
      </c>
      <c r="BZ136" s="3">
        <f>+IF(AVANCE[[#This Row],[BARANDA BALCON]]=AL$2,100%,AVANCE[[#This Row],[BARANDA BALCON]])</f>
        <v>0</v>
      </c>
      <c r="CA136" s="3">
        <f>+IF(AVANCE[[#This Row],[OSB EXTERIOR]]=AM$2,100%,AVANCE[[#This Row],[OSB EXTERIOR]])</f>
        <v>1</v>
      </c>
      <c r="CB136" s="3">
        <f>+IF(AVANCE[[#This Row],[SMART PANEL]]=AN$2,100%,AVANCE[[#This Row],[SMART PANEL]])</f>
        <v>1</v>
      </c>
      <c r="CC136" s="3">
        <f>+IF(AVANCE[[#This Row],[PINTURA EXTERIOR]]=AO$2,100%,AVANCE[[#This Row],[PINTURA EXTERIOR]])</f>
        <v>0</v>
      </c>
      <c r="CD136" s="3">
        <f>+IF(AVANCE[[#This Row],[ZOCALOS LOGIA]]=AP$2,100%,AVANCE[[#This Row],[ZOCALOS LOGIA]])</f>
        <v>0</v>
      </c>
      <c r="CE136" s="3">
        <f>+IF(AVANCE[[#This Row],[MOLDURAS]]=AQ$2,100%,AVANCE[[#This Row],[MOLDURAS]])</f>
        <v>0</v>
      </c>
      <c r="CF136" s="3">
        <f>+IF(AVANCE[[#This Row],[PILASTREO]]=AR$2,100%,AVANCE[[#This Row],[PILASTREO]])</f>
        <v>0</v>
      </c>
      <c r="CG136" s="3">
        <f>+IF(AVANCE[[#This Row],[CELOSIAS]]=AS$2,100%,AVANCE[[#This Row],[CELOSIAS]])</f>
        <v>0</v>
      </c>
      <c r="CH136" s="3">
        <f>+IF(AVANCE[[#This Row],[VENTANAS]]=AT$2,100%,AVANCE[[#This Row],[VENTANAS]])</f>
        <v>0</v>
      </c>
      <c r="CI136" s="3">
        <f>+IF(AVANCE[[#This Row],[PUERTAS ACCESO - LOGIA - BANO]]=AU$2,100%,AVANCE[[#This Row],[PUERTAS ACCESO - LOGIA - BANO]])</f>
        <v>0</v>
      </c>
      <c r="CJ136" s="3">
        <f>+IF(AVANCE[[#This Row],[CERRADURAS]]=AV$2,100%,AVANCE[[#This Row],[CERRADURAS]])</f>
        <v>0</v>
      </c>
      <c r="CK136" s="3">
        <f>+IF(AVANCE[[#This Row],[REVESTIMIENTO INTERIOR ZONA SECA]]=AW$2,100%,AVANCE[[#This Row],[REVESTIMIENTO INTERIOR ZONA SECA]])</f>
        <v>0</v>
      </c>
      <c r="CL136" s="3">
        <f>+IF(AVANCE[[#This Row],[REVESTIMIENTO INTERIOR ZONAS HUMEDAS]]=AX$2,100%,AVANCE[[#This Row],[REVESTIMIENTO INTERIOR ZONAS HUMEDAS]])</f>
        <v>1</v>
      </c>
      <c r="CM136" s="3">
        <f>+IF(AVANCE[[#This Row],[MEMBRANA CIELO]]=AY$2,100%,AVANCE[[#This Row],[MEMBRANA CIELO]])</f>
        <v>1</v>
      </c>
      <c r="CN136" s="3">
        <f>+IF(AVANCE[[#This Row],[LIMPIEZA FINAL]]=AZ$2,100%,AVANCE[[#This Row],[LIMPIEZA FINAL]])</f>
        <v>0</v>
      </c>
      <c r="CO136" s="3">
        <f>+IF(AVANCE[[#This Row],[PUERTAS DORMITORIO]]=BA$2,100%,AVANCE[[#This Row],[PUERTAS DORMITORIO]])</f>
        <v>1</v>
      </c>
      <c r="CP136" s="3">
        <f>+IF(AVANCE[[#This Row],[REVESTIMIENTO INTERIOR BANO]]=BB$2,100%,AVANCE[[#This Row],[REVESTIMIENTO INTERIOR BANO]])</f>
        <v>0</v>
      </c>
      <c r="CQ136" s="3">
        <f>+IF(AVANCE[[#This Row],[MUEBLE LAVAPLATOS]]=BC$2,100%,AVANCE[[#This Row],[MUEBLE LAVAPLATOS]])</f>
        <v>0</v>
      </c>
      <c r="CR136" s="3">
        <f>+IF(AVANCE[[#This Row],[IMPERMEABILIZACION BANO - COCINA LOGIA]]=BD$2,100%,AVANCE[[#This Row],[IMPERMEABILIZACION BANO - COCINA LOGIA]])</f>
        <v>1</v>
      </c>
      <c r="CS136" s="40">
        <f ca="1">+IF(AVANCE[[#This Row],[ESTADO MODULO]]="PENDIENTE",(TODAY()-AVANCE[[#This Row],[FECHA TERMINO  PLANIFICADO]]),0)</f>
        <v>-1</v>
      </c>
      <c r="CT136" s="41" t="str" cm="1">
        <f t="array" ref="CT136">_xlfn.TEXTJOIN(" | ",TRUE,IF(SUMPRODUCT((BG136:CR136&lt;1)*(PARTIDAS!$I$2:$AT$2="OBRA GRUESA"))&gt;0,"OBRA GRUESA: "&amp;_xlfn.TEXTJOIN(", ",TRUE,IF((BG136:CR136&lt;1)*(PARTIDAS!$I$2:$AT$2="OBRA GRUESA"),PARTIDAS!$I$1:$AT$1,"")),""),IF(SUMPRODUCT((BG136:CR136&lt;1)*(PARTIDAS!$I$2:$AT$2="SANITARIOS"))&gt;0,"SANITARIOS: "&amp;_xlfn.TEXTJOIN(", ",TRUE,IF((BG136:CR136&lt;1)*(PARTIDAS!$I$2:$AT$2="SANITARIOS"),PARTIDAS!$I$1:$AT$1,"")),""),IF(SUMPRODUCT((BG136:CR136&lt;1)*(PARTIDAS!$I$2:$AT$2="ELÉCTRICO"))&gt;0,"ELÉCTRICO: "&amp;_xlfn.TEXTJOIN(", ",TRUE,IF((BG136:CR136&lt;1)*(PARTIDAS!$I$2:$AT$2="ELÉCTRICO"),PARTIDAS!$I$1:$AT$1,"")),""),IF(SUMPRODUCT((BG136:CR136&lt;1)*(PARTIDAS!$I$2:$AT$2="TERMINACIONES"))&gt;0,"TERMINACIONES: "&amp;_xlfn.TEXTJOIN(", ",TRUE,IF((BG136:CR136&lt;1)*(PARTIDAS!$I$2:$AT$2="TERMINACIONES"),PARTIDAS!$I$1:$AT$1,"")),""))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PINTURA EXTERIOR, ZOCALOS LOGIA, MOLDURAS, PILASTREO, CELOSIAS, VENTANAS (TERM), PUERTAS ACCESO - LOGIA - BANO, CERRADURAS, REVESTIMIENTO INTERIOR ZONA SECA, LIMPIEZA FINAL, REVESTIMIENTO INTERIOR BANO, MUEBLE LAVAPLATOS</v>
      </c>
      <c r="CU136" s="43" t="str" cm="1">
        <f t="array" ref="CU136">_xlfn.TEXTJOIN(", ",TRUE,IF(SUMPRODUCT((BG136:CR136&lt;1)*(PARTIDAS!$I$2:$AT$2="OBRA GRUESA"))&gt;0,"OBRA GRUESA",""),IF(SUMPRODUCT((BG136:CR136&lt;1)*(PARTIDAS!$I$2:$AT$2="SANITARIOS"))&gt;0,"SANITARIOS",""),IF(SUMPRODUCT((BG136:CR136&lt;1)*(PARTIDAS!$I$2:$AT$2="ELÉCTRICO"))&gt;0,"ELÉCTRICO",""),IF(SUMPRODUCT((BG136:CR136&lt;1)*(PARTIDAS!$I$2:$AT$2="TERMINACIONES"))&gt;0,"TERMINACIONES",""))</f>
        <v>SANITARIOS, ELÉCTRICO, TERMINACIONES</v>
      </c>
      <c r="CV136" s="44" cm="1">
        <f t="array" ref="CV136">SUMPRODUCT(--(BG136:CR136&lt;1))</f>
        <v>23</v>
      </c>
    </row>
    <row r="137" spans="1:100" x14ac:dyDescent="0.25">
      <c r="A137" t="s">
        <v>190</v>
      </c>
      <c r="B137" t="s">
        <v>198</v>
      </c>
      <c r="C137">
        <v>2282600136</v>
      </c>
      <c r="D137" t="s">
        <v>58</v>
      </c>
      <c r="E137" s="2">
        <v>0.82499999999999984</v>
      </c>
      <c r="F137" s="1">
        <v>46202</v>
      </c>
      <c r="G137" s="1">
        <v>46212</v>
      </c>
      <c r="H137" s="1">
        <v>46227</v>
      </c>
      <c r="I137" s="1">
        <v>46224</v>
      </c>
      <c r="J137">
        <v>3</v>
      </c>
      <c r="K137" s="1"/>
      <c r="L137" s="3">
        <v>0.43</v>
      </c>
      <c r="M137" s="3">
        <v>1</v>
      </c>
      <c r="N137" s="3">
        <v>0.27906976744186046</v>
      </c>
      <c r="O137" s="3">
        <v>0.18604651162790697</v>
      </c>
      <c r="P137" s="3">
        <v>0.2558139534883721</v>
      </c>
      <c r="Q137" s="3">
        <v>0.18604651162790697</v>
      </c>
      <c r="R137" s="3">
        <v>9.3023255813953487E-2</v>
      </c>
      <c r="S137" s="3">
        <v>0.09</v>
      </c>
      <c r="T137" s="3">
        <v>1</v>
      </c>
      <c r="U137" s="3">
        <v>0.22222222222222221</v>
      </c>
      <c r="V137" s="3">
        <v>0.22222222222222221</v>
      </c>
      <c r="W137" s="3">
        <v>0.1111111111111111</v>
      </c>
      <c r="X137" s="3">
        <v>0.1111111111111111</v>
      </c>
      <c r="Y137" s="3">
        <v>0.1111111111111111</v>
      </c>
      <c r="Z137" s="3">
        <v>0.22222222222222221</v>
      </c>
      <c r="AA137" s="3">
        <v>6.9999999999999993E-2</v>
      </c>
      <c r="AB137" s="3">
        <v>0.63636363636363635</v>
      </c>
      <c r="AC137" s="3">
        <v>0.27272727272727271</v>
      </c>
      <c r="AD137" s="3">
        <v>0</v>
      </c>
      <c r="AE137" s="3">
        <v>0</v>
      </c>
      <c r="AF137" s="3">
        <v>0.18181818181818182</v>
      </c>
      <c r="AG137" s="3">
        <v>0.18181818181818182</v>
      </c>
      <c r="AH137" s="3">
        <v>0.2349999999999999</v>
      </c>
      <c r="AI137" s="3">
        <v>0.63513513513513487</v>
      </c>
      <c r="AJ137" s="3">
        <v>5.4054054054054036E-2</v>
      </c>
      <c r="AK137" s="3">
        <v>5.4054054054054036E-2</v>
      </c>
      <c r="AL137" s="3">
        <v>2.7027027027027018E-2</v>
      </c>
      <c r="AM137" s="3">
        <v>8.1081081081081058E-2</v>
      </c>
      <c r="AN137" s="3">
        <v>0</v>
      </c>
      <c r="AO137" s="3">
        <v>0</v>
      </c>
      <c r="AP137" s="3">
        <v>5.4054054054054036E-2</v>
      </c>
      <c r="AQ137" s="3">
        <v>0</v>
      </c>
      <c r="AR137" s="3">
        <v>0</v>
      </c>
      <c r="AS137" s="3">
        <v>0</v>
      </c>
      <c r="AT137" s="3">
        <v>0</v>
      </c>
      <c r="AU137" s="3">
        <v>5.4054054054054036E-2</v>
      </c>
      <c r="AV137" s="3">
        <v>0</v>
      </c>
      <c r="AW137" s="3">
        <v>5.4054054054054036E-2</v>
      </c>
      <c r="AX137" s="3">
        <v>5.4054054054054036E-2</v>
      </c>
      <c r="AY137" s="3">
        <v>2.7027027027027018E-2</v>
      </c>
      <c r="AZ137" s="3">
        <v>0</v>
      </c>
      <c r="BA137" s="3">
        <v>5.4054054054054036E-2</v>
      </c>
      <c r="BB137" s="3">
        <v>8.1081081081081058E-2</v>
      </c>
      <c r="BC137" s="3">
        <v>1.3513513513513509E-2</v>
      </c>
      <c r="BD137" s="3">
        <v>2.7027027027027018E-2</v>
      </c>
      <c r="BE137">
        <v>28.87</v>
      </c>
      <c r="BF137" s="3" t="str">
        <f>+IF(AVANCE[[#This Row],[% AVANCE]]=100%,"MODULO TERMINADO",IF(AVANCE[[#This Row],[FECHA INICIO REAL]]="","MODULO NO INICIADO","PENDIENTE"))</f>
        <v>PENDIENTE</v>
      </c>
      <c r="BG137" s="3">
        <f>+IF(AVANCE[[#This Row],[VENTANAS]]=8.10810810810811%,100%,AVANCE[[#This Row],[VENTANAS]])</f>
        <v>0</v>
      </c>
      <c r="BH137" s="3">
        <f>+IF(AVANCE[[#This Row],[PISO]]=N$2,100%,AVANCE[[#This Row],[PISO]])</f>
        <v>1</v>
      </c>
      <c r="BI137" s="3">
        <f>+IF(AVANCE[[#This Row],[TABIQUES]]=O$2,100%,AVANCE[[#This Row],[TABIQUES]])</f>
        <v>1</v>
      </c>
      <c r="BJ137" s="3">
        <f>+IF(AVANCE[[#This Row],[MUROS]]=P$2,100%,AVANCE[[#This Row],[MUROS]])</f>
        <v>1</v>
      </c>
      <c r="BK137" s="3">
        <f>+IF(AVANCE[[#This Row],[CIELO]]=Q$2,100%,AVANCE[[#This Row],[CIELO]])</f>
        <v>1</v>
      </c>
      <c r="BL137" s="3">
        <f>+IF(AVANCE[[#This Row],[BALCÓN]]=R$2,100%,AVANCE[[#This Row],[BALCÓN]])</f>
        <v>1</v>
      </c>
      <c r="BM137" s="3">
        <f>+IF(AVANCE[[#This Row],[RED ALCANTARILLADO]]=U$2,100%,AVANCE[[#This Row],[RED ALCANTARILLADO]])</f>
        <v>1</v>
      </c>
      <c r="BN137" s="3">
        <f>+IF(AVANCE[[#This Row],[RED DE AGUA]]=V$2,100%,AVANCE[[#This Row],[RED DE AGUA]])</f>
        <v>1</v>
      </c>
      <c r="BO137" s="3">
        <f>+IF(AVANCE[[#This Row],[VENTILACIONES]]=W$2,100%,AVANCE[[#This Row],[VENTILACIONES]])</f>
        <v>1</v>
      </c>
      <c r="BP137" s="3">
        <f>+IF(AVANCE[[#This Row],[TINA]]=X$2,100%,AVANCE[[#This Row],[TINA]])</f>
        <v>1</v>
      </c>
      <c r="BQ137" s="3">
        <f>+IF(AVANCE[[#This Row],[WC]]=Y$2,100%,AVANCE[[#This Row],[WC]])</f>
        <v>1</v>
      </c>
      <c r="BR137" s="3">
        <f>+IF(AVANCE[[#This Row],[LAVAMANOS / LAVAPLATOS / LAVADERO]]=Z$2,100%,AVANCE[[#This Row],[LAVAMANOS / LAVAPLATOS / LAVADERO]])</f>
        <v>1</v>
      </c>
      <c r="BS137" s="3">
        <f>+IF(AVANCE[[#This Row],[CANALIZACIÓN]]=AC$2,100%,AVANCE[[#This Row],[CANALIZACIÓN]])</f>
        <v>1</v>
      </c>
      <c r="BT137" s="3">
        <f>+IF(AVANCE[[#This Row],[CABLEADO]]=AD$2,100%,AVANCE[[#This Row],[CABLEADO]])</f>
        <v>0</v>
      </c>
      <c r="BU137" s="3">
        <f>+IF(AVANCE[[#This Row],[ARTEFACTOS]]=AE$2,100%,AVANCE[[#This Row],[ARTEFACTOS]])</f>
        <v>0</v>
      </c>
      <c r="BV137" s="3">
        <f>+IF(AVANCE[[#This Row],[TABLERO]]=AF$2,100%,AVANCE[[#This Row],[TABLERO]])</f>
        <v>1</v>
      </c>
      <c r="BW137" s="3">
        <f>+IF(AVANCE[[#This Row],[CAJA PAU]]=AG$2,100%,AVANCE[[#This Row],[CAJA PAU]])</f>
        <v>1</v>
      </c>
      <c r="BX137" s="3">
        <f>+IF(AVANCE[[#This Row],[INSTALACION VINILICO]]=AJ$2,100%,AVANCE[[#This Row],[INSTALACION VINILICO]])</f>
        <v>1</v>
      </c>
      <c r="BY137" s="3">
        <f>+IF(AVANCE[[#This Row],[OSB CUBIERTA]]=AK$2,100%,AVANCE[[#This Row],[OSB CUBIERTA]])</f>
        <v>1</v>
      </c>
      <c r="BZ137" s="3">
        <f>+IF(AVANCE[[#This Row],[BARANDA BALCON]]=AL$2,100%,AVANCE[[#This Row],[BARANDA BALCON]])</f>
        <v>1</v>
      </c>
      <c r="CA137" s="3">
        <f>+IF(AVANCE[[#This Row],[OSB EXTERIOR]]=AM$2,100%,AVANCE[[#This Row],[OSB EXTERIOR]])</f>
        <v>1</v>
      </c>
      <c r="CB137" s="3">
        <f>+IF(AVANCE[[#This Row],[SMART PANEL]]=AN$2,100%,AVANCE[[#This Row],[SMART PANEL]])</f>
        <v>0</v>
      </c>
      <c r="CC137" s="3">
        <f>+IF(AVANCE[[#This Row],[PINTURA EXTERIOR]]=AO$2,100%,AVANCE[[#This Row],[PINTURA EXTERIOR]])</f>
        <v>0</v>
      </c>
      <c r="CD137" s="3">
        <f>+IF(AVANCE[[#This Row],[ZOCALOS LOGIA]]=AP$2,100%,AVANCE[[#This Row],[ZOCALOS LOGIA]])</f>
        <v>1</v>
      </c>
      <c r="CE137" s="3">
        <f>+IF(AVANCE[[#This Row],[MOLDURAS]]=AQ$2,100%,AVANCE[[#This Row],[MOLDURAS]])</f>
        <v>0</v>
      </c>
      <c r="CF137" s="3">
        <f>+IF(AVANCE[[#This Row],[PILASTREO]]=AR$2,100%,AVANCE[[#This Row],[PILASTREO]])</f>
        <v>0</v>
      </c>
      <c r="CG137" s="3">
        <f>+IF(AVANCE[[#This Row],[CELOSIAS]]=AS$2,100%,AVANCE[[#This Row],[CELOSIAS]])</f>
        <v>0</v>
      </c>
      <c r="CH137" s="3">
        <f>+IF(AVANCE[[#This Row],[VENTANAS]]=AT$2,100%,AVANCE[[#This Row],[VENTANAS]])</f>
        <v>0</v>
      </c>
      <c r="CI137" s="3">
        <f>+IF(AVANCE[[#This Row],[PUERTAS ACCESO - LOGIA - BANO]]=AU$2,100%,AVANCE[[#This Row],[PUERTAS ACCESO - LOGIA - BANO]])</f>
        <v>1</v>
      </c>
      <c r="CJ137" s="3">
        <f>+IF(AVANCE[[#This Row],[CERRADURAS]]=AV$2,100%,AVANCE[[#This Row],[CERRADURAS]])</f>
        <v>0</v>
      </c>
      <c r="CK137" s="3">
        <f>+IF(AVANCE[[#This Row],[REVESTIMIENTO INTERIOR ZONA SECA]]=AW$2,100%,AVANCE[[#This Row],[REVESTIMIENTO INTERIOR ZONA SECA]])</f>
        <v>1</v>
      </c>
      <c r="CL137" s="3">
        <f>+IF(AVANCE[[#This Row],[REVESTIMIENTO INTERIOR ZONAS HUMEDAS]]=AX$2,100%,AVANCE[[#This Row],[REVESTIMIENTO INTERIOR ZONAS HUMEDAS]])</f>
        <v>1</v>
      </c>
      <c r="CM137" s="3">
        <f>+IF(AVANCE[[#This Row],[MEMBRANA CIELO]]=AY$2,100%,AVANCE[[#This Row],[MEMBRANA CIELO]])</f>
        <v>1</v>
      </c>
      <c r="CN137" s="3">
        <f>+IF(AVANCE[[#This Row],[LIMPIEZA FINAL]]=AZ$2,100%,AVANCE[[#This Row],[LIMPIEZA FINAL]])</f>
        <v>0</v>
      </c>
      <c r="CO137" s="3">
        <f>+IF(AVANCE[[#This Row],[PUERTAS DORMITORIO]]=BA$2,100%,AVANCE[[#This Row],[PUERTAS DORMITORIO]])</f>
        <v>1</v>
      </c>
      <c r="CP137" s="3">
        <f>+IF(AVANCE[[#This Row],[REVESTIMIENTO INTERIOR BANO]]=BB$2,100%,AVANCE[[#This Row],[REVESTIMIENTO INTERIOR BANO]])</f>
        <v>1</v>
      </c>
      <c r="CQ137" s="3">
        <f>+IF(AVANCE[[#This Row],[MUEBLE LAVAPLATOS]]=BC$2,100%,AVANCE[[#This Row],[MUEBLE LAVAPLATOS]])</f>
        <v>1</v>
      </c>
      <c r="CR137" s="3">
        <f>+IF(AVANCE[[#This Row],[IMPERMEABILIZACION BANO - COCINA LOGIA]]=BD$2,100%,AVANCE[[#This Row],[IMPERMEABILIZACION BANO - COCINA LOGIA]])</f>
        <v>1</v>
      </c>
      <c r="CS137" s="40">
        <f ca="1">+IF(AVANCE[[#This Row],[ESTADO MODULO]]="PENDIENTE",(TODAY()-AVANCE[[#This Row],[FECHA TERMINO  PLANIFICADO]]),0)</f>
        <v>6</v>
      </c>
      <c r="CT137" s="41" t="str" cm="1">
        <f t="array" ref="CT137">_xlfn.TEXTJOIN(" | ",TRUE,IF(SUMPRODUCT((BG137:CR137&lt;1)*(PARTIDAS!$I$2:$AT$2="OBRA GRUESA"))&gt;0,"OBRA GRUESA: "&amp;_xlfn.TEXTJOIN(", ",TRUE,IF((BG137:CR137&lt;1)*(PARTIDAS!$I$2:$AT$2="OBRA GRUESA"),PARTIDAS!$I$1:$AT$1,"")),""),IF(SUMPRODUCT((BG137:CR137&lt;1)*(PARTIDAS!$I$2:$AT$2="SANITARIOS"))&gt;0,"SANITARIOS: "&amp;_xlfn.TEXTJOIN(", ",TRUE,IF((BG137:CR137&lt;1)*(PARTIDAS!$I$2:$AT$2="SANITARIOS"),PARTIDAS!$I$1:$AT$1,"")),""),IF(SUMPRODUCT((BG137:CR137&lt;1)*(PARTIDAS!$I$2:$AT$2="ELÉCTRICO"))&gt;0,"ELÉCTRICO: "&amp;_xlfn.TEXTJOIN(", ",TRUE,IF((BG137:CR137&lt;1)*(PARTIDAS!$I$2:$AT$2="ELÉCTRICO"),PARTIDAS!$I$1:$AT$1,"")),""),IF(SUMPRODUCT((BG137:CR137&lt;1)*(PARTIDAS!$I$2:$AT$2="TERMINACIONES"))&gt;0,"TERMINACIONES: "&amp;_xlfn.TEXTJOIN(", ",TRUE,IF((BG137:CR137&lt;1)*(PARTIDAS!$I$2:$AT$2="TERMINACIONES"),PARTIDAS!$I$1:$AT$1,"")),""))</f>
        <v>ELÉCTRICO: CABLEADO, ARTEFACTOS | TERMINACIONES: VENTANAS, SMART PANEL, PINTURA EXTERIOR, MOLDURAS, PILASTREO, CELOSIAS, VENTANAS (TERM), CERRADURAS, LIMPIEZA FINAL</v>
      </c>
      <c r="CU137" s="43" t="str" cm="1">
        <f t="array" ref="CU137">_xlfn.TEXTJOIN(", ",TRUE,IF(SUMPRODUCT((BG137:CR137&lt;1)*(PARTIDAS!$I$2:$AT$2="OBRA GRUESA"))&gt;0,"OBRA GRUESA",""),IF(SUMPRODUCT((BG137:CR137&lt;1)*(PARTIDAS!$I$2:$AT$2="SANITARIOS"))&gt;0,"SANITARIOS",""),IF(SUMPRODUCT((BG137:CR137&lt;1)*(PARTIDAS!$I$2:$AT$2="ELÉCTRICO"))&gt;0,"ELÉCTRICO",""),IF(SUMPRODUCT((BG137:CR137&lt;1)*(PARTIDAS!$I$2:$AT$2="TERMINACIONES"))&gt;0,"TERMINACIONES",""))</f>
        <v>ELÉCTRICO, TERMINACIONES</v>
      </c>
      <c r="CV137" s="44" cm="1">
        <f t="array" ref="CV137">SUMPRODUCT(--(BG137:CR137&lt;1))</f>
        <v>11</v>
      </c>
    </row>
    <row r="138" spans="1:100" x14ac:dyDescent="0.25">
      <c r="A138" t="s">
        <v>190</v>
      </c>
      <c r="B138" t="s">
        <v>199</v>
      </c>
      <c r="C138">
        <v>2282600137</v>
      </c>
      <c r="D138" t="s">
        <v>58</v>
      </c>
      <c r="E138" s="2">
        <v>0.38999999999999996</v>
      </c>
      <c r="F138" s="1">
        <v>46202</v>
      </c>
      <c r="G138" s="1">
        <v>46218</v>
      </c>
      <c r="H138" s="1">
        <v>46223</v>
      </c>
      <c r="I138" s="1">
        <v>46224</v>
      </c>
      <c r="J138">
        <v>7</v>
      </c>
      <c r="K138" s="1"/>
      <c r="L138" s="3">
        <v>0.38999999999999996</v>
      </c>
      <c r="M138" s="3">
        <v>0.90697674418604646</v>
      </c>
      <c r="N138" s="3">
        <v>0.27906976744186046</v>
      </c>
      <c r="O138" s="3">
        <v>0.18604651162790697</v>
      </c>
      <c r="P138" s="3">
        <v>0.2558139534883721</v>
      </c>
      <c r="Q138" s="3">
        <v>0.18604651162790697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>
        <v>28.87</v>
      </c>
      <c r="BF138" s="3" t="str">
        <f>+IF(AVANCE[[#This Row],[% AVANCE]]=100%,"MODULO TERMINADO",IF(AVANCE[[#This Row],[FECHA INICIO REAL]]="","MODULO NO INICIADO","PENDIENTE"))</f>
        <v>PENDIENTE</v>
      </c>
      <c r="BG138" s="3">
        <f>+IF(AVANCE[[#This Row],[VENTANAS]]=8.10810810810811%,100%,AVANCE[[#This Row],[VENTANAS]])</f>
        <v>0</v>
      </c>
      <c r="BH138" s="3">
        <f>+IF(AVANCE[[#This Row],[PISO]]=N$2,100%,AVANCE[[#This Row],[PISO]])</f>
        <v>1</v>
      </c>
      <c r="BI138" s="3">
        <f>+IF(AVANCE[[#This Row],[TABIQUES]]=O$2,100%,AVANCE[[#This Row],[TABIQUES]])</f>
        <v>1</v>
      </c>
      <c r="BJ138" s="3">
        <f>+IF(AVANCE[[#This Row],[MUROS]]=P$2,100%,AVANCE[[#This Row],[MUROS]])</f>
        <v>1</v>
      </c>
      <c r="BK138" s="3">
        <f>+IF(AVANCE[[#This Row],[CIELO]]=Q$2,100%,AVANCE[[#This Row],[CIELO]])</f>
        <v>1</v>
      </c>
      <c r="BL138" s="3">
        <f>+IF(AVANCE[[#This Row],[BALCÓN]]=R$2,100%,AVANCE[[#This Row],[BALCÓN]])</f>
        <v>0</v>
      </c>
      <c r="BM138" s="3">
        <f>+IF(AVANCE[[#This Row],[RED ALCANTARILLADO]]=U$2,100%,AVANCE[[#This Row],[RED ALCANTARILLADO]])</f>
        <v>0</v>
      </c>
      <c r="BN138" s="3">
        <f>+IF(AVANCE[[#This Row],[RED DE AGUA]]=V$2,100%,AVANCE[[#This Row],[RED DE AGUA]])</f>
        <v>0</v>
      </c>
      <c r="BO138" s="3">
        <f>+IF(AVANCE[[#This Row],[VENTILACIONES]]=W$2,100%,AVANCE[[#This Row],[VENTILACIONES]])</f>
        <v>0</v>
      </c>
      <c r="BP138" s="3">
        <f>+IF(AVANCE[[#This Row],[TINA]]=X$2,100%,AVANCE[[#This Row],[TINA]])</f>
        <v>0</v>
      </c>
      <c r="BQ138" s="3">
        <f>+IF(AVANCE[[#This Row],[WC]]=Y$2,100%,AVANCE[[#This Row],[WC]])</f>
        <v>0</v>
      </c>
      <c r="BR138" s="3">
        <f>+IF(AVANCE[[#This Row],[LAVAMANOS / LAVAPLATOS / LAVADERO]]=Z$2,100%,AVANCE[[#This Row],[LAVAMANOS / LAVAPLATOS / LAVADERO]])</f>
        <v>0</v>
      </c>
      <c r="BS138" s="3">
        <f>+IF(AVANCE[[#This Row],[CANALIZACIÓN]]=AC$2,100%,AVANCE[[#This Row],[CANALIZACIÓN]])</f>
        <v>0</v>
      </c>
      <c r="BT138" s="3">
        <f>+IF(AVANCE[[#This Row],[CABLEADO]]=AD$2,100%,AVANCE[[#This Row],[CABLEADO]])</f>
        <v>0</v>
      </c>
      <c r="BU138" s="3">
        <f>+IF(AVANCE[[#This Row],[ARTEFACTOS]]=AE$2,100%,AVANCE[[#This Row],[ARTEFACTOS]])</f>
        <v>0</v>
      </c>
      <c r="BV138" s="3">
        <f>+IF(AVANCE[[#This Row],[TABLERO]]=AF$2,100%,AVANCE[[#This Row],[TABLERO]])</f>
        <v>0</v>
      </c>
      <c r="BW138" s="3">
        <f>+IF(AVANCE[[#This Row],[CAJA PAU]]=AG$2,100%,AVANCE[[#This Row],[CAJA PAU]])</f>
        <v>0</v>
      </c>
      <c r="BX138" s="3">
        <f>+IF(AVANCE[[#This Row],[INSTALACION VINILICO]]=AJ$2,100%,AVANCE[[#This Row],[INSTALACION VINILICO]])</f>
        <v>0</v>
      </c>
      <c r="BY138" s="3">
        <f>+IF(AVANCE[[#This Row],[OSB CUBIERTA]]=AK$2,100%,AVANCE[[#This Row],[OSB CUBIERTA]])</f>
        <v>0</v>
      </c>
      <c r="BZ138" s="3">
        <f>+IF(AVANCE[[#This Row],[BARANDA BALCON]]=AL$2,100%,AVANCE[[#This Row],[BARANDA BALCON]])</f>
        <v>0</v>
      </c>
      <c r="CA138" s="3">
        <f>+IF(AVANCE[[#This Row],[OSB EXTERIOR]]=AM$2,100%,AVANCE[[#This Row],[OSB EXTERIOR]])</f>
        <v>0</v>
      </c>
      <c r="CB138" s="3">
        <f>+IF(AVANCE[[#This Row],[SMART PANEL]]=AN$2,100%,AVANCE[[#This Row],[SMART PANEL]])</f>
        <v>0</v>
      </c>
      <c r="CC138" s="3">
        <f>+IF(AVANCE[[#This Row],[PINTURA EXTERIOR]]=AO$2,100%,AVANCE[[#This Row],[PINTURA EXTERIOR]])</f>
        <v>0</v>
      </c>
      <c r="CD138" s="3">
        <f>+IF(AVANCE[[#This Row],[ZOCALOS LOGIA]]=AP$2,100%,AVANCE[[#This Row],[ZOCALOS LOGIA]])</f>
        <v>0</v>
      </c>
      <c r="CE138" s="3">
        <f>+IF(AVANCE[[#This Row],[MOLDURAS]]=AQ$2,100%,AVANCE[[#This Row],[MOLDURAS]])</f>
        <v>0</v>
      </c>
      <c r="CF138" s="3">
        <f>+IF(AVANCE[[#This Row],[PILASTREO]]=AR$2,100%,AVANCE[[#This Row],[PILASTREO]])</f>
        <v>0</v>
      </c>
      <c r="CG138" s="3">
        <f>+IF(AVANCE[[#This Row],[CELOSIAS]]=AS$2,100%,AVANCE[[#This Row],[CELOSIAS]])</f>
        <v>0</v>
      </c>
      <c r="CH138" s="3">
        <f>+IF(AVANCE[[#This Row],[VENTANAS]]=AT$2,100%,AVANCE[[#This Row],[VENTANAS]])</f>
        <v>0</v>
      </c>
      <c r="CI138" s="3">
        <f>+IF(AVANCE[[#This Row],[PUERTAS ACCESO - LOGIA - BANO]]=AU$2,100%,AVANCE[[#This Row],[PUERTAS ACCESO - LOGIA - BANO]])</f>
        <v>0</v>
      </c>
      <c r="CJ138" s="3">
        <f>+IF(AVANCE[[#This Row],[CERRADURAS]]=AV$2,100%,AVANCE[[#This Row],[CERRADURAS]])</f>
        <v>0</v>
      </c>
      <c r="CK138" s="3">
        <f>+IF(AVANCE[[#This Row],[REVESTIMIENTO INTERIOR ZONA SECA]]=AW$2,100%,AVANCE[[#This Row],[REVESTIMIENTO INTERIOR ZONA SECA]])</f>
        <v>0</v>
      </c>
      <c r="CL138" s="3">
        <f>+IF(AVANCE[[#This Row],[REVESTIMIENTO INTERIOR ZONAS HUMEDAS]]=AX$2,100%,AVANCE[[#This Row],[REVESTIMIENTO INTERIOR ZONAS HUMEDAS]])</f>
        <v>0</v>
      </c>
      <c r="CM138" s="3">
        <f>+IF(AVANCE[[#This Row],[MEMBRANA CIELO]]=AY$2,100%,AVANCE[[#This Row],[MEMBRANA CIELO]])</f>
        <v>0</v>
      </c>
      <c r="CN138" s="3">
        <f>+IF(AVANCE[[#This Row],[LIMPIEZA FINAL]]=AZ$2,100%,AVANCE[[#This Row],[LIMPIEZA FINAL]])</f>
        <v>0</v>
      </c>
      <c r="CO138" s="3">
        <f>+IF(AVANCE[[#This Row],[PUERTAS DORMITORIO]]=BA$2,100%,AVANCE[[#This Row],[PUERTAS DORMITORIO]])</f>
        <v>0</v>
      </c>
      <c r="CP138" s="3">
        <f>+IF(AVANCE[[#This Row],[REVESTIMIENTO INTERIOR BANO]]=BB$2,100%,AVANCE[[#This Row],[REVESTIMIENTO INTERIOR BANO]])</f>
        <v>0</v>
      </c>
      <c r="CQ138" s="3">
        <f>+IF(AVANCE[[#This Row],[MUEBLE LAVAPLATOS]]=BC$2,100%,AVANCE[[#This Row],[MUEBLE LAVAPLATOS]])</f>
        <v>0</v>
      </c>
      <c r="CR138" s="3">
        <f>+IF(AVANCE[[#This Row],[IMPERMEABILIZACION BANO - COCINA LOGIA]]=BD$2,100%,AVANCE[[#This Row],[IMPERMEABILIZACION BANO - COCINA LOGIA]])</f>
        <v>0</v>
      </c>
      <c r="CS138" s="40">
        <f ca="1">+IF(AVANCE[[#This Row],[ESTADO MODULO]]="PENDIENTE",(TODAY()-AVANCE[[#This Row],[FECHA TERMINO  PLANIFICADO]]),0)</f>
        <v>6</v>
      </c>
      <c r="CT138" s="41" t="str" cm="1">
        <f t="array" ref="CT138">_xlfn.TEXTJOIN(" | ",TRUE,IF(SUMPRODUCT((BG138:CR138&lt;1)*(PARTIDAS!$I$2:$AT$2="OBRA GRUESA"))&gt;0,"OBRA GRUESA: "&amp;_xlfn.TEXTJOIN(", ",TRUE,IF((BG138:CR138&lt;1)*(PARTIDAS!$I$2:$AT$2="OBRA GRUESA"),PARTIDAS!$I$1:$AT$1,"")),""),IF(SUMPRODUCT((BG138:CR138&lt;1)*(PARTIDAS!$I$2:$AT$2="SANITARIOS"))&gt;0,"SANITARIOS: "&amp;_xlfn.TEXTJOIN(", ",TRUE,IF((BG138:CR138&lt;1)*(PARTIDAS!$I$2:$AT$2="SANITARIOS"),PARTIDAS!$I$1:$AT$1,"")),""),IF(SUMPRODUCT((BG138:CR138&lt;1)*(PARTIDAS!$I$2:$AT$2="ELÉCTRICO"))&gt;0,"ELÉCTRICO: "&amp;_xlfn.TEXTJOIN(", ",TRUE,IF((BG138:CR138&lt;1)*(PARTIDAS!$I$2:$AT$2="ELÉCTRICO"),PARTIDAS!$I$1:$AT$1,"")),""),IF(SUMPRODUCT((BG138:CR138&lt;1)*(PARTIDAS!$I$2:$AT$2="TERMINACIONES"))&gt;0,"TERMINACIONES: "&amp;_xlfn.TEXTJOIN(", ",TRUE,IF((BG138:CR138&lt;1)*(PARTIDAS!$I$2:$AT$2="TERMINACIONES"),PARTIDAS!$I$1:$AT$1,"")),""))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38" s="43" t="str" cm="1">
        <f t="array" ref="CU138">_xlfn.TEXTJOIN(", ",TRUE,IF(SUMPRODUCT((BG138:CR138&lt;1)*(PARTIDAS!$I$2:$AT$2="OBRA GRUESA"))&gt;0,"OBRA GRUESA",""),IF(SUMPRODUCT((BG138:CR138&lt;1)*(PARTIDAS!$I$2:$AT$2="SANITARIOS"))&gt;0,"SANITARIOS",""),IF(SUMPRODUCT((BG138:CR138&lt;1)*(PARTIDAS!$I$2:$AT$2="ELÉCTRICO"))&gt;0,"ELÉCTRICO",""),IF(SUMPRODUCT((BG138:CR138&lt;1)*(PARTIDAS!$I$2:$AT$2="TERMINACIONES"))&gt;0,"TERMINACIONES",""))</f>
        <v>OBRA GRUESA, SANITARIOS, ELÉCTRICO, TERMINACIONES</v>
      </c>
      <c r="CV138" s="44" cm="1">
        <f t="array" ref="CV138">SUMPRODUCT(--(BG138:CR138&lt;1))</f>
        <v>34</v>
      </c>
    </row>
    <row r="139" spans="1:100" x14ac:dyDescent="0.25">
      <c r="A139" t="s">
        <v>190</v>
      </c>
      <c r="B139" t="s">
        <v>200</v>
      </c>
      <c r="C139">
        <v>2302600138</v>
      </c>
      <c r="D139" t="s">
        <v>60</v>
      </c>
      <c r="E139" s="2">
        <v>0.53</v>
      </c>
      <c r="F139" s="1">
        <v>46202</v>
      </c>
      <c r="G139" s="1">
        <v>46217</v>
      </c>
      <c r="H139" s="1">
        <v>46225</v>
      </c>
      <c r="I139" s="1">
        <v>46234</v>
      </c>
      <c r="J139">
        <v>5</v>
      </c>
      <c r="K139" s="1"/>
      <c r="L139" s="3">
        <v>0.43</v>
      </c>
      <c r="M139" s="3">
        <v>1</v>
      </c>
      <c r="N139" s="3">
        <v>0.27906976744186046</v>
      </c>
      <c r="O139" s="3">
        <v>0.18604651162790697</v>
      </c>
      <c r="P139" s="3">
        <v>0.2558139534883721</v>
      </c>
      <c r="Q139" s="3">
        <v>0.18604651162790697</v>
      </c>
      <c r="R139" s="3">
        <v>9.3023255813953487E-2</v>
      </c>
      <c r="S139" s="3">
        <v>3.9999999999999994E-2</v>
      </c>
      <c r="T139" s="3">
        <v>0.44444444444444442</v>
      </c>
      <c r="U139" s="3">
        <v>0.22222222222222221</v>
      </c>
      <c r="V139" s="3">
        <v>0.22222222222222221</v>
      </c>
      <c r="W139" s="3">
        <v>0</v>
      </c>
      <c r="X139" s="3">
        <v>0</v>
      </c>
      <c r="Y139" s="3">
        <v>0</v>
      </c>
      <c r="Z139" s="3">
        <v>0</v>
      </c>
      <c r="AA139" s="3">
        <v>0.03</v>
      </c>
      <c r="AB139" s="3">
        <v>0.27272727272727271</v>
      </c>
      <c r="AC139" s="3">
        <v>0.27272727272727271</v>
      </c>
      <c r="AD139" s="3">
        <v>0</v>
      </c>
      <c r="AE139" s="3">
        <v>0</v>
      </c>
      <c r="AF139" s="3">
        <v>0</v>
      </c>
      <c r="AG139" s="3">
        <v>0</v>
      </c>
      <c r="AH139" s="3">
        <v>2.9999999999999992E-2</v>
      </c>
      <c r="AI139" s="3">
        <v>8.1081081081081058E-2</v>
      </c>
      <c r="AJ139" s="3">
        <v>0</v>
      </c>
      <c r="AK139" s="3">
        <v>0</v>
      </c>
      <c r="AL139" s="3">
        <v>0</v>
      </c>
      <c r="AM139" s="3">
        <v>8.1081081081081058E-2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>
        <v>31.32</v>
      </c>
      <c r="BF139" s="3" t="str">
        <f>+IF(AVANCE[[#This Row],[% AVANCE]]=100%,"MODULO TERMINADO",IF(AVANCE[[#This Row],[FECHA INICIO REAL]]="","MODULO NO INICIADO","PENDIENTE"))</f>
        <v>PENDIENTE</v>
      </c>
      <c r="BG139" s="3">
        <f>+IF(AVANCE[[#This Row],[VENTANAS]]=8.10810810810811%,100%,AVANCE[[#This Row],[VENTANAS]])</f>
        <v>0</v>
      </c>
      <c r="BH139" s="3">
        <f>+IF(AVANCE[[#This Row],[PISO]]=N$2,100%,AVANCE[[#This Row],[PISO]])</f>
        <v>1</v>
      </c>
      <c r="BI139" s="3">
        <f>+IF(AVANCE[[#This Row],[TABIQUES]]=O$2,100%,AVANCE[[#This Row],[TABIQUES]])</f>
        <v>1</v>
      </c>
      <c r="BJ139" s="3">
        <f>+IF(AVANCE[[#This Row],[MUROS]]=P$2,100%,AVANCE[[#This Row],[MUROS]])</f>
        <v>1</v>
      </c>
      <c r="BK139" s="3">
        <f>+IF(AVANCE[[#This Row],[CIELO]]=Q$2,100%,AVANCE[[#This Row],[CIELO]])</f>
        <v>1</v>
      </c>
      <c r="BL139" s="3">
        <f>+IF(AVANCE[[#This Row],[BALCÓN]]=R$2,100%,AVANCE[[#This Row],[BALCÓN]])</f>
        <v>1</v>
      </c>
      <c r="BM139" s="3">
        <f>+IF(AVANCE[[#This Row],[RED ALCANTARILLADO]]=U$2,100%,AVANCE[[#This Row],[RED ALCANTARILLADO]])</f>
        <v>1</v>
      </c>
      <c r="BN139" s="3">
        <f>+IF(AVANCE[[#This Row],[RED DE AGUA]]=V$2,100%,AVANCE[[#This Row],[RED DE AGUA]])</f>
        <v>1</v>
      </c>
      <c r="BO139" s="3">
        <f>+IF(AVANCE[[#This Row],[VENTILACIONES]]=W$2,100%,AVANCE[[#This Row],[VENTILACIONES]])</f>
        <v>0</v>
      </c>
      <c r="BP139" s="3">
        <f>+IF(AVANCE[[#This Row],[TINA]]=X$2,100%,AVANCE[[#This Row],[TINA]])</f>
        <v>0</v>
      </c>
      <c r="BQ139" s="3">
        <f>+IF(AVANCE[[#This Row],[WC]]=Y$2,100%,AVANCE[[#This Row],[WC]])</f>
        <v>0</v>
      </c>
      <c r="BR139" s="3">
        <f>+IF(AVANCE[[#This Row],[LAVAMANOS / LAVAPLATOS / LAVADERO]]=Z$2,100%,AVANCE[[#This Row],[LAVAMANOS / LAVAPLATOS / LAVADERO]])</f>
        <v>0</v>
      </c>
      <c r="BS139" s="3">
        <f>+IF(AVANCE[[#This Row],[CANALIZACIÓN]]=AC$2,100%,AVANCE[[#This Row],[CANALIZACIÓN]])</f>
        <v>1</v>
      </c>
      <c r="BT139" s="3">
        <f>+IF(AVANCE[[#This Row],[CABLEADO]]=AD$2,100%,AVANCE[[#This Row],[CABLEADO]])</f>
        <v>0</v>
      </c>
      <c r="BU139" s="3">
        <f>+IF(AVANCE[[#This Row],[ARTEFACTOS]]=AE$2,100%,AVANCE[[#This Row],[ARTEFACTOS]])</f>
        <v>0</v>
      </c>
      <c r="BV139" s="3">
        <f>+IF(AVANCE[[#This Row],[TABLERO]]=AF$2,100%,AVANCE[[#This Row],[TABLERO]])</f>
        <v>0</v>
      </c>
      <c r="BW139" s="3">
        <f>+IF(AVANCE[[#This Row],[CAJA PAU]]=AG$2,100%,AVANCE[[#This Row],[CAJA PAU]])</f>
        <v>0</v>
      </c>
      <c r="BX139" s="3">
        <f>+IF(AVANCE[[#This Row],[INSTALACION VINILICO]]=AJ$2,100%,AVANCE[[#This Row],[INSTALACION VINILICO]])</f>
        <v>0</v>
      </c>
      <c r="BY139" s="3">
        <f>+IF(AVANCE[[#This Row],[OSB CUBIERTA]]=AK$2,100%,AVANCE[[#This Row],[OSB CUBIERTA]])</f>
        <v>0</v>
      </c>
      <c r="BZ139" s="3">
        <f>+IF(AVANCE[[#This Row],[BARANDA BALCON]]=AL$2,100%,AVANCE[[#This Row],[BARANDA BALCON]])</f>
        <v>0</v>
      </c>
      <c r="CA139" s="3">
        <f>+IF(AVANCE[[#This Row],[OSB EXTERIOR]]=AM$2,100%,AVANCE[[#This Row],[OSB EXTERIOR]])</f>
        <v>1</v>
      </c>
      <c r="CB139" s="3">
        <f>+IF(AVANCE[[#This Row],[SMART PANEL]]=AN$2,100%,AVANCE[[#This Row],[SMART PANEL]])</f>
        <v>0</v>
      </c>
      <c r="CC139" s="3">
        <f>+IF(AVANCE[[#This Row],[PINTURA EXTERIOR]]=AO$2,100%,AVANCE[[#This Row],[PINTURA EXTERIOR]])</f>
        <v>0</v>
      </c>
      <c r="CD139" s="3">
        <f>+IF(AVANCE[[#This Row],[ZOCALOS LOGIA]]=AP$2,100%,AVANCE[[#This Row],[ZOCALOS LOGIA]])</f>
        <v>0</v>
      </c>
      <c r="CE139" s="3">
        <f>+IF(AVANCE[[#This Row],[MOLDURAS]]=AQ$2,100%,AVANCE[[#This Row],[MOLDURAS]])</f>
        <v>0</v>
      </c>
      <c r="CF139" s="3">
        <f>+IF(AVANCE[[#This Row],[PILASTREO]]=AR$2,100%,AVANCE[[#This Row],[PILASTREO]])</f>
        <v>0</v>
      </c>
      <c r="CG139" s="3">
        <f>+IF(AVANCE[[#This Row],[CELOSIAS]]=AS$2,100%,AVANCE[[#This Row],[CELOSIAS]])</f>
        <v>0</v>
      </c>
      <c r="CH139" s="3">
        <f>+IF(AVANCE[[#This Row],[VENTANAS]]=AT$2,100%,AVANCE[[#This Row],[VENTANAS]])</f>
        <v>0</v>
      </c>
      <c r="CI139" s="3">
        <f>+IF(AVANCE[[#This Row],[PUERTAS ACCESO - LOGIA - BANO]]=AU$2,100%,AVANCE[[#This Row],[PUERTAS ACCESO - LOGIA - BANO]])</f>
        <v>0</v>
      </c>
      <c r="CJ139" s="3">
        <f>+IF(AVANCE[[#This Row],[CERRADURAS]]=AV$2,100%,AVANCE[[#This Row],[CERRADURAS]])</f>
        <v>0</v>
      </c>
      <c r="CK139" s="3">
        <f>+IF(AVANCE[[#This Row],[REVESTIMIENTO INTERIOR ZONA SECA]]=AW$2,100%,AVANCE[[#This Row],[REVESTIMIENTO INTERIOR ZONA SECA]])</f>
        <v>0</v>
      </c>
      <c r="CL139" s="3">
        <f>+IF(AVANCE[[#This Row],[REVESTIMIENTO INTERIOR ZONAS HUMEDAS]]=AX$2,100%,AVANCE[[#This Row],[REVESTIMIENTO INTERIOR ZONAS HUMEDAS]])</f>
        <v>0</v>
      </c>
      <c r="CM139" s="3">
        <f>+IF(AVANCE[[#This Row],[MEMBRANA CIELO]]=AY$2,100%,AVANCE[[#This Row],[MEMBRANA CIELO]])</f>
        <v>0</v>
      </c>
      <c r="CN139" s="3">
        <f>+IF(AVANCE[[#This Row],[LIMPIEZA FINAL]]=AZ$2,100%,AVANCE[[#This Row],[LIMPIEZA FINAL]])</f>
        <v>0</v>
      </c>
      <c r="CO139" s="3">
        <f>+IF(AVANCE[[#This Row],[PUERTAS DORMITORIO]]=BA$2,100%,AVANCE[[#This Row],[PUERTAS DORMITORIO]])</f>
        <v>0</v>
      </c>
      <c r="CP139" s="3">
        <f>+IF(AVANCE[[#This Row],[REVESTIMIENTO INTERIOR BANO]]=BB$2,100%,AVANCE[[#This Row],[REVESTIMIENTO INTERIOR BANO]])</f>
        <v>0</v>
      </c>
      <c r="CQ139" s="3">
        <f>+IF(AVANCE[[#This Row],[MUEBLE LAVAPLATOS]]=BC$2,100%,AVANCE[[#This Row],[MUEBLE LAVAPLATOS]])</f>
        <v>0</v>
      </c>
      <c r="CR139" s="3">
        <f>+IF(AVANCE[[#This Row],[IMPERMEABILIZACION BANO - COCINA LOGIA]]=BD$2,100%,AVANCE[[#This Row],[IMPERMEABILIZACION BANO - COCINA LOGIA]])</f>
        <v>0</v>
      </c>
      <c r="CS139" s="40">
        <f ca="1">+IF(AVANCE[[#This Row],[ESTADO MODULO]]="PENDIENTE",(TODAY()-AVANCE[[#This Row],[FECHA TERMINO  PLANIFICADO]]),0)</f>
        <v>-4</v>
      </c>
      <c r="CT139" s="41" t="str" cm="1">
        <f t="array" ref="CT139">_xlfn.TEXTJOIN(" | ",TRUE,IF(SUMPRODUCT((BG139:CR139&lt;1)*(PARTIDAS!$I$2:$AT$2="OBRA GRUESA"))&gt;0,"OBRA GRUESA: "&amp;_xlfn.TEXTJOIN(", ",TRUE,IF((BG139:CR139&lt;1)*(PARTIDAS!$I$2:$AT$2="OBRA GRUESA"),PARTIDAS!$I$1:$AT$1,"")),""),IF(SUMPRODUCT((BG139:CR139&lt;1)*(PARTIDAS!$I$2:$AT$2="SANITARIOS"))&gt;0,"SANITARIOS: "&amp;_xlfn.TEXTJOIN(", ",TRUE,IF((BG139:CR139&lt;1)*(PARTIDAS!$I$2:$AT$2="SANITARIOS"),PARTIDAS!$I$1:$AT$1,"")),""),IF(SUMPRODUCT((BG139:CR139&lt;1)*(PARTIDAS!$I$2:$AT$2="ELÉCTRICO"))&gt;0,"ELÉCTRICO: "&amp;_xlfn.TEXTJOIN(", ",TRUE,IF((BG139:CR139&lt;1)*(PARTIDAS!$I$2:$AT$2="ELÉCTRICO"),PARTIDAS!$I$1:$AT$1,"")),""),IF(SUMPRODUCT((BG139:CR139&lt;1)*(PARTIDAS!$I$2:$AT$2="TERMINACIONES"))&gt;0,"TERMINACIONES: "&amp;_xlfn.TEXTJOIN(", ",TRUE,IF((BG139:CR139&lt;1)*(PARTIDAS!$I$2:$AT$2="TERMINACIONES"),PARTIDAS!$I$1:$AT$1,"")),""))</f>
        <v>SANITARIOS: VENTILACIONES, TINA, WC, LAVAMANOS / LAVAPLATOS / LAVADERO | ELÉCTRICO: CABLEADO, ARTEFACTOS, TABLERO, CAJA PAU | TERMINACIONES: VENTANAS, INSTALACION VINILICO, OSB CUBIERTA, BARANDA BALCON,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39" s="43" t="str" cm="1">
        <f t="array" ref="CU139">_xlfn.TEXTJOIN(", ",TRUE,IF(SUMPRODUCT((BG139:CR139&lt;1)*(PARTIDAS!$I$2:$AT$2="OBRA GRUESA"))&gt;0,"OBRA GRUESA",""),IF(SUMPRODUCT((BG139:CR139&lt;1)*(PARTIDAS!$I$2:$AT$2="SANITARIOS"))&gt;0,"SANITARIOS",""),IF(SUMPRODUCT((BG139:CR139&lt;1)*(PARTIDAS!$I$2:$AT$2="ELÉCTRICO"))&gt;0,"ELÉCTRICO",""),IF(SUMPRODUCT((BG139:CR139&lt;1)*(PARTIDAS!$I$2:$AT$2="TERMINACIONES"))&gt;0,"TERMINACIONES",""))</f>
        <v>SANITARIOS, ELÉCTRICO, TERMINACIONES</v>
      </c>
      <c r="CV139" s="44" cm="1">
        <f t="array" ref="CV139">SUMPRODUCT(--(BG139:CR139&lt;1))</f>
        <v>29</v>
      </c>
    </row>
    <row r="140" spans="1:100" x14ac:dyDescent="0.25">
      <c r="A140" t="s">
        <v>190</v>
      </c>
      <c r="B140" t="s">
        <v>201</v>
      </c>
      <c r="C140">
        <v>2302600139</v>
      </c>
      <c r="D140" t="s">
        <v>60</v>
      </c>
      <c r="E140" s="2">
        <v>0.57999999999999996</v>
      </c>
      <c r="F140" s="1">
        <v>46203</v>
      </c>
      <c r="G140" s="1">
        <v>46218</v>
      </c>
      <c r="H140" s="1">
        <v>46227</v>
      </c>
      <c r="I140" s="1">
        <v>46235</v>
      </c>
      <c r="J140">
        <v>3</v>
      </c>
      <c r="K140" s="1"/>
      <c r="L140" s="3">
        <v>0.43</v>
      </c>
      <c r="M140" s="3">
        <v>1</v>
      </c>
      <c r="N140" s="3">
        <v>0.27906976744186046</v>
      </c>
      <c r="O140" s="3">
        <v>0.18604651162790697</v>
      </c>
      <c r="P140" s="3">
        <v>0.2558139534883721</v>
      </c>
      <c r="Q140" s="3">
        <v>0.18604651162790697</v>
      </c>
      <c r="R140" s="3">
        <v>9.3023255813953487E-2</v>
      </c>
      <c r="S140" s="3">
        <v>3.9999999999999994E-2</v>
      </c>
      <c r="T140" s="3">
        <v>0.44444444444444442</v>
      </c>
      <c r="U140" s="3">
        <v>0.22222222222222221</v>
      </c>
      <c r="V140" s="3">
        <v>0.22222222222222221</v>
      </c>
      <c r="W140" s="3">
        <v>0</v>
      </c>
      <c r="X140" s="3">
        <v>0</v>
      </c>
      <c r="Y140" s="3">
        <v>0</v>
      </c>
      <c r="Z140" s="3">
        <v>0</v>
      </c>
      <c r="AA140" s="3">
        <v>0.03</v>
      </c>
      <c r="AB140" s="3">
        <v>0.27272727272727271</v>
      </c>
      <c r="AC140" s="3">
        <v>0.27272727272727271</v>
      </c>
      <c r="AD140" s="3">
        <v>0</v>
      </c>
      <c r="AE140" s="3">
        <v>0</v>
      </c>
      <c r="AF140" s="3">
        <v>0</v>
      </c>
      <c r="AG140" s="3">
        <v>0</v>
      </c>
      <c r="AH140" s="3">
        <v>7.9999999999999974E-2</v>
      </c>
      <c r="AI140" s="3">
        <v>0.21621621621621614</v>
      </c>
      <c r="AJ140" s="3">
        <v>0</v>
      </c>
      <c r="AK140" s="3">
        <v>5.4054054054054036E-2</v>
      </c>
      <c r="AL140" s="3">
        <v>0</v>
      </c>
      <c r="AM140" s="3">
        <v>8.1081081081081058E-2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2.7027027027027018E-2</v>
      </c>
      <c r="AZ140" s="3">
        <v>0</v>
      </c>
      <c r="BA140" s="3">
        <v>5.4054054054054036E-2</v>
      </c>
      <c r="BB140" s="3">
        <v>0</v>
      </c>
      <c r="BC140" s="3">
        <v>0</v>
      </c>
      <c r="BD140" s="3">
        <v>0</v>
      </c>
      <c r="BE140">
        <v>31.32</v>
      </c>
      <c r="BF140" s="3" t="str">
        <f>+IF(AVANCE[[#This Row],[% AVANCE]]=100%,"MODULO TERMINADO",IF(AVANCE[[#This Row],[FECHA INICIO REAL]]="","MODULO NO INICIADO","PENDIENTE"))</f>
        <v>PENDIENTE</v>
      </c>
      <c r="BG140" s="3">
        <f>+IF(AVANCE[[#This Row],[VENTANAS]]=8.10810810810811%,100%,AVANCE[[#This Row],[VENTANAS]])</f>
        <v>0</v>
      </c>
      <c r="BH140" s="3">
        <f>+IF(AVANCE[[#This Row],[PISO]]=N$2,100%,AVANCE[[#This Row],[PISO]])</f>
        <v>1</v>
      </c>
      <c r="BI140" s="3">
        <f>+IF(AVANCE[[#This Row],[TABIQUES]]=O$2,100%,AVANCE[[#This Row],[TABIQUES]])</f>
        <v>1</v>
      </c>
      <c r="BJ140" s="3">
        <f>+IF(AVANCE[[#This Row],[MUROS]]=P$2,100%,AVANCE[[#This Row],[MUROS]])</f>
        <v>1</v>
      </c>
      <c r="BK140" s="3">
        <f>+IF(AVANCE[[#This Row],[CIELO]]=Q$2,100%,AVANCE[[#This Row],[CIELO]])</f>
        <v>1</v>
      </c>
      <c r="BL140" s="3">
        <f>+IF(AVANCE[[#This Row],[BALCÓN]]=R$2,100%,AVANCE[[#This Row],[BALCÓN]])</f>
        <v>1</v>
      </c>
      <c r="BM140" s="3">
        <f>+IF(AVANCE[[#This Row],[RED ALCANTARILLADO]]=U$2,100%,AVANCE[[#This Row],[RED ALCANTARILLADO]])</f>
        <v>1</v>
      </c>
      <c r="BN140" s="3">
        <f>+IF(AVANCE[[#This Row],[RED DE AGUA]]=V$2,100%,AVANCE[[#This Row],[RED DE AGUA]])</f>
        <v>1</v>
      </c>
      <c r="BO140" s="3">
        <f>+IF(AVANCE[[#This Row],[VENTILACIONES]]=W$2,100%,AVANCE[[#This Row],[VENTILACIONES]])</f>
        <v>0</v>
      </c>
      <c r="BP140" s="3">
        <f>+IF(AVANCE[[#This Row],[TINA]]=X$2,100%,AVANCE[[#This Row],[TINA]])</f>
        <v>0</v>
      </c>
      <c r="BQ140" s="3">
        <f>+IF(AVANCE[[#This Row],[WC]]=Y$2,100%,AVANCE[[#This Row],[WC]])</f>
        <v>0</v>
      </c>
      <c r="BR140" s="3">
        <f>+IF(AVANCE[[#This Row],[LAVAMANOS / LAVAPLATOS / LAVADERO]]=Z$2,100%,AVANCE[[#This Row],[LAVAMANOS / LAVAPLATOS / LAVADERO]])</f>
        <v>0</v>
      </c>
      <c r="BS140" s="3">
        <f>+IF(AVANCE[[#This Row],[CANALIZACIÓN]]=AC$2,100%,AVANCE[[#This Row],[CANALIZACIÓN]])</f>
        <v>1</v>
      </c>
      <c r="BT140" s="3">
        <f>+IF(AVANCE[[#This Row],[CABLEADO]]=AD$2,100%,AVANCE[[#This Row],[CABLEADO]])</f>
        <v>0</v>
      </c>
      <c r="BU140" s="3">
        <f>+IF(AVANCE[[#This Row],[ARTEFACTOS]]=AE$2,100%,AVANCE[[#This Row],[ARTEFACTOS]])</f>
        <v>0</v>
      </c>
      <c r="BV140" s="3">
        <f>+IF(AVANCE[[#This Row],[TABLERO]]=AF$2,100%,AVANCE[[#This Row],[TABLERO]])</f>
        <v>0</v>
      </c>
      <c r="BW140" s="3">
        <f>+IF(AVANCE[[#This Row],[CAJA PAU]]=AG$2,100%,AVANCE[[#This Row],[CAJA PAU]])</f>
        <v>0</v>
      </c>
      <c r="BX140" s="3">
        <f>+IF(AVANCE[[#This Row],[INSTALACION VINILICO]]=AJ$2,100%,AVANCE[[#This Row],[INSTALACION VINILICO]])</f>
        <v>0</v>
      </c>
      <c r="BY140" s="3">
        <f>+IF(AVANCE[[#This Row],[OSB CUBIERTA]]=AK$2,100%,AVANCE[[#This Row],[OSB CUBIERTA]])</f>
        <v>1</v>
      </c>
      <c r="BZ140" s="3">
        <f>+IF(AVANCE[[#This Row],[BARANDA BALCON]]=AL$2,100%,AVANCE[[#This Row],[BARANDA BALCON]])</f>
        <v>0</v>
      </c>
      <c r="CA140" s="3">
        <f>+IF(AVANCE[[#This Row],[OSB EXTERIOR]]=AM$2,100%,AVANCE[[#This Row],[OSB EXTERIOR]])</f>
        <v>1</v>
      </c>
      <c r="CB140" s="3">
        <f>+IF(AVANCE[[#This Row],[SMART PANEL]]=AN$2,100%,AVANCE[[#This Row],[SMART PANEL]])</f>
        <v>0</v>
      </c>
      <c r="CC140" s="3">
        <f>+IF(AVANCE[[#This Row],[PINTURA EXTERIOR]]=AO$2,100%,AVANCE[[#This Row],[PINTURA EXTERIOR]])</f>
        <v>0</v>
      </c>
      <c r="CD140" s="3">
        <f>+IF(AVANCE[[#This Row],[ZOCALOS LOGIA]]=AP$2,100%,AVANCE[[#This Row],[ZOCALOS LOGIA]])</f>
        <v>0</v>
      </c>
      <c r="CE140" s="3">
        <f>+IF(AVANCE[[#This Row],[MOLDURAS]]=AQ$2,100%,AVANCE[[#This Row],[MOLDURAS]])</f>
        <v>0</v>
      </c>
      <c r="CF140" s="3">
        <f>+IF(AVANCE[[#This Row],[PILASTREO]]=AR$2,100%,AVANCE[[#This Row],[PILASTREO]])</f>
        <v>0</v>
      </c>
      <c r="CG140" s="3">
        <f>+IF(AVANCE[[#This Row],[CELOSIAS]]=AS$2,100%,AVANCE[[#This Row],[CELOSIAS]])</f>
        <v>0</v>
      </c>
      <c r="CH140" s="3">
        <f>+IF(AVANCE[[#This Row],[VENTANAS]]=AT$2,100%,AVANCE[[#This Row],[VENTANAS]])</f>
        <v>0</v>
      </c>
      <c r="CI140" s="3">
        <f>+IF(AVANCE[[#This Row],[PUERTAS ACCESO - LOGIA - BANO]]=AU$2,100%,AVANCE[[#This Row],[PUERTAS ACCESO - LOGIA - BANO]])</f>
        <v>0</v>
      </c>
      <c r="CJ140" s="3">
        <f>+IF(AVANCE[[#This Row],[CERRADURAS]]=AV$2,100%,AVANCE[[#This Row],[CERRADURAS]])</f>
        <v>0</v>
      </c>
      <c r="CK140" s="3">
        <f>+IF(AVANCE[[#This Row],[REVESTIMIENTO INTERIOR ZONA SECA]]=AW$2,100%,AVANCE[[#This Row],[REVESTIMIENTO INTERIOR ZONA SECA]])</f>
        <v>0</v>
      </c>
      <c r="CL140" s="3">
        <f>+IF(AVANCE[[#This Row],[REVESTIMIENTO INTERIOR ZONAS HUMEDAS]]=AX$2,100%,AVANCE[[#This Row],[REVESTIMIENTO INTERIOR ZONAS HUMEDAS]])</f>
        <v>0</v>
      </c>
      <c r="CM140" s="3">
        <f>+IF(AVANCE[[#This Row],[MEMBRANA CIELO]]=AY$2,100%,AVANCE[[#This Row],[MEMBRANA CIELO]])</f>
        <v>1</v>
      </c>
      <c r="CN140" s="3">
        <f>+IF(AVANCE[[#This Row],[LIMPIEZA FINAL]]=AZ$2,100%,AVANCE[[#This Row],[LIMPIEZA FINAL]])</f>
        <v>0</v>
      </c>
      <c r="CO140" s="3">
        <f>+IF(AVANCE[[#This Row],[PUERTAS DORMITORIO]]=BA$2,100%,AVANCE[[#This Row],[PUERTAS DORMITORIO]])</f>
        <v>1</v>
      </c>
      <c r="CP140" s="3">
        <f>+IF(AVANCE[[#This Row],[REVESTIMIENTO INTERIOR BANO]]=BB$2,100%,AVANCE[[#This Row],[REVESTIMIENTO INTERIOR BANO]])</f>
        <v>0</v>
      </c>
      <c r="CQ140" s="3">
        <f>+IF(AVANCE[[#This Row],[MUEBLE LAVAPLATOS]]=BC$2,100%,AVANCE[[#This Row],[MUEBLE LAVAPLATOS]])</f>
        <v>0</v>
      </c>
      <c r="CR140" s="3">
        <f>+IF(AVANCE[[#This Row],[IMPERMEABILIZACION BANO - COCINA LOGIA]]=BD$2,100%,AVANCE[[#This Row],[IMPERMEABILIZACION BANO - COCINA LOGIA]])</f>
        <v>0</v>
      </c>
      <c r="CS140" s="40">
        <f ca="1">+IF(AVANCE[[#This Row],[ESTADO MODULO]]="PENDIENTE",(TODAY()-AVANCE[[#This Row],[FECHA TERMINO  PLANIFICADO]]),0)</f>
        <v>-5</v>
      </c>
      <c r="CT140" s="41" t="str" cm="1">
        <f t="array" ref="CT140">_xlfn.TEXTJOIN(" | ",TRUE,IF(SUMPRODUCT((BG140:CR140&lt;1)*(PARTIDAS!$I$2:$AT$2="OBRA GRUESA"))&gt;0,"OBRA GRUESA: "&amp;_xlfn.TEXTJOIN(", ",TRUE,IF((BG140:CR140&lt;1)*(PARTIDAS!$I$2:$AT$2="OBRA GRUESA"),PARTIDAS!$I$1:$AT$1,"")),""),IF(SUMPRODUCT((BG140:CR140&lt;1)*(PARTIDAS!$I$2:$AT$2="SANITARIOS"))&gt;0,"SANITARIOS: "&amp;_xlfn.TEXTJOIN(", ",TRUE,IF((BG140:CR140&lt;1)*(PARTIDAS!$I$2:$AT$2="SANITARIOS"),PARTIDAS!$I$1:$AT$1,"")),""),IF(SUMPRODUCT((BG140:CR140&lt;1)*(PARTIDAS!$I$2:$AT$2="ELÉCTRICO"))&gt;0,"ELÉCTRICO: "&amp;_xlfn.TEXTJOIN(", ",TRUE,IF((BG140:CR140&lt;1)*(PARTIDAS!$I$2:$AT$2="ELÉCTRICO"),PARTIDAS!$I$1:$AT$1,"")),""),IF(SUMPRODUCT((BG140:CR140&lt;1)*(PARTIDAS!$I$2:$AT$2="TERMINACIONES"))&gt;0,"TERMINACIONES: "&amp;_xlfn.TEXTJOIN(", ",TRUE,IF((BG140:CR140&lt;1)*(PARTIDAS!$I$2:$AT$2="TERMINACIONES"),PARTIDAS!$I$1:$AT$1,"")),""))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</v>
      </c>
      <c r="CU140" s="43" t="str" cm="1">
        <f t="array" ref="CU140">_xlfn.TEXTJOIN(", ",TRUE,IF(SUMPRODUCT((BG140:CR140&lt;1)*(PARTIDAS!$I$2:$AT$2="OBRA GRUESA"))&gt;0,"OBRA GRUESA",""),IF(SUMPRODUCT((BG140:CR140&lt;1)*(PARTIDAS!$I$2:$AT$2="SANITARIOS"))&gt;0,"SANITARIOS",""),IF(SUMPRODUCT((BG140:CR140&lt;1)*(PARTIDAS!$I$2:$AT$2="ELÉCTRICO"))&gt;0,"ELÉCTRICO",""),IF(SUMPRODUCT((BG140:CR140&lt;1)*(PARTIDAS!$I$2:$AT$2="TERMINACIONES"))&gt;0,"TERMINACIONES",""))</f>
        <v>SANITARIOS, ELÉCTRICO, TERMINACIONES</v>
      </c>
      <c r="CV140" s="44" cm="1">
        <f t="array" ref="CV140">SUMPRODUCT(--(BG140:CR140&lt;1))</f>
        <v>26</v>
      </c>
    </row>
    <row r="141" spans="1:100" x14ac:dyDescent="0.25">
      <c r="A141" t="s">
        <v>190</v>
      </c>
      <c r="B141" t="s">
        <v>202</v>
      </c>
      <c r="C141">
        <v>2282600140</v>
      </c>
      <c r="D141" t="s">
        <v>58</v>
      </c>
      <c r="E141" s="2">
        <v>0.78499999999999992</v>
      </c>
      <c r="F141" s="1">
        <v>46203</v>
      </c>
      <c r="G141" s="1">
        <v>46220</v>
      </c>
      <c r="H141" s="1">
        <v>46227</v>
      </c>
      <c r="I141" s="1">
        <v>46225</v>
      </c>
      <c r="J141">
        <v>3</v>
      </c>
      <c r="K141" s="1"/>
      <c r="L141" s="3">
        <v>0.43</v>
      </c>
      <c r="M141" s="3">
        <v>1</v>
      </c>
      <c r="N141" s="3">
        <v>0.27906976744186046</v>
      </c>
      <c r="O141" s="3">
        <v>0.18604651162790697</v>
      </c>
      <c r="P141" s="3">
        <v>0.2558139534883721</v>
      </c>
      <c r="Q141" s="3">
        <v>0.18604651162790697</v>
      </c>
      <c r="R141" s="3">
        <v>9.3023255813953487E-2</v>
      </c>
      <c r="S141" s="3">
        <v>0.09</v>
      </c>
      <c r="T141" s="3">
        <v>1</v>
      </c>
      <c r="U141" s="3">
        <v>0.22222222222222221</v>
      </c>
      <c r="V141" s="3">
        <v>0.22222222222222221</v>
      </c>
      <c r="W141" s="3">
        <v>0.1111111111111111</v>
      </c>
      <c r="X141" s="3">
        <v>0.1111111111111111</v>
      </c>
      <c r="Y141" s="3">
        <v>0.1111111111111111</v>
      </c>
      <c r="Z141" s="3">
        <v>0.22222222222222221</v>
      </c>
      <c r="AA141" s="3">
        <v>6.9999999999999993E-2</v>
      </c>
      <c r="AB141" s="3">
        <v>0.63636363636363635</v>
      </c>
      <c r="AC141" s="3">
        <v>0.27272727272727271</v>
      </c>
      <c r="AD141" s="3">
        <v>0</v>
      </c>
      <c r="AE141" s="3">
        <v>0</v>
      </c>
      <c r="AF141" s="3">
        <v>0.18181818181818182</v>
      </c>
      <c r="AG141" s="3">
        <v>0.18181818181818182</v>
      </c>
      <c r="AH141" s="3">
        <v>0.19499999999999992</v>
      </c>
      <c r="AI141" s="3">
        <v>0.52702702702702686</v>
      </c>
      <c r="AJ141" s="3">
        <v>5.4054054054054036E-2</v>
      </c>
      <c r="AK141" s="3">
        <v>5.4054054054054036E-2</v>
      </c>
      <c r="AL141" s="3">
        <v>2.7027027027027018E-2</v>
      </c>
      <c r="AM141" s="3">
        <v>8.1081081081081058E-2</v>
      </c>
      <c r="AN141" s="3">
        <v>0</v>
      </c>
      <c r="AO141" s="3">
        <v>0</v>
      </c>
      <c r="AP141" s="3">
        <v>5.4054054054054036E-2</v>
      </c>
      <c r="AQ141" s="3">
        <v>0</v>
      </c>
      <c r="AR141" s="3">
        <v>0</v>
      </c>
      <c r="AS141" s="3">
        <v>0</v>
      </c>
      <c r="AT141" s="3">
        <v>0</v>
      </c>
      <c r="AU141" s="3">
        <v>5.4054054054054036E-2</v>
      </c>
      <c r="AV141" s="3">
        <v>0</v>
      </c>
      <c r="AW141" s="3">
        <v>0</v>
      </c>
      <c r="AX141" s="3">
        <v>5.4054054054054036E-2</v>
      </c>
      <c r="AY141" s="3">
        <v>2.7027027027027018E-2</v>
      </c>
      <c r="AZ141" s="3">
        <v>0</v>
      </c>
      <c r="BA141" s="3">
        <v>0</v>
      </c>
      <c r="BB141" s="3">
        <v>8.1081081081081058E-2</v>
      </c>
      <c r="BC141" s="3">
        <v>1.3513513513513509E-2</v>
      </c>
      <c r="BD141" s="3">
        <v>2.7027027027027018E-2</v>
      </c>
      <c r="BE141">
        <v>28.87</v>
      </c>
      <c r="BF141" s="3" t="str">
        <f>+IF(AVANCE[[#This Row],[% AVANCE]]=100%,"MODULO TERMINADO",IF(AVANCE[[#This Row],[FECHA INICIO REAL]]="","MODULO NO INICIADO","PENDIENTE"))</f>
        <v>PENDIENTE</v>
      </c>
      <c r="BG141" s="3">
        <f>+IF(AVANCE[[#This Row],[VENTANAS]]=8.10810810810811%,100%,AVANCE[[#This Row],[VENTANAS]])</f>
        <v>0</v>
      </c>
      <c r="BH141" s="3">
        <f>+IF(AVANCE[[#This Row],[PISO]]=N$2,100%,AVANCE[[#This Row],[PISO]])</f>
        <v>1</v>
      </c>
      <c r="BI141" s="3">
        <f>+IF(AVANCE[[#This Row],[TABIQUES]]=O$2,100%,AVANCE[[#This Row],[TABIQUES]])</f>
        <v>1</v>
      </c>
      <c r="BJ141" s="3">
        <f>+IF(AVANCE[[#This Row],[MUROS]]=P$2,100%,AVANCE[[#This Row],[MUROS]])</f>
        <v>1</v>
      </c>
      <c r="BK141" s="3">
        <f>+IF(AVANCE[[#This Row],[CIELO]]=Q$2,100%,AVANCE[[#This Row],[CIELO]])</f>
        <v>1</v>
      </c>
      <c r="BL141" s="3">
        <f>+IF(AVANCE[[#This Row],[BALCÓN]]=R$2,100%,AVANCE[[#This Row],[BALCÓN]])</f>
        <v>1</v>
      </c>
      <c r="BM141" s="3">
        <f>+IF(AVANCE[[#This Row],[RED ALCANTARILLADO]]=U$2,100%,AVANCE[[#This Row],[RED ALCANTARILLADO]])</f>
        <v>1</v>
      </c>
      <c r="BN141" s="3">
        <f>+IF(AVANCE[[#This Row],[RED DE AGUA]]=V$2,100%,AVANCE[[#This Row],[RED DE AGUA]])</f>
        <v>1</v>
      </c>
      <c r="BO141" s="3">
        <f>+IF(AVANCE[[#This Row],[VENTILACIONES]]=W$2,100%,AVANCE[[#This Row],[VENTILACIONES]])</f>
        <v>1</v>
      </c>
      <c r="BP141" s="3">
        <f>+IF(AVANCE[[#This Row],[TINA]]=X$2,100%,AVANCE[[#This Row],[TINA]])</f>
        <v>1</v>
      </c>
      <c r="BQ141" s="3">
        <f>+IF(AVANCE[[#This Row],[WC]]=Y$2,100%,AVANCE[[#This Row],[WC]])</f>
        <v>1</v>
      </c>
      <c r="BR141" s="3">
        <f>+IF(AVANCE[[#This Row],[LAVAMANOS / LAVAPLATOS / LAVADERO]]=Z$2,100%,AVANCE[[#This Row],[LAVAMANOS / LAVAPLATOS / LAVADERO]])</f>
        <v>1</v>
      </c>
      <c r="BS141" s="3">
        <f>+IF(AVANCE[[#This Row],[CANALIZACIÓN]]=AC$2,100%,AVANCE[[#This Row],[CANALIZACIÓN]])</f>
        <v>1</v>
      </c>
      <c r="BT141" s="3">
        <f>+IF(AVANCE[[#This Row],[CABLEADO]]=AD$2,100%,AVANCE[[#This Row],[CABLEADO]])</f>
        <v>0</v>
      </c>
      <c r="BU141" s="3">
        <f>+IF(AVANCE[[#This Row],[ARTEFACTOS]]=AE$2,100%,AVANCE[[#This Row],[ARTEFACTOS]])</f>
        <v>0</v>
      </c>
      <c r="BV141" s="3">
        <f>+IF(AVANCE[[#This Row],[TABLERO]]=AF$2,100%,AVANCE[[#This Row],[TABLERO]])</f>
        <v>1</v>
      </c>
      <c r="BW141" s="3">
        <f>+IF(AVANCE[[#This Row],[CAJA PAU]]=AG$2,100%,AVANCE[[#This Row],[CAJA PAU]])</f>
        <v>1</v>
      </c>
      <c r="BX141" s="3">
        <f>+IF(AVANCE[[#This Row],[INSTALACION VINILICO]]=AJ$2,100%,AVANCE[[#This Row],[INSTALACION VINILICO]])</f>
        <v>1</v>
      </c>
      <c r="BY141" s="3">
        <f>+IF(AVANCE[[#This Row],[OSB CUBIERTA]]=AK$2,100%,AVANCE[[#This Row],[OSB CUBIERTA]])</f>
        <v>1</v>
      </c>
      <c r="BZ141" s="3">
        <f>+IF(AVANCE[[#This Row],[BARANDA BALCON]]=AL$2,100%,AVANCE[[#This Row],[BARANDA BALCON]])</f>
        <v>1</v>
      </c>
      <c r="CA141" s="3">
        <f>+IF(AVANCE[[#This Row],[OSB EXTERIOR]]=AM$2,100%,AVANCE[[#This Row],[OSB EXTERIOR]])</f>
        <v>1</v>
      </c>
      <c r="CB141" s="3">
        <f>+IF(AVANCE[[#This Row],[SMART PANEL]]=AN$2,100%,AVANCE[[#This Row],[SMART PANEL]])</f>
        <v>0</v>
      </c>
      <c r="CC141" s="3">
        <f>+IF(AVANCE[[#This Row],[PINTURA EXTERIOR]]=AO$2,100%,AVANCE[[#This Row],[PINTURA EXTERIOR]])</f>
        <v>0</v>
      </c>
      <c r="CD141" s="3">
        <f>+IF(AVANCE[[#This Row],[ZOCALOS LOGIA]]=AP$2,100%,AVANCE[[#This Row],[ZOCALOS LOGIA]])</f>
        <v>1</v>
      </c>
      <c r="CE141" s="3">
        <f>+IF(AVANCE[[#This Row],[MOLDURAS]]=AQ$2,100%,AVANCE[[#This Row],[MOLDURAS]])</f>
        <v>0</v>
      </c>
      <c r="CF141" s="3">
        <f>+IF(AVANCE[[#This Row],[PILASTREO]]=AR$2,100%,AVANCE[[#This Row],[PILASTREO]])</f>
        <v>0</v>
      </c>
      <c r="CG141" s="3">
        <f>+IF(AVANCE[[#This Row],[CELOSIAS]]=AS$2,100%,AVANCE[[#This Row],[CELOSIAS]])</f>
        <v>0</v>
      </c>
      <c r="CH141" s="3">
        <f>+IF(AVANCE[[#This Row],[VENTANAS]]=AT$2,100%,AVANCE[[#This Row],[VENTANAS]])</f>
        <v>0</v>
      </c>
      <c r="CI141" s="3">
        <f>+IF(AVANCE[[#This Row],[PUERTAS ACCESO - LOGIA - BANO]]=AU$2,100%,AVANCE[[#This Row],[PUERTAS ACCESO - LOGIA - BANO]])</f>
        <v>1</v>
      </c>
      <c r="CJ141" s="3">
        <f>+IF(AVANCE[[#This Row],[CERRADURAS]]=AV$2,100%,AVANCE[[#This Row],[CERRADURAS]])</f>
        <v>0</v>
      </c>
      <c r="CK141" s="3">
        <f>+IF(AVANCE[[#This Row],[REVESTIMIENTO INTERIOR ZONA SECA]]=AW$2,100%,AVANCE[[#This Row],[REVESTIMIENTO INTERIOR ZONA SECA]])</f>
        <v>0</v>
      </c>
      <c r="CL141" s="3">
        <f>+IF(AVANCE[[#This Row],[REVESTIMIENTO INTERIOR ZONAS HUMEDAS]]=AX$2,100%,AVANCE[[#This Row],[REVESTIMIENTO INTERIOR ZONAS HUMEDAS]])</f>
        <v>1</v>
      </c>
      <c r="CM141" s="3">
        <f>+IF(AVANCE[[#This Row],[MEMBRANA CIELO]]=AY$2,100%,AVANCE[[#This Row],[MEMBRANA CIELO]])</f>
        <v>1</v>
      </c>
      <c r="CN141" s="3">
        <f>+IF(AVANCE[[#This Row],[LIMPIEZA FINAL]]=AZ$2,100%,AVANCE[[#This Row],[LIMPIEZA FINAL]])</f>
        <v>0</v>
      </c>
      <c r="CO141" s="3">
        <f>+IF(AVANCE[[#This Row],[PUERTAS DORMITORIO]]=BA$2,100%,AVANCE[[#This Row],[PUERTAS DORMITORIO]])</f>
        <v>0</v>
      </c>
      <c r="CP141" s="3">
        <f>+IF(AVANCE[[#This Row],[REVESTIMIENTO INTERIOR BANO]]=BB$2,100%,AVANCE[[#This Row],[REVESTIMIENTO INTERIOR BANO]])</f>
        <v>1</v>
      </c>
      <c r="CQ141" s="3">
        <f>+IF(AVANCE[[#This Row],[MUEBLE LAVAPLATOS]]=BC$2,100%,AVANCE[[#This Row],[MUEBLE LAVAPLATOS]])</f>
        <v>1</v>
      </c>
      <c r="CR141" s="3">
        <f>+IF(AVANCE[[#This Row],[IMPERMEABILIZACION BANO - COCINA LOGIA]]=BD$2,100%,AVANCE[[#This Row],[IMPERMEABILIZACION BANO - COCINA LOGIA]])</f>
        <v>1</v>
      </c>
      <c r="CS141" s="40">
        <f ca="1">+IF(AVANCE[[#This Row],[ESTADO MODULO]]="PENDIENTE",(TODAY()-AVANCE[[#This Row],[FECHA TERMINO  PLANIFICADO]]),0)</f>
        <v>5</v>
      </c>
      <c r="CT141" s="41" t="str" cm="1">
        <f t="array" ref="CT141">_xlfn.TEXTJOIN(" | ",TRUE,IF(SUMPRODUCT((BG141:CR141&lt;1)*(PARTIDAS!$I$2:$AT$2="OBRA GRUESA"))&gt;0,"OBRA GRUESA: "&amp;_xlfn.TEXTJOIN(", ",TRUE,IF((BG141:CR141&lt;1)*(PARTIDAS!$I$2:$AT$2="OBRA GRUESA"),PARTIDAS!$I$1:$AT$1,"")),""),IF(SUMPRODUCT((BG141:CR141&lt;1)*(PARTIDAS!$I$2:$AT$2="SANITARIOS"))&gt;0,"SANITARIOS: "&amp;_xlfn.TEXTJOIN(", ",TRUE,IF((BG141:CR141&lt;1)*(PARTIDAS!$I$2:$AT$2="SANITARIOS"),PARTIDAS!$I$1:$AT$1,"")),""),IF(SUMPRODUCT((BG141:CR141&lt;1)*(PARTIDAS!$I$2:$AT$2="ELÉCTRICO"))&gt;0,"ELÉCTRICO: "&amp;_xlfn.TEXTJOIN(", ",TRUE,IF((BG141:CR141&lt;1)*(PARTIDAS!$I$2:$AT$2="ELÉCTRICO"),PARTIDAS!$I$1:$AT$1,"")),""),IF(SUMPRODUCT((BG141:CR141&lt;1)*(PARTIDAS!$I$2:$AT$2="TERMINACIONES"))&gt;0,"TERMINACIONES: "&amp;_xlfn.TEXTJOIN(", ",TRUE,IF((BG141:CR141&lt;1)*(PARTIDAS!$I$2:$AT$2="TERMINACIONES"),PARTIDAS!$I$1:$AT$1,"")),""))</f>
        <v>ELÉCTRICO: CABLEADO, ARTEFACTOS | TERMINACIONES: VENTANAS, SMART PANEL, PINTURA EXTERIOR, MOLDURAS, PILASTREO, CELOSIAS, VENTANAS (TERM), CERRADURAS, REVESTIMIENTO INTERIOR ZONA SECA, LIMPIEZA FINAL, PUERTAS DORMITORIO</v>
      </c>
      <c r="CU141" s="43" t="str" cm="1">
        <f t="array" ref="CU141">_xlfn.TEXTJOIN(", ",TRUE,IF(SUMPRODUCT((BG141:CR141&lt;1)*(PARTIDAS!$I$2:$AT$2="OBRA GRUESA"))&gt;0,"OBRA GRUESA",""),IF(SUMPRODUCT((BG141:CR141&lt;1)*(PARTIDAS!$I$2:$AT$2="SANITARIOS"))&gt;0,"SANITARIOS",""),IF(SUMPRODUCT((BG141:CR141&lt;1)*(PARTIDAS!$I$2:$AT$2="ELÉCTRICO"))&gt;0,"ELÉCTRICO",""),IF(SUMPRODUCT((BG141:CR141&lt;1)*(PARTIDAS!$I$2:$AT$2="TERMINACIONES"))&gt;0,"TERMINACIONES",""))</f>
        <v>ELÉCTRICO, TERMINACIONES</v>
      </c>
      <c r="CV141" s="44" cm="1">
        <f t="array" ref="CV141">SUMPRODUCT(--(BG141:CR141&lt;1))</f>
        <v>13</v>
      </c>
    </row>
    <row r="142" spans="1:100" x14ac:dyDescent="0.25">
      <c r="A142" t="s">
        <v>190</v>
      </c>
      <c r="B142" t="s">
        <v>203</v>
      </c>
      <c r="C142">
        <v>2282600141</v>
      </c>
      <c r="D142" t="s">
        <v>58</v>
      </c>
      <c r="E142" s="2">
        <v>0.38999999999999996</v>
      </c>
      <c r="F142" s="1">
        <v>46204</v>
      </c>
      <c r="G142" s="1">
        <v>46220</v>
      </c>
      <c r="H142" s="1">
        <v>46224</v>
      </c>
      <c r="I142" s="1">
        <v>46226</v>
      </c>
      <c r="J142">
        <v>6</v>
      </c>
      <c r="K142" s="1"/>
      <c r="L142" s="3">
        <v>0.38999999999999996</v>
      </c>
      <c r="M142" s="3">
        <v>0.90697674418604646</v>
      </c>
      <c r="N142" s="3">
        <v>0.27906976744186046</v>
      </c>
      <c r="O142" s="3">
        <v>0.18604651162790697</v>
      </c>
      <c r="P142" s="3">
        <v>0.2558139534883721</v>
      </c>
      <c r="Q142" s="3">
        <v>0.18604651162790697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>
        <v>28.87</v>
      </c>
      <c r="BF142" s="3" t="str">
        <f>+IF(AVANCE[[#This Row],[% AVANCE]]=100%,"MODULO TERMINADO",IF(AVANCE[[#This Row],[FECHA INICIO REAL]]="","MODULO NO INICIADO","PENDIENTE"))</f>
        <v>PENDIENTE</v>
      </c>
      <c r="BG142" s="3">
        <f>+IF(AVANCE[[#This Row],[VENTANAS]]=8.10810810810811%,100%,AVANCE[[#This Row],[VENTANAS]])</f>
        <v>0</v>
      </c>
      <c r="BH142" s="3">
        <f>+IF(AVANCE[[#This Row],[PISO]]=N$2,100%,AVANCE[[#This Row],[PISO]])</f>
        <v>1</v>
      </c>
      <c r="BI142" s="3">
        <f>+IF(AVANCE[[#This Row],[TABIQUES]]=O$2,100%,AVANCE[[#This Row],[TABIQUES]])</f>
        <v>1</v>
      </c>
      <c r="BJ142" s="3">
        <f>+IF(AVANCE[[#This Row],[MUROS]]=P$2,100%,AVANCE[[#This Row],[MUROS]])</f>
        <v>1</v>
      </c>
      <c r="BK142" s="3">
        <f>+IF(AVANCE[[#This Row],[CIELO]]=Q$2,100%,AVANCE[[#This Row],[CIELO]])</f>
        <v>1</v>
      </c>
      <c r="BL142" s="3">
        <f>+IF(AVANCE[[#This Row],[BALCÓN]]=R$2,100%,AVANCE[[#This Row],[BALCÓN]])</f>
        <v>0</v>
      </c>
      <c r="BM142" s="3">
        <f>+IF(AVANCE[[#This Row],[RED ALCANTARILLADO]]=U$2,100%,AVANCE[[#This Row],[RED ALCANTARILLADO]])</f>
        <v>0</v>
      </c>
      <c r="BN142" s="3">
        <f>+IF(AVANCE[[#This Row],[RED DE AGUA]]=V$2,100%,AVANCE[[#This Row],[RED DE AGUA]])</f>
        <v>0</v>
      </c>
      <c r="BO142" s="3">
        <f>+IF(AVANCE[[#This Row],[VENTILACIONES]]=W$2,100%,AVANCE[[#This Row],[VENTILACIONES]])</f>
        <v>0</v>
      </c>
      <c r="BP142" s="3">
        <f>+IF(AVANCE[[#This Row],[TINA]]=X$2,100%,AVANCE[[#This Row],[TINA]])</f>
        <v>0</v>
      </c>
      <c r="BQ142" s="3">
        <f>+IF(AVANCE[[#This Row],[WC]]=Y$2,100%,AVANCE[[#This Row],[WC]])</f>
        <v>0</v>
      </c>
      <c r="BR142" s="3">
        <f>+IF(AVANCE[[#This Row],[LAVAMANOS / LAVAPLATOS / LAVADERO]]=Z$2,100%,AVANCE[[#This Row],[LAVAMANOS / LAVAPLATOS / LAVADERO]])</f>
        <v>0</v>
      </c>
      <c r="BS142" s="3">
        <f>+IF(AVANCE[[#This Row],[CANALIZACIÓN]]=AC$2,100%,AVANCE[[#This Row],[CANALIZACIÓN]])</f>
        <v>0</v>
      </c>
      <c r="BT142" s="3">
        <f>+IF(AVANCE[[#This Row],[CABLEADO]]=AD$2,100%,AVANCE[[#This Row],[CABLEADO]])</f>
        <v>0</v>
      </c>
      <c r="BU142" s="3">
        <f>+IF(AVANCE[[#This Row],[ARTEFACTOS]]=AE$2,100%,AVANCE[[#This Row],[ARTEFACTOS]])</f>
        <v>0</v>
      </c>
      <c r="BV142" s="3">
        <f>+IF(AVANCE[[#This Row],[TABLERO]]=AF$2,100%,AVANCE[[#This Row],[TABLERO]])</f>
        <v>0</v>
      </c>
      <c r="BW142" s="3">
        <f>+IF(AVANCE[[#This Row],[CAJA PAU]]=AG$2,100%,AVANCE[[#This Row],[CAJA PAU]])</f>
        <v>0</v>
      </c>
      <c r="BX142" s="3">
        <f>+IF(AVANCE[[#This Row],[INSTALACION VINILICO]]=AJ$2,100%,AVANCE[[#This Row],[INSTALACION VINILICO]])</f>
        <v>0</v>
      </c>
      <c r="BY142" s="3">
        <f>+IF(AVANCE[[#This Row],[OSB CUBIERTA]]=AK$2,100%,AVANCE[[#This Row],[OSB CUBIERTA]])</f>
        <v>0</v>
      </c>
      <c r="BZ142" s="3">
        <f>+IF(AVANCE[[#This Row],[BARANDA BALCON]]=AL$2,100%,AVANCE[[#This Row],[BARANDA BALCON]])</f>
        <v>0</v>
      </c>
      <c r="CA142" s="3">
        <f>+IF(AVANCE[[#This Row],[OSB EXTERIOR]]=AM$2,100%,AVANCE[[#This Row],[OSB EXTERIOR]])</f>
        <v>0</v>
      </c>
      <c r="CB142" s="3">
        <f>+IF(AVANCE[[#This Row],[SMART PANEL]]=AN$2,100%,AVANCE[[#This Row],[SMART PANEL]])</f>
        <v>0</v>
      </c>
      <c r="CC142" s="3">
        <f>+IF(AVANCE[[#This Row],[PINTURA EXTERIOR]]=AO$2,100%,AVANCE[[#This Row],[PINTURA EXTERIOR]])</f>
        <v>0</v>
      </c>
      <c r="CD142" s="3">
        <f>+IF(AVANCE[[#This Row],[ZOCALOS LOGIA]]=AP$2,100%,AVANCE[[#This Row],[ZOCALOS LOGIA]])</f>
        <v>0</v>
      </c>
      <c r="CE142" s="3">
        <f>+IF(AVANCE[[#This Row],[MOLDURAS]]=AQ$2,100%,AVANCE[[#This Row],[MOLDURAS]])</f>
        <v>0</v>
      </c>
      <c r="CF142" s="3">
        <f>+IF(AVANCE[[#This Row],[PILASTREO]]=AR$2,100%,AVANCE[[#This Row],[PILASTREO]])</f>
        <v>0</v>
      </c>
      <c r="CG142" s="3">
        <f>+IF(AVANCE[[#This Row],[CELOSIAS]]=AS$2,100%,AVANCE[[#This Row],[CELOSIAS]])</f>
        <v>0</v>
      </c>
      <c r="CH142" s="3">
        <f>+IF(AVANCE[[#This Row],[VENTANAS]]=AT$2,100%,AVANCE[[#This Row],[VENTANAS]])</f>
        <v>0</v>
      </c>
      <c r="CI142" s="3">
        <f>+IF(AVANCE[[#This Row],[PUERTAS ACCESO - LOGIA - BANO]]=AU$2,100%,AVANCE[[#This Row],[PUERTAS ACCESO - LOGIA - BANO]])</f>
        <v>0</v>
      </c>
      <c r="CJ142" s="3">
        <f>+IF(AVANCE[[#This Row],[CERRADURAS]]=AV$2,100%,AVANCE[[#This Row],[CERRADURAS]])</f>
        <v>0</v>
      </c>
      <c r="CK142" s="3">
        <f>+IF(AVANCE[[#This Row],[REVESTIMIENTO INTERIOR ZONA SECA]]=AW$2,100%,AVANCE[[#This Row],[REVESTIMIENTO INTERIOR ZONA SECA]])</f>
        <v>0</v>
      </c>
      <c r="CL142" s="3">
        <f>+IF(AVANCE[[#This Row],[REVESTIMIENTO INTERIOR ZONAS HUMEDAS]]=AX$2,100%,AVANCE[[#This Row],[REVESTIMIENTO INTERIOR ZONAS HUMEDAS]])</f>
        <v>0</v>
      </c>
      <c r="CM142" s="3">
        <f>+IF(AVANCE[[#This Row],[MEMBRANA CIELO]]=AY$2,100%,AVANCE[[#This Row],[MEMBRANA CIELO]])</f>
        <v>0</v>
      </c>
      <c r="CN142" s="3">
        <f>+IF(AVANCE[[#This Row],[LIMPIEZA FINAL]]=AZ$2,100%,AVANCE[[#This Row],[LIMPIEZA FINAL]])</f>
        <v>0</v>
      </c>
      <c r="CO142" s="3">
        <f>+IF(AVANCE[[#This Row],[PUERTAS DORMITORIO]]=BA$2,100%,AVANCE[[#This Row],[PUERTAS DORMITORIO]])</f>
        <v>0</v>
      </c>
      <c r="CP142" s="3">
        <f>+IF(AVANCE[[#This Row],[REVESTIMIENTO INTERIOR BANO]]=BB$2,100%,AVANCE[[#This Row],[REVESTIMIENTO INTERIOR BANO]])</f>
        <v>0</v>
      </c>
      <c r="CQ142" s="3">
        <f>+IF(AVANCE[[#This Row],[MUEBLE LAVAPLATOS]]=BC$2,100%,AVANCE[[#This Row],[MUEBLE LAVAPLATOS]])</f>
        <v>0</v>
      </c>
      <c r="CR142" s="3">
        <f>+IF(AVANCE[[#This Row],[IMPERMEABILIZACION BANO - COCINA LOGIA]]=BD$2,100%,AVANCE[[#This Row],[IMPERMEABILIZACION BANO - COCINA LOGIA]])</f>
        <v>0</v>
      </c>
      <c r="CS142" s="40">
        <f ca="1">+IF(AVANCE[[#This Row],[ESTADO MODULO]]="PENDIENTE",(TODAY()-AVANCE[[#This Row],[FECHA TERMINO  PLANIFICADO]]),0)</f>
        <v>4</v>
      </c>
      <c r="CT142" s="41" t="str" cm="1">
        <f t="array" ref="CT142">_xlfn.TEXTJOIN(" | ",TRUE,IF(SUMPRODUCT((BG142:CR142&lt;1)*(PARTIDAS!$I$2:$AT$2="OBRA GRUESA"))&gt;0,"OBRA GRUESA: "&amp;_xlfn.TEXTJOIN(", ",TRUE,IF((BG142:CR142&lt;1)*(PARTIDAS!$I$2:$AT$2="OBRA GRUESA"),PARTIDAS!$I$1:$AT$1,"")),""),IF(SUMPRODUCT((BG142:CR142&lt;1)*(PARTIDAS!$I$2:$AT$2="SANITARIOS"))&gt;0,"SANITARIOS: "&amp;_xlfn.TEXTJOIN(", ",TRUE,IF((BG142:CR142&lt;1)*(PARTIDAS!$I$2:$AT$2="SANITARIOS"),PARTIDAS!$I$1:$AT$1,"")),""),IF(SUMPRODUCT((BG142:CR142&lt;1)*(PARTIDAS!$I$2:$AT$2="ELÉCTRICO"))&gt;0,"ELÉCTRICO: "&amp;_xlfn.TEXTJOIN(", ",TRUE,IF((BG142:CR142&lt;1)*(PARTIDAS!$I$2:$AT$2="ELÉCTRICO"),PARTIDAS!$I$1:$AT$1,"")),""),IF(SUMPRODUCT((BG142:CR142&lt;1)*(PARTIDAS!$I$2:$AT$2="TERMINACIONES"))&gt;0,"TERMINACIONES: "&amp;_xlfn.TEXTJOIN(", ",TRUE,IF((BG142:CR142&lt;1)*(PARTIDAS!$I$2:$AT$2="TERMINACIONES"),PARTIDAS!$I$1:$AT$1,"")),""))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42" s="43" t="str" cm="1">
        <f t="array" ref="CU142">_xlfn.TEXTJOIN(", ",TRUE,IF(SUMPRODUCT((BG142:CR142&lt;1)*(PARTIDAS!$I$2:$AT$2="OBRA GRUESA"))&gt;0,"OBRA GRUESA",""),IF(SUMPRODUCT((BG142:CR142&lt;1)*(PARTIDAS!$I$2:$AT$2="SANITARIOS"))&gt;0,"SANITARIOS",""),IF(SUMPRODUCT((BG142:CR142&lt;1)*(PARTIDAS!$I$2:$AT$2="ELÉCTRICO"))&gt;0,"ELÉCTRICO",""),IF(SUMPRODUCT((BG142:CR142&lt;1)*(PARTIDAS!$I$2:$AT$2="TERMINACIONES"))&gt;0,"TERMINACIONES",""))</f>
        <v>OBRA GRUESA, SANITARIOS, ELÉCTRICO, TERMINACIONES</v>
      </c>
      <c r="CV142" s="44" cm="1">
        <f t="array" ref="CV142">SUMPRODUCT(--(BG142:CR142&lt;1))</f>
        <v>34</v>
      </c>
    </row>
    <row r="143" spans="1:100" x14ac:dyDescent="0.25">
      <c r="A143" t="s">
        <v>190</v>
      </c>
      <c r="B143" t="s">
        <v>204</v>
      </c>
      <c r="C143">
        <v>2302600142</v>
      </c>
      <c r="D143" t="s">
        <v>60</v>
      </c>
      <c r="E143" s="2">
        <v>0.57999999999999996</v>
      </c>
      <c r="F143" s="1">
        <v>46204</v>
      </c>
      <c r="G143" s="1">
        <v>46218</v>
      </c>
      <c r="H143" s="1">
        <v>46226</v>
      </c>
      <c r="I143" s="1">
        <v>46236</v>
      </c>
      <c r="J143">
        <v>4</v>
      </c>
      <c r="K143" s="1"/>
      <c r="L143" s="3">
        <v>0.43</v>
      </c>
      <c r="M143" s="3">
        <v>1</v>
      </c>
      <c r="N143" s="3">
        <v>0.27906976744186046</v>
      </c>
      <c r="O143" s="3">
        <v>0.18604651162790697</v>
      </c>
      <c r="P143" s="3">
        <v>0.2558139534883721</v>
      </c>
      <c r="Q143" s="3">
        <v>0.18604651162790697</v>
      </c>
      <c r="R143" s="3">
        <v>9.3023255813953487E-2</v>
      </c>
      <c r="S143" s="3">
        <v>3.9999999999999994E-2</v>
      </c>
      <c r="T143" s="3">
        <v>0.44444444444444442</v>
      </c>
      <c r="U143" s="3">
        <v>0.22222222222222221</v>
      </c>
      <c r="V143" s="3">
        <v>0.22222222222222221</v>
      </c>
      <c r="W143" s="3">
        <v>0</v>
      </c>
      <c r="X143" s="3">
        <v>0</v>
      </c>
      <c r="Y143" s="3">
        <v>0</v>
      </c>
      <c r="Z143" s="3">
        <v>0</v>
      </c>
      <c r="AA143" s="3">
        <v>0.03</v>
      </c>
      <c r="AB143" s="3">
        <v>0.27272727272727271</v>
      </c>
      <c r="AC143" s="3">
        <v>0.27272727272727271</v>
      </c>
      <c r="AD143" s="3">
        <v>0</v>
      </c>
      <c r="AE143" s="3">
        <v>0</v>
      </c>
      <c r="AF143" s="3">
        <v>0</v>
      </c>
      <c r="AG143" s="3">
        <v>0</v>
      </c>
      <c r="AH143" s="3">
        <v>7.9999999999999974E-2</v>
      </c>
      <c r="AI143" s="3">
        <v>0.21621621621621614</v>
      </c>
      <c r="AJ143" s="3">
        <v>0</v>
      </c>
      <c r="AK143" s="3">
        <v>5.4054054054054036E-2</v>
      </c>
      <c r="AL143" s="3">
        <v>0</v>
      </c>
      <c r="AM143" s="3">
        <v>8.1081081081081058E-2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2.7027027027027018E-2</v>
      </c>
      <c r="AZ143" s="3">
        <v>0</v>
      </c>
      <c r="BA143" s="3">
        <v>5.4054054054054036E-2</v>
      </c>
      <c r="BB143" s="3">
        <v>0</v>
      </c>
      <c r="BC143" s="3">
        <v>0</v>
      </c>
      <c r="BD143" s="3">
        <v>0</v>
      </c>
      <c r="BE143">
        <v>31.32</v>
      </c>
      <c r="BF143" s="3" t="str">
        <f>+IF(AVANCE[[#This Row],[% AVANCE]]=100%,"MODULO TERMINADO",IF(AVANCE[[#This Row],[FECHA INICIO REAL]]="","MODULO NO INICIADO","PENDIENTE"))</f>
        <v>PENDIENTE</v>
      </c>
      <c r="BG143" s="3">
        <f>+IF(AVANCE[[#This Row],[VENTANAS]]=8.10810810810811%,100%,AVANCE[[#This Row],[VENTANAS]])</f>
        <v>0</v>
      </c>
      <c r="BH143" s="3">
        <f>+IF(AVANCE[[#This Row],[PISO]]=N$2,100%,AVANCE[[#This Row],[PISO]])</f>
        <v>1</v>
      </c>
      <c r="BI143" s="3">
        <f>+IF(AVANCE[[#This Row],[TABIQUES]]=O$2,100%,AVANCE[[#This Row],[TABIQUES]])</f>
        <v>1</v>
      </c>
      <c r="BJ143" s="3">
        <f>+IF(AVANCE[[#This Row],[MUROS]]=P$2,100%,AVANCE[[#This Row],[MUROS]])</f>
        <v>1</v>
      </c>
      <c r="BK143" s="3">
        <f>+IF(AVANCE[[#This Row],[CIELO]]=Q$2,100%,AVANCE[[#This Row],[CIELO]])</f>
        <v>1</v>
      </c>
      <c r="BL143" s="3">
        <f>+IF(AVANCE[[#This Row],[BALCÓN]]=R$2,100%,AVANCE[[#This Row],[BALCÓN]])</f>
        <v>1</v>
      </c>
      <c r="BM143" s="3">
        <f>+IF(AVANCE[[#This Row],[RED ALCANTARILLADO]]=U$2,100%,AVANCE[[#This Row],[RED ALCANTARILLADO]])</f>
        <v>1</v>
      </c>
      <c r="BN143" s="3">
        <f>+IF(AVANCE[[#This Row],[RED DE AGUA]]=V$2,100%,AVANCE[[#This Row],[RED DE AGUA]])</f>
        <v>1</v>
      </c>
      <c r="BO143" s="3">
        <f>+IF(AVANCE[[#This Row],[VENTILACIONES]]=W$2,100%,AVANCE[[#This Row],[VENTILACIONES]])</f>
        <v>0</v>
      </c>
      <c r="BP143" s="3">
        <f>+IF(AVANCE[[#This Row],[TINA]]=X$2,100%,AVANCE[[#This Row],[TINA]])</f>
        <v>0</v>
      </c>
      <c r="BQ143" s="3">
        <f>+IF(AVANCE[[#This Row],[WC]]=Y$2,100%,AVANCE[[#This Row],[WC]])</f>
        <v>0</v>
      </c>
      <c r="BR143" s="3">
        <f>+IF(AVANCE[[#This Row],[LAVAMANOS / LAVAPLATOS / LAVADERO]]=Z$2,100%,AVANCE[[#This Row],[LAVAMANOS / LAVAPLATOS / LAVADERO]])</f>
        <v>0</v>
      </c>
      <c r="BS143" s="3">
        <f>+IF(AVANCE[[#This Row],[CANALIZACIÓN]]=AC$2,100%,AVANCE[[#This Row],[CANALIZACIÓN]])</f>
        <v>1</v>
      </c>
      <c r="BT143" s="3">
        <f>+IF(AVANCE[[#This Row],[CABLEADO]]=AD$2,100%,AVANCE[[#This Row],[CABLEADO]])</f>
        <v>0</v>
      </c>
      <c r="BU143" s="3">
        <f>+IF(AVANCE[[#This Row],[ARTEFACTOS]]=AE$2,100%,AVANCE[[#This Row],[ARTEFACTOS]])</f>
        <v>0</v>
      </c>
      <c r="BV143" s="3">
        <f>+IF(AVANCE[[#This Row],[TABLERO]]=AF$2,100%,AVANCE[[#This Row],[TABLERO]])</f>
        <v>0</v>
      </c>
      <c r="BW143" s="3">
        <f>+IF(AVANCE[[#This Row],[CAJA PAU]]=AG$2,100%,AVANCE[[#This Row],[CAJA PAU]])</f>
        <v>0</v>
      </c>
      <c r="BX143" s="3">
        <f>+IF(AVANCE[[#This Row],[INSTALACION VINILICO]]=AJ$2,100%,AVANCE[[#This Row],[INSTALACION VINILICO]])</f>
        <v>0</v>
      </c>
      <c r="BY143" s="3">
        <f>+IF(AVANCE[[#This Row],[OSB CUBIERTA]]=AK$2,100%,AVANCE[[#This Row],[OSB CUBIERTA]])</f>
        <v>1</v>
      </c>
      <c r="BZ143" s="3">
        <f>+IF(AVANCE[[#This Row],[BARANDA BALCON]]=AL$2,100%,AVANCE[[#This Row],[BARANDA BALCON]])</f>
        <v>0</v>
      </c>
      <c r="CA143" s="3">
        <f>+IF(AVANCE[[#This Row],[OSB EXTERIOR]]=AM$2,100%,AVANCE[[#This Row],[OSB EXTERIOR]])</f>
        <v>1</v>
      </c>
      <c r="CB143" s="3">
        <f>+IF(AVANCE[[#This Row],[SMART PANEL]]=AN$2,100%,AVANCE[[#This Row],[SMART PANEL]])</f>
        <v>0</v>
      </c>
      <c r="CC143" s="3">
        <f>+IF(AVANCE[[#This Row],[PINTURA EXTERIOR]]=AO$2,100%,AVANCE[[#This Row],[PINTURA EXTERIOR]])</f>
        <v>0</v>
      </c>
      <c r="CD143" s="3">
        <f>+IF(AVANCE[[#This Row],[ZOCALOS LOGIA]]=AP$2,100%,AVANCE[[#This Row],[ZOCALOS LOGIA]])</f>
        <v>0</v>
      </c>
      <c r="CE143" s="3">
        <f>+IF(AVANCE[[#This Row],[MOLDURAS]]=AQ$2,100%,AVANCE[[#This Row],[MOLDURAS]])</f>
        <v>0</v>
      </c>
      <c r="CF143" s="3">
        <f>+IF(AVANCE[[#This Row],[PILASTREO]]=AR$2,100%,AVANCE[[#This Row],[PILASTREO]])</f>
        <v>0</v>
      </c>
      <c r="CG143" s="3">
        <f>+IF(AVANCE[[#This Row],[CELOSIAS]]=AS$2,100%,AVANCE[[#This Row],[CELOSIAS]])</f>
        <v>0</v>
      </c>
      <c r="CH143" s="3">
        <f>+IF(AVANCE[[#This Row],[VENTANAS]]=AT$2,100%,AVANCE[[#This Row],[VENTANAS]])</f>
        <v>0</v>
      </c>
      <c r="CI143" s="3">
        <f>+IF(AVANCE[[#This Row],[PUERTAS ACCESO - LOGIA - BANO]]=AU$2,100%,AVANCE[[#This Row],[PUERTAS ACCESO - LOGIA - BANO]])</f>
        <v>0</v>
      </c>
      <c r="CJ143" s="3">
        <f>+IF(AVANCE[[#This Row],[CERRADURAS]]=AV$2,100%,AVANCE[[#This Row],[CERRADURAS]])</f>
        <v>0</v>
      </c>
      <c r="CK143" s="3">
        <f>+IF(AVANCE[[#This Row],[REVESTIMIENTO INTERIOR ZONA SECA]]=AW$2,100%,AVANCE[[#This Row],[REVESTIMIENTO INTERIOR ZONA SECA]])</f>
        <v>0</v>
      </c>
      <c r="CL143" s="3">
        <f>+IF(AVANCE[[#This Row],[REVESTIMIENTO INTERIOR ZONAS HUMEDAS]]=AX$2,100%,AVANCE[[#This Row],[REVESTIMIENTO INTERIOR ZONAS HUMEDAS]])</f>
        <v>0</v>
      </c>
      <c r="CM143" s="3">
        <f>+IF(AVANCE[[#This Row],[MEMBRANA CIELO]]=AY$2,100%,AVANCE[[#This Row],[MEMBRANA CIELO]])</f>
        <v>1</v>
      </c>
      <c r="CN143" s="3">
        <f>+IF(AVANCE[[#This Row],[LIMPIEZA FINAL]]=AZ$2,100%,AVANCE[[#This Row],[LIMPIEZA FINAL]])</f>
        <v>0</v>
      </c>
      <c r="CO143" s="3">
        <f>+IF(AVANCE[[#This Row],[PUERTAS DORMITORIO]]=BA$2,100%,AVANCE[[#This Row],[PUERTAS DORMITORIO]])</f>
        <v>1</v>
      </c>
      <c r="CP143" s="3">
        <f>+IF(AVANCE[[#This Row],[REVESTIMIENTO INTERIOR BANO]]=BB$2,100%,AVANCE[[#This Row],[REVESTIMIENTO INTERIOR BANO]])</f>
        <v>0</v>
      </c>
      <c r="CQ143" s="3">
        <f>+IF(AVANCE[[#This Row],[MUEBLE LAVAPLATOS]]=BC$2,100%,AVANCE[[#This Row],[MUEBLE LAVAPLATOS]])</f>
        <v>0</v>
      </c>
      <c r="CR143" s="3">
        <f>+IF(AVANCE[[#This Row],[IMPERMEABILIZACION BANO - COCINA LOGIA]]=BD$2,100%,AVANCE[[#This Row],[IMPERMEABILIZACION BANO - COCINA LOGIA]])</f>
        <v>0</v>
      </c>
      <c r="CS143" s="40">
        <f ca="1">+IF(AVANCE[[#This Row],[ESTADO MODULO]]="PENDIENTE",(TODAY()-AVANCE[[#This Row],[FECHA TERMINO  PLANIFICADO]]),0)</f>
        <v>-6</v>
      </c>
      <c r="CT143" s="41" t="str" cm="1">
        <f t="array" ref="CT143">_xlfn.TEXTJOIN(" | ",TRUE,IF(SUMPRODUCT((BG143:CR143&lt;1)*(PARTIDAS!$I$2:$AT$2="OBRA GRUESA"))&gt;0,"OBRA GRUESA: "&amp;_xlfn.TEXTJOIN(", ",TRUE,IF((BG143:CR143&lt;1)*(PARTIDAS!$I$2:$AT$2="OBRA GRUESA"),PARTIDAS!$I$1:$AT$1,"")),""),IF(SUMPRODUCT((BG143:CR143&lt;1)*(PARTIDAS!$I$2:$AT$2="SANITARIOS"))&gt;0,"SANITARIOS: "&amp;_xlfn.TEXTJOIN(", ",TRUE,IF((BG143:CR143&lt;1)*(PARTIDAS!$I$2:$AT$2="SANITARIOS"),PARTIDAS!$I$1:$AT$1,"")),""),IF(SUMPRODUCT((BG143:CR143&lt;1)*(PARTIDAS!$I$2:$AT$2="ELÉCTRICO"))&gt;0,"ELÉCTRICO: "&amp;_xlfn.TEXTJOIN(", ",TRUE,IF((BG143:CR143&lt;1)*(PARTIDAS!$I$2:$AT$2="ELÉCTRICO"),PARTIDAS!$I$1:$AT$1,"")),""),IF(SUMPRODUCT((BG143:CR143&lt;1)*(PARTIDAS!$I$2:$AT$2="TERMINACIONES"))&gt;0,"TERMINACIONES: "&amp;_xlfn.TEXTJOIN(", ",TRUE,IF((BG143:CR143&lt;1)*(PARTIDAS!$I$2:$AT$2="TERMINACIONES"),PARTIDAS!$I$1:$AT$1,"")),""))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</v>
      </c>
      <c r="CU143" s="43" t="str" cm="1">
        <f t="array" ref="CU143">_xlfn.TEXTJOIN(", ",TRUE,IF(SUMPRODUCT((BG143:CR143&lt;1)*(PARTIDAS!$I$2:$AT$2="OBRA GRUESA"))&gt;0,"OBRA GRUESA",""),IF(SUMPRODUCT((BG143:CR143&lt;1)*(PARTIDAS!$I$2:$AT$2="SANITARIOS"))&gt;0,"SANITARIOS",""),IF(SUMPRODUCT((BG143:CR143&lt;1)*(PARTIDAS!$I$2:$AT$2="ELÉCTRICO"))&gt;0,"ELÉCTRICO",""),IF(SUMPRODUCT((BG143:CR143&lt;1)*(PARTIDAS!$I$2:$AT$2="TERMINACIONES"))&gt;0,"TERMINACIONES",""))</f>
        <v>SANITARIOS, ELÉCTRICO, TERMINACIONES</v>
      </c>
      <c r="CV143" s="44" cm="1">
        <f t="array" ref="CV143">SUMPRODUCT(--(BG143:CR143&lt;1))</f>
        <v>26</v>
      </c>
    </row>
    <row r="144" spans="1:100" x14ac:dyDescent="0.25">
      <c r="A144" t="s">
        <v>190</v>
      </c>
      <c r="B144" t="s">
        <v>205</v>
      </c>
      <c r="C144">
        <v>2302600143</v>
      </c>
      <c r="D144" t="s">
        <v>60</v>
      </c>
      <c r="E144" s="2">
        <v>0.57999999999999996</v>
      </c>
      <c r="F144" s="1">
        <v>46204</v>
      </c>
      <c r="G144" s="1">
        <v>46217</v>
      </c>
      <c r="H144" s="1">
        <v>46225</v>
      </c>
      <c r="I144" s="1">
        <v>46236</v>
      </c>
      <c r="J144">
        <v>5</v>
      </c>
      <c r="K144" s="1"/>
      <c r="L144" s="3">
        <v>0.43</v>
      </c>
      <c r="M144" s="3">
        <v>1</v>
      </c>
      <c r="N144" s="3">
        <v>0.27906976744186046</v>
      </c>
      <c r="O144" s="3">
        <v>0.18604651162790697</v>
      </c>
      <c r="P144" s="3">
        <v>0.2558139534883721</v>
      </c>
      <c r="Q144" s="3">
        <v>0.18604651162790697</v>
      </c>
      <c r="R144" s="3">
        <v>9.3023255813953487E-2</v>
      </c>
      <c r="S144" s="3">
        <v>3.9999999999999994E-2</v>
      </c>
      <c r="T144" s="3">
        <v>0.44444444444444442</v>
      </c>
      <c r="U144" s="3">
        <v>0.22222222222222221</v>
      </c>
      <c r="V144" s="3">
        <v>0.22222222222222221</v>
      </c>
      <c r="W144" s="3">
        <v>0</v>
      </c>
      <c r="X144" s="3">
        <v>0</v>
      </c>
      <c r="Y144" s="3">
        <v>0</v>
      </c>
      <c r="Z144" s="3">
        <v>0</v>
      </c>
      <c r="AA144" s="3">
        <v>0.03</v>
      </c>
      <c r="AB144" s="3">
        <v>0.27272727272727271</v>
      </c>
      <c r="AC144" s="3">
        <v>0.27272727272727271</v>
      </c>
      <c r="AD144" s="3">
        <v>0</v>
      </c>
      <c r="AE144" s="3">
        <v>0</v>
      </c>
      <c r="AF144" s="3">
        <v>0</v>
      </c>
      <c r="AG144" s="3">
        <v>0</v>
      </c>
      <c r="AH144" s="3">
        <v>7.9999999999999974E-2</v>
      </c>
      <c r="AI144" s="3">
        <v>0.21621621621621614</v>
      </c>
      <c r="AJ144" s="3">
        <v>0</v>
      </c>
      <c r="AK144" s="3">
        <v>5.4054054054054036E-2</v>
      </c>
      <c r="AL144" s="3">
        <v>0</v>
      </c>
      <c r="AM144" s="3">
        <v>8.1081081081081058E-2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2.7027027027027018E-2</v>
      </c>
      <c r="AZ144" s="3">
        <v>0</v>
      </c>
      <c r="BA144" s="3">
        <v>5.4054054054054036E-2</v>
      </c>
      <c r="BB144" s="3">
        <v>0</v>
      </c>
      <c r="BC144" s="3">
        <v>0</v>
      </c>
      <c r="BD144" s="3">
        <v>0</v>
      </c>
      <c r="BE144">
        <v>31.32</v>
      </c>
      <c r="BF144" s="3" t="str">
        <f>+IF(AVANCE[[#This Row],[% AVANCE]]=100%,"MODULO TERMINADO",IF(AVANCE[[#This Row],[FECHA INICIO REAL]]="","MODULO NO INICIADO","PENDIENTE"))</f>
        <v>PENDIENTE</v>
      </c>
      <c r="BG144" s="3">
        <f>+IF(AVANCE[[#This Row],[VENTANAS]]=8.10810810810811%,100%,AVANCE[[#This Row],[VENTANAS]])</f>
        <v>0</v>
      </c>
      <c r="BH144" s="3">
        <f>+IF(AVANCE[[#This Row],[PISO]]=N$2,100%,AVANCE[[#This Row],[PISO]])</f>
        <v>1</v>
      </c>
      <c r="BI144" s="3">
        <f>+IF(AVANCE[[#This Row],[TABIQUES]]=O$2,100%,AVANCE[[#This Row],[TABIQUES]])</f>
        <v>1</v>
      </c>
      <c r="BJ144" s="3">
        <f>+IF(AVANCE[[#This Row],[MUROS]]=P$2,100%,AVANCE[[#This Row],[MUROS]])</f>
        <v>1</v>
      </c>
      <c r="BK144" s="3">
        <f>+IF(AVANCE[[#This Row],[CIELO]]=Q$2,100%,AVANCE[[#This Row],[CIELO]])</f>
        <v>1</v>
      </c>
      <c r="BL144" s="3">
        <f>+IF(AVANCE[[#This Row],[BALCÓN]]=R$2,100%,AVANCE[[#This Row],[BALCÓN]])</f>
        <v>1</v>
      </c>
      <c r="BM144" s="3">
        <f>+IF(AVANCE[[#This Row],[RED ALCANTARILLADO]]=U$2,100%,AVANCE[[#This Row],[RED ALCANTARILLADO]])</f>
        <v>1</v>
      </c>
      <c r="BN144" s="3">
        <f>+IF(AVANCE[[#This Row],[RED DE AGUA]]=V$2,100%,AVANCE[[#This Row],[RED DE AGUA]])</f>
        <v>1</v>
      </c>
      <c r="BO144" s="3">
        <f>+IF(AVANCE[[#This Row],[VENTILACIONES]]=W$2,100%,AVANCE[[#This Row],[VENTILACIONES]])</f>
        <v>0</v>
      </c>
      <c r="BP144" s="3">
        <f>+IF(AVANCE[[#This Row],[TINA]]=X$2,100%,AVANCE[[#This Row],[TINA]])</f>
        <v>0</v>
      </c>
      <c r="BQ144" s="3">
        <f>+IF(AVANCE[[#This Row],[WC]]=Y$2,100%,AVANCE[[#This Row],[WC]])</f>
        <v>0</v>
      </c>
      <c r="BR144" s="3">
        <f>+IF(AVANCE[[#This Row],[LAVAMANOS / LAVAPLATOS / LAVADERO]]=Z$2,100%,AVANCE[[#This Row],[LAVAMANOS / LAVAPLATOS / LAVADERO]])</f>
        <v>0</v>
      </c>
      <c r="BS144" s="3">
        <f>+IF(AVANCE[[#This Row],[CANALIZACIÓN]]=AC$2,100%,AVANCE[[#This Row],[CANALIZACIÓN]])</f>
        <v>1</v>
      </c>
      <c r="BT144" s="3">
        <f>+IF(AVANCE[[#This Row],[CABLEADO]]=AD$2,100%,AVANCE[[#This Row],[CABLEADO]])</f>
        <v>0</v>
      </c>
      <c r="BU144" s="3">
        <f>+IF(AVANCE[[#This Row],[ARTEFACTOS]]=AE$2,100%,AVANCE[[#This Row],[ARTEFACTOS]])</f>
        <v>0</v>
      </c>
      <c r="BV144" s="3">
        <f>+IF(AVANCE[[#This Row],[TABLERO]]=AF$2,100%,AVANCE[[#This Row],[TABLERO]])</f>
        <v>0</v>
      </c>
      <c r="BW144" s="3">
        <f>+IF(AVANCE[[#This Row],[CAJA PAU]]=AG$2,100%,AVANCE[[#This Row],[CAJA PAU]])</f>
        <v>0</v>
      </c>
      <c r="BX144" s="3">
        <f>+IF(AVANCE[[#This Row],[INSTALACION VINILICO]]=AJ$2,100%,AVANCE[[#This Row],[INSTALACION VINILICO]])</f>
        <v>0</v>
      </c>
      <c r="BY144" s="3">
        <f>+IF(AVANCE[[#This Row],[OSB CUBIERTA]]=AK$2,100%,AVANCE[[#This Row],[OSB CUBIERTA]])</f>
        <v>1</v>
      </c>
      <c r="BZ144" s="3">
        <f>+IF(AVANCE[[#This Row],[BARANDA BALCON]]=AL$2,100%,AVANCE[[#This Row],[BARANDA BALCON]])</f>
        <v>0</v>
      </c>
      <c r="CA144" s="3">
        <f>+IF(AVANCE[[#This Row],[OSB EXTERIOR]]=AM$2,100%,AVANCE[[#This Row],[OSB EXTERIOR]])</f>
        <v>1</v>
      </c>
      <c r="CB144" s="3">
        <f>+IF(AVANCE[[#This Row],[SMART PANEL]]=AN$2,100%,AVANCE[[#This Row],[SMART PANEL]])</f>
        <v>0</v>
      </c>
      <c r="CC144" s="3">
        <f>+IF(AVANCE[[#This Row],[PINTURA EXTERIOR]]=AO$2,100%,AVANCE[[#This Row],[PINTURA EXTERIOR]])</f>
        <v>0</v>
      </c>
      <c r="CD144" s="3">
        <f>+IF(AVANCE[[#This Row],[ZOCALOS LOGIA]]=AP$2,100%,AVANCE[[#This Row],[ZOCALOS LOGIA]])</f>
        <v>0</v>
      </c>
      <c r="CE144" s="3">
        <f>+IF(AVANCE[[#This Row],[MOLDURAS]]=AQ$2,100%,AVANCE[[#This Row],[MOLDURAS]])</f>
        <v>0</v>
      </c>
      <c r="CF144" s="3">
        <f>+IF(AVANCE[[#This Row],[PILASTREO]]=AR$2,100%,AVANCE[[#This Row],[PILASTREO]])</f>
        <v>0</v>
      </c>
      <c r="CG144" s="3">
        <f>+IF(AVANCE[[#This Row],[CELOSIAS]]=AS$2,100%,AVANCE[[#This Row],[CELOSIAS]])</f>
        <v>0</v>
      </c>
      <c r="CH144" s="3">
        <f>+IF(AVANCE[[#This Row],[VENTANAS]]=AT$2,100%,AVANCE[[#This Row],[VENTANAS]])</f>
        <v>0</v>
      </c>
      <c r="CI144" s="3">
        <f>+IF(AVANCE[[#This Row],[PUERTAS ACCESO - LOGIA - BANO]]=AU$2,100%,AVANCE[[#This Row],[PUERTAS ACCESO - LOGIA - BANO]])</f>
        <v>0</v>
      </c>
      <c r="CJ144" s="3">
        <f>+IF(AVANCE[[#This Row],[CERRADURAS]]=AV$2,100%,AVANCE[[#This Row],[CERRADURAS]])</f>
        <v>0</v>
      </c>
      <c r="CK144" s="3">
        <f>+IF(AVANCE[[#This Row],[REVESTIMIENTO INTERIOR ZONA SECA]]=AW$2,100%,AVANCE[[#This Row],[REVESTIMIENTO INTERIOR ZONA SECA]])</f>
        <v>0</v>
      </c>
      <c r="CL144" s="3">
        <f>+IF(AVANCE[[#This Row],[REVESTIMIENTO INTERIOR ZONAS HUMEDAS]]=AX$2,100%,AVANCE[[#This Row],[REVESTIMIENTO INTERIOR ZONAS HUMEDAS]])</f>
        <v>0</v>
      </c>
      <c r="CM144" s="3">
        <f>+IF(AVANCE[[#This Row],[MEMBRANA CIELO]]=AY$2,100%,AVANCE[[#This Row],[MEMBRANA CIELO]])</f>
        <v>1</v>
      </c>
      <c r="CN144" s="3">
        <f>+IF(AVANCE[[#This Row],[LIMPIEZA FINAL]]=AZ$2,100%,AVANCE[[#This Row],[LIMPIEZA FINAL]])</f>
        <v>0</v>
      </c>
      <c r="CO144" s="3">
        <f>+IF(AVANCE[[#This Row],[PUERTAS DORMITORIO]]=BA$2,100%,AVANCE[[#This Row],[PUERTAS DORMITORIO]])</f>
        <v>1</v>
      </c>
      <c r="CP144" s="3">
        <f>+IF(AVANCE[[#This Row],[REVESTIMIENTO INTERIOR BANO]]=BB$2,100%,AVANCE[[#This Row],[REVESTIMIENTO INTERIOR BANO]])</f>
        <v>0</v>
      </c>
      <c r="CQ144" s="3">
        <f>+IF(AVANCE[[#This Row],[MUEBLE LAVAPLATOS]]=BC$2,100%,AVANCE[[#This Row],[MUEBLE LAVAPLATOS]])</f>
        <v>0</v>
      </c>
      <c r="CR144" s="3">
        <f>+IF(AVANCE[[#This Row],[IMPERMEABILIZACION BANO - COCINA LOGIA]]=BD$2,100%,AVANCE[[#This Row],[IMPERMEABILIZACION BANO - COCINA LOGIA]])</f>
        <v>0</v>
      </c>
      <c r="CS144" s="40">
        <f ca="1">+IF(AVANCE[[#This Row],[ESTADO MODULO]]="PENDIENTE",(TODAY()-AVANCE[[#This Row],[FECHA TERMINO  PLANIFICADO]]),0)</f>
        <v>-6</v>
      </c>
      <c r="CT144" s="41" t="str" cm="1">
        <f t="array" ref="CT144">_xlfn.TEXTJOIN(" | ",TRUE,IF(SUMPRODUCT((BG144:CR144&lt;1)*(PARTIDAS!$I$2:$AT$2="OBRA GRUESA"))&gt;0,"OBRA GRUESA: "&amp;_xlfn.TEXTJOIN(", ",TRUE,IF((BG144:CR144&lt;1)*(PARTIDAS!$I$2:$AT$2="OBRA GRUESA"),PARTIDAS!$I$1:$AT$1,"")),""),IF(SUMPRODUCT((BG144:CR144&lt;1)*(PARTIDAS!$I$2:$AT$2="SANITARIOS"))&gt;0,"SANITARIOS: "&amp;_xlfn.TEXTJOIN(", ",TRUE,IF((BG144:CR144&lt;1)*(PARTIDAS!$I$2:$AT$2="SANITARIOS"),PARTIDAS!$I$1:$AT$1,"")),""),IF(SUMPRODUCT((BG144:CR144&lt;1)*(PARTIDAS!$I$2:$AT$2="ELÉCTRICO"))&gt;0,"ELÉCTRICO: "&amp;_xlfn.TEXTJOIN(", ",TRUE,IF((BG144:CR144&lt;1)*(PARTIDAS!$I$2:$AT$2="ELÉCTRICO"),PARTIDAS!$I$1:$AT$1,"")),""),IF(SUMPRODUCT((BG144:CR144&lt;1)*(PARTIDAS!$I$2:$AT$2="TERMINACIONES"))&gt;0,"TERMINACIONES: "&amp;_xlfn.TEXTJOIN(", ",TRUE,IF((BG144:CR144&lt;1)*(PARTIDAS!$I$2:$AT$2="TERMINACIONES"),PARTIDAS!$I$1:$AT$1,"")),""))</f>
        <v>SANITARIOS: VENTILACIONES, TINA, WC, LAVAMANOS / LAVAPLATOS / LAVADERO | ELÉCTRICO: CABLEADO, ARTEFACTOS, TABLERO, CAJA PAU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REVESTIMIENTO INTERIOR BANO, MUEBLE LAVAPLATOS, IMPERMEABILIZACION BANO - COCINA LOGIA</v>
      </c>
      <c r="CU144" s="43" t="str" cm="1">
        <f t="array" ref="CU144">_xlfn.TEXTJOIN(", ",TRUE,IF(SUMPRODUCT((BG144:CR144&lt;1)*(PARTIDAS!$I$2:$AT$2="OBRA GRUESA"))&gt;0,"OBRA GRUESA",""),IF(SUMPRODUCT((BG144:CR144&lt;1)*(PARTIDAS!$I$2:$AT$2="SANITARIOS"))&gt;0,"SANITARIOS",""),IF(SUMPRODUCT((BG144:CR144&lt;1)*(PARTIDAS!$I$2:$AT$2="ELÉCTRICO"))&gt;0,"ELÉCTRICO",""),IF(SUMPRODUCT((BG144:CR144&lt;1)*(PARTIDAS!$I$2:$AT$2="TERMINACIONES"))&gt;0,"TERMINACIONES",""))</f>
        <v>SANITARIOS, ELÉCTRICO, TERMINACIONES</v>
      </c>
      <c r="CV144" s="44" cm="1">
        <f t="array" ref="CV144">SUMPRODUCT(--(BG144:CR144&lt;1))</f>
        <v>26</v>
      </c>
    </row>
    <row r="145" spans="1:100" x14ac:dyDescent="0.25">
      <c r="A145" t="s">
        <v>190</v>
      </c>
      <c r="B145" t="s">
        <v>206</v>
      </c>
      <c r="C145">
        <v>2282600144</v>
      </c>
      <c r="D145" t="s">
        <v>58</v>
      </c>
      <c r="E145" s="2">
        <v>0.64999999999999991</v>
      </c>
      <c r="F145" s="1">
        <v>46205</v>
      </c>
      <c r="G145" s="1">
        <v>46217</v>
      </c>
      <c r="H145" s="1">
        <v>46223</v>
      </c>
      <c r="I145" s="1">
        <v>46227</v>
      </c>
      <c r="J145">
        <v>7</v>
      </c>
      <c r="K145" s="1"/>
      <c r="L145" s="3">
        <v>0.43</v>
      </c>
      <c r="M145" s="3">
        <v>1</v>
      </c>
      <c r="N145" s="3">
        <v>0.27906976744186046</v>
      </c>
      <c r="O145" s="3">
        <v>0.18604651162790697</v>
      </c>
      <c r="P145" s="3">
        <v>0.2558139534883721</v>
      </c>
      <c r="Q145" s="3">
        <v>0.18604651162790697</v>
      </c>
      <c r="R145" s="3">
        <v>9.3023255813953487E-2</v>
      </c>
      <c r="S145" s="3">
        <v>0.09</v>
      </c>
      <c r="T145" s="3">
        <v>1</v>
      </c>
      <c r="U145" s="3">
        <v>0.22222222222222221</v>
      </c>
      <c r="V145" s="3">
        <v>0.22222222222222221</v>
      </c>
      <c r="W145" s="3">
        <v>0.1111111111111111</v>
      </c>
      <c r="X145" s="3">
        <v>0.1111111111111111</v>
      </c>
      <c r="Y145" s="3">
        <v>0.1111111111111111</v>
      </c>
      <c r="Z145" s="3">
        <v>0.22222222222222221</v>
      </c>
      <c r="AA145" s="3">
        <v>6.9999999999999993E-2</v>
      </c>
      <c r="AB145" s="3">
        <v>0.63636363636363635</v>
      </c>
      <c r="AC145" s="3">
        <v>0.27272727272727271</v>
      </c>
      <c r="AD145" s="3">
        <v>0</v>
      </c>
      <c r="AE145" s="3">
        <v>0</v>
      </c>
      <c r="AF145" s="3">
        <v>0.18181818181818182</v>
      </c>
      <c r="AG145" s="3">
        <v>0.18181818181818182</v>
      </c>
      <c r="AH145" s="3">
        <v>5.9999999999999984E-2</v>
      </c>
      <c r="AI145" s="3">
        <v>0.16216216216216212</v>
      </c>
      <c r="AJ145" s="3">
        <v>0</v>
      </c>
      <c r="AK145" s="3">
        <v>5.4054054054054036E-2</v>
      </c>
      <c r="AL145" s="3">
        <v>0</v>
      </c>
      <c r="AM145" s="3">
        <v>8.1081081081081058E-2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2.7027027027027018E-2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>
        <v>28.87</v>
      </c>
      <c r="BF145" s="3" t="str">
        <f>+IF(AVANCE[[#This Row],[% AVANCE]]=100%,"MODULO TERMINADO",IF(AVANCE[[#This Row],[FECHA INICIO REAL]]="","MODULO NO INICIADO","PENDIENTE"))</f>
        <v>PENDIENTE</v>
      </c>
      <c r="BG145" s="3">
        <f>+IF(AVANCE[[#This Row],[VENTANAS]]=8.10810810810811%,100%,AVANCE[[#This Row],[VENTANAS]])</f>
        <v>0</v>
      </c>
      <c r="BH145" s="3">
        <f>+IF(AVANCE[[#This Row],[PISO]]=N$2,100%,AVANCE[[#This Row],[PISO]])</f>
        <v>1</v>
      </c>
      <c r="BI145" s="3">
        <f>+IF(AVANCE[[#This Row],[TABIQUES]]=O$2,100%,AVANCE[[#This Row],[TABIQUES]])</f>
        <v>1</v>
      </c>
      <c r="BJ145" s="3">
        <f>+IF(AVANCE[[#This Row],[MUROS]]=P$2,100%,AVANCE[[#This Row],[MUROS]])</f>
        <v>1</v>
      </c>
      <c r="BK145" s="3">
        <f>+IF(AVANCE[[#This Row],[CIELO]]=Q$2,100%,AVANCE[[#This Row],[CIELO]])</f>
        <v>1</v>
      </c>
      <c r="BL145" s="3">
        <f>+IF(AVANCE[[#This Row],[BALCÓN]]=R$2,100%,AVANCE[[#This Row],[BALCÓN]])</f>
        <v>1</v>
      </c>
      <c r="BM145" s="3">
        <f>+IF(AVANCE[[#This Row],[RED ALCANTARILLADO]]=U$2,100%,AVANCE[[#This Row],[RED ALCANTARILLADO]])</f>
        <v>1</v>
      </c>
      <c r="BN145" s="3">
        <f>+IF(AVANCE[[#This Row],[RED DE AGUA]]=V$2,100%,AVANCE[[#This Row],[RED DE AGUA]])</f>
        <v>1</v>
      </c>
      <c r="BO145" s="3">
        <f>+IF(AVANCE[[#This Row],[VENTILACIONES]]=W$2,100%,AVANCE[[#This Row],[VENTILACIONES]])</f>
        <v>1</v>
      </c>
      <c r="BP145" s="3">
        <f>+IF(AVANCE[[#This Row],[TINA]]=X$2,100%,AVANCE[[#This Row],[TINA]])</f>
        <v>1</v>
      </c>
      <c r="BQ145" s="3">
        <f>+IF(AVANCE[[#This Row],[WC]]=Y$2,100%,AVANCE[[#This Row],[WC]])</f>
        <v>1</v>
      </c>
      <c r="BR145" s="3">
        <f>+IF(AVANCE[[#This Row],[LAVAMANOS / LAVAPLATOS / LAVADERO]]=Z$2,100%,AVANCE[[#This Row],[LAVAMANOS / LAVAPLATOS / LAVADERO]])</f>
        <v>1</v>
      </c>
      <c r="BS145" s="3">
        <f>+IF(AVANCE[[#This Row],[CANALIZACIÓN]]=AC$2,100%,AVANCE[[#This Row],[CANALIZACIÓN]])</f>
        <v>1</v>
      </c>
      <c r="BT145" s="3">
        <f>+IF(AVANCE[[#This Row],[CABLEADO]]=AD$2,100%,AVANCE[[#This Row],[CABLEADO]])</f>
        <v>0</v>
      </c>
      <c r="BU145" s="3">
        <f>+IF(AVANCE[[#This Row],[ARTEFACTOS]]=AE$2,100%,AVANCE[[#This Row],[ARTEFACTOS]])</f>
        <v>0</v>
      </c>
      <c r="BV145" s="3">
        <f>+IF(AVANCE[[#This Row],[TABLERO]]=AF$2,100%,AVANCE[[#This Row],[TABLERO]])</f>
        <v>1</v>
      </c>
      <c r="BW145" s="3">
        <f>+IF(AVANCE[[#This Row],[CAJA PAU]]=AG$2,100%,AVANCE[[#This Row],[CAJA PAU]])</f>
        <v>1</v>
      </c>
      <c r="BX145" s="3">
        <f>+IF(AVANCE[[#This Row],[INSTALACION VINILICO]]=AJ$2,100%,AVANCE[[#This Row],[INSTALACION VINILICO]])</f>
        <v>0</v>
      </c>
      <c r="BY145" s="3">
        <f>+IF(AVANCE[[#This Row],[OSB CUBIERTA]]=AK$2,100%,AVANCE[[#This Row],[OSB CUBIERTA]])</f>
        <v>1</v>
      </c>
      <c r="BZ145" s="3">
        <f>+IF(AVANCE[[#This Row],[BARANDA BALCON]]=AL$2,100%,AVANCE[[#This Row],[BARANDA BALCON]])</f>
        <v>0</v>
      </c>
      <c r="CA145" s="3">
        <f>+IF(AVANCE[[#This Row],[OSB EXTERIOR]]=AM$2,100%,AVANCE[[#This Row],[OSB EXTERIOR]])</f>
        <v>1</v>
      </c>
      <c r="CB145" s="3">
        <f>+IF(AVANCE[[#This Row],[SMART PANEL]]=AN$2,100%,AVANCE[[#This Row],[SMART PANEL]])</f>
        <v>0</v>
      </c>
      <c r="CC145" s="3">
        <f>+IF(AVANCE[[#This Row],[PINTURA EXTERIOR]]=AO$2,100%,AVANCE[[#This Row],[PINTURA EXTERIOR]])</f>
        <v>0</v>
      </c>
      <c r="CD145" s="3">
        <f>+IF(AVANCE[[#This Row],[ZOCALOS LOGIA]]=AP$2,100%,AVANCE[[#This Row],[ZOCALOS LOGIA]])</f>
        <v>0</v>
      </c>
      <c r="CE145" s="3">
        <f>+IF(AVANCE[[#This Row],[MOLDURAS]]=AQ$2,100%,AVANCE[[#This Row],[MOLDURAS]])</f>
        <v>0</v>
      </c>
      <c r="CF145" s="3">
        <f>+IF(AVANCE[[#This Row],[PILASTREO]]=AR$2,100%,AVANCE[[#This Row],[PILASTREO]])</f>
        <v>0</v>
      </c>
      <c r="CG145" s="3">
        <f>+IF(AVANCE[[#This Row],[CELOSIAS]]=AS$2,100%,AVANCE[[#This Row],[CELOSIAS]])</f>
        <v>0</v>
      </c>
      <c r="CH145" s="3">
        <f>+IF(AVANCE[[#This Row],[VENTANAS]]=AT$2,100%,AVANCE[[#This Row],[VENTANAS]])</f>
        <v>0</v>
      </c>
      <c r="CI145" s="3">
        <f>+IF(AVANCE[[#This Row],[PUERTAS ACCESO - LOGIA - BANO]]=AU$2,100%,AVANCE[[#This Row],[PUERTAS ACCESO - LOGIA - BANO]])</f>
        <v>0</v>
      </c>
      <c r="CJ145" s="3">
        <f>+IF(AVANCE[[#This Row],[CERRADURAS]]=AV$2,100%,AVANCE[[#This Row],[CERRADURAS]])</f>
        <v>0</v>
      </c>
      <c r="CK145" s="3">
        <f>+IF(AVANCE[[#This Row],[REVESTIMIENTO INTERIOR ZONA SECA]]=AW$2,100%,AVANCE[[#This Row],[REVESTIMIENTO INTERIOR ZONA SECA]])</f>
        <v>0</v>
      </c>
      <c r="CL145" s="3">
        <f>+IF(AVANCE[[#This Row],[REVESTIMIENTO INTERIOR ZONAS HUMEDAS]]=AX$2,100%,AVANCE[[#This Row],[REVESTIMIENTO INTERIOR ZONAS HUMEDAS]])</f>
        <v>0</v>
      </c>
      <c r="CM145" s="3">
        <f>+IF(AVANCE[[#This Row],[MEMBRANA CIELO]]=AY$2,100%,AVANCE[[#This Row],[MEMBRANA CIELO]])</f>
        <v>1</v>
      </c>
      <c r="CN145" s="3">
        <f>+IF(AVANCE[[#This Row],[LIMPIEZA FINAL]]=AZ$2,100%,AVANCE[[#This Row],[LIMPIEZA FINAL]])</f>
        <v>0</v>
      </c>
      <c r="CO145" s="3">
        <f>+IF(AVANCE[[#This Row],[PUERTAS DORMITORIO]]=BA$2,100%,AVANCE[[#This Row],[PUERTAS DORMITORIO]])</f>
        <v>0</v>
      </c>
      <c r="CP145" s="3">
        <f>+IF(AVANCE[[#This Row],[REVESTIMIENTO INTERIOR BANO]]=BB$2,100%,AVANCE[[#This Row],[REVESTIMIENTO INTERIOR BANO]])</f>
        <v>0</v>
      </c>
      <c r="CQ145" s="3">
        <f>+IF(AVANCE[[#This Row],[MUEBLE LAVAPLATOS]]=BC$2,100%,AVANCE[[#This Row],[MUEBLE LAVAPLATOS]])</f>
        <v>0</v>
      </c>
      <c r="CR145" s="3">
        <f>+IF(AVANCE[[#This Row],[IMPERMEABILIZACION BANO - COCINA LOGIA]]=BD$2,100%,AVANCE[[#This Row],[IMPERMEABILIZACION BANO - COCINA LOGIA]])</f>
        <v>0</v>
      </c>
      <c r="CS145" s="40">
        <f ca="1">+IF(AVANCE[[#This Row],[ESTADO MODULO]]="PENDIENTE",(TODAY()-AVANCE[[#This Row],[FECHA TERMINO  PLANIFICADO]]),0)</f>
        <v>3</v>
      </c>
      <c r="CT145" s="41" t="str" cm="1">
        <f t="array" ref="CT145">_xlfn.TEXTJOIN(" | ",TRUE,IF(SUMPRODUCT((BG145:CR145&lt;1)*(PARTIDAS!$I$2:$AT$2="OBRA GRUESA"))&gt;0,"OBRA GRUESA: "&amp;_xlfn.TEXTJOIN(", ",TRUE,IF((BG145:CR145&lt;1)*(PARTIDAS!$I$2:$AT$2="OBRA GRUESA"),PARTIDAS!$I$1:$AT$1,"")),""),IF(SUMPRODUCT((BG145:CR145&lt;1)*(PARTIDAS!$I$2:$AT$2="SANITARIOS"))&gt;0,"SANITARIOS: "&amp;_xlfn.TEXTJOIN(", ",TRUE,IF((BG145:CR145&lt;1)*(PARTIDAS!$I$2:$AT$2="SANITARIOS"),PARTIDAS!$I$1:$AT$1,"")),""),IF(SUMPRODUCT((BG145:CR145&lt;1)*(PARTIDAS!$I$2:$AT$2="ELÉCTRICO"))&gt;0,"ELÉCTRICO: "&amp;_xlfn.TEXTJOIN(", ",TRUE,IF((BG145:CR145&lt;1)*(PARTIDAS!$I$2:$AT$2="ELÉCTRICO"),PARTIDAS!$I$1:$AT$1,"")),""),IF(SUMPRODUCT((BG145:CR145&lt;1)*(PARTIDAS!$I$2:$AT$2="TERMINACIONES"))&gt;0,"TERMINACIONES: "&amp;_xlfn.TEXTJOIN(", ",TRUE,IF((BG145:CR145&lt;1)*(PARTIDAS!$I$2:$AT$2="TERMINACIONES"),PARTIDAS!$I$1:$AT$1,"")),""))</f>
        <v>ELÉCTRICO: CABLEADO, ARTEFACTOS | TERMINACIONES: VENTANAS, INSTALACION VINILICO, BARANDA BALCON, SMART PANEL, PINTURA EXTERIOR, ZOCALOS LOGIA, MOLDURAS, PILASTREO, CELOSIAS, VENTANAS (TERM), PUERTAS ACCESO - LOGIA - BANO, CERRADURAS, REVESTIMIENTO INTERIOR ZONA SECA, REVESTIMIENTO INTERIOR ZONAS HUMEDAS, LIMPIEZA FINAL, PUERTAS DORMITORIO, REVESTIMIENTO INTERIOR BANO, MUEBLE LAVAPLATOS, IMPERMEABILIZACION BANO - COCINA LOGIA</v>
      </c>
      <c r="CU145" s="43" t="str" cm="1">
        <f t="array" ref="CU145">_xlfn.TEXTJOIN(", ",TRUE,IF(SUMPRODUCT((BG145:CR145&lt;1)*(PARTIDAS!$I$2:$AT$2="OBRA GRUESA"))&gt;0,"OBRA GRUESA",""),IF(SUMPRODUCT((BG145:CR145&lt;1)*(PARTIDAS!$I$2:$AT$2="SANITARIOS"))&gt;0,"SANITARIOS",""),IF(SUMPRODUCT((BG145:CR145&lt;1)*(PARTIDAS!$I$2:$AT$2="ELÉCTRICO"))&gt;0,"ELÉCTRICO",""),IF(SUMPRODUCT((BG145:CR145&lt;1)*(PARTIDAS!$I$2:$AT$2="TERMINACIONES"))&gt;0,"TERMINACIONES",""))</f>
        <v>ELÉCTRICO, TERMINACIONES</v>
      </c>
      <c r="CV145" s="44" cm="1">
        <f t="array" ref="CV145">SUMPRODUCT(--(BG145:CR145&lt;1))</f>
        <v>21</v>
      </c>
    </row>
    <row r="146" spans="1:100" x14ac:dyDescent="0.25">
      <c r="A146" t="s">
        <v>190</v>
      </c>
      <c r="B146" t="s">
        <v>207</v>
      </c>
      <c r="C146">
        <v>2282600145</v>
      </c>
      <c r="D146" t="s">
        <v>58</v>
      </c>
      <c r="E146" s="2">
        <v>0.38999999999999996</v>
      </c>
      <c r="F146" s="1">
        <v>46205</v>
      </c>
      <c r="G146" s="1">
        <v>46226</v>
      </c>
      <c r="H146" s="1">
        <v>46226</v>
      </c>
      <c r="I146" s="1">
        <v>46227</v>
      </c>
      <c r="J146">
        <v>4</v>
      </c>
      <c r="K146" s="1"/>
      <c r="L146" s="3">
        <v>0.38999999999999996</v>
      </c>
      <c r="M146" s="3">
        <v>0.90697674418604646</v>
      </c>
      <c r="N146" s="3">
        <v>0.27906976744186046</v>
      </c>
      <c r="O146" s="3">
        <v>0.18604651162790697</v>
      </c>
      <c r="P146" s="3">
        <v>0.2558139534883721</v>
      </c>
      <c r="Q146" s="3">
        <v>0.18604651162790697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>
        <v>28.87</v>
      </c>
      <c r="BF146" s="3" t="str">
        <f>+IF(AVANCE[[#This Row],[% AVANCE]]=100%,"MODULO TERMINADO",IF(AVANCE[[#This Row],[FECHA INICIO REAL]]="","MODULO NO INICIADO","PENDIENTE"))</f>
        <v>PENDIENTE</v>
      </c>
      <c r="BG146" s="3">
        <f>+IF(AVANCE[[#This Row],[VENTANAS]]=8.10810810810811%,100%,AVANCE[[#This Row],[VENTANAS]])</f>
        <v>0</v>
      </c>
      <c r="BH146" s="3">
        <f>+IF(AVANCE[[#This Row],[PISO]]=N$2,100%,AVANCE[[#This Row],[PISO]])</f>
        <v>1</v>
      </c>
      <c r="BI146" s="3">
        <f>+IF(AVANCE[[#This Row],[TABIQUES]]=O$2,100%,AVANCE[[#This Row],[TABIQUES]])</f>
        <v>1</v>
      </c>
      <c r="BJ146" s="3">
        <f>+IF(AVANCE[[#This Row],[MUROS]]=P$2,100%,AVANCE[[#This Row],[MUROS]])</f>
        <v>1</v>
      </c>
      <c r="BK146" s="3">
        <f>+IF(AVANCE[[#This Row],[CIELO]]=Q$2,100%,AVANCE[[#This Row],[CIELO]])</f>
        <v>1</v>
      </c>
      <c r="BL146" s="3">
        <f>+IF(AVANCE[[#This Row],[BALCÓN]]=R$2,100%,AVANCE[[#This Row],[BALCÓN]])</f>
        <v>0</v>
      </c>
      <c r="BM146" s="3">
        <f>+IF(AVANCE[[#This Row],[RED ALCANTARILLADO]]=U$2,100%,AVANCE[[#This Row],[RED ALCANTARILLADO]])</f>
        <v>0</v>
      </c>
      <c r="BN146" s="3">
        <f>+IF(AVANCE[[#This Row],[RED DE AGUA]]=V$2,100%,AVANCE[[#This Row],[RED DE AGUA]])</f>
        <v>0</v>
      </c>
      <c r="BO146" s="3">
        <f>+IF(AVANCE[[#This Row],[VENTILACIONES]]=W$2,100%,AVANCE[[#This Row],[VENTILACIONES]])</f>
        <v>0</v>
      </c>
      <c r="BP146" s="3">
        <f>+IF(AVANCE[[#This Row],[TINA]]=X$2,100%,AVANCE[[#This Row],[TINA]])</f>
        <v>0</v>
      </c>
      <c r="BQ146" s="3">
        <f>+IF(AVANCE[[#This Row],[WC]]=Y$2,100%,AVANCE[[#This Row],[WC]])</f>
        <v>0</v>
      </c>
      <c r="BR146" s="3">
        <f>+IF(AVANCE[[#This Row],[LAVAMANOS / LAVAPLATOS / LAVADERO]]=Z$2,100%,AVANCE[[#This Row],[LAVAMANOS / LAVAPLATOS / LAVADERO]])</f>
        <v>0</v>
      </c>
      <c r="BS146" s="3">
        <f>+IF(AVANCE[[#This Row],[CANALIZACIÓN]]=AC$2,100%,AVANCE[[#This Row],[CANALIZACIÓN]])</f>
        <v>0</v>
      </c>
      <c r="BT146" s="3">
        <f>+IF(AVANCE[[#This Row],[CABLEADO]]=AD$2,100%,AVANCE[[#This Row],[CABLEADO]])</f>
        <v>0</v>
      </c>
      <c r="BU146" s="3">
        <f>+IF(AVANCE[[#This Row],[ARTEFACTOS]]=AE$2,100%,AVANCE[[#This Row],[ARTEFACTOS]])</f>
        <v>0</v>
      </c>
      <c r="BV146" s="3">
        <f>+IF(AVANCE[[#This Row],[TABLERO]]=AF$2,100%,AVANCE[[#This Row],[TABLERO]])</f>
        <v>0</v>
      </c>
      <c r="BW146" s="3">
        <f>+IF(AVANCE[[#This Row],[CAJA PAU]]=AG$2,100%,AVANCE[[#This Row],[CAJA PAU]])</f>
        <v>0</v>
      </c>
      <c r="BX146" s="3">
        <f>+IF(AVANCE[[#This Row],[INSTALACION VINILICO]]=AJ$2,100%,AVANCE[[#This Row],[INSTALACION VINILICO]])</f>
        <v>0</v>
      </c>
      <c r="BY146" s="3">
        <f>+IF(AVANCE[[#This Row],[OSB CUBIERTA]]=AK$2,100%,AVANCE[[#This Row],[OSB CUBIERTA]])</f>
        <v>0</v>
      </c>
      <c r="BZ146" s="3">
        <f>+IF(AVANCE[[#This Row],[BARANDA BALCON]]=AL$2,100%,AVANCE[[#This Row],[BARANDA BALCON]])</f>
        <v>0</v>
      </c>
      <c r="CA146" s="3">
        <f>+IF(AVANCE[[#This Row],[OSB EXTERIOR]]=AM$2,100%,AVANCE[[#This Row],[OSB EXTERIOR]])</f>
        <v>0</v>
      </c>
      <c r="CB146" s="3">
        <f>+IF(AVANCE[[#This Row],[SMART PANEL]]=AN$2,100%,AVANCE[[#This Row],[SMART PANEL]])</f>
        <v>0</v>
      </c>
      <c r="CC146" s="3">
        <f>+IF(AVANCE[[#This Row],[PINTURA EXTERIOR]]=AO$2,100%,AVANCE[[#This Row],[PINTURA EXTERIOR]])</f>
        <v>0</v>
      </c>
      <c r="CD146" s="3">
        <f>+IF(AVANCE[[#This Row],[ZOCALOS LOGIA]]=AP$2,100%,AVANCE[[#This Row],[ZOCALOS LOGIA]])</f>
        <v>0</v>
      </c>
      <c r="CE146" s="3">
        <f>+IF(AVANCE[[#This Row],[MOLDURAS]]=AQ$2,100%,AVANCE[[#This Row],[MOLDURAS]])</f>
        <v>0</v>
      </c>
      <c r="CF146" s="3">
        <f>+IF(AVANCE[[#This Row],[PILASTREO]]=AR$2,100%,AVANCE[[#This Row],[PILASTREO]])</f>
        <v>0</v>
      </c>
      <c r="CG146" s="3">
        <f>+IF(AVANCE[[#This Row],[CELOSIAS]]=AS$2,100%,AVANCE[[#This Row],[CELOSIAS]])</f>
        <v>0</v>
      </c>
      <c r="CH146" s="3">
        <f>+IF(AVANCE[[#This Row],[VENTANAS]]=AT$2,100%,AVANCE[[#This Row],[VENTANAS]])</f>
        <v>0</v>
      </c>
      <c r="CI146" s="3">
        <f>+IF(AVANCE[[#This Row],[PUERTAS ACCESO - LOGIA - BANO]]=AU$2,100%,AVANCE[[#This Row],[PUERTAS ACCESO - LOGIA - BANO]])</f>
        <v>0</v>
      </c>
      <c r="CJ146" s="3">
        <f>+IF(AVANCE[[#This Row],[CERRADURAS]]=AV$2,100%,AVANCE[[#This Row],[CERRADURAS]])</f>
        <v>0</v>
      </c>
      <c r="CK146" s="3">
        <f>+IF(AVANCE[[#This Row],[REVESTIMIENTO INTERIOR ZONA SECA]]=AW$2,100%,AVANCE[[#This Row],[REVESTIMIENTO INTERIOR ZONA SECA]])</f>
        <v>0</v>
      </c>
      <c r="CL146" s="3">
        <f>+IF(AVANCE[[#This Row],[REVESTIMIENTO INTERIOR ZONAS HUMEDAS]]=AX$2,100%,AVANCE[[#This Row],[REVESTIMIENTO INTERIOR ZONAS HUMEDAS]])</f>
        <v>0</v>
      </c>
      <c r="CM146" s="3">
        <f>+IF(AVANCE[[#This Row],[MEMBRANA CIELO]]=AY$2,100%,AVANCE[[#This Row],[MEMBRANA CIELO]])</f>
        <v>0</v>
      </c>
      <c r="CN146" s="3">
        <f>+IF(AVANCE[[#This Row],[LIMPIEZA FINAL]]=AZ$2,100%,AVANCE[[#This Row],[LIMPIEZA FINAL]])</f>
        <v>0</v>
      </c>
      <c r="CO146" s="3">
        <f>+IF(AVANCE[[#This Row],[PUERTAS DORMITORIO]]=BA$2,100%,AVANCE[[#This Row],[PUERTAS DORMITORIO]])</f>
        <v>0</v>
      </c>
      <c r="CP146" s="3">
        <f>+IF(AVANCE[[#This Row],[REVESTIMIENTO INTERIOR BANO]]=BB$2,100%,AVANCE[[#This Row],[REVESTIMIENTO INTERIOR BANO]])</f>
        <v>0</v>
      </c>
      <c r="CQ146" s="3">
        <f>+IF(AVANCE[[#This Row],[MUEBLE LAVAPLATOS]]=BC$2,100%,AVANCE[[#This Row],[MUEBLE LAVAPLATOS]])</f>
        <v>0</v>
      </c>
      <c r="CR146" s="3">
        <f>+IF(AVANCE[[#This Row],[IMPERMEABILIZACION BANO - COCINA LOGIA]]=BD$2,100%,AVANCE[[#This Row],[IMPERMEABILIZACION BANO - COCINA LOGIA]])</f>
        <v>0</v>
      </c>
      <c r="CS146" s="40">
        <f ca="1">+IF(AVANCE[[#This Row],[ESTADO MODULO]]="PENDIENTE",(TODAY()-AVANCE[[#This Row],[FECHA TERMINO  PLANIFICADO]]),0)</f>
        <v>3</v>
      </c>
      <c r="CT146" s="41" t="str" cm="1">
        <f t="array" ref="CT146">_xlfn.TEXTJOIN(" | ",TRUE,IF(SUMPRODUCT((BG146:CR146&lt;1)*(PARTIDAS!$I$2:$AT$2="OBRA GRUESA"))&gt;0,"OBRA GRUESA: "&amp;_xlfn.TEXTJOIN(", ",TRUE,IF((BG146:CR146&lt;1)*(PARTIDAS!$I$2:$AT$2="OBRA GRUESA"),PARTIDAS!$I$1:$AT$1,"")),""),IF(SUMPRODUCT((BG146:CR146&lt;1)*(PARTIDAS!$I$2:$AT$2="SANITARIOS"))&gt;0,"SANITARIOS: "&amp;_xlfn.TEXTJOIN(", ",TRUE,IF((BG146:CR146&lt;1)*(PARTIDAS!$I$2:$AT$2="SANITARIOS"),PARTIDAS!$I$1:$AT$1,"")),""),IF(SUMPRODUCT((BG146:CR146&lt;1)*(PARTIDAS!$I$2:$AT$2="ELÉCTRICO"))&gt;0,"ELÉCTRICO: "&amp;_xlfn.TEXTJOIN(", ",TRUE,IF((BG146:CR146&lt;1)*(PARTIDAS!$I$2:$AT$2="ELÉCTRICO"),PARTIDAS!$I$1:$AT$1,"")),""),IF(SUMPRODUCT((BG146:CR146&lt;1)*(PARTIDAS!$I$2:$AT$2="TERMINACIONES"))&gt;0,"TERMINACIONES: "&amp;_xlfn.TEXTJOIN(", ",TRUE,IF((BG146:CR146&lt;1)*(PARTIDAS!$I$2:$AT$2="TERMINACIONES"),PARTIDAS!$I$1:$AT$1,"")),""))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46" s="43" t="str" cm="1">
        <f t="array" ref="CU146">_xlfn.TEXTJOIN(", ",TRUE,IF(SUMPRODUCT((BG146:CR146&lt;1)*(PARTIDAS!$I$2:$AT$2="OBRA GRUESA"))&gt;0,"OBRA GRUESA",""),IF(SUMPRODUCT((BG146:CR146&lt;1)*(PARTIDAS!$I$2:$AT$2="SANITARIOS"))&gt;0,"SANITARIOS",""),IF(SUMPRODUCT((BG146:CR146&lt;1)*(PARTIDAS!$I$2:$AT$2="ELÉCTRICO"))&gt;0,"ELÉCTRICO",""),IF(SUMPRODUCT((BG146:CR146&lt;1)*(PARTIDAS!$I$2:$AT$2="TERMINACIONES"))&gt;0,"TERMINACIONES",""))</f>
        <v>OBRA GRUESA, SANITARIOS, ELÉCTRICO, TERMINACIONES</v>
      </c>
      <c r="CV146" s="44" cm="1">
        <f t="array" ref="CV146">SUMPRODUCT(--(BG146:CR146&lt;1))</f>
        <v>34</v>
      </c>
    </row>
    <row r="147" spans="1:100" x14ac:dyDescent="0.25">
      <c r="A147" t="s">
        <v>190</v>
      </c>
      <c r="B147" t="s">
        <v>208</v>
      </c>
      <c r="C147">
        <v>2302600146</v>
      </c>
      <c r="D147" t="s">
        <v>60</v>
      </c>
      <c r="E147" s="2">
        <v>0.38999999999999996</v>
      </c>
      <c r="F147" s="1">
        <v>46206</v>
      </c>
      <c r="G147" s="1">
        <v>46225</v>
      </c>
      <c r="H147" s="1">
        <v>46226</v>
      </c>
      <c r="I147" s="1">
        <v>46238</v>
      </c>
      <c r="J147">
        <v>4</v>
      </c>
      <c r="K147" s="1"/>
      <c r="L147" s="3">
        <v>0.38999999999999996</v>
      </c>
      <c r="M147" s="3">
        <v>0.90697674418604646</v>
      </c>
      <c r="N147" s="3">
        <v>0.27906976744186046</v>
      </c>
      <c r="O147" s="3">
        <v>0.18604651162790697</v>
      </c>
      <c r="P147" s="3">
        <v>0.2558139534883721</v>
      </c>
      <c r="Q147" s="3">
        <v>0.18604651162790697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>
        <v>31.32</v>
      </c>
      <c r="BF147" s="3" t="str">
        <f>+IF(AVANCE[[#This Row],[% AVANCE]]=100%,"MODULO TERMINADO",IF(AVANCE[[#This Row],[FECHA INICIO REAL]]="","MODULO NO INICIADO","PENDIENTE"))</f>
        <v>PENDIENTE</v>
      </c>
      <c r="BG147" s="3">
        <f>+IF(AVANCE[[#This Row],[VENTANAS]]=8.10810810810811%,100%,AVANCE[[#This Row],[VENTANAS]])</f>
        <v>0</v>
      </c>
      <c r="BH147" s="3">
        <f>+IF(AVANCE[[#This Row],[PISO]]=N$2,100%,AVANCE[[#This Row],[PISO]])</f>
        <v>1</v>
      </c>
      <c r="BI147" s="3">
        <f>+IF(AVANCE[[#This Row],[TABIQUES]]=O$2,100%,AVANCE[[#This Row],[TABIQUES]])</f>
        <v>1</v>
      </c>
      <c r="BJ147" s="3">
        <f>+IF(AVANCE[[#This Row],[MUROS]]=P$2,100%,AVANCE[[#This Row],[MUROS]])</f>
        <v>1</v>
      </c>
      <c r="BK147" s="3">
        <f>+IF(AVANCE[[#This Row],[CIELO]]=Q$2,100%,AVANCE[[#This Row],[CIELO]])</f>
        <v>1</v>
      </c>
      <c r="BL147" s="3">
        <f>+IF(AVANCE[[#This Row],[BALCÓN]]=R$2,100%,AVANCE[[#This Row],[BALCÓN]])</f>
        <v>0</v>
      </c>
      <c r="BM147" s="3">
        <f>+IF(AVANCE[[#This Row],[RED ALCANTARILLADO]]=U$2,100%,AVANCE[[#This Row],[RED ALCANTARILLADO]])</f>
        <v>0</v>
      </c>
      <c r="BN147" s="3">
        <f>+IF(AVANCE[[#This Row],[RED DE AGUA]]=V$2,100%,AVANCE[[#This Row],[RED DE AGUA]])</f>
        <v>0</v>
      </c>
      <c r="BO147" s="3">
        <f>+IF(AVANCE[[#This Row],[VENTILACIONES]]=W$2,100%,AVANCE[[#This Row],[VENTILACIONES]])</f>
        <v>0</v>
      </c>
      <c r="BP147" s="3">
        <f>+IF(AVANCE[[#This Row],[TINA]]=X$2,100%,AVANCE[[#This Row],[TINA]])</f>
        <v>0</v>
      </c>
      <c r="BQ147" s="3">
        <f>+IF(AVANCE[[#This Row],[WC]]=Y$2,100%,AVANCE[[#This Row],[WC]])</f>
        <v>0</v>
      </c>
      <c r="BR147" s="3">
        <f>+IF(AVANCE[[#This Row],[LAVAMANOS / LAVAPLATOS / LAVADERO]]=Z$2,100%,AVANCE[[#This Row],[LAVAMANOS / LAVAPLATOS / LAVADERO]])</f>
        <v>0</v>
      </c>
      <c r="BS147" s="3">
        <f>+IF(AVANCE[[#This Row],[CANALIZACIÓN]]=AC$2,100%,AVANCE[[#This Row],[CANALIZACIÓN]])</f>
        <v>0</v>
      </c>
      <c r="BT147" s="3">
        <f>+IF(AVANCE[[#This Row],[CABLEADO]]=AD$2,100%,AVANCE[[#This Row],[CABLEADO]])</f>
        <v>0</v>
      </c>
      <c r="BU147" s="3">
        <f>+IF(AVANCE[[#This Row],[ARTEFACTOS]]=AE$2,100%,AVANCE[[#This Row],[ARTEFACTOS]])</f>
        <v>0</v>
      </c>
      <c r="BV147" s="3">
        <f>+IF(AVANCE[[#This Row],[TABLERO]]=AF$2,100%,AVANCE[[#This Row],[TABLERO]])</f>
        <v>0</v>
      </c>
      <c r="BW147" s="3">
        <f>+IF(AVANCE[[#This Row],[CAJA PAU]]=AG$2,100%,AVANCE[[#This Row],[CAJA PAU]])</f>
        <v>0</v>
      </c>
      <c r="BX147" s="3">
        <f>+IF(AVANCE[[#This Row],[INSTALACION VINILICO]]=AJ$2,100%,AVANCE[[#This Row],[INSTALACION VINILICO]])</f>
        <v>0</v>
      </c>
      <c r="BY147" s="3">
        <f>+IF(AVANCE[[#This Row],[OSB CUBIERTA]]=AK$2,100%,AVANCE[[#This Row],[OSB CUBIERTA]])</f>
        <v>0</v>
      </c>
      <c r="BZ147" s="3">
        <f>+IF(AVANCE[[#This Row],[BARANDA BALCON]]=AL$2,100%,AVANCE[[#This Row],[BARANDA BALCON]])</f>
        <v>0</v>
      </c>
      <c r="CA147" s="3">
        <f>+IF(AVANCE[[#This Row],[OSB EXTERIOR]]=AM$2,100%,AVANCE[[#This Row],[OSB EXTERIOR]])</f>
        <v>0</v>
      </c>
      <c r="CB147" s="3">
        <f>+IF(AVANCE[[#This Row],[SMART PANEL]]=AN$2,100%,AVANCE[[#This Row],[SMART PANEL]])</f>
        <v>0</v>
      </c>
      <c r="CC147" s="3">
        <f>+IF(AVANCE[[#This Row],[PINTURA EXTERIOR]]=AO$2,100%,AVANCE[[#This Row],[PINTURA EXTERIOR]])</f>
        <v>0</v>
      </c>
      <c r="CD147" s="3">
        <f>+IF(AVANCE[[#This Row],[ZOCALOS LOGIA]]=AP$2,100%,AVANCE[[#This Row],[ZOCALOS LOGIA]])</f>
        <v>0</v>
      </c>
      <c r="CE147" s="3">
        <f>+IF(AVANCE[[#This Row],[MOLDURAS]]=AQ$2,100%,AVANCE[[#This Row],[MOLDURAS]])</f>
        <v>0</v>
      </c>
      <c r="CF147" s="3">
        <f>+IF(AVANCE[[#This Row],[PILASTREO]]=AR$2,100%,AVANCE[[#This Row],[PILASTREO]])</f>
        <v>0</v>
      </c>
      <c r="CG147" s="3">
        <f>+IF(AVANCE[[#This Row],[CELOSIAS]]=AS$2,100%,AVANCE[[#This Row],[CELOSIAS]])</f>
        <v>0</v>
      </c>
      <c r="CH147" s="3">
        <f>+IF(AVANCE[[#This Row],[VENTANAS]]=AT$2,100%,AVANCE[[#This Row],[VENTANAS]])</f>
        <v>0</v>
      </c>
      <c r="CI147" s="3">
        <f>+IF(AVANCE[[#This Row],[PUERTAS ACCESO - LOGIA - BANO]]=AU$2,100%,AVANCE[[#This Row],[PUERTAS ACCESO - LOGIA - BANO]])</f>
        <v>0</v>
      </c>
      <c r="CJ147" s="3">
        <f>+IF(AVANCE[[#This Row],[CERRADURAS]]=AV$2,100%,AVANCE[[#This Row],[CERRADURAS]])</f>
        <v>0</v>
      </c>
      <c r="CK147" s="3">
        <f>+IF(AVANCE[[#This Row],[REVESTIMIENTO INTERIOR ZONA SECA]]=AW$2,100%,AVANCE[[#This Row],[REVESTIMIENTO INTERIOR ZONA SECA]])</f>
        <v>0</v>
      </c>
      <c r="CL147" s="3">
        <f>+IF(AVANCE[[#This Row],[REVESTIMIENTO INTERIOR ZONAS HUMEDAS]]=AX$2,100%,AVANCE[[#This Row],[REVESTIMIENTO INTERIOR ZONAS HUMEDAS]])</f>
        <v>0</v>
      </c>
      <c r="CM147" s="3">
        <f>+IF(AVANCE[[#This Row],[MEMBRANA CIELO]]=AY$2,100%,AVANCE[[#This Row],[MEMBRANA CIELO]])</f>
        <v>0</v>
      </c>
      <c r="CN147" s="3">
        <f>+IF(AVANCE[[#This Row],[LIMPIEZA FINAL]]=AZ$2,100%,AVANCE[[#This Row],[LIMPIEZA FINAL]])</f>
        <v>0</v>
      </c>
      <c r="CO147" s="3">
        <f>+IF(AVANCE[[#This Row],[PUERTAS DORMITORIO]]=BA$2,100%,AVANCE[[#This Row],[PUERTAS DORMITORIO]])</f>
        <v>0</v>
      </c>
      <c r="CP147" s="3">
        <f>+IF(AVANCE[[#This Row],[REVESTIMIENTO INTERIOR BANO]]=BB$2,100%,AVANCE[[#This Row],[REVESTIMIENTO INTERIOR BANO]])</f>
        <v>0</v>
      </c>
      <c r="CQ147" s="3">
        <f>+IF(AVANCE[[#This Row],[MUEBLE LAVAPLATOS]]=BC$2,100%,AVANCE[[#This Row],[MUEBLE LAVAPLATOS]])</f>
        <v>0</v>
      </c>
      <c r="CR147" s="3">
        <f>+IF(AVANCE[[#This Row],[IMPERMEABILIZACION BANO - COCINA LOGIA]]=BD$2,100%,AVANCE[[#This Row],[IMPERMEABILIZACION BANO - COCINA LOGIA]])</f>
        <v>0</v>
      </c>
      <c r="CS147" s="40">
        <f ca="1">+IF(AVANCE[[#This Row],[ESTADO MODULO]]="PENDIENTE",(TODAY()-AVANCE[[#This Row],[FECHA TERMINO  PLANIFICADO]]),0)</f>
        <v>-8</v>
      </c>
      <c r="CT147" s="41" t="str" cm="1">
        <f t="array" ref="CT147">_xlfn.TEXTJOIN(" | ",TRUE,IF(SUMPRODUCT((BG147:CR147&lt;1)*(PARTIDAS!$I$2:$AT$2="OBRA GRUESA"))&gt;0,"OBRA GRUESA: "&amp;_xlfn.TEXTJOIN(", ",TRUE,IF((BG147:CR147&lt;1)*(PARTIDAS!$I$2:$AT$2="OBRA GRUESA"),PARTIDAS!$I$1:$AT$1,"")),""),IF(SUMPRODUCT((BG147:CR147&lt;1)*(PARTIDAS!$I$2:$AT$2="SANITARIOS"))&gt;0,"SANITARIOS: "&amp;_xlfn.TEXTJOIN(", ",TRUE,IF((BG147:CR147&lt;1)*(PARTIDAS!$I$2:$AT$2="SANITARIOS"),PARTIDAS!$I$1:$AT$1,"")),""),IF(SUMPRODUCT((BG147:CR147&lt;1)*(PARTIDAS!$I$2:$AT$2="ELÉCTRICO"))&gt;0,"ELÉCTRICO: "&amp;_xlfn.TEXTJOIN(", ",TRUE,IF((BG147:CR147&lt;1)*(PARTIDAS!$I$2:$AT$2="ELÉCTRICO"),PARTIDAS!$I$1:$AT$1,"")),""),IF(SUMPRODUCT((BG147:CR147&lt;1)*(PARTIDAS!$I$2:$AT$2="TERMINACIONES"))&gt;0,"TERMINACIONES: "&amp;_xlfn.TEXTJOIN(", ",TRUE,IF((BG147:CR147&lt;1)*(PARTIDAS!$I$2:$AT$2="TERMINACIONES"),PARTIDAS!$I$1:$AT$1,"")),""))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47" s="43" t="str" cm="1">
        <f t="array" ref="CU147">_xlfn.TEXTJOIN(", ",TRUE,IF(SUMPRODUCT((BG147:CR147&lt;1)*(PARTIDAS!$I$2:$AT$2="OBRA GRUESA"))&gt;0,"OBRA GRUESA",""),IF(SUMPRODUCT((BG147:CR147&lt;1)*(PARTIDAS!$I$2:$AT$2="SANITARIOS"))&gt;0,"SANITARIOS",""),IF(SUMPRODUCT((BG147:CR147&lt;1)*(PARTIDAS!$I$2:$AT$2="ELÉCTRICO"))&gt;0,"ELÉCTRICO",""),IF(SUMPRODUCT((BG147:CR147&lt;1)*(PARTIDAS!$I$2:$AT$2="TERMINACIONES"))&gt;0,"TERMINACIONES",""))</f>
        <v>OBRA GRUESA, SANITARIOS, ELÉCTRICO, TERMINACIONES</v>
      </c>
      <c r="CV147" s="44" cm="1">
        <f t="array" ref="CV147">SUMPRODUCT(--(BG147:CR147&lt;1))</f>
        <v>34</v>
      </c>
    </row>
    <row r="148" spans="1:100" x14ac:dyDescent="0.25">
      <c r="A148" t="s">
        <v>190</v>
      </c>
      <c r="B148" t="s">
        <v>209</v>
      </c>
      <c r="C148">
        <v>2302600147</v>
      </c>
      <c r="D148" t="s">
        <v>60</v>
      </c>
      <c r="E148" s="2">
        <v>0.38999999999999996</v>
      </c>
      <c r="F148" s="1">
        <v>46206</v>
      </c>
      <c r="G148" s="1">
        <v>46225</v>
      </c>
      <c r="H148" s="1">
        <v>46227</v>
      </c>
      <c r="I148" s="1">
        <v>46238</v>
      </c>
      <c r="J148">
        <v>3</v>
      </c>
      <c r="K148" s="1"/>
      <c r="L148" s="3">
        <v>0.38999999999999996</v>
      </c>
      <c r="M148" s="3">
        <v>0.90697674418604646</v>
      </c>
      <c r="N148" s="3">
        <v>0.27906976744186046</v>
      </c>
      <c r="O148" s="3">
        <v>0.18604651162790697</v>
      </c>
      <c r="P148" s="3">
        <v>0.2558139534883721</v>
      </c>
      <c r="Q148" s="3">
        <v>0.18604651162790697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>
        <v>31.32</v>
      </c>
      <c r="BF148" s="3" t="str">
        <f>+IF(AVANCE[[#This Row],[% AVANCE]]=100%,"MODULO TERMINADO",IF(AVANCE[[#This Row],[FECHA INICIO REAL]]="","MODULO NO INICIADO","PENDIENTE"))</f>
        <v>PENDIENTE</v>
      </c>
      <c r="BG148" s="3">
        <f>+IF(AVANCE[[#This Row],[VENTANAS]]=8.10810810810811%,100%,AVANCE[[#This Row],[VENTANAS]])</f>
        <v>0</v>
      </c>
      <c r="BH148" s="3">
        <f>+IF(AVANCE[[#This Row],[PISO]]=N$2,100%,AVANCE[[#This Row],[PISO]])</f>
        <v>1</v>
      </c>
      <c r="BI148" s="3">
        <f>+IF(AVANCE[[#This Row],[TABIQUES]]=O$2,100%,AVANCE[[#This Row],[TABIQUES]])</f>
        <v>1</v>
      </c>
      <c r="BJ148" s="3">
        <f>+IF(AVANCE[[#This Row],[MUROS]]=P$2,100%,AVANCE[[#This Row],[MUROS]])</f>
        <v>1</v>
      </c>
      <c r="BK148" s="3">
        <f>+IF(AVANCE[[#This Row],[CIELO]]=Q$2,100%,AVANCE[[#This Row],[CIELO]])</f>
        <v>1</v>
      </c>
      <c r="BL148" s="3">
        <f>+IF(AVANCE[[#This Row],[BALCÓN]]=R$2,100%,AVANCE[[#This Row],[BALCÓN]])</f>
        <v>0</v>
      </c>
      <c r="BM148" s="3">
        <f>+IF(AVANCE[[#This Row],[RED ALCANTARILLADO]]=U$2,100%,AVANCE[[#This Row],[RED ALCANTARILLADO]])</f>
        <v>0</v>
      </c>
      <c r="BN148" s="3">
        <f>+IF(AVANCE[[#This Row],[RED DE AGUA]]=V$2,100%,AVANCE[[#This Row],[RED DE AGUA]])</f>
        <v>0</v>
      </c>
      <c r="BO148" s="3">
        <f>+IF(AVANCE[[#This Row],[VENTILACIONES]]=W$2,100%,AVANCE[[#This Row],[VENTILACIONES]])</f>
        <v>0</v>
      </c>
      <c r="BP148" s="3">
        <f>+IF(AVANCE[[#This Row],[TINA]]=X$2,100%,AVANCE[[#This Row],[TINA]])</f>
        <v>0</v>
      </c>
      <c r="BQ148" s="3">
        <f>+IF(AVANCE[[#This Row],[WC]]=Y$2,100%,AVANCE[[#This Row],[WC]])</f>
        <v>0</v>
      </c>
      <c r="BR148" s="3">
        <f>+IF(AVANCE[[#This Row],[LAVAMANOS / LAVAPLATOS / LAVADERO]]=Z$2,100%,AVANCE[[#This Row],[LAVAMANOS / LAVAPLATOS / LAVADERO]])</f>
        <v>0</v>
      </c>
      <c r="BS148" s="3">
        <f>+IF(AVANCE[[#This Row],[CANALIZACIÓN]]=AC$2,100%,AVANCE[[#This Row],[CANALIZACIÓN]])</f>
        <v>0</v>
      </c>
      <c r="BT148" s="3">
        <f>+IF(AVANCE[[#This Row],[CABLEADO]]=AD$2,100%,AVANCE[[#This Row],[CABLEADO]])</f>
        <v>0</v>
      </c>
      <c r="BU148" s="3">
        <f>+IF(AVANCE[[#This Row],[ARTEFACTOS]]=AE$2,100%,AVANCE[[#This Row],[ARTEFACTOS]])</f>
        <v>0</v>
      </c>
      <c r="BV148" s="3">
        <f>+IF(AVANCE[[#This Row],[TABLERO]]=AF$2,100%,AVANCE[[#This Row],[TABLERO]])</f>
        <v>0</v>
      </c>
      <c r="BW148" s="3">
        <f>+IF(AVANCE[[#This Row],[CAJA PAU]]=AG$2,100%,AVANCE[[#This Row],[CAJA PAU]])</f>
        <v>0</v>
      </c>
      <c r="BX148" s="3">
        <f>+IF(AVANCE[[#This Row],[INSTALACION VINILICO]]=AJ$2,100%,AVANCE[[#This Row],[INSTALACION VINILICO]])</f>
        <v>0</v>
      </c>
      <c r="BY148" s="3">
        <f>+IF(AVANCE[[#This Row],[OSB CUBIERTA]]=AK$2,100%,AVANCE[[#This Row],[OSB CUBIERTA]])</f>
        <v>0</v>
      </c>
      <c r="BZ148" s="3">
        <f>+IF(AVANCE[[#This Row],[BARANDA BALCON]]=AL$2,100%,AVANCE[[#This Row],[BARANDA BALCON]])</f>
        <v>0</v>
      </c>
      <c r="CA148" s="3">
        <f>+IF(AVANCE[[#This Row],[OSB EXTERIOR]]=AM$2,100%,AVANCE[[#This Row],[OSB EXTERIOR]])</f>
        <v>0</v>
      </c>
      <c r="CB148" s="3">
        <f>+IF(AVANCE[[#This Row],[SMART PANEL]]=AN$2,100%,AVANCE[[#This Row],[SMART PANEL]])</f>
        <v>0</v>
      </c>
      <c r="CC148" s="3">
        <f>+IF(AVANCE[[#This Row],[PINTURA EXTERIOR]]=AO$2,100%,AVANCE[[#This Row],[PINTURA EXTERIOR]])</f>
        <v>0</v>
      </c>
      <c r="CD148" s="3">
        <f>+IF(AVANCE[[#This Row],[ZOCALOS LOGIA]]=AP$2,100%,AVANCE[[#This Row],[ZOCALOS LOGIA]])</f>
        <v>0</v>
      </c>
      <c r="CE148" s="3">
        <f>+IF(AVANCE[[#This Row],[MOLDURAS]]=AQ$2,100%,AVANCE[[#This Row],[MOLDURAS]])</f>
        <v>0</v>
      </c>
      <c r="CF148" s="3">
        <f>+IF(AVANCE[[#This Row],[PILASTREO]]=AR$2,100%,AVANCE[[#This Row],[PILASTREO]])</f>
        <v>0</v>
      </c>
      <c r="CG148" s="3">
        <f>+IF(AVANCE[[#This Row],[CELOSIAS]]=AS$2,100%,AVANCE[[#This Row],[CELOSIAS]])</f>
        <v>0</v>
      </c>
      <c r="CH148" s="3">
        <f>+IF(AVANCE[[#This Row],[VENTANAS]]=AT$2,100%,AVANCE[[#This Row],[VENTANAS]])</f>
        <v>0</v>
      </c>
      <c r="CI148" s="3">
        <f>+IF(AVANCE[[#This Row],[PUERTAS ACCESO - LOGIA - BANO]]=AU$2,100%,AVANCE[[#This Row],[PUERTAS ACCESO - LOGIA - BANO]])</f>
        <v>0</v>
      </c>
      <c r="CJ148" s="3">
        <f>+IF(AVANCE[[#This Row],[CERRADURAS]]=AV$2,100%,AVANCE[[#This Row],[CERRADURAS]])</f>
        <v>0</v>
      </c>
      <c r="CK148" s="3">
        <f>+IF(AVANCE[[#This Row],[REVESTIMIENTO INTERIOR ZONA SECA]]=AW$2,100%,AVANCE[[#This Row],[REVESTIMIENTO INTERIOR ZONA SECA]])</f>
        <v>0</v>
      </c>
      <c r="CL148" s="3">
        <f>+IF(AVANCE[[#This Row],[REVESTIMIENTO INTERIOR ZONAS HUMEDAS]]=AX$2,100%,AVANCE[[#This Row],[REVESTIMIENTO INTERIOR ZONAS HUMEDAS]])</f>
        <v>0</v>
      </c>
      <c r="CM148" s="3">
        <f>+IF(AVANCE[[#This Row],[MEMBRANA CIELO]]=AY$2,100%,AVANCE[[#This Row],[MEMBRANA CIELO]])</f>
        <v>0</v>
      </c>
      <c r="CN148" s="3">
        <f>+IF(AVANCE[[#This Row],[LIMPIEZA FINAL]]=AZ$2,100%,AVANCE[[#This Row],[LIMPIEZA FINAL]])</f>
        <v>0</v>
      </c>
      <c r="CO148" s="3">
        <f>+IF(AVANCE[[#This Row],[PUERTAS DORMITORIO]]=BA$2,100%,AVANCE[[#This Row],[PUERTAS DORMITORIO]])</f>
        <v>0</v>
      </c>
      <c r="CP148" s="3">
        <f>+IF(AVANCE[[#This Row],[REVESTIMIENTO INTERIOR BANO]]=BB$2,100%,AVANCE[[#This Row],[REVESTIMIENTO INTERIOR BANO]])</f>
        <v>0</v>
      </c>
      <c r="CQ148" s="3">
        <f>+IF(AVANCE[[#This Row],[MUEBLE LAVAPLATOS]]=BC$2,100%,AVANCE[[#This Row],[MUEBLE LAVAPLATOS]])</f>
        <v>0</v>
      </c>
      <c r="CR148" s="3">
        <f>+IF(AVANCE[[#This Row],[IMPERMEABILIZACION BANO - COCINA LOGIA]]=BD$2,100%,AVANCE[[#This Row],[IMPERMEABILIZACION BANO - COCINA LOGIA]])</f>
        <v>0</v>
      </c>
      <c r="CS148" s="40">
        <f ca="1">+IF(AVANCE[[#This Row],[ESTADO MODULO]]="PENDIENTE",(TODAY()-AVANCE[[#This Row],[FECHA TERMINO  PLANIFICADO]]),0)</f>
        <v>-8</v>
      </c>
      <c r="CT148" s="41" t="str" cm="1">
        <f t="array" ref="CT148">_xlfn.TEXTJOIN(" | ",TRUE,IF(SUMPRODUCT((BG148:CR148&lt;1)*(PARTIDAS!$I$2:$AT$2="OBRA GRUESA"))&gt;0,"OBRA GRUESA: "&amp;_xlfn.TEXTJOIN(", ",TRUE,IF((BG148:CR148&lt;1)*(PARTIDAS!$I$2:$AT$2="OBRA GRUESA"),PARTIDAS!$I$1:$AT$1,"")),""),IF(SUMPRODUCT((BG148:CR148&lt;1)*(PARTIDAS!$I$2:$AT$2="SANITARIOS"))&gt;0,"SANITARIOS: "&amp;_xlfn.TEXTJOIN(", ",TRUE,IF((BG148:CR148&lt;1)*(PARTIDAS!$I$2:$AT$2="SANITARIOS"),PARTIDAS!$I$1:$AT$1,"")),""),IF(SUMPRODUCT((BG148:CR148&lt;1)*(PARTIDAS!$I$2:$AT$2="ELÉCTRICO"))&gt;0,"ELÉCTRICO: "&amp;_xlfn.TEXTJOIN(", ",TRUE,IF((BG148:CR148&lt;1)*(PARTIDAS!$I$2:$AT$2="ELÉCTRICO"),PARTIDAS!$I$1:$AT$1,"")),""),IF(SUMPRODUCT((BG148:CR148&lt;1)*(PARTIDAS!$I$2:$AT$2="TERMINACIONES"))&gt;0,"TERMINACIONES: "&amp;_xlfn.TEXTJOIN(", ",TRUE,IF((BG148:CR148&lt;1)*(PARTIDAS!$I$2:$AT$2="TERMINACIONES"),PARTIDAS!$I$1:$AT$1,"")),""))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48" s="43" t="str" cm="1">
        <f t="array" ref="CU148">_xlfn.TEXTJOIN(", ",TRUE,IF(SUMPRODUCT((BG148:CR148&lt;1)*(PARTIDAS!$I$2:$AT$2="OBRA GRUESA"))&gt;0,"OBRA GRUESA",""),IF(SUMPRODUCT((BG148:CR148&lt;1)*(PARTIDAS!$I$2:$AT$2="SANITARIOS"))&gt;0,"SANITARIOS",""),IF(SUMPRODUCT((BG148:CR148&lt;1)*(PARTIDAS!$I$2:$AT$2="ELÉCTRICO"))&gt;0,"ELÉCTRICO",""),IF(SUMPRODUCT((BG148:CR148&lt;1)*(PARTIDAS!$I$2:$AT$2="TERMINACIONES"))&gt;0,"TERMINACIONES",""))</f>
        <v>OBRA GRUESA, SANITARIOS, ELÉCTRICO, TERMINACIONES</v>
      </c>
      <c r="CV148" s="44" cm="1">
        <f t="array" ref="CV148">SUMPRODUCT(--(BG148:CR148&lt;1))</f>
        <v>34</v>
      </c>
    </row>
    <row r="149" spans="1:100" x14ac:dyDescent="0.25">
      <c r="A149" t="s">
        <v>190</v>
      </c>
      <c r="B149" t="s">
        <v>210</v>
      </c>
      <c r="C149">
        <v>2282600148</v>
      </c>
      <c r="D149" t="s">
        <v>58</v>
      </c>
      <c r="E149" s="2">
        <v>0.38999999999999996</v>
      </c>
      <c r="F149" s="1">
        <v>46206</v>
      </c>
      <c r="G149" s="1">
        <v>46224</v>
      </c>
      <c r="H149" s="1">
        <v>46225</v>
      </c>
      <c r="I149" s="1">
        <v>46228</v>
      </c>
      <c r="J149">
        <v>5</v>
      </c>
      <c r="K149" s="1"/>
      <c r="L149" s="3">
        <v>0.38999999999999996</v>
      </c>
      <c r="M149" s="3">
        <v>0.90697674418604646</v>
      </c>
      <c r="N149" s="3">
        <v>0.27906976744186046</v>
      </c>
      <c r="O149" s="3">
        <v>0.18604651162790697</v>
      </c>
      <c r="P149" s="3">
        <v>0.2558139534883721</v>
      </c>
      <c r="Q149" s="3">
        <v>0.18604651162790697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>
        <v>28.87</v>
      </c>
      <c r="BF149" s="3" t="str">
        <f>+IF(AVANCE[[#This Row],[% AVANCE]]=100%,"MODULO TERMINADO",IF(AVANCE[[#This Row],[FECHA INICIO REAL]]="","MODULO NO INICIADO","PENDIENTE"))</f>
        <v>PENDIENTE</v>
      </c>
      <c r="BG149" s="3">
        <f>+IF(AVANCE[[#This Row],[VENTANAS]]=8.10810810810811%,100%,AVANCE[[#This Row],[VENTANAS]])</f>
        <v>0</v>
      </c>
      <c r="BH149" s="3">
        <f>+IF(AVANCE[[#This Row],[PISO]]=N$2,100%,AVANCE[[#This Row],[PISO]])</f>
        <v>1</v>
      </c>
      <c r="BI149" s="3">
        <f>+IF(AVANCE[[#This Row],[TABIQUES]]=O$2,100%,AVANCE[[#This Row],[TABIQUES]])</f>
        <v>1</v>
      </c>
      <c r="BJ149" s="3">
        <f>+IF(AVANCE[[#This Row],[MUROS]]=P$2,100%,AVANCE[[#This Row],[MUROS]])</f>
        <v>1</v>
      </c>
      <c r="BK149" s="3">
        <f>+IF(AVANCE[[#This Row],[CIELO]]=Q$2,100%,AVANCE[[#This Row],[CIELO]])</f>
        <v>1</v>
      </c>
      <c r="BL149" s="3">
        <f>+IF(AVANCE[[#This Row],[BALCÓN]]=R$2,100%,AVANCE[[#This Row],[BALCÓN]])</f>
        <v>0</v>
      </c>
      <c r="BM149" s="3">
        <f>+IF(AVANCE[[#This Row],[RED ALCANTARILLADO]]=U$2,100%,AVANCE[[#This Row],[RED ALCANTARILLADO]])</f>
        <v>0</v>
      </c>
      <c r="BN149" s="3">
        <f>+IF(AVANCE[[#This Row],[RED DE AGUA]]=V$2,100%,AVANCE[[#This Row],[RED DE AGUA]])</f>
        <v>0</v>
      </c>
      <c r="BO149" s="3">
        <f>+IF(AVANCE[[#This Row],[VENTILACIONES]]=W$2,100%,AVANCE[[#This Row],[VENTILACIONES]])</f>
        <v>0</v>
      </c>
      <c r="BP149" s="3">
        <f>+IF(AVANCE[[#This Row],[TINA]]=X$2,100%,AVANCE[[#This Row],[TINA]])</f>
        <v>0</v>
      </c>
      <c r="BQ149" s="3">
        <f>+IF(AVANCE[[#This Row],[WC]]=Y$2,100%,AVANCE[[#This Row],[WC]])</f>
        <v>0</v>
      </c>
      <c r="BR149" s="3">
        <f>+IF(AVANCE[[#This Row],[LAVAMANOS / LAVAPLATOS / LAVADERO]]=Z$2,100%,AVANCE[[#This Row],[LAVAMANOS / LAVAPLATOS / LAVADERO]])</f>
        <v>0</v>
      </c>
      <c r="BS149" s="3">
        <f>+IF(AVANCE[[#This Row],[CANALIZACIÓN]]=AC$2,100%,AVANCE[[#This Row],[CANALIZACIÓN]])</f>
        <v>0</v>
      </c>
      <c r="BT149" s="3">
        <f>+IF(AVANCE[[#This Row],[CABLEADO]]=AD$2,100%,AVANCE[[#This Row],[CABLEADO]])</f>
        <v>0</v>
      </c>
      <c r="BU149" s="3">
        <f>+IF(AVANCE[[#This Row],[ARTEFACTOS]]=AE$2,100%,AVANCE[[#This Row],[ARTEFACTOS]])</f>
        <v>0</v>
      </c>
      <c r="BV149" s="3">
        <f>+IF(AVANCE[[#This Row],[TABLERO]]=AF$2,100%,AVANCE[[#This Row],[TABLERO]])</f>
        <v>0</v>
      </c>
      <c r="BW149" s="3">
        <f>+IF(AVANCE[[#This Row],[CAJA PAU]]=AG$2,100%,AVANCE[[#This Row],[CAJA PAU]])</f>
        <v>0</v>
      </c>
      <c r="BX149" s="3">
        <f>+IF(AVANCE[[#This Row],[INSTALACION VINILICO]]=AJ$2,100%,AVANCE[[#This Row],[INSTALACION VINILICO]])</f>
        <v>0</v>
      </c>
      <c r="BY149" s="3">
        <f>+IF(AVANCE[[#This Row],[OSB CUBIERTA]]=AK$2,100%,AVANCE[[#This Row],[OSB CUBIERTA]])</f>
        <v>0</v>
      </c>
      <c r="BZ149" s="3">
        <f>+IF(AVANCE[[#This Row],[BARANDA BALCON]]=AL$2,100%,AVANCE[[#This Row],[BARANDA BALCON]])</f>
        <v>0</v>
      </c>
      <c r="CA149" s="3">
        <f>+IF(AVANCE[[#This Row],[OSB EXTERIOR]]=AM$2,100%,AVANCE[[#This Row],[OSB EXTERIOR]])</f>
        <v>0</v>
      </c>
      <c r="CB149" s="3">
        <f>+IF(AVANCE[[#This Row],[SMART PANEL]]=AN$2,100%,AVANCE[[#This Row],[SMART PANEL]])</f>
        <v>0</v>
      </c>
      <c r="CC149" s="3">
        <f>+IF(AVANCE[[#This Row],[PINTURA EXTERIOR]]=AO$2,100%,AVANCE[[#This Row],[PINTURA EXTERIOR]])</f>
        <v>0</v>
      </c>
      <c r="CD149" s="3">
        <f>+IF(AVANCE[[#This Row],[ZOCALOS LOGIA]]=AP$2,100%,AVANCE[[#This Row],[ZOCALOS LOGIA]])</f>
        <v>0</v>
      </c>
      <c r="CE149" s="3">
        <f>+IF(AVANCE[[#This Row],[MOLDURAS]]=AQ$2,100%,AVANCE[[#This Row],[MOLDURAS]])</f>
        <v>0</v>
      </c>
      <c r="CF149" s="3">
        <f>+IF(AVANCE[[#This Row],[PILASTREO]]=AR$2,100%,AVANCE[[#This Row],[PILASTREO]])</f>
        <v>0</v>
      </c>
      <c r="CG149" s="3">
        <f>+IF(AVANCE[[#This Row],[CELOSIAS]]=AS$2,100%,AVANCE[[#This Row],[CELOSIAS]])</f>
        <v>0</v>
      </c>
      <c r="CH149" s="3">
        <f>+IF(AVANCE[[#This Row],[VENTANAS]]=AT$2,100%,AVANCE[[#This Row],[VENTANAS]])</f>
        <v>0</v>
      </c>
      <c r="CI149" s="3">
        <f>+IF(AVANCE[[#This Row],[PUERTAS ACCESO - LOGIA - BANO]]=AU$2,100%,AVANCE[[#This Row],[PUERTAS ACCESO - LOGIA - BANO]])</f>
        <v>0</v>
      </c>
      <c r="CJ149" s="3">
        <f>+IF(AVANCE[[#This Row],[CERRADURAS]]=AV$2,100%,AVANCE[[#This Row],[CERRADURAS]])</f>
        <v>0</v>
      </c>
      <c r="CK149" s="3">
        <f>+IF(AVANCE[[#This Row],[REVESTIMIENTO INTERIOR ZONA SECA]]=AW$2,100%,AVANCE[[#This Row],[REVESTIMIENTO INTERIOR ZONA SECA]])</f>
        <v>0</v>
      </c>
      <c r="CL149" s="3">
        <f>+IF(AVANCE[[#This Row],[REVESTIMIENTO INTERIOR ZONAS HUMEDAS]]=AX$2,100%,AVANCE[[#This Row],[REVESTIMIENTO INTERIOR ZONAS HUMEDAS]])</f>
        <v>0</v>
      </c>
      <c r="CM149" s="3">
        <f>+IF(AVANCE[[#This Row],[MEMBRANA CIELO]]=AY$2,100%,AVANCE[[#This Row],[MEMBRANA CIELO]])</f>
        <v>0</v>
      </c>
      <c r="CN149" s="3">
        <f>+IF(AVANCE[[#This Row],[LIMPIEZA FINAL]]=AZ$2,100%,AVANCE[[#This Row],[LIMPIEZA FINAL]])</f>
        <v>0</v>
      </c>
      <c r="CO149" s="3">
        <f>+IF(AVANCE[[#This Row],[PUERTAS DORMITORIO]]=BA$2,100%,AVANCE[[#This Row],[PUERTAS DORMITORIO]])</f>
        <v>0</v>
      </c>
      <c r="CP149" s="3">
        <f>+IF(AVANCE[[#This Row],[REVESTIMIENTO INTERIOR BANO]]=BB$2,100%,AVANCE[[#This Row],[REVESTIMIENTO INTERIOR BANO]])</f>
        <v>0</v>
      </c>
      <c r="CQ149" s="3">
        <f>+IF(AVANCE[[#This Row],[MUEBLE LAVAPLATOS]]=BC$2,100%,AVANCE[[#This Row],[MUEBLE LAVAPLATOS]])</f>
        <v>0</v>
      </c>
      <c r="CR149" s="3">
        <f>+IF(AVANCE[[#This Row],[IMPERMEABILIZACION BANO - COCINA LOGIA]]=BD$2,100%,AVANCE[[#This Row],[IMPERMEABILIZACION BANO - COCINA LOGIA]])</f>
        <v>0</v>
      </c>
      <c r="CS149" s="40">
        <f ca="1">+IF(AVANCE[[#This Row],[ESTADO MODULO]]="PENDIENTE",(TODAY()-AVANCE[[#This Row],[FECHA TERMINO  PLANIFICADO]]),0)</f>
        <v>2</v>
      </c>
      <c r="CT149" s="41" t="str" cm="1">
        <f t="array" ref="CT149">_xlfn.TEXTJOIN(" | ",TRUE,IF(SUMPRODUCT((BG149:CR149&lt;1)*(PARTIDAS!$I$2:$AT$2="OBRA GRUESA"))&gt;0,"OBRA GRUESA: "&amp;_xlfn.TEXTJOIN(", ",TRUE,IF((BG149:CR149&lt;1)*(PARTIDAS!$I$2:$AT$2="OBRA GRUESA"),PARTIDAS!$I$1:$AT$1,"")),""),IF(SUMPRODUCT((BG149:CR149&lt;1)*(PARTIDAS!$I$2:$AT$2="SANITARIOS"))&gt;0,"SANITARIOS: "&amp;_xlfn.TEXTJOIN(", ",TRUE,IF((BG149:CR149&lt;1)*(PARTIDAS!$I$2:$AT$2="SANITARIOS"),PARTIDAS!$I$1:$AT$1,"")),""),IF(SUMPRODUCT((BG149:CR149&lt;1)*(PARTIDAS!$I$2:$AT$2="ELÉCTRICO"))&gt;0,"ELÉCTRICO: "&amp;_xlfn.TEXTJOIN(", ",TRUE,IF((BG149:CR149&lt;1)*(PARTIDAS!$I$2:$AT$2="ELÉCTRICO"),PARTIDAS!$I$1:$AT$1,"")),""),IF(SUMPRODUCT((BG149:CR149&lt;1)*(PARTIDAS!$I$2:$AT$2="TERMINACIONES"))&gt;0,"TERMINACIONES: "&amp;_xlfn.TEXTJOIN(", ",TRUE,IF((BG149:CR149&lt;1)*(PARTIDAS!$I$2:$AT$2="TERMINACIONES"),PARTIDAS!$I$1:$AT$1,"")),""))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49" s="43" t="str" cm="1">
        <f t="array" ref="CU149">_xlfn.TEXTJOIN(", ",TRUE,IF(SUMPRODUCT((BG149:CR149&lt;1)*(PARTIDAS!$I$2:$AT$2="OBRA GRUESA"))&gt;0,"OBRA GRUESA",""),IF(SUMPRODUCT((BG149:CR149&lt;1)*(PARTIDAS!$I$2:$AT$2="SANITARIOS"))&gt;0,"SANITARIOS",""),IF(SUMPRODUCT((BG149:CR149&lt;1)*(PARTIDAS!$I$2:$AT$2="ELÉCTRICO"))&gt;0,"ELÉCTRICO",""),IF(SUMPRODUCT((BG149:CR149&lt;1)*(PARTIDAS!$I$2:$AT$2="TERMINACIONES"))&gt;0,"TERMINACIONES",""))</f>
        <v>OBRA GRUESA, SANITARIOS, ELÉCTRICO, TERMINACIONES</v>
      </c>
      <c r="CV149" s="44" cm="1">
        <f t="array" ref="CV149">SUMPRODUCT(--(BG149:CR149&lt;1))</f>
        <v>34</v>
      </c>
    </row>
    <row r="150" spans="1:100" x14ac:dyDescent="0.25">
      <c r="A150" t="s">
        <v>190</v>
      </c>
      <c r="B150" t="s">
        <v>211</v>
      </c>
      <c r="C150">
        <v>2282600149</v>
      </c>
      <c r="D150" t="s">
        <v>58</v>
      </c>
      <c r="E150" s="2">
        <v>0.75499999999999989</v>
      </c>
      <c r="F150" s="1">
        <v>46209</v>
      </c>
      <c r="G150" s="1">
        <v>46224</v>
      </c>
      <c r="H150" s="1">
        <v>46227</v>
      </c>
      <c r="I150" s="1">
        <v>46231</v>
      </c>
      <c r="J150">
        <v>3</v>
      </c>
      <c r="K150" s="1"/>
      <c r="L150" s="3">
        <v>0.43</v>
      </c>
      <c r="M150" s="3">
        <v>1</v>
      </c>
      <c r="N150" s="3">
        <v>0.27906976744186046</v>
      </c>
      <c r="O150" s="3">
        <v>0.18604651162790697</v>
      </c>
      <c r="P150" s="3">
        <v>0.2558139534883721</v>
      </c>
      <c r="Q150" s="3">
        <v>0.18604651162790697</v>
      </c>
      <c r="R150" s="3">
        <v>9.3023255813953487E-2</v>
      </c>
      <c r="S150" s="3">
        <v>0.09</v>
      </c>
      <c r="T150" s="3">
        <v>1</v>
      </c>
      <c r="U150" s="3">
        <v>0.22222222222222221</v>
      </c>
      <c r="V150" s="3">
        <v>0.22222222222222221</v>
      </c>
      <c r="W150" s="3">
        <v>0.1111111111111111</v>
      </c>
      <c r="X150" s="3">
        <v>0.1111111111111111</v>
      </c>
      <c r="Y150" s="3">
        <v>0.1111111111111111</v>
      </c>
      <c r="Z150" s="3">
        <v>0.22222222222222221</v>
      </c>
      <c r="AA150" s="3">
        <v>6.9999999999999993E-2</v>
      </c>
      <c r="AB150" s="3">
        <v>0.63636363636363635</v>
      </c>
      <c r="AC150" s="3">
        <v>0.27272727272727271</v>
      </c>
      <c r="AD150" s="3">
        <v>0</v>
      </c>
      <c r="AE150" s="3">
        <v>0</v>
      </c>
      <c r="AF150" s="3">
        <v>0.18181818181818182</v>
      </c>
      <c r="AG150" s="3">
        <v>0.18181818181818182</v>
      </c>
      <c r="AH150" s="3">
        <v>0.16499999999999992</v>
      </c>
      <c r="AI150" s="3">
        <v>0.44594594594594578</v>
      </c>
      <c r="AJ150" s="3">
        <v>5.4054054054054036E-2</v>
      </c>
      <c r="AK150" s="3">
        <v>5.4054054054054036E-2</v>
      </c>
      <c r="AL150" s="3">
        <v>2.7027027027027018E-2</v>
      </c>
      <c r="AM150" s="3">
        <v>0</v>
      </c>
      <c r="AN150" s="3">
        <v>0</v>
      </c>
      <c r="AO150" s="3">
        <v>0</v>
      </c>
      <c r="AP150" s="3">
        <v>5.4054054054054036E-2</v>
      </c>
      <c r="AQ150" s="3">
        <v>0</v>
      </c>
      <c r="AR150" s="3">
        <v>0</v>
      </c>
      <c r="AS150" s="3">
        <v>0</v>
      </c>
      <c r="AT150" s="3">
        <v>0</v>
      </c>
      <c r="AU150" s="3">
        <v>5.4054054054054036E-2</v>
      </c>
      <c r="AV150" s="3">
        <v>0</v>
      </c>
      <c r="AW150" s="3">
        <v>0</v>
      </c>
      <c r="AX150" s="3">
        <v>5.4054054054054036E-2</v>
      </c>
      <c r="AY150" s="3">
        <v>2.7027027027027018E-2</v>
      </c>
      <c r="AZ150" s="3">
        <v>0</v>
      </c>
      <c r="BA150" s="3">
        <v>0</v>
      </c>
      <c r="BB150" s="3">
        <v>8.1081081081081058E-2</v>
      </c>
      <c r="BC150" s="3">
        <v>1.3513513513513509E-2</v>
      </c>
      <c r="BD150" s="3">
        <v>2.7027027027027018E-2</v>
      </c>
      <c r="BE150">
        <v>28.87</v>
      </c>
      <c r="BF150" s="3" t="str">
        <f>+IF(AVANCE[[#This Row],[% AVANCE]]=100%,"MODULO TERMINADO",IF(AVANCE[[#This Row],[FECHA INICIO REAL]]="","MODULO NO INICIADO","PENDIENTE"))</f>
        <v>PENDIENTE</v>
      </c>
      <c r="BG150" s="3">
        <f>+IF(AVANCE[[#This Row],[VENTANAS]]=8.10810810810811%,100%,AVANCE[[#This Row],[VENTANAS]])</f>
        <v>0</v>
      </c>
      <c r="BH150" s="3">
        <f>+IF(AVANCE[[#This Row],[PISO]]=N$2,100%,AVANCE[[#This Row],[PISO]])</f>
        <v>1</v>
      </c>
      <c r="BI150" s="3">
        <f>+IF(AVANCE[[#This Row],[TABIQUES]]=O$2,100%,AVANCE[[#This Row],[TABIQUES]])</f>
        <v>1</v>
      </c>
      <c r="BJ150" s="3">
        <f>+IF(AVANCE[[#This Row],[MUROS]]=P$2,100%,AVANCE[[#This Row],[MUROS]])</f>
        <v>1</v>
      </c>
      <c r="BK150" s="3">
        <f>+IF(AVANCE[[#This Row],[CIELO]]=Q$2,100%,AVANCE[[#This Row],[CIELO]])</f>
        <v>1</v>
      </c>
      <c r="BL150" s="3">
        <f>+IF(AVANCE[[#This Row],[BALCÓN]]=R$2,100%,AVANCE[[#This Row],[BALCÓN]])</f>
        <v>1</v>
      </c>
      <c r="BM150" s="3">
        <f>+IF(AVANCE[[#This Row],[RED ALCANTARILLADO]]=U$2,100%,AVANCE[[#This Row],[RED ALCANTARILLADO]])</f>
        <v>1</v>
      </c>
      <c r="BN150" s="3">
        <f>+IF(AVANCE[[#This Row],[RED DE AGUA]]=V$2,100%,AVANCE[[#This Row],[RED DE AGUA]])</f>
        <v>1</v>
      </c>
      <c r="BO150" s="3">
        <f>+IF(AVANCE[[#This Row],[VENTILACIONES]]=W$2,100%,AVANCE[[#This Row],[VENTILACIONES]])</f>
        <v>1</v>
      </c>
      <c r="BP150" s="3">
        <f>+IF(AVANCE[[#This Row],[TINA]]=X$2,100%,AVANCE[[#This Row],[TINA]])</f>
        <v>1</v>
      </c>
      <c r="BQ150" s="3">
        <f>+IF(AVANCE[[#This Row],[WC]]=Y$2,100%,AVANCE[[#This Row],[WC]])</f>
        <v>1</v>
      </c>
      <c r="BR150" s="3">
        <f>+IF(AVANCE[[#This Row],[LAVAMANOS / LAVAPLATOS / LAVADERO]]=Z$2,100%,AVANCE[[#This Row],[LAVAMANOS / LAVAPLATOS / LAVADERO]])</f>
        <v>1</v>
      </c>
      <c r="BS150" s="3">
        <f>+IF(AVANCE[[#This Row],[CANALIZACIÓN]]=AC$2,100%,AVANCE[[#This Row],[CANALIZACIÓN]])</f>
        <v>1</v>
      </c>
      <c r="BT150" s="3">
        <f>+IF(AVANCE[[#This Row],[CABLEADO]]=AD$2,100%,AVANCE[[#This Row],[CABLEADO]])</f>
        <v>0</v>
      </c>
      <c r="BU150" s="3">
        <f>+IF(AVANCE[[#This Row],[ARTEFACTOS]]=AE$2,100%,AVANCE[[#This Row],[ARTEFACTOS]])</f>
        <v>0</v>
      </c>
      <c r="BV150" s="3">
        <f>+IF(AVANCE[[#This Row],[TABLERO]]=AF$2,100%,AVANCE[[#This Row],[TABLERO]])</f>
        <v>1</v>
      </c>
      <c r="BW150" s="3">
        <f>+IF(AVANCE[[#This Row],[CAJA PAU]]=AG$2,100%,AVANCE[[#This Row],[CAJA PAU]])</f>
        <v>1</v>
      </c>
      <c r="BX150" s="3">
        <f>+IF(AVANCE[[#This Row],[INSTALACION VINILICO]]=AJ$2,100%,AVANCE[[#This Row],[INSTALACION VINILICO]])</f>
        <v>1</v>
      </c>
      <c r="BY150" s="3">
        <f>+IF(AVANCE[[#This Row],[OSB CUBIERTA]]=AK$2,100%,AVANCE[[#This Row],[OSB CUBIERTA]])</f>
        <v>1</v>
      </c>
      <c r="BZ150" s="3">
        <f>+IF(AVANCE[[#This Row],[BARANDA BALCON]]=AL$2,100%,AVANCE[[#This Row],[BARANDA BALCON]])</f>
        <v>1</v>
      </c>
      <c r="CA150" s="3">
        <f>+IF(AVANCE[[#This Row],[OSB EXTERIOR]]=AM$2,100%,AVANCE[[#This Row],[OSB EXTERIOR]])</f>
        <v>0</v>
      </c>
      <c r="CB150" s="3">
        <f>+IF(AVANCE[[#This Row],[SMART PANEL]]=AN$2,100%,AVANCE[[#This Row],[SMART PANEL]])</f>
        <v>0</v>
      </c>
      <c r="CC150" s="3">
        <f>+IF(AVANCE[[#This Row],[PINTURA EXTERIOR]]=AO$2,100%,AVANCE[[#This Row],[PINTURA EXTERIOR]])</f>
        <v>0</v>
      </c>
      <c r="CD150" s="3">
        <f>+IF(AVANCE[[#This Row],[ZOCALOS LOGIA]]=AP$2,100%,AVANCE[[#This Row],[ZOCALOS LOGIA]])</f>
        <v>1</v>
      </c>
      <c r="CE150" s="3">
        <f>+IF(AVANCE[[#This Row],[MOLDURAS]]=AQ$2,100%,AVANCE[[#This Row],[MOLDURAS]])</f>
        <v>0</v>
      </c>
      <c r="CF150" s="3">
        <f>+IF(AVANCE[[#This Row],[PILASTREO]]=AR$2,100%,AVANCE[[#This Row],[PILASTREO]])</f>
        <v>0</v>
      </c>
      <c r="CG150" s="3">
        <f>+IF(AVANCE[[#This Row],[CELOSIAS]]=AS$2,100%,AVANCE[[#This Row],[CELOSIAS]])</f>
        <v>0</v>
      </c>
      <c r="CH150" s="3">
        <f>+IF(AVANCE[[#This Row],[VENTANAS]]=AT$2,100%,AVANCE[[#This Row],[VENTANAS]])</f>
        <v>0</v>
      </c>
      <c r="CI150" s="3">
        <f>+IF(AVANCE[[#This Row],[PUERTAS ACCESO - LOGIA - BANO]]=AU$2,100%,AVANCE[[#This Row],[PUERTAS ACCESO - LOGIA - BANO]])</f>
        <v>1</v>
      </c>
      <c r="CJ150" s="3">
        <f>+IF(AVANCE[[#This Row],[CERRADURAS]]=AV$2,100%,AVANCE[[#This Row],[CERRADURAS]])</f>
        <v>0</v>
      </c>
      <c r="CK150" s="3">
        <f>+IF(AVANCE[[#This Row],[REVESTIMIENTO INTERIOR ZONA SECA]]=AW$2,100%,AVANCE[[#This Row],[REVESTIMIENTO INTERIOR ZONA SECA]])</f>
        <v>0</v>
      </c>
      <c r="CL150" s="3">
        <f>+IF(AVANCE[[#This Row],[REVESTIMIENTO INTERIOR ZONAS HUMEDAS]]=AX$2,100%,AVANCE[[#This Row],[REVESTIMIENTO INTERIOR ZONAS HUMEDAS]])</f>
        <v>1</v>
      </c>
      <c r="CM150" s="3">
        <f>+IF(AVANCE[[#This Row],[MEMBRANA CIELO]]=AY$2,100%,AVANCE[[#This Row],[MEMBRANA CIELO]])</f>
        <v>1</v>
      </c>
      <c r="CN150" s="3">
        <f>+IF(AVANCE[[#This Row],[LIMPIEZA FINAL]]=AZ$2,100%,AVANCE[[#This Row],[LIMPIEZA FINAL]])</f>
        <v>0</v>
      </c>
      <c r="CO150" s="3">
        <f>+IF(AVANCE[[#This Row],[PUERTAS DORMITORIO]]=BA$2,100%,AVANCE[[#This Row],[PUERTAS DORMITORIO]])</f>
        <v>0</v>
      </c>
      <c r="CP150" s="3">
        <f>+IF(AVANCE[[#This Row],[REVESTIMIENTO INTERIOR BANO]]=BB$2,100%,AVANCE[[#This Row],[REVESTIMIENTO INTERIOR BANO]])</f>
        <v>1</v>
      </c>
      <c r="CQ150" s="3">
        <f>+IF(AVANCE[[#This Row],[MUEBLE LAVAPLATOS]]=BC$2,100%,AVANCE[[#This Row],[MUEBLE LAVAPLATOS]])</f>
        <v>1</v>
      </c>
      <c r="CR150" s="3">
        <f>+IF(AVANCE[[#This Row],[IMPERMEABILIZACION BANO - COCINA LOGIA]]=BD$2,100%,AVANCE[[#This Row],[IMPERMEABILIZACION BANO - COCINA LOGIA]])</f>
        <v>1</v>
      </c>
      <c r="CS150" s="40">
        <f ca="1">+IF(AVANCE[[#This Row],[ESTADO MODULO]]="PENDIENTE",(TODAY()-AVANCE[[#This Row],[FECHA TERMINO  PLANIFICADO]]),0)</f>
        <v>-1</v>
      </c>
      <c r="CT150" s="41" t="str" cm="1">
        <f t="array" ref="CT150">_xlfn.TEXTJOIN(" | ",TRUE,IF(SUMPRODUCT((BG150:CR150&lt;1)*(PARTIDAS!$I$2:$AT$2="OBRA GRUESA"))&gt;0,"OBRA GRUESA: "&amp;_xlfn.TEXTJOIN(", ",TRUE,IF((BG150:CR150&lt;1)*(PARTIDAS!$I$2:$AT$2="OBRA GRUESA"),PARTIDAS!$I$1:$AT$1,"")),""),IF(SUMPRODUCT((BG150:CR150&lt;1)*(PARTIDAS!$I$2:$AT$2="SANITARIOS"))&gt;0,"SANITARIOS: "&amp;_xlfn.TEXTJOIN(", ",TRUE,IF((BG150:CR150&lt;1)*(PARTIDAS!$I$2:$AT$2="SANITARIOS"),PARTIDAS!$I$1:$AT$1,"")),""),IF(SUMPRODUCT((BG150:CR150&lt;1)*(PARTIDAS!$I$2:$AT$2="ELÉCTRICO"))&gt;0,"ELÉCTRICO: "&amp;_xlfn.TEXTJOIN(", ",TRUE,IF((BG150:CR150&lt;1)*(PARTIDAS!$I$2:$AT$2="ELÉCTRICO"),PARTIDAS!$I$1:$AT$1,"")),""),IF(SUMPRODUCT((BG150:CR150&lt;1)*(PARTIDAS!$I$2:$AT$2="TERMINACIONES"))&gt;0,"TERMINACIONES: "&amp;_xlfn.TEXTJOIN(", ",TRUE,IF((BG150:CR150&lt;1)*(PARTIDAS!$I$2:$AT$2="TERMINACIONES"),PARTIDAS!$I$1:$AT$1,"")),""))</f>
        <v>ELÉCTRICO: CABLEADO, ARTEFACTOS | TERMINACIONES: VENTANAS, OSB EXTERIOR, SMART PANEL, PINTURA EXTERIOR, MOLDURAS, PILASTREO, CELOSIAS, VENTANAS (TERM), CERRADURAS, REVESTIMIENTO INTERIOR ZONA SECA, LIMPIEZA FINAL, PUERTAS DORMITORIO</v>
      </c>
      <c r="CU150" s="43" t="str" cm="1">
        <f t="array" ref="CU150">_xlfn.TEXTJOIN(", ",TRUE,IF(SUMPRODUCT((BG150:CR150&lt;1)*(PARTIDAS!$I$2:$AT$2="OBRA GRUESA"))&gt;0,"OBRA GRUESA",""),IF(SUMPRODUCT((BG150:CR150&lt;1)*(PARTIDAS!$I$2:$AT$2="SANITARIOS"))&gt;0,"SANITARIOS",""),IF(SUMPRODUCT((BG150:CR150&lt;1)*(PARTIDAS!$I$2:$AT$2="ELÉCTRICO"))&gt;0,"ELÉCTRICO",""),IF(SUMPRODUCT((BG150:CR150&lt;1)*(PARTIDAS!$I$2:$AT$2="TERMINACIONES"))&gt;0,"TERMINACIONES",""))</f>
        <v>ELÉCTRICO, TERMINACIONES</v>
      </c>
      <c r="CV150" s="44" cm="1">
        <f t="array" ref="CV150">SUMPRODUCT(--(BG150:CR150&lt;1))</f>
        <v>14</v>
      </c>
    </row>
    <row r="151" spans="1:100" x14ac:dyDescent="0.25">
      <c r="A151" t="s">
        <v>190</v>
      </c>
      <c r="B151" t="s">
        <v>212</v>
      </c>
      <c r="C151">
        <v>2302600150</v>
      </c>
      <c r="D151" t="s">
        <v>60</v>
      </c>
      <c r="E151" s="2">
        <v>0.38999999999999996</v>
      </c>
      <c r="F151" s="1">
        <v>46209</v>
      </c>
      <c r="G151" s="1">
        <v>46224</v>
      </c>
      <c r="H151" s="1">
        <v>46226</v>
      </c>
      <c r="I151" s="1">
        <v>46241</v>
      </c>
      <c r="J151">
        <v>4</v>
      </c>
      <c r="K151" s="1"/>
      <c r="L151" s="3">
        <v>0.38999999999999996</v>
      </c>
      <c r="M151" s="3">
        <v>0.90697674418604646</v>
      </c>
      <c r="N151" s="3">
        <v>0.27906976744186046</v>
      </c>
      <c r="O151" s="3">
        <v>0.18604651162790697</v>
      </c>
      <c r="P151" s="3">
        <v>0.2558139534883721</v>
      </c>
      <c r="Q151" s="3">
        <v>0.18604651162790697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>
        <v>31.32</v>
      </c>
      <c r="BF151" s="3" t="str">
        <f>+IF(AVANCE[[#This Row],[% AVANCE]]=100%,"MODULO TERMINADO",IF(AVANCE[[#This Row],[FECHA INICIO REAL]]="","MODULO NO INICIADO","PENDIENTE"))</f>
        <v>PENDIENTE</v>
      </c>
      <c r="BG151" s="3">
        <f>+IF(AVANCE[[#This Row],[VENTANAS]]=8.10810810810811%,100%,AVANCE[[#This Row],[VENTANAS]])</f>
        <v>0</v>
      </c>
      <c r="BH151" s="3">
        <f>+IF(AVANCE[[#This Row],[PISO]]=N$2,100%,AVANCE[[#This Row],[PISO]])</f>
        <v>1</v>
      </c>
      <c r="BI151" s="3">
        <f>+IF(AVANCE[[#This Row],[TABIQUES]]=O$2,100%,AVANCE[[#This Row],[TABIQUES]])</f>
        <v>1</v>
      </c>
      <c r="BJ151" s="3">
        <f>+IF(AVANCE[[#This Row],[MUROS]]=P$2,100%,AVANCE[[#This Row],[MUROS]])</f>
        <v>1</v>
      </c>
      <c r="BK151" s="3">
        <f>+IF(AVANCE[[#This Row],[CIELO]]=Q$2,100%,AVANCE[[#This Row],[CIELO]])</f>
        <v>1</v>
      </c>
      <c r="BL151" s="3">
        <f>+IF(AVANCE[[#This Row],[BALCÓN]]=R$2,100%,AVANCE[[#This Row],[BALCÓN]])</f>
        <v>0</v>
      </c>
      <c r="BM151" s="3">
        <f>+IF(AVANCE[[#This Row],[RED ALCANTARILLADO]]=U$2,100%,AVANCE[[#This Row],[RED ALCANTARILLADO]])</f>
        <v>0</v>
      </c>
      <c r="BN151" s="3">
        <f>+IF(AVANCE[[#This Row],[RED DE AGUA]]=V$2,100%,AVANCE[[#This Row],[RED DE AGUA]])</f>
        <v>0</v>
      </c>
      <c r="BO151" s="3">
        <f>+IF(AVANCE[[#This Row],[VENTILACIONES]]=W$2,100%,AVANCE[[#This Row],[VENTILACIONES]])</f>
        <v>0</v>
      </c>
      <c r="BP151" s="3">
        <f>+IF(AVANCE[[#This Row],[TINA]]=X$2,100%,AVANCE[[#This Row],[TINA]])</f>
        <v>0</v>
      </c>
      <c r="BQ151" s="3">
        <f>+IF(AVANCE[[#This Row],[WC]]=Y$2,100%,AVANCE[[#This Row],[WC]])</f>
        <v>0</v>
      </c>
      <c r="BR151" s="3">
        <f>+IF(AVANCE[[#This Row],[LAVAMANOS / LAVAPLATOS / LAVADERO]]=Z$2,100%,AVANCE[[#This Row],[LAVAMANOS / LAVAPLATOS / LAVADERO]])</f>
        <v>0</v>
      </c>
      <c r="BS151" s="3">
        <f>+IF(AVANCE[[#This Row],[CANALIZACIÓN]]=AC$2,100%,AVANCE[[#This Row],[CANALIZACIÓN]])</f>
        <v>0</v>
      </c>
      <c r="BT151" s="3">
        <f>+IF(AVANCE[[#This Row],[CABLEADO]]=AD$2,100%,AVANCE[[#This Row],[CABLEADO]])</f>
        <v>0</v>
      </c>
      <c r="BU151" s="3">
        <f>+IF(AVANCE[[#This Row],[ARTEFACTOS]]=AE$2,100%,AVANCE[[#This Row],[ARTEFACTOS]])</f>
        <v>0</v>
      </c>
      <c r="BV151" s="3">
        <f>+IF(AVANCE[[#This Row],[TABLERO]]=AF$2,100%,AVANCE[[#This Row],[TABLERO]])</f>
        <v>0</v>
      </c>
      <c r="BW151" s="3">
        <f>+IF(AVANCE[[#This Row],[CAJA PAU]]=AG$2,100%,AVANCE[[#This Row],[CAJA PAU]])</f>
        <v>0</v>
      </c>
      <c r="BX151" s="3">
        <f>+IF(AVANCE[[#This Row],[INSTALACION VINILICO]]=AJ$2,100%,AVANCE[[#This Row],[INSTALACION VINILICO]])</f>
        <v>0</v>
      </c>
      <c r="BY151" s="3">
        <f>+IF(AVANCE[[#This Row],[OSB CUBIERTA]]=AK$2,100%,AVANCE[[#This Row],[OSB CUBIERTA]])</f>
        <v>0</v>
      </c>
      <c r="BZ151" s="3">
        <f>+IF(AVANCE[[#This Row],[BARANDA BALCON]]=AL$2,100%,AVANCE[[#This Row],[BARANDA BALCON]])</f>
        <v>0</v>
      </c>
      <c r="CA151" s="3">
        <f>+IF(AVANCE[[#This Row],[OSB EXTERIOR]]=AM$2,100%,AVANCE[[#This Row],[OSB EXTERIOR]])</f>
        <v>0</v>
      </c>
      <c r="CB151" s="3">
        <f>+IF(AVANCE[[#This Row],[SMART PANEL]]=AN$2,100%,AVANCE[[#This Row],[SMART PANEL]])</f>
        <v>0</v>
      </c>
      <c r="CC151" s="3">
        <f>+IF(AVANCE[[#This Row],[PINTURA EXTERIOR]]=AO$2,100%,AVANCE[[#This Row],[PINTURA EXTERIOR]])</f>
        <v>0</v>
      </c>
      <c r="CD151" s="3">
        <f>+IF(AVANCE[[#This Row],[ZOCALOS LOGIA]]=AP$2,100%,AVANCE[[#This Row],[ZOCALOS LOGIA]])</f>
        <v>0</v>
      </c>
      <c r="CE151" s="3">
        <f>+IF(AVANCE[[#This Row],[MOLDURAS]]=AQ$2,100%,AVANCE[[#This Row],[MOLDURAS]])</f>
        <v>0</v>
      </c>
      <c r="CF151" s="3">
        <f>+IF(AVANCE[[#This Row],[PILASTREO]]=AR$2,100%,AVANCE[[#This Row],[PILASTREO]])</f>
        <v>0</v>
      </c>
      <c r="CG151" s="3">
        <f>+IF(AVANCE[[#This Row],[CELOSIAS]]=AS$2,100%,AVANCE[[#This Row],[CELOSIAS]])</f>
        <v>0</v>
      </c>
      <c r="CH151" s="3">
        <f>+IF(AVANCE[[#This Row],[VENTANAS]]=AT$2,100%,AVANCE[[#This Row],[VENTANAS]])</f>
        <v>0</v>
      </c>
      <c r="CI151" s="3">
        <f>+IF(AVANCE[[#This Row],[PUERTAS ACCESO - LOGIA - BANO]]=AU$2,100%,AVANCE[[#This Row],[PUERTAS ACCESO - LOGIA - BANO]])</f>
        <v>0</v>
      </c>
      <c r="CJ151" s="3">
        <f>+IF(AVANCE[[#This Row],[CERRADURAS]]=AV$2,100%,AVANCE[[#This Row],[CERRADURAS]])</f>
        <v>0</v>
      </c>
      <c r="CK151" s="3">
        <f>+IF(AVANCE[[#This Row],[REVESTIMIENTO INTERIOR ZONA SECA]]=AW$2,100%,AVANCE[[#This Row],[REVESTIMIENTO INTERIOR ZONA SECA]])</f>
        <v>0</v>
      </c>
      <c r="CL151" s="3">
        <f>+IF(AVANCE[[#This Row],[REVESTIMIENTO INTERIOR ZONAS HUMEDAS]]=AX$2,100%,AVANCE[[#This Row],[REVESTIMIENTO INTERIOR ZONAS HUMEDAS]])</f>
        <v>0</v>
      </c>
      <c r="CM151" s="3">
        <f>+IF(AVANCE[[#This Row],[MEMBRANA CIELO]]=AY$2,100%,AVANCE[[#This Row],[MEMBRANA CIELO]])</f>
        <v>0</v>
      </c>
      <c r="CN151" s="3">
        <f>+IF(AVANCE[[#This Row],[LIMPIEZA FINAL]]=AZ$2,100%,AVANCE[[#This Row],[LIMPIEZA FINAL]])</f>
        <v>0</v>
      </c>
      <c r="CO151" s="3">
        <f>+IF(AVANCE[[#This Row],[PUERTAS DORMITORIO]]=BA$2,100%,AVANCE[[#This Row],[PUERTAS DORMITORIO]])</f>
        <v>0</v>
      </c>
      <c r="CP151" s="3">
        <f>+IF(AVANCE[[#This Row],[REVESTIMIENTO INTERIOR BANO]]=BB$2,100%,AVANCE[[#This Row],[REVESTIMIENTO INTERIOR BANO]])</f>
        <v>0</v>
      </c>
      <c r="CQ151" s="3">
        <f>+IF(AVANCE[[#This Row],[MUEBLE LAVAPLATOS]]=BC$2,100%,AVANCE[[#This Row],[MUEBLE LAVAPLATOS]])</f>
        <v>0</v>
      </c>
      <c r="CR151" s="3">
        <f>+IF(AVANCE[[#This Row],[IMPERMEABILIZACION BANO - COCINA LOGIA]]=BD$2,100%,AVANCE[[#This Row],[IMPERMEABILIZACION BANO - COCINA LOGIA]])</f>
        <v>0</v>
      </c>
      <c r="CS151" s="40">
        <f ca="1">+IF(AVANCE[[#This Row],[ESTADO MODULO]]="PENDIENTE",(TODAY()-AVANCE[[#This Row],[FECHA TERMINO  PLANIFICADO]]),0)</f>
        <v>-11</v>
      </c>
      <c r="CT151" s="41" t="str" cm="1">
        <f t="array" ref="CT151">_xlfn.TEXTJOIN(" | ",TRUE,IF(SUMPRODUCT((BG151:CR151&lt;1)*(PARTIDAS!$I$2:$AT$2="OBRA GRUESA"))&gt;0,"OBRA GRUESA: "&amp;_xlfn.TEXTJOIN(", ",TRUE,IF((BG151:CR151&lt;1)*(PARTIDAS!$I$2:$AT$2="OBRA GRUESA"),PARTIDAS!$I$1:$AT$1,"")),""),IF(SUMPRODUCT((BG151:CR151&lt;1)*(PARTIDAS!$I$2:$AT$2="SANITARIOS"))&gt;0,"SANITARIOS: "&amp;_xlfn.TEXTJOIN(", ",TRUE,IF((BG151:CR151&lt;1)*(PARTIDAS!$I$2:$AT$2="SANITARIOS"),PARTIDAS!$I$1:$AT$1,"")),""),IF(SUMPRODUCT((BG151:CR151&lt;1)*(PARTIDAS!$I$2:$AT$2="ELÉCTRICO"))&gt;0,"ELÉCTRICO: "&amp;_xlfn.TEXTJOIN(", ",TRUE,IF((BG151:CR151&lt;1)*(PARTIDAS!$I$2:$AT$2="ELÉCTRICO"),PARTIDAS!$I$1:$AT$1,"")),""),IF(SUMPRODUCT((BG151:CR151&lt;1)*(PARTIDAS!$I$2:$AT$2="TERMINACIONES"))&gt;0,"TERMINACIONES: "&amp;_xlfn.TEXTJOIN(", ",TRUE,IF((BG151:CR151&lt;1)*(PARTIDAS!$I$2:$AT$2="TERMINACIONES"),PARTIDAS!$I$1:$AT$1,"")),""))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51" s="43" t="str" cm="1">
        <f t="array" ref="CU151">_xlfn.TEXTJOIN(", ",TRUE,IF(SUMPRODUCT((BG151:CR151&lt;1)*(PARTIDAS!$I$2:$AT$2="OBRA GRUESA"))&gt;0,"OBRA GRUESA",""),IF(SUMPRODUCT((BG151:CR151&lt;1)*(PARTIDAS!$I$2:$AT$2="SANITARIOS"))&gt;0,"SANITARIOS",""),IF(SUMPRODUCT((BG151:CR151&lt;1)*(PARTIDAS!$I$2:$AT$2="ELÉCTRICO"))&gt;0,"ELÉCTRICO",""),IF(SUMPRODUCT((BG151:CR151&lt;1)*(PARTIDAS!$I$2:$AT$2="TERMINACIONES"))&gt;0,"TERMINACIONES",""))</f>
        <v>OBRA GRUESA, SANITARIOS, ELÉCTRICO, TERMINACIONES</v>
      </c>
      <c r="CV151" s="44" cm="1">
        <f t="array" ref="CV151">SUMPRODUCT(--(BG151:CR151&lt;1))</f>
        <v>34</v>
      </c>
    </row>
    <row r="152" spans="1:100" x14ac:dyDescent="0.25">
      <c r="A152" t="s">
        <v>190</v>
      </c>
      <c r="B152" t="s">
        <v>213</v>
      </c>
      <c r="C152">
        <v>2302600151</v>
      </c>
      <c r="D152" t="s">
        <v>60</v>
      </c>
      <c r="E152" s="2">
        <v>0.38999999999999996</v>
      </c>
      <c r="F152" s="1">
        <v>46210</v>
      </c>
      <c r="G152" s="1">
        <v>46226</v>
      </c>
      <c r="H152" s="1">
        <v>46226</v>
      </c>
      <c r="I152" s="1">
        <v>46242</v>
      </c>
      <c r="J152">
        <v>4</v>
      </c>
      <c r="K152" s="1"/>
      <c r="L152" s="3">
        <v>0.38999999999999996</v>
      </c>
      <c r="M152" s="3">
        <v>0.90697674418604646</v>
      </c>
      <c r="N152" s="3">
        <v>0.27906976744186046</v>
      </c>
      <c r="O152" s="3">
        <v>0.18604651162790697</v>
      </c>
      <c r="P152" s="3">
        <v>0.2558139534883721</v>
      </c>
      <c r="Q152" s="3">
        <v>0.18604651162790697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>
        <v>31.32</v>
      </c>
      <c r="BF152" s="3" t="str">
        <f>+IF(AVANCE[[#This Row],[% AVANCE]]=100%,"MODULO TERMINADO",IF(AVANCE[[#This Row],[FECHA INICIO REAL]]="","MODULO NO INICIADO","PENDIENTE"))</f>
        <v>PENDIENTE</v>
      </c>
      <c r="BG152" s="3">
        <f>+IF(AVANCE[[#This Row],[VENTANAS]]=8.10810810810811%,100%,AVANCE[[#This Row],[VENTANAS]])</f>
        <v>0</v>
      </c>
      <c r="BH152" s="3">
        <f>+IF(AVANCE[[#This Row],[PISO]]=N$2,100%,AVANCE[[#This Row],[PISO]])</f>
        <v>1</v>
      </c>
      <c r="BI152" s="3">
        <f>+IF(AVANCE[[#This Row],[TABIQUES]]=O$2,100%,AVANCE[[#This Row],[TABIQUES]])</f>
        <v>1</v>
      </c>
      <c r="BJ152" s="3">
        <f>+IF(AVANCE[[#This Row],[MUROS]]=P$2,100%,AVANCE[[#This Row],[MUROS]])</f>
        <v>1</v>
      </c>
      <c r="BK152" s="3">
        <f>+IF(AVANCE[[#This Row],[CIELO]]=Q$2,100%,AVANCE[[#This Row],[CIELO]])</f>
        <v>1</v>
      </c>
      <c r="BL152" s="3">
        <f>+IF(AVANCE[[#This Row],[BALCÓN]]=R$2,100%,AVANCE[[#This Row],[BALCÓN]])</f>
        <v>0</v>
      </c>
      <c r="BM152" s="3">
        <f>+IF(AVANCE[[#This Row],[RED ALCANTARILLADO]]=U$2,100%,AVANCE[[#This Row],[RED ALCANTARILLADO]])</f>
        <v>0</v>
      </c>
      <c r="BN152" s="3">
        <f>+IF(AVANCE[[#This Row],[RED DE AGUA]]=V$2,100%,AVANCE[[#This Row],[RED DE AGUA]])</f>
        <v>0</v>
      </c>
      <c r="BO152" s="3">
        <f>+IF(AVANCE[[#This Row],[VENTILACIONES]]=W$2,100%,AVANCE[[#This Row],[VENTILACIONES]])</f>
        <v>0</v>
      </c>
      <c r="BP152" s="3">
        <f>+IF(AVANCE[[#This Row],[TINA]]=X$2,100%,AVANCE[[#This Row],[TINA]])</f>
        <v>0</v>
      </c>
      <c r="BQ152" s="3">
        <f>+IF(AVANCE[[#This Row],[WC]]=Y$2,100%,AVANCE[[#This Row],[WC]])</f>
        <v>0</v>
      </c>
      <c r="BR152" s="3">
        <f>+IF(AVANCE[[#This Row],[LAVAMANOS / LAVAPLATOS / LAVADERO]]=Z$2,100%,AVANCE[[#This Row],[LAVAMANOS / LAVAPLATOS / LAVADERO]])</f>
        <v>0</v>
      </c>
      <c r="BS152" s="3">
        <f>+IF(AVANCE[[#This Row],[CANALIZACIÓN]]=AC$2,100%,AVANCE[[#This Row],[CANALIZACIÓN]])</f>
        <v>0</v>
      </c>
      <c r="BT152" s="3">
        <f>+IF(AVANCE[[#This Row],[CABLEADO]]=AD$2,100%,AVANCE[[#This Row],[CABLEADO]])</f>
        <v>0</v>
      </c>
      <c r="BU152" s="3">
        <f>+IF(AVANCE[[#This Row],[ARTEFACTOS]]=AE$2,100%,AVANCE[[#This Row],[ARTEFACTOS]])</f>
        <v>0</v>
      </c>
      <c r="BV152" s="3">
        <f>+IF(AVANCE[[#This Row],[TABLERO]]=AF$2,100%,AVANCE[[#This Row],[TABLERO]])</f>
        <v>0</v>
      </c>
      <c r="BW152" s="3">
        <f>+IF(AVANCE[[#This Row],[CAJA PAU]]=AG$2,100%,AVANCE[[#This Row],[CAJA PAU]])</f>
        <v>0</v>
      </c>
      <c r="BX152" s="3">
        <f>+IF(AVANCE[[#This Row],[INSTALACION VINILICO]]=AJ$2,100%,AVANCE[[#This Row],[INSTALACION VINILICO]])</f>
        <v>0</v>
      </c>
      <c r="BY152" s="3">
        <f>+IF(AVANCE[[#This Row],[OSB CUBIERTA]]=AK$2,100%,AVANCE[[#This Row],[OSB CUBIERTA]])</f>
        <v>0</v>
      </c>
      <c r="BZ152" s="3">
        <f>+IF(AVANCE[[#This Row],[BARANDA BALCON]]=AL$2,100%,AVANCE[[#This Row],[BARANDA BALCON]])</f>
        <v>0</v>
      </c>
      <c r="CA152" s="3">
        <f>+IF(AVANCE[[#This Row],[OSB EXTERIOR]]=AM$2,100%,AVANCE[[#This Row],[OSB EXTERIOR]])</f>
        <v>0</v>
      </c>
      <c r="CB152" s="3">
        <f>+IF(AVANCE[[#This Row],[SMART PANEL]]=AN$2,100%,AVANCE[[#This Row],[SMART PANEL]])</f>
        <v>0</v>
      </c>
      <c r="CC152" s="3">
        <f>+IF(AVANCE[[#This Row],[PINTURA EXTERIOR]]=AO$2,100%,AVANCE[[#This Row],[PINTURA EXTERIOR]])</f>
        <v>0</v>
      </c>
      <c r="CD152" s="3">
        <f>+IF(AVANCE[[#This Row],[ZOCALOS LOGIA]]=AP$2,100%,AVANCE[[#This Row],[ZOCALOS LOGIA]])</f>
        <v>0</v>
      </c>
      <c r="CE152" s="3">
        <f>+IF(AVANCE[[#This Row],[MOLDURAS]]=AQ$2,100%,AVANCE[[#This Row],[MOLDURAS]])</f>
        <v>0</v>
      </c>
      <c r="CF152" s="3">
        <f>+IF(AVANCE[[#This Row],[PILASTREO]]=AR$2,100%,AVANCE[[#This Row],[PILASTREO]])</f>
        <v>0</v>
      </c>
      <c r="CG152" s="3">
        <f>+IF(AVANCE[[#This Row],[CELOSIAS]]=AS$2,100%,AVANCE[[#This Row],[CELOSIAS]])</f>
        <v>0</v>
      </c>
      <c r="CH152" s="3">
        <f>+IF(AVANCE[[#This Row],[VENTANAS]]=AT$2,100%,AVANCE[[#This Row],[VENTANAS]])</f>
        <v>0</v>
      </c>
      <c r="CI152" s="3">
        <f>+IF(AVANCE[[#This Row],[PUERTAS ACCESO - LOGIA - BANO]]=AU$2,100%,AVANCE[[#This Row],[PUERTAS ACCESO - LOGIA - BANO]])</f>
        <v>0</v>
      </c>
      <c r="CJ152" s="3">
        <f>+IF(AVANCE[[#This Row],[CERRADURAS]]=AV$2,100%,AVANCE[[#This Row],[CERRADURAS]])</f>
        <v>0</v>
      </c>
      <c r="CK152" s="3">
        <f>+IF(AVANCE[[#This Row],[REVESTIMIENTO INTERIOR ZONA SECA]]=AW$2,100%,AVANCE[[#This Row],[REVESTIMIENTO INTERIOR ZONA SECA]])</f>
        <v>0</v>
      </c>
      <c r="CL152" s="3">
        <f>+IF(AVANCE[[#This Row],[REVESTIMIENTO INTERIOR ZONAS HUMEDAS]]=AX$2,100%,AVANCE[[#This Row],[REVESTIMIENTO INTERIOR ZONAS HUMEDAS]])</f>
        <v>0</v>
      </c>
      <c r="CM152" s="3">
        <f>+IF(AVANCE[[#This Row],[MEMBRANA CIELO]]=AY$2,100%,AVANCE[[#This Row],[MEMBRANA CIELO]])</f>
        <v>0</v>
      </c>
      <c r="CN152" s="3">
        <f>+IF(AVANCE[[#This Row],[LIMPIEZA FINAL]]=AZ$2,100%,AVANCE[[#This Row],[LIMPIEZA FINAL]])</f>
        <v>0</v>
      </c>
      <c r="CO152" s="3">
        <f>+IF(AVANCE[[#This Row],[PUERTAS DORMITORIO]]=BA$2,100%,AVANCE[[#This Row],[PUERTAS DORMITORIO]])</f>
        <v>0</v>
      </c>
      <c r="CP152" s="3">
        <f>+IF(AVANCE[[#This Row],[REVESTIMIENTO INTERIOR BANO]]=BB$2,100%,AVANCE[[#This Row],[REVESTIMIENTO INTERIOR BANO]])</f>
        <v>0</v>
      </c>
      <c r="CQ152" s="3">
        <f>+IF(AVANCE[[#This Row],[MUEBLE LAVAPLATOS]]=BC$2,100%,AVANCE[[#This Row],[MUEBLE LAVAPLATOS]])</f>
        <v>0</v>
      </c>
      <c r="CR152" s="3">
        <f>+IF(AVANCE[[#This Row],[IMPERMEABILIZACION BANO - COCINA LOGIA]]=BD$2,100%,AVANCE[[#This Row],[IMPERMEABILIZACION BANO - COCINA LOGIA]])</f>
        <v>0</v>
      </c>
      <c r="CS152" s="40">
        <f ca="1">+IF(AVANCE[[#This Row],[ESTADO MODULO]]="PENDIENTE",(TODAY()-AVANCE[[#This Row],[FECHA TERMINO  PLANIFICADO]]),0)</f>
        <v>-12</v>
      </c>
      <c r="CT152" s="41" t="str" cm="1">
        <f t="array" ref="CT152">_xlfn.TEXTJOIN(" | ",TRUE,IF(SUMPRODUCT((BG152:CR152&lt;1)*(PARTIDAS!$I$2:$AT$2="OBRA GRUESA"))&gt;0,"OBRA GRUESA: "&amp;_xlfn.TEXTJOIN(", ",TRUE,IF((BG152:CR152&lt;1)*(PARTIDAS!$I$2:$AT$2="OBRA GRUESA"),PARTIDAS!$I$1:$AT$1,"")),""),IF(SUMPRODUCT((BG152:CR152&lt;1)*(PARTIDAS!$I$2:$AT$2="SANITARIOS"))&gt;0,"SANITARIOS: "&amp;_xlfn.TEXTJOIN(", ",TRUE,IF((BG152:CR152&lt;1)*(PARTIDAS!$I$2:$AT$2="SANITARIOS"),PARTIDAS!$I$1:$AT$1,"")),""),IF(SUMPRODUCT((BG152:CR152&lt;1)*(PARTIDAS!$I$2:$AT$2="ELÉCTRICO"))&gt;0,"ELÉCTRICO: "&amp;_xlfn.TEXTJOIN(", ",TRUE,IF((BG152:CR152&lt;1)*(PARTIDAS!$I$2:$AT$2="ELÉCTRICO"),PARTIDAS!$I$1:$AT$1,"")),""),IF(SUMPRODUCT((BG152:CR152&lt;1)*(PARTIDAS!$I$2:$AT$2="TERMINACIONES"))&gt;0,"TERMINACIONES: "&amp;_xlfn.TEXTJOIN(", ",TRUE,IF((BG152:CR152&lt;1)*(PARTIDAS!$I$2:$AT$2="TERMINACIONES"),PARTIDAS!$I$1:$AT$1,"")),""))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52" s="43" t="str" cm="1">
        <f t="array" ref="CU152">_xlfn.TEXTJOIN(", ",TRUE,IF(SUMPRODUCT((BG152:CR152&lt;1)*(PARTIDAS!$I$2:$AT$2="OBRA GRUESA"))&gt;0,"OBRA GRUESA",""),IF(SUMPRODUCT((BG152:CR152&lt;1)*(PARTIDAS!$I$2:$AT$2="SANITARIOS"))&gt;0,"SANITARIOS",""),IF(SUMPRODUCT((BG152:CR152&lt;1)*(PARTIDAS!$I$2:$AT$2="ELÉCTRICO"))&gt;0,"ELÉCTRICO",""),IF(SUMPRODUCT((BG152:CR152&lt;1)*(PARTIDAS!$I$2:$AT$2="TERMINACIONES"))&gt;0,"TERMINACIONES",""))</f>
        <v>OBRA GRUESA, SANITARIOS, ELÉCTRICO, TERMINACIONES</v>
      </c>
      <c r="CV152" s="44" cm="1">
        <f t="array" ref="CV152">SUMPRODUCT(--(BG152:CR152&lt;1))</f>
        <v>34</v>
      </c>
    </row>
    <row r="153" spans="1:100" x14ac:dyDescent="0.25">
      <c r="A153" t="s">
        <v>190</v>
      </c>
      <c r="B153" t="s">
        <v>214</v>
      </c>
      <c r="C153">
        <v>2282600152</v>
      </c>
      <c r="D153" t="s">
        <v>58</v>
      </c>
      <c r="E153" s="2">
        <v>0.38999999999999996</v>
      </c>
      <c r="F153" s="1">
        <v>46210</v>
      </c>
      <c r="G153" s="1">
        <v>46224</v>
      </c>
      <c r="H153" s="1">
        <v>46226</v>
      </c>
      <c r="I153" s="1">
        <v>46232</v>
      </c>
      <c r="J153">
        <v>4</v>
      </c>
      <c r="K153" s="1"/>
      <c r="L153" s="3">
        <v>0.38999999999999996</v>
      </c>
      <c r="M153" s="3">
        <v>0.90697674418604646</v>
      </c>
      <c r="N153" s="3">
        <v>0.27906976744186046</v>
      </c>
      <c r="O153" s="3">
        <v>0.18604651162790697</v>
      </c>
      <c r="P153" s="3">
        <v>0.2558139534883721</v>
      </c>
      <c r="Q153" s="3">
        <v>0.18604651162790697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>
        <v>28.87</v>
      </c>
      <c r="BF153" s="3" t="str">
        <f>+IF(AVANCE[[#This Row],[% AVANCE]]=100%,"MODULO TERMINADO",IF(AVANCE[[#This Row],[FECHA INICIO REAL]]="","MODULO NO INICIADO","PENDIENTE"))</f>
        <v>PENDIENTE</v>
      </c>
      <c r="BG153" s="3">
        <f>+IF(AVANCE[[#This Row],[VENTANAS]]=8.10810810810811%,100%,AVANCE[[#This Row],[VENTANAS]])</f>
        <v>0</v>
      </c>
      <c r="BH153" s="3">
        <f>+IF(AVANCE[[#This Row],[PISO]]=N$2,100%,AVANCE[[#This Row],[PISO]])</f>
        <v>1</v>
      </c>
      <c r="BI153" s="3">
        <f>+IF(AVANCE[[#This Row],[TABIQUES]]=O$2,100%,AVANCE[[#This Row],[TABIQUES]])</f>
        <v>1</v>
      </c>
      <c r="BJ153" s="3">
        <f>+IF(AVANCE[[#This Row],[MUROS]]=P$2,100%,AVANCE[[#This Row],[MUROS]])</f>
        <v>1</v>
      </c>
      <c r="BK153" s="3">
        <f>+IF(AVANCE[[#This Row],[CIELO]]=Q$2,100%,AVANCE[[#This Row],[CIELO]])</f>
        <v>1</v>
      </c>
      <c r="BL153" s="3">
        <f>+IF(AVANCE[[#This Row],[BALCÓN]]=R$2,100%,AVANCE[[#This Row],[BALCÓN]])</f>
        <v>0</v>
      </c>
      <c r="BM153" s="3">
        <f>+IF(AVANCE[[#This Row],[RED ALCANTARILLADO]]=U$2,100%,AVANCE[[#This Row],[RED ALCANTARILLADO]])</f>
        <v>0</v>
      </c>
      <c r="BN153" s="3">
        <f>+IF(AVANCE[[#This Row],[RED DE AGUA]]=V$2,100%,AVANCE[[#This Row],[RED DE AGUA]])</f>
        <v>0</v>
      </c>
      <c r="BO153" s="3">
        <f>+IF(AVANCE[[#This Row],[VENTILACIONES]]=W$2,100%,AVANCE[[#This Row],[VENTILACIONES]])</f>
        <v>0</v>
      </c>
      <c r="BP153" s="3">
        <f>+IF(AVANCE[[#This Row],[TINA]]=X$2,100%,AVANCE[[#This Row],[TINA]])</f>
        <v>0</v>
      </c>
      <c r="BQ153" s="3">
        <f>+IF(AVANCE[[#This Row],[WC]]=Y$2,100%,AVANCE[[#This Row],[WC]])</f>
        <v>0</v>
      </c>
      <c r="BR153" s="3">
        <f>+IF(AVANCE[[#This Row],[LAVAMANOS / LAVAPLATOS / LAVADERO]]=Z$2,100%,AVANCE[[#This Row],[LAVAMANOS / LAVAPLATOS / LAVADERO]])</f>
        <v>0</v>
      </c>
      <c r="BS153" s="3">
        <f>+IF(AVANCE[[#This Row],[CANALIZACIÓN]]=AC$2,100%,AVANCE[[#This Row],[CANALIZACIÓN]])</f>
        <v>0</v>
      </c>
      <c r="BT153" s="3">
        <f>+IF(AVANCE[[#This Row],[CABLEADO]]=AD$2,100%,AVANCE[[#This Row],[CABLEADO]])</f>
        <v>0</v>
      </c>
      <c r="BU153" s="3">
        <f>+IF(AVANCE[[#This Row],[ARTEFACTOS]]=AE$2,100%,AVANCE[[#This Row],[ARTEFACTOS]])</f>
        <v>0</v>
      </c>
      <c r="BV153" s="3">
        <f>+IF(AVANCE[[#This Row],[TABLERO]]=AF$2,100%,AVANCE[[#This Row],[TABLERO]])</f>
        <v>0</v>
      </c>
      <c r="BW153" s="3">
        <f>+IF(AVANCE[[#This Row],[CAJA PAU]]=AG$2,100%,AVANCE[[#This Row],[CAJA PAU]])</f>
        <v>0</v>
      </c>
      <c r="BX153" s="3">
        <f>+IF(AVANCE[[#This Row],[INSTALACION VINILICO]]=AJ$2,100%,AVANCE[[#This Row],[INSTALACION VINILICO]])</f>
        <v>0</v>
      </c>
      <c r="BY153" s="3">
        <f>+IF(AVANCE[[#This Row],[OSB CUBIERTA]]=AK$2,100%,AVANCE[[#This Row],[OSB CUBIERTA]])</f>
        <v>0</v>
      </c>
      <c r="BZ153" s="3">
        <f>+IF(AVANCE[[#This Row],[BARANDA BALCON]]=AL$2,100%,AVANCE[[#This Row],[BARANDA BALCON]])</f>
        <v>0</v>
      </c>
      <c r="CA153" s="3">
        <f>+IF(AVANCE[[#This Row],[OSB EXTERIOR]]=AM$2,100%,AVANCE[[#This Row],[OSB EXTERIOR]])</f>
        <v>0</v>
      </c>
      <c r="CB153" s="3">
        <f>+IF(AVANCE[[#This Row],[SMART PANEL]]=AN$2,100%,AVANCE[[#This Row],[SMART PANEL]])</f>
        <v>0</v>
      </c>
      <c r="CC153" s="3">
        <f>+IF(AVANCE[[#This Row],[PINTURA EXTERIOR]]=AO$2,100%,AVANCE[[#This Row],[PINTURA EXTERIOR]])</f>
        <v>0</v>
      </c>
      <c r="CD153" s="3">
        <f>+IF(AVANCE[[#This Row],[ZOCALOS LOGIA]]=AP$2,100%,AVANCE[[#This Row],[ZOCALOS LOGIA]])</f>
        <v>0</v>
      </c>
      <c r="CE153" s="3">
        <f>+IF(AVANCE[[#This Row],[MOLDURAS]]=AQ$2,100%,AVANCE[[#This Row],[MOLDURAS]])</f>
        <v>0</v>
      </c>
      <c r="CF153" s="3">
        <f>+IF(AVANCE[[#This Row],[PILASTREO]]=AR$2,100%,AVANCE[[#This Row],[PILASTREO]])</f>
        <v>0</v>
      </c>
      <c r="CG153" s="3">
        <f>+IF(AVANCE[[#This Row],[CELOSIAS]]=AS$2,100%,AVANCE[[#This Row],[CELOSIAS]])</f>
        <v>0</v>
      </c>
      <c r="CH153" s="3">
        <f>+IF(AVANCE[[#This Row],[VENTANAS]]=AT$2,100%,AVANCE[[#This Row],[VENTANAS]])</f>
        <v>0</v>
      </c>
      <c r="CI153" s="3">
        <f>+IF(AVANCE[[#This Row],[PUERTAS ACCESO - LOGIA - BANO]]=AU$2,100%,AVANCE[[#This Row],[PUERTAS ACCESO - LOGIA - BANO]])</f>
        <v>0</v>
      </c>
      <c r="CJ153" s="3">
        <f>+IF(AVANCE[[#This Row],[CERRADURAS]]=AV$2,100%,AVANCE[[#This Row],[CERRADURAS]])</f>
        <v>0</v>
      </c>
      <c r="CK153" s="3">
        <f>+IF(AVANCE[[#This Row],[REVESTIMIENTO INTERIOR ZONA SECA]]=AW$2,100%,AVANCE[[#This Row],[REVESTIMIENTO INTERIOR ZONA SECA]])</f>
        <v>0</v>
      </c>
      <c r="CL153" s="3">
        <f>+IF(AVANCE[[#This Row],[REVESTIMIENTO INTERIOR ZONAS HUMEDAS]]=AX$2,100%,AVANCE[[#This Row],[REVESTIMIENTO INTERIOR ZONAS HUMEDAS]])</f>
        <v>0</v>
      </c>
      <c r="CM153" s="3">
        <f>+IF(AVANCE[[#This Row],[MEMBRANA CIELO]]=AY$2,100%,AVANCE[[#This Row],[MEMBRANA CIELO]])</f>
        <v>0</v>
      </c>
      <c r="CN153" s="3">
        <f>+IF(AVANCE[[#This Row],[LIMPIEZA FINAL]]=AZ$2,100%,AVANCE[[#This Row],[LIMPIEZA FINAL]])</f>
        <v>0</v>
      </c>
      <c r="CO153" s="3">
        <f>+IF(AVANCE[[#This Row],[PUERTAS DORMITORIO]]=BA$2,100%,AVANCE[[#This Row],[PUERTAS DORMITORIO]])</f>
        <v>0</v>
      </c>
      <c r="CP153" s="3">
        <f>+IF(AVANCE[[#This Row],[REVESTIMIENTO INTERIOR BANO]]=BB$2,100%,AVANCE[[#This Row],[REVESTIMIENTO INTERIOR BANO]])</f>
        <v>0</v>
      </c>
      <c r="CQ153" s="3">
        <f>+IF(AVANCE[[#This Row],[MUEBLE LAVAPLATOS]]=BC$2,100%,AVANCE[[#This Row],[MUEBLE LAVAPLATOS]])</f>
        <v>0</v>
      </c>
      <c r="CR153" s="3">
        <f>+IF(AVANCE[[#This Row],[IMPERMEABILIZACION BANO - COCINA LOGIA]]=BD$2,100%,AVANCE[[#This Row],[IMPERMEABILIZACION BANO - COCINA LOGIA]])</f>
        <v>0</v>
      </c>
      <c r="CS153" s="40">
        <f ca="1">+IF(AVANCE[[#This Row],[ESTADO MODULO]]="PENDIENTE",(TODAY()-AVANCE[[#This Row],[FECHA TERMINO  PLANIFICADO]]),0)</f>
        <v>-2</v>
      </c>
      <c r="CT153" s="41" t="str" cm="1">
        <f t="array" ref="CT153">_xlfn.TEXTJOIN(" | ",TRUE,IF(SUMPRODUCT((BG153:CR153&lt;1)*(PARTIDAS!$I$2:$AT$2="OBRA GRUESA"))&gt;0,"OBRA GRUESA: "&amp;_xlfn.TEXTJOIN(", ",TRUE,IF((BG153:CR153&lt;1)*(PARTIDAS!$I$2:$AT$2="OBRA GRUESA"),PARTIDAS!$I$1:$AT$1,"")),""),IF(SUMPRODUCT((BG153:CR153&lt;1)*(PARTIDAS!$I$2:$AT$2="SANITARIOS"))&gt;0,"SANITARIOS: "&amp;_xlfn.TEXTJOIN(", ",TRUE,IF((BG153:CR153&lt;1)*(PARTIDAS!$I$2:$AT$2="SANITARIOS"),PARTIDAS!$I$1:$AT$1,"")),""),IF(SUMPRODUCT((BG153:CR153&lt;1)*(PARTIDAS!$I$2:$AT$2="ELÉCTRICO"))&gt;0,"ELÉCTRICO: "&amp;_xlfn.TEXTJOIN(", ",TRUE,IF((BG153:CR153&lt;1)*(PARTIDAS!$I$2:$AT$2="ELÉCTRICO"),PARTIDAS!$I$1:$AT$1,"")),""),IF(SUMPRODUCT((BG153:CR153&lt;1)*(PARTIDAS!$I$2:$AT$2="TERMINACIONES"))&gt;0,"TERMINACIONES: "&amp;_xlfn.TEXTJOIN(", ",TRUE,IF((BG153:CR153&lt;1)*(PARTIDAS!$I$2:$AT$2="TERMINACIONES"),PARTIDAS!$I$1:$AT$1,"")),""))</f>
        <v>OBRA GRUESA: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53" s="43" t="str" cm="1">
        <f t="array" ref="CU153">_xlfn.TEXTJOIN(", ",TRUE,IF(SUMPRODUCT((BG153:CR153&lt;1)*(PARTIDAS!$I$2:$AT$2="OBRA GRUESA"))&gt;0,"OBRA GRUESA",""),IF(SUMPRODUCT((BG153:CR153&lt;1)*(PARTIDAS!$I$2:$AT$2="SANITARIOS"))&gt;0,"SANITARIOS",""),IF(SUMPRODUCT((BG153:CR153&lt;1)*(PARTIDAS!$I$2:$AT$2="ELÉCTRICO"))&gt;0,"ELÉCTRICO",""),IF(SUMPRODUCT((BG153:CR153&lt;1)*(PARTIDAS!$I$2:$AT$2="TERMINACIONES"))&gt;0,"TERMINACIONES",""))</f>
        <v>OBRA GRUESA, SANITARIOS, ELÉCTRICO, TERMINACIONES</v>
      </c>
      <c r="CV153" s="44" cm="1">
        <f t="array" ref="CV153">SUMPRODUCT(--(BG153:CR153&lt;1))</f>
        <v>34</v>
      </c>
    </row>
    <row r="154" spans="1:100" x14ac:dyDescent="0.25">
      <c r="A154" t="s">
        <v>190</v>
      </c>
      <c r="B154" t="s">
        <v>215</v>
      </c>
      <c r="C154">
        <v>2282600153</v>
      </c>
      <c r="D154" t="s">
        <v>58</v>
      </c>
      <c r="E154" s="2">
        <v>0.12</v>
      </c>
      <c r="F154" s="1">
        <v>46210</v>
      </c>
      <c r="G154" s="1">
        <v>46227</v>
      </c>
      <c r="H154" s="1">
        <v>46227</v>
      </c>
      <c r="I154" s="1">
        <v>46232</v>
      </c>
      <c r="J154">
        <v>3</v>
      </c>
      <c r="K154" s="1"/>
      <c r="L154" s="3">
        <v>0.12</v>
      </c>
      <c r="M154" s="3">
        <v>0.27906976744186046</v>
      </c>
      <c r="N154" s="3">
        <v>0.27906976744186046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>
        <v>28.87</v>
      </c>
      <c r="BF154" s="3" t="str">
        <f>+IF(AVANCE[[#This Row],[% AVANCE]]=100%,"MODULO TERMINADO",IF(AVANCE[[#This Row],[FECHA INICIO REAL]]="","MODULO NO INICIADO","PENDIENTE"))</f>
        <v>PENDIENTE</v>
      </c>
      <c r="BG154" s="3">
        <f>+IF(AVANCE[[#This Row],[VENTANAS]]=8.10810810810811%,100%,AVANCE[[#This Row],[VENTANAS]])</f>
        <v>0</v>
      </c>
      <c r="BH154" s="3">
        <f>+IF(AVANCE[[#This Row],[PISO]]=N$2,100%,AVANCE[[#This Row],[PISO]])</f>
        <v>1</v>
      </c>
      <c r="BI154" s="3">
        <f>+IF(AVANCE[[#This Row],[TABIQUES]]=O$2,100%,AVANCE[[#This Row],[TABIQUES]])</f>
        <v>0</v>
      </c>
      <c r="BJ154" s="3">
        <f>+IF(AVANCE[[#This Row],[MUROS]]=P$2,100%,AVANCE[[#This Row],[MUROS]])</f>
        <v>0</v>
      </c>
      <c r="BK154" s="3">
        <f>+IF(AVANCE[[#This Row],[CIELO]]=Q$2,100%,AVANCE[[#This Row],[CIELO]])</f>
        <v>0</v>
      </c>
      <c r="BL154" s="3">
        <f>+IF(AVANCE[[#This Row],[BALCÓN]]=R$2,100%,AVANCE[[#This Row],[BALCÓN]])</f>
        <v>0</v>
      </c>
      <c r="BM154" s="3">
        <f>+IF(AVANCE[[#This Row],[RED ALCANTARILLADO]]=U$2,100%,AVANCE[[#This Row],[RED ALCANTARILLADO]])</f>
        <v>0</v>
      </c>
      <c r="BN154" s="3">
        <f>+IF(AVANCE[[#This Row],[RED DE AGUA]]=V$2,100%,AVANCE[[#This Row],[RED DE AGUA]])</f>
        <v>0</v>
      </c>
      <c r="BO154" s="3">
        <f>+IF(AVANCE[[#This Row],[VENTILACIONES]]=W$2,100%,AVANCE[[#This Row],[VENTILACIONES]])</f>
        <v>0</v>
      </c>
      <c r="BP154" s="3">
        <f>+IF(AVANCE[[#This Row],[TINA]]=X$2,100%,AVANCE[[#This Row],[TINA]])</f>
        <v>0</v>
      </c>
      <c r="BQ154" s="3">
        <f>+IF(AVANCE[[#This Row],[WC]]=Y$2,100%,AVANCE[[#This Row],[WC]])</f>
        <v>0</v>
      </c>
      <c r="BR154" s="3">
        <f>+IF(AVANCE[[#This Row],[LAVAMANOS / LAVAPLATOS / LAVADERO]]=Z$2,100%,AVANCE[[#This Row],[LAVAMANOS / LAVAPLATOS / LAVADERO]])</f>
        <v>0</v>
      </c>
      <c r="BS154" s="3">
        <f>+IF(AVANCE[[#This Row],[CANALIZACIÓN]]=AC$2,100%,AVANCE[[#This Row],[CANALIZACIÓN]])</f>
        <v>0</v>
      </c>
      <c r="BT154" s="3">
        <f>+IF(AVANCE[[#This Row],[CABLEADO]]=AD$2,100%,AVANCE[[#This Row],[CABLEADO]])</f>
        <v>0</v>
      </c>
      <c r="BU154" s="3">
        <f>+IF(AVANCE[[#This Row],[ARTEFACTOS]]=AE$2,100%,AVANCE[[#This Row],[ARTEFACTOS]])</f>
        <v>0</v>
      </c>
      <c r="BV154" s="3">
        <f>+IF(AVANCE[[#This Row],[TABLERO]]=AF$2,100%,AVANCE[[#This Row],[TABLERO]])</f>
        <v>0</v>
      </c>
      <c r="BW154" s="3">
        <f>+IF(AVANCE[[#This Row],[CAJA PAU]]=AG$2,100%,AVANCE[[#This Row],[CAJA PAU]])</f>
        <v>0</v>
      </c>
      <c r="BX154" s="3">
        <f>+IF(AVANCE[[#This Row],[INSTALACION VINILICO]]=AJ$2,100%,AVANCE[[#This Row],[INSTALACION VINILICO]])</f>
        <v>0</v>
      </c>
      <c r="BY154" s="3">
        <f>+IF(AVANCE[[#This Row],[OSB CUBIERTA]]=AK$2,100%,AVANCE[[#This Row],[OSB CUBIERTA]])</f>
        <v>0</v>
      </c>
      <c r="BZ154" s="3">
        <f>+IF(AVANCE[[#This Row],[BARANDA BALCON]]=AL$2,100%,AVANCE[[#This Row],[BARANDA BALCON]])</f>
        <v>0</v>
      </c>
      <c r="CA154" s="3">
        <f>+IF(AVANCE[[#This Row],[OSB EXTERIOR]]=AM$2,100%,AVANCE[[#This Row],[OSB EXTERIOR]])</f>
        <v>0</v>
      </c>
      <c r="CB154" s="3">
        <f>+IF(AVANCE[[#This Row],[SMART PANEL]]=AN$2,100%,AVANCE[[#This Row],[SMART PANEL]])</f>
        <v>0</v>
      </c>
      <c r="CC154" s="3">
        <f>+IF(AVANCE[[#This Row],[PINTURA EXTERIOR]]=AO$2,100%,AVANCE[[#This Row],[PINTURA EXTERIOR]])</f>
        <v>0</v>
      </c>
      <c r="CD154" s="3">
        <f>+IF(AVANCE[[#This Row],[ZOCALOS LOGIA]]=AP$2,100%,AVANCE[[#This Row],[ZOCALOS LOGIA]])</f>
        <v>0</v>
      </c>
      <c r="CE154" s="3">
        <f>+IF(AVANCE[[#This Row],[MOLDURAS]]=AQ$2,100%,AVANCE[[#This Row],[MOLDURAS]])</f>
        <v>0</v>
      </c>
      <c r="CF154" s="3">
        <f>+IF(AVANCE[[#This Row],[PILASTREO]]=AR$2,100%,AVANCE[[#This Row],[PILASTREO]])</f>
        <v>0</v>
      </c>
      <c r="CG154" s="3">
        <f>+IF(AVANCE[[#This Row],[CELOSIAS]]=AS$2,100%,AVANCE[[#This Row],[CELOSIAS]])</f>
        <v>0</v>
      </c>
      <c r="CH154" s="3">
        <f>+IF(AVANCE[[#This Row],[VENTANAS]]=AT$2,100%,AVANCE[[#This Row],[VENTANAS]])</f>
        <v>0</v>
      </c>
      <c r="CI154" s="3">
        <f>+IF(AVANCE[[#This Row],[PUERTAS ACCESO - LOGIA - BANO]]=AU$2,100%,AVANCE[[#This Row],[PUERTAS ACCESO - LOGIA - BANO]])</f>
        <v>0</v>
      </c>
      <c r="CJ154" s="3">
        <f>+IF(AVANCE[[#This Row],[CERRADURAS]]=AV$2,100%,AVANCE[[#This Row],[CERRADURAS]])</f>
        <v>0</v>
      </c>
      <c r="CK154" s="3">
        <f>+IF(AVANCE[[#This Row],[REVESTIMIENTO INTERIOR ZONA SECA]]=AW$2,100%,AVANCE[[#This Row],[REVESTIMIENTO INTERIOR ZONA SECA]])</f>
        <v>0</v>
      </c>
      <c r="CL154" s="3">
        <f>+IF(AVANCE[[#This Row],[REVESTIMIENTO INTERIOR ZONAS HUMEDAS]]=AX$2,100%,AVANCE[[#This Row],[REVESTIMIENTO INTERIOR ZONAS HUMEDAS]])</f>
        <v>0</v>
      </c>
      <c r="CM154" s="3">
        <f>+IF(AVANCE[[#This Row],[MEMBRANA CIELO]]=AY$2,100%,AVANCE[[#This Row],[MEMBRANA CIELO]])</f>
        <v>0</v>
      </c>
      <c r="CN154" s="3">
        <f>+IF(AVANCE[[#This Row],[LIMPIEZA FINAL]]=AZ$2,100%,AVANCE[[#This Row],[LIMPIEZA FINAL]])</f>
        <v>0</v>
      </c>
      <c r="CO154" s="3">
        <f>+IF(AVANCE[[#This Row],[PUERTAS DORMITORIO]]=BA$2,100%,AVANCE[[#This Row],[PUERTAS DORMITORIO]])</f>
        <v>0</v>
      </c>
      <c r="CP154" s="3">
        <f>+IF(AVANCE[[#This Row],[REVESTIMIENTO INTERIOR BANO]]=BB$2,100%,AVANCE[[#This Row],[REVESTIMIENTO INTERIOR BANO]])</f>
        <v>0</v>
      </c>
      <c r="CQ154" s="3">
        <f>+IF(AVANCE[[#This Row],[MUEBLE LAVAPLATOS]]=BC$2,100%,AVANCE[[#This Row],[MUEBLE LAVAPLATOS]])</f>
        <v>0</v>
      </c>
      <c r="CR154" s="3">
        <f>+IF(AVANCE[[#This Row],[IMPERMEABILIZACION BANO - COCINA LOGIA]]=BD$2,100%,AVANCE[[#This Row],[IMPERMEABILIZACION BANO - COCINA LOGIA]])</f>
        <v>0</v>
      </c>
      <c r="CS154" s="40">
        <f ca="1">+IF(AVANCE[[#This Row],[ESTADO MODULO]]="PENDIENTE",(TODAY()-AVANCE[[#This Row],[FECHA TERMINO  PLANIFICADO]]),0)</f>
        <v>-2</v>
      </c>
      <c r="CT154" s="41" t="str" cm="1">
        <f t="array" ref="CT154">_xlfn.TEXTJOIN(" | ",TRUE,IF(SUMPRODUCT((BG154:CR154&lt;1)*(PARTIDAS!$I$2:$AT$2="OBRA GRUESA"))&gt;0,"OBRA GRUESA: "&amp;_xlfn.TEXTJOIN(", ",TRUE,IF((BG154:CR154&lt;1)*(PARTIDAS!$I$2:$AT$2="OBRA GRUESA"),PARTIDAS!$I$1:$AT$1,"")),""),IF(SUMPRODUCT((BG154:CR154&lt;1)*(PARTIDAS!$I$2:$AT$2="SANITARIOS"))&gt;0,"SANITARIOS: "&amp;_xlfn.TEXTJOIN(", ",TRUE,IF((BG154:CR154&lt;1)*(PARTIDAS!$I$2:$AT$2="SANITARIOS"),PARTIDAS!$I$1:$AT$1,"")),""),IF(SUMPRODUCT((BG154:CR154&lt;1)*(PARTIDAS!$I$2:$AT$2="ELÉCTRICO"))&gt;0,"ELÉCTRICO: "&amp;_xlfn.TEXTJOIN(", ",TRUE,IF((BG154:CR154&lt;1)*(PARTIDAS!$I$2:$AT$2="ELÉCTRICO"),PARTIDAS!$I$1:$AT$1,"")),""),IF(SUMPRODUCT((BG154:CR154&lt;1)*(PARTIDAS!$I$2:$AT$2="TERMINACIONES"))&gt;0,"TERMINACIONES: "&amp;_xlfn.TEXTJOIN(", ",TRUE,IF((BG154:CR154&lt;1)*(PARTIDAS!$I$2:$AT$2="TERMINACIONES"),PARTIDAS!$I$1:$AT$1,"")),""))</f>
        <v>OBRA GRUESA: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54" s="43" t="str" cm="1">
        <f t="array" ref="CU154">_xlfn.TEXTJOIN(", ",TRUE,IF(SUMPRODUCT((BG154:CR154&lt;1)*(PARTIDAS!$I$2:$AT$2="OBRA GRUESA"))&gt;0,"OBRA GRUESA",""),IF(SUMPRODUCT((BG154:CR154&lt;1)*(PARTIDAS!$I$2:$AT$2="SANITARIOS"))&gt;0,"SANITARIOS",""),IF(SUMPRODUCT((BG154:CR154&lt;1)*(PARTIDAS!$I$2:$AT$2="ELÉCTRICO"))&gt;0,"ELÉCTRICO",""),IF(SUMPRODUCT((BG154:CR154&lt;1)*(PARTIDAS!$I$2:$AT$2="TERMINACIONES"))&gt;0,"TERMINACIONES",""))</f>
        <v>OBRA GRUESA, SANITARIOS, ELÉCTRICO, TERMINACIONES</v>
      </c>
      <c r="CV154" s="44" cm="1">
        <f t="array" ref="CV154">SUMPRODUCT(--(BG154:CR154&lt;1))</f>
        <v>37</v>
      </c>
    </row>
    <row r="155" spans="1:100" x14ac:dyDescent="0.25">
      <c r="A155" t="s">
        <v>190</v>
      </c>
      <c r="B155" t="s">
        <v>216</v>
      </c>
      <c r="C155">
        <v>2302600154</v>
      </c>
      <c r="D155" t="s">
        <v>60</v>
      </c>
      <c r="E155" s="2">
        <v>0</v>
      </c>
      <c r="F155" s="1">
        <v>46211</v>
      </c>
      <c r="G155" s="1"/>
      <c r="H155" s="1">
        <v>0</v>
      </c>
      <c r="I155" s="1">
        <v>46243</v>
      </c>
      <c r="J155">
        <v>46230</v>
      </c>
      <c r="K155" s="1"/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>
        <v>31.32</v>
      </c>
      <c r="BF155" s="3" t="str">
        <f>+IF(AVANCE[[#This Row],[% AVANCE]]=100%,"MODULO TERMINADO",IF(AVANCE[[#This Row],[FECHA INICIO REAL]]="","MODULO NO INICIADO","PENDIENTE"))</f>
        <v>MODULO NO INICIADO</v>
      </c>
      <c r="BG155" s="3">
        <f>+IF(AVANCE[[#This Row],[VENTANAS]]=8.10810810810811%,100%,AVANCE[[#This Row],[VENTANAS]])</f>
        <v>0</v>
      </c>
      <c r="BH155" s="3">
        <f>+IF(AVANCE[[#This Row],[PISO]]=N$2,100%,AVANCE[[#This Row],[PISO]])</f>
        <v>0</v>
      </c>
      <c r="BI155" s="3">
        <f>+IF(AVANCE[[#This Row],[TABIQUES]]=O$2,100%,AVANCE[[#This Row],[TABIQUES]])</f>
        <v>0</v>
      </c>
      <c r="BJ155" s="3">
        <f>+IF(AVANCE[[#This Row],[MUROS]]=P$2,100%,AVANCE[[#This Row],[MUROS]])</f>
        <v>0</v>
      </c>
      <c r="BK155" s="3">
        <f>+IF(AVANCE[[#This Row],[CIELO]]=Q$2,100%,AVANCE[[#This Row],[CIELO]])</f>
        <v>0</v>
      </c>
      <c r="BL155" s="3">
        <f>+IF(AVANCE[[#This Row],[BALCÓN]]=R$2,100%,AVANCE[[#This Row],[BALCÓN]])</f>
        <v>0</v>
      </c>
      <c r="BM155" s="3">
        <f>+IF(AVANCE[[#This Row],[RED ALCANTARILLADO]]=U$2,100%,AVANCE[[#This Row],[RED ALCANTARILLADO]])</f>
        <v>0</v>
      </c>
      <c r="BN155" s="3">
        <f>+IF(AVANCE[[#This Row],[RED DE AGUA]]=V$2,100%,AVANCE[[#This Row],[RED DE AGUA]])</f>
        <v>0</v>
      </c>
      <c r="BO155" s="3">
        <f>+IF(AVANCE[[#This Row],[VENTILACIONES]]=W$2,100%,AVANCE[[#This Row],[VENTILACIONES]])</f>
        <v>0</v>
      </c>
      <c r="BP155" s="3">
        <f>+IF(AVANCE[[#This Row],[TINA]]=X$2,100%,AVANCE[[#This Row],[TINA]])</f>
        <v>0</v>
      </c>
      <c r="BQ155" s="3">
        <f>+IF(AVANCE[[#This Row],[WC]]=Y$2,100%,AVANCE[[#This Row],[WC]])</f>
        <v>0</v>
      </c>
      <c r="BR155" s="3">
        <f>+IF(AVANCE[[#This Row],[LAVAMANOS / LAVAPLATOS / LAVADERO]]=Z$2,100%,AVANCE[[#This Row],[LAVAMANOS / LAVAPLATOS / LAVADERO]])</f>
        <v>0</v>
      </c>
      <c r="BS155" s="3">
        <f>+IF(AVANCE[[#This Row],[CANALIZACIÓN]]=AC$2,100%,AVANCE[[#This Row],[CANALIZACIÓN]])</f>
        <v>0</v>
      </c>
      <c r="BT155" s="3">
        <f>+IF(AVANCE[[#This Row],[CABLEADO]]=AD$2,100%,AVANCE[[#This Row],[CABLEADO]])</f>
        <v>0</v>
      </c>
      <c r="BU155" s="3">
        <f>+IF(AVANCE[[#This Row],[ARTEFACTOS]]=AE$2,100%,AVANCE[[#This Row],[ARTEFACTOS]])</f>
        <v>0</v>
      </c>
      <c r="BV155" s="3">
        <f>+IF(AVANCE[[#This Row],[TABLERO]]=AF$2,100%,AVANCE[[#This Row],[TABLERO]])</f>
        <v>0</v>
      </c>
      <c r="BW155" s="3">
        <f>+IF(AVANCE[[#This Row],[CAJA PAU]]=AG$2,100%,AVANCE[[#This Row],[CAJA PAU]])</f>
        <v>0</v>
      </c>
      <c r="BX155" s="3">
        <f>+IF(AVANCE[[#This Row],[INSTALACION VINILICO]]=AJ$2,100%,AVANCE[[#This Row],[INSTALACION VINILICO]])</f>
        <v>0</v>
      </c>
      <c r="BY155" s="3">
        <f>+IF(AVANCE[[#This Row],[OSB CUBIERTA]]=AK$2,100%,AVANCE[[#This Row],[OSB CUBIERTA]])</f>
        <v>0</v>
      </c>
      <c r="BZ155" s="3">
        <f>+IF(AVANCE[[#This Row],[BARANDA BALCON]]=AL$2,100%,AVANCE[[#This Row],[BARANDA BALCON]])</f>
        <v>0</v>
      </c>
      <c r="CA155" s="3">
        <f>+IF(AVANCE[[#This Row],[OSB EXTERIOR]]=AM$2,100%,AVANCE[[#This Row],[OSB EXTERIOR]])</f>
        <v>0</v>
      </c>
      <c r="CB155" s="3">
        <f>+IF(AVANCE[[#This Row],[SMART PANEL]]=AN$2,100%,AVANCE[[#This Row],[SMART PANEL]])</f>
        <v>0</v>
      </c>
      <c r="CC155" s="3">
        <f>+IF(AVANCE[[#This Row],[PINTURA EXTERIOR]]=AO$2,100%,AVANCE[[#This Row],[PINTURA EXTERIOR]])</f>
        <v>0</v>
      </c>
      <c r="CD155" s="3">
        <f>+IF(AVANCE[[#This Row],[ZOCALOS LOGIA]]=AP$2,100%,AVANCE[[#This Row],[ZOCALOS LOGIA]])</f>
        <v>0</v>
      </c>
      <c r="CE155" s="3">
        <f>+IF(AVANCE[[#This Row],[MOLDURAS]]=AQ$2,100%,AVANCE[[#This Row],[MOLDURAS]])</f>
        <v>0</v>
      </c>
      <c r="CF155" s="3">
        <f>+IF(AVANCE[[#This Row],[PILASTREO]]=AR$2,100%,AVANCE[[#This Row],[PILASTREO]])</f>
        <v>0</v>
      </c>
      <c r="CG155" s="3">
        <f>+IF(AVANCE[[#This Row],[CELOSIAS]]=AS$2,100%,AVANCE[[#This Row],[CELOSIAS]])</f>
        <v>0</v>
      </c>
      <c r="CH155" s="3">
        <f>+IF(AVANCE[[#This Row],[VENTANAS]]=AT$2,100%,AVANCE[[#This Row],[VENTANAS]])</f>
        <v>0</v>
      </c>
      <c r="CI155" s="3">
        <f>+IF(AVANCE[[#This Row],[PUERTAS ACCESO - LOGIA - BANO]]=AU$2,100%,AVANCE[[#This Row],[PUERTAS ACCESO - LOGIA - BANO]])</f>
        <v>0</v>
      </c>
      <c r="CJ155" s="3">
        <f>+IF(AVANCE[[#This Row],[CERRADURAS]]=AV$2,100%,AVANCE[[#This Row],[CERRADURAS]])</f>
        <v>0</v>
      </c>
      <c r="CK155" s="3">
        <f>+IF(AVANCE[[#This Row],[REVESTIMIENTO INTERIOR ZONA SECA]]=AW$2,100%,AVANCE[[#This Row],[REVESTIMIENTO INTERIOR ZONA SECA]])</f>
        <v>0</v>
      </c>
      <c r="CL155" s="3">
        <f>+IF(AVANCE[[#This Row],[REVESTIMIENTO INTERIOR ZONAS HUMEDAS]]=AX$2,100%,AVANCE[[#This Row],[REVESTIMIENTO INTERIOR ZONAS HUMEDAS]])</f>
        <v>0</v>
      </c>
      <c r="CM155" s="3">
        <f>+IF(AVANCE[[#This Row],[MEMBRANA CIELO]]=AY$2,100%,AVANCE[[#This Row],[MEMBRANA CIELO]])</f>
        <v>0</v>
      </c>
      <c r="CN155" s="3">
        <f>+IF(AVANCE[[#This Row],[LIMPIEZA FINAL]]=AZ$2,100%,AVANCE[[#This Row],[LIMPIEZA FINAL]])</f>
        <v>0</v>
      </c>
      <c r="CO155" s="3">
        <f>+IF(AVANCE[[#This Row],[PUERTAS DORMITORIO]]=BA$2,100%,AVANCE[[#This Row],[PUERTAS DORMITORIO]])</f>
        <v>0</v>
      </c>
      <c r="CP155" s="3">
        <f>+IF(AVANCE[[#This Row],[REVESTIMIENTO INTERIOR BANO]]=BB$2,100%,AVANCE[[#This Row],[REVESTIMIENTO INTERIOR BANO]])</f>
        <v>0</v>
      </c>
      <c r="CQ155" s="3">
        <f>+IF(AVANCE[[#This Row],[MUEBLE LAVAPLATOS]]=BC$2,100%,AVANCE[[#This Row],[MUEBLE LAVAPLATOS]])</f>
        <v>0</v>
      </c>
      <c r="CR155" s="3">
        <f>+IF(AVANCE[[#This Row],[IMPERMEABILIZACION BANO - COCINA LOGIA]]=BD$2,100%,AVANCE[[#This Row],[IMPERMEABILIZACION BANO - COCINA LOGIA]])</f>
        <v>0</v>
      </c>
      <c r="CS155" s="40">
        <f ca="1">+IF(AVANCE[[#This Row],[ESTADO MODULO]]="PENDIENTE",(TODAY()-AVANCE[[#This Row],[FECHA TERMINO  PLANIFICADO]]),0)</f>
        <v>0</v>
      </c>
      <c r="CT155" s="41" t="str" cm="1">
        <f t="array" ref="CT155">_xlfn.TEXTJOIN(" | ",TRUE,IF(SUMPRODUCT((BG155:CR155&lt;1)*(PARTIDAS!$I$2:$AT$2="OBRA GRUESA"))&gt;0,"OBRA GRUESA: "&amp;_xlfn.TEXTJOIN(", ",TRUE,IF((BG155:CR155&lt;1)*(PARTIDAS!$I$2:$AT$2="OBRA GRUESA"),PARTIDAS!$I$1:$AT$1,"")),""),IF(SUMPRODUCT((BG155:CR155&lt;1)*(PARTIDAS!$I$2:$AT$2="SANITARIOS"))&gt;0,"SANITARIOS: "&amp;_xlfn.TEXTJOIN(", ",TRUE,IF((BG155:CR155&lt;1)*(PARTIDAS!$I$2:$AT$2="SANITARIOS"),PARTIDAS!$I$1:$AT$1,"")),""),IF(SUMPRODUCT((BG155:CR155&lt;1)*(PARTIDAS!$I$2:$AT$2="ELÉCTRICO"))&gt;0,"ELÉCTRICO: "&amp;_xlfn.TEXTJOIN(", ",TRUE,IF((BG155:CR155&lt;1)*(PARTIDAS!$I$2:$AT$2="ELÉCTRICO"),PARTIDAS!$I$1:$AT$1,"")),""),IF(SUMPRODUCT((BG155:CR155&lt;1)*(PARTIDAS!$I$2:$AT$2="TERMINACIONES"))&gt;0,"TERMINACIONES: "&amp;_xlfn.TEXTJOIN(", ",TRUE,IF((BG155:CR155&lt;1)*(PARTIDAS!$I$2:$AT$2="TERMINACIONES"),PARTIDAS!$I$1:$AT$1,"")),""))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55" s="43" t="str" cm="1">
        <f t="array" ref="CU155">_xlfn.TEXTJOIN(", ",TRUE,IF(SUMPRODUCT((BG155:CR155&lt;1)*(PARTIDAS!$I$2:$AT$2="OBRA GRUESA"))&gt;0,"OBRA GRUESA",""),IF(SUMPRODUCT((BG155:CR155&lt;1)*(PARTIDAS!$I$2:$AT$2="SANITARIOS"))&gt;0,"SANITARIOS",""),IF(SUMPRODUCT((BG155:CR155&lt;1)*(PARTIDAS!$I$2:$AT$2="ELÉCTRICO"))&gt;0,"ELÉCTRICO",""),IF(SUMPRODUCT((BG155:CR155&lt;1)*(PARTIDAS!$I$2:$AT$2="TERMINACIONES"))&gt;0,"TERMINACIONES",""))</f>
        <v>OBRA GRUESA, SANITARIOS, ELÉCTRICO, TERMINACIONES</v>
      </c>
      <c r="CV155" s="44" cm="1">
        <f t="array" ref="CV155">SUMPRODUCT(--(BG155:CR155&lt;1))</f>
        <v>38</v>
      </c>
    </row>
    <row r="156" spans="1:100" x14ac:dyDescent="0.25">
      <c r="A156" t="s">
        <v>190</v>
      </c>
      <c r="B156" t="s">
        <v>217</v>
      </c>
      <c r="C156">
        <v>2302600155</v>
      </c>
      <c r="D156" t="s">
        <v>60</v>
      </c>
      <c r="E156" s="2">
        <v>0</v>
      </c>
      <c r="F156" s="1">
        <v>46211</v>
      </c>
      <c r="G156" s="1"/>
      <c r="H156" s="1">
        <v>0</v>
      </c>
      <c r="I156" s="1">
        <v>46243</v>
      </c>
      <c r="J156">
        <v>46230</v>
      </c>
      <c r="K156" s="1"/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>
        <v>31.32</v>
      </c>
      <c r="BF156" s="3" t="str">
        <f>+IF(AVANCE[[#This Row],[% AVANCE]]=100%,"MODULO TERMINADO",IF(AVANCE[[#This Row],[FECHA INICIO REAL]]="","MODULO NO INICIADO","PENDIENTE"))</f>
        <v>MODULO NO INICIADO</v>
      </c>
      <c r="BG156" s="3">
        <f>+IF(AVANCE[[#This Row],[VENTANAS]]=8.10810810810811%,100%,AVANCE[[#This Row],[VENTANAS]])</f>
        <v>0</v>
      </c>
      <c r="BH156" s="3">
        <f>+IF(AVANCE[[#This Row],[PISO]]=N$2,100%,AVANCE[[#This Row],[PISO]])</f>
        <v>0</v>
      </c>
      <c r="BI156" s="3">
        <f>+IF(AVANCE[[#This Row],[TABIQUES]]=O$2,100%,AVANCE[[#This Row],[TABIQUES]])</f>
        <v>0</v>
      </c>
      <c r="BJ156" s="3">
        <f>+IF(AVANCE[[#This Row],[MUROS]]=P$2,100%,AVANCE[[#This Row],[MUROS]])</f>
        <v>0</v>
      </c>
      <c r="BK156" s="3">
        <f>+IF(AVANCE[[#This Row],[CIELO]]=Q$2,100%,AVANCE[[#This Row],[CIELO]])</f>
        <v>0</v>
      </c>
      <c r="BL156" s="3">
        <f>+IF(AVANCE[[#This Row],[BALCÓN]]=R$2,100%,AVANCE[[#This Row],[BALCÓN]])</f>
        <v>0</v>
      </c>
      <c r="BM156" s="3">
        <f>+IF(AVANCE[[#This Row],[RED ALCANTARILLADO]]=U$2,100%,AVANCE[[#This Row],[RED ALCANTARILLADO]])</f>
        <v>0</v>
      </c>
      <c r="BN156" s="3">
        <f>+IF(AVANCE[[#This Row],[RED DE AGUA]]=V$2,100%,AVANCE[[#This Row],[RED DE AGUA]])</f>
        <v>0</v>
      </c>
      <c r="BO156" s="3">
        <f>+IF(AVANCE[[#This Row],[VENTILACIONES]]=W$2,100%,AVANCE[[#This Row],[VENTILACIONES]])</f>
        <v>0</v>
      </c>
      <c r="BP156" s="3">
        <f>+IF(AVANCE[[#This Row],[TINA]]=X$2,100%,AVANCE[[#This Row],[TINA]])</f>
        <v>0</v>
      </c>
      <c r="BQ156" s="3">
        <f>+IF(AVANCE[[#This Row],[WC]]=Y$2,100%,AVANCE[[#This Row],[WC]])</f>
        <v>0</v>
      </c>
      <c r="BR156" s="3">
        <f>+IF(AVANCE[[#This Row],[LAVAMANOS / LAVAPLATOS / LAVADERO]]=Z$2,100%,AVANCE[[#This Row],[LAVAMANOS / LAVAPLATOS / LAVADERO]])</f>
        <v>0</v>
      </c>
      <c r="BS156" s="3">
        <f>+IF(AVANCE[[#This Row],[CANALIZACIÓN]]=AC$2,100%,AVANCE[[#This Row],[CANALIZACIÓN]])</f>
        <v>0</v>
      </c>
      <c r="BT156" s="3">
        <f>+IF(AVANCE[[#This Row],[CABLEADO]]=AD$2,100%,AVANCE[[#This Row],[CABLEADO]])</f>
        <v>0</v>
      </c>
      <c r="BU156" s="3">
        <f>+IF(AVANCE[[#This Row],[ARTEFACTOS]]=AE$2,100%,AVANCE[[#This Row],[ARTEFACTOS]])</f>
        <v>0</v>
      </c>
      <c r="BV156" s="3">
        <f>+IF(AVANCE[[#This Row],[TABLERO]]=AF$2,100%,AVANCE[[#This Row],[TABLERO]])</f>
        <v>0</v>
      </c>
      <c r="BW156" s="3">
        <f>+IF(AVANCE[[#This Row],[CAJA PAU]]=AG$2,100%,AVANCE[[#This Row],[CAJA PAU]])</f>
        <v>0</v>
      </c>
      <c r="BX156" s="3">
        <f>+IF(AVANCE[[#This Row],[INSTALACION VINILICO]]=AJ$2,100%,AVANCE[[#This Row],[INSTALACION VINILICO]])</f>
        <v>0</v>
      </c>
      <c r="BY156" s="3">
        <f>+IF(AVANCE[[#This Row],[OSB CUBIERTA]]=AK$2,100%,AVANCE[[#This Row],[OSB CUBIERTA]])</f>
        <v>0</v>
      </c>
      <c r="BZ156" s="3">
        <f>+IF(AVANCE[[#This Row],[BARANDA BALCON]]=AL$2,100%,AVANCE[[#This Row],[BARANDA BALCON]])</f>
        <v>0</v>
      </c>
      <c r="CA156" s="3">
        <f>+IF(AVANCE[[#This Row],[OSB EXTERIOR]]=AM$2,100%,AVANCE[[#This Row],[OSB EXTERIOR]])</f>
        <v>0</v>
      </c>
      <c r="CB156" s="3">
        <f>+IF(AVANCE[[#This Row],[SMART PANEL]]=AN$2,100%,AVANCE[[#This Row],[SMART PANEL]])</f>
        <v>0</v>
      </c>
      <c r="CC156" s="3">
        <f>+IF(AVANCE[[#This Row],[PINTURA EXTERIOR]]=AO$2,100%,AVANCE[[#This Row],[PINTURA EXTERIOR]])</f>
        <v>0</v>
      </c>
      <c r="CD156" s="3">
        <f>+IF(AVANCE[[#This Row],[ZOCALOS LOGIA]]=AP$2,100%,AVANCE[[#This Row],[ZOCALOS LOGIA]])</f>
        <v>0</v>
      </c>
      <c r="CE156" s="3">
        <f>+IF(AVANCE[[#This Row],[MOLDURAS]]=AQ$2,100%,AVANCE[[#This Row],[MOLDURAS]])</f>
        <v>0</v>
      </c>
      <c r="CF156" s="3">
        <f>+IF(AVANCE[[#This Row],[PILASTREO]]=AR$2,100%,AVANCE[[#This Row],[PILASTREO]])</f>
        <v>0</v>
      </c>
      <c r="CG156" s="3">
        <f>+IF(AVANCE[[#This Row],[CELOSIAS]]=AS$2,100%,AVANCE[[#This Row],[CELOSIAS]])</f>
        <v>0</v>
      </c>
      <c r="CH156" s="3">
        <f>+IF(AVANCE[[#This Row],[VENTANAS]]=AT$2,100%,AVANCE[[#This Row],[VENTANAS]])</f>
        <v>0</v>
      </c>
      <c r="CI156" s="3">
        <f>+IF(AVANCE[[#This Row],[PUERTAS ACCESO - LOGIA - BANO]]=AU$2,100%,AVANCE[[#This Row],[PUERTAS ACCESO - LOGIA - BANO]])</f>
        <v>0</v>
      </c>
      <c r="CJ156" s="3">
        <f>+IF(AVANCE[[#This Row],[CERRADURAS]]=AV$2,100%,AVANCE[[#This Row],[CERRADURAS]])</f>
        <v>0</v>
      </c>
      <c r="CK156" s="3">
        <f>+IF(AVANCE[[#This Row],[REVESTIMIENTO INTERIOR ZONA SECA]]=AW$2,100%,AVANCE[[#This Row],[REVESTIMIENTO INTERIOR ZONA SECA]])</f>
        <v>0</v>
      </c>
      <c r="CL156" s="3">
        <f>+IF(AVANCE[[#This Row],[REVESTIMIENTO INTERIOR ZONAS HUMEDAS]]=AX$2,100%,AVANCE[[#This Row],[REVESTIMIENTO INTERIOR ZONAS HUMEDAS]])</f>
        <v>0</v>
      </c>
      <c r="CM156" s="3">
        <f>+IF(AVANCE[[#This Row],[MEMBRANA CIELO]]=AY$2,100%,AVANCE[[#This Row],[MEMBRANA CIELO]])</f>
        <v>0</v>
      </c>
      <c r="CN156" s="3">
        <f>+IF(AVANCE[[#This Row],[LIMPIEZA FINAL]]=AZ$2,100%,AVANCE[[#This Row],[LIMPIEZA FINAL]])</f>
        <v>0</v>
      </c>
      <c r="CO156" s="3">
        <f>+IF(AVANCE[[#This Row],[PUERTAS DORMITORIO]]=BA$2,100%,AVANCE[[#This Row],[PUERTAS DORMITORIO]])</f>
        <v>0</v>
      </c>
      <c r="CP156" s="3">
        <f>+IF(AVANCE[[#This Row],[REVESTIMIENTO INTERIOR BANO]]=BB$2,100%,AVANCE[[#This Row],[REVESTIMIENTO INTERIOR BANO]])</f>
        <v>0</v>
      </c>
      <c r="CQ156" s="3">
        <f>+IF(AVANCE[[#This Row],[MUEBLE LAVAPLATOS]]=BC$2,100%,AVANCE[[#This Row],[MUEBLE LAVAPLATOS]])</f>
        <v>0</v>
      </c>
      <c r="CR156" s="3">
        <f>+IF(AVANCE[[#This Row],[IMPERMEABILIZACION BANO - COCINA LOGIA]]=BD$2,100%,AVANCE[[#This Row],[IMPERMEABILIZACION BANO - COCINA LOGIA]])</f>
        <v>0</v>
      </c>
      <c r="CS156" s="40">
        <f ca="1">+IF(AVANCE[[#This Row],[ESTADO MODULO]]="PENDIENTE",(TODAY()-AVANCE[[#This Row],[FECHA TERMINO  PLANIFICADO]]),0)</f>
        <v>0</v>
      </c>
      <c r="CT156" s="41" t="str" cm="1">
        <f t="array" ref="CT156">_xlfn.TEXTJOIN(" | ",TRUE,IF(SUMPRODUCT((BG156:CR156&lt;1)*(PARTIDAS!$I$2:$AT$2="OBRA GRUESA"))&gt;0,"OBRA GRUESA: "&amp;_xlfn.TEXTJOIN(", ",TRUE,IF((BG156:CR156&lt;1)*(PARTIDAS!$I$2:$AT$2="OBRA GRUESA"),PARTIDAS!$I$1:$AT$1,"")),""),IF(SUMPRODUCT((BG156:CR156&lt;1)*(PARTIDAS!$I$2:$AT$2="SANITARIOS"))&gt;0,"SANITARIOS: "&amp;_xlfn.TEXTJOIN(", ",TRUE,IF((BG156:CR156&lt;1)*(PARTIDAS!$I$2:$AT$2="SANITARIOS"),PARTIDAS!$I$1:$AT$1,"")),""),IF(SUMPRODUCT((BG156:CR156&lt;1)*(PARTIDAS!$I$2:$AT$2="ELÉCTRICO"))&gt;0,"ELÉCTRICO: "&amp;_xlfn.TEXTJOIN(", ",TRUE,IF((BG156:CR156&lt;1)*(PARTIDAS!$I$2:$AT$2="ELÉCTRICO"),PARTIDAS!$I$1:$AT$1,"")),""),IF(SUMPRODUCT((BG156:CR156&lt;1)*(PARTIDAS!$I$2:$AT$2="TERMINACIONES"))&gt;0,"TERMINACIONES: "&amp;_xlfn.TEXTJOIN(", ",TRUE,IF((BG156:CR156&lt;1)*(PARTIDAS!$I$2:$AT$2="TERMINACIONES"),PARTIDAS!$I$1:$AT$1,"")),""))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56" s="43" t="str" cm="1">
        <f t="array" ref="CU156">_xlfn.TEXTJOIN(", ",TRUE,IF(SUMPRODUCT((BG156:CR156&lt;1)*(PARTIDAS!$I$2:$AT$2="OBRA GRUESA"))&gt;0,"OBRA GRUESA",""),IF(SUMPRODUCT((BG156:CR156&lt;1)*(PARTIDAS!$I$2:$AT$2="SANITARIOS"))&gt;0,"SANITARIOS",""),IF(SUMPRODUCT((BG156:CR156&lt;1)*(PARTIDAS!$I$2:$AT$2="ELÉCTRICO"))&gt;0,"ELÉCTRICO",""),IF(SUMPRODUCT((BG156:CR156&lt;1)*(PARTIDAS!$I$2:$AT$2="TERMINACIONES"))&gt;0,"TERMINACIONES",""))</f>
        <v>OBRA GRUESA, SANITARIOS, ELÉCTRICO, TERMINACIONES</v>
      </c>
      <c r="CV156" s="44" cm="1">
        <f t="array" ref="CV156">SUMPRODUCT(--(BG156:CR156&lt;1))</f>
        <v>38</v>
      </c>
    </row>
    <row r="157" spans="1:100" x14ac:dyDescent="0.25">
      <c r="A157" t="s">
        <v>190</v>
      </c>
      <c r="B157" t="s">
        <v>218</v>
      </c>
      <c r="C157">
        <v>2282600156</v>
      </c>
      <c r="D157" t="s">
        <v>58</v>
      </c>
      <c r="E157" s="2">
        <v>0</v>
      </c>
      <c r="F157" s="1">
        <v>46212</v>
      </c>
      <c r="G157" s="1"/>
      <c r="H157" s="1">
        <v>0</v>
      </c>
      <c r="I157" s="1">
        <v>46234</v>
      </c>
      <c r="J157">
        <v>46230</v>
      </c>
      <c r="K157" s="1"/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>
        <v>28.87</v>
      </c>
      <c r="BF157" s="3" t="str">
        <f>+IF(AVANCE[[#This Row],[% AVANCE]]=100%,"MODULO TERMINADO",IF(AVANCE[[#This Row],[FECHA INICIO REAL]]="","MODULO NO INICIADO","PENDIENTE"))</f>
        <v>MODULO NO INICIADO</v>
      </c>
      <c r="BG157" s="3">
        <f>+IF(AVANCE[[#This Row],[VENTANAS]]=8.10810810810811%,100%,AVANCE[[#This Row],[VENTANAS]])</f>
        <v>0</v>
      </c>
      <c r="BH157" s="3">
        <f>+IF(AVANCE[[#This Row],[PISO]]=N$2,100%,AVANCE[[#This Row],[PISO]])</f>
        <v>0</v>
      </c>
      <c r="BI157" s="3">
        <f>+IF(AVANCE[[#This Row],[TABIQUES]]=O$2,100%,AVANCE[[#This Row],[TABIQUES]])</f>
        <v>0</v>
      </c>
      <c r="BJ157" s="3">
        <f>+IF(AVANCE[[#This Row],[MUROS]]=P$2,100%,AVANCE[[#This Row],[MUROS]])</f>
        <v>0</v>
      </c>
      <c r="BK157" s="3">
        <f>+IF(AVANCE[[#This Row],[CIELO]]=Q$2,100%,AVANCE[[#This Row],[CIELO]])</f>
        <v>0</v>
      </c>
      <c r="BL157" s="3">
        <f>+IF(AVANCE[[#This Row],[BALCÓN]]=R$2,100%,AVANCE[[#This Row],[BALCÓN]])</f>
        <v>0</v>
      </c>
      <c r="BM157" s="3">
        <f>+IF(AVANCE[[#This Row],[RED ALCANTARILLADO]]=U$2,100%,AVANCE[[#This Row],[RED ALCANTARILLADO]])</f>
        <v>0</v>
      </c>
      <c r="BN157" s="3">
        <f>+IF(AVANCE[[#This Row],[RED DE AGUA]]=V$2,100%,AVANCE[[#This Row],[RED DE AGUA]])</f>
        <v>0</v>
      </c>
      <c r="BO157" s="3">
        <f>+IF(AVANCE[[#This Row],[VENTILACIONES]]=W$2,100%,AVANCE[[#This Row],[VENTILACIONES]])</f>
        <v>0</v>
      </c>
      <c r="BP157" s="3">
        <f>+IF(AVANCE[[#This Row],[TINA]]=X$2,100%,AVANCE[[#This Row],[TINA]])</f>
        <v>0</v>
      </c>
      <c r="BQ157" s="3">
        <f>+IF(AVANCE[[#This Row],[WC]]=Y$2,100%,AVANCE[[#This Row],[WC]])</f>
        <v>0</v>
      </c>
      <c r="BR157" s="3">
        <f>+IF(AVANCE[[#This Row],[LAVAMANOS / LAVAPLATOS / LAVADERO]]=Z$2,100%,AVANCE[[#This Row],[LAVAMANOS / LAVAPLATOS / LAVADERO]])</f>
        <v>0</v>
      </c>
      <c r="BS157" s="3">
        <f>+IF(AVANCE[[#This Row],[CANALIZACIÓN]]=AC$2,100%,AVANCE[[#This Row],[CANALIZACIÓN]])</f>
        <v>0</v>
      </c>
      <c r="BT157" s="3">
        <f>+IF(AVANCE[[#This Row],[CABLEADO]]=AD$2,100%,AVANCE[[#This Row],[CABLEADO]])</f>
        <v>0</v>
      </c>
      <c r="BU157" s="3">
        <f>+IF(AVANCE[[#This Row],[ARTEFACTOS]]=AE$2,100%,AVANCE[[#This Row],[ARTEFACTOS]])</f>
        <v>0</v>
      </c>
      <c r="BV157" s="3">
        <f>+IF(AVANCE[[#This Row],[TABLERO]]=AF$2,100%,AVANCE[[#This Row],[TABLERO]])</f>
        <v>0</v>
      </c>
      <c r="BW157" s="3">
        <f>+IF(AVANCE[[#This Row],[CAJA PAU]]=AG$2,100%,AVANCE[[#This Row],[CAJA PAU]])</f>
        <v>0</v>
      </c>
      <c r="BX157" s="3">
        <f>+IF(AVANCE[[#This Row],[INSTALACION VINILICO]]=AJ$2,100%,AVANCE[[#This Row],[INSTALACION VINILICO]])</f>
        <v>0</v>
      </c>
      <c r="BY157" s="3">
        <f>+IF(AVANCE[[#This Row],[OSB CUBIERTA]]=AK$2,100%,AVANCE[[#This Row],[OSB CUBIERTA]])</f>
        <v>0</v>
      </c>
      <c r="BZ157" s="3">
        <f>+IF(AVANCE[[#This Row],[BARANDA BALCON]]=AL$2,100%,AVANCE[[#This Row],[BARANDA BALCON]])</f>
        <v>0</v>
      </c>
      <c r="CA157" s="3">
        <f>+IF(AVANCE[[#This Row],[OSB EXTERIOR]]=AM$2,100%,AVANCE[[#This Row],[OSB EXTERIOR]])</f>
        <v>0</v>
      </c>
      <c r="CB157" s="3">
        <f>+IF(AVANCE[[#This Row],[SMART PANEL]]=AN$2,100%,AVANCE[[#This Row],[SMART PANEL]])</f>
        <v>0</v>
      </c>
      <c r="CC157" s="3">
        <f>+IF(AVANCE[[#This Row],[PINTURA EXTERIOR]]=AO$2,100%,AVANCE[[#This Row],[PINTURA EXTERIOR]])</f>
        <v>0</v>
      </c>
      <c r="CD157" s="3">
        <f>+IF(AVANCE[[#This Row],[ZOCALOS LOGIA]]=AP$2,100%,AVANCE[[#This Row],[ZOCALOS LOGIA]])</f>
        <v>0</v>
      </c>
      <c r="CE157" s="3">
        <f>+IF(AVANCE[[#This Row],[MOLDURAS]]=AQ$2,100%,AVANCE[[#This Row],[MOLDURAS]])</f>
        <v>0</v>
      </c>
      <c r="CF157" s="3">
        <f>+IF(AVANCE[[#This Row],[PILASTREO]]=AR$2,100%,AVANCE[[#This Row],[PILASTREO]])</f>
        <v>0</v>
      </c>
      <c r="CG157" s="3">
        <f>+IF(AVANCE[[#This Row],[CELOSIAS]]=AS$2,100%,AVANCE[[#This Row],[CELOSIAS]])</f>
        <v>0</v>
      </c>
      <c r="CH157" s="3">
        <f>+IF(AVANCE[[#This Row],[VENTANAS]]=AT$2,100%,AVANCE[[#This Row],[VENTANAS]])</f>
        <v>0</v>
      </c>
      <c r="CI157" s="3">
        <f>+IF(AVANCE[[#This Row],[PUERTAS ACCESO - LOGIA - BANO]]=AU$2,100%,AVANCE[[#This Row],[PUERTAS ACCESO - LOGIA - BANO]])</f>
        <v>0</v>
      </c>
      <c r="CJ157" s="3">
        <f>+IF(AVANCE[[#This Row],[CERRADURAS]]=AV$2,100%,AVANCE[[#This Row],[CERRADURAS]])</f>
        <v>0</v>
      </c>
      <c r="CK157" s="3">
        <f>+IF(AVANCE[[#This Row],[REVESTIMIENTO INTERIOR ZONA SECA]]=AW$2,100%,AVANCE[[#This Row],[REVESTIMIENTO INTERIOR ZONA SECA]])</f>
        <v>0</v>
      </c>
      <c r="CL157" s="3">
        <f>+IF(AVANCE[[#This Row],[REVESTIMIENTO INTERIOR ZONAS HUMEDAS]]=AX$2,100%,AVANCE[[#This Row],[REVESTIMIENTO INTERIOR ZONAS HUMEDAS]])</f>
        <v>0</v>
      </c>
      <c r="CM157" s="3">
        <f>+IF(AVANCE[[#This Row],[MEMBRANA CIELO]]=AY$2,100%,AVANCE[[#This Row],[MEMBRANA CIELO]])</f>
        <v>0</v>
      </c>
      <c r="CN157" s="3">
        <f>+IF(AVANCE[[#This Row],[LIMPIEZA FINAL]]=AZ$2,100%,AVANCE[[#This Row],[LIMPIEZA FINAL]])</f>
        <v>0</v>
      </c>
      <c r="CO157" s="3">
        <f>+IF(AVANCE[[#This Row],[PUERTAS DORMITORIO]]=BA$2,100%,AVANCE[[#This Row],[PUERTAS DORMITORIO]])</f>
        <v>0</v>
      </c>
      <c r="CP157" s="3">
        <f>+IF(AVANCE[[#This Row],[REVESTIMIENTO INTERIOR BANO]]=BB$2,100%,AVANCE[[#This Row],[REVESTIMIENTO INTERIOR BANO]])</f>
        <v>0</v>
      </c>
      <c r="CQ157" s="3">
        <f>+IF(AVANCE[[#This Row],[MUEBLE LAVAPLATOS]]=BC$2,100%,AVANCE[[#This Row],[MUEBLE LAVAPLATOS]])</f>
        <v>0</v>
      </c>
      <c r="CR157" s="3">
        <f>+IF(AVANCE[[#This Row],[IMPERMEABILIZACION BANO - COCINA LOGIA]]=BD$2,100%,AVANCE[[#This Row],[IMPERMEABILIZACION BANO - COCINA LOGIA]])</f>
        <v>0</v>
      </c>
      <c r="CS157" s="40">
        <f ca="1">+IF(AVANCE[[#This Row],[ESTADO MODULO]]="PENDIENTE",(TODAY()-AVANCE[[#This Row],[FECHA TERMINO  PLANIFICADO]]),0)</f>
        <v>0</v>
      </c>
      <c r="CT157" s="41" t="str" cm="1">
        <f t="array" ref="CT157">_xlfn.TEXTJOIN(" | ",TRUE,IF(SUMPRODUCT((BG157:CR157&lt;1)*(PARTIDAS!$I$2:$AT$2="OBRA GRUESA"))&gt;0,"OBRA GRUESA: "&amp;_xlfn.TEXTJOIN(", ",TRUE,IF((BG157:CR157&lt;1)*(PARTIDAS!$I$2:$AT$2="OBRA GRUESA"),PARTIDAS!$I$1:$AT$1,"")),""),IF(SUMPRODUCT((BG157:CR157&lt;1)*(PARTIDAS!$I$2:$AT$2="SANITARIOS"))&gt;0,"SANITARIOS: "&amp;_xlfn.TEXTJOIN(", ",TRUE,IF((BG157:CR157&lt;1)*(PARTIDAS!$I$2:$AT$2="SANITARIOS"),PARTIDAS!$I$1:$AT$1,"")),""),IF(SUMPRODUCT((BG157:CR157&lt;1)*(PARTIDAS!$I$2:$AT$2="ELÉCTRICO"))&gt;0,"ELÉCTRICO: "&amp;_xlfn.TEXTJOIN(", ",TRUE,IF((BG157:CR157&lt;1)*(PARTIDAS!$I$2:$AT$2="ELÉCTRICO"),PARTIDAS!$I$1:$AT$1,"")),""),IF(SUMPRODUCT((BG157:CR157&lt;1)*(PARTIDAS!$I$2:$AT$2="TERMINACIONES"))&gt;0,"TERMINACIONES: "&amp;_xlfn.TEXTJOIN(", ",TRUE,IF((BG157:CR157&lt;1)*(PARTIDAS!$I$2:$AT$2="TERMINACIONES"),PARTIDAS!$I$1:$AT$1,"")),""))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57" s="43" t="str" cm="1">
        <f t="array" ref="CU157">_xlfn.TEXTJOIN(", ",TRUE,IF(SUMPRODUCT((BG157:CR157&lt;1)*(PARTIDAS!$I$2:$AT$2="OBRA GRUESA"))&gt;0,"OBRA GRUESA",""),IF(SUMPRODUCT((BG157:CR157&lt;1)*(PARTIDAS!$I$2:$AT$2="SANITARIOS"))&gt;0,"SANITARIOS",""),IF(SUMPRODUCT((BG157:CR157&lt;1)*(PARTIDAS!$I$2:$AT$2="ELÉCTRICO"))&gt;0,"ELÉCTRICO",""),IF(SUMPRODUCT((BG157:CR157&lt;1)*(PARTIDAS!$I$2:$AT$2="TERMINACIONES"))&gt;0,"TERMINACIONES",""))</f>
        <v>OBRA GRUESA, SANITARIOS, ELÉCTRICO, TERMINACIONES</v>
      </c>
      <c r="CV157" s="44" cm="1">
        <f t="array" ref="CV157">SUMPRODUCT(--(BG157:CR157&lt;1))</f>
        <v>38</v>
      </c>
    </row>
    <row r="158" spans="1:100" x14ac:dyDescent="0.25">
      <c r="A158" t="s">
        <v>190</v>
      </c>
      <c r="B158" t="s">
        <v>219</v>
      </c>
      <c r="C158">
        <v>2282600157</v>
      </c>
      <c r="D158" t="s">
        <v>58</v>
      </c>
      <c r="E158" s="2">
        <v>0</v>
      </c>
      <c r="F158" s="1">
        <v>46212</v>
      </c>
      <c r="G158" s="1"/>
      <c r="H158" s="1">
        <v>0</v>
      </c>
      <c r="I158" s="1">
        <v>46234</v>
      </c>
      <c r="J158">
        <v>46230</v>
      </c>
      <c r="K158" s="1"/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>
        <v>28.87</v>
      </c>
      <c r="BF158" s="3" t="str">
        <f>+IF(AVANCE[[#This Row],[% AVANCE]]=100%,"MODULO TERMINADO",IF(AVANCE[[#This Row],[FECHA INICIO REAL]]="","MODULO NO INICIADO","PENDIENTE"))</f>
        <v>MODULO NO INICIADO</v>
      </c>
      <c r="BG158" s="3">
        <f>+IF(AVANCE[[#This Row],[VENTANAS]]=8.10810810810811%,100%,AVANCE[[#This Row],[VENTANAS]])</f>
        <v>0</v>
      </c>
      <c r="BH158" s="3">
        <f>+IF(AVANCE[[#This Row],[PISO]]=N$2,100%,AVANCE[[#This Row],[PISO]])</f>
        <v>0</v>
      </c>
      <c r="BI158" s="3">
        <f>+IF(AVANCE[[#This Row],[TABIQUES]]=O$2,100%,AVANCE[[#This Row],[TABIQUES]])</f>
        <v>0</v>
      </c>
      <c r="BJ158" s="3">
        <f>+IF(AVANCE[[#This Row],[MUROS]]=P$2,100%,AVANCE[[#This Row],[MUROS]])</f>
        <v>0</v>
      </c>
      <c r="BK158" s="3">
        <f>+IF(AVANCE[[#This Row],[CIELO]]=Q$2,100%,AVANCE[[#This Row],[CIELO]])</f>
        <v>0</v>
      </c>
      <c r="BL158" s="3">
        <f>+IF(AVANCE[[#This Row],[BALCÓN]]=R$2,100%,AVANCE[[#This Row],[BALCÓN]])</f>
        <v>0</v>
      </c>
      <c r="BM158" s="3">
        <f>+IF(AVANCE[[#This Row],[RED ALCANTARILLADO]]=U$2,100%,AVANCE[[#This Row],[RED ALCANTARILLADO]])</f>
        <v>0</v>
      </c>
      <c r="BN158" s="3">
        <f>+IF(AVANCE[[#This Row],[RED DE AGUA]]=V$2,100%,AVANCE[[#This Row],[RED DE AGUA]])</f>
        <v>0</v>
      </c>
      <c r="BO158" s="3">
        <f>+IF(AVANCE[[#This Row],[VENTILACIONES]]=W$2,100%,AVANCE[[#This Row],[VENTILACIONES]])</f>
        <v>0</v>
      </c>
      <c r="BP158" s="3">
        <f>+IF(AVANCE[[#This Row],[TINA]]=X$2,100%,AVANCE[[#This Row],[TINA]])</f>
        <v>0</v>
      </c>
      <c r="BQ158" s="3">
        <f>+IF(AVANCE[[#This Row],[WC]]=Y$2,100%,AVANCE[[#This Row],[WC]])</f>
        <v>0</v>
      </c>
      <c r="BR158" s="3">
        <f>+IF(AVANCE[[#This Row],[LAVAMANOS / LAVAPLATOS / LAVADERO]]=Z$2,100%,AVANCE[[#This Row],[LAVAMANOS / LAVAPLATOS / LAVADERO]])</f>
        <v>0</v>
      </c>
      <c r="BS158" s="3">
        <f>+IF(AVANCE[[#This Row],[CANALIZACIÓN]]=AC$2,100%,AVANCE[[#This Row],[CANALIZACIÓN]])</f>
        <v>0</v>
      </c>
      <c r="BT158" s="3">
        <f>+IF(AVANCE[[#This Row],[CABLEADO]]=AD$2,100%,AVANCE[[#This Row],[CABLEADO]])</f>
        <v>0</v>
      </c>
      <c r="BU158" s="3">
        <f>+IF(AVANCE[[#This Row],[ARTEFACTOS]]=AE$2,100%,AVANCE[[#This Row],[ARTEFACTOS]])</f>
        <v>0</v>
      </c>
      <c r="BV158" s="3">
        <f>+IF(AVANCE[[#This Row],[TABLERO]]=AF$2,100%,AVANCE[[#This Row],[TABLERO]])</f>
        <v>0</v>
      </c>
      <c r="BW158" s="3">
        <f>+IF(AVANCE[[#This Row],[CAJA PAU]]=AG$2,100%,AVANCE[[#This Row],[CAJA PAU]])</f>
        <v>0</v>
      </c>
      <c r="BX158" s="3">
        <f>+IF(AVANCE[[#This Row],[INSTALACION VINILICO]]=AJ$2,100%,AVANCE[[#This Row],[INSTALACION VINILICO]])</f>
        <v>0</v>
      </c>
      <c r="BY158" s="3">
        <f>+IF(AVANCE[[#This Row],[OSB CUBIERTA]]=AK$2,100%,AVANCE[[#This Row],[OSB CUBIERTA]])</f>
        <v>0</v>
      </c>
      <c r="BZ158" s="3">
        <f>+IF(AVANCE[[#This Row],[BARANDA BALCON]]=AL$2,100%,AVANCE[[#This Row],[BARANDA BALCON]])</f>
        <v>0</v>
      </c>
      <c r="CA158" s="3">
        <f>+IF(AVANCE[[#This Row],[OSB EXTERIOR]]=AM$2,100%,AVANCE[[#This Row],[OSB EXTERIOR]])</f>
        <v>0</v>
      </c>
      <c r="CB158" s="3">
        <f>+IF(AVANCE[[#This Row],[SMART PANEL]]=AN$2,100%,AVANCE[[#This Row],[SMART PANEL]])</f>
        <v>0</v>
      </c>
      <c r="CC158" s="3">
        <f>+IF(AVANCE[[#This Row],[PINTURA EXTERIOR]]=AO$2,100%,AVANCE[[#This Row],[PINTURA EXTERIOR]])</f>
        <v>0</v>
      </c>
      <c r="CD158" s="3">
        <f>+IF(AVANCE[[#This Row],[ZOCALOS LOGIA]]=AP$2,100%,AVANCE[[#This Row],[ZOCALOS LOGIA]])</f>
        <v>0</v>
      </c>
      <c r="CE158" s="3">
        <f>+IF(AVANCE[[#This Row],[MOLDURAS]]=AQ$2,100%,AVANCE[[#This Row],[MOLDURAS]])</f>
        <v>0</v>
      </c>
      <c r="CF158" s="3">
        <f>+IF(AVANCE[[#This Row],[PILASTREO]]=AR$2,100%,AVANCE[[#This Row],[PILASTREO]])</f>
        <v>0</v>
      </c>
      <c r="CG158" s="3">
        <f>+IF(AVANCE[[#This Row],[CELOSIAS]]=AS$2,100%,AVANCE[[#This Row],[CELOSIAS]])</f>
        <v>0</v>
      </c>
      <c r="CH158" s="3">
        <f>+IF(AVANCE[[#This Row],[VENTANAS]]=AT$2,100%,AVANCE[[#This Row],[VENTANAS]])</f>
        <v>0</v>
      </c>
      <c r="CI158" s="3">
        <f>+IF(AVANCE[[#This Row],[PUERTAS ACCESO - LOGIA - BANO]]=AU$2,100%,AVANCE[[#This Row],[PUERTAS ACCESO - LOGIA - BANO]])</f>
        <v>0</v>
      </c>
      <c r="CJ158" s="3">
        <f>+IF(AVANCE[[#This Row],[CERRADURAS]]=AV$2,100%,AVANCE[[#This Row],[CERRADURAS]])</f>
        <v>0</v>
      </c>
      <c r="CK158" s="3">
        <f>+IF(AVANCE[[#This Row],[REVESTIMIENTO INTERIOR ZONA SECA]]=AW$2,100%,AVANCE[[#This Row],[REVESTIMIENTO INTERIOR ZONA SECA]])</f>
        <v>0</v>
      </c>
      <c r="CL158" s="3">
        <f>+IF(AVANCE[[#This Row],[REVESTIMIENTO INTERIOR ZONAS HUMEDAS]]=AX$2,100%,AVANCE[[#This Row],[REVESTIMIENTO INTERIOR ZONAS HUMEDAS]])</f>
        <v>0</v>
      </c>
      <c r="CM158" s="3">
        <f>+IF(AVANCE[[#This Row],[MEMBRANA CIELO]]=AY$2,100%,AVANCE[[#This Row],[MEMBRANA CIELO]])</f>
        <v>0</v>
      </c>
      <c r="CN158" s="3">
        <f>+IF(AVANCE[[#This Row],[LIMPIEZA FINAL]]=AZ$2,100%,AVANCE[[#This Row],[LIMPIEZA FINAL]])</f>
        <v>0</v>
      </c>
      <c r="CO158" s="3">
        <f>+IF(AVANCE[[#This Row],[PUERTAS DORMITORIO]]=BA$2,100%,AVANCE[[#This Row],[PUERTAS DORMITORIO]])</f>
        <v>0</v>
      </c>
      <c r="CP158" s="3">
        <f>+IF(AVANCE[[#This Row],[REVESTIMIENTO INTERIOR BANO]]=BB$2,100%,AVANCE[[#This Row],[REVESTIMIENTO INTERIOR BANO]])</f>
        <v>0</v>
      </c>
      <c r="CQ158" s="3">
        <f>+IF(AVANCE[[#This Row],[MUEBLE LAVAPLATOS]]=BC$2,100%,AVANCE[[#This Row],[MUEBLE LAVAPLATOS]])</f>
        <v>0</v>
      </c>
      <c r="CR158" s="3">
        <f>+IF(AVANCE[[#This Row],[IMPERMEABILIZACION BANO - COCINA LOGIA]]=BD$2,100%,AVANCE[[#This Row],[IMPERMEABILIZACION BANO - COCINA LOGIA]])</f>
        <v>0</v>
      </c>
      <c r="CS158" s="40">
        <f ca="1">+IF(AVANCE[[#This Row],[ESTADO MODULO]]="PENDIENTE",(TODAY()-AVANCE[[#This Row],[FECHA TERMINO  PLANIFICADO]]),0)</f>
        <v>0</v>
      </c>
      <c r="CT158" s="41" t="str" cm="1">
        <f t="array" ref="CT158">_xlfn.TEXTJOIN(" | ",TRUE,IF(SUMPRODUCT((BG158:CR158&lt;1)*(PARTIDAS!$I$2:$AT$2="OBRA GRUESA"))&gt;0,"OBRA GRUESA: "&amp;_xlfn.TEXTJOIN(", ",TRUE,IF((BG158:CR158&lt;1)*(PARTIDAS!$I$2:$AT$2="OBRA GRUESA"),PARTIDAS!$I$1:$AT$1,"")),""),IF(SUMPRODUCT((BG158:CR158&lt;1)*(PARTIDAS!$I$2:$AT$2="SANITARIOS"))&gt;0,"SANITARIOS: "&amp;_xlfn.TEXTJOIN(", ",TRUE,IF((BG158:CR158&lt;1)*(PARTIDAS!$I$2:$AT$2="SANITARIOS"),PARTIDAS!$I$1:$AT$1,"")),""),IF(SUMPRODUCT((BG158:CR158&lt;1)*(PARTIDAS!$I$2:$AT$2="ELÉCTRICO"))&gt;0,"ELÉCTRICO: "&amp;_xlfn.TEXTJOIN(", ",TRUE,IF((BG158:CR158&lt;1)*(PARTIDAS!$I$2:$AT$2="ELÉCTRICO"),PARTIDAS!$I$1:$AT$1,"")),""),IF(SUMPRODUCT((BG158:CR158&lt;1)*(PARTIDAS!$I$2:$AT$2="TERMINACIONES"))&gt;0,"TERMINACIONES: "&amp;_xlfn.TEXTJOIN(", ",TRUE,IF((BG158:CR158&lt;1)*(PARTIDAS!$I$2:$AT$2="TERMINACIONES"),PARTIDAS!$I$1:$AT$1,"")),""))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58" s="43" t="str" cm="1">
        <f t="array" ref="CU158">_xlfn.TEXTJOIN(", ",TRUE,IF(SUMPRODUCT((BG158:CR158&lt;1)*(PARTIDAS!$I$2:$AT$2="OBRA GRUESA"))&gt;0,"OBRA GRUESA",""),IF(SUMPRODUCT((BG158:CR158&lt;1)*(PARTIDAS!$I$2:$AT$2="SANITARIOS"))&gt;0,"SANITARIOS",""),IF(SUMPRODUCT((BG158:CR158&lt;1)*(PARTIDAS!$I$2:$AT$2="ELÉCTRICO"))&gt;0,"ELÉCTRICO",""),IF(SUMPRODUCT((BG158:CR158&lt;1)*(PARTIDAS!$I$2:$AT$2="TERMINACIONES"))&gt;0,"TERMINACIONES",""))</f>
        <v>OBRA GRUESA, SANITARIOS, ELÉCTRICO, TERMINACIONES</v>
      </c>
      <c r="CV158" s="44" cm="1">
        <f t="array" ref="CV158">SUMPRODUCT(--(BG158:CR158&lt;1))</f>
        <v>38</v>
      </c>
    </row>
    <row r="159" spans="1:100" x14ac:dyDescent="0.25">
      <c r="A159" t="s">
        <v>190</v>
      </c>
      <c r="B159" t="s">
        <v>220</v>
      </c>
      <c r="C159">
        <v>2302600158</v>
      </c>
      <c r="D159" t="s">
        <v>60</v>
      </c>
      <c r="E159" s="2">
        <v>0</v>
      </c>
      <c r="F159" s="1">
        <v>46212</v>
      </c>
      <c r="G159" s="1"/>
      <c r="H159" s="1">
        <v>0</v>
      </c>
      <c r="I159" s="1">
        <v>46244</v>
      </c>
      <c r="J159">
        <v>46230</v>
      </c>
      <c r="K159" s="1"/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>
        <v>31.32</v>
      </c>
      <c r="BF159" s="3" t="str">
        <f>+IF(AVANCE[[#This Row],[% AVANCE]]=100%,"MODULO TERMINADO",IF(AVANCE[[#This Row],[FECHA INICIO REAL]]="","MODULO NO INICIADO","PENDIENTE"))</f>
        <v>MODULO NO INICIADO</v>
      </c>
      <c r="BG159" s="3">
        <f>+IF(AVANCE[[#This Row],[VENTANAS]]=8.10810810810811%,100%,AVANCE[[#This Row],[VENTANAS]])</f>
        <v>0</v>
      </c>
      <c r="BH159" s="3">
        <f>+IF(AVANCE[[#This Row],[PISO]]=N$2,100%,AVANCE[[#This Row],[PISO]])</f>
        <v>0</v>
      </c>
      <c r="BI159" s="3">
        <f>+IF(AVANCE[[#This Row],[TABIQUES]]=O$2,100%,AVANCE[[#This Row],[TABIQUES]])</f>
        <v>0</v>
      </c>
      <c r="BJ159" s="3">
        <f>+IF(AVANCE[[#This Row],[MUROS]]=P$2,100%,AVANCE[[#This Row],[MUROS]])</f>
        <v>0</v>
      </c>
      <c r="BK159" s="3">
        <f>+IF(AVANCE[[#This Row],[CIELO]]=Q$2,100%,AVANCE[[#This Row],[CIELO]])</f>
        <v>0</v>
      </c>
      <c r="BL159" s="3">
        <f>+IF(AVANCE[[#This Row],[BALCÓN]]=R$2,100%,AVANCE[[#This Row],[BALCÓN]])</f>
        <v>0</v>
      </c>
      <c r="BM159" s="3">
        <f>+IF(AVANCE[[#This Row],[RED ALCANTARILLADO]]=U$2,100%,AVANCE[[#This Row],[RED ALCANTARILLADO]])</f>
        <v>0</v>
      </c>
      <c r="BN159" s="3">
        <f>+IF(AVANCE[[#This Row],[RED DE AGUA]]=V$2,100%,AVANCE[[#This Row],[RED DE AGUA]])</f>
        <v>0</v>
      </c>
      <c r="BO159" s="3">
        <f>+IF(AVANCE[[#This Row],[VENTILACIONES]]=W$2,100%,AVANCE[[#This Row],[VENTILACIONES]])</f>
        <v>0</v>
      </c>
      <c r="BP159" s="3">
        <f>+IF(AVANCE[[#This Row],[TINA]]=X$2,100%,AVANCE[[#This Row],[TINA]])</f>
        <v>0</v>
      </c>
      <c r="BQ159" s="3">
        <f>+IF(AVANCE[[#This Row],[WC]]=Y$2,100%,AVANCE[[#This Row],[WC]])</f>
        <v>0</v>
      </c>
      <c r="BR159" s="3">
        <f>+IF(AVANCE[[#This Row],[LAVAMANOS / LAVAPLATOS / LAVADERO]]=Z$2,100%,AVANCE[[#This Row],[LAVAMANOS / LAVAPLATOS / LAVADERO]])</f>
        <v>0</v>
      </c>
      <c r="BS159" s="3">
        <f>+IF(AVANCE[[#This Row],[CANALIZACIÓN]]=AC$2,100%,AVANCE[[#This Row],[CANALIZACIÓN]])</f>
        <v>0</v>
      </c>
      <c r="BT159" s="3">
        <f>+IF(AVANCE[[#This Row],[CABLEADO]]=AD$2,100%,AVANCE[[#This Row],[CABLEADO]])</f>
        <v>0</v>
      </c>
      <c r="BU159" s="3">
        <f>+IF(AVANCE[[#This Row],[ARTEFACTOS]]=AE$2,100%,AVANCE[[#This Row],[ARTEFACTOS]])</f>
        <v>0</v>
      </c>
      <c r="BV159" s="3">
        <f>+IF(AVANCE[[#This Row],[TABLERO]]=AF$2,100%,AVANCE[[#This Row],[TABLERO]])</f>
        <v>0</v>
      </c>
      <c r="BW159" s="3">
        <f>+IF(AVANCE[[#This Row],[CAJA PAU]]=AG$2,100%,AVANCE[[#This Row],[CAJA PAU]])</f>
        <v>0</v>
      </c>
      <c r="BX159" s="3">
        <f>+IF(AVANCE[[#This Row],[INSTALACION VINILICO]]=AJ$2,100%,AVANCE[[#This Row],[INSTALACION VINILICO]])</f>
        <v>0</v>
      </c>
      <c r="BY159" s="3">
        <f>+IF(AVANCE[[#This Row],[OSB CUBIERTA]]=AK$2,100%,AVANCE[[#This Row],[OSB CUBIERTA]])</f>
        <v>0</v>
      </c>
      <c r="BZ159" s="3">
        <f>+IF(AVANCE[[#This Row],[BARANDA BALCON]]=AL$2,100%,AVANCE[[#This Row],[BARANDA BALCON]])</f>
        <v>0</v>
      </c>
      <c r="CA159" s="3">
        <f>+IF(AVANCE[[#This Row],[OSB EXTERIOR]]=AM$2,100%,AVANCE[[#This Row],[OSB EXTERIOR]])</f>
        <v>0</v>
      </c>
      <c r="CB159" s="3">
        <f>+IF(AVANCE[[#This Row],[SMART PANEL]]=AN$2,100%,AVANCE[[#This Row],[SMART PANEL]])</f>
        <v>0</v>
      </c>
      <c r="CC159" s="3">
        <f>+IF(AVANCE[[#This Row],[PINTURA EXTERIOR]]=AO$2,100%,AVANCE[[#This Row],[PINTURA EXTERIOR]])</f>
        <v>0</v>
      </c>
      <c r="CD159" s="3">
        <f>+IF(AVANCE[[#This Row],[ZOCALOS LOGIA]]=AP$2,100%,AVANCE[[#This Row],[ZOCALOS LOGIA]])</f>
        <v>0</v>
      </c>
      <c r="CE159" s="3">
        <f>+IF(AVANCE[[#This Row],[MOLDURAS]]=AQ$2,100%,AVANCE[[#This Row],[MOLDURAS]])</f>
        <v>0</v>
      </c>
      <c r="CF159" s="3">
        <f>+IF(AVANCE[[#This Row],[PILASTREO]]=AR$2,100%,AVANCE[[#This Row],[PILASTREO]])</f>
        <v>0</v>
      </c>
      <c r="CG159" s="3">
        <f>+IF(AVANCE[[#This Row],[CELOSIAS]]=AS$2,100%,AVANCE[[#This Row],[CELOSIAS]])</f>
        <v>0</v>
      </c>
      <c r="CH159" s="3">
        <f>+IF(AVANCE[[#This Row],[VENTANAS]]=AT$2,100%,AVANCE[[#This Row],[VENTANAS]])</f>
        <v>0</v>
      </c>
      <c r="CI159" s="3">
        <f>+IF(AVANCE[[#This Row],[PUERTAS ACCESO - LOGIA - BANO]]=AU$2,100%,AVANCE[[#This Row],[PUERTAS ACCESO - LOGIA - BANO]])</f>
        <v>0</v>
      </c>
      <c r="CJ159" s="3">
        <f>+IF(AVANCE[[#This Row],[CERRADURAS]]=AV$2,100%,AVANCE[[#This Row],[CERRADURAS]])</f>
        <v>0</v>
      </c>
      <c r="CK159" s="3">
        <f>+IF(AVANCE[[#This Row],[REVESTIMIENTO INTERIOR ZONA SECA]]=AW$2,100%,AVANCE[[#This Row],[REVESTIMIENTO INTERIOR ZONA SECA]])</f>
        <v>0</v>
      </c>
      <c r="CL159" s="3">
        <f>+IF(AVANCE[[#This Row],[REVESTIMIENTO INTERIOR ZONAS HUMEDAS]]=AX$2,100%,AVANCE[[#This Row],[REVESTIMIENTO INTERIOR ZONAS HUMEDAS]])</f>
        <v>0</v>
      </c>
      <c r="CM159" s="3">
        <f>+IF(AVANCE[[#This Row],[MEMBRANA CIELO]]=AY$2,100%,AVANCE[[#This Row],[MEMBRANA CIELO]])</f>
        <v>0</v>
      </c>
      <c r="CN159" s="3">
        <f>+IF(AVANCE[[#This Row],[LIMPIEZA FINAL]]=AZ$2,100%,AVANCE[[#This Row],[LIMPIEZA FINAL]])</f>
        <v>0</v>
      </c>
      <c r="CO159" s="3">
        <f>+IF(AVANCE[[#This Row],[PUERTAS DORMITORIO]]=BA$2,100%,AVANCE[[#This Row],[PUERTAS DORMITORIO]])</f>
        <v>0</v>
      </c>
      <c r="CP159" s="3">
        <f>+IF(AVANCE[[#This Row],[REVESTIMIENTO INTERIOR BANO]]=BB$2,100%,AVANCE[[#This Row],[REVESTIMIENTO INTERIOR BANO]])</f>
        <v>0</v>
      </c>
      <c r="CQ159" s="3">
        <f>+IF(AVANCE[[#This Row],[MUEBLE LAVAPLATOS]]=BC$2,100%,AVANCE[[#This Row],[MUEBLE LAVAPLATOS]])</f>
        <v>0</v>
      </c>
      <c r="CR159" s="3">
        <f>+IF(AVANCE[[#This Row],[IMPERMEABILIZACION BANO - COCINA LOGIA]]=BD$2,100%,AVANCE[[#This Row],[IMPERMEABILIZACION BANO - COCINA LOGIA]])</f>
        <v>0</v>
      </c>
      <c r="CS159" s="40">
        <f ca="1">+IF(AVANCE[[#This Row],[ESTADO MODULO]]="PENDIENTE",(TODAY()-AVANCE[[#This Row],[FECHA TERMINO  PLANIFICADO]]),0)</f>
        <v>0</v>
      </c>
      <c r="CT159" s="41" t="str" cm="1">
        <f t="array" ref="CT159">_xlfn.TEXTJOIN(" | ",TRUE,IF(SUMPRODUCT((BG159:CR159&lt;1)*(PARTIDAS!$I$2:$AT$2="OBRA GRUESA"))&gt;0,"OBRA GRUESA: "&amp;_xlfn.TEXTJOIN(", ",TRUE,IF((BG159:CR159&lt;1)*(PARTIDAS!$I$2:$AT$2="OBRA GRUESA"),PARTIDAS!$I$1:$AT$1,"")),""),IF(SUMPRODUCT((BG159:CR159&lt;1)*(PARTIDAS!$I$2:$AT$2="SANITARIOS"))&gt;0,"SANITARIOS: "&amp;_xlfn.TEXTJOIN(", ",TRUE,IF((BG159:CR159&lt;1)*(PARTIDAS!$I$2:$AT$2="SANITARIOS"),PARTIDAS!$I$1:$AT$1,"")),""),IF(SUMPRODUCT((BG159:CR159&lt;1)*(PARTIDAS!$I$2:$AT$2="ELÉCTRICO"))&gt;0,"ELÉCTRICO: "&amp;_xlfn.TEXTJOIN(", ",TRUE,IF((BG159:CR159&lt;1)*(PARTIDAS!$I$2:$AT$2="ELÉCTRICO"),PARTIDAS!$I$1:$AT$1,"")),""),IF(SUMPRODUCT((BG159:CR159&lt;1)*(PARTIDAS!$I$2:$AT$2="TERMINACIONES"))&gt;0,"TERMINACIONES: "&amp;_xlfn.TEXTJOIN(", ",TRUE,IF((BG159:CR159&lt;1)*(PARTIDAS!$I$2:$AT$2="TERMINACIONES"),PARTIDAS!$I$1:$AT$1,"")),""))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59" s="43" t="str" cm="1">
        <f t="array" ref="CU159">_xlfn.TEXTJOIN(", ",TRUE,IF(SUMPRODUCT((BG159:CR159&lt;1)*(PARTIDAS!$I$2:$AT$2="OBRA GRUESA"))&gt;0,"OBRA GRUESA",""),IF(SUMPRODUCT((BG159:CR159&lt;1)*(PARTIDAS!$I$2:$AT$2="SANITARIOS"))&gt;0,"SANITARIOS",""),IF(SUMPRODUCT((BG159:CR159&lt;1)*(PARTIDAS!$I$2:$AT$2="ELÉCTRICO"))&gt;0,"ELÉCTRICO",""),IF(SUMPRODUCT((BG159:CR159&lt;1)*(PARTIDAS!$I$2:$AT$2="TERMINACIONES"))&gt;0,"TERMINACIONES",""))</f>
        <v>OBRA GRUESA, SANITARIOS, ELÉCTRICO, TERMINACIONES</v>
      </c>
      <c r="CV159" s="44" cm="1">
        <f t="array" ref="CV159">SUMPRODUCT(--(BG159:CR159&lt;1))</f>
        <v>38</v>
      </c>
    </row>
    <row r="160" spans="1:100" x14ac:dyDescent="0.25">
      <c r="A160" t="s">
        <v>190</v>
      </c>
      <c r="B160" t="s">
        <v>221</v>
      </c>
      <c r="C160">
        <v>2302600159</v>
      </c>
      <c r="D160" t="s">
        <v>60</v>
      </c>
      <c r="E160" s="2">
        <v>0</v>
      </c>
      <c r="F160" s="1">
        <v>46213</v>
      </c>
      <c r="G160" s="1"/>
      <c r="H160" s="1">
        <v>0</v>
      </c>
      <c r="I160" s="1">
        <v>46245</v>
      </c>
      <c r="J160">
        <v>46230</v>
      </c>
      <c r="K160" s="1"/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>
        <v>31.32</v>
      </c>
      <c r="BF160" s="3" t="str">
        <f>+IF(AVANCE[[#This Row],[% AVANCE]]=100%,"MODULO TERMINADO",IF(AVANCE[[#This Row],[FECHA INICIO REAL]]="","MODULO NO INICIADO","PENDIENTE"))</f>
        <v>MODULO NO INICIADO</v>
      </c>
      <c r="BG160" s="3">
        <f>+IF(AVANCE[[#This Row],[VENTANAS]]=8.10810810810811%,100%,AVANCE[[#This Row],[VENTANAS]])</f>
        <v>0</v>
      </c>
      <c r="BH160" s="3">
        <f>+IF(AVANCE[[#This Row],[PISO]]=N$2,100%,AVANCE[[#This Row],[PISO]])</f>
        <v>0</v>
      </c>
      <c r="BI160" s="3">
        <f>+IF(AVANCE[[#This Row],[TABIQUES]]=O$2,100%,AVANCE[[#This Row],[TABIQUES]])</f>
        <v>0</v>
      </c>
      <c r="BJ160" s="3">
        <f>+IF(AVANCE[[#This Row],[MUROS]]=P$2,100%,AVANCE[[#This Row],[MUROS]])</f>
        <v>0</v>
      </c>
      <c r="BK160" s="3">
        <f>+IF(AVANCE[[#This Row],[CIELO]]=Q$2,100%,AVANCE[[#This Row],[CIELO]])</f>
        <v>0</v>
      </c>
      <c r="BL160" s="3">
        <f>+IF(AVANCE[[#This Row],[BALCÓN]]=R$2,100%,AVANCE[[#This Row],[BALCÓN]])</f>
        <v>0</v>
      </c>
      <c r="BM160" s="3">
        <f>+IF(AVANCE[[#This Row],[RED ALCANTARILLADO]]=U$2,100%,AVANCE[[#This Row],[RED ALCANTARILLADO]])</f>
        <v>0</v>
      </c>
      <c r="BN160" s="3">
        <f>+IF(AVANCE[[#This Row],[RED DE AGUA]]=V$2,100%,AVANCE[[#This Row],[RED DE AGUA]])</f>
        <v>0</v>
      </c>
      <c r="BO160" s="3">
        <f>+IF(AVANCE[[#This Row],[VENTILACIONES]]=W$2,100%,AVANCE[[#This Row],[VENTILACIONES]])</f>
        <v>0</v>
      </c>
      <c r="BP160" s="3">
        <f>+IF(AVANCE[[#This Row],[TINA]]=X$2,100%,AVANCE[[#This Row],[TINA]])</f>
        <v>0</v>
      </c>
      <c r="BQ160" s="3">
        <f>+IF(AVANCE[[#This Row],[WC]]=Y$2,100%,AVANCE[[#This Row],[WC]])</f>
        <v>0</v>
      </c>
      <c r="BR160" s="3">
        <f>+IF(AVANCE[[#This Row],[LAVAMANOS / LAVAPLATOS / LAVADERO]]=Z$2,100%,AVANCE[[#This Row],[LAVAMANOS / LAVAPLATOS / LAVADERO]])</f>
        <v>0</v>
      </c>
      <c r="BS160" s="3">
        <f>+IF(AVANCE[[#This Row],[CANALIZACIÓN]]=AC$2,100%,AVANCE[[#This Row],[CANALIZACIÓN]])</f>
        <v>0</v>
      </c>
      <c r="BT160" s="3">
        <f>+IF(AVANCE[[#This Row],[CABLEADO]]=AD$2,100%,AVANCE[[#This Row],[CABLEADO]])</f>
        <v>0</v>
      </c>
      <c r="BU160" s="3">
        <f>+IF(AVANCE[[#This Row],[ARTEFACTOS]]=AE$2,100%,AVANCE[[#This Row],[ARTEFACTOS]])</f>
        <v>0</v>
      </c>
      <c r="BV160" s="3">
        <f>+IF(AVANCE[[#This Row],[TABLERO]]=AF$2,100%,AVANCE[[#This Row],[TABLERO]])</f>
        <v>0</v>
      </c>
      <c r="BW160" s="3">
        <f>+IF(AVANCE[[#This Row],[CAJA PAU]]=AG$2,100%,AVANCE[[#This Row],[CAJA PAU]])</f>
        <v>0</v>
      </c>
      <c r="BX160" s="3">
        <f>+IF(AVANCE[[#This Row],[INSTALACION VINILICO]]=AJ$2,100%,AVANCE[[#This Row],[INSTALACION VINILICO]])</f>
        <v>0</v>
      </c>
      <c r="BY160" s="3">
        <f>+IF(AVANCE[[#This Row],[OSB CUBIERTA]]=AK$2,100%,AVANCE[[#This Row],[OSB CUBIERTA]])</f>
        <v>0</v>
      </c>
      <c r="BZ160" s="3">
        <f>+IF(AVANCE[[#This Row],[BARANDA BALCON]]=AL$2,100%,AVANCE[[#This Row],[BARANDA BALCON]])</f>
        <v>0</v>
      </c>
      <c r="CA160" s="3">
        <f>+IF(AVANCE[[#This Row],[OSB EXTERIOR]]=AM$2,100%,AVANCE[[#This Row],[OSB EXTERIOR]])</f>
        <v>0</v>
      </c>
      <c r="CB160" s="3">
        <f>+IF(AVANCE[[#This Row],[SMART PANEL]]=AN$2,100%,AVANCE[[#This Row],[SMART PANEL]])</f>
        <v>0</v>
      </c>
      <c r="CC160" s="3">
        <f>+IF(AVANCE[[#This Row],[PINTURA EXTERIOR]]=AO$2,100%,AVANCE[[#This Row],[PINTURA EXTERIOR]])</f>
        <v>0</v>
      </c>
      <c r="CD160" s="3">
        <f>+IF(AVANCE[[#This Row],[ZOCALOS LOGIA]]=AP$2,100%,AVANCE[[#This Row],[ZOCALOS LOGIA]])</f>
        <v>0</v>
      </c>
      <c r="CE160" s="3">
        <f>+IF(AVANCE[[#This Row],[MOLDURAS]]=AQ$2,100%,AVANCE[[#This Row],[MOLDURAS]])</f>
        <v>0</v>
      </c>
      <c r="CF160" s="3">
        <f>+IF(AVANCE[[#This Row],[PILASTREO]]=AR$2,100%,AVANCE[[#This Row],[PILASTREO]])</f>
        <v>0</v>
      </c>
      <c r="CG160" s="3">
        <f>+IF(AVANCE[[#This Row],[CELOSIAS]]=AS$2,100%,AVANCE[[#This Row],[CELOSIAS]])</f>
        <v>0</v>
      </c>
      <c r="CH160" s="3">
        <f>+IF(AVANCE[[#This Row],[VENTANAS]]=AT$2,100%,AVANCE[[#This Row],[VENTANAS]])</f>
        <v>0</v>
      </c>
      <c r="CI160" s="3">
        <f>+IF(AVANCE[[#This Row],[PUERTAS ACCESO - LOGIA - BANO]]=AU$2,100%,AVANCE[[#This Row],[PUERTAS ACCESO - LOGIA - BANO]])</f>
        <v>0</v>
      </c>
      <c r="CJ160" s="3">
        <f>+IF(AVANCE[[#This Row],[CERRADURAS]]=AV$2,100%,AVANCE[[#This Row],[CERRADURAS]])</f>
        <v>0</v>
      </c>
      <c r="CK160" s="3">
        <f>+IF(AVANCE[[#This Row],[REVESTIMIENTO INTERIOR ZONA SECA]]=AW$2,100%,AVANCE[[#This Row],[REVESTIMIENTO INTERIOR ZONA SECA]])</f>
        <v>0</v>
      </c>
      <c r="CL160" s="3">
        <f>+IF(AVANCE[[#This Row],[REVESTIMIENTO INTERIOR ZONAS HUMEDAS]]=AX$2,100%,AVANCE[[#This Row],[REVESTIMIENTO INTERIOR ZONAS HUMEDAS]])</f>
        <v>0</v>
      </c>
      <c r="CM160" s="3">
        <f>+IF(AVANCE[[#This Row],[MEMBRANA CIELO]]=AY$2,100%,AVANCE[[#This Row],[MEMBRANA CIELO]])</f>
        <v>0</v>
      </c>
      <c r="CN160" s="3">
        <f>+IF(AVANCE[[#This Row],[LIMPIEZA FINAL]]=AZ$2,100%,AVANCE[[#This Row],[LIMPIEZA FINAL]])</f>
        <v>0</v>
      </c>
      <c r="CO160" s="3">
        <f>+IF(AVANCE[[#This Row],[PUERTAS DORMITORIO]]=BA$2,100%,AVANCE[[#This Row],[PUERTAS DORMITORIO]])</f>
        <v>0</v>
      </c>
      <c r="CP160" s="3">
        <f>+IF(AVANCE[[#This Row],[REVESTIMIENTO INTERIOR BANO]]=BB$2,100%,AVANCE[[#This Row],[REVESTIMIENTO INTERIOR BANO]])</f>
        <v>0</v>
      </c>
      <c r="CQ160" s="3">
        <f>+IF(AVANCE[[#This Row],[MUEBLE LAVAPLATOS]]=BC$2,100%,AVANCE[[#This Row],[MUEBLE LAVAPLATOS]])</f>
        <v>0</v>
      </c>
      <c r="CR160" s="3">
        <f>+IF(AVANCE[[#This Row],[IMPERMEABILIZACION BANO - COCINA LOGIA]]=BD$2,100%,AVANCE[[#This Row],[IMPERMEABILIZACION BANO - COCINA LOGIA]])</f>
        <v>0</v>
      </c>
      <c r="CS160" s="40">
        <f ca="1">+IF(AVANCE[[#This Row],[ESTADO MODULO]]="PENDIENTE",(TODAY()-AVANCE[[#This Row],[FECHA TERMINO  PLANIFICADO]]),0)</f>
        <v>0</v>
      </c>
      <c r="CT160" s="41" t="str" cm="1">
        <f t="array" ref="CT160">_xlfn.TEXTJOIN(" | ",TRUE,IF(SUMPRODUCT((BG160:CR160&lt;1)*(PARTIDAS!$I$2:$AT$2="OBRA GRUESA"))&gt;0,"OBRA GRUESA: "&amp;_xlfn.TEXTJOIN(", ",TRUE,IF((BG160:CR160&lt;1)*(PARTIDAS!$I$2:$AT$2="OBRA GRUESA"),PARTIDAS!$I$1:$AT$1,"")),""),IF(SUMPRODUCT((BG160:CR160&lt;1)*(PARTIDAS!$I$2:$AT$2="SANITARIOS"))&gt;0,"SANITARIOS: "&amp;_xlfn.TEXTJOIN(", ",TRUE,IF((BG160:CR160&lt;1)*(PARTIDAS!$I$2:$AT$2="SANITARIOS"),PARTIDAS!$I$1:$AT$1,"")),""),IF(SUMPRODUCT((BG160:CR160&lt;1)*(PARTIDAS!$I$2:$AT$2="ELÉCTRICO"))&gt;0,"ELÉCTRICO: "&amp;_xlfn.TEXTJOIN(", ",TRUE,IF((BG160:CR160&lt;1)*(PARTIDAS!$I$2:$AT$2="ELÉCTRICO"),PARTIDAS!$I$1:$AT$1,"")),""),IF(SUMPRODUCT((BG160:CR160&lt;1)*(PARTIDAS!$I$2:$AT$2="TERMINACIONES"))&gt;0,"TERMINACIONES: "&amp;_xlfn.TEXTJOIN(", ",TRUE,IF((BG160:CR160&lt;1)*(PARTIDAS!$I$2:$AT$2="TERMINACIONES"),PARTIDAS!$I$1:$AT$1,"")),""))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0" s="43" t="str" cm="1">
        <f t="array" ref="CU160">_xlfn.TEXTJOIN(", ",TRUE,IF(SUMPRODUCT((BG160:CR160&lt;1)*(PARTIDAS!$I$2:$AT$2="OBRA GRUESA"))&gt;0,"OBRA GRUESA",""),IF(SUMPRODUCT((BG160:CR160&lt;1)*(PARTIDAS!$I$2:$AT$2="SANITARIOS"))&gt;0,"SANITARIOS",""),IF(SUMPRODUCT((BG160:CR160&lt;1)*(PARTIDAS!$I$2:$AT$2="ELÉCTRICO"))&gt;0,"ELÉCTRICO",""),IF(SUMPRODUCT((BG160:CR160&lt;1)*(PARTIDAS!$I$2:$AT$2="TERMINACIONES"))&gt;0,"TERMINACIONES",""))</f>
        <v>OBRA GRUESA, SANITARIOS, ELÉCTRICO, TERMINACIONES</v>
      </c>
      <c r="CV160" s="44" cm="1">
        <f t="array" ref="CV160">SUMPRODUCT(--(BG160:CR160&lt;1))</f>
        <v>38</v>
      </c>
    </row>
    <row r="161" spans="1:100" x14ac:dyDescent="0.25">
      <c r="A161" t="s">
        <v>190</v>
      </c>
      <c r="B161" t="s">
        <v>222</v>
      </c>
      <c r="C161">
        <v>2282600160</v>
      </c>
      <c r="D161" t="s">
        <v>58</v>
      </c>
      <c r="E161" s="2">
        <v>0.12</v>
      </c>
      <c r="F161" s="1">
        <v>46213</v>
      </c>
      <c r="G161" s="1">
        <v>46227</v>
      </c>
      <c r="H161" s="1">
        <v>46227</v>
      </c>
      <c r="I161" s="1">
        <v>46235</v>
      </c>
      <c r="J161">
        <v>3</v>
      </c>
      <c r="K161" s="1"/>
      <c r="L161" s="3">
        <v>0.12</v>
      </c>
      <c r="M161" s="3">
        <v>0.27906976744186046</v>
      </c>
      <c r="N161" s="3">
        <v>0.27906976744186046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>
        <v>28.87</v>
      </c>
      <c r="BF161" s="3" t="str">
        <f>+IF(AVANCE[[#This Row],[% AVANCE]]=100%,"MODULO TERMINADO",IF(AVANCE[[#This Row],[FECHA INICIO REAL]]="","MODULO NO INICIADO","PENDIENTE"))</f>
        <v>PENDIENTE</v>
      </c>
      <c r="BG161" s="3">
        <f>+IF(AVANCE[[#This Row],[VENTANAS]]=8.10810810810811%,100%,AVANCE[[#This Row],[VENTANAS]])</f>
        <v>0</v>
      </c>
      <c r="BH161" s="3">
        <f>+IF(AVANCE[[#This Row],[PISO]]=N$2,100%,AVANCE[[#This Row],[PISO]])</f>
        <v>1</v>
      </c>
      <c r="BI161" s="3">
        <f>+IF(AVANCE[[#This Row],[TABIQUES]]=O$2,100%,AVANCE[[#This Row],[TABIQUES]])</f>
        <v>0</v>
      </c>
      <c r="BJ161" s="3">
        <f>+IF(AVANCE[[#This Row],[MUROS]]=P$2,100%,AVANCE[[#This Row],[MUROS]])</f>
        <v>0</v>
      </c>
      <c r="BK161" s="3">
        <f>+IF(AVANCE[[#This Row],[CIELO]]=Q$2,100%,AVANCE[[#This Row],[CIELO]])</f>
        <v>0</v>
      </c>
      <c r="BL161" s="3">
        <f>+IF(AVANCE[[#This Row],[BALCÓN]]=R$2,100%,AVANCE[[#This Row],[BALCÓN]])</f>
        <v>0</v>
      </c>
      <c r="BM161" s="3">
        <f>+IF(AVANCE[[#This Row],[RED ALCANTARILLADO]]=U$2,100%,AVANCE[[#This Row],[RED ALCANTARILLADO]])</f>
        <v>0</v>
      </c>
      <c r="BN161" s="3">
        <f>+IF(AVANCE[[#This Row],[RED DE AGUA]]=V$2,100%,AVANCE[[#This Row],[RED DE AGUA]])</f>
        <v>0</v>
      </c>
      <c r="BO161" s="3">
        <f>+IF(AVANCE[[#This Row],[VENTILACIONES]]=W$2,100%,AVANCE[[#This Row],[VENTILACIONES]])</f>
        <v>0</v>
      </c>
      <c r="BP161" s="3">
        <f>+IF(AVANCE[[#This Row],[TINA]]=X$2,100%,AVANCE[[#This Row],[TINA]])</f>
        <v>0</v>
      </c>
      <c r="BQ161" s="3">
        <f>+IF(AVANCE[[#This Row],[WC]]=Y$2,100%,AVANCE[[#This Row],[WC]])</f>
        <v>0</v>
      </c>
      <c r="BR161" s="3">
        <f>+IF(AVANCE[[#This Row],[LAVAMANOS / LAVAPLATOS / LAVADERO]]=Z$2,100%,AVANCE[[#This Row],[LAVAMANOS / LAVAPLATOS / LAVADERO]])</f>
        <v>0</v>
      </c>
      <c r="BS161" s="3">
        <f>+IF(AVANCE[[#This Row],[CANALIZACIÓN]]=AC$2,100%,AVANCE[[#This Row],[CANALIZACIÓN]])</f>
        <v>0</v>
      </c>
      <c r="BT161" s="3">
        <f>+IF(AVANCE[[#This Row],[CABLEADO]]=AD$2,100%,AVANCE[[#This Row],[CABLEADO]])</f>
        <v>0</v>
      </c>
      <c r="BU161" s="3">
        <f>+IF(AVANCE[[#This Row],[ARTEFACTOS]]=AE$2,100%,AVANCE[[#This Row],[ARTEFACTOS]])</f>
        <v>0</v>
      </c>
      <c r="BV161" s="3">
        <f>+IF(AVANCE[[#This Row],[TABLERO]]=AF$2,100%,AVANCE[[#This Row],[TABLERO]])</f>
        <v>0</v>
      </c>
      <c r="BW161" s="3">
        <f>+IF(AVANCE[[#This Row],[CAJA PAU]]=AG$2,100%,AVANCE[[#This Row],[CAJA PAU]])</f>
        <v>0</v>
      </c>
      <c r="BX161" s="3">
        <f>+IF(AVANCE[[#This Row],[INSTALACION VINILICO]]=AJ$2,100%,AVANCE[[#This Row],[INSTALACION VINILICO]])</f>
        <v>0</v>
      </c>
      <c r="BY161" s="3">
        <f>+IF(AVANCE[[#This Row],[OSB CUBIERTA]]=AK$2,100%,AVANCE[[#This Row],[OSB CUBIERTA]])</f>
        <v>0</v>
      </c>
      <c r="BZ161" s="3">
        <f>+IF(AVANCE[[#This Row],[BARANDA BALCON]]=AL$2,100%,AVANCE[[#This Row],[BARANDA BALCON]])</f>
        <v>0</v>
      </c>
      <c r="CA161" s="3">
        <f>+IF(AVANCE[[#This Row],[OSB EXTERIOR]]=AM$2,100%,AVANCE[[#This Row],[OSB EXTERIOR]])</f>
        <v>0</v>
      </c>
      <c r="CB161" s="3">
        <f>+IF(AVANCE[[#This Row],[SMART PANEL]]=AN$2,100%,AVANCE[[#This Row],[SMART PANEL]])</f>
        <v>0</v>
      </c>
      <c r="CC161" s="3">
        <f>+IF(AVANCE[[#This Row],[PINTURA EXTERIOR]]=AO$2,100%,AVANCE[[#This Row],[PINTURA EXTERIOR]])</f>
        <v>0</v>
      </c>
      <c r="CD161" s="3">
        <f>+IF(AVANCE[[#This Row],[ZOCALOS LOGIA]]=AP$2,100%,AVANCE[[#This Row],[ZOCALOS LOGIA]])</f>
        <v>0</v>
      </c>
      <c r="CE161" s="3">
        <f>+IF(AVANCE[[#This Row],[MOLDURAS]]=AQ$2,100%,AVANCE[[#This Row],[MOLDURAS]])</f>
        <v>0</v>
      </c>
      <c r="CF161" s="3">
        <f>+IF(AVANCE[[#This Row],[PILASTREO]]=AR$2,100%,AVANCE[[#This Row],[PILASTREO]])</f>
        <v>0</v>
      </c>
      <c r="CG161" s="3">
        <f>+IF(AVANCE[[#This Row],[CELOSIAS]]=AS$2,100%,AVANCE[[#This Row],[CELOSIAS]])</f>
        <v>0</v>
      </c>
      <c r="CH161" s="3">
        <f>+IF(AVANCE[[#This Row],[VENTANAS]]=AT$2,100%,AVANCE[[#This Row],[VENTANAS]])</f>
        <v>0</v>
      </c>
      <c r="CI161" s="3">
        <f>+IF(AVANCE[[#This Row],[PUERTAS ACCESO - LOGIA - BANO]]=AU$2,100%,AVANCE[[#This Row],[PUERTAS ACCESO - LOGIA - BANO]])</f>
        <v>0</v>
      </c>
      <c r="CJ161" s="3">
        <f>+IF(AVANCE[[#This Row],[CERRADURAS]]=AV$2,100%,AVANCE[[#This Row],[CERRADURAS]])</f>
        <v>0</v>
      </c>
      <c r="CK161" s="3">
        <f>+IF(AVANCE[[#This Row],[REVESTIMIENTO INTERIOR ZONA SECA]]=AW$2,100%,AVANCE[[#This Row],[REVESTIMIENTO INTERIOR ZONA SECA]])</f>
        <v>0</v>
      </c>
      <c r="CL161" s="3">
        <f>+IF(AVANCE[[#This Row],[REVESTIMIENTO INTERIOR ZONAS HUMEDAS]]=AX$2,100%,AVANCE[[#This Row],[REVESTIMIENTO INTERIOR ZONAS HUMEDAS]])</f>
        <v>0</v>
      </c>
      <c r="CM161" s="3">
        <f>+IF(AVANCE[[#This Row],[MEMBRANA CIELO]]=AY$2,100%,AVANCE[[#This Row],[MEMBRANA CIELO]])</f>
        <v>0</v>
      </c>
      <c r="CN161" s="3">
        <f>+IF(AVANCE[[#This Row],[LIMPIEZA FINAL]]=AZ$2,100%,AVANCE[[#This Row],[LIMPIEZA FINAL]])</f>
        <v>0</v>
      </c>
      <c r="CO161" s="3">
        <f>+IF(AVANCE[[#This Row],[PUERTAS DORMITORIO]]=BA$2,100%,AVANCE[[#This Row],[PUERTAS DORMITORIO]])</f>
        <v>0</v>
      </c>
      <c r="CP161" s="3">
        <f>+IF(AVANCE[[#This Row],[REVESTIMIENTO INTERIOR BANO]]=BB$2,100%,AVANCE[[#This Row],[REVESTIMIENTO INTERIOR BANO]])</f>
        <v>0</v>
      </c>
      <c r="CQ161" s="3">
        <f>+IF(AVANCE[[#This Row],[MUEBLE LAVAPLATOS]]=BC$2,100%,AVANCE[[#This Row],[MUEBLE LAVAPLATOS]])</f>
        <v>0</v>
      </c>
      <c r="CR161" s="3">
        <f>+IF(AVANCE[[#This Row],[IMPERMEABILIZACION BANO - COCINA LOGIA]]=BD$2,100%,AVANCE[[#This Row],[IMPERMEABILIZACION BANO - COCINA LOGIA]])</f>
        <v>0</v>
      </c>
      <c r="CS161" s="40">
        <f ca="1">+IF(AVANCE[[#This Row],[ESTADO MODULO]]="PENDIENTE",(TODAY()-AVANCE[[#This Row],[FECHA TERMINO  PLANIFICADO]]),0)</f>
        <v>-5</v>
      </c>
      <c r="CT161" s="41" t="str" cm="1">
        <f t="array" ref="CT161">_xlfn.TEXTJOIN(" | ",TRUE,IF(SUMPRODUCT((BG161:CR161&lt;1)*(PARTIDAS!$I$2:$AT$2="OBRA GRUESA"))&gt;0,"OBRA GRUESA: "&amp;_xlfn.TEXTJOIN(", ",TRUE,IF((BG161:CR161&lt;1)*(PARTIDAS!$I$2:$AT$2="OBRA GRUESA"),PARTIDAS!$I$1:$AT$1,"")),""),IF(SUMPRODUCT((BG161:CR161&lt;1)*(PARTIDAS!$I$2:$AT$2="SANITARIOS"))&gt;0,"SANITARIOS: "&amp;_xlfn.TEXTJOIN(", ",TRUE,IF((BG161:CR161&lt;1)*(PARTIDAS!$I$2:$AT$2="SANITARIOS"),PARTIDAS!$I$1:$AT$1,"")),""),IF(SUMPRODUCT((BG161:CR161&lt;1)*(PARTIDAS!$I$2:$AT$2="ELÉCTRICO"))&gt;0,"ELÉCTRICO: "&amp;_xlfn.TEXTJOIN(", ",TRUE,IF((BG161:CR161&lt;1)*(PARTIDAS!$I$2:$AT$2="ELÉCTRICO"),PARTIDAS!$I$1:$AT$1,"")),""),IF(SUMPRODUCT((BG161:CR161&lt;1)*(PARTIDAS!$I$2:$AT$2="TERMINACIONES"))&gt;0,"TERMINACIONES: "&amp;_xlfn.TEXTJOIN(", ",TRUE,IF((BG161:CR161&lt;1)*(PARTIDAS!$I$2:$AT$2="TERMINACIONES"),PARTIDAS!$I$1:$AT$1,"")),""))</f>
        <v>OBRA GRUESA: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1" s="43" t="str" cm="1">
        <f t="array" ref="CU161">_xlfn.TEXTJOIN(", ",TRUE,IF(SUMPRODUCT((BG161:CR161&lt;1)*(PARTIDAS!$I$2:$AT$2="OBRA GRUESA"))&gt;0,"OBRA GRUESA",""),IF(SUMPRODUCT((BG161:CR161&lt;1)*(PARTIDAS!$I$2:$AT$2="SANITARIOS"))&gt;0,"SANITARIOS",""),IF(SUMPRODUCT((BG161:CR161&lt;1)*(PARTIDAS!$I$2:$AT$2="ELÉCTRICO"))&gt;0,"ELÉCTRICO",""),IF(SUMPRODUCT((BG161:CR161&lt;1)*(PARTIDAS!$I$2:$AT$2="TERMINACIONES"))&gt;0,"TERMINACIONES",""))</f>
        <v>OBRA GRUESA, SANITARIOS, ELÉCTRICO, TERMINACIONES</v>
      </c>
      <c r="CV161" s="44" cm="1">
        <f t="array" ref="CV161">SUMPRODUCT(--(BG161:CR161&lt;1))</f>
        <v>37</v>
      </c>
    </row>
    <row r="162" spans="1:100" hidden="1" x14ac:dyDescent="0.25">
      <c r="A162" t="s">
        <v>223</v>
      </c>
      <c r="B162" t="s">
        <v>224</v>
      </c>
      <c r="C162">
        <v>2282600161</v>
      </c>
      <c r="D162" t="s">
        <v>58</v>
      </c>
      <c r="E162" s="2">
        <v>0</v>
      </c>
      <c r="F162" s="1">
        <v>46216</v>
      </c>
      <c r="G162" s="1"/>
      <c r="H162" s="1">
        <v>0</v>
      </c>
      <c r="I162" s="1">
        <v>46236</v>
      </c>
      <c r="J162">
        <v>46230</v>
      </c>
      <c r="K162" s="1"/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>
        <v>28.87</v>
      </c>
      <c r="BF162" s="3" t="str">
        <f>+IF(AVANCE[[#This Row],[% AVANCE]]=100%,"MODULO TERMINADO",IF(AVANCE[[#This Row],[FECHA INICIO REAL]]="","MODULO NO INICIADO","PENDIENTE"))</f>
        <v>MODULO NO INICIADO</v>
      </c>
      <c r="BG162" s="3">
        <f>+IF(AVANCE[[#This Row],[VENTANAS]]=8.10810810810811%,100%,AVANCE[[#This Row],[VENTANAS]])</f>
        <v>0</v>
      </c>
      <c r="BH162" s="3">
        <f>+IF(AVANCE[[#This Row],[PISO]]=N$2,100%,AVANCE[[#This Row],[PISO]])</f>
        <v>0</v>
      </c>
      <c r="BI162" s="3">
        <f>+IF(AVANCE[[#This Row],[TABIQUES]]=O$2,100%,AVANCE[[#This Row],[TABIQUES]])</f>
        <v>0</v>
      </c>
      <c r="BJ162" s="3">
        <f>+IF(AVANCE[[#This Row],[MUROS]]=P$2,100%,AVANCE[[#This Row],[MUROS]])</f>
        <v>0</v>
      </c>
      <c r="BK162" s="3">
        <f>+IF(AVANCE[[#This Row],[CIELO]]=Q$2,100%,AVANCE[[#This Row],[CIELO]])</f>
        <v>0</v>
      </c>
      <c r="BL162" s="3">
        <f>+IF(AVANCE[[#This Row],[BALCÓN]]=R$2,100%,AVANCE[[#This Row],[BALCÓN]])</f>
        <v>0</v>
      </c>
      <c r="BM162" s="3">
        <f>+IF(AVANCE[[#This Row],[RED ALCANTARILLADO]]=U$2,100%,AVANCE[[#This Row],[RED ALCANTARILLADO]])</f>
        <v>0</v>
      </c>
      <c r="BN162" s="3">
        <f>+IF(AVANCE[[#This Row],[RED DE AGUA]]=V$2,100%,AVANCE[[#This Row],[RED DE AGUA]])</f>
        <v>0</v>
      </c>
      <c r="BO162" s="3">
        <f>+IF(AVANCE[[#This Row],[VENTILACIONES]]=W$2,100%,AVANCE[[#This Row],[VENTILACIONES]])</f>
        <v>0</v>
      </c>
      <c r="BP162" s="3">
        <f>+IF(AVANCE[[#This Row],[TINA]]=X$2,100%,AVANCE[[#This Row],[TINA]])</f>
        <v>0</v>
      </c>
      <c r="BQ162" s="3">
        <f>+IF(AVANCE[[#This Row],[WC]]=Y$2,100%,AVANCE[[#This Row],[WC]])</f>
        <v>0</v>
      </c>
      <c r="BR162" s="3">
        <f>+IF(AVANCE[[#This Row],[LAVAMANOS / LAVAPLATOS / LAVADERO]]=Z$2,100%,AVANCE[[#This Row],[LAVAMANOS / LAVAPLATOS / LAVADERO]])</f>
        <v>0</v>
      </c>
      <c r="BS162" s="3">
        <f>+IF(AVANCE[[#This Row],[CANALIZACIÓN]]=AC$2,100%,AVANCE[[#This Row],[CANALIZACIÓN]])</f>
        <v>0</v>
      </c>
      <c r="BT162" s="3">
        <f>+IF(AVANCE[[#This Row],[CABLEADO]]=AD$2,100%,AVANCE[[#This Row],[CABLEADO]])</f>
        <v>0</v>
      </c>
      <c r="BU162" s="3">
        <f>+IF(AVANCE[[#This Row],[ARTEFACTOS]]=AE$2,100%,AVANCE[[#This Row],[ARTEFACTOS]])</f>
        <v>0</v>
      </c>
      <c r="BV162" s="3">
        <f>+IF(AVANCE[[#This Row],[TABLERO]]=AF$2,100%,AVANCE[[#This Row],[TABLERO]])</f>
        <v>0</v>
      </c>
      <c r="BW162" s="3">
        <f>+IF(AVANCE[[#This Row],[CAJA PAU]]=AG$2,100%,AVANCE[[#This Row],[CAJA PAU]])</f>
        <v>0</v>
      </c>
      <c r="BX162" s="3">
        <f>+IF(AVANCE[[#This Row],[INSTALACION VINILICO]]=AJ$2,100%,AVANCE[[#This Row],[INSTALACION VINILICO]])</f>
        <v>0</v>
      </c>
      <c r="BY162" s="3">
        <f>+IF(AVANCE[[#This Row],[OSB CUBIERTA]]=AK$2,100%,AVANCE[[#This Row],[OSB CUBIERTA]])</f>
        <v>0</v>
      </c>
      <c r="BZ162" s="3">
        <f>+IF(AVANCE[[#This Row],[BARANDA BALCON]]=AL$2,100%,AVANCE[[#This Row],[BARANDA BALCON]])</f>
        <v>0</v>
      </c>
      <c r="CA162" s="3">
        <f>+IF(AVANCE[[#This Row],[OSB EXTERIOR]]=AM$2,100%,AVANCE[[#This Row],[OSB EXTERIOR]])</f>
        <v>0</v>
      </c>
      <c r="CB162" s="3">
        <f>+IF(AVANCE[[#This Row],[SMART PANEL]]=AN$2,100%,AVANCE[[#This Row],[SMART PANEL]])</f>
        <v>0</v>
      </c>
      <c r="CC162" s="3">
        <f>+IF(AVANCE[[#This Row],[PINTURA EXTERIOR]]=AO$2,100%,AVANCE[[#This Row],[PINTURA EXTERIOR]])</f>
        <v>0</v>
      </c>
      <c r="CD162" s="3">
        <f>+IF(AVANCE[[#This Row],[ZOCALOS LOGIA]]=AP$2,100%,AVANCE[[#This Row],[ZOCALOS LOGIA]])</f>
        <v>0</v>
      </c>
      <c r="CE162" s="3">
        <f>+IF(AVANCE[[#This Row],[MOLDURAS]]=AQ$2,100%,AVANCE[[#This Row],[MOLDURAS]])</f>
        <v>0</v>
      </c>
      <c r="CF162" s="3">
        <f>+IF(AVANCE[[#This Row],[PILASTREO]]=AR$2,100%,AVANCE[[#This Row],[PILASTREO]])</f>
        <v>0</v>
      </c>
      <c r="CG162" s="3">
        <f>+IF(AVANCE[[#This Row],[CELOSIAS]]=AS$2,100%,AVANCE[[#This Row],[CELOSIAS]])</f>
        <v>0</v>
      </c>
      <c r="CH162" s="3">
        <f>+IF(AVANCE[[#This Row],[VENTANAS]]=AT$2,100%,AVANCE[[#This Row],[VENTANAS]])</f>
        <v>0</v>
      </c>
      <c r="CI162" s="3">
        <f>+IF(AVANCE[[#This Row],[PUERTAS ACCESO - LOGIA - BANO]]=AU$2,100%,AVANCE[[#This Row],[PUERTAS ACCESO - LOGIA - BANO]])</f>
        <v>0</v>
      </c>
      <c r="CJ162" s="3">
        <f>+IF(AVANCE[[#This Row],[CERRADURAS]]=AV$2,100%,AVANCE[[#This Row],[CERRADURAS]])</f>
        <v>0</v>
      </c>
      <c r="CK162" s="3">
        <f>+IF(AVANCE[[#This Row],[REVESTIMIENTO INTERIOR ZONA SECA]]=AW$2,100%,AVANCE[[#This Row],[REVESTIMIENTO INTERIOR ZONA SECA]])</f>
        <v>0</v>
      </c>
      <c r="CL162" s="3">
        <f>+IF(AVANCE[[#This Row],[REVESTIMIENTO INTERIOR ZONAS HUMEDAS]]=AX$2,100%,AVANCE[[#This Row],[REVESTIMIENTO INTERIOR ZONAS HUMEDAS]])</f>
        <v>0</v>
      </c>
      <c r="CM162" s="3">
        <f>+IF(AVANCE[[#This Row],[MEMBRANA CIELO]]=AY$2,100%,AVANCE[[#This Row],[MEMBRANA CIELO]])</f>
        <v>0</v>
      </c>
      <c r="CN162" s="3">
        <f>+IF(AVANCE[[#This Row],[LIMPIEZA FINAL]]=AZ$2,100%,AVANCE[[#This Row],[LIMPIEZA FINAL]])</f>
        <v>0</v>
      </c>
      <c r="CO162" s="3">
        <f>+IF(AVANCE[[#This Row],[PUERTAS DORMITORIO]]=BA$2,100%,AVANCE[[#This Row],[PUERTAS DORMITORIO]])</f>
        <v>0</v>
      </c>
      <c r="CP162" s="3">
        <f>+IF(AVANCE[[#This Row],[REVESTIMIENTO INTERIOR BANO]]=BB$2,100%,AVANCE[[#This Row],[REVESTIMIENTO INTERIOR BANO]])</f>
        <v>0</v>
      </c>
      <c r="CQ162" s="3">
        <f>+IF(AVANCE[[#This Row],[MUEBLE LAVAPLATOS]]=BC$2,100%,AVANCE[[#This Row],[MUEBLE LAVAPLATOS]])</f>
        <v>0</v>
      </c>
      <c r="CR162" s="3">
        <f>+IF(AVANCE[[#This Row],[IMPERMEABILIZACION BANO - COCINA LOGIA]]=BD$2,100%,AVANCE[[#This Row],[IMPERMEABILIZACION BANO - COCINA LOGIA]])</f>
        <v>0</v>
      </c>
      <c r="CS162" s="40">
        <f ca="1">+IF(AVANCE[[#This Row],[ESTADO MODULO]]="PENDIENTE",(TODAY()-AVANCE[[#This Row],[FECHA TERMINO  PLANIFICADO]]),0)</f>
        <v>0</v>
      </c>
      <c r="CT162" s="41" t="str" cm="1">
        <f t="array" ref="CT162">_xlfn.TEXTJOIN(" | ",TRUE,IF(SUMPRODUCT((BG162:CR162&lt;1)*(PARTIDAS!$I$2:$AT$2="OBRA GRUESA"))&gt;0,"OBRA GRUESA: "&amp;_xlfn.TEXTJOIN(", ",TRUE,IF((BG162:CR162&lt;1)*(PARTIDAS!$I$2:$AT$2="OBRA GRUESA"),PARTIDAS!$I$1:$AT$1,"")),""),IF(SUMPRODUCT((BG162:CR162&lt;1)*(PARTIDAS!$I$2:$AT$2="SANITARIOS"))&gt;0,"SANITARIOS: "&amp;_xlfn.TEXTJOIN(", ",TRUE,IF((BG162:CR162&lt;1)*(PARTIDAS!$I$2:$AT$2="SANITARIOS"),PARTIDAS!$I$1:$AT$1,"")),""),IF(SUMPRODUCT((BG162:CR162&lt;1)*(PARTIDAS!$I$2:$AT$2="ELÉCTRICO"))&gt;0,"ELÉCTRICO: "&amp;_xlfn.TEXTJOIN(", ",TRUE,IF((BG162:CR162&lt;1)*(PARTIDAS!$I$2:$AT$2="ELÉCTRICO"),PARTIDAS!$I$1:$AT$1,"")),""),IF(SUMPRODUCT((BG162:CR162&lt;1)*(PARTIDAS!$I$2:$AT$2="TERMINACIONES"))&gt;0,"TERMINACIONES: "&amp;_xlfn.TEXTJOIN(", ",TRUE,IF((BG162:CR162&lt;1)*(PARTIDAS!$I$2:$AT$2="TERMINACIONES"),PARTIDAS!$I$1:$AT$1,"")),""))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2" s="43" t="str" cm="1">
        <f t="array" ref="CU162">_xlfn.TEXTJOIN(", ",TRUE,IF(SUMPRODUCT((BG162:CR162&lt;1)*(PARTIDAS!$I$2:$AT$2="OBRA GRUESA"))&gt;0,"OBRA GRUESA",""),IF(SUMPRODUCT((BG162:CR162&lt;1)*(PARTIDAS!$I$2:$AT$2="SANITARIOS"))&gt;0,"SANITARIOS",""),IF(SUMPRODUCT((BG162:CR162&lt;1)*(PARTIDAS!$I$2:$AT$2="ELÉCTRICO"))&gt;0,"ELÉCTRICO",""),IF(SUMPRODUCT((BG162:CR162&lt;1)*(PARTIDAS!$I$2:$AT$2="TERMINACIONES"))&gt;0,"TERMINACIONES",""))</f>
        <v>OBRA GRUESA, SANITARIOS, ELÉCTRICO, TERMINACIONES</v>
      </c>
      <c r="CV162" s="44" cm="1">
        <f t="array" ref="CV162">SUMPRODUCT(--(BG162:CR162&lt;1))</f>
        <v>38</v>
      </c>
    </row>
    <row r="163" spans="1:100" hidden="1" x14ac:dyDescent="0.25">
      <c r="A163" t="s">
        <v>223</v>
      </c>
      <c r="B163" t="s">
        <v>225</v>
      </c>
      <c r="C163">
        <v>2302600162</v>
      </c>
      <c r="D163" t="s">
        <v>60</v>
      </c>
      <c r="E163" s="2">
        <v>0</v>
      </c>
      <c r="F163" s="1">
        <v>46216</v>
      </c>
      <c r="G163" s="1"/>
      <c r="H163" s="1">
        <v>0</v>
      </c>
      <c r="I163" s="1">
        <v>46246</v>
      </c>
      <c r="J163">
        <v>46230</v>
      </c>
      <c r="K163" s="1"/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>
        <v>31.32</v>
      </c>
      <c r="BF163" s="3" t="str">
        <f>+IF(AVANCE[[#This Row],[% AVANCE]]=100%,"MODULO TERMINADO",IF(AVANCE[[#This Row],[FECHA INICIO REAL]]="","MODULO NO INICIADO","PENDIENTE"))</f>
        <v>MODULO NO INICIADO</v>
      </c>
      <c r="BG163" s="3">
        <f>+IF(AVANCE[[#This Row],[VENTANAS]]=8.10810810810811%,100%,AVANCE[[#This Row],[VENTANAS]])</f>
        <v>0</v>
      </c>
      <c r="BH163" s="3">
        <f>+IF(AVANCE[[#This Row],[PISO]]=N$2,100%,AVANCE[[#This Row],[PISO]])</f>
        <v>0</v>
      </c>
      <c r="BI163" s="3">
        <f>+IF(AVANCE[[#This Row],[TABIQUES]]=O$2,100%,AVANCE[[#This Row],[TABIQUES]])</f>
        <v>0</v>
      </c>
      <c r="BJ163" s="3">
        <f>+IF(AVANCE[[#This Row],[MUROS]]=P$2,100%,AVANCE[[#This Row],[MUROS]])</f>
        <v>0</v>
      </c>
      <c r="BK163" s="3">
        <f>+IF(AVANCE[[#This Row],[CIELO]]=Q$2,100%,AVANCE[[#This Row],[CIELO]])</f>
        <v>0</v>
      </c>
      <c r="BL163" s="3">
        <f>+IF(AVANCE[[#This Row],[BALCÓN]]=R$2,100%,AVANCE[[#This Row],[BALCÓN]])</f>
        <v>0</v>
      </c>
      <c r="BM163" s="3">
        <f>+IF(AVANCE[[#This Row],[RED ALCANTARILLADO]]=U$2,100%,AVANCE[[#This Row],[RED ALCANTARILLADO]])</f>
        <v>0</v>
      </c>
      <c r="BN163" s="3">
        <f>+IF(AVANCE[[#This Row],[RED DE AGUA]]=V$2,100%,AVANCE[[#This Row],[RED DE AGUA]])</f>
        <v>0</v>
      </c>
      <c r="BO163" s="3">
        <f>+IF(AVANCE[[#This Row],[VENTILACIONES]]=W$2,100%,AVANCE[[#This Row],[VENTILACIONES]])</f>
        <v>0</v>
      </c>
      <c r="BP163" s="3">
        <f>+IF(AVANCE[[#This Row],[TINA]]=X$2,100%,AVANCE[[#This Row],[TINA]])</f>
        <v>0</v>
      </c>
      <c r="BQ163" s="3">
        <f>+IF(AVANCE[[#This Row],[WC]]=Y$2,100%,AVANCE[[#This Row],[WC]])</f>
        <v>0</v>
      </c>
      <c r="BR163" s="3">
        <f>+IF(AVANCE[[#This Row],[LAVAMANOS / LAVAPLATOS / LAVADERO]]=Z$2,100%,AVANCE[[#This Row],[LAVAMANOS / LAVAPLATOS / LAVADERO]])</f>
        <v>0</v>
      </c>
      <c r="BS163" s="3">
        <f>+IF(AVANCE[[#This Row],[CANALIZACIÓN]]=AC$2,100%,AVANCE[[#This Row],[CANALIZACIÓN]])</f>
        <v>0</v>
      </c>
      <c r="BT163" s="3">
        <f>+IF(AVANCE[[#This Row],[CABLEADO]]=AD$2,100%,AVANCE[[#This Row],[CABLEADO]])</f>
        <v>0</v>
      </c>
      <c r="BU163" s="3">
        <f>+IF(AVANCE[[#This Row],[ARTEFACTOS]]=AE$2,100%,AVANCE[[#This Row],[ARTEFACTOS]])</f>
        <v>0</v>
      </c>
      <c r="BV163" s="3">
        <f>+IF(AVANCE[[#This Row],[TABLERO]]=AF$2,100%,AVANCE[[#This Row],[TABLERO]])</f>
        <v>0</v>
      </c>
      <c r="BW163" s="3">
        <f>+IF(AVANCE[[#This Row],[CAJA PAU]]=AG$2,100%,AVANCE[[#This Row],[CAJA PAU]])</f>
        <v>0</v>
      </c>
      <c r="BX163" s="3">
        <f>+IF(AVANCE[[#This Row],[INSTALACION VINILICO]]=AJ$2,100%,AVANCE[[#This Row],[INSTALACION VINILICO]])</f>
        <v>0</v>
      </c>
      <c r="BY163" s="3">
        <f>+IF(AVANCE[[#This Row],[OSB CUBIERTA]]=AK$2,100%,AVANCE[[#This Row],[OSB CUBIERTA]])</f>
        <v>0</v>
      </c>
      <c r="BZ163" s="3">
        <f>+IF(AVANCE[[#This Row],[BARANDA BALCON]]=AL$2,100%,AVANCE[[#This Row],[BARANDA BALCON]])</f>
        <v>0</v>
      </c>
      <c r="CA163" s="3">
        <f>+IF(AVANCE[[#This Row],[OSB EXTERIOR]]=AM$2,100%,AVANCE[[#This Row],[OSB EXTERIOR]])</f>
        <v>0</v>
      </c>
      <c r="CB163" s="3">
        <f>+IF(AVANCE[[#This Row],[SMART PANEL]]=AN$2,100%,AVANCE[[#This Row],[SMART PANEL]])</f>
        <v>0</v>
      </c>
      <c r="CC163" s="3">
        <f>+IF(AVANCE[[#This Row],[PINTURA EXTERIOR]]=AO$2,100%,AVANCE[[#This Row],[PINTURA EXTERIOR]])</f>
        <v>0</v>
      </c>
      <c r="CD163" s="3">
        <f>+IF(AVANCE[[#This Row],[ZOCALOS LOGIA]]=AP$2,100%,AVANCE[[#This Row],[ZOCALOS LOGIA]])</f>
        <v>0</v>
      </c>
      <c r="CE163" s="3">
        <f>+IF(AVANCE[[#This Row],[MOLDURAS]]=AQ$2,100%,AVANCE[[#This Row],[MOLDURAS]])</f>
        <v>0</v>
      </c>
      <c r="CF163" s="3">
        <f>+IF(AVANCE[[#This Row],[PILASTREO]]=AR$2,100%,AVANCE[[#This Row],[PILASTREO]])</f>
        <v>0</v>
      </c>
      <c r="CG163" s="3">
        <f>+IF(AVANCE[[#This Row],[CELOSIAS]]=AS$2,100%,AVANCE[[#This Row],[CELOSIAS]])</f>
        <v>0</v>
      </c>
      <c r="CH163" s="3">
        <f>+IF(AVANCE[[#This Row],[VENTANAS]]=AT$2,100%,AVANCE[[#This Row],[VENTANAS]])</f>
        <v>0</v>
      </c>
      <c r="CI163" s="3">
        <f>+IF(AVANCE[[#This Row],[PUERTAS ACCESO - LOGIA - BANO]]=AU$2,100%,AVANCE[[#This Row],[PUERTAS ACCESO - LOGIA - BANO]])</f>
        <v>0</v>
      </c>
      <c r="CJ163" s="3">
        <f>+IF(AVANCE[[#This Row],[CERRADURAS]]=AV$2,100%,AVANCE[[#This Row],[CERRADURAS]])</f>
        <v>0</v>
      </c>
      <c r="CK163" s="3">
        <f>+IF(AVANCE[[#This Row],[REVESTIMIENTO INTERIOR ZONA SECA]]=AW$2,100%,AVANCE[[#This Row],[REVESTIMIENTO INTERIOR ZONA SECA]])</f>
        <v>0</v>
      </c>
      <c r="CL163" s="3">
        <f>+IF(AVANCE[[#This Row],[REVESTIMIENTO INTERIOR ZONAS HUMEDAS]]=AX$2,100%,AVANCE[[#This Row],[REVESTIMIENTO INTERIOR ZONAS HUMEDAS]])</f>
        <v>0</v>
      </c>
      <c r="CM163" s="3">
        <f>+IF(AVANCE[[#This Row],[MEMBRANA CIELO]]=AY$2,100%,AVANCE[[#This Row],[MEMBRANA CIELO]])</f>
        <v>0</v>
      </c>
      <c r="CN163" s="3">
        <f>+IF(AVANCE[[#This Row],[LIMPIEZA FINAL]]=AZ$2,100%,AVANCE[[#This Row],[LIMPIEZA FINAL]])</f>
        <v>0</v>
      </c>
      <c r="CO163" s="3">
        <f>+IF(AVANCE[[#This Row],[PUERTAS DORMITORIO]]=BA$2,100%,AVANCE[[#This Row],[PUERTAS DORMITORIO]])</f>
        <v>0</v>
      </c>
      <c r="CP163" s="3">
        <f>+IF(AVANCE[[#This Row],[REVESTIMIENTO INTERIOR BANO]]=BB$2,100%,AVANCE[[#This Row],[REVESTIMIENTO INTERIOR BANO]])</f>
        <v>0</v>
      </c>
      <c r="CQ163" s="3">
        <f>+IF(AVANCE[[#This Row],[MUEBLE LAVAPLATOS]]=BC$2,100%,AVANCE[[#This Row],[MUEBLE LAVAPLATOS]])</f>
        <v>0</v>
      </c>
      <c r="CR163" s="3">
        <f>+IF(AVANCE[[#This Row],[IMPERMEABILIZACION BANO - COCINA LOGIA]]=BD$2,100%,AVANCE[[#This Row],[IMPERMEABILIZACION BANO - COCINA LOGIA]])</f>
        <v>0</v>
      </c>
      <c r="CS163" s="40">
        <f ca="1">+IF(AVANCE[[#This Row],[ESTADO MODULO]]="PENDIENTE",(TODAY()-AVANCE[[#This Row],[FECHA TERMINO  PLANIFICADO]]),0)</f>
        <v>0</v>
      </c>
      <c r="CT163" s="41" t="str" cm="1">
        <f t="array" ref="CT163">_xlfn.TEXTJOIN(" | ",TRUE,IF(SUMPRODUCT((BG163:CR163&lt;1)*(PARTIDAS!$I$2:$AT$2="OBRA GRUESA"))&gt;0,"OBRA GRUESA: "&amp;_xlfn.TEXTJOIN(", ",TRUE,IF((BG163:CR163&lt;1)*(PARTIDAS!$I$2:$AT$2="OBRA GRUESA"),PARTIDAS!$I$1:$AT$1,"")),""),IF(SUMPRODUCT((BG163:CR163&lt;1)*(PARTIDAS!$I$2:$AT$2="SANITARIOS"))&gt;0,"SANITARIOS: "&amp;_xlfn.TEXTJOIN(", ",TRUE,IF((BG163:CR163&lt;1)*(PARTIDAS!$I$2:$AT$2="SANITARIOS"),PARTIDAS!$I$1:$AT$1,"")),""),IF(SUMPRODUCT((BG163:CR163&lt;1)*(PARTIDAS!$I$2:$AT$2="ELÉCTRICO"))&gt;0,"ELÉCTRICO: "&amp;_xlfn.TEXTJOIN(", ",TRUE,IF((BG163:CR163&lt;1)*(PARTIDAS!$I$2:$AT$2="ELÉCTRICO"),PARTIDAS!$I$1:$AT$1,"")),""),IF(SUMPRODUCT((BG163:CR163&lt;1)*(PARTIDAS!$I$2:$AT$2="TERMINACIONES"))&gt;0,"TERMINACIONES: "&amp;_xlfn.TEXTJOIN(", ",TRUE,IF((BG163:CR163&lt;1)*(PARTIDAS!$I$2:$AT$2="TERMINACIONES"),PARTIDAS!$I$1:$AT$1,"")),""))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3" s="43" t="str" cm="1">
        <f t="array" ref="CU163">_xlfn.TEXTJOIN(", ",TRUE,IF(SUMPRODUCT((BG163:CR163&lt;1)*(PARTIDAS!$I$2:$AT$2="OBRA GRUESA"))&gt;0,"OBRA GRUESA",""),IF(SUMPRODUCT((BG163:CR163&lt;1)*(PARTIDAS!$I$2:$AT$2="SANITARIOS"))&gt;0,"SANITARIOS",""),IF(SUMPRODUCT((BG163:CR163&lt;1)*(PARTIDAS!$I$2:$AT$2="ELÉCTRICO"))&gt;0,"ELÉCTRICO",""),IF(SUMPRODUCT((BG163:CR163&lt;1)*(PARTIDAS!$I$2:$AT$2="TERMINACIONES"))&gt;0,"TERMINACIONES",""))</f>
        <v>OBRA GRUESA, SANITARIOS, ELÉCTRICO, TERMINACIONES</v>
      </c>
      <c r="CV163" s="44" cm="1">
        <f t="array" ref="CV163">SUMPRODUCT(--(BG163:CR163&lt;1))</f>
        <v>38</v>
      </c>
    </row>
    <row r="164" spans="1:100" hidden="1" x14ac:dyDescent="0.25">
      <c r="A164" t="s">
        <v>223</v>
      </c>
      <c r="B164" t="s">
        <v>226</v>
      </c>
      <c r="C164">
        <v>2302600163</v>
      </c>
      <c r="D164" t="s">
        <v>60</v>
      </c>
      <c r="E164" s="2">
        <v>0</v>
      </c>
      <c r="F164" s="1">
        <v>46216</v>
      </c>
      <c r="G164" s="1"/>
      <c r="H164" s="1">
        <v>0</v>
      </c>
      <c r="I164" s="1">
        <v>46246</v>
      </c>
      <c r="J164">
        <v>46230</v>
      </c>
      <c r="K164" s="1"/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>
        <v>31.32</v>
      </c>
      <c r="BF164" s="3" t="str">
        <f>+IF(AVANCE[[#This Row],[% AVANCE]]=100%,"MODULO TERMINADO",IF(AVANCE[[#This Row],[FECHA INICIO REAL]]="","MODULO NO INICIADO","PENDIENTE"))</f>
        <v>MODULO NO INICIADO</v>
      </c>
      <c r="BG164" s="3">
        <f>+IF(AVANCE[[#This Row],[VENTANAS]]=8.10810810810811%,100%,AVANCE[[#This Row],[VENTANAS]])</f>
        <v>0</v>
      </c>
      <c r="BH164" s="3">
        <f>+IF(AVANCE[[#This Row],[PISO]]=N$2,100%,AVANCE[[#This Row],[PISO]])</f>
        <v>0</v>
      </c>
      <c r="BI164" s="3">
        <f>+IF(AVANCE[[#This Row],[TABIQUES]]=O$2,100%,AVANCE[[#This Row],[TABIQUES]])</f>
        <v>0</v>
      </c>
      <c r="BJ164" s="3">
        <f>+IF(AVANCE[[#This Row],[MUROS]]=P$2,100%,AVANCE[[#This Row],[MUROS]])</f>
        <v>0</v>
      </c>
      <c r="BK164" s="3">
        <f>+IF(AVANCE[[#This Row],[CIELO]]=Q$2,100%,AVANCE[[#This Row],[CIELO]])</f>
        <v>0</v>
      </c>
      <c r="BL164" s="3">
        <f>+IF(AVANCE[[#This Row],[BALCÓN]]=R$2,100%,AVANCE[[#This Row],[BALCÓN]])</f>
        <v>0</v>
      </c>
      <c r="BM164" s="3">
        <f>+IF(AVANCE[[#This Row],[RED ALCANTARILLADO]]=U$2,100%,AVANCE[[#This Row],[RED ALCANTARILLADO]])</f>
        <v>0</v>
      </c>
      <c r="BN164" s="3">
        <f>+IF(AVANCE[[#This Row],[RED DE AGUA]]=V$2,100%,AVANCE[[#This Row],[RED DE AGUA]])</f>
        <v>0</v>
      </c>
      <c r="BO164" s="3">
        <f>+IF(AVANCE[[#This Row],[VENTILACIONES]]=W$2,100%,AVANCE[[#This Row],[VENTILACIONES]])</f>
        <v>0</v>
      </c>
      <c r="BP164" s="3">
        <f>+IF(AVANCE[[#This Row],[TINA]]=X$2,100%,AVANCE[[#This Row],[TINA]])</f>
        <v>0</v>
      </c>
      <c r="BQ164" s="3">
        <f>+IF(AVANCE[[#This Row],[WC]]=Y$2,100%,AVANCE[[#This Row],[WC]])</f>
        <v>0</v>
      </c>
      <c r="BR164" s="3">
        <f>+IF(AVANCE[[#This Row],[LAVAMANOS / LAVAPLATOS / LAVADERO]]=Z$2,100%,AVANCE[[#This Row],[LAVAMANOS / LAVAPLATOS / LAVADERO]])</f>
        <v>0</v>
      </c>
      <c r="BS164" s="3">
        <f>+IF(AVANCE[[#This Row],[CANALIZACIÓN]]=AC$2,100%,AVANCE[[#This Row],[CANALIZACIÓN]])</f>
        <v>0</v>
      </c>
      <c r="BT164" s="3">
        <f>+IF(AVANCE[[#This Row],[CABLEADO]]=AD$2,100%,AVANCE[[#This Row],[CABLEADO]])</f>
        <v>0</v>
      </c>
      <c r="BU164" s="3">
        <f>+IF(AVANCE[[#This Row],[ARTEFACTOS]]=AE$2,100%,AVANCE[[#This Row],[ARTEFACTOS]])</f>
        <v>0</v>
      </c>
      <c r="BV164" s="3">
        <f>+IF(AVANCE[[#This Row],[TABLERO]]=AF$2,100%,AVANCE[[#This Row],[TABLERO]])</f>
        <v>0</v>
      </c>
      <c r="BW164" s="3">
        <f>+IF(AVANCE[[#This Row],[CAJA PAU]]=AG$2,100%,AVANCE[[#This Row],[CAJA PAU]])</f>
        <v>0</v>
      </c>
      <c r="BX164" s="3">
        <f>+IF(AVANCE[[#This Row],[INSTALACION VINILICO]]=AJ$2,100%,AVANCE[[#This Row],[INSTALACION VINILICO]])</f>
        <v>0</v>
      </c>
      <c r="BY164" s="3">
        <f>+IF(AVANCE[[#This Row],[OSB CUBIERTA]]=AK$2,100%,AVANCE[[#This Row],[OSB CUBIERTA]])</f>
        <v>0</v>
      </c>
      <c r="BZ164" s="3">
        <f>+IF(AVANCE[[#This Row],[BARANDA BALCON]]=AL$2,100%,AVANCE[[#This Row],[BARANDA BALCON]])</f>
        <v>0</v>
      </c>
      <c r="CA164" s="3">
        <f>+IF(AVANCE[[#This Row],[OSB EXTERIOR]]=AM$2,100%,AVANCE[[#This Row],[OSB EXTERIOR]])</f>
        <v>0</v>
      </c>
      <c r="CB164" s="3">
        <f>+IF(AVANCE[[#This Row],[SMART PANEL]]=AN$2,100%,AVANCE[[#This Row],[SMART PANEL]])</f>
        <v>0</v>
      </c>
      <c r="CC164" s="3">
        <f>+IF(AVANCE[[#This Row],[PINTURA EXTERIOR]]=AO$2,100%,AVANCE[[#This Row],[PINTURA EXTERIOR]])</f>
        <v>0</v>
      </c>
      <c r="CD164" s="3">
        <f>+IF(AVANCE[[#This Row],[ZOCALOS LOGIA]]=AP$2,100%,AVANCE[[#This Row],[ZOCALOS LOGIA]])</f>
        <v>0</v>
      </c>
      <c r="CE164" s="3">
        <f>+IF(AVANCE[[#This Row],[MOLDURAS]]=AQ$2,100%,AVANCE[[#This Row],[MOLDURAS]])</f>
        <v>0</v>
      </c>
      <c r="CF164" s="3">
        <f>+IF(AVANCE[[#This Row],[PILASTREO]]=AR$2,100%,AVANCE[[#This Row],[PILASTREO]])</f>
        <v>0</v>
      </c>
      <c r="CG164" s="3">
        <f>+IF(AVANCE[[#This Row],[CELOSIAS]]=AS$2,100%,AVANCE[[#This Row],[CELOSIAS]])</f>
        <v>0</v>
      </c>
      <c r="CH164" s="3">
        <f>+IF(AVANCE[[#This Row],[VENTANAS]]=AT$2,100%,AVANCE[[#This Row],[VENTANAS]])</f>
        <v>0</v>
      </c>
      <c r="CI164" s="3">
        <f>+IF(AVANCE[[#This Row],[PUERTAS ACCESO - LOGIA - BANO]]=AU$2,100%,AVANCE[[#This Row],[PUERTAS ACCESO - LOGIA - BANO]])</f>
        <v>0</v>
      </c>
      <c r="CJ164" s="3">
        <f>+IF(AVANCE[[#This Row],[CERRADURAS]]=AV$2,100%,AVANCE[[#This Row],[CERRADURAS]])</f>
        <v>0</v>
      </c>
      <c r="CK164" s="3">
        <f>+IF(AVANCE[[#This Row],[REVESTIMIENTO INTERIOR ZONA SECA]]=AW$2,100%,AVANCE[[#This Row],[REVESTIMIENTO INTERIOR ZONA SECA]])</f>
        <v>0</v>
      </c>
      <c r="CL164" s="3">
        <f>+IF(AVANCE[[#This Row],[REVESTIMIENTO INTERIOR ZONAS HUMEDAS]]=AX$2,100%,AVANCE[[#This Row],[REVESTIMIENTO INTERIOR ZONAS HUMEDAS]])</f>
        <v>0</v>
      </c>
      <c r="CM164" s="3">
        <f>+IF(AVANCE[[#This Row],[MEMBRANA CIELO]]=AY$2,100%,AVANCE[[#This Row],[MEMBRANA CIELO]])</f>
        <v>0</v>
      </c>
      <c r="CN164" s="3">
        <f>+IF(AVANCE[[#This Row],[LIMPIEZA FINAL]]=AZ$2,100%,AVANCE[[#This Row],[LIMPIEZA FINAL]])</f>
        <v>0</v>
      </c>
      <c r="CO164" s="3">
        <f>+IF(AVANCE[[#This Row],[PUERTAS DORMITORIO]]=BA$2,100%,AVANCE[[#This Row],[PUERTAS DORMITORIO]])</f>
        <v>0</v>
      </c>
      <c r="CP164" s="3">
        <f>+IF(AVANCE[[#This Row],[REVESTIMIENTO INTERIOR BANO]]=BB$2,100%,AVANCE[[#This Row],[REVESTIMIENTO INTERIOR BANO]])</f>
        <v>0</v>
      </c>
      <c r="CQ164" s="3">
        <f>+IF(AVANCE[[#This Row],[MUEBLE LAVAPLATOS]]=BC$2,100%,AVANCE[[#This Row],[MUEBLE LAVAPLATOS]])</f>
        <v>0</v>
      </c>
      <c r="CR164" s="3">
        <f>+IF(AVANCE[[#This Row],[IMPERMEABILIZACION BANO - COCINA LOGIA]]=BD$2,100%,AVANCE[[#This Row],[IMPERMEABILIZACION BANO - COCINA LOGIA]])</f>
        <v>0</v>
      </c>
      <c r="CS164" s="40">
        <f ca="1">+IF(AVANCE[[#This Row],[ESTADO MODULO]]="PENDIENTE",(TODAY()-AVANCE[[#This Row],[FECHA TERMINO  PLANIFICADO]]),0)</f>
        <v>0</v>
      </c>
      <c r="CT164" s="41" t="str" cm="1">
        <f t="array" ref="CT164">_xlfn.TEXTJOIN(" | ",TRUE,IF(SUMPRODUCT((BG164:CR164&lt;1)*(PARTIDAS!$I$2:$AT$2="OBRA GRUESA"))&gt;0,"OBRA GRUESA: "&amp;_xlfn.TEXTJOIN(", ",TRUE,IF((BG164:CR164&lt;1)*(PARTIDAS!$I$2:$AT$2="OBRA GRUESA"),PARTIDAS!$I$1:$AT$1,"")),""),IF(SUMPRODUCT((BG164:CR164&lt;1)*(PARTIDAS!$I$2:$AT$2="SANITARIOS"))&gt;0,"SANITARIOS: "&amp;_xlfn.TEXTJOIN(", ",TRUE,IF((BG164:CR164&lt;1)*(PARTIDAS!$I$2:$AT$2="SANITARIOS"),PARTIDAS!$I$1:$AT$1,"")),""),IF(SUMPRODUCT((BG164:CR164&lt;1)*(PARTIDAS!$I$2:$AT$2="ELÉCTRICO"))&gt;0,"ELÉCTRICO: "&amp;_xlfn.TEXTJOIN(", ",TRUE,IF((BG164:CR164&lt;1)*(PARTIDAS!$I$2:$AT$2="ELÉCTRICO"),PARTIDAS!$I$1:$AT$1,"")),""),IF(SUMPRODUCT((BG164:CR164&lt;1)*(PARTIDAS!$I$2:$AT$2="TERMINACIONES"))&gt;0,"TERMINACIONES: "&amp;_xlfn.TEXTJOIN(", ",TRUE,IF((BG164:CR164&lt;1)*(PARTIDAS!$I$2:$AT$2="TERMINACIONES"),PARTIDAS!$I$1:$AT$1,"")),""))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4" s="43" t="str" cm="1">
        <f t="array" ref="CU164">_xlfn.TEXTJOIN(", ",TRUE,IF(SUMPRODUCT((BG164:CR164&lt;1)*(PARTIDAS!$I$2:$AT$2="OBRA GRUESA"))&gt;0,"OBRA GRUESA",""),IF(SUMPRODUCT((BG164:CR164&lt;1)*(PARTIDAS!$I$2:$AT$2="SANITARIOS"))&gt;0,"SANITARIOS",""),IF(SUMPRODUCT((BG164:CR164&lt;1)*(PARTIDAS!$I$2:$AT$2="ELÉCTRICO"))&gt;0,"ELÉCTRICO",""),IF(SUMPRODUCT((BG164:CR164&lt;1)*(PARTIDAS!$I$2:$AT$2="TERMINACIONES"))&gt;0,"TERMINACIONES",""))</f>
        <v>OBRA GRUESA, SANITARIOS, ELÉCTRICO, TERMINACIONES</v>
      </c>
      <c r="CV164" s="44" cm="1">
        <f t="array" ref="CV164">SUMPRODUCT(--(BG164:CR164&lt;1))</f>
        <v>38</v>
      </c>
    </row>
    <row r="165" spans="1:100" hidden="1" x14ac:dyDescent="0.25">
      <c r="A165" t="s">
        <v>223</v>
      </c>
      <c r="B165" t="s">
        <v>227</v>
      </c>
      <c r="C165">
        <v>2282600164</v>
      </c>
      <c r="D165" t="s">
        <v>58</v>
      </c>
      <c r="E165" s="2">
        <v>0</v>
      </c>
      <c r="F165" s="1">
        <v>46217</v>
      </c>
      <c r="G165" s="1"/>
      <c r="H165" s="1">
        <v>0</v>
      </c>
      <c r="I165" s="1">
        <v>46237</v>
      </c>
      <c r="J165">
        <v>46230</v>
      </c>
      <c r="K165" s="1"/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>
        <v>28.87</v>
      </c>
      <c r="BF165" s="3" t="str">
        <f>+IF(AVANCE[[#This Row],[% AVANCE]]=100%,"MODULO TERMINADO",IF(AVANCE[[#This Row],[FECHA INICIO REAL]]="","MODULO NO INICIADO","PENDIENTE"))</f>
        <v>MODULO NO INICIADO</v>
      </c>
      <c r="BG165" s="3">
        <f>+IF(AVANCE[[#This Row],[VENTANAS]]=8.10810810810811%,100%,AVANCE[[#This Row],[VENTANAS]])</f>
        <v>0</v>
      </c>
      <c r="BH165" s="3">
        <f>+IF(AVANCE[[#This Row],[PISO]]=N$2,100%,AVANCE[[#This Row],[PISO]])</f>
        <v>0</v>
      </c>
      <c r="BI165" s="3">
        <f>+IF(AVANCE[[#This Row],[TABIQUES]]=O$2,100%,AVANCE[[#This Row],[TABIQUES]])</f>
        <v>0</v>
      </c>
      <c r="BJ165" s="3">
        <f>+IF(AVANCE[[#This Row],[MUROS]]=P$2,100%,AVANCE[[#This Row],[MUROS]])</f>
        <v>0</v>
      </c>
      <c r="BK165" s="3">
        <f>+IF(AVANCE[[#This Row],[CIELO]]=Q$2,100%,AVANCE[[#This Row],[CIELO]])</f>
        <v>0</v>
      </c>
      <c r="BL165" s="3">
        <f>+IF(AVANCE[[#This Row],[BALCÓN]]=R$2,100%,AVANCE[[#This Row],[BALCÓN]])</f>
        <v>0</v>
      </c>
      <c r="BM165" s="3">
        <f>+IF(AVANCE[[#This Row],[RED ALCANTARILLADO]]=U$2,100%,AVANCE[[#This Row],[RED ALCANTARILLADO]])</f>
        <v>0</v>
      </c>
      <c r="BN165" s="3">
        <f>+IF(AVANCE[[#This Row],[RED DE AGUA]]=V$2,100%,AVANCE[[#This Row],[RED DE AGUA]])</f>
        <v>0</v>
      </c>
      <c r="BO165" s="3">
        <f>+IF(AVANCE[[#This Row],[VENTILACIONES]]=W$2,100%,AVANCE[[#This Row],[VENTILACIONES]])</f>
        <v>0</v>
      </c>
      <c r="BP165" s="3">
        <f>+IF(AVANCE[[#This Row],[TINA]]=X$2,100%,AVANCE[[#This Row],[TINA]])</f>
        <v>0</v>
      </c>
      <c r="BQ165" s="3">
        <f>+IF(AVANCE[[#This Row],[WC]]=Y$2,100%,AVANCE[[#This Row],[WC]])</f>
        <v>0</v>
      </c>
      <c r="BR165" s="3">
        <f>+IF(AVANCE[[#This Row],[LAVAMANOS / LAVAPLATOS / LAVADERO]]=Z$2,100%,AVANCE[[#This Row],[LAVAMANOS / LAVAPLATOS / LAVADERO]])</f>
        <v>0</v>
      </c>
      <c r="BS165" s="3">
        <f>+IF(AVANCE[[#This Row],[CANALIZACIÓN]]=AC$2,100%,AVANCE[[#This Row],[CANALIZACIÓN]])</f>
        <v>0</v>
      </c>
      <c r="BT165" s="3">
        <f>+IF(AVANCE[[#This Row],[CABLEADO]]=AD$2,100%,AVANCE[[#This Row],[CABLEADO]])</f>
        <v>0</v>
      </c>
      <c r="BU165" s="3">
        <f>+IF(AVANCE[[#This Row],[ARTEFACTOS]]=AE$2,100%,AVANCE[[#This Row],[ARTEFACTOS]])</f>
        <v>0</v>
      </c>
      <c r="BV165" s="3">
        <f>+IF(AVANCE[[#This Row],[TABLERO]]=AF$2,100%,AVANCE[[#This Row],[TABLERO]])</f>
        <v>0</v>
      </c>
      <c r="BW165" s="3">
        <f>+IF(AVANCE[[#This Row],[CAJA PAU]]=AG$2,100%,AVANCE[[#This Row],[CAJA PAU]])</f>
        <v>0</v>
      </c>
      <c r="BX165" s="3">
        <f>+IF(AVANCE[[#This Row],[INSTALACION VINILICO]]=AJ$2,100%,AVANCE[[#This Row],[INSTALACION VINILICO]])</f>
        <v>0</v>
      </c>
      <c r="BY165" s="3">
        <f>+IF(AVANCE[[#This Row],[OSB CUBIERTA]]=AK$2,100%,AVANCE[[#This Row],[OSB CUBIERTA]])</f>
        <v>0</v>
      </c>
      <c r="BZ165" s="3">
        <f>+IF(AVANCE[[#This Row],[BARANDA BALCON]]=AL$2,100%,AVANCE[[#This Row],[BARANDA BALCON]])</f>
        <v>0</v>
      </c>
      <c r="CA165" s="3">
        <f>+IF(AVANCE[[#This Row],[OSB EXTERIOR]]=AM$2,100%,AVANCE[[#This Row],[OSB EXTERIOR]])</f>
        <v>0</v>
      </c>
      <c r="CB165" s="3">
        <f>+IF(AVANCE[[#This Row],[SMART PANEL]]=AN$2,100%,AVANCE[[#This Row],[SMART PANEL]])</f>
        <v>0</v>
      </c>
      <c r="CC165" s="3">
        <f>+IF(AVANCE[[#This Row],[PINTURA EXTERIOR]]=AO$2,100%,AVANCE[[#This Row],[PINTURA EXTERIOR]])</f>
        <v>0</v>
      </c>
      <c r="CD165" s="3">
        <f>+IF(AVANCE[[#This Row],[ZOCALOS LOGIA]]=AP$2,100%,AVANCE[[#This Row],[ZOCALOS LOGIA]])</f>
        <v>0</v>
      </c>
      <c r="CE165" s="3">
        <f>+IF(AVANCE[[#This Row],[MOLDURAS]]=AQ$2,100%,AVANCE[[#This Row],[MOLDURAS]])</f>
        <v>0</v>
      </c>
      <c r="CF165" s="3">
        <f>+IF(AVANCE[[#This Row],[PILASTREO]]=AR$2,100%,AVANCE[[#This Row],[PILASTREO]])</f>
        <v>0</v>
      </c>
      <c r="CG165" s="3">
        <f>+IF(AVANCE[[#This Row],[CELOSIAS]]=AS$2,100%,AVANCE[[#This Row],[CELOSIAS]])</f>
        <v>0</v>
      </c>
      <c r="CH165" s="3">
        <f>+IF(AVANCE[[#This Row],[VENTANAS]]=AT$2,100%,AVANCE[[#This Row],[VENTANAS]])</f>
        <v>0</v>
      </c>
      <c r="CI165" s="3">
        <f>+IF(AVANCE[[#This Row],[PUERTAS ACCESO - LOGIA - BANO]]=AU$2,100%,AVANCE[[#This Row],[PUERTAS ACCESO - LOGIA - BANO]])</f>
        <v>0</v>
      </c>
      <c r="CJ165" s="3">
        <f>+IF(AVANCE[[#This Row],[CERRADURAS]]=AV$2,100%,AVANCE[[#This Row],[CERRADURAS]])</f>
        <v>0</v>
      </c>
      <c r="CK165" s="3">
        <f>+IF(AVANCE[[#This Row],[REVESTIMIENTO INTERIOR ZONA SECA]]=AW$2,100%,AVANCE[[#This Row],[REVESTIMIENTO INTERIOR ZONA SECA]])</f>
        <v>0</v>
      </c>
      <c r="CL165" s="3">
        <f>+IF(AVANCE[[#This Row],[REVESTIMIENTO INTERIOR ZONAS HUMEDAS]]=AX$2,100%,AVANCE[[#This Row],[REVESTIMIENTO INTERIOR ZONAS HUMEDAS]])</f>
        <v>0</v>
      </c>
      <c r="CM165" s="3">
        <f>+IF(AVANCE[[#This Row],[MEMBRANA CIELO]]=AY$2,100%,AVANCE[[#This Row],[MEMBRANA CIELO]])</f>
        <v>0</v>
      </c>
      <c r="CN165" s="3">
        <f>+IF(AVANCE[[#This Row],[LIMPIEZA FINAL]]=AZ$2,100%,AVANCE[[#This Row],[LIMPIEZA FINAL]])</f>
        <v>0</v>
      </c>
      <c r="CO165" s="3">
        <f>+IF(AVANCE[[#This Row],[PUERTAS DORMITORIO]]=BA$2,100%,AVANCE[[#This Row],[PUERTAS DORMITORIO]])</f>
        <v>0</v>
      </c>
      <c r="CP165" s="3">
        <f>+IF(AVANCE[[#This Row],[REVESTIMIENTO INTERIOR BANO]]=BB$2,100%,AVANCE[[#This Row],[REVESTIMIENTO INTERIOR BANO]])</f>
        <v>0</v>
      </c>
      <c r="CQ165" s="3">
        <f>+IF(AVANCE[[#This Row],[MUEBLE LAVAPLATOS]]=BC$2,100%,AVANCE[[#This Row],[MUEBLE LAVAPLATOS]])</f>
        <v>0</v>
      </c>
      <c r="CR165" s="3">
        <f>+IF(AVANCE[[#This Row],[IMPERMEABILIZACION BANO - COCINA LOGIA]]=BD$2,100%,AVANCE[[#This Row],[IMPERMEABILIZACION BANO - COCINA LOGIA]])</f>
        <v>0</v>
      </c>
      <c r="CS165" s="40">
        <f ca="1">+IF(AVANCE[[#This Row],[ESTADO MODULO]]="PENDIENTE",(TODAY()-AVANCE[[#This Row],[FECHA TERMINO  PLANIFICADO]]),0)</f>
        <v>0</v>
      </c>
      <c r="CT165" s="41" t="str" cm="1">
        <f t="array" ref="CT165">_xlfn.TEXTJOIN(" | ",TRUE,IF(SUMPRODUCT((BG165:CR165&lt;1)*(PARTIDAS!$I$2:$AT$2="OBRA GRUESA"))&gt;0,"OBRA GRUESA: "&amp;_xlfn.TEXTJOIN(", ",TRUE,IF((BG165:CR165&lt;1)*(PARTIDAS!$I$2:$AT$2="OBRA GRUESA"),PARTIDAS!$I$1:$AT$1,"")),""),IF(SUMPRODUCT((BG165:CR165&lt;1)*(PARTIDAS!$I$2:$AT$2="SANITARIOS"))&gt;0,"SANITARIOS: "&amp;_xlfn.TEXTJOIN(", ",TRUE,IF((BG165:CR165&lt;1)*(PARTIDAS!$I$2:$AT$2="SANITARIOS"),PARTIDAS!$I$1:$AT$1,"")),""),IF(SUMPRODUCT((BG165:CR165&lt;1)*(PARTIDAS!$I$2:$AT$2="ELÉCTRICO"))&gt;0,"ELÉCTRICO: "&amp;_xlfn.TEXTJOIN(", ",TRUE,IF((BG165:CR165&lt;1)*(PARTIDAS!$I$2:$AT$2="ELÉCTRICO"),PARTIDAS!$I$1:$AT$1,"")),""),IF(SUMPRODUCT((BG165:CR165&lt;1)*(PARTIDAS!$I$2:$AT$2="TERMINACIONES"))&gt;0,"TERMINACIONES: "&amp;_xlfn.TEXTJOIN(", ",TRUE,IF((BG165:CR165&lt;1)*(PARTIDAS!$I$2:$AT$2="TERMINACIONES"),PARTIDAS!$I$1:$AT$1,"")),""))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5" s="43" t="str" cm="1">
        <f t="array" ref="CU165">_xlfn.TEXTJOIN(", ",TRUE,IF(SUMPRODUCT((BG165:CR165&lt;1)*(PARTIDAS!$I$2:$AT$2="OBRA GRUESA"))&gt;0,"OBRA GRUESA",""),IF(SUMPRODUCT((BG165:CR165&lt;1)*(PARTIDAS!$I$2:$AT$2="SANITARIOS"))&gt;0,"SANITARIOS",""),IF(SUMPRODUCT((BG165:CR165&lt;1)*(PARTIDAS!$I$2:$AT$2="ELÉCTRICO"))&gt;0,"ELÉCTRICO",""),IF(SUMPRODUCT((BG165:CR165&lt;1)*(PARTIDAS!$I$2:$AT$2="TERMINACIONES"))&gt;0,"TERMINACIONES",""))</f>
        <v>OBRA GRUESA, SANITARIOS, ELÉCTRICO, TERMINACIONES</v>
      </c>
      <c r="CV165" s="44" cm="1">
        <f t="array" ref="CV165">SUMPRODUCT(--(BG165:CR165&lt;1))</f>
        <v>38</v>
      </c>
    </row>
    <row r="166" spans="1:100" hidden="1" x14ac:dyDescent="0.25">
      <c r="A166" t="s">
        <v>223</v>
      </c>
      <c r="B166" t="s">
        <v>228</v>
      </c>
      <c r="C166">
        <v>2282600165</v>
      </c>
      <c r="D166" t="s">
        <v>58</v>
      </c>
      <c r="E166" s="2">
        <v>0</v>
      </c>
      <c r="F166" s="1">
        <v>46217</v>
      </c>
      <c r="G166" s="1"/>
      <c r="H166" s="1">
        <v>0</v>
      </c>
      <c r="I166" s="1">
        <v>46237</v>
      </c>
      <c r="J166">
        <v>46230</v>
      </c>
      <c r="K166" s="1"/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>
        <v>28.87</v>
      </c>
      <c r="BF166" s="3" t="str">
        <f>+IF(AVANCE[[#This Row],[% AVANCE]]=100%,"MODULO TERMINADO",IF(AVANCE[[#This Row],[FECHA INICIO REAL]]="","MODULO NO INICIADO","PENDIENTE"))</f>
        <v>MODULO NO INICIADO</v>
      </c>
      <c r="BG166" s="3">
        <f>+IF(AVANCE[[#This Row],[VENTANAS]]=8.10810810810811%,100%,AVANCE[[#This Row],[VENTANAS]])</f>
        <v>0</v>
      </c>
      <c r="BH166" s="3">
        <f>+IF(AVANCE[[#This Row],[PISO]]=N$2,100%,AVANCE[[#This Row],[PISO]])</f>
        <v>0</v>
      </c>
      <c r="BI166" s="3">
        <f>+IF(AVANCE[[#This Row],[TABIQUES]]=O$2,100%,AVANCE[[#This Row],[TABIQUES]])</f>
        <v>0</v>
      </c>
      <c r="BJ166" s="3">
        <f>+IF(AVANCE[[#This Row],[MUROS]]=P$2,100%,AVANCE[[#This Row],[MUROS]])</f>
        <v>0</v>
      </c>
      <c r="BK166" s="3">
        <f>+IF(AVANCE[[#This Row],[CIELO]]=Q$2,100%,AVANCE[[#This Row],[CIELO]])</f>
        <v>0</v>
      </c>
      <c r="BL166" s="3">
        <f>+IF(AVANCE[[#This Row],[BALCÓN]]=R$2,100%,AVANCE[[#This Row],[BALCÓN]])</f>
        <v>0</v>
      </c>
      <c r="BM166" s="3">
        <f>+IF(AVANCE[[#This Row],[RED ALCANTARILLADO]]=U$2,100%,AVANCE[[#This Row],[RED ALCANTARILLADO]])</f>
        <v>0</v>
      </c>
      <c r="BN166" s="3">
        <f>+IF(AVANCE[[#This Row],[RED DE AGUA]]=V$2,100%,AVANCE[[#This Row],[RED DE AGUA]])</f>
        <v>0</v>
      </c>
      <c r="BO166" s="3">
        <f>+IF(AVANCE[[#This Row],[VENTILACIONES]]=W$2,100%,AVANCE[[#This Row],[VENTILACIONES]])</f>
        <v>0</v>
      </c>
      <c r="BP166" s="3">
        <f>+IF(AVANCE[[#This Row],[TINA]]=X$2,100%,AVANCE[[#This Row],[TINA]])</f>
        <v>0</v>
      </c>
      <c r="BQ166" s="3">
        <f>+IF(AVANCE[[#This Row],[WC]]=Y$2,100%,AVANCE[[#This Row],[WC]])</f>
        <v>0</v>
      </c>
      <c r="BR166" s="3">
        <f>+IF(AVANCE[[#This Row],[LAVAMANOS / LAVAPLATOS / LAVADERO]]=Z$2,100%,AVANCE[[#This Row],[LAVAMANOS / LAVAPLATOS / LAVADERO]])</f>
        <v>0</v>
      </c>
      <c r="BS166" s="3">
        <f>+IF(AVANCE[[#This Row],[CANALIZACIÓN]]=AC$2,100%,AVANCE[[#This Row],[CANALIZACIÓN]])</f>
        <v>0</v>
      </c>
      <c r="BT166" s="3">
        <f>+IF(AVANCE[[#This Row],[CABLEADO]]=AD$2,100%,AVANCE[[#This Row],[CABLEADO]])</f>
        <v>0</v>
      </c>
      <c r="BU166" s="3">
        <f>+IF(AVANCE[[#This Row],[ARTEFACTOS]]=AE$2,100%,AVANCE[[#This Row],[ARTEFACTOS]])</f>
        <v>0</v>
      </c>
      <c r="BV166" s="3">
        <f>+IF(AVANCE[[#This Row],[TABLERO]]=AF$2,100%,AVANCE[[#This Row],[TABLERO]])</f>
        <v>0</v>
      </c>
      <c r="BW166" s="3">
        <f>+IF(AVANCE[[#This Row],[CAJA PAU]]=AG$2,100%,AVANCE[[#This Row],[CAJA PAU]])</f>
        <v>0</v>
      </c>
      <c r="BX166" s="3">
        <f>+IF(AVANCE[[#This Row],[INSTALACION VINILICO]]=AJ$2,100%,AVANCE[[#This Row],[INSTALACION VINILICO]])</f>
        <v>0</v>
      </c>
      <c r="BY166" s="3">
        <f>+IF(AVANCE[[#This Row],[OSB CUBIERTA]]=AK$2,100%,AVANCE[[#This Row],[OSB CUBIERTA]])</f>
        <v>0</v>
      </c>
      <c r="BZ166" s="3">
        <f>+IF(AVANCE[[#This Row],[BARANDA BALCON]]=AL$2,100%,AVANCE[[#This Row],[BARANDA BALCON]])</f>
        <v>0</v>
      </c>
      <c r="CA166" s="3">
        <f>+IF(AVANCE[[#This Row],[OSB EXTERIOR]]=AM$2,100%,AVANCE[[#This Row],[OSB EXTERIOR]])</f>
        <v>0</v>
      </c>
      <c r="CB166" s="3">
        <f>+IF(AVANCE[[#This Row],[SMART PANEL]]=AN$2,100%,AVANCE[[#This Row],[SMART PANEL]])</f>
        <v>0</v>
      </c>
      <c r="CC166" s="3">
        <f>+IF(AVANCE[[#This Row],[PINTURA EXTERIOR]]=AO$2,100%,AVANCE[[#This Row],[PINTURA EXTERIOR]])</f>
        <v>0</v>
      </c>
      <c r="CD166" s="3">
        <f>+IF(AVANCE[[#This Row],[ZOCALOS LOGIA]]=AP$2,100%,AVANCE[[#This Row],[ZOCALOS LOGIA]])</f>
        <v>0</v>
      </c>
      <c r="CE166" s="3">
        <f>+IF(AVANCE[[#This Row],[MOLDURAS]]=AQ$2,100%,AVANCE[[#This Row],[MOLDURAS]])</f>
        <v>0</v>
      </c>
      <c r="CF166" s="3">
        <f>+IF(AVANCE[[#This Row],[PILASTREO]]=AR$2,100%,AVANCE[[#This Row],[PILASTREO]])</f>
        <v>0</v>
      </c>
      <c r="CG166" s="3">
        <f>+IF(AVANCE[[#This Row],[CELOSIAS]]=AS$2,100%,AVANCE[[#This Row],[CELOSIAS]])</f>
        <v>0</v>
      </c>
      <c r="CH166" s="3">
        <f>+IF(AVANCE[[#This Row],[VENTANAS]]=AT$2,100%,AVANCE[[#This Row],[VENTANAS]])</f>
        <v>0</v>
      </c>
      <c r="CI166" s="3">
        <f>+IF(AVANCE[[#This Row],[PUERTAS ACCESO - LOGIA - BANO]]=AU$2,100%,AVANCE[[#This Row],[PUERTAS ACCESO - LOGIA - BANO]])</f>
        <v>0</v>
      </c>
      <c r="CJ166" s="3">
        <f>+IF(AVANCE[[#This Row],[CERRADURAS]]=AV$2,100%,AVANCE[[#This Row],[CERRADURAS]])</f>
        <v>0</v>
      </c>
      <c r="CK166" s="3">
        <f>+IF(AVANCE[[#This Row],[REVESTIMIENTO INTERIOR ZONA SECA]]=AW$2,100%,AVANCE[[#This Row],[REVESTIMIENTO INTERIOR ZONA SECA]])</f>
        <v>0</v>
      </c>
      <c r="CL166" s="3">
        <f>+IF(AVANCE[[#This Row],[REVESTIMIENTO INTERIOR ZONAS HUMEDAS]]=AX$2,100%,AVANCE[[#This Row],[REVESTIMIENTO INTERIOR ZONAS HUMEDAS]])</f>
        <v>0</v>
      </c>
      <c r="CM166" s="3">
        <f>+IF(AVANCE[[#This Row],[MEMBRANA CIELO]]=AY$2,100%,AVANCE[[#This Row],[MEMBRANA CIELO]])</f>
        <v>0</v>
      </c>
      <c r="CN166" s="3">
        <f>+IF(AVANCE[[#This Row],[LIMPIEZA FINAL]]=AZ$2,100%,AVANCE[[#This Row],[LIMPIEZA FINAL]])</f>
        <v>0</v>
      </c>
      <c r="CO166" s="3">
        <f>+IF(AVANCE[[#This Row],[PUERTAS DORMITORIO]]=BA$2,100%,AVANCE[[#This Row],[PUERTAS DORMITORIO]])</f>
        <v>0</v>
      </c>
      <c r="CP166" s="3">
        <f>+IF(AVANCE[[#This Row],[REVESTIMIENTO INTERIOR BANO]]=BB$2,100%,AVANCE[[#This Row],[REVESTIMIENTO INTERIOR BANO]])</f>
        <v>0</v>
      </c>
      <c r="CQ166" s="3">
        <f>+IF(AVANCE[[#This Row],[MUEBLE LAVAPLATOS]]=BC$2,100%,AVANCE[[#This Row],[MUEBLE LAVAPLATOS]])</f>
        <v>0</v>
      </c>
      <c r="CR166" s="3">
        <f>+IF(AVANCE[[#This Row],[IMPERMEABILIZACION BANO - COCINA LOGIA]]=BD$2,100%,AVANCE[[#This Row],[IMPERMEABILIZACION BANO - COCINA LOGIA]])</f>
        <v>0</v>
      </c>
      <c r="CS166" s="40">
        <f ca="1">+IF(AVANCE[[#This Row],[ESTADO MODULO]]="PENDIENTE",(TODAY()-AVANCE[[#This Row],[FECHA TERMINO  PLANIFICADO]]),0)</f>
        <v>0</v>
      </c>
      <c r="CT166" s="41" t="str" cm="1">
        <f t="array" ref="CT166">_xlfn.TEXTJOIN(" | ",TRUE,IF(SUMPRODUCT((BG166:CR166&lt;1)*(PARTIDAS!$I$2:$AT$2="OBRA GRUESA"))&gt;0,"OBRA GRUESA: "&amp;_xlfn.TEXTJOIN(", ",TRUE,IF((BG166:CR166&lt;1)*(PARTIDAS!$I$2:$AT$2="OBRA GRUESA"),PARTIDAS!$I$1:$AT$1,"")),""),IF(SUMPRODUCT((BG166:CR166&lt;1)*(PARTIDAS!$I$2:$AT$2="SANITARIOS"))&gt;0,"SANITARIOS: "&amp;_xlfn.TEXTJOIN(", ",TRUE,IF((BG166:CR166&lt;1)*(PARTIDAS!$I$2:$AT$2="SANITARIOS"),PARTIDAS!$I$1:$AT$1,"")),""),IF(SUMPRODUCT((BG166:CR166&lt;1)*(PARTIDAS!$I$2:$AT$2="ELÉCTRICO"))&gt;0,"ELÉCTRICO: "&amp;_xlfn.TEXTJOIN(", ",TRUE,IF((BG166:CR166&lt;1)*(PARTIDAS!$I$2:$AT$2="ELÉCTRICO"),PARTIDAS!$I$1:$AT$1,"")),""),IF(SUMPRODUCT((BG166:CR166&lt;1)*(PARTIDAS!$I$2:$AT$2="TERMINACIONES"))&gt;0,"TERMINACIONES: "&amp;_xlfn.TEXTJOIN(", ",TRUE,IF((BG166:CR166&lt;1)*(PARTIDAS!$I$2:$AT$2="TERMINACIONES"),PARTIDAS!$I$1:$AT$1,"")),""))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6" s="43" t="str" cm="1">
        <f t="array" ref="CU166">_xlfn.TEXTJOIN(", ",TRUE,IF(SUMPRODUCT((BG166:CR166&lt;1)*(PARTIDAS!$I$2:$AT$2="OBRA GRUESA"))&gt;0,"OBRA GRUESA",""),IF(SUMPRODUCT((BG166:CR166&lt;1)*(PARTIDAS!$I$2:$AT$2="SANITARIOS"))&gt;0,"SANITARIOS",""),IF(SUMPRODUCT((BG166:CR166&lt;1)*(PARTIDAS!$I$2:$AT$2="ELÉCTRICO"))&gt;0,"ELÉCTRICO",""),IF(SUMPRODUCT((BG166:CR166&lt;1)*(PARTIDAS!$I$2:$AT$2="TERMINACIONES"))&gt;0,"TERMINACIONES",""))</f>
        <v>OBRA GRUESA, SANITARIOS, ELÉCTRICO, TERMINACIONES</v>
      </c>
      <c r="CV166" s="44" cm="1">
        <f t="array" ref="CV166">SUMPRODUCT(--(BG166:CR166&lt;1))</f>
        <v>38</v>
      </c>
    </row>
    <row r="167" spans="1:100" hidden="1" x14ac:dyDescent="0.25">
      <c r="A167" t="s">
        <v>223</v>
      </c>
      <c r="B167" t="s">
        <v>229</v>
      </c>
      <c r="C167">
        <v>2302600166</v>
      </c>
      <c r="D167" t="s">
        <v>60</v>
      </c>
      <c r="E167" s="2">
        <v>0</v>
      </c>
      <c r="F167" s="1">
        <v>46218</v>
      </c>
      <c r="G167" s="1"/>
      <c r="H167" s="1">
        <v>0</v>
      </c>
      <c r="I167" s="1">
        <v>46248</v>
      </c>
      <c r="J167">
        <v>46230</v>
      </c>
      <c r="K167" s="1"/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>
        <v>31.32</v>
      </c>
      <c r="BF167" s="3" t="str">
        <f>+IF(AVANCE[[#This Row],[% AVANCE]]=100%,"MODULO TERMINADO",IF(AVANCE[[#This Row],[FECHA INICIO REAL]]="","MODULO NO INICIADO","PENDIENTE"))</f>
        <v>MODULO NO INICIADO</v>
      </c>
      <c r="BG167" s="3">
        <f>+IF(AVANCE[[#This Row],[VENTANAS]]=8.10810810810811%,100%,AVANCE[[#This Row],[VENTANAS]])</f>
        <v>0</v>
      </c>
      <c r="BH167" s="3">
        <f>+IF(AVANCE[[#This Row],[PISO]]=N$2,100%,AVANCE[[#This Row],[PISO]])</f>
        <v>0</v>
      </c>
      <c r="BI167" s="3">
        <f>+IF(AVANCE[[#This Row],[TABIQUES]]=O$2,100%,AVANCE[[#This Row],[TABIQUES]])</f>
        <v>0</v>
      </c>
      <c r="BJ167" s="3">
        <f>+IF(AVANCE[[#This Row],[MUROS]]=P$2,100%,AVANCE[[#This Row],[MUROS]])</f>
        <v>0</v>
      </c>
      <c r="BK167" s="3">
        <f>+IF(AVANCE[[#This Row],[CIELO]]=Q$2,100%,AVANCE[[#This Row],[CIELO]])</f>
        <v>0</v>
      </c>
      <c r="BL167" s="3">
        <f>+IF(AVANCE[[#This Row],[BALCÓN]]=R$2,100%,AVANCE[[#This Row],[BALCÓN]])</f>
        <v>0</v>
      </c>
      <c r="BM167" s="3">
        <f>+IF(AVANCE[[#This Row],[RED ALCANTARILLADO]]=U$2,100%,AVANCE[[#This Row],[RED ALCANTARILLADO]])</f>
        <v>0</v>
      </c>
      <c r="BN167" s="3">
        <f>+IF(AVANCE[[#This Row],[RED DE AGUA]]=V$2,100%,AVANCE[[#This Row],[RED DE AGUA]])</f>
        <v>0</v>
      </c>
      <c r="BO167" s="3">
        <f>+IF(AVANCE[[#This Row],[VENTILACIONES]]=W$2,100%,AVANCE[[#This Row],[VENTILACIONES]])</f>
        <v>0</v>
      </c>
      <c r="BP167" s="3">
        <f>+IF(AVANCE[[#This Row],[TINA]]=X$2,100%,AVANCE[[#This Row],[TINA]])</f>
        <v>0</v>
      </c>
      <c r="BQ167" s="3">
        <f>+IF(AVANCE[[#This Row],[WC]]=Y$2,100%,AVANCE[[#This Row],[WC]])</f>
        <v>0</v>
      </c>
      <c r="BR167" s="3">
        <f>+IF(AVANCE[[#This Row],[LAVAMANOS / LAVAPLATOS / LAVADERO]]=Z$2,100%,AVANCE[[#This Row],[LAVAMANOS / LAVAPLATOS / LAVADERO]])</f>
        <v>0</v>
      </c>
      <c r="BS167" s="3">
        <f>+IF(AVANCE[[#This Row],[CANALIZACIÓN]]=AC$2,100%,AVANCE[[#This Row],[CANALIZACIÓN]])</f>
        <v>0</v>
      </c>
      <c r="BT167" s="3">
        <f>+IF(AVANCE[[#This Row],[CABLEADO]]=AD$2,100%,AVANCE[[#This Row],[CABLEADO]])</f>
        <v>0</v>
      </c>
      <c r="BU167" s="3">
        <f>+IF(AVANCE[[#This Row],[ARTEFACTOS]]=AE$2,100%,AVANCE[[#This Row],[ARTEFACTOS]])</f>
        <v>0</v>
      </c>
      <c r="BV167" s="3">
        <f>+IF(AVANCE[[#This Row],[TABLERO]]=AF$2,100%,AVANCE[[#This Row],[TABLERO]])</f>
        <v>0</v>
      </c>
      <c r="BW167" s="3">
        <f>+IF(AVANCE[[#This Row],[CAJA PAU]]=AG$2,100%,AVANCE[[#This Row],[CAJA PAU]])</f>
        <v>0</v>
      </c>
      <c r="BX167" s="3">
        <f>+IF(AVANCE[[#This Row],[INSTALACION VINILICO]]=AJ$2,100%,AVANCE[[#This Row],[INSTALACION VINILICO]])</f>
        <v>0</v>
      </c>
      <c r="BY167" s="3">
        <f>+IF(AVANCE[[#This Row],[OSB CUBIERTA]]=AK$2,100%,AVANCE[[#This Row],[OSB CUBIERTA]])</f>
        <v>0</v>
      </c>
      <c r="BZ167" s="3">
        <f>+IF(AVANCE[[#This Row],[BARANDA BALCON]]=AL$2,100%,AVANCE[[#This Row],[BARANDA BALCON]])</f>
        <v>0</v>
      </c>
      <c r="CA167" s="3">
        <f>+IF(AVANCE[[#This Row],[OSB EXTERIOR]]=AM$2,100%,AVANCE[[#This Row],[OSB EXTERIOR]])</f>
        <v>0</v>
      </c>
      <c r="CB167" s="3">
        <f>+IF(AVANCE[[#This Row],[SMART PANEL]]=AN$2,100%,AVANCE[[#This Row],[SMART PANEL]])</f>
        <v>0</v>
      </c>
      <c r="CC167" s="3">
        <f>+IF(AVANCE[[#This Row],[PINTURA EXTERIOR]]=AO$2,100%,AVANCE[[#This Row],[PINTURA EXTERIOR]])</f>
        <v>0</v>
      </c>
      <c r="CD167" s="3">
        <f>+IF(AVANCE[[#This Row],[ZOCALOS LOGIA]]=AP$2,100%,AVANCE[[#This Row],[ZOCALOS LOGIA]])</f>
        <v>0</v>
      </c>
      <c r="CE167" s="3">
        <f>+IF(AVANCE[[#This Row],[MOLDURAS]]=AQ$2,100%,AVANCE[[#This Row],[MOLDURAS]])</f>
        <v>0</v>
      </c>
      <c r="CF167" s="3">
        <f>+IF(AVANCE[[#This Row],[PILASTREO]]=AR$2,100%,AVANCE[[#This Row],[PILASTREO]])</f>
        <v>0</v>
      </c>
      <c r="CG167" s="3">
        <f>+IF(AVANCE[[#This Row],[CELOSIAS]]=AS$2,100%,AVANCE[[#This Row],[CELOSIAS]])</f>
        <v>0</v>
      </c>
      <c r="CH167" s="3">
        <f>+IF(AVANCE[[#This Row],[VENTANAS]]=AT$2,100%,AVANCE[[#This Row],[VENTANAS]])</f>
        <v>0</v>
      </c>
      <c r="CI167" s="3">
        <f>+IF(AVANCE[[#This Row],[PUERTAS ACCESO - LOGIA - BANO]]=AU$2,100%,AVANCE[[#This Row],[PUERTAS ACCESO - LOGIA - BANO]])</f>
        <v>0</v>
      </c>
      <c r="CJ167" s="3">
        <f>+IF(AVANCE[[#This Row],[CERRADURAS]]=AV$2,100%,AVANCE[[#This Row],[CERRADURAS]])</f>
        <v>0</v>
      </c>
      <c r="CK167" s="3">
        <f>+IF(AVANCE[[#This Row],[REVESTIMIENTO INTERIOR ZONA SECA]]=AW$2,100%,AVANCE[[#This Row],[REVESTIMIENTO INTERIOR ZONA SECA]])</f>
        <v>0</v>
      </c>
      <c r="CL167" s="3">
        <f>+IF(AVANCE[[#This Row],[REVESTIMIENTO INTERIOR ZONAS HUMEDAS]]=AX$2,100%,AVANCE[[#This Row],[REVESTIMIENTO INTERIOR ZONAS HUMEDAS]])</f>
        <v>0</v>
      </c>
      <c r="CM167" s="3">
        <f>+IF(AVANCE[[#This Row],[MEMBRANA CIELO]]=AY$2,100%,AVANCE[[#This Row],[MEMBRANA CIELO]])</f>
        <v>0</v>
      </c>
      <c r="CN167" s="3">
        <f>+IF(AVANCE[[#This Row],[LIMPIEZA FINAL]]=AZ$2,100%,AVANCE[[#This Row],[LIMPIEZA FINAL]])</f>
        <v>0</v>
      </c>
      <c r="CO167" s="3">
        <f>+IF(AVANCE[[#This Row],[PUERTAS DORMITORIO]]=BA$2,100%,AVANCE[[#This Row],[PUERTAS DORMITORIO]])</f>
        <v>0</v>
      </c>
      <c r="CP167" s="3">
        <f>+IF(AVANCE[[#This Row],[REVESTIMIENTO INTERIOR BANO]]=BB$2,100%,AVANCE[[#This Row],[REVESTIMIENTO INTERIOR BANO]])</f>
        <v>0</v>
      </c>
      <c r="CQ167" s="3">
        <f>+IF(AVANCE[[#This Row],[MUEBLE LAVAPLATOS]]=BC$2,100%,AVANCE[[#This Row],[MUEBLE LAVAPLATOS]])</f>
        <v>0</v>
      </c>
      <c r="CR167" s="3">
        <f>+IF(AVANCE[[#This Row],[IMPERMEABILIZACION BANO - COCINA LOGIA]]=BD$2,100%,AVANCE[[#This Row],[IMPERMEABILIZACION BANO - COCINA LOGIA]])</f>
        <v>0</v>
      </c>
      <c r="CS167" s="40">
        <f ca="1">+IF(AVANCE[[#This Row],[ESTADO MODULO]]="PENDIENTE",(TODAY()-AVANCE[[#This Row],[FECHA TERMINO  PLANIFICADO]]),0)</f>
        <v>0</v>
      </c>
      <c r="CT167" s="41" t="str" cm="1">
        <f t="array" ref="CT167">_xlfn.TEXTJOIN(" | ",TRUE,IF(SUMPRODUCT((BG167:CR167&lt;1)*(PARTIDAS!$I$2:$AT$2="OBRA GRUESA"))&gt;0,"OBRA GRUESA: "&amp;_xlfn.TEXTJOIN(", ",TRUE,IF((BG167:CR167&lt;1)*(PARTIDAS!$I$2:$AT$2="OBRA GRUESA"),PARTIDAS!$I$1:$AT$1,"")),""),IF(SUMPRODUCT((BG167:CR167&lt;1)*(PARTIDAS!$I$2:$AT$2="SANITARIOS"))&gt;0,"SANITARIOS: "&amp;_xlfn.TEXTJOIN(", ",TRUE,IF((BG167:CR167&lt;1)*(PARTIDAS!$I$2:$AT$2="SANITARIOS"),PARTIDAS!$I$1:$AT$1,"")),""),IF(SUMPRODUCT((BG167:CR167&lt;1)*(PARTIDAS!$I$2:$AT$2="ELÉCTRICO"))&gt;0,"ELÉCTRICO: "&amp;_xlfn.TEXTJOIN(", ",TRUE,IF((BG167:CR167&lt;1)*(PARTIDAS!$I$2:$AT$2="ELÉCTRICO"),PARTIDAS!$I$1:$AT$1,"")),""),IF(SUMPRODUCT((BG167:CR167&lt;1)*(PARTIDAS!$I$2:$AT$2="TERMINACIONES"))&gt;0,"TERMINACIONES: "&amp;_xlfn.TEXTJOIN(", ",TRUE,IF((BG167:CR167&lt;1)*(PARTIDAS!$I$2:$AT$2="TERMINACIONES"),PARTIDAS!$I$1:$AT$1,"")),""))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7" s="43" t="str" cm="1">
        <f t="array" ref="CU167">_xlfn.TEXTJOIN(", ",TRUE,IF(SUMPRODUCT((BG167:CR167&lt;1)*(PARTIDAS!$I$2:$AT$2="OBRA GRUESA"))&gt;0,"OBRA GRUESA",""),IF(SUMPRODUCT((BG167:CR167&lt;1)*(PARTIDAS!$I$2:$AT$2="SANITARIOS"))&gt;0,"SANITARIOS",""),IF(SUMPRODUCT((BG167:CR167&lt;1)*(PARTIDAS!$I$2:$AT$2="ELÉCTRICO"))&gt;0,"ELÉCTRICO",""),IF(SUMPRODUCT((BG167:CR167&lt;1)*(PARTIDAS!$I$2:$AT$2="TERMINACIONES"))&gt;0,"TERMINACIONES",""))</f>
        <v>OBRA GRUESA, SANITARIOS, ELÉCTRICO, TERMINACIONES</v>
      </c>
      <c r="CV167" s="44" cm="1">
        <f t="array" ref="CV167">SUMPRODUCT(--(BG167:CR167&lt;1))</f>
        <v>38</v>
      </c>
    </row>
    <row r="168" spans="1:100" hidden="1" x14ac:dyDescent="0.25">
      <c r="A168" t="s">
        <v>223</v>
      </c>
      <c r="B168" t="s">
        <v>230</v>
      </c>
      <c r="C168">
        <v>2302600167</v>
      </c>
      <c r="D168" t="s">
        <v>60</v>
      </c>
      <c r="E168" s="2">
        <v>0</v>
      </c>
      <c r="F168" s="1">
        <v>46218</v>
      </c>
      <c r="G168" s="1"/>
      <c r="H168" s="1">
        <v>0</v>
      </c>
      <c r="I168" s="1">
        <v>46248</v>
      </c>
      <c r="J168">
        <v>46230</v>
      </c>
      <c r="K168" s="1"/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>
        <v>31.32</v>
      </c>
      <c r="BF168" s="3" t="str">
        <f>+IF(AVANCE[[#This Row],[% AVANCE]]=100%,"MODULO TERMINADO",IF(AVANCE[[#This Row],[FECHA INICIO REAL]]="","MODULO NO INICIADO","PENDIENTE"))</f>
        <v>MODULO NO INICIADO</v>
      </c>
      <c r="BG168" s="3">
        <f>+IF(AVANCE[[#This Row],[VENTANAS]]=8.10810810810811%,100%,AVANCE[[#This Row],[VENTANAS]])</f>
        <v>0</v>
      </c>
      <c r="BH168" s="3">
        <f>+IF(AVANCE[[#This Row],[PISO]]=N$2,100%,AVANCE[[#This Row],[PISO]])</f>
        <v>0</v>
      </c>
      <c r="BI168" s="3">
        <f>+IF(AVANCE[[#This Row],[TABIQUES]]=O$2,100%,AVANCE[[#This Row],[TABIQUES]])</f>
        <v>0</v>
      </c>
      <c r="BJ168" s="3">
        <f>+IF(AVANCE[[#This Row],[MUROS]]=P$2,100%,AVANCE[[#This Row],[MUROS]])</f>
        <v>0</v>
      </c>
      <c r="BK168" s="3">
        <f>+IF(AVANCE[[#This Row],[CIELO]]=Q$2,100%,AVANCE[[#This Row],[CIELO]])</f>
        <v>0</v>
      </c>
      <c r="BL168" s="3">
        <f>+IF(AVANCE[[#This Row],[BALCÓN]]=R$2,100%,AVANCE[[#This Row],[BALCÓN]])</f>
        <v>0</v>
      </c>
      <c r="BM168" s="3">
        <f>+IF(AVANCE[[#This Row],[RED ALCANTARILLADO]]=U$2,100%,AVANCE[[#This Row],[RED ALCANTARILLADO]])</f>
        <v>0</v>
      </c>
      <c r="BN168" s="3">
        <f>+IF(AVANCE[[#This Row],[RED DE AGUA]]=V$2,100%,AVANCE[[#This Row],[RED DE AGUA]])</f>
        <v>0</v>
      </c>
      <c r="BO168" s="3">
        <f>+IF(AVANCE[[#This Row],[VENTILACIONES]]=W$2,100%,AVANCE[[#This Row],[VENTILACIONES]])</f>
        <v>0</v>
      </c>
      <c r="BP168" s="3">
        <f>+IF(AVANCE[[#This Row],[TINA]]=X$2,100%,AVANCE[[#This Row],[TINA]])</f>
        <v>0</v>
      </c>
      <c r="BQ168" s="3">
        <f>+IF(AVANCE[[#This Row],[WC]]=Y$2,100%,AVANCE[[#This Row],[WC]])</f>
        <v>0</v>
      </c>
      <c r="BR168" s="3">
        <f>+IF(AVANCE[[#This Row],[LAVAMANOS / LAVAPLATOS / LAVADERO]]=Z$2,100%,AVANCE[[#This Row],[LAVAMANOS / LAVAPLATOS / LAVADERO]])</f>
        <v>0</v>
      </c>
      <c r="BS168" s="3">
        <f>+IF(AVANCE[[#This Row],[CANALIZACIÓN]]=AC$2,100%,AVANCE[[#This Row],[CANALIZACIÓN]])</f>
        <v>0</v>
      </c>
      <c r="BT168" s="3">
        <f>+IF(AVANCE[[#This Row],[CABLEADO]]=AD$2,100%,AVANCE[[#This Row],[CABLEADO]])</f>
        <v>0</v>
      </c>
      <c r="BU168" s="3">
        <f>+IF(AVANCE[[#This Row],[ARTEFACTOS]]=AE$2,100%,AVANCE[[#This Row],[ARTEFACTOS]])</f>
        <v>0</v>
      </c>
      <c r="BV168" s="3">
        <f>+IF(AVANCE[[#This Row],[TABLERO]]=AF$2,100%,AVANCE[[#This Row],[TABLERO]])</f>
        <v>0</v>
      </c>
      <c r="BW168" s="3">
        <f>+IF(AVANCE[[#This Row],[CAJA PAU]]=AG$2,100%,AVANCE[[#This Row],[CAJA PAU]])</f>
        <v>0</v>
      </c>
      <c r="BX168" s="3">
        <f>+IF(AVANCE[[#This Row],[INSTALACION VINILICO]]=AJ$2,100%,AVANCE[[#This Row],[INSTALACION VINILICO]])</f>
        <v>0</v>
      </c>
      <c r="BY168" s="3">
        <f>+IF(AVANCE[[#This Row],[OSB CUBIERTA]]=AK$2,100%,AVANCE[[#This Row],[OSB CUBIERTA]])</f>
        <v>0</v>
      </c>
      <c r="BZ168" s="3">
        <f>+IF(AVANCE[[#This Row],[BARANDA BALCON]]=AL$2,100%,AVANCE[[#This Row],[BARANDA BALCON]])</f>
        <v>0</v>
      </c>
      <c r="CA168" s="3">
        <f>+IF(AVANCE[[#This Row],[OSB EXTERIOR]]=AM$2,100%,AVANCE[[#This Row],[OSB EXTERIOR]])</f>
        <v>0</v>
      </c>
      <c r="CB168" s="3">
        <f>+IF(AVANCE[[#This Row],[SMART PANEL]]=AN$2,100%,AVANCE[[#This Row],[SMART PANEL]])</f>
        <v>0</v>
      </c>
      <c r="CC168" s="3">
        <f>+IF(AVANCE[[#This Row],[PINTURA EXTERIOR]]=AO$2,100%,AVANCE[[#This Row],[PINTURA EXTERIOR]])</f>
        <v>0</v>
      </c>
      <c r="CD168" s="3">
        <f>+IF(AVANCE[[#This Row],[ZOCALOS LOGIA]]=AP$2,100%,AVANCE[[#This Row],[ZOCALOS LOGIA]])</f>
        <v>0</v>
      </c>
      <c r="CE168" s="3">
        <f>+IF(AVANCE[[#This Row],[MOLDURAS]]=AQ$2,100%,AVANCE[[#This Row],[MOLDURAS]])</f>
        <v>0</v>
      </c>
      <c r="CF168" s="3">
        <f>+IF(AVANCE[[#This Row],[PILASTREO]]=AR$2,100%,AVANCE[[#This Row],[PILASTREO]])</f>
        <v>0</v>
      </c>
      <c r="CG168" s="3">
        <f>+IF(AVANCE[[#This Row],[CELOSIAS]]=AS$2,100%,AVANCE[[#This Row],[CELOSIAS]])</f>
        <v>0</v>
      </c>
      <c r="CH168" s="3">
        <f>+IF(AVANCE[[#This Row],[VENTANAS]]=AT$2,100%,AVANCE[[#This Row],[VENTANAS]])</f>
        <v>0</v>
      </c>
      <c r="CI168" s="3">
        <f>+IF(AVANCE[[#This Row],[PUERTAS ACCESO - LOGIA - BANO]]=AU$2,100%,AVANCE[[#This Row],[PUERTAS ACCESO - LOGIA - BANO]])</f>
        <v>0</v>
      </c>
      <c r="CJ168" s="3">
        <f>+IF(AVANCE[[#This Row],[CERRADURAS]]=AV$2,100%,AVANCE[[#This Row],[CERRADURAS]])</f>
        <v>0</v>
      </c>
      <c r="CK168" s="3">
        <f>+IF(AVANCE[[#This Row],[REVESTIMIENTO INTERIOR ZONA SECA]]=AW$2,100%,AVANCE[[#This Row],[REVESTIMIENTO INTERIOR ZONA SECA]])</f>
        <v>0</v>
      </c>
      <c r="CL168" s="3">
        <f>+IF(AVANCE[[#This Row],[REVESTIMIENTO INTERIOR ZONAS HUMEDAS]]=AX$2,100%,AVANCE[[#This Row],[REVESTIMIENTO INTERIOR ZONAS HUMEDAS]])</f>
        <v>0</v>
      </c>
      <c r="CM168" s="3">
        <f>+IF(AVANCE[[#This Row],[MEMBRANA CIELO]]=AY$2,100%,AVANCE[[#This Row],[MEMBRANA CIELO]])</f>
        <v>0</v>
      </c>
      <c r="CN168" s="3">
        <f>+IF(AVANCE[[#This Row],[LIMPIEZA FINAL]]=AZ$2,100%,AVANCE[[#This Row],[LIMPIEZA FINAL]])</f>
        <v>0</v>
      </c>
      <c r="CO168" s="3">
        <f>+IF(AVANCE[[#This Row],[PUERTAS DORMITORIO]]=BA$2,100%,AVANCE[[#This Row],[PUERTAS DORMITORIO]])</f>
        <v>0</v>
      </c>
      <c r="CP168" s="3">
        <f>+IF(AVANCE[[#This Row],[REVESTIMIENTO INTERIOR BANO]]=BB$2,100%,AVANCE[[#This Row],[REVESTIMIENTO INTERIOR BANO]])</f>
        <v>0</v>
      </c>
      <c r="CQ168" s="3">
        <f>+IF(AVANCE[[#This Row],[MUEBLE LAVAPLATOS]]=BC$2,100%,AVANCE[[#This Row],[MUEBLE LAVAPLATOS]])</f>
        <v>0</v>
      </c>
      <c r="CR168" s="3">
        <f>+IF(AVANCE[[#This Row],[IMPERMEABILIZACION BANO - COCINA LOGIA]]=BD$2,100%,AVANCE[[#This Row],[IMPERMEABILIZACION BANO - COCINA LOGIA]])</f>
        <v>0</v>
      </c>
      <c r="CS168" s="40">
        <f ca="1">+IF(AVANCE[[#This Row],[ESTADO MODULO]]="PENDIENTE",(TODAY()-AVANCE[[#This Row],[FECHA TERMINO  PLANIFICADO]]),0)</f>
        <v>0</v>
      </c>
      <c r="CT168" s="41" t="str" cm="1">
        <f t="array" ref="CT168">_xlfn.TEXTJOIN(" | ",TRUE,IF(SUMPRODUCT((BG168:CR168&lt;1)*(PARTIDAS!$I$2:$AT$2="OBRA GRUESA"))&gt;0,"OBRA GRUESA: "&amp;_xlfn.TEXTJOIN(", ",TRUE,IF((BG168:CR168&lt;1)*(PARTIDAS!$I$2:$AT$2="OBRA GRUESA"),PARTIDAS!$I$1:$AT$1,"")),""),IF(SUMPRODUCT((BG168:CR168&lt;1)*(PARTIDAS!$I$2:$AT$2="SANITARIOS"))&gt;0,"SANITARIOS: "&amp;_xlfn.TEXTJOIN(", ",TRUE,IF((BG168:CR168&lt;1)*(PARTIDAS!$I$2:$AT$2="SANITARIOS"),PARTIDAS!$I$1:$AT$1,"")),""),IF(SUMPRODUCT((BG168:CR168&lt;1)*(PARTIDAS!$I$2:$AT$2="ELÉCTRICO"))&gt;0,"ELÉCTRICO: "&amp;_xlfn.TEXTJOIN(", ",TRUE,IF((BG168:CR168&lt;1)*(PARTIDAS!$I$2:$AT$2="ELÉCTRICO"),PARTIDAS!$I$1:$AT$1,"")),""),IF(SUMPRODUCT((BG168:CR168&lt;1)*(PARTIDAS!$I$2:$AT$2="TERMINACIONES"))&gt;0,"TERMINACIONES: "&amp;_xlfn.TEXTJOIN(", ",TRUE,IF((BG168:CR168&lt;1)*(PARTIDAS!$I$2:$AT$2="TERMINACIONES"),PARTIDAS!$I$1:$AT$1,"")),""))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8" s="43" t="str" cm="1">
        <f t="array" ref="CU168">_xlfn.TEXTJOIN(", ",TRUE,IF(SUMPRODUCT((BG168:CR168&lt;1)*(PARTIDAS!$I$2:$AT$2="OBRA GRUESA"))&gt;0,"OBRA GRUESA",""),IF(SUMPRODUCT((BG168:CR168&lt;1)*(PARTIDAS!$I$2:$AT$2="SANITARIOS"))&gt;0,"SANITARIOS",""),IF(SUMPRODUCT((BG168:CR168&lt;1)*(PARTIDAS!$I$2:$AT$2="ELÉCTRICO"))&gt;0,"ELÉCTRICO",""),IF(SUMPRODUCT((BG168:CR168&lt;1)*(PARTIDAS!$I$2:$AT$2="TERMINACIONES"))&gt;0,"TERMINACIONES",""))</f>
        <v>OBRA GRUESA, SANITARIOS, ELÉCTRICO, TERMINACIONES</v>
      </c>
      <c r="CV168" s="44" cm="1">
        <f t="array" ref="CV168">SUMPRODUCT(--(BG168:CR168&lt;1))</f>
        <v>38</v>
      </c>
    </row>
    <row r="169" spans="1:100" hidden="1" x14ac:dyDescent="0.25">
      <c r="A169" t="s">
        <v>223</v>
      </c>
      <c r="B169" t="s">
        <v>231</v>
      </c>
      <c r="C169">
        <v>2282600168</v>
      </c>
      <c r="D169" t="s">
        <v>58</v>
      </c>
      <c r="E169" s="2">
        <v>0</v>
      </c>
      <c r="F169" s="1">
        <v>46218</v>
      </c>
      <c r="G169" s="1"/>
      <c r="H169" s="1">
        <v>0</v>
      </c>
      <c r="I169" s="1">
        <v>46238</v>
      </c>
      <c r="J169">
        <v>46230</v>
      </c>
      <c r="K169" s="1"/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>
        <v>28.87</v>
      </c>
      <c r="BF169" s="3" t="str">
        <f>+IF(AVANCE[[#This Row],[% AVANCE]]=100%,"MODULO TERMINADO",IF(AVANCE[[#This Row],[FECHA INICIO REAL]]="","MODULO NO INICIADO","PENDIENTE"))</f>
        <v>MODULO NO INICIADO</v>
      </c>
      <c r="BG169" s="3">
        <f>+IF(AVANCE[[#This Row],[VENTANAS]]=8.10810810810811%,100%,AVANCE[[#This Row],[VENTANAS]])</f>
        <v>0</v>
      </c>
      <c r="BH169" s="3">
        <f>+IF(AVANCE[[#This Row],[PISO]]=N$2,100%,AVANCE[[#This Row],[PISO]])</f>
        <v>0</v>
      </c>
      <c r="BI169" s="3">
        <f>+IF(AVANCE[[#This Row],[TABIQUES]]=O$2,100%,AVANCE[[#This Row],[TABIQUES]])</f>
        <v>0</v>
      </c>
      <c r="BJ169" s="3">
        <f>+IF(AVANCE[[#This Row],[MUROS]]=P$2,100%,AVANCE[[#This Row],[MUROS]])</f>
        <v>0</v>
      </c>
      <c r="BK169" s="3">
        <f>+IF(AVANCE[[#This Row],[CIELO]]=Q$2,100%,AVANCE[[#This Row],[CIELO]])</f>
        <v>0</v>
      </c>
      <c r="BL169" s="3">
        <f>+IF(AVANCE[[#This Row],[BALCÓN]]=R$2,100%,AVANCE[[#This Row],[BALCÓN]])</f>
        <v>0</v>
      </c>
      <c r="BM169" s="3">
        <f>+IF(AVANCE[[#This Row],[RED ALCANTARILLADO]]=U$2,100%,AVANCE[[#This Row],[RED ALCANTARILLADO]])</f>
        <v>0</v>
      </c>
      <c r="BN169" s="3">
        <f>+IF(AVANCE[[#This Row],[RED DE AGUA]]=V$2,100%,AVANCE[[#This Row],[RED DE AGUA]])</f>
        <v>0</v>
      </c>
      <c r="BO169" s="3">
        <f>+IF(AVANCE[[#This Row],[VENTILACIONES]]=W$2,100%,AVANCE[[#This Row],[VENTILACIONES]])</f>
        <v>0</v>
      </c>
      <c r="BP169" s="3">
        <f>+IF(AVANCE[[#This Row],[TINA]]=X$2,100%,AVANCE[[#This Row],[TINA]])</f>
        <v>0</v>
      </c>
      <c r="BQ169" s="3">
        <f>+IF(AVANCE[[#This Row],[WC]]=Y$2,100%,AVANCE[[#This Row],[WC]])</f>
        <v>0</v>
      </c>
      <c r="BR169" s="3">
        <f>+IF(AVANCE[[#This Row],[LAVAMANOS / LAVAPLATOS / LAVADERO]]=Z$2,100%,AVANCE[[#This Row],[LAVAMANOS / LAVAPLATOS / LAVADERO]])</f>
        <v>0</v>
      </c>
      <c r="BS169" s="3">
        <f>+IF(AVANCE[[#This Row],[CANALIZACIÓN]]=AC$2,100%,AVANCE[[#This Row],[CANALIZACIÓN]])</f>
        <v>0</v>
      </c>
      <c r="BT169" s="3">
        <f>+IF(AVANCE[[#This Row],[CABLEADO]]=AD$2,100%,AVANCE[[#This Row],[CABLEADO]])</f>
        <v>0</v>
      </c>
      <c r="BU169" s="3">
        <f>+IF(AVANCE[[#This Row],[ARTEFACTOS]]=AE$2,100%,AVANCE[[#This Row],[ARTEFACTOS]])</f>
        <v>0</v>
      </c>
      <c r="BV169" s="3">
        <f>+IF(AVANCE[[#This Row],[TABLERO]]=AF$2,100%,AVANCE[[#This Row],[TABLERO]])</f>
        <v>0</v>
      </c>
      <c r="BW169" s="3">
        <f>+IF(AVANCE[[#This Row],[CAJA PAU]]=AG$2,100%,AVANCE[[#This Row],[CAJA PAU]])</f>
        <v>0</v>
      </c>
      <c r="BX169" s="3">
        <f>+IF(AVANCE[[#This Row],[INSTALACION VINILICO]]=AJ$2,100%,AVANCE[[#This Row],[INSTALACION VINILICO]])</f>
        <v>0</v>
      </c>
      <c r="BY169" s="3">
        <f>+IF(AVANCE[[#This Row],[OSB CUBIERTA]]=AK$2,100%,AVANCE[[#This Row],[OSB CUBIERTA]])</f>
        <v>0</v>
      </c>
      <c r="BZ169" s="3">
        <f>+IF(AVANCE[[#This Row],[BARANDA BALCON]]=AL$2,100%,AVANCE[[#This Row],[BARANDA BALCON]])</f>
        <v>0</v>
      </c>
      <c r="CA169" s="3">
        <f>+IF(AVANCE[[#This Row],[OSB EXTERIOR]]=AM$2,100%,AVANCE[[#This Row],[OSB EXTERIOR]])</f>
        <v>0</v>
      </c>
      <c r="CB169" s="3">
        <f>+IF(AVANCE[[#This Row],[SMART PANEL]]=AN$2,100%,AVANCE[[#This Row],[SMART PANEL]])</f>
        <v>0</v>
      </c>
      <c r="CC169" s="3">
        <f>+IF(AVANCE[[#This Row],[PINTURA EXTERIOR]]=AO$2,100%,AVANCE[[#This Row],[PINTURA EXTERIOR]])</f>
        <v>0</v>
      </c>
      <c r="CD169" s="3">
        <f>+IF(AVANCE[[#This Row],[ZOCALOS LOGIA]]=AP$2,100%,AVANCE[[#This Row],[ZOCALOS LOGIA]])</f>
        <v>0</v>
      </c>
      <c r="CE169" s="3">
        <f>+IF(AVANCE[[#This Row],[MOLDURAS]]=AQ$2,100%,AVANCE[[#This Row],[MOLDURAS]])</f>
        <v>0</v>
      </c>
      <c r="CF169" s="3">
        <f>+IF(AVANCE[[#This Row],[PILASTREO]]=AR$2,100%,AVANCE[[#This Row],[PILASTREO]])</f>
        <v>0</v>
      </c>
      <c r="CG169" s="3">
        <f>+IF(AVANCE[[#This Row],[CELOSIAS]]=AS$2,100%,AVANCE[[#This Row],[CELOSIAS]])</f>
        <v>0</v>
      </c>
      <c r="CH169" s="3">
        <f>+IF(AVANCE[[#This Row],[VENTANAS]]=AT$2,100%,AVANCE[[#This Row],[VENTANAS]])</f>
        <v>0</v>
      </c>
      <c r="CI169" s="3">
        <f>+IF(AVANCE[[#This Row],[PUERTAS ACCESO - LOGIA - BANO]]=AU$2,100%,AVANCE[[#This Row],[PUERTAS ACCESO - LOGIA - BANO]])</f>
        <v>0</v>
      </c>
      <c r="CJ169" s="3">
        <f>+IF(AVANCE[[#This Row],[CERRADURAS]]=AV$2,100%,AVANCE[[#This Row],[CERRADURAS]])</f>
        <v>0</v>
      </c>
      <c r="CK169" s="3">
        <f>+IF(AVANCE[[#This Row],[REVESTIMIENTO INTERIOR ZONA SECA]]=AW$2,100%,AVANCE[[#This Row],[REVESTIMIENTO INTERIOR ZONA SECA]])</f>
        <v>0</v>
      </c>
      <c r="CL169" s="3">
        <f>+IF(AVANCE[[#This Row],[REVESTIMIENTO INTERIOR ZONAS HUMEDAS]]=AX$2,100%,AVANCE[[#This Row],[REVESTIMIENTO INTERIOR ZONAS HUMEDAS]])</f>
        <v>0</v>
      </c>
      <c r="CM169" s="3">
        <f>+IF(AVANCE[[#This Row],[MEMBRANA CIELO]]=AY$2,100%,AVANCE[[#This Row],[MEMBRANA CIELO]])</f>
        <v>0</v>
      </c>
      <c r="CN169" s="3">
        <f>+IF(AVANCE[[#This Row],[LIMPIEZA FINAL]]=AZ$2,100%,AVANCE[[#This Row],[LIMPIEZA FINAL]])</f>
        <v>0</v>
      </c>
      <c r="CO169" s="3">
        <f>+IF(AVANCE[[#This Row],[PUERTAS DORMITORIO]]=BA$2,100%,AVANCE[[#This Row],[PUERTAS DORMITORIO]])</f>
        <v>0</v>
      </c>
      <c r="CP169" s="3">
        <f>+IF(AVANCE[[#This Row],[REVESTIMIENTO INTERIOR BANO]]=BB$2,100%,AVANCE[[#This Row],[REVESTIMIENTO INTERIOR BANO]])</f>
        <v>0</v>
      </c>
      <c r="CQ169" s="3">
        <f>+IF(AVANCE[[#This Row],[MUEBLE LAVAPLATOS]]=BC$2,100%,AVANCE[[#This Row],[MUEBLE LAVAPLATOS]])</f>
        <v>0</v>
      </c>
      <c r="CR169" s="3">
        <f>+IF(AVANCE[[#This Row],[IMPERMEABILIZACION BANO - COCINA LOGIA]]=BD$2,100%,AVANCE[[#This Row],[IMPERMEABILIZACION BANO - COCINA LOGIA]])</f>
        <v>0</v>
      </c>
      <c r="CS169" s="40">
        <f ca="1">+IF(AVANCE[[#This Row],[ESTADO MODULO]]="PENDIENTE",(TODAY()-AVANCE[[#This Row],[FECHA TERMINO  PLANIFICADO]]),0)</f>
        <v>0</v>
      </c>
      <c r="CT169" s="41" t="str" cm="1">
        <f t="array" ref="CT169">_xlfn.TEXTJOIN(" | ",TRUE,IF(SUMPRODUCT((BG169:CR169&lt;1)*(PARTIDAS!$I$2:$AT$2="OBRA GRUESA"))&gt;0,"OBRA GRUESA: "&amp;_xlfn.TEXTJOIN(", ",TRUE,IF((BG169:CR169&lt;1)*(PARTIDAS!$I$2:$AT$2="OBRA GRUESA"),PARTIDAS!$I$1:$AT$1,"")),""),IF(SUMPRODUCT((BG169:CR169&lt;1)*(PARTIDAS!$I$2:$AT$2="SANITARIOS"))&gt;0,"SANITARIOS: "&amp;_xlfn.TEXTJOIN(", ",TRUE,IF((BG169:CR169&lt;1)*(PARTIDAS!$I$2:$AT$2="SANITARIOS"),PARTIDAS!$I$1:$AT$1,"")),""),IF(SUMPRODUCT((BG169:CR169&lt;1)*(PARTIDAS!$I$2:$AT$2="ELÉCTRICO"))&gt;0,"ELÉCTRICO: "&amp;_xlfn.TEXTJOIN(", ",TRUE,IF((BG169:CR169&lt;1)*(PARTIDAS!$I$2:$AT$2="ELÉCTRICO"),PARTIDAS!$I$1:$AT$1,"")),""),IF(SUMPRODUCT((BG169:CR169&lt;1)*(PARTIDAS!$I$2:$AT$2="TERMINACIONES"))&gt;0,"TERMINACIONES: "&amp;_xlfn.TEXTJOIN(", ",TRUE,IF((BG169:CR169&lt;1)*(PARTIDAS!$I$2:$AT$2="TERMINACIONES"),PARTIDAS!$I$1:$AT$1,"")),""))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69" s="43" t="str" cm="1">
        <f t="array" ref="CU169">_xlfn.TEXTJOIN(", ",TRUE,IF(SUMPRODUCT((BG169:CR169&lt;1)*(PARTIDAS!$I$2:$AT$2="OBRA GRUESA"))&gt;0,"OBRA GRUESA",""),IF(SUMPRODUCT((BG169:CR169&lt;1)*(PARTIDAS!$I$2:$AT$2="SANITARIOS"))&gt;0,"SANITARIOS",""),IF(SUMPRODUCT((BG169:CR169&lt;1)*(PARTIDAS!$I$2:$AT$2="ELÉCTRICO"))&gt;0,"ELÉCTRICO",""),IF(SUMPRODUCT((BG169:CR169&lt;1)*(PARTIDAS!$I$2:$AT$2="TERMINACIONES"))&gt;0,"TERMINACIONES",""))</f>
        <v>OBRA GRUESA, SANITARIOS, ELÉCTRICO, TERMINACIONES</v>
      </c>
      <c r="CV169" s="44" cm="1">
        <f t="array" ref="CV169">SUMPRODUCT(--(BG169:CR169&lt;1))</f>
        <v>38</v>
      </c>
    </row>
    <row r="170" spans="1:100" hidden="1" x14ac:dyDescent="0.25">
      <c r="A170" t="s">
        <v>223</v>
      </c>
      <c r="B170" t="s">
        <v>232</v>
      </c>
      <c r="C170">
        <v>2282600169</v>
      </c>
      <c r="D170" t="s">
        <v>58</v>
      </c>
      <c r="E170" s="2">
        <v>0</v>
      </c>
      <c r="F170" s="1">
        <v>46219</v>
      </c>
      <c r="G170" s="1"/>
      <c r="H170" s="1">
        <v>0</v>
      </c>
      <c r="I170" s="1">
        <v>46239</v>
      </c>
      <c r="J170">
        <v>46230</v>
      </c>
      <c r="K170" s="1"/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>
        <v>28.87</v>
      </c>
      <c r="BF170" s="3" t="str">
        <f>+IF(AVANCE[[#This Row],[% AVANCE]]=100%,"MODULO TERMINADO",IF(AVANCE[[#This Row],[FECHA INICIO REAL]]="","MODULO NO INICIADO","PENDIENTE"))</f>
        <v>MODULO NO INICIADO</v>
      </c>
      <c r="BG170" s="3">
        <f>+IF(AVANCE[[#This Row],[VENTANAS]]=8.10810810810811%,100%,AVANCE[[#This Row],[VENTANAS]])</f>
        <v>0</v>
      </c>
      <c r="BH170" s="3">
        <f>+IF(AVANCE[[#This Row],[PISO]]=N$2,100%,AVANCE[[#This Row],[PISO]])</f>
        <v>0</v>
      </c>
      <c r="BI170" s="3">
        <f>+IF(AVANCE[[#This Row],[TABIQUES]]=O$2,100%,AVANCE[[#This Row],[TABIQUES]])</f>
        <v>0</v>
      </c>
      <c r="BJ170" s="3">
        <f>+IF(AVANCE[[#This Row],[MUROS]]=P$2,100%,AVANCE[[#This Row],[MUROS]])</f>
        <v>0</v>
      </c>
      <c r="BK170" s="3">
        <f>+IF(AVANCE[[#This Row],[CIELO]]=Q$2,100%,AVANCE[[#This Row],[CIELO]])</f>
        <v>0</v>
      </c>
      <c r="BL170" s="3">
        <f>+IF(AVANCE[[#This Row],[BALCÓN]]=R$2,100%,AVANCE[[#This Row],[BALCÓN]])</f>
        <v>0</v>
      </c>
      <c r="BM170" s="3">
        <f>+IF(AVANCE[[#This Row],[RED ALCANTARILLADO]]=U$2,100%,AVANCE[[#This Row],[RED ALCANTARILLADO]])</f>
        <v>0</v>
      </c>
      <c r="BN170" s="3">
        <f>+IF(AVANCE[[#This Row],[RED DE AGUA]]=V$2,100%,AVANCE[[#This Row],[RED DE AGUA]])</f>
        <v>0</v>
      </c>
      <c r="BO170" s="3">
        <f>+IF(AVANCE[[#This Row],[VENTILACIONES]]=W$2,100%,AVANCE[[#This Row],[VENTILACIONES]])</f>
        <v>0</v>
      </c>
      <c r="BP170" s="3">
        <f>+IF(AVANCE[[#This Row],[TINA]]=X$2,100%,AVANCE[[#This Row],[TINA]])</f>
        <v>0</v>
      </c>
      <c r="BQ170" s="3">
        <f>+IF(AVANCE[[#This Row],[WC]]=Y$2,100%,AVANCE[[#This Row],[WC]])</f>
        <v>0</v>
      </c>
      <c r="BR170" s="3">
        <f>+IF(AVANCE[[#This Row],[LAVAMANOS / LAVAPLATOS / LAVADERO]]=Z$2,100%,AVANCE[[#This Row],[LAVAMANOS / LAVAPLATOS / LAVADERO]])</f>
        <v>0</v>
      </c>
      <c r="BS170" s="3">
        <f>+IF(AVANCE[[#This Row],[CANALIZACIÓN]]=AC$2,100%,AVANCE[[#This Row],[CANALIZACIÓN]])</f>
        <v>0</v>
      </c>
      <c r="BT170" s="3">
        <f>+IF(AVANCE[[#This Row],[CABLEADO]]=AD$2,100%,AVANCE[[#This Row],[CABLEADO]])</f>
        <v>0</v>
      </c>
      <c r="BU170" s="3">
        <f>+IF(AVANCE[[#This Row],[ARTEFACTOS]]=AE$2,100%,AVANCE[[#This Row],[ARTEFACTOS]])</f>
        <v>0</v>
      </c>
      <c r="BV170" s="3">
        <f>+IF(AVANCE[[#This Row],[TABLERO]]=AF$2,100%,AVANCE[[#This Row],[TABLERO]])</f>
        <v>0</v>
      </c>
      <c r="BW170" s="3">
        <f>+IF(AVANCE[[#This Row],[CAJA PAU]]=AG$2,100%,AVANCE[[#This Row],[CAJA PAU]])</f>
        <v>0</v>
      </c>
      <c r="BX170" s="3">
        <f>+IF(AVANCE[[#This Row],[INSTALACION VINILICO]]=AJ$2,100%,AVANCE[[#This Row],[INSTALACION VINILICO]])</f>
        <v>0</v>
      </c>
      <c r="BY170" s="3">
        <f>+IF(AVANCE[[#This Row],[OSB CUBIERTA]]=AK$2,100%,AVANCE[[#This Row],[OSB CUBIERTA]])</f>
        <v>0</v>
      </c>
      <c r="BZ170" s="3">
        <f>+IF(AVANCE[[#This Row],[BARANDA BALCON]]=AL$2,100%,AVANCE[[#This Row],[BARANDA BALCON]])</f>
        <v>0</v>
      </c>
      <c r="CA170" s="3">
        <f>+IF(AVANCE[[#This Row],[OSB EXTERIOR]]=AM$2,100%,AVANCE[[#This Row],[OSB EXTERIOR]])</f>
        <v>0</v>
      </c>
      <c r="CB170" s="3">
        <f>+IF(AVANCE[[#This Row],[SMART PANEL]]=AN$2,100%,AVANCE[[#This Row],[SMART PANEL]])</f>
        <v>0</v>
      </c>
      <c r="CC170" s="3">
        <f>+IF(AVANCE[[#This Row],[PINTURA EXTERIOR]]=AO$2,100%,AVANCE[[#This Row],[PINTURA EXTERIOR]])</f>
        <v>0</v>
      </c>
      <c r="CD170" s="3">
        <f>+IF(AVANCE[[#This Row],[ZOCALOS LOGIA]]=AP$2,100%,AVANCE[[#This Row],[ZOCALOS LOGIA]])</f>
        <v>0</v>
      </c>
      <c r="CE170" s="3">
        <f>+IF(AVANCE[[#This Row],[MOLDURAS]]=AQ$2,100%,AVANCE[[#This Row],[MOLDURAS]])</f>
        <v>0</v>
      </c>
      <c r="CF170" s="3">
        <f>+IF(AVANCE[[#This Row],[PILASTREO]]=AR$2,100%,AVANCE[[#This Row],[PILASTREO]])</f>
        <v>0</v>
      </c>
      <c r="CG170" s="3">
        <f>+IF(AVANCE[[#This Row],[CELOSIAS]]=AS$2,100%,AVANCE[[#This Row],[CELOSIAS]])</f>
        <v>0</v>
      </c>
      <c r="CH170" s="3">
        <f>+IF(AVANCE[[#This Row],[VENTANAS]]=AT$2,100%,AVANCE[[#This Row],[VENTANAS]])</f>
        <v>0</v>
      </c>
      <c r="CI170" s="3">
        <f>+IF(AVANCE[[#This Row],[PUERTAS ACCESO - LOGIA - BANO]]=AU$2,100%,AVANCE[[#This Row],[PUERTAS ACCESO - LOGIA - BANO]])</f>
        <v>0</v>
      </c>
      <c r="CJ170" s="3">
        <f>+IF(AVANCE[[#This Row],[CERRADURAS]]=AV$2,100%,AVANCE[[#This Row],[CERRADURAS]])</f>
        <v>0</v>
      </c>
      <c r="CK170" s="3">
        <f>+IF(AVANCE[[#This Row],[REVESTIMIENTO INTERIOR ZONA SECA]]=AW$2,100%,AVANCE[[#This Row],[REVESTIMIENTO INTERIOR ZONA SECA]])</f>
        <v>0</v>
      </c>
      <c r="CL170" s="3">
        <f>+IF(AVANCE[[#This Row],[REVESTIMIENTO INTERIOR ZONAS HUMEDAS]]=AX$2,100%,AVANCE[[#This Row],[REVESTIMIENTO INTERIOR ZONAS HUMEDAS]])</f>
        <v>0</v>
      </c>
      <c r="CM170" s="3">
        <f>+IF(AVANCE[[#This Row],[MEMBRANA CIELO]]=AY$2,100%,AVANCE[[#This Row],[MEMBRANA CIELO]])</f>
        <v>0</v>
      </c>
      <c r="CN170" s="3">
        <f>+IF(AVANCE[[#This Row],[LIMPIEZA FINAL]]=AZ$2,100%,AVANCE[[#This Row],[LIMPIEZA FINAL]])</f>
        <v>0</v>
      </c>
      <c r="CO170" s="3">
        <f>+IF(AVANCE[[#This Row],[PUERTAS DORMITORIO]]=BA$2,100%,AVANCE[[#This Row],[PUERTAS DORMITORIO]])</f>
        <v>0</v>
      </c>
      <c r="CP170" s="3">
        <f>+IF(AVANCE[[#This Row],[REVESTIMIENTO INTERIOR BANO]]=BB$2,100%,AVANCE[[#This Row],[REVESTIMIENTO INTERIOR BANO]])</f>
        <v>0</v>
      </c>
      <c r="CQ170" s="3">
        <f>+IF(AVANCE[[#This Row],[MUEBLE LAVAPLATOS]]=BC$2,100%,AVANCE[[#This Row],[MUEBLE LAVAPLATOS]])</f>
        <v>0</v>
      </c>
      <c r="CR170" s="3">
        <f>+IF(AVANCE[[#This Row],[IMPERMEABILIZACION BANO - COCINA LOGIA]]=BD$2,100%,AVANCE[[#This Row],[IMPERMEABILIZACION BANO - COCINA LOGIA]])</f>
        <v>0</v>
      </c>
      <c r="CS170" s="40">
        <f ca="1">+IF(AVANCE[[#This Row],[ESTADO MODULO]]="PENDIENTE",(TODAY()-AVANCE[[#This Row],[FECHA TERMINO  PLANIFICADO]]),0)</f>
        <v>0</v>
      </c>
      <c r="CT170" s="41" t="str" cm="1">
        <f t="array" ref="CT170">_xlfn.TEXTJOIN(" | ",TRUE,IF(SUMPRODUCT((BG170:CR170&lt;1)*(PARTIDAS!$I$2:$AT$2="OBRA GRUESA"))&gt;0,"OBRA GRUESA: "&amp;_xlfn.TEXTJOIN(", ",TRUE,IF((BG170:CR170&lt;1)*(PARTIDAS!$I$2:$AT$2="OBRA GRUESA"),PARTIDAS!$I$1:$AT$1,"")),""),IF(SUMPRODUCT((BG170:CR170&lt;1)*(PARTIDAS!$I$2:$AT$2="SANITARIOS"))&gt;0,"SANITARIOS: "&amp;_xlfn.TEXTJOIN(", ",TRUE,IF((BG170:CR170&lt;1)*(PARTIDAS!$I$2:$AT$2="SANITARIOS"),PARTIDAS!$I$1:$AT$1,"")),""),IF(SUMPRODUCT((BG170:CR170&lt;1)*(PARTIDAS!$I$2:$AT$2="ELÉCTRICO"))&gt;0,"ELÉCTRICO: "&amp;_xlfn.TEXTJOIN(", ",TRUE,IF((BG170:CR170&lt;1)*(PARTIDAS!$I$2:$AT$2="ELÉCTRICO"),PARTIDAS!$I$1:$AT$1,"")),""),IF(SUMPRODUCT((BG170:CR170&lt;1)*(PARTIDAS!$I$2:$AT$2="TERMINACIONES"))&gt;0,"TERMINACIONES: "&amp;_xlfn.TEXTJOIN(", ",TRUE,IF((BG170:CR170&lt;1)*(PARTIDAS!$I$2:$AT$2="TERMINACIONES"),PARTIDAS!$I$1:$AT$1,"")),""))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0" s="43" t="str" cm="1">
        <f t="array" ref="CU170">_xlfn.TEXTJOIN(", ",TRUE,IF(SUMPRODUCT((BG170:CR170&lt;1)*(PARTIDAS!$I$2:$AT$2="OBRA GRUESA"))&gt;0,"OBRA GRUESA",""),IF(SUMPRODUCT((BG170:CR170&lt;1)*(PARTIDAS!$I$2:$AT$2="SANITARIOS"))&gt;0,"SANITARIOS",""),IF(SUMPRODUCT((BG170:CR170&lt;1)*(PARTIDAS!$I$2:$AT$2="ELÉCTRICO"))&gt;0,"ELÉCTRICO",""),IF(SUMPRODUCT((BG170:CR170&lt;1)*(PARTIDAS!$I$2:$AT$2="TERMINACIONES"))&gt;0,"TERMINACIONES",""))</f>
        <v>OBRA GRUESA, SANITARIOS, ELÉCTRICO, TERMINACIONES</v>
      </c>
      <c r="CV170" s="44" cm="1">
        <f t="array" ref="CV170">SUMPRODUCT(--(BG170:CR170&lt;1))</f>
        <v>38</v>
      </c>
    </row>
    <row r="171" spans="1:100" hidden="1" x14ac:dyDescent="0.25">
      <c r="A171" t="s">
        <v>223</v>
      </c>
      <c r="B171" t="s">
        <v>233</v>
      </c>
      <c r="C171">
        <v>2302600170</v>
      </c>
      <c r="D171" t="s">
        <v>60</v>
      </c>
      <c r="E171" s="2">
        <v>0</v>
      </c>
      <c r="F171" s="1">
        <v>46219</v>
      </c>
      <c r="G171" s="1"/>
      <c r="H171" s="1">
        <v>0</v>
      </c>
      <c r="I171" s="1">
        <v>46249</v>
      </c>
      <c r="J171">
        <v>46230</v>
      </c>
      <c r="K171" s="1"/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>
        <v>31.32</v>
      </c>
      <c r="BF171" s="3" t="str">
        <f>+IF(AVANCE[[#This Row],[% AVANCE]]=100%,"MODULO TERMINADO",IF(AVANCE[[#This Row],[FECHA INICIO REAL]]="","MODULO NO INICIADO","PENDIENTE"))</f>
        <v>MODULO NO INICIADO</v>
      </c>
      <c r="BG171" s="3">
        <f>+IF(AVANCE[[#This Row],[VENTANAS]]=8.10810810810811%,100%,AVANCE[[#This Row],[VENTANAS]])</f>
        <v>0</v>
      </c>
      <c r="BH171" s="3">
        <f>+IF(AVANCE[[#This Row],[PISO]]=N$2,100%,AVANCE[[#This Row],[PISO]])</f>
        <v>0</v>
      </c>
      <c r="BI171" s="3">
        <f>+IF(AVANCE[[#This Row],[TABIQUES]]=O$2,100%,AVANCE[[#This Row],[TABIQUES]])</f>
        <v>0</v>
      </c>
      <c r="BJ171" s="3">
        <f>+IF(AVANCE[[#This Row],[MUROS]]=P$2,100%,AVANCE[[#This Row],[MUROS]])</f>
        <v>0</v>
      </c>
      <c r="BK171" s="3">
        <f>+IF(AVANCE[[#This Row],[CIELO]]=Q$2,100%,AVANCE[[#This Row],[CIELO]])</f>
        <v>0</v>
      </c>
      <c r="BL171" s="3">
        <f>+IF(AVANCE[[#This Row],[BALCÓN]]=R$2,100%,AVANCE[[#This Row],[BALCÓN]])</f>
        <v>0</v>
      </c>
      <c r="BM171" s="3">
        <f>+IF(AVANCE[[#This Row],[RED ALCANTARILLADO]]=U$2,100%,AVANCE[[#This Row],[RED ALCANTARILLADO]])</f>
        <v>0</v>
      </c>
      <c r="BN171" s="3">
        <f>+IF(AVANCE[[#This Row],[RED DE AGUA]]=V$2,100%,AVANCE[[#This Row],[RED DE AGUA]])</f>
        <v>0</v>
      </c>
      <c r="BO171" s="3">
        <f>+IF(AVANCE[[#This Row],[VENTILACIONES]]=W$2,100%,AVANCE[[#This Row],[VENTILACIONES]])</f>
        <v>0</v>
      </c>
      <c r="BP171" s="3">
        <f>+IF(AVANCE[[#This Row],[TINA]]=X$2,100%,AVANCE[[#This Row],[TINA]])</f>
        <v>0</v>
      </c>
      <c r="BQ171" s="3">
        <f>+IF(AVANCE[[#This Row],[WC]]=Y$2,100%,AVANCE[[#This Row],[WC]])</f>
        <v>0</v>
      </c>
      <c r="BR171" s="3">
        <f>+IF(AVANCE[[#This Row],[LAVAMANOS / LAVAPLATOS / LAVADERO]]=Z$2,100%,AVANCE[[#This Row],[LAVAMANOS / LAVAPLATOS / LAVADERO]])</f>
        <v>0</v>
      </c>
      <c r="BS171" s="3">
        <f>+IF(AVANCE[[#This Row],[CANALIZACIÓN]]=AC$2,100%,AVANCE[[#This Row],[CANALIZACIÓN]])</f>
        <v>0</v>
      </c>
      <c r="BT171" s="3">
        <f>+IF(AVANCE[[#This Row],[CABLEADO]]=AD$2,100%,AVANCE[[#This Row],[CABLEADO]])</f>
        <v>0</v>
      </c>
      <c r="BU171" s="3">
        <f>+IF(AVANCE[[#This Row],[ARTEFACTOS]]=AE$2,100%,AVANCE[[#This Row],[ARTEFACTOS]])</f>
        <v>0</v>
      </c>
      <c r="BV171" s="3">
        <f>+IF(AVANCE[[#This Row],[TABLERO]]=AF$2,100%,AVANCE[[#This Row],[TABLERO]])</f>
        <v>0</v>
      </c>
      <c r="BW171" s="3">
        <f>+IF(AVANCE[[#This Row],[CAJA PAU]]=AG$2,100%,AVANCE[[#This Row],[CAJA PAU]])</f>
        <v>0</v>
      </c>
      <c r="BX171" s="3">
        <f>+IF(AVANCE[[#This Row],[INSTALACION VINILICO]]=AJ$2,100%,AVANCE[[#This Row],[INSTALACION VINILICO]])</f>
        <v>0</v>
      </c>
      <c r="BY171" s="3">
        <f>+IF(AVANCE[[#This Row],[OSB CUBIERTA]]=AK$2,100%,AVANCE[[#This Row],[OSB CUBIERTA]])</f>
        <v>0</v>
      </c>
      <c r="BZ171" s="3">
        <f>+IF(AVANCE[[#This Row],[BARANDA BALCON]]=AL$2,100%,AVANCE[[#This Row],[BARANDA BALCON]])</f>
        <v>0</v>
      </c>
      <c r="CA171" s="3">
        <f>+IF(AVANCE[[#This Row],[OSB EXTERIOR]]=AM$2,100%,AVANCE[[#This Row],[OSB EXTERIOR]])</f>
        <v>0</v>
      </c>
      <c r="CB171" s="3">
        <f>+IF(AVANCE[[#This Row],[SMART PANEL]]=AN$2,100%,AVANCE[[#This Row],[SMART PANEL]])</f>
        <v>0</v>
      </c>
      <c r="CC171" s="3">
        <f>+IF(AVANCE[[#This Row],[PINTURA EXTERIOR]]=AO$2,100%,AVANCE[[#This Row],[PINTURA EXTERIOR]])</f>
        <v>0</v>
      </c>
      <c r="CD171" s="3">
        <f>+IF(AVANCE[[#This Row],[ZOCALOS LOGIA]]=AP$2,100%,AVANCE[[#This Row],[ZOCALOS LOGIA]])</f>
        <v>0</v>
      </c>
      <c r="CE171" s="3">
        <f>+IF(AVANCE[[#This Row],[MOLDURAS]]=AQ$2,100%,AVANCE[[#This Row],[MOLDURAS]])</f>
        <v>0</v>
      </c>
      <c r="CF171" s="3">
        <f>+IF(AVANCE[[#This Row],[PILASTREO]]=AR$2,100%,AVANCE[[#This Row],[PILASTREO]])</f>
        <v>0</v>
      </c>
      <c r="CG171" s="3">
        <f>+IF(AVANCE[[#This Row],[CELOSIAS]]=AS$2,100%,AVANCE[[#This Row],[CELOSIAS]])</f>
        <v>0</v>
      </c>
      <c r="CH171" s="3">
        <f>+IF(AVANCE[[#This Row],[VENTANAS]]=AT$2,100%,AVANCE[[#This Row],[VENTANAS]])</f>
        <v>0</v>
      </c>
      <c r="CI171" s="3">
        <f>+IF(AVANCE[[#This Row],[PUERTAS ACCESO - LOGIA - BANO]]=AU$2,100%,AVANCE[[#This Row],[PUERTAS ACCESO - LOGIA - BANO]])</f>
        <v>0</v>
      </c>
      <c r="CJ171" s="3">
        <f>+IF(AVANCE[[#This Row],[CERRADURAS]]=AV$2,100%,AVANCE[[#This Row],[CERRADURAS]])</f>
        <v>0</v>
      </c>
      <c r="CK171" s="3">
        <f>+IF(AVANCE[[#This Row],[REVESTIMIENTO INTERIOR ZONA SECA]]=AW$2,100%,AVANCE[[#This Row],[REVESTIMIENTO INTERIOR ZONA SECA]])</f>
        <v>0</v>
      </c>
      <c r="CL171" s="3">
        <f>+IF(AVANCE[[#This Row],[REVESTIMIENTO INTERIOR ZONAS HUMEDAS]]=AX$2,100%,AVANCE[[#This Row],[REVESTIMIENTO INTERIOR ZONAS HUMEDAS]])</f>
        <v>0</v>
      </c>
      <c r="CM171" s="3">
        <f>+IF(AVANCE[[#This Row],[MEMBRANA CIELO]]=AY$2,100%,AVANCE[[#This Row],[MEMBRANA CIELO]])</f>
        <v>0</v>
      </c>
      <c r="CN171" s="3">
        <f>+IF(AVANCE[[#This Row],[LIMPIEZA FINAL]]=AZ$2,100%,AVANCE[[#This Row],[LIMPIEZA FINAL]])</f>
        <v>0</v>
      </c>
      <c r="CO171" s="3">
        <f>+IF(AVANCE[[#This Row],[PUERTAS DORMITORIO]]=BA$2,100%,AVANCE[[#This Row],[PUERTAS DORMITORIO]])</f>
        <v>0</v>
      </c>
      <c r="CP171" s="3">
        <f>+IF(AVANCE[[#This Row],[REVESTIMIENTO INTERIOR BANO]]=BB$2,100%,AVANCE[[#This Row],[REVESTIMIENTO INTERIOR BANO]])</f>
        <v>0</v>
      </c>
      <c r="CQ171" s="3">
        <f>+IF(AVANCE[[#This Row],[MUEBLE LAVAPLATOS]]=BC$2,100%,AVANCE[[#This Row],[MUEBLE LAVAPLATOS]])</f>
        <v>0</v>
      </c>
      <c r="CR171" s="3">
        <f>+IF(AVANCE[[#This Row],[IMPERMEABILIZACION BANO - COCINA LOGIA]]=BD$2,100%,AVANCE[[#This Row],[IMPERMEABILIZACION BANO - COCINA LOGIA]])</f>
        <v>0</v>
      </c>
      <c r="CS171" s="40">
        <f ca="1">+IF(AVANCE[[#This Row],[ESTADO MODULO]]="PENDIENTE",(TODAY()-AVANCE[[#This Row],[FECHA TERMINO  PLANIFICADO]]),0)</f>
        <v>0</v>
      </c>
      <c r="CT171" s="41" t="str" cm="1">
        <f t="array" ref="CT171">_xlfn.TEXTJOIN(" | ",TRUE,IF(SUMPRODUCT((BG171:CR171&lt;1)*(PARTIDAS!$I$2:$AT$2="OBRA GRUESA"))&gt;0,"OBRA GRUESA: "&amp;_xlfn.TEXTJOIN(", ",TRUE,IF((BG171:CR171&lt;1)*(PARTIDAS!$I$2:$AT$2="OBRA GRUESA"),PARTIDAS!$I$1:$AT$1,"")),""),IF(SUMPRODUCT((BG171:CR171&lt;1)*(PARTIDAS!$I$2:$AT$2="SANITARIOS"))&gt;0,"SANITARIOS: "&amp;_xlfn.TEXTJOIN(", ",TRUE,IF((BG171:CR171&lt;1)*(PARTIDAS!$I$2:$AT$2="SANITARIOS"),PARTIDAS!$I$1:$AT$1,"")),""),IF(SUMPRODUCT((BG171:CR171&lt;1)*(PARTIDAS!$I$2:$AT$2="ELÉCTRICO"))&gt;0,"ELÉCTRICO: "&amp;_xlfn.TEXTJOIN(", ",TRUE,IF((BG171:CR171&lt;1)*(PARTIDAS!$I$2:$AT$2="ELÉCTRICO"),PARTIDAS!$I$1:$AT$1,"")),""),IF(SUMPRODUCT((BG171:CR171&lt;1)*(PARTIDAS!$I$2:$AT$2="TERMINACIONES"))&gt;0,"TERMINACIONES: "&amp;_xlfn.TEXTJOIN(", ",TRUE,IF((BG171:CR171&lt;1)*(PARTIDAS!$I$2:$AT$2="TERMINACIONES"),PARTIDAS!$I$1:$AT$1,"")),""))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1" s="43" t="str" cm="1">
        <f t="array" ref="CU171">_xlfn.TEXTJOIN(", ",TRUE,IF(SUMPRODUCT((BG171:CR171&lt;1)*(PARTIDAS!$I$2:$AT$2="OBRA GRUESA"))&gt;0,"OBRA GRUESA",""),IF(SUMPRODUCT((BG171:CR171&lt;1)*(PARTIDAS!$I$2:$AT$2="SANITARIOS"))&gt;0,"SANITARIOS",""),IF(SUMPRODUCT((BG171:CR171&lt;1)*(PARTIDAS!$I$2:$AT$2="ELÉCTRICO"))&gt;0,"ELÉCTRICO",""),IF(SUMPRODUCT((BG171:CR171&lt;1)*(PARTIDAS!$I$2:$AT$2="TERMINACIONES"))&gt;0,"TERMINACIONES",""))</f>
        <v>OBRA GRUESA, SANITARIOS, ELÉCTRICO, TERMINACIONES</v>
      </c>
      <c r="CV171" s="44" cm="1">
        <f t="array" ref="CV171">SUMPRODUCT(--(BG171:CR171&lt;1))</f>
        <v>38</v>
      </c>
    </row>
    <row r="172" spans="1:100" hidden="1" x14ac:dyDescent="0.25">
      <c r="A172" t="s">
        <v>223</v>
      </c>
      <c r="B172" t="s">
        <v>234</v>
      </c>
      <c r="C172">
        <v>2302600171</v>
      </c>
      <c r="D172" t="s">
        <v>60</v>
      </c>
      <c r="E172" s="2">
        <v>0</v>
      </c>
      <c r="F172" s="1">
        <v>46220</v>
      </c>
      <c r="G172" s="1"/>
      <c r="H172" s="1">
        <v>0</v>
      </c>
      <c r="I172" s="1">
        <v>46250</v>
      </c>
      <c r="J172">
        <v>46230</v>
      </c>
      <c r="K172" s="1"/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>
        <v>31.32</v>
      </c>
      <c r="BF172" s="3" t="str">
        <f>+IF(AVANCE[[#This Row],[% AVANCE]]=100%,"MODULO TERMINADO",IF(AVANCE[[#This Row],[FECHA INICIO REAL]]="","MODULO NO INICIADO","PENDIENTE"))</f>
        <v>MODULO NO INICIADO</v>
      </c>
      <c r="BG172" s="3">
        <f>+IF(AVANCE[[#This Row],[VENTANAS]]=8.10810810810811%,100%,AVANCE[[#This Row],[VENTANAS]])</f>
        <v>0</v>
      </c>
      <c r="BH172" s="3">
        <f>+IF(AVANCE[[#This Row],[PISO]]=N$2,100%,AVANCE[[#This Row],[PISO]])</f>
        <v>0</v>
      </c>
      <c r="BI172" s="3">
        <f>+IF(AVANCE[[#This Row],[TABIQUES]]=O$2,100%,AVANCE[[#This Row],[TABIQUES]])</f>
        <v>0</v>
      </c>
      <c r="BJ172" s="3">
        <f>+IF(AVANCE[[#This Row],[MUROS]]=P$2,100%,AVANCE[[#This Row],[MUROS]])</f>
        <v>0</v>
      </c>
      <c r="BK172" s="3">
        <f>+IF(AVANCE[[#This Row],[CIELO]]=Q$2,100%,AVANCE[[#This Row],[CIELO]])</f>
        <v>0</v>
      </c>
      <c r="BL172" s="3">
        <f>+IF(AVANCE[[#This Row],[BALCÓN]]=R$2,100%,AVANCE[[#This Row],[BALCÓN]])</f>
        <v>0</v>
      </c>
      <c r="BM172" s="3">
        <f>+IF(AVANCE[[#This Row],[RED ALCANTARILLADO]]=U$2,100%,AVANCE[[#This Row],[RED ALCANTARILLADO]])</f>
        <v>0</v>
      </c>
      <c r="BN172" s="3">
        <f>+IF(AVANCE[[#This Row],[RED DE AGUA]]=V$2,100%,AVANCE[[#This Row],[RED DE AGUA]])</f>
        <v>0</v>
      </c>
      <c r="BO172" s="3">
        <f>+IF(AVANCE[[#This Row],[VENTILACIONES]]=W$2,100%,AVANCE[[#This Row],[VENTILACIONES]])</f>
        <v>0</v>
      </c>
      <c r="BP172" s="3">
        <f>+IF(AVANCE[[#This Row],[TINA]]=X$2,100%,AVANCE[[#This Row],[TINA]])</f>
        <v>0</v>
      </c>
      <c r="BQ172" s="3">
        <f>+IF(AVANCE[[#This Row],[WC]]=Y$2,100%,AVANCE[[#This Row],[WC]])</f>
        <v>0</v>
      </c>
      <c r="BR172" s="3">
        <f>+IF(AVANCE[[#This Row],[LAVAMANOS / LAVAPLATOS / LAVADERO]]=Z$2,100%,AVANCE[[#This Row],[LAVAMANOS / LAVAPLATOS / LAVADERO]])</f>
        <v>0</v>
      </c>
      <c r="BS172" s="3">
        <f>+IF(AVANCE[[#This Row],[CANALIZACIÓN]]=AC$2,100%,AVANCE[[#This Row],[CANALIZACIÓN]])</f>
        <v>0</v>
      </c>
      <c r="BT172" s="3">
        <f>+IF(AVANCE[[#This Row],[CABLEADO]]=AD$2,100%,AVANCE[[#This Row],[CABLEADO]])</f>
        <v>0</v>
      </c>
      <c r="BU172" s="3">
        <f>+IF(AVANCE[[#This Row],[ARTEFACTOS]]=AE$2,100%,AVANCE[[#This Row],[ARTEFACTOS]])</f>
        <v>0</v>
      </c>
      <c r="BV172" s="3">
        <f>+IF(AVANCE[[#This Row],[TABLERO]]=AF$2,100%,AVANCE[[#This Row],[TABLERO]])</f>
        <v>0</v>
      </c>
      <c r="BW172" s="3">
        <f>+IF(AVANCE[[#This Row],[CAJA PAU]]=AG$2,100%,AVANCE[[#This Row],[CAJA PAU]])</f>
        <v>0</v>
      </c>
      <c r="BX172" s="3">
        <f>+IF(AVANCE[[#This Row],[INSTALACION VINILICO]]=AJ$2,100%,AVANCE[[#This Row],[INSTALACION VINILICO]])</f>
        <v>0</v>
      </c>
      <c r="BY172" s="3">
        <f>+IF(AVANCE[[#This Row],[OSB CUBIERTA]]=AK$2,100%,AVANCE[[#This Row],[OSB CUBIERTA]])</f>
        <v>0</v>
      </c>
      <c r="BZ172" s="3">
        <f>+IF(AVANCE[[#This Row],[BARANDA BALCON]]=AL$2,100%,AVANCE[[#This Row],[BARANDA BALCON]])</f>
        <v>0</v>
      </c>
      <c r="CA172" s="3">
        <f>+IF(AVANCE[[#This Row],[OSB EXTERIOR]]=AM$2,100%,AVANCE[[#This Row],[OSB EXTERIOR]])</f>
        <v>0</v>
      </c>
      <c r="CB172" s="3">
        <f>+IF(AVANCE[[#This Row],[SMART PANEL]]=AN$2,100%,AVANCE[[#This Row],[SMART PANEL]])</f>
        <v>0</v>
      </c>
      <c r="CC172" s="3">
        <f>+IF(AVANCE[[#This Row],[PINTURA EXTERIOR]]=AO$2,100%,AVANCE[[#This Row],[PINTURA EXTERIOR]])</f>
        <v>0</v>
      </c>
      <c r="CD172" s="3">
        <f>+IF(AVANCE[[#This Row],[ZOCALOS LOGIA]]=AP$2,100%,AVANCE[[#This Row],[ZOCALOS LOGIA]])</f>
        <v>0</v>
      </c>
      <c r="CE172" s="3">
        <f>+IF(AVANCE[[#This Row],[MOLDURAS]]=AQ$2,100%,AVANCE[[#This Row],[MOLDURAS]])</f>
        <v>0</v>
      </c>
      <c r="CF172" s="3">
        <f>+IF(AVANCE[[#This Row],[PILASTREO]]=AR$2,100%,AVANCE[[#This Row],[PILASTREO]])</f>
        <v>0</v>
      </c>
      <c r="CG172" s="3">
        <f>+IF(AVANCE[[#This Row],[CELOSIAS]]=AS$2,100%,AVANCE[[#This Row],[CELOSIAS]])</f>
        <v>0</v>
      </c>
      <c r="CH172" s="3">
        <f>+IF(AVANCE[[#This Row],[VENTANAS]]=AT$2,100%,AVANCE[[#This Row],[VENTANAS]])</f>
        <v>0</v>
      </c>
      <c r="CI172" s="3">
        <f>+IF(AVANCE[[#This Row],[PUERTAS ACCESO - LOGIA - BANO]]=AU$2,100%,AVANCE[[#This Row],[PUERTAS ACCESO - LOGIA - BANO]])</f>
        <v>0</v>
      </c>
      <c r="CJ172" s="3">
        <f>+IF(AVANCE[[#This Row],[CERRADURAS]]=AV$2,100%,AVANCE[[#This Row],[CERRADURAS]])</f>
        <v>0</v>
      </c>
      <c r="CK172" s="3">
        <f>+IF(AVANCE[[#This Row],[REVESTIMIENTO INTERIOR ZONA SECA]]=AW$2,100%,AVANCE[[#This Row],[REVESTIMIENTO INTERIOR ZONA SECA]])</f>
        <v>0</v>
      </c>
      <c r="CL172" s="3">
        <f>+IF(AVANCE[[#This Row],[REVESTIMIENTO INTERIOR ZONAS HUMEDAS]]=AX$2,100%,AVANCE[[#This Row],[REVESTIMIENTO INTERIOR ZONAS HUMEDAS]])</f>
        <v>0</v>
      </c>
      <c r="CM172" s="3">
        <f>+IF(AVANCE[[#This Row],[MEMBRANA CIELO]]=AY$2,100%,AVANCE[[#This Row],[MEMBRANA CIELO]])</f>
        <v>0</v>
      </c>
      <c r="CN172" s="3">
        <f>+IF(AVANCE[[#This Row],[LIMPIEZA FINAL]]=AZ$2,100%,AVANCE[[#This Row],[LIMPIEZA FINAL]])</f>
        <v>0</v>
      </c>
      <c r="CO172" s="3">
        <f>+IF(AVANCE[[#This Row],[PUERTAS DORMITORIO]]=BA$2,100%,AVANCE[[#This Row],[PUERTAS DORMITORIO]])</f>
        <v>0</v>
      </c>
      <c r="CP172" s="3">
        <f>+IF(AVANCE[[#This Row],[REVESTIMIENTO INTERIOR BANO]]=BB$2,100%,AVANCE[[#This Row],[REVESTIMIENTO INTERIOR BANO]])</f>
        <v>0</v>
      </c>
      <c r="CQ172" s="3">
        <f>+IF(AVANCE[[#This Row],[MUEBLE LAVAPLATOS]]=BC$2,100%,AVANCE[[#This Row],[MUEBLE LAVAPLATOS]])</f>
        <v>0</v>
      </c>
      <c r="CR172" s="3">
        <f>+IF(AVANCE[[#This Row],[IMPERMEABILIZACION BANO - COCINA LOGIA]]=BD$2,100%,AVANCE[[#This Row],[IMPERMEABILIZACION BANO - COCINA LOGIA]])</f>
        <v>0</v>
      </c>
      <c r="CS172" s="40">
        <f ca="1">+IF(AVANCE[[#This Row],[ESTADO MODULO]]="PENDIENTE",(TODAY()-AVANCE[[#This Row],[FECHA TERMINO  PLANIFICADO]]),0)</f>
        <v>0</v>
      </c>
      <c r="CT172" s="41" t="str" cm="1">
        <f t="array" ref="CT172">_xlfn.TEXTJOIN(" | ",TRUE,IF(SUMPRODUCT((BG172:CR172&lt;1)*(PARTIDAS!$I$2:$AT$2="OBRA GRUESA"))&gt;0,"OBRA GRUESA: "&amp;_xlfn.TEXTJOIN(", ",TRUE,IF((BG172:CR172&lt;1)*(PARTIDAS!$I$2:$AT$2="OBRA GRUESA"),PARTIDAS!$I$1:$AT$1,"")),""),IF(SUMPRODUCT((BG172:CR172&lt;1)*(PARTIDAS!$I$2:$AT$2="SANITARIOS"))&gt;0,"SANITARIOS: "&amp;_xlfn.TEXTJOIN(", ",TRUE,IF((BG172:CR172&lt;1)*(PARTIDAS!$I$2:$AT$2="SANITARIOS"),PARTIDAS!$I$1:$AT$1,"")),""),IF(SUMPRODUCT((BG172:CR172&lt;1)*(PARTIDAS!$I$2:$AT$2="ELÉCTRICO"))&gt;0,"ELÉCTRICO: "&amp;_xlfn.TEXTJOIN(", ",TRUE,IF((BG172:CR172&lt;1)*(PARTIDAS!$I$2:$AT$2="ELÉCTRICO"),PARTIDAS!$I$1:$AT$1,"")),""),IF(SUMPRODUCT((BG172:CR172&lt;1)*(PARTIDAS!$I$2:$AT$2="TERMINACIONES"))&gt;0,"TERMINACIONES: "&amp;_xlfn.TEXTJOIN(", ",TRUE,IF((BG172:CR172&lt;1)*(PARTIDAS!$I$2:$AT$2="TERMINACIONES"),PARTIDAS!$I$1:$AT$1,"")),""))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2" s="43" t="str" cm="1">
        <f t="array" ref="CU172">_xlfn.TEXTJOIN(", ",TRUE,IF(SUMPRODUCT((BG172:CR172&lt;1)*(PARTIDAS!$I$2:$AT$2="OBRA GRUESA"))&gt;0,"OBRA GRUESA",""),IF(SUMPRODUCT((BG172:CR172&lt;1)*(PARTIDAS!$I$2:$AT$2="SANITARIOS"))&gt;0,"SANITARIOS",""),IF(SUMPRODUCT((BG172:CR172&lt;1)*(PARTIDAS!$I$2:$AT$2="ELÉCTRICO"))&gt;0,"ELÉCTRICO",""),IF(SUMPRODUCT((BG172:CR172&lt;1)*(PARTIDAS!$I$2:$AT$2="TERMINACIONES"))&gt;0,"TERMINACIONES",""))</f>
        <v>OBRA GRUESA, SANITARIOS, ELÉCTRICO, TERMINACIONES</v>
      </c>
      <c r="CV172" s="44" cm="1">
        <f t="array" ref="CV172">SUMPRODUCT(--(BG172:CR172&lt;1))</f>
        <v>38</v>
      </c>
    </row>
    <row r="173" spans="1:100" hidden="1" x14ac:dyDescent="0.25">
      <c r="A173" t="s">
        <v>223</v>
      </c>
      <c r="B173" t="s">
        <v>235</v>
      </c>
      <c r="C173">
        <v>2282600172</v>
      </c>
      <c r="D173" t="s">
        <v>58</v>
      </c>
      <c r="E173" s="2">
        <v>0</v>
      </c>
      <c r="F173" s="1">
        <v>46220</v>
      </c>
      <c r="G173" s="1"/>
      <c r="H173" s="1">
        <v>0</v>
      </c>
      <c r="I173" s="1">
        <v>46240</v>
      </c>
      <c r="J173">
        <v>46230</v>
      </c>
      <c r="K173" s="1"/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>
        <v>28.87</v>
      </c>
      <c r="BF173" s="3" t="str">
        <f>+IF(AVANCE[[#This Row],[% AVANCE]]=100%,"MODULO TERMINADO",IF(AVANCE[[#This Row],[FECHA INICIO REAL]]="","MODULO NO INICIADO","PENDIENTE"))</f>
        <v>MODULO NO INICIADO</v>
      </c>
      <c r="BG173" s="3">
        <f>+IF(AVANCE[[#This Row],[VENTANAS]]=8.10810810810811%,100%,AVANCE[[#This Row],[VENTANAS]])</f>
        <v>0</v>
      </c>
      <c r="BH173" s="3">
        <f>+IF(AVANCE[[#This Row],[PISO]]=N$2,100%,AVANCE[[#This Row],[PISO]])</f>
        <v>0</v>
      </c>
      <c r="BI173" s="3">
        <f>+IF(AVANCE[[#This Row],[TABIQUES]]=O$2,100%,AVANCE[[#This Row],[TABIQUES]])</f>
        <v>0</v>
      </c>
      <c r="BJ173" s="3">
        <f>+IF(AVANCE[[#This Row],[MUROS]]=P$2,100%,AVANCE[[#This Row],[MUROS]])</f>
        <v>0</v>
      </c>
      <c r="BK173" s="3">
        <f>+IF(AVANCE[[#This Row],[CIELO]]=Q$2,100%,AVANCE[[#This Row],[CIELO]])</f>
        <v>0</v>
      </c>
      <c r="BL173" s="3">
        <f>+IF(AVANCE[[#This Row],[BALCÓN]]=R$2,100%,AVANCE[[#This Row],[BALCÓN]])</f>
        <v>0</v>
      </c>
      <c r="BM173" s="3">
        <f>+IF(AVANCE[[#This Row],[RED ALCANTARILLADO]]=U$2,100%,AVANCE[[#This Row],[RED ALCANTARILLADO]])</f>
        <v>0</v>
      </c>
      <c r="BN173" s="3">
        <f>+IF(AVANCE[[#This Row],[RED DE AGUA]]=V$2,100%,AVANCE[[#This Row],[RED DE AGUA]])</f>
        <v>0</v>
      </c>
      <c r="BO173" s="3">
        <f>+IF(AVANCE[[#This Row],[VENTILACIONES]]=W$2,100%,AVANCE[[#This Row],[VENTILACIONES]])</f>
        <v>0</v>
      </c>
      <c r="BP173" s="3">
        <f>+IF(AVANCE[[#This Row],[TINA]]=X$2,100%,AVANCE[[#This Row],[TINA]])</f>
        <v>0</v>
      </c>
      <c r="BQ173" s="3">
        <f>+IF(AVANCE[[#This Row],[WC]]=Y$2,100%,AVANCE[[#This Row],[WC]])</f>
        <v>0</v>
      </c>
      <c r="BR173" s="3">
        <f>+IF(AVANCE[[#This Row],[LAVAMANOS / LAVAPLATOS / LAVADERO]]=Z$2,100%,AVANCE[[#This Row],[LAVAMANOS / LAVAPLATOS / LAVADERO]])</f>
        <v>0</v>
      </c>
      <c r="BS173" s="3">
        <f>+IF(AVANCE[[#This Row],[CANALIZACIÓN]]=AC$2,100%,AVANCE[[#This Row],[CANALIZACIÓN]])</f>
        <v>0</v>
      </c>
      <c r="BT173" s="3">
        <f>+IF(AVANCE[[#This Row],[CABLEADO]]=AD$2,100%,AVANCE[[#This Row],[CABLEADO]])</f>
        <v>0</v>
      </c>
      <c r="BU173" s="3">
        <f>+IF(AVANCE[[#This Row],[ARTEFACTOS]]=AE$2,100%,AVANCE[[#This Row],[ARTEFACTOS]])</f>
        <v>0</v>
      </c>
      <c r="BV173" s="3">
        <f>+IF(AVANCE[[#This Row],[TABLERO]]=AF$2,100%,AVANCE[[#This Row],[TABLERO]])</f>
        <v>0</v>
      </c>
      <c r="BW173" s="3">
        <f>+IF(AVANCE[[#This Row],[CAJA PAU]]=AG$2,100%,AVANCE[[#This Row],[CAJA PAU]])</f>
        <v>0</v>
      </c>
      <c r="BX173" s="3">
        <f>+IF(AVANCE[[#This Row],[INSTALACION VINILICO]]=AJ$2,100%,AVANCE[[#This Row],[INSTALACION VINILICO]])</f>
        <v>0</v>
      </c>
      <c r="BY173" s="3">
        <f>+IF(AVANCE[[#This Row],[OSB CUBIERTA]]=AK$2,100%,AVANCE[[#This Row],[OSB CUBIERTA]])</f>
        <v>0</v>
      </c>
      <c r="BZ173" s="3">
        <f>+IF(AVANCE[[#This Row],[BARANDA BALCON]]=AL$2,100%,AVANCE[[#This Row],[BARANDA BALCON]])</f>
        <v>0</v>
      </c>
      <c r="CA173" s="3">
        <f>+IF(AVANCE[[#This Row],[OSB EXTERIOR]]=AM$2,100%,AVANCE[[#This Row],[OSB EXTERIOR]])</f>
        <v>0</v>
      </c>
      <c r="CB173" s="3">
        <f>+IF(AVANCE[[#This Row],[SMART PANEL]]=AN$2,100%,AVANCE[[#This Row],[SMART PANEL]])</f>
        <v>0</v>
      </c>
      <c r="CC173" s="3">
        <f>+IF(AVANCE[[#This Row],[PINTURA EXTERIOR]]=AO$2,100%,AVANCE[[#This Row],[PINTURA EXTERIOR]])</f>
        <v>0</v>
      </c>
      <c r="CD173" s="3">
        <f>+IF(AVANCE[[#This Row],[ZOCALOS LOGIA]]=AP$2,100%,AVANCE[[#This Row],[ZOCALOS LOGIA]])</f>
        <v>0</v>
      </c>
      <c r="CE173" s="3">
        <f>+IF(AVANCE[[#This Row],[MOLDURAS]]=AQ$2,100%,AVANCE[[#This Row],[MOLDURAS]])</f>
        <v>0</v>
      </c>
      <c r="CF173" s="3">
        <f>+IF(AVANCE[[#This Row],[PILASTREO]]=AR$2,100%,AVANCE[[#This Row],[PILASTREO]])</f>
        <v>0</v>
      </c>
      <c r="CG173" s="3">
        <f>+IF(AVANCE[[#This Row],[CELOSIAS]]=AS$2,100%,AVANCE[[#This Row],[CELOSIAS]])</f>
        <v>0</v>
      </c>
      <c r="CH173" s="3">
        <f>+IF(AVANCE[[#This Row],[VENTANAS]]=AT$2,100%,AVANCE[[#This Row],[VENTANAS]])</f>
        <v>0</v>
      </c>
      <c r="CI173" s="3">
        <f>+IF(AVANCE[[#This Row],[PUERTAS ACCESO - LOGIA - BANO]]=AU$2,100%,AVANCE[[#This Row],[PUERTAS ACCESO - LOGIA - BANO]])</f>
        <v>0</v>
      </c>
      <c r="CJ173" s="3">
        <f>+IF(AVANCE[[#This Row],[CERRADURAS]]=AV$2,100%,AVANCE[[#This Row],[CERRADURAS]])</f>
        <v>0</v>
      </c>
      <c r="CK173" s="3">
        <f>+IF(AVANCE[[#This Row],[REVESTIMIENTO INTERIOR ZONA SECA]]=AW$2,100%,AVANCE[[#This Row],[REVESTIMIENTO INTERIOR ZONA SECA]])</f>
        <v>0</v>
      </c>
      <c r="CL173" s="3">
        <f>+IF(AVANCE[[#This Row],[REVESTIMIENTO INTERIOR ZONAS HUMEDAS]]=AX$2,100%,AVANCE[[#This Row],[REVESTIMIENTO INTERIOR ZONAS HUMEDAS]])</f>
        <v>0</v>
      </c>
      <c r="CM173" s="3">
        <f>+IF(AVANCE[[#This Row],[MEMBRANA CIELO]]=AY$2,100%,AVANCE[[#This Row],[MEMBRANA CIELO]])</f>
        <v>0</v>
      </c>
      <c r="CN173" s="3">
        <f>+IF(AVANCE[[#This Row],[LIMPIEZA FINAL]]=AZ$2,100%,AVANCE[[#This Row],[LIMPIEZA FINAL]])</f>
        <v>0</v>
      </c>
      <c r="CO173" s="3">
        <f>+IF(AVANCE[[#This Row],[PUERTAS DORMITORIO]]=BA$2,100%,AVANCE[[#This Row],[PUERTAS DORMITORIO]])</f>
        <v>0</v>
      </c>
      <c r="CP173" s="3">
        <f>+IF(AVANCE[[#This Row],[REVESTIMIENTO INTERIOR BANO]]=BB$2,100%,AVANCE[[#This Row],[REVESTIMIENTO INTERIOR BANO]])</f>
        <v>0</v>
      </c>
      <c r="CQ173" s="3">
        <f>+IF(AVANCE[[#This Row],[MUEBLE LAVAPLATOS]]=BC$2,100%,AVANCE[[#This Row],[MUEBLE LAVAPLATOS]])</f>
        <v>0</v>
      </c>
      <c r="CR173" s="3">
        <f>+IF(AVANCE[[#This Row],[IMPERMEABILIZACION BANO - COCINA LOGIA]]=BD$2,100%,AVANCE[[#This Row],[IMPERMEABILIZACION BANO - COCINA LOGIA]])</f>
        <v>0</v>
      </c>
      <c r="CS173" s="40">
        <f ca="1">+IF(AVANCE[[#This Row],[ESTADO MODULO]]="PENDIENTE",(TODAY()-AVANCE[[#This Row],[FECHA TERMINO  PLANIFICADO]]),0)</f>
        <v>0</v>
      </c>
      <c r="CT173" s="41" t="str" cm="1">
        <f t="array" ref="CT173">_xlfn.TEXTJOIN(" | ",TRUE,IF(SUMPRODUCT((BG173:CR173&lt;1)*(PARTIDAS!$I$2:$AT$2="OBRA GRUESA"))&gt;0,"OBRA GRUESA: "&amp;_xlfn.TEXTJOIN(", ",TRUE,IF((BG173:CR173&lt;1)*(PARTIDAS!$I$2:$AT$2="OBRA GRUESA"),PARTIDAS!$I$1:$AT$1,"")),""),IF(SUMPRODUCT((BG173:CR173&lt;1)*(PARTIDAS!$I$2:$AT$2="SANITARIOS"))&gt;0,"SANITARIOS: "&amp;_xlfn.TEXTJOIN(", ",TRUE,IF((BG173:CR173&lt;1)*(PARTIDAS!$I$2:$AT$2="SANITARIOS"),PARTIDAS!$I$1:$AT$1,"")),""),IF(SUMPRODUCT((BG173:CR173&lt;1)*(PARTIDAS!$I$2:$AT$2="ELÉCTRICO"))&gt;0,"ELÉCTRICO: "&amp;_xlfn.TEXTJOIN(", ",TRUE,IF((BG173:CR173&lt;1)*(PARTIDAS!$I$2:$AT$2="ELÉCTRICO"),PARTIDAS!$I$1:$AT$1,"")),""),IF(SUMPRODUCT((BG173:CR173&lt;1)*(PARTIDAS!$I$2:$AT$2="TERMINACIONES"))&gt;0,"TERMINACIONES: "&amp;_xlfn.TEXTJOIN(", ",TRUE,IF((BG173:CR173&lt;1)*(PARTIDAS!$I$2:$AT$2="TERMINACIONES"),PARTIDAS!$I$1:$AT$1,"")),""))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3" s="43" t="str" cm="1">
        <f t="array" ref="CU173">_xlfn.TEXTJOIN(", ",TRUE,IF(SUMPRODUCT((BG173:CR173&lt;1)*(PARTIDAS!$I$2:$AT$2="OBRA GRUESA"))&gt;0,"OBRA GRUESA",""),IF(SUMPRODUCT((BG173:CR173&lt;1)*(PARTIDAS!$I$2:$AT$2="SANITARIOS"))&gt;0,"SANITARIOS",""),IF(SUMPRODUCT((BG173:CR173&lt;1)*(PARTIDAS!$I$2:$AT$2="ELÉCTRICO"))&gt;0,"ELÉCTRICO",""),IF(SUMPRODUCT((BG173:CR173&lt;1)*(PARTIDAS!$I$2:$AT$2="TERMINACIONES"))&gt;0,"TERMINACIONES",""))</f>
        <v>OBRA GRUESA, SANITARIOS, ELÉCTRICO, TERMINACIONES</v>
      </c>
      <c r="CV173" s="44" cm="1">
        <f t="array" ref="CV173">SUMPRODUCT(--(BG173:CR173&lt;1))</f>
        <v>38</v>
      </c>
    </row>
    <row r="174" spans="1:100" hidden="1" x14ac:dyDescent="0.25">
      <c r="A174" t="s">
        <v>223</v>
      </c>
      <c r="B174" t="s">
        <v>236</v>
      </c>
      <c r="C174">
        <v>2282600173</v>
      </c>
      <c r="D174" t="s">
        <v>58</v>
      </c>
      <c r="E174" s="2">
        <v>0</v>
      </c>
      <c r="F174" s="1">
        <v>46220</v>
      </c>
      <c r="G174" s="1"/>
      <c r="H174" s="1">
        <v>0</v>
      </c>
      <c r="I174" s="1">
        <v>46240</v>
      </c>
      <c r="J174">
        <v>46230</v>
      </c>
      <c r="K174" s="1"/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>
        <v>28.87</v>
      </c>
      <c r="BF174" s="3" t="str">
        <f>+IF(AVANCE[[#This Row],[% AVANCE]]=100%,"MODULO TERMINADO",IF(AVANCE[[#This Row],[FECHA INICIO REAL]]="","MODULO NO INICIADO","PENDIENTE"))</f>
        <v>MODULO NO INICIADO</v>
      </c>
      <c r="BG174" s="3">
        <f>+IF(AVANCE[[#This Row],[VENTANAS]]=8.10810810810811%,100%,AVANCE[[#This Row],[VENTANAS]])</f>
        <v>0</v>
      </c>
      <c r="BH174" s="3">
        <f>+IF(AVANCE[[#This Row],[PISO]]=N$2,100%,AVANCE[[#This Row],[PISO]])</f>
        <v>0</v>
      </c>
      <c r="BI174" s="3">
        <f>+IF(AVANCE[[#This Row],[TABIQUES]]=O$2,100%,AVANCE[[#This Row],[TABIQUES]])</f>
        <v>0</v>
      </c>
      <c r="BJ174" s="3">
        <f>+IF(AVANCE[[#This Row],[MUROS]]=P$2,100%,AVANCE[[#This Row],[MUROS]])</f>
        <v>0</v>
      </c>
      <c r="BK174" s="3">
        <f>+IF(AVANCE[[#This Row],[CIELO]]=Q$2,100%,AVANCE[[#This Row],[CIELO]])</f>
        <v>0</v>
      </c>
      <c r="BL174" s="3">
        <f>+IF(AVANCE[[#This Row],[BALCÓN]]=R$2,100%,AVANCE[[#This Row],[BALCÓN]])</f>
        <v>0</v>
      </c>
      <c r="BM174" s="3">
        <f>+IF(AVANCE[[#This Row],[RED ALCANTARILLADO]]=U$2,100%,AVANCE[[#This Row],[RED ALCANTARILLADO]])</f>
        <v>0</v>
      </c>
      <c r="BN174" s="3">
        <f>+IF(AVANCE[[#This Row],[RED DE AGUA]]=V$2,100%,AVANCE[[#This Row],[RED DE AGUA]])</f>
        <v>0</v>
      </c>
      <c r="BO174" s="3">
        <f>+IF(AVANCE[[#This Row],[VENTILACIONES]]=W$2,100%,AVANCE[[#This Row],[VENTILACIONES]])</f>
        <v>0</v>
      </c>
      <c r="BP174" s="3">
        <f>+IF(AVANCE[[#This Row],[TINA]]=X$2,100%,AVANCE[[#This Row],[TINA]])</f>
        <v>0</v>
      </c>
      <c r="BQ174" s="3">
        <f>+IF(AVANCE[[#This Row],[WC]]=Y$2,100%,AVANCE[[#This Row],[WC]])</f>
        <v>0</v>
      </c>
      <c r="BR174" s="3">
        <f>+IF(AVANCE[[#This Row],[LAVAMANOS / LAVAPLATOS / LAVADERO]]=Z$2,100%,AVANCE[[#This Row],[LAVAMANOS / LAVAPLATOS / LAVADERO]])</f>
        <v>0</v>
      </c>
      <c r="BS174" s="3">
        <f>+IF(AVANCE[[#This Row],[CANALIZACIÓN]]=AC$2,100%,AVANCE[[#This Row],[CANALIZACIÓN]])</f>
        <v>0</v>
      </c>
      <c r="BT174" s="3">
        <f>+IF(AVANCE[[#This Row],[CABLEADO]]=AD$2,100%,AVANCE[[#This Row],[CABLEADO]])</f>
        <v>0</v>
      </c>
      <c r="BU174" s="3">
        <f>+IF(AVANCE[[#This Row],[ARTEFACTOS]]=AE$2,100%,AVANCE[[#This Row],[ARTEFACTOS]])</f>
        <v>0</v>
      </c>
      <c r="BV174" s="3">
        <f>+IF(AVANCE[[#This Row],[TABLERO]]=AF$2,100%,AVANCE[[#This Row],[TABLERO]])</f>
        <v>0</v>
      </c>
      <c r="BW174" s="3">
        <f>+IF(AVANCE[[#This Row],[CAJA PAU]]=AG$2,100%,AVANCE[[#This Row],[CAJA PAU]])</f>
        <v>0</v>
      </c>
      <c r="BX174" s="3">
        <f>+IF(AVANCE[[#This Row],[INSTALACION VINILICO]]=AJ$2,100%,AVANCE[[#This Row],[INSTALACION VINILICO]])</f>
        <v>0</v>
      </c>
      <c r="BY174" s="3">
        <f>+IF(AVANCE[[#This Row],[OSB CUBIERTA]]=AK$2,100%,AVANCE[[#This Row],[OSB CUBIERTA]])</f>
        <v>0</v>
      </c>
      <c r="BZ174" s="3">
        <f>+IF(AVANCE[[#This Row],[BARANDA BALCON]]=AL$2,100%,AVANCE[[#This Row],[BARANDA BALCON]])</f>
        <v>0</v>
      </c>
      <c r="CA174" s="3">
        <f>+IF(AVANCE[[#This Row],[OSB EXTERIOR]]=AM$2,100%,AVANCE[[#This Row],[OSB EXTERIOR]])</f>
        <v>0</v>
      </c>
      <c r="CB174" s="3">
        <f>+IF(AVANCE[[#This Row],[SMART PANEL]]=AN$2,100%,AVANCE[[#This Row],[SMART PANEL]])</f>
        <v>0</v>
      </c>
      <c r="CC174" s="3">
        <f>+IF(AVANCE[[#This Row],[PINTURA EXTERIOR]]=AO$2,100%,AVANCE[[#This Row],[PINTURA EXTERIOR]])</f>
        <v>0</v>
      </c>
      <c r="CD174" s="3">
        <f>+IF(AVANCE[[#This Row],[ZOCALOS LOGIA]]=AP$2,100%,AVANCE[[#This Row],[ZOCALOS LOGIA]])</f>
        <v>0</v>
      </c>
      <c r="CE174" s="3">
        <f>+IF(AVANCE[[#This Row],[MOLDURAS]]=AQ$2,100%,AVANCE[[#This Row],[MOLDURAS]])</f>
        <v>0</v>
      </c>
      <c r="CF174" s="3">
        <f>+IF(AVANCE[[#This Row],[PILASTREO]]=AR$2,100%,AVANCE[[#This Row],[PILASTREO]])</f>
        <v>0</v>
      </c>
      <c r="CG174" s="3">
        <f>+IF(AVANCE[[#This Row],[CELOSIAS]]=AS$2,100%,AVANCE[[#This Row],[CELOSIAS]])</f>
        <v>0</v>
      </c>
      <c r="CH174" s="3">
        <f>+IF(AVANCE[[#This Row],[VENTANAS]]=AT$2,100%,AVANCE[[#This Row],[VENTANAS]])</f>
        <v>0</v>
      </c>
      <c r="CI174" s="3">
        <f>+IF(AVANCE[[#This Row],[PUERTAS ACCESO - LOGIA - BANO]]=AU$2,100%,AVANCE[[#This Row],[PUERTAS ACCESO - LOGIA - BANO]])</f>
        <v>0</v>
      </c>
      <c r="CJ174" s="3">
        <f>+IF(AVANCE[[#This Row],[CERRADURAS]]=AV$2,100%,AVANCE[[#This Row],[CERRADURAS]])</f>
        <v>0</v>
      </c>
      <c r="CK174" s="3">
        <f>+IF(AVANCE[[#This Row],[REVESTIMIENTO INTERIOR ZONA SECA]]=AW$2,100%,AVANCE[[#This Row],[REVESTIMIENTO INTERIOR ZONA SECA]])</f>
        <v>0</v>
      </c>
      <c r="CL174" s="3">
        <f>+IF(AVANCE[[#This Row],[REVESTIMIENTO INTERIOR ZONAS HUMEDAS]]=AX$2,100%,AVANCE[[#This Row],[REVESTIMIENTO INTERIOR ZONAS HUMEDAS]])</f>
        <v>0</v>
      </c>
      <c r="CM174" s="3">
        <f>+IF(AVANCE[[#This Row],[MEMBRANA CIELO]]=AY$2,100%,AVANCE[[#This Row],[MEMBRANA CIELO]])</f>
        <v>0</v>
      </c>
      <c r="CN174" s="3">
        <f>+IF(AVANCE[[#This Row],[LIMPIEZA FINAL]]=AZ$2,100%,AVANCE[[#This Row],[LIMPIEZA FINAL]])</f>
        <v>0</v>
      </c>
      <c r="CO174" s="3">
        <f>+IF(AVANCE[[#This Row],[PUERTAS DORMITORIO]]=BA$2,100%,AVANCE[[#This Row],[PUERTAS DORMITORIO]])</f>
        <v>0</v>
      </c>
      <c r="CP174" s="3">
        <f>+IF(AVANCE[[#This Row],[REVESTIMIENTO INTERIOR BANO]]=BB$2,100%,AVANCE[[#This Row],[REVESTIMIENTO INTERIOR BANO]])</f>
        <v>0</v>
      </c>
      <c r="CQ174" s="3">
        <f>+IF(AVANCE[[#This Row],[MUEBLE LAVAPLATOS]]=BC$2,100%,AVANCE[[#This Row],[MUEBLE LAVAPLATOS]])</f>
        <v>0</v>
      </c>
      <c r="CR174" s="3">
        <f>+IF(AVANCE[[#This Row],[IMPERMEABILIZACION BANO - COCINA LOGIA]]=BD$2,100%,AVANCE[[#This Row],[IMPERMEABILIZACION BANO - COCINA LOGIA]])</f>
        <v>0</v>
      </c>
      <c r="CS174" s="40">
        <f ca="1">+IF(AVANCE[[#This Row],[ESTADO MODULO]]="PENDIENTE",(TODAY()-AVANCE[[#This Row],[FECHA TERMINO  PLANIFICADO]]),0)</f>
        <v>0</v>
      </c>
      <c r="CT174" s="41" t="str" cm="1">
        <f t="array" ref="CT174">_xlfn.TEXTJOIN(" | ",TRUE,IF(SUMPRODUCT((BG174:CR174&lt;1)*(PARTIDAS!$I$2:$AT$2="OBRA GRUESA"))&gt;0,"OBRA GRUESA: "&amp;_xlfn.TEXTJOIN(", ",TRUE,IF((BG174:CR174&lt;1)*(PARTIDAS!$I$2:$AT$2="OBRA GRUESA"),PARTIDAS!$I$1:$AT$1,"")),""),IF(SUMPRODUCT((BG174:CR174&lt;1)*(PARTIDAS!$I$2:$AT$2="SANITARIOS"))&gt;0,"SANITARIOS: "&amp;_xlfn.TEXTJOIN(", ",TRUE,IF((BG174:CR174&lt;1)*(PARTIDAS!$I$2:$AT$2="SANITARIOS"),PARTIDAS!$I$1:$AT$1,"")),""),IF(SUMPRODUCT((BG174:CR174&lt;1)*(PARTIDAS!$I$2:$AT$2="ELÉCTRICO"))&gt;0,"ELÉCTRICO: "&amp;_xlfn.TEXTJOIN(", ",TRUE,IF((BG174:CR174&lt;1)*(PARTIDAS!$I$2:$AT$2="ELÉCTRICO"),PARTIDAS!$I$1:$AT$1,"")),""),IF(SUMPRODUCT((BG174:CR174&lt;1)*(PARTIDAS!$I$2:$AT$2="TERMINACIONES"))&gt;0,"TERMINACIONES: "&amp;_xlfn.TEXTJOIN(", ",TRUE,IF((BG174:CR174&lt;1)*(PARTIDAS!$I$2:$AT$2="TERMINACIONES"),PARTIDAS!$I$1:$AT$1,"")),""))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4" s="43" t="str" cm="1">
        <f t="array" ref="CU174">_xlfn.TEXTJOIN(", ",TRUE,IF(SUMPRODUCT((BG174:CR174&lt;1)*(PARTIDAS!$I$2:$AT$2="OBRA GRUESA"))&gt;0,"OBRA GRUESA",""),IF(SUMPRODUCT((BG174:CR174&lt;1)*(PARTIDAS!$I$2:$AT$2="SANITARIOS"))&gt;0,"SANITARIOS",""),IF(SUMPRODUCT((BG174:CR174&lt;1)*(PARTIDAS!$I$2:$AT$2="ELÉCTRICO"))&gt;0,"ELÉCTRICO",""),IF(SUMPRODUCT((BG174:CR174&lt;1)*(PARTIDAS!$I$2:$AT$2="TERMINACIONES"))&gt;0,"TERMINACIONES",""))</f>
        <v>OBRA GRUESA, SANITARIOS, ELÉCTRICO, TERMINACIONES</v>
      </c>
      <c r="CV174" s="44" cm="1">
        <f t="array" ref="CV174">SUMPRODUCT(--(BG174:CR174&lt;1))</f>
        <v>38</v>
      </c>
    </row>
    <row r="175" spans="1:100" hidden="1" x14ac:dyDescent="0.25">
      <c r="A175" t="s">
        <v>223</v>
      </c>
      <c r="B175" t="s">
        <v>237</v>
      </c>
      <c r="C175">
        <v>2302600174</v>
      </c>
      <c r="D175" t="s">
        <v>60</v>
      </c>
      <c r="E175" s="2">
        <v>0</v>
      </c>
      <c r="F175" s="1">
        <v>46223</v>
      </c>
      <c r="G175" s="1"/>
      <c r="H175" s="1">
        <v>0</v>
      </c>
      <c r="I175" s="1">
        <v>46253</v>
      </c>
      <c r="J175">
        <v>46230</v>
      </c>
      <c r="K175" s="1"/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>
        <v>31.32</v>
      </c>
      <c r="BF175" s="3" t="str">
        <f>+IF(AVANCE[[#This Row],[% AVANCE]]=100%,"MODULO TERMINADO",IF(AVANCE[[#This Row],[FECHA INICIO REAL]]="","MODULO NO INICIADO","PENDIENTE"))</f>
        <v>MODULO NO INICIADO</v>
      </c>
      <c r="BG175" s="3">
        <f>+IF(AVANCE[[#This Row],[VENTANAS]]=8.10810810810811%,100%,AVANCE[[#This Row],[VENTANAS]])</f>
        <v>0</v>
      </c>
      <c r="BH175" s="3">
        <f>+IF(AVANCE[[#This Row],[PISO]]=N$2,100%,AVANCE[[#This Row],[PISO]])</f>
        <v>0</v>
      </c>
      <c r="BI175" s="3">
        <f>+IF(AVANCE[[#This Row],[TABIQUES]]=O$2,100%,AVANCE[[#This Row],[TABIQUES]])</f>
        <v>0</v>
      </c>
      <c r="BJ175" s="3">
        <f>+IF(AVANCE[[#This Row],[MUROS]]=P$2,100%,AVANCE[[#This Row],[MUROS]])</f>
        <v>0</v>
      </c>
      <c r="BK175" s="3">
        <f>+IF(AVANCE[[#This Row],[CIELO]]=Q$2,100%,AVANCE[[#This Row],[CIELO]])</f>
        <v>0</v>
      </c>
      <c r="BL175" s="3">
        <f>+IF(AVANCE[[#This Row],[BALCÓN]]=R$2,100%,AVANCE[[#This Row],[BALCÓN]])</f>
        <v>0</v>
      </c>
      <c r="BM175" s="3">
        <f>+IF(AVANCE[[#This Row],[RED ALCANTARILLADO]]=U$2,100%,AVANCE[[#This Row],[RED ALCANTARILLADO]])</f>
        <v>0</v>
      </c>
      <c r="BN175" s="3">
        <f>+IF(AVANCE[[#This Row],[RED DE AGUA]]=V$2,100%,AVANCE[[#This Row],[RED DE AGUA]])</f>
        <v>0</v>
      </c>
      <c r="BO175" s="3">
        <f>+IF(AVANCE[[#This Row],[VENTILACIONES]]=W$2,100%,AVANCE[[#This Row],[VENTILACIONES]])</f>
        <v>0</v>
      </c>
      <c r="BP175" s="3">
        <f>+IF(AVANCE[[#This Row],[TINA]]=X$2,100%,AVANCE[[#This Row],[TINA]])</f>
        <v>0</v>
      </c>
      <c r="BQ175" s="3">
        <f>+IF(AVANCE[[#This Row],[WC]]=Y$2,100%,AVANCE[[#This Row],[WC]])</f>
        <v>0</v>
      </c>
      <c r="BR175" s="3">
        <f>+IF(AVANCE[[#This Row],[LAVAMANOS / LAVAPLATOS / LAVADERO]]=Z$2,100%,AVANCE[[#This Row],[LAVAMANOS / LAVAPLATOS / LAVADERO]])</f>
        <v>0</v>
      </c>
      <c r="BS175" s="3">
        <f>+IF(AVANCE[[#This Row],[CANALIZACIÓN]]=AC$2,100%,AVANCE[[#This Row],[CANALIZACIÓN]])</f>
        <v>0</v>
      </c>
      <c r="BT175" s="3">
        <f>+IF(AVANCE[[#This Row],[CABLEADO]]=AD$2,100%,AVANCE[[#This Row],[CABLEADO]])</f>
        <v>0</v>
      </c>
      <c r="BU175" s="3">
        <f>+IF(AVANCE[[#This Row],[ARTEFACTOS]]=AE$2,100%,AVANCE[[#This Row],[ARTEFACTOS]])</f>
        <v>0</v>
      </c>
      <c r="BV175" s="3">
        <f>+IF(AVANCE[[#This Row],[TABLERO]]=AF$2,100%,AVANCE[[#This Row],[TABLERO]])</f>
        <v>0</v>
      </c>
      <c r="BW175" s="3">
        <f>+IF(AVANCE[[#This Row],[CAJA PAU]]=AG$2,100%,AVANCE[[#This Row],[CAJA PAU]])</f>
        <v>0</v>
      </c>
      <c r="BX175" s="3">
        <f>+IF(AVANCE[[#This Row],[INSTALACION VINILICO]]=AJ$2,100%,AVANCE[[#This Row],[INSTALACION VINILICO]])</f>
        <v>0</v>
      </c>
      <c r="BY175" s="3">
        <f>+IF(AVANCE[[#This Row],[OSB CUBIERTA]]=AK$2,100%,AVANCE[[#This Row],[OSB CUBIERTA]])</f>
        <v>0</v>
      </c>
      <c r="BZ175" s="3">
        <f>+IF(AVANCE[[#This Row],[BARANDA BALCON]]=AL$2,100%,AVANCE[[#This Row],[BARANDA BALCON]])</f>
        <v>0</v>
      </c>
      <c r="CA175" s="3">
        <f>+IF(AVANCE[[#This Row],[OSB EXTERIOR]]=AM$2,100%,AVANCE[[#This Row],[OSB EXTERIOR]])</f>
        <v>0</v>
      </c>
      <c r="CB175" s="3">
        <f>+IF(AVANCE[[#This Row],[SMART PANEL]]=AN$2,100%,AVANCE[[#This Row],[SMART PANEL]])</f>
        <v>0</v>
      </c>
      <c r="CC175" s="3">
        <f>+IF(AVANCE[[#This Row],[PINTURA EXTERIOR]]=AO$2,100%,AVANCE[[#This Row],[PINTURA EXTERIOR]])</f>
        <v>0</v>
      </c>
      <c r="CD175" s="3">
        <f>+IF(AVANCE[[#This Row],[ZOCALOS LOGIA]]=AP$2,100%,AVANCE[[#This Row],[ZOCALOS LOGIA]])</f>
        <v>0</v>
      </c>
      <c r="CE175" s="3">
        <f>+IF(AVANCE[[#This Row],[MOLDURAS]]=AQ$2,100%,AVANCE[[#This Row],[MOLDURAS]])</f>
        <v>0</v>
      </c>
      <c r="CF175" s="3">
        <f>+IF(AVANCE[[#This Row],[PILASTREO]]=AR$2,100%,AVANCE[[#This Row],[PILASTREO]])</f>
        <v>0</v>
      </c>
      <c r="CG175" s="3">
        <f>+IF(AVANCE[[#This Row],[CELOSIAS]]=AS$2,100%,AVANCE[[#This Row],[CELOSIAS]])</f>
        <v>0</v>
      </c>
      <c r="CH175" s="3">
        <f>+IF(AVANCE[[#This Row],[VENTANAS]]=AT$2,100%,AVANCE[[#This Row],[VENTANAS]])</f>
        <v>0</v>
      </c>
      <c r="CI175" s="3">
        <f>+IF(AVANCE[[#This Row],[PUERTAS ACCESO - LOGIA - BANO]]=AU$2,100%,AVANCE[[#This Row],[PUERTAS ACCESO - LOGIA - BANO]])</f>
        <v>0</v>
      </c>
      <c r="CJ175" s="3">
        <f>+IF(AVANCE[[#This Row],[CERRADURAS]]=AV$2,100%,AVANCE[[#This Row],[CERRADURAS]])</f>
        <v>0</v>
      </c>
      <c r="CK175" s="3">
        <f>+IF(AVANCE[[#This Row],[REVESTIMIENTO INTERIOR ZONA SECA]]=AW$2,100%,AVANCE[[#This Row],[REVESTIMIENTO INTERIOR ZONA SECA]])</f>
        <v>0</v>
      </c>
      <c r="CL175" s="3">
        <f>+IF(AVANCE[[#This Row],[REVESTIMIENTO INTERIOR ZONAS HUMEDAS]]=AX$2,100%,AVANCE[[#This Row],[REVESTIMIENTO INTERIOR ZONAS HUMEDAS]])</f>
        <v>0</v>
      </c>
      <c r="CM175" s="3">
        <f>+IF(AVANCE[[#This Row],[MEMBRANA CIELO]]=AY$2,100%,AVANCE[[#This Row],[MEMBRANA CIELO]])</f>
        <v>0</v>
      </c>
      <c r="CN175" s="3">
        <f>+IF(AVANCE[[#This Row],[LIMPIEZA FINAL]]=AZ$2,100%,AVANCE[[#This Row],[LIMPIEZA FINAL]])</f>
        <v>0</v>
      </c>
      <c r="CO175" s="3">
        <f>+IF(AVANCE[[#This Row],[PUERTAS DORMITORIO]]=BA$2,100%,AVANCE[[#This Row],[PUERTAS DORMITORIO]])</f>
        <v>0</v>
      </c>
      <c r="CP175" s="3">
        <f>+IF(AVANCE[[#This Row],[REVESTIMIENTO INTERIOR BANO]]=BB$2,100%,AVANCE[[#This Row],[REVESTIMIENTO INTERIOR BANO]])</f>
        <v>0</v>
      </c>
      <c r="CQ175" s="3">
        <f>+IF(AVANCE[[#This Row],[MUEBLE LAVAPLATOS]]=BC$2,100%,AVANCE[[#This Row],[MUEBLE LAVAPLATOS]])</f>
        <v>0</v>
      </c>
      <c r="CR175" s="3">
        <f>+IF(AVANCE[[#This Row],[IMPERMEABILIZACION BANO - COCINA LOGIA]]=BD$2,100%,AVANCE[[#This Row],[IMPERMEABILIZACION BANO - COCINA LOGIA]])</f>
        <v>0</v>
      </c>
      <c r="CS175" s="40">
        <f ca="1">+IF(AVANCE[[#This Row],[ESTADO MODULO]]="PENDIENTE",(TODAY()-AVANCE[[#This Row],[FECHA TERMINO  PLANIFICADO]]),0)</f>
        <v>0</v>
      </c>
      <c r="CT175" s="41" t="str" cm="1">
        <f t="array" ref="CT175">_xlfn.TEXTJOIN(" | ",TRUE,IF(SUMPRODUCT((BG175:CR175&lt;1)*(PARTIDAS!$I$2:$AT$2="OBRA GRUESA"))&gt;0,"OBRA GRUESA: "&amp;_xlfn.TEXTJOIN(", ",TRUE,IF((BG175:CR175&lt;1)*(PARTIDAS!$I$2:$AT$2="OBRA GRUESA"),PARTIDAS!$I$1:$AT$1,"")),""),IF(SUMPRODUCT((BG175:CR175&lt;1)*(PARTIDAS!$I$2:$AT$2="SANITARIOS"))&gt;0,"SANITARIOS: "&amp;_xlfn.TEXTJOIN(", ",TRUE,IF((BG175:CR175&lt;1)*(PARTIDAS!$I$2:$AT$2="SANITARIOS"),PARTIDAS!$I$1:$AT$1,"")),""),IF(SUMPRODUCT((BG175:CR175&lt;1)*(PARTIDAS!$I$2:$AT$2="ELÉCTRICO"))&gt;0,"ELÉCTRICO: "&amp;_xlfn.TEXTJOIN(", ",TRUE,IF((BG175:CR175&lt;1)*(PARTIDAS!$I$2:$AT$2="ELÉCTRICO"),PARTIDAS!$I$1:$AT$1,"")),""),IF(SUMPRODUCT((BG175:CR175&lt;1)*(PARTIDAS!$I$2:$AT$2="TERMINACIONES"))&gt;0,"TERMINACIONES: "&amp;_xlfn.TEXTJOIN(", ",TRUE,IF((BG175:CR175&lt;1)*(PARTIDAS!$I$2:$AT$2="TERMINACIONES"),PARTIDAS!$I$1:$AT$1,"")),""))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5" s="43" t="str" cm="1">
        <f t="array" ref="CU175">_xlfn.TEXTJOIN(", ",TRUE,IF(SUMPRODUCT((BG175:CR175&lt;1)*(PARTIDAS!$I$2:$AT$2="OBRA GRUESA"))&gt;0,"OBRA GRUESA",""),IF(SUMPRODUCT((BG175:CR175&lt;1)*(PARTIDAS!$I$2:$AT$2="SANITARIOS"))&gt;0,"SANITARIOS",""),IF(SUMPRODUCT((BG175:CR175&lt;1)*(PARTIDAS!$I$2:$AT$2="ELÉCTRICO"))&gt;0,"ELÉCTRICO",""),IF(SUMPRODUCT((BG175:CR175&lt;1)*(PARTIDAS!$I$2:$AT$2="TERMINACIONES"))&gt;0,"TERMINACIONES",""))</f>
        <v>OBRA GRUESA, SANITARIOS, ELÉCTRICO, TERMINACIONES</v>
      </c>
      <c r="CV175" s="44" cm="1">
        <f t="array" ref="CV175">SUMPRODUCT(--(BG175:CR175&lt;1))</f>
        <v>38</v>
      </c>
    </row>
    <row r="176" spans="1:100" hidden="1" x14ac:dyDescent="0.25">
      <c r="A176" t="s">
        <v>223</v>
      </c>
      <c r="B176" t="s">
        <v>238</v>
      </c>
      <c r="C176">
        <v>2302600175</v>
      </c>
      <c r="D176" t="s">
        <v>60</v>
      </c>
      <c r="E176" s="2">
        <v>0</v>
      </c>
      <c r="F176" s="1">
        <v>46223</v>
      </c>
      <c r="G176" s="1"/>
      <c r="H176" s="1">
        <v>0</v>
      </c>
      <c r="I176" s="1">
        <v>46253</v>
      </c>
      <c r="J176">
        <v>46230</v>
      </c>
      <c r="K176" s="1"/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>
        <v>31.32</v>
      </c>
      <c r="BF176" s="3" t="str">
        <f>+IF(AVANCE[[#This Row],[% AVANCE]]=100%,"MODULO TERMINADO",IF(AVANCE[[#This Row],[FECHA INICIO REAL]]="","MODULO NO INICIADO","PENDIENTE"))</f>
        <v>MODULO NO INICIADO</v>
      </c>
      <c r="BG176" s="3">
        <f>+IF(AVANCE[[#This Row],[VENTANAS]]=8.10810810810811%,100%,AVANCE[[#This Row],[VENTANAS]])</f>
        <v>0</v>
      </c>
      <c r="BH176" s="3">
        <f>+IF(AVANCE[[#This Row],[PISO]]=N$2,100%,AVANCE[[#This Row],[PISO]])</f>
        <v>0</v>
      </c>
      <c r="BI176" s="3">
        <f>+IF(AVANCE[[#This Row],[TABIQUES]]=O$2,100%,AVANCE[[#This Row],[TABIQUES]])</f>
        <v>0</v>
      </c>
      <c r="BJ176" s="3">
        <f>+IF(AVANCE[[#This Row],[MUROS]]=P$2,100%,AVANCE[[#This Row],[MUROS]])</f>
        <v>0</v>
      </c>
      <c r="BK176" s="3">
        <f>+IF(AVANCE[[#This Row],[CIELO]]=Q$2,100%,AVANCE[[#This Row],[CIELO]])</f>
        <v>0</v>
      </c>
      <c r="BL176" s="3">
        <f>+IF(AVANCE[[#This Row],[BALCÓN]]=R$2,100%,AVANCE[[#This Row],[BALCÓN]])</f>
        <v>0</v>
      </c>
      <c r="BM176" s="3">
        <f>+IF(AVANCE[[#This Row],[RED ALCANTARILLADO]]=U$2,100%,AVANCE[[#This Row],[RED ALCANTARILLADO]])</f>
        <v>0</v>
      </c>
      <c r="BN176" s="3">
        <f>+IF(AVANCE[[#This Row],[RED DE AGUA]]=V$2,100%,AVANCE[[#This Row],[RED DE AGUA]])</f>
        <v>0</v>
      </c>
      <c r="BO176" s="3">
        <f>+IF(AVANCE[[#This Row],[VENTILACIONES]]=W$2,100%,AVANCE[[#This Row],[VENTILACIONES]])</f>
        <v>0</v>
      </c>
      <c r="BP176" s="3">
        <f>+IF(AVANCE[[#This Row],[TINA]]=X$2,100%,AVANCE[[#This Row],[TINA]])</f>
        <v>0</v>
      </c>
      <c r="BQ176" s="3">
        <f>+IF(AVANCE[[#This Row],[WC]]=Y$2,100%,AVANCE[[#This Row],[WC]])</f>
        <v>0</v>
      </c>
      <c r="BR176" s="3">
        <f>+IF(AVANCE[[#This Row],[LAVAMANOS / LAVAPLATOS / LAVADERO]]=Z$2,100%,AVANCE[[#This Row],[LAVAMANOS / LAVAPLATOS / LAVADERO]])</f>
        <v>0</v>
      </c>
      <c r="BS176" s="3">
        <f>+IF(AVANCE[[#This Row],[CANALIZACIÓN]]=AC$2,100%,AVANCE[[#This Row],[CANALIZACIÓN]])</f>
        <v>0</v>
      </c>
      <c r="BT176" s="3">
        <f>+IF(AVANCE[[#This Row],[CABLEADO]]=AD$2,100%,AVANCE[[#This Row],[CABLEADO]])</f>
        <v>0</v>
      </c>
      <c r="BU176" s="3">
        <f>+IF(AVANCE[[#This Row],[ARTEFACTOS]]=AE$2,100%,AVANCE[[#This Row],[ARTEFACTOS]])</f>
        <v>0</v>
      </c>
      <c r="BV176" s="3">
        <f>+IF(AVANCE[[#This Row],[TABLERO]]=AF$2,100%,AVANCE[[#This Row],[TABLERO]])</f>
        <v>0</v>
      </c>
      <c r="BW176" s="3">
        <f>+IF(AVANCE[[#This Row],[CAJA PAU]]=AG$2,100%,AVANCE[[#This Row],[CAJA PAU]])</f>
        <v>0</v>
      </c>
      <c r="BX176" s="3">
        <f>+IF(AVANCE[[#This Row],[INSTALACION VINILICO]]=AJ$2,100%,AVANCE[[#This Row],[INSTALACION VINILICO]])</f>
        <v>0</v>
      </c>
      <c r="BY176" s="3">
        <f>+IF(AVANCE[[#This Row],[OSB CUBIERTA]]=AK$2,100%,AVANCE[[#This Row],[OSB CUBIERTA]])</f>
        <v>0</v>
      </c>
      <c r="BZ176" s="3">
        <f>+IF(AVANCE[[#This Row],[BARANDA BALCON]]=AL$2,100%,AVANCE[[#This Row],[BARANDA BALCON]])</f>
        <v>0</v>
      </c>
      <c r="CA176" s="3">
        <f>+IF(AVANCE[[#This Row],[OSB EXTERIOR]]=AM$2,100%,AVANCE[[#This Row],[OSB EXTERIOR]])</f>
        <v>0</v>
      </c>
      <c r="CB176" s="3">
        <f>+IF(AVANCE[[#This Row],[SMART PANEL]]=AN$2,100%,AVANCE[[#This Row],[SMART PANEL]])</f>
        <v>0</v>
      </c>
      <c r="CC176" s="3">
        <f>+IF(AVANCE[[#This Row],[PINTURA EXTERIOR]]=AO$2,100%,AVANCE[[#This Row],[PINTURA EXTERIOR]])</f>
        <v>0</v>
      </c>
      <c r="CD176" s="3">
        <f>+IF(AVANCE[[#This Row],[ZOCALOS LOGIA]]=AP$2,100%,AVANCE[[#This Row],[ZOCALOS LOGIA]])</f>
        <v>0</v>
      </c>
      <c r="CE176" s="3">
        <f>+IF(AVANCE[[#This Row],[MOLDURAS]]=AQ$2,100%,AVANCE[[#This Row],[MOLDURAS]])</f>
        <v>0</v>
      </c>
      <c r="CF176" s="3">
        <f>+IF(AVANCE[[#This Row],[PILASTREO]]=AR$2,100%,AVANCE[[#This Row],[PILASTREO]])</f>
        <v>0</v>
      </c>
      <c r="CG176" s="3">
        <f>+IF(AVANCE[[#This Row],[CELOSIAS]]=AS$2,100%,AVANCE[[#This Row],[CELOSIAS]])</f>
        <v>0</v>
      </c>
      <c r="CH176" s="3">
        <f>+IF(AVANCE[[#This Row],[VENTANAS]]=AT$2,100%,AVANCE[[#This Row],[VENTANAS]])</f>
        <v>0</v>
      </c>
      <c r="CI176" s="3">
        <f>+IF(AVANCE[[#This Row],[PUERTAS ACCESO - LOGIA - BANO]]=AU$2,100%,AVANCE[[#This Row],[PUERTAS ACCESO - LOGIA - BANO]])</f>
        <v>0</v>
      </c>
      <c r="CJ176" s="3">
        <f>+IF(AVANCE[[#This Row],[CERRADURAS]]=AV$2,100%,AVANCE[[#This Row],[CERRADURAS]])</f>
        <v>0</v>
      </c>
      <c r="CK176" s="3">
        <f>+IF(AVANCE[[#This Row],[REVESTIMIENTO INTERIOR ZONA SECA]]=AW$2,100%,AVANCE[[#This Row],[REVESTIMIENTO INTERIOR ZONA SECA]])</f>
        <v>0</v>
      </c>
      <c r="CL176" s="3">
        <f>+IF(AVANCE[[#This Row],[REVESTIMIENTO INTERIOR ZONAS HUMEDAS]]=AX$2,100%,AVANCE[[#This Row],[REVESTIMIENTO INTERIOR ZONAS HUMEDAS]])</f>
        <v>0</v>
      </c>
      <c r="CM176" s="3">
        <f>+IF(AVANCE[[#This Row],[MEMBRANA CIELO]]=AY$2,100%,AVANCE[[#This Row],[MEMBRANA CIELO]])</f>
        <v>0</v>
      </c>
      <c r="CN176" s="3">
        <f>+IF(AVANCE[[#This Row],[LIMPIEZA FINAL]]=AZ$2,100%,AVANCE[[#This Row],[LIMPIEZA FINAL]])</f>
        <v>0</v>
      </c>
      <c r="CO176" s="3">
        <f>+IF(AVANCE[[#This Row],[PUERTAS DORMITORIO]]=BA$2,100%,AVANCE[[#This Row],[PUERTAS DORMITORIO]])</f>
        <v>0</v>
      </c>
      <c r="CP176" s="3">
        <f>+IF(AVANCE[[#This Row],[REVESTIMIENTO INTERIOR BANO]]=BB$2,100%,AVANCE[[#This Row],[REVESTIMIENTO INTERIOR BANO]])</f>
        <v>0</v>
      </c>
      <c r="CQ176" s="3">
        <f>+IF(AVANCE[[#This Row],[MUEBLE LAVAPLATOS]]=BC$2,100%,AVANCE[[#This Row],[MUEBLE LAVAPLATOS]])</f>
        <v>0</v>
      </c>
      <c r="CR176" s="3">
        <f>+IF(AVANCE[[#This Row],[IMPERMEABILIZACION BANO - COCINA LOGIA]]=BD$2,100%,AVANCE[[#This Row],[IMPERMEABILIZACION BANO - COCINA LOGIA]])</f>
        <v>0</v>
      </c>
      <c r="CS176" s="40">
        <f ca="1">+IF(AVANCE[[#This Row],[ESTADO MODULO]]="PENDIENTE",(TODAY()-AVANCE[[#This Row],[FECHA TERMINO  PLANIFICADO]]),0)</f>
        <v>0</v>
      </c>
      <c r="CT176" s="41" t="str" cm="1">
        <f t="array" ref="CT176">_xlfn.TEXTJOIN(" | ",TRUE,IF(SUMPRODUCT((BG176:CR176&lt;1)*(PARTIDAS!$I$2:$AT$2="OBRA GRUESA"))&gt;0,"OBRA GRUESA: "&amp;_xlfn.TEXTJOIN(", ",TRUE,IF((BG176:CR176&lt;1)*(PARTIDAS!$I$2:$AT$2="OBRA GRUESA"),PARTIDAS!$I$1:$AT$1,"")),""),IF(SUMPRODUCT((BG176:CR176&lt;1)*(PARTIDAS!$I$2:$AT$2="SANITARIOS"))&gt;0,"SANITARIOS: "&amp;_xlfn.TEXTJOIN(", ",TRUE,IF((BG176:CR176&lt;1)*(PARTIDAS!$I$2:$AT$2="SANITARIOS"),PARTIDAS!$I$1:$AT$1,"")),""),IF(SUMPRODUCT((BG176:CR176&lt;1)*(PARTIDAS!$I$2:$AT$2="ELÉCTRICO"))&gt;0,"ELÉCTRICO: "&amp;_xlfn.TEXTJOIN(", ",TRUE,IF((BG176:CR176&lt;1)*(PARTIDAS!$I$2:$AT$2="ELÉCTRICO"),PARTIDAS!$I$1:$AT$1,"")),""),IF(SUMPRODUCT((BG176:CR176&lt;1)*(PARTIDAS!$I$2:$AT$2="TERMINACIONES"))&gt;0,"TERMINACIONES: "&amp;_xlfn.TEXTJOIN(", ",TRUE,IF((BG176:CR176&lt;1)*(PARTIDAS!$I$2:$AT$2="TERMINACIONES"),PARTIDAS!$I$1:$AT$1,"")),""))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6" s="43" t="str" cm="1">
        <f t="array" ref="CU176">_xlfn.TEXTJOIN(", ",TRUE,IF(SUMPRODUCT((BG176:CR176&lt;1)*(PARTIDAS!$I$2:$AT$2="OBRA GRUESA"))&gt;0,"OBRA GRUESA",""),IF(SUMPRODUCT((BG176:CR176&lt;1)*(PARTIDAS!$I$2:$AT$2="SANITARIOS"))&gt;0,"SANITARIOS",""),IF(SUMPRODUCT((BG176:CR176&lt;1)*(PARTIDAS!$I$2:$AT$2="ELÉCTRICO"))&gt;0,"ELÉCTRICO",""),IF(SUMPRODUCT((BG176:CR176&lt;1)*(PARTIDAS!$I$2:$AT$2="TERMINACIONES"))&gt;0,"TERMINACIONES",""))</f>
        <v>OBRA GRUESA, SANITARIOS, ELÉCTRICO, TERMINACIONES</v>
      </c>
      <c r="CV176" s="44" cm="1">
        <f t="array" ref="CV176">SUMPRODUCT(--(BG176:CR176&lt;1))</f>
        <v>38</v>
      </c>
    </row>
    <row r="177" spans="1:100" hidden="1" x14ac:dyDescent="0.25">
      <c r="A177" t="s">
        <v>223</v>
      </c>
      <c r="B177" t="s">
        <v>239</v>
      </c>
      <c r="C177">
        <v>2282600176</v>
      </c>
      <c r="D177" t="s">
        <v>58</v>
      </c>
      <c r="E177" s="2">
        <v>0</v>
      </c>
      <c r="F177" s="1">
        <v>46224</v>
      </c>
      <c r="G177" s="1"/>
      <c r="H177" s="1">
        <v>0</v>
      </c>
      <c r="I177" s="1">
        <v>46244</v>
      </c>
      <c r="J177">
        <v>46230</v>
      </c>
      <c r="K177" s="1"/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>
        <v>28.87</v>
      </c>
      <c r="BF177" s="3" t="str">
        <f>+IF(AVANCE[[#This Row],[% AVANCE]]=100%,"MODULO TERMINADO",IF(AVANCE[[#This Row],[FECHA INICIO REAL]]="","MODULO NO INICIADO","PENDIENTE"))</f>
        <v>MODULO NO INICIADO</v>
      </c>
      <c r="BG177" s="3">
        <f>+IF(AVANCE[[#This Row],[VENTANAS]]=8.10810810810811%,100%,AVANCE[[#This Row],[VENTANAS]])</f>
        <v>0</v>
      </c>
      <c r="BH177" s="3">
        <f>+IF(AVANCE[[#This Row],[PISO]]=N$2,100%,AVANCE[[#This Row],[PISO]])</f>
        <v>0</v>
      </c>
      <c r="BI177" s="3">
        <f>+IF(AVANCE[[#This Row],[TABIQUES]]=O$2,100%,AVANCE[[#This Row],[TABIQUES]])</f>
        <v>0</v>
      </c>
      <c r="BJ177" s="3">
        <f>+IF(AVANCE[[#This Row],[MUROS]]=P$2,100%,AVANCE[[#This Row],[MUROS]])</f>
        <v>0</v>
      </c>
      <c r="BK177" s="3">
        <f>+IF(AVANCE[[#This Row],[CIELO]]=Q$2,100%,AVANCE[[#This Row],[CIELO]])</f>
        <v>0</v>
      </c>
      <c r="BL177" s="3">
        <f>+IF(AVANCE[[#This Row],[BALCÓN]]=R$2,100%,AVANCE[[#This Row],[BALCÓN]])</f>
        <v>0</v>
      </c>
      <c r="BM177" s="3">
        <f>+IF(AVANCE[[#This Row],[RED ALCANTARILLADO]]=U$2,100%,AVANCE[[#This Row],[RED ALCANTARILLADO]])</f>
        <v>0</v>
      </c>
      <c r="BN177" s="3">
        <f>+IF(AVANCE[[#This Row],[RED DE AGUA]]=V$2,100%,AVANCE[[#This Row],[RED DE AGUA]])</f>
        <v>0</v>
      </c>
      <c r="BO177" s="3">
        <f>+IF(AVANCE[[#This Row],[VENTILACIONES]]=W$2,100%,AVANCE[[#This Row],[VENTILACIONES]])</f>
        <v>0</v>
      </c>
      <c r="BP177" s="3">
        <f>+IF(AVANCE[[#This Row],[TINA]]=X$2,100%,AVANCE[[#This Row],[TINA]])</f>
        <v>0</v>
      </c>
      <c r="BQ177" s="3">
        <f>+IF(AVANCE[[#This Row],[WC]]=Y$2,100%,AVANCE[[#This Row],[WC]])</f>
        <v>0</v>
      </c>
      <c r="BR177" s="3">
        <f>+IF(AVANCE[[#This Row],[LAVAMANOS / LAVAPLATOS / LAVADERO]]=Z$2,100%,AVANCE[[#This Row],[LAVAMANOS / LAVAPLATOS / LAVADERO]])</f>
        <v>0</v>
      </c>
      <c r="BS177" s="3">
        <f>+IF(AVANCE[[#This Row],[CANALIZACIÓN]]=AC$2,100%,AVANCE[[#This Row],[CANALIZACIÓN]])</f>
        <v>0</v>
      </c>
      <c r="BT177" s="3">
        <f>+IF(AVANCE[[#This Row],[CABLEADO]]=AD$2,100%,AVANCE[[#This Row],[CABLEADO]])</f>
        <v>0</v>
      </c>
      <c r="BU177" s="3">
        <f>+IF(AVANCE[[#This Row],[ARTEFACTOS]]=AE$2,100%,AVANCE[[#This Row],[ARTEFACTOS]])</f>
        <v>0</v>
      </c>
      <c r="BV177" s="3">
        <f>+IF(AVANCE[[#This Row],[TABLERO]]=AF$2,100%,AVANCE[[#This Row],[TABLERO]])</f>
        <v>0</v>
      </c>
      <c r="BW177" s="3">
        <f>+IF(AVANCE[[#This Row],[CAJA PAU]]=AG$2,100%,AVANCE[[#This Row],[CAJA PAU]])</f>
        <v>0</v>
      </c>
      <c r="BX177" s="3">
        <f>+IF(AVANCE[[#This Row],[INSTALACION VINILICO]]=AJ$2,100%,AVANCE[[#This Row],[INSTALACION VINILICO]])</f>
        <v>0</v>
      </c>
      <c r="BY177" s="3">
        <f>+IF(AVANCE[[#This Row],[OSB CUBIERTA]]=AK$2,100%,AVANCE[[#This Row],[OSB CUBIERTA]])</f>
        <v>0</v>
      </c>
      <c r="BZ177" s="3">
        <f>+IF(AVANCE[[#This Row],[BARANDA BALCON]]=AL$2,100%,AVANCE[[#This Row],[BARANDA BALCON]])</f>
        <v>0</v>
      </c>
      <c r="CA177" s="3">
        <f>+IF(AVANCE[[#This Row],[OSB EXTERIOR]]=AM$2,100%,AVANCE[[#This Row],[OSB EXTERIOR]])</f>
        <v>0</v>
      </c>
      <c r="CB177" s="3">
        <f>+IF(AVANCE[[#This Row],[SMART PANEL]]=AN$2,100%,AVANCE[[#This Row],[SMART PANEL]])</f>
        <v>0</v>
      </c>
      <c r="CC177" s="3">
        <f>+IF(AVANCE[[#This Row],[PINTURA EXTERIOR]]=AO$2,100%,AVANCE[[#This Row],[PINTURA EXTERIOR]])</f>
        <v>0</v>
      </c>
      <c r="CD177" s="3">
        <f>+IF(AVANCE[[#This Row],[ZOCALOS LOGIA]]=AP$2,100%,AVANCE[[#This Row],[ZOCALOS LOGIA]])</f>
        <v>0</v>
      </c>
      <c r="CE177" s="3">
        <f>+IF(AVANCE[[#This Row],[MOLDURAS]]=AQ$2,100%,AVANCE[[#This Row],[MOLDURAS]])</f>
        <v>0</v>
      </c>
      <c r="CF177" s="3">
        <f>+IF(AVANCE[[#This Row],[PILASTREO]]=AR$2,100%,AVANCE[[#This Row],[PILASTREO]])</f>
        <v>0</v>
      </c>
      <c r="CG177" s="3">
        <f>+IF(AVANCE[[#This Row],[CELOSIAS]]=AS$2,100%,AVANCE[[#This Row],[CELOSIAS]])</f>
        <v>0</v>
      </c>
      <c r="CH177" s="3">
        <f>+IF(AVANCE[[#This Row],[VENTANAS]]=AT$2,100%,AVANCE[[#This Row],[VENTANAS]])</f>
        <v>0</v>
      </c>
      <c r="CI177" s="3">
        <f>+IF(AVANCE[[#This Row],[PUERTAS ACCESO - LOGIA - BANO]]=AU$2,100%,AVANCE[[#This Row],[PUERTAS ACCESO - LOGIA - BANO]])</f>
        <v>0</v>
      </c>
      <c r="CJ177" s="3">
        <f>+IF(AVANCE[[#This Row],[CERRADURAS]]=AV$2,100%,AVANCE[[#This Row],[CERRADURAS]])</f>
        <v>0</v>
      </c>
      <c r="CK177" s="3">
        <f>+IF(AVANCE[[#This Row],[REVESTIMIENTO INTERIOR ZONA SECA]]=AW$2,100%,AVANCE[[#This Row],[REVESTIMIENTO INTERIOR ZONA SECA]])</f>
        <v>0</v>
      </c>
      <c r="CL177" s="3">
        <f>+IF(AVANCE[[#This Row],[REVESTIMIENTO INTERIOR ZONAS HUMEDAS]]=AX$2,100%,AVANCE[[#This Row],[REVESTIMIENTO INTERIOR ZONAS HUMEDAS]])</f>
        <v>0</v>
      </c>
      <c r="CM177" s="3">
        <f>+IF(AVANCE[[#This Row],[MEMBRANA CIELO]]=AY$2,100%,AVANCE[[#This Row],[MEMBRANA CIELO]])</f>
        <v>0</v>
      </c>
      <c r="CN177" s="3">
        <f>+IF(AVANCE[[#This Row],[LIMPIEZA FINAL]]=AZ$2,100%,AVANCE[[#This Row],[LIMPIEZA FINAL]])</f>
        <v>0</v>
      </c>
      <c r="CO177" s="3">
        <f>+IF(AVANCE[[#This Row],[PUERTAS DORMITORIO]]=BA$2,100%,AVANCE[[#This Row],[PUERTAS DORMITORIO]])</f>
        <v>0</v>
      </c>
      <c r="CP177" s="3">
        <f>+IF(AVANCE[[#This Row],[REVESTIMIENTO INTERIOR BANO]]=BB$2,100%,AVANCE[[#This Row],[REVESTIMIENTO INTERIOR BANO]])</f>
        <v>0</v>
      </c>
      <c r="CQ177" s="3">
        <f>+IF(AVANCE[[#This Row],[MUEBLE LAVAPLATOS]]=BC$2,100%,AVANCE[[#This Row],[MUEBLE LAVAPLATOS]])</f>
        <v>0</v>
      </c>
      <c r="CR177" s="3">
        <f>+IF(AVANCE[[#This Row],[IMPERMEABILIZACION BANO - COCINA LOGIA]]=BD$2,100%,AVANCE[[#This Row],[IMPERMEABILIZACION BANO - COCINA LOGIA]])</f>
        <v>0</v>
      </c>
      <c r="CS177" s="40">
        <f ca="1">+IF(AVANCE[[#This Row],[ESTADO MODULO]]="PENDIENTE",(TODAY()-AVANCE[[#This Row],[FECHA TERMINO  PLANIFICADO]]),0)</f>
        <v>0</v>
      </c>
      <c r="CT177" s="41" t="str" cm="1">
        <f t="array" ref="CT177">_xlfn.TEXTJOIN(" | ",TRUE,IF(SUMPRODUCT((BG177:CR177&lt;1)*(PARTIDAS!$I$2:$AT$2="OBRA GRUESA"))&gt;0,"OBRA GRUESA: "&amp;_xlfn.TEXTJOIN(", ",TRUE,IF((BG177:CR177&lt;1)*(PARTIDAS!$I$2:$AT$2="OBRA GRUESA"),PARTIDAS!$I$1:$AT$1,"")),""),IF(SUMPRODUCT((BG177:CR177&lt;1)*(PARTIDAS!$I$2:$AT$2="SANITARIOS"))&gt;0,"SANITARIOS: "&amp;_xlfn.TEXTJOIN(", ",TRUE,IF((BG177:CR177&lt;1)*(PARTIDAS!$I$2:$AT$2="SANITARIOS"),PARTIDAS!$I$1:$AT$1,"")),""),IF(SUMPRODUCT((BG177:CR177&lt;1)*(PARTIDAS!$I$2:$AT$2="ELÉCTRICO"))&gt;0,"ELÉCTRICO: "&amp;_xlfn.TEXTJOIN(", ",TRUE,IF((BG177:CR177&lt;1)*(PARTIDAS!$I$2:$AT$2="ELÉCTRICO"),PARTIDAS!$I$1:$AT$1,"")),""),IF(SUMPRODUCT((BG177:CR177&lt;1)*(PARTIDAS!$I$2:$AT$2="TERMINACIONES"))&gt;0,"TERMINACIONES: "&amp;_xlfn.TEXTJOIN(", ",TRUE,IF((BG177:CR177&lt;1)*(PARTIDAS!$I$2:$AT$2="TERMINACIONES"),PARTIDAS!$I$1:$AT$1,"")),""))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7" s="43" t="str" cm="1">
        <f t="array" ref="CU177">_xlfn.TEXTJOIN(", ",TRUE,IF(SUMPRODUCT((BG177:CR177&lt;1)*(PARTIDAS!$I$2:$AT$2="OBRA GRUESA"))&gt;0,"OBRA GRUESA",""),IF(SUMPRODUCT((BG177:CR177&lt;1)*(PARTIDAS!$I$2:$AT$2="SANITARIOS"))&gt;0,"SANITARIOS",""),IF(SUMPRODUCT((BG177:CR177&lt;1)*(PARTIDAS!$I$2:$AT$2="ELÉCTRICO"))&gt;0,"ELÉCTRICO",""),IF(SUMPRODUCT((BG177:CR177&lt;1)*(PARTIDAS!$I$2:$AT$2="TERMINACIONES"))&gt;0,"TERMINACIONES",""))</f>
        <v>OBRA GRUESA, SANITARIOS, ELÉCTRICO, TERMINACIONES</v>
      </c>
      <c r="CV177" s="44" cm="1">
        <f t="array" ref="CV177">SUMPRODUCT(--(BG177:CR177&lt;1))</f>
        <v>38</v>
      </c>
    </row>
    <row r="178" spans="1:100" hidden="1" x14ac:dyDescent="0.25">
      <c r="A178" t="s">
        <v>223</v>
      </c>
      <c r="B178" t="s">
        <v>240</v>
      </c>
      <c r="C178">
        <v>2282600177</v>
      </c>
      <c r="D178" t="s">
        <v>58</v>
      </c>
      <c r="E178" s="2">
        <v>0</v>
      </c>
      <c r="F178" s="1">
        <v>46224</v>
      </c>
      <c r="G178" s="1"/>
      <c r="H178" s="1">
        <v>0</v>
      </c>
      <c r="I178" s="1">
        <v>46244</v>
      </c>
      <c r="J178">
        <v>46230</v>
      </c>
      <c r="K178" s="1"/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>
        <v>28.87</v>
      </c>
      <c r="BF178" s="3" t="str">
        <f>+IF(AVANCE[[#This Row],[% AVANCE]]=100%,"MODULO TERMINADO",IF(AVANCE[[#This Row],[FECHA INICIO REAL]]="","MODULO NO INICIADO","PENDIENTE"))</f>
        <v>MODULO NO INICIADO</v>
      </c>
      <c r="BG178" s="3">
        <f>+IF(AVANCE[[#This Row],[VENTANAS]]=8.10810810810811%,100%,AVANCE[[#This Row],[VENTANAS]])</f>
        <v>0</v>
      </c>
      <c r="BH178" s="3">
        <f>+IF(AVANCE[[#This Row],[PISO]]=N$2,100%,AVANCE[[#This Row],[PISO]])</f>
        <v>0</v>
      </c>
      <c r="BI178" s="3">
        <f>+IF(AVANCE[[#This Row],[TABIQUES]]=O$2,100%,AVANCE[[#This Row],[TABIQUES]])</f>
        <v>0</v>
      </c>
      <c r="BJ178" s="3">
        <f>+IF(AVANCE[[#This Row],[MUROS]]=P$2,100%,AVANCE[[#This Row],[MUROS]])</f>
        <v>0</v>
      </c>
      <c r="BK178" s="3">
        <f>+IF(AVANCE[[#This Row],[CIELO]]=Q$2,100%,AVANCE[[#This Row],[CIELO]])</f>
        <v>0</v>
      </c>
      <c r="BL178" s="3">
        <f>+IF(AVANCE[[#This Row],[BALCÓN]]=R$2,100%,AVANCE[[#This Row],[BALCÓN]])</f>
        <v>0</v>
      </c>
      <c r="BM178" s="3">
        <f>+IF(AVANCE[[#This Row],[RED ALCANTARILLADO]]=U$2,100%,AVANCE[[#This Row],[RED ALCANTARILLADO]])</f>
        <v>0</v>
      </c>
      <c r="BN178" s="3">
        <f>+IF(AVANCE[[#This Row],[RED DE AGUA]]=V$2,100%,AVANCE[[#This Row],[RED DE AGUA]])</f>
        <v>0</v>
      </c>
      <c r="BO178" s="3">
        <f>+IF(AVANCE[[#This Row],[VENTILACIONES]]=W$2,100%,AVANCE[[#This Row],[VENTILACIONES]])</f>
        <v>0</v>
      </c>
      <c r="BP178" s="3">
        <f>+IF(AVANCE[[#This Row],[TINA]]=X$2,100%,AVANCE[[#This Row],[TINA]])</f>
        <v>0</v>
      </c>
      <c r="BQ178" s="3">
        <f>+IF(AVANCE[[#This Row],[WC]]=Y$2,100%,AVANCE[[#This Row],[WC]])</f>
        <v>0</v>
      </c>
      <c r="BR178" s="3">
        <f>+IF(AVANCE[[#This Row],[LAVAMANOS / LAVAPLATOS / LAVADERO]]=Z$2,100%,AVANCE[[#This Row],[LAVAMANOS / LAVAPLATOS / LAVADERO]])</f>
        <v>0</v>
      </c>
      <c r="BS178" s="3">
        <f>+IF(AVANCE[[#This Row],[CANALIZACIÓN]]=AC$2,100%,AVANCE[[#This Row],[CANALIZACIÓN]])</f>
        <v>0</v>
      </c>
      <c r="BT178" s="3">
        <f>+IF(AVANCE[[#This Row],[CABLEADO]]=AD$2,100%,AVANCE[[#This Row],[CABLEADO]])</f>
        <v>0</v>
      </c>
      <c r="BU178" s="3">
        <f>+IF(AVANCE[[#This Row],[ARTEFACTOS]]=AE$2,100%,AVANCE[[#This Row],[ARTEFACTOS]])</f>
        <v>0</v>
      </c>
      <c r="BV178" s="3">
        <f>+IF(AVANCE[[#This Row],[TABLERO]]=AF$2,100%,AVANCE[[#This Row],[TABLERO]])</f>
        <v>0</v>
      </c>
      <c r="BW178" s="3">
        <f>+IF(AVANCE[[#This Row],[CAJA PAU]]=AG$2,100%,AVANCE[[#This Row],[CAJA PAU]])</f>
        <v>0</v>
      </c>
      <c r="BX178" s="3">
        <f>+IF(AVANCE[[#This Row],[INSTALACION VINILICO]]=AJ$2,100%,AVANCE[[#This Row],[INSTALACION VINILICO]])</f>
        <v>0</v>
      </c>
      <c r="BY178" s="3">
        <f>+IF(AVANCE[[#This Row],[OSB CUBIERTA]]=AK$2,100%,AVANCE[[#This Row],[OSB CUBIERTA]])</f>
        <v>0</v>
      </c>
      <c r="BZ178" s="3">
        <f>+IF(AVANCE[[#This Row],[BARANDA BALCON]]=AL$2,100%,AVANCE[[#This Row],[BARANDA BALCON]])</f>
        <v>0</v>
      </c>
      <c r="CA178" s="3">
        <f>+IF(AVANCE[[#This Row],[OSB EXTERIOR]]=AM$2,100%,AVANCE[[#This Row],[OSB EXTERIOR]])</f>
        <v>0</v>
      </c>
      <c r="CB178" s="3">
        <f>+IF(AVANCE[[#This Row],[SMART PANEL]]=AN$2,100%,AVANCE[[#This Row],[SMART PANEL]])</f>
        <v>0</v>
      </c>
      <c r="CC178" s="3">
        <f>+IF(AVANCE[[#This Row],[PINTURA EXTERIOR]]=AO$2,100%,AVANCE[[#This Row],[PINTURA EXTERIOR]])</f>
        <v>0</v>
      </c>
      <c r="CD178" s="3">
        <f>+IF(AVANCE[[#This Row],[ZOCALOS LOGIA]]=AP$2,100%,AVANCE[[#This Row],[ZOCALOS LOGIA]])</f>
        <v>0</v>
      </c>
      <c r="CE178" s="3">
        <f>+IF(AVANCE[[#This Row],[MOLDURAS]]=AQ$2,100%,AVANCE[[#This Row],[MOLDURAS]])</f>
        <v>0</v>
      </c>
      <c r="CF178" s="3">
        <f>+IF(AVANCE[[#This Row],[PILASTREO]]=AR$2,100%,AVANCE[[#This Row],[PILASTREO]])</f>
        <v>0</v>
      </c>
      <c r="CG178" s="3">
        <f>+IF(AVANCE[[#This Row],[CELOSIAS]]=AS$2,100%,AVANCE[[#This Row],[CELOSIAS]])</f>
        <v>0</v>
      </c>
      <c r="CH178" s="3">
        <f>+IF(AVANCE[[#This Row],[VENTANAS]]=AT$2,100%,AVANCE[[#This Row],[VENTANAS]])</f>
        <v>0</v>
      </c>
      <c r="CI178" s="3">
        <f>+IF(AVANCE[[#This Row],[PUERTAS ACCESO - LOGIA - BANO]]=AU$2,100%,AVANCE[[#This Row],[PUERTAS ACCESO - LOGIA - BANO]])</f>
        <v>0</v>
      </c>
      <c r="CJ178" s="3">
        <f>+IF(AVANCE[[#This Row],[CERRADURAS]]=AV$2,100%,AVANCE[[#This Row],[CERRADURAS]])</f>
        <v>0</v>
      </c>
      <c r="CK178" s="3">
        <f>+IF(AVANCE[[#This Row],[REVESTIMIENTO INTERIOR ZONA SECA]]=AW$2,100%,AVANCE[[#This Row],[REVESTIMIENTO INTERIOR ZONA SECA]])</f>
        <v>0</v>
      </c>
      <c r="CL178" s="3">
        <f>+IF(AVANCE[[#This Row],[REVESTIMIENTO INTERIOR ZONAS HUMEDAS]]=AX$2,100%,AVANCE[[#This Row],[REVESTIMIENTO INTERIOR ZONAS HUMEDAS]])</f>
        <v>0</v>
      </c>
      <c r="CM178" s="3">
        <f>+IF(AVANCE[[#This Row],[MEMBRANA CIELO]]=AY$2,100%,AVANCE[[#This Row],[MEMBRANA CIELO]])</f>
        <v>0</v>
      </c>
      <c r="CN178" s="3">
        <f>+IF(AVANCE[[#This Row],[LIMPIEZA FINAL]]=AZ$2,100%,AVANCE[[#This Row],[LIMPIEZA FINAL]])</f>
        <v>0</v>
      </c>
      <c r="CO178" s="3">
        <f>+IF(AVANCE[[#This Row],[PUERTAS DORMITORIO]]=BA$2,100%,AVANCE[[#This Row],[PUERTAS DORMITORIO]])</f>
        <v>0</v>
      </c>
      <c r="CP178" s="3">
        <f>+IF(AVANCE[[#This Row],[REVESTIMIENTO INTERIOR BANO]]=BB$2,100%,AVANCE[[#This Row],[REVESTIMIENTO INTERIOR BANO]])</f>
        <v>0</v>
      </c>
      <c r="CQ178" s="3">
        <f>+IF(AVANCE[[#This Row],[MUEBLE LAVAPLATOS]]=BC$2,100%,AVANCE[[#This Row],[MUEBLE LAVAPLATOS]])</f>
        <v>0</v>
      </c>
      <c r="CR178" s="3">
        <f>+IF(AVANCE[[#This Row],[IMPERMEABILIZACION BANO - COCINA LOGIA]]=BD$2,100%,AVANCE[[#This Row],[IMPERMEABILIZACION BANO - COCINA LOGIA]])</f>
        <v>0</v>
      </c>
      <c r="CS178" s="40">
        <f ca="1">+IF(AVANCE[[#This Row],[ESTADO MODULO]]="PENDIENTE",(TODAY()-AVANCE[[#This Row],[FECHA TERMINO  PLANIFICADO]]),0)</f>
        <v>0</v>
      </c>
      <c r="CT178" s="41" t="str" cm="1">
        <f t="array" ref="CT178">_xlfn.TEXTJOIN(" | ",TRUE,IF(SUMPRODUCT((BG178:CR178&lt;1)*(PARTIDAS!$I$2:$AT$2="OBRA GRUESA"))&gt;0,"OBRA GRUESA: "&amp;_xlfn.TEXTJOIN(", ",TRUE,IF((BG178:CR178&lt;1)*(PARTIDAS!$I$2:$AT$2="OBRA GRUESA"),PARTIDAS!$I$1:$AT$1,"")),""),IF(SUMPRODUCT((BG178:CR178&lt;1)*(PARTIDAS!$I$2:$AT$2="SANITARIOS"))&gt;0,"SANITARIOS: "&amp;_xlfn.TEXTJOIN(", ",TRUE,IF((BG178:CR178&lt;1)*(PARTIDAS!$I$2:$AT$2="SANITARIOS"),PARTIDAS!$I$1:$AT$1,"")),""),IF(SUMPRODUCT((BG178:CR178&lt;1)*(PARTIDAS!$I$2:$AT$2="ELÉCTRICO"))&gt;0,"ELÉCTRICO: "&amp;_xlfn.TEXTJOIN(", ",TRUE,IF((BG178:CR178&lt;1)*(PARTIDAS!$I$2:$AT$2="ELÉCTRICO"),PARTIDAS!$I$1:$AT$1,"")),""),IF(SUMPRODUCT((BG178:CR178&lt;1)*(PARTIDAS!$I$2:$AT$2="TERMINACIONES"))&gt;0,"TERMINACIONES: "&amp;_xlfn.TEXTJOIN(", ",TRUE,IF((BG178:CR178&lt;1)*(PARTIDAS!$I$2:$AT$2="TERMINACIONES"),PARTIDAS!$I$1:$AT$1,"")),""))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8" s="43" t="str" cm="1">
        <f t="array" ref="CU178">_xlfn.TEXTJOIN(", ",TRUE,IF(SUMPRODUCT((BG178:CR178&lt;1)*(PARTIDAS!$I$2:$AT$2="OBRA GRUESA"))&gt;0,"OBRA GRUESA",""),IF(SUMPRODUCT((BG178:CR178&lt;1)*(PARTIDAS!$I$2:$AT$2="SANITARIOS"))&gt;0,"SANITARIOS",""),IF(SUMPRODUCT((BG178:CR178&lt;1)*(PARTIDAS!$I$2:$AT$2="ELÉCTRICO"))&gt;0,"ELÉCTRICO",""),IF(SUMPRODUCT((BG178:CR178&lt;1)*(PARTIDAS!$I$2:$AT$2="TERMINACIONES"))&gt;0,"TERMINACIONES",""))</f>
        <v>OBRA GRUESA, SANITARIOS, ELÉCTRICO, TERMINACIONES</v>
      </c>
      <c r="CV178" s="44" cm="1">
        <f t="array" ref="CV178">SUMPRODUCT(--(BG178:CR178&lt;1))</f>
        <v>38</v>
      </c>
    </row>
    <row r="179" spans="1:100" hidden="1" x14ac:dyDescent="0.25">
      <c r="A179" t="s">
        <v>223</v>
      </c>
      <c r="B179" t="s">
        <v>241</v>
      </c>
      <c r="C179">
        <v>2302600178</v>
      </c>
      <c r="D179" t="s">
        <v>60</v>
      </c>
      <c r="E179" s="2">
        <v>0</v>
      </c>
      <c r="F179" s="1">
        <v>46224</v>
      </c>
      <c r="G179" s="1"/>
      <c r="H179" s="1">
        <v>0</v>
      </c>
      <c r="I179" s="1">
        <v>46254</v>
      </c>
      <c r="J179">
        <v>46230</v>
      </c>
      <c r="K179" s="1"/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>
        <v>31.32</v>
      </c>
      <c r="BF179" s="3" t="str">
        <f>+IF(AVANCE[[#This Row],[% AVANCE]]=100%,"MODULO TERMINADO",IF(AVANCE[[#This Row],[FECHA INICIO REAL]]="","MODULO NO INICIADO","PENDIENTE"))</f>
        <v>MODULO NO INICIADO</v>
      </c>
      <c r="BG179" s="3">
        <f>+IF(AVANCE[[#This Row],[VENTANAS]]=8.10810810810811%,100%,AVANCE[[#This Row],[VENTANAS]])</f>
        <v>0</v>
      </c>
      <c r="BH179" s="3">
        <f>+IF(AVANCE[[#This Row],[PISO]]=N$2,100%,AVANCE[[#This Row],[PISO]])</f>
        <v>0</v>
      </c>
      <c r="BI179" s="3">
        <f>+IF(AVANCE[[#This Row],[TABIQUES]]=O$2,100%,AVANCE[[#This Row],[TABIQUES]])</f>
        <v>0</v>
      </c>
      <c r="BJ179" s="3">
        <f>+IF(AVANCE[[#This Row],[MUROS]]=P$2,100%,AVANCE[[#This Row],[MUROS]])</f>
        <v>0</v>
      </c>
      <c r="BK179" s="3">
        <f>+IF(AVANCE[[#This Row],[CIELO]]=Q$2,100%,AVANCE[[#This Row],[CIELO]])</f>
        <v>0</v>
      </c>
      <c r="BL179" s="3">
        <f>+IF(AVANCE[[#This Row],[BALCÓN]]=R$2,100%,AVANCE[[#This Row],[BALCÓN]])</f>
        <v>0</v>
      </c>
      <c r="BM179" s="3">
        <f>+IF(AVANCE[[#This Row],[RED ALCANTARILLADO]]=U$2,100%,AVANCE[[#This Row],[RED ALCANTARILLADO]])</f>
        <v>0</v>
      </c>
      <c r="BN179" s="3">
        <f>+IF(AVANCE[[#This Row],[RED DE AGUA]]=V$2,100%,AVANCE[[#This Row],[RED DE AGUA]])</f>
        <v>0</v>
      </c>
      <c r="BO179" s="3">
        <f>+IF(AVANCE[[#This Row],[VENTILACIONES]]=W$2,100%,AVANCE[[#This Row],[VENTILACIONES]])</f>
        <v>0</v>
      </c>
      <c r="BP179" s="3">
        <f>+IF(AVANCE[[#This Row],[TINA]]=X$2,100%,AVANCE[[#This Row],[TINA]])</f>
        <v>0</v>
      </c>
      <c r="BQ179" s="3">
        <f>+IF(AVANCE[[#This Row],[WC]]=Y$2,100%,AVANCE[[#This Row],[WC]])</f>
        <v>0</v>
      </c>
      <c r="BR179" s="3">
        <f>+IF(AVANCE[[#This Row],[LAVAMANOS / LAVAPLATOS / LAVADERO]]=Z$2,100%,AVANCE[[#This Row],[LAVAMANOS / LAVAPLATOS / LAVADERO]])</f>
        <v>0</v>
      </c>
      <c r="BS179" s="3">
        <f>+IF(AVANCE[[#This Row],[CANALIZACIÓN]]=AC$2,100%,AVANCE[[#This Row],[CANALIZACIÓN]])</f>
        <v>0</v>
      </c>
      <c r="BT179" s="3">
        <f>+IF(AVANCE[[#This Row],[CABLEADO]]=AD$2,100%,AVANCE[[#This Row],[CABLEADO]])</f>
        <v>0</v>
      </c>
      <c r="BU179" s="3">
        <f>+IF(AVANCE[[#This Row],[ARTEFACTOS]]=AE$2,100%,AVANCE[[#This Row],[ARTEFACTOS]])</f>
        <v>0</v>
      </c>
      <c r="BV179" s="3">
        <f>+IF(AVANCE[[#This Row],[TABLERO]]=AF$2,100%,AVANCE[[#This Row],[TABLERO]])</f>
        <v>0</v>
      </c>
      <c r="BW179" s="3">
        <f>+IF(AVANCE[[#This Row],[CAJA PAU]]=AG$2,100%,AVANCE[[#This Row],[CAJA PAU]])</f>
        <v>0</v>
      </c>
      <c r="BX179" s="3">
        <f>+IF(AVANCE[[#This Row],[INSTALACION VINILICO]]=AJ$2,100%,AVANCE[[#This Row],[INSTALACION VINILICO]])</f>
        <v>0</v>
      </c>
      <c r="BY179" s="3">
        <f>+IF(AVANCE[[#This Row],[OSB CUBIERTA]]=AK$2,100%,AVANCE[[#This Row],[OSB CUBIERTA]])</f>
        <v>0</v>
      </c>
      <c r="BZ179" s="3">
        <f>+IF(AVANCE[[#This Row],[BARANDA BALCON]]=AL$2,100%,AVANCE[[#This Row],[BARANDA BALCON]])</f>
        <v>0</v>
      </c>
      <c r="CA179" s="3">
        <f>+IF(AVANCE[[#This Row],[OSB EXTERIOR]]=AM$2,100%,AVANCE[[#This Row],[OSB EXTERIOR]])</f>
        <v>0</v>
      </c>
      <c r="CB179" s="3">
        <f>+IF(AVANCE[[#This Row],[SMART PANEL]]=AN$2,100%,AVANCE[[#This Row],[SMART PANEL]])</f>
        <v>0</v>
      </c>
      <c r="CC179" s="3">
        <f>+IF(AVANCE[[#This Row],[PINTURA EXTERIOR]]=AO$2,100%,AVANCE[[#This Row],[PINTURA EXTERIOR]])</f>
        <v>0</v>
      </c>
      <c r="CD179" s="3">
        <f>+IF(AVANCE[[#This Row],[ZOCALOS LOGIA]]=AP$2,100%,AVANCE[[#This Row],[ZOCALOS LOGIA]])</f>
        <v>0</v>
      </c>
      <c r="CE179" s="3">
        <f>+IF(AVANCE[[#This Row],[MOLDURAS]]=AQ$2,100%,AVANCE[[#This Row],[MOLDURAS]])</f>
        <v>0</v>
      </c>
      <c r="CF179" s="3">
        <f>+IF(AVANCE[[#This Row],[PILASTREO]]=AR$2,100%,AVANCE[[#This Row],[PILASTREO]])</f>
        <v>0</v>
      </c>
      <c r="CG179" s="3">
        <f>+IF(AVANCE[[#This Row],[CELOSIAS]]=AS$2,100%,AVANCE[[#This Row],[CELOSIAS]])</f>
        <v>0</v>
      </c>
      <c r="CH179" s="3">
        <f>+IF(AVANCE[[#This Row],[VENTANAS]]=AT$2,100%,AVANCE[[#This Row],[VENTANAS]])</f>
        <v>0</v>
      </c>
      <c r="CI179" s="3">
        <f>+IF(AVANCE[[#This Row],[PUERTAS ACCESO - LOGIA - BANO]]=AU$2,100%,AVANCE[[#This Row],[PUERTAS ACCESO - LOGIA - BANO]])</f>
        <v>0</v>
      </c>
      <c r="CJ179" s="3">
        <f>+IF(AVANCE[[#This Row],[CERRADURAS]]=AV$2,100%,AVANCE[[#This Row],[CERRADURAS]])</f>
        <v>0</v>
      </c>
      <c r="CK179" s="3">
        <f>+IF(AVANCE[[#This Row],[REVESTIMIENTO INTERIOR ZONA SECA]]=AW$2,100%,AVANCE[[#This Row],[REVESTIMIENTO INTERIOR ZONA SECA]])</f>
        <v>0</v>
      </c>
      <c r="CL179" s="3">
        <f>+IF(AVANCE[[#This Row],[REVESTIMIENTO INTERIOR ZONAS HUMEDAS]]=AX$2,100%,AVANCE[[#This Row],[REVESTIMIENTO INTERIOR ZONAS HUMEDAS]])</f>
        <v>0</v>
      </c>
      <c r="CM179" s="3">
        <f>+IF(AVANCE[[#This Row],[MEMBRANA CIELO]]=AY$2,100%,AVANCE[[#This Row],[MEMBRANA CIELO]])</f>
        <v>0</v>
      </c>
      <c r="CN179" s="3">
        <f>+IF(AVANCE[[#This Row],[LIMPIEZA FINAL]]=AZ$2,100%,AVANCE[[#This Row],[LIMPIEZA FINAL]])</f>
        <v>0</v>
      </c>
      <c r="CO179" s="3">
        <f>+IF(AVANCE[[#This Row],[PUERTAS DORMITORIO]]=BA$2,100%,AVANCE[[#This Row],[PUERTAS DORMITORIO]])</f>
        <v>0</v>
      </c>
      <c r="CP179" s="3">
        <f>+IF(AVANCE[[#This Row],[REVESTIMIENTO INTERIOR BANO]]=BB$2,100%,AVANCE[[#This Row],[REVESTIMIENTO INTERIOR BANO]])</f>
        <v>0</v>
      </c>
      <c r="CQ179" s="3">
        <f>+IF(AVANCE[[#This Row],[MUEBLE LAVAPLATOS]]=BC$2,100%,AVANCE[[#This Row],[MUEBLE LAVAPLATOS]])</f>
        <v>0</v>
      </c>
      <c r="CR179" s="3">
        <f>+IF(AVANCE[[#This Row],[IMPERMEABILIZACION BANO - COCINA LOGIA]]=BD$2,100%,AVANCE[[#This Row],[IMPERMEABILIZACION BANO - COCINA LOGIA]])</f>
        <v>0</v>
      </c>
      <c r="CS179" s="40">
        <f ca="1">+IF(AVANCE[[#This Row],[ESTADO MODULO]]="PENDIENTE",(TODAY()-AVANCE[[#This Row],[FECHA TERMINO  PLANIFICADO]]),0)</f>
        <v>0</v>
      </c>
      <c r="CT179" s="41" t="str" cm="1">
        <f t="array" ref="CT179">_xlfn.TEXTJOIN(" | ",TRUE,IF(SUMPRODUCT((BG179:CR179&lt;1)*(PARTIDAS!$I$2:$AT$2="OBRA GRUESA"))&gt;0,"OBRA GRUESA: "&amp;_xlfn.TEXTJOIN(", ",TRUE,IF((BG179:CR179&lt;1)*(PARTIDAS!$I$2:$AT$2="OBRA GRUESA"),PARTIDAS!$I$1:$AT$1,"")),""),IF(SUMPRODUCT((BG179:CR179&lt;1)*(PARTIDAS!$I$2:$AT$2="SANITARIOS"))&gt;0,"SANITARIOS: "&amp;_xlfn.TEXTJOIN(", ",TRUE,IF((BG179:CR179&lt;1)*(PARTIDAS!$I$2:$AT$2="SANITARIOS"),PARTIDAS!$I$1:$AT$1,"")),""),IF(SUMPRODUCT((BG179:CR179&lt;1)*(PARTIDAS!$I$2:$AT$2="ELÉCTRICO"))&gt;0,"ELÉCTRICO: "&amp;_xlfn.TEXTJOIN(", ",TRUE,IF((BG179:CR179&lt;1)*(PARTIDAS!$I$2:$AT$2="ELÉCTRICO"),PARTIDAS!$I$1:$AT$1,"")),""),IF(SUMPRODUCT((BG179:CR179&lt;1)*(PARTIDAS!$I$2:$AT$2="TERMINACIONES"))&gt;0,"TERMINACIONES: "&amp;_xlfn.TEXTJOIN(", ",TRUE,IF((BG179:CR179&lt;1)*(PARTIDAS!$I$2:$AT$2="TERMINACIONES"),PARTIDAS!$I$1:$AT$1,"")),""))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79" s="43" t="str" cm="1">
        <f t="array" ref="CU179">_xlfn.TEXTJOIN(", ",TRUE,IF(SUMPRODUCT((BG179:CR179&lt;1)*(PARTIDAS!$I$2:$AT$2="OBRA GRUESA"))&gt;0,"OBRA GRUESA",""),IF(SUMPRODUCT((BG179:CR179&lt;1)*(PARTIDAS!$I$2:$AT$2="SANITARIOS"))&gt;0,"SANITARIOS",""),IF(SUMPRODUCT((BG179:CR179&lt;1)*(PARTIDAS!$I$2:$AT$2="ELÉCTRICO"))&gt;0,"ELÉCTRICO",""),IF(SUMPRODUCT((BG179:CR179&lt;1)*(PARTIDAS!$I$2:$AT$2="TERMINACIONES"))&gt;0,"TERMINACIONES",""))</f>
        <v>OBRA GRUESA, SANITARIOS, ELÉCTRICO, TERMINACIONES</v>
      </c>
      <c r="CV179" s="44" cm="1">
        <f t="array" ref="CV179">SUMPRODUCT(--(BG179:CR179&lt;1))</f>
        <v>38</v>
      </c>
    </row>
    <row r="180" spans="1:100" hidden="1" x14ac:dyDescent="0.25">
      <c r="A180" t="s">
        <v>223</v>
      </c>
      <c r="B180" t="s">
        <v>242</v>
      </c>
      <c r="C180">
        <v>2302600179</v>
      </c>
      <c r="D180" t="s">
        <v>60</v>
      </c>
      <c r="E180" s="2">
        <v>0</v>
      </c>
      <c r="F180" s="1">
        <v>46225</v>
      </c>
      <c r="G180" s="1"/>
      <c r="H180" s="1">
        <v>0</v>
      </c>
      <c r="I180" s="1">
        <v>46255</v>
      </c>
      <c r="J180">
        <v>46230</v>
      </c>
      <c r="K180" s="1"/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>
        <v>31.32</v>
      </c>
      <c r="BF180" s="3" t="str">
        <f>+IF(AVANCE[[#This Row],[% AVANCE]]=100%,"MODULO TERMINADO",IF(AVANCE[[#This Row],[FECHA INICIO REAL]]="","MODULO NO INICIADO","PENDIENTE"))</f>
        <v>MODULO NO INICIADO</v>
      </c>
      <c r="BG180" s="3">
        <f>+IF(AVANCE[[#This Row],[VENTANAS]]=8.10810810810811%,100%,AVANCE[[#This Row],[VENTANAS]])</f>
        <v>0</v>
      </c>
      <c r="BH180" s="3">
        <f>+IF(AVANCE[[#This Row],[PISO]]=N$2,100%,AVANCE[[#This Row],[PISO]])</f>
        <v>0</v>
      </c>
      <c r="BI180" s="3">
        <f>+IF(AVANCE[[#This Row],[TABIQUES]]=O$2,100%,AVANCE[[#This Row],[TABIQUES]])</f>
        <v>0</v>
      </c>
      <c r="BJ180" s="3">
        <f>+IF(AVANCE[[#This Row],[MUROS]]=P$2,100%,AVANCE[[#This Row],[MUROS]])</f>
        <v>0</v>
      </c>
      <c r="BK180" s="3">
        <f>+IF(AVANCE[[#This Row],[CIELO]]=Q$2,100%,AVANCE[[#This Row],[CIELO]])</f>
        <v>0</v>
      </c>
      <c r="BL180" s="3">
        <f>+IF(AVANCE[[#This Row],[BALCÓN]]=R$2,100%,AVANCE[[#This Row],[BALCÓN]])</f>
        <v>0</v>
      </c>
      <c r="BM180" s="3">
        <f>+IF(AVANCE[[#This Row],[RED ALCANTARILLADO]]=U$2,100%,AVANCE[[#This Row],[RED ALCANTARILLADO]])</f>
        <v>0</v>
      </c>
      <c r="BN180" s="3">
        <f>+IF(AVANCE[[#This Row],[RED DE AGUA]]=V$2,100%,AVANCE[[#This Row],[RED DE AGUA]])</f>
        <v>0</v>
      </c>
      <c r="BO180" s="3">
        <f>+IF(AVANCE[[#This Row],[VENTILACIONES]]=W$2,100%,AVANCE[[#This Row],[VENTILACIONES]])</f>
        <v>0</v>
      </c>
      <c r="BP180" s="3">
        <f>+IF(AVANCE[[#This Row],[TINA]]=X$2,100%,AVANCE[[#This Row],[TINA]])</f>
        <v>0</v>
      </c>
      <c r="BQ180" s="3">
        <f>+IF(AVANCE[[#This Row],[WC]]=Y$2,100%,AVANCE[[#This Row],[WC]])</f>
        <v>0</v>
      </c>
      <c r="BR180" s="3">
        <f>+IF(AVANCE[[#This Row],[LAVAMANOS / LAVAPLATOS / LAVADERO]]=Z$2,100%,AVANCE[[#This Row],[LAVAMANOS / LAVAPLATOS / LAVADERO]])</f>
        <v>0</v>
      </c>
      <c r="BS180" s="3">
        <f>+IF(AVANCE[[#This Row],[CANALIZACIÓN]]=AC$2,100%,AVANCE[[#This Row],[CANALIZACIÓN]])</f>
        <v>0</v>
      </c>
      <c r="BT180" s="3">
        <f>+IF(AVANCE[[#This Row],[CABLEADO]]=AD$2,100%,AVANCE[[#This Row],[CABLEADO]])</f>
        <v>0</v>
      </c>
      <c r="BU180" s="3">
        <f>+IF(AVANCE[[#This Row],[ARTEFACTOS]]=AE$2,100%,AVANCE[[#This Row],[ARTEFACTOS]])</f>
        <v>0</v>
      </c>
      <c r="BV180" s="3">
        <f>+IF(AVANCE[[#This Row],[TABLERO]]=AF$2,100%,AVANCE[[#This Row],[TABLERO]])</f>
        <v>0</v>
      </c>
      <c r="BW180" s="3">
        <f>+IF(AVANCE[[#This Row],[CAJA PAU]]=AG$2,100%,AVANCE[[#This Row],[CAJA PAU]])</f>
        <v>0</v>
      </c>
      <c r="BX180" s="3">
        <f>+IF(AVANCE[[#This Row],[INSTALACION VINILICO]]=AJ$2,100%,AVANCE[[#This Row],[INSTALACION VINILICO]])</f>
        <v>0</v>
      </c>
      <c r="BY180" s="3">
        <f>+IF(AVANCE[[#This Row],[OSB CUBIERTA]]=AK$2,100%,AVANCE[[#This Row],[OSB CUBIERTA]])</f>
        <v>0</v>
      </c>
      <c r="BZ180" s="3">
        <f>+IF(AVANCE[[#This Row],[BARANDA BALCON]]=AL$2,100%,AVANCE[[#This Row],[BARANDA BALCON]])</f>
        <v>0</v>
      </c>
      <c r="CA180" s="3">
        <f>+IF(AVANCE[[#This Row],[OSB EXTERIOR]]=AM$2,100%,AVANCE[[#This Row],[OSB EXTERIOR]])</f>
        <v>0</v>
      </c>
      <c r="CB180" s="3">
        <f>+IF(AVANCE[[#This Row],[SMART PANEL]]=AN$2,100%,AVANCE[[#This Row],[SMART PANEL]])</f>
        <v>0</v>
      </c>
      <c r="CC180" s="3">
        <f>+IF(AVANCE[[#This Row],[PINTURA EXTERIOR]]=AO$2,100%,AVANCE[[#This Row],[PINTURA EXTERIOR]])</f>
        <v>0</v>
      </c>
      <c r="CD180" s="3">
        <f>+IF(AVANCE[[#This Row],[ZOCALOS LOGIA]]=AP$2,100%,AVANCE[[#This Row],[ZOCALOS LOGIA]])</f>
        <v>0</v>
      </c>
      <c r="CE180" s="3">
        <f>+IF(AVANCE[[#This Row],[MOLDURAS]]=AQ$2,100%,AVANCE[[#This Row],[MOLDURAS]])</f>
        <v>0</v>
      </c>
      <c r="CF180" s="3">
        <f>+IF(AVANCE[[#This Row],[PILASTREO]]=AR$2,100%,AVANCE[[#This Row],[PILASTREO]])</f>
        <v>0</v>
      </c>
      <c r="CG180" s="3">
        <f>+IF(AVANCE[[#This Row],[CELOSIAS]]=AS$2,100%,AVANCE[[#This Row],[CELOSIAS]])</f>
        <v>0</v>
      </c>
      <c r="CH180" s="3">
        <f>+IF(AVANCE[[#This Row],[VENTANAS]]=AT$2,100%,AVANCE[[#This Row],[VENTANAS]])</f>
        <v>0</v>
      </c>
      <c r="CI180" s="3">
        <f>+IF(AVANCE[[#This Row],[PUERTAS ACCESO - LOGIA - BANO]]=AU$2,100%,AVANCE[[#This Row],[PUERTAS ACCESO - LOGIA - BANO]])</f>
        <v>0</v>
      </c>
      <c r="CJ180" s="3">
        <f>+IF(AVANCE[[#This Row],[CERRADURAS]]=AV$2,100%,AVANCE[[#This Row],[CERRADURAS]])</f>
        <v>0</v>
      </c>
      <c r="CK180" s="3">
        <f>+IF(AVANCE[[#This Row],[REVESTIMIENTO INTERIOR ZONA SECA]]=AW$2,100%,AVANCE[[#This Row],[REVESTIMIENTO INTERIOR ZONA SECA]])</f>
        <v>0</v>
      </c>
      <c r="CL180" s="3">
        <f>+IF(AVANCE[[#This Row],[REVESTIMIENTO INTERIOR ZONAS HUMEDAS]]=AX$2,100%,AVANCE[[#This Row],[REVESTIMIENTO INTERIOR ZONAS HUMEDAS]])</f>
        <v>0</v>
      </c>
      <c r="CM180" s="3">
        <f>+IF(AVANCE[[#This Row],[MEMBRANA CIELO]]=AY$2,100%,AVANCE[[#This Row],[MEMBRANA CIELO]])</f>
        <v>0</v>
      </c>
      <c r="CN180" s="3">
        <f>+IF(AVANCE[[#This Row],[LIMPIEZA FINAL]]=AZ$2,100%,AVANCE[[#This Row],[LIMPIEZA FINAL]])</f>
        <v>0</v>
      </c>
      <c r="CO180" s="3">
        <f>+IF(AVANCE[[#This Row],[PUERTAS DORMITORIO]]=BA$2,100%,AVANCE[[#This Row],[PUERTAS DORMITORIO]])</f>
        <v>0</v>
      </c>
      <c r="CP180" s="3">
        <f>+IF(AVANCE[[#This Row],[REVESTIMIENTO INTERIOR BANO]]=BB$2,100%,AVANCE[[#This Row],[REVESTIMIENTO INTERIOR BANO]])</f>
        <v>0</v>
      </c>
      <c r="CQ180" s="3">
        <f>+IF(AVANCE[[#This Row],[MUEBLE LAVAPLATOS]]=BC$2,100%,AVANCE[[#This Row],[MUEBLE LAVAPLATOS]])</f>
        <v>0</v>
      </c>
      <c r="CR180" s="3">
        <f>+IF(AVANCE[[#This Row],[IMPERMEABILIZACION BANO - COCINA LOGIA]]=BD$2,100%,AVANCE[[#This Row],[IMPERMEABILIZACION BANO - COCINA LOGIA]])</f>
        <v>0</v>
      </c>
      <c r="CS180" s="40">
        <f ca="1">+IF(AVANCE[[#This Row],[ESTADO MODULO]]="PENDIENTE",(TODAY()-AVANCE[[#This Row],[FECHA TERMINO  PLANIFICADO]]),0)</f>
        <v>0</v>
      </c>
      <c r="CT180" s="41" t="str" cm="1">
        <f t="array" ref="CT180">_xlfn.TEXTJOIN(" | ",TRUE,IF(SUMPRODUCT((BG180:CR180&lt;1)*(PARTIDAS!$I$2:$AT$2="OBRA GRUESA"))&gt;0,"OBRA GRUESA: "&amp;_xlfn.TEXTJOIN(", ",TRUE,IF((BG180:CR180&lt;1)*(PARTIDAS!$I$2:$AT$2="OBRA GRUESA"),PARTIDAS!$I$1:$AT$1,"")),""),IF(SUMPRODUCT((BG180:CR180&lt;1)*(PARTIDAS!$I$2:$AT$2="SANITARIOS"))&gt;0,"SANITARIOS: "&amp;_xlfn.TEXTJOIN(", ",TRUE,IF((BG180:CR180&lt;1)*(PARTIDAS!$I$2:$AT$2="SANITARIOS"),PARTIDAS!$I$1:$AT$1,"")),""),IF(SUMPRODUCT((BG180:CR180&lt;1)*(PARTIDAS!$I$2:$AT$2="ELÉCTRICO"))&gt;0,"ELÉCTRICO: "&amp;_xlfn.TEXTJOIN(", ",TRUE,IF((BG180:CR180&lt;1)*(PARTIDAS!$I$2:$AT$2="ELÉCTRICO"),PARTIDAS!$I$1:$AT$1,"")),""),IF(SUMPRODUCT((BG180:CR180&lt;1)*(PARTIDAS!$I$2:$AT$2="TERMINACIONES"))&gt;0,"TERMINACIONES: "&amp;_xlfn.TEXTJOIN(", ",TRUE,IF((BG180:CR180&lt;1)*(PARTIDAS!$I$2:$AT$2="TERMINACIONES"),PARTIDAS!$I$1:$AT$1,"")),""))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0" s="43" t="str" cm="1">
        <f t="array" ref="CU180">_xlfn.TEXTJOIN(", ",TRUE,IF(SUMPRODUCT((BG180:CR180&lt;1)*(PARTIDAS!$I$2:$AT$2="OBRA GRUESA"))&gt;0,"OBRA GRUESA",""),IF(SUMPRODUCT((BG180:CR180&lt;1)*(PARTIDAS!$I$2:$AT$2="SANITARIOS"))&gt;0,"SANITARIOS",""),IF(SUMPRODUCT((BG180:CR180&lt;1)*(PARTIDAS!$I$2:$AT$2="ELÉCTRICO"))&gt;0,"ELÉCTRICO",""),IF(SUMPRODUCT((BG180:CR180&lt;1)*(PARTIDAS!$I$2:$AT$2="TERMINACIONES"))&gt;0,"TERMINACIONES",""))</f>
        <v>OBRA GRUESA, SANITARIOS, ELÉCTRICO, TERMINACIONES</v>
      </c>
      <c r="CV180" s="44" cm="1">
        <f t="array" ref="CV180">SUMPRODUCT(--(BG180:CR180&lt;1))</f>
        <v>38</v>
      </c>
    </row>
    <row r="181" spans="1:100" hidden="1" x14ac:dyDescent="0.25">
      <c r="A181" t="s">
        <v>223</v>
      </c>
      <c r="B181" t="s">
        <v>243</v>
      </c>
      <c r="C181">
        <v>2282600180</v>
      </c>
      <c r="D181" t="s">
        <v>58</v>
      </c>
      <c r="E181" s="2">
        <v>0</v>
      </c>
      <c r="F181" s="1">
        <v>46225</v>
      </c>
      <c r="G181" s="1"/>
      <c r="H181" s="1">
        <v>0</v>
      </c>
      <c r="I181" s="1">
        <v>46245</v>
      </c>
      <c r="J181">
        <v>46230</v>
      </c>
      <c r="K181" s="1"/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>
        <v>28.87</v>
      </c>
      <c r="BF181" s="3" t="str">
        <f>+IF(AVANCE[[#This Row],[% AVANCE]]=100%,"MODULO TERMINADO",IF(AVANCE[[#This Row],[FECHA INICIO REAL]]="","MODULO NO INICIADO","PENDIENTE"))</f>
        <v>MODULO NO INICIADO</v>
      </c>
      <c r="BG181" s="3">
        <f>+IF(AVANCE[[#This Row],[VENTANAS]]=8.10810810810811%,100%,AVANCE[[#This Row],[VENTANAS]])</f>
        <v>0</v>
      </c>
      <c r="BH181" s="3">
        <f>+IF(AVANCE[[#This Row],[PISO]]=N$2,100%,AVANCE[[#This Row],[PISO]])</f>
        <v>0</v>
      </c>
      <c r="BI181" s="3">
        <f>+IF(AVANCE[[#This Row],[TABIQUES]]=O$2,100%,AVANCE[[#This Row],[TABIQUES]])</f>
        <v>0</v>
      </c>
      <c r="BJ181" s="3">
        <f>+IF(AVANCE[[#This Row],[MUROS]]=P$2,100%,AVANCE[[#This Row],[MUROS]])</f>
        <v>0</v>
      </c>
      <c r="BK181" s="3">
        <f>+IF(AVANCE[[#This Row],[CIELO]]=Q$2,100%,AVANCE[[#This Row],[CIELO]])</f>
        <v>0</v>
      </c>
      <c r="BL181" s="3">
        <f>+IF(AVANCE[[#This Row],[BALCÓN]]=R$2,100%,AVANCE[[#This Row],[BALCÓN]])</f>
        <v>0</v>
      </c>
      <c r="BM181" s="3">
        <f>+IF(AVANCE[[#This Row],[RED ALCANTARILLADO]]=U$2,100%,AVANCE[[#This Row],[RED ALCANTARILLADO]])</f>
        <v>0</v>
      </c>
      <c r="BN181" s="3">
        <f>+IF(AVANCE[[#This Row],[RED DE AGUA]]=V$2,100%,AVANCE[[#This Row],[RED DE AGUA]])</f>
        <v>0</v>
      </c>
      <c r="BO181" s="3">
        <f>+IF(AVANCE[[#This Row],[VENTILACIONES]]=W$2,100%,AVANCE[[#This Row],[VENTILACIONES]])</f>
        <v>0</v>
      </c>
      <c r="BP181" s="3">
        <f>+IF(AVANCE[[#This Row],[TINA]]=X$2,100%,AVANCE[[#This Row],[TINA]])</f>
        <v>0</v>
      </c>
      <c r="BQ181" s="3">
        <f>+IF(AVANCE[[#This Row],[WC]]=Y$2,100%,AVANCE[[#This Row],[WC]])</f>
        <v>0</v>
      </c>
      <c r="BR181" s="3">
        <f>+IF(AVANCE[[#This Row],[LAVAMANOS / LAVAPLATOS / LAVADERO]]=Z$2,100%,AVANCE[[#This Row],[LAVAMANOS / LAVAPLATOS / LAVADERO]])</f>
        <v>0</v>
      </c>
      <c r="BS181" s="3">
        <f>+IF(AVANCE[[#This Row],[CANALIZACIÓN]]=AC$2,100%,AVANCE[[#This Row],[CANALIZACIÓN]])</f>
        <v>0</v>
      </c>
      <c r="BT181" s="3">
        <f>+IF(AVANCE[[#This Row],[CABLEADO]]=AD$2,100%,AVANCE[[#This Row],[CABLEADO]])</f>
        <v>0</v>
      </c>
      <c r="BU181" s="3">
        <f>+IF(AVANCE[[#This Row],[ARTEFACTOS]]=AE$2,100%,AVANCE[[#This Row],[ARTEFACTOS]])</f>
        <v>0</v>
      </c>
      <c r="BV181" s="3">
        <f>+IF(AVANCE[[#This Row],[TABLERO]]=AF$2,100%,AVANCE[[#This Row],[TABLERO]])</f>
        <v>0</v>
      </c>
      <c r="BW181" s="3">
        <f>+IF(AVANCE[[#This Row],[CAJA PAU]]=AG$2,100%,AVANCE[[#This Row],[CAJA PAU]])</f>
        <v>0</v>
      </c>
      <c r="BX181" s="3">
        <f>+IF(AVANCE[[#This Row],[INSTALACION VINILICO]]=AJ$2,100%,AVANCE[[#This Row],[INSTALACION VINILICO]])</f>
        <v>0</v>
      </c>
      <c r="BY181" s="3">
        <f>+IF(AVANCE[[#This Row],[OSB CUBIERTA]]=AK$2,100%,AVANCE[[#This Row],[OSB CUBIERTA]])</f>
        <v>0</v>
      </c>
      <c r="BZ181" s="3">
        <f>+IF(AVANCE[[#This Row],[BARANDA BALCON]]=AL$2,100%,AVANCE[[#This Row],[BARANDA BALCON]])</f>
        <v>0</v>
      </c>
      <c r="CA181" s="3">
        <f>+IF(AVANCE[[#This Row],[OSB EXTERIOR]]=AM$2,100%,AVANCE[[#This Row],[OSB EXTERIOR]])</f>
        <v>0</v>
      </c>
      <c r="CB181" s="3">
        <f>+IF(AVANCE[[#This Row],[SMART PANEL]]=AN$2,100%,AVANCE[[#This Row],[SMART PANEL]])</f>
        <v>0</v>
      </c>
      <c r="CC181" s="3">
        <f>+IF(AVANCE[[#This Row],[PINTURA EXTERIOR]]=AO$2,100%,AVANCE[[#This Row],[PINTURA EXTERIOR]])</f>
        <v>0</v>
      </c>
      <c r="CD181" s="3">
        <f>+IF(AVANCE[[#This Row],[ZOCALOS LOGIA]]=AP$2,100%,AVANCE[[#This Row],[ZOCALOS LOGIA]])</f>
        <v>0</v>
      </c>
      <c r="CE181" s="3">
        <f>+IF(AVANCE[[#This Row],[MOLDURAS]]=AQ$2,100%,AVANCE[[#This Row],[MOLDURAS]])</f>
        <v>0</v>
      </c>
      <c r="CF181" s="3">
        <f>+IF(AVANCE[[#This Row],[PILASTREO]]=AR$2,100%,AVANCE[[#This Row],[PILASTREO]])</f>
        <v>0</v>
      </c>
      <c r="CG181" s="3">
        <f>+IF(AVANCE[[#This Row],[CELOSIAS]]=AS$2,100%,AVANCE[[#This Row],[CELOSIAS]])</f>
        <v>0</v>
      </c>
      <c r="CH181" s="3">
        <f>+IF(AVANCE[[#This Row],[VENTANAS]]=AT$2,100%,AVANCE[[#This Row],[VENTANAS]])</f>
        <v>0</v>
      </c>
      <c r="CI181" s="3">
        <f>+IF(AVANCE[[#This Row],[PUERTAS ACCESO - LOGIA - BANO]]=AU$2,100%,AVANCE[[#This Row],[PUERTAS ACCESO - LOGIA - BANO]])</f>
        <v>0</v>
      </c>
      <c r="CJ181" s="3">
        <f>+IF(AVANCE[[#This Row],[CERRADURAS]]=AV$2,100%,AVANCE[[#This Row],[CERRADURAS]])</f>
        <v>0</v>
      </c>
      <c r="CK181" s="3">
        <f>+IF(AVANCE[[#This Row],[REVESTIMIENTO INTERIOR ZONA SECA]]=AW$2,100%,AVANCE[[#This Row],[REVESTIMIENTO INTERIOR ZONA SECA]])</f>
        <v>0</v>
      </c>
      <c r="CL181" s="3">
        <f>+IF(AVANCE[[#This Row],[REVESTIMIENTO INTERIOR ZONAS HUMEDAS]]=AX$2,100%,AVANCE[[#This Row],[REVESTIMIENTO INTERIOR ZONAS HUMEDAS]])</f>
        <v>0</v>
      </c>
      <c r="CM181" s="3">
        <f>+IF(AVANCE[[#This Row],[MEMBRANA CIELO]]=AY$2,100%,AVANCE[[#This Row],[MEMBRANA CIELO]])</f>
        <v>0</v>
      </c>
      <c r="CN181" s="3">
        <f>+IF(AVANCE[[#This Row],[LIMPIEZA FINAL]]=AZ$2,100%,AVANCE[[#This Row],[LIMPIEZA FINAL]])</f>
        <v>0</v>
      </c>
      <c r="CO181" s="3">
        <f>+IF(AVANCE[[#This Row],[PUERTAS DORMITORIO]]=BA$2,100%,AVANCE[[#This Row],[PUERTAS DORMITORIO]])</f>
        <v>0</v>
      </c>
      <c r="CP181" s="3">
        <f>+IF(AVANCE[[#This Row],[REVESTIMIENTO INTERIOR BANO]]=BB$2,100%,AVANCE[[#This Row],[REVESTIMIENTO INTERIOR BANO]])</f>
        <v>0</v>
      </c>
      <c r="CQ181" s="3">
        <f>+IF(AVANCE[[#This Row],[MUEBLE LAVAPLATOS]]=BC$2,100%,AVANCE[[#This Row],[MUEBLE LAVAPLATOS]])</f>
        <v>0</v>
      </c>
      <c r="CR181" s="3">
        <f>+IF(AVANCE[[#This Row],[IMPERMEABILIZACION BANO - COCINA LOGIA]]=BD$2,100%,AVANCE[[#This Row],[IMPERMEABILIZACION BANO - COCINA LOGIA]])</f>
        <v>0</v>
      </c>
      <c r="CS181" s="40">
        <f ca="1">+IF(AVANCE[[#This Row],[ESTADO MODULO]]="PENDIENTE",(TODAY()-AVANCE[[#This Row],[FECHA TERMINO  PLANIFICADO]]),0)</f>
        <v>0</v>
      </c>
      <c r="CT181" s="41" t="str" cm="1">
        <f t="array" ref="CT181">_xlfn.TEXTJOIN(" | ",TRUE,IF(SUMPRODUCT((BG181:CR181&lt;1)*(PARTIDAS!$I$2:$AT$2="OBRA GRUESA"))&gt;0,"OBRA GRUESA: "&amp;_xlfn.TEXTJOIN(", ",TRUE,IF((BG181:CR181&lt;1)*(PARTIDAS!$I$2:$AT$2="OBRA GRUESA"),PARTIDAS!$I$1:$AT$1,"")),""),IF(SUMPRODUCT((BG181:CR181&lt;1)*(PARTIDAS!$I$2:$AT$2="SANITARIOS"))&gt;0,"SANITARIOS: "&amp;_xlfn.TEXTJOIN(", ",TRUE,IF((BG181:CR181&lt;1)*(PARTIDAS!$I$2:$AT$2="SANITARIOS"),PARTIDAS!$I$1:$AT$1,"")),""),IF(SUMPRODUCT((BG181:CR181&lt;1)*(PARTIDAS!$I$2:$AT$2="ELÉCTRICO"))&gt;0,"ELÉCTRICO: "&amp;_xlfn.TEXTJOIN(", ",TRUE,IF((BG181:CR181&lt;1)*(PARTIDAS!$I$2:$AT$2="ELÉCTRICO"),PARTIDAS!$I$1:$AT$1,"")),""),IF(SUMPRODUCT((BG181:CR181&lt;1)*(PARTIDAS!$I$2:$AT$2="TERMINACIONES"))&gt;0,"TERMINACIONES: "&amp;_xlfn.TEXTJOIN(", ",TRUE,IF((BG181:CR181&lt;1)*(PARTIDAS!$I$2:$AT$2="TERMINACIONES"),PARTIDAS!$I$1:$AT$1,"")),""))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1" s="43" t="str" cm="1">
        <f t="array" ref="CU181">_xlfn.TEXTJOIN(", ",TRUE,IF(SUMPRODUCT((BG181:CR181&lt;1)*(PARTIDAS!$I$2:$AT$2="OBRA GRUESA"))&gt;0,"OBRA GRUESA",""),IF(SUMPRODUCT((BG181:CR181&lt;1)*(PARTIDAS!$I$2:$AT$2="SANITARIOS"))&gt;0,"SANITARIOS",""),IF(SUMPRODUCT((BG181:CR181&lt;1)*(PARTIDAS!$I$2:$AT$2="ELÉCTRICO"))&gt;0,"ELÉCTRICO",""),IF(SUMPRODUCT((BG181:CR181&lt;1)*(PARTIDAS!$I$2:$AT$2="TERMINACIONES"))&gt;0,"TERMINACIONES",""))</f>
        <v>OBRA GRUESA, SANITARIOS, ELÉCTRICO, TERMINACIONES</v>
      </c>
      <c r="CV181" s="44" cm="1">
        <f t="array" ref="CV181">SUMPRODUCT(--(BG181:CR181&lt;1))</f>
        <v>38</v>
      </c>
    </row>
    <row r="182" spans="1:100" hidden="1" x14ac:dyDescent="0.25">
      <c r="A182" t="s">
        <v>223</v>
      </c>
      <c r="B182" t="s">
        <v>244</v>
      </c>
      <c r="C182">
        <v>2282600181</v>
      </c>
      <c r="D182" t="s">
        <v>58</v>
      </c>
      <c r="E182" s="2">
        <v>0</v>
      </c>
      <c r="F182" s="1">
        <v>46226</v>
      </c>
      <c r="G182" s="1"/>
      <c r="H182" s="1">
        <v>0</v>
      </c>
      <c r="I182" s="1">
        <v>46246</v>
      </c>
      <c r="J182">
        <v>46230</v>
      </c>
      <c r="K182" s="1"/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>
        <v>28.87</v>
      </c>
      <c r="BF182" s="3" t="str">
        <f>+IF(AVANCE[[#This Row],[% AVANCE]]=100%,"MODULO TERMINADO",IF(AVANCE[[#This Row],[FECHA INICIO REAL]]="","MODULO NO INICIADO","PENDIENTE"))</f>
        <v>MODULO NO INICIADO</v>
      </c>
      <c r="BG182" s="3">
        <f>+IF(AVANCE[[#This Row],[VENTANAS]]=8.10810810810811%,100%,AVANCE[[#This Row],[VENTANAS]])</f>
        <v>0</v>
      </c>
      <c r="BH182" s="3">
        <f>+IF(AVANCE[[#This Row],[PISO]]=N$2,100%,AVANCE[[#This Row],[PISO]])</f>
        <v>0</v>
      </c>
      <c r="BI182" s="3">
        <f>+IF(AVANCE[[#This Row],[TABIQUES]]=O$2,100%,AVANCE[[#This Row],[TABIQUES]])</f>
        <v>0</v>
      </c>
      <c r="BJ182" s="3">
        <f>+IF(AVANCE[[#This Row],[MUROS]]=P$2,100%,AVANCE[[#This Row],[MUROS]])</f>
        <v>0</v>
      </c>
      <c r="BK182" s="3">
        <f>+IF(AVANCE[[#This Row],[CIELO]]=Q$2,100%,AVANCE[[#This Row],[CIELO]])</f>
        <v>0</v>
      </c>
      <c r="BL182" s="3">
        <f>+IF(AVANCE[[#This Row],[BALCÓN]]=R$2,100%,AVANCE[[#This Row],[BALCÓN]])</f>
        <v>0</v>
      </c>
      <c r="BM182" s="3">
        <f>+IF(AVANCE[[#This Row],[RED ALCANTARILLADO]]=U$2,100%,AVANCE[[#This Row],[RED ALCANTARILLADO]])</f>
        <v>0</v>
      </c>
      <c r="BN182" s="3">
        <f>+IF(AVANCE[[#This Row],[RED DE AGUA]]=V$2,100%,AVANCE[[#This Row],[RED DE AGUA]])</f>
        <v>0</v>
      </c>
      <c r="BO182" s="3">
        <f>+IF(AVANCE[[#This Row],[VENTILACIONES]]=W$2,100%,AVANCE[[#This Row],[VENTILACIONES]])</f>
        <v>0</v>
      </c>
      <c r="BP182" s="3">
        <f>+IF(AVANCE[[#This Row],[TINA]]=X$2,100%,AVANCE[[#This Row],[TINA]])</f>
        <v>0</v>
      </c>
      <c r="BQ182" s="3">
        <f>+IF(AVANCE[[#This Row],[WC]]=Y$2,100%,AVANCE[[#This Row],[WC]])</f>
        <v>0</v>
      </c>
      <c r="BR182" s="3">
        <f>+IF(AVANCE[[#This Row],[LAVAMANOS / LAVAPLATOS / LAVADERO]]=Z$2,100%,AVANCE[[#This Row],[LAVAMANOS / LAVAPLATOS / LAVADERO]])</f>
        <v>0</v>
      </c>
      <c r="BS182" s="3">
        <f>+IF(AVANCE[[#This Row],[CANALIZACIÓN]]=AC$2,100%,AVANCE[[#This Row],[CANALIZACIÓN]])</f>
        <v>0</v>
      </c>
      <c r="BT182" s="3">
        <f>+IF(AVANCE[[#This Row],[CABLEADO]]=AD$2,100%,AVANCE[[#This Row],[CABLEADO]])</f>
        <v>0</v>
      </c>
      <c r="BU182" s="3">
        <f>+IF(AVANCE[[#This Row],[ARTEFACTOS]]=AE$2,100%,AVANCE[[#This Row],[ARTEFACTOS]])</f>
        <v>0</v>
      </c>
      <c r="BV182" s="3">
        <f>+IF(AVANCE[[#This Row],[TABLERO]]=AF$2,100%,AVANCE[[#This Row],[TABLERO]])</f>
        <v>0</v>
      </c>
      <c r="BW182" s="3">
        <f>+IF(AVANCE[[#This Row],[CAJA PAU]]=AG$2,100%,AVANCE[[#This Row],[CAJA PAU]])</f>
        <v>0</v>
      </c>
      <c r="BX182" s="3">
        <f>+IF(AVANCE[[#This Row],[INSTALACION VINILICO]]=AJ$2,100%,AVANCE[[#This Row],[INSTALACION VINILICO]])</f>
        <v>0</v>
      </c>
      <c r="BY182" s="3">
        <f>+IF(AVANCE[[#This Row],[OSB CUBIERTA]]=AK$2,100%,AVANCE[[#This Row],[OSB CUBIERTA]])</f>
        <v>0</v>
      </c>
      <c r="BZ182" s="3">
        <f>+IF(AVANCE[[#This Row],[BARANDA BALCON]]=AL$2,100%,AVANCE[[#This Row],[BARANDA BALCON]])</f>
        <v>0</v>
      </c>
      <c r="CA182" s="3">
        <f>+IF(AVANCE[[#This Row],[OSB EXTERIOR]]=AM$2,100%,AVANCE[[#This Row],[OSB EXTERIOR]])</f>
        <v>0</v>
      </c>
      <c r="CB182" s="3">
        <f>+IF(AVANCE[[#This Row],[SMART PANEL]]=AN$2,100%,AVANCE[[#This Row],[SMART PANEL]])</f>
        <v>0</v>
      </c>
      <c r="CC182" s="3">
        <f>+IF(AVANCE[[#This Row],[PINTURA EXTERIOR]]=AO$2,100%,AVANCE[[#This Row],[PINTURA EXTERIOR]])</f>
        <v>0</v>
      </c>
      <c r="CD182" s="3">
        <f>+IF(AVANCE[[#This Row],[ZOCALOS LOGIA]]=AP$2,100%,AVANCE[[#This Row],[ZOCALOS LOGIA]])</f>
        <v>0</v>
      </c>
      <c r="CE182" s="3">
        <f>+IF(AVANCE[[#This Row],[MOLDURAS]]=AQ$2,100%,AVANCE[[#This Row],[MOLDURAS]])</f>
        <v>0</v>
      </c>
      <c r="CF182" s="3">
        <f>+IF(AVANCE[[#This Row],[PILASTREO]]=AR$2,100%,AVANCE[[#This Row],[PILASTREO]])</f>
        <v>0</v>
      </c>
      <c r="CG182" s="3">
        <f>+IF(AVANCE[[#This Row],[CELOSIAS]]=AS$2,100%,AVANCE[[#This Row],[CELOSIAS]])</f>
        <v>0</v>
      </c>
      <c r="CH182" s="3">
        <f>+IF(AVANCE[[#This Row],[VENTANAS]]=AT$2,100%,AVANCE[[#This Row],[VENTANAS]])</f>
        <v>0</v>
      </c>
      <c r="CI182" s="3">
        <f>+IF(AVANCE[[#This Row],[PUERTAS ACCESO - LOGIA - BANO]]=AU$2,100%,AVANCE[[#This Row],[PUERTAS ACCESO - LOGIA - BANO]])</f>
        <v>0</v>
      </c>
      <c r="CJ182" s="3">
        <f>+IF(AVANCE[[#This Row],[CERRADURAS]]=AV$2,100%,AVANCE[[#This Row],[CERRADURAS]])</f>
        <v>0</v>
      </c>
      <c r="CK182" s="3">
        <f>+IF(AVANCE[[#This Row],[REVESTIMIENTO INTERIOR ZONA SECA]]=AW$2,100%,AVANCE[[#This Row],[REVESTIMIENTO INTERIOR ZONA SECA]])</f>
        <v>0</v>
      </c>
      <c r="CL182" s="3">
        <f>+IF(AVANCE[[#This Row],[REVESTIMIENTO INTERIOR ZONAS HUMEDAS]]=AX$2,100%,AVANCE[[#This Row],[REVESTIMIENTO INTERIOR ZONAS HUMEDAS]])</f>
        <v>0</v>
      </c>
      <c r="CM182" s="3">
        <f>+IF(AVANCE[[#This Row],[MEMBRANA CIELO]]=AY$2,100%,AVANCE[[#This Row],[MEMBRANA CIELO]])</f>
        <v>0</v>
      </c>
      <c r="CN182" s="3">
        <f>+IF(AVANCE[[#This Row],[LIMPIEZA FINAL]]=AZ$2,100%,AVANCE[[#This Row],[LIMPIEZA FINAL]])</f>
        <v>0</v>
      </c>
      <c r="CO182" s="3">
        <f>+IF(AVANCE[[#This Row],[PUERTAS DORMITORIO]]=BA$2,100%,AVANCE[[#This Row],[PUERTAS DORMITORIO]])</f>
        <v>0</v>
      </c>
      <c r="CP182" s="3">
        <f>+IF(AVANCE[[#This Row],[REVESTIMIENTO INTERIOR BANO]]=BB$2,100%,AVANCE[[#This Row],[REVESTIMIENTO INTERIOR BANO]])</f>
        <v>0</v>
      </c>
      <c r="CQ182" s="3">
        <f>+IF(AVANCE[[#This Row],[MUEBLE LAVAPLATOS]]=BC$2,100%,AVANCE[[#This Row],[MUEBLE LAVAPLATOS]])</f>
        <v>0</v>
      </c>
      <c r="CR182" s="3">
        <f>+IF(AVANCE[[#This Row],[IMPERMEABILIZACION BANO - COCINA LOGIA]]=BD$2,100%,AVANCE[[#This Row],[IMPERMEABILIZACION BANO - COCINA LOGIA]])</f>
        <v>0</v>
      </c>
      <c r="CS182" s="40">
        <f ca="1">+IF(AVANCE[[#This Row],[ESTADO MODULO]]="PENDIENTE",(TODAY()-AVANCE[[#This Row],[FECHA TERMINO  PLANIFICADO]]),0)</f>
        <v>0</v>
      </c>
      <c r="CT182" s="41" t="str" cm="1">
        <f t="array" ref="CT182">_xlfn.TEXTJOIN(" | ",TRUE,IF(SUMPRODUCT((BG182:CR182&lt;1)*(PARTIDAS!$I$2:$AT$2="OBRA GRUESA"))&gt;0,"OBRA GRUESA: "&amp;_xlfn.TEXTJOIN(", ",TRUE,IF((BG182:CR182&lt;1)*(PARTIDAS!$I$2:$AT$2="OBRA GRUESA"),PARTIDAS!$I$1:$AT$1,"")),""),IF(SUMPRODUCT((BG182:CR182&lt;1)*(PARTIDAS!$I$2:$AT$2="SANITARIOS"))&gt;0,"SANITARIOS: "&amp;_xlfn.TEXTJOIN(", ",TRUE,IF((BG182:CR182&lt;1)*(PARTIDAS!$I$2:$AT$2="SANITARIOS"),PARTIDAS!$I$1:$AT$1,"")),""),IF(SUMPRODUCT((BG182:CR182&lt;1)*(PARTIDAS!$I$2:$AT$2="ELÉCTRICO"))&gt;0,"ELÉCTRICO: "&amp;_xlfn.TEXTJOIN(", ",TRUE,IF((BG182:CR182&lt;1)*(PARTIDAS!$I$2:$AT$2="ELÉCTRICO"),PARTIDAS!$I$1:$AT$1,"")),""),IF(SUMPRODUCT((BG182:CR182&lt;1)*(PARTIDAS!$I$2:$AT$2="TERMINACIONES"))&gt;0,"TERMINACIONES: "&amp;_xlfn.TEXTJOIN(", ",TRUE,IF((BG182:CR182&lt;1)*(PARTIDAS!$I$2:$AT$2="TERMINACIONES"),PARTIDAS!$I$1:$AT$1,"")),""))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2" s="43" t="str" cm="1">
        <f t="array" ref="CU182">_xlfn.TEXTJOIN(", ",TRUE,IF(SUMPRODUCT((BG182:CR182&lt;1)*(PARTIDAS!$I$2:$AT$2="OBRA GRUESA"))&gt;0,"OBRA GRUESA",""),IF(SUMPRODUCT((BG182:CR182&lt;1)*(PARTIDAS!$I$2:$AT$2="SANITARIOS"))&gt;0,"SANITARIOS",""),IF(SUMPRODUCT((BG182:CR182&lt;1)*(PARTIDAS!$I$2:$AT$2="ELÉCTRICO"))&gt;0,"ELÉCTRICO",""),IF(SUMPRODUCT((BG182:CR182&lt;1)*(PARTIDAS!$I$2:$AT$2="TERMINACIONES"))&gt;0,"TERMINACIONES",""))</f>
        <v>OBRA GRUESA, SANITARIOS, ELÉCTRICO, TERMINACIONES</v>
      </c>
      <c r="CV182" s="44" cm="1">
        <f t="array" ref="CV182">SUMPRODUCT(--(BG182:CR182&lt;1))</f>
        <v>38</v>
      </c>
    </row>
    <row r="183" spans="1:100" hidden="1" x14ac:dyDescent="0.25">
      <c r="A183" t="s">
        <v>223</v>
      </c>
      <c r="B183" t="s">
        <v>245</v>
      </c>
      <c r="C183">
        <v>2302600182</v>
      </c>
      <c r="D183" t="s">
        <v>60</v>
      </c>
      <c r="E183" s="2">
        <v>0</v>
      </c>
      <c r="F183" s="1">
        <v>46226</v>
      </c>
      <c r="G183" s="1"/>
      <c r="H183" s="1">
        <v>0</v>
      </c>
      <c r="I183" s="1">
        <v>46256</v>
      </c>
      <c r="J183">
        <v>46230</v>
      </c>
      <c r="K183" s="1"/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>
        <v>31.32</v>
      </c>
      <c r="BF183" s="3" t="str">
        <f>+IF(AVANCE[[#This Row],[% AVANCE]]=100%,"MODULO TERMINADO",IF(AVANCE[[#This Row],[FECHA INICIO REAL]]="","MODULO NO INICIADO","PENDIENTE"))</f>
        <v>MODULO NO INICIADO</v>
      </c>
      <c r="BG183" s="3">
        <f>+IF(AVANCE[[#This Row],[VENTANAS]]=8.10810810810811%,100%,AVANCE[[#This Row],[VENTANAS]])</f>
        <v>0</v>
      </c>
      <c r="BH183" s="3">
        <f>+IF(AVANCE[[#This Row],[PISO]]=N$2,100%,AVANCE[[#This Row],[PISO]])</f>
        <v>0</v>
      </c>
      <c r="BI183" s="3">
        <f>+IF(AVANCE[[#This Row],[TABIQUES]]=O$2,100%,AVANCE[[#This Row],[TABIQUES]])</f>
        <v>0</v>
      </c>
      <c r="BJ183" s="3">
        <f>+IF(AVANCE[[#This Row],[MUROS]]=P$2,100%,AVANCE[[#This Row],[MUROS]])</f>
        <v>0</v>
      </c>
      <c r="BK183" s="3">
        <f>+IF(AVANCE[[#This Row],[CIELO]]=Q$2,100%,AVANCE[[#This Row],[CIELO]])</f>
        <v>0</v>
      </c>
      <c r="BL183" s="3">
        <f>+IF(AVANCE[[#This Row],[BALCÓN]]=R$2,100%,AVANCE[[#This Row],[BALCÓN]])</f>
        <v>0</v>
      </c>
      <c r="BM183" s="3">
        <f>+IF(AVANCE[[#This Row],[RED ALCANTARILLADO]]=U$2,100%,AVANCE[[#This Row],[RED ALCANTARILLADO]])</f>
        <v>0</v>
      </c>
      <c r="BN183" s="3">
        <f>+IF(AVANCE[[#This Row],[RED DE AGUA]]=V$2,100%,AVANCE[[#This Row],[RED DE AGUA]])</f>
        <v>0</v>
      </c>
      <c r="BO183" s="3">
        <f>+IF(AVANCE[[#This Row],[VENTILACIONES]]=W$2,100%,AVANCE[[#This Row],[VENTILACIONES]])</f>
        <v>0</v>
      </c>
      <c r="BP183" s="3">
        <f>+IF(AVANCE[[#This Row],[TINA]]=X$2,100%,AVANCE[[#This Row],[TINA]])</f>
        <v>0</v>
      </c>
      <c r="BQ183" s="3">
        <f>+IF(AVANCE[[#This Row],[WC]]=Y$2,100%,AVANCE[[#This Row],[WC]])</f>
        <v>0</v>
      </c>
      <c r="BR183" s="3">
        <f>+IF(AVANCE[[#This Row],[LAVAMANOS / LAVAPLATOS / LAVADERO]]=Z$2,100%,AVANCE[[#This Row],[LAVAMANOS / LAVAPLATOS / LAVADERO]])</f>
        <v>0</v>
      </c>
      <c r="BS183" s="3">
        <f>+IF(AVANCE[[#This Row],[CANALIZACIÓN]]=AC$2,100%,AVANCE[[#This Row],[CANALIZACIÓN]])</f>
        <v>0</v>
      </c>
      <c r="BT183" s="3">
        <f>+IF(AVANCE[[#This Row],[CABLEADO]]=AD$2,100%,AVANCE[[#This Row],[CABLEADO]])</f>
        <v>0</v>
      </c>
      <c r="BU183" s="3">
        <f>+IF(AVANCE[[#This Row],[ARTEFACTOS]]=AE$2,100%,AVANCE[[#This Row],[ARTEFACTOS]])</f>
        <v>0</v>
      </c>
      <c r="BV183" s="3">
        <f>+IF(AVANCE[[#This Row],[TABLERO]]=AF$2,100%,AVANCE[[#This Row],[TABLERO]])</f>
        <v>0</v>
      </c>
      <c r="BW183" s="3">
        <f>+IF(AVANCE[[#This Row],[CAJA PAU]]=AG$2,100%,AVANCE[[#This Row],[CAJA PAU]])</f>
        <v>0</v>
      </c>
      <c r="BX183" s="3">
        <f>+IF(AVANCE[[#This Row],[INSTALACION VINILICO]]=AJ$2,100%,AVANCE[[#This Row],[INSTALACION VINILICO]])</f>
        <v>0</v>
      </c>
      <c r="BY183" s="3">
        <f>+IF(AVANCE[[#This Row],[OSB CUBIERTA]]=AK$2,100%,AVANCE[[#This Row],[OSB CUBIERTA]])</f>
        <v>0</v>
      </c>
      <c r="BZ183" s="3">
        <f>+IF(AVANCE[[#This Row],[BARANDA BALCON]]=AL$2,100%,AVANCE[[#This Row],[BARANDA BALCON]])</f>
        <v>0</v>
      </c>
      <c r="CA183" s="3">
        <f>+IF(AVANCE[[#This Row],[OSB EXTERIOR]]=AM$2,100%,AVANCE[[#This Row],[OSB EXTERIOR]])</f>
        <v>0</v>
      </c>
      <c r="CB183" s="3">
        <f>+IF(AVANCE[[#This Row],[SMART PANEL]]=AN$2,100%,AVANCE[[#This Row],[SMART PANEL]])</f>
        <v>0</v>
      </c>
      <c r="CC183" s="3">
        <f>+IF(AVANCE[[#This Row],[PINTURA EXTERIOR]]=AO$2,100%,AVANCE[[#This Row],[PINTURA EXTERIOR]])</f>
        <v>0</v>
      </c>
      <c r="CD183" s="3">
        <f>+IF(AVANCE[[#This Row],[ZOCALOS LOGIA]]=AP$2,100%,AVANCE[[#This Row],[ZOCALOS LOGIA]])</f>
        <v>0</v>
      </c>
      <c r="CE183" s="3">
        <f>+IF(AVANCE[[#This Row],[MOLDURAS]]=AQ$2,100%,AVANCE[[#This Row],[MOLDURAS]])</f>
        <v>0</v>
      </c>
      <c r="CF183" s="3">
        <f>+IF(AVANCE[[#This Row],[PILASTREO]]=AR$2,100%,AVANCE[[#This Row],[PILASTREO]])</f>
        <v>0</v>
      </c>
      <c r="CG183" s="3">
        <f>+IF(AVANCE[[#This Row],[CELOSIAS]]=AS$2,100%,AVANCE[[#This Row],[CELOSIAS]])</f>
        <v>0</v>
      </c>
      <c r="CH183" s="3">
        <f>+IF(AVANCE[[#This Row],[VENTANAS]]=AT$2,100%,AVANCE[[#This Row],[VENTANAS]])</f>
        <v>0</v>
      </c>
      <c r="CI183" s="3">
        <f>+IF(AVANCE[[#This Row],[PUERTAS ACCESO - LOGIA - BANO]]=AU$2,100%,AVANCE[[#This Row],[PUERTAS ACCESO - LOGIA - BANO]])</f>
        <v>0</v>
      </c>
      <c r="CJ183" s="3">
        <f>+IF(AVANCE[[#This Row],[CERRADURAS]]=AV$2,100%,AVANCE[[#This Row],[CERRADURAS]])</f>
        <v>0</v>
      </c>
      <c r="CK183" s="3">
        <f>+IF(AVANCE[[#This Row],[REVESTIMIENTO INTERIOR ZONA SECA]]=AW$2,100%,AVANCE[[#This Row],[REVESTIMIENTO INTERIOR ZONA SECA]])</f>
        <v>0</v>
      </c>
      <c r="CL183" s="3">
        <f>+IF(AVANCE[[#This Row],[REVESTIMIENTO INTERIOR ZONAS HUMEDAS]]=AX$2,100%,AVANCE[[#This Row],[REVESTIMIENTO INTERIOR ZONAS HUMEDAS]])</f>
        <v>0</v>
      </c>
      <c r="CM183" s="3">
        <f>+IF(AVANCE[[#This Row],[MEMBRANA CIELO]]=AY$2,100%,AVANCE[[#This Row],[MEMBRANA CIELO]])</f>
        <v>0</v>
      </c>
      <c r="CN183" s="3">
        <f>+IF(AVANCE[[#This Row],[LIMPIEZA FINAL]]=AZ$2,100%,AVANCE[[#This Row],[LIMPIEZA FINAL]])</f>
        <v>0</v>
      </c>
      <c r="CO183" s="3">
        <f>+IF(AVANCE[[#This Row],[PUERTAS DORMITORIO]]=BA$2,100%,AVANCE[[#This Row],[PUERTAS DORMITORIO]])</f>
        <v>0</v>
      </c>
      <c r="CP183" s="3">
        <f>+IF(AVANCE[[#This Row],[REVESTIMIENTO INTERIOR BANO]]=BB$2,100%,AVANCE[[#This Row],[REVESTIMIENTO INTERIOR BANO]])</f>
        <v>0</v>
      </c>
      <c r="CQ183" s="3">
        <f>+IF(AVANCE[[#This Row],[MUEBLE LAVAPLATOS]]=BC$2,100%,AVANCE[[#This Row],[MUEBLE LAVAPLATOS]])</f>
        <v>0</v>
      </c>
      <c r="CR183" s="3">
        <f>+IF(AVANCE[[#This Row],[IMPERMEABILIZACION BANO - COCINA LOGIA]]=BD$2,100%,AVANCE[[#This Row],[IMPERMEABILIZACION BANO - COCINA LOGIA]])</f>
        <v>0</v>
      </c>
      <c r="CS183" s="40">
        <f ca="1">+IF(AVANCE[[#This Row],[ESTADO MODULO]]="PENDIENTE",(TODAY()-AVANCE[[#This Row],[FECHA TERMINO  PLANIFICADO]]),0)</f>
        <v>0</v>
      </c>
      <c r="CT183" s="41" t="str" cm="1">
        <f t="array" ref="CT183">_xlfn.TEXTJOIN(" | ",TRUE,IF(SUMPRODUCT((BG183:CR183&lt;1)*(PARTIDAS!$I$2:$AT$2="OBRA GRUESA"))&gt;0,"OBRA GRUESA: "&amp;_xlfn.TEXTJOIN(", ",TRUE,IF((BG183:CR183&lt;1)*(PARTIDAS!$I$2:$AT$2="OBRA GRUESA"),PARTIDAS!$I$1:$AT$1,"")),""),IF(SUMPRODUCT((BG183:CR183&lt;1)*(PARTIDAS!$I$2:$AT$2="SANITARIOS"))&gt;0,"SANITARIOS: "&amp;_xlfn.TEXTJOIN(", ",TRUE,IF((BG183:CR183&lt;1)*(PARTIDAS!$I$2:$AT$2="SANITARIOS"),PARTIDAS!$I$1:$AT$1,"")),""),IF(SUMPRODUCT((BG183:CR183&lt;1)*(PARTIDAS!$I$2:$AT$2="ELÉCTRICO"))&gt;0,"ELÉCTRICO: "&amp;_xlfn.TEXTJOIN(", ",TRUE,IF((BG183:CR183&lt;1)*(PARTIDAS!$I$2:$AT$2="ELÉCTRICO"),PARTIDAS!$I$1:$AT$1,"")),""),IF(SUMPRODUCT((BG183:CR183&lt;1)*(PARTIDAS!$I$2:$AT$2="TERMINACIONES"))&gt;0,"TERMINACIONES: "&amp;_xlfn.TEXTJOIN(", ",TRUE,IF((BG183:CR183&lt;1)*(PARTIDAS!$I$2:$AT$2="TERMINACIONES"),PARTIDAS!$I$1:$AT$1,"")),""))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3" s="43" t="str" cm="1">
        <f t="array" ref="CU183">_xlfn.TEXTJOIN(", ",TRUE,IF(SUMPRODUCT((BG183:CR183&lt;1)*(PARTIDAS!$I$2:$AT$2="OBRA GRUESA"))&gt;0,"OBRA GRUESA",""),IF(SUMPRODUCT((BG183:CR183&lt;1)*(PARTIDAS!$I$2:$AT$2="SANITARIOS"))&gt;0,"SANITARIOS",""),IF(SUMPRODUCT((BG183:CR183&lt;1)*(PARTIDAS!$I$2:$AT$2="ELÉCTRICO"))&gt;0,"ELÉCTRICO",""),IF(SUMPRODUCT((BG183:CR183&lt;1)*(PARTIDAS!$I$2:$AT$2="TERMINACIONES"))&gt;0,"TERMINACIONES",""))</f>
        <v>OBRA GRUESA, SANITARIOS, ELÉCTRICO, TERMINACIONES</v>
      </c>
      <c r="CV183" s="44" cm="1">
        <f t="array" ref="CV183">SUMPRODUCT(--(BG183:CR183&lt;1))</f>
        <v>38</v>
      </c>
    </row>
    <row r="184" spans="1:100" hidden="1" x14ac:dyDescent="0.25">
      <c r="A184" t="s">
        <v>223</v>
      </c>
      <c r="B184" t="s">
        <v>246</v>
      </c>
      <c r="C184">
        <v>2302600183</v>
      </c>
      <c r="D184" t="s">
        <v>60</v>
      </c>
      <c r="E184" s="2">
        <v>0</v>
      </c>
      <c r="F184" s="1">
        <v>46226</v>
      </c>
      <c r="G184" s="1"/>
      <c r="H184" s="1">
        <v>0</v>
      </c>
      <c r="I184" s="1">
        <v>46256</v>
      </c>
      <c r="J184">
        <v>46230</v>
      </c>
      <c r="K184" s="1"/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>
        <v>31.32</v>
      </c>
      <c r="BF184" s="3" t="str">
        <f>+IF(AVANCE[[#This Row],[% AVANCE]]=100%,"MODULO TERMINADO",IF(AVANCE[[#This Row],[FECHA INICIO REAL]]="","MODULO NO INICIADO","PENDIENTE"))</f>
        <v>MODULO NO INICIADO</v>
      </c>
      <c r="BG184" s="3">
        <f>+IF(AVANCE[[#This Row],[VENTANAS]]=8.10810810810811%,100%,AVANCE[[#This Row],[VENTANAS]])</f>
        <v>0</v>
      </c>
      <c r="BH184" s="3">
        <f>+IF(AVANCE[[#This Row],[PISO]]=N$2,100%,AVANCE[[#This Row],[PISO]])</f>
        <v>0</v>
      </c>
      <c r="BI184" s="3">
        <f>+IF(AVANCE[[#This Row],[TABIQUES]]=O$2,100%,AVANCE[[#This Row],[TABIQUES]])</f>
        <v>0</v>
      </c>
      <c r="BJ184" s="3">
        <f>+IF(AVANCE[[#This Row],[MUROS]]=P$2,100%,AVANCE[[#This Row],[MUROS]])</f>
        <v>0</v>
      </c>
      <c r="BK184" s="3">
        <f>+IF(AVANCE[[#This Row],[CIELO]]=Q$2,100%,AVANCE[[#This Row],[CIELO]])</f>
        <v>0</v>
      </c>
      <c r="BL184" s="3">
        <f>+IF(AVANCE[[#This Row],[BALCÓN]]=R$2,100%,AVANCE[[#This Row],[BALCÓN]])</f>
        <v>0</v>
      </c>
      <c r="BM184" s="3">
        <f>+IF(AVANCE[[#This Row],[RED ALCANTARILLADO]]=U$2,100%,AVANCE[[#This Row],[RED ALCANTARILLADO]])</f>
        <v>0</v>
      </c>
      <c r="BN184" s="3">
        <f>+IF(AVANCE[[#This Row],[RED DE AGUA]]=V$2,100%,AVANCE[[#This Row],[RED DE AGUA]])</f>
        <v>0</v>
      </c>
      <c r="BO184" s="3">
        <f>+IF(AVANCE[[#This Row],[VENTILACIONES]]=W$2,100%,AVANCE[[#This Row],[VENTILACIONES]])</f>
        <v>0</v>
      </c>
      <c r="BP184" s="3">
        <f>+IF(AVANCE[[#This Row],[TINA]]=X$2,100%,AVANCE[[#This Row],[TINA]])</f>
        <v>0</v>
      </c>
      <c r="BQ184" s="3">
        <f>+IF(AVANCE[[#This Row],[WC]]=Y$2,100%,AVANCE[[#This Row],[WC]])</f>
        <v>0</v>
      </c>
      <c r="BR184" s="3">
        <f>+IF(AVANCE[[#This Row],[LAVAMANOS / LAVAPLATOS / LAVADERO]]=Z$2,100%,AVANCE[[#This Row],[LAVAMANOS / LAVAPLATOS / LAVADERO]])</f>
        <v>0</v>
      </c>
      <c r="BS184" s="3">
        <f>+IF(AVANCE[[#This Row],[CANALIZACIÓN]]=AC$2,100%,AVANCE[[#This Row],[CANALIZACIÓN]])</f>
        <v>0</v>
      </c>
      <c r="BT184" s="3">
        <f>+IF(AVANCE[[#This Row],[CABLEADO]]=AD$2,100%,AVANCE[[#This Row],[CABLEADO]])</f>
        <v>0</v>
      </c>
      <c r="BU184" s="3">
        <f>+IF(AVANCE[[#This Row],[ARTEFACTOS]]=AE$2,100%,AVANCE[[#This Row],[ARTEFACTOS]])</f>
        <v>0</v>
      </c>
      <c r="BV184" s="3">
        <f>+IF(AVANCE[[#This Row],[TABLERO]]=AF$2,100%,AVANCE[[#This Row],[TABLERO]])</f>
        <v>0</v>
      </c>
      <c r="BW184" s="3">
        <f>+IF(AVANCE[[#This Row],[CAJA PAU]]=AG$2,100%,AVANCE[[#This Row],[CAJA PAU]])</f>
        <v>0</v>
      </c>
      <c r="BX184" s="3">
        <f>+IF(AVANCE[[#This Row],[INSTALACION VINILICO]]=AJ$2,100%,AVANCE[[#This Row],[INSTALACION VINILICO]])</f>
        <v>0</v>
      </c>
      <c r="BY184" s="3">
        <f>+IF(AVANCE[[#This Row],[OSB CUBIERTA]]=AK$2,100%,AVANCE[[#This Row],[OSB CUBIERTA]])</f>
        <v>0</v>
      </c>
      <c r="BZ184" s="3">
        <f>+IF(AVANCE[[#This Row],[BARANDA BALCON]]=AL$2,100%,AVANCE[[#This Row],[BARANDA BALCON]])</f>
        <v>0</v>
      </c>
      <c r="CA184" s="3">
        <f>+IF(AVANCE[[#This Row],[OSB EXTERIOR]]=AM$2,100%,AVANCE[[#This Row],[OSB EXTERIOR]])</f>
        <v>0</v>
      </c>
      <c r="CB184" s="3">
        <f>+IF(AVANCE[[#This Row],[SMART PANEL]]=AN$2,100%,AVANCE[[#This Row],[SMART PANEL]])</f>
        <v>0</v>
      </c>
      <c r="CC184" s="3">
        <f>+IF(AVANCE[[#This Row],[PINTURA EXTERIOR]]=AO$2,100%,AVANCE[[#This Row],[PINTURA EXTERIOR]])</f>
        <v>0</v>
      </c>
      <c r="CD184" s="3">
        <f>+IF(AVANCE[[#This Row],[ZOCALOS LOGIA]]=AP$2,100%,AVANCE[[#This Row],[ZOCALOS LOGIA]])</f>
        <v>0</v>
      </c>
      <c r="CE184" s="3">
        <f>+IF(AVANCE[[#This Row],[MOLDURAS]]=AQ$2,100%,AVANCE[[#This Row],[MOLDURAS]])</f>
        <v>0</v>
      </c>
      <c r="CF184" s="3">
        <f>+IF(AVANCE[[#This Row],[PILASTREO]]=AR$2,100%,AVANCE[[#This Row],[PILASTREO]])</f>
        <v>0</v>
      </c>
      <c r="CG184" s="3">
        <f>+IF(AVANCE[[#This Row],[CELOSIAS]]=AS$2,100%,AVANCE[[#This Row],[CELOSIAS]])</f>
        <v>0</v>
      </c>
      <c r="CH184" s="3">
        <f>+IF(AVANCE[[#This Row],[VENTANAS]]=AT$2,100%,AVANCE[[#This Row],[VENTANAS]])</f>
        <v>0</v>
      </c>
      <c r="CI184" s="3">
        <f>+IF(AVANCE[[#This Row],[PUERTAS ACCESO - LOGIA - BANO]]=AU$2,100%,AVANCE[[#This Row],[PUERTAS ACCESO - LOGIA - BANO]])</f>
        <v>0</v>
      </c>
      <c r="CJ184" s="3">
        <f>+IF(AVANCE[[#This Row],[CERRADURAS]]=AV$2,100%,AVANCE[[#This Row],[CERRADURAS]])</f>
        <v>0</v>
      </c>
      <c r="CK184" s="3">
        <f>+IF(AVANCE[[#This Row],[REVESTIMIENTO INTERIOR ZONA SECA]]=AW$2,100%,AVANCE[[#This Row],[REVESTIMIENTO INTERIOR ZONA SECA]])</f>
        <v>0</v>
      </c>
      <c r="CL184" s="3">
        <f>+IF(AVANCE[[#This Row],[REVESTIMIENTO INTERIOR ZONAS HUMEDAS]]=AX$2,100%,AVANCE[[#This Row],[REVESTIMIENTO INTERIOR ZONAS HUMEDAS]])</f>
        <v>0</v>
      </c>
      <c r="CM184" s="3">
        <f>+IF(AVANCE[[#This Row],[MEMBRANA CIELO]]=AY$2,100%,AVANCE[[#This Row],[MEMBRANA CIELO]])</f>
        <v>0</v>
      </c>
      <c r="CN184" s="3">
        <f>+IF(AVANCE[[#This Row],[LIMPIEZA FINAL]]=AZ$2,100%,AVANCE[[#This Row],[LIMPIEZA FINAL]])</f>
        <v>0</v>
      </c>
      <c r="CO184" s="3">
        <f>+IF(AVANCE[[#This Row],[PUERTAS DORMITORIO]]=BA$2,100%,AVANCE[[#This Row],[PUERTAS DORMITORIO]])</f>
        <v>0</v>
      </c>
      <c r="CP184" s="3">
        <f>+IF(AVANCE[[#This Row],[REVESTIMIENTO INTERIOR BANO]]=BB$2,100%,AVANCE[[#This Row],[REVESTIMIENTO INTERIOR BANO]])</f>
        <v>0</v>
      </c>
      <c r="CQ184" s="3">
        <f>+IF(AVANCE[[#This Row],[MUEBLE LAVAPLATOS]]=BC$2,100%,AVANCE[[#This Row],[MUEBLE LAVAPLATOS]])</f>
        <v>0</v>
      </c>
      <c r="CR184" s="3">
        <f>+IF(AVANCE[[#This Row],[IMPERMEABILIZACION BANO - COCINA LOGIA]]=BD$2,100%,AVANCE[[#This Row],[IMPERMEABILIZACION BANO - COCINA LOGIA]])</f>
        <v>0</v>
      </c>
      <c r="CS184" s="40">
        <f ca="1">+IF(AVANCE[[#This Row],[ESTADO MODULO]]="PENDIENTE",(TODAY()-AVANCE[[#This Row],[FECHA TERMINO  PLANIFICADO]]),0)</f>
        <v>0</v>
      </c>
      <c r="CT184" s="41" t="str" cm="1">
        <f t="array" ref="CT184">_xlfn.TEXTJOIN(" | ",TRUE,IF(SUMPRODUCT((BG184:CR184&lt;1)*(PARTIDAS!$I$2:$AT$2="OBRA GRUESA"))&gt;0,"OBRA GRUESA: "&amp;_xlfn.TEXTJOIN(", ",TRUE,IF((BG184:CR184&lt;1)*(PARTIDAS!$I$2:$AT$2="OBRA GRUESA"),PARTIDAS!$I$1:$AT$1,"")),""),IF(SUMPRODUCT((BG184:CR184&lt;1)*(PARTIDAS!$I$2:$AT$2="SANITARIOS"))&gt;0,"SANITARIOS: "&amp;_xlfn.TEXTJOIN(", ",TRUE,IF((BG184:CR184&lt;1)*(PARTIDAS!$I$2:$AT$2="SANITARIOS"),PARTIDAS!$I$1:$AT$1,"")),""),IF(SUMPRODUCT((BG184:CR184&lt;1)*(PARTIDAS!$I$2:$AT$2="ELÉCTRICO"))&gt;0,"ELÉCTRICO: "&amp;_xlfn.TEXTJOIN(", ",TRUE,IF((BG184:CR184&lt;1)*(PARTIDAS!$I$2:$AT$2="ELÉCTRICO"),PARTIDAS!$I$1:$AT$1,"")),""),IF(SUMPRODUCT((BG184:CR184&lt;1)*(PARTIDAS!$I$2:$AT$2="TERMINACIONES"))&gt;0,"TERMINACIONES: "&amp;_xlfn.TEXTJOIN(", ",TRUE,IF((BG184:CR184&lt;1)*(PARTIDAS!$I$2:$AT$2="TERMINACIONES"),PARTIDAS!$I$1:$AT$1,"")),""))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4" s="43" t="str" cm="1">
        <f t="array" ref="CU184">_xlfn.TEXTJOIN(", ",TRUE,IF(SUMPRODUCT((BG184:CR184&lt;1)*(PARTIDAS!$I$2:$AT$2="OBRA GRUESA"))&gt;0,"OBRA GRUESA",""),IF(SUMPRODUCT((BG184:CR184&lt;1)*(PARTIDAS!$I$2:$AT$2="SANITARIOS"))&gt;0,"SANITARIOS",""),IF(SUMPRODUCT((BG184:CR184&lt;1)*(PARTIDAS!$I$2:$AT$2="ELÉCTRICO"))&gt;0,"ELÉCTRICO",""),IF(SUMPRODUCT((BG184:CR184&lt;1)*(PARTIDAS!$I$2:$AT$2="TERMINACIONES"))&gt;0,"TERMINACIONES",""))</f>
        <v>OBRA GRUESA, SANITARIOS, ELÉCTRICO, TERMINACIONES</v>
      </c>
      <c r="CV184" s="44" cm="1">
        <f t="array" ref="CV184">SUMPRODUCT(--(BG184:CR184&lt;1))</f>
        <v>38</v>
      </c>
    </row>
    <row r="185" spans="1:100" hidden="1" x14ac:dyDescent="0.25">
      <c r="A185" t="s">
        <v>223</v>
      </c>
      <c r="B185" t="s">
        <v>247</v>
      </c>
      <c r="C185">
        <v>2282600184</v>
      </c>
      <c r="D185" t="s">
        <v>58</v>
      </c>
      <c r="E185" s="2">
        <v>0</v>
      </c>
      <c r="F185" s="1">
        <v>46227</v>
      </c>
      <c r="G185" s="1"/>
      <c r="H185" s="1">
        <v>0</v>
      </c>
      <c r="I185" s="1">
        <v>46247</v>
      </c>
      <c r="J185">
        <v>46230</v>
      </c>
      <c r="K185" s="1"/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>
        <v>28.87</v>
      </c>
      <c r="BF185" s="3" t="str">
        <f>+IF(AVANCE[[#This Row],[% AVANCE]]=100%,"MODULO TERMINADO",IF(AVANCE[[#This Row],[FECHA INICIO REAL]]="","MODULO NO INICIADO","PENDIENTE"))</f>
        <v>MODULO NO INICIADO</v>
      </c>
      <c r="BG185" s="3">
        <f>+IF(AVANCE[[#This Row],[VENTANAS]]=8.10810810810811%,100%,AVANCE[[#This Row],[VENTANAS]])</f>
        <v>0</v>
      </c>
      <c r="BH185" s="3">
        <f>+IF(AVANCE[[#This Row],[PISO]]=N$2,100%,AVANCE[[#This Row],[PISO]])</f>
        <v>0</v>
      </c>
      <c r="BI185" s="3">
        <f>+IF(AVANCE[[#This Row],[TABIQUES]]=O$2,100%,AVANCE[[#This Row],[TABIQUES]])</f>
        <v>0</v>
      </c>
      <c r="BJ185" s="3">
        <f>+IF(AVANCE[[#This Row],[MUROS]]=P$2,100%,AVANCE[[#This Row],[MUROS]])</f>
        <v>0</v>
      </c>
      <c r="BK185" s="3">
        <f>+IF(AVANCE[[#This Row],[CIELO]]=Q$2,100%,AVANCE[[#This Row],[CIELO]])</f>
        <v>0</v>
      </c>
      <c r="BL185" s="3">
        <f>+IF(AVANCE[[#This Row],[BALCÓN]]=R$2,100%,AVANCE[[#This Row],[BALCÓN]])</f>
        <v>0</v>
      </c>
      <c r="BM185" s="3">
        <f>+IF(AVANCE[[#This Row],[RED ALCANTARILLADO]]=U$2,100%,AVANCE[[#This Row],[RED ALCANTARILLADO]])</f>
        <v>0</v>
      </c>
      <c r="BN185" s="3">
        <f>+IF(AVANCE[[#This Row],[RED DE AGUA]]=V$2,100%,AVANCE[[#This Row],[RED DE AGUA]])</f>
        <v>0</v>
      </c>
      <c r="BO185" s="3">
        <f>+IF(AVANCE[[#This Row],[VENTILACIONES]]=W$2,100%,AVANCE[[#This Row],[VENTILACIONES]])</f>
        <v>0</v>
      </c>
      <c r="BP185" s="3">
        <f>+IF(AVANCE[[#This Row],[TINA]]=X$2,100%,AVANCE[[#This Row],[TINA]])</f>
        <v>0</v>
      </c>
      <c r="BQ185" s="3">
        <f>+IF(AVANCE[[#This Row],[WC]]=Y$2,100%,AVANCE[[#This Row],[WC]])</f>
        <v>0</v>
      </c>
      <c r="BR185" s="3">
        <f>+IF(AVANCE[[#This Row],[LAVAMANOS / LAVAPLATOS / LAVADERO]]=Z$2,100%,AVANCE[[#This Row],[LAVAMANOS / LAVAPLATOS / LAVADERO]])</f>
        <v>0</v>
      </c>
      <c r="BS185" s="3">
        <f>+IF(AVANCE[[#This Row],[CANALIZACIÓN]]=AC$2,100%,AVANCE[[#This Row],[CANALIZACIÓN]])</f>
        <v>0</v>
      </c>
      <c r="BT185" s="3">
        <f>+IF(AVANCE[[#This Row],[CABLEADO]]=AD$2,100%,AVANCE[[#This Row],[CABLEADO]])</f>
        <v>0</v>
      </c>
      <c r="BU185" s="3">
        <f>+IF(AVANCE[[#This Row],[ARTEFACTOS]]=AE$2,100%,AVANCE[[#This Row],[ARTEFACTOS]])</f>
        <v>0</v>
      </c>
      <c r="BV185" s="3">
        <f>+IF(AVANCE[[#This Row],[TABLERO]]=AF$2,100%,AVANCE[[#This Row],[TABLERO]])</f>
        <v>0</v>
      </c>
      <c r="BW185" s="3">
        <f>+IF(AVANCE[[#This Row],[CAJA PAU]]=AG$2,100%,AVANCE[[#This Row],[CAJA PAU]])</f>
        <v>0</v>
      </c>
      <c r="BX185" s="3">
        <f>+IF(AVANCE[[#This Row],[INSTALACION VINILICO]]=AJ$2,100%,AVANCE[[#This Row],[INSTALACION VINILICO]])</f>
        <v>0</v>
      </c>
      <c r="BY185" s="3">
        <f>+IF(AVANCE[[#This Row],[OSB CUBIERTA]]=AK$2,100%,AVANCE[[#This Row],[OSB CUBIERTA]])</f>
        <v>0</v>
      </c>
      <c r="BZ185" s="3">
        <f>+IF(AVANCE[[#This Row],[BARANDA BALCON]]=AL$2,100%,AVANCE[[#This Row],[BARANDA BALCON]])</f>
        <v>0</v>
      </c>
      <c r="CA185" s="3">
        <f>+IF(AVANCE[[#This Row],[OSB EXTERIOR]]=AM$2,100%,AVANCE[[#This Row],[OSB EXTERIOR]])</f>
        <v>0</v>
      </c>
      <c r="CB185" s="3">
        <f>+IF(AVANCE[[#This Row],[SMART PANEL]]=AN$2,100%,AVANCE[[#This Row],[SMART PANEL]])</f>
        <v>0</v>
      </c>
      <c r="CC185" s="3">
        <f>+IF(AVANCE[[#This Row],[PINTURA EXTERIOR]]=AO$2,100%,AVANCE[[#This Row],[PINTURA EXTERIOR]])</f>
        <v>0</v>
      </c>
      <c r="CD185" s="3">
        <f>+IF(AVANCE[[#This Row],[ZOCALOS LOGIA]]=AP$2,100%,AVANCE[[#This Row],[ZOCALOS LOGIA]])</f>
        <v>0</v>
      </c>
      <c r="CE185" s="3">
        <f>+IF(AVANCE[[#This Row],[MOLDURAS]]=AQ$2,100%,AVANCE[[#This Row],[MOLDURAS]])</f>
        <v>0</v>
      </c>
      <c r="CF185" s="3">
        <f>+IF(AVANCE[[#This Row],[PILASTREO]]=AR$2,100%,AVANCE[[#This Row],[PILASTREO]])</f>
        <v>0</v>
      </c>
      <c r="CG185" s="3">
        <f>+IF(AVANCE[[#This Row],[CELOSIAS]]=AS$2,100%,AVANCE[[#This Row],[CELOSIAS]])</f>
        <v>0</v>
      </c>
      <c r="CH185" s="3">
        <f>+IF(AVANCE[[#This Row],[VENTANAS]]=AT$2,100%,AVANCE[[#This Row],[VENTANAS]])</f>
        <v>0</v>
      </c>
      <c r="CI185" s="3">
        <f>+IF(AVANCE[[#This Row],[PUERTAS ACCESO - LOGIA - BANO]]=AU$2,100%,AVANCE[[#This Row],[PUERTAS ACCESO - LOGIA - BANO]])</f>
        <v>0</v>
      </c>
      <c r="CJ185" s="3">
        <f>+IF(AVANCE[[#This Row],[CERRADURAS]]=AV$2,100%,AVANCE[[#This Row],[CERRADURAS]])</f>
        <v>0</v>
      </c>
      <c r="CK185" s="3">
        <f>+IF(AVANCE[[#This Row],[REVESTIMIENTO INTERIOR ZONA SECA]]=AW$2,100%,AVANCE[[#This Row],[REVESTIMIENTO INTERIOR ZONA SECA]])</f>
        <v>0</v>
      </c>
      <c r="CL185" s="3">
        <f>+IF(AVANCE[[#This Row],[REVESTIMIENTO INTERIOR ZONAS HUMEDAS]]=AX$2,100%,AVANCE[[#This Row],[REVESTIMIENTO INTERIOR ZONAS HUMEDAS]])</f>
        <v>0</v>
      </c>
      <c r="CM185" s="3">
        <f>+IF(AVANCE[[#This Row],[MEMBRANA CIELO]]=AY$2,100%,AVANCE[[#This Row],[MEMBRANA CIELO]])</f>
        <v>0</v>
      </c>
      <c r="CN185" s="3">
        <f>+IF(AVANCE[[#This Row],[LIMPIEZA FINAL]]=AZ$2,100%,AVANCE[[#This Row],[LIMPIEZA FINAL]])</f>
        <v>0</v>
      </c>
      <c r="CO185" s="3">
        <f>+IF(AVANCE[[#This Row],[PUERTAS DORMITORIO]]=BA$2,100%,AVANCE[[#This Row],[PUERTAS DORMITORIO]])</f>
        <v>0</v>
      </c>
      <c r="CP185" s="3">
        <f>+IF(AVANCE[[#This Row],[REVESTIMIENTO INTERIOR BANO]]=BB$2,100%,AVANCE[[#This Row],[REVESTIMIENTO INTERIOR BANO]])</f>
        <v>0</v>
      </c>
      <c r="CQ185" s="3">
        <f>+IF(AVANCE[[#This Row],[MUEBLE LAVAPLATOS]]=BC$2,100%,AVANCE[[#This Row],[MUEBLE LAVAPLATOS]])</f>
        <v>0</v>
      </c>
      <c r="CR185" s="3">
        <f>+IF(AVANCE[[#This Row],[IMPERMEABILIZACION BANO - COCINA LOGIA]]=BD$2,100%,AVANCE[[#This Row],[IMPERMEABILIZACION BANO - COCINA LOGIA]])</f>
        <v>0</v>
      </c>
      <c r="CS185" s="40">
        <f ca="1">+IF(AVANCE[[#This Row],[ESTADO MODULO]]="PENDIENTE",(TODAY()-AVANCE[[#This Row],[FECHA TERMINO  PLANIFICADO]]),0)</f>
        <v>0</v>
      </c>
      <c r="CT185" s="41" t="str" cm="1">
        <f t="array" ref="CT185">_xlfn.TEXTJOIN(" | ",TRUE,IF(SUMPRODUCT((BG185:CR185&lt;1)*(PARTIDAS!$I$2:$AT$2="OBRA GRUESA"))&gt;0,"OBRA GRUESA: "&amp;_xlfn.TEXTJOIN(", ",TRUE,IF((BG185:CR185&lt;1)*(PARTIDAS!$I$2:$AT$2="OBRA GRUESA"),PARTIDAS!$I$1:$AT$1,"")),""),IF(SUMPRODUCT((BG185:CR185&lt;1)*(PARTIDAS!$I$2:$AT$2="SANITARIOS"))&gt;0,"SANITARIOS: "&amp;_xlfn.TEXTJOIN(", ",TRUE,IF((BG185:CR185&lt;1)*(PARTIDAS!$I$2:$AT$2="SANITARIOS"),PARTIDAS!$I$1:$AT$1,"")),""),IF(SUMPRODUCT((BG185:CR185&lt;1)*(PARTIDAS!$I$2:$AT$2="ELÉCTRICO"))&gt;0,"ELÉCTRICO: "&amp;_xlfn.TEXTJOIN(", ",TRUE,IF((BG185:CR185&lt;1)*(PARTIDAS!$I$2:$AT$2="ELÉCTRICO"),PARTIDAS!$I$1:$AT$1,"")),""),IF(SUMPRODUCT((BG185:CR185&lt;1)*(PARTIDAS!$I$2:$AT$2="TERMINACIONES"))&gt;0,"TERMINACIONES: "&amp;_xlfn.TEXTJOIN(", ",TRUE,IF((BG185:CR185&lt;1)*(PARTIDAS!$I$2:$AT$2="TERMINACIONES"),PARTIDAS!$I$1:$AT$1,"")),""))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5" s="43" t="str" cm="1">
        <f t="array" ref="CU185">_xlfn.TEXTJOIN(", ",TRUE,IF(SUMPRODUCT((BG185:CR185&lt;1)*(PARTIDAS!$I$2:$AT$2="OBRA GRUESA"))&gt;0,"OBRA GRUESA",""),IF(SUMPRODUCT((BG185:CR185&lt;1)*(PARTIDAS!$I$2:$AT$2="SANITARIOS"))&gt;0,"SANITARIOS",""),IF(SUMPRODUCT((BG185:CR185&lt;1)*(PARTIDAS!$I$2:$AT$2="ELÉCTRICO"))&gt;0,"ELÉCTRICO",""),IF(SUMPRODUCT((BG185:CR185&lt;1)*(PARTIDAS!$I$2:$AT$2="TERMINACIONES"))&gt;0,"TERMINACIONES",""))</f>
        <v>OBRA GRUESA, SANITARIOS, ELÉCTRICO, TERMINACIONES</v>
      </c>
      <c r="CV185" s="44" cm="1">
        <f t="array" ref="CV185">SUMPRODUCT(--(BG185:CR185&lt;1))</f>
        <v>38</v>
      </c>
    </row>
    <row r="186" spans="1:100" hidden="1" x14ac:dyDescent="0.25">
      <c r="A186" t="s">
        <v>223</v>
      </c>
      <c r="B186" t="s">
        <v>248</v>
      </c>
      <c r="C186">
        <v>2282600185</v>
      </c>
      <c r="D186" t="s">
        <v>58</v>
      </c>
      <c r="E186" s="2">
        <v>0</v>
      </c>
      <c r="F186" s="1">
        <v>46227</v>
      </c>
      <c r="G186" s="1"/>
      <c r="H186" s="1">
        <v>0</v>
      </c>
      <c r="I186" s="1">
        <v>46247</v>
      </c>
      <c r="J186">
        <v>46230</v>
      </c>
      <c r="K186" s="1"/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>
        <v>28.87</v>
      </c>
      <c r="BF186" s="3" t="str">
        <f>+IF(AVANCE[[#This Row],[% AVANCE]]=100%,"MODULO TERMINADO",IF(AVANCE[[#This Row],[FECHA INICIO REAL]]="","MODULO NO INICIADO","PENDIENTE"))</f>
        <v>MODULO NO INICIADO</v>
      </c>
      <c r="BG186" s="3">
        <f>+IF(AVANCE[[#This Row],[VENTANAS]]=8.10810810810811%,100%,AVANCE[[#This Row],[VENTANAS]])</f>
        <v>0</v>
      </c>
      <c r="BH186" s="3">
        <f>+IF(AVANCE[[#This Row],[PISO]]=N$2,100%,AVANCE[[#This Row],[PISO]])</f>
        <v>0</v>
      </c>
      <c r="BI186" s="3">
        <f>+IF(AVANCE[[#This Row],[TABIQUES]]=O$2,100%,AVANCE[[#This Row],[TABIQUES]])</f>
        <v>0</v>
      </c>
      <c r="BJ186" s="3">
        <f>+IF(AVANCE[[#This Row],[MUROS]]=P$2,100%,AVANCE[[#This Row],[MUROS]])</f>
        <v>0</v>
      </c>
      <c r="BK186" s="3">
        <f>+IF(AVANCE[[#This Row],[CIELO]]=Q$2,100%,AVANCE[[#This Row],[CIELO]])</f>
        <v>0</v>
      </c>
      <c r="BL186" s="3">
        <f>+IF(AVANCE[[#This Row],[BALCÓN]]=R$2,100%,AVANCE[[#This Row],[BALCÓN]])</f>
        <v>0</v>
      </c>
      <c r="BM186" s="3">
        <f>+IF(AVANCE[[#This Row],[RED ALCANTARILLADO]]=U$2,100%,AVANCE[[#This Row],[RED ALCANTARILLADO]])</f>
        <v>0</v>
      </c>
      <c r="BN186" s="3">
        <f>+IF(AVANCE[[#This Row],[RED DE AGUA]]=V$2,100%,AVANCE[[#This Row],[RED DE AGUA]])</f>
        <v>0</v>
      </c>
      <c r="BO186" s="3">
        <f>+IF(AVANCE[[#This Row],[VENTILACIONES]]=W$2,100%,AVANCE[[#This Row],[VENTILACIONES]])</f>
        <v>0</v>
      </c>
      <c r="BP186" s="3">
        <f>+IF(AVANCE[[#This Row],[TINA]]=X$2,100%,AVANCE[[#This Row],[TINA]])</f>
        <v>0</v>
      </c>
      <c r="BQ186" s="3">
        <f>+IF(AVANCE[[#This Row],[WC]]=Y$2,100%,AVANCE[[#This Row],[WC]])</f>
        <v>0</v>
      </c>
      <c r="BR186" s="3">
        <f>+IF(AVANCE[[#This Row],[LAVAMANOS / LAVAPLATOS / LAVADERO]]=Z$2,100%,AVANCE[[#This Row],[LAVAMANOS / LAVAPLATOS / LAVADERO]])</f>
        <v>0</v>
      </c>
      <c r="BS186" s="3">
        <f>+IF(AVANCE[[#This Row],[CANALIZACIÓN]]=AC$2,100%,AVANCE[[#This Row],[CANALIZACIÓN]])</f>
        <v>0</v>
      </c>
      <c r="BT186" s="3">
        <f>+IF(AVANCE[[#This Row],[CABLEADO]]=AD$2,100%,AVANCE[[#This Row],[CABLEADO]])</f>
        <v>0</v>
      </c>
      <c r="BU186" s="3">
        <f>+IF(AVANCE[[#This Row],[ARTEFACTOS]]=AE$2,100%,AVANCE[[#This Row],[ARTEFACTOS]])</f>
        <v>0</v>
      </c>
      <c r="BV186" s="3">
        <f>+IF(AVANCE[[#This Row],[TABLERO]]=AF$2,100%,AVANCE[[#This Row],[TABLERO]])</f>
        <v>0</v>
      </c>
      <c r="BW186" s="3">
        <f>+IF(AVANCE[[#This Row],[CAJA PAU]]=AG$2,100%,AVANCE[[#This Row],[CAJA PAU]])</f>
        <v>0</v>
      </c>
      <c r="BX186" s="3">
        <f>+IF(AVANCE[[#This Row],[INSTALACION VINILICO]]=AJ$2,100%,AVANCE[[#This Row],[INSTALACION VINILICO]])</f>
        <v>0</v>
      </c>
      <c r="BY186" s="3">
        <f>+IF(AVANCE[[#This Row],[OSB CUBIERTA]]=AK$2,100%,AVANCE[[#This Row],[OSB CUBIERTA]])</f>
        <v>0</v>
      </c>
      <c r="BZ186" s="3">
        <f>+IF(AVANCE[[#This Row],[BARANDA BALCON]]=AL$2,100%,AVANCE[[#This Row],[BARANDA BALCON]])</f>
        <v>0</v>
      </c>
      <c r="CA186" s="3">
        <f>+IF(AVANCE[[#This Row],[OSB EXTERIOR]]=AM$2,100%,AVANCE[[#This Row],[OSB EXTERIOR]])</f>
        <v>0</v>
      </c>
      <c r="CB186" s="3">
        <f>+IF(AVANCE[[#This Row],[SMART PANEL]]=AN$2,100%,AVANCE[[#This Row],[SMART PANEL]])</f>
        <v>0</v>
      </c>
      <c r="CC186" s="3">
        <f>+IF(AVANCE[[#This Row],[PINTURA EXTERIOR]]=AO$2,100%,AVANCE[[#This Row],[PINTURA EXTERIOR]])</f>
        <v>0</v>
      </c>
      <c r="CD186" s="3">
        <f>+IF(AVANCE[[#This Row],[ZOCALOS LOGIA]]=AP$2,100%,AVANCE[[#This Row],[ZOCALOS LOGIA]])</f>
        <v>0</v>
      </c>
      <c r="CE186" s="3">
        <f>+IF(AVANCE[[#This Row],[MOLDURAS]]=AQ$2,100%,AVANCE[[#This Row],[MOLDURAS]])</f>
        <v>0</v>
      </c>
      <c r="CF186" s="3">
        <f>+IF(AVANCE[[#This Row],[PILASTREO]]=AR$2,100%,AVANCE[[#This Row],[PILASTREO]])</f>
        <v>0</v>
      </c>
      <c r="CG186" s="3">
        <f>+IF(AVANCE[[#This Row],[CELOSIAS]]=AS$2,100%,AVANCE[[#This Row],[CELOSIAS]])</f>
        <v>0</v>
      </c>
      <c r="CH186" s="3">
        <f>+IF(AVANCE[[#This Row],[VENTANAS]]=AT$2,100%,AVANCE[[#This Row],[VENTANAS]])</f>
        <v>0</v>
      </c>
      <c r="CI186" s="3">
        <f>+IF(AVANCE[[#This Row],[PUERTAS ACCESO - LOGIA - BANO]]=AU$2,100%,AVANCE[[#This Row],[PUERTAS ACCESO - LOGIA - BANO]])</f>
        <v>0</v>
      </c>
      <c r="CJ186" s="3">
        <f>+IF(AVANCE[[#This Row],[CERRADURAS]]=AV$2,100%,AVANCE[[#This Row],[CERRADURAS]])</f>
        <v>0</v>
      </c>
      <c r="CK186" s="3">
        <f>+IF(AVANCE[[#This Row],[REVESTIMIENTO INTERIOR ZONA SECA]]=AW$2,100%,AVANCE[[#This Row],[REVESTIMIENTO INTERIOR ZONA SECA]])</f>
        <v>0</v>
      </c>
      <c r="CL186" s="3">
        <f>+IF(AVANCE[[#This Row],[REVESTIMIENTO INTERIOR ZONAS HUMEDAS]]=AX$2,100%,AVANCE[[#This Row],[REVESTIMIENTO INTERIOR ZONAS HUMEDAS]])</f>
        <v>0</v>
      </c>
      <c r="CM186" s="3">
        <f>+IF(AVANCE[[#This Row],[MEMBRANA CIELO]]=AY$2,100%,AVANCE[[#This Row],[MEMBRANA CIELO]])</f>
        <v>0</v>
      </c>
      <c r="CN186" s="3">
        <f>+IF(AVANCE[[#This Row],[LIMPIEZA FINAL]]=AZ$2,100%,AVANCE[[#This Row],[LIMPIEZA FINAL]])</f>
        <v>0</v>
      </c>
      <c r="CO186" s="3">
        <f>+IF(AVANCE[[#This Row],[PUERTAS DORMITORIO]]=BA$2,100%,AVANCE[[#This Row],[PUERTAS DORMITORIO]])</f>
        <v>0</v>
      </c>
      <c r="CP186" s="3">
        <f>+IF(AVANCE[[#This Row],[REVESTIMIENTO INTERIOR BANO]]=BB$2,100%,AVANCE[[#This Row],[REVESTIMIENTO INTERIOR BANO]])</f>
        <v>0</v>
      </c>
      <c r="CQ186" s="3">
        <f>+IF(AVANCE[[#This Row],[MUEBLE LAVAPLATOS]]=BC$2,100%,AVANCE[[#This Row],[MUEBLE LAVAPLATOS]])</f>
        <v>0</v>
      </c>
      <c r="CR186" s="3">
        <f>+IF(AVANCE[[#This Row],[IMPERMEABILIZACION BANO - COCINA LOGIA]]=BD$2,100%,AVANCE[[#This Row],[IMPERMEABILIZACION BANO - COCINA LOGIA]])</f>
        <v>0</v>
      </c>
      <c r="CS186" s="40">
        <f ca="1">+IF(AVANCE[[#This Row],[ESTADO MODULO]]="PENDIENTE",(TODAY()-AVANCE[[#This Row],[FECHA TERMINO  PLANIFICADO]]),0)</f>
        <v>0</v>
      </c>
      <c r="CT186" s="41" t="str" cm="1">
        <f t="array" ref="CT186">_xlfn.TEXTJOIN(" | ",TRUE,IF(SUMPRODUCT((BG186:CR186&lt;1)*(PARTIDAS!$I$2:$AT$2="OBRA GRUESA"))&gt;0,"OBRA GRUESA: "&amp;_xlfn.TEXTJOIN(", ",TRUE,IF((BG186:CR186&lt;1)*(PARTIDAS!$I$2:$AT$2="OBRA GRUESA"),PARTIDAS!$I$1:$AT$1,"")),""),IF(SUMPRODUCT((BG186:CR186&lt;1)*(PARTIDAS!$I$2:$AT$2="SANITARIOS"))&gt;0,"SANITARIOS: "&amp;_xlfn.TEXTJOIN(", ",TRUE,IF((BG186:CR186&lt;1)*(PARTIDAS!$I$2:$AT$2="SANITARIOS"),PARTIDAS!$I$1:$AT$1,"")),""),IF(SUMPRODUCT((BG186:CR186&lt;1)*(PARTIDAS!$I$2:$AT$2="ELÉCTRICO"))&gt;0,"ELÉCTRICO: "&amp;_xlfn.TEXTJOIN(", ",TRUE,IF((BG186:CR186&lt;1)*(PARTIDAS!$I$2:$AT$2="ELÉCTRICO"),PARTIDAS!$I$1:$AT$1,"")),""),IF(SUMPRODUCT((BG186:CR186&lt;1)*(PARTIDAS!$I$2:$AT$2="TERMINACIONES"))&gt;0,"TERMINACIONES: "&amp;_xlfn.TEXTJOIN(", ",TRUE,IF((BG186:CR186&lt;1)*(PARTIDAS!$I$2:$AT$2="TERMINACIONES"),PARTIDAS!$I$1:$AT$1,"")),""))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6" s="43" t="str" cm="1">
        <f t="array" ref="CU186">_xlfn.TEXTJOIN(", ",TRUE,IF(SUMPRODUCT((BG186:CR186&lt;1)*(PARTIDAS!$I$2:$AT$2="OBRA GRUESA"))&gt;0,"OBRA GRUESA",""),IF(SUMPRODUCT((BG186:CR186&lt;1)*(PARTIDAS!$I$2:$AT$2="SANITARIOS"))&gt;0,"SANITARIOS",""),IF(SUMPRODUCT((BG186:CR186&lt;1)*(PARTIDAS!$I$2:$AT$2="ELÉCTRICO"))&gt;0,"ELÉCTRICO",""),IF(SUMPRODUCT((BG186:CR186&lt;1)*(PARTIDAS!$I$2:$AT$2="TERMINACIONES"))&gt;0,"TERMINACIONES",""))</f>
        <v>OBRA GRUESA, SANITARIOS, ELÉCTRICO, TERMINACIONES</v>
      </c>
      <c r="CV186" s="44" cm="1">
        <f t="array" ref="CV186">SUMPRODUCT(--(BG186:CR186&lt;1))</f>
        <v>38</v>
      </c>
    </row>
    <row r="187" spans="1:100" hidden="1" x14ac:dyDescent="0.25">
      <c r="A187" t="s">
        <v>223</v>
      </c>
      <c r="B187" t="s">
        <v>249</v>
      </c>
      <c r="C187">
        <v>2302600186</v>
      </c>
      <c r="D187" t="s">
        <v>60</v>
      </c>
      <c r="E187" s="2">
        <v>0</v>
      </c>
      <c r="F187" s="1">
        <v>46230</v>
      </c>
      <c r="G187" s="1"/>
      <c r="H187" s="1">
        <v>0</v>
      </c>
      <c r="I187" s="1">
        <v>46260</v>
      </c>
      <c r="J187">
        <v>46230</v>
      </c>
      <c r="K187" s="1"/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>
        <v>31.32</v>
      </c>
      <c r="BF187" s="3" t="str">
        <f>+IF(AVANCE[[#This Row],[% AVANCE]]=100%,"MODULO TERMINADO",IF(AVANCE[[#This Row],[FECHA INICIO REAL]]="","MODULO NO INICIADO","PENDIENTE"))</f>
        <v>MODULO NO INICIADO</v>
      </c>
      <c r="BG187" s="3">
        <f>+IF(AVANCE[[#This Row],[VENTANAS]]=8.10810810810811%,100%,AVANCE[[#This Row],[VENTANAS]])</f>
        <v>0</v>
      </c>
      <c r="BH187" s="3">
        <f>+IF(AVANCE[[#This Row],[PISO]]=N$2,100%,AVANCE[[#This Row],[PISO]])</f>
        <v>0</v>
      </c>
      <c r="BI187" s="3">
        <f>+IF(AVANCE[[#This Row],[TABIQUES]]=O$2,100%,AVANCE[[#This Row],[TABIQUES]])</f>
        <v>0</v>
      </c>
      <c r="BJ187" s="3">
        <f>+IF(AVANCE[[#This Row],[MUROS]]=P$2,100%,AVANCE[[#This Row],[MUROS]])</f>
        <v>0</v>
      </c>
      <c r="BK187" s="3">
        <f>+IF(AVANCE[[#This Row],[CIELO]]=Q$2,100%,AVANCE[[#This Row],[CIELO]])</f>
        <v>0</v>
      </c>
      <c r="BL187" s="3">
        <f>+IF(AVANCE[[#This Row],[BALCÓN]]=R$2,100%,AVANCE[[#This Row],[BALCÓN]])</f>
        <v>0</v>
      </c>
      <c r="BM187" s="3">
        <f>+IF(AVANCE[[#This Row],[RED ALCANTARILLADO]]=U$2,100%,AVANCE[[#This Row],[RED ALCANTARILLADO]])</f>
        <v>0</v>
      </c>
      <c r="BN187" s="3">
        <f>+IF(AVANCE[[#This Row],[RED DE AGUA]]=V$2,100%,AVANCE[[#This Row],[RED DE AGUA]])</f>
        <v>0</v>
      </c>
      <c r="BO187" s="3">
        <f>+IF(AVANCE[[#This Row],[VENTILACIONES]]=W$2,100%,AVANCE[[#This Row],[VENTILACIONES]])</f>
        <v>0</v>
      </c>
      <c r="BP187" s="3">
        <f>+IF(AVANCE[[#This Row],[TINA]]=X$2,100%,AVANCE[[#This Row],[TINA]])</f>
        <v>0</v>
      </c>
      <c r="BQ187" s="3">
        <f>+IF(AVANCE[[#This Row],[WC]]=Y$2,100%,AVANCE[[#This Row],[WC]])</f>
        <v>0</v>
      </c>
      <c r="BR187" s="3">
        <f>+IF(AVANCE[[#This Row],[LAVAMANOS / LAVAPLATOS / LAVADERO]]=Z$2,100%,AVANCE[[#This Row],[LAVAMANOS / LAVAPLATOS / LAVADERO]])</f>
        <v>0</v>
      </c>
      <c r="BS187" s="3">
        <f>+IF(AVANCE[[#This Row],[CANALIZACIÓN]]=AC$2,100%,AVANCE[[#This Row],[CANALIZACIÓN]])</f>
        <v>0</v>
      </c>
      <c r="BT187" s="3">
        <f>+IF(AVANCE[[#This Row],[CABLEADO]]=AD$2,100%,AVANCE[[#This Row],[CABLEADO]])</f>
        <v>0</v>
      </c>
      <c r="BU187" s="3">
        <f>+IF(AVANCE[[#This Row],[ARTEFACTOS]]=AE$2,100%,AVANCE[[#This Row],[ARTEFACTOS]])</f>
        <v>0</v>
      </c>
      <c r="BV187" s="3">
        <f>+IF(AVANCE[[#This Row],[TABLERO]]=AF$2,100%,AVANCE[[#This Row],[TABLERO]])</f>
        <v>0</v>
      </c>
      <c r="BW187" s="3">
        <f>+IF(AVANCE[[#This Row],[CAJA PAU]]=AG$2,100%,AVANCE[[#This Row],[CAJA PAU]])</f>
        <v>0</v>
      </c>
      <c r="BX187" s="3">
        <f>+IF(AVANCE[[#This Row],[INSTALACION VINILICO]]=AJ$2,100%,AVANCE[[#This Row],[INSTALACION VINILICO]])</f>
        <v>0</v>
      </c>
      <c r="BY187" s="3">
        <f>+IF(AVANCE[[#This Row],[OSB CUBIERTA]]=AK$2,100%,AVANCE[[#This Row],[OSB CUBIERTA]])</f>
        <v>0</v>
      </c>
      <c r="BZ187" s="3">
        <f>+IF(AVANCE[[#This Row],[BARANDA BALCON]]=AL$2,100%,AVANCE[[#This Row],[BARANDA BALCON]])</f>
        <v>0</v>
      </c>
      <c r="CA187" s="3">
        <f>+IF(AVANCE[[#This Row],[OSB EXTERIOR]]=AM$2,100%,AVANCE[[#This Row],[OSB EXTERIOR]])</f>
        <v>0</v>
      </c>
      <c r="CB187" s="3">
        <f>+IF(AVANCE[[#This Row],[SMART PANEL]]=AN$2,100%,AVANCE[[#This Row],[SMART PANEL]])</f>
        <v>0</v>
      </c>
      <c r="CC187" s="3">
        <f>+IF(AVANCE[[#This Row],[PINTURA EXTERIOR]]=AO$2,100%,AVANCE[[#This Row],[PINTURA EXTERIOR]])</f>
        <v>0</v>
      </c>
      <c r="CD187" s="3">
        <f>+IF(AVANCE[[#This Row],[ZOCALOS LOGIA]]=AP$2,100%,AVANCE[[#This Row],[ZOCALOS LOGIA]])</f>
        <v>0</v>
      </c>
      <c r="CE187" s="3">
        <f>+IF(AVANCE[[#This Row],[MOLDURAS]]=AQ$2,100%,AVANCE[[#This Row],[MOLDURAS]])</f>
        <v>0</v>
      </c>
      <c r="CF187" s="3">
        <f>+IF(AVANCE[[#This Row],[PILASTREO]]=AR$2,100%,AVANCE[[#This Row],[PILASTREO]])</f>
        <v>0</v>
      </c>
      <c r="CG187" s="3">
        <f>+IF(AVANCE[[#This Row],[CELOSIAS]]=AS$2,100%,AVANCE[[#This Row],[CELOSIAS]])</f>
        <v>0</v>
      </c>
      <c r="CH187" s="3">
        <f>+IF(AVANCE[[#This Row],[VENTANAS]]=AT$2,100%,AVANCE[[#This Row],[VENTANAS]])</f>
        <v>0</v>
      </c>
      <c r="CI187" s="3">
        <f>+IF(AVANCE[[#This Row],[PUERTAS ACCESO - LOGIA - BANO]]=AU$2,100%,AVANCE[[#This Row],[PUERTAS ACCESO - LOGIA - BANO]])</f>
        <v>0</v>
      </c>
      <c r="CJ187" s="3">
        <f>+IF(AVANCE[[#This Row],[CERRADURAS]]=AV$2,100%,AVANCE[[#This Row],[CERRADURAS]])</f>
        <v>0</v>
      </c>
      <c r="CK187" s="3">
        <f>+IF(AVANCE[[#This Row],[REVESTIMIENTO INTERIOR ZONA SECA]]=AW$2,100%,AVANCE[[#This Row],[REVESTIMIENTO INTERIOR ZONA SECA]])</f>
        <v>0</v>
      </c>
      <c r="CL187" s="3">
        <f>+IF(AVANCE[[#This Row],[REVESTIMIENTO INTERIOR ZONAS HUMEDAS]]=AX$2,100%,AVANCE[[#This Row],[REVESTIMIENTO INTERIOR ZONAS HUMEDAS]])</f>
        <v>0</v>
      </c>
      <c r="CM187" s="3">
        <f>+IF(AVANCE[[#This Row],[MEMBRANA CIELO]]=AY$2,100%,AVANCE[[#This Row],[MEMBRANA CIELO]])</f>
        <v>0</v>
      </c>
      <c r="CN187" s="3">
        <f>+IF(AVANCE[[#This Row],[LIMPIEZA FINAL]]=AZ$2,100%,AVANCE[[#This Row],[LIMPIEZA FINAL]])</f>
        <v>0</v>
      </c>
      <c r="CO187" s="3">
        <f>+IF(AVANCE[[#This Row],[PUERTAS DORMITORIO]]=BA$2,100%,AVANCE[[#This Row],[PUERTAS DORMITORIO]])</f>
        <v>0</v>
      </c>
      <c r="CP187" s="3">
        <f>+IF(AVANCE[[#This Row],[REVESTIMIENTO INTERIOR BANO]]=BB$2,100%,AVANCE[[#This Row],[REVESTIMIENTO INTERIOR BANO]])</f>
        <v>0</v>
      </c>
      <c r="CQ187" s="3">
        <f>+IF(AVANCE[[#This Row],[MUEBLE LAVAPLATOS]]=BC$2,100%,AVANCE[[#This Row],[MUEBLE LAVAPLATOS]])</f>
        <v>0</v>
      </c>
      <c r="CR187" s="3">
        <f>+IF(AVANCE[[#This Row],[IMPERMEABILIZACION BANO - COCINA LOGIA]]=BD$2,100%,AVANCE[[#This Row],[IMPERMEABILIZACION BANO - COCINA LOGIA]])</f>
        <v>0</v>
      </c>
      <c r="CS187" s="40">
        <f ca="1">+IF(AVANCE[[#This Row],[ESTADO MODULO]]="PENDIENTE",(TODAY()-AVANCE[[#This Row],[FECHA TERMINO  PLANIFICADO]]),0)</f>
        <v>0</v>
      </c>
      <c r="CT187" s="41" t="str" cm="1">
        <f t="array" ref="CT187">_xlfn.TEXTJOIN(" | ",TRUE,IF(SUMPRODUCT((BG187:CR187&lt;1)*(PARTIDAS!$I$2:$AT$2="OBRA GRUESA"))&gt;0,"OBRA GRUESA: "&amp;_xlfn.TEXTJOIN(", ",TRUE,IF((BG187:CR187&lt;1)*(PARTIDAS!$I$2:$AT$2="OBRA GRUESA"),PARTIDAS!$I$1:$AT$1,"")),""),IF(SUMPRODUCT((BG187:CR187&lt;1)*(PARTIDAS!$I$2:$AT$2="SANITARIOS"))&gt;0,"SANITARIOS: "&amp;_xlfn.TEXTJOIN(", ",TRUE,IF((BG187:CR187&lt;1)*(PARTIDAS!$I$2:$AT$2="SANITARIOS"),PARTIDAS!$I$1:$AT$1,"")),""),IF(SUMPRODUCT((BG187:CR187&lt;1)*(PARTIDAS!$I$2:$AT$2="ELÉCTRICO"))&gt;0,"ELÉCTRICO: "&amp;_xlfn.TEXTJOIN(", ",TRUE,IF((BG187:CR187&lt;1)*(PARTIDAS!$I$2:$AT$2="ELÉCTRICO"),PARTIDAS!$I$1:$AT$1,"")),""),IF(SUMPRODUCT((BG187:CR187&lt;1)*(PARTIDAS!$I$2:$AT$2="TERMINACIONES"))&gt;0,"TERMINACIONES: "&amp;_xlfn.TEXTJOIN(", ",TRUE,IF((BG187:CR187&lt;1)*(PARTIDAS!$I$2:$AT$2="TERMINACIONES"),PARTIDAS!$I$1:$AT$1,"")),""))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7" s="43" t="str" cm="1">
        <f t="array" ref="CU187">_xlfn.TEXTJOIN(", ",TRUE,IF(SUMPRODUCT((BG187:CR187&lt;1)*(PARTIDAS!$I$2:$AT$2="OBRA GRUESA"))&gt;0,"OBRA GRUESA",""),IF(SUMPRODUCT((BG187:CR187&lt;1)*(PARTIDAS!$I$2:$AT$2="SANITARIOS"))&gt;0,"SANITARIOS",""),IF(SUMPRODUCT((BG187:CR187&lt;1)*(PARTIDAS!$I$2:$AT$2="ELÉCTRICO"))&gt;0,"ELÉCTRICO",""),IF(SUMPRODUCT((BG187:CR187&lt;1)*(PARTIDAS!$I$2:$AT$2="TERMINACIONES"))&gt;0,"TERMINACIONES",""))</f>
        <v>OBRA GRUESA, SANITARIOS, ELÉCTRICO, TERMINACIONES</v>
      </c>
      <c r="CV187" s="44" cm="1">
        <f t="array" ref="CV187">SUMPRODUCT(--(BG187:CR187&lt;1))</f>
        <v>38</v>
      </c>
    </row>
    <row r="188" spans="1:100" hidden="1" x14ac:dyDescent="0.25">
      <c r="A188" t="s">
        <v>223</v>
      </c>
      <c r="B188" t="s">
        <v>250</v>
      </c>
      <c r="C188">
        <v>2302600187</v>
      </c>
      <c r="D188" t="s">
        <v>60</v>
      </c>
      <c r="E188" s="2">
        <v>0</v>
      </c>
      <c r="F188" s="1">
        <v>46230</v>
      </c>
      <c r="G188" s="1"/>
      <c r="H188" s="1">
        <v>0</v>
      </c>
      <c r="I188" s="1">
        <v>46260</v>
      </c>
      <c r="J188">
        <v>46230</v>
      </c>
      <c r="K188" s="1"/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>
        <v>31.32</v>
      </c>
      <c r="BF188" s="3" t="str">
        <f>+IF(AVANCE[[#This Row],[% AVANCE]]=100%,"MODULO TERMINADO",IF(AVANCE[[#This Row],[FECHA INICIO REAL]]="","MODULO NO INICIADO","PENDIENTE"))</f>
        <v>MODULO NO INICIADO</v>
      </c>
      <c r="BG188" s="3">
        <f>+IF(AVANCE[[#This Row],[VENTANAS]]=8.10810810810811%,100%,AVANCE[[#This Row],[VENTANAS]])</f>
        <v>0</v>
      </c>
      <c r="BH188" s="3">
        <f>+IF(AVANCE[[#This Row],[PISO]]=N$2,100%,AVANCE[[#This Row],[PISO]])</f>
        <v>0</v>
      </c>
      <c r="BI188" s="3">
        <f>+IF(AVANCE[[#This Row],[TABIQUES]]=O$2,100%,AVANCE[[#This Row],[TABIQUES]])</f>
        <v>0</v>
      </c>
      <c r="BJ188" s="3">
        <f>+IF(AVANCE[[#This Row],[MUROS]]=P$2,100%,AVANCE[[#This Row],[MUROS]])</f>
        <v>0</v>
      </c>
      <c r="BK188" s="3">
        <f>+IF(AVANCE[[#This Row],[CIELO]]=Q$2,100%,AVANCE[[#This Row],[CIELO]])</f>
        <v>0</v>
      </c>
      <c r="BL188" s="3">
        <f>+IF(AVANCE[[#This Row],[BALCÓN]]=R$2,100%,AVANCE[[#This Row],[BALCÓN]])</f>
        <v>0</v>
      </c>
      <c r="BM188" s="3">
        <f>+IF(AVANCE[[#This Row],[RED ALCANTARILLADO]]=U$2,100%,AVANCE[[#This Row],[RED ALCANTARILLADO]])</f>
        <v>0</v>
      </c>
      <c r="BN188" s="3">
        <f>+IF(AVANCE[[#This Row],[RED DE AGUA]]=V$2,100%,AVANCE[[#This Row],[RED DE AGUA]])</f>
        <v>0</v>
      </c>
      <c r="BO188" s="3">
        <f>+IF(AVANCE[[#This Row],[VENTILACIONES]]=W$2,100%,AVANCE[[#This Row],[VENTILACIONES]])</f>
        <v>0</v>
      </c>
      <c r="BP188" s="3">
        <f>+IF(AVANCE[[#This Row],[TINA]]=X$2,100%,AVANCE[[#This Row],[TINA]])</f>
        <v>0</v>
      </c>
      <c r="BQ188" s="3">
        <f>+IF(AVANCE[[#This Row],[WC]]=Y$2,100%,AVANCE[[#This Row],[WC]])</f>
        <v>0</v>
      </c>
      <c r="BR188" s="3">
        <f>+IF(AVANCE[[#This Row],[LAVAMANOS / LAVAPLATOS / LAVADERO]]=Z$2,100%,AVANCE[[#This Row],[LAVAMANOS / LAVAPLATOS / LAVADERO]])</f>
        <v>0</v>
      </c>
      <c r="BS188" s="3">
        <f>+IF(AVANCE[[#This Row],[CANALIZACIÓN]]=AC$2,100%,AVANCE[[#This Row],[CANALIZACIÓN]])</f>
        <v>0</v>
      </c>
      <c r="BT188" s="3">
        <f>+IF(AVANCE[[#This Row],[CABLEADO]]=AD$2,100%,AVANCE[[#This Row],[CABLEADO]])</f>
        <v>0</v>
      </c>
      <c r="BU188" s="3">
        <f>+IF(AVANCE[[#This Row],[ARTEFACTOS]]=AE$2,100%,AVANCE[[#This Row],[ARTEFACTOS]])</f>
        <v>0</v>
      </c>
      <c r="BV188" s="3">
        <f>+IF(AVANCE[[#This Row],[TABLERO]]=AF$2,100%,AVANCE[[#This Row],[TABLERO]])</f>
        <v>0</v>
      </c>
      <c r="BW188" s="3">
        <f>+IF(AVANCE[[#This Row],[CAJA PAU]]=AG$2,100%,AVANCE[[#This Row],[CAJA PAU]])</f>
        <v>0</v>
      </c>
      <c r="BX188" s="3">
        <f>+IF(AVANCE[[#This Row],[INSTALACION VINILICO]]=AJ$2,100%,AVANCE[[#This Row],[INSTALACION VINILICO]])</f>
        <v>0</v>
      </c>
      <c r="BY188" s="3">
        <f>+IF(AVANCE[[#This Row],[OSB CUBIERTA]]=AK$2,100%,AVANCE[[#This Row],[OSB CUBIERTA]])</f>
        <v>0</v>
      </c>
      <c r="BZ188" s="3">
        <f>+IF(AVANCE[[#This Row],[BARANDA BALCON]]=AL$2,100%,AVANCE[[#This Row],[BARANDA BALCON]])</f>
        <v>0</v>
      </c>
      <c r="CA188" s="3">
        <f>+IF(AVANCE[[#This Row],[OSB EXTERIOR]]=AM$2,100%,AVANCE[[#This Row],[OSB EXTERIOR]])</f>
        <v>0</v>
      </c>
      <c r="CB188" s="3">
        <f>+IF(AVANCE[[#This Row],[SMART PANEL]]=AN$2,100%,AVANCE[[#This Row],[SMART PANEL]])</f>
        <v>0</v>
      </c>
      <c r="CC188" s="3">
        <f>+IF(AVANCE[[#This Row],[PINTURA EXTERIOR]]=AO$2,100%,AVANCE[[#This Row],[PINTURA EXTERIOR]])</f>
        <v>0</v>
      </c>
      <c r="CD188" s="3">
        <f>+IF(AVANCE[[#This Row],[ZOCALOS LOGIA]]=AP$2,100%,AVANCE[[#This Row],[ZOCALOS LOGIA]])</f>
        <v>0</v>
      </c>
      <c r="CE188" s="3">
        <f>+IF(AVANCE[[#This Row],[MOLDURAS]]=AQ$2,100%,AVANCE[[#This Row],[MOLDURAS]])</f>
        <v>0</v>
      </c>
      <c r="CF188" s="3">
        <f>+IF(AVANCE[[#This Row],[PILASTREO]]=AR$2,100%,AVANCE[[#This Row],[PILASTREO]])</f>
        <v>0</v>
      </c>
      <c r="CG188" s="3">
        <f>+IF(AVANCE[[#This Row],[CELOSIAS]]=AS$2,100%,AVANCE[[#This Row],[CELOSIAS]])</f>
        <v>0</v>
      </c>
      <c r="CH188" s="3">
        <f>+IF(AVANCE[[#This Row],[VENTANAS]]=AT$2,100%,AVANCE[[#This Row],[VENTANAS]])</f>
        <v>0</v>
      </c>
      <c r="CI188" s="3">
        <f>+IF(AVANCE[[#This Row],[PUERTAS ACCESO - LOGIA - BANO]]=AU$2,100%,AVANCE[[#This Row],[PUERTAS ACCESO - LOGIA - BANO]])</f>
        <v>0</v>
      </c>
      <c r="CJ188" s="3">
        <f>+IF(AVANCE[[#This Row],[CERRADURAS]]=AV$2,100%,AVANCE[[#This Row],[CERRADURAS]])</f>
        <v>0</v>
      </c>
      <c r="CK188" s="3">
        <f>+IF(AVANCE[[#This Row],[REVESTIMIENTO INTERIOR ZONA SECA]]=AW$2,100%,AVANCE[[#This Row],[REVESTIMIENTO INTERIOR ZONA SECA]])</f>
        <v>0</v>
      </c>
      <c r="CL188" s="3">
        <f>+IF(AVANCE[[#This Row],[REVESTIMIENTO INTERIOR ZONAS HUMEDAS]]=AX$2,100%,AVANCE[[#This Row],[REVESTIMIENTO INTERIOR ZONAS HUMEDAS]])</f>
        <v>0</v>
      </c>
      <c r="CM188" s="3">
        <f>+IF(AVANCE[[#This Row],[MEMBRANA CIELO]]=AY$2,100%,AVANCE[[#This Row],[MEMBRANA CIELO]])</f>
        <v>0</v>
      </c>
      <c r="CN188" s="3">
        <f>+IF(AVANCE[[#This Row],[LIMPIEZA FINAL]]=AZ$2,100%,AVANCE[[#This Row],[LIMPIEZA FINAL]])</f>
        <v>0</v>
      </c>
      <c r="CO188" s="3">
        <f>+IF(AVANCE[[#This Row],[PUERTAS DORMITORIO]]=BA$2,100%,AVANCE[[#This Row],[PUERTAS DORMITORIO]])</f>
        <v>0</v>
      </c>
      <c r="CP188" s="3">
        <f>+IF(AVANCE[[#This Row],[REVESTIMIENTO INTERIOR BANO]]=BB$2,100%,AVANCE[[#This Row],[REVESTIMIENTO INTERIOR BANO]])</f>
        <v>0</v>
      </c>
      <c r="CQ188" s="3">
        <f>+IF(AVANCE[[#This Row],[MUEBLE LAVAPLATOS]]=BC$2,100%,AVANCE[[#This Row],[MUEBLE LAVAPLATOS]])</f>
        <v>0</v>
      </c>
      <c r="CR188" s="3">
        <f>+IF(AVANCE[[#This Row],[IMPERMEABILIZACION BANO - COCINA LOGIA]]=BD$2,100%,AVANCE[[#This Row],[IMPERMEABILIZACION BANO - COCINA LOGIA]])</f>
        <v>0</v>
      </c>
      <c r="CS188" s="40">
        <f ca="1">+IF(AVANCE[[#This Row],[ESTADO MODULO]]="PENDIENTE",(TODAY()-AVANCE[[#This Row],[FECHA TERMINO  PLANIFICADO]]),0)</f>
        <v>0</v>
      </c>
      <c r="CT188" s="41" t="str" cm="1">
        <f t="array" ref="CT188">_xlfn.TEXTJOIN(" | ",TRUE,IF(SUMPRODUCT((BG188:CR188&lt;1)*(PARTIDAS!$I$2:$AT$2="OBRA GRUESA"))&gt;0,"OBRA GRUESA: "&amp;_xlfn.TEXTJOIN(", ",TRUE,IF((BG188:CR188&lt;1)*(PARTIDAS!$I$2:$AT$2="OBRA GRUESA"),PARTIDAS!$I$1:$AT$1,"")),""),IF(SUMPRODUCT((BG188:CR188&lt;1)*(PARTIDAS!$I$2:$AT$2="SANITARIOS"))&gt;0,"SANITARIOS: "&amp;_xlfn.TEXTJOIN(", ",TRUE,IF((BG188:CR188&lt;1)*(PARTIDAS!$I$2:$AT$2="SANITARIOS"),PARTIDAS!$I$1:$AT$1,"")),""),IF(SUMPRODUCT((BG188:CR188&lt;1)*(PARTIDAS!$I$2:$AT$2="ELÉCTRICO"))&gt;0,"ELÉCTRICO: "&amp;_xlfn.TEXTJOIN(", ",TRUE,IF((BG188:CR188&lt;1)*(PARTIDAS!$I$2:$AT$2="ELÉCTRICO"),PARTIDAS!$I$1:$AT$1,"")),""),IF(SUMPRODUCT((BG188:CR188&lt;1)*(PARTIDAS!$I$2:$AT$2="TERMINACIONES"))&gt;0,"TERMINACIONES: "&amp;_xlfn.TEXTJOIN(", ",TRUE,IF((BG188:CR188&lt;1)*(PARTIDAS!$I$2:$AT$2="TERMINACIONES"),PARTIDAS!$I$1:$AT$1,"")),""))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8" s="43" t="str" cm="1">
        <f t="array" ref="CU188">_xlfn.TEXTJOIN(", ",TRUE,IF(SUMPRODUCT((BG188:CR188&lt;1)*(PARTIDAS!$I$2:$AT$2="OBRA GRUESA"))&gt;0,"OBRA GRUESA",""),IF(SUMPRODUCT((BG188:CR188&lt;1)*(PARTIDAS!$I$2:$AT$2="SANITARIOS"))&gt;0,"SANITARIOS",""),IF(SUMPRODUCT((BG188:CR188&lt;1)*(PARTIDAS!$I$2:$AT$2="ELÉCTRICO"))&gt;0,"ELÉCTRICO",""),IF(SUMPRODUCT((BG188:CR188&lt;1)*(PARTIDAS!$I$2:$AT$2="TERMINACIONES"))&gt;0,"TERMINACIONES",""))</f>
        <v>OBRA GRUESA, SANITARIOS, ELÉCTRICO, TERMINACIONES</v>
      </c>
      <c r="CV188" s="44" cm="1">
        <f t="array" ref="CV188">SUMPRODUCT(--(BG188:CR188&lt;1))</f>
        <v>38</v>
      </c>
    </row>
    <row r="189" spans="1:100" hidden="1" x14ac:dyDescent="0.25">
      <c r="A189" t="s">
        <v>223</v>
      </c>
      <c r="B189" t="s">
        <v>251</v>
      </c>
      <c r="C189">
        <v>2282600188</v>
      </c>
      <c r="D189" t="s">
        <v>58</v>
      </c>
      <c r="E189" s="2">
        <v>0</v>
      </c>
      <c r="F189" s="1">
        <v>46230</v>
      </c>
      <c r="G189" s="1"/>
      <c r="H189" s="1">
        <v>0</v>
      </c>
      <c r="I189" s="1">
        <v>46250</v>
      </c>
      <c r="J189">
        <v>46230</v>
      </c>
      <c r="K189" s="1"/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>
        <v>28.87</v>
      </c>
      <c r="BF189" s="3" t="str">
        <f>+IF(AVANCE[[#This Row],[% AVANCE]]=100%,"MODULO TERMINADO",IF(AVANCE[[#This Row],[FECHA INICIO REAL]]="","MODULO NO INICIADO","PENDIENTE"))</f>
        <v>MODULO NO INICIADO</v>
      </c>
      <c r="BG189" s="3">
        <f>+IF(AVANCE[[#This Row],[VENTANAS]]=8.10810810810811%,100%,AVANCE[[#This Row],[VENTANAS]])</f>
        <v>0</v>
      </c>
      <c r="BH189" s="3">
        <f>+IF(AVANCE[[#This Row],[PISO]]=N$2,100%,AVANCE[[#This Row],[PISO]])</f>
        <v>0</v>
      </c>
      <c r="BI189" s="3">
        <f>+IF(AVANCE[[#This Row],[TABIQUES]]=O$2,100%,AVANCE[[#This Row],[TABIQUES]])</f>
        <v>0</v>
      </c>
      <c r="BJ189" s="3">
        <f>+IF(AVANCE[[#This Row],[MUROS]]=P$2,100%,AVANCE[[#This Row],[MUROS]])</f>
        <v>0</v>
      </c>
      <c r="BK189" s="3">
        <f>+IF(AVANCE[[#This Row],[CIELO]]=Q$2,100%,AVANCE[[#This Row],[CIELO]])</f>
        <v>0</v>
      </c>
      <c r="BL189" s="3">
        <f>+IF(AVANCE[[#This Row],[BALCÓN]]=R$2,100%,AVANCE[[#This Row],[BALCÓN]])</f>
        <v>0</v>
      </c>
      <c r="BM189" s="3">
        <f>+IF(AVANCE[[#This Row],[RED ALCANTARILLADO]]=U$2,100%,AVANCE[[#This Row],[RED ALCANTARILLADO]])</f>
        <v>0</v>
      </c>
      <c r="BN189" s="3">
        <f>+IF(AVANCE[[#This Row],[RED DE AGUA]]=V$2,100%,AVANCE[[#This Row],[RED DE AGUA]])</f>
        <v>0</v>
      </c>
      <c r="BO189" s="3">
        <f>+IF(AVANCE[[#This Row],[VENTILACIONES]]=W$2,100%,AVANCE[[#This Row],[VENTILACIONES]])</f>
        <v>0</v>
      </c>
      <c r="BP189" s="3">
        <f>+IF(AVANCE[[#This Row],[TINA]]=X$2,100%,AVANCE[[#This Row],[TINA]])</f>
        <v>0</v>
      </c>
      <c r="BQ189" s="3">
        <f>+IF(AVANCE[[#This Row],[WC]]=Y$2,100%,AVANCE[[#This Row],[WC]])</f>
        <v>0</v>
      </c>
      <c r="BR189" s="3">
        <f>+IF(AVANCE[[#This Row],[LAVAMANOS / LAVAPLATOS / LAVADERO]]=Z$2,100%,AVANCE[[#This Row],[LAVAMANOS / LAVAPLATOS / LAVADERO]])</f>
        <v>0</v>
      </c>
      <c r="BS189" s="3">
        <f>+IF(AVANCE[[#This Row],[CANALIZACIÓN]]=AC$2,100%,AVANCE[[#This Row],[CANALIZACIÓN]])</f>
        <v>0</v>
      </c>
      <c r="BT189" s="3">
        <f>+IF(AVANCE[[#This Row],[CABLEADO]]=AD$2,100%,AVANCE[[#This Row],[CABLEADO]])</f>
        <v>0</v>
      </c>
      <c r="BU189" s="3">
        <f>+IF(AVANCE[[#This Row],[ARTEFACTOS]]=AE$2,100%,AVANCE[[#This Row],[ARTEFACTOS]])</f>
        <v>0</v>
      </c>
      <c r="BV189" s="3">
        <f>+IF(AVANCE[[#This Row],[TABLERO]]=AF$2,100%,AVANCE[[#This Row],[TABLERO]])</f>
        <v>0</v>
      </c>
      <c r="BW189" s="3">
        <f>+IF(AVANCE[[#This Row],[CAJA PAU]]=AG$2,100%,AVANCE[[#This Row],[CAJA PAU]])</f>
        <v>0</v>
      </c>
      <c r="BX189" s="3">
        <f>+IF(AVANCE[[#This Row],[INSTALACION VINILICO]]=AJ$2,100%,AVANCE[[#This Row],[INSTALACION VINILICO]])</f>
        <v>0</v>
      </c>
      <c r="BY189" s="3">
        <f>+IF(AVANCE[[#This Row],[OSB CUBIERTA]]=AK$2,100%,AVANCE[[#This Row],[OSB CUBIERTA]])</f>
        <v>0</v>
      </c>
      <c r="BZ189" s="3">
        <f>+IF(AVANCE[[#This Row],[BARANDA BALCON]]=AL$2,100%,AVANCE[[#This Row],[BARANDA BALCON]])</f>
        <v>0</v>
      </c>
      <c r="CA189" s="3">
        <f>+IF(AVANCE[[#This Row],[OSB EXTERIOR]]=AM$2,100%,AVANCE[[#This Row],[OSB EXTERIOR]])</f>
        <v>0</v>
      </c>
      <c r="CB189" s="3">
        <f>+IF(AVANCE[[#This Row],[SMART PANEL]]=AN$2,100%,AVANCE[[#This Row],[SMART PANEL]])</f>
        <v>0</v>
      </c>
      <c r="CC189" s="3">
        <f>+IF(AVANCE[[#This Row],[PINTURA EXTERIOR]]=AO$2,100%,AVANCE[[#This Row],[PINTURA EXTERIOR]])</f>
        <v>0</v>
      </c>
      <c r="CD189" s="3">
        <f>+IF(AVANCE[[#This Row],[ZOCALOS LOGIA]]=AP$2,100%,AVANCE[[#This Row],[ZOCALOS LOGIA]])</f>
        <v>0</v>
      </c>
      <c r="CE189" s="3">
        <f>+IF(AVANCE[[#This Row],[MOLDURAS]]=AQ$2,100%,AVANCE[[#This Row],[MOLDURAS]])</f>
        <v>0</v>
      </c>
      <c r="CF189" s="3">
        <f>+IF(AVANCE[[#This Row],[PILASTREO]]=AR$2,100%,AVANCE[[#This Row],[PILASTREO]])</f>
        <v>0</v>
      </c>
      <c r="CG189" s="3">
        <f>+IF(AVANCE[[#This Row],[CELOSIAS]]=AS$2,100%,AVANCE[[#This Row],[CELOSIAS]])</f>
        <v>0</v>
      </c>
      <c r="CH189" s="3">
        <f>+IF(AVANCE[[#This Row],[VENTANAS]]=AT$2,100%,AVANCE[[#This Row],[VENTANAS]])</f>
        <v>0</v>
      </c>
      <c r="CI189" s="3">
        <f>+IF(AVANCE[[#This Row],[PUERTAS ACCESO - LOGIA - BANO]]=AU$2,100%,AVANCE[[#This Row],[PUERTAS ACCESO - LOGIA - BANO]])</f>
        <v>0</v>
      </c>
      <c r="CJ189" s="3">
        <f>+IF(AVANCE[[#This Row],[CERRADURAS]]=AV$2,100%,AVANCE[[#This Row],[CERRADURAS]])</f>
        <v>0</v>
      </c>
      <c r="CK189" s="3">
        <f>+IF(AVANCE[[#This Row],[REVESTIMIENTO INTERIOR ZONA SECA]]=AW$2,100%,AVANCE[[#This Row],[REVESTIMIENTO INTERIOR ZONA SECA]])</f>
        <v>0</v>
      </c>
      <c r="CL189" s="3">
        <f>+IF(AVANCE[[#This Row],[REVESTIMIENTO INTERIOR ZONAS HUMEDAS]]=AX$2,100%,AVANCE[[#This Row],[REVESTIMIENTO INTERIOR ZONAS HUMEDAS]])</f>
        <v>0</v>
      </c>
      <c r="CM189" s="3">
        <f>+IF(AVANCE[[#This Row],[MEMBRANA CIELO]]=AY$2,100%,AVANCE[[#This Row],[MEMBRANA CIELO]])</f>
        <v>0</v>
      </c>
      <c r="CN189" s="3">
        <f>+IF(AVANCE[[#This Row],[LIMPIEZA FINAL]]=AZ$2,100%,AVANCE[[#This Row],[LIMPIEZA FINAL]])</f>
        <v>0</v>
      </c>
      <c r="CO189" s="3">
        <f>+IF(AVANCE[[#This Row],[PUERTAS DORMITORIO]]=BA$2,100%,AVANCE[[#This Row],[PUERTAS DORMITORIO]])</f>
        <v>0</v>
      </c>
      <c r="CP189" s="3">
        <f>+IF(AVANCE[[#This Row],[REVESTIMIENTO INTERIOR BANO]]=BB$2,100%,AVANCE[[#This Row],[REVESTIMIENTO INTERIOR BANO]])</f>
        <v>0</v>
      </c>
      <c r="CQ189" s="3">
        <f>+IF(AVANCE[[#This Row],[MUEBLE LAVAPLATOS]]=BC$2,100%,AVANCE[[#This Row],[MUEBLE LAVAPLATOS]])</f>
        <v>0</v>
      </c>
      <c r="CR189" s="3">
        <f>+IF(AVANCE[[#This Row],[IMPERMEABILIZACION BANO - COCINA LOGIA]]=BD$2,100%,AVANCE[[#This Row],[IMPERMEABILIZACION BANO - COCINA LOGIA]])</f>
        <v>0</v>
      </c>
      <c r="CS189" s="40">
        <f ca="1">+IF(AVANCE[[#This Row],[ESTADO MODULO]]="PENDIENTE",(TODAY()-AVANCE[[#This Row],[FECHA TERMINO  PLANIFICADO]]),0)</f>
        <v>0</v>
      </c>
      <c r="CT189" s="41" t="str" cm="1">
        <f t="array" ref="CT189">_xlfn.TEXTJOIN(" | ",TRUE,IF(SUMPRODUCT((BG189:CR189&lt;1)*(PARTIDAS!$I$2:$AT$2="OBRA GRUESA"))&gt;0,"OBRA GRUESA: "&amp;_xlfn.TEXTJOIN(", ",TRUE,IF((BG189:CR189&lt;1)*(PARTIDAS!$I$2:$AT$2="OBRA GRUESA"),PARTIDAS!$I$1:$AT$1,"")),""),IF(SUMPRODUCT((BG189:CR189&lt;1)*(PARTIDAS!$I$2:$AT$2="SANITARIOS"))&gt;0,"SANITARIOS: "&amp;_xlfn.TEXTJOIN(", ",TRUE,IF((BG189:CR189&lt;1)*(PARTIDAS!$I$2:$AT$2="SANITARIOS"),PARTIDAS!$I$1:$AT$1,"")),""),IF(SUMPRODUCT((BG189:CR189&lt;1)*(PARTIDAS!$I$2:$AT$2="ELÉCTRICO"))&gt;0,"ELÉCTRICO: "&amp;_xlfn.TEXTJOIN(", ",TRUE,IF((BG189:CR189&lt;1)*(PARTIDAS!$I$2:$AT$2="ELÉCTRICO"),PARTIDAS!$I$1:$AT$1,"")),""),IF(SUMPRODUCT((BG189:CR189&lt;1)*(PARTIDAS!$I$2:$AT$2="TERMINACIONES"))&gt;0,"TERMINACIONES: "&amp;_xlfn.TEXTJOIN(", ",TRUE,IF((BG189:CR189&lt;1)*(PARTIDAS!$I$2:$AT$2="TERMINACIONES"),PARTIDAS!$I$1:$AT$1,"")),""))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89" s="43" t="str" cm="1">
        <f t="array" ref="CU189">_xlfn.TEXTJOIN(", ",TRUE,IF(SUMPRODUCT((BG189:CR189&lt;1)*(PARTIDAS!$I$2:$AT$2="OBRA GRUESA"))&gt;0,"OBRA GRUESA",""),IF(SUMPRODUCT((BG189:CR189&lt;1)*(PARTIDAS!$I$2:$AT$2="SANITARIOS"))&gt;0,"SANITARIOS",""),IF(SUMPRODUCT((BG189:CR189&lt;1)*(PARTIDAS!$I$2:$AT$2="ELÉCTRICO"))&gt;0,"ELÉCTRICO",""),IF(SUMPRODUCT((BG189:CR189&lt;1)*(PARTIDAS!$I$2:$AT$2="TERMINACIONES"))&gt;0,"TERMINACIONES",""))</f>
        <v>OBRA GRUESA, SANITARIOS, ELÉCTRICO, TERMINACIONES</v>
      </c>
      <c r="CV189" s="44" cm="1">
        <f t="array" ref="CV189">SUMPRODUCT(--(BG189:CR189&lt;1))</f>
        <v>38</v>
      </c>
    </row>
    <row r="190" spans="1:100" hidden="1" x14ac:dyDescent="0.25">
      <c r="A190" t="s">
        <v>223</v>
      </c>
      <c r="B190" t="s">
        <v>252</v>
      </c>
      <c r="C190">
        <v>2282600189</v>
      </c>
      <c r="D190" t="s">
        <v>58</v>
      </c>
      <c r="E190" s="2">
        <v>0</v>
      </c>
      <c r="F190" s="1">
        <v>46231</v>
      </c>
      <c r="G190" s="1"/>
      <c r="H190" s="1">
        <v>0</v>
      </c>
      <c r="I190" s="1">
        <v>46251</v>
      </c>
      <c r="J190">
        <v>46230</v>
      </c>
      <c r="K190" s="1"/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>
        <v>28.87</v>
      </c>
      <c r="BF190" s="3" t="str">
        <f>+IF(AVANCE[[#This Row],[% AVANCE]]=100%,"MODULO TERMINADO",IF(AVANCE[[#This Row],[FECHA INICIO REAL]]="","MODULO NO INICIADO","PENDIENTE"))</f>
        <v>MODULO NO INICIADO</v>
      </c>
      <c r="BG190" s="3">
        <f>+IF(AVANCE[[#This Row],[VENTANAS]]=8.10810810810811%,100%,AVANCE[[#This Row],[VENTANAS]])</f>
        <v>0</v>
      </c>
      <c r="BH190" s="3">
        <f>+IF(AVANCE[[#This Row],[PISO]]=N$2,100%,AVANCE[[#This Row],[PISO]])</f>
        <v>0</v>
      </c>
      <c r="BI190" s="3">
        <f>+IF(AVANCE[[#This Row],[TABIQUES]]=O$2,100%,AVANCE[[#This Row],[TABIQUES]])</f>
        <v>0</v>
      </c>
      <c r="BJ190" s="3">
        <f>+IF(AVANCE[[#This Row],[MUROS]]=P$2,100%,AVANCE[[#This Row],[MUROS]])</f>
        <v>0</v>
      </c>
      <c r="BK190" s="3">
        <f>+IF(AVANCE[[#This Row],[CIELO]]=Q$2,100%,AVANCE[[#This Row],[CIELO]])</f>
        <v>0</v>
      </c>
      <c r="BL190" s="3">
        <f>+IF(AVANCE[[#This Row],[BALCÓN]]=R$2,100%,AVANCE[[#This Row],[BALCÓN]])</f>
        <v>0</v>
      </c>
      <c r="BM190" s="3">
        <f>+IF(AVANCE[[#This Row],[RED ALCANTARILLADO]]=U$2,100%,AVANCE[[#This Row],[RED ALCANTARILLADO]])</f>
        <v>0</v>
      </c>
      <c r="BN190" s="3">
        <f>+IF(AVANCE[[#This Row],[RED DE AGUA]]=V$2,100%,AVANCE[[#This Row],[RED DE AGUA]])</f>
        <v>0</v>
      </c>
      <c r="BO190" s="3">
        <f>+IF(AVANCE[[#This Row],[VENTILACIONES]]=W$2,100%,AVANCE[[#This Row],[VENTILACIONES]])</f>
        <v>0</v>
      </c>
      <c r="BP190" s="3">
        <f>+IF(AVANCE[[#This Row],[TINA]]=X$2,100%,AVANCE[[#This Row],[TINA]])</f>
        <v>0</v>
      </c>
      <c r="BQ190" s="3">
        <f>+IF(AVANCE[[#This Row],[WC]]=Y$2,100%,AVANCE[[#This Row],[WC]])</f>
        <v>0</v>
      </c>
      <c r="BR190" s="3">
        <f>+IF(AVANCE[[#This Row],[LAVAMANOS / LAVAPLATOS / LAVADERO]]=Z$2,100%,AVANCE[[#This Row],[LAVAMANOS / LAVAPLATOS / LAVADERO]])</f>
        <v>0</v>
      </c>
      <c r="BS190" s="3">
        <f>+IF(AVANCE[[#This Row],[CANALIZACIÓN]]=AC$2,100%,AVANCE[[#This Row],[CANALIZACIÓN]])</f>
        <v>0</v>
      </c>
      <c r="BT190" s="3">
        <f>+IF(AVANCE[[#This Row],[CABLEADO]]=AD$2,100%,AVANCE[[#This Row],[CABLEADO]])</f>
        <v>0</v>
      </c>
      <c r="BU190" s="3">
        <f>+IF(AVANCE[[#This Row],[ARTEFACTOS]]=AE$2,100%,AVANCE[[#This Row],[ARTEFACTOS]])</f>
        <v>0</v>
      </c>
      <c r="BV190" s="3">
        <f>+IF(AVANCE[[#This Row],[TABLERO]]=AF$2,100%,AVANCE[[#This Row],[TABLERO]])</f>
        <v>0</v>
      </c>
      <c r="BW190" s="3">
        <f>+IF(AVANCE[[#This Row],[CAJA PAU]]=AG$2,100%,AVANCE[[#This Row],[CAJA PAU]])</f>
        <v>0</v>
      </c>
      <c r="BX190" s="3">
        <f>+IF(AVANCE[[#This Row],[INSTALACION VINILICO]]=AJ$2,100%,AVANCE[[#This Row],[INSTALACION VINILICO]])</f>
        <v>0</v>
      </c>
      <c r="BY190" s="3">
        <f>+IF(AVANCE[[#This Row],[OSB CUBIERTA]]=AK$2,100%,AVANCE[[#This Row],[OSB CUBIERTA]])</f>
        <v>0</v>
      </c>
      <c r="BZ190" s="3">
        <f>+IF(AVANCE[[#This Row],[BARANDA BALCON]]=AL$2,100%,AVANCE[[#This Row],[BARANDA BALCON]])</f>
        <v>0</v>
      </c>
      <c r="CA190" s="3">
        <f>+IF(AVANCE[[#This Row],[OSB EXTERIOR]]=AM$2,100%,AVANCE[[#This Row],[OSB EXTERIOR]])</f>
        <v>0</v>
      </c>
      <c r="CB190" s="3">
        <f>+IF(AVANCE[[#This Row],[SMART PANEL]]=AN$2,100%,AVANCE[[#This Row],[SMART PANEL]])</f>
        <v>0</v>
      </c>
      <c r="CC190" s="3">
        <f>+IF(AVANCE[[#This Row],[PINTURA EXTERIOR]]=AO$2,100%,AVANCE[[#This Row],[PINTURA EXTERIOR]])</f>
        <v>0</v>
      </c>
      <c r="CD190" s="3">
        <f>+IF(AVANCE[[#This Row],[ZOCALOS LOGIA]]=AP$2,100%,AVANCE[[#This Row],[ZOCALOS LOGIA]])</f>
        <v>0</v>
      </c>
      <c r="CE190" s="3">
        <f>+IF(AVANCE[[#This Row],[MOLDURAS]]=AQ$2,100%,AVANCE[[#This Row],[MOLDURAS]])</f>
        <v>0</v>
      </c>
      <c r="CF190" s="3">
        <f>+IF(AVANCE[[#This Row],[PILASTREO]]=AR$2,100%,AVANCE[[#This Row],[PILASTREO]])</f>
        <v>0</v>
      </c>
      <c r="CG190" s="3">
        <f>+IF(AVANCE[[#This Row],[CELOSIAS]]=AS$2,100%,AVANCE[[#This Row],[CELOSIAS]])</f>
        <v>0</v>
      </c>
      <c r="CH190" s="3">
        <f>+IF(AVANCE[[#This Row],[VENTANAS]]=AT$2,100%,AVANCE[[#This Row],[VENTANAS]])</f>
        <v>0</v>
      </c>
      <c r="CI190" s="3">
        <f>+IF(AVANCE[[#This Row],[PUERTAS ACCESO - LOGIA - BANO]]=AU$2,100%,AVANCE[[#This Row],[PUERTAS ACCESO - LOGIA - BANO]])</f>
        <v>0</v>
      </c>
      <c r="CJ190" s="3">
        <f>+IF(AVANCE[[#This Row],[CERRADURAS]]=AV$2,100%,AVANCE[[#This Row],[CERRADURAS]])</f>
        <v>0</v>
      </c>
      <c r="CK190" s="3">
        <f>+IF(AVANCE[[#This Row],[REVESTIMIENTO INTERIOR ZONA SECA]]=AW$2,100%,AVANCE[[#This Row],[REVESTIMIENTO INTERIOR ZONA SECA]])</f>
        <v>0</v>
      </c>
      <c r="CL190" s="3">
        <f>+IF(AVANCE[[#This Row],[REVESTIMIENTO INTERIOR ZONAS HUMEDAS]]=AX$2,100%,AVANCE[[#This Row],[REVESTIMIENTO INTERIOR ZONAS HUMEDAS]])</f>
        <v>0</v>
      </c>
      <c r="CM190" s="3">
        <f>+IF(AVANCE[[#This Row],[MEMBRANA CIELO]]=AY$2,100%,AVANCE[[#This Row],[MEMBRANA CIELO]])</f>
        <v>0</v>
      </c>
      <c r="CN190" s="3">
        <f>+IF(AVANCE[[#This Row],[LIMPIEZA FINAL]]=AZ$2,100%,AVANCE[[#This Row],[LIMPIEZA FINAL]])</f>
        <v>0</v>
      </c>
      <c r="CO190" s="3">
        <f>+IF(AVANCE[[#This Row],[PUERTAS DORMITORIO]]=BA$2,100%,AVANCE[[#This Row],[PUERTAS DORMITORIO]])</f>
        <v>0</v>
      </c>
      <c r="CP190" s="3">
        <f>+IF(AVANCE[[#This Row],[REVESTIMIENTO INTERIOR BANO]]=BB$2,100%,AVANCE[[#This Row],[REVESTIMIENTO INTERIOR BANO]])</f>
        <v>0</v>
      </c>
      <c r="CQ190" s="3">
        <f>+IF(AVANCE[[#This Row],[MUEBLE LAVAPLATOS]]=BC$2,100%,AVANCE[[#This Row],[MUEBLE LAVAPLATOS]])</f>
        <v>0</v>
      </c>
      <c r="CR190" s="3">
        <f>+IF(AVANCE[[#This Row],[IMPERMEABILIZACION BANO - COCINA LOGIA]]=BD$2,100%,AVANCE[[#This Row],[IMPERMEABILIZACION BANO - COCINA LOGIA]])</f>
        <v>0</v>
      </c>
      <c r="CS190" s="40">
        <f ca="1">+IF(AVANCE[[#This Row],[ESTADO MODULO]]="PENDIENTE",(TODAY()-AVANCE[[#This Row],[FECHA TERMINO  PLANIFICADO]]),0)</f>
        <v>0</v>
      </c>
      <c r="CT190" s="41" t="str" cm="1">
        <f t="array" ref="CT190">_xlfn.TEXTJOIN(" | ",TRUE,IF(SUMPRODUCT((BG190:CR190&lt;1)*(PARTIDAS!$I$2:$AT$2="OBRA GRUESA"))&gt;0,"OBRA GRUESA: "&amp;_xlfn.TEXTJOIN(", ",TRUE,IF((BG190:CR190&lt;1)*(PARTIDAS!$I$2:$AT$2="OBRA GRUESA"),PARTIDAS!$I$1:$AT$1,"")),""),IF(SUMPRODUCT((BG190:CR190&lt;1)*(PARTIDAS!$I$2:$AT$2="SANITARIOS"))&gt;0,"SANITARIOS: "&amp;_xlfn.TEXTJOIN(", ",TRUE,IF((BG190:CR190&lt;1)*(PARTIDAS!$I$2:$AT$2="SANITARIOS"),PARTIDAS!$I$1:$AT$1,"")),""),IF(SUMPRODUCT((BG190:CR190&lt;1)*(PARTIDAS!$I$2:$AT$2="ELÉCTRICO"))&gt;0,"ELÉCTRICO: "&amp;_xlfn.TEXTJOIN(", ",TRUE,IF((BG190:CR190&lt;1)*(PARTIDAS!$I$2:$AT$2="ELÉCTRICO"),PARTIDAS!$I$1:$AT$1,"")),""),IF(SUMPRODUCT((BG190:CR190&lt;1)*(PARTIDAS!$I$2:$AT$2="TERMINACIONES"))&gt;0,"TERMINACIONES: "&amp;_xlfn.TEXTJOIN(", ",TRUE,IF((BG190:CR190&lt;1)*(PARTIDAS!$I$2:$AT$2="TERMINACIONES"),PARTIDAS!$I$1:$AT$1,"")),""))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0" s="43" t="str" cm="1">
        <f t="array" ref="CU190">_xlfn.TEXTJOIN(", ",TRUE,IF(SUMPRODUCT((BG190:CR190&lt;1)*(PARTIDAS!$I$2:$AT$2="OBRA GRUESA"))&gt;0,"OBRA GRUESA",""),IF(SUMPRODUCT((BG190:CR190&lt;1)*(PARTIDAS!$I$2:$AT$2="SANITARIOS"))&gt;0,"SANITARIOS",""),IF(SUMPRODUCT((BG190:CR190&lt;1)*(PARTIDAS!$I$2:$AT$2="ELÉCTRICO"))&gt;0,"ELÉCTRICO",""),IF(SUMPRODUCT((BG190:CR190&lt;1)*(PARTIDAS!$I$2:$AT$2="TERMINACIONES"))&gt;0,"TERMINACIONES",""))</f>
        <v>OBRA GRUESA, SANITARIOS, ELÉCTRICO, TERMINACIONES</v>
      </c>
      <c r="CV190" s="44" cm="1">
        <f t="array" ref="CV190">SUMPRODUCT(--(BG190:CR190&lt;1))</f>
        <v>38</v>
      </c>
    </row>
    <row r="191" spans="1:100" hidden="1" x14ac:dyDescent="0.25">
      <c r="A191" t="s">
        <v>223</v>
      </c>
      <c r="B191" t="s">
        <v>253</v>
      </c>
      <c r="C191">
        <v>2302600190</v>
      </c>
      <c r="D191" t="s">
        <v>60</v>
      </c>
      <c r="E191" s="2">
        <v>0</v>
      </c>
      <c r="F191" s="1">
        <v>46231</v>
      </c>
      <c r="G191" s="1"/>
      <c r="H191" s="1">
        <v>0</v>
      </c>
      <c r="I191" s="1">
        <v>46261</v>
      </c>
      <c r="J191">
        <v>46230</v>
      </c>
      <c r="K191" s="1"/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>
        <v>31.32</v>
      </c>
      <c r="BF191" s="3" t="str">
        <f>+IF(AVANCE[[#This Row],[% AVANCE]]=100%,"MODULO TERMINADO",IF(AVANCE[[#This Row],[FECHA INICIO REAL]]="","MODULO NO INICIADO","PENDIENTE"))</f>
        <v>MODULO NO INICIADO</v>
      </c>
      <c r="BG191" s="3">
        <f>+IF(AVANCE[[#This Row],[VENTANAS]]=8.10810810810811%,100%,AVANCE[[#This Row],[VENTANAS]])</f>
        <v>0</v>
      </c>
      <c r="BH191" s="3">
        <f>+IF(AVANCE[[#This Row],[PISO]]=N$2,100%,AVANCE[[#This Row],[PISO]])</f>
        <v>0</v>
      </c>
      <c r="BI191" s="3">
        <f>+IF(AVANCE[[#This Row],[TABIQUES]]=O$2,100%,AVANCE[[#This Row],[TABIQUES]])</f>
        <v>0</v>
      </c>
      <c r="BJ191" s="3">
        <f>+IF(AVANCE[[#This Row],[MUROS]]=P$2,100%,AVANCE[[#This Row],[MUROS]])</f>
        <v>0</v>
      </c>
      <c r="BK191" s="3">
        <f>+IF(AVANCE[[#This Row],[CIELO]]=Q$2,100%,AVANCE[[#This Row],[CIELO]])</f>
        <v>0</v>
      </c>
      <c r="BL191" s="3">
        <f>+IF(AVANCE[[#This Row],[BALCÓN]]=R$2,100%,AVANCE[[#This Row],[BALCÓN]])</f>
        <v>0</v>
      </c>
      <c r="BM191" s="3">
        <f>+IF(AVANCE[[#This Row],[RED ALCANTARILLADO]]=U$2,100%,AVANCE[[#This Row],[RED ALCANTARILLADO]])</f>
        <v>0</v>
      </c>
      <c r="BN191" s="3">
        <f>+IF(AVANCE[[#This Row],[RED DE AGUA]]=V$2,100%,AVANCE[[#This Row],[RED DE AGUA]])</f>
        <v>0</v>
      </c>
      <c r="BO191" s="3">
        <f>+IF(AVANCE[[#This Row],[VENTILACIONES]]=W$2,100%,AVANCE[[#This Row],[VENTILACIONES]])</f>
        <v>0</v>
      </c>
      <c r="BP191" s="3">
        <f>+IF(AVANCE[[#This Row],[TINA]]=X$2,100%,AVANCE[[#This Row],[TINA]])</f>
        <v>0</v>
      </c>
      <c r="BQ191" s="3">
        <f>+IF(AVANCE[[#This Row],[WC]]=Y$2,100%,AVANCE[[#This Row],[WC]])</f>
        <v>0</v>
      </c>
      <c r="BR191" s="3">
        <f>+IF(AVANCE[[#This Row],[LAVAMANOS / LAVAPLATOS / LAVADERO]]=Z$2,100%,AVANCE[[#This Row],[LAVAMANOS / LAVAPLATOS / LAVADERO]])</f>
        <v>0</v>
      </c>
      <c r="BS191" s="3">
        <f>+IF(AVANCE[[#This Row],[CANALIZACIÓN]]=AC$2,100%,AVANCE[[#This Row],[CANALIZACIÓN]])</f>
        <v>0</v>
      </c>
      <c r="BT191" s="3">
        <f>+IF(AVANCE[[#This Row],[CABLEADO]]=AD$2,100%,AVANCE[[#This Row],[CABLEADO]])</f>
        <v>0</v>
      </c>
      <c r="BU191" s="3">
        <f>+IF(AVANCE[[#This Row],[ARTEFACTOS]]=AE$2,100%,AVANCE[[#This Row],[ARTEFACTOS]])</f>
        <v>0</v>
      </c>
      <c r="BV191" s="3">
        <f>+IF(AVANCE[[#This Row],[TABLERO]]=AF$2,100%,AVANCE[[#This Row],[TABLERO]])</f>
        <v>0</v>
      </c>
      <c r="BW191" s="3">
        <f>+IF(AVANCE[[#This Row],[CAJA PAU]]=AG$2,100%,AVANCE[[#This Row],[CAJA PAU]])</f>
        <v>0</v>
      </c>
      <c r="BX191" s="3">
        <f>+IF(AVANCE[[#This Row],[INSTALACION VINILICO]]=AJ$2,100%,AVANCE[[#This Row],[INSTALACION VINILICO]])</f>
        <v>0</v>
      </c>
      <c r="BY191" s="3">
        <f>+IF(AVANCE[[#This Row],[OSB CUBIERTA]]=AK$2,100%,AVANCE[[#This Row],[OSB CUBIERTA]])</f>
        <v>0</v>
      </c>
      <c r="BZ191" s="3">
        <f>+IF(AVANCE[[#This Row],[BARANDA BALCON]]=AL$2,100%,AVANCE[[#This Row],[BARANDA BALCON]])</f>
        <v>0</v>
      </c>
      <c r="CA191" s="3">
        <f>+IF(AVANCE[[#This Row],[OSB EXTERIOR]]=AM$2,100%,AVANCE[[#This Row],[OSB EXTERIOR]])</f>
        <v>0</v>
      </c>
      <c r="CB191" s="3">
        <f>+IF(AVANCE[[#This Row],[SMART PANEL]]=AN$2,100%,AVANCE[[#This Row],[SMART PANEL]])</f>
        <v>0</v>
      </c>
      <c r="CC191" s="3">
        <f>+IF(AVANCE[[#This Row],[PINTURA EXTERIOR]]=AO$2,100%,AVANCE[[#This Row],[PINTURA EXTERIOR]])</f>
        <v>0</v>
      </c>
      <c r="CD191" s="3">
        <f>+IF(AVANCE[[#This Row],[ZOCALOS LOGIA]]=AP$2,100%,AVANCE[[#This Row],[ZOCALOS LOGIA]])</f>
        <v>0</v>
      </c>
      <c r="CE191" s="3">
        <f>+IF(AVANCE[[#This Row],[MOLDURAS]]=AQ$2,100%,AVANCE[[#This Row],[MOLDURAS]])</f>
        <v>0</v>
      </c>
      <c r="CF191" s="3">
        <f>+IF(AVANCE[[#This Row],[PILASTREO]]=AR$2,100%,AVANCE[[#This Row],[PILASTREO]])</f>
        <v>0</v>
      </c>
      <c r="CG191" s="3">
        <f>+IF(AVANCE[[#This Row],[CELOSIAS]]=AS$2,100%,AVANCE[[#This Row],[CELOSIAS]])</f>
        <v>0</v>
      </c>
      <c r="CH191" s="3">
        <f>+IF(AVANCE[[#This Row],[VENTANAS]]=AT$2,100%,AVANCE[[#This Row],[VENTANAS]])</f>
        <v>0</v>
      </c>
      <c r="CI191" s="3">
        <f>+IF(AVANCE[[#This Row],[PUERTAS ACCESO - LOGIA - BANO]]=AU$2,100%,AVANCE[[#This Row],[PUERTAS ACCESO - LOGIA - BANO]])</f>
        <v>0</v>
      </c>
      <c r="CJ191" s="3">
        <f>+IF(AVANCE[[#This Row],[CERRADURAS]]=AV$2,100%,AVANCE[[#This Row],[CERRADURAS]])</f>
        <v>0</v>
      </c>
      <c r="CK191" s="3">
        <f>+IF(AVANCE[[#This Row],[REVESTIMIENTO INTERIOR ZONA SECA]]=AW$2,100%,AVANCE[[#This Row],[REVESTIMIENTO INTERIOR ZONA SECA]])</f>
        <v>0</v>
      </c>
      <c r="CL191" s="3">
        <f>+IF(AVANCE[[#This Row],[REVESTIMIENTO INTERIOR ZONAS HUMEDAS]]=AX$2,100%,AVANCE[[#This Row],[REVESTIMIENTO INTERIOR ZONAS HUMEDAS]])</f>
        <v>0</v>
      </c>
      <c r="CM191" s="3">
        <f>+IF(AVANCE[[#This Row],[MEMBRANA CIELO]]=AY$2,100%,AVANCE[[#This Row],[MEMBRANA CIELO]])</f>
        <v>0</v>
      </c>
      <c r="CN191" s="3">
        <f>+IF(AVANCE[[#This Row],[LIMPIEZA FINAL]]=AZ$2,100%,AVANCE[[#This Row],[LIMPIEZA FINAL]])</f>
        <v>0</v>
      </c>
      <c r="CO191" s="3">
        <f>+IF(AVANCE[[#This Row],[PUERTAS DORMITORIO]]=BA$2,100%,AVANCE[[#This Row],[PUERTAS DORMITORIO]])</f>
        <v>0</v>
      </c>
      <c r="CP191" s="3">
        <f>+IF(AVANCE[[#This Row],[REVESTIMIENTO INTERIOR BANO]]=BB$2,100%,AVANCE[[#This Row],[REVESTIMIENTO INTERIOR BANO]])</f>
        <v>0</v>
      </c>
      <c r="CQ191" s="3">
        <f>+IF(AVANCE[[#This Row],[MUEBLE LAVAPLATOS]]=BC$2,100%,AVANCE[[#This Row],[MUEBLE LAVAPLATOS]])</f>
        <v>0</v>
      </c>
      <c r="CR191" s="3">
        <f>+IF(AVANCE[[#This Row],[IMPERMEABILIZACION BANO - COCINA LOGIA]]=BD$2,100%,AVANCE[[#This Row],[IMPERMEABILIZACION BANO - COCINA LOGIA]])</f>
        <v>0</v>
      </c>
      <c r="CS191" s="40">
        <f ca="1">+IF(AVANCE[[#This Row],[ESTADO MODULO]]="PENDIENTE",(TODAY()-AVANCE[[#This Row],[FECHA TERMINO  PLANIFICADO]]),0)</f>
        <v>0</v>
      </c>
      <c r="CT191" s="41" t="str" cm="1">
        <f t="array" ref="CT191">_xlfn.TEXTJOIN(" | ",TRUE,IF(SUMPRODUCT((BG191:CR191&lt;1)*(PARTIDAS!$I$2:$AT$2="OBRA GRUESA"))&gt;0,"OBRA GRUESA: "&amp;_xlfn.TEXTJOIN(", ",TRUE,IF((BG191:CR191&lt;1)*(PARTIDAS!$I$2:$AT$2="OBRA GRUESA"),PARTIDAS!$I$1:$AT$1,"")),""),IF(SUMPRODUCT((BG191:CR191&lt;1)*(PARTIDAS!$I$2:$AT$2="SANITARIOS"))&gt;0,"SANITARIOS: "&amp;_xlfn.TEXTJOIN(", ",TRUE,IF((BG191:CR191&lt;1)*(PARTIDAS!$I$2:$AT$2="SANITARIOS"),PARTIDAS!$I$1:$AT$1,"")),""),IF(SUMPRODUCT((BG191:CR191&lt;1)*(PARTIDAS!$I$2:$AT$2="ELÉCTRICO"))&gt;0,"ELÉCTRICO: "&amp;_xlfn.TEXTJOIN(", ",TRUE,IF((BG191:CR191&lt;1)*(PARTIDAS!$I$2:$AT$2="ELÉCTRICO"),PARTIDAS!$I$1:$AT$1,"")),""),IF(SUMPRODUCT((BG191:CR191&lt;1)*(PARTIDAS!$I$2:$AT$2="TERMINACIONES"))&gt;0,"TERMINACIONES: "&amp;_xlfn.TEXTJOIN(", ",TRUE,IF((BG191:CR191&lt;1)*(PARTIDAS!$I$2:$AT$2="TERMINACIONES"),PARTIDAS!$I$1:$AT$1,"")),""))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1" s="43" t="str" cm="1">
        <f t="array" ref="CU191">_xlfn.TEXTJOIN(", ",TRUE,IF(SUMPRODUCT((BG191:CR191&lt;1)*(PARTIDAS!$I$2:$AT$2="OBRA GRUESA"))&gt;0,"OBRA GRUESA",""),IF(SUMPRODUCT((BG191:CR191&lt;1)*(PARTIDAS!$I$2:$AT$2="SANITARIOS"))&gt;0,"SANITARIOS",""),IF(SUMPRODUCT((BG191:CR191&lt;1)*(PARTIDAS!$I$2:$AT$2="ELÉCTRICO"))&gt;0,"ELÉCTRICO",""),IF(SUMPRODUCT((BG191:CR191&lt;1)*(PARTIDAS!$I$2:$AT$2="TERMINACIONES"))&gt;0,"TERMINACIONES",""))</f>
        <v>OBRA GRUESA, SANITARIOS, ELÉCTRICO, TERMINACIONES</v>
      </c>
      <c r="CV191" s="44" cm="1">
        <f t="array" ref="CV191">SUMPRODUCT(--(BG191:CR191&lt;1))</f>
        <v>38</v>
      </c>
    </row>
    <row r="192" spans="1:100" hidden="1" x14ac:dyDescent="0.25">
      <c r="A192" t="s">
        <v>223</v>
      </c>
      <c r="B192" t="s">
        <v>254</v>
      </c>
      <c r="C192">
        <v>2302600191</v>
      </c>
      <c r="D192" t="s">
        <v>60</v>
      </c>
      <c r="E192" s="2">
        <v>0</v>
      </c>
      <c r="F192" s="1">
        <v>46232</v>
      </c>
      <c r="G192" s="1"/>
      <c r="H192" s="1">
        <v>0</v>
      </c>
      <c r="I192" s="1">
        <v>46262</v>
      </c>
      <c r="J192">
        <v>46230</v>
      </c>
      <c r="K192" s="1"/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>
        <v>31.32</v>
      </c>
      <c r="BF192" s="3" t="str">
        <f>+IF(AVANCE[[#This Row],[% AVANCE]]=100%,"MODULO TERMINADO",IF(AVANCE[[#This Row],[FECHA INICIO REAL]]="","MODULO NO INICIADO","PENDIENTE"))</f>
        <v>MODULO NO INICIADO</v>
      </c>
      <c r="BG192" s="3">
        <f>+IF(AVANCE[[#This Row],[VENTANAS]]=8.10810810810811%,100%,AVANCE[[#This Row],[VENTANAS]])</f>
        <v>0</v>
      </c>
      <c r="BH192" s="3">
        <f>+IF(AVANCE[[#This Row],[PISO]]=N$2,100%,AVANCE[[#This Row],[PISO]])</f>
        <v>0</v>
      </c>
      <c r="BI192" s="3">
        <f>+IF(AVANCE[[#This Row],[TABIQUES]]=O$2,100%,AVANCE[[#This Row],[TABIQUES]])</f>
        <v>0</v>
      </c>
      <c r="BJ192" s="3">
        <f>+IF(AVANCE[[#This Row],[MUROS]]=P$2,100%,AVANCE[[#This Row],[MUROS]])</f>
        <v>0</v>
      </c>
      <c r="BK192" s="3">
        <f>+IF(AVANCE[[#This Row],[CIELO]]=Q$2,100%,AVANCE[[#This Row],[CIELO]])</f>
        <v>0</v>
      </c>
      <c r="BL192" s="3">
        <f>+IF(AVANCE[[#This Row],[BALCÓN]]=R$2,100%,AVANCE[[#This Row],[BALCÓN]])</f>
        <v>0</v>
      </c>
      <c r="BM192" s="3">
        <f>+IF(AVANCE[[#This Row],[RED ALCANTARILLADO]]=U$2,100%,AVANCE[[#This Row],[RED ALCANTARILLADO]])</f>
        <v>0</v>
      </c>
      <c r="BN192" s="3">
        <f>+IF(AVANCE[[#This Row],[RED DE AGUA]]=V$2,100%,AVANCE[[#This Row],[RED DE AGUA]])</f>
        <v>0</v>
      </c>
      <c r="BO192" s="3">
        <f>+IF(AVANCE[[#This Row],[VENTILACIONES]]=W$2,100%,AVANCE[[#This Row],[VENTILACIONES]])</f>
        <v>0</v>
      </c>
      <c r="BP192" s="3">
        <f>+IF(AVANCE[[#This Row],[TINA]]=X$2,100%,AVANCE[[#This Row],[TINA]])</f>
        <v>0</v>
      </c>
      <c r="BQ192" s="3">
        <f>+IF(AVANCE[[#This Row],[WC]]=Y$2,100%,AVANCE[[#This Row],[WC]])</f>
        <v>0</v>
      </c>
      <c r="BR192" s="3">
        <f>+IF(AVANCE[[#This Row],[LAVAMANOS / LAVAPLATOS / LAVADERO]]=Z$2,100%,AVANCE[[#This Row],[LAVAMANOS / LAVAPLATOS / LAVADERO]])</f>
        <v>0</v>
      </c>
      <c r="BS192" s="3">
        <f>+IF(AVANCE[[#This Row],[CANALIZACIÓN]]=AC$2,100%,AVANCE[[#This Row],[CANALIZACIÓN]])</f>
        <v>0</v>
      </c>
      <c r="BT192" s="3">
        <f>+IF(AVANCE[[#This Row],[CABLEADO]]=AD$2,100%,AVANCE[[#This Row],[CABLEADO]])</f>
        <v>0</v>
      </c>
      <c r="BU192" s="3">
        <f>+IF(AVANCE[[#This Row],[ARTEFACTOS]]=AE$2,100%,AVANCE[[#This Row],[ARTEFACTOS]])</f>
        <v>0</v>
      </c>
      <c r="BV192" s="3">
        <f>+IF(AVANCE[[#This Row],[TABLERO]]=AF$2,100%,AVANCE[[#This Row],[TABLERO]])</f>
        <v>0</v>
      </c>
      <c r="BW192" s="3">
        <f>+IF(AVANCE[[#This Row],[CAJA PAU]]=AG$2,100%,AVANCE[[#This Row],[CAJA PAU]])</f>
        <v>0</v>
      </c>
      <c r="BX192" s="3">
        <f>+IF(AVANCE[[#This Row],[INSTALACION VINILICO]]=AJ$2,100%,AVANCE[[#This Row],[INSTALACION VINILICO]])</f>
        <v>0</v>
      </c>
      <c r="BY192" s="3">
        <f>+IF(AVANCE[[#This Row],[OSB CUBIERTA]]=AK$2,100%,AVANCE[[#This Row],[OSB CUBIERTA]])</f>
        <v>0</v>
      </c>
      <c r="BZ192" s="3">
        <f>+IF(AVANCE[[#This Row],[BARANDA BALCON]]=AL$2,100%,AVANCE[[#This Row],[BARANDA BALCON]])</f>
        <v>0</v>
      </c>
      <c r="CA192" s="3">
        <f>+IF(AVANCE[[#This Row],[OSB EXTERIOR]]=AM$2,100%,AVANCE[[#This Row],[OSB EXTERIOR]])</f>
        <v>0</v>
      </c>
      <c r="CB192" s="3">
        <f>+IF(AVANCE[[#This Row],[SMART PANEL]]=AN$2,100%,AVANCE[[#This Row],[SMART PANEL]])</f>
        <v>0</v>
      </c>
      <c r="CC192" s="3">
        <f>+IF(AVANCE[[#This Row],[PINTURA EXTERIOR]]=AO$2,100%,AVANCE[[#This Row],[PINTURA EXTERIOR]])</f>
        <v>0</v>
      </c>
      <c r="CD192" s="3">
        <f>+IF(AVANCE[[#This Row],[ZOCALOS LOGIA]]=AP$2,100%,AVANCE[[#This Row],[ZOCALOS LOGIA]])</f>
        <v>0</v>
      </c>
      <c r="CE192" s="3">
        <f>+IF(AVANCE[[#This Row],[MOLDURAS]]=AQ$2,100%,AVANCE[[#This Row],[MOLDURAS]])</f>
        <v>0</v>
      </c>
      <c r="CF192" s="3">
        <f>+IF(AVANCE[[#This Row],[PILASTREO]]=AR$2,100%,AVANCE[[#This Row],[PILASTREO]])</f>
        <v>0</v>
      </c>
      <c r="CG192" s="3">
        <f>+IF(AVANCE[[#This Row],[CELOSIAS]]=AS$2,100%,AVANCE[[#This Row],[CELOSIAS]])</f>
        <v>0</v>
      </c>
      <c r="CH192" s="3">
        <f>+IF(AVANCE[[#This Row],[VENTANAS]]=AT$2,100%,AVANCE[[#This Row],[VENTANAS]])</f>
        <v>0</v>
      </c>
      <c r="CI192" s="3">
        <f>+IF(AVANCE[[#This Row],[PUERTAS ACCESO - LOGIA - BANO]]=AU$2,100%,AVANCE[[#This Row],[PUERTAS ACCESO - LOGIA - BANO]])</f>
        <v>0</v>
      </c>
      <c r="CJ192" s="3">
        <f>+IF(AVANCE[[#This Row],[CERRADURAS]]=AV$2,100%,AVANCE[[#This Row],[CERRADURAS]])</f>
        <v>0</v>
      </c>
      <c r="CK192" s="3">
        <f>+IF(AVANCE[[#This Row],[REVESTIMIENTO INTERIOR ZONA SECA]]=AW$2,100%,AVANCE[[#This Row],[REVESTIMIENTO INTERIOR ZONA SECA]])</f>
        <v>0</v>
      </c>
      <c r="CL192" s="3">
        <f>+IF(AVANCE[[#This Row],[REVESTIMIENTO INTERIOR ZONAS HUMEDAS]]=AX$2,100%,AVANCE[[#This Row],[REVESTIMIENTO INTERIOR ZONAS HUMEDAS]])</f>
        <v>0</v>
      </c>
      <c r="CM192" s="3">
        <f>+IF(AVANCE[[#This Row],[MEMBRANA CIELO]]=AY$2,100%,AVANCE[[#This Row],[MEMBRANA CIELO]])</f>
        <v>0</v>
      </c>
      <c r="CN192" s="3">
        <f>+IF(AVANCE[[#This Row],[LIMPIEZA FINAL]]=AZ$2,100%,AVANCE[[#This Row],[LIMPIEZA FINAL]])</f>
        <v>0</v>
      </c>
      <c r="CO192" s="3">
        <f>+IF(AVANCE[[#This Row],[PUERTAS DORMITORIO]]=BA$2,100%,AVANCE[[#This Row],[PUERTAS DORMITORIO]])</f>
        <v>0</v>
      </c>
      <c r="CP192" s="3">
        <f>+IF(AVANCE[[#This Row],[REVESTIMIENTO INTERIOR BANO]]=BB$2,100%,AVANCE[[#This Row],[REVESTIMIENTO INTERIOR BANO]])</f>
        <v>0</v>
      </c>
      <c r="CQ192" s="3">
        <f>+IF(AVANCE[[#This Row],[MUEBLE LAVAPLATOS]]=BC$2,100%,AVANCE[[#This Row],[MUEBLE LAVAPLATOS]])</f>
        <v>0</v>
      </c>
      <c r="CR192" s="3">
        <f>+IF(AVANCE[[#This Row],[IMPERMEABILIZACION BANO - COCINA LOGIA]]=BD$2,100%,AVANCE[[#This Row],[IMPERMEABILIZACION BANO - COCINA LOGIA]])</f>
        <v>0</v>
      </c>
      <c r="CS192" s="40">
        <f ca="1">+IF(AVANCE[[#This Row],[ESTADO MODULO]]="PENDIENTE",(TODAY()-AVANCE[[#This Row],[FECHA TERMINO  PLANIFICADO]]),0)</f>
        <v>0</v>
      </c>
      <c r="CT192" s="41" t="str" cm="1">
        <f t="array" ref="CT192">_xlfn.TEXTJOIN(" | ",TRUE,IF(SUMPRODUCT((BG192:CR192&lt;1)*(PARTIDAS!$I$2:$AT$2="OBRA GRUESA"))&gt;0,"OBRA GRUESA: "&amp;_xlfn.TEXTJOIN(", ",TRUE,IF((BG192:CR192&lt;1)*(PARTIDAS!$I$2:$AT$2="OBRA GRUESA"),PARTIDAS!$I$1:$AT$1,"")),""),IF(SUMPRODUCT((BG192:CR192&lt;1)*(PARTIDAS!$I$2:$AT$2="SANITARIOS"))&gt;0,"SANITARIOS: "&amp;_xlfn.TEXTJOIN(", ",TRUE,IF((BG192:CR192&lt;1)*(PARTIDAS!$I$2:$AT$2="SANITARIOS"),PARTIDAS!$I$1:$AT$1,"")),""),IF(SUMPRODUCT((BG192:CR192&lt;1)*(PARTIDAS!$I$2:$AT$2="ELÉCTRICO"))&gt;0,"ELÉCTRICO: "&amp;_xlfn.TEXTJOIN(", ",TRUE,IF((BG192:CR192&lt;1)*(PARTIDAS!$I$2:$AT$2="ELÉCTRICO"),PARTIDAS!$I$1:$AT$1,"")),""),IF(SUMPRODUCT((BG192:CR192&lt;1)*(PARTIDAS!$I$2:$AT$2="TERMINACIONES"))&gt;0,"TERMINACIONES: "&amp;_xlfn.TEXTJOIN(", ",TRUE,IF((BG192:CR192&lt;1)*(PARTIDAS!$I$2:$AT$2="TERMINACIONES"),PARTIDAS!$I$1:$AT$1,"")),""))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2" s="43" t="str" cm="1">
        <f t="array" ref="CU192">_xlfn.TEXTJOIN(", ",TRUE,IF(SUMPRODUCT((BG192:CR192&lt;1)*(PARTIDAS!$I$2:$AT$2="OBRA GRUESA"))&gt;0,"OBRA GRUESA",""),IF(SUMPRODUCT((BG192:CR192&lt;1)*(PARTIDAS!$I$2:$AT$2="SANITARIOS"))&gt;0,"SANITARIOS",""),IF(SUMPRODUCT((BG192:CR192&lt;1)*(PARTIDAS!$I$2:$AT$2="ELÉCTRICO"))&gt;0,"ELÉCTRICO",""),IF(SUMPRODUCT((BG192:CR192&lt;1)*(PARTIDAS!$I$2:$AT$2="TERMINACIONES"))&gt;0,"TERMINACIONES",""))</f>
        <v>OBRA GRUESA, SANITARIOS, ELÉCTRICO, TERMINACIONES</v>
      </c>
      <c r="CV192" s="44" cm="1">
        <f t="array" ref="CV192">SUMPRODUCT(--(BG192:CR192&lt;1))</f>
        <v>38</v>
      </c>
    </row>
    <row r="193" spans="1:100" hidden="1" x14ac:dyDescent="0.25">
      <c r="A193" t="s">
        <v>223</v>
      </c>
      <c r="B193" t="s">
        <v>255</v>
      </c>
      <c r="C193">
        <v>2282600192</v>
      </c>
      <c r="D193" t="s">
        <v>58</v>
      </c>
      <c r="E193" s="2">
        <v>0</v>
      </c>
      <c r="F193" s="1">
        <v>46232</v>
      </c>
      <c r="G193" s="1"/>
      <c r="H193" s="1">
        <v>0</v>
      </c>
      <c r="I193" s="1">
        <v>46252</v>
      </c>
      <c r="J193">
        <v>46230</v>
      </c>
      <c r="K193" s="1"/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>
        <v>28.87</v>
      </c>
      <c r="BF193" s="3" t="str">
        <f>+IF(AVANCE[[#This Row],[% AVANCE]]=100%,"MODULO TERMINADO",IF(AVANCE[[#This Row],[FECHA INICIO REAL]]="","MODULO NO INICIADO","PENDIENTE"))</f>
        <v>MODULO NO INICIADO</v>
      </c>
      <c r="BG193" s="3">
        <f>+IF(AVANCE[[#This Row],[VENTANAS]]=8.10810810810811%,100%,AVANCE[[#This Row],[VENTANAS]])</f>
        <v>0</v>
      </c>
      <c r="BH193" s="3">
        <f>+IF(AVANCE[[#This Row],[PISO]]=N$2,100%,AVANCE[[#This Row],[PISO]])</f>
        <v>0</v>
      </c>
      <c r="BI193" s="3">
        <f>+IF(AVANCE[[#This Row],[TABIQUES]]=O$2,100%,AVANCE[[#This Row],[TABIQUES]])</f>
        <v>0</v>
      </c>
      <c r="BJ193" s="3">
        <f>+IF(AVANCE[[#This Row],[MUROS]]=P$2,100%,AVANCE[[#This Row],[MUROS]])</f>
        <v>0</v>
      </c>
      <c r="BK193" s="3">
        <f>+IF(AVANCE[[#This Row],[CIELO]]=Q$2,100%,AVANCE[[#This Row],[CIELO]])</f>
        <v>0</v>
      </c>
      <c r="BL193" s="3">
        <f>+IF(AVANCE[[#This Row],[BALCÓN]]=R$2,100%,AVANCE[[#This Row],[BALCÓN]])</f>
        <v>0</v>
      </c>
      <c r="BM193" s="3">
        <f>+IF(AVANCE[[#This Row],[RED ALCANTARILLADO]]=U$2,100%,AVANCE[[#This Row],[RED ALCANTARILLADO]])</f>
        <v>0</v>
      </c>
      <c r="BN193" s="3">
        <f>+IF(AVANCE[[#This Row],[RED DE AGUA]]=V$2,100%,AVANCE[[#This Row],[RED DE AGUA]])</f>
        <v>0</v>
      </c>
      <c r="BO193" s="3">
        <f>+IF(AVANCE[[#This Row],[VENTILACIONES]]=W$2,100%,AVANCE[[#This Row],[VENTILACIONES]])</f>
        <v>0</v>
      </c>
      <c r="BP193" s="3">
        <f>+IF(AVANCE[[#This Row],[TINA]]=X$2,100%,AVANCE[[#This Row],[TINA]])</f>
        <v>0</v>
      </c>
      <c r="BQ193" s="3">
        <f>+IF(AVANCE[[#This Row],[WC]]=Y$2,100%,AVANCE[[#This Row],[WC]])</f>
        <v>0</v>
      </c>
      <c r="BR193" s="3">
        <f>+IF(AVANCE[[#This Row],[LAVAMANOS / LAVAPLATOS / LAVADERO]]=Z$2,100%,AVANCE[[#This Row],[LAVAMANOS / LAVAPLATOS / LAVADERO]])</f>
        <v>0</v>
      </c>
      <c r="BS193" s="3">
        <f>+IF(AVANCE[[#This Row],[CANALIZACIÓN]]=AC$2,100%,AVANCE[[#This Row],[CANALIZACIÓN]])</f>
        <v>0</v>
      </c>
      <c r="BT193" s="3">
        <f>+IF(AVANCE[[#This Row],[CABLEADO]]=AD$2,100%,AVANCE[[#This Row],[CABLEADO]])</f>
        <v>0</v>
      </c>
      <c r="BU193" s="3">
        <f>+IF(AVANCE[[#This Row],[ARTEFACTOS]]=AE$2,100%,AVANCE[[#This Row],[ARTEFACTOS]])</f>
        <v>0</v>
      </c>
      <c r="BV193" s="3">
        <f>+IF(AVANCE[[#This Row],[TABLERO]]=AF$2,100%,AVANCE[[#This Row],[TABLERO]])</f>
        <v>0</v>
      </c>
      <c r="BW193" s="3">
        <f>+IF(AVANCE[[#This Row],[CAJA PAU]]=AG$2,100%,AVANCE[[#This Row],[CAJA PAU]])</f>
        <v>0</v>
      </c>
      <c r="BX193" s="3">
        <f>+IF(AVANCE[[#This Row],[INSTALACION VINILICO]]=AJ$2,100%,AVANCE[[#This Row],[INSTALACION VINILICO]])</f>
        <v>0</v>
      </c>
      <c r="BY193" s="3">
        <f>+IF(AVANCE[[#This Row],[OSB CUBIERTA]]=AK$2,100%,AVANCE[[#This Row],[OSB CUBIERTA]])</f>
        <v>0</v>
      </c>
      <c r="BZ193" s="3">
        <f>+IF(AVANCE[[#This Row],[BARANDA BALCON]]=AL$2,100%,AVANCE[[#This Row],[BARANDA BALCON]])</f>
        <v>0</v>
      </c>
      <c r="CA193" s="3">
        <f>+IF(AVANCE[[#This Row],[OSB EXTERIOR]]=AM$2,100%,AVANCE[[#This Row],[OSB EXTERIOR]])</f>
        <v>0</v>
      </c>
      <c r="CB193" s="3">
        <f>+IF(AVANCE[[#This Row],[SMART PANEL]]=AN$2,100%,AVANCE[[#This Row],[SMART PANEL]])</f>
        <v>0</v>
      </c>
      <c r="CC193" s="3">
        <f>+IF(AVANCE[[#This Row],[PINTURA EXTERIOR]]=AO$2,100%,AVANCE[[#This Row],[PINTURA EXTERIOR]])</f>
        <v>0</v>
      </c>
      <c r="CD193" s="3">
        <f>+IF(AVANCE[[#This Row],[ZOCALOS LOGIA]]=AP$2,100%,AVANCE[[#This Row],[ZOCALOS LOGIA]])</f>
        <v>0</v>
      </c>
      <c r="CE193" s="3">
        <f>+IF(AVANCE[[#This Row],[MOLDURAS]]=AQ$2,100%,AVANCE[[#This Row],[MOLDURAS]])</f>
        <v>0</v>
      </c>
      <c r="CF193" s="3">
        <f>+IF(AVANCE[[#This Row],[PILASTREO]]=AR$2,100%,AVANCE[[#This Row],[PILASTREO]])</f>
        <v>0</v>
      </c>
      <c r="CG193" s="3">
        <f>+IF(AVANCE[[#This Row],[CELOSIAS]]=AS$2,100%,AVANCE[[#This Row],[CELOSIAS]])</f>
        <v>0</v>
      </c>
      <c r="CH193" s="3">
        <f>+IF(AVANCE[[#This Row],[VENTANAS]]=AT$2,100%,AVANCE[[#This Row],[VENTANAS]])</f>
        <v>0</v>
      </c>
      <c r="CI193" s="3">
        <f>+IF(AVANCE[[#This Row],[PUERTAS ACCESO - LOGIA - BANO]]=AU$2,100%,AVANCE[[#This Row],[PUERTAS ACCESO - LOGIA - BANO]])</f>
        <v>0</v>
      </c>
      <c r="CJ193" s="3">
        <f>+IF(AVANCE[[#This Row],[CERRADURAS]]=AV$2,100%,AVANCE[[#This Row],[CERRADURAS]])</f>
        <v>0</v>
      </c>
      <c r="CK193" s="3">
        <f>+IF(AVANCE[[#This Row],[REVESTIMIENTO INTERIOR ZONA SECA]]=AW$2,100%,AVANCE[[#This Row],[REVESTIMIENTO INTERIOR ZONA SECA]])</f>
        <v>0</v>
      </c>
      <c r="CL193" s="3">
        <f>+IF(AVANCE[[#This Row],[REVESTIMIENTO INTERIOR ZONAS HUMEDAS]]=AX$2,100%,AVANCE[[#This Row],[REVESTIMIENTO INTERIOR ZONAS HUMEDAS]])</f>
        <v>0</v>
      </c>
      <c r="CM193" s="3">
        <f>+IF(AVANCE[[#This Row],[MEMBRANA CIELO]]=AY$2,100%,AVANCE[[#This Row],[MEMBRANA CIELO]])</f>
        <v>0</v>
      </c>
      <c r="CN193" s="3">
        <f>+IF(AVANCE[[#This Row],[LIMPIEZA FINAL]]=AZ$2,100%,AVANCE[[#This Row],[LIMPIEZA FINAL]])</f>
        <v>0</v>
      </c>
      <c r="CO193" s="3">
        <f>+IF(AVANCE[[#This Row],[PUERTAS DORMITORIO]]=BA$2,100%,AVANCE[[#This Row],[PUERTAS DORMITORIO]])</f>
        <v>0</v>
      </c>
      <c r="CP193" s="3">
        <f>+IF(AVANCE[[#This Row],[REVESTIMIENTO INTERIOR BANO]]=BB$2,100%,AVANCE[[#This Row],[REVESTIMIENTO INTERIOR BANO]])</f>
        <v>0</v>
      </c>
      <c r="CQ193" s="3">
        <f>+IF(AVANCE[[#This Row],[MUEBLE LAVAPLATOS]]=BC$2,100%,AVANCE[[#This Row],[MUEBLE LAVAPLATOS]])</f>
        <v>0</v>
      </c>
      <c r="CR193" s="3">
        <f>+IF(AVANCE[[#This Row],[IMPERMEABILIZACION BANO - COCINA LOGIA]]=BD$2,100%,AVANCE[[#This Row],[IMPERMEABILIZACION BANO - COCINA LOGIA]])</f>
        <v>0</v>
      </c>
      <c r="CS193" s="40">
        <f ca="1">+IF(AVANCE[[#This Row],[ESTADO MODULO]]="PENDIENTE",(TODAY()-AVANCE[[#This Row],[FECHA TERMINO  PLANIFICADO]]),0)</f>
        <v>0</v>
      </c>
      <c r="CT193" s="41" t="str" cm="1">
        <f t="array" ref="CT193">_xlfn.TEXTJOIN(" | ",TRUE,IF(SUMPRODUCT((BG193:CR193&lt;1)*(PARTIDAS!$I$2:$AT$2="OBRA GRUESA"))&gt;0,"OBRA GRUESA: "&amp;_xlfn.TEXTJOIN(", ",TRUE,IF((BG193:CR193&lt;1)*(PARTIDAS!$I$2:$AT$2="OBRA GRUESA"),PARTIDAS!$I$1:$AT$1,"")),""),IF(SUMPRODUCT((BG193:CR193&lt;1)*(PARTIDAS!$I$2:$AT$2="SANITARIOS"))&gt;0,"SANITARIOS: "&amp;_xlfn.TEXTJOIN(", ",TRUE,IF((BG193:CR193&lt;1)*(PARTIDAS!$I$2:$AT$2="SANITARIOS"),PARTIDAS!$I$1:$AT$1,"")),""),IF(SUMPRODUCT((BG193:CR193&lt;1)*(PARTIDAS!$I$2:$AT$2="ELÉCTRICO"))&gt;0,"ELÉCTRICO: "&amp;_xlfn.TEXTJOIN(", ",TRUE,IF((BG193:CR193&lt;1)*(PARTIDAS!$I$2:$AT$2="ELÉCTRICO"),PARTIDAS!$I$1:$AT$1,"")),""),IF(SUMPRODUCT((BG193:CR193&lt;1)*(PARTIDAS!$I$2:$AT$2="TERMINACIONES"))&gt;0,"TERMINACIONES: "&amp;_xlfn.TEXTJOIN(", ",TRUE,IF((BG193:CR193&lt;1)*(PARTIDAS!$I$2:$AT$2="TERMINACIONES"),PARTIDAS!$I$1:$AT$1,"")),""))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3" s="43" t="str" cm="1">
        <f t="array" ref="CU193">_xlfn.TEXTJOIN(", ",TRUE,IF(SUMPRODUCT((BG193:CR193&lt;1)*(PARTIDAS!$I$2:$AT$2="OBRA GRUESA"))&gt;0,"OBRA GRUESA",""),IF(SUMPRODUCT((BG193:CR193&lt;1)*(PARTIDAS!$I$2:$AT$2="SANITARIOS"))&gt;0,"SANITARIOS",""),IF(SUMPRODUCT((BG193:CR193&lt;1)*(PARTIDAS!$I$2:$AT$2="ELÉCTRICO"))&gt;0,"ELÉCTRICO",""),IF(SUMPRODUCT((BG193:CR193&lt;1)*(PARTIDAS!$I$2:$AT$2="TERMINACIONES"))&gt;0,"TERMINACIONES",""))</f>
        <v>OBRA GRUESA, SANITARIOS, ELÉCTRICO, TERMINACIONES</v>
      </c>
      <c r="CV193" s="44" cm="1">
        <f t="array" ref="CV193">SUMPRODUCT(--(BG193:CR193&lt;1))</f>
        <v>38</v>
      </c>
    </row>
    <row r="194" spans="1:100" hidden="1" x14ac:dyDescent="0.25">
      <c r="A194" t="s">
        <v>256</v>
      </c>
      <c r="B194" t="s">
        <v>257</v>
      </c>
      <c r="C194">
        <v>2282600193</v>
      </c>
      <c r="D194" t="s">
        <v>58</v>
      </c>
      <c r="E194" s="2">
        <v>0</v>
      </c>
      <c r="F194" s="1">
        <v>46232</v>
      </c>
      <c r="G194" s="1"/>
      <c r="H194" s="1">
        <v>0</v>
      </c>
      <c r="I194" s="1">
        <v>46252</v>
      </c>
      <c r="J194">
        <v>46230</v>
      </c>
      <c r="K194" s="1"/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>
        <v>28.87</v>
      </c>
      <c r="BF194" s="3" t="str">
        <f>+IF(AVANCE[[#This Row],[% AVANCE]]=100%,"MODULO TERMINADO",IF(AVANCE[[#This Row],[FECHA INICIO REAL]]="","MODULO NO INICIADO","PENDIENTE"))</f>
        <v>MODULO NO INICIADO</v>
      </c>
      <c r="BG194" s="3">
        <f>+IF(AVANCE[[#This Row],[VENTANAS]]=8.10810810810811%,100%,AVANCE[[#This Row],[VENTANAS]])</f>
        <v>0</v>
      </c>
      <c r="BH194" s="3">
        <f>+IF(AVANCE[[#This Row],[PISO]]=N$2,100%,AVANCE[[#This Row],[PISO]])</f>
        <v>0</v>
      </c>
      <c r="BI194" s="3">
        <f>+IF(AVANCE[[#This Row],[TABIQUES]]=O$2,100%,AVANCE[[#This Row],[TABIQUES]])</f>
        <v>0</v>
      </c>
      <c r="BJ194" s="3">
        <f>+IF(AVANCE[[#This Row],[MUROS]]=P$2,100%,AVANCE[[#This Row],[MUROS]])</f>
        <v>0</v>
      </c>
      <c r="BK194" s="3">
        <f>+IF(AVANCE[[#This Row],[CIELO]]=Q$2,100%,AVANCE[[#This Row],[CIELO]])</f>
        <v>0</v>
      </c>
      <c r="BL194" s="3">
        <f>+IF(AVANCE[[#This Row],[BALCÓN]]=R$2,100%,AVANCE[[#This Row],[BALCÓN]])</f>
        <v>0</v>
      </c>
      <c r="BM194" s="3">
        <f>+IF(AVANCE[[#This Row],[RED ALCANTARILLADO]]=U$2,100%,AVANCE[[#This Row],[RED ALCANTARILLADO]])</f>
        <v>0</v>
      </c>
      <c r="BN194" s="3">
        <f>+IF(AVANCE[[#This Row],[RED DE AGUA]]=V$2,100%,AVANCE[[#This Row],[RED DE AGUA]])</f>
        <v>0</v>
      </c>
      <c r="BO194" s="3">
        <f>+IF(AVANCE[[#This Row],[VENTILACIONES]]=W$2,100%,AVANCE[[#This Row],[VENTILACIONES]])</f>
        <v>0</v>
      </c>
      <c r="BP194" s="3">
        <f>+IF(AVANCE[[#This Row],[TINA]]=X$2,100%,AVANCE[[#This Row],[TINA]])</f>
        <v>0</v>
      </c>
      <c r="BQ194" s="3">
        <f>+IF(AVANCE[[#This Row],[WC]]=Y$2,100%,AVANCE[[#This Row],[WC]])</f>
        <v>0</v>
      </c>
      <c r="BR194" s="3">
        <f>+IF(AVANCE[[#This Row],[LAVAMANOS / LAVAPLATOS / LAVADERO]]=Z$2,100%,AVANCE[[#This Row],[LAVAMANOS / LAVAPLATOS / LAVADERO]])</f>
        <v>0</v>
      </c>
      <c r="BS194" s="3">
        <f>+IF(AVANCE[[#This Row],[CANALIZACIÓN]]=AC$2,100%,AVANCE[[#This Row],[CANALIZACIÓN]])</f>
        <v>0</v>
      </c>
      <c r="BT194" s="3">
        <f>+IF(AVANCE[[#This Row],[CABLEADO]]=AD$2,100%,AVANCE[[#This Row],[CABLEADO]])</f>
        <v>0</v>
      </c>
      <c r="BU194" s="3">
        <f>+IF(AVANCE[[#This Row],[ARTEFACTOS]]=AE$2,100%,AVANCE[[#This Row],[ARTEFACTOS]])</f>
        <v>0</v>
      </c>
      <c r="BV194" s="3">
        <f>+IF(AVANCE[[#This Row],[TABLERO]]=AF$2,100%,AVANCE[[#This Row],[TABLERO]])</f>
        <v>0</v>
      </c>
      <c r="BW194" s="3">
        <f>+IF(AVANCE[[#This Row],[CAJA PAU]]=AG$2,100%,AVANCE[[#This Row],[CAJA PAU]])</f>
        <v>0</v>
      </c>
      <c r="BX194" s="3">
        <f>+IF(AVANCE[[#This Row],[INSTALACION VINILICO]]=AJ$2,100%,AVANCE[[#This Row],[INSTALACION VINILICO]])</f>
        <v>0</v>
      </c>
      <c r="BY194" s="3">
        <f>+IF(AVANCE[[#This Row],[OSB CUBIERTA]]=AK$2,100%,AVANCE[[#This Row],[OSB CUBIERTA]])</f>
        <v>0</v>
      </c>
      <c r="BZ194" s="3">
        <f>+IF(AVANCE[[#This Row],[BARANDA BALCON]]=AL$2,100%,AVANCE[[#This Row],[BARANDA BALCON]])</f>
        <v>0</v>
      </c>
      <c r="CA194" s="3">
        <f>+IF(AVANCE[[#This Row],[OSB EXTERIOR]]=AM$2,100%,AVANCE[[#This Row],[OSB EXTERIOR]])</f>
        <v>0</v>
      </c>
      <c r="CB194" s="3">
        <f>+IF(AVANCE[[#This Row],[SMART PANEL]]=AN$2,100%,AVANCE[[#This Row],[SMART PANEL]])</f>
        <v>0</v>
      </c>
      <c r="CC194" s="3">
        <f>+IF(AVANCE[[#This Row],[PINTURA EXTERIOR]]=AO$2,100%,AVANCE[[#This Row],[PINTURA EXTERIOR]])</f>
        <v>0</v>
      </c>
      <c r="CD194" s="3">
        <f>+IF(AVANCE[[#This Row],[ZOCALOS LOGIA]]=AP$2,100%,AVANCE[[#This Row],[ZOCALOS LOGIA]])</f>
        <v>0</v>
      </c>
      <c r="CE194" s="3">
        <f>+IF(AVANCE[[#This Row],[MOLDURAS]]=AQ$2,100%,AVANCE[[#This Row],[MOLDURAS]])</f>
        <v>0</v>
      </c>
      <c r="CF194" s="3">
        <f>+IF(AVANCE[[#This Row],[PILASTREO]]=AR$2,100%,AVANCE[[#This Row],[PILASTREO]])</f>
        <v>0</v>
      </c>
      <c r="CG194" s="3">
        <f>+IF(AVANCE[[#This Row],[CELOSIAS]]=AS$2,100%,AVANCE[[#This Row],[CELOSIAS]])</f>
        <v>0</v>
      </c>
      <c r="CH194" s="3">
        <f>+IF(AVANCE[[#This Row],[VENTANAS]]=AT$2,100%,AVANCE[[#This Row],[VENTANAS]])</f>
        <v>0</v>
      </c>
      <c r="CI194" s="3">
        <f>+IF(AVANCE[[#This Row],[PUERTAS ACCESO - LOGIA - BANO]]=AU$2,100%,AVANCE[[#This Row],[PUERTAS ACCESO - LOGIA - BANO]])</f>
        <v>0</v>
      </c>
      <c r="CJ194" s="3">
        <f>+IF(AVANCE[[#This Row],[CERRADURAS]]=AV$2,100%,AVANCE[[#This Row],[CERRADURAS]])</f>
        <v>0</v>
      </c>
      <c r="CK194" s="3">
        <f>+IF(AVANCE[[#This Row],[REVESTIMIENTO INTERIOR ZONA SECA]]=AW$2,100%,AVANCE[[#This Row],[REVESTIMIENTO INTERIOR ZONA SECA]])</f>
        <v>0</v>
      </c>
      <c r="CL194" s="3">
        <f>+IF(AVANCE[[#This Row],[REVESTIMIENTO INTERIOR ZONAS HUMEDAS]]=AX$2,100%,AVANCE[[#This Row],[REVESTIMIENTO INTERIOR ZONAS HUMEDAS]])</f>
        <v>0</v>
      </c>
      <c r="CM194" s="3">
        <f>+IF(AVANCE[[#This Row],[MEMBRANA CIELO]]=AY$2,100%,AVANCE[[#This Row],[MEMBRANA CIELO]])</f>
        <v>0</v>
      </c>
      <c r="CN194" s="3">
        <f>+IF(AVANCE[[#This Row],[LIMPIEZA FINAL]]=AZ$2,100%,AVANCE[[#This Row],[LIMPIEZA FINAL]])</f>
        <v>0</v>
      </c>
      <c r="CO194" s="3">
        <f>+IF(AVANCE[[#This Row],[PUERTAS DORMITORIO]]=BA$2,100%,AVANCE[[#This Row],[PUERTAS DORMITORIO]])</f>
        <v>0</v>
      </c>
      <c r="CP194" s="3">
        <f>+IF(AVANCE[[#This Row],[REVESTIMIENTO INTERIOR BANO]]=BB$2,100%,AVANCE[[#This Row],[REVESTIMIENTO INTERIOR BANO]])</f>
        <v>0</v>
      </c>
      <c r="CQ194" s="3">
        <f>+IF(AVANCE[[#This Row],[MUEBLE LAVAPLATOS]]=BC$2,100%,AVANCE[[#This Row],[MUEBLE LAVAPLATOS]])</f>
        <v>0</v>
      </c>
      <c r="CR194" s="3">
        <f>+IF(AVANCE[[#This Row],[IMPERMEABILIZACION BANO - COCINA LOGIA]]=BD$2,100%,AVANCE[[#This Row],[IMPERMEABILIZACION BANO - COCINA LOGIA]])</f>
        <v>0</v>
      </c>
      <c r="CS194" s="40">
        <f ca="1">+IF(AVANCE[[#This Row],[ESTADO MODULO]]="PENDIENTE",(TODAY()-AVANCE[[#This Row],[FECHA TERMINO  PLANIFICADO]]),0)</f>
        <v>0</v>
      </c>
      <c r="CT194" s="41" t="str" cm="1">
        <f t="array" ref="CT194">_xlfn.TEXTJOIN(" | ",TRUE,IF(SUMPRODUCT((BG194:CR194&lt;1)*(PARTIDAS!$I$2:$AT$2="OBRA GRUESA"))&gt;0,"OBRA GRUESA: "&amp;_xlfn.TEXTJOIN(", ",TRUE,IF((BG194:CR194&lt;1)*(PARTIDAS!$I$2:$AT$2="OBRA GRUESA"),PARTIDAS!$I$1:$AT$1,"")),""),IF(SUMPRODUCT((BG194:CR194&lt;1)*(PARTIDAS!$I$2:$AT$2="SANITARIOS"))&gt;0,"SANITARIOS: "&amp;_xlfn.TEXTJOIN(", ",TRUE,IF((BG194:CR194&lt;1)*(PARTIDAS!$I$2:$AT$2="SANITARIOS"),PARTIDAS!$I$1:$AT$1,"")),""),IF(SUMPRODUCT((BG194:CR194&lt;1)*(PARTIDAS!$I$2:$AT$2="ELÉCTRICO"))&gt;0,"ELÉCTRICO: "&amp;_xlfn.TEXTJOIN(", ",TRUE,IF((BG194:CR194&lt;1)*(PARTIDAS!$I$2:$AT$2="ELÉCTRICO"),PARTIDAS!$I$1:$AT$1,"")),""),IF(SUMPRODUCT((BG194:CR194&lt;1)*(PARTIDAS!$I$2:$AT$2="TERMINACIONES"))&gt;0,"TERMINACIONES: "&amp;_xlfn.TEXTJOIN(", ",TRUE,IF((BG194:CR194&lt;1)*(PARTIDAS!$I$2:$AT$2="TERMINACIONES"),PARTIDAS!$I$1:$AT$1,"")),""))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4" s="43" t="str" cm="1">
        <f t="array" ref="CU194">_xlfn.TEXTJOIN(", ",TRUE,IF(SUMPRODUCT((BG194:CR194&lt;1)*(PARTIDAS!$I$2:$AT$2="OBRA GRUESA"))&gt;0,"OBRA GRUESA",""),IF(SUMPRODUCT((BG194:CR194&lt;1)*(PARTIDAS!$I$2:$AT$2="SANITARIOS"))&gt;0,"SANITARIOS",""),IF(SUMPRODUCT((BG194:CR194&lt;1)*(PARTIDAS!$I$2:$AT$2="ELÉCTRICO"))&gt;0,"ELÉCTRICO",""),IF(SUMPRODUCT((BG194:CR194&lt;1)*(PARTIDAS!$I$2:$AT$2="TERMINACIONES"))&gt;0,"TERMINACIONES",""))</f>
        <v>OBRA GRUESA, SANITARIOS, ELÉCTRICO, TERMINACIONES</v>
      </c>
      <c r="CV194" s="44" cm="1">
        <f t="array" ref="CV194">SUMPRODUCT(--(BG194:CR194&lt;1))</f>
        <v>38</v>
      </c>
    </row>
    <row r="195" spans="1:100" hidden="1" x14ac:dyDescent="0.25">
      <c r="A195" t="s">
        <v>256</v>
      </c>
      <c r="B195" t="s">
        <v>258</v>
      </c>
      <c r="C195">
        <v>2302600194</v>
      </c>
      <c r="D195" t="s">
        <v>60</v>
      </c>
      <c r="E195" s="2">
        <v>0</v>
      </c>
      <c r="F195" s="1">
        <v>46233</v>
      </c>
      <c r="G195" s="1"/>
      <c r="H195" s="1">
        <v>0</v>
      </c>
      <c r="I195" s="1">
        <v>46263</v>
      </c>
      <c r="J195">
        <v>46230</v>
      </c>
      <c r="K195" s="1"/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>
        <v>31.32</v>
      </c>
      <c r="BF195" s="3" t="str">
        <f>+IF(AVANCE[[#This Row],[% AVANCE]]=100%,"MODULO TERMINADO",IF(AVANCE[[#This Row],[FECHA INICIO REAL]]="","MODULO NO INICIADO","PENDIENTE"))</f>
        <v>MODULO NO INICIADO</v>
      </c>
      <c r="BG195" s="3">
        <f>+IF(AVANCE[[#This Row],[VENTANAS]]=8.10810810810811%,100%,AVANCE[[#This Row],[VENTANAS]])</f>
        <v>0</v>
      </c>
      <c r="BH195" s="3">
        <f>+IF(AVANCE[[#This Row],[PISO]]=N$2,100%,AVANCE[[#This Row],[PISO]])</f>
        <v>0</v>
      </c>
      <c r="BI195" s="3">
        <f>+IF(AVANCE[[#This Row],[TABIQUES]]=O$2,100%,AVANCE[[#This Row],[TABIQUES]])</f>
        <v>0</v>
      </c>
      <c r="BJ195" s="3">
        <f>+IF(AVANCE[[#This Row],[MUROS]]=P$2,100%,AVANCE[[#This Row],[MUROS]])</f>
        <v>0</v>
      </c>
      <c r="BK195" s="3">
        <f>+IF(AVANCE[[#This Row],[CIELO]]=Q$2,100%,AVANCE[[#This Row],[CIELO]])</f>
        <v>0</v>
      </c>
      <c r="BL195" s="3">
        <f>+IF(AVANCE[[#This Row],[BALCÓN]]=R$2,100%,AVANCE[[#This Row],[BALCÓN]])</f>
        <v>0</v>
      </c>
      <c r="BM195" s="3">
        <f>+IF(AVANCE[[#This Row],[RED ALCANTARILLADO]]=U$2,100%,AVANCE[[#This Row],[RED ALCANTARILLADO]])</f>
        <v>0</v>
      </c>
      <c r="BN195" s="3">
        <f>+IF(AVANCE[[#This Row],[RED DE AGUA]]=V$2,100%,AVANCE[[#This Row],[RED DE AGUA]])</f>
        <v>0</v>
      </c>
      <c r="BO195" s="3">
        <f>+IF(AVANCE[[#This Row],[VENTILACIONES]]=W$2,100%,AVANCE[[#This Row],[VENTILACIONES]])</f>
        <v>0</v>
      </c>
      <c r="BP195" s="3">
        <f>+IF(AVANCE[[#This Row],[TINA]]=X$2,100%,AVANCE[[#This Row],[TINA]])</f>
        <v>0</v>
      </c>
      <c r="BQ195" s="3">
        <f>+IF(AVANCE[[#This Row],[WC]]=Y$2,100%,AVANCE[[#This Row],[WC]])</f>
        <v>0</v>
      </c>
      <c r="BR195" s="3">
        <f>+IF(AVANCE[[#This Row],[LAVAMANOS / LAVAPLATOS / LAVADERO]]=Z$2,100%,AVANCE[[#This Row],[LAVAMANOS / LAVAPLATOS / LAVADERO]])</f>
        <v>0</v>
      </c>
      <c r="BS195" s="3">
        <f>+IF(AVANCE[[#This Row],[CANALIZACIÓN]]=AC$2,100%,AVANCE[[#This Row],[CANALIZACIÓN]])</f>
        <v>0</v>
      </c>
      <c r="BT195" s="3">
        <f>+IF(AVANCE[[#This Row],[CABLEADO]]=AD$2,100%,AVANCE[[#This Row],[CABLEADO]])</f>
        <v>0</v>
      </c>
      <c r="BU195" s="3">
        <f>+IF(AVANCE[[#This Row],[ARTEFACTOS]]=AE$2,100%,AVANCE[[#This Row],[ARTEFACTOS]])</f>
        <v>0</v>
      </c>
      <c r="BV195" s="3">
        <f>+IF(AVANCE[[#This Row],[TABLERO]]=AF$2,100%,AVANCE[[#This Row],[TABLERO]])</f>
        <v>0</v>
      </c>
      <c r="BW195" s="3">
        <f>+IF(AVANCE[[#This Row],[CAJA PAU]]=AG$2,100%,AVANCE[[#This Row],[CAJA PAU]])</f>
        <v>0</v>
      </c>
      <c r="BX195" s="3">
        <f>+IF(AVANCE[[#This Row],[INSTALACION VINILICO]]=AJ$2,100%,AVANCE[[#This Row],[INSTALACION VINILICO]])</f>
        <v>0</v>
      </c>
      <c r="BY195" s="3">
        <f>+IF(AVANCE[[#This Row],[OSB CUBIERTA]]=AK$2,100%,AVANCE[[#This Row],[OSB CUBIERTA]])</f>
        <v>0</v>
      </c>
      <c r="BZ195" s="3">
        <f>+IF(AVANCE[[#This Row],[BARANDA BALCON]]=AL$2,100%,AVANCE[[#This Row],[BARANDA BALCON]])</f>
        <v>0</v>
      </c>
      <c r="CA195" s="3">
        <f>+IF(AVANCE[[#This Row],[OSB EXTERIOR]]=AM$2,100%,AVANCE[[#This Row],[OSB EXTERIOR]])</f>
        <v>0</v>
      </c>
      <c r="CB195" s="3">
        <f>+IF(AVANCE[[#This Row],[SMART PANEL]]=AN$2,100%,AVANCE[[#This Row],[SMART PANEL]])</f>
        <v>0</v>
      </c>
      <c r="CC195" s="3">
        <f>+IF(AVANCE[[#This Row],[PINTURA EXTERIOR]]=AO$2,100%,AVANCE[[#This Row],[PINTURA EXTERIOR]])</f>
        <v>0</v>
      </c>
      <c r="CD195" s="3">
        <f>+IF(AVANCE[[#This Row],[ZOCALOS LOGIA]]=AP$2,100%,AVANCE[[#This Row],[ZOCALOS LOGIA]])</f>
        <v>0</v>
      </c>
      <c r="CE195" s="3">
        <f>+IF(AVANCE[[#This Row],[MOLDURAS]]=AQ$2,100%,AVANCE[[#This Row],[MOLDURAS]])</f>
        <v>0</v>
      </c>
      <c r="CF195" s="3">
        <f>+IF(AVANCE[[#This Row],[PILASTREO]]=AR$2,100%,AVANCE[[#This Row],[PILASTREO]])</f>
        <v>0</v>
      </c>
      <c r="CG195" s="3">
        <f>+IF(AVANCE[[#This Row],[CELOSIAS]]=AS$2,100%,AVANCE[[#This Row],[CELOSIAS]])</f>
        <v>0</v>
      </c>
      <c r="CH195" s="3">
        <f>+IF(AVANCE[[#This Row],[VENTANAS]]=AT$2,100%,AVANCE[[#This Row],[VENTANAS]])</f>
        <v>0</v>
      </c>
      <c r="CI195" s="3">
        <f>+IF(AVANCE[[#This Row],[PUERTAS ACCESO - LOGIA - BANO]]=AU$2,100%,AVANCE[[#This Row],[PUERTAS ACCESO - LOGIA - BANO]])</f>
        <v>0</v>
      </c>
      <c r="CJ195" s="3">
        <f>+IF(AVANCE[[#This Row],[CERRADURAS]]=AV$2,100%,AVANCE[[#This Row],[CERRADURAS]])</f>
        <v>0</v>
      </c>
      <c r="CK195" s="3">
        <f>+IF(AVANCE[[#This Row],[REVESTIMIENTO INTERIOR ZONA SECA]]=AW$2,100%,AVANCE[[#This Row],[REVESTIMIENTO INTERIOR ZONA SECA]])</f>
        <v>0</v>
      </c>
      <c r="CL195" s="3">
        <f>+IF(AVANCE[[#This Row],[REVESTIMIENTO INTERIOR ZONAS HUMEDAS]]=AX$2,100%,AVANCE[[#This Row],[REVESTIMIENTO INTERIOR ZONAS HUMEDAS]])</f>
        <v>0</v>
      </c>
      <c r="CM195" s="3">
        <f>+IF(AVANCE[[#This Row],[MEMBRANA CIELO]]=AY$2,100%,AVANCE[[#This Row],[MEMBRANA CIELO]])</f>
        <v>0</v>
      </c>
      <c r="CN195" s="3">
        <f>+IF(AVANCE[[#This Row],[LIMPIEZA FINAL]]=AZ$2,100%,AVANCE[[#This Row],[LIMPIEZA FINAL]])</f>
        <v>0</v>
      </c>
      <c r="CO195" s="3">
        <f>+IF(AVANCE[[#This Row],[PUERTAS DORMITORIO]]=BA$2,100%,AVANCE[[#This Row],[PUERTAS DORMITORIO]])</f>
        <v>0</v>
      </c>
      <c r="CP195" s="3">
        <f>+IF(AVANCE[[#This Row],[REVESTIMIENTO INTERIOR BANO]]=BB$2,100%,AVANCE[[#This Row],[REVESTIMIENTO INTERIOR BANO]])</f>
        <v>0</v>
      </c>
      <c r="CQ195" s="3">
        <f>+IF(AVANCE[[#This Row],[MUEBLE LAVAPLATOS]]=BC$2,100%,AVANCE[[#This Row],[MUEBLE LAVAPLATOS]])</f>
        <v>0</v>
      </c>
      <c r="CR195" s="3">
        <f>+IF(AVANCE[[#This Row],[IMPERMEABILIZACION BANO - COCINA LOGIA]]=BD$2,100%,AVANCE[[#This Row],[IMPERMEABILIZACION BANO - COCINA LOGIA]])</f>
        <v>0</v>
      </c>
      <c r="CS195" s="40">
        <f ca="1">+IF(AVANCE[[#This Row],[ESTADO MODULO]]="PENDIENTE",(TODAY()-AVANCE[[#This Row],[FECHA TERMINO  PLANIFICADO]]),0)</f>
        <v>0</v>
      </c>
      <c r="CT195" s="41" t="str" cm="1">
        <f t="array" ref="CT195">_xlfn.TEXTJOIN(" | ",TRUE,IF(SUMPRODUCT((BG195:CR195&lt;1)*(PARTIDAS!$I$2:$AT$2="OBRA GRUESA"))&gt;0,"OBRA GRUESA: "&amp;_xlfn.TEXTJOIN(", ",TRUE,IF((BG195:CR195&lt;1)*(PARTIDAS!$I$2:$AT$2="OBRA GRUESA"),PARTIDAS!$I$1:$AT$1,"")),""),IF(SUMPRODUCT((BG195:CR195&lt;1)*(PARTIDAS!$I$2:$AT$2="SANITARIOS"))&gt;0,"SANITARIOS: "&amp;_xlfn.TEXTJOIN(", ",TRUE,IF((BG195:CR195&lt;1)*(PARTIDAS!$I$2:$AT$2="SANITARIOS"),PARTIDAS!$I$1:$AT$1,"")),""),IF(SUMPRODUCT((BG195:CR195&lt;1)*(PARTIDAS!$I$2:$AT$2="ELÉCTRICO"))&gt;0,"ELÉCTRICO: "&amp;_xlfn.TEXTJOIN(", ",TRUE,IF((BG195:CR195&lt;1)*(PARTIDAS!$I$2:$AT$2="ELÉCTRICO"),PARTIDAS!$I$1:$AT$1,"")),""),IF(SUMPRODUCT((BG195:CR195&lt;1)*(PARTIDAS!$I$2:$AT$2="TERMINACIONES"))&gt;0,"TERMINACIONES: "&amp;_xlfn.TEXTJOIN(", ",TRUE,IF((BG195:CR195&lt;1)*(PARTIDAS!$I$2:$AT$2="TERMINACIONES"),PARTIDAS!$I$1:$AT$1,"")),""))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5" s="43" t="str" cm="1">
        <f t="array" ref="CU195">_xlfn.TEXTJOIN(", ",TRUE,IF(SUMPRODUCT((BG195:CR195&lt;1)*(PARTIDAS!$I$2:$AT$2="OBRA GRUESA"))&gt;0,"OBRA GRUESA",""),IF(SUMPRODUCT((BG195:CR195&lt;1)*(PARTIDAS!$I$2:$AT$2="SANITARIOS"))&gt;0,"SANITARIOS",""),IF(SUMPRODUCT((BG195:CR195&lt;1)*(PARTIDAS!$I$2:$AT$2="ELÉCTRICO"))&gt;0,"ELÉCTRICO",""),IF(SUMPRODUCT((BG195:CR195&lt;1)*(PARTIDAS!$I$2:$AT$2="TERMINACIONES"))&gt;0,"TERMINACIONES",""))</f>
        <v>OBRA GRUESA, SANITARIOS, ELÉCTRICO, TERMINACIONES</v>
      </c>
      <c r="CV195" s="44" cm="1">
        <f t="array" ref="CV195">SUMPRODUCT(--(BG195:CR195&lt;1))</f>
        <v>38</v>
      </c>
    </row>
    <row r="196" spans="1:100" hidden="1" x14ac:dyDescent="0.25">
      <c r="A196" t="s">
        <v>256</v>
      </c>
      <c r="B196" t="s">
        <v>259</v>
      </c>
      <c r="C196">
        <v>2302600195</v>
      </c>
      <c r="D196" t="s">
        <v>60</v>
      </c>
      <c r="E196" s="2">
        <v>0</v>
      </c>
      <c r="F196" s="1">
        <v>46233</v>
      </c>
      <c r="G196" s="1"/>
      <c r="H196" s="1">
        <v>0</v>
      </c>
      <c r="I196" s="1">
        <v>46263</v>
      </c>
      <c r="J196">
        <v>46230</v>
      </c>
      <c r="K196" s="1"/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>
        <v>31.32</v>
      </c>
      <c r="BF196" s="3" t="str">
        <f>+IF(AVANCE[[#This Row],[% AVANCE]]=100%,"MODULO TERMINADO",IF(AVANCE[[#This Row],[FECHA INICIO REAL]]="","MODULO NO INICIADO","PENDIENTE"))</f>
        <v>MODULO NO INICIADO</v>
      </c>
      <c r="BG196" s="3">
        <f>+IF(AVANCE[[#This Row],[VENTANAS]]=8.10810810810811%,100%,AVANCE[[#This Row],[VENTANAS]])</f>
        <v>0</v>
      </c>
      <c r="BH196" s="3">
        <f>+IF(AVANCE[[#This Row],[PISO]]=N$2,100%,AVANCE[[#This Row],[PISO]])</f>
        <v>0</v>
      </c>
      <c r="BI196" s="3">
        <f>+IF(AVANCE[[#This Row],[TABIQUES]]=O$2,100%,AVANCE[[#This Row],[TABIQUES]])</f>
        <v>0</v>
      </c>
      <c r="BJ196" s="3">
        <f>+IF(AVANCE[[#This Row],[MUROS]]=P$2,100%,AVANCE[[#This Row],[MUROS]])</f>
        <v>0</v>
      </c>
      <c r="BK196" s="3">
        <f>+IF(AVANCE[[#This Row],[CIELO]]=Q$2,100%,AVANCE[[#This Row],[CIELO]])</f>
        <v>0</v>
      </c>
      <c r="BL196" s="3">
        <f>+IF(AVANCE[[#This Row],[BALCÓN]]=R$2,100%,AVANCE[[#This Row],[BALCÓN]])</f>
        <v>0</v>
      </c>
      <c r="BM196" s="3">
        <f>+IF(AVANCE[[#This Row],[RED ALCANTARILLADO]]=U$2,100%,AVANCE[[#This Row],[RED ALCANTARILLADO]])</f>
        <v>0</v>
      </c>
      <c r="BN196" s="3">
        <f>+IF(AVANCE[[#This Row],[RED DE AGUA]]=V$2,100%,AVANCE[[#This Row],[RED DE AGUA]])</f>
        <v>0</v>
      </c>
      <c r="BO196" s="3">
        <f>+IF(AVANCE[[#This Row],[VENTILACIONES]]=W$2,100%,AVANCE[[#This Row],[VENTILACIONES]])</f>
        <v>0</v>
      </c>
      <c r="BP196" s="3">
        <f>+IF(AVANCE[[#This Row],[TINA]]=X$2,100%,AVANCE[[#This Row],[TINA]])</f>
        <v>0</v>
      </c>
      <c r="BQ196" s="3">
        <f>+IF(AVANCE[[#This Row],[WC]]=Y$2,100%,AVANCE[[#This Row],[WC]])</f>
        <v>0</v>
      </c>
      <c r="BR196" s="3">
        <f>+IF(AVANCE[[#This Row],[LAVAMANOS / LAVAPLATOS / LAVADERO]]=Z$2,100%,AVANCE[[#This Row],[LAVAMANOS / LAVAPLATOS / LAVADERO]])</f>
        <v>0</v>
      </c>
      <c r="BS196" s="3">
        <f>+IF(AVANCE[[#This Row],[CANALIZACIÓN]]=AC$2,100%,AVANCE[[#This Row],[CANALIZACIÓN]])</f>
        <v>0</v>
      </c>
      <c r="BT196" s="3">
        <f>+IF(AVANCE[[#This Row],[CABLEADO]]=AD$2,100%,AVANCE[[#This Row],[CABLEADO]])</f>
        <v>0</v>
      </c>
      <c r="BU196" s="3">
        <f>+IF(AVANCE[[#This Row],[ARTEFACTOS]]=AE$2,100%,AVANCE[[#This Row],[ARTEFACTOS]])</f>
        <v>0</v>
      </c>
      <c r="BV196" s="3">
        <f>+IF(AVANCE[[#This Row],[TABLERO]]=AF$2,100%,AVANCE[[#This Row],[TABLERO]])</f>
        <v>0</v>
      </c>
      <c r="BW196" s="3">
        <f>+IF(AVANCE[[#This Row],[CAJA PAU]]=AG$2,100%,AVANCE[[#This Row],[CAJA PAU]])</f>
        <v>0</v>
      </c>
      <c r="BX196" s="3">
        <f>+IF(AVANCE[[#This Row],[INSTALACION VINILICO]]=AJ$2,100%,AVANCE[[#This Row],[INSTALACION VINILICO]])</f>
        <v>0</v>
      </c>
      <c r="BY196" s="3">
        <f>+IF(AVANCE[[#This Row],[OSB CUBIERTA]]=AK$2,100%,AVANCE[[#This Row],[OSB CUBIERTA]])</f>
        <v>0</v>
      </c>
      <c r="BZ196" s="3">
        <f>+IF(AVANCE[[#This Row],[BARANDA BALCON]]=AL$2,100%,AVANCE[[#This Row],[BARANDA BALCON]])</f>
        <v>0</v>
      </c>
      <c r="CA196" s="3">
        <f>+IF(AVANCE[[#This Row],[OSB EXTERIOR]]=AM$2,100%,AVANCE[[#This Row],[OSB EXTERIOR]])</f>
        <v>0</v>
      </c>
      <c r="CB196" s="3">
        <f>+IF(AVANCE[[#This Row],[SMART PANEL]]=AN$2,100%,AVANCE[[#This Row],[SMART PANEL]])</f>
        <v>0</v>
      </c>
      <c r="CC196" s="3">
        <f>+IF(AVANCE[[#This Row],[PINTURA EXTERIOR]]=AO$2,100%,AVANCE[[#This Row],[PINTURA EXTERIOR]])</f>
        <v>0</v>
      </c>
      <c r="CD196" s="3">
        <f>+IF(AVANCE[[#This Row],[ZOCALOS LOGIA]]=AP$2,100%,AVANCE[[#This Row],[ZOCALOS LOGIA]])</f>
        <v>0</v>
      </c>
      <c r="CE196" s="3">
        <f>+IF(AVANCE[[#This Row],[MOLDURAS]]=AQ$2,100%,AVANCE[[#This Row],[MOLDURAS]])</f>
        <v>0</v>
      </c>
      <c r="CF196" s="3">
        <f>+IF(AVANCE[[#This Row],[PILASTREO]]=AR$2,100%,AVANCE[[#This Row],[PILASTREO]])</f>
        <v>0</v>
      </c>
      <c r="CG196" s="3">
        <f>+IF(AVANCE[[#This Row],[CELOSIAS]]=AS$2,100%,AVANCE[[#This Row],[CELOSIAS]])</f>
        <v>0</v>
      </c>
      <c r="CH196" s="3">
        <f>+IF(AVANCE[[#This Row],[VENTANAS]]=AT$2,100%,AVANCE[[#This Row],[VENTANAS]])</f>
        <v>0</v>
      </c>
      <c r="CI196" s="3">
        <f>+IF(AVANCE[[#This Row],[PUERTAS ACCESO - LOGIA - BANO]]=AU$2,100%,AVANCE[[#This Row],[PUERTAS ACCESO - LOGIA - BANO]])</f>
        <v>0</v>
      </c>
      <c r="CJ196" s="3">
        <f>+IF(AVANCE[[#This Row],[CERRADURAS]]=AV$2,100%,AVANCE[[#This Row],[CERRADURAS]])</f>
        <v>0</v>
      </c>
      <c r="CK196" s="3">
        <f>+IF(AVANCE[[#This Row],[REVESTIMIENTO INTERIOR ZONA SECA]]=AW$2,100%,AVANCE[[#This Row],[REVESTIMIENTO INTERIOR ZONA SECA]])</f>
        <v>0</v>
      </c>
      <c r="CL196" s="3">
        <f>+IF(AVANCE[[#This Row],[REVESTIMIENTO INTERIOR ZONAS HUMEDAS]]=AX$2,100%,AVANCE[[#This Row],[REVESTIMIENTO INTERIOR ZONAS HUMEDAS]])</f>
        <v>0</v>
      </c>
      <c r="CM196" s="3">
        <f>+IF(AVANCE[[#This Row],[MEMBRANA CIELO]]=AY$2,100%,AVANCE[[#This Row],[MEMBRANA CIELO]])</f>
        <v>0</v>
      </c>
      <c r="CN196" s="3">
        <f>+IF(AVANCE[[#This Row],[LIMPIEZA FINAL]]=AZ$2,100%,AVANCE[[#This Row],[LIMPIEZA FINAL]])</f>
        <v>0</v>
      </c>
      <c r="CO196" s="3">
        <f>+IF(AVANCE[[#This Row],[PUERTAS DORMITORIO]]=BA$2,100%,AVANCE[[#This Row],[PUERTAS DORMITORIO]])</f>
        <v>0</v>
      </c>
      <c r="CP196" s="3">
        <f>+IF(AVANCE[[#This Row],[REVESTIMIENTO INTERIOR BANO]]=BB$2,100%,AVANCE[[#This Row],[REVESTIMIENTO INTERIOR BANO]])</f>
        <v>0</v>
      </c>
      <c r="CQ196" s="3">
        <f>+IF(AVANCE[[#This Row],[MUEBLE LAVAPLATOS]]=BC$2,100%,AVANCE[[#This Row],[MUEBLE LAVAPLATOS]])</f>
        <v>0</v>
      </c>
      <c r="CR196" s="3">
        <f>+IF(AVANCE[[#This Row],[IMPERMEABILIZACION BANO - COCINA LOGIA]]=BD$2,100%,AVANCE[[#This Row],[IMPERMEABILIZACION BANO - COCINA LOGIA]])</f>
        <v>0</v>
      </c>
      <c r="CS196" s="40">
        <f ca="1">+IF(AVANCE[[#This Row],[ESTADO MODULO]]="PENDIENTE",(TODAY()-AVANCE[[#This Row],[FECHA TERMINO  PLANIFICADO]]),0)</f>
        <v>0</v>
      </c>
      <c r="CT196" s="41" t="str" cm="1">
        <f t="array" ref="CT196">_xlfn.TEXTJOIN(" | ",TRUE,IF(SUMPRODUCT((BG196:CR196&lt;1)*(PARTIDAS!$I$2:$AT$2="OBRA GRUESA"))&gt;0,"OBRA GRUESA: "&amp;_xlfn.TEXTJOIN(", ",TRUE,IF((BG196:CR196&lt;1)*(PARTIDAS!$I$2:$AT$2="OBRA GRUESA"),PARTIDAS!$I$1:$AT$1,"")),""),IF(SUMPRODUCT((BG196:CR196&lt;1)*(PARTIDAS!$I$2:$AT$2="SANITARIOS"))&gt;0,"SANITARIOS: "&amp;_xlfn.TEXTJOIN(", ",TRUE,IF((BG196:CR196&lt;1)*(PARTIDAS!$I$2:$AT$2="SANITARIOS"),PARTIDAS!$I$1:$AT$1,"")),""),IF(SUMPRODUCT((BG196:CR196&lt;1)*(PARTIDAS!$I$2:$AT$2="ELÉCTRICO"))&gt;0,"ELÉCTRICO: "&amp;_xlfn.TEXTJOIN(", ",TRUE,IF((BG196:CR196&lt;1)*(PARTIDAS!$I$2:$AT$2="ELÉCTRICO"),PARTIDAS!$I$1:$AT$1,"")),""),IF(SUMPRODUCT((BG196:CR196&lt;1)*(PARTIDAS!$I$2:$AT$2="TERMINACIONES"))&gt;0,"TERMINACIONES: "&amp;_xlfn.TEXTJOIN(", ",TRUE,IF((BG196:CR196&lt;1)*(PARTIDAS!$I$2:$AT$2="TERMINACIONES"),PARTIDAS!$I$1:$AT$1,"")),""))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6" s="43" t="str" cm="1">
        <f t="array" ref="CU196">_xlfn.TEXTJOIN(", ",TRUE,IF(SUMPRODUCT((BG196:CR196&lt;1)*(PARTIDAS!$I$2:$AT$2="OBRA GRUESA"))&gt;0,"OBRA GRUESA",""),IF(SUMPRODUCT((BG196:CR196&lt;1)*(PARTIDAS!$I$2:$AT$2="SANITARIOS"))&gt;0,"SANITARIOS",""),IF(SUMPRODUCT((BG196:CR196&lt;1)*(PARTIDAS!$I$2:$AT$2="ELÉCTRICO"))&gt;0,"ELÉCTRICO",""),IF(SUMPRODUCT((BG196:CR196&lt;1)*(PARTIDAS!$I$2:$AT$2="TERMINACIONES"))&gt;0,"TERMINACIONES",""))</f>
        <v>OBRA GRUESA, SANITARIOS, ELÉCTRICO, TERMINACIONES</v>
      </c>
      <c r="CV196" s="44" cm="1">
        <f t="array" ref="CV196">SUMPRODUCT(--(BG196:CR196&lt;1))</f>
        <v>38</v>
      </c>
    </row>
    <row r="197" spans="1:100" hidden="1" x14ac:dyDescent="0.25">
      <c r="A197" t="s">
        <v>256</v>
      </c>
      <c r="B197" t="s">
        <v>260</v>
      </c>
      <c r="C197">
        <v>2282600196</v>
      </c>
      <c r="D197" t="s">
        <v>58</v>
      </c>
      <c r="E197" s="2">
        <v>0</v>
      </c>
      <c r="F197" s="1">
        <v>46234</v>
      </c>
      <c r="G197" s="1"/>
      <c r="H197" s="1">
        <v>0</v>
      </c>
      <c r="I197" s="1">
        <v>46254</v>
      </c>
      <c r="J197">
        <v>46230</v>
      </c>
      <c r="K197" s="1"/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>
        <v>28.87</v>
      </c>
      <c r="BF197" s="3" t="str">
        <f>+IF(AVANCE[[#This Row],[% AVANCE]]=100%,"MODULO TERMINADO",IF(AVANCE[[#This Row],[FECHA INICIO REAL]]="","MODULO NO INICIADO","PENDIENTE"))</f>
        <v>MODULO NO INICIADO</v>
      </c>
      <c r="BG197" s="3">
        <f>+IF(AVANCE[[#This Row],[VENTANAS]]=8.10810810810811%,100%,AVANCE[[#This Row],[VENTANAS]])</f>
        <v>0</v>
      </c>
      <c r="BH197" s="3">
        <f>+IF(AVANCE[[#This Row],[PISO]]=N$2,100%,AVANCE[[#This Row],[PISO]])</f>
        <v>0</v>
      </c>
      <c r="BI197" s="3">
        <f>+IF(AVANCE[[#This Row],[TABIQUES]]=O$2,100%,AVANCE[[#This Row],[TABIQUES]])</f>
        <v>0</v>
      </c>
      <c r="BJ197" s="3">
        <f>+IF(AVANCE[[#This Row],[MUROS]]=P$2,100%,AVANCE[[#This Row],[MUROS]])</f>
        <v>0</v>
      </c>
      <c r="BK197" s="3">
        <f>+IF(AVANCE[[#This Row],[CIELO]]=Q$2,100%,AVANCE[[#This Row],[CIELO]])</f>
        <v>0</v>
      </c>
      <c r="BL197" s="3">
        <f>+IF(AVANCE[[#This Row],[BALCÓN]]=R$2,100%,AVANCE[[#This Row],[BALCÓN]])</f>
        <v>0</v>
      </c>
      <c r="BM197" s="3">
        <f>+IF(AVANCE[[#This Row],[RED ALCANTARILLADO]]=U$2,100%,AVANCE[[#This Row],[RED ALCANTARILLADO]])</f>
        <v>0</v>
      </c>
      <c r="BN197" s="3">
        <f>+IF(AVANCE[[#This Row],[RED DE AGUA]]=V$2,100%,AVANCE[[#This Row],[RED DE AGUA]])</f>
        <v>0</v>
      </c>
      <c r="BO197" s="3">
        <f>+IF(AVANCE[[#This Row],[VENTILACIONES]]=W$2,100%,AVANCE[[#This Row],[VENTILACIONES]])</f>
        <v>0</v>
      </c>
      <c r="BP197" s="3">
        <f>+IF(AVANCE[[#This Row],[TINA]]=X$2,100%,AVANCE[[#This Row],[TINA]])</f>
        <v>0</v>
      </c>
      <c r="BQ197" s="3">
        <f>+IF(AVANCE[[#This Row],[WC]]=Y$2,100%,AVANCE[[#This Row],[WC]])</f>
        <v>0</v>
      </c>
      <c r="BR197" s="3">
        <f>+IF(AVANCE[[#This Row],[LAVAMANOS / LAVAPLATOS / LAVADERO]]=Z$2,100%,AVANCE[[#This Row],[LAVAMANOS / LAVAPLATOS / LAVADERO]])</f>
        <v>0</v>
      </c>
      <c r="BS197" s="3">
        <f>+IF(AVANCE[[#This Row],[CANALIZACIÓN]]=AC$2,100%,AVANCE[[#This Row],[CANALIZACIÓN]])</f>
        <v>0</v>
      </c>
      <c r="BT197" s="3">
        <f>+IF(AVANCE[[#This Row],[CABLEADO]]=AD$2,100%,AVANCE[[#This Row],[CABLEADO]])</f>
        <v>0</v>
      </c>
      <c r="BU197" s="3">
        <f>+IF(AVANCE[[#This Row],[ARTEFACTOS]]=AE$2,100%,AVANCE[[#This Row],[ARTEFACTOS]])</f>
        <v>0</v>
      </c>
      <c r="BV197" s="3">
        <f>+IF(AVANCE[[#This Row],[TABLERO]]=AF$2,100%,AVANCE[[#This Row],[TABLERO]])</f>
        <v>0</v>
      </c>
      <c r="BW197" s="3">
        <f>+IF(AVANCE[[#This Row],[CAJA PAU]]=AG$2,100%,AVANCE[[#This Row],[CAJA PAU]])</f>
        <v>0</v>
      </c>
      <c r="BX197" s="3">
        <f>+IF(AVANCE[[#This Row],[INSTALACION VINILICO]]=AJ$2,100%,AVANCE[[#This Row],[INSTALACION VINILICO]])</f>
        <v>0</v>
      </c>
      <c r="BY197" s="3">
        <f>+IF(AVANCE[[#This Row],[OSB CUBIERTA]]=AK$2,100%,AVANCE[[#This Row],[OSB CUBIERTA]])</f>
        <v>0</v>
      </c>
      <c r="BZ197" s="3">
        <f>+IF(AVANCE[[#This Row],[BARANDA BALCON]]=AL$2,100%,AVANCE[[#This Row],[BARANDA BALCON]])</f>
        <v>0</v>
      </c>
      <c r="CA197" s="3">
        <f>+IF(AVANCE[[#This Row],[OSB EXTERIOR]]=AM$2,100%,AVANCE[[#This Row],[OSB EXTERIOR]])</f>
        <v>0</v>
      </c>
      <c r="CB197" s="3">
        <f>+IF(AVANCE[[#This Row],[SMART PANEL]]=AN$2,100%,AVANCE[[#This Row],[SMART PANEL]])</f>
        <v>0</v>
      </c>
      <c r="CC197" s="3">
        <f>+IF(AVANCE[[#This Row],[PINTURA EXTERIOR]]=AO$2,100%,AVANCE[[#This Row],[PINTURA EXTERIOR]])</f>
        <v>0</v>
      </c>
      <c r="CD197" s="3">
        <f>+IF(AVANCE[[#This Row],[ZOCALOS LOGIA]]=AP$2,100%,AVANCE[[#This Row],[ZOCALOS LOGIA]])</f>
        <v>0</v>
      </c>
      <c r="CE197" s="3">
        <f>+IF(AVANCE[[#This Row],[MOLDURAS]]=AQ$2,100%,AVANCE[[#This Row],[MOLDURAS]])</f>
        <v>0</v>
      </c>
      <c r="CF197" s="3">
        <f>+IF(AVANCE[[#This Row],[PILASTREO]]=AR$2,100%,AVANCE[[#This Row],[PILASTREO]])</f>
        <v>0</v>
      </c>
      <c r="CG197" s="3">
        <f>+IF(AVANCE[[#This Row],[CELOSIAS]]=AS$2,100%,AVANCE[[#This Row],[CELOSIAS]])</f>
        <v>0</v>
      </c>
      <c r="CH197" s="3">
        <f>+IF(AVANCE[[#This Row],[VENTANAS]]=AT$2,100%,AVANCE[[#This Row],[VENTANAS]])</f>
        <v>0</v>
      </c>
      <c r="CI197" s="3">
        <f>+IF(AVANCE[[#This Row],[PUERTAS ACCESO - LOGIA - BANO]]=AU$2,100%,AVANCE[[#This Row],[PUERTAS ACCESO - LOGIA - BANO]])</f>
        <v>0</v>
      </c>
      <c r="CJ197" s="3">
        <f>+IF(AVANCE[[#This Row],[CERRADURAS]]=AV$2,100%,AVANCE[[#This Row],[CERRADURAS]])</f>
        <v>0</v>
      </c>
      <c r="CK197" s="3">
        <f>+IF(AVANCE[[#This Row],[REVESTIMIENTO INTERIOR ZONA SECA]]=AW$2,100%,AVANCE[[#This Row],[REVESTIMIENTO INTERIOR ZONA SECA]])</f>
        <v>0</v>
      </c>
      <c r="CL197" s="3">
        <f>+IF(AVANCE[[#This Row],[REVESTIMIENTO INTERIOR ZONAS HUMEDAS]]=AX$2,100%,AVANCE[[#This Row],[REVESTIMIENTO INTERIOR ZONAS HUMEDAS]])</f>
        <v>0</v>
      </c>
      <c r="CM197" s="3">
        <f>+IF(AVANCE[[#This Row],[MEMBRANA CIELO]]=AY$2,100%,AVANCE[[#This Row],[MEMBRANA CIELO]])</f>
        <v>0</v>
      </c>
      <c r="CN197" s="3">
        <f>+IF(AVANCE[[#This Row],[LIMPIEZA FINAL]]=AZ$2,100%,AVANCE[[#This Row],[LIMPIEZA FINAL]])</f>
        <v>0</v>
      </c>
      <c r="CO197" s="3">
        <f>+IF(AVANCE[[#This Row],[PUERTAS DORMITORIO]]=BA$2,100%,AVANCE[[#This Row],[PUERTAS DORMITORIO]])</f>
        <v>0</v>
      </c>
      <c r="CP197" s="3">
        <f>+IF(AVANCE[[#This Row],[REVESTIMIENTO INTERIOR BANO]]=BB$2,100%,AVANCE[[#This Row],[REVESTIMIENTO INTERIOR BANO]])</f>
        <v>0</v>
      </c>
      <c r="CQ197" s="3">
        <f>+IF(AVANCE[[#This Row],[MUEBLE LAVAPLATOS]]=BC$2,100%,AVANCE[[#This Row],[MUEBLE LAVAPLATOS]])</f>
        <v>0</v>
      </c>
      <c r="CR197" s="3">
        <f>+IF(AVANCE[[#This Row],[IMPERMEABILIZACION BANO - COCINA LOGIA]]=BD$2,100%,AVANCE[[#This Row],[IMPERMEABILIZACION BANO - COCINA LOGIA]])</f>
        <v>0</v>
      </c>
      <c r="CS197" s="40">
        <f ca="1">+IF(AVANCE[[#This Row],[ESTADO MODULO]]="PENDIENTE",(TODAY()-AVANCE[[#This Row],[FECHA TERMINO  PLANIFICADO]]),0)</f>
        <v>0</v>
      </c>
      <c r="CT197" s="41" t="str" cm="1">
        <f t="array" ref="CT197">_xlfn.TEXTJOIN(" | ",TRUE,IF(SUMPRODUCT((BG197:CR197&lt;1)*(PARTIDAS!$I$2:$AT$2="OBRA GRUESA"))&gt;0,"OBRA GRUESA: "&amp;_xlfn.TEXTJOIN(", ",TRUE,IF((BG197:CR197&lt;1)*(PARTIDAS!$I$2:$AT$2="OBRA GRUESA"),PARTIDAS!$I$1:$AT$1,"")),""),IF(SUMPRODUCT((BG197:CR197&lt;1)*(PARTIDAS!$I$2:$AT$2="SANITARIOS"))&gt;0,"SANITARIOS: "&amp;_xlfn.TEXTJOIN(", ",TRUE,IF((BG197:CR197&lt;1)*(PARTIDAS!$I$2:$AT$2="SANITARIOS"),PARTIDAS!$I$1:$AT$1,"")),""),IF(SUMPRODUCT((BG197:CR197&lt;1)*(PARTIDAS!$I$2:$AT$2="ELÉCTRICO"))&gt;0,"ELÉCTRICO: "&amp;_xlfn.TEXTJOIN(", ",TRUE,IF((BG197:CR197&lt;1)*(PARTIDAS!$I$2:$AT$2="ELÉCTRICO"),PARTIDAS!$I$1:$AT$1,"")),""),IF(SUMPRODUCT((BG197:CR197&lt;1)*(PARTIDAS!$I$2:$AT$2="TERMINACIONES"))&gt;0,"TERMINACIONES: "&amp;_xlfn.TEXTJOIN(", ",TRUE,IF((BG197:CR197&lt;1)*(PARTIDAS!$I$2:$AT$2="TERMINACIONES"),PARTIDAS!$I$1:$AT$1,"")),""))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7" s="43" t="str" cm="1">
        <f t="array" ref="CU197">_xlfn.TEXTJOIN(", ",TRUE,IF(SUMPRODUCT((BG197:CR197&lt;1)*(PARTIDAS!$I$2:$AT$2="OBRA GRUESA"))&gt;0,"OBRA GRUESA",""),IF(SUMPRODUCT((BG197:CR197&lt;1)*(PARTIDAS!$I$2:$AT$2="SANITARIOS"))&gt;0,"SANITARIOS",""),IF(SUMPRODUCT((BG197:CR197&lt;1)*(PARTIDAS!$I$2:$AT$2="ELÉCTRICO"))&gt;0,"ELÉCTRICO",""),IF(SUMPRODUCT((BG197:CR197&lt;1)*(PARTIDAS!$I$2:$AT$2="TERMINACIONES"))&gt;0,"TERMINACIONES",""))</f>
        <v>OBRA GRUESA, SANITARIOS, ELÉCTRICO, TERMINACIONES</v>
      </c>
      <c r="CV197" s="44" cm="1">
        <f t="array" ref="CV197">SUMPRODUCT(--(BG197:CR197&lt;1))</f>
        <v>38</v>
      </c>
    </row>
    <row r="198" spans="1:100" hidden="1" x14ac:dyDescent="0.25">
      <c r="A198" t="s">
        <v>256</v>
      </c>
      <c r="B198" t="s">
        <v>261</v>
      </c>
      <c r="C198">
        <v>2282600197</v>
      </c>
      <c r="D198" t="s">
        <v>58</v>
      </c>
      <c r="E198" s="2">
        <v>0</v>
      </c>
      <c r="F198" s="1">
        <v>46234</v>
      </c>
      <c r="G198" s="1"/>
      <c r="H198" s="1">
        <v>0</v>
      </c>
      <c r="I198" s="1">
        <v>46254</v>
      </c>
      <c r="J198">
        <v>46230</v>
      </c>
      <c r="K198" s="1"/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>
        <v>28.87</v>
      </c>
      <c r="BF198" s="3" t="str">
        <f>+IF(AVANCE[[#This Row],[% AVANCE]]=100%,"MODULO TERMINADO",IF(AVANCE[[#This Row],[FECHA INICIO REAL]]="","MODULO NO INICIADO","PENDIENTE"))</f>
        <v>MODULO NO INICIADO</v>
      </c>
      <c r="BG198" s="3">
        <f>+IF(AVANCE[[#This Row],[VENTANAS]]=8.10810810810811%,100%,AVANCE[[#This Row],[VENTANAS]])</f>
        <v>0</v>
      </c>
      <c r="BH198" s="3">
        <f>+IF(AVANCE[[#This Row],[PISO]]=N$2,100%,AVANCE[[#This Row],[PISO]])</f>
        <v>0</v>
      </c>
      <c r="BI198" s="3">
        <f>+IF(AVANCE[[#This Row],[TABIQUES]]=O$2,100%,AVANCE[[#This Row],[TABIQUES]])</f>
        <v>0</v>
      </c>
      <c r="BJ198" s="3">
        <f>+IF(AVANCE[[#This Row],[MUROS]]=P$2,100%,AVANCE[[#This Row],[MUROS]])</f>
        <v>0</v>
      </c>
      <c r="BK198" s="3">
        <f>+IF(AVANCE[[#This Row],[CIELO]]=Q$2,100%,AVANCE[[#This Row],[CIELO]])</f>
        <v>0</v>
      </c>
      <c r="BL198" s="3">
        <f>+IF(AVANCE[[#This Row],[BALCÓN]]=R$2,100%,AVANCE[[#This Row],[BALCÓN]])</f>
        <v>0</v>
      </c>
      <c r="BM198" s="3">
        <f>+IF(AVANCE[[#This Row],[RED ALCANTARILLADO]]=U$2,100%,AVANCE[[#This Row],[RED ALCANTARILLADO]])</f>
        <v>0</v>
      </c>
      <c r="BN198" s="3">
        <f>+IF(AVANCE[[#This Row],[RED DE AGUA]]=V$2,100%,AVANCE[[#This Row],[RED DE AGUA]])</f>
        <v>0</v>
      </c>
      <c r="BO198" s="3">
        <f>+IF(AVANCE[[#This Row],[VENTILACIONES]]=W$2,100%,AVANCE[[#This Row],[VENTILACIONES]])</f>
        <v>0</v>
      </c>
      <c r="BP198" s="3">
        <f>+IF(AVANCE[[#This Row],[TINA]]=X$2,100%,AVANCE[[#This Row],[TINA]])</f>
        <v>0</v>
      </c>
      <c r="BQ198" s="3">
        <f>+IF(AVANCE[[#This Row],[WC]]=Y$2,100%,AVANCE[[#This Row],[WC]])</f>
        <v>0</v>
      </c>
      <c r="BR198" s="3">
        <f>+IF(AVANCE[[#This Row],[LAVAMANOS / LAVAPLATOS / LAVADERO]]=Z$2,100%,AVANCE[[#This Row],[LAVAMANOS / LAVAPLATOS / LAVADERO]])</f>
        <v>0</v>
      </c>
      <c r="BS198" s="3">
        <f>+IF(AVANCE[[#This Row],[CANALIZACIÓN]]=AC$2,100%,AVANCE[[#This Row],[CANALIZACIÓN]])</f>
        <v>0</v>
      </c>
      <c r="BT198" s="3">
        <f>+IF(AVANCE[[#This Row],[CABLEADO]]=AD$2,100%,AVANCE[[#This Row],[CABLEADO]])</f>
        <v>0</v>
      </c>
      <c r="BU198" s="3">
        <f>+IF(AVANCE[[#This Row],[ARTEFACTOS]]=AE$2,100%,AVANCE[[#This Row],[ARTEFACTOS]])</f>
        <v>0</v>
      </c>
      <c r="BV198" s="3">
        <f>+IF(AVANCE[[#This Row],[TABLERO]]=AF$2,100%,AVANCE[[#This Row],[TABLERO]])</f>
        <v>0</v>
      </c>
      <c r="BW198" s="3">
        <f>+IF(AVANCE[[#This Row],[CAJA PAU]]=AG$2,100%,AVANCE[[#This Row],[CAJA PAU]])</f>
        <v>0</v>
      </c>
      <c r="BX198" s="3">
        <f>+IF(AVANCE[[#This Row],[INSTALACION VINILICO]]=AJ$2,100%,AVANCE[[#This Row],[INSTALACION VINILICO]])</f>
        <v>0</v>
      </c>
      <c r="BY198" s="3">
        <f>+IF(AVANCE[[#This Row],[OSB CUBIERTA]]=AK$2,100%,AVANCE[[#This Row],[OSB CUBIERTA]])</f>
        <v>0</v>
      </c>
      <c r="BZ198" s="3">
        <f>+IF(AVANCE[[#This Row],[BARANDA BALCON]]=AL$2,100%,AVANCE[[#This Row],[BARANDA BALCON]])</f>
        <v>0</v>
      </c>
      <c r="CA198" s="3">
        <f>+IF(AVANCE[[#This Row],[OSB EXTERIOR]]=AM$2,100%,AVANCE[[#This Row],[OSB EXTERIOR]])</f>
        <v>0</v>
      </c>
      <c r="CB198" s="3">
        <f>+IF(AVANCE[[#This Row],[SMART PANEL]]=AN$2,100%,AVANCE[[#This Row],[SMART PANEL]])</f>
        <v>0</v>
      </c>
      <c r="CC198" s="3">
        <f>+IF(AVANCE[[#This Row],[PINTURA EXTERIOR]]=AO$2,100%,AVANCE[[#This Row],[PINTURA EXTERIOR]])</f>
        <v>0</v>
      </c>
      <c r="CD198" s="3">
        <f>+IF(AVANCE[[#This Row],[ZOCALOS LOGIA]]=AP$2,100%,AVANCE[[#This Row],[ZOCALOS LOGIA]])</f>
        <v>0</v>
      </c>
      <c r="CE198" s="3">
        <f>+IF(AVANCE[[#This Row],[MOLDURAS]]=AQ$2,100%,AVANCE[[#This Row],[MOLDURAS]])</f>
        <v>0</v>
      </c>
      <c r="CF198" s="3">
        <f>+IF(AVANCE[[#This Row],[PILASTREO]]=AR$2,100%,AVANCE[[#This Row],[PILASTREO]])</f>
        <v>0</v>
      </c>
      <c r="CG198" s="3">
        <f>+IF(AVANCE[[#This Row],[CELOSIAS]]=AS$2,100%,AVANCE[[#This Row],[CELOSIAS]])</f>
        <v>0</v>
      </c>
      <c r="CH198" s="3">
        <f>+IF(AVANCE[[#This Row],[VENTANAS]]=AT$2,100%,AVANCE[[#This Row],[VENTANAS]])</f>
        <v>0</v>
      </c>
      <c r="CI198" s="3">
        <f>+IF(AVANCE[[#This Row],[PUERTAS ACCESO - LOGIA - BANO]]=AU$2,100%,AVANCE[[#This Row],[PUERTAS ACCESO - LOGIA - BANO]])</f>
        <v>0</v>
      </c>
      <c r="CJ198" s="3">
        <f>+IF(AVANCE[[#This Row],[CERRADURAS]]=AV$2,100%,AVANCE[[#This Row],[CERRADURAS]])</f>
        <v>0</v>
      </c>
      <c r="CK198" s="3">
        <f>+IF(AVANCE[[#This Row],[REVESTIMIENTO INTERIOR ZONA SECA]]=AW$2,100%,AVANCE[[#This Row],[REVESTIMIENTO INTERIOR ZONA SECA]])</f>
        <v>0</v>
      </c>
      <c r="CL198" s="3">
        <f>+IF(AVANCE[[#This Row],[REVESTIMIENTO INTERIOR ZONAS HUMEDAS]]=AX$2,100%,AVANCE[[#This Row],[REVESTIMIENTO INTERIOR ZONAS HUMEDAS]])</f>
        <v>0</v>
      </c>
      <c r="CM198" s="3">
        <f>+IF(AVANCE[[#This Row],[MEMBRANA CIELO]]=AY$2,100%,AVANCE[[#This Row],[MEMBRANA CIELO]])</f>
        <v>0</v>
      </c>
      <c r="CN198" s="3">
        <f>+IF(AVANCE[[#This Row],[LIMPIEZA FINAL]]=AZ$2,100%,AVANCE[[#This Row],[LIMPIEZA FINAL]])</f>
        <v>0</v>
      </c>
      <c r="CO198" s="3">
        <f>+IF(AVANCE[[#This Row],[PUERTAS DORMITORIO]]=BA$2,100%,AVANCE[[#This Row],[PUERTAS DORMITORIO]])</f>
        <v>0</v>
      </c>
      <c r="CP198" s="3">
        <f>+IF(AVANCE[[#This Row],[REVESTIMIENTO INTERIOR BANO]]=BB$2,100%,AVANCE[[#This Row],[REVESTIMIENTO INTERIOR BANO]])</f>
        <v>0</v>
      </c>
      <c r="CQ198" s="3">
        <f>+IF(AVANCE[[#This Row],[MUEBLE LAVAPLATOS]]=BC$2,100%,AVANCE[[#This Row],[MUEBLE LAVAPLATOS]])</f>
        <v>0</v>
      </c>
      <c r="CR198" s="3">
        <f>+IF(AVANCE[[#This Row],[IMPERMEABILIZACION BANO - COCINA LOGIA]]=BD$2,100%,AVANCE[[#This Row],[IMPERMEABILIZACION BANO - COCINA LOGIA]])</f>
        <v>0</v>
      </c>
      <c r="CS198" s="40">
        <f ca="1">+IF(AVANCE[[#This Row],[ESTADO MODULO]]="PENDIENTE",(TODAY()-AVANCE[[#This Row],[FECHA TERMINO  PLANIFICADO]]),0)</f>
        <v>0</v>
      </c>
      <c r="CT198" s="41" t="str" cm="1">
        <f t="array" ref="CT198">_xlfn.TEXTJOIN(" | ",TRUE,IF(SUMPRODUCT((BG198:CR198&lt;1)*(PARTIDAS!$I$2:$AT$2="OBRA GRUESA"))&gt;0,"OBRA GRUESA: "&amp;_xlfn.TEXTJOIN(", ",TRUE,IF((BG198:CR198&lt;1)*(PARTIDAS!$I$2:$AT$2="OBRA GRUESA"),PARTIDAS!$I$1:$AT$1,"")),""),IF(SUMPRODUCT((BG198:CR198&lt;1)*(PARTIDAS!$I$2:$AT$2="SANITARIOS"))&gt;0,"SANITARIOS: "&amp;_xlfn.TEXTJOIN(", ",TRUE,IF((BG198:CR198&lt;1)*(PARTIDAS!$I$2:$AT$2="SANITARIOS"),PARTIDAS!$I$1:$AT$1,"")),""),IF(SUMPRODUCT((BG198:CR198&lt;1)*(PARTIDAS!$I$2:$AT$2="ELÉCTRICO"))&gt;0,"ELÉCTRICO: "&amp;_xlfn.TEXTJOIN(", ",TRUE,IF((BG198:CR198&lt;1)*(PARTIDAS!$I$2:$AT$2="ELÉCTRICO"),PARTIDAS!$I$1:$AT$1,"")),""),IF(SUMPRODUCT((BG198:CR198&lt;1)*(PARTIDAS!$I$2:$AT$2="TERMINACIONES"))&gt;0,"TERMINACIONES: "&amp;_xlfn.TEXTJOIN(", ",TRUE,IF((BG198:CR198&lt;1)*(PARTIDAS!$I$2:$AT$2="TERMINACIONES"),PARTIDAS!$I$1:$AT$1,"")),""))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8" s="43" t="str" cm="1">
        <f t="array" ref="CU198">_xlfn.TEXTJOIN(", ",TRUE,IF(SUMPRODUCT((BG198:CR198&lt;1)*(PARTIDAS!$I$2:$AT$2="OBRA GRUESA"))&gt;0,"OBRA GRUESA",""),IF(SUMPRODUCT((BG198:CR198&lt;1)*(PARTIDAS!$I$2:$AT$2="SANITARIOS"))&gt;0,"SANITARIOS",""),IF(SUMPRODUCT((BG198:CR198&lt;1)*(PARTIDAS!$I$2:$AT$2="ELÉCTRICO"))&gt;0,"ELÉCTRICO",""),IF(SUMPRODUCT((BG198:CR198&lt;1)*(PARTIDAS!$I$2:$AT$2="TERMINACIONES"))&gt;0,"TERMINACIONES",""))</f>
        <v>OBRA GRUESA, SANITARIOS, ELÉCTRICO, TERMINACIONES</v>
      </c>
      <c r="CV198" s="44" cm="1">
        <f t="array" ref="CV198">SUMPRODUCT(--(BG198:CR198&lt;1))</f>
        <v>38</v>
      </c>
    </row>
    <row r="199" spans="1:100" hidden="1" x14ac:dyDescent="0.25">
      <c r="A199" t="s">
        <v>256</v>
      </c>
      <c r="B199" t="s">
        <v>262</v>
      </c>
      <c r="C199">
        <v>2302600198</v>
      </c>
      <c r="D199" t="s">
        <v>60</v>
      </c>
      <c r="E199" s="2">
        <v>0</v>
      </c>
      <c r="F199" s="1">
        <v>46234</v>
      </c>
      <c r="G199" s="1"/>
      <c r="H199" s="1">
        <v>0</v>
      </c>
      <c r="I199" s="1">
        <v>46264</v>
      </c>
      <c r="J199">
        <v>46230</v>
      </c>
      <c r="K199" s="1"/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>
        <v>31.32</v>
      </c>
      <c r="BF199" s="3" t="str">
        <f>+IF(AVANCE[[#This Row],[% AVANCE]]=100%,"MODULO TERMINADO",IF(AVANCE[[#This Row],[FECHA INICIO REAL]]="","MODULO NO INICIADO","PENDIENTE"))</f>
        <v>MODULO NO INICIADO</v>
      </c>
      <c r="BG199" s="3">
        <f>+IF(AVANCE[[#This Row],[VENTANAS]]=8.10810810810811%,100%,AVANCE[[#This Row],[VENTANAS]])</f>
        <v>0</v>
      </c>
      <c r="BH199" s="3">
        <f>+IF(AVANCE[[#This Row],[PISO]]=N$2,100%,AVANCE[[#This Row],[PISO]])</f>
        <v>0</v>
      </c>
      <c r="BI199" s="3">
        <f>+IF(AVANCE[[#This Row],[TABIQUES]]=O$2,100%,AVANCE[[#This Row],[TABIQUES]])</f>
        <v>0</v>
      </c>
      <c r="BJ199" s="3">
        <f>+IF(AVANCE[[#This Row],[MUROS]]=P$2,100%,AVANCE[[#This Row],[MUROS]])</f>
        <v>0</v>
      </c>
      <c r="BK199" s="3">
        <f>+IF(AVANCE[[#This Row],[CIELO]]=Q$2,100%,AVANCE[[#This Row],[CIELO]])</f>
        <v>0</v>
      </c>
      <c r="BL199" s="3">
        <f>+IF(AVANCE[[#This Row],[BALCÓN]]=R$2,100%,AVANCE[[#This Row],[BALCÓN]])</f>
        <v>0</v>
      </c>
      <c r="BM199" s="3">
        <f>+IF(AVANCE[[#This Row],[RED ALCANTARILLADO]]=U$2,100%,AVANCE[[#This Row],[RED ALCANTARILLADO]])</f>
        <v>0</v>
      </c>
      <c r="BN199" s="3">
        <f>+IF(AVANCE[[#This Row],[RED DE AGUA]]=V$2,100%,AVANCE[[#This Row],[RED DE AGUA]])</f>
        <v>0</v>
      </c>
      <c r="BO199" s="3">
        <f>+IF(AVANCE[[#This Row],[VENTILACIONES]]=W$2,100%,AVANCE[[#This Row],[VENTILACIONES]])</f>
        <v>0</v>
      </c>
      <c r="BP199" s="3">
        <f>+IF(AVANCE[[#This Row],[TINA]]=X$2,100%,AVANCE[[#This Row],[TINA]])</f>
        <v>0</v>
      </c>
      <c r="BQ199" s="3">
        <f>+IF(AVANCE[[#This Row],[WC]]=Y$2,100%,AVANCE[[#This Row],[WC]])</f>
        <v>0</v>
      </c>
      <c r="BR199" s="3">
        <f>+IF(AVANCE[[#This Row],[LAVAMANOS / LAVAPLATOS / LAVADERO]]=Z$2,100%,AVANCE[[#This Row],[LAVAMANOS / LAVAPLATOS / LAVADERO]])</f>
        <v>0</v>
      </c>
      <c r="BS199" s="3">
        <f>+IF(AVANCE[[#This Row],[CANALIZACIÓN]]=AC$2,100%,AVANCE[[#This Row],[CANALIZACIÓN]])</f>
        <v>0</v>
      </c>
      <c r="BT199" s="3">
        <f>+IF(AVANCE[[#This Row],[CABLEADO]]=AD$2,100%,AVANCE[[#This Row],[CABLEADO]])</f>
        <v>0</v>
      </c>
      <c r="BU199" s="3">
        <f>+IF(AVANCE[[#This Row],[ARTEFACTOS]]=AE$2,100%,AVANCE[[#This Row],[ARTEFACTOS]])</f>
        <v>0</v>
      </c>
      <c r="BV199" s="3">
        <f>+IF(AVANCE[[#This Row],[TABLERO]]=AF$2,100%,AVANCE[[#This Row],[TABLERO]])</f>
        <v>0</v>
      </c>
      <c r="BW199" s="3">
        <f>+IF(AVANCE[[#This Row],[CAJA PAU]]=AG$2,100%,AVANCE[[#This Row],[CAJA PAU]])</f>
        <v>0</v>
      </c>
      <c r="BX199" s="3">
        <f>+IF(AVANCE[[#This Row],[INSTALACION VINILICO]]=AJ$2,100%,AVANCE[[#This Row],[INSTALACION VINILICO]])</f>
        <v>0</v>
      </c>
      <c r="BY199" s="3">
        <f>+IF(AVANCE[[#This Row],[OSB CUBIERTA]]=AK$2,100%,AVANCE[[#This Row],[OSB CUBIERTA]])</f>
        <v>0</v>
      </c>
      <c r="BZ199" s="3">
        <f>+IF(AVANCE[[#This Row],[BARANDA BALCON]]=AL$2,100%,AVANCE[[#This Row],[BARANDA BALCON]])</f>
        <v>0</v>
      </c>
      <c r="CA199" s="3">
        <f>+IF(AVANCE[[#This Row],[OSB EXTERIOR]]=AM$2,100%,AVANCE[[#This Row],[OSB EXTERIOR]])</f>
        <v>0</v>
      </c>
      <c r="CB199" s="3">
        <f>+IF(AVANCE[[#This Row],[SMART PANEL]]=AN$2,100%,AVANCE[[#This Row],[SMART PANEL]])</f>
        <v>0</v>
      </c>
      <c r="CC199" s="3">
        <f>+IF(AVANCE[[#This Row],[PINTURA EXTERIOR]]=AO$2,100%,AVANCE[[#This Row],[PINTURA EXTERIOR]])</f>
        <v>0</v>
      </c>
      <c r="CD199" s="3">
        <f>+IF(AVANCE[[#This Row],[ZOCALOS LOGIA]]=AP$2,100%,AVANCE[[#This Row],[ZOCALOS LOGIA]])</f>
        <v>0</v>
      </c>
      <c r="CE199" s="3">
        <f>+IF(AVANCE[[#This Row],[MOLDURAS]]=AQ$2,100%,AVANCE[[#This Row],[MOLDURAS]])</f>
        <v>0</v>
      </c>
      <c r="CF199" s="3">
        <f>+IF(AVANCE[[#This Row],[PILASTREO]]=AR$2,100%,AVANCE[[#This Row],[PILASTREO]])</f>
        <v>0</v>
      </c>
      <c r="CG199" s="3">
        <f>+IF(AVANCE[[#This Row],[CELOSIAS]]=AS$2,100%,AVANCE[[#This Row],[CELOSIAS]])</f>
        <v>0</v>
      </c>
      <c r="CH199" s="3">
        <f>+IF(AVANCE[[#This Row],[VENTANAS]]=AT$2,100%,AVANCE[[#This Row],[VENTANAS]])</f>
        <v>0</v>
      </c>
      <c r="CI199" s="3">
        <f>+IF(AVANCE[[#This Row],[PUERTAS ACCESO - LOGIA - BANO]]=AU$2,100%,AVANCE[[#This Row],[PUERTAS ACCESO - LOGIA - BANO]])</f>
        <v>0</v>
      </c>
      <c r="CJ199" s="3">
        <f>+IF(AVANCE[[#This Row],[CERRADURAS]]=AV$2,100%,AVANCE[[#This Row],[CERRADURAS]])</f>
        <v>0</v>
      </c>
      <c r="CK199" s="3">
        <f>+IF(AVANCE[[#This Row],[REVESTIMIENTO INTERIOR ZONA SECA]]=AW$2,100%,AVANCE[[#This Row],[REVESTIMIENTO INTERIOR ZONA SECA]])</f>
        <v>0</v>
      </c>
      <c r="CL199" s="3">
        <f>+IF(AVANCE[[#This Row],[REVESTIMIENTO INTERIOR ZONAS HUMEDAS]]=AX$2,100%,AVANCE[[#This Row],[REVESTIMIENTO INTERIOR ZONAS HUMEDAS]])</f>
        <v>0</v>
      </c>
      <c r="CM199" s="3">
        <f>+IF(AVANCE[[#This Row],[MEMBRANA CIELO]]=AY$2,100%,AVANCE[[#This Row],[MEMBRANA CIELO]])</f>
        <v>0</v>
      </c>
      <c r="CN199" s="3">
        <f>+IF(AVANCE[[#This Row],[LIMPIEZA FINAL]]=AZ$2,100%,AVANCE[[#This Row],[LIMPIEZA FINAL]])</f>
        <v>0</v>
      </c>
      <c r="CO199" s="3">
        <f>+IF(AVANCE[[#This Row],[PUERTAS DORMITORIO]]=BA$2,100%,AVANCE[[#This Row],[PUERTAS DORMITORIO]])</f>
        <v>0</v>
      </c>
      <c r="CP199" s="3">
        <f>+IF(AVANCE[[#This Row],[REVESTIMIENTO INTERIOR BANO]]=BB$2,100%,AVANCE[[#This Row],[REVESTIMIENTO INTERIOR BANO]])</f>
        <v>0</v>
      </c>
      <c r="CQ199" s="3">
        <f>+IF(AVANCE[[#This Row],[MUEBLE LAVAPLATOS]]=BC$2,100%,AVANCE[[#This Row],[MUEBLE LAVAPLATOS]])</f>
        <v>0</v>
      </c>
      <c r="CR199" s="3">
        <f>+IF(AVANCE[[#This Row],[IMPERMEABILIZACION BANO - COCINA LOGIA]]=BD$2,100%,AVANCE[[#This Row],[IMPERMEABILIZACION BANO - COCINA LOGIA]])</f>
        <v>0</v>
      </c>
      <c r="CS199" s="40">
        <f ca="1">+IF(AVANCE[[#This Row],[ESTADO MODULO]]="PENDIENTE",(TODAY()-AVANCE[[#This Row],[FECHA TERMINO  PLANIFICADO]]),0)</f>
        <v>0</v>
      </c>
      <c r="CT199" s="41" t="str" cm="1">
        <f t="array" ref="CT199">_xlfn.TEXTJOIN(" | ",TRUE,IF(SUMPRODUCT((BG199:CR199&lt;1)*(PARTIDAS!$I$2:$AT$2="OBRA GRUESA"))&gt;0,"OBRA GRUESA: "&amp;_xlfn.TEXTJOIN(", ",TRUE,IF((BG199:CR199&lt;1)*(PARTIDAS!$I$2:$AT$2="OBRA GRUESA"),PARTIDAS!$I$1:$AT$1,"")),""),IF(SUMPRODUCT((BG199:CR199&lt;1)*(PARTIDAS!$I$2:$AT$2="SANITARIOS"))&gt;0,"SANITARIOS: "&amp;_xlfn.TEXTJOIN(", ",TRUE,IF((BG199:CR199&lt;1)*(PARTIDAS!$I$2:$AT$2="SANITARIOS"),PARTIDAS!$I$1:$AT$1,"")),""),IF(SUMPRODUCT((BG199:CR199&lt;1)*(PARTIDAS!$I$2:$AT$2="ELÉCTRICO"))&gt;0,"ELÉCTRICO: "&amp;_xlfn.TEXTJOIN(", ",TRUE,IF((BG199:CR199&lt;1)*(PARTIDAS!$I$2:$AT$2="ELÉCTRICO"),PARTIDAS!$I$1:$AT$1,"")),""),IF(SUMPRODUCT((BG199:CR199&lt;1)*(PARTIDAS!$I$2:$AT$2="TERMINACIONES"))&gt;0,"TERMINACIONES: "&amp;_xlfn.TEXTJOIN(", ",TRUE,IF((BG199:CR199&lt;1)*(PARTIDAS!$I$2:$AT$2="TERMINACIONES"),PARTIDAS!$I$1:$AT$1,"")),""))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199" s="43" t="str" cm="1">
        <f t="array" ref="CU199">_xlfn.TEXTJOIN(", ",TRUE,IF(SUMPRODUCT((BG199:CR199&lt;1)*(PARTIDAS!$I$2:$AT$2="OBRA GRUESA"))&gt;0,"OBRA GRUESA",""),IF(SUMPRODUCT((BG199:CR199&lt;1)*(PARTIDAS!$I$2:$AT$2="SANITARIOS"))&gt;0,"SANITARIOS",""),IF(SUMPRODUCT((BG199:CR199&lt;1)*(PARTIDAS!$I$2:$AT$2="ELÉCTRICO"))&gt;0,"ELÉCTRICO",""),IF(SUMPRODUCT((BG199:CR199&lt;1)*(PARTIDAS!$I$2:$AT$2="TERMINACIONES"))&gt;0,"TERMINACIONES",""))</f>
        <v>OBRA GRUESA, SANITARIOS, ELÉCTRICO, TERMINACIONES</v>
      </c>
      <c r="CV199" s="44" cm="1">
        <f t="array" ref="CV199">SUMPRODUCT(--(BG199:CR199&lt;1))</f>
        <v>38</v>
      </c>
    </row>
    <row r="200" spans="1:100" hidden="1" x14ac:dyDescent="0.25">
      <c r="A200" t="s">
        <v>256</v>
      </c>
      <c r="B200" t="s">
        <v>263</v>
      </c>
      <c r="C200">
        <v>2302600199</v>
      </c>
      <c r="D200" t="s">
        <v>60</v>
      </c>
      <c r="E200" s="2">
        <v>0</v>
      </c>
      <c r="F200" s="1">
        <v>46237</v>
      </c>
      <c r="G200" s="1"/>
      <c r="H200" s="1">
        <v>0</v>
      </c>
      <c r="I200" s="1">
        <v>46267</v>
      </c>
      <c r="J200">
        <v>46230</v>
      </c>
      <c r="K200" s="1"/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>
        <v>31.32</v>
      </c>
      <c r="BF200" s="3" t="str">
        <f>+IF(AVANCE[[#This Row],[% AVANCE]]=100%,"MODULO TERMINADO",IF(AVANCE[[#This Row],[FECHA INICIO REAL]]="","MODULO NO INICIADO","PENDIENTE"))</f>
        <v>MODULO NO INICIADO</v>
      </c>
      <c r="BG200" s="3">
        <f>+IF(AVANCE[[#This Row],[VENTANAS]]=8.10810810810811%,100%,AVANCE[[#This Row],[VENTANAS]])</f>
        <v>0</v>
      </c>
      <c r="BH200" s="3">
        <f>+IF(AVANCE[[#This Row],[PISO]]=N$2,100%,AVANCE[[#This Row],[PISO]])</f>
        <v>0</v>
      </c>
      <c r="BI200" s="3">
        <f>+IF(AVANCE[[#This Row],[TABIQUES]]=O$2,100%,AVANCE[[#This Row],[TABIQUES]])</f>
        <v>0</v>
      </c>
      <c r="BJ200" s="3">
        <f>+IF(AVANCE[[#This Row],[MUROS]]=P$2,100%,AVANCE[[#This Row],[MUROS]])</f>
        <v>0</v>
      </c>
      <c r="BK200" s="3">
        <f>+IF(AVANCE[[#This Row],[CIELO]]=Q$2,100%,AVANCE[[#This Row],[CIELO]])</f>
        <v>0</v>
      </c>
      <c r="BL200" s="3">
        <f>+IF(AVANCE[[#This Row],[BALCÓN]]=R$2,100%,AVANCE[[#This Row],[BALCÓN]])</f>
        <v>0</v>
      </c>
      <c r="BM200" s="3">
        <f>+IF(AVANCE[[#This Row],[RED ALCANTARILLADO]]=U$2,100%,AVANCE[[#This Row],[RED ALCANTARILLADO]])</f>
        <v>0</v>
      </c>
      <c r="BN200" s="3">
        <f>+IF(AVANCE[[#This Row],[RED DE AGUA]]=V$2,100%,AVANCE[[#This Row],[RED DE AGUA]])</f>
        <v>0</v>
      </c>
      <c r="BO200" s="3">
        <f>+IF(AVANCE[[#This Row],[VENTILACIONES]]=W$2,100%,AVANCE[[#This Row],[VENTILACIONES]])</f>
        <v>0</v>
      </c>
      <c r="BP200" s="3">
        <f>+IF(AVANCE[[#This Row],[TINA]]=X$2,100%,AVANCE[[#This Row],[TINA]])</f>
        <v>0</v>
      </c>
      <c r="BQ200" s="3">
        <f>+IF(AVANCE[[#This Row],[WC]]=Y$2,100%,AVANCE[[#This Row],[WC]])</f>
        <v>0</v>
      </c>
      <c r="BR200" s="3">
        <f>+IF(AVANCE[[#This Row],[LAVAMANOS / LAVAPLATOS / LAVADERO]]=Z$2,100%,AVANCE[[#This Row],[LAVAMANOS / LAVAPLATOS / LAVADERO]])</f>
        <v>0</v>
      </c>
      <c r="BS200" s="3">
        <f>+IF(AVANCE[[#This Row],[CANALIZACIÓN]]=AC$2,100%,AVANCE[[#This Row],[CANALIZACIÓN]])</f>
        <v>0</v>
      </c>
      <c r="BT200" s="3">
        <f>+IF(AVANCE[[#This Row],[CABLEADO]]=AD$2,100%,AVANCE[[#This Row],[CABLEADO]])</f>
        <v>0</v>
      </c>
      <c r="BU200" s="3">
        <f>+IF(AVANCE[[#This Row],[ARTEFACTOS]]=AE$2,100%,AVANCE[[#This Row],[ARTEFACTOS]])</f>
        <v>0</v>
      </c>
      <c r="BV200" s="3">
        <f>+IF(AVANCE[[#This Row],[TABLERO]]=AF$2,100%,AVANCE[[#This Row],[TABLERO]])</f>
        <v>0</v>
      </c>
      <c r="BW200" s="3">
        <f>+IF(AVANCE[[#This Row],[CAJA PAU]]=AG$2,100%,AVANCE[[#This Row],[CAJA PAU]])</f>
        <v>0</v>
      </c>
      <c r="BX200" s="3">
        <f>+IF(AVANCE[[#This Row],[INSTALACION VINILICO]]=AJ$2,100%,AVANCE[[#This Row],[INSTALACION VINILICO]])</f>
        <v>0</v>
      </c>
      <c r="BY200" s="3">
        <f>+IF(AVANCE[[#This Row],[OSB CUBIERTA]]=AK$2,100%,AVANCE[[#This Row],[OSB CUBIERTA]])</f>
        <v>0</v>
      </c>
      <c r="BZ200" s="3">
        <f>+IF(AVANCE[[#This Row],[BARANDA BALCON]]=AL$2,100%,AVANCE[[#This Row],[BARANDA BALCON]])</f>
        <v>0</v>
      </c>
      <c r="CA200" s="3">
        <f>+IF(AVANCE[[#This Row],[OSB EXTERIOR]]=AM$2,100%,AVANCE[[#This Row],[OSB EXTERIOR]])</f>
        <v>0</v>
      </c>
      <c r="CB200" s="3">
        <f>+IF(AVANCE[[#This Row],[SMART PANEL]]=AN$2,100%,AVANCE[[#This Row],[SMART PANEL]])</f>
        <v>0</v>
      </c>
      <c r="CC200" s="3">
        <f>+IF(AVANCE[[#This Row],[PINTURA EXTERIOR]]=AO$2,100%,AVANCE[[#This Row],[PINTURA EXTERIOR]])</f>
        <v>0</v>
      </c>
      <c r="CD200" s="3">
        <f>+IF(AVANCE[[#This Row],[ZOCALOS LOGIA]]=AP$2,100%,AVANCE[[#This Row],[ZOCALOS LOGIA]])</f>
        <v>0</v>
      </c>
      <c r="CE200" s="3">
        <f>+IF(AVANCE[[#This Row],[MOLDURAS]]=AQ$2,100%,AVANCE[[#This Row],[MOLDURAS]])</f>
        <v>0</v>
      </c>
      <c r="CF200" s="3">
        <f>+IF(AVANCE[[#This Row],[PILASTREO]]=AR$2,100%,AVANCE[[#This Row],[PILASTREO]])</f>
        <v>0</v>
      </c>
      <c r="CG200" s="3">
        <f>+IF(AVANCE[[#This Row],[CELOSIAS]]=AS$2,100%,AVANCE[[#This Row],[CELOSIAS]])</f>
        <v>0</v>
      </c>
      <c r="CH200" s="3">
        <f>+IF(AVANCE[[#This Row],[VENTANAS]]=AT$2,100%,AVANCE[[#This Row],[VENTANAS]])</f>
        <v>0</v>
      </c>
      <c r="CI200" s="3">
        <f>+IF(AVANCE[[#This Row],[PUERTAS ACCESO - LOGIA - BANO]]=AU$2,100%,AVANCE[[#This Row],[PUERTAS ACCESO - LOGIA - BANO]])</f>
        <v>0</v>
      </c>
      <c r="CJ200" s="3">
        <f>+IF(AVANCE[[#This Row],[CERRADURAS]]=AV$2,100%,AVANCE[[#This Row],[CERRADURAS]])</f>
        <v>0</v>
      </c>
      <c r="CK200" s="3">
        <f>+IF(AVANCE[[#This Row],[REVESTIMIENTO INTERIOR ZONA SECA]]=AW$2,100%,AVANCE[[#This Row],[REVESTIMIENTO INTERIOR ZONA SECA]])</f>
        <v>0</v>
      </c>
      <c r="CL200" s="3">
        <f>+IF(AVANCE[[#This Row],[REVESTIMIENTO INTERIOR ZONAS HUMEDAS]]=AX$2,100%,AVANCE[[#This Row],[REVESTIMIENTO INTERIOR ZONAS HUMEDAS]])</f>
        <v>0</v>
      </c>
      <c r="CM200" s="3">
        <f>+IF(AVANCE[[#This Row],[MEMBRANA CIELO]]=AY$2,100%,AVANCE[[#This Row],[MEMBRANA CIELO]])</f>
        <v>0</v>
      </c>
      <c r="CN200" s="3">
        <f>+IF(AVANCE[[#This Row],[LIMPIEZA FINAL]]=AZ$2,100%,AVANCE[[#This Row],[LIMPIEZA FINAL]])</f>
        <v>0</v>
      </c>
      <c r="CO200" s="3">
        <f>+IF(AVANCE[[#This Row],[PUERTAS DORMITORIO]]=BA$2,100%,AVANCE[[#This Row],[PUERTAS DORMITORIO]])</f>
        <v>0</v>
      </c>
      <c r="CP200" s="3">
        <f>+IF(AVANCE[[#This Row],[REVESTIMIENTO INTERIOR BANO]]=BB$2,100%,AVANCE[[#This Row],[REVESTIMIENTO INTERIOR BANO]])</f>
        <v>0</v>
      </c>
      <c r="CQ200" s="3">
        <f>+IF(AVANCE[[#This Row],[MUEBLE LAVAPLATOS]]=BC$2,100%,AVANCE[[#This Row],[MUEBLE LAVAPLATOS]])</f>
        <v>0</v>
      </c>
      <c r="CR200" s="3">
        <f>+IF(AVANCE[[#This Row],[IMPERMEABILIZACION BANO - COCINA LOGIA]]=BD$2,100%,AVANCE[[#This Row],[IMPERMEABILIZACION BANO - COCINA LOGIA]])</f>
        <v>0</v>
      </c>
      <c r="CS200" s="40">
        <f ca="1">+IF(AVANCE[[#This Row],[ESTADO MODULO]]="PENDIENTE",(TODAY()-AVANCE[[#This Row],[FECHA TERMINO  PLANIFICADO]]),0)</f>
        <v>0</v>
      </c>
      <c r="CT200" s="41" t="str" cm="1">
        <f t="array" ref="CT200">_xlfn.TEXTJOIN(" | ",TRUE,IF(SUMPRODUCT((BG200:CR200&lt;1)*(PARTIDAS!$I$2:$AT$2="OBRA GRUESA"))&gt;0,"OBRA GRUESA: "&amp;_xlfn.TEXTJOIN(", ",TRUE,IF((BG200:CR200&lt;1)*(PARTIDAS!$I$2:$AT$2="OBRA GRUESA"),PARTIDAS!$I$1:$AT$1,"")),""),IF(SUMPRODUCT((BG200:CR200&lt;1)*(PARTIDAS!$I$2:$AT$2="SANITARIOS"))&gt;0,"SANITARIOS: "&amp;_xlfn.TEXTJOIN(", ",TRUE,IF((BG200:CR200&lt;1)*(PARTIDAS!$I$2:$AT$2="SANITARIOS"),PARTIDAS!$I$1:$AT$1,"")),""),IF(SUMPRODUCT((BG200:CR200&lt;1)*(PARTIDAS!$I$2:$AT$2="ELÉCTRICO"))&gt;0,"ELÉCTRICO: "&amp;_xlfn.TEXTJOIN(", ",TRUE,IF((BG200:CR200&lt;1)*(PARTIDAS!$I$2:$AT$2="ELÉCTRICO"),PARTIDAS!$I$1:$AT$1,"")),""),IF(SUMPRODUCT((BG200:CR200&lt;1)*(PARTIDAS!$I$2:$AT$2="TERMINACIONES"))&gt;0,"TERMINACIONES: "&amp;_xlfn.TEXTJOIN(", ",TRUE,IF((BG200:CR200&lt;1)*(PARTIDAS!$I$2:$AT$2="TERMINACIONES"),PARTIDAS!$I$1:$AT$1,"")),""))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0" s="43" t="str" cm="1">
        <f t="array" ref="CU200">_xlfn.TEXTJOIN(", ",TRUE,IF(SUMPRODUCT((BG200:CR200&lt;1)*(PARTIDAS!$I$2:$AT$2="OBRA GRUESA"))&gt;0,"OBRA GRUESA",""),IF(SUMPRODUCT((BG200:CR200&lt;1)*(PARTIDAS!$I$2:$AT$2="SANITARIOS"))&gt;0,"SANITARIOS",""),IF(SUMPRODUCT((BG200:CR200&lt;1)*(PARTIDAS!$I$2:$AT$2="ELÉCTRICO"))&gt;0,"ELÉCTRICO",""),IF(SUMPRODUCT((BG200:CR200&lt;1)*(PARTIDAS!$I$2:$AT$2="TERMINACIONES"))&gt;0,"TERMINACIONES",""))</f>
        <v>OBRA GRUESA, SANITARIOS, ELÉCTRICO, TERMINACIONES</v>
      </c>
      <c r="CV200" s="44" cm="1">
        <f t="array" ref="CV200">SUMPRODUCT(--(BG200:CR200&lt;1))</f>
        <v>38</v>
      </c>
    </row>
    <row r="201" spans="1:100" hidden="1" x14ac:dyDescent="0.25">
      <c r="A201" t="s">
        <v>256</v>
      </c>
      <c r="B201" t="s">
        <v>264</v>
      </c>
      <c r="C201">
        <v>2282600200</v>
      </c>
      <c r="D201" t="s">
        <v>58</v>
      </c>
      <c r="E201" s="2">
        <v>0</v>
      </c>
      <c r="F201" s="1">
        <v>46237</v>
      </c>
      <c r="G201" s="1"/>
      <c r="H201" s="1">
        <v>0</v>
      </c>
      <c r="I201" s="1">
        <v>46257</v>
      </c>
      <c r="J201">
        <v>46230</v>
      </c>
      <c r="K201" s="1"/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>
        <v>28.87</v>
      </c>
      <c r="BF201" s="3" t="str">
        <f>+IF(AVANCE[[#This Row],[% AVANCE]]=100%,"MODULO TERMINADO",IF(AVANCE[[#This Row],[FECHA INICIO REAL]]="","MODULO NO INICIADO","PENDIENTE"))</f>
        <v>MODULO NO INICIADO</v>
      </c>
      <c r="BG201" s="3">
        <f>+IF(AVANCE[[#This Row],[VENTANAS]]=8.10810810810811%,100%,AVANCE[[#This Row],[VENTANAS]])</f>
        <v>0</v>
      </c>
      <c r="BH201" s="3">
        <f>+IF(AVANCE[[#This Row],[PISO]]=N$2,100%,AVANCE[[#This Row],[PISO]])</f>
        <v>0</v>
      </c>
      <c r="BI201" s="3">
        <f>+IF(AVANCE[[#This Row],[TABIQUES]]=O$2,100%,AVANCE[[#This Row],[TABIQUES]])</f>
        <v>0</v>
      </c>
      <c r="BJ201" s="3">
        <f>+IF(AVANCE[[#This Row],[MUROS]]=P$2,100%,AVANCE[[#This Row],[MUROS]])</f>
        <v>0</v>
      </c>
      <c r="BK201" s="3">
        <f>+IF(AVANCE[[#This Row],[CIELO]]=Q$2,100%,AVANCE[[#This Row],[CIELO]])</f>
        <v>0</v>
      </c>
      <c r="BL201" s="3">
        <f>+IF(AVANCE[[#This Row],[BALCÓN]]=R$2,100%,AVANCE[[#This Row],[BALCÓN]])</f>
        <v>0</v>
      </c>
      <c r="BM201" s="3">
        <f>+IF(AVANCE[[#This Row],[RED ALCANTARILLADO]]=U$2,100%,AVANCE[[#This Row],[RED ALCANTARILLADO]])</f>
        <v>0</v>
      </c>
      <c r="BN201" s="3">
        <f>+IF(AVANCE[[#This Row],[RED DE AGUA]]=V$2,100%,AVANCE[[#This Row],[RED DE AGUA]])</f>
        <v>0</v>
      </c>
      <c r="BO201" s="3">
        <f>+IF(AVANCE[[#This Row],[VENTILACIONES]]=W$2,100%,AVANCE[[#This Row],[VENTILACIONES]])</f>
        <v>0</v>
      </c>
      <c r="BP201" s="3">
        <f>+IF(AVANCE[[#This Row],[TINA]]=X$2,100%,AVANCE[[#This Row],[TINA]])</f>
        <v>0</v>
      </c>
      <c r="BQ201" s="3">
        <f>+IF(AVANCE[[#This Row],[WC]]=Y$2,100%,AVANCE[[#This Row],[WC]])</f>
        <v>0</v>
      </c>
      <c r="BR201" s="3">
        <f>+IF(AVANCE[[#This Row],[LAVAMANOS / LAVAPLATOS / LAVADERO]]=Z$2,100%,AVANCE[[#This Row],[LAVAMANOS / LAVAPLATOS / LAVADERO]])</f>
        <v>0</v>
      </c>
      <c r="BS201" s="3">
        <f>+IF(AVANCE[[#This Row],[CANALIZACIÓN]]=AC$2,100%,AVANCE[[#This Row],[CANALIZACIÓN]])</f>
        <v>0</v>
      </c>
      <c r="BT201" s="3">
        <f>+IF(AVANCE[[#This Row],[CABLEADO]]=AD$2,100%,AVANCE[[#This Row],[CABLEADO]])</f>
        <v>0</v>
      </c>
      <c r="BU201" s="3">
        <f>+IF(AVANCE[[#This Row],[ARTEFACTOS]]=AE$2,100%,AVANCE[[#This Row],[ARTEFACTOS]])</f>
        <v>0</v>
      </c>
      <c r="BV201" s="3">
        <f>+IF(AVANCE[[#This Row],[TABLERO]]=AF$2,100%,AVANCE[[#This Row],[TABLERO]])</f>
        <v>0</v>
      </c>
      <c r="BW201" s="3">
        <f>+IF(AVANCE[[#This Row],[CAJA PAU]]=AG$2,100%,AVANCE[[#This Row],[CAJA PAU]])</f>
        <v>0</v>
      </c>
      <c r="BX201" s="3">
        <f>+IF(AVANCE[[#This Row],[INSTALACION VINILICO]]=AJ$2,100%,AVANCE[[#This Row],[INSTALACION VINILICO]])</f>
        <v>0</v>
      </c>
      <c r="BY201" s="3">
        <f>+IF(AVANCE[[#This Row],[OSB CUBIERTA]]=AK$2,100%,AVANCE[[#This Row],[OSB CUBIERTA]])</f>
        <v>0</v>
      </c>
      <c r="BZ201" s="3">
        <f>+IF(AVANCE[[#This Row],[BARANDA BALCON]]=AL$2,100%,AVANCE[[#This Row],[BARANDA BALCON]])</f>
        <v>0</v>
      </c>
      <c r="CA201" s="3">
        <f>+IF(AVANCE[[#This Row],[OSB EXTERIOR]]=AM$2,100%,AVANCE[[#This Row],[OSB EXTERIOR]])</f>
        <v>0</v>
      </c>
      <c r="CB201" s="3">
        <f>+IF(AVANCE[[#This Row],[SMART PANEL]]=AN$2,100%,AVANCE[[#This Row],[SMART PANEL]])</f>
        <v>0</v>
      </c>
      <c r="CC201" s="3">
        <f>+IF(AVANCE[[#This Row],[PINTURA EXTERIOR]]=AO$2,100%,AVANCE[[#This Row],[PINTURA EXTERIOR]])</f>
        <v>0</v>
      </c>
      <c r="CD201" s="3">
        <f>+IF(AVANCE[[#This Row],[ZOCALOS LOGIA]]=AP$2,100%,AVANCE[[#This Row],[ZOCALOS LOGIA]])</f>
        <v>0</v>
      </c>
      <c r="CE201" s="3">
        <f>+IF(AVANCE[[#This Row],[MOLDURAS]]=AQ$2,100%,AVANCE[[#This Row],[MOLDURAS]])</f>
        <v>0</v>
      </c>
      <c r="CF201" s="3">
        <f>+IF(AVANCE[[#This Row],[PILASTREO]]=AR$2,100%,AVANCE[[#This Row],[PILASTREO]])</f>
        <v>0</v>
      </c>
      <c r="CG201" s="3">
        <f>+IF(AVANCE[[#This Row],[CELOSIAS]]=AS$2,100%,AVANCE[[#This Row],[CELOSIAS]])</f>
        <v>0</v>
      </c>
      <c r="CH201" s="3">
        <f>+IF(AVANCE[[#This Row],[VENTANAS]]=AT$2,100%,AVANCE[[#This Row],[VENTANAS]])</f>
        <v>0</v>
      </c>
      <c r="CI201" s="3">
        <f>+IF(AVANCE[[#This Row],[PUERTAS ACCESO - LOGIA - BANO]]=AU$2,100%,AVANCE[[#This Row],[PUERTAS ACCESO - LOGIA - BANO]])</f>
        <v>0</v>
      </c>
      <c r="CJ201" s="3">
        <f>+IF(AVANCE[[#This Row],[CERRADURAS]]=AV$2,100%,AVANCE[[#This Row],[CERRADURAS]])</f>
        <v>0</v>
      </c>
      <c r="CK201" s="3">
        <f>+IF(AVANCE[[#This Row],[REVESTIMIENTO INTERIOR ZONA SECA]]=AW$2,100%,AVANCE[[#This Row],[REVESTIMIENTO INTERIOR ZONA SECA]])</f>
        <v>0</v>
      </c>
      <c r="CL201" s="3">
        <f>+IF(AVANCE[[#This Row],[REVESTIMIENTO INTERIOR ZONAS HUMEDAS]]=AX$2,100%,AVANCE[[#This Row],[REVESTIMIENTO INTERIOR ZONAS HUMEDAS]])</f>
        <v>0</v>
      </c>
      <c r="CM201" s="3">
        <f>+IF(AVANCE[[#This Row],[MEMBRANA CIELO]]=AY$2,100%,AVANCE[[#This Row],[MEMBRANA CIELO]])</f>
        <v>0</v>
      </c>
      <c r="CN201" s="3">
        <f>+IF(AVANCE[[#This Row],[LIMPIEZA FINAL]]=AZ$2,100%,AVANCE[[#This Row],[LIMPIEZA FINAL]])</f>
        <v>0</v>
      </c>
      <c r="CO201" s="3">
        <f>+IF(AVANCE[[#This Row],[PUERTAS DORMITORIO]]=BA$2,100%,AVANCE[[#This Row],[PUERTAS DORMITORIO]])</f>
        <v>0</v>
      </c>
      <c r="CP201" s="3">
        <f>+IF(AVANCE[[#This Row],[REVESTIMIENTO INTERIOR BANO]]=BB$2,100%,AVANCE[[#This Row],[REVESTIMIENTO INTERIOR BANO]])</f>
        <v>0</v>
      </c>
      <c r="CQ201" s="3">
        <f>+IF(AVANCE[[#This Row],[MUEBLE LAVAPLATOS]]=BC$2,100%,AVANCE[[#This Row],[MUEBLE LAVAPLATOS]])</f>
        <v>0</v>
      </c>
      <c r="CR201" s="3">
        <f>+IF(AVANCE[[#This Row],[IMPERMEABILIZACION BANO - COCINA LOGIA]]=BD$2,100%,AVANCE[[#This Row],[IMPERMEABILIZACION BANO - COCINA LOGIA]])</f>
        <v>0</v>
      </c>
      <c r="CS201" s="40">
        <f ca="1">+IF(AVANCE[[#This Row],[ESTADO MODULO]]="PENDIENTE",(TODAY()-AVANCE[[#This Row],[FECHA TERMINO  PLANIFICADO]]),0)</f>
        <v>0</v>
      </c>
      <c r="CT201" s="41" t="str" cm="1">
        <f t="array" ref="CT201">_xlfn.TEXTJOIN(" | ",TRUE,IF(SUMPRODUCT((BG201:CR201&lt;1)*(PARTIDAS!$I$2:$AT$2="OBRA GRUESA"))&gt;0,"OBRA GRUESA: "&amp;_xlfn.TEXTJOIN(", ",TRUE,IF((BG201:CR201&lt;1)*(PARTIDAS!$I$2:$AT$2="OBRA GRUESA"),PARTIDAS!$I$1:$AT$1,"")),""),IF(SUMPRODUCT((BG201:CR201&lt;1)*(PARTIDAS!$I$2:$AT$2="SANITARIOS"))&gt;0,"SANITARIOS: "&amp;_xlfn.TEXTJOIN(", ",TRUE,IF((BG201:CR201&lt;1)*(PARTIDAS!$I$2:$AT$2="SANITARIOS"),PARTIDAS!$I$1:$AT$1,"")),""),IF(SUMPRODUCT((BG201:CR201&lt;1)*(PARTIDAS!$I$2:$AT$2="ELÉCTRICO"))&gt;0,"ELÉCTRICO: "&amp;_xlfn.TEXTJOIN(", ",TRUE,IF((BG201:CR201&lt;1)*(PARTIDAS!$I$2:$AT$2="ELÉCTRICO"),PARTIDAS!$I$1:$AT$1,"")),""),IF(SUMPRODUCT((BG201:CR201&lt;1)*(PARTIDAS!$I$2:$AT$2="TERMINACIONES"))&gt;0,"TERMINACIONES: "&amp;_xlfn.TEXTJOIN(", ",TRUE,IF((BG201:CR201&lt;1)*(PARTIDAS!$I$2:$AT$2="TERMINACIONES"),PARTIDAS!$I$1:$AT$1,"")),""))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1" s="43" t="str" cm="1">
        <f t="array" ref="CU201">_xlfn.TEXTJOIN(", ",TRUE,IF(SUMPRODUCT((BG201:CR201&lt;1)*(PARTIDAS!$I$2:$AT$2="OBRA GRUESA"))&gt;0,"OBRA GRUESA",""),IF(SUMPRODUCT((BG201:CR201&lt;1)*(PARTIDAS!$I$2:$AT$2="SANITARIOS"))&gt;0,"SANITARIOS",""),IF(SUMPRODUCT((BG201:CR201&lt;1)*(PARTIDAS!$I$2:$AT$2="ELÉCTRICO"))&gt;0,"ELÉCTRICO",""),IF(SUMPRODUCT((BG201:CR201&lt;1)*(PARTIDAS!$I$2:$AT$2="TERMINACIONES"))&gt;0,"TERMINACIONES",""))</f>
        <v>OBRA GRUESA, SANITARIOS, ELÉCTRICO, TERMINACIONES</v>
      </c>
      <c r="CV201" s="44" cm="1">
        <f t="array" ref="CV201">SUMPRODUCT(--(BG201:CR201&lt;1))</f>
        <v>38</v>
      </c>
    </row>
    <row r="202" spans="1:100" hidden="1" x14ac:dyDescent="0.25">
      <c r="A202" t="s">
        <v>256</v>
      </c>
      <c r="B202" t="s">
        <v>265</v>
      </c>
      <c r="C202">
        <v>2282600201</v>
      </c>
      <c r="D202" t="s">
        <v>58</v>
      </c>
      <c r="E202" s="2">
        <v>0</v>
      </c>
      <c r="F202" s="1">
        <v>46238</v>
      </c>
      <c r="G202" s="1"/>
      <c r="H202" s="1">
        <v>0</v>
      </c>
      <c r="I202" s="1">
        <v>46258</v>
      </c>
      <c r="J202">
        <v>46230</v>
      </c>
      <c r="K202" s="1"/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>
        <v>28.87</v>
      </c>
      <c r="BF202" s="3" t="str">
        <f>+IF(AVANCE[[#This Row],[% AVANCE]]=100%,"MODULO TERMINADO",IF(AVANCE[[#This Row],[FECHA INICIO REAL]]="","MODULO NO INICIADO","PENDIENTE"))</f>
        <v>MODULO NO INICIADO</v>
      </c>
      <c r="BG202" s="3">
        <f>+IF(AVANCE[[#This Row],[VENTANAS]]=8.10810810810811%,100%,AVANCE[[#This Row],[VENTANAS]])</f>
        <v>0</v>
      </c>
      <c r="BH202" s="3">
        <f>+IF(AVANCE[[#This Row],[PISO]]=N$2,100%,AVANCE[[#This Row],[PISO]])</f>
        <v>0</v>
      </c>
      <c r="BI202" s="3">
        <f>+IF(AVANCE[[#This Row],[TABIQUES]]=O$2,100%,AVANCE[[#This Row],[TABIQUES]])</f>
        <v>0</v>
      </c>
      <c r="BJ202" s="3">
        <f>+IF(AVANCE[[#This Row],[MUROS]]=P$2,100%,AVANCE[[#This Row],[MUROS]])</f>
        <v>0</v>
      </c>
      <c r="BK202" s="3">
        <f>+IF(AVANCE[[#This Row],[CIELO]]=Q$2,100%,AVANCE[[#This Row],[CIELO]])</f>
        <v>0</v>
      </c>
      <c r="BL202" s="3">
        <f>+IF(AVANCE[[#This Row],[BALCÓN]]=R$2,100%,AVANCE[[#This Row],[BALCÓN]])</f>
        <v>0</v>
      </c>
      <c r="BM202" s="3">
        <f>+IF(AVANCE[[#This Row],[RED ALCANTARILLADO]]=U$2,100%,AVANCE[[#This Row],[RED ALCANTARILLADO]])</f>
        <v>0</v>
      </c>
      <c r="BN202" s="3">
        <f>+IF(AVANCE[[#This Row],[RED DE AGUA]]=V$2,100%,AVANCE[[#This Row],[RED DE AGUA]])</f>
        <v>0</v>
      </c>
      <c r="BO202" s="3">
        <f>+IF(AVANCE[[#This Row],[VENTILACIONES]]=W$2,100%,AVANCE[[#This Row],[VENTILACIONES]])</f>
        <v>0</v>
      </c>
      <c r="BP202" s="3">
        <f>+IF(AVANCE[[#This Row],[TINA]]=X$2,100%,AVANCE[[#This Row],[TINA]])</f>
        <v>0</v>
      </c>
      <c r="BQ202" s="3">
        <f>+IF(AVANCE[[#This Row],[WC]]=Y$2,100%,AVANCE[[#This Row],[WC]])</f>
        <v>0</v>
      </c>
      <c r="BR202" s="3">
        <f>+IF(AVANCE[[#This Row],[LAVAMANOS / LAVAPLATOS / LAVADERO]]=Z$2,100%,AVANCE[[#This Row],[LAVAMANOS / LAVAPLATOS / LAVADERO]])</f>
        <v>0</v>
      </c>
      <c r="BS202" s="3">
        <f>+IF(AVANCE[[#This Row],[CANALIZACIÓN]]=AC$2,100%,AVANCE[[#This Row],[CANALIZACIÓN]])</f>
        <v>0</v>
      </c>
      <c r="BT202" s="3">
        <f>+IF(AVANCE[[#This Row],[CABLEADO]]=AD$2,100%,AVANCE[[#This Row],[CABLEADO]])</f>
        <v>0</v>
      </c>
      <c r="BU202" s="3">
        <f>+IF(AVANCE[[#This Row],[ARTEFACTOS]]=AE$2,100%,AVANCE[[#This Row],[ARTEFACTOS]])</f>
        <v>0</v>
      </c>
      <c r="BV202" s="3">
        <f>+IF(AVANCE[[#This Row],[TABLERO]]=AF$2,100%,AVANCE[[#This Row],[TABLERO]])</f>
        <v>0</v>
      </c>
      <c r="BW202" s="3">
        <f>+IF(AVANCE[[#This Row],[CAJA PAU]]=AG$2,100%,AVANCE[[#This Row],[CAJA PAU]])</f>
        <v>0</v>
      </c>
      <c r="BX202" s="3">
        <f>+IF(AVANCE[[#This Row],[INSTALACION VINILICO]]=AJ$2,100%,AVANCE[[#This Row],[INSTALACION VINILICO]])</f>
        <v>0</v>
      </c>
      <c r="BY202" s="3">
        <f>+IF(AVANCE[[#This Row],[OSB CUBIERTA]]=AK$2,100%,AVANCE[[#This Row],[OSB CUBIERTA]])</f>
        <v>0</v>
      </c>
      <c r="BZ202" s="3">
        <f>+IF(AVANCE[[#This Row],[BARANDA BALCON]]=AL$2,100%,AVANCE[[#This Row],[BARANDA BALCON]])</f>
        <v>0</v>
      </c>
      <c r="CA202" s="3">
        <f>+IF(AVANCE[[#This Row],[OSB EXTERIOR]]=AM$2,100%,AVANCE[[#This Row],[OSB EXTERIOR]])</f>
        <v>0</v>
      </c>
      <c r="CB202" s="3">
        <f>+IF(AVANCE[[#This Row],[SMART PANEL]]=AN$2,100%,AVANCE[[#This Row],[SMART PANEL]])</f>
        <v>0</v>
      </c>
      <c r="CC202" s="3">
        <f>+IF(AVANCE[[#This Row],[PINTURA EXTERIOR]]=AO$2,100%,AVANCE[[#This Row],[PINTURA EXTERIOR]])</f>
        <v>0</v>
      </c>
      <c r="CD202" s="3">
        <f>+IF(AVANCE[[#This Row],[ZOCALOS LOGIA]]=AP$2,100%,AVANCE[[#This Row],[ZOCALOS LOGIA]])</f>
        <v>0</v>
      </c>
      <c r="CE202" s="3">
        <f>+IF(AVANCE[[#This Row],[MOLDURAS]]=AQ$2,100%,AVANCE[[#This Row],[MOLDURAS]])</f>
        <v>0</v>
      </c>
      <c r="CF202" s="3">
        <f>+IF(AVANCE[[#This Row],[PILASTREO]]=AR$2,100%,AVANCE[[#This Row],[PILASTREO]])</f>
        <v>0</v>
      </c>
      <c r="CG202" s="3">
        <f>+IF(AVANCE[[#This Row],[CELOSIAS]]=AS$2,100%,AVANCE[[#This Row],[CELOSIAS]])</f>
        <v>0</v>
      </c>
      <c r="CH202" s="3">
        <f>+IF(AVANCE[[#This Row],[VENTANAS]]=AT$2,100%,AVANCE[[#This Row],[VENTANAS]])</f>
        <v>0</v>
      </c>
      <c r="CI202" s="3">
        <f>+IF(AVANCE[[#This Row],[PUERTAS ACCESO - LOGIA - BANO]]=AU$2,100%,AVANCE[[#This Row],[PUERTAS ACCESO - LOGIA - BANO]])</f>
        <v>0</v>
      </c>
      <c r="CJ202" s="3">
        <f>+IF(AVANCE[[#This Row],[CERRADURAS]]=AV$2,100%,AVANCE[[#This Row],[CERRADURAS]])</f>
        <v>0</v>
      </c>
      <c r="CK202" s="3">
        <f>+IF(AVANCE[[#This Row],[REVESTIMIENTO INTERIOR ZONA SECA]]=AW$2,100%,AVANCE[[#This Row],[REVESTIMIENTO INTERIOR ZONA SECA]])</f>
        <v>0</v>
      </c>
      <c r="CL202" s="3">
        <f>+IF(AVANCE[[#This Row],[REVESTIMIENTO INTERIOR ZONAS HUMEDAS]]=AX$2,100%,AVANCE[[#This Row],[REVESTIMIENTO INTERIOR ZONAS HUMEDAS]])</f>
        <v>0</v>
      </c>
      <c r="CM202" s="3">
        <f>+IF(AVANCE[[#This Row],[MEMBRANA CIELO]]=AY$2,100%,AVANCE[[#This Row],[MEMBRANA CIELO]])</f>
        <v>0</v>
      </c>
      <c r="CN202" s="3">
        <f>+IF(AVANCE[[#This Row],[LIMPIEZA FINAL]]=AZ$2,100%,AVANCE[[#This Row],[LIMPIEZA FINAL]])</f>
        <v>0</v>
      </c>
      <c r="CO202" s="3">
        <f>+IF(AVANCE[[#This Row],[PUERTAS DORMITORIO]]=BA$2,100%,AVANCE[[#This Row],[PUERTAS DORMITORIO]])</f>
        <v>0</v>
      </c>
      <c r="CP202" s="3">
        <f>+IF(AVANCE[[#This Row],[REVESTIMIENTO INTERIOR BANO]]=BB$2,100%,AVANCE[[#This Row],[REVESTIMIENTO INTERIOR BANO]])</f>
        <v>0</v>
      </c>
      <c r="CQ202" s="3">
        <f>+IF(AVANCE[[#This Row],[MUEBLE LAVAPLATOS]]=BC$2,100%,AVANCE[[#This Row],[MUEBLE LAVAPLATOS]])</f>
        <v>0</v>
      </c>
      <c r="CR202" s="3">
        <f>+IF(AVANCE[[#This Row],[IMPERMEABILIZACION BANO - COCINA LOGIA]]=BD$2,100%,AVANCE[[#This Row],[IMPERMEABILIZACION BANO - COCINA LOGIA]])</f>
        <v>0</v>
      </c>
      <c r="CS202" s="40">
        <f ca="1">+IF(AVANCE[[#This Row],[ESTADO MODULO]]="PENDIENTE",(TODAY()-AVANCE[[#This Row],[FECHA TERMINO  PLANIFICADO]]),0)</f>
        <v>0</v>
      </c>
      <c r="CT202" s="41" t="str" cm="1">
        <f t="array" ref="CT202">_xlfn.TEXTJOIN(" | ",TRUE,IF(SUMPRODUCT((BG202:CR202&lt;1)*(PARTIDAS!$I$2:$AT$2="OBRA GRUESA"))&gt;0,"OBRA GRUESA: "&amp;_xlfn.TEXTJOIN(", ",TRUE,IF((BG202:CR202&lt;1)*(PARTIDAS!$I$2:$AT$2="OBRA GRUESA"),PARTIDAS!$I$1:$AT$1,"")),""),IF(SUMPRODUCT((BG202:CR202&lt;1)*(PARTIDAS!$I$2:$AT$2="SANITARIOS"))&gt;0,"SANITARIOS: "&amp;_xlfn.TEXTJOIN(", ",TRUE,IF((BG202:CR202&lt;1)*(PARTIDAS!$I$2:$AT$2="SANITARIOS"),PARTIDAS!$I$1:$AT$1,"")),""),IF(SUMPRODUCT((BG202:CR202&lt;1)*(PARTIDAS!$I$2:$AT$2="ELÉCTRICO"))&gt;0,"ELÉCTRICO: "&amp;_xlfn.TEXTJOIN(", ",TRUE,IF((BG202:CR202&lt;1)*(PARTIDAS!$I$2:$AT$2="ELÉCTRICO"),PARTIDAS!$I$1:$AT$1,"")),""),IF(SUMPRODUCT((BG202:CR202&lt;1)*(PARTIDAS!$I$2:$AT$2="TERMINACIONES"))&gt;0,"TERMINACIONES: "&amp;_xlfn.TEXTJOIN(", ",TRUE,IF((BG202:CR202&lt;1)*(PARTIDAS!$I$2:$AT$2="TERMINACIONES"),PARTIDAS!$I$1:$AT$1,"")),""))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2" s="43" t="str" cm="1">
        <f t="array" ref="CU202">_xlfn.TEXTJOIN(", ",TRUE,IF(SUMPRODUCT((BG202:CR202&lt;1)*(PARTIDAS!$I$2:$AT$2="OBRA GRUESA"))&gt;0,"OBRA GRUESA",""),IF(SUMPRODUCT((BG202:CR202&lt;1)*(PARTIDAS!$I$2:$AT$2="SANITARIOS"))&gt;0,"SANITARIOS",""),IF(SUMPRODUCT((BG202:CR202&lt;1)*(PARTIDAS!$I$2:$AT$2="ELÉCTRICO"))&gt;0,"ELÉCTRICO",""),IF(SUMPRODUCT((BG202:CR202&lt;1)*(PARTIDAS!$I$2:$AT$2="TERMINACIONES"))&gt;0,"TERMINACIONES",""))</f>
        <v>OBRA GRUESA, SANITARIOS, ELÉCTRICO, TERMINACIONES</v>
      </c>
      <c r="CV202" s="44" cm="1">
        <f t="array" ref="CV202">SUMPRODUCT(--(BG202:CR202&lt;1))</f>
        <v>38</v>
      </c>
    </row>
    <row r="203" spans="1:100" hidden="1" x14ac:dyDescent="0.25">
      <c r="A203" t="s">
        <v>256</v>
      </c>
      <c r="B203" t="s">
        <v>266</v>
      </c>
      <c r="C203">
        <v>2302600202</v>
      </c>
      <c r="D203" t="s">
        <v>60</v>
      </c>
      <c r="E203" s="2">
        <v>0</v>
      </c>
      <c r="F203" s="1">
        <v>46238</v>
      </c>
      <c r="G203" s="1"/>
      <c r="H203" s="1">
        <v>0</v>
      </c>
      <c r="I203" s="1">
        <v>46268</v>
      </c>
      <c r="J203">
        <v>46230</v>
      </c>
      <c r="K203" s="1"/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>
        <v>31.32</v>
      </c>
      <c r="BF203" s="3" t="str">
        <f>+IF(AVANCE[[#This Row],[% AVANCE]]=100%,"MODULO TERMINADO",IF(AVANCE[[#This Row],[FECHA INICIO REAL]]="","MODULO NO INICIADO","PENDIENTE"))</f>
        <v>MODULO NO INICIADO</v>
      </c>
      <c r="BG203" s="3">
        <f>+IF(AVANCE[[#This Row],[VENTANAS]]=8.10810810810811%,100%,AVANCE[[#This Row],[VENTANAS]])</f>
        <v>0</v>
      </c>
      <c r="BH203" s="3">
        <f>+IF(AVANCE[[#This Row],[PISO]]=N$2,100%,AVANCE[[#This Row],[PISO]])</f>
        <v>0</v>
      </c>
      <c r="BI203" s="3">
        <f>+IF(AVANCE[[#This Row],[TABIQUES]]=O$2,100%,AVANCE[[#This Row],[TABIQUES]])</f>
        <v>0</v>
      </c>
      <c r="BJ203" s="3">
        <f>+IF(AVANCE[[#This Row],[MUROS]]=P$2,100%,AVANCE[[#This Row],[MUROS]])</f>
        <v>0</v>
      </c>
      <c r="BK203" s="3">
        <f>+IF(AVANCE[[#This Row],[CIELO]]=Q$2,100%,AVANCE[[#This Row],[CIELO]])</f>
        <v>0</v>
      </c>
      <c r="BL203" s="3">
        <f>+IF(AVANCE[[#This Row],[BALCÓN]]=R$2,100%,AVANCE[[#This Row],[BALCÓN]])</f>
        <v>0</v>
      </c>
      <c r="BM203" s="3">
        <f>+IF(AVANCE[[#This Row],[RED ALCANTARILLADO]]=U$2,100%,AVANCE[[#This Row],[RED ALCANTARILLADO]])</f>
        <v>0</v>
      </c>
      <c r="BN203" s="3">
        <f>+IF(AVANCE[[#This Row],[RED DE AGUA]]=V$2,100%,AVANCE[[#This Row],[RED DE AGUA]])</f>
        <v>0</v>
      </c>
      <c r="BO203" s="3">
        <f>+IF(AVANCE[[#This Row],[VENTILACIONES]]=W$2,100%,AVANCE[[#This Row],[VENTILACIONES]])</f>
        <v>0</v>
      </c>
      <c r="BP203" s="3">
        <f>+IF(AVANCE[[#This Row],[TINA]]=X$2,100%,AVANCE[[#This Row],[TINA]])</f>
        <v>0</v>
      </c>
      <c r="BQ203" s="3">
        <f>+IF(AVANCE[[#This Row],[WC]]=Y$2,100%,AVANCE[[#This Row],[WC]])</f>
        <v>0</v>
      </c>
      <c r="BR203" s="3">
        <f>+IF(AVANCE[[#This Row],[LAVAMANOS / LAVAPLATOS / LAVADERO]]=Z$2,100%,AVANCE[[#This Row],[LAVAMANOS / LAVAPLATOS / LAVADERO]])</f>
        <v>0</v>
      </c>
      <c r="BS203" s="3">
        <f>+IF(AVANCE[[#This Row],[CANALIZACIÓN]]=AC$2,100%,AVANCE[[#This Row],[CANALIZACIÓN]])</f>
        <v>0</v>
      </c>
      <c r="BT203" s="3">
        <f>+IF(AVANCE[[#This Row],[CABLEADO]]=AD$2,100%,AVANCE[[#This Row],[CABLEADO]])</f>
        <v>0</v>
      </c>
      <c r="BU203" s="3">
        <f>+IF(AVANCE[[#This Row],[ARTEFACTOS]]=AE$2,100%,AVANCE[[#This Row],[ARTEFACTOS]])</f>
        <v>0</v>
      </c>
      <c r="BV203" s="3">
        <f>+IF(AVANCE[[#This Row],[TABLERO]]=AF$2,100%,AVANCE[[#This Row],[TABLERO]])</f>
        <v>0</v>
      </c>
      <c r="BW203" s="3">
        <f>+IF(AVANCE[[#This Row],[CAJA PAU]]=AG$2,100%,AVANCE[[#This Row],[CAJA PAU]])</f>
        <v>0</v>
      </c>
      <c r="BX203" s="3">
        <f>+IF(AVANCE[[#This Row],[INSTALACION VINILICO]]=AJ$2,100%,AVANCE[[#This Row],[INSTALACION VINILICO]])</f>
        <v>0</v>
      </c>
      <c r="BY203" s="3">
        <f>+IF(AVANCE[[#This Row],[OSB CUBIERTA]]=AK$2,100%,AVANCE[[#This Row],[OSB CUBIERTA]])</f>
        <v>0</v>
      </c>
      <c r="BZ203" s="3">
        <f>+IF(AVANCE[[#This Row],[BARANDA BALCON]]=AL$2,100%,AVANCE[[#This Row],[BARANDA BALCON]])</f>
        <v>0</v>
      </c>
      <c r="CA203" s="3">
        <f>+IF(AVANCE[[#This Row],[OSB EXTERIOR]]=AM$2,100%,AVANCE[[#This Row],[OSB EXTERIOR]])</f>
        <v>0</v>
      </c>
      <c r="CB203" s="3">
        <f>+IF(AVANCE[[#This Row],[SMART PANEL]]=AN$2,100%,AVANCE[[#This Row],[SMART PANEL]])</f>
        <v>0</v>
      </c>
      <c r="CC203" s="3">
        <f>+IF(AVANCE[[#This Row],[PINTURA EXTERIOR]]=AO$2,100%,AVANCE[[#This Row],[PINTURA EXTERIOR]])</f>
        <v>0</v>
      </c>
      <c r="CD203" s="3">
        <f>+IF(AVANCE[[#This Row],[ZOCALOS LOGIA]]=AP$2,100%,AVANCE[[#This Row],[ZOCALOS LOGIA]])</f>
        <v>0</v>
      </c>
      <c r="CE203" s="3">
        <f>+IF(AVANCE[[#This Row],[MOLDURAS]]=AQ$2,100%,AVANCE[[#This Row],[MOLDURAS]])</f>
        <v>0</v>
      </c>
      <c r="CF203" s="3">
        <f>+IF(AVANCE[[#This Row],[PILASTREO]]=AR$2,100%,AVANCE[[#This Row],[PILASTREO]])</f>
        <v>0</v>
      </c>
      <c r="CG203" s="3">
        <f>+IF(AVANCE[[#This Row],[CELOSIAS]]=AS$2,100%,AVANCE[[#This Row],[CELOSIAS]])</f>
        <v>0</v>
      </c>
      <c r="CH203" s="3">
        <f>+IF(AVANCE[[#This Row],[VENTANAS]]=AT$2,100%,AVANCE[[#This Row],[VENTANAS]])</f>
        <v>0</v>
      </c>
      <c r="CI203" s="3">
        <f>+IF(AVANCE[[#This Row],[PUERTAS ACCESO - LOGIA - BANO]]=AU$2,100%,AVANCE[[#This Row],[PUERTAS ACCESO - LOGIA - BANO]])</f>
        <v>0</v>
      </c>
      <c r="CJ203" s="3">
        <f>+IF(AVANCE[[#This Row],[CERRADURAS]]=AV$2,100%,AVANCE[[#This Row],[CERRADURAS]])</f>
        <v>0</v>
      </c>
      <c r="CK203" s="3">
        <f>+IF(AVANCE[[#This Row],[REVESTIMIENTO INTERIOR ZONA SECA]]=AW$2,100%,AVANCE[[#This Row],[REVESTIMIENTO INTERIOR ZONA SECA]])</f>
        <v>0</v>
      </c>
      <c r="CL203" s="3">
        <f>+IF(AVANCE[[#This Row],[REVESTIMIENTO INTERIOR ZONAS HUMEDAS]]=AX$2,100%,AVANCE[[#This Row],[REVESTIMIENTO INTERIOR ZONAS HUMEDAS]])</f>
        <v>0</v>
      </c>
      <c r="CM203" s="3">
        <f>+IF(AVANCE[[#This Row],[MEMBRANA CIELO]]=AY$2,100%,AVANCE[[#This Row],[MEMBRANA CIELO]])</f>
        <v>0</v>
      </c>
      <c r="CN203" s="3">
        <f>+IF(AVANCE[[#This Row],[LIMPIEZA FINAL]]=AZ$2,100%,AVANCE[[#This Row],[LIMPIEZA FINAL]])</f>
        <v>0</v>
      </c>
      <c r="CO203" s="3">
        <f>+IF(AVANCE[[#This Row],[PUERTAS DORMITORIO]]=BA$2,100%,AVANCE[[#This Row],[PUERTAS DORMITORIO]])</f>
        <v>0</v>
      </c>
      <c r="CP203" s="3">
        <f>+IF(AVANCE[[#This Row],[REVESTIMIENTO INTERIOR BANO]]=BB$2,100%,AVANCE[[#This Row],[REVESTIMIENTO INTERIOR BANO]])</f>
        <v>0</v>
      </c>
      <c r="CQ203" s="3">
        <f>+IF(AVANCE[[#This Row],[MUEBLE LAVAPLATOS]]=BC$2,100%,AVANCE[[#This Row],[MUEBLE LAVAPLATOS]])</f>
        <v>0</v>
      </c>
      <c r="CR203" s="3">
        <f>+IF(AVANCE[[#This Row],[IMPERMEABILIZACION BANO - COCINA LOGIA]]=BD$2,100%,AVANCE[[#This Row],[IMPERMEABILIZACION BANO - COCINA LOGIA]])</f>
        <v>0</v>
      </c>
      <c r="CS203" s="40">
        <f ca="1">+IF(AVANCE[[#This Row],[ESTADO MODULO]]="PENDIENTE",(TODAY()-AVANCE[[#This Row],[FECHA TERMINO  PLANIFICADO]]),0)</f>
        <v>0</v>
      </c>
      <c r="CT203" s="41" t="str" cm="1">
        <f t="array" ref="CT203">_xlfn.TEXTJOIN(" | ",TRUE,IF(SUMPRODUCT((BG203:CR203&lt;1)*(PARTIDAS!$I$2:$AT$2="OBRA GRUESA"))&gt;0,"OBRA GRUESA: "&amp;_xlfn.TEXTJOIN(", ",TRUE,IF((BG203:CR203&lt;1)*(PARTIDAS!$I$2:$AT$2="OBRA GRUESA"),PARTIDAS!$I$1:$AT$1,"")),""),IF(SUMPRODUCT((BG203:CR203&lt;1)*(PARTIDAS!$I$2:$AT$2="SANITARIOS"))&gt;0,"SANITARIOS: "&amp;_xlfn.TEXTJOIN(", ",TRUE,IF((BG203:CR203&lt;1)*(PARTIDAS!$I$2:$AT$2="SANITARIOS"),PARTIDAS!$I$1:$AT$1,"")),""),IF(SUMPRODUCT((BG203:CR203&lt;1)*(PARTIDAS!$I$2:$AT$2="ELÉCTRICO"))&gt;0,"ELÉCTRICO: "&amp;_xlfn.TEXTJOIN(", ",TRUE,IF((BG203:CR203&lt;1)*(PARTIDAS!$I$2:$AT$2="ELÉCTRICO"),PARTIDAS!$I$1:$AT$1,"")),""),IF(SUMPRODUCT((BG203:CR203&lt;1)*(PARTIDAS!$I$2:$AT$2="TERMINACIONES"))&gt;0,"TERMINACIONES: "&amp;_xlfn.TEXTJOIN(", ",TRUE,IF((BG203:CR203&lt;1)*(PARTIDAS!$I$2:$AT$2="TERMINACIONES"),PARTIDAS!$I$1:$AT$1,"")),""))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3" s="43" t="str" cm="1">
        <f t="array" ref="CU203">_xlfn.TEXTJOIN(", ",TRUE,IF(SUMPRODUCT((BG203:CR203&lt;1)*(PARTIDAS!$I$2:$AT$2="OBRA GRUESA"))&gt;0,"OBRA GRUESA",""),IF(SUMPRODUCT((BG203:CR203&lt;1)*(PARTIDAS!$I$2:$AT$2="SANITARIOS"))&gt;0,"SANITARIOS",""),IF(SUMPRODUCT((BG203:CR203&lt;1)*(PARTIDAS!$I$2:$AT$2="ELÉCTRICO"))&gt;0,"ELÉCTRICO",""),IF(SUMPRODUCT((BG203:CR203&lt;1)*(PARTIDAS!$I$2:$AT$2="TERMINACIONES"))&gt;0,"TERMINACIONES",""))</f>
        <v>OBRA GRUESA, SANITARIOS, ELÉCTRICO, TERMINACIONES</v>
      </c>
      <c r="CV203" s="44" cm="1">
        <f t="array" ref="CV203">SUMPRODUCT(--(BG203:CR203&lt;1))</f>
        <v>38</v>
      </c>
    </row>
    <row r="204" spans="1:100" hidden="1" x14ac:dyDescent="0.25">
      <c r="A204" t="s">
        <v>256</v>
      </c>
      <c r="B204" t="s">
        <v>267</v>
      </c>
      <c r="C204">
        <v>2302600203</v>
      </c>
      <c r="D204" t="s">
        <v>60</v>
      </c>
      <c r="E204" s="2">
        <v>0</v>
      </c>
      <c r="F204" s="1">
        <v>46238</v>
      </c>
      <c r="G204" s="1"/>
      <c r="H204" s="1">
        <v>0</v>
      </c>
      <c r="I204" s="1">
        <v>46268</v>
      </c>
      <c r="J204">
        <v>46230</v>
      </c>
      <c r="K204" s="1"/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>
        <v>31.32</v>
      </c>
      <c r="BF204" s="3" t="str">
        <f>+IF(AVANCE[[#This Row],[% AVANCE]]=100%,"MODULO TERMINADO",IF(AVANCE[[#This Row],[FECHA INICIO REAL]]="","MODULO NO INICIADO","PENDIENTE"))</f>
        <v>MODULO NO INICIADO</v>
      </c>
      <c r="BG204" s="3">
        <f>+IF(AVANCE[[#This Row],[VENTANAS]]=8.10810810810811%,100%,AVANCE[[#This Row],[VENTANAS]])</f>
        <v>0</v>
      </c>
      <c r="BH204" s="3">
        <f>+IF(AVANCE[[#This Row],[PISO]]=N$2,100%,AVANCE[[#This Row],[PISO]])</f>
        <v>0</v>
      </c>
      <c r="BI204" s="3">
        <f>+IF(AVANCE[[#This Row],[TABIQUES]]=O$2,100%,AVANCE[[#This Row],[TABIQUES]])</f>
        <v>0</v>
      </c>
      <c r="BJ204" s="3">
        <f>+IF(AVANCE[[#This Row],[MUROS]]=P$2,100%,AVANCE[[#This Row],[MUROS]])</f>
        <v>0</v>
      </c>
      <c r="BK204" s="3">
        <f>+IF(AVANCE[[#This Row],[CIELO]]=Q$2,100%,AVANCE[[#This Row],[CIELO]])</f>
        <v>0</v>
      </c>
      <c r="BL204" s="3">
        <f>+IF(AVANCE[[#This Row],[BALCÓN]]=R$2,100%,AVANCE[[#This Row],[BALCÓN]])</f>
        <v>0</v>
      </c>
      <c r="BM204" s="3">
        <f>+IF(AVANCE[[#This Row],[RED ALCANTARILLADO]]=U$2,100%,AVANCE[[#This Row],[RED ALCANTARILLADO]])</f>
        <v>0</v>
      </c>
      <c r="BN204" s="3">
        <f>+IF(AVANCE[[#This Row],[RED DE AGUA]]=V$2,100%,AVANCE[[#This Row],[RED DE AGUA]])</f>
        <v>0</v>
      </c>
      <c r="BO204" s="3">
        <f>+IF(AVANCE[[#This Row],[VENTILACIONES]]=W$2,100%,AVANCE[[#This Row],[VENTILACIONES]])</f>
        <v>0</v>
      </c>
      <c r="BP204" s="3">
        <f>+IF(AVANCE[[#This Row],[TINA]]=X$2,100%,AVANCE[[#This Row],[TINA]])</f>
        <v>0</v>
      </c>
      <c r="BQ204" s="3">
        <f>+IF(AVANCE[[#This Row],[WC]]=Y$2,100%,AVANCE[[#This Row],[WC]])</f>
        <v>0</v>
      </c>
      <c r="BR204" s="3">
        <f>+IF(AVANCE[[#This Row],[LAVAMANOS / LAVAPLATOS / LAVADERO]]=Z$2,100%,AVANCE[[#This Row],[LAVAMANOS / LAVAPLATOS / LAVADERO]])</f>
        <v>0</v>
      </c>
      <c r="BS204" s="3">
        <f>+IF(AVANCE[[#This Row],[CANALIZACIÓN]]=AC$2,100%,AVANCE[[#This Row],[CANALIZACIÓN]])</f>
        <v>0</v>
      </c>
      <c r="BT204" s="3">
        <f>+IF(AVANCE[[#This Row],[CABLEADO]]=AD$2,100%,AVANCE[[#This Row],[CABLEADO]])</f>
        <v>0</v>
      </c>
      <c r="BU204" s="3">
        <f>+IF(AVANCE[[#This Row],[ARTEFACTOS]]=AE$2,100%,AVANCE[[#This Row],[ARTEFACTOS]])</f>
        <v>0</v>
      </c>
      <c r="BV204" s="3">
        <f>+IF(AVANCE[[#This Row],[TABLERO]]=AF$2,100%,AVANCE[[#This Row],[TABLERO]])</f>
        <v>0</v>
      </c>
      <c r="BW204" s="3">
        <f>+IF(AVANCE[[#This Row],[CAJA PAU]]=AG$2,100%,AVANCE[[#This Row],[CAJA PAU]])</f>
        <v>0</v>
      </c>
      <c r="BX204" s="3">
        <f>+IF(AVANCE[[#This Row],[INSTALACION VINILICO]]=AJ$2,100%,AVANCE[[#This Row],[INSTALACION VINILICO]])</f>
        <v>0</v>
      </c>
      <c r="BY204" s="3">
        <f>+IF(AVANCE[[#This Row],[OSB CUBIERTA]]=AK$2,100%,AVANCE[[#This Row],[OSB CUBIERTA]])</f>
        <v>0</v>
      </c>
      <c r="BZ204" s="3">
        <f>+IF(AVANCE[[#This Row],[BARANDA BALCON]]=AL$2,100%,AVANCE[[#This Row],[BARANDA BALCON]])</f>
        <v>0</v>
      </c>
      <c r="CA204" s="3">
        <f>+IF(AVANCE[[#This Row],[OSB EXTERIOR]]=AM$2,100%,AVANCE[[#This Row],[OSB EXTERIOR]])</f>
        <v>0</v>
      </c>
      <c r="CB204" s="3">
        <f>+IF(AVANCE[[#This Row],[SMART PANEL]]=AN$2,100%,AVANCE[[#This Row],[SMART PANEL]])</f>
        <v>0</v>
      </c>
      <c r="CC204" s="3">
        <f>+IF(AVANCE[[#This Row],[PINTURA EXTERIOR]]=AO$2,100%,AVANCE[[#This Row],[PINTURA EXTERIOR]])</f>
        <v>0</v>
      </c>
      <c r="CD204" s="3">
        <f>+IF(AVANCE[[#This Row],[ZOCALOS LOGIA]]=AP$2,100%,AVANCE[[#This Row],[ZOCALOS LOGIA]])</f>
        <v>0</v>
      </c>
      <c r="CE204" s="3">
        <f>+IF(AVANCE[[#This Row],[MOLDURAS]]=AQ$2,100%,AVANCE[[#This Row],[MOLDURAS]])</f>
        <v>0</v>
      </c>
      <c r="CF204" s="3">
        <f>+IF(AVANCE[[#This Row],[PILASTREO]]=AR$2,100%,AVANCE[[#This Row],[PILASTREO]])</f>
        <v>0</v>
      </c>
      <c r="CG204" s="3">
        <f>+IF(AVANCE[[#This Row],[CELOSIAS]]=AS$2,100%,AVANCE[[#This Row],[CELOSIAS]])</f>
        <v>0</v>
      </c>
      <c r="CH204" s="3">
        <f>+IF(AVANCE[[#This Row],[VENTANAS]]=AT$2,100%,AVANCE[[#This Row],[VENTANAS]])</f>
        <v>0</v>
      </c>
      <c r="CI204" s="3">
        <f>+IF(AVANCE[[#This Row],[PUERTAS ACCESO - LOGIA - BANO]]=AU$2,100%,AVANCE[[#This Row],[PUERTAS ACCESO - LOGIA - BANO]])</f>
        <v>0</v>
      </c>
      <c r="CJ204" s="3">
        <f>+IF(AVANCE[[#This Row],[CERRADURAS]]=AV$2,100%,AVANCE[[#This Row],[CERRADURAS]])</f>
        <v>0</v>
      </c>
      <c r="CK204" s="3">
        <f>+IF(AVANCE[[#This Row],[REVESTIMIENTO INTERIOR ZONA SECA]]=AW$2,100%,AVANCE[[#This Row],[REVESTIMIENTO INTERIOR ZONA SECA]])</f>
        <v>0</v>
      </c>
      <c r="CL204" s="3">
        <f>+IF(AVANCE[[#This Row],[REVESTIMIENTO INTERIOR ZONAS HUMEDAS]]=AX$2,100%,AVANCE[[#This Row],[REVESTIMIENTO INTERIOR ZONAS HUMEDAS]])</f>
        <v>0</v>
      </c>
      <c r="CM204" s="3">
        <f>+IF(AVANCE[[#This Row],[MEMBRANA CIELO]]=AY$2,100%,AVANCE[[#This Row],[MEMBRANA CIELO]])</f>
        <v>0</v>
      </c>
      <c r="CN204" s="3">
        <f>+IF(AVANCE[[#This Row],[LIMPIEZA FINAL]]=AZ$2,100%,AVANCE[[#This Row],[LIMPIEZA FINAL]])</f>
        <v>0</v>
      </c>
      <c r="CO204" s="3">
        <f>+IF(AVANCE[[#This Row],[PUERTAS DORMITORIO]]=BA$2,100%,AVANCE[[#This Row],[PUERTAS DORMITORIO]])</f>
        <v>0</v>
      </c>
      <c r="CP204" s="3">
        <f>+IF(AVANCE[[#This Row],[REVESTIMIENTO INTERIOR BANO]]=BB$2,100%,AVANCE[[#This Row],[REVESTIMIENTO INTERIOR BANO]])</f>
        <v>0</v>
      </c>
      <c r="CQ204" s="3">
        <f>+IF(AVANCE[[#This Row],[MUEBLE LAVAPLATOS]]=BC$2,100%,AVANCE[[#This Row],[MUEBLE LAVAPLATOS]])</f>
        <v>0</v>
      </c>
      <c r="CR204" s="3">
        <f>+IF(AVANCE[[#This Row],[IMPERMEABILIZACION BANO - COCINA LOGIA]]=BD$2,100%,AVANCE[[#This Row],[IMPERMEABILIZACION BANO - COCINA LOGIA]])</f>
        <v>0</v>
      </c>
      <c r="CS204" s="40">
        <f ca="1">+IF(AVANCE[[#This Row],[ESTADO MODULO]]="PENDIENTE",(TODAY()-AVANCE[[#This Row],[FECHA TERMINO  PLANIFICADO]]),0)</f>
        <v>0</v>
      </c>
      <c r="CT204" s="41" t="str" cm="1">
        <f t="array" ref="CT204">_xlfn.TEXTJOIN(" | ",TRUE,IF(SUMPRODUCT((BG204:CR204&lt;1)*(PARTIDAS!$I$2:$AT$2="OBRA GRUESA"))&gt;0,"OBRA GRUESA: "&amp;_xlfn.TEXTJOIN(", ",TRUE,IF((BG204:CR204&lt;1)*(PARTIDAS!$I$2:$AT$2="OBRA GRUESA"),PARTIDAS!$I$1:$AT$1,"")),""),IF(SUMPRODUCT((BG204:CR204&lt;1)*(PARTIDAS!$I$2:$AT$2="SANITARIOS"))&gt;0,"SANITARIOS: "&amp;_xlfn.TEXTJOIN(", ",TRUE,IF((BG204:CR204&lt;1)*(PARTIDAS!$I$2:$AT$2="SANITARIOS"),PARTIDAS!$I$1:$AT$1,"")),""),IF(SUMPRODUCT((BG204:CR204&lt;1)*(PARTIDAS!$I$2:$AT$2="ELÉCTRICO"))&gt;0,"ELÉCTRICO: "&amp;_xlfn.TEXTJOIN(", ",TRUE,IF((BG204:CR204&lt;1)*(PARTIDAS!$I$2:$AT$2="ELÉCTRICO"),PARTIDAS!$I$1:$AT$1,"")),""),IF(SUMPRODUCT((BG204:CR204&lt;1)*(PARTIDAS!$I$2:$AT$2="TERMINACIONES"))&gt;0,"TERMINACIONES: "&amp;_xlfn.TEXTJOIN(", ",TRUE,IF((BG204:CR204&lt;1)*(PARTIDAS!$I$2:$AT$2="TERMINACIONES"),PARTIDAS!$I$1:$AT$1,"")),""))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4" s="43" t="str" cm="1">
        <f t="array" ref="CU204">_xlfn.TEXTJOIN(", ",TRUE,IF(SUMPRODUCT((BG204:CR204&lt;1)*(PARTIDAS!$I$2:$AT$2="OBRA GRUESA"))&gt;0,"OBRA GRUESA",""),IF(SUMPRODUCT((BG204:CR204&lt;1)*(PARTIDAS!$I$2:$AT$2="SANITARIOS"))&gt;0,"SANITARIOS",""),IF(SUMPRODUCT((BG204:CR204&lt;1)*(PARTIDAS!$I$2:$AT$2="ELÉCTRICO"))&gt;0,"ELÉCTRICO",""),IF(SUMPRODUCT((BG204:CR204&lt;1)*(PARTIDAS!$I$2:$AT$2="TERMINACIONES"))&gt;0,"TERMINACIONES",""))</f>
        <v>OBRA GRUESA, SANITARIOS, ELÉCTRICO, TERMINACIONES</v>
      </c>
      <c r="CV204" s="44" cm="1">
        <f t="array" ref="CV204">SUMPRODUCT(--(BG204:CR204&lt;1))</f>
        <v>38</v>
      </c>
    </row>
    <row r="205" spans="1:100" hidden="1" x14ac:dyDescent="0.25">
      <c r="A205" t="s">
        <v>256</v>
      </c>
      <c r="B205" t="s">
        <v>268</v>
      </c>
      <c r="C205">
        <v>2282600204</v>
      </c>
      <c r="D205" t="s">
        <v>58</v>
      </c>
      <c r="E205" s="2">
        <v>0</v>
      </c>
      <c r="F205" s="1">
        <v>46239</v>
      </c>
      <c r="G205" s="1"/>
      <c r="H205" s="1">
        <v>0</v>
      </c>
      <c r="I205" s="1">
        <v>46259</v>
      </c>
      <c r="J205">
        <v>46230</v>
      </c>
      <c r="K205" s="1"/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>
        <v>28.87</v>
      </c>
      <c r="BF205" s="3" t="str">
        <f>+IF(AVANCE[[#This Row],[% AVANCE]]=100%,"MODULO TERMINADO",IF(AVANCE[[#This Row],[FECHA INICIO REAL]]="","MODULO NO INICIADO","PENDIENTE"))</f>
        <v>MODULO NO INICIADO</v>
      </c>
      <c r="BG205" s="3">
        <f>+IF(AVANCE[[#This Row],[VENTANAS]]=8.10810810810811%,100%,AVANCE[[#This Row],[VENTANAS]])</f>
        <v>0</v>
      </c>
      <c r="BH205" s="3">
        <f>+IF(AVANCE[[#This Row],[PISO]]=N$2,100%,AVANCE[[#This Row],[PISO]])</f>
        <v>0</v>
      </c>
      <c r="BI205" s="3">
        <f>+IF(AVANCE[[#This Row],[TABIQUES]]=O$2,100%,AVANCE[[#This Row],[TABIQUES]])</f>
        <v>0</v>
      </c>
      <c r="BJ205" s="3">
        <f>+IF(AVANCE[[#This Row],[MUROS]]=P$2,100%,AVANCE[[#This Row],[MUROS]])</f>
        <v>0</v>
      </c>
      <c r="BK205" s="3">
        <f>+IF(AVANCE[[#This Row],[CIELO]]=Q$2,100%,AVANCE[[#This Row],[CIELO]])</f>
        <v>0</v>
      </c>
      <c r="BL205" s="3">
        <f>+IF(AVANCE[[#This Row],[BALCÓN]]=R$2,100%,AVANCE[[#This Row],[BALCÓN]])</f>
        <v>0</v>
      </c>
      <c r="BM205" s="3">
        <f>+IF(AVANCE[[#This Row],[RED ALCANTARILLADO]]=U$2,100%,AVANCE[[#This Row],[RED ALCANTARILLADO]])</f>
        <v>0</v>
      </c>
      <c r="BN205" s="3">
        <f>+IF(AVANCE[[#This Row],[RED DE AGUA]]=V$2,100%,AVANCE[[#This Row],[RED DE AGUA]])</f>
        <v>0</v>
      </c>
      <c r="BO205" s="3">
        <f>+IF(AVANCE[[#This Row],[VENTILACIONES]]=W$2,100%,AVANCE[[#This Row],[VENTILACIONES]])</f>
        <v>0</v>
      </c>
      <c r="BP205" s="3">
        <f>+IF(AVANCE[[#This Row],[TINA]]=X$2,100%,AVANCE[[#This Row],[TINA]])</f>
        <v>0</v>
      </c>
      <c r="BQ205" s="3">
        <f>+IF(AVANCE[[#This Row],[WC]]=Y$2,100%,AVANCE[[#This Row],[WC]])</f>
        <v>0</v>
      </c>
      <c r="BR205" s="3">
        <f>+IF(AVANCE[[#This Row],[LAVAMANOS / LAVAPLATOS / LAVADERO]]=Z$2,100%,AVANCE[[#This Row],[LAVAMANOS / LAVAPLATOS / LAVADERO]])</f>
        <v>0</v>
      </c>
      <c r="BS205" s="3">
        <f>+IF(AVANCE[[#This Row],[CANALIZACIÓN]]=AC$2,100%,AVANCE[[#This Row],[CANALIZACIÓN]])</f>
        <v>0</v>
      </c>
      <c r="BT205" s="3">
        <f>+IF(AVANCE[[#This Row],[CABLEADO]]=AD$2,100%,AVANCE[[#This Row],[CABLEADO]])</f>
        <v>0</v>
      </c>
      <c r="BU205" s="3">
        <f>+IF(AVANCE[[#This Row],[ARTEFACTOS]]=AE$2,100%,AVANCE[[#This Row],[ARTEFACTOS]])</f>
        <v>0</v>
      </c>
      <c r="BV205" s="3">
        <f>+IF(AVANCE[[#This Row],[TABLERO]]=AF$2,100%,AVANCE[[#This Row],[TABLERO]])</f>
        <v>0</v>
      </c>
      <c r="BW205" s="3">
        <f>+IF(AVANCE[[#This Row],[CAJA PAU]]=AG$2,100%,AVANCE[[#This Row],[CAJA PAU]])</f>
        <v>0</v>
      </c>
      <c r="BX205" s="3">
        <f>+IF(AVANCE[[#This Row],[INSTALACION VINILICO]]=AJ$2,100%,AVANCE[[#This Row],[INSTALACION VINILICO]])</f>
        <v>0</v>
      </c>
      <c r="BY205" s="3">
        <f>+IF(AVANCE[[#This Row],[OSB CUBIERTA]]=AK$2,100%,AVANCE[[#This Row],[OSB CUBIERTA]])</f>
        <v>0</v>
      </c>
      <c r="BZ205" s="3">
        <f>+IF(AVANCE[[#This Row],[BARANDA BALCON]]=AL$2,100%,AVANCE[[#This Row],[BARANDA BALCON]])</f>
        <v>0</v>
      </c>
      <c r="CA205" s="3">
        <f>+IF(AVANCE[[#This Row],[OSB EXTERIOR]]=AM$2,100%,AVANCE[[#This Row],[OSB EXTERIOR]])</f>
        <v>0</v>
      </c>
      <c r="CB205" s="3">
        <f>+IF(AVANCE[[#This Row],[SMART PANEL]]=AN$2,100%,AVANCE[[#This Row],[SMART PANEL]])</f>
        <v>0</v>
      </c>
      <c r="CC205" s="3">
        <f>+IF(AVANCE[[#This Row],[PINTURA EXTERIOR]]=AO$2,100%,AVANCE[[#This Row],[PINTURA EXTERIOR]])</f>
        <v>0</v>
      </c>
      <c r="CD205" s="3">
        <f>+IF(AVANCE[[#This Row],[ZOCALOS LOGIA]]=AP$2,100%,AVANCE[[#This Row],[ZOCALOS LOGIA]])</f>
        <v>0</v>
      </c>
      <c r="CE205" s="3">
        <f>+IF(AVANCE[[#This Row],[MOLDURAS]]=AQ$2,100%,AVANCE[[#This Row],[MOLDURAS]])</f>
        <v>0</v>
      </c>
      <c r="CF205" s="3">
        <f>+IF(AVANCE[[#This Row],[PILASTREO]]=AR$2,100%,AVANCE[[#This Row],[PILASTREO]])</f>
        <v>0</v>
      </c>
      <c r="CG205" s="3">
        <f>+IF(AVANCE[[#This Row],[CELOSIAS]]=AS$2,100%,AVANCE[[#This Row],[CELOSIAS]])</f>
        <v>0</v>
      </c>
      <c r="CH205" s="3">
        <f>+IF(AVANCE[[#This Row],[VENTANAS]]=AT$2,100%,AVANCE[[#This Row],[VENTANAS]])</f>
        <v>0</v>
      </c>
      <c r="CI205" s="3">
        <f>+IF(AVANCE[[#This Row],[PUERTAS ACCESO - LOGIA - BANO]]=AU$2,100%,AVANCE[[#This Row],[PUERTAS ACCESO - LOGIA - BANO]])</f>
        <v>0</v>
      </c>
      <c r="CJ205" s="3">
        <f>+IF(AVANCE[[#This Row],[CERRADURAS]]=AV$2,100%,AVANCE[[#This Row],[CERRADURAS]])</f>
        <v>0</v>
      </c>
      <c r="CK205" s="3">
        <f>+IF(AVANCE[[#This Row],[REVESTIMIENTO INTERIOR ZONA SECA]]=AW$2,100%,AVANCE[[#This Row],[REVESTIMIENTO INTERIOR ZONA SECA]])</f>
        <v>0</v>
      </c>
      <c r="CL205" s="3">
        <f>+IF(AVANCE[[#This Row],[REVESTIMIENTO INTERIOR ZONAS HUMEDAS]]=AX$2,100%,AVANCE[[#This Row],[REVESTIMIENTO INTERIOR ZONAS HUMEDAS]])</f>
        <v>0</v>
      </c>
      <c r="CM205" s="3">
        <f>+IF(AVANCE[[#This Row],[MEMBRANA CIELO]]=AY$2,100%,AVANCE[[#This Row],[MEMBRANA CIELO]])</f>
        <v>0</v>
      </c>
      <c r="CN205" s="3">
        <f>+IF(AVANCE[[#This Row],[LIMPIEZA FINAL]]=AZ$2,100%,AVANCE[[#This Row],[LIMPIEZA FINAL]])</f>
        <v>0</v>
      </c>
      <c r="CO205" s="3">
        <f>+IF(AVANCE[[#This Row],[PUERTAS DORMITORIO]]=BA$2,100%,AVANCE[[#This Row],[PUERTAS DORMITORIO]])</f>
        <v>0</v>
      </c>
      <c r="CP205" s="3">
        <f>+IF(AVANCE[[#This Row],[REVESTIMIENTO INTERIOR BANO]]=BB$2,100%,AVANCE[[#This Row],[REVESTIMIENTO INTERIOR BANO]])</f>
        <v>0</v>
      </c>
      <c r="CQ205" s="3">
        <f>+IF(AVANCE[[#This Row],[MUEBLE LAVAPLATOS]]=BC$2,100%,AVANCE[[#This Row],[MUEBLE LAVAPLATOS]])</f>
        <v>0</v>
      </c>
      <c r="CR205" s="3">
        <f>+IF(AVANCE[[#This Row],[IMPERMEABILIZACION BANO - COCINA LOGIA]]=BD$2,100%,AVANCE[[#This Row],[IMPERMEABILIZACION BANO - COCINA LOGIA]])</f>
        <v>0</v>
      </c>
      <c r="CS205" s="40">
        <f ca="1">+IF(AVANCE[[#This Row],[ESTADO MODULO]]="PENDIENTE",(TODAY()-AVANCE[[#This Row],[FECHA TERMINO  PLANIFICADO]]),0)</f>
        <v>0</v>
      </c>
      <c r="CT205" s="41" t="str" cm="1">
        <f t="array" ref="CT205">_xlfn.TEXTJOIN(" | ",TRUE,IF(SUMPRODUCT((BG205:CR205&lt;1)*(PARTIDAS!$I$2:$AT$2="OBRA GRUESA"))&gt;0,"OBRA GRUESA: "&amp;_xlfn.TEXTJOIN(", ",TRUE,IF((BG205:CR205&lt;1)*(PARTIDAS!$I$2:$AT$2="OBRA GRUESA"),PARTIDAS!$I$1:$AT$1,"")),""),IF(SUMPRODUCT((BG205:CR205&lt;1)*(PARTIDAS!$I$2:$AT$2="SANITARIOS"))&gt;0,"SANITARIOS: "&amp;_xlfn.TEXTJOIN(", ",TRUE,IF((BG205:CR205&lt;1)*(PARTIDAS!$I$2:$AT$2="SANITARIOS"),PARTIDAS!$I$1:$AT$1,"")),""),IF(SUMPRODUCT((BG205:CR205&lt;1)*(PARTIDAS!$I$2:$AT$2="ELÉCTRICO"))&gt;0,"ELÉCTRICO: "&amp;_xlfn.TEXTJOIN(", ",TRUE,IF((BG205:CR205&lt;1)*(PARTIDAS!$I$2:$AT$2="ELÉCTRICO"),PARTIDAS!$I$1:$AT$1,"")),""),IF(SUMPRODUCT((BG205:CR205&lt;1)*(PARTIDAS!$I$2:$AT$2="TERMINACIONES"))&gt;0,"TERMINACIONES: "&amp;_xlfn.TEXTJOIN(", ",TRUE,IF((BG205:CR205&lt;1)*(PARTIDAS!$I$2:$AT$2="TERMINACIONES"),PARTIDAS!$I$1:$AT$1,"")),""))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5" s="43" t="str" cm="1">
        <f t="array" ref="CU205">_xlfn.TEXTJOIN(", ",TRUE,IF(SUMPRODUCT((BG205:CR205&lt;1)*(PARTIDAS!$I$2:$AT$2="OBRA GRUESA"))&gt;0,"OBRA GRUESA",""),IF(SUMPRODUCT((BG205:CR205&lt;1)*(PARTIDAS!$I$2:$AT$2="SANITARIOS"))&gt;0,"SANITARIOS",""),IF(SUMPRODUCT((BG205:CR205&lt;1)*(PARTIDAS!$I$2:$AT$2="ELÉCTRICO"))&gt;0,"ELÉCTRICO",""),IF(SUMPRODUCT((BG205:CR205&lt;1)*(PARTIDAS!$I$2:$AT$2="TERMINACIONES"))&gt;0,"TERMINACIONES",""))</f>
        <v>OBRA GRUESA, SANITARIOS, ELÉCTRICO, TERMINACIONES</v>
      </c>
      <c r="CV205" s="44" cm="1">
        <f t="array" ref="CV205">SUMPRODUCT(--(BG205:CR205&lt;1))</f>
        <v>38</v>
      </c>
    </row>
    <row r="206" spans="1:100" hidden="1" x14ac:dyDescent="0.25">
      <c r="A206" t="s">
        <v>256</v>
      </c>
      <c r="B206" t="s">
        <v>269</v>
      </c>
      <c r="C206">
        <v>2282600205</v>
      </c>
      <c r="D206" t="s">
        <v>58</v>
      </c>
      <c r="E206" s="2">
        <v>0</v>
      </c>
      <c r="F206" s="1">
        <v>46239</v>
      </c>
      <c r="G206" s="1"/>
      <c r="H206" s="1">
        <v>0</v>
      </c>
      <c r="I206" s="1">
        <v>46259</v>
      </c>
      <c r="J206">
        <v>46230</v>
      </c>
      <c r="K206" s="1"/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>
        <v>28.87</v>
      </c>
      <c r="BF206" s="3" t="str">
        <f>+IF(AVANCE[[#This Row],[% AVANCE]]=100%,"MODULO TERMINADO",IF(AVANCE[[#This Row],[FECHA INICIO REAL]]="","MODULO NO INICIADO","PENDIENTE"))</f>
        <v>MODULO NO INICIADO</v>
      </c>
      <c r="BG206" s="3">
        <f>+IF(AVANCE[[#This Row],[VENTANAS]]=8.10810810810811%,100%,AVANCE[[#This Row],[VENTANAS]])</f>
        <v>0</v>
      </c>
      <c r="BH206" s="3">
        <f>+IF(AVANCE[[#This Row],[PISO]]=N$2,100%,AVANCE[[#This Row],[PISO]])</f>
        <v>0</v>
      </c>
      <c r="BI206" s="3">
        <f>+IF(AVANCE[[#This Row],[TABIQUES]]=O$2,100%,AVANCE[[#This Row],[TABIQUES]])</f>
        <v>0</v>
      </c>
      <c r="BJ206" s="3">
        <f>+IF(AVANCE[[#This Row],[MUROS]]=P$2,100%,AVANCE[[#This Row],[MUROS]])</f>
        <v>0</v>
      </c>
      <c r="BK206" s="3">
        <f>+IF(AVANCE[[#This Row],[CIELO]]=Q$2,100%,AVANCE[[#This Row],[CIELO]])</f>
        <v>0</v>
      </c>
      <c r="BL206" s="3">
        <f>+IF(AVANCE[[#This Row],[BALCÓN]]=R$2,100%,AVANCE[[#This Row],[BALCÓN]])</f>
        <v>0</v>
      </c>
      <c r="BM206" s="3">
        <f>+IF(AVANCE[[#This Row],[RED ALCANTARILLADO]]=U$2,100%,AVANCE[[#This Row],[RED ALCANTARILLADO]])</f>
        <v>0</v>
      </c>
      <c r="BN206" s="3">
        <f>+IF(AVANCE[[#This Row],[RED DE AGUA]]=V$2,100%,AVANCE[[#This Row],[RED DE AGUA]])</f>
        <v>0</v>
      </c>
      <c r="BO206" s="3">
        <f>+IF(AVANCE[[#This Row],[VENTILACIONES]]=W$2,100%,AVANCE[[#This Row],[VENTILACIONES]])</f>
        <v>0</v>
      </c>
      <c r="BP206" s="3">
        <f>+IF(AVANCE[[#This Row],[TINA]]=X$2,100%,AVANCE[[#This Row],[TINA]])</f>
        <v>0</v>
      </c>
      <c r="BQ206" s="3">
        <f>+IF(AVANCE[[#This Row],[WC]]=Y$2,100%,AVANCE[[#This Row],[WC]])</f>
        <v>0</v>
      </c>
      <c r="BR206" s="3">
        <f>+IF(AVANCE[[#This Row],[LAVAMANOS / LAVAPLATOS / LAVADERO]]=Z$2,100%,AVANCE[[#This Row],[LAVAMANOS / LAVAPLATOS / LAVADERO]])</f>
        <v>0</v>
      </c>
      <c r="BS206" s="3">
        <f>+IF(AVANCE[[#This Row],[CANALIZACIÓN]]=AC$2,100%,AVANCE[[#This Row],[CANALIZACIÓN]])</f>
        <v>0</v>
      </c>
      <c r="BT206" s="3">
        <f>+IF(AVANCE[[#This Row],[CABLEADO]]=AD$2,100%,AVANCE[[#This Row],[CABLEADO]])</f>
        <v>0</v>
      </c>
      <c r="BU206" s="3">
        <f>+IF(AVANCE[[#This Row],[ARTEFACTOS]]=AE$2,100%,AVANCE[[#This Row],[ARTEFACTOS]])</f>
        <v>0</v>
      </c>
      <c r="BV206" s="3">
        <f>+IF(AVANCE[[#This Row],[TABLERO]]=AF$2,100%,AVANCE[[#This Row],[TABLERO]])</f>
        <v>0</v>
      </c>
      <c r="BW206" s="3">
        <f>+IF(AVANCE[[#This Row],[CAJA PAU]]=AG$2,100%,AVANCE[[#This Row],[CAJA PAU]])</f>
        <v>0</v>
      </c>
      <c r="BX206" s="3">
        <f>+IF(AVANCE[[#This Row],[INSTALACION VINILICO]]=AJ$2,100%,AVANCE[[#This Row],[INSTALACION VINILICO]])</f>
        <v>0</v>
      </c>
      <c r="BY206" s="3">
        <f>+IF(AVANCE[[#This Row],[OSB CUBIERTA]]=AK$2,100%,AVANCE[[#This Row],[OSB CUBIERTA]])</f>
        <v>0</v>
      </c>
      <c r="BZ206" s="3">
        <f>+IF(AVANCE[[#This Row],[BARANDA BALCON]]=AL$2,100%,AVANCE[[#This Row],[BARANDA BALCON]])</f>
        <v>0</v>
      </c>
      <c r="CA206" s="3">
        <f>+IF(AVANCE[[#This Row],[OSB EXTERIOR]]=AM$2,100%,AVANCE[[#This Row],[OSB EXTERIOR]])</f>
        <v>0</v>
      </c>
      <c r="CB206" s="3">
        <f>+IF(AVANCE[[#This Row],[SMART PANEL]]=AN$2,100%,AVANCE[[#This Row],[SMART PANEL]])</f>
        <v>0</v>
      </c>
      <c r="CC206" s="3">
        <f>+IF(AVANCE[[#This Row],[PINTURA EXTERIOR]]=AO$2,100%,AVANCE[[#This Row],[PINTURA EXTERIOR]])</f>
        <v>0</v>
      </c>
      <c r="CD206" s="3">
        <f>+IF(AVANCE[[#This Row],[ZOCALOS LOGIA]]=AP$2,100%,AVANCE[[#This Row],[ZOCALOS LOGIA]])</f>
        <v>0</v>
      </c>
      <c r="CE206" s="3">
        <f>+IF(AVANCE[[#This Row],[MOLDURAS]]=AQ$2,100%,AVANCE[[#This Row],[MOLDURAS]])</f>
        <v>0</v>
      </c>
      <c r="CF206" s="3">
        <f>+IF(AVANCE[[#This Row],[PILASTREO]]=AR$2,100%,AVANCE[[#This Row],[PILASTREO]])</f>
        <v>0</v>
      </c>
      <c r="CG206" s="3">
        <f>+IF(AVANCE[[#This Row],[CELOSIAS]]=AS$2,100%,AVANCE[[#This Row],[CELOSIAS]])</f>
        <v>0</v>
      </c>
      <c r="CH206" s="3">
        <f>+IF(AVANCE[[#This Row],[VENTANAS]]=AT$2,100%,AVANCE[[#This Row],[VENTANAS]])</f>
        <v>0</v>
      </c>
      <c r="CI206" s="3">
        <f>+IF(AVANCE[[#This Row],[PUERTAS ACCESO - LOGIA - BANO]]=AU$2,100%,AVANCE[[#This Row],[PUERTAS ACCESO - LOGIA - BANO]])</f>
        <v>0</v>
      </c>
      <c r="CJ206" s="3">
        <f>+IF(AVANCE[[#This Row],[CERRADURAS]]=AV$2,100%,AVANCE[[#This Row],[CERRADURAS]])</f>
        <v>0</v>
      </c>
      <c r="CK206" s="3">
        <f>+IF(AVANCE[[#This Row],[REVESTIMIENTO INTERIOR ZONA SECA]]=AW$2,100%,AVANCE[[#This Row],[REVESTIMIENTO INTERIOR ZONA SECA]])</f>
        <v>0</v>
      </c>
      <c r="CL206" s="3">
        <f>+IF(AVANCE[[#This Row],[REVESTIMIENTO INTERIOR ZONAS HUMEDAS]]=AX$2,100%,AVANCE[[#This Row],[REVESTIMIENTO INTERIOR ZONAS HUMEDAS]])</f>
        <v>0</v>
      </c>
      <c r="CM206" s="3">
        <f>+IF(AVANCE[[#This Row],[MEMBRANA CIELO]]=AY$2,100%,AVANCE[[#This Row],[MEMBRANA CIELO]])</f>
        <v>0</v>
      </c>
      <c r="CN206" s="3">
        <f>+IF(AVANCE[[#This Row],[LIMPIEZA FINAL]]=AZ$2,100%,AVANCE[[#This Row],[LIMPIEZA FINAL]])</f>
        <v>0</v>
      </c>
      <c r="CO206" s="3">
        <f>+IF(AVANCE[[#This Row],[PUERTAS DORMITORIO]]=BA$2,100%,AVANCE[[#This Row],[PUERTAS DORMITORIO]])</f>
        <v>0</v>
      </c>
      <c r="CP206" s="3">
        <f>+IF(AVANCE[[#This Row],[REVESTIMIENTO INTERIOR BANO]]=BB$2,100%,AVANCE[[#This Row],[REVESTIMIENTO INTERIOR BANO]])</f>
        <v>0</v>
      </c>
      <c r="CQ206" s="3">
        <f>+IF(AVANCE[[#This Row],[MUEBLE LAVAPLATOS]]=BC$2,100%,AVANCE[[#This Row],[MUEBLE LAVAPLATOS]])</f>
        <v>0</v>
      </c>
      <c r="CR206" s="3">
        <f>+IF(AVANCE[[#This Row],[IMPERMEABILIZACION BANO - COCINA LOGIA]]=BD$2,100%,AVANCE[[#This Row],[IMPERMEABILIZACION BANO - COCINA LOGIA]])</f>
        <v>0</v>
      </c>
      <c r="CS206" s="40">
        <f ca="1">+IF(AVANCE[[#This Row],[ESTADO MODULO]]="PENDIENTE",(TODAY()-AVANCE[[#This Row],[FECHA TERMINO  PLANIFICADO]]),0)</f>
        <v>0</v>
      </c>
      <c r="CT206" s="41" t="str" cm="1">
        <f t="array" ref="CT206">_xlfn.TEXTJOIN(" | ",TRUE,IF(SUMPRODUCT((BG206:CR206&lt;1)*(PARTIDAS!$I$2:$AT$2="OBRA GRUESA"))&gt;0,"OBRA GRUESA: "&amp;_xlfn.TEXTJOIN(", ",TRUE,IF((BG206:CR206&lt;1)*(PARTIDAS!$I$2:$AT$2="OBRA GRUESA"),PARTIDAS!$I$1:$AT$1,"")),""),IF(SUMPRODUCT((BG206:CR206&lt;1)*(PARTIDAS!$I$2:$AT$2="SANITARIOS"))&gt;0,"SANITARIOS: "&amp;_xlfn.TEXTJOIN(", ",TRUE,IF((BG206:CR206&lt;1)*(PARTIDAS!$I$2:$AT$2="SANITARIOS"),PARTIDAS!$I$1:$AT$1,"")),""),IF(SUMPRODUCT((BG206:CR206&lt;1)*(PARTIDAS!$I$2:$AT$2="ELÉCTRICO"))&gt;0,"ELÉCTRICO: "&amp;_xlfn.TEXTJOIN(", ",TRUE,IF((BG206:CR206&lt;1)*(PARTIDAS!$I$2:$AT$2="ELÉCTRICO"),PARTIDAS!$I$1:$AT$1,"")),""),IF(SUMPRODUCT((BG206:CR206&lt;1)*(PARTIDAS!$I$2:$AT$2="TERMINACIONES"))&gt;0,"TERMINACIONES: "&amp;_xlfn.TEXTJOIN(", ",TRUE,IF((BG206:CR206&lt;1)*(PARTIDAS!$I$2:$AT$2="TERMINACIONES"),PARTIDAS!$I$1:$AT$1,"")),""))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6" s="43" t="str" cm="1">
        <f t="array" ref="CU206">_xlfn.TEXTJOIN(", ",TRUE,IF(SUMPRODUCT((BG206:CR206&lt;1)*(PARTIDAS!$I$2:$AT$2="OBRA GRUESA"))&gt;0,"OBRA GRUESA",""),IF(SUMPRODUCT((BG206:CR206&lt;1)*(PARTIDAS!$I$2:$AT$2="SANITARIOS"))&gt;0,"SANITARIOS",""),IF(SUMPRODUCT((BG206:CR206&lt;1)*(PARTIDAS!$I$2:$AT$2="ELÉCTRICO"))&gt;0,"ELÉCTRICO",""),IF(SUMPRODUCT((BG206:CR206&lt;1)*(PARTIDAS!$I$2:$AT$2="TERMINACIONES"))&gt;0,"TERMINACIONES",""))</f>
        <v>OBRA GRUESA, SANITARIOS, ELÉCTRICO, TERMINACIONES</v>
      </c>
      <c r="CV206" s="44" cm="1">
        <f t="array" ref="CV206">SUMPRODUCT(--(BG206:CR206&lt;1))</f>
        <v>38</v>
      </c>
    </row>
    <row r="207" spans="1:100" hidden="1" x14ac:dyDescent="0.25">
      <c r="A207" t="s">
        <v>256</v>
      </c>
      <c r="B207" t="s">
        <v>270</v>
      </c>
      <c r="C207">
        <v>2302600206</v>
      </c>
      <c r="D207" t="s">
        <v>60</v>
      </c>
      <c r="E207" s="2">
        <v>0</v>
      </c>
      <c r="F207" s="1">
        <v>46240</v>
      </c>
      <c r="G207" s="1"/>
      <c r="H207" s="1">
        <v>0</v>
      </c>
      <c r="I207" s="1">
        <v>46270</v>
      </c>
      <c r="J207">
        <v>46230</v>
      </c>
      <c r="K207" s="1"/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>
        <v>31.32</v>
      </c>
      <c r="BF207" s="3" t="str">
        <f>+IF(AVANCE[[#This Row],[% AVANCE]]=100%,"MODULO TERMINADO",IF(AVANCE[[#This Row],[FECHA INICIO REAL]]="","MODULO NO INICIADO","PENDIENTE"))</f>
        <v>MODULO NO INICIADO</v>
      </c>
      <c r="BG207" s="3">
        <f>+IF(AVANCE[[#This Row],[VENTANAS]]=8.10810810810811%,100%,AVANCE[[#This Row],[VENTANAS]])</f>
        <v>0</v>
      </c>
      <c r="BH207" s="3">
        <f>+IF(AVANCE[[#This Row],[PISO]]=N$2,100%,AVANCE[[#This Row],[PISO]])</f>
        <v>0</v>
      </c>
      <c r="BI207" s="3">
        <f>+IF(AVANCE[[#This Row],[TABIQUES]]=O$2,100%,AVANCE[[#This Row],[TABIQUES]])</f>
        <v>0</v>
      </c>
      <c r="BJ207" s="3">
        <f>+IF(AVANCE[[#This Row],[MUROS]]=P$2,100%,AVANCE[[#This Row],[MUROS]])</f>
        <v>0</v>
      </c>
      <c r="BK207" s="3">
        <f>+IF(AVANCE[[#This Row],[CIELO]]=Q$2,100%,AVANCE[[#This Row],[CIELO]])</f>
        <v>0</v>
      </c>
      <c r="BL207" s="3">
        <f>+IF(AVANCE[[#This Row],[BALCÓN]]=R$2,100%,AVANCE[[#This Row],[BALCÓN]])</f>
        <v>0</v>
      </c>
      <c r="BM207" s="3">
        <f>+IF(AVANCE[[#This Row],[RED ALCANTARILLADO]]=U$2,100%,AVANCE[[#This Row],[RED ALCANTARILLADO]])</f>
        <v>0</v>
      </c>
      <c r="BN207" s="3">
        <f>+IF(AVANCE[[#This Row],[RED DE AGUA]]=V$2,100%,AVANCE[[#This Row],[RED DE AGUA]])</f>
        <v>0</v>
      </c>
      <c r="BO207" s="3">
        <f>+IF(AVANCE[[#This Row],[VENTILACIONES]]=W$2,100%,AVANCE[[#This Row],[VENTILACIONES]])</f>
        <v>0</v>
      </c>
      <c r="BP207" s="3">
        <f>+IF(AVANCE[[#This Row],[TINA]]=X$2,100%,AVANCE[[#This Row],[TINA]])</f>
        <v>0</v>
      </c>
      <c r="BQ207" s="3">
        <f>+IF(AVANCE[[#This Row],[WC]]=Y$2,100%,AVANCE[[#This Row],[WC]])</f>
        <v>0</v>
      </c>
      <c r="BR207" s="3">
        <f>+IF(AVANCE[[#This Row],[LAVAMANOS / LAVAPLATOS / LAVADERO]]=Z$2,100%,AVANCE[[#This Row],[LAVAMANOS / LAVAPLATOS / LAVADERO]])</f>
        <v>0</v>
      </c>
      <c r="BS207" s="3">
        <f>+IF(AVANCE[[#This Row],[CANALIZACIÓN]]=AC$2,100%,AVANCE[[#This Row],[CANALIZACIÓN]])</f>
        <v>0</v>
      </c>
      <c r="BT207" s="3">
        <f>+IF(AVANCE[[#This Row],[CABLEADO]]=AD$2,100%,AVANCE[[#This Row],[CABLEADO]])</f>
        <v>0</v>
      </c>
      <c r="BU207" s="3">
        <f>+IF(AVANCE[[#This Row],[ARTEFACTOS]]=AE$2,100%,AVANCE[[#This Row],[ARTEFACTOS]])</f>
        <v>0</v>
      </c>
      <c r="BV207" s="3">
        <f>+IF(AVANCE[[#This Row],[TABLERO]]=AF$2,100%,AVANCE[[#This Row],[TABLERO]])</f>
        <v>0</v>
      </c>
      <c r="BW207" s="3">
        <f>+IF(AVANCE[[#This Row],[CAJA PAU]]=AG$2,100%,AVANCE[[#This Row],[CAJA PAU]])</f>
        <v>0</v>
      </c>
      <c r="BX207" s="3">
        <f>+IF(AVANCE[[#This Row],[INSTALACION VINILICO]]=AJ$2,100%,AVANCE[[#This Row],[INSTALACION VINILICO]])</f>
        <v>0</v>
      </c>
      <c r="BY207" s="3">
        <f>+IF(AVANCE[[#This Row],[OSB CUBIERTA]]=AK$2,100%,AVANCE[[#This Row],[OSB CUBIERTA]])</f>
        <v>0</v>
      </c>
      <c r="BZ207" s="3">
        <f>+IF(AVANCE[[#This Row],[BARANDA BALCON]]=AL$2,100%,AVANCE[[#This Row],[BARANDA BALCON]])</f>
        <v>0</v>
      </c>
      <c r="CA207" s="3">
        <f>+IF(AVANCE[[#This Row],[OSB EXTERIOR]]=AM$2,100%,AVANCE[[#This Row],[OSB EXTERIOR]])</f>
        <v>0</v>
      </c>
      <c r="CB207" s="3">
        <f>+IF(AVANCE[[#This Row],[SMART PANEL]]=AN$2,100%,AVANCE[[#This Row],[SMART PANEL]])</f>
        <v>0</v>
      </c>
      <c r="CC207" s="3">
        <f>+IF(AVANCE[[#This Row],[PINTURA EXTERIOR]]=AO$2,100%,AVANCE[[#This Row],[PINTURA EXTERIOR]])</f>
        <v>0</v>
      </c>
      <c r="CD207" s="3">
        <f>+IF(AVANCE[[#This Row],[ZOCALOS LOGIA]]=AP$2,100%,AVANCE[[#This Row],[ZOCALOS LOGIA]])</f>
        <v>0</v>
      </c>
      <c r="CE207" s="3">
        <f>+IF(AVANCE[[#This Row],[MOLDURAS]]=AQ$2,100%,AVANCE[[#This Row],[MOLDURAS]])</f>
        <v>0</v>
      </c>
      <c r="CF207" s="3">
        <f>+IF(AVANCE[[#This Row],[PILASTREO]]=AR$2,100%,AVANCE[[#This Row],[PILASTREO]])</f>
        <v>0</v>
      </c>
      <c r="CG207" s="3">
        <f>+IF(AVANCE[[#This Row],[CELOSIAS]]=AS$2,100%,AVANCE[[#This Row],[CELOSIAS]])</f>
        <v>0</v>
      </c>
      <c r="CH207" s="3">
        <f>+IF(AVANCE[[#This Row],[VENTANAS]]=AT$2,100%,AVANCE[[#This Row],[VENTANAS]])</f>
        <v>0</v>
      </c>
      <c r="CI207" s="3">
        <f>+IF(AVANCE[[#This Row],[PUERTAS ACCESO - LOGIA - BANO]]=AU$2,100%,AVANCE[[#This Row],[PUERTAS ACCESO - LOGIA - BANO]])</f>
        <v>0</v>
      </c>
      <c r="CJ207" s="3">
        <f>+IF(AVANCE[[#This Row],[CERRADURAS]]=AV$2,100%,AVANCE[[#This Row],[CERRADURAS]])</f>
        <v>0</v>
      </c>
      <c r="CK207" s="3">
        <f>+IF(AVANCE[[#This Row],[REVESTIMIENTO INTERIOR ZONA SECA]]=AW$2,100%,AVANCE[[#This Row],[REVESTIMIENTO INTERIOR ZONA SECA]])</f>
        <v>0</v>
      </c>
      <c r="CL207" s="3">
        <f>+IF(AVANCE[[#This Row],[REVESTIMIENTO INTERIOR ZONAS HUMEDAS]]=AX$2,100%,AVANCE[[#This Row],[REVESTIMIENTO INTERIOR ZONAS HUMEDAS]])</f>
        <v>0</v>
      </c>
      <c r="CM207" s="3">
        <f>+IF(AVANCE[[#This Row],[MEMBRANA CIELO]]=AY$2,100%,AVANCE[[#This Row],[MEMBRANA CIELO]])</f>
        <v>0</v>
      </c>
      <c r="CN207" s="3">
        <f>+IF(AVANCE[[#This Row],[LIMPIEZA FINAL]]=AZ$2,100%,AVANCE[[#This Row],[LIMPIEZA FINAL]])</f>
        <v>0</v>
      </c>
      <c r="CO207" s="3">
        <f>+IF(AVANCE[[#This Row],[PUERTAS DORMITORIO]]=BA$2,100%,AVANCE[[#This Row],[PUERTAS DORMITORIO]])</f>
        <v>0</v>
      </c>
      <c r="CP207" s="3">
        <f>+IF(AVANCE[[#This Row],[REVESTIMIENTO INTERIOR BANO]]=BB$2,100%,AVANCE[[#This Row],[REVESTIMIENTO INTERIOR BANO]])</f>
        <v>0</v>
      </c>
      <c r="CQ207" s="3">
        <f>+IF(AVANCE[[#This Row],[MUEBLE LAVAPLATOS]]=BC$2,100%,AVANCE[[#This Row],[MUEBLE LAVAPLATOS]])</f>
        <v>0</v>
      </c>
      <c r="CR207" s="3">
        <f>+IF(AVANCE[[#This Row],[IMPERMEABILIZACION BANO - COCINA LOGIA]]=BD$2,100%,AVANCE[[#This Row],[IMPERMEABILIZACION BANO - COCINA LOGIA]])</f>
        <v>0</v>
      </c>
      <c r="CS207" s="40">
        <f ca="1">+IF(AVANCE[[#This Row],[ESTADO MODULO]]="PENDIENTE",(TODAY()-AVANCE[[#This Row],[FECHA TERMINO  PLANIFICADO]]),0)</f>
        <v>0</v>
      </c>
      <c r="CT207" s="41" t="str" cm="1">
        <f t="array" ref="CT207">_xlfn.TEXTJOIN(" | ",TRUE,IF(SUMPRODUCT((BG207:CR207&lt;1)*(PARTIDAS!$I$2:$AT$2="OBRA GRUESA"))&gt;0,"OBRA GRUESA: "&amp;_xlfn.TEXTJOIN(", ",TRUE,IF((BG207:CR207&lt;1)*(PARTIDAS!$I$2:$AT$2="OBRA GRUESA"),PARTIDAS!$I$1:$AT$1,"")),""),IF(SUMPRODUCT((BG207:CR207&lt;1)*(PARTIDAS!$I$2:$AT$2="SANITARIOS"))&gt;0,"SANITARIOS: "&amp;_xlfn.TEXTJOIN(", ",TRUE,IF((BG207:CR207&lt;1)*(PARTIDAS!$I$2:$AT$2="SANITARIOS"),PARTIDAS!$I$1:$AT$1,"")),""),IF(SUMPRODUCT((BG207:CR207&lt;1)*(PARTIDAS!$I$2:$AT$2="ELÉCTRICO"))&gt;0,"ELÉCTRICO: "&amp;_xlfn.TEXTJOIN(", ",TRUE,IF((BG207:CR207&lt;1)*(PARTIDAS!$I$2:$AT$2="ELÉCTRICO"),PARTIDAS!$I$1:$AT$1,"")),""),IF(SUMPRODUCT((BG207:CR207&lt;1)*(PARTIDAS!$I$2:$AT$2="TERMINACIONES"))&gt;0,"TERMINACIONES: "&amp;_xlfn.TEXTJOIN(", ",TRUE,IF((BG207:CR207&lt;1)*(PARTIDAS!$I$2:$AT$2="TERMINACIONES"),PARTIDAS!$I$1:$AT$1,"")),""))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7" s="43" t="str" cm="1">
        <f t="array" ref="CU207">_xlfn.TEXTJOIN(", ",TRUE,IF(SUMPRODUCT((BG207:CR207&lt;1)*(PARTIDAS!$I$2:$AT$2="OBRA GRUESA"))&gt;0,"OBRA GRUESA",""),IF(SUMPRODUCT((BG207:CR207&lt;1)*(PARTIDAS!$I$2:$AT$2="SANITARIOS"))&gt;0,"SANITARIOS",""),IF(SUMPRODUCT((BG207:CR207&lt;1)*(PARTIDAS!$I$2:$AT$2="ELÉCTRICO"))&gt;0,"ELÉCTRICO",""),IF(SUMPRODUCT((BG207:CR207&lt;1)*(PARTIDAS!$I$2:$AT$2="TERMINACIONES"))&gt;0,"TERMINACIONES",""))</f>
        <v>OBRA GRUESA, SANITARIOS, ELÉCTRICO, TERMINACIONES</v>
      </c>
      <c r="CV207" s="44" cm="1">
        <f t="array" ref="CV207">SUMPRODUCT(--(BG207:CR207&lt;1))</f>
        <v>38</v>
      </c>
    </row>
    <row r="208" spans="1:100" hidden="1" x14ac:dyDescent="0.25">
      <c r="A208" t="s">
        <v>256</v>
      </c>
      <c r="B208" t="s">
        <v>271</v>
      </c>
      <c r="C208">
        <v>2302600207</v>
      </c>
      <c r="D208" t="s">
        <v>60</v>
      </c>
      <c r="E208" s="2">
        <v>0</v>
      </c>
      <c r="F208" s="1">
        <v>46240</v>
      </c>
      <c r="G208" s="1"/>
      <c r="H208" s="1">
        <v>0</v>
      </c>
      <c r="I208" s="1">
        <v>46270</v>
      </c>
      <c r="J208">
        <v>46230</v>
      </c>
      <c r="K208" s="1"/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>
        <v>31.32</v>
      </c>
      <c r="BF208" s="3" t="str">
        <f>+IF(AVANCE[[#This Row],[% AVANCE]]=100%,"MODULO TERMINADO",IF(AVANCE[[#This Row],[FECHA INICIO REAL]]="","MODULO NO INICIADO","PENDIENTE"))</f>
        <v>MODULO NO INICIADO</v>
      </c>
      <c r="BG208" s="3">
        <f>+IF(AVANCE[[#This Row],[VENTANAS]]=8.10810810810811%,100%,AVANCE[[#This Row],[VENTANAS]])</f>
        <v>0</v>
      </c>
      <c r="BH208" s="3">
        <f>+IF(AVANCE[[#This Row],[PISO]]=N$2,100%,AVANCE[[#This Row],[PISO]])</f>
        <v>0</v>
      </c>
      <c r="BI208" s="3">
        <f>+IF(AVANCE[[#This Row],[TABIQUES]]=O$2,100%,AVANCE[[#This Row],[TABIQUES]])</f>
        <v>0</v>
      </c>
      <c r="BJ208" s="3">
        <f>+IF(AVANCE[[#This Row],[MUROS]]=P$2,100%,AVANCE[[#This Row],[MUROS]])</f>
        <v>0</v>
      </c>
      <c r="BK208" s="3">
        <f>+IF(AVANCE[[#This Row],[CIELO]]=Q$2,100%,AVANCE[[#This Row],[CIELO]])</f>
        <v>0</v>
      </c>
      <c r="BL208" s="3">
        <f>+IF(AVANCE[[#This Row],[BALCÓN]]=R$2,100%,AVANCE[[#This Row],[BALCÓN]])</f>
        <v>0</v>
      </c>
      <c r="BM208" s="3">
        <f>+IF(AVANCE[[#This Row],[RED ALCANTARILLADO]]=U$2,100%,AVANCE[[#This Row],[RED ALCANTARILLADO]])</f>
        <v>0</v>
      </c>
      <c r="BN208" s="3">
        <f>+IF(AVANCE[[#This Row],[RED DE AGUA]]=V$2,100%,AVANCE[[#This Row],[RED DE AGUA]])</f>
        <v>0</v>
      </c>
      <c r="BO208" s="3">
        <f>+IF(AVANCE[[#This Row],[VENTILACIONES]]=W$2,100%,AVANCE[[#This Row],[VENTILACIONES]])</f>
        <v>0</v>
      </c>
      <c r="BP208" s="3">
        <f>+IF(AVANCE[[#This Row],[TINA]]=X$2,100%,AVANCE[[#This Row],[TINA]])</f>
        <v>0</v>
      </c>
      <c r="BQ208" s="3">
        <f>+IF(AVANCE[[#This Row],[WC]]=Y$2,100%,AVANCE[[#This Row],[WC]])</f>
        <v>0</v>
      </c>
      <c r="BR208" s="3">
        <f>+IF(AVANCE[[#This Row],[LAVAMANOS / LAVAPLATOS / LAVADERO]]=Z$2,100%,AVANCE[[#This Row],[LAVAMANOS / LAVAPLATOS / LAVADERO]])</f>
        <v>0</v>
      </c>
      <c r="BS208" s="3">
        <f>+IF(AVANCE[[#This Row],[CANALIZACIÓN]]=AC$2,100%,AVANCE[[#This Row],[CANALIZACIÓN]])</f>
        <v>0</v>
      </c>
      <c r="BT208" s="3">
        <f>+IF(AVANCE[[#This Row],[CABLEADO]]=AD$2,100%,AVANCE[[#This Row],[CABLEADO]])</f>
        <v>0</v>
      </c>
      <c r="BU208" s="3">
        <f>+IF(AVANCE[[#This Row],[ARTEFACTOS]]=AE$2,100%,AVANCE[[#This Row],[ARTEFACTOS]])</f>
        <v>0</v>
      </c>
      <c r="BV208" s="3">
        <f>+IF(AVANCE[[#This Row],[TABLERO]]=AF$2,100%,AVANCE[[#This Row],[TABLERO]])</f>
        <v>0</v>
      </c>
      <c r="BW208" s="3">
        <f>+IF(AVANCE[[#This Row],[CAJA PAU]]=AG$2,100%,AVANCE[[#This Row],[CAJA PAU]])</f>
        <v>0</v>
      </c>
      <c r="BX208" s="3">
        <f>+IF(AVANCE[[#This Row],[INSTALACION VINILICO]]=AJ$2,100%,AVANCE[[#This Row],[INSTALACION VINILICO]])</f>
        <v>0</v>
      </c>
      <c r="BY208" s="3">
        <f>+IF(AVANCE[[#This Row],[OSB CUBIERTA]]=AK$2,100%,AVANCE[[#This Row],[OSB CUBIERTA]])</f>
        <v>0</v>
      </c>
      <c r="BZ208" s="3">
        <f>+IF(AVANCE[[#This Row],[BARANDA BALCON]]=AL$2,100%,AVANCE[[#This Row],[BARANDA BALCON]])</f>
        <v>0</v>
      </c>
      <c r="CA208" s="3">
        <f>+IF(AVANCE[[#This Row],[OSB EXTERIOR]]=AM$2,100%,AVANCE[[#This Row],[OSB EXTERIOR]])</f>
        <v>0</v>
      </c>
      <c r="CB208" s="3">
        <f>+IF(AVANCE[[#This Row],[SMART PANEL]]=AN$2,100%,AVANCE[[#This Row],[SMART PANEL]])</f>
        <v>0</v>
      </c>
      <c r="CC208" s="3">
        <f>+IF(AVANCE[[#This Row],[PINTURA EXTERIOR]]=AO$2,100%,AVANCE[[#This Row],[PINTURA EXTERIOR]])</f>
        <v>0</v>
      </c>
      <c r="CD208" s="3">
        <f>+IF(AVANCE[[#This Row],[ZOCALOS LOGIA]]=AP$2,100%,AVANCE[[#This Row],[ZOCALOS LOGIA]])</f>
        <v>0</v>
      </c>
      <c r="CE208" s="3">
        <f>+IF(AVANCE[[#This Row],[MOLDURAS]]=AQ$2,100%,AVANCE[[#This Row],[MOLDURAS]])</f>
        <v>0</v>
      </c>
      <c r="CF208" s="3">
        <f>+IF(AVANCE[[#This Row],[PILASTREO]]=AR$2,100%,AVANCE[[#This Row],[PILASTREO]])</f>
        <v>0</v>
      </c>
      <c r="CG208" s="3">
        <f>+IF(AVANCE[[#This Row],[CELOSIAS]]=AS$2,100%,AVANCE[[#This Row],[CELOSIAS]])</f>
        <v>0</v>
      </c>
      <c r="CH208" s="3">
        <f>+IF(AVANCE[[#This Row],[VENTANAS]]=AT$2,100%,AVANCE[[#This Row],[VENTANAS]])</f>
        <v>0</v>
      </c>
      <c r="CI208" s="3">
        <f>+IF(AVANCE[[#This Row],[PUERTAS ACCESO - LOGIA - BANO]]=AU$2,100%,AVANCE[[#This Row],[PUERTAS ACCESO - LOGIA - BANO]])</f>
        <v>0</v>
      </c>
      <c r="CJ208" s="3">
        <f>+IF(AVANCE[[#This Row],[CERRADURAS]]=AV$2,100%,AVANCE[[#This Row],[CERRADURAS]])</f>
        <v>0</v>
      </c>
      <c r="CK208" s="3">
        <f>+IF(AVANCE[[#This Row],[REVESTIMIENTO INTERIOR ZONA SECA]]=AW$2,100%,AVANCE[[#This Row],[REVESTIMIENTO INTERIOR ZONA SECA]])</f>
        <v>0</v>
      </c>
      <c r="CL208" s="3">
        <f>+IF(AVANCE[[#This Row],[REVESTIMIENTO INTERIOR ZONAS HUMEDAS]]=AX$2,100%,AVANCE[[#This Row],[REVESTIMIENTO INTERIOR ZONAS HUMEDAS]])</f>
        <v>0</v>
      </c>
      <c r="CM208" s="3">
        <f>+IF(AVANCE[[#This Row],[MEMBRANA CIELO]]=AY$2,100%,AVANCE[[#This Row],[MEMBRANA CIELO]])</f>
        <v>0</v>
      </c>
      <c r="CN208" s="3">
        <f>+IF(AVANCE[[#This Row],[LIMPIEZA FINAL]]=AZ$2,100%,AVANCE[[#This Row],[LIMPIEZA FINAL]])</f>
        <v>0</v>
      </c>
      <c r="CO208" s="3">
        <f>+IF(AVANCE[[#This Row],[PUERTAS DORMITORIO]]=BA$2,100%,AVANCE[[#This Row],[PUERTAS DORMITORIO]])</f>
        <v>0</v>
      </c>
      <c r="CP208" s="3">
        <f>+IF(AVANCE[[#This Row],[REVESTIMIENTO INTERIOR BANO]]=BB$2,100%,AVANCE[[#This Row],[REVESTIMIENTO INTERIOR BANO]])</f>
        <v>0</v>
      </c>
      <c r="CQ208" s="3">
        <f>+IF(AVANCE[[#This Row],[MUEBLE LAVAPLATOS]]=BC$2,100%,AVANCE[[#This Row],[MUEBLE LAVAPLATOS]])</f>
        <v>0</v>
      </c>
      <c r="CR208" s="3">
        <f>+IF(AVANCE[[#This Row],[IMPERMEABILIZACION BANO - COCINA LOGIA]]=BD$2,100%,AVANCE[[#This Row],[IMPERMEABILIZACION BANO - COCINA LOGIA]])</f>
        <v>0</v>
      </c>
      <c r="CS208" s="40">
        <f ca="1">+IF(AVANCE[[#This Row],[ESTADO MODULO]]="PENDIENTE",(TODAY()-AVANCE[[#This Row],[FECHA TERMINO  PLANIFICADO]]),0)</f>
        <v>0</v>
      </c>
      <c r="CT208" s="41" t="str" cm="1">
        <f t="array" ref="CT208">_xlfn.TEXTJOIN(" | ",TRUE,IF(SUMPRODUCT((BG208:CR208&lt;1)*(PARTIDAS!$I$2:$AT$2="OBRA GRUESA"))&gt;0,"OBRA GRUESA: "&amp;_xlfn.TEXTJOIN(", ",TRUE,IF((BG208:CR208&lt;1)*(PARTIDAS!$I$2:$AT$2="OBRA GRUESA"),PARTIDAS!$I$1:$AT$1,"")),""),IF(SUMPRODUCT((BG208:CR208&lt;1)*(PARTIDAS!$I$2:$AT$2="SANITARIOS"))&gt;0,"SANITARIOS: "&amp;_xlfn.TEXTJOIN(", ",TRUE,IF((BG208:CR208&lt;1)*(PARTIDAS!$I$2:$AT$2="SANITARIOS"),PARTIDAS!$I$1:$AT$1,"")),""),IF(SUMPRODUCT((BG208:CR208&lt;1)*(PARTIDAS!$I$2:$AT$2="ELÉCTRICO"))&gt;0,"ELÉCTRICO: "&amp;_xlfn.TEXTJOIN(", ",TRUE,IF((BG208:CR208&lt;1)*(PARTIDAS!$I$2:$AT$2="ELÉCTRICO"),PARTIDAS!$I$1:$AT$1,"")),""),IF(SUMPRODUCT((BG208:CR208&lt;1)*(PARTIDAS!$I$2:$AT$2="TERMINACIONES"))&gt;0,"TERMINACIONES: "&amp;_xlfn.TEXTJOIN(", ",TRUE,IF((BG208:CR208&lt;1)*(PARTIDAS!$I$2:$AT$2="TERMINACIONES"),PARTIDAS!$I$1:$AT$1,"")),""))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8" s="43" t="str" cm="1">
        <f t="array" ref="CU208">_xlfn.TEXTJOIN(", ",TRUE,IF(SUMPRODUCT((BG208:CR208&lt;1)*(PARTIDAS!$I$2:$AT$2="OBRA GRUESA"))&gt;0,"OBRA GRUESA",""),IF(SUMPRODUCT((BG208:CR208&lt;1)*(PARTIDAS!$I$2:$AT$2="SANITARIOS"))&gt;0,"SANITARIOS",""),IF(SUMPRODUCT((BG208:CR208&lt;1)*(PARTIDAS!$I$2:$AT$2="ELÉCTRICO"))&gt;0,"ELÉCTRICO",""),IF(SUMPRODUCT((BG208:CR208&lt;1)*(PARTIDAS!$I$2:$AT$2="TERMINACIONES"))&gt;0,"TERMINACIONES",""))</f>
        <v>OBRA GRUESA, SANITARIOS, ELÉCTRICO, TERMINACIONES</v>
      </c>
      <c r="CV208" s="44" cm="1">
        <f t="array" ref="CV208">SUMPRODUCT(--(BG208:CR208&lt;1))</f>
        <v>38</v>
      </c>
    </row>
    <row r="209" spans="1:100" hidden="1" x14ac:dyDescent="0.25">
      <c r="A209" t="s">
        <v>256</v>
      </c>
      <c r="B209" t="s">
        <v>272</v>
      </c>
      <c r="C209">
        <v>2282600208</v>
      </c>
      <c r="D209" t="s">
        <v>58</v>
      </c>
      <c r="E209" s="2">
        <v>0</v>
      </c>
      <c r="F209" s="1">
        <v>46240</v>
      </c>
      <c r="G209" s="1"/>
      <c r="H209" s="1">
        <v>0</v>
      </c>
      <c r="I209" s="1">
        <v>46260</v>
      </c>
      <c r="J209">
        <v>46230</v>
      </c>
      <c r="K209" s="1"/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>
        <v>28.87</v>
      </c>
      <c r="BF209" s="3" t="str">
        <f>+IF(AVANCE[[#This Row],[% AVANCE]]=100%,"MODULO TERMINADO",IF(AVANCE[[#This Row],[FECHA INICIO REAL]]="","MODULO NO INICIADO","PENDIENTE"))</f>
        <v>MODULO NO INICIADO</v>
      </c>
      <c r="BG209" s="3">
        <f>+IF(AVANCE[[#This Row],[VENTANAS]]=8.10810810810811%,100%,AVANCE[[#This Row],[VENTANAS]])</f>
        <v>0</v>
      </c>
      <c r="BH209" s="3">
        <f>+IF(AVANCE[[#This Row],[PISO]]=N$2,100%,AVANCE[[#This Row],[PISO]])</f>
        <v>0</v>
      </c>
      <c r="BI209" s="3">
        <f>+IF(AVANCE[[#This Row],[TABIQUES]]=O$2,100%,AVANCE[[#This Row],[TABIQUES]])</f>
        <v>0</v>
      </c>
      <c r="BJ209" s="3">
        <f>+IF(AVANCE[[#This Row],[MUROS]]=P$2,100%,AVANCE[[#This Row],[MUROS]])</f>
        <v>0</v>
      </c>
      <c r="BK209" s="3">
        <f>+IF(AVANCE[[#This Row],[CIELO]]=Q$2,100%,AVANCE[[#This Row],[CIELO]])</f>
        <v>0</v>
      </c>
      <c r="BL209" s="3">
        <f>+IF(AVANCE[[#This Row],[BALCÓN]]=R$2,100%,AVANCE[[#This Row],[BALCÓN]])</f>
        <v>0</v>
      </c>
      <c r="BM209" s="3">
        <f>+IF(AVANCE[[#This Row],[RED ALCANTARILLADO]]=U$2,100%,AVANCE[[#This Row],[RED ALCANTARILLADO]])</f>
        <v>0</v>
      </c>
      <c r="BN209" s="3">
        <f>+IF(AVANCE[[#This Row],[RED DE AGUA]]=V$2,100%,AVANCE[[#This Row],[RED DE AGUA]])</f>
        <v>0</v>
      </c>
      <c r="BO209" s="3">
        <f>+IF(AVANCE[[#This Row],[VENTILACIONES]]=W$2,100%,AVANCE[[#This Row],[VENTILACIONES]])</f>
        <v>0</v>
      </c>
      <c r="BP209" s="3">
        <f>+IF(AVANCE[[#This Row],[TINA]]=X$2,100%,AVANCE[[#This Row],[TINA]])</f>
        <v>0</v>
      </c>
      <c r="BQ209" s="3">
        <f>+IF(AVANCE[[#This Row],[WC]]=Y$2,100%,AVANCE[[#This Row],[WC]])</f>
        <v>0</v>
      </c>
      <c r="BR209" s="3">
        <f>+IF(AVANCE[[#This Row],[LAVAMANOS / LAVAPLATOS / LAVADERO]]=Z$2,100%,AVANCE[[#This Row],[LAVAMANOS / LAVAPLATOS / LAVADERO]])</f>
        <v>0</v>
      </c>
      <c r="BS209" s="3">
        <f>+IF(AVANCE[[#This Row],[CANALIZACIÓN]]=AC$2,100%,AVANCE[[#This Row],[CANALIZACIÓN]])</f>
        <v>0</v>
      </c>
      <c r="BT209" s="3">
        <f>+IF(AVANCE[[#This Row],[CABLEADO]]=AD$2,100%,AVANCE[[#This Row],[CABLEADO]])</f>
        <v>0</v>
      </c>
      <c r="BU209" s="3">
        <f>+IF(AVANCE[[#This Row],[ARTEFACTOS]]=AE$2,100%,AVANCE[[#This Row],[ARTEFACTOS]])</f>
        <v>0</v>
      </c>
      <c r="BV209" s="3">
        <f>+IF(AVANCE[[#This Row],[TABLERO]]=AF$2,100%,AVANCE[[#This Row],[TABLERO]])</f>
        <v>0</v>
      </c>
      <c r="BW209" s="3">
        <f>+IF(AVANCE[[#This Row],[CAJA PAU]]=AG$2,100%,AVANCE[[#This Row],[CAJA PAU]])</f>
        <v>0</v>
      </c>
      <c r="BX209" s="3">
        <f>+IF(AVANCE[[#This Row],[INSTALACION VINILICO]]=AJ$2,100%,AVANCE[[#This Row],[INSTALACION VINILICO]])</f>
        <v>0</v>
      </c>
      <c r="BY209" s="3">
        <f>+IF(AVANCE[[#This Row],[OSB CUBIERTA]]=AK$2,100%,AVANCE[[#This Row],[OSB CUBIERTA]])</f>
        <v>0</v>
      </c>
      <c r="BZ209" s="3">
        <f>+IF(AVANCE[[#This Row],[BARANDA BALCON]]=AL$2,100%,AVANCE[[#This Row],[BARANDA BALCON]])</f>
        <v>0</v>
      </c>
      <c r="CA209" s="3">
        <f>+IF(AVANCE[[#This Row],[OSB EXTERIOR]]=AM$2,100%,AVANCE[[#This Row],[OSB EXTERIOR]])</f>
        <v>0</v>
      </c>
      <c r="CB209" s="3">
        <f>+IF(AVANCE[[#This Row],[SMART PANEL]]=AN$2,100%,AVANCE[[#This Row],[SMART PANEL]])</f>
        <v>0</v>
      </c>
      <c r="CC209" s="3">
        <f>+IF(AVANCE[[#This Row],[PINTURA EXTERIOR]]=AO$2,100%,AVANCE[[#This Row],[PINTURA EXTERIOR]])</f>
        <v>0</v>
      </c>
      <c r="CD209" s="3">
        <f>+IF(AVANCE[[#This Row],[ZOCALOS LOGIA]]=AP$2,100%,AVANCE[[#This Row],[ZOCALOS LOGIA]])</f>
        <v>0</v>
      </c>
      <c r="CE209" s="3">
        <f>+IF(AVANCE[[#This Row],[MOLDURAS]]=AQ$2,100%,AVANCE[[#This Row],[MOLDURAS]])</f>
        <v>0</v>
      </c>
      <c r="CF209" s="3">
        <f>+IF(AVANCE[[#This Row],[PILASTREO]]=AR$2,100%,AVANCE[[#This Row],[PILASTREO]])</f>
        <v>0</v>
      </c>
      <c r="CG209" s="3">
        <f>+IF(AVANCE[[#This Row],[CELOSIAS]]=AS$2,100%,AVANCE[[#This Row],[CELOSIAS]])</f>
        <v>0</v>
      </c>
      <c r="CH209" s="3">
        <f>+IF(AVANCE[[#This Row],[VENTANAS]]=AT$2,100%,AVANCE[[#This Row],[VENTANAS]])</f>
        <v>0</v>
      </c>
      <c r="CI209" s="3">
        <f>+IF(AVANCE[[#This Row],[PUERTAS ACCESO - LOGIA - BANO]]=AU$2,100%,AVANCE[[#This Row],[PUERTAS ACCESO - LOGIA - BANO]])</f>
        <v>0</v>
      </c>
      <c r="CJ209" s="3">
        <f>+IF(AVANCE[[#This Row],[CERRADURAS]]=AV$2,100%,AVANCE[[#This Row],[CERRADURAS]])</f>
        <v>0</v>
      </c>
      <c r="CK209" s="3">
        <f>+IF(AVANCE[[#This Row],[REVESTIMIENTO INTERIOR ZONA SECA]]=AW$2,100%,AVANCE[[#This Row],[REVESTIMIENTO INTERIOR ZONA SECA]])</f>
        <v>0</v>
      </c>
      <c r="CL209" s="3">
        <f>+IF(AVANCE[[#This Row],[REVESTIMIENTO INTERIOR ZONAS HUMEDAS]]=AX$2,100%,AVANCE[[#This Row],[REVESTIMIENTO INTERIOR ZONAS HUMEDAS]])</f>
        <v>0</v>
      </c>
      <c r="CM209" s="3">
        <f>+IF(AVANCE[[#This Row],[MEMBRANA CIELO]]=AY$2,100%,AVANCE[[#This Row],[MEMBRANA CIELO]])</f>
        <v>0</v>
      </c>
      <c r="CN209" s="3">
        <f>+IF(AVANCE[[#This Row],[LIMPIEZA FINAL]]=AZ$2,100%,AVANCE[[#This Row],[LIMPIEZA FINAL]])</f>
        <v>0</v>
      </c>
      <c r="CO209" s="3">
        <f>+IF(AVANCE[[#This Row],[PUERTAS DORMITORIO]]=BA$2,100%,AVANCE[[#This Row],[PUERTAS DORMITORIO]])</f>
        <v>0</v>
      </c>
      <c r="CP209" s="3">
        <f>+IF(AVANCE[[#This Row],[REVESTIMIENTO INTERIOR BANO]]=BB$2,100%,AVANCE[[#This Row],[REVESTIMIENTO INTERIOR BANO]])</f>
        <v>0</v>
      </c>
      <c r="CQ209" s="3">
        <f>+IF(AVANCE[[#This Row],[MUEBLE LAVAPLATOS]]=BC$2,100%,AVANCE[[#This Row],[MUEBLE LAVAPLATOS]])</f>
        <v>0</v>
      </c>
      <c r="CR209" s="3">
        <f>+IF(AVANCE[[#This Row],[IMPERMEABILIZACION BANO - COCINA LOGIA]]=BD$2,100%,AVANCE[[#This Row],[IMPERMEABILIZACION BANO - COCINA LOGIA]])</f>
        <v>0</v>
      </c>
      <c r="CS209" s="40">
        <f ca="1">+IF(AVANCE[[#This Row],[ESTADO MODULO]]="PENDIENTE",(TODAY()-AVANCE[[#This Row],[FECHA TERMINO  PLANIFICADO]]),0)</f>
        <v>0</v>
      </c>
      <c r="CT209" s="41" t="str" cm="1">
        <f t="array" ref="CT209">_xlfn.TEXTJOIN(" | ",TRUE,IF(SUMPRODUCT((BG209:CR209&lt;1)*(PARTIDAS!$I$2:$AT$2="OBRA GRUESA"))&gt;0,"OBRA GRUESA: "&amp;_xlfn.TEXTJOIN(", ",TRUE,IF((BG209:CR209&lt;1)*(PARTIDAS!$I$2:$AT$2="OBRA GRUESA"),PARTIDAS!$I$1:$AT$1,"")),""),IF(SUMPRODUCT((BG209:CR209&lt;1)*(PARTIDAS!$I$2:$AT$2="SANITARIOS"))&gt;0,"SANITARIOS: "&amp;_xlfn.TEXTJOIN(", ",TRUE,IF((BG209:CR209&lt;1)*(PARTIDAS!$I$2:$AT$2="SANITARIOS"),PARTIDAS!$I$1:$AT$1,"")),""),IF(SUMPRODUCT((BG209:CR209&lt;1)*(PARTIDAS!$I$2:$AT$2="ELÉCTRICO"))&gt;0,"ELÉCTRICO: "&amp;_xlfn.TEXTJOIN(", ",TRUE,IF((BG209:CR209&lt;1)*(PARTIDAS!$I$2:$AT$2="ELÉCTRICO"),PARTIDAS!$I$1:$AT$1,"")),""),IF(SUMPRODUCT((BG209:CR209&lt;1)*(PARTIDAS!$I$2:$AT$2="TERMINACIONES"))&gt;0,"TERMINACIONES: "&amp;_xlfn.TEXTJOIN(", ",TRUE,IF((BG209:CR209&lt;1)*(PARTIDAS!$I$2:$AT$2="TERMINACIONES"),PARTIDAS!$I$1:$AT$1,"")),""))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09" s="43" t="str" cm="1">
        <f t="array" ref="CU209">_xlfn.TEXTJOIN(", ",TRUE,IF(SUMPRODUCT((BG209:CR209&lt;1)*(PARTIDAS!$I$2:$AT$2="OBRA GRUESA"))&gt;0,"OBRA GRUESA",""),IF(SUMPRODUCT((BG209:CR209&lt;1)*(PARTIDAS!$I$2:$AT$2="SANITARIOS"))&gt;0,"SANITARIOS",""),IF(SUMPRODUCT((BG209:CR209&lt;1)*(PARTIDAS!$I$2:$AT$2="ELÉCTRICO"))&gt;0,"ELÉCTRICO",""),IF(SUMPRODUCT((BG209:CR209&lt;1)*(PARTIDAS!$I$2:$AT$2="TERMINACIONES"))&gt;0,"TERMINACIONES",""))</f>
        <v>OBRA GRUESA, SANITARIOS, ELÉCTRICO, TERMINACIONES</v>
      </c>
      <c r="CV209" s="44" cm="1">
        <f t="array" ref="CV209">SUMPRODUCT(--(BG209:CR209&lt;1))</f>
        <v>38</v>
      </c>
    </row>
    <row r="210" spans="1:100" hidden="1" x14ac:dyDescent="0.25">
      <c r="A210" t="s">
        <v>256</v>
      </c>
      <c r="B210" t="s">
        <v>273</v>
      </c>
      <c r="C210">
        <v>2282600209</v>
      </c>
      <c r="D210" t="s">
        <v>58</v>
      </c>
      <c r="E210" s="2">
        <v>0</v>
      </c>
      <c r="F210" s="1">
        <v>46241</v>
      </c>
      <c r="G210" s="1"/>
      <c r="H210" s="1">
        <v>0</v>
      </c>
      <c r="I210" s="1">
        <v>46261</v>
      </c>
      <c r="J210">
        <v>46230</v>
      </c>
      <c r="K210" s="1"/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>
        <v>28.87</v>
      </c>
      <c r="BF210" s="3" t="str">
        <f>+IF(AVANCE[[#This Row],[% AVANCE]]=100%,"MODULO TERMINADO",IF(AVANCE[[#This Row],[FECHA INICIO REAL]]="","MODULO NO INICIADO","PENDIENTE"))</f>
        <v>MODULO NO INICIADO</v>
      </c>
      <c r="BG210" s="3">
        <f>+IF(AVANCE[[#This Row],[VENTANAS]]=8.10810810810811%,100%,AVANCE[[#This Row],[VENTANAS]])</f>
        <v>0</v>
      </c>
      <c r="BH210" s="3">
        <f>+IF(AVANCE[[#This Row],[PISO]]=N$2,100%,AVANCE[[#This Row],[PISO]])</f>
        <v>0</v>
      </c>
      <c r="BI210" s="3">
        <f>+IF(AVANCE[[#This Row],[TABIQUES]]=O$2,100%,AVANCE[[#This Row],[TABIQUES]])</f>
        <v>0</v>
      </c>
      <c r="BJ210" s="3">
        <f>+IF(AVANCE[[#This Row],[MUROS]]=P$2,100%,AVANCE[[#This Row],[MUROS]])</f>
        <v>0</v>
      </c>
      <c r="BK210" s="3">
        <f>+IF(AVANCE[[#This Row],[CIELO]]=Q$2,100%,AVANCE[[#This Row],[CIELO]])</f>
        <v>0</v>
      </c>
      <c r="BL210" s="3">
        <f>+IF(AVANCE[[#This Row],[BALCÓN]]=R$2,100%,AVANCE[[#This Row],[BALCÓN]])</f>
        <v>0</v>
      </c>
      <c r="BM210" s="3">
        <f>+IF(AVANCE[[#This Row],[RED ALCANTARILLADO]]=U$2,100%,AVANCE[[#This Row],[RED ALCANTARILLADO]])</f>
        <v>0</v>
      </c>
      <c r="BN210" s="3">
        <f>+IF(AVANCE[[#This Row],[RED DE AGUA]]=V$2,100%,AVANCE[[#This Row],[RED DE AGUA]])</f>
        <v>0</v>
      </c>
      <c r="BO210" s="3">
        <f>+IF(AVANCE[[#This Row],[VENTILACIONES]]=W$2,100%,AVANCE[[#This Row],[VENTILACIONES]])</f>
        <v>0</v>
      </c>
      <c r="BP210" s="3">
        <f>+IF(AVANCE[[#This Row],[TINA]]=X$2,100%,AVANCE[[#This Row],[TINA]])</f>
        <v>0</v>
      </c>
      <c r="BQ210" s="3">
        <f>+IF(AVANCE[[#This Row],[WC]]=Y$2,100%,AVANCE[[#This Row],[WC]])</f>
        <v>0</v>
      </c>
      <c r="BR210" s="3">
        <f>+IF(AVANCE[[#This Row],[LAVAMANOS / LAVAPLATOS / LAVADERO]]=Z$2,100%,AVANCE[[#This Row],[LAVAMANOS / LAVAPLATOS / LAVADERO]])</f>
        <v>0</v>
      </c>
      <c r="BS210" s="3">
        <f>+IF(AVANCE[[#This Row],[CANALIZACIÓN]]=AC$2,100%,AVANCE[[#This Row],[CANALIZACIÓN]])</f>
        <v>0</v>
      </c>
      <c r="BT210" s="3">
        <f>+IF(AVANCE[[#This Row],[CABLEADO]]=AD$2,100%,AVANCE[[#This Row],[CABLEADO]])</f>
        <v>0</v>
      </c>
      <c r="BU210" s="3">
        <f>+IF(AVANCE[[#This Row],[ARTEFACTOS]]=AE$2,100%,AVANCE[[#This Row],[ARTEFACTOS]])</f>
        <v>0</v>
      </c>
      <c r="BV210" s="3">
        <f>+IF(AVANCE[[#This Row],[TABLERO]]=AF$2,100%,AVANCE[[#This Row],[TABLERO]])</f>
        <v>0</v>
      </c>
      <c r="BW210" s="3">
        <f>+IF(AVANCE[[#This Row],[CAJA PAU]]=AG$2,100%,AVANCE[[#This Row],[CAJA PAU]])</f>
        <v>0</v>
      </c>
      <c r="BX210" s="3">
        <f>+IF(AVANCE[[#This Row],[INSTALACION VINILICO]]=AJ$2,100%,AVANCE[[#This Row],[INSTALACION VINILICO]])</f>
        <v>0</v>
      </c>
      <c r="BY210" s="3">
        <f>+IF(AVANCE[[#This Row],[OSB CUBIERTA]]=AK$2,100%,AVANCE[[#This Row],[OSB CUBIERTA]])</f>
        <v>0</v>
      </c>
      <c r="BZ210" s="3">
        <f>+IF(AVANCE[[#This Row],[BARANDA BALCON]]=AL$2,100%,AVANCE[[#This Row],[BARANDA BALCON]])</f>
        <v>0</v>
      </c>
      <c r="CA210" s="3">
        <f>+IF(AVANCE[[#This Row],[OSB EXTERIOR]]=AM$2,100%,AVANCE[[#This Row],[OSB EXTERIOR]])</f>
        <v>0</v>
      </c>
      <c r="CB210" s="3">
        <f>+IF(AVANCE[[#This Row],[SMART PANEL]]=AN$2,100%,AVANCE[[#This Row],[SMART PANEL]])</f>
        <v>0</v>
      </c>
      <c r="CC210" s="3">
        <f>+IF(AVANCE[[#This Row],[PINTURA EXTERIOR]]=AO$2,100%,AVANCE[[#This Row],[PINTURA EXTERIOR]])</f>
        <v>0</v>
      </c>
      <c r="CD210" s="3">
        <f>+IF(AVANCE[[#This Row],[ZOCALOS LOGIA]]=AP$2,100%,AVANCE[[#This Row],[ZOCALOS LOGIA]])</f>
        <v>0</v>
      </c>
      <c r="CE210" s="3">
        <f>+IF(AVANCE[[#This Row],[MOLDURAS]]=AQ$2,100%,AVANCE[[#This Row],[MOLDURAS]])</f>
        <v>0</v>
      </c>
      <c r="CF210" s="3">
        <f>+IF(AVANCE[[#This Row],[PILASTREO]]=AR$2,100%,AVANCE[[#This Row],[PILASTREO]])</f>
        <v>0</v>
      </c>
      <c r="CG210" s="3">
        <f>+IF(AVANCE[[#This Row],[CELOSIAS]]=AS$2,100%,AVANCE[[#This Row],[CELOSIAS]])</f>
        <v>0</v>
      </c>
      <c r="CH210" s="3">
        <f>+IF(AVANCE[[#This Row],[VENTANAS]]=AT$2,100%,AVANCE[[#This Row],[VENTANAS]])</f>
        <v>0</v>
      </c>
      <c r="CI210" s="3">
        <f>+IF(AVANCE[[#This Row],[PUERTAS ACCESO - LOGIA - BANO]]=AU$2,100%,AVANCE[[#This Row],[PUERTAS ACCESO - LOGIA - BANO]])</f>
        <v>0</v>
      </c>
      <c r="CJ210" s="3">
        <f>+IF(AVANCE[[#This Row],[CERRADURAS]]=AV$2,100%,AVANCE[[#This Row],[CERRADURAS]])</f>
        <v>0</v>
      </c>
      <c r="CK210" s="3">
        <f>+IF(AVANCE[[#This Row],[REVESTIMIENTO INTERIOR ZONA SECA]]=AW$2,100%,AVANCE[[#This Row],[REVESTIMIENTO INTERIOR ZONA SECA]])</f>
        <v>0</v>
      </c>
      <c r="CL210" s="3">
        <f>+IF(AVANCE[[#This Row],[REVESTIMIENTO INTERIOR ZONAS HUMEDAS]]=AX$2,100%,AVANCE[[#This Row],[REVESTIMIENTO INTERIOR ZONAS HUMEDAS]])</f>
        <v>0</v>
      </c>
      <c r="CM210" s="3">
        <f>+IF(AVANCE[[#This Row],[MEMBRANA CIELO]]=AY$2,100%,AVANCE[[#This Row],[MEMBRANA CIELO]])</f>
        <v>0</v>
      </c>
      <c r="CN210" s="3">
        <f>+IF(AVANCE[[#This Row],[LIMPIEZA FINAL]]=AZ$2,100%,AVANCE[[#This Row],[LIMPIEZA FINAL]])</f>
        <v>0</v>
      </c>
      <c r="CO210" s="3">
        <f>+IF(AVANCE[[#This Row],[PUERTAS DORMITORIO]]=BA$2,100%,AVANCE[[#This Row],[PUERTAS DORMITORIO]])</f>
        <v>0</v>
      </c>
      <c r="CP210" s="3">
        <f>+IF(AVANCE[[#This Row],[REVESTIMIENTO INTERIOR BANO]]=BB$2,100%,AVANCE[[#This Row],[REVESTIMIENTO INTERIOR BANO]])</f>
        <v>0</v>
      </c>
      <c r="CQ210" s="3">
        <f>+IF(AVANCE[[#This Row],[MUEBLE LAVAPLATOS]]=BC$2,100%,AVANCE[[#This Row],[MUEBLE LAVAPLATOS]])</f>
        <v>0</v>
      </c>
      <c r="CR210" s="3">
        <f>+IF(AVANCE[[#This Row],[IMPERMEABILIZACION BANO - COCINA LOGIA]]=BD$2,100%,AVANCE[[#This Row],[IMPERMEABILIZACION BANO - COCINA LOGIA]])</f>
        <v>0</v>
      </c>
      <c r="CS210" s="40">
        <f ca="1">+IF(AVANCE[[#This Row],[ESTADO MODULO]]="PENDIENTE",(TODAY()-AVANCE[[#This Row],[FECHA TERMINO  PLANIFICADO]]),0)</f>
        <v>0</v>
      </c>
      <c r="CT210" s="41" t="str" cm="1">
        <f t="array" ref="CT210">_xlfn.TEXTJOIN(" | ",TRUE,IF(SUMPRODUCT((BG210:CR210&lt;1)*(PARTIDAS!$I$2:$AT$2="OBRA GRUESA"))&gt;0,"OBRA GRUESA: "&amp;_xlfn.TEXTJOIN(", ",TRUE,IF((BG210:CR210&lt;1)*(PARTIDAS!$I$2:$AT$2="OBRA GRUESA"),PARTIDAS!$I$1:$AT$1,"")),""),IF(SUMPRODUCT((BG210:CR210&lt;1)*(PARTIDAS!$I$2:$AT$2="SANITARIOS"))&gt;0,"SANITARIOS: "&amp;_xlfn.TEXTJOIN(", ",TRUE,IF((BG210:CR210&lt;1)*(PARTIDAS!$I$2:$AT$2="SANITARIOS"),PARTIDAS!$I$1:$AT$1,"")),""),IF(SUMPRODUCT((BG210:CR210&lt;1)*(PARTIDAS!$I$2:$AT$2="ELÉCTRICO"))&gt;0,"ELÉCTRICO: "&amp;_xlfn.TEXTJOIN(", ",TRUE,IF((BG210:CR210&lt;1)*(PARTIDAS!$I$2:$AT$2="ELÉCTRICO"),PARTIDAS!$I$1:$AT$1,"")),""),IF(SUMPRODUCT((BG210:CR210&lt;1)*(PARTIDAS!$I$2:$AT$2="TERMINACIONES"))&gt;0,"TERMINACIONES: "&amp;_xlfn.TEXTJOIN(", ",TRUE,IF((BG210:CR210&lt;1)*(PARTIDAS!$I$2:$AT$2="TERMINACIONES"),PARTIDAS!$I$1:$AT$1,"")),""))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0" s="43" t="str" cm="1">
        <f t="array" ref="CU210">_xlfn.TEXTJOIN(", ",TRUE,IF(SUMPRODUCT((BG210:CR210&lt;1)*(PARTIDAS!$I$2:$AT$2="OBRA GRUESA"))&gt;0,"OBRA GRUESA",""),IF(SUMPRODUCT((BG210:CR210&lt;1)*(PARTIDAS!$I$2:$AT$2="SANITARIOS"))&gt;0,"SANITARIOS",""),IF(SUMPRODUCT((BG210:CR210&lt;1)*(PARTIDAS!$I$2:$AT$2="ELÉCTRICO"))&gt;0,"ELÉCTRICO",""),IF(SUMPRODUCT((BG210:CR210&lt;1)*(PARTIDAS!$I$2:$AT$2="TERMINACIONES"))&gt;0,"TERMINACIONES",""))</f>
        <v>OBRA GRUESA, SANITARIOS, ELÉCTRICO, TERMINACIONES</v>
      </c>
      <c r="CV210" s="44" cm="1">
        <f t="array" ref="CV210">SUMPRODUCT(--(BG210:CR210&lt;1))</f>
        <v>38</v>
      </c>
    </row>
    <row r="211" spans="1:100" hidden="1" x14ac:dyDescent="0.25">
      <c r="A211" t="s">
        <v>256</v>
      </c>
      <c r="B211" t="s">
        <v>274</v>
      </c>
      <c r="C211">
        <v>2302600210</v>
      </c>
      <c r="D211" t="s">
        <v>60</v>
      </c>
      <c r="E211" s="2">
        <v>0</v>
      </c>
      <c r="F211" s="1">
        <v>46241</v>
      </c>
      <c r="G211" s="1"/>
      <c r="H211" s="1">
        <v>0</v>
      </c>
      <c r="I211" s="1">
        <v>46271</v>
      </c>
      <c r="J211">
        <v>46230</v>
      </c>
      <c r="K211" s="1"/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>
        <v>31.32</v>
      </c>
      <c r="BF211" s="3" t="str">
        <f>+IF(AVANCE[[#This Row],[% AVANCE]]=100%,"MODULO TERMINADO",IF(AVANCE[[#This Row],[FECHA INICIO REAL]]="","MODULO NO INICIADO","PENDIENTE"))</f>
        <v>MODULO NO INICIADO</v>
      </c>
      <c r="BG211" s="3">
        <f>+IF(AVANCE[[#This Row],[VENTANAS]]=8.10810810810811%,100%,AVANCE[[#This Row],[VENTANAS]])</f>
        <v>0</v>
      </c>
      <c r="BH211" s="3">
        <f>+IF(AVANCE[[#This Row],[PISO]]=N$2,100%,AVANCE[[#This Row],[PISO]])</f>
        <v>0</v>
      </c>
      <c r="BI211" s="3">
        <f>+IF(AVANCE[[#This Row],[TABIQUES]]=O$2,100%,AVANCE[[#This Row],[TABIQUES]])</f>
        <v>0</v>
      </c>
      <c r="BJ211" s="3">
        <f>+IF(AVANCE[[#This Row],[MUROS]]=P$2,100%,AVANCE[[#This Row],[MUROS]])</f>
        <v>0</v>
      </c>
      <c r="BK211" s="3">
        <f>+IF(AVANCE[[#This Row],[CIELO]]=Q$2,100%,AVANCE[[#This Row],[CIELO]])</f>
        <v>0</v>
      </c>
      <c r="BL211" s="3">
        <f>+IF(AVANCE[[#This Row],[BALCÓN]]=R$2,100%,AVANCE[[#This Row],[BALCÓN]])</f>
        <v>0</v>
      </c>
      <c r="BM211" s="3">
        <f>+IF(AVANCE[[#This Row],[RED ALCANTARILLADO]]=U$2,100%,AVANCE[[#This Row],[RED ALCANTARILLADO]])</f>
        <v>0</v>
      </c>
      <c r="BN211" s="3">
        <f>+IF(AVANCE[[#This Row],[RED DE AGUA]]=V$2,100%,AVANCE[[#This Row],[RED DE AGUA]])</f>
        <v>0</v>
      </c>
      <c r="BO211" s="3">
        <f>+IF(AVANCE[[#This Row],[VENTILACIONES]]=W$2,100%,AVANCE[[#This Row],[VENTILACIONES]])</f>
        <v>0</v>
      </c>
      <c r="BP211" s="3">
        <f>+IF(AVANCE[[#This Row],[TINA]]=X$2,100%,AVANCE[[#This Row],[TINA]])</f>
        <v>0</v>
      </c>
      <c r="BQ211" s="3">
        <f>+IF(AVANCE[[#This Row],[WC]]=Y$2,100%,AVANCE[[#This Row],[WC]])</f>
        <v>0</v>
      </c>
      <c r="BR211" s="3">
        <f>+IF(AVANCE[[#This Row],[LAVAMANOS / LAVAPLATOS / LAVADERO]]=Z$2,100%,AVANCE[[#This Row],[LAVAMANOS / LAVAPLATOS / LAVADERO]])</f>
        <v>0</v>
      </c>
      <c r="BS211" s="3">
        <f>+IF(AVANCE[[#This Row],[CANALIZACIÓN]]=AC$2,100%,AVANCE[[#This Row],[CANALIZACIÓN]])</f>
        <v>0</v>
      </c>
      <c r="BT211" s="3">
        <f>+IF(AVANCE[[#This Row],[CABLEADO]]=AD$2,100%,AVANCE[[#This Row],[CABLEADO]])</f>
        <v>0</v>
      </c>
      <c r="BU211" s="3">
        <f>+IF(AVANCE[[#This Row],[ARTEFACTOS]]=AE$2,100%,AVANCE[[#This Row],[ARTEFACTOS]])</f>
        <v>0</v>
      </c>
      <c r="BV211" s="3">
        <f>+IF(AVANCE[[#This Row],[TABLERO]]=AF$2,100%,AVANCE[[#This Row],[TABLERO]])</f>
        <v>0</v>
      </c>
      <c r="BW211" s="3">
        <f>+IF(AVANCE[[#This Row],[CAJA PAU]]=AG$2,100%,AVANCE[[#This Row],[CAJA PAU]])</f>
        <v>0</v>
      </c>
      <c r="BX211" s="3">
        <f>+IF(AVANCE[[#This Row],[INSTALACION VINILICO]]=AJ$2,100%,AVANCE[[#This Row],[INSTALACION VINILICO]])</f>
        <v>0</v>
      </c>
      <c r="BY211" s="3">
        <f>+IF(AVANCE[[#This Row],[OSB CUBIERTA]]=AK$2,100%,AVANCE[[#This Row],[OSB CUBIERTA]])</f>
        <v>0</v>
      </c>
      <c r="BZ211" s="3">
        <f>+IF(AVANCE[[#This Row],[BARANDA BALCON]]=AL$2,100%,AVANCE[[#This Row],[BARANDA BALCON]])</f>
        <v>0</v>
      </c>
      <c r="CA211" s="3">
        <f>+IF(AVANCE[[#This Row],[OSB EXTERIOR]]=AM$2,100%,AVANCE[[#This Row],[OSB EXTERIOR]])</f>
        <v>0</v>
      </c>
      <c r="CB211" s="3">
        <f>+IF(AVANCE[[#This Row],[SMART PANEL]]=AN$2,100%,AVANCE[[#This Row],[SMART PANEL]])</f>
        <v>0</v>
      </c>
      <c r="CC211" s="3">
        <f>+IF(AVANCE[[#This Row],[PINTURA EXTERIOR]]=AO$2,100%,AVANCE[[#This Row],[PINTURA EXTERIOR]])</f>
        <v>0</v>
      </c>
      <c r="CD211" s="3">
        <f>+IF(AVANCE[[#This Row],[ZOCALOS LOGIA]]=AP$2,100%,AVANCE[[#This Row],[ZOCALOS LOGIA]])</f>
        <v>0</v>
      </c>
      <c r="CE211" s="3">
        <f>+IF(AVANCE[[#This Row],[MOLDURAS]]=AQ$2,100%,AVANCE[[#This Row],[MOLDURAS]])</f>
        <v>0</v>
      </c>
      <c r="CF211" s="3">
        <f>+IF(AVANCE[[#This Row],[PILASTREO]]=AR$2,100%,AVANCE[[#This Row],[PILASTREO]])</f>
        <v>0</v>
      </c>
      <c r="CG211" s="3">
        <f>+IF(AVANCE[[#This Row],[CELOSIAS]]=AS$2,100%,AVANCE[[#This Row],[CELOSIAS]])</f>
        <v>0</v>
      </c>
      <c r="CH211" s="3">
        <f>+IF(AVANCE[[#This Row],[VENTANAS]]=AT$2,100%,AVANCE[[#This Row],[VENTANAS]])</f>
        <v>0</v>
      </c>
      <c r="CI211" s="3">
        <f>+IF(AVANCE[[#This Row],[PUERTAS ACCESO - LOGIA - BANO]]=AU$2,100%,AVANCE[[#This Row],[PUERTAS ACCESO - LOGIA - BANO]])</f>
        <v>0</v>
      </c>
      <c r="CJ211" s="3">
        <f>+IF(AVANCE[[#This Row],[CERRADURAS]]=AV$2,100%,AVANCE[[#This Row],[CERRADURAS]])</f>
        <v>0</v>
      </c>
      <c r="CK211" s="3">
        <f>+IF(AVANCE[[#This Row],[REVESTIMIENTO INTERIOR ZONA SECA]]=AW$2,100%,AVANCE[[#This Row],[REVESTIMIENTO INTERIOR ZONA SECA]])</f>
        <v>0</v>
      </c>
      <c r="CL211" s="3">
        <f>+IF(AVANCE[[#This Row],[REVESTIMIENTO INTERIOR ZONAS HUMEDAS]]=AX$2,100%,AVANCE[[#This Row],[REVESTIMIENTO INTERIOR ZONAS HUMEDAS]])</f>
        <v>0</v>
      </c>
      <c r="CM211" s="3">
        <f>+IF(AVANCE[[#This Row],[MEMBRANA CIELO]]=AY$2,100%,AVANCE[[#This Row],[MEMBRANA CIELO]])</f>
        <v>0</v>
      </c>
      <c r="CN211" s="3">
        <f>+IF(AVANCE[[#This Row],[LIMPIEZA FINAL]]=AZ$2,100%,AVANCE[[#This Row],[LIMPIEZA FINAL]])</f>
        <v>0</v>
      </c>
      <c r="CO211" s="3">
        <f>+IF(AVANCE[[#This Row],[PUERTAS DORMITORIO]]=BA$2,100%,AVANCE[[#This Row],[PUERTAS DORMITORIO]])</f>
        <v>0</v>
      </c>
      <c r="CP211" s="3">
        <f>+IF(AVANCE[[#This Row],[REVESTIMIENTO INTERIOR BANO]]=BB$2,100%,AVANCE[[#This Row],[REVESTIMIENTO INTERIOR BANO]])</f>
        <v>0</v>
      </c>
      <c r="CQ211" s="3">
        <f>+IF(AVANCE[[#This Row],[MUEBLE LAVAPLATOS]]=BC$2,100%,AVANCE[[#This Row],[MUEBLE LAVAPLATOS]])</f>
        <v>0</v>
      </c>
      <c r="CR211" s="3">
        <f>+IF(AVANCE[[#This Row],[IMPERMEABILIZACION BANO - COCINA LOGIA]]=BD$2,100%,AVANCE[[#This Row],[IMPERMEABILIZACION BANO - COCINA LOGIA]])</f>
        <v>0</v>
      </c>
      <c r="CS211" s="40">
        <f ca="1">+IF(AVANCE[[#This Row],[ESTADO MODULO]]="PENDIENTE",(TODAY()-AVANCE[[#This Row],[FECHA TERMINO  PLANIFICADO]]),0)</f>
        <v>0</v>
      </c>
      <c r="CT211" s="41" t="str" cm="1">
        <f t="array" ref="CT211">_xlfn.TEXTJOIN(" | ",TRUE,IF(SUMPRODUCT((BG211:CR211&lt;1)*(PARTIDAS!$I$2:$AT$2="OBRA GRUESA"))&gt;0,"OBRA GRUESA: "&amp;_xlfn.TEXTJOIN(", ",TRUE,IF((BG211:CR211&lt;1)*(PARTIDAS!$I$2:$AT$2="OBRA GRUESA"),PARTIDAS!$I$1:$AT$1,"")),""),IF(SUMPRODUCT((BG211:CR211&lt;1)*(PARTIDAS!$I$2:$AT$2="SANITARIOS"))&gt;0,"SANITARIOS: "&amp;_xlfn.TEXTJOIN(", ",TRUE,IF((BG211:CR211&lt;1)*(PARTIDAS!$I$2:$AT$2="SANITARIOS"),PARTIDAS!$I$1:$AT$1,"")),""),IF(SUMPRODUCT((BG211:CR211&lt;1)*(PARTIDAS!$I$2:$AT$2="ELÉCTRICO"))&gt;0,"ELÉCTRICO: "&amp;_xlfn.TEXTJOIN(", ",TRUE,IF((BG211:CR211&lt;1)*(PARTIDAS!$I$2:$AT$2="ELÉCTRICO"),PARTIDAS!$I$1:$AT$1,"")),""),IF(SUMPRODUCT((BG211:CR211&lt;1)*(PARTIDAS!$I$2:$AT$2="TERMINACIONES"))&gt;0,"TERMINACIONES: "&amp;_xlfn.TEXTJOIN(", ",TRUE,IF((BG211:CR211&lt;1)*(PARTIDAS!$I$2:$AT$2="TERMINACIONES"),PARTIDAS!$I$1:$AT$1,"")),""))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1" s="43" t="str" cm="1">
        <f t="array" ref="CU211">_xlfn.TEXTJOIN(", ",TRUE,IF(SUMPRODUCT((BG211:CR211&lt;1)*(PARTIDAS!$I$2:$AT$2="OBRA GRUESA"))&gt;0,"OBRA GRUESA",""),IF(SUMPRODUCT((BG211:CR211&lt;1)*(PARTIDAS!$I$2:$AT$2="SANITARIOS"))&gt;0,"SANITARIOS",""),IF(SUMPRODUCT((BG211:CR211&lt;1)*(PARTIDAS!$I$2:$AT$2="ELÉCTRICO"))&gt;0,"ELÉCTRICO",""),IF(SUMPRODUCT((BG211:CR211&lt;1)*(PARTIDAS!$I$2:$AT$2="TERMINACIONES"))&gt;0,"TERMINACIONES",""))</f>
        <v>OBRA GRUESA, SANITARIOS, ELÉCTRICO, TERMINACIONES</v>
      </c>
      <c r="CV211" s="44" cm="1">
        <f t="array" ref="CV211">SUMPRODUCT(--(BG211:CR211&lt;1))</f>
        <v>38</v>
      </c>
    </row>
    <row r="212" spans="1:100" hidden="1" x14ac:dyDescent="0.25">
      <c r="A212" t="s">
        <v>256</v>
      </c>
      <c r="B212" t="s">
        <v>275</v>
      </c>
      <c r="C212">
        <v>2302600211</v>
      </c>
      <c r="D212" t="s">
        <v>60</v>
      </c>
      <c r="E212" s="2">
        <v>0</v>
      </c>
      <c r="F212" s="1">
        <v>46244</v>
      </c>
      <c r="G212" s="1"/>
      <c r="H212" s="1">
        <v>0</v>
      </c>
      <c r="I212" s="1">
        <v>46274</v>
      </c>
      <c r="J212">
        <v>46230</v>
      </c>
      <c r="K212" s="1"/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>
        <v>31.32</v>
      </c>
      <c r="BF212" s="3" t="str">
        <f>+IF(AVANCE[[#This Row],[% AVANCE]]=100%,"MODULO TERMINADO",IF(AVANCE[[#This Row],[FECHA INICIO REAL]]="","MODULO NO INICIADO","PENDIENTE"))</f>
        <v>MODULO NO INICIADO</v>
      </c>
      <c r="BG212" s="3">
        <f>+IF(AVANCE[[#This Row],[VENTANAS]]=8.10810810810811%,100%,AVANCE[[#This Row],[VENTANAS]])</f>
        <v>0</v>
      </c>
      <c r="BH212" s="3">
        <f>+IF(AVANCE[[#This Row],[PISO]]=N$2,100%,AVANCE[[#This Row],[PISO]])</f>
        <v>0</v>
      </c>
      <c r="BI212" s="3">
        <f>+IF(AVANCE[[#This Row],[TABIQUES]]=O$2,100%,AVANCE[[#This Row],[TABIQUES]])</f>
        <v>0</v>
      </c>
      <c r="BJ212" s="3">
        <f>+IF(AVANCE[[#This Row],[MUROS]]=P$2,100%,AVANCE[[#This Row],[MUROS]])</f>
        <v>0</v>
      </c>
      <c r="BK212" s="3">
        <f>+IF(AVANCE[[#This Row],[CIELO]]=Q$2,100%,AVANCE[[#This Row],[CIELO]])</f>
        <v>0</v>
      </c>
      <c r="BL212" s="3">
        <f>+IF(AVANCE[[#This Row],[BALCÓN]]=R$2,100%,AVANCE[[#This Row],[BALCÓN]])</f>
        <v>0</v>
      </c>
      <c r="BM212" s="3">
        <f>+IF(AVANCE[[#This Row],[RED ALCANTARILLADO]]=U$2,100%,AVANCE[[#This Row],[RED ALCANTARILLADO]])</f>
        <v>0</v>
      </c>
      <c r="BN212" s="3">
        <f>+IF(AVANCE[[#This Row],[RED DE AGUA]]=V$2,100%,AVANCE[[#This Row],[RED DE AGUA]])</f>
        <v>0</v>
      </c>
      <c r="BO212" s="3">
        <f>+IF(AVANCE[[#This Row],[VENTILACIONES]]=W$2,100%,AVANCE[[#This Row],[VENTILACIONES]])</f>
        <v>0</v>
      </c>
      <c r="BP212" s="3">
        <f>+IF(AVANCE[[#This Row],[TINA]]=X$2,100%,AVANCE[[#This Row],[TINA]])</f>
        <v>0</v>
      </c>
      <c r="BQ212" s="3">
        <f>+IF(AVANCE[[#This Row],[WC]]=Y$2,100%,AVANCE[[#This Row],[WC]])</f>
        <v>0</v>
      </c>
      <c r="BR212" s="3">
        <f>+IF(AVANCE[[#This Row],[LAVAMANOS / LAVAPLATOS / LAVADERO]]=Z$2,100%,AVANCE[[#This Row],[LAVAMANOS / LAVAPLATOS / LAVADERO]])</f>
        <v>0</v>
      </c>
      <c r="BS212" s="3">
        <f>+IF(AVANCE[[#This Row],[CANALIZACIÓN]]=AC$2,100%,AVANCE[[#This Row],[CANALIZACIÓN]])</f>
        <v>0</v>
      </c>
      <c r="BT212" s="3">
        <f>+IF(AVANCE[[#This Row],[CABLEADO]]=AD$2,100%,AVANCE[[#This Row],[CABLEADO]])</f>
        <v>0</v>
      </c>
      <c r="BU212" s="3">
        <f>+IF(AVANCE[[#This Row],[ARTEFACTOS]]=AE$2,100%,AVANCE[[#This Row],[ARTEFACTOS]])</f>
        <v>0</v>
      </c>
      <c r="BV212" s="3">
        <f>+IF(AVANCE[[#This Row],[TABLERO]]=AF$2,100%,AVANCE[[#This Row],[TABLERO]])</f>
        <v>0</v>
      </c>
      <c r="BW212" s="3">
        <f>+IF(AVANCE[[#This Row],[CAJA PAU]]=AG$2,100%,AVANCE[[#This Row],[CAJA PAU]])</f>
        <v>0</v>
      </c>
      <c r="BX212" s="3">
        <f>+IF(AVANCE[[#This Row],[INSTALACION VINILICO]]=AJ$2,100%,AVANCE[[#This Row],[INSTALACION VINILICO]])</f>
        <v>0</v>
      </c>
      <c r="BY212" s="3">
        <f>+IF(AVANCE[[#This Row],[OSB CUBIERTA]]=AK$2,100%,AVANCE[[#This Row],[OSB CUBIERTA]])</f>
        <v>0</v>
      </c>
      <c r="BZ212" s="3">
        <f>+IF(AVANCE[[#This Row],[BARANDA BALCON]]=AL$2,100%,AVANCE[[#This Row],[BARANDA BALCON]])</f>
        <v>0</v>
      </c>
      <c r="CA212" s="3">
        <f>+IF(AVANCE[[#This Row],[OSB EXTERIOR]]=AM$2,100%,AVANCE[[#This Row],[OSB EXTERIOR]])</f>
        <v>0</v>
      </c>
      <c r="CB212" s="3">
        <f>+IF(AVANCE[[#This Row],[SMART PANEL]]=AN$2,100%,AVANCE[[#This Row],[SMART PANEL]])</f>
        <v>0</v>
      </c>
      <c r="CC212" s="3">
        <f>+IF(AVANCE[[#This Row],[PINTURA EXTERIOR]]=AO$2,100%,AVANCE[[#This Row],[PINTURA EXTERIOR]])</f>
        <v>0</v>
      </c>
      <c r="CD212" s="3">
        <f>+IF(AVANCE[[#This Row],[ZOCALOS LOGIA]]=AP$2,100%,AVANCE[[#This Row],[ZOCALOS LOGIA]])</f>
        <v>0</v>
      </c>
      <c r="CE212" s="3">
        <f>+IF(AVANCE[[#This Row],[MOLDURAS]]=AQ$2,100%,AVANCE[[#This Row],[MOLDURAS]])</f>
        <v>0</v>
      </c>
      <c r="CF212" s="3">
        <f>+IF(AVANCE[[#This Row],[PILASTREO]]=AR$2,100%,AVANCE[[#This Row],[PILASTREO]])</f>
        <v>0</v>
      </c>
      <c r="CG212" s="3">
        <f>+IF(AVANCE[[#This Row],[CELOSIAS]]=AS$2,100%,AVANCE[[#This Row],[CELOSIAS]])</f>
        <v>0</v>
      </c>
      <c r="CH212" s="3">
        <f>+IF(AVANCE[[#This Row],[VENTANAS]]=AT$2,100%,AVANCE[[#This Row],[VENTANAS]])</f>
        <v>0</v>
      </c>
      <c r="CI212" s="3">
        <f>+IF(AVANCE[[#This Row],[PUERTAS ACCESO - LOGIA - BANO]]=AU$2,100%,AVANCE[[#This Row],[PUERTAS ACCESO - LOGIA - BANO]])</f>
        <v>0</v>
      </c>
      <c r="CJ212" s="3">
        <f>+IF(AVANCE[[#This Row],[CERRADURAS]]=AV$2,100%,AVANCE[[#This Row],[CERRADURAS]])</f>
        <v>0</v>
      </c>
      <c r="CK212" s="3">
        <f>+IF(AVANCE[[#This Row],[REVESTIMIENTO INTERIOR ZONA SECA]]=AW$2,100%,AVANCE[[#This Row],[REVESTIMIENTO INTERIOR ZONA SECA]])</f>
        <v>0</v>
      </c>
      <c r="CL212" s="3">
        <f>+IF(AVANCE[[#This Row],[REVESTIMIENTO INTERIOR ZONAS HUMEDAS]]=AX$2,100%,AVANCE[[#This Row],[REVESTIMIENTO INTERIOR ZONAS HUMEDAS]])</f>
        <v>0</v>
      </c>
      <c r="CM212" s="3">
        <f>+IF(AVANCE[[#This Row],[MEMBRANA CIELO]]=AY$2,100%,AVANCE[[#This Row],[MEMBRANA CIELO]])</f>
        <v>0</v>
      </c>
      <c r="CN212" s="3">
        <f>+IF(AVANCE[[#This Row],[LIMPIEZA FINAL]]=AZ$2,100%,AVANCE[[#This Row],[LIMPIEZA FINAL]])</f>
        <v>0</v>
      </c>
      <c r="CO212" s="3">
        <f>+IF(AVANCE[[#This Row],[PUERTAS DORMITORIO]]=BA$2,100%,AVANCE[[#This Row],[PUERTAS DORMITORIO]])</f>
        <v>0</v>
      </c>
      <c r="CP212" s="3">
        <f>+IF(AVANCE[[#This Row],[REVESTIMIENTO INTERIOR BANO]]=BB$2,100%,AVANCE[[#This Row],[REVESTIMIENTO INTERIOR BANO]])</f>
        <v>0</v>
      </c>
      <c r="CQ212" s="3">
        <f>+IF(AVANCE[[#This Row],[MUEBLE LAVAPLATOS]]=BC$2,100%,AVANCE[[#This Row],[MUEBLE LAVAPLATOS]])</f>
        <v>0</v>
      </c>
      <c r="CR212" s="3">
        <f>+IF(AVANCE[[#This Row],[IMPERMEABILIZACION BANO - COCINA LOGIA]]=BD$2,100%,AVANCE[[#This Row],[IMPERMEABILIZACION BANO - COCINA LOGIA]])</f>
        <v>0</v>
      </c>
      <c r="CS212" s="40">
        <f ca="1">+IF(AVANCE[[#This Row],[ESTADO MODULO]]="PENDIENTE",(TODAY()-AVANCE[[#This Row],[FECHA TERMINO  PLANIFICADO]]),0)</f>
        <v>0</v>
      </c>
      <c r="CT212" s="41" t="str" cm="1">
        <f t="array" ref="CT212">_xlfn.TEXTJOIN(" | ",TRUE,IF(SUMPRODUCT((BG212:CR212&lt;1)*(PARTIDAS!$I$2:$AT$2="OBRA GRUESA"))&gt;0,"OBRA GRUESA: "&amp;_xlfn.TEXTJOIN(", ",TRUE,IF((BG212:CR212&lt;1)*(PARTIDAS!$I$2:$AT$2="OBRA GRUESA"),PARTIDAS!$I$1:$AT$1,"")),""),IF(SUMPRODUCT((BG212:CR212&lt;1)*(PARTIDAS!$I$2:$AT$2="SANITARIOS"))&gt;0,"SANITARIOS: "&amp;_xlfn.TEXTJOIN(", ",TRUE,IF((BG212:CR212&lt;1)*(PARTIDAS!$I$2:$AT$2="SANITARIOS"),PARTIDAS!$I$1:$AT$1,"")),""),IF(SUMPRODUCT((BG212:CR212&lt;1)*(PARTIDAS!$I$2:$AT$2="ELÉCTRICO"))&gt;0,"ELÉCTRICO: "&amp;_xlfn.TEXTJOIN(", ",TRUE,IF((BG212:CR212&lt;1)*(PARTIDAS!$I$2:$AT$2="ELÉCTRICO"),PARTIDAS!$I$1:$AT$1,"")),""),IF(SUMPRODUCT((BG212:CR212&lt;1)*(PARTIDAS!$I$2:$AT$2="TERMINACIONES"))&gt;0,"TERMINACIONES: "&amp;_xlfn.TEXTJOIN(", ",TRUE,IF((BG212:CR212&lt;1)*(PARTIDAS!$I$2:$AT$2="TERMINACIONES"),PARTIDAS!$I$1:$AT$1,"")),""))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2" s="43" t="str" cm="1">
        <f t="array" ref="CU212">_xlfn.TEXTJOIN(", ",TRUE,IF(SUMPRODUCT((BG212:CR212&lt;1)*(PARTIDAS!$I$2:$AT$2="OBRA GRUESA"))&gt;0,"OBRA GRUESA",""),IF(SUMPRODUCT((BG212:CR212&lt;1)*(PARTIDAS!$I$2:$AT$2="SANITARIOS"))&gt;0,"SANITARIOS",""),IF(SUMPRODUCT((BG212:CR212&lt;1)*(PARTIDAS!$I$2:$AT$2="ELÉCTRICO"))&gt;0,"ELÉCTRICO",""),IF(SUMPRODUCT((BG212:CR212&lt;1)*(PARTIDAS!$I$2:$AT$2="TERMINACIONES"))&gt;0,"TERMINACIONES",""))</f>
        <v>OBRA GRUESA, SANITARIOS, ELÉCTRICO, TERMINACIONES</v>
      </c>
      <c r="CV212" s="44" cm="1">
        <f t="array" ref="CV212">SUMPRODUCT(--(BG212:CR212&lt;1))</f>
        <v>38</v>
      </c>
    </row>
    <row r="213" spans="1:100" hidden="1" x14ac:dyDescent="0.25">
      <c r="A213" t="s">
        <v>256</v>
      </c>
      <c r="B213" t="s">
        <v>276</v>
      </c>
      <c r="C213">
        <v>2282600212</v>
      </c>
      <c r="D213" t="s">
        <v>58</v>
      </c>
      <c r="E213" s="2">
        <v>0</v>
      </c>
      <c r="F213" s="1">
        <v>46244</v>
      </c>
      <c r="G213" s="1"/>
      <c r="H213" s="1">
        <v>0</v>
      </c>
      <c r="I213" s="1">
        <v>46264</v>
      </c>
      <c r="J213">
        <v>46230</v>
      </c>
      <c r="K213" s="1"/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>
        <v>28.87</v>
      </c>
      <c r="BF213" s="3" t="str">
        <f>+IF(AVANCE[[#This Row],[% AVANCE]]=100%,"MODULO TERMINADO",IF(AVANCE[[#This Row],[FECHA INICIO REAL]]="","MODULO NO INICIADO","PENDIENTE"))</f>
        <v>MODULO NO INICIADO</v>
      </c>
      <c r="BG213" s="3">
        <f>+IF(AVANCE[[#This Row],[VENTANAS]]=8.10810810810811%,100%,AVANCE[[#This Row],[VENTANAS]])</f>
        <v>0</v>
      </c>
      <c r="BH213" s="3">
        <f>+IF(AVANCE[[#This Row],[PISO]]=N$2,100%,AVANCE[[#This Row],[PISO]])</f>
        <v>0</v>
      </c>
      <c r="BI213" s="3">
        <f>+IF(AVANCE[[#This Row],[TABIQUES]]=O$2,100%,AVANCE[[#This Row],[TABIQUES]])</f>
        <v>0</v>
      </c>
      <c r="BJ213" s="3">
        <f>+IF(AVANCE[[#This Row],[MUROS]]=P$2,100%,AVANCE[[#This Row],[MUROS]])</f>
        <v>0</v>
      </c>
      <c r="BK213" s="3">
        <f>+IF(AVANCE[[#This Row],[CIELO]]=Q$2,100%,AVANCE[[#This Row],[CIELO]])</f>
        <v>0</v>
      </c>
      <c r="BL213" s="3">
        <f>+IF(AVANCE[[#This Row],[BALCÓN]]=R$2,100%,AVANCE[[#This Row],[BALCÓN]])</f>
        <v>0</v>
      </c>
      <c r="BM213" s="3">
        <f>+IF(AVANCE[[#This Row],[RED ALCANTARILLADO]]=U$2,100%,AVANCE[[#This Row],[RED ALCANTARILLADO]])</f>
        <v>0</v>
      </c>
      <c r="BN213" s="3">
        <f>+IF(AVANCE[[#This Row],[RED DE AGUA]]=V$2,100%,AVANCE[[#This Row],[RED DE AGUA]])</f>
        <v>0</v>
      </c>
      <c r="BO213" s="3">
        <f>+IF(AVANCE[[#This Row],[VENTILACIONES]]=W$2,100%,AVANCE[[#This Row],[VENTILACIONES]])</f>
        <v>0</v>
      </c>
      <c r="BP213" s="3">
        <f>+IF(AVANCE[[#This Row],[TINA]]=X$2,100%,AVANCE[[#This Row],[TINA]])</f>
        <v>0</v>
      </c>
      <c r="BQ213" s="3">
        <f>+IF(AVANCE[[#This Row],[WC]]=Y$2,100%,AVANCE[[#This Row],[WC]])</f>
        <v>0</v>
      </c>
      <c r="BR213" s="3">
        <f>+IF(AVANCE[[#This Row],[LAVAMANOS / LAVAPLATOS / LAVADERO]]=Z$2,100%,AVANCE[[#This Row],[LAVAMANOS / LAVAPLATOS / LAVADERO]])</f>
        <v>0</v>
      </c>
      <c r="BS213" s="3">
        <f>+IF(AVANCE[[#This Row],[CANALIZACIÓN]]=AC$2,100%,AVANCE[[#This Row],[CANALIZACIÓN]])</f>
        <v>0</v>
      </c>
      <c r="BT213" s="3">
        <f>+IF(AVANCE[[#This Row],[CABLEADO]]=AD$2,100%,AVANCE[[#This Row],[CABLEADO]])</f>
        <v>0</v>
      </c>
      <c r="BU213" s="3">
        <f>+IF(AVANCE[[#This Row],[ARTEFACTOS]]=AE$2,100%,AVANCE[[#This Row],[ARTEFACTOS]])</f>
        <v>0</v>
      </c>
      <c r="BV213" s="3">
        <f>+IF(AVANCE[[#This Row],[TABLERO]]=AF$2,100%,AVANCE[[#This Row],[TABLERO]])</f>
        <v>0</v>
      </c>
      <c r="BW213" s="3">
        <f>+IF(AVANCE[[#This Row],[CAJA PAU]]=AG$2,100%,AVANCE[[#This Row],[CAJA PAU]])</f>
        <v>0</v>
      </c>
      <c r="BX213" s="3">
        <f>+IF(AVANCE[[#This Row],[INSTALACION VINILICO]]=AJ$2,100%,AVANCE[[#This Row],[INSTALACION VINILICO]])</f>
        <v>0</v>
      </c>
      <c r="BY213" s="3">
        <f>+IF(AVANCE[[#This Row],[OSB CUBIERTA]]=AK$2,100%,AVANCE[[#This Row],[OSB CUBIERTA]])</f>
        <v>0</v>
      </c>
      <c r="BZ213" s="3">
        <f>+IF(AVANCE[[#This Row],[BARANDA BALCON]]=AL$2,100%,AVANCE[[#This Row],[BARANDA BALCON]])</f>
        <v>0</v>
      </c>
      <c r="CA213" s="3">
        <f>+IF(AVANCE[[#This Row],[OSB EXTERIOR]]=AM$2,100%,AVANCE[[#This Row],[OSB EXTERIOR]])</f>
        <v>0</v>
      </c>
      <c r="CB213" s="3">
        <f>+IF(AVANCE[[#This Row],[SMART PANEL]]=AN$2,100%,AVANCE[[#This Row],[SMART PANEL]])</f>
        <v>0</v>
      </c>
      <c r="CC213" s="3">
        <f>+IF(AVANCE[[#This Row],[PINTURA EXTERIOR]]=AO$2,100%,AVANCE[[#This Row],[PINTURA EXTERIOR]])</f>
        <v>0</v>
      </c>
      <c r="CD213" s="3">
        <f>+IF(AVANCE[[#This Row],[ZOCALOS LOGIA]]=AP$2,100%,AVANCE[[#This Row],[ZOCALOS LOGIA]])</f>
        <v>0</v>
      </c>
      <c r="CE213" s="3">
        <f>+IF(AVANCE[[#This Row],[MOLDURAS]]=AQ$2,100%,AVANCE[[#This Row],[MOLDURAS]])</f>
        <v>0</v>
      </c>
      <c r="CF213" s="3">
        <f>+IF(AVANCE[[#This Row],[PILASTREO]]=AR$2,100%,AVANCE[[#This Row],[PILASTREO]])</f>
        <v>0</v>
      </c>
      <c r="CG213" s="3">
        <f>+IF(AVANCE[[#This Row],[CELOSIAS]]=AS$2,100%,AVANCE[[#This Row],[CELOSIAS]])</f>
        <v>0</v>
      </c>
      <c r="CH213" s="3">
        <f>+IF(AVANCE[[#This Row],[VENTANAS]]=AT$2,100%,AVANCE[[#This Row],[VENTANAS]])</f>
        <v>0</v>
      </c>
      <c r="CI213" s="3">
        <f>+IF(AVANCE[[#This Row],[PUERTAS ACCESO - LOGIA - BANO]]=AU$2,100%,AVANCE[[#This Row],[PUERTAS ACCESO - LOGIA - BANO]])</f>
        <v>0</v>
      </c>
      <c r="CJ213" s="3">
        <f>+IF(AVANCE[[#This Row],[CERRADURAS]]=AV$2,100%,AVANCE[[#This Row],[CERRADURAS]])</f>
        <v>0</v>
      </c>
      <c r="CK213" s="3">
        <f>+IF(AVANCE[[#This Row],[REVESTIMIENTO INTERIOR ZONA SECA]]=AW$2,100%,AVANCE[[#This Row],[REVESTIMIENTO INTERIOR ZONA SECA]])</f>
        <v>0</v>
      </c>
      <c r="CL213" s="3">
        <f>+IF(AVANCE[[#This Row],[REVESTIMIENTO INTERIOR ZONAS HUMEDAS]]=AX$2,100%,AVANCE[[#This Row],[REVESTIMIENTO INTERIOR ZONAS HUMEDAS]])</f>
        <v>0</v>
      </c>
      <c r="CM213" s="3">
        <f>+IF(AVANCE[[#This Row],[MEMBRANA CIELO]]=AY$2,100%,AVANCE[[#This Row],[MEMBRANA CIELO]])</f>
        <v>0</v>
      </c>
      <c r="CN213" s="3">
        <f>+IF(AVANCE[[#This Row],[LIMPIEZA FINAL]]=AZ$2,100%,AVANCE[[#This Row],[LIMPIEZA FINAL]])</f>
        <v>0</v>
      </c>
      <c r="CO213" s="3">
        <f>+IF(AVANCE[[#This Row],[PUERTAS DORMITORIO]]=BA$2,100%,AVANCE[[#This Row],[PUERTAS DORMITORIO]])</f>
        <v>0</v>
      </c>
      <c r="CP213" s="3">
        <f>+IF(AVANCE[[#This Row],[REVESTIMIENTO INTERIOR BANO]]=BB$2,100%,AVANCE[[#This Row],[REVESTIMIENTO INTERIOR BANO]])</f>
        <v>0</v>
      </c>
      <c r="CQ213" s="3">
        <f>+IF(AVANCE[[#This Row],[MUEBLE LAVAPLATOS]]=BC$2,100%,AVANCE[[#This Row],[MUEBLE LAVAPLATOS]])</f>
        <v>0</v>
      </c>
      <c r="CR213" s="3">
        <f>+IF(AVANCE[[#This Row],[IMPERMEABILIZACION BANO - COCINA LOGIA]]=BD$2,100%,AVANCE[[#This Row],[IMPERMEABILIZACION BANO - COCINA LOGIA]])</f>
        <v>0</v>
      </c>
      <c r="CS213" s="40">
        <f ca="1">+IF(AVANCE[[#This Row],[ESTADO MODULO]]="PENDIENTE",(TODAY()-AVANCE[[#This Row],[FECHA TERMINO  PLANIFICADO]]),0)</f>
        <v>0</v>
      </c>
      <c r="CT213" s="41" t="str" cm="1">
        <f t="array" ref="CT213">_xlfn.TEXTJOIN(" | ",TRUE,IF(SUMPRODUCT((BG213:CR213&lt;1)*(PARTIDAS!$I$2:$AT$2="OBRA GRUESA"))&gt;0,"OBRA GRUESA: "&amp;_xlfn.TEXTJOIN(", ",TRUE,IF((BG213:CR213&lt;1)*(PARTIDAS!$I$2:$AT$2="OBRA GRUESA"),PARTIDAS!$I$1:$AT$1,"")),""),IF(SUMPRODUCT((BG213:CR213&lt;1)*(PARTIDAS!$I$2:$AT$2="SANITARIOS"))&gt;0,"SANITARIOS: "&amp;_xlfn.TEXTJOIN(", ",TRUE,IF((BG213:CR213&lt;1)*(PARTIDAS!$I$2:$AT$2="SANITARIOS"),PARTIDAS!$I$1:$AT$1,"")),""),IF(SUMPRODUCT((BG213:CR213&lt;1)*(PARTIDAS!$I$2:$AT$2="ELÉCTRICO"))&gt;0,"ELÉCTRICO: "&amp;_xlfn.TEXTJOIN(", ",TRUE,IF((BG213:CR213&lt;1)*(PARTIDAS!$I$2:$AT$2="ELÉCTRICO"),PARTIDAS!$I$1:$AT$1,"")),""),IF(SUMPRODUCT((BG213:CR213&lt;1)*(PARTIDAS!$I$2:$AT$2="TERMINACIONES"))&gt;0,"TERMINACIONES: "&amp;_xlfn.TEXTJOIN(", ",TRUE,IF((BG213:CR213&lt;1)*(PARTIDAS!$I$2:$AT$2="TERMINACIONES"),PARTIDAS!$I$1:$AT$1,"")),""))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3" s="43" t="str" cm="1">
        <f t="array" ref="CU213">_xlfn.TEXTJOIN(", ",TRUE,IF(SUMPRODUCT((BG213:CR213&lt;1)*(PARTIDAS!$I$2:$AT$2="OBRA GRUESA"))&gt;0,"OBRA GRUESA",""),IF(SUMPRODUCT((BG213:CR213&lt;1)*(PARTIDAS!$I$2:$AT$2="SANITARIOS"))&gt;0,"SANITARIOS",""),IF(SUMPRODUCT((BG213:CR213&lt;1)*(PARTIDAS!$I$2:$AT$2="ELÉCTRICO"))&gt;0,"ELÉCTRICO",""),IF(SUMPRODUCT((BG213:CR213&lt;1)*(PARTIDAS!$I$2:$AT$2="TERMINACIONES"))&gt;0,"TERMINACIONES",""))</f>
        <v>OBRA GRUESA, SANITARIOS, ELÉCTRICO, TERMINACIONES</v>
      </c>
      <c r="CV213" s="44" cm="1">
        <f t="array" ref="CV213">SUMPRODUCT(--(BG213:CR213&lt;1))</f>
        <v>38</v>
      </c>
    </row>
    <row r="214" spans="1:100" hidden="1" x14ac:dyDescent="0.25">
      <c r="A214" t="s">
        <v>256</v>
      </c>
      <c r="B214" t="s">
        <v>277</v>
      </c>
      <c r="C214">
        <v>2282600213</v>
      </c>
      <c r="D214" t="s">
        <v>58</v>
      </c>
      <c r="E214" s="2">
        <v>0</v>
      </c>
      <c r="F214" s="1">
        <v>46244</v>
      </c>
      <c r="G214" s="1"/>
      <c r="H214" s="1">
        <v>0</v>
      </c>
      <c r="I214" s="1">
        <v>46264</v>
      </c>
      <c r="J214">
        <v>46230</v>
      </c>
      <c r="K214" s="1"/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>
        <v>28.87</v>
      </c>
      <c r="BF214" s="3" t="str">
        <f>+IF(AVANCE[[#This Row],[% AVANCE]]=100%,"MODULO TERMINADO",IF(AVANCE[[#This Row],[FECHA INICIO REAL]]="","MODULO NO INICIADO","PENDIENTE"))</f>
        <v>MODULO NO INICIADO</v>
      </c>
      <c r="BG214" s="3">
        <f>+IF(AVANCE[[#This Row],[VENTANAS]]=8.10810810810811%,100%,AVANCE[[#This Row],[VENTANAS]])</f>
        <v>0</v>
      </c>
      <c r="BH214" s="3">
        <f>+IF(AVANCE[[#This Row],[PISO]]=N$2,100%,AVANCE[[#This Row],[PISO]])</f>
        <v>0</v>
      </c>
      <c r="BI214" s="3">
        <f>+IF(AVANCE[[#This Row],[TABIQUES]]=O$2,100%,AVANCE[[#This Row],[TABIQUES]])</f>
        <v>0</v>
      </c>
      <c r="BJ214" s="3">
        <f>+IF(AVANCE[[#This Row],[MUROS]]=P$2,100%,AVANCE[[#This Row],[MUROS]])</f>
        <v>0</v>
      </c>
      <c r="BK214" s="3">
        <f>+IF(AVANCE[[#This Row],[CIELO]]=Q$2,100%,AVANCE[[#This Row],[CIELO]])</f>
        <v>0</v>
      </c>
      <c r="BL214" s="3">
        <f>+IF(AVANCE[[#This Row],[BALCÓN]]=R$2,100%,AVANCE[[#This Row],[BALCÓN]])</f>
        <v>0</v>
      </c>
      <c r="BM214" s="3">
        <f>+IF(AVANCE[[#This Row],[RED ALCANTARILLADO]]=U$2,100%,AVANCE[[#This Row],[RED ALCANTARILLADO]])</f>
        <v>0</v>
      </c>
      <c r="BN214" s="3">
        <f>+IF(AVANCE[[#This Row],[RED DE AGUA]]=V$2,100%,AVANCE[[#This Row],[RED DE AGUA]])</f>
        <v>0</v>
      </c>
      <c r="BO214" s="3">
        <f>+IF(AVANCE[[#This Row],[VENTILACIONES]]=W$2,100%,AVANCE[[#This Row],[VENTILACIONES]])</f>
        <v>0</v>
      </c>
      <c r="BP214" s="3">
        <f>+IF(AVANCE[[#This Row],[TINA]]=X$2,100%,AVANCE[[#This Row],[TINA]])</f>
        <v>0</v>
      </c>
      <c r="BQ214" s="3">
        <f>+IF(AVANCE[[#This Row],[WC]]=Y$2,100%,AVANCE[[#This Row],[WC]])</f>
        <v>0</v>
      </c>
      <c r="BR214" s="3">
        <f>+IF(AVANCE[[#This Row],[LAVAMANOS / LAVAPLATOS / LAVADERO]]=Z$2,100%,AVANCE[[#This Row],[LAVAMANOS / LAVAPLATOS / LAVADERO]])</f>
        <v>0</v>
      </c>
      <c r="BS214" s="3">
        <f>+IF(AVANCE[[#This Row],[CANALIZACIÓN]]=AC$2,100%,AVANCE[[#This Row],[CANALIZACIÓN]])</f>
        <v>0</v>
      </c>
      <c r="BT214" s="3">
        <f>+IF(AVANCE[[#This Row],[CABLEADO]]=AD$2,100%,AVANCE[[#This Row],[CABLEADO]])</f>
        <v>0</v>
      </c>
      <c r="BU214" s="3">
        <f>+IF(AVANCE[[#This Row],[ARTEFACTOS]]=AE$2,100%,AVANCE[[#This Row],[ARTEFACTOS]])</f>
        <v>0</v>
      </c>
      <c r="BV214" s="3">
        <f>+IF(AVANCE[[#This Row],[TABLERO]]=AF$2,100%,AVANCE[[#This Row],[TABLERO]])</f>
        <v>0</v>
      </c>
      <c r="BW214" s="3">
        <f>+IF(AVANCE[[#This Row],[CAJA PAU]]=AG$2,100%,AVANCE[[#This Row],[CAJA PAU]])</f>
        <v>0</v>
      </c>
      <c r="BX214" s="3">
        <f>+IF(AVANCE[[#This Row],[INSTALACION VINILICO]]=AJ$2,100%,AVANCE[[#This Row],[INSTALACION VINILICO]])</f>
        <v>0</v>
      </c>
      <c r="BY214" s="3">
        <f>+IF(AVANCE[[#This Row],[OSB CUBIERTA]]=AK$2,100%,AVANCE[[#This Row],[OSB CUBIERTA]])</f>
        <v>0</v>
      </c>
      <c r="BZ214" s="3">
        <f>+IF(AVANCE[[#This Row],[BARANDA BALCON]]=AL$2,100%,AVANCE[[#This Row],[BARANDA BALCON]])</f>
        <v>0</v>
      </c>
      <c r="CA214" s="3">
        <f>+IF(AVANCE[[#This Row],[OSB EXTERIOR]]=AM$2,100%,AVANCE[[#This Row],[OSB EXTERIOR]])</f>
        <v>0</v>
      </c>
      <c r="CB214" s="3">
        <f>+IF(AVANCE[[#This Row],[SMART PANEL]]=AN$2,100%,AVANCE[[#This Row],[SMART PANEL]])</f>
        <v>0</v>
      </c>
      <c r="CC214" s="3">
        <f>+IF(AVANCE[[#This Row],[PINTURA EXTERIOR]]=AO$2,100%,AVANCE[[#This Row],[PINTURA EXTERIOR]])</f>
        <v>0</v>
      </c>
      <c r="CD214" s="3">
        <f>+IF(AVANCE[[#This Row],[ZOCALOS LOGIA]]=AP$2,100%,AVANCE[[#This Row],[ZOCALOS LOGIA]])</f>
        <v>0</v>
      </c>
      <c r="CE214" s="3">
        <f>+IF(AVANCE[[#This Row],[MOLDURAS]]=AQ$2,100%,AVANCE[[#This Row],[MOLDURAS]])</f>
        <v>0</v>
      </c>
      <c r="CF214" s="3">
        <f>+IF(AVANCE[[#This Row],[PILASTREO]]=AR$2,100%,AVANCE[[#This Row],[PILASTREO]])</f>
        <v>0</v>
      </c>
      <c r="CG214" s="3">
        <f>+IF(AVANCE[[#This Row],[CELOSIAS]]=AS$2,100%,AVANCE[[#This Row],[CELOSIAS]])</f>
        <v>0</v>
      </c>
      <c r="CH214" s="3">
        <f>+IF(AVANCE[[#This Row],[VENTANAS]]=AT$2,100%,AVANCE[[#This Row],[VENTANAS]])</f>
        <v>0</v>
      </c>
      <c r="CI214" s="3">
        <f>+IF(AVANCE[[#This Row],[PUERTAS ACCESO - LOGIA - BANO]]=AU$2,100%,AVANCE[[#This Row],[PUERTAS ACCESO - LOGIA - BANO]])</f>
        <v>0</v>
      </c>
      <c r="CJ214" s="3">
        <f>+IF(AVANCE[[#This Row],[CERRADURAS]]=AV$2,100%,AVANCE[[#This Row],[CERRADURAS]])</f>
        <v>0</v>
      </c>
      <c r="CK214" s="3">
        <f>+IF(AVANCE[[#This Row],[REVESTIMIENTO INTERIOR ZONA SECA]]=AW$2,100%,AVANCE[[#This Row],[REVESTIMIENTO INTERIOR ZONA SECA]])</f>
        <v>0</v>
      </c>
      <c r="CL214" s="3">
        <f>+IF(AVANCE[[#This Row],[REVESTIMIENTO INTERIOR ZONAS HUMEDAS]]=AX$2,100%,AVANCE[[#This Row],[REVESTIMIENTO INTERIOR ZONAS HUMEDAS]])</f>
        <v>0</v>
      </c>
      <c r="CM214" s="3">
        <f>+IF(AVANCE[[#This Row],[MEMBRANA CIELO]]=AY$2,100%,AVANCE[[#This Row],[MEMBRANA CIELO]])</f>
        <v>0</v>
      </c>
      <c r="CN214" s="3">
        <f>+IF(AVANCE[[#This Row],[LIMPIEZA FINAL]]=AZ$2,100%,AVANCE[[#This Row],[LIMPIEZA FINAL]])</f>
        <v>0</v>
      </c>
      <c r="CO214" s="3">
        <f>+IF(AVANCE[[#This Row],[PUERTAS DORMITORIO]]=BA$2,100%,AVANCE[[#This Row],[PUERTAS DORMITORIO]])</f>
        <v>0</v>
      </c>
      <c r="CP214" s="3">
        <f>+IF(AVANCE[[#This Row],[REVESTIMIENTO INTERIOR BANO]]=BB$2,100%,AVANCE[[#This Row],[REVESTIMIENTO INTERIOR BANO]])</f>
        <v>0</v>
      </c>
      <c r="CQ214" s="3">
        <f>+IF(AVANCE[[#This Row],[MUEBLE LAVAPLATOS]]=BC$2,100%,AVANCE[[#This Row],[MUEBLE LAVAPLATOS]])</f>
        <v>0</v>
      </c>
      <c r="CR214" s="3">
        <f>+IF(AVANCE[[#This Row],[IMPERMEABILIZACION BANO - COCINA LOGIA]]=BD$2,100%,AVANCE[[#This Row],[IMPERMEABILIZACION BANO - COCINA LOGIA]])</f>
        <v>0</v>
      </c>
      <c r="CS214" s="40">
        <f ca="1">+IF(AVANCE[[#This Row],[ESTADO MODULO]]="PENDIENTE",(TODAY()-AVANCE[[#This Row],[FECHA TERMINO  PLANIFICADO]]),0)</f>
        <v>0</v>
      </c>
      <c r="CT214" s="41" t="str" cm="1">
        <f t="array" ref="CT214">_xlfn.TEXTJOIN(" | ",TRUE,IF(SUMPRODUCT((BG214:CR214&lt;1)*(PARTIDAS!$I$2:$AT$2="OBRA GRUESA"))&gt;0,"OBRA GRUESA: "&amp;_xlfn.TEXTJOIN(", ",TRUE,IF((BG214:CR214&lt;1)*(PARTIDAS!$I$2:$AT$2="OBRA GRUESA"),PARTIDAS!$I$1:$AT$1,"")),""),IF(SUMPRODUCT((BG214:CR214&lt;1)*(PARTIDAS!$I$2:$AT$2="SANITARIOS"))&gt;0,"SANITARIOS: "&amp;_xlfn.TEXTJOIN(", ",TRUE,IF((BG214:CR214&lt;1)*(PARTIDAS!$I$2:$AT$2="SANITARIOS"),PARTIDAS!$I$1:$AT$1,"")),""),IF(SUMPRODUCT((BG214:CR214&lt;1)*(PARTIDAS!$I$2:$AT$2="ELÉCTRICO"))&gt;0,"ELÉCTRICO: "&amp;_xlfn.TEXTJOIN(", ",TRUE,IF((BG214:CR214&lt;1)*(PARTIDAS!$I$2:$AT$2="ELÉCTRICO"),PARTIDAS!$I$1:$AT$1,"")),""),IF(SUMPRODUCT((BG214:CR214&lt;1)*(PARTIDAS!$I$2:$AT$2="TERMINACIONES"))&gt;0,"TERMINACIONES: "&amp;_xlfn.TEXTJOIN(", ",TRUE,IF((BG214:CR214&lt;1)*(PARTIDAS!$I$2:$AT$2="TERMINACIONES"),PARTIDAS!$I$1:$AT$1,"")),""))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4" s="43" t="str" cm="1">
        <f t="array" ref="CU214">_xlfn.TEXTJOIN(", ",TRUE,IF(SUMPRODUCT((BG214:CR214&lt;1)*(PARTIDAS!$I$2:$AT$2="OBRA GRUESA"))&gt;0,"OBRA GRUESA",""),IF(SUMPRODUCT((BG214:CR214&lt;1)*(PARTIDAS!$I$2:$AT$2="SANITARIOS"))&gt;0,"SANITARIOS",""),IF(SUMPRODUCT((BG214:CR214&lt;1)*(PARTIDAS!$I$2:$AT$2="ELÉCTRICO"))&gt;0,"ELÉCTRICO",""),IF(SUMPRODUCT((BG214:CR214&lt;1)*(PARTIDAS!$I$2:$AT$2="TERMINACIONES"))&gt;0,"TERMINACIONES",""))</f>
        <v>OBRA GRUESA, SANITARIOS, ELÉCTRICO, TERMINACIONES</v>
      </c>
      <c r="CV214" s="44" cm="1">
        <f t="array" ref="CV214">SUMPRODUCT(--(BG214:CR214&lt;1))</f>
        <v>38</v>
      </c>
    </row>
    <row r="215" spans="1:100" hidden="1" x14ac:dyDescent="0.25">
      <c r="A215" t="s">
        <v>256</v>
      </c>
      <c r="B215" t="s">
        <v>278</v>
      </c>
      <c r="C215">
        <v>2302600214</v>
      </c>
      <c r="D215" t="s">
        <v>60</v>
      </c>
      <c r="E215" s="2">
        <v>0</v>
      </c>
      <c r="F215" s="1">
        <v>46245</v>
      </c>
      <c r="G215" s="1"/>
      <c r="H215" s="1">
        <v>0</v>
      </c>
      <c r="I215" s="1">
        <v>46275</v>
      </c>
      <c r="J215">
        <v>46230</v>
      </c>
      <c r="K215" s="1"/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>
        <v>31.32</v>
      </c>
      <c r="BF215" s="3" t="str">
        <f>+IF(AVANCE[[#This Row],[% AVANCE]]=100%,"MODULO TERMINADO",IF(AVANCE[[#This Row],[FECHA INICIO REAL]]="","MODULO NO INICIADO","PENDIENTE"))</f>
        <v>MODULO NO INICIADO</v>
      </c>
      <c r="BG215" s="3">
        <f>+IF(AVANCE[[#This Row],[VENTANAS]]=8.10810810810811%,100%,AVANCE[[#This Row],[VENTANAS]])</f>
        <v>0</v>
      </c>
      <c r="BH215" s="3">
        <f>+IF(AVANCE[[#This Row],[PISO]]=N$2,100%,AVANCE[[#This Row],[PISO]])</f>
        <v>0</v>
      </c>
      <c r="BI215" s="3">
        <f>+IF(AVANCE[[#This Row],[TABIQUES]]=O$2,100%,AVANCE[[#This Row],[TABIQUES]])</f>
        <v>0</v>
      </c>
      <c r="BJ215" s="3">
        <f>+IF(AVANCE[[#This Row],[MUROS]]=P$2,100%,AVANCE[[#This Row],[MUROS]])</f>
        <v>0</v>
      </c>
      <c r="BK215" s="3">
        <f>+IF(AVANCE[[#This Row],[CIELO]]=Q$2,100%,AVANCE[[#This Row],[CIELO]])</f>
        <v>0</v>
      </c>
      <c r="BL215" s="3">
        <f>+IF(AVANCE[[#This Row],[BALCÓN]]=R$2,100%,AVANCE[[#This Row],[BALCÓN]])</f>
        <v>0</v>
      </c>
      <c r="BM215" s="3">
        <f>+IF(AVANCE[[#This Row],[RED ALCANTARILLADO]]=U$2,100%,AVANCE[[#This Row],[RED ALCANTARILLADO]])</f>
        <v>0</v>
      </c>
      <c r="BN215" s="3">
        <f>+IF(AVANCE[[#This Row],[RED DE AGUA]]=V$2,100%,AVANCE[[#This Row],[RED DE AGUA]])</f>
        <v>0</v>
      </c>
      <c r="BO215" s="3">
        <f>+IF(AVANCE[[#This Row],[VENTILACIONES]]=W$2,100%,AVANCE[[#This Row],[VENTILACIONES]])</f>
        <v>0</v>
      </c>
      <c r="BP215" s="3">
        <f>+IF(AVANCE[[#This Row],[TINA]]=X$2,100%,AVANCE[[#This Row],[TINA]])</f>
        <v>0</v>
      </c>
      <c r="BQ215" s="3">
        <f>+IF(AVANCE[[#This Row],[WC]]=Y$2,100%,AVANCE[[#This Row],[WC]])</f>
        <v>0</v>
      </c>
      <c r="BR215" s="3">
        <f>+IF(AVANCE[[#This Row],[LAVAMANOS / LAVAPLATOS / LAVADERO]]=Z$2,100%,AVANCE[[#This Row],[LAVAMANOS / LAVAPLATOS / LAVADERO]])</f>
        <v>0</v>
      </c>
      <c r="BS215" s="3">
        <f>+IF(AVANCE[[#This Row],[CANALIZACIÓN]]=AC$2,100%,AVANCE[[#This Row],[CANALIZACIÓN]])</f>
        <v>0</v>
      </c>
      <c r="BT215" s="3">
        <f>+IF(AVANCE[[#This Row],[CABLEADO]]=AD$2,100%,AVANCE[[#This Row],[CABLEADO]])</f>
        <v>0</v>
      </c>
      <c r="BU215" s="3">
        <f>+IF(AVANCE[[#This Row],[ARTEFACTOS]]=AE$2,100%,AVANCE[[#This Row],[ARTEFACTOS]])</f>
        <v>0</v>
      </c>
      <c r="BV215" s="3">
        <f>+IF(AVANCE[[#This Row],[TABLERO]]=AF$2,100%,AVANCE[[#This Row],[TABLERO]])</f>
        <v>0</v>
      </c>
      <c r="BW215" s="3">
        <f>+IF(AVANCE[[#This Row],[CAJA PAU]]=AG$2,100%,AVANCE[[#This Row],[CAJA PAU]])</f>
        <v>0</v>
      </c>
      <c r="BX215" s="3">
        <f>+IF(AVANCE[[#This Row],[INSTALACION VINILICO]]=AJ$2,100%,AVANCE[[#This Row],[INSTALACION VINILICO]])</f>
        <v>0</v>
      </c>
      <c r="BY215" s="3">
        <f>+IF(AVANCE[[#This Row],[OSB CUBIERTA]]=AK$2,100%,AVANCE[[#This Row],[OSB CUBIERTA]])</f>
        <v>0</v>
      </c>
      <c r="BZ215" s="3">
        <f>+IF(AVANCE[[#This Row],[BARANDA BALCON]]=AL$2,100%,AVANCE[[#This Row],[BARANDA BALCON]])</f>
        <v>0</v>
      </c>
      <c r="CA215" s="3">
        <f>+IF(AVANCE[[#This Row],[OSB EXTERIOR]]=AM$2,100%,AVANCE[[#This Row],[OSB EXTERIOR]])</f>
        <v>0</v>
      </c>
      <c r="CB215" s="3">
        <f>+IF(AVANCE[[#This Row],[SMART PANEL]]=AN$2,100%,AVANCE[[#This Row],[SMART PANEL]])</f>
        <v>0</v>
      </c>
      <c r="CC215" s="3">
        <f>+IF(AVANCE[[#This Row],[PINTURA EXTERIOR]]=AO$2,100%,AVANCE[[#This Row],[PINTURA EXTERIOR]])</f>
        <v>0</v>
      </c>
      <c r="CD215" s="3">
        <f>+IF(AVANCE[[#This Row],[ZOCALOS LOGIA]]=AP$2,100%,AVANCE[[#This Row],[ZOCALOS LOGIA]])</f>
        <v>0</v>
      </c>
      <c r="CE215" s="3">
        <f>+IF(AVANCE[[#This Row],[MOLDURAS]]=AQ$2,100%,AVANCE[[#This Row],[MOLDURAS]])</f>
        <v>0</v>
      </c>
      <c r="CF215" s="3">
        <f>+IF(AVANCE[[#This Row],[PILASTREO]]=AR$2,100%,AVANCE[[#This Row],[PILASTREO]])</f>
        <v>0</v>
      </c>
      <c r="CG215" s="3">
        <f>+IF(AVANCE[[#This Row],[CELOSIAS]]=AS$2,100%,AVANCE[[#This Row],[CELOSIAS]])</f>
        <v>0</v>
      </c>
      <c r="CH215" s="3">
        <f>+IF(AVANCE[[#This Row],[VENTANAS]]=AT$2,100%,AVANCE[[#This Row],[VENTANAS]])</f>
        <v>0</v>
      </c>
      <c r="CI215" s="3">
        <f>+IF(AVANCE[[#This Row],[PUERTAS ACCESO - LOGIA - BANO]]=AU$2,100%,AVANCE[[#This Row],[PUERTAS ACCESO - LOGIA - BANO]])</f>
        <v>0</v>
      </c>
      <c r="CJ215" s="3">
        <f>+IF(AVANCE[[#This Row],[CERRADURAS]]=AV$2,100%,AVANCE[[#This Row],[CERRADURAS]])</f>
        <v>0</v>
      </c>
      <c r="CK215" s="3">
        <f>+IF(AVANCE[[#This Row],[REVESTIMIENTO INTERIOR ZONA SECA]]=AW$2,100%,AVANCE[[#This Row],[REVESTIMIENTO INTERIOR ZONA SECA]])</f>
        <v>0</v>
      </c>
      <c r="CL215" s="3">
        <f>+IF(AVANCE[[#This Row],[REVESTIMIENTO INTERIOR ZONAS HUMEDAS]]=AX$2,100%,AVANCE[[#This Row],[REVESTIMIENTO INTERIOR ZONAS HUMEDAS]])</f>
        <v>0</v>
      </c>
      <c r="CM215" s="3">
        <f>+IF(AVANCE[[#This Row],[MEMBRANA CIELO]]=AY$2,100%,AVANCE[[#This Row],[MEMBRANA CIELO]])</f>
        <v>0</v>
      </c>
      <c r="CN215" s="3">
        <f>+IF(AVANCE[[#This Row],[LIMPIEZA FINAL]]=AZ$2,100%,AVANCE[[#This Row],[LIMPIEZA FINAL]])</f>
        <v>0</v>
      </c>
      <c r="CO215" s="3">
        <f>+IF(AVANCE[[#This Row],[PUERTAS DORMITORIO]]=BA$2,100%,AVANCE[[#This Row],[PUERTAS DORMITORIO]])</f>
        <v>0</v>
      </c>
      <c r="CP215" s="3">
        <f>+IF(AVANCE[[#This Row],[REVESTIMIENTO INTERIOR BANO]]=BB$2,100%,AVANCE[[#This Row],[REVESTIMIENTO INTERIOR BANO]])</f>
        <v>0</v>
      </c>
      <c r="CQ215" s="3">
        <f>+IF(AVANCE[[#This Row],[MUEBLE LAVAPLATOS]]=BC$2,100%,AVANCE[[#This Row],[MUEBLE LAVAPLATOS]])</f>
        <v>0</v>
      </c>
      <c r="CR215" s="3">
        <f>+IF(AVANCE[[#This Row],[IMPERMEABILIZACION BANO - COCINA LOGIA]]=BD$2,100%,AVANCE[[#This Row],[IMPERMEABILIZACION BANO - COCINA LOGIA]])</f>
        <v>0</v>
      </c>
      <c r="CS215" s="40">
        <f ca="1">+IF(AVANCE[[#This Row],[ESTADO MODULO]]="PENDIENTE",(TODAY()-AVANCE[[#This Row],[FECHA TERMINO  PLANIFICADO]]),0)</f>
        <v>0</v>
      </c>
      <c r="CT215" s="41" t="str" cm="1">
        <f t="array" ref="CT215">_xlfn.TEXTJOIN(" | ",TRUE,IF(SUMPRODUCT((BG215:CR215&lt;1)*(PARTIDAS!$I$2:$AT$2="OBRA GRUESA"))&gt;0,"OBRA GRUESA: "&amp;_xlfn.TEXTJOIN(", ",TRUE,IF((BG215:CR215&lt;1)*(PARTIDAS!$I$2:$AT$2="OBRA GRUESA"),PARTIDAS!$I$1:$AT$1,"")),""),IF(SUMPRODUCT((BG215:CR215&lt;1)*(PARTIDAS!$I$2:$AT$2="SANITARIOS"))&gt;0,"SANITARIOS: "&amp;_xlfn.TEXTJOIN(", ",TRUE,IF((BG215:CR215&lt;1)*(PARTIDAS!$I$2:$AT$2="SANITARIOS"),PARTIDAS!$I$1:$AT$1,"")),""),IF(SUMPRODUCT((BG215:CR215&lt;1)*(PARTIDAS!$I$2:$AT$2="ELÉCTRICO"))&gt;0,"ELÉCTRICO: "&amp;_xlfn.TEXTJOIN(", ",TRUE,IF((BG215:CR215&lt;1)*(PARTIDAS!$I$2:$AT$2="ELÉCTRICO"),PARTIDAS!$I$1:$AT$1,"")),""),IF(SUMPRODUCT((BG215:CR215&lt;1)*(PARTIDAS!$I$2:$AT$2="TERMINACIONES"))&gt;0,"TERMINACIONES: "&amp;_xlfn.TEXTJOIN(", ",TRUE,IF((BG215:CR215&lt;1)*(PARTIDAS!$I$2:$AT$2="TERMINACIONES"),PARTIDAS!$I$1:$AT$1,"")),""))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5" s="43" t="str" cm="1">
        <f t="array" ref="CU215">_xlfn.TEXTJOIN(", ",TRUE,IF(SUMPRODUCT((BG215:CR215&lt;1)*(PARTIDAS!$I$2:$AT$2="OBRA GRUESA"))&gt;0,"OBRA GRUESA",""),IF(SUMPRODUCT((BG215:CR215&lt;1)*(PARTIDAS!$I$2:$AT$2="SANITARIOS"))&gt;0,"SANITARIOS",""),IF(SUMPRODUCT((BG215:CR215&lt;1)*(PARTIDAS!$I$2:$AT$2="ELÉCTRICO"))&gt;0,"ELÉCTRICO",""),IF(SUMPRODUCT((BG215:CR215&lt;1)*(PARTIDAS!$I$2:$AT$2="TERMINACIONES"))&gt;0,"TERMINACIONES",""))</f>
        <v>OBRA GRUESA, SANITARIOS, ELÉCTRICO, TERMINACIONES</v>
      </c>
      <c r="CV215" s="44" cm="1">
        <f t="array" ref="CV215">SUMPRODUCT(--(BG215:CR215&lt;1))</f>
        <v>38</v>
      </c>
    </row>
    <row r="216" spans="1:100" hidden="1" x14ac:dyDescent="0.25">
      <c r="A216" t="s">
        <v>256</v>
      </c>
      <c r="B216" t="s">
        <v>279</v>
      </c>
      <c r="C216">
        <v>2302600215</v>
      </c>
      <c r="D216" t="s">
        <v>60</v>
      </c>
      <c r="E216" s="2">
        <v>0</v>
      </c>
      <c r="F216" s="1">
        <v>46245</v>
      </c>
      <c r="G216" s="1"/>
      <c r="H216" s="1">
        <v>0</v>
      </c>
      <c r="I216" s="1">
        <v>46275</v>
      </c>
      <c r="J216">
        <v>46230</v>
      </c>
      <c r="K216" s="1"/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>
        <v>31.32</v>
      </c>
      <c r="BF216" s="3" t="str">
        <f>+IF(AVANCE[[#This Row],[% AVANCE]]=100%,"MODULO TERMINADO",IF(AVANCE[[#This Row],[FECHA INICIO REAL]]="","MODULO NO INICIADO","PENDIENTE"))</f>
        <v>MODULO NO INICIADO</v>
      </c>
      <c r="BG216" s="3">
        <f>+IF(AVANCE[[#This Row],[VENTANAS]]=8.10810810810811%,100%,AVANCE[[#This Row],[VENTANAS]])</f>
        <v>0</v>
      </c>
      <c r="BH216" s="3">
        <f>+IF(AVANCE[[#This Row],[PISO]]=N$2,100%,AVANCE[[#This Row],[PISO]])</f>
        <v>0</v>
      </c>
      <c r="BI216" s="3">
        <f>+IF(AVANCE[[#This Row],[TABIQUES]]=O$2,100%,AVANCE[[#This Row],[TABIQUES]])</f>
        <v>0</v>
      </c>
      <c r="BJ216" s="3">
        <f>+IF(AVANCE[[#This Row],[MUROS]]=P$2,100%,AVANCE[[#This Row],[MUROS]])</f>
        <v>0</v>
      </c>
      <c r="BK216" s="3">
        <f>+IF(AVANCE[[#This Row],[CIELO]]=Q$2,100%,AVANCE[[#This Row],[CIELO]])</f>
        <v>0</v>
      </c>
      <c r="BL216" s="3">
        <f>+IF(AVANCE[[#This Row],[BALCÓN]]=R$2,100%,AVANCE[[#This Row],[BALCÓN]])</f>
        <v>0</v>
      </c>
      <c r="BM216" s="3">
        <f>+IF(AVANCE[[#This Row],[RED ALCANTARILLADO]]=U$2,100%,AVANCE[[#This Row],[RED ALCANTARILLADO]])</f>
        <v>0</v>
      </c>
      <c r="BN216" s="3">
        <f>+IF(AVANCE[[#This Row],[RED DE AGUA]]=V$2,100%,AVANCE[[#This Row],[RED DE AGUA]])</f>
        <v>0</v>
      </c>
      <c r="BO216" s="3">
        <f>+IF(AVANCE[[#This Row],[VENTILACIONES]]=W$2,100%,AVANCE[[#This Row],[VENTILACIONES]])</f>
        <v>0</v>
      </c>
      <c r="BP216" s="3">
        <f>+IF(AVANCE[[#This Row],[TINA]]=X$2,100%,AVANCE[[#This Row],[TINA]])</f>
        <v>0</v>
      </c>
      <c r="BQ216" s="3">
        <f>+IF(AVANCE[[#This Row],[WC]]=Y$2,100%,AVANCE[[#This Row],[WC]])</f>
        <v>0</v>
      </c>
      <c r="BR216" s="3">
        <f>+IF(AVANCE[[#This Row],[LAVAMANOS / LAVAPLATOS / LAVADERO]]=Z$2,100%,AVANCE[[#This Row],[LAVAMANOS / LAVAPLATOS / LAVADERO]])</f>
        <v>0</v>
      </c>
      <c r="BS216" s="3">
        <f>+IF(AVANCE[[#This Row],[CANALIZACIÓN]]=AC$2,100%,AVANCE[[#This Row],[CANALIZACIÓN]])</f>
        <v>0</v>
      </c>
      <c r="BT216" s="3">
        <f>+IF(AVANCE[[#This Row],[CABLEADO]]=AD$2,100%,AVANCE[[#This Row],[CABLEADO]])</f>
        <v>0</v>
      </c>
      <c r="BU216" s="3">
        <f>+IF(AVANCE[[#This Row],[ARTEFACTOS]]=AE$2,100%,AVANCE[[#This Row],[ARTEFACTOS]])</f>
        <v>0</v>
      </c>
      <c r="BV216" s="3">
        <f>+IF(AVANCE[[#This Row],[TABLERO]]=AF$2,100%,AVANCE[[#This Row],[TABLERO]])</f>
        <v>0</v>
      </c>
      <c r="BW216" s="3">
        <f>+IF(AVANCE[[#This Row],[CAJA PAU]]=AG$2,100%,AVANCE[[#This Row],[CAJA PAU]])</f>
        <v>0</v>
      </c>
      <c r="BX216" s="3">
        <f>+IF(AVANCE[[#This Row],[INSTALACION VINILICO]]=AJ$2,100%,AVANCE[[#This Row],[INSTALACION VINILICO]])</f>
        <v>0</v>
      </c>
      <c r="BY216" s="3">
        <f>+IF(AVANCE[[#This Row],[OSB CUBIERTA]]=AK$2,100%,AVANCE[[#This Row],[OSB CUBIERTA]])</f>
        <v>0</v>
      </c>
      <c r="BZ216" s="3">
        <f>+IF(AVANCE[[#This Row],[BARANDA BALCON]]=AL$2,100%,AVANCE[[#This Row],[BARANDA BALCON]])</f>
        <v>0</v>
      </c>
      <c r="CA216" s="3">
        <f>+IF(AVANCE[[#This Row],[OSB EXTERIOR]]=AM$2,100%,AVANCE[[#This Row],[OSB EXTERIOR]])</f>
        <v>0</v>
      </c>
      <c r="CB216" s="3">
        <f>+IF(AVANCE[[#This Row],[SMART PANEL]]=AN$2,100%,AVANCE[[#This Row],[SMART PANEL]])</f>
        <v>0</v>
      </c>
      <c r="CC216" s="3">
        <f>+IF(AVANCE[[#This Row],[PINTURA EXTERIOR]]=AO$2,100%,AVANCE[[#This Row],[PINTURA EXTERIOR]])</f>
        <v>0</v>
      </c>
      <c r="CD216" s="3">
        <f>+IF(AVANCE[[#This Row],[ZOCALOS LOGIA]]=AP$2,100%,AVANCE[[#This Row],[ZOCALOS LOGIA]])</f>
        <v>0</v>
      </c>
      <c r="CE216" s="3">
        <f>+IF(AVANCE[[#This Row],[MOLDURAS]]=AQ$2,100%,AVANCE[[#This Row],[MOLDURAS]])</f>
        <v>0</v>
      </c>
      <c r="CF216" s="3">
        <f>+IF(AVANCE[[#This Row],[PILASTREO]]=AR$2,100%,AVANCE[[#This Row],[PILASTREO]])</f>
        <v>0</v>
      </c>
      <c r="CG216" s="3">
        <f>+IF(AVANCE[[#This Row],[CELOSIAS]]=AS$2,100%,AVANCE[[#This Row],[CELOSIAS]])</f>
        <v>0</v>
      </c>
      <c r="CH216" s="3">
        <f>+IF(AVANCE[[#This Row],[VENTANAS]]=AT$2,100%,AVANCE[[#This Row],[VENTANAS]])</f>
        <v>0</v>
      </c>
      <c r="CI216" s="3">
        <f>+IF(AVANCE[[#This Row],[PUERTAS ACCESO - LOGIA - BANO]]=AU$2,100%,AVANCE[[#This Row],[PUERTAS ACCESO - LOGIA - BANO]])</f>
        <v>0</v>
      </c>
      <c r="CJ216" s="3">
        <f>+IF(AVANCE[[#This Row],[CERRADURAS]]=AV$2,100%,AVANCE[[#This Row],[CERRADURAS]])</f>
        <v>0</v>
      </c>
      <c r="CK216" s="3">
        <f>+IF(AVANCE[[#This Row],[REVESTIMIENTO INTERIOR ZONA SECA]]=AW$2,100%,AVANCE[[#This Row],[REVESTIMIENTO INTERIOR ZONA SECA]])</f>
        <v>0</v>
      </c>
      <c r="CL216" s="3">
        <f>+IF(AVANCE[[#This Row],[REVESTIMIENTO INTERIOR ZONAS HUMEDAS]]=AX$2,100%,AVANCE[[#This Row],[REVESTIMIENTO INTERIOR ZONAS HUMEDAS]])</f>
        <v>0</v>
      </c>
      <c r="CM216" s="3">
        <f>+IF(AVANCE[[#This Row],[MEMBRANA CIELO]]=AY$2,100%,AVANCE[[#This Row],[MEMBRANA CIELO]])</f>
        <v>0</v>
      </c>
      <c r="CN216" s="3">
        <f>+IF(AVANCE[[#This Row],[LIMPIEZA FINAL]]=AZ$2,100%,AVANCE[[#This Row],[LIMPIEZA FINAL]])</f>
        <v>0</v>
      </c>
      <c r="CO216" s="3">
        <f>+IF(AVANCE[[#This Row],[PUERTAS DORMITORIO]]=BA$2,100%,AVANCE[[#This Row],[PUERTAS DORMITORIO]])</f>
        <v>0</v>
      </c>
      <c r="CP216" s="3">
        <f>+IF(AVANCE[[#This Row],[REVESTIMIENTO INTERIOR BANO]]=BB$2,100%,AVANCE[[#This Row],[REVESTIMIENTO INTERIOR BANO]])</f>
        <v>0</v>
      </c>
      <c r="CQ216" s="3">
        <f>+IF(AVANCE[[#This Row],[MUEBLE LAVAPLATOS]]=BC$2,100%,AVANCE[[#This Row],[MUEBLE LAVAPLATOS]])</f>
        <v>0</v>
      </c>
      <c r="CR216" s="3">
        <f>+IF(AVANCE[[#This Row],[IMPERMEABILIZACION BANO - COCINA LOGIA]]=BD$2,100%,AVANCE[[#This Row],[IMPERMEABILIZACION BANO - COCINA LOGIA]])</f>
        <v>0</v>
      </c>
      <c r="CS216" s="40">
        <f ca="1">+IF(AVANCE[[#This Row],[ESTADO MODULO]]="PENDIENTE",(TODAY()-AVANCE[[#This Row],[FECHA TERMINO  PLANIFICADO]]),0)</f>
        <v>0</v>
      </c>
      <c r="CT216" s="41" t="str" cm="1">
        <f t="array" ref="CT216">_xlfn.TEXTJOIN(" | ",TRUE,IF(SUMPRODUCT((BG216:CR216&lt;1)*(PARTIDAS!$I$2:$AT$2="OBRA GRUESA"))&gt;0,"OBRA GRUESA: "&amp;_xlfn.TEXTJOIN(", ",TRUE,IF((BG216:CR216&lt;1)*(PARTIDAS!$I$2:$AT$2="OBRA GRUESA"),PARTIDAS!$I$1:$AT$1,"")),""),IF(SUMPRODUCT((BG216:CR216&lt;1)*(PARTIDAS!$I$2:$AT$2="SANITARIOS"))&gt;0,"SANITARIOS: "&amp;_xlfn.TEXTJOIN(", ",TRUE,IF((BG216:CR216&lt;1)*(PARTIDAS!$I$2:$AT$2="SANITARIOS"),PARTIDAS!$I$1:$AT$1,"")),""),IF(SUMPRODUCT((BG216:CR216&lt;1)*(PARTIDAS!$I$2:$AT$2="ELÉCTRICO"))&gt;0,"ELÉCTRICO: "&amp;_xlfn.TEXTJOIN(", ",TRUE,IF((BG216:CR216&lt;1)*(PARTIDAS!$I$2:$AT$2="ELÉCTRICO"),PARTIDAS!$I$1:$AT$1,"")),""),IF(SUMPRODUCT((BG216:CR216&lt;1)*(PARTIDAS!$I$2:$AT$2="TERMINACIONES"))&gt;0,"TERMINACIONES: "&amp;_xlfn.TEXTJOIN(", ",TRUE,IF((BG216:CR216&lt;1)*(PARTIDAS!$I$2:$AT$2="TERMINACIONES"),PARTIDAS!$I$1:$AT$1,"")),""))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6" s="43" t="str" cm="1">
        <f t="array" ref="CU216">_xlfn.TEXTJOIN(", ",TRUE,IF(SUMPRODUCT((BG216:CR216&lt;1)*(PARTIDAS!$I$2:$AT$2="OBRA GRUESA"))&gt;0,"OBRA GRUESA",""),IF(SUMPRODUCT((BG216:CR216&lt;1)*(PARTIDAS!$I$2:$AT$2="SANITARIOS"))&gt;0,"SANITARIOS",""),IF(SUMPRODUCT((BG216:CR216&lt;1)*(PARTIDAS!$I$2:$AT$2="ELÉCTRICO"))&gt;0,"ELÉCTRICO",""),IF(SUMPRODUCT((BG216:CR216&lt;1)*(PARTIDAS!$I$2:$AT$2="TERMINACIONES"))&gt;0,"TERMINACIONES",""))</f>
        <v>OBRA GRUESA, SANITARIOS, ELÉCTRICO, TERMINACIONES</v>
      </c>
      <c r="CV216" s="44" cm="1">
        <f t="array" ref="CV216">SUMPRODUCT(--(BG216:CR216&lt;1))</f>
        <v>38</v>
      </c>
    </row>
    <row r="217" spans="1:100" hidden="1" x14ac:dyDescent="0.25">
      <c r="A217" t="s">
        <v>256</v>
      </c>
      <c r="B217" t="s">
        <v>280</v>
      </c>
      <c r="C217">
        <v>2282600216</v>
      </c>
      <c r="D217" t="s">
        <v>58</v>
      </c>
      <c r="E217" s="2">
        <v>0</v>
      </c>
      <c r="F217" s="1">
        <v>46246</v>
      </c>
      <c r="G217" s="1"/>
      <c r="H217" s="1">
        <v>0</v>
      </c>
      <c r="I217" s="1">
        <v>46266</v>
      </c>
      <c r="J217">
        <v>46230</v>
      </c>
      <c r="K217" s="1"/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>
        <v>28.87</v>
      </c>
      <c r="BF217" s="3" t="str">
        <f>+IF(AVANCE[[#This Row],[% AVANCE]]=100%,"MODULO TERMINADO",IF(AVANCE[[#This Row],[FECHA INICIO REAL]]="","MODULO NO INICIADO","PENDIENTE"))</f>
        <v>MODULO NO INICIADO</v>
      </c>
      <c r="BG217" s="3">
        <f>+IF(AVANCE[[#This Row],[VENTANAS]]=8.10810810810811%,100%,AVANCE[[#This Row],[VENTANAS]])</f>
        <v>0</v>
      </c>
      <c r="BH217" s="3">
        <f>+IF(AVANCE[[#This Row],[PISO]]=N$2,100%,AVANCE[[#This Row],[PISO]])</f>
        <v>0</v>
      </c>
      <c r="BI217" s="3">
        <f>+IF(AVANCE[[#This Row],[TABIQUES]]=O$2,100%,AVANCE[[#This Row],[TABIQUES]])</f>
        <v>0</v>
      </c>
      <c r="BJ217" s="3">
        <f>+IF(AVANCE[[#This Row],[MUROS]]=P$2,100%,AVANCE[[#This Row],[MUROS]])</f>
        <v>0</v>
      </c>
      <c r="BK217" s="3">
        <f>+IF(AVANCE[[#This Row],[CIELO]]=Q$2,100%,AVANCE[[#This Row],[CIELO]])</f>
        <v>0</v>
      </c>
      <c r="BL217" s="3">
        <f>+IF(AVANCE[[#This Row],[BALCÓN]]=R$2,100%,AVANCE[[#This Row],[BALCÓN]])</f>
        <v>0</v>
      </c>
      <c r="BM217" s="3">
        <f>+IF(AVANCE[[#This Row],[RED ALCANTARILLADO]]=U$2,100%,AVANCE[[#This Row],[RED ALCANTARILLADO]])</f>
        <v>0</v>
      </c>
      <c r="BN217" s="3">
        <f>+IF(AVANCE[[#This Row],[RED DE AGUA]]=V$2,100%,AVANCE[[#This Row],[RED DE AGUA]])</f>
        <v>0</v>
      </c>
      <c r="BO217" s="3">
        <f>+IF(AVANCE[[#This Row],[VENTILACIONES]]=W$2,100%,AVANCE[[#This Row],[VENTILACIONES]])</f>
        <v>0</v>
      </c>
      <c r="BP217" s="3">
        <f>+IF(AVANCE[[#This Row],[TINA]]=X$2,100%,AVANCE[[#This Row],[TINA]])</f>
        <v>0</v>
      </c>
      <c r="BQ217" s="3">
        <f>+IF(AVANCE[[#This Row],[WC]]=Y$2,100%,AVANCE[[#This Row],[WC]])</f>
        <v>0</v>
      </c>
      <c r="BR217" s="3">
        <f>+IF(AVANCE[[#This Row],[LAVAMANOS / LAVAPLATOS / LAVADERO]]=Z$2,100%,AVANCE[[#This Row],[LAVAMANOS / LAVAPLATOS / LAVADERO]])</f>
        <v>0</v>
      </c>
      <c r="BS217" s="3">
        <f>+IF(AVANCE[[#This Row],[CANALIZACIÓN]]=AC$2,100%,AVANCE[[#This Row],[CANALIZACIÓN]])</f>
        <v>0</v>
      </c>
      <c r="BT217" s="3">
        <f>+IF(AVANCE[[#This Row],[CABLEADO]]=AD$2,100%,AVANCE[[#This Row],[CABLEADO]])</f>
        <v>0</v>
      </c>
      <c r="BU217" s="3">
        <f>+IF(AVANCE[[#This Row],[ARTEFACTOS]]=AE$2,100%,AVANCE[[#This Row],[ARTEFACTOS]])</f>
        <v>0</v>
      </c>
      <c r="BV217" s="3">
        <f>+IF(AVANCE[[#This Row],[TABLERO]]=AF$2,100%,AVANCE[[#This Row],[TABLERO]])</f>
        <v>0</v>
      </c>
      <c r="BW217" s="3">
        <f>+IF(AVANCE[[#This Row],[CAJA PAU]]=AG$2,100%,AVANCE[[#This Row],[CAJA PAU]])</f>
        <v>0</v>
      </c>
      <c r="BX217" s="3">
        <f>+IF(AVANCE[[#This Row],[INSTALACION VINILICO]]=AJ$2,100%,AVANCE[[#This Row],[INSTALACION VINILICO]])</f>
        <v>0</v>
      </c>
      <c r="BY217" s="3">
        <f>+IF(AVANCE[[#This Row],[OSB CUBIERTA]]=AK$2,100%,AVANCE[[#This Row],[OSB CUBIERTA]])</f>
        <v>0</v>
      </c>
      <c r="BZ217" s="3">
        <f>+IF(AVANCE[[#This Row],[BARANDA BALCON]]=AL$2,100%,AVANCE[[#This Row],[BARANDA BALCON]])</f>
        <v>0</v>
      </c>
      <c r="CA217" s="3">
        <f>+IF(AVANCE[[#This Row],[OSB EXTERIOR]]=AM$2,100%,AVANCE[[#This Row],[OSB EXTERIOR]])</f>
        <v>0</v>
      </c>
      <c r="CB217" s="3">
        <f>+IF(AVANCE[[#This Row],[SMART PANEL]]=AN$2,100%,AVANCE[[#This Row],[SMART PANEL]])</f>
        <v>0</v>
      </c>
      <c r="CC217" s="3">
        <f>+IF(AVANCE[[#This Row],[PINTURA EXTERIOR]]=AO$2,100%,AVANCE[[#This Row],[PINTURA EXTERIOR]])</f>
        <v>0</v>
      </c>
      <c r="CD217" s="3">
        <f>+IF(AVANCE[[#This Row],[ZOCALOS LOGIA]]=AP$2,100%,AVANCE[[#This Row],[ZOCALOS LOGIA]])</f>
        <v>0</v>
      </c>
      <c r="CE217" s="3">
        <f>+IF(AVANCE[[#This Row],[MOLDURAS]]=AQ$2,100%,AVANCE[[#This Row],[MOLDURAS]])</f>
        <v>0</v>
      </c>
      <c r="CF217" s="3">
        <f>+IF(AVANCE[[#This Row],[PILASTREO]]=AR$2,100%,AVANCE[[#This Row],[PILASTREO]])</f>
        <v>0</v>
      </c>
      <c r="CG217" s="3">
        <f>+IF(AVANCE[[#This Row],[CELOSIAS]]=AS$2,100%,AVANCE[[#This Row],[CELOSIAS]])</f>
        <v>0</v>
      </c>
      <c r="CH217" s="3">
        <f>+IF(AVANCE[[#This Row],[VENTANAS]]=AT$2,100%,AVANCE[[#This Row],[VENTANAS]])</f>
        <v>0</v>
      </c>
      <c r="CI217" s="3">
        <f>+IF(AVANCE[[#This Row],[PUERTAS ACCESO - LOGIA - BANO]]=AU$2,100%,AVANCE[[#This Row],[PUERTAS ACCESO - LOGIA - BANO]])</f>
        <v>0</v>
      </c>
      <c r="CJ217" s="3">
        <f>+IF(AVANCE[[#This Row],[CERRADURAS]]=AV$2,100%,AVANCE[[#This Row],[CERRADURAS]])</f>
        <v>0</v>
      </c>
      <c r="CK217" s="3">
        <f>+IF(AVANCE[[#This Row],[REVESTIMIENTO INTERIOR ZONA SECA]]=AW$2,100%,AVANCE[[#This Row],[REVESTIMIENTO INTERIOR ZONA SECA]])</f>
        <v>0</v>
      </c>
      <c r="CL217" s="3">
        <f>+IF(AVANCE[[#This Row],[REVESTIMIENTO INTERIOR ZONAS HUMEDAS]]=AX$2,100%,AVANCE[[#This Row],[REVESTIMIENTO INTERIOR ZONAS HUMEDAS]])</f>
        <v>0</v>
      </c>
      <c r="CM217" s="3">
        <f>+IF(AVANCE[[#This Row],[MEMBRANA CIELO]]=AY$2,100%,AVANCE[[#This Row],[MEMBRANA CIELO]])</f>
        <v>0</v>
      </c>
      <c r="CN217" s="3">
        <f>+IF(AVANCE[[#This Row],[LIMPIEZA FINAL]]=AZ$2,100%,AVANCE[[#This Row],[LIMPIEZA FINAL]])</f>
        <v>0</v>
      </c>
      <c r="CO217" s="3">
        <f>+IF(AVANCE[[#This Row],[PUERTAS DORMITORIO]]=BA$2,100%,AVANCE[[#This Row],[PUERTAS DORMITORIO]])</f>
        <v>0</v>
      </c>
      <c r="CP217" s="3">
        <f>+IF(AVANCE[[#This Row],[REVESTIMIENTO INTERIOR BANO]]=BB$2,100%,AVANCE[[#This Row],[REVESTIMIENTO INTERIOR BANO]])</f>
        <v>0</v>
      </c>
      <c r="CQ217" s="3">
        <f>+IF(AVANCE[[#This Row],[MUEBLE LAVAPLATOS]]=BC$2,100%,AVANCE[[#This Row],[MUEBLE LAVAPLATOS]])</f>
        <v>0</v>
      </c>
      <c r="CR217" s="3">
        <f>+IF(AVANCE[[#This Row],[IMPERMEABILIZACION BANO - COCINA LOGIA]]=BD$2,100%,AVANCE[[#This Row],[IMPERMEABILIZACION BANO - COCINA LOGIA]])</f>
        <v>0</v>
      </c>
      <c r="CS217" s="40">
        <f ca="1">+IF(AVANCE[[#This Row],[ESTADO MODULO]]="PENDIENTE",(TODAY()-AVANCE[[#This Row],[FECHA TERMINO  PLANIFICADO]]),0)</f>
        <v>0</v>
      </c>
      <c r="CT217" s="41" t="str" cm="1">
        <f t="array" ref="CT217">_xlfn.TEXTJOIN(" | ",TRUE,IF(SUMPRODUCT((BG217:CR217&lt;1)*(PARTIDAS!$I$2:$AT$2="OBRA GRUESA"))&gt;0,"OBRA GRUESA: "&amp;_xlfn.TEXTJOIN(", ",TRUE,IF((BG217:CR217&lt;1)*(PARTIDAS!$I$2:$AT$2="OBRA GRUESA"),PARTIDAS!$I$1:$AT$1,"")),""),IF(SUMPRODUCT((BG217:CR217&lt;1)*(PARTIDAS!$I$2:$AT$2="SANITARIOS"))&gt;0,"SANITARIOS: "&amp;_xlfn.TEXTJOIN(", ",TRUE,IF((BG217:CR217&lt;1)*(PARTIDAS!$I$2:$AT$2="SANITARIOS"),PARTIDAS!$I$1:$AT$1,"")),""),IF(SUMPRODUCT((BG217:CR217&lt;1)*(PARTIDAS!$I$2:$AT$2="ELÉCTRICO"))&gt;0,"ELÉCTRICO: "&amp;_xlfn.TEXTJOIN(", ",TRUE,IF((BG217:CR217&lt;1)*(PARTIDAS!$I$2:$AT$2="ELÉCTRICO"),PARTIDAS!$I$1:$AT$1,"")),""),IF(SUMPRODUCT((BG217:CR217&lt;1)*(PARTIDAS!$I$2:$AT$2="TERMINACIONES"))&gt;0,"TERMINACIONES: "&amp;_xlfn.TEXTJOIN(", ",TRUE,IF((BG217:CR217&lt;1)*(PARTIDAS!$I$2:$AT$2="TERMINACIONES"),PARTIDAS!$I$1:$AT$1,"")),""))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7" s="43" t="str" cm="1">
        <f t="array" ref="CU217">_xlfn.TEXTJOIN(", ",TRUE,IF(SUMPRODUCT((BG217:CR217&lt;1)*(PARTIDAS!$I$2:$AT$2="OBRA GRUESA"))&gt;0,"OBRA GRUESA",""),IF(SUMPRODUCT((BG217:CR217&lt;1)*(PARTIDAS!$I$2:$AT$2="SANITARIOS"))&gt;0,"SANITARIOS",""),IF(SUMPRODUCT((BG217:CR217&lt;1)*(PARTIDAS!$I$2:$AT$2="ELÉCTRICO"))&gt;0,"ELÉCTRICO",""),IF(SUMPRODUCT((BG217:CR217&lt;1)*(PARTIDAS!$I$2:$AT$2="TERMINACIONES"))&gt;0,"TERMINACIONES",""))</f>
        <v>OBRA GRUESA, SANITARIOS, ELÉCTRICO, TERMINACIONES</v>
      </c>
      <c r="CV217" s="44" cm="1">
        <f t="array" ref="CV217">SUMPRODUCT(--(BG217:CR217&lt;1))</f>
        <v>38</v>
      </c>
    </row>
    <row r="218" spans="1:100" hidden="1" x14ac:dyDescent="0.25">
      <c r="A218" t="s">
        <v>256</v>
      </c>
      <c r="B218" t="s">
        <v>281</v>
      </c>
      <c r="C218">
        <v>2282600217</v>
      </c>
      <c r="D218" t="s">
        <v>58</v>
      </c>
      <c r="E218" s="2">
        <v>0</v>
      </c>
      <c r="F218" s="1">
        <v>46246</v>
      </c>
      <c r="G218" s="1"/>
      <c r="H218" s="1">
        <v>0</v>
      </c>
      <c r="I218" s="1">
        <v>46266</v>
      </c>
      <c r="J218">
        <v>46230</v>
      </c>
      <c r="K218" s="1"/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>
        <v>28.87</v>
      </c>
      <c r="BF218" s="3" t="str">
        <f>+IF(AVANCE[[#This Row],[% AVANCE]]=100%,"MODULO TERMINADO",IF(AVANCE[[#This Row],[FECHA INICIO REAL]]="","MODULO NO INICIADO","PENDIENTE"))</f>
        <v>MODULO NO INICIADO</v>
      </c>
      <c r="BG218" s="3">
        <f>+IF(AVANCE[[#This Row],[VENTANAS]]=8.10810810810811%,100%,AVANCE[[#This Row],[VENTANAS]])</f>
        <v>0</v>
      </c>
      <c r="BH218" s="3">
        <f>+IF(AVANCE[[#This Row],[PISO]]=N$2,100%,AVANCE[[#This Row],[PISO]])</f>
        <v>0</v>
      </c>
      <c r="BI218" s="3">
        <f>+IF(AVANCE[[#This Row],[TABIQUES]]=O$2,100%,AVANCE[[#This Row],[TABIQUES]])</f>
        <v>0</v>
      </c>
      <c r="BJ218" s="3">
        <f>+IF(AVANCE[[#This Row],[MUROS]]=P$2,100%,AVANCE[[#This Row],[MUROS]])</f>
        <v>0</v>
      </c>
      <c r="BK218" s="3">
        <f>+IF(AVANCE[[#This Row],[CIELO]]=Q$2,100%,AVANCE[[#This Row],[CIELO]])</f>
        <v>0</v>
      </c>
      <c r="BL218" s="3">
        <f>+IF(AVANCE[[#This Row],[BALCÓN]]=R$2,100%,AVANCE[[#This Row],[BALCÓN]])</f>
        <v>0</v>
      </c>
      <c r="BM218" s="3">
        <f>+IF(AVANCE[[#This Row],[RED ALCANTARILLADO]]=U$2,100%,AVANCE[[#This Row],[RED ALCANTARILLADO]])</f>
        <v>0</v>
      </c>
      <c r="BN218" s="3">
        <f>+IF(AVANCE[[#This Row],[RED DE AGUA]]=V$2,100%,AVANCE[[#This Row],[RED DE AGUA]])</f>
        <v>0</v>
      </c>
      <c r="BO218" s="3">
        <f>+IF(AVANCE[[#This Row],[VENTILACIONES]]=W$2,100%,AVANCE[[#This Row],[VENTILACIONES]])</f>
        <v>0</v>
      </c>
      <c r="BP218" s="3">
        <f>+IF(AVANCE[[#This Row],[TINA]]=X$2,100%,AVANCE[[#This Row],[TINA]])</f>
        <v>0</v>
      </c>
      <c r="BQ218" s="3">
        <f>+IF(AVANCE[[#This Row],[WC]]=Y$2,100%,AVANCE[[#This Row],[WC]])</f>
        <v>0</v>
      </c>
      <c r="BR218" s="3">
        <f>+IF(AVANCE[[#This Row],[LAVAMANOS / LAVAPLATOS / LAVADERO]]=Z$2,100%,AVANCE[[#This Row],[LAVAMANOS / LAVAPLATOS / LAVADERO]])</f>
        <v>0</v>
      </c>
      <c r="BS218" s="3">
        <f>+IF(AVANCE[[#This Row],[CANALIZACIÓN]]=AC$2,100%,AVANCE[[#This Row],[CANALIZACIÓN]])</f>
        <v>0</v>
      </c>
      <c r="BT218" s="3">
        <f>+IF(AVANCE[[#This Row],[CABLEADO]]=AD$2,100%,AVANCE[[#This Row],[CABLEADO]])</f>
        <v>0</v>
      </c>
      <c r="BU218" s="3">
        <f>+IF(AVANCE[[#This Row],[ARTEFACTOS]]=AE$2,100%,AVANCE[[#This Row],[ARTEFACTOS]])</f>
        <v>0</v>
      </c>
      <c r="BV218" s="3">
        <f>+IF(AVANCE[[#This Row],[TABLERO]]=AF$2,100%,AVANCE[[#This Row],[TABLERO]])</f>
        <v>0</v>
      </c>
      <c r="BW218" s="3">
        <f>+IF(AVANCE[[#This Row],[CAJA PAU]]=AG$2,100%,AVANCE[[#This Row],[CAJA PAU]])</f>
        <v>0</v>
      </c>
      <c r="BX218" s="3">
        <f>+IF(AVANCE[[#This Row],[INSTALACION VINILICO]]=AJ$2,100%,AVANCE[[#This Row],[INSTALACION VINILICO]])</f>
        <v>0</v>
      </c>
      <c r="BY218" s="3">
        <f>+IF(AVANCE[[#This Row],[OSB CUBIERTA]]=AK$2,100%,AVANCE[[#This Row],[OSB CUBIERTA]])</f>
        <v>0</v>
      </c>
      <c r="BZ218" s="3">
        <f>+IF(AVANCE[[#This Row],[BARANDA BALCON]]=AL$2,100%,AVANCE[[#This Row],[BARANDA BALCON]])</f>
        <v>0</v>
      </c>
      <c r="CA218" s="3">
        <f>+IF(AVANCE[[#This Row],[OSB EXTERIOR]]=AM$2,100%,AVANCE[[#This Row],[OSB EXTERIOR]])</f>
        <v>0</v>
      </c>
      <c r="CB218" s="3">
        <f>+IF(AVANCE[[#This Row],[SMART PANEL]]=AN$2,100%,AVANCE[[#This Row],[SMART PANEL]])</f>
        <v>0</v>
      </c>
      <c r="CC218" s="3">
        <f>+IF(AVANCE[[#This Row],[PINTURA EXTERIOR]]=AO$2,100%,AVANCE[[#This Row],[PINTURA EXTERIOR]])</f>
        <v>0</v>
      </c>
      <c r="CD218" s="3">
        <f>+IF(AVANCE[[#This Row],[ZOCALOS LOGIA]]=AP$2,100%,AVANCE[[#This Row],[ZOCALOS LOGIA]])</f>
        <v>0</v>
      </c>
      <c r="CE218" s="3">
        <f>+IF(AVANCE[[#This Row],[MOLDURAS]]=AQ$2,100%,AVANCE[[#This Row],[MOLDURAS]])</f>
        <v>0</v>
      </c>
      <c r="CF218" s="3">
        <f>+IF(AVANCE[[#This Row],[PILASTREO]]=AR$2,100%,AVANCE[[#This Row],[PILASTREO]])</f>
        <v>0</v>
      </c>
      <c r="CG218" s="3">
        <f>+IF(AVANCE[[#This Row],[CELOSIAS]]=AS$2,100%,AVANCE[[#This Row],[CELOSIAS]])</f>
        <v>0</v>
      </c>
      <c r="CH218" s="3">
        <f>+IF(AVANCE[[#This Row],[VENTANAS]]=AT$2,100%,AVANCE[[#This Row],[VENTANAS]])</f>
        <v>0</v>
      </c>
      <c r="CI218" s="3">
        <f>+IF(AVANCE[[#This Row],[PUERTAS ACCESO - LOGIA - BANO]]=AU$2,100%,AVANCE[[#This Row],[PUERTAS ACCESO - LOGIA - BANO]])</f>
        <v>0</v>
      </c>
      <c r="CJ218" s="3">
        <f>+IF(AVANCE[[#This Row],[CERRADURAS]]=AV$2,100%,AVANCE[[#This Row],[CERRADURAS]])</f>
        <v>0</v>
      </c>
      <c r="CK218" s="3">
        <f>+IF(AVANCE[[#This Row],[REVESTIMIENTO INTERIOR ZONA SECA]]=AW$2,100%,AVANCE[[#This Row],[REVESTIMIENTO INTERIOR ZONA SECA]])</f>
        <v>0</v>
      </c>
      <c r="CL218" s="3">
        <f>+IF(AVANCE[[#This Row],[REVESTIMIENTO INTERIOR ZONAS HUMEDAS]]=AX$2,100%,AVANCE[[#This Row],[REVESTIMIENTO INTERIOR ZONAS HUMEDAS]])</f>
        <v>0</v>
      </c>
      <c r="CM218" s="3">
        <f>+IF(AVANCE[[#This Row],[MEMBRANA CIELO]]=AY$2,100%,AVANCE[[#This Row],[MEMBRANA CIELO]])</f>
        <v>0</v>
      </c>
      <c r="CN218" s="3">
        <f>+IF(AVANCE[[#This Row],[LIMPIEZA FINAL]]=AZ$2,100%,AVANCE[[#This Row],[LIMPIEZA FINAL]])</f>
        <v>0</v>
      </c>
      <c r="CO218" s="3">
        <f>+IF(AVANCE[[#This Row],[PUERTAS DORMITORIO]]=BA$2,100%,AVANCE[[#This Row],[PUERTAS DORMITORIO]])</f>
        <v>0</v>
      </c>
      <c r="CP218" s="3">
        <f>+IF(AVANCE[[#This Row],[REVESTIMIENTO INTERIOR BANO]]=BB$2,100%,AVANCE[[#This Row],[REVESTIMIENTO INTERIOR BANO]])</f>
        <v>0</v>
      </c>
      <c r="CQ218" s="3">
        <f>+IF(AVANCE[[#This Row],[MUEBLE LAVAPLATOS]]=BC$2,100%,AVANCE[[#This Row],[MUEBLE LAVAPLATOS]])</f>
        <v>0</v>
      </c>
      <c r="CR218" s="3">
        <f>+IF(AVANCE[[#This Row],[IMPERMEABILIZACION BANO - COCINA LOGIA]]=BD$2,100%,AVANCE[[#This Row],[IMPERMEABILIZACION BANO - COCINA LOGIA]])</f>
        <v>0</v>
      </c>
      <c r="CS218" s="40">
        <f ca="1">+IF(AVANCE[[#This Row],[ESTADO MODULO]]="PENDIENTE",(TODAY()-AVANCE[[#This Row],[FECHA TERMINO  PLANIFICADO]]),0)</f>
        <v>0</v>
      </c>
      <c r="CT218" s="41" t="str" cm="1">
        <f t="array" ref="CT218">_xlfn.TEXTJOIN(" | ",TRUE,IF(SUMPRODUCT((BG218:CR218&lt;1)*(PARTIDAS!$I$2:$AT$2="OBRA GRUESA"))&gt;0,"OBRA GRUESA: "&amp;_xlfn.TEXTJOIN(", ",TRUE,IF((BG218:CR218&lt;1)*(PARTIDAS!$I$2:$AT$2="OBRA GRUESA"),PARTIDAS!$I$1:$AT$1,"")),""),IF(SUMPRODUCT((BG218:CR218&lt;1)*(PARTIDAS!$I$2:$AT$2="SANITARIOS"))&gt;0,"SANITARIOS: "&amp;_xlfn.TEXTJOIN(", ",TRUE,IF((BG218:CR218&lt;1)*(PARTIDAS!$I$2:$AT$2="SANITARIOS"),PARTIDAS!$I$1:$AT$1,"")),""),IF(SUMPRODUCT((BG218:CR218&lt;1)*(PARTIDAS!$I$2:$AT$2="ELÉCTRICO"))&gt;0,"ELÉCTRICO: "&amp;_xlfn.TEXTJOIN(", ",TRUE,IF((BG218:CR218&lt;1)*(PARTIDAS!$I$2:$AT$2="ELÉCTRICO"),PARTIDAS!$I$1:$AT$1,"")),""),IF(SUMPRODUCT((BG218:CR218&lt;1)*(PARTIDAS!$I$2:$AT$2="TERMINACIONES"))&gt;0,"TERMINACIONES: "&amp;_xlfn.TEXTJOIN(", ",TRUE,IF((BG218:CR218&lt;1)*(PARTIDAS!$I$2:$AT$2="TERMINACIONES"),PARTIDAS!$I$1:$AT$1,"")),""))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8" s="43" t="str" cm="1">
        <f t="array" ref="CU218">_xlfn.TEXTJOIN(", ",TRUE,IF(SUMPRODUCT((BG218:CR218&lt;1)*(PARTIDAS!$I$2:$AT$2="OBRA GRUESA"))&gt;0,"OBRA GRUESA",""),IF(SUMPRODUCT((BG218:CR218&lt;1)*(PARTIDAS!$I$2:$AT$2="SANITARIOS"))&gt;0,"SANITARIOS",""),IF(SUMPRODUCT((BG218:CR218&lt;1)*(PARTIDAS!$I$2:$AT$2="ELÉCTRICO"))&gt;0,"ELÉCTRICO",""),IF(SUMPRODUCT((BG218:CR218&lt;1)*(PARTIDAS!$I$2:$AT$2="TERMINACIONES"))&gt;0,"TERMINACIONES",""))</f>
        <v>OBRA GRUESA, SANITARIOS, ELÉCTRICO, TERMINACIONES</v>
      </c>
      <c r="CV218" s="44" cm="1">
        <f t="array" ref="CV218">SUMPRODUCT(--(BG218:CR218&lt;1))</f>
        <v>38</v>
      </c>
    </row>
    <row r="219" spans="1:100" hidden="1" x14ac:dyDescent="0.25">
      <c r="A219" t="s">
        <v>256</v>
      </c>
      <c r="B219" t="s">
        <v>282</v>
      </c>
      <c r="C219">
        <v>2302600218</v>
      </c>
      <c r="D219" t="s">
        <v>60</v>
      </c>
      <c r="E219" s="2">
        <v>0</v>
      </c>
      <c r="F219" s="1">
        <v>46246</v>
      </c>
      <c r="G219" s="1"/>
      <c r="H219" s="1">
        <v>0</v>
      </c>
      <c r="I219" s="1">
        <v>46276</v>
      </c>
      <c r="J219">
        <v>46230</v>
      </c>
      <c r="K219" s="1"/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>
        <v>31.32</v>
      </c>
      <c r="BF219" s="3" t="str">
        <f>+IF(AVANCE[[#This Row],[% AVANCE]]=100%,"MODULO TERMINADO",IF(AVANCE[[#This Row],[FECHA INICIO REAL]]="","MODULO NO INICIADO","PENDIENTE"))</f>
        <v>MODULO NO INICIADO</v>
      </c>
      <c r="BG219" s="3">
        <f>+IF(AVANCE[[#This Row],[VENTANAS]]=8.10810810810811%,100%,AVANCE[[#This Row],[VENTANAS]])</f>
        <v>0</v>
      </c>
      <c r="BH219" s="3">
        <f>+IF(AVANCE[[#This Row],[PISO]]=N$2,100%,AVANCE[[#This Row],[PISO]])</f>
        <v>0</v>
      </c>
      <c r="BI219" s="3">
        <f>+IF(AVANCE[[#This Row],[TABIQUES]]=O$2,100%,AVANCE[[#This Row],[TABIQUES]])</f>
        <v>0</v>
      </c>
      <c r="BJ219" s="3">
        <f>+IF(AVANCE[[#This Row],[MUROS]]=P$2,100%,AVANCE[[#This Row],[MUROS]])</f>
        <v>0</v>
      </c>
      <c r="BK219" s="3">
        <f>+IF(AVANCE[[#This Row],[CIELO]]=Q$2,100%,AVANCE[[#This Row],[CIELO]])</f>
        <v>0</v>
      </c>
      <c r="BL219" s="3">
        <f>+IF(AVANCE[[#This Row],[BALCÓN]]=R$2,100%,AVANCE[[#This Row],[BALCÓN]])</f>
        <v>0</v>
      </c>
      <c r="BM219" s="3">
        <f>+IF(AVANCE[[#This Row],[RED ALCANTARILLADO]]=U$2,100%,AVANCE[[#This Row],[RED ALCANTARILLADO]])</f>
        <v>0</v>
      </c>
      <c r="BN219" s="3">
        <f>+IF(AVANCE[[#This Row],[RED DE AGUA]]=V$2,100%,AVANCE[[#This Row],[RED DE AGUA]])</f>
        <v>0</v>
      </c>
      <c r="BO219" s="3">
        <f>+IF(AVANCE[[#This Row],[VENTILACIONES]]=W$2,100%,AVANCE[[#This Row],[VENTILACIONES]])</f>
        <v>0</v>
      </c>
      <c r="BP219" s="3">
        <f>+IF(AVANCE[[#This Row],[TINA]]=X$2,100%,AVANCE[[#This Row],[TINA]])</f>
        <v>0</v>
      </c>
      <c r="BQ219" s="3">
        <f>+IF(AVANCE[[#This Row],[WC]]=Y$2,100%,AVANCE[[#This Row],[WC]])</f>
        <v>0</v>
      </c>
      <c r="BR219" s="3">
        <f>+IF(AVANCE[[#This Row],[LAVAMANOS / LAVAPLATOS / LAVADERO]]=Z$2,100%,AVANCE[[#This Row],[LAVAMANOS / LAVAPLATOS / LAVADERO]])</f>
        <v>0</v>
      </c>
      <c r="BS219" s="3">
        <f>+IF(AVANCE[[#This Row],[CANALIZACIÓN]]=AC$2,100%,AVANCE[[#This Row],[CANALIZACIÓN]])</f>
        <v>0</v>
      </c>
      <c r="BT219" s="3">
        <f>+IF(AVANCE[[#This Row],[CABLEADO]]=AD$2,100%,AVANCE[[#This Row],[CABLEADO]])</f>
        <v>0</v>
      </c>
      <c r="BU219" s="3">
        <f>+IF(AVANCE[[#This Row],[ARTEFACTOS]]=AE$2,100%,AVANCE[[#This Row],[ARTEFACTOS]])</f>
        <v>0</v>
      </c>
      <c r="BV219" s="3">
        <f>+IF(AVANCE[[#This Row],[TABLERO]]=AF$2,100%,AVANCE[[#This Row],[TABLERO]])</f>
        <v>0</v>
      </c>
      <c r="BW219" s="3">
        <f>+IF(AVANCE[[#This Row],[CAJA PAU]]=AG$2,100%,AVANCE[[#This Row],[CAJA PAU]])</f>
        <v>0</v>
      </c>
      <c r="BX219" s="3">
        <f>+IF(AVANCE[[#This Row],[INSTALACION VINILICO]]=AJ$2,100%,AVANCE[[#This Row],[INSTALACION VINILICO]])</f>
        <v>0</v>
      </c>
      <c r="BY219" s="3">
        <f>+IF(AVANCE[[#This Row],[OSB CUBIERTA]]=AK$2,100%,AVANCE[[#This Row],[OSB CUBIERTA]])</f>
        <v>0</v>
      </c>
      <c r="BZ219" s="3">
        <f>+IF(AVANCE[[#This Row],[BARANDA BALCON]]=AL$2,100%,AVANCE[[#This Row],[BARANDA BALCON]])</f>
        <v>0</v>
      </c>
      <c r="CA219" s="3">
        <f>+IF(AVANCE[[#This Row],[OSB EXTERIOR]]=AM$2,100%,AVANCE[[#This Row],[OSB EXTERIOR]])</f>
        <v>0</v>
      </c>
      <c r="CB219" s="3">
        <f>+IF(AVANCE[[#This Row],[SMART PANEL]]=AN$2,100%,AVANCE[[#This Row],[SMART PANEL]])</f>
        <v>0</v>
      </c>
      <c r="CC219" s="3">
        <f>+IF(AVANCE[[#This Row],[PINTURA EXTERIOR]]=AO$2,100%,AVANCE[[#This Row],[PINTURA EXTERIOR]])</f>
        <v>0</v>
      </c>
      <c r="CD219" s="3">
        <f>+IF(AVANCE[[#This Row],[ZOCALOS LOGIA]]=AP$2,100%,AVANCE[[#This Row],[ZOCALOS LOGIA]])</f>
        <v>0</v>
      </c>
      <c r="CE219" s="3">
        <f>+IF(AVANCE[[#This Row],[MOLDURAS]]=AQ$2,100%,AVANCE[[#This Row],[MOLDURAS]])</f>
        <v>0</v>
      </c>
      <c r="CF219" s="3">
        <f>+IF(AVANCE[[#This Row],[PILASTREO]]=AR$2,100%,AVANCE[[#This Row],[PILASTREO]])</f>
        <v>0</v>
      </c>
      <c r="CG219" s="3">
        <f>+IF(AVANCE[[#This Row],[CELOSIAS]]=AS$2,100%,AVANCE[[#This Row],[CELOSIAS]])</f>
        <v>0</v>
      </c>
      <c r="CH219" s="3">
        <f>+IF(AVANCE[[#This Row],[VENTANAS]]=AT$2,100%,AVANCE[[#This Row],[VENTANAS]])</f>
        <v>0</v>
      </c>
      <c r="CI219" s="3">
        <f>+IF(AVANCE[[#This Row],[PUERTAS ACCESO - LOGIA - BANO]]=AU$2,100%,AVANCE[[#This Row],[PUERTAS ACCESO - LOGIA - BANO]])</f>
        <v>0</v>
      </c>
      <c r="CJ219" s="3">
        <f>+IF(AVANCE[[#This Row],[CERRADURAS]]=AV$2,100%,AVANCE[[#This Row],[CERRADURAS]])</f>
        <v>0</v>
      </c>
      <c r="CK219" s="3">
        <f>+IF(AVANCE[[#This Row],[REVESTIMIENTO INTERIOR ZONA SECA]]=AW$2,100%,AVANCE[[#This Row],[REVESTIMIENTO INTERIOR ZONA SECA]])</f>
        <v>0</v>
      </c>
      <c r="CL219" s="3">
        <f>+IF(AVANCE[[#This Row],[REVESTIMIENTO INTERIOR ZONAS HUMEDAS]]=AX$2,100%,AVANCE[[#This Row],[REVESTIMIENTO INTERIOR ZONAS HUMEDAS]])</f>
        <v>0</v>
      </c>
      <c r="CM219" s="3">
        <f>+IF(AVANCE[[#This Row],[MEMBRANA CIELO]]=AY$2,100%,AVANCE[[#This Row],[MEMBRANA CIELO]])</f>
        <v>0</v>
      </c>
      <c r="CN219" s="3">
        <f>+IF(AVANCE[[#This Row],[LIMPIEZA FINAL]]=AZ$2,100%,AVANCE[[#This Row],[LIMPIEZA FINAL]])</f>
        <v>0</v>
      </c>
      <c r="CO219" s="3">
        <f>+IF(AVANCE[[#This Row],[PUERTAS DORMITORIO]]=BA$2,100%,AVANCE[[#This Row],[PUERTAS DORMITORIO]])</f>
        <v>0</v>
      </c>
      <c r="CP219" s="3">
        <f>+IF(AVANCE[[#This Row],[REVESTIMIENTO INTERIOR BANO]]=BB$2,100%,AVANCE[[#This Row],[REVESTIMIENTO INTERIOR BANO]])</f>
        <v>0</v>
      </c>
      <c r="CQ219" s="3">
        <f>+IF(AVANCE[[#This Row],[MUEBLE LAVAPLATOS]]=BC$2,100%,AVANCE[[#This Row],[MUEBLE LAVAPLATOS]])</f>
        <v>0</v>
      </c>
      <c r="CR219" s="3">
        <f>+IF(AVANCE[[#This Row],[IMPERMEABILIZACION BANO - COCINA LOGIA]]=BD$2,100%,AVANCE[[#This Row],[IMPERMEABILIZACION BANO - COCINA LOGIA]])</f>
        <v>0</v>
      </c>
      <c r="CS219" s="40">
        <f ca="1">+IF(AVANCE[[#This Row],[ESTADO MODULO]]="PENDIENTE",(TODAY()-AVANCE[[#This Row],[FECHA TERMINO  PLANIFICADO]]),0)</f>
        <v>0</v>
      </c>
      <c r="CT219" s="41" t="str" cm="1">
        <f t="array" ref="CT219">_xlfn.TEXTJOIN(" | ",TRUE,IF(SUMPRODUCT((BG219:CR219&lt;1)*(PARTIDAS!$I$2:$AT$2="OBRA GRUESA"))&gt;0,"OBRA GRUESA: "&amp;_xlfn.TEXTJOIN(", ",TRUE,IF((BG219:CR219&lt;1)*(PARTIDAS!$I$2:$AT$2="OBRA GRUESA"),PARTIDAS!$I$1:$AT$1,"")),""),IF(SUMPRODUCT((BG219:CR219&lt;1)*(PARTIDAS!$I$2:$AT$2="SANITARIOS"))&gt;0,"SANITARIOS: "&amp;_xlfn.TEXTJOIN(", ",TRUE,IF((BG219:CR219&lt;1)*(PARTIDAS!$I$2:$AT$2="SANITARIOS"),PARTIDAS!$I$1:$AT$1,"")),""),IF(SUMPRODUCT((BG219:CR219&lt;1)*(PARTIDAS!$I$2:$AT$2="ELÉCTRICO"))&gt;0,"ELÉCTRICO: "&amp;_xlfn.TEXTJOIN(", ",TRUE,IF((BG219:CR219&lt;1)*(PARTIDAS!$I$2:$AT$2="ELÉCTRICO"),PARTIDAS!$I$1:$AT$1,"")),""),IF(SUMPRODUCT((BG219:CR219&lt;1)*(PARTIDAS!$I$2:$AT$2="TERMINACIONES"))&gt;0,"TERMINACIONES: "&amp;_xlfn.TEXTJOIN(", ",TRUE,IF((BG219:CR219&lt;1)*(PARTIDAS!$I$2:$AT$2="TERMINACIONES"),PARTIDAS!$I$1:$AT$1,"")),""))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19" s="43" t="str" cm="1">
        <f t="array" ref="CU219">_xlfn.TEXTJOIN(", ",TRUE,IF(SUMPRODUCT((BG219:CR219&lt;1)*(PARTIDAS!$I$2:$AT$2="OBRA GRUESA"))&gt;0,"OBRA GRUESA",""),IF(SUMPRODUCT((BG219:CR219&lt;1)*(PARTIDAS!$I$2:$AT$2="SANITARIOS"))&gt;0,"SANITARIOS",""),IF(SUMPRODUCT((BG219:CR219&lt;1)*(PARTIDAS!$I$2:$AT$2="ELÉCTRICO"))&gt;0,"ELÉCTRICO",""),IF(SUMPRODUCT((BG219:CR219&lt;1)*(PARTIDAS!$I$2:$AT$2="TERMINACIONES"))&gt;0,"TERMINACIONES",""))</f>
        <v>OBRA GRUESA, SANITARIOS, ELÉCTRICO, TERMINACIONES</v>
      </c>
      <c r="CV219" s="44" cm="1">
        <f t="array" ref="CV219">SUMPRODUCT(--(BG219:CR219&lt;1))</f>
        <v>38</v>
      </c>
    </row>
    <row r="220" spans="1:100" hidden="1" x14ac:dyDescent="0.25">
      <c r="A220" t="s">
        <v>256</v>
      </c>
      <c r="B220" t="s">
        <v>283</v>
      </c>
      <c r="C220">
        <v>2302600219</v>
      </c>
      <c r="D220" t="s">
        <v>60</v>
      </c>
      <c r="E220" s="2">
        <v>0</v>
      </c>
      <c r="F220" s="1">
        <v>46247</v>
      </c>
      <c r="G220" s="1"/>
      <c r="H220" s="1">
        <v>0</v>
      </c>
      <c r="I220" s="1">
        <v>46277</v>
      </c>
      <c r="J220">
        <v>46230</v>
      </c>
      <c r="K220" s="1"/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>
        <v>31.32</v>
      </c>
      <c r="BF220" s="3" t="str">
        <f>+IF(AVANCE[[#This Row],[% AVANCE]]=100%,"MODULO TERMINADO",IF(AVANCE[[#This Row],[FECHA INICIO REAL]]="","MODULO NO INICIADO","PENDIENTE"))</f>
        <v>MODULO NO INICIADO</v>
      </c>
      <c r="BG220" s="3">
        <f>+IF(AVANCE[[#This Row],[VENTANAS]]=8.10810810810811%,100%,AVANCE[[#This Row],[VENTANAS]])</f>
        <v>0</v>
      </c>
      <c r="BH220" s="3">
        <f>+IF(AVANCE[[#This Row],[PISO]]=N$2,100%,AVANCE[[#This Row],[PISO]])</f>
        <v>0</v>
      </c>
      <c r="BI220" s="3">
        <f>+IF(AVANCE[[#This Row],[TABIQUES]]=O$2,100%,AVANCE[[#This Row],[TABIQUES]])</f>
        <v>0</v>
      </c>
      <c r="BJ220" s="3">
        <f>+IF(AVANCE[[#This Row],[MUROS]]=P$2,100%,AVANCE[[#This Row],[MUROS]])</f>
        <v>0</v>
      </c>
      <c r="BK220" s="3">
        <f>+IF(AVANCE[[#This Row],[CIELO]]=Q$2,100%,AVANCE[[#This Row],[CIELO]])</f>
        <v>0</v>
      </c>
      <c r="BL220" s="3">
        <f>+IF(AVANCE[[#This Row],[BALCÓN]]=R$2,100%,AVANCE[[#This Row],[BALCÓN]])</f>
        <v>0</v>
      </c>
      <c r="BM220" s="3">
        <f>+IF(AVANCE[[#This Row],[RED ALCANTARILLADO]]=U$2,100%,AVANCE[[#This Row],[RED ALCANTARILLADO]])</f>
        <v>0</v>
      </c>
      <c r="BN220" s="3">
        <f>+IF(AVANCE[[#This Row],[RED DE AGUA]]=V$2,100%,AVANCE[[#This Row],[RED DE AGUA]])</f>
        <v>0</v>
      </c>
      <c r="BO220" s="3">
        <f>+IF(AVANCE[[#This Row],[VENTILACIONES]]=W$2,100%,AVANCE[[#This Row],[VENTILACIONES]])</f>
        <v>0</v>
      </c>
      <c r="BP220" s="3">
        <f>+IF(AVANCE[[#This Row],[TINA]]=X$2,100%,AVANCE[[#This Row],[TINA]])</f>
        <v>0</v>
      </c>
      <c r="BQ220" s="3">
        <f>+IF(AVANCE[[#This Row],[WC]]=Y$2,100%,AVANCE[[#This Row],[WC]])</f>
        <v>0</v>
      </c>
      <c r="BR220" s="3">
        <f>+IF(AVANCE[[#This Row],[LAVAMANOS / LAVAPLATOS / LAVADERO]]=Z$2,100%,AVANCE[[#This Row],[LAVAMANOS / LAVAPLATOS / LAVADERO]])</f>
        <v>0</v>
      </c>
      <c r="BS220" s="3">
        <f>+IF(AVANCE[[#This Row],[CANALIZACIÓN]]=AC$2,100%,AVANCE[[#This Row],[CANALIZACIÓN]])</f>
        <v>0</v>
      </c>
      <c r="BT220" s="3">
        <f>+IF(AVANCE[[#This Row],[CABLEADO]]=AD$2,100%,AVANCE[[#This Row],[CABLEADO]])</f>
        <v>0</v>
      </c>
      <c r="BU220" s="3">
        <f>+IF(AVANCE[[#This Row],[ARTEFACTOS]]=AE$2,100%,AVANCE[[#This Row],[ARTEFACTOS]])</f>
        <v>0</v>
      </c>
      <c r="BV220" s="3">
        <f>+IF(AVANCE[[#This Row],[TABLERO]]=AF$2,100%,AVANCE[[#This Row],[TABLERO]])</f>
        <v>0</v>
      </c>
      <c r="BW220" s="3">
        <f>+IF(AVANCE[[#This Row],[CAJA PAU]]=AG$2,100%,AVANCE[[#This Row],[CAJA PAU]])</f>
        <v>0</v>
      </c>
      <c r="BX220" s="3">
        <f>+IF(AVANCE[[#This Row],[INSTALACION VINILICO]]=AJ$2,100%,AVANCE[[#This Row],[INSTALACION VINILICO]])</f>
        <v>0</v>
      </c>
      <c r="BY220" s="3">
        <f>+IF(AVANCE[[#This Row],[OSB CUBIERTA]]=AK$2,100%,AVANCE[[#This Row],[OSB CUBIERTA]])</f>
        <v>0</v>
      </c>
      <c r="BZ220" s="3">
        <f>+IF(AVANCE[[#This Row],[BARANDA BALCON]]=AL$2,100%,AVANCE[[#This Row],[BARANDA BALCON]])</f>
        <v>0</v>
      </c>
      <c r="CA220" s="3">
        <f>+IF(AVANCE[[#This Row],[OSB EXTERIOR]]=AM$2,100%,AVANCE[[#This Row],[OSB EXTERIOR]])</f>
        <v>0</v>
      </c>
      <c r="CB220" s="3">
        <f>+IF(AVANCE[[#This Row],[SMART PANEL]]=AN$2,100%,AVANCE[[#This Row],[SMART PANEL]])</f>
        <v>0</v>
      </c>
      <c r="CC220" s="3">
        <f>+IF(AVANCE[[#This Row],[PINTURA EXTERIOR]]=AO$2,100%,AVANCE[[#This Row],[PINTURA EXTERIOR]])</f>
        <v>0</v>
      </c>
      <c r="CD220" s="3">
        <f>+IF(AVANCE[[#This Row],[ZOCALOS LOGIA]]=AP$2,100%,AVANCE[[#This Row],[ZOCALOS LOGIA]])</f>
        <v>0</v>
      </c>
      <c r="CE220" s="3">
        <f>+IF(AVANCE[[#This Row],[MOLDURAS]]=AQ$2,100%,AVANCE[[#This Row],[MOLDURAS]])</f>
        <v>0</v>
      </c>
      <c r="CF220" s="3">
        <f>+IF(AVANCE[[#This Row],[PILASTREO]]=AR$2,100%,AVANCE[[#This Row],[PILASTREO]])</f>
        <v>0</v>
      </c>
      <c r="CG220" s="3">
        <f>+IF(AVANCE[[#This Row],[CELOSIAS]]=AS$2,100%,AVANCE[[#This Row],[CELOSIAS]])</f>
        <v>0</v>
      </c>
      <c r="CH220" s="3">
        <f>+IF(AVANCE[[#This Row],[VENTANAS]]=AT$2,100%,AVANCE[[#This Row],[VENTANAS]])</f>
        <v>0</v>
      </c>
      <c r="CI220" s="3">
        <f>+IF(AVANCE[[#This Row],[PUERTAS ACCESO - LOGIA - BANO]]=AU$2,100%,AVANCE[[#This Row],[PUERTAS ACCESO - LOGIA - BANO]])</f>
        <v>0</v>
      </c>
      <c r="CJ220" s="3">
        <f>+IF(AVANCE[[#This Row],[CERRADURAS]]=AV$2,100%,AVANCE[[#This Row],[CERRADURAS]])</f>
        <v>0</v>
      </c>
      <c r="CK220" s="3">
        <f>+IF(AVANCE[[#This Row],[REVESTIMIENTO INTERIOR ZONA SECA]]=AW$2,100%,AVANCE[[#This Row],[REVESTIMIENTO INTERIOR ZONA SECA]])</f>
        <v>0</v>
      </c>
      <c r="CL220" s="3">
        <f>+IF(AVANCE[[#This Row],[REVESTIMIENTO INTERIOR ZONAS HUMEDAS]]=AX$2,100%,AVANCE[[#This Row],[REVESTIMIENTO INTERIOR ZONAS HUMEDAS]])</f>
        <v>0</v>
      </c>
      <c r="CM220" s="3">
        <f>+IF(AVANCE[[#This Row],[MEMBRANA CIELO]]=AY$2,100%,AVANCE[[#This Row],[MEMBRANA CIELO]])</f>
        <v>0</v>
      </c>
      <c r="CN220" s="3">
        <f>+IF(AVANCE[[#This Row],[LIMPIEZA FINAL]]=AZ$2,100%,AVANCE[[#This Row],[LIMPIEZA FINAL]])</f>
        <v>0</v>
      </c>
      <c r="CO220" s="3">
        <f>+IF(AVANCE[[#This Row],[PUERTAS DORMITORIO]]=BA$2,100%,AVANCE[[#This Row],[PUERTAS DORMITORIO]])</f>
        <v>0</v>
      </c>
      <c r="CP220" s="3">
        <f>+IF(AVANCE[[#This Row],[REVESTIMIENTO INTERIOR BANO]]=BB$2,100%,AVANCE[[#This Row],[REVESTIMIENTO INTERIOR BANO]])</f>
        <v>0</v>
      </c>
      <c r="CQ220" s="3">
        <f>+IF(AVANCE[[#This Row],[MUEBLE LAVAPLATOS]]=BC$2,100%,AVANCE[[#This Row],[MUEBLE LAVAPLATOS]])</f>
        <v>0</v>
      </c>
      <c r="CR220" s="3">
        <f>+IF(AVANCE[[#This Row],[IMPERMEABILIZACION BANO - COCINA LOGIA]]=BD$2,100%,AVANCE[[#This Row],[IMPERMEABILIZACION BANO - COCINA LOGIA]])</f>
        <v>0</v>
      </c>
      <c r="CS220" s="40">
        <f ca="1">+IF(AVANCE[[#This Row],[ESTADO MODULO]]="PENDIENTE",(TODAY()-AVANCE[[#This Row],[FECHA TERMINO  PLANIFICADO]]),0)</f>
        <v>0</v>
      </c>
      <c r="CT220" s="41" t="str" cm="1">
        <f t="array" ref="CT220">_xlfn.TEXTJOIN(" | ",TRUE,IF(SUMPRODUCT((BG220:CR220&lt;1)*(PARTIDAS!$I$2:$AT$2="OBRA GRUESA"))&gt;0,"OBRA GRUESA: "&amp;_xlfn.TEXTJOIN(", ",TRUE,IF((BG220:CR220&lt;1)*(PARTIDAS!$I$2:$AT$2="OBRA GRUESA"),PARTIDAS!$I$1:$AT$1,"")),""),IF(SUMPRODUCT((BG220:CR220&lt;1)*(PARTIDAS!$I$2:$AT$2="SANITARIOS"))&gt;0,"SANITARIOS: "&amp;_xlfn.TEXTJOIN(", ",TRUE,IF((BG220:CR220&lt;1)*(PARTIDAS!$I$2:$AT$2="SANITARIOS"),PARTIDAS!$I$1:$AT$1,"")),""),IF(SUMPRODUCT((BG220:CR220&lt;1)*(PARTIDAS!$I$2:$AT$2="ELÉCTRICO"))&gt;0,"ELÉCTRICO: "&amp;_xlfn.TEXTJOIN(", ",TRUE,IF((BG220:CR220&lt;1)*(PARTIDAS!$I$2:$AT$2="ELÉCTRICO"),PARTIDAS!$I$1:$AT$1,"")),""),IF(SUMPRODUCT((BG220:CR220&lt;1)*(PARTIDAS!$I$2:$AT$2="TERMINACIONES"))&gt;0,"TERMINACIONES: "&amp;_xlfn.TEXTJOIN(", ",TRUE,IF((BG220:CR220&lt;1)*(PARTIDAS!$I$2:$AT$2="TERMINACIONES"),PARTIDAS!$I$1:$AT$1,"")),""))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0" s="43" t="str" cm="1">
        <f t="array" ref="CU220">_xlfn.TEXTJOIN(", ",TRUE,IF(SUMPRODUCT((BG220:CR220&lt;1)*(PARTIDAS!$I$2:$AT$2="OBRA GRUESA"))&gt;0,"OBRA GRUESA",""),IF(SUMPRODUCT((BG220:CR220&lt;1)*(PARTIDAS!$I$2:$AT$2="SANITARIOS"))&gt;0,"SANITARIOS",""),IF(SUMPRODUCT((BG220:CR220&lt;1)*(PARTIDAS!$I$2:$AT$2="ELÉCTRICO"))&gt;0,"ELÉCTRICO",""),IF(SUMPRODUCT((BG220:CR220&lt;1)*(PARTIDAS!$I$2:$AT$2="TERMINACIONES"))&gt;0,"TERMINACIONES",""))</f>
        <v>OBRA GRUESA, SANITARIOS, ELÉCTRICO, TERMINACIONES</v>
      </c>
      <c r="CV220" s="44" cm="1">
        <f t="array" ref="CV220">SUMPRODUCT(--(BG220:CR220&lt;1))</f>
        <v>38</v>
      </c>
    </row>
    <row r="221" spans="1:100" hidden="1" x14ac:dyDescent="0.25">
      <c r="A221" t="s">
        <v>256</v>
      </c>
      <c r="B221" t="s">
        <v>284</v>
      </c>
      <c r="C221">
        <v>2282600220</v>
      </c>
      <c r="D221" t="s">
        <v>58</v>
      </c>
      <c r="E221" s="2">
        <v>0</v>
      </c>
      <c r="F221" s="1">
        <v>46247</v>
      </c>
      <c r="G221" s="1"/>
      <c r="H221" s="1">
        <v>0</v>
      </c>
      <c r="I221" s="1">
        <v>46267</v>
      </c>
      <c r="J221">
        <v>46230</v>
      </c>
      <c r="K221" s="1"/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>
        <v>28.87</v>
      </c>
      <c r="BF221" s="3" t="str">
        <f>+IF(AVANCE[[#This Row],[% AVANCE]]=100%,"MODULO TERMINADO",IF(AVANCE[[#This Row],[FECHA INICIO REAL]]="","MODULO NO INICIADO","PENDIENTE"))</f>
        <v>MODULO NO INICIADO</v>
      </c>
      <c r="BG221" s="3">
        <f>+IF(AVANCE[[#This Row],[VENTANAS]]=8.10810810810811%,100%,AVANCE[[#This Row],[VENTANAS]])</f>
        <v>0</v>
      </c>
      <c r="BH221" s="3">
        <f>+IF(AVANCE[[#This Row],[PISO]]=N$2,100%,AVANCE[[#This Row],[PISO]])</f>
        <v>0</v>
      </c>
      <c r="BI221" s="3">
        <f>+IF(AVANCE[[#This Row],[TABIQUES]]=O$2,100%,AVANCE[[#This Row],[TABIQUES]])</f>
        <v>0</v>
      </c>
      <c r="BJ221" s="3">
        <f>+IF(AVANCE[[#This Row],[MUROS]]=P$2,100%,AVANCE[[#This Row],[MUROS]])</f>
        <v>0</v>
      </c>
      <c r="BK221" s="3">
        <f>+IF(AVANCE[[#This Row],[CIELO]]=Q$2,100%,AVANCE[[#This Row],[CIELO]])</f>
        <v>0</v>
      </c>
      <c r="BL221" s="3">
        <f>+IF(AVANCE[[#This Row],[BALCÓN]]=R$2,100%,AVANCE[[#This Row],[BALCÓN]])</f>
        <v>0</v>
      </c>
      <c r="BM221" s="3">
        <f>+IF(AVANCE[[#This Row],[RED ALCANTARILLADO]]=U$2,100%,AVANCE[[#This Row],[RED ALCANTARILLADO]])</f>
        <v>0</v>
      </c>
      <c r="BN221" s="3">
        <f>+IF(AVANCE[[#This Row],[RED DE AGUA]]=V$2,100%,AVANCE[[#This Row],[RED DE AGUA]])</f>
        <v>0</v>
      </c>
      <c r="BO221" s="3">
        <f>+IF(AVANCE[[#This Row],[VENTILACIONES]]=W$2,100%,AVANCE[[#This Row],[VENTILACIONES]])</f>
        <v>0</v>
      </c>
      <c r="BP221" s="3">
        <f>+IF(AVANCE[[#This Row],[TINA]]=X$2,100%,AVANCE[[#This Row],[TINA]])</f>
        <v>0</v>
      </c>
      <c r="BQ221" s="3">
        <f>+IF(AVANCE[[#This Row],[WC]]=Y$2,100%,AVANCE[[#This Row],[WC]])</f>
        <v>0</v>
      </c>
      <c r="BR221" s="3">
        <f>+IF(AVANCE[[#This Row],[LAVAMANOS / LAVAPLATOS / LAVADERO]]=Z$2,100%,AVANCE[[#This Row],[LAVAMANOS / LAVAPLATOS / LAVADERO]])</f>
        <v>0</v>
      </c>
      <c r="BS221" s="3">
        <f>+IF(AVANCE[[#This Row],[CANALIZACIÓN]]=AC$2,100%,AVANCE[[#This Row],[CANALIZACIÓN]])</f>
        <v>0</v>
      </c>
      <c r="BT221" s="3">
        <f>+IF(AVANCE[[#This Row],[CABLEADO]]=AD$2,100%,AVANCE[[#This Row],[CABLEADO]])</f>
        <v>0</v>
      </c>
      <c r="BU221" s="3">
        <f>+IF(AVANCE[[#This Row],[ARTEFACTOS]]=AE$2,100%,AVANCE[[#This Row],[ARTEFACTOS]])</f>
        <v>0</v>
      </c>
      <c r="BV221" s="3">
        <f>+IF(AVANCE[[#This Row],[TABLERO]]=AF$2,100%,AVANCE[[#This Row],[TABLERO]])</f>
        <v>0</v>
      </c>
      <c r="BW221" s="3">
        <f>+IF(AVANCE[[#This Row],[CAJA PAU]]=AG$2,100%,AVANCE[[#This Row],[CAJA PAU]])</f>
        <v>0</v>
      </c>
      <c r="BX221" s="3">
        <f>+IF(AVANCE[[#This Row],[INSTALACION VINILICO]]=AJ$2,100%,AVANCE[[#This Row],[INSTALACION VINILICO]])</f>
        <v>0</v>
      </c>
      <c r="BY221" s="3">
        <f>+IF(AVANCE[[#This Row],[OSB CUBIERTA]]=AK$2,100%,AVANCE[[#This Row],[OSB CUBIERTA]])</f>
        <v>0</v>
      </c>
      <c r="BZ221" s="3">
        <f>+IF(AVANCE[[#This Row],[BARANDA BALCON]]=AL$2,100%,AVANCE[[#This Row],[BARANDA BALCON]])</f>
        <v>0</v>
      </c>
      <c r="CA221" s="3">
        <f>+IF(AVANCE[[#This Row],[OSB EXTERIOR]]=AM$2,100%,AVANCE[[#This Row],[OSB EXTERIOR]])</f>
        <v>0</v>
      </c>
      <c r="CB221" s="3">
        <f>+IF(AVANCE[[#This Row],[SMART PANEL]]=AN$2,100%,AVANCE[[#This Row],[SMART PANEL]])</f>
        <v>0</v>
      </c>
      <c r="CC221" s="3">
        <f>+IF(AVANCE[[#This Row],[PINTURA EXTERIOR]]=AO$2,100%,AVANCE[[#This Row],[PINTURA EXTERIOR]])</f>
        <v>0</v>
      </c>
      <c r="CD221" s="3">
        <f>+IF(AVANCE[[#This Row],[ZOCALOS LOGIA]]=AP$2,100%,AVANCE[[#This Row],[ZOCALOS LOGIA]])</f>
        <v>0</v>
      </c>
      <c r="CE221" s="3">
        <f>+IF(AVANCE[[#This Row],[MOLDURAS]]=AQ$2,100%,AVANCE[[#This Row],[MOLDURAS]])</f>
        <v>0</v>
      </c>
      <c r="CF221" s="3">
        <f>+IF(AVANCE[[#This Row],[PILASTREO]]=AR$2,100%,AVANCE[[#This Row],[PILASTREO]])</f>
        <v>0</v>
      </c>
      <c r="CG221" s="3">
        <f>+IF(AVANCE[[#This Row],[CELOSIAS]]=AS$2,100%,AVANCE[[#This Row],[CELOSIAS]])</f>
        <v>0</v>
      </c>
      <c r="CH221" s="3">
        <f>+IF(AVANCE[[#This Row],[VENTANAS]]=AT$2,100%,AVANCE[[#This Row],[VENTANAS]])</f>
        <v>0</v>
      </c>
      <c r="CI221" s="3">
        <f>+IF(AVANCE[[#This Row],[PUERTAS ACCESO - LOGIA - BANO]]=AU$2,100%,AVANCE[[#This Row],[PUERTAS ACCESO - LOGIA - BANO]])</f>
        <v>0</v>
      </c>
      <c r="CJ221" s="3">
        <f>+IF(AVANCE[[#This Row],[CERRADURAS]]=AV$2,100%,AVANCE[[#This Row],[CERRADURAS]])</f>
        <v>0</v>
      </c>
      <c r="CK221" s="3">
        <f>+IF(AVANCE[[#This Row],[REVESTIMIENTO INTERIOR ZONA SECA]]=AW$2,100%,AVANCE[[#This Row],[REVESTIMIENTO INTERIOR ZONA SECA]])</f>
        <v>0</v>
      </c>
      <c r="CL221" s="3">
        <f>+IF(AVANCE[[#This Row],[REVESTIMIENTO INTERIOR ZONAS HUMEDAS]]=AX$2,100%,AVANCE[[#This Row],[REVESTIMIENTO INTERIOR ZONAS HUMEDAS]])</f>
        <v>0</v>
      </c>
      <c r="CM221" s="3">
        <f>+IF(AVANCE[[#This Row],[MEMBRANA CIELO]]=AY$2,100%,AVANCE[[#This Row],[MEMBRANA CIELO]])</f>
        <v>0</v>
      </c>
      <c r="CN221" s="3">
        <f>+IF(AVANCE[[#This Row],[LIMPIEZA FINAL]]=AZ$2,100%,AVANCE[[#This Row],[LIMPIEZA FINAL]])</f>
        <v>0</v>
      </c>
      <c r="CO221" s="3">
        <f>+IF(AVANCE[[#This Row],[PUERTAS DORMITORIO]]=BA$2,100%,AVANCE[[#This Row],[PUERTAS DORMITORIO]])</f>
        <v>0</v>
      </c>
      <c r="CP221" s="3">
        <f>+IF(AVANCE[[#This Row],[REVESTIMIENTO INTERIOR BANO]]=BB$2,100%,AVANCE[[#This Row],[REVESTIMIENTO INTERIOR BANO]])</f>
        <v>0</v>
      </c>
      <c r="CQ221" s="3">
        <f>+IF(AVANCE[[#This Row],[MUEBLE LAVAPLATOS]]=BC$2,100%,AVANCE[[#This Row],[MUEBLE LAVAPLATOS]])</f>
        <v>0</v>
      </c>
      <c r="CR221" s="3">
        <f>+IF(AVANCE[[#This Row],[IMPERMEABILIZACION BANO - COCINA LOGIA]]=BD$2,100%,AVANCE[[#This Row],[IMPERMEABILIZACION BANO - COCINA LOGIA]])</f>
        <v>0</v>
      </c>
      <c r="CS221" s="40">
        <f ca="1">+IF(AVANCE[[#This Row],[ESTADO MODULO]]="PENDIENTE",(TODAY()-AVANCE[[#This Row],[FECHA TERMINO  PLANIFICADO]]),0)</f>
        <v>0</v>
      </c>
      <c r="CT221" s="41" t="str" cm="1">
        <f t="array" ref="CT221">_xlfn.TEXTJOIN(" | ",TRUE,IF(SUMPRODUCT((BG221:CR221&lt;1)*(PARTIDAS!$I$2:$AT$2="OBRA GRUESA"))&gt;0,"OBRA GRUESA: "&amp;_xlfn.TEXTJOIN(", ",TRUE,IF((BG221:CR221&lt;1)*(PARTIDAS!$I$2:$AT$2="OBRA GRUESA"),PARTIDAS!$I$1:$AT$1,"")),""),IF(SUMPRODUCT((BG221:CR221&lt;1)*(PARTIDAS!$I$2:$AT$2="SANITARIOS"))&gt;0,"SANITARIOS: "&amp;_xlfn.TEXTJOIN(", ",TRUE,IF((BG221:CR221&lt;1)*(PARTIDAS!$I$2:$AT$2="SANITARIOS"),PARTIDAS!$I$1:$AT$1,"")),""),IF(SUMPRODUCT((BG221:CR221&lt;1)*(PARTIDAS!$I$2:$AT$2="ELÉCTRICO"))&gt;0,"ELÉCTRICO: "&amp;_xlfn.TEXTJOIN(", ",TRUE,IF((BG221:CR221&lt;1)*(PARTIDAS!$I$2:$AT$2="ELÉCTRICO"),PARTIDAS!$I$1:$AT$1,"")),""),IF(SUMPRODUCT((BG221:CR221&lt;1)*(PARTIDAS!$I$2:$AT$2="TERMINACIONES"))&gt;0,"TERMINACIONES: "&amp;_xlfn.TEXTJOIN(", ",TRUE,IF((BG221:CR221&lt;1)*(PARTIDAS!$I$2:$AT$2="TERMINACIONES"),PARTIDAS!$I$1:$AT$1,"")),""))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1" s="43" t="str" cm="1">
        <f t="array" ref="CU221">_xlfn.TEXTJOIN(", ",TRUE,IF(SUMPRODUCT((BG221:CR221&lt;1)*(PARTIDAS!$I$2:$AT$2="OBRA GRUESA"))&gt;0,"OBRA GRUESA",""),IF(SUMPRODUCT((BG221:CR221&lt;1)*(PARTIDAS!$I$2:$AT$2="SANITARIOS"))&gt;0,"SANITARIOS",""),IF(SUMPRODUCT((BG221:CR221&lt;1)*(PARTIDAS!$I$2:$AT$2="ELÉCTRICO"))&gt;0,"ELÉCTRICO",""),IF(SUMPRODUCT((BG221:CR221&lt;1)*(PARTIDAS!$I$2:$AT$2="TERMINACIONES"))&gt;0,"TERMINACIONES",""))</f>
        <v>OBRA GRUESA, SANITARIOS, ELÉCTRICO, TERMINACIONES</v>
      </c>
      <c r="CV221" s="44" cm="1">
        <f t="array" ref="CV221">SUMPRODUCT(--(BG221:CR221&lt;1))</f>
        <v>38</v>
      </c>
    </row>
    <row r="222" spans="1:100" hidden="1" x14ac:dyDescent="0.25">
      <c r="A222" t="s">
        <v>256</v>
      </c>
      <c r="B222" t="s">
        <v>285</v>
      </c>
      <c r="C222">
        <v>2282600221</v>
      </c>
      <c r="D222" t="s">
        <v>58</v>
      </c>
      <c r="E222" s="2">
        <v>0</v>
      </c>
      <c r="F222" s="1">
        <v>46248</v>
      </c>
      <c r="G222" s="1"/>
      <c r="H222" s="1">
        <v>0</v>
      </c>
      <c r="I222" s="1">
        <v>46268</v>
      </c>
      <c r="J222">
        <v>46230</v>
      </c>
      <c r="K222" s="1"/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>
        <v>28.87</v>
      </c>
      <c r="BF222" s="3" t="str">
        <f>+IF(AVANCE[[#This Row],[% AVANCE]]=100%,"MODULO TERMINADO",IF(AVANCE[[#This Row],[FECHA INICIO REAL]]="","MODULO NO INICIADO","PENDIENTE"))</f>
        <v>MODULO NO INICIADO</v>
      </c>
      <c r="BG222" s="3">
        <f>+IF(AVANCE[[#This Row],[VENTANAS]]=8.10810810810811%,100%,AVANCE[[#This Row],[VENTANAS]])</f>
        <v>0</v>
      </c>
      <c r="BH222" s="3">
        <f>+IF(AVANCE[[#This Row],[PISO]]=N$2,100%,AVANCE[[#This Row],[PISO]])</f>
        <v>0</v>
      </c>
      <c r="BI222" s="3">
        <f>+IF(AVANCE[[#This Row],[TABIQUES]]=O$2,100%,AVANCE[[#This Row],[TABIQUES]])</f>
        <v>0</v>
      </c>
      <c r="BJ222" s="3">
        <f>+IF(AVANCE[[#This Row],[MUROS]]=P$2,100%,AVANCE[[#This Row],[MUROS]])</f>
        <v>0</v>
      </c>
      <c r="BK222" s="3">
        <f>+IF(AVANCE[[#This Row],[CIELO]]=Q$2,100%,AVANCE[[#This Row],[CIELO]])</f>
        <v>0</v>
      </c>
      <c r="BL222" s="3">
        <f>+IF(AVANCE[[#This Row],[BALCÓN]]=R$2,100%,AVANCE[[#This Row],[BALCÓN]])</f>
        <v>0</v>
      </c>
      <c r="BM222" s="3">
        <f>+IF(AVANCE[[#This Row],[RED ALCANTARILLADO]]=U$2,100%,AVANCE[[#This Row],[RED ALCANTARILLADO]])</f>
        <v>0</v>
      </c>
      <c r="BN222" s="3">
        <f>+IF(AVANCE[[#This Row],[RED DE AGUA]]=V$2,100%,AVANCE[[#This Row],[RED DE AGUA]])</f>
        <v>0</v>
      </c>
      <c r="BO222" s="3">
        <f>+IF(AVANCE[[#This Row],[VENTILACIONES]]=W$2,100%,AVANCE[[#This Row],[VENTILACIONES]])</f>
        <v>0</v>
      </c>
      <c r="BP222" s="3">
        <f>+IF(AVANCE[[#This Row],[TINA]]=X$2,100%,AVANCE[[#This Row],[TINA]])</f>
        <v>0</v>
      </c>
      <c r="BQ222" s="3">
        <f>+IF(AVANCE[[#This Row],[WC]]=Y$2,100%,AVANCE[[#This Row],[WC]])</f>
        <v>0</v>
      </c>
      <c r="BR222" s="3">
        <f>+IF(AVANCE[[#This Row],[LAVAMANOS / LAVAPLATOS / LAVADERO]]=Z$2,100%,AVANCE[[#This Row],[LAVAMANOS / LAVAPLATOS / LAVADERO]])</f>
        <v>0</v>
      </c>
      <c r="BS222" s="3">
        <f>+IF(AVANCE[[#This Row],[CANALIZACIÓN]]=AC$2,100%,AVANCE[[#This Row],[CANALIZACIÓN]])</f>
        <v>0</v>
      </c>
      <c r="BT222" s="3">
        <f>+IF(AVANCE[[#This Row],[CABLEADO]]=AD$2,100%,AVANCE[[#This Row],[CABLEADO]])</f>
        <v>0</v>
      </c>
      <c r="BU222" s="3">
        <f>+IF(AVANCE[[#This Row],[ARTEFACTOS]]=AE$2,100%,AVANCE[[#This Row],[ARTEFACTOS]])</f>
        <v>0</v>
      </c>
      <c r="BV222" s="3">
        <f>+IF(AVANCE[[#This Row],[TABLERO]]=AF$2,100%,AVANCE[[#This Row],[TABLERO]])</f>
        <v>0</v>
      </c>
      <c r="BW222" s="3">
        <f>+IF(AVANCE[[#This Row],[CAJA PAU]]=AG$2,100%,AVANCE[[#This Row],[CAJA PAU]])</f>
        <v>0</v>
      </c>
      <c r="BX222" s="3">
        <f>+IF(AVANCE[[#This Row],[INSTALACION VINILICO]]=AJ$2,100%,AVANCE[[#This Row],[INSTALACION VINILICO]])</f>
        <v>0</v>
      </c>
      <c r="BY222" s="3">
        <f>+IF(AVANCE[[#This Row],[OSB CUBIERTA]]=AK$2,100%,AVANCE[[#This Row],[OSB CUBIERTA]])</f>
        <v>0</v>
      </c>
      <c r="BZ222" s="3">
        <f>+IF(AVANCE[[#This Row],[BARANDA BALCON]]=AL$2,100%,AVANCE[[#This Row],[BARANDA BALCON]])</f>
        <v>0</v>
      </c>
      <c r="CA222" s="3">
        <f>+IF(AVANCE[[#This Row],[OSB EXTERIOR]]=AM$2,100%,AVANCE[[#This Row],[OSB EXTERIOR]])</f>
        <v>0</v>
      </c>
      <c r="CB222" s="3">
        <f>+IF(AVANCE[[#This Row],[SMART PANEL]]=AN$2,100%,AVANCE[[#This Row],[SMART PANEL]])</f>
        <v>0</v>
      </c>
      <c r="CC222" s="3">
        <f>+IF(AVANCE[[#This Row],[PINTURA EXTERIOR]]=AO$2,100%,AVANCE[[#This Row],[PINTURA EXTERIOR]])</f>
        <v>0</v>
      </c>
      <c r="CD222" s="3">
        <f>+IF(AVANCE[[#This Row],[ZOCALOS LOGIA]]=AP$2,100%,AVANCE[[#This Row],[ZOCALOS LOGIA]])</f>
        <v>0</v>
      </c>
      <c r="CE222" s="3">
        <f>+IF(AVANCE[[#This Row],[MOLDURAS]]=AQ$2,100%,AVANCE[[#This Row],[MOLDURAS]])</f>
        <v>0</v>
      </c>
      <c r="CF222" s="3">
        <f>+IF(AVANCE[[#This Row],[PILASTREO]]=AR$2,100%,AVANCE[[#This Row],[PILASTREO]])</f>
        <v>0</v>
      </c>
      <c r="CG222" s="3">
        <f>+IF(AVANCE[[#This Row],[CELOSIAS]]=AS$2,100%,AVANCE[[#This Row],[CELOSIAS]])</f>
        <v>0</v>
      </c>
      <c r="CH222" s="3">
        <f>+IF(AVANCE[[#This Row],[VENTANAS]]=AT$2,100%,AVANCE[[#This Row],[VENTANAS]])</f>
        <v>0</v>
      </c>
      <c r="CI222" s="3">
        <f>+IF(AVANCE[[#This Row],[PUERTAS ACCESO - LOGIA - BANO]]=AU$2,100%,AVANCE[[#This Row],[PUERTAS ACCESO - LOGIA - BANO]])</f>
        <v>0</v>
      </c>
      <c r="CJ222" s="3">
        <f>+IF(AVANCE[[#This Row],[CERRADURAS]]=AV$2,100%,AVANCE[[#This Row],[CERRADURAS]])</f>
        <v>0</v>
      </c>
      <c r="CK222" s="3">
        <f>+IF(AVANCE[[#This Row],[REVESTIMIENTO INTERIOR ZONA SECA]]=AW$2,100%,AVANCE[[#This Row],[REVESTIMIENTO INTERIOR ZONA SECA]])</f>
        <v>0</v>
      </c>
      <c r="CL222" s="3">
        <f>+IF(AVANCE[[#This Row],[REVESTIMIENTO INTERIOR ZONAS HUMEDAS]]=AX$2,100%,AVANCE[[#This Row],[REVESTIMIENTO INTERIOR ZONAS HUMEDAS]])</f>
        <v>0</v>
      </c>
      <c r="CM222" s="3">
        <f>+IF(AVANCE[[#This Row],[MEMBRANA CIELO]]=AY$2,100%,AVANCE[[#This Row],[MEMBRANA CIELO]])</f>
        <v>0</v>
      </c>
      <c r="CN222" s="3">
        <f>+IF(AVANCE[[#This Row],[LIMPIEZA FINAL]]=AZ$2,100%,AVANCE[[#This Row],[LIMPIEZA FINAL]])</f>
        <v>0</v>
      </c>
      <c r="CO222" s="3">
        <f>+IF(AVANCE[[#This Row],[PUERTAS DORMITORIO]]=BA$2,100%,AVANCE[[#This Row],[PUERTAS DORMITORIO]])</f>
        <v>0</v>
      </c>
      <c r="CP222" s="3">
        <f>+IF(AVANCE[[#This Row],[REVESTIMIENTO INTERIOR BANO]]=BB$2,100%,AVANCE[[#This Row],[REVESTIMIENTO INTERIOR BANO]])</f>
        <v>0</v>
      </c>
      <c r="CQ222" s="3">
        <f>+IF(AVANCE[[#This Row],[MUEBLE LAVAPLATOS]]=BC$2,100%,AVANCE[[#This Row],[MUEBLE LAVAPLATOS]])</f>
        <v>0</v>
      </c>
      <c r="CR222" s="3">
        <f>+IF(AVANCE[[#This Row],[IMPERMEABILIZACION BANO - COCINA LOGIA]]=BD$2,100%,AVANCE[[#This Row],[IMPERMEABILIZACION BANO - COCINA LOGIA]])</f>
        <v>0</v>
      </c>
      <c r="CS222" s="40">
        <f ca="1">+IF(AVANCE[[#This Row],[ESTADO MODULO]]="PENDIENTE",(TODAY()-AVANCE[[#This Row],[FECHA TERMINO  PLANIFICADO]]),0)</f>
        <v>0</v>
      </c>
      <c r="CT222" s="41" t="str" cm="1">
        <f t="array" ref="CT222">_xlfn.TEXTJOIN(" | ",TRUE,IF(SUMPRODUCT((BG222:CR222&lt;1)*(PARTIDAS!$I$2:$AT$2="OBRA GRUESA"))&gt;0,"OBRA GRUESA: "&amp;_xlfn.TEXTJOIN(", ",TRUE,IF((BG222:CR222&lt;1)*(PARTIDAS!$I$2:$AT$2="OBRA GRUESA"),PARTIDAS!$I$1:$AT$1,"")),""),IF(SUMPRODUCT((BG222:CR222&lt;1)*(PARTIDAS!$I$2:$AT$2="SANITARIOS"))&gt;0,"SANITARIOS: "&amp;_xlfn.TEXTJOIN(", ",TRUE,IF((BG222:CR222&lt;1)*(PARTIDAS!$I$2:$AT$2="SANITARIOS"),PARTIDAS!$I$1:$AT$1,"")),""),IF(SUMPRODUCT((BG222:CR222&lt;1)*(PARTIDAS!$I$2:$AT$2="ELÉCTRICO"))&gt;0,"ELÉCTRICO: "&amp;_xlfn.TEXTJOIN(", ",TRUE,IF((BG222:CR222&lt;1)*(PARTIDAS!$I$2:$AT$2="ELÉCTRICO"),PARTIDAS!$I$1:$AT$1,"")),""),IF(SUMPRODUCT((BG222:CR222&lt;1)*(PARTIDAS!$I$2:$AT$2="TERMINACIONES"))&gt;0,"TERMINACIONES: "&amp;_xlfn.TEXTJOIN(", ",TRUE,IF((BG222:CR222&lt;1)*(PARTIDAS!$I$2:$AT$2="TERMINACIONES"),PARTIDAS!$I$1:$AT$1,"")),""))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2" s="43" t="str" cm="1">
        <f t="array" ref="CU222">_xlfn.TEXTJOIN(", ",TRUE,IF(SUMPRODUCT((BG222:CR222&lt;1)*(PARTIDAS!$I$2:$AT$2="OBRA GRUESA"))&gt;0,"OBRA GRUESA",""),IF(SUMPRODUCT((BG222:CR222&lt;1)*(PARTIDAS!$I$2:$AT$2="SANITARIOS"))&gt;0,"SANITARIOS",""),IF(SUMPRODUCT((BG222:CR222&lt;1)*(PARTIDAS!$I$2:$AT$2="ELÉCTRICO"))&gt;0,"ELÉCTRICO",""),IF(SUMPRODUCT((BG222:CR222&lt;1)*(PARTIDAS!$I$2:$AT$2="TERMINACIONES"))&gt;0,"TERMINACIONES",""))</f>
        <v>OBRA GRUESA, SANITARIOS, ELÉCTRICO, TERMINACIONES</v>
      </c>
      <c r="CV222" s="44" cm="1">
        <f t="array" ref="CV222">SUMPRODUCT(--(BG222:CR222&lt;1))</f>
        <v>38</v>
      </c>
    </row>
    <row r="223" spans="1:100" hidden="1" x14ac:dyDescent="0.25">
      <c r="A223" t="s">
        <v>256</v>
      </c>
      <c r="B223" t="s">
        <v>286</v>
      </c>
      <c r="C223">
        <v>2302600222</v>
      </c>
      <c r="D223" t="s">
        <v>60</v>
      </c>
      <c r="E223" s="2">
        <v>0</v>
      </c>
      <c r="F223" s="1">
        <v>46248</v>
      </c>
      <c r="G223" s="1"/>
      <c r="H223" s="1">
        <v>0</v>
      </c>
      <c r="I223" s="1">
        <v>46278</v>
      </c>
      <c r="J223">
        <v>46230</v>
      </c>
      <c r="K223" s="1"/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>
        <v>31.32</v>
      </c>
      <c r="BF223" s="3" t="str">
        <f>+IF(AVANCE[[#This Row],[% AVANCE]]=100%,"MODULO TERMINADO",IF(AVANCE[[#This Row],[FECHA INICIO REAL]]="","MODULO NO INICIADO","PENDIENTE"))</f>
        <v>MODULO NO INICIADO</v>
      </c>
      <c r="BG223" s="3">
        <f>+IF(AVANCE[[#This Row],[VENTANAS]]=8.10810810810811%,100%,AVANCE[[#This Row],[VENTANAS]])</f>
        <v>0</v>
      </c>
      <c r="BH223" s="3">
        <f>+IF(AVANCE[[#This Row],[PISO]]=N$2,100%,AVANCE[[#This Row],[PISO]])</f>
        <v>0</v>
      </c>
      <c r="BI223" s="3">
        <f>+IF(AVANCE[[#This Row],[TABIQUES]]=O$2,100%,AVANCE[[#This Row],[TABIQUES]])</f>
        <v>0</v>
      </c>
      <c r="BJ223" s="3">
        <f>+IF(AVANCE[[#This Row],[MUROS]]=P$2,100%,AVANCE[[#This Row],[MUROS]])</f>
        <v>0</v>
      </c>
      <c r="BK223" s="3">
        <f>+IF(AVANCE[[#This Row],[CIELO]]=Q$2,100%,AVANCE[[#This Row],[CIELO]])</f>
        <v>0</v>
      </c>
      <c r="BL223" s="3">
        <f>+IF(AVANCE[[#This Row],[BALCÓN]]=R$2,100%,AVANCE[[#This Row],[BALCÓN]])</f>
        <v>0</v>
      </c>
      <c r="BM223" s="3">
        <f>+IF(AVANCE[[#This Row],[RED ALCANTARILLADO]]=U$2,100%,AVANCE[[#This Row],[RED ALCANTARILLADO]])</f>
        <v>0</v>
      </c>
      <c r="BN223" s="3">
        <f>+IF(AVANCE[[#This Row],[RED DE AGUA]]=V$2,100%,AVANCE[[#This Row],[RED DE AGUA]])</f>
        <v>0</v>
      </c>
      <c r="BO223" s="3">
        <f>+IF(AVANCE[[#This Row],[VENTILACIONES]]=W$2,100%,AVANCE[[#This Row],[VENTILACIONES]])</f>
        <v>0</v>
      </c>
      <c r="BP223" s="3">
        <f>+IF(AVANCE[[#This Row],[TINA]]=X$2,100%,AVANCE[[#This Row],[TINA]])</f>
        <v>0</v>
      </c>
      <c r="BQ223" s="3">
        <f>+IF(AVANCE[[#This Row],[WC]]=Y$2,100%,AVANCE[[#This Row],[WC]])</f>
        <v>0</v>
      </c>
      <c r="BR223" s="3">
        <f>+IF(AVANCE[[#This Row],[LAVAMANOS / LAVAPLATOS / LAVADERO]]=Z$2,100%,AVANCE[[#This Row],[LAVAMANOS / LAVAPLATOS / LAVADERO]])</f>
        <v>0</v>
      </c>
      <c r="BS223" s="3">
        <f>+IF(AVANCE[[#This Row],[CANALIZACIÓN]]=AC$2,100%,AVANCE[[#This Row],[CANALIZACIÓN]])</f>
        <v>0</v>
      </c>
      <c r="BT223" s="3">
        <f>+IF(AVANCE[[#This Row],[CABLEADO]]=AD$2,100%,AVANCE[[#This Row],[CABLEADO]])</f>
        <v>0</v>
      </c>
      <c r="BU223" s="3">
        <f>+IF(AVANCE[[#This Row],[ARTEFACTOS]]=AE$2,100%,AVANCE[[#This Row],[ARTEFACTOS]])</f>
        <v>0</v>
      </c>
      <c r="BV223" s="3">
        <f>+IF(AVANCE[[#This Row],[TABLERO]]=AF$2,100%,AVANCE[[#This Row],[TABLERO]])</f>
        <v>0</v>
      </c>
      <c r="BW223" s="3">
        <f>+IF(AVANCE[[#This Row],[CAJA PAU]]=AG$2,100%,AVANCE[[#This Row],[CAJA PAU]])</f>
        <v>0</v>
      </c>
      <c r="BX223" s="3">
        <f>+IF(AVANCE[[#This Row],[INSTALACION VINILICO]]=AJ$2,100%,AVANCE[[#This Row],[INSTALACION VINILICO]])</f>
        <v>0</v>
      </c>
      <c r="BY223" s="3">
        <f>+IF(AVANCE[[#This Row],[OSB CUBIERTA]]=AK$2,100%,AVANCE[[#This Row],[OSB CUBIERTA]])</f>
        <v>0</v>
      </c>
      <c r="BZ223" s="3">
        <f>+IF(AVANCE[[#This Row],[BARANDA BALCON]]=AL$2,100%,AVANCE[[#This Row],[BARANDA BALCON]])</f>
        <v>0</v>
      </c>
      <c r="CA223" s="3">
        <f>+IF(AVANCE[[#This Row],[OSB EXTERIOR]]=AM$2,100%,AVANCE[[#This Row],[OSB EXTERIOR]])</f>
        <v>0</v>
      </c>
      <c r="CB223" s="3">
        <f>+IF(AVANCE[[#This Row],[SMART PANEL]]=AN$2,100%,AVANCE[[#This Row],[SMART PANEL]])</f>
        <v>0</v>
      </c>
      <c r="CC223" s="3">
        <f>+IF(AVANCE[[#This Row],[PINTURA EXTERIOR]]=AO$2,100%,AVANCE[[#This Row],[PINTURA EXTERIOR]])</f>
        <v>0</v>
      </c>
      <c r="CD223" s="3">
        <f>+IF(AVANCE[[#This Row],[ZOCALOS LOGIA]]=AP$2,100%,AVANCE[[#This Row],[ZOCALOS LOGIA]])</f>
        <v>0</v>
      </c>
      <c r="CE223" s="3">
        <f>+IF(AVANCE[[#This Row],[MOLDURAS]]=AQ$2,100%,AVANCE[[#This Row],[MOLDURAS]])</f>
        <v>0</v>
      </c>
      <c r="CF223" s="3">
        <f>+IF(AVANCE[[#This Row],[PILASTREO]]=AR$2,100%,AVANCE[[#This Row],[PILASTREO]])</f>
        <v>0</v>
      </c>
      <c r="CG223" s="3">
        <f>+IF(AVANCE[[#This Row],[CELOSIAS]]=AS$2,100%,AVANCE[[#This Row],[CELOSIAS]])</f>
        <v>0</v>
      </c>
      <c r="CH223" s="3">
        <f>+IF(AVANCE[[#This Row],[VENTANAS]]=AT$2,100%,AVANCE[[#This Row],[VENTANAS]])</f>
        <v>0</v>
      </c>
      <c r="CI223" s="3">
        <f>+IF(AVANCE[[#This Row],[PUERTAS ACCESO - LOGIA - BANO]]=AU$2,100%,AVANCE[[#This Row],[PUERTAS ACCESO - LOGIA - BANO]])</f>
        <v>0</v>
      </c>
      <c r="CJ223" s="3">
        <f>+IF(AVANCE[[#This Row],[CERRADURAS]]=AV$2,100%,AVANCE[[#This Row],[CERRADURAS]])</f>
        <v>0</v>
      </c>
      <c r="CK223" s="3">
        <f>+IF(AVANCE[[#This Row],[REVESTIMIENTO INTERIOR ZONA SECA]]=AW$2,100%,AVANCE[[#This Row],[REVESTIMIENTO INTERIOR ZONA SECA]])</f>
        <v>0</v>
      </c>
      <c r="CL223" s="3">
        <f>+IF(AVANCE[[#This Row],[REVESTIMIENTO INTERIOR ZONAS HUMEDAS]]=AX$2,100%,AVANCE[[#This Row],[REVESTIMIENTO INTERIOR ZONAS HUMEDAS]])</f>
        <v>0</v>
      </c>
      <c r="CM223" s="3">
        <f>+IF(AVANCE[[#This Row],[MEMBRANA CIELO]]=AY$2,100%,AVANCE[[#This Row],[MEMBRANA CIELO]])</f>
        <v>0</v>
      </c>
      <c r="CN223" s="3">
        <f>+IF(AVANCE[[#This Row],[LIMPIEZA FINAL]]=AZ$2,100%,AVANCE[[#This Row],[LIMPIEZA FINAL]])</f>
        <v>0</v>
      </c>
      <c r="CO223" s="3">
        <f>+IF(AVANCE[[#This Row],[PUERTAS DORMITORIO]]=BA$2,100%,AVANCE[[#This Row],[PUERTAS DORMITORIO]])</f>
        <v>0</v>
      </c>
      <c r="CP223" s="3">
        <f>+IF(AVANCE[[#This Row],[REVESTIMIENTO INTERIOR BANO]]=BB$2,100%,AVANCE[[#This Row],[REVESTIMIENTO INTERIOR BANO]])</f>
        <v>0</v>
      </c>
      <c r="CQ223" s="3">
        <f>+IF(AVANCE[[#This Row],[MUEBLE LAVAPLATOS]]=BC$2,100%,AVANCE[[#This Row],[MUEBLE LAVAPLATOS]])</f>
        <v>0</v>
      </c>
      <c r="CR223" s="3">
        <f>+IF(AVANCE[[#This Row],[IMPERMEABILIZACION BANO - COCINA LOGIA]]=BD$2,100%,AVANCE[[#This Row],[IMPERMEABILIZACION BANO - COCINA LOGIA]])</f>
        <v>0</v>
      </c>
      <c r="CS223" s="40">
        <f ca="1">+IF(AVANCE[[#This Row],[ESTADO MODULO]]="PENDIENTE",(TODAY()-AVANCE[[#This Row],[FECHA TERMINO  PLANIFICADO]]),0)</f>
        <v>0</v>
      </c>
      <c r="CT223" s="41" t="str" cm="1">
        <f t="array" ref="CT223">_xlfn.TEXTJOIN(" | ",TRUE,IF(SUMPRODUCT((BG223:CR223&lt;1)*(PARTIDAS!$I$2:$AT$2="OBRA GRUESA"))&gt;0,"OBRA GRUESA: "&amp;_xlfn.TEXTJOIN(", ",TRUE,IF((BG223:CR223&lt;1)*(PARTIDAS!$I$2:$AT$2="OBRA GRUESA"),PARTIDAS!$I$1:$AT$1,"")),""),IF(SUMPRODUCT((BG223:CR223&lt;1)*(PARTIDAS!$I$2:$AT$2="SANITARIOS"))&gt;0,"SANITARIOS: "&amp;_xlfn.TEXTJOIN(", ",TRUE,IF((BG223:CR223&lt;1)*(PARTIDAS!$I$2:$AT$2="SANITARIOS"),PARTIDAS!$I$1:$AT$1,"")),""),IF(SUMPRODUCT((BG223:CR223&lt;1)*(PARTIDAS!$I$2:$AT$2="ELÉCTRICO"))&gt;0,"ELÉCTRICO: "&amp;_xlfn.TEXTJOIN(", ",TRUE,IF((BG223:CR223&lt;1)*(PARTIDAS!$I$2:$AT$2="ELÉCTRICO"),PARTIDAS!$I$1:$AT$1,"")),""),IF(SUMPRODUCT((BG223:CR223&lt;1)*(PARTIDAS!$I$2:$AT$2="TERMINACIONES"))&gt;0,"TERMINACIONES: "&amp;_xlfn.TEXTJOIN(", ",TRUE,IF((BG223:CR223&lt;1)*(PARTIDAS!$I$2:$AT$2="TERMINACIONES"),PARTIDAS!$I$1:$AT$1,"")),""))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3" s="43" t="str" cm="1">
        <f t="array" ref="CU223">_xlfn.TEXTJOIN(", ",TRUE,IF(SUMPRODUCT((BG223:CR223&lt;1)*(PARTIDAS!$I$2:$AT$2="OBRA GRUESA"))&gt;0,"OBRA GRUESA",""),IF(SUMPRODUCT((BG223:CR223&lt;1)*(PARTIDAS!$I$2:$AT$2="SANITARIOS"))&gt;0,"SANITARIOS",""),IF(SUMPRODUCT((BG223:CR223&lt;1)*(PARTIDAS!$I$2:$AT$2="ELÉCTRICO"))&gt;0,"ELÉCTRICO",""),IF(SUMPRODUCT((BG223:CR223&lt;1)*(PARTIDAS!$I$2:$AT$2="TERMINACIONES"))&gt;0,"TERMINACIONES",""))</f>
        <v>OBRA GRUESA, SANITARIOS, ELÉCTRICO, TERMINACIONES</v>
      </c>
      <c r="CV223" s="44" cm="1">
        <f t="array" ref="CV223">SUMPRODUCT(--(BG223:CR223&lt;1))</f>
        <v>38</v>
      </c>
    </row>
    <row r="224" spans="1:100" hidden="1" x14ac:dyDescent="0.25">
      <c r="A224" t="s">
        <v>256</v>
      </c>
      <c r="B224" t="s">
        <v>287</v>
      </c>
      <c r="C224">
        <v>2302600223</v>
      </c>
      <c r="D224" t="s">
        <v>60</v>
      </c>
      <c r="E224" s="2">
        <v>0</v>
      </c>
      <c r="F224" s="1">
        <v>46248</v>
      </c>
      <c r="G224" s="1"/>
      <c r="H224" s="1">
        <v>0</v>
      </c>
      <c r="I224" s="1">
        <v>46278</v>
      </c>
      <c r="J224">
        <v>46230</v>
      </c>
      <c r="K224" s="1"/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>
        <v>31.32</v>
      </c>
      <c r="BF224" s="3" t="str">
        <f>+IF(AVANCE[[#This Row],[% AVANCE]]=100%,"MODULO TERMINADO",IF(AVANCE[[#This Row],[FECHA INICIO REAL]]="","MODULO NO INICIADO","PENDIENTE"))</f>
        <v>MODULO NO INICIADO</v>
      </c>
      <c r="BG224" s="3">
        <f>+IF(AVANCE[[#This Row],[VENTANAS]]=8.10810810810811%,100%,AVANCE[[#This Row],[VENTANAS]])</f>
        <v>0</v>
      </c>
      <c r="BH224" s="3">
        <f>+IF(AVANCE[[#This Row],[PISO]]=N$2,100%,AVANCE[[#This Row],[PISO]])</f>
        <v>0</v>
      </c>
      <c r="BI224" s="3">
        <f>+IF(AVANCE[[#This Row],[TABIQUES]]=O$2,100%,AVANCE[[#This Row],[TABIQUES]])</f>
        <v>0</v>
      </c>
      <c r="BJ224" s="3">
        <f>+IF(AVANCE[[#This Row],[MUROS]]=P$2,100%,AVANCE[[#This Row],[MUROS]])</f>
        <v>0</v>
      </c>
      <c r="BK224" s="3">
        <f>+IF(AVANCE[[#This Row],[CIELO]]=Q$2,100%,AVANCE[[#This Row],[CIELO]])</f>
        <v>0</v>
      </c>
      <c r="BL224" s="3">
        <f>+IF(AVANCE[[#This Row],[BALCÓN]]=R$2,100%,AVANCE[[#This Row],[BALCÓN]])</f>
        <v>0</v>
      </c>
      <c r="BM224" s="3">
        <f>+IF(AVANCE[[#This Row],[RED ALCANTARILLADO]]=U$2,100%,AVANCE[[#This Row],[RED ALCANTARILLADO]])</f>
        <v>0</v>
      </c>
      <c r="BN224" s="3">
        <f>+IF(AVANCE[[#This Row],[RED DE AGUA]]=V$2,100%,AVANCE[[#This Row],[RED DE AGUA]])</f>
        <v>0</v>
      </c>
      <c r="BO224" s="3">
        <f>+IF(AVANCE[[#This Row],[VENTILACIONES]]=W$2,100%,AVANCE[[#This Row],[VENTILACIONES]])</f>
        <v>0</v>
      </c>
      <c r="BP224" s="3">
        <f>+IF(AVANCE[[#This Row],[TINA]]=X$2,100%,AVANCE[[#This Row],[TINA]])</f>
        <v>0</v>
      </c>
      <c r="BQ224" s="3">
        <f>+IF(AVANCE[[#This Row],[WC]]=Y$2,100%,AVANCE[[#This Row],[WC]])</f>
        <v>0</v>
      </c>
      <c r="BR224" s="3">
        <f>+IF(AVANCE[[#This Row],[LAVAMANOS / LAVAPLATOS / LAVADERO]]=Z$2,100%,AVANCE[[#This Row],[LAVAMANOS / LAVAPLATOS / LAVADERO]])</f>
        <v>0</v>
      </c>
      <c r="BS224" s="3">
        <f>+IF(AVANCE[[#This Row],[CANALIZACIÓN]]=AC$2,100%,AVANCE[[#This Row],[CANALIZACIÓN]])</f>
        <v>0</v>
      </c>
      <c r="BT224" s="3">
        <f>+IF(AVANCE[[#This Row],[CABLEADO]]=AD$2,100%,AVANCE[[#This Row],[CABLEADO]])</f>
        <v>0</v>
      </c>
      <c r="BU224" s="3">
        <f>+IF(AVANCE[[#This Row],[ARTEFACTOS]]=AE$2,100%,AVANCE[[#This Row],[ARTEFACTOS]])</f>
        <v>0</v>
      </c>
      <c r="BV224" s="3">
        <f>+IF(AVANCE[[#This Row],[TABLERO]]=AF$2,100%,AVANCE[[#This Row],[TABLERO]])</f>
        <v>0</v>
      </c>
      <c r="BW224" s="3">
        <f>+IF(AVANCE[[#This Row],[CAJA PAU]]=AG$2,100%,AVANCE[[#This Row],[CAJA PAU]])</f>
        <v>0</v>
      </c>
      <c r="BX224" s="3">
        <f>+IF(AVANCE[[#This Row],[INSTALACION VINILICO]]=AJ$2,100%,AVANCE[[#This Row],[INSTALACION VINILICO]])</f>
        <v>0</v>
      </c>
      <c r="BY224" s="3">
        <f>+IF(AVANCE[[#This Row],[OSB CUBIERTA]]=AK$2,100%,AVANCE[[#This Row],[OSB CUBIERTA]])</f>
        <v>0</v>
      </c>
      <c r="BZ224" s="3">
        <f>+IF(AVANCE[[#This Row],[BARANDA BALCON]]=AL$2,100%,AVANCE[[#This Row],[BARANDA BALCON]])</f>
        <v>0</v>
      </c>
      <c r="CA224" s="3">
        <f>+IF(AVANCE[[#This Row],[OSB EXTERIOR]]=AM$2,100%,AVANCE[[#This Row],[OSB EXTERIOR]])</f>
        <v>0</v>
      </c>
      <c r="CB224" s="3">
        <f>+IF(AVANCE[[#This Row],[SMART PANEL]]=AN$2,100%,AVANCE[[#This Row],[SMART PANEL]])</f>
        <v>0</v>
      </c>
      <c r="CC224" s="3">
        <f>+IF(AVANCE[[#This Row],[PINTURA EXTERIOR]]=AO$2,100%,AVANCE[[#This Row],[PINTURA EXTERIOR]])</f>
        <v>0</v>
      </c>
      <c r="CD224" s="3">
        <f>+IF(AVANCE[[#This Row],[ZOCALOS LOGIA]]=AP$2,100%,AVANCE[[#This Row],[ZOCALOS LOGIA]])</f>
        <v>0</v>
      </c>
      <c r="CE224" s="3">
        <f>+IF(AVANCE[[#This Row],[MOLDURAS]]=AQ$2,100%,AVANCE[[#This Row],[MOLDURAS]])</f>
        <v>0</v>
      </c>
      <c r="CF224" s="3">
        <f>+IF(AVANCE[[#This Row],[PILASTREO]]=AR$2,100%,AVANCE[[#This Row],[PILASTREO]])</f>
        <v>0</v>
      </c>
      <c r="CG224" s="3">
        <f>+IF(AVANCE[[#This Row],[CELOSIAS]]=AS$2,100%,AVANCE[[#This Row],[CELOSIAS]])</f>
        <v>0</v>
      </c>
      <c r="CH224" s="3">
        <f>+IF(AVANCE[[#This Row],[VENTANAS]]=AT$2,100%,AVANCE[[#This Row],[VENTANAS]])</f>
        <v>0</v>
      </c>
      <c r="CI224" s="3">
        <f>+IF(AVANCE[[#This Row],[PUERTAS ACCESO - LOGIA - BANO]]=AU$2,100%,AVANCE[[#This Row],[PUERTAS ACCESO - LOGIA - BANO]])</f>
        <v>0</v>
      </c>
      <c r="CJ224" s="3">
        <f>+IF(AVANCE[[#This Row],[CERRADURAS]]=AV$2,100%,AVANCE[[#This Row],[CERRADURAS]])</f>
        <v>0</v>
      </c>
      <c r="CK224" s="3">
        <f>+IF(AVANCE[[#This Row],[REVESTIMIENTO INTERIOR ZONA SECA]]=AW$2,100%,AVANCE[[#This Row],[REVESTIMIENTO INTERIOR ZONA SECA]])</f>
        <v>0</v>
      </c>
      <c r="CL224" s="3">
        <f>+IF(AVANCE[[#This Row],[REVESTIMIENTO INTERIOR ZONAS HUMEDAS]]=AX$2,100%,AVANCE[[#This Row],[REVESTIMIENTO INTERIOR ZONAS HUMEDAS]])</f>
        <v>0</v>
      </c>
      <c r="CM224" s="3">
        <f>+IF(AVANCE[[#This Row],[MEMBRANA CIELO]]=AY$2,100%,AVANCE[[#This Row],[MEMBRANA CIELO]])</f>
        <v>0</v>
      </c>
      <c r="CN224" s="3">
        <f>+IF(AVANCE[[#This Row],[LIMPIEZA FINAL]]=AZ$2,100%,AVANCE[[#This Row],[LIMPIEZA FINAL]])</f>
        <v>0</v>
      </c>
      <c r="CO224" s="3">
        <f>+IF(AVANCE[[#This Row],[PUERTAS DORMITORIO]]=BA$2,100%,AVANCE[[#This Row],[PUERTAS DORMITORIO]])</f>
        <v>0</v>
      </c>
      <c r="CP224" s="3">
        <f>+IF(AVANCE[[#This Row],[REVESTIMIENTO INTERIOR BANO]]=BB$2,100%,AVANCE[[#This Row],[REVESTIMIENTO INTERIOR BANO]])</f>
        <v>0</v>
      </c>
      <c r="CQ224" s="3">
        <f>+IF(AVANCE[[#This Row],[MUEBLE LAVAPLATOS]]=BC$2,100%,AVANCE[[#This Row],[MUEBLE LAVAPLATOS]])</f>
        <v>0</v>
      </c>
      <c r="CR224" s="3">
        <f>+IF(AVANCE[[#This Row],[IMPERMEABILIZACION BANO - COCINA LOGIA]]=BD$2,100%,AVANCE[[#This Row],[IMPERMEABILIZACION BANO - COCINA LOGIA]])</f>
        <v>0</v>
      </c>
      <c r="CS224" s="40">
        <f ca="1">+IF(AVANCE[[#This Row],[ESTADO MODULO]]="PENDIENTE",(TODAY()-AVANCE[[#This Row],[FECHA TERMINO  PLANIFICADO]]),0)</f>
        <v>0</v>
      </c>
      <c r="CT224" s="41" t="str" cm="1">
        <f t="array" ref="CT224">_xlfn.TEXTJOIN(" | ",TRUE,IF(SUMPRODUCT((BG224:CR224&lt;1)*(PARTIDAS!$I$2:$AT$2="OBRA GRUESA"))&gt;0,"OBRA GRUESA: "&amp;_xlfn.TEXTJOIN(", ",TRUE,IF((BG224:CR224&lt;1)*(PARTIDAS!$I$2:$AT$2="OBRA GRUESA"),PARTIDAS!$I$1:$AT$1,"")),""),IF(SUMPRODUCT((BG224:CR224&lt;1)*(PARTIDAS!$I$2:$AT$2="SANITARIOS"))&gt;0,"SANITARIOS: "&amp;_xlfn.TEXTJOIN(", ",TRUE,IF((BG224:CR224&lt;1)*(PARTIDAS!$I$2:$AT$2="SANITARIOS"),PARTIDAS!$I$1:$AT$1,"")),""),IF(SUMPRODUCT((BG224:CR224&lt;1)*(PARTIDAS!$I$2:$AT$2="ELÉCTRICO"))&gt;0,"ELÉCTRICO: "&amp;_xlfn.TEXTJOIN(", ",TRUE,IF((BG224:CR224&lt;1)*(PARTIDAS!$I$2:$AT$2="ELÉCTRICO"),PARTIDAS!$I$1:$AT$1,"")),""),IF(SUMPRODUCT((BG224:CR224&lt;1)*(PARTIDAS!$I$2:$AT$2="TERMINACIONES"))&gt;0,"TERMINACIONES: "&amp;_xlfn.TEXTJOIN(", ",TRUE,IF((BG224:CR224&lt;1)*(PARTIDAS!$I$2:$AT$2="TERMINACIONES"),PARTIDAS!$I$1:$AT$1,"")),""))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4" s="43" t="str" cm="1">
        <f t="array" ref="CU224">_xlfn.TEXTJOIN(", ",TRUE,IF(SUMPRODUCT((BG224:CR224&lt;1)*(PARTIDAS!$I$2:$AT$2="OBRA GRUESA"))&gt;0,"OBRA GRUESA",""),IF(SUMPRODUCT((BG224:CR224&lt;1)*(PARTIDAS!$I$2:$AT$2="SANITARIOS"))&gt;0,"SANITARIOS",""),IF(SUMPRODUCT((BG224:CR224&lt;1)*(PARTIDAS!$I$2:$AT$2="ELÉCTRICO"))&gt;0,"ELÉCTRICO",""),IF(SUMPRODUCT((BG224:CR224&lt;1)*(PARTIDAS!$I$2:$AT$2="TERMINACIONES"))&gt;0,"TERMINACIONES",""))</f>
        <v>OBRA GRUESA, SANITARIOS, ELÉCTRICO, TERMINACIONES</v>
      </c>
      <c r="CV224" s="44" cm="1">
        <f t="array" ref="CV224">SUMPRODUCT(--(BG224:CR224&lt;1))</f>
        <v>38</v>
      </c>
    </row>
    <row r="225" spans="1:100" hidden="1" x14ac:dyDescent="0.25">
      <c r="A225" t="s">
        <v>256</v>
      </c>
      <c r="B225" t="s">
        <v>288</v>
      </c>
      <c r="C225">
        <v>2282600224</v>
      </c>
      <c r="D225" t="s">
        <v>58</v>
      </c>
      <c r="E225" s="2">
        <v>0</v>
      </c>
      <c r="F225" s="1">
        <v>46251</v>
      </c>
      <c r="G225" s="1"/>
      <c r="H225" s="1">
        <v>0</v>
      </c>
      <c r="I225" s="1">
        <v>46271</v>
      </c>
      <c r="J225">
        <v>46230</v>
      </c>
      <c r="K225" s="1"/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>
        <v>28.87</v>
      </c>
      <c r="BF225" s="3" t="str">
        <f>+IF(AVANCE[[#This Row],[% AVANCE]]=100%,"MODULO TERMINADO",IF(AVANCE[[#This Row],[FECHA INICIO REAL]]="","MODULO NO INICIADO","PENDIENTE"))</f>
        <v>MODULO NO INICIADO</v>
      </c>
      <c r="BG225" s="3">
        <f>+IF(AVANCE[[#This Row],[VENTANAS]]=8.10810810810811%,100%,AVANCE[[#This Row],[VENTANAS]])</f>
        <v>0</v>
      </c>
      <c r="BH225" s="3">
        <f>+IF(AVANCE[[#This Row],[PISO]]=N$2,100%,AVANCE[[#This Row],[PISO]])</f>
        <v>0</v>
      </c>
      <c r="BI225" s="3">
        <f>+IF(AVANCE[[#This Row],[TABIQUES]]=O$2,100%,AVANCE[[#This Row],[TABIQUES]])</f>
        <v>0</v>
      </c>
      <c r="BJ225" s="3">
        <f>+IF(AVANCE[[#This Row],[MUROS]]=P$2,100%,AVANCE[[#This Row],[MUROS]])</f>
        <v>0</v>
      </c>
      <c r="BK225" s="3">
        <f>+IF(AVANCE[[#This Row],[CIELO]]=Q$2,100%,AVANCE[[#This Row],[CIELO]])</f>
        <v>0</v>
      </c>
      <c r="BL225" s="3">
        <f>+IF(AVANCE[[#This Row],[BALCÓN]]=R$2,100%,AVANCE[[#This Row],[BALCÓN]])</f>
        <v>0</v>
      </c>
      <c r="BM225" s="3">
        <f>+IF(AVANCE[[#This Row],[RED ALCANTARILLADO]]=U$2,100%,AVANCE[[#This Row],[RED ALCANTARILLADO]])</f>
        <v>0</v>
      </c>
      <c r="BN225" s="3">
        <f>+IF(AVANCE[[#This Row],[RED DE AGUA]]=V$2,100%,AVANCE[[#This Row],[RED DE AGUA]])</f>
        <v>0</v>
      </c>
      <c r="BO225" s="3">
        <f>+IF(AVANCE[[#This Row],[VENTILACIONES]]=W$2,100%,AVANCE[[#This Row],[VENTILACIONES]])</f>
        <v>0</v>
      </c>
      <c r="BP225" s="3">
        <f>+IF(AVANCE[[#This Row],[TINA]]=X$2,100%,AVANCE[[#This Row],[TINA]])</f>
        <v>0</v>
      </c>
      <c r="BQ225" s="3">
        <f>+IF(AVANCE[[#This Row],[WC]]=Y$2,100%,AVANCE[[#This Row],[WC]])</f>
        <v>0</v>
      </c>
      <c r="BR225" s="3">
        <f>+IF(AVANCE[[#This Row],[LAVAMANOS / LAVAPLATOS / LAVADERO]]=Z$2,100%,AVANCE[[#This Row],[LAVAMANOS / LAVAPLATOS / LAVADERO]])</f>
        <v>0</v>
      </c>
      <c r="BS225" s="3">
        <f>+IF(AVANCE[[#This Row],[CANALIZACIÓN]]=AC$2,100%,AVANCE[[#This Row],[CANALIZACIÓN]])</f>
        <v>0</v>
      </c>
      <c r="BT225" s="3">
        <f>+IF(AVANCE[[#This Row],[CABLEADO]]=AD$2,100%,AVANCE[[#This Row],[CABLEADO]])</f>
        <v>0</v>
      </c>
      <c r="BU225" s="3">
        <f>+IF(AVANCE[[#This Row],[ARTEFACTOS]]=AE$2,100%,AVANCE[[#This Row],[ARTEFACTOS]])</f>
        <v>0</v>
      </c>
      <c r="BV225" s="3">
        <f>+IF(AVANCE[[#This Row],[TABLERO]]=AF$2,100%,AVANCE[[#This Row],[TABLERO]])</f>
        <v>0</v>
      </c>
      <c r="BW225" s="3">
        <f>+IF(AVANCE[[#This Row],[CAJA PAU]]=AG$2,100%,AVANCE[[#This Row],[CAJA PAU]])</f>
        <v>0</v>
      </c>
      <c r="BX225" s="3">
        <f>+IF(AVANCE[[#This Row],[INSTALACION VINILICO]]=AJ$2,100%,AVANCE[[#This Row],[INSTALACION VINILICO]])</f>
        <v>0</v>
      </c>
      <c r="BY225" s="3">
        <f>+IF(AVANCE[[#This Row],[OSB CUBIERTA]]=AK$2,100%,AVANCE[[#This Row],[OSB CUBIERTA]])</f>
        <v>0</v>
      </c>
      <c r="BZ225" s="3">
        <f>+IF(AVANCE[[#This Row],[BARANDA BALCON]]=AL$2,100%,AVANCE[[#This Row],[BARANDA BALCON]])</f>
        <v>0</v>
      </c>
      <c r="CA225" s="3">
        <f>+IF(AVANCE[[#This Row],[OSB EXTERIOR]]=AM$2,100%,AVANCE[[#This Row],[OSB EXTERIOR]])</f>
        <v>0</v>
      </c>
      <c r="CB225" s="3">
        <f>+IF(AVANCE[[#This Row],[SMART PANEL]]=AN$2,100%,AVANCE[[#This Row],[SMART PANEL]])</f>
        <v>0</v>
      </c>
      <c r="CC225" s="3">
        <f>+IF(AVANCE[[#This Row],[PINTURA EXTERIOR]]=AO$2,100%,AVANCE[[#This Row],[PINTURA EXTERIOR]])</f>
        <v>0</v>
      </c>
      <c r="CD225" s="3">
        <f>+IF(AVANCE[[#This Row],[ZOCALOS LOGIA]]=AP$2,100%,AVANCE[[#This Row],[ZOCALOS LOGIA]])</f>
        <v>0</v>
      </c>
      <c r="CE225" s="3">
        <f>+IF(AVANCE[[#This Row],[MOLDURAS]]=AQ$2,100%,AVANCE[[#This Row],[MOLDURAS]])</f>
        <v>0</v>
      </c>
      <c r="CF225" s="3">
        <f>+IF(AVANCE[[#This Row],[PILASTREO]]=AR$2,100%,AVANCE[[#This Row],[PILASTREO]])</f>
        <v>0</v>
      </c>
      <c r="CG225" s="3">
        <f>+IF(AVANCE[[#This Row],[CELOSIAS]]=AS$2,100%,AVANCE[[#This Row],[CELOSIAS]])</f>
        <v>0</v>
      </c>
      <c r="CH225" s="3">
        <f>+IF(AVANCE[[#This Row],[VENTANAS]]=AT$2,100%,AVANCE[[#This Row],[VENTANAS]])</f>
        <v>0</v>
      </c>
      <c r="CI225" s="3">
        <f>+IF(AVANCE[[#This Row],[PUERTAS ACCESO - LOGIA - BANO]]=AU$2,100%,AVANCE[[#This Row],[PUERTAS ACCESO - LOGIA - BANO]])</f>
        <v>0</v>
      </c>
      <c r="CJ225" s="3">
        <f>+IF(AVANCE[[#This Row],[CERRADURAS]]=AV$2,100%,AVANCE[[#This Row],[CERRADURAS]])</f>
        <v>0</v>
      </c>
      <c r="CK225" s="3">
        <f>+IF(AVANCE[[#This Row],[REVESTIMIENTO INTERIOR ZONA SECA]]=AW$2,100%,AVANCE[[#This Row],[REVESTIMIENTO INTERIOR ZONA SECA]])</f>
        <v>0</v>
      </c>
      <c r="CL225" s="3">
        <f>+IF(AVANCE[[#This Row],[REVESTIMIENTO INTERIOR ZONAS HUMEDAS]]=AX$2,100%,AVANCE[[#This Row],[REVESTIMIENTO INTERIOR ZONAS HUMEDAS]])</f>
        <v>0</v>
      </c>
      <c r="CM225" s="3">
        <f>+IF(AVANCE[[#This Row],[MEMBRANA CIELO]]=AY$2,100%,AVANCE[[#This Row],[MEMBRANA CIELO]])</f>
        <v>0</v>
      </c>
      <c r="CN225" s="3">
        <f>+IF(AVANCE[[#This Row],[LIMPIEZA FINAL]]=AZ$2,100%,AVANCE[[#This Row],[LIMPIEZA FINAL]])</f>
        <v>0</v>
      </c>
      <c r="CO225" s="3">
        <f>+IF(AVANCE[[#This Row],[PUERTAS DORMITORIO]]=BA$2,100%,AVANCE[[#This Row],[PUERTAS DORMITORIO]])</f>
        <v>0</v>
      </c>
      <c r="CP225" s="3">
        <f>+IF(AVANCE[[#This Row],[REVESTIMIENTO INTERIOR BANO]]=BB$2,100%,AVANCE[[#This Row],[REVESTIMIENTO INTERIOR BANO]])</f>
        <v>0</v>
      </c>
      <c r="CQ225" s="3">
        <f>+IF(AVANCE[[#This Row],[MUEBLE LAVAPLATOS]]=BC$2,100%,AVANCE[[#This Row],[MUEBLE LAVAPLATOS]])</f>
        <v>0</v>
      </c>
      <c r="CR225" s="3">
        <f>+IF(AVANCE[[#This Row],[IMPERMEABILIZACION BANO - COCINA LOGIA]]=BD$2,100%,AVANCE[[#This Row],[IMPERMEABILIZACION BANO - COCINA LOGIA]])</f>
        <v>0</v>
      </c>
      <c r="CS225" s="40">
        <f ca="1">+IF(AVANCE[[#This Row],[ESTADO MODULO]]="PENDIENTE",(TODAY()-AVANCE[[#This Row],[FECHA TERMINO  PLANIFICADO]]),0)</f>
        <v>0</v>
      </c>
      <c r="CT225" s="41" t="str" cm="1">
        <f t="array" ref="CT225">_xlfn.TEXTJOIN(" | ",TRUE,IF(SUMPRODUCT((BG225:CR225&lt;1)*(PARTIDAS!$I$2:$AT$2="OBRA GRUESA"))&gt;0,"OBRA GRUESA: "&amp;_xlfn.TEXTJOIN(", ",TRUE,IF((BG225:CR225&lt;1)*(PARTIDAS!$I$2:$AT$2="OBRA GRUESA"),PARTIDAS!$I$1:$AT$1,"")),""),IF(SUMPRODUCT((BG225:CR225&lt;1)*(PARTIDAS!$I$2:$AT$2="SANITARIOS"))&gt;0,"SANITARIOS: "&amp;_xlfn.TEXTJOIN(", ",TRUE,IF((BG225:CR225&lt;1)*(PARTIDAS!$I$2:$AT$2="SANITARIOS"),PARTIDAS!$I$1:$AT$1,"")),""),IF(SUMPRODUCT((BG225:CR225&lt;1)*(PARTIDAS!$I$2:$AT$2="ELÉCTRICO"))&gt;0,"ELÉCTRICO: "&amp;_xlfn.TEXTJOIN(", ",TRUE,IF((BG225:CR225&lt;1)*(PARTIDAS!$I$2:$AT$2="ELÉCTRICO"),PARTIDAS!$I$1:$AT$1,"")),""),IF(SUMPRODUCT((BG225:CR225&lt;1)*(PARTIDAS!$I$2:$AT$2="TERMINACIONES"))&gt;0,"TERMINACIONES: "&amp;_xlfn.TEXTJOIN(", ",TRUE,IF((BG225:CR225&lt;1)*(PARTIDAS!$I$2:$AT$2="TERMINACIONES"),PARTIDAS!$I$1:$AT$1,"")),""))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5" s="43" t="str" cm="1">
        <f t="array" ref="CU225">_xlfn.TEXTJOIN(", ",TRUE,IF(SUMPRODUCT((BG225:CR225&lt;1)*(PARTIDAS!$I$2:$AT$2="OBRA GRUESA"))&gt;0,"OBRA GRUESA",""),IF(SUMPRODUCT((BG225:CR225&lt;1)*(PARTIDAS!$I$2:$AT$2="SANITARIOS"))&gt;0,"SANITARIOS",""),IF(SUMPRODUCT((BG225:CR225&lt;1)*(PARTIDAS!$I$2:$AT$2="ELÉCTRICO"))&gt;0,"ELÉCTRICO",""),IF(SUMPRODUCT((BG225:CR225&lt;1)*(PARTIDAS!$I$2:$AT$2="TERMINACIONES"))&gt;0,"TERMINACIONES",""))</f>
        <v>OBRA GRUESA, SANITARIOS, ELÉCTRICO, TERMINACIONES</v>
      </c>
      <c r="CV225" s="44" cm="1">
        <f t="array" ref="CV225">SUMPRODUCT(--(BG225:CR225&lt;1))</f>
        <v>38</v>
      </c>
    </row>
    <row r="226" spans="1:100" hidden="1" x14ac:dyDescent="0.25">
      <c r="A226" t="s">
        <v>289</v>
      </c>
      <c r="B226" t="s">
        <v>290</v>
      </c>
      <c r="C226">
        <v>2282600225</v>
      </c>
      <c r="D226" t="s">
        <v>58</v>
      </c>
      <c r="E226" s="2">
        <v>0</v>
      </c>
      <c r="F226" s="1">
        <v>46251</v>
      </c>
      <c r="G226" s="1"/>
      <c r="H226" s="1">
        <v>0</v>
      </c>
      <c r="I226" s="1">
        <v>46271</v>
      </c>
      <c r="J226">
        <v>46230</v>
      </c>
      <c r="K226" s="1"/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>
        <v>28.87</v>
      </c>
      <c r="BF226" s="3" t="str">
        <f>+IF(AVANCE[[#This Row],[% AVANCE]]=100%,"MODULO TERMINADO",IF(AVANCE[[#This Row],[FECHA INICIO REAL]]="","MODULO NO INICIADO","PENDIENTE"))</f>
        <v>MODULO NO INICIADO</v>
      </c>
      <c r="BG226" s="3">
        <f>+IF(AVANCE[[#This Row],[VENTANAS]]=8.10810810810811%,100%,AVANCE[[#This Row],[VENTANAS]])</f>
        <v>0</v>
      </c>
      <c r="BH226" s="3">
        <f>+IF(AVANCE[[#This Row],[PISO]]=N$2,100%,AVANCE[[#This Row],[PISO]])</f>
        <v>0</v>
      </c>
      <c r="BI226" s="3">
        <f>+IF(AVANCE[[#This Row],[TABIQUES]]=O$2,100%,AVANCE[[#This Row],[TABIQUES]])</f>
        <v>0</v>
      </c>
      <c r="BJ226" s="3">
        <f>+IF(AVANCE[[#This Row],[MUROS]]=P$2,100%,AVANCE[[#This Row],[MUROS]])</f>
        <v>0</v>
      </c>
      <c r="BK226" s="3">
        <f>+IF(AVANCE[[#This Row],[CIELO]]=Q$2,100%,AVANCE[[#This Row],[CIELO]])</f>
        <v>0</v>
      </c>
      <c r="BL226" s="3">
        <f>+IF(AVANCE[[#This Row],[BALCÓN]]=R$2,100%,AVANCE[[#This Row],[BALCÓN]])</f>
        <v>0</v>
      </c>
      <c r="BM226" s="3">
        <f>+IF(AVANCE[[#This Row],[RED ALCANTARILLADO]]=U$2,100%,AVANCE[[#This Row],[RED ALCANTARILLADO]])</f>
        <v>0</v>
      </c>
      <c r="BN226" s="3">
        <f>+IF(AVANCE[[#This Row],[RED DE AGUA]]=V$2,100%,AVANCE[[#This Row],[RED DE AGUA]])</f>
        <v>0</v>
      </c>
      <c r="BO226" s="3">
        <f>+IF(AVANCE[[#This Row],[VENTILACIONES]]=W$2,100%,AVANCE[[#This Row],[VENTILACIONES]])</f>
        <v>0</v>
      </c>
      <c r="BP226" s="3">
        <f>+IF(AVANCE[[#This Row],[TINA]]=X$2,100%,AVANCE[[#This Row],[TINA]])</f>
        <v>0</v>
      </c>
      <c r="BQ226" s="3">
        <f>+IF(AVANCE[[#This Row],[WC]]=Y$2,100%,AVANCE[[#This Row],[WC]])</f>
        <v>0</v>
      </c>
      <c r="BR226" s="3">
        <f>+IF(AVANCE[[#This Row],[LAVAMANOS / LAVAPLATOS / LAVADERO]]=Z$2,100%,AVANCE[[#This Row],[LAVAMANOS / LAVAPLATOS / LAVADERO]])</f>
        <v>0</v>
      </c>
      <c r="BS226" s="3">
        <f>+IF(AVANCE[[#This Row],[CANALIZACIÓN]]=AC$2,100%,AVANCE[[#This Row],[CANALIZACIÓN]])</f>
        <v>0</v>
      </c>
      <c r="BT226" s="3">
        <f>+IF(AVANCE[[#This Row],[CABLEADO]]=AD$2,100%,AVANCE[[#This Row],[CABLEADO]])</f>
        <v>0</v>
      </c>
      <c r="BU226" s="3">
        <f>+IF(AVANCE[[#This Row],[ARTEFACTOS]]=AE$2,100%,AVANCE[[#This Row],[ARTEFACTOS]])</f>
        <v>0</v>
      </c>
      <c r="BV226" s="3">
        <f>+IF(AVANCE[[#This Row],[TABLERO]]=AF$2,100%,AVANCE[[#This Row],[TABLERO]])</f>
        <v>0</v>
      </c>
      <c r="BW226" s="3">
        <f>+IF(AVANCE[[#This Row],[CAJA PAU]]=AG$2,100%,AVANCE[[#This Row],[CAJA PAU]])</f>
        <v>0</v>
      </c>
      <c r="BX226" s="3">
        <f>+IF(AVANCE[[#This Row],[INSTALACION VINILICO]]=AJ$2,100%,AVANCE[[#This Row],[INSTALACION VINILICO]])</f>
        <v>0</v>
      </c>
      <c r="BY226" s="3">
        <f>+IF(AVANCE[[#This Row],[OSB CUBIERTA]]=AK$2,100%,AVANCE[[#This Row],[OSB CUBIERTA]])</f>
        <v>0</v>
      </c>
      <c r="BZ226" s="3">
        <f>+IF(AVANCE[[#This Row],[BARANDA BALCON]]=AL$2,100%,AVANCE[[#This Row],[BARANDA BALCON]])</f>
        <v>0</v>
      </c>
      <c r="CA226" s="3">
        <f>+IF(AVANCE[[#This Row],[OSB EXTERIOR]]=AM$2,100%,AVANCE[[#This Row],[OSB EXTERIOR]])</f>
        <v>0</v>
      </c>
      <c r="CB226" s="3">
        <f>+IF(AVANCE[[#This Row],[SMART PANEL]]=AN$2,100%,AVANCE[[#This Row],[SMART PANEL]])</f>
        <v>0</v>
      </c>
      <c r="CC226" s="3">
        <f>+IF(AVANCE[[#This Row],[PINTURA EXTERIOR]]=AO$2,100%,AVANCE[[#This Row],[PINTURA EXTERIOR]])</f>
        <v>0</v>
      </c>
      <c r="CD226" s="3">
        <f>+IF(AVANCE[[#This Row],[ZOCALOS LOGIA]]=AP$2,100%,AVANCE[[#This Row],[ZOCALOS LOGIA]])</f>
        <v>0</v>
      </c>
      <c r="CE226" s="3">
        <f>+IF(AVANCE[[#This Row],[MOLDURAS]]=AQ$2,100%,AVANCE[[#This Row],[MOLDURAS]])</f>
        <v>0</v>
      </c>
      <c r="CF226" s="3">
        <f>+IF(AVANCE[[#This Row],[PILASTREO]]=AR$2,100%,AVANCE[[#This Row],[PILASTREO]])</f>
        <v>0</v>
      </c>
      <c r="CG226" s="3">
        <f>+IF(AVANCE[[#This Row],[CELOSIAS]]=AS$2,100%,AVANCE[[#This Row],[CELOSIAS]])</f>
        <v>0</v>
      </c>
      <c r="CH226" s="3">
        <f>+IF(AVANCE[[#This Row],[VENTANAS]]=AT$2,100%,AVANCE[[#This Row],[VENTANAS]])</f>
        <v>0</v>
      </c>
      <c r="CI226" s="3">
        <f>+IF(AVANCE[[#This Row],[PUERTAS ACCESO - LOGIA - BANO]]=AU$2,100%,AVANCE[[#This Row],[PUERTAS ACCESO - LOGIA - BANO]])</f>
        <v>0</v>
      </c>
      <c r="CJ226" s="3">
        <f>+IF(AVANCE[[#This Row],[CERRADURAS]]=AV$2,100%,AVANCE[[#This Row],[CERRADURAS]])</f>
        <v>0</v>
      </c>
      <c r="CK226" s="3">
        <f>+IF(AVANCE[[#This Row],[REVESTIMIENTO INTERIOR ZONA SECA]]=AW$2,100%,AVANCE[[#This Row],[REVESTIMIENTO INTERIOR ZONA SECA]])</f>
        <v>0</v>
      </c>
      <c r="CL226" s="3">
        <f>+IF(AVANCE[[#This Row],[REVESTIMIENTO INTERIOR ZONAS HUMEDAS]]=AX$2,100%,AVANCE[[#This Row],[REVESTIMIENTO INTERIOR ZONAS HUMEDAS]])</f>
        <v>0</v>
      </c>
      <c r="CM226" s="3">
        <f>+IF(AVANCE[[#This Row],[MEMBRANA CIELO]]=AY$2,100%,AVANCE[[#This Row],[MEMBRANA CIELO]])</f>
        <v>0</v>
      </c>
      <c r="CN226" s="3">
        <f>+IF(AVANCE[[#This Row],[LIMPIEZA FINAL]]=AZ$2,100%,AVANCE[[#This Row],[LIMPIEZA FINAL]])</f>
        <v>0</v>
      </c>
      <c r="CO226" s="3">
        <f>+IF(AVANCE[[#This Row],[PUERTAS DORMITORIO]]=BA$2,100%,AVANCE[[#This Row],[PUERTAS DORMITORIO]])</f>
        <v>0</v>
      </c>
      <c r="CP226" s="3">
        <f>+IF(AVANCE[[#This Row],[REVESTIMIENTO INTERIOR BANO]]=BB$2,100%,AVANCE[[#This Row],[REVESTIMIENTO INTERIOR BANO]])</f>
        <v>0</v>
      </c>
      <c r="CQ226" s="3">
        <f>+IF(AVANCE[[#This Row],[MUEBLE LAVAPLATOS]]=BC$2,100%,AVANCE[[#This Row],[MUEBLE LAVAPLATOS]])</f>
        <v>0</v>
      </c>
      <c r="CR226" s="3">
        <f>+IF(AVANCE[[#This Row],[IMPERMEABILIZACION BANO - COCINA LOGIA]]=BD$2,100%,AVANCE[[#This Row],[IMPERMEABILIZACION BANO - COCINA LOGIA]])</f>
        <v>0</v>
      </c>
      <c r="CS226" s="40">
        <f ca="1">+IF(AVANCE[[#This Row],[ESTADO MODULO]]="PENDIENTE",(TODAY()-AVANCE[[#This Row],[FECHA TERMINO  PLANIFICADO]]),0)</f>
        <v>0</v>
      </c>
      <c r="CT226" s="41" t="str" cm="1">
        <f t="array" ref="CT226">_xlfn.TEXTJOIN(" | ",TRUE,IF(SUMPRODUCT((BG226:CR226&lt;1)*(PARTIDAS!$I$2:$AT$2="OBRA GRUESA"))&gt;0,"OBRA GRUESA: "&amp;_xlfn.TEXTJOIN(", ",TRUE,IF((BG226:CR226&lt;1)*(PARTIDAS!$I$2:$AT$2="OBRA GRUESA"),PARTIDAS!$I$1:$AT$1,"")),""),IF(SUMPRODUCT((BG226:CR226&lt;1)*(PARTIDAS!$I$2:$AT$2="SANITARIOS"))&gt;0,"SANITARIOS: "&amp;_xlfn.TEXTJOIN(", ",TRUE,IF((BG226:CR226&lt;1)*(PARTIDAS!$I$2:$AT$2="SANITARIOS"),PARTIDAS!$I$1:$AT$1,"")),""),IF(SUMPRODUCT((BG226:CR226&lt;1)*(PARTIDAS!$I$2:$AT$2="ELÉCTRICO"))&gt;0,"ELÉCTRICO: "&amp;_xlfn.TEXTJOIN(", ",TRUE,IF((BG226:CR226&lt;1)*(PARTIDAS!$I$2:$AT$2="ELÉCTRICO"),PARTIDAS!$I$1:$AT$1,"")),""),IF(SUMPRODUCT((BG226:CR226&lt;1)*(PARTIDAS!$I$2:$AT$2="TERMINACIONES"))&gt;0,"TERMINACIONES: "&amp;_xlfn.TEXTJOIN(", ",TRUE,IF((BG226:CR226&lt;1)*(PARTIDAS!$I$2:$AT$2="TERMINACIONES"),PARTIDAS!$I$1:$AT$1,"")),""))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6" s="43" t="str" cm="1">
        <f t="array" ref="CU226">_xlfn.TEXTJOIN(", ",TRUE,IF(SUMPRODUCT((BG226:CR226&lt;1)*(PARTIDAS!$I$2:$AT$2="OBRA GRUESA"))&gt;0,"OBRA GRUESA",""),IF(SUMPRODUCT((BG226:CR226&lt;1)*(PARTIDAS!$I$2:$AT$2="SANITARIOS"))&gt;0,"SANITARIOS",""),IF(SUMPRODUCT((BG226:CR226&lt;1)*(PARTIDAS!$I$2:$AT$2="ELÉCTRICO"))&gt;0,"ELÉCTRICO",""),IF(SUMPRODUCT((BG226:CR226&lt;1)*(PARTIDAS!$I$2:$AT$2="TERMINACIONES"))&gt;0,"TERMINACIONES",""))</f>
        <v>OBRA GRUESA, SANITARIOS, ELÉCTRICO, TERMINACIONES</v>
      </c>
      <c r="CV226" s="44" cm="1">
        <f t="array" ref="CV226">SUMPRODUCT(--(BG226:CR226&lt;1))</f>
        <v>38</v>
      </c>
    </row>
    <row r="227" spans="1:100" hidden="1" x14ac:dyDescent="0.25">
      <c r="A227" t="s">
        <v>289</v>
      </c>
      <c r="B227" t="s">
        <v>291</v>
      </c>
      <c r="C227">
        <v>2302600226</v>
      </c>
      <c r="D227" t="s">
        <v>60</v>
      </c>
      <c r="E227" s="2">
        <v>0</v>
      </c>
      <c r="F227" s="1">
        <v>46252</v>
      </c>
      <c r="G227" s="1"/>
      <c r="H227" s="1">
        <v>0</v>
      </c>
      <c r="I227" s="1">
        <v>46282</v>
      </c>
      <c r="J227">
        <v>46230</v>
      </c>
      <c r="K227" s="1"/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>
        <v>31.32</v>
      </c>
      <c r="BF227" s="3" t="str">
        <f>+IF(AVANCE[[#This Row],[% AVANCE]]=100%,"MODULO TERMINADO",IF(AVANCE[[#This Row],[FECHA INICIO REAL]]="","MODULO NO INICIADO","PENDIENTE"))</f>
        <v>MODULO NO INICIADO</v>
      </c>
      <c r="BG227" s="3">
        <f>+IF(AVANCE[[#This Row],[VENTANAS]]=8.10810810810811%,100%,AVANCE[[#This Row],[VENTANAS]])</f>
        <v>0</v>
      </c>
      <c r="BH227" s="3">
        <f>+IF(AVANCE[[#This Row],[PISO]]=N$2,100%,AVANCE[[#This Row],[PISO]])</f>
        <v>0</v>
      </c>
      <c r="BI227" s="3">
        <f>+IF(AVANCE[[#This Row],[TABIQUES]]=O$2,100%,AVANCE[[#This Row],[TABIQUES]])</f>
        <v>0</v>
      </c>
      <c r="BJ227" s="3">
        <f>+IF(AVANCE[[#This Row],[MUROS]]=P$2,100%,AVANCE[[#This Row],[MUROS]])</f>
        <v>0</v>
      </c>
      <c r="BK227" s="3">
        <f>+IF(AVANCE[[#This Row],[CIELO]]=Q$2,100%,AVANCE[[#This Row],[CIELO]])</f>
        <v>0</v>
      </c>
      <c r="BL227" s="3">
        <f>+IF(AVANCE[[#This Row],[BALCÓN]]=R$2,100%,AVANCE[[#This Row],[BALCÓN]])</f>
        <v>0</v>
      </c>
      <c r="BM227" s="3">
        <f>+IF(AVANCE[[#This Row],[RED ALCANTARILLADO]]=U$2,100%,AVANCE[[#This Row],[RED ALCANTARILLADO]])</f>
        <v>0</v>
      </c>
      <c r="BN227" s="3">
        <f>+IF(AVANCE[[#This Row],[RED DE AGUA]]=V$2,100%,AVANCE[[#This Row],[RED DE AGUA]])</f>
        <v>0</v>
      </c>
      <c r="BO227" s="3">
        <f>+IF(AVANCE[[#This Row],[VENTILACIONES]]=W$2,100%,AVANCE[[#This Row],[VENTILACIONES]])</f>
        <v>0</v>
      </c>
      <c r="BP227" s="3">
        <f>+IF(AVANCE[[#This Row],[TINA]]=X$2,100%,AVANCE[[#This Row],[TINA]])</f>
        <v>0</v>
      </c>
      <c r="BQ227" s="3">
        <f>+IF(AVANCE[[#This Row],[WC]]=Y$2,100%,AVANCE[[#This Row],[WC]])</f>
        <v>0</v>
      </c>
      <c r="BR227" s="3">
        <f>+IF(AVANCE[[#This Row],[LAVAMANOS / LAVAPLATOS / LAVADERO]]=Z$2,100%,AVANCE[[#This Row],[LAVAMANOS / LAVAPLATOS / LAVADERO]])</f>
        <v>0</v>
      </c>
      <c r="BS227" s="3">
        <f>+IF(AVANCE[[#This Row],[CANALIZACIÓN]]=AC$2,100%,AVANCE[[#This Row],[CANALIZACIÓN]])</f>
        <v>0</v>
      </c>
      <c r="BT227" s="3">
        <f>+IF(AVANCE[[#This Row],[CABLEADO]]=AD$2,100%,AVANCE[[#This Row],[CABLEADO]])</f>
        <v>0</v>
      </c>
      <c r="BU227" s="3">
        <f>+IF(AVANCE[[#This Row],[ARTEFACTOS]]=AE$2,100%,AVANCE[[#This Row],[ARTEFACTOS]])</f>
        <v>0</v>
      </c>
      <c r="BV227" s="3">
        <f>+IF(AVANCE[[#This Row],[TABLERO]]=AF$2,100%,AVANCE[[#This Row],[TABLERO]])</f>
        <v>0</v>
      </c>
      <c r="BW227" s="3">
        <f>+IF(AVANCE[[#This Row],[CAJA PAU]]=AG$2,100%,AVANCE[[#This Row],[CAJA PAU]])</f>
        <v>0</v>
      </c>
      <c r="BX227" s="3">
        <f>+IF(AVANCE[[#This Row],[INSTALACION VINILICO]]=AJ$2,100%,AVANCE[[#This Row],[INSTALACION VINILICO]])</f>
        <v>0</v>
      </c>
      <c r="BY227" s="3">
        <f>+IF(AVANCE[[#This Row],[OSB CUBIERTA]]=AK$2,100%,AVANCE[[#This Row],[OSB CUBIERTA]])</f>
        <v>0</v>
      </c>
      <c r="BZ227" s="3">
        <f>+IF(AVANCE[[#This Row],[BARANDA BALCON]]=AL$2,100%,AVANCE[[#This Row],[BARANDA BALCON]])</f>
        <v>0</v>
      </c>
      <c r="CA227" s="3">
        <f>+IF(AVANCE[[#This Row],[OSB EXTERIOR]]=AM$2,100%,AVANCE[[#This Row],[OSB EXTERIOR]])</f>
        <v>0</v>
      </c>
      <c r="CB227" s="3">
        <f>+IF(AVANCE[[#This Row],[SMART PANEL]]=AN$2,100%,AVANCE[[#This Row],[SMART PANEL]])</f>
        <v>0</v>
      </c>
      <c r="CC227" s="3">
        <f>+IF(AVANCE[[#This Row],[PINTURA EXTERIOR]]=AO$2,100%,AVANCE[[#This Row],[PINTURA EXTERIOR]])</f>
        <v>0</v>
      </c>
      <c r="CD227" s="3">
        <f>+IF(AVANCE[[#This Row],[ZOCALOS LOGIA]]=AP$2,100%,AVANCE[[#This Row],[ZOCALOS LOGIA]])</f>
        <v>0</v>
      </c>
      <c r="CE227" s="3">
        <f>+IF(AVANCE[[#This Row],[MOLDURAS]]=AQ$2,100%,AVANCE[[#This Row],[MOLDURAS]])</f>
        <v>0</v>
      </c>
      <c r="CF227" s="3">
        <f>+IF(AVANCE[[#This Row],[PILASTREO]]=AR$2,100%,AVANCE[[#This Row],[PILASTREO]])</f>
        <v>0</v>
      </c>
      <c r="CG227" s="3">
        <f>+IF(AVANCE[[#This Row],[CELOSIAS]]=AS$2,100%,AVANCE[[#This Row],[CELOSIAS]])</f>
        <v>0</v>
      </c>
      <c r="CH227" s="3">
        <f>+IF(AVANCE[[#This Row],[VENTANAS]]=AT$2,100%,AVANCE[[#This Row],[VENTANAS]])</f>
        <v>0</v>
      </c>
      <c r="CI227" s="3">
        <f>+IF(AVANCE[[#This Row],[PUERTAS ACCESO - LOGIA - BANO]]=AU$2,100%,AVANCE[[#This Row],[PUERTAS ACCESO - LOGIA - BANO]])</f>
        <v>0</v>
      </c>
      <c r="CJ227" s="3">
        <f>+IF(AVANCE[[#This Row],[CERRADURAS]]=AV$2,100%,AVANCE[[#This Row],[CERRADURAS]])</f>
        <v>0</v>
      </c>
      <c r="CK227" s="3">
        <f>+IF(AVANCE[[#This Row],[REVESTIMIENTO INTERIOR ZONA SECA]]=AW$2,100%,AVANCE[[#This Row],[REVESTIMIENTO INTERIOR ZONA SECA]])</f>
        <v>0</v>
      </c>
      <c r="CL227" s="3">
        <f>+IF(AVANCE[[#This Row],[REVESTIMIENTO INTERIOR ZONAS HUMEDAS]]=AX$2,100%,AVANCE[[#This Row],[REVESTIMIENTO INTERIOR ZONAS HUMEDAS]])</f>
        <v>0</v>
      </c>
      <c r="CM227" s="3">
        <f>+IF(AVANCE[[#This Row],[MEMBRANA CIELO]]=AY$2,100%,AVANCE[[#This Row],[MEMBRANA CIELO]])</f>
        <v>0</v>
      </c>
      <c r="CN227" s="3">
        <f>+IF(AVANCE[[#This Row],[LIMPIEZA FINAL]]=AZ$2,100%,AVANCE[[#This Row],[LIMPIEZA FINAL]])</f>
        <v>0</v>
      </c>
      <c r="CO227" s="3">
        <f>+IF(AVANCE[[#This Row],[PUERTAS DORMITORIO]]=BA$2,100%,AVANCE[[#This Row],[PUERTAS DORMITORIO]])</f>
        <v>0</v>
      </c>
      <c r="CP227" s="3">
        <f>+IF(AVANCE[[#This Row],[REVESTIMIENTO INTERIOR BANO]]=BB$2,100%,AVANCE[[#This Row],[REVESTIMIENTO INTERIOR BANO]])</f>
        <v>0</v>
      </c>
      <c r="CQ227" s="3">
        <f>+IF(AVANCE[[#This Row],[MUEBLE LAVAPLATOS]]=BC$2,100%,AVANCE[[#This Row],[MUEBLE LAVAPLATOS]])</f>
        <v>0</v>
      </c>
      <c r="CR227" s="3">
        <f>+IF(AVANCE[[#This Row],[IMPERMEABILIZACION BANO - COCINA LOGIA]]=BD$2,100%,AVANCE[[#This Row],[IMPERMEABILIZACION BANO - COCINA LOGIA]])</f>
        <v>0</v>
      </c>
      <c r="CS227" s="40">
        <f ca="1">+IF(AVANCE[[#This Row],[ESTADO MODULO]]="PENDIENTE",(TODAY()-AVANCE[[#This Row],[FECHA TERMINO  PLANIFICADO]]),0)</f>
        <v>0</v>
      </c>
      <c r="CT227" s="41" t="str" cm="1">
        <f t="array" ref="CT227">_xlfn.TEXTJOIN(" | ",TRUE,IF(SUMPRODUCT((BG227:CR227&lt;1)*(PARTIDAS!$I$2:$AT$2="OBRA GRUESA"))&gt;0,"OBRA GRUESA: "&amp;_xlfn.TEXTJOIN(", ",TRUE,IF((BG227:CR227&lt;1)*(PARTIDAS!$I$2:$AT$2="OBRA GRUESA"),PARTIDAS!$I$1:$AT$1,"")),""),IF(SUMPRODUCT((BG227:CR227&lt;1)*(PARTIDAS!$I$2:$AT$2="SANITARIOS"))&gt;0,"SANITARIOS: "&amp;_xlfn.TEXTJOIN(", ",TRUE,IF((BG227:CR227&lt;1)*(PARTIDAS!$I$2:$AT$2="SANITARIOS"),PARTIDAS!$I$1:$AT$1,"")),""),IF(SUMPRODUCT((BG227:CR227&lt;1)*(PARTIDAS!$I$2:$AT$2="ELÉCTRICO"))&gt;0,"ELÉCTRICO: "&amp;_xlfn.TEXTJOIN(", ",TRUE,IF((BG227:CR227&lt;1)*(PARTIDAS!$I$2:$AT$2="ELÉCTRICO"),PARTIDAS!$I$1:$AT$1,"")),""),IF(SUMPRODUCT((BG227:CR227&lt;1)*(PARTIDAS!$I$2:$AT$2="TERMINACIONES"))&gt;0,"TERMINACIONES: "&amp;_xlfn.TEXTJOIN(", ",TRUE,IF((BG227:CR227&lt;1)*(PARTIDAS!$I$2:$AT$2="TERMINACIONES"),PARTIDAS!$I$1:$AT$1,"")),""))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7" s="43" t="str" cm="1">
        <f t="array" ref="CU227">_xlfn.TEXTJOIN(", ",TRUE,IF(SUMPRODUCT((BG227:CR227&lt;1)*(PARTIDAS!$I$2:$AT$2="OBRA GRUESA"))&gt;0,"OBRA GRUESA",""),IF(SUMPRODUCT((BG227:CR227&lt;1)*(PARTIDAS!$I$2:$AT$2="SANITARIOS"))&gt;0,"SANITARIOS",""),IF(SUMPRODUCT((BG227:CR227&lt;1)*(PARTIDAS!$I$2:$AT$2="ELÉCTRICO"))&gt;0,"ELÉCTRICO",""),IF(SUMPRODUCT((BG227:CR227&lt;1)*(PARTIDAS!$I$2:$AT$2="TERMINACIONES"))&gt;0,"TERMINACIONES",""))</f>
        <v>OBRA GRUESA, SANITARIOS, ELÉCTRICO, TERMINACIONES</v>
      </c>
      <c r="CV227" s="44" cm="1">
        <f t="array" ref="CV227">SUMPRODUCT(--(BG227:CR227&lt;1))</f>
        <v>38</v>
      </c>
    </row>
    <row r="228" spans="1:100" hidden="1" x14ac:dyDescent="0.25">
      <c r="A228" t="s">
        <v>289</v>
      </c>
      <c r="B228" t="s">
        <v>292</v>
      </c>
      <c r="C228">
        <v>2302600227</v>
      </c>
      <c r="D228" t="s">
        <v>60</v>
      </c>
      <c r="E228" s="2">
        <v>0</v>
      </c>
      <c r="F228" s="1">
        <v>46252</v>
      </c>
      <c r="G228" s="1"/>
      <c r="H228" s="1">
        <v>0</v>
      </c>
      <c r="I228" s="1">
        <v>46282</v>
      </c>
      <c r="J228">
        <v>46230</v>
      </c>
      <c r="K228" s="1"/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>
        <v>31.32</v>
      </c>
      <c r="BF228" s="3" t="str">
        <f>+IF(AVANCE[[#This Row],[% AVANCE]]=100%,"MODULO TERMINADO",IF(AVANCE[[#This Row],[FECHA INICIO REAL]]="","MODULO NO INICIADO","PENDIENTE"))</f>
        <v>MODULO NO INICIADO</v>
      </c>
      <c r="BG228" s="3">
        <f>+IF(AVANCE[[#This Row],[VENTANAS]]=8.10810810810811%,100%,AVANCE[[#This Row],[VENTANAS]])</f>
        <v>0</v>
      </c>
      <c r="BH228" s="3">
        <f>+IF(AVANCE[[#This Row],[PISO]]=N$2,100%,AVANCE[[#This Row],[PISO]])</f>
        <v>0</v>
      </c>
      <c r="BI228" s="3">
        <f>+IF(AVANCE[[#This Row],[TABIQUES]]=O$2,100%,AVANCE[[#This Row],[TABIQUES]])</f>
        <v>0</v>
      </c>
      <c r="BJ228" s="3">
        <f>+IF(AVANCE[[#This Row],[MUROS]]=P$2,100%,AVANCE[[#This Row],[MUROS]])</f>
        <v>0</v>
      </c>
      <c r="BK228" s="3">
        <f>+IF(AVANCE[[#This Row],[CIELO]]=Q$2,100%,AVANCE[[#This Row],[CIELO]])</f>
        <v>0</v>
      </c>
      <c r="BL228" s="3">
        <f>+IF(AVANCE[[#This Row],[BALCÓN]]=R$2,100%,AVANCE[[#This Row],[BALCÓN]])</f>
        <v>0</v>
      </c>
      <c r="BM228" s="3">
        <f>+IF(AVANCE[[#This Row],[RED ALCANTARILLADO]]=U$2,100%,AVANCE[[#This Row],[RED ALCANTARILLADO]])</f>
        <v>0</v>
      </c>
      <c r="BN228" s="3">
        <f>+IF(AVANCE[[#This Row],[RED DE AGUA]]=V$2,100%,AVANCE[[#This Row],[RED DE AGUA]])</f>
        <v>0</v>
      </c>
      <c r="BO228" s="3">
        <f>+IF(AVANCE[[#This Row],[VENTILACIONES]]=W$2,100%,AVANCE[[#This Row],[VENTILACIONES]])</f>
        <v>0</v>
      </c>
      <c r="BP228" s="3">
        <f>+IF(AVANCE[[#This Row],[TINA]]=X$2,100%,AVANCE[[#This Row],[TINA]])</f>
        <v>0</v>
      </c>
      <c r="BQ228" s="3">
        <f>+IF(AVANCE[[#This Row],[WC]]=Y$2,100%,AVANCE[[#This Row],[WC]])</f>
        <v>0</v>
      </c>
      <c r="BR228" s="3">
        <f>+IF(AVANCE[[#This Row],[LAVAMANOS / LAVAPLATOS / LAVADERO]]=Z$2,100%,AVANCE[[#This Row],[LAVAMANOS / LAVAPLATOS / LAVADERO]])</f>
        <v>0</v>
      </c>
      <c r="BS228" s="3">
        <f>+IF(AVANCE[[#This Row],[CANALIZACIÓN]]=AC$2,100%,AVANCE[[#This Row],[CANALIZACIÓN]])</f>
        <v>0</v>
      </c>
      <c r="BT228" s="3">
        <f>+IF(AVANCE[[#This Row],[CABLEADO]]=AD$2,100%,AVANCE[[#This Row],[CABLEADO]])</f>
        <v>0</v>
      </c>
      <c r="BU228" s="3">
        <f>+IF(AVANCE[[#This Row],[ARTEFACTOS]]=AE$2,100%,AVANCE[[#This Row],[ARTEFACTOS]])</f>
        <v>0</v>
      </c>
      <c r="BV228" s="3">
        <f>+IF(AVANCE[[#This Row],[TABLERO]]=AF$2,100%,AVANCE[[#This Row],[TABLERO]])</f>
        <v>0</v>
      </c>
      <c r="BW228" s="3">
        <f>+IF(AVANCE[[#This Row],[CAJA PAU]]=AG$2,100%,AVANCE[[#This Row],[CAJA PAU]])</f>
        <v>0</v>
      </c>
      <c r="BX228" s="3">
        <f>+IF(AVANCE[[#This Row],[INSTALACION VINILICO]]=AJ$2,100%,AVANCE[[#This Row],[INSTALACION VINILICO]])</f>
        <v>0</v>
      </c>
      <c r="BY228" s="3">
        <f>+IF(AVANCE[[#This Row],[OSB CUBIERTA]]=AK$2,100%,AVANCE[[#This Row],[OSB CUBIERTA]])</f>
        <v>0</v>
      </c>
      <c r="BZ228" s="3">
        <f>+IF(AVANCE[[#This Row],[BARANDA BALCON]]=AL$2,100%,AVANCE[[#This Row],[BARANDA BALCON]])</f>
        <v>0</v>
      </c>
      <c r="CA228" s="3">
        <f>+IF(AVANCE[[#This Row],[OSB EXTERIOR]]=AM$2,100%,AVANCE[[#This Row],[OSB EXTERIOR]])</f>
        <v>0</v>
      </c>
      <c r="CB228" s="3">
        <f>+IF(AVANCE[[#This Row],[SMART PANEL]]=AN$2,100%,AVANCE[[#This Row],[SMART PANEL]])</f>
        <v>0</v>
      </c>
      <c r="CC228" s="3">
        <f>+IF(AVANCE[[#This Row],[PINTURA EXTERIOR]]=AO$2,100%,AVANCE[[#This Row],[PINTURA EXTERIOR]])</f>
        <v>0</v>
      </c>
      <c r="CD228" s="3">
        <f>+IF(AVANCE[[#This Row],[ZOCALOS LOGIA]]=AP$2,100%,AVANCE[[#This Row],[ZOCALOS LOGIA]])</f>
        <v>0</v>
      </c>
      <c r="CE228" s="3">
        <f>+IF(AVANCE[[#This Row],[MOLDURAS]]=AQ$2,100%,AVANCE[[#This Row],[MOLDURAS]])</f>
        <v>0</v>
      </c>
      <c r="CF228" s="3">
        <f>+IF(AVANCE[[#This Row],[PILASTREO]]=AR$2,100%,AVANCE[[#This Row],[PILASTREO]])</f>
        <v>0</v>
      </c>
      <c r="CG228" s="3">
        <f>+IF(AVANCE[[#This Row],[CELOSIAS]]=AS$2,100%,AVANCE[[#This Row],[CELOSIAS]])</f>
        <v>0</v>
      </c>
      <c r="CH228" s="3">
        <f>+IF(AVANCE[[#This Row],[VENTANAS]]=AT$2,100%,AVANCE[[#This Row],[VENTANAS]])</f>
        <v>0</v>
      </c>
      <c r="CI228" s="3">
        <f>+IF(AVANCE[[#This Row],[PUERTAS ACCESO - LOGIA - BANO]]=AU$2,100%,AVANCE[[#This Row],[PUERTAS ACCESO - LOGIA - BANO]])</f>
        <v>0</v>
      </c>
      <c r="CJ228" s="3">
        <f>+IF(AVANCE[[#This Row],[CERRADURAS]]=AV$2,100%,AVANCE[[#This Row],[CERRADURAS]])</f>
        <v>0</v>
      </c>
      <c r="CK228" s="3">
        <f>+IF(AVANCE[[#This Row],[REVESTIMIENTO INTERIOR ZONA SECA]]=AW$2,100%,AVANCE[[#This Row],[REVESTIMIENTO INTERIOR ZONA SECA]])</f>
        <v>0</v>
      </c>
      <c r="CL228" s="3">
        <f>+IF(AVANCE[[#This Row],[REVESTIMIENTO INTERIOR ZONAS HUMEDAS]]=AX$2,100%,AVANCE[[#This Row],[REVESTIMIENTO INTERIOR ZONAS HUMEDAS]])</f>
        <v>0</v>
      </c>
      <c r="CM228" s="3">
        <f>+IF(AVANCE[[#This Row],[MEMBRANA CIELO]]=AY$2,100%,AVANCE[[#This Row],[MEMBRANA CIELO]])</f>
        <v>0</v>
      </c>
      <c r="CN228" s="3">
        <f>+IF(AVANCE[[#This Row],[LIMPIEZA FINAL]]=AZ$2,100%,AVANCE[[#This Row],[LIMPIEZA FINAL]])</f>
        <v>0</v>
      </c>
      <c r="CO228" s="3">
        <f>+IF(AVANCE[[#This Row],[PUERTAS DORMITORIO]]=BA$2,100%,AVANCE[[#This Row],[PUERTAS DORMITORIO]])</f>
        <v>0</v>
      </c>
      <c r="CP228" s="3">
        <f>+IF(AVANCE[[#This Row],[REVESTIMIENTO INTERIOR BANO]]=BB$2,100%,AVANCE[[#This Row],[REVESTIMIENTO INTERIOR BANO]])</f>
        <v>0</v>
      </c>
      <c r="CQ228" s="3">
        <f>+IF(AVANCE[[#This Row],[MUEBLE LAVAPLATOS]]=BC$2,100%,AVANCE[[#This Row],[MUEBLE LAVAPLATOS]])</f>
        <v>0</v>
      </c>
      <c r="CR228" s="3">
        <f>+IF(AVANCE[[#This Row],[IMPERMEABILIZACION BANO - COCINA LOGIA]]=BD$2,100%,AVANCE[[#This Row],[IMPERMEABILIZACION BANO - COCINA LOGIA]])</f>
        <v>0</v>
      </c>
      <c r="CS228" s="40">
        <f ca="1">+IF(AVANCE[[#This Row],[ESTADO MODULO]]="PENDIENTE",(TODAY()-AVANCE[[#This Row],[FECHA TERMINO  PLANIFICADO]]),0)</f>
        <v>0</v>
      </c>
      <c r="CT228" s="41" t="str" cm="1">
        <f t="array" ref="CT228">_xlfn.TEXTJOIN(" | ",TRUE,IF(SUMPRODUCT((BG228:CR228&lt;1)*(PARTIDAS!$I$2:$AT$2="OBRA GRUESA"))&gt;0,"OBRA GRUESA: "&amp;_xlfn.TEXTJOIN(", ",TRUE,IF((BG228:CR228&lt;1)*(PARTIDAS!$I$2:$AT$2="OBRA GRUESA"),PARTIDAS!$I$1:$AT$1,"")),""),IF(SUMPRODUCT((BG228:CR228&lt;1)*(PARTIDAS!$I$2:$AT$2="SANITARIOS"))&gt;0,"SANITARIOS: "&amp;_xlfn.TEXTJOIN(", ",TRUE,IF((BG228:CR228&lt;1)*(PARTIDAS!$I$2:$AT$2="SANITARIOS"),PARTIDAS!$I$1:$AT$1,"")),""),IF(SUMPRODUCT((BG228:CR228&lt;1)*(PARTIDAS!$I$2:$AT$2="ELÉCTRICO"))&gt;0,"ELÉCTRICO: "&amp;_xlfn.TEXTJOIN(", ",TRUE,IF((BG228:CR228&lt;1)*(PARTIDAS!$I$2:$AT$2="ELÉCTRICO"),PARTIDAS!$I$1:$AT$1,"")),""),IF(SUMPRODUCT((BG228:CR228&lt;1)*(PARTIDAS!$I$2:$AT$2="TERMINACIONES"))&gt;0,"TERMINACIONES: "&amp;_xlfn.TEXTJOIN(", ",TRUE,IF((BG228:CR228&lt;1)*(PARTIDAS!$I$2:$AT$2="TERMINACIONES"),PARTIDAS!$I$1:$AT$1,"")),""))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8" s="43" t="str" cm="1">
        <f t="array" ref="CU228">_xlfn.TEXTJOIN(", ",TRUE,IF(SUMPRODUCT((BG228:CR228&lt;1)*(PARTIDAS!$I$2:$AT$2="OBRA GRUESA"))&gt;0,"OBRA GRUESA",""),IF(SUMPRODUCT((BG228:CR228&lt;1)*(PARTIDAS!$I$2:$AT$2="SANITARIOS"))&gt;0,"SANITARIOS",""),IF(SUMPRODUCT((BG228:CR228&lt;1)*(PARTIDAS!$I$2:$AT$2="ELÉCTRICO"))&gt;0,"ELÉCTRICO",""),IF(SUMPRODUCT((BG228:CR228&lt;1)*(PARTIDAS!$I$2:$AT$2="TERMINACIONES"))&gt;0,"TERMINACIONES",""))</f>
        <v>OBRA GRUESA, SANITARIOS, ELÉCTRICO, TERMINACIONES</v>
      </c>
      <c r="CV228" s="44" cm="1">
        <f t="array" ref="CV228">SUMPRODUCT(--(BG228:CR228&lt;1))</f>
        <v>38</v>
      </c>
    </row>
    <row r="229" spans="1:100" hidden="1" x14ac:dyDescent="0.25">
      <c r="A229" t="s">
        <v>289</v>
      </c>
      <c r="B229" t="s">
        <v>293</v>
      </c>
      <c r="C229">
        <v>2282600228</v>
      </c>
      <c r="D229" t="s">
        <v>58</v>
      </c>
      <c r="E229" s="2">
        <v>0</v>
      </c>
      <c r="F229" s="1">
        <v>46252</v>
      </c>
      <c r="G229" s="1"/>
      <c r="H229" s="1">
        <v>0</v>
      </c>
      <c r="I229" s="1">
        <v>46272</v>
      </c>
      <c r="J229">
        <v>46230</v>
      </c>
      <c r="K229" s="1"/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>
        <v>28.87</v>
      </c>
      <c r="BF229" s="3" t="str">
        <f>+IF(AVANCE[[#This Row],[% AVANCE]]=100%,"MODULO TERMINADO",IF(AVANCE[[#This Row],[FECHA INICIO REAL]]="","MODULO NO INICIADO","PENDIENTE"))</f>
        <v>MODULO NO INICIADO</v>
      </c>
      <c r="BG229" s="3">
        <f>+IF(AVANCE[[#This Row],[VENTANAS]]=8.10810810810811%,100%,AVANCE[[#This Row],[VENTANAS]])</f>
        <v>0</v>
      </c>
      <c r="BH229" s="3">
        <f>+IF(AVANCE[[#This Row],[PISO]]=N$2,100%,AVANCE[[#This Row],[PISO]])</f>
        <v>0</v>
      </c>
      <c r="BI229" s="3">
        <f>+IF(AVANCE[[#This Row],[TABIQUES]]=O$2,100%,AVANCE[[#This Row],[TABIQUES]])</f>
        <v>0</v>
      </c>
      <c r="BJ229" s="3">
        <f>+IF(AVANCE[[#This Row],[MUROS]]=P$2,100%,AVANCE[[#This Row],[MUROS]])</f>
        <v>0</v>
      </c>
      <c r="BK229" s="3">
        <f>+IF(AVANCE[[#This Row],[CIELO]]=Q$2,100%,AVANCE[[#This Row],[CIELO]])</f>
        <v>0</v>
      </c>
      <c r="BL229" s="3">
        <f>+IF(AVANCE[[#This Row],[BALCÓN]]=R$2,100%,AVANCE[[#This Row],[BALCÓN]])</f>
        <v>0</v>
      </c>
      <c r="BM229" s="3">
        <f>+IF(AVANCE[[#This Row],[RED ALCANTARILLADO]]=U$2,100%,AVANCE[[#This Row],[RED ALCANTARILLADO]])</f>
        <v>0</v>
      </c>
      <c r="BN229" s="3">
        <f>+IF(AVANCE[[#This Row],[RED DE AGUA]]=V$2,100%,AVANCE[[#This Row],[RED DE AGUA]])</f>
        <v>0</v>
      </c>
      <c r="BO229" s="3">
        <f>+IF(AVANCE[[#This Row],[VENTILACIONES]]=W$2,100%,AVANCE[[#This Row],[VENTILACIONES]])</f>
        <v>0</v>
      </c>
      <c r="BP229" s="3">
        <f>+IF(AVANCE[[#This Row],[TINA]]=X$2,100%,AVANCE[[#This Row],[TINA]])</f>
        <v>0</v>
      </c>
      <c r="BQ229" s="3">
        <f>+IF(AVANCE[[#This Row],[WC]]=Y$2,100%,AVANCE[[#This Row],[WC]])</f>
        <v>0</v>
      </c>
      <c r="BR229" s="3">
        <f>+IF(AVANCE[[#This Row],[LAVAMANOS / LAVAPLATOS / LAVADERO]]=Z$2,100%,AVANCE[[#This Row],[LAVAMANOS / LAVAPLATOS / LAVADERO]])</f>
        <v>0</v>
      </c>
      <c r="BS229" s="3">
        <f>+IF(AVANCE[[#This Row],[CANALIZACIÓN]]=AC$2,100%,AVANCE[[#This Row],[CANALIZACIÓN]])</f>
        <v>0</v>
      </c>
      <c r="BT229" s="3">
        <f>+IF(AVANCE[[#This Row],[CABLEADO]]=AD$2,100%,AVANCE[[#This Row],[CABLEADO]])</f>
        <v>0</v>
      </c>
      <c r="BU229" s="3">
        <f>+IF(AVANCE[[#This Row],[ARTEFACTOS]]=AE$2,100%,AVANCE[[#This Row],[ARTEFACTOS]])</f>
        <v>0</v>
      </c>
      <c r="BV229" s="3">
        <f>+IF(AVANCE[[#This Row],[TABLERO]]=AF$2,100%,AVANCE[[#This Row],[TABLERO]])</f>
        <v>0</v>
      </c>
      <c r="BW229" s="3">
        <f>+IF(AVANCE[[#This Row],[CAJA PAU]]=AG$2,100%,AVANCE[[#This Row],[CAJA PAU]])</f>
        <v>0</v>
      </c>
      <c r="BX229" s="3">
        <f>+IF(AVANCE[[#This Row],[INSTALACION VINILICO]]=AJ$2,100%,AVANCE[[#This Row],[INSTALACION VINILICO]])</f>
        <v>0</v>
      </c>
      <c r="BY229" s="3">
        <f>+IF(AVANCE[[#This Row],[OSB CUBIERTA]]=AK$2,100%,AVANCE[[#This Row],[OSB CUBIERTA]])</f>
        <v>0</v>
      </c>
      <c r="BZ229" s="3">
        <f>+IF(AVANCE[[#This Row],[BARANDA BALCON]]=AL$2,100%,AVANCE[[#This Row],[BARANDA BALCON]])</f>
        <v>0</v>
      </c>
      <c r="CA229" s="3">
        <f>+IF(AVANCE[[#This Row],[OSB EXTERIOR]]=AM$2,100%,AVANCE[[#This Row],[OSB EXTERIOR]])</f>
        <v>0</v>
      </c>
      <c r="CB229" s="3">
        <f>+IF(AVANCE[[#This Row],[SMART PANEL]]=AN$2,100%,AVANCE[[#This Row],[SMART PANEL]])</f>
        <v>0</v>
      </c>
      <c r="CC229" s="3">
        <f>+IF(AVANCE[[#This Row],[PINTURA EXTERIOR]]=AO$2,100%,AVANCE[[#This Row],[PINTURA EXTERIOR]])</f>
        <v>0</v>
      </c>
      <c r="CD229" s="3">
        <f>+IF(AVANCE[[#This Row],[ZOCALOS LOGIA]]=AP$2,100%,AVANCE[[#This Row],[ZOCALOS LOGIA]])</f>
        <v>0</v>
      </c>
      <c r="CE229" s="3">
        <f>+IF(AVANCE[[#This Row],[MOLDURAS]]=AQ$2,100%,AVANCE[[#This Row],[MOLDURAS]])</f>
        <v>0</v>
      </c>
      <c r="CF229" s="3">
        <f>+IF(AVANCE[[#This Row],[PILASTREO]]=AR$2,100%,AVANCE[[#This Row],[PILASTREO]])</f>
        <v>0</v>
      </c>
      <c r="CG229" s="3">
        <f>+IF(AVANCE[[#This Row],[CELOSIAS]]=AS$2,100%,AVANCE[[#This Row],[CELOSIAS]])</f>
        <v>0</v>
      </c>
      <c r="CH229" s="3">
        <f>+IF(AVANCE[[#This Row],[VENTANAS]]=AT$2,100%,AVANCE[[#This Row],[VENTANAS]])</f>
        <v>0</v>
      </c>
      <c r="CI229" s="3">
        <f>+IF(AVANCE[[#This Row],[PUERTAS ACCESO - LOGIA - BANO]]=AU$2,100%,AVANCE[[#This Row],[PUERTAS ACCESO - LOGIA - BANO]])</f>
        <v>0</v>
      </c>
      <c r="CJ229" s="3">
        <f>+IF(AVANCE[[#This Row],[CERRADURAS]]=AV$2,100%,AVANCE[[#This Row],[CERRADURAS]])</f>
        <v>0</v>
      </c>
      <c r="CK229" s="3">
        <f>+IF(AVANCE[[#This Row],[REVESTIMIENTO INTERIOR ZONA SECA]]=AW$2,100%,AVANCE[[#This Row],[REVESTIMIENTO INTERIOR ZONA SECA]])</f>
        <v>0</v>
      </c>
      <c r="CL229" s="3">
        <f>+IF(AVANCE[[#This Row],[REVESTIMIENTO INTERIOR ZONAS HUMEDAS]]=AX$2,100%,AVANCE[[#This Row],[REVESTIMIENTO INTERIOR ZONAS HUMEDAS]])</f>
        <v>0</v>
      </c>
      <c r="CM229" s="3">
        <f>+IF(AVANCE[[#This Row],[MEMBRANA CIELO]]=AY$2,100%,AVANCE[[#This Row],[MEMBRANA CIELO]])</f>
        <v>0</v>
      </c>
      <c r="CN229" s="3">
        <f>+IF(AVANCE[[#This Row],[LIMPIEZA FINAL]]=AZ$2,100%,AVANCE[[#This Row],[LIMPIEZA FINAL]])</f>
        <v>0</v>
      </c>
      <c r="CO229" s="3">
        <f>+IF(AVANCE[[#This Row],[PUERTAS DORMITORIO]]=BA$2,100%,AVANCE[[#This Row],[PUERTAS DORMITORIO]])</f>
        <v>0</v>
      </c>
      <c r="CP229" s="3">
        <f>+IF(AVANCE[[#This Row],[REVESTIMIENTO INTERIOR BANO]]=BB$2,100%,AVANCE[[#This Row],[REVESTIMIENTO INTERIOR BANO]])</f>
        <v>0</v>
      </c>
      <c r="CQ229" s="3">
        <f>+IF(AVANCE[[#This Row],[MUEBLE LAVAPLATOS]]=BC$2,100%,AVANCE[[#This Row],[MUEBLE LAVAPLATOS]])</f>
        <v>0</v>
      </c>
      <c r="CR229" s="3">
        <f>+IF(AVANCE[[#This Row],[IMPERMEABILIZACION BANO - COCINA LOGIA]]=BD$2,100%,AVANCE[[#This Row],[IMPERMEABILIZACION BANO - COCINA LOGIA]])</f>
        <v>0</v>
      </c>
      <c r="CS229" s="40">
        <f ca="1">+IF(AVANCE[[#This Row],[ESTADO MODULO]]="PENDIENTE",(TODAY()-AVANCE[[#This Row],[FECHA TERMINO  PLANIFICADO]]),0)</f>
        <v>0</v>
      </c>
      <c r="CT229" s="41" t="str" cm="1">
        <f t="array" ref="CT229">_xlfn.TEXTJOIN(" | ",TRUE,IF(SUMPRODUCT((BG229:CR229&lt;1)*(PARTIDAS!$I$2:$AT$2="OBRA GRUESA"))&gt;0,"OBRA GRUESA: "&amp;_xlfn.TEXTJOIN(", ",TRUE,IF((BG229:CR229&lt;1)*(PARTIDAS!$I$2:$AT$2="OBRA GRUESA"),PARTIDAS!$I$1:$AT$1,"")),""),IF(SUMPRODUCT((BG229:CR229&lt;1)*(PARTIDAS!$I$2:$AT$2="SANITARIOS"))&gt;0,"SANITARIOS: "&amp;_xlfn.TEXTJOIN(", ",TRUE,IF((BG229:CR229&lt;1)*(PARTIDAS!$I$2:$AT$2="SANITARIOS"),PARTIDAS!$I$1:$AT$1,"")),""),IF(SUMPRODUCT((BG229:CR229&lt;1)*(PARTIDAS!$I$2:$AT$2="ELÉCTRICO"))&gt;0,"ELÉCTRICO: "&amp;_xlfn.TEXTJOIN(", ",TRUE,IF((BG229:CR229&lt;1)*(PARTIDAS!$I$2:$AT$2="ELÉCTRICO"),PARTIDAS!$I$1:$AT$1,"")),""),IF(SUMPRODUCT((BG229:CR229&lt;1)*(PARTIDAS!$I$2:$AT$2="TERMINACIONES"))&gt;0,"TERMINACIONES: "&amp;_xlfn.TEXTJOIN(", ",TRUE,IF((BG229:CR229&lt;1)*(PARTIDAS!$I$2:$AT$2="TERMINACIONES"),PARTIDAS!$I$1:$AT$1,"")),""))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29" s="43" t="str" cm="1">
        <f t="array" ref="CU229">_xlfn.TEXTJOIN(", ",TRUE,IF(SUMPRODUCT((BG229:CR229&lt;1)*(PARTIDAS!$I$2:$AT$2="OBRA GRUESA"))&gt;0,"OBRA GRUESA",""),IF(SUMPRODUCT((BG229:CR229&lt;1)*(PARTIDAS!$I$2:$AT$2="SANITARIOS"))&gt;0,"SANITARIOS",""),IF(SUMPRODUCT((BG229:CR229&lt;1)*(PARTIDAS!$I$2:$AT$2="ELÉCTRICO"))&gt;0,"ELÉCTRICO",""),IF(SUMPRODUCT((BG229:CR229&lt;1)*(PARTIDAS!$I$2:$AT$2="TERMINACIONES"))&gt;0,"TERMINACIONES",""))</f>
        <v>OBRA GRUESA, SANITARIOS, ELÉCTRICO, TERMINACIONES</v>
      </c>
      <c r="CV229" s="44" cm="1">
        <f t="array" ref="CV229">SUMPRODUCT(--(BG229:CR229&lt;1))</f>
        <v>38</v>
      </c>
    </row>
    <row r="230" spans="1:100" hidden="1" x14ac:dyDescent="0.25">
      <c r="A230" t="s">
        <v>289</v>
      </c>
      <c r="B230" t="s">
        <v>294</v>
      </c>
      <c r="C230">
        <v>2282600229</v>
      </c>
      <c r="D230" t="s">
        <v>58</v>
      </c>
      <c r="E230" s="2">
        <v>0</v>
      </c>
      <c r="F230" s="1">
        <v>46253</v>
      </c>
      <c r="G230" s="1"/>
      <c r="H230" s="1">
        <v>0</v>
      </c>
      <c r="I230" s="1">
        <v>46273</v>
      </c>
      <c r="J230">
        <v>46230</v>
      </c>
      <c r="K230" s="1"/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>
        <v>28.87</v>
      </c>
      <c r="BF230" s="3" t="str">
        <f>+IF(AVANCE[[#This Row],[% AVANCE]]=100%,"MODULO TERMINADO",IF(AVANCE[[#This Row],[FECHA INICIO REAL]]="","MODULO NO INICIADO","PENDIENTE"))</f>
        <v>MODULO NO INICIADO</v>
      </c>
      <c r="BG230" s="3">
        <f>+IF(AVANCE[[#This Row],[VENTANAS]]=8.10810810810811%,100%,AVANCE[[#This Row],[VENTANAS]])</f>
        <v>0</v>
      </c>
      <c r="BH230" s="3">
        <f>+IF(AVANCE[[#This Row],[PISO]]=N$2,100%,AVANCE[[#This Row],[PISO]])</f>
        <v>0</v>
      </c>
      <c r="BI230" s="3">
        <f>+IF(AVANCE[[#This Row],[TABIQUES]]=O$2,100%,AVANCE[[#This Row],[TABIQUES]])</f>
        <v>0</v>
      </c>
      <c r="BJ230" s="3">
        <f>+IF(AVANCE[[#This Row],[MUROS]]=P$2,100%,AVANCE[[#This Row],[MUROS]])</f>
        <v>0</v>
      </c>
      <c r="BK230" s="3">
        <f>+IF(AVANCE[[#This Row],[CIELO]]=Q$2,100%,AVANCE[[#This Row],[CIELO]])</f>
        <v>0</v>
      </c>
      <c r="BL230" s="3">
        <f>+IF(AVANCE[[#This Row],[BALCÓN]]=R$2,100%,AVANCE[[#This Row],[BALCÓN]])</f>
        <v>0</v>
      </c>
      <c r="BM230" s="3">
        <f>+IF(AVANCE[[#This Row],[RED ALCANTARILLADO]]=U$2,100%,AVANCE[[#This Row],[RED ALCANTARILLADO]])</f>
        <v>0</v>
      </c>
      <c r="BN230" s="3">
        <f>+IF(AVANCE[[#This Row],[RED DE AGUA]]=V$2,100%,AVANCE[[#This Row],[RED DE AGUA]])</f>
        <v>0</v>
      </c>
      <c r="BO230" s="3">
        <f>+IF(AVANCE[[#This Row],[VENTILACIONES]]=W$2,100%,AVANCE[[#This Row],[VENTILACIONES]])</f>
        <v>0</v>
      </c>
      <c r="BP230" s="3">
        <f>+IF(AVANCE[[#This Row],[TINA]]=X$2,100%,AVANCE[[#This Row],[TINA]])</f>
        <v>0</v>
      </c>
      <c r="BQ230" s="3">
        <f>+IF(AVANCE[[#This Row],[WC]]=Y$2,100%,AVANCE[[#This Row],[WC]])</f>
        <v>0</v>
      </c>
      <c r="BR230" s="3">
        <f>+IF(AVANCE[[#This Row],[LAVAMANOS / LAVAPLATOS / LAVADERO]]=Z$2,100%,AVANCE[[#This Row],[LAVAMANOS / LAVAPLATOS / LAVADERO]])</f>
        <v>0</v>
      </c>
      <c r="BS230" s="3">
        <f>+IF(AVANCE[[#This Row],[CANALIZACIÓN]]=AC$2,100%,AVANCE[[#This Row],[CANALIZACIÓN]])</f>
        <v>0</v>
      </c>
      <c r="BT230" s="3">
        <f>+IF(AVANCE[[#This Row],[CABLEADO]]=AD$2,100%,AVANCE[[#This Row],[CABLEADO]])</f>
        <v>0</v>
      </c>
      <c r="BU230" s="3">
        <f>+IF(AVANCE[[#This Row],[ARTEFACTOS]]=AE$2,100%,AVANCE[[#This Row],[ARTEFACTOS]])</f>
        <v>0</v>
      </c>
      <c r="BV230" s="3">
        <f>+IF(AVANCE[[#This Row],[TABLERO]]=AF$2,100%,AVANCE[[#This Row],[TABLERO]])</f>
        <v>0</v>
      </c>
      <c r="BW230" s="3">
        <f>+IF(AVANCE[[#This Row],[CAJA PAU]]=AG$2,100%,AVANCE[[#This Row],[CAJA PAU]])</f>
        <v>0</v>
      </c>
      <c r="BX230" s="3">
        <f>+IF(AVANCE[[#This Row],[INSTALACION VINILICO]]=AJ$2,100%,AVANCE[[#This Row],[INSTALACION VINILICO]])</f>
        <v>0</v>
      </c>
      <c r="BY230" s="3">
        <f>+IF(AVANCE[[#This Row],[OSB CUBIERTA]]=AK$2,100%,AVANCE[[#This Row],[OSB CUBIERTA]])</f>
        <v>0</v>
      </c>
      <c r="BZ230" s="3">
        <f>+IF(AVANCE[[#This Row],[BARANDA BALCON]]=AL$2,100%,AVANCE[[#This Row],[BARANDA BALCON]])</f>
        <v>0</v>
      </c>
      <c r="CA230" s="3">
        <f>+IF(AVANCE[[#This Row],[OSB EXTERIOR]]=AM$2,100%,AVANCE[[#This Row],[OSB EXTERIOR]])</f>
        <v>0</v>
      </c>
      <c r="CB230" s="3">
        <f>+IF(AVANCE[[#This Row],[SMART PANEL]]=AN$2,100%,AVANCE[[#This Row],[SMART PANEL]])</f>
        <v>0</v>
      </c>
      <c r="CC230" s="3">
        <f>+IF(AVANCE[[#This Row],[PINTURA EXTERIOR]]=AO$2,100%,AVANCE[[#This Row],[PINTURA EXTERIOR]])</f>
        <v>0</v>
      </c>
      <c r="CD230" s="3">
        <f>+IF(AVANCE[[#This Row],[ZOCALOS LOGIA]]=AP$2,100%,AVANCE[[#This Row],[ZOCALOS LOGIA]])</f>
        <v>0</v>
      </c>
      <c r="CE230" s="3">
        <f>+IF(AVANCE[[#This Row],[MOLDURAS]]=AQ$2,100%,AVANCE[[#This Row],[MOLDURAS]])</f>
        <v>0</v>
      </c>
      <c r="CF230" s="3">
        <f>+IF(AVANCE[[#This Row],[PILASTREO]]=AR$2,100%,AVANCE[[#This Row],[PILASTREO]])</f>
        <v>0</v>
      </c>
      <c r="CG230" s="3">
        <f>+IF(AVANCE[[#This Row],[CELOSIAS]]=AS$2,100%,AVANCE[[#This Row],[CELOSIAS]])</f>
        <v>0</v>
      </c>
      <c r="CH230" s="3">
        <f>+IF(AVANCE[[#This Row],[VENTANAS]]=AT$2,100%,AVANCE[[#This Row],[VENTANAS]])</f>
        <v>0</v>
      </c>
      <c r="CI230" s="3">
        <f>+IF(AVANCE[[#This Row],[PUERTAS ACCESO - LOGIA - BANO]]=AU$2,100%,AVANCE[[#This Row],[PUERTAS ACCESO - LOGIA - BANO]])</f>
        <v>0</v>
      </c>
      <c r="CJ230" s="3">
        <f>+IF(AVANCE[[#This Row],[CERRADURAS]]=AV$2,100%,AVANCE[[#This Row],[CERRADURAS]])</f>
        <v>0</v>
      </c>
      <c r="CK230" s="3">
        <f>+IF(AVANCE[[#This Row],[REVESTIMIENTO INTERIOR ZONA SECA]]=AW$2,100%,AVANCE[[#This Row],[REVESTIMIENTO INTERIOR ZONA SECA]])</f>
        <v>0</v>
      </c>
      <c r="CL230" s="3">
        <f>+IF(AVANCE[[#This Row],[REVESTIMIENTO INTERIOR ZONAS HUMEDAS]]=AX$2,100%,AVANCE[[#This Row],[REVESTIMIENTO INTERIOR ZONAS HUMEDAS]])</f>
        <v>0</v>
      </c>
      <c r="CM230" s="3">
        <f>+IF(AVANCE[[#This Row],[MEMBRANA CIELO]]=AY$2,100%,AVANCE[[#This Row],[MEMBRANA CIELO]])</f>
        <v>0</v>
      </c>
      <c r="CN230" s="3">
        <f>+IF(AVANCE[[#This Row],[LIMPIEZA FINAL]]=AZ$2,100%,AVANCE[[#This Row],[LIMPIEZA FINAL]])</f>
        <v>0</v>
      </c>
      <c r="CO230" s="3">
        <f>+IF(AVANCE[[#This Row],[PUERTAS DORMITORIO]]=BA$2,100%,AVANCE[[#This Row],[PUERTAS DORMITORIO]])</f>
        <v>0</v>
      </c>
      <c r="CP230" s="3">
        <f>+IF(AVANCE[[#This Row],[REVESTIMIENTO INTERIOR BANO]]=BB$2,100%,AVANCE[[#This Row],[REVESTIMIENTO INTERIOR BANO]])</f>
        <v>0</v>
      </c>
      <c r="CQ230" s="3">
        <f>+IF(AVANCE[[#This Row],[MUEBLE LAVAPLATOS]]=BC$2,100%,AVANCE[[#This Row],[MUEBLE LAVAPLATOS]])</f>
        <v>0</v>
      </c>
      <c r="CR230" s="3">
        <f>+IF(AVANCE[[#This Row],[IMPERMEABILIZACION BANO - COCINA LOGIA]]=BD$2,100%,AVANCE[[#This Row],[IMPERMEABILIZACION BANO - COCINA LOGIA]])</f>
        <v>0</v>
      </c>
      <c r="CS230" s="40">
        <f ca="1">+IF(AVANCE[[#This Row],[ESTADO MODULO]]="PENDIENTE",(TODAY()-AVANCE[[#This Row],[FECHA TERMINO  PLANIFICADO]]),0)</f>
        <v>0</v>
      </c>
      <c r="CT230" s="41" t="str" cm="1">
        <f t="array" ref="CT230">_xlfn.TEXTJOIN(" | ",TRUE,IF(SUMPRODUCT((BG230:CR230&lt;1)*(PARTIDAS!$I$2:$AT$2="OBRA GRUESA"))&gt;0,"OBRA GRUESA: "&amp;_xlfn.TEXTJOIN(", ",TRUE,IF((BG230:CR230&lt;1)*(PARTIDAS!$I$2:$AT$2="OBRA GRUESA"),PARTIDAS!$I$1:$AT$1,"")),""),IF(SUMPRODUCT((BG230:CR230&lt;1)*(PARTIDAS!$I$2:$AT$2="SANITARIOS"))&gt;0,"SANITARIOS: "&amp;_xlfn.TEXTJOIN(", ",TRUE,IF((BG230:CR230&lt;1)*(PARTIDAS!$I$2:$AT$2="SANITARIOS"),PARTIDAS!$I$1:$AT$1,"")),""),IF(SUMPRODUCT((BG230:CR230&lt;1)*(PARTIDAS!$I$2:$AT$2="ELÉCTRICO"))&gt;0,"ELÉCTRICO: "&amp;_xlfn.TEXTJOIN(", ",TRUE,IF((BG230:CR230&lt;1)*(PARTIDAS!$I$2:$AT$2="ELÉCTRICO"),PARTIDAS!$I$1:$AT$1,"")),""),IF(SUMPRODUCT((BG230:CR230&lt;1)*(PARTIDAS!$I$2:$AT$2="TERMINACIONES"))&gt;0,"TERMINACIONES: "&amp;_xlfn.TEXTJOIN(", ",TRUE,IF((BG230:CR230&lt;1)*(PARTIDAS!$I$2:$AT$2="TERMINACIONES"),PARTIDAS!$I$1:$AT$1,"")),""))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0" s="43" t="str" cm="1">
        <f t="array" ref="CU230">_xlfn.TEXTJOIN(", ",TRUE,IF(SUMPRODUCT((BG230:CR230&lt;1)*(PARTIDAS!$I$2:$AT$2="OBRA GRUESA"))&gt;0,"OBRA GRUESA",""),IF(SUMPRODUCT((BG230:CR230&lt;1)*(PARTIDAS!$I$2:$AT$2="SANITARIOS"))&gt;0,"SANITARIOS",""),IF(SUMPRODUCT((BG230:CR230&lt;1)*(PARTIDAS!$I$2:$AT$2="ELÉCTRICO"))&gt;0,"ELÉCTRICO",""),IF(SUMPRODUCT((BG230:CR230&lt;1)*(PARTIDAS!$I$2:$AT$2="TERMINACIONES"))&gt;0,"TERMINACIONES",""))</f>
        <v>OBRA GRUESA, SANITARIOS, ELÉCTRICO, TERMINACIONES</v>
      </c>
      <c r="CV230" s="44" cm="1">
        <f t="array" ref="CV230">SUMPRODUCT(--(BG230:CR230&lt;1))</f>
        <v>38</v>
      </c>
    </row>
    <row r="231" spans="1:100" hidden="1" x14ac:dyDescent="0.25">
      <c r="A231" t="s">
        <v>289</v>
      </c>
      <c r="B231" t="s">
        <v>295</v>
      </c>
      <c r="C231">
        <v>2302600230</v>
      </c>
      <c r="D231" t="s">
        <v>60</v>
      </c>
      <c r="E231" s="2">
        <v>0</v>
      </c>
      <c r="F231" s="1">
        <v>46253</v>
      </c>
      <c r="G231" s="1"/>
      <c r="H231" s="1">
        <v>0</v>
      </c>
      <c r="I231" s="1">
        <v>46283</v>
      </c>
      <c r="J231">
        <v>46230</v>
      </c>
      <c r="K231" s="1"/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>
        <v>31.32</v>
      </c>
      <c r="BF231" s="3" t="str">
        <f>+IF(AVANCE[[#This Row],[% AVANCE]]=100%,"MODULO TERMINADO",IF(AVANCE[[#This Row],[FECHA INICIO REAL]]="","MODULO NO INICIADO","PENDIENTE"))</f>
        <v>MODULO NO INICIADO</v>
      </c>
      <c r="BG231" s="3">
        <f>+IF(AVANCE[[#This Row],[VENTANAS]]=8.10810810810811%,100%,AVANCE[[#This Row],[VENTANAS]])</f>
        <v>0</v>
      </c>
      <c r="BH231" s="3">
        <f>+IF(AVANCE[[#This Row],[PISO]]=N$2,100%,AVANCE[[#This Row],[PISO]])</f>
        <v>0</v>
      </c>
      <c r="BI231" s="3">
        <f>+IF(AVANCE[[#This Row],[TABIQUES]]=O$2,100%,AVANCE[[#This Row],[TABIQUES]])</f>
        <v>0</v>
      </c>
      <c r="BJ231" s="3">
        <f>+IF(AVANCE[[#This Row],[MUROS]]=P$2,100%,AVANCE[[#This Row],[MUROS]])</f>
        <v>0</v>
      </c>
      <c r="BK231" s="3">
        <f>+IF(AVANCE[[#This Row],[CIELO]]=Q$2,100%,AVANCE[[#This Row],[CIELO]])</f>
        <v>0</v>
      </c>
      <c r="BL231" s="3">
        <f>+IF(AVANCE[[#This Row],[BALCÓN]]=R$2,100%,AVANCE[[#This Row],[BALCÓN]])</f>
        <v>0</v>
      </c>
      <c r="BM231" s="3">
        <f>+IF(AVANCE[[#This Row],[RED ALCANTARILLADO]]=U$2,100%,AVANCE[[#This Row],[RED ALCANTARILLADO]])</f>
        <v>0</v>
      </c>
      <c r="BN231" s="3">
        <f>+IF(AVANCE[[#This Row],[RED DE AGUA]]=V$2,100%,AVANCE[[#This Row],[RED DE AGUA]])</f>
        <v>0</v>
      </c>
      <c r="BO231" s="3">
        <f>+IF(AVANCE[[#This Row],[VENTILACIONES]]=W$2,100%,AVANCE[[#This Row],[VENTILACIONES]])</f>
        <v>0</v>
      </c>
      <c r="BP231" s="3">
        <f>+IF(AVANCE[[#This Row],[TINA]]=X$2,100%,AVANCE[[#This Row],[TINA]])</f>
        <v>0</v>
      </c>
      <c r="BQ231" s="3">
        <f>+IF(AVANCE[[#This Row],[WC]]=Y$2,100%,AVANCE[[#This Row],[WC]])</f>
        <v>0</v>
      </c>
      <c r="BR231" s="3">
        <f>+IF(AVANCE[[#This Row],[LAVAMANOS / LAVAPLATOS / LAVADERO]]=Z$2,100%,AVANCE[[#This Row],[LAVAMANOS / LAVAPLATOS / LAVADERO]])</f>
        <v>0</v>
      </c>
      <c r="BS231" s="3">
        <f>+IF(AVANCE[[#This Row],[CANALIZACIÓN]]=AC$2,100%,AVANCE[[#This Row],[CANALIZACIÓN]])</f>
        <v>0</v>
      </c>
      <c r="BT231" s="3">
        <f>+IF(AVANCE[[#This Row],[CABLEADO]]=AD$2,100%,AVANCE[[#This Row],[CABLEADO]])</f>
        <v>0</v>
      </c>
      <c r="BU231" s="3">
        <f>+IF(AVANCE[[#This Row],[ARTEFACTOS]]=AE$2,100%,AVANCE[[#This Row],[ARTEFACTOS]])</f>
        <v>0</v>
      </c>
      <c r="BV231" s="3">
        <f>+IF(AVANCE[[#This Row],[TABLERO]]=AF$2,100%,AVANCE[[#This Row],[TABLERO]])</f>
        <v>0</v>
      </c>
      <c r="BW231" s="3">
        <f>+IF(AVANCE[[#This Row],[CAJA PAU]]=AG$2,100%,AVANCE[[#This Row],[CAJA PAU]])</f>
        <v>0</v>
      </c>
      <c r="BX231" s="3">
        <f>+IF(AVANCE[[#This Row],[INSTALACION VINILICO]]=AJ$2,100%,AVANCE[[#This Row],[INSTALACION VINILICO]])</f>
        <v>0</v>
      </c>
      <c r="BY231" s="3">
        <f>+IF(AVANCE[[#This Row],[OSB CUBIERTA]]=AK$2,100%,AVANCE[[#This Row],[OSB CUBIERTA]])</f>
        <v>0</v>
      </c>
      <c r="BZ231" s="3">
        <f>+IF(AVANCE[[#This Row],[BARANDA BALCON]]=AL$2,100%,AVANCE[[#This Row],[BARANDA BALCON]])</f>
        <v>0</v>
      </c>
      <c r="CA231" s="3">
        <f>+IF(AVANCE[[#This Row],[OSB EXTERIOR]]=AM$2,100%,AVANCE[[#This Row],[OSB EXTERIOR]])</f>
        <v>0</v>
      </c>
      <c r="CB231" s="3">
        <f>+IF(AVANCE[[#This Row],[SMART PANEL]]=AN$2,100%,AVANCE[[#This Row],[SMART PANEL]])</f>
        <v>0</v>
      </c>
      <c r="CC231" s="3">
        <f>+IF(AVANCE[[#This Row],[PINTURA EXTERIOR]]=AO$2,100%,AVANCE[[#This Row],[PINTURA EXTERIOR]])</f>
        <v>0</v>
      </c>
      <c r="CD231" s="3">
        <f>+IF(AVANCE[[#This Row],[ZOCALOS LOGIA]]=AP$2,100%,AVANCE[[#This Row],[ZOCALOS LOGIA]])</f>
        <v>0</v>
      </c>
      <c r="CE231" s="3">
        <f>+IF(AVANCE[[#This Row],[MOLDURAS]]=AQ$2,100%,AVANCE[[#This Row],[MOLDURAS]])</f>
        <v>0</v>
      </c>
      <c r="CF231" s="3">
        <f>+IF(AVANCE[[#This Row],[PILASTREO]]=AR$2,100%,AVANCE[[#This Row],[PILASTREO]])</f>
        <v>0</v>
      </c>
      <c r="CG231" s="3">
        <f>+IF(AVANCE[[#This Row],[CELOSIAS]]=AS$2,100%,AVANCE[[#This Row],[CELOSIAS]])</f>
        <v>0</v>
      </c>
      <c r="CH231" s="3">
        <f>+IF(AVANCE[[#This Row],[VENTANAS]]=AT$2,100%,AVANCE[[#This Row],[VENTANAS]])</f>
        <v>0</v>
      </c>
      <c r="CI231" s="3">
        <f>+IF(AVANCE[[#This Row],[PUERTAS ACCESO - LOGIA - BANO]]=AU$2,100%,AVANCE[[#This Row],[PUERTAS ACCESO - LOGIA - BANO]])</f>
        <v>0</v>
      </c>
      <c r="CJ231" s="3">
        <f>+IF(AVANCE[[#This Row],[CERRADURAS]]=AV$2,100%,AVANCE[[#This Row],[CERRADURAS]])</f>
        <v>0</v>
      </c>
      <c r="CK231" s="3">
        <f>+IF(AVANCE[[#This Row],[REVESTIMIENTO INTERIOR ZONA SECA]]=AW$2,100%,AVANCE[[#This Row],[REVESTIMIENTO INTERIOR ZONA SECA]])</f>
        <v>0</v>
      </c>
      <c r="CL231" s="3">
        <f>+IF(AVANCE[[#This Row],[REVESTIMIENTO INTERIOR ZONAS HUMEDAS]]=AX$2,100%,AVANCE[[#This Row],[REVESTIMIENTO INTERIOR ZONAS HUMEDAS]])</f>
        <v>0</v>
      </c>
      <c r="CM231" s="3">
        <f>+IF(AVANCE[[#This Row],[MEMBRANA CIELO]]=AY$2,100%,AVANCE[[#This Row],[MEMBRANA CIELO]])</f>
        <v>0</v>
      </c>
      <c r="CN231" s="3">
        <f>+IF(AVANCE[[#This Row],[LIMPIEZA FINAL]]=AZ$2,100%,AVANCE[[#This Row],[LIMPIEZA FINAL]])</f>
        <v>0</v>
      </c>
      <c r="CO231" s="3">
        <f>+IF(AVANCE[[#This Row],[PUERTAS DORMITORIO]]=BA$2,100%,AVANCE[[#This Row],[PUERTAS DORMITORIO]])</f>
        <v>0</v>
      </c>
      <c r="CP231" s="3">
        <f>+IF(AVANCE[[#This Row],[REVESTIMIENTO INTERIOR BANO]]=BB$2,100%,AVANCE[[#This Row],[REVESTIMIENTO INTERIOR BANO]])</f>
        <v>0</v>
      </c>
      <c r="CQ231" s="3">
        <f>+IF(AVANCE[[#This Row],[MUEBLE LAVAPLATOS]]=BC$2,100%,AVANCE[[#This Row],[MUEBLE LAVAPLATOS]])</f>
        <v>0</v>
      </c>
      <c r="CR231" s="3">
        <f>+IF(AVANCE[[#This Row],[IMPERMEABILIZACION BANO - COCINA LOGIA]]=BD$2,100%,AVANCE[[#This Row],[IMPERMEABILIZACION BANO - COCINA LOGIA]])</f>
        <v>0</v>
      </c>
      <c r="CS231" s="40">
        <f ca="1">+IF(AVANCE[[#This Row],[ESTADO MODULO]]="PENDIENTE",(TODAY()-AVANCE[[#This Row],[FECHA TERMINO  PLANIFICADO]]),0)</f>
        <v>0</v>
      </c>
      <c r="CT231" s="41" t="str" cm="1">
        <f t="array" ref="CT231">_xlfn.TEXTJOIN(" | ",TRUE,IF(SUMPRODUCT((BG231:CR231&lt;1)*(PARTIDAS!$I$2:$AT$2="OBRA GRUESA"))&gt;0,"OBRA GRUESA: "&amp;_xlfn.TEXTJOIN(", ",TRUE,IF((BG231:CR231&lt;1)*(PARTIDAS!$I$2:$AT$2="OBRA GRUESA"),PARTIDAS!$I$1:$AT$1,"")),""),IF(SUMPRODUCT((BG231:CR231&lt;1)*(PARTIDAS!$I$2:$AT$2="SANITARIOS"))&gt;0,"SANITARIOS: "&amp;_xlfn.TEXTJOIN(", ",TRUE,IF((BG231:CR231&lt;1)*(PARTIDAS!$I$2:$AT$2="SANITARIOS"),PARTIDAS!$I$1:$AT$1,"")),""),IF(SUMPRODUCT((BG231:CR231&lt;1)*(PARTIDAS!$I$2:$AT$2="ELÉCTRICO"))&gt;0,"ELÉCTRICO: "&amp;_xlfn.TEXTJOIN(", ",TRUE,IF((BG231:CR231&lt;1)*(PARTIDAS!$I$2:$AT$2="ELÉCTRICO"),PARTIDAS!$I$1:$AT$1,"")),""),IF(SUMPRODUCT((BG231:CR231&lt;1)*(PARTIDAS!$I$2:$AT$2="TERMINACIONES"))&gt;0,"TERMINACIONES: "&amp;_xlfn.TEXTJOIN(", ",TRUE,IF((BG231:CR231&lt;1)*(PARTIDAS!$I$2:$AT$2="TERMINACIONES"),PARTIDAS!$I$1:$AT$1,"")),""))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1" s="43" t="str" cm="1">
        <f t="array" ref="CU231">_xlfn.TEXTJOIN(", ",TRUE,IF(SUMPRODUCT((BG231:CR231&lt;1)*(PARTIDAS!$I$2:$AT$2="OBRA GRUESA"))&gt;0,"OBRA GRUESA",""),IF(SUMPRODUCT((BG231:CR231&lt;1)*(PARTIDAS!$I$2:$AT$2="SANITARIOS"))&gt;0,"SANITARIOS",""),IF(SUMPRODUCT((BG231:CR231&lt;1)*(PARTIDAS!$I$2:$AT$2="ELÉCTRICO"))&gt;0,"ELÉCTRICO",""),IF(SUMPRODUCT((BG231:CR231&lt;1)*(PARTIDAS!$I$2:$AT$2="TERMINACIONES"))&gt;0,"TERMINACIONES",""))</f>
        <v>OBRA GRUESA, SANITARIOS, ELÉCTRICO, TERMINACIONES</v>
      </c>
      <c r="CV231" s="44" cm="1">
        <f t="array" ref="CV231">SUMPRODUCT(--(BG231:CR231&lt;1))</f>
        <v>38</v>
      </c>
    </row>
    <row r="232" spans="1:100" hidden="1" x14ac:dyDescent="0.25">
      <c r="A232" t="s">
        <v>289</v>
      </c>
      <c r="B232" t="s">
        <v>296</v>
      </c>
      <c r="C232">
        <v>2302600231</v>
      </c>
      <c r="D232" t="s">
        <v>60</v>
      </c>
      <c r="E232" s="2">
        <v>0</v>
      </c>
      <c r="F232" s="1">
        <v>46254</v>
      </c>
      <c r="G232" s="1"/>
      <c r="H232" s="1">
        <v>0</v>
      </c>
      <c r="I232" s="1">
        <v>46284</v>
      </c>
      <c r="J232">
        <v>46230</v>
      </c>
      <c r="K232" s="1"/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>
        <v>31.32</v>
      </c>
      <c r="BF232" s="3" t="str">
        <f>+IF(AVANCE[[#This Row],[% AVANCE]]=100%,"MODULO TERMINADO",IF(AVANCE[[#This Row],[FECHA INICIO REAL]]="","MODULO NO INICIADO","PENDIENTE"))</f>
        <v>MODULO NO INICIADO</v>
      </c>
      <c r="BG232" s="3">
        <f>+IF(AVANCE[[#This Row],[VENTANAS]]=8.10810810810811%,100%,AVANCE[[#This Row],[VENTANAS]])</f>
        <v>0</v>
      </c>
      <c r="BH232" s="3">
        <f>+IF(AVANCE[[#This Row],[PISO]]=N$2,100%,AVANCE[[#This Row],[PISO]])</f>
        <v>0</v>
      </c>
      <c r="BI232" s="3">
        <f>+IF(AVANCE[[#This Row],[TABIQUES]]=O$2,100%,AVANCE[[#This Row],[TABIQUES]])</f>
        <v>0</v>
      </c>
      <c r="BJ232" s="3">
        <f>+IF(AVANCE[[#This Row],[MUROS]]=P$2,100%,AVANCE[[#This Row],[MUROS]])</f>
        <v>0</v>
      </c>
      <c r="BK232" s="3">
        <f>+IF(AVANCE[[#This Row],[CIELO]]=Q$2,100%,AVANCE[[#This Row],[CIELO]])</f>
        <v>0</v>
      </c>
      <c r="BL232" s="3">
        <f>+IF(AVANCE[[#This Row],[BALCÓN]]=R$2,100%,AVANCE[[#This Row],[BALCÓN]])</f>
        <v>0</v>
      </c>
      <c r="BM232" s="3">
        <f>+IF(AVANCE[[#This Row],[RED ALCANTARILLADO]]=U$2,100%,AVANCE[[#This Row],[RED ALCANTARILLADO]])</f>
        <v>0</v>
      </c>
      <c r="BN232" s="3">
        <f>+IF(AVANCE[[#This Row],[RED DE AGUA]]=V$2,100%,AVANCE[[#This Row],[RED DE AGUA]])</f>
        <v>0</v>
      </c>
      <c r="BO232" s="3">
        <f>+IF(AVANCE[[#This Row],[VENTILACIONES]]=W$2,100%,AVANCE[[#This Row],[VENTILACIONES]])</f>
        <v>0</v>
      </c>
      <c r="BP232" s="3">
        <f>+IF(AVANCE[[#This Row],[TINA]]=X$2,100%,AVANCE[[#This Row],[TINA]])</f>
        <v>0</v>
      </c>
      <c r="BQ232" s="3">
        <f>+IF(AVANCE[[#This Row],[WC]]=Y$2,100%,AVANCE[[#This Row],[WC]])</f>
        <v>0</v>
      </c>
      <c r="BR232" s="3">
        <f>+IF(AVANCE[[#This Row],[LAVAMANOS / LAVAPLATOS / LAVADERO]]=Z$2,100%,AVANCE[[#This Row],[LAVAMANOS / LAVAPLATOS / LAVADERO]])</f>
        <v>0</v>
      </c>
      <c r="BS232" s="3">
        <f>+IF(AVANCE[[#This Row],[CANALIZACIÓN]]=AC$2,100%,AVANCE[[#This Row],[CANALIZACIÓN]])</f>
        <v>0</v>
      </c>
      <c r="BT232" s="3">
        <f>+IF(AVANCE[[#This Row],[CABLEADO]]=AD$2,100%,AVANCE[[#This Row],[CABLEADO]])</f>
        <v>0</v>
      </c>
      <c r="BU232" s="3">
        <f>+IF(AVANCE[[#This Row],[ARTEFACTOS]]=AE$2,100%,AVANCE[[#This Row],[ARTEFACTOS]])</f>
        <v>0</v>
      </c>
      <c r="BV232" s="3">
        <f>+IF(AVANCE[[#This Row],[TABLERO]]=AF$2,100%,AVANCE[[#This Row],[TABLERO]])</f>
        <v>0</v>
      </c>
      <c r="BW232" s="3">
        <f>+IF(AVANCE[[#This Row],[CAJA PAU]]=AG$2,100%,AVANCE[[#This Row],[CAJA PAU]])</f>
        <v>0</v>
      </c>
      <c r="BX232" s="3">
        <f>+IF(AVANCE[[#This Row],[INSTALACION VINILICO]]=AJ$2,100%,AVANCE[[#This Row],[INSTALACION VINILICO]])</f>
        <v>0</v>
      </c>
      <c r="BY232" s="3">
        <f>+IF(AVANCE[[#This Row],[OSB CUBIERTA]]=AK$2,100%,AVANCE[[#This Row],[OSB CUBIERTA]])</f>
        <v>0</v>
      </c>
      <c r="BZ232" s="3">
        <f>+IF(AVANCE[[#This Row],[BARANDA BALCON]]=AL$2,100%,AVANCE[[#This Row],[BARANDA BALCON]])</f>
        <v>0</v>
      </c>
      <c r="CA232" s="3">
        <f>+IF(AVANCE[[#This Row],[OSB EXTERIOR]]=AM$2,100%,AVANCE[[#This Row],[OSB EXTERIOR]])</f>
        <v>0</v>
      </c>
      <c r="CB232" s="3">
        <f>+IF(AVANCE[[#This Row],[SMART PANEL]]=AN$2,100%,AVANCE[[#This Row],[SMART PANEL]])</f>
        <v>0</v>
      </c>
      <c r="CC232" s="3">
        <f>+IF(AVANCE[[#This Row],[PINTURA EXTERIOR]]=AO$2,100%,AVANCE[[#This Row],[PINTURA EXTERIOR]])</f>
        <v>0</v>
      </c>
      <c r="CD232" s="3">
        <f>+IF(AVANCE[[#This Row],[ZOCALOS LOGIA]]=AP$2,100%,AVANCE[[#This Row],[ZOCALOS LOGIA]])</f>
        <v>0</v>
      </c>
      <c r="CE232" s="3">
        <f>+IF(AVANCE[[#This Row],[MOLDURAS]]=AQ$2,100%,AVANCE[[#This Row],[MOLDURAS]])</f>
        <v>0</v>
      </c>
      <c r="CF232" s="3">
        <f>+IF(AVANCE[[#This Row],[PILASTREO]]=AR$2,100%,AVANCE[[#This Row],[PILASTREO]])</f>
        <v>0</v>
      </c>
      <c r="CG232" s="3">
        <f>+IF(AVANCE[[#This Row],[CELOSIAS]]=AS$2,100%,AVANCE[[#This Row],[CELOSIAS]])</f>
        <v>0</v>
      </c>
      <c r="CH232" s="3">
        <f>+IF(AVANCE[[#This Row],[VENTANAS]]=AT$2,100%,AVANCE[[#This Row],[VENTANAS]])</f>
        <v>0</v>
      </c>
      <c r="CI232" s="3">
        <f>+IF(AVANCE[[#This Row],[PUERTAS ACCESO - LOGIA - BANO]]=AU$2,100%,AVANCE[[#This Row],[PUERTAS ACCESO - LOGIA - BANO]])</f>
        <v>0</v>
      </c>
      <c r="CJ232" s="3">
        <f>+IF(AVANCE[[#This Row],[CERRADURAS]]=AV$2,100%,AVANCE[[#This Row],[CERRADURAS]])</f>
        <v>0</v>
      </c>
      <c r="CK232" s="3">
        <f>+IF(AVANCE[[#This Row],[REVESTIMIENTO INTERIOR ZONA SECA]]=AW$2,100%,AVANCE[[#This Row],[REVESTIMIENTO INTERIOR ZONA SECA]])</f>
        <v>0</v>
      </c>
      <c r="CL232" s="3">
        <f>+IF(AVANCE[[#This Row],[REVESTIMIENTO INTERIOR ZONAS HUMEDAS]]=AX$2,100%,AVANCE[[#This Row],[REVESTIMIENTO INTERIOR ZONAS HUMEDAS]])</f>
        <v>0</v>
      </c>
      <c r="CM232" s="3">
        <f>+IF(AVANCE[[#This Row],[MEMBRANA CIELO]]=AY$2,100%,AVANCE[[#This Row],[MEMBRANA CIELO]])</f>
        <v>0</v>
      </c>
      <c r="CN232" s="3">
        <f>+IF(AVANCE[[#This Row],[LIMPIEZA FINAL]]=AZ$2,100%,AVANCE[[#This Row],[LIMPIEZA FINAL]])</f>
        <v>0</v>
      </c>
      <c r="CO232" s="3">
        <f>+IF(AVANCE[[#This Row],[PUERTAS DORMITORIO]]=BA$2,100%,AVANCE[[#This Row],[PUERTAS DORMITORIO]])</f>
        <v>0</v>
      </c>
      <c r="CP232" s="3">
        <f>+IF(AVANCE[[#This Row],[REVESTIMIENTO INTERIOR BANO]]=BB$2,100%,AVANCE[[#This Row],[REVESTIMIENTO INTERIOR BANO]])</f>
        <v>0</v>
      </c>
      <c r="CQ232" s="3">
        <f>+IF(AVANCE[[#This Row],[MUEBLE LAVAPLATOS]]=BC$2,100%,AVANCE[[#This Row],[MUEBLE LAVAPLATOS]])</f>
        <v>0</v>
      </c>
      <c r="CR232" s="3">
        <f>+IF(AVANCE[[#This Row],[IMPERMEABILIZACION BANO - COCINA LOGIA]]=BD$2,100%,AVANCE[[#This Row],[IMPERMEABILIZACION BANO - COCINA LOGIA]])</f>
        <v>0</v>
      </c>
      <c r="CS232" s="40">
        <f ca="1">+IF(AVANCE[[#This Row],[ESTADO MODULO]]="PENDIENTE",(TODAY()-AVANCE[[#This Row],[FECHA TERMINO  PLANIFICADO]]),0)</f>
        <v>0</v>
      </c>
      <c r="CT232" s="41" t="str" cm="1">
        <f t="array" ref="CT232">_xlfn.TEXTJOIN(" | ",TRUE,IF(SUMPRODUCT((BG232:CR232&lt;1)*(PARTIDAS!$I$2:$AT$2="OBRA GRUESA"))&gt;0,"OBRA GRUESA: "&amp;_xlfn.TEXTJOIN(", ",TRUE,IF((BG232:CR232&lt;1)*(PARTIDAS!$I$2:$AT$2="OBRA GRUESA"),PARTIDAS!$I$1:$AT$1,"")),""),IF(SUMPRODUCT((BG232:CR232&lt;1)*(PARTIDAS!$I$2:$AT$2="SANITARIOS"))&gt;0,"SANITARIOS: "&amp;_xlfn.TEXTJOIN(", ",TRUE,IF((BG232:CR232&lt;1)*(PARTIDAS!$I$2:$AT$2="SANITARIOS"),PARTIDAS!$I$1:$AT$1,"")),""),IF(SUMPRODUCT((BG232:CR232&lt;1)*(PARTIDAS!$I$2:$AT$2="ELÉCTRICO"))&gt;0,"ELÉCTRICO: "&amp;_xlfn.TEXTJOIN(", ",TRUE,IF((BG232:CR232&lt;1)*(PARTIDAS!$I$2:$AT$2="ELÉCTRICO"),PARTIDAS!$I$1:$AT$1,"")),""),IF(SUMPRODUCT((BG232:CR232&lt;1)*(PARTIDAS!$I$2:$AT$2="TERMINACIONES"))&gt;0,"TERMINACIONES: "&amp;_xlfn.TEXTJOIN(", ",TRUE,IF((BG232:CR232&lt;1)*(PARTIDAS!$I$2:$AT$2="TERMINACIONES"),PARTIDAS!$I$1:$AT$1,"")),""))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2" s="43" t="str" cm="1">
        <f t="array" ref="CU232">_xlfn.TEXTJOIN(", ",TRUE,IF(SUMPRODUCT((BG232:CR232&lt;1)*(PARTIDAS!$I$2:$AT$2="OBRA GRUESA"))&gt;0,"OBRA GRUESA",""),IF(SUMPRODUCT((BG232:CR232&lt;1)*(PARTIDAS!$I$2:$AT$2="SANITARIOS"))&gt;0,"SANITARIOS",""),IF(SUMPRODUCT((BG232:CR232&lt;1)*(PARTIDAS!$I$2:$AT$2="ELÉCTRICO"))&gt;0,"ELÉCTRICO",""),IF(SUMPRODUCT((BG232:CR232&lt;1)*(PARTIDAS!$I$2:$AT$2="TERMINACIONES"))&gt;0,"TERMINACIONES",""))</f>
        <v>OBRA GRUESA, SANITARIOS, ELÉCTRICO, TERMINACIONES</v>
      </c>
      <c r="CV232" s="44" cm="1">
        <f t="array" ref="CV232">SUMPRODUCT(--(BG232:CR232&lt;1))</f>
        <v>38</v>
      </c>
    </row>
    <row r="233" spans="1:100" hidden="1" x14ac:dyDescent="0.25">
      <c r="A233" t="s">
        <v>289</v>
      </c>
      <c r="B233" t="s">
        <v>297</v>
      </c>
      <c r="C233">
        <v>2282600232</v>
      </c>
      <c r="D233" t="s">
        <v>58</v>
      </c>
      <c r="E233" s="2">
        <v>0</v>
      </c>
      <c r="F233" s="1">
        <v>46254</v>
      </c>
      <c r="G233" s="1"/>
      <c r="H233" s="1">
        <v>0</v>
      </c>
      <c r="I233" s="1">
        <v>46274</v>
      </c>
      <c r="J233">
        <v>46230</v>
      </c>
      <c r="K233" s="1"/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>
        <v>28.87</v>
      </c>
      <c r="BF233" s="3" t="str">
        <f>+IF(AVANCE[[#This Row],[% AVANCE]]=100%,"MODULO TERMINADO",IF(AVANCE[[#This Row],[FECHA INICIO REAL]]="","MODULO NO INICIADO","PENDIENTE"))</f>
        <v>MODULO NO INICIADO</v>
      </c>
      <c r="BG233" s="3">
        <f>+IF(AVANCE[[#This Row],[VENTANAS]]=8.10810810810811%,100%,AVANCE[[#This Row],[VENTANAS]])</f>
        <v>0</v>
      </c>
      <c r="BH233" s="3">
        <f>+IF(AVANCE[[#This Row],[PISO]]=N$2,100%,AVANCE[[#This Row],[PISO]])</f>
        <v>0</v>
      </c>
      <c r="BI233" s="3">
        <f>+IF(AVANCE[[#This Row],[TABIQUES]]=O$2,100%,AVANCE[[#This Row],[TABIQUES]])</f>
        <v>0</v>
      </c>
      <c r="BJ233" s="3">
        <f>+IF(AVANCE[[#This Row],[MUROS]]=P$2,100%,AVANCE[[#This Row],[MUROS]])</f>
        <v>0</v>
      </c>
      <c r="BK233" s="3">
        <f>+IF(AVANCE[[#This Row],[CIELO]]=Q$2,100%,AVANCE[[#This Row],[CIELO]])</f>
        <v>0</v>
      </c>
      <c r="BL233" s="3">
        <f>+IF(AVANCE[[#This Row],[BALCÓN]]=R$2,100%,AVANCE[[#This Row],[BALCÓN]])</f>
        <v>0</v>
      </c>
      <c r="BM233" s="3">
        <f>+IF(AVANCE[[#This Row],[RED ALCANTARILLADO]]=U$2,100%,AVANCE[[#This Row],[RED ALCANTARILLADO]])</f>
        <v>0</v>
      </c>
      <c r="BN233" s="3">
        <f>+IF(AVANCE[[#This Row],[RED DE AGUA]]=V$2,100%,AVANCE[[#This Row],[RED DE AGUA]])</f>
        <v>0</v>
      </c>
      <c r="BO233" s="3">
        <f>+IF(AVANCE[[#This Row],[VENTILACIONES]]=W$2,100%,AVANCE[[#This Row],[VENTILACIONES]])</f>
        <v>0</v>
      </c>
      <c r="BP233" s="3">
        <f>+IF(AVANCE[[#This Row],[TINA]]=X$2,100%,AVANCE[[#This Row],[TINA]])</f>
        <v>0</v>
      </c>
      <c r="BQ233" s="3">
        <f>+IF(AVANCE[[#This Row],[WC]]=Y$2,100%,AVANCE[[#This Row],[WC]])</f>
        <v>0</v>
      </c>
      <c r="BR233" s="3">
        <f>+IF(AVANCE[[#This Row],[LAVAMANOS / LAVAPLATOS / LAVADERO]]=Z$2,100%,AVANCE[[#This Row],[LAVAMANOS / LAVAPLATOS / LAVADERO]])</f>
        <v>0</v>
      </c>
      <c r="BS233" s="3">
        <f>+IF(AVANCE[[#This Row],[CANALIZACIÓN]]=AC$2,100%,AVANCE[[#This Row],[CANALIZACIÓN]])</f>
        <v>0</v>
      </c>
      <c r="BT233" s="3">
        <f>+IF(AVANCE[[#This Row],[CABLEADO]]=AD$2,100%,AVANCE[[#This Row],[CABLEADO]])</f>
        <v>0</v>
      </c>
      <c r="BU233" s="3">
        <f>+IF(AVANCE[[#This Row],[ARTEFACTOS]]=AE$2,100%,AVANCE[[#This Row],[ARTEFACTOS]])</f>
        <v>0</v>
      </c>
      <c r="BV233" s="3">
        <f>+IF(AVANCE[[#This Row],[TABLERO]]=AF$2,100%,AVANCE[[#This Row],[TABLERO]])</f>
        <v>0</v>
      </c>
      <c r="BW233" s="3">
        <f>+IF(AVANCE[[#This Row],[CAJA PAU]]=AG$2,100%,AVANCE[[#This Row],[CAJA PAU]])</f>
        <v>0</v>
      </c>
      <c r="BX233" s="3">
        <f>+IF(AVANCE[[#This Row],[INSTALACION VINILICO]]=AJ$2,100%,AVANCE[[#This Row],[INSTALACION VINILICO]])</f>
        <v>0</v>
      </c>
      <c r="BY233" s="3">
        <f>+IF(AVANCE[[#This Row],[OSB CUBIERTA]]=AK$2,100%,AVANCE[[#This Row],[OSB CUBIERTA]])</f>
        <v>0</v>
      </c>
      <c r="BZ233" s="3">
        <f>+IF(AVANCE[[#This Row],[BARANDA BALCON]]=AL$2,100%,AVANCE[[#This Row],[BARANDA BALCON]])</f>
        <v>0</v>
      </c>
      <c r="CA233" s="3">
        <f>+IF(AVANCE[[#This Row],[OSB EXTERIOR]]=AM$2,100%,AVANCE[[#This Row],[OSB EXTERIOR]])</f>
        <v>0</v>
      </c>
      <c r="CB233" s="3">
        <f>+IF(AVANCE[[#This Row],[SMART PANEL]]=AN$2,100%,AVANCE[[#This Row],[SMART PANEL]])</f>
        <v>0</v>
      </c>
      <c r="CC233" s="3">
        <f>+IF(AVANCE[[#This Row],[PINTURA EXTERIOR]]=AO$2,100%,AVANCE[[#This Row],[PINTURA EXTERIOR]])</f>
        <v>0</v>
      </c>
      <c r="CD233" s="3">
        <f>+IF(AVANCE[[#This Row],[ZOCALOS LOGIA]]=AP$2,100%,AVANCE[[#This Row],[ZOCALOS LOGIA]])</f>
        <v>0</v>
      </c>
      <c r="CE233" s="3">
        <f>+IF(AVANCE[[#This Row],[MOLDURAS]]=AQ$2,100%,AVANCE[[#This Row],[MOLDURAS]])</f>
        <v>0</v>
      </c>
      <c r="CF233" s="3">
        <f>+IF(AVANCE[[#This Row],[PILASTREO]]=AR$2,100%,AVANCE[[#This Row],[PILASTREO]])</f>
        <v>0</v>
      </c>
      <c r="CG233" s="3">
        <f>+IF(AVANCE[[#This Row],[CELOSIAS]]=AS$2,100%,AVANCE[[#This Row],[CELOSIAS]])</f>
        <v>0</v>
      </c>
      <c r="CH233" s="3">
        <f>+IF(AVANCE[[#This Row],[VENTANAS]]=AT$2,100%,AVANCE[[#This Row],[VENTANAS]])</f>
        <v>0</v>
      </c>
      <c r="CI233" s="3">
        <f>+IF(AVANCE[[#This Row],[PUERTAS ACCESO - LOGIA - BANO]]=AU$2,100%,AVANCE[[#This Row],[PUERTAS ACCESO - LOGIA - BANO]])</f>
        <v>0</v>
      </c>
      <c r="CJ233" s="3">
        <f>+IF(AVANCE[[#This Row],[CERRADURAS]]=AV$2,100%,AVANCE[[#This Row],[CERRADURAS]])</f>
        <v>0</v>
      </c>
      <c r="CK233" s="3">
        <f>+IF(AVANCE[[#This Row],[REVESTIMIENTO INTERIOR ZONA SECA]]=AW$2,100%,AVANCE[[#This Row],[REVESTIMIENTO INTERIOR ZONA SECA]])</f>
        <v>0</v>
      </c>
      <c r="CL233" s="3">
        <f>+IF(AVANCE[[#This Row],[REVESTIMIENTO INTERIOR ZONAS HUMEDAS]]=AX$2,100%,AVANCE[[#This Row],[REVESTIMIENTO INTERIOR ZONAS HUMEDAS]])</f>
        <v>0</v>
      </c>
      <c r="CM233" s="3">
        <f>+IF(AVANCE[[#This Row],[MEMBRANA CIELO]]=AY$2,100%,AVANCE[[#This Row],[MEMBRANA CIELO]])</f>
        <v>0</v>
      </c>
      <c r="CN233" s="3">
        <f>+IF(AVANCE[[#This Row],[LIMPIEZA FINAL]]=AZ$2,100%,AVANCE[[#This Row],[LIMPIEZA FINAL]])</f>
        <v>0</v>
      </c>
      <c r="CO233" s="3">
        <f>+IF(AVANCE[[#This Row],[PUERTAS DORMITORIO]]=BA$2,100%,AVANCE[[#This Row],[PUERTAS DORMITORIO]])</f>
        <v>0</v>
      </c>
      <c r="CP233" s="3">
        <f>+IF(AVANCE[[#This Row],[REVESTIMIENTO INTERIOR BANO]]=BB$2,100%,AVANCE[[#This Row],[REVESTIMIENTO INTERIOR BANO]])</f>
        <v>0</v>
      </c>
      <c r="CQ233" s="3">
        <f>+IF(AVANCE[[#This Row],[MUEBLE LAVAPLATOS]]=BC$2,100%,AVANCE[[#This Row],[MUEBLE LAVAPLATOS]])</f>
        <v>0</v>
      </c>
      <c r="CR233" s="3">
        <f>+IF(AVANCE[[#This Row],[IMPERMEABILIZACION BANO - COCINA LOGIA]]=BD$2,100%,AVANCE[[#This Row],[IMPERMEABILIZACION BANO - COCINA LOGIA]])</f>
        <v>0</v>
      </c>
      <c r="CS233" s="40">
        <f ca="1">+IF(AVANCE[[#This Row],[ESTADO MODULO]]="PENDIENTE",(TODAY()-AVANCE[[#This Row],[FECHA TERMINO  PLANIFICADO]]),0)</f>
        <v>0</v>
      </c>
      <c r="CT233" s="41" t="str" cm="1">
        <f t="array" ref="CT233">_xlfn.TEXTJOIN(" | ",TRUE,IF(SUMPRODUCT((BG233:CR233&lt;1)*(PARTIDAS!$I$2:$AT$2="OBRA GRUESA"))&gt;0,"OBRA GRUESA: "&amp;_xlfn.TEXTJOIN(", ",TRUE,IF((BG233:CR233&lt;1)*(PARTIDAS!$I$2:$AT$2="OBRA GRUESA"),PARTIDAS!$I$1:$AT$1,"")),""),IF(SUMPRODUCT((BG233:CR233&lt;1)*(PARTIDAS!$I$2:$AT$2="SANITARIOS"))&gt;0,"SANITARIOS: "&amp;_xlfn.TEXTJOIN(", ",TRUE,IF((BG233:CR233&lt;1)*(PARTIDAS!$I$2:$AT$2="SANITARIOS"),PARTIDAS!$I$1:$AT$1,"")),""),IF(SUMPRODUCT((BG233:CR233&lt;1)*(PARTIDAS!$I$2:$AT$2="ELÉCTRICO"))&gt;0,"ELÉCTRICO: "&amp;_xlfn.TEXTJOIN(", ",TRUE,IF((BG233:CR233&lt;1)*(PARTIDAS!$I$2:$AT$2="ELÉCTRICO"),PARTIDAS!$I$1:$AT$1,"")),""),IF(SUMPRODUCT((BG233:CR233&lt;1)*(PARTIDAS!$I$2:$AT$2="TERMINACIONES"))&gt;0,"TERMINACIONES: "&amp;_xlfn.TEXTJOIN(", ",TRUE,IF((BG233:CR233&lt;1)*(PARTIDAS!$I$2:$AT$2="TERMINACIONES"),PARTIDAS!$I$1:$AT$1,"")),""))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3" s="43" t="str" cm="1">
        <f t="array" ref="CU233">_xlfn.TEXTJOIN(", ",TRUE,IF(SUMPRODUCT((BG233:CR233&lt;1)*(PARTIDAS!$I$2:$AT$2="OBRA GRUESA"))&gt;0,"OBRA GRUESA",""),IF(SUMPRODUCT((BG233:CR233&lt;1)*(PARTIDAS!$I$2:$AT$2="SANITARIOS"))&gt;0,"SANITARIOS",""),IF(SUMPRODUCT((BG233:CR233&lt;1)*(PARTIDAS!$I$2:$AT$2="ELÉCTRICO"))&gt;0,"ELÉCTRICO",""),IF(SUMPRODUCT((BG233:CR233&lt;1)*(PARTIDAS!$I$2:$AT$2="TERMINACIONES"))&gt;0,"TERMINACIONES",""))</f>
        <v>OBRA GRUESA, SANITARIOS, ELÉCTRICO, TERMINACIONES</v>
      </c>
      <c r="CV233" s="44" cm="1">
        <f t="array" ref="CV233">SUMPRODUCT(--(BG233:CR233&lt;1))</f>
        <v>38</v>
      </c>
    </row>
    <row r="234" spans="1:100" hidden="1" x14ac:dyDescent="0.25">
      <c r="A234" t="s">
        <v>289</v>
      </c>
      <c r="B234" t="s">
        <v>298</v>
      </c>
      <c r="C234">
        <v>2282600233</v>
      </c>
      <c r="D234" t="s">
        <v>58</v>
      </c>
      <c r="E234" s="2">
        <v>0</v>
      </c>
      <c r="F234" s="1">
        <v>46254</v>
      </c>
      <c r="G234" s="1"/>
      <c r="H234" s="1">
        <v>0</v>
      </c>
      <c r="I234" s="1">
        <v>46274</v>
      </c>
      <c r="J234">
        <v>46230</v>
      </c>
      <c r="K234" s="1"/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>
        <v>28.87</v>
      </c>
      <c r="BF234" s="3" t="str">
        <f>+IF(AVANCE[[#This Row],[% AVANCE]]=100%,"MODULO TERMINADO",IF(AVANCE[[#This Row],[FECHA INICIO REAL]]="","MODULO NO INICIADO","PENDIENTE"))</f>
        <v>MODULO NO INICIADO</v>
      </c>
      <c r="BG234" s="3">
        <f>+IF(AVANCE[[#This Row],[VENTANAS]]=8.10810810810811%,100%,AVANCE[[#This Row],[VENTANAS]])</f>
        <v>0</v>
      </c>
      <c r="BH234" s="3">
        <f>+IF(AVANCE[[#This Row],[PISO]]=N$2,100%,AVANCE[[#This Row],[PISO]])</f>
        <v>0</v>
      </c>
      <c r="BI234" s="3">
        <f>+IF(AVANCE[[#This Row],[TABIQUES]]=O$2,100%,AVANCE[[#This Row],[TABIQUES]])</f>
        <v>0</v>
      </c>
      <c r="BJ234" s="3">
        <f>+IF(AVANCE[[#This Row],[MUROS]]=P$2,100%,AVANCE[[#This Row],[MUROS]])</f>
        <v>0</v>
      </c>
      <c r="BK234" s="3">
        <f>+IF(AVANCE[[#This Row],[CIELO]]=Q$2,100%,AVANCE[[#This Row],[CIELO]])</f>
        <v>0</v>
      </c>
      <c r="BL234" s="3">
        <f>+IF(AVANCE[[#This Row],[BALCÓN]]=R$2,100%,AVANCE[[#This Row],[BALCÓN]])</f>
        <v>0</v>
      </c>
      <c r="BM234" s="3">
        <f>+IF(AVANCE[[#This Row],[RED ALCANTARILLADO]]=U$2,100%,AVANCE[[#This Row],[RED ALCANTARILLADO]])</f>
        <v>0</v>
      </c>
      <c r="BN234" s="3">
        <f>+IF(AVANCE[[#This Row],[RED DE AGUA]]=V$2,100%,AVANCE[[#This Row],[RED DE AGUA]])</f>
        <v>0</v>
      </c>
      <c r="BO234" s="3">
        <f>+IF(AVANCE[[#This Row],[VENTILACIONES]]=W$2,100%,AVANCE[[#This Row],[VENTILACIONES]])</f>
        <v>0</v>
      </c>
      <c r="BP234" s="3">
        <f>+IF(AVANCE[[#This Row],[TINA]]=X$2,100%,AVANCE[[#This Row],[TINA]])</f>
        <v>0</v>
      </c>
      <c r="BQ234" s="3">
        <f>+IF(AVANCE[[#This Row],[WC]]=Y$2,100%,AVANCE[[#This Row],[WC]])</f>
        <v>0</v>
      </c>
      <c r="BR234" s="3">
        <f>+IF(AVANCE[[#This Row],[LAVAMANOS / LAVAPLATOS / LAVADERO]]=Z$2,100%,AVANCE[[#This Row],[LAVAMANOS / LAVAPLATOS / LAVADERO]])</f>
        <v>0</v>
      </c>
      <c r="BS234" s="3">
        <f>+IF(AVANCE[[#This Row],[CANALIZACIÓN]]=AC$2,100%,AVANCE[[#This Row],[CANALIZACIÓN]])</f>
        <v>0</v>
      </c>
      <c r="BT234" s="3">
        <f>+IF(AVANCE[[#This Row],[CABLEADO]]=AD$2,100%,AVANCE[[#This Row],[CABLEADO]])</f>
        <v>0</v>
      </c>
      <c r="BU234" s="3">
        <f>+IF(AVANCE[[#This Row],[ARTEFACTOS]]=AE$2,100%,AVANCE[[#This Row],[ARTEFACTOS]])</f>
        <v>0</v>
      </c>
      <c r="BV234" s="3">
        <f>+IF(AVANCE[[#This Row],[TABLERO]]=AF$2,100%,AVANCE[[#This Row],[TABLERO]])</f>
        <v>0</v>
      </c>
      <c r="BW234" s="3">
        <f>+IF(AVANCE[[#This Row],[CAJA PAU]]=AG$2,100%,AVANCE[[#This Row],[CAJA PAU]])</f>
        <v>0</v>
      </c>
      <c r="BX234" s="3">
        <f>+IF(AVANCE[[#This Row],[INSTALACION VINILICO]]=AJ$2,100%,AVANCE[[#This Row],[INSTALACION VINILICO]])</f>
        <v>0</v>
      </c>
      <c r="BY234" s="3">
        <f>+IF(AVANCE[[#This Row],[OSB CUBIERTA]]=AK$2,100%,AVANCE[[#This Row],[OSB CUBIERTA]])</f>
        <v>0</v>
      </c>
      <c r="BZ234" s="3">
        <f>+IF(AVANCE[[#This Row],[BARANDA BALCON]]=AL$2,100%,AVANCE[[#This Row],[BARANDA BALCON]])</f>
        <v>0</v>
      </c>
      <c r="CA234" s="3">
        <f>+IF(AVANCE[[#This Row],[OSB EXTERIOR]]=AM$2,100%,AVANCE[[#This Row],[OSB EXTERIOR]])</f>
        <v>0</v>
      </c>
      <c r="CB234" s="3">
        <f>+IF(AVANCE[[#This Row],[SMART PANEL]]=AN$2,100%,AVANCE[[#This Row],[SMART PANEL]])</f>
        <v>0</v>
      </c>
      <c r="CC234" s="3">
        <f>+IF(AVANCE[[#This Row],[PINTURA EXTERIOR]]=AO$2,100%,AVANCE[[#This Row],[PINTURA EXTERIOR]])</f>
        <v>0</v>
      </c>
      <c r="CD234" s="3">
        <f>+IF(AVANCE[[#This Row],[ZOCALOS LOGIA]]=AP$2,100%,AVANCE[[#This Row],[ZOCALOS LOGIA]])</f>
        <v>0</v>
      </c>
      <c r="CE234" s="3">
        <f>+IF(AVANCE[[#This Row],[MOLDURAS]]=AQ$2,100%,AVANCE[[#This Row],[MOLDURAS]])</f>
        <v>0</v>
      </c>
      <c r="CF234" s="3">
        <f>+IF(AVANCE[[#This Row],[PILASTREO]]=AR$2,100%,AVANCE[[#This Row],[PILASTREO]])</f>
        <v>0</v>
      </c>
      <c r="CG234" s="3">
        <f>+IF(AVANCE[[#This Row],[CELOSIAS]]=AS$2,100%,AVANCE[[#This Row],[CELOSIAS]])</f>
        <v>0</v>
      </c>
      <c r="CH234" s="3">
        <f>+IF(AVANCE[[#This Row],[VENTANAS]]=AT$2,100%,AVANCE[[#This Row],[VENTANAS]])</f>
        <v>0</v>
      </c>
      <c r="CI234" s="3">
        <f>+IF(AVANCE[[#This Row],[PUERTAS ACCESO - LOGIA - BANO]]=AU$2,100%,AVANCE[[#This Row],[PUERTAS ACCESO - LOGIA - BANO]])</f>
        <v>0</v>
      </c>
      <c r="CJ234" s="3">
        <f>+IF(AVANCE[[#This Row],[CERRADURAS]]=AV$2,100%,AVANCE[[#This Row],[CERRADURAS]])</f>
        <v>0</v>
      </c>
      <c r="CK234" s="3">
        <f>+IF(AVANCE[[#This Row],[REVESTIMIENTO INTERIOR ZONA SECA]]=AW$2,100%,AVANCE[[#This Row],[REVESTIMIENTO INTERIOR ZONA SECA]])</f>
        <v>0</v>
      </c>
      <c r="CL234" s="3">
        <f>+IF(AVANCE[[#This Row],[REVESTIMIENTO INTERIOR ZONAS HUMEDAS]]=AX$2,100%,AVANCE[[#This Row],[REVESTIMIENTO INTERIOR ZONAS HUMEDAS]])</f>
        <v>0</v>
      </c>
      <c r="CM234" s="3">
        <f>+IF(AVANCE[[#This Row],[MEMBRANA CIELO]]=AY$2,100%,AVANCE[[#This Row],[MEMBRANA CIELO]])</f>
        <v>0</v>
      </c>
      <c r="CN234" s="3">
        <f>+IF(AVANCE[[#This Row],[LIMPIEZA FINAL]]=AZ$2,100%,AVANCE[[#This Row],[LIMPIEZA FINAL]])</f>
        <v>0</v>
      </c>
      <c r="CO234" s="3">
        <f>+IF(AVANCE[[#This Row],[PUERTAS DORMITORIO]]=BA$2,100%,AVANCE[[#This Row],[PUERTAS DORMITORIO]])</f>
        <v>0</v>
      </c>
      <c r="CP234" s="3">
        <f>+IF(AVANCE[[#This Row],[REVESTIMIENTO INTERIOR BANO]]=BB$2,100%,AVANCE[[#This Row],[REVESTIMIENTO INTERIOR BANO]])</f>
        <v>0</v>
      </c>
      <c r="CQ234" s="3">
        <f>+IF(AVANCE[[#This Row],[MUEBLE LAVAPLATOS]]=BC$2,100%,AVANCE[[#This Row],[MUEBLE LAVAPLATOS]])</f>
        <v>0</v>
      </c>
      <c r="CR234" s="3">
        <f>+IF(AVANCE[[#This Row],[IMPERMEABILIZACION BANO - COCINA LOGIA]]=BD$2,100%,AVANCE[[#This Row],[IMPERMEABILIZACION BANO - COCINA LOGIA]])</f>
        <v>0</v>
      </c>
      <c r="CS234" s="40">
        <f ca="1">+IF(AVANCE[[#This Row],[ESTADO MODULO]]="PENDIENTE",(TODAY()-AVANCE[[#This Row],[FECHA TERMINO  PLANIFICADO]]),0)</f>
        <v>0</v>
      </c>
      <c r="CT234" s="41" t="str" cm="1">
        <f t="array" ref="CT234">_xlfn.TEXTJOIN(" | ",TRUE,IF(SUMPRODUCT((BG234:CR234&lt;1)*(PARTIDAS!$I$2:$AT$2="OBRA GRUESA"))&gt;0,"OBRA GRUESA: "&amp;_xlfn.TEXTJOIN(", ",TRUE,IF((BG234:CR234&lt;1)*(PARTIDAS!$I$2:$AT$2="OBRA GRUESA"),PARTIDAS!$I$1:$AT$1,"")),""),IF(SUMPRODUCT((BG234:CR234&lt;1)*(PARTIDAS!$I$2:$AT$2="SANITARIOS"))&gt;0,"SANITARIOS: "&amp;_xlfn.TEXTJOIN(", ",TRUE,IF((BG234:CR234&lt;1)*(PARTIDAS!$I$2:$AT$2="SANITARIOS"),PARTIDAS!$I$1:$AT$1,"")),""),IF(SUMPRODUCT((BG234:CR234&lt;1)*(PARTIDAS!$I$2:$AT$2="ELÉCTRICO"))&gt;0,"ELÉCTRICO: "&amp;_xlfn.TEXTJOIN(", ",TRUE,IF((BG234:CR234&lt;1)*(PARTIDAS!$I$2:$AT$2="ELÉCTRICO"),PARTIDAS!$I$1:$AT$1,"")),""),IF(SUMPRODUCT((BG234:CR234&lt;1)*(PARTIDAS!$I$2:$AT$2="TERMINACIONES"))&gt;0,"TERMINACIONES: "&amp;_xlfn.TEXTJOIN(", ",TRUE,IF((BG234:CR234&lt;1)*(PARTIDAS!$I$2:$AT$2="TERMINACIONES"),PARTIDAS!$I$1:$AT$1,"")),""))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4" s="43" t="str" cm="1">
        <f t="array" ref="CU234">_xlfn.TEXTJOIN(", ",TRUE,IF(SUMPRODUCT((BG234:CR234&lt;1)*(PARTIDAS!$I$2:$AT$2="OBRA GRUESA"))&gt;0,"OBRA GRUESA",""),IF(SUMPRODUCT((BG234:CR234&lt;1)*(PARTIDAS!$I$2:$AT$2="SANITARIOS"))&gt;0,"SANITARIOS",""),IF(SUMPRODUCT((BG234:CR234&lt;1)*(PARTIDAS!$I$2:$AT$2="ELÉCTRICO"))&gt;0,"ELÉCTRICO",""),IF(SUMPRODUCT((BG234:CR234&lt;1)*(PARTIDAS!$I$2:$AT$2="TERMINACIONES"))&gt;0,"TERMINACIONES",""))</f>
        <v>OBRA GRUESA, SANITARIOS, ELÉCTRICO, TERMINACIONES</v>
      </c>
      <c r="CV234" s="44" cm="1">
        <f t="array" ref="CV234">SUMPRODUCT(--(BG234:CR234&lt;1))</f>
        <v>38</v>
      </c>
    </row>
    <row r="235" spans="1:100" hidden="1" x14ac:dyDescent="0.25">
      <c r="A235" t="s">
        <v>289</v>
      </c>
      <c r="B235" t="s">
        <v>299</v>
      </c>
      <c r="C235">
        <v>2302600234</v>
      </c>
      <c r="D235" t="s">
        <v>60</v>
      </c>
      <c r="E235" s="2">
        <v>0</v>
      </c>
      <c r="F235" s="1">
        <v>46255</v>
      </c>
      <c r="G235" s="1"/>
      <c r="H235" s="1">
        <v>0</v>
      </c>
      <c r="I235" s="1">
        <v>46285</v>
      </c>
      <c r="J235">
        <v>46230</v>
      </c>
      <c r="K235" s="1"/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>
        <v>31.32</v>
      </c>
      <c r="BF235" s="3" t="str">
        <f>+IF(AVANCE[[#This Row],[% AVANCE]]=100%,"MODULO TERMINADO",IF(AVANCE[[#This Row],[FECHA INICIO REAL]]="","MODULO NO INICIADO","PENDIENTE"))</f>
        <v>MODULO NO INICIADO</v>
      </c>
      <c r="BG235" s="3">
        <f>+IF(AVANCE[[#This Row],[VENTANAS]]=8.10810810810811%,100%,AVANCE[[#This Row],[VENTANAS]])</f>
        <v>0</v>
      </c>
      <c r="BH235" s="3">
        <f>+IF(AVANCE[[#This Row],[PISO]]=N$2,100%,AVANCE[[#This Row],[PISO]])</f>
        <v>0</v>
      </c>
      <c r="BI235" s="3">
        <f>+IF(AVANCE[[#This Row],[TABIQUES]]=O$2,100%,AVANCE[[#This Row],[TABIQUES]])</f>
        <v>0</v>
      </c>
      <c r="BJ235" s="3">
        <f>+IF(AVANCE[[#This Row],[MUROS]]=P$2,100%,AVANCE[[#This Row],[MUROS]])</f>
        <v>0</v>
      </c>
      <c r="BK235" s="3">
        <f>+IF(AVANCE[[#This Row],[CIELO]]=Q$2,100%,AVANCE[[#This Row],[CIELO]])</f>
        <v>0</v>
      </c>
      <c r="BL235" s="3">
        <f>+IF(AVANCE[[#This Row],[BALCÓN]]=R$2,100%,AVANCE[[#This Row],[BALCÓN]])</f>
        <v>0</v>
      </c>
      <c r="BM235" s="3">
        <f>+IF(AVANCE[[#This Row],[RED ALCANTARILLADO]]=U$2,100%,AVANCE[[#This Row],[RED ALCANTARILLADO]])</f>
        <v>0</v>
      </c>
      <c r="BN235" s="3">
        <f>+IF(AVANCE[[#This Row],[RED DE AGUA]]=V$2,100%,AVANCE[[#This Row],[RED DE AGUA]])</f>
        <v>0</v>
      </c>
      <c r="BO235" s="3">
        <f>+IF(AVANCE[[#This Row],[VENTILACIONES]]=W$2,100%,AVANCE[[#This Row],[VENTILACIONES]])</f>
        <v>0</v>
      </c>
      <c r="BP235" s="3">
        <f>+IF(AVANCE[[#This Row],[TINA]]=X$2,100%,AVANCE[[#This Row],[TINA]])</f>
        <v>0</v>
      </c>
      <c r="BQ235" s="3">
        <f>+IF(AVANCE[[#This Row],[WC]]=Y$2,100%,AVANCE[[#This Row],[WC]])</f>
        <v>0</v>
      </c>
      <c r="BR235" s="3">
        <f>+IF(AVANCE[[#This Row],[LAVAMANOS / LAVAPLATOS / LAVADERO]]=Z$2,100%,AVANCE[[#This Row],[LAVAMANOS / LAVAPLATOS / LAVADERO]])</f>
        <v>0</v>
      </c>
      <c r="BS235" s="3">
        <f>+IF(AVANCE[[#This Row],[CANALIZACIÓN]]=AC$2,100%,AVANCE[[#This Row],[CANALIZACIÓN]])</f>
        <v>0</v>
      </c>
      <c r="BT235" s="3">
        <f>+IF(AVANCE[[#This Row],[CABLEADO]]=AD$2,100%,AVANCE[[#This Row],[CABLEADO]])</f>
        <v>0</v>
      </c>
      <c r="BU235" s="3">
        <f>+IF(AVANCE[[#This Row],[ARTEFACTOS]]=AE$2,100%,AVANCE[[#This Row],[ARTEFACTOS]])</f>
        <v>0</v>
      </c>
      <c r="BV235" s="3">
        <f>+IF(AVANCE[[#This Row],[TABLERO]]=AF$2,100%,AVANCE[[#This Row],[TABLERO]])</f>
        <v>0</v>
      </c>
      <c r="BW235" s="3">
        <f>+IF(AVANCE[[#This Row],[CAJA PAU]]=AG$2,100%,AVANCE[[#This Row],[CAJA PAU]])</f>
        <v>0</v>
      </c>
      <c r="BX235" s="3">
        <f>+IF(AVANCE[[#This Row],[INSTALACION VINILICO]]=AJ$2,100%,AVANCE[[#This Row],[INSTALACION VINILICO]])</f>
        <v>0</v>
      </c>
      <c r="BY235" s="3">
        <f>+IF(AVANCE[[#This Row],[OSB CUBIERTA]]=AK$2,100%,AVANCE[[#This Row],[OSB CUBIERTA]])</f>
        <v>0</v>
      </c>
      <c r="BZ235" s="3">
        <f>+IF(AVANCE[[#This Row],[BARANDA BALCON]]=AL$2,100%,AVANCE[[#This Row],[BARANDA BALCON]])</f>
        <v>0</v>
      </c>
      <c r="CA235" s="3">
        <f>+IF(AVANCE[[#This Row],[OSB EXTERIOR]]=AM$2,100%,AVANCE[[#This Row],[OSB EXTERIOR]])</f>
        <v>0</v>
      </c>
      <c r="CB235" s="3">
        <f>+IF(AVANCE[[#This Row],[SMART PANEL]]=AN$2,100%,AVANCE[[#This Row],[SMART PANEL]])</f>
        <v>0</v>
      </c>
      <c r="CC235" s="3">
        <f>+IF(AVANCE[[#This Row],[PINTURA EXTERIOR]]=AO$2,100%,AVANCE[[#This Row],[PINTURA EXTERIOR]])</f>
        <v>0</v>
      </c>
      <c r="CD235" s="3">
        <f>+IF(AVANCE[[#This Row],[ZOCALOS LOGIA]]=AP$2,100%,AVANCE[[#This Row],[ZOCALOS LOGIA]])</f>
        <v>0</v>
      </c>
      <c r="CE235" s="3">
        <f>+IF(AVANCE[[#This Row],[MOLDURAS]]=AQ$2,100%,AVANCE[[#This Row],[MOLDURAS]])</f>
        <v>0</v>
      </c>
      <c r="CF235" s="3">
        <f>+IF(AVANCE[[#This Row],[PILASTREO]]=AR$2,100%,AVANCE[[#This Row],[PILASTREO]])</f>
        <v>0</v>
      </c>
      <c r="CG235" s="3">
        <f>+IF(AVANCE[[#This Row],[CELOSIAS]]=AS$2,100%,AVANCE[[#This Row],[CELOSIAS]])</f>
        <v>0</v>
      </c>
      <c r="CH235" s="3">
        <f>+IF(AVANCE[[#This Row],[VENTANAS]]=AT$2,100%,AVANCE[[#This Row],[VENTANAS]])</f>
        <v>0</v>
      </c>
      <c r="CI235" s="3">
        <f>+IF(AVANCE[[#This Row],[PUERTAS ACCESO - LOGIA - BANO]]=AU$2,100%,AVANCE[[#This Row],[PUERTAS ACCESO - LOGIA - BANO]])</f>
        <v>0</v>
      </c>
      <c r="CJ235" s="3">
        <f>+IF(AVANCE[[#This Row],[CERRADURAS]]=AV$2,100%,AVANCE[[#This Row],[CERRADURAS]])</f>
        <v>0</v>
      </c>
      <c r="CK235" s="3">
        <f>+IF(AVANCE[[#This Row],[REVESTIMIENTO INTERIOR ZONA SECA]]=AW$2,100%,AVANCE[[#This Row],[REVESTIMIENTO INTERIOR ZONA SECA]])</f>
        <v>0</v>
      </c>
      <c r="CL235" s="3">
        <f>+IF(AVANCE[[#This Row],[REVESTIMIENTO INTERIOR ZONAS HUMEDAS]]=AX$2,100%,AVANCE[[#This Row],[REVESTIMIENTO INTERIOR ZONAS HUMEDAS]])</f>
        <v>0</v>
      </c>
      <c r="CM235" s="3">
        <f>+IF(AVANCE[[#This Row],[MEMBRANA CIELO]]=AY$2,100%,AVANCE[[#This Row],[MEMBRANA CIELO]])</f>
        <v>0</v>
      </c>
      <c r="CN235" s="3">
        <f>+IF(AVANCE[[#This Row],[LIMPIEZA FINAL]]=AZ$2,100%,AVANCE[[#This Row],[LIMPIEZA FINAL]])</f>
        <v>0</v>
      </c>
      <c r="CO235" s="3">
        <f>+IF(AVANCE[[#This Row],[PUERTAS DORMITORIO]]=BA$2,100%,AVANCE[[#This Row],[PUERTAS DORMITORIO]])</f>
        <v>0</v>
      </c>
      <c r="CP235" s="3">
        <f>+IF(AVANCE[[#This Row],[REVESTIMIENTO INTERIOR BANO]]=BB$2,100%,AVANCE[[#This Row],[REVESTIMIENTO INTERIOR BANO]])</f>
        <v>0</v>
      </c>
      <c r="CQ235" s="3">
        <f>+IF(AVANCE[[#This Row],[MUEBLE LAVAPLATOS]]=BC$2,100%,AVANCE[[#This Row],[MUEBLE LAVAPLATOS]])</f>
        <v>0</v>
      </c>
      <c r="CR235" s="3">
        <f>+IF(AVANCE[[#This Row],[IMPERMEABILIZACION BANO - COCINA LOGIA]]=BD$2,100%,AVANCE[[#This Row],[IMPERMEABILIZACION BANO - COCINA LOGIA]])</f>
        <v>0</v>
      </c>
      <c r="CS235" s="40">
        <f ca="1">+IF(AVANCE[[#This Row],[ESTADO MODULO]]="PENDIENTE",(TODAY()-AVANCE[[#This Row],[FECHA TERMINO  PLANIFICADO]]),0)</f>
        <v>0</v>
      </c>
      <c r="CT235" s="41" t="str" cm="1">
        <f t="array" ref="CT235">_xlfn.TEXTJOIN(" | ",TRUE,IF(SUMPRODUCT((BG235:CR235&lt;1)*(PARTIDAS!$I$2:$AT$2="OBRA GRUESA"))&gt;0,"OBRA GRUESA: "&amp;_xlfn.TEXTJOIN(", ",TRUE,IF((BG235:CR235&lt;1)*(PARTIDAS!$I$2:$AT$2="OBRA GRUESA"),PARTIDAS!$I$1:$AT$1,"")),""),IF(SUMPRODUCT((BG235:CR235&lt;1)*(PARTIDAS!$I$2:$AT$2="SANITARIOS"))&gt;0,"SANITARIOS: "&amp;_xlfn.TEXTJOIN(", ",TRUE,IF((BG235:CR235&lt;1)*(PARTIDAS!$I$2:$AT$2="SANITARIOS"),PARTIDAS!$I$1:$AT$1,"")),""),IF(SUMPRODUCT((BG235:CR235&lt;1)*(PARTIDAS!$I$2:$AT$2="ELÉCTRICO"))&gt;0,"ELÉCTRICO: "&amp;_xlfn.TEXTJOIN(", ",TRUE,IF((BG235:CR235&lt;1)*(PARTIDAS!$I$2:$AT$2="ELÉCTRICO"),PARTIDAS!$I$1:$AT$1,"")),""),IF(SUMPRODUCT((BG235:CR235&lt;1)*(PARTIDAS!$I$2:$AT$2="TERMINACIONES"))&gt;0,"TERMINACIONES: "&amp;_xlfn.TEXTJOIN(", ",TRUE,IF((BG235:CR235&lt;1)*(PARTIDAS!$I$2:$AT$2="TERMINACIONES"),PARTIDAS!$I$1:$AT$1,"")),""))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5" s="43" t="str" cm="1">
        <f t="array" ref="CU235">_xlfn.TEXTJOIN(", ",TRUE,IF(SUMPRODUCT((BG235:CR235&lt;1)*(PARTIDAS!$I$2:$AT$2="OBRA GRUESA"))&gt;0,"OBRA GRUESA",""),IF(SUMPRODUCT((BG235:CR235&lt;1)*(PARTIDAS!$I$2:$AT$2="SANITARIOS"))&gt;0,"SANITARIOS",""),IF(SUMPRODUCT((BG235:CR235&lt;1)*(PARTIDAS!$I$2:$AT$2="ELÉCTRICO"))&gt;0,"ELÉCTRICO",""),IF(SUMPRODUCT((BG235:CR235&lt;1)*(PARTIDAS!$I$2:$AT$2="TERMINACIONES"))&gt;0,"TERMINACIONES",""))</f>
        <v>OBRA GRUESA, SANITARIOS, ELÉCTRICO, TERMINACIONES</v>
      </c>
      <c r="CV235" s="44" cm="1">
        <f t="array" ref="CV235">SUMPRODUCT(--(BG235:CR235&lt;1))</f>
        <v>38</v>
      </c>
    </row>
    <row r="236" spans="1:100" hidden="1" x14ac:dyDescent="0.25">
      <c r="A236" t="s">
        <v>289</v>
      </c>
      <c r="B236" t="s">
        <v>300</v>
      </c>
      <c r="C236">
        <v>2302600235</v>
      </c>
      <c r="D236" t="s">
        <v>60</v>
      </c>
      <c r="E236" s="2">
        <v>0</v>
      </c>
      <c r="F236" s="1">
        <v>46255</v>
      </c>
      <c r="G236" s="1"/>
      <c r="H236" s="1">
        <v>0</v>
      </c>
      <c r="I236" s="1">
        <v>46285</v>
      </c>
      <c r="J236">
        <v>46230</v>
      </c>
      <c r="K236" s="1"/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>
        <v>31.32</v>
      </c>
      <c r="BF236" s="3" t="str">
        <f>+IF(AVANCE[[#This Row],[% AVANCE]]=100%,"MODULO TERMINADO",IF(AVANCE[[#This Row],[FECHA INICIO REAL]]="","MODULO NO INICIADO","PENDIENTE"))</f>
        <v>MODULO NO INICIADO</v>
      </c>
      <c r="BG236" s="3">
        <f>+IF(AVANCE[[#This Row],[VENTANAS]]=8.10810810810811%,100%,AVANCE[[#This Row],[VENTANAS]])</f>
        <v>0</v>
      </c>
      <c r="BH236" s="3">
        <f>+IF(AVANCE[[#This Row],[PISO]]=N$2,100%,AVANCE[[#This Row],[PISO]])</f>
        <v>0</v>
      </c>
      <c r="BI236" s="3">
        <f>+IF(AVANCE[[#This Row],[TABIQUES]]=O$2,100%,AVANCE[[#This Row],[TABIQUES]])</f>
        <v>0</v>
      </c>
      <c r="BJ236" s="3">
        <f>+IF(AVANCE[[#This Row],[MUROS]]=P$2,100%,AVANCE[[#This Row],[MUROS]])</f>
        <v>0</v>
      </c>
      <c r="BK236" s="3">
        <f>+IF(AVANCE[[#This Row],[CIELO]]=Q$2,100%,AVANCE[[#This Row],[CIELO]])</f>
        <v>0</v>
      </c>
      <c r="BL236" s="3">
        <f>+IF(AVANCE[[#This Row],[BALCÓN]]=R$2,100%,AVANCE[[#This Row],[BALCÓN]])</f>
        <v>0</v>
      </c>
      <c r="BM236" s="3">
        <f>+IF(AVANCE[[#This Row],[RED ALCANTARILLADO]]=U$2,100%,AVANCE[[#This Row],[RED ALCANTARILLADO]])</f>
        <v>0</v>
      </c>
      <c r="BN236" s="3">
        <f>+IF(AVANCE[[#This Row],[RED DE AGUA]]=V$2,100%,AVANCE[[#This Row],[RED DE AGUA]])</f>
        <v>0</v>
      </c>
      <c r="BO236" s="3">
        <f>+IF(AVANCE[[#This Row],[VENTILACIONES]]=W$2,100%,AVANCE[[#This Row],[VENTILACIONES]])</f>
        <v>0</v>
      </c>
      <c r="BP236" s="3">
        <f>+IF(AVANCE[[#This Row],[TINA]]=X$2,100%,AVANCE[[#This Row],[TINA]])</f>
        <v>0</v>
      </c>
      <c r="BQ236" s="3">
        <f>+IF(AVANCE[[#This Row],[WC]]=Y$2,100%,AVANCE[[#This Row],[WC]])</f>
        <v>0</v>
      </c>
      <c r="BR236" s="3">
        <f>+IF(AVANCE[[#This Row],[LAVAMANOS / LAVAPLATOS / LAVADERO]]=Z$2,100%,AVANCE[[#This Row],[LAVAMANOS / LAVAPLATOS / LAVADERO]])</f>
        <v>0</v>
      </c>
      <c r="BS236" s="3">
        <f>+IF(AVANCE[[#This Row],[CANALIZACIÓN]]=AC$2,100%,AVANCE[[#This Row],[CANALIZACIÓN]])</f>
        <v>0</v>
      </c>
      <c r="BT236" s="3">
        <f>+IF(AVANCE[[#This Row],[CABLEADO]]=AD$2,100%,AVANCE[[#This Row],[CABLEADO]])</f>
        <v>0</v>
      </c>
      <c r="BU236" s="3">
        <f>+IF(AVANCE[[#This Row],[ARTEFACTOS]]=AE$2,100%,AVANCE[[#This Row],[ARTEFACTOS]])</f>
        <v>0</v>
      </c>
      <c r="BV236" s="3">
        <f>+IF(AVANCE[[#This Row],[TABLERO]]=AF$2,100%,AVANCE[[#This Row],[TABLERO]])</f>
        <v>0</v>
      </c>
      <c r="BW236" s="3">
        <f>+IF(AVANCE[[#This Row],[CAJA PAU]]=AG$2,100%,AVANCE[[#This Row],[CAJA PAU]])</f>
        <v>0</v>
      </c>
      <c r="BX236" s="3">
        <f>+IF(AVANCE[[#This Row],[INSTALACION VINILICO]]=AJ$2,100%,AVANCE[[#This Row],[INSTALACION VINILICO]])</f>
        <v>0</v>
      </c>
      <c r="BY236" s="3">
        <f>+IF(AVANCE[[#This Row],[OSB CUBIERTA]]=AK$2,100%,AVANCE[[#This Row],[OSB CUBIERTA]])</f>
        <v>0</v>
      </c>
      <c r="BZ236" s="3">
        <f>+IF(AVANCE[[#This Row],[BARANDA BALCON]]=AL$2,100%,AVANCE[[#This Row],[BARANDA BALCON]])</f>
        <v>0</v>
      </c>
      <c r="CA236" s="3">
        <f>+IF(AVANCE[[#This Row],[OSB EXTERIOR]]=AM$2,100%,AVANCE[[#This Row],[OSB EXTERIOR]])</f>
        <v>0</v>
      </c>
      <c r="CB236" s="3">
        <f>+IF(AVANCE[[#This Row],[SMART PANEL]]=AN$2,100%,AVANCE[[#This Row],[SMART PANEL]])</f>
        <v>0</v>
      </c>
      <c r="CC236" s="3">
        <f>+IF(AVANCE[[#This Row],[PINTURA EXTERIOR]]=AO$2,100%,AVANCE[[#This Row],[PINTURA EXTERIOR]])</f>
        <v>0</v>
      </c>
      <c r="CD236" s="3">
        <f>+IF(AVANCE[[#This Row],[ZOCALOS LOGIA]]=AP$2,100%,AVANCE[[#This Row],[ZOCALOS LOGIA]])</f>
        <v>0</v>
      </c>
      <c r="CE236" s="3">
        <f>+IF(AVANCE[[#This Row],[MOLDURAS]]=AQ$2,100%,AVANCE[[#This Row],[MOLDURAS]])</f>
        <v>0</v>
      </c>
      <c r="CF236" s="3">
        <f>+IF(AVANCE[[#This Row],[PILASTREO]]=AR$2,100%,AVANCE[[#This Row],[PILASTREO]])</f>
        <v>0</v>
      </c>
      <c r="CG236" s="3">
        <f>+IF(AVANCE[[#This Row],[CELOSIAS]]=AS$2,100%,AVANCE[[#This Row],[CELOSIAS]])</f>
        <v>0</v>
      </c>
      <c r="CH236" s="3">
        <f>+IF(AVANCE[[#This Row],[VENTANAS]]=AT$2,100%,AVANCE[[#This Row],[VENTANAS]])</f>
        <v>0</v>
      </c>
      <c r="CI236" s="3">
        <f>+IF(AVANCE[[#This Row],[PUERTAS ACCESO - LOGIA - BANO]]=AU$2,100%,AVANCE[[#This Row],[PUERTAS ACCESO - LOGIA - BANO]])</f>
        <v>0</v>
      </c>
      <c r="CJ236" s="3">
        <f>+IF(AVANCE[[#This Row],[CERRADURAS]]=AV$2,100%,AVANCE[[#This Row],[CERRADURAS]])</f>
        <v>0</v>
      </c>
      <c r="CK236" s="3">
        <f>+IF(AVANCE[[#This Row],[REVESTIMIENTO INTERIOR ZONA SECA]]=AW$2,100%,AVANCE[[#This Row],[REVESTIMIENTO INTERIOR ZONA SECA]])</f>
        <v>0</v>
      </c>
      <c r="CL236" s="3">
        <f>+IF(AVANCE[[#This Row],[REVESTIMIENTO INTERIOR ZONAS HUMEDAS]]=AX$2,100%,AVANCE[[#This Row],[REVESTIMIENTO INTERIOR ZONAS HUMEDAS]])</f>
        <v>0</v>
      </c>
      <c r="CM236" s="3">
        <f>+IF(AVANCE[[#This Row],[MEMBRANA CIELO]]=AY$2,100%,AVANCE[[#This Row],[MEMBRANA CIELO]])</f>
        <v>0</v>
      </c>
      <c r="CN236" s="3">
        <f>+IF(AVANCE[[#This Row],[LIMPIEZA FINAL]]=AZ$2,100%,AVANCE[[#This Row],[LIMPIEZA FINAL]])</f>
        <v>0</v>
      </c>
      <c r="CO236" s="3">
        <f>+IF(AVANCE[[#This Row],[PUERTAS DORMITORIO]]=BA$2,100%,AVANCE[[#This Row],[PUERTAS DORMITORIO]])</f>
        <v>0</v>
      </c>
      <c r="CP236" s="3">
        <f>+IF(AVANCE[[#This Row],[REVESTIMIENTO INTERIOR BANO]]=BB$2,100%,AVANCE[[#This Row],[REVESTIMIENTO INTERIOR BANO]])</f>
        <v>0</v>
      </c>
      <c r="CQ236" s="3">
        <f>+IF(AVANCE[[#This Row],[MUEBLE LAVAPLATOS]]=BC$2,100%,AVANCE[[#This Row],[MUEBLE LAVAPLATOS]])</f>
        <v>0</v>
      </c>
      <c r="CR236" s="3">
        <f>+IF(AVANCE[[#This Row],[IMPERMEABILIZACION BANO - COCINA LOGIA]]=BD$2,100%,AVANCE[[#This Row],[IMPERMEABILIZACION BANO - COCINA LOGIA]])</f>
        <v>0</v>
      </c>
      <c r="CS236" s="40">
        <f ca="1">+IF(AVANCE[[#This Row],[ESTADO MODULO]]="PENDIENTE",(TODAY()-AVANCE[[#This Row],[FECHA TERMINO  PLANIFICADO]]),0)</f>
        <v>0</v>
      </c>
      <c r="CT236" s="41" t="str" cm="1">
        <f t="array" ref="CT236">_xlfn.TEXTJOIN(" | ",TRUE,IF(SUMPRODUCT((BG236:CR236&lt;1)*(PARTIDAS!$I$2:$AT$2="OBRA GRUESA"))&gt;0,"OBRA GRUESA: "&amp;_xlfn.TEXTJOIN(", ",TRUE,IF((BG236:CR236&lt;1)*(PARTIDAS!$I$2:$AT$2="OBRA GRUESA"),PARTIDAS!$I$1:$AT$1,"")),""),IF(SUMPRODUCT((BG236:CR236&lt;1)*(PARTIDAS!$I$2:$AT$2="SANITARIOS"))&gt;0,"SANITARIOS: "&amp;_xlfn.TEXTJOIN(", ",TRUE,IF((BG236:CR236&lt;1)*(PARTIDAS!$I$2:$AT$2="SANITARIOS"),PARTIDAS!$I$1:$AT$1,"")),""),IF(SUMPRODUCT((BG236:CR236&lt;1)*(PARTIDAS!$I$2:$AT$2="ELÉCTRICO"))&gt;0,"ELÉCTRICO: "&amp;_xlfn.TEXTJOIN(", ",TRUE,IF((BG236:CR236&lt;1)*(PARTIDAS!$I$2:$AT$2="ELÉCTRICO"),PARTIDAS!$I$1:$AT$1,"")),""),IF(SUMPRODUCT((BG236:CR236&lt;1)*(PARTIDAS!$I$2:$AT$2="TERMINACIONES"))&gt;0,"TERMINACIONES: "&amp;_xlfn.TEXTJOIN(", ",TRUE,IF((BG236:CR236&lt;1)*(PARTIDAS!$I$2:$AT$2="TERMINACIONES"),PARTIDAS!$I$1:$AT$1,"")),""))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6" s="43" t="str" cm="1">
        <f t="array" ref="CU236">_xlfn.TEXTJOIN(", ",TRUE,IF(SUMPRODUCT((BG236:CR236&lt;1)*(PARTIDAS!$I$2:$AT$2="OBRA GRUESA"))&gt;0,"OBRA GRUESA",""),IF(SUMPRODUCT((BG236:CR236&lt;1)*(PARTIDAS!$I$2:$AT$2="SANITARIOS"))&gt;0,"SANITARIOS",""),IF(SUMPRODUCT((BG236:CR236&lt;1)*(PARTIDAS!$I$2:$AT$2="ELÉCTRICO"))&gt;0,"ELÉCTRICO",""),IF(SUMPRODUCT((BG236:CR236&lt;1)*(PARTIDAS!$I$2:$AT$2="TERMINACIONES"))&gt;0,"TERMINACIONES",""))</f>
        <v>OBRA GRUESA, SANITARIOS, ELÉCTRICO, TERMINACIONES</v>
      </c>
      <c r="CV236" s="44" cm="1">
        <f t="array" ref="CV236">SUMPRODUCT(--(BG236:CR236&lt;1))</f>
        <v>38</v>
      </c>
    </row>
    <row r="237" spans="1:100" hidden="1" x14ac:dyDescent="0.25">
      <c r="A237" t="s">
        <v>289</v>
      </c>
      <c r="B237" t="s">
        <v>301</v>
      </c>
      <c r="C237">
        <v>2282600236</v>
      </c>
      <c r="D237" t="s">
        <v>58</v>
      </c>
      <c r="E237" s="2">
        <v>0</v>
      </c>
      <c r="F237" s="1">
        <v>46258</v>
      </c>
      <c r="G237" s="1"/>
      <c r="H237" s="1">
        <v>0</v>
      </c>
      <c r="I237" s="1">
        <v>46278</v>
      </c>
      <c r="J237">
        <v>46230</v>
      </c>
      <c r="K237" s="1"/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>
        <v>28.87</v>
      </c>
      <c r="BF237" s="3" t="str">
        <f>+IF(AVANCE[[#This Row],[% AVANCE]]=100%,"MODULO TERMINADO",IF(AVANCE[[#This Row],[FECHA INICIO REAL]]="","MODULO NO INICIADO","PENDIENTE"))</f>
        <v>MODULO NO INICIADO</v>
      </c>
      <c r="BG237" s="3">
        <f>+IF(AVANCE[[#This Row],[VENTANAS]]=8.10810810810811%,100%,AVANCE[[#This Row],[VENTANAS]])</f>
        <v>0</v>
      </c>
      <c r="BH237" s="3">
        <f>+IF(AVANCE[[#This Row],[PISO]]=N$2,100%,AVANCE[[#This Row],[PISO]])</f>
        <v>0</v>
      </c>
      <c r="BI237" s="3">
        <f>+IF(AVANCE[[#This Row],[TABIQUES]]=O$2,100%,AVANCE[[#This Row],[TABIQUES]])</f>
        <v>0</v>
      </c>
      <c r="BJ237" s="3">
        <f>+IF(AVANCE[[#This Row],[MUROS]]=P$2,100%,AVANCE[[#This Row],[MUROS]])</f>
        <v>0</v>
      </c>
      <c r="BK237" s="3">
        <f>+IF(AVANCE[[#This Row],[CIELO]]=Q$2,100%,AVANCE[[#This Row],[CIELO]])</f>
        <v>0</v>
      </c>
      <c r="BL237" s="3">
        <f>+IF(AVANCE[[#This Row],[BALCÓN]]=R$2,100%,AVANCE[[#This Row],[BALCÓN]])</f>
        <v>0</v>
      </c>
      <c r="BM237" s="3">
        <f>+IF(AVANCE[[#This Row],[RED ALCANTARILLADO]]=U$2,100%,AVANCE[[#This Row],[RED ALCANTARILLADO]])</f>
        <v>0</v>
      </c>
      <c r="BN237" s="3">
        <f>+IF(AVANCE[[#This Row],[RED DE AGUA]]=V$2,100%,AVANCE[[#This Row],[RED DE AGUA]])</f>
        <v>0</v>
      </c>
      <c r="BO237" s="3">
        <f>+IF(AVANCE[[#This Row],[VENTILACIONES]]=W$2,100%,AVANCE[[#This Row],[VENTILACIONES]])</f>
        <v>0</v>
      </c>
      <c r="BP237" s="3">
        <f>+IF(AVANCE[[#This Row],[TINA]]=X$2,100%,AVANCE[[#This Row],[TINA]])</f>
        <v>0</v>
      </c>
      <c r="BQ237" s="3">
        <f>+IF(AVANCE[[#This Row],[WC]]=Y$2,100%,AVANCE[[#This Row],[WC]])</f>
        <v>0</v>
      </c>
      <c r="BR237" s="3">
        <f>+IF(AVANCE[[#This Row],[LAVAMANOS / LAVAPLATOS / LAVADERO]]=Z$2,100%,AVANCE[[#This Row],[LAVAMANOS / LAVAPLATOS / LAVADERO]])</f>
        <v>0</v>
      </c>
      <c r="BS237" s="3">
        <f>+IF(AVANCE[[#This Row],[CANALIZACIÓN]]=AC$2,100%,AVANCE[[#This Row],[CANALIZACIÓN]])</f>
        <v>0</v>
      </c>
      <c r="BT237" s="3">
        <f>+IF(AVANCE[[#This Row],[CABLEADO]]=AD$2,100%,AVANCE[[#This Row],[CABLEADO]])</f>
        <v>0</v>
      </c>
      <c r="BU237" s="3">
        <f>+IF(AVANCE[[#This Row],[ARTEFACTOS]]=AE$2,100%,AVANCE[[#This Row],[ARTEFACTOS]])</f>
        <v>0</v>
      </c>
      <c r="BV237" s="3">
        <f>+IF(AVANCE[[#This Row],[TABLERO]]=AF$2,100%,AVANCE[[#This Row],[TABLERO]])</f>
        <v>0</v>
      </c>
      <c r="BW237" s="3">
        <f>+IF(AVANCE[[#This Row],[CAJA PAU]]=AG$2,100%,AVANCE[[#This Row],[CAJA PAU]])</f>
        <v>0</v>
      </c>
      <c r="BX237" s="3">
        <f>+IF(AVANCE[[#This Row],[INSTALACION VINILICO]]=AJ$2,100%,AVANCE[[#This Row],[INSTALACION VINILICO]])</f>
        <v>0</v>
      </c>
      <c r="BY237" s="3">
        <f>+IF(AVANCE[[#This Row],[OSB CUBIERTA]]=AK$2,100%,AVANCE[[#This Row],[OSB CUBIERTA]])</f>
        <v>0</v>
      </c>
      <c r="BZ237" s="3">
        <f>+IF(AVANCE[[#This Row],[BARANDA BALCON]]=AL$2,100%,AVANCE[[#This Row],[BARANDA BALCON]])</f>
        <v>0</v>
      </c>
      <c r="CA237" s="3">
        <f>+IF(AVANCE[[#This Row],[OSB EXTERIOR]]=AM$2,100%,AVANCE[[#This Row],[OSB EXTERIOR]])</f>
        <v>0</v>
      </c>
      <c r="CB237" s="3">
        <f>+IF(AVANCE[[#This Row],[SMART PANEL]]=AN$2,100%,AVANCE[[#This Row],[SMART PANEL]])</f>
        <v>0</v>
      </c>
      <c r="CC237" s="3">
        <f>+IF(AVANCE[[#This Row],[PINTURA EXTERIOR]]=AO$2,100%,AVANCE[[#This Row],[PINTURA EXTERIOR]])</f>
        <v>0</v>
      </c>
      <c r="CD237" s="3">
        <f>+IF(AVANCE[[#This Row],[ZOCALOS LOGIA]]=AP$2,100%,AVANCE[[#This Row],[ZOCALOS LOGIA]])</f>
        <v>0</v>
      </c>
      <c r="CE237" s="3">
        <f>+IF(AVANCE[[#This Row],[MOLDURAS]]=AQ$2,100%,AVANCE[[#This Row],[MOLDURAS]])</f>
        <v>0</v>
      </c>
      <c r="CF237" s="3">
        <f>+IF(AVANCE[[#This Row],[PILASTREO]]=AR$2,100%,AVANCE[[#This Row],[PILASTREO]])</f>
        <v>0</v>
      </c>
      <c r="CG237" s="3">
        <f>+IF(AVANCE[[#This Row],[CELOSIAS]]=AS$2,100%,AVANCE[[#This Row],[CELOSIAS]])</f>
        <v>0</v>
      </c>
      <c r="CH237" s="3">
        <f>+IF(AVANCE[[#This Row],[VENTANAS]]=AT$2,100%,AVANCE[[#This Row],[VENTANAS]])</f>
        <v>0</v>
      </c>
      <c r="CI237" s="3">
        <f>+IF(AVANCE[[#This Row],[PUERTAS ACCESO - LOGIA - BANO]]=AU$2,100%,AVANCE[[#This Row],[PUERTAS ACCESO - LOGIA - BANO]])</f>
        <v>0</v>
      </c>
      <c r="CJ237" s="3">
        <f>+IF(AVANCE[[#This Row],[CERRADURAS]]=AV$2,100%,AVANCE[[#This Row],[CERRADURAS]])</f>
        <v>0</v>
      </c>
      <c r="CK237" s="3">
        <f>+IF(AVANCE[[#This Row],[REVESTIMIENTO INTERIOR ZONA SECA]]=AW$2,100%,AVANCE[[#This Row],[REVESTIMIENTO INTERIOR ZONA SECA]])</f>
        <v>0</v>
      </c>
      <c r="CL237" s="3">
        <f>+IF(AVANCE[[#This Row],[REVESTIMIENTO INTERIOR ZONAS HUMEDAS]]=AX$2,100%,AVANCE[[#This Row],[REVESTIMIENTO INTERIOR ZONAS HUMEDAS]])</f>
        <v>0</v>
      </c>
      <c r="CM237" s="3">
        <f>+IF(AVANCE[[#This Row],[MEMBRANA CIELO]]=AY$2,100%,AVANCE[[#This Row],[MEMBRANA CIELO]])</f>
        <v>0</v>
      </c>
      <c r="CN237" s="3">
        <f>+IF(AVANCE[[#This Row],[LIMPIEZA FINAL]]=AZ$2,100%,AVANCE[[#This Row],[LIMPIEZA FINAL]])</f>
        <v>0</v>
      </c>
      <c r="CO237" s="3">
        <f>+IF(AVANCE[[#This Row],[PUERTAS DORMITORIO]]=BA$2,100%,AVANCE[[#This Row],[PUERTAS DORMITORIO]])</f>
        <v>0</v>
      </c>
      <c r="CP237" s="3">
        <f>+IF(AVANCE[[#This Row],[REVESTIMIENTO INTERIOR BANO]]=BB$2,100%,AVANCE[[#This Row],[REVESTIMIENTO INTERIOR BANO]])</f>
        <v>0</v>
      </c>
      <c r="CQ237" s="3">
        <f>+IF(AVANCE[[#This Row],[MUEBLE LAVAPLATOS]]=BC$2,100%,AVANCE[[#This Row],[MUEBLE LAVAPLATOS]])</f>
        <v>0</v>
      </c>
      <c r="CR237" s="3">
        <f>+IF(AVANCE[[#This Row],[IMPERMEABILIZACION BANO - COCINA LOGIA]]=BD$2,100%,AVANCE[[#This Row],[IMPERMEABILIZACION BANO - COCINA LOGIA]])</f>
        <v>0</v>
      </c>
      <c r="CS237" s="40">
        <f ca="1">+IF(AVANCE[[#This Row],[ESTADO MODULO]]="PENDIENTE",(TODAY()-AVANCE[[#This Row],[FECHA TERMINO  PLANIFICADO]]),0)</f>
        <v>0</v>
      </c>
      <c r="CT237" s="41" t="str" cm="1">
        <f t="array" ref="CT237">_xlfn.TEXTJOIN(" | ",TRUE,IF(SUMPRODUCT((BG237:CR237&lt;1)*(PARTIDAS!$I$2:$AT$2="OBRA GRUESA"))&gt;0,"OBRA GRUESA: "&amp;_xlfn.TEXTJOIN(", ",TRUE,IF((BG237:CR237&lt;1)*(PARTIDAS!$I$2:$AT$2="OBRA GRUESA"),PARTIDAS!$I$1:$AT$1,"")),""),IF(SUMPRODUCT((BG237:CR237&lt;1)*(PARTIDAS!$I$2:$AT$2="SANITARIOS"))&gt;0,"SANITARIOS: "&amp;_xlfn.TEXTJOIN(", ",TRUE,IF((BG237:CR237&lt;1)*(PARTIDAS!$I$2:$AT$2="SANITARIOS"),PARTIDAS!$I$1:$AT$1,"")),""),IF(SUMPRODUCT((BG237:CR237&lt;1)*(PARTIDAS!$I$2:$AT$2="ELÉCTRICO"))&gt;0,"ELÉCTRICO: "&amp;_xlfn.TEXTJOIN(", ",TRUE,IF((BG237:CR237&lt;1)*(PARTIDAS!$I$2:$AT$2="ELÉCTRICO"),PARTIDAS!$I$1:$AT$1,"")),""),IF(SUMPRODUCT((BG237:CR237&lt;1)*(PARTIDAS!$I$2:$AT$2="TERMINACIONES"))&gt;0,"TERMINACIONES: "&amp;_xlfn.TEXTJOIN(", ",TRUE,IF((BG237:CR237&lt;1)*(PARTIDAS!$I$2:$AT$2="TERMINACIONES"),PARTIDAS!$I$1:$AT$1,"")),""))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7" s="43" t="str" cm="1">
        <f t="array" ref="CU237">_xlfn.TEXTJOIN(", ",TRUE,IF(SUMPRODUCT((BG237:CR237&lt;1)*(PARTIDAS!$I$2:$AT$2="OBRA GRUESA"))&gt;0,"OBRA GRUESA",""),IF(SUMPRODUCT((BG237:CR237&lt;1)*(PARTIDAS!$I$2:$AT$2="SANITARIOS"))&gt;0,"SANITARIOS",""),IF(SUMPRODUCT((BG237:CR237&lt;1)*(PARTIDAS!$I$2:$AT$2="ELÉCTRICO"))&gt;0,"ELÉCTRICO",""),IF(SUMPRODUCT((BG237:CR237&lt;1)*(PARTIDAS!$I$2:$AT$2="TERMINACIONES"))&gt;0,"TERMINACIONES",""))</f>
        <v>OBRA GRUESA, SANITARIOS, ELÉCTRICO, TERMINACIONES</v>
      </c>
      <c r="CV237" s="44" cm="1">
        <f t="array" ref="CV237">SUMPRODUCT(--(BG237:CR237&lt;1))</f>
        <v>38</v>
      </c>
    </row>
    <row r="238" spans="1:100" hidden="1" x14ac:dyDescent="0.25">
      <c r="A238" t="s">
        <v>289</v>
      </c>
      <c r="B238" t="s">
        <v>302</v>
      </c>
      <c r="C238">
        <v>2282600237</v>
      </c>
      <c r="D238" t="s">
        <v>58</v>
      </c>
      <c r="E238" s="2">
        <v>0</v>
      </c>
      <c r="F238" s="1">
        <v>46258</v>
      </c>
      <c r="G238" s="1"/>
      <c r="H238" s="1">
        <v>0</v>
      </c>
      <c r="I238" s="1">
        <v>46278</v>
      </c>
      <c r="J238">
        <v>46230</v>
      </c>
      <c r="K238" s="1"/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>
        <v>28.87</v>
      </c>
      <c r="BF238" s="3" t="str">
        <f>+IF(AVANCE[[#This Row],[% AVANCE]]=100%,"MODULO TERMINADO",IF(AVANCE[[#This Row],[FECHA INICIO REAL]]="","MODULO NO INICIADO","PENDIENTE"))</f>
        <v>MODULO NO INICIADO</v>
      </c>
      <c r="BG238" s="3">
        <f>+IF(AVANCE[[#This Row],[VENTANAS]]=8.10810810810811%,100%,AVANCE[[#This Row],[VENTANAS]])</f>
        <v>0</v>
      </c>
      <c r="BH238" s="3">
        <f>+IF(AVANCE[[#This Row],[PISO]]=N$2,100%,AVANCE[[#This Row],[PISO]])</f>
        <v>0</v>
      </c>
      <c r="BI238" s="3">
        <f>+IF(AVANCE[[#This Row],[TABIQUES]]=O$2,100%,AVANCE[[#This Row],[TABIQUES]])</f>
        <v>0</v>
      </c>
      <c r="BJ238" s="3">
        <f>+IF(AVANCE[[#This Row],[MUROS]]=P$2,100%,AVANCE[[#This Row],[MUROS]])</f>
        <v>0</v>
      </c>
      <c r="BK238" s="3">
        <f>+IF(AVANCE[[#This Row],[CIELO]]=Q$2,100%,AVANCE[[#This Row],[CIELO]])</f>
        <v>0</v>
      </c>
      <c r="BL238" s="3">
        <f>+IF(AVANCE[[#This Row],[BALCÓN]]=R$2,100%,AVANCE[[#This Row],[BALCÓN]])</f>
        <v>0</v>
      </c>
      <c r="BM238" s="3">
        <f>+IF(AVANCE[[#This Row],[RED ALCANTARILLADO]]=U$2,100%,AVANCE[[#This Row],[RED ALCANTARILLADO]])</f>
        <v>0</v>
      </c>
      <c r="BN238" s="3">
        <f>+IF(AVANCE[[#This Row],[RED DE AGUA]]=V$2,100%,AVANCE[[#This Row],[RED DE AGUA]])</f>
        <v>0</v>
      </c>
      <c r="BO238" s="3">
        <f>+IF(AVANCE[[#This Row],[VENTILACIONES]]=W$2,100%,AVANCE[[#This Row],[VENTILACIONES]])</f>
        <v>0</v>
      </c>
      <c r="BP238" s="3">
        <f>+IF(AVANCE[[#This Row],[TINA]]=X$2,100%,AVANCE[[#This Row],[TINA]])</f>
        <v>0</v>
      </c>
      <c r="BQ238" s="3">
        <f>+IF(AVANCE[[#This Row],[WC]]=Y$2,100%,AVANCE[[#This Row],[WC]])</f>
        <v>0</v>
      </c>
      <c r="BR238" s="3">
        <f>+IF(AVANCE[[#This Row],[LAVAMANOS / LAVAPLATOS / LAVADERO]]=Z$2,100%,AVANCE[[#This Row],[LAVAMANOS / LAVAPLATOS / LAVADERO]])</f>
        <v>0</v>
      </c>
      <c r="BS238" s="3">
        <f>+IF(AVANCE[[#This Row],[CANALIZACIÓN]]=AC$2,100%,AVANCE[[#This Row],[CANALIZACIÓN]])</f>
        <v>0</v>
      </c>
      <c r="BT238" s="3">
        <f>+IF(AVANCE[[#This Row],[CABLEADO]]=AD$2,100%,AVANCE[[#This Row],[CABLEADO]])</f>
        <v>0</v>
      </c>
      <c r="BU238" s="3">
        <f>+IF(AVANCE[[#This Row],[ARTEFACTOS]]=AE$2,100%,AVANCE[[#This Row],[ARTEFACTOS]])</f>
        <v>0</v>
      </c>
      <c r="BV238" s="3">
        <f>+IF(AVANCE[[#This Row],[TABLERO]]=AF$2,100%,AVANCE[[#This Row],[TABLERO]])</f>
        <v>0</v>
      </c>
      <c r="BW238" s="3">
        <f>+IF(AVANCE[[#This Row],[CAJA PAU]]=AG$2,100%,AVANCE[[#This Row],[CAJA PAU]])</f>
        <v>0</v>
      </c>
      <c r="BX238" s="3">
        <f>+IF(AVANCE[[#This Row],[INSTALACION VINILICO]]=AJ$2,100%,AVANCE[[#This Row],[INSTALACION VINILICO]])</f>
        <v>0</v>
      </c>
      <c r="BY238" s="3">
        <f>+IF(AVANCE[[#This Row],[OSB CUBIERTA]]=AK$2,100%,AVANCE[[#This Row],[OSB CUBIERTA]])</f>
        <v>0</v>
      </c>
      <c r="BZ238" s="3">
        <f>+IF(AVANCE[[#This Row],[BARANDA BALCON]]=AL$2,100%,AVANCE[[#This Row],[BARANDA BALCON]])</f>
        <v>0</v>
      </c>
      <c r="CA238" s="3">
        <f>+IF(AVANCE[[#This Row],[OSB EXTERIOR]]=AM$2,100%,AVANCE[[#This Row],[OSB EXTERIOR]])</f>
        <v>0</v>
      </c>
      <c r="CB238" s="3">
        <f>+IF(AVANCE[[#This Row],[SMART PANEL]]=AN$2,100%,AVANCE[[#This Row],[SMART PANEL]])</f>
        <v>0</v>
      </c>
      <c r="CC238" s="3">
        <f>+IF(AVANCE[[#This Row],[PINTURA EXTERIOR]]=AO$2,100%,AVANCE[[#This Row],[PINTURA EXTERIOR]])</f>
        <v>0</v>
      </c>
      <c r="CD238" s="3">
        <f>+IF(AVANCE[[#This Row],[ZOCALOS LOGIA]]=AP$2,100%,AVANCE[[#This Row],[ZOCALOS LOGIA]])</f>
        <v>0</v>
      </c>
      <c r="CE238" s="3">
        <f>+IF(AVANCE[[#This Row],[MOLDURAS]]=AQ$2,100%,AVANCE[[#This Row],[MOLDURAS]])</f>
        <v>0</v>
      </c>
      <c r="CF238" s="3">
        <f>+IF(AVANCE[[#This Row],[PILASTREO]]=AR$2,100%,AVANCE[[#This Row],[PILASTREO]])</f>
        <v>0</v>
      </c>
      <c r="CG238" s="3">
        <f>+IF(AVANCE[[#This Row],[CELOSIAS]]=AS$2,100%,AVANCE[[#This Row],[CELOSIAS]])</f>
        <v>0</v>
      </c>
      <c r="CH238" s="3">
        <f>+IF(AVANCE[[#This Row],[VENTANAS]]=AT$2,100%,AVANCE[[#This Row],[VENTANAS]])</f>
        <v>0</v>
      </c>
      <c r="CI238" s="3">
        <f>+IF(AVANCE[[#This Row],[PUERTAS ACCESO - LOGIA - BANO]]=AU$2,100%,AVANCE[[#This Row],[PUERTAS ACCESO - LOGIA - BANO]])</f>
        <v>0</v>
      </c>
      <c r="CJ238" s="3">
        <f>+IF(AVANCE[[#This Row],[CERRADURAS]]=AV$2,100%,AVANCE[[#This Row],[CERRADURAS]])</f>
        <v>0</v>
      </c>
      <c r="CK238" s="3">
        <f>+IF(AVANCE[[#This Row],[REVESTIMIENTO INTERIOR ZONA SECA]]=AW$2,100%,AVANCE[[#This Row],[REVESTIMIENTO INTERIOR ZONA SECA]])</f>
        <v>0</v>
      </c>
      <c r="CL238" s="3">
        <f>+IF(AVANCE[[#This Row],[REVESTIMIENTO INTERIOR ZONAS HUMEDAS]]=AX$2,100%,AVANCE[[#This Row],[REVESTIMIENTO INTERIOR ZONAS HUMEDAS]])</f>
        <v>0</v>
      </c>
      <c r="CM238" s="3">
        <f>+IF(AVANCE[[#This Row],[MEMBRANA CIELO]]=AY$2,100%,AVANCE[[#This Row],[MEMBRANA CIELO]])</f>
        <v>0</v>
      </c>
      <c r="CN238" s="3">
        <f>+IF(AVANCE[[#This Row],[LIMPIEZA FINAL]]=AZ$2,100%,AVANCE[[#This Row],[LIMPIEZA FINAL]])</f>
        <v>0</v>
      </c>
      <c r="CO238" s="3">
        <f>+IF(AVANCE[[#This Row],[PUERTAS DORMITORIO]]=BA$2,100%,AVANCE[[#This Row],[PUERTAS DORMITORIO]])</f>
        <v>0</v>
      </c>
      <c r="CP238" s="3">
        <f>+IF(AVANCE[[#This Row],[REVESTIMIENTO INTERIOR BANO]]=BB$2,100%,AVANCE[[#This Row],[REVESTIMIENTO INTERIOR BANO]])</f>
        <v>0</v>
      </c>
      <c r="CQ238" s="3">
        <f>+IF(AVANCE[[#This Row],[MUEBLE LAVAPLATOS]]=BC$2,100%,AVANCE[[#This Row],[MUEBLE LAVAPLATOS]])</f>
        <v>0</v>
      </c>
      <c r="CR238" s="3">
        <f>+IF(AVANCE[[#This Row],[IMPERMEABILIZACION BANO - COCINA LOGIA]]=BD$2,100%,AVANCE[[#This Row],[IMPERMEABILIZACION BANO - COCINA LOGIA]])</f>
        <v>0</v>
      </c>
      <c r="CS238" s="40">
        <f ca="1">+IF(AVANCE[[#This Row],[ESTADO MODULO]]="PENDIENTE",(TODAY()-AVANCE[[#This Row],[FECHA TERMINO  PLANIFICADO]]),0)</f>
        <v>0</v>
      </c>
      <c r="CT238" s="41" t="str" cm="1">
        <f t="array" ref="CT238">_xlfn.TEXTJOIN(" | ",TRUE,IF(SUMPRODUCT((BG238:CR238&lt;1)*(PARTIDAS!$I$2:$AT$2="OBRA GRUESA"))&gt;0,"OBRA GRUESA: "&amp;_xlfn.TEXTJOIN(", ",TRUE,IF((BG238:CR238&lt;1)*(PARTIDAS!$I$2:$AT$2="OBRA GRUESA"),PARTIDAS!$I$1:$AT$1,"")),""),IF(SUMPRODUCT((BG238:CR238&lt;1)*(PARTIDAS!$I$2:$AT$2="SANITARIOS"))&gt;0,"SANITARIOS: "&amp;_xlfn.TEXTJOIN(", ",TRUE,IF((BG238:CR238&lt;1)*(PARTIDAS!$I$2:$AT$2="SANITARIOS"),PARTIDAS!$I$1:$AT$1,"")),""),IF(SUMPRODUCT((BG238:CR238&lt;1)*(PARTIDAS!$I$2:$AT$2="ELÉCTRICO"))&gt;0,"ELÉCTRICO: "&amp;_xlfn.TEXTJOIN(", ",TRUE,IF((BG238:CR238&lt;1)*(PARTIDAS!$I$2:$AT$2="ELÉCTRICO"),PARTIDAS!$I$1:$AT$1,"")),""),IF(SUMPRODUCT((BG238:CR238&lt;1)*(PARTIDAS!$I$2:$AT$2="TERMINACIONES"))&gt;0,"TERMINACIONES: "&amp;_xlfn.TEXTJOIN(", ",TRUE,IF((BG238:CR238&lt;1)*(PARTIDAS!$I$2:$AT$2="TERMINACIONES"),PARTIDAS!$I$1:$AT$1,"")),""))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8" s="43" t="str" cm="1">
        <f t="array" ref="CU238">_xlfn.TEXTJOIN(", ",TRUE,IF(SUMPRODUCT((BG238:CR238&lt;1)*(PARTIDAS!$I$2:$AT$2="OBRA GRUESA"))&gt;0,"OBRA GRUESA",""),IF(SUMPRODUCT((BG238:CR238&lt;1)*(PARTIDAS!$I$2:$AT$2="SANITARIOS"))&gt;0,"SANITARIOS",""),IF(SUMPRODUCT((BG238:CR238&lt;1)*(PARTIDAS!$I$2:$AT$2="ELÉCTRICO"))&gt;0,"ELÉCTRICO",""),IF(SUMPRODUCT((BG238:CR238&lt;1)*(PARTIDAS!$I$2:$AT$2="TERMINACIONES"))&gt;0,"TERMINACIONES",""))</f>
        <v>OBRA GRUESA, SANITARIOS, ELÉCTRICO, TERMINACIONES</v>
      </c>
      <c r="CV238" s="44" cm="1">
        <f t="array" ref="CV238">SUMPRODUCT(--(BG238:CR238&lt;1))</f>
        <v>38</v>
      </c>
    </row>
    <row r="239" spans="1:100" hidden="1" x14ac:dyDescent="0.25">
      <c r="A239" t="s">
        <v>289</v>
      </c>
      <c r="B239" t="s">
        <v>303</v>
      </c>
      <c r="C239">
        <v>2302600238</v>
      </c>
      <c r="D239" t="s">
        <v>60</v>
      </c>
      <c r="E239" s="2">
        <v>0</v>
      </c>
      <c r="F239" s="1">
        <v>46258</v>
      </c>
      <c r="G239" s="1"/>
      <c r="H239" s="1">
        <v>0</v>
      </c>
      <c r="I239" s="1">
        <v>46288</v>
      </c>
      <c r="J239">
        <v>46230</v>
      </c>
      <c r="K239" s="1"/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>
        <v>31.32</v>
      </c>
      <c r="BF239" s="3" t="str">
        <f>+IF(AVANCE[[#This Row],[% AVANCE]]=100%,"MODULO TERMINADO",IF(AVANCE[[#This Row],[FECHA INICIO REAL]]="","MODULO NO INICIADO","PENDIENTE"))</f>
        <v>MODULO NO INICIADO</v>
      </c>
      <c r="BG239" s="3">
        <f>+IF(AVANCE[[#This Row],[VENTANAS]]=8.10810810810811%,100%,AVANCE[[#This Row],[VENTANAS]])</f>
        <v>0</v>
      </c>
      <c r="BH239" s="3">
        <f>+IF(AVANCE[[#This Row],[PISO]]=N$2,100%,AVANCE[[#This Row],[PISO]])</f>
        <v>0</v>
      </c>
      <c r="BI239" s="3">
        <f>+IF(AVANCE[[#This Row],[TABIQUES]]=O$2,100%,AVANCE[[#This Row],[TABIQUES]])</f>
        <v>0</v>
      </c>
      <c r="BJ239" s="3">
        <f>+IF(AVANCE[[#This Row],[MUROS]]=P$2,100%,AVANCE[[#This Row],[MUROS]])</f>
        <v>0</v>
      </c>
      <c r="BK239" s="3">
        <f>+IF(AVANCE[[#This Row],[CIELO]]=Q$2,100%,AVANCE[[#This Row],[CIELO]])</f>
        <v>0</v>
      </c>
      <c r="BL239" s="3">
        <f>+IF(AVANCE[[#This Row],[BALCÓN]]=R$2,100%,AVANCE[[#This Row],[BALCÓN]])</f>
        <v>0</v>
      </c>
      <c r="BM239" s="3">
        <f>+IF(AVANCE[[#This Row],[RED ALCANTARILLADO]]=U$2,100%,AVANCE[[#This Row],[RED ALCANTARILLADO]])</f>
        <v>0</v>
      </c>
      <c r="BN239" s="3">
        <f>+IF(AVANCE[[#This Row],[RED DE AGUA]]=V$2,100%,AVANCE[[#This Row],[RED DE AGUA]])</f>
        <v>0</v>
      </c>
      <c r="BO239" s="3">
        <f>+IF(AVANCE[[#This Row],[VENTILACIONES]]=W$2,100%,AVANCE[[#This Row],[VENTILACIONES]])</f>
        <v>0</v>
      </c>
      <c r="BP239" s="3">
        <f>+IF(AVANCE[[#This Row],[TINA]]=X$2,100%,AVANCE[[#This Row],[TINA]])</f>
        <v>0</v>
      </c>
      <c r="BQ239" s="3">
        <f>+IF(AVANCE[[#This Row],[WC]]=Y$2,100%,AVANCE[[#This Row],[WC]])</f>
        <v>0</v>
      </c>
      <c r="BR239" s="3">
        <f>+IF(AVANCE[[#This Row],[LAVAMANOS / LAVAPLATOS / LAVADERO]]=Z$2,100%,AVANCE[[#This Row],[LAVAMANOS / LAVAPLATOS / LAVADERO]])</f>
        <v>0</v>
      </c>
      <c r="BS239" s="3">
        <f>+IF(AVANCE[[#This Row],[CANALIZACIÓN]]=AC$2,100%,AVANCE[[#This Row],[CANALIZACIÓN]])</f>
        <v>0</v>
      </c>
      <c r="BT239" s="3">
        <f>+IF(AVANCE[[#This Row],[CABLEADO]]=AD$2,100%,AVANCE[[#This Row],[CABLEADO]])</f>
        <v>0</v>
      </c>
      <c r="BU239" s="3">
        <f>+IF(AVANCE[[#This Row],[ARTEFACTOS]]=AE$2,100%,AVANCE[[#This Row],[ARTEFACTOS]])</f>
        <v>0</v>
      </c>
      <c r="BV239" s="3">
        <f>+IF(AVANCE[[#This Row],[TABLERO]]=AF$2,100%,AVANCE[[#This Row],[TABLERO]])</f>
        <v>0</v>
      </c>
      <c r="BW239" s="3">
        <f>+IF(AVANCE[[#This Row],[CAJA PAU]]=AG$2,100%,AVANCE[[#This Row],[CAJA PAU]])</f>
        <v>0</v>
      </c>
      <c r="BX239" s="3">
        <f>+IF(AVANCE[[#This Row],[INSTALACION VINILICO]]=AJ$2,100%,AVANCE[[#This Row],[INSTALACION VINILICO]])</f>
        <v>0</v>
      </c>
      <c r="BY239" s="3">
        <f>+IF(AVANCE[[#This Row],[OSB CUBIERTA]]=AK$2,100%,AVANCE[[#This Row],[OSB CUBIERTA]])</f>
        <v>0</v>
      </c>
      <c r="BZ239" s="3">
        <f>+IF(AVANCE[[#This Row],[BARANDA BALCON]]=AL$2,100%,AVANCE[[#This Row],[BARANDA BALCON]])</f>
        <v>0</v>
      </c>
      <c r="CA239" s="3">
        <f>+IF(AVANCE[[#This Row],[OSB EXTERIOR]]=AM$2,100%,AVANCE[[#This Row],[OSB EXTERIOR]])</f>
        <v>0</v>
      </c>
      <c r="CB239" s="3">
        <f>+IF(AVANCE[[#This Row],[SMART PANEL]]=AN$2,100%,AVANCE[[#This Row],[SMART PANEL]])</f>
        <v>0</v>
      </c>
      <c r="CC239" s="3">
        <f>+IF(AVANCE[[#This Row],[PINTURA EXTERIOR]]=AO$2,100%,AVANCE[[#This Row],[PINTURA EXTERIOR]])</f>
        <v>0</v>
      </c>
      <c r="CD239" s="3">
        <f>+IF(AVANCE[[#This Row],[ZOCALOS LOGIA]]=AP$2,100%,AVANCE[[#This Row],[ZOCALOS LOGIA]])</f>
        <v>0</v>
      </c>
      <c r="CE239" s="3">
        <f>+IF(AVANCE[[#This Row],[MOLDURAS]]=AQ$2,100%,AVANCE[[#This Row],[MOLDURAS]])</f>
        <v>0</v>
      </c>
      <c r="CF239" s="3">
        <f>+IF(AVANCE[[#This Row],[PILASTREO]]=AR$2,100%,AVANCE[[#This Row],[PILASTREO]])</f>
        <v>0</v>
      </c>
      <c r="CG239" s="3">
        <f>+IF(AVANCE[[#This Row],[CELOSIAS]]=AS$2,100%,AVANCE[[#This Row],[CELOSIAS]])</f>
        <v>0</v>
      </c>
      <c r="CH239" s="3">
        <f>+IF(AVANCE[[#This Row],[VENTANAS]]=AT$2,100%,AVANCE[[#This Row],[VENTANAS]])</f>
        <v>0</v>
      </c>
      <c r="CI239" s="3">
        <f>+IF(AVANCE[[#This Row],[PUERTAS ACCESO - LOGIA - BANO]]=AU$2,100%,AVANCE[[#This Row],[PUERTAS ACCESO - LOGIA - BANO]])</f>
        <v>0</v>
      </c>
      <c r="CJ239" s="3">
        <f>+IF(AVANCE[[#This Row],[CERRADURAS]]=AV$2,100%,AVANCE[[#This Row],[CERRADURAS]])</f>
        <v>0</v>
      </c>
      <c r="CK239" s="3">
        <f>+IF(AVANCE[[#This Row],[REVESTIMIENTO INTERIOR ZONA SECA]]=AW$2,100%,AVANCE[[#This Row],[REVESTIMIENTO INTERIOR ZONA SECA]])</f>
        <v>0</v>
      </c>
      <c r="CL239" s="3">
        <f>+IF(AVANCE[[#This Row],[REVESTIMIENTO INTERIOR ZONAS HUMEDAS]]=AX$2,100%,AVANCE[[#This Row],[REVESTIMIENTO INTERIOR ZONAS HUMEDAS]])</f>
        <v>0</v>
      </c>
      <c r="CM239" s="3">
        <f>+IF(AVANCE[[#This Row],[MEMBRANA CIELO]]=AY$2,100%,AVANCE[[#This Row],[MEMBRANA CIELO]])</f>
        <v>0</v>
      </c>
      <c r="CN239" s="3">
        <f>+IF(AVANCE[[#This Row],[LIMPIEZA FINAL]]=AZ$2,100%,AVANCE[[#This Row],[LIMPIEZA FINAL]])</f>
        <v>0</v>
      </c>
      <c r="CO239" s="3">
        <f>+IF(AVANCE[[#This Row],[PUERTAS DORMITORIO]]=BA$2,100%,AVANCE[[#This Row],[PUERTAS DORMITORIO]])</f>
        <v>0</v>
      </c>
      <c r="CP239" s="3">
        <f>+IF(AVANCE[[#This Row],[REVESTIMIENTO INTERIOR BANO]]=BB$2,100%,AVANCE[[#This Row],[REVESTIMIENTO INTERIOR BANO]])</f>
        <v>0</v>
      </c>
      <c r="CQ239" s="3">
        <f>+IF(AVANCE[[#This Row],[MUEBLE LAVAPLATOS]]=BC$2,100%,AVANCE[[#This Row],[MUEBLE LAVAPLATOS]])</f>
        <v>0</v>
      </c>
      <c r="CR239" s="3">
        <f>+IF(AVANCE[[#This Row],[IMPERMEABILIZACION BANO - COCINA LOGIA]]=BD$2,100%,AVANCE[[#This Row],[IMPERMEABILIZACION BANO - COCINA LOGIA]])</f>
        <v>0</v>
      </c>
      <c r="CS239" s="40">
        <f ca="1">+IF(AVANCE[[#This Row],[ESTADO MODULO]]="PENDIENTE",(TODAY()-AVANCE[[#This Row],[FECHA TERMINO  PLANIFICADO]]),0)</f>
        <v>0</v>
      </c>
      <c r="CT239" s="41" t="str" cm="1">
        <f t="array" ref="CT239">_xlfn.TEXTJOIN(" | ",TRUE,IF(SUMPRODUCT((BG239:CR239&lt;1)*(PARTIDAS!$I$2:$AT$2="OBRA GRUESA"))&gt;0,"OBRA GRUESA: "&amp;_xlfn.TEXTJOIN(", ",TRUE,IF((BG239:CR239&lt;1)*(PARTIDAS!$I$2:$AT$2="OBRA GRUESA"),PARTIDAS!$I$1:$AT$1,"")),""),IF(SUMPRODUCT((BG239:CR239&lt;1)*(PARTIDAS!$I$2:$AT$2="SANITARIOS"))&gt;0,"SANITARIOS: "&amp;_xlfn.TEXTJOIN(", ",TRUE,IF((BG239:CR239&lt;1)*(PARTIDAS!$I$2:$AT$2="SANITARIOS"),PARTIDAS!$I$1:$AT$1,"")),""),IF(SUMPRODUCT((BG239:CR239&lt;1)*(PARTIDAS!$I$2:$AT$2="ELÉCTRICO"))&gt;0,"ELÉCTRICO: "&amp;_xlfn.TEXTJOIN(", ",TRUE,IF((BG239:CR239&lt;1)*(PARTIDAS!$I$2:$AT$2="ELÉCTRICO"),PARTIDAS!$I$1:$AT$1,"")),""),IF(SUMPRODUCT((BG239:CR239&lt;1)*(PARTIDAS!$I$2:$AT$2="TERMINACIONES"))&gt;0,"TERMINACIONES: "&amp;_xlfn.TEXTJOIN(", ",TRUE,IF((BG239:CR239&lt;1)*(PARTIDAS!$I$2:$AT$2="TERMINACIONES"),PARTIDAS!$I$1:$AT$1,"")),""))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39" s="43" t="str" cm="1">
        <f t="array" ref="CU239">_xlfn.TEXTJOIN(", ",TRUE,IF(SUMPRODUCT((BG239:CR239&lt;1)*(PARTIDAS!$I$2:$AT$2="OBRA GRUESA"))&gt;0,"OBRA GRUESA",""),IF(SUMPRODUCT((BG239:CR239&lt;1)*(PARTIDAS!$I$2:$AT$2="SANITARIOS"))&gt;0,"SANITARIOS",""),IF(SUMPRODUCT((BG239:CR239&lt;1)*(PARTIDAS!$I$2:$AT$2="ELÉCTRICO"))&gt;0,"ELÉCTRICO",""),IF(SUMPRODUCT((BG239:CR239&lt;1)*(PARTIDAS!$I$2:$AT$2="TERMINACIONES"))&gt;0,"TERMINACIONES",""))</f>
        <v>OBRA GRUESA, SANITARIOS, ELÉCTRICO, TERMINACIONES</v>
      </c>
      <c r="CV239" s="44" cm="1">
        <f t="array" ref="CV239">SUMPRODUCT(--(BG239:CR239&lt;1))</f>
        <v>38</v>
      </c>
    </row>
    <row r="240" spans="1:100" hidden="1" x14ac:dyDescent="0.25">
      <c r="A240" t="s">
        <v>289</v>
      </c>
      <c r="B240" t="s">
        <v>304</v>
      </c>
      <c r="C240">
        <v>2302600239</v>
      </c>
      <c r="D240" t="s">
        <v>60</v>
      </c>
      <c r="E240" s="2">
        <v>0</v>
      </c>
      <c r="F240" s="1">
        <v>46259</v>
      </c>
      <c r="G240" s="1"/>
      <c r="H240" s="1">
        <v>0</v>
      </c>
      <c r="I240" s="1">
        <v>46289</v>
      </c>
      <c r="J240">
        <v>46230</v>
      </c>
      <c r="K240" s="1"/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>
        <v>31.32</v>
      </c>
      <c r="BF240" s="3" t="str">
        <f>+IF(AVANCE[[#This Row],[% AVANCE]]=100%,"MODULO TERMINADO",IF(AVANCE[[#This Row],[FECHA INICIO REAL]]="","MODULO NO INICIADO","PENDIENTE"))</f>
        <v>MODULO NO INICIADO</v>
      </c>
      <c r="BG240" s="3">
        <f>+IF(AVANCE[[#This Row],[VENTANAS]]=8.10810810810811%,100%,AVANCE[[#This Row],[VENTANAS]])</f>
        <v>0</v>
      </c>
      <c r="BH240" s="3">
        <f>+IF(AVANCE[[#This Row],[PISO]]=N$2,100%,AVANCE[[#This Row],[PISO]])</f>
        <v>0</v>
      </c>
      <c r="BI240" s="3">
        <f>+IF(AVANCE[[#This Row],[TABIQUES]]=O$2,100%,AVANCE[[#This Row],[TABIQUES]])</f>
        <v>0</v>
      </c>
      <c r="BJ240" s="3">
        <f>+IF(AVANCE[[#This Row],[MUROS]]=P$2,100%,AVANCE[[#This Row],[MUROS]])</f>
        <v>0</v>
      </c>
      <c r="BK240" s="3">
        <f>+IF(AVANCE[[#This Row],[CIELO]]=Q$2,100%,AVANCE[[#This Row],[CIELO]])</f>
        <v>0</v>
      </c>
      <c r="BL240" s="3">
        <f>+IF(AVANCE[[#This Row],[BALCÓN]]=R$2,100%,AVANCE[[#This Row],[BALCÓN]])</f>
        <v>0</v>
      </c>
      <c r="BM240" s="3">
        <f>+IF(AVANCE[[#This Row],[RED ALCANTARILLADO]]=U$2,100%,AVANCE[[#This Row],[RED ALCANTARILLADO]])</f>
        <v>0</v>
      </c>
      <c r="BN240" s="3">
        <f>+IF(AVANCE[[#This Row],[RED DE AGUA]]=V$2,100%,AVANCE[[#This Row],[RED DE AGUA]])</f>
        <v>0</v>
      </c>
      <c r="BO240" s="3">
        <f>+IF(AVANCE[[#This Row],[VENTILACIONES]]=W$2,100%,AVANCE[[#This Row],[VENTILACIONES]])</f>
        <v>0</v>
      </c>
      <c r="BP240" s="3">
        <f>+IF(AVANCE[[#This Row],[TINA]]=X$2,100%,AVANCE[[#This Row],[TINA]])</f>
        <v>0</v>
      </c>
      <c r="BQ240" s="3">
        <f>+IF(AVANCE[[#This Row],[WC]]=Y$2,100%,AVANCE[[#This Row],[WC]])</f>
        <v>0</v>
      </c>
      <c r="BR240" s="3">
        <f>+IF(AVANCE[[#This Row],[LAVAMANOS / LAVAPLATOS / LAVADERO]]=Z$2,100%,AVANCE[[#This Row],[LAVAMANOS / LAVAPLATOS / LAVADERO]])</f>
        <v>0</v>
      </c>
      <c r="BS240" s="3">
        <f>+IF(AVANCE[[#This Row],[CANALIZACIÓN]]=AC$2,100%,AVANCE[[#This Row],[CANALIZACIÓN]])</f>
        <v>0</v>
      </c>
      <c r="BT240" s="3">
        <f>+IF(AVANCE[[#This Row],[CABLEADO]]=AD$2,100%,AVANCE[[#This Row],[CABLEADO]])</f>
        <v>0</v>
      </c>
      <c r="BU240" s="3">
        <f>+IF(AVANCE[[#This Row],[ARTEFACTOS]]=AE$2,100%,AVANCE[[#This Row],[ARTEFACTOS]])</f>
        <v>0</v>
      </c>
      <c r="BV240" s="3">
        <f>+IF(AVANCE[[#This Row],[TABLERO]]=AF$2,100%,AVANCE[[#This Row],[TABLERO]])</f>
        <v>0</v>
      </c>
      <c r="BW240" s="3">
        <f>+IF(AVANCE[[#This Row],[CAJA PAU]]=AG$2,100%,AVANCE[[#This Row],[CAJA PAU]])</f>
        <v>0</v>
      </c>
      <c r="BX240" s="3">
        <f>+IF(AVANCE[[#This Row],[INSTALACION VINILICO]]=AJ$2,100%,AVANCE[[#This Row],[INSTALACION VINILICO]])</f>
        <v>0</v>
      </c>
      <c r="BY240" s="3">
        <f>+IF(AVANCE[[#This Row],[OSB CUBIERTA]]=AK$2,100%,AVANCE[[#This Row],[OSB CUBIERTA]])</f>
        <v>0</v>
      </c>
      <c r="BZ240" s="3">
        <f>+IF(AVANCE[[#This Row],[BARANDA BALCON]]=AL$2,100%,AVANCE[[#This Row],[BARANDA BALCON]])</f>
        <v>0</v>
      </c>
      <c r="CA240" s="3">
        <f>+IF(AVANCE[[#This Row],[OSB EXTERIOR]]=AM$2,100%,AVANCE[[#This Row],[OSB EXTERIOR]])</f>
        <v>0</v>
      </c>
      <c r="CB240" s="3">
        <f>+IF(AVANCE[[#This Row],[SMART PANEL]]=AN$2,100%,AVANCE[[#This Row],[SMART PANEL]])</f>
        <v>0</v>
      </c>
      <c r="CC240" s="3">
        <f>+IF(AVANCE[[#This Row],[PINTURA EXTERIOR]]=AO$2,100%,AVANCE[[#This Row],[PINTURA EXTERIOR]])</f>
        <v>0</v>
      </c>
      <c r="CD240" s="3">
        <f>+IF(AVANCE[[#This Row],[ZOCALOS LOGIA]]=AP$2,100%,AVANCE[[#This Row],[ZOCALOS LOGIA]])</f>
        <v>0</v>
      </c>
      <c r="CE240" s="3">
        <f>+IF(AVANCE[[#This Row],[MOLDURAS]]=AQ$2,100%,AVANCE[[#This Row],[MOLDURAS]])</f>
        <v>0</v>
      </c>
      <c r="CF240" s="3">
        <f>+IF(AVANCE[[#This Row],[PILASTREO]]=AR$2,100%,AVANCE[[#This Row],[PILASTREO]])</f>
        <v>0</v>
      </c>
      <c r="CG240" s="3">
        <f>+IF(AVANCE[[#This Row],[CELOSIAS]]=AS$2,100%,AVANCE[[#This Row],[CELOSIAS]])</f>
        <v>0</v>
      </c>
      <c r="CH240" s="3">
        <f>+IF(AVANCE[[#This Row],[VENTANAS]]=AT$2,100%,AVANCE[[#This Row],[VENTANAS]])</f>
        <v>0</v>
      </c>
      <c r="CI240" s="3">
        <f>+IF(AVANCE[[#This Row],[PUERTAS ACCESO - LOGIA - BANO]]=AU$2,100%,AVANCE[[#This Row],[PUERTAS ACCESO - LOGIA - BANO]])</f>
        <v>0</v>
      </c>
      <c r="CJ240" s="3">
        <f>+IF(AVANCE[[#This Row],[CERRADURAS]]=AV$2,100%,AVANCE[[#This Row],[CERRADURAS]])</f>
        <v>0</v>
      </c>
      <c r="CK240" s="3">
        <f>+IF(AVANCE[[#This Row],[REVESTIMIENTO INTERIOR ZONA SECA]]=AW$2,100%,AVANCE[[#This Row],[REVESTIMIENTO INTERIOR ZONA SECA]])</f>
        <v>0</v>
      </c>
      <c r="CL240" s="3">
        <f>+IF(AVANCE[[#This Row],[REVESTIMIENTO INTERIOR ZONAS HUMEDAS]]=AX$2,100%,AVANCE[[#This Row],[REVESTIMIENTO INTERIOR ZONAS HUMEDAS]])</f>
        <v>0</v>
      </c>
      <c r="CM240" s="3">
        <f>+IF(AVANCE[[#This Row],[MEMBRANA CIELO]]=AY$2,100%,AVANCE[[#This Row],[MEMBRANA CIELO]])</f>
        <v>0</v>
      </c>
      <c r="CN240" s="3">
        <f>+IF(AVANCE[[#This Row],[LIMPIEZA FINAL]]=AZ$2,100%,AVANCE[[#This Row],[LIMPIEZA FINAL]])</f>
        <v>0</v>
      </c>
      <c r="CO240" s="3">
        <f>+IF(AVANCE[[#This Row],[PUERTAS DORMITORIO]]=BA$2,100%,AVANCE[[#This Row],[PUERTAS DORMITORIO]])</f>
        <v>0</v>
      </c>
      <c r="CP240" s="3">
        <f>+IF(AVANCE[[#This Row],[REVESTIMIENTO INTERIOR BANO]]=BB$2,100%,AVANCE[[#This Row],[REVESTIMIENTO INTERIOR BANO]])</f>
        <v>0</v>
      </c>
      <c r="CQ240" s="3">
        <f>+IF(AVANCE[[#This Row],[MUEBLE LAVAPLATOS]]=BC$2,100%,AVANCE[[#This Row],[MUEBLE LAVAPLATOS]])</f>
        <v>0</v>
      </c>
      <c r="CR240" s="3">
        <f>+IF(AVANCE[[#This Row],[IMPERMEABILIZACION BANO - COCINA LOGIA]]=BD$2,100%,AVANCE[[#This Row],[IMPERMEABILIZACION BANO - COCINA LOGIA]])</f>
        <v>0</v>
      </c>
      <c r="CS240" s="40">
        <f ca="1">+IF(AVANCE[[#This Row],[ESTADO MODULO]]="PENDIENTE",(TODAY()-AVANCE[[#This Row],[FECHA TERMINO  PLANIFICADO]]),0)</f>
        <v>0</v>
      </c>
      <c r="CT240" s="41" t="str" cm="1">
        <f t="array" ref="CT240">_xlfn.TEXTJOIN(" | ",TRUE,IF(SUMPRODUCT((BG240:CR240&lt;1)*(PARTIDAS!$I$2:$AT$2="OBRA GRUESA"))&gt;0,"OBRA GRUESA: "&amp;_xlfn.TEXTJOIN(", ",TRUE,IF((BG240:CR240&lt;1)*(PARTIDAS!$I$2:$AT$2="OBRA GRUESA"),PARTIDAS!$I$1:$AT$1,"")),""),IF(SUMPRODUCT((BG240:CR240&lt;1)*(PARTIDAS!$I$2:$AT$2="SANITARIOS"))&gt;0,"SANITARIOS: "&amp;_xlfn.TEXTJOIN(", ",TRUE,IF((BG240:CR240&lt;1)*(PARTIDAS!$I$2:$AT$2="SANITARIOS"),PARTIDAS!$I$1:$AT$1,"")),""),IF(SUMPRODUCT((BG240:CR240&lt;1)*(PARTIDAS!$I$2:$AT$2="ELÉCTRICO"))&gt;0,"ELÉCTRICO: "&amp;_xlfn.TEXTJOIN(", ",TRUE,IF((BG240:CR240&lt;1)*(PARTIDAS!$I$2:$AT$2="ELÉCTRICO"),PARTIDAS!$I$1:$AT$1,"")),""),IF(SUMPRODUCT((BG240:CR240&lt;1)*(PARTIDAS!$I$2:$AT$2="TERMINACIONES"))&gt;0,"TERMINACIONES: "&amp;_xlfn.TEXTJOIN(", ",TRUE,IF((BG240:CR240&lt;1)*(PARTIDAS!$I$2:$AT$2="TERMINACIONES"),PARTIDAS!$I$1:$AT$1,"")),""))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0" s="43" t="str" cm="1">
        <f t="array" ref="CU240">_xlfn.TEXTJOIN(", ",TRUE,IF(SUMPRODUCT((BG240:CR240&lt;1)*(PARTIDAS!$I$2:$AT$2="OBRA GRUESA"))&gt;0,"OBRA GRUESA",""),IF(SUMPRODUCT((BG240:CR240&lt;1)*(PARTIDAS!$I$2:$AT$2="SANITARIOS"))&gt;0,"SANITARIOS",""),IF(SUMPRODUCT((BG240:CR240&lt;1)*(PARTIDAS!$I$2:$AT$2="ELÉCTRICO"))&gt;0,"ELÉCTRICO",""),IF(SUMPRODUCT((BG240:CR240&lt;1)*(PARTIDAS!$I$2:$AT$2="TERMINACIONES"))&gt;0,"TERMINACIONES",""))</f>
        <v>OBRA GRUESA, SANITARIOS, ELÉCTRICO, TERMINACIONES</v>
      </c>
      <c r="CV240" s="44" cm="1">
        <f t="array" ref="CV240">SUMPRODUCT(--(BG240:CR240&lt;1))</f>
        <v>38</v>
      </c>
    </row>
    <row r="241" spans="1:100" hidden="1" x14ac:dyDescent="0.25">
      <c r="A241" t="s">
        <v>289</v>
      </c>
      <c r="B241" t="s">
        <v>305</v>
      </c>
      <c r="C241">
        <v>2282600240</v>
      </c>
      <c r="D241" t="s">
        <v>58</v>
      </c>
      <c r="E241" s="2">
        <v>0</v>
      </c>
      <c r="F241" s="1">
        <v>46259</v>
      </c>
      <c r="G241" s="1"/>
      <c r="H241" s="1">
        <v>0</v>
      </c>
      <c r="I241" s="1">
        <v>46279</v>
      </c>
      <c r="J241">
        <v>46230</v>
      </c>
      <c r="K241" s="1"/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>
        <v>28.87</v>
      </c>
      <c r="BF241" s="3" t="str">
        <f>+IF(AVANCE[[#This Row],[% AVANCE]]=100%,"MODULO TERMINADO",IF(AVANCE[[#This Row],[FECHA INICIO REAL]]="","MODULO NO INICIADO","PENDIENTE"))</f>
        <v>MODULO NO INICIADO</v>
      </c>
      <c r="BG241" s="3">
        <f>+IF(AVANCE[[#This Row],[VENTANAS]]=8.10810810810811%,100%,AVANCE[[#This Row],[VENTANAS]])</f>
        <v>0</v>
      </c>
      <c r="BH241" s="3">
        <f>+IF(AVANCE[[#This Row],[PISO]]=N$2,100%,AVANCE[[#This Row],[PISO]])</f>
        <v>0</v>
      </c>
      <c r="BI241" s="3">
        <f>+IF(AVANCE[[#This Row],[TABIQUES]]=O$2,100%,AVANCE[[#This Row],[TABIQUES]])</f>
        <v>0</v>
      </c>
      <c r="BJ241" s="3">
        <f>+IF(AVANCE[[#This Row],[MUROS]]=P$2,100%,AVANCE[[#This Row],[MUROS]])</f>
        <v>0</v>
      </c>
      <c r="BK241" s="3">
        <f>+IF(AVANCE[[#This Row],[CIELO]]=Q$2,100%,AVANCE[[#This Row],[CIELO]])</f>
        <v>0</v>
      </c>
      <c r="BL241" s="3">
        <f>+IF(AVANCE[[#This Row],[BALCÓN]]=R$2,100%,AVANCE[[#This Row],[BALCÓN]])</f>
        <v>0</v>
      </c>
      <c r="BM241" s="3">
        <f>+IF(AVANCE[[#This Row],[RED ALCANTARILLADO]]=U$2,100%,AVANCE[[#This Row],[RED ALCANTARILLADO]])</f>
        <v>0</v>
      </c>
      <c r="BN241" s="3">
        <f>+IF(AVANCE[[#This Row],[RED DE AGUA]]=V$2,100%,AVANCE[[#This Row],[RED DE AGUA]])</f>
        <v>0</v>
      </c>
      <c r="BO241" s="3">
        <f>+IF(AVANCE[[#This Row],[VENTILACIONES]]=W$2,100%,AVANCE[[#This Row],[VENTILACIONES]])</f>
        <v>0</v>
      </c>
      <c r="BP241" s="3">
        <f>+IF(AVANCE[[#This Row],[TINA]]=X$2,100%,AVANCE[[#This Row],[TINA]])</f>
        <v>0</v>
      </c>
      <c r="BQ241" s="3">
        <f>+IF(AVANCE[[#This Row],[WC]]=Y$2,100%,AVANCE[[#This Row],[WC]])</f>
        <v>0</v>
      </c>
      <c r="BR241" s="3">
        <f>+IF(AVANCE[[#This Row],[LAVAMANOS / LAVAPLATOS / LAVADERO]]=Z$2,100%,AVANCE[[#This Row],[LAVAMANOS / LAVAPLATOS / LAVADERO]])</f>
        <v>0</v>
      </c>
      <c r="BS241" s="3">
        <f>+IF(AVANCE[[#This Row],[CANALIZACIÓN]]=AC$2,100%,AVANCE[[#This Row],[CANALIZACIÓN]])</f>
        <v>0</v>
      </c>
      <c r="BT241" s="3">
        <f>+IF(AVANCE[[#This Row],[CABLEADO]]=AD$2,100%,AVANCE[[#This Row],[CABLEADO]])</f>
        <v>0</v>
      </c>
      <c r="BU241" s="3">
        <f>+IF(AVANCE[[#This Row],[ARTEFACTOS]]=AE$2,100%,AVANCE[[#This Row],[ARTEFACTOS]])</f>
        <v>0</v>
      </c>
      <c r="BV241" s="3">
        <f>+IF(AVANCE[[#This Row],[TABLERO]]=AF$2,100%,AVANCE[[#This Row],[TABLERO]])</f>
        <v>0</v>
      </c>
      <c r="BW241" s="3">
        <f>+IF(AVANCE[[#This Row],[CAJA PAU]]=AG$2,100%,AVANCE[[#This Row],[CAJA PAU]])</f>
        <v>0</v>
      </c>
      <c r="BX241" s="3">
        <f>+IF(AVANCE[[#This Row],[INSTALACION VINILICO]]=AJ$2,100%,AVANCE[[#This Row],[INSTALACION VINILICO]])</f>
        <v>0</v>
      </c>
      <c r="BY241" s="3">
        <f>+IF(AVANCE[[#This Row],[OSB CUBIERTA]]=AK$2,100%,AVANCE[[#This Row],[OSB CUBIERTA]])</f>
        <v>0</v>
      </c>
      <c r="BZ241" s="3">
        <f>+IF(AVANCE[[#This Row],[BARANDA BALCON]]=AL$2,100%,AVANCE[[#This Row],[BARANDA BALCON]])</f>
        <v>0</v>
      </c>
      <c r="CA241" s="3">
        <f>+IF(AVANCE[[#This Row],[OSB EXTERIOR]]=AM$2,100%,AVANCE[[#This Row],[OSB EXTERIOR]])</f>
        <v>0</v>
      </c>
      <c r="CB241" s="3">
        <f>+IF(AVANCE[[#This Row],[SMART PANEL]]=AN$2,100%,AVANCE[[#This Row],[SMART PANEL]])</f>
        <v>0</v>
      </c>
      <c r="CC241" s="3">
        <f>+IF(AVANCE[[#This Row],[PINTURA EXTERIOR]]=AO$2,100%,AVANCE[[#This Row],[PINTURA EXTERIOR]])</f>
        <v>0</v>
      </c>
      <c r="CD241" s="3">
        <f>+IF(AVANCE[[#This Row],[ZOCALOS LOGIA]]=AP$2,100%,AVANCE[[#This Row],[ZOCALOS LOGIA]])</f>
        <v>0</v>
      </c>
      <c r="CE241" s="3">
        <f>+IF(AVANCE[[#This Row],[MOLDURAS]]=AQ$2,100%,AVANCE[[#This Row],[MOLDURAS]])</f>
        <v>0</v>
      </c>
      <c r="CF241" s="3">
        <f>+IF(AVANCE[[#This Row],[PILASTREO]]=AR$2,100%,AVANCE[[#This Row],[PILASTREO]])</f>
        <v>0</v>
      </c>
      <c r="CG241" s="3">
        <f>+IF(AVANCE[[#This Row],[CELOSIAS]]=AS$2,100%,AVANCE[[#This Row],[CELOSIAS]])</f>
        <v>0</v>
      </c>
      <c r="CH241" s="3">
        <f>+IF(AVANCE[[#This Row],[VENTANAS]]=AT$2,100%,AVANCE[[#This Row],[VENTANAS]])</f>
        <v>0</v>
      </c>
      <c r="CI241" s="3">
        <f>+IF(AVANCE[[#This Row],[PUERTAS ACCESO - LOGIA - BANO]]=AU$2,100%,AVANCE[[#This Row],[PUERTAS ACCESO - LOGIA - BANO]])</f>
        <v>0</v>
      </c>
      <c r="CJ241" s="3">
        <f>+IF(AVANCE[[#This Row],[CERRADURAS]]=AV$2,100%,AVANCE[[#This Row],[CERRADURAS]])</f>
        <v>0</v>
      </c>
      <c r="CK241" s="3">
        <f>+IF(AVANCE[[#This Row],[REVESTIMIENTO INTERIOR ZONA SECA]]=AW$2,100%,AVANCE[[#This Row],[REVESTIMIENTO INTERIOR ZONA SECA]])</f>
        <v>0</v>
      </c>
      <c r="CL241" s="3">
        <f>+IF(AVANCE[[#This Row],[REVESTIMIENTO INTERIOR ZONAS HUMEDAS]]=AX$2,100%,AVANCE[[#This Row],[REVESTIMIENTO INTERIOR ZONAS HUMEDAS]])</f>
        <v>0</v>
      </c>
      <c r="CM241" s="3">
        <f>+IF(AVANCE[[#This Row],[MEMBRANA CIELO]]=AY$2,100%,AVANCE[[#This Row],[MEMBRANA CIELO]])</f>
        <v>0</v>
      </c>
      <c r="CN241" s="3">
        <f>+IF(AVANCE[[#This Row],[LIMPIEZA FINAL]]=AZ$2,100%,AVANCE[[#This Row],[LIMPIEZA FINAL]])</f>
        <v>0</v>
      </c>
      <c r="CO241" s="3">
        <f>+IF(AVANCE[[#This Row],[PUERTAS DORMITORIO]]=BA$2,100%,AVANCE[[#This Row],[PUERTAS DORMITORIO]])</f>
        <v>0</v>
      </c>
      <c r="CP241" s="3">
        <f>+IF(AVANCE[[#This Row],[REVESTIMIENTO INTERIOR BANO]]=BB$2,100%,AVANCE[[#This Row],[REVESTIMIENTO INTERIOR BANO]])</f>
        <v>0</v>
      </c>
      <c r="CQ241" s="3">
        <f>+IF(AVANCE[[#This Row],[MUEBLE LAVAPLATOS]]=BC$2,100%,AVANCE[[#This Row],[MUEBLE LAVAPLATOS]])</f>
        <v>0</v>
      </c>
      <c r="CR241" s="3">
        <f>+IF(AVANCE[[#This Row],[IMPERMEABILIZACION BANO - COCINA LOGIA]]=BD$2,100%,AVANCE[[#This Row],[IMPERMEABILIZACION BANO - COCINA LOGIA]])</f>
        <v>0</v>
      </c>
      <c r="CS241" s="40">
        <f ca="1">+IF(AVANCE[[#This Row],[ESTADO MODULO]]="PENDIENTE",(TODAY()-AVANCE[[#This Row],[FECHA TERMINO  PLANIFICADO]]),0)</f>
        <v>0</v>
      </c>
      <c r="CT241" s="41" t="str" cm="1">
        <f t="array" ref="CT241">_xlfn.TEXTJOIN(" | ",TRUE,IF(SUMPRODUCT((BG241:CR241&lt;1)*(PARTIDAS!$I$2:$AT$2="OBRA GRUESA"))&gt;0,"OBRA GRUESA: "&amp;_xlfn.TEXTJOIN(", ",TRUE,IF((BG241:CR241&lt;1)*(PARTIDAS!$I$2:$AT$2="OBRA GRUESA"),PARTIDAS!$I$1:$AT$1,"")),""),IF(SUMPRODUCT((BG241:CR241&lt;1)*(PARTIDAS!$I$2:$AT$2="SANITARIOS"))&gt;0,"SANITARIOS: "&amp;_xlfn.TEXTJOIN(", ",TRUE,IF((BG241:CR241&lt;1)*(PARTIDAS!$I$2:$AT$2="SANITARIOS"),PARTIDAS!$I$1:$AT$1,"")),""),IF(SUMPRODUCT((BG241:CR241&lt;1)*(PARTIDAS!$I$2:$AT$2="ELÉCTRICO"))&gt;0,"ELÉCTRICO: "&amp;_xlfn.TEXTJOIN(", ",TRUE,IF((BG241:CR241&lt;1)*(PARTIDAS!$I$2:$AT$2="ELÉCTRICO"),PARTIDAS!$I$1:$AT$1,"")),""),IF(SUMPRODUCT((BG241:CR241&lt;1)*(PARTIDAS!$I$2:$AT$2="TERMINACIONES"))&gt;0,"TERMINACIONES: "&amp;_xlfn.TEXTJOIN(", ",TRUE,IF((BG241:CR241&lt;1)*(PARTIDAS!$I$2:$AT$2="TERMINACIONES"),PARTIDAS!$I$1:$AT$1,"")),""))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1" s="43" t="str" cm="1">
        <f t="array" ref="CU241">_xlfn.TEXTJOIN(", ",TRUE,IF(SUMPRODUCT((BG241:CR241&lt;1)*(PARTIDAS!$I$2:$AT$2="OBRA GRUESA"))&gt;0,"OBRA GRUESA",""),IF(SUMPRODUCT((BG241:CR241&lt;1)*(PARTIDAS!$I$2:$AT$2="SANITARIOS"))&gt;0,"SANITARIOS",""),IF(SUMPRODUCT((BG241:CR241&lt;1)*(PARTIDAS!$I$2:$AT$2="ELÉCTRICO"))&gt;0,"ELÉCTRICO",""),IF(SUMPRODUCT((BG241:CR241&lt;1)*(PARTIDAS!$I$2:$AT$2="TERMINACIONES"))&gt;0,"TERMINACIONES",""))</f>
        <v>OBRA GRUESA, SANITARIOS, ELÉCTRICO, TERMINACIONES</v>
      </c>
      <c r="CV241" s="44" cm="1">
        <f t="array" ref="CV241">SUMPRODUCT(--(BG241:CR241&lt;1))</f>
        <v>38</v>
      </c>
    </row>
    <row r="242" spans="1:100" hidden="1" x14ac:dyDescent="0.25">
      <c r="A242" t="s">
        <v>289</v>
      </c>
      <c r="B242" t="s">
        <v>306</v>
      </c>
      <c r="C242">
        <v>2282600241</v>
      </c>
      <c r="D242" t="s">
        <v>58</v>
      </c>
      <c r="E242" s="2">
        <v>0</v>
      </c>
      <c r="F242" s="1">
        <v>46260</v>
      </c>
      <c r="G242" s="1"/>
      <c r="H242" s="1">
        <v>0</v>
      </c>
      <c r="I242" s="1">
        <v>46280</v>
      </c>
      <c r="J242">
        <v>46230</v>
      </c>
      <c r="K242" s="1"/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>
        <v>28.87</v>
      </c>
      <c r="BF242" s="3" t="str">
        <f>+IF(AVANCE[[#This Row],[% AVANCE]]=100%,"MODULO TERMINADO",IF(AVANCE[[#This Row],[FECHA INICIO REAL]]="","MODULO NO INICIADO","PENDIENTE"))</f>
        <v>MODULO NO INICIADO</v>
      </c>
      <c r="BG242" s="3">
        <f>+IF(AVANCE[[#This Row],[VENTANAS]]=8.10810810810811%,100%,AVANCE[[#This Row],[VENTANAS]])</f>
        <v>0</v>
      </c>
      <c r="BH242" s="3">
        <f>+IF(AVANCE[[#This Row],[PISO]]=N$2,100%,AVANCE[[#This Row],[PISO]])</f>
        <v>0</v>
      </c>
      <c r="BI242" s="3">
        <f>+IF(AVANCE[[#This Row],[TABIQUES]]=O$2,100%,AVANCE[[#This Row],[TABIQUES]])</f>
        <v>0</v>
      </c>
      <c r="BJ242" s="3">
        <f>+IF(AVANCE[[#This Row],[MUROS]]=P$2,100%,AVANCE[[#This Row],[MUROS]])</f>
        <v>0</v>
      </c>
      <c r="BK242" s="3">
        <f>+IF(AVANCE[[#This Row],[CIELO]]=Q$2,100%,AVANCE[[#This Row],[CIELO]])</f>
        <v>0</v>
      </c>
      <c r="BL242" s="3">
        <f>+IF(AVANCE[[#This Row],[BALCÓN]]=R$2,100%,AVANCE[[#This Row],[BALCÓN]])</f>
        <v>0</v>
      </c>
      <c r="BM242" s="3">
        <f>+IF(AVANCE[[#This Row],[RED ALCANTARILLADO]]=U$2,100%,AVANCE[[#This Row],[RED ALCANTARILLADO]])</f>
        <v>0</v>
      </c>
      <c r="BN242" s="3">
        <f>+IF(AVANCE[[#This Row],[RED DE AGUA]]=V$2,100%,AVANCE[[#This Row],[RED DE AGUA]])</f>
        <v>0</v>
      </c>
      <c r="BO242" s="3">
        <f>+IF(AVANCE[[#This Row],[VENTILACIONES]]=W$2,100%,AVANCE[[#This Row],[VENTILACIONES]])</f>
        <v>0</v>
      </c>
      <c r="BP242" s="3">
        <f>+IF(AVANCE[[#This Row],[TINA]]=X$2,100%,AVANCE[[#This Row],[TINA]])</f>
        <v>0</v>
      </c>
      <c r="BQ242" s="3">
        <f>+IF(AVANCE[[#This Row],[WC]]=Y$2,100%,AVANCE[[#This Row],[WC]])</f>
        <v>0</v>
      </c>
      <c r="BR242" s="3">
        <f>+IF(AVANCE[[#This Row],[LAVAMANOS / LAVAPLATOS / LAVADERO]]=Z$2,100%,AVANCE[[#This Row],[LAVAMANOS / LAVAPLATOS / LAVADERO]])</f>
        <v>0</v>
      </c>
      <c r="BS242" s="3">
        <f>+IF(AVANCE[[#This Row],[CANALIZACIÓN]]=AC$2,100%,AVANCE[[#This Row],[CANALIZACIÓN]])</f>
        <v>0</v>
      </c>
      <c r="BT242" s="3">
        <f>+IF(AVANCE[[#This Row],[CABLEADO]]=AD$2,100%,AVANCE[[#This Row],[CABLEADO]])</f>
        <v>0</v>
      </c>
      <c r="BU242" s="3">
        <f>+IF(AVANCE[[#This Row],[ARTEFACTOS]]=AE$2,100%,AVANCE[[#This Row],[ARTEFACTOS]])</f>
        <v>0</v>
      </c>
      <c r="BV242" s="3">
        <f>+IF(AVANCE[[#This Row],[TABLERO]]=AF$2,100%,AVANCE[[#This Row],[TABLERO]])</f>
        <v>0</v>
      </c>
      <c r="BW242" s="3">
        <f>+IF(AVANCE[[#This Row],[CAJA PAU]]=AG$2,100%,AVANCE[[#This Row],[CAJA PAU]])</f>
        <v>0</v>
      </c>
      <c r="BX242" s="3">
        <f>+IF(AVANCE[[#This Row],[INSTALACION VINILICO]]=AJ$2,100%,AVANCE[[#This Row],[INSTALACION VINILICO]])</f>
        <v>0</v>
      </c>
      <c r="BY242" s="3">
        <f>+IF(AVANCE[[#This Row],[OSB CUBIERTA]]=AK$2,100%,AVANCE[[#This Row],[OSB CUBIERTA]])</f>
        <v>0</v>
      </c>
      <c r="BZ242" s="3">
        <f>+IF(AVANCE[[#This Row],[BARANDA BALCON]]=AL$2,100%,AVANCE[[#This Row],[BARANDA BALCON]])</f>
        <v>0</v>
      </c>
      <c r="CA242" s="3">
        <f>+IF(AVANCE[[#This Row],[OSB EXTERIOR]]=AM$2,100%,AVANCE[[#This Row],[OSB EXTERIOR]])</f>
        <v>0</v>
      </c>
      <c r="CB242" s="3">
        <f>+IF(AVANCE[[#This Row],[SMART PANEL]]=AN$2,100%,AVANCE[[#This Row],[SMART PANEL]])</f>
        <v>0</v>
      </c>
      <c r="CC242" s="3">
        <f>+IF(AVANCE[[#This Row],[PINTURA EXTERIOR]]=AO$2,100%,AVANCE[[#This Row],[PINTURA EXTERIOR]])</f>
        <v>0</v>
      </c>
      <c r="CD242" s="3">
        <f>+IF(AVANCE[[#This Row],[ZOCALOS LOGIA]]=AP$2,100%,AVANCE[[#This Row],[ZOCALOS LOGIA]])</f>
        <v>0</v>
      </c>
      <c r="CE242" s="3">
        <f>+IF(AVANCE[[#This Row],[MOLDURAS]]=AQ$2,100%,AVANCE[[#This Row],[MOLDURAS]])</f>
        <v>0</v>
      </c>
      <c r="CF242" s="3">
        <f>+IF(AVANCE[[#This Row],[PILASTREO]]=AR$2,100%,AVANCE[[#This Row],[PILASTREO]])</f>
        <v>0</v>
      </c>
      <c r="CG242" s="3">
        <f>+IF(AVANCE[[#This Row],[CELOSIAS]]=AS$2,100%,AVANCE[[#This Row],[CELOSIAS]])</f>
        <v>0</v>
      </c>
      <c r="CH242" s="3">
        <f>+IF(AVANCE[[#This Row],[VENTANAS]]=AT$2,100%,AVANCE[[#This Row],[VENTANAS]])</f>
        <v>0</v>
      </c>
      <c r="CI242" s="3">
        <f>+IF(AVANCE[[#This Row],[PUERTAS ACCESO - LOGIA - BANO]]=AU$2,100%,AVANCE[[#This Row],[PUERTAS ACCESO - LOGIA - BANO]])</f>
        <v>0</v>
      </c>
      <c r="CJ242" s="3">
        <f>+IF(AVANCE[[#This Row],[CERRADURAS]]=AV$2,100%,AVANCE[[#This Row],[CERRADURAS]])</f>
        <v>0</v>
      </c>
      <c r="CK242" s="3">
        <f>+IF(AVANCE[[#This Row],[REVESTIMIENTO INTERIOR ZONA SECA]]=AW$2,100%,AVANCE[[#This Row],[REVESTIMIENTO INTERIOR ZONA SECA]])</f>
        <v>0</v>
      </c>
      <c r="CL242" s="3">
        <f>+IF(AVANCE[[#This Row],[REVESTIMIENTO INTERIOR ZONAS HUMEDAS]]=AX$2,100%,AVANCE[[#This Row],[REVESTIMIENTO INTERIOR ZONAS HUMEDAS]])</f>
        <v>0</v>
      </c>
      <c r="CM242" s="3">
        <f>+IF(AVANCE[[#This Row],[MEMBRANA CIELO]]=AY$2,100%,AVANCE[[#This Row],[MEMBRANA CIELO]])</f>
        <v>0</v>
      </c>
      <c r="CN242" s="3">
        <f>+IF(AVANCE[[#This Row],[LIMPIEZA FINAL]]=AZ$2,100%,AVANCE[[#This Row],[LIMPIEZA FINAL]])</f>
        <v>0</v>
      </c>
      <c r="CO242" s="3">
        <f>+IF(AVANCE[[#This Row],[PUERTAS DORMITORIO]]=BA$2,100%,AVANCE[[#This Row],[PUERTAS DORMITORIO]])</f>
        <v>0</v>
      </c>
      <c r="CP242" s="3">
        <f>+IF(AVANCE[[#This Row],[REVESTIMIENTO INTERIOR BANO]]=BB$2,100%,AVANCE[[#This Row],[REVESTIMIENTO INTERIOR BANO]])</f>
        <v>0</v>
      </c>
      <c r="CQ242" s="3">
        <f>+IF(AVANCE[[#This Row],[MUEBLE LAVAPLATOS]]=BC$2,100%,AVANCE[[#This Row],[MUEBLE LAVAPLATOS]])</f>
        <v>0</v>
      </c>
      <c r="CR242" s="3">
        <f>+IF(AVANCE[[#This Row],[IMPERMEABILIZACION BANO - COCINA LOGIA]]=BD$2,100%,AVANCE[[#This Row],[IMPERMEABILIZACION BANO - COCINA LOGIA]])</f>
        <v>0</v>
      </c>
      <c r="CS242" s="40">
        <f ca="1">+IF(AVANCE[[#This Row],[ESTADO MODULO]]="PENDIENTE",(TODAY()-AVANCE[[#This Row],[FECHA TERMINO  PLANIFICADO]]),0)</f>
        <v>0</v>
      </c>
      <c r="CT242" s="41" t="str" cm="1">
        <f t="array" ref="CT242">_xlfn.TEXTJOIN(" | ",TRUE,IF(SUMPRODUCT((BG242:CR242&lt;1)*(PARTIDAS!$I$2:$AT$2="OBRA GRUESA"))&gt;0,"OBRA GRUESA: "&amp;_xlfn.TEXTJOIN(", ",TRUE,IF((BG242:CR242&lt;1)*(PARTIDAS!$I$2:$AT$2="OBRA GRUESA"),PARTIDAS!$I$1:$AT$1,"")),""),IF(SUMPRODUCT((BG242:CR242&lt;1)*(PARTIDAS!$I$2:$AT$2="SANITARIOS"))&gt;0,"SANITARIOS: "&amp;_xlfn.TEXTJOIN(", ",TRUE,IF((BG242:CR242&lt;1)*(PARTIDAS!$I$2:$AT$2="SANITARIOS"),PARTIDAS!$I$1:$AT$1,"")),""),IF(SUMPRODUCT((BG242:CR242&lt;1)*(PARTIDAS!$I$2:$AT$2="ELÉCTRICO"))&gt;0,"ELÉCTRICO: "&amp;_xlfn.TEXTJOIN(", ",TRUE,IF((BG242:CR242&lt;1)*(PARTIDAS!$I$2:$AT$2="ELÉCTRICO"),PARTIDAS!$I$1:$AT$1,"")),""),IF(SUMPRODUCT((BG242:CR242&lt;1)*(PARTIDAS!$I$2:$AT$2="TERMINACIONES"))&gt;0,"TERMINACIONES: "&amp;_xlfn.TEXTJOIN(", ",TRUE,IF((BG242:CR242&lt;1)*(PARTIDAS!$I$2:$AT$2="TERMINACIONES"),PARTIDAS!$I$1:$AT$1,"")),""))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2" s="43" t="str" cm="1">
        <f t="array" ref="CU242">_xlfn.TEXTJOIN(", ",TRUE,IF(SUMPRODUCT((BG242:CR242&lt;1)*(PARTIDAS!$I$2:$AT$2="OBRA GRUESA"))&gt;0,"OBRA GRUESA",""),IF(SUMPRODUCT((BG242:CR242&lt;1)*(PARTIDAS!$I$2:$AT$2="SANITARIOS"))&gt;0,"SANITARIOS",""),IF(SUMPRODUCT((BG242:CR242&lt;1)*(PARTIDAS!$I$2:$AT$2="ELÉCTRICO"))&gt;0,"ELÉCTRICO",""),IF(SUMPRODUCT((BG242:CR242&lt;1)*(PARTIDAS!$I$2:$AT$2="TERMINACIONES"))&gt;0,"TERMINACIONES",""))</f>
        <v>OBRA GRUESA, SANITARIOS, ELÉCTRICO, TERMINACIONES</v>
      </c>
      <c r="CV242" s="44" cm="1">
        <f t="array" ref="CV242">SUMPRODUCT(--(BG242:CR242&lt;1))</f>
        <v>38</v>
      </c>
    </row>
    <row r="243" spans="1:100" hidden="1" x14ac:dyDescent="0.25">
      <c r="A243" t="s">
        <v>289</v>
      </c>
      <c r="B243" t="s">
        <v>307</v>
      </c>
      <c r="C243">
        <v>2302600242</v>
      </c>
      <c r="D243" t="s">
        <v>60</v>
      </c>
      <c r="E243" s="2">
        <v>0</v>
      </c>
      <c r="F243" s="1">
        <v>46260</v>
      </c>
      <c r="G243" s="1"/>
      <c r="H243" s="1">
        <v>0</v>
      </c>
      <c r="I243" s="1">
        <v>46290</v>
      </c>
      <c r="J243">
        <v>46230</v>
      </c>
      <c r="K243" s="1"/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>
        <v>31.32</v>
      </c>
      <c r="BF243" s="3" t="str">
        <f>+IF(AVANCE[[#This Row],[% AVANCE]]=100%,"MODULO TERMINADO",IF(AVANCE[[#This Row],[FECHA INICIO REAL]]="","MODULO NO INICIADO","PENDIENTE"))</f>
        <v>MODULO NO INICIADO</v>
      </c>
      <c r="BG243" s="3">
        <f>+IF(AVANCE[[#This Row],[VENTANAS]]=8.10810810810811%,100%,AVANCE[[#This Row],[VENTANAS]])</f>
        <v>0</v>
      </c>
      <c r="BH243" s="3">
        <f>+IF(AVANCE[[#This Row],[PISO]]=N$2,100%,AVANCE[[#This Row],[PISO]])</f>
        <v>0</v>
      </c>
      <c r="BI243" s="3">
        <f>+IF(AVANCE[[#This Row],[TABIQUES]]=O$2,100%,AVANCE[[#This Row],[TABIQUES]])</f>
        <v>0</v>
      </c>
      <c r="BJ243" s="3">
        <f>+IF(AVANCE[[#This Row],[MUROS]]=P$2,100%,AVANCE[[#This Row],[MUROS]])</f>
        <v>0</v>
      </c>
      <c r="BK243" s="3">
        <f>+IF(AVANCE[[#This Row],[CIELO]]=Q$2,100%,AVANCE[[#This Row],[CIELO]])</f>
        <v>0</v>
      </c>
      <c r="BL243" s="3">
        <f>+IF(AVANCE[[#This Row],[BALCÓN]]=R$2,100%,AVANCE[[#This Row],[BALCÓN]])</f>
        <v>0</v>
      </c>
      <c r="BM243" s="3">
        <f>+IF(AVANCE[[#This Row],[RED ALCANTARILLADO]]=U$2,100%,AVANCE[[#This Row],[RED ALCANTARILLADO]])</f>
        <v>0</v>
      </c>
      <c r="BN243" s="3">
        <f>+IF(AVANCE[[#This Row],[RED DE AGUA]]=V$2,100%,AVANCE[[#This Row],[RED DE AGUA]])</f>
        <v>0</v>
      </c>
      <c r="BO243" s="3">
        <f>+IF(AVANCE[[#This Row],[VENTILACIONES]]=W$2,100%,AVANCE[[#This Row],[VENTILACIONES]])</f>
        <v>0</v>
      </c>
      <c r="BP243" s="3">
        <f>+IF(AVANCE[[#This Row],[TINA]]=X$2,100%,AVANCE[[#This Row],[TINA]])</f>
        <v>0</v>
      </c>
      <c r="BQ243" s="3">
        <f>+IF(AVANCE[[#This Row],[WC]]=Y$2,100%,AVANCE[[#This Row],[WC]])</f>
        <v>0</v>
      </c>
      <c r="BR243" s="3">
        <f>+IF(AVANCE[[#This Row],[LAVAMANOS / LAVAPLATOS / LAVADERO]]=Z$2,100%,AVANCE[[#This Row],[LAVAMANOS / LAVAPLATOS / LAVADERO]])</f>
        <v>0</v>
      </c>
      <c r="BS243" s="3">
        <f>+IF(AVANCE[[#This Row],[CANALIZACIÓN]]=AC$2,100%,AVANCE[[#This Row],[CANALIZACIÓN]])</f>
        <v>0</v>
      </c>
      <c r="BT243" s="3">
        <f>+IF(AVANCE[[#This Row],[CABLEADO]]=AD$2,100%,AVANCE[[#This Row],[CABLEADO]])</f>
        <v>0</v>
      </c>
      <c r="BU243" s="3">
        <f>+IF(AVANCE[[#This Row],[ARTEFACTOS]]=AE$2,100%,AVANCE[[#This Row],[ARTEFACTOS]])</f>
        <v>0</v>
      </c>
      <c r="BV243" s="3">
        <f>+IF(AVANCE[[#This Row],[TABLERO]]=AF$2,100%,AVANCE[[#This Row],[TABLERO]])</f>
        <v>0</v>
      </c>
      <c r="BW243" s="3">
        <f>+IF(AVANCE[[#This Row],[CAJA PAU]]=AG$2,100%,AVANCE[[#This Row],[CAJA PAU]])</f>
        <v>0</v>
      </c>
      <c r="BX243" s="3">
        <f>+IF(AVANCE[[#This Row],[INSTALACION VINILICO]]=AJ$2,100%,AVANCE[[#This Row],[INSTALACION VINILICO]])</f>
        <v>0</v>
      </c>
      <c r="BY243" s="3">
        <f>+IF(AVANCE[[#This Row],[OSB CUBIERTA]]=AK$2,100%,AVANCE[[#This Row],[OSB CUBIERTA]])</f>
        <v>0</v>
      </c>
      <c r="BZ243" s="3">
        <f>+IF(AVANCE[[#This Row],[BARANDA BALCON]]=AL$2,100%,AVANCE[[#This Row],[BARANDA BALCON]])</f>
        <v>0</v>
      </c>
      <c r="CA243" s="3">
        <f>+IF(AVANCE[[#This Row],[OSB EXTERIOR]]=AM$2,100%,AVANCE[[#This Row],[OSB EXTERIOR]])</f>
        <v>0</v>
      </c>
      <c r="CB243" s="3">
        <f>+IF(AVANCE[[#This Row],[SMART PANEL]]=AN$2,100%,AVANCE[[#This Row],[SMART PANEL]])</f>
        <v>0</v>
      </c>
      <c r="CC243" s="3">
        <f>+IF(AVANCE[[#This Row],[PINTURA EXTERIOR]]=AO$2,100%,AVANCE[[#This Row],[PINTURA EXTERIOR]])</f>
        <v>0</v>
      </c>
      <c r="CD243" s="3">
        <f>+IF(AVANCE[[#This Row],[ZOCALOS LOGIA]]=AP$2,100%,AVANCE[[#This Row],[ZOCALOS LOGIA]])</f>
        <v>0</v>
      </c>
      <c r="CE243" s="3">
        <f>+IF(AVANCE[[#This Row],[MOLDURAS]]=AQ$2,100%,AVANCE[[#This Row],[MOLDURAS]])</f>
        <v>0</v>
      </c>
      <c r="CF243" s="3">
        <f>+IF(AVANCE[[#This Row],[PILASTREO]]=AR$2,100%,AVANCE[[#This Row],[PILASTREO]])</f>
        <v>0</v>
      </c>
      <c r="CG243" s="3">
        <f>+IF(AVANCE[[#This Row],[CELOSIAS]]=AS$2,100%,AVANCE[[#This Row],[CELOSIAS]])</f>
        <v>0</v>
      </c>
      <c r="CH243" s="3">
        <f>+IF(AVANCE[[#This Row],[VENTANAS]]=AT$2,100%,AVANCE[[#This Row],[VENTANAS]])</f>
        <v>0</v>
      </c>
      <c r="CI243" s="3">
        <f>+IF(AVANCE[[#This Row],[PUERTAS ACCESO - LOGIA - BANO]]=AU$2,100%,AVANCE[[#This Row],[PUERTAS ACCESO - LOGIA - BANO]])</f>
        <v>0</v>
      </c>
      <c r="CJ243" s="3">
        <f>+IF(AVANCE[[#This Row],[CERRADURAS]]=AV$2,100%,AVANCE[[#This Row],[CERRADURAS]])</f>
        <v>0</v>
      </c>
      <c r="CK243" s="3">
        <f>+IF(AVANCE[[#This Row],[REVESTIMIENTO INTERIOR ZONA SECA]]=AW$2,100%,AVANCE[[#This Row],[REVESTIMIENTO INTERIOR ZONA SECA]])</f>
        <v>0</v>
      </c>
      <c r="CL243" s="3">
        <f>+IF(AVANCE[[#This Row],[REVESTIMIENTO INTERIOR ZONAS HUMEDAS]]=AX$2,100%,AVANCE[[#This Row],[REVESTIMIENTO INTERIOR ZONAS HUMEDAS]])</f>
        <v>0</v>
      </c>
      <c r="CM243" s="3">
        <f>+IF(AVANCE[[#This Row],[MEMBRANA CIELO]]=AY$2,100%,AVANCE[[#This Row],[MEMBRANA CIELO]])</f>
        <v>0</v>
      </c>
      <c r="CN243" s="3">
        <f>+IF(AVANCE[[#This Row],[LIMPIEZA FINAL]]=AZ$2,100%,AVANCE[[#This Row],[LIMPIEZA FINAL]])</f>
        <v>0</v>
      </c>
      <c r="CO243" s="3">
        <f>+IF(AVANCE[[#This Row],[PUERTAS DORMITORIO]]=BA$2,100%,AVANCE[[#This Row],[PUERTAS DORMITORIO]])</f>
        <v>0</v>
      </c>
      <c r="CP243" s="3">
        <f>+IF(AVANCE[[#This Row],[REVESTIMIENTO INTERIOR BANO]]=BB$2,100%,AVANCE[[#This Row],[REVESTIMIENTO INTERIOR BANO]])</f>
        <v>0</v>
      </c>
      <c r="CQ243" s="3">
        <f>+IF(AVANCE[[#This Row],[MUEBLE LAVAPLATOS]]=BC$2,100%,AVANCE[[#This Row],[MUEBLE LAVAPLATOS]])</f>
        <v>0</v>
      </c>
      <c r="CR243" s="3">
        <f>+IF(AVANCE[[#This Row],[IMPERMEABILIZACION BANO - COCINA LOGIA]]=BD$2,100%,AVANCE[[#This Row],[IMPERMEABILIZACION BANO - COCINA LOGIA]])</f>
        <v>0</v>
      </c>
      <c r="CS243" s="40">
        <f ca="1">+IF(AVANCE[[#This Row],[ESTADO MODULO]]="PENDIENTE",(TODAY()-AVANCE[[#This Row],[FECHA TERMINO  PLANIFICADO]]),0)</f>
        <v>0</v>
      </c>
      <c r="CT243" s="41" t="str" cm="1">
        <f t="array" ref="CT243">_xlfn.TEXTJOIN(" | ",TRUE,IF(SUMPRODUCT((BG243:CR243&lt;1)*(PARTIDAS!$I$2:$AT$2="OBRA GRUESA"))&gt;0,"OBRA GRUESA: "&amp;_xlfn.TEXTJOIN(", ",TRUE,IF((BG243:CR243&lt;1)*(PARTIDAS!$I$2:$AT$2="OBRA GRUESA"),PARTIDAS!$I$1:$AT$1,"")),""),IF(SUMPRODUCT((BG243:CR243&lt;1)*(PARTIDAS!$I$2:$AT$2="SANITARIOS"))&gt;0,"SANITARIOS: "&amp;_xlfn.TEXTJOIN(", ",TRUE,IF((BG243:CR243&lt;1)*(PARTIDAS!$I$2:$AT$2="SANITARIOS"),PARTIDAS!$I$1:$AT$1,"")),""),IF(SUMPRODUCT((BG243:CR243&lt;1)*(PARTIDAS!$I$2:$AT$2="ELÉCTRICO"))&gt;0,"ELÉCTRICO: "&amp;_xlfn.TEXTJOIN(", ",TRUE,IF((BG243:CR243&lt;1)*(PARTIDAS!$I$2:$AT$2="ELÉCTRICO"),PARTIDAS!$I$1:$AT$1,"")),""),IF(SUMPRODUCT((BG243:CR243&lt;1)*(PARTIDAS!$I$2:$AT$2="TERMINACIONES"))&gt;0,"TERMINACIONES: "&amp;_xlfn.TEXTJOIN(", ",TRUE,IF((BG243:CR243&lt;1)*(PARTIDAS!$I$2:$AT$2="TERMINACIONES"),PARTIDAS!$I$1:$AT$1,"")),""))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3" s="43" t="str" cm="1">
        <f t="array" ref="CU243">_xlfn.TEXTJOIN(", ",TRUE,IF(SUMPRODUCT((BG243:CR243&lt;1)*(PARTIDAS!$I$2:$AT$2="OBRA GRUESA"))&gt;0,"OBRA GRUESA",""),IF(SUMPRODUCT((BG243:CR243&lt;1)*(PARTIDAS!$I$2:$AT$2="SANITARIOS"))&gt;0,"SANITARIOS",""),IF(SUMPRODUCT((BG243:CR243&lt;1)*(PARTIDAS!$I$2:$AT$2="ELÉCTRICO"))&gt;0,"ELÉCTRICO",""),IF(SUMPRODUCT((BG243:CR243&lt;1)*(PARTIDAS!$I$2:$AT$2="TERMINACIONES"))&gt;0,"TERMINACIONES",""))</f>
        <v>OBRA GRUESA, SANITARIOS, ELÉCTRICO, TERMINACIONES</v>
      </c>
      <c r="CV243" s="44" cm="1">
        <f t="array" ref="CV243">SUMPRODUCT(--(BG243:CR243&lt;1))</f>
        <v>38</v>
      </c>
    </row>
    <row r="244" spans="1:100" hidden="1" x14ac:dyDescent="0.25">
      <c r="A244" t="s">
        <v>289</v>
      </c>
      <c r="B244" t="s">
        <v>308</v>
      </c>
      <c r="C244">
        <v>2302600243</v>
      </c>
      <c r="D244" t="s">
        <v>60</v>
      </c>
      <c r="E244" s="2">
        <v>0</v>
      </c>
      <c r="F244" s="1">
        <v>46260</v>
      </c>
      <c r="G244" s="1"/>
      <c r="H244" s="1">
        <v>0</v>
      </c>
      <c r="I244" s="1">
        <v>46290</v>
      </c>
      <c r="J244">
        <v>46230</v>
      </c>
      <c r="K244" s="1"/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>
        <v>31.32</v>
      </c>
      <c r="BF244" s="3" t="str">
        <f>+IF(AVANCE[[#This Row],[% AVANCE]]=100%,"MODULO TERMINADO",IF(AVANCE[[#This Row],[FECHA INICIO REAL]]="","MODULO NO INICIADO","PENDIENTE"))</f>
        <v>MODULO NO INICIADO</v>
      </c>
      <c r="BG244" s="3">
        <f>+IF(AVANCE[[#This Row],[VENTANAS]]=8.10810810810811%,100%,AVANCE[[#This Row],[VENTANAS]])</f>
        <v>0</v>
      </c>
      <c r="BH244" s="3">
        <f>+IF(AVANCE[[#This Row],[PISO]]=N$2,100%,AVANCE[[#This Row],[PISO]])</f>
        <v>0</v>
      </c>
      <c r="BI244" s="3">
        <f>+IF(AVANCE[[#This Row],[TABIQUES]]=O$2,100%,AVANCE[[#This Row],[TABIQUES]])</f>
        <v>0</v>
      </c>
      <c r="BJ244" s="3">
        <f>+IF(AVANCE[[#This Row],[MUROS]]=P$2,100%,AVANCE[[#This Row],[MUROS]])</f>
        <v>0</v>
      </c>
      <c r="BK244" s="3">
        <f>+IF(AVANCE[[#This Row],[CIELO]]=Q$2,100%,AVANCE[[#This Row],[CIELO]])</f>
        <v>0</v>
      </c>
      <c r="BL244" s="3">
        <f>+IF(AVANCE[[#This Row],[BALCÓN]]=R$2,100%,AVANCE[[#This Row],[BALCÓN]])</f>
        <v>0</v>
      </c>
      <c r="BM244" s="3">
        <f>+IF(AVANCE[[#This Row],[RED ALCANTARILLADO]]=U$2,100%,AVANCE[[#This Row],[RED ALCANTARILLADO]])</f>
        <v>0</v>
      </c>
      <c r="BN244" s="3">
        <f>+IF(AVANCE[[#This Row],[RED DE AGUA]]=V$2,100%,AVANCE[[#This Row],[RED DE AGUA]])</f>
        <v>0</v>
      </c>
      <c r="BO244" s="3">
        <f>+IF(AVANCE[[#This Row],[VENTILACIONES]]=W$2,100%,AVANCE[[#This Row],[VENTILACIONES]])</f>
        <v>0</v>
      </c>
      <c r="BP244" s="3">
        <f>+IF(AVANCE[[#This Row],[TINA]]=X$2,100%,AVANCE[[#This Row],[TINA]])</f>
        <v>0</v>
      </c>
      <c r="BQ244" s="3">
        <f>+IF(AVANCE[[#This Row],[WC]]=Y$2,100%,AVANCE[[#This Row],[WC]])</f>
        <v>0</v>
      </c>
      <c r="BR244" s="3">
        <f>+IF(AVANCE[[#This Row],[LAVAMANOS / LAVAPLATOS / LAVADERO]]=Z$2,100%,AVANCE[[#This Row],[LAVAMANOS / LAVAPLATOS / LAVADERO]])</f>
        <v>0</v>
      </c>
      <c r="BS244" s="3">
        <f>+IF(AVANCE[[#This Row],[CANALIZACIÓN]]=AC$2,100%,AVANCE[[#This Row],[CANALIZACIÓN]])</f>
        <v>0</v>
      </c>
      <c r="BT244" s="3">
        <f>+IF(AVANCE[[#This Row],[CABLEADO]]=AD$2,100%,AVANCE[[#This Row],[CABLEADO]])</f>
        <v>0</v>
      </c>
      <c r="BU244" s="3">
        <f>+IF(AVANCE[[#This Row],[ARTEFACTOS]]=AE$2,100%,AVANCE[[#This Row],[ARTEFACTOS]])</f>
        <v>0</v>
      </c>
      <c r="BV244" s="3">
        <f>+IF(AVANCE[[#This Row],[TABLERO]]=AF$2,100%,AVANCE[[#This Row],[TABLERO]])</f>
        <v>0</v>
      </c>
      <c r="BW244" s="3">
        <f>+IF(AVANCE[[#This Row],[CAJA PAU]]=AG$2,100%,AVANCE[[#This Row],[CAJA PAU]])</f>
        <v>0</v>
      </c>
      <c r="BX244" s="3">
        <f>+IF(AVANCE[[#This Row],[INSTALACION VINILICO]]=AJ$2,100%,AVANCE[[#This Row],[INSTALACION VINILICO]])</f>
        <v>0</v>
      </c>
      <c r="BY244" s="3">
        <f>+IF(AVANCE[[#This Row],[OSB CUBIERTA]]=AK$2,100%,AVANCE[[#This Row],[OSB CUBIERTA]])</f>
        <v>0</v>
      </c>
      <c r="BZ244" s="3">
        <f>+IF(AVANCE[[#This Row],[BARANDA BALCON]]=AL$2,100%,AVANCE[[#This Row],[BARANDA BALCON]])</f>
        <v>0</v>
      </c>
      <c r="CA244" s="3">
        <f>+IF(AVANCE[[#This Row],[OSB EXTERIOR]]=AM$2,100%,AVANCE[[#This Row],[OSB EXTERIOR]])</f>
        <v>0</v>
      </c>
      <c r="CB244" s="3">
        <f>+IF(AVANCE[[#This Row],[SMART PANEL]]=AN$2,100%,AVANCE[[#This Row],[SMART PANEL]])</f>
        <v>0</v>
      </c>
      <c r="CC244" s="3">
        <f>+IF(AVANCE[[#This Row],[PINTURA EXTERIOR]]=AO$2,100%,AVANCE[[#This Row],[PINTURA EXTERIOR]])</f>
        <v>0</v>
      </c>
      <c r="CD244" s="3">
        <f>+IF(AVANCE[[#This Row],[ZOCALOS LOGIA]]=AP$2,100%,AVANCE[[#This Row],[ZOCALOS LOGIA]])</f>
        <v>0</v>
      </c>
      <c r="CE244" s="3">
        <f>+IF(AVANCE[[#This Row],[MOLDURAS]]=AQ$2,100%,AVANCE[[#This Row],[MOLDURAS]])</f>
        <v>0</v>
      </c>
      <c r="CF244" s="3">
        <f>+IF(AVANCE[[#This Row],[PILASTREO]]=AR$2,100%,AVANCE[[#This Row],[PILASTREO]])</f>
        <v>0</v>
      </c>
      <c r="CG244" s="3">
        <f>+IF(AVANCE[[#This Row],[CELOSIAS]]=AS$2,100%,AVANCE[[#This Row],[CELOSIAS]])</f>
        <v>0</v>
      </c>
      <c r="CH244" s="3">
        <f>+IF(AVANCE[[#This Row],[VENTANAS]]=AT$2,100%,AVANCE[[#This Row],[VENTANAS]])</f>
        <v>0</v>
      </c>
      <c r="CI244" s="3">
        <f>+IF(AVANCE[[#This Row],[PUERTAS ACCESO - LOGIA - BANO]]=AU$2,100%,AVANCE[[#This Row],[PUERTAS ACCESO - LOGIA - BANO]])</f>
        <v>0</v>
      </c>
      <c r="CJ244" s="3">
        <f>+IF(AVANCE[[#This Row],[CERRADURAS]]=AV$2,100%,AVANCE[[#This Row],[CERRADURAS]])</f>
        <v>0</v>
      </c>
      <c r="CK244" s="3">
        <f>+IF(AVANCE[[#This Row],[REVESTIMIENTO INTERIOR ZONA SECA]]=AW$2,100%,AVANCE[[#This Row],[REVESTIMIENTO INTERIOR ZONA SECA]])</f>
        <v>0</v>
      </c>
      <c r="CL244" s="3">
        <f>+IF(AVANCE[[#This Row],[REVESTIMIENTO INTERIOR ZONAS HUMEDAS]]=AX$2,100%,AVANCE[[#This Row],[REVESTIMIENTO INTERIOR ZONAS HUMEDAS]])</f>
        <v>0</v>
      </c>
      <c r="CM244" s="3">
        <f>+IF(AVANCE[[#This Row],[MEMBRANA CIELO]]=AY$2,100%,AVANCE[[#This Row],[MEMBRANA CIELO]])</f>
        <v>0</v>
      </c>
      <c r="CN244" s="3">
        <f>+IF(AVANCE[[#This Row],[LIMPIEZA FINAL]]=AZ$2,100%,AVANCE[[#This Row],[LIMPIEZA FINAL]])</f>
        <v>0</v>
      </c>
      <c r="CO244" s="3">
        <f>+IF(AVANCE[[#This Row],[PUERTAS DORMITORIO]]=BA$2,100%,AVANCE[[#This Row],[PUERTAS DORMITORIO]])</f>
        <v>0</v>
      </c>
      <c r="CP244" s="3">
        <f>+IF(AVANCE[[#This Row],[REVESTIMIENTO INTERIOR BANO]]=BB$2,100%,AVANCE[[#This Row],[REVESTIMIENTO INTERIOR BANO]])</f>
        <v>0</v>
      </c>
      <c r="CQ244" s="3">
        <f>+IF(AVANCE[[#This Row],[MUEBLE LAVAPLATOS]]=BC$2,100%,AVANCE[[#This Row],[MUEBLE LAVAPLATOS]])</f>
        <v>0</v>
      </c>
      <c r="CR244" s="3">
        <f>+IF(AVANCE[[#This Row],[IMPERMEABILIZACION BANO - COCINA LOGIA]]=BD$2,100%,AVANCE[[#This Row],[IMPERMEABILIZACION BANO - COCINA LOGIA]])</f>
        <v>0</v>
      </c>
      <c r="CS244" s="40">
        <f ca="1">+IF(AVANCE[[#This Row],[ESTADO MODULO]]="PENDIENTE",(TODAY()-AVANCE[[#This Row],[FECHA TERMINO  PLANIFICADO]]),0)</f>
        <v>0</v>
      </c>
      <c r="CT244" s="41" t="str" cm="1">
        <f t="array" ref="CT244">_xlfn.TEXTJOIN(" | ",TRUE,IF(SUMPRODUCT((BG244:CR244&lt;1)*(PARTIDAS!$I$2:$AT$2="OBRA GRUESA"))&gt;0,"OBRA GRUESA: "&amp;_xlfn.TEXTJOIN(", ",TRUE,IF((BG244:CR244&lt;1)*(PARTIDAS!$I$2:$AT$2="OBRA GRUESA"),PARTIDAS!$I$1:$AT$1,"")),""),IF(SUMPRODUCT((BG244:CR244&lt;1)*(PARTIDAS!$I$2:$AT$2="SANITARIOS"))&gt;0,"SANITARIOS: "&amp;_xlfn.TEXTJOIN(", ",TRUE,IF((BG244:CR244&lt;1)*(PARTIDAS!$I$2:$AT$2="SANITARIOS"),PARTIDAS!$I$1:$AT$1,"")),""),IF(SUMPRODUCT((BG244:CR244&lt;1)*(PARTIDAS!$I$2:$AT$2="ELÉCTRICO"))&gt;0,"ELÉCTRICO: "&amp;_xlfn.TEXTJOIN(", ",TRUE,IF((BG244:CR244&lt;1)*(PARTIDAS!$I$2:$AT$2="ELÉCTRICO"),PARTIDAS!$I$1:$AT$1,"")),""),IF(SUMPRODUCT((BG244:CR244&lt;1)*(PARTIDAS!$I$2:$AT$2="TERMINACIONES"))&gt;0,"TERMINACIONES: "&amp;_xlfn.TEXTJOIN(", ",TRUE,IF((BG244:CR244&lt;1)*(PARTIDAS!$I$2:$AT$2="TERMINACIONES"),PARTIDAS!$I$1:$AT$1,"")),""))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4" s="43" t="str" cm="1">
        <f t="array" ref="CU244">_xlfn.TEXTJOIN(", ",TRUE,IF(SUMPRODUCT((BG244:CR244&lt;1)*(PARTIDAS!$I$2:$AT$2="OBRA GRUESA"))&gt;0,"OBRA GRUESA",""),IF(SUMPRODUCT((BG244:CR244&lt;1)*(PARTIDAS!$I$2:$AT$2="SANITARIOS"))&gt;0,"SANITARIOS",""),IF(SUMPRODUCT((BG244:CR244&lt;1)*(PARTIDAS!$I$2:$AT$2="ELÉCTRICO"))&gt;0,"ELÉCTRICO",""),IF(SUMPRODUCT((BG244:CR244&lt;1)*(PARTIDAS!$I$2:$AT$2="TERMINACIONES"))&gt;0,"TERMINACIONES",""))</f>
        <v>OBRA GRUESA, SANITARIOS, ELÉCTRICO, TERMINACIONES</v>
      </c>
      <c r="CV244" s="44" cm="1">
        <f t="array" ref="CV244">SUMPRODUCT(--(BG244:CR244&lt;1))</f>
        <v>38</v>
      </c>
    </row>
    <row r="245" spans="1:100" hidden="1" x14ac:dyDescent="0.25">
      <c r="A245" t="s">
        <v>289</v>
      </c>
      <c r="B245" t="s">
        <v>309</v>
      </c>
      <c r="C245">
        <v>2282600244</v>
      </c>
      <c r="D245" t="s">
        <v>58</v>
      </c>
      <c r="E245" s="2">
        <v>0</v>
      </c>
      <c r="F245" s="1">
        <v>46261</v>
      </c>
      <c r="G245" s="1"/>
      <c r="H245" s="1">
        <v>0</v>
      </c>
      <c r="I245" s="1">
        <v>46281</v>
      </c>
      <c r="J245">
        <v>46230</v>
      </c>
      <c r="K245" s="1"/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>
        <v>28.87</v>
      </c>
      <c r="BF245" s="3" t="str">
        <f>+IF(AVANCE[[#This Row],[% AVANCE]]=100%,"MODULO TERMINADO",IF(AVANCE[[#This Row],[FECHA INICIO REAL]]="","MODULO NO INICIADO","PENDIENTE"))</f>
        <v>MODULO NO INICIADO</v>
      </c>
      <c r="BG245" s="3">
        <f>+IF(AVANCE[[#This Row],[VENTANAS]]=8.10810810810811%,100%,AVANCE[[#This Row],[VENTANAS]])</f>
        <v>0</v>
      </c>
      <c r="BH245" s="3">
        <f>+IF(AVANCE[[#This Row],[PISO]]=N$2,100%,AVANCE[[#This Row],[PISO]])</f>
        <v>0</v>
      </c>
      <c r="BI245" s="3">
        <f>+IF(AVANCE[[#This Row],[TABIQUES]]=O$2,100%,AVANCE[[#This Row],[TABIQUES]])</f>
        <v>0</v>
      </c>
      <c r="BJ245" s="3">
        <f>+IF(AVANCE[[#This Row],[MUROS]]=P$2,100%,AVANCE[[#This Row],[MUROS]])</f>
        <v>0</v>
      </c>
      <c r="BK245" s="3">
        <f>+IF(AVANCE[[#This Row],[CIELO]]=Q$2,100%,AVANCE[[#This Row],[CIELO]])</f>
        <v>0</v>
      </c>
      <c r="BL245" s="3">
        <f>+IF(AVANCE[[#This Row],[BALCÓN]]=R$2,100%,AVANCE[[#This Row],[BALCÓN]])</f>
        <v>0</v>
      </c>
      <c r="BM245" s="3">
        <f>+IF(AVANCE[[#This Row],[RED ALCANTARILLADO]]=U$2,100%,AVANCE[[#This Row],[RED ALCANTARILLADO]])</f>
        <v>0</v>
      </c>
      <c r="BN245" s="3">
        <f>+IF(AVANCE[[#This Row],[RED DE AGUA]]=V$2,100%,AVANCE[[#This Row],[RED DE AGUA]])</f>
        <v>0</v>
      </c>
      <c r="BO245" s="3">
        <f>+IF(AVANCE[[#This Row],[VENTILACIONES]]=W$2,100%,AVANCE[[#This Row],[VENTILACIONES]])</f>
        <v>0</v>
      </c>
      <c r="BP245" s="3">
        <f>+IF(AVANCE[[#This Row],[TINA]]=X$2,100%,AVANCE[[#This Row],[TINA]])</f>
        <v>0</v>
      </c>
      <c r="BQ245" s="3">
        <f>+IF(AVANCE[[#This Row],[WC]]=Y$2,100%,AVANCE[[#This Row],[WC]])</f>
        <v>0</v>
      </c>
      <c r="BR245" s="3">
        <f>+IF(AVANCE[[#This Row],[LAVAMANOS / LAVAPLATOS / LAVADERO]]=Z$2,100%,AVANCE[[#This Row],[LAVAMANOS / LAVAPLATOS / LAVADERO]])</f>
        <v>0</v>
      </c>
      <c r="BS245" s="3">
        <f>+IF(AVANCE[[#This Row],[CANALIZACIÓN]]=AC$2,100%,AVANCE[[#This Row],[CANALIZACIÓN]])</f>
        <v>0</v>
      </c>
      <c r="BT245" s="3">
        <f>+IF(AVANCE[[#This Row],[CABLEADO]]=AD$2,100%,AVANCE[[#This Row],[CABLEADO]])</f>
        <v>0</v>
      </c>
      <c r="BU245" s="3">
        <f>+IF(AVANCE[[#This Row],[ARTEFACTOS]]=AE$2,100%,AVANCE[[#This Row],[ARTEFACTOS]])</f>
        <v>0</v>
      </c>
      <c r="BV245" s="3">
        <f>+IF(AVANCE[[#This Row],[TABLERO]]=AF$2,100%,AVANCE[[#This Row],[TABLERO]])</f>
        <v>0</v>
      </c>
      <c r="BW245" s="3">
        <f>+IF(AVANCE[[#This Row],[CAJA PAU]]=AG$2,100%,AVANCE[[#This Row],[CAJA PAU]])</f>
        <v>0</v>
      </c>
      <c r="BX245" s="3">
        <f>+IF(AVANCE[[#This Row],[INSTALACION VINILICO]]=AJ$2,100%,AVANCE[[#This Row],[INSTALACION VINILICO]])</f>
        <v>0</v>
      </c>
      <c r="BY245" s="3">
        <f>+IF(AVANCE[[#This Row],[OSB CUBIERTA]]=AK$2,100%,AVANCE[[#This Row],[OSB CUBIERTA]])</f>
        <v>0</v>
      </c>
      <c r="BZ245" s="3">
        <f>+IF(AVANCE[[#This Row],[BARANDA BALCON]]=AL$2,100%,AVANCE[[#This Row],[BARANDA BALCON]])</f>
        <v>0</v>
      </c>
      <c r="CA245" s="3">
        <f>+IF(AVANCE[[#This Row],[OSB EXTERIOR]]=AM$2,100%,AVANCE[[#This Row],[OSB EXTERIOR]])</f>
        <v>0</v>
      </c>
      <c r="CB245" s="3">
        <f>+IF(AVANCE[[#This Row],[SMART PANEL]]=AN$2,100%,AVANCE[[#This Row],[SMART PANEL]])</f>
        <v>0</v>
      </c>
      <c r="CC245" s="3">
        <f>+IF(AVANCE[[#This Row],[PINTURA EXTERIOR]]=AO$2,100%,AVANCE[[#This Row],[PINTURA EXTERIOR]])</f>
        <v>0</v>
      </c>
      <c r="CD245" s="3">
        <f>+IF(AVANCE[[#This Row],[ZOCALOS LOGIA]]=AP$2,100%,AVANCE[[#This Row],[ZOCALOS LOGIA]])</f>
        <v>0</v>
      </c>
      <c r="CE245" s="3">
        <f>+IF(AVANCE[[#This Row],[MOLDURAS]]=AQ$2,100%,AVANCE[[#This Row],[MOLDURAS]])</f>
        <v>0</v>
      </c>
      <c r="CF245" s="3">
        <f>+IF(AVANCE[[#This Row],[PILASTREO]]=AR$2,100%,AVANCE[[#This Row],[PILASTREO]])</f>
        <v>0</v>
      </c>
      <c r="CG245" s="3">
        <f>+IF(AVANCE[[#This Row],[CELOSIAS]]=AS$2,100%,AVANCE[[#This Row],[CELOSIAS]])</f>
        <v>0</v>
      </c>
      <c r="CH245" s="3">
        <f>+IF(AVANCE[[#This Row],[VENTANAS]]=AT$2,100%,AVANCE[[#This Row],[VENTANAS]])</f>
        <v>0</v>
      </c>
      <c r="CI245" s="3">
        <f>+IF(AVANCE[[#This Row],[PUERTAS ACCESO - LOGIA - BANO]]=AU$2,100%,AVANCE[[#This Row],[PUERTAS ACCESO - LOGIA - BANO]])</f>
        <v>0</v>
      </c>
      <c r="CJ245" s="3">
        <f>+IF(AVANCE[[#This Row],[CERRADURAS]]=AV$2,100%,AVANCE[[#This Row],[CERRADURAS]])</f>
        <v>0</v>
      </c>
      <c r="CK245" s="3">
        <f>+IF(AVANCE[[#This Row],[REVESTIMIENTO INTERIOR ZONA SECA]]=AW$2,100%,AVANCE[[#This Row],[REVESTIMIENTO INTERIOR ZONA SECA]])</f>
        <v>0</v>
      </c>
      <c r="CL245" s="3">
        <f>+IF(AVANCE[[#This Row],[REVESTIMIENTO INTERIOR ZONAS HUMEDAS]]=AX$2,100%,AVANCE[[#This Row],[REVESTIMIENTO INTERIOR ZONAS HUMEDAS]])</f>
        <v>0</v>
      </c>
      <c r="CM245" s="3">
        <f>+IF(AVANCE[[#This Row],[MEMBRANA CIELO]]=AY$2,100%,AVANCE[[#This Row],[MEMBRANA CIELO]])</f>
        <v>0</v>
      </c>
      <c r="CN245" s="3">
        <f>+IF(AVANCE[[#This Row],[LIMPIEZA FINAL]]=AZ$2,100%,AVANCE[[#This Row],[LIMPIEZA FINAL]])</f>
        <v>0</v>
      </c>
      <c r="CO245" s="3">
        <f>+IF(AVANCE[[#This Row],[PUERTAS DORMITORIO]]=BA$2,100%,AVANCE[[#This Row],[PUERTAS DORMITORIO]])</f>
        <v>0</v>
      </c>
      <c r="CP245" s="3">
        <f>+IF(AVANCE[[#This Row],[REVESTIMIENTO INTERIOR BANO]]=BB$2,100%,AVANCE[[#This Row],[REVESTIMIENTO INTERIOR BANO]])</f>
        <v>0</v>
      </c>
      <c r="CQ245" s="3">
        <f>+IF(AVANCE[[#This Row],[MUEBLE LAVAPLATOS]]=BC$2,100%,AVANCE[[#This Row],[MUEBLE LAVAPLATOS]])</f>
        <v>0</v>
      </c>
      <c r="CR245" s="3">
        <f>+IF(AVANCE[[#This Row],[IMPERMEABILIZACION BANO - COCINA LOGIA]]=BD$2,100%,AVANCE[[#This Row],[IMPERMEABILIZACION BANO - COCINA LOGIA]])</f>
        <v>0</v>
      </c>
      <c r="CS245" s="40">
        <f ca="1">+IF(AVANCE[[#This Row],[ESTADO MODULO]]="PENDIENTE",(TODAY()-AVANCE[[#This Row],[FECHA TERMINO  PLANIFICADO]]),0)</f>
        <v>0</v>
      </c>
      <c r="CT245" s="41" t="str" cm="1">
        <f t="array" ref="CT245">_xlfn.TEXTJOIN(" | ",TRUE,IF(SUMPRODUCT((BG245:CR245&lt;1)*(PARTIDAS!$I$2:$AT$2="OBRA GRUESA"))&gt;0,"OBRA GRUESA: "&amp;_xlfn.TEXTJOIN(", ",TRUE,IF((BG245:CR245&lt;1)*(PARTIDAS!$I$2:$AT$2="OBRA GRUESA"),PARTIDAS!$I$1:$AT$1,"")),""),IF(SUMPRODUCT((BG245:CR245&lt;1)*(PARTIDAS!$I$2:$AT$2="SANITARIOS"))&gt;0,"SANITARIOS: "&amp;_xlfn.TEXTJOIN(", ",TRUE,IF((BG245:CR245&lt;1)*(PARTIDAS!$I$2:$AT$2="SANITARIOS"),PARTIDAS!$I$1:$AT$1,"")),""),IF(SUMPRODUCT((BG245:CR245&lt;1)*(PARTIDAS!$I$2:$AT$2="ELÉCTRICO"))&gt;0,"ELÉCTRICO: "&amp;_xlfn.TEXTJOIN(", ",TRUE,IF((BG245:CR245&lt;1)*(PARTIDAS!$I$2:$AT$2="ELÉCTRICO"),PARTIDAS!$I$1:$AT$1,"")),""),IF(SUMPRODUCT((BG245:CR245&lt;1)*(PARTIDAS!$I$2:$AT$2="TERMINACIONES"))&gt;0,"TERMINACIONES: "&amp;_xlfn.TEXTJOIN(", ",TRUE,IF((BG245:CR245&lt;1)*(PARTIDAS!$I$2:$AT$2="TERMINACIONES"),PARTIDAS!$I$1:$AT$1,"")),""))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5" s="43" t="str" cm="1">
        <f t="array" ref="CU245">_xlfn.TEXTJOIN(", ",TRUE,IF(SUMPRODUCT((BG245:CR245&lt;1)*(PARTIDAS!$I$2:$AT$2="OBRA GRUESA"))&gt;0,"OBRA GRUESA",""),IF(SUMPRODUCT((BG245:CR245&lt;1)*(PARTIDAS!$I$2:$AT$2="SANITARIOS"))&gt;0,"SANITARIOS",""),IF(SUMPRODUCT((BG245:CR245&lt;1)*(PARTIDAS!$I$2:$AT$2="ELÉCTRICO"))&gt;0,"ELÉCTRICO",""),IF(SUMPRODUCT((BG245:CR245&lt;1)*(PARTIDAS!$I$2:$AT$2="TERMINACIONES"))&gt;0,"TERMINACIONES",""))</f>
        <v>OBRA GRUESA, SANITARIOS, ELÉCTRICO, TERMINACIONES</v>
      </c>
      <c r="CV245" s="44" cm="1">
        <f t="array" ref="CV245">SUMPRODUCT(--(BG245:CR245&lt;1))</f>
        <v>38</v>
      </c>
    </row>
    <row r="246" spans="1:100" hidden="1" x14ac:dyDescent="0.25">
      <c r="A246" t="s">
        <v>289</v>
      </c>
      <c r="B246" t="s">
        <v>310</v>
      </c>
      <c r="C246">
        <v>2282600245</v>
      </c>
      <c r="D246" t="s">
        <v>58</v>
      </c>
      <c r="E246" s="2">
        <v>0</v>
      </c>
      <c r="F246" s="1">
        <v>46261</v>
      </c>
      <c r="G246" s="1"/>
      <c r="H246" s="1">
        <v>0</v>
      </c>
      <c r="I246" s="1">
        <v>46281</v>
      </c>
      <c r="J246">
        <v>46230</v>
      </c>
      <c r="K246" s="1"/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>
        <v>28.87</v>
      </c>
      <c r="BF246" s="3" t="str">
        <f>+IF(AVANCE[[#This Row],[% AVANCE]]=100%,"MODULO TERMINADO",IF(AVANCE[[#This Row],[FECHA INICIO REAL]]="","MODULO NO INICIADO","PENDIENTE"))</f>
        <v>MODULO NO INICIADO</v>
      </c>
      <c r="BG246" s="3">
        <f>+IF(AVANCE[[#This Row],[VENTANAS]]=8.10810810810811%,100%,AVANCE[[#This Row],[VENTANAS]])</f>
        <v>0</v>
      </c>
      <c r="BH246" s="3">
        <f>+IF(AVANCE[[#This Row],[PISO]]=N$2,100%,AVANCE[[#This Row],[PISO]])</f>
        <v>0</v>
      </c>
      <c r="BI246" s="3">
        <f>+IF(AVANCE[[#This Row],[TABIQUES]]=O$2,100%,AVANCE[[#This Row],[TABIQUES]])</f>
        <v>0</v>
      </c>
      <c r="BJ246" s="3">
        <f>+IF(AVANCE[[#This Row],[MUROS]]=P$2,100%,AVANCE[[#This Row],[MUROS]])</f>
        <v>0</v>
      </c>
      <c r="BK246" s="3">
        <f>+IF(AVANCE[[#This Row],[CIELO]]=Q$2,100%,AVANCE[[#This Row],[CIELO]])</f>
        <v>0</v>
      </c>
      <c r="BL246" s="3">
        <f>+IF(AVANCE[[#This Row],[BALCÓN]]=R$2,100%,AVANCE[[#This Row],[BALCÓN]])</f>
        <v>0</v>
      </c>
      <c r="BM246" s="3">
        <f>+IF(AVANCE[[#This Row],[RED ALCANTARILLADO]]=U$2,100%,AVANCE[[#This Row],[RED ALCANTARILLADO]])</f>
        <v>0</v>
      </c>
      <c r="BN246" s="3">
        <f>+IF(AVANCE[[#This Row],[RED DE AGUA]]=V$2,100%,AVANCE[[#This Row],[RED DE AGUA]])</f>
        <v>0</v>
      </c>
      <c r="BO246" s="3">
        <f>+IF(AVANCE[[#This Row],[VENTILACIONES]]=W$2,100%,AVANCE[[#This Row],[VENTILACIONES]])</f>
        <v>0</v>
      </c>
      <c r="BP246" s="3">
        <f>+IF(AVANCE[[#This Row],[TINA]]=X$2,100%,AVANCE[[#This Row],[TINA]])</f>
        <v>0</v>
      </c>
      <c r="BQ246" s="3">
        <f>+IF(AVANCE[[#This Row],[WC]]=Y$2,100%,AVANCE[[#This Row],[WC]])</f>
        <v>0</v>
      </c>
      <c r="BR246" s="3">
        <f>+IF(AVANCE[[#This Row],[LAVAMANOS / LAVAPLATOS / LAVADERO]]=Z$2,100%,AVANCE[[#This Row],[LAVAMANOS / LAVAPLATOS / LAVADERO]])</f>
        <v>0</v>
      </c>
      <c r="BS246" s="3">
        <f>+IF(AVANCE[[#This Row],[CANALIZACIÓN]]=AC$2,100%,AVANCE[[#This Row],[CANALIZACIÓN]])</f>
        <v>0</v>
      </c>
      <c r="BT246" s="3">
        <f>+IF(AVANCE[[#This Row],[CABLEADO]]=AD$2,100%,AVANCE[[#This Row],[CABLEADO]])</f>
        <v>0</v>
      </c>
      <c r="BU246" s="3">
        <f>+IF(AVANCE[[#This Row],[ARTEFACTOS]]=AE$2,100%,AVANCE[[#This Row],[ARTEFACTOS]])</f>
        <v>0</v>
      </c>
      <c r="BV246" s="3">
        <f>+IF(AVANCE[[#This Row],[TABLERO]]=AF$2,100%,AVANCE[[#This Row],[TABLERO]])</f>
        <v>0</v>
      </c>
      <c r="BW246" s="3">
        <f>+IF(AVANCE[[#This Row],[CAJA PAU]]=AG$2,100%,AVANCE[[#This Row],[CAJA PAU]])</f>
        <v>0</v>
      </c>
      <c r="BX246" s="3">
        <f>+IF(AVANCE[[#This Row],[INSTALACION VINILICO]]=AJ$2,100%,AVANCE[[#This Row],[INSTALACION VINILICO]])</f>
        <v>0</v>
      </c>
      <c r="BY246" s="3">
        <f>+IF(AVANCE[[#This Row],[OSB CUBIERTA]]=AK$2,100%,AVANCE[[#This Row],[OSB CUBIERTA]])</f>
        <v>0</v>
      </c>
      <c r="BZ246" s="3">
        <f>+IF(AVANCE[[#This Row],[BARANDA BALCON]]=AL$2,100%,AVANCE[[#This Row],[BARANDA BALCON]])</f>
        <v>0</v>
      </c>
      <c r="CA246" s="3">
        <f>+IF(AVANCE[[#This Row],[OSB EXTERIOR]]=AM$2,100%,AVANCE[[#This Row],[OSB EXTERIOR]])</f>
        <v>0</v>
      </c>
      <c r="CB246" s="3">
        <f>+IF(AVANCE[[#This Row],[SMART PANEL]]=AN$2,100%,AVANCE[[#This Row],[SMART PANEL]])</f>
        <v>0</v>
      </c>
      <c r="CC246" s="3">
        <f>+IF(AVANCE[[#This Row],[PINTURA EXTERIOR]]=AO$2,100%,AVANCE[[#This Row],[PINTURA EXTERIOR]])</f>
        <v>0</v>
      </c>
      <c r="CD246" s="3">
        <f>+IF(AVANCE[[#This Row],[ZOCALOS LOGIA]]=AP$2,100%,AVANCE[[#This Row],[ZOCALOS LOGIA]])</f>
        <v>0</v>
      </c>
      <c r="CE246" s="3">
        <f>+IF(AVANCE[[#This Row],[MOLDURAS]]=AQ$2,100%,AVANCE[[#This Row],[MOLDURAS]])</f>
        <v>0</v>
      </c>
      <c r="CF246" s="3">
        <f>+IF(AVANCE[[#This Row],[PILASTREO]]=AR$2,100%,AVANCE[[#This Row],[PILASTREO]])</f>
        <v>0</v>
      </c>
      <c r="CG246" s="3">
        <f>+IF(AVANCE[[#This Row],[CELOSIAS]]=AS$2,100%,AVANCE[[#This Row],[CELOSIAS]])</f>
        <v>0</v>
      </c>
      <c r="CH246" s="3">
        <f>+IF(AVANCE[[#This Row],[VENTANAS]]=AT$2,100%,AVANCE[[#This Row],[VENTANAS]])</f>
        <v>0</v>
      </c>
      <c r="CI246" s="3">
        <f>+IF(AVANCE[[#This Row],[PUERTAS ACCESO - LOGIA - BANO]]=AU$2,100%,AVANCE[[#This Row],[PUERTAS ACCESO - LOGIA - BANO]])</f>
        <v>0</v>
      </c>
      <c r="CJ246" s="3">
        <f>+IF(AVANCE[[#This Row],[CERRADURAS]]=AV$2,100%,AVANCE[[#This Row],[CERRADURAS]])</f>
        <v>0</v>
      </c>
      <c r="CK246" s="3">
        <f>+IF(AVANCE[[#This Row],[REVESTIMIENTO INTERIOR ZONA SECA]]=AW$2,100%,AVANCE[[#This Row],[REVESTIMIENTO INTERIOR ZONA SECA]])</f>
        <v>0</v>
      </c>
      <c r="CL246" s="3">
        <f>+IF(AVANCE[[#This Row],[REVESTIMIENTO INTERIOR ZONAS HUMEDAS]]=AX$2,100%,AVANCE[[#This Row],[REVESTIMIENTO INTERIOR ZONAS HUMEDAS]])</f>
        <v>0</v>
      </c>
      <c r="CM246" s="3">
        <f>+IF(AVANCE[[#This Row],[MEMBRANA CIELO]]=AY$2,100%,AVANCE[[#This Row],[MEMBRANA CIELO]])</f>
        <v>0</v>
      </c>
      <c r="CN246" s="3">
        <f>+IF(AVANCE[[#This Row],[LIMPIEZA FINAL]]=AZ$2,100%,AVANCE[[#This Row],[LIMPIEZA FINAL]])</f>
        <v>0</v>
      </c>
      <c r="CO246" s="3">
        <f>+IF(AVANCE[[#This Row],[PUERTAS DORMITORIO]]=BA$2,100%,AVANCE[[#This Row],[PUERTAS DORMITORIO]])</f>
        <v>0</v>
      </c>
      <c r="CP246" s="3">
        <f>+IF(AVANCE[[#This Row],[REVESTIMIENTO INTERIOR BANO]]=BB$2,100%,AVANCE[[#This Row],[REVESTIMIENTO INTERIOR BANO]])</f>
        <v>0</v>
      </c>
      <c r="CQ246" s="3">
        <f>+IF(AVANCE[[#This Row],[MUEBLE LAVAPLATOS]]=BC$2,100%,AVANCE[[#This Row],[MUEBLE LAVAPLATOS]])</f>
        <v>0</v>
      </c>
      <c r="CR246" s="3">
        <f>+IF(AVANCE[[#This Row],[IMPERMEABILIZACION BANO - COCINA LOGIA]]=BD$2,100%,AVANCE[[#This Row],[IMPERMEABILIZACION BANO - COCINA LOGIA]])</f>
        <v>0</v>
      </c>
      <c r="CS246" s="40">
        <f ca="1">+IF(AVANCE[[#This Row],[ESTADO MODULO]]="PENDIENTE",(TODAY()-AVANCE[[#This Row],[FECHA TERMINO  PLANIFICADO]]),0)</f>
        <v>0</v>
      </c>
      <c r="CT246" s="41" t="str" cm="1">
        <f t="array" ref="CT246">_xlfn.TEXTJOIN(" | ",TRUE,IF(SUMPRODUCT((BG246:CR246&lt;1)*(PARTIDAS!$I$2:$AT$2="OBRA GRUESA"))&gt;0,"OBRA GRUESA: "&amp;_xlfn.TEXTJOIN(", ",TRUE,IF((BG246:CR246&lt;1)*(PARTIDAS!$I$2:$AT$2="OBRA GRUESA"),PARTIDAS!$I$1:$AT$1,"")),""),IF(SUMPRODUCT((BG246:CR246&lt;1)*(PARTIDAS!$I$2:$AT$2="SANITARIOS"))&gt;0,"SANITARIOS: "&amp;_xlfn.TEXTJOIN(", ",TRUE,IF((BG246:CR246&lt;1)*(PARTIDAS!$I$2:$AT$2="SANITARIOS"),PARTIDAS!$I$1:$AT$1,"")),""),IF(SUMPRODUCT((BG246:CR246&lt;1)*(PARTIDAS!$I$2:$AT$2="ELÉCTRICO"))&gt;0,"ELÉCTRICO: "&amp;_xlfn.TEXTJOIN(", ",TRUE,IF((BG246:CR246&lt;1)*(PARTIDAS!$I$2:$AT$2="ELÉCTRICO"),PARTIDAS!$I$1:$AT$1,"")),""),IF(SUMPRODUCT((BG246:CR246&lt;1)*(PARTIDAS!$I$2:$AT$2="TERMINACIONES"))&gt;0,"TERMINACIONES: "&amp;_xlfn.TEXTJOIN(", ",TRUE,IF((BG246:CR246&lt;1)*(PARTIDAS!$I$2:$AT$2="TERMINACIONES"),PARTIDAS!$I$1:$AT$1,"")),""))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6" s="43" t="str" cm="1">
        <f t="array" ref="CU246">_xlfn.TEXTJOIN(", ",TRUE,IF(SUMPRODUCT((BG246:CR246&lt;1)*(PARTIDAS!$I$2:$AT$2="OBRA GRUESA"))&gt;0,"OBRA GRUESA",""),IF(SUMPRODUCT((BG246:CR246&lt;1)*(PARTIDAS!$I$2:$AT$2="SANITARIOS"))&gt;0,"SANITARIOS",""),IF(SUMPRODUCT((BG246:CR246&lt;1)*(PARTIDAS!$I$2:$AT$2="ELÉCTRICO"))&gt;0,"ELÉCTRICO",""),IF(SUMPRODUCT((BG246:CR246&lt;1)*(PARTIDAS!$I$2:$AT$2="TERMINACIONES"))&gt;0,"TERMINACIONES",""))</f>
        <v>OBRA GRUESA, SANITARIOS, ELÉCTRICO, TERMINACIONES</v>
      </c>
      <c r="CV246" s="44" cm="1">
        <f t="array" ref="CV246">SUMPRODUCT(--(BG246:CR246&lt;1))</f>
        <v>38</v>
      </c>
    </row>
    <row r="247" spans="1:100" hidden="1" x14ac:dyDescent="0.25">
      <c r="A247" t="s">
        <v>289</v>
      </c>
      <c r="B247" t="s">
        <v>311</v>
      </c>
      <c r="C247">
        <v>2302600246</v>
      </c>
      <c r="D247" t="s">
        <v>60</v>
      </c>
      <c r="E247" s="2">
        <v>0</v>
      </c>
      <c r="F247" s="1">
        <v>46262</v>
      </c>
      <c r="G247" s="1"/>
      <c r="H247" s="1">
        <v>0</v>
      </c>
      <c r="I247" s="1">
        <v>46292</v>
      </c>
      <c r="J247">
        <v>46230</v>
      </c>
      <c r="K247" s="1"/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>
        <v>31.32</v>
      </c>
      <c r="BF247" s="3" t="str">
        <f>+IF(AVANCE[[#This Row],[% AVANCE]]=100%,"MODULO TERMINADO",IF(AVANCE[[#This Row],[FECHA INICIO REAL]]="","MODULO NO INICIADO","PENDIENTE"))</f>
        <v>MODULO NO INICIADO</v>
      </c>
      <c r="BG247" s="3">
        <f>+IF(AVANCE[[#This Row],[VENTANAS]]=8.10810810810811%,100%,AVANCE[[#This Row],[VENTANAS]])</f>
        <v>0</v>
      </c>
      <c r="BH247" s="3">
        <f>+IF(AVANCE[[#This Row],[PISO]]=N$2,100%,AVANCE[[#This Row],[PISO]])</f>
        <v>0</v>
      </c>
      <c r="BI247" s="3">
        <f>+IF(AVANCE[[#This Row],[TABIQUES]]=O$2,100%,AVANCE[[#This Row],[TABIQUES]])</f>
        <v>0</v>
      </c>
      <c r="BJ247" s="3">
        <f>+IF(AVANCE[[#This Row],[MUROS]]=P$2,100%,AVANCE[[#This Row],[MUROS]])</f>
        <v>0</v>
      </c>
      <c r="BK247" s="3">
        <f>+IF(AVANCE[[#This Row],[CIELO]]=Q$2,100%,AVANCE[[#This Row],[CIELO]])</f>
        <v>0</v>
      </c>
      <c r="BL247" s="3">
        <f>+IF(AVANCE[[#This Row],[BALCÓN]]=R$2,100%,AVANCE[[#This Row],[BALCÓN]])</f>
        <v>0</v>
      </c>
      <c r="BM247" s="3">
        <f>+IF(AVANCE[[#This Row],[RED ALCANTARILLADO]]=U$2,100%,AVANCE[[#This Row],[RED ALCANTARILLADO]])</f>
        <v>0</v>
      </c>
      <c r="BN247" s="3">
        <f>+IF(AVANCE[[#This Row],[RED DE AGUA]]=V$2,100%,AVANCE[[#This Row],[RED DE AGUA]])</f>
        <v>0</v>
      </c>
      <c r="BO247" s="3">
        <f>+IF(AVANCE[[#This Row],[VENTILACIONES]]=W$2,100%,AVANCE[[#This Row],[VENTILACIONES]])</f>
        <v>0</v>
      </c>
      <c r="BP247" s="3">
        <f>+IF(AVANCE[[#This Row],[TINA]]=X$2,100%,AVANCE[[#This Row],[TINA]])</f>
        <v>0</v>
      </c>
      <c r="BQ247" s="3">
        <f>+IF(AVANCE[[#This Row],[WC]]=Y$2,100%,AVANCE[[#This Row],[WC]])</f>
        <v>0</v>
      </c>
      <c r="BR247" s="3">
        <f>+IF(AVANCE[[#This Row],[LAVAMANOS / LAVAPLATOS / LAVADERO]]=Z$2,100%,AVANCE[[#This Row],[LAVAMANOS / LAVAPLATOS / LAVADERO]])</f>
        <v>0</v>
      </c>
      <c r="BS247" s="3">
        <f>+IF(AVANCE[[#This Row],[CANALIZACIÓN]]=AC$2,100%,AVANCE[[#This Row],[CANALIZACIÓN]])</f>
        <v>0</v>
      </c>
      <c r="BT247" s="3">
        <f>+IF(AVANCE[[#This Row],[CABLEADO]]=AD$2,100%,AVANCE[[#This Row],[CABLEADO]])</f>
        <v>0</v>
      </c>
      <c r="BU247" s="3">
        <f>+IF(AVANCE[[#This Row],[ARTEFACTOS]]=AE$2,100%,AVANCE[[#This Row],[ARTEFACTOS]])</f>
        <v>0</v>
      </c>
      <c r="BV247" s="3">
        <f>+IF(AVANCE[[#This Row],[TABLERO]]=AF$2,100%,AVANCE[[#This Row],[TABLERO]])</f>
        <v>0</v>
      </c>
      <c r="BW247" s="3">
        <f>+IF(AVANCE[[#This Row],[CAJA PAU]]=AG$2,100%,AVANCE[[#This Row],[CAJA PAU]])</f>
        <v>0</v>
      </c>
      <c r="BX247" s="3">
        <f>+IF(AVANCE[[#This Row],[INSTALACION VINILICO]]=AJ$2,100%,AVANCE[[#This Row],[INSTALACION VINILICO]])</f>
        <v>0</v>
      </c>
      <c r="BY247" s="3">
        <f>+IF(AVANCE[[#This Row],[OSB CUBIERTA]]=AK$2,100%,AVANCE[[#This Row],[OSB CUBIERTA]])</f>
        <v>0</v>
      </c>
      <c r="BZ247" s="3">
        <f>+IF(AVANCE[[#This Row],[BARANDA BALCON]]=AL$2,100%,AVANCE[[#This Row],[BARANDA BALCON]])</f>
        <v>0</v>
      </c>
      <c r="CA247" s="3">
        <f>+IF(AVANCE[[#This Row],[OSB EXTERIOR]]=AM$2,100%,AVANCE[[#This Row],[OSB EXTERIOR]])</f>
        <v>0</v>
      </c>
      <c r="CB247" s="3">
        <f>+IF(AVANCE[[#This Row],[SMART PANEL]]=AN$2,100%,AVANCE[[#This Row],[SMART PANEL]])</f>
        <v>0</v>
      </c>
      <c r="CC247" s="3">
        <f>+IF(AVANCE[[#This Row],[PINTURA EXTERIOR]]=AO$2,100%,AVANCE[[#This Row],[PINTURA EXTERIOR]])</f>
        <v>0</v>
      </c>
      <c r="CD247" s="3">
        <f>+IF(AVANCE[[#This Row],[ZOCALOS LOGIA]]=AP$2,100%,AVANCE[[#This Row],[ZOCALOS LOGIA]])</f>
        <v>0</v>
      </c>
      <c r="CE247" s="3">
        <f>+IF(AVANCE[[#This Row],[MOLDURAS]]=AQ$2,100%,AVANCE[[#This Row],[MOLDURAS]])</f>
        <v>0</v>
      </c>
      <c r="CF247" s="3">
        <f>+IF(AVANCE[[#This Row],[PILASTREO]]=AR$2,100%,AVANCE[[#This Row],[PILASTREO]])</f>
        <v>0</v>
      </c>
      <c r="CG247" s="3">
        <f>+IF(AVANCE[[#This Row],[CELOSIAS]]=AS$2,100%,AVANCE[[#This Row],[CELOSIAS]])</f>
        <v>0</v>
      </c>
      <c r="CH247" s="3">
        <f>+IF(AVANCE[[#This Row],[VENTANAS]]=AT$2,100%,AVANCE[[#This Row],[VENTANAS]])</f>
        <v>0</v>
      </c>
      <c r="CI247" s="3">
        <f>+IF(AVANCE[[#This Row],[PUERTAS ACCESO - LOGIA - BANO]]=AU$2,100%,AVANCE[[#This Row],[PUERTAS ACCESO - LOGIA - BANO]])</f>
        <v>0</v>
      </c>
      <c r="CJ247" s="3">
        <f>+IF(AVANCE[[#This Row],[CERRADURAS]]=AV$2,100%,AVANCE[[#This Row],[CERRADURAS]])</f>
        <v>0</v>
      </c>
      <c r="CK247" s="3">
        <f>+IF(AVANCE[[#This Row],[REVESTIMIENTO INTERIOR ZONA SECA]]=AW$2,100%,AVANCE[[#This Row],[REVESTIMIENTO INTERIOR ZONA SECA]])</f>
        <v>0</v>
      </c>
      <c r="CL247" s="3">
        <f>+IF(AVANCE[[#This Row],[REVESTIMIENTO INTERIOR ZONAS HUMEDAS]]=AX$2,100%,AVANCE[[#This Row],[REVESTIMIENTO INTERIOR ZONAS HUMEDAS]])</f>
        <v>0</v>
      </c>
      <c r="CM247" s="3">
        <f>+IF(AVANCE[[#This Row],[MEMBRANA CIELO]]=AY$2,100%,AVANCE[[#This Row],[MEMBRANA CIELO]])</f>
        <v>0</v>
      </c>
      <c r="CN247" s="3">
        <f>+IF(AVANCE[[#This Row],[LIMPIEZA FINAL]]=AZ$2,100%,AVANCE[[#This Row],[LIMPIEZA FINAL]])</f>
        <v>0</v>
      </c>
      <c r="CO247" s="3">
        <f>+IF(AVANCE[[#This Row],[PUERTAS DORMITORIO]]=BA$2,100%,AVANCE[[#This Row],[PUERTAS DORMITORIO]])</f>
        <v>0</v>
      </c>
      <c r="CP247" s="3">
        <f>+IF(AVANCE[[#This Row],[REVESTIMIENTO INTERIOR BANO]]=BB$2,100%,AVANCE[[#This Row],[REVESTIMIENTO INTERIOR BANO]])</f>
        <v>0</v>
      </c>
      <c r="CQ247" s="3">
        <f>+IF(AVANCE[[#This Row],[MUEBLE LAVAPLATOS]]=BC$2,100%,AVANCE[[#This Row],[MUEBLE LAVAPLATOS]])</f>
        <v>0</v>
      </c>
      <c r="CR247" s="3">
        <f>+IF(AVANCE[[#This Row],[IMPERMEABILIZACION BANO - COCINA LOGIA]]=BD$2,100%,AVANCE[[#This Row],[IMPERMEABILIZACION BANO - COCINA LOGIA]])</f>
        <v>0</v>
      </c>
      <c r="CS247" s="40">
        <f ca="1">+IF(AVANCE[[#This Row],[ESTADO MODULO]]="PENDIENTE",(TODAY()-AVANCE[[#This Row],[FECHA TERMINO  PLANIFICADO]]),0)</f>
        <v>0</v>
      </c>
      <c r="CT247" s="41" t="str" cm="1">
        <f t="array" ref="CT247">_xlfn.TEXTJOIN(" | ",TRUE,IF(SUMPRODUCT((BG247:CR247&lt;1)*(PARTIDAS!$I$2:$AT$2="OBRA GRUESA"))&gt;0,"OBRA GRUESA: "&amp;_xlfn.TEXTJOIN(", ",TRUE,IF((BG247:CR247&lt;1)*(PARTIDAS!$I$2:$AT$2="OBRA GRUESA"),PARTIDAS!$I$1:$AT$1,"")),""),IF(SUMPRODUCT((BG247:CR247&lt;1)*(PARTIDAS!$I$2:$AT$2="SANITARIOS"))&gt;0,"SANITARIOS: "&amp;_xlfn.TEXTJOIN(", ",TRUE,IF((BG247:CR247&lt;1)*(PARTIDAS!$I$2:$AT$2="SANITARIOS"),PARTIDAS!$I$1:$AT$1,"")),""),IF(SUMPRODUCT((BG247:CR247&lt;1)*(PARTIDAS!$I$2:$AT$2="ELÉCTRICO"))&gt;0,"ELÉCTRICO: "&amp;_xlfn.TEXTJOIN(", ",TRUE,IF((BG247:CR247&lt;1)*(PARTIDAS!$I$2:$AT$2="ELÉCTRICO"),PARTIDAS!$I$1:$AT$1,"")),""),IF(SUMPRODUCT((BG247:CR247&lt;1)*(PARTIDAS!$I$2:$AT$2="TERMINACIONES"))&gt;0,"TERMINACIONES: "&amp;_xlfn.TEXTJOIN(", ",TRUE,IF((BG247:CR247&lt;1)*(PARTIDAS!$I$2:$AT$2="TERMINACIONES"),PARTIDAS!$I$1:$AT$1,"")),""))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7" s="43" t="str" cm="1">
        <f t="array" ref="CU247">_xlfn.TEXTJOIN(", ",TRUE,IF(SUMPRODUCT((BG247:CR247&lt;1)*(PARTIDAS!$I$2:$AT$2="OBRA GRUESA"))&gt;0,"OBRA GRUESA",""),IF(SUMPRODUCT((BG247:CR247&lt;1)*(PARTIDAS!$I$2:$AT$2="SANITARIOS"))&gt;0,"SANITARIOS",""),IF(SUMPRODUCT((BG247:CR247&lt;1)*(PARTIDAS!$I$2:$AT$2="ELÉCTRICO"))&gt;0,"ELÉCTRICO",""),IF(SUMPRODUCT((BG247:CR247&lt;1)*(PARTIDAS!$I$2:$AT$2="TERMINACIONES"))&gt;0,"TERMINACIONES",""))</f>
        <v>OBRA GRUESA, SANITARIOS, ELÉCTRICO, TERMINACIONES</v>
      </c>
      <c r="CV247" s="44" cm="1">
        <f t="array" ref="CV247">SUMPRODUCT(--(BG247:CR247&lt;1))</f>
        <v>38</v>
      </c>
    </row>
    <row r="248" spans="1:100" hidden="1" x14ac:dyDescent="0.25">
      <c r="A248" t="s">
        <v>289</v>
      </c>
      <c r="B248" t="s">
        <v>312</v>
      </c>
      <c r="C248">
        <v>2302600247</v>
      </c>
      <c r="D248" t="s">
        <v>60</v>
      </c>
      <c r="E248" s="2">
        <v>0</v>
      </c>
      <c r="F248" s="1">
        <v>46262</v>
      </c>
      <c r="G248" s="1"/>
      <c r="H248" s="1">
        <v>0</v>
      </c>
      <c r="I248" s="1">
        <v>46292</v>
      </c>
      <c r="J248">
        <v>46230</v>
      </c>
      <c r="K248" s="1"/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>
        <v>31.32</v>
      </c>
      <c r="BF248" s="3" t="str">
        <f>+IF(AVANCE[[#This Row],[% AVANCE]]=100%,"MODULO TERMINADO",IF(AVANCE[[#This Row],[FECHA INICIO REAL]]="","MODULO NO INICIADO","PENDIENTE"))</f>
        <v>MODULO NO INICIADO</v>
      </c>
      <c r="BG248" s="3">
        <f>+IF(AVANCE[[#This Row],[VENTANAS]]=8.10810810810811%,100%,AVANCE[[#This Row],[VENTANAS]])</f>
        <v>0</v>
      </c>
      <c r="BH248" s="3">
        <f>+IF(AVANCE[[#This Row],[PISO]]=N$2,100%,AVANCE[[#This Row],[PISO]])</f>
        <v>0</v>
      </c>
      <c r="BI248" s="3">
        <f>+IF(AVANCE[[#This Row],[TABIQUES]]=O$2,100%,AVANCE[[#This Row],[TABIQUES]])</f>
        <v>0</v>
      </c>
      <c r="BJ248" s="3">
        <f>+IF(AVANCE[[#This Row],[MUROS]]=P$2,100%,AVANCE[[#This Row],[MUROS]])</f>
        <v>0</v>
      </c>
      <c r="BK248" s="3">
        <f>+IF(AVANCE[[#This Row],[CIELO]]=Q$2,100%,AVANCE[[#This Row],[CIELO]])</f>
        <v>0</v>
      </c>
      <c r="BL248" s="3">
        <f>+IF(AVANCE[[#This Row],[BALCÓN]]=R$2,100%,AVANCE[[#This Row],[BALCÓN]])</f>
        <v>0</v>
      </c>
      <c r="BM248" s="3">
        <f>+IF(AVANCE[[#This Row],[RED ALCANTARILLADO]]=U$2,100%,AVANCE[[#This Row],[RED ALCANTARILLADO]])</f>
        <v>0</v>
      </c>
      <c r="BN248" s="3">
        <f>+IF(AVANCE[[#This Row],[RED DE AGUA]]=V$2,100%,AVANCE[[#This Row],[RED DE AGUA]])</f>
        <v>0</v>
      </c>
      <c r="BO248" s="3">
        <f>+IF(AVANCE[[#This Row],[VENTILACIONES]]=W$2,100%,AVANCE[[#This Row],[VENTILACIONES]])</f>
        <v>0</v>
      </c>
      <c r="BP248" s="3">
        <f>+IF(AVANCE[[#This Row],[TINA]]=X$2,100%,AVANCE[[#This Row],[TINA]])</f>
        <v>0</v>
      </c>
      <c r="BQ248" s="3">
        <f>+IF(AVANCE[[#This Row],[WC]]=Y$2,100%,AVANCE[[#This Row],[WC]])</f>
        <v>0</v>
      </c>
      <c r="BR248" s="3">
        <f>+IF(AVANCE[[#This Row],[LAVAMANOS / LAVAPLATOS / LAVADERO]]=Z$2,100%,AVANCE[[#This Row],[LAVAMANOS / LAVAPLATOS / LAVADERO]])</f>
        <v>0</v>
      </c>
      <c r="BS248" s="3">
        <f>+IF(AVANCE[[#This Row],[CANALIZACIÓN]]=AC$2,100%,AVANCE[[#This Row],[CANALIZACIÓN]])</f>
        <v>0</v>
      </c>
      <c r="BT248" s="3">
        <f>+IF(AVANCE[[#This Row],[CABLEADO]]=AD$2,100%,AVANCE[[#This Row],[CABLEADO]])</f>
        <v>0</v>
      </c>
      <c r="BU248" s="3">
        <f>+IF(AVANCE[[#This Row],[ARTEFACTOS]]=AE$2,100%,AVANCE[[#This Row],[ARTEFACTOS]])</f>
        <v>0</v>
      </c>
      <c r="BV248" s="3">
        <f>+IF(AVANCE[[#This Row],[TABLERO]]=AF$2,100%,AVANCE[[#This Row],[TABLERO]])</f>
        <v>0</v>
      </c>
      <c r="BW248" s="3">
        <f>+IF(AVANCE[[#This Row],[CAJA PAU]]=AG$2,100%,AVANCE[[#This Row],[CAJA PAU]])</f>
        <v>0</v>
      </c>
      <c r="BX248" s="3">
        <f>+IF(AVANCE[[#This Row],[INSTALACION VINILICO]]=AJ$2,100%,AVANCE[[#This Row],[INSTALACION VINILICO]])</f>
        <v>0</v>
      </c>
      <c r="BY248" s="3">
        <f>+IF(AVANCE[[#This Row],[OSB CUBIERTA]]=AK$2,100%,AVANCE[[#This Row],[OSB CUBIERTA]])</f>
        <v>0</v>
      </c>
      <c r="BZ248" s="3">
        <f>+IF(AVANCE[[#This Row],[BARANDA BALCON]]=AL$2,100%,AVANCE[[#This Row],[BARANDA BALCON]])</f>
        <v>0</v>
      </c>
      <c r="CA248" s="3">
        <f>+IF(AVANCE[[#This Row],[OSB EXTERIOR]]=AM$2,100%,AVANCE[[#This Row],[OSB EXTERIOR]])</f>
        <v>0</v>
      </c>
      <c r="CB248" s="3">
        <f>+IF(AVANCE[[#This Row],[SMART PANEL]]=AN$2,100%,AVANCE[[#This Row],[SMART PANEL]])</f>
        <v>0</v>
      </c>
      <c r="CC248" s="3">
        <f>+IF(AVANCE[[#This Row],[PINTURA EXTERIOR]]=AO$2,100%,AVANCE[[#This Row],[PINTURA EXTERIOR]])</f>
        <v>0</v>
      </c>
      <c r="CD248" s="3">
        <f>+IF(AVANCE[[#This Row],[ZOCALOS LOGIA]]=AP$2,100%,AVANCE[[#This Row],[ZOCALOS LOGIA]])</f>
        <v>0</v>
      </c>
      <c r="CE248" s="3">
        <f>+IF(AVANCE[[#This Row],[MOLDURAS]]=AQ$2,100%,AVANCE[[#This Row],[MOLDURAS]])</f>
        <v>0</v>
      </c>
      <c r="CF248" s="3">
        <f>+IF(AVANCE[[#This Row],[PILASTREO]]=AR$2,100%,AVANCE[[#This Row],[PILASTREO]])</f>
        <v>0</v>
      </c>
      <c r="CG248" s="3">
        <f>+IF(AVANCE[[#This Row],[CELOSIAS]]=AS$2,100%,AVANCE[[#This Row],[CELOSIAS]])</f>
        <v>0</v>
      </c>
      <c r="CH248" s="3">
        <f>+IF(AVANCE[[#This Row],[VENTANAS]]=AT$2,100%,AVANCE[[#This Row],[VENTANAS]])</f>
        <v>0</v>
      </c>
      <c r="CI248" s="3">
        <f>+IF(AVANCE[[#This Row],[PUERTAS ACCESO - LOGIA - BANO]]=AU$2,100%,AVANCE[[#This Row],[PUERTAS ACCESO - LOGIA - BANO]])</f>
        <v>0</v>
      </c>
      <c r="CJ248" s="3">
        <f>+IF(AVANCE[[#This Row],[CERRADURAS]]=AV$2,100%,AVANCE[[#This Row],[CERRADURAS]])</f>
        <v>0</v>
      </c>
      <c r="CK248" s="3">
        <f>+IF(AVANCE[[#This Row],[REVESTIMIENTO INTERIOR ZONA SECA]]=AW$2,100%,AVANCE[[#This Row],[REVESTIMIENTO INTERIOR ZONA SECA]])</f>
        <v>0</v>
      </c>
      <c r="CL248" s="3">
        <f>+IF(AVANCE[[#This Row],[REVESTIMIENTO INTERIOR ZONAS HUMEDAS]]=AX$2,100%,AVANCE[[#This Row],[REVESTIMIENTO INTERIOR ZONAS HUMEDAS]])</f>
        <v>0</v>
      </c>
      <c r="CM248" s="3">
        <f>+IF(AVANCE[[#This Row],[MEMBRANA CIELO]]=AY$2,100%,AVANCE[[#This Row],[MEMBRANA CIELO]])</f>
        <v>0</v>
      </c>
      <c r="CN248" s="3">
        <f>+IF(AVANCE[[#This Row],[LIMPIEZA FINAL]]=AZ$2,100%,AVANCE[[#This Row],[LIMPIEZA FINAL]])</f>
        <v>0</v>
      </c>
      <c r="CO248" s="3">
        <f>+IF(AVANCE[[#This Row],[PUERTAS DORMITORIO]]=BA$2,100%,AVANCE[[#This Row],[PUERTAS DORMITORIO]])</f>
        <v>0</v>
      </c>
      <c r="CP248" s="3">
        <f>+IF(AVANCE[[#This Row],[REVESTIMIENTO INTERIOR BANO]]=BB$2,100%,AVANCE[[#This Row],[REVESTIMIENTO INTERIOR BANO]])</f>
        <v>0</v>
      </c>
      <c r="CQ248" s="3">
        <f>+IF(AVANCE[[#This Row],[MUEBLE LAVAPLATOS]]=BC$2,100%,AVANCE[[#This Row],[MUEBLE LAVAPLATOS]])</f>
        <v>0</v>
      </c>
      <c r="CR248" s="3">
        <f>+IF(AVANCE[[#This Row],[IMPERMEABILIZACION BANO - COCINA LOGIA]]=BD$2,100%,AVANCE[[#This Row],[IMPERMEABILIZACION BANO - COCINA LOGIA]])</f>
        <v>0</v>
      </c>
      <c r="CS248" s="40">
        <f ca="1">+IF(AVANCE[[#This Row],[ESTADO MODULO]]="PENDIENTE",(TODAY()-AVANCE[[#This Row],[FECHA TERMINO  PLANIFICADO]]),0)</f>
        <v>0</v>
      </c>
      <c r="CT248" s="41" t="str" cm="1">
        <f t="array" ref="CT248">_xlfn.TEXTJOIN(" | ",TRUE,IF(SUMPRODUCT((BG248:CR248&lt;1)*(PARTIDAS!$I$2:$AT$2="OBRA GRUESA"))&gt;0,"OBRA GRUESA: "&amp;_xlfn.TEXTJOIN(", ",TRUE,IF((BG248:CR248&lt;1)*(PARTIDAS!$I$2:$AT$2="OBRA GRUESA"),PARTIDAS!$I$1:$AT$1,"")),""),IF(SUMPRODUCT((BG248:CR248&lt;1)*(PARTIDAS!$I$2:$AT$2="SANITARIOS"))&gt;0,"SANITARIOS: "&amp;_xlfn.TEXTJOIN(", ",TRUE,IF((BG248:CR248&lt;1)*(PARTIDAS!$I$2:$AT$2="SANITARIOS"),PARTIDAS!$I$1:$AT$1,"")),""),IF(SUMPRODUCT((BG248:CR248&lt;1)*(PARTIDAS!$I$2:$AT$2="ELÉCTRICO"))&gt;0,"ELÉCTRICO: "&amp;_xlfn.TEXTJOIN(", ",TRUE,IF((BG248:CR248&lt;1)*(PARTIDAS!$I$2:$AT$2="ELÉCTRICO"),PARTIDAS!$I$1:$AT$1,"")),""),IF(SUMPRODUCT((BG248:CR248&lt;1)*(PARTIDAS!$I$2:$AT$2="TERMINACIONES"))&gt;0,"TERMINACIONES: "&amp;_xlfn.TEXTJOIN(", ",TRUE,IF((BG248:CR248&lt;1)*(PARTIDAS!$I$2:$AT$2="TERMINACIONES"),PARTIDAS!$I$1:$AT$1,"")),""))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8" s="43" t="str" cm="1">
        <f t="array" ref="CU248">_xlfn.TEXTJOIN(", ",TRUE,IF(SUMPRODUCT((BG248:CR248&lt;1)*(PARTIDAS!$I$2:$AT$2="OBRA GRUESA"))&gt;0,"OBRA GRUESA",""),IF(SUMPRODUCT((BG248:CR248&lt;1)*(PARTIDAS!$I$2:$AT$2="SANITARIOS"))&gt;0,"SANITARIOS",""),IF(SUMPRODUCT((BG248:CR248&lt;1)*(PARTIDAS!$I$2:$AT$2="ELÉCTRICO"))&gt;0,"ELÉCTRICO",""),IF(SUMPRODUCT((BG248:CR248&lt;1)*(PARTIDAS!$I$2:$AT$2="TERMINACIONES"))&gt;0,"TERMINACIONES",""))</f>
        <v>OBRA GRUESA, SANITARIOS, ELÉCTRICO, TERMINACIONES</v>
      </c>
      <c r="CV248" s="44" cm="1">
        <f t="array" ref="CV248">SUMPRODUCT(--(BG248:CR248&lt;1))</f>
        <v>38</v>
      </c>
    </row>
    <row r="249" spans="1:100" hidden="1" x14ac:dyDescent="0.25">
      <c r="A249" t="s">
        <v>289</v>
      </c>
      <c r="B249" t="s">
        <v>313</v>
      </c>
      <c r="C249">
        <v>2282600248</v>
      </c>
      <c r="D249" t="s">
        <v>58</v>
      </c>
      <c r="E249" s="2">
        <v>0</v>
      </c>
      <c r="F249" s="1">
        <v>46262</v>
      </c>
      <c r="G249" s="1"/>
      <c r="H249" s="1">
        <v>0</v>
      </c>
      <c r="I249" s="1">
        <v>46282</v>
      </c>
      <c r="J249">
        <v>46230</v>
      </c>
      <c r="K249" s="1"/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>
        <v>28.87</v>
      </c>
      <c r="BF249" s="3" t="str">
        <f>+IF(AVANCE[[#This Row],[% AVANCE]]=100%,"MODULO TERMINADO",IF(AVANCE[[#This Row],[FECHA INICIO REAL]]="","MODULO NO INICIADO","PENDIENTE"))</f>
        <v>MODULO NO INICIADO</v>
      </c>
      <c r="BG249" s="3">
        <f>+IF(AVANCE[[#This Row],[VENTANAS]]=8.10810810810811%,100%,AVANCE[[#This Row],[VENTANAS]])</f>
        <v>0</v>
      </c>
      <c r="BH249" s="3">
        <f>+IF(AVANCE[[#This Row],[PISO]]=N$2,100%,AVANCE[[#This Row],[PISO]])</f>
        <v>0</v>
      </c>
      <c r="BI249" s="3">
        <f>+IF(AVANCE[[#This Row],[TABIQUES]]=O$2,100%,AVANCE[[#This Row],[TABIQUES]])</f>
        <v>0</v>
      </c>
      <c r="BJ249" s="3">
        <f>+IF(AVANCE[[#This Row],[MUROS]]=P$2,100%,AVANCE[[#This Row],[MUROS]])</f>
        <v>0</v>
      </c>
      <c r="BK249" s="3">
        <f>+IF(AVANCE[[#This Row],[CIELO]]=Q$2,100%,AVANCE[[#This Row],[CIELO]])</f>
        <v>0</v>
      </c>
      <c r="BL249" s="3">
        <f>+IF(AVANCE[[#This Row],[BALCÓN]]=R$2,100%,AVANCE[[#This Row],[BALCÓN]])</f>
        <v>0</v>
      </c>
      <c r="BM249" s="3">
        <f>+IF(AVANCE[[#This Row],[RED ALCANTARILLADO]]=U$2,100%,AVANCE[[#This Row],[RED ALCANTARILLADO]])</f>
        <v>0</v>
      </c>
      <c r="BN249" s="3">
        <f>+IF(AVANCE[[#This Row],[RED DE AGUA]]=V$2,100%,AVANCE[[#This Row],[RED DE AGUA]])</f>
        <v>0</v>
      </c>
      <c r="BO249" s="3">
        <f>+IF(AVANCE[[#This Row],[VENTILACIONES]]=W$2,100%,AVANCE[[#This Row],[VENTILACIONES]])</f>
        <v>0</v>
      </c>
      <c r="BP249" s="3">
        <f>+IF(AVANCE[[#This Row],[TINA]]=X$2,100%,AVANCE[[#This Row],[TINA]])</f>
        <v>0</v>
      </c>
      <c r="BQ249" s="3">
        <f>+IF(AVANCE[[#This Row],[WC]]=Y$2,100%,AVANCE[[#This Row],[WC]])</f>
        <v>0</v>
      </c>
      <c r="BR249" s="3">
        <f>+IF(AVANCE[[#This Row],[LAVAMANOS / LAVAPLATOS / LAVADERO]]=Z$2,100%,AVANCE[[#This Row],[LAVAMANOS / LAVAPLATOS / LAVADERO]])</f>
        <v>0</v>
      </c>
      <c r="BS249" s="3">
        <f>+IF(AVANCE[[#This Row],[CANALIZACIÓN]]=AC$2,100%,AVANCE[[#This Row],[CANALIZACIÓN]])</f>
        <v>0</v>
      </c>
      <c r="BT249" s="3">
        <f>+IF(AVANCE[[#This Row],[CABLEADO]]=AD$2,100%,AVANCE[[#This Row],[CABLEADO]])</f>
        <v>0</v>
      </c>
      <c r="BU249" s="3">
        <f>+IF(AVANCE[[#This Row],[ARTEFACTOS]]=AE$2,100%,AVANCE[[#This Row],[ARTEFACTOS]])</f>
        <v>0</v>
      </c>
      <c r="BV249" s="3">
        <f>+IF(AVANCE[[#This Row],[TABLERO]]=AF$2,100%,AVANCE[[#This Row],[TABLERO]])</f>
        <v>0</v>
      </c>
      <c r="BW249" s="3">
        <f>+IF(AVANCE[[#This Row],[CAJA PAU]]=AG$2,100%,AVANCE[[#This Row],[CAJA PAU]])</f>
        <v>0</v>
      </c>
      <c r="BX249" s="3">
        <f>+IF(AVANCE[[#This Row],[INSTALACION VINILICO]]=AJ$2,100%,AVANCE[[#This Row],[INSTALACION VINILICO]])</f>
        <v>0</v>
      </c>
      <c r="BY249" s="3">
        <f>+IF(AVANCE[[#This Row],[OSB CUBIERTA]]=AK$2,100%,AVANCE[[#This Row],[OSB CUBIERTA]])</f>
        <v>0</v>
      </c>
      <c r="BZ249" s="3">
        <f>+IF(AVANCE[[#This Row],[BARANDA BALCON]]=AL$2,100%,AVANCE[[#This Row],[BARANDA BALCON]])</f>
        <v>0</v>
      </c>
      <c r="CA249" s="3">
        <f>+IF(AVANCE[[#This Row],[OSB EXTERIOR]]=AM$2,100%,AVANCE[[#This Row],[OSB EXTERIOR]])</f>
        <v>0</v>
      </c>
      <c r="CB249" s="3">
        <f>+IF(AVANCE[[#This Row],[SMART PANEL]]=AN$2,100%,AVANCE[[#This Row],[SMART PANEL]])</f>
        <v>0</v>
      </c>
      <c r="CC249" s="3">
        <f>+IF(AVANCE[[#This Row],[PINTURA EXTERIOR]]=AO$2,100%,AVANCE[[#This Row],[PINTURA EXTERIOR]])</f>
        <v>0</v>
      </c>
      <c r="CD249" s="3">
        <f>+IF(AVANCE[[#This Row],[ZOCALOS LOGIA]]=AP$2,100%,AVANCE[[#This Row],[ZOCALOS LOGIA]])</f>
        <v>0</v>
      </c>
      <c r="CE249" s="3">
        <f>+IF(AVANCE[[#This Row],[MOLDURAS]]=AQ$2,100%,AVANCE[[#This Row],[MOLDURAS]])</f>
        <v>0</v>
      </c>
      <c r="CF249" s="3">
        <f>+IF(AVANCE[[#This Row],[PILASTREO]]=AR$2,100%,AVANCE[[#This Row],[PILASTREO]])</f>
        <v>0</v>
      </c>
      <c r="CG249" s="3">
        <f>+IF(AVANCE[[#This Row],[CELOSIAS]]=AS$2,100%,AVANCE[[#This Row],[CELOSIAS]])</f>
        <v>0</v>
      </c>
      <c r="CH249" s="3">
        <f>+IF(AVANCE[[#This Row],[VENTANAS]]=AT$2,100%,AVANCE[[#This Row],[VENTANAS]])</f>
        <v>0</v>
      </c>
      <c r="CI249" s="3">
        <f>+IF(AVANCE[[#This Row],[PUERTAS ACCESO - LOGIA - BANO]]=AU$2,100%,AVANCE[[#This Row],[PUERTAS ACCESO - LOGIA - BANO]])</f>
        <v>0</v>
      </c>
      <c r="CJ249" s="3">
        <f>+IF(AVANCE[[#This Row],[CERRADURAS]]=AV$2,100%,AVANCE[[#This Row],[CERRADURAS]])</f>
        <v>0</v>
      </c>
      <c r="CK249" s="3">
        <f>+IF(AVANCE[[#This Row],[REVESTIMIENTO INTERIOR ZONA SECA]]=AW$2,100%,AVANCE[[#This Row],[REVESTIMIENTO INTERIOR ZONA SECA]])</f>
        <v>0</v>
      </c>
      <c r="CL249" s="3">
        <f>+IF(AVANCE[[#This Row],[REVESTIMIENTO INTERIOR ZONAS HUMEDAS]]=AX$2,100%,AVANCE[[#This Row],[REVESTIMIENTO INTERIOR ZONAS HUMEDAS]])</f>
        <v>0</v>
      </c>
      <c r="CM249" s="3">
        <f>+IF(AVANCE[[#This Row],[MEMBRANA CIELO]]=AY$2,100%,AVANCE[[#This Row],[MEMBRANA CIELO]])</f>
        <v>0</v>
      </c>
      <c r="CN249" s="3">
        <f>+IF(AVANCE[[#This Row],[LIMPIEZA FINAL]]=AZ$2,100%,AVANCE[[#This Row],[LIMPIEZA FINAL]])</f>
        <v>0</v>
      </c>
      <c r="CO249" s="3">
        <f>+IF(AVANCE[[#This Row],[PUERTAS DORMITORIO]]=BA$2,100%,AVANCE[[#This Row],[PUERTAS DORMITORIO]])</f>
        <v>0</v>
      </c>
      <c r="CP249" s="3">
        <f>+IF(AVANCE[[#This Row],[REVESTIMIENTO INTERIOR BANO]]=BB$2,100%,AVANCE[[#This Row],[REVESTIMIENTO INTERIOR BANO]])</f>
        <v>0</v>
      </c>
      <c r="CQ249" s="3">
        <f>+IF(AVANCE[[#This Row],[MUEBLE LAVAPLATOS]]=BC$2,100%,AVANCE[[#This Row],[MUEBLE LAVAPLATOS]])</f>
        <v>0</v>
      </c>
      <c r="CR249" s="3">
        <f>+IF(AVANCE[[#This Row],[IMPERMEABILIZACION BANO - COCINA LOGIA]]=BD$2,100%,AVANCE[[#This Row],[IMPERMEABILIZACION BANO - COCINA LOGIA]])</f>
        <v>0</v>
      </c>
      <c r="CS249" s="40">
        <f ca="1">+IF(AVANCE[[#This Row],[ESTADO MODULO]]="PENDIENTE",(TODAY()-AVANCE[[#This Row],[FECHA TERMINO  PLANIFICADO]]),0)</f>
        <v>0</v>
      </c>
      <c r="CT249" s="41" t="str" cm="1">
        <f t="array" ref="CT249">_xlfn.TEXTJOIN(" | ",TRUE,IF(SUMPRODUCT((BG249:CR249&lt;1)*(PARTIDAS!$I$2:$AT$2="OBRA GRUESA"))&gt;0,"OBRA GRUESA: "&amp;_xlfn.TEXTJOIN(", ",TRUE,IF((BG249:CR249&lt;1)*(PARTIDAS!$I$2:$AT$2="OBRA GRUESA"),PARTIDAS!$I$1:$AT$1,"")),""),IF(SUMPRODUCT((BG249:CR249&lt;1)*(PARTIDAS!$I$2:$AT$2="SANITARIOS"))&gt;0,"SANITARIOS: "&amp;_xlfn.TEXTJOIN(", ",TRUE,IF((BG249:CR249&lt;1)*(PARTIDAS!$I$2:$AT$2="SANITARIOS"),PARTIDAS!$I$1:$AT$1,"")),""),IF(SUMPRODUCT((BG249:CR249&lt;1)*(PARTIDAS!$I$2:$AT$2="ELÉCTRICO"))&gt;0,"ELÉCTRICO: "&amp;_xlfn.TEXTJOIN(", ",TRUE,IF((BG249:CR249&lt;1)*(PARTIDAS!$I$2:$AT$2="ELÉCTRICO"),PARTIDAS!$I$1:$AT$1,"")),""),IF(SUMPRODUCT((BG249:CR249&lt;1)*(PARTIDAS!$I$2:$AT$2="TERMINACIONES"))&gt;0,"TERMINACIONES: "&amp;_xlfn.TEXTJOIN(", ",TRUE,IF((BG249:CR249&lt;1)*(PARTIDAS!$I$2:$AT$2="TERMINACIONES"),PARTIDAS!$I$1:$AT$1,"")),""))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49" s="43" t="str" cm="1">
        <f t="array" ref="CU249">_xlfn.TEXTJOIN(", ",TRUE,IF(SUMPRODUCT((BG249:CR249&lt;1)*(PARTIDAS!$I$2:$AT$2="OBRA GRUESA"))&gt;0,"OBRA GRUESA",""),IF(SUMPRODUCT((BG249:CR249&lt;1)*(PARTIDAS!$I$2:$AT$2="SANITARIOS"))&gt;0,"SANITARIOS",""),IF(SUMPRODUCT((BG249:CR249&lt;1)*(PARTIDAS!$I$2:$AT$2="ELÉCTRICO"))&gt;0,"ELÉCTRICO",""),IF(SUMPRODUCT((BG249:CR249&lt;1)*(PARTIDAS!$I$2:$AT$2="TERMINACIONES"))&gt;0,"TERMINACIONES",""))</f>
        <v>OBRA GRUESA, SANITARIOS, ELÉCTRICO, TERMINACIONES</v>
      </c>
      <c r="CV249" s="44" cm="1">
        <f t="array" ref="CV249">SUMPRODUCT(--(BG249:CR249&lt;1))</f>
        <v>38</v>
      </c>
    </row>
    <row r="250" spans="1:100" hidden="1" x14ac:dyDescent="0.25">
      <c r="A250" t="s">
        <v>289</v>
      </c>
      <c r="B250" t="s">
        <v>314</v>
      </c>
      <c r="C250">
        <v>2282600249</v>
      </c>
      <c r="D250" t="s">
        <v>58</v>
      </c>
      <c r="E250" s="2">
        <v>0</v>
      </c>
      <c r="F250" s="1">
        <v>46265</v>
      </c>
      <c r="G250" s="1"/>
      <c r="H250" s="1">
        <v>0</v>
      </c>
      <c r="I250" s="1">
        <v>46285</v>
      </c>
      <c r="J250">
        <v>46230</v>
      </c>
      <c r="K250" s="1"/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>
        <v>28.87</v>
      </c>
      <c r="BF250" s="3" t="str">
        <f>+IF(AVANCE[[#This Row],[% AVANCE]]=100%,"MODULO TERMINADO",IF(AVANCE[[#This Row],[FECHA INICIO REAL]]="","MODULO NO INICIADO","PENDIENTE"))</f>
        <v>MODULO NO INICIADO</v>
      </c>
      <c r="BG250" s="3">
        <f>+IF(AVANCE[[#This Row],[VENTANAS]]=8.10810810810811%,100%,AVANCE[[#This Row],[VENTANAS]])</f>
        <v>0</v>
      </c>
      <c r="BH250" s="3">
        <f>+IF(AVANCE[[#This Row],[PISO]]=N$2,100%,AVANCE[[#This Row],[PISO]])</f>
        <v>0</v>
      </c>
      <c r="BI250" s="3">
        <f>+IF(AVANCE[[#This Row],[TABIQUES]]=O$2,100%,AVANCE[[#This Row],[TABIQUES]])</f>
        <v>0</v>
      </c>
      <c r="BJ250" s="3">
        <f>+IF(AVANCE[[#This Row],[MUROS]]=P$2,100%,AVANCE[[#This Row],[MUROS]])</f>
        <v>0</v>
      </c>
      <c r="BK250" s="3">
        <f>+IF(AVANCE[[#This Row],[CIELO]]=Q$2,100%,AVANCE[[#This Row],[CIELO]])</f>
        <v>0</v>
      </c>
      <c r="BL250" s="3">
        <f>+IF(AVANCE[[#This Row],[BALCÓN]]=R$2,100%,AVANCE[[#This Row],[BALCÓN]])</f>
        <v>0</v>
      </c>
      <c r="BM250" s="3">
        <f>+IF(AVANCE[[#This Row],[RED ALCANTARILLADO]]=U$2,100%,AVANCE[[#This Row],[RED ALCANTARILLADO]])</f>
        <v>0</v>
      </c>
      <c r="BN250" s="3">
        <f>+IF(AVANCE[[#This Row],[RED DE AGUA]]=V$2,100%,AVANCE[[#This Row],[RED DE AGUA]])</f>
        <v>0</v>
      </c>
      <c r="BO250" s="3">
        <f>+IF(AVANCE[[#This Row],[VENTILACIONES]]=W$2,100%,AVANCE[[#This Row],[VENTILACIONES]])</f>
        <v>0</v>
      </c>
      <c r="BP250" s="3">
        <f>+IF(AVANCE[[#This Row],[TINA]]=X$2,100%,AVANCE[[#This Row],[TINA]])</f>
        <v>0</v>
      </c>
      <c r="BQ250" s="3">
        <f>+IF(AVANCE[[#This Row],[WC]]=Y$2,100%,AVANCE[[#This Row],[WC]])</f>
        <v>0</v>
      </c>
      <c r="BR250" s="3">
        <f>+IF(AVANCE[[#This Row],[LAVAMANOS / LAVAPLATOS / LAVADERO]]=Z$2,100%,AVANCE[[#This Row],[LAVAMANOS / LAVAPLATOS / LAVADERO]])</f>
        <v>0</v>
      </c>
      <c r="BS250" s="3">
        <f>+IF(AVANCE[[#This Row],[CANALIZACIÓN]]=AC$2,100%,AVANCE[[#This Row],[CANALIZACIÓN]])</f>
        <v>0</v>
      </c>
      <c r="BT250" s="3">
        <f>+IF(AVANCE[[#This Row],[CABLEADO]]=AD$2,100%,AVANCE[[#This Row],[CABLEADO]])</f>
        <v>0</v>
      </c>
      <c r="BU250" s="3">
        <f>+IF(AVANCE[[#This Row],[ARTEFACTOS]]=AE$2,100%,AVANCE[[#This Row],[ARTEFACTOS]])</f>
        <v>0</v>
      </c>
      <c r="BV250" s="3">
        <f>+IF(AVANCE[[#This Row],[TABLERO]]=AF$2,100%,AVANCE[[#This Row],[TABLERO]])</f>
        <v>0</v>
      </c>
      <c r="BW250" s="3">
        <f>+IF(AVANCE[[#This Row],[CAJA PAU]]=AG$2,100%,AVANCE[[#This Row],[CAJA PAU]])</f>
        <v>0</v>
      </c>
      <c r="BX250" s="3">
        <f>+IF(AVANCE[[#This Row],[INSTALACION VINILICO]]=AJ$2,100%,AVANCE[[#This Row],[INSTALACION VINILICO]])</f>
        <v>0</v>
      </c>
      <c r="BY250" s="3">
        <f>+IF(AVANCE[[#This Row],[OSB CUBIERTA]]=AK$2,100%,AVANCE[[#This Row],[OSB CUBIERTA]])</f>
        <v>0</v>
      </c>
      <c r="BZ250" s="3">
        <f>+IF(AVANCE[[#This Row],[BARANDA BALCON]]=AL$2,100%,AVANCE[[#This Row],[BARANDA BALCON]])</f>
        <v>0</v>
      </c>
      <c r="CA250" s="3">
        <f>+IF(AVANCE[[#This Row],[OSB EXTERIOR]]=AM$2,100%,AVANCE[[#This Row],[OSB EXTERIOR]])</f>
        <v>0</v>
      </c>
      <c r="CB250" s="3">
        <f>+IF(AVANCE[[#This Row],[SMART PANEL]]=AN$2,100%,AVANCE[[#This Row],[SMART PANEL]])</f>
        <v>0</v>
      </c>
      <c r="CC250" s="3">
        <f>+IF(AVANCE[[#This Row],[PINTURA EXTERIOR]]=AO$2,100%,AVANCE[[#This Row],[PINTURA EXTERIOR]])</f>
        <v>0</v>
      </c>
      <c r="CD250" s="3">
        <f>+IF(AVANCE[[#This Row],[ZOCALOS LOGIA]]=AP$2,100%,AVANCE[[#This Row],[ZOCALOS LOGIA]])</f>
        <v>0</v>
      </c>
      <c r="CE250" s="3">
        <f>+IF(AVANCE[[#This Row],[MOLDURAS]]=AQ$2,100%,AVANCE[[#This Row],[MOLDURAS]])</f>
        <v>0</v>
      </c>
      <c r="CF250" s="3">
        <f>+IF(AVANCE[[#This Row],[PILASTREO]]=AR$2,100%,AVANCE[[#This Row],[PILASTREO]])</f>
        <v>0</v>
      </c>
      <c r="CG250" s="3">
        <f>+IF(AVANCE[[#This Row],[CELOSIAS]]=AS$2,100%,AVANCE[[#This Row],[CELOSIAS]])</f>
        <v>0</v>
      </c>
      <c r="CH250" s="3">
        <f>+IF(AVANCE[[#This Row],[VENTANAS]]=AT$2,100%,AVANCE[[#This Row],[VENTANAS]])</f>
        <v>0</v>
      </c>
      <c r="CI250" s="3">
        <f>+IF(AVANCE[[#This Row],[PUERTAS ACCESO - LOGIA - BANO]]=AU$2,100%,AVANCE[[#This Row],[PUERTAS ACCESO - LOGIA - BANO]])</f>
        <v>0</v>
      </c>
      <c r="CJ250" s="3">
        <f>+IF(AVANCE[[#This Row],[CERRADURAS]]=AV$2,100%,AVANCE[[#This Row],[CERRADURAS]])</f>
        <v>0</v>
      </c>
      <c r="CK250" s="3">
        <f>+IF(AVANCE[[#This Row],[REVESTIMIENTO INTERIOR ZONA SECA]]=AW$2,100%,AVANCE[[#This Row],[REVESTIMIENTO INTERIOR ZONA SECA]])</f>
        <v>0</v>
      </c>
      <c r="CL250" s="3">
        <f>+IF(AVANCE[[#This Row],[REVESTIMIENTO INTERIOR ZONAS HUMEDAS]]=AX$2,100%,AVANCE[[#This Row],[REVESTIMIENTO INTERIOR ZONAS HUMEDAS]])</f>
        <v>0</v>
      </c>
      <c r="CM250" s="3">
        <f>+IF(AVANCE[[#This Row],[MEMBRANA CIELO]]=AY$2,100%,AVANCE[[#This Row],[MEMBRANA CIELO]])</f>
        <v>0</v>
      </c>
      <c r="CN250" s="3">
        <f>+IF(AVANCE[[#This Row],[LIMPIEZA FINAL]]=AZ$2,100%,AVANCE[[#This Row],[LIMPIEZA FINAL]])</f>
        <v>0</v>
      </c>
      <c r="CO250" s="3">
        <f>+IF(AVANCE[[#This Row],[PUERTAS DORMITORIO]]=BA$2,100%,AVANCE[[#This Row],[PUERTAS DORMITORIO]])</f>
        <v>0</v>
      </c>
      <c r="CP250" s="3">
        <f>+IF(AVANCE[[#This Row],[REVESTIMIENTO INTERIOR BANO]]=BB$2,100%,AVANCE[[#This Row],[REVESTIMIENTO INTERIOR BANO]])</f>
        <v>0</v>
      </c>
      <c r="CQ250" s="3">
        <f>+IF(AVANCE[[#This Row],[MUEBLE LAVAPLATOS]]=BC$2,100%,AVANCE[[#This Row],[MUEBLE LAVAPLATOS]])</f>
        <v>0</v>
      </c>
      <c r="CR250" s="3">
        <f>+IF(AVANCE[[#This Row],[IMPERMEABILIZACION BANO - COCINA LOGIA]]=BD$2,100%,AVANCE[[#This Row],[IMPERMEABILIZACION BANO - COCINA LOGIA]])</f>
        <v>0</v>
      </c>
      <c r="CS250" s="40">
        <f ca="1">+IF(AVANCE[[#This Row],[ESTADO MODULO]]="PENDIENTE",(TODAY()-AVANCE[[#This Row],[FECHA TERMINO  PLANIFICADO]]),0)</f>
        <v>0</v>
      </c>
      <c r="CT250" s="41" t="str" cm="1">
        <f t="array" ref="CT250">_xlfn.TEXTJOIN(" | ",TRUE,IF(SUMPRODUCT((BG250:CR250&lt;1)*(PARTIDAS!$I$2:$AT$2="OBRA GRUESA"))&gt;0,"OBRA GRUESA: "&amp;_xlfn.TEXTJOIN(", ",TRUE,IF((BG250:CR250&lt;1)*(PARTIDAS!$I$2:$AT$2="OBRA GRUESA"),PARTIDAS!$I$1:$AT$1,"")),""),IF(SUMPRODUCT((BG250:CR250&lt;1)*(PARTIDAS!$I$2:$AT$2="SANITARIOS"))&gt;0,"SANITARIOS: "&amp;_xlfn.TEXTJOIN(", ",TRUE,IF((BG250:CR250&lt;1)*(PARTIDAS!$I$2:$AT$2="SANITARIOS"),PARTIDAS!$I$1:$AT$1,"")),""),IF(SUMPRODUCT((BG250:CR250&lt;1)*(PARTIDAS!$I$2:$AT$2="ELÉCTRICO"))&gt;0,"ELÉCTRICO: "&amp;_xlfn.TEXTJOIN(", ",TRUE,IF((BG250:CR250&lt;1)*(PARTIDAS!$I$2:$AT$2="ELÉCTRICO"),PARTIDAS!$I$1:$AT$1,"")),""),IF(SUMPRODUCT((BG250:CR250&lt;1)*(PARTIDAS!$I$2:$AT$2="TERMINACIONES"))&gt;0,"TERMINACIONES: "&amp;_xlfn.TEXTJOIN(", ",TRUE,IF((BG250:CR250&lt;1)*(PARTIDAS!$I$2:$AT$2="TERMINACIONES"),PARTIDAS!$I$1:$AT$1,"")),""))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0" s="43" t="str" cm="1">
        <f t="array" ref="CU250">_xlfn.TEXTJOIN(", ",TRUE,IF(SUMPRODUCT((BG250:CR250&lt;1)*(PARTIDAS!$I$2:$AT$2="OBRA GRUESA"))&gt;0,"OBRA GRUESA",""),IF(SUMPRODUCT((BG250:CR250&lt;1)*(PARTIDAS!$I$2:$AT$2="SANITARIOS"))&gt;0,"SANITARIOS",""),IF(SUMPRODUCT((BG250:CR250&lt;1)*(PARTIDAS!$I$2:$AT$2="ELÉCTRICO"))&gt;0,"ELÉCTRICO",""),IF(SUMPRODUCT((BG250:CR250&lt;1)*(PARTIDAS!$I$2:$AT$2="TERMINACIONES"))&gt;0,"TERMINACIONES",""))</f>
        <v>OBRA GRUESA, SANITARIOS, ELÉCTRICO, TERMINACIONES</v>
      </c>
      <c r="CV250" s="44" cm="1">
        <f t="array" ref="CV250">SUMPRODUCT(--(BG250:CR250&lt;1))</f>
        <v>38</v>
      </c>
    </row>
    <row r="251" spans="1:100" hidden="1" x14ac:dyDescent="0.25">
      <c r="A251" t="s">
        <v>289</v>
      </c>
      <c r="B251" t="s">
        <v>315</v>
      </c>
      <c r="C251">
        <v>2302600250</v>
      </c>
      <c r="D251" t="s">
        <v>60</v>
      </c>
      <c r="E251" s="2">
        <v>0</v>
      </c>
      <c r="F251" s="1">
        <v>46265</v>
      </c>
      <c r="G251" s="1"/>
      <c r="H251" s="1">
        <v>0</v>
      </c>
      <c r="I251" s="1">
        <v>46295</v>
      </c>
      <c r="J251">
        <v>46230</v>
      </c>
      <c r="K251" s="1"/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>
        <v>31.32</v>
      </c>
      <c r="BF251" s="3" t="str">
        <f>+IF(AVANCE[[#This Row],[% AVANCE]]=100%,"MODULO TERMINADO",IF(AVANCE[[#This Row],[FECHA INICIO REAL]]="","MODULO NO INICIADO","PENDIENTE"))</f>
        <v>MODULO NO INICIADO</v>
      </c>
      <c r="BG251" s="3">
        <f>+IF(AVANCE[[#This Row],[VENTANAS]]=8.10810810810811%,100%,AVANCE[[#This Row],[VENTANAS]])</f>
        <v>0</v>
      </c>
      <c r="BH251" s="3">
        <f>+IF(AVANCE[[#This Row],[PISO]]=N$2,100%,AVANCE[[#This Row],[PISO]])</f>
        <v>0</v>
      </c>
      <c r="BI251" s="3">
        <f>+IF(AVANCE[[#This Row],[TABIQUES]]=O$2,100%,AVANCE[[#This Row],[TABIQUES]])</f>
        <v>0</v>
      </c>
      <c r="BJ251" s="3">
        <f>+IF(AVANCE[[#This Row],[MUROS]]=P$2,100%,AVANCE[[#This Row],[MUROS]])</f>
        <v>0</v>
      </c>
      <c r="BK251" s="3">
        <f>+IF(AVANCE[[#This Row],[CIELO]]=Q$2,100%,AVANCE[[#This Row],[CIELO]])</f>
        <v>0</v>
      </c>
      <c r="BL251" s="3">
        <f>+IF(AVANCE[[#This Row],[BALCÓN]]=R$2,100%,AVANCE[[#This Row],[BALCÓN]])</f>
        <v>0</v>
      </c>
      <c r="BM251" s="3">
        <f>+IF(AVANCE[[#This Row],[RED ALCANTARILLADO]]=U$2,100%,AVANCE[[#This Row],[RED ALCANTARILLADO]])</f>
        <v>0</v>
      </c>
      <c r="BN251" s="3">
        <f>+IF(AVANCE[[#This Row],[RED DE AGUA]]=V$2,100%,AVANCE[[#This Row],[RED DE AGUA]])</f>
        <v>0</v>
      </c>
      <c r="BO251" s="3">
        <f>+IF(AVANCE[[#This Row],[VENTILACIONES]]=W$2,100%,AVANCE[[#This Row],[VENTILACIONES]])</f>
        <v>0</v>
      </c>
      <c r="BP251" s="3">
        <f>+IF(AVANCE[[#This Row],[TINA]]=X$2,100%,AVANCE[[#This Row],[TINA]])</f>
        <v>0</v>
      </c>
      <c r="BQ251" s="3">
        <f>+IF(AVANCE[[#This Row],[WC]]=Y$2,100%,AVANCE[[#This Row],[WC]])</f>
        <v>0</v>
      </c>
      <c r="BR251" s="3">
        <f>+IF(AVANCE[[#This Row],[LAVAMANOS / LAVAPLATOS / LAVADERO]]=Z$2,100%,AVANCE[[#This Row],[LAVAMANOS / LAVAPLATOS / LAVADERO]])</f>
        <v>0</v>
      </c>
      <c r="BS251" s="3">
        <f>+IF(AVANCE[[#This Row],[CANALIZACIÓN]]=AC$2,100%,AVANCE[[#This Row],[CANALIZACIÓN]])</f>
        <v>0</v>
      </c>
      <c r="BT251" s="3">
        <f>+IF(AVANCE[[#This Row],[CABLEADO]]=AD$2,100%,AVANCE[[#This Row],[CABLEADO]])</f>
        <v>0</v>
      </c>
      <c r="BU251" s="3">
        <f>+IF(AVANCE[[#This Row],[ARTEFACTOS]]=AE$2,100%,AVANCE[[#This Row],[ARTEFACTOS]])</f>
        <v>0</v>
      </c>
      <c r="BV251" s="3">
        <f>+IF(AVANCE[[#This Row],[TABLERO]]=AF$2,100%,AVANCE[[#This Row],[TABLERO]])</f>
        <v>0</v>
      </c>
      <c r="BW251" s="3">
        <f>+IF(AVANCE[[#This Row],[CAJA PAU]]=AG$2,100%,AVANCE[[#This Row],[CAJA PAU]])</f>
        <v>0</v>
      </c>
      <c r="BX251" s="3">
        <f>+IF(AVANCE[[#This Row],[INSTALACION VINILICO]]=AJ$2,100%,AVANCE[[#This Row],[INSTALACION VINILICO]])</f>
        <v>0</v>
      </c>
      <c r="BY251" s="3">
        <f>+IF(AVANCE[[#This Row],[OSB CUBIERTA]]=AK$2,100%,AVANCE[[#This Row],[OSB CUBIERTA]])</f>
        <v>0</v>
      </c>
      <c r="BZ251" s="3">
        <f>+IF(AVANCE[[#This Row],[BARANDA BALCON]]=AL$2,100%,AVANCE[[#This Row],[BARANDA BALCON]])</f>
        <v>0</v>
      </c>
      <c r="CA251" s="3">
        <f>+IF(AVANCE[[#This Row],[OSB EXTERIOR]]=AM$2,100%,AVANCE[[#This Row],[OSB EXTERIOR]])</f>
        <v>0</v>
      </c>
      <c r="CB251" s="3">
        <f>+IF(AVANCE[[#This Row],[SMART PANEL]]=AN$2,100%,AVANCE[[#This Row],[SMART PANEL]])</f>
        <v>0</v>
      </c>
      <c r="CC251" s="3">
        <f>+IF(AVANCE[[#This Row],[PINTURA EXTERIOR]]=AO$2,100%,AVANCE[[#This Row],[PINTURA EXTERIOR]])</f>
        <v>0</v>
      </c>
      <c r="CD251" s="3">
        <f>+IF(AVANCE[[#This Row],[ZOCALOS LOGIA]]=AP$2,100%,AVANCE[[#This Row],[ZOCALOS LOGIA]])</f>
        <v>0</v>
      </c>
      <c r="CE251" s="3">
        <f>+IF(AVANCE[[#This Row],[MOLDURAS]]=AQ$2,100%,AVANCE[[#This Row],[MOLDURAS]])</f>
        <v>0</v>
      </c>
      <c r="CF251" s="3">
        <f>+IF(AVANCE[[#This Row],[PILASTREO]]=AR$2,100%,AVANCE[[#This Row],[PILASTREO]])</f>
        <v>0</v>
      </c>
      <c r="CG251" s="3">
        <f>+IF(AVANCE[[#This Row],[CELOSIAS]]=AS$2,100%,AVANCE[[#This Row],[CELOSIAS]])</f>
        <v>0</v>
      </c>
      <c r="CH251" s="3">
        <f>+IF(AVANCE[[#This Row],[VENTANAS]]=AT$2,100%,AVANCE[[#This Row],[VENTANAS]])</f>
        <v>0</v>
      </c>
      <c r="CI251" s="3">
        <f>+IF(AVANCE[[#This Row],[PUERTAS ACCESO - LOGIA - BANO]]=AU$2,100%,AVANCE[[#This Row],[PUERTAS ACCESO - LOGIA - BANO]])</f>
        <v>0</v>
      </c>
      <c r="CJ251" s="3">
        <f>+IF(AVANCE[[#This Row],[CERRADURAS]]=AV$2,100%,AVANCE[[#This Row],[CERRADURAS]])</f>
        <v>0</v>
      </c>
      <c r="CK251" s="3">
        <f>+IF(AVANCE[[#This Row],[REVESTIMIENTO INTERIOR ZONA SECA]]=AW$2,100%,AVANCE[[#This Row],[REVESTIMIENTO INTERIOR ZONA SECA]])</f>
        <v>0</v>
      </c>
      <c r="CL251" s="3">
        <f>+IF(AVANCE[[#This Row],[REVESTIMIENTO INTERIOR ZONAS HUMEDAS]]=AX$2,100%,AVANCE[[#This Row],[REVESTIMIENTO INTERIOR ZONAS HUMEDAS]])</f>
        <v>0</v>
      </c>
      <c r="CM251" s="3">
        <f>+IF(AVANCE[[#This Row],[MEMBRANA CIELO]]=AY$2,100%,AVANCE[[#This Row],[MEMBRANA CIELO]])</f>
        <v>0</v>
      </c>
      <c r="CN251" s="3">
        <f>+IF(AVANCE[[#This Row],[LIMPIEZA FINAL]]=AZ$2,100%,AVANCE[[#This Row],[LIMPIEZA FINAL]])</f>
        <v>0</v>
      </c>
      <c r="CO251" s="3">
        <f>+IF(AVANCE[[#This Row],[PUERTAS DORMITORIO]]=BA$2,100%,AVANCE[[#This Row],[PUERTAS DORMITORIO]])</f>
        <v>0</v>
      </c>
      <c r="CP251" s="3">
        <f>+IF(AVANCE[[#This Row],[REVESTIMIENTO INTERIOR BANO]]=BB$2,100%,AVANCE[[#This Row],[REVESTIMIENTO INTERIOR BANO]])</f>
        <v>0</v>
      </c>
      <c r="CQ251" s="3">
        <f>+IF(AVANCE[[#This Row],[MUEBLE LAVAPLATOS]]=BC$2,100%,AVANCE[[#This Row],[MUEBLE LAVAPLATOS]])</f>
        <v>0</v>
      </c>
      <c r="CR251" s="3">
        <f>+IF(AVANCE[[#This Row],[IMPERMEABILIZACION BANO - COCINA LOGIA]]=BD$2,100%,AVANCE[[#This Row],[IMPERMEABILIZACION BANO - COCINA LOGIA]])</f>
        <v>0</v>
      </c>
      <c r="CS251" s="40">
        <f ca="1">+IF(AVANCE[[#This Row],[ESTADO MODULO]]="PENDIENTE",(TODAY()-AVANCE[[#This Row],[FECHA TERMINO  PLANIFICADO]]),0)</f>
        <v>0</v>
      </c>
      <c r="CT251" s="41" t="str" cm="1">
        <f t="array" ref="CT251">_xlfn.TEXTJOIN(" | ",TRUE,IF(SUMPRODUCT((BG251:CR251&lt;1)*(PARTIDAS!$I$2:$AT$2="OBRA GRUESA"))&gt;0,"OBRA GRUESA: "&amp;_xlfn.TEXTJOIN(", ",TRUE,IF((BG251:CR251&lt;1)*(PARTIDAS!$I$2:$AT$2="OBRA GRUESA"),PARTIDAS!$I$1:$AT$1,"")),""),IF(SUMPRODUCT((BG251:CR251&lt;1)*(PARTIDAS!$I$2:$AT$2="SANITARIOS"))&gt;0,"SANITARIOS: "&amp;_xlfn.TEXTJOIN(", ",TRUE,IF((BG251:CR251&lt;1)*(PARTIDAS!$I$2:$AT$2="SANITARIOS"),PARTIDAS!$I$1:$AT$1,"")),""),IF(SUMPRODUCT((BG251:CR251&lt;1)*(PARTIDAS!$I$2:$AT$2="ELÉCTRICO"))&gt;0,"ELÉCTRICO: "&amp;_xlfn.TEXTJOIN(", ",TRUE,IF((BG251:CR251&lt;1)*(PARTIDAS!$I$2:$AT$2="ELÉCTRICO"),PARTIDAS!$I$1:$AT$1,"")),""),IF(SUMPRODUCT((BG251:CR251&lt;1)*(PARTIDAS!$I$2:$AT$2="TERMINACIONES"))&gt;0,"TERMINACIONES: "&amp;_xlfn.TEXTJOIN(", ",TRUE,IF((BG251:CR251&lt;1)*(PARTIDAS!$I$2:$AT$2="TERMINACIONES"),PARTIDAS!$I$1:$AT$1,"")),""))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1" s="43" t="str" cm="1">
        <f t="array" ref="CU251">_xlfn.TEXTJOIN(", ",TRUE,IF(SUMPRODUCT((BG251:CR251&lt;1)*(PARTIDAS!$I$2:$AT$2="OBRA GRUESA"))&gt;0,"OBRA GRUESA",""),IF(SUMPRODUCT((BG251:CR251&lt;1)*(PARTIDAS!$I$2:$AT$2="SANITARIOS"))&gt;0,"SANITARIOS",""),IF(SUMPRODUCT((BG251:CR251&lt;1)*(PARTIDAS!$I$2:$AT$2="ELÉCTRICO"))&gt;0,"ELÉCTRICO",""),IF(SUMPRODUCT((BG251:CR251&lt;1)*(PARTIDAS!$I$2:$AT$2="TERMINACIONES"))&gt;0,"TERMINACIONES",""))</f>
        <v>OBRA GRUESA, SANITARIOS, ELÉCTRICO, TERMINACIONES</v>
      </c>
      <c r="CV251" s="44" cm="1">
        <f t="array" ref="CV251">SUMPRODUCT(--(BG251:CR251&lt;1))</f>
        <v>38</v>
      </c>
    </row>
    <row r="252" spans="1:100" hidden="1" x14ac:dyDescent="0.25">
      <c r="A252" t="s">
        <v>289</v>
      </c>
      <c r="B252" t="s">
        <v>316</v>
      </c>
      <c r="C252">
        <v>2302600251</v>
      </c>
      <c r="D252" t="s">
        <v>60</v>
      </c>
      <c r="E252" s="2">
        <v>0</v>
      </c>
      <c r="F252" s="1">
        <v>46266</v>
      </c>
      <c r="G252" s="1"/>
      <c r="H252" s="1">
        <v>0</v>
      </c>
      <c r="I252" s="1">
        <v>46296</v>
      </c>
      <c r="J252">
        <v>46230</v>
      </c>
      <c r="K252" s="1"/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>
        <v>31.32</v>
      </c>
      <c r="BF252" s="3" t="str">
        <f>+IF(AVANCE[[#This Row],[% AVANCE]]=100%,"MODULO TERMINADO",IF(AVANCE[[#This Row],[FECHA INICIO REAL]]="","MODULO NO INICIADO","PENDIENTE"))</f>
        <v>MODULO NO INICIADO</v>
      </c>
      <c r="BG252" s="3">
        <f>+IF(AVANCE[[#This Row],[VENTANAS]]=8.10810810810811%,100%,AVANCE[[#This Row],[VENTANAS]])</f>
        <v>0</v>
      </c>
      <c r="BH252" s="3">
        <f>+IF(AVANCE[[#This Row],[PISO]]=N$2,100%,AVANCE[[#This Row],[PISO]])</f>
        <v>0</v>
      </c>
      <c r="BI252" s="3">
        <f>+IF(AVANCE[[#This Row],[TABIQUES]]=O$2,100%,AVANCE[[#This Row],[TABIQUES]])</f>
        <v>0</v>
      </c>
      <c r="BJ252" s="3">
        <f>+IF(AVANCE[[#This Row],[MUROS]]=P$2,100%,AVANCE[[#This Row],[MUROS]])</f>
        <v>0</v>
      </c>
      <c r="BK252" s="3">
        <f>+IF(AVANCE[[#This Row],[CIELO]]=Q$2,100%,AVANCE[[#This Row],[CIELO]])</f>
        <v>0</v>
      </c>
      <c r="BL252" s="3">
        <f>+IF(AVANCE[[#This Row],[BALCÓN]]=R$2,100%,AVANCE[[#This Row],[BALCÓN]])</f>
        <v>0</v>
      </c>
      <c r="BM252" s="3">
        <f>+IF(AVANCE[[#This Row],[RED ALCANTARILLADO]]=U$2,100%,AVANCE[[#This Row],[RED ALCANTARILLADO]])</f>
        <v>0</v>
      </c>
      <c r="BN252" s="3">
        <f>+IF(AVANCE[[#This Row],[RED DE AGUA]]=V$2,100%,AVANCE[[#This Row],[RED DE AGUA]])</f>
        <v>0</v>
      </c>
      <c r="BO252" s="3">
        <f>+IF(AVANCE[[#This Row],[VENTILACIONES]]=W$2,100%,AVANCE[[#This Row],[VENTILACIONES]])</f>
        <v>0</v>
      </c>
      <c r="BP252" s="3">
        <f>+IF(AVANCE[[#This Row],[TINA]]=X$2,100%,AVANCE[[#This Row],[TINA]])</f>
        <v>0</v>
      </c>
      <c r="BQ252" s="3">
        <f>+IF(AVANCE[[#This Row],[WC]]=Y$2,100%,AVANCE[[#This Row],[WC]])</f>
        <v>0</v>
      </c>
      <c r="BR252" s="3">
        <f>+IF(AVANCE[[#This Row],[LAVAMANOS / LAVAPLATOS / LAVADERO]]=Z$2,100%,AVANCE[[#This Row],[LAVAMANOS / LAVAPLATOS / LAVADERO]])</f>
        <v>0</v>
      </c>
      <c r="BS252" s="3">
        <f>+IF(AVANCE[[#This Row],[CANALIZACIÓN]]=AC$2,100%,AVANCE[[#This Row],[CANALIZACIÓN]])</f>
        <v>0</v>
      </c>
      <c r="BT252" s="3">
        <f>+IF(AVANCE[[#This Row],[CABLEADO]]=AD$2,100%,AVANCE[[#This Row],[CABLEADO]])</f>
        <v>0</v>
      </c>
      <c r="BU252" s="3">
        <f>+IF(AVANCE[[#This Row],[ARTEFACTOS]]=AE$2,100%,AVANCE[[#This Row],[ARTEFACTOS]])</f>
        <v>0</v>
      </c>
      <c r="BV252" s="3">
        <f>+IF(AVANCE[[#This Row],[TABLERO]]=AF$2,100%,AVANCE[[#This Row],[TABLERO]])</f>
        <v>0</v>
      </c>
      <c r="BW252" s="3">
        <f>+IF(AVANCE[[#This Row],[CAJA PAU]]=AG$2,100%,AVANCE[[#This Row],[CAJA PAU]])</f>
        <v>0</v>
      </c>
      <c r="BX252" s="3">
        <f>+IF(AVANCE[[#This Row],[INSTALACION VINILICO]]=AJ$2,100%,AVANCE[[#This Row],[INSTALACION VINILICO]])</f>
        <v>0</v>
      </c>
      <c r="BY252" s="3">
        <f>+IF(AVANCE[[#This Row],[OSB CUBIERTA]]=AK$2,100%,AVANCE[[#This Row],[OSB CUBIERTA]])</f>
        <v>0</v>
      </c>
      <c r="BZ252" s="3">
        <f>+IF(AVANCE[[#This Row],[BARANDA BALCON]]=AL$2,100%,AVANCE[[#This Row],[BARANDA BALCON]])</f>
        <v>0</v>
      </c>
      <c r="CA252" s="3">
        <f>+IF(AVANCE[[#This Row],[OSB EXTERIOR]]=AM$2,100%,AVANCE[[#This Row],[OSB EXTERIOR]])</f>
        <v>0</v>
      </c>
      <c r="CB252" s="3">
        <f>+IF(AVANCE[[#This Row],[SMART PANEL]]=AN$2,100%,AVANCE[[#This Row],[SMART PANEL]])</f>
        <v>0</v>
      </c>
      <c r="CC252" s="3">
        <f>+IF(AVANCE[[#This Row],[PINTURA EXTERIOR]]=AO$2,100%,AVANCE[[#This Row],[PINTURA EXTERIOR]])</f>
        <v>0</v>
      </c>
      <c r="CD252" s="3">
        <f>+IF(AVANCE[[#This Row],[ZOCALOS LOGIA]]=AP$2,100%,AVANCE[[#This Row],[ZOCALOS LOGIA]])</f>
        <v>0</v>
      </c>
      <c r="CE252" s="3">
        <f>+IF(AVANCE[[#This Row],[MOLDURAS]]=AQ$2,100%,AVANCE[[#This Row],[MOLDURAS]])</f>
        <v>0</v>
      </c>
      <c r="CF252" s="3">
        <f>+IF(AVANCE[[#This Row],[PILASTREO]]=AR$2,100%,AVANCE[[#This Row],[PILASTREO]])</f>
        <v>0</v>
      </c>
      <c r="CG252" s="3">
        <f>+IF(AVANCE[[#This Row],[CELOSIAS]]=AS$2,100%,AVANCE[[#This Row],[CELOSIAS]])</f>
        <v>0</v>
      </c>
      <c r="CH252" s="3">
        <f>+IF(AVANCE[[#This Row],[VENTANAS]]=AT$2,100%,AVANCE[[#This Row],[VENTANAS]])</f>
        <v>0</v>
      </c>
      <c r="CI252" s="3">
        <f>+IF(AVANCE[[#This Row],[PUERTAS ACCESO - LOGIA - BANO]]=AU$2,100%,AVANCE[[#This Row],[PUERTAS ACCESO - LOGIA - BANO]])</f>
        <v>0</v>
      </c>
      <c r="CJ252" s="3">
        <f>+IF(AVANCE[[#This Row],[CERRADURAS]]=AV$2,100%,AVANCE[[#This Row],[CERRADURAS]])</f>
        <v>0</v>
      </c>
      <c r="CK252" s="3">
        <f>+IF(AVANCE[[#This Row],[REVESTIMIENTO INTERIOR ZONA SECA]]=AW$2,100%,AVANCE[[#This Row],[REVESTIMIENTO INTERIOR ZONA SECA]])</f>
        <v>0</v>
      </c>
      <c r="CL252" s="3">
        <f>+IF(AVANCE[[#This Row],[REVESTIMIENTO INTERIOR ZONAS HUMEDAS]]=AX$2,100%,AVANCE[[#This Row],[REVESTIMIENTO INTERIOR ZONAS HUMEDAS]])</f>
        <v>0</v>
      </c>
      <c r="CM252" s="3">
        <f>+IF(AVANCE[[#This Row],[MEMBRANA CIELO]]=AY$2,100%,AVANCE[[#This Row],[MEMBRANA CIELO]])</f>
        <v>0</v>
      </c>
      <c r="CN252" s="3">
        <f>+IF(AVANCE[[#This Row],[LIMPIEZA FINAL]]=AZ$2,100%,AVANCE[[#This Row],[LIMPIEZA FINAL]])</f>
        <v>0</v>
      </c>
      <c r="CO252" s="3">
        <f>+IF(AVANCE[[#This Row],[PUERTAS DORMITORIO]]=BA$2,100%,AVANCE[[#This Row],[PUERTAS DORMITORIO]])</f>
        <v>0</v>
      </c>
      <c r="CP252" s="3">
        <f>+IF(AVANCE[[#This Row],[REVESTIMIENTO INTERIOR BANO]]=BB$2,100%,AVANCE[[#This Row],[REVESTIMIENTO INTERIOR BANO]])</f>
        <v>0</v>
      </c>
      <c r="CQ252" s="3">
        <f>+IF(AVANCE[[#This Row],[MUEBLE LAVAPLATOS]]=BC$2,100%,AVANCE[[#This Row],[MUEBLE LAVAPLATOS]])</f>
        <v>0</v>
      </c>
      <c r="CR252" s="3">
        <f>+IF(AVANCE[[#This Row],[IMPERMEABILIZACION BANO - COCINA LOGIA]]=BD$2,100%,AVANCE[[#This Row],[IMPERMEABILIZACION BANO - COCINA LOGIA]])</f>
        <v>0</v>
      </c>
      <c r="CS252" s="40">
        <f ca="1">+IF(AVANCE[[#This Row],[ESTADO MODULO]]="PENDIENTE",(TODAY()-AVANCE[[#This Row],[FECHA TERMINO  PLANIFICADO]]),0)</f>
        <v>0</v>
      </c>
      <c r="CT252" s="41" t="str" cm="1">
        <f t="array" ref="CT252">_xlfn.TEXTJOIN(" | ",TRUE,IF(SUMPRODUCT((BG252:CR252&lt;1)*(PARTIDAS!$I$2:$AT$2="OBRA GRUESA"))&gt;0,"OBRA GRUESA: "&amp;_xlfn.TEXTJOIN(", ",TRUE,IF((BG252:CR252&lt;1)*(PARTIDAS!$I$2:$AT$2="OBRA GRUESA"),PARTIDAS!$I$1:$AT$1,"")),""),IF(SUMPRODUCT((BG252:CR252&lt;1)*(PARTIDAS!$I$2:$AT$2="SANITARIOS"))&gt;0,"SANITARIOS: "&amp;_xlfn.TEXTJOIN(", ",TRUE,IF((BG252:CR252&lt;1)*(PARTIDAS!$I$2:$AT$2="SANITARIOS"),PARTIDAS!$I$1:$AT$1,"")),""),IF(SUMPRODUCT((BG252:CR252&lt;1)*(PARTIDAS!$I$2:$AT$2="ELÉCTRICO"))&gt;0,"ELÉCTRICO: "&amp;_xlfn.TEXTJOIN(", ",TRUE,IF((BG252:CR252&lt;1)*(PARTIDAS!$I$2:$AT$2="ELÉCTRICO"),PARTIDAS!$I$1:$AT$1,"")),""),IF(SUMPRODUCT((BG252:CR252&lt;1)*(PARTIDAS!$I$2:$AT$2="TERMINACIONES"))&gt;0,"TERMINACIONES: "&amp;_xlfn.TEXTJOIN(", ",TRUE,IF((BG252:CR252&lt;1)*(PARTIDAS!$I$2:$AT$2="TERMINACIONES"),PARTIDAS!$I$1:$AT$1,"")),""))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2" s="43" t="str" cm="1">
        <f t="array" ref="CU252">_xlfn.TEXTJOIN(", ",TRUE,IF(SUMPRODUCT((BG252:CR252&lt;1)*(PARTIDAS!$I$2:$AT$2="OBRA GRUESA"))&gt;0,"OBRA GRUESA",""),IF(SUMPRODUCT((BG252:CR252&lt;1)*(PARTIDAS!$I$2:$AT$2="SANITARIOS"))&gt;0,"SANITARIOS",""),IF(SUMPRODUCT((BG252:CR252&lt;1)*(PARTIDAS!$I$2:$AT$2="ELÉCTRICO"))&gt;0,"ELÉCTRICO",""),IF(SUMPRODUCT((BG252:CR252&lt;1)*(PARTIDAS!$I$2:$AT$2="TERMINACIONES"))&gt;0,"TERMINACIONES",""))</f>
        <v>OBRA GRUESA, SANITARIOS, ELÉCTRICO, TERMINACIONES</v>
      </c>
      <c r="CV252" s="44" cm="1">
        <f t="array" ref="CV252">SUMPRODUCT(--(BG252:CR252&lt;1))</f>
        <v>38</v>
      </c>
    </row>
    <row r="253" spans="1:100" hidden="1" x14ac:dyDescent="0.25">
      <c r="A253" t="s">
        <v>289</v>
      </c>
      <c r="B253" t="s">
        <v>317</v>
      </c>
      <c r="C253">
        <v>2282600252</v>
      </c>
      <c r="D253" t="s">
        <v>58</v>
      </c>
      <c r="E253" s="2">
        <v>0</v>
      </c>
      <c r="F253" s="1">
        <v>46266</v>
      </c>
      <c r="G253" s="1"/>
      <c r="H253" s="1">
        <v>0</v>
      </c>
      <c r="I253" s="1">
        <v>46286</v>
      </c>
      <c r="J253">
        <v>46230</v>
      </c>
      <c r="K253" s="1"/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>
        <v>28.87</v>
      </c>
      <c r="BF253" s="3" t="str">
        <f>+IF(AVANCE[[#This Row],[% AVANCE]]=100%,"MODULO TERMINADO",IF(AVANCE[[#This Row],[FECHA INICIO REAL]]="","MODULO NO INICIADO","PENDIENTE"))</f>
        <v>MODULO NO INICIADO</v>
      </c>
      <c r="BG253" s="3">
        <f>+IF(AVANCE[[#This Row],[VENTANAS]]=8.10810810810811%,100%,AVANCE[[#This Row],[VENTANAS]])</f>
        <v>0</v>
      </c>
      <c r="BH253" s="3">
        <f>+IF(AVANCE[[#This Row],[PISO]]=N$2,100%,AVANCE[[#This Row],[PISO]])</f>
        <v>0</v>
      </c>
      <c r="BI253" s="3">
        <f>+IF(AVANCE[[#This Row],[TABIQUES]]=O$2,100%,AVANCE[[#This Row],[TABIQUES]])</f>
        <v>0</v>
      </c>
      <c r="BJ253" s="3">
        <f>+IF(AVANCE[[#This Row],[MUROS]]=P$2,100%,AVANCE[[#This Row],[MUROS]])</f>
        <v>0</v>
      </c>
      <c r="BK253" s="3">
        <f>+IF(AVANCE[[#This Row],[CIELO]]=Q$2,100%,AVANCE[[#This Row],[CIELO]])</f>
        <v>0</v>
      </c>
      <c r="BL253" s="3">
        <f>+IF(AVANCE[[#This Row],[BALCÓN]]=R$2,100%,AVANCE[[#This Row],[BALCÓN]])</f>
        <v>0</v>
      </c>
      <c r="BM253" s="3">
        <f>+IF(AVANCE[[#This Row],[RED ALCANTARILLADO]]=U$2,100%,AVANCE[[#This Row],[RED ALCANTARILLADO]])</f>
        <v>0</v>
      </c>
      <c r="BN253" s="3">
        <f>+IF(AVANCE[[#This Row],[RED DE AGUA]]=V$2,100%,AVANCE[[#This Row],[RED DE AGUA]])</f>
        <v>0</v>
      </c>
      <c r="BO253" s="3">
        <f>+IF(AVANCE[[#This Row],[VENTILACIONES]]=W$2,100%,AVANCE[[#This Row],[VENTILACIONES]])</f>
        <v>0</v>
      </c>
      <c r="BP253" s="3">
        <f>+IF(AVANCE[[#This Row],[TINA]]=X$2,100%,AVANCE[[#This Row],[TINA]])</f>
        <v>0</v>
      </c>
      <c r="BQ253" s="3">
        <f>+IF(AVANCE[[#This Row],[WC]]=Y$2,100%,AVANCE[[#This Row],[WC]])</f>
        <v>0</v>
      </c>
      <c r="BR253" s="3">
        <f>+IF(AVANCE[[#This Row],[LAVAMANOS / LAVAPLATOS / LAVADERO]]=Z$2,100%,AVANCE[[#This Row],[LAVAMANOS / LAVAPLATOS / LAVADERO]])</f>
        <v>0</v>
      </c>
      <c r="BS253" s="3">
        <f>+IF(AVANCE[[#This Row],[CANALIZACIÓN]]=AC$2,100%,AVANCE[[#This Row],[CANALIZACIÓN]])</f>
        <v>0</v>
      </c>
      <c r="BT253" s="3">
        <f>+IF(AVANCE[[#This Row],[CABLEADO]]=AD$2,100%,AVANCE[[#This Row],[CABLEADO]])</f>
        <v>0</v>
      </c>
      <c r="BU253" s="3">
        <f>+IF(AVANCE[[#This Row],[ARTEFACTOS]]=AE$2,100%,AVANCE[[#This Row],[ARTEFACTOS]])</f>
        <v>0</v>
      </c>
      <c r="BV253" s="3">
        <f>+IF(AVANCE[[#This Row],[TABLERO]]=AF$2,100%,AVANCE[[#This Row],[TABLERO]])</f>
        <v>0</v>
      </c>
      <c r="BW253" s="3">
        <f>+IF(AVANCE[[#This Row],[CAJA PAU]]=AG$2,100%,AVANCE[[#This Row],[CAJA PAU]])</f>
        <v>0</v>
      </c>
      <c r="BX253" s="3">
        <f>+IF(AVANCE[[#This Row],[INSTALACION VINILICO]]=AJ$2,100%,AVANCE[[#This Row],[INSTALACION VINILICO]])</f>
        <v>0</v>
      </c>
      <c r="BY253" s="3">
        <f>+IF(AVANCE[[#This Row],[OSB CUBIERTA]]=AK$2,100%,AVANCE[[#This Row],[OSB CUBIERTA]])</f>
        <v>0</v>
      </c>
      <c r="BZ253" s="3">
        <f>+IF(AVANCE[[#This Row],[BARANDA BALCON]]=AL$2,100%,AVANCE[[#This Row],[BARANDA BALCON]])</f>
        <v>0</v>
      </c>
      <c r="CA253" s="3">
        <f>+IF(AVANCE[[#This Row],[OSB EXTERIOR]]=AM$2,100%,AVANCE[[#This Row],[OSB EXTERIOR]])</f>
        <v>0</v>
      </c>
      <c r="CB253" s="3">
        <f>+IF(AVANCE[[#This Row],[SMART PANEL]]=AN$2,100%,AVANCE[[#This Row],[SMART PANEL]])</f>
        <v>0</v>
      </c>
      <c r="CC253" s="3">
        <f>+IF(AVANCE[[#This Row],[PINTURA EXTERIOR]]=AO$2,100%,AVANCE[[#This Row],[PINTURA EXTERIOR]])</f>
        <v>0</v>
      </c>
      <c r="CD253" s="3">
        <f>+IF(AVANCE[[#This Row],[ZOCALOS LOGIA]]=AP$2,100%,AVANCE[[#This Row],[ZOCALOS LOGIA]])</f>
        <v>0</v>
      </c>
      <c r="CE253" s="3">
        <f>+IF(AVANCE[[#This Row],[MOLDURAS]]=AQ$2,100%,AVANCE[[#This Row],[MOLDURAS]])</f>
        <v>0</v>
      </c>
      <c r="CF253" s="3">
        <f>+IF(AVANCE[[#This Row],[PILASTREO]]=AR$2,100%,AVANCE[[#This Row],[PILASTREO]])</f>
        <v>0</v>
      </c>
      <c r="CG253" s="3">
        <f>+IF(AVANCE[[#This Row],[CELOSIAS]]=AS$2,100%,AVANCE[[#This Row],[CELOSIAS]])</f>
        <v>0</v>
      </c>
      <c r="CH253" s="3">
        <f>+IF(AVANCE[[#This Row],[VENTANAS]]=AT$2,100%,AVANCE[[#This Row],[VENTANAS]])</f>
        <v>0</v>
      </c>
      <c r="CI253" s="3">
        <f>+IF(AVANCE[[#This Row],[PUERTAS ACCESO - LOGIA - BANO]]=AU$2,100%,AVANCE[[#This Row],[PUERTAS ACCESO - LOGIA - BANO]])</f>
        <v>0</v>
      </c>
      <c r="CJ253" s="3">
        <f>+IF(AVANCE[[#This Row],[CERRADURAS]]=AV$2,100%,AVANCE[[#This Row],[CERRADURAS]])</f>
        <v>0</v>
      </c>
      <c r="CK253" s="3">
        <f>+IF(AVANCE[[#This Row],[REVESTIMIENTO INTERIOR ZONA SECA]]=AW$2,100%,AVANCE[[#This Row],[REVESTIMIENTO INTERIOR ZONA SECA]])</f>
        <v>0</v>
      </c>
      <c r="CL253" s="3">
        <f>+IF(AVANCE[[#This Row],[REVESTIMIENTO INTERIOR ZONAS HUMEDAS]]=AX$2,100%,AVANCE[[#This Row],[REVESTIMIENTO INTERIOR ZONAS HUMEDAS]])</f>
        <v>0</v>
      </c>
      <c r="CM253" s="3">
        <f>+IF(AVANCE[[#This Row],[MEMBRANA CIELO]]=AY$2,100%,AVANCE[[#This Row],[MEMBRANA CIELO]])</f>
        <v>0</v>
      </c>
      <c r="CN253" s="3">
        <f>+IF(AVANCE[[#This Row],[LIMPIEZA FINAL]]=AZ$2,100%,AVANCE[[#This Row],[LIMPIEZA FINAL]])</f>
        <v>0</v>
      </c>
      <c r="CO253" s="3">
        <f>+IF(AVANCE[[#This Row],[PUERTAS DORMITORIO]]=BA$2,100%,AVANCE[[#This Row],[PUERTAS DORMITORIO]])</f>
        <v>0</v>
      </c>
      <c r="CP253" s="3">
        <f>+IF(AVANCE[[#This Row],[REVESTIMIENTO INTERIOR BANO]]=BB$2,100%,AVANCE[[#This Row],[REVESTIMIENTO INTERIOR BANO]])</f>
        <v>0</v>
      </c>
      <c r="CQ253" s="3">
        <f>+IF(AVANCE[[#This Row],[MUEBLE LAVAPLATOS]]=BC$2,100%,AVANCE[[#This Row],[MUEBLE LAVAPLATOS]])</f>
        <v>0</v>
      </c>
      <c r="CR253" s="3">
        <f>+IF(AVANCE[[#This Row],[IMPERMEABILIZACION BANO - COCINA LOGIA]]=BD$2,100%,AVANCE[[#This Row],[IMPERMEABILIZACION BANO - COCINA LOGIA]])</f>
        <v>0</v>
      </c>
      <c r="CS253" s="40">
        <f ca="1">+IF(AVANCE[[#This Row],[ESTADO MODULO]]="PENDIENTE",(TODAY()-AVANCE[[#This Row],[FECHA TERMINO  PLANIFICADO]]),0)</f>
        <v>0</v>
      </c>
      <c r="CT253" s="41" t="str" cm="1">
        <f t="array" ref="CT253">_xlfn.TEXTJOIN(" | ",TRUE,IF(SUMPRODUCT((BG253:CR253&lt;1)*(PARTIDAS!$I$2:$AT$2="OBRA GRUESA"))&gt;0,"OBRA GRUESA: "&amp;_xlfn.TEXTJOIN(", ",TRUE,IF((BG253:CR253&lt;1)*(PARTIDAS!$I$2:$AT$2="OBRA GRUESA"),PARTIDAS!$I$1:$AT$1,"")),""),IF(SUMPRODUCT((BG253:CR253&lt;1)*(PARTIDAS!$I$2:$AT$2="SANITARIOS"))&gt;0,"SANITARIOS: "&amp;_xlfn.TEXTJOIN(", ",TRUE,IF((BG253:CR253&lt;1)*(PARTIDAS!$I$2:$AT$2="SANITARIOS"),PARTIDAS!$I$1:$AT$1,"")),""),IF(SUMPRODUCT((BG253:CR253&lt;1)*(PARTIDAS!$I$2:$AT$2="ELÉCTRICO"))&gt;0,"ELÉCTRICO: "&amp;_xlfn.TEXTJOIN(", ",TRUE,IF((BG253:CR253&lt;1)*(PARTIDAS!$I$2:$AT$2="ELÉCTRICO"),PARTIDAS!$I$1:$AT$1,"")),""),IF(SUMPRODUCT((BG253:CR253&lt;1)*(PARTIDAS!$I$2:$AT$2="TERMINACIONES"))&gt;0,"TERMINACIONES: "&amp;_xlfn.TEXTJOIN(", ",TRUE,IF((BG253:CR253&lt;1)*(PARTIDAS!$I$2:$AT$2="TERMINACIONES"),PARTIDAS!$I$1:$AT$1,"")),""))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3" s="43" t="str" cm="1">
        <f t="array" ref="CU253">_xlfn.TEXTJOIN(", ",TRUE,IF(SUMPRODUCT((BG253:CR253&lt;1)*(PARTIDAS!$I$2:$AT$2="OBRA GRUESA"))&gt;0,"OBRA GRUESA",""),IF(SUMPRODUCT((BG253:CR253&lt;1)*(PARTIDAS!$I$2:$AT$2="SANITARIOS"))&gt;0,"SANITARIOS",""),IF(SUMPRODUCT((BG253:CR253&lt;1)*(PARTIDAS!$I$2:$AT$2="ELÉCTRICO"))&gt;0,"ELÉCTRICO",""),IF(SUMPRODUCT((BG253:CR253&lt;1)*(PARTIDAS!$I$2:$AT$2="TERMINACIONES"))&gt;0,"TERMINACIONES",""))</f>
        <v>OBRA GRUESA, SANITARIOS, ELÉCTRICO, TERMINACIONES</v>
      </c>
      <c r="CV253" s="44" cm="1">
        <f t="array" ref="CV253">SUMPRODUCT(--(BG253:CR253&lt;1))</f>
        <v>38</v>
      </c>
    </row>
    <row r="254" spans="1:100" hidden="1" x14ac:dyDescent="0.25">
      <c r="A254" t="s">
        <v>289</v>
      </c>
      <c r="B254" t="s">
        <v>318</v>
      </c>
      <c r="C254">
        <v>2282600253</v>
      </c>
      <c r="D254" t="s">
        <v>58</v>
      </c>
      <c r="E254" s="2">
        <v>0</v>
      </c>
      <c r="F254" s="1">
        <v>46266</v>
      </c>
      <c r="G254" s="1"/>
      <c r="H254" s="1">
        <v>0</v>
      </c>
      <c r="I254" s="1">
        <v>46286</v>
      </c>
      <c r="J254">
        <v>46230</v>
      </c>
      <c r="K254" s="1"/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>
        <v>28.87</v>
      </c>
      <c r="BF254" s="3" t="str">
        <f>+IF(AVANCE[[#This Row],[% AVANCE]]=100%,"MODULO TERMINADO",IF(AVANCE[[#This Row],[FECHA INICIO REAL]]="","MODULO NO INICIADO","PENDIENTE"))</f>
        <v>MODULO NO INICIADO</v>
      </c>
      <c r="BG254" s="3">
        <f>+IF(AVANCE[[#This Row],[VENTANAS]]=8.10810810810811%,100%,AVANCE[[#This Row],[VENTANAS]])</f>
        <v>0</v>
      </c>
      <c r="BH254" s="3">
        <f>+IF(AVANCE[[#This Row],[PISO]]=N$2,100%,AVANCE[[#This Row],[PISO]])</f>
        <v>0</v>
      </c>
      <c r="BI254" s="3">
        <f>+IF(AVANCE[[#This Row],[TABIQUES]]=O$2,100%,AVANCE[[#This Row],[TABIQUES]])</f>
        <v>0</v>
      </c>
      <c r="BJ254" s="3">
        <f>+IF(AVANCE[[#This Row],[MUROS]]=P$2,100%,AVANCE[[#This Row],[MUROS]])</f>
        <v>0</v>
      </c>
      <c r="BK254" s="3">
        <f>+IF(AVANCE[[#This Row],[CIELO]]=Q$2,100%,AVANCE[[#This Row],[CIELO]])</f>
        <v>0</v>
      </c>
      <c r="BL254" s="3">
        <f>+IF(AVANCE[[#This Row],[BALCÓN]]=R$2,100%,AVANCE[[#This Row],[BALCÓN]])</f>
        <v>0</v>
      </c>
      <c r="BM254" s="3">
        <f>+IF(AVANCE[[#This Row],[RED ALCANTARILLADO]]=U$2,100%,AVANCE[[#This Row],[RED ALCANTARILLADO]])</f>
        <v>0</v>
      </c>
      <c r="BN254" s="3">
        <f>+IF(AVANCE[[#This Row],[RED DE AGUA]]=V$2,100%,AVANCE[[#This Row],[RED DE AGUA]])</f>
        <v>0</v>
      </c>
      <c r="BO254" s="3">
        <f>+IF(AVANCE[[#This Row],[VENTILACIONES]]=W$2,100%,AVANCE[[#This Row],[VENTILACIONES]])</f>
        <v>0</v>
      </c>
      <c r="BP254" s="3">
        <f>+IF(AVANCE[[#This Row],[TINA]]=X$2,100%,AVANCE[[#This Row],[TINA]])</f>
        <v>0</v>
      </c>
      <c r="BQ254" s="3">
        <f>+IF(AVANCE[[#This Row],[WC]]=Y$2,100%,AVANCE[[#This Row],[WC]])</f>
        <v>0</v>
      </c>
      <c r="BR254" s="3">
        <f>+IF(AVANCE[[#This Row],[LAVAMANOS / LAVAPLATOS / LAVADERO]]=Z$2,100%,AVANCE[[#This Row],[LAVAMANOS / LAVAPLATOS / LAVADERO]])</f>
        <v>0</v>
      </c>
      <c r="BS254" s="3">
        <f>+IF(AVANCE[[#This Row],[CANALIZACIÓN]]=AC$2,100%,AVANCE[[#This Row],[CANALIZACIÓN]])</f>
        <v>0</v>
      </c>
      <c r="BT254" s="3">
        <f>+IF(AVANCE[[#This Row],[CABLEADO]]=AD$2,100%,AVANCE[[#This Row],[CABLEADO]])</f>
        <v>0</v>
      </c>
      <c r="BU254" s="3">
        <f>+IF(AVANCE[[#This Row],[ARTEFACTOS]]=AE$2,100%,AVANCE[[#This Row],[ARTEFACTOS]])</f>
        <v>0</v>
      </c>
      <c r="BV254" s="3">
        <f>+IF(AVANCE[[#This Row],[TABLERO]]=AF$2,100%,AVANCE[[#This Row],[TABLERO]])</f>
        <v>0</v>
      </c>
      <c r="BW254" s="3">
        <f>+IF(AVANCE[[#This Row],[CAJA PAU]]=AG$2,100%,AVANCE[[#This Row],[CAJA PAU]])</f>
        <v>0</v>
      </c>
      <c r="BX254" s="3">
        <f>+IF(AVANCE[[#This Row],[INSTALACION VINILICO]]=AJ$2,100%,AVANCE[[#This Row],[INSTALACION VINILICO]])</f>
        <v>0</v>
      </c>
      <c r="BY254" s="3">
        <f>+IF(AVANCE[[#This Row],[OSB CUBIERTA]]=AK$2,100%,AVANCE[[#This Row],[OSB CUBIERTA]])</f>
        <v>0</v>
      </c>
      <c r="BZ254" s="3">
        <f>+IF(AVANCE[[#This Row],[BARANDA BALCON]]=AL$2,100%,AVANCE[[#This Row],[BARANDA BALCON]])</f>
        <v>0</v>
      </c>
      <c r="CA254" s="3">
        <f>+IF(AVANCE[[#This Row],[OSB EXTERIOR]]=AM$2,100%,AVANCE[[#This Row],[OSB EXTERIOR]])</f>
        <v>0</v>
      </c>
      <c r="CB254" s="3">
        <f>+IF(AVANCE[[#This Row],[SMART PANEL]]=AN$2,100%,AVANCE[[#This Row],[SMART PANEL]])</f>
        <v>0</v>
      </c>
      <c r="CC254" s="3">
        <f>+IF(AVANCE[[#This Row],[PINTURA EXTERIOR]]=AO$2,100%,AVANCE[[#This Row],[PINTURA EXTERIOR]])</f>
        <v>0</v>
      </c>
      <c r="CD254" s="3">
        <f>+IF(AVANCE[[#This Row],[ZOCALOS LOGIA]]=AP$2,100%,AVANCE[[#This Row],[ZOCALOS LOGIA]])</f>
        <v>0</v>
      </c>
      <c r="CE254" s="3">
        <f>+IF(AVANCE[[#This Row],[MOLDURAS]]=AQ$2,100%,AVANCE[[#This Row],[MOLDURAS]])</f>
        <v>0</v>
      </c>
      <c r="CF254" s="3">
        <f>+IF(AVANCE[[#This Row],[PILASTREO]]=AR$2,100%,AVANCE[[#This Row],[PILASTREO]])</f>
        <v>0</v>
      </c>
      <c r="CG254" s="3">
        <f>+IF(AVANCE[[#This Row],[CELOSIAS]]=AS$2,100%,AVANCE[[#This Row],[CELOSIAS]])</f>
        <v>0</v>
      </c>
      <c r="CH254" s="3">
        <f>+IF(AVANCE[[#This Row],[VENTANAS]]=AT$2,100%,AVANCE[[#This Row],[VENTANAS]])</f>
        <v>0</v>
      </c>
      <c r="CI254" s="3">
        <f>+IF(AVANCE[[#This Row],[PUERTAS ACCESO - LOGIA - BANO]]=AU$2,100%,AVANCE[[#This Row],[PUERTAS ACCESO - LOGIA - BANO]])</f>
        <v>0</v>
      </c>
      <c r="CJ254" s="3">
        <f>+IF(AVANCE[[#This Row],[CERRADURAS]]=AV$2,100%,AVANCE[[#This Row],[CERRADURAS]])</f>
        <v>0</v>
      </c>
      <c r="CK254" s="3">
        <f>+IF(AVANCE[[#This Row],[REVESTIMIENTO INTERIOR ZONA SECA]]=AW$2,100%,AVANCE[[#This Row],[REVESTIMIENTO INTERIOR ZONA SECA]])</f>
        <v>0</v>
      </c>
      <c r="CL254" s="3">
        <f>+IF(AVANCE[[#This Row],[REVESTIMIENTO INTERIOR ZONAS HUMEDAS]]=AX$2,100%,AVANCE[[#This Row],[REVESTIMIENTO INTERIOR ZONAS HUMEDAS]])</f>
        <v>0</v>
      </c>
      <c r="CM254" s="3">
        <f>+IF(AVANCE[[#This Row],[MEMBRANA CIELO]]=AY$2,100%,AVANCE[[#This Row],[MEMBRANA CIELO]])</f>
        <v>0</v>
      </c>
      <c r="CN254" s="3">
        <f>+IF(AVANCE[[#This Row],[LIMPIEZA FINAL]]=AZ$2,100%,AVANCE[[#This Row],[LIMPIEZA FINAL]])</f>
        <v>0</v>
      </c>
      <c r="CO254" s="3">
        <f>+IF(AVANCE[[#This Row],[PUERTAS DORMITORIO]]=BA$2,100%,AVANCE[[#This Row],[PUERTAS DORMITORIO]])</f>
        <v>0</v>
      </c>
      <c r="CP254" s="3">
        <f>+IF(AVANCE[[#This Row],[REVESTIMIENTO INTERIOR BANO]]=BB$2,100%,AVANCE[[#This Row],[REVESTIMIENTO INTERIOR BANO]])</f>
        <v>0</v>
      </c>
      <c r="CQ254" s="3">
        <f>+IF(AVANCE[[#This Row],[MUEBLE LAVAPLATOS]]=BC$2,100%,AVANCE[[#This Row],[MUEBLE LAVAPLATOS]])</f>
        <v>0</v>
      </c>
      <c r="CR254" s="3">
        <f>+IF(AVANCE[[#This Row],[IMPERMEABILIZACION BANO - COCINA LOGIA]]=BD$2,100%,AVANCE[[#This Row],[IMPERMEABILIZACION BANO - COCINA LOGIA]])</f>
        <v>0</v>
      </c>
      <c r="CS254" s="40">
        <f ca="1">+IF(AVANCE[[#This Row],[ESTADO MODULO]]="PENDIENTE",(TODAY()-AVANCE[[#This Row],[FECHA TERMINO  PLANIFICADO]]),0)</f>
        <v>0</v>
      </c>
      <c r="CT254" s="41" t="str" cm="1">
        <f t="array" ref="CT254">_xlfn.TEXTJOIN(" | ",TRUE,IF(SUMPRODUCT((BG254:CR254&lt;1)*(PARTIDAS!$I$2:$AT$2="OBRA GRUESA"))&gt;0,"OBRA GRUESA: "&amp;_xlfn.TEXTJOIN(", ",TRUE,IF((BG254:CR254&lt;1)*(PARTIDAS!$I$2:$AT$2="OBRA GRUESA"),PARTIDAS!$I$1:$AT$1,"")),""),IF(SUMPRODUCT((BG254:CR254&lt;1)*(PARTIDAS!$I$2:$AT$2="SANITARIOS"))&gt;0,"SANITARIOS: "&amp;_xlfn.TEXTJOIN(", ",TRUE,IF((BG254:CR254&lt;1)*(PARTIDAS!$I$2:$AT$2="SANITARIOS"),PARTIDAS!$I$1:$AT$1,"")),""),IF(SUMPRODUCT((BG254:CR254&lt;1)*(PARTIDAS!$I$2:$AT$2="ELÉCTRICO"))&gt;0,"ELÉCTRICO: "&amp;_xlfn.TEXTJOIN(", ",TRUE,IF((BG254:CR254&lt;1)*(PARTIDAS!$I$2:$AT$2="ELÉCTRICO"),PARTIDAS!$I$1:$AT$1,"")),""),IF(SUMPRODUCT((BG254:CR254&lt;1)*(PARTIDAS!$I$2:$AT$2="TERMINACIONES"))&gt;0,"TERMINACIONES: "&amp;_xlfn.TEXTJOIN(", ",TRUE,IF((BG254:CR254&lt;1)*(PARTIDAS!$I$2:$AT$2="TERMINACIONES"),PARTIDAS!$I$1:$AT$1,"")),""))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4" s="43" t="str" cm="1">
        <f t="array" ref="CU254">_xlfn.TEXTJOIN(", ",TRUE,IF(SUMPRODUCT((BG254:CR254&lt;1)*(PARTIDAS!$I$2:$AT$2="OBRA GRUESA"))&gt;0,"OBRA GRUESA",""),IF(SUMPRODUCT((BG254:CR254&lt;1)*(PARTIDAS!$I$2:$AT$2="SANITARIOS"))&gt;0,"SANITARIOS",""),IF(SUMPRODUCT((BG254:CR254&lt;1)*(PARTIDAS!$I$2:$AT$2="ELÉCTRICO"))&gt;0,"ELÉCTRICO",""),IF(SUMPRODUCT((BG254:CR254&lt;1)*(PARTIDAS!$I$2:$AT$2="TERMINACIONES"))&gt;0,"TERMINACIONES",""))</f>
        <v>OBRA GRUESA, SANITARIOS, ELÉCTRICO, TERMINACIONES</v>
      </c>
      <c r="CV254" s="44" cm="1">
        <f t="array" ref="CV254">SUMPRODUCT(--(BG254:CR254&lt;1))</f>
        <v>38</v>
      </c>
    </row>
    <row r="255" spans="1:100" hidden="1" x14ac:dyDescent="0.25">
      <c r="A255" t="s">
        <v>289</v>
      </c>
      <c r="B255" t="s">
        <v>319</v>
      </c>
      <c r="C255">
        <v>2302600254</v>
      </c>
      <c r="D255" t="s">
        <v>60</v>
      </c>
      <c r="E255" s="2">
        <v>0</v>
      </c>
      <c r="F255" s="1">
        <v>46267</v>
      </c>
      <c r="G255" s="1"/>
      <c r="H255" s="1">
        <v>0</v>
      </c>
      <c r="I255" s="1">
        <v>46297</v>
      </c>
      <c r="J255">
        <v>46230</v>
      </c>
      <c r="K255" s="1"/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>
        <v>31.32</v>
      </c>
      <c r="BF255" s="3" t="str">
        <f>+IF(AVANCE[[#This Row],[% AVANCE]]=100%,"MODULO TERMINADO",IF(AVANCE[[#This Row],[FECHA INICIO REAL]]="","MODULO NO INICIADO","PENDIENTE"))</f>
        <v>MODULO NO INICIADO</v>
      </c>
      <c r="BG255" s="3">
        <f>+IF(AVANCE[[#This Row],[VENTANAS]]=8.10810810810811%,100%,AVANCE[[#This Row],[VENTANAS]])</f>
        <v>0</v>
      </c>
      <c r="BH255" s="3">
        <f>+IF(AVANCE[[#This Row],[PISO]]=N$2,100%,AVANCE[[#This Row],[PISO]])</f>
        <v>0</v>
      </c>
      <c r="BI255" s="3">
        <f>+IF(AVANCE[[#This Row],[TABIQUES]]=O$2,100%,AVANCE[[#This Row],[TABIQUES]])</f>
        <v>0</v>
      </c>
      <c r="BJ255" s="3">
        <f>+IF(AVANCE[[#This Row],[MUROS]]=P$2,100%,AVANCE[[#This Row],[MUROS]])</f>
        <v>0</v>
      </c>
      <c r="BK255" s="3">
        <f>+IF(AVANCE[[#This Row],[CIELO]]=Q$2,100%,AVANCE[[#This Row],[CIELO]])</f>
        <v>0</v>
      </c>
      <c r="BL255" s="3">
        <f>+IF(AVANCE[[#This Row],[BALCÓN]]=R$2,100%,AVANCE[[#This Row],[BALCÓN]])</f>
        <v>0</v>
      </c>
      <c r="BM255" s="3">
        <f>+IF(AVANCE[[#This Row],[RED ALCANTARILLADO]]=U$2,100%,AVANCE[[#This Row],[RED ALCANTARILLADO]])</f>
        <v>0</v>
      </c>
      <c r="BN255" s="3">
        <f>+IF(AVANCE[[#This Row],[RED DE AGUA]]=V$2,100%,AVANCE[[#This Row],[RED DE AGUA]])</f>
        <v>0</v>
      </c>
      <c r="BO255" s="3">
        <f>+IF(AVANCE[[#This Row],[VENTILACIONES]]=W$2,100%,AVANCE[[#This Row],[VENTILACIONES]])</f>
        <v>0</v>
      </c>
      <c r="BP255" s="3">
        <f>+IF(AVANCE[[#This Row],[TINA]]=X$2,100%,AVANCE[[#This Row],[TINA]])</f>
        <v>0</v>
      </c>
      <c r="BQ255" s="3">
        <f>+IF(AVANCE[[#This Row],[WC]]=Y$2,100%,AVANCE[[#This Row],[WC]])</f>
        <v>0</v>
      </c>
      <c r="BR255" s="3">
        <f>+IF(AVANCE[[#This Row],[LAVAMANOS / LAVAPLATOS / LAVADERO]]=Z$2,100%,AVANCE[[#This Row],[LAVAMANOS / LAVAPLATOS / LAVADERO]])</f>
        <v>0</v>
      </c>
      <c r="BS255" s="3">
        <f>+IF(AVANCE[[#This Row],[CANALIZACIÓN]]=AC$2,100%,AVANCE[[#This Row],[CANALIZACIÓN]])</f>
        <v>0</v>
      </c>
      <c r="BT255" s="3">
        <f>+IF(AVANCE[[#This Row],[CABLEADO]]=AD$2,100%,AVANCE[[#This Row],[CABLEADO]])</f>
        <v>0</v>
      </c>
      <c r="BU255" s="3">
        <f>+IF(AVANCE[[#This Row],[ARTEFACTOS]]=AE$2,100%,AVANCE[[#This Row],[ARTEFACTOS]])</f>
        <v>0</v>
      </c>
      <c r="BV255" s="3">
        <f>+IF(AVANCE[[#This Row],[TABLERO]]=AF$2,100%,AVANCE[[#This Row],[TABLERO]])</f>
        <v>0</v>
      </c>
      <c r="BW255" s="3">
        <f>+IF(AVANCE[[#This Row],[CAJA PAU]]=AG$2,100%,AVANCE[[#This Row],[CAJA PAU]])</f>
        <v>0</v>
      </c>
      <c r="BX255" s="3">
        <f>+IF(AVANCE[[#This Row],[INSTALACION VINILICO]]=AJ$2,100%,AVANCE[[#This Row],[INSTALACION VINILICO]])</f>
        <v>0</v>
      </c>
      <c r="BY255" s="3">
        <f>+IF(AVANCE[[#This Row],[OSB CUBIERTA]]=AK$2,100%,AVANCE[[#This Row],[OSB CUBIERTA]])</f>
        <v>0</v>
      </c>
      <c r="BZ255" s="3">
        <f>+IF(AVANCE[[#This Row],[BARANDA BALCON]]=AL$2,100%,AVANCE[[#This Row],[BARANDA BALCON]])</f>
        <v>0</v>
      </c>
      <c r="CA255" s="3">
        <f>+IF(AVANCE[[#This Row],[OSB EXTERIOR]]=AM$2,100%,AVANCE[[#This Row],[OSB EXTERIOR]])</f>
        <v>0</v>
      </c>
      <c r="CB255" s="3">
        <f>+IF(AVANCE[[#This Row],[SMART PANEL]]=AN$2,100%,AVANCE[[#This Row],[SMART PANEL]])</f>
        <v>0</v>
      </c>
      <c r="CC255" s="3">
        <f>+IF(AVANCE[[#This Row],[PINTURA EXTERIOR]]=AO$2,100%,AVANCE[[#This Row],[PINTURA EXTERIOR]])</f>
        <v>0</v>
      </c>
      <c r="CD255" s="3">
        <f>+IF(AVANCE[[#This Row],[ZOCALOS LOGIA]]=AP$2,100%,AVANCE[[#This Row],[ZOCALOS LOGIA]])</f>
        <v>0</v>
      </c>
      <c r="CE255" s="3">
        <f>+IF(AVANCE[[#This Row],[MOLDURAS]]=AQ$2,100%,AVANCE[[#This Row],[MOLDURAS]])</f>
        <v>0</v>
      </c>
      <c r="CF255" s="3">
        <f>+IF(AVANCE[[#This Row],[PILASTREO]]=AR$2,100%,AVANCE[[#This Row],[PILASTREO]])</f>
        <v>0</v>
      </c>
      <c r="CG255" s="3">
        <f>+IF(AVANCE[[#This Row],[CELOSIAS]]=AS$2,100%,AVANCE[[#This Row],[CELOSIAS]])</f>
        <v>0</v>
      </c>
      <c r="CH255" s="3">
        <f>+IF(AVANCE[[#This Row],[VENTANAS]]=AT$2,100%,AVANCE[[#This Row],[VENTANAS]])</f>
        <v>0</v>
      </c>
      <c r="CI255" s="3">
        <f>+IF(AVANCE[[#This Row],[PUERTAS ACCESO - LOGIA - BANO]]=AU$2,100%,AVANCE[[#This Row],[PUERTAS ACCESO - LOGIA - BANO]])</f>
        <v>0</v>
      </c>
      <c r="CJ255" s="3">
        <f>+IF(AVANCE[[#This Row],[CERRADURAS]]=AV$2,100%,AVANCE[[#This Row],[CERRADURAS]])</f>
        <v>0</v>
      </c>
      <c r="CK255" s="3">
        <f>+IF(AVANCE[[#This Row],[REVESTIMIENTO INTERIOR ZONA SECA]]=AW$2,100%,AVANCE[[#This Row],[REVESTIMIENTO INTERIOR ZONA SECA]])</f>
        <v>0</v>
      </c>
      <c r="CL255" s="3">
        <f>+IF(AVANCE[[#This Row],[REVESTIMIENTO INTERIOR ZONAS HUMEDAS]]=AX$2,100%,AVANCE[[#This Row],[REVESTIMIENTO INTERIOR ZONAS HUMEDAS]])</f>
        <v>0</v>
      </c>
      <c r="CM255" s="3">
        <f>+IF(AVANCE[[#This Row],[MEMBRANA CIELO]]=AY$2,100%,AVANCE[[#This Row],[MEMBRANA CIELO]])</f>
        <v>0</v>
      </c>
      <c r="CN255" s="3">
        <f>+IF(AVANCE[[#This Row],[LIMPIEZA FINAL]]=AZ$2,100%,AVANCE[[#This Row],[LIMPIEZA FINAL]])</f>
        <v>0</v>
      </c>
      <c r="CO255" s="3">
        <f>+IF(AVANCE[[#This Row],[PUERTAS DORMITORIO]]=BA$2,100%,AVANCE[[#This Row],[PUERTAS DORMITORIO]])</f>
        <v>0</v>
      </c>
      <c r="CP255" s="3">
        <f>+IF(AVANCE[[#This Row],[REVESTIMIENTO INTERIOR BANO]]=BB$2,100%,AVANCE[[#This Row],[REVESTIMIENTO INTERIOR BANO]])</f>
        <v>0</v>
      </c>
      <c r="CQ255" s="3">
        <f>+IF(AVANCE[[#This Row],[MUEBLE LAVAPLATOS]]=BC$2,100%,AVANCE[[#This Row],[MUEBLE LAVAPLATOS]])</f>
        <v>0</v>
      </c>
      <c r="CR255" s="3">
        <f>+IF(AVANCE[[#This Row],[IMPERMEABILIZACION BANO - COCINA LOGIA]]=BD$2,100%,AVANCE[[#This Row],[IMPERMEABILIZACION BANO - COCINA LOGIA]])</f>
        <v>0</v>
      </c>
      <c r="CS255" s="40">
        <f ca="1">+IF(AVANCE[[#This Row],[ESTADO MODULO]]="PENDIENTE",(TODAY()-AVANCE[[#This Row],[FECHA TERMINO  PLANIFICADO]]),0)</f>
        <v>0</v>
      </c>
      <c r="CT255" s="41" t="str" cm="1">
        <f t="array" ref="CT255">_xlfn.TEXTJOIN(" | ",TRUE,IF(SUMPRODUCT((BG255:CR255&lt;1)*(PARTIDAS!$I$2:$AT$2="OBRA GRUESA"))&gt;0,"OBRA GRUESA: "&amp;_xlfn.TEXTJOIN(", ",TRUE,IF((BG255:CR255&lt;1)*(PARTIDAS!$I$2:$AT$2="OBRA GRUESA"),PARTIDAS!$I$1:$AT$1,"")),""),IF(SUMPRODUCT((BG255:CR255&lt;1)*(PARTIDAS!$I$2:$AT$2="SANITARIOS"))&gt;0,"SANITARIOS: "&amp;_xlfn.TEXTJOIN(", ",TRUE,IF((BG255:CR255&lt;1)*(PARTIDAS!$I$2:$AT$2="SANITARIOS"),PARTIDAS!$I$1:$AT$1,"")),""),IF(SUMPRODUCT((BG255:CR255&lt;1)*(PARTIDAS!$I$2:$AT$2="ELÉCTRICO"))&gt;0,"ELÉCTRICO: "&amp;_xlfn.TEXTJOIN(", ",TRUE,IF((BG255:CR255&lt;1)*(PARTIDAS!$I$2:$AT$2="ELÉCTRICO"),PARTIDAS!$I$1:$AT$1,"")),""),IF(SUMPRODUCT((BG255:CR255&lt;1)*(PARTIDAS!$I$2:$AT$2="TERMINACIONES"))&gt;0,"TERMINACIONES: "&amp;_xlfn.TEXTJOIN(", ",TRUE,IF((BG255:CR255&lt;1)*(PARTIDAS!$I$2:$AT$2="TERMINACIONES"),PARTIDAS!$I$1:$AT$1,"")),""))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5" s="43" t="str" cm="1">
        <f t="array" ref="CU255">_xlfn.TEXTJOIN(", ",TRUE,IF(SUMPRODUCT((BG255:CR255&lt;1)*(PARTIDAS!$I$2:$AT$2="OBRA GRUESA"))&gt;0,"OBRA GRUESA",""),IF(SUMPRODUCT((BG255:CR255&lt;1)*(PARTIDAS!$I$2:$AT$2="SANITARIOS"))&gt;0,"SANITARIOS",""),IF(SUMPRODUCT((BG255:CR255&lt;1)*(PARTIDAS!$I$2:$AT$2="ELÉCTRICO"))&gt;0,"ELÉCTRICO",""),IF(SUMPRODUCT((BG255:CR255&lt;1)*(PARTIDAS!$I$2:$AT$2="TERMINACIONES"))&gt;0,"TERMINACIONES",""))</f>
        <v>OBRA GRUESA, SANITARIOS, ELÉCTRICO, TERMINACIONES</v>
      </c>
      <c r="CV255" s="44" cm="1">
        <f t="array" ref="CV255">SUMPRODUCT(--(BG255:CR255&lt;1))</f>
        <v>38</v>
      </c>
    </row>
    <row r="256" spans="1:100" hidden="1" x14ac:dyDescent="0.25">
      <c r="A256" t="s">
        <v>289</v>
      </c>
      <c r="B256" t="s">
        <v>320</v>
      </c>
      <c r="C256">
        <v>2302600255</v>
      </c>
      <c r="D256" t="s">
        <v>60</v>
      </c>
      <c r="E256" s="2">
        <v>0</v>
      </c>
      <c r="F256" s="1">
        <v>46267</v>
      </c>
      <c r="G256" s="1"/>
      <c r="H256" s="1">
        <v>0</v>
      </c>
      <c r="I256" s="1">
        <v>46297</v>
      </c>
      <c r="J256">
        <v>46230</v>
      </c>
      <c r="K256" s="1"/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>
        <v>31.32</v>
      </c>
      <c r="BF256" s="3" t="str">
        <f>+IF(AVANCE[[#This Row],[% AVANCE]]=100%,"MODULO TERMINADO",IF(AVANCE[[#This Row],[FECHA INICIO REAL]]="","MODULO NO INICIADO","PENDIENTE"))</f>
        <v>MODULO NO INICIADO</v>
      </c>
      <c r="BG256" s="3">
        <f>+IF(AVANCE[[#This Row],[VENTANAS]]=8.10810810810811%,100%,AVANCE[[#This Row],[VENTANAS]])</f>
        <v>0</v>
      </c>
      <c r="BH256" s="3">
        <f>+IF(AVANCE[[#This Row],[PISO]]=N$2,100%,AVANCE[[#This Row],[PISO]])</f>
        <v>0</v>
      </c>
      <c r="BI256" s="3">
        <f>+IF(AVANCE[[#This Row],[TABIQUES]]=O$2,100%,AVANCE[[#This Row],[TABIQUES]])</f>
        <v>0</v>
      </c>
      <c r="BJ256" s="3">
        <f>+IF(AVANCE[[#This Row],[MUROS]]=P$2,100%,AVANCE[[#This Row],[MUROS]])</f>
        <v>0</v>
      </c>
      <c r="BK256" s="3">
        <f>+IF(AVANCE[[#This Row],[CIELO]]=Q$2,100%,AVANCE[[#This Row],[CIELO]])</f>
        <v>0</v>
      </c>
      <c r="BL256" s="3">
        <f>+IF(AVANCE[[#This Row],[BALCÓN]]=R$2,100%,AVANCE[[#This Row],[BALCÓN]])</f>
        <v>0</v>
      </c>
      <c r="BM256" s="3">
        <f>+IF(AVANCE[[#This Row],[RED ALCANTARILLADO]]=U$2,100%,AVANCE[[#This Row],[RED ALCANTARILLADO]])</f>
        <v>0</v>
      </c>
      <c r="BN256" s="3">
        <f>+IF(AVANCE[[#This Row],[RED DE AGUA]]=V$2,100%,AVANCE[[#This Row],[RED DE AGUA]])</f>
        <v>0</v>
      </c>
      <c r="BO256" s="3">
        <f>+IF(AVANCE[[#This Row],[VENTILACIONES]]=W$2,100%,AVANCE[[#This Row],[VENTILACIONES]])</f>
        <v>0</v>
      </c>
      <c r="BP256" s="3">
        <f>+IF(AVANCE[[#This Row],[TINA]]=X$2,100%,AVANCE[[#This Row],[TINA]])</f>
        <v>0</v>
      </c>
      <c r="BQ256" s="3">
        <f>+IF(AVANCE[[#This Row],[WC]]=Y$2,100%,AVANCE[[#This Row],[WC]])</f>
        <v>0</v>
      </c>
      <c r="BR256" s="3">
        <f>+IF(AVANCE[[#This Row],[LAVAMANOS / LAVAPLATOS / LAVADERO]]=Z$2,100%,AVANCE[[#This Row],[LAVAMANOS / LAVAPLATOS / LAVADERO]])</f>
        <v>0</v>
      </c>
      <c r="BS256" s="3">
        <f>+IF(AVANCE[[#This Row],[CANALIZACIÓN]]=AC$2,100%,AVANCE[[#This Row],[CANALIZACIÓN]])</f>
        <v>0</v>
      </c>
      <c r="BT256" s="3">
        <f>+IF(AVANCE[[#This Row],[CABLEADO]]=AD$2,100%,AVANCE[[#This Row],[CABLEADO]])</f>
        <v>0</v>
      </c>
      <c r="BU256" s="3">
        <f>+IF(AVANCE[[#This Row],[ARTEFACTOS]]=AE$2,100%,AVANCE[[#This Row],[ARTEFACTOS]])</f>
        <v>0</v>
      </c>
      <c r="BV256" s="3">
        <f>+IF(AVANCE[[#This Row],[TABLERO]]=AF$2,100%,AVANCE[[#This Row],[TABLERO]])</f>
        <v>0</v>
      </c>
      <c r="BW256" s="3">
        <f>+IF(AVANCE[[#This Row],[CAJA PAU]]=AG$2,100%,AVANCE[[#This Row],[CAJA PAU]])</f>
        <v>0</v>
      </c>
      <c r="BX256" s="3">
        <f>+IF(AVANCE[[#This Row],[INSTALACION VINILICO]]=AJ$2,100%,AVANCE[[#This Row],[INSTALACION VINILICO]])</f>
        <v>0</v>
      </c>
      <c r="BY256" s="3">
        <f>+IF(AVANCE[[#This Row],[OSB CUBIERTA]]=AK$2,100%,AVANCE[[#This Row],[OSB CUBIERTA]])</f>
        <v>0</v>
      </c>
      <c r="BZ256" s="3">
        <f>+IF(AVANCE[[#This Row],[BARANDA BALCON]]=AL$2,100%,AVANCE[[#This Row],[BARANDA BALCON]])</f>
        <v>0</v>
      </c>
      <c r="CA256" s="3">
        <f>+IF(AVANCE[[#This Row],[OSB EXTERIOR]]=AM$2,100%,AVANCE[[#This Row],[OSB EXTERIOR]])</f>
        <v>0</v>
      </c>
      <c r="CB256" s="3">
        <f>+IF(AVANCE[[#This Row],[SMART PANEL]]=AN$2,100%,AVANCE[[#This Row],[SMART PANEL]])</f>
        <v>0</v>
      </c>
      <c r="CC256" s="3">
        <f>+IF(AVANCE[[#This Row],[PINTURA EXTERIOR]]=AO$2,100%,AVANCE[[#This Row],[PINTURA EXTERIOR]])</f>
        <v>0</v>
      </c>
      <c r="CD256" s="3">
        <f>+IF(AVANCE[[#This Row],[ZOCALOS LOGIA]]=AP$2,100%,AVANCE[[#This Row],[ZOCALOS LOGIA]])</f>
        <v>0</v>
      </c>
      <c r="CE256" s="3">
        <f>+IF(AVANCE[[#This Row],[MOLDURAS]]=AQ$2,100%,AVANCE[[#This Row],[MOLDURAS]])</f>
        <v>0</v>
      </c>
      <c r="CF256" s="3">
        <f>+IF(AVANCE[[#This Row],[PILASTREO]]=AR$2,100%,AVANCE[[#This Row],[PILASTREO]])</f>
        <v>0</v>
      </c>
      <c r="CG256" s="3">
        <f>+IF(AVANCE[[#This Row],[CELOSIAS]]=AS$2,100%,AVANCE[[#This Row],[CELOSIAS]])</f>
        <v>0</v>
      </c>
      <c r="CH256" s="3">
        <f>+IF(AVANCE[[#This Row],[VENTANAS]]=AT$2,100%,AVANCE[[#This Row],[VENTANAS]])</f>
        <v>0</v>
      </c>
      <c r="CI256" s="3">
        <f>+IF(AVANCE[[#This Row],[PUERTAS ACCESO - LOGIA - BANO]]=AU$2,100%,AVANCE[[#This Row],[PUERTAS ACCESO - LOGIA - BANO]])</f>
        <v>0</v>
      </c>
      <c r="CJ256" s="3">
        <f>+IF(AVANCE[[#This Row],[CERRADURAS]]=AV$2,100%,AVANCE[[#This Row],[CERRADURAS]])</f>
        <v>0</v>
      </c>
      <c r="CK256" s="3">
        <f>+IF(AVANCE[[#This Row],[REVESTIMIENTO INTERIOR ZONA SECA]]=AW$2,100%,AVANCE[[#This Row],[REVESTIMIENTO INTERIOR ZONA SECA]])</f>
        <v>0</v>
      </c>
      <c r="CL256" s="3">
        <f>+IF(AVANCE[[#This Row],[REVESTIMIENTO INTERIOR ZONAS HUMEDAS]]=AX$2,100%,AVANCE[[#This Row],[REVESTIMIENTO INTERIOR ZONAS HUMEDAS]])</f>
        <v>0</v>
      </c>
      <c r="CM256" s="3">
        <f>+IF(AVANCE[[#This Row],[MEMBRANA CIELO]]=AY$2,100%,AVANCE[[#This Row],[MEMBRANA CIELO]])</f>
        <v>0</v>
      </c>
      <c r="CN256" s="3">
        <f>+IF(AVANCE[[#This Row],[LIMPIEZA FINAL]]=AZ$2,100%,AVANCE[[#This Row],[LIMPIEZA FINAL]])</f>
        <v>0</v>
      </c>
      <c r="CO256" s="3">
        <f>+IF(AVANCE[[#This Row],[PUERTAS DORMITORIO]]=BA$2,100%,AVANCE[[#This Row],[PUERTAS DORMITORIO]])</f>
        <v>0</v>
      </c>
      <c r="CP256" s="3">
        <f>+IF(AVANCE[[#This Row],[REVESTIMIENTO INTERIOR BANO]]=BB$2,100%,AVANCE[[#This Row],[REVESTIMIENTO INTERIOR BANO]])</f>
        <v>0</v>
      </c>
      <c r="CQ256" s="3">
        <f>+IF(AVANCE[[#This Row],[MUEBLE LAVAPLATOS]]=BC$2,100%,AVANCE[[#This Row],[MUEBLE LAVAPLATOS]])</f>
        <v>0</v>
      </c>
      <c r="CR256" s="3">
        <f>+IF(AVANCE[[#This Row],[IMPERMEABILIZACION BANO - COCINA LOGIA]]=BD$2,100%,AVANCE[[#This Row],[IMPERMEABILIZACION BANO - COCINA LOGIA]])</f>
        <v>0</v>
      </c>
      <c r="CS256" s="40">
        <f ca="1">+IF(AVANCE[[#This Row],[ESTADO MODULO]]="PENDIENTE",(TODAY()-AVANCE[[#This Row],[FECHA TERMINO  PLANIFICADO]]),0)</f>
        <v>0</v>
      </c>
      <c r="CT256" s="41" t="str" cm="1">
        <f t="array" ref="CT256">_xlfn.TEXTJOIN(" | ",TRUE,IF(SUMPRODUCT((BG256:CR256&lt;1)*(PARTIDAS!$I$2:$AT$2="OBRA GRUESA"))&gt;0,"OBRA GRUESA: "&amp;_xlfn.TEXTJOIN(", ",TRUE,IF((BG256:CR256&lt;1)*(PARTIDAS!$I$2:$AT$2="OBRA GRUESA"),PARTIDAS!$I$1:$AT$1,"")),""),IF(SUMPRODUCT((BG256:CR256&lt;1)*(PARTIDAS!$I$2:$AT$2="SANITARIOS"))&gt;0,"SANITARIOS: "&amp;_xlfn.TEXTJOIN(", ",TRUE,IF((BG256:CR256&lt;1)*(PARTIDAS!$I$2:$AT$2="SANITARIOS"),PARTIDAS!$I$1:$AT$1,"")),""),IF(SUMPRODUCT((BG256:CR256&lt;1)*(PARTIDAS!$I$2:$AT$2="ELÉCTRICO"))&gt;0,"ELÉCTRICO: "&amp;_xlfn.TEXTJOIN(", ",TRUE,IF((BG256:CR256&lt;1)*(PARTIDAS!$I$2:$AT$2="ELÉCTRICO"),PARTIDAS!$I$1:$AT$1,"")),""),IF(SUMPRODUCT((BG256:CR256&lt;1)*(PARTIDAS!$I$2:$AT$2="TERMINACIONES"))&gt;0,"TERMINACIONES: "&amp;_xlfn.TEXTJOIN(", ",TRUE,IF((BG256:CR256&lt;1)*(PARTIDAS!$I$2:$AT$2="TERMINACIONES"),PARTIDAS!$I$1:$AT$1,"")),""))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6" s="43" t="str" cm="1">
        <f t="array" ref="CU256">_xlfn.TEXTJOIN(", ",TRUE,IF(SUMPRODUCT((BG256:CR256&lt;1)*(PARTIDAS!$I$2:$AT$2="OBRA GRUESA"))&gt;0,"OBRA GRUESA",""),IF(SUMPRODUCT((BG256:CR256&lt;1)*(PARTIDAS!$I$2:$AT$2="SANITARIOS"))&gt;0,"SANITARIOS",""),IF(SUMPRODUCT((BG256:CR256&lt;1)*(PARTIDAS!$I$2:$AT$2="ELÉCTRICO"))&gt;0,"ELÉCTRICO",""),IF(SUMPRODUCT((BG256:CR256&lt;1)*(PARTIDAS!$I$2:$AT$2="TERMINACIONES"))&gt;0,"TERMINACIONES",""))</f>
        <v>OBRA GRUESA, SANITARIOS, ELÉCTRICO, TERMINACIONES</v>
      </c>
      <c r="CV256" s="44" cm="1">
        <f t="array" ref="CV256">SUMPRODUCT(--(BG256:CR256&lt;1))</f>
        <v>38</v>
      </c>
    </row>
    <row r="257" spans="1:100" hidden="1" x14ac:dyDescent="0.25">
      <c r="A257" t="s">
        <v>289</v>
      </c>
      <c r="B257" t="s">
        <v>321</v>
      </c>
      <c r="C257">
        <v>2282600256</v>
      </c>
      <c r="D257" t="s">
        <v>58</v>
      </c>
      <c r="E257" s="2">
        <v>0</v>
      </c>
      <c r="F257" s="1">
        <v>46267</v>
      </c>
      <c r="G257" s="1"/>
      <c r="H257" s="1">
        <v>0</v>
      </c>
      <c r="I257" s="1">
        <v>46287</v>
      </c>
      <c r="J257">
        <v>46230</v>
      </c>
      <c r="K257" s="1"/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>
        <v>28.87</v>
      </c>
      <c r="BF257" s="3" t="str">
        <f>+IF(AVANCE[[#This Row],[% AVANCE]]=100%,"MODULO TERMINADO",IF(AVANCE[[#This Row],[FECHA INICIO REAL]]="","MODULO NO INICIADO","PENDIENTE"))</f>
        <v>MODULO NO INICIADO</v>
      </c>
      <c r="BG257" s="3">
        <f>+IF(AVANCE[[#This Row],[VENTANAS]]=8.10810810810811%,100%,AVANCE[[#This Row],[VENTANAS]])</f>
        <v>0</v>
      </c>
      <c r="BH257" s="3">
        <f>+IF(AVANCE[[#This Row],[PISO]]=N$2,100%,AVANCE[[#This Row],[PISO]])</f>
        <v>0</v>
      </c>
      <c r="BI257" s="3">
        <f>+IF(AVANCE[[#This Row],[TABIQUES]]=O$2,100%,AVANCE[[#This Row],[TABIQUES]])</f>
        <v>0</v>
      </c>
      <c r="BJ257" s="3">
        <f>+IF(AVANCE[[#This Row],[MUROS]]=P$2,100%,AVANCE[[#This Row],[MUROS]])</f>
        <v>0</v>
      </c>
      <c r="BK257" s="3">
        <f>+IF(AVANCE[[#This Row],[CIELO]]=Q$2,100%,AVANCE[[#This Row],[CIELO]])</f>
        <v>0</v>
      </c>
      <c r="BL257" s="3">
        <f>+IF(AVANCE[[#This Row],[BALCÓN]]=R$2,100%,AVANCE[[#This Row],[BALCÓN]])</f>
        <v>0</v>
      </c>
      <c r="BM257" s="3">
        <f>+IF(AVANCE[[#This Row],[RED ALCANTARILLADO]]=U$2,100%,AVANCE[[#This Row],[RED ALCANTARILLADO]])</f>
        <v>0</v>
      </c>
      <c r="BN257" s="3">
        <f>+IF(AVANCE[[#This Row],[RED DE AGUA]]=V$2,100%,AVANCE[[#This Row],[RED DE AGUA]])</f>
        <v>0</v>
      </c>
      <c r="BO257" s="3">
        <f>+IF(AVANCE[[#This Row],[VENTILACIONES]]=W$2,100%,AVANCE[[#This Row],[VENTILACIONES]])</f>
        <v>0</v>
      </c>
      <c r="BP257" s="3">
        <f>+IF(AVANCE[[#This Row],[TINA]]=X$2,100%,AVANCE[[#This Row],[TINA]])</f>
        <v>0</v>
      </c>
      <c r="BQ257" s="3">
        <f>+IF(AVANCE[[#This Row],[WC]]=Y$2,100%,AVANCE[[#This Row],[WC]])</f>
        <v>0</v>
      </c>
      <c r="BR257" s="3">
        <f>+IF(AVANCE[[#This Row],[LAVAMANOS / LAVAPLATOS / LAVADERO]]=Z$2,100%,AVANCE[[#This Row],[LAVAMANOS / LAVAPLATOS / LAVADERO]])</f>
        <v>0</v>
      </c>
      <c r="BS257" s="3">
        <f>+IF(AVANCE[[#This Row],[CANALIZACIÓN]]=AC$2,100%,AVANCE[[#This Row],[CANALIZACIÓN]])</f>
        <v>0</v>
      </c>
      <c r="BT257" s="3">
        <f>+IF(AVANCE[[#This Row],[CABLEADO]]=AD$2,100%,AVANCE[[#This Row],[CABLEADO]])</f>
        <v>0</v>
      </c>
      <c r="BU257" s="3">
        <f>+IF(AVANCE[[#This Row],[ARTEFACTOS]]=AE$2,100%,AVANCE[[#This Row],[ARTEFACTOS]])</f>
        <v>0</v>
      </c>
      <c r="BV257" s="3">
        <f>+IF(AVANCE[[#This Row],[TABLERO]]=AF$2,100%,AVANCE[[#This Row],[TABLERO]])</f>
        <v>0</v>
      </c>
      <c r="BW257" s="3">
        <f>+IF(AVANCE[[#This Row],[CAJA PAU]]=AG$2,100%,AVANCE[[#This Row],[CAJA PAU]])</f>
        <v>0</v>
      </c>
      <c r="BX257" s="3">
        <f>+IF(AVANCE[[#This Row],[INSTALACION VINILICO]]=AJ$2,100%,AVANCE[[#This Row],[INSTALACION VINILICO]])</f>
        <v>0</v>
      </c>
      <c r="BY257" s="3">
        <f>+IF(AVANCE[[#This Row],[OSB CUBIERTA]]=AK$2,100%,AVANCE[[#This Row],[OSB CUBIERTA]])</f>
        <v>0</v>
      </c>
      <c r="BZ257" s="3">
        <f>+IF(AVANCE[[#This Row],[BARANDA BALCON]]=AL$2,100%,AVANCE[[#This Row],[BARANDA BALCON]])</f>
        <v>0</v>
      </c>
      <c r="CA257" s="3">
        <f>+IF(AVANCE[[#This Row],[OSB EXTERIOR]]=AM$2,100%,AVANCE[[#This Row],[OSB EXTERIOR]])</f>
        <v>0</v>
      </c>
      <c r="CB257" s="3">
        <f>+IF(AVANCE[[#This Row],[SMART PANEL]]=AN$2,100%,AVANCE[[#This Row],[SMART PANEL]])</f>
        <v>0</v>
      </c>
      <c r="CC257" s="3">
        <f>+IF(AVANCE[[#This Row],[PINTURA EXTERIOR]]=AO$2,100%,AVANCE[[#This Row],[PINTURA EXTERIOR]])</f>
        <v>0</v>
      </c>
      <c r="CD257" s="3">
        <f>+IF(AVANCE[[#This Row],[ZOCALOS LOGIA]]=AP$2,100%,AVANCE[[#This Row],[ZOCALOS LOGIA]])</f>
        <v>0</v>
      </c>
      <c r="CE257" s="3">
        <f>+IF(AVANCE[[#This Row],[MOLDURAS]]=AQ$2,100%,AVANCE[[#This Row],[MOLDURAS]])</f>
        <v>0</v>
      </c>
      <c r="CF257" s="3">
        <f>+IF(AVANCE[[#This Row],[PILASTREO]]=AR$2,100%,AVANCE[[#This Row],[PILASTREO]])</f>
        <v>0</v>
      </c>
      <c r="CG257" s="3">
        <f>+IF(AVANCE[[#This Row],[CELOSIAS]]=AS$2,100%,AVANCE[[#This Row],[CELOSIAS]])</f>
        <v>0</v>
      </c>
      <c r="CH257" s="3">
        <f>+IF(AVANCE[[#This Row],[VENTANAS]]=AT$2,100%,AVANCE[[#This Row],[VENTANAS]])</f>
        <v>0</v>
      </c>
      <c r="CI257" s="3">
        <f>+IF(AVANCE[[#This Row],[PUERTAS ACCESO - LOGIA - BANO]]=AU$2,100%,AVANCE[[#This Row],[PUERTAS ACCESO - LOGIA - BANO]])</f>
        <v>0</v>
      </c>
      <c r="CJ257" s="3">
        <f>+IF(AVANCE[[#This Row],[CERRADURAS]]=AV$2,100%,AVANCE[[#This Row],[CERRADURAS]])</f>
        <v>0</v>
      </c>
      <c r="CK257" s="3">
        <f>+IF(AVANCE[[#This Row],[REVESTIMIENTO INTERIOR ZONA SECA]]=AW$2,100%,AVANCE[[#This Row],[REVESTIMIENTO INTERIOR ZONA SECA]])</f>
        <v>0</v>
      </c>
      <c r="CL257" s="3">
        <f>+IF(AVANCE[[#This Row],[REVESTIMIENTO INTERIOR ZONAS HUMEDAS]]=AX$2,100%,AVANCE[[#This Row],[REVESTIMIENTO INTERIOR ZONAS HUMEDAS]])</f>
        <v>0</v>
      </c>
      <c r="CM257" s="3">
        <f>+IF(AVANCE[[#This Row],[MEMBRANA CIELO]]=AY$2,100%,AVANCE[[#This Row],[MEMBRANA CIELO]])</f>
        <v>0</v>
      </c>
      <c r="CN257" s="3">
        <f>+IF(AVANCE[[#This Row],[LIMPIEZA FINAL]]=AZ$2,100%,AVANCE[[#This Row],[LIMPIEZA FINAL]])</f>
        <v>0</v>
      </c>
      <c r="CO257" s="3">
        <f>+IF(AVANCE[[#This Row],[PUERTAS DORMITORIO]]=BA$2,100%,AVANCE[[#This Row],[PUERTAS DORMITORIO]])</f>
        <v>0</v>
      </c>
      <c r="CP257" s="3">
        <f>+IF(AVANCE[[#This Row],[REVESTIMIENTO INTERIOR BANO]]=BB$2,100%,AVANCE[[#This Row],[REVESTIMIENTO INTERIOR BANO]])</f>
        <v>0</v>
      </c>
      <c r="CQ257" s="3">
        <f>+IF(AVANCE[[#This Row],[MUEBLE LAVAPLATOS]]=BC$2,100%,AVANCE[[#This Row],[MUEBLE LAVAPLATOS]])</f>
        <v>0</v>
      </c>
      <c r="CR257" s="3">
        <f>+IF(AVANCE[[#This Row],[IMPERMEABILIZACION BANO - COCINA LOGIA]]=BD$2,100%,AVANCE[[#This Row],[IMPERMEABILIZACION BANO - COCINA LOGIA]])</f>
        <v>0</v>
      </c>
      <c r="CS257" s="40">
        <f ca="1">+IF(AVANCE[[#This Row],[ESTADO MODULO]]="PENDIENTE",(TODAY()-AVANCE[[#This Row],[FECHA TERMINO  PLANIFICADO]]),0)</f>
        <v>0</v>
      </c>
      <c r="CT257" s="41" t="str" cm="1">
        <f t="array" ref="CT257">_xlfn.TEXTJOIN(" | ",TRUE,IF(SUMPRODUCT((BG257:CR257&lt;1)*(PARTIDAS!$I$2:$AT$2="OBRA GRUESA"))&gt;0,"OBRA GRUESA: "&amp;_xlfn.TEXTJOIN(", ",TRUE,IF((BG257:CR257&lt;1)*(PARTIDAS!$I$2:$AT$2="OBRA GRUESA"),PARTIDAS!$I$1:$AT$1,"")),""),IF(SUMPRODUCT((BG257:CR257&lt;1)*(PARTIDAS!$I$2:$AT$2="SANITARIOS"))&gt;0,"SANITARIOS: "&amp;_xlfn.TEXTJOIN(", ",TRUE,IF((BG257:CR257&lt;1)*(PARTIDAS!$I$2:$AT$2="SANITARIOS"),PARTIDAS!$I$1:$AT$1,"")),""),IF(SUMPRODUCT((BG257:CR257&lt;1)*(PARTIDAS!$I$2:$AT$2="ELÉCTRICO"))&gt;0,"ELÉCTRICO: "&amp;_xlfn.TEXTJOIN(", ",TRUE,IF((BG257:CR257&lt;1)*(PARTIDAS!$I$2:$AT$2="ELÉCTRICO"),PARTIDAS!$I$1:$AT$1,"")),""),IF(SUMPRODUCT((BG257:CR257&lt;1)*(PARTIDAS!$I$2:$AT$2="TERMINACIONES"))&gt;0,"TERMINACIONES: "&amp;_xlfn.TEXTJOIN(", ",TRUE,IF((BG257:CR257&lt;1)*(PARTIDAS!$I$2:$AT$2="TERMINACIONES"),PARTIDAS!$I$1:$AT$1,"")),""))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7" s="43" t="str" cm="1">
        <f t="array" ref="CU257">_xlfn.TEXTJOIN(", ",TRUE,IF(SUMPRODUCT((BG257:CR257&lt;1)*(PARTIDAS!$I$2:$AT$2="OBRA GRUESA"))&gt;0,"OBRA GRUESA",""),IF(SUMPRODUCT((BG257:CR257&lt;1)*(PARTIDAS!$I$2:$AT$2="SANITARIOS"))&gt;0,"SANITARIOS",""),IF(SUMPRODUCT((BG257:CR257&lt;1)*(PARTIDAS!$I$2:$AT$2="ELÉCTRICO"))&gt;0,"ELÉCTRICO",""),IF(SUMPRODUCT((BG257:CR257&lt;1)*(PARTIDAS!$I$2:$AT$2="TERMINACIONES"))&gt;0,"TERMINACIONES",""))</f>
        <v>OBRA GRUESA, SANITARIOS, ELÉCTRICO, TERMINACIONES</v>
      </c>
      <c r="CV257" s="44" cm="1">
        <f t="array" ref="CV257">SUMPRODUCT(--(BG257:CR257&lt;1))</f>
        <v>38</v>
      </c>
    </row>
    <row r="258" spans="1:100" hidden="1" x14ac:dyDescent="0.25">
      <c r="A258" t="s">
        <v>322</v>
      </c>
      <c r="B258" t="s">
        <v>323</v>
      </c>
      <c r="C258">
        <v>2282600257</v>
      </c>
      <c r="D258" t="s">
        <v>58</v>
      </c>
      <c r="E258" s="2">
        <v>0</v>
      </c>
      <c r="F258" s="1">
        <v>46268</v>
      </c>
      <c r="G258" s="1"/>
      <c r="H258" s="1">
        <v>0</v>
      </c>
      <c r="I258" s="1">
        <v>46288</v>
      </c>
      <c r="J258">
        <v>46230</v>
      </c>
      <c r="K258" s="1"/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>
        <v>28.87</v>
      </c>
      <c r="BF258" s="3" t="str">
        <f>+IF(AVANCE[[#This Row],[% AVANCE]]=100%,"MODULO TERMINADO",IF(AVANCE[[#This Row],[FECHA INICIO REAL]]="","MODULO NO INICIADO","PENDIENTE"))</f>
        <v>MODULO NO INICIADO</v>
      </c>
      <c r="BG258" s="3">
        <f>+IF(AVANCE[[#This Row],[VENTANAS]]=8.10810810810811%,100%,AVANCE[[#This Row],[VENTANAS]])</f>
        <v>0</v>
      </c>
      <c r="BH258" s="3">
        <f>+IF(AVANCE[[#This Row],[PISO]]=N$2,100%,AVANCE[[#This Row],[PISO]])</f>
        <v>0</v>
      </c>
      <c r="BI258" s="3">
        <f>+IF(AVANCE[[#This Row],[TABIQUES]]=O$2,100%,AVANCE[[#This Row],[TABIQUES]])</f>
        <v>0</v>
      </c>
      <c r="BJ258" s="3">
        <f>+IF(AVANCE[[#This Row],[MUROS]]=P$2,100%,AVANCE[[#This Row],[MUROS]])</f>
        <v>0</v>
      </c>
      <c r="BK258" s="3">
        <f>+IF(AVANCE[[#This Row],[CIELO]]=Q$2,100%,AVANCE[[#This Row],[CIELO]])</f>
        <v>0</v>
      </c>
      <c r="BL258" s="3">
        <f>+IF(AVANCE[[#This Row],[BALCÓN]]=R$2,100%,AVANCE[[#This Row],[BALCÓN]])</f>
        <v>0</v>
      </c>
      <c r="BM258" s="3">
        <f>+IF(AVANCE[[#This Row],[RED ALCANTARILLADO]]=U$2,100%,AVANCE[[#This Row],[RED ALCANTARILLADO]])</f>
        <v>0</v>
      </c>
      <c r="BN258" s="3">
        <f>+IF(AVANCE[[#This Row],[RED DE AGUA]]=V$2,100%,AVANCE[[#This Row],[RED DE AGUA]])</f>
        <v>0</v>
      </c>
      <c r="BO258" s="3">
        <f>+IF(AVANCE[[#This Row],[VENTILACIONES]]=W$2,100%,AVANCE[[#This Row],[VENTILACIONES]])</f>
        <v>0</v>
      </c>
      <c r="BP258" s="3">
        <f>+IF(AVANCE[[#This Row],[TINA]]=X$2,100%,AVANCE[[#This Row],[TINA]])</f>
        <v>0</v>
      </c>
      <c r="BQ258" s="3">
        <f>+IF(AVANCE[[#This Row],[WC]]=Y$2,100%,AVANCE[[#This Row],[WC]])</f>
        <v>0</v>
      </c>
      <c r="BR258" s="3">
        <f>+IF(AVANCE[[#This Row],[LAVAMANOS / LAVAPLATOS / LAVADERO]]=Z$2,100%,AVANCE[[#This Row],[LAVAMANOS / LAVAPLATOS / LAVADERO]])</f>
        <v>0</v>
      </c>
      <c r="BS258" s="3">
        <f>+IF(AVANCE[[#This Row],[CANALIZACIÓN]]=AC$2,100%,AVANCE[[#This Row],[CANALIZACIÓN]])</f>
        <v>0</v>
      </c>
      <c r="BT258" s="3">
        <f>+IF(AVANCE[[#This Row],[CABLEADO]]=AD$2,100%,AVANCE[[#This Row],[CABLEADO]])</f>
        <v>0</v>
      </c>
      <c r="BU258" s="3">
        <f>+IF(AVANCE[[#This Row],[ARTEFACTOS]]=AE$2,100%,AVANCE[[#This Row],[ARTEFACTOS]])</f>
        <v>0</v>
      </c>
      <c r="BV258" s="3">
        <f>+IF(AVANCE[[#This Row],[TABLERO]]=AF$2,100%,AVANCE[[#This Row],[TABLERO]])</f>
        <v>0</v>
      </c>
      <c r="BW258" s="3">
        <f>+IF(AVANCE[[#This Row],[CAJA PAU]]=AG$2,100%,AVANCE[[#This Row],[CAJA PAU]])</f>
        <v>0</v>
      </c>
      <c r="BX258" s="3">
        <f>+IF(AVANCE[[#This Row],[INSTALACION VINILICO]]=AJ$2,100%,AVANCE[[#This Row],[INSTALACION VINILICO]])</f>
        <v>0</v>
      </c>
      <c r="BY258" s="3">
        <f>+IF(AVANCE[[#This Row],[OSB CUBIERTA]]=AK$2,100%,AVANCE[[#This Row],[OSB CUBIERTA]])</f>
        <v>0</v>
      </c>
      <c r="BZ258" s="3">
        <f>+IF(AVANCE[[#This Row],[BARANDA BALCON]]=AL$2,100%,AVANCE[[#This Row],[BARANDA BALCON]])</f>
        <v>0</v>
      </c>
      <c r="CA258" s="3">
        <f>+IF(AVANCE[[#This Row],[OSB EXTERIOR]]=AM$2,100%,AVANCE[[#This Row],[OSB EXTERIOR]])</f>
        <v>0</v>
      </c>
      <c r="CB258" s="3">
        <f>+IF(AVANCE[[#This Row],[SMART PANEL]]=AN$2,100%,AVANCE[[#This Row],[SMART PANEL]])</f>
        <v>0</v>
      </c>
      <c r="CC258" s="3">
        <f>+IF(AVANCE[[#This Row],[PINTURA EXTERIOR]]=AO$2,100%,AVANCE[[#This Row],[PINTURA EXTERIOR]])</f>
        <v>0</v>
      </c>
      <c r="CD258" s="3">
        <f>+IF(AVANCE[[#This Row],[ZOCALOS LOGIA]]=AP$2,100%,AVANCE[[#This Row],[ZOCALOS LOGIA]])</f>
        <v>0</v>
      </c>
      <c r="CE258" s="3">
        <f>+IF(AVANCE[[#This Row],[MOLDURAS]]=AQ$2,100%,AVANCE[[#This Row],[MOLDURAS]])</f>
        <v>0</v>
      </c>
      <c r="CF258" s="3">
        <f>+IF(AVANCE[[#This Row],[PILASTREO]]=AR$2,100%,AVANCE[[#This Row],[PILASTREO]])</f>
        <v>0</v>
      </c>
      <c r="CG258" s="3">
        <f>+IF(AVANCE[[#This Row],[CELOSIAS]]=AS$2,100%,AVANCE[[#This Row],[CELOSIAS]])</f>
        <v>0</v>
      </c>
      <c r="CH258" s="3">
        <f>+IF(AVANCE[[#This Row],[VENTANAS]]=AT$2,100%,AVANCE[[#This Row],[VENTANAS]])</f>
        <v>0</v>
      </c>
      <c r="CI258" s="3">
        <f>+IF(AVANCE[[#This Row],[PUERTAS ACCESO - LOGIA - BANO]]=AU$2,100%,AVANCE[[#This Row],[PUERTAS ACCESO - LOGIA - BANO]])</f>
        <v>0</v>
      </c>
      <c r="CJ258" s="3">
        <f>+IF(AVANCE[[#This Row],[CERRADURAS]]=AV$2,100%,AVANCE[[#This Row],[CERRADURAS]])</f>
        <v>0</v>
      </c>
      <c r="CK258" s="3">
        <f>+IF(AVANCE[[#This Row],[REVESTIMIENTO INTERIOR ZONA SECA]]=AW$2,100%,AVANCE[[#This Row],[REVESTIMIENTO INTERIOR ZONA SECA]])</f>
        <v>0</v>
      </c>
      <c r="CL258" s="3">
        <f>+IF(AVANCE[[#This Row],[REVESTIMIENTO INTERIOR ZONAS HUMEDAS]]=AX$2,100%,AVANCE[[#This Row],[REVESTIMIENTO INTERIOR ZONAS HUMEDAS]])</f>
        <v>0</v>
      </c>
      <c r="CM258" s="3">
        <f>+IF(AVANCE[[#This Row],[MEMBRANA CIELO]]=AY$2,100%,AVANCE[[#This Row],[MEMBRANA CIELO]])</f>
        <v>0</v>
      </c>
      <c r="CN258" s="3">
        <f>+IF(AVANCE[[#This Row],[LIMPIEZA FINAL]]=AZ$2,100%,AVANCE[[#This Row],[LIMPIEZA FINAL]])</f>
        <v>0</v>
      </c>
      <c r="CO258" s="3">
        <f>+IF(AVANCE[[#This Row],[PUERTAS DORMITORIO]]=BA$2,100%,AVANCE[[#This Row],[PUERTAS DORMITORIO]])</f>
        <v>0</v>
      </c>
      <c r="CP258" s="3">
        <f>+IF(AVANCE[[#This Row],[REVESTIMIENTO INTERIOR BANO]]=BB$2,100%,AVANCE[[#This Row],[REVESTIMIENTO INTERIOR BANO]])</f>
        <v>0</v>
      </c>
      <c r="CQ258" s="3">
        <f>+IF(AVANCE[[#This Row],[MUEBLE LAVAPLATOS]]=BC$2,100%,AVANCE[[#This Row],[MUEBLE LAVAPLATOS]])</f>
        <v>0</v>
      </c>
      <c r="CR258" s="3">
        <f>+IF(AVANCE[[#This Row],[IMPERMEABILIZACION BANO - COCINA LOGIA]]=BD$2,100%,AVANCE[[#This Row],[IMPERMEABILIZACION BANO - COCINA LOGIA]])</f>
        <v>0</v>
      </c>
      <c r="CS258" s="40">
        <f ca="1">+IF(AVANCE[[#This Row],[ESTADO MODULO]]="PENDIENTE",(TODAY()-AVANCE[[#This Row],[FECHA TERMINO  PLANIFICADO]]),0)</f>
        <v>0</v>
      </c>
      <c r="CT258" s="41" t="str" cm="1">
        <f t="array" ref="CT258">_xlfn.TEXTJOIN(" | ",TRUE,IF(SUMPRODUCT((BG258:CR258&lt;1)*(PARTIDAS!$I$2:$AT$2="OBRA GRUESA"))&gt;0,"OBRA GRUESA: "&amp;_xlfn.TEXTJOIN(", ",TRUE,IF((BG258:CR258&lt;1)*(PARTIDAS!$I$2:$AT$2="OBRA GRUESA"),PARTIDAS!$I$1:$AT$1,"")),""),IF(SUMPRODUCT((BG258:CR258&lt;1)*(PARTIDAS!$I$2:$AT$2="SANITARIOS"))&gt;0,"SANITARIOS: "&amp;_xlfn.TEXTJOIN(", ",TRUE,IF((BG258:CR258&lt;1)*(PARTIDAS!$I$2:$AT$2="SANITARIOS"),PARTIDAS!$I$1:$AT$1,"")),""),IF(SUMPRODUCT((BG258:CR258&lt;1)*(PARTIDAS!$I$2:$AT$2="ELÉCTRICO"))&gt;0,"ELÉCTRICO: "&amp;_xlfn.TEXTJOIN(", ",TRUE,IF((BG258:CR258&lt;1)*(PARTIDAS!$I$2:$AT$2="ELÉCTRICO"),PARTIDAS!$I$1:$AT$1,"")),""),IF(SUMPRODUCT((BG258:CR258&lt;1)*(PARTIDAS!$I$2:$AT$2="TERMINACIONES"))&gt;0,"TERMINACIONES: "&amp;_xlfn.TEXTJOIN(", ",TRUE,IF((BG258:CR258&lt;1)*(PARTIDAS!$I$2:$AT$2="TERMINACIONES"),PARTIDAS!$I$1:$AT$1,"")),""))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8" s="43" t="str" cm="1">
        <f t="array" ref="CU258">_xlfn.TEXTJOIN(", ",TRUE,IF(SUMPRODUCT((BG258:CR258&lt;1)*(PARTIDAS!$I$2:$AT$2="OBRA GRUESA"))&gt;0,"OBRA GRUESA",""),IF(SUMPRODUCT((BG258:CR258&lt;1)*(PARTIDAS!$I$2:$AT$2="SANITARIOS"))&gt;0,"SANITARIOS",""),IF(SUMPRODUCT((BG258:CR258&lt;1)*(PARTIDAS!$I$2:$AT$2="ELÉCTRICO"))&gt;0,"ELÉCTRICO",""),IF(SUMPRODUCT((BG258:CR258&lt;1)*(PARTIDAS!$I$2:$AT$2="TERMINACIONES"))&gt;0,"TERMINACIONES",""))</f>
        <v>OBRA GRUESA, SANITARIOS, ELÉCTRICO, TERMINACIONES</v>
      </c>
      <c r="CV258" s="44" cm="1">
        <f t="array" ref="CV258">SUMPRODUCT(--(BG258:CR258&lt;1))</f>
        <v>38</v>
      </c>
    </row>
    <row r="259" spans="1:100" hidden="1" x14ac:dyDescent="0.25">
      <c r="A259" t="s">
        <v>322</v>
      </c>
      <c r="B259" t="s">
        <v>324</v>
      </c>
      <c r="C259">
        <v>2302600258</v>
      </c>
      <c r="D259" t="s">
        <v>60</v>
      </c>
      <c r="E259" s="2">
        <v>0</v>
      </c>
      <c r="F259" s="1">
        <v>46268</v>
      </c>
      <c r="G259" s="1"/>
      <c r="H259" s="1">
        <v>0</v>
      </c>
      <c r="I259" s="1">
        <v>46298</v>
      </c>
      <c r="J259">
        <v>46230</v>
      </c>
      <c r="K259" s="1"/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>
        <v>31.32</v>
      </c>
      <c r="BF259" s="3" t="str">
        <f>+IF(AVANCE[[#This Row],[% AVANCE]]=100%,"MODULO TERMINADO",IF(AVANCE[[#This Row],[FECHA INICIO REAL]]="","MODULO NO INICIADO","PENDIENTE"))</f>
        <v>MODULO NO INICIADO</v>
      </c>
      <c r="BG259" s="3">
        <f>+IF(AVANCE[[#This Row],[VENTANAS]]=8.10810810810811%,100%,AVANCE[[#This Row],[VENTANAS]])</f>
        <v>0</v>
      </c>
      <c r="BH259" s="3">
        <f>+IF(AVANCE[[#This Row],[PISO]]=N$2,100%,AVANCE[[#This Row],[PISO]])</f>
        <v>0</v>
      </c>
      <c r="BI259" s="3">
        <f>+IF(AVANCE[[#This Row],[TABIQUES]]=O$2,100%,AVANCE[[#This Row],[TABIQUES]])</f>
        <v>0</v>
      </c>
      <c r="BJ259" s="3">
        <f>+IF(AVANCE[[#This Row],[MUROS]]=P$2,100%,AVANCE[[#This Row],[MUROS]])</f>
        <v>0</v>
      </c>
      <c r="BK259" s="3">
        <f>+IF(AVANCE[[#This Row],[CIELO]]=Q$2,100%,AVANCE[[#This Row],[CIELO]])</f>
        <v>0</v>
      </c>
      <c r="BL259" s="3">
        <f>+IF(AVANCE[[#This Row],[BALCÓN]]=R$2,100%,AVANCE[[#This Row],[BALCÓN]])</f>
        <v>0</v>
      </c>
      <c r="BM259" s="3">
        <f>+IF(AVANCE[[#This Row],[RED ALCANTARILLADO]]=U$2,100%,AVANCE[[#This Row],[RED ALCANTARILLADO]])</f>
        <v>0</v>
      </c>
      <c r="BN259" s="3">
        <f>+IF(AVANCE[[#This Row],[RED DE AGUA]]=V$2,100%,AVANCE[[#This Row],[RED DE AGUA]])</f>
        <v>0</v>
      </c>
      <c r="BO259" s="3">
        <f>+IF(AVANCE[[#This Row],[VENTILACIONES]]=W$2,100%,AVANCE[[#This Row],[VENTILACIONES]])</f>
        <v>0</v>
      </c>
      <c r="BP259" s="3">
        <f>+IF(AVANCE[[#This Row],[TINA]]=X$2,100%,AVANCE[[#This Row],[TINA]])</f>
        <v>0</v>
      </c>
      <c r="BQ259" s="3">
        <f>+IF(AVANCE[[#This Row],[WC]]=Y$2,100%,AVANCE[[#This Row],[WC]])</f>
        <v>0</v>
      </c>
      <c r="BR259" s="3">
        <f>+IF(AVANCE[[#This Row],[LAVAMANOS / LAVAPLATOS / LAVADERO]]=Z$2,100%,AVANCE[[#This Row],[LAVAMANOS / LAVAPLATOS / LAVADERO]])</f>
        <v>0</v>
      </c>
      <c r="BS259" s="3">
        <f>+IF(AVANCE[[#This Row],[CANALIZACIÓN]]=AC$2,100%,AVANCE[[#This Row],[CANALIZACIÓN]])</f>
        <v>0</v>
      </c>
      <c r="BT259" s="3">
        <f>+IF(AVANCE[[#This Row],[CABLEADO]]=AD$2,100%,AVANCE[[#This Row],[CABLEADO]])</f>
        <v>0</v>
      </c>
      <c r="BU259" s="3">
        <f>+IF(AVANCE[[#This Row],[ARTEFACTOS]]=AE$2,100%,AVANCE[[#This Row],[ARTEFACTOS]])</f>
        <v>0</v>
      </c>
      <c r="BV259" s="3">
        <f>+IF(AVANCE[[#This Row],[TABLERO]]=AF$2,100%,AVANCE[[#This Row],[TABLERO]])</f>
        <v>0</v>
      </c>
      <c r="BW259" s="3">
        <f>+IF(AVANCE[[#This Row],[CAJA PAU]]=AG$2,100%,AVANCE[[#This Row],[CAJA PAU]])</f>
        <v>0</v>
      </c>
      <c r="BX259" s="3">
        <f>+IF(AVANCE[[#This Row],[INSTALACION VINILICO]]=AJ$2,100%,AVANCE[[#This Row],[INSTALACION VINILICO]])</f>
        <v>0</v>
      </c>
      <c r="BY259" s="3">
        <f>+IF(AVANCE[[#This Row],[OSB CUBIERTA]]=AK$2,100%,AVANCE[[#This Row],[OSB CUBIERTA]])</f>
        <v>0</v>
      </c>
      <c r="BZ259" s="3">
        <f>+IF(AVANCE[[#This Row],[BARANDA BALCON]]=AL$2,100%,AVANCE[[#This Row],[BARANDA BALCON]])</f>
        <v>0</v>
      </c>
      <c r="CA259" s="3">
        <f>+IF(AVANCE[[#This Row],[OSB EXTERIOR]]=AM$2,100%,AVANCE[[#This Row],[OSB EXTERIOR]])</f>
        <v>0</v>
      </c>
      <c r="CB259" s="3">
        <f>+IF(AVANCE[[#This Row],[SMART PANEL]]=AN$2,100%,AVANCE[[#This Row],[SMART PANEL]])</f>
        <v>0</v>
      </c>
      <c r="CC259" s="3">
        <f>+IF(AVANCE[[#This Row],[PINTURA EXTERIOR]]=AO$2,100%,AVANCE[[#This Row],[PINTURA EXTERIOR]])</f>
        <v>0</v>
      </c>
      <c r="CD259" s="3">
        <f>+IF(AVANCE[[#This Row],[ZOCALOS LOGIA]]=AP$2,100%,AVANCE[[#This Row],[ZOCALOS LOGIA]])</f>
        <v>0</v>
      </c>
      <c r="CE259" s="3">
        <f>+IF(AVANCE[[#This Row],[MOLDURAS]]=AQ$2,100%,AVANCE[[#This Row],[MOLDURAS]])</f>
        <v>0</v>
      </c>
      <c r="CF259" s="3">
        <f>+IF(AVANCE[[#This Row],[PILASTREO]]=AR$2,100%,AVANCE[[#This Row],[PILASTREO]])</f>
        <v>0</v>
      </c>
      <c r="CG259" s="3">
        <f>+IF(AVANCE[[#This Row],[CELOSIAS]]=AS$2,100%,AVANCE[[#This Row],[CELOSIAS]])</f>
        <v>0</v>
      </c>
      <c r="CH259" s="3">
        <f>+IF(AVANCE[[#This Row],[VENTANAS]]=AT$2,100%,AVANCE[[#This Row],[VENTANAS]])</f>
        <v>0</v>
      </c>
      <c r="CI259" s="3">
        <f>+IF(AVANCE[[#This Row],[PUERTAS ACCESO - LOGIA - BANO]]=AU$2,100%,AVANCE[[#This Row],[PUERTAS ACCESO - LOGIA - BANO]])</f>
        <v>0</v>
      </c>
      <c r="CJ259" s="3">
        <f>+IF(AVANCE[[#This Row],[CERRADURAS]]=AV$2,100%,AVANCE[[#This Row],[CERRADURAS]])</f>
        <v>0</v>
      </c>
      <c r="CK259" s="3">
        <f>+IF(AVANCE[[#This Row],[REVESTIMIENTO INTERIOR ZONA SECA]]=AW$2,100%,AVANCE[[#This Row],[REVESTIMIENTO INTERIOR ZONA SECA]])</f>
        <v>0</v>
      </c>
      <c r="CL259" s="3">
        <f>+IF(AVANCE[[#This Row],[REVESTIMIENTO INTERIOR ZONAS HUMEDAS]]=AX$2,100%,AVANCE[[#This Row],[REVESTIMIENTO INTERIOR ZONAS HUMEDAS]])</f>
        <v>0</v>
      </c>
      <c r="CM259" s="3">
        <f>+IF(AVANCE[[#This Row],[MEMBRANA CIELO]]=AY$2,100%,AVANCE[[#This Row],[MEMBRANA CIELO]])</f>
        <v>0</v>
      </c>
      <c r="CN259" s="3">
        <f>+IF(AVANCE[[#This Row],[LIMPIEZA FINAL]]=AZ$2,100%,AVANCE[[#This Row],[LIMPIEZA FINAL]])</f>
        <v>0</v>
      </c>
      <c r="CO259" s="3">
        <f>+IF(AVANCE[[#This Row],[PUERTAS DORMITORIO]]=BA$2,100%,AVANCE[[#This Row],[PUERTAS DORMITORIO]])</f>
        <v>0</v>
      </c>
      <c r="CP259" s="3">
        <f>+IF(AVANCE[[#This Row],[REVESTIMIENTO INTERIOR BANO]]=BB$2,100%,AVANCE[[#This Row],[REVESTIMIENTO INTERIOR BANO]])</f>
        <v>0</v>
      </c>
      <c r="CQ259" s="3">
        <f>+IF(AVANCE[[#This Row],[MUEBLE LAVAPLATOS]]=BC$2,100%,AVANCE[[#This Row],[MUEBLE LAVAPLATOS]])</f>
        <v>0</v>
      </c>
      <c r="CR259" s="3">
        <f>+IF(AVANCE[[#This Row],[IMPERMEABILIZACION BANO - COCINA LOGIA]]=BD$2,100%,AVANCE[[#This Row],[IMPERMEABILIZACION BANO - COCINA LOGIA]])</f>
        <v>0</v>
      </c>
      <c r="CS259" s="40">
        <f ca="1">+IF(AVANCE[[#This Row],[ESTADO MODULO]]="PENDIENTE",(TODAY()-AVANCE[[#This Row],[FECHA TERMINO  PLANIFICADO]]),0)</f>
        <v>0</v>
      </c>
      <c r="CT259" s="41" t="str" cm="1">
        <f t="array" ref="CT259">_xlfn.TEXTJOIN(" | ",TRUE,IF(SUMPRODUCT((BG259:CR259&lt;1)*(PARTIDAS!$I$2:$AT$2="OBRA GRUESA"))&gt;0,"OBRA GRUESA: "&amp;_xlfn.TEXTJOIN(", ",TRUE,IF((BG259:CR259&lt;1)*(PARTIDAS!$I$2:$AT$2="OBRA GRUESA"),PARTIDAS!$I$1:$AT$1,"")),""),IF(SUMPRODUCT((BG259:CR259&lt;1)*(PARTIDAS!$I$2:$AT$2="SANITARIOS"))&gt;0,"SANITARIOS: "&amp;_xlfn.TEXTJOIN(", ",TRUE,IF((BG259:CR259&lt;1)*(PARTIDAS!$I$2:$AT$2="SANITARIOS"),PARTIDAS!$I$1:$AT$1,"")),""),IF(SUMPRODUCT((BG259:CR259&lt;1)*(PARTIDAS!$I$2:$AT$2="ELÉCTRICO"))&gt;0,"ELÉCTRICO: "&amp;_xlfn.TEXTJOIN(", ",TRUE,IF((BG259:CR259&lt;1)*(PARTIDAS!$I$2:$AT$2="ELÉCTRICO"),PARTIDAS!$I$1:$AT$1,"")),""),IF(SUMPRODUCT((BG259:CR259&lt;1)*(PARTIDAS!$I$2:$AT$2="TERMINACIONES"))&gt;0,"TERMINACIONES: "&amp;_xlfn.TEXTJOIN(", ",TRUE,IF((BG259:CR259&lt;1)*(PARTIDAS!$I$2:$AT$2="TERMINACIONES"),PARTIDAS!$I$1:$AT$1,"")),""))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59" s="43" t="str" cm="1">
        <f t="array" ref="CU259">_xlfn.TEXTJOIN(", ",TRUE,IF(SUMPRODUCT((BG259:CR259&lt;1)*(PARTIDAS!$I$2:$AT$2="OBRA GRUESA"))&gt;0,"OBRA GRUESA",""),IF(SUMPRODUCT((BG259:CR259&lt;1)*(PARTIDAS!$I$2:$AT$2="SANITARIOS"))&gt;0,"SANITARIOS",""),IF(SUMPRODUCT((BG259:CR259&lt;1)*(PARTIDAS!$I$2:$AT$2="ELÉCTRICO"))&gt;0,"ELÉCTRICO",""),IF(SUMPRODUCT((BG259:CR259&lt;1)*(PARTIDAS!$I$2:$AT$2="TERMINACIONES"))&gt;0,"TERMINACIONES",""))</f>
        <v>OBRA GRUESA, SANITARIOS, ELÉCTRICO, TERMINACIONES</v>
      </c>
      <c r="CV259" s="44" cm="1">
        <f t="array" ref="CV259">SUMPRODUCT(--(BG259:CR259&lt;1))</f>
        <v>38</v>
      </c>
    </row>
    <row r="260" spans="1:100" hidden="1" x14ac:dyDescent="0.25">
      <c r="A260" t="s">
        <v>322</v>
      </c>
      <c r="B260" t="s">
        <v>325</v>
      </c>
      <c r="C260">
        <v>2302600259</v>
      </c>
      <c r="D260" t="s">
        <v>60</v>
      </c>
      <c r="E260" s="2">
        <v>0</v>
      </c>
      <c r="F260" s="1">
        <v>46268</v>
      </c>
      <c r="G260" s="1"/>
      <c r="H260" s="1">
        <v>0</v>
      </c>
      <c r="I260" s="1">
        <v>46298</v>
      </c>
      <c r="J260">
        <v>46230</v>
      </c>
      <c r="K260" s="1"/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>
        <v>31.32</v>
      </c>
      <c r="BF260" s="3" t="str">
        <f>+IF(AVANCE[[#This Row],[% AVANCE]]=100%,"MODULO TERMINADO",IF(AVANCE[[#This Row],[FECHA INICIO REAL]]="","MODULO NO INICIADO","PENDIENTE"))</f>
        <v>MODULO NO INICIADO</v>
      </c>
      <c r="BG260" s="3">
        <f>+IF(AVANCE[[#This Row],[VENTANAS]]=8.10810810810811%,100%,AVANCE[[#This Row],[VENTANAS]])</f>
        <v>0</v>
      </c>
      <c r="BH260" s="3">
        <f>+IF(AVANCE[[#This Row],[PISO]]=N$2,100%,AVANCE[[#This Row],[PISO]])</f>
        <v>0</v>
      </c>
      <c r="BI260" s="3">
        <f>+IF(AVANCE[[#This Row],[TABIQUES]]=O$2,100%,AVANCE[[#This Row],[TABIQUES]])</f>
        <v>0</v>
      </c>
      <c r="BJ260" s="3">
        <f>+IF(AVANCE[[#This Row],[MUROS]]=P$2,100%,AVANCE[[#This Row],[MUROS]])</f>
        <v>0</v>
      </c>
      <c r="BK260" s="3">
        <f>+IF(AVANCE[[#This Row],[CIELO]]=Q$2,100%,AVANCE[[#This Row],[CIELO]])</f>
        <v>0</v>
      </c>
      <c r="BL260" s="3">
        <f>+IF(AVANCE[[#This Row],[BALCÓN]]=R$2,100%,AVANCE[[#This Row],[BALCÓN]])</f>
        <v>0</v>
      </c>
      <c r="BM260" s="3">
        <f>+IF(AVANCE[[#This Row],[RED ALCANTARILLADO]]=U$2,100%,AVANCE[[#This Row],[RED ALCANTARILLADO]])</f>
        <v>0</v>
      </c>
      <c r="BN260" s="3">
        <f>+IF(AVANCE[[#This Row],[RED DE AGUA]]=V$2,100%,AVANCE[[#This Row],[RED DE AGUA]])</f>
        <v>0</v>
      </c>
      <c r="BO260" s="3">
        <f>+IF(AVANCE[[#This Row],[VENTILACIONES]]=W$2,100%,AVANCE[[#This Row],[VENTILACIONES]])</f>
        <v>0</v>
      </c>
      <c r="BP260" s="3">
        <f>+IF(AVANCE[[#This Row],[TINA]]=X$2,100%,AVANCE[[#This Row],[TINA]])</f>
        <v>0</v>
      </c>
      <c r="BQ260" s="3">
        <f>+IF(AVANCE[[#This Row],[WC]]=Y$2,100%,AVANCE[[#This Row],[WC]])</f>
        <v>0</v>
      </c>
      <c r="BR260" s="3">
        <f>+IF(AVANCE[[#This Row],[LAVAMANOS / LAVAPLATOS / LAVADERO]]=Z$2,100%,AVANCE[[#This Row],[LAVAMANOS / LAVAPLATOS / LAVADERO]])</f>
        <v>0</v>
      </c>
      <c r="BS260" s="3">
        <f>+IF(AVANCE[[#This Row],[CANALIZACIÓN]]=AC$2,100%,AVANCE[[#This Row],[CANALIZACIÓN]])</f>
        <v>0</v>
      </c>
      <c r="BT260" s="3">
        <f>+IF(AVANCE[[#This Row],[CABLEADO]]=AD$2,100%,AVANCE[[#This Row],[CABLEADO]])</f>
        <v>0</v>
      </c>
      <c r="BU260" s="3">
        <f>+IF(AVANCE[[#This Row],[ARTEFACTOS]]=AE$2,100%,AVANCE[[#This Row],[ARTEFACTOS]])</f>
        <v>0</v>
      </c>
      <c r="BV260" s="3">
        <f>+IF(AVANCE[[#This Row],[TABLERO]]=AF$2,100%,AVANCE[[#This Row],[TABLERO]])</f>
        <v>0</v>
      </c>
      <c r="BW260" s="3">
        <f>+IF(AVANCE[[#This Row],[CAJA PAU]]=AG$2,100%,AVANCE[[#This Row],[CAJA PAU]])</f>
        <v>0</v>
      </c>
      <c r="BX260" s="3">
        <f>+IF(AVANCE[[#This Row],[INSTALACION VINILICO]]=AJ$2,100%,AVANCE[[#This Row],[INSTALACION VINILICO]])</f>
        <v>0</v>
      </c>
      <c r="BY260" s="3">
        <f>+IF(AVANCE[[#This Row],[OSB CUBIERTA]]=AK$2,100%,AVANCE[[#This Row],[OSB CUBIERTA]])</f>
        <v>0</v>
      </c>
      <c r="BZ260" s="3">
        <f>+IF(AVANCE[[#This Row],[BARANDA BALCON]]=AL$2,100%,AVANCE[[#This Row],[BARANDA BALCON]])</f>
        <v>0</v>
      </c>
      <c r="CA260" s="3">
        <f>+IF(AVANCE[[#This Row],[OSB EXTERIOR]]=AM$2,100%,AVANCE[[#This Row],[OSB EXTERIOR]])</f>
        <v>0</v>
      </c>
      <c r="CB260" s="3">
        <f>+IF(AVANCE[[#This Row],[SMART PANEL]]=AN$2,100%,AVANCE[[#This Row],[SMART PANEL]])</f>
        <v>0</v>
      </c>
      <c r="CC260" s="3">
        <f>+IF(AVANCE[[#This Row],[PINTURA EXTERIOR]]=AO$2,100%,AVANCE[[#This Row],[PINTURA EXTERIOR]])</f>
        <v>0</v>
      </c>
      <c r="CD260" s="3">
        <f>+IF(AVANCE[[#This Row],[ZOCALOS LOGIA]]=AP$2,100%,AVANCE[[#This Row],[ZOCALOS LOGIA]])</f>
        <v>0</v>
      </c>
      <c r="CE260" s="3">
        <f>+IF(AVANCE[[#This Row],[MOLDURAS]]=AQ$2,100%,AVANCE[[#This Row],[MOLDURAS]])</f>
        <v>0</v>
      </c>
      <c r="CF260" s="3">
        <f>+IF(AVANCE[[#This Row],[PILASTREO]]=AR$2,100%,AVANCE[[#This Row],[PILASTREO]])</f>
        <v>0</v>
      </c>
      <c r="CG260" s="3">
        <f>+IF(AVANCE[[#This Row],[CELOSIAS]]=AS$2,100%,AVANCE[[#This Row],[CELOSIAS]])</f>
        <v>0</v>
      </c>
      <c r="CH260" s="3">
        <f>+IF(AVANCE[[#This Row],[VENTANAS]]=AT$2,100%,AVANCE[[#This Row],[VENTANAS]])</f>
        <v>0</v>
      </c>
      <c r="CI260" s="3">
        <f>+IF(AVANCE[[#This Row],[PUERTAS ACCESO - LOGIA - BANO]]=AU$2,100%,AVANCE[[#This Row],[PUERTAS ACCESO - LOGIA - BANO]])</f>
        <v>0</v>
      </c>
      <c r="CJ260" s="3">
        <f>+IF(AVANCE[[#This Row],[CERRADURAS]]=AV$2,100%,AVANCE[[#This Row],[CERRADURAS]])</f>
        <v>0</v>
      </c>
      <c r="CK260" s="3">
        <f>+IF(AVANCE[[#This Row],[REVESTIMIENTO INTERIOR ZONA SECA]]=AW$2,100%,AVANCE[[#This Row],[REVESTIMIENTO INTERIOR ZONA SECA]])</f>
        <v>0</v>
      </c>
      <c r="CL260" s="3">
        <f>+IF(AVANCE[[#This Row],[REVESTIMIENTO INTERIOR ZONAS HUMEDAS]]=AX$2,100%,AVANCE[[#This Row],[REVESTIMIENTO INTERIOR ZONAS HUMEDAS]])</f>
        <v>0</v>
      </c>
      <c r="CM260" s="3">
        <f>+IF(AVANCE[[#This Row],[MEMBRANA CIELO]]=AY$2,100%,AVANCE[[#This Row],[MEMBRANA CIELO]])</f>
        <v>0</v>
      </c>
      <c r="CN260" s="3">
        <f>+IF(AVANCE[[#This Row],[LIMPIEZA FINAL]]=AZ$2,100%,AVANCE[[#This Row],[LIMPIEZA FINAL]])</f>
        <v>0</v>
      </c>
      <c r="CO260" s="3">
        <f>+IF(AVANCE[[#This Row],[PUERTAS DORMITORIO]]=BA$2,100%,AVANCE[[#This Row],[PUERTAS DORMITORIO]])</f>
        <v>0</v>
      </c>
      <c r="CP260" s="3">
        <f>+IF(AVANCE[[#This Row],[REVESTIMIENTO INTERIOR BANO]]=BB$2,100%,AVANCE[[#This Row],[REVESTIMIENTO INTERIOR BANO]])</f>
        <v>0</v>
      </c>
      <c r="CQ260" s="3">
        <f>+IF(AVANCE[[#This Row],[MUEBLE LAVAPLATOS]]=BC$2,100%,AVANCE[[#This Row],[MUEBLE LAVAPLATOS]])</f>
        <v>0</v>
      </c>
      <c r="CR260" s="3">
        <f>+IF(AVANCE[[#This Row],[IMPERMEABILIZACION BANO - COCINA LOGIA]]=BD$2,100%,AVANCE[[#This Row],[IMPERMEABILIZACION BANO - COCINA LOGIA]])</f>
        <v>0</v>
      </c>
      <c r="CS260" s="40">
        <f ca="1">+IF(AVANCE[[#This Row],[ESTADO MODULO]]="PENDIENTE",(TODAY()-AVANCE[[#This Row],[FECHA TERMINO  PLANIFICADO]]),0)</f>
        <v>0</v>
      </c>
      <c r="CT260" s="41" t="str" cm="1">
        <f t="array" ref="CT260">_xlfn.TEXTJOIN(" | ",TRUE,IF(SUMPRODUCT((BG260:CR260&lt;1)*(PARTIDAS!$I$2:$AT$2="OBRA GRUESA"))&gt;0,"OBRA GRUESA: "&amp;_xlfn.TEXTJOIN(", ",TRUE,IF((BG260:CR260&lt;1)*(PARTIDAS!$I$2:$AT$2="OBRA GRUESA"),PARTIDAS!$I$1:$AT$1,"")),""),IF(SUMPRODUCT((BG260:CR260&lt;1)*(PARTIDAS!$I$2:$AT$2="SANITARIOS"))&gt;0,"SANITARIOS: "&amp;_xlfn.TEXTJOIN(", ",TRUE,IF((BG260:CR260&lt;1)*(PARTIDAS!$I$2:$AT$2="SANITARIOS"),PARTIDAS!$I$1:$AT$1,"")),""),IF(SUMPRODUCT((BG260:CR260&lt;1)*(PARTIDAS!$I$2:$AT$2="ELÉCTRICO"))&gt;0,"ELÉCTRICO: "&amp;_xlfn.TEXTJOIN(", ",TRUE,IF((BG260:CR260&lt;1)*(PARTIDAS!$I$2:$AT$2="ELÉCTRICO"),PARTIDAS!$I$1:$AT$1,"")),""),IF(SUMPRODUCT((BG260:CR260&lt;1)*(PARTIDAS!$I$2:$AT$2="TERMINACIONES"))&gt;0,"TERMINACIONES: "&amp;_xlfn.TEXTJOIN(", ",TRUE,IF((BG260:CR260&lt;1)*(PARTIDAS!$I$2:$AT$2="TERMINACIONES"),PARTIDAS!$I$1:$AT$1,"")),""))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0" s="43" t="str" cm="1">
        <f t="array" ref="CU260">_xlfn.TEXTJOIN(", ",TRUE,IF(SUMPRODUCT((BG260:CR260&lt;1)*(PARTIDAS!$I$2:$AT$2="OBRA GRUESA"))&gt;0,"OBRA GRUESA",""),IF(SUMPRODUCT((BG260:CR260&lt;1)*(PARTIDAS!$I$2:$AT$2="SANITARIOS"))&gt;0,"SANITARIOS",""),IF(SUMPRODUCT((BG260:CR260&lt;1)*(PARTIDAS!$I$2:$AT$2="ELÉCTRICO"))&gt;0,"ELÉCTRICO",""),IF(SUMPRODUCT((BG260:CR260&lt;1)*(PARTIDAS!$I$2:$AT$2="TERMINACIONES"))&gt;0,"TERMINACIONES",""))</f>
        <v>OBRA GRUESA, SANITARIOS, ELÉCTRICO, TERMINACIONES</v>
      </c>
      <c r="CV260" s="44" cm="1">
        <f t="array" ref="CV260">SUMPRODUCT(--(BG260:CR260&lt;1))</f>
        <v>38</v>
      </c>
    </row>
    <row r="261" spans="1:100" hidden="1" x14ac:dyDescent="0.25">
      <c r="A261" t="s">
        <v>322</v>
      </c>
      <c r="B261" t="s">
        <v>326</v>
      </c>
      <c r="C261">
        <v>2282600260</v>
      </c>
      <c r="D261" t="s">
        <v>58</v>
      </c>
      <c r="E261" s="2">
        <v>0</v>
      </c>
      <c r="F261" s="1">
        <v>46269</v>
      </c>
      <c r="G261" s="1"/>
      <c r="H261" s="1">
        <v>0</v>
      </c>
      <c r="I261" s="1">
        <v>46289</v>
      </c>
      <c r="J261">
        <v>46230</v>
      </c>
      <c r="K261" s="1"/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>
        <v>28.87</v>
      </c>
      <c r="BF261" s="3" t="str">
        <f>+IF(AVANCE[[#This Row],[% AVANCE]]=100%,"MODULO TERMINADO",IF(AVANCE[[#This Row],[FECHA INICIO REAL]]="","MODULO NO INICIADO","PENDIENTE"))</f>
        <v>MODULO NO INICIADO</v>
      </c>
      <c r="BG261" s="3">
        <f>+IF(AVANCE[[#This Row],[VENTANAS]]=8.10810810810811%,100%,AVANCE[[#This Row],[VENTANAS]])</f>
        <v>0</v>
      </c>
      <c r="BH261" s="3">
        <f>+IF(AVANCE[[#This Row],[PISO]]=N$2,100%,AVANCE[[#This Row],[PISO]])</f>
        <v>0</v>
      </c>
      <c r="BI261" s="3">
        <f>+IF(AVANCE[[#This Row],[TABIQUES]]=O$2,100%,AVANCE[[#This Row],[TABIQUES]])</f>
        <v>0</v>
      </c>
      <c r="BJ261" s="3">
        <f>+IF(AVANCE[[#This Row],[MUROS]]=P$2,100%,AVANCE[[#This Row],[MUROS]])</f>
        <v>0</v>
      </c>
      <c r="BK261" s="3">
        <f>+IF(AVANCE[[#This Row],[CIELO]]=Q$2,100%,AVANCE[[#This Row],[CIELO]])</f>
        <v>0</v>
      </c>
      <c r="BL261" s="3">
        <f>+IF(AVANCE[[#This Row],[BALCÓN]]=R$2,100%,AVANCE[[#This Row],[BALCÓN]])</f>
        <v>0</v>
      </c>
      <c r="BM261" s="3">
        <f>+IF(AVANCE[[#This Row],[RED ALCANTARILLADO]]=U$2,100%,AVANCE[[#This Row],[RED ALCANTARILLADO]])</f>
        <v>0</v>
      </c>
      <c r="BN261" s="3">
        <f>+IF(AVANCE[[#This Row],[RED DE AGUA]]=V$2,100%,AVANCE[[#This Row],[RED DE AGUA]])</f>
        <v>0</v>
      </c>
      <c r="BO261" s="3">
        <f>+IF(AVANCE[[#This Row],[VENTILACIONES]]=W$2,100%,AVANCE[[#This Row],[VENTILACIONES]])</f>
        <v>0</v>
      </c>
      <c r="BP261" s="3">
        <f>+IF(AVANCE[[#This Row],[TINA]]=X$2,100%,AVANCE[[#This Row],[TINA]])</f>
        <v>0</v>
      </c>
      <c r="BQ261" s="3">
        <f>+IF(AVANCE[[#This Row],[WC]]=Y$2,100%,AVANCE[[#This Row],[WC]])</f>
        <v>0</v>
      </c>
      <c r="BR261" s="3">
        <f>+IF(AVANCE[[#This Row],[LAVAMANOS / LAVAPLATOS / LAVADERO]]=Z$2,100%,AVANCE[[#This Row],[LAVAMANOS / LAVAPLATOS / LAVADERO]])</f>
        <v>0</v>
      </c>
      <c r="BS261" s="3">
        <f>+IF(AVANCE[[#This Row],[CANALIZACIÓN]]=AC$2,100%,AVANCE[[#This Row],[CANALIZACIÓN]])</f>
        <v>0</v>
      </c>
      <c r="BT261" s="3">
        <f>+IF(AVANCE[[#This Row],[CABLEADO]]=AD$2,100%,AVANCE[[#This Row],[CABLEADO]])</f>
        <v>0</v>
      </c>
      <c r="BU261" s="3">
        <f>+IF(AVANCE[[#This Row],[ARTEFACTOS]]=AE$2,100%,AVANCE[[#This Row],[ARTEFACTOS]])</f>
        <v>0</v>
      </c>
      <c r="BV261" s="3">
        <f>+IF(AVANCE[[#This Row],[TABLERO]]=AF$2,100%,AVANCE[[#This Row],[TABLERO]])</f>
        <v>0</v>
      </c>
      <c r="BW261" s="3">
        <f>+IF(AVANCE[[#This Row],[CAJA PAU]]=AG$2,100%,AVANCE[[#This Row],[CAJA PAU]])</f>
        <v>0</v>
      </c>
      <c r="BX261" s="3">
        <f>+IF(AVANCE[[#This Row],[INSTALACION VINILICO]]=AJ$2,100%,AVANCE[[#This Row],[INSTALACION VINILICO]])</f>
        <v>0</v>
      </c>
      <c r="BY261" s="3">
        <f>+IF(AVANCE[[#This Row],[OSB CUBIERTA]]=AK$2,100%,AVANCE[[#This Row],[OSB CUBIERTA]])</f>
        <v>0</v>
      </c>
      <c r="BZ261" s="3">
        <f>+IF(AVANCE[[#This Row],[BARANDA BALCON]]=AL$2,100%,AVANCE[[#This Row],[BARANDA BALCON]])</f>
        <v>0</v>
      </c>
      <c r="CA261" s="3">
        <f>+IF(AVANCE[[#This Row],[OSB EXTERIOR]]=AM$2,100%,AVANCE[[#This Row],[OSB EXTERIOR]])</f>
        <v>0</v>
      </c>
      <c r="CB261" s="3">
        <f>+IF(AVANCE[[#This Row],[SMART PANEL]]=AN$2,100%,AVANCE[[#This Row],[SMART PANEL]])</f>
        <v>0</v>
      </c>
      <c r="CC261" s="3">
        <f>+IF(AVANCE[[#This Row],[PINTURA EXTERIOR]]=AO$2,100%,AVANCE[[#This Row],[PINTURA EXTERIOR]])</f>
        <v>0</v>
      </c>
      <c r="CD261" s="3">
        <f>+IF(AVANCE[[#This Row],[ZOCALOS LOGIA]]=AP$2,100%,AVANCE[[#This Row],[ZOCALOS LOGIA]])</f>
        <v>0</v>
      </c>
      <c r="CE261" s="3">
        <f>+IF(AVANCE[[#This Row],[MOLDURAS]]=AQ$2,100%,AVANCE[[#This Row],[MOLDURAS]])</f>
        <v>0</v>
      </c>
      <c r="CF261" s="3">
        <f>+IF(AVANCE[[#This Row],[PILASTREO]]=AR$2,100%,AVANCE[[#This Row],[PILASTREO]])</f>
        <v>0</v>
      </c>
      <c r="CG261" s="3">
        <f>+IF(AVANCE[[#This Row],[CELOSIAS]]=AS$2,100%,AVANCE[[#This Row],[CELOSIAS]])</f>
        <v>0</v>
      </c>
      <c r="CH261" s="3">
        <f>+IF(AVANCE[[#This Row],[VENTANAS]]=AT$2,100%,AVANCE[[#This Row],[VENTANAS]])</f>
        <v>0</v>
      </c>
      <c r="CI261" s="3">
        <f>+IF(AVANCE[[#This Row],[PUERTAS ACCESO - LOGIA - BANO]]=AU$2,100%,AVANCE[[#This Row],[PUERTAS ACCESO - LOGIA - BANO]])</f>
        <v>0</v>
      </c>
      <c r="CJ261" s="3">
        <f>+IF(AVANCE[[#This Row],[CERRADURAS]]=AV$2,100%,AVANCE[[#This Row],[CERRADURAS]])</f>
        <v>0</v>
      </c>
      <c r="CK261" s="3">
        <f>+IF(AVANCE[[#This Row],[REVESTIMIENTO INTERIOR ZONA SECA]]=AW$2,100%,AVANCE[[#This Row],[REVESTIMIENTO INTERIOR ZONA SECA]])</f>
        <v>0</v>
      </c>
      <c r="CL261" s="3">
        <f>+IF(AVANCE[[#This Row],[REVESTIMIENTO INTERIOR ZONAS HUMEDAS]]=AX$2,100%,AVANCE[[#This Row],[REVESTIMIENTO INTERIOR ZONAS HUMEDAS]])</f>
        <v>0</v>
      </c>
      <c r="CM261" s="3">
        <f>+IF(AVANCE[[#This Row],[MEMBRANA CIELO]]=AY$2,100%,AVANCE[[#This Row],[MEMBRANA CIELO]])</f>
        <v>0</v>
      </c>
      <c r="CN261" s="3">
        <f>+IF(AVANCE[[#This Row],[LIMPIEZA FINAL]]=AZ$2,100%,AVANCE[[#This Row],[LIMPIEZA FINAL]])</f>
        <v>0</v>
      </c>
      <c r="CO261" s="3">
        <f>+IF(AVANCE[[#This Row],[PUERTAS DORMITORIO]]=BA$2,100%,AVANCE[[#This Row],[PUERTAS DORMITORIO]])</f>
        <v>0</v>
      </c>
      <c r="CP261" s="3">
        <f>+IF(AVANCE[[#This Row],[REVESTIMIENTO INTERIOR BANO]]=BB$2,100%,AVANCE[[#This Row],[REVESTIMIENTO INTERIOR BANO]])</f>
        <v>0</v>
      </c>
      <c r="CQ261" s="3">
        <f>+IF(AVANCE[[#This Row],[MUEBLE LAVAPLATOS]]=BC$2,100%,AVANCE[[#This Row],[MUEBLE LAVAPLATOS]])</f>
        <v>0</v>
      </c>
      <c r="CR261" s="3">
        <f>+IF(AVANCE[[#This Row],[IMPERMEABILIZACION BANO - COCINA LOGIA]]=BD$2,100%,AVANCE[[#This Row],[IMPERMEABILIZACION BANO - COCINA LOGIA]])</f>
        <v>0</v>
      </c>
      <c r="CS261" s="40">
        <f ca="1">+IF(AVANCE[[#This Row],[ESTADO MODULO]]="PENDIENTE",(TODAY()-AVANCE[[#This Row],[FECHA TERMINO  PLANIFICADO]]),0)</f>
        <v>0</v>
      </c>
      <c r="CT261" s="41" t="str" cm="1">
        <f t="array" ref="CT261">_xlfn.TEXTJOIN(" | ",TRUE,IF(SUMPRODUCT((BG261:CR261&lt;1)*(PARTIDAS!$I$2:$AT$2="OBRA GRUESA"))&gt;0,"OBRA GRUESA: "&amp;_xlfn.TEXTJOIN(", ",TRUE,IF((BG261:CR261&lt;1)*(PARTIDAS!$I$2:$AT$2="OBRA GRUESA"),PARTIDAS!$I$1:$AT$1,"")),""),IF(SUMPRODUCT((BG261:CR261&lt;1)*(PARTIDAS!$I$2:$AT$2="SANITARIOS"))&gt;0,"SANITARIOS: "&amp;_xlfn.TEXTJOIN(", ",TRUE,IF((BG261:CR261&lt;1)*(PARTIDAS!$I$2:$AT$2="SANITARIOS"),PARTIDAS!$I$1:$AT$1,"")),""),IF(SUMPRODUCT((BG261:CR261&lt;1)*(PARTIDAS!$I$2:$AT$2="ELÉCTRICO"))&gt;0,"ELÉCTRICO: "&amp;_xlfn.TEXTJOIN(", ",TRUE,IF((BG261:CR261&lt;1)*(PARTIDAS!$I$2:$AT$2="ELÉCTRICO"),PARTIDAS!$I$1:$AT$1,"")),""),IF(SUMPRODUCT((BG261:CR261&lt;1)*(PARTIDAS!$I$2:$AT$2="TERMINACIONES"))&gt;0,"TERMINACIONES: "&amp;_xlfn.TEXTJOIN(", ",TRUE,IF((BG261:CR261&lt;1)*(PARTIDAS!$I$2:$AT$2="TERMINACIONES"),PARTIDAS!$I$1:$AT$1,"")),""))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1" s="43" t="str" cm="1">
        <f t="array" ref="CU261">_xlfn.TEXTJOIN(", ",TRUE,IF(SUMPRODUCT((BG261:CR261&lt;1)*(PARTIDAS!$I$2:$AT$2="OBRA GRUESA"))&gt;0,"OBRA GRUESA",""),IF(SUMPRODUCT((BG261:CR261&lt;1)*(PARTIDAS!$I$2:$AT$2="SANITARIOS"))&gt;0,"SANITARIOS",""),IF(SUMPRODUCT((BG261:CR261&lt;1)*(PARTIDAS!$I$2:$AT$2="ELÉCTRICO"))&gt;0,"ELÉCTRICO",""),IF(SUMPRODUCT((BG261:CR261&lt;1)*(PARTIDAS!$I$2:$AT$2="TERMINACIONES"))&gt;0,"TERMINACIONES",""))</f>
        <v>OBRA GRUESA, SANITARIOS, ELÉCTRICO, TERMINACIONES</v>
      </c>
      <c r="CV261" s="44" cm="1">
        <f t="array" ref="CV261">SUMPRODUCT(--(BG261:CR261&lt;1))</f>
        <v>38</v>
      </c>
    </row>
    <row r="262" spans="1:100" hidden="1" x14ac:dyDescent="0.25">
      <c r="A262" t="s">
        <v>322</v>
      </c>
      <c r="B262" t="s">
        <v>327</v>
      </c>
      <c r="C262">
        <v>2282600261</v>
      </c>
      <c r="D262" t="s">
        <v>58</v>
      </c>
      <c r="E262" s="2">
        <v>0</v>
      </c>
      <c r="F262" s="1">
        <v>46269</v>
      </c>
      <c r="G262" s="1"/>
      <c r="H262" s="1">
        <v>0</v>
      </c>
      <c r="I262" s="1">
        <v>46289</v>
      </c>
      <c r="J262">
        <v>46230</v>
      </c>
      <c r="K262" s="1"/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>
        <v>28.87</v>
      </c>
      <c r="BF262" s="3" t="str">
        <f>+IF(AVANCE[[#This Row],[% AVANCE]]=100%,"MODULO TERMINADO",IF(AVANCE[[#This Row],[FECHA INICIO REAL]]="","MODULO NO INICIADO","PENDIENTE"))</f>
        <v>MODULO NO INICIADO</v>
      </c>
      <c r="BG262" s="3">
        <f>+IF(AVANCE[[#This Row],[VENTANAS]]=8.10810810810811%,100%,AVANCE[[#This Row],[VENTANAS]])</f>
        <v>0</v>
      </c>
      <c r="BH262" s="3">
        <f>+IF(AVANCE[[#This Row],[PISO]]=N$2,100%,AVANCE[[#This Row],[PISO]])</f>
        <v>0</v>
      </c>
      <c r="BI262" s="3">
        <f>+IF(AVANCE[[#This Row],[TABIQUES]]=O$2,100%,AVANCE[[#This Row],[TABIQUES]])</f>
        <v>0</v>
      </c>
      <c r="BJ262" s="3">
        <f>+IF(AVANCE[[#This Row],[MUROS]]=P$2,100%,AVANCE[[#This Row],[MUROS]])</f>
        <v>0</v>
      </c>
      <c r="BK262" s="3">
        <f>+IF(AVANCE[[#This Row],[CIELO]]=Q$2,100%,AVANCE[[#This Row],[CIELO]])</f>
        <v>0</v>
      </c>
      <c r="BL262" s="3">
        <f>+IF(AVANCE[[#This Row],[BALCÓN]]=R$2,100%,AVANCE[[#This Row],[BALCÓN]])</f>
        <v>0</v>
      </c>
      <c r="BM262" s="3">
        <f>+IF(AVANCE[[#This Row],[RED ALCANTARILLADO]]=U$2,100%,AVANCE[[#This Row],[RED ALCANTARILLADO]])</f>
        <v>0</v>
      </c>
      <c r="BN262" s="3">
        <f>+IF(AVANCE[[#This Row],[RED DE AGUA]]=V$2,100%,AVANCE[[#This Row],[RED DE AGUA]])</f>
        <v>0</v>
      </c>
      <c r="BO262" s="3">
        <f>+IF(AVANCE[[#This Row],[VENTILACIONES]]=W$2,100%,AVANCE[[#This Row],[VENTILACIONES]])</f>
        <v>0</v>
      </c>
      <c r="BP262" s="3">
        <f>+IF(AVANCE[[#This Row],[TINA]]=X$2,100%,AVANCE[[#This Row],[TINA]])</f>
        <v>0</v>
      </c>
      <c r="BQ262" s="3">
        <f>+IF(AVANCE[[#This Row],[WC]]=Y$2,100%,AVANCE[[#This Row],[WC]])</f>
        <v>0</v>
      </c>
      <c r="BR262" s="3">
        <f>+IF(AVANCE[[#This Row],[LAVAMANOS / LAVAPLATOS / LAVADERO]]=Z$2,100%,AVANCE[[#This Row],[LAVAMANOS / LAVAPLATOS / LAVADERO]])</f>
        <v>0</v>
      </c>
      <c r="BS262" s="3">
        <f>+IF(AVANCE[[#This Row],[CANALIZACIÓN]]=AC$2,100%,AVANCE[[#This Row],[CANALIZACIÓN]])</f>
        <v>0</v>
      </c>
      <c r="BT262" s="3">
        <f>+IF(AVANCE[[#This Row],[CABLEADO]]=AD$2,100%,AVANCE[[#This Row],[CABLEADO]])</f>
        <v>0</v>
      </c>
      <c r="BU262" s="3">
        <f>+IF(AVANCE[[#This Row],[ARTEFACTOS]]=AE$2,100%,AVANCE[[#This Row],[ARTEFACTOS]])</f>
        <v>0</v>
      </c>
      <c r="BV262" s="3">
        <f>+IF(AVANCE[[#This Row],[TABLERO]]=AF$2,100%,AVANCE[[#This Row],[TABLERO]])</f>
        <v>0</v>
      </c>
      <c r="BW262" s="3">
        <f>+IF(AVANCE[[#This Row],[CAJA PAU]]=AG$2,100%,AVANCE[[#This Row],[CAJA PAU]])</f>
        <v>0</v>
      </c>
      <c r="BX262" s="3">
        <f>+IF(AVANCE[[#This Row],[INSTALACION VINILICO]]=AJ$2,100%,AVANCE[[#This Row],[INSTALACION VINILICO]])</f>
        <v>0</v>
      </c>
      <c r="BY262" s="3">
        <f>+IF(AVANCE[[#This Row],[OSB CUBIERTA]]=AK$2,100%,AVANCE[[#This Row],[OSB CUBIERTA]])</f>
        <v>0</v>
      </c>
      <c r="BZ262" s="3">
        <f>+IF(AVANCE[[#This Row],[BARANDA BALCON]]=AL$2,100%,AVANCE[[#This Row],[BARANDA BALCON]])</f>
        <v>0</v>
      </c>
      <c r="CA262" s="3">
        <f>+IF(AVANCE[[#This Row],[OSB EXTERIOR]]=AM$2,100%,AVANCE[[#This Row],[OSB EXTERIOR]])</f>
        <v>0</v>
      </c>
      <c r="CB262" s="3">
        <f>+IF(AVANCE[[#This Row],[SMART PANEL]]=AN$2,100%,AVANCE[[#This Row],[SMART PANEL]])</f>
        <v>0</v>
      </c>
      <c r="CC262" s="3">
        <f>+IF(AVANCE[[#This Row],[PINTURA EXTERIOR]]=AO$2,100%,AVANCE[[#This Row],[PINTURA EXTERIOR]])</f>
        <v>0</v>
      </c>
      <c r="CD262" s="3">
        <f>+IF(AVANCE[[#This Row],[ZOCALOS LOGIA]]=AP$2,100%,AVANCE[[#This Row],[ZOCALOS LOGIA]])</f>
        <v>0</v>
      </c>
      <c r="CE262" s="3">
        <f>+IF(AVANCE[[#This Row],[MOLDURAS]]=AQ$2,100%,AVANCE[[#This Row],[MOLDURAS]])</f>
        <v>0</v>
      </c>
      <c r="CF262" s="3">
        <f>+IF(AVANCE[[#This Row],[PILASTREO]]=AR$2,100%,AVANCE[[#This Row],[PILASTREO]])</f>
        <v>0</v>
      </c>
      <c r="CG262" s="3">
        <f>+IF(AVANCE[[#This Row],[CELOSIAS]]=AS$2,100%,AVANCE[[#This Row],[CELOSIAS]])</f>
        <v>0</v>
      </c>
      <c r="CH262" s="3">
        <f>+IF(AVANCE[[#This Row],[VENTANAS]]=AT$2,100%,AVANCE[[#This Row],[VENTANAS]])</f>
        <v>0</v>
      </c>
      <c r="CI262" s="3">
        <f>+IF(AVANCE[[#This Row],[PUERTAS ACCESO - LOGIA - BANO]]=AU$2,100%,AVANCE[[#This Row],[PUERTAS ACCESO - LOGIA - BANO]])</f>
        <v>0</v>
      </c>
      <c r="CJ262" s="3">
        <f>+IF(AVANCE[[#This Row],[CERRADURAS]]=AV$2,100%,AVANCE[[#This Row],[CERRADURAS]])</f>
        <v>0</v>
      </c>
      <c r="CK262" s="3">
        <f>+IF(AVANCE[[#This Row],[REVESTIMIENTO INTERIOR ZONA SECA]]=AW$2,100%,AVANCE[[#This Row],[REVESTIMIENTO INTERIOR ZONA SECA]])</f>
        <v>0</v>
      </c>
      <c r="CL262" s="3">
        <f>+IF(AVANCE[[#This Row],[REVESTIMIENTO INTERIOR ZONAS HUMEDAS]]=AX$2,100%,AVANCE[[#This Row],[REVESTIMIENTO INTERIOR ZONAS HUMEDAS]])</f>
        <v>0</v>
      </c>
      <c r="CM262" s="3">
        <f>+IF(AVANCE[[#This Row],[MEMBRANA CIELO]]=AY$2,100%,AVANCE[[#This Row],[MEMBRANA CIELO]])</f>
        <v>0</v>
      </c>
      <c r="CN262" s="3">
        <f>+IF(AVANCE[[#This Row],[LIMPIEZA FINAL]]=AZ$2,100%,AVANCE[[#This Row],[LIMPIEZA FINAL]])</f>
        <v>0</v>
      </c>
      <c r="CO262" s="3">
        <f>+IF(AVANCE[[#This Row],[PUERTAS DORMITORIO]]=BA$2,100%,AVANCE[[#This Row],[PUERTAS DORMITORIO]])</f>
        <v>0</v>
      </c>
      <c r="CP262" s="3">
        <f>+IF(AVANCE[[#This Row],[REVESTIMIENTO INTERIOR BANO]]=BB$2,100%,AVANCE[[#This Row],[REVESTIMIENTO INTERIOR BANO]])</f>
        <v>0</v>
      </c>
      <c r="CQ262" s="3">
        <f>+IF(AVANCE[[#This Row],[MUEBLE LAVAPLATOS]]=BC$2,100%,AVANCE[[#This Row],[MUEBLE LAVAPLATOS]])</f>
        <v>0</v>
      </c>
      <c r="CR262" s="3">
        <f>+IF(AVANCE[[#This Row],[IMPERMEABILIZACION BANO - COCINA LOGIA]]=BD$2,100%,AVANCE[[#This Row],[IMPERMEABILIZACION BANO - COCINA LOGIA]])</f>
        <v>0</v>
      </c>
      <c r="CS262" s="40">
        <f ca="1">+IF(AVANCE[[#This Row],[ESTADO MODULO]]="PENDIENTE",(TODAY()-AVANCE[[#This Row],[FECHA TERMINO  PLANIFICADO]]),0)</f>
        <v>0</v>
      </c>
      <c r="CT262" s="41" t="str" cm="1">
        <f t="array" ref="CT262">_xlfn.TEXTJOIN(" | ",TRUE,IF(SUMPRODUCT((BG262:CR262&lt;1)*(PARTIDAS!$I$2:$AT$2="OBRA GRUESA"))&gt;0,"OBRA GRUESA: "&amp;_xlfn.TEXTJOIN(", ",TRUE,IF((BG262:CR262&lt;1)*(PARTIDAS!$I$2:$AT$2="OBRA GRUESA"),PARTIDAS!$I$1:$AT$1,"")),""),IF(SUMPRODUCT((BG262:CR262&lt;1)*(PARTIDAS!$I$2:$AT$2="SANITARIOS"))&gt;0,"SANITARIOS: "&amp;_xlfn.TEXTJOIN(", ",TRUE,IF((BG262:CR262&lt;1)*(PARTIDAS!$I$2:$AT$2="SANITARIOS"),PARTIDAS!$I$1:$AT$1,"")),""),IF(SUMPRODUCT((BG262:CR262&lt;1)*(PARTIDAS!$I$2:$AT$2="ELÉCTRICO"))&gt;0,"ELÉCTRICO: "&amp;_xlfn.TEXTJOIN(", ",TRUE,IF((BG262:CR262&lt;1)*(PARTIDAS!$I$2:$AT$2="ELÉCTRICO"),PARTIDAS!$I$1:$AT$1,"")),""),IF(SUMPRODUCT((BG262:CR262&lt;1)*(PARTIDAS!$I$2:$AT$2="TERMINACIONES"))&gt;0,"TERMINACIONES: "&amp;_xlfn.TEXTJOIN(", ",TRUE,IF((BG262:CR262&lt;1)*(PARTIDAS!$I$2:$AT$2="TERMINACIONES"),PARTIDAS!$I$1:$AT$1,"")),""))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2" s="43" t="str" cm="1">
        <f t="array" ref="CU262">_xlfn.TEXTJOIN(", ",TRUE,IF(SUMPRODUCT((BG262:CR262&lt;1)*(PARTIDAS!$I$2:$AT$2="OBRA GRUESA"))&gt;0,"OBRA GRUESA",""),IF(SUMPRODUCT((BG262:CR262&lt;1)*(PARTIDAS!$I$2:$AT$2="SANITARIOS"))&gt;0,"SANITARIOS",""),IF(SUMPRODUCT((BG262:CR262&lt;1)*(PARTIDAS!$I$2:$AT$2="ELÉCTRICO"))&gt;0,"ELÉCTRICO",""),IF(SUMPRODUCT((BG262:CR262&lt;1)*(PARTIDAS!$I$2:$AT$2="TERMINACIONES"))&gt;0,"TERMINACIONES",""))</f>
        <v>OBRA GRUESA, SANITARIOS, ELÉCTRICO, TERMINACIONES</v>
      </c>
      <c r="CV262" s="44" cm="1">
        <f t="array" ref="CV262">SUMPRODUCT(--(BG262:CR262&lt;1))</f>
        <v>38</v>
      </c>
    </row>
    <row r="263" spans="1:100" hidden="1" x14ac:dyDescent="0.25">
      <c r="A263" t="s">
        <v>322</v>
      </c>
      <c r="B263" t="s">
        <v>328</v>
      </c>
      <c r="C263">
        <v>2302600262</v>
      </c>
      <c r="D263" t="s">
        <v>60</v>
      </c>
      <c r="E263" s="2">
        <v>0</v>
      </c>
      <c r="F263" s="1">
        <v>46269</v>
      </c>
      <c r="G263" s="1"/>
      <c r="H263" s="1">
        <v>0</v>
      </c>
      <c r="I263" s="1">
        <v>46299</v>
      </c>
      <c r="J263">
        <v>46230</v>
      </c>
      <c r="K263" s="1"/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>
        <v>31.32</v>
      </c>
      <c r="BF263" s="3" t="str">
        <f>+IF(AVANCE[[#This Row],[% AVANCE]]=100%,"MODULO TERMINADO",IF(AVANCE[[#This Row],[FECHA INICIO REAL]]="","MODULO NO INICIADO","PENDIENTE"))</f>
        <v>MODULO NO INICIADO</v>
      </c>
      <c r="BG263" s="3">
        <f>+IF(AVANCE[[#This Row],[VENTANAS]]=8.10810810810811%,100%,AVANCE[[#This Row],[VENTANAS]])</f>
        <v>0</v>
      </c>
      <c r="BH263" s="3">
        <f>+IF(AVANCE[[#This Row],[PISO]]=N$2,100%,AVANCE[[#This Row],[PISO]])</f>
        <v>0</v>
      </c>
      <c r="BI263" s="3">
        <f>+IF(AVANCE[[#This Row],[TABIQUES]]=O$2,100%,AVANCE[[#This Row],[TABIQUES]])</f>
        <v>0</v>
      </c>
      <c r="BJ263" s="3">
        <f>+IF(AVANCE[[#This Row],[MUROS]]=P$2,100%,AVANCE[[#This Row],[MUROS]])</f>
        <v>0</v>
      </c>
      <c r="BK263" s="3">
        <f>+IF(AVANCE[[#This Row],[CIELO]]=Q$2,100%,AVANCE[[#This Row],[CIELO]])</f>
        <v>0</v>
      </c>
      <c r="BL263" s="3">
        <f>+IF(AVANCE[[#This Row],[BALCÓN]]=R$2,100%,AVANCE[[#This Row],[BALCÓN]])</f>
        <v>0</v>
      </c>
      <c r="BM263" s="3">
        <f>+IF(AVANCE[[#This Row],[RED ALCANTARILLADO]]=U$2,100%,AVANCE[[#This Row],[RED ALCANTARILLADO]])</f>
        <v>0</v>
      </c>
      <c r="BN263" s="3">
        <f>+IF(AVANCE[[#This Row],[RED DE AGUA]]=V$2,100%,AVANCE[[#This Row],[RED DE AGUA]])</f>
        <v>0</v>
      </c>
      <c r="BO263" s="3">
        <f>+IF(AVANCE[[#This Row],[VENTILACIONES]]=W$2,100%,AVANCE[[#This Row],[VENTILACIONES]])</f>
        <v>0</v>
      </c>
      <c r="BP263" s="3">
        <f>+IF(AVANCE[[#This Row],[TINA]]=X$2,100%,AVANCE[[#This Row],[TINA]])</f>
        <v>0</v>
      </c>
      <c r="BQ263" s="3">
        <f>+IF(AVANCE[[#This Row],[WC]]=Y$2,100%,AVANCE[[#This Row],[WC]])</f>
        <v>0</v>
      </c>
      <c r="BR263" s="3">
        <f>+IF(AVANCE[[#This Row],[LAVAMANOS / LAVAPLATOS / LAVADERO]]=Z$2,100%,AVANCE[[#This Row],[LAVAMANOS / LAVAPLATOS / LAVADERO]])</f>
        <v>0</v>
      </c>
      <c r="BS263" s="3">
        <f>+IF(AVANCE[[#This Row],[CANALIZACIÓN]]=AC$2,100%,AVANCE[[#This Row],[CANALIZACIÓN]])</f>
        <v>0</v>
      </c>
      <c r="BT263" s="3">
        <f>+IF(AVANCE[[#This Row],[CABLEADO]]=AD$2,100%,AVANCE[[#This Row],[CABLEADO]])</f>
        <v>0</v>
      </c>
      <c r="BU263" s="3">
        <f>+IF(AVANCE[[#This Row],[ARTEFACTOS]]=AE$2,100%,AVANCE[[#This Row],[ARTEFACTOS]])</f>
        <v>0</v>
      </c>
      <c r="BV263" s="3">
        <f>+IF(AVANCE[[#This Row],[TABLERO]]=AF$2,100%,AVANCE[[#This Row],[TABLERO]])</f>
        <v>0</v>
      </c>
      <c r="BW263" s="3">
        <f>+IF(AVANCE[[#This Row],[CAJA PAU]]=AG$2,100%,AVANCE[[#This Row],[CAJA PAU]])</f>
        <v>0</v>
      </c>
      <c r="BX263" s="3">
        <f>+IF(AVANCE[[#This Row],[INSTALACION VINILICO]]=AJ$2,100%,AVANCE[[#This Row],[INSTALACION VINILICO]])</f>
        <v>0</v>
      </c>
      <c r="BY263" s="3">
        <f>+IF(AVANCE[[#This Row],[OSB CUBIERTA]]=AK$2,100%,AVANCE[[#This Row],[OSB CUBIERTA]])</f>
        <v>0</v>
      </c>
      <c r="BZ263" s="3">
        <f>+IF(AVANCE[[#This Row],[BARANDA BALCON]]=AL$2,100%,AVANCE[[#This Row],[BARANDA BALCON]])</f>
        <v>0</v>
      </c>
      <c r="CA263" s="3">
        <f>+IF(AVANCE[[#This Row],[OSB EXTERIOR]]=AM$2,100%,AVANCE[[#This Row],[OSB EXTERIOR]])</f>
        <v>0</v>
      </c>
      <c r="CB263" s="3">
        <f>+IF(AVANCE[[#This Row],[SMART PANEL]]=AN$2,100%,AVANCE[[#This Row],[SMART PANEL]])</f>
        <v>0</v>
      </c>
      <c r="CC263" s="3">
        <f>+IF(AVANCE[[#This Row],[PINTURA EXTERIOR]]=AO$2,100%,AVANCE[[#This Row],[PINTURA EXTERIOR]])</f>
        <v>0</v>
      </c>
      <c r="CD263" s="3">
        <f>+IF(AVANCE[[#This Row],[ZOCALOS LOGIA]]=AP$2,100%,AVANCE[[#This Row],[ZOCALOS LOGIA]])</f>
        <v>0</v>
      </c>
      <c r="CE263" s="3">
        <f>+IF(AVANCE[[#This Row],[MOLDURAS]]=AQ$2,100%,AVANCE[[#This Row],[MOLDURAS]])</f>
        <v>0</v>
      </c>
      <c r="CF263" s="3">
        <f>+IF(AVANCE[[#This Row],[PILASTREO]]=AR$2,100%,AVANCE[[#This Row],[PILASTREO]])</f>
        <v>0</v>
      </c>
      <c r="CG263" s="3">
        <f>+IF(AVANCE[[#This Row],[CELOSIAS]]=AS$2,100%,AVANCE[[#This Row],[CELOSIAS]])</f>
        <v>0</v>
      </c>
      <c r="CH263" s="3">
        <f>+IF(AVANCE[[#This Row],[VENTANAS]]=AT$2,100%,AVANCE[[#This Row],[VENTANAS]])</f>
        <v>0</v>
      </c>
      <c r="CI263" s="3">
        <f>+IF(AVANCE[[#This Row],[PUERTAS ACCESO - LOGIA - BANO]]=AU$2,100%,AVANCE[[#This Row],[PUERTAS ACCESO - LOGIA - BANO]])</f>
        <v>0</v>
      </c>
      <c r="CJ263" s="3">
        <f>+IF(AVANCE[[#This Row],[CERRADURAS]]=AV$2,100%,AVANCE[[#This Row],[CERRADURAS]])</f>
        <v>0</v>
      </c>
      <c r="CK263" s="3">
        <f>+IF(AVANCE[[#This Row],[REVESTIMIENTO INTERIOR ZONA SECA]]=AW$2,100%,AVANCE[[#This Row],[REVESTIMIENTO INTERIOR ZONA SECA]])</f>
        <v>0</v>
      </c>
      <c r="CL263" s="3">
        <f>+IF(AVANCE[[#This Row],[REVESTIMIENTO INTERIOR ZONAS HUMEDAS]]=AX$2,100%,AVANCE[[#This Row],[REVESTIMIENTO INTERIOR ZONAS HUMEDAS]])</f>
        <v>0</v>
      </c>
      <c r="CM263" s="3">
        <f>+IF(AVANCE[[#This Row],[MEMBRANA CIELO]]=AY$2,100%,AVANCE[[#This Row],[MEMBRANA CIELO]])</f>
        <v>0</v>
      </c>
      <c r="CN263" s="3">
        <f>+IF(AVANCE[[#This Row],[LIMPIEZA FINAL]]=AZ$2,100%,AVANCE[[#This Row],[LIMPIEZA FINAL]])</f>
        <v>0</v>
      </c>
      <c r="CO263" s="3">
        <f>+IF(AVANCE[[#This Row],[PUERTAS DORMITORIO]]=BA$2,100%,AVANCE[[#This Row],[PUERTAS DORMITORIO]])</f>
        <v>0</v>
      </c>
      <c r="CP263" s="3">
        <f>+IF(AVANCE[[#This Row],[REVESTIMIENTO INTERIOR BANO]]=BB$2,100%,AVANCE[[#This Row],[REVESTIMIENTO INTERIOR BANO]])</f>
        <v>0</v>
      </c>
      <c r="CQ263" s="3">
        <f>+IF(AVANCE[[#This Row],[MUEBLE LAVAPLATOS]]=BC$2,100%,AVANCE[[#This Row],[MUEBLE LAVAPLATOS]])</f>
        <v>0</v>
      </c>
      <c r="CR263" s="3">
        <f>+IF(AVANCE[[#This Row],[IMPERMEABILIZACION BANO - COCINA LOGIA]]=BD$2,100%,AVANCE[[#This Row],[IMPERMEABILIZACION BANO - COCINA LOGIA]])</f>
        <v>0</v>
      </c>
      <c r="CS263" s="40">
        <f ca="1">+IF(AVANCE[[#This Row],[ESTADO MODULO]]="PENDIENTE",(TODAY()-AVANCE[[#This Row],[FECHA TERMINO  PLANIFICADO]]),0)</f>
        <v>0</v>
      </c>
      <c r="CT263" s="41" t="str" cm="1">
        <f t="array" ref="CT263">_xlfn.TEXTJOIN(" | ",TRUE,IF(SUMPRODUCT((BG263:CR263&lt;1)*(PARTIDAS!$I$2:$AT$2="OBRA GRUESA"))&gt;0,"OBRA GRUESA: "&amp;_xlfn.TEXTJOIN(", ",TRUE,IF((BG263:CR263&lt;1)*(PARTIDAS!$I$2:$AT$2="OBRA GRUESA"),PARTIDAS!$I$1:$AT$1,"")),""),IF(SUMPRODUCT((BG263:CR263&lt;1)*(PARTIDAS!$I$2:$AT$2="SANITARIOS"))&gt;0,"SANITARIOS: "&amp;_xlfn.TEXTJOIN(", ",TRUE,IF((BG263:CR263&lt;1)*(PARTIDAS!$I$2:$AT$2="SANITARIOS"),PARTIDAS!$I$1:$AT$1,"")),""),IF(SUMPRODUCT((BG263:CR263&lt;1)*(PARTIDAS!$I$2:$AT$2="ELÉCTRICO"))&gt;0,"ELÉCTRICO: "&amp;_xlfn.TEXTJOIN(", ",TRUE,IF((BG263:CR263&lt;1)*(PARTIDAS!$I$2:$AT$2="ELÉCTRICO"),PARTIDAS!$I$1:$AT$1,"")),""),IF(SUMPRODUCT((BG263:CR263&lt;1)*(PARTIDAS!$I$2:$AT$2="TERMINACIONES"))&gt;0,"TERMINACIONES: "&amp;_xlfn.TEXTJOIN(", ",TRUE,IF((BG263:CR263&lt;1)*(PARTIDAS!$I$2:$AT$2="TERMINACIONES"),PARTIDAS!$I$1:$AT$1,"")),""))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3" s="43" t="str" cm="1">
        <f t="array" ref="CU263">_xlfn.TEXTJOIN(", ",TRUE,IF(SUMPRODUCT((BG263:CR263&lt;1)*(PARTIDAS!$I$2:$AT$2="OBRA GRUESA"))&gt;0,"OBRA GRUESA",""),IF(SUMPRODUCT((BG263:CR263&lt;1)*(PARTIDAS!$I$2:$AT$2="SANITARIOS"))&gt;0,"SANITARIOS",""),IF(SUMPRODUCT((BG263:CR263&lt;1)*(PARTIDAS!$I$2:$AT$2="ELÉCTRICO"))&gt;0,"ELÉCTRICO",""),IF(SUMPRODUCT((BG263:CR263&lt;1)*(PARTIDAS!$I$2:$AT$2="TERMINACIONES"))&gt;0,"TERMINACIONES",""))</f>
        <v>OBRA GRUESA, SANITARIOS, ELÉCTRICO, TERMINACIONES</v>
      </c>
      <c r="CV263" s="44" cm="1">
        <f t="array" ref="CV263">SUMPRODUCT(--(BG263:CR263&lt;1))</f>
        <v>38</v>
      </c>
    </row>
    <row r="264" spans="1:100" hidden="1" x14ac:dyDescent="0.25">
      <c r="A264" t="s">
        <v>322</v>
      </c>
      <c r="B264" t="s">
        <v>329</v>
      </c>
      <c r="C264">
        <v>2302600263</v>
      </c>
      <c r="D264" t="s">
        <v>60</v>
      </c>
      <c r="E264" s="2">
        <v>0</v>
      </c>
      <c r="F264" s="1">
        <v>46272</v>
      </c>
      <c r="G264" s="1"/>
      <c r="H264" s="1">
        <v>0</v>
      </c>
      <c r="I264" s="1">
        <v>46302</v>
      </c>
      <c r="J264">
        <v>46230</v>
      </c>
      <c r="K264" s="1"/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>
        <v>31.32</v>
      </c>
      <c r="BF264" s="3" t="str">
        <f>+IF(AVANCE[[#This Row],[% AVANCE]]=100%,"MODULO TERMINADO",IF(AVANCE[[#This Row],[FECHA INICIO REAL]]="","MODULO NO INICIADO","PENDIENTE"))</f>
        <v>MODULO NO INICIADO</v>
      </c>
      <c r="BG264" s="3">
        <f>+IF(AVANCE[[#This Row],[VENTANAS]]=8.10810810810811%,100%,AVANCE[[#This Row],[VENTANAS]])</f>
        <v>0</v>
      </c>
      <c r="BH264" s="3">
        <f>+IF(AVANCE[[#This Row],[PISO]]=N$2,100%,AVANCE[[#This Row],[PISO]])</f>
        <v>0</v>
      </c>
      <c r="BI264" s="3">
        <f>+IF(AVANCE[[#This Row],[TABIQUES]]=O$2,100%,AVANCE[[#This Row],[TABIQUES]])</f>
        <v>0</v>
      </c>
      <c r="BJ264" s="3">
        <f>+IF(AVANCE[[#This Row],[MUROS]]=P$2,100%,AVANCE[[#This Row],[MUROS]])</f>
        <v>0</v>
      </c>
      <c r="BK264" s="3">
        <f>+IF(AVANCE[[#This Row],[CIELO]]=Q$2,100%,AVANCE[[#This Row],[CIELO]])</f>
        <v>0</v>
      </c>
      <c r="BL264" s="3">
        <f>+IF(AVANCE[[#This Row],[BALCÓN]]=R$2,100%,AVANCE[[#This Row],[BALCÓN]])</f>
        <v>0</v>
      </c>
      <c r="BM264" s="3">
        <f>+IF(AVANCE[[#This Row],[RED ALCANTARILLADO]]=U$2,100%,AVANCE[[#This Row],[RED ALCANTARILLADO]])</f>
        <v>0</v>
      </c>
      <c r="BN264" s="3">
        <f>+IF(AVANCE[[#This Row],[RED DE AGUA]]=V$2,100%,AVANCE[[#This Row],[RED DE AGUA]])</f>
        <v>0</v>
      </c>
      <c r="BO264" s="3">
        <f>+IF(AVANCE[[#This Row],[VENTILACIONES]]=W$2,100%,AVANCE[[#This Row],[VENTILACIONES]])</f>
        <v>0</v>
      </c>
      <c r="BP264" s="3">
        <f>+IF(AVANCE[[#This Row],[TINA]]=X$2,100%,AVANCE[[#This Row],[TINA]])</f>
        <v>0</v>
      </c>
      <c r="BQ264" s="3">
        <f>+IF(AVANCE[[#This Row],[WC]]=Y$2,100%,AVANCE[[#This Row],[WC]])</f>
        <v>0</v>
      </c>
      <c r="BR264" s="3">
        <f>+IF(AVANCE[[#This Row],[LAVAMANOS / LAVAPLATOS / LAVADERO]]=Z$2,100%,AVANCE[[#This Row],[LAVAMANOS / LAVAPLATOS / LAVADERO]])</f>
        <v>0</v>
      </c>
      <c r="BS264" s="3">
        <f>+IF(AVANCE[[#This Row],[CANALIZACIÓN]]=AC$2,100%,AVANCE[[#This Row],[CANALIZACIÓN]])</f>
        <v>0</v>
      </c>
      <c r="BT264" s="3">
        <f>+IF(AVANCE[[#This Row],[CABLEADO]]=AD$2,100%,AVANCE[[#This Row],[CABLEADO]])</f>
        <v>0</v>
      </c>
      <c r="BU264" s="3">
        <f>+IF(AVANCE[[#This Row],[ARTEFACTOS]]=AE$2,100%,AVANCE[[#This Row],[ARTEFACTOS]])</f>
        <v>0</v>
      </c>
      <c r="BV264" s="3">
        <f>+IF(AVANCE[[#This Row],[TABLERO]]=AF$2,100%,AVANCE[[#This Row],[TABLERO]])</f>
        <v>0</v>
      </c>
      <c r="BW264" s="3">
        <f>+IF(AVANCE[[#This Row],[CAJA PAU]]=AG$2,100%,AVANCE[[#This Row],[CAJA PAU]])</f>
        <v>0</v>
      </c>
      <c r="BX264" s="3">
        <f>+IF(AVANCE[[#This Row],[INSTALACION VINILICO]]=AJ$2,100%,AVANCE[[#This Row],[INSTALACION VINILICO]])</f>
        <v>0</v>
      </c>
      <c r="BY264" s="3">
        <f>+IF(AVANCE[[#This Row],[OSB CUBIERTA]]=AK$2,100%,AVANCE[[#This Row],[OSB CUBIERTA]])</f>
        <v>0</v>
      </c>
      <c r="BZ264" s="3">
        <f>+IF(AVANCE[[#This Row],[BARANDA BALCON]]=AL$2,100%,AVANCE[[#This Row],[BARANDA BALCON]])</f>
        <v>0</v>
      </c>
      <c r="CA264" s="3">
        <f>+IF(AVANCE[[#This Row],[OSB EXTERIOR]]=AM$2,100%,AVANCE[[#This Row],[OSB EXTERIOR]])</f>
        <v>0</v>
      </c>
      <c r="CB264" s="3">
        <f>+IF(AVANCE[[#This Row],[SMART PANEL]]=AN$2,100%,AVANCE[[#This Row],[SMART PANEL]])</f>
        <v>0</v>
      </c>
      <c r="CC264" s="3">
        <f>+IF(AVANCE[[#This Row],[PINTURA EXTERIOR]]=AO$2,100%,AVANCE[[#This Row],[PINTURA EXTERIOR]])</f>
        <v>0</v>
      </c>
      <c r="CD264" s="3">
        <f>+IF(AVANCE[[#This Row],[ZOCALOS LOGIA]]=AP$2,100%,AVANCE[[#This Row],[ZOCALOS LOGIA]])</f>
        <v>0</v>
      </c>
      <c r="CE264" s="3">
        <f>+IF(AVANCE[[#This Row],[MOLDURAS]]=AQ$2,100%,AVANCE[[#This Row],[MOLDURAS]])</f>
        <v>0</v>
      </c>
      <c r="CF264" s="3">
        <f>+IF(AVANCE[[#This Row],[PILASTREO]]=AR$2,100%,AVANCE[[#This Row],[PILASTREO]])</f>
        <v>0</v>
      </c>
      <c r="CG264" s="3">
        <f>+IF(AVANCE[[#This Row],[CELOSIAS]]=AS$2,100%,AVANCE[[#This Row],[CELOSIAS]])</f>
        <v>0</v>
      </c>
      <c r="CH264" s="3">
        <f>+IF(AVANCE[[#This Row],[VENTANAS]]=AT$2,100%,AVANCE[[#This Row],[VENTANAS]])</f>
        <v>0</v>
      </c>
      <c r="CI264" s="3">
        <f>+IF(AVANCE[[#This Row],[PUERTAS ACCESO - LOGIA - BANO]]=AU$2,100%,AVANCE[[#This Row],[PUERTAS ACCESO - LOGIA - BANO]])</f>
        <v>0</v>
      </c>
      <c r="CJ264" s="3">
        <f>+IF(AVANCE[[#This Row],[CERRADURAS]]=AV$2,100%,AVANCE[[#This Row],[CERRADURAS]])</f>
        <v>0</v>
      </c>
      <c r="CK264" s="3">
        <f>+IF(AVANCE[[#This Row],[REVESTIMIENTO INTERIOR ZONA SECA]]=AW$2,100%,AVANCE[[#This Row],[REVESTIMIENTO INTERIOR ZONA SECA]])</f>
        <v>0</v>
      </c>
      <c r="CL264" s="3">
        <f>+IF(AVANCE[[#This Row],[REVESTIMIENTO INTERIOR ZONAS HUMEDAS]]=AX$2,100%,AVANCE[[#This Row],[REVESTIMIENTO INTERIOR ZONAS HUMEDAS]])</f>
        <v>0</v>
      </c>
      <c r="CM264" s="3">
        <f>+IF(AVANCE[[#This Row],[MEMBRANA CIELO]]=AY$2,100%,AVANCE[[#This Row],[MEMBRANA CIELO]])</f>
        <v>0</v>
      </c>
      <c r="CN264" s="3">
        <f>+IF(AVANCE[[#This Row],[LIMPIEZA FINAL]]=AZ$2,100%,AVANCE[[#This Row],[LIMPIEZA FINAL]])</f>
        <v>0</v>
      </c>
      <c r="CO264" s="3">
        <f>+IF(AVANCE[[#This Row],[PUERTAS DORMITORIO]]=BA$2,100%,AVANCE[[#This Row],[PUERTAS DORMITORIO]])</f>
        <v>0</v>
      </c>
      <c r="CP264" s="3">
        <f>+IF(AVANCE[[#This Row],[REVESTIMIENTO INTERIOR BANO]]=BB$2,100%,AVANCE[[#This Row],[REVESTIMIENTO INTERIOR BANO]])</f>
        <v>0</v>
      </c>
      <c r="CQ264" s="3">
        <f>+IF(AVANCE[[#This Row],[MUEBLE LAVAPLATOS]]=BC$2,100%,AVANCE[[#This Row],[MUEBLE LAVAPLATOS]])</f>
        <v>0</v>
      </c>
      <c r="CR264" s="3">
        <f>+IF(AVANCE[[#This Row],[IMPERMEABILIZACION BANO - COCINA LOGIA]]=BD$2,100%,AVANCE[[#This Row],[IMPERMEABILIZACION BANO - COCINA LOGIA]])</f>
        <v>0</v>
      </c>
      <c r="CS264" s="40">
        <f ca="1">+IF(AVANCE[[#This Row],[ESTADO MODULO]]="PENDIENTE",(TODAY()-AVANCE[[#This Row],[FECHA TERMINO  PLANIFICADO]]),0)</f>
        <v>0</v>
      </c>
      <c r="CT264" s="41" t="str" cm="1">
        <f t="array" ref="CT264">_xlfn.TEXTJOIN(" | ",TRUE,IF(SUMPRODUCT((BG264:CR264&lt;1)*(PARTIDAS!$I$2:$AT$2="OBRA GRUESA"))&gt;0,"OBRA GRUESA: "&amp;_xlfn.TEXTJOIN(", ",TRUE,IF((BG264:CR264&lt;1)*(PARTIDAS!$I$2:$AT$2="OBRA GRUESA"),PARTIDAS!$I$1:$AT$1,"")),""),IF(SUMPRODUCT((BG264:CR264&lt;1)*(PARTIDAS!$I$2:$AT$2="SANITARIOS"))&gt;0,"SANITARIOS: "&amp;_xlfn.TEXTJOIN(", ",TRUE,IF((BG264:CR264&lt;1)*(PARTIDAS!$I$2:$AT$2="SANITARIOS"),PARTIDAS!$I$1:$AT$1,"")),""),IF(SUMPRODUCT((BG264:CR264&lt;1)*(PARTIDAS!$I$2:$AT$2="ELÉCTRICO"))&gt;0,"ELÉCTRICO: "&amp;_xlfn.TEXTJOIN(", ",TRUE,IF((BG264:CR264&lt;1)*(PARTIDAS!$I$2:$AT$2="ELÉCTRICO"),PARTIDAS!$I$1:$AT$1,"")),""),IF(SUMPRODUCT((BG264:CR264&lt;1)*(PARTIDAS!$I$2:$AT$2="TERMINACIONES"))&gt;0,"TERMINACIONES: "&amp;_xlfn.TEXTJOIN(", ",TRUE,IF((BG264:CR264&lt;1)*(PARTIDAS!$I$2:$AT$2="TERMINACIONES"),PARTIDAS!$I$1:$AT$1,"")),""))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4" s="43" t="str" cm="1">
        <f t="array" ref="CU264">_xlfn.TEXTJOIN(", ",TRUE,IF(SUMPRODUCT((BG264:CR264&lt;1)*(PARTIDAS!$I$2:$AT$2="OBRA GRUESA"))&gt;0,"OBRA GRUESA",""),IF(SUMPRODUCT((BG264:CR264&lt;1)*(PARTIDAS!$I$2:$AT$2="SANITARIOS"))&gt;0,"SANITARIOS",""),IF(SUMPRODUCT((BG264:CR264&lt;1)*(PARTIDAS!$I$2:$AT$2="ELÉCTRICO"))&gt;0,"ELÉCTRICO",""),IF(SUMPRODUCT((BG264:CR264&lt;1)*(PARTIDAS!$I$2:$AT$2="TERMINACIONES"))&gt;0,"TERMINACIONES",""))</f>
        <v>OBRA GRUESA, SANITARIOS, ELÉCTRICO, TERMINACIONES</v>
      </c>
      <c r="CV264" s="44" cm="1">
        <f t="array" ref="CV264">SUMPRODUCT(--(BG264:CR264&lt;1))</f>
        <v>38</v>
      </c>
    </row>
    <row r="265" spans="1:100" hidden="1" x14ac:dyDescent="0.25">
      <c r="A265" t="s">
        <v>322</v>
      </c>
      <c r="B265" t="s">
        <v>330</v>
      </c>
      <c r="C265">
        <v>2282600264</v>
      </c>
      <c r="D265" t="s">
        <v>58</v>
      </c>
      <c r="E265" s="2">
        <v>0</v>
      </c>
      <c r="F265" s="1">
        <v>46272</v>
      </c>
      <c r="G265" s="1"/>
      <c r="H265" s="1">
        <v>0</v>
      </c>
      <c r="I265" s="1">
        <v>46292</v>
      </c>
      <c r="J265">
        <v>46230</v>
      </c>
      <c r="K265" s="1"/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>
        <v>28.87</v>
      </c>
      <c r="BF265" s="3" t="str">
        <f>+IF(AVANCE[[#This Row],[% AVANCE]]=100%,"MODULO TERMINADO",IF(AVANCE[[#This Row],[FECHA INICIO REAL]]="","MODULO NO INICIADO","PENDIENTE"))</f>
        <v>MODULO NO INICIADO</v>
      </c>
      <c r="BG265" s="3">
        <f>+IF(AVANCE[[#This Row],[VENTANAS]]=8.10810810810811%,100%,AVANCE[[#This Row],[VENTANAS]])</f>
        <v>0</v>
      </c>
      <c r="BH265" s="3">
        <f>+IF(AVANCE[[#This Row],[PISO]]=N$2,100%,AVANCE[[#This Row],[PISO]])</f>
        <v>0</v>
      </c>
      <c r="BI265" s="3">
        <f>+IF(AVANCE[[#This Row],[TABIQUES]]=O$2,100%,AVANCE[[#This Row],[TABIQUES]])</f>
        <v>0</v>
      </c>
      <c r="BJ265" s="3">
        <f>+IF(AVANCE[[#This Row],[MUROS]]=P$2,100%,AVANCE[[#This Row],[MUROS]])</f>
        <v>0</v>
      </c>
      <c r="BK265" s="3">
        <f>+IF(AVANCE[[#This Row],[CIELO]]=Q$2,100%,AVANCE[[#This Row],[CIELO]])</f>
        <v>0</v>
      </c>
      <c r="BL265" s="3">
        <f>+IF(AVANCE[[#This Row],[BALCÓN]]=R$2,100%,AVANCE[[#This Row],[BALCÓN]])</f>
        <v>0</v>
      </c>
      <c r="BM265" s="3">
        <f>+IF(AVANCE[[#This Row],[RED ALCANTARILLADO]]=U$2,100%,AVANCE[[#This Row],[RED ALCANTARILLADO]])</f>
        <v>0</v>
      </c>
      <c r="BN265" s="3">
        <f>+IF(AVANCE[[#This Row],[RED DE AGUA]]=V$2,100%,AVANCE[[#This Row],[RED DE AGUA]])</f>
        <v>0</v>
      </c>
      <c r="BO265" s="3">
        <f>+IF(AVANCE[[#This Row],[VENTILACIONES]]=W$2,100%,AVANCE[[#This Row],[VENTILACIONES]])</f>
        <v>0</v>
      </c>
      <c r="BP265" s="3">
        <f>+IF(AVANCE[[#This Row],[TINA]]=X$2,100%,AVANCE[[#This Row],[TINA]])</f>
        <v>0</v>
      </c>
      <c r="BQ265" s="3">
        <f>+IF(AVANCE[[#This Row],[WC]]=Y$2,100%,AVANCE[[#This Row],[WC]])</f>
        <v>0</v>
      </c>
      <c r="BR265" s="3">
        <f>+IF(AVANCE[[#This Row],[LAVAMANOS / LAVAPLATOS / LAVADERO]]=Z$2,100%,AVANCE[[#This Row],[LAVAMANOS / LAVAPLATOS / LAVADERO]])</f>
        <v>0</v>
      </c>
      <c r="BS265" s="3">
        <f>+IF(AVANCE[[#This Row],[CANALIZACIÓN]]=AC$2,100%,AVANCE[[#This Row],[CANALIZACIÓN]])</f>
        <v>0</v>
      </c>
      <c r="BT265" s="3">
        <f>+IF(AVANCE[[#This Row],[CABLEADO]]=AD$2,100%,AVANCE[[#This Row],[CABLEADO]])</f>
        <v>0</v>
      </c>
      <c r="BU265" s="3">
        <f>+IF(AVANCE[[#This Row],[ARTEFACTOS]]=AE$2,100%,AVANCE[[#This Row],[ARTEFACTOS]])</f>
        <v>0</v>
      </c>
      <c r="BV265" s="3">
        <f>+IF(AVANCE[[#This Row],[TABLERO]]=AF$2,100%,AVANCE[[#This Row],[TABLERO]])</f>
        <v>0</v>
      </c>
      <c r="BW265" s="3">
        <f>+IF(AVANCE[[#This Row],[CAJA PAU]]=AG$2,100%,AVANCE[[#This Row],[CAJA PAU]])</f>
        <v>0</v>
      </c>
      <c r="BX265" s="3">
        <f>+IF(AVANCE[[#This Row],[INSTALACION VINILICO]]=AJ$2,100%,AVANCE[[#This Row],[INSTALACION VINILICO]])</f>
        <v>0</v>
      </c>
      <c r="BY265" s="3">
        <f>+IF(AVANCE[[#This Row],[OSB CUBIERTA]]=AK$2,100%,AVANCE[[#This Row],[OSB CUBIERTA]])</f>
        <v>0</v>
      </c>
      <c r="BZ265" s="3">
        <f>+IF(AVANCE[[#This Row],[BARANDA BALCON]]=AL$2,100%,AVANCE[[#This Row],[BARANDA BALCON]])</f>
        <v>0</v>
      </c>
      <c r="CA265" s="3">
        <f>+IF(AVANCE[[#This Row],[OSB EXTERIOR]]=AM$2,100%,AVANCE[[#This Row],[OSB EXTERIOR]])</f>
        <v>0</v>
      </c>
      <c r="CB265" s="3">
        <f>+IF(AVANCE[[#This Row],[SMART PANEL]]=AN$2,100%,AVANCE[[#This Row],[SMART PANEL]])</f>
        <v>0</v>
      </c>
      <c r="CC265" s="3">
        <f>+IF(AVANCE[[#This Row],[PINTURA EXTERIOR]]=AO$2,100%,AVANCE[[#This Row],[PINTURA EXTERIOR]])</f>
        <v>0</v>
      </c>
      <c r="CD265" s="3">
        <f>+IF(AVANCE[[#This Row],[ZOCALOS LOGIA]]=AP$2,100%,AVANCE[[#This Row],[ZOCALOS LOGIA]])</f>
        <v>0</v>
      </c>
      <c r="CE265" s="3">
        <f>+IF(AVANCE[[#This Row],[MOLDURAS]]=AQ$2,100%,AVANCE[[#This Row],[MOLDURAS]])</f>
        <v>0</v>
      </c>
      <c r="CF265" s="3">
        <f>+IF(AVANCE[[#This Row],[PILASTREO]]=AR$2,100%,AVANCE[[#This Row],[PILASTREO]])</f>
        <v>0</v>
      </c>
      <c r="CG265" s="3">
        <f>+IF(AVANCE[[#This Row],[CELOSIAS]]=AS$2,100%,AVANCE[[#This Row],[CELOSIAS]])</f>
        <v>0</v>
      </c>
      <c r="CH265" s="3">
        <f>+IF(AVANCE[[#This Row],[VENTANAS]]=AT$2,100%,AVANCE[[#This Row],[VENTANAS]])</f>
        <v>0</v>
      </c>
      <c r="CI265" s="3">
        <f>+IF(AVANCE[[#This Row],[PUERTAS ACCESO - LOGIA - BANO]]=AU$2,100%,AVANCE[[#This Row],[PUERTAS ACCESO - LOGIA - BANO]])</f>
        <v>0</v>
      </c>
      <c r="CJ265" s="3">
        <f>+IF(AVANCE[[#This Row],[CERRADURAS]]=AV$2,100%,AVANCE[[#This Row],[CERRADURAS]])</f>
        <v>0</v>
      </c>
      <c r="CK265" s="3">
        <f>+IF(AVANCE[[#This Row],[REVESTIMIENTO INTERIOR ZONA SECA]]=AW$2,100%,AVANCE[[#This Row],[REVESTIMIENTO INTERIOR ZONA SECA]])</f>
        <v>0</v>
      </c>
      <c r="CL265" s="3">
        <f>+IF(AVANCE[[#This Row],[REVESTIMIENTO INTERIOR ZONAS HUMEDAS]]=AX$2,100%,AVANCE[[#This Row],[REVESTIMIENTO INTERIOR ZONAS HUMEDAS]])</f>
        <v>0</v>
      </c>
      <c r="CM265" s="3">
        <f>+IF(AVANCE[[#This Row],[MEMBRANA CIELO]]=AY$2,100%,AVANCE[[#This Row],[MEMBRANA CIELO]])</f>
        <v>0</v>
      </c>
      <c r="CN265" s="3">
        <f>+IF(AVANCE[[#This Row],[LIMPIEZA FINAL]]=AZ$2,100%,AVANCE[[#This Row],[LIMPIEZA FINAL]])</f>
        <v>0</v>
      </c>
      <c r="CO265" s="3">
        <f>+IF(AVANCE[[#This Row],[PUERTAS DORMITORIO]]=BA$2,100%,AVANCE[[#This Row],[PUERTAS DORMITORIO]])</f>
        <v>0</v>
      </c>
      <c r="CP265" s="3">
        <f>+IF(AVANCE[[#This Row],[REVESTIMIENTO INTERIOR BANO]]=BB$2,100%,AVANCE[[#This Row],[REVESTIMIENTO INTERIOR BANO]])</f>
        <v>0</v>
      </c>
      <c r="CQ265" s="3">
        <f>+IF(AVANCE[[#This Row],[MUEBLE LAVAPLATOS]]=BC$2,100%,AVANCE[[#This Row],[MUEBLE LAVAPLATOS]])</f>
        <v>0</v>
      </c>
      <c r="CR265" s="3">
        <f>+IF(AVANCE[[#This Row],[IMPERMEABILIZACION BANO - COCINA LOGIA]]=BD$2,100%,AVANCE[[#This Row],[IMPERMEABILIZACION BANO - COCINA LOGIA]])</f>
        <v>0</v>
      </c>
      <c r="CS265" s="40">
        <f ca="1">+IF(AVANCE[[#This Row],[ESTADO MODULO]]="PENDIENTE",(TODAY()-AVANCE[[#This Row],[FECHA TERMINO  PLANIFICADO]]),0)</f>
        <v>0</v>
      </c>
      <c r="CT265" s="41" t="str" cm="1">
        <f t="array" ref="CT265">_xlfn.TEXTJOIN(" | ",TRUE,IF(SUMPRODUCT((BG265:CR265&lt;1)*(PARTIDAS!$I$2:$AT$2="OBRA GRUESA"))&gt;0,"OBRA GRUESA: "&amp;_xlfn.TEXTJOIN(", ",TRUE,IF((BG265:CR265&lt;1)*(PARTIDAS!$I$2:$AT$2="OBRA GRUESA"),PARTIDAS!$I$1:$AT$1,"")),""),IF(SUMPRODUCT((BG265:CR265&lt;1)*(PARTIDAS!$I$2:$AT$2="SANITARIOS"))&gt;0,"SANITARIOS: "&amp;_xlfn.TEXTJOIN(", ",TRUE,IF((BG265:CR265&lt;1)*(PARTIDAS!$I$2:$AT$2="SANITARIOS"),PARTIDAS!$I$1:$AT$1,"")),""),IF(SUMPRODUCT((BG265:CR265&lt;1)*(PARTIDAS!$I$2:$AT$2="ELÉCTRICO"))&gt;0,"ELÉCTRICO: "&amp;_xlfn.TEXTJOIN(", ",TRUE,IF((BG265:CR265&lt;1)*(PARTIDAS!$I$2:$AT$2="ELÉCTRICO"),PARTIDAS!$I$1:$AT$1,"")),""),IF(SUMPRODUCT((BG265:CR265&lt;1)*(PARTIDAS!$I$2:$AT$2="TERMINACIONES"))&gt;0,"TERMINACIONES: "&amp;_xlfn.TEXTJOIN(", ",TRUE,IF((BG265:CR265&lt;1)*(PARTIDAS!$I$2:$AT$2="TERMINACIONES"),PARTIDAS!$I$1:$AT$1,"")),""))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5" s="43" t="str" cm="1">
        <f t="array" ref="CU265">_xlfn.TEXTJOIN(", ",TRUE,IF(SUMPRODUCT((BG265:CR265&lt;1)*(PARTIDAS!$I$2:$AT$2="OBRA GRUESA"))&gt;0,"OBRA GRUESA",""),IF(SUMPRODUCT((BG265:CR265&lt;1)*(PARTIDAS!$I$2:$AT$2="SANITARIOS"))&gt;0,"SANITARIOS",""),IF(SUMPRODUCT((BG265:CR265&lt;1)*(PARTIDAS!$I$2:$AT$2="ELÉCTRICO"))&gt;0,"ELÉCTRICO",""),IF(SUMPRODUCT((BG265:CR265&lt;1)*(PARTIDAS!$I$2:$AT$2="TERMINACIONES"))&gt;0,"TERMINACIONES",""))</f>
        <v>OBRA GRUESA, SANITARIOS, ELÉCTRICO, TERMINACIONES</v>
      </c>
      <c r="CV265" s="44" cm="1">
        <f t="array" ref="CV265">SUMPRODUCT(--(BG265:CR265&lt;1))</f>
        <v>38</v>
      </c>
    </row>
    <row r="266" spans="1:100" hidden="1" x14ac:dyDescent="0.25">
      <c r="A266" t="s">
        <v>322</v>
      </c>
      <c r="B266" t="s">
        <v>331</v>
      </c>
      <c r="C266">
        <v>2282600265</v>
      </c>
      <c r="D266" t="s">
        <v>58</v>
      </c>
      <c r="E266" s="2">
        <v>0</v>
      </c>
      <c r="F266" s="1">
        <v>46272</v>
      </c>
      <c r="G266" s="1"/>
      <c r="H266" s="1">
        <v>0</v>
      </c>
      <c r="I266" s="1">
        <v>46292</v>
      </c>
      <c r="J266">
        <v>46230</v>
      </c>
      <c r="K266" s="1"/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>
        <v>28.87</v>
      </c>
      <c r="BF266" s="3" t="str">
        <f>+IF(AVANCE[[#This Row],[% AVANCE]]=100%,"MODULO TERMINADO",IF(AVANCE[[#This Row],[FECHA INICIO REAL]]="","MODULO NO INICIADO","PENDIENTE"))</f>
        <v>MODULO NO INICIADO</v>
      </c>
      <c r="BG266" s="3">
        <f>+IF(AVANCE[[#This Row],[VENTANAS]]=8.10810810810811%,100%,AVANCE[[#This Row],[VENTANAS]])</f>
        <v>0</v>
      </c>
      <c r="BH266" s="3">
        <f>+IF(AVANCE[[#This Row],[PISO]]=N$2,100%,AVANCE[[#This Row],[PISO]])</f>
        <v>0</v>
      </c>
      <c r="BI266" s="3">
        <f>+IF(AVANCE[[#This Row],[TABIQUES]]=O$2,100%,AVANCE[[#This Row],[TABIQUES]])</f>
        <v>0</v>
      </c>
      <c r="BJ266" s="3">
        <f>+IF(AVANCE[[#This Row],[MUROS]]=P$2,100%,AVANCE[[#This Row],[MUROS]])</f>
        <v>0</v>
      </c>
      <c r="BK266" s="3">
        <f>+IF(AVANCE[[#This Row],[CIELO]]=Q$2,100%,AVANCE[[#This Row],[CIELO]])</f>
        <v>0</v>
      </c>
      <c r="BL266" s="3">
        <f>+IF(AVANCE[[#This Row],[BALCÓN]]=R$2,100%,AVANCE[[#This Row],[BALCÓN]])</f>
        <v>0</v>
      </c>
      <c r="BM266" s="3">
        <f>+IF(AVANCE[[#This Row],[RED ALCANTARILLADO]]=U$2,100%,AVANCE[[#This Row],[RED ALCANTARILLADO]])</f>
        <v>0</v>
      </c>
      <c r="BN266" s="3">
        <f>+IF(AVANCE[[#This Row],[RED DE AGUA]]=V$2,100%,AVANCE[[#This Row],[RED DE AGUA]])</f>
        <v>0</v>
      </c>
      <c r="BO266" s="3">
        <f>+IF(AVANCE[[#This Row],[VENTILACIONES]]=W$2,100%,AVANCE[[#This Row],[VENTILACIONES]])</f>
        <v>0</v>
      </c>
      <c r="BP266" s="3">
        <f>+IF(AVANCE[[#This Row],[TINA]]=X$2,100%,AVANCE[[#This Row],[TINA]])</f>
        <v>0</v>
      </c>
      <c r="BQ266" s="3">
        <f>+IF(AVANCE[[#This Row],[WC]]=Y$2,100%,AVANCE[[#This Row],[WC]])</f>
        <v>0</v>
      </c>
      <c r="BR266" s="3">
        <f>+IF(AVANCE[[#This Row],[LAVAMANOS / LAVAPLATOS / LAVADERO]]=Z$2,100%,AVANCE[[#This Row],[LAVAMANOS / LAVAPLATOS / LAVADERO]])</f>
        <v>0</v>
      </c>
      <c r="BS266" s="3">
        <f>+IF(AVANCE[[#This Row],[CANALIZACIÓN]]=AC$2,100%,AVANCE[[#This Row],[CANALIZACIÓN]])</f>
        <v>0</v>
      </c>
      <c r="BT266" s="3">
        <f>+IF(AVANCE[[#This Row],[CABLEADO]]=AD$2,100%,AVANCE[[#This Row],[CABLEADO]])</f>
        <v>0</v>
      </c>
      <c r="BU266" s="3">
        <f>+IF(AVANCE[[#This Row],[ARTEFACTOS]]=AE$2,100%,AVANCE[[#This Row],[ARTEFACTOS]])</f>
        <v>0</v>
      </c>
      <c r="BV266" s="3">
        <f>+IF(AVANCE[[#This Row],[TABLERO]]=AF$2,100%,AVANCE[[#This Row],[TABLERO]])</f>
        <v>0</v>
      </c>
      <c r="BW266" s="3">
        <f>+IF(AVANCE[[#This Row],[CAJA PAU]]=AG$2,100%,AVANCE[[#This Row],[CAJA PAU]])</f>
        <v>0</v>
      </c>
      <c r="BX266" s="3">
        <f>+IF(AVANCE[[#This Row],[INSTALACION VINILICO]]=AJ$2,100%,AVANCE[[#This Row],[INSTALACION VINILICO]])</f>
        <v>0</v>
      </c>
      <c r="BY266" s="3">
        <f>+IF(AVANCE[[#This Row],[OSB CUBIERTA]]=AK$2,100%,AVANCE[[#This Row],[OSB CUBIERTA]])</f>
        <v>0</v>
      </c>
      <c r="BZ266" s="3">
        <f>+IF(AVANCE[[#This Row],[BARANDA BALCON]]=AL$2,100%,AVANCE[[#This Row],[BARANDA BALCON]])</f>
        <v>0</v>
      </c>
      <c r="CA266" s="3">
        <f>+IF(AVANCE[[#This Row],[OSB EXTERIOR]]=AM$2,100%,AVANCE[[#This Row],[OSB EXTERIOR]])</f>
        <v>0</v>
      </c>
      <c r="CB266" s="3">
        <f>+IF(AVANCE[[#This Row],[SMART PANEL]]=AN$2,100%,AVANCE[[#This Row],[SMART PANEL]])</f>
        <v>0</v>
      </c>
      <c r="CC266" s="3">
        <f>+IF(AVANCE[[#This Row],[PINTURA EXTERIOR]]=AO$2,100%,AVANCE[[#This Row],[PINTURA EXTERIOR]])</f>
        <v>0</v>
      </c>
      <c r="CD266" s="3">
        <f>+IF(AVANCE[[#This Row],[ZOCALOS LOGIA]]=AP$2,100%,AVANCE[[#This Row],[ZOCALOS LOGIA]])</f>
        <v>0</v>
      </c>
      <c r="CE266" s="3">
        <f>+IF(AVANCE[[#This Row],[MOLDURAS]]=AQ$2,100%,AVANCE[[#This Row],[MOLDURAS]])</f>
        <v>0</v>
      </c>
      <c r="CF266" s="3">
        <f>+IF(AVANCE[[#This Row],[PILASTREO]]=AR$2,100%,AVANCE[[#This Row],[PILASTREO]])</f>
        <v>0</v>
      </c>
      <c r="CG266" s="3">
        <f>+IF(AVANCE[[#This Row],[CELOSIAS]]=AS$2,100%,AVANCE[[#This Row],[CELOSIAS]])</f>
        <v>0</v>
      </c>
      <c r="CH266" s="3">
        <f>+IF(AVANCE[[#This Row],[VENTANAS]]=AT$2,100%,AVANCE[[#This Row],[VENTANAS]])</f>
        <v>0</v>
      </c>
      <c r="CI266" s="3">
        <f>+IF(AVANCE[[#This Row],[PUERTAS ACCESO - LOGIA - BANO]]=AU$2,100%,AVANCE[[#This Row],[PUERTAS ACCESO - LOGIA - BANO]])</f>
        <v>0</v>
      </c>
      <c r="CJ266" s="3">
        <f>+IF(AVANCE[[#This Row],[CERRADURAS]]=AV$2,100%,AVANCE[[#This Row],[CERRADURAS]])</f>
        <v>0</v>
      </c>
      <c r="CK266" s="3">
        <f>+IF(AVANCE[[#This Row],[REVESTIMIENTO INTERIOR ZONA SECA]]=AW$2,100%,AVANCE[[#This Row],[REVESTIMIENTO INTERIOR ZONA SECA]])</f>
        <v>0</v>
      </c>
      <c r="CL266" s="3">
        <f>+IF(AVANCE[[#This Row],[REVESTIMIENTO INTERIOR ZONAS HUMEDAS]]=AX$2,100%,AVANCE[[#This Row],[REVESTIMIENTO INTERIOR ZONAS HUMEDAS]])</f>
        <v>0</v>
      </c>
      <c r="CM266" s="3">
        <f>+IF(AVANCE[[#This Row],[MEMBRANA CIELO]]=AY$2,100%,AVANCE[[#This Row],[MEMBRANA CIELO]])</f>
        <v>0</v>
      </c>
      <c r="CN266" s="3">
        <f>+IF(AVANCE[[#This Row],[LIMPIEZA FINAL]]=AZ$2,100%,AVANCE[[#This Row],[LIMPIEZA FINAL]])</f>
        <v>0</v>
      </c>
      <c r="CO266" s="3">
        <f>+IF(AVANCE[[#This Row],[PUERTAS DORMITORIO]]=BA$2,100%,AVANCE[[#This Row],[PUERTAS DORMITORIO]])</f>
        <v>0</v>
      </c>
      <c r="CP266" s="3">
        <f>+IF(AVANCE[[#This Row],[REVESTIMIENTO INTERIOR BANO]]=BB$2,100%,AVANCE[[#This Row],[REVESTIMIENTO INTERIOR BANO]])</f>
        <v>0</v>
      </c>
      <c r="CQ266" s="3">
        <f>+IF(AVANCE[[#This Row],[MUEBLE LAVAPLATOS]]=BC$2,100%,AVANCE[[#This Row],[MUEBLE LAVAPLATOS]])</f>
        <v>0</v>
      </c>
      <c r="CR266" s="3">
        <f>+IF(AVANCE[[#This Row],[IMPERMEABILIZACION BANO - COCINA LOGIA]]=BD$2,100%,AVANCE[[#This Row],[IMPERMEABILIZACION BANO - COCINA LOGIA]])</f>
        <v>0</v>
      </c>
      <c r="CS266" s="40">
        <f ca="1">+IF(AVANCE[[#This Row],[ESTADO MODULO]]="PENDIENTE",(TODAY()-AVANCE[[#This Row],[FECHA TERMINO  PLANIFICADO]]),0)</f>
        <v>0</v>
      </c>
      <c r="CT266" s="41" t="str" cm="1">
        <f t="array" ref="CT266">_xlfn.TEXTJOIN(" | ",TRUE,IF(SUMPRODUCT((BG266:CR266&lt;1)*(PARTIDAS!$I$2:$AT$2="OBRA GRUESA"))&gt;0,"OBRA GRUESA: "&amp;_xlfn.TEXTJOIN(", ",TRUE,IF((BG266:CR266&lt;1)*(PARTIDAS!$I$2:$AT$2="OBRA GRUESA"),PARTIDAS!$I$1:$AT$1,"")),""),IF(SUMPRODUCT((BG266:CR266&lt;1)*(PARTIDAS!$I$2:$AT$2="SANITARIOS"))&gt;0,"SANITARIOS: "&amp;_xlfn.TEXTJOIN(", ",TRUE,IF((BG266:CR266&lt;1)*(PARTIDAS!$I$2:$AT$2="SANITARIOS"),PARTIDAS!$I$1:$AT$1,"")),""),IF(SUMPRODUCT((BG266:CR266&lt;1)*(PARTIDAS!$I$2:$AT$2="ELÉCTRICO"))&gt;0,"ELÉCTRICO: "&amp;_xlfn.TEXTJOIN(", ",TRUE,IF((BG266:CR266&lt;1)*(PARTIDAS!$I$2:$AT$2="ELÉCTRICO"),PARTIDAS!$I$1:$AT$1,"")),""),IF(SUMPRODUCT((BG266:CR266&lt;1)*(PARTIDAS!$I$2:$AT$2="TERMINACIONES"))&gt;0,"TERMINACIONES: "&amp;_xlfn.TEXTJOIN(", ",TRUE,IF((BG266:CR266&lt;1)*(PARTIDAS!$I$2:$AT$2="TERMINACIONES"),PARTIDAS!$I$1:$AT$1,"")),""))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6" s="43" t="str" cm="1">
        <f t="array" ref="CU266">_xlfn.TEXTJOIN(", ",TRUE,IF(SUMPRODUCT((BG266:CR266&lt;1)*(PARTIDAS!$I$2:$AT$2="OBRA GRUESA"))&gt;0,"OBRA GRUESA",""),IF(SUMPRODUCT((BG266:CR266&lt;1)*(PARTIDAS!$I$2:$AT$2="SANITARIOS"))&gt;0,"SANITARIOS",""),IF(SUMPRODUCT((BG266:CR266&lt;1)*(PARTIDAS!$I$2:$AT$2="ELÉCTRICO"))&gt;0,"ELÉCTRICO",""),IF(SUMPRODUCT((BG266:CR266&lt;1)*(PARTIDAS!$I$2:$AT$2="TERMINACIONES"))&gt;0,"TERMINACIONES",""))</f>
        <v>OBRA GRUESA, SANITARIOS, ELÉCTRICO, TERMINACIONES</v>
      </c>
      <c r="CV266" s="44" cm="1">
        <f t="array" ref="CV266">SUMPRODUCT(--(BG266:CR266&lt;1))</f>
        <v>38</v>
      </c>
    </row>
    <row r="267" spans="1:100" hidden="1" x14ac:dyDescent="0.25">
      <c r="A267" t="s">
        <v>322</v>
      </c>
      <c r="B267" t="s">
        <v>332</v>
      </c>
      <c r="C267">
        <v>2302600266</v>
      </c>
      <c r="D267" t="s">
        <v>60</v>
      </c>
      <c r="E267" s="2">
        <v>0</v>
      </c>
      <c r="F267" s="1">
        <v>46273</v>
      </c>
      <c r="G267" s="1"/>
      <c r="H267" s="1">
        <v>0</v>
      </c>
      <c r="I267" s="1">
        <v>46303</v>
      </c>
      <c r="J267">
        <v>46230</v>
      </c>
      <c r="K267" s="1"/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>
        <v>31.32</v>
      </c>
      <c r="BF267" s="3" t="str">
        <f>+IF(AVANCE[[#This Row],[% AVANCE]]=100%,"MODULO TERMINADO",IF(AVANCE[[#This Row],[FECHA INICIO REAL]]="","MODULO NO INICIADO","PENDIENTE"))</f>
        <v>MODULO NO INICIADO</v>
      </c>
      <c r="BG267" s="3">
        <f>+IF(AVANCE[[#This Row],[VENTANAS]]=8.10810810810811%,100%,AVANCE[[#This Row],[VENTANAS]])</f>
        <v>0</v>
      </c>
      <c r="BH267" s="3">
        <f>+IF(AVANCE[[#This Row],[PISO]]=N$2,100%,AVANCE[[#This Row],[PISO]])</f>
        <v>0</v>
      </c>
      <c r="BI267" s="3">
        <f>+IF(AVANCE[[#This Row],[TABIQUES]]=O$2,100%,AVANCE[[#This Row],[TABIQUES]])</f>
        <v>0</v>
      </c>
      <c r="BJ267" s="3">
        <f>+IF(AVANCE[[#This Row],[MUROS]]=P$2,100%,AVANCE[[#This Row],[MUROS]])</f>
        <v>0</v>
      </c>
      <c r="BK267" s="3">
        <f>+IF(AVANCE[[#This Row],[CIELO]]=Q$2,100%,AVANCE[[#This Row],[CIELO]])</f>
        <v>0</v>
      </c>
      <c r="BL267" s="3">
        <f>+IF(AVANCE[[#This Row],[BALCÓN]]=R$2,100%,AVANCE[[#This Row],[BALCÓN]])</f>
        <v>0</v>
      </c>
      <c r="BM267" s="3">
        <f>+IF(AVANCE[[#This Row],[RED ALCANTARILLADO]]=U$2,100%,AVANCE[[#This Row],[RED ALCANTARILLADO]])</f>
        <v>0</v>
      </c>
      <c r="BN267" s="3">
        <f>+IF(AVANCE[[#This Row],[RED DE AGUA]]=V$2,100%,AVANCE[[#This Row],[RED DE AGUA]])</f>
        <v>0</v>
      </c>
      <c r="BO267" s="3">
        <f>+IF(AVANCE[[#This Row],[VENTILACIONES]]=W$2,100%,AVANCE[[#This Row],[VENTILACIONES]])</f>
        <v>0</v>
      </c>
      <c r="BP267" s="3">
        <f>+IF(AVANCE[[#This Row],[TINA]]=X$2,100%,AVANCE[[#This Row],[TINA]])</f>
        <v>0</v>
      </c>
      <c r="BQ267" s="3">
        <f>+IF(AVANCE[[#This Row],[WC]]=Y$2,100%,AVANCE[[#This Row],[WC]])</f>
        <v>0</v>
      </c>
      <c r="BR267" s="3">
        <f>+IF(AVANCE[[#This Row],[LAVAMANOS / LAVAPLATOS / LAVADERO]]=Z$2,100%,AVANCE[[#This Row],[LAVAMANOS / LAVAPLATOS / LAVADERO]])</f>
        <v>0</v>
      </c>
      <c r="BS267" s="3">
        <f>+IF(AVANCE[[#This Row],[CANALIZACIÓN]]=AC$2,100%,AVANCE[[#This Row],[CANALIZACIÓN]])</f>
        <v>0</v>
      </c>
      <c r="BT267" s="3">
        <f>+IF(AVANCE[[#This Row],[CABLEADO]]=AD$2,100%,AVANCE[[#This Row],[CABLEADO]])</f>
        <v>0</v>
      </c>
      <c r="BU267" s="3">
        <f>+IF(AVANCE[[#This Row],[ARTEFACTOS]]=AE$2,100%,AVANCE[[#This Row],[ARTEFACTOS]])</f>
        <v>0</v>
      </c>
      <c r="BV267" s="3">
        <f>+IF(AVANCE[[#This Row],[TABLERO]]=AF$2,100%,AVANCE[[#This Row],[TABLERO]])</f>
        <v>0</v>
      </c>
      <c r="BW267" s="3">
        <f>+IF(AVANCE[[#This Row],[CAJA PAU]]=AG$2,100%,AVANCE[[#This Row],[CAJA PAU]])</f>
        <v>0</v>
      </c>
      <c r="BX267" s="3">
        <f>+IF(AVANCE[[#This Row],[INSTALACION VINILICO]]=AJ$2,100%,AVANCE[[#This Row],[INSTALACION VINILICO]])</f>
        <v>0</v>
      </c>
      <c r="BY267" s="3">
        <f>+IF(AVANCE[[#This Row],[OSB CUBIERTA]]=AK$2,100%,AVANCE[[#This Row],[OSB CUBIERTA]])</f>
        <v>0</v>
      </c>
      <c r="BZ267" s="3">
        <f>+IF(AVANCE[[#This Row],[BARANDA BALCON]]=AL$2,100%,AVANCE[[#This Row],[BARANDA BALCON]])</f>
        <v>0</v>
      </c>
      <c r="CA267" s="3">
        <f>+IF(AVANCE[[#This Row],[OSB EXTERIOR]]=AM$2,100%,AVANCE[[#This Row],[OSB EXTERIOR]])</f>
        <v>0</v>
      </c>
      <c r="CB267" s="3">
        <f>+IF(AVANCE[[#This Row],[SMART PANEL]]=AN$2,100%,AVANCE[[#This Row],[SMART PANEL]])</f>
        <v>0</v>
      </c>
      <c r="CC267" s="3">
        <f>+IF(AVANCE[[#This Row],[PINTURA EXTERIOR]]=AO$2,100%,AVANCE[[#This Row],[PINTURA EXTERIOR]])</f>
        <v>0</v>
      </c>
      <c r="CD267" s="3">
        <f>+IF(AVANCE[[#This Row],[ZOCALOS LOGIA]]=AP$2,100%,AVANCE[[#This Row],[ZOCALOS LOGIA]])</f>
        <v>0</v>
      </c>
      <c r="CE267" s="3">
        <f>+IF(AVANCE[[#This Row],[MOLDURAS]]=AQ$2,100%,AVANCE[[#This Row],[MOLDURAS]])</f>
        <v>0</v>
      </c>
      <c r="CF267" s="3">
        <f>+IF(AVANCE[[#This Row],[PILASTREO]]=AR$2,100%,AVANCE[[#This Row],[PILASTREO]])</f>
        <v>0</v>
      </c>
      <c r="CG267" s="3">
        <f>+IF(AVANCE[[#This Row],[CELOSIAS]]=AS$2,100%,AVANCE[[#This Row],[CELOSIAS]])</f>
        <v>0</v>
      </c>
      <c r="CH267" s="3">
        <f>+IF(AVANCE[[#This Row],[VENTANAS]]=AT$2,100%,AVANCE[[#This Row],[VENTANAS]])</f>
        <v>0</v>
      </c>
      <c r="CI267" s="3">
        <f>+IF(AVANCE[[#This Row],[PUERTAS ACCESO - LOGIA - BANO]]=AU$2,100%,AVANCE[[#This Row],[PUERTAS ACCESO - LOGIA - BANO]])</f>
        <v>0</v>
      </c>
      <c r="CJ267" s="3">
        <f>+IF(AVANCE[[#This Row],[CERRADURAS]]=AV$2,100%,AVANCE[[#This Row],[CERRADURAS]])</f>
        <v>0</v>
      </c>
      <c r="CK267" s="3">
        <f>+IF(AVANCE[[#This Row],[REVESTIMIENTO INTERIOR ZONA SECA]]=AW$2,100%,AVANCE[[#This Row],[REVESTIMIENTO INTERIOR ZONA SECA]])</f>
        <v>0</v>
      </c>
      <c r="CL267" s="3">
        <f>+IF(AVANCE[[#This Row],[REVESTIMIENTO INTERIOR ZONAS HUMEDAS]]=AX$2,100%,AVANCE[[#This Row],[REVESTIMIENTO INTERIOR ZONAS HUMEDAS]])</f>
        <v>0</v>
      </c>
      <c r="CM267" s="3">
        <f>+IF(AVANCE[[#This Row],[MEMBRANA CIELO]]=AY$2,100%,AVANCE[[#This Row],[MEMBRANA CIELO]])</f>
        <v>0</v>
      </c>
      <c r="CN267" s="3">
        <f>+IF(AVANCE[[#This Row],[LIMPIEZA FINAL]]=AZ$2,100%,AVANCE[[#This Row],[LIMPIEZA FINAL]])</f>
        <v>0</v>
      </c>
      <c r="CO267" s="3">
        <f>+IF(AVANCE[[#This Row],[PUERTAS DORMITORIO]]=BA$2,100%,AVANCE[[#This Row],[PUERTAS DORMITORIO]])</f>
        <v>0</v>
      </c>
      <c r="CP267" s="3">
        <f>+IF(AVANCE[[#This Row],[REVESTIMIENTO INTERIOR BANO]]=BB$2,100%,AVANCE[[#This Row],[REVESTIMIENTO INTERIOR BANO]])</f>
        <v>0</v>
      </c>
      <c r="CQ267" s="3">
        <f>+IF(AVANCE[[#This Row],[MUEBLE LAVAPLATOS]]=BC$2,100%,AVANCE[[#This Row],[MUEBLE LAVAPLATOS]])</f>
        <v>0</v>
      </c>
      <c r="CR267" s="3">
        <f>+IF(AVANCE[[#This Row],[IMPERMEABILIZACION BANO - COCINA LOGIA]]=BD$2,100%,AVANCE[[#This Row],[IMPERMEABILIZACION BANO - COCINA LOGIA]])</f>
        <v>0</v>
      </c>
      <c r="CS267" s="40">
        <f ca="1">+IF(AVANCE[[#This Row],[ESTADO MODULO]]="PENDIENTE",(TODAY()-AVANCE[[#This Row],[FECHA TERMINO  PLANIFICADO]]),0)</f>
        <v>0</v>
      </c>
      <c r="CT267" s="41" t="str" cm="1">
        <f t="array" ref="CT267">_xlfn.TEXTJOIN(" | ",TRUE,IF(SUMPRODUCT((BG267:CR267&lt;1)*(PARTIDAS!$I$2:$AT$2="OBRA GRUESA"))&gt;0,"OBRA GRUESA: "&amp;_xlfn.TEXTJOIN(", ",TRUE,IF((BG267:CR267&lt;1)*(PARTIDAS!$I$2:$AT$2="OBRA GRUESA"),PARTIDAS!$I$1:$AT$1,"")),""),IF(SUMPRODUCT((BG267:CR267&lt;1)*(PARTIDAS!$I$2:$AT$2="SANITARIOS"))&gt;0,"SANITARIOS: "&amp;_xlfn.TEXTJOIN(", ",TRUE,IF((BG267:CR267&lt;1)*(PARTIDAS!$I$2:$AT$2="SANITARIOS"),PARTIDAS!$I$1:$AT$1,"")),""),IF(SUMPRODUCT((BG267:CR267&lt;1)*(PARTIDAS!$I$2:$AT$2="ELÉCTRICO"))&gt;0,"ELÉCTRICO: "&amp;_xlfn.TEXTJOIN(", ",TRUE,IF((BG267:CR267&lt;1)*(PARTIDAS!$I$2:$AT$2="ELÉCTRICO"),PARTIDAS!$I$1:$AT$1,"")),""),IF(SUMPRODUCT((BG267:CR267&lt;1)*(PARTIDAS!$I$2:$AT$2="TERMINACIONES"))&gt;0,"TERMINACIONES: "&amp;_xlfn.TEXTJOIN(", ",TRUE,IF((BG267:CR267&lt;1)*(PARTIDAS!$I$2:$AT$2="TERMINACIONES"),PARTIDAS!$I$1:$AT$1,"")),""))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7" s="43" t="str" cm="1">
        <f t="array" ref="CU267">_xlfn.TEXTJOIN(", ",TRUE,IF(SUMPRODUCT((BG267:CR267&lt;1)*(PARTIDAS!$I$2:$AT$2="OBRA GRUESA"))&gt;0,"OBRA GRUESA",""),IF(SUMPRODUCT((BG267:CR267&lt;1)*(PARTIDAS!$I$2:$AT$2="SANITARIOS"))&gt;0,"SANITARIOS",""),IF(SUMPRODUCT((BG267:CR267&lt;1)*(PARTIDAS!$I$2:$AT$2="ELÉCTRICO"))&gt;0,"ELÉCTRICO",""),IF(SUMPRODUCT((BG267:CR267&lt;1)*(PARTIDAS!$I$2:$AT$2="TERMINACIONES"))&gt;0,"TERMINACIONES",""))</f>
        <v>OBRA GRUESA, SANITARIOS, ELÉCTRICO, TERMINACIONES</v>
      </c>
      <c r="CV267" s="44" cm="1">
        <f t="array" ref="CV267">SUMPRODUCT(--(BG267:CR267&lt;1))</f>
        <v>38</v>
      </c>
    </row>
    <row r="268" spans="1:100" hidden="1" x14ac:dyDescent="0.25">
      <c r="A268" t="s">
        <v>322</v>
      </c>
      <c r="B268" t="s">
        <v>333</v>
      </c>
      <c r="C268">
        <v>2302600267</v>
      </c>
      <c r="D268" t="s">
        <v>60</v>
      </c>
      <c r="E268" s="2">
        <v>0</v>
      </c>
      <c r="F268" s="1">
        <v>46273</v>
      </c>
      <c r="G268" s="1"/>
      <c r="H268" s="1">
        <v>0</v>
      </c>
      <c r="I268" s="1">
        <v>46303</v>
      </c>
      <c r="J268">
        <v>46230</v>
      </c>
      <c r="K268" s="1"/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>
        <v>31.32</v>
      </c>
      <c r="BF268" s="3" t="str">
        <f>+IF(AVANCE[[#This Row],[% AVANCE]]=100%,"MODULO TERMINADO",IF(AVANCE[[#This Row],[FECHA INICIO REAL]]="","MODULO NO INICIADO","PENDIENTE"))</f>
        <v>MODULO NO INICIADO</v>
      </c>
      <c r="BG268" s="3">
        <f>+IF(AVANCE[[#This Row],[VENTANAS]]=8.10810810810811%,100%,AVANCE[[#This Row],[VENTANAS]])</f>
        <v>0</v>
      </c>
      <c r="BH268" s="3">
        <f>+IF(AVANCE[[#This Row],[PISO]]=N$2,100%,AVANCE[[#This Row],[PISO]])</f>
        <v>0</v>
      </c>
      <c r="BI268" s="3">
        <f>+IF(AVANCE[[#This Row],[TABIQUES]]=O$2,100%,AVANCE[[#This Row],[TABIQUES]])</f>
        <v>0</v>
      </c>
      <c r="BJ268" s="3">
        <f>+IF(AVANCE[[#This Row],[MUROS]]=P$2,100%,AVANCE[[#This Row],[MUROS]])</f>
        <v>0</v>
      </c>
      <c r="BK268" s="3">
        <f>+IF(AVANCE[[#This Row],[CIELO]]=Q$2,100%,AVANCE[[#This Row],[CIELO]])</f>
        <v>0</v>
      </c>
      <c r="BL268" s="3">
        <f>+IF(AVANCE[[#This Row],[BALCÓN]]=R$2,100%,AVANCE[[#This Row],[BALCÓN]])</f>
        <v>0</v>
      </c>
      <c r="BM268" s="3">
        <f>+IF(AVANCE[[#This Row],[RED ALCANTARILLADO]]=U$2,100%,AVANCE[[#This Row],[RED ALCANTARILLADO]])</f>
        <v>0</v>
      </c>
      <c r="BN268" s="3">
        <f>+IF(AVANCE[[#This Row],[RED DE AGUA]]=V$2,100%,AVANCE[[#This Row],[RED DE AGUA]])</f>
        <v>0</v>
      </c>
      <c r="BO268" s="3">
        <f>+IF(AVANCE[[#This Row],[VENTILACIONES]]=W$2,100%,AVANCE[[#This Row],[VENTILACIONES]])</f>
        <v>0</v>
      </c>
      <c r="BP268" s="3">
        <f>+IF(AVANCE[[#This Row],[TINA]]=X$2,100%,AVANCE[[#This Row],[TINA]])</f>
        <v>0</v>
      </c>
      <c r="BQ268" s="3">
        <f>+IF(AVANCE[[#This Row],[WC]]=Y$2,100%,AVANCE[[#This Row],[WC]])</f>
        <v>0</v>
      </c>
      <c r="BR268" s="3">
        <f>+IF(AVANCE[[#This Row],[LAVAMANOS / LAVAPLATOS / LAVADERO]]=Z$2,100%,AVANCE[[#This Row],[LAVAMANOS / LAVAPLATOS / LAVADERO]])</f>
        <v>0</v>
      </c>
      <c r="BS268" s="3">
        <f>+IF(AVANCE[[#This Row],[CANALIZACIÓN]]=AC$2,100%,AVANCE[[#This Row],[CANALIZACIÓN]])</f>
        <v>0</v>
      </c>
      <c r="BT268" s="3">
        <f>+IF(AVANCE[[#This Row],[CABLEADO]]=AD$2,100%,AVANCE[[#This Row],[CABLEADO]])</f>
        <v>0</v>
      </c>
      <c r="BU268" s="3">
        <f>+IF(AVANCE[[#This Row],[ARTEFACTOS]]=AE$2,100%,AVANCE[[#This Row],[ARTEFACTOS]])</f>
        <v>0</v>
      </c>
      <c r="BV268" s="3">
        <f>+IF(AVANCE[[#This Row],[TABLERO]]=AF$2,100%,AVANCE[[#This Row],[TABLERO]])</f>
        <v>0</v>
      </c>
      <c r="BW268" s="3">
        <f>+IF(AVANCE[[#This Row],[CAJA PAU]]=AG$2,100%,AVANCE[[#This Row],[CAJA PAU]])</f>
        <v>0</v>
      </c>
      <c r="BX268" s="3">
        <f>+IF(AVANCE[[#This Row],[INSTALACION VINILICO]]=AJ$2,100%,AVANCE[[#This Row],[INSTALACION VINILICO]])</f>
        <v>0</v>
      </c>
      <c r="BY268" s="3">
        <f>+IF(AVANCE[[#This Row],[OSB CUBIERTA]]=AK$2,100%,AVANCE[[#This Row],[OSB CUBIERTA]])</f>
        <v>0</v>
      </c>
      <c r="BZ268" s="3">
        <f>+IF(AVANCE[[#This Row],[BARANDA BALCON]]=AL$2,100%,AVANCE[[#This Row],[BARANDA BALCON]])</f>
        <v>0</v>
      </c>
      <c r="CA268" s="3">
        <f>+IF(AVANCE[[#This Row],[OSB EXTERIOR]]=AM$2,100%,AVANCE[[#This Row],[OSB EXTERIOR]])</f>
        <v>0</v>
      </c>
      <c r="CB268" s="3">
        <f>+IF(AVANCE[[#This Row],[SMART PANEL]]=AN$2,100%,AVANCE[[#This Row],[SMART PANEL]])</f>
        <v>0</v>
      </c>
      <c r="CC268" s="3">
        <f>+IF(AVANCE[[#This Row],[PINTURA EXTERIOR]]=AO$2,100%,AVANCE[[#This Row],[PINTURA EXTERIOR]])</f>
        <v>0</v>
      </c>
      <c r="CD268" s="3">
        <f>+IF(AVANCE[[#This Row],[ZOCALOS LOGIA]]=AP$2,100%,AVANCE[[#This Row],[ZOCALOS LOGIA]])</f>
        <v>0</v>
      </c>
      <c r="CE268" s="3">
        <f>+IF(AVANCE[[#This Row],[MOLDURAS]]=AQ$2,100%,AVANCE[[#This Row],[MOLDURAS]])</f>
        <v>0</v>
      </c>
      <c r="CF268" s="3">
        <f>+IF(AVANCE[[#This Row],[PILASTREO]]=AR$2,100%,AVANCE[[#This Row],[PILASTREO]])</f>
        <v>0</v>
      </c>
      <c r="CG268" s="3">
        <f>+IF(AVANCE[[#This Row],[CELOSIAS]]=AS$2,100%,AVANCE[[#This Row],[CELOSIAS]])</f>
        <v>0</v>
      </c>
      <c r="CH268" s="3">
        <f>+IF(AVANCE[[#This Row],[VENTANAS]]=AT$2,100%,AVANCE[[#This Row],[VENTANAS]])</f>
        <v>0</v>
      </c>
      <c r="CI268" s="3">
        <f>+IF(AVANCE[[#This Row],[PUERTAS ACCESO - LOGIA - BANO]]=AU$2,100%,AVANCE[[#This Row],[PUERTAS ACCESO - LOGIA - BANO]])</f>
        <v>0</v>
      </c>
      <c r="CJ268" s="3">
        <f>+IF(AVANCE[[#This Row],[CERRADURAS]]=AV$2,100%,AVANCE[[#This Row],[CERRADURAS]])</f>
        <v>0</v>
      </c>
      <c r="CK268" s="3">
        <f>+IF(AVANCE[[#This Row],[REVESTIMIENTO INTERIOR ZONA SECA]]=AW$2,100%,AVANCE[[#This Row],[REVESTIMIENTO INTERIOR ZONA SECA]])</f>
        <v>0</v>
      </c>
      <c r="CL268" s="3">
        <f>+IF(AVANCE[[#This Row],[REVESTIMIENTO INTERIOR ZONAS HUMEDAS]]=AX$2,100%,AVANCE[[#This Row],[REVESTIMIENTO INTERIOR ZONAS HUMEDAS]])</f>
        <v>0</v>
      </c>
      <c r="CM268" s="3">
        <f>+IF(AVANCE[[#This Row],[MEMBRANA CIELO]]=AY$2,100%,AVANCE[[#This Row],[MEMBRANA CIELO]])</f>
        <v>0</v>
      </c>
      <c r="CN268" s="3">
        <f>+IF(AVANCE[[#This Row],[LIMPIEZA FINAL]]=AZ$2,100%,AVANCE[[#This Row],[LIMPIEZA FINAL]])</f>
        <v>0</v>
      </c>
      <c r="CO268" s="3">
        <f>+IF(AVANCE[[#This Row],[PUERTAS DORMITORIO]]=BA$2,100%,AVANCE[[#This Row],[PUERTAS DORMITORIO]])</f>
        <v>0</v>
      </c>
      <c r="CP268" s="3">
        <f>+IF(AVANCE[[#This Row],[REVESTIMIENTO INTERIOR BANO]]=BB$2,100%,AVANCE[[#This Row],[REVESTIMIENTO INTERIOR BANO]])</f>
        <v>0</v>
      </c>
      <c r="CQ268" s="3">
        <f>+IF(AVANCE[[#This Row],[MUEBLE LAVAPLATOS]]=BC$2,100%,AVANCE[[#This Row],[MUEBLE LAVAPLATOS]])</f>
        <v>0</v>
      </c>
      <c r="CR268" s="3">
        <f>+IF(AVANCE[[#This Row],[IMPERMEABILIZACION BANO - COCINA LOGIA]]=BD$2,100%,AVANCE[[#This Row],[IMPERMEABILIZACION BANO - COCINA LOGIA]])</f>
        <v>0</v>
      </c>
      <c r="CS268" s="40">
        <f ca="1">+IF(AVANCE[[#This Row],[ESTADO MODULO]]="PENDIENTE",(TODAY()-AVANCE[[#This Row],[FECHA TERMINO  PLANIFICADO]]),0)</f>
        <v>0</v>
      </c>
      <c r="CT268" s="41" t="str" cm="1">
        <f t="array" ref="CT268">_xlfn.TEXTJOIN(" | ",TRUE,IF(SUMPRODUCT((BG268:CR268&lt;1)*(PARTIDAS!$I$2:$AT$2="OBRA GRUESA"))&gt;0,"OBRA GRUESA: "&amp;_xlfn.TEXTJOIN(", ",TRUE,IF((BG268:CR268&lt;1)*(PARTIDAS!$I$2:$AT$2="OBRA GRUESA"),PARTIDAS!$I$1:$AT$1,"")),""),IF(SUMPRODUCT((BG268:CR268&lt;1)*(PARTIDAS!$I$2:$AT$2="SANITARIOS"))&gt;0,"SANITARIOS: "&amp;_xlfn.TEXTJOIN(", ",TRUE,IF((BG268:CR268&lt;1)*(PARTIDAS!$I$2:$AT$2="SANITARIOS"),PARTIDAS!$I$1:$AT$1,"")),""),IF(SUMPRODUCT((BG268:CR268&lt;1)*(PARTIDAS!$I$2:$AT$2="ELÉCTRICO"))&gt;0,"ELÉCTRICO: "&amp;_xlfn.TEXTJOIN(", ",TRUE,IF((BG268:CR268&lt;1)*(PARTIDAS!$I$2:$AT$2="ELÉCTRICO"),PARTIDAS!$I$1:$AT$1,"")),""),IF(SUMPRODUCT((BG268:CR268&lt;1)*(PARTIDAS!$I$2:$AT$2="TERMINACIONES"))&gt;0,"TERMINACIONES: "&amp;_xlfn.TEXTJOIN(", ",TRUE,IF((BG268:CR268&lt;1)*(PARTIDAS!$I$2:$AT$2="TERMINACIONES"),PARTIDAS!$I$1:$AT$1,"")),""))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8" s="43" t="str" cm="1">
        <f t="array" ref="CU268">_xlfn.TEXTJOIN(", ",TRUE,IF(SUMPRODUCT((BG268:CR268&lt;1)*(PARTIDAS!$I$2:$AT$2="OBRA GRUESA"))&gt;0,"OBRA GRUESA",""),IF(SUMPRODUCT((BG268:CR268&lt;1)*(PARTIDAS!$I$2:$AT$2="SANITARIOS"))&gt;0,"SANITARIOS",""),IF(SUMPRODUCT((BG268:CR268&lt;1)*(PARTIDAS!$I$2:$AT$2="ELÉCTRICO"))&gt;0,"ELÉCTRICO",""),IF(SUMPRODUCT((BG268:CR268&lt;1)*(PARTIDAS!$I$2:$AT$2="TERMINACIONES"))&gt;0,"TERMINACIONES",""))</f>
        <v>OBRA GRUESA, SANITARIOS, ELÉCTRICO, TERMINACIONES</v>
      </c>
      <c r="CV268" s="44" cm="1">
        <f t="array" ref="CV268">SUMPRODUCT(--(BG268:CR268&lt;1))</f>
        <v>38</v>
      </c>
    </row>
    <row r="269" spans="1:100" hidden="1" x14ac:dyDescent="0.25">
      <c r="A269" t="s">
        <v>322</v>
      </c>
      <c r="B269" t="s">
        <v>334</v>
      </c>
      <c r="C269">
        <v>2282600268</v>
      </c>
      <c r="D269" t="s">
        <v>58</v>
      </c>
      <c r="E269" s="2">
        <v>0</v>
      </c>
      <c r="F269" s="1">
        <v>46273</v>
      </c>
      <c r="G269" s="1"/>
      <c r="H269" s="1">
        <v>0</v>
      </c>
      <c r="I269" s="1">
        <v>46293</v>
      </c>
      <c r="J269">
        <v>46230</v>
      </c>
      <c r="K269" s="1"/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>
        <v>28.87</v>
      </c>
      <c r="BF269" s="3" t="str">
        <f>+IF(AVANCE[[#This Row],[% AVANCE]]=100%,"MODULO TERMINADO",IF(AVANCE[[#This Row],[FECHA INICIO REAL]]="","MODULO NO INICIADO","PENDIENTE"))</f>
        <v>MODULO NO INICIADO</v>
      </c>
      <c r="BG269" s="3">
        <f>+IF(AVANCE[[#This Row],[VENTANAS]]=8.10810810810811%,100%,AVANCE[[#This Row],[VENTANAS]])</f>
        <v>0</v>
      </c>
      <c r="BH269" s="3">
        <f>+IF(AVANCE[[#This Row],[PISO]]=N$2,100%,AVANCE[[#This Row],[PISO]])</f>
        <v>0</v>
      </c>
      <c r="BI269" s="3">
        <f>+IF(AVANCE[[#This Row],[TABIQUES]]=O$2,100%,AVANCE[[#This Row],[TABIQUES]])</f>
        <v>0</v>
      </c>
      <c r="BJ269" s="3">
        <f>+IF(AVANCE[[#This Row],[MUROS]]=P$2,100%,AVANCE[[#This Row],[MUROS]])</f>
        <v>0</v>
      </c>
      <c r="BK269" s="3">
        <f>+IF(AVANCE[[#This Row],[CIELO]]=Q$2,100%,AVANCE[[#This Row],[CIELO]])</f>
        <v>0</v>
      </c>
      <c r="BL269" s="3">
        <f>+IF(AVANCE[[#This Row],[BALCÓN]]=R$2,100%,AVANCE[[#This Row],[BALCÓN]])</f>
        <v>0</v>
      </c>
      <c r="BM269" s="3">
        <f>+IF(AVANCE[[#This Row],[RED ALCANTARILLADO]]=U$2,100%,AVANCE[[#This Row],[RED ALCANTARILLADO]])</f>
        <v>0</v>
      </c>
      <c r="BN269" s="3">
        <f>+IF(AVANCE[[#This Row],[RED DE AGUA]]=V$2,100%,AVANCE[[#This Row],[RED DE AGUA]])</f>
        <v>0</v>
      </c>
      <c r="BO269" s="3">
        <f>+IF(AVANCE[[#This Row],[VENTILACIONES]]=W$2,100%,AVANCE[[#This Row],[VENTILACIONES]])</f>
        <v>0</v>
      </c>
      <c r="BP269" s="3">
        <f>+IF(AVANCE[[#This Row],[TINA]]=X$2,100%,AVANCE[[#This Row],[TINA]])</f>
        <v>0</v>
      </c>
      <c r="BQ269" s="3">
        <f>+IF(AVANCE[[#This Row],[WC]]=Y$2,100%,AVANCE[[#This Row],[WC]])</f>
        <v>0</v>
      </c>
      <c r="BR269" s="3">
        <f>+IF(AVANCE[[#This Row],[LAVAMANOS / LAVAPLATOS / LAVADERO]]=Z$2,100%,AVANCE[[#This Row],[LAVAMANOS / LAVAPLATOS / LAVADERO]])</f>
        <v>0</v>
      </c>
      <c r="BS269" s="3">
        <f>+IF(AVANCE[[#This Row],[CANALIZACIÓN]]=AC$2,100%,AVANCE[[#This Row],[CANALIZACIÓN]])</f>
        <v>0</v>
      </c>
      <c r="BT269" s="3">
        <f>+IF(AVANCE[[#This Row],[CABLEADO]]=AD$2,100%,AVANCE[[#This Row],[CABLEADO]])</f>
        <v>0</v>
      </c>
      <c r="BU269" s="3">
        <f>+IF(AVANCE[[#This Row],[ARTEFACTOS]]=AE$2,100%,AVANCE[[#This Row],[ARTEFACTOS]])</f>
        <v>0</v>
      </c>
      <c r="BV269" s="3">
        <f>+IF(AVANCE[[#This Row],[TABLERO]]=AF$2,100%,AVANCE[[#This Row],[TABLERO]])</f>
        <v>0</v>
      </c>
      <c r="BW269" s="3">
        <f>+IF(AVANCE[[#This Row],[CAJA PAU]]=AG$2,100%,AVANCE[[#This Row],[CAJA PAU]])</f>
        <v>0</v>
      </c>
      <c r="BX269" s="3">
        <f>+IF(AVANCE[[#This Row],[INSTALACION VINILICO]]=AJ$2,100%,AVANCE[[#This Row],[INSTALACION VINILICO]])</f>
        <v>0</v>
      </c>
      <c r="BY269" s="3">
        <f>+IF(AVANCE[[#This Row],[OSB CUBIERTA]]=AK$2,100%,AVANCE[[#This Row],[OSB CUBIERTA]])</f>
        <v>0</v>
      </c>
      <c r="BZ269" s="3">
        <f>+IF(AVANCE[[#This Row],[BARANDA BALCON]]=AL$2,100%,AVANCE[[#This Row],[BARANDA BALCON]])</f>
        <v>0</v>
      </c>
      <c r="CA269" s="3">
        <f>+IF(AVANCE[[#This Row],[OSB EXTERIOR]]=AM$2,100%,AVANCE[[#This Row],[OSB EXTERIOR]])</f>
        <v>0</v>
      </c>
      <c r="CB269" s="3">
        <f>+IF(AVANCE[[#This Row],[SMART PANEL]]=AN$2,100%,AVANCE[[#This Row],[SMART PANEL]])</f>
        <v>0</v>
      </c>
      <c r="CC269" s="3">
        <f>+IF(AVANCE[[#This Row],[PINTURA EXTERIOR]]=AO$2,100%,AVANCE[[#This Row],[PINTURA EXTERIOR]])</f>
        <v>0</v>
      </c>
      <c r="CD269" s="3">
        <f>+IF(AVANCE[[#This Row],[ZOCALOS LOGIA]]=AP$2,100%,AVANCE[[#This Row],[ZOCALOS LOGIA]])</f>
        <v>0</v>
      </c>
      <c r="CE269" s="3">
        <f>+IF(AVANCE[[#This Row],[MOLDURAS]]=AQ$2,100%,AVANCE[[#This Row],[MOLDURAS]])</f>
        <v>0</v>
      </c>
      <c r="CF269" s="3">
        <f>+IF(AVANCE[[#This Row],[PILASTREO]]=AR$2,100%,AVANCE[[#This Row],[PILASTREO]])</f>
        <v>0</v>
      </c>
      <c r="CG269" s="3">
        <f>+IF(AVANCE[[#This Row],[CELOSIAS]]=AS$2,100%,AVANCE[[#This Row],[CELOSIAS]])</f>
        <v>0</v>
      </c>
      <c r="CH269" s="3">
        <f>+IF(AVANCE[[#This Row],[VENTANAS]]=AT$2,100%,AVANCE[[#This Row],[VENTANAS]])</f>
        <v>0</v>
      </c>
      <c r="CI269" s="3">
        <f>+IF(AVANCE[[#This Row],[PUERTAS ACCESO - LOGIA - BANO]]=AU$2,100%,AVANCE[[#This Row],[PUERTAS ACCESO - LOGIA - BANO]])</f>
        <v>0</v>
      </c>
      <c r="CJ269" s="3">
        <f>+IF(AVANCE[[#This Row],[CERRADURAS]]=AV$2,100%,AVANCE[[#This Row],[CERRADURAS]])</f>
        <v>0</v>
      </c>
      <c r="CK269" s="3">
        <f>+IF(AVANCE[[#This Row],[REVESTIMIENTO INTERIOR ZONA SECA]]=AW$2,100%,AVANCE[[#This Row],[REVESTIMIENTO INTERIOR ZONA SECA]])</f>
        <v>0</v>
      </c>
      <c r="CL269" s="3">
        <f>+IF(AVANCE[[#This Row],[REVESTIMIENTO INTERIOR ZONAS HUMEDAS]]=AX$2,100%,AVANCE[[#This Row],[REVESTIMIENTO INTERIOR ZONAS HUMEDAS]])</f>
        <v>0</v>
      </c>
      <c r="CM269" s="3">
        <f>+IF(AVANCE[[#This Row],[MEMBRANA CIELO]]=AY$2,100%,AVANCE[[#This Row],[MEMBRANA CIELO]])</f>
        <v>0</v>
      </c>
      <c r="CN269" s="3">
        <f>+IF(AVANCE[[#This Row],[LIMPIEZA FINAL]]=AZ$2,100%,AVANCE[[#This Row],[LIMPIEZA FINAL]])</f>
        <v>0</v>
      </c>
      <c r="CO269" s="3">
        <f>+IF(AVANCE[[#This Row],[PUERTAS DORMITORIO]]=BA$2,100%,AVANCE[[#This Row],[PUERTAS DORMITORIO]])</f>
        <v>0</v>
      </c>
      <c r="CP269" s="3">
        <f>+IF(AVANCE[[#This Row],[REVESTIMIENTO INTERIOR BANO]]=BB$2,100%,AVANCE[[#This Row],[REVESTIMIENTO INTERIOR BANO]])</f>
        <v>0</v>
      </c>
      <c r="CQ269" s="3">
        <f>+IF(AVANCE[[#This Row],[MUEBLE LAVAPLATOS]]=BC$2,100%,AVANCE[[#This Row],[MUEBLE LAVAPLATOS]])</f>
        <v>0</v>
      </c>
      <c r="CR269" s="3">
        <f>+IF(AVANCE[[#This Row],[IMPERMEABILIZACION BANO - COCINA LOGIA]]=BD$2,100%,AVANCE[[#This Row],[IMPERMEABILIZACION BANO - COCINA LOGIA]])</f>
        <v>0</v>
      </c>
      <c r="CS269" s="40">
        <f ca="1">+IF(AVANCE[[#This Row],[ESTADO MODULO]]="PENDIENTE",(TODAY()-AVANCE[[#This Row],[FECHA TERMINO  PLANIFICADO]]),0)</f>
        <v>0</v>
      </c>
      <c r="CT269" s="41" t="str" cm="1">
        <f t="array" ref="CT269">_xlfn.TEXTJOIN(" | ",TRUE,IF(SUMPRODUCT((BG269:CR269&lt;1)*(PARTIDAS!$I$2:$AT$2="OBRA GRUESA"))&gt;0,"OBRA GRUESA: "&amp;_xlfn.TEXTJOIN(", ",TRUE,IF((BG269:CR269&lt;1)*(PARTIDAS!$I$2:$AT$2="OBRA GRUESA"),PARTIDAS!$I$1:$AT$1,"")),""),IF(SUMPRODUCT((BG269:CR269&lt;1)*(PARTIDAS!$I$2:$AT$2="SANITARIOS"))&gt;0,"SANITARIOS: "&amp;_xlfn.TEXTJOIN(", ",TRUE,IF((BG269:CR269&lt;1)*(PARTIDAS!$I$2:$AT$2="SANITARIOS"),PARTIDAS!$I$1:$AT$1,"")),""),IF(SUMPRODUCT((BG269:CR269&lt;1)*(PARTIDAS!$I$2:$AT$2="ELÉCTRICO"))&gt;0,"ELÉCTRICO: "&amp;_xlfn.TEXTJOIN(", ",TRUE,IF((BG269:CR269&lt;1)*(PARTIDAS!$I$2:$AT$2="ELÉCTRICO"),PARTIDAS!$I$1:$AT$1,"")),""),IF(SUMPRODUCT((BG269:CR269&lt;1)*(PARTIDAS!$I$2:$AT$2="TERMINACIONES"))&gt;0,"TERMINACIONES: "&amp;_xlfn.TEXTJOIN(", ",TRUE,IF((BG269:CR269&lt;1)*(PARTIDAS!$I$2:$AT$2="TERMINACIONES"),PARTIDAS!$I$1:$AT$1,"")),""))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69" s="43" t="str" cm="1">
        <f t="array" ref="CU269">_xlfn.TEXTJOIN(", ",TRUE,IF(SUMPRODUCT((BG269:CR269&lt;1)*(PARTIDAS!$I$2:$AT$2="OBRA GRUESA"))&gt;0,"OBRA GRUESA",""),IF(SUMPRODUCT((BG269:CR269&lt;1)*(PARTIDAS!$I$2:$AT$2="SANITARIOS"))&gt;0,"SANITARIOS",""),IF(SUMPRODUCT((BG269:CR269&lt;1)*(PARTIDAS!$I$2:$AT$2="ELÉCTRICO"))&gt;0,"ELÉCTRICO",""),IF(SUMPRODUCT((BG269:CR269&lt;1)*(PARTIDAS!$I$2:$AT$2="TERMINACIONES"))&gt;0,"TERMINACIONES",""))</f>
        <v>OBRA GRUESA, SANITARIOS, ELÉCTRICO, TERMINACIONES</v>
      </c>
      <c r="CV269" s="44" cm="1">
        <f t="array" ref="CV269">SUMPRODUCT(--(BG269:CR269&lt;1))</f>
        <v>38</v>
      </c>
    </row>
    <row r="270" spans="1:100" hidden="1" x14ac:dyDescent="0.25">
      <c r="A270" t="s">
        <v>322</v>
      </c>
      <c r="B270" t="s">
        <v>335</v>
      </c>
      <c r="C270">
        <v>2282600269</v>
      </c>
      <c r="D270" t="s">
        <v>58</v>
      </c>
      <c r="E270" s="2">
        <v>0</v>
      </c>
      <c r="F270" s="1">
        <v>46274</v>
      </c>
      <c r="G270" s="1"/>
      <c r="H270" s="1">
        <v>0</v>
      </c>
      <c r="I270" s="1">
        <v>46294</v>
      </c>
      <c r="J270">
        <v>46230</v>
      </c>
      <c r="K270" s="1"/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>
        <v>28.87</v>
      </c>
      <c r="BF270" s="3" t="str">
        <f>+IF(AVANCE[[#This Row],[% AVANCE]]=100%,"MODULO TERMINADO",IF(AVANCE[[#This Row],[FECHA INICIO REAL]]="","MODULO NO INICIADO","PENDIENTE"))</f>
        <v>MODULO NO INICIADO</v>
      </c>
      <c r="BG270" s="3">
        <f>+IF(AVANCE[[#This Row],[VENTANAS]]=8.10810810810811%,100%,AVANCE[[#This Row],[VENTANAS]])</f>
        <v>0</v>
      </c>
      <c r="BH270" s="3">
        <f>+IF(AVANCE[[#This Row],[PISO]]=N$2,100%,AVANCE[[#This Row],[PISO]])</f>
        <v>0</v>
      </c>
      <c r="BI270" s="3">
        <f>+IF(AVANCE[[#This Row],[TABIQUES]]=O$2,100%,AVANCE[[#This Row],[TABIQUES]])</f>
        <v>0</v>
      </c>
      <c r="BJ270" s="3">
        <f>+IF(AVANCE[[#This Row],[MUROS]]=P$2,100%,AVANCE[[#This Row],[MUROS]])</f>
        <v>0</v>
      </c>
      <c r="BK270" s="3">
        <f>+IF(AVANCE[[#This Row],[CIELO]]=Q$2,100%,AVANCE[[#This Row],[CIELO]])</f>
        <v>0</v>
      </c>
      <c r="BL270" s="3">
        <f>+IF(AVANCE[[#This Row],[BALCÓN]]=R$2,100%,AVANCE[[#This Row],[BALCÓN]])</f>
        <v>0</v>
      </c>
      <c r="BM270" s="3">
        <f>+IF(AVANCE[[#This Row],[RED ALCANTARILLADO]]=U$2,100%,AVANCE[[#This Row],[RED ALCANTARILLADO]])</f>
        <v>0</v>
      </c>
      <c r="BN270" s="3">
        <f>+IF(AVANCE[[#This Row],[RED DE AGUA]]=V$2,100%,AVANCE[[#This Row],[RED DE AGUA]])</f>
        <v>0</v>
      </c>
      <c r="BO270" s="3">
        <f>+IF(AVANCE[[#This Row],[VENTILACIONES]]=W$2,100%,AVANCE[[#This Row],[VENTILACIONES]])</f>
        <v>0</v>
      </c>
      <c r="BP270" s="3">
        <f>+IF(AVANCE[[#This Row],[TINA]]=X$2,100%,AVANCE[[#This Row],[TINA]])</f>
        <v>0</v>
      </c>
      <c r="BQ270" s="3">
        <f>+IF(AVANCE[[#This Row],[WC]]=Y$2,100%,AVANCE[[#This Row],[WC]])</f>
        <v>0</v>
      </c>
      <c r="BR270" s="3">
        <f>+IF(AVANCE[[#This Row],[LAVAMANOS / LAVAPLATOS / LAVADERO]]=Z$2,100%,AVANCE[[#This Row],[LAVAMANOS / LAVAPLATOS / LAVADERO]])</f>
        <v>0</v>
      </c>
      <c r="BS270" s="3">
        <f>+IF(AVANCE[[#This Row],[CANALIZACIÓN]]=AC$2,100%,AVANCE[[#This Row],[CANALIZACIÓN]])</f>
        <v>0</v>
      </c>
      <c r="BT270" s="3">
        <f>+IF(AVANCE[[#This Row],[CABLEADO]]=AD$2,100%,AVANCE[[#This Row],[CABLEADO]])</f>
        <v>0</v>
      </c>
      <c r="BU270" s="3">
        <f>+IF(AVANCE[[#This Row],[ARTEFACTOS]]=AE$2,100%,AVANCE[[#This Row],[ARTEFACTOS]])</f>
        <v>0</v>
      </c>
      <c r="BV270" s="3">
        <f>+IF(AVANCE[[#This Row],[TABLERO]]=AF$2,100%,AVANCE[[#This Row],[TABLERO]])</f>
        <v>0</v>
      </c>
      <c r="BW270" s="3">
        <f>+IF(AVANCE[[#This Row],[CAJA PAU]]=AG$2,100%,AVANCE[[#This Row],[CAJA PAU]])</f>
        <v>0</v>
      </c>
      <c r="BX270" s="3">
        <f>+IF(AVANCE[[#This Row],[INSTALACION VINILICO]]=AJ$2,100%,AVANCE[[#This Row],[INSTALACION VINILICO]])</f>
        <v>0</v>
      </c>
      <c r="BY270" s="3">
        <f>+IF(AVANCE[[#This Row],[OSB CUBIERTA]]=AK$2,100%,AVANCE[[#This Row],[OSB CUBIERTA]])</f>
        <v>0</v>
      </c>
      <c r="BZ270" s="3">
        <f>+IF(AVANCE[[#This Row],[BARANDA BALCON]]=AL$2,100%,AVANCE[[#This Row],[BARANDA BALCON]])</f>
        <v>0</v>
      </c>
      <c r="CA270" s="3">
        <f>+IF(AVANCE[[#This Row],[OSB EXTERIOR]]=AM$2,100%,AVANCE[[#This Row],[OSB EXTERIOR]])</f>
        <v>0</v>
      </c>
      <c r="CB270" s="3">
        <f>+IF(AVANCE[[#This Row],[SMART PANEL]]=AN$2,100%,AVANCE[[#This Row],[SMART PANEL]])</f>
        <v>0</v>
      </c>
      <c r="CC270" s="3">
        <f>+IF(AVANCE[[#This Row],[PINTURA EXTERIOR]]=AO$2,100%,AVANCE[[#This Row],[PINTURA EXTERIOR]])</f>
        <v>0</v>
      </c>
      <c r="CD270" s="3">
        <f>+IF(AVANCE[[#This Row],[ZOCALOS LOGIA]]=AP$2,100%,AVANCE[[#This Row],[ZOCALOS LOGIA]])</f>
        <v>0</v>
      </c>
      <c r="CE270" s="3">
        <f>+IF(AVANCE[[#This Row],[MOLDURAS]]=AQ$2,100%,AVANCE[[#This Row],[MOLDURAS]])</f>
        <v>0</v>
      </c>
      <c r="CF270" s="3">
        <f>+IF(AVANCE[[#This Row],[PILASTREO]]=AR$2,100%,AVANCE[[#This Row],[PILASTREO]])</f>
        <v>0</v>
      </c>
      <c r="CG270" s="3">
        <f>+IF(AVANCE[[#This Row],[CELOSIAS]]=AS$2,100%,AVANCE[[#This Row],[CELOSIAS]])</f>
        <v>0</v>
      </c>
      <c r="CH270" s="3">
        <f>+IF(AVANCE[[#This Row],[VENTANAS]]=AT$2,100%,AVANCE[[#This Row],[VENTANAS]])</f>
        <v>0</v>
      </c>
      <c r="CI270" s="3">
        <f>+IF(AVANCE[[#This Row],[PUERTAS ACCESO - LOGIA - BANO]]=AU$2,100%,AVANCE[[#This Row],[PUERTAS ACCESO - LOGIA - BANO]])</f>
        <v>0</v>
      </c>
      <c r="CJ270" s="3">
        <f>+IF(AVANCE[[#This Row],[CERRADURAS]]=AV$2,100%,AVANCE[[#This Row],[CERRADURAS]])</f>
        <v>0</v>
      </c>
      <c r="CK270" s="3">
        <f>+IF(AVANCE[[#This Row],[REVESTIMIENTO INTERIOR ZONA SECA]]=AW$2,100%,AVANCE[[#This Row],[REVESTIMIENTO INTERIOR ZONA SECA]])</f>
        <v>0</v>
      </c>
      <c r="CL270" s="3">
        <f>+IF(AVANCE[[#This Row],[REVESTIMIENTO INTERIOR ZONAS HUMEDAS]]=AX$2,100%,AVANCE[[#This Row],[REVESTIMIENTO INTERIOR ZONAS HUMEDAS]])</f>
        <v>0</v>
      </c>
      <c r="CM270" s="3">
        <f>+IF(AVANCE[[#This Row],[MEMBRANA CIELO]]=AY$2,100%,AVANCE[[#This Row],[MEMBRANA CIELO]])</f>
        <v>0</v>
      </c>
      <c r="CN270" s="3">
        <f>+IF(AVANCE[[#This Row],[LIMPIEZA FINAL]]=AZ$2,100%,AVANCE[[#This Row],[LIMPIEZA FINAL]])</f>
        <v>0</v>
      </c>
      <c r="CO270" s="3">
        <f>+IF(AVANCE[[#This Row],[PUERTAS DORMITORIO]]=BA$2,100%,AVANCE[[#This Row],[PUERTAS DORMITORIO]])</f>
        <v>0</v>
      </c>
      <c r="CP270" s="3">
        <f>+IF(AVANCE[[#This Row],[REVESTIMIENTO INTERIOR BANO]]=BB$2,100%,AVANCE[[#This Row],[REVESTIMIENTO INTERIOR BANO]])</f>
        <v>0</v>
      </c>
      <c r="CQ270" s="3">
        <f>+IF(AVANCE[[#This Row],[MUEBLE LAVAPLATOS]]=BC$2,100%,AVANCE[[#This Row],[MUEBLE LAVAPLATOS]])</f>
        <v>0</v>
      </c>
      <c r="CR270" s="3">
        <f>+IF(AVANCE[[#This Row],[IMPERMEABILIZACION BANO - COCINA LOGIA]]=BD$2,100%,AVANCE[[#This Row],[IMPERMEABILIZACION BANO - COCINA LOGIA]])</f>
        <v>0</v>
      </c>
      <c r="CS270" s="40">
        <f ca="1">+IF(AVANCE[[#This Row],[ESTADO MODULO]]="PENDIENTE",(TODAY()-AVANCE[[#This Row],[FECHA TERMINO  PLANIFICADO]]),0)</f>
        <v>0</v>
      </c>
      <c r="CT270" s="41" t="str" cm="1">
        <f t="array" ref="CT270">_xlfn.TEXTJOIN(" | ",TRUE,IF(SUMPRODUCT((BG270:CR270&lt;1)*(PARTIDAS!$I$2:$AT$2="OBRA GRUESA"))&gt;0,"OBRA GRUESA: "&amp;_xlfn.TEXTJOIN(", ",TRUE,IF((BG270:CR270&lt;1)*(PARTIDAS!$I$2:$AT$2="OBRA GRUESA"),PARTIDAS!$I$1:$AT$1,"")),""),IF(SUMPRODUCT((BG270:CR270&lt;1)*(PARTIDAS!$I$2:$AT$2="SANITARIOS"))&gt;0,"SANITARIOS: "&amp;_xlfn.TEXTJOIN(", ",TRUE,IF((BG270:CR270&lt;1)*(PARTIDAS!$I$2:$AT$2="SANITARIOS"),PARTIDAS!$I$1:$AT$1,"")),""),IF(SUMPRODUCT((BG270:CR270&lt;1)*(PARTIDAS!$I$2:$AT$2="ELÉCTRICO"))&gt;0,"ELÉCTRICO: "&amp;_xlfn.TEXTJOIN(", ",TRUE,IF((BG270:CR270&lt;1)*(PARTIDAS!$I$2:$AT$2="ELÉCTRICO"),PARTIDAS!$I$1:$AT$1,"")),""),IF(SUMPRODUCT((BG270:CR270&lt;1)*(PARTIDAS!$I$2:$AT$2="TERMINACIONES"))&gt;0,"TERMINACIONES: "&amp;_xlfn.TEXTJOIN(", ",TRUE,IF((BG270:CR270&lt;1)*(PARTIDAS!$I$2:$AT$2="TERMINACIONES"),PARTIDAS!$I$1:$AT$1,"")),""))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0" s="43" t="str" cm="1">
        <f t="array" ref="CU270">_xlfn.TEXTJOIN(", ",TRUE,IF(SUMPRODUCT((BG270:CR270&lt;1)*(PARTIDAS!$I$2:$AT$2="OBRA GRUESA"))&gt;0,"OBRA GRUESA",""),IF(SUMPRODUCT((BG270:CR270&lt;1)*(PARTIDAS!$I$2:$AT$2="SANITARIOS"))&gt;0,"SANITARIOS",""),IF(SUMPRODUCT((BG270:CR270&lt;1)*(PARTIDAS!$I$2:$AT$2="ELÉCTRICO"))&gt;0,"ELÉCTRICO",""),IF(SUMPRODUCT((BG270:CR270&lt;1)*(PARTIDAS!$I$2:$AT$2="TERMINACIONES"))&gt;0,"TERMINACIONES",""))</f>
        <v>OBRA GRUESA, SANITARIOS, ELÉCTRICO, TERMINACIONES</v>
      </c>
      <c r="CV270" s="44" cm="1">
        <f t="array" ref="CV270">SUMPRODUCT(--(BG270:CR270&lt;1))</f>
        <v>38</v>
      </c>
    </row>
    <row r="271" spans="1:100" hidden="1" x14ac:dyDescent="0.25">
      <c r="A271" t="s">
        <v>322</v>
      </c>
      <c r="B271" t="s">
        <v>336</v>
      </c>
      <c r="C271">
        <v>2302600270</v>
      </c>
      <c r="D271" t="s">
        <v>60</v>
      </c>
      <c r="E271" s="2">
        <v>0</v>
      </c>
      <c r="F271" s="1">
        <v>46274</v>
      </c>
      <c r="G271" s="1"/>
      <c r="H271" s="1">
        <v>0</v>
      </c>
      <c r="I271" s="1">
        <v>46304</v>
      </c>
      <c r="J271">
        <v>46230</v>
      </c>
      <c r="K271" s="1"/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>
        <v>31.32</v>
      </c>
      <c r="BF271" s="3" t="str">
        <f>+IF(AVANCE[[#This Row],[% AVANCE]]=100%,"MODULO TERMINADO",IF(AVANCE[[#This Row],[FECHA INICIO REAL]]="","MODULO NO INICIADO","PENDIENTE"))</f>
        <v>MODULO NO INICIADO</v>
      </c>
      <c r="BG271" s="3">
        <f>+IF(AVANCE[[#This Row],[VENTANAS]]=8.10810810810811%,100%,AVANCE[[#This Row],[VENTANAS]])</f>
        <v>0</v>
      </c>
      <c r="BH271" s="3">
        <f>+IF(AVANCE[[#This Row],[PISO]]=N$2,100%,AVANCE[[#This Row],[PISO]])</f>
        <v>0</v>
      </c>
      <c r="BI271" s="3">
        <f>+IF(AVANCE[[#This Row],[TABIQUES]]=O$2,100%,AVANCE[[#This Row],[TABIQUES]])</f>
        <v>0</v>
      </c>
      <c r="BJ271" s="3">
        <f>+IF(AVANCE[[#This Row],[MUROS]]=P$2,100%,AVANCE[[#This Row],[MUROS]])</f>
        <v>0</v>
      </c>
      <c r="BK271" s="3">
        <f>+IF(AVANCE[[#This Row],[CIELO]]=Q$2,100%,AVANCE[[#This Row],[CIELO]])</f>
        <v>0</v>
      </c>
      <c r="BL271" s="3">
        <f>+IF(AVANCE[[#This Row],[BALCÓN]]=R$2,100%,AVANCE[[#This Row],[BALCÓN]])</f>
        <v>0</v>
      </c>
      <c r="BM271" s="3">
        <f>+IF(AVANCE[[#This Row],[RED ALCANTARILLADO]]=U$2,100%,AVANCE[[#This Row],[RED ALCANTARILLADO]])</f>
        <v>0</v>
      </c>
      <c r="BN271" s="3">
        <f>+IF(AVANCE[[#This Row],[RED DE AGUA]]=V$2,100%,AVANCE[[#This Row],[RED DE AGUA]])</f>
        <v>0</v>
      </c>
      <c r="BO271" s="3">
        <f>+IF(AVANCE[[#This Row],[VENTILACIONES]]=W$2,100%,AVANCE[[#This Row],[VENTILACIONES]])</f>
        <v>0</v>
      </c>
      <c r="BP271" s="3">
        <f>+IF(AVANCE[[#This Row],[TINA]]=X$2,100%,AVANCE[[#This Row],[TINA]])</f>
        <v>0</v>
      </c>
      <c r="BQ271" s="3">
        <f>+IF(AVANCE[[#This Row],[WC]]=Y$2,100%,AVANCE[[#This Row],[WC]])</f>
        <v>0</v>
      </c>
      <c r="BR271" s="3">
        <f>+IF(AVANCE[[#This Row],[LAVAMANOS / LAVAPLATOS / LAVADERO]]=Z$2,100%,AVANCE[[#This Row],[LAVAMANOS / LAVAPLATOS / LAVADERO]])</f>
        <v>0</v>
      </c>
      <c r="BS271" s="3">
        <f>+IF(AVANCE[[#This Row],[CANALIZACIÓN]]=AC$2,100%,AVANCE[[#This Row],[CANALIZACIÓN]])</f>
        <v>0</v>
      </c>
      <c r="BT271" s="3">
        <f>+IF(AVANCE[[#This Row],[CABLEADO]]=AD$2,100%,AVANCE[[#This Row],[CABLEADO]])</f>
        <v>0</v>
      </c>
      <c r="BU271" s="3">
        <f>+IF(AVANCE[[#This Row],[ARTEFACTOS]]=AE$2,100%,AVANCE[[#This Row],[ARTEFACTOS]])</f>
        <v>0</v>
      </c>
      <c r="BV271" s="3">
        <f>+IF(AVANCE[[#This Row],[TABLERO]]=AF$2,100%,AVANCE[[#This Row],[TABLERO]])</f>
        <v>0</v>
      </c>
      <c r="BW271" s="3">
        <f>+IF(AVANCE[[#This Row],[CAJA PAU]]=AG$2,100%,AVANCE[[#This Row],[CAJA PAU]])</f>
        <v>0</v>
      </c>
      <c r="BX271" s="3">
        <f>+IF(AVANCE[[#This Row],[INSTALACION VINILICO]]=AJ$2,100%,AVANCE[[#This Row],[INSTALACION VINILICO]])</f>
        <v>0</v>
      </c>
      <c r="BY271" s="3">
        <f>+IF(AVANCE[[#This Row],[OSB CUBIERTA]]=AK$2,100%,AVANCE[[#This Row],[OSB CUBIERTA]])</f>
        <v>0</v>
      </c>
      <c r="BZ271" s="3">
        <f>+IF(AVANCE[[#This Row],[BARANDA BALCON]]=AL$2,100%,AVANCE[[#This Row],[BARANDA BALCON]])</f>
        <v>0</v>
      </c>
      <c r="CA271" s="3">
        <f>+IF(AVANCE[[#This Row],[OSB EXTERIOR]]=AM$2,100%,AVANCE[[#This Row],[OSB EXTERIOR]])</f>
        <v>0</v>
      </c>
      <c r="CB271" s="3">
        <f>+IF(AVANCE[[#This Row],[SMART PANEL]]=AN$2,100%,AVANCE[[#This Row],[SMART PANEL]])</f>
        <v>0</v>
      </c>
      <c r="CC271" s="3">
        <f>+IF(AVANCE[[#This Row],[PINTURA EXTERIOR]]=AO$2,100%,AVANCE[[#This Row],[PINTURA EXTERIOR]])</f>
        <v>0</v>
      </c>
      <c r="CD271" s="3">
        <f>+IF(AVANCE[[#This Row],[ZOCALOS LOGIA]]=AP$2,100%,AVANCE[[#This Row],[ZOCALOS LOGIA]])</f>
        <v>0</v>
      </c>
      <c r="CE271" s="3">
        <f>+IF(AVANCE[[#This Row],[MOLDURAS]]=AQ$2,100%,AVANCE[[#This Row],[MOLDURAS]])</f>
        <v>0</v>
      </c>
      <c r="CF271" s="3">
        <f>+IF(AVANCE[[#This Row],[PILASTREO]]=AR$2,100%,AVANCE[[#This Row],[PILASTREO]])</f>
        <v>0</v>
      </c>
      <c r="CG271" s="3">
        <f>+IF(AVANCE[[#This Row],[CELOSIAS]]=AS$2,100%,AVANCE[[#This Row],[CELOSIAS]])</f>
        <v>0</v>
      </c>
      <c r="CH271" s="3">
        <f>+IF(AVANCE[[#This Row],[VENTANAS]]=AT$2,100%,AVANCE[[#This Row],[VENTANAS]])</f>
        <v>0</v>
      </c>
      <c r="CI271" s="3">
        <f>+IF(AVANCE[[#This Row],[PUERTAS ACCESO - LOGIA - BANO]]=AU$2,100%,AVANCE[[#This Row],[PUERTAS ACCESO - LOGIA - BANO]])</f>
        <v>0</v>
      </c>
      <c r="CJ271" s="3">
        <f>+IF(AVANCE[[#This Row],[CERRADURAS]]=AV$2,100%,AVANCE[[#This Row],[CERRADURAS]])</f>
        <v>0</v>
      </c>
      <c r="CK271" s="3">
        <f>+IF(AVANCE[[#This Row],[REVESTIMIENTO INTERIOR ZONA SECA]]=AW$2,100%,AVANCE[[#This Row],[REVESTIMIENTO INTERIOR ZONA SECA]])</f>
        <v>0</v>
      </c>
      <c r="CL271" s="3">
        <f>+IF(AVANCE[[#This Row],[REVESTIMIENTO INTERIOR ZONAS HUMEDAS]]=AX$2,100%,AVANCE[[#This Row],[REVESTIMIENTO INTERIOR ZONAS HUMEDAS]])</f>
        <v>0</v>
      </c>
      <c r="CM271" s="3">
        <f>+IF(AVANCE[[#This Row],[MEMBRANA CIELO]]=AY$2,100%,AVANCE[[#This Row],[MEMBRANA CIELO]])</f>
        <v>0</v>
      </c>
      <c r="CN271" s="3">
        <f>+IF(AVANCE[[#This Row],[LIMPIEZA FINAL]]=AZ$2,100%,AVANCE[[#This Row],[LIMPIEZA FINAL]])</f>
        <v>0</v>
      </c>
      <c r="CO271" s="3">
        <f>+IF(AVANCE[[#This Row],[PUERTAS DORMITORIO]]=BA$2,100%,AVANCE[[#This Row],[PUERTAS DORMITORIO]])</f>
        <v>0</v>
      </c>
      <c r="CP271" s="3">
        <f>+IF(AVANCE[[#This Row],[REVESTIMIENTO INTERIOR BANO]]=BB$2,100%,AVANCE[[#This Row],[REVESTIMIENTO INTERIOR BANO]])</f>
        <v>0</v>
      </c>
      <c r="CQ271" s="3">
        <f>+IF(AVANCE[[#This Row],[MUEBLE LAVAPLATOS]]=BC$2,100%,AVANCE[[#This Row],[MUEBLE LAVAPLATOS]])</f>
        <v>0</v>
      </c>
      <c r="CR271" s="3">
        <f>+IF(AVANCE[[#This Row],[IMPERMEABILIZACION BANO - COCINA LOGIA]]=BD$2,100%,AVANCE[[#This Row],[IMPERMEABILIZACION BANO - COCINA LOGIA]])</f>
        <v>0</v>
      </c>
      <c r="CS271" s="40">
        <f ca="1">+IF(AVANCE[[#This Row],[ESTADO MODULO]]="PENDIENTE",(TODAY()-AVANCE[[#This Row],[FECHA TERMINO  PLANIFICADO]]),0)</f>
        <v>0</v>
      </c>
      <c r="CT271" s="41" t="str" cm="1">
        <f t="array" ref="CT271">_xlfn.TEXTJOIN(" | ",TRUE,IF(SUMPRODUCT((BG271:CR271&lt;1)*(PARTIDAS!$I$2:$AT$2="OBRA GRUESA"))&gt;0,"OBRA GRUESA: "&amp;_xlfn.TEXTJOIN(", ",TRUE,IF((BG271:CR271&lt;1)*(PARTIDAS!$I$2:$AT$2="OBRA GRUESA"),PARTIDAS!$I$1:$AT$1,"")),""),IF(SUMPRODUCT((BG271:CR271&lt;1)*(PARTIDAS!$I$2:$AT$2="SANITARIOS"))&gt;0,"SANITARIOS: "&amp;_xlfn.TEXTJOIN(", ",TRUE,IF((BG271:CR271&lt;1)*(PARTIDAS!$I$2:$AT$2="SANITARIOS"),PARTIDAS!$I$1:$AT$1,"")),""),IF(SUMPRODUCT((BG271:CR271&lt;1)*(PARTIDAS!$I$2:$AT$2="ELÉCTRICO"))&gt;0,"ELÉCTRICO: "&amp;_xlfn.TEXTJOIN(", ",TRUE,IF((BG271:CR271&lt;1)*(PARTIDAS!$I$2:$AT$2="ELÉCTRICO"),PARTIDAS!$I$1:$AT$1,"")),""),IF(SUMPRODUCT((BG271:CR271&lt;1)*(PARTIDAS!$I$2:$AT$2="TERMINACIONES"))&gt;0,"TERMINACIONES: "&amp;_xlfn.TEXTJOIN(", ",TRUE,IF((BG271:CR271&lt;1)*(PARTIDAS!$I$2:$AT$2="TERMINACIONES"),PARTIDAS!$I$1:$AT$1,"")),""))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1" s="43" t="str" cm="1">
        <f t="array" ref="CU271">_xlfn.TEXTJOIN(", ",TRUE,IF(SUMPRODUCT((BG271:CR271&lt;1)*(PARTIDAS!$I$2:$AT$2="OBRA GRUESA"))&gt;0,"OBRA GRUESA",""),IF(SUMPRODUCT((BG271:CR271&lt;1)*(PARTIDAS!$I$2:$AT$2="SANITARIOS"))&gt;0,"SANITARIOS",""),IF(SUMPRODUCT((BG271:CR271&lt;1)*(PARTIDAS!$I$2:$AT$2="ELÉCTRICO"))&gt;0,"ELÉCTRICO",""),IF(SUMPRODUCT((BG271:CR271&lt;1)*(PARTIDAS!$I$2:$AT$2="TERMINACIONES"))&gt;0,"TERMINACIONES",""))</f>
        <v>OBRA GRUESA, SANITARIOS, ELÉCTRICO, TERMINACIONES</v>
      </c>
      <c r="CV271" s="44" cm="1">
        <f t="array" ref="CV271">SUMPRODUCT(--(BG271:CR271&lt;1))</f>
        <v>38</v>
      </c>
    </row>
    <row r="272" spans="1:100" hidden="1" x14ac:dyDescent="0.25">
      <c r="A272" t="s">
        <v>322</v>
      </c>
      <c r="B272" t="s">
        <v>337</v>
      </c>
      <c r="C272">
        <v>2302600271</v>
      </c>
      <c r="D272" t="s">
        <v>60</v>
      </c>
      <c r="E272" s="2">
        <v>0</v>
      </c>
      <c r="F272" s="1">
        <v>46274</v>
      </c>
      <c r="G272" s="1"/>
      <c r="H272" s="1">
        <v>0</v>
      </c>
      <c r="I272" s="1">
        <v>46304</v>
      </c>
      <c r="J272">
        <v>46230</v>
      </c>
      <c r="K272" s="1"/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>
        <v>31.32</v>
      </c>
      <c r="BF272" s="3" t="str">
        <f>+IF(AVANCE[[#This Row],[% AVANCE]]=100%,"MODULO TERMINADO",IF(AVANCE[[#This Row],[FECHA INICIO REAL]]="","MODULO NO INICIADO","PENDIENTE"))</f>
        <v>MODULO NO INICIADO</v>
      </c>
      <c r="BG272" s="3">
        <f>+IF(AVANCE[[#This Row],[VENTANAS]]=8.10810810810811%,100%,AVANCE[[#This Row],[VENTANAS]])</f>
        <v>0</v>
      </c>
      <c r="BH272" s="3">
        <f>+IF(AVANCE[[#This Row],[PISO]]=N$2,100%,AVANCE[[#This Row],[PISO]])</f>
        <v>0</v>
      </c>
      <c r="BI272" s="3">
        <f>+IF(AVANCE[[#This Row],[TABIQUES]]=O$2,100%,AVANCE[[#This Row],[TABIQUES]])</f>
        <v>0</v>
      </c>
      <c r="BJ272" s="3">
        <f>+IF(AVANCE[[#This Row],[MUROS]]=P$2,100%,AVANCE[[#This Row],[MUROS]])</f>
        <v>0</v>
      </c>
      <c r="BK272" s="3">
        <f>+IF(AVANCE[[#This Row],[CIELO]]=Q$2,100%,AVANCE[[#This Row],[CIELO]])</f>
        <v>0</v>
      </c>
      <c r="BL272" s="3">
        <f>+IF(AVANCE[[#This Row],[BALCÓN]]=R$2,100%,AVANCE[[#This Row],[BALCÓN]])</f>
        <v>0</v>
      </c>
      <c r="BM272" s="3">
        <f>+IF(AVANCE[[#This Row],[RED ALCANTARILLADO]]=U$2,100%,AVANCE[[#This Row],[RED ALCANTARILLADO]])</f>
        <v>0</v>
      </c>
      <c r="BN272" s="3">
        <f>+IF(AVANCE[[#This Row],[RED DE AGUA]]=V$2,100%,AVANCE[[#This Row],[RED DE AGUA]])</f>
        <v>0</v>
      </c>
      <c r="BO272" s="3">
        <f>+IF(AVANCE[[#This Row],[VENTILACIONES]]=W$2,100%,AVANCE[[#This Row],[VENTILACIONES]])</f>
        <v>0</v>
      </c>
      <c r="BP272" s="3">
        <f>+IF(AVANCE[[#This Row],[TINA]]=X$2,100%,AVANCE[[#This Row],[TINA]])</f>
        <v>0</v>
      </c>
      <c r="BQ272" s="3">
        <f>+IF(AVANCE[[#This Row],[WC]]=Y$2,100%,AVANCE[[#This Row],[WC]])</f>
        <v>0</v>
      </c>
      <c r="BR272" s="3">
        <f>+IF(AVANCE[[#This Row],[LAVAMANOS / LAVAPLATOS / LAVADERO]]=Z$2,100%,AVANCE[[#This Row],[LAVAMANOS / LAVAPLATOS / LAVADERO]])</f>
        <v>0</v>
      </c>
      <c r="BS272" s="3">
        <f>+IF(AVANCE[[#This Row],[CANALIZACIÓN]]=AC$2,100%,AVANCE[[#This Row],[CANALIZACIÓN]])</f>
        <v>0</v>
      </c>
      <c r="BT272" s="3">
        <f>+IF(AVANCE[[#This Row],[CABLEADO]]=AD$2,100%,AVANCE[[#This Row],[CABLEADO]])</f>
        <v>0</v>
      </c>
      <c r="BU272" s="3">
        <f>+IF(AVANCE[[#This Row],[ARTEFACTOS]]=AE$2,100%,AVANCE[[#This Row],[ARTEFACTOS]])</f>
        <v>0</v>
      </c>
      <c r="BV272" s="3">
        <f>+IF(AVANCE[[#This Row],[TABLERO]]=AF$2,100%,AVANCE[[#This Row],[TABLERO]])</f>
        <v>0</v>
      </c>
      <c r="BW272" s="3">
        <f>+IF(AVANCE[[#This Row],[CAJA PAU]]=AG$2,100%,AVANCE[[#This Row],[CAJA PAU]])</f>
        <v>0</v>
      </c>
      <c r="BX272" s="3">
        <f>+IF(AVANCE[[#This Row],[INSTALACION VINILICO]]=AJ$2,100%,AVANCE[[#This Row],[INSTALACION VINILICO]])</f>
        <v>0</v>
      </c>
      <c r="BY272" s="3">
        <f>+IF(AVANCE[[#This Row],[OSB CUBIERTA]]=AK$2,100%,AVANCE[[#This Row],[OSB CUBIERTA]])</f>
        <v>0</v>
      </c>
      <c r="BZ272" s="3">
        <f>+IF(AVANCE[[#This Row],[BARANDA BALCON]]=AL$2,100%,AVANCE[[#This Row],[BARANDA BALCON]])</f>
        <v>0</v>
      </c>
      <c r="CA272" s="3">
        <f>+IF(AVANCE[[#This Row],[OSB EXTERIOR]]=AM$2,100%,AVANCE[[#This Row],[OSB EXTERIOR]])</f>
        <v>0</v>
      </c>
      <c r="CB272" s="3">
        <f>+IF(AVANCE[[#This Row],[SMART PANEL]]=AN$2,100%,AVANCE[[#This Row],[SMART PANEL]])</f>
        <v>0</v>
      </c>
      <c r="CC272" s="3">
        <f>+IF(AVANCE[[#This Row],[PINTURA EXTERIOR]]=AO$2,100%,AVANCE[[#This Row],[PINTURA EXTERIOR]])</f>
        <v>0</v>
      </c>
      <c r="CD272" s="3">
        <f>+IF(AVANCE[[#This Row],[ZOCALOS LOGIA]]=AP$2,100%,AVANCE[[#This Row],[ZOCALOS LOGIA]])</f>
        <v>0</v>
      </c>
      <c r="CE272" s="3">
        <f>+IF(AVANCE[[#This Row],[MOLDURAS]]=AQ$2,100%,AVANCE[[#This Row],[MOLDURAS]])</f>
        <v>0</v>
      </c>
      <c r="CF272" s="3">
        <f>+IF(AVANCE[[#This Row],[PILASTREO]]=AR$2,100%,AVANCE[[#This Row],[PILASTREO]])</f>
        <v>0</v>
      </c>
      <c r="CG272" s="3">
        <f>+IF(AVANCE[[#This Row],[CELOSIAS]]=AS$2,100%,AVANCE[[#This Row],[CELOSIAS]])</f>
        <v>0</v>
      </c>
      <c r="CH272" s="3">
        <f>+IF(AVANCE[[#This Row],[VENTANAS]]=AT$2,100%,AVANCE[[#This Row],[VENTANAS]])</f>
        <v>0</v>
      </c>
      <c r="CI272" s="3">
        <f>+IF(AVANCE[[#This Row],[PUERTAS ACCESO - LOGIA - BANO]]=AU$2,100%,AVANCE[[#This Row],[PUERTAS ACCESO - LOGIA - BANO]])</f>
        <v>0</v>
      </c>
      <c r="CJ272" s="3">
        <f>+IF(AVANCE[[#This Row],[CERRADURAS]]=AV$2,100%,AVANCE[[#This Row],[CERRADURAS]])</f>
        <v>0</v>
      </c>
      <c r="CK272" s="3">
        <f>+IF(AVANCE[[#This Row],[REVESTIMIENTO INTERIOR ZONA SECA]]=AW$2,100%,AVANCE[[#This Row],[REVESTIMIENTO INTERIOR ZONA SECA]])</f>
        <v>0</v>
      </c>
      <c r="CL272" s="3">
        <f>+IF(AVANCE[[#This Row],[REVESTIMIENTO INTERIOR ZONAS HUMEDAS]]=AX$2,100%,AVANCE[[#This Row],[REVESTIMIENTO INTERIOR ZONAS HUMEDAS]])</f>
        <v>0</v>
      </c>
      <c r="CM272" s="3">
        <f>+IF(AVANCE[[#This Row],[MEMBRANA CIELO]]=AY$2,100%,AVANCE[[#This Row],[MEMBRANA CIELO]])</f>
        <v>0</v>
      </c>
      <c r="CN272" s="3">
        <f>+IF(AVANCE[[#This Row],[LIMPIEZA FINAL]]=AZ$2,100%,AVANCE[[#This Row],[LIMPIEZA FINAL]])</f>
        <v>0</v>
      </c>
      <c r="CO272" s="3">
        <f>+IF(AVANCE[[#This Row],[PUERTAS DORMITORIO]]=BA$2,100%,AVANCE[[#This Row],[PUERTAS DORMITORIO]])</f>
        <v>0</v>
      </c>
      <c r="CP272" s="3">
        <f>+IF(AVANCE[[#This Row],[REVESTIMIENTO INTERIOR BANO]]=BB$2,100%,AVANCE[[#This Row],[REVESTIMIENTO INTERIOR BANO]])</f>
        <v>0</v>
      </c>
      <c r="CQ272" s="3">
        <f>+IF(AVANCE[[#This Row],[MUEBLE LAVAPLATOS]]=BC$2,100%,AVANCE[[#This Row],[MUEBLE LAVAPLATOS]])</f>
        <v>0</v>
      </c>
      <c r="CR272" s="3">
        <f>+IF(AVANCE[[#This Row],[IMPERMEABILIZACION BANO - COCINA LOGIA]]=BD$2,100%,AVANCE[[#This Row],[IMPERMEABILIZACION BANO - COCINA LOGIA]])</f>
        <v>0</v>
      </c>
      <c r="CS272" s="40">
        <f ca="1">+IF(AVANCE[[#This Row],[ESTADO MODULO]]="PENDIENTE",(TODAY()-AVANCE[[#This Row],[FECHA TERMINO  PLANIFICADO]]),0)</f>
        <v>0</v>
      </c>
      <c r="CT272" s="41" t="str" cm="1">
        <f t="array" ref="CT272">_xlfn.TEXTJOIN(" | ",TRUE,IF(SUMPRODUCT((BG272:CR272&lt;1)*(PARTIDAS!$I$2:$AT$2="OBRA GRUESA"))&gt;0,"OBRA GRUESA: "&amp;_xlfn.TEXTJOIN(", ",TRUE,IF((BG272:CR272&lt;1)*(PARTIDAS!$I$2:$AT$2="OBRA GRUESA"),PARTIDAS!$I$1:$AT$1,"")),""),IF(SUMPRODUCT((BG272:CR272&lt;1)*(PARTIDAS!$I$2:$AT$2="SANITARIOS"))&gt;0,"SANITARIOS: "&amp;_xlfn.TEXTJOIN(", ",TRUE,IF((BG272:CR272&lt;1)*(PARTIDAS!$I$2:$AT$2="SANITARIOS"),PARTIDAS!$I$1:$AT$1,"")),""),IF(SUMPRODUCT((BG272:CR272&lt;1)*(PARTIDAS!$I$2:$AT$2="ELÉCTRICO"))&gt;0,"ELÉCTRICO: "&amp;_xlfn.TEXTJOIN(", ",TRUE,IF((BG272:CR272&lt;1)*(PARTIDAS!$I$2:$AT$2="ELÉCTRICO"),PARTIDAS!$I$1:$AT$1,"")),""),IF(SUMPRODUCT((BG272:CR272&lt;1)*(PARTIDAS!$I$2:$AT$2="TERMINACIONES"))&gt;0,"TERMINACIONES: "&amp;_xlfn.TEXTJOIN(", ",TRUE,IF((BG272:CR272&lt;1)*(PARTIDAS!$I$2:$AT$2="TERMINACIONES"),PARTIDAS!$I$1:$AT$1,"")),""))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2" s="43" t="str" cm="1">
        <f t="array" ref="CU272">_xlfn.TEXTJOIN(", ",TRUE,IF(SUMPRODUCT((BG272:CR272&lt;1)*(PARTIDAS!$I$2:$AT$2="OBRA GRUESA"))&gt;0,"OBRA GRUESA",""),IF(SUMPRODUCT((BG272:CR272&lt;1)*(PARTIDAS!$I$2:$AT$2="SANITARIOS"))&gt;0,"SANITARIOS",""),IF(SUMPRODUCT((BG272:CR272&lt;1)*(PARTIDAS!$I$2:$AT$2="ELÉCTRICO"))&gt;0,"ELÉCTRICO",""),IF(SUMPRODUCT((BG272:CR272&lt;1)*(PARTIDAS!$I$2:$AT$2="TERMINACIONES"))&gt;0,"TERMINACIONES",""))</f>
        <v>OBRA GRUESA, SANITARIOS, ELÉCTRICO, TERMINACIONES</v>
      </c>
      <c r="CV272" s="44" cm="1">
        <f t="array" ref="CV272">SUMPRODUCT(--(BG272:CR272&lt;1))</f>
        <v>38</v>
      </c>
    </row>
    <row r="273" spans="1:100" hidden="1" x14ac:dyDescent="0.25">
      <c r="A273" t="s">
        <v>322</v>
      </c>
      <c r="B273" t="s">
        <v>338</v>
      </c>
      <c r="C273">
        <v>2282600272</v>
      </c>
      <c r="D273" t="s">
        <v>58</v>
      </c>
      <c r="E273" s="2">
        <v>0</v>
      </c>
      <c r="F273" s="1">
        <v>46275</v>
      </c>
      <c r="G273" s="1"/>
      <c r="H273" s="1">
        <v>0</v>
      </c>
      <c r="I273" s="1">
        <v>46295</v>
      </c>
      <c r="J273">
        <v>46230</v>
      </c>
      <c r="K273" s="1"/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>
        <v>28.87</v>
      </c>
      <c r="BF273" s="3" t="str">
        <f>+IF(AVANCE[[#This Row],[% AVANCE]]=100%,"MODULO TERMINADO",IF(AVANCE[[#This Row],[FECHA INICIO REAL]]="","MODULO NO INICIADO","PENDIENTE"))</f>
        <v>MODULO NO INICIADO</v>
      </c>
      <c r="BG273" s="3">
        <f>+IF(AVANCE[[#This Row],[VENTANAS]]=8.10810810810811%,100%,AVANCE[[#This Row],[VENTANAS]])</f>
        <v>0</v>
      </c>
      <c r="BH273" s="3">
        <f>+IF(AVANCE[[#This Row],[PISO]]=N$2,100%,AVANCE[[#This Row],[PISO]])</f>
        <v>0</v>
      </c>
      <c r="BI273" s="3">
        <f>+IF(AVANCE[[#This Row],[TABIQUES]]=O$2,100%,AVANCE[[#This Row],[TABIQUES]])</f>
        <v>0</v>
      </c>
      <c r="BJ273" s="3">
        <f>+IF(AVANCE[[#This Row],[MUROS]]=P$2,100%,AVANCE[[#This Row],[MUROS]])</f>
        <v>0</v>
      </c>
      <c r="BK273" s="3">
        <f>+IF(AVANCE[[#This Row],[CIELO]]=Q$2,100%,AVANCE[[#This Row],[CIELO]])</f>
        <v>0</v>
      </c>
      <c r="BL273" s="3">
        <f>+IF(AVANCE[[#This Row],[BALCÓN]]=R$2,100%,AVANCE[[#This Row],[BALCÓN]])</f>
        <v>0</v>
      </c>
      <c r="BM273" s="3">
        <f>+IF(AVANCE[[#This Row],[RED ALCANTARILLADO]]=U$2,100%,AVANCE[[#This Row],[RED ALCANTARILLADO]])</f>
        <v>0</v>
      </c>
      <c r="BN273" s="3">
        <f>+IF(AVANCE[[#This Row],[RED DE AGUA]]=V$2,100%,AVANCE[[#This Row],[RED DE AGUA]])</f>
        <v>0</v>
      </c>
      <c r="BO273" s="3">
        <f>+IF(AVANCE[[#This Row],[VENTILACIONES]]=W$2,100%,AVANCE[[#This Row],[VENTILACIONES]])</f>
        <v>0</v>
      </c>
      <c r="BP273" s="3">
        <f>+IF(AVANCE[[#This Row],[TINA]]=X$2,100%,AVANCE[[#This Row],[TINA]])</f>
        <v>0</v>
      </c>
      <c r="BQ273" s="3">
        <f>+IF(AVANCE[[#This Row],[WC]]=Y$2,100%,AVANCE[[#This Row],[WC]])</f>
        <v>0</v>
      </c>
      <c r="BR273" s="3">
        <f>+IF(AVANCE[[#This Row],[LAVAMANOS / LAVAPLATOS / LAVADERO]]=Z$2,100%,AVANCE[[#This Row],[LAVAMANOS / LAVAPLATOS / LAVADERO]])</f>
        <v>0</v>
      </c>
      <c r="BS273" s="3">
        <f>+IF(AVANCE[[#This Row],[CANALIZACIÓN]]=AC$2,100%,AVANCE[[#This Row],[CANALIZACIÓN]])</f>
        <v>0</v>
      </c>
      <c r="BT273" s="3">
        <f>+IF(AVANCE[[#This Row],[CABLEADO]]=AD$2,100%,AVANCE[[#This Row],[CABLEADO]])</f>
        <v>0</v>
      </c>
      <c r="BU273" s="3">
        <f>+IF(AVANCE[[#This Row],[ARTEFACTOS]]=AE$2,100%,AVANCE[[#This Row],[ARTEFACTOS]])</f>
        <v>0</v>
      </c>
      <c r="BV273" s="3">
        <f>+IF(AVANCE[[#This Row],[TABLERO]]=AF$2,100%,AVANCE[[#This Row],[TABLERO]])</f>
        <v>0</v>
      </c>
      <c r="BW273" s="3">
        <f>+IF(AVANCE[[#This Row],[CAJA PAU]]=AG$2,100%,AVANCE[[#This Row],[CAJA PAU]])</f>
        <v>0</v>
      </c>
      <c r="BX273" s="3">
        <f>+IF(AVANCE[[#This Row],[INSTALACION VINILICO]]=AJ$2,100%,AVANCE[[#This Row],[INSTALACION VINILICO]])</f>
        <v>0</v>
      </c>
      <c r="BY273" s="3">
        <f>+IF(AVANCE[[#This Row],[OSB CUBIERTA]]=AK$2,100%,AVANCE[[#This Row],[OSB CUBIERTA]])</f>
        <v>0</v>
      </c>
      <c r="BZ273" s="3">
        <f>+IF(AVANCE[[#This Row],[BARANDA BALCON]]=AL$2,100%,AVANCE[[#This Row],[BARANDA BALCON]])</f>
        <v>0</v>
      </c>
      <c r="CA273" s="3">
        <f>+IF(AVANCE[[#This Row],[OSB EXTERIOR]]=AM$2,100%,AVANCE[[#This Row],[OSB EXTERIOR]])</f>
        <v>0</v>
      </c>
      <c r="CB273" s="3">
        <f>+IF(AVANCE[[#This Row],[SMART PANEL]]=AN$2,100%,AVANCE[[#This Row],[SMART PANEL]])</f>
        <v>0</v>
      </c>
      <c r="CC273" s="3">
        <f>+IF(AVANCE[[#This Row],[PINTURA EXTERIOR]]=AO$2,100%,AVANCE[[#This Row],[PINTURA EXTERIOR]])</f>
        <v>0</v>
      </c>
      <c r="CD273" s="3">
        <f>+IF(AVANCE[[#This Row],[ZOCALOS LOGIA]]=AP$2,100%,AVANCE[[#This Row],[ZOCALOS LOGIA]])</f>
        <v>0</v>
      </c>
      <c r="CE273" s="3">
        <f>+IF(AVANCE[[#This Row],[MOLDURAS]]=AQ$2,100%,AVANCE[[#This Row],[MOLDURAS]])</f>
        <v>0</v>
      </c>
      <c r="CF273" s="3">
        <f>+IF(AVANCE[[#This Row],[PILASTREO]]=AR$2,100%,AVANCE[[#This Row],[PILASTREO]])</f>
        <v>0</v>
      </c>
      <c r="CG273" s="3">
        <f>+IF(AVANCE[[#This Row],[CELOSIAS]]=AS$2,100%,AVANCE[[#This Row],[CELOSIAS]])</f>
        <v>0</v>
      </c>
      <c r="CH273" s="3">
        <f>+IF(AVANCE[[#This Row],[VENTANAS]]=AT$2,100%,AVANCE[[#This Row],[VENTANAS]])</f>
        <v>0</v>
      </c>
      <c r="CI273" s="3">
        <f>+IF(AVANCE[[#This Row],[PUERTAS ACCESO - LOGIA - BANO]]=AU$2,100%,AVANCE[[#This Row],[PUERTAS ACCESO - LOGIA - BANO]])</f>
        <v>0</v>
      </c>
      <c r="CJ273" s="3">
        <f>+IF(AVANCE[[#This Row],[CERRADURAS]]=AV$2,100%,AVANCE[[#This Row],[CERRADURAS]])</f>
        <v>0</v>
      </c>
      <c r="CK273" s="3">
        <f>+IF(AVANCE[[#This Row],[REVESTIMIENTO INTERIOR ZONA SECA]]=AW$2,100%,AVANCE[[#This Row],[REVESTIMIENTO INTERIOR ZONA SECA]])</f>
        <v>0</v>
      </c>
      <c r="CL273" s="3">
        <f>+IF(AVANCE[[#This Row],[REVESTIMIENTO INTERIOR ZONAS HUMEDAS]]=AX$2,100%,AVANCE[[#This Row],[REVESTIMIENTO INTERIOR ZONAS HUMEDAS]])</f>
        <v>0</v>
      </c>
      <c r="CM273" s="3">
        <f>+IF(AVANCE[[#This Row],[MEMBRANA CIELO]]=AY$2,100%,AVANCE[[#This Row],[MEMBRANA CIELO]])</f>
        <v>0</v>
      </c>
      <c r="CN273" s="3">
        <f>+IF(AVANCE[[#This Row],[LIMPIEZA FINAL]]=AZ$2,100%,AVANCE[[#This Row],[LIMPIEZA FINAL]])</f>
        <v>0</v>
      </c>
      <c r="CO273" s="3">
        <f>+IF(AVANCE[[#This Row],[PUERTAS DORMITORIO]]=BA$2,100%,AVANCE[[#This Row],[PUERTAS DORMITORIO]])</f>
        <v>0</v>
      </c>
      <c r="CP273" s="3">
        <f>+IF(AVANCE[[#This Row],[REVESTIMIENTO INTERIOR BANO]]=BB$2,100%,AVANCE[[#This Row],[REVESTIMIENTO INTERIOR BANO]])</f>
        <v>0</v>
      </c>
      <c r="CQ273" s="3">
        <f>+IF(AVANCE[[#This Row],[MUEBLE LAVAPLATOS]]=BC$2,100%,AVANCE[[#This Row],[MUEBLE LAVAPLATOS]])</f>
        <v>0</v>
      </c>
      <c r="CR273" s="3">
        <f>+IF(AVANCE[[#This Row],[IMPERMEABILIZACION BANO - COCINA LOGIA]]=BD$2,100%,AVANCE[[#This Row],[IMPERMEABILIZACION BANO - COCINA LOGIA]])</f>
        <v>0</v>
      </c>
      <c r="CS273" s="40">
        <f ca="1">+IF(AVANCE[[#This Row],[ESTADO MODULO]]="PENDIENTE",(TODAY()-AVANCE[[#This Row],[FECHA TERMINO  PLANIFICADO]]),0)</f>
        <v>0</v>
      </c>
      <c r="CT273" s="41" t="str" cm="1">
        <f t="array" ref="CT273">_xlfn.TEXTJOIN(" | ",TRUE,IF(SUMPRODUCT((BG273:CR273&lt;1)*(PARTIDAS!$I$2:$AT$2="OBRA GRUESA"))&gt;0,"OBRA GRUESA: "&amp;_xlfn.TEXTJOIN(", ",TRUE,IF((BG273:CR273&lt;1)*(PARTIDAS!$I$2:$AT$2="OBRA GRUESA"),PARTIDAS!$I$1:$AT$1,"")),""),IF(SUMPRODUCT((BG273:CR273&lt;1)*(PARTIDAS!$I$2:$AT$2="SANITARIOS"))&gt;0,"SANITARIOS: "&amp;_xlfn.TEXTJOIN(", ",TRUE,IF((BG273:CR273&lt;1)*(PARTIDAS!$I$2:$AT$2="SANITARIOS"),PARTIDAS!$I$1:$AT$1,"")),""),IF(SUMPRODUCT((BG273:CR273&lt;1)*(PARTIDAS!$I$2:$AT$2="ELÉCTRICO"))&gt;0,"ELÉCTRICO: "&amp;_xlfn.TEXTJOIN(", ",TRUE,IF((BG273:CR273&lt;1)*(PARTIDAS!$I$2:$AT$2="ELÉCTRICO"),PARTIDAS!$I$1:$AT$1,"")),""),IF(SUMPRODUCT((BG273:CR273&lt;1)*(PARTIDAS!$I$2:$AT$2="TERMINACIONES"))&gt;0,"TERMINACIONES: "&amp;_xlfn.TEXTJOIN(", ",TRUE,IF((BG273:CR273&lt;1)*(PARTIDAS!$I$2:$AT$2="TERMINACIONES"),PARTIDAS!$I$1:$AT$1,"")),""))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3" s="43" t="str" cm="1">
        <f t="array" ref="CU273">_xlfn.TEXTJOIN(", ",TRUE,IF(SUMPRODUCT((BG273:CR273&lt;1)*(PARTIDAS!$I$2:$AT$2="OBRA GRUESA"))&gt;0,"OBRA GRUESA",""),IF(SUMPRODUCT((BG273:CR273&lt;1)*(PARTIDAS!$I$2:$AT$2="SANITARIOS"))&gt;0,"SANITARIOS",""),IF(SUMPRODUCT((BG273:CR273&lt;1)*(PARTIDAS!$I$2:$AT$2="ELÉCTRICO"))&gt;0,"ELÉCTRICO",""),IF(SUMPRODUCT((BG273:CR273&lt;1)*(PARTIDAS!$I$2:$AT$2="TERMINACIONES"))&gt;0,"TERMINACIONES",""))</f>
        <v>OBRA GRUESA, SANITARIOS, ELÉCTRICO, TERMINACIONES</v>
      </c>
      <c r="CV273" s="44" cm="1">
        <f t="array" ref="CV273">SUMPRODUCT(--(BG273:CR273&lt;1))</f>
        <v>38</v>
      </c>
    </row>
    <row r="274" spans="1:100" hidden="1" x14ac:dyDescent="0.25">
      <c r="A274" t="s">
        <v>322</v>
      </c>
      <c r="B274" t="s">
        <v>339</v>
      </c>
      <c r="C274">
        <v>2282600273</v>
      </c>
      <c r="D274" t="s">
        <v>58</v>
      </c>
      <c r="E274" s="2">
        <v>0</v>
      </c>
      <c r="F274" s="1">
        <v>46275</v>
      </c>
      <c r="G274" s="1"/>
      <c r="H274" s="1">
        <v>0</v>
      </c>
      <c r="I274" s="1">
        <v>46295</v>
      </c>
      <c r="J274">
        <v>46230</v>
      </c>
      <c r="K274" s="1"/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>
        <v>28.87</v>
      </c>
      <c r="BF274" s="3" t="str">
        <f>+IF(AVANCE[[#This Row],[% AVANCE]]=100%,"MODULO TERMINADO",IF(AVANCE[[#This Row],[FECHA INICIO REAL]]="","MODULO NO INICIADO","PENDIENTE"))</f>
        <v>MODULO NO INICIADO</v>
      </c>
      <c r="BG274" s="3">
        <f>+IF(AVANCE[[#This Row],[VENTANAS]]=8.10810810810811%,100%,AVANCE[[#This Row],[VENTANAS]])</f>
        <v>0</v>
      </c>
      <c r="BH274" s="3">
        <f>+IF(AVANCE[[#This Row],[PISO]]=N$2,100%,AVANCE[[#This Row],[PISO]])</f>
        <v>0</v>
      </c>
      <c r="BI274" s="3">
        <f>+IF(AVANCE[[#This Row],[TABIQUES]]=O$2,100%,AVANCE[[#This Row],[TABIQUES]])</f>
        <v>0</v>
      </c>
      <c r="BJ274" s="3">
        <f>+IF(AVANCE[[#This Row],[MUROS]]=P$2,100%,AVANCE[[#This Row],[MUROS]])</f>
        <v>0</v>
      </c>
      <c r="BK274" s="3">
        <f>+IF(AVANCE[[#This Row],[CIELO]]=Q$2,100%,AVANCE[[#This Row],[CIELO]])</f>
        <v>0</v>
      </c>
      <c r="BL274" s="3">
        <f>+IF(AVANCE[[#This Row],[BALCÓN]]=R$2,100%,AVANCE[[#This Row],[BALCÓN]])</f>
        <v>0</v>
      </c>
      <c r="BM274" s="3">
        <f>+IF(AVANCE[[#This Row],[RED ALCANTARILLADO]]=U$2,100%,AVANCE[[#This Row],[RED ALCANTARILLADO]])</f>
        <v>0</v>
      </c>
      <c r="BN274" s="3">
        <f>+IF(AVANCE[[#This Row],[RED DE AGUA]]=V$2,100%,AVANCE[[#This Row],[RED DE AGUA]])</f>
        <v>0</v>
      </c>
      <c r="BO274" s="3">
        <f>+IF(AVANCE[[#This Row],[VENTILACIONES]]=W$2,100%,AVANCE[[#This Row],[VENTILACIONES]])</f>
        <v>0</v>
      </c>
      <c r="BP274" s="3">
        <f>+IF(AVANCE[[#This Row],[TINA]]=X$2,100%,AVANCE[[#This Row],[TINA]])</f>
        <v>0</v>
      </c>
      <c r="BQ274" s="3">
        <f>+IF(AVANCE[[#This Row],[WC]]=Y$2,100%,AVANCE[[#This Row],[WC]])</f>
        <v>0</v>
      </c>
      <c r="BR274" s="3">
        <f>+IF(AVANCE[[#This Row],[LAVAMANOS / LAVAPLATOS / LAVADERO]]=Z$2,100%,AVANCE[[#This Row],[LAVAMANOS / LAVAPLATOS / LAVADERO]])</f>
        <v>0</v>
      </c>
      <c r="BS274" s="3">
        <f>+IF(AVANCE[[#This Row],[CANALIZACIÓN]]=AC$2,100%,AVANCE[[#This Row],[CANALIZACIÓN]])</f>
        <v>0</v>
      </c>
      <c r="BT274" s="3">
        <f>+IF(AVANCE[[#This Row],[CABLEADO]]=AD$2,100%,AVANCE[[#This Row],[CABLEADO]])</f>
        <v>0</v>
      </c>
      <c r="BU274" s="3">
        <f>+IF(AVANCE[[#This Row],[ARTEFACTOS]]=AE$2,100%,AVANCE[[#This Row],[ARTEFACTOS]])</f>
        <v>0</v>
      </c>
      <c r="BV274" s="3">
        <f>+IF(AVANCE[[#This Row],[TABLERO]]=AF$2,100%,AVANCE[[#This Row],[TABLERO]])</f>
        <v>0</v>
      </c>
      <c r="BW274" s="3">
        <f>+IF(AVANCE[[#This Row],[CAJA PAU]]=AG$2,100%,AVANCE[[#This Row],[CAJA PAU]])</f>
        <v>0</v>
      </c>
      <c r="BX274" s="3">
        <f>+IF(AVANCE[[#This Row],[INSTALACION VINILICO]]=AJ$2,100%,AVANCE[[#This Row],[INSTALACION VINILICO]])</f>
        <v>0</v>
      </c>
      <c r="BY274" s="3">
        <f>+IF(AVANCE[[#This Row],[OSB CUBIERTA]]=AK$2,100%,AVANCE[[#This Row],[OSB CUBIERTA]])</f>
        <v>0</v>
      </c>
      <c r="BZ274" s="3">
        <f>+IF(AVANCE[[#This Row],[BARANDA BALCON]]=AL$2,100%,AVANCE[[#This Row],[BARANDA BALCON]])</f>
        <v>0</v>
      </c>
      <c r="CA274" s="3">
        <f>+IF(AVANCE[[#This Row],[OSB EXTERIOR]]=AM$2,100%,AVANCE[[#This Row],[OSB EXTERIOR]])</f>
        <v>0</v>
      </c>
      <c r="CB274" s="3">
        <f>+IF(AVANCE[[#This Row],[SMART PANEL]]=AN$2,100%,AVANCE[[#This Row],[SMART PANEL]])</f>
        <v>0</v>
      </c>
      <c r="CC274" s="3">
        <f>+IF(AVANCE[[#This Row],[PINTURA EXTERIOR]]=AO$2,100%,AVANCE[[#This Row],[PINTURA EXTERIOR]])</f>
        <v>0</v>
      </c>
      <c r="CD274" s="3">
        <f>+IF(AVANCE[[#This Row],[ZOCALOS LOGIA]]=AP$2,100%,AVANCE[[#This Row],[ZOCALOS LOGIA]])</f>
        <v>0</v>
      </c>
      <c r="CE274" s="3">
        <f>+IF(AVANCE[[#This Row],[MOLDURAS]]=AQ$2,100%,AVANCE[[#This Row],[MOLDURAS]])</f>
        <v>0</v>
      </c>
      <c r="CF274" s="3">
        <f>+IF(AVANCE[[#This Row],[PILASTREO]]=AR$2,100%,AVANCE[[#This Row],[PILASTREO]])</f>
        <v>0</v>
      </c>
      <c r="CG274" s="3">
        <f>+IF(AVANCE[[#This Row],[CELOSIAS]]=AS$2,100%,AVANCE[[#This Row],[CELOSIAS]])</f>
        <v>0</v>
      </c>
      <c r="CH274" s="3">
        <f>+IF(AVANCE[[#This Row],[VENTANAS]]=AT$2,100%,AVANCE[[#This Row],[VENTANAS]])</f>
        <v>0</v>
      </c>
      <c r="CI274" s="3">
        <f>+IF(AVANCE[[#This Row],[PUERTAS ACCESO - LOGIA - BANO]]=AU$2,100%,AVANCE[[#This Row],[PUERTAS ACCESO - LOGIA - BANO]])</f>
        <v>0</v>
      </c>
      <c r="CJ274" s="3">
        <f>+IF(AVANCE[[#This Row],[CERRADURAS]]=AV$2,100%,AVANCE[[#This Row],[CERRADURAS]])</f>
        <v>0</v>
      </c>
      <c r="CK274" s="3">
        <f>+IF(AVANCE[[#This Row],[REVESTIMIENTO INTERIOR ZONA SECA]]=AW$2,100%,AVANCE[[#This Row],[REVESTIMIENTO INTERIOR ZONA SECA]])</f>
        <v>0</v>
      </c>
      <c r="CL274" s="3">
        <f>+IF(AVANCE[[#This Row],[REVESTIMIENTO INTERIOR ZONAS HUMEDAS]]=AX$2,100%,AVANCE[[#This Row],[REVESTIMIENTO INTERIOR ZONAS HUMEDAS]])</f>
        <v>0</v>
      </c>
      <c r="CM274" s="3">
        <f>+IF(AVANCE[[#This Row],[MEMBRANA CIELO]]=AY$2,100%,AVANCE[[#This Row],[MEMBRANA CIELO]])</f>
        <v>0</v>
      </c>
      <c r="CN274" s="3">
        <f>+IF(AVANCE[[#This Row],[LIMPIEZA FINAL]]=AZ$2,100%,AVANCE[[#This Row],[LIMPIEZA FINAL]])</f>
        <v>0</v>
      </c>
      <c r="CO274" s="3">
        <f>+IF(AVANCE[[#This Row],[PUERTAS DORMITORIO]]=BA$2,100%,AVANCE[[#This Row],[PUERTAS DORMITORIO]])</f>
        <v>0</v>
      </c>
      <c r="CP274" s="3">
        <f>+IF(AVANCE[[#This Row],[REVESTIMIENTO INTERIOR BANO]]=BB$2,100%,AVANCE[[#This Row],[REVESTIMIENTO INTERIOR BANO]])</f>
        <v>0</v>
      </c>
      <c r="CQ274" s="3">
        <f>+IF(AVANCE[[#This Row],[MUEBLE LAVAPLATOS]]=BC$2,100%,AVANCE[[#This Row],[MUEBLE LAVAPLATOS]])</f>
        <v>0</v>
      </c>
      <c r="CR274" s="3">
        <f>+IF(AVANCE[[#This Row],[IMPERMEABILIZACION BANO - COCINA LOGIA]]=BD$2,100%,AVANCE[[#This Row],[IMPERMEABILIZACION BANO - COCINA LOGIA]])</f>
        <v>0</v>
      </c>
      <c r="CS274" s="40">
        <f ca="1">+IF(AVANCE[[#This Row],[ESTADO MODULO]]="PENDIENTE",(TODAY()-AVANCE[[#This Row],[FECHA TERMINO  PLANIFICADO]]),0)</f>
        <v>0</v>
      </c>
      <c r="CT274" s="41" t="str" cm="1">
        <f t="array" ref="CT274">_xlfn.TEXTJOIN(" | ",TRUE,IF(SUMPRODUCT((BG274:CR274&lt;1)*(PARTIDAS!$I$2:$AT$2="OBRA GRUESA"))&gt;0,"OBRA GRUESA: "&amp;_xlfn.TEXTJOIN(", ",TRUE,IF((BG274:CR274&lt;1)*(PARTIDAS!$I$2:$AT$2="OBRA GRUESA"),PARTIDAS!$I$1:$AT$1,"")),""),IF(SUMPRODUCT((BG274:CR274&lt;1)*(PARTIDAS!$I$2:$AT$2="SANITARIOS"))&gt;0,"SANITARIOS: "&amp;_xlfn.TEXTJOIN(", ",TRUE,IF((BG274:CR274&lt;1)*(PARTIDAS!$I$2:$AT$2="SANITARIOS"),PARTIDAS!$I$1:$AT$1,"")),""),IF(SUMPRODUCT((BG274:CR274&lt;1)*(PARTIDAS!$I$2:$AT$2="ELÉCTRICO"))&gt;0,"ELÉCTRICO: "&amp;_xlfn.TEXTJOIN(", ",TRUE,IF((BG274:CR274&lt;1)*(PARTIDAS!$I$2:$AT$2="ELÉCTRICO"),PARTIDAS!$I$1:$AT$1,"")),""),IF(SUMPRODUCT((BG274:CR274&lt;1)*(PARTIDAS!$I$2:$AT$2="TERMINACIONES"))&gt;0,"TERMINACIONES: "&amp;_xlfn.TEXTJOIN(", ",TRUE,IF((BG274:CR274&lt;1)*(PARTIDAS!$I$2:$AT$2="TERMINACIONES"),PARTIDAS!$I$1:$AT$1,"")),""))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4" s="43" t="str" cm="1">
        <f t="array" ref="CU274">_xlfn.TEXTJOIN(", ",TRUE,IF(SUMPRODUCT((BG274:CR274&lt;1)*(PARTIDAS!$I$2:$AT$2="OBRA GRUESA"))&gt;0,"OBRA GRUESA",""),IF(SUMPRODUCT((BG274:CR274&lt;1)*(PARTIDAS!$I$2:$AT$2="SANITARIOS"))&gt;0,"SANITARIOS",""),IF(SUMPRODUCT((BG274:CR274&lt;1)*(PARTIDAS!$I$2:$AT$2="ELÉCTRICO"))&gt;0,"ELÉCTRICO",""),IF(SUMPRODUCT((BG274:CR274&lt;1)*(PARTIDAS!$I$2:$AT$2="TERMINACIONES"))&gt;0,"TERMINACIONES",""))</f>
        <v>OBRA GRUESA, SANITARIOS, ELÉCTRICO, TERMINACIONES</v>
      </c>
      <c r="CV274" s="44" cm="1">
        <f t="array" ref="CV274">SUMPRODUCT(--(BG274:CR274&lt;1))</f>
        <v>38</v>
      </c>
    </row>
    <row r="275" spans="1:100" hidden="1" x14ac:dyDescent="0.25">
      <c r="A275" t="s">
        <v>322</v>
      </c>
      <c r="B275" t="s">
        <v>340</v>
      </c>
      <c r="C275">
        <v>2302600274</v>
      </c>
      <c r="D275" t="s">
        <v>60</v>
      </c>
      <c r="E275" s="2">
        <v>0</v>
      </c>
      <c r="F275" s="1">
        <v>46275</v>
      </c>
      <c r="G275" s="1"/>
      <c r="H275" s="1">
        <v>0</v>
      </c>
      <c r="I275" s="1">
        <v>46305</v>
      </c>
      <c r="J275">
        <v>46230</v>
      </c>
      <c r="K275" s="1"/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>
        <v>31.32</v>
      </c>
      <c r="BF275" s="3" t="str">
        <f>+IF(AVANCE[[#This Row],[% AVANCE]]=100%,"MODULO TERMINADO",IF(AVANCE[[#This Row],[FECHA INICIO REAL]]="","MODULO NO INICIADO","PENDIENTE"))</f>
        <v>MODULO NO INICIADO</v>
      </c>
      <c r="BG275" s="3">
        <f>+IF(AVANCE[[#This Row],[VENTANAS]]=8.10810810810811%,100%,AVANCE[[#This Row],[VENTANAS]])</f>
        <v>0</v>
      </c>
      <c r="BH275" s="3">
        <f>+IF(AVANCE[[#This Row],[PISO]]=N$2,100%,AVANCE[[#This Row],[PISO]])</f>
        <v>0</v>
      </c>
      <c r="BI275" s="3">
        <f>+IF(AVANCE[[#This Row],[TABIQUES]]=O$2,100%,AVANCE[[#This Row],[TABIQUES]])</f>
        <v>0</v>
      </c>
      <c r="BJ275" s="3">
        <f>+IF(AVANCE[[#This Row],[MUROS]]=P$2,100%,AVANCE[[#This Row],[MUROS]])</f>
        <v>0</v>
      </c>
      <c r="BK275" s="3">
        <f>+IF(AVANCE[[#This Row],[CIELO]]=Q$2,100%,AVANCE[[#This Row],[CIELO]])</f>
        <v>0</v>
      </c>
      <c r="BL275" s="3">
        <f>+IF(AVANCE[[#This Row],[BALCÓN]]=R$2,100%,AVANCE[[#This Row],[BALCÓN]])</f>
        <v>0</v>
      </c>
      <c r="BM275" s="3">
        <f>+IF(AVANCE[[#This Row],[RED ALCANTARILLADO]]=U$2,100%,AVANCE[[#This Row],[RED ALCANTARILLADO]])</f>
        <v>0</v>
      </c>
      <c r="BN275" s="3">
        <f>+IF(AVANCE[[#This Row],[RED DE AGUA]]=V$2,100%,AVANCE[[#This Row],[RED DE AGUA]])</f>
        <v>0</v>
      </c>
      <c r="BO275" s="3">
        <f>+IF(AVANCE[[#This Row],[VENTILACIONES]]=W$2,100%,AVANCE[[#This Row],[VENTILACIONES]])</f>
        <v>0</v>
      </c>
      <c r="BP275" s="3">
        <f>+IF(AVANCE[[#This Row],[TINA]]=X$2,100%,AVANCE[[#This Row],[TINA]])</f>
        <v>0</v>
      </c>
      <c r="BQ275" s="3">
        <f>+IF(AVANCE[[#This Row],[WC]]=Y$2,100%,AVANCE[[#This Row],[WC]])</f>
        <v>0</v>
      </c>
      <c r="BR275" s="3">
        <f>+IF(AVANCE[[#This Row],[LAVAMANOS / LAVAPLATOS / LAVADERO]]=Z$2,100%,AVANCE[[#This Row],[LAVAMANOS / LAVAPLATOS / LAVADERO]])</f>
        <v>0</v>
      </c>
      <c r="BS275" s="3">
        <f>+IF(AVANCE[[#This Row],[CANALIZACIÓN]]=AC$2,100%,AVANCE[[#This Row],[CANALIZACIÓN]])</f>
        <v>0</v>
      </c>
      <c r="BT275" s="3">
        <f>+IF(AVANCE[[#This Row],[CABLEADO]]=AD$2,100%,AVANCE[[#This Row],[CABLEADO]])</f>
        <v>0</v>
      </c>
      <c r="BU275" s="3">
        <f>+IF(AVANCE[[#This Row],[ARTEFACTOS]]=AE$2,100%,AVANCE[[#This Row],[ARTEFACTOS]])</f>
        <v>0</v>
      </c>
      <c r="BV275" s="3">
        <f>+IF(AVANCE[[#This Row],[TABLERO]]=AF$2,100%,AVANCE[[#This Row],[TABLERO]])</f>
        <v>0</v>
      </c>
      <c r="BW275" s="3">
        <f>+IF(AVANCE[[#This Row],[CAJA PAU]]=AG$2,100%,AVANCE[[#This Row],[CAJA PAU]])</f>
        <v>0</v>
      </c>
      <c r="BX275" s="3">
        <f>+IF(AVANCE[[#This Row],[INSTALACION VINILICO]]=AJ$2,100%,AVANCE[[#This Row],[INSTALACION VINILICO]])</f>
        <v>0</v>
      </c>
      <c r="BY275" s="3">
        <f>+IF(AVANCE[[#This Row],[OSB CUBIERTA]]=AK$2,100%,AVANCE[[#This Row],[OSB CUBIERTA]])</f>
        <v>0</v>
      </c>
      <c r="BZ275" s="3">
        <f>+IF(AVANCE[[#This Row],[BARANDA BALCON]]=AL$2,100%,AVANCE[[#This Row],[BARANDA BALCON]])</f>
        <v>0</v>
      </c>
      <c r="CA275" s="3">
        <f>+IF(AVANCE[[#This Row],[OSB EXTERIOR]]=AM$2,100%,AVANCE[[#This Row],[OSB EXTERIOR]])</f>
        <v>0</v>
      </c>
      <c r="CB275" s="3">
        <f>+IF(AVANCE[[#This Row],[SMART PANEL]]=AN$2,100%,AVANCE[[#This Row],[SMART PANEL]])</f>
        <v>0</v>
      </c>
      <c r="CC275" s="3">
        <f>+IF(AVANCE[[#This Row],[PINTURA EXTERIOR]]=AO$2,100%,AVANCE[[#This Row],[PINTURA EXTERIOR]])</f>
        <v>0</v>
      </c>
      <c r="CD275" s="3">
        <f>+IF(AVANCE[[#This Row],[ZOCALOS LOGIA]]=AP$2,100%,AVANCE[[#This Row],[ZOCALOS LOGIA]])</f>
        <v>0</v>
      </c>
      <c r="CE275" s="3">
        <f>+IF(AVANCE[[#This Row],[MOLDURAS]]=AQ$2,100%,AVANCE[[#This Row],[MOLDURAS]])</f>
        <v>0</v>
      </c>
      <c r="CF275" s="3">
        <f>+IF(AVANCE[[#This Row],[PILASTREO]]=AR$2,100%,AVANCE[[#This Row],[PILASTREO]])</f>
        <v>0</v>
      </c>
      <c r="CG275" s="3">
        <f>+IF(AVANCE[[#This Row],[CELOSIAS]]=AS$2,100%,AVANCE[[#This Row],[CELOSIAS]])</f>
        <v>0</v>
      </c>
      <c r="CH275" s="3">
        <f>+IF(AVANCE[[#This Row],[VENTANAS]]=AT$2,100%,AVANCE[[#This Row],[VENTANAS]])</f>
        <v>0</v>
      </c>
      <c r="CI275" s="3">
        <f>+IF(AVANCE[[#This Row],[PUERTAS ACCESO - LOGIA - BANO]]=AU$2,100%,AVANCE[[#This Row],[PUERTAS ACCESO - LOGIA - BANO]])</f>
        <v>0</v>
      </c>
      <c r="CJ275" s="3">
        <f>+IF(AVANCE[[#This Row],[CERRADURAS]]=AV$2,100%,AVANCE[[#This Row],[CERRADURAS]])</f>
        <v>0</v>
      </c>
      <c r="CK275" s="3">
        <f>+IF(AVANCE[[#This Row],[REVESTIMIENTO INTERIOR ZONA SECA]]=AW$2,100%,AVANCE[[#This Row],[REVESTIMIENTO INTERIOR ZONA SECA]])</f>
        <v>0</v>
      </c>
      <c r="CL275" s="3">
        <f>+IF(AVANCE[[#This Row],[REVESTIMIENTO INTERIOR ZONAS HUMEDAS]]=AX$2,100%,AVANCE[[#This Row],[REVESTIMIENTO INTERIOR ZONAS HUMEDAS]])</f>
        <v>0</v>
      </c>
      <c r="CM275" s="3">
        <f>+IF(AVANCE[[#This Row],[MEMBRANA CIELO]]=AY$2,100%,AVANCE[[#This Row],[MEMBRANA CIELO]])</f>
        <v>0</v>
      </c>
      <c r="CN275" s="3">
        <f>+IF(AVANCE[[#This Row],[LIMPIEZA FINAL]]=AZ$2,100%,AVANCE[[#This Row],[LIMPIEZA FINAL]])</f>
        <v>0</v>
      </c>
      <c r="CO275" s="3">
        <f>+IF(AVANCE[[#This Row],[PUERTAS DORMITORIO]]=BA$2,100%,AVANCE[[#This Row],[PUERTAS DORMITORIO]])</f>
        <v>0</v>
      </c>
      <c r="CP275" s="3">
        <f>+IF(AVANCE[[#This Row],[REVESTIMIENTO INTERIOR BANO]]=BB$2,100%,AVANCE[[#This Row],[REVESTIMIENTO INTERIOR BANO]])</f>
        <v>0</v>
      </c>
      <c r="CQ275" s="3">
        <f>+IF(AVANCE[[#This Row],[MUEBLE LAVAPLATOS]]=BC$2,100%,AVANCE[[#This Row],[MUEBLE LAVAPLATOS]])</f>
        <v>0</v>
      </c>
      <c r="CR275" s="3">
        <f>+IF(AVANCE[[#This Row],[IMPERMEABILIZACION BANO - COCINA LOGIA]]=BD$2,100%,AVANCE[[#This Row],[IMPERMEABILIZACION BANO - COCINA LOGIA]])</f>
        <v>0</v>
      </c>
      <c r="CS275" s="40">
        <f ca="1">+IF(AVANCE[[#This Row],[ESTADO MODULO]]="PENDIENTE",(TODAY()-AVANCE[[#This Row],[FECHA TERMINO  PLANIFICADO]]),0)</f>
        <v>0</v>
      </c>
      <c r="CT275" s="41" t="str" cm="1">
        <f t="array" ref="CT275">_xlfn.TEXTJOIN(" | ",TRUE,IF(SUMPRODUCT((BG275:CR275&lt;1)*(PARTIDAS!$I$2:$AT$2="OBRA GRUESA"))&gt;0,"OBRA GRUESA: "&amp;_xlfn.TEXTJOIN(", ",TRUE,IF((BG275:CR275&lt;1)*(PARTIDAS!$I$2:$AT$2="OBRA GRUESA"),PARTIDAS!$I$1:$AT$1,"")),""),IF(SUMPRODUCT((BG275:CR275&lt;1)*(PARTIDAS!$I$2:$AT$2="SANITARIOS"))&gt;0,"SANITARIOS: "&amp;_xlfn.TEXTJOIN(", ",TRUE,IF((BG275:CR275&lt;1)*(PARTIDAS!$I$2:$AT$2="SANITARIOS"),PARTIDAS!$I$1:$AT$1,"")),""),IF(SUMPRODUCT((BG275:CR275&lt;1)*(PARTIDAS!$I$2:$AT$2="ELÉCTRICO"))&gt;0,"ELÉCTRICO: "&amp;_xlfn.TEXTJOIN(", ",TRUE,IF((BG275:CR275&lt;1)*(PARTIDAS!$I$2:$AT$2="ELÉCTRICO"),PARTIDAS!$I$1:$AT$1,"")),""),IF(SUMPRODUCT((BG275:CR275&lt;1)*(PARTIDAS!$I$2:$AT$2="TERMINACIONES"))&gt;0,"TERMINACIONES: "&amp;_xlfn.TEXTJOIN(", ",TRUE,IF((BG275:CR275&lt;1)*(PARTIDAS!$I$2:$AT$2="TERMINACIONES"),PARTIDAS!$I$1:$AT$1,"")),""))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5" s="43" t="str" cm="1">
        <f t="array" ref="CU275">_xlfn.TEXTJOIN(", ",TRUE,IF(SUMPRODUCT((BG275:CR275&lt;1)*(PARTIDAS!$I$2:$AT$2="OBRA GRUESA"))&gt;0,"OBRA GRUESA",""),IF(SUMPRODUCT((BG275:CR275&lt;1)*(PARTIDAS!$I$2:$AT$2="SANITARIOS"))&gt;0,"SANITARIOS",""),IF(SUMPRODUCT((BG275:CR275&lt;1)*(PARTIDAS!$I$2:$AT$2="ELÉCTRICO"))&gt;0,"ELÉCTRICO",""),IF(SUMPRODUCT((BG275:CR275&lt;1)*(PARTIDAS!$I$2:$AT$2="TERMINACIONES"))&gt;0,"TERMINACIONES",""))</f>
        <v>OBRA GRUESA, SANITARIOS, ELÉCTRICO, TERMINACIONES</v>
      </c>
      <c r="CV275" s="44" cm="1">
        <f t="array" ref="CV275">SUMPRODUCT(--(BG275:CR275&lt;1))</f>
        <v>38</v>
      </c>
    </row>
    <row r="276" spans="1:100" hidden="1" x14ac:dyDescent="0.25">
      <c r="A276" t="s">
        <v>322</v>
      </c>
      <c r="B276" t="s">
        <v>341</v>
      </c>
      <c r="C276">
        <v>2302600275</v>
      </c>
      <c r="D276" t="s">
        <v>60</v>
      </c>
      <c r="E276" s="2">
        <v>0</v>
      </c>
      <c r="F276" s="1">
        <v>46276</v>
      </c>
      <c r="G276" s="1"/>
      <c r="H276" s="1">
        <v>0</v>
      </c>
      <c r="I276" s="1">
        <v>46306</v>
      </c>
      <c r="J276">
        <v>46230</v>
      </c>
      <c r="K276" s="1"/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>
        <v>31.32</v>
      </c>
      <c r="BF276" s="3" t="str">
        <f>+IF(AVANCE[[#This Row],[% AVANCE]]=100%,"MODULO TERMINADO",IF(AVANCE[[#This Row],[FECHA INICIO REAL]]="","MODULO NO INICIADO","PENDIENTE"))</f>
        <v>MODULO NO INICIADO</v>
      </c>
      <c r="BG276" s="3">
        <f>+IF(AVANCE[[#This Row],[VENTANAS]]=8.10810810810811%,100%,AVANCE[[#This Row],[VENTANAS]])</f>
        <v>0</v>
      </c>
      <c r="BH276" s="3">
        <f>+IF(AVANCE[[#This Row],[PISO]]=N$2,100%,AVANCE[[#This Row],[PISO]])</f>
        <v>0</v>
      </c>
      <c r="BI276" s="3">
        <f>+IF(AVANCE[[#This Row],[TABIQUES]]=O$2,100%,AVANCE[[#This Row],[TABIQUES]])</f>
        <v>0</v>
      </c>
      <c r="BJ276" s="3">
        <f>+IF(AVANCE[[#This Row],[MUROS]]=P$2,100%,AVANCE[[#This Row],[MUROS]])</f>
        <v>0</v>
      </c>
      <c r="BK276" s="3">
        <f>+IF(AVANCE[[#This Row],[CIELO]]=Q$2,100%,AVANCE[[#This Row],[CIELO]])</f>
        <v>0</v>
      </c>
      <c r="BL276" s="3">
        <f>+IF(AVANCE[[#This Row],[BALCÓN]]=R$2,100%,AVANCE[[#This Row],[BALCÓN]])</f>
        <v>0</v>
      </c>
      <c r="BM276" s="3">
        <f>+IF(AVANCE[[#This Row],[RED ALCANTARILLADO]]=U$2,100%,AVANCE[[#This Row],[RED ALCANTARILLADO]])</f>
        <v>0</v>
      </c>
      <c r="BN276" s="3">
        <f>+IF(AVANCE[[#This Row],[RED DE AGUA]]=V$2,100%,AVANCE[[#This Row],[RED DE AGUA]])</f>
        <v>0</v>
      </c>
      <c r="BO276" s="3">
        <f>+IF(AVANCE[[#This Row],[VENTILACIONES]]=W$2,100%,AVANCE[[#This Row],[VENTILACIONES]])</f>
        <v>0</v>
      </c>
      <c r="BP276" s="3">
        <f>+IF(AVANCE[[#This Row],[TINA]]=X$2,100%,AVANCE[[#This Row],[TINA]])</f>
        <v>0</v>
      </c>
      <c r="BQ276" s="3">
        <f>+IF(AVANCE[[#This Row],[WC]]=Y$2,100%,AVANCE[[#This Row],[WC]])</f>
        <v>0</v>
      </c>
      <c r="BR276" s="3">
        <f>+IF(AVANCE[[#This Row],[LAVAMANOS / LAVAPLATOS / LAVADERO]]=Z$2,100%,AVANCE[[#This Row],[LAVAMANOS / LAVAPLATOS / LAVADERO]])</f>
        <v>0</v>
      </c>
      <c r="BS276" s="3">
        <f>+IF(AVANCE[[#This Row],[CANALIZACIÓN]]=AC$2,100%,AVANCE[[#This Row],[CANALIZACIÓN]])</f>
        <v>0</v>
      </c>
      <c r="BT276" s="3">
        <f>+IF(AVANCE[[#This Row],[CABLEADO]]=AD$2,100%,AVANCE[[#This Row],[CABLEADO]])</f>
        <v>0</v>
      </c>
      <c r="BU276" s="3">
        <f>+IF(AVANCE[[#This Row],[ARTEFACTOS]]=AE$2,100%,AVANCE[[#This Row],[ARTEFACTOS]])</f>
        <v>0</v>
      </c>
      <c r="BV276" s="3">
        <f>+IF(AVANCE[[#This Row],[TABLERO]]=AF$2,100%,AVANCE[[#This Row],[TABLERO]])</f>
        <v>0</v>
      </c>
      <c r="BW276" s="3">
        <f>+IF(AVANCE[[#This Row],[CAJA PAU]]=AG$2,100%,AVANCE[[#This Row],[CAJA PAU]])</f>
        <v>0</v>
      </c>
      <c r="BX276" s="3">
        <f>+IF(AVANCE[[#This Row],[INSTALACION VINILICO]]=AJ$2,100%,AVANCE[[#This Row],[INSTALACION VINILICO]])</f>
        <v>0</v>
      </c>
      <c r="BY276" s="3">
        <f>+IF(AVANCE[[#This Row],[OSB CUBIERTA]]=AK$2,100%,AVANCE[[#This Row],[OSB CUBIERTA]])</f>
        <v>0</v>
      </c>
      <c r="BZ276" s="3">
        <f>+IF(AVANCE[[#This Row],[BARANDA BALCON]]=AL$2,100%,AVANCE[[#This Row],[BARANDA BALCON]])</f>
        <v>0</v>
      </c>
      <c r="CA276" s="3">
        <f>+IF(AVANCE[[#This Row],[OSB EXTERIOR]]=AM$2,100%,AVANCE[[#This Row],[OSB EXTERIOR]])</f>
        <v>0</v>
      </c>
      <c r="CB276" s="3">
        <f>+IF(AVANCE[[#This Row],[SMART PANEL]]=AN$2,100%,AVANCE[[#This Row],[SMART PANEL]])</f>
        <v>0</v>
      </c>
      <c r="CC276" s="3">
        <f>+IF(AVANCE[[#This Row],[PINTURA EXTERIOR]]=AO$2,100%,AVANCE[[#This Row],[PINTURA EXTERIOR]])</f>
        <v>0</v>
      </c>
      <c r="CD276" s="3">
        <f>+IF(AVANCE[[#This Row],[ZOCALOS LOGIA]]=AP$2,100%,AVANCE[[#This Row],[ZOCALOS LOGIA]])</f>
        <v>0</v>
      </c>
      <c r="CE276" s="3">
        <f>+IF(AVANCE[[#This Row],[MOLDURAS]]=AQ$2,100%,AVANCE[[#This Row],[MOLDURAS]])</f>
        <v>0</v>
      </c>
      <c r="CF276" s="3">
        <f>+IF(AVANCE[[#This Row],[PILASTREO]]=AR$2,100%,AVANCE[[#This Row],[PILASTREO]])</f>
        <v>0</v>
      </c>
      <c r="CG276" s="3">
        <f>+IF(AVANCE[[#This Row],[CELOSIAS]]=AS$2,100%,AVANCE[[#This Row],[CELOSIAS]])</f>
        <v>0</v>
      </c>
      <c r="CH276" s="3">
        <f>+IF(AVANCE[[#This Row],[VENTANAS]]=AT$2,100%,AVANCE[[#This Row],[VENTANAS]])</f>
        <v>0</v>
      </c>
      <c r="CI276" s="3">
        <f>+IF(AVANCE[[#This Row],[PUERTAS ACCESO - LOGIA - BANO]]=AU$2,100%,AVANCE[[#This Row],[PUERTAS ACCESO - LOGIA - BANO]])</f>
        <v>0</v>
      </c>
      <c r="CJ276" s="3">
        <f>+IF(AVANCE[[#This Row],[CERRADURAS]]=AV$2,100%,AVANCE[[#This Row],[CERRADURAS]])</f>
        <v>0</v>
      </c>
      <c r="CK276" s="3">
        <f>+IF(AVANCE[[#This Row],[REVESTIMIENTO INTERIOR ZONA SECA]]=AW$2,100%,AVANCE[[#This Row],[REVESTIMIENTO INTERIOR ZONA SECA]])</f>
        <v>0</v>
      </c>
      <c r="CL276" s="3">
        <f>+IF(AVANCE[[#This Row],[REVESTIMIENTO INTERIOR ZONAS HUMEDAS]]=AX$2,100%,AVANCE[[#This Row],[REVESTIMIENTO INTERIOR ZONAS HUMEDAS]])</f>
        <v>0</v>
      </c>
      <c r="CM276" s="3">
        <f>+IF(AVANCE[[#This Row],[MEMBRANA CIELO]]=AY$2,100%,AVANCE[[#This Row],[MEMBRANA CIELO]])</f>
        <v>0</v>
      </c>
      <c r="CN276" s="3">
        <f>+IF(AVANCE[[#This Row],[LIMPIEZA FINAL]]=AZ$2,100%,AVANCE[[#This Row],[LIMPIEZA FINAL]])</f>
        <v>0</v>
      </c>
      <c r="CO276" s="3">
        <f>+IF(AVANCE[[#This Row],[PUERTAS DORMITORIO]]=BA$2,100%,AVANCE[[#This Row],[PUERTAS DORMITORIO]])</f>
        <v>0</v>
      </c>
      <c r="CP276" s="3">
        <f>+IF(AVANCE[[#This Row],[REVESTIMIENTO INTERIOR BANO]]=BB$2,100%,AVANCE[[#This Row],[REVESTIMIENTO INTERIOR BANO]])</f>
        <v>0</v>
      </c>
      <c r="CQ276" s="3">
        <f>+IF(AVANCE[[#This Row],[MUEBLE LAVAPLATOS]]=BC$2,100%,AVANCE[[#This Row],[MUEBLE LAVAPLATOS]])</f>
        <v>0</v>
      </c>
      <c r="CR276" s="3">
        <f>+IF(AVANCE[[#This Row],[IMPERMEABILIZACION BANO - COCINA LOGIA]]=BD$2,100%,AVANCE[[#This Row],[IMPERMEABILIZACION BANO - COCINA LOGIA]])</f>
        <v>0</v>
      </c>
      <c r="CS276" s="40">
        <f ca="1">+IF(AVANCE[[#This Row],[ESTADO MODULO]]="PENDIENTE",(TODAY()-AVANCE[[#This Row],[FECHA TERMINO  PLANIFICADO]]),0)</f>
        <v>0</v>
      </c>
      <c r="CT276" s="41" t="str" cm="1">
        <f t="array" ref="CT276">_xlfn.TEXTJOIN(" | ",TRUE,IF(SUMPRODUCT((BG276:CR276&lt;1)*(PARTIDAS!$I$2:$AT$2="OBRA GRUESA"))&gt;0,"OBRA GRUESA: "&amp;_xlfn.TEXTJOIN(", ",TRUE,IF((BG276:CR276&lt;1)*(PARTIDAS!$I$2:$AT$2="OBRA GRUESA"),PARTIDAS!$I$1:$AT$1,"")),""),IF(SUMPRODUCT((BG276:CR276&lt;1)*(PARTIDAS!$I$2:$AT$2="SANITARIOS"))&gt;0,"SANITARIOS: "&amp;_xlfn.TEXTJOIN(", ",TRUE,IF((BG276:CR276&lt;1)*(PARTIDAS!$I$2:$AT$2="SANITARIOS"),PARTIDAS!$I$1:$AT$1,"")),""),IF(SUMPRODUCT((BG276:CR276&lt;1)*(PARTIDAS!$I$2:$AT$2="ELÉCTRICO"))&gt;0,"ELÉCTRICO: "&amp;_xlfn.TEXTJOIN(", ",TRUE,IF((BG276:CR276&lt;1)*(PARTIDAS!$I$2:$AT$2="ELÉCTRICO"),PARTIDAS!$I$1:$AT$1,"")),""),IF(SUMPRODUCT((BG276:CR276&lt;1)*(PARTIDAS!$I$2:$AT$2="TERMINACIONES"))&gt;0,"TERMINACIONES: "&amp;_xlfn.TEXTJOIN(", ",TRUE,IF((BG276:CR276&lt;1)*(PARTIDAS!$I$2:$AT$2="TERMINACIONES"),PARTIDAS!$I$1:$AT$1,"")),""))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6" s="43" t="str" cm="1">
        <f t="array" ref="CU276">_xlfn.TEXTJOIN(", ",TRUE,IF(SUMPRODUCT((BG276:CR276&lt;1)*(PARTIDAS!$I$2:$AT$2="OBRA GRUESA"))&gt;0,"OBRA GRUESA",""),IF(SUMPRODUCT((BG276:CR276&lt;1)*(PARTIDAS!$I$2:$AT$2="SANITARIOS"))&gt;0,"SANITARIOS",""),IF(SUMPRODUCT((BG276:CR276&lt;1)*(PARTIDAS!$I$2:$AT$2="ELÉCTRICO"))&gt;0,"ELÉCTRICO",""),IF(SUMPRODUCT((BG276:CR276&lt;1)*(PARTIDAS!$I$2:$AT$2="TERMINACIONES"))&gt;0,"TERMINACIONES",""))</f>
        <v>OBRA GRUESA, SANITARIOS, ELÉCTRICO, TERMINACIONES</v>
      </c>
      <c r="CV276" s="44" cm="1">
        <f t="array" ref="CV276">SUMPRODUCT(--(BG276:CR276&lt;1))</f>
        <v>38</v>
      </c>
    </row>
    <row r="277" spans="1:100" hidden="1" x14ac:dyDescent="0.25">
      <c r="A277" t="s">
        <v>322</v>
      </c>
      <c r="B277" t="s">
        <v>342</v>
      </c>
      <c r="C277">
        <v>2282600276</v>
      </c>
      <c r="D277" t="s">
        <v>58</v>
      </c>
      <c r="E277" s="2">
        <v>0</v>
      </c>
      <c r="F277" s="1">
        <v>46276</v>
      </c>
      <c r="G277" s="1"/>
      <c r="H277" s="1">
        <v>0</v>
      </c>
      <c r="I277" s="1">
        <v>46296</v>
      </c>
      <c r="J277">
        <v>46230</v>
      </c>
      <c r="K277" s="1"/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>
        <v>28.87</v>
      </c>
      <c r="BF277" s="3" t="str">
        <f>+IF(AVANCE[[#This Row],[% AVANCE]]=100%,"MODULO TERMINADO",IF(AVANCE[[#This Row],[FECHA INICIO REAL]]="","MODULO NO INICIADO","PENDIENTE"))</f>
        <v>MODULO NO INICIADO</v>
      </c>
      <c r="BG277" s="3">
        <f>+IF(AVANCE[[#This Row],[VENTANAS]]=8.10810810810811%,100%,AVANCE[[#This Row],[VENTANAS]])</f>
        <v>0</v>
      </c>
      <c r="BH277" s="3">
        <f>+IF(AVANCE[[#This Row],[PISO]]=N$2,100%,AVANCE[[#This Row],[PISO]])</f>
        <v>0</v>
      </c>
      <c r="BI277" s="3">
        <f>+IF(AVANCE[[#This Row],[TABIQUES]]=O$2,100%,AVANCE[[#This Row],[TABIQUES]])</f>
        <v>0</v>
      </c>
      <c r="BJ277" s="3">
        <f>+IF(AVANCE[[#This Row],[MUROS]]=P$2,100%,AVANCE[[#This Row],[MUROS]])</f>
        <v>0</v>
      </c>
      <c r="BK277" s="3">
        <f>+IF(AVANCE[[#This Row],[CIELO]]=Q$2,100%,AVANCE[[#This Row],[CIELO]])</f>
        <v>0</v>
      </c>
      <c r="BL277" s="3">
        <f>+IF(AVANCE[[#This Row],[BALCÓN]]=R$2,100%,AVANCE[[#This Row],[BALCÓN]])</f>
        <v>0</v>
      </c>
      <c r="BM277" s="3">
        <f>+IF(AVANCE[[#This Row],[RED ALCANTARILLADO]]=U$2,100%,AVANCE[[#This Row],[RED ALCANTARILLADO]])</f>
        <v>0</v>
      </c>
      <c r="BN277" s="3">
        <f>+IF(AVANCE[[#This Row],[RED DE AGUA]]=V$2,100%,AVANCE[[#This Row],[RED DE AGUA]])</f>
        <v>0</v>
      </c>
      <c r="BO277" s="3">
        <f>+IF(AVANCE[[#This Row],[VENTILACIONES]]=W$2,100%,AVANCE[[#This Row],[VENTILACIONES]])</f>
        <v>0</v>
      </c>
      <c r="BP277" s="3">
        <f>+IF(AVANCE[[#This Row],[TINA]]=X$2,100%,AVANCE[[#This Row],[TINA]])</f>
        <v>0</v>
      </c>
      <c r="BQ277" s="3">
        <f>+IF(AVANCE[[#This Row],[WC]]=Y$2,100%,AVANCE[[#This Row],[WC]])</f>
        <v>0</v>
      </c>
      <c r="BR277" s="3">
        <f>+IF(AVANCE[[#This Row],[LAVAMANOS / LAVAPLATOS / LAVADERO]]=Z$2,100%,AVANCE[[#This Row],[LAVAMANOS / LAVAPLATOS / LAVADERO]])</f>
        <v>0</v>
      </c>
      <c r="BS277" s="3">
        <f>+IF(AVANCE[[#This Row],[CANALIZACIÓN]]=AC$2,100%,AVANCE[[#This Row],[CANALIZACIÓN]])</f>
        <v>0</v>
      </c>
      <c r="BT277" s="3">
        <f>+IF(AVANCE[[#This Row],[CABLEADO]]=AD$2,100%,AVANCE[[#This Row],[CABLEADO]])</f>
        <v>0</v>
      </c>
      <c r="BU277" s="3">
        <f>+IF(AVANCE[[#This Row],[ARTEFACTOS]]=AE$2,100%,AVANCE[[#This Row],[ARTEFACTOS]])</f>
        <v>0</v>
      </c>
      <c r="BV277" s="3">
        <f>+IF(AVANCE[[#This Row],[TABLERO]]=AF$2,100%,AVANCE[[#This Row],[TABLERO]])</f>
        <v>0</v>
      </c>
      <c r="BW277" s="3">
        <f>+IF(AVANCE[[#This Row],[CAJA PAU]]=AG$2,100%,AVANCE[[#This Row],[CAJA PAU]])</f>
        <v>0</v>
      </c>
      <c r="BX277" s="3">
        <f>+IF(AVANCE[[#This Row],[INSTALACION VINILICO]]=AJ$2,100%,AVANCE[[#This Row],[INSTALACION VINILICO]])</f>
        <v>0</v>
      </c>
      <c r="BY277" s="3">
        <f>+IF(AVANCE[[#This Row],[OSB CUBIERTA]]=AK$2,100%,AVANCE[[#This Row],[OSB CUBIERTA]])</f>
        <v>0</v>
      </c>
      <c r="BZ277" s="3">
        <f>+IF(AVANCE[[#This Row],[BARANDA BALCON]]=AL$2,100%,AVANCE[[#This Row],[BARANDA BALCON]])</f>
        <v>0</v>
      </c>
      <c r="CA277" s="3">
        <f>+IF(AVANCE[[#This Row],[OSB EXTERIOR]]=AM$2,100%,AVANCE[[#This Row],[OSB EXTERIOR]])</f>
        <v>0</v>
      </c>
      <c r="CB277" s="3">
        <f>+IF(AVANCE[[#This Row],[SMART PANEL]]=AN$2,100%,AVANCE[[#This Row],[SMART PANEL]])</f>
        <v>0</v>
      </c>
      <c r="CC277" s="3">
        <f>+IF(AVANCE[[#This Row],[PINTURA EXTERIOR]]=AO$2,100%,AVANCE[[#This Row],[PINTURA EXTERIOR]])</f>
        <v>0</v>
      </c>
      <c r="CD277" s="3">
        <f>+IF(AVANCE[[#This Row],[ZOCALOS LOGIA]]=AP$2,100%,AVANCE[[#This Row],[ZOCALOS LOGIA]])</f>
        <v>0</v>
      </c>
      <c r="CE277" s="3">
        <f>+IF(AVANCE[[#This Row],[MOLDURAS]]=AQ$2,100%,AVANCE[[#This Row],[MOLDURAS]])</f>
        <v>0</v>
      </c>
      <c r="CF277" s="3">
        <f>+IF(AVANCE[[#This Row],[PILASTREO]]=AR$2,100%,AVANCE[[#This Row],[PILASTREO]])</f>
        <v>0</v>
      </c>
      <c r="CG277" s="3">
        <f>+IF(AVANCE[[#This Row],[CELOSIAS]]=AS$2,100%,AVANCE[[#This Row],[CELOSIAS]])</f>
        <v>0</v>
      </c>
      <c r="CH277" s="3">
        <f>+IF(AVANCE[[#This Row],[VENTANAS]]=AT$2,100%,AVANCE[[#This Row],[VENTANAS]])</f>
        <v>0</v>
      </c>
      <c r="CI277" s="3">
        <f>+IF(AVANCE[[#This Row],[PUERTAS ACCESO - LOGIA - BANO]]=AU$2,100%,AVANCE[[#This Row],[PUERTAS ACCESO - LOGIA - BANO]])</f>
        <v>0</v>
      </c>
      <c r="CJ277" s="3">
        <f>+IF(AVANCE[[#This Row],[CERRADURAS]]=AV$2,100%,AVANCE[[#This Row],[CERRADURAS]])</f>
        <v>0</v>
      </c>
      <c r="CK277" s="3">
        <f>+IF(AVANCE[[#This Row],[REVESTIMIENTO INTERIOR ZONA SECA]]=AW$2,100%,AVANCE[[#This Row],[REVESTIMIENTO INTERIOR ZONA SECA]])</f>
        <v>0</v>
      </c>
      <c r="CL277" s="3">
        <f>+IF(AVANCE[[#This Row],[REVESTIMIENTO INTERIOR ZONAS HUMEDAS]]=AX$2,100%,AVANCE[[#This Row],[REVESTIMIENTO INTERIOR ZONAS HUMEDAS]])</f>
        <v>0</v>
      </c>
      <c r="CM277" s="3">
        <f>+IF(AVANCE[[#This Row],[MEMBRANA CIELO]]=AY$2,100%,AVANCE[[#This Row],[MEMBRANA CIELO]])</f>
        <v>0</v>
      </c>
      <c r="CN277" s="3">
        <f>+IF(AVANCE[[#This Row],[LIMPIEZA FINAL]]=AZ$2,100%,AVANCE[[#This Row],[LIMPIEZA FINAL]])</f>
        <v>0</v>
      </c>
      <c r="CO277" s="3">
        <f>+IF(AVANCE[[#This Row],[PUERTAS DORMITORIO]]=BA$2,100%,AVANCE[[#This Row],[PUERTAS DORMITORIO]])</f>
        <v>0</v>
      </c>
      <c r="CP277" s="3">
        <f>+IF(AVANCE[[#This Row],[REVESTIMIENTO INTERIOR BANO]]=BB$2,100%,AVANCE[[#This Row],[REVESTIMIENTO INTERIOR BANO]])</f>
        <v>0</v>
      </c>
      <c r="CQ277" s="3">
        <f>+IF(AVANCE[[#This Row],[MUEBLE LAVAPLATOS]]=BC$2,100%,AVANCE[[#This Row],[MUEBLE LAVAPLATOS]])</f>
        <v>0</v>
      </c>
      <c r="CR277" s="3">
        <f>+IF(AVANCE[[#This Row],[IMPERMEABILIZACION BANO - COCINA LOGIA]]=BD$2,100%,AVANCE[[#This Row],[IMPERMEABILIZACION BANO - COCINA LOGIA]])</f>
        <v>0</v>
      </c>
      <c r="CS277" s="40">
        <f ca="1">+IF(AVANCE[[#This Row],[ESTADO MODULO]]="PENDIENTE",(TODAY()-AVANCE[[#This Row],[FECHA TERMINO  PLANIFICADO]]),0)</f>
        <v>0</v>
      </c>
      <c r="CT277" s="41" t="str" cm="1">
        <f t="array" ref="CT277">_xlfn.TEXTJOIN(" | ",TRUE,IF(SUMPRODUCT((BG277:CR277&lt;1)*(PARTIDAS!$I$2:$AT$2="OBRA GRUESA"))&gt;0,"OBRA GRUESA: "&amp;_xlfn.TEXTJOIN(", ",TRUE,IF((BG277:CR277&lt;1)*(PARTIDAS!$I$2:$AT$2="OBRA GRUESA"),PARTIDAS!$I$1:$AT$1,"")),""),IF(SUMPRODUCT((BG277:CR277&lt;1)*(PARTIDAS!$I$2:$AT$2="SANITARIOS"))&gt;0,"SANITARIOS: "&amp;_xlfn.TEXTJOIN(", ",TRUE,IF((BG277:CR277&lt;1)*(PARTIDAS!$I$2:$AT$2="SANITARIOS"),PARTIDAS!$I$1:$AT$1,"")),""),IF(SUMPRODUCT((BG277:CR277&lt;1)*(PARTIDAS!$I$2:$AT$2="ELÉCTRICO"))&gt;0,"ELÉCTRICO: "&amp;_xlfn.TEXTJOIN(", ",TRUE,IF((BG277:CR277&lt;1)*(PARTIDAS!$I$2:$AT$2="ELÉCTRICO"),PARTIDAS!$I$1:$AT$1,"")),""),IF(SUMPRODUCT((BG277:CR277&lt;1)*(PARTIDAS!$I$2:$AT$2="TERMINACIONES"))&gt;0,"TERMINACIONES: "&amp;_xlfn.TEXTJOIN(", ",TRUE,IF((BG277:CR277&lt;1)*(PARTIDAS!$I$2:$AT$2="TERMINACIONES"),PARTIDAS!$I$1:$AT$1,"")),""))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7" s="43" t="str" cm="1">
        <f t="array" ref="CU277">_xlfn.TEXTJOIN(", ",TRUE,IF(SUMPRODUCT((BG277:CR277&lt;1)*(PARTIDAS!$I$2:$AT$2="OBRA GRUESA"))&gt;0,"OBRA GRUESA",""),IF(SUMPRODUCT((BG277:CR277&lt;1)*(PARTIDAS!$I$2:$AT$2="SANITARIOS"))&gt;0,"SANITARIOS",""),IF(SUMPRODUCT((BG277:CR277&lt;1)*(PARTIDAS!$I$2:$AT$2="ELÉCTRICO"))&gt;0,"ELÉCTRICO",""),IF(SUMPRODUCT((BG277:CR277&lt;1)*(PARTIDAS!$I$2:$AT$2="TERMINACIONES"))&gt;0,"TERMINACIONES",""))</f>
        <v>OBRA GRUESA, SANITARIOS, ELÉCTRICO, TERMINACIONES</v>
      </c>
      <c r="CV277" s="44" cm="1">
        <f t="array" ref="CV277">SUMPRODUCT(--(BG277:CR277&lt;1))</f>
        <v>38</v>
      </c>
    </row>
    <row r="278" spans="1:100" hidden="1" x14ac:dyDescent="0.25">
      <c r="A278" t="s">
        <v>322</v>
      </c>
      <c r="B278" t="s">
        <v>343</v>
      </c>
      <c r="C278">
        <v>2282600277</v>
      </c>
      <c r="D278" t="s">
        <v>58</v>
      </c>
      <c r="E278" s="2">
        <v>0</v>
      </c>
      <c r="F278" s="1">
        <v>46276</v>
      </c>
      <c r="G278" s="1"/>
      <c r="H278" s="1">
        <v>0</v>
      </c>
      <c r="I278" s="1">
        <v>46296</v>
      </c>
      <c r="J278">
        <v>46230</v>
      </c>
      <c r="K278" s="1"/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>
        <v>28.87</v>
      </c>
      <c r="BF278" s="3" t="str">
        <f>+IF(AVANCE[[#This Row],[% AVANCE]]=100%,"MODULO TERMINADO",IF(AVANCE[[#This Row],[FECHA INICIO REAL]]="","MODULO NO INICIADO","PENDIENTE"))</f>
        <v>MODULO NO INICIADO</v>
      </c>
      <c r="BG278" s="3">
        <f>+IF(AVANCE[[#This Row],[VENTANAS]]=8.10810810810811%,100%,AVANCE[[#This Row],[VENTANAS]])</f>
        <v>0</v>
      </c>
      <c r="BH278" s="3">
        <f>+IF(AVANCE[[#This Row],[PISO]]=N$2,100%,AVANCE[[#This Row],[PISO]])</f>
        <v>0</v>
      </c>
      <c r="BI278" s="3">
        <f>+IF(AVANCE[[#This Row],[TABIQUES]]=O$2,100%,AVANCE[[#This Row],[TABIQUES]])</f>
        <v>0</v>
      </c>
      <c r="BJ278" s="3">
        <f>+IF(AVANCE[[#This Row],[MUROS]]=P$2,100%,AVANCE[[#This Row],[MUROS]])</f>
        <v>0</v>
      </c>
      <c r="BK278" s="3">
        <f>+IF(AVANCE[[#This Row],[CIELO]]=Q$2,100%,AVANCE[[#This Row],[CIELO]])</f>
        <v>0</v>
      </c>
      <c r="BL278" s="3">
        <f>+IF(AVANCE[[#This Row],[BALCÓN]]=R$2,100%,AVANCE[[#This Row],[BALCÓN]])</f>
        <v>0</v>
      </c>
      <c r="BM278" s="3">
        <f>+IF(AVANCE[[#This Row],[RED ALCANTARILLADO]]=U$2,100%,AVANCE[[#This Row],[RED ALCANTARILLADO]])</f>
        <v>0</v>
      </c>
      <c r="BN278" s="3">
        <f>+IF(AVANCE[[#This Row],[RED DE AGUA]]=V$2,100%,AVANCE[[#This Row],[RED DE AGUA]])</f>
        <v>0</v>
      </c>
      <c r="BO278" s="3">
        <f>+IF(AVANCE[[#This Row],[VENTILACIONES]]=W$2,100%,AVANCE[[#This Row],[VENTILACIONES]])</f>
        <v>0</v>
      </c>
      <c r="BP278" s="3">
        <f>+IF(AVANCE[[#This Row],[TINA]]=X$2,100%,AVANCE[[#This Row],[TINA]])</f>
        <v>0</v>
      </c>
      <c r="BQ278" s="3">
        <f>+IF(AVANCE[[#This Row],[WC]]=Y$2,100%,AVANCE[[#This Row],[WC]])</f>
        <v>0</v>
      </c>
      <c r="BR278" s="3">
        <f>+IF(AVANCE[[#This Row],[LAVAMANOS / LAVAPLATOS / LAVADERO]]=Z$2,100%,AVANCE[[#This Row],[LAVAMANOS / LAVAPLATOS / LAVADERO]])</f>
        <v>0</v>
      </c>
      <c r="BS278" s="3">
        <f>+IF(AVANCE[[#This Row],[CANALIZACIÓN]]=AC$2,100%,AVANCE[[#This Row],[CANALIZACIÓN]])</f>
        <v>0</v>
      </c>
      <c r="BT278" s="3">
        <f>+IF(AVANCE[[#This Row],[CABLEADO]]=AD$2,100%,AVANCE[[#This Row],[CABLEADO]])</f>
        <v>0</v>
      </c>
      <c r="BU278" s="3">
        <f>+IF(AVANCE[[#This Row],[ARTEFACTOS]]=AE$2,100%,AVANCE[[#This Row],[ARTEFACTOS]])</f>
        <v>0</v>
      </c>
      <c r="BV278" s="3">
        <f>+IF(AVANCE[[#This Row],[TABLERO]]=AF$2,100%,AVANCE[[#This Row],[TABLERO]])</f>
        <v>0</v>
      </c>
      <c r="BW278" s="3">
        <f>+IF(AVANCE[[#This Row],[CAJA PAU]]=AG$2,100%,AVANCE[[#This Row],[CAJA PAU]])</f>
        <v>0</v>
      </c>
      <c r="BX278" s="3">
        <f>+IF(AVANCE[[#This Row],[INSTALACION VINILICO]]=AJ$2,100%,AVANCE[[#This Row],[INSTALACION VINILICO]])</f>
        <v>0</v>
      </c>
      <c r="BY278" s="3">
        <f>+IF(AVANCE[[#This Row],[OSB CUBIERTA]]=AK$2,100%,AVANCE[[#This Row],[OSB CUBIERTA]])</f>
        <v>0</v>
      </c>
      <c r="BZ278" s="3">
        <f>+IF(AVANCE[[#This Row],[BARANDA BALCON]]=AL$2,100%,AVANCE[[#This Row],[BARANDA BALCON]])</f>
        <v>0</v>
      </c>
      <c r="CA278" s="3">
        <f>+IF(AVANCE[[#This Row],[OSB EXTERIOR]]=AM$2,100%,AVANCE[[#This Row],[OSB EXTERIOR]])</f>
        <v>0</v>
      </c>
      <c r="CB278" s="3">
        <f>+IF(AVANCE[[#This Row],[SMART PANEL]]=AN$2,100%,AVANCE[[#This Row],[SMART PANEL]])</f>
        <v>0</v>
      </c>
      <c r="CC278" s="3">
        <f>+IF(AVANCE[[#This Row],[PINTURA EXTERIOR]]=AO$2,100%,AVANCE[[#This Row],[PINTURA EXTERIOR]])</f>
        <v>0</v>
      </c>
      <c r="CD278" s="3">
        <f>+IF(AVANCE[[#This Row],[ZOCALOS LOGIA]]=AP$2,100%,AVANCE[[#This Row],[ZOCALOS LOGIA]])</f>
        <v>0</v>
      </c>
      <c r="CE278" s="3">
        <f>+IF(AVANCE[[#This Row],[MOLDURAS]]=AQ$2,100%,AVANCE[[#This Row],[MOLDURAS]])</f>
        <v>0</v>
      </c>
      <c r="CF278" s="3">
        <f>+IF(AVANCE[[#This Row],[PILASTREO]]=AR$2,100%,AVANCE[[#This Row],[PILASTREO]])</f>
        <v>0</v>
      </c>
      <c r="CG278" s="3">
        <f>+IF(AVANCE[[#This Row],[CELOSIAS]]=AS$2,100%,AVANCE[[#This Row],[CELOSIAS]])</f>
        <v>0</v>
      </c>
      <c r="CH278" s="3">
        <f>+IF(AVANCE[[#This Row],[VENTANAS]]=AT$2,100%,AVANCE[[#This Row],[VENTANAS]])</f>
        <v>0</v>
      </c>
      <c r="CI278" s="3">
        <f>+IF(AVANCE[[#This Row],[PUERTAS ACCESO - LOGIA - BANO]]=AU$2,100%,AVANCE[[#This Row],[PUERTAS ACCESO - LOGIA - BANO]])</f>
        <v>0</v>
      </c>
      <c r="CJ278" s="3">
        <f>+IF(AVANCE[[#This Row],[CERRADURAS]]=AV$2,100%,AVANCE[[#This Row],[CERRADURAS]])</f>
        <v>0</v>
      </c>
      <c r="CK278" s="3">
        <f>+IF(AVANCE[[#This Row],[REVESTIMIENTO INTERIOR ZONA SECA]]=AW$2,100%,AVANCE[[#This Row],[REVESTIMIENTO INTERIOR ZONA SECA]])</f>
        <v>0</v>
      </c>
      <c r="CL278" s="3">
        <f>+IF(AVANCE[[#This Row],[REVESTIMIENTO INTERIOR ZONAS HUMEDAS]]=AX$2,100%,AVANCE[[#This Row],[REVESTIMIENTO INTERIOR ZONAS HUMEDAS]])</f>
        <v>0</v>
      </c>
      <c r="CM278" s="3">
        <f>+IF(AVANCE[[#This Row],[MEMBRANA CIELO]]=AY$2,100%,AVANCE[[#This Row],[MEMBRANA CIELO]])</f>
        <v>0</v>
      </c>
      <c r="CN278" s="3">
        <f>+IF(AVANCE[[#This Row],[LIMPIEZA FINAL]]=AZ$2,100%,AVANCE[[#This Row],[LIMPIEZA FINAL]])</f>
        <v>0</v>
      </c>
      <c r="CO278" s="3">
        <f>+IF(AVANCE[[#This Row],[PUERTAS DORMITORIO]]=BA$2,100%,AVANCE[[#This Row],[PUERTAS DORMITORIO]])</f>
        <v>0</v>
      </c>
      <c r="CP278" s="3">
        <f>+IF(AVANCE[[#This Row],[REVESTIMIENTO INTERIOR BANO]]=BB$2,100%,AVANCE[[#This Row],[REVESTIMIENTO INTERIOR BANO]])</f>
        <v>0</v>
      </c>
      <c r="CQ278" s="3">
        <f>+IF(AVANCE[[#This Row],[MUEBLE LAVAPLATOS]]=BC$2,100%,AVANCE[[#This Row],[MUEBLE LAVAPLATOS]])</f>
        <v>0</v>
      </c>
      <c r="CR278" s="3">
        <f>+IF(AVANCE[[#This Row],[IMPERMEABILIZACION BANO - COCINA LOGIA]]=BD$2,100%,AVANCE[[#This Row],[IMPERMEABILIZACION BANO - COCINA LOGIA]])</f>
        <v>0</v>
      </c>
      <c r="CS278" s="40">
        <f ca="1">+IF(AVANCE[[#This Row],[ESTADO MODULO]]="PENDIENTE",(TODAY()-AVANCE[[#This Row],[FECHA TERMINO  PLANIFICADO]]),0)</f>
        <v>0</v>
      </c>
      <c r="CT278" s="41" t="str" cm="1">
        <f t="array" ref="CT278">_xlfn.TEXTJOIN(" | ",TRUE,IF(SUMPRODUCT((BG278:CR278&lt;1)*(PARTIDAS!$I$2:$AT$2="OBRA GRUESA"))&gt;0,"OBRA GRUESA: "&amp;_xlfn.TEXTJOIN(", ",TRUE,IF((BG278:CR278&lt;1)*(PARTIDAS!$I$2:$AT$2="OBRA GRUESA"),PARTIDAS!$I$1:$AT$1,"")),""),IF(SUMPRODUCT((BG278:CR278&lt;1)*(PARTIDAS!$I$2:$AT$2="SANITARIOS"))&gt;0,"SANITARIOS: "&amp;_xlfn.TEXTJOIN(", ",TRUE,IF((BG278:CR278&lt;1)*(PARTIDAS!$I$2:$AT$2="SANITARIOS"),PARTIDAS!$I$1:$AT$1,"")),""),IF(SUMPRODUCT((BG278:CR278&lt;1)*(PARTIDAS!$I$2:$AT$2="ELÉCTRICO"))&gt;0,"ELÉCTRICO: "&amp;_xlfn.TEXTJOIN(", ",TRUE,IF((BG278:CR278&lt;1)*(PARTIDAS!$I$2:$AT$2="ELÉCTRICO"),PARTIDAS!$I$1:$AT$1,"")),""),IF(SUMPRODUCT((BG278:CR278&lt;1)*(PARTIDAS!$I$2:$AT$2="TERMINACIONES"))&gt;0,"TERMINACIONES: "&amp;_xlfn.TEXTJOIN(", ",TRUE,IF((BG278:CR278&lt;1)*(PARTIDAS!$I$2:$AT$2="TERMINACIONES"),PARTIDAS!$I$1:$AT$1,"")),""))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8" s="43" t="str" cm="1">
        <f t="array" ref="CU278">_xlfn.TEXTJOIN(", ",TRUE,IF(SUMPRODUCT((BG278:CR278&lt;1)*(PARTIDAS!$I$2:$AT$2="OBRA GRUESA"))&gt;0,"OBRA GRUESA",""),IF(SUMPRODUCT((BG278:CR278&lt;1)*(PARTIDAS!$I$2:$AT$2="SANITARIOS"))&gt;0,"SANITARIOS",""),IF(SUMPRODUCT((BG278:CR278&lt;1)*(PARTIDAS!$I$2:$AT$2="ELÉCTRICO"))&gt;0,"ELÉCTRICO",""),IF(SUMPRODUCT((BG278:CR278&lt;1)*(PARTIDAS!$I$2:$AT$2="TERMINACIONES"))&gt;0,"TERMINACIONES",""))</f>
        <v>OBRA GRUESA, SANITARIOS, ELÉCTRICO, TERMINACIONES</v>
      </c>
      <c r="CV278" s="44" cm="1">
        <f t="array" ref="CV278">SUMPRODUCT(--(BG278:CR278&lt;1))</f>
        <v>38</v>
      </c>
    </row>
    <row r="279" spans="1:100" hidden="1" x14ac:dyDescent="0.25">
      <c r="A279" t="s">
        <v>322</v>
      </c>
      <c r="B279" t="s">
        <v>344</v>
      </c>
      <c r="C279">
        <v>2302600278</v>
      </c>
      <c r="D279" t="s">
        <v>60</v>
      </c>
      <c r="E279" s="2">
        <v>0</v>
      </c>
      <c r="F279" s="1">
        <v>46279</v>
      </c>
      <c r="G279" s="1"/>
      <c r="H279" s="1">
        <v>0</v>
      </c>
      <c r="I279" s="1">
        <v>46309</v>
      </c>
      <c r="J279">
        <v>46230</v>
      </c>
      <c r="K279" s="1"/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>
        <v>31.32</v>
      </c>
      <c r="BF279" s="3" t="str">
        <f>+IF(AVANCE[[#This Row],[% AVANCE]]=100%,"MODULO TERMINADO",IF(AVANCE[[#This Row],[FECHA INICIO REAL]]="","MODULO NO INICIADO","PENDIENTE"))</f>
        <v>MODULO NO INICIADO</v>
      </c>
      <c r="BG279" s="3">
        <f>+IF(AVANCE[[#This Row],[VENTANAS]]=8.10810810810811%,100%,AVANCE[[#This Row],[VENTANAS]])</f>
        <v>0</v>
      </c>
      <c r="BH279" s="3">
        <f>+IF(AVANCE[[#This Row],[PISO]]=N$2,100%,AVANCE[[#This Row],[PISO]])</f>
        <v>0</v>
      </c>
      <c r="BI279" s="3">
        <f>+IF(AVANCE[[#This Row],[TABIQUES]]=O$2,100%,AVANCE[[#This Row],[TABIQUES]])</f>
        <v>0</v>
      </c>
      <c r="BJ279" s="3">
        <f>+IF(AVANCE[[#This Row],[MUROS]]=P$2,100%,AVANCE[[#This Row],[MUROS]])</f>
        <v>0</v>
      </c>
      <c r="BK279" s="3">
        <f>+IF(AVANCE[[#This Row],[CIELO]]=Q$2,100%,AVANCE[[#This Row],[CIELO]])</f>
        <v>0</v>
      </c>
      <c r="BL279" s="3">
        <f>+IF(AVANCE[[#This Row],[BALCÓN]]=R$2,100%,AVANCE[[#This Row],[BALCÓN]])</f>
        <v>0</v>
      </c>
      <c r="BM279" s="3">
        <f>+IF(AVANCE[[#This Row],[RED ALCANTARILLADO]]=U$2,100%,AVANCE[[#This Row],[RED ALCANTARILLADO]])</f>
        <v>0</v>
      </c>
      <c r="BN279" s="3">
        <f>+IF(AVANCE[[#This Row],[RED DE AGUA]]=V$2,100%,AVANCE[[#This Row],[RED DE AGUA]])</f>
        <v>0</v>
      </c>
      <c r="BO279" s="3">
        <f>+IF(AVANCE[[#This Row],[VENTILACIONES]]=W$2,100%,AVANCE[[#This Row],[VENTILACIONES]])</f>
        <v>0</v>
      </c>
      <c r="BP279" s="3">
        <f>+IF(AVANCE[[#This Row],[TINA]]=X$2,100%,AVANCE[[#This Row],[TINA]])</f>
        <v>0</v>
      </c>
      <c r="BQ279" s="3">
        <f>+IF(AVANCE[[#This Row],[WC]]=Y$2,100%,AVANCE[[#This Row],[WC]])</f>
        <v>0</v>
      </c>
      <c r="BR279" s="3">
        <f>+IF(AVANCE[[#This Row],[LAVAMANOS / LAVAPLATOS / LAVADERO]]=Z$2,100%,AVANCE[[#This Row],[LAVAMANOS / LAVAPLATOS / LAVADERO]])</f>
        <v>0</v>
      </c>
      <c r="BS279" s="3">
        <f>+IF(AVANCE[[#This Row],[CANALIZACIÓN]]=AC$2,100%,AVANCE[[#This Row],[CANALIZACIÓN]])</f>
        <v>0</v>
      </c>
      <c r="BT279" s="3">
        <f>+IF(AVANCE[[#This Row],[CABLEADO]]=AD$2,100%,AVANCE[[#This Row],[CABLEADO]])</f>
        <v>0</v>
      </c>
      <c r="BU279" s="3">
        <f>+IF(AVANCE[[#This Row],[ARTEFACTOS]]=AE$2,100%,AVANCE[[#This Row],[ARTEFACTOS]])</f>
        <v>0</v>
      </c>
      <c r="BV279" s="3">
        <f>+IF(AVANCE[[#This Row],[TABLERO]]=AF$2,100%,AVANCE[[#This Row],[TABLERO]])</f>
        <v>0</v>
      </c>
      <c r="BW279" s="3">
        <f>+IF(AVANCE[[#This Row],[CAJA PAU]]=AG$2,100%,AVANCE[[#This Row],[CAJA PAU]])</f>
        <v>0</v>
      </c>
      <c r="BX279" s="3">
        <f>+IF(AVANCE[[#This Row],[INSTALACION VINILICO]]=AJ$2,100%,AVANCE[[#This Row],[INSTALACION VINILICO]])</f>
        <v>0</v>
      </c>
      <c r="BY279" s="3">
        <f>+IF(AVANCE[[#This Row],[OSB CUBIERTA]]=AK$2,100%,AVANCE[[#This Row],[OSB CUBIERTA]])</f>
        <v>0</v>
      </c>
      <c r="BZ279" s="3">
        <f>+IF(AVANCE[[#This Row],[BARANDA BALCON]]=AL$2,100%,AVANCE[[#This Row],[BARANDA BALCON]])</f>
        <v>0</v>
      </c>
      <c r="CA279" s="3">
        <f>+IF(AVANCE[[#This Row],[OSB EXTERIOR]]=AM$2,100%,AVANCE[[#This Row],[OSB EXTERIOR]])</f>
        <v>0</v>
      </c>
      <c r="CB279" s="3">
        <f>+IF(AVANCE[[#This Row],[SMART PANEL]]=AN$2,100%,AVANCE[[#This Row],[SMART PANEL]])</f>
        <v>0</v>
      </c>
      <c r="CC279" s="3">
        <f>+IF(AVANCE[[#This Row],[PINTURA EXTERIOR]]=AO$2,100%,AVANCE[[#This Row],[PINTURA EXTERIOR]])</f>
        <v>0</v>
      </c>
      <c r="CD279" s="3">
        <f>+IF(AVANCE[[#This Row],[ZOCALOS LOGIA]]=AP$2,100%,AVANCE[[#This Row],[ZOCALOS LOGIA]])</f>
        <v>0</v>
      </c>
      <c r="CE279" s="3">
        <f>+IF(AVANCE[[#This Row],[MOLDURAS]]=AQ$2,100%,AVANCE[[#This Row],[MOLDURAS]])</f>
        <v>0</v>
      </c>
      <c r="CF279" s="3">
        <f>+IF(AVANCE[[#This Row],[PILASTREO]]=AR$2,100%,AVANCE[[#This Row],[PILASTREO]])</f>
        <v>0</v>
      </c>
      <c r="CG279" s="3">
        <f>+IF(AVANCE[[#This Row],[CELOSIAS]]=AS$2,100%,AVANCE[[#This Row],[CELOSIAS]])</f>
        <v>0</v>
      </c>
      <c r="CH279" s="3">
        <f>+IF(AVANCE[[#This Row],[VENTANAS]]=AT$2,100%,AVANCE[[#This Row],[VENTANAS]])</f>
        <v>0</v>
      </c>
      <c r="CI279" s="3">
        <f>+IF(AVANCE[[#This Row],[PUERTAS ACCESO - LOGIA - BANO]]=AU$2,100%,AVANCE[[#This Row],[PUERTAS ACCESO - LOGIA - BANO]])</f>
        <v>0</v>
      </c>
      <c r="CJ279" s="3">
        <f>+IF(AVANCE[[#This Row],[CERRADURAS]]=AV$2,100%,AVANCE[[#This Row],[CERRADURAS]])</f>
        <v>0</v>
      </c>
      <c r="CK279" s="3">
        <f>+IF(AVANCE[[#This Row],[REVESTIMIENTO INTERIOR ZONA SECA]]=AW$2,100%,AVANCE[[#This Row],[REVESTIMIENTO INTERIOR ZONA SECA]])</f>
        <v>0</v>
      </c>
      <c r="CL279" s="3">
        <f>+IF(AVANCE[[#This Row],[REVESTIMIENTO INTERIOR ZONAS HUMEDAS]]=AX$2,100%,AVANCE[[#This Row],[REVESTIMIENTO INTERIOR ZONAS HUMEDAS]])</f>
        <v>0</v>
      </c>
      <c r="CM279" s="3">
        <f>+IF(AVANCE[[#This Row],[MEMBRANA CIELO]]=AY$2,100%,AVANCE[[#This Row],[MEMBRANA CIELO]])</f>
        <v>0</v>
      </c>
      <c r="CN279" s="3">
        <f>+IF(AVANCE[[#This Row],[LIMPIEZA FINAL]]=AZ$2,100%,AVANCE[[#This Row],[LIMPIEZA FINAL]])</f>
        <v>0</v>
      </c>
      <c r="CO279" s="3">
        <f>+IF(AVANCE[[#This Row],[PUERTAS DORMITORIO]]=BA$2,100%,AVANCE[[#This Row],[PUERTAS DORMITORIO]])</f>
        <v>0</v>
      </c>
      <c r="CP279" s="3">
        <f>+IF(AVANCE[[#This Row],[REVESTIMIENTO INTERIOR BANO]]=BB$2,100%,AVANCE[[#This Row],[REVESTIMIENTO INTERIOR BANO]])</f>
        <v>0</v>
      </c>
      <c r="CQ279" s="3">
        <f>+IF(AVANCE[[#This Row],[MUEBLE LAVAPLATOS]]=BC$2,100%,AVANCE[[#This Row],[MUEBLE LAVAPLATOS]])</f>
        <v>0</v>
      </c>
      <c r="CR279" s="3">
        <f>+IF(AVANCE[[#This Row],[IMPERMEABILIZACION BANO - COCINA LOGIA]]=BD$2,100%,AVANCE[[#This Row],[IMPERMEABILIZACION BANO - COCINA LOGIA]])</f>
        <v>0</v>
      </c>
      <c r="CS279" s="40">
        <f ca="1">+IF(AVANCE[[#This Row],[ESTADO MODULO]]="PENDIENTE",(TODAY()-AVANCE[[#This Row],[FECHA TERMINO  PLANIFICADO]]),0)</f>
        <v>0</v>
      </c>
      <c r="CT279" s="41" t="str" cm="1">
        <f t="array" ref="CT279">_xlfn.TEXTJOIN(" | ",TRUE,IF(SUMPRODUCT((BG279:CR279&lt;1)*(PARTIDAS!$I$2:$AT$2="OBRA GRUESA"))&gt;0,"OBRA GRUESA: "&amp;_xlfn.TEXTJOIN(", ",TRUE,IF((BG279:CR279&lt;1)*(PARTIDAS!$I$2:$AT$2="OBRA GRUESA"),PARTIDAS!$I$1:$AT$1,"")),""),IF(SUMPRODUCT((BG279:CR279&lt;1)*(PARTIDAS!$I$2:$AT$2="SANITARIOS"))&gt;0,"SANITARIOS: "&amp;_xlfn.TEXTJOIN(", ",TRUE,IF((BG279:CR279&lt;1)*(PARTIDAS!$I$2:$AT$2="SANITARIOS"),PARTIDAS!$I$1:$AT$1,"")),""),IF(SUMPRODUCT((BG279:CR279&lt;1)*(PARTIDAS!$I$2:$AT$2="ELÉCTRICO"))&gt;0,"ELÉCTRICO: "&amp;_xlfn.TEXTJOIN(", ",TRUE,IF((BG279:CR279&lt;1)*(PARTIDAS!$I$2:$AT$2="ELÉCTRICO"),PARTIDAS!$I$1:$AT$1,"")),""),IF(SUMPRODUCT((BG279:CR279&lt;1)*(PARTIDAS!$I$2:$AT$2="TERMINACIONES"))&gt;0,"TERMINACIONES: "&amp;_xlfn.TEXTJOIN(", ",TRUE,IF((BG279:CR279&lt;1)*(PARTIDAS!$I$2:$AT$2="TERMINACIONES"),PARTIDAS!$I$1:$AT$1,"")),""))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79" s="43" t="str" cm="1">
        <f t="array" ref="CU279">_xlfn.TEXTJOIN(", ",TRUE,IF(SUMPRODUCT((BG279:CR279&lt;1)*(PARTIDAS!$I$2:$AT$2="OBRA GRUESA"))&gt;0,"OBRA GRUESA",""),IF(SUMPRODUCT((BG279:CR279&lt;1)*(PARTIDAS!$I$2:$AT$2="SANITARIOS"))&gt;0,"SANITARIOS",""),IF(SUMPRODUCT((BG279:CR279&lt;1)*(PARTIDAS!$I$2:$AT$2="ELÉCTRICO"))&gt;0,"ELÉCTRICO",""),IF(SUMPRODUCT((BG279:CR279&lt;1)*(PARTIDAS!$I$2:$AT$2="TERMINACIONES"))&gt;0,"TERMINACIONES",""))</f>
        <v>OBRA GRUESA, SANITARIOS, ELÉCTRICO, TERMINACIONES</v>
      </c>
      <c r="CV279" s="44" cm="1">
        <f t="array" ref="CV279">SUMPRODUCT(--(BG279:CR279&lt;1))</f>
        <v>38</v>
      </c>
    </row>
    <row r="280" spans="1:100" hidden="1" x14ac:dyDescent="0.25">
      <c r="A280" t="s">
        <v>322</v>
      </c>
      <c r="B280" t="s">
        <v>345</v>
      </c>
      <c r="C280">
        <v>2302600279</v>
      </c>
      <c r="D280" t="s">
        <v>60</v>
      </c>
      <c r="E280" s="2">
        <v>0</v>
      </c>
      <c r="F280" s="1">
        <v>46279</v>
      </c>
      <c r="G280" s="1"/>
      <c r="H280" s="1">
        <v>0</v>
      </c>
      <c r="I280" s="1">
        <v>46309</v>
      </c>
      <c r="J280">
        <v>46230</v>
      </c>
      <c r="K280" s="1"/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>
        <v>31.32</v>
      </c>
      <c r="BF280" s="3" t="str">
        <f>+IF(AVANCE[[#This Row],[% AVANCE]]=100%,"MODULO TERMINADO",IF(AVANCE[[#This Row],[FECHA INICIO REAL]]="","MODULO NO INICIADO","PENDIENTE"))</f>
        <v>MODULO NO INICIADO</v>
      </c>
      <c r="BG280" s="3">
        <f>+IF(AVANCE[[#This Row],[VENTANAS]]=8.10810810810811%,100%,AVANCE[[#This Row],[VENTANAS]])</f>
        <v>0</v>
      </c>
      <c r="BH280" s="3">
        <f>+IF(AVANCE[[#This Row],[PISO]]=N$2,100%,AVANCE[[#This Row],[PISO]])</f>
        <v>0</v>
      </c>
      <c r="BI280" s="3">
        <f>+IF(AVANCE[[#This Row],[TABIQUES]]=O$2,100%,AVANCE[[#This Row],[TABIQUES]])</f>
        <v>0</v>
      </c>
      <c r="BJ280" s="3">
        <f>+IF(AVANCE[[#This Row],[MUROS]]=P$2,100%,AVANCE[[#This Row],[MUROS]])</f>
        <v>0</v>
      </c>
      <c r="BK280" s="3">
        <f>+IF(AVANCE[[#This Row],[CIELO]]=Q$2,100%,AVANCE[[#This Row],[CIELO]])</f>
        <v>0</v>
      </c>
      <c r="BL280" s="3">
        <f>+IF(AVANCE[[#This Row],[BALCÓN]]=R$2,100%,AVANCE[[#This Row],[BALCÓN]])</f>
        <v>0</v>
      </c>
      <c r="BM280" s="3">
        <f>+IF(AVANCE[[#This Row],[RED ALCANTARILLADO]]=U$2,100%,AVANCE[[#This Row],[RED ALCANTARILLADO]])</f>
        <v>0</v>
      </c>
      <c r="BN280" s="3">
        <f>+IF(AVANCE[[#This Row],[RED DE AGUA]]=V$2,100%,AVANCE[[#This Row],[RED DE AGUA]])</f>
        <v>0</v>
      </c>
      <c r="BO280" s="3">
        <f>+IF(AVANCE[[#This Row],[VENTILACIONES]]=W$2,100%,AVANCE[[#This Row],[VENTILACIONES]])</f>
        <v>0</v>
      </c>
      <c r="BP280" s="3">
        <f>+IF(AVANCE[[#This Row],[TINA]]=X$2,100%,AVANCE[[#This Row],[TINA]])</f>
        <v>0</v>
      </c>
      <c r="BQ280" s="3">
        <f>+IF(AVANCE[[#This Row],[WC]]=Y$2,100%,AVANCE[[#This Row],[WC]])</f>
        <v>0</v>
      </c>
      <c r="BR280" s="3">
        <f>+IF(AVANCE[[#This Row],[LAVAMANOS / LAVAPLATOS / LAVADERO]]=Z$2,100%,AVANCE[[#This Row],[LAVAMANOS / LAVAPLATOS / LAVADERO]])</f>
        <v>0</v>
      </c>
      <c r="BS280" s="3">
        <f>+IF(AVANCE[[#This Row],[CANALIZACIÓN]]=AC$2,100%,AVANCE[[#This Row],[CANALIZACIÓN]])</f>
        <v>0</v>
      </c>
      <c r="BT280" s="3">
        <f>+IF(AVANCE[[#This Row],[CABLEADO]]=AD$2,100%,AVANCE[[#This Row],[CABLEADO]])</f>
        <v>0</v>
      </c>
      <c r="BU280" s="3">
        <f>+IF(AVANCE[[#This Row],[ARTEFACTOS]]=AE$2,100%,AVANCE[[#This Row],[ARTEFACTOS]])</f>
        <v>0</v>
      </c>
      <c r="BV280" s="3">
        <f>+IF(AVANCE[[#This Row],[TABLERO]]=AF$2,100%,AVANCE[[#This Row],[TABLERO]])</f>
        <v>0</v>
      </c>
      <c r="BW280" s="3">
        <f>+IF(AVANCE[[#This Row],[CAJA PAU]]=AG$2,100%,AVANCE[[#This Row],[CAJA PAU]])</f>
        <v>0</v>
      </c>
      <c r="BX280" s="3">
        <f>+IF(AVANCE[[#This Row],[INSTALACION VINILICO]]=AJ$2,100%,AVANCE[[#This Row],[INSTALACION VINILICO]])</f>
        <v>0</v>
      </c>
      <c r="BY280" s="3">
        <f>+IF(AVANCE[[#This Row],[OSB CUBIERTA]]=AK$2,100%,AVANCE[[#This Row],[OSB CUBIERTA]])</f>
        <v>0</v>
      </c>
      <c r="BZ280" s="3">
        <f>+IF(AVANCE[[#This Row],[BARANDA BALCON]]=AL$2,100%,AVANCE[[#This Row],[BARANDA BALCON]])</f>
        <v>0</v>
      </c>
      <c r="CA280" s="3">
        <f>+IF(AVANCE[[#This Row],[OSB EXTERIOR]]=AM$2,100%,AVANCE[[#This Row],[OSB EXTERIOR]])</f>
        <v>0</v>
      </c>
      <c r="CB280" s="3">
        <f>+IF(AVANCE[[#This Row],[SMART PANEL]]=AN$2,100%,AVANCE[[#This Row],[SMART PANEL]])</f>
        <v>0</v>
      </c>
      <c r="CC280" s="3">
        <f>+IF(AVANCE[[#This Row],[PINTURA EXTERIOR]]=AO$2,100%,AVANCE[[#This Row],[PINTURA EXTERIOR]])</f>
        <v>0</v>
      </c>
      <c r="CD280" s="3">
        <f>+IF(AVANCE[[#This Row],[ZOCALOS LOGIA]]=AP$2,100%,AVANCE[[#This Row],[ZOCALOS LOGIA]])</f>
        <v>0</v>
      </c>
      <c r="CE280" s="3">
        <f>+IF(AVANCE[[#This Row],[MOLDURAS]]=AQ$2,100%,AVANCE[[#This Row],[MOLDURAS]])</f>
        <v>0</v>
      </c>
      <c r="CF280" s="3">
        <f>+IF(AVANCE[[#This Row],[PILASTREO]]=AR$2,100%,AVANCE[[#This Row],[PILASTREO]])</f>
        <v>0</v>
      </c>
      <c r="CG280" s="3">
        <f>+IF(AVANCE[[#This Row],[CELOSIAS]]=AS$2,100%,AVANCE[[#This Row],[CELOSIAS]])</f>
        <v>0</v>
      </c>
      <c r="CH280" s="3">
        <f>+IF(AVANCE[[#This Row],[VENTANAS]]=AT$2,100%,AVANCE[[#This Row],[VENTANAS]])</f>
        <v>0</v>
      </c>
      <c r="CI280" s="3">
        <f>+IF(AVANCE[[#This Row],[PUERTAS ACCESO - LOGIA - BANO]]=AU$2,100%,AVANCE[[#This Row],[PUERTAS ACCESO - LOGIA - BANO]])</f>
        <v>0</v>
      </c>
      <c r="CJ280" s="3">
        <f>+IF(AVANCE[[#This Row],[CERRADURAS]]=AV$2,100%,AVANCE[[#This Row],[CERRADURAS]])</f>
        <v>0</v>
      </c>
      <c r="CK280" s="3">
        <f>+IF(AVANCE[[#This Row],[REVESTIMIENTO INTERIOR ZONA SECA]]=AW$2,100%,AVANCE[[#This Row],[REVESTIMIENTO INTERIOR ZONA SECA]])</f>
        <v>0</v>
      </c>
      <c r="CL280" s="3">
        <f>+IF(AVANCE[[#This Row],[REVESTIMIENTO INTERIOR ZONAS HUMEDAS]]=AX$2,100%,AVANCE[[#This Row],[REVESTIMIENTO INTERIOR ZONAS HUMEDAS]])</f>
        <v>0</v>
      </c>
      <c r="CM280" s="3">
        <f>+IF(AVANCE[[#This Row],[MEMBRANA CIELO]]=AY$2,100%,AVANCE[[#This Row],[MEMBRANA CIELO]])</f>
        <v>0</v>
      </c>
      <c r="CN280" s="3">
        <f>+IF(AVANCE[[#This Row],[LIMPIEZA FINAL]]=AZ$2,100%,AVANCE[[#This Row],[LIMPIEZA FINAL]])</f>
        <v>0</v>
      </c>
      <c r="CO280" s="3">
        <f>+IF(AVANCE[[#This Row],[PUERTAS DORMITORIO]]=BA$2,100%,AVANCE[[#This Row],[PUERTAS DORMITORIO]])</f>
        <v>0</v>
      </c>
      <c r="CP280" s="3">
        <f>+IF(AVANCE[[#This Row],[REVESTIMIENTO INTERIOR BANO]]=BB$2,100%,AVANCE[[#This Row],[REVESTIMIENTO INTERIOR BANO]])</f>
        <v>0</v>
      </c>
      <c r="CQ280" s="3">
        <f>+IF(AVANCE[[#This Row],[MUEBLE LAVAPLATOS]]=BC$2,100%,AVANCE[[#This Row],[MUEBLE LAVAPLATOS]])</f>
        <v>0</v>
      </c>
      <c r="CR280" s="3">
        <f>+IF(AVANCE[[#This Row],[IMPERMEABILIZACION BANO - COCINA LOGIA]]=BD$2,100%,AVANCE[[#This Row],[IMPERMEABILIZACION BANO - COCINA LOGIA]])</f>
        <v>0</v>
      </c>
      <c r="CS280" s="40">
        <f ca="1">+IF(AVANCE[[#This Row],[ESTADO MODULO]]="PENDIENTE",(TODAY()-AVANCE[[#This Row],[FECHA TERMINO  PLANIFICADO]]),0)</f>
        <v>0</v>
      </c>
      <c r="CT280" s="41" t="str" cm="1">
        <f t="array" ref="CT280">_xlfn.TEXTJOIN(" | ",TRUE,IF(SUMPRODUCT((BG280:CR280&lt;1)*(PARTIDAS!$I$2:$AT$2="OBRA GRUESA"))&gt;0,"OBRA GRUESA: "&amp;_xlfn.TEXTJOIN(", ",TRUE,IF((BG280:CR280&lt;1)*(PARTIDAS!$I$2:$AT$2="OBRA GRUESA"),PARTIDAS!$I$1:$AT$1,"")),""),IF(SUMPRODUCT((BG280:CR280&lt;1)*(PARTIDAS!$I$2:$AT$2="SANITARIOS"))&gt;0,"SANITARIOS: "&amp;_xlfn.TEXTJOIN(", ",TRUE,IF((BG280:CR280&lt;1)*(PARTIDAS!$I$2:$AT$2="SANITARIOS"),PARTIDAS!$I$1:$AT$1,"")),""),IF(SUMPRODUCT((BG280:CR280&lt;1)*(PARTIDAS!$I$2:$AT$2="ELÉCTRICO"))&gt;0,"ELÉCTRICO: "&amp;_xlfn.TEXTJOIN(", ",TRUE,IF((BG280:CR280&lt;1)*(PARTIDAS!$I$2:$AT$2="ELÉCTRICO"),PARTIDAS!$I$1:$AT$1,"")),""),IF(SUMPRODUCT((BG280:CR280&lt;1)*(PARTIDAS!$I$2:$AT$2="TERMINACIONES"))&gt;0,"TERMINACIONES: "&amp;_xlfn.TEXTJOIN(", ",TRUE,IF((BG280:CR280&lt;1)*(PARTIDAS!$I$2:$AT$2="TERMINACIONES"),PARTIDAS!$I$1:$AT$1,"")),""))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0" s="43" t="str" cm="1">
        <f t="array" ref="CU280">_xlfn.TEXTJOIN(", ",TRUE,IF(SUMPRODUCT((BG280:CR280&lt;1)*(PARTIDAS!$I$2:$AT$2="OBRA GRUESA"))&gt;0,"OBRA GRUESA",""),IF(SUMPRODUCT((BG280:CR280&lt;1)*(PARTIDAS!$I$2:$AT$2="SANITARIOS"))&gt;0,"SANITARIOS",""),IF(SUMPRODUCT((BG280:CR280&lt;1)*(PARTIDAS!$I$2:$AT$2="ELÉCTRICO"))&gt;0,"ELÉCTRICO",""),IF(SUMPRODUCT((BG280:CR280&lt;1)*(PARTIDAS!$I$2:$AT$2="TERMINACIONES"))&gt;0,"TERMINACIONES",""))</f>
        <v>OBRA GRUESA, SANITARIOS, ELÉCTRICO, TERMINACIONES</v>
      </c>
      <c r="CV280" s="44" cm="1">
        <f t="array" ref="CV280">SUMPRODUCT(--(BG280:CR280&lt;1))</f>
        <v>38</v>
      </c>
    </row>
    <row r="281" spans="1:100" hidden="1" x14ac:dyDescent="0.25">
      <c r="A281" t="s">
        <v>322</v>
      </c>
      <c r="B281" t="s">
        <v>346</v>
      </c>
      <c r="C281">
        <v>2282600280</v>
      </c>
      <c r="D281" t="s">
        <v>58</v>
      </c>
      <c r="E281" s="2">
        <v>0</v>
      </c>
      <c r="F281" s="1">
        <v>46279</v>
      </c>
      <c r="G281" s="1"/>
      <c r="H281" s="1">
        <v>0</v>
      </c>
      <c r="I281" s="1">
        <v>46299</v>
      </c>
      <c r="J281">
        <v>46230</v>
      </c>
      <c r="K281" s="1"/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>
        <v>28.87</v>
      </c>
      <c r="BF281" s="3" t="str">
        <f>+IF(AVANCE[[#This Row],[% AVANCE]]=100%,"MODULO TERMINADO",IF(AVANCE[[#This Row],[FECHA INICIO REAL]]="","MODULO NO INICIADO","PENDIENTE"))</f>
        <v>MODULO NO INICIADO</v>
      </c>
      <c r="BG281" s="3">
        <f>+IF(AVANCE[[#This Row],[VENTANAS]]=8.10810810810811%,100%,AVANCE[[#This Row],[VENTANAS]])</f>
        <v>0</v>
      </c>
      <c r="BH281" s="3">
        <f>+IF(AVANCE[[#This Row],[PISO]]=N$2,100%,AVANCE[[#This Row],[PISO]])</f>
        <v>0</v>
      </c>
      <c r="BI281" s="3">
        <f>+IF(AVANCE[[#This Row],[TABIQUES]]=O$2,100%,AVANCE[[#This Row],[TABIQUES]])</f>
        <v>0</v>
      </c>
      <c r="BJ281" s="3">
        <f>+IF(AVANCE[[#This Row],[MUROS]]=P$2,100%,AVANCE[[#This Row],[MUROS]])</f>
        <v>0</v>
      </c>
      <c r="BK281" s="3">
        <f>+IF(AVANCE[[#This Row],[CIELO]]=Q$2,100%,AVANCE[[#This Row],[CIELO]])</f>
        <v>0</v>
      </c>
      <c r="BL281" s="3">
        <f>+IF(AVANCE[[#This Row],[BALCÓN]]=R$2,100%,AVANCE[[#This Row],[BALCÓN]])</f>
        <v>0</v>
      </c>
      <c r="BM281" s="3">
        <f>+IF(AVANCE[[#This Row],[RED ALCANTARILLADO]]=U$2,100%,AVANCE[[#This Row],[RED ALCANTARILLADO]])</f>
        <v>0</v>
      </c>
      <c r="BN281" s="3">
        <f>+IF(AVANCE[[#This Row],[RED DE AGUA]]=V$2,100%,AVANCE[[#This Row],[RED DE AGUA]])</f>
        <v>0</v>
      </c>
      <c r="BO281" s="3">
        <f>+IF(AVANCE[[#This Row],[VENTILACIONES]]=W$2,100%,AVANCE[[#This Row],[VENTILACIONES]])</f>
        <v>0</v>
      </c>
      <c r="BP281" s="3">
        <f>+IF(AVANCE[[#This Row],[TINA]]=X$2,100%,AVANCE[[#This Row],[TINA]])</f>
        <v>0</v>
      </c>
      <c r="BQ281" s="3">
        <f>+IF(AVANCE[[#This Row],[WC]]=Y$2,100%,AVANCE[[#This Row],[WC]])</f>
        <v>0</v>
      </c>
      <c r="BR281" s="3">
        <f>+IF(AVANCE[[#This Row],[LAVAMANOS / LAVAPLATOS / LAVADERO]]=Z$2,100%,AVANCE[[#This Row],[LAVAMANOS / LAVAPLATOS / LAVADERO]])</f>
        <v>0</v>
      </c>
      <c r="BS281" s="3">
        <f>+IF(AVANCE[[#This Row],[CANALIZACIÓN]]=AC$2,100%,AVANCE[[#This Row],[CANALIZACIÓN]])</f>
        <v>0</v>
      </c>
      <c r="BT281" s="3">
        <f>+IF(AVANCE[[#This Row],[CABLEADO]]=AD$2,100%,AVANCE[[#This Row],[CABLEADO]])</f>
        <v>0</v>
      </c>
      <c r="BU281" s="3">
        <f>+IF(AVANCE[[#This Row],[ARTEFACTOS]]=AE$2,100%,AVANCE[[#This Row],[ARTEFACTOS]])</f>
        <v>0</v>
      </c>
      <c r="BV281" s="3">
        <f>+IF(AVANCE[[#This Row],[TABLERO]]=AF$2,100%,AVANCE[[#This Row],[TABLERO]])</f>
        <v>0</v>
      </c>
      <c r="BW281" s="3">
        <f>+IF(AVANCE[[#This Row],[CAJA PAU]]=AG$2,100%,AVANCE[[#This Row],[CAJA PAU]])</f>
        <v>0</v>
      </c>
      <c r="BX281" s="3">
        <f>+IF(AVANCE[[#This Row],[INSTALACION VINILICO]]=AJ$2,100%,AVANCE[[#This Row],[INSTALACION VINILICO]])</f>
        <v>0</v>
      </c>
      <c r="BY281" s="3">
        <f>+IF(AVANCE[[#This Row],[OSB CUBIERTA]]=AK$2,100%,AVANCE[[#This Row],[OSB CUBIERTA]])</f>
        <v>0</v>
      </c>
      <c r="BZ281" s="3">
        <f>+IF(AVANCE[[#This Row],[BARANDA BALCON]]=AL$2,100%,AVANCE[[#This Row],[BARANDA BALCON]])</f>
        <v>0</v>
      </c>
      <c r="CA281" s="3">
        <f>+IF(AVANCE[[#This Row],[OSB EXTERIOR]]=AM$2,100%,AVANCE[[#This Row],[OSB EXTERIOR]])</f>
        <v>0</v>
      </c>
      <c r="CB281" s="3">
        <f>+IF(AVANCE[[#This Row],[SMART PANEL]]=AN$2,100%,AVANCE[[#This Row],[SMART PANEL]])</f>
        <v>0</v>
      </c>
      <c r="CC281" s="3">
        <f>+IF(AVANCE[[#This Row],[PINTURA EXTERIOR]]=AO$2,100%,AVANCE[[#This Row],[PINTURA EXTERIOR]])</f>
        <v>0</v>
      </c>
      <c r="CD281" s="3">
        <f>+IF(AVANCE[[#This Row],[ZOCALOS LOGIA]]=AP$2,100%,AVANCE[[#This Row],[ZOCALOS LOGIA]])</f>
        <v>0</v>
      </c>
      <c r="CE281" s="3">
        <f>+IF(AVANCE[[#This Row],[MOLDURAS]]=AQ$2,100%,AVANCE[[#This Row],[MOLDURAS]])</f>
        <v>0</v>
      </c>
      <c r="CF281" s="3">
        <f>+IF(AVANCE[[#This Row],[PILASTREO]]=AR$2,100%,AVANCE[[#This Row],[PILASTREO]])</f>
        <v>0</v>
      </c>
      <c r="CG281" s="3">
        <f>+IF(AVANCE[[#This Row],[CELOSIAS]]=AS$2,100%,AVANCE[[#This Row],[CELOSIAS]])</f>
        <v>0</v>
      </c>
      <c r="CH281" s="3">
        <f>+IF(AVANCE[[#This Row],[VENTANAS]]=AT$2,100%,AVANCE[[#This Row],[VENTANAS]])</f>
        <v>0</v>
      </c>
      <c r="CI281" s="3">
        <f>+IF(AVANCE[[#This Row],[PUERTAS ACCESO - LOGIA - BANO]]=AU$2,100%,AVANCE[[#This Row],[PUERTAS ACCESO - LOGIA - BANO]])</f>
        <v>0</v>
      </c>
      <c r="CJ281" s="3">
        <f>+IF(AVANCE[[#This Row],[CERRADURAS]]=AV$2,100%,AVANCE[[#This Row],[CERRADURAS]])</f>
        <v>0</v>
      </c>
      <c r="CK281" s="3">
        <f>+IF(AVANCE[[#This Row],[REVESTIMIENTO INTERIOR ZONA SECA]]=AW$2,100%,AVANCE[[#This Row],[REVESTIMIENTO INTERIOR ZONA SECA]])</f>
        <v>0</v>
      </c>
      <c r="CL281" s="3">
        <f>+IF(AVANCE[[#This Row],[REVESTIMIENTO INTERIOR ZONAS HUMEDAS]]=AX$2,100%,AVANCE[[#This Row],[REVESTIMIENTO INTERIOR ZONAS HUMEDAS]])</f>
        <v>0</v>
      </c>
      <c r="CM281" s="3">
        <f>+IF(AVANCE[[#This Row],[MEMBRANA CIELO]]=AY$2,100%,AVANCE[[#This Row],[MEMBRANA CIELO]])</f>
        <v>0</v>
      </c>
      <c r="CN281" s="3">
        <f>+IF(AVANCE[[#This Row],[LIMPIEZA FINAL]]=AZ$2,100%,AVANCE[[#This Row],[LIMPIEZA FINAL]])</f>
        <v>0</v>
      </c>
      <c r="CO281" s="3">
        <f>+IF(AVANCE[[#This Row],[PUERTAS DORMITORIO]]=BA$2,100%,AVANCE[[#This Row],[PUERTAS DORMITORIO]])</f>
        <v>0</v>
      </c>
      <c r="CP281" s="3">
        <f>+IF(AVANCE[[#This Row],[REVESTIMIENTO INTERIOR BANO]]=BB$2,100%,AVANCE[[#This Row],[REVESTIMIENTO INTERIOR BANO]])</f>
        <v>0</v>
      </c>
      <c r="CQ281" s="3">
        <f>+IF(AVANCE[[#This Row],[MUEBLE LAVAPLATOS]]=BC$2,100%,AVANCE[[#This Row],[MUEBLE LAVAPLATOS]])</f>
        <v>0</v>
      </c>
      <c r="CR281" s="3">
        <f>+IF(AVANCE[[#This Row],[IMPERMEABILIZACION BANO - COCINA LOGIA]]=BD$2,100%,AVANCE[[#This Row],[IMPERMEABILIZACION BANO - COCINA LOGIA]])</f>
        <v>0</v>
      </c>
      <c r="CS281" s="40">
        <f ca="1">+IF(AVANCE[[#This Row],[ESTADO MODULO]]="PENDIENTE",(TODAY()-AVANCE[[#This Row],[FECHA TERMINO  PLANIFICADO]]),0)</f>
        <v>0</v>
      </c>
      <c r="CT281" s="41" t="str" cm="1">
        <f t="array" ref="CT281">_xlfn.TEXTJOIN(" | ",TRUE,IF(SUMPRODUCT((BG281:CR281&lt;1)*(PARTIDAS!$I$2:$AT$2="OBRA GRUESA"))&gt;0,"OBRA GRUESA: "&amp;_xlfn.TEXTJOIN(", ",TRUE,IF((BG281:CR281&lt;1)*(PARTIDAS!$I$2:$AT$2="OBRA GRUESA"),PARTIDAS!$I$1:$AT$1,"")),""),IF(SUMPRODUCT((BG281:CR281&lt;1)*(PARTIDAS!$I$2:$AT$2="SANITARIOS"))&gt;0,"SANITARIOS: "&amp;_xlfn.TEXTJOIN(", ",TRUE,IF((BG281:CR281&lt;1)*(PARTIDAS!$I$2:$AT$2="SANITARIOS"),PARTIDAS!$I$1:$AT$1,"")),""),IF(SUMPRODUCT((BG281:CR281&lt;1)*(PARTIDAS!$I$2:$AT$2="ELÉCTRICO"))&gt;0,"ELÉCTRICO: "&amp;_xlfn.TEXTJOIN(", ",TRUE,IF((BG281:CR281&lt;1)*(PARTIDAS!$I$2:$AT$2="ELÉCTRICO"),PARTIDAS!$I$1:$AT$1,"")),""),IF(SUMPRODUCT((BG281:CR281&lt;1)*(PARTIDAS!$I$2:$AT$2="TERMINACIONES"))&gt;0,"TERMINACIONES: "&amp;_xlfn.TEXTJOIN(", ",TRUE,IF((BG281:CR281&lt;1)*(PARTIDAS!$I$2:$AT$2="TERMINACIONES"),PARTIDAS!$I$1:$AT$1,"")),""))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1" s="43" t="str" cm="1">
        <f t="array" ref="CU281">_xlfn.TEXTJOIN(", ",TRUE,IF(SUMPRODUCT((BG281:CR281&lt;1)*(PARTIDAS!$I$2:$AT$2="OBRA GRUESA"))&gt;0,"OBRA GRUESA",""),IF(SUMPRODUCT((BG281:CR281&lt;1)*(PARTIDAS!$I$2:$AT$2="SANITARIOS"))&gt;0,"SANITARIOS",""),IF(SUMPRODUCT((BG281:CR281&lt;1)*(PARTIDAS!$I$2:$AT$2="ELÉCTRICO"))&gt;0,"ELÉCTRICO",""),IF(SUMPRODUCT((BG281:CR281&lt;1)*(PARTIDAS!$I$2:$AT$2="TERMINACIONES"))&gt;0,"TERMINACIONES",""))</f>
        <v>OBRA GRUESA, SANITARIOS, ELÉCTRICO, TERMINACIONES</v>
      </c>
      <c r="CV281" s="44" cm="1">
        <f t="array" ref="CV281">SUMPRODUCT(--(BG281:CR281&lt;1))</f>
        <v>38</v>
      </c>
    </row>
    <row r="282" spans="1:100" hidden="1" x14ac:dyDescent="0.25">
      <c r="A282" t="s">
        <v>322</v>
      </c>
      <c r="B282" t="s">
        <v>347</v>
      </c>
      <c r="C282">
        <v>2282600281</v>
      </c>
      <c r="D282" t="s">
        <v>58</v>
      </c>
      <c r="E282" s="2">
        <v>0</v>
      </c>
      <c r="F282" s="1">
        <v>46280</v>
      </c>
      <c r="G282" s="1"/>
      <c r="H282" s="1">
        <v>0</v>
      </c>
      <c r="I282" s="1">
        <v>46300</v>
      </c>
      <c r="J282">
        <v>46230</v>
      </c>
      <c r="K282" s="1"/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>
        <v>28.87</v>
      </c>
      <c r="BF282" s="3" t="str">
        <f>+IF(AVANCE[[#This Row],[% AVANCE]]=100%,"MODULO TERMINADO",IF(AVANCE[[#This Row],[FECHA INICIO REAL]]="","MODULO NO INICIADO","PENDIENTE"))</f>
        <v>MODULO NO INICIADO</v>
      </c>
      <c r="BG282" s="3">
        <f>+IF(AVANCE[[#This Row],[VENTANAS]]=8.10810810810811%,100%,AVANCE[[#This Row],[VENTANAS]])</f>
        <v>0</v>
      </c>
      <c r="BH282" s="3">
        <f>+IF(AVANCE[[#This Row],[PISO]]=N$2,100%,AVANCE[[#This Row],[PISO]])</f>
        <v>0</v>
      </c>
      <c r="BI282" s="3">
        <f>+IF(AVANCE[[#This Row],[TABIQUES]]=O$2,100%,AVANCE[[#This Row],[TABIQUES]])</f>
        <v>0</v>
      </c>
      <c r="BJ282" s="3">
        <f>+IF(AVANCE[[#This Row],[MUROS]]=P$2,100%,AVANCE[[#This Row],[MUROS]])</f>
        <v>0</v>
      </c>
      <c r="BK282" s="3">
        <f>+IF(AVANCE[[#This Row],[CIELO]]=Q$2,100%,AVANCE[[#This Row],[CIELO]])</f>
        <v>0</v>
      </c>
      <c r="BL282" s="3">
        <f>+IF(AVANCE[[#This Row],[BALCÓN]]=R$2,100%,AVANCE[[#This Row],[BALCÓN]])</f>
        <v>0</v>
      </c>
      <c r="BM282" s="3">
        <f>+IF(AVANCE[[#This Row],[RED ALCANTARILLADO]]=U$2,100%,AVANCE[[#This Row],[RED ALCANTARILLADO]])</f>
        <v>0</v>
      </c>
      <c r="BN282" s="3">
        <f>+IF(AVANCE[[#This Row],[RED DE AGUA]]=V$2,100%,AVANCE[[#This Row],[RED DE AGUA]])</f>
        <v>0</v>
      </c>
      <c r="BO282" s="3">
        <f>+IF(AVANCE[[#This Row],[VENTILACIONES]]=W$2,100%,AVANCE[[#This Row],[VENTILACIONES]])</f>
        <v>0</v>
      </c>
      <c r="BP282" s="3">
        <f>+IF(AVANCE[[#This Row],[TINA]]=X$2,100%,AVANCE[[#This Row],[TINA]])</f>
        <v>0</v>
      </c>
      <c r="BQ282" s="3">
        <f>+IF(AVANCE[[#This Row],[WC]]=Y$2,100%,AVANCE[[#This Row],[WC]])</f>
        <v>0</v>
      </c>
      <c r="BR282" s="3">
        <f>+IF(AVANCE[[#This Row],[LAVAMANOS / LAVAPLATOS / LAVADERO]]=Z$2,100%,AVANCE[[#This Row],[LAVAMANOS / LAVAPLATOS / LAVADERO]])</f>
        <v>0</v>
      </c>
      <c r="BS282" s="3">
        <f>+IF(AVANCE[[#This Row],[CANALIZACIÓN]]=AC$2,100%,AVANCE[[#This Row],[CANALIZACIÓN]])</f>
        <v>0</v>
      </c>
      <c r="BT282" s="3">
        <f>+IF(AVANCE[[#This Row],[CABLEADO]]=AD$2,100%,AVANCE[[#This Row],[CABLEADO]])</f>
        <v>0</v>
      </c>
      <c r="BU282" s="3">
        <f>+IF(AVANCE[[#This Row],[ARTEFACTOS]]=AE$2,100%,AVANCE[[#This Row],[ARTEFACTOS]])</f>
        <v>0</v>
      </c>
      <c r="BV282" s="3">
        <f>+IF(AVANCE[[#This Row],[TABLERO]]=AF$2,100%,AVANCE[[#This Row],[TABLERO]])</f>
        <v>0</v>
      </c>
      <c r="BW282" s="3">
        <f>+IF(AVANCE[[#This Row],[CAJA PAU]]=AG$2,100%,AVANCE[[#This Row],[CAJA PAU]])</f>
        <v>0</v>
      </c>
      <c r="BX282" s="3">
        <f>+IF(AVANCE[[#This Row],[INSTALACION VINILICO]]=AJ$2,100%,AVANCE[[#This Row],[INSTALACION VINILICO]])</f>
        <v>0</v>
      </c>
      <c r="BY282" s="3">
        <f>+IF(AVANCE[[#This Row],[OSB CUBIERTA]]=AK$2,100%,AVANCE[[#This Row],[OSB CUBIERTA]])</f>
        <v>0</v>
      </c>
      <c r="BZ282" s="3">
        <f>+IF(AVANCE[[#This Row],[BARANDA BALCON]]=AL$2,100%,AVANCE[[#This Row],[BARANDA BALCON]])</f>
        <v>0</v>
      </c>
      <c r="CA282" s="3">
        <f>+IF(AVANCE[[#This Row],[OSB EXTERIOR]]=AM$2,100%,AVANCE[[#This Row],[OSB EXTERIOR]])</f>
        <v>0</v>
      </c>
      <c r="CB282" s="3">
        <f>+IF(AVANCE[[#This Row],[SMART PANEL]]=AN$2,100%,AVANCE[[#This Row],[SMART PANEL]])</f>
        <v>0</v>
      </c>
      <c r="CC282" s="3">
        <f>+IF(AVANCE[[#This Row],[PINTURA EXTERIOR]]=AO$2,100%,AVANCE[[#This Row],[PINTURA EXTERIOR]])</f>
        <v>0</v>
      </c>
      <c r="CD282" s="3">
        <f>+IF(AVANCE[[#This Row],[ZOCALOS LOGIA]]=AP$2,100%,AVANCE[[#This Row],[ZOCALOS LOGIA]])</f>
        <v>0</v>
      </c>
      <c r="CE282" s="3">
        <f>+IF(AVANCE[[#This Row],[MOLDURAS]]=AQ$2,100%,AVANCE[[#This Row],[MOLDURAS]])</f>
        <v>0</v>
      </c>
      <c r="CF282" s="3">
        <f>+IF(AVANCE[[#This Row],[PILASTREO]]=AR$2,100%,AVANCE[[#This Row],[PILASTREO]])</f>
        <v>0</v>
      </c>
      <c r="CG282" s="3">
        <f>+IF(AVANCE[[#This Row],[CELOSIAS]]=AS$2,100%,AVANCE[[#This Row],[CELOSIAS]])</f>
        <v>0</v>
      </c>
      <c r="CH282" s="3">
        <f>+IF(AVANCE[[#This Row],[VENTANAS]]=AT$2,100%,AVANCE[[#This Row],[VENTANAS]])</f>
        <v>0</v>
      </c>
      <c r="CI282" s="3">
        <f>+IF(AVANCE[[#This Row],[PUERTAS ACCESO - LOGIA - BANO]]=AU$2,100%,AVANCE[[#This Row],[PUERTAS ACCESO - LOGIA - BANO]])</f>
        <v>0</v>
      </c>
      <c r="CJ282" s="3">
        <f>+IF(AVANCE[[#This Row],[CERRADURAS]]=AV$2,100%,AVANCE[[#This Row],[CERRADURAS]])</f>
        <v>0</v>
      </c>
      <c r="CK282" s="3">
        <f>+IF(AVANCE[[#This Row],[REVESTIMIENTO INTERIOR ZONA SECA]]=AW$2,100%,AVANCE[[#This Row],[REVESTIMIENTO INTERIOR ZONA SECA]])</f>
        <v>0</v>
      </c>
      <c r="CL282" s="3">
        <f>+IF(AVANCE[[#This Row],[REVESTIMIENTO INTERIOR ZONAS HUMEDAS]]=AX$2,100%,AVANCE[[#This Row],[REVESTIMIENTO INTERIOR ZONAS HUMEDAS]])</f>
        <v>0</v>
      </c>
      <c r="CM282" s="3">
        <f>+IF(AVANCE[[#This Row],[MEMBRANA CIELO]]=AY$2,100%,AVANCE[[#This Row],[MEMBRANA CIELO]])</f>
        <v>0</v>
      </c>
      <c r="CN282" s="3">
        <f>+IF(AVANCE[[#This Row],[LIMPIEZA FINAL]]=AZ$2,100%,AVANCE[[#This Row],[LIMPIEZA FINAL]])</f>
        <v>0</v>
      </c>
      <c r="CO282" s="3">
        <f>+IF(AVANCE[[#This Row],[PUERTAS DORMITORIO]]=BA$2,100%,AVANCE[[#This Row],[PUERTAS DORMITORIO]])</f>
        <v>0</v>
      </c>
      <c r="CP282" s="3">
        <f>+IF(AVANCE[[#This Row],[REVESTIMIENTO INTERIOR BANO]]=BB$2,100%,AVANCE[[#This Row],[REVESTIMIENTO INTERIOR BANO]])</f>
        <v>0</v>
      </c>
      <c r="CQ282" s="3">
        <f>+IF(AVANCE[[#This Row],[MUEBLE LAVAPLATOS]]=BC$2,100%,AVANCE[[#This Row],[MUEBLE LAVAPLATOS]])</f>
        <v>0</v>
      </c>
      <c r="CR282" s="3">
        <f>+IF(AVANCE[[#This Row],[IMPERMEABILIZACION BANO - COCINA LOGIA]]=BD$2,100%,AVANCE[[#This Row],[IMPERMEABILIZACION BANO - COCINA LOGIA]])</f>
        <v>0</v>
      </c>
      <c r="CS282" s="40">
        <f ca="1">+IF(AVANCE[[#This Row],[ESTADO MODULO]]="PENDIENTE",(TODAY()-AVANCE[[#This Row],[FECHA TERMINO  PLANIFICADO]]),0)</f>
        <v>0</v>
      </c>
      <c r="CT282" s="41" t="str" cm="1">
        <f t="array" ref="CT282">_xlfn.TEXTJOIN(" | ",TRUE,IF(SUMPRODUCT((BG282:CR282&lt;1)*(PARTIDAS!$I$2:$AT$2="OBRA GRUESA"))&gt;0,"OBRA GRUESA: "&amp;_xlfn.TEXTJOIN(", ",TRUE,IF((BG282:CR282&lt;1)*(PARTIDAS!$I$2:$AT$2="OBRA GRUESA"),PARTIDAS!$I$1:$AT$1,"")),""),IF(SUMPRODUCT((BG282:CR282&lt;1)*(PARTIDAS!$I$2:$AT$2="SANITARIOS"))&gt;0,"SANITARIOS: "&amp;_xlfn.TEXTJOIN(", ",TRUE,IF((BG282:CR282&lt;1)*(PARTIDAS!$I$2:$AT$2="SANITARIOS"),PARTIDAS!$I$1:$AT$1,"")),""),IF(SUMPRODUCT((BG282:CR282&lt;1)*(PARTIDAS!$I$2:$AT$2="ELÉCTRICO"))&gt;0,"ELÉCTRICO: "&amp;_xlfn.TEXTJOIN(", ",TRUE,IF((BG282:CR282&lt;1)*(PARTIDAS!$I$2:$AT$2="ELÉCTRICO"),PARTIDAS!$I$1:$AT$1,"")),""),IF(SUMPRODUCT((BG282:CR282&lt;1)*(PARTIDAS!$I$2:$AT$2="TERMINACIONES"))&gt;0,"TERMINACIONES: "&amp;_xlfn.TEXTJOIN(", ",TRUE,IF((BG282:CR282&lt;1)*(PARTIDAS!$I$2:$AT$2="TERMINACIONES"),PARTIDAS!$I$1:$AT$1,"")),""))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2" s="43" t="str" cm="1">
        <f t="array" ref="CU282">_xlfn.TEXTJOIN(", ",TRUE,IF(SUMPRODUCT((BG282:CR282&lt;1)*(PARTIDAS!$I$2:$AT$2="OBRA GRUESA"))&gt;0,"OBRA GRUESA",""),IF(SUMPRODUCT((BG282:CR282&lt;1)*(PARTIDAS!$I$2:$AT$2="SANITARIOS"))&gt;0,"SANITARIOS",""),IF(SUMPRODUCT((BG282:CR282&lt;1)*(PARTIDAS!$I$2:$AT$2="ELÉCTRICO"))&gt;0,"ELÉCTRICO",""),IF(SUMPRODUCT((BG282:CR282&lt;1)*(PARTIDAS!$I$2:$AT$2="TERMINACIONES"))&gt;0,"TERMINACIONES",""))</f>
        <v>OBRA GRUESA, SANITARIOS, ELÉCTRICO, TERMINACIONES</v>
      </c>
      <c r="CV282" s="44" cm="1">
        <f t="array" ref="CV282">SUMPRODUCT(--(BG282:CR282&lt;1))</f>
        <v>38</v>
      </c>
    </row>
    <row r="283" spans="1:100" hidden="1" x14ac:dyDescent="0.25">
      <c r="A283" t="s">
        <v>322</v>
      </c>
      <c r="B283" t="s">
        <v>348</v>
      </c>
      <c r="C283">
        <v>2302600282</v>
      </c>
      <c r="D283" t="s">
        <v>60</v>
      </c>
      <c r="E283" s="2">
        <v>0</v>
      </c>
      <c r="F283" s="1">
        <v>46280</v>
      </c>
      <c r="G283" s="1"/>
      <c r="H283" s="1">
        <v>0</v>
      </c>
      <c r="I283" s="1">
        <v>46310</v>
      </c>
      <c r="J283">
        <v>46230</v>
      </c>
      <c r="K283" s="1"/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>
        <v>31.32</v>
      </c>
      <c r="BF283" s="3" t="str">
        <f>+IF(AVANCE[[#This Row],[% AVANCE]]=100%,"MODULO TERMINADO",IF(AVANCE[[#This Row],[FECHA INICIO REAL]]="","MODULO NO INICIADO","PENDIENTE"))</f>
        <v>MODULO NO INICIADO</v>
      </c>
      <c r="BG283" s="3">
        <f>+IF(AVANCE[[#This Row],[VENTANAS]]=8.10810810810811%,100%,AVANCE[[#This Row],[VENTANAS]])</f>
        <v>0</v>
      </c>
      <c r="BH283" s="3">
        <f>+IF(AVANCE[[#This Row],[PISO]]=N$2,100%,AVANCE[[#This Row],[PISO]])</f>
        <v>0</v>
      </c>
      <c r="BI283" s="3">
        <f>+IF(AVANCE[[#This Row],[TABIQUES]]=O$2,100%,AVANCE[[#This Row],[TABIQUES]])</f>
        <v>0</v>
      </c>
      <c r="BJ283" s="3">
        <f>+IF(AVANCE[[#This Row],[MUROS]]=P$2,100%,AVANCE[[#This Row],[MUROS]])</f>
        <v>0</v>
      </c>
      <c r="BK283" s="3">
        <f>+IF(AVANCE[[#This Row],[CIELO]]=Q$2,100%,AVANCE[[#This Row],[CIELO]])</f>
        <v>0</v>
      </c>
      <c r="BL283" s="3">
        <f>+IF(AVANCE[[#This Row],[BALCÓN]]=R$2,100%,AVANCE[[#This Row],[BALCÓN]])</f>
        <v>0</v>
      </c>
      <c r="BM283" s="3">
        <f>+IF(AVANCE[[#This Row],[RED ALCANTARILLADO]]=U$2,100%,AVANCE[[#This Row],[RED ALCANTARILLADO]])</f>
        <v>0</v>
      </c>
      <c r="BN283" s="3">
        <f>+IF(AVANCE[[#This Row],[RED DE AGUA]]=V$2,100%,AVANCE[[#This Row],[RED DE AGUA]])</f>
        <v>0</v>
      </c>
      <c r="BO283" s="3">
        <f>+IF(AVANCE[[#This Row],[VENTILACIONES]]=W$2,100%,AVANCE[[#This Row],[VENTILACIONES]])</f>
        <v>0</v>
      </c>
      <c r="BP283" s="3">
        <f>+IF(AVANCE[[#This Row],[TINA]]=X$2,100%,AVANCE[[#This Row],[TINA]])</f>
        <v>0</v>
      </c>
      <c r="BQ283" s="3">
        <f>+IF(AVANCE[[#This Row],[WC]]=Y$2,100%,AVANCE[[#This Row],[WC]])</f>
        <v>0</v>
      </c>
      <c r="BR283" s="3">
        <f>+IF(AVANCE[[#This Row],[LAVAMANOS / LAVAPLATOS / LAVADERO]]=Z$2,100%,AVANCE[[#This Row],[LAVAMANOS / LAVAPLATOS / LAVADERO]])</f>
        <v>0</v>
      </c>
      <c r="BS283" s="3">
        <f>+IF(AVANCE[[#This Row],[CANALIZACIÓN]]=AC$2,100%,AVANCE[[#This Row],[CANALIZACIÓN]])</f>
        <v>0</v>
      </c>
      <c r="BT283" s="3">
        <f>+IF(AVANCE[[#This Row],[CABLEADO]]=AD$2,100%,AVANCE[[#This Row],[CABLEADO]])</f>
        <v>0</v>
      </c>
      <c r="BU283" s="3">
        <f>+IF(AVANCE[[#This Row],[ARTEFACTOS]]=AE$2,100%,AVANCE[[#This Row],[ARTEFACTOS]])</f>
        <v>0</v>
      </c>
      <c r="BV283" s="3">
        <f>+IF(AVANCE[[#This Row],[TABLERO]]=AF$2,100%,AVANCE[[#This Row],[TABLERO]])</f>
        <v>0</v>
      </c>
      <c r="BW283" s="3">
        <f>+IF(AVANCE[[#This Row],[CAJA PAU]]=AG$2,100%,AVANCE[[#This Row],[CAJA PAU]])</f>
        <v>0</v>
      </c>
      <c r="BX283" s="3">
        <f>+IF(AVANCE[[#This Row],[INSTALACION VINILICO]]=AJ$2,100%,AVANCE[[#This Row],[INSTALACION VINILICO]])</f>
        <v>0</v>
      </c>
      <c r="BY283" s="3">
        <f>+IF(AVANCE[[#This Row],[OSB CUBIERTA]]=AK$2,100%,AVANCE[[#This Row],[OSB CUBIERTA]])</f>
        <v>0</v>
      </c>
      <c r="BZ283" s="3">
        <f>+IF(AVANCE[[#This Row],[BARANDA BALCON]]=AL$2,100%,AVANCE[[#This Row],[BARANDA BALCON]])</f>
        <v>0</v>
      </c>
      <c r="CA283" s="3">
        <f>+IF(AVANCE[[#This Row],[OSB EXTERIOR]]=AM$2,100%,AVANCE[[#This Row],[OSB EXTERIOR]])</f>
        <v>0</v>
      </c>
      <c r="CB283" s="3">
        <f>+IF(AVANCE[[#This Row],[SMART PANEL]]=AN$2,100%,AVANCE[[#This Row],[SMART PANEL]])</f>
        <v>0</v>
      </c>
      <c r="CC283" s="3">
        <f>+IF(AVANCE[[#This Row],[PINTURA EXTERIOR]]=AO$2,100%,AVANCE[[#This Row],[PINTURA EXTERIOR]])</f>
        <v>0</v>
      </c>
      <c r="CD283" s="3">
        <f>+IF(AVANCE[[#This Row],[ZOCALOS LOGIA]]=AP$2,100%,AVANCE[[#This Row],[ZOCALOS LOGIA]])</f>
        <v>0</v>
      </c>
      <c r="CE283" s="3">
        <f>+IF(AVANCE[[#This Row],[MOLDURAS]]=AQ$2,100%,AVANCE[[#This Row],[MOLDURAS]])</f>
        <v>0</v>
      </c>
      <c r="CF283" s="3">
        <f>+IF(AVANCE[[#This Row],[PILASTREO]]=AR$2,100%,AVANCE[[#This Row],[PILASTREO]])</f>
        <v>0</v>
      </c>
      <c r="CG283" s="3">
        <f>+IF(AVANCE[[#This Row],[CELOSIAS]]=AS$2,100%,AVANCE[[#This Row],[CELOSIAS]])</f>
        <v>0</v>
      </c>
      <c r="CH283" s="3">
        <f>+IF(AVANCE[[#This Row],[VENTANAS]]=AT$2,100%,AVANCE[[#This Row],[VENTANAS]])</f>
        <v>0</v>
      </c>
      <c r="CI283" s="3">
        <f>+IF(AVANCE[[#This Row],[PUERTAS ACCESO - LOGIA - BANO]]=AU$2,100%,AVANCE[[#This Row],[PUERTAS ACCESO - LOGIA - BANO]])</f>
        <v>0</v>
      </c>
      <c r="CJ283" s="3">
        <f>+IF(AVANCE[[#This Row],[CERRADURAS]]=AV$2,100%,AVANCE[[#This Row],[CERRADURAS]])</f>
        <v>0</v>
      </c>
      <c r="CK283" s="3">
        <f>+IF(AVANCE[[#This Row],[REVESTIMIENTO INTERIOR ZONA SECA]]=AW$2,100%,AVANCE[[#This Row],[REVESTIMIENTO INTERIOR ZONA SECA]])</f>
        <v>0</v>
      </c>
      <c r="CL283" s="3">
        <f>+IF(AVANCE[[#This Row],[REVESTIMIENTO INTERIOR ZONAS HUMEDAS]]=AX$2,100%,AVANCE[[#This Row],[REVESTIMIENTO INTERIOR ZONAS HUMEDAS]])</f>
        <v>0</v>
      </c>
      <c r="CM283" s="3">
        <f>+IF(AVANCE[[#This Row],[MEMBRANA CIELO]]=AY$2,100%,AVANCE[[#This Row],[MEMBRANA CIELO]])</f>
        <v>0</v>
      </c>
      <c r="CN283" s="3">
        <f>+IF(AVANCE[[#This Row],[LIMPIEZA FINAL]]=AZ$2,100%,AVANCE[[#This Row],[LIMPIEZA FINAL]])</f>
        <v>0</v>
      </c>
      <c r="CO283" s="3">
        <f>+IF(AVANCE[[#This Row],[PUERTAS DORMITORIO]]=BA$2,100%,AVANCE[[#This Row],[PUERTAS DORMITORIO]])</f>
        <v>0</v>
      </c>
      <c r="CP283" s="3">
        <f>+IF(AVANCE[[#This Row],[REVESTIMIENTO INTERIOR BANO]]=BB$2,100%,AVANCE[[#This Row],[REVESTIMIENTO INTERIOR BANO]])</f>
        <v>0</v>
      </c>
      <c r="CQ283" s="3">
        <f>+IF(AVANCE[[#This Row],[MUEBLE LAVAPLATOS]]=BC$2,100%,AVANCE[[#This Row],[MUEBLE LAVAPLATOS]])</f>
        <v>0</v>
      </c>
      <c r="CR283" s="3">
        <f>+IF(AVANCE[[#This Row],[IMPERMEABILIZACION BANO - COCINA LOGIA]]=BD$2,100%,AVANCE[[#This Row],[IMPERMEABILIZACION BANO - COCINA LOGIA]])</f>
        <v>0</v>
      </c>
      <c r="CS283" s="40">
        <f ca="1">+IF(AVANCE[[#This Row],[ESTADO MODULO]]="PENDIENTE",(TODAY()-AVANCE[[#This Row],[FECHA TERMINO  PLANIFICADO]]),0)</f>
        <v>0</v>
      </c>
      <c r="CT283" s="41" t="str" cm="1">
        <f t="array" ref="CT283">_xlfn.TEXTJOIN(" | ",TRUE,IF(SUMPRODUCT((BG283:CR283&lt;1)*(PARTIDAS!$I$2:$AT$2="OBRA GRUESA"))&gt;0,"OBRA GRUESA: "&amp;_xlfn.TEXTJOIN(", ",TRUE,IF((BG283:CR283&lt;1)*(PARTIDAS!$I$2:$AT$2="OBRA GRUESA"),PARTIDAS!$I$1:$AT$1,"")),""),IF(SUMPRODUCT((BG283:CR283&lt;1)*(PARTIDAS!$I$2:$AT$2="SANITARIOS"))&gt;0,"SANITARIOS: "&amp;_xlfn.TEXTJOIN(", ",TRUE,IF((BG283:CR283&lt;1)*(PARTIDAS!$I$2:$AT$2="SANITARIOS"),PARTIDAS!$I$1:$AT$1,"")),""),IF(SUMPRODUCT((BG283:CR283&lt;1)*(PARTIDAS!$I$2:$AT$2="ELÉCTRICO"))&gt;0,"ELÉCTRICO: "&amp;_xlfn.TEXTJOIN(", ",TRUE,IF((BG283:CR283&lt;1)*(PARTIDAS!$I$2:$AT$2="ELÉCTRICO"),PARTIDAS!$I$1:$AT$1,"")),""),IF(SUMPRODUCT((BG283:CR283&lt;1)*(PARTIDAS!$I$2:$AT$2="TERMINACIONES"))&gt;0,"TERMINACIONES: "&amp;_xlfn.TEXTJOIN(", ",TRUE,IF((BG283:CR283&lt;1)*(PARTIDAS!$I$2:$AT$2="TERMINACIONES"),PARTIDAS!$I$1:$AT$1,"")),""))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3" s="43" t="str" cm="1">
        <f t="array" ref="CU283">_xlfn.TEXTJOIN(", ",TRUE,IF(SUMPRODUCT((BG283:CR283&lt;1)*(PARTIDAS!$I$2:$AT$2="OBRA GRUESA"))&gt;0,"OBRA GRUESA",""),IF(SUMPRODUCT((BG283:CR283&lt;1)*(PARTIDAS!$I$2:$AT$2="SANITARIOS"))&gt;0,"SANITARIOS",""),IF(SUMPRODUCT((BG283:CR283&lt;1)*(PARTIDAS!$I$2:$AT$2="ELÉCTRICO"))&gt;0,"ELÉCTRICO",""),IF(SUMPRODUCT((BG283:CR283&lt;1)*(PARTIDAS!$I$2:$AT$2="TERMINACIONES"))&gt;0,"TERMINACIONES",""))</f>
        <v>OBRA GRUESA, SANITARIOS, ELÉCTRICO, TERMINACIONES</v>
      </c>
      <c r="CV283" s="44" cm="1">
        <f t="array" ref="CV283">SUMPRODUCT(--(BG283:CR283&lt;1))</f>
        <v>38</v>
      </c>
    </row>
    <row r="284" spans="1:100" hidden="1" x14ac:dyDescent="0.25">
      <c r="A284" t="s">
        <v>322</v>
      </c>
      <c r="B284" t="s">
        <v>349</v>
      </c>
      <c r="C284">
        <v>2302600283</v>
      </c>
      <c r="D284" t="s">
        <v>60</v>
      </c>
      <c r="E284" s="2">
        <v>0</v>
      </c>
      <c r="F284" s="1">
        <v>46280</v>
      </c>
      <c r="G284" s="1"/>
      <c r="H284" s="1">
        <v>0</v>
      </c>
      <c r="I284" s="1">
        <v>46310</v>
      </c>
      <c r="J284">
        <v>46230</v>
      </c>
      <c r="K284" s="1"/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>
        <v>31.32</v>
      </c>
      <c r="BF284" s="3" t="str">
        <f>+IF(AVANCE[[#This Row],[% AVANCE]]=100%,"MODULO TERMINADO",IF(AVANCE[[#This Row],[FECHA INICIO REAL]]="","MODULO NO INICIADO","PENDIENTE"))</f>
        <v>MODULO NO INICIADO</v>
      </c>
      <c r="BG284" s="3">
        <f>+IF(AVANCE[[#This Row],[VENTANAS]]=8.10810810810811%,100%,AVANCE[[#This Row],[VENTANAS]])</f>
        <v>0</v>
      </c>
      <c r="BH284" s="3">
        <f>+IF(AVANCE[[#This Row],[PISO]]=N$2,100%,AVANCE[[#This Row],[PISO]])</f>
        <v>0</v>
      </c>
      <c r="BI284" s="3">
        <f>+IF(AVANCE[[#This Row],[TABIQUES]]=O$2,100%,AVANCE[[#This Row],[TABIQUES]])</f>
        <v>0</v>
      </c>
      <c r="BJ284" s="3">
        <f>+IF(AVANCE[[#This Row],[MUROS]]=P$2,100%,AVANCE[[#This Row],[MUROS]])</f>
        <v>0</v>
      </c>
      <c r="BK284" s="3">
        <f>+IF(AVANCE[[#This Row],[CIELO]]=Q$2,100%,AVANCE[[#This Row],[CIELO]])</f>
        <v>0</v>
      </c>
      <c r="BL284" s="3">
        <f>+IF(AVANCE[[#This Row],[BALCÓN]]=R$2,100%,AVANCE[[#This Row],[BALCÓN]])</f>
        <v>0</v>
      </c>
      <c r="BM284" s="3">
        <f>+IF(AVANCE[[#This Row],[RED ALCANTARILLADO]]=U$2,100%,AVANCE[[#This Row],[RED ALCANTARILLADO]])</f>
        <v>0</v>
      </c>
      <c r="BN284" s="3">
        <f>+IF(AVANCE[[#This Row],[RED DE AGUA]]=V$2,100%,AVANCE[[#This Row],[RED DE AGUA]])</f>
        <v>0</v>
      </c>
      <c r="BO284" s="3">
        <f>+IF(AVANCE[[#This Row],[VENTILACIONES]]=W$2,100%,AVANCE[[#This Row],[VENTILACIONES]])</f>
        <v>0</v>
      </c>
      <c r="BP284" s="3">
        <f>+IF(AVANCE[[#This Row],[TINA]]=X$2,100%,AVANCE[[#This Row],[TINA]])</f>
        <v>0</v>
      </c>
      <c r="BQ284" s="3">
        <f>+IF(AVANCE[[#This Row],[WC]]=Y$2,100%,AVANCE[[#This Row],[WC]])</f>
        <v>0</v>
      </c>
      <c r="BR284" s="3">
        <f>+IF(AVANCE[[#This Row],[LAVAMANOS / LAVAPLATOS / LAVADERO]]=Z$2,100%,AVANCE[[#This Row],[LAVAMANOS / LAVAPLATOS / LAVADERO]])</f>
        <v>0</v>
      </c>
      <c r="BS284" s="3">
        <f>+IF(AVANCE[[#This Row],[CANALIZACIÓN]]=AC$2,100%,AVANCE[[#This Row],[CANALIZACIÓN]])</f>
        <v>0</v>
      </c>
      <c r="BT284" s="3">
        <f>+IF(AVANCE[[#This Row],[CABLEADO]]=AD$2,100%,AVANCE[[#This Row],[CABLEADO]])</f>
        <v>0</v>
      </c>
      <c r="BU284" s="3">
        <f>+IF(AVANCE[[#This Row],[ARTEFACTOS]]=AE$2,100%,AVANCE[[#This Row],[ARTEFACTOS]])</f>
        <v>0</v>
      </c>
      <c r="BV284" s="3">
        <f>+IF(AVANCE[[#This Row],[TABLERO]]=AF$2,100%,AVANCE[[#This Row],[TABLERO]])</f>
        <v>0</v>
      </c>
      <c r="BW284" s="3">
        <f>+IF(AVANCE[[#This Row],[CAJA PAU]]=AG$2,100%,AVANCE[[#This Row],[CAJA PAU]])</f>
        <v>0</v>
      </c>
      <c r="BX284" s="3">
        <f>+IF(AVANCE[[#This Row],[INSTALACION VINILICO]]=AJ$2,100%,AVANCE[[#This Row],[INSTALACION VINILICO]])</f>
        <v>0</v>
      </c>
      <c r="BY284" s="3">
        <f>+IF(AVANCE[[#This Row],[OSB CUBIERTA]]=AK$2,100%,AVANCE[[#This Row],[OSB CUBIERTA]])</f>
        <v>0</v>
      </c>
      <c r="BZ284" s="3">
        <f>+IF(AVANCE[[#This Row],[BARANDA BALCON]]=AL$2,100%,AVANCE[[#This Row],[BARANDA BALCON]])</f>
        <v>0</v>
      </c>
      <c r="CA284" s="3">
        <f>+IF(AVANCE[[#This Row],[OSB EXTERIOR]]=AM$2,100%,AVANCE[[#This Row],[OSB EXTERIOR]])</f>
        <v>0</v>
      </c>
      <c r="CB284" s="3">
        <f>+IF(AVANCE[[#This Row],[SMART PANEL]]=AN$2,100%,AVANCE[[#This Row],[SMART PANEL]])</f>
        <v>0</v>
      </c>
      <c r="CC284" s="3">
        <f>+IF(AVANCE[[#This Row],[PINTURA EXTERIOR]]=AO$2,100%,AVANCE[[#This Row],[PINTURA EXTERIOR]])</f>
        <v>0</v>
      </c>
      <c r="CD284" s="3">
        <f>+IF(AVANCE[[#This Row],[ZOCALOS LOGIA]]=AP$2,100%,AVANCE[[#This Row],[ZOCALOS LOGIA]])</f>
        <v>0</v>
      </c>
      <c r="CE284" s="3">
        <f>+IF(AVANCE[[#This Row],[MOLDURAS]]=AQ$2,100%,AVANCE[[#This Row],[MOLDURAS]])</f>
        <v>0</v>
      </c>
      <c r="CF284" s="3">
        <f>+IF(AVANCE[[#This Row],[PILASTREO]]=AR$2,100%,AVANCE[[#This Row],[PILASTREO]])</f>
        <v>0</v>
      </c>
      <c r="CG284" s="3">
        <f>+IF(AVANCE[[#This Row],[CELOSIAS]]=AS$2,100%,AVANCE[[#This Row],[CELOSIAS]])</f>
        <v>0</v>
      </c>
      <c r="CH284" s="3">
        <f>+IF(AVANCE[[#This Row],[VENTANAS]]=AT$2,100%,AVANCE[[#This Row],[VENTANAS]])</f>
        <v>0</v>
      </c>
      <c r="CI284" s="3">
        <f>+IF(AVANCE[[#This Row],[PUERTAS ACCESO - LOGIA - BANO]]=AU$2,100%,AVANCE[[#This Row],[PUERTAS ACCESO - LOGIA - BANO]])</f>
        <v>0</v>
      </c>
      <c r="CJ284" s="3">
        <f>+IF(AVANCE[[#This Row],[CERRADURAS]]=AV$2,100%,AVANCE[[#This Row],[CERRADURAS]])</f>
        <v>0</v>
      </c>
      <c r="CK284" s="3">
        <f>+IF(AVANCE[[#This Row],[REVESTIMIENTO INTERIOR ZONA SECA]]=AW$2,100%,AVANCE[[#This Row],[REVESTIMIENTO INTERIOR ZONA SECA]])</f>
        <v>0</v>
      </c>
      <c r="CL284" s="3">
        <f>+IF(AVANCE[[#This Row],[REVESTIMIENTO INTERIOR ZONAS HUMEDAS]]=AX$2,100%,AVANCE[[#This Row],[REVESTIMIENTO INTERIOR ZONAS HUMEDAS]])</f>
        <v>0</v>
      </c>
      <c r="CM284" s="3">
        <f>+IF(AVANCE[[#This Row],[MEMBRANA CIELO]]=AY$2,100%,AVANCE[[#This Row],[MEMBRANA CIELO]])</f>
        <v>0</v>
      </c>
      <c r="CN284" s="3">
        <f>+IF(AVANCE[[#This Row],[LIMPIEZA FINAL]]=AZ$2,100%,AVANCE[[#This Row],[LIMPIEZA FINAL]])</f>
        <v>0</v>
      </c>
      <c r="CO284" s="3">
        <f>+IF(AVANCE[[#This Row],[PUERTAS DORMITORIO]]=BA$2,100%,AVANCE[[#This Row],[PUERTAS DORMITORIO]])</f>
        <v>0</v>
      </c>
      <c r="CP284" s="3">
        <f>+IF(AVANCE[[#This Row],[REVESTIMIENTO INTERIOR BANO]]=BB$2,100%,AVANCE[[#This Row],[REVESTIMIENTO INTERIOR BANO]])</f>
        <v>0</v>
      </c>
      <c r="CQ284" s="3">
        <f>+IF(AVANCE[[#This Row],[MUEBLE LAVAPLATOS]]=BC$2,100%,AVANCE[[#This Row],[MUEBLE LAVAPLATOS]])</f>
        <v>0</v>
      </c>
      <c r="CR284" s="3">
        <f>+IF(AVANCE[[#This Row],[IMPERMEABILIZACION BANO - COCINA LOGIA]]=BD$2,100%,AVANCE[[#This Row],[IMPERMEABILIZACION BANO - COCINA LOGIA]])</f>
        <v>0</v>
      </c>
      <c r="CS284" s="40">
        <f ca="1">+IF(AVANCE[[#This Row],[ESTADO MODULO]]="PENDIENTE",(TODAY()-AVANCE[[#This Row],[FECHA TERMINO  PLANIFICADO]]),0)</f>
        <v>0</v>
      </c>
      <c r="CT284" s="41" t="str" cm="1">
        <f t="array" ref="CT284">_xlfn.TEXTJOIN(" | ",TRUE,IF(SUMPRODUCT((BG284:CR284&lt;1)*(PARTIDAS!$I$2:$AT$2="OBRA GRUESA"))&gt;0,"OBRA GRUESA: "&amp;_xlfn.TEXTJOIN(", ",TRUE,IF((BG284:CR284&lt;1)*(PARTIDAS!$I$2:$AT$2="OBRA GRUESA"),PARTIDAS!$I$1:$AT$1,"")),""),IF(SUMPRODUCT((BG284:CR284&lt;1)*(PARTIDAS!$I$2:$AT$2="SANITARIOS"))&gt;0,"SANITARIOS: "&amp;_xlfn.TEXTJOIN(", ",TRUE,IF((BG284:CR284&lt;1)*(PARTIDAS!$I$2:$AT$2="SANITARIOS"),PARTIDAS!$I$1:$AT$1,"")),""),IF(SUMPRODUCT((BG284:CR284&lt;1)*(PARTIDAS!$I$2:$AT$2="ELÉCTRICO"))&gt;0,"ELÉCTRICO: "&amp;_xlfn.TEXTJOIN(", ",TRUE,IF((BG284:CR284&lt;1)*(PARTIDAS!$I$2:$AT$2="ELÉCTRICO"),PARTIDAS!$I$1:$AT$1,"")),""),IF(SUMPRODUCT((BG284:CR284&lt;1)*(PARTIDAS!$I$2:$AT$2="TERMINACIONES"))&gt;0,"TERMINACIONES: "&amp;_xlfn.TEXTJOIN(", ",TRUE,IF((BG284:CR284&lt;1)*(PARTIDAS!$I$2:$AT$2="TERMINACIONES"),PARTIDAS!$I$1:$AT$1,"")),""))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4" s="43" t="str" cm="1">
        <f t="array" ref="CU284">_xlfn.TEXTJOIN(", ",TRUE,IF(SUMPRODUCT((BG284:CR284&lt;1)*(PARTIDAS!$I$2:$AT$2="OBRA GRUESA"))&gt;0,"OBRA GRUESA",""),IF(SUMPRODUCT((BG284:CR284&lt;1)*(PARTIDAS!$I$2:$AT$2="SANITARIOS"))&gt;0,"SANITARIOS",""),IF(SUMPRODUCT((BG284:CR284&lt;1)*(PARTIDAS!$I$2:$AT$2="ELÉCTRICO"))&gt;0,"ELÉCTRICO",""),IF(SUMPRODUCT((BG284:CR284&lt;1)*(PARTIDAS!$I$2:$AT$2="TERMINACIONES"))&gt;0,"TERMINACIONES",""))</f>
        <v>OBRA GRUESA, SANITARIOS, ELÉCTRICO, TERMINACIONES</v>
      </c>
      <c r="CV284" s="44" cm="1">
        <f t="array" ref="CV284">SUMPRODUCT(--(BG284:CR284&lt;1))</f>
        <v>38</v>
      </c>
    </row>
    <row r="285" spans="1:100" hidden="1" x14ac:dyDescent="0.25">
      <c r="A285" t="s">
        <v>322</v>
      </c>
      <c r="B285" t="s">
        <v>350</v>
      </c>
      <c r="C285">
        <v>2282600284</v>
      </c>
      <c r="D285" t="s">
        <v>58</v>
      </c>
      <c r="E285" s="2">
        <v>0</v>
      </c>
      <c r="F285" s="1">
        <v>46286</v>
      </c>
      <c r="G285" s="1"/>
      <c r="H285" s="1">
        <v>0</v>
      </c>
      <c r="I285" s="1">
        <v>46306</v>
      </c>
      <c r="J285">
        <v>46230</v>
      </c>
      <c r="K285" s="1"/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>
        <v>28.87</v>
      </c>
      <c r="BF285" s="3" t="str">
        <f>+IF(AVANCE[[#This Row],[% AVANCE]]=100%,"MODULO TERMINADO",IF(AVANCE[[#This Row],[FECHA INICIO REAL]]="","MODULO NO INICIADO","PENDIENTE"))</f>
        <v>MODULO NO INICIADO</v>
      </c>
      <c r="BG285" s="3">
        <f>+IF(AVANCE[[#This Row],[VENTANAS]]=8.10810810810811%,100%,AVANCE[[#This Row],[VENTANAS]])</f>
        <v>0</v>
      </c>
      <c r="BH285" s="3">
        <f>+IF(AVANCE[[#This Row],[PISO]]=N$2,100%,AVANCE[[#This Row],[PISO]])</f>
        <v>0</v>
      </c>
      <c r="BI285" s="3">
        <f>+IF(AVANCE[[#This Row],[TABIQUES]]=O$2,100%,AVANCE[[#This Row],[TABIQUES]])</f>
        <v>0</v>
      </c>
      <c r="BJ285" s="3">
        <f>+IF(AVANCE[[#This Row],[MUROS]]=P$2,100%,AVANCE[[#This Row],[MUROS]])</f>
        <v>0</v>
      </c>
      <c r="BK285" s="3">
        <f>+IF(AVANCE[[#This Row],[CIELO]]=Q$2,100%,AVANCE[[#This Row],[CIELO]])</f>
        <v>0</v>
      </c>
      <c r="BL285" s="3">
        <f>+IF(AVANCE[[#This Row],[BALCÓN]]=R$2,100%,AVANCE[[#This Row],[BALCÓN]])</f>
        <v>0</v>
      </c>
      <c r="BM285" s="3">
        <f>+IF(AVANCE[[#This Row],[RED ALCANTARILLADO]]=U$2,100%,AVANCE[[#This Row],[RED ALCANTARILLADO]])</f>
        <v>0</v>
      </c>
      <c r="BN285" s="3">
        <f>+IF(AVANCE[[#This Row],[RED DE AGUA]]=V$2,100%,AVANCE[[#This Row],[RED DE AGUA]])</f>
        <v>0</v>
      </c>
      <c r="BO285" s="3">
        <f>+IF(AVANCE[[#This Row],[VENTILACIONES]]=W$2,100%,AVANCE[[#This Row],[VENTILACIONES]])</f>
        <v>0</v>
      </c>
      <c r="BP285" s="3">
        <f>+IF(AVANCE[[#This Row],[TINA]]=X$2,100%,AVANCE[[#This Row],[TINA]])</f>
        <v>0</v>
      </c>
      <c r="BQ285" s="3">
        <f>+IF(AVANCE[[#This Row],[WC]]=Y$2,100%,AVANCE[[#This Row],[WC]])</f>
        <v>0</v>
      </c>
      <c r="BR285" s="3">
        <f>+IF(AVANCE[[#This Row],[LAVAMANOS / LAVAPLATOS / LAVADERO]]=Z$2,100%,AVANCE[[#This Row],[LAVAMANOS / LAVAPLATOS / LAVADERO]])</f>
        <v>0</v>
      </c>
      <c r="BS285" s="3">
        <f>+IF(AVANCE[[#This Row],[CANALIZACIÓN]]=AC$2,100%,AVANCE[[#This Row],[CANALIZACIÓN]])</f>
        <v>0</v>
      </c>
      <c r="BT285" s="3">
        <f>+IF(AVANCE[[#This Row],[CABLEADO]]=AD$2,100%,AVANCE[[#This Row],[CABLEADO]])</f>
        <v>0</v>
      </c>
      <c r="BU285" s="3">
        <f>+IF(AVANCE[[#This Row],[ARTEFACTOS]]=AE$2,100%,AVANCE[[#This Row],[ARTEFACTOS]])</f>
        <v>0</v>
      </c>
      <c r="BV285" s="3">
        <f>+IF(AVANCE[[#This Row],[TABLERO]]=AF$2,100%,AVANCE[[#This Row],[TABLERO]])</f>
        <v>0</v>
      </c>
      <c r="BW285" s="3">
        <f>+IF(AVANCE[[#This Row],[CAJA PAU]]=AG$2,100%,AVANCE[[#This Row],[CAJA PAU]])</f>
        <v>0</v>
      </c>
      <c r="BX285" s="3">
        <f>+IF(AVANCE[[#This Row],[INSTALACION VINILICO]]=AJ$2,100%,AVANCE[[#This Row],[INSTALACION VINILICO]])</f>
        <v>0</v>
      </c>
      <c r="BY285" s="3">
        <f>+IF(AVANCE[[#This Row],[OSB CUBIERTA]]=AK$2,100%,AVANCE[[#This Row],[OSB CUBIERTA]])</f>
        <v>0</v>
      </c>
      <c r="BZ285" s="3">
        <f>+IF(AVANCE[[#This Row],[BARANDA BALCON]]=AL$2,100%,AVANCE[[#This Row],[BARANDA BALCON]])</f>
        <v>0</v>
      </c>
      <c r="CA285" s="3">
        <f>+IF(AVANCE[[#This Row],[OSB EXTERIOR]]=AM$2,100%,AVANCE[[#This Row],[OSB EXTERIOR]])</f>
        <v>0</v>
      </c>
      <c r="CB285" s="3">
        <f>+IF(AVANCE[[#This Row],[SMART PANEL]]=AN$2,100%,AVANCE[[#This Row],[SMART PANEL]])</f>
        <v>0</v>
      </c>
      <c r="CC285" s="3">
        <f>+IF(AVANCE[[#This Row],[PINTURA EXTERIOR]]=AO$2,100%,AVANCE[[#This Row],[PINTURA EXTERIOR]])</f>
        <v>0</v>
      </c>
      <c r="CD285" s="3">
        <f>+IF(AVANCE[[#This Row],[ZOCALOS LOGIA]]=AP$2,100%,AVANCE[[#This Row],[ZOCALOS LOGIA]])</f>
        <v>0</v>
      </c>
      <c r="CE285" s="3">
        <f>+IF(AVANCE[[#This Row],[MOLDURAS]]=AQ$2,100%,AVANCE[[#This Row],[MOLDURAS]])</f>
        <v>0</v>
      </c>
      <c r="CF285" s="3">
        <f>+IF(AVANCE[[#This Row],[PILASTREO]]=AR$2,100%,AVANCE[[#This Row],[PILASTREO]])</f>
        <v>0</v>
      </c>
      <c r="CG285" s="3">
        <f>+IF(AVANCE[[#This Row],[CELOSIAS]]=AS$2,100%,AVANCE[[#This Row],[CELOSIAS]])</f>
        <v>0</v>
      </c>
      <c r="CH285" s="3">
        <f>+IF(AVANCE[[#This Row],[VENTANAS]]=AT$2,100%,AVANCE[[#This Row],[VENTANAS]])</f>
        <v>0</v>
      </c>
      <c r="CI285" s="3">
        <f>+IF(AVANCE[[#This Row],[PUERTAS ACCESO - LOGIA - BANO]]=AU$2,100%,AVANCE[[#This Row],[PUERTAS ACCESO - LOGIA - BANO]])</f>
        <v>0</v>
      </c>
      <c r="CJ285" s="3">
        <f>+IF(AVANCE[[#This Row],[CERRADURAS]]=AV$2,100%,AVANCE[[#This Row],[CERRADURAS]])</f>
        <v>0</v>
      </c>
      <c r="CK285" s="3">
        <f>+IF(AVANCE[[#This Row],[REVESTIMIENTO INTERIOR ZONA SECA]]=AW$2,100%,AVANCE[[#This Row],[REVESTIMIENTO INTERIOR ZONA SECA]])</f>
        <v>0</v>
      </c>
      <c r="CL285" s="3">
        <f>+IF(AVANCE[[#This Row],[REVESTIMIENTO INTERIOR ZONAS HUMEDAS]]=AX$2,100%,AVANCE[[#This Row],[REVESTIMIENTO INTERIOR ZONAS HUMEDAS]])</f>
        <v>0</v>
      </c>
      <c r="CM285" s="3">
        <f>+IF(AVANCE[[#This Row],[MEMBRANA CIELO]]=AY$2,100%,AVANCE[[#This Row],[MEMBRANA CIELO]])</f>
        <v>0</v>
      </c>
      <c r="CN285" s="3">
        <f>+IF(AVANCE[[#This Row],[LIMPIEZA FINAL]]=AZ$2,100%,AVANCE[[#This Row],[LIMPIEZA FINAL]])</f>
        <v>0</v>
      </c>
      <c r="CO285" s="3">
        <f>+IF(AVANCE[[#This Row],[PUERTAS DORMITORIO]]=BA$2,100%,AVANCE[[#This Row],[PUERTAS DORMITORIO]])</f>
        <v>0</v>
      </c>
      <c r="CP285" s="3">
        <f>+IF(AVANCE[[#This Row],[REVESTIMIENTO INTERIOR BANO]]=BB$2,100%,AVANCE[[#This Row],[REVESTIMIENTO INTERIOR BANO]])</f>
        <v>0</v>
      </c>
      <c r="CQ285" s="3">
        <f>+IF(AVANCE[[#This Row],[MUEBLE LAVAPLATOS]]=BC$2,100%,AVANCE[[#This Row],[MUEBLE LAVAPLATOS]])</f>
        <v>0</v>
      </c>
      <c r="CR285" s="3">
        <f>+IF(AVANCE[[#This Row],[IMPERMEABILIZACION BANO - COCINA LOGIA]]=BD$2,100%,AVANCE[[#This Row],[IMPERMEABILIZACION BANO - COCINA LOGIA]])</f>
        <v>0</v>
      </c>
      <c r="CS285" s="40">
        <f ca="1">+IF(AVANCE[[#This Row],[ESTADO MODULO]]="PENDIENTE",(TODAY()-AVANCE[[#This Row],[FECHA TERMINO  PLANIFICADO]]),0)</f>
        <v>0</v>
      </c>
      <c r="CT285" s="41" t="str" cm="1">
        <f t="array" ref="CT285">_xlfn.TEXTJOIN(" | ",TRUE,IF(SUMPRODUCT((BG285:CR285&lt;1)*(PARTIDAS!$I$2:$AT$2="OBRA GRUESA"))&gt;0,"OBRA GRUESA: "&amp;_xlfn.TEXTJOIN(", ",TRUE,IF((BG285:CR285&lt;1)*(PARTIDAS!$I$2:$AT$2="OBRA GRUESA"),PARTIDAS!$I$1:$AT$1,"")),""),IF(SUMPRODUCT((BG285:CR285&lt;1)*(PARTIDAS!$I$2:$AT$2="SANITARIOS"))&gt;0,"SANITARIOS: "&amp;_xlfn.TEXTJOIN(", ",TRUE,IF((BG285:CR285&lt;1)*(PARTIDAS!$I$2:$AT$2="SANITARIOS"),PARTIDAS!$I$1:$AT$1,"")),""),IF(SUMPRODUCT((BG285:CR285&lt;1)*(PARTIDAS!$I$2:$AT$2="ELÉCTRICO"))&gt;0,"ELÉCTRICO: "&amp;_xlfn.TEXTJOIN(", ",TRUE,IF((BG285:CR285&lt;1)*(PARTIDAS!$I$2:$AT$2="ELÉCTRICO"),PARTIDAS!$I$1:$AT$1,"")),""),IF(SUMPRODUCT((BG285:CR285&lt;1)*(PARTIDAS!$I$2:$AT$2="TERMINACIONES"))&gt;0,"TERMINACIONES: "&amp;_xlfn.TEXTJOIN(", ",TRUE,IF((BG285:CR285&lt;1)*(PARTIDAS!$I$2:$AT$2="TERMINACIONES"),PARTIDAS!$I$1:$AT$1,"")),""))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5" s="43" t="str" cm="1">
        <f t="array" ref="CU285">_xlfn.TEXTJOIN(", ",TRUE,IF(SUMPRODUCT((BG285:CR285&lt;1)*(PARTIDAS!$I$2:$AT$2="OBRA GRUESA"))&gt;0,"OBRA GRUESA",""),IF(SUMPRODUCT((BG285:CR285&lt;1)*(PARTIDAS!$I$2:$AT$2="SANITARIOS"))&gt;0,"SANITARIOS",""),IF(SUMPRODUCT((BG285:CR285&lt;1)*(PARTIDAS!$I$2:$AT$2="ELÉCTRICO"))&gt;0,"ELÉCTRICO",""),IF(SUMPRODUCT((BG285:CR285&lt;1)*(PARTIDAS!$I$2:$AT$2="TERMINACIONES"))&gt;0,"TERMINACIONES",""))</f>
        <v>OBRA GRUESA, SANITARIOS, ELÉCTRICO, TERMINACIONES</v>
      </c>
      <c r="CV285" s="44" cm="1">
        <f t="array" ref="CV285">SUMPRODUCT(--(BG285:CR285&lt;1))</f>
        <v>38</v>
      </c>
    </row>
    <row r="286" spans="1:100" hidden="1" x14ac:dyDescent="0.25">
      <c r="A286" t="s">
        <v>322</v>
      </c>
      <c r="B286" t="s">
        <v>351</v>
      </c>
      <c r="C286">
        <v>2282600285</v>
      </c>
      <c r="D286" t="s">
        <v>58</v>
      </c>
      <c r="E286" s="2">
        <v>0</v>
      </c>
      <c r="F286" s="1">
        <v>46286</v>
      </c>
      <c r="G286" s="1"/>
      <c r="H286" s="1">
        <v>0</v>
      </c>
      <c r="I286" s="1">
        <v>46306</v>
      </c>
      <c r="J286">
        <v>46230</v>
      </c>
      <c r="K286" s="1"/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>
        <v>28.87</v>
      </c>
      <c r="BF286" s="3" t="str">
        <f>+IF(AVANCE[[#This Row],[% AVANCE]]=100%,"MODULO TERMINADO",IF(AVANCE[[#This Row],[FECHA INICIO REAL]]="","MODULO NO INICIADO","PENDIENTE"))</f>
        <v>MODULO NO INICIADO</v>
      </c>
      <c r="BG286" s="3">
        <f>+IF(AVANCE[[#This Row],[VENTANAS]]=8.10810810810811%,100%,AVANCE[[#This Row],[VENTANAS]])</f>
        <v>0</v>
      </c>
      <c r="BH286" s="3">
        <f>+IF(AVANCE[[#This Row],[PISO]]=N$2,100%,AVANCE[[#This Row],[PISO]])</f>
        <v>0</v>
      </c>
      <c r="BI286" s="3">
        <f>+IF(AVANCE[[#This Row],[TABIQUES]]=O$2,100%,AVANCE[[#This Row],[TABIQUES]])</f>
        <v>0</v>
      </c>
      <c r="BJ286" s="3">
        <f>+IF(AVANCE[[#This Row],[MUROS]]=P$2,100%,AVANCE[[#This Row],[MUROS]])</f>
        <v>0</v>
      </c>
      <c r="BK286" s="3">
        <f>+IF(AVANCE[[#This Row],[CIELO]]=Q$2,100%,AVANCE[[#This Row],[CIELO]])</f>
        <v>0</v>
      </c>
      <c r="BL286" s="3">
        <f>+IF(AVANCE[[#This Row],[BALCÓN]]=R$2,100%,AVANCE[[#This Row],[BALCÓN]])</f>
        <v>0</v>
      </c>
      <c r="BM286" s="3">
        <f>+IF(AVANCE[[#This Row],[RED ALCANTARILLADO]]=U$2,100%,AVANCE[[#This Row],[RED ALCANTARILLADO]])</f>
        <v>0</v>
      </c>
      <c r="BN286" s="3">
        <f>+IF(AVANCE[[#This Row],[RED DE AGUA]]=V$2,100%,AVANCE[[#This Row],[RED DE AGUA]])</f>
        <v>0</v>
      </c>
      <c r="BO286" s="3">
        <f>+IF(AVANCE[[#This Row],[VENTILACIONES]]=W$2,100%,AVANCE[[#This Row],[VENTILACIONES]])</f>
        <v>0</v>
      </c>
      <c r="BP286" s="3">
        <f>+IF(AVANCE[[#This Row],[TINA]]=X$2,100%,AVANCE[[#This Row],[TINA]])</f>
        <v>0</v>
      </c>
      <c r="BQ286" s="3">
        <f>+IF(AVANCE[[#This Row],[WC]]=Y$2,100%,AVANCE[[#This Row],[WC]])</f>
        <v>0</v>
      </c>
      <c r="BR286" s="3">
        <f>+IF(AVANCE[[#This Row],[LAVAMANOS / LAVAPLATOS / LAVADERO]]=Z$2,100%,AVANCE[[#This Row],[LAVAMANOS / LAVAPLATOS / LAVADERO]])</f>
        <v>0</v>
      </c>
      <c r="BS286" s="3">
        <f>+IF(AVANCE[[#This Row],[CANALIZACIÓN]]=AC$2,100%,AVANCE[[#This Row],[CANALIZACIÓN]])</f>
        <v>0</v>
      </c>
      <c r="BT286" s="3">
        <f>+IF(AVANCE[[#This Row],[CABLEADO]]=AD$2,100%,AVANCE[[#This Row],[CABLEADO]])</f>
        <v>0</v>
      </c>
      <c r="BU286" s="3">
        <f>+IF(AVANCE[[#This Row],[ARTEFACTOS]]=AE$2,100%,AVANCE[[#This Row],[ARTEFACTOS]])</f>
        <v>0</v>
      </c>
      <c r="BV286" s="3">
        <f>+IF(AVANCE[[#This Row],[TABLERO]]=AF$2,100%,AVANCE[[#This Row],[TABLERO]])</f>
        <v>0</v>
      </c>
      <c r="BW286" s="3">
        <f>+IF(AVANCE[[#This Row],[CAJA PAU]]=AG$2,100%,AVANCE[[#This Row],[CAJA PAU]])</f>
        <v>0</v>
      </c>
      <c r="BX286" s="3">
        <f>+IF(AVANCE[[#This Row],[INSTALACION VINILICO]]=AJ$2,100%,AVANCE[[#This Row],[INSTALACION VINILICO]])</f>
        <v>0</v>
      </c>
      <c r="BY286" s="3">
        <f>+IF(AVANCE[[#This Row],[OSB CUBIERTA]]=AK$2,100%,AVANCE[[#This Row],[OSB CUBIERTA]])</f>
        <v>0</v>
      </c>
      <c r="BZ286" s="3">
        <f>+IF(AVANCE[[#This Row],[BARANDA BALCON]]=AL$2,100%,AVANCE[[#This Row],[BARANDA BALCON]])</f>
        <v>0</v>
      </c>
      <c r="CA286" s="3">
        <f>+IF(AVANCE[[#This Row],[OSB EXTERIOR]]=AM$2,100%,AVANCE[[#This Row],[OSB EXTERIOR]])</f>
        <v>0</v>
      </c>
      <c r="CB286" s="3">
        <f>+IF(AVANCE[[#This Row],[SMART PANEL]]=AN$2,100%,AVANCE[[#This Row],[SMART PANEL]])</f>
        <v>0</v>
      </c>
      <c r="CC286" s="3">
        <f>+IF(AVANCE[[#This Row],[PINTURA EXTERIOR]]=AO$2,100%,AVANCE[[#This Row],[PINTURA EXTERIOR]])</f>
        <v>0</v>
      </c>
      <c r="CD286" s="3">
        <f>+IF(AVANCE[[#This Row],[ZOCALOS LOGIA]]=AP$2,100%,AVANCE[[#This Row],[ZOCALOS LOGIA]])</f>
        <v>0</v>
      </c>
      <c r="CE286" s="3">
        <f>+IF(AVANCE[[#This Row],[MOLDURAS]]=AQ$2,100%,AVANCE[[#This Row],[MOLDURAS]])</f>
        <v>0</v>
      </c>
      <c r="CF286" s="3">
        <f>+IF(AVANCE[[#This Row],[PILASTREO]]=AR$2,100%,AVANCE[[#This Row],[PILASTREO]])</f>
        <v>0</v>
      </c>
      <c r="CG286" s="3">
        <f>+IF(AVANCE[[#This Row],[CELOSIAS]]=AS$2,100%,AVANCE[[#This Row],[CELOSIAS]])</f>
        <v>0</v>
      </c>
      <c r="CH286" s="3">
        <f>+IF(AVANCE[[#This Row],[VENTANAS]]=AT$2,100%,AVANCE[[#This Row],[VENTANAS]])</f>
        <v>0</v>
      </c>
      <c r="CI286" s="3">
        <f>+IF(AVANCE[[#This Row],[PUERTAS ACCESO - LOGIA - BANO]]=AU$2,100%,AVANCE[[#This Row],[PUERTAS ACCESO - LOGIA - BANO]])</f>
        <v>0</v>
      </c>
      <c r="CJ286" s="3">
        <f>+IF(AVANCE[[#This Row],[CERRADURAS]]=AV$2,100%,AVANCE[[#This Row],[CERRADURAS]])</f>
        <v>0</v>
      </c>
      <c r="CK286" s="3">
        <f>+IF(AVANCE[[#This Row],[REVESTIMIENTO INTERIOR ZONA SECA]]=AW$2,100%,AVANCE[[#This Row],[REVESTIMIENTO INTERIOR ZONA SECA]])</f>
        <v>0</v>
      </c>
      <c r="CL286" s="3">
        <f>+IF(AVANCE[[#This Row],[REVESTIMIENTO INTERIOR ZONAS HUMEDAS]]=AX$2,100%,AVANCE[[#This Row],[REVESTIMIENTO INTERIOR ZONAS HUMEDAS]])</f>
        <v>0</v>
      </c>
      <c r="CM286" s="3">
        <f>+IF(AVANCE[[#This Row],[MEMBRANA CIELO]]=AY$2,100%,AVANCE[[#This Row],[MEMBRANA CIELO]])</f>
        <v>0</v>
      </c>
      <c r="CN286" s="3">
        <f>+IF(AVANCE[[#This Row],[LIMPIEZA FINAL]]=AZ$2,100%,AVANCE[[#This Row],[LIMPIEZA FINAL]])</f>
        <v>0</v>
      </c>
      <c r="CO286" s="3">
        <f>+IF(AVANCE[[#This Row],[PUERTAS DORMITORIO]]=BA$2,100%,AVANCE[[#This Row],[PUERTAS DORMITORIO]])</f>
        <v>0</v>
      </c>
      <c r="CP286" s="3">
        <f>+IF(AVANCE[[#This Row],[REVESTIMIENTO INTERIOR BANO]]=BB$2,100%,AVANCE[[#This Row],[REVESTIMIENTO INTERIOR BANO]])</f>
        <v>0</v>
      </c>
      <c r="CQ286" s="3">
        <f>+IF(AVANCE[[#This Row],[MUEBLE LAVAPLATOS]]=BC$2,100%,AVANCE[[#This Row],[MUEBLE LAVAPLATOS]])</f>
        <v>0</v>
      </c>
      <c r="CR286" s="3">
        <f>+IF(AVANCE[[#This Row],[IMPERMEABILIZACION BANO - COCINA LOGIA]]=BD$2,100%,AVANCE[[#This Row],[IMPERMEABILIZACION BANO - COCINA LOGIA]])</f>
        <v>0</v>
      </c>
      <c r="CS286" s="40">
        <f ca="1">+IF(AVANCE[[#This Row],[ESTADO MODULO]]="PENDIENTE",(TODAY()-AVANCE[[#This Row],[FECHA TERMINO  PLANIFICADO]]),0)</f>
        <v>0</v>
      </c>
      <c r="CT286" s="41" t="str" cm="1">
        <f t="array" ref="CT286">_xlfn.TEXTJOIN(" | ",TRUE,IF(SUMPRODUCT((BG286:CR286&lt;1)*(PARTIDAS!$I$2:$AT$2="OBRA GRUESA"))&gt;0,"OBRA GRUESA: "&amp;_xlfn.TEXTJOIN(", ",TRUE,IF((BG286:CR286&lt;1)*(PARTIDAS!$I$2:$AT$2="OBRA GRUESA"),PARTIDAS!$I$1:$AT$1,"")),""),IF(SUMPRODUCT((BG286:CR286&lt;1)*(PARTIDAS!$I$2:$AT$2="SANITARIOS"))&gt;0,"SANITARIOS: "&amp;_xlfn.TEXTJOIN(", ",TRUE,IF((BG286:CR286&lt;1)*(PARTIDAS!$I$2:$AT$2="SANITARIOS"),PARTIDAS!$I$1:$AT$1,"")),""),IF(SUMPRODUCT((BG286:CR286&lt;1)*(PARTIDAS!$I$2:$AT$2="ELÉCTRICO"))&gt;0,"ELÉCTRICO: "&amp;_xlfn.TEXTJOIN(", ",TRUE,IF((BG286:CR286&lt;1)*(PARTIDAS!$I$2:$AT$2="ELÉCTRICO"),PARTIDAS!$I$1:$AT$1,"")),""),IF(SUMPRODUCT((BG286:CR286&lt;1)*(PARTIDAS!$I$2:$AT$2="TERMINACIONES"))&gt;0,"TERMINACIONES: "&amp;_xlfn.TEXTJOIN(", ",TRUE,IF((BG286:CR286&lt;1)*(PARTIDAS!$I$2:$AT$2="TERMINACIONES"),PARTIDAS!$I$1:$AT$1,"")),""))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6" s="43" t="str" cm="1">
        <f t="array" ref="CU286">_xlfn.TEXTJOIN(", ",TRUE,IF(SUMPRODUCT((BG286:CR286&lt;1)*(PARTIDAS!$I$2:$AT$2="OBRA GRUESA"))&gt;0,"OBRA GRUESA",""),IF(SUMPRODUCT((BG286:CR286&lt;1)*(PARTIDAS!$I$2:$AT$2="SANITARIOS"))&gt;0,"SANITARIOS",""),IF(SUMPRODUCT((BG286:CR286&lt;1)*(PARTIDAS!$I$2:$AT$2="ELÉCTRICO"))&gt;0,"ELÉCTRICO",""),IF(SUMPRODUCT((BG286:CR286&lt;1)*(PARTIDAS!$I$2:$AT$2="TERMINACIONES"))&gt;0,"TERMINACIONES",""))</f>
        <v>OBRA GRUESA, SANITARIOS, ELÉCTRICO, TERMINACIONES</v>
      </c>
      <c r="CV286" s="44" cm="1">
        <f t="array" ref="CV286">SUMPRODUCT(--(BG286:CR286&lt;1))</f>
        <v>38</v>
      </c>
    </row>
    <row r="287" spans="1:100" hidden="1" x14ac:dyDescent="0.25">
      <c r="A287" t="s">
        <v>322</v>
      </c>
      <c r="B287" t="s">
        <v>352</v>
      </c>
      <c r="C287">
        <v>2302600286</v>
      </c>
      <c r="D287" t="s">
        <v>60</v>
      </c>
      <c r="E287" s="2">
        <v>0</v>
      </c>
      <c r="F287" s="1">
        <v>46286</v>
      </c>
      <c r="G287" s="1"/>
      <c r="H287" s="1">
        <v>0</v>
      </c>
      <c r="I287" s="1">
        <v>46316</v>
      </c>
      <c r="J287">
        <v>46230</v>
      </c>
      <c r="K287" s="1"/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>
        <v>31.32</v>
      </c>
      <c r="BF287" s="3" t="str">
        <f>+IF(AVANCE[[#This Row],[% AVANCE]]=100%,"MODULO TERMINADO",IF(AVANCE[[#This Row],[FECHA INICIO REAL]]="","MODULO NO INICIADO","PENDIENTE"))</f>
        <v>MODULO NO INICIADO</v>
      </c>
      <c r="BG287" s="3">
        <f>+IF(AVANCE[[#This Row],[VENTANAS]]=8.10810810810811%,100%,AVANCE[[#This Row],[VENTANAS]])</f>
        <v>0</v>
      </c>
      <c r="BH287" s="3">
        <f>+IF(AVANCE[[#This Row],[PISO]]=N$2,100%,AVANCE[[#This Row],[PISO]])</f>
        <v>0</v>
      </c>
      <c r="BI287" s="3">
        <f>+IF(AVANCE[[#This Row],[TABIQUES]]=O$2,100%,AVANCE[[#This Row],[TABIQUES]])</f>
        <v>0</v>
      </c>
      <c r="BJ287" s="3">
        <f>+IF(AVANCE[[#This Row],[MUROS]]=P$2,100%,AVANCE[[#This Row],[MUROS]])</f>
        <v>0</v>
      </c>
      <c r="BK287" s="3">
        <f>+IF(AVANCE[[#This Row],[CIELO]]=Q$2,100%,AVANCE[[#This Row],[CIELO]])</f>
        <v>0</v>
      </c>
      <c r="BL287" s="3">
        <f>+IF(AVANCE[[#This Row],[BALCÓN]]=R$2,100%,AVANCE[[#This Row],[BALCÓN]])</f>
        <v>0</v>
      </c>
      <c r="BM287" s="3">
        <f>+IF(AVANCE[[#This Row],[RED ALCANTARILLADO]]=U$2,100%,AVANCE[[#This Row],[RED ALCANTARILLADO]])</f>
        <v>0</v>
      </c>
      <c r="BN287" s="3">
        <f>+IF(AVANCE[[#This Row],[RED DE AGUA]]=V$2,100%,AVANCE[[#This Row],[RED DE AGUA]])</f>
        <v>0</v>
      </c>
      <c r="BO287" s="3">
        <f>+IF(AVANCE[[#This Row],[VENTILACIONES]]=W$2,100%,AVANCE[[#This Row],[VENTILACIONES]])</f>
        <v>0</v>
      </c>
      <c r="BP287" s="3">
        <f>+IF(AVANCE[[#This Row],[TINA]]=X$2,100%,AVANCE[[#This Row],[TINA]])</f>
        <v>0</v>
      </c>
      <c r="BQ287" s="3">
        <f>+IF(AVANCE[[#This Row],[WC]]=Y$2,100%,AVANCE[[#This Row],[WC]])</f>
        <v>0</v>
      </c>
      <c r="BR287" s="3">
        <f>+IF(AVANCE[[#This Row],[LAVAMANOS / LAVAPLATOS / LAVADERO]]=Z$2,100%,AVANCE[[#This Row],[LAVAMANOS / LAVAPLATOS / LAVADERO]])</f>
        <v>0</v>
      </c>
      <c r="BS287" s="3">
        <f>+IF(AVANCE[[#This Row],[CANALIZACIÓN]]=AC$2,100%,AVANCE[[#This Row],[CANALIZACIÓN]])</f>
        <v>0</v>
      </c>
      <c r="BT287" s="3">
        <f>+IF(AVANCE[[#This Row],[CABLEADO]]=AD$2,100%,AVANCE[[#This Row],[CABLEADO]])</f>
        <v>0</v>
      </c>
      <c r="BU287" s="3">
        <f>+IF(AVANCE[[#This Row],[ARTEFACTOS]]=AE$2,100%,AVANCE[[#This Row],[ARTEFACTOS]])</f>
        <v>0</v>
      </c>
      <c r="BV287" s="3">
        <f>+IF(AVANCE[[#This Row],[TABLERO]]=AF$2,100%,AVANCE[[#This Row],[TABLERO]])</f>
        <v>0</v>
      </c>
      <c r="BW287" s="3">
        <f>+IF(AVANCE[[#This Row],[CAJA PAU]]=AG$2,100%,AVANCE[[#This Row],[CAJA PAU]])</f>
        <v>0</v>
      </c>
      <c r="BX287" s="3">
        <f>+IF(AVANCE[[#This Row],[INSTALACION VINILICO]]=AJ$2,100%,AVANCE[[#This Row],[INSTALACION VINILICO]])</f>
        <v>0</v>
      </c>
      <c r="BY287" s="3">
        <f>+IF(AVANCE[[#This Row],[OSB CUBIERTA]]=AK$2,100%,AVANCE[[#This Row],[OSB CUBIERTA]])</f>
        <v>0</v>
      </c>
      <c r="BZ287" s="3">
        <f>+IF(AVANCE[[#This Row],[BARANDA BALCON]]=AL$2,100%,AVANCE[[#This Row],[BARANDA BALCON]])</f>
        <v>0</v>
      </c>
      <c r="CA287" s="3">
        <f>+IF(AVANCE[[#This Row],[OSB EXTERIOR]]=AM$2,100%,AVANCE[[#This Row],[OSB EXTERIOR]])</f>
        <v>0</v>
      </c>
      <c r="CB287" s="3">
        <f>+IF(AVANCE[[#This Row],[SMART PANEL]]=AN$2,100%,AVANCE[[#This Row],[SMART PANEL]])</f>
        <v>0</v>
      </c>
      <c r="CC287" s="3">
        <f>+IF(AVANCE[[#This Row],[PINTURA EXTERIOR]]=AO$2,100%,AVANCE[[#This Row],[PINTURA EXTERIOR]])</f>
        <v>0</v>
      </c>
      <c r="CD287" s="3">
        <f>+IF(AVANCE[[#This Row],[ZOCALOS LOGIA]]=AP$2,100%,AVANCE[[#This Row],[ZOCALOS LOGIA]])</f>
        <v>0</v>
      </c>
      <c r="CE287" s="3">
        <f>+IF(AVANCE[[#This Row],[MOLDURAS]]=AQ$2,100%,AVANCE[[#This Row],[MOLDURAS]])</f>
        <v>0</v>
      </c>
      <c r="CF287" s="3">
        <f>+IF(AVANCE[[#This Row],[PILASTREO]]=AR$2,100%,AVANCE[[#This Row],[PILASTREO]])</f>
        <v>0</v>
      </c>
      <c r="CG287" s="3">
        <f>+IF(AVANCE[[#This Row],[CELOSIAS]]=AS$2,100%,AVANCE[[#This Row],[CELOSIAS]])</f>
        <v>0</v>
      </c>
      <c r="CH287" s="3">
        <f>+IF(AVANCE[[#This Row],[VENTANAS]]=AT$2,100%,AVANCE[[#This Row],[VENTANAS]])</f>
        <v>0</v>
      </c>
      <c r="CI287" s="3">
        <f>+IF(AVANCE[[#This Row],[PUERTAS ACCESO - LOGIA - BANO]]=AU$2,100%,AVANCE[[#This Row],[PUERTAS ACCESO - LOGIA - BANO]])</f>
        <v>0</v>
      </c>
      <c r="CJ287" s="3">
        <f>+IF(AVANCE[[#This Row],[CERRADURAS]]=AV$2,100%,AVANCE[[#This Row],[CERRADURAS]])</f>
        <v>0</v>
      </c>
      <c r="CK287" s="3">
        <f>+IF(AVANCE[[#This Row],[REVESTIMIENTO INTERIOR ZONA SECA]]=AW$2,100%,AVANCE[[#This Row],[REVESTIMIENTO INTERIOR ZONA SECA]])</f>
        <v>0</v>
      </c>
      <c r="CL287" s="3">
        <f>+IF(AVANCE[[#This Row],[REVESTIMIENTO INTERIOR ZONAS HUMEDAS]]=AX$2,100%,AVANCE[[#This Row],[REVESTIMIENTO INTERIOR ZONAS HUMEDAS]])</f>
        <v>0</v>
      </c>
      <c r="CM287" s="3">
        <f>+IF(AVANCE[[#This Row],[MEMBRANA CIELO]]=AY$2,100%,AVANCE[[#This Row],[MEMBRANA CIELO]])</f>
        <v>0</v>
      </c>
      <c r="CN287" s="3">
        <f>+IF(AVANCE[[#This Row],[LIMPIEZA FINAL]]=AZ$2,100%,AVANCE[[#This Row],[LIMPIEZA FINAL]])</f>
        <v>0</v>
      </c>
      <c r="CO287" s="3">
        <f>+IF(AVANCE[[#This Row],[PUERTAS DORMITORIO]]=BA$2,100%,AVANCE[[#This Row],[PUERTAS DORMITORIO]])</f>
        <v>0</v>
      </c>
      <c r="CP287" s="3">
        <f>+IF(AVANCE[[#This Row],[REVESTIMIENTO INTERIOR BANO]]=BB$2,100%,AVANCE[[#This Row],[REVESTIMIENTO INTERIOR BANO]])</f>
        <v>0</v>
      </c>
      <c r="CQ287" s="3">
        <f>+IF(AVANCE[[#This Row],[MUEBLE LAVAPLATOS]]=BC$2,100%,AVANCE[[#This Row],[MUEBLE LAVAPLATOS]])</f>
        <v>0</v>
      </c>
      <c r="CR287" s="3">
        <f>+IF(AVANCE[[#This Row],[IMPERMEABILIZACION BANO - COCINA LOGIA]]=BD$2,100%,AVANCE[[#This Row],[IMPERMEABILIZACION BANO - COCINA LOGIA]])</f>
        <v>0</v>
      </c>
      <c r="CS287" s="40">
        <f ca="1">+IF(AVANCE[[#This Row],[ESTADO MODULO]]="PENDIENTE",(TODAY()-AVANCE[[#This Row],[FECHA TERMINO  PLANIFICADO]]),0)</f>
        <v>0</v>
      </c>
      <c r="CT287" s="41" t="str" cm="1">
        <f t="array" ref="CT287">_xlfn.TEXTJOIN(" | ",TRUE,IF(SUMPRODUCT((BG287:CR287&lt;1)*(PARTIDAS!$I$2:$AT$2="OBRA GRUESA"))&gt;0,"OBRA GRUESA: "&amp;_xlfn.TEXTJOIN(", ",TRUE,IF((BG287:CR287&lt;1)*(PARTIDAS!$I$2:$AT$2="OBRA GRUESA"),PARTIDAS!$I$1:$AT$1,"")),""),IF(SUMPRODUCT((BG287:CR287&lt;1)*(PARTIDAS!$I$2:$AT$2="SANITARIOS"))&gt;0,"SANITARIOS: "&amp;_xlfn.TEXTJOIN(", ",TRUE,IF((BG287:CR287&lt;1)*(PARTIDAS!$I$2:$AT$2="SANITARIOS"),PARTIDAS!$I$1:$AT$1,"")),""),IF(SUMPRODUCT((BG287:CR287&lt;1)*(PARTIDAS!$I$2:$AT$2="ELÉCTRICO"))&gt;0,"ELÉCTRICO: "&amp;_xlfn.TEXTJOIN(", ",TRUE,IF((BG287:CR287&lt;1)*(PARTIDAS!$I$2:$AT$2="ELÉCTRICO"),PARTIDAS!$I$1:$AT$1,"")),""),IF(SUMPRODUCT((BG287:CR287&lt;1)*(PARTIDAS!$I$2:$AT$2="TERMINACIONES"))&gt;0,"TERMINACIONES: "&amp;_xlfn.TEXTJOIN(", ",TRUE,IF((BG287:CR287&lt;1)*(PARTIDAS!$I$2:$AT$2="TERMINACIONES"),PARTIDAS!$I$1:$AT$1,"")),""))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7" s="43" t="str" cm="1">
        <f t="array" ref="CU287">_xlfn.TEXTJOIN(", ",TRUE,IF(SUMPRODUCT((BG287:CR287&lt;1)*(PARTIDAS!$I$2:$AT$2="OBRA GRUESA"))&gt;0,"OBRA GRUESA",""),IF(SUMPRODUCT((BG287:CR287&lt;1)*(PARTIDAS!$I$2:$AT$2="SANITARIOS"))&gt;0,"SANITARIOS",""),IF(SUMPRODUCT((BG287:CR287&lt;1)*(PARTIDAS!$I$2:$AT$2="ELÉCTRICO"))&gt;0,"ELÉCTRICO",""),IF(SUMPRODUCT((BG287:CR287&lt;1)*(PARTIDAS!$I$2:$AT$2="TERMINACIONES"))&gt;0,"TERMINACIONES",""))</f>
        <v>OBRA GRUESA, SANITARIOS, ELÉCTRICO, TERMINACIONES</v>
      </c>
      <c r="CV287" s="44" cm="1">
        <f t="array" ref="CV287">SUMPRODUCT(--(BG287:CR287&lt;1))</f>
        <v>38</v>
      </c>
    </row>
    <row r="288" spans="1:100" hidden="1" x14ac:dyDescent="0.25">
      <c r="A288" t="s">
        <v>322</v>
      </c>
      <c r="B288" t="s">
        <v>353</v>
      </c>
      <c r="C288">
        <v>2302600287</v>
      </c>
      <c r="D288" t="s">
        <v>60</v>
      </c>
      <c r="E288" s="2">
        <v>0</v>
      </c>
      <c r="F288" s="1">
        <v>46287</v>
      </c>
      <c r="G288" s="1"/>
      <c r="H288" s="1">
        <v>0</v>
      </c>
      <c r="I288" s="1">
        <v>46317</v>
      </c>
      <c r="J288">
        <v>46230</v>
      </c>
      <c r="K288" s="1"/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>
        <v>31.32</v>
      </c>
      <c r="BF288" s="3" t="str">
        <f>+IF(AVANCE[[#This Row],[% AVANCE]]=100%,"MODULO TERMINADO",IF(AVANCE[[#This Row],[FECHA INICIO REAL]]="","MODULO NO INICIADO","PENDIENTE"))</f>
        <v>MODULO NO INICIADO</v>
      </c>
      <c r="BG288" s="3">
        <f>+IF(AVANCE[[#This Row],[VENTANAS]]=8.10810810810811%,100%,AVANCE[[#This Row],[VENTANAS]])</f>
        <v>0</v>
      </c>
      <c r="BH288" s="3">
        <f>+IF(AVANCE[[#This Row],[PISO]]=N$2,100%,AVANCE[[#This Row],[PISO]])</f>
        <v>0</v>
      </c>
      <c r="BI288" s="3">
        <f>+IF(AVANCE[[#This Row],[TABIQUES]]=O$2,100%,AVANCE[[#This Row],[TABIQUES]])</f>
        <v>0</v>
      </c>
      <c r="BJ288" s="3">
        <f>+IF(AVANCE[[#This Row],[MUROS]]=P$2,100%,AVANCE[[#This Row],[MUROS]])</f>
        <v>0</v>
      </c>
      <c r="BK288" s="3">
        <f>+IF(AVANCE[[#This Row],[CIELO]]=Q$2,100%,AVANCE[[#This Row],[CIELO]])</f>
        <v>0</v>
      </c>
      <c r="BL288" s="3">
        <f>+IF(AVANCE[[#This Row],[BALCÓN]]=R$2,100%,AVANCE[[#This Row],[BALCÓN]])</f>
        <v>0</v>
      </c>
      <c r="BM288" s="3">
        <f>+IF(AVANCE[[#This Row],[RED ALCANTARILLADO]]=U$2,100%,AVANCE[[#This Row],[RED ALCANTARILLADO]])</f>
        <v>0</v>
      </c>
      <c r="BN288" s="3">
        <f>+IF(AVANCE[[#This Row],[RED DE AGUA]]=V$2,100%,AVANCE[[#This Row],[RED DE AGUA]])</f>
        <v>0</v>
      </c>
      <c r="BO288" s="3">
        <f>+IF(AVANCE[[#This Row],[VENTILACIONES]]=W$2,100%,AVANCE[[#This Row],[VENTILACIONES]])</f>
        <v>0</v>
      </c>
      <c r="BP288" s="3">
        <f>+IF(AVANCE[[#This Row],[TINA]]=X$2,100%,AVANCE[[#This Row],[TINA]])</f>
        <v>0</v>
      </c>
      <c r="BQ288" s="3">
        <f>+IF(AVANCE[[#This Row],[WC]]=Y$2,100%,AVANCE[[#This Row],[WC]])</f>
        <v>0</v>
      </c>
      <c r="BR288" s="3">
        <f>+IF(AVANCE[[#This Row],[LAVAMANOS / LAVAPLATOS / LAVADERO]]=Z$2,100%,AVANCE[[#This Row],[LAVAMANOS / LAVAPLATOS / LAVADERO]])</f>
        <v>0</v>
      </c>
      <c r="BS288" s="3">
        <f>+IF(AVANCE[[#This Row],[CANALIZACIÓN]]=AC$2,100%,AVANCE[[#This Row],[CANALIZACIÓN]])</f>
        <v>0</v>
      </c>
      <c r="BT288" s="3">
        <f>+IF(AVANCE[[#This Row],[CABLEADO]]=AD$2,100%,AVANCE[[#This Row],[CABLEADO]])</f>
        <v>0</v>
      </c>
      <c r="BU288" s="3">
        <f>+IF(AVANCE[[#This Row],[ARTEFACTOS]]=AE$2,100%,AVANCE[[#This Row],[ARTEFACTOS]])</f>
        <v>0</v>
      </c>
      <c r="BV288" s="3">
        <f>+IF(AVANCE[[#This Row],[TABLERO]]=AF$2,100%,AVANCE[[#This Row],[TABLERO]])</f>
        <v>0</v>
      </c>
      <c r="BW288" s="3">
        <f>+IF(AVANCE[[#This Row],[CAJA PAU]]=AG$2,100%,AVANCE[[#This Row],[CAJA PAU]])</f>
        <v>0</v>
      </c>
      <c r="BX288" s="3">
        <f>+IF(AVANCE[[#This Row],[INSTALACION VINILICO]]=AJ$2,100%,AVANCE[[#This Row],[INSTALACION VINILICO]])</f>
        <v>0</v>
      </c>
      <c r="BY288" s="3">
        <f>+IF(AVANCE[[#This Row],[OSB CUBIERTA]]=AK$2,100%,AVANCE[[#This Row],[OSB CUBIERTA]])</f>
        <v>0</v>
      </c>
      <c r="BZ288" s="3">
        <f>+IF(AVANCE[[#This Row],[BARANDA BALCON]]=AL$2,100%,AVANCE[[#This Row],[BARANDA BALCON]])</f>
        <v>0</v>
      </c>
      <c r="CA288" s="3">
        <f>+IF(AVANCE[[#This Row],[OSB EXTERIOR]]=AM$2,100%,AVANCE[[#This Row],[OSB EXTERIOR]])</f>
        <v>0</v>
      </c>
      <c r="CB288" s="3">
        <f>+IF(AVANCE[[#This Row],[SMART PANEL]]=AN$2,100%,AVANCE[[#This Row],[SMART PANEL]])</f>
        <v>0</v>
      </c>
      <c r="CC288" s="3">
        <f>+IF(AVANCE[[#This Row],[PINTURA EXTERIOR]]=AO$2,100%,AVANCE[[#This Row],[PINTURA EXTERIOR]])</f>
        <v>0</v>
      </c>
      <c r="CD288" s="3">
        <f>+IF(AVANCE[[#This Row],[ZOCALOS LOGIA]]=AP$2,100%,AVANCE[[#This Row],[ZOCALOS LOGIA]])</f>
        <v>0</v>
      </c>
      <c r="CE288" s="3">
        <f>+IF(AVANCE[[#This Row],[MOLDURAS]]=AQ$2,100%,AVANCE[[#This Row],[MOLDURAS]])</f>
        <v>0</v>
      </c>
      <c r="CF288" s="3">
        <f>+IF(AVANCE[[#This Row],[PILASTREO]]=AR$2,100%,AVANCE[[#This Row],[PILASTREO]])</f>
        <v>0</v>
      </c>
      <c r="CG288" s="3">
        <f>+IF(AVANCE[[#This Row],[CELOSIAS]]=AS$2,100%,AVANCE[[#This Row],[CELOSIAS]])</f>
        <v>0</v>
      </c>
      <c r="CH288" s="3">
        <f>+IF(AVANCE[[#This Row],[VENTANAS]]=AT$2,100%,AVANCE[[#This Row],[VENTANAS]])</f>
        <v>0</v>
      </c>
      <c r="CI288" s="3">
        <f>+IF(AVANCE[[#This Row],[PUERTAS ACCESO - LOGIA - BANO]]=AU$2,100%,AVANCE[[#This Row],[PUERTAS ACCESO - LOGIA - BANO]])</f>
        <v>0</v>
      </c>
      <c r="CJ288" s="3">
        <f>+IF(AVANCE[[#This Row],[CERRADURAS]]=AV$2,100%,AVANCE[[#This Row],[CERRADURAS]])</f>
        <v>0</v>
      </c>
      <c r="CK288" s="3">
        <f>+IF(AVANCE[[#This Row],[REVESTIMIENTO INTERIOR ZONA SECA]]=AW$2,100%,AVANCE[[#This Row],[REVESTIMIENTO INTERIOR ZONA SECA]])</f>
        <v>0</v>
      </c>
      <c r="CL288" s="3">
        <f>+IF(AVANCE[[#This Row],[REVESTIMIENTO INTERIOR ZONAS HUMEDAS]]=AX$2,100%,AVANCE[[#This Row],[REVESTIMIENTO INTERIOR ZONAS HUMEDAS]])</f>
        <v>0</v>
      </c>
      <c r="CM288" s="3">
        <f>+IF(AVANCE[[#This Row],[MEMBRANA CIELO]]=AY$2,100%,AVANCE[[#This Row],[MEMBRANA CIELO]])</f>
        <v>0</v>
      </c>
      <c r="CN288" s="3">
        <f>+IF(AVANCE[[#This Row],[LIMPIEZA FINAL]]=AZ$2,100%,AVANCE[[#This Row],[LIMPIEZA FINAL]])</f>
        <v>0</v>
      </c>
      <c r="CO288" s="3">
        <f>+IF(AVANCE[[#This Row],[PUERTAS DORMITORIO]]=BA$2,100%,AVANCE[[#This Row],[PUERTAS DORMITORIO]])</f>
        <v>0</v>
      </c>
      <c r="CP288" s="3">
        <f>+IF(AVANCE[[#This Row],[REVESTIMIENTO INTERIOR BANO]]=BB$2,100%,AVANCE[[#This Row],[REVESTIMIENTO INTERIOR BANO]])</f>
        <v>0</v>
      </c>
      <c r="CQ288" s="3">
        <f>+IF(AVANCE[[#This Row],[MUEBLE LAVAPLATOS]]=BC$2,100%,AVANCE[[#This Row],[MUEBLE LAVAPLATOS]])</f>
        <v>0</v>
      </c>
      <c r="CR288" s="3">
        <f>+IF(AVANCE[[#This Row],[IMPERMEABILIZACION BANO - COCINA LOGIA]]=BD$2,100%,AVANCE[[#This Row],[IMPERMEABILIZACION BANO - COCINA LOGIA]])</f>
        <v>0</v>
      </c>
      <c r="CS288" s="40">
        <f ca="1">+IF(AVANCE[[#This Row],[ESTADO MODULO]]="PENDIENTE",(TODAY()-AVANCE[[#This Row],[FECHA TERMINO  PLANIFICADO]]),0)</f>
        <v>0</v>
      </c>
      <c r="CT288" s="41" t="str" cm="1">
        <f t="array" ref="CT288">_xlfn.TEXTJOIN(" | ",TRUE,IF(SUMPRODUCT((BG288:CR288&lt;1)*(PARTIDAS!$I$2:$AT$2="OBRA GRUESA"))&gt;0,"OBRA GRUESA: "&amp;_xlfn.TEXTJOIN(", ",TRUE,IF((BG288:CR288&lt;1)*(PARTIDAS!$I$2:$AT$2="OBRA GRUESA"),PARTIDAS!$I$1:$AT$1,"")),""),IF(SUMPRODUCT((BG288:CR288&lt;1)*(PARTIDAS!$I$2:$AT$2="SANITARIOS"))&gt;0,"SANITARIOS: "&amp;_xlfn.TEXTJOIN(", ",TRUE,IF((BG288:CR288&lt;1)*(PARTIDAS!$I$2:$AT$2="SANITARIOS"),PARTIDAS!$I$1:$AT$1,"")),""),IF(SUMPRODUCT((BG288:CR288&lt;1)*(PARTIDAS!$I$2:$AT$2="ELÉCTRICO"))&gt;0,"ELÉCTRICO: "&amp;_xlfn.TEXTJOIN(", ",TRUE,IF((BG288:CR288&lt;1)*(PARTIDAS!$I$2:$AT$2="ELÉCTRICO"),PARTIDAS!$I$1:$AT$1,"")),""),IF(SUMPRODUCT((BG288:CR288&lt;1)*(PARTIDAS!$I$2:$AT$2="TERMINACIONES"))&gt;0,"TERMINACIONES: "&amp;_xlfn.TEXTJOIN(", ",TRUE,IF((BG288:CR288&lt;1)*(PARTIDAS!$I$2:$AT$2="TERMINACIONES"),PARTIDAS!$I$1:$AT$1,"")),""))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8" s="43" t="str" cm="1">
        <f t="array" ref="CU288">_xlfn.TEXTJOIN(", ",TRUE,IF(SUMPRODUCT((BG288:CR288&lt;1)*(PARTIDAS!$I$2:$AT$2="OBRA GRUESA"))&gt;0,"OBRA GRUESA",""),IF(SUMPRODUCT((BG288:CR288&lt;1)*(PARTIDAS!$I$2:$AT$2="SANITARIOS"))&gt;0,"SANITARIOS",""),IF(SUMPRODUCT((BG288:CR288&lt;1)*(PARTIDAS!$I$2:$AT$2="ELÉCTRICO"))&gt;0,"ELÉCTRICO",""),IF(SUMPRODUCT((BG288:CR288&lt;1)*(PARTIDAS!$I$2:$AT$2="TERMINACIONES"))&gt;0,"TERMINACIONES",""))</f>
        <v>OBRA GRUESA, SANITARIOS, ELÉCTRICO, TERMINACIONES</v>
      </c>
      <c r="CV288" s="44" cm="1">
        <f t="array" ref="CV288">SUMPRODUCT(--(BG288:CR288&lt;1))</f>
        <v>38</v>
      </c>
    </row>
    <row r="289" spans="1:100" hidden="1" x14ac:dyDescent="0.25">
      <c r="A289" t="s">
        <v>322</v>
      </c>
      <c r="B289" t="s">
        <v>354</v>
      </c>
      <c r="C289">
        <v>2282600288</v>
      </c>
      <c r="D289" t="s">
        <v>58</v>
      </c>
      <c r="E289" s="2">
        <v>0</v>
      </c>
      <c r="F289" s="1">
        <v>46287</v>
      </c>
      <c r="G289" s="1"/>
      <c r="H289" s="1">
        <v>0</v>
      </c>
      <c r="I289" s="1">
        <v>46307</v>
      </c>
      <c r="J289">
        <v>46230</v>
      </c>
      <c r="K289" s="1"/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>
        <v>28.87</v>
      </c>
      <c r="BF289" s="3" t="str">
        <f>+IF(AVANCE[[#This Row],[% AVANCE]]=100%,"MODULO TERMINADO",IF(AVANCE[[#This Row],[FECHA INICIO REAL]]="","MODULO NO INICIADO","PENDIENTE"))</f>
        <v>MODULO NO INICIADO</v>
      </c>
      <c r="BG289" s="3">
        <f>+IF(AVANCE[[#This Row],[VENTANAS]]=8.10810810810811%,100%,AVANCE[[#This Row],[VENTANAS]])</f>
        <v>0</v>
      </c>
      <c r="BH289" s="3">
        <f>+IF(AVANCE[[#This Row],[PISO]]=N$2,100%,AVANCE[[#This Row],[PISO]])</f>
        <v>0</v>
      </c>
      <c r="BI289" s="3">
        <f>+IF(AVANCE[[#This Row],[TABIQUES]]=O$2,100%,AVANCE[[#This Row],[TABIQUES]])</f>
        <v>0</v>
      </c>
      <c r="BJ289" s="3">
        <f>+IF(AVANCE[[#This Row],[MUROS]]=P$2,100%,AVANCE[[#This Row],[MUROS]])</f>
        <v>0</v>
      </c>
      <c r="BK289" s="3">
        <f>+IF(AVANCE[[#This Row],[CIELO]]=Q$2,100%,AVANCE[[#This Row],[CIELO]])</f>
        <v>0</v>
      </c>
      <c r="BL289" s="3">
        <f>+IF(AVANCE[[#This Row],[BALCÓN]]=R$2,100%,AVANCE[[#This Row],[BALCÓN]])</f>
        <v>0</v>
      </c>
      <c r="BM289" s="3">
        <f>+IF(AVANCE[[#This Row],[RED ALCANTARILLADO]]=U$2,100%,AVANCE[[#This Row],[RED ALCANTARILLADO]])</f>
        <v>0</v>
      </c>
      <c r="BN289" s="3">
        <f>+IF(AVANCE[[#This Row],[RED DE AGUA]]=V$2,100%,AVANCE[[#This Row],[RED DE AGUA]])</f>
        <v>0</v>
      </c>
      <c r="BO289" s="3">
        <f>+IF(AVANCE[[#This Row],[VENTILACIONES]]=W$2,100%,AVANCE[[#This Row],[VENTILACIONES]])</f>
        <v>0</v>
      </c>
      <c r="BP289" s="3">
        <f>+IF(AVANCE[[#This Row],[TINA]]=X$2,100%,AVANCE[[#This Row],[TINA]])</f>
        <v>0</v>
      </c>
      <c r="BQ289" s="3">
        <f>+IF(AVANCE[[#This Row],[WC]]=Y$2,100%,AVANCE[[#This Row],[WC]])</f>
        <v>0</v>
      </c>
      <c r="BR289" s="3">
        <f>+IF(AVANCE[[#This Row],[LAVAMANOS / LAVAPLATOS / LAVADERO]]=Z$2,100%,AVANCE[[#This Row],[LAVAMANOS / LAVAPLATOS / LAVADERO]])</f>
        <v>0</v>
      </c>
      <c r="BS289" s="3">
        <f>+IF(AVANCE[[#This Row],[CANALIZACIÓN]]=AC$2,100%,AVANCE[[#This Row],[CANALIZACIÓN]])</f>
        <v>0</v>
      </c>
      <c r="BT289" s="3">
        <f>+IF(AVANCE[[#This Row],[CABLEADO]]=AD$2,100%,AVANCE[[#This Row],[CABLEADO]])</f>
        <v>0</v>
      </c>
      <c r="BU289" s="3">
        <f>+IF(AVANCE[[#This Row],[ARTEFACTOS]]=AE$2,100%,AVANCE[[#This Row],[ARTEFACTOS]])</f>
        <v>0</v>
      </c>
      <c r="BV289" s="3">
        <f>+IF(AVANCE[[#This Row],[TABLERO]]=AF$2,100%,AVANCE[[#This Row],[TABLERO]])</f>
        <v>0</v>
      </c>
      <c r="BW289" s="3">
        <f>+IF(AVANCE[[#This Row],[CAJA PAU]]=AG$2,100%,AVANCE[[#This Row],[CAJA PAU]])</f>
        <v>0</v>
      </c>
      <c r="BX289" s="3">
        <f>+IF(AVANCE[[#This Row],[INSTALACION VINILICO]]=AJ$2,100%,AVANCE[[#This Row],[INSTALACION VINILICO]])</f>
        <v>0</v>
      </c>
      <c r="BY289" s="3">
        <f>+IF(AVANCE[[#This Row],[OSB CUBIERTA]]=AK$2,100%,AVANCE[[#This Row],[OSB CUBIERTA]])</f>
        <v>0</v>
      </c>
      <c r="BZ289" s="3">
        <f>+IF(AVANCE[[#This Row],[BARANDA BALCON]]=AL$2,100%,AVANCE[[#This Row],[BARANDA BALCON]])</f>
        <v>0</v>
      </c>
      <c r="CA289" s="3">
        <f>+IF(AVANCE[[#This Row],[OSB EXTERIOR]]=AM$2,100%,AVANCE[[#This Row],[OSB EXTERIOR]])</f>
        <v>0</v>
      </c>
      <c r="CB289" s="3">
        <f>+IF(AVANCE[[#This Row],[SMART PANEL]]=AN$2,100%,AVANCE[[#This Row],[SMART PANEL]])</f>
        <v>0</v>
      </c>
      <c r="CC289" s="3">
        <f>+IF(AVANCE[[#This Row],[PINTURA EXTERIOR]]=AO$2,100%,AVANCE[[#This Row],[PINTURA EXTERIOR]])</f>
        <v>0</v>
      </c>
      <c r="CD289" s="3">
        <f>+IF(AVANCE[[#This Row],[ZOCALOS LOGIA]]=AP$2,100%,AVANCE[[#This Row],[ZOCALOS LOGIA]])</f>
        <v>0</v>
      </c>
      <c r="CE289" s="3">
        <f>+IF(AVANCE[[#This Row],[MOLDURAS]]=AQ$2,100%,AVANCE[[#This Row],[MOLDURAS]])</f>
        <v>0</v>
      </c>
      <c r="CF289" s="3">
        <f>+IF(AVANCE[[#This Row],[PILASTREO]]=AR$2,100%,AVANCE[[#This Row],[PILASTREO]])</f>
        <v>0</v>
      </c>
      <c r="CG289" s="3">
        <f>+IF(AVANCE[[#This Row],[CELOSIAS]]=AS$2,100%,AVANCE[[#This Row],[CELOSIAS]])</f>
        <v>0</v>
      </c>
      <c r="CH289" s="3">
        <f>+IF(AVANCE[[#This Row],[VENTANAS]]=AT$2,100%,AVANCE[[#This Row],[VENTANAS]])</f>
        <v>0</v>
      </c>
      <c r="CI289" s="3">
        <f>+IF(AVANCE[[#This Row],[PUERTAS ACCESO - LOGIA - BANO]]=AU$2,100%,AVANCE[[#This Row],[PUERTAS ACCESO - LOGIA - BANO]])</f>
        <v>0</v>
      </c>
      <c r="CJ289" s="3">
        <f>+IF(AVANCE[[#This Row],[CERRADURAS]]=AV$2,100%,AVANCE[[#This Row],[CERRADURAS]])</f>
        <v>0</v>
      </c>
      <c r="CK289" s="3">
        <f>+IF(AVANCE[[#This Row],[REVESTIMIENTO INTERIOR ZONA SECA]]=AW$2,100%,AVANCE[[#This Row],[REVESTIMIENTO INTERIOR ZONA SECA]])</f>
        <v>0</v>
      </c>
      <c r="CL289" s="3">
        <f>+IF(AVANCE[[#This Row],[REVESTIMIENTO INTERIOR ZONAS HUMEDAS]]=AX$2,100%,AVANCE[[#This Row],[REVESTIMIENTO INTERIOR ZONAS HUMEDAS]])</f>
        <v>0</v>
      </c>
      <c r="CM289" s="3">
        <f>+IF(AVANCE[[#This Row],[MEMBRANA CIELO]]=AY$2,100%,AVANCE[[#This Row],[MEMBRANA CIELO]])</f>
        <v>0</v>
      </c>
      <c r="CN289" s="3">
        <f>+IF(AVANCE[[#This Row],[LIMPIEZA FINAL]]=AZ$2,100%,AVANCE[[#This Row],[LIMPIEZA FINAL]])</f>
        <v>0</v>
      </c>
      <c r="CO289" s="3">
        <f>+IF(AVANCE[[#This Row],[PUERTAS DORMITORIO]]=BA$2,100%,AVANCE[[#This Row],[PUERTAS DORMITORIO]])</f>
        <v>0</v>
      </c>
      <c r="CP289" s="3">
        <f>+IF(AVANCE[[#This Row],[REVESTIMIENTO INTERIOR BANO]]=BB$2,100%,AVANCE[[#This Row],[REVESTIMIENTO INTERIOR BANO]])</f>
        <v>0</v>
      </c>
      <c r="CQ289" s="3">
        <f>+IF(AVANCE[[#This Row],[MUEBLE LAVAPLATOS]]=BC$2,100%,AVANCE[[#This Row],[MUEBLE LAVAPLATOS]])</f>
        <v>0</v>
      </c>
      <c r="CR289" s="3">
        <f>+IF(AVANCE[[#This Row],[IMPERMEABILIZACION BANO - COCINA LOGIA]]=BD$2,100%,AVANCE[[#This Row],[IMPERMEABILIZACION BANO - COCINA LOGIA]])</f>
        <v>0</v>
      </c>
      <c r="CS289" s="40">
        <f ca="1">+IF(AVANCE[[#This Row],[ESTADO MODULO]]="PENDIENTE",(TODAY()-AVANCE[[#This Row],[FECHA TERMINO  PLANIFICADO]]),0)</f>
        <v>0</v>
      </c>
      <c r="CT289" s="41" t="str" cm="1">
        <f t="array" ref="CT289">_xlfn.TEXTJOIN(" | ",TRUE,IF(SUMPRODUCT((BG289:CR289&lt;1)*(PARTIDAS!$I$2:$AT$2="OBRA GRUESA"))&gt;0,"OBRA GRUESA: "&amp;_xlfn.TEXTJOIN(", ",TRUE,IF((BG289:CR289&lt;1)*(PARTIDAS!$I$2:$AT$2="OBRA GRUESA"),PARTIDAS!$I$1:$AT$1,"")),""),IF(SUMPRODUCT((BG289:CR289&lt;1)*(PARTIDAS!$I$2:$AT$2="SANITARIOS"))&gt;0,"SANITARIOS: "&amp;_xlfn.TEXTJOIN(", ",TRUE,IF((BG289:CR289&lt;1)*(PARTIDAS!$I$2:$AT$2="SANITARIOS"),PARTIDAS!$I$1:$AT$1,"")),""),IF(SUMPRODUCT((BG289:CR289&lt;1)*(PARTIDAS!$I$2:$AT$2="ELÉCTRICO"))&gt;0,"ELÉCTRICO: "&amp;_xlfn.TEXTJOIN(", ",TRUE,IF((BG289:CR289&lt;1)*(PARTIDAS!$I$2:$AT$2="ELÉCTRICO"),PARTIDAS!$I$1:$AT$1,"")),""),IF(SUMPRODUCT((BG289:CR289&lt;1)*(PARTIDAS!$I$2:$AT$2="TERMINACIONES"))&gt;0,"TERMINACIONES: "&amp;_xlfn.TEXTJOIN(", ",TRUE,IF((BG289:CR289&lt;1)*(PARTIDAS!$I$2:$AT$2="TERMINACIONES"),PARTIDAS!$I$1:$AT$1,"")),""))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89" s="43" t="str" cm="1">
        <f t="array" ref="CU289">_xlfn.TEXTJOIN(", ",TRUE,IF(SUMPRODUCT((BG289:CR289&lt;1)*(PARTIDAS!$I$2:$AT$2="OBRA GRUESA"))&gt;0,"OBRA GRUESA",""),IF(SUMPRODUCT((BG289:CR289&lt;1)*(PARTIDAS!$I$2:$AT$2="SANITARIOS"))&gt;0,"SANITARIOS",""),IF(SUMPRODUCT((BG289:CR289&lt;1)*(PARTIDAS!$I$2:$AT$2="ELÉCTRICO"))&gt;0,"ELÉCTRICO",""),IF(SUMPRODUCT((BG289:CR289&lt;1)*(PARTIDAS!$I$2:$AT$2="TERMINACIONES"))&gt;0,"TERMINACIONES",""))</f>
        <v>OBRA GRUESA, SANITARIOS, ELÉCTRICO, TERMINACIONES</v>
      </c>
      <c r="CV289" s="44" cm="1">
        <f t="array" ref="CV289">SUMPRODUCT(--(BG289:CR289&lt;1))</f>
        <v>38</v>
      </c>
    </row>
    <row r="290" spans="1:100" hidden="1" x14ac:dyDescent="0.25">
      <c r="A290" t="s">
        <v>355</v>
      </c>
      <c r="B290" t="s">
        <v>356</v>
      </c>
      <c r="C290">
        <v>2282600289</v>
      </c>
      <c r="D290" t="s">
        <v>58</v>
      </c>
      <c r="E290" s="2">
        <v>0</v>
      </c>
      <c r="F290" s="1">
        <v>46287</v>
      </c>
      <c r="G290" s="1"/>
      <c r="H290" s="1">
        <v>0</v>
      </c>
      <c r="I290" s="1">
        <v>46307</v>
      </c>
      <c r="J290">
        <v>46230</v>
      </c>
      <c r="K290" s="1"/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>
        <v>28.87</v>
      </c>
      <c r="BF290" s="3" t="str">
        <f>+IF(AVANCE[[#This Row],[% AVANCE]]=100%,"MODULO TERMINADO",IF(AVANCE[[#This Row],[FECHA INICIO REAL]]="","MODULO NO INICIADO","PENDIENTE"))</f>
        <v>MODULO NO INICIADO</v>
      </c>
      <c r="BG290" s="3">
        <f>+IF(AVANCE[[#This Row],[VENTANAS]]=8.10810810810811%,100%,AVANCE[[#This Row],[VENTANAS]])</f>
        <v>0</v>
      </c>
      <c r="BH290" s="3">
        <f>+IF(AVANCE[[#This Row],[PISO]]=N$2,100%,AVANCE[[#This Row],[PISO]])</f>
        <v>0</v>
      </c>
      <c r="BI290" s="3">
        <f>+IF(AVANCE[[#This Row],[TABIQUES]]=O$2,100%,AVANCE[[#This Row],[TABIQUES]])</f>
        <v>0</v>
      </c>
      <c r="BJ290" s="3">
        <f>+IF(AVANCE[[#This Row],[MUROS]]=P$2,100%,AVANCE[[#This Row],[MUROS]])</f>
        <v>0</v>
      </c>
      <c r="BK290" s="3">
        <f>+IF(AVANCE[[#This Row],[CIELO]]=Q$2,100%,AVANCE[[#This Row],[CIELO]])</f>
        <v>0</v>
      </c>
      <c r="BL290" s="3">
        <f>+IF(AVANCE[[#This Row],[BALCÓN]]=R$2,100%,AVANCE[[#This Row],[BALCÓN]])</f>
        <v>0</v>
      </c>
      <c r="BM290" s="3">
        <f>+IF(AVANCE[[#This Row],[RED ALCANTARILLADO]]=U$2,100%,AVANCE[[#This Row],[RED ALCANTARILLADO]])</f>
        <v>0</v>
      </c>
      <c r="BN290" s="3">
        <f>+IF(AVANCE[[#This Row],[RED DE AGUA]]=V$2,100%,AVANCE[[#This Row],[RED DE AGUA]])</f>
        <v>0</v>
      </c>
      <c r="BO290" s="3">
        <f>+IF(AVANCE[[#This Row],[VENTILACIONES]]=W$2,100%,AVANCE[[#This Row],[VENTILACIONES]])</f>
        <v>0</v>
      </c>
      <c r="BP290" s="3">
        <f>+IF(AVANCE[[#This Row],[TINA]]=X$2,100%,AVANCE[[#This Row],[TINA]])</f>
        <v>0</v>
      </c>
      <c r="BQ290" s="3">
        <f>+IF(AVANCE[[#This Row],[WC]]=Y$2,100%,AVANCE[[#This Row],[WC]])</f>
        <v>0</v>
      </c>
      <c r="BR290" s="3">
        <f>+IF(AVANCE[[#This Row],[LAVAMANOS / LAVAPLATOS / LAVADERO]]=Z$2,100%,AVANCE[[#This Row],[LAVAMANOS / LAVAPLATOS / LAVADERO]])</f>
        <v>0</v>
      </c>
      <c r="BS290" s="3">
        <f>+IF(AVANCE[[#This Row],[CANALIZACIÓN]]=AC$2,100%,AVANCE[[#This Row],[CANALIZACIÓN]])</f>
        <v>0</v>
      </c>
      <c r="BT290" s="3">
        <f>+IF(AVANCE[[#This Row],[CABLEADO]]=AD$2,100%,AVANCE[[#This Row],[CABLEADO]])</f>
        <v>0</v>
      </c>
      <c r="BU290" s="3">
        <f>+IF(AVANCE[[#This Row],[ARTEFACTOS]]=AE$2,100%,AVANCE[[#This Row],[ARTEFACTOS]])</f>
        <v>0</v>
      </c>
      <c r="BV290" s="3">
        <f>+IF(AVANCE[[#This Row],[TABLERO]]=AF$2,100%,AVANCE[[#This Row],[TABLERO]])</f>
        <v>0</v>
      </c>
      <c r="BW290" s="3">
        <f>+IF(AVANCE[[#This Row],[CAJA PAU]]=AG$2,100%,AVANCE[[#This Row],[CAJA PAU]])</f>
        <v>0</v>
      </c>
      <c r="BX290" s="3">
        <f>+IF(AVANCE[[#This Row],[INSTALACION VINILICO]]=AJ$2,100%,AVANCE[[#This Row],[INSTALACION VINILICO]])</f>
        <v>0</v>
      </c>
      <c r="BY290" s="3">
        <f>+IF(AVANCE[[#This Row],[OSB CUBIERTA]]=AK$2,100%,AVANCE[[#This Row],[OSB CUBIERTA]])</f>
        <v>0</v>
      </c>
      <c r="BZ290" s="3">
        <f>+IF(AVANCE[[#This Row],[BARANDA BALCON]]=AL$2,100%,AVANCE[[#This Row],[BARANDA BALCON]])</f>
        <v>0</v>
      </c>
      <c r="CA290" s="3">
        <f>+IF(AVANCE[[#This Row],[OSB EXTERIOR]]=AM$2,100%,AVANCE[[#This Row],[OSB EXTERIOR]])</f>
        <v>0</v>
      </c>
      <c r="CB290" s="3">
        <f>+IF(AVANCE[[#This Row],[SMART PANEL]]=AN$2,100%,AVANCE[[#This Row],[SMART PANEL]])</f>
        <v>0</v>
      </c>
      <c r="CC290" s="3">
        <f>+IF(AVANCE[[#This Row],[PINTURA EXTERIOR]]=AO$2,100%,AVANCE[[#This Row],[PINTURA EXTERIOR]])</f>
        <v>0</v>
      </c>
      <c r="CD290" s="3">
        <f>+IF(AVANCE[[#This Row],[ZOCALOS LOGIA]]=AP$2,100%,AVANCE[[#This Row],[ZOCALOS LOGIA]])</f>
        <v>0</v>
      </c>
      <c r="CE290" s="3">
        <f>+IF(AVANCE[[#This Row],[MOLDURAS]]=AQ$2,100%,AVANCE[[#This Row],[MOLDURAS]])</f>
        <v>0</v>
      </c>
      <c r="CF290" s="3">
        <f>+IF(AVANCE[[#This Row],[PILASTREO]]=AR$2,100%,AVANCE[[#This Row],[PILASTREO]])</f>
        <v>0</v>
      </c>
      <c r="CG290" s="3">
        <f>+IF(AVANCE[[#This Row],[CELOSIAS]]=AS$2,100%,AVANCE[[#This Row],[CELOSIAS]])</f>
        <v>0</v>
      </c>
      <c r="CH290" s="3">
        <f>+IF(AVANCE[[#This Row],[VENTANAS]]=AT$2,100%,AVANCE[[#This Row],[VENTANAS]])</f>
        <v>0</v>
      </c>
      <c r="CI290" s="3">
        <f>+IF(AVANCE[[#This Row],[PUERTAS ACCESO - LOGIA - BANO]]=AU$2,100%,AVANCE[[#This Row],[PUERTAS ACCESO - LOGIA - BANO]])</f>
        <v>0</v>
      </c>
      <c r="CJ290" s="3">
        <f>+IF(AVANCE[[#This Row],[CERRADURAS]]=AV$2,100%,AVANCE[[#This Row],[CERRADURAS]])</f>
        <v>0</v>
      </c>
      <c r="CK290" s="3">
        <f>+IF(AVANCE[[#This Row],[REVESTIMIENTO INTERIOR ZONA SECA]]=AW$2,100%,AVANCE[[#This Row],[REVESTIMIENTO INTERIOR ZONA SECA]])</f>
        <v>0</v>
      </c>
      <c r="CL290" s="3">
        <f>+IF(AVANCE[[#This Row],[REVESTIMIENTO INTERIOR ZONAS HUMEDAS]]=AX$2,100%,AVANCE[[#This Row],[REVESTIMIENTO INTERIOR ZONAS HUMEDAS]])</f>
        <v>0</v>
      </c>
      <c r="CM290" s="3">
        <f>+IF(AVANCE[[#This Row],[MEMBRANA CIELO]]=AY$2,100%,AVANCE[[#This Row],[MEMBRANA CIELO]])</f>
        <v>0</v>
      </c>
      <c r="CN290" s="3">
        <f>+IF(AVANCE[[#This Row],[LIMPIEZA FINAL]]=AZ$2,100%,AVANCE[[#This Row],[LIMPIEZA FINAL]])</f>
        <v>0</v>
      </c>
      <c r="CO290" s="3">
        <f>+IF(AVANCE[[#This Row],[PUERTAS DORMITORIO]]=BA$2,100%,AVANCE[[#This Row],[PUERTAS DORMITORIO]])</f>
        <v>0</v>
      </c>
      <c r="CP290" s="3">
        <f>+IF(AVANCE[[#This Row],[REVESTIMIENTO INTERIOR BANO]]=BB$2,100%,AVANCE[[#This Row],[REVESTIMIENTO INTERIOR BANO]])</f>
        <v>0</v>
      </c>
      <c r="CQ290" s="3">
        <f>+IF(AVANCE[[#This Row],[MUEBLE LAVAPLATOS]]=BC$2,100%,AVANCE[[#This Row],[MUEBLE LAVAPLATOS]])</f>
        <v>0</v>
      </c>
      <c r="CR290" s="3">
        <f>+IF(AVANCE[[#This Row],[IMPERMEABILIZACION BANO - COCINA LOGIA]]=BD$2,100%,AVANCE[[#This Row],[IMPERMEABILIZACION BANO - COCINA LOGIA]])</f>
        <v>0</v>
      </c>
      <c r="CS290" s="40">
        <f ca="1">+IF(AVANCE[[#This Row],[ESTADO MODULO]]="PENDIENTE",(TODAY()-AVANCE[[#This Row],[FECHA TERMINO  PLANIFICADO]]),0)</f>
        <v>0</v>
      </c>
      <c r="CT290" s="41" t="str" cm="1">
        <f t="array" ref="CT290">_xlfn.TEXTJOIN(" | ",TRUE,IF(SUMPRODUCT((BG290:CR290&lt;1)*(PARTIDAS!$I$2:$AT$2="OBRA GRUESA"))&gt;0,"OBRA GRUESA: "&amp;_xlfn.TEXTJOIN(", ",TRUE,IF((BG290:CR290&lt;1)*(PARTIDAS!$I$2:$AT$2="OBRA GRUESA"),PARTIDAS!$I$1:$AT$1,"")),""),IF(SUMPRODUCT((BG290:CR290&lt;1)*(PARTIDAS!$I$2:$AT$2="SANITARIOS"))&gt;0,"SANITARIOS: "&amp;_xlfn.TEXTJOIN(", ",TRUE,IF((BG290:CR290&lt;1)*(PARTIDAS!$I$2:$AT$2="SANITARIOS"),PARTIDAS!$I$1:$AT$1,"")),""),IF(SUMPRODUCT((BG290:CR290&lt;1)*(PARTIDAS!$I$2:$AT$2="ELÉCTRICO"))&gt;0,"ELÉCTRICO: "&amp;_xlfn.TEXTJOIN(", ",TRUE,IF((BG290:CR290&lt;1)*(PARTIDAS!$I$2:$AT$2="ELÉCTRICO"),PARTIDAS!$I$1:$AT$1,"")),""),IF(SUMPRODUCT((BG290:CR290&lt;1)*(PARTIDAS!$I$2:$AT$2="TERMINACIONES"))&gt;0,"TERMINACIONES: "&amp;_xlfn.TEXTJOIN(", ",TRUE,IF((BG290:CR290&lt;1)*(PARTIDAS!$I$2:$AT$2="TERMINACIONES"),PARTIDAS!$I$1:$AT$1,"")),""))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0" s="43" t="str" cm="1">
        <f t="array" ref="CU290">_xlfn.TEXTJOIN(", ",TRUE,IF(SUMPRODUCT((BG290:CR290&lt;1)*(PARTIDAS!$I$2:$AT$2="OBRA GRUESA"))&gt;0,"OBRA GRUESA",""),IF(SUMPRODUCT((BG290:CR290&lt;1)*(PARTIDAS!$I$2:$AT$2="SANITARIOS"))&gt;0,"SANITARIOS",""),IF(SUMPRODUCT((BG290:CR290&lt;1)*(PARTIDAS!$I$2:$AT$2="ELÉCTRICO"))&gt;0,"ELÉCTRICO",""),IF(SUMPRODUCT((BG290:CR290&lt;1)*(PARTIDAS!$I$2:$AT$2="TERMINACIONES"))&gt;0,"TERMINACIONES",""))</f>
        <v>OBRA GRUESA, SANITARIOS, ELÉCTRICO, TERMINACIONES</v>
      </c>
      <c r="CV290" s="44" cm="1">
        <f t="array" ref="CV290">SUMPRODUCT(--(BG290:CR290&lt;1))</f>
        <v>38</v>
      </c>
    </row>
    <row r="291" spans="1:100" hidden="1" x14ac:dyDescent="0.25">
      <c r="A291" t="s">
        <v>355</v>
      </c>
      <c r="B291" t="s">
        <v>357</v>
      </c>
      <c r="C291">
        <v>2302600290</v>
      </c>
      <c r="D291" t="s">
        <v>60</v>
      </c>
      <c r="E291" s="2">
        <v>0</v>
      </c>
      <c r="F291" s="1">
        <v>46288</v>
      </c>
      <c r="G291" s="1"/>
      <c r="H291" s="1">
        <v>0</v>
      </c>
      <c r="I291" s="1">
        <v>46318</v>
      </c>
      <c r="J291">
        <v>46230</v>
      </c>
      <c r="K291" s="1"/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>
        <v>31.32</v>
      </c>
      <c r="BF291" s="3" t="str">
        <f>+IF(AVANCE[[#This Row],[% AVANCE]]=100%,"MODULO TERMINADO",IF(AVANCE[[#This Row],[FECHA INICIO REAL]]="","MODULO NO INICIADO","PENDIENTE"))</f>
        <v>MODULO NO INICIADO</v>
      </c>
      <c r="BG291" s="3">
        <f>+IF(AVANCE[[#This Row],[VENTANAS]]=8.10810810810811%,100%,AVANCE[[#This Row],[VENTANAS]])</f>
        <v>0</v>
      </c>
      <c r="BH291" s="3">
        <f>+IF(AVANCE[[#This Row],[PISO]]=N$2,100%,AVANCE[[#This Row],[PISO]])</f>
        <v>0</v>
      </c>
      <c r="BI291" s="3">
        <f>+IF(AVANCE[[#This Row],[TABIQUES]]=O$2,100%,AVANCE[[#This Row],[TABIQUES]])</f>
        <v>0</v>
      </c>
      <c r="BJ291" s="3">
        <f>+IF(AVANCE[[#This Row],[MUROS]]=P$2,100%,AVANCE[[#This Row],[MUROS]])</f>
        <v>0</v>
      </c>
      <c r="BK291" s="3">
        <f>+IF(AVANCE[[#This Row],[CIELO]]=Q$2,100%,AVANCE[[#This Row],[CIELO]])</f>
        <v>0</v>
      </c>
      <c r="BL291" s="3">
        <f>+IF(AVANCE[[#This Row],[BALCÓN]]=R$2,100%,AVANCE[[#This Row],[BALCÓN]])</f>
        <v>0</v>
      </c>
      <c r="BM291" s="3">
        <f>+IF(AVANCE[[#This Row],[RED ALCANTARILLADO]]=U$2,100%,AVANCE[[#This Row],[RED ALCANTARILLADO]])</f>
        <v>0</v>
      </c>
      <c r="BN291" s="3">
        <f>+IF(AVANCE[[#This Row],[RED DE AGUA]]=V$2,100%,AVANCE[[#This Row],[RED DE AGUA]])</f>
        <v>0</v>
      </c>
      <c r="BO291" s="3">
        <f>+IF(AVANCE[[#This Row],[VENTILACIONES]]=W$2,100%,AVANCE[[#This Row],[VENTILACIONES]])</f>
        <v>0</v>
      </c>
      <c r="BP291" s="3">
        <f>+IF(AVANCE[[#This Row],[TINA]]=X$2,100%,AVANCE[[#This Row],[TINA]])</f>
        <v>0</v>
      </c>
      <c r="BQ291" s="3">
        <f>+IF(AVANCE[[#This Row],[WC]]=Y$2,100%,AVANCE[[#This Row],[WC]])</f>
        <v>0</v>
      </c>
      <c r="BR291" s="3">
        <f>+IF(AVANCE[[#This Row],[LAVAMANOS / LAVAPLATOS / LAVADERO]]=Z$2,100%,AVANCE[[#This Row],[LAVAMANOS / LAVAPLATOS / LAVADERO]])</f>
        <v>0</v>
      </c>
      <c r="BS291" s="3">
        <f>+IF(AVANCE[[#This Row],[CANALIZACIÓN]]=AC$2,100%,AVANCE[[#This Row],[CANALIZACIÓN]])</f>
        <v>0</v>
      </c>
      <c r="BT291" s="3">
        <f>+IF(AVANCE[[#This Row],[CABLEADO]]=AD$2,100%,AVANCE[[#This Row],[CABLEADO]])</f>
        <v>0</v>
      </c>
      <c r="BU291" s="3">
        <f>+IF(AVANCE[[#This Row],[ARTEFACTOS]]=AE$2,100%,AVANCE[[#This Row],[ARTEFACTOS]])</f>
        <v>0</v>
      </c>
      <c r="BV291" s="3">
        <f>+IF(AVANCE[[#This Row],[TABLERO]]=AF$2,100%,AVANCE[[#This Row],[TABLERO]])</f>
        <v>0</v>
      </c>
      <c r="BW291" s="3">
        <f>+IF(AVANCE[[#This Row],[CAJA PAU]]=AG$2,100%,AVANCE[[#This Row],[CAJA PAU]])</f>
        <v>0</v>
      </c>
      <c r="BX291" s="3">
        <f>+IF(AVANCE[[#This Row],[INSTALACION VINILICO]]=AJ$2,100%,AVANCE[[#This Row],[INSTALACION VINILICO]])</f>
        <v>0</v>
      </c>
      <c r="BY291" s="3">
        <f>+IF(AVANCE[[#This Row],[OSB CUBIERTA]]=AK$2,100%,AVANCE[[#This Row],[OSB CUBIERTA]])</f>
        <v>0</v>
      </c>
      <c r="BZ291" s="3">
        <f>+IF(AVANCE[[#This Row],[BARANDA BALCON]]=AL$2,100%,AVANCE[[#This Row],[BARANDA BALCON]])</f>
        <v>0</v>
      </c>
      <c r="CA291" s="3">
        <f>+IF(AVANCE[[#This Row],[OSB EXTERIOR]]=AM$2,100%,AVANCE[[#This Row],[OSB EXTERIOR]])</f>
        <v>0</v>
      </c>
      <c r="CB291" s="3">
        <f>+IF(AVANCE[[#This Row],[SMART PANEL]]=AN$2,100%,AVANCE[[#This Row],[SMART PANEL]])</f>
        <v>0</v>
      </c>
      <c r="CC291" s="3">
        <f>+IF(AVANCE[[#This Row],[PINTURA EXTERIOR]]=AO$2,100%,AVANCE[[#This Row],[PINTURA EXTERIOR]])</f>
        <v>0</v>
      </c>
      <c r="CD291" s="3">
        <f>+IF(AVANCE[[#This Row],[ZOCALOS LOGIA]]=AP$2,100%,AVANCE[[#This Row],[ZOCALOS LOGIA]])</f>
        <v>0</v>
      </c>
      <c r="CE291" s="3">
        <f>+IF(AVANCE[[#This Row],[MOLDURAS]]=AQ$2,100%,AVANCE[[#This Row],[MOLDURAS]])</f>
        <v>0</v>
      </c>
      <c r="CF291" s="3">
        <f>+IF(AVANCE[[#This Row],[PILASTREO]]=AR$2,100%,AVANCE[[#This Row],[PILASTREO]])</f>
        <v>0</v>
      </c>
      <c r="CG291" s="3">
        <f>+IF(AVANCE[[#This Row],[CELOSIAS]]=AS$2,100%,AVANCE[[#This Row],[CELOSIAS]])</f>
        <v>0</v>
      </c>
      <c r="CH291" s="3">
        <f>+IF(AVANCE[[#This Row],[VENTANAS]]=AT$2,100%,AVANCE[[#This Row],[VENTANAS]])</f>
        <v>0</v>
      </c>
      <c r="CI291" s="3">
        <f>+IF(AVANCE[[#This Row],[PUERTAS ACCESO - LOGIA - BANO]]=AU$2,100%,AVANCE[[#This Row],[PUERTAS ACCESO - LOGIA - BANO]])</f>
        <v>0</v>
      </c>
      <c r="CJ291" s="3">
        <f>+IF(AVANCE[[#This Row],[CERRADURAS]]=AV$2,100%,AVANCE[[#This Row],[CERRADURAS]])</f>
        <v>0</v>
      </c>
      <c r="CK291" s="3">
        <f>+IF(AVANCE[[#This Row],[REVESTIMIENTO INTERIOR ZONA SECA]]=AW$2,100%,AVANCE[[#This Row],[REVESTIMIENTO INTERIOR ZONA SECA]])</f>
        <v>0</v>
      </c>
      <c r="CL291" s="3">
        <f>+IF(AVANCE[[#This Row],[REVESTIMIENTO INTERIOR ZONAS HUMEDAS]]=AX$2,100%,AVANCE[[#This Row],[REVESTIMIENTO INTERIOR ZONAS HUMEDAS]])</f>
        <v>0</v>
      </c>
      <c r="CM291" s="3">
        <f>+IF(AVANCE[[#This Row],[MEMBRANA CIELO]]=AY$2,100%,AVANCE[[#This Row],[MEMBRANA CIELO]])</f>
        <v>0</v>
      </c>
      <c r="CN291" s="3">
        <f>+IF(AVANCE[[#This Row],[LIMPIEZA FINAL]]=AZ$2,100%,AVANCE[[#This Row],[LIMPIEZA FINAL]])</f>
        <v>0</v>
      </c>
      <c r="CO291" s="3">
        <f>+IF(AVANCE[[#This Row],[PUERTAS DORMITORIO]]=BA$2,100%,AVANCE[[#This Row],[PUERTAS DORMITORIO]])</f>
        <v>0</v>
      </c>
      <c r="CP291" s="3">
        <f>+IF(AVANCE[[#This Row],[REVESTIMIENTO INTERIOR BANO]]=BB$2,100%,AVANCE[[#This Row],[REVESTIMIENTO INTERIOR BANO]])</f>
        <v>0</v>
      </c>
      <c r="CQ291" s="3">
        <f>+IF(AVANCE[[#This Row],[MUEBLE LAVAPLATOS]]=BC$2,100%,AVANCE[[#This Row],[MUEBLE LAVAPLATOS]])</f>
        <v>0</v>
      </c>
      <c r="CR291" s="3">
        <f>+IF(AVANCE[[#This Row],[IMPERMEABILIZACION BANO - COCINA LOGIA]]=BD$2,100%,AVANCE[[#This Row],[IMPERMEABILIZACION BANO - COCINA LOGIA]])</f>
        <v>0</v>
      </c>
      <c r="CS291" s="40">
        <f ca="1">+IF(AVANCE[[#This Row],[ESTADO MODULO]]="PENDIENTE",(TODAY()-AVANCE[[#This Row],[FECHA TERMINO  PLANIFICADO]]),0)</f>
        <v>0</v>
      </c>
      <c r="CT291" s="41" t="str" cm="1">
        <f t="array" ref="CT291">_xlfn.TEXTJOIN(" | ",TRUE,IF(SUMPRODUCT((BG291:CR291&lt;1)*(PARTIDAS!$I$2:$AT$2="OBRA GRUESA"))&gt;0,"OBRA GRUESA: "&amp;_xlfn.TEXTJOIN(", ",TRUE,IF((BG291:CR291&lt;1)*(PARTIDAS!$I$2:$AT$2="OBRA GRUESA"),PARTIDAS!$I$1:$AT$1,"")),""),IF(SUMPRODUCT((BG291:CR291&lt;1)*(PARTIDAS!$I$2:$AT$2="SANITARIOS"))&gt;0,"SANITARIOS: "&amp;_xlfn.TEXTJOIN(", ",TRUE,IF((BG291:CR291&lt;1)*(PARTIDAS!$I$2:$AT$2="SANITARIOS"),PARTIDAS!$I$1:$AT$1,"")),""),IF(SUMPRODUCT((BG291:CR291&lt;1)*(PARTIDAS!$I$2:$AT$2="ELÉCTRICO"))&gt;0,"ELÉCTRICO: "&amp;_xlfn.TEXTJOIN(", ",TRUE,IF((BG291:CR291&lt;1)*(PARTIDAS!$I$2:$AT$2="ELÉCTRICO"),PARTIDAS!$I$1:$AT$1,"")),""),IF(SUMPRODUCT((BG291:CR291&lt;1)*(PARTIDAS!$I$2:$AT$2="TERMINACIONES"))&gt;0,"TERMINACIONES: "&amp;_xlfn.TEXTJOIN(", ",TRUE,IF((BG291:CR291&lt;1)*(PARTIDAS!$I$2:$AT$2="TERMINACIONES"),PARTIDAS!$I$1:$AT$1,"")),""))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1" s="43" t="str" cm="1">
        <f t="array" ref="CU291">_xlfn.TEXTJOIN(", ",TRUE,IF(SUMPRODUCT((BG291:CR291&lt;1)*(PARTIDAS!$I$2:$AT$2="OBRA GRUESA"))&gt;0,"OBRA GRUESA",""),IF(SUMPRODUCT((BG291:CR291&lt;1)*(PARTIDAS!$I$2:$AT$2="SANITARIOS"))&gt;0,"SANITARIOS",""),IF(SUMPRODUCT((BG291:CR291&lt;1)*(PARTIDAS!$I$2:$AT$2="ELÉCTRICO"))&gt;0,"ELÉCTRICO",""),IF(SUMPRODUCT((BG291:CR291&lt;1)*(PARTIDAS!$I$2:$AT$2="TERMINACIONES"))&gt;0,"TERMINACIONES",""))</f>
        <v>OBRA GRUESA, SANITARIOS, ELÉCTRICO, TERMINACIONES</v>
      </c>
      <c r="CV291" s="44" cm="1">
        <f t="array" ref="CV291">SUMPRODUCT(--(BG291:CR291&lt;1))</f>
        <v>38</v>
      </c>
    </row>
    <row r="292" spans="1:100" hidden="1" x14ac:dyDescent="0.25">
      <c r="A292" t="s">
        <v>355</v>
      </c>
      <c r="B292" t="s">
        <v>358</v>
      </c>
      <c r="C292">
        <v>2302600291</v>
      </c>
      <c r="D292" t="s">
        <v>60</v>
      </c>
      <c r="E292" s="2">
        <v>0</v>
      </c>
      <c r="F292" s="1">
        <v>46288</v>
      </c>
      <c r="G292" s="1"/>
      <c r="H292" s="1">
        <v>0</v>
      </c>
      <c r="I292" s="1">
        <v>46318</v>
      </c>
      <c r="J292">
        <v>46230</v>
      </c>
      <c r="K292" s="1"/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>
        <v>31.32</v>
      </c>
      <c r="BF292" s="3" t="str">
        <f>+IF(AVANCE[[#This Row],[% AVANCE]]=100%,"MODULO TERMINADO",IF(AVANCE[[#This Row],[FECHA INICIO REAL]]="","MODULO NO INICIADO","PENDIENTE"))</f>
        <v>MODULO NO INICIADO</v>
      </c>
      <c r="BG292" s="3">
        <f>+IF(AVANCE[[#This Row],[VENTANAS]]=8.10810810810811%,100%,AVANCE[[#This Row],[VENTANAS]])</f>
        <v>0</v>
      </c>
      <c r="BH292" s="3">
        <f>+IF(AVANCE[[#This Row],[PISO]]=N$2,100%,AVANCE[[#This Row],[PISO]])</f>
        <v>0</v>
      </c>
      <c r="BI292" s="3">
        <f>+IF(AVANCE[[#This Row],[TABIQUES]]=O$2,100%,AVANCE[[#This Row],[TABIQUES]])</f>
        <v>0</v>
      </c>
      <c r="BJ292" s="3">
        <f>+IF(AVANCE[[#This Row],[MUROS]]=P$2,100%,AVANCE[[#This Row],[MUROS]])</f>
        <v>0</v>
      </c>
      <c r="BK292" s="3">
        <f>+IF(AVANCE[[#This Row],[CIELO]]=Q$2,100%,AVANCE[[#This Row],[CIELO]])</f>
        <v>0</v>
      </c>
      <c r="BL292" s="3">
        <f>+IF(AVANCE[[#This Row],[BALCÓN]]=R$2,100%,AVANCE[[#This Row],[BALCÓN]])</f>
        <v>0</v>
      </c>
      <c r="BM292" s="3">
        <f>+IF(AVANCE[[#This Row],[RED ALCANTARILLADO]]=U$2,100%,AVANCE[[#This Row],[RED ALCANTARILLADO]])</f>
        <v>0</v>
      </c>
      <c r="BN292" s="3">
        <f>+IF(AVANCE[[#This Row],[RED DE AGUA]]=V$2,100%,AVANCE[[#This Row],[RED DE AGUA]])</f>
        <v>0</v>
      </c>
      <c r="BO292" s="3">
        <f>+IF(AVANCE[[#This Row],[VENTILACIONES]]=W$2,100%,AVANCE[[#This Row],[VENTILACIONES]])</f>
        <v>0</v>
      </c>
      <c r="BP292" s="3">
        <f>+IF(AVANCE[[#This Row],[TINA]]=X$2,100%,AVANCE[[#This Row],[TINA]])</f>
        <v>0</v>
      </c>
      <c r="BQ292" s="3">
        <f>+IF(AVANCE[[#This Row],[WC]]=Y$2,100%,AVANCE[[#This Row],[WC]])</f>
        <v>0</v>
      </c>
      <c r="BR292" s="3">
        <f>+IF(AVANCE[[#This Row],[LAVAMANOS / LAVAPLATOS / LAVADERO]]=Z$2,100%,AVANCE[[#This Row],[LAVAMANOS / LAVAPLATOS / LAVADERO]])</f>
        <v>0</v>
      </c>
      <c r="BS292" s="3">
        <f>+IF(AVANCE[[#This Row],[CANALIZACIÓN]]=AC$2,100%,AVANCE[[#This Row],[CANALIZACIÓN]])</f>
        <v>0</v>
      </c>
      <c r="BT292" s="3">
        <f>+IF(AVANCE[[#This Row],[CABLEADO]]=AD$2,100%,AVANCE[[#This Row],[CABLEADO]])</f>
        <v>0</v>
      </c>
      <c r="BU292" s="3">
        <f>+IF(AVANCE[[#This Row],[ARTEFACTOS]]=AE$2,100%,AVANCE[[#This Row],[ARTEFACTOS]])</f>
        <v>0</v>
      </c>
      <c r="BV292" s="3">
        <f>+IF(AVANCE[[#This Row],[TABLERO]]=AF$2,100%,AVANCE[[#This Row],[TABLERO]])</f>
        <v>0</v>
      </c>
      <c r="BW292" s="3">
        <f>+IF(AVANCE[[#This Row],[CAJA PAU]]=AG$2,100%,AVANCE[[#This Row],[CAJA PAU]])</f>
        <v>0</v>
      </c>
      <c r="BX292" s="3">
        <f>+IF(AVANCE[[#This Row],[INSTALACION VINILICO]]=AJ$2,100%,AVANCE[[#This Row],[INSTALACION VINILICO]])</f>
        <v>0</v>
      </c>
      <c r="BY292" s="3">
        <f>+IF(AVANCE[[#This Row],[OSB CUBIERTA]]=AK$2,100%,AVANCE[[#This Row],[OSB CUBIERTA]])</f>
        <v>0</v>
      </c>
      <c r="BZ292" s="3">
        <f>+IF(AVANCE[[#This Row],[BARANDA BALCON]]=AL$2,100%,AVANCE[[#This Row],[BARANDA BALCON]])</f>
        <v>0</v>
      </c>
      <c r="CA292" s="3">
        <f>+IF(AVANCE[[#This Row],[OSB EXTERIOR]]=AM$2,100%,AVANCE[[#This Row],[OSB EXTERIOR]])</f>
        <v>0</v>
      </c>
      <c r="CB292" s="3">
        <f>+IF(AVANCE[[#This Row],[SMART PANEL]]=AN$2,100%,AVANCE[[#This Row],[SMART PANEL]])</f>
        <v>0</v>
      </c>
      <c r="CC292" s="3">
        <f>+IF(AVANCE[[#This Row],[PINTURA EXTERIOR]]=AO$2,100%,AVANCE[[#This Row],[PINTURA EXTERIOR]])</f>
        <v>0</v>
      </c>
      <c r="CD292" s="3">
        <f>+IF(AVANCE[[#This Row],[ZOCALOS LOGIA]]=AP$2,100%,AVANCE[[#This Row],[ZOCALOS LOGIA]])</f>
        <v>0</v>
      </c>
      <c r="CE292" s="3">
        <f>+IF(AVANCE[[#This Row],[MOLDURAS]]=AQ$2,100%,AVANCE[[#This Row],[MOLDURAS]])</f>
        <v>0</v>
      </c>
      <c r="CF292" s="3">
        <f>+IF(AVANCE[[#This Row],[PILASTREO]]=AR$2,100%,AVANCE[[#This Row],[PILASTREO]])</f>
        <v>0</v>
      </c>
      <c r="CG292" s="3">
        <f>+IF(AVANCE[[#This Row],[CELOSIAS]]=AS$2,100%,AVANCE[[#This Row],[CELOSIAS]])</f>
        <v>0</v>
      </c>
      <c r="CH292" s="3">
        <f>+IF(AVANCE[[#This Row],[VENTANAS]]=AT$2,100%,AVANCE[[#This Row],[VENTANAS]])</f>
        <v>0</v>
      </c>
      <c r="CI292" s="3">
        <f>+IF(AVANCE[[#This Row],[PUERTAS ACCESO - LOGIA - BANO]]=AU$2,100%,AVANCE[[#This Row],[PUERTAS ACCESO - LOGIA - BANO]])</f>
        <v>0</v>
      </c>
      <c r="CJ292" s="3">
        <f>+IF(AVANCE[[#This Row],[CERRADURAS]]=AV$2,100%,AVANCE[[#This Row],[CERRADURAS]])</f>
        <v>0</v>
      </c>
      <c r="CK292" s="3">
        <f>+IF(AVANCE[[#This Row],[REVESTIMIENTO INTERIOR ZONA SECA]]=AW$2,100%,AVANCE[[#This Row],[REVESTIMIENTO INTERIOR ZONA SECA]])</f>
        <v>0</v>
      </c>
      <c r="CL292" s="3">
        <f>+IF(AVANCE[[#This Row],[REVESTIMIENTO INTERIOR ZONAS HUMEDAS]]=AX$2,100%,AVANCE[[#This Row],[REVESTIMIENTO INTERIOR ZONAS HUMEDAS]])</f>
        <v>0</v>
      </c>
      <c r="CM292" s="3">
        <f>+IF(AVANCE[[#This Row],[MEMBRANA CIELO]]=AY$2,100%,AVANCE[[#This Row],[MEMBRANA CIELO]])</f>
        <v>0</v>
      </c>
      <c r="CN292" s="3">
        <f>+IF(AVANCE[[#This Row],[LIMPIEZA FINAL]]=AZ$2,100%,AVANCE[[#This Row],[LIMPIEZA FINAL]])</f>
        <v>0</v>
      </c>
      <c r="CO292" s="3">
        <f>+IF(AVANCE[[#This Row],[PUERTAS DORMITORIO]]=BA$2,100%,AVANCE[[#This Row],[PUERTAS DORMITORIO]])</f>
        <v>0</v>
      </c>
      <c r="CP292" s="3">
        <f>+IF(AVANCE[[#This Row],[REVESTIMIENTO INTERIOR BANO]]=BB$2,100%,AVANCE[[#This Row],[REVESTIMIENTO INTERIOR BANO]])</f>
        <v>0</v>
      </c>
      <c r="CQ292" s="3">
        <f>+IF(AVANCE[[#This Row],[MUEBLE LAVAPLATOS]]=BC$2,100%,AVANCE[[#This Row],[MUEBLE LAVAPLATOS]])</f>
        <v>0</v>
      </c>
      <c r="CR292" s="3">
        <f>+IF(AVANCE[[#This Row],[IMPERMEABILIZACION BANO - COCINA LOGIA]]=BD$2,100%,AVANCE[[#This Row],[IMPERMEABILIZACION BANO - COCINA LOGIA]])</f>
        <v>0</v>
      </c>
      <c r="CS292" s="40">
        <f ca="1">+IF(AVANCE[[#This Row],[ESTADO MODULO]]="PENDIENTE",(TODAY()-AVANCE[[#This Row],[FECHA TERMINO  PLANIFICADO]]),0)</f>
        <v>0</v>
      </c>
      <c r="CT292" s="41" t="str" cm="1">
        <f t="array" ref="CT292">_xlfn.TEXTJOIN(" | ",TRUE,IF(SUMPRODUCT((BG292:CR292&lt;1)*(PARTIDAS!$I$2:$AT$2="OBRA GRUESA"))&gt;0,"OBRA GRUESA: "&amp;_xlfn.TEXTJOIN(", ",TRUE,IF((BG292:CR292&lt;1)*(PARTIDAS!$I$2:$AT$2="OBRA GRUESA"),PARTIDAS!$I$1:$AT$1,"")),""),IF(SUMPRODUCT((BG292:CR292&lt;1)*(PARTIDAS!$I$2:$AT$2="SANITARIOS"))&gt;0,"SANITARIOS: "&amp;_xlfn.TEXTJOIN(", ",TRUE,IF((BG292:CR292&lt;1)*(PARTIDAS!$I$2:$AT$2="SANITARIOS"),PARTIDAS!$I$1:$AT$1,"")),""),IF(SUMPRODUCT((BG292:CR292&lt;1)*(PARTIDAS!$I$2:$AT$2="ELÉCTRICO"))&gt;0,"ELÉCTRICO: "&amp;_xlfn.TEXTJOIN(", ",TRUE,IF((BG292:CR292&lt;1)*(PARTIDAS!$I$2:$AT$2="ELÉCTRICO"),PARTIDAS!$I$1:$AT$1,"")),""),IF(SUMPRODUCT((BG292:CR292&lt;1)*(PARTIDAS!$I$2:$AT$2="TERMINACIONES"))&gt;0,"TERMINACIONES: "&amp;_xlfn.TEXTJOIN(", ",TRUE,IF((BG292:CR292&lt;1)*(PARTIDAS!$I$2:$AT$2="TERMINACIONES"),PARTIDAS!$I$1:$AT$1,"")),""))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2" s="43" t="str" cm="1">
        <f t="array" ref="CU292">_xlfn.TEXTJOIN(", ",TRUE,IF(SUMPRODUCT((BG292:CR292&lt;1)*(PARTIDAS!$I$2:$AT$2="OBRA GRUESA"))&gt;0,"OBRA GRUESA",""),IF(SUMPRODUCT((BG292:CR292&lt;1)*(PARTIDAS!$I$2:$AT$2="SANITARIOS"))&gt;0,"SANITARIOS",""),IF(SUMPRODUCT((BG292:CR292&lt;1)*(PARTIDAS!$I$2:$AT$2="ELÉCTRICO"))&gt;0,"ELÉCTRICO",""),IF(SUMPRODUCT((BG292:CR292&lt;1)*(PARTIDAS!$I$2:$AT$2="TERMINACIONES"))&gt;0,"TERMINACIONES",""))</f>
        <v>OBRA GRUESA, SANITARIOS, ELÉCTRICO, TERMINACIONES</v>
      </c>
      <c r="CV292" s="44" cm="1">
        <f t="array" ref="CV292">SUMPRODUCT(--(BG292:CR292&lt;1))</f>
        <v>38</v>
      </c>
    </row>
    <row r="293" spans="1:100" hidden="1" x14ac:dyDescent="0.25">
      <c r="A293" t="s">
        <v>355</v>
      </c>
      <c r="B293" t="s">
        <v>359</v>
      </c>
      <c r="C293">
        <v>2282600292</v>
      </c>
      <c r="D293" t="s">
        <v>58</v>
      </c>
      <c r="E293" s="2">
        <v>0</v>
      </c>
      <c r="F293" s="1">
        <v>46288</v>
      </c>
      <c r="G293" s="1"/>
      <c r="H293" s="1">
        <v>0</v>
      </c>
      <c r="I293" s="1">
        <v>46308</v>
      </c>
      <c r="J293">
        <v>46230</v>
      </c>
      <c r="K293" s="1"/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>
        <v>28.87</v>
      </c>
      <c r="BF293" s="3" t="str">
        <f>+IF(AVANCE[[#This Row],[% AVANCE]]=100%,"MODULO TERMINADO",IF(AVANCE[[#This Row],[FECHA INICIO REAL]]="","MODULO NO INICIADO","PENDIENTE"))</f>
        <v>MODULO NO INICIADO</v>
      </c>
      <c r="BG293" s="3">
        <f>+IF(AVANCE[[#This Row],[VENTANAS]]=8.10810810810811%,100%,AVANCE[[#This Row],[VENTANAS]])</f>
        <v>0</v>
      </c>
      <c r="BH293" s="3">
        <f>+IF(AVANCE[[#This Row],[PISO]]=N$2,100%,AVANCE[[#This Row],[PISO]])</f>
        <v>0</v>
      </c>
      <c r="BI293" s="3">
        <f>+IF(AVANCE[[#This Row],[TABIQUES]]=O$2,100%,AVANCE[[#This Row],[TABIQUES]])</f>
        <v>0</v>
      </c>
      <c r="BJ293" s="3">
        <f>+IF(AVANCE[[#This Row],[MUROS]]=P$2,100%,AVANCE[[#This Row],[MUROS]])</f>
        <v>0</v>
      </c>
      <c r="BK293" s="3">
        <f>+IF(AVANCE[[#This Row],[CIELO]]=Q$2,100%,AVANCE[[#This Row],[CIELO]])</f>
        <v>0</v>
      </c>
      <c r="BL293" s="3">
        <f>+IF(AVANCE[[#This Row],[BALCÓN]]=R$2,100%,AVANCE[[#This Row],[BALCÓN]])</f>
        <v>0</v>
      </c>
      <c r="BM293" s="3">
        <f>+IF(AVANCE[[#This Row],[RED ALCANTARILLADO]]=U$2,100%,AVANCE[[#This Row],[RED ALCANTARILLADO]])</f>
        <v>0</v>
      </c>
      <c r="BN293" s="3">
        <f>+IF(AVANCE[[#This Row],[RED DE AGUA]]=V$2,100%,AVANCE[[#This Row],[RED DE AGUA]])</f>
        <v>0</v>
      </c>
      <c r="BO293" s="3">
        <f>+IF(AVANCE[[#This Row],[VENTILACIONES]]=W$2,100%,AVANCE[[#This Row],[VENTILACIONES]])</f>
        <v>0</v>
      </c>
      <c r="BP293" s="3">
        <f>+IF(AVANCE[[#This Row],[TINA]]=X$2,100%,AVANCE[[#This Row],[TINA]])</f>
        <v>0</v>
      </c>
      <c r="BQ293" s="3">
        <f>+IF(AVANCE[[#This Row],[WC]]=Y$2,100%,AVANCE[[#This Row],[WC]])</f>
        <v>0</v>
      </c>
      <c r="BR293" s="3">
        <f>+IF(AVANCE[[#This Row],[LAVAMANOS / LAVAPLATOS / LAVADERO]]=Z$2,100%,AVANCE[[#This Row],[LAVAMANOS / LAVAPLATOS / LAVADERO]])</f>
        <v>0</v>
      </c>
      <c r="BS293" s="3">
        <f>+IF(AVANCE[[#This Row],[CANALIZACIÓN]]=AC$2,100%,AVANCE[[#This Row],[CANALIZACIÓN]])</f>
        <v>0</v>
      </c>
      <c r="BT293" s="3">
        <f>+IF(AVANCE[[#This Row],[CABLEADO]]=AD$2,100%,AVANCE[[#This Row],[CABLEADO]])</f>
        <v>0</v>
      </c>
      <c r="BU293" s="3">
        <f>+IF(AVANCE[[#This Row],[ARTEFACTOS]]=AE$2,100%,AVANCE[[#This Row],[ARTEFACTOS]])</f>
        <v>0</v>
      </c>
      <c r="BV293" s="3">
        <f>+IF(AVANCE[[#This Row],[TABLERO]]=AF$2,100%,AVANCE[[#This Row],[TABLERO]])</f>
        <v>0</v>
      </c>
      <c r="BW293" s="3">
        <f>+IF(AVANCE[[#This Row],[CAJA PAU]]=AG$2,100%,AVANCE[[#This Row],[CAJA PAU]])</f>
        <v>0</v>
      </c>
      <c r="BX293" s="3">
        <f>+IF(AVANCE[[#This Row],[INSTALACION VINILICO]]=AJ$2,100%,AVANCE[[#This Row],[INSTALACION VINILICO]])</f>
        <v>0</v>
      </c>
      <c r="BY293" s="3">
        <f>+IF(AVANCE[[#This Row],[OSB CUBIERTA]]=AK$2,100%,AVANCE[[#This Row],[OSB CUBIERTA]])</f>
        <v>0</v>
      </c>
      <c r="BZ293" s="3">
        <f>+IF(AVANCE[[#This Row],[BARANDA BALCON]]=AL$2,100%,AVANCE[[#This Row],[BARANDA BALCON]])</f>
        <v>0</v>
      </c>
      <c r="CA293" s="3">
        <f>+IF(AVANCE[[#This Row],[OSB EXTERIOR]]=AM$2,100%,AVANCE[[#This Row],[OSB EXTERIOR]])</f>
        <v>0</v>
      </c>
      <c r="CB293" s="3">
        <f>+IF(AVANCE[[#This Row],[SMART PANEL]]=AN$2,100%,AVANCE[[#This Row],[SMART PANEL]])</f>
        <v>0</v>
      </c>
      <c r="CC293" s="3">
        <f>+IF(AVANCE[[#This Row],[PINTURA EXTERIOR]]=AO$2,100%,AVANCE[[#This Row],[PINTURA EXTERIOR]])</f>
        <v>0</v>
      </c>
      <c r="CD293" s="3">
        <f>+IF(AVANCE[[#This Row],[ZOCALOS LOGIA]]=AP$2,100%,AVANCE[[#This Row],[ZOCALOS LOGIA]])</f>
        <v>0</v>
      </c>
      <c r="CE293" s="3">
        <f>+IF(AVANCE[[#This Row],[MOLDURAS]]=AQ$2,100%,AVANCE[[#This Row],[MOLDURAS]])</f>
        <v>0</v>
      </c>
      <c r="CF293" s="3">
        <f>+IF(AVANCE[[#This Row],[PILASTREO]]=AR$2,100%,AVANCE[[#This Row],[PILASTREO]])</f>
        <v>0</v>
      </c>
      <c r="CG293" s="3">
        <f>+IF(AVANCE[[#This Row],[CELOSIAS]]=AS$2,100%,AVANCE[[#This Row],[CELOSIAS]])</f>
        <v>0</v>
      </c>
      <c r="CH293" s="3">
        <f>+IF(AVANCE[[#This Row],[VENTANAS]]=AT$2,100%,AVANCE[[#This Row],[VENTANAS]])</f>
        <v>0</v>
      </c>
      <c r="CI293" s="3">
        <f>+IF(AVANCE[[#This Row],[PUERTAS ACCESO - LOGIA - BANO]]=AU$2,100%,AVANCE[[#This Row],[PUERTAS ACCESO - LOGIA - BANO]])</f>
        <v>0</v>
      </c>
      <c r="CJ293" s="3">
        <f>+IF(AVANCE[[#This Row],[CERRADURAS]]=AV$2,100%,AVANCE[[#This Row],[CERRADURAS]])</f>
        <v>0</v>
      </c>
      <c r="CK293" s="3">
        <f>+IF(AVANCE[[#This Row],[REVESTIMIENTO INTERIOR ZONA SECA]]=AW$2,100%,AVANCE[[#This Row],[REVESTIMIENTO INTERIOR ZONA SECA]])</f>
        <v>0</v>
      </c>
      <c r="CL293" s="3">
        <f>+IF(AVANCE[[#This Row],[REVESTIMIENTO INTERIOR ZONAS HUMEDAS]]=AX$2,100%,AVANCE[[#This Row],[REVESTIMIENTO INTERIOR ZONAS HUMEDAS]])</f>
        <v>0</v>
      </c>
      <c r="CM293" s="3">
        <f>+IF(AVANCE[[#This Row],[MEMBRANA CIELO]]=AY$2,100%,AVANCE[[#This Row],[MEMBRANA CIELO]])</f>
        <v>0</v>
      </c>
      <c r="CN293" s="3">
        <f>+IF(AVANCE[[#This Row],[LIMPIEZA FINAL]]=AZ$2,100%,AVANCE[[#This Row],[LIMPIEZA FINAL]])</f>
        <v>0</v>
      </c>
      <c r="CO293" s="3">
        <f>+IF(AVANCE[[#This Row],[PUERTAS DORMITORIO]]=BA$2,100%,AVANCE[[#This Row],[PUERTAS DORMITORIO]])</f>
        <v>0</v>
      </c>
      <c r="CP293" s="3">
        <f>+IF(AVANCE[[#This Row],[REVESTIMIENTO INTERIOR BANO]]=BB$2,100%,AVANCE[[#This Row],[REVESTIMIENTO INTERIOR BANO]])</f>
        <v>0</v>
      </c>
      <c r="CQ293" s="3">
        <f>+IF(AVANCE[[#This Row],[MUEBLE LAVAPLATOS]]=BC$2,100%,AVANCE[[#This Row],[MUEBLE LAVAPLATOS]])</f>
        <v>0</v>
      </c>
      <c r="CR293" s="3">
        <f>+IF(AVANCE[[#This Row],[IMPERMEABILIZACION BANO - COCINA LOGIA]]=BD$2,100%,AVANCE[[#This Row],[IMPERMEABILIZACION BANO - COCINA LOGIA]])</f>
        <v>0</v>
      </c>
      <c r="CS293" s="40">
        <f ca="1">+IF(AVANCE[[#This Row],[ESTADO MODULO]]="PENDIENTE",(TODAY()-AVANCE[[#This Row],[FECHA TERMINO  PLANIFICADO]]),0)</f>
        <v>0</v>
      </c>
      <c r="CT293" s="41" t="str" cm="1">
        <f t="array" ref="CT293">_xlfn.TEXTJOIN(" | ",TRUE,IF(SUMPRODUCT((BG293:CR293&lt;1)*(PARTIDAS!$I$2:$AT$2="OBRA GRUESA"))&gt;0,"OBRA GRUESA: "&amp;_xlfn.TEXTJOIN(", ",TRUE,IF((BG293:CR293&lt;1)*(PARTIDAS!$I$2:$AT$2="OBRA GRUESA"),PARTIDAS!$I$1:$AT$1,"")),""),IF(SUMPRODUCT((BG293:CR293&lt;1)*(PARTIDAS!$I$2:$AT$2="SANITARIOS"))&gt;0,"SANITARIOS: "&amp;_xlfn.TEXTJOIN(", ",TRUE,IF((BG293:CR293&lt;1)*(PARTIDAS!$I$2:$AT$2="SANITARIOS"),PARTIDAS!$I$1:$AT$1,"")),""),IF(SUMPRODUCT((BG293:CR293&lt;1)*(PARTIDAS!$I$2:$AT$2="ELÉCTRICO"))&gt;0,"ELÉCTRICO: "&amp;_xlfn.TEXTJOIN(", ",TRUE,IF((BG293:CR293&lt;1)*(PARTIDAS!$I$2:$AT$2="ELÉCTRICO"),PARTIDAS!$I$1:$AT$1,"")),""),IF(SUMPRODUCT((BG293:CR293&lt;1)*(PARTIDAS!$I$2:$AT$2="TERMINACIONES"))&gt;0,"TERMINACIONES: "&amp;_xlfn.TEXTJOIN(", ",TRUE,IF((BG293:CR293&lt;1)*(PARTIDAS!$I$2:$AT$2="TERMINACIONES"),PARTIDAS!$I$1:$AT$1,"")),""))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3" s="43" t="str" cm="1">
        <f t="array" ref="CU293">_xlfn.TEXTJOIN(", ",TRUE,IF(SUMPRODUCT((BG293:CR293&lt;1)*(PARTIDAS!$I$2:$AT$2="OBRA GRUESA"))&gt;0,"OBRA GRUESA",""),IF(SUMPRODUCT((BG293:CR293&lt;1)*(PARTIDAS!$I$2:$AT$2="SANITARIOS"))&gt;0,"SANITARIOS",""),IF(SUMPRODUCT((BG293:CR293&lt;1)*(PARTIDAS!$I$2:$AT$2="ELÉCTRICO"))&gt;0,"ELÉCTRICO",""),IF(SUMPRODUCT((BG293:CR293&lt;1)*(PARTIDAS!$I$2:$AT$2="TERMINACIONES"))&gt;0,"TERMINACIONES",""))</f>
        <v>OBRA GRUESA, SANITARIOS, ELÉCTRICO, TERMINACIONES</v>
      </c>
      <c r="CV293" s="44" cm="1">
        <f t="array" ref="CV293">SUMPRODUCT(--(BG293:CR293&lt;1))</f>
        <v>38</v>
      </c>
    </row>
    <row r="294" spans="1:100" hidden="1" x14ac:dyDescent="0.25">
      <c r="A294" t="s">
        <v>355</v>
      </c>
      <c r="B294" t="s">
        <v>360</v>
      </c>
      <c r="C294">
        <v>2282600293</v>
      </c>
      <c r="D294" t="s">
        <v>58</v>
      </c>
      <c r="E294" s="2">
        <v>0</v>
      </c>
      <c r="F294" s="1">
        <v>46289</v>
      </c>
      <c r="G294" s="1"/>
      <c r="H294" s="1">
        <v>0</v>
      </c>
      <c r="I294" s="1">
        <v>46309</v>
      </c>
      <c r="J294">
        <v>46230</v>
      </c>
      <c r="K294" s="1"/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>
        <v>28.87</v>
      </c>
      <c r="BF294" s="3" t="str">
        <f>+IF(AVANCE[[#This Row],[% AVANCE]]=100%,"MODULO TERMINADO",IF(AVANCE[[#This Row],[FECHA INICIO REAL]]="","MODULO NO INICIADO","PENDIENTE"))</f>
        <v>MODULO NO INICIADO</v>
      </c>
      <c r="BG294" s="3">
        <f>+IF(AVANCE[[#This Row],[VENTANAS]]=8.10810810810811%,100%,AVANCE[[#This Row],[VENTANAS]])</f>
        <v>0</v>
      </c>
      <c r="BH294" s="3">
        <f>+IF(AVANCE[[#This Row],[PISO]]=N$2,100%,AVANCE[[#This Row],[PISO]])</f>
        <v>0</v>
      </c>
      <c r="BI294" s="3">
        <f>+IF(AVANCE[[#This Row],[TABIQUES]]=O$2,100%,AVANCE[[#This Row],[TABIQUES]])</f>
        <v>0</v>
      </c>
      <c r="BJ294" s="3">
        <f>+IF(AVANCE[[#This Row],[MUROS]]=P$2,100%,AVANCE[[#This Row],[MUROS]])</f>
        <v>0</v>
      </c>
      <c r="BK294" s="3">
        <f>+IF(AVANCE[[#This Row],[CIELO]]=Q$2,100%,AVANCE[[#This Row],[CIELO]])</f>
        <v>0</v>
      </c>
      <c r="BL294" s="3">
        <f>+IF(AVANCE[[#This Row],[BALCÓN]]=R$2,100%,AVANCE[[#This Row],[BALCÓN]])</f>
        <v>0</v>
      </c>
      <c r="BM294" s="3">
        <f>+IF(AVANCE[[#This Row],[RED ALCANTARILLADO]]=U$2,100%,AVANCE[[#This Row],[RED ALCANTARILLADO]])</f>
        <v>0</v>
      </c>
      <c r="BN294" s="3">
        <f>+IF(AVANCE[[#This Row],[RED DE AGUA]]=V$2,100%,AVANCE[[#This Row],[RED DE AGUA]])</f>
        <v>0</v>
      </c>
      <c r="BO294" s="3">
        <f>+IF(AVANCE[[#This Row],[VENTILACIONES]]=W$2,100%,AVANCE[[#This Row],[VENTILACIONES]])</f>
        <v>0</v>
      </c>
      <c r="BP294" s="3">
        <f>+IF(AVANCE[[#This Row],[TINA]]=X$2,100%,AVANCE[[#This Row],[TINA]])</f>
        <v>0</v>
      </c>
      <c r="BQ294" s="3">
        <f>+IF(AVANCE[[#This Row],[WC]]=Y$2,100%,AVANCE[[#This Row],[WC]])</f>
        <v>0</v>
      </c>
      <c r="BR294" s="3">
        <f>+IF(AVANCE[[#This Row],[LAVAMANOS / LAVAPLATOS / LAVADERO]]=Z$2,100%,AVANCE[[#This Row],[LAVAMANOS / LAVAPLATOS / LAVADERO]])</f>
        <v>0</v>
      </c>
      <c r="BS294" s="3">
        <f>+IF(AVANCE[[#This Row],[CANALIZACIÓN]]=AC$2,100%,AVANCE[[#This Row],[CANALIZACIÓN]])</f>
        <v>0</v>
      </c>
      <c r="BT294" s="3">
        <f>+IF(AVANCE[[#This Row],[CABLEADO]]=AD$2,100%,AVANCE[[#This Row],[CABLEADO]])</f>
        <v>0</v>
      </c>
      <c r="BU294" s="3">
        <f>+IF(AVANCE[[#This Row],[ARTEFACTOS]]=AE$2,100%,AVANCE[[#This Row],[ARTEFACTOS]])</f>
        <v>0</v>
      </c>
      <c r="BV294" s="3">
        <f>+IF(AVANCE[[#This Row],[TABLERO]]=AF$2,100%,AVANCE[[#This Row],[TABLERO]])</f>
        <v>0</v>
      </c>
      <c r="BW294" s="3">
        <f>+IF(AVANCE[[#This Row],[CAJA PAU]]=AG$2,100%,AVANCE[[#This Row],[CAJA PAU]])</f>
        <v>0</v>
      </c>
      <c r="BX294" s="3">
        <f>+IF(AVANCE[[#This Row],[INSTALACION VINILICO]]=AJ$2,100%,AVANCE[[#This Row],[INSTALACION VINILICO]])</f>
        <v>0</v>
      </c>
      <c r="BY294" s="3">
        <f>+IF(AVANCE[[#This Row],[OSB CUBIERTA]]=AK$2,100%,AVANCE[[#This Row],[OSB CUBIERTA]])</f>
        <v>0</v>
      </c>
      <c r="BZ294" s="3">
        <f>+IF(AVANCE[[#This Row],[BARANDA BALCON]]=AL$2,100%,AVANCE[[#This Row],[BARANDA BALCON]])</f>
        <v>0</v>
      </c>
      <c r="CA294" s="3">
        <f>+IF(AVANCE[[#This Row],[OSB EXTERIOR]]=AM$2,100%,AVANCE[[#This Row],[OSB EXTERIOR]])</f>
        <v>0</v>
      </c>
      <c r="CB294" s="3">
        <f>+IF(AVANCE[[#This Row],[SMART PANEL]]=AN$2,100%,AVANCE[[#This Row],[SMART PANEL]])</f>
        <v>0</v>
      </c>
      <c r="CC294" s="3">
        <f>+IF(AVANCE[[#This Row],[PINTURA EXTERIOR]]=AO$2,100%,AVANCE[[#This Row],[PINTURA EXTERIOR]])</f>
        <v>0</v>
      </c>
      <c r="CD294" s="3">
        <f>+IF(AVANCE[[#This Row],[ZOCALOS LOGIA]]=AP$2,100%,AVANCE[[#This Row],[ZOCALOS LOGIA]])</f>
        <v>0</v>
      </c>
      <c r="CE294" s="3">
        <f>+IF(AVANCE[[#This Row],[MOLDURAS]]=AQ$2,100%,AVANCE[[#This Row],[MOLDURAS]])</f>
        <v>0</v>
      </c>
      <c r="CF294" s="3">
        <f>+IF(AVANCE[[#This Row],[PILASTREO]]=AR$2,100%,AVANCE[[#This Row],[PILASTREO]])</f>
        <v>0</v>
      </c>
      <c r="CG294" s="3">
        <f>+IF(AVANCE[[#This Row],[CELOSIAS]]=AS$2,100%,AVANCE[[#This Row],[CELOSIAS]])</f>
        <v>0</v>
      </c>
      <c r="CH294" s="3">
        <f>+IF(AVANCE[[#This Row],[VENTANAS]]=AT$2,100%,AVANCE[[#This Row],[VENTANAS]])</f>
        <v>0</v>
      </c>
      <c r="CI294" s="3">
        <f>+IF(AVANCE[[#This Row],[PUERTAS ACCESO - LOGIA - BANO]]=AU$2,100%,AVANCE[[#This Row],[PUERTAS ACCESO - LOGIA - BANO]])</f>
        <v>0</v>
      </c>
      <c r="CJ294" s="3">
        <f>+IF(AVANCE[[#This Row],[CERRADURAS]]=AV$2,100%,AVANCE[[#This Row],[CERRADURAS]])</f>
        <v>0</v>
      </c>
      <c r="CK294" s="3">
        <f>+IF(AVANCE[[#This Row],[REVESTIMIENTO INTERIOR ZONA SECA]]=AW$2,100%,AVANCE[[#This Row],[REVESTIMIENTO INTERIOR ZONA SECA]])</f>
        <v>0</v>
      </c>
      <c r="CL294" s="3">
        <f>+IF(AVANCE[[#This Row],[REVESTIMIENTO INTERIOR ZONAS HUMEDAS]]=AX$2,100%,AVANCE[[#This Row],[REVESTIMIENTO INTERIOR ZONAS HUMEDAS]])</f>
        <v>0</v>
      </c>
      <c r="CM294" s="3">
        <f>+IF(AVANCE[[#This Row],[MEMBRANA CIELO]]=AY$2,100%,AVANCE[[#This Row],[MEMBRANA CIELO]])</f>
        <v>0</v>
      </c>
      <c r="CN294" s="3">
        <f>+IF(AVANCE[[#This Row],[LIMPIEZA FINAL]]=AZ$2,100%,AVANCE[[#This Row],[LIMPIEZA FINAL]])</f>
        <v>0</v>
      </c>
      <c r="CO294" s="3">
        <f>+IF(AVANCE[[#This Row],[PUERTAS DORMITORIO]]=BA$2,100%,AVANCE[[#This Row],[PUERTAS DORMITORIO]])</f>
        <v>0</v>
      </c>
      <c r="CP294" s="3">
        <f>+IF(AVANCE[[#This Row],[REVESTIMIENTO INTERIOR BANO]]=BB$2,100%,AVANCE[[#This Row],[REVESTIMIENTO INTERIOR BANO]])</f>
        <v>0</v>
      </c>
      <c r="CQ294" s="3">
        <f>+IF(AVANCE[[#This Row],[MUEBLE LAVAPLATOS]]=BC$2,100%,AVANCE[[#This Row],[MUEBLE LAVAPLATOS]])</f>
        <v>0</v>
      </c>
      <c r="CR294" s="3">
        <f>+IF(AVANCE[[#This Row],[IMPERMEABILIZACION BANO - COCINA LOGIA]]=BD$2,100%,AVANCE[[#This Row],[IMPERMEABILIZACION BANO - COCINA LOGIA]])</f>
        <v>0</v>
      </c>
      <c r="CS294" s="40">
        <f ca="1">+IF(AVANCE[[#This Row],[ESTADO MODULO]]="PENDIENTE",(TODAY()-AVANCE[[#This Row],[FECHA TERMINO  PLANIFICADO]]),0)</f>
        <v>0</v>
      </c>
      <c r="CT294" s="41" t="str" cm="1">
        <f t="array" ref="CT294">_xlfn.TEXTJOIN(" | ",TRUE,IF(SUMPRODUCT((BG294:CR294&lt;1)*(PARTIDAS!$I$2:$AT$2="OBRA GRUESA"))&gt;0,"OBRA GRUESA: "&amp;_xlfn.TEXTJOIN(", ",TRUE,IF((BG294:CR294&lt;1)*(PARTIDAS!$I$2:$AT$2="OBRA GRUESA"),PARTIDAS!$I$1:$AT$1,"")),""),IF(SUMPRODUCT((BG294:CR294&lt;1)*(PARTIDAS!$I$2:$AT$2="SANITARIOS"))&gt;0,"SANITARIOS: "&amp;_xlfn.TEXTJOIN(", ",TRUE,IF((BG294:CR294&lt;1)*(PARTIDAS!$I$2:$AT$2="SANITARIOS"),PARTIDAS!$I$1:$AT$1,"")),""),IF(SUMPRODUCT((BG294:CR294&lt;1)*(PARTIDAS!$I$2:$AT$2="ELÉCTRICO"))&gt;0,"ELÉCTRICO: "&amp;_xlfn.TEXTJOIN(", ",TRUE,IF((BG294:CR294&lt;1)*(PARTIDAS!$I$2:$AT$2="ELÉCTRICO"),PARTIDAS!$I$1:$AT$1,"")),""),IF(SUMPRODUCT((BG294:CR294&lt;1)*(PARTIDAS!$I$2:$AT$2="TERMINACIONES"))&gt;0,"TERMINACIONES: "&amp;_xlfn.TEXTJOIN(", ",TRUE,IF((BG294:CR294&lt;1)*(PARTIDAS!$I$2:$AT$2="TERMINACIONES"),PARTIDAS!$I$1:$AT$1,"")),""))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4" s="43" t="str" cm="1">
        <f t="array" ref="CU294">_xlfn.TEXTJOIN(", ",TRUE,IF(SUMPRODUCT((BG294:CR294&lt;1)*(PARTIDAS!$I$2:$AT$2="OBRA GRUESA"))&gt;0,"OBRA GRUESA",""),IF(SUMPRODUCT((BG294:CR294&lt;1)*(PARTIDAS!$I$2:$AT$2="SANITARIOS"))&gt;0,"SANITARIOS",""),IF(SUMPRODUCT((BG294:CR294&lt;1)*(PARTIDAS!$I$2:$AT$2="ELÉCTRICO"))&gt;0,"ELÉCTRICO",""),IF(SUMPRODUCT((BG294:CR294&lt;1)*(PARTIDAS!$I$2:$AT$2="TERMINACIONES"))&gt;0,"TERMINACIONES",""))</f>
        <v>OBRA GRUESA, SANITARIOS, ELÉCTRICO, TERMINACIONES</v>
      </c>
      <c r="CV294" s="44" cm="1">
        <f t="array" ref="CV294">SUMPRODUCT(--(BG294:CR294&lt;1))</f>
        <v>38</v>
      </c>
    </row>
    <row r="295" spans="1:100" hidden="1" x14ac:dyDescent="0.25">
      <c r="A295" t="s">
        <v>355</v>
      </c>
      <c r="B295" t="s">
        <v>361</v>
      </c>
      <c r="C295">
        <v>2302600294</v>
      </c>
      <c r="D295" t="s">
        <v>60</v>
      </c>
      <c r="E295" s="2">
        <v>0</v>
      </c>
      <c r="F295" s="1">
        <v>46289</v>
      </c>
      <c r="G295" s="1"/>
      <c r="H295" s="1">
        <v>0</v>
      </c>
      <c r="I295" s="1">
        <v>46319</v>
      </c>
      <c r="J295">
        <v>46230</v>
      </c>
      <c r="K295" s="1"/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>
        <v>31.32</v>
      </c>
      <c r="BF295" s="3" t="str">
        <f>+IF(AVANCE[[#This Row],[% AVANCE]]=100%,"MODULO TERMINADO",IF(AVANCE[[#This Row],[FECHA INICIO REAL]]="","MODULO NO INICIADO","PENDIENTE"))</f>
        <v>MODULO NO INICIADO</v>
      </c>
      <c r="BG295" s="3">
        <f>+IF(AVANCE[[#This Row],[VENTANAS]]=8.10810810810811%,100%,AVANCE[[#This Row],[VENTANAS]])</f>
        <v>0</v>
      </c>
      <c r="BH295" s="3">
        <f>+IF(AVANCE[[#This Row],[PISO]]=N$2,100%,AVANCE[[#This Row],[PISO]])</f>
        <v>0</v>
      </c>
      <c r="BI295" s="3">
        <f>+IF(AVANCE[[#This Row],[TABIQUES]]=O$2,100%,AVANCE[[#This Row],[TABIQUES]])</f>
        <v>0</v>
      </c>
      <c r="BJ295" s="3">
        <f>+IF(AVANCE[[#This Row],[MUROS]]=P$2,100%,AVANCE[[#This Row],[MUROS]])</f>
        <v>0</v>
      </c>
      <c r="BK295" s="3">
        <f>+IF(AVANCE[[#This Row],[CIELO]]=Q$2,100%,AVANCE[[#This Row],[CIELO]])</f>
        <v>0</v>
      </c>
      <c r="BL295" s="3">
        <f>+IF(AVANCE[[#This Row],[BALCÓN]]=R$2,100%,AVANCE[[#This Row],[BALCÓN]])</f>
        <v>0</v>
      </c>
      <c r="BM295" s="3">
        <f>+IF(AVANCE[[#This Row],[RED ALCANTARILLADO]]=U$2,100%,AVANCE[[#This Row],[RED ALCANTARILLADO]])</f>
        <v>0</v>
      </c>
      <c r="BN295" s="3">
        <f>+IF(AVANCE[[#This Row],[RED DE AGUA]]=V$2,100%,AVANCE[[#This Row],[RED DE AGUA]])</f>
        <v>0</v>
      </c>
      <c r="BO295" s="3">
        <f>+IF(AVANCE[[#This Row],[VENTILACIONES]]=W$2,100%,AVANCE[[#This Row],[VENTILACIONES]])</f>
        <v>0</v>
      </c>
      <c r="BP295" s="3">
        <f>+IF(AVANCE[[#This Row],[TINA]]=X$2,100%,AVANCE[[#This Row],[TINA]])</f>
        <v>0</v>
      </c>
      <c r="BQ295" s="3">
        <f>+IF(AVANCE[[#This Row],[WC]]=Y$2,100%,AVANCE[[#This Row],[WC]])</f>
        <v>0</v>
      </c>
      <c r="BR295" s="3">
        <f>+IF(AVANCE[[#This Row],[LAVAMANOS / LAVAPLATOS / LAVADERO]]=Z$2,100%,AVANCE[[#This Row],[LAVAMANOS / LAVAPLATOS / LAVADERO]])</f>
        <v>0</v>
      </c>
      <c r="BS295" s="3">
        <f>+IF(AVANCE[[#This Row],[CANALIZACIÓN]]=AC$2,100%,AVANCE[[#This Row],[CANALIZACIÓN]])</f>
        <v>0</v>
      </c>
      <c r="BT295" s="3">
        <f>+IF(AVANCE[[#This Row],[CABLEADO]]=AD$2,100%,AVANCE[[#This Row],[CABLEADO]])</f>
        <v>0</v>
      </c>
      <c r="BU295" s="3">
        <f>+IF(AVANCE[[#This Row],[ARTEFACTOS]]=AE$2,100%,AVANCE[[#This Row],[ARTEFACTOS]])</f>
        <v>0</v>
      </c>
      <c r="BV295" s="3">
        <f>+IF(AVANCE[[#This Row],[TABLERO]]=AF$2,100%,AVANCE[[#This Row],[TABLERO]])</f>
        <v>0</v>
      </c>
      <c r="BW295" s="3">
        <f>+IF(AVANCE[[#This Row],[CAJA PAU]]=AG$2,100%,AVANCE[[#This Row],[CAJA PAU]])</f>
        <v>0</v>
      </c>
      <c r="BX295" s="3">
        <f>+IF(AVANCE[[#This Row],[INSTALACION VINILICO]]=AJ$2,100%,AVANCE[[#This Row],[INSTALACION VINILICO]])</f>
        <v>0</v>
      </c>
      <c r="BY295" s="3">
        <f>+IF(AVANCE[[#This Row],[OSB CUBIERTA]]=AK$2,100%,AVANCE[[#This Row],[OSB CUBIERTA]])</f>
        <v>0</v>
      </c>
      <c r="BZ295" s="3">
        <f>+IF(AVANCE[[#This Row],[BARANDA BALCON]]=AL$2,100%,AVANCE[[#This Row],[BARANDA BALCON]])</f>
        <v>0</v>
      </c>
      <c r="CA295" s="3">
        <f>+IF(AVANCE[[#This Row],[OSB EXTERIOR]]=AM$2,100%,AVANCE[[#This Row],[OSB EXTERIOR]])</f>
        <v>0</v>
      </c>
      <c r="CB295" s="3">
        <f>+IF(AVANCE[[#This Row],[SMART PANEL]]=AN$2,100%,AVANCE[[#This Row],[SMART PANEL]])</f>
        <v>0</v>
      </c>
      <c r="CC295" s="3">
        <f>+IF(AVANCE[[#This Row],[PINTURA EXTERIOR]]=AO$2,100%,AVANCE[[#This Row],[PINTURA EXTERIOR]])</f>
        <v>0</v>
      </c>
      <c r="CD295" s="3">
        <f>+IF(AVANCE[[#This Row],[ZOCALOS LOGIA]]=AP$2,100%,AVANCE[[#This Row],[ZOCALOS LOGIA]])</f>
        <v>0</v>
      </c>
      <c r="CE295" s="3">
        <f>+IF(AVANCE[[#This Row],[MOLDURAS]]=AQ$2,100%,AVANCE[[#This Row],[MOLDURAS]])</f>
        <v>0</v>
      </c>
      <c r="CF295" s="3">
        <f>+IF(AVANCE[[#This Row],[PILASTREO]]=AR$2,100%,AVANCE[[#This Row],[PILASTREO]])</f>
        <v>0</v>
      </c>
      <c r="CG295" s="3">
        <f>+IF(AVANCE[[#This Row],[CELOSIAS]]=AS$2,100%,AVANCE[[#This Row],[CELOSIAS]])</f>
        <v>0</v>
      </c>
      <c r="CH295" s="3">
        <f>+IF(AVANCE[[#This Row],[VENTANAS]]=AT$2,100%,AVANCE[[#This Row],[VENTANAS]])</f>
        <v>0</v>
      </c>
      <c r="CI295" s="3">
        <f>+IF(AVANCE[[#This Row],[PUERTAS ACCESO - LOGIA - BANO]]=AU$2,100%,AVANCE[[#This Row],[PUERTAS ACCESO - LOGIA - BANO]])</f>
        <v>0</v>
      </c>
      <c r="CJ295" s="3">
        <f>+IF(AVANCE[[#This Row],[CERRADURAS]]=AV$2,100%,AVANCE[[#This Row],[CERRADURAS]])</f>
        <v>0</v>
      </c>
      <c r="CK295" s="3">
        <f>+IF(AVANCE[[#This Row],[REVESTIMIENTO INTERIOR ZONA SECA]]=AW$2,100%,AVANCE[[#This Row],[REVESTIMIENTO INTERIOR ZONA SECA]])</f>
        <v>0</v>
      </c>
      <c r="CL295" s="3">
        <f>+IF(AVANCE[[#This Row],[REVESTIMIENTO INTERIOR ZONAS HUMEDAS]]=AX$2,100%,AVANCE[[#This Row],[REVESTIMIENTO INTERIOR ZONAS HUMEDAS]])</f>
        <v>0</v>
      </c>
      <c r="CM295" s="3">
        <f>+IF(AVANCE[[#This Row],[MEMBRANA CIELO]]=AY$2,100%,AVANCE[[#This Row],[MEMBRANA CIELO]])</f>
        <v>0</v>
      </c>
      <c r="CN295" s="3">
        <f>+IF(AVANCE[[#This Row],[LIMPIEZA FINAL]]=AZ$2,100%,AVANCE[[#This Row],[LIMPIEZA FINAL]])</f>
        <v>0</v>
      </c>
      <c r="CO295" s="3">
        <f>+IF(AVANCE[[#This Row],[PUERTAS DORMITORIO]]=BA$2,100%,AVANCE[[#This Row],[PUERTAS DORMITORIO]])</f>
        <v>0</v>
      </c>
      <c r="CP295" s="3">
        <f>+IF(AVANCE[[#This Row],[REVESTIMIENTO INTERIOR BANO]]=BB$2,100%,AVANCE[[#This Row],[REVESTIMIENTO INTERIOR BANO]])</f>
        <v>0</v>
      </c>
      <c r="CQ295" s="3">
        <f>+IF(AVANCE[[#This Row],[MUEBLE LAVAPLATOS]]=BC$2,100%,AVANCE[[#This Row],[MUEBLE LAVAPLATOS]])</f>
        <v>0</v>
      </c>
      <c r="CR295" s="3">
        <f>+IF(AVANCE[[#This Row],[IMPERMEABILIZACION BANO - COCINA LOGIA]]=BD$2,100%,AVANCE[[#This Row],[IMPERMEABILIZACION BANO - COCINA LOGIA]])</f>
        <v>0</v>
      </c>
      <c r="CS295" s="40">
        <f ca="1">+IF(AVANCE[[#This Row],[ESTADO MODULO]]="PENDIENTE",(TODAY()-AVANCE[[#This Row],[FECHA TERMINO  PLANIFICADO]]),0)</f>
        <v>0</v>
      </c>
      <c r="CT295" s="41" t="str" cm="1">
        <f t="array" ref="CT295">_xlfn.TEXTJOIN(" | ",TRUE,IF(SUMPRODUCT((BG295:CR295&lt;1)*(PARTIDAS!$I$2:$AT$2="OBRA GRUESA"))&gt;0,"OBRA GRUESA: "&amp;_xlfn.TEXTJOIN(", ",TRUE,IF((BG295:CR295&lt;1)*(PARTIDAS!$I$2:$AT$2="OBRA GRUESA"),PARTIDAS!$I$1:$AT$1,"")),""),IF(SUMPRODUCT((BG295:CR295&lt;1)*(PARTIDAS!$I$2:$AT$2="SANITARIOS"))&gt;0,"SANITARIOS: "&amp;_xlfn.TEXTJOIN(", ",TRUE,IF((BG295:CR295&lt;1)*(PARTIDAS!$I$2:$AT$2="SANITARIOS"),PARTIDAS!$I$1:$AT$1,"")),""),IF(SUMPRODUCT((BG295:CR295&lt;1)*(PARTIDAS!$I$2:$AT$2="ELÉCTRICO"))&gt;0,"ELÉCTRICO: "&amp;_xlfn.TEXTJOIN(", ",TRUE,IF((BG295:CR295&lt;1)*(PARTIDAS!$I$2:$AT$2="ELÉCTRICO"),PARTIDAS!$I$1:$AT$1,"")),""),IF(SUMPRODUCT((BG295:CR295&lt;1)*(PARTIDAS!$I$2:$AT$2="TERMINACIONES"))&gt;0,"TERMINACIONES: "&amp;_xlfn.TEXTJOIN(", ",TRUE,IF((BG295:CR295&lt;1)*(PARTIDAS!$I$2:$AT$2="TERMINACIONES"),PARTIDAS!$I$1:$AT$1,"")),""))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5" s="43" t="str" cm="1">
        <f t="array" ref="CU295">_xlfn.TEXTJOIN(", ",TRUE,IF(SUMPRODUCT((BG295:CR295&lt;1)*(PARTIDAS!$I$2:$AT$2="OBRA GRUESA"))&gt;0,"OBRA GRUESA",""),IF(SUMPRODUCT((BG295:CR295&lt;1)*(PARTIDAS!$I$2:$AT$2="SANITARIOS"))&gt;0,"SANITARIOS",""),IF(SUMPRODUCT((BG295:CR295&lt;1)*(PARTIDAS!$I$2:$AT$2="ELÉCTRICO"))&gt;0,"ELÉCTRICO",""),IF(SUMPRODUCT((BG295:CR295&lt;1)*(PARTIDAS!$I$2:$AT$2="TERMINACIONES"))&gt;0,"TERMINACIONES",""))</f>
        <v>OBRA GRUESA, SANITARIOS, ELÉCTRICO, TERMINACIONES</v>
      </c>
      <c r="CV295" s="44" cm="1">
        <f t="array" ref="CV295">SUMPRODUCT(--(BG295:CR295&lt;1))</f>
        <v>38</v>
      </c>
    </row>
    <row r="296" spans="1:100" hidden="1" x14ac:dyDescent="0.25">
      <c r="A296" t="s">
        <v>355</v>
      </c>
      <c r="B296" t="s">
        <v>362</v>
      </c>
      <c r="C296">
        <v>2302600295</v>
      </c>
      <c r="D296" t="s">
        <v>60</v>
      </c>
      <c r="E296" s="2">
        <v>0</v>
      </c>
      <c r="F296" s="1">
        <v>46289</v>
      </c>
      <c r="G296" s="1"/>
      <c r="H296" s="1">
        <v>0</v>
      </c>
      <c r="I296" s="1">
        <v>46319</v>
      </c>
      <c r="J296">
        <v>46230</v>
      </c>
      <c r="K296" s="1"/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>
        <v>31.32</v>
      </c>
      <c r="BF296" s="3" t="str">
        <f>+IF(AVANCE[[#This Row],[% AVANCE]]=100%,"MODULO TERMINADO",IF(AVANCE[[#This Row],[FECHA INICIO REAL]]="","MODULO NO INICIADO","PENDIENTE"))</f>
        <v>MODULO NO INICIADO</v>
      </c>
      <c r="BG296" s="3">
        <f>+IF(AVANCE[[#This Row],[VENTANAS]]=8.10810810810811%,100%,AVANCE[[#This Row],[VENTANAS]])</f>
        <v>0</v>
      </c>
      <c r="BH296" s="3">
        <f>+IF(AVANCE[[#This Row],[PISO]]=N$2,100%,AVANCE[[#This Row],[PISO]])</f>
        <v>0</v>
      </c>
      <c r="BI296" s="3">
        <f>+IF(AVANCE[[#This Row],[TABIQUES]]=O$2,100%,AVANCE[[#This Row],[TABIQUES]])</f>
        <v>0</v>
      </c>
      <c r="BJ296" s="3">
        <f>+IF(AVANCE[[#This Row],[MUROS]]=P$2,100%,AVANCE[[#This Row],[MUROS]])</f>
        <v>0</v>
      </c>
      <c r="BK296" s="3">
        <f>+IF(AVANCE[[#This Row],[CIELO]]=Q$2,100%,AVANCE[[#This Row],[CIELO]])</f>
        <v>0</v>
      </c>
      <c r="BL296" s="3">
        <f>+IF(AVANCE[[#This Row],[BALCÓN]]=R$2,100%,AVANCE[[#This Row],[BALCÓN]])</f>
        <v>0</v>
      </c>
      <c r="BM296" s="3">
        <f>+IF(AVANCE[[#This Row],[RED ALCANTARILLADO]]=U$2,100%,AVANCE[[#This Row],[RED ALCANTARILLADO]])</f>
        <v>0</v>
      </c>
      <c r="BN296" s="3">
        <f>+IF(AVANCE[[#This Row],[RED DE AGUA]]=V$2,100%,AVANCE[[#This Row],[RED DE AGUA]])</f>
        <v>0</v>
      </c>
      <c r="BO296" s="3">
        <f>+IF(AVANCE[[#This Row],[VENTILACIONES]]=W$2,100%,AVANCE[[#This Row],[VENTILACIONES]])</f>
        <v>0</v>
      </c>
      <c r="BP296" s="3">
        <f>+IF(AVANCE[[#This Row],[TINA]]=X$2,100%,AVANCE[[#This Row],[TINA]])</f>
        <v>0</v>
      </c>
      <c r="BQ296" s="3">
        <f>+IF(AVANCE[[#This Row],[WC]]=Y$2,100%,AVANCE[[#This Row],[WC]])</f>
        <v>0</v>
      </c>
      <c r="BR296" s="3">
        <f>+IF(AVANCE[[#This Row],[LAVAMANOS / LAVAPLATOS / LAVADERO]]=Z$2,100%,AVANCE[[#This Row],[LAVAMANOS / LAVAPLATOS / LAVADERO]])</f>
        <v>0</v>
      </c>
      <c r="BS296" s="3">
        <f>+IF(AVANCE[[#This Row],[CANALIZACIÓN]]=AC$2,100%,AVANCE[[#This Row],[CANALIZACIÓN]])</f>
        <v>0</v>
      </c>
      <c r="BT296" s="3">
        <f>+IF(AVANCE[[#This Row],[CABLEADO]]=AD$2,100%,AVANCE[[#This Row],[CABLEADO]])</f>
        <v>0</v>
      </c>
      <c r="BU296" s="3">
        <f>+IF(AVANCE[[#This Row],[ARTEFACTOS]]=AE$2,100%,AVANCE[[#This Row],[ARTEFACTOS]])</f>
        <v>0</v>
      </c>
      <c r="BV296" s="3">
        <f>+IF(AVANCE[[#This Row],[TABLERO]]=AF$2,100%,AVANCE[[#This Row],[TABLERO]])</f>
        <v>0</v>
      </c>
      <c r="BW296" s="3">
        <f>+IF(AVANCE[[#This Row],[CAJA PAU]]=AG$2,100%,AVANCE[[#This Row],[CAJA PAU]])</f>
        <v>0</v>
      </c>
      <c r="BX296" s="3">
        <f>+IF(AVANCE[[#This Row],[INSTALACION VINILICO]]=AJ$2,100%,AVANCE[[#This Row],[INSTALACION VINILICO]])</f>
        <v>0</v>
      </c>
      <c r="BY296" s="3">
        <f>+IF(AVANCE[[#This Row],[OSB CUBIERTA]]=AK$2,100%,AVANCE[[#This Row],[OSB CUBIERTA]])</f>
        <v>0</v>
      </c>
      <c r="BZ296" s="3">
        <f>+IF(AVANCE[[#This Row],[BARANDA BALCON]]=AL$2,100%,AVANCE[[#This Row],[BARANDA BALCON]])</f>
        <v>0</v>
      </c>
      <c r="CA296" s="3">
        <f>+IF(AVANCE[[#This Row],[OSB EXTERIOR]]=AM$2,100%,AVANCE[[#This Row],[OSB EXTERIOR]])</f>
        <v>0</v>
      </c>
      <c r="CB296" s="3">
        <f>+IF(AVANCE[[#This Row],[SMART PANEL]]=AN$2,100%,AVANCE[[#This Row],[SMART PANEL]])</f>
        <v>0</v>
      </c>
      <c r="CC296" s="3">
        <f>+IF(AVANCE[[#This Row],[PINTURA EXTERIOR]]=AO$2,100%,AVANCE[[#This Row],[PINTURA EXTERIOR]])</f>
        <v>0</v>
      </c>
      <c r="CD296" s="3">
        <f>+IF(AVANCE[[#This Row],[ZOCALOS LOGIA]]=AP$2,100%,AVANCE[[#This Row],[ZOCALOS LOGIA]])</f>
        <v>0</v>
      </c>
      <c r="CE296" s="3">
        <f>+IF(AVANCE[[#This Row],[MOLDURAS]]=AQ$2,100%,AVANCE[[#This Row],[MOLDURAS]])</f>
        <v>0</v>
      </c>
      <c r="CF296" s="3">
        <f>+IF(AVANCE[[#This Row],[PILASTREO]]=AR$2,100%,AVANCE[[#This Row],[PILASTREO]])</f>
        <v>0</v>
      </c>
      <c r="CG296" s="3">
        <f>+IF(AVANCE[[#This Row],[CELOSIAS]]=AS$2,100%,AVANCE[[#This Row],[CELOSIAS]])</f>
        <v>0</v>
      </c>
      <c r="CH296" s="3">
        <f>+IF(AVANCE[[#This Row],[VENTANAS]]=AT$2,100%,AVANCE[[#This Row],[VENTANAS]])</f>
        <v>0</v>
      </c>
      <c r="CI296" s="3">
        <f>+IF(AVANCE[[#This Row],[PUERTAS ACCESO - LOGIA - BANO]]=AU$2,100%,AVANCE[[#This Row],[PUERTAS ACCESO - LOGIA - BANO]])</f>
        <v>0</v>
      </c>
      <c r="CJ296" s="3">
        <f>+IF(AVANCE[[#This Row],[CERRADURAS]]=AV$2,100%,AVANCE[[#This Row],[CERRADURAS]])</f>
        <v>0</v>
      </c>
      <c r="CK296" s="3">
        <f>+IF(AVANCE[[#This Row],[REVESTIMIENTO INTERIOR ZONA SECA]]=AW$2,100%,AVANCE[[#This Row],[REVESTIMIENTO INTERIOR ZONA SECA]])</f>
        <v>0</v>
      </c>
      <c r="CL296" s="3">
        <f>+IF(AVANCE[[#This Row],[REVESTIMIENTO INTERIOR ZONAS HUMEDAS]]=AX$2,100%,AVANCE[[#This Row],[REVESTIMIENTO INTERIOR ZONAS HUMEDAS]])</f>
        <v>0</v>
      </c>
      <c r="CM296" s="3">
        <f>+IF(AVANCE[[#This Row],[MEMBRANA CIELO]]=AY$2,100%,AVANCE[[#This Row],[MEMBRANA CIELO]])</f>
        <v>0</v>
      </c>
      <c r="CN296" s="3">
        <f>+IF(AVANCE[[#This Row],[LIMPIEZA FINAL]]=AZ$2,100%,AVANCE[[#This Row],[LIMPIEZA FINAL]])</f>
        <v>0</v>
      </c>
      <c r="CO296" s="3">
        <f>+IF(AVANCE[[#This Row],[PUERTAS DORMITORIO]]=BA$2,100%,AVANCE[[#This Row],[PUERTAS DORMITORIO]])</f>
        <v>0</v>
      </c>
      <c r="CP296" s="3">
        <f>+IF(AVANCE[[#This Row],[REVESTIMIENTO INTERIOR BANO]]=BB$2,100%,AVANCE[[#This Row],[REVESTIMIENTO INTERIOR BANO]])</f>
        <v>0</v>
      </c>
      <c r="CQ296" s="3">
        <f>+IF(AVANCE[[#This Row],[MUEBLE LAVAPLATOS]]=BC$2,100%,AVANCE[[#This Row],[MUEBLE LAVAPLATOS]])</f>
        <v>0</v>
      </c>
      <c r="CR296" s="3">
        <f>+IF(AVANCE[[#This Row],[IMPERMEABILIZACION BANO - COCINA LOGIA]]=BD$2,100%,AVANCE[[#This Row],[IMPERMEABILIZACION BANO - COCINA LOGIA]])</f>
        <v>0</v>
      </c>
      <c r="CS296" s="40">
        <f ca="1">+IF(AVANCE[[#This Row],[ESTADO MODULO]]="PENDIENTE",(TODAY()-AVANCE[[#This Row],[FECHA TERMINO  PLANIFICADO]]),0)</f>
        <v>0</v>
      </c>
      <c r="CT296" s="41" t="str" cm="1">
        <f t="array" ref="CT296">_xlfn.TEXTJOIN(" | ",TRUE,IF(SUMPRODUCT((BG296:CR296&lt;1)*(PARTIDAS!$I$2:$AT$2="OBRA GRUESA"))&gt;0,"OBRA GRUESA: "&amp;_xlfn.TEXTJOIN(", ",TRUE,IF((BG296:CR296&lt;1)*(PARTIDAS!$I$2:$AT$2="OBRA GRUESA"),PARTIDAS!$I$1:$AT$1,"")),""),IF(SUMPRODUCT((BG296:CR296&lt;1)*(PARTIDAS!$I$2:$AT$2="SANITARIOS"))&gt;0,"SANITARIOS: "&amp;_xlfn.TEXTJOIN(", ",TRUE,IF((BG296:CR296&lt;1)*(PARTIDAS!$I$2:$AT$2="SANITARIOS"),PARTIDAS!$I$1:$AT$1,"")),""),IF(SUMPRODUCT((BG296:CR296&lt;1)*(PARTIDAS!$I$2:$AT$2="ELÉCTRICO"))&gt;0,"ELÉCTRICO: "&amp;_xlfn.TEXTJOIN(", ",TRUE,IF((BG296:CR296&lt;1)*(PARTIDAS!$I$2:$AT$2="ELÉCTRICO"),PARTIDAS!$I$1:$AT$1,"")),""),IF(SUMPRODUCT((BG296:CR296&lt;1)*(PARTIDAS!$I$2:$AT$2="TERMINACIONES"))&gt;0,"TERMINACIONES: "&amp;_xlfn.TEXTJOIN(", ",TRUE,IF((BG296:CR296&lt;1)*(PARTIDAS!$I$2:$AT$2="TERMINACIONES"),PARTIDAS!$I$1:$AT$1,"")),""))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6" s="43" t="str" cm="1">
        <f t="array" ref="CU296">_xlfn.TEXTJOIN(", ",TRUE,IF(SUMPRODUCT((BG296:CR296&lt;1)*(PARTIDAS!$I$2:$AT$2="OBRA GRUESA"))&gt;0,"OBRA GRUESA",""),IF(SUMPRODUCT((BG296:CR296&lt;1)*(PARTIDAS!$I$2:$AT$2="SANITARIOS"))&gt;0,"SANITARIOS",""),IF(SUMPRODUCT((BG296:CR296&lt;1)*(PARTIDAS!$I$2:$AT$2="ELÉCTRICO"))&gt;0,"ELÉCTRICO",""),IF(SUMPRODUCT((BG296:CR296&lt;1)*(PARTIDAS!$I$2:$AT$2="TERMINACIONES"))&gt;0,"TERMINACIONES",""))</f>
        <v>OBRA GRUESA, SANITARIOS, ELÉCTRICO, TERMINACIONES</v>
      </c>
      <c r="CV296" s="44" cm="1">
        <f t="array" ref="CV296">SUMPRODUCT(--(BG296:CR296&lt;1))</f>
        <v>38</v>
      </c>
    </row>
    <row r="297" spans="1:100" hidden="1" x14ac:dyDescent="0.25">
      <c r="A297" t="s">
        <v>355</v>
      </c>
      <c r="B297" t="s">
        <v>363</v>
      </c>
      <c r="C297">
        <v>2282600296</v>
      </c>
      <c r="D297" t="s">
        <v>58</v>
      </c>
      <c r="E297" s="2">
        <v>0</v>
      </c>
      <c r="F297" s="1">
        <v>46290</v>
      </c>
      <c r="G297" s="1"/>
      <c r="H297" s="1">
        <v>0</v>
      </c>
      <c r="I297" s="1">
        <v>46310</v>
      </c>
      <c r="J297">
        <v>46230</v>
      </c>
      <c r="K297" s="1"/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>
        <v>28.87</v>
      </c>
      <c r="BF297" s="3" t="str">
        <f>+IF(AVANCE[[#This Row],[% AVANCE]]=100%,"MODULO TERMINADO",IF(AVANCE[[#This Row],[FECHA INICIO REAL]]="","MODULO NO INICIADO","PENDIENTE"))</f>
        <v>MODULO NO INICIADO</v>
      </c>
      <c r="BG297" s="3">
        <f>+IF(AVANCE[[#This Row],[VENTANAS]]=8.10810810810811%,100%,AVANCE[[#This Row],[VENTANAS]])</f>
        <v>0</v>
      </c>
      <c r="BH297" s="3">
        <f>+IF(AVANCE[[#This Row],[PISO]]=N$2,100%,AVANCE[[#This Row],[PISO]])</f>
        <v>0</v>
      </c>
      <c r="BI297" s="3">
        <f>+IF(AVANCE[[#This Row],[TABIQUES]]=O$2,100%,AVANCE[[#This Row],[TABIQUES]])</f>
        <v>0</v>
      </c>
      <c r="BJ297" s="3">
        <f>+IF(AVANCE[[#This Row],[MUROS]]=P$2,100%,AVANCE[[#This Row],[MUROS]])</f>
        <v>0</v>
      </c>
      <c r="BK297" s="3">
        <f>+IF(AVANCE[[#This Row],[CIELO]]=Q$2,100%,AVANCE[[#This Row],[CIELO]])</f>
        <v>0</v>
      </c>
      <c r="BL297" s="3">
        <f>+IF(AVANCE[[#This Row],[BALCÓN]]=R$2,100%,AVANCE[[#This Row],[BALCÓN]])</f>
        <v>0</v>
      </c>
      <c r="BM297" s="3">
        <f>+IF(AVANCE[[#This Row],[RED ALCANTARILLADO]]=U$2,100%,AVANCE[[#This Row],[RED ALCANTARILLADO]])</f>
        <v>0</v>
      </c>
      <c r="BN297" s="3">
        <f>+IF(AVANCE[[#This Row],[RED DE AGUA]]=V$2,100%,AVANCE[[#This Row],[RED DE AGUA]])</f>
        <v>0</v>
      </c>
      <c r="BO297" s="3">
        <f>+IF(AVANCE[[#This Row],[VENTILACIONES]]=W$2,100%,AVANCE[[#This Row],[VENTILACIONES]])</f>
        <v>0</v>
      </c>
      <c r="BP297" s="3">
        <f>+IF(AVANCE[[#This Row],[TINA]]=X$2,100%,AVANCE[[#This Row],[TINA]])</f>
        <v>0</v>
      </c>
      <c r="BQ297" s="3">
        <f>+IF(AVANCE[[#This Row],[WC]]=Y$2,100%,AVANCE[[#This Row],[WC]])</f>
        <v>0</v>
      </c>
      <c r="BR297" s="3">
        <f>+IF(AVANCE[[#This Row],[LAVAMANOS / LAVAPLATOS / LAVADERO]]=Z$2,100%,AVANCE[[#This Row],[LAVAMANOS / LAVAPLATOS / LAVADERO]])</f>
        <v>0</v>
      </c>
      <c r="BS297" s="3">
        <f>+IF(AVANCE[[#This Row],[CANALIZACIÓN]]=AC$2,100%,AVANCE[[#This Row],[CANALIZACIÓN]])</f>
        <v>0</v>
      </c>
      <c r="BT297" s="3">
        <f>+IF(AVANCE[[#This Row],[CABLEADO]]=AD$2,100%,AVANCE[[#This Row],[CABLEADO]])</f>
        <v>0</v>
      </c>
      <c r="BU297" s="3">
        <f>+IF(AVANCE[[#This Row],[ARTEFACTOS]]=AE$2,100%,AVANCE[[#This Row],[ARTEFACTOS]])</f>
        <v>0</v>
      </c>
      <c r="BV297" s="3">
        <f>+IF(AVANCE[[#This Row],[TABLERO]]=AF$2,100%,AVANCE[[#This Row],[TABLERO]])</f>
        <v>0</v>
      </c>
      <c r="BW297" s="3">
        <f>+IF(AVANCE[[#This Row],[CAJA PAU]]=AG$2,100%,AVANCE[[#This Row],[CAJA PAU]])</f>
        <v>0</v>
      </c>
      <c r="BX297" s="3">
        <f>+IF(AVANCE[[#This Row],[INSTALACION VINILICO]]=AJ$2,100%,AVANCE[[#This Row],[INSTALACION VINILICO]])</f>
        <v>0</v>
      </c>
      <c r="BY297" s="3">
        <f>+IF(AVANCE[[#This Row],[OSB CUBIERTA]]=AK$2,100%,AVANCE[[#This Row],[OSB CUBIERTA]])</f>
        <v>0</v>
      </c>
      <c r="BZ297" s="3">
        <f>+IF(AVANCE[[#This Row],[BARANDA BALCON]]=AL$2,100%,AVANCE[[#This Row],[BARANDA BALCON]])</f>
        <v>0</v>
      </c>
      <c r="CA297" s="3">
        <f>+IF(AVANCE[[#This Row],[OSB EXTERIOR]]=AM$2,100%,AVANCE[[#This Row],[OSB EXTERIOR]])</f>
        <v>0</v>
      </c>
      <c r="CB297" s="3">
        <f>+IF(AVANCE[[#This Row],[SMART PANEL]]=AN$2,100%,AVANCE[[#This Row],[SMART PANEL]])</f>
        <v>0</v>
      </c>
      <c r="CC297" s="3">
        <f>+IF(AVANCE[[#This Row],[PINTURA EXTERIOR]]=AO$2,100%,AVANCE[[#This Row],[PINTURA EXTERIOR]])</f>
        <v>0</v>
      </c>
      <c r="CD297" s="3">
        <f>+IF(AVANCE[[#This Row],[ZOCALOS LOGIA]]=AP$2,100%,AVANCE[[#This Row],[ZOCALOS LOGIA]])</f>
        <v>0</v>
      </c>
      <c r="CE297" s="3">
        <f>+IF(AVANCE[[#This Row],[MOLDURAS]]=AQ$2,100%,AVANCE[[#This Row],[MOLDURAS]])</f>
        <v>0</v>
      </c>
      <c r="CF297" s="3">
        <f>+IF(AVANCE[[#This Row],[PILASTREO]]=AR$2,100%,AVANCE[[#This Row],[PILASTREO]])</f>
        <v>0</v>
      </c>
      <c r="CG297" s="3">
        <f>+IF(AVANCE[[#This Row],[CELOSIAS]]=AS$2,100%,AVANCE[[#This Row],[CELOSIAS]])</f>
        <v>0</v>
      </c>
      <c r="CH297" s="3">
        <f>+IF(AVANCE[[#This Row],[VENTANAS]]=AT$2,100%,AVANCE[[#This Row],[VENTANAS]])</f>
        <v>0</v>
      </c>
      <c r="CI297" s="3">
        <f>+IF(AVANCE[[#This Row],[PUERTAS ACCESO - LOGIA - BANO]]=AU$2,100%,AVANCE[[#This Row],[PUERTAS ACCESO - LOGIA - BANO]])</f>
        <v>0</v>
      </c>
      <c r="CJ297" s="3">
        <f>+IF(AVANCE[[#This Row],[CERRADURAS]]=AV$2,100%,AVANCE[[#This Row],[CERRADURAS]])</f>
        <v>0</v>
      </c>
      <c r="CK297" s="3">
        <f>+IF(AVANCE[[#This Row],[REVESTIMIENTO INTERIOR ZONA SECA]]=AW$2,100%,AVANCE[[#This Row],[REVESTIMIENTO INTERIOR ZONA SECA]])</f>
        <v>0</v>
      </c>
      <c r="CL297" s="3">
        <f>+IF(AVANCE[[#This Row],[REVESTIMIENTO INTERIOR ZONAS HUMEDAS]]=AX$2,100%,AVANCE[[#This Row],[REVESTIMIENTO INTERIOR ZONAS HUMEDAS]])</f>
        <v>0</v>
      </c>
      <c r="CM297" s="3">
        <f>+IF(AVANCE[[#This Row],[MEMBRANA CIELO]]=AY$2,100%,AVANCE[[#This Row],[MEMBRANA CIELO]])</f>
        <v>0</v>
      </c>
      <c r="CN297" s="3">
        <f>+IF(AVANCE[[#This Row],[LIMPIEZA FINAL]]=AZ$2,100%,AVANCE[[#This Row],[LIMPIEZA FINAL]])</f>
        <v>0</v>
      </c>
      <c r="CO297" s="3">
        <f>+IF(AVANCE[[#This Row],[PUERTAS DORMITORIO]]=BA$2,100%,AVANCE[[#This Row],[PUERTAS DORMITORIO]])</f>
        <v>0</v>
      </c>
      <c r="CP297" s="3">
        <f>+IF(AVANCE[[#This Row],[REVESTIMIENTO INTERIOR BANO]]=BB$2,100%,AVANCE[[#This Row],[REVESTIMIENTO INTERIOR BANO]])</f>
        <v>0</v>
      </c>
      <c r="CQ297" s="3">
        <f>+IF(AVANCE[[#This Row],[MUEBLE LAVAPLATOS]]=BC$2,100%,AVANCE[[#This Row],[MUEBLE LAVAPLATOS]])</f>
        <v>0</v>
      </c>
      <c r="CR297" s="3">
        <f>+IF(AVANCE[[#This Row],[IMPERMEABILIZACION BANO - COCINA LOGIA]]=BD$2,100%,AVANCE[[#This Row],[IMPERMEABILIZACION BANO - COCINA LOGIA]])</f>
        <v>0</v>
      </c>
      <c r="CS297" s="40">
        <f ca="1">+IF(AVANCE[[#This Row],[ESTADO MODULO]]="PENDIENTE",(TODAY()-AVANCE[[#This Row],[FECHA TERMINO  PLANIFICADO]]),0)</f>
        <v>0</v>
      </c>
      <c r="CT297" s="41" t="str" cm="1">
        <f t="array" ref="CT297">_xlfn.TEXTJOIN(" | ",TRUE,IF(SUMPRODUCT((BG297:CR297&lt;1)*(PARTIDAS!$I$2:$AT$2="OBRA GRUESA"))&gt;0,"OBRA GRUESA: "&amp;_xlfn.TEXTJOIN(", ",TRUE,IF((BG297:CR297&lt;1)*(PARTIDAS!$I$2:$AT$2="OBRA GRUESA"),PARTIDAS!$I$1:$AT$1,"")),""),IF(SUMPRODUCT((BG297:CR297&lt;1)*(PARTIDAS!$I$2:$AT$2="SANITARIOS"))&gt;0,"SANITARIOS: "&amp;_xlfn.TEXTJOIN(", ",TRUE,IF((BG297:CR297&lt;1)*(PARTIDAS!$I$2:$AT$2="SANITARIOS"),PARTIDAS!$I$1:$AT$1,"")),""),IF(SUMPRODUCT((BG297:CR297&lt;1)*(PARTIDAS!$I$2:$AT$2="ELÉCTRICO"))&gt;0,"ELÉCTRICO: "&amp;_xlfn.TEXTJOIN(", ",TRUE,IF((BG297:CR297&lt;1)*(PARTIDAS!$I$2:$AT$2="ELÉCTRICO"),PARTIDAS!$I$1:$AT$1,"")),""),IF(SUMPRODUCT((BG297:CR297&lt;1)*(PARTIDAS!$I$2:$AT$2="TERMINACIONES"))&gt;0,"TERMINACIONES: "&amp;_xlfn.TEXTJOIN(", ",TRUE,IF((BG297:CR297&lt;1)*(PARTIDAS!$I$2:$AT$2="TERMINACIONES"),PARTIDAS!$I$1:$AT$1,"")),""))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7" s="43" t="str" cm="1">
        <f t="array" ref="CU297">_xlfn.TEXTJOIN(", ",TRUE,IF(SUMPRODUCT((BG297:CR297&lt;1)*(PARTIDAS!$I$2:$AT$2="OBRA GRUESA"))&gt;0,"OBRA GRUESA",""),IF(SUMPRODUCT((BG297:CR297&lt;1)*(PARTIDAS!$I$2:$AT$2="SANITARIOS"))&gt;0,"SANITARIOS",""),IF(SUMPRODUCT((BG297:CR297&lt;1)*(PARTIDAS!$I$2:$AT$2="ELÉCTRICO"))&gt;0,"ELÉCTRICO",""),IF(SUMPRODUCT((BG297:CR297&lt;1)*(PARTIDAS!$I$2:$AT$2="TERMINACIONES"))&gt;0,"TERMINACIONES",""))</f>
        <v>OBRA GRUESA, SANITARIOS, ELÉCTRICO, TERMINACIONES</v>
      </c>
      <c r="CV297" s="44" cm="1">
        <f t="array" ref="CV297">SUMPRODUCT(--(BG297:CR297&lt;1))</f>
        <v>38</v>
      </c>
    </row>
    <row r="298" spans="1:100" hidden="1" x14ac:dyDescent="0.25">
      <c r="A298" t="s">
        <v>355</v>
      </c>
      <c r="B298" t="s">
        <v>364</v>
      </c>
      <c r="C298">
        <v>2282600297</v>
      </c>
      <c r="D298" t="s">
        <v>58</v>
      </c>
      <c r="E298" s="2">
        <v>0</v>
      </c>
      <c r="F298" s="1">
        <v>46290</v>
      </c>
      <c r="G298" s="1"/>
      <c r="H298" s="1">
        <v>0</v>
      </c>
      <c r="I298" s="1">
        <v>46310</v>
      </c>
      <c r="J298">
        <v>46230</v>
      </c>
      <c r="K298" s="1"/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>
        <v>28.87</v>
      </c>
      <c r="BF298" s="3" t="str">
        <f>+IF(AVANCE[[#This Row],[% AVANCE]]=100%,"MODULO TERMINADO",IF(AVANCE[[#This Row],[FECHA INICIO REAL]]="","MODULO NO INICIADO","PENDIENTE"))</f>
        <v>MODULO NO INICIADO</v>
      </c>
      <c r="BG298" s="3">
        <f>+IF(AVANCE[[#This Row],[VENTANAS]]=8.10810810810811%,100%,AVANCE[[#This Row],[VENTANAS]])</f>
        <v>0</v>
      </c>
      <c r="BH298" s="3">
        <f>+IF(AVANCE[[#This Row],[PISO]]=N$2,100%,AVANCE[[#This Row],[PISO]])</f>
        <v>0</v>
      </c>
      <c r="BI298" s="3">
        <f>+IF(AVANCE[[#This Row],[TABIQUES]]=O$2,100%,AVANCE[[#This Row],[TABIQUES]])</f>
        <v>0</v>
      </c>
      <c r="BJ298" s="3">
        <f>+IF(AVANCE[[#This Row],[MUROS]]=P$2,100%,AVANCE[[#This Row],[MUROS]])</f>
        <v>0</v>
      </c>
      <c r="BK298" s="3">
        <f>+IF(AVANCE[[#This Row],[CIELO]]=Q$2,100%,AVANCE[[#This Row],[CIELO]])</f>
        <v>0</v>
      </c>
      <c r="BL298" s="3">
        <f>+IF(AVANCE[[#This Row],[BALCÓN]]=R$2,100%,AVANCE[[#This Row],[BALCÓN]])</f>
        <v>0</v>
      </c>
      <c r="BM298" s="3">
        <f>+IF(AVANCE[[#This Row],[RED ALCANTARILLADO]]=U$2,100%,AVANCE[[#This Row],[RED ALCANTARILLADO]])</f>
        <v>0</v>
      </c>
      <c r="BN298" s="3">
        <f>+IF(AVANCE[[#This Row],[RED DE AGUA]]=V$2,100%,AVANCE[[#This Row],[RED DE AGUA]])</f>
        <v>0</v>
      </c>
      <c r="BO298" s="3">
        <f>+IF(AVANCE[[#This Row],[VENTILACIONES]]=W$2,100%,AVANCE[[#This Row],[VENTILACIONES]])</f>
        <v>0</v>
      </c>
      <c r="BP298" s="3">
        <f>+IF(AVANCE[[#This Row],[TINA]]=X$2,100%,AVANCE[[#This Row],[TINA]])</f>
        <v>0</v>
      </c>
      <c r="BQ298" s="3">
        <f>+IF(AVANCE[[#This Row],[WC]]=Y$2,100%,AVANCE[[#This Row],[WC]])</f>
        <v>0</v>
      </c>
      <c r="BR298" s="3">
        <f>+IF(AVANCE[[#This Row],[LAVAMANOS / LAVAPLATOS / LAVADERO]]=Z$2,100%,AVANCE[[#This Row],[LAVAMANOS / LAVAPLATOS / LAVADERO]])</f>
        <v>0</v>
      </c>
      <c r="BS298" s="3">
        <f>+IF(AVANCE[[#This Row],[CANALIZACIÓN]]=AC$2,100%,AVANCE[[#This Row],[CANALIZACIÓN]])</f>
        <v>0</v>
      </c>
      <c r="BT298" s="3">
        <f>+IF(AVANCE[[#This Row],[CABLEADO]]=AD$2,100%,AVANCE[[#This Row],[CABLEADO]])</f>
        <v>0</v>
      </c>
      <c r="BU298" s="3">
        <f>+IF(AVANCE[[#This Row],[ARTEFACTOS]]=AE$2,100%,AVANCE[[#This Row],[ARTEFACTOS]])</f>
        <v>0</v>
      </c>
      <c r="BV298" s="3">
        <f>+IF(AVANCE[[#This Row],[TABLERO]]=AF$2,100%,AVANCE[[#This Row],[TABLERO]])</f>
        <v>0</v>
      </c>
      <c r="BW298" s="3">
        <f>+IF(AVANCE[[#This Row],[CAJA PAU]]=AG$2,100%,AVANCE[[#This Row],[CAJA PAU]])</f>
        <v>0</v>
      </c>
      <c r="BX298" s="3">
        <f>+IF(AVANCE[[#This Row],[INSTALACION VINILICO]]=AJ$2,100%,AVANCE[[#This Row],[INSTALACION VINILICO]])</f>
        <v>0</v>
      </c>
      <c r="BY298" s="3">
        <f>+IF(AVANCE[[#This Row],[OSB CUBIERTA]]=AK$2,100%,AVANCE[[#This Row],[OSB CUBIERTA]])</f>
        <v>0</v>
      </c>
      <c r="BZ298" s="3">
        <f>+IF(AVANCE[[#This Row],[BARANDA BALCON]]=AL$2,100%,AVANCE[[#This Row],[BARANDA BALCON]])</f>
        <v>0</v>
      </c>
      <c r="CA298" s="3">
        <f>+IF(AVANCE[[#This Row],[OSB EXTERIOR]]=AM$2,100%,AVANCE[[#This Row],[OSB EXTERIOR]])</f>
        <v>0</v>
      </c>
      <c r="CB298" s="3">
        <f>+IF(AVANCE[[#This Row],[SMART PANEL]]=AN$2,100%,AVANCE[[#This Row],[SMART PANEL]])</f>
        <v>0</v>
      </c>
      <c r="CC298" s="3">
        <f>+IF(AVANCE[[#This Row],[PINTURA EXTERIOR]]=AO$2,100%,AVANCE[[#This Row],[PINTURA EXTERIOR]])</f>
        <v>0</v>
      </c>
      <c r="CD298" s="3">
        <f>+IF(AVANCE[[#This Row],[ZOCALOS LOGIA]]=AP$2,100%,AVANCE[[#This Row],[ZOCALOS LOGIA]])</f>
        <v>0</v>
      </c>
      <c r="CE298" s="3">
        <f>+IF(AVANCE[[#This Row],[MOLDURAS]]=AQ$2,100%,AVANCE[[#This Row],[MOLDURAS]])</f>
        <v>0</v>
      </c>
      <c r="CF298" s="3">
        <f>+IF(AVANCE[[#This Row],[PILASTREO]]=AR$2,100%,AVANCE[[#This Row],[PILASTREO]])</f>
        <v>0</v>
      </c>
      <c r="CG298" s="3">
        <f>+IF(AVANCE[[#This Row],[CELOSIAS]]=AS$2,100%,AVANCE[[#This Row],[CELOSIAS]])</f>
        <v>0</v>
      </c>
      <c r="CH298" s="3">
        <f>+IF(AVANCE[[#This Row],[VENTANAS]]=AT$2,100%,AVANCE[[#This Row],[VENTANAS]])</f>
        <v>0</v>
      </c>
      <c r="CI298" s="3">
        <f>+IF(AVANCE[[#This Row],[PUERTAS ACCESO - LOGIA - BANO]]=AU$2,100%,AVANCE[[#This Row],[PUERTAS ACCESO - LOGIA - BANO]])</f>
        <v>0</v>
      </c>
      <c r="CJ298" s="3">
        <f>+IF(AVANCE[[#This Row],[CERRADURAS]]=AV$2,100%,AVANCE[[#This Row],[CERRADURAS]])</f>
        <v>0</v>
      </c>
      <c r="CK298" s="3">
        <f>+IF(AVANCE[[#This Row],[REVESTIMIENTO INTERIOR ZONA SECA]]=AW$2,100%,AVANCE[[#This Row],[REVESTIMIENTO INTERIOR ZONA SECA]])</f>
        <v>0</v>
      </c>
      <c r="CL298" s="3">
        <f>+IF(AVANCE[[#This Row],[REVESTIMIENTO INTERIOR ZONAS HUMEDAS]]=AX$2,100%,AVANCE[[#This Row],[REVESTIMIENTO INTERIOR ZONAS HUMEDAS]])</f>
        <v>0</v>
      </c>
      <c r="CM298" s="3">
        <f>+IF(AVANCE[[#This Row],[MEMBRANA CIELO]]=AY$2,100%,AVANCE[[#This Row],[MEMBRANA CIELO]])</f>
        <v>0</v>
      </c>
      <c r="CN298" s="3">
        <f>+IF(AVANCE[[#This Row],[LIMPIEZA FINAL]]=AZ$2,100%,AVANCE[[#This Row],[LIMPIEZA FINAL]])</f>
        <v>0</v>
      </c>
      <c r="CO298" s="3">
        <f>+IF(AVANCE[[#This Row],[PUERTAS DORMITORIO]]=BA$2,100%,AVANCE[[#This Row],[PUERTAS DORMITORIO]])</f>
        <v>0</v>
      </c>
      <c r="CP298" s="3">
        <f>+IF(AVANCE[[#This Row],[REVESTIMIENTO INTERIOR BANO]]=BB$2,100%,AVANCE[[#This Row],[REVESTIMIENTO INTERIOR BANO]])</f>
        <v>0</v>
      </c>
      <c r="CQ298" s="3">
        <f>+IF(AVANCE[[#This Row],[MUEBLE LAVAPLATOS]]=BC$2,100%,AVANCE[[#This Row],[MUEBLE LAVAPLATOS]])</f>
        <v>0</v>
      </c>
      <c r="CR298" s="3">
        <f>+IF(AVANCE[[#This Row],[IMPERMEABILIZACION BANO - COCINA LOGIA]]=BD$2,100%,AVANCE[[#This Row],[IMPERMEABILIZACION BANO - COCINA LOGIA]])</f>
        <v>0</v>
      </c>
      <c r="CS298" s="40">
        <f ca="1">+IF(AVANCE[[#This Row],[ESTADO MODULO]]="PENDIENTE",(TODAY()-AVANCE[[#This Row],[FECHA TERMINO  PLANIFICADO]]),0)</f>
        <v>0</v>
      </c>
      <c r="CT298" s="41" t="str" cm="1">
        <f t="array" ref="CT298">_xlfn.TEXTJOIN(" | ",TRUE,IF(SUMPRODUCT((BG298:CR298&lt;1)*(PARTIDAS!$I$2:$AT$2="OBRA GRUESA"))&gt;0,"OBRA GRUESA: "&amp;_xlfn.TEXTJOIN(", ",TRUE,IF((BG298:CR298&lt;1)*(PARTIDAS!$I$2:$AT$2="OBRA GRUESA"),PARTIDAS!$I$1:$AT$1,"")),""),IF(SUMPRODUCT((BG298:CR298&lt;1)*(PARTIDAS!$I$2:$AT$2="SANITARIOS"))&gt;0,"SANITARIOS: "&amp;_xlfn.TEXTJOIN(", ",TRUE,IF((BG298:CR298&lt;1)*(PARTIDAS!$I$2:$AT$2="SANITARIOS"),PARTIDAS!$I$1:$AT$1,"")),""),IF(SUMPRODUCT((BG298:CR298&lt;1)*(PARTIDAS!$I$2:$AT$2="ELÉCTRICO"))&gt;0,"ELÉCTRICO: "&amp;_xlfn.TEXTJOIN(", ",TRUE,IF((BG298:CR298&lt;1)*(PARTIDAS!$I$2:$AT$2="ELÉCTRICO"),PARTIDAS!$I$1:$AT$1,"")),""),IF(SUMPRODUCT((BG298:CR298&lt;1)*(PARTIDAS!$I$2:$AT$2="TERMINACIONES"))&gt;0,"TERMINACIONES: "&amp;_xlfn.TEXTJOIN(", ",TRUE,IF((BG298:CR298&lt;1)*(PARTIDAS!$I$2:$AT$2="TERMINACIONES"),PARTIDAS!$I$1:$AT$1,"")),""))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8" s="43" t="str" cm="1">
        <f t="array" ref="CU298">_xlfn.TEXTJOIN(", ",TRUE,IF(SUMPRODUCT((BG298:CR298&lt;1)*(PARTIDAS!$I$2:$AT$2="OBRA GRUESA"))&gt;0,"OBRA GRUESA",""),IF(SUMPRODUCT((BG298:CR298&lt;1)*(PARTIDAS!$I$2:$AT$2="SANITARIOS"))&gt;0,"SANITARIOS",""),IF(SUMPRODUCT((BG298:CR298&lt;1)*(PARTIDAS!$I$2:$AT$2="ELÉCTRICO"))&gt;0,"ELÉCTRICO",""),IF(SUMPRODUCT((BG298:CR298&lt;1)*(PARTIDAS!$I$2:$AT$2="TERMINACIONES"))&gt;0,"TERMINACIONES",""))</f>
        <v>OBRA GRUESA, SANITARIOS, ELÉCTRICO, TERMINACIONES</v>
      </c>
      <c r="CV298" s="44" cm="1">
        <f t="array" ref="CV298">SUMPRODUCT(--(BG298:CR298&lt;1))</f>
        <v>38</v>
      </c>
    </row>
    <row r="299" spans="1:100" hidden="1" x14ac:dyDescent="0.25">
      <c r="A299" t="s">
        <v>355</v>
      </c>
      <c r="B299" t="s">
        <v>365</v>
      </c>
      <c r="C299">
        <v>2302600298</v>
      </c>
      <c r="D299" t="s">
        <v>60</v>
      </c>
      <c r="E299" s="2">
        <v>0</v>
      </c>
      <c r="F299" s="1">
        <v>46290</v>
      </c>
      <c r="G299" s="1"/>
      <c r="H299" s="1">
        <v>0</v>
      </c>
      <c r="I299" s="1">
        <v>46320</v>
      </c>
      <c r="J299">
        <v>46230</v>
      </c>
      <c r="K299" s="1"/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>
        <v>31.32</v>
      </c>
      <c r="BF299" s="3" t="str">
        <f>+IF(AVANCE[[#This Row],[% AVANCE]]=100%,"MODULO TERMINADO",IF(AVANCE[[#This Row],[FECHA INICIO REAL]]="","MODULO NO INICIADO","PENDIENTE"))</f>
        <v>MODULO NO INICIADO</v>
      </c>
      <c r="BG299" s="3">
        <f>+IF(AVANCE[[#This Row],[VENTANAS]]=8.10810810810811%,100%,AVANCE[[#This Row],[VENTANAS]])</f>
        <v>0</v>
      </c>
      <c r="BH299" s="3">
        <f>+IF(AVANCE[[#This Row],[PISO]]=N$2,100%,AVANCE[[#This Row],[PISO]])</f>
        <v>0</v>
      </c>
      <c r="BI299" s="3">
        <f>+IF(AVANCE[[#This Row],[TABIQUES]]=O$2,100%,AVANCE[[#This Row],[TABIQUES]])</f>
        <v>0</v>
      </c>
      <c r="BJ299" s="3">
        <f>+IF(AVANCE[[#This Row],[MUROS]]=P$2,100%,AVANCE[[#This Row],[MUROS]])</f>
        <v>0</v>
      </c>
      <c r="BK299" s="3">
        <f>+IF(AVANCE[[#This Row],[CIELO]]=Q$2,100%,AVANCE[[#This Row],[CIELO]])</f>
        <v>0</v>
      </c>
      <c r="BL299" s="3">
        <f>+IF(AVANCE[[#This Row],[BALCÓN]]=R$2,100%,AVANCE[[#This Row],[BALCÓN]])</f>
        <v>0</v>
      </c>
      <c r="BM299" s="3">
        <f>+IF(AVANCE[[#This Row],[RED ALCANTARILLADO]]=U$2,100%,AVANCE[[#This Row],[RED ALCANTARILLADO]])</f>
        <v>0</v>
      </c>
      <c r="BN299" s="3">
        <f>+IF(AVANCE[[#This Row],[RED DE AGUA]]=V$2,100%,AVANCE[[#This Row],[RED DE AGUA]])</f>
        <v>0</v>
      </c>
      <c r="BO299" s="3">
        <f>+IF(AVANCE[[#This Row],[VENTILACIONES]]=W$2,100%,AVANCE[[#This Row],[VENTILACIONES]])</f>
        <v>0</v>
      </c>
      <c r="BP299" s="3">
        <f>+IF(AVANCE[[#This Row],[TINA]]=X$2,100%,AVANCE[[#This Row],[TINA]])</f>
        <v>0</v>
      </c>
      <c r="BQ299" s="3">
        <f>+IF(AVANCE[[#This Row],[WC]]=Y$2,100%,AVANCE[[#This Row],[WC]])</f>
        <v>0</v>
      </c>
      <c r="BR299" s="3">
        <f>+IF(AVANCE[[#This Row],[LAVAMANOS / LAVAPLATOS / LAVADERO]]=Z$2,100%,AVANCE[[#This Row],[LAVAMANOS / LAVAPLATOS / LAVADERO]])</f>
        <v>0</v>
      </c>
      <c r="BS299" s="3">
        <f>+IF(AVANCE[[#This Row],[CANALIZACIÓN]]=AC$2,100%,AVANCE[[#This Row],[CANALIZACIÓN]])</f>
        <v>0</v>
      </c>
      <c r="BT299" s="3">
        <f>+IF(AVANCE[[#This Row],[CABLEADO]]=AD$2,100%,AVANCE[[#This Row],[CABLEADO]])</f>
        <v>0</v>
      </c>
      <c r="BU299" s="3">
        <f>+IF(AVANCE[[#This Row],[ARTEFACTOS]]=AE$2,100%,AVANCE[[#This Row],[ARTEFACTOS]])</f>
        <v>0</v>
      </c>
      <c r="BV299" s="3">
        <f>+IF(AVANCE[[#This Row],[TABLERO]]=AF$2,100%,AVANCE[[#This Row],[TABLERO]])</f>
        <v>0</v>
      </c>
      <c r="BW299" s="3">
        <f>+IF(AVANCE[[#This Row],[CAJA PAU]]=AG$2,100%,AVANCE[[#This Row],[CAJA PAU]])</f>
        <v>0</v>
      </c>
      <c r="BX299" s="3">
        <f>+IF(AVANCE[[#This Row],[INSTALACION VINILICO]]=AJ$2,100%,AVANCE[[#This Row],[INSTALACION VINILICO]])</f>
        <v>0</v>
      </c>
      <c r="BY299" s="3">
        <f>+IF(AVANCE[[#This Row],[OSB CUBIERTA]]=AK$2,100%,AVANCE[[#This Row],[OSB CUBIERTA]])</f>
        <v>0</v>
      </c>
      <c r="BZ299" s="3">
        <f>+IF(AVANCE[[#This Row],[BARANDA BALCON]]=AL$2,100%,AVANCE[[#This Row],[BARANDA BALCON]])</f>
        <v>0</v>
      </c>
      <c r="CA299" s="3">
        <f>+IF(AVANCE[[#This Row],[OSB EXTERIOR]]=AM$2,100%,AVANCE[[#This Row],[OSB EXTERIOR]])</f>
        <v>0</v>
      </c>
      <c r="CB299" s="3">
        <f>+IF(AVANCE[[#This Row],[SMART PANEL]]=AN$2,100%,AVANCE[[#This Row],[SMART PANEL]])</f>
        <v>0</v>
      </c>
      <c r="CC299" s="3">
        <f>+IF(AVANCE[[#This Row],[PINTURA EXTERIOR]]=AO$2,100%,AVANCE[[#This Row],[PINTURA EXTERIOR]])</f>
        <v>0</v>
      </c>
      <c r="CD299" s="3">
        <f>+IF(AVANCE[[#This Row],[ZOCALOS LOGIA]]=AP$2,100%,AVANCE[[#This Row],[ZOCALOS LOGIA]])</f>
        <v>0</v>
      </c>
      <c r="CE299" s="3">
        <f>+IF(AVANCE[[#This Row],[MOLDURAS]]=AQ$2,100%,AVANCE[[#This Row],[MOLDURAS]])</f>
        <v>0</v>
      </c>
      <c r="CF299" s="3">
        <f>+IF(AVANCE[[#This Row],[PILASTREO]]=AR$2,100%,AVANCE[[#This Row],[PILASTREO]])</f>
        <v>0</v>
      </c>
      <c r="CG299" s="3">
        <f>+IF(AVANCE[[#This Row],[CELOSIAS]]=AS$2,100%,AVANCE[[#This Row],[CELOSIAS]])</f>
        <v>0</v>
      </c>
      <c r="CH299" s="3">
        <f>+IF(AVANCE[[#This Row],[VENTANAS]]=AT$2,100%,AVANCE[[#This Row],[VENTANAS]])</f>
        <v>0</v>
      </c>
      <c r="CI299" s="3">
        <f>+IF(AVANCE[[#This Row],[PUERTAS ACCESO - LOGIA - BANO]]=AU$2,100%,AVANCE[[#This Row],[PUERTAS ACCESO - LOGIA - BANO]])</f>
        <v>0</v>
      </c>
      <c r="CJ299" s="3">
        <f>+IF(AVANCE[[#This Row],[CERRADURAS]]=AV$2,100%,AVANCE[[#This Row],[CERRADURAS]])</f>
        <v>0</v>
      </c>
      <c r="CK299" s="3">
        <f>+IF(AVANCE[[#This Row],[REVESTIMIENTO INTERIOR ZONA SECA]]=AW$2,100%,AVANCE[[#This Row],[REVESTIMIENTO INTERIOR ZONA SECA]])</f>
        <v>0</v>
      </c>
      <c r="CL299" s="3">
        <f>+IF(AVANCE[[#This Row],[REVESTIMIENTO INTERIOR ZONAS HUMEDAS]]=AX$2,100%,AVANCE[[#This Row],[REVESTIMIENTO INTERIOR ZONAS HUMEDAS]])</f>
        <v>0</v>
      </c>
      <c r="CM299" s="3">
        <f>+IF(AVANCE[[#This Row],[MEMBRANA CIELO]]=AY$2,100%,AVANCE[[#This Row],[MEMBRANA CIELO]])</f>
        <v>0</v>
      </c>
      <c r="CN299" s="3">
        <f>+IF(AVANCE[[#This Row],[LIMPIEZA FINAL]]=AZ$2,100%,AVANCE[[#This Row],[LIMPIEZA FINAL]])</f>
        <v>0</v>
      </c>
      <c r="CO299" s="3">
        <f>+IF(AVANCE[[#This Row],[PUERTAS DORMITORIO]]=BA$2,100%,AVANCE[[#This Row],[PUERTAS DORMITORIO]])</f>
        <v>0</v>
      </c>
      <c r="CP299" s="3">
        <f>+IF(AVANCE[[#This Row],[REVESTIMIENTO INTERIOR BANO]]=BB$2,100%,AVANCE[[#This Row],[REVESTIMIENTO INTERIOR BANO]])</f>
        <v>0</v>
      </c>
      <c r="CQ299" s="3">
        <f>+IF(AVANCE[[#This Row],[MUEBLE LAVAPLATOS]]=BC$2,100%,AVANCE[[#This Row],[MUEBLE LAVAPLATOS]])</f>
        <v>0</v>
      </c>
      <c r="CR299" s="3">
        <f>+IF(AVANCE[[#This Row],[IMPERMEABILIZACION BANO - COCINA LOGIA]]=BD$2,100%,AVANCE[[#This Row],[IMPERMEABILIZACION BANO - COCINA LOGIA]])</f>
        <v>0</v>
      </c>
      <c r="CS299" s="40">
        <f ca="1">+IF(AVANCE[[#This Row],[ESTADO MODULO]]="PENDIENTE",(TODAY()-AVANCE[[#This Row],[FECHA TERMINO  PLANIFICADO]]),0)</f>
        <v>0</v>
      </c>
      <c r="CT299" s="41" t="str" cm="1">
        <f t="array" ref="CT299">_xlfn.TEXTJOIN(" | ",TRUE,IF(SUMPRODUCT((BG299:CR299&lt;1)*(PARTIDAS!$I$2:$AT$2="OBRA GRUESA"))&gt;0,"OBRA GRUESA: "&amp;_xlfn.TEXTJOIN(", ",TRUE,IF((BG299:CR299&lt;1)*(PARTIDAS!$I$2:$AT$2="OBRA GRUESA"),PARTIDAS!$I$1:$AT$1,"")),""),IF(SUMPRODUCT((BG299:CR299&lt;1)*(PARTIDAS!$I$2:$AT$2="SANITARIOS"))&gt;0,"SANITARIOS: "&amp;_xlfn.TEXTJOIN(", ",TRUE,IF((BG299:CR299&lt;1)*(PARTIDAS!$I$2:$AT$2="SANITARIOS"),PARTIDAS!$I$1:$AT$1,"")),""),IF(SUMPRODUCT((BG299:CR299&lt;1)*(PARTIDAS!$I$2:$AT$2="ELÉCTRICO"))&gt;0,"ELÉCTRICO: "&amp;_xlfn.TEXTJOIN(", ",TRUE,IF((BG299:CR299&lt;1)*(PARTIDAS!$I$2:$AT$2="ELÉCTRICO"),PARTIDAS!$I$1:$AT$1,"")),""),IF(SUMPRODUCT((BG299:CR299&lt;1)*(PARTIDAS!$I$2:$AT$2="TERMINACIONES"))&gt;0,"TERMINACIONES: "&amp;_xlfn.TEXTJOIN(", ",TRUE,IF((BG299:CR299&lt;1)*(PARTIDAS!$I$2:$AT$2="TERMINACIONES"),PARTIDAS!$I$1:$AT$1,"")),""))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299" s="43" t="str" cm="1">
        <f t="array" ref="CU299">_xlfn.TEXTJOIN(", ",TRUE,IF(SUMPRODUCT((BG299:CR299&lt;1)*(PARTIDAS!$I$2:$AT$2="OBRA GRUESA"))&gt;0,"OBRA GRUESA",""),IF(SUMPRODUCT((BG299:CR299&lt;1)*(PARTIDAS!$I$2:$AT$2="SANITARIOS"))&gt;0,"SANITARIOS",""),IF(SUMPRODUCT((BG299:CR299&lt;1)*(PARTIDAS!$I$2:$AT$2="ELÉCTRICO"))&gt;0,"ELÉCTRICO",""),IF(SUMPRODUCT((BG299:CR299&lt;1)*(PARTIDAS!$I$2:$AT$2="TERMINACIONES"))&gt;0,"TERMINACIONES",""))</f>
        <v>OBRA GRUESA, SANITARIOS, ELÉCTRICO, TERMINACIONES</v>
      </c>
      <c r="CV299" s="44" cm="1">
        <f t="array" ref="CV299">SUMPRODUCT(--(BG299:CR299&lt;1))</f>
        <v>38</v>
      </c>
    </row>
    <row r="300" spans="1:100" hidden="1" x14ac:dyDescent="0.25">
      <c r="A300" t="s">
        <v>355</v>
      </c>
      <c r="B300" t="s">
        <v>366</v>
      </c>
      <c r="C300">
        <v>2302600299</v>
      </c>
      <c r="D300" t="s">
        <v>60</v>
      </c>
      <c r="E300" s="2">
        <v>0</v>
      </c>
      <c r="F300" s="1">
        <v>46293</v>
      </c>
      <c r="G300" s="1"/>
      <c r="H300" s="1">
        <v>0</v>
      </c>
      <c r="I300" s="1">
        <v>46323</v>
      </c>
      <c r="J300">
        <v>46230</v>
      </c>
      <c r="K300" s="1"/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>
        <v>31.32</v>
      </c>
      <c r="BF300" s="3" t="str">
        <f>+IF(AVANCE[[#This Row],[% AVANCE]]=100%,"MODULO TERMINADO",IF(AVANCE[[#This Row],[FECHA INICIO REAL]]="","MODULO NO INICIADO","PENDIENTE"))</f>
        <v>MODULO NO INICIADO</v>
      </c>
      <c r="BG300" s="3">
        <f>+IF(AVANCE[[#This Row],[VENTANAS]]=8.10810810810811%,100%,AVANCE[[#This Row],[VENTANAS]])</f>
        <v>0</v>
      </c>
      <c r="BH300" s="3">
        <f>+IF(AVANCE[[#This Row],[PISO]]=N$2,100%,AVANCE[[#This Row],[PISO]])</f>
        <v>0</v>
      </c>
      <c r="BI300" s="3">
        <f>+IF(AVANCE[[#This Row],[TABIQUES]]=O$2,100%,AVANCE[[#This Row],[TABIQUES]])</f>
        <v>0</v>
      </c>
      <c r="BJ300" s="3">
        <f>+IF(AVANCE[[#This Row],[MUROS]]=P$2,100%,AVANCE[[#This Row],[MUROS]])</f>
        <v>0</v>
      </c>
      <c r="BK300" s="3">
        <f>+IF(AVANCE[[#This Row],[CIELO]]=Q$2,100%,AVANCE[[#This Row],[CIELO]])</f>
        <v>0</v>
      </c>
      <c r="BL300" s="3">
        <f>+IF(AVANCE[[#This Row],[BALCÓN]]=R$2,100%,AVANCE[[#This Row],[BALCÓN]])</f>
        <v>0</v>
      </c>
      <c r="BM300" s="3">
        <f>+IF(AVANCE[[#This Row],[RED ALCANTARILLADO]]=U$2,100%,AVANCE[[#This Row],[RED ALCANTARILLADO]])</f>
        <v>0</v>
      </c>
      <c r="BN300" s="3">
        <f>+IF(AVANCE[[#This Row],[RED DE AGUA]]=V$2,100%,AVANCE[[#This Row],[RED DE AGUA]])</f>
        <v>0</v>
      </c>
      <c r="BO300" s="3">
        <f>+IF(AVANCE[[#This Row],[VENTILACIONES]]=W$2,100%,AVANCE[[#This Row],[VENTILACIONES]])</f>
        <v>0</v>
      </c>
      <c r="BP300" s="3">
        <f>+IF(AVANCE[[#This Row],[TINA]]=X$2,100%,AVANCE[[#This Row],[TINA]])</f>
        <v>0</v>
      </c>
      <c r="BQ300" s="3">
        <f>+IF(AVANCE[[#This Row],[WC]]=Y$2,100%,AVANCE[[#This Row],[WC]])</f>
        <v>0</v>
      </c>
      <c r="BR300" s="3">
        <f>+IF(AVANCE[[#This Row],[LAVAMANOS / LAVAPLATOS / LAVADERO]]=Z$2,100%,AVANCE[[#This Row],[LAVAMANOS / LAVAPLATOS / LAVADERO]])</f>
        <v>0</v>
      </c>
      <c r="BS300" s="3">
        <f>+IF(AVANCE[[#This Row],[CANALIZACIÓN]]=AC$2,100%,AVANCE[[#This Row],[CANALIZACIÓN]])</f>
        <v>0</v>
      </c>
      <c r="BT300" s="3">
        <f>+IF(AVANCE[[#This Row],[CABLEADO]]=AD$2,100%,AVANCE[[#This Row],[CABLEADO]])</f>
        <v>0</v>
      </c>
      <c r="BU300" s="3">
        <f>+IF(AVANCE[[#This Row],[ARTEFACTOS]]=AE$2,100%,AVANCE[[#This Row],[ARTEFACTOS]])</f>
        <v>0</v>
      </c>
      <c r="BV300" s="3">
        <f>+IF(AVANCE[[#This Row],[TABLERO]]=AF$2,100%,AVANCE[[#This Row],[TABLERO]])</f>
        <v>0</v>
      </c>
      <c r="BW300" s="3">
        <f>+IF(AVANCE[[#This Row],[CAJA PAU]]=AG$2,100%,AVANCE[[#This Row],[CAJA PAU]])</f>
        <v>0</v>
      </c>
      <c r="BX300" s="3">
        <f>+IF(AVANCE[[#This Row],[INSTALACION VINILICO]]=AJ$2,100%,AVANCE[[#This Row],[INSTALACION VINILICO]])</f>
        <v>0</v>
      </c>
      <c r="BY300" s="3">
        <f>+IF(AVANCE[[#This Row],[OSB CUBIERTA]]=AK$2,100%,AVANCE[[#This Row],[OSB CUBIERTA]])</f>
        <v>0</v>
      </c>
      <c r="BZ300" s="3">
        <f>+IF(AVANCE[[#This Row],[BARANDA BALCON]]=AL$2,100%,AVANCE[[#This Row],[BARANDA BALCON]])</f>
        <v>0</v>
      </c>
      <c r="CA300" s="3">
        <f>+IF(AVANCE[[#This Row],[OSB EXTERIOR]]=AM$2,100%,AVANCE[[#This Row],[OSB EXTERIOR]])</f>
        <v>0</v>
      </c>
      <c r="CB300" s="3">
        <f>+IF(AVANCE[[#This Row],[SMART PANEL]]=AN$2,100%,AVANCE[[#This Row],[SMART PANEL]])</f>
        <v>0</v>
      </c>
      <c r="CC300" s="3">
        <f>+IF(AVANCE[[#This Row],[PINTURA EXTERIOR]]=AO$2,100%,AVANCE[[#This Row],[PINTURA EXTERIOR]])</f>
        <v>0</v>
      </c>
      <c r="CD300" s="3">
        <f>+IF(AVANCE[[#This Row],[ZOCALOS LOGIA]]=AP$2,100%,AVANCE[[#This Row],[ZOCALOS LOGIA]])</f>
        <v>0</v>
      </c>
      <c r="CE300" s="3">
        <f>+IF(AVANCE[[#This Row],[MOLDURAS]]=AQ$2,100%,AVANCE[[#This Row],[MOLDURAS]])</f>
        <v>0</v>
      </c>
      <c r="CF300" s="3">
        <f>+IF(AVANCE[[#This Row],[PILASTREO]]=AR$2,100%,AVANCE[[#This Row],[PILASTREO]])</f>
        <v>0</v>
      </c>
      <c r="CG300" s="3">
        <f>+IF(AVANCE[[#This Row],[CELOSIAS]]=AS$2,100%,AVANCE[[#This Row],[CELOSIAS]])</f>
        <v>0</v>
      </c>
      <c r="CH300" s="3">
        <f>+IF(AVANCE[[#This Row],[VENTANAS]]=AT$2,100%,AVANCE[[#This Row],[VENTANAS]])</f>
        <v>0</v>
      </c>
      <c r="CI300" s="3">
        <f>+IF(AVANCE[[#This Row],[PUERTAS ACCESO - LOGIA - BANO]]=AU$2,100%,AVANCE[[#This Row],[PUERTAS ACCESO - LOGIA - BANO]])</f>
        <v>0</v>
      </c>
      <c r="CJ300" s="3">
        <f>+IF(AVANCE[[#This Row],[CERRADURAS]]=AV$2,100%,AVANCE[[#This Row],[CERRADURAS]])</f>
        <v>0</v>
      </c>
      <c r="CK300" s="3">
        <f>+IF(AVANCE[[#This Row],[REVESTIMIENTO INTERIOR ZONA SECA]]=AW$2,100%,AVANCE[[#This Row],[REVESTIMIENTO INTERIOR ZONA SECA]])</f>
        <v>0</v>
      </c>
      <c r="CL300" s="3">
        <f>+IF(AVANCE[[#This Row],[REVESTIMIENTO INTERIOR ZONAS HUMEDAS]]=AX$2,100%,AVANCE[[#This Row],[REVESTIMIENTO INTERIOR ZONAS HUMEDAS]])</f>
        <v>0</v>
      </c>
      <c r="CM300" s="3">
        <f>+IF(AVANCE[[#This Row],[MEMBRANA CIELO]]=AY$2,100%,AVANCE[[#This Row],[MEMBRANA CIELO]])</f>
        <v>0</v>
      </c>
      <c r="CN300" s="3">
        <f>+IF(AVANCE[[#This Row],[LIMPIEZA FINAL]]=AZ$2,100%,AVANCE[[#This Row],[LIMPIEZA FINAL]])</f>
        <v>0</v>
      </c>
      <c r="CO300" s="3">
        <f>+IF(AVANCE[[#This Row],[PUERTAS DORMITORIO]]=BA$2,100%,AVANCE[[#This Row],[PUERTAS DORMITORIO]])</f>
        <v>0</v>
      </c>
      <c r="CP300" s="3">
        <f>+IF(AVANCE[[#This Row],[REVESTIMIENTO INTERIOR BANO]]=BB$2,100%,AVANCE[[#This Row],[REVESTIMIENTO INTERIOR BANO]])</f>
        <v>0</v>
      </c>
      <c r="CQ300" s="3">
        <f>+IF(AVANCE[[#This Row],[MUEBLE LAVAPLATOS]]=BC$2,100%,AVANCE[[#This Row],[MUEBLE LAVAPLATOS]])</f>
        <v>0</v>
      </c>
      <c r="CR300" s="3">
        <f>+IF(AVANCE[[#This Row],[IMPERMEABILIZACION BANO - COCINA LOGIA]]=BD$2,100%,AVANCE[[#This Row],[IMPERMEABILIZACION BANO - COCINA LOGIA]])</f>
        <v>0</v>
      </c>
      <c r="CS300" s="40">
        <f ca="1">+IF(AVANCE[[#This Row],[ESTADO MODULO]]="PENDIENTE",(TODAY()-AVANCE[[#This Row],[FECHA TERMINO  PLANIFICADO]]),0)</f>
        <v>0</v>
      </c>
      <c r="CT300" s="41" t="str" cm="1">
        <f t="array" ref="CT300">_xlfn.TEXTJOIN(" | ",TRUE,IF(SUMPRODUCT((BG300:CR300&lt;1)*(PARTIDAS!$I$2:$AT$2="OBRA GRUESA"))&gt;0,"OBRA GRUESA: "&amp;_xlfn.TEXTJOIN(", ",TRUE,IF((BG300:CR300&lt;1)*(PARTIDAS!$I$2:$AT$2="OBRA GRUESA"),PARTIDAS!$I$1:$AT$1,"")),""),IF(SUMPRODUCT((BG300:CR300&lt;1)*(PARTIDAS!$I$2:$AT$2="SANITARIOS"))&gt;0,"SANITARIOS: "&amp;_xlfn.TEXTJOIN(", ",TRUE,IF((BG300:CR300&lt;1)*(PARTIDAS!$I$2:$AT$2="SANITARIOS"),PARTIDAS!$I$1:$AT$1,"")),""),IF(SUMPRODUCT((BG300:CR300&lt;1)*(PARTIDAS!$I$2:$AT$2="ELÉCTRICO"))&gt;0,"ELÉCTRICO: "&amp;_xlfn.TEXTJOIN(", ",TRUE,IF((BG300:CR300&lt;1)*(PARTIDAS!$I$2:$AT$2="ELÉCTRICO"),PARTIDAS!$I$1:$AT$1,"")),""),IF(SUMPRODUCT((BG300:CR300&lt;1)*(PARTIDAS!$I$2:$AT$2="TERMINACIONES"))&gt;0,"TERMINACIONES: "&amp;_xlfn.TEXTJOIN(", ",TRUE,IF((BG300:CR300&lt;1)*(PARTIDAS!$I$2:$AT$2="TERMINACIONES"),PARTIDAS!$I$1:$AT$1,"")),""))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0" s="43" t="str" cm="1">
        <f t="array" ref="CU300">_xlfn.TEXTJOIN(", ",TRUE,IF(SUMPRODUCT((BG300:CR300&lt;1)*(PARTIDAS!$I$2:$AT$2="OBRA GRUESA"))&gt;0,"OBRA GRUESA",""),IF(SUMPRODUCT((BG300:CR300&lt;1)*(PARTIDAS!$I$2:$AT$2="SANITARIOS"))&gt;0,"SANITARIOS",""),IF(SUMPRODUCT((BG300:CR300&lt;1)*(PARTIDAS!$I$2:$AT$2="ELÉCTRICO"))&gt;0,"ELÉCTRICO",""),IF(SUMPRODUCT((BG300:CR300&lt;1)*(PARTIDAS!$I$2:$AT$2="TERMINACIONES"))&gt;0,"TERMINACIONES",""))</f>
        <v>OBRA GRUESA, SANITARIOS, ELÉCTRICO, TERMINACIONES</v>
      </c>
      <c r="CV300" s="44" cm="1">
        <f t="array" ref="CV300">SUMPRODUCT(--(BG300:CR300&lt;1))</f>
        <v>38</v>
      </c>
    </row>
    <row r="301" spans="1:100" hidden="1" x14ac:dyDescent="0.25">
      <c r="A301" t="s">
        <v>355</v>
      </c>
      <c r="B301" t="s">
        <v>367</v>
      </c>
      <c r="C301">
        <v>2282600300</v>
      </c>
      <c r="D301" t="s">
        <v>58</v>
      </c>
      <c r="E301" s="2">
        <v>0</v>
      </c>
      <c r="F301" s="1">
        <v>46293</v>
      </c>
      <c r="G301" s="1"/>
      <c r="H301" s="1">
        <v>0</v>
      </c>
      <c r="I301" s="1">
        <v>46313</v>
      </c>
      <c r="J301">
        <v>46230</v>
      </c>
      <c r="K301" s="1"/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>
        <v>28.87</v>
      </c>
      <c r="BF301" s="3" t="str">
        <f>+IF(AVANCE[[#This Row],[% AVANCE]]=100%,"MODULO TERMINADO",IF(AVANCE[[#This Row],[FECHA INICIO REAL]]="","MODULO NO INICIADO","PENDIENTE"))</f>
        <v>MODULO NO INICIADO</v>
      </c>
      <c r="BG301" s="3">
        <f>+IF(AVANCE[[#This Row],[VENTANAS]]=8.10810810810811%,100%,AVANCE[[#This Row],[VENTANAS]])</f>
        <v>0</v>
      </c>
      <c r="BH301" s="3">
        <f>+IF(AVANCE[[#This Row],[PISO]]=N$2,100%,AVANCE[[#This Row],[PISO]])</f>
        <v>0</v>
      </c>
      <c r="BI301" s="3">
        <f>+IF(AVANCE[[#This Row],[TABIQUES]]=O$2,100%,AVANCE[[#This Row],[TABIQUES]])</f>
        <v>0</v>
      </c>
      <c r="BJ301" s="3">
        <f>+IF(AVANCE[[#This Row],[MUROS]]=P$2,100%,AVANCE[[#This Row],[MUROS]])</f>
        <v>0</v>
      </c>
      <c r="BK301" s="3">
        <f>+IF(AVANCE[[#This Row],[CIELO]]=Q$2,100%,AVANCE[[#This Row],[CIELO]])</f>
        <v>0</v>
      </c>
      <c r="BL301" s="3">
        <f>+IF(AVANCE[[#This Row],[BALCÓN]]=R$2,100%,AVANCE[[#This Row],[BALCÓN]])</f>
        <v>0</v>
      </c>
      <c r="BM301" s="3">
        <f>+IF(AVANCE[[#This Row],[RED ALCANTARILLADO]]=U$2,100%,AVANCE[[#This Row],[RED ALCANTARILLADO]])</f>
        <v>0</v>
      </c>
      <c r="BN301" s="3">
        <f>+IF(AVANCE[[#This Row],[RED DE AGUA]]=V$2,100%,AVANCE[[#This Row],[RED DE AGUA]])</f>
        <v>0</v>
      </c>
      <c r="BO301" s="3">
        <f>+IF(AVANCE[[#This Row],[VENTILACIONES]]=W$2,100%,AVANCE[[#This Row],[VENTILACIONES]])</f>
        <v>0</v>
      </c>
      <c r="BP301" s="3">
        <f>+IF(AVANCE[[#This Row],[TINA]]=X$2,100%,AVANCE[[#This Row],[TINA]])</f>
        <v>0</v>
      </c>
      <c r="BQ301" s="3">
        <f>+IF(AVANCE[[#This Row],[WC]]=Y$2,100%,AVANCE[[#This Row],[WC]])</f>
        <v>0</v>
      </c>
      <c r="BR301" s="3">
        <f>+IF(AVANCE[[#This Row],[LAVAMANOS / LAVAPLATOS / LAVADERO]]=Z$2,100%,AVANCE[[#This Row],[LAVAMANOS / LAVAPLATOS / LAVADERO]])</f>
        <v>0</v>
      </c>
      <c r="BS301" s="3">
        <f>+IF(AVANCE[[#This Row],[CANALIZACIÓN]]=AC$2,100%,AVANCE[[#This Row],[CANALIZACIÓN]])</f>
        <v>0</v>
      </c>
      <c r="BT301" s="3">
        <f>+IF(AVANCE[[#This Row],[CABLEADO]]=AD$2,100%,AVANCE[[#This Row],[CABLEADO]])</f>
        <v>0</v>
      </c>
      <c r="BU301" s="3">
        <f>+IF(AVANCE[[#This Row],[ARTEFACTOS]]=AE$2,100%,AVANCE[[#This Row],[ARTEFACTOS]])</f>
        <v>0</v>
      </c>
      <c r="BV301" s="3">
        <f>+IF(AVANCE[[#This Row],[TABLERO]]=AF$2,100%,AVANCE[[#This Row],[TABLERO]])</f>
        <v>0</v>
      </c>
      <c r="BW301" s="3">
        <f>+IF(AVANCE[[#This Row],[CAJA PAU]]=AG$2,100%,AVANCE[[#This Row],[CAJA PAU]])</f>
        <v>0</v>
      </c>
      <c r="BX301" s="3">
        <f>+IF(AVANCE[[#This Row],[INSTALACION VINILICO]]=AJ$2,100%,AVANCE[[#This Row],[INSTALACION VINILICO]])</f>
        <v>0</v>
      </c>
      <c r="BY301" s="3">
        <f>+IF(AVANCE[[#This Row],[OSB CUBIERTA]]=AK$2,100%,AVANCE[[#This Row],[OSB CUBIERTA]])</f>
        <v>0</v>
      </c>
      <c r="BZ301" s="3">
        <f>+IF(AVANCE[[#This Row],[BARANDA BALCON]]=AL$2,100%,AVANCE[[#This Row],[BARANDA BALCON]])</f>
        <v>0</v>
      </c>
      <c r="CA301" s="3">
        <f>+IF(AVANCE[[#This Row],[OSB EXTERIOR]]=AM$2,100%,AVANCE[[#This Row],[OSB EXTERIOR]])</f>
        <v>0</v>
      </c>
      <c r="CB301" s="3">
        <f>+IF(AVANCE[[#This Row],[SMART PANEL]]=AN$2,100%,AVANCE[[#This Row],[SMART PANEL]])</f>
        <v>0</v>
      </c>
      <c r="CC301" s="3">
        <f>+IF(AVANCE[[#This Row],[PINTURA EXTERIOR]]=AO$2,100%,AVANCE[[#This Row],[PINTURA EXTERIOR]])</f>
        <v>0</v>
      </c>
      <c r="CD301" s="3">
        <f>+IF(AVANCE[[#This Row],[ZOCALOS LOGIA]]=AP$2,100%,AVANCE[[#This Row],[ZOCALOS LOGIA]])</f>
        <v>0</v>
      </c>
      <c r="CE301" s="3">
        <f>+IF(AVANCE[[#This Row],[MOLDURAS]]=AQ$2,100%,AVANCE[[#This Row],[MOLDURAS]])</f>
        <v>0</v>
      </c>
      <c r="CF301" s="3">
        <f>+IF(AVANCE[[#This Row],[PILASTREO]]=AR$2,100%,AVANCE[[#This Row],[PILASTREO]])</f>
        <v>0</v>
      </c>
      <c r="CG301" s="3">
        <f>+IF(AVANCE[[#This Row],[CELOSIAS]]=AS$2,100%,AVANCE[[#This Row],[CELOSIAS]])</f>
        <v>0</v>
      </c>
      <c r="CH301" s="3">
        <f>+IF(AVANCE[[#This Row],[VENTANAS]]=AT$2,100%,AVANCE[[#This Row],[VENTANAS]])</f>
        <v>0</v>
      </c>
      <c r="CI301" s="3">
        <f>+IF(AVANCE[[#This Row],[PUERTAS ACCESO - LOGIA - BANO]]=AU$2,100%,AVANCE[[#This Row],[PUERTAS ACCESO - LOGIA - BANO]])</f>
        <v>0</v>
      </c>
      <c r="CJ301" s="3">
        <f>+IF(AVANCE[[#This Row],[CERRADURAS]]=AV$2,100%,AVANCE[[#This Row],[CERRADURAS]])</f>
        <v>0</v>
      </c>
      <c r="CK301" s="3">
        <f>+IF(AVANCE[[#This Row],[REVESTIMIENTO INTERIOR ZONA SECA]]=AW$2,100%,AVANCE[[#This Row],[REVESTIMIENTO INTERIOR ZONA SECA]])</f>
        <v>0</v>
      </c>
      <c r="CL301" s="3">
        <f>+IF(AVANCE[[#This Row],[REVESTIMIENTO INTERIOR ZONAS HUMEDAS]]=AX$2,100%,AVANCE[[#This Row],[REVESTIMIENTO INTERIOR ZONAS HUMEDAS]])</f>
        <v>0</v>
      </c>
      <c r="CM301" s="3">
        <f>+IF(AVANCE[[#This Row],[MEMBRANA CIELO]]=AY$2,100%,AVANCE[[#This Row],[MEMBRANA CIELO]])</f>
        <v>0</v>
      </c>
      <c r="CN301" s="3">
        <f>+IF(AVANCE[[#This Row],[LIMPIEZA FINAL]]=AZ$2,100%,AVANCE[[#This Row],[LIMPIEZA FINAL]])</f>
        <v>0</v>
      </c>
      <c r="CO301" s="3">
        <f>+IF(AVANCE[[#This Row],[PUERTAS DORMITORIO]]=BA$2,100%,AVANCE[[#This Row],[PUERTAS DORMITORIO]])</f>
        <v>0</v>
      </c>
      <c r="CP301" s="3">
        <f>+IF(AVANCE[[#This Row],[REVESTIMIENTO INTERIOR BANO]]=BB$2,100%,AVANCE[[#This Row],[REVESTIMIENTO INTERIOR BANO]])</f>
        <v>0</v>
      </c>
      <c r="CQ301" s="3">
        <f>+IF(AVANCE[[#This Row],[MUEBLE LAVAPLATOS]]=BC$2,100%,AVANCE[[#This Row],[MUEBLE LAVAPLATOS]])</f>
        <v>0</v>
      </c>
      <c r="CR301" s="3">
        <f>+IF(AVANCE[[#This Row],[IMPERMEABILIZACION BANO - COCINA LOGIA]]=BD$2,100%,AVANCE[[#This Row],[IMPERMEABILIZACION BANO - COCINA LOGIA]])</f>
        <v>0</v>
      </c>
      <c r="CS301" s="40">
        <f ca="1">+IF(AVANCE[[#This Row],[ESTADO MODULO]]="PENDIENTE",(TODAY()-AVANCE[[#This Row],[FECHA TERMINO  PLANIFICADO]]),0)</f>
        <v>0</v>
      </c>
      <c r="CT301" s="41" t="str" cm="1">
        <f t="array" ref="CT301">_xlfn.TEXTJOIN(" | ",TRUE,IF(SUMPRODUCT((BG301:CR301&lt;1)*(PARTIDAS!$I$2:$AT$2="OBRA GRUESA"))&gt;0,"OBRA GRUESA: "&amp;_xlfn.TEXTJOIN(", ",TRUE,IF((BG301:CR301&lt;1)*(PARTIDAS!$I$2:$AT$2="OBRA GRUESA"),PARTIDAS!$I$1:$AT$1,"")),""),IF(SUMPRODUCT((BG301:CR301&lt;1)*(PARTIDAS!$I$2:$AT$2="SANITARIOS"))&gt;0,"SANITARIOS: "&amp;_xlfn.TEXTJOIN(", ",TRUE,IF((BG301:CR301&lt;1)*(PARTIDAS!$I$2:$AT$2="SANITARIOS"),PARTIDAS!$I$1:$AT$1,"")),""),IF(SUMPRODUCT((BG301:CR301&lt;1)*(PARTIDAS!$I$2:$AT$2="ELÉCTRICO"))&gt;0,"ELÉCTRICO: "&amp;_xlfn.TEXTJOIN(", ",TRUE,IF((BG301:CR301&lt;1)*(PARTIDAS!$I$2:$AT$2="ELÉCTRICO"),PARTIDAS!$I$1:$AT$1,"")),""),IF(SUMPRODUCT((BG301:CR301&lt;1)*(PARTIDAS!$I$2:$AT$2="TERMINACIONES"))&gt;0,"TERMINACIONES: "&amp;_xlfn.TEXTJOIN(", ",TRUE,IF((BG301:CR301&lt;1)*(PARTIDAS!$I$2:$AT$2="TERMINACIONES"),PARTIDAS!$I$1:$AT$1,"")),""))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1" s="43" t="str" cm="1">
        <f t="array" ref="CU301">_xlfn.TEXTJOIN(", ",TRUE,IF(SUMPRODUCT((BG301:CR301&lt;1)*(PARTIDAS!$I$2:$AT$2="OBRA GRUESA"))&gt;0,"OBRA GRUESA",""),IF(SUMPRODUCT((BG301:CR301&lt;1)*(PARTIDAS!$I$2:$AT$2="SANITARIOS"))&gt;0,"SANITARIOS",""),IF(SUMPRODUCT((BG301:CR301&lt;1)*(PARTIDAS!$I$2:$AT$2="ELÉCTRICO"))&gt;0,"ELÉCTRICO",""),IF(SUMPRODUCT((BG301:CR301&lt;1)*(PARTIDAS!$I$2:$AT$2="TERMINACIONES"))&gt;0,"TERMINACIONES",""))</f>
        <v>OBRA GRUESA, SANITARIOS, ELÉCTRICO, TERMINACIONES</v>
      </c>
      <c r="CV301" s="44" cm="1">
        <f t="array" ref="CV301">SUMPRODUCT(--(BG301:CR301&lt;1))</f>
        <v>38</v>
      </c>
    </row>
    <row r="302" spans="1:100" hidden="1" x14ac:dyDescent="0.25">
      <c r="A302" t="s">
        <v>355</v>
      </c>
      <c r="B302" t="s">
        <v>368</v>
      </c>
      <c r="C302">
        <v>2282600301</v>
      </c>
      <c r="D302" t="s">
        <v>58</v>
      </c>
      <c r="E302" s="2">
        <v>0</v>
      </c>
      <c r="F302" s="1">
        <v>46293</v>
      </c>
      <c r="G302" s="1"/>
      <c r="H302" s="1">
        <v>0</v>
      </c>
      <c r="I302" s="1">
        <v>46313</v>
      </c>
      <c r="J302">
        <v>46230</v>
      </c>
      <c r="K302" s="1"/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>
        <v>28.87</v>
      </c>
      <c r="BF302" s="3" t="str">
        <f>+IF(AVANCE[[#This Row],[% AVANCE]]=100%,"MODULO TERMINADO",IF(AVANCE[[#This Row],[FECHA INICIO REAL]]="","MODULO NO INICIADO","PENDIENTE"))</f>
        <v>MODULO NO INICIADO</v>
      </c>
      <c r="BG302" s="3">
        <f>+IF(AVANCE[[#This Row],[VENTANAS]]=8.10810810810811%,100%,AVANCE[[#This Row],[VENTANAS]])</f>
        <v>0</v>
      </c>
      <c r="BH302" s="3">
        <f>+IF(AVANCE[[#This Row],[PISO]]=N$2,100%,AVANCE[[#This Row],[PISO]])</f>
        <v>0</v>
      </c>
      <c r="BI302" s="3">
        <f>+IF(AVANCE[[#This Row],[TABIQUES]]=O$2,100%,AVANCE[[#This Row],[TABIQUES]])</f>
        <v>0</v>
      </c>
      <c r="BJ302" s="3">
        <f>+IF(AVANCE[[#This Row],[MUROS]]=P$2,100%,AVANCE[[#This Row],[MUROS]])</f>
        <v>0</v>
      </c>
      <c r="BK302" s="3">
        <f>+IF(AVANCE[[#This Row],[CIELO]]=Q$2,100%,AVANCE[[#This Row],[CIELO]])</f>
        <v>0</v>
      </c>
      <c r="BL302" s="3">
        <f>+IF(AVANCE[[#This Row],[BALCÓN]]=R$2,100%,AVANCE[[#This Row],[BALCÓN]])</f>
        <v>0</v>
      </c>
      <c r="BM302" s="3">
        <f>+IF(AVANCE[[#This Row],[RED ALCANTARILLADO]]=U$2,100%,AVANCE[[#This Row],[RED ALCANTARILLADO]])</f>
        <v>0</v>
      </c>
      <c r="BN302" s="3">
        <f>+IF(AVANCE[[#This Row],[RED DE AGUA]]=V$2,100%,AVANCE[[#This Row],[RED DE AGUA]])</f>
        <v>0</v>
      </c>
      <c r="BO302" s="3">
        <f>+IF(AVANCE[[#This Row],[VENTILACIONES]]=W$2,100%,AVANCE[[#This Row],[VENTILACIONES]])</f>
        <v>0</v>
      </c>
      <c r="BP302" s="3">
        <f>+IF(AVANCE[[#This Row],[TINA]]=X$2,100%,AVANCE[[#This Row],[TINA]])</f>
        <v>0</v>
      </c>
      <c r="BQ302" s="3">
        <f>+IF(AVANCE[[#This Row],[WC]]=Y$2,100%,AVANCE[[#This Row],[WC]])</f>
        <v>0</v>
      </c>
      <c r="BR302" s="3">
        <f>+IF(AVANCE[[#This Row],[LAVAMANOS / LAVAPLATOS / LAVADERO]]=Z$2,100%,AVANCE[[#This Row],[LAVAMANOS / LAVAPLATOS / LAVADERO]])</f>
        <v>0</v>
      </c>
      <c r="BS302" s="3">
        <f>+IF(AVANCE[[#This Row],[CANALIZACIÓN]]=AC$2,100%,AVANCE[[#This Row],[CANALIZACIÓN]])</f>
        <v>0</v>
      </c>
      <c r="BT302" s="3">
        <f>+IF(AVANCE[[#This Row],[CABLEADO]]=AD$2,100%,AVANCE[[#This Row],[CABLEADO]])</f>
        <v>0</v>
      </c>
      <c r="BU302" s="3">
        <f>+IF(AVANCE[[#This Row],[ARTEFACTOS]]=AE$2,100%,AVANCE[[#This Row],[ARTEFACTOS]])</f>
        <v>0</v>
      </c>
      <c r="BV302" s="3">
        <f>+IF(AVANCE[[#This Row],[TABLERO]]=AF$2,100%,AVANCE[[#This Row],[TABLERO]])</f>
        <v>0</v>
      </c>
      <c r="BW302" s="3">
        <f>+IF(AVANCE[[#This Row],[CAJA PAU]]=AG$2,100%,AVANCE[[#This Row],[CAJA PAU]])</f>
        <v>0</v>
      </c>
      <c r="BX302" s="3">
        <f>+IF(AVANCE[[#This Row],[INSTALACION VINILICO]]=AJ$2,100%,AVANCE[[#This Row],[INSTALACION VINILICO]])</f>
        <v>0</v>
      </c>
      <c r="BY302" s="3">
        <f>+IF(AVANCE[[#This Row],[OSB CUBIERTA]]=AK$2,100%,AVANCE[[#This Row],[OSB CUBIERTA]])</f>
        <v>0</v>
      </c>
      <c r="BZ302" s="3">
        <f>+IF(AVANCE[[#This Row],[BARANDA BALCON]]=AL$2,100%,AVANCE[[#This Row],[BARANDA BALCON]])</f>
        <v>0</v>
      </c>
      <c r="CA302" s="3">
        <f>+IF(AVANCE[[#This Row],[OSB EXTERIOR]]=AM$2,100%,AVANCE[[#This Row],[OSB EXTERIOR]])</f>
        <v>0</v>
      </c>
      <c r="CB302" s="3">
        <f>+IF(AVANCE[[#This Row],[SMART PANEL]]=AN$2,100%,AVANCE[[#This Row],[SMART PANEL]])</f>
        <v>0</v>
      </c>
      <c r="CC302" s="3">
        <f>+IF(AVANCE[[#This Row],[PINTURA EXTERIOR]]=AO$2,100%,AVANCE[[#This Row],[PINTURA EXTERIOR]])</f>
        <v>0</v>
      </c>
      <c r="CD302" s="3">
        <f>+IF(AVANCE[[#This Row],[ZOCALOS LOGIA]]=AP$2,100%,AVANCE[[#This Row],[ZOCALOS LOGIA]])</f>
        <v>0</v>
      </c>
      <c r="CE302" s="3">
        <f>+IF(AVANCE[[#This Row],[MOLDURAS]]=AQ$2,100%,AVANCE[[#This Row],[MOLDURAS]])</f>
        <v>0</v>
      </c>
      <c r="CF302" s="3">
        <f>+IF(AVANCE[[#This Row],[PILASTREO]]=AR$2,100%,AVANCE[[#This Row],[PILASTREO]])</f>
        <v>0</v>
      </c>
      <c r="CG302" s="3">
        <f>+IF(AVANCE[[#This Row],[CELOSIAS]]=AS$2,100%,AVANCE[[#This Row],[CELOSIAS]])</f>
        <v>0</v>
      </c>
      <c r="CH302" s="3">
        <f>+IF(AVANCE[[#This Row],[VENTANAS]]=AT$2,100%,AVANCE[[#This Row],[VENTANAS]])</f>
        <v>0</v>
      </c>
      <c r="CI302" s="3">
        <f>+IF(AVANCE[[#This Row],[PUERTAS ACCESO - LOGIA - BANO]]=AU$2,100%,AVANCE[[#This Row],[PUERTAS ACCESO - LOGIA - BANO]])</f>
        <v>0</v>
      </c>
      <c r="CJ302" s="3">
        <f>+IF(AVANCE[[#This Row],[CERRADURAS]]=AV$2,100%,AVANCE[[#This Row],[CERRADURAS]])</f>
        <v>0</v>
      </c>
      <c r="CK302" s="3">
        <f>+IF(AVANCE[[#This Row],[REVESTIMIENTO INTERIOR ZONA SECA]]=AW$2,100%,AVANCE[[#This Row],[REVESTIMIENTO INTERIOR ZONA SECA]])</f>
        <v>0</v>
      </c>
      <c r="CL302" s="3">
        <f>+IF(AVANCE[[#This Row],[REVESTIMIENTO INTERIOR ZONAS HUMEDAS]]=AX$2,100%,AVANCE[[#This Row],[REVESTIMIENTO INTERIOR ZONAS HUMEDAS]])</f>
        <v>0</v>
      </c>
      <c r="CM302" s="3">
        <f>+IF(AVANCE[[#This Row],[MEMBRANA CIELO]]=AY$2,100%,AVANCE[[#This Row],[MEMBRANA CIELO]])</f>
        <v>0</v>
      </c>
      <c r="CN302" s="3">
        <f>+IF(AVANCE[[#This Row],[LIMPIEZA FINAL]]=AZ$2,100%,AVANCE[[#This Row],[LIMPIEZA FINAL]])</f>
        <v>0</v>
      </c>
      <c r="CO302" s="3">
        <f>+IF(AVANCE[[#This Row],[PUERTAS DORMITORIO]]=BA$2,100%,AVANCE[[#This Row],[PUERTAS DORMITORIO]])</f>
        <v>0</v>
      </c>
      <c r="CP302" s="3">
        <f>+IF(AVANCE[[#This Row],[REVESTIMIENTO INTERIOR BANO]]=BB$2,100%,AVANCE[[#This Row],[REVESTIMIENTO INTERIOR BANO]])</f>
        <v>0</v>
      </c>
      <c r="CQ302" s="3">
        <f>+IF(AVANCE[[#This Row],[MUEBLE LAVAPLATOS]]=BC$2,100%,AVANCE[[#This Row],[MUEBLE LAVAPLATOS]])</f>
        <v>0</v>
      </c>
      <c r="CR302" s="3">
        <f>+IF(AVANCE[[#This Row],[IMPERMEABILIZACION BANO - COCINA LOGIA]]=BD$2,100%,AVANCE[[#This Row],[IMPERMEABILIZACION BANO - COCINA LOGIA]])</f>
        <v>0</v>
      </c>
      <c r="CS302" s="40">
        <f ca="1">+IF(AVANCE[[#This Row],[ESTADO MODULO]]="PENDIENTE",(TODAY()-AVANCE[[#This Row],[FECHA TERMINO  PLANIFICADO]]),0)</f>
        <v>0</v>
      </c>
      <c r="CT302" s="41" t="str" cm="1">
        <f t="array" ref="CT302">_xlfn.TEXTJOIN(" | ",TRUE,IF(SUMPRODUCT((BG302:CR302&lt;1)*(PARTIDAS!$I$2:$AT$2="OBRA GRUESA"))&gt;0,"OBRA GRUESA: "&amp;_xlfn.TEXTJOIN(", ",TRUE,IF((BG302:CR302&lt;1)*(PARTIDAS!$I$2:$AT$2="OBRA GRUESA"),PARTIDAS!$I$1:$AT$1,"")),""),IF(SUMPRODUCT((BG302:CR302&lt;1)*(PARTIDAS!$I$2:$AT$2="SANITARIOS"))&gt;0,"SANITARIOS: "&amp;_xlfn.TEXTJOIN(", ",TRUE,IF((BG302:CR302&lt;1)*(PARTIDAS!$I$2:$AT$2="SANITARIOS"),PARTIDAS!$I$1:$AT$1,"")),""),IF(SUMPRODUCT((BG302:CR302&lt;1)*(PARTIDAS!$I$2:$AT$2="ELÉCTRICO"))&gt;0,"ELÉCTRICO: "&amp;_xlfn.TEXTJOIN(", ",TRUE,IF((BG302:CR302&lt;1)*(PARTIDAS!$I$2:$AT$2="ELÉCTRICO"),PARTIDAS!$I$1:$AT$1,"")),""),IF(SUMPRODUCT((BG302:CR302&lt;1)*(PARTIDAS!$I$2:$AT$2="TERMINACIONES"))&gt;0,"TERMINACIONES: "&amp;_xlfn.TEXTJOIN(", ",TRUE,IF((BG302:CR302&lt;1)*(PARTIDAS!$I$2:$AT$2="TERMINACIONES"),PARTIDAS!$I$1:$AT$1,"")),""))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2" s="43" t="str" cm="1">
        <f t="array" ref="CU302">_xlfn.TEXTJOIN(", ",TRUE,IF(SUMPRODUCT((BG302:CR302&lt;1)*(PARTIDAS!$I$2:$AT$2="OBRA GRUESA"))&gt;0,"OBRA GRUESA",""),IF(SUMPRODUCT((BG302:CR302&lt;1)*(PARTIDAS!$I$2:$AT$2="SANITARIOS"))&gt;0,"SANITARIOS",""),IF(SUMPRODUCT((BG302:CR302&lt;1)*(PARTIDAS!$I$2:$AT$2="ELÉCTRICO"))&gt;0,"ELÉCTRICO",""),IF(SUMPRODUCT((BG302:CR302&lt;1)*(PARTIDAS!$I$2:$AT$2="TERMINACIONES"))&gt;0,"TERMINACIONES",""))</f>
        <v>OBRA GRUESA, SANITARIOS, ELÉCTRICO, TERMINACIONES</v>
      </c>
      <c r="CV302" s="44" cm="1">
        <f t="array" ref="CV302">SUMPRODUCT(--(BG302:CR302&lt;1))</f>
        <v>38</v>
      </c>
    </row>
    <row r="303" spans="1:100" hidden="1" x14ac:dyDescent="0.25">
      <c r="A303" t="s">
        <v>355</v>
      </c>
      <c r="B303" t="s">
        <v>369</v>
      </c>
      <c r="C303">
        <v>2302600302</v>
      </c>
      <c r="D303" t="s">
        <v>60</v>
      </c>
      <c r="E303" s="2">
        <v>0</v>
      </c>
      <c r="F303" s="1">
        <v>46294</v>
      </c>
      <c r="G303" s="1"/>
      <c r="H303" s="1">
        <v>0</v>
      </c>
      <c r="I303" s="1">
        <v>46324</v>
      </c>
      <c r="J303">
        <v>46230</v>
      </c>
      <c r="K303" s="1"/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>
        <v>31.32</v>
      </c>
      <c r="BF303" s="3" t="str">
        <f>+IF(AVANCE[[#This Row],[% AVANCE]]=100%,"MODULO TERMINADO",IF(AVANCE[[#This Row],[FECHA INICIO REAL]]="","MODULO NO INICIADO","PENDIENTE"))</f>
        <v>MODULO NO INICIADO</v>
      </c>
      <c r="BG303" s="3">
        <f>+IF(AVANCE[[#This Row],[VENTANAS]]=8.10810810810811%,100%,AVANCE[[#This Row],[VENTANAS]])</f>
        <v>0</v>
      </c>
      <c r="BH303" s="3">
        <f>+IF(AVANCE[[#This Row],[PISO]]=N$2,100%,AVANCE[[#This Row],[PISO]])</f>
        <v>0</v>
      </c>
      <c r="BI303" s="3">
        <f>+IF(AVANCE[[#This Row],[TABIQUES]]=O$2,100%,AVANCE[[#This Row],[TABIQUES]])</f>
        <v>0</v>
      </c>
      <c r="BJ303" s="3">
        <f>+IF(AVANCE[[#This Row],[MUROS]]=P$2,100%,AVANCE[[#This Row],[MUROS]])</f>
        <v>0</v>
      </c>
      <c r="BK303" s="3">
        <f>+IF(AVANCE[[#This Row],[CIELO]]=Q$2,100%,AVANCE[[#This Row],[CIELO]])</f>
        <v>0</v>
      </c>
      <c r="BL303" s="3">
        <f>+IF(AVANCE[[#This Row],[BALCÓN]]=R$2,100%,AVANCE[[#This Row],[BALCÓN]])</f>
        <v>0</v>
      </c>
      <c r="BM303" s="3">
        <f>+IF(AVANCE[[#This Row],[RED ALCANTARILLADO]]=U$2,100%,AVANCE[[#This Row],[RED ALCANTARILLADO]])</f>
        <v>0</v>
      </c>
      <c r="BN303" s="3">
        <f>+IF(AVANCE[[#This Row],[RED DE AGUA]]=V$2,100%,AVANCE[[#This Row],[RED DE AGUA]])</f>
        <v>0</v>
      </c>
      <c r="BO303" s="3">
        <f>+IF(AVANCE[[#This Row],[VENTILACIONES]]=W$2,100%,AVANCE[[#This Row],[VENTILACIONES]])</f>
        <v>0</v>
      </c>
      <c r="BP303" s="3">
        <f>+IF(AVANCE[[#This Row],[TINA]]=X$2,100%,AVANCE[[#This Row],[TINA]])</f>
        <v>0</v>
      </c>
      <c r="BQ303" s="3">
        <f>+IF(AVANCE[[#This Row],[WC]]=Y$2,100%,AVANCE[[#This Row],[WC]])</f>
        <v>0</v>
      </c>
      <c r="BR303" s="3">
        <f>+IF(AVANCE[[#This Row],[LAVAMANOS / LAVAPLATOS / LAVADERO]]=Z$2,100%,AVANCE[[#This Row],[LAVAMANOS / LAVAPLATOS / LAVADERO]])</f>
        <v>0</v>
      </c>
      <c r="BS303" s="3">
        <f>+IF(AVANCE[[#This Row],[CANALIZACIÓN]]=AC$2,100%,AVANCE[[#This Row],[CANALIZACIÓN]])</f>
        <v>0</v>
      </c>
      <c r="BT303" s="3">
        <f>+IF(AVANCE[[#This Row],[CABLEADO]]=AD$2,100%,AVANCE[[#This Row],[CABLEADO]])</f>
        <v>0</v>
      </c>
      <c r="BU303" s="3">
        <f>+IF(AVANCE[[#This Row],[ARTEFACTOS]]=AE$2,100%,AVANCE[[#This Row],[ARTEFACTOS]])</f>
        <v>0</v>
      </c>
      <c r="BV303" s="3">
        <f>+IF(AVANCE[[#This Row],[TABLERO]]=AF$2,100%,AVANCE[[#This Row],[TABLERO]])</f>
        <v>0</v>
      </c>
      <c r="BW303" s="3">
        <f>+IF(AVANCE[[#This Row],[CAJA PAU]]=AG$2,100%,AVANCE[[#This Row],[CAJA PAU]])</f>
        <v>0</v>
      </c>
      <c r="BX303" s="3">
        <f>+IF(AVANCE[[#This Row],[INSTALACION VINILICO]]=AJ$2,100%,AVANCE[[#This Row],[INSTALACION VINILICO]])</f>
        <v>0</v>
      </c>
      <c r="BY303" s="3">
        <f>+IF(AVANCE[[#This Row],[OSB CUBIERTA]]=AK$2,100%,AVANCE[[#This Row],[OSB CUBIERTA]])</f>
        <v>0</v>
      </c>
      <c r="BZ303" s="3">
        <f>+IF(AVANCE[[#This Row],[BARANDA BALCON]]=AL$2,100%,AVANCE[[#This Row],[BARANDA BALCON]])</f>
        <v>0</v>
      </c>
      <c r="CA303" s="3">
        <f>+IF(AVANCE[[#This Row],[OSB EXTERIOR]]=AM$2,100%,AVANCE[[#This Row],[OSB EXTERIOR]])</f>
        <v>0</v>
      </c>
      <c r="CB303" s="3">
        <f>+IF(AVANCE[[#This Row],[SMART PANEL]]=AN$2,100%,AVANCE[[#This Row],[SMART PANEL]])</f>
        <v>0</v>
      </c>
      <c r="CC303" s="3">
        <f>+IF(AVANCE[[#This Row],[PINTURA EXTERIOR]]=AO$2,100%,AVANCE[[#This Row],[PINTURA EXTERIOR]])</f>
        <v>0</v>
      </c>
      <c r="CD303" s="3">
        <f>+IF(AVANCE[[#This Row],[ZOCALOS LOGIA]]=AP$2,100%,AVANCE[[#This Row],[ZOCALOS LOGIA]])</f>
        <v>0</v>
      </c>
      <c r="CE303" s="3">
        <f>+IF(AVANCE[[#This Row],[MOLDURAS]]=AQ$2,100%,AVANCE[[#This Row],[MOLDURAS]])</f>
        <v>0</v>
      </c>
      <c r="CF303" s="3">
        <f>+IF(AVANCE[[#This Row],[PILASTREO]]=AR$2,100%,AVANCE[[#This Row],[PILASTREO]])</f>
        <v>0</v>
      </c>
      <c r="CG303" s="3">
        <f>+IF(AVANCE[[#This Row],[CELOSIAS]]=AS$2,100%,AVANCE[[#This Row],[CELOSIAS]])</f>
        <v>0</v>
      </c>
      <c r="CH303" s="3">
        <f>+IF(AVANCE[[#This Row],[VENTANAS]]=AT$2,100%,AVANCE[[#This Row],[VENTANAS]])</f>
        <v>0</v>
      </c>
      <c r="CI303" s="3">
        <f>+IF(AVANCE[[#This Row],[PUERTAS ACCESO - LOGIA - BANO]]=AU$2,100%,AVANCE[[#This Row],[PUERTAS ACCESO - LOGIA - BANO]])</f>
        <v>0</v>
      </c>
      <c r="CJ303" s="3">
        <f>+IF(AVANCE[[#This Row],[CERRADURAS]]=AV$2,100%,AVANCE[[#This Row],[CERRADURAS]])</f>
        <v>0</v>
      </c>
      <c r="CK303" s="3">
        <f>+IF(AVANCE[[#This Row],[REVESTIMIENTO INTERIOR ZONA SECA]]=AW$2,100%,AVANCE[[#This Row],[REVESTIMIENTO INTERIOR ZONA SECA]])</f>
        <v>0</v>
      </c>
      <c r="CL303" s="3">
        <f>+IF(AVANCE[[#This Row],[REVESTIMIENTO INTERIOR ZONAS HUMEDAS]]=AX$2,100%,AVANCE[[#This Row],[REVESTIMIENTO INTERIOR ZONAS HUMEDAS]])</f>
        <v>0</v>
      </c>
      <c r="CM303" s="3">
        <f>+IF(AVANCE[[#This Row],[MEMBRANA CIELO]]=AY$2,100%,AVANCE[[#This Row],[MEMBRANA CIELO]])</f>
        <v>0</v>
      </c>
      <c r="CN303" s="3">
        <f>+IF(AVANCE[[#This Row],[LIMPIEZA FINAL]]=AZ$2,100%,AVANCE[[#This Row],[LIMPIEZA FINAL]])</f>
        <v>0</v>
      </c>
      <c r="CO303" s="3">
        <f>+IF(AVANCE[[#This Row],[PUERTAS DORMITORIO]]=BA$2,100%,AVANCE[[#This Row],[PUERTAS DORMITORIO]])</f>
        <v>0</v>
      </c>
      <c r="CP303" s="3">
        <f>+IF(AVANCE[[#This Row],[REVESTIMIENTO INTERIOR BANO]]=BB$2,100%,AVANCE[[#This Row],[REVESTIMIENTO INTERIOR BANO]])</f>
        <v>0</v>
      </c>
      <c r="CQ303" s="3">
        <f>+IF(AVANCE[[#This Row],[MUEBLE LAVAPLATOS]]=BC$2,100%,AVANCE[[#This Row],[MUEBLE LAVAPLATOS]])</f>
        <v>0</v>
      </c>
      <c r="CR303" s="3">
        <f>+IF(AVANCE[[#This Row],[IMPERMEABILIZACION BANO - COCINA LOGIA]]=BD$2,100%,AVANCE[[#This Row],[IMPERMEABILIZACION BANO - COCINA LOGIA]])</f>
        <v>0</v>
      </c>
      <c r="CS303" s="40">
        <f ca="1">+IF(AVANCE[[#This Row],[ESTADO MODULO]]="PENDIENTE",(TODAY()-AVANCE[[#This Row],[FECHA TERMINO  PLANIFICADO]]),0)</f>
        <v>0</v>
      </c>
      <c r="CT303" s="41" t="str" cm="1">
        <f t="array" ref="CT303">_xlfn.TEXTJOIN(" | ",TRUE,IF(SUMPRODUCT((BG303:CR303&lt;1)*(PARTIDAS!$I$2:$AT$2="OBRA GRUESA"))&gt;0,"OBRA GRUESA: "&amp;_xlfn.TEXTJOIN(", ",TRUE,IF((BG303:CR303&lt;1)*(PARTIDAS!$I$2:$AT$2="OBRA GRUESA"),PARTIDAS!$I$1:$AT$1,"")),""),IF(SUMPRODUCT((BG303:CR303&lt;1)*(PARTIDAS!$I$2:$AT$2="SANITARIOS"))&gt;0,"SANITARIOS: "&amp;_xlfn.TEXTJOIN(", ",TRUE,IF((BG303:CR303&lt;1)*(PARTIDAS!$I$2:$AT$2="SANITARIOS"),PARTIDAS!$I$1:$AT$1,"")),""),IF(SUMPRODUCT((BG303:CR303&lt;1)*(PARTIDAS!$I$2:$AT$2="ELÉCTRICO"))&gt;0,"ELÉCTRICO: "&amp;_xlfn.TEXTJOIN(", ",TRUE,IF((BG303:CR303&lt;1)*(PARTIDAS!$I$2:$AT$2="ELÉCTRICO"),PARTIDAS!$I$1:$AT$1,"")),""),IF(SUMPRODUCT((BG303:CR303&lt;1)*(PARTIDAS!$I$2:$AT$2="TERMINACIONES"))&gt;0,"TERMINACIONES: "&amp;_xlfn.TEXTJOIN(", ",TRUE,IF((BG303:CR303&lt;1)*(PARTIDAS!$I$2:$AT$2="TERMINACIONES"),PARTIDAS!$I$1:$AT$1,"")),""))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3" s="43" t="str" cm="1">
        <f t="array" ref="CU303">_xlfn.TEXTJOIN(", ",TRUE,IF(SUMPRODUCT((BG303:CR303&lt;1)*(PARTIDAS!$I$2:$AT$2="OBRA GRUESA"))&gt;0,"OBRA GRUESA",""),IF(SUMPRODUCT((BG303:CR303&lt;1)*(PARTIDAS!$I$2:$AT$2="SANITARIOS"))&gt;0,"SANITARIOS",""),IF(SUMPRODUCT((BG303:CR303&lt;1)*(PARTIDAS!$I$2:$AT$2="ELÉCTRICO"))&gt;0,"ELÉCTRICO",""),IF(SUMPRODUCT((BG303:CR303&lt;1)*(PARTIDAS!$I$2:$AT$2="TERMINACIONES"))&gt;0,"TERMINACIONES",""))</f>
        <v>OBRA GRUESA, SANITARIOS, ELÉCTRICO, TERMINACIONES</v>
      </c>
      <c r="CV303" s="44" cm="1">
        <f t="array" ref="CV303">SUMPRODUCT(--(BG303:CR303&lt;1))</f>
        <v>38</v>
      </c>
    </row>
    <row r="304" spans="1:100" hidden="1" x14ac:dyDescent="0.25">
      <c r="A304" t="s">
        <v>355</v>
      </c>
      <c r="B304" t="s">
        <v>370</v>
      </c>
      <c r="C304">
        <v>2302600303</v>
      </c>
      <c r="D304" t="s">
        <v>60</v>
      </c>
      <c r="E304" s="2">
        <v>0</v>
      </c>
      <c r="F304" s="1">
        <v>46294</v>
      </c>
      <c r="G304" s="1"/>
      <c r="H304" s="1">
        <v>0</v>
      </c>
      <c r="I304" s="1">
        <v>46324</v>
      </c>
      <c r="J304">
        <v>46230</v>
      </c>
      <c r="K304" s="1"/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>
        <v>31.32</v>
      </c>
      <c r="BF304" s="3" t="str">
        <f>+IF(AVANCE[[#This Row],[% AVANCE]]=100%,"MODULO TERMINADO",IF(AVANCE[[#This Row],[FECHA INICIO REAL]]="","MODULO NO INICIADO","PENDIENTE"))</f>
        <v>MODULO NO INICIADO</v>
      </c>
      <c r="BG304" s="3">
        <f>+IF(AVANCE[[#This Row],[VENTANAS]]=8.10810810810811%,100%,AVANCE[[#This Row],[VENTANAS]])</f>
        <v>0</v>
      </c>
      <c r="BH304" s="3">
        <f>+IF(AVANCE[[#This Row],[PISO]]=N$2,100%,AVANCE[[#This Row],[PISO]])</f>
        <v>0</v>
      </c>
      <c r="BI304" s="3">
        <f>+IF(AVANCE[[#This Row],[TABIQUES]]=O$2,100%,AVANCE[[#This Row],[TABIQUES]])</f>
        <v>0</v>
      </c>
      <c r="BJ304" s="3">
        <f>+IF(AVANCE[[#This Row],[MUROS]]=P$2,100%,AVANCE[[#This Row],[MUROS]])</f>
        <v>0</v>
      </c>
      <c r="BK304" s="3">
        <f>+IF(AVANCE[[#This Row],[CIELO]]=Q$2,100%,AVANCE[[#This Row],[CIELO]])</f>
        <v>0</v>
      </c>
      <c r="BL304" s="3">
        <f>+IF(AVANCE[[#This Row],[BALCÓN]]=R$2,100%,AVANCE[[#This Row],[BALCÓN]])</f>
        <v>0</v>
      </c>
      <c r="BM304" s="3">
        <f>+IF(AVANCE[[#This Row],[RED ALCANTARILLADO]]=U$2,100%,AVANCE[[#This Row],[RED ALCANTARILLADO]])</f>
        <v>0</v>
      </c>
      <c r="BN304" s="3">
        <f>+IF(AVANCE[[#This Row],[RED DE AGUA]]=V$2,100%,AVANCE[[#This Row],[RED DE AGUA]])</f>
        <v>0</v>
      </c>
      <c r="BO304" s="3">
        <f>+IF(AVANCE[[#This Row],[VENTILACIONES]]=W$2,100%,AVANCE[[#This Row],[VENTILACIONES]])</f>
        <v>0</v>
      </c>
      <c r="BP304" s="3">
        <f>+IF(AVANCE[[#This Row],[TINA]]=X$2,100%,AVANCE[[#This Row],[TINA]])</f>
        <v>0</v>
      </c>
      <c r="BQ304" s="3">
        <f>+IF(AVANCE[[#This Row],[WC]]=Y$2,100%,AVANCE[[#This Row],[WC]])</f>
        <v>0</v>
      </c>
      <c r="BR304" s="3">
        <f>+IF(AVANCE[[#This Row],[LAVAMANOS / LAVAPLATOS / LAVADERO]]=Z$2,100%,AVANCE[[#This Row],[LAVAMANOS / LAVAPLATOS / LAVADERO]])</f>
        <v>0</v>
      </c>
      <c r="BS304" s="3">
        <f>+IF(AVANCE[[#This Row],[CANALIZACIÓN]]=AC$2,100%,AVANCE[[#This Row],[CANALIZACIÓN]])</f>
        <v>0</v>
      </c>
      <c r="BT304" s="3">
        <f>+IF(AVANCE[[#This Row],[CABLEADO]]=AD$2,100%,AVANCE[[#This Row],[CABLEADO]])</f>
        <v>0</v>
      </c>
      <c r="BU304" s="3">
        <f>+IF(AVANCE[[#This Row],[ARTEFACTOS]]=AE$2,100%,AVANCE[[#This Row],[ARTEFACTOS]])</f>
        <v>0</v>
      </c>
      <c r="BV304" s="3">
        <f>+IF(AVANCE[[#This Row],[TABLERO]]=AF$2,100%,AVANCE[[#This Row],[TABLERO]])</f>
        <v>0</v>
      </c>
      <c r="BW304" s="3">
        <f>+IF(AVANCE[[#This Row],[CAJA PAU]]=AG$2,100%,AVANCE[[#This Row],[CAJA PAU]])</f>
        <v>0</v>
      </c>
      <c r="BX304" s="3">
        <f>+IF(AVANCE[[#This Row],[INSTALACION VINILICO]]=AJ$2,100%,AVANCE[[#This Row],[INSTALACION VINILICO]])</f>
        <v>0</v>
      </c>
      <c r="BY304" s="3">
        <f>+IF(AVANCE[[#This Row],[OSB CUBIERTA]]=AK$2,100%,AVANCE[[#This Row],[OSB CUBIERTA]])</f>
        <v>0</v>
      </c>
      <c r="BZ304" s="3">
        <f>+IF(AVANCE[[#This Row],[BARANDA BALCON]]=AL$2,100%,AVANCE[[#This Row],[BARANDA BALCON]])</f>
        <v>0</v>
      </c>
      <c r="CA304" s="3">
        <f>+IF(AVANCE[[#This Row],[OSB EXTERIOR]]=AM$2,100%,AVANCE[[#This Row],[OSB EXTERIOR]])</f>
        <v>0</v>
      </c>
      <c r="CB304" s="3">
        <f>+IF(AVANCE[[#This Row],[SMART PANEL]]=AN$2,100%,AVANCE[[#This Row],[SMART PANEL]])</f>
        <v>0</v>
      </c>
      <c r="CC304" s="3">
        <f>+IF(AVANCE[[#This Row],[PINTURA EXTERIOR]]=AO$2,100%,AVANCE[[#This Row],[PINTURA EXTERIOR]])</f>
        <v>0</v>
      </c>
      <c r="CD304" s="3">
        <f>+IF(AVANCE[[#This Row],[ZOCALOS LOGIA]]=AP$2,100%,AVANCE[[#This Row],[ZOCALOS LOGIA]])</f>
        <v>0</v>
      </c>
      <c r="CE304" s="3">
        <f>+IF(AVANCE[[#This Row],[MOLDURAS]]=AQ$2,100%,AVANCE[[#This Row],[MOLDURAS]])</f>
        <v>0</v>
      </c>
      <c r="CF304" s="3">
        <f>+IF(AVANCE[[#This Row],[PILASTREO]]=AR$2,100%,AVANCE[[#This Row],[PILASTREO]])</f>
        <v>0</v>
      </c>
      <c r="CG304" s="3">
        <f>+IF(AVANCE[[#This Row],[CELOSIAS]]=AS$2,100%,AVANCE[[#This Row],[CELOSIAS]])</f>
        <v>0</v>
      </c>
      <c r="CH304" s="3">
        <f>+IF(AVANCE[[#This Row],[VENTANAS]]=AT$2,100%,AVANCE[[#This Row],[VENTANAS]])</f>
        <v>0</v>
      </c>
      <c r="CI304" s="3">
        <f>+IF(AVANCE[[#This Row],[PUERTAS ACCESO - LOGIA - BANO]]=AU$2,100%,AVANCE[[#This Row],[PUERTAS ACCESO - LOGIA - BANO]])</f>
        <v>0</v>
      </c>
      <c r="CJ304" s="3">
        <f>+IF(AVANCE[[#This Row],[CERRADURAS]]=AV$2,100%,AVANCE[[#This Row],[CERRADURAS]])</f>
        <v>0</v>
      </c>
      <c r="CK304" s="3">
        <f>+IF(AVANCE[[#This Row],[REVESTIMIENTO INTERIOR ZONA SECA]]=AW$2,100%,AVANCE[[#This Row],[REVESTIMIENTO INTERIOR ZONA SECA]])</f>
        <v>0</v>
      </c>
      <c r="CL304" s="3">
        <f>+IF(AVANCE[[#This Row],[REVESTIMIENTO INTERIOR ZONAS HUMEDAS]]=AX$2,100%,AVANCE[[#This Row],[REVESTIMIENTO INTERIOR ZONAS HUMEDAS]])</f>
        <v>0</v>
      </c>
      <c r="CM304" s="3">
        <f>+IF(AVANCE[[#This Row],[MEMBRANA CIELO]]=AY$2,100%,AVANCE[[#This Row],[MEMBRANA CIELO]])</f>
        <v>0</v>
      </c>
      <c r="CN304" s="3">
        <f>+IF(AVANCE[[#This Row],[LIMPIEZA FINAL]]=AZ$2,100%,AVANCE[[#This Row],[LIMPIEZA FINAL]])</f>
        <v>0</v>
      </c>
      <c r="CO304" s="3">
        <f>+IF(AVANCE[[#This Row],[PUERTAS DORMITORIO]]=BA$2,100%,AVANCE[[#This Row],[PUERTAS DORMITORIO]])</f>
        <v>0</v>
      </c>
      <c r="CP304" s="3">
        <f>+IF(AVANCE[[#This Row],[REVESTIMIENTO INTERIOR BANO]]=BB$2,100%,AVANCE[[#This Row],[REVESTIMIENTO INTERIOR BANO]])</f>
        <v>0</v>
      </c>
      <c r="CQ304" s="3">
        <f>+IF(AVANCE[[#This Row],[MUEBLE LAVAPLATOS]]=BC$2,100%,AVANCE[[#This Row],[MUEBLE LAVAPLATOS]])</f>
        <v>0</v>
      </c>
      <c r="CR304" s="3">
        <f>+IF(AVANCE[[#This Row],[IMPERMEABILIZACION BANO - COCINA LOGIA]]=BD$2,100%,AVANCE[[#This Row],[IMPERMEABILIZACION BANO - COCINA LOGIA]])</f>
        <v>0</v>
      </c>
      <c r="CS304" s="40">
        <f ca="1">+IF(AVANCE[[#This Row],[ESTADO MODULO]]="PENDIENTE",(TODAY()-AVANCE[[#This Row],[FECHA TERMINO  PLANIFICADO]]),0)</f>
        <v>0</v>
      </c>
      <c r="CT304" s="41" t="str" cm="1">
        <f t="array" ref="CT304">_xlfn.TEXTJOIN(" | ",TRUE,IF(SUMPRODUCT((BG304:CR304&lt;1)*(PARTIDAS!$I$2:$AT$2="OBRA GRUESA"))&gt;0,"OBRA GRUESA: "&amp;_xlfn.TEXTJOIN(", ",TRUE,IF((BG304:CR304&lt;1)*(PARTIDAS!$I$2:$AT$2="OBRA GRUESA"),PARTIDAS!$I$1:$AT$1,"")),""),IF(SUMPRODUCT((BG304:CR304&lt;1)*(PARTIDAS!$I$2:$AT$2="SANITARIOS"))&gt;0,"SANITARIOS: "&amp;_xlfn.TEXTJOIN(", ",TRUE,IF((BG304:CR304&lt;1)*(PARTIDAS!$I$2:$AT$2="SANITARIOS"),PARTIDAS!$I$1:$AT$1,"")),""),IF(SUMPRODUCT((BG304:CR304&lt;1)*(PARTIDAS!$I$2:$AT$2="ELÉCTRICO"))&gt;0,"ELÉCTRICO: "&amp;_xlfn.TEXTJOIN(", ",TRUE,IF((BG304:CR304&lt;1)*(PARTIDAS!$I$2:$AT$2="ELÉCTRICO"),PARTIDAS!$I$1:$AT$1,"")),""),IF(SUMPRODUCT((BG304:CR304&lt;1)*(PARTIDAS!$I$2:$AT$2="TERMINACIONES"))&gt;0,"TERMINACIONES: "&amp;_xlfn.TEXTJOIN(", ",TRUE,IF((BG304:CR304&lt;1)*(PARTIDAS!$I$2:$AT$2="TERMINACIONES"),PARTIDAS!$I$1:$AT$1,"")),""))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4" s="43" t="str" cm="1">
        <f t="array" ref="CU304">_xlfn.TEXTJOIN(", ",TRUE,IF(SUMPRODUCT((BG304:CR304&lt;1)*(PARTIDAS!$I$2:$AT$2="OBRA GRUESA"))&gt;0,"OBRA GRUESA",""),IF(SUMPRODUCT((BG304:CR304&lt;1)*(PARTIDAS!$I$2:$AT$2="SANITARIOS"))&gt;0,"SANITARIOS",""),IF(SUMPRODUCT((BG304:CR304&lt;1)*(PARTIDAS!$I$2:$AT$2="ELÉCTRICO"))&gt;0,"ELÉCTRICO",""),IF(SUMPRODUCT((BG304:CR304&lt;1)*(PARTIDAS!$I$2:$AT$2="TERMINACIONES"))&gt;0,"TERMINACIONES",""))</f>
        <v>OBRA GRUESA, SANITARIOS, ELÉCTRICO, TERMINACIONES</v>
      </c>
      <c r="CV304" s="44" cm="1">
        <f t="array" ref="CV304">SUMPRODUCT(--(BG304:CR304&lt;1))</f>
        <v>38</v>
      </c>
    </row>
    <row r="305" spans="1:100" hidden="1" x14ac:dyDescent="0.25">
      <c r="A305" t="s">
        <v>355</v>
      </c>
      <c r="B305" t="s">
        <v>371</v>
      </c>
      <c r="C305">
        <v>2282600304</v>
      </c>
      <c r="D305" t="s">
        <v>58</v>
      </c>
      <c r="E305" s="2">
        <v>0</v>
      </c>
      <c r="F305" s="1">
        <v>46294</v>
      </c>
      <c r="G305" s="1"/>
      <c r="H305" s="1">
        <v>0</v>
      </c>
      <c r="I305" s="1">
        <v>46314</v>
      </c>
      <c r="J305">
        <v>46230</v>
      </c>
      <c r="K305" s="1"/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>
        <v>28.87</v>
      </c>
      <c r="BF305" s="3" t="str">
        <f>+IF(AVANCE[[#This Row],[% AVANCE]]=100%,"MODULO TERMINADO",IF(AVANCE[[#This Row],[FECHA INICIO REAL]]="","MODULO NO INICIADO","PENDIENTE"))</f>
        <v>MODULO NO INICIADO</v>
      </c>
      <c r="BG305" s="3">
        <f>+IF(AVANCE[[#This Row],[VENTANAS]]=8.10810810810811%,100%,AVANCE[[#This Row],[VENTANAS]])</f>
        <v>0</v>
      </c>
      <c r="BH305" s="3">
        <f>+IF(AVANCE[[#This Row],[PISO]]=N$2,100%,AVANCE[[#This Row],[PISO]])</f>
        <v>0</v>
      </c>
      <c r="BI305" s="3">
        <f>+IF(AVANCE[[#This Row],[TABIQUES]]=O$2,100%,AVANCE[[#This Row],[TABIQUES]])</f>
        <v>0</v>
      </c>
      <c r="BJ305" s="3">
        <f>+IF(AVANCE[[#This Row],[MUROS]]=P$2,100%,AVANCE[[#This Row],[MUROS]])</f>
        <v>0</v>
      </c>
      <c r="BK305" s="3">
        <f>+IF(AVANCE[[#This Row],[CIELO]]=Q$2,100%,AVANCE[[#This Row],[CIELO]])</f>
        <v>0</v>
      </c>
      <c r="BL305" s="3">
        <f>+IF(AVANCE[[#This Row],[BALCÓN]]=R$2,100%,AVANCE[[#This Row],[BALCÓN]])</f>
        <v>0</v>
      </c>
      <c r="BM305" s="3">
        <f>+IF(AVANCE[[#This Row],[RED ALCANTARILLADO]]=U$2,100%,AVANCE[[#This Row],[RED ALCANTARILLADO]])</f>
        <v>0</v>
      </c>
      <c r="BN305" s="3">
        <f>+IF(AVANCE[[#This Row],[RED DE AGUA]]=V$2,100%,AVANCE[[#This Row],[RED DE AGUA]])</f>
        <v>0</v>
      </c>
      <c r="BO305" s="3">
        <f>+IF(AVANCE[[#This Row],[VENTILACIONES]]=W$2,100%,AVANCE[[#This Row],[VENTILACIONES]])</f>
        <v>0</v>
      </c>
      <c r="BP305" s="3">
        <f>+IF(AVANCE[[#This Row],[TINA]]=X$2,100%,AVANCE[[#This Row],[TINA]])</f>
        <v>0</v>
      </c>
      <c r="BQ305" s="3">
        <f>+IF(AVANCE[[#This Row],[WC]]=Y$2,100%,AVANCE[[#This Row],[WC]])</f>
        <v>0</v>
      </c>
      <c r="BR305" s="3">
        <f>+IF(AVANCE[[#This Row],[LAVAMANOS / LAVAPLATOS / LAVADERO]]=Z$2,100%,AVANCE[[#This Row],[LAVAMANOS / LAVAPLATOS / LAVADERO]])</f>
        <v>0</v>
      </c>
      <c r="BS305" s="3">
        <f>+IF(AVANCE[[#This Row],[CANALIZACIÓN]]=AC$2,100%,AVANCE[[#This Row],[CANALIZACIÓN]])</f>
        <v>0</v>
      </c>
      <c r="BT305" s="3">
        <f>+IF(AVANCE[[#This Row],[CABLEADO]]=AD$2,100%,AVANCE[[#This Row],[CABLEADO]])</f>
        <v>0</v>
      </c>
      <c r="BU305" s="3">
        <f>+IF(AVANCE[[#This Row],[ARTEFACTOS]]=AE$2,100%,AVANCE[[#This Row],[ARTEFACTOS]])</f>
        <v>0</v>
      </c>
      <c r="BV305" s="3">
        <f>+IF(AVANCE[[#This Row],[TABLERO]]=AF$2,100%,AVANCE[[#This Row],[TABLERO]])</f>
        <v>0</v>
      </c>
      <c r="BW305" s="3">
        <f>+IF(AVANCE[[#This Row],[CAJA PAU]]=AG$2,100%,AVANCE[[#This Row],[CAJA PAU]])</f>
        <v>0</v>
      </c>
      <c r="BX305" s="3">
        <f>+IF(AVANCE[[#This Row],[INSTALACION VINILICO]]=AJ$2,100%,AVANCE[[#This Row],[INSTALACION VINILICO]])</f>
        <v>0</v>
      </c>
      <c r="BY305" s="3">
        <f>+IF(AVANCE[[#This Row],[OSB CUBIERTA]]=AK$2,100%,AVANCE[[#This Row],[OSB CUBIERTA]])</f>
        <v>0</v>
      </c>
      <c r="BZ305" s="3">
        <f>+IF(AVANCE[[#This Row],[BARANDA BALCON]]=AL$2,100%,AVANCE[[#This Row],[BARANDA BALCON]])</f>
        <v>0</v>
      </c>
      <c r="CA305" s="3">
        <f>+IF(AVANCE[[#This Row],[OSB EXTERIOR]]=AM$2,100%,AVANCE[[#This Row],[OSB EXTERIOR]])</f>
        <v>0</v>
      </c>
      <c r="CB305" s="3">
        <f>+IF(AVANCE[[#This Row],[SMART PANEL]]=AN$2,100%,AVANCE[[#This Row],[SMART PANEL]])</f>
        <v>0</v>
      </c>
      <c r="CC305" s="3">
        <f>+IF(AVANCE[[#This Row],[PINTURA EXTERIOR]]=AO$2,100%,AVANCE[[#This Row],[PINTURA EXTERIOR]])</f>
        <v>0</v>
      </c>
      <c r="CD305" s="3">
        <f>+IF(AVANCE[[#This Row],[ZOCALOS LOGIA]]=AP$2,100%,AVANCE[[#This Row],[ZOCALOS LOGIA]])</f>
        <v>0</v>
      </c>
      <c r="CE305" s="3">
        <f>+IF(AVANCE[[#This Row],[MOLDURAS]]=AQ$2,100%,AVANCE[[#This Row],[MOLDURAS]])</f>
        <v>0</v>
      </c>
      <c r="CF305" s="3">
        <f>+IF(AVANCE[[#This Row],[PILASTREO]]=AR$2,100%,AVANCE[[#This Row],[PILASTREO]])</f>
        <v>0</v>
      </c>
      <c r="CG305" s="3">
        <f>+IF(AVANCE[[#This Row],[CELOSIAS]]=AS$2,100%,AVANCE[[#This Row],[CELOSIAS]])</f>
        <v>0</v>
      </c>
      <c r="CH305" s="3">
        <f>+IF(AVANCE[[#This Row],[VENTANAS]]=AT$2,100%,AVANCE[[#This Row],[VENTANAS]])</f>
        <v>0</v>
      </c>
      <c r="CI305" s="3">
        <f>+IF(AVANCE[[#This Row],[PUERTAS ACCESO - LOGIA - BANO]]=AU$2,100%,AVANCE[[#This Row],[PUERTAS ACCESO - LOGIA - BANO]])</f>
        <v>0</v>
      </c>
      <c r="CJ305" s="3">
        <f>+IF(AVANCE[[#This Row],[CERRADURAS]]=AV$2,100%,AVANCE[[#This Row],[CERRADURAS]])</f>
        <v>0</v>
      </c>
      <c r="CK305" s="3">
        <f>+IF(AVANCE[[#This Row],[REVESTIMIENTO INTERIOR ZONA SECA]]=AW$2,100%,AVANCE[[#This Row],[REVESTIMIENTO INTERIOR ZONA SECA]])</f>
        <v>0</v>
      </c>
      <c r="CL305" s="3">
        <f>+IF(AVANCE[[#This Row],[REVESTIMIENTO INTERIOR ZONAS HUMEDAS]]=AX$2,100%,AVANCE[[#This Row],[REVESTIMIENTO INTERIOR ZONAS HUMEDAS]])</f>
        <v>0</v>
      </c>
      <c r="CM305" s="3">
        <f>+IF(AVANCE[[#This Row],[MEMBRANA CIELO]]=AY$2,100%,AVANCE[[#This Row],[MEMBRANA CIELO]])</f>
        <v>0</v>
      </c>
      <c r="CN305" s="3">
        <f>+IF(AVANCE[[#This Row],[LIMPIEZA FINAL]]=AZ$2,100%,AVANCE[[#This Row],[LIMPIEZA FINAL]])</f>
        <v>0</v>
      </c>
      <c r="CO305" s="3">
        <f>+IF(AVANCE[[#This Row],[PUERTAS DORMITORIO]]=BA$2,100%,AVANCE[[#This Row],[PUERTAS DORMITORIO]])</f>
        <v>0</v>
      </c>
      <c r="CP305" s="3">
        <f>+IF(AVANCE[[#This Row],[REVESTIMIENTO INTERIOR BANO]]=BB$2,100%,AVANCE[[#This Row],[REVESTIMIENTO INTERIOR BANO]])</f>
        <v>0</v>
      </c>
      <c r="CQ305" s="3">
        <f>+IF(AVANCE[[#This Row],[MUEBLE LAVAPLATOS]]=BC$2,100%,AVANCE[[#This Row],[MUEBLE LAVAPLATOS]])</f>
        <v>0</v>
      </c>
      <c r="CR305" s="3">
        <f>+IF(AVANCE[[#This Row],[IMPERMEABILIZACION BANO - COCINA LOGIA]]=BD$2,100%,AVANCE[[#This Row],[IMPERMEABILIZACION BANO - COCINA LOGIA]])</f>
        <v>0</v>
      </c>
      <c r="CS305" s="40">
        <f ca="1">+IF(AVANCE[[#This Row],[ESTADO MODULO]]="PENDIENTE",(TODAY()-AVANCE[[#This Row],[FECHA TERMINO  PLANIFICADO]]),0)</f>
        <v>0</v>
      </c>
      <c r="CT305" s="41" t="str" cm="1">
        <f t="array" ref="CT305">_xlfn.TEXTJOIN(" | ",TRUE,IF(SUMPRODUCT((BG305:CR305&lt;1)*(PARTIDAS!$I$2:$AT$2="OBRA GRUESA"))&gt;0,"OBRA GRUESA: "&amp;_xlfn.TEXTJOIN(", ",TRUE,IF((BG305:CR305&lt;1)*(PARTIDAS!$I$2:$AT$2="OBRA GRUESA"),PARTIDAS!$I$1:$AT$1,"")),""),IF(SUMPRODUCT((BG305:CR305&lt;1)*(PARTIDAS!$I$2:$AT$2="SANITARIOS"))&gt;0,"SANITARIOS: "&amp;_xlfn.TEXTJOIN(", ",TRUE,IF((BG305:CR305&lt;1)*(PARTIDAS!$I$2:$AT$2="SANITARIOS"),PARTIDAS!$I$1:$AT$1,"")),""),IF(SUMPRODUCT((BG305:CR305&lt;1)*(PARTIDAS!$I$2:$AT$2="ELÉCTRICO"))&gt;0,"ELÉCTRICO: "&amp;_xlfn.TEXTJOIN(", ",TRUE,IF((BG305:CR305&lt;1)*(PARTIDAS!$I$2:$AT$2="ELÉCTRICO"),PARTIDAS!$I$1:$AT$1,"")),""),IF(SUMPRODUCT((BG305:CR305&lt;1)*(PARTIDAS!$I$2:$AT$2="TERMINACIONES"))&gt;0,"TERMINACIONES: "&amp;_xlfn.TEXTJOIN(", ",TRUE,IF((BG305:CR305&lt;1)*(PARTIDAS!$I$2:$AT$2="TERMINACIONES"),PARTIDAS!$I$1:$AT$1,"")),""))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5" s="43" t="str" cm="1">
        <f t="array" ref="CU305">_xlfn.TEXTJOIN(", ",TRUE,IF(SUMPRODUCT((BG305:CR305&lt;1)*(PARTIDAS!$I$2:$AT$2="OBRA GRUESA"))&gt;0,"OBRA GRUESA",""),IF(SUMPRODUCT((BG305:CR305&lt;1)*(PARTIDAS!$I$2:$AT$2="SANITARIOS"))&gt;0,"SANITARIOS",""),IF(SUMPRODUCT((BG305:CR305&lt;1)*(PARTIDAS!$I$2:$AT$2="ELÉCTRICO"))&gt;0,"ELÉCTRICO",""),IF(SUMPRODUCT((BG305:CR305&lt;1)*(PARTIDAS!$I$2:$AT$2="TERMINACIONES"))&gt;0,"TERMINACIONES",""))</f>
        <v>OBRA GRUESA, SANITARIOS, ELÉCTRICO, TERMINACIONES</v>
      </c>
      <c r="CV305" s="44" cm="1">
        <f t="array" ref="CV305">SUMPRODUCT(--(BG305:CR305&lt;1))</f>
        <v>38</v>
      </c>
    </row>
    <row r="306" spans="1:100" hidden="1" x14ac:dyDescent="0.25">
      <c r="A306" t="s">
        <v>355</v>
      </c>
      <c r="B306" t="s">
        <v>372</v>
      </c>
      <c r="C306">
        <v>2282600305</v>
      </c>
      <c r="D306" t="s">
        <v>58</v>
      </c>
      <c r="E306" s="2">
        <v>0</v>
      </c>
      <c r="F306" s="1">
        <v>46295</v>
      </c>
      <c r="G306" s="1"/>
      <c r="H306" s="1">
        <v>0</v>
      </c>
      <c r="I306" s="1">
        <v>46315</v>
      </c>
      <c r="J306">
        <v>46230</v>
      </c>
      <c r="K306" s="1"/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>
        <v>28.87</v>
      </c>
      <c r="BF306" s="3" t="str">
        <f>+IF(AVANCE[[#This Row],[% AVANCE]]=100%,"MODULO TERMINADO",IF(AVANCE[[#This Row],[FECHA INICIO REAL]]="","MODULO NO INICIADO","PENDIENTE"))</f>
        <v>MODULO NO INICIADO</v>
      </c>
      <c r="BG306" s="3">
        <f>+IF(AVANCE[[#This Row],[VENTANAS]]=8.10810810810811%,100%,AVANCE[[#This Row],[VENTANAS]])</f>
        <v>0</v>
      </c>
      <c r="BH306" s="3">
        <f>+IF(AVANCE[[#This Row],[PISO]]=N$2,100%,AVANCE[[#This Row],[PISO]])</f>
        <v>0</v>
      </c>
      <c r="BI306" s="3">
        <f>+IF(AVANCE[[#This Row],[TABIQUES]]=O$2,100%,AVANCE[[#This Row],[TABIQUES]])</f>
        <v>0</v>
      </c>
      <c r="BJ306" s="3">
        <f>+IF(AVANCE[[#This Row],[MUROS]]=P$2,100%,AVANCE[[#This Row],[MUROS]])</f>
        <v>0</v>
      </c>
      <c r="BK306" s="3">
        <f>+IF(AVANCE[[#This Row],[CIELO]]=Q$2,100%,AVANCE[[#This Row],[CIELO]])</f>
        <v>0</v>
      </c>
      <c r="BL306" s="3">
        <f>+IF(AVANCE[[#This Row],[BALCÓN]]=R$2,100%,AVANCE[[#This Row],[BALCÓN]])</f>
        <v>0</v>
      </c>
      <c r="BM306" s="3">
        <f>+IF(AVANCE[[#This Row],[RED ALCANTARILLADO]]=U$2,100%,AVANCE[[#This Row],[RED ALCANTARILLADO]])</f>
        <v>0</v>
      </c>
      <c r="BN306" s="3">
        <f>+IF(AVANCE[[#This Row],[RED DE AGUA]]=V$2,100%,AVANCE[[#This Row],[RED DE AGUA]])</f>
        <v>0</v>
      </c>
      <c r="BO306" s="3">
        <f>+IF(AVANCE[[#This Row],[VENTILACIONES]]=W$2,100%,AVANCE[[#This Row],[VENTILACIONES]])</f>
        <v>0</v>
      </c>
      <c r="BP306" s="3">
        <f>+IF(AVANCE[[#This Row],[TINA]]=X$2,100%,AVANCE[[#This Row],[TINA]])</f>
        <v>0</v>
      </c>
      <c r="BQ306" s="3">
        <f>+IF(AVANCE[[#This Row],[WC]]=Y$2,100%,AVANCE[[#This Row],[WC]])</f>
        <v>0</v>
      </c>
      <c r="BR306" s="3">
        <f>+IF(AVANCE[[#This Row],[LAVAMANOS / LAVAPLATOS / LAVADERO]]=Z$2,100%,AVANCE[[#This Row],[LAVAMANOS / LAVAPLATOS / LAVADERO]])</f>
        <v>0</v>
      </c>
      <c r="BS306" s="3">
        <f>+IF(AVANCE[[#This Row],[CANALIZACIÓN]]=AC$2,100%,AVANCE[[#This Row],[CANALIZACIÓN]])</f>
        <v>0</v>
      </c>
      <c r="BT306" s="3">
        <f>+IF(AVANCE[[#This Row],[CABLEADO]]=AD$2,100%,AVANCE[[#This Row],[CABLEADO]])</f>
        <v>0</v>
      </c>
      <c r="BU306" s="3">
        <f>+IF(AVANCE[[#This Row],[ARTEFACTOS]]=AE$2,100%,AVANCE[[#This Row],[ARTEFACTOS]])</f>
        <v>0</v>
      </c>
      <c r="BV306" s="3">
        <f>+IF(AVANCE[[#This Row],[TABLERO]]=AF$2,100%,AVANCE[[#This Row],[TABLERO]])</f>
        <v>0</v>
      </c>
      <c r="BW306" s="3">
        <f>+IF(AVANCE[[#This Row],[CAJA PAU]]=AG$2,100%,AVANCE[[#This Row],[CAJA PAU]])</f>
        <v>0</v>
      </c>
      <c r="BX306" s="3">
        <f>+IF(AVANCE[[#This Row],[INSTALACION VINILICO]]=AJ$2,100%,AVANCE[[#This Row],[INSTALACION VINILICO]])</f>
        <v>0</v>
      </c>
      <c r="BY306" s="3">
        <f>+IF(AVANCE[[#This Row],[OSB CUBIERTA]]=AK$2,100%,AVANCE[[#This Row],[OSB CUBIERTA]])</f>
        <v>0</v>
      </c>
      <c r="BZ306" s="3">
        <f>+IF(AVANCE[[#This Row],[BARANDA BALCON]]=AL$2,100%,AVANCE[[#This Row],[BARANDA BALCON]])</f>
        <v>0</v>
      </c>
      <c r="CA306" s="3">
        <f>+IF(AVANCE[[#This Row],[OSB EXTERIOR]]=AM$2,100%,AVANCE[[#This Row],[OSB EXTERIOR]])</f>
        <v>0</v>
      </c>
      <c r="CB306" s="3">
        <f>+IF(AVANCE[[#This Row],[SMART PANEL]]=AN$2,100%,AVANCE[[#This Row],[SMART PANEL]])</f>
        <v>0</v>
      </c>
      <c r="CC306" s="3">
        <f>+IF(AVANCE[[#This Row],[PINTURA EXTERIOR]]=AO$2,100%,AVANCE[[#This Row],[PINTURA EXTERIOR]])</f>
        <v>0</v>
      </c>
      <c r="CD306" s="3">
        <f>+IF(AVANCE[[#This Row],[ZOCALOS LOGIA]]=AP$2,100%,AVANCE[[#This Row],[ZOCALOS LOGIA]])</f>
        <v>0</v>
      </c>
      <c r="CE306" s="3">
        <f>+IF(AVANCE[[#This Row],[MOLDURAS]]=AQ$2,100%,AVANCE[[#This Row],[MOLDURAS]])</f>
        <v>0</v>
      </c>
      <c r="CF306" s="3">
        <f>+IF(AVANCE[[#This Row],[PILASTREO]]=AR$2,100%,AVANCE[[#This Row],[PILASTREO]])</f>
        <v>0</v>
      </c>
      <c r="CG306" s="3">
        <f>+IF(AVANCE[[#This Row],[CELOSIAS]]=AS$2,100%,AVANCE[[#This Row],[CELOSIAS]])</f>
        <v>0</v>
      </c>
      <c r="CH306" s="3">
        <f>+IF(AVANCE[[#This Row],[VENTANAS]]=AT$2,100%,AVANCE[[#This Row],[VENTANAS]])</f>
        <v>0</v>
      </c>
      <c r="CI306" s="3">
        <f>+IF(AVANCE[[#This Row],[PUERTAS ACCESO - LOGIA - BANO]]=AU$2,100%,AVANCE[[#This Row],[PUERTAS ACCESO - LOGIA - BANO]])</f>
        <v>0</v>
      </c>
      <c r="CJ306" s="3">
        <f>+IF(AVANCE[[#This Row],[CERRADURAS]]=AV$2,100%,AVANCE[[#This Row],[CERRADURAS]])</f>
        <v>0</v>
      </c>
      <c r="CK306" s="3">
        <f>+IF(AVANCE[[#This Row],[REVESTIMIENTO INTERIOR ZONA SECA]]=AW$2,100%,AVANCE[[#This Row],[REVESTIMIENTO INTERIOR ZONA SECA]])</f>
        <v>0</v>
      </c>
      <c r="CL306" s="3">
        <f>+IF(AVANCE[[#This Row],[REVESTIMIENTO INTERIOR ZONAS HUMEDAS]]=AX$2,100%,AVANCE[[#This Row],[REVESTIMIENTO INTERIOR ZONAS HUMEDAS]])</f>
        <v>0</v>
      </c>
      <c r="CM306" s="3">
        <f>+IF(AVANCE[[#This Row],[MEMBRANA CIELO]]=AY$2,100%,AVANCE[[#This Row],[MEMBRANA CIELO]])</f>
        <v>0</v>
      </c>
      <c r="CN306" s="3">
        <f>+IF(AVANCE[[#This Row],[LIMPIEZA FINAL]]=AZ$2,100%,AVANCE[[#This Row],[LIMPIEZA FINAL]])</f>
        <v>0</v>
      </c>
      <c r="CO306" s="3">
        <f>+IF(AVANCE[[#This Row],[PUERTAS DORMITORIO]]=BA$2,100%,AVANCE[[#This Row],[PUERTAS DORMITORIO]])</f>
        <v>0</v>
      </c>
      <c r="CP306" s="3">
        <f>+IF(AVANCE[[#This Row],[REVESTIMIENTO INTERIOR BANO]]=BB$2,100%,AVANCE[[#This Row],[REVESTIMIENTO INTERIOR BANO]])</f>
        <v>0</v>
      </c>
      <c r="CQ306" s="3">
        <f>+IF(AVANCE[[#This Row],[MUEBLE LAVAPLATOS]]=BC$2,100%,AVANCE[[#This Row],[MUEBLE LAVAPLATOS]])</f>
        <v>0</v>
      </c>
      <c r="CR306" s="3">
        <f>+IF(AVANCE[[#This Row],[IMPERMEABILIZACION BANO - COCINA LOGIA]]=BD$2,100%,AVANCE[[#This Row],[IMPERMEABILIZACION BANO - COCINA LOGIA]])</f>
        <v>0</v>
      </c>
      <c r="CS306" s="40">
        <f ca="1">+IF(AVANCE[[#This Row],[ESTADO MODULO]]="PENDIENTE",(TODAY()-AVANCE[[#This Row],[FECHA TERMINO  PLANIFICADO]]),0)</f>
        <v>0</v>
      </c>
      <c r="CT306" s="41" t="str" cm="1">
        <f t="array" ref="CT306">_xlfn.TEXTJOIN(" | ",TRUE,IF(SUMPRODUCT((BG306:CR306&lt;1)*(PARTIDAS!$I$2:$AT$2="OBRA GRUESA"))&gt;0,"OBRA GRUESA: "&amp;_xlfn.TEXTJOIN(", ",TRUE,IF((BG306:CR306&lt;1)*(PARTIDAS!$I$2:$AT$2="OBRA GRUESA"),PARTIDAS!$I$1:$AT$1,"")),""),IF(SUMPRODUCT((BG306:CR306&lt;1)*(PARTIDAS!$I$2:$AT$2="SANITARIOS"))&gt;0,"SANITARIOS: "&amp;_xlfn.TEXTJOIN(", ",TRUE,IF((BG306:CR306&lt;1)*(PARTIDAS!$I$2:$AT$2="SANITARIOS"),PARTIDAS!$I$1:$AT$1,"")),""),IF(SUMPRODUCT((BG306:CR306&lt;1)*(PARTIDAS!$I$2:$AT$2="ELÉCTRICO"))&gt;0,"ELÉCTRICO: "&amp;_xlfn.TEXTJOIN(", ",TRUE,IF((BG306:CR306&lt;1)*(PARTIDAS!$I$2:$AT$2="ELÉCTRICO"),PARTIDAS!$I$1:$AT$1,"")),""),IF(SUMPRODUCT((BG306:CR306&lt;1)*(PARTIDAS!$I$2:$AT$2="TERMINACIONES"))&gt;0,"TERMINACIONES: "&amp;_xlfn.TEXTJOIN(", ",TRUE,IF((BG306:CR306&lt;1)*(PARTIDAS!$I$2:$AT$2="TERMINACIONES"),PARTIDAS!$I$1:$AT$1,"")),""))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6" s="43" t="str" cm="1">
        <f t="array" ref="CU306">_xlfn.TEXTJOIN(", ",TRUE,IF(SUMPRODUCT((BG306:CR306&lt;1)*(PARTIDAS!$I$2:$AT$2="OBRA GRUESA"))&gt;0,"OBRA GRUESA",""),IF(SUMPRODUCT((BG306:CR306&lt;1)*(PARTIDAS!$I$2:$AT$2="SANITARIOS"))&gt;0,"SANITARIOS",""),IF(SUMPRODUCT((BG306:CR306&lt;1)*(PARTIDAS!$I$2:$AT$2="ELÉCTRICO"))&gt;0,"ELÉCTRICO",""),IF(SUMPRODUCT((BG306:CR306&lt;1)*(PARTIDAS!$I$2:$AT$2="TERMINACIONES"))&gt;0,"TERMINACIONES",""))</f>
        <v>OBRA GRUESA, SANITARIOS, ELÉCTRICO, TERMINACIONES</v>
      </c>
      <c r="CV306" s="44" cm="1">
        <f t="array" ref="CV306">SUMPRODUCT(--(BG306:CR306&lt;1))</f>
        <v>38</v>
      </c>
    </row>
    <row r="307" spans="1:100" hidden="1" x14ac:dyDescent="0.25">
      <c r="A307" t="s">
        <v>355</v>
      </c>
      <c r="B307" t="s">
        <v>373</v>
      </c>
      <c r="C307">
        <v>2302600306</v>
      </c>
      <c r="D307" t="s">
        <v>60</v>
      </c>
      <c r="E307" s="2">
        <v>0</v>
      </c>
      <c r="F307" s="1">
        <v>46295</v>
      </c>
      <c r="G307" s="1"/>
      <c r="H307" s="1">
        <v>0</v>
      </c>
      <c r="I307" s="1">
        <v>46325</v>
      </c>
      <c r="J307">
        <v>46230</v>
      </c>
      <c r="K307" s="1"/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>
        <v>31.32</v>
      </c>
      <c r="BF307" s="3" t="str">
        <f>+IF(AVANCE[[#This Row],[% AVANCE]]=100%,"MODULO TERMINADO",IF(AVANCE[[#This Row],[FECHA INICIO REAL]]="","MODULO NO INICIADO","PENDIENTE"))</f>
        <v>MODULO NO INICIADO</v>
      </c>
      <c r="BG307" s="3">
        <f>+IF(AVANCE[[#This Row],[VENTANAS]]=8.10810810810811%,100%,AVANCE[[#This Row],[VENTANAS]])</f>
        <v>0</v>
      </c>
      <c r="BH307" s="3">
        <f>+IF(AVANCE[[#This Row],[PISO]]=N$2,100%,AVANCE[[#This Row],[PISO]])</f>
        <v>0</v>
      </c>
      <c r="BI307" s="3">
        <f>+IF(AVANCE[[#This Row],[TABIQUES]]=O$2,100%,AVANCE[[#This Row],[TABIQUES]])</f>
        <v>0</v>
      </c>
      <c r="BJ307" s="3">
        <f>+IF(AVANCE[[#This Row],[MUROS]]=P$2,100%,AVANCE[[#This Row],[MUROS]])</f>
        <v>0</v>
      </c>
      <c r="BK307" s="3">
        <f>+IF(AVANCE[[#This Row],[CIELO]]=Q$2,100%,AVANCE[[#This Row],[CIELO]])</f>
        <v>0</v>
      </c>
      <c r="BL307" s="3">
        <f>+IF(AVANCE[[#This Row],[BALCÓN]]=R$2,100%,AVANCE[[#This Row],[BALCÓN]])</f>
        <v>0</v>
      </c>
      <c r="BM307" s="3">
        <f>+IF(AVANCE[[#This Row],[RED ALCANTARILLADO]]=U$2,100%,AVANCE[[#This Row],[RED ALCANTARILLADO]])</f>
        <v>0</v>
      </c>
      <c r="BN307" s="3">
        <f>+IF(AVANCE[[#This Row],[RED DE AGUA]]=V$2,100%,AVANCE[[#This Row],[RED DE AGUA]])</f>
        <v>0</v>
      </c>
      <c r="BO307" s="3">
        <f>+IF(AVANCE[[#This Row],[VENTILACIONES]]=W$2,100%,AVANCE[[#This Row],[VENTILACIONES]])</f>
        <v>0</v>
      </c>
      <c r="BP307" s="3">
        <f>+IF(AVANCE[[#This Row],[TINA]]=X$2,100%,AVANCE[[#This Row],[TINA]])</f>
        <v>0</v>
      </c>
      <c r="BQ307" s="3">
        <f>+IF(AVANCE[[#This Row],[WC]]=Y$2,100%,AVANCE[[#This Row],[WC]])</f>
        <v>0</v>
      </c>
      <c r="BR307" s="3">
        <f>+IF(AVANCE[[#This Row],[LAVAMANOS / LAVAPLATOS / LAVADERO]]=Z$2,100%,AVANCE[[#This Row],[LAVAMANOS / LAVAPLATOS / LAVADERO]])</f>
        <v>0</v>
      </c>
      <c r="BS307" s="3">
        <f>+IF(AVANCE[[#This Row],[CANALIZACIÓN]]=AC$2,100%,AVANCE[[#This Row],[CANALIZACIÓN]])</f>
        <v>0</v>
      </c>
      <c r="BT307" s="3">
        <f>+IF(AVANCE[[#This Row],[CABLEADO]]=AD$2,100%,AVANCE[[#This Row],[CABLEADO]])</f>
        <v>0</v>
      </c>
      <c r="BU307" s="3">
        <f>+IF(AVANCE[[#This Row],[ARTEFACTOS]]=AE$2,100%,AVANCE[[#This Row],[ARTEFACTOS]])</f>
        <v>0</v>
      </c>
      <c r="BV307" s="3">
        <f>+IF(AVANCE[[#This Row],[TABLERO]]=AF$2,100%,AVANCE[[#This Row],[TABLERO]])</f>
        <v>0</v>
      </c>
      <c r="BW307" s="3">
        <f>+IF(AVANCE[[#This Row],[CAJA PAU]]=AG$2,100%,AVANCE[[#This Row],[CAJA PAU]])</f>
        <v>0</v>
      </c>
      <c r="BX307" s="3">
        <f>+IF(AVANCE[[#This Row],[INSTALACION VINILICO]]=AJ$2,100%,AVANCE[[#This Row],[INSTALACION VINILICO]])</f>
        <v>0</v>
      </c>
      <c r="BY307" s="3">
        <f>+IF(AVANCE[[#This Row],[OSB CUBIERTA]]=AK$2,100%,AVANCE[[#This Row],[OSB CUBIERTA]])</f>
        <v>0</v>
      </c>
      <c r="BZ307" s="3">
        <f>+IF(AVANCE[[#This Row],[BARANDA BALCON]]=AL$2,100%,AVANCE[[#This Row],[BARANDA BALCON]])</f>
        <v>0</v>
      </c>
      <c r="CA307" s="3">
        <f>+IF(AVANCE[[#This Row],[OSB EXTERIOR]]=AM$2,100%,AVANCE[[#This Row],[OSB EXTERIOR]])</f>
        <v>0</v>
      </c>
      <c r="CB307" s="3">
        <f>+IF(AVANCE[[#This Row],[SMART PANEL]]=AN$2,100%,AVANCE[[#This Row],[SMART PANEL]])</f>
        <v>0</v>
      </c>
      <c r="CC307" s="3">
        <f>+IF(AVANCE[[#This Row],[PINTURA EXTERIOR]]=AO$2,100%,AVANCE[[#This Row],[PINTURA EXTERIOR]])</f>
        <v>0</v>
      </c>
      <c r="CD307" s="3">
        <f>+IF(AVANCE[[#This Row],[ZOCALOS LOGIA]]=AP$2,100%,AVANCE[[#This Row],[ZOCALOS LOGIA]])</f>
        <v>0</v>
      </c>
      <c r="CE307" s="3">
        <f>+IF(AVANCE[[#This Row],[MOLDURAS]]=AQ$2,100%,AVANCE[[#This Row],[MOLDURAS]])</f>
        <v>0</v>
      </c>
      <c r="CF307" s="3">
        <f>+IF(AVANCE[[#This Row],[PILASTREO]]=AR$2,100%,AVANCE[[#This Row],[PILASTREO]])</f>
        <v>0</v>
      </c>
      <c r="CG307" s="3">
        <f>+IF(AVANCE[[#This Row],[CELOSIAS]]=AS$2,100%,AVANCE[[#This Row],[CELOSIAS]])</f>
        <v>0</v>
      </c>
      <c r="CH307" s="3">
        <f>+IF(AVANCE[[#This Row],[VENTANAS]]=AT$2,100%,AVANCE[[#This Row],[VENTANAS]])</f>
        <v>0</v>
      </c>
      <c r="CI307" s="3">
        <f>+IF(AVANCE[[#This Row],[PUERTAS ACCESO - LOGIA - BANO]]=AU$2,100%,AVANCE[[#This Row],[PUERTAS ACCESO - LOGIA - BANO]])</f>
        <v>0</v>
      </c>
      <c r="CJ307" s="3">
        <f>+IF(AVANCE[[#This Row],[CERRADURAS]]=AV$2,100%,AVANCE[[#This Row],[CERRADURAS]])</f>
        <v>0</v>
      </c>
      <c r="CK307" s="3">
        <f>+IF(AVANCE[[#This Row],[REVESTIMIENTO INTERIOR ZONA SECA]]=AW$2,100%,AVANCE[[#This Row],[REVESTIMIENTO INTERIOR ZONA SECA]])</f>
        <v>0</v>
      </c>
      <c r="CL307" s="3">
        <f>+IF(AVANCE[[#This Row],[REVESTIMIENTO INTERIOR ZONAS HUMEDAS]]=AX$2,100%,AVANCE[[#This Row],[REVESTIMIENTO INTERIOR ZONAS HUMEDAS]])</f>
        <v>0</v>
      </c>
      <c r="CM307" s="3">
        <f>+IF(AVANCE[[#This Row],[MEMBRANA CIELO]]=AY$2,100%,AVANCE[[#This Row],[MEMBRANA CIELO]])</f>
        <v>0</v>
      </c>
      <c r="CN307" s="3">
        <f>+IF(AVANCE[[#This Row],[LIMPIEZA FINAL]]=AZ$2,100%,AVANCE[[#This Row],[LIMPIEZA FINAL]])</f>
        <v>0</v>
      </c>
      <c r="CO307" s="3">
        <f>+IF(AVANCE[[#This Row],[PUERTAS DORMITORIO]]=BA$2,100%,AVANCE[[#This Row],[PUERTAS DORMITORIO]])</f>
        <v>0</v>
      </c>
      <c r="CP307" s="3">
        <f>+IF(AVANCE[[#This Row],[REVESTIMIENTO INTERIOR BANO]]=BB$2,100%,AVANCE[[#This Row],[REVESTIMIENTO INTERIOR BANO]])</f>
        <v>0</v>
      </c>
      <c r="CQ307" s="3">
        <f>+IF(AVANCE[[#This Row],[MUEBLE LAVAPLATOS]]=BC$2,100%,AVANCE[[#This Row],[MUEBLE LAVAPLATOS]])</f>
        <v>0</v>
      </c>
      <c r="CR307" s="3">
        <f>+IF(AVANCE[[#This Row],[IMPERMEABILIZACION BANO - COCINA LOGIA]]=BD$2,100%,AVANCE[[#This Row],[IMPERMEABILIZACION BANO - COCINA LOGIA]])</f>
        <v>0</v>
      </c>
      <c r="CS307" s="40">
        <f ca="1">+IF(AVANCE[[#This Row],[ESTADO MODULO]]="PENDIENTE",(TODAY()-AVANCE[[#This Row],[FECHA TERMINO  PLANIFICADO]]),0)</f>
        <v>0</v>
      </c>
      <c r="CT307" s="41" t="str" cm="1">
        <f t="array" ref="CT307">_xlfn.TEXTJOIN(" | ",TRUE,IF(SUMPRODUCT((BG307:CR307&lt;1)*(PARTIDAS!$I$2:$AT$2="OBRA GRUESA"))&gt;0,"OBRA GRUESA: "&amp;_xlfn.TEXTJOIN(", ",TRUE,IF((BG307:CR307&lt;1)*(PARTIDAS!$I$2:$AT$2="OBRA GRUESA"),PARTIDAS!$I$1:$AT$1,"")),""),IF(SUMPRODUCT((BG307:CR307&lt;1)*(PARTIDAS!$I$2:$AT$2="SANITARIOS"))&gt;0,"SANITARIOS: "&amp;_xlfn.TEXTJOIN(", ",TRUE,IF((BG307:CR307&lt;1)*(PARTIDAS!$I$2:$AT$2="SANITARIOS"),PARTIDAS!$I$1:$AT$1,"")),""),IF(SUMPRODUCT((BG307:CR307&lt;1)*(PARTIDAS!$I$2:$AT$2="ELÉCTRICO"))&gt;0,"ELÉCTRICO: "&amp;_xlfn.TEXTJOIN(", ",TRUE,IF((BG307:CR307&lt;1)*(PARTIDAS!$I$2:$AT$2="ELÉCTRICO"),PARTIDAS!$I$1:$AT$1,"")),""),IF(SUMPRODUCT((BG307:CR307&lt;1)*(PARTIDAS!$I$2:$AT$2="TERMINACIONES"))&gt;0,"TERMINACIONES: "&amp;_xlfn.TEXTJOIN(", ",TRUE,IF((BG307:CR307&lt;1)*(PARTIDAS!$I$2:$AT$2="TERMINACIONES"),PARTIDAS!$I$1:$AT$1,"")),""))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7" s="43" t="str" cm="1">
        <f t="array" ref="CU307">_xlfn.TEXTJOIN(", ",TRUE,IF(SUMPRODUCT((BG307:CR307&lt;1)*(PARTIDAS!$I$2:$AT$2="OBRA GRUESA"))&gt;0,"OBRA GRUESA",""),IF(SUMPRODUCT((BG307:CR307&lt;1)*(PARTIDAS!$I$2:$AT$2="SANITARIOS"))&gt;0,"SANITARIOS",""),IF(SUMPRODUCT((BG307:CR307&lt;1)*(PARTIDAS!$I$2:$AT$2="ELÉCTRICO"))&gt;0,"ELÉCTRICO",""),IF(SUMPRODUCT((BG307:CR307&lt;1)*(PARTIDAS!$I$2:$AT$2="TERMINACIONES"))&gt;0,"TERMINACIONES",""))</f>
        <v>OBRA GRUESA, SANITARIOS, ELÉCTRICO, TERMINACIONES</v>
      </c>
      <c r="CV307" s="44" cm="1">
        <f t="array" ref="CV307">SUMPRODUCT(--(BG307:CR307&lt;1))</f>
        <v>38</v>
      </c>
    </row>
    <row r="308" spans="1:100" hidden="1" x14ac:dyDescent="0.25">
      <c r="A308" t="s">
        <v>355</v>
      </c>
      <c r="B308" t="s">
        <v>374</v>
      </c>
      <c r="C308">
        <v>2302600307</v>
      </c>
      <c r="D308" t="s">
        <v>60</v>
      </c>
      <c r="E308" s="2">
        <v>0</v>
      </c>
      <c r="F308" s="1">
        <v>46295</v>
      </c>
      <c r="G308" s="1"/>
      <c r="H308" s="1">
        <v>0</v>
      </c>
      <c r="I308" s="1">
        <v>46325</v>
      </c>
      <c r="J308">
        <v>46230</v>
      </c>
      <c r="K308" s="1"/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>
        <v>31.32</v>
      </c>
      <c r="BF308" s="3" t="str">
        <f>+IF(AVANCE[[#This Row],[% AVANCE]]=100%,"MODULO TERMINADO",IF(AVANCE[[#This Row],[FECHA INICIO REAL]]="","MODULO NO INICIADO","PENDIENTE"))</f>
        <v>MODULO NO INICIADO</v>
      </c>
      <c r="BG308" s="3">
        <f>+IF(AVANCE[[#This Row],[VENTANAS]]=8.10810810810811%,100%,AVANCE[[#This Row],[VENTANAS]])</f>
        <v>0</v>
      </c>
      <c r="BH308" s="3">
        <f>+IF(AVANCE[[#This Row],[PISO]]=N$2,100%,AVANCE[[#This Row],[PISO]])</f>
        <v>0</v>
      </c>
      <c r="BI308" s="3">
        <f>+IF(AVANCE[[#This Row],[TABIQUES]]=O$2,100%,AVANCE[[#This Row],[TABIQUES]])</f>
        <v>0</v>
      </c>
      <c r="BJ308" s="3">
        <f>+IF(AVANCE[[#This Row],[MUROS]]=P$2,100%,AVANCE[[#This Row],[MUROS]])</f>
        <v>0</v>
      </c>
      <c r="BK308" s="3">
        <f>+IF(AVANCE[[#This Row],[CIELO]]=Q$2,100%,AVANCE[[#This Row],[CIELO]])</f>
        <v>0</v>
      </c>
      <c r="BL308" s="3">
        <f>+IF(AVANCE[[#This Row],[BALCÓN]]=R$2,100%,AVANCE[[#This Row],[BALCÓN]])</f>
        <v>0</v>
      </c>
      <c r="BM308" s="3">
        <f>+IF(AVANCE[[#This Row],[RED ALCANTARILLADO]]=U$2,100%,AVANCE[[#This Row],[RED ALCANTARILLADO]])</f>
        <v>0</v>
      </c>
      <c r="BN308" s="3">
        <f>+IF(AVANCE[[#This Row],[RED DE AGUA]]=V$2,100%,AVANCE[[#This Row],[RED DE AGUA]])</f>
        <v>0</v>
      </c>
      <c r="BO308" s="3">
        <f>+IF(AVANCE[[#This Row],[VENTILACIONES]]=W$2,100%,AVANCE[[#This Row],[VENTILACIONES]])</f>
        <v>0</v>
      </c>
      <c r="BP308" s="3">
        <f>+IF(AVANCE[[#This Row],[TINA]]=X$2,100%,AVANCE[[#This Row],[TINA]])</f>
        <v>0</v>
      </c>
      <c r="BQ308" s="3">
        <f>+IF(AVANCE[[#This Row],[WC]]=Y$2,100%,AVANCE[[#This Row],[WC]])</f>
        <v>0</v>
      </c>
      <c r="BR308" s="3">
        <f>+IF(AVANCE[[#This Row],[LAVAMANOS / LAVAPLATOS / LAVADERO]]=Z$2,100%,AVANCE[[#This Row],[LAVAMANOS / LAVAPLATOS / LAVADERO]])</f>
        <v>0</v>
      </c>
      <c r="BS308" s="3">
        <f>+IF(AVANCE[[#This Row],[CANALIZACIÓN]]=AC$2,100%,AVANCE[[#This Row],[CANALIZACIÓN]])</f>
        <v>0</v>
      </c>
      <c r="BT308" s="3">
        <f>+IF(AVANCE[[#This Row],[CABLEADO]]=AD$2,100%,AVANCE[[#This Row],[CABLEADO]])</f>
        <v>0</v>
      </c>
      <c r="BU308" s="3">
        <f>+IF(AVANCE[[#This Row],[ARTEFACTOS]]=AE$2,100%,AVANCE[[#This Row],[ARTEFACTOS]])</f>
        <v>0</v>
      </c>
      <c r="BV308" s="3">
        <f>+IF(AVANCE[[#This Row],[TABLERO]]=AF$2,100%,AVANCE[[#This Row],[TABLERO]])</f>
        <v>0</v>
      </c>
      <c r="BW308" s="3">
        <f>+IF(AVANCE[[#This Row],[CAJA PAU]]=AG$2,100%,AVANCE[[#This Row],[CAJA PAU]])</f>
        <v>0</v>
      </c>
      <c r="BX308" s="3">
        <f>+IF(AVANCE[[#This Row],[INSTALACION VINILICO]]=AJ$2,100%,AVANCE[[#This Row],[INSTALACION VINILICO]])</f>
        <v>0</v>
      </c>
      <c r="BY308" s="3">
        <f>+IF(AVANCE[[#This Row],[OSB CUBIERTA]]=AK$2,100%,AVANCE[[#This Row],[OSB CUBIERTA]])</f>
        <v>0</v>
      </c>
      <c r="BZ308" s="3">
        <f>+IF(AVANCE[[#This Row],[BARANDA BALCON]]=AL$2,100%,AVANCE[[#This Row],[BARANDA BALCON]])</f>
        <v>0</v>
      </c>
      <c r="CA308" s="3">
        <f>+IF(AVANCE[[#This Row],[OSB EXTERIOR]]=AM$2,100%,AVANCE[[#This Row],[OSB EXTERIOR]])</f>
        <v>0</v>
      </c>
      <c r="CB308" s="3">
        <f>+IF(AVANCE[[#This Row],[SMART PANEL]]=AN$2,100%,AVANCE[[#This Row],[SMART PANEL]])</f>
        <v>0</v>
      </c>
      <c r="CC308" s="3">
        <f>+IF(AVANCE[[#This Row],[PINTURA EXTERIOR]]=AO$2,100%,AVANCE[[#This Row],[PINTURA EXTERIOR]])</f>
        <v>0</v>
      </c>
      <c r="CD308" s="3">
        <f>+IF(AVANCE[[#This Row],[ZOCALOS LOGIA]]=AP$2,100%,AVANCE[[#This Row],[ZOCALOS LOGIA]])</f>
        <v>0</v>
      </c>
      <c r="CE308" s="3">
        <f>+IF(AVANCE[[#This Row],[MOLDURAS]]=AQ$2,100%,AVANCE[[#This Row],[MOLDURAS]])</f>
        <v>0</v>
      </c>
      <c r="CF308" s="3">
        <f>+IF(AVANCE[[#This Row],[PILASTREO]]=AR$2,100%,AVANCE[[#This Row],[PILASTREO]])</f>
        <v>0</v>
      </c>
      <c r="CG308" s="3">
        <f>+IF(AVANCE[[#This Row],[CELOSIAS]]=AS$2,100%,AVANCE[[#This Row],[CELOSIAS]])</f>
        <v>0</v>
      </c>
      <c r="CH308" s="3">
        <f>+IF(AVANCE[[#This Row],[VENTANAS]]=AT$2,100%,AVANCE[[#This Row],[VENTANAS]])</f>
        <v>0</v>
      </c>
      <c r="CI308" s="3">
        <f>+IF(AVANCE[[#This Row],[PUERTAS ACCESO - LOGIA - BANO]]=AU$2,100%,AVANCE[[#This Row],[PUERTAS ACCESO - LOGIA - BANO]])</f>
        <v>0</v>
      </c>
      <c r="CJ308" s="3">
        <f>+IF(AVANCE[[#This Row],[CERRADURAS]]=AV$2,100%,AVANCE[[#This Row],[CERRADURAS]])</f>
        <v>0</v>
      </c>
      <c r="CK308" s="3">
        <f>+IF(AVANCE[[#This Row],[REVESTIMIENTO INTERIOR ZONA SECA]]=AW$2,100%,AVANCE[[#This Row],[REVESTIMIENTO INTERIOR ZONA SECA]])</f>
        <v>0</v>
      </c>
      <c r="CL308" s="3">
        <f>+IF(AVANCE[[#This Row],[REVESTIMIENTO INTERIOR ZONAS HUMEDAS]]=AX$2,100%,AVANCE[[#This Row],[REVESTIMIENTO INTERIOR ZONAS HUMEDAS]])</f>
        <v>0</v>
      </c>
      <c r="CM308" s="3">
        <f>+IF(AVANCE[[#This Row],[MEMBRANA CIELO]]=AY$2,100%,AVANCE[[#This Row],[MEMBRANA CIELO]])</f>
        <v>0</v>
      </c>
      <c r="CN308" s="3">
        <f>+IF(AVANCE[[#This Row],[LIMPIEZA FINAL]]=AZ$2,100%,AVANCE[[#This Row],[LIMPIEZA FINAL]])</f>
        <v>0</v>
      </c>
      <c r="CO308" s="3">
        <f>+IF(AVANCE[[#This Row],[PUERTAS DORMITORIO]]=BA$2,100%,AVANCE[[#This Row],[PUERTAS DORMITORIO]])</f>
        <v>0</v>
      </c>
      <c r="CP308" s="3">
        <f>+IF(AVANCE[[#This Row],[REVESTIMIENTO INTERIOR BANO]]=BB$2,100%,AVANCE[[#This Row],[REVESTIMIENTO INTERIOR BANO]])</f>
        <v>0</v>
      </c>
      <c r="CQ308" s="3">
        <f>+IF(AVANCE[[#This Row],[MUEBLE LAVAPLATOS]]=BC$2,100%,AVANCE[[#This Row],[MUEBLE LAVAPLATOS]])</f>
        <v>0</v>
      </c>
      <c r="CR308" s="3">
        <f>+IF(AVANCE[[#This Row],[IMPERMEABILIZACION BANO - COCINA LOGIA]]=BD$2,100%,AVANCE[[#This Row],[IMPERMEABILIZACION BANO - COCINA LOGIA]])</f>
        <v>0</v>
      </c>
      <c r="CS308" s="40">
        <f ca="1">+IF(AVANCE[[#This Row],[ESTADO MODULO]]="PENDIENTE",(TODAY()-AVANCE[[#This Row],[FECHA TERMINO  PLANIFICADO]]),0)</f>
        <v>0</v>
      </c>
      <c r="CT308" s="41" t="str" cm="1">
        <f t="array" ref="CT308">_xlfn.TEXTJOIN(" | ",TRUE,IF(SUMPRODUCT((BG308:CR308&lt;1)*(PARTIDAS!$I$2:$AT$2="OBRA GRUESA"))&gt;0,"OBRA GRUESA: "&amp;_xlfn.TEXTJOIN(", ",TRUE,IF((BG308:CR308&lt;1)*(PARTIDAS!$I$2:$AT$2="OBRA GRUESA"),PARTIDAS!$I$1:$AT$1,"")),""),IF(SUMPRODUCT((BG308:CR308&lt;1)*(PARTIDAS!$I$2:$AT$2="SANITARIOS"))&gt;0,"SANITARIOS: "&amp;_xlfn.TEXTJOIN(", ",TRUE,IF((BG308:CR308&lt;1)*(PARTIDAS!$I$2:$AT$2="SANITARIOS"),PARTIDAS!$I$1:$AT$1,"")),""),IF(SUMPRODUCT((BG308:CR308&lt;1)*(PARTIDAS!$I$2:$AT$2="ELÉCTRICO"))&gt;0,"ELÉCTRICO: "&amp;_xlfn.TEXTJOIN(", ",TRUE,IF((BG308:CR308&lt;1)*(PARTIDAS!$I$2:$AT$2="ELÉCTRICO"),PARTIDAS!$I$1:$AT$1,"")),""),IF(SUMPRODUCT((BG308:CR308&lt;1)*(PARTIDAS!$I$2:$AT$2="TERMINACIONES"))&gt;0,"TERMINACIONES: "&amp;_xlfn.TEXTJOIN(", ",TRUE,IF((BG308:CR308&lt;1)*(PARTIDAS!$I$2:$AT$2="TERMINACIONES"),PARTIDAS!$I$1:$AT$1,"")),""))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8" s="43" t="str" cm="1">
        <f t="array" ref="CU308">_xlfn.TEXTJOIN(", ",TRUE,IF(SUMPRODUCT((BG308:CR308&lt;1)*(PARTIDAS!$I$2:$AT$2="OBRA GRUESA"))&gt;0,"OBRA GRUESA",""),IF(SUMPRODUCT((BG308:CR308&lt;1)*(PARTIDAS!$I$2:$AT$2="SANITARIOS"))&gt;0,"SANITARIOS",""),IF(SUMPRODUCT((BG308:CR308&lt;1)*(PARTIDAS!$I$2:$AT$2="ELÉCTRICO"))&gt;0,"ELÉCTRICO",""),IF(SUMPRODUCT((BG308:CR308&lt;1)*(PARTIDAS!$I$2:$AT$2="TERMINACIONES"))&gt;0,"TERMINACIONES",""))</f>
        <v>OBRA GRUESA, SANITARIOS, ELÉCTRICO, TERMINACIONES</v>
      </c>
      <c r="CV308" s="44" cm="1">
        <f t="array" ref="CV308">SUMPRODUCT(--(BG308:CR308&lt;1))</f>
        <v>38</v>
      </c>
    </row>
    <row r="309" spans="1:100" hidden="1" x14ac:dyDescent="0.25">
      <c r="A309" t="s">
        <v>355</v>
      </c>
      <c r="B309" t="s">
        <v>375</v>
      </c>
      <c r="C309">
        <v>2282600308</v>
      </c>
      <c r="D309" t="s">
        <v>58</v>
      </c>
      <c r="E309" s="2">
        <v>0</v>
      </c>
      <c r="F309" s="1">
        <v>46296</v>
      </c>
      <c r="G309" s="1"/>
      <c r="H309" s="1">
        <v>0</v>
      </c>
      <c r="I309" s="1">
        <v>46316</v>
      </c>
      <c r="J309">
        <v>46230</v>
      </c>
      <c r="K309" s="1"/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>
        <v>28.87</v>
      </c>
      <c r="BF309" s="3" t="str">
        <f>+IF(AVANCE[[#This Row],[% AVANCE]]=100%,"MODULO TERMINADO",IF(AVANCE[[#This Row],[FECHA INICIO REAL]]="","MODULO NO INICIADO","PENDIENTE"))</f>
        <v>MODULO NO INICIADO</v>
      </c>
      <c r="BG309" s="3">
        <f>+IF(AVANCE[[#This Row],[VENTANAS]]=8.10810810810811%,100%,AVANCE[[#This Row],[VENTANAS]])</f>
        <v>0</v>
      </c>
      <c r="BH309" s="3">
        <f>+IF(AVANCE[[#This Row],[PISO]]=N$2,100%,AVANCE[[#This Row],[PISO]])</f>
        <v>0</v>
      </c>
      <c r="BI309" s="3">
        <f>+IF(AVANCE[[#This Row],[TABIQUES]]=O$2,100%,AVANCE[[#This Row],[TABIQUES]])</f>
        <v>0</v>
      </c>
      <c r="BJ309" s="3">
        <f>+IF(AVANCE[[#This Row],[MUROS]]=P$2,100%,AVANCE[[#This Row],[MUROS]])</f>
        <v>0</v>
      </c>
      <c r="BK309" s="3">
        <f>+IF(AVANCE[[#This Row],[CIELO]]=Q$2,100%,AVANCE[[#This Row],[CIELO]])</f>
        <v>0</v>
      </c>
      <c r="BL309" s="3">
        <f>+IF(AVANCE[[#This Row],[BALCÓN]]=R$2,100%,AVANCE[[#This Row],[BALCÓN]])</f>
        <v>0</v>
      </c>
      <c r="BM309" s="3">
        <f>+IF(AVANCE[[#This Row],[RED ALCANTARILLADO]]=U$2,100%,AVANCE[[#This Row],[RED ALCANTARILLADO]])</f>
        <v>0</v>
      </c>
      <c r="BN309" s="3">
        <f>+IF(AVANCE[[#This Row],[RED DE AGUA]]=V$2,100%,AVANCE[[#This Row],[RED DE AGUA]])</f>
        <v>0</v>
      </c>
      <c r="BO309" s="3">
        <f>+IF(AVANCE[[#This Row],[VENTILACIONES]]=W$2,100%,AVANCE[[#This Row],[VENTILACIONES]])</f>
        <v>0</v>
      </c>
      <c r="BP309" s="3">
        <f>+IF(AVANCE[[#This Row],[TINA]]=X$2,100%,AVANCE[[#This Row],[TINA]])</f>
        <v>0</v>
      </c>
      <c r="BQ309" s="3">
        <f>+IF(AVANCE[[#This Row],[WC]]=Y$2,100%,AVANCE[[#This Row],[WC]])</f>
        <v>0</v>
      </c>
      <c r="BR309" s="3">
        <f>+IF(AVANCE[[#This Row],[LAVAMANOS / LAVAPLATOS / LAVADERO]]=Z$2,100%,AVANCE[[#This Row],[LAVAMANOS / LAVAPLATOS / LAVADERO]])</f>
        <v>0</v>
      </c>
      <c r="BS309" s="3">
        <f>+IF(AVANCE[[#This Row],[CANALIZACIÓN]]=AC$2,100%,AVANCE[[#This Row],[CANALIZACIÓN]])</f>
        <v>0</v>
      </c>
      <c r="BT309" s="3">
        <f>+IF(AVANCE[[#This Row],[CABLEADO]]=AD$2,100%,AVANCE[[#This Row],[CABLEADO]])</f>
        <v>0</v>
      </c>
      <c r="BU309" s="3">
        <f>+IF(AVANCE[[#This Row],[ARTEFACTOS]]=AE$2,100%,AVANCE[[#This Row],[ARTEFACTOS]])</f>
        <v>0</v>
      </c>
      <c r="BV309" s="3">
        <f>+IF(AVANCE[[#This Row],[TABLERO]]=AF$2,100%,AVANCE[[#This Row],[TABLERO]])</f>
        <v>0</v>
      </c>
      <c r="BW309" s="3">
        <f>+IF(AVANCE[[#This Row],[CAJA PAU]]=AG$2,100%,AVANCE[[#This Row],[CAJA PAU]])</f>
        <v>0</v>
      </c>
      <c r="BX309" s="3">
        <f>+IF(AVANCE[[#This Row],[INSTALACION VINILICO]]=AJ$2,100%,AVANCE[[#This Row],[INSTALACION VINILICO]])</f>
        <v>0</v>
      </c>
      <c r="BY309" s="3">
        <f>+IF(AVANCE[[#This Row],[OSB CUBIERTA]]=AK$2,100%,AVANCE[[#This Row],[OSB CUBIERTA]])</f>
        <v>0</v>
      </c>
      <c r="BZ309" s="3">
        <f>+IF(AVANCE[[#This Row],[BARANDA BALCON]]=AL$2,100%,AVANCE[[#This Row],[BARANDA BALCON]])</f>
        <v>0</v>
      </c>
      <c r="CA309" s="3">
        <f>+IF(AVANCE[[#This Row],[OSB EXTERIOR]]=AM$2,100%,AVANCE[[#This Row],[OSB EXTERIOR]])</f>
        <v>0</v>
      </c>
      <c r="CB309" s="3">
        <f>+IF(AVANCE[[#This Row],[SMART PANEL]]=AN$2,100%,AVANCE[[#This Row],[SMART PANEL]])</f>
        <v>0</v>
      </c>
      <c r="CC309" s="3">
        <f>+IF(AVANCE[[#This Row],[PINTURA EXTERIOR]]=AO$2,100%,AVANCE[[#This Row],[PINTURA EXTERIOR]])</f>
        <v>0</v>
      </c>
      <c r="CD309" s="3">
        <f>+IF(AVANCE[[#This Row],[ZOCALOS LOGIA]]=AP$2,100%,AVANCE[[#This Row],[ZOCALOS LOGIA]])</f>
        <v>0</v>
      </c>
      <c r="CE309" s="3">
        <f>+IF(AVANCE[[#This Row],[MOLDURAS]]=AQ$2,100%,AVANCE[[#This Row],[MOLDURAS]])</f>
        <v>0</v>
      </c>
      <c r="CF309" s="3">
        <f>+IF(AVANCE[[#This Row],[PILASTREO]]=AR$2,100%,AVANCE[[#This Row],[PILASTREO]])</f>
        <v>0</v>
      </c>
      <c r="CG309" s="3">
        <f>+IF(AVANCE[[#This Row],[CELOSIAS]]=AS$2,100%,AVANCE[[#This Row],[CELOSIAS]])</f>
        <v>0</v>
      </c>
      <c r="CH309" s="3">
        <f>+IF(AVANCE[[#This Row],[VENTANAS]]=AT$2,100%,AVANCE[[#This Row],[VENTANAS]])</f>
        <v>0</v>
      </c>
      <c r="CI309" s="3">
        <f>+IF(AVANCE[[#This Row],[PUERTAS ACCESO - LOGIA - BANO]]=AU$2,100%,AVANCE[[#This Row],[PUERTAS ACCESO - LOGIA - BANO]])</f>
        <v>0</v>
      </c>
      <c r="CJ309" s="3">
        <f>+IF(AVANCE[[#This Row],[CERRADURAS]]=AV$2,100%,AVANCE[[#This Row],[CERRADURAS]])</f>
        <v>0</v>
      </c>
      <c r="CK309" s="3">
        <f>+IF(AVANCE[[#This Row],[REVESTIMIENTO INTERIOR ZONA SECA]]=AW$2,100%,AVANCE[[#This Row],[REVESTIMIENTO INTERIOR ZONA SECA]])</f>
        <v>0</v>
      </c>
      <c r="CL309" s="3">
        <f>+IF(AVANCE[[#This Row],[REVESTIMIENTO INTERIOR ZONAS HUMEDAS]]=AX$2,100%,AVANCE[[#This Row],[REVESTIMIENTO INTERIOR ZONAS HUMEDAS]])</f>
        <v>0</v>
      </c>
      <c r="CM309" s="3">
        <f>+IF(AVANCE[[#This Row],[MEMBRANA CIELO]]=AY$2,100%,AVANCE[[#This Row],[MEMBRANA CIELO]])</f>
        <v>0</v>
      </c>
      <c r="CN309" s="3">
        <f>+IF(AVANCE[[#This Row],[LIMPIEZA FINAL]]=AZ$2,100%,AVANCE[[#This Row],[LIMPIEZA FINAL]])</f>
        <v>0</v>
      </c>
      <c r="CO309" s="3">
        <f>+IF(AVANCE[[#This Row],[PUERTAS DORMITORIO]]=BA$2,100%,AVANCE[[#This Row],[PUERTAS DORMITORIO]])</f>
        <v>0</v>
      </c>
      <c r="CP309" s="3">
        <f>+IF(AVANCE[[#This Row],[REVESTIMIENTO INTERIOR BANO]]=BB$2,100%,AVANCE[[#This Row],[REVESTIMIENTO INTERIOR BANO]])</f>
        <v>0</v>
      </c>
      <c r="CQ309" s="3">
        <f>+IF(AVANCE[[#This Row],[MUEBLE LAVAPLATOS]]=BC$2,100%,AVANCE[[#This Row],[MUEBLE LAVAPLATOS]])</f>
        <v>0</v>
      </c>
      <c r="CR309" s="3">
        <f>+IF(AVANCE[[#This Row],[IMPERMEABILIZACION BANO - COCINA LOGIA]]=BD$2,100%,AVANCE[[#This Row],[IMPERMEABILIZACION BANO - COCINA LOGIA]])</f>
        <v>0</v>
      </c>
      <c r="CS309" s="40">
        <f ca="1">+IF(AVANCE[[#This Row],[ESTADO MODULO]]="PENDIENTE",(TODAY()-AVANCE[[#This Row],[FECHA TERMINO  PLANIFICADO]]),0)</f>
        <v>0</v>
      </c>
      <c r="CT309" s="41" t="str" cm="1">
        <f t="array" ref="CT309">_xlfn.TEXTJOIN(" | ",TRUE,IF(SUMPRODUCT((BG309:CR309&lt;1)*(PARTIDAS!$I$2:$AT$2="OBRA GRUESA"))&gt;0,"OBRA GRUESA: "&amp;_xlfn.TEXTJOIN(", ",TRUE,IF((BG309:CR309&lt;1)*(PARTIDAS!$I$2:$AT$2="OBRA GRUESA"),PARTIDAS!$I$1:$AT$1,"")),""),IF(SUMPRODUCT((BG309:CR309&lt;1)*(PARTIDAS!$I$2:$AT$2="SANITARIOS"))&gt;0,"SANITARIOS: "&amp;_xlfn.TEXTJOIN(", ",TRUE,IF((BG309:CR309&lt;1)*(PARTIDAS!$I$2:$AT$2="SANITARIOS"),PARTIDAS!$I$1:$AT$1,"")),""),IF(SUMPRODUCT((BG309:CR309&lt;1)*(PARTIDAS!$I$2:$AT$2="ELÉCTRICO"))&gt;0,"ELÉCTRICO: "&amp;_xlfn.TEXTJOIN(", ",TRUE,IF((BG309:CR309&lt;1)*(PARTIDAS!$I$2:$AT$2="ELÉCTRICO"),PARTIDAS!$I$1:$AT$1,"")),""),IF(SUMPRODUCT((BG309:CR309&lt;1)*(PARTIDAS!$I$2:$AT$2="TERMINACIONES"))&gt;0,"TERMINACIONES: "&amp;_xlfn.TEXTJOIN(", ",TRUE,IF((BG309:CR309&lt;1)*(PARTIDAS!$I$2:$AT$2="TERMINACIONES"),PARTIDAS!$I$1:$AT$1,"")),""))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09" s="43" t="str" cm="1">
        <f t="array" ref="CU309">_xlfn.TEXTJOIN(", ",TRUE,IF(SUMPRODUCT((BG309:CR309&lt;1)*(PARTIDAS!$I$2:$AT$2="OBRA GRUESA"))&gt;0,"OBRA GRUESA",""),IF(SUMPRODUCT((BG309:CR309&lt;1)*(PARTIDAS!$I$2:$AT$2="SANITARIOS"))&gt;0,"SANITARIOS",""),IF(SUMPRODUCT((BG309:CR309&lt;1)*(PARTIDAS!$I$2:$AT$2="ELÉCTRICO"))&gt;0,"ELÉCTRICO",""),IF(SUMPRODUCT((BG309:CR309&lt;1)*(PARTIDAS!$I$2:$AT$2="TERMINACIONES"))&gt;0,"TERMINACIONES",""))</f>
        <v>OBRA GRUESA, SANITARIOS, ELÉCTRICO, TERMINACIONES</v>
      </c>
      <c r="CV309" s="44" cm="1">
        <f t="array" ref="CV309">SUMPRODUCT(--(BG309:CR309&lt;1))</f>
        <v>38</v>
      </c>
    </row>
    <row r="310" spans="1:100" hidden="1" x14ac:dyDescent="0.25">
      <c r="A310" t="s">
        <v>355</v>
      </c>
      <c r="B310" t="s">
        <v>376</v>
      </c>
      <c r="C310">
        <v>2282600309</v>
      </c>
      <c r="D310" t="s">
        <v>58</v>
      </c>
      <c r="E310" s="2">
        <v>0</v>
      </c>
      <c r="F310" s="1">
        <v>46296</v>
      </c>
      <c r="G310" s="1"/>
      <c r="H310" s="1">
        <v>0</v>
      </c>
      <c r="I310" s="1">
        <v>46316</v>
      </c>
      <c r="J310">
        <v>46230</v>
      </c>
      <c r="K310" s="1"/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>
        <v>28.87</v>
      </c>
      <c r="BF310" s="3" t="str">
        <f>+IF(AVANCE[[#This Row],[% AVANCE]]=100%,"MODULO TERMINADO",IF(AVANCE[[#This Row],[FECHA INICIO REAL]]="","MODULO NO INICIADO","PENDIENTE"))</f>
        <v>MODULO NO INICIADO</v>
      </c>
      <c r="BG310" s="3">
        <f>+IF(AVANCE[[#This Row],[VENTANAS]]=8.10810810810811%,100%,AVANCE[[#This Row],[VENTANAS]])</f>
        <v>0</v>
      </c>
      <c r="BH310" s="3">
        <f>+IF(AVANCE[[#This Row],[PISO]]=N$2,100%,AVANCE[[#This Row],[PISO]])</f>
        <v>0</v>
      </c>
      <c r="BI310" s="3">
        <f>+IF(AVANCE[[#This Row],[TABIQUES]]=O$2,100%,AVANCE[[#This Row],[TABIQUES]])</f>
        <v>0</v>
      </c>
      <c r="BJ310" s="3">
        <f>+IF(AVANCE[[#This Row],[MUROS]]=P$2,100%,AVANCE[[#This Row],[MUROS]])</f>
        <v>0</v>
      </c>
      <c r="BK310" s="3">
        <f>+IF(AVANCE[[#This Row],[CIELO]]=Q$2,100%,AVANCE[[#This Row],[CIELO]])</f>
        <v>0</v>
      </c>
      <c r="BL310" s="3">
        <f>+IF(AVANCE[[#This Row],[BALCÓN]]=R$2,100%,AVANCE[[#This Row],[BALCÓN]])</f>
        <v>0</v>
      </c>
      <c r="BM310" s="3">
        <f>+IF(AVANCE[[#This Row],[RED ALCANTARILLADO]]=U$2,100%,AVANCE[[#This Row],[RED ALCANTARILLADO]])</f>
        <v>0</v>
      </c>
      <c r="BN310" s="3">
        <f>+IF(AVANCE[[#This Row],[RED DE AGUA]]=V$2,100%,AVANCE[[#This Row],[RED DE AGUA]])</f>
        <v>0</v>
      </c>
      <c r="BO310" s="3">
        <f>+IF(AVANCE[[#This Row],[VENTILACIONES]]=W$2,100%,AVANCE[[#This Row],[VENTILACIONES]])</f>
        <v>0</v>
      </c>
      <c r="BP310" s="3">
        <f>+IF(AVANCE[[#This Row],[TINA]]=X$2,100%,AVANCE[[#This Row],[TINA]])</f>
        <v>0</v>
      </c>
      <c r="BQ310" s="3">
        <f>+IF(AVANCE[[#This Row],[WC]]=Y$2,100%,AVANCE[[#This Row],[WC]])</f>
        <v>0</v>
      </c>
      <c r="BR310" s="3">
        <f>+IF(AVANCE[[#This Row],[LAVAMANOS / LAVAPLATOS / LAVADERO]]=Z$2,100%,AVANCE[[#This Row],[LAVAMANOS / LAVAPLATOS / LAVADERO]])</f>
        <v>0</v>
      </c>
      <c r="BS310" s="3">
        <f>+IF(AVANCE[[#This Row],[CANALIZACIÓN]]=AC$2,100%,AVANCE[[#This Row],[CANALIZACIÓN]])</f>
        <v>0</v>
      </c>
      <c r="BT310" s="3">
        <f>+IF(AVANCE[[#This Row],[CABLEADO]]=AD$2,100%,AVANCE[[#This Row],[CABLEADO]])</f>
        <v>0</v>
      </c>
      <c r="BU310" s="3">
        <f>+IF(AVANCE[[#This Row],[ARTEFACTOS]]=AE$2,100%,AVANCE[[#This Row],[ARTEFACTOS]])</f>
        <v>0</v>
      </c>
      <c r="BV310" s="3">
        <f>+IF(AVANCE[[#This Row],[TABLERO]]=AF$2,100%,AVANCE[[#This Row],[TABLERO]])</f>
        <v>0</v>
      </c>
      <c r="BW310" s="3">
        <f>+IF(AVANCE[[#This Row],[CAJA PAU]]=AG$2,100%,AVANCE[[#This Row],[CAJA PAU]])</f>
        <v>0</v>
      </c>
      <c r="BX310" s="3">
        <f>+IF(AVANCE[[#This Row],[INSTALACION VINILICO]]=AJ$2,100%,AVANCE[[#This Row],[INSTALACION VINILICO]])</f>
        <v>0</v>
      </c>
      <c r="BY310" s="3">
        <f>+IF(AVANCE[[#This Row],[OSB CUBIERTA]]=AK$2,100%,AVANCE[[#This Row],[OSB CUBIERTA]])</f>
        <v>0</v>
      </c>
      <c r="BZ310" s="3">
        <f>+IF(AVANCE[[#This Row],[BARANDA BALCON]]=AL$2,100%,AVANCE[[#This Row],[BARANDA BALCON]])</f>
        <v>0</v>
      </c>
      <c r="CA310" s="3">
        <f>+IF(AVANCE[[#This Row],[OSB EXTERIOR]]=AM$2,100%,AVANCE[[#This Row],[OSB EXTERIOR]])</f>
        <v>0</v>
      </c>
      <c r="CB310" s="3">
        <f>+IF(AVANCE[[#This Row],[SMART PANEL]]=AN$2,100%,AVANCE[[#This Row],[SMART PANEL]])</f>
        <v>0</v>
      </c>
      <c r="CC310" s="3">
        <f>+IF(AVANCE[[#This Row],[PINTURA EXTERIOR]]=AO$2,100%,AVANCE[[#This Row],[PINTURA EXTERIOR]])</f>
        <v>0</v>
      </c>
      <c r="CD310" s="3">
        <f>+IF(AVANCE[[#This Row],[ZOCALOS LOGIA]]=AP$2,100%,AVANCE[[#This Row],[ZOCALOS LOGIA]])</f>
        <v>0</v>
      </c>
      <c r="CE310" s="3">
        <f>+IF(AVANCE[[#This Row],[MOLDURAS]]=AQ$2,100%,AVANCE[[#This Row],[MOLDURAS]])</f>
        <v>0</v>
      </c>
      <c r="CF310" s="3">
        <f>+IF(AVANCE[[#This Row],[PILASTREO]]=AR$2,100%,AVANCE[[#This Row],[PILASTREO]])</f>
        <v>0</v>
      </c>
      <c r="CG310" s="3">
        <f>+IF(AVANCE[[#This Row],[CELOSIAS]]=AS$2,100%,AVANCE[[#This Row],[CELOSIAS]])</f>
        <v>0</v>
      </c>
      <c r="CH310" s="3">
        <f>+IF(AVANCE[[#This Row],[VENTANAS]]=AT$2,100%,AVANCE[[#This Row],[VENTANAS]])</f>
        <v>0</v>
      </c>
      <c r="CI310" s="3">
        <f>+IF(AVANCE[[#This Row],[PUERTAS ACCESO - LOGIA - BANO]]=AU$2,100%,AVANCE[[#This Row],[PUERTAS ACCESO - LOGIA - BANO]])</f>
        <v>0</v>
      </c>
      <c r="CJ310" s="3">
        <f>+IF(AVANCE[[#This Row],[CERRADURAS]]=AV$2,100%,AVANCE[[#This Row],[CERRADURAS]])</f>
        <v>0</v>
      </c>
      <c r="CK310" s="3">
        <f>+IF(AVANCE[[#This Row],[REVESTIMIENTO INTERIOR ZONA SECA]]=AW$2,100%,AVANCE[[#This Row],[REVESTIMIENTO INTERIOR ZONA SECA]])</f>
        <v>0</v>
      </c>
      <c r="CL310" s="3">
        <f>+IF(AVANCE[[#This Row],[REVESTIMIENTO INTERIOR ZONAS HUMEDAS]]=AX$2,100%,AVANCE[[#This Row],[REVESTIMIENTO INTERIOR ZONAS HUMEDAS]])</f>
        <v>0</v>
      </c>
      <c r="CM310" s="3">
        <f>+IF(AVANCE[[#This Row],[MEMBRANA CIELO]]=AY$2,100%,AVANCE[[#This Row],[MEMBRANA CIELO]])</f>
        <v>0</v>
      </c>
      <c r="CN310" s="3">
        <f>+IF(AVANCE[[#This Row],[LIMPIEZA FINAL]]=AZ$2,100%,AVANCE[[#This Row],[LIMPIEZA FINAL]])</f>
        <v>0</v>
      </c>
      <c r="CO310" s="3">
        <f>+IF(AVANCE[[#This Row],[PUERTAS DORMITORIO]]=BA$2,100%,AVANCE[[#This Row],[PUERTAS DORMITORIO]])</f>
        <v>0</v>
      </c>
      <c r="CP310" s="3">
        <f>+IF(AVANCE[[#This Row],[REVESTIMIENTO INTERIOR BANO]]=BB$2,100%,AVANCE[[#This Row],[REVESTIMIENTO INTERIOR BANO]])</f>
        <v>0</v>
      </c>
      <c r="CQ310" s="3">
        <f>+IF(AVANCE[[#This Row],[MUEBLE LAVAPLATOS]]=BC$2,100%,AVANCE[[#This Row],[MUEBLE LAVAPLATOS]])</f>
        <v>0</v>
      </c>
      <c r="CR310" s="3">
        <f>+IF(AVANCE[[#This Row],[IMPERMEABILIZACION BANO - COCINA LOGIA]]=BD$2,100%,AVANCE[[#This Row],[IMPERMEABILIZACION BANO - COCINA LOGIA]])</f>
        <v>0</v>
      </c>
      <c r="CS310" s="40">
        <f ca="1">+IF(AVANCE[[#This Row],[ESTADO MODULO]]="PENDIENTE",(TODAY()-AVANCE[[#This Row],[FECHA TERMINO  PLANIFICADO]]),0)</f>
        <v>0</v>
      </c>
      <c r="CT310" s="41" t="str" cm="1">
        <f t="array" ref="CT310">_xlfn.TEXTJOIN(" | ",TRUE,IF(SUMPRODUCT((BG310:CR310&lt;1)*(PARTIDAS!$I$2:$AT$2="OBRA GRUESA"))&gt;0,"OBRA GRUESA: "&amp;_xlfn.TEXTJOIN(", ",TRUE,IF((BG310:CR310&lt;1)*(PARTIDAS!$I$2:$AT$2="OBRA GRUESA"),PARTIDAS!$I$1:$AT$1,"")),""),IF(SUMPRODUCT((BG310:CR310&lt;1)*(PARTIDAS!$I$2:$AT$2="SANITARIOS"))&gt;0,"SANITARIOS: "&amp;_xlfn.TEXTJOIN(", ",TRUE,IF((BG310:CR310&lt;1)*(PARTIDAS!$I$2:$AT$2="SANITARIOS"),PARTIDAS!$I$1:$AT$1,"")),""),IF(SUMPRODUCT((BG310:CR310&lt;1)*(PARTIDAS!$I$2:$AT$2="ELÉCTRICO"))&gt;0,"ELÉCTRICO: "&amp;_xlfn.TEXTJOIN(", ",TRUE,IF((BG310:CR310&lt;1)*(PARTIDAS!$I$2:$AT$2="ELÉCTRICO"),PARTIDAS!$I$1:$AT$1,"")),""),IF(SUMPRODUCT((BG310:CR310&lt;1)*(PARTIDAS!$I$2:$AT$2="TERMINACIONES"))&gt;0,"TERMINACIONES: "&amp;_xlfn.TEXTJOIN(", ",TRUE,IF((BG310:CR310&lt;1)*(PARTIDAS!$I$2:$AT$2="TERMINACIONES"),PARTIDAS!$I$1:$AT$1,"")),""))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0" s="43" t="str" cm="1">
        <f t="array" ref="CU310">_xlfn.TEXTJOIN(", ",TRUE,IF(SUMPRODUCT((BG310:CR310&lt;1)*(PARTIDAS!$I$2:$AT$2="OBRA GRUESA"))&gt;0,"OBRA GRUESA",""),IF(SUMPRODUCT((BG310:CR310&lt;1)*(PARTIDAS!$I$2:$AT$2="SANITARIOS"))&gt;0,"SANITARIOS",""),IF(SUMPRODUCT((BG310:CR310&lt;1)*(PARTIDAS!$I$2:$AT$2="ELÉCTRICO"))&gt;0,"ELÉCTRICO",""),IF(SUMPRODUCT((BG310:CR310&lt;1)*(PARTIDAS!$I$2:$AT$2="TERMINACIONES"))&gt;0,"TERMINACIONES",""))</f>
        <v>OBRA GRUESA, SANITARIOS, ELÉCTRICO, TERMINACIONES</v>
      </c>
      <c r="CV310" s="44" cm="1">
        <f t="array" ref="CV310">SUMPRODUCT(--(BG310:CR310&lt;1))</f>
        <v>38</v>
      </c>
    </row>
    <row r="311" spans="1:100" hidden="1" x14ac:dyDescent="0.25">
      <c r="A311" t="s">
        <v>355</v>
      </c>
      <c r="B311" t="s">
        <v>377</v>
      </c>
      <c r="C311">
        <v>2302600310</v>
      </c>
      <c r="D311" t="s">
        <v>60</v>
      </c>
      <c r="E311" s="2">
        <v>0</v>
      </c>
      <c r="F311" s="1">
        <v>46296</v>
      </c>
      <c r="G311" s="1"/>
      <c r="H311" s="1">
        <v>0</v>
      </c>
      <c r="I311" s="1">
        <v>46326</v>
      </c>
      <c r="J311">
        <v>46230</v>
      </c>
      <c r="K311" s="1"/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>
        <v>31.32</v>
      </c>
      <c r="BF311" s="3" t="str">
        <f>+IF(AVANCE[[#This Row],[% AVANCE]]=100%,"MODULO TERMINADO",IF(AVANCE[[#This Row],[FECHA INICIO REAL]]="","MODULO NO INICIADO","PENDIENTE"))</f>
        <v>MODULO NO INICIADO</v>
      </c>
      <c r="BG311" s="3">
        <f>+IF(AVANCE[[#This Row],[VENTANAS]]=8.10810810810811%,100%,AVANCE[[#This Row],[VENTANAS]])</f>
        <v>0</v>
      </c>
      <c r="BH311" s="3">
        <f>+IF(AVANCE[[#This Row],[PISO]]=N$2,100%,AVANCE[[#This Row],[PISO]])</f>
        <v>0</v>
      </c>
      <c r="BI311" s="3">
        <f>+IF(AVANCE[[#This Row],[TABIQUES]]=O$2,100%,AVANCE[[#This Row],[TABIQUES]])</f>
        <v>0</v>
      </c>
      <c r="BJ311" s="3">
        <f>+IF(AVANCE[[#This Row],[MUROS]]=P$2,100%,AVANCE[[#This Row],[MUROS]])</f>
        <v>0</v>
      </c>
      <c r="BK311" s="3">
        <f>+IF(AVANCE[[#This Row],[CIELO]]=Q$2,100%,AVANCE[[#This Row],[CIELO]])</f>
        <v>0</v>
      </c>
      <c r="BL311" s="3">
        <f>+IF(AVANCE[[#This Row],[BALCÓN]]=R$2,100%,AVANCE[[#This Row],[BALCÓN]])</f>
        <v>0</v>
      </c>
      <c r="BM311" s="3">
        <f>+IF(AVANCE[[#This Row],[RED ALCANTARILLADO]]=U$2,100%,AVANCE[[#This Row],[RED ALCANTARILLADO]])</f>
        <v>0</v>
      </c>
      <c r="BN311" s="3">
        <f>+IF(AVANCE[[#This Row],[RED DE AGUA]]=V$2,100%,AVANCE[[#This Row],[RED DE AGUA]])</f>
        <v>0</v>
      </c>
      <c r="BO311" s="3">
        <f>+IF(AVANCE[[#This Row],[VENTILACIONES]]=W$2,100%,AVANCE[[#This Row],[VENTILACIONES]])</f>
        <v>0</v>
      </c>
      <c r="BP311" s="3">
        <f>+IF(AVANCE[[#This Row],[TINA]]=X$2,100%,AVANCE[[#This Row],[TINA]])</f>
        <v>0</v>
      </c>
      <c r="BQ311" s="3">
        <f>+IF(AVANCE[[#This Row],[WC]]=Y$2,100%,AVANCE[[#This Row],[WC]])</f>
        <v>0</v>
      </c>
      <c r="BR311" s="3">
        <f>+IF(AVANCE[[#This Row],[LAVAMANOS / LAVAPLATOS / LAVADERO]]=Z$2,100%,AVANCE[[#This Row],[LAVAMANOS / LAVAPLATOS / LAVADERO]])</f>
        <v>0</v>
      </c>
      <c r="BS311" s="3">
        <f>+IF(AVANCE[[#This Row],[CANALIZACIÓN]]=AC$2,100%,AVANCE[[#This Row],[CANALIZACIÓN]])</f>
        <v>0</v>
      </c>
      <c r="BT311" s="3">
        <f>+IF(AVANCE[[#This Row],[CABLEADO]]=AD$2,100%,AVANCE[[#This Row],[CABLEADO]])</f>
        <v>0</v>
      </c>
      <c r="BU311" s="3">
        <f>+IF(AVANCE[[#This Row],[ARTEFACTOS]]=AE$2,100%,AVANCE[[#This Row],[ARTEFACTOS]])</f>
        <v>0</v>
      </c>
      <c r="BV311" s="3">
        <f>+IF(AVANCE[[#This Row],[TABLERO]]=AF$2,100%,AVANCE[[#This Row],[TABLERO]])</f>
        <v>0</v>
      </c>
      <c r="BW311" s="3">
        <f>+IF(AVANCE[[#This Row],[CAJA PAU]]=AG$2,100%,AVANCE[[#This Row],[CAJA PAU]])</f>
        <v>0</v>
      </c>
      <c r="BX311" s="3">
        <f>+IF(AVANCE[[#This Row],[INSTALACION VINILICO]]=AJ$2,100%,AVANCE[[#This Row],[INSTALACION VINILICO]])</f>
        <v>0</v>
      </c>
      <c r="BY311" s="3">
        <f>+IF(AVANCE[[#This Row],[OSB CUBIERTA]]=AK$2,100%,AVANCE[[#This Row],[OSB CUBIERTA]])</f>
        <v>0</v>
      </c>
      <c r="BZ311" s="3">
        <f>+IF(AVANCE[[#This Row],[BARANDA BALCON]]=AL$2,100%,AVANCE[[#This Row],[BARANDA BALCON]])</f>
        <v>0</v>
      </c>
      <c r="CA311" s="3">
        <f>+IF(AVANCE[[#This Row],[OSB EXTERIOR]]=AM$2,100%,AVANCE[[#This Row],[OSB EXTERIOR]])</f>
        <v>0</v>
      </c>
      <c r="CB311" s="3">
        <f>+IF(AVANCE[[#This Row],[SMART PANEL]]=AN$2,100%,AVANCE[[#This Row],[SMART PANEL]])</f>
        <v>0</v>
      </c>
      <c r="CC311" s="3">
        <f>+IF(AVANCE[[#This Row],[PINTURA EXTERIOR]]=AO$2,100%,AVANCE[[#This Row],[PINTURA EXTERIOR]])</f>
        <v>0</v>
      </c>
      <c r="CD311" s="3">
        <f>+IF(AVANCE[[#This Row],[ZOCALOS LOGIA]]=AP$2,100%,AVANCE[[#This Row],[ZOCALOS LOGIA]])</f>
        <v>0</v>
      </c>
      <c r="CE311" s="3">
        <f>+IF(AVANCE[[#This Row],[MOLDURAS]]=AQ$2,100%,AVANCE[[#This Row],[MOLDURAS]])</f>
        <v>0</v>
      </c>
      <c r="CF311" s="3">
        <f>+IF(AVANCE[[#This Row],[PILASTREO]]=AR$2,100%,AVANCE[[#This Row],[PILASTREO]])</f>
        <v>0</v>
      </c>
      <c r="CG311" s="3">
        <f>+IF(AVANCE[[#This Row],[CELOSIAS]]=AS$2,100%,AVANCE[[#This Row],[CELOSIAS]])</f>
        <v>0</v>
      </c>
      <c r="CH311" s="3">
        <f>+IF(AVANCE[[#This Row],[VENTANAS]]=AT$2,100%,AVANCE[[#This Row],[VENTANAS]])</f>
        <v>0</v>
      </c>
      <c r="CI311" s="3">
        <f>+IF(AVANCE[[#This Row],[PUERTAS ACCESO - LOGIA - BANO]]=AU$2,100%,AVANCE[[#This Row],[PUERTAS ACCESO - LOGIA - BANO]])</f>
        <v>0</v>
      </c>
      <c r="CJ311" s="3">
        <f>+IF(AVANCE[[#This Row],[CERRADURAS]]=AV$2,100%,AVANCE[[#This Row],[CERRADURAS]])</f>
        <v>0</v>
      </c>
      <c r="CK311" s="3">
        <f>+IF(AVANCE[[#This Row],[REVESTIMIENTO INTERIOR ZONA SECA]]=AW$2,100%,AVANCE[[#This Row],[REVESTIMIENTO INTERIOR ZONA SECA]])</f>
        <v>0</v>
      </c>
      <c r="CL311" s="3">
        <f>+IF(AVANCE[[#This Row],[REVESTIMIENTO INTERIOR ZONAS HUMEDAS]]=AX$2,100%,AVANCE[[#This Row],[REVESTIMIENTO INTERIOR ZONAS HUMEDAS]])</f>
        <v>0</v>
      </c>
      <c r="CM311" s="3">
        <f>+IF(AVANCE[[#This Row],[MEMBRANA CIELO]]=AY$2,100%,AVANCE[[#This Row],[MEMBRANA CIELO]])</f>
        <v>0</v>
      </c>
      <c r="CN311" s="3">
        <f>+IF(AVANCE[[#This Row],[LIMPIEZA FINAL]]=AZ$2,100%,AVANCE[[#This Row],[LIMPIEZA FINAL]])</f>
        <v>0</v>
      </c>
      <c r="CO311" s="3">
        <f>+IF(AVANCE[[#This Row],[PUERTAS DORMITORIO]]=BA$2,100%,AVANCE[[#This Row],[PUERTAS DORMITORIO]])</f>
        <v>0</v>
      </c>
      <c r="CP311" s="3">
        <f>+IF(AVANCE[[#This Row],[REVESTIMIENTO INTERIOR BANO]]=BB$2,100%,AVANCE[[#This Row],[REVESTIMIENTO INTERIOR BANO]])</f>
        <v>0</v>
      </c>
      <c r="CQ311" s="3">
        <f>+IF(AVANCE[[#This Row],[MUEBLE LAVAPLATOS]]=BC$2,100%,AVANCE[[#This Row],[MUEBLE LAVAPLATOS]])</f>
        <v>0</v>
      </c>
      <c r="CR311" s="3">
        <f>+IF(AVANCE[[#This Row],[IMPERMEABILIZACION BANO - COCINA LOGIA]]=BD$2,100%,AVANCE[[#This Row],[IMPERMEABILIZACION BANO - COCINA LOGIA]])</f>
        <v>0</v>
      </c>
      <c r="CS311" s="40">
        <f ca="1">+IF(AVANCE[[#This Row],[ESTADO MODULO]]="PENDIENTE",(TODAY()-AVANCE[[#This Row],[FECHA TERMINO  PLANIFICADO]]),0)</f>
        <v>0</v>
      </c>
      <c r="CT311" s="41" t="str" cm="1">
        <f t="array" ref="CT311">_xlfn.TEXTJOIN(" | ",TRUE,IF(SUMPRODUCT((BG311:CR311&lt;1)*(PARTIDAS!$I$2:$AT$2="OBRA GRUESA"))&gt;0,"OBRA GRUESA: "&amp;_xlfn.TEXTJOIN(", ",TRUE,IF((BG311:CR311&lt;1)*(PARTIDAS!$I$2:$AT$2="OBRA GRUESA"),PARTIDAS!$I$1:$AT$1,"")),""),IF(SUMPRODUCT((BG311:CR311&lt;1)*(PARTIDAS!$I$2:$AT$2="SANITARIOS"))&gt;0,"SANITARIOS: "&amp;_xlfn.TEXTJOIN(", ",TRUE,IF((BG311:CR311&lt;1)*(PARTIDAS!$I$2:$AT$2="SANITARIOS"),PARTIDAS!$I$1:$AT$1,"")),""),IF(SUMPRODUCT((BG311:CR311&lt;1)*(PARTIDAS!$I$2:$AT$2="ELÉCTRICO"))&gt;0,"ELÉCTRICO: "&amp;_xlfn.TEXTJOIN(", ",TRUE,IF((BG311:CR311&lt;1)*(PARTIDAS!$I$2:$AT$2="ELÉCTRICO"),PARTIDAS!$I$1:$AT$1,"")),""),IF(SUMPRODUCT((BG311:CR311&lt;1)*(PARTIDAS!$I$2:$AT$2="TERMINACIONES"))&gt;0,"TERMINACIONES: "&amp;_xlfn.TEXTJOIN(", ",TRUE,IF((BG311:CR311&lt;1)*(PARTIDAS!$I$2:$AT$2="TERMINACIONES"),PARTIDAS!$I$1:$AT$1,"")),""))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1" s="43" t="str" cm="1">
        <f t="array" ref="CU311">_xlfn.TEXTJOIN(", ",TRUE,IF(SUMPRODUCT((BG311:CR311&lt;1)*(PARTIDAS!$I$2:$AT$2="OBRA GRUESA"))&gt;0,"OBRA GRUESA",""),IF(SUMPRODUCT((BG311:CR311&lt;1)*(PARTIDAS!$I$2:$AT$2="SANITARIOS"))&gt;0,"SANITARIOS",""),IF(SUMPRODUCT((BG311:CR311&lt;1)*(PARTIDAS!$I$2:$AT$2="ELÉCTRICO"))&gt;0,"ELÉCTRICO",""),IF(SUMPRODUCT((BG311:CR311&lt;1)*(PARTIDAS!$I$2:$AT$2="TERMINACIONES"))&gt;0,"TERMINACIONES",""))</f>
        <v>OBRA GRUESA, SANITARIOS, ELÉCTRICO, TERMINACIONES</v>
      </c>
      <c r="CV311" s="44" cm="1">
        <f t="array" ref="CV311">SUMPRODUCT(--(BG311:CR311&lt;1))</f>
        <v>38</v>
      </c>
    </row>
    <row r="312" spans="1:100" hidden="1" x14ac:dyDescent="0.25">
      <c r="A312" t="s">
        <v>355</v>
      </c>
      <c r="B312" t="s">
        <v>378</v>
      </c>
      <c r="C312">
        <v>2302600311</v>
      </c>
      <c r="D312" t="s">
        <v>60</v>
      </c>
      <c r="E312" s="2">
        <v>0</v>
      </c>
      <c r="F312" s="1">
        <v>46297</v>
      </c>
      <c r="G312" s="1"/>
      <c r="H312" s="1">
        <v>0</v>
      </c>
      <c r="I312" s="1">
        <v>46327</v>
      </c>
      <c r="J312">
        <v>46230</v>
      </c>
      <c r="K312" s="1"/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>
        <v>31.32</v>
      </c>
      <c r="BF312" s="3" t="str">
        <f>+IF(AVANCE[[#This Row],[% AVANCE]]=100%,"MODULO TERMINADO",IF(AVANCE[[#This Row],[FECHA INICIO REAL]]="","MODULO NO INICIADO","PENDIENTE"))</f>
        <v>MODULO NO INICIADO</v>
      </c>
      <c r="BG312" s="3">
        <f>+IF(AVANCE[[#This Row],[VENTANAS]]=8.10810810810811%,100%,AVANCE[[#This Row],[VENTANAS]])</f>
        <v>0</v>
      </c>
      <c r="BH312" s="3">
        <f>+IF(AVANCE[[#This Row],[PISO]]=N$2,100%,AVANCE[[#This Row],[PISO]])</f>
        <v>0</v>
      </c>
      <c r="BI312" s="3">
        <f>+IF(AVANCE[[#This Row],[TABIQUES]]=O$2,100%,AVANCE[[#This Row],[TABIQUES]])</f>
        <v>0</v>
      </c>
      <c r="BJ312" s="3">
        <f>+IF(AVANCE[[#This Row],[MUROS]]=P$2,100%,AVANCE[[#This Row],[MUROS]])</f>
        <v>0</v>
      </c>
      <c r="BK312" s="3">
        <f>+IF(AVANCE[[#This Row],[CIELO]]=Q$2,100%,AVANCE[[#This Row],[CIELO]])</f>
        <v>0</v>
      </c>
      <c r="BL312" s="3">
        <f>+IF(AVANCE[[#This Row],[BALCÓN]]=R$2,100%,AVANCE[[#This Row],[BALCÓN]])</f>
        <v>0</v>
      </c>
      <c r="BM312" s="3">
        <f>+IF(AVANCE[[#This Row],[RED ALCANTARILLADO]]=U$2,100%,AVANCE[[#This Row],[RED ALCANTARILLADO]])</f>
        <v>0</v>
      </c>
      <c r="BN312" s="3">
        <f>+IF(AVANCE[[#This Row],[RED DE AGUA]]=V$2,100%,AVANCE[[#This Row],[RED DE AGUA]])</f>
        <v>0</v>
      </c>
      <c r="BO312" s="3">
        <f>+IF(AVANCE[[#This Row],[VENTILACIONES]]=W$2,100%,AVANCE[[#This Row],[VENTILACIONES]])</f>
        <v>0</v>
      </c>
      <c r="BP312" s="3">
        <f>+IF(AVANCE[[#This Row],[TINA]]=X$2,100%,AVANCE[[#This Row],[TINA]])</f>
        <v>0</v>
      </c>
      <c r="BQ312" s="3">
        <f>+IF(AVANCE[[#This Row],[WC]]=Y$2,100%,AVANCE[[#This Row],[WC]])</f>
        <v>0</v>
      </c>
      <c r="BR312" s="3">
        <f>+IF(AVANCE[[#This Row],[LAVAMANOS / LAVAPLATOS / LAVADERO]]=Z$2,100%,AVANCE[[#This Row],[LAVAMANOS / LAVAPLATOS / LAVADERO]])</f>
        <v>0</v>
      </c>
      <c r="BS312" s="3">
        <f>+IF(AVANCE[[#This Row],[CANALIZACIÓN]]=AC$2,100%,AVANCE[[#This Row],[CANALIZACIÓN]])</f>
        <v>0</v>
      </c>
      <c r="BT312" s="3">
        <f>+IF(AVANCE[[#This Row],[CABLEADO]]=AD$2,100%,AVANCE[[#This Row],[CABLEADO]])</f>
        <v>0</v>
      </c>
      <c r="BU312" s="3">
        <f>+IF(AVANCE[[#This Row],[ARTEFACTOS]]=AE$2,100%,AVANCE[[#This Row],[ARTEFACTOS]])</f>
        <v>0</v>
      </c>
      <c r="BV312" s="3">
        <f>+IF(AVANCE[[#This Row],[TABLERO]]=AF$2,100%,AVANCE[[#This Row],[TABLERO]])</f>
        <v>0</v>
      </c>
      <c r="BW312" s="3">
        <f>+IF(AVANCE[[#This Row],[CAJA PAU]]=AG$2,100%,AVANCE[[#This Row],[CAJA PAU]])</f>
        <v>0</v>
      </c>
      <c r="BX312" s="3">
        <f>+IF(AVANCE[[#This Row],[INSTALACION VINILICO]]=AJ$2,100%,AVANCE[[#This Row],[INSTALACION VINILICO]])</f>
        <v>0</v>
      </c>
      <c r="BY312" s="3">
        <f>+IF(AVANCE[[#This Row],[OSB CUBIERTA]]=AK$2,100%,AVANCE[[#This Row],[OSB CUBIERTA]])</f>
        <v>0</v>
      </c>
      <c r="BZ312" s="3">
        <f>+IF(AVANCE[[#This Row],[BARANDA BALCON]]=AL$2,100%,AVANCE[[#This Row],[BARANDA BALCON]])</f>
        <v>0</v>
      </c>
      <c r="CA312" s="3">
        <f>+IF(AVANCE[[#This Row],[OSB EXTERIOR]]=AM$2,100%,AVANCE[[#This Row],[OSB EXTERIOR]])</f>
        <v>0</v>
      </c>
      <c r="CB312" s="3">
        <f>+IF(AVANCE[[#This Row],[SMART PANEL]]=AN$2,100%,AVANCE[[#This Row],[SMART PANEL]])</f>
        <v>0</v>
      </c>
      <c r="CC312" s="3">
        <f>+IF(AVANCE[[#This Row],[PINTURA EXTERIOR]]=AO$2,100%,AVANCE[[#This Row],[PINTURA EXTERIOR]])</f>
        <v>0</v>
      </c>
      <c r="CD312" s="3">
        <f>+IF(AVANCE[[#This Row],[ZOCALOS LOGIA]]=AP$2,100%,AVANCE[[#This Row],[ZOCALOS LOGIA]])</f>
        <v>0</v>
      </c>
      <c r="CE312" s="3">
        <f>+IF(AVANCE[[#This Row],[MOLDURAS]]=AQ$2,100%,AVANCE[[#This Row],[MOLDURAS]])</f>
        <v>0</v>
      </c>
      <c r="CF312" s="3">
        <f>+IF(AVANCE[[#This Row],[PILASTREO]]=AR$2,100%,AVANCE[[#This Row],[PILASTREO]])</f>
        <v>0</v>
      </c>
      <c r="CG312" s="3">
        <f>+IF(AVANCE[[#This Row],[CELOSIAS]]=AS$2,100%,AVANCE[[#This Row],[CELOSIAS]])</f>
        <v>0</v>
      </c>
      <c r="CH312" s="3">
        <f>+IF(AVANCE[[#This Row],[VENTANAS]]=AT$2,100%,AVANCE[[#This Row],[VENTANAS]])</f>
        <v>0</v>
      </c>
      <c r="CI312" s="3">
        <f>+IF(AVANCE[[#This Row],[PUERTAS ACCESO - LOGIA - BANO]]=AU$2,100%,AVANCE[[#This Row],[PUERTAS ACCESO - LOGIA - BANO]])</f>
        <v>0</v>
      </c>
      <c r="CJ312" s="3">
        <f>+IF(AVANCE[[#This Row],[CERRADURAS]]=AV$2,100%,AVANCE[[#This Row],[CERRADURAS]])</f>
        <v>0</v>
      </c>
      <c r="CK312" s="3">
        <f>+IF(AVANCE[[#This Row],[REVESTIMIENTO INTERIOR ZONA SECA]]=AW$2,100%,AVANCE[[#This Row],[REVESTIMIENTO INTERIOR ZONA SECA]])</f>
        <v>0</v>
      </c>
      <c r="CL312" s="3">
        <f>+IF(AVANCE[[#This Row],[REVESTIMIENTO INTERIOR ZONAS HUMEDAS]]=AX$2,100%,AVANCE[[#This Row],[REVESTIMIENTO INTERIOR ZONAS HUMEDAS]])</f>
        <v>0</v>
      </c>
      <c r="CM312" s="3">
        <f>+IF(AVANCE[[#This Row],[MEMBRANA CIELO]]=AY$2,100%,AVANCE[[#This Row],[MEMBRANA CIELO]])</f>
        <v>0</v>
      </c>
      <c r="CN312" s="3">
        <f>+IF(AVANCE[[#This Row],[LIMPIEZA FINAL]]=AZ$2,100%,AVANCE[[#This Row],[LIMPIEZA FINAL]])</f>
        <v>0</v>
      </c>
      <c r="CO312" s="3">
        <f>+IF(AVANCE[[#This Row],[PUERTAS DORMITORIO]]=BA$2,100%,AVANCE[[#This Row],[PUERTAS DORMITORIO]])</f>
        <v>0</v>
      </c>
      <c r="CP312" s="3">
        <f>+IF(AVANCE[[#This Row],[REVESTIMIENTO INTERIOR BANO]]=BB$2,100%,AVANCE[[#This Row],[REVESTIMIENTO INTERIOR BANO]])</f>
        <v>0</v>
      </c>
      <c r="CQ312" s="3">
        <f>+IF(AVANCE[[#This Row],[MUEBLE LAVAPLATOS]]=BC$2,100%,AVANCE[[#This Row],[MUEBLE LAVAPLATOS]])</f>
        <v>0</v>
      </c>
      <c r="CR312" s="3">
        <f>+IF(AVANCE[[#This Row],[IMPERMEABILIZACION BANO - COCINA LOGIA]]=BD$2,100%,AVANCE[[#This Row],[IMPERMEABILIZACION BANO - COCINA LOGIA]])</f>
        <v>0</v>
      </c>
      <c r="CS312" s="40">
        <f ca="1">+IF(AVANCE[[#This Row],[ESTADO MODULO]]="PENDIENTE",(TODAY()-AVANCE[[#This Row],[FECHA TERMINO  PLANIFICADO]]),0)</f>
        <v>0</v>
      </c>
      <c r="CT312" s="41" t="str" cm="1">
        <f t="array" ref="CT312">_xlfn.TEXTJOIN(" | ",TRUE,IF(SUMPRODUCT((BG312:CR312&lt;1)*(PARTIDAS!$I$2:$AT$2="OBRA GRUESA"))&gt;0,"OBRA GRUESA: "&amp;_xlfn.TEXTJOIN(", ",TRUE,IF((BG312:CR312&lt;1)*(PARTIDAS!$I$2:$AT$2="OBRA GRUESA"),PARTIDAS!$I$1:$AT$1,"")),""),IF(SUMPRODUCT((BG312:CR312&lt;1)*(PARTIDAS!$I$2:$AT$2="SANITARIOS"))&gt;0,"SANITARIOS: "&amp;_xlfn.TEXTJOIN(", ",TRUE,IF((BG312:CR312&lt;1)*(PARTIDAS!$I$2:$AT$2="SANITARIOS"),PARTIDAS!$I$1:$AT$1,"")),""),IF(SUMPRODUCT((BG312:CR312&lt;1)*(PARTIDAS!$I$2:$AT$2="ELÉCTRICO"))&gt;0,"ELÉCTRICO: "&amp;_xlfn.TEXTJOIN(", ",TRUE,IF((BG312:CR312&lt;1)*(PARTIDAS!$I$2:$AT$2="ELÉCTRICO"),PARTIDAS!$I$1:$AT$1,"")),""),IF(SUMPRODUCT((BG312:CR312&lt;1)*(PARTIDAS!$I$2:$AT$2="TERMINACIONES"))&gt;0,"TERMINACIONES: "&amp;_xlfn.TEXTJOIN(", ",TRUE,IF((BG312:CR312&lt;1)*(PARTIDAS!$I$2:$AT$2="TERMINACIONES"),PARTIDAS!$I$1:$AT$1,"")),""))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2" s="43" t="str" cm="1">
        <f t="array" ref="CU312">_xlfn.TEXTJOIN(", ",TRUE,IF(SUMPRODUCT((BG312:CR312&lt;1)*(PARTIDAS!$I$2:$AT$2="OBRA GRUESA"))&gt;0,"OBRA GRUESA",""),IF(SUMPRODUCT((BG312:CR312&lt;1)*(PARTIDAS!$I$2:$AT$2="SANITARIOS"))&gt;0,"SANITARIOS",""),IF(SUMPRODUCT((BG312:CR312&lt;1)*(PARTIDAS!$I$2:$AT$2="ELÉCTRICO"))&gt;0,"ELÉCTRICO",""),IF(SUMPRODUCT((BG312:CR312&lt;1)*(PARTIDAS!$I$2:$AT$2="TERMINACIONES"))&gt;0,"TERMINACIONES",""))</f>
        <v>OBRA GRUESA, SANITARIOS, ELÉCTRICO, TERMINACIONES</v>
      </c>
      <c r="CV312" s="44" cm="1">
        <f t="array" ref="CV312">SUMPRODUCT(--(BG312:CR312&lt;1))</f>
        <v>38</v>
      </c>
    </row>
    <row r="313" spans="1:100" hidden="1" x14ac:dyDescent="0.25">
      <c r="A313" t="s">
        <v>355</v>
      </c>
      <c r="B313" t="s">
        <v>379</v>
      </c>
      <c r="C313">
        <v>2282600312</v>
      </c>
      <c r="D313" t="s">
        <v>58</v>
      </c>
      <c r="E313" s="2">
        <v>0</v>
      </c>
      <c r="F313" s="1">
        <v>46297</v>
      </c>
      <c r="G313" s="1"/>
      <c r="H313" s="1">
        <v>0</v>
      </c>
      <c r="I313" s="1">
        <v>46317</v>
      </c>
      <c r="J313">
        <v>46230</v>
      </c>
      <c r="K313" s="1"/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>
        <v>28.87</v>
      </c>
      <c r="BF313" s="3" t="str">
        <f>+IF(AVANCE[[#This Row],[% AVANCE]]=100%,"MODULO TERMINADO",IF(AVANCE[[#This Row],[FECHA INICIO REAL]]="","MODULO NO INICIADO","PENDIENTE"))</f>
        <v>MODULO NO INICIADO</v>
      </c>
      <c r="BG313" s="3">
        <f>+IF(AVANCE[[#This Row],[VENTANAS]]=8.10810810810811%,100%,AVANCE[[#This Row],[VENTANAS]])</f>
        <v>0</v>
      </c>
      <c r="BH313" s="3">
        <f>+IF(AVANCE[[#This Row],[PISO]]=N$2,100%,AVANCE[[#This Row],[PISO]])</f>
        <v>0</v>
      </c>
      <c r="BI313" s="3">
        <f>+IF(AVANCE[[#This Row],[TABIQUES]]=O$2,100%,AVANCE[[#This Row],[TABIQUES]])</f>
        <v>0</v>
      </c>
      <c r="BJ313" s="3">
        <f>+IF(AVANCE[[#This Row],[MUROS]]=P$2,100%,AVANCE[[#This Row],[MUROS]])</f>
        <v>0</v>
      </c>
      <c r="BK313" s="3">
        <f>+IF(AVANCE[[#This Row],[CIELO]]=Q$2,100%,AVANCE[[#This Row],[CIELO]])</f>
        <v>0</v>
      </c>
      <c r="BL313" s="3">
        <f>+IF(AVANCE[[#This Row],[BALCÓN]]=R$2,100%,AVANCE[[#This Row],[BALCÓN]])</f>
        <v>0</v>
      </c>
      <c r="BM313" s="3">
        <f>+IF(AVANCE[[#This Row],[RED ALCANTARILLADO]]=U$2,100%,AVANCE[[#This Row],[RED ALCANTARILLADO]])</f>
        <v>0</v>
      </c>
      <c r="BN313" s="3">
        <f>+IF(AVANCE[[#This Row],[RED DE AGUA]]=V$2,100%,AVANCE[[#This Row],[RED DE AGUA]])</f>
        <v>0</v>
      </c>
      <c r="BO313" s="3">
        <f>+IF(AVANCE[[#This Row],[VENTILACIONES]]=W$2,100%,AVANCE[[#This Row],[VENTILACIONES]])</f>
        <v>0</v>
      </c>
      <c r="BP313" s="3">
        <f>+IF(AVANCE[[#This Row],[TINA]]=X$2,100%,AVANCE[[#This Row],[TINA]])</f>
        <v>0</v>
      </c>
      <c r="BQ313" s="3">
        <f>+IF(AVANCE[[#This Row],[WC]]=Y$2,100%,AVANCE[[#This Row],[WC]])</f>
        <v>0</v>
      </c>
      <c r="BR313" s="3">
        <f>+IF(AVANCE[[#This Row],[LAVAMANOS / LAVAPLATOS / LAVADERO]]=Z$2,100%,AVANCE[[#This Row],[LAVAMANOS / LAVAPLATOS / LAVADERO]])</f>
        <v>0</v>
      </c>
      <c r="BS313" s="3">
        <f>+IF(AVANCE[[#This Row],[CANALIZACIÓN]]=AC$2,100%,AVANCE[[#This Row],[CANALIZACIÓN]])</f>
        <v>0</v>
      </c>
      <c r="BT313" s="3">
        <f>+IF(AVANCE[[#This Row],[CABLEADO]]=AD$2,100%,AVANCE[[#This Row],[CABLEADO]])</f>
        <v>0</v>
      </c>
      <c r="BU313" s="3">
        <f>+IF(AVANCE[[#This Row],[ARTEFACTOS]]=AE$2,100%,AVANCE[[#This Row],[ARTEFACTOS]])</f>
        <v>0</v>
      </c>
      <c r="BV313" s="3">
        <f>+IF(AVANCE[[#This Row],[TABLERO]]=AF$2,100%,AVANCE[[#This Row],[TABLERO]])</f>
        <v>0</v>
      </c>
      <c r="BW313" s="3">
        <f>+IF(AVANCE[[#This Row],[CAJA PAU]]=AG$2,100%,AVANCE[[#This Row],[CAJA PAU]])</f>
        <v>0</v>
      </c>
      <c r="BX313" s="3">
        <f>+IF(AVANCE[[#This Row],[INSTALACION VINILICO]]=AJ$2,100%,AVANCE[[#This Row],[INSTALACION VINILICO]])</f>
        <v>0</v>
      </c>
      <c r="BY313" s="3">
        <f>+IF(AVANCE[[#This Row],[OSB CUBIERTA]]=AK$2,100%,AVANCE[[#This Row],[OSB CUBIERTA]])</f>
        <v>0</v>
      </c>
      <c r="BZ313" s="3">
        <f>+IF(AVANCE[[#This Row],[BARANDA BALCON]]=AL$2,100%,AVANCE[[#This Row],[BARANDA BALCON]])</f>
        <v>0</v>
      </c>
      <c r="CA313" s="3">
        <f>+IF(AVANCE[[#This Row],[OSB EXTERIOR]]=AM$2,100%,AVANCE[[#This Row],[OSB EXTERIOR]])</f>
        <v>0</v>
      </c>
      <c r="CB313" s="3">
        <f>+IF(AVANCE[[#This Row],[SMART PANEL]]=AN$2,100%,AVANCE[[#This Row],[SMART PANEL]])</f>
        <v>0</v>
      </c>
      <c r="CC313" s="3">
        <f>+IF(AVANCE[[#This Row],[PINTURA EXTERIOR]]=AO$2,100%,AVANCE[[#This Row],[PINTURA EXTERIOR]])</f>
        <v>0</v>
      </c>
      <c r="CD313" s="3">
        <f>+IF(AVANCE[[#This Row],[ZOCALOS LOGIA]]=AP$2,100%,AVANCE[[#This Row],[ZOCALOS LOGIA]])</f>
        <v>0</v>
      </c>
      <c r="CE313" s="3">
        <f>+IF(AVANCE[[#This Row],[MOLDURAS]]=AQ$2,100%,AVANCE[[#This Row],[MOLDURAS]])</f>
        <v>0</v>
      </c>
      <c r="CF313" s="3">
        <f>+IF(AVANCE[[#This Row],[PILASTREO]]=AR$2,100%,AVANCE[[#This Row],[PILASTREO]])</f>
        <v>0</v>
      </c>
      <c r="CG313" s="3">
        <f>+IF(AVANCE[[#This Row],[CELOSIAS]]=AS$2,100%,AVANCE[[#This Row],[CELOSIAS]])</f>
        <v>0</v>
      </c>
      <c r="CH313" s="3">
        <f>+IF(AVANCE[[#This Row],[VENTANAS]]=AT$2,100%,AVANCE[[#This Row],[VENTANAS]])</f>
        <v>0</v>
      </c>
      <c r="CI313" s="3">
        <f>+IF(AVANCE[[#This Row],[PUERTAS ACCESO - LOGIA - BANO]]=AU$2,100%,AVANCE[[#This Row],[PUERTAS ACCESO - LOGIA - BANO]])</f>
        <v>0</v>
      </c>
      <c r="CJ313" s="3">
        <f>+IF(AVANCE[[#This Row],[CERRADURAS]]=AV$2,100%,AVANCE[[#This Row],[CERRADURAS]])</f>
        <v>0</v>
      </c>
      <c r="CK313" s="3">
        <f>+IF(AVANCE[[#This Row],[REVESTIMIENTO INTERIOR ZONA SECA]]=AW$2,100%,AVANCE[[#This Row],[REVESTIMIENTO INTERIOR ZONA SECA]])</f>
        <v>0</v>
      </c>
      <c r="CL313" s="3">
        <f>+IF(AVANCE[[#This Row],[REVESTIMIENTO INTERIOR ZONAS HUMEDAS]]=AX$2,100%,AVANCE[[#This Row],[REVESTIMIENTO INTERIOR ZONAS HUMEDAS]])</f>
        <v>0</v>
      </c>
      <c r="CM313" s="3">
        <f>+IF(AVANCE[[#This Row],[MEMBRANA CIELO]]=AY$2,100%,AVANCE[[#This Row],[MEMBRANA CIELO]])</f>
        <v>0</v>
      </c>
      <c r="CN313" s="3">
        <f>+IF(AVANCE[[#This Row],[LIMPIEZA FINAL]]=AZ$2,100%,AVANCE[[#This Row],[LIMPIEZA FINAL]])</f>
        <v>0</v>
      </c>
      <c r="CO313" s="3">
        <f>+IF(AVANCE[[#This Row],[PUERTAS DORMITORIO]]=BA$2,100%,AVANCE[[#This Row],[PUERTAS DORMITORIO]])</f>
        <v>0</v>
      </c>
      <c r="CP313" s="3">
        <f>+IF(AVANCE[[#This Row],[REVESTIMIENTO INTERIOR BANO]]=BB$2,100%,AVANCE[[#This Row],[REVESTIMIENTO INTERIOR BANO]])</f>
        <v>0</v>
      </c>
      <c r="CQ313" s="3">
        <f>+IF(AVANCE[[#This Row],[MUEBLE LAVAPLATOS]]=BC$2,100%,AVANCE[[#This Row],[MUEBLE LAVAPLATOS]])</f>
        <v>0</v>
      </c>
      <c r="CR313" s="3">
        <f>+IF(AVANCE[[#This Row],[IMPERMEABILIZACION BANO - COCINA LOGIA]]=BD$2,100%,AVANCE[[#This Row],[IMPERMEABILIZACION BANO - COCINA LOGIA]])</f>
        <v>0</v>
      </c>
      <c r="CS313" s="40">
        <f ca="1">+IF(AVANCE[[#This Row],[ESTADO MODULO]]="PENDIENTE",(TODAY()-AVANCE[[#This Row],[FECHA TERMINO  PLANIFICADO]]),0)</f>
        <v>0</v>
      </c>
      <c r="CT313" s="41" t="str" cm="1">
        <f t="array" ref="CT313">_xlfn.TEXTJOIN(" | ",TRUE,IF(SUMPRODUCT((BG313:CR313&lt;1)*(PARTIDAS!$I$2:$AT$2="OBRA GRUESA"))&gt;0,"OBRA GRUESA: "&amp;_xlfn.TEXTJOIN(", ",TRUE,IF((BG313:CR313&lt;1)*(PARTIDAS!$I$2:$AT$2="OBRA GRUESA"),PARTIDAS!$I$1:$AT$1,"")),""),IF(SUMPRODUCT((BG313:CR313&lt;1)*(PARTIDAS!$I$2:$AT$2="SANITARIOS"))&gt;0,"SANITARIOS: "&amp;_xlfn.TEXTJOIN(", ",TRUE,IF((BG313:CR313&lt;1)*(PARTIDAS!$I$2:$AT$2="SANITARIOS"),PARTIDAS!$I$1:$AT$1,"")),""),IF(SUMPRODUCT((BG313:CR313&lt;1)*(PARTIDAS!$I$2:$AT$2="ELÉCTRICO"))&gt;0,"ELÉCTRICO: "&amp;_xlfn.TEXTJOIN(", ",TRUE,IF((BG313:CR313&lt;1)*(PARTIDAS!$I$2:$AT$2="ELÉCTRICO"),PARTIDAS!$I$1:$AT$1,"")),""),IF(SUMPRODUCT((BG313:CR313&lt;1)*(PARTIDAS!$I$2:$AT$2="TERMINACIONES"))&gt;0,"TERMINACIONES: "&amp;_xlfn.TEXTJOIN(", ",TRUE,IF((BG313:CR313&lt;1)*(PARTIDAS!$I$2:$AT$2="TERMINACIONES"),PARTIDAS!$I$1:$AT$1,"")),""))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3" s="43" t="str" cm="1">
        <f t="array" ref="CU313">_xlfn.TEXTJOIN(", ",TRUE,IF(SUMPRODUCT((BG313:CR313&lt;1)*(PARTIDAS!$I$2:$AT$2="OBRA GRUESA"))&gt;0,"OBRA GRUESA",""),IF(SUMPRODUCT((BG313:CR313&lt;1)*(PARTIDAS!$I$2:$AT$2="SANITARIOS"))&gt;0,"SANITARIOS",""),IF(SUMPRODUCT((BG313:CR313&lt;1)*(PARTIDAS!$I$2:$AT$2="ELÉCTRICO"))&gt;0,"ELÉCTRICO",""),IF(SUMPRODUCT((BG313:CR313&lt;1)*(PARTIDAS!$I$2:$AT$2="TERMINACIONES"))&gt;0,"TERMINACIONES",""))</f>
        <v>OBRA GRUESA, SANITARIOS, ELÉCTRICO, TERMINACIONES</v>
      </c>
      <c r="CV313" s="44" cm="1">
        <f t="array" ref="CV313">SUMPRODUCT(--(BG313:CR313&lt;1))</f>
        <v>38</v>
      </c>
    </row>
    <row r="314" spans="1:100" hidden="1" x14ac:dyDescent="0.25">
      <c r="A314" t="s">
        <v>355</v>
      </c>
      <c r="B314" t="s">
        <v>380</v>
      </c>
      <c r="C314">
        <v>2282600313</v>
      </c>
      <c r="D314" t="s">
        <v>58</v>
      </c>
      <c r="E314" s="2">
        <v>0</v>
      </c>
      <c r="F314" s="1">
        <v>46297</v>
      </c>
      <c r="G314" s="1"/>
      <c r="H314" s="1">
        <v>0</v>
      </c>
      <c r="I314" s="1">
        <v>46317</v>
      </c>
      <c r="J314">
        <v>46230</v>
      </c>
      <c r="K314" s="1"/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>
        <v>28.87</v>
      </c>
      <c r="BF314" s="3" t="str">
        <f>+IF(AVANCE[[#This Row],[% AVANCE]]=100%,"MODULO TERMINADO",IF(AVANCE[[#This Row],[FECHA INICIO REAL]]="","MODULO NO INICIADO","PENDIENTE"))</f>
        <v>MODULO NO INICIADO</v>
      </c>
      <c r="BG314" s="3">
        <f>+IF(AVANCE[[#This Row],[VENTANAS]]=8.10810810810811%,100%,AVANCE[[#This Row],[VENTANAS]])</f>
        <v>0</v>
      </c>
      <c r="BH314" s="3">
        <f>+IF(AVANCE[[#This Row],[PISO]]=N$2,100%,AVANCE[[#This Row],[PISO]])</f>
        <v>0</v>
      </c>
      <c r="BI314" s="3">
        <f>+IF(AVANCE[[#This Row],[TABIQUES]]=O$2,100%,AVANCE[[#This Row],[TABIQUES]])</f>
        <v>0</v>
      </c>
      <c r="BJ314" s="3">
        <f>+IF(AVANCE[[#This Row],[MUROS]]=P$2,100%,AVANCE[[#This Row],[MUROS]])</f>
        <v>0</v>
      </c>
      <c r="BK314" s="3">
        <f>+IF(AVANCE[[#This Row],[CIELO]]=Q$2,100%,AVANCE[[#This Row],[CIELO]])</f>
        <v>0</v>
      </c>
      <c r="BL314" s="3">
        <f>+IF(AVANCE[[#This Row],[BALCÓN]]=R$2,100%,AVANCE[[#This Row],[BALCÓN]])</f>
        <v>0</v>
      </c>
      <c r="BM314" s="3">
        <f>+IF(AVANCE[[#This Row],[RED ALCANTARILLADO]]=U$2,100%,AVANCE[[#This Row],[RED ALCANTARILLADO]])</f>
        <v>0</v>
      </c>
      <c r="BN314" s="3">
        <f>+IF(AVANCE[[#This Row],[RED DE AGUA]]=V$2,100%,AVANCE[[#This Row],[RED DE AGUA]])</f>
        <v>0</v>
      </c>
      <c r="BO314" s="3">
        <f>+IF(AVANCE[[#This Row],[VENTILACIONES]]=W$2,100%,AVANCE[[#This Row],[VENTILACIONES]])</f>
        <v>0</v>
      </c>
      <c r="BP314" s="3">
        <f>+IF(AVANCE[[#This Row],[TINA]]=X$2,100%,AVANCE[[#This Row],[TINA]])</f>
        <v>0</v>
      </c>
      <c r="BQ314" s="3">
        <f>+IF(AVANCE[[#This Row],[WC]]=Y$2,100%,AVANCE[[#This Row],[WC]])</f>
        <v>0</v>
      </c>
      <c r="BR314" s="3">
        <f>+IF(AVANCE[[#This Row],[LAVAMANOS / LAVAPLATOS / LAVADERO]]=Z$2,100%,AVANCE[[#This Row],[LAVAMANOS / LAVAPLATOS / LAVADERO]])</f>
        <v>0</v>
      </c>
      <c r="BS314" s="3">
        <f>+IF(AVANCE[[#This Row],[CANALIZACIÓN]]=AC$2,100%,AVANCE[[#This Row],[CANALIZACIÓN]])</f>
        <v>0</v>
      </c>
      <c r="BT314" s="3">
        <f>+IF(AVANCE[[#This Row],[CABLEADO]]=AD$2,100%,AVANCE[[#This Row],[CABLEADO]])</f>
        <v>0</v>
      </c>
      <c r="BU314" s="3">
        <f>+IF(AVANCE[[#This Row],[ARTEFACTOS]]=AE$2,100%,AVANCE[[#This Row],[ARTEFACTOS]])</f>
        <v>0</v>
      </c>
      <c r="BV314" s="3">
        <f>+IF(AVANCE[[#This Row],[TABLERO]]=AF$2,100%,AVANCE[[#This Row],[TABLERO]])</f>
        <v>0</v>
      </c>
      <c r="BW314" s="3">
        <f>+IF(AVANCE[[#This Row],[CAJA PAU]]=AG$2,100%,AVANCE[[#This Row],[CAJA PAU]])</f>
        <v>0</v>
      </c>
      <c r="BX314" s="3">
        <f>+IF(AVANCE[[#This Row],[INSTALACION VINILICO]]=AJ$2,100%,AVANCE[[#This Row],[INSTALACION VINILICO]])</f>
        <v>0</v>
      </c>
      <c r="BY314" s="3">
        <f>+IF(AVANCE[[#This Row],[OSB CUBIERTA]]=AK$2,100%,AVANCE[[#This Row],[OSB CUBIERTA]])</f>
        <v>0</v>
      </c>
      <c r="BZ314" s="3">
        <f>+IF(AVANCE[[#This Row],[BARANDA BALCON]]=AL$2,100%,AVANCE[[#This Row],[BARANDA BALCON]])</f>
        <v>0</v>
      </c>
      <c r="CA314" s="3">
        <f>+IF(AVANCE[[#This Row],[OSB EXTERIOR]]=AM$2,100%,AVANCE[[#This Row],[OSB EXTERIOR]])</f>
        <v>0</v>
      </c>
      <c r="CB314" s="3">
        <f>+IF(AVANCE[[#This Row],[SMART PANEL]]=AN$2,100%,AVANCE[[#This Row],[SMART PANEL]])</f>
        <v>0</v>
      </c>
      <c r="CC314" s="3">
        <f>+IF(AVANCE[[#This Row],[PINTURA EXTERIOR]]=AO$2,100%,AVANCE[[#This Row],[PINTURA EXTERIOR]])</f>
        <v>0</v>
      </c>
      <c r="CD314" s="3">
        <f>+IF(AVANCE[[#This Row],[ZOCALOS LOGIA]]=AP$2,100%,AVANCE[[#This Row],[ZOCALOS LOGIA]])</f>
        <v>0</v>
      </c>
      <c r="CE314" s="3">
        <f>+IF(AVANCE[[#This Row],[MOLDURAS]]=AQ$2,100%,AVANCE[[#This Row],[MOLDURAS]])</f>
        <v>0</v>
      </c>
      <c r="CF314" s="3">
        <f>+IF(AVANCE[[#This Row],[PILASTREO]]=AR$2,100%,AVANCE[[#This Row],[PILASTREO]])</f>
        <v>0</v>
      </c>
      <c r="CG314" s="3">
        <f>+IF(AVANCE[[#This Row],[CELOSIAS]]=AS$2,100%,AVANCE[[#This Row],[CELOSIAS]])</f>
        <v>0</v>
      </c>
      <c r="CH314" s="3">
        <f>+IF(AVANCE[[#This Row],[VENTANAS]]=AT$2,100%,AVANCE[[#This Row],[VENTANAS]])</f>
        <v>0</v>
      </c>
      <c r="CI314" s="3">
        <f>+IF(AVANCE[[#This Row],[PUERTAS ACCESO - LOGIA - BANO]]=AU$2,100%,AVANCE[[#This Row],[PUERTAS ACCESO - LOGIA - BANO]])</f>
        <v>0</v>
      </c>
      <c r="CJ314" s="3">
        <f>+IF(AVANCE[[#This Row],[CERRADURAS]]=AV$2,100%,AVANCE[[#This Row],[CERRADURAS]])</f>
        <v>0</v>
      </c>
      <c r="CK314" s="3">
        <f>+IF(AVANCE[[#This Row],[REVESTIMIENTO INTERIOR ZONA SECA]]=AW$2,100%,AVANCE[[#This Row],[REVESTIMIENTO INTERIOR ZONA SECA]])</f>
        <v>0</v>
      </c>
      <c r="CL314" s="3">
        <f>+IF(AVANCE[[#This Row],[REVESTIMIENTO INTERIOR ZONAS HUMEDAS]]=AX$2,100%,AVANCE[[#This Row],[REVESTIMIENTO INTERIOR ZONAS HUMEDAS]])</f>
        <v>0</v>
      </c>
      <c r="CM314" s="3">
        <f>+IF(AVANCE[[#This Row],[MEMBRANA CIELO]]=AY$2,100%,AVANCE[[#This Row],[MEMBRANA CIELO]])</f>
        <v>0</v>
      </c>
      <c r="CN314" s="3">
        <f>+IF(AVANCE[[#This Row],[LIMPIEZA FINAL]]=AZ$2,100%,AVANCE[[#This Row],[LIMPIEZA FINAL]])</f>
        <v>0</v>
      </c>
      <c r="CO314" s="3">
        <f>+IF(AVANCE[[#This Row],[PUERTAS DORMITORIO]]=BA$2,100%,AVANCE[[#This Row],[PUERTAS DORMITORIO]])</f>
        <v>0</v>
      </c>
      <c r="CP314" s="3">
        <f>+IF(AVANCE[[#This Row],[REVESTIMIENTO INTERIOR BANO]]=BB$2,100%,AVANCE[[#This Row],[REVESTIMIENTO INTERIOR BANO]])</f>
        <v>0</v>
      </c>
      <c r="CQ314" s="3">
        <f>+IF(AVANCE[[#This Row],[MUEBLE LAVAPLATOS]]=BC$2,100%,AVANCE[[#This Row],[MUEBLE LAVAPLATOS]])</f>
        <v>0</v>
      </c>
      <c r="CR314" s="3">
        <f>+IF(AVANCE[[#This Row],[IMPERMEABILIZACION BANO - COCINA LOGIA]]=BD$2,100%,AVANCE[[#This Row],[IMPERMEABILIZACION BANO - COCINA LOGIA]])</f>
        <v>0</v>
      </c>
      <c r="CS314" s="40">
        <f ca="1">+IF(AVANCE[[#This Row],[ESTADO MODULO]]="PENDIENTE",(TODAY()-AVANCE[[#This Row],[FECHA TERMINO  PLANIFICADO]]),0)</f>
        <v>0</v>
      </c>
      <c r="CT314" s="41" t="str" cm="1">
        <f t="array" ref="CT314">_xlfn.TEXTJOIN(" | ",TRUE,IF(SUMPRODUCT((BG314:CR314&lt;1)*(PARTIDAS!$I$2:$AT$2="OBRA GRUESA"))&gt;0,"OBRA GRUESA: "&amp;_xlfn.TEXTJOIN(", ",TRUE,IF((BG314:CR314&lt;1)*(PARTIDAS!$I$2:$AT$2="OBRA GRUESA"),PARTIDAS!$I$1:$AT$1,"")),""),IF(SUMPRODUCT((BG314:CR314&lt;1)*(PARTIDAS!$I$2:$AT$2="SANITARIOS"))&gt;0,"SANITARIOS: "&amp;_xlfn.TEXTJOIN(", ",TRUE,IF((BG314:CR314&lt;1)*(PARTIDAS!$I$2:$AT$2="SANITARIOS"),PARTIDAS!$I$1:$AT$1,"")),""),IF(SUMPRODUCT((BG314:CR314&lt;1)*(PARTIDAS!$I$2:$AT$2="ELÉCTRICO"))&gt;0,"ELÉCTRICO: "&amp;_xlfn.TEXTJOIN(", ",TRUE,IF((BG314:CR314&lt;1)*(PARTIDAS!$I$2:$AT$2="ELÉCTRICO"),PARTIDAS!$I$1:$AT$1,"")),""),IF(SUMPRODUCT((BG314:CR314&lt;1)*(PARTIDAS!$I$2:$AT$2="TERMINACIONES"))&gt;0,"TERMINACIONES: "&amp;_xlfn.TEXTJOIN(", ",TRUE,IF((BG314:CR314&lt;1)*(PARTIDAS!$I$2:$AT$2="TERMINACIONES"),PARTIDAS!$I$1:$AT$1,"")),""))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4" s="43" t="str" cm="1">
        <f t="array" ref="CU314">_xlfn.TEXTJOIN(", ",TRUE,IF(SUMPRODUCT((BG314:CR314&lt;1)*(PARTIDAS!$I$2:$AT$2="OBRA GRUESA"))&gt;0,"OBRA GRUESA",""),IF(SUMPRODUCT((BG314:CR314&lt;1)*(PARTIDAS!$I$2:$AT$2="SANITARIOS"))&gt;0,"SANITARIOS",""),IF(SUMPRODUCT((BG314:CR314&lt;1)*(PARTIDAS!$I$2:$AT$2="ELÉCTRICO"))&gt;0,"ELÉCTRICO",""),IF(SUMPRODUCT((BG314:CR314&lt;1)*(PARTIDAS!$I$2:$AT$2="TERMINACIONES"))&gt;0,"TERMINACIONES",""))</f>
        <v>OBRA GRUESA, SANITARIOS, ELÉCTRICO, TERMINACIONES</v>
      </c>
      <c r="CV314" s="44" cm="1">
        <f t="array" ref="CV314">SUMPRODUCT(--(BG314:CR314&lt;1))</f>
        <v>38</v>
      </c>
    </row>
    <row r="315" spans="1:100" hidden="1" x14ac:dyDescent="0.25">
      <c r="A315" t="s">
        <v>355</v>
      </c>
      <c r="B315" t="s">
        <v>381</v>
      </c>
      <c r="C315">
        <v>2302600314</v>
      </c>
      <c r="D315" t="s">
        <v>60</v>
      </c>
      <c r="E315" s="2">
        <v>0</v>
      </c>
      <c r="F315" s="1">
        <v>46300</v>
      </c>
      <c r="G315" s="1"/>
      <c r="H315" s="1">
        <v>0</v>
      </c>
      <c r="I315" s="1">
        <v>46330</v>
      </c>
      <c r="J315">
        <v>46230</v>
      </c>
      <c r="K315" s="1"/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>
        <v>31.32</v>
      </c>
      <c r="BF315" s="3" t="str">
        <f>+IF(AVANCE[[#This Row],[% AVANCE]]=100%,"MODULO TERMINADO",IF(AVANCE[[#This Row],[FECHA INICIO REAL]]="","MODULO NO INICIADO","PENDIENTE"))</f>
        <v>MODULO NO INICIADO</v>
      </c>
      <c r="BG315" s="3">
        <f>+IF(AVANCE[[#This Row],[VENTANAS]]=8.10810810810811%,100%,AVANCE[[#This Row],[VENTANAS]])</f>
        <v>0</v>
      </c>
      <c r="BH315" s="3">
        <f>+IF(AVANCE[[#This Row],[PISO]]=N$2,100%,AVANCE[[#This Row],[PISO]])</f>
        <v>0</v>
      </c>
      <c r="BI315" s="3">
        <f>+IF(AVANCE[[#This Row],[TABIQUES]]=O$2,100%,AVANCE[[#This Row],[TABIQUES]])</f>
        <v>0</v>
      </c>
      <c r="BJ315" s="3">
        <f>+IF(AVANCE[[#This Row],[MUROS]]=P$2,100%,AVANCE[[#This Row],[MUROS]])</f>
        <v>0</v>
      </c>
      <c r="BK315" s="3">
        <f>+IF(AVANCE[[#This Row],[CIELO]]=Q$2,100%,AVANCE[[#This Row],[CIELO]])</f>
        <v>0</v>
      </c>
      <c r="BL315" s="3">
        <f>+IF(AVANCE[[#This Row],[BALCÓN]]=R$2,100%,AVANCE[[#This Row],[BALCÓN]])</f>
        <v>0</v>
      </c>
      <c r="BM315" s="3">
        <f>+IF(AVANCE[[#This Row],[RED ALCANTARILLADO]]=U$2,100%,AVANCE[[#This Row],[RED ALCANTARILLADO]])</f>
        <v>0</v>
      </c>
      <c r="BN315" s="3">
        <f>+IF(AVANCE[[#This Row],[RED DE AGUA]]=V$2,100%,AVANCE[[#This Row],[RED DE AGUA]])</f>
        <v>0</v>
      </c>
      <c r="BO315" s="3">
        <f>+IF(AVANCE[[#This Row],[VENTILACIONES]]=W$2,100%,AVANCE[[#This Row],[VENTILACIONES]])</f>
        <v>0</v>
      </c>
      <c r="BP315" s="3">
        <f>+IF(AVANCE[[#This Row],[TINA]]=X$2,100%,AVANCE[[#This Row],[TINA]])</f>
        <v>0</v>
      </c>
      <c r="BQ315" s="3">
        <f>+IF(AVANCE[[#This Row],[WC]]=Y$2,100%,AVANCE[[#This Row],[WC]])</f>
        <v>0</v>
      </c>
      <c r="BR315" s="3">
        <f>+IF(AVANCE[[#This Row],[LAVAMANOS / LAVAPLATOS / LAVADERO]]=Z$2,100%,AVANCE[[#This Row],[LAVAMANOS / LAVAPLATOS / LAVADERO]])</f>
        <v>0</v>
      </c>
      <c r="BS315" s="3">
        <f>+IF(AVANCE[[#This Row],[CANALIZACIÓN]]=AC$2,100%,AVANCE[[#This Row],[CANALIZACIÓN]])</f>
        <v>0</v>
      </c>
      <c r="BT315" s="3">
        <f>+IF(AVANCE[[#This Row],[CABLEADO]]=AD$2,100%,AVANCE[[#This Row],[CABLEADO]])</f>
        <v>0</v>
      </c>
      <c r="BU315" s="3">
        <f>+IF(AVANCE[[#This Row],[ARTEFACTOS]]=AE$2,100%,AVANCE[[#This Row],[ARTEFACTOS]])</f>
        <v>0</v>
      </c>
      <c r="BV315" s="3">
        <f>+IF(AVANCE[[#This Row],[TABLERO]]=AF$2,100%,AVANCE[[#This Row],[TABLERO]])</f>
        <v>0</v>
      </c>
      <c r="BW315" s="3">
        <f>+IF(AVANCE[[#This Row],[CAJA PAU]]=AG$2,100%,AVANCE[[#This Row],[CAJA PAU]])</f>
        <v>0</v>
      </c>
      <c r="BX315" s="3">
        <f>+IF(AVANCE[[#This Row],[INSTALACION VINILICO]]=AJ$2,100%,AVANCE[[#This Row],[INSTALACION VINILICO]])</f>
        <v>0</v>
      </c>
      <c r="BY315" s="3">
        <f>+IF(AVANCE[[#This Row],[OSB CUBIERTA]]=AK$2,100%,AVANCE[[#This Row],[OSB CUBIERTA]])</f>
        <v>0</v>
      </c>
      <c r="BZ315" s="3">
        <f>+IF(AVANCE[[#This Row],[BARANDA BALCON]]=AL$2,100%,AVANCE[[#This Row],[BARANDA BALCON]])</f>
        <v>0</v>
      </c>
      <c r="CA315" s="3">
        <f>+IF(AVANCE[[#This Row],[OSB EXTERIOR]]=AM$2,100%,AVANCE[[#This Row],[OSB EXTERIOR]])</f>
        <v>0</v>
      </c>
      <c r="CB315" s="3">
        <f>+IF(AVANCE[[#This Row],[SMART PANEL]]=AN$2,100%,AVANCE[[#This Row],[SMART PANEL]])</f>
        <v>0</v>
      </c>
      <c r="CC315" s="3">
        <f>+IF(AVANCE[[#This Row],[PINTURA EXTERIOR]]=AO$2,100%,AVANCE[[#This Row],[PINTURA EXTERIOR]])</f>
        <v>0</v>
      </c>
      <c r="CD315" s="3">
        <f>+IF(AVANCE[[#This Row],[ZOCALOS LOGIA]]=AP$2,100%,AVANCE[[#This Row],[ZOCALOS LOGIA]])</f>
        <v>0</v>
      </c>
      <c r="CE315" s="3">
        <f>+IF(AVANCE[[#This Row],[MOLDURAS]]=AQ$2,100%,AVANCE[[#This Row],[MOLDURAS]])</f>
        <v>0</v>
      </c>
      <c r="CF315" s="3">
        <f>+IF(AVANCE[[#This Row],[PILASTREO]]=AR$2,100%,AVANCE[[#This Row],[PILASTREO]])</f>
        <v>0</v>
      </c>
      <c r="CG315" s="3">
        <f>+IF(AVANCE[[#This Row],[CELOSIAS]]=AS$2,100%,AVANCE[[#This Row],[CELOSIAS]])</f>
        <v>0</v>
      </c>
      <c r="CH315" s="3">
        <f>+IF(AVANCE[[#This Row],[VENTANAS]]=AT$2,100%,AVANCE[[#This Row],[VENTANAS]])</f>
        <v>0</v>
      </c>
      <c r="CI315" s="3">
        <f>+IF(AVANCE[[#This Row],[PUERTAS ACCESO - LOGIA - BANO]]=AU$2,100%,AVANCE[[#This Row],[PUERTAS ACCESO - LOGIA - BANO]])</f>
        <v>0</v>
      </c>
      <c r="CJ315" s="3">
        <f>+IF(AVANCE[[#This Row],[CERRADURAS]]=AV$2,100%,AVANCE[[#This Row],[CERRADURAS]])</f>
        <v>0</v>
      </c>
      <c r="CK315" s="3">
        <f>+IF(AVANCE[[#This Row],[REVESTIMIENTO INTERIOR ZONA SECA]]=AW$2,100%,AVANCE[[#This Row],[REVESTIMIENTO INTERIOR ZONA SECA]])</f>
        <v>0</v>
      </c>
      <c r="CL315" s="3">
        <f>+IF(AVANCE[[#This Row],[REVESTIMIENTO INTERIOR ZONAS HUMEDAS]]=AX$2,100%,AVANCE[[#This Row],[REVESTIMIENTO INTERIOR ZONAS HUMEDAS]])</f>
        <v>0</v>
      </c>
      <c r="CM315" s="3">
        <f>+IF(AVANCE[[#This Row],[MEMBRANA CIELO]]=AY$2,100%,AVANCE[[#This Row],[MEMBRANA CIELO]])</f>
        <v>0</v>
      </c>
      <c r="CN315" s="3">
        <f>+IF(AVANCE[[#This Row],[LIMPIEZA FINAL]]=AZ$2,100%,AVANCE[[#This Row],[LIMPIEZA FINAL]])</f>
        <v>0</v>
      </c>
      <c r="CO315" s="3">
        <f>+IF(AVANCE[[#This Row],[PUERTAS DORMITORIO]]=BA$2,100%,AVANCE[[#This Row],[PUERTAS DORMITORIO]])</f>
        <v>0</v>
      </c>
      <c r="CP315" s="3">
        <f>+IF(AVANCE[[#This Row],[REVESTIMIENTO INTERIOR BANO]]=BB$2,100%,AVANCE[[#This Row],[REVESTIMIENTO INTERIOR BANO]])</f>
        <v>0</v>
      </c>
      <c r="CQ315" s="3">
        <f>+IF(AVANCE[[#This Row],[MUEBLE LAVAPLATOS]]=BC$2,100%,AVANCE[[#This Row],[MUEBLE LAVAPLATOS]])</f>
        <v>0</v>
      </c>
      <c r="CR315" s="3">
        <f>+IF(AVANCE[[#This Row],[IMPERMEABILIZACION BANO - COCINA LOGIA]]=BD$2,100%,AVANCE[[#This Row],[IMPERMEABILIZACION BANO - COCINA LOGIA]])</f>
        <v>0</v>
      </c>
      <c r="CS315" s="40">
        <f ca="1">+IF(AVANCE[[#This Row],[ESTADO MODULO]]="PENDIENTE",(TODAY()-AVANCE[[#This Row],[FECHA TERMINO  PLANIFICADO]]),0)</f>
        <v>0</v>
      </c>
      <c r="CT315" s="41" t="str" cm="1">
        <f t="array" ref="CT315">_xlfn.TEXTJOIN(" | ",TRUE,IF(SUMPRODUCT((BG315:CR315&lt;1)*(PARTIDAS!$I$2:$AT$2="OBRA GRUESA"))&gt;0,"OBRA GRUESA: "&amp;_xlfn.TEXTJOIN(", ",TRUE,IF((BG315:CR315&lt;1)*(PARTIDAS!$I$2:$AT$2="OBRA GRUESA"),PARTIDAS!$I$1:$AT$1,"")),""),IF(SUMPRODUCT((BG315:CR315&lt;1)*(PARTIDAS!$I$2:$AT$2="SANITARIOS"))&gt;0,"SANITARIOS: "&amp;_xlfn.TEXTJOIN(", ",TRUE,IF((BG315:CR315&lt;1)*(PARTIDAS!$I$2:$AT$2="SANITARIOS"),PARTIDAS!$I$1:$AT$1,"")),""),IF(SUMPRODUCT((BG315:CR315&lt;1)*(PARTIDAS!$I$2:$AT$2="ELÉCTRICO"))&gt;0,"ELÉCTRICO: "&amp;_xlfn.TEXTJOIN(", ",TRUE,IF((BG315:CR315&lt;1)*(PARTIDAS!$I$2:$AT$2="ELÉCTRICO"),PARTIDAS!$I$1:$AT$1,"")),""),IF(SUMPRODUCT((BG315:CR315&lt;1)*(PARTIDAS!$I$2:$AT$2="TERMINACIONES"))&gt;0,"TERMINACIONES: "&amp;_xlfn.TEXTJOIN(", ",TRUE,IF((BG315:CR315&lt;1)*(PARTIDAS!$I$2:$AT$2="TERMINACIONES"),PARTIDAS!$I$1:$AT$1,"")),""))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5" s="43" t="str" cm="1">
        <f t="array" ref="CU315">_xlfn.TEXTJOIN(", ",TRUE,IF(SUMPRODUCT((BG315:CR315&lt;1)*(PARTIDAS!$I$2:$AT$2="OBRA GRUESA"))&gt;0,"OBRA GRUESA",""),IF(SUMPRODUCT((BG315:CR315&lt;1)*(PARTIDAS!$I$2:$AT$2="SANITARIOS"))&gt;0,"SANITARIOS",""),IF(SUMPRODUCT((BG315:CR315&lt;1)*(PARTIDAS!$I$2:$AT$2="ELÉCTRICO"))&gt;0,"ELÉCTRICO",""),IF(SUMPRODUCT((BG315:CR315&lt;1)*(PARTIDAS!$I$2:$AT$2="TERMINACIONES"))&gt;0,"TERMINACIONES",""))</f>
        <v>OBRA GRUESA, SANITARIOS, ELÉCTRICO, TERMINACIONES</v>
      </c>
      <c r="CV315" s="44" cm="1">
        <f t="array" ref="CV315">SUMPRODUCT(--(BG315:CR315&lt;1))</f>
        <v>38</v>
      </c>
    </row>
    <row r="316" spans="1:100" hidden="1" x14ac:dyDescent="0.25">
      <c r="A316" t="s">
        <v>355</v>
      </c>
      <c r="B316" t="s">
        <v>382</v>
      </c>
      <c r="C316">
        <v>2302600315</v>
      </c>
      <c r="D316" t="s">
        <v>60</v>
      </c>
      <c r="E316" s="2">
        <v>0</v>
      </c>
      <c r="F316" s="1">
        <v>46300</v>
      </c>
      <c r="G316" s="1"/>
      <c r="H316" s="1">
        <v>0</v>
      </c>
      <c r="I316" s="1">
        <v>46330</v>
      </c>
      <c r="J316">
        <v>46230</v>
      </c>
      <c r="K316" s="1"/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>
        <v>31.32</v>
      </c>
      <c r="BF316" s="3" t="str">
        <f>+IF(AVANCE[[#This Row],[% AVANCE]]=100%,"MODULO TERMINADO",IF(AVANCE[[#This Row],[FECHA INICIO REAL]]="","MODULO NO INICIADO","PENDIENTE"))</f>
        <v>MODULO NO INICIADO</v>
      </c>
      <c r="BG316" s="3">
        <f>+IF(AVANCE[[#This Row],[VENTANAS]]=8.10810810810811%,100%,AVANCE[[#This Row],[VENTANAS]])</f>
        <v>0</v>
      </c>
      <c r="BH316" s="3">
        <f>+IF(AVANCE[[#This Row],[PISO]]=N$2,100%,AVANCE[[#This Row],[PISO]])</f>
        <v>0</v>
      </c>
      <c r="BI316" s="3">
        <f>+IF(AVANCE[[#This Row],[TABIQUES]]=O$2,100%,AVANCE[[#This Row],[TABIQUES]])</f>
        <v>0</v>
      </c>
      <c r="BJ316" s="3">
        <f>+IF(AVANCE[[#This Row],[MUROS]]=P$2,100%,AVANCE[[#This Row],[MUROS]])</f>
        <v>0</v>
      </c>
      <c r="BK316" s="3">
        <f>+IF(AVANCE[[#This Row],[CIELO]]=Q$2,100%,AVANCE[[#This Row],[CIELO]])</f>
        <v>0</v>
      </c>
      <c r="BL316" s="3">
        <f>+IF(AVANCE[[#This Row],[BALCÓN]]=R$2,100%,AVANCE[[#This Row],[BALCÓN]])</f>
        <v>0</v>
      </c>
      <c r="BM316" s="3">
        <f>+IF(AVANCE[[#This Row],[RED ALCANTARILLADO]]=U$2,100%,AVANCE[[#This Row],[RED ALCANTARILLADO]])</f>
        <v>0</v>
      </c>
      <c r="BN316" s="3">
        <f>+IF(AVANCE[[#This Row],[RED DE AGUA]]=V$2,100%,AVANCE[[#This Row],[RED DE AGUA]])</f>
        <v>0</v>
      </c>
      <c r="BO316" s="3">
        <f>+IF(AVANCE[[#This Row],[VENTILACIONES]]=W$2,100%,AVANCE[[#This Row],[VENTILACIONES]])</f>
        <v>0</v>
      </c>
      <c r="BP316" s="3">
        <f>+IF(AVANCE[[#This Row],[TINA]]=X$2,100%,AVANCE[[#This Row],[TINA]])</f>
        <v>0</v>
      </c>
      <c r="BQ316" s="3">
        <f>+IF(AVANCE[[#This Row],[WC]]=Y$2,100%,AVANCE[[#This Row],[WC]])</f>
        <v>0</v>
      </c>
      <c r="BR316" s="3">
        <f>+IF(AVANCE[[#This Row],[LAVAMANOS / LAVAPLATOS / LAVADERO]]=Z$2,100%,AVANCE[[#This Row],[LAVAMANOS / LAVAPLATOS / LAVADERO]])</f>
        <v>0</v>
      </c>
      <c r="BS316" s="3">
        <f>+IF(AVANCE[[#This Row],[CANALIZACIÓN]]=AC$2,100%,AVANCE[[#This Row],[CANALIZACIÓN]])</f>
        <v>0</v>
      </c>
      <c r="BT316" s="3">
        <f>+IF(AVANCE[[#This Row],[CABLEADO]]=AD$2,100%,AVANCE[[#This Row],[CABLEADO]])</f>
        <v>0</v>
      </c>
      <c r="BU316" s="3">
        <f>+IF(AVANCE[[#This Row],[ARTEFACTOS]]=AE$2,100%,AVANCE[[#This Row],[ARTEFACTOS]])</f>
        <v>0</v>
      </c>
      <c r="BV316" s="3">
        <f>+IF(AVANCE[[#This Row],[TABLERO]]=AF$2,100%,AVANCE[[#This Row],[TABLERO]])</f>
        <v>0</v>
      </c>
      <c r="BW316" s="3">
        <f>+IF(AVANCE[[#This Row],[CAJA PAU]]=AG$2,100%,AVANCE[[#This Row],[CAJA PAU]])</f>
        <v>0</v>
      </c>
      <c r="BX316" s="3">
        <f>+IF(AVANCE[[#This Row],[INSTALACION VINILICO]]=AJ$2,100%,AVANCE[[#This Row],[INSTALACION VINILICO]])</f>
        <v>0</v>
      </c>
      <c r="BY316" s="3">
        <f>+IF(AVANCE[[#This Row],[OSB CUBIERTA]]=AK$2,100%,AVANCE[[#This Row],[OSB CUBIERTA]])</f>
        <v>0</v>
      </c>
      <c r="BZ316" s="3">
        <f>+IF(AVANCE[[#This Row],[BARANDA BALCON]]=AL$2,100%,AVANCE[[#This Row],[BARANDA BALCON]])</f>
        <v>0</v>
      </c>
      <c r="CA316" s="3">
        <f>+IF(AVANCE[[#This Row],[OSB EXTERIOR]]=AM$2,100%,AVANCE[[#This Row],[OSB EXTERIOR]])</f>
        <v>0</v>
      </c>
      <c r="CB316" s="3">
        <f>+IF(AVANCE[[#This Row],[SMART PANEL]]=AN$2,100%,AVANCE[[#This Row],[SMART PANEL]])</f>
        <v>0</v>
      </c>
      <c r="CC316" s="3">
        <f>+IF(AVANCE[[#This Row],[PINTURA EXTERIOR]]=AO$2,100%,AVANCE[[#This Row],[PINTURA EXTERIOR]])</f>
        <v>0</v>
      </c>
      <c r="CD316" s="3">
        <f>+IF(AVANCE[[#This Row],[ZOCALOS LOGIA]]=AP$2,100%,AVANCE[[#This Row],[ZOCALOS LOGIA]])</f>
        <v>0</v>
      </c>
      <c r="CE316" s="3">
        <f>+IF(AVANCE[[#This Row],[MOLDURAS]]=AQ$2,100%,AVANCE[[#This Row],[MOLDURAS]])</f>
        <v>0</v>
      </c>
      <c r="CF316" s="3">
        <f>+IF(AVANCE[[#This Row],[PILASTREO]]=AR$2,100%,AVANCE[[#This Row],[PILASTREO]])</f>
        <v>0</v>
      </c>
      <c r="CG316" s="3">
        <f>+IF(AVANCE[[#This Row],[CELOSIAS]]=AS$2,100%,AVANCE[[#This Row],[CELOSIAS]])</f>
        <v>0</v>
      </c>
      <c r="CH316" s="3">
        <f>+IF(AVANCE[[#This Row],[VENTANAS]]=AT$2,100%,AVANCE[[#This Row],[VENTANAS]])</f>
        <v>0</v>
      </c>
      <c r="CI316" s="3">
        <f>+IF(AVANCE[[#This Row],[PUERTAS ACCESO - LOGIA - BANO]]=AU$2,100%,AVANCE[[#This Row],[PUERTAS ACCESO - LOGIA - BANO]])</f>
        <v>0</v>
      </c>
      <c r="CJ316" s="3">
        <f>+IF(AVANCE[[#This Row],[CERRADURAS]]=AV$2,100%,AVANCE[[#This Row],[CERRADURAS]])</f>
        <v>0</v>
      </c>
      <c r="CK316" s="3">
        <f>+IF(AVANCE[[#This Row],[REVESTIMIENTO INTERIOR ZONA SECA]]=AW$2,100%,AVANCE[[#This Row],[REVESTIMIENTO INTERIOR ZONA SECA]])</f>
        <v>0</v>
      </c>
      <c r="CL316" s="3">
        <f>+IF(AVANCE[[#This Row],[REVESTIMIENTO INTERIOR ZONAS HUMEDAS]]=AX$2,100%,AVANCE[[#This Row],[REVESTIMIENTO INTERIOR ZONAS HUMEDAS]])</f>
        <v>0</v>
      </c>
      <c r="CM316" s="3">
        <f>+IF(AVANCE[[#This Row],[MEMBRANA CIELO]]=AY$2,100%,AVANCE[[#This Row],[MEMBRANA CIELO]])</f>
        <v>0</v>
      </c>
      <c r="CN316" s="3">
        <f>+IF(AVANCE[[#This Row],[LIMPIEZA FINAL]]=AZ$2,100%,AVANCE[[#This Row],[LIMPIEZA FINAL]])</f>
        <v>0</v>
      </c>
      <c r="CO316" s="3">
        <f>+IF(AVANCE[[#This Row],[PUERTAS DORMITORIO]]=BA$2,100%,AVANCE[[#This Row],[PUERTAS DORMITORIO]])</f>
        <v>0</v>
      </c>
      <c r="CP316" s="3">
        <f>+IF(AVANCE[[#This Row],[REVESTIMIENTO INTERIOR BANO]]=BB$2,100%,AVANCE[[#This Row],[REVESTIMIENTO INTERIOR BANO]])</f>
        <v>0</v>
      </c>
      <c r="CQ316" s="3">
        <f>+IF(AVANCE[[#This Row],[MUEBLE LAVAPLATOS]]=BC$2,100%,AVANCE[[#This Row],[MUEBLE LAVAPLATOS]])</f>
        <v>0</v>
      </c>
      <c r="CR316" s="3">
        <f>+IF(AVANCE[[#This Row],[IMPERMEABILIZACION BANO - COCINA LOGIA]]=BD$2,100%,AVANCE[[#This Row],[IMPERMEABILIZACION BANO - COCINA LOGIA]])</f>
        <v>0</v>
      </c>
      <c r="CS316" s="40">
        <f ca="1">+IF(AVANCE[[#This Row],[ESTADO MODULO]]="PENDIENTE",(TODAY()-AVANCE[[#This Row],[FECHA TERMINO  PLANIFICADO]]),0)</f>
        <v>0</v>
      </c>
      <c r="CT316" s="41" t="str" cm="1">
        <f t="array" ref="CT316">_xlfn.TEXTJOIN(" | ",TRUE,IF(SUMPRODUCT((BG316:CR316&lt;1)*(PARTIDAS!$I$2:$AT$2="OBRA GRUESA"))&gt;0,"OBRA GRUESA: "&amp;_xlfn.TEXTJOIN(", ",TRUE,IF((BG316:CR316&lt;1)*(PARTIDAS!$I$2:$AT$2="OBRA GRUESA"),PARTIDAS!$I$1:$AT$1,"")),""),IF(SUMPRODUCT((BG316:CR316&lt;1)*(PARTIDAS!$I$2:$AT$2="SANITARIOS"))&gt;0,"SANITARIOS: "&amp;_xlfn.TEXTJOIN(", ",TRUE,IF((BG316:CR316&lt;1)*(PARTIDAS!$I$2:$AT$2="SANITARIOS"),PARTIDAS!$I$1:$AT$1,"")),""),IF(SUMPRODUCT((BG316:CR316&lt;1)*(PARTIDAS!$I$2:$AT$2="ELÉCTRICO"))&gt;0,"ELÉCTRICO: "&amp;_xlfn.TEXTJOIN(", ",TRUE,IF((BG316:CR316&lt;1)*(PARTIDAS!$I$2:$AT$2="ELÉCTRICO"),PARTIDAS!$I$1:$AT$1,"")),""),IF(SUMPRODUCT((BG316:CR316&lt;1)*(PARTIDAS!$I$2:$AT$2="TERMINACIONES"))&gt;0,"TERMINACIONES: "&amp;_xlfn.TEXTJOIN(", ",TRUE,IF((BG316:CR316&lt;1)*(PARTIDAS!$I$2:$AT$2="TERMINACIONES"),PARTIDAS!$I$1:$AT$1,"")),""))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6" s="43" t="str" cm="1">
        <f t="array" ref="CU316">_xlfn.TEXTJOIN(", ",TRUE,IF(SUMPRODUCT((BG316:CR316&lt;1)*(PARTIDAS!$I$2:$AT$2="OBRA GRUESA"))&gt;0,"OBRA GRUESA",""),IF(SUMPRODUCT((BG316:CR316&lt;1)*(PARTIDAS!$I$2:$AT$2="SANITARIOS"))&gt;0,"SANITARIOS",""),IF(SUMPRODUCT((BG316:CR316&lt;1)*(PARTIDAS!$I$2:$AT$2="ELÉCTRICO"))&gt;0,"ELÉCTRICO",""),IF(SUMPRODUCT((BG316:CR316&lt;1)*(PARTIDAS!$I$2:$AT$2="TERMINACIONES"))&gt;0,"TERMINACIONES",""))</f>
        <v>OBRA GRUESA, SANITARIOS, ELÉCTRICO, TERMINACIONES</v>
      </c>
      <c r="CV316" s="44" cm="1">
        <f t="array" ref="CV316">SUMPRODUCT(--(BG316:CR316&lt;1))</f>
        <v>38</v>
      </c>
    </row>
    <row r="317" spans="1:100" hidden="1" x14ac:dyDescent="0.25">
      <c r="A317" t="s">
        <v>355</v>
      </c>
      <c r="B317" t="s">
        <v>383</v>
      </c>
      <c r="C317">
        <v>2282600316</v>
      </c>
      <c r="D317" t="s">
        <v>58</v>
      </c>
      <c r="E317" s="2">
        <v>0</v>
      </c>
      <c r="F317" s="1">
        <v>46300</v>
      </c>
      <c r="G317" s="1"/>
      <c r="H317" s="1">
        <v>0</v>
      </c>
      <c r="I317" s="1">
        <v>46320</v>
      </c>
      <c r="J317">
        <v>46230</v>
      </c>
      <c r="K317" s="1"/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>
        <v>28.87</v>
      </c>
      <c r="BF317" s="3" t="str">
        <f>+IF(AVANCE[[#This Row],[% AVANCE]]=100%,"MODULO TERMINADO",IF(AVANCE[[#This Row],[FECHA INICIO REAL]]="","MODULO NO INICIADO","PENDIENTE"))</f>
        <v>MODULO NO INICIADO</v>
      </c>
      <c r="BG317" s="3">
        <f>+IF(AVANCE[[#This Row],[VENTANAS]]=8.10810810810811%,100%,AVANCE[[#This Row],[VENTANAS]])</f>
        <v>0</v>
      </c>
      <c r="BH317" s="3">
        <f>+IF(AVANCE[[#This Row],[PISO]]=N$2,100%,AVANCE[[#This Row],[PISO]])</f>
        <v>0</v>
      </c>
      <c r="BI317" s="3">
        <f>+IF(AVANCE[[#This Row],[TABIQUES]]=O$2,100%,AVANCE[[#This Row],[TABIQUES]])</f>
        <v>0</v>
      </c>
      <c r="BJ317" s="3">
        <f>+IF(AVANCE[[#This Row],[MUROS]]=P$2,100%,AVANCE[[#This Row],[MUROS]])</f>
        <v>0</v>
      </c>
      <c r="BK317" s="3">
        <f>+IF(AVANCE[[#This Row],[CIELO]]=Q$2,100%,AVANCE[[#This Row],[CIELO]])</f>
        <v>0</v>
      </c>
      <c r="BL317" s="3">
        <f>+IF(AVANCE[[#This Row],[BALCÓN]]=R$2,100%,AVANCE[[#This Row],[BALCÓN]])</f>
        <v>0</v>
      </c>
      <c r="BM317" s="3">
        <f>+IF(AVANCE[[#This Row],[RED ALCANTARILLADO]]=U$2,100%,AVANCE[[#This Row],[RED ALCANTARILLADO]])</f>
        <v>0</v>
      </c>
      <c r="BN317" s="3">
        <f>+IF(AVANCE[[#This Row],[RED DE AGUA]]=V$2,100%,AVANCE[[#This Row],[RED DE AGUA]])</f>
        <v>0</v>
      </c>
      <c r="BO317" s="3">
        <f>+IF(AVANCE[[#This Row],[VENTILACIONES]]=W$2,100%,AVANCE[[#This Row],[VENTILACIONES]])</f>
        <v>0</v>
      </c>
      <c r="BP317" s="3">
        <f>+IF(AVANCE[[#This Row],[TINA]]=X$2,100%,AVANCE[[#This Row],[TINA]])</f>
        <v>0</v>
      </c>
      <c r="BQ317" s="3">
        <f>+IF(AVANCE[[#This Row],[WC]]=Y$2,100%,AVANCE[[#This Row],[WC]])</f>
        <v>0</v>
      </c>
      <c r="BR317" s="3">
        <f>+IF(AVANCE[[#This Row],[LAVAMANOS / LAVAPLATOS / LAVADERO]]=Z$2,100%,AVANCE[[#This Row],[LAVAMANOS / LAVAPLATOS / LAVADERO]])</f>
        <v>0</v>
      </c>
      <c r="BS317" s="3">
        <f>+IF(AVANCE[[#This Row],[CANALIZACIÓN]]=AC$2,100%,AVANCE[[#This Row],[CANALIZACIÓN]])</f>
        <v>0</v>
      </c>
      <c r="BT317" s="3">
        <f>+IF(AVANCE[[#This Row],[CABLEADO]]=AD$2,100%,AVANCE[[#This Row],[CABLEADO]])</f>
        <v>0</v>
      </c>
      <c r="BU317" s="3">
        <f>+IF(AVANCE[[#This Row],[ARTEFACTOS]]=AE$2,100%,AVANCE[[#This Row],[ARTEFACTOS]])</f>
        <v>0</v>
      </c>
      <c r="BV317" s="3">
        <f>+IF(AVANCE[[#This Row],[TABLERO]]=AF$2,100%,AVANCE[[#This Row],[TABLERO]])</f>
        <v>0</v>
      </c>
      <c r="BW317" s="3">
        <f>+IF(AVANCE[[#This Row],[CAJA PAU]]=AG$2,100%,AVANCE[[#This Row],[CAJA PAU]])</f>
        <v>0</v>
      </c>
      <c r="BX317" s="3">
        <f>+IF(AVANCE[[#This Row],[INSTALACION VINILICO]]=AJ$2,100%,AVANCE[[#This Row],[INSTALACION VINILICO]])</f>
        <v>0</v>
      </c>
      <c r="BY317" s="3">
        <f>+IF(AVANCE[[#This Row],[OSB CUBIERTA]]=AK$2,100%,AVANCE[[#This Row],[OSB CUBIERTA]])</f>
        <v>0</v>
      </c>
      <c r="BZ317" s="3">
        <f>+IF(AVANCE[[#This Row],[BARANDA BALCON]]=AL$2,100%,AVANCE[[#This Row],[BARANDA BALCON]])</f>
        <v>0</v>
      </c>
      <c r="CA317" s="3">
        <f>+IF(AVANCE[[#This Row],[OSB EXTERIOR]]=AM$2,100%,AVANCE[[#This Row],[OSB EXTERIOR]])</f>
        <v>0</v>
      </c>
      <c r="CB317" s="3">
        <f>+IF(AVANCE[[#This Row],[SMART PANEL]]=AN$2,100%,AVANCE[[#This Row],[SMART PANEL]])</f>
        <v>0</v>
      </c>
      <c r="CC317" s="3">
        <f>+IF(AVANCE[[#This Row],[PINTURA EXTERIOR]]=AO$2,100%,AVANCE[[#This Row],[PINTURA EXTERIOR]])</f>
        <v>0</v>
      </c>
      <c r="CD317" s="3">
        <f>+IF(AVANCE[[#This Row],[ZOCALOS LOGIA]]=AP$2,100%,AVANCE[[#This Row],[ZOCALOS LOGIA]])</f>
        <v>0</v>
      </c>
      <c r="CE317" s="3">
        <f>+IF(AVANCE[[#This Row],[MOLDURAS]]=AQ$2,100%,AVANCE[[#This Row],[MOLDURAS]])</f>
        <v>0</v>
      </c>
      <c r="CF317" s="3">
        <f>+IF(AVANCE[[#This Row],[PILASTREO]]=AR$2,100%,AVANCE[[#This Row],[PILASTREO]])</f>
        <v>0</v>
      </c>
      <c r="CG317" s="3">
        <f>+IF(AVANCE[[#This Row],[CELOSIAS]]=AS$2,100%,AVANCE[[#This Row],[CELOSIAS]])</f>
        <v>0</v>
      </c>
      <c r="CH317" s="3">
        <f>+IF(AVANCE[[#This Row],[VENTANAS]]=AT$2,100%,AVANCE[[#This Row],[VENTANAS]])</f>
        <v>0</v>
      </c>
      <c r="CI317" s="3">
        <f>+IF(AVANCE[[#This Row],[PUERTAS ACCESO - LOGIA - BANO]]=AU$2,100%,AVANCE[[#This Row],[PUERTAS ACCESO - LOGIA - BANO]])</f>
        <v>0</v>
      </c>
      <c r="CJ317" s="3">
        <f>+IF(AVANCE[[#This Row],[CERRADURAS]]=AV$2,100%,AVANCE[[#This Row],[CERRADURAS]])</f>
        <v>0</v>
      </c>
      <c r="CK317" s="3">
        <f>+IF(AVANCE[[#This Row],[REVESTIMIENTO INTERIOR ZONA SECA]]=AW$2,100%,AVANCE[[#This Row],[REVESTIMIENTO INTERIOR ZONA SECA]])</f>
        <v>0</v>
      </c>
      <c r="CL317" s="3">
        <f>+IF(AVANCE[[#This Row],[REVESTIMIENTO INTERIOR ZONAS HUMEDAS]]=AX$2,100%,AVANCE[[#This Row],[REVESTIMIENTO INTERIOR ZONAS HUMEDAS]])</f>
        <v>0</v>
      </c>
      <c r="CM317" s="3">
        <f>+IF(AVANCE[[#This Row],[MEMBRANA CIELO]]=AY$2,100%,AVANCE[[#This Row],[MEMBRANA CIELO]])</f>
        <v>0</v>
      </c>
      <c r="CN317" s="3">
        <f>+IF(AVANCE[[#This Row],[LIMPIEZA FINAL]]=AZ$2,100%,AVANCE[[#This Row],[LIMPIEZA FINAL]])</f>
        <v>0</v>
      </c>
      <c r="CO317" s="3">
        <f>+IF(AVANCE[[#This Row],[PUERTAS DORMITORIO]]=BA$2,100%,AVANCE[[#This Row],[PUERTAS DORMITORIO]])</f>
        <v>0</v>
      </c>
      <c r="CP317" s="3">
        <f>+IF(AVANCE[[#This Row],[REVESTIMIENTO INTERIOR BANO]]=BB$2,100%,AVANCE[[#This Row],[REVESTIMIENTO INTERIOR BANO]])</f>
        <v>0</v>
      </c>
      <c r="CQ317" s="3">
        <f>+IF(AVANCE[[#This Row],[MUEBLE LAVAPLATOS]]=BC$2,100%,AVANCE[[#This Row],[MUEBLE LAVAPLATOS]])</f>
        <v>0</v>
      </c>
      <c r="CR317" s="3">
        <f>+IF(AVANCE[[#This Row],[IMPERMEABILIZACION BANO - COCINA LOGIA]]=BD$2,100%,AVANCE[[#This Row],[IMPERMEABILIZACION BANO - COCINA LOGIA]])</f>
        <v>0</v>
      </c>
      <c r="CS317" s="40">
        <f ca="1">+IF(AVANCE[[#This Row],[ESTADO MODULO]]="PENDIENTE",(TODAY()-AVANCE[[#This Row],[FECHA TERMINO  PLANIFICADO]]),0)</f>
        <v>0</v>
      </c>
      <c r="CT317" s="41" t="str" cm="1">
        <f t="array" ref="CT317">_xlfn.TEXTJOIN(" | ",TRUE,IF(SUMPRODUCT((BG317:CR317&lt;1)*(PARTIDAS!$I$2:$AT$2="OBRA GRUESA"))&gt;0,"OBRA GRUESA: "&amp;_xlfn.TEXTJOIN(", ",TRUE,IF((BG317:CR317&lt;1)*(PARTIDAS!$I$2:$AT$2="OBRA GRUESA"),PARTIDAS!$I$1:$AT$1,"")),""),IF(SUMPRODUCT((BG317:CR317&lt;1)*(PARTIDAS!$I$2:$AT$2="SANITARIOS"))&gt;0,"SANITARIOS: "&amp;_xlfn.TEXTJOIN(", ",TRUE,IF((BG317:CR317&lt;1)*(PARTIDAS!$I$2:$AT$2="SANITARIOS"),PARTIDAS!$I$1:$AT$1,"")),""),IF(SUMPRODUCT((BG317:CR317&lt;1)*(PARTIDAS!$I$2:$AT$2="ELÉCTRICO"))&gt;0,"ELÉCTRICO: "&amp;_xlfn.TEXTJOIN(", ",TRUE,IF((BG317:CR317&lt;1)*(PARTIDAS!$I$2:$AT$2="ELÉCTRICO"),PARTIDAS!$I$1:$AT$1,"")),""),IF(SUMPRODUCT((BG317:CR317&lt;1)*(PARTIDAS!$I$2:$AT$2="TERMINACIONES"))&gt;0,"TERMINACIONES: "&amp;_xlfn.TEXTJOIN(", ",TRUE,IF((BG317:CR317&lt;1)*(PARTIDAS!$I$2:$AT$2="TERMINACIONES"),PARTIDAS!$I$1:$AT$1,"")),""))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7" s="43" t="str" cm="1">
        <f t="array" ref="CU317">_xlfn.TEXTJOIN(", ",TRUE,IF(SUMPRODUCT((BG317:CR317&lt;1)*(PARTIDAS!$I$2:$AT$2="OBRA GRUESA"))&gt;0,"OBRA GRUESA",""),IF(SUMPRODUCT((BG317:CR317&lt;1)*(PARTIDAS!$I$2:$AT$2="SANITARIOS"))&gt;0,"SANITARIOS",""),IF(SUMPRODUCT((BG317:CR317&lt;1)*(PARTIDAS!$I$2:$AT$2="ELÉCTRICO"))&gt;0,"ELÉCTRICO",""),IF(SUMPRODUCT((BG317:CR317&lt;1)*(PARTIDAS!$I$2:$AT$2="TERMINACIONES"))&gt;0,"TERMINACIONES",""))</f>
        <v>OBRA GRUESA, SANITARIOS, ELÉCTRICO, TERMINACIONES</v>
      </c>
      <c r="CV317" s="44" cm="1">
        <f t="array" ref="CV317">SUMPRODUCT(--(BG317:CR317&lt;1))</f>
        <v>38</v>
      </c>
    </row>
    <row r="318" spans="1:100" hidden="1" x14ac:dyDescent="0.25">
      <c r="A318" t="s">
        <v>355</v>
      </c>
      <c r="B318" t="s">
        <v>384</v>
      </c>
      <c r="C318">
        <v>2282600317</v>
      </c>
      <c r="D318" t="s">
        <v>58</v>
      </c>
      <c r="E318" s="2">
        <v>0</v>
      </c>
      <c r="F318" s="1">
        <v>46301</v>
      </c>
      <c r="G318" s="1"/>
      <c r="H318" s="1">
        <v>0</v>
      </c>
      <c r="I318" s="1">
        <v>46321</v>
      </c>
      <c r="J318">
        <v>46230</v>
      </c>
      <c r="K318" s="1"/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>
        <v>28.87</v>
      </c>
      <c r="BF318" s="3" t="str">
        <f>+IF(AVANCE[[#This Row],[% AVANCE]]=100%,"MODULO TERMINADO",IF(AVANCE[[#This Row],[FECHA INICIO REAL]]="","MODULO NO INICIADO","PENDIENTE"))</f>
        <v>MODULO NO INICIADO</v>
      </c>
      <c r="BG318" s="3">
        <f>+IF(AVANCE[[#This Row],[VENTANAS]]=8.10810810810811%,100%,AVANCE[[#This Row],[VENTANAS]])</f>
        <v>0</v>
      </c>
      <c r="BH318" s="3">
        <f>+IF(AVANCE[[#This Row],[PISO]]=N$2,100%,AVANCE[[#This Row],[PISO]])</f>
        <v>0</v>
      </c>
      <c r="BI318" s="3">
        <f>+IF(AVANCE[[#This Row],[TABIQUES]]=O$2,100%,AVANCE[[#This Row],[TABIQUES]])</f>
        <v>0</v>
      </c>
      <c r="BJ318" s="3">
        <f>+IF(AVANCE[[#This Row],[MUROS]]=P$2,100%,AVANCE[[#This Row],[MUROS]])</f>
        <v>0</v>
      </c>
      <c r="BK318" s="3">
        <f>+IF(AVANCE[[#This Row],[CIELO]]=Q$2,100%,AVANCE[[#This Row],[CIELO]])</f>
        <v>0</v>
      </c>
      <c r="BL318" s="3">
        <f>+IF(AVANCE[[#This Row],[BALCÓN]]=R$2,100%,AVANCE[[#This Row],[BALCÓN]])</f>
        <v>0</v>
      </c>
      <c r="BM318" s="3">
        <f>+IF(AVANCE[[#This Row],[RED ALCANTARILLADO]]=U$2,100%,AVANCE[[#This Row],[RED ALCANTARILLADO]])</f>
        <v>0</v>
      </c>
      <c r="BN318" s="3">
        <f>+IF(AVANCE[[#This Row],[RED DE AGUA]]=V$2,100%,AVANCE[[#This Row],[RED DE AGUA]])</f>
        <v>0</v>
      </c>
      <c r="BO318" s="3">
        <f>+IF(AVANCE[[#This Row],[VENTILACIONES]]=W$2,100%,AVANCE[[#This Row],[VENTILACIONES]])</f>
        <v>0</v>
      </c>
      <c r="BP318" s="3">
        <f>+IF(AVANCE[[#This Row],[TINA]]=X$2,100%,AVANCE[[#This Row],[TINA]])</f>
        <v>0</v>
      </c>
      <c r="BQ318" s="3">
        <f>+IF(AVANCE[[#This Row],[WC]]=Y$2,100%,AVANCE[[#This Row],[WC]])</f>
        <v>0</v>
      </c>
      <c r="BR318" s="3">
        <f>+IF(AVANCE[[#This Row],[LAVAMANOS / LAVAPLATOS / LAVADERO]]=Z$2,100%,AVANCE[[#This Row],[LAVAMANOS / LAVAPLATOS / LAVADERO]])</f>
        <v>0</v>
      </c>
      <c r="BS318" s="3">
        <f>+IF(AVANCE[[#This Row],[CANALIZACIÓN]]=AC$2,100%,AVANCE[[#This Row],[CANALIZACIÓN]])</f>
        <v>0</v>
      </c>
      <c r="BT318" s="3">
        <f>+IF(AVANCE[[#This Row],[CABLEADO]]=AD$2,100%,AVANCE[[#This Row],[CABLEADO]])</f>
        <v>0</v>
      </c>
      <c r="BU318" s="3">
        <f>+IF(AVANCE[[#This Row],[ARTEFACTOS]]=AE$2,100%,AVANCE[[#This Row],[ARTEFACTOS]])</f>
        <v>0</v>
      </c>
      <c r="BV318" s="3">
        <f>+IF(AVANCE[[#This Row],[TABLERO]]=AF$2,100%,AVANCE[[#This Row],[TABLERO]])</f>
        <v>0</v>
      </c>
      <c r="BW318" s="3">
        <f>+IF(AVANCE[[#This Row],[CAJA PAU]]=AG$2,100%,AVANCE[[#This Row],[CAJA PAU]])</f>
        <v>0</v>
      </c>
      <c r="BX318" s="3">
        <f>+IF(AVANCE[[#This Row],[INSTALACION VINILICO]]=AJ$2,100%,AVANCE[[#This Row],[INSTALACION VINILICO]])</f>
        <v>0</v>
      </c>
      <c r="BY318" s="3">
        <f>+IF(AVANCE[[#This Row],[OSB CUBIERTA]]=AK$2,100%,AVANCE[[#This Row],[OSB CUBIERTA]])</f>
        <v>0</v>
      </c>
      <c r="BZ318" s="3">
        <f>+IF(AVANCE[[#This Row],[BARANDA BALCON]]=AL$2,100%,AVANCE[[#This Row],[BARANDA BALCON]])</f>
        <v>0</v>
      </c>
      <c r="CA318" s="3">
        <f>+IF(AVANCE[[#This Row],[OSB EXTERIOR]]=AM$2,100%,AVANCE[[#This Row],[OSB EXTERIOR]])</f>
        <v>0</v>
      </c>
      <c r="CB318" s="3">
        <f>+IF(AVANCE[[#This Row],[SMART PANEL]]=AN$2,100%,AVANCE[[#This Row],[SMART PANEL]])</f>
        <v>0</v>
      </c>
      <c r="CC318" s="3">
        <f>+IF(AVANCE[[#This Row],[PINTURA EXTERIOR]]=AO$2,100%,AVANCE[[#This Row],[PINTURA EXTERIOR]])</f>
        <v>0</v>
      </c>
      <c r="CD318" s="3">
        <f>+IF(AVANCE[[#This Row],[ZOCALOS LOGIA]]=AP$2,100%,AVANCE[[#This Row],[ZOCALOS LOGIA]])</f>
        <v>0</v>
      </c>
      <c r="CE318" s="3">
        <f>+IF(AVANCE[[#This Row],[MOLDURAS]]=AQ$2,100%,AVANCE[[#This Row],[MOLDURAS]])</f>
        <v>0</v>
      </c>
      <c r="CF318" s="3">
        <f>+IF(AVANCE[[#This Row],[PILASTREO]]=AR$2,100%,AVANCE[[#This Row],[PILASTREO]])</f>
        <v>0</v>
      </c>
      <c r="CG318" s="3">
        <f>+IF(AVANCE[[#This Row],[CELOSIAS]]=AS$2,100%,AVANCE[[#This Row],[CELOSIAS]])</f>
        <v>0</v>
      </c>
      <c r="CH318" s="3">
        <f>+IF(AVANCE[[#This Row],[VENTANAS]]=AT$2,100%,AVANCE[[#This Row],[VENTANAS]])</f>
        <v>0</v>
      </c>
      <c r="CI318" s="3">
        <f>+IF(AVANCE[[#This Row],[PUERTAS ACCESO - LOGIA - BANO]]=AU$2,100%,AVANCE[[#This Row],[PUERTAS ACCESO - LOGIA - BANO]])</f>
        <v>0</v>
      </c>
      <c r="CJ318" s="3">
        <f>+IF(AVANCE[[#This Row],[CERRADURAS]]=AV$2,100%,AVANCE[[#This Row],[CERRADURAS]])</f>
        <v>0</v>
      </c>
      <c r="CK318" s="3">
        <f>+IF(AVANCE[[#This Row],[REVESTIMIENTO INTERIOR ZONA SECA]]=AW$2,100%,AVANCE[[#This Row],[REVESTIMIENTO INTERIOR ZONA SECA]])</f>
        <v>0</v>
      </c>
      <c r="CL318" s="3">
        <f>+IF(AVANCE[[#This Row],[REVESTIMIENTO INTERIOR ZONAS HUMEDAS]]=AX$2,100%,AVANCE[[#This Row],[REVESTIMIENTO INTERIOR ZONAS HUMEDAS]])</f>
        <v>0</v>
      </c>
      <c r="CM318" s="3">
        <f>+IF(AVANCE[[#This Row],[MEMBRANA CIELO]]=AY$2,100%,AVANCE[[#This Row],[MEMBRANA CIELO]])</f>
        <v>0</v>
      </c>
      <c r="CN318" s="3">
        <f>+IF(AVANCE[[#This Row],[LIMPIEZA FINAL]]=AZ$2,100%,AVANCE[[#This Row],[LIMPIEZA FINAL]])</f>
        <v>0</v>
      </c>
      <c r="CO318" s="3">
        <f>+IF(AVANCE[[#This Row],[PUERTAS DORMITORIO]]=BA$2,100%,AVANCE[[#This Row],[PUERTAS DORMITORIO]])</f>
        <v>0</v>
      </c>
      <c r="CP318" s="3">
        <f>+IF(AVANCE[[#This Row],[REVESTIMIENTO INTERIOR BANO]]=BB$2,100%,AVANCE[[#This Row],[REVESTIMIENTO INTERIOR BANO]])</f>
        <v>0</v>
      </c>
      <c r="CQ318" s="3">
        <f>+IF(AVANCE[[#This Row],[MUEBLE LAVAPLATOS]]=BC$2,100%,AVANCE[[#This Row],[MUEBLE LAVAPLATOS]])</f>
        <v>0</v>
      </c>
      <c r="CR318" s="3">
        <f>+IF(AVANCE[[#This Row],[IMPERMEABILIZACION BANO - COCINA LOGIA]]=BD$2,100%,AVANCE[[#This Row],[IMPERMEABILIZACION BANO - COCINA LOGIA]])</f>
        <v>0</v>
      </c>
      <c r="CS318" s="40">
        <f ca="1">+IF(AVANCE[[#This Row],[ESTADO MODULO]]="PENDIENTE",(TODAY()-AVANCE[[#This Row],[FECHA TERMINO  PLANIFICADO]]),0)</f>
        <v>0</v>
      </c>
      <c r="CT318" s="41" t="str" cm="1">
        <f t="array" ref="CT318">_xlfn.TEXTJOIN(" | ",TRUE,IF(SUMPRODUCT((BG318:CR318&lt;1)*(PARTIDAS!$I$2:$AT$2="OBRA GRUESA"))&gt;0,"OBRA GRUESA: "&amp;_xlfn.TEXTJOIN(", ",TRUE,IF((BG318:CR318&lt;1)*(PARTIDAS!$I$2:$AT$2="OBRA GRUESA"),PARTIDAS!$I$1:$AT$1,"")),""),IF(SUMPRODUCT((BG318:CR318&lt;1)*(PARTIDAS!$I$2:$AT$2="SANITARIOS"))&gt;0,"SANITARIOS: "&amp;_xlfn.TEXTJOIN(", ",TRUE,IF((BG318:CR318&lt;1)*(PARTIDAS!$I$2:$AT$2="SANITARIOS"),PARTIDAS!$I$1:$AT$1,"")),""),IF(SUMPRODUCT((BG318:CR318&lt;1)*(PARTIDAS!$I$2:$AT$2="ELÉCTRICO"))&gt;0,"ELÉCTRICO: "&amp;_xlfn.TEXTJOIN(", ",TRUE,IF((BG318:CR318&lt;1)*(PARTIDAS!$I$2:$AT$2="ELÉCTRICO"),PARTIDAS!$I$1:$AT$1,"")),""),IF(SUMPRODUCT((BG318:CR318&lt;1)*(PARTIDAS!$I$2:$AT$2="TERMINACIONES"))&gt;0,"TERMINACIONES: "&amp;_xlfn.TEXTJOIN(", ",TRUE,IF((BG318:CR318&lt;1)*(PARTIDAS!$I$2:$AT$2="TERMINACIONES"),PARTIDAS!$I$1:$AT$1,"")),""))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8" s="43" t="str" cm="1">
        <f t="array" ref="CU318">_xlfn.TEXTJOIN(", ",TRUE,IF(SUMPRODUCT((BG318:CR318&lt;1)*(PARTIDAS!$I$2:$AT$2="OBRA GRUESA"))&gt;0,"OBRA GRUESA",""),IF(SUMPRODUCT((BG318:CR318&lt;1)*(PARTIDAS!$I$2:$AT$2="SANITARIOS"))&gt;0,"SANITARIOS",""),IF(SUMPRODUCT((BG318:CR318&lt;1)*(PARTIDAS!$I$2:$AT$2="ELÉCTRICO"))&gt;0,"ELÉCTRICO",""),IF(SUMPRODUCT((BG318:CR318&lt;1)*(PARTIDAS!$I$2:$AT$2="TERMINACIONES"))&gt;0,"TERMINACIONES",""))</f>
        <v>OBRA GRUESA, SANITARIOS, ELÉCTRICO, TERMINACIONES</v>
      </c>
      <c r="CV318" s="44" cm="1">
        <f t="array" ref="CV318">SUMPRODUCT(--(BG318:CR318&lt;1))</f>
        <v>38</v>
      </c>
    </row>
    <row r="319" spans="1:100" hidden="1" x14ac:dyDescent="0.25">
      <c r="A319" t="s">
        <v>355</v>
      </c>
      <c r="B319" t="s">
        <v>385</v>
      </c>
      <c r="C319">
        <v>2302600318</v>
      </c>
      <c r="D319" t="s">
        <v>60</v>
      </c>
      <c r="E319" s="2">
        <v>0</v>
      </c>
      <c r="F319" s="1">
        <v>46301</v>
      </c>
      <c r="G319" s="1"/>
      <c r="H319" s="1">
        <v>0</v>
      </c>
      <c r="I319" s="1">
        <v>46331</v>
      </c>
      <c r="J319">
        <v>46230</v>
      </c>
      <c r="K319" s="1"/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>
        <v>31.32</v>
      </c>
      <c r="BF319" s="3" t="str">
        <f>+IF(AVANCE[[#This Row],[% AVANCE]]=100%,"MODULO TERMINADO",IF(AVANCE[[#This Row],[FECHA INICIO REAL]]="","MODULO NO INICIADO","PENDIENTE"))</f>
        <v>MODULO NO INICIADO</v>
      </c>
      <c r="BG319" s="3">
        <f>+IF(AVANCE[[#This Row],[VENTANAS]]=8.10810810810811%,100%,AVANCE[[#This Row],[VENTANAS]])</f>
        <v>0</v>
      </c>
      <c r="BH319" s="3">
        <f>+IF(AVANCE[[#This Row],[PISO]]=N$2,100%,AVANCE[[#This Row],[PISO]])</f>
        <v>0</v>
      </c>
      <c r="BI319" s="3">
        <f>+IF(AVANCE[[#This Row],[TABIQUES]]=O$2,100%,AVANCE[[#This Row],[TABIQUES]])</f>
        <v>0</v>
      </c>
      <c r="BJ319" s="3">
        <f>+IF(AVANCE[[#This Row],[MUROS]]=P$2,100%,AVANCE[[#This Row],[MUROS]])</f>
        <v>0</v>
      </c>
      <c r="BK319" s="3">
        <f>+IF(AVANCE[[#This Row],[CIELO]]=Q$2,100%,AVANCE[[#This Row],[CIELO]])</f>
        <v>0</v>
      </c>
      <c r="BL319" s="3">
        <f>+IF(AVANCE[[#This Row],[BALCÓN]]=R$2,100%,AVANCE[[#This Row],[BALCÓN]])</f>
        <v>0</v>
      </c>
      <c r="BM319" s="3">
        <f>+IF(AVANCE[[#This Row],[RED ALCANTARILLADO]]=U$2,100%,AVANCE[[#This Row],[RED ALCANTARILLADO]])</f>
        <v>0</v>
      </c>
      <c r="BN319" s="3">
        <f>+IF(AVANCE[[#This Row],[RED DE AGUA]]=V$2,100%,AVANCE[[#This Row],[RED DE AGUA]])</f>
        <v>0</v>
      </c>
      <c r="BO319" s="3">
        <f>+IF(AVANCE[[#This Row],[VENTILACIONES]]=W$2,100%,AVANCE[[#This Row],[VENTILACIONES]])</f>
        <v>0</v>
      </c>
      <c r="BP319" s="3">
        <f>+IF(AVANCE[[#This Row],[TINA]]=X$2,100%,AVANCE[[#This Row],[TINA]])</f>
        <v>0</v>
      </c>
      <c r="BQ319" s="3">
        <f>+IF(AVANCE[[#This Row],[WC]]=Y$2,100%,AVANCE[[#This Row],[WC]])</f>
        <v>0</v>
      </c>
      <c r="BR319" s="3">
        <f>+IF(AVANCE[[#This Row],[LAVAMANOS / LAVAPLATOS / LAVADERO]]=Z$2,100%,AVANCE[[#This Row],[LAVAMANOS / LAVAPLATOS / LAVADERO]])</f>
        <v>0</v>
      </c>
      <c r="BS319" s="3">
        <f>+IF(AVANCE[[#This Row],[CANALIZACIÓN]]=AC$2,100%,AVANCE[[#This Row],[CANALIZACIÓN]])</f>
        <v>0</v>
      </c>
      <c r="BT319" s="3">
        <f>+IF(AVANCE[[#This Row],[CABLEADO]]=AD$2,100%,AVANCE[[#This Row],[CABLEADO]])</f>
        <v>0</v>
      </c>
      <c r="BU319" s="3">
        <f>+IF(AVANCE[[#This Row],[ARTEFACTOS]]=AE$2,100%,AVANCE[[#This Row],[ARTEFACTOS]])</f>
        <v>0</v>
      </c>
      <c r="BV319" s="3">
        <f>+IF(AVANCE[[#This Row],[TABLERO]]=AF$2,100%,AVANCE[[#This Row],[TABLERO]])</f>
        <v>0</v>
      </c>
      <c r="BW319" s="3">
        <f>+IF(AVANCE[[#This Row],[CAJA PAU]]=AG$2,100%,AVANCE[[#This Row],[CAJA PAU]])</f>
        <v>0</v>
      </c>
      <c r="BX319" s="3">
        <f>+IF(AVANCE[[#This Row],[INSTALACION VINILICO]]=AJ$2,100%,AVANCE[[#This Row],[INSTALACION VINILICO]])</f>
        <v>0</v>
      </c>
      <c r="BY319" s="3">
        <f>+IF(AVANCE[[#This Row],[OSB CUBIERTA]]=AK$2,100%,AVANCE[[#This Row],[OSB CUBIERTA]])</f>
        <v>0</v>
      </c>
      <c r="BZ319" s="3">
        <f>+IF(AVANCE[[#This Row],[BARANDA BALCON]]=AL$2,100%,AVANCE[[#This Row],[BARANDA BALCON]])</f>
        <v>0</v>
      </c>
      <c r="CA319" s="3">
        <f>+IF(AVANCE[[#This Row],[OSB EXTERIOR]]=AM$2,100%,AVANCE[[#This Row],[OSB EXTERIOR]])</f>
        <v>0</v>
      </c>
      <c r="CB319" s="3">
        <f>+IF(AVANCE[[#This Row],[SMART PANEL]]=AN$2,100%,AVANCE[[#This Row],[SMART PANEL]])</f>
        <v>0</v>
      </c>
      <c r="CC319" s="3">
        <f>+IF(AVANCE[[#This Row],[PINTURA EXTERIOR]]=AO$2,100%,AVANCE[[#This Row],[PINTURA EXTERIOR]])</f>
        <v>0</v>
      </c>
      <c r="CD319" s="3">
        <f>+IF(AVANCE[[#This Row],[ZOCALOS LOGIA]]=AP$2,100%,AVANCE[[#This Row],[ZOCALOS LOGIA]])</f>
        <v>0</v>
      </c>
      <c r="CE319" s="3">
        <f>+IF(AVANCE[[#This Row],[MOLDURAS]]=AQ$2,100%,AVANCE[[#This Row],[MOLDURAS]])</f>
        <v>0</v>
      </c>
      <c r="CF319" s="3">
        <f>+IF(AVANCE[[#This Row],[PILASTREO]]=AR$2,100%,AVANCE[[#This Row],[PILASTREO]])</f>
        <v>0</v>
      </c>
      <c r="CG319" s="3">
        <f>+IF(AVANCE[[#This Row],[CELOSIAS]]=AS$2,100%,AVANCE[[#This Row],[CELOSIAS]])</f>
        <v>0</v>
      </c>
      <c r="CH319" s="3">
        <f>+IF(AVANCE[[#This Row],[VENTANAS]]=AT$2,100%,AVANCE[[#This Row],[VENTANAS]])</f>
        <v>0</v>
      </c>
      <c r="CI319" s="3">
        <f>+IF(AVANCE[[#This Row],[PUERTAS ACCESO - LOGIA - BANO]]=AU$2,100%,AVANCE[[#This Row],[PUERTAS ACCESO - LOGIA - BANO]])</f>
        <v>0</v>
      </c>
      <c r="CJ319" s="3">
        <f>+IF(AVANCE[[#This Row],[CERRADURAS]]=AV$2,100%,AVANCE[[#This Row],[CERRADURAS]])</f>
        <v>0</v>
      </c>
      <c r="CK319" s="3">
        <f>+IF(AVANCE[[#This Row],[REVESTIMIENTO INTERIOR ZONA SECA]]=AW$2,100%,AVANCE[[#This Row],[REVESTIMIENTO INTERIOR ZONA SECA]])</f>
        <v>0</v>
      </c>
      <c r="CL319" s="3">
        <f>+IF(AVANCE[[#This Row],[REVESTIMIENTO INTERIOR ZONAS HUMEDAS]]=AX$2,100%,AVANCE[[#This Row],[REVESTIMIENTO INTERIOR ZONAS HUMEDAS]])</f>
        <v>0</v>
      </c>
      <c r="CM319" s="3">
        <f>+IF(AVANCE[[#This Row],[MEMBRANA CIELO]]=AY$2,100%,AVANCE[[#This Row],[MEMBRANA CIELO]])</f>
        <v>0</v>
      </c>
      <c r="CN319" s="3">
        <f>+IF(AVANCE[[#This Row],[LIMPIEZA FINAL]]=AZ$2,100%,AVANCE[[#This Row],[LIMPIEZA FINAL]])</f>
        <v>0</v>
      </c>
      <c r="CO319" s="3">
        <f>+IF(AVANCE[[#This Row],[PUERTAS DORMITORIO]]=BA$2,100%,AVANCE[[#This Row],[PUERTAS DORMITORIO]])</f>
        <v>0</v>
      </c>
      <c r="CP319" s="3">
        <f>+IF(AVANCE[[#This Row],[REVESTIMIENTO INTERIOR BANO]]=BB$2,100%,AVANCE[[#This Row],[REVESTIMIENTO INTERIOR BANO]])</f>
        <v>0</v>
      </c>
      <c r="CQ319" s="3">
        <f>+IF(AVANCE[[#This Row],[MUEBLE LAVAPLATOS]]=BC$2,100%,AVANCE[[#This Row],[MUEBLE LAVAPLATOS]])</f>
        <v>0</v>
      </c>
      <c r="CR319" s="3">
        <f>+IF(AVANCE[[#This Row],[IMPERMEABILIZACION BANO - COCINA LOGIA]]=BD$2,100%,AVANCE[[#This Row],[IMPERMEABILIZACION BANO - COCINA LOGIA]])</f>
        <v>0</v>
      </c>
      <c r="CS319" s="40">
        <f ca="1">+IF(AVANCE[[#This Row],[ESTADO MODULO]]="PENDIENTE",(TODAY()-AVANCE[[#This Row],[FECHA TERMINO  PLANIFICADO]]),0)</f>
        <v>0</v>
      </c>
      <c r="CT319" s="41" t="str" cm="1">
        <f t="array" ref="CT319">_xlfn.TEXTJOIN(" | ",TRUE,IF(SUMPRODUCT((BG319:CR319&lt;1)*(PARTIDAS!$I$2:$AT$2="OBRA GRUESA"))&gt;0,"OBRA GRUESA: "&amp;_xlfn.TEXTJOIN(", ",TRUE,IF((BG319:CR319&lt;1)*(PARTIDAS!$I$2:$AT$2="OBRA GRUESA"),PARTIDAS!$I$1:$AT$1,"")),""),IF(SUMPRODUCT((BG319:CR319&lt;1)*(PARTIDAS!$I$2:$AT$2="SANITARIOS"))&gt;0,"SANITARIOS: "&amp;_xlfn.TEXTJOIN(", ",TRUE,IF((BG319:CR319&lt;1)*(PARTIDAS!$I$2:$AT$2="SANITARIOS"),PARTIDAS!$I$1:$AT$1,"")),""),IF(SUMPRODUCT((BG319:CR319&lt;1)*(PARTIDAS!$I$2:$AT$2="ELÉCTRICO"))&gt;0,"ELÉCTRICO: "&amp;_xlfn.TEXTJOIN(", ",TRUE,IF((BG319:CR319&lt;1)*(PARTIDAS!$I$2:$AT$2="ELÉCTRICO"),PARTIDAS!$I$1:$AT$1,"")),""),IF(SUMPRODUCT((BG319:CR319&lt;1)*(PARTIDAS!$I$2:$AT$2="TERMINACIONES"))&gt;0,"TERMINACIONES: "&amp;_xlfn.TEXTJOIN(", ",TRUE,IF((BG319:CR319&lt;1)*(PARTIDAS!$I$2:$AT$2="TERMINACIONES"),PARTIDAS!$I$1:$AT$1,"")),""))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19" s="43" t="str" cm="1">
        <f t="array" ref="CU319">_xlfn.TEXTJOIN(", ",TRUE,IF(SUMPRODUCT((BG319:CR319&lt;1)*(PARTIDAS!$I$2:$AT$2="OBRA GRUESA"))&gt;0,"OBRA GRUESA",""),IF(SUMPRODUCT((BG319:CR319&lt;1)*(PARTIDAS!$I$2:$AT$2="SANITARIOS"))&gt;0,"SANITARIOS",""),IF(SUMPRODUCT((BG319:CR319&lt;1)*(PARTIDAS!$I$2:$AT$2="ELÉCTRICO"))&gt;0,"ELÉCTRICO",""),IF(SUMPRODUCT((BG319:CR319&lt;1)*(PARTIDAS!$I$2:$AT$2="TERMINACIONES"))&gt;0,"TERMINACIONES",""))</f>
        <v>OBRA GRUESA, SANITARIOS, ELÉCTRICO, TERMINACIONES</v>
      </c>
      <c r="CV319" s="44" cm="1">
        <f t="array" ref="CV319">SUMPRODUCT(--(BG319:CR319&lt;1))</f>
        <v>38</v>
      </c>
    </row>
    <row r="320" spans="1:100" hidden="1" x14ac:dyDescent="0.25">
      <c r="A320" t="s">
        <v>355</v>
      </c>
      <c r="B320" t="s">
        <v>386</v>
      </c>
      <c r="C320">
        <v>2302600319</v>
      </c>
      <c r="D320" t="s">
        <v>60</v>
      </c>
      <c r="E320" s="2">
        <v>0</v>
      </c>
      <c r="F320" s="1">
        <v>46301</v>
      </c>
      <c r="G320" s="1"/>
      <c r="H320" s="1">
        <v>0</v>
      </c>
      <c r="I320" s="1">
        <v>46331</v>
      </c>
      <c r="J320">
        <v>46230</v>
      </c>
      <c r="K320" s="1"/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>
        <v>31.32</v>
      </c>
      <c r="BF320" s="3" t="str">
        <f>+IF(AVANCE[[#This Row],[% AVANCE]]=100%,"MODULO TERMINADO",IF(AVANCE[[#This Row],[FECHA INICIO REAL]]="","MODULO NO INICIADO","PENDIENTE"))</f>
        <v>MODULO NO INICIADO</v>
      </c>
      <c r="BG320" s="3">
        <f>+IF(AVANCE[[#This Row],[VENTANAS]]=8.10810810810811%,100%,AVANCE[[#This Row],[VENTANAS]])</f>
        <v>0</v>
      </c>
      <c r="BH320" s="3">
        <f>+IF(AVANCE[[#This Row],[PISO]]=N$2,100%,AVANCE[[#This Row],[PISO]])</f>
        <v>0</v>
      </c>
      <c r="BI320" s="3">
        <f>+IF(AVANCE[[#This Row],[TABIQUES]]=O$2,100%,AVANCE[[#This Row],[TABIQUES]])</f>
        <v>0</v>
      </c>
      <c r="BJ320" s="3">
        <f>+IF(AVANCE[[#This Row],[MUROS]]=P$2,100%,AVANCE[[#This Row],[MUROS]])</f>
        <v>0</v>
      </c>
      <c r="BK320" s="3">
        <f>+IF(AVANCE[[#This Row],[CIELO]]=Q$2,100%,AVANCE[[#This Row],[CIELO]])</f>
        <v>0</v>
      </c>
      <c r="BL320" s="3">
        <f>+IF(AVANCE[[#This Row],[BALCÓN]]=R$2,100%,AVANCE[[#This Row],[BALCÓN]])</f>
        <v>0</v>
      </c>
      <c r="BM320" s="3">
        <f>+IF(AVANCE[[#This Row],[RED ALCANTARILLADO]]=U$2,100%,AVANCE[[#This Row],[RED ALCANTARILLADO]])</f>
        <v>0</v>
      </c>
      <c r="BN320" s="3">
        <f>+IF(AVANCE[[#This Row],[RED DE AGUA]]=V$2,100%,AVANCE[[#This Row],[RED DE AGUA]])</f>
        <v>0</v>
      </c>
      <c r="BO320" s="3">
        <f>+IF(AVANCE[[#This Row],[VENTILACIONES]]=W$2,100%,AVANCE[[#This Row],[VENTILACIONES]])</f>
        <v>0</v>
      </c>
      <c r="BP320" s="3">
        <f>+IF(AVANCE[[#This Row],[TINA]]=X$2,100%,AVANCE[[#This Row],[TINA]])</f>
        <v>0</v>
      </c>
      <c r="BQ320" s="3">
        <f>+IF(AVANCE[[#This Row],[WC]]=Y$2,100%,AVANCE[[#This Row],[WC]])</f>
        <v>0</v>
      </c>
      <c r="BR320" s="3">
        <f>+IF(AVANCE[[#This Row],[LAVAMANOS / LAVAPLATOS / LAVADERO]]=Z$2,100%,AVANCE[[#This Row],[LAVAMANOS / LAVAPLATOS / LAVADERO]])</f>
        <v>0</v>
      </c>
      <c r="BS320" s="3">
        <f>+IF(AVANCE[[#This Row],[CANALIZACIÓN]]=AC$2,100%,AVANCE[[#This Row],[CANALIZACIÓN]])</f>
        <v>0</v>
      </c>
      <c r="BT320" s="3">
        <f>+IF(AVANCE[[#This Row],[CABLEADO]]=AD$2,100%,AVANCE[[#This Row],[CABLEADO]])</f>
        <v>0</v>
      </c>
      <c r="BU320" s="3">
        <f>+IF(AVANCE[[#This Row],[ARTEFACTOS]]=AE$2,100%,AVANCE[[#This Row],[ARTEFACTOS]])</f>
        <v>0</v>
      </c>
      <c r="BV320" s="3">
        <f>+IF(AVANCE[[#This Row],[TABLERO]]=AF$2,100%,AVANCE[[#This Row],[TABLERO]])</f>
        <v>0</v>
      </c>
      <c r="BW320" s="3">
        <f>+IF(AVANCE[[#This Row],[CAJA PAU]]=AG$2,100%,AVANCE[[#This Row],[CAJA PAU]])</f>
        <v>0</v>
      </c>
      <c r="BX320" s="3">
        <f>+IF(AVANCE[[#This Row],[INSTALACION VINILICO]]=AJ$2,100%,AVANCE[[#This Row],[INSTALACION VINILICO]])</f>
        <v>0</v>
      </c>
      <c r="BY320" s="3">
        <f>+IF(AVANCE[[#This Row],[OSB CUBIERTA]]=AK$2,100%,AVANCE[[#This Row],[OSB CUBIERTA]])</f>
        <v>0</v>
      </c>
      <c r="BZ320" s="3">
        <f>+IF(AVANCE[[#This Row],[BARANDA BALCON]]=AL$2,100%,AVANCE[[#This Row],[BARANDA BALCON]])</f>
        <v>0</v>
      </c>
      <c r="CA320" s="3">
        <f>+IF(AVANCE[[#This Row],[OSB EXTERIOR]]=AM$2,100%,AVANCE[[#This Row],[OSB EXTERIOR]])</f>
        <v>0</v>
      </c>
      <c r="CB320" s="3">
        <f>+IF(AVANCE[[#This Row],[SMART PANEL]]=AN$2,100%,AVANCE[[#This Row],[SMART PANEL]])</f>
        <v>0</v>
      </c>
      <c r="CC320" s="3">
        <f>+IF(AVANCE[[#This Row],[PINTURA EXTERIOR]]=AO$2,100%,AVANCE[[#This Row],[PINTURA EXTERIOR]])</f>
        <v>0</v>
      </c>
      <c r="CD320" s="3">
        <f>+IF(AVANCE[[#This Row],[ZOCALOS LOGIA]]=AP$2,100%,AVANCE[[#This Row],[ZOCALOS LOGIA]])</f>
        <v>0</v>
      </c>
      <c r="CE320" s="3">
        <f>+IF(AVANCE[[#This Row],[MOLDURAS]]=AQ$2,100%,AVANCE[[#This Row],[MOLDURAS]])</f>
        <v>0</v>
      </c>
      <c r="CF320" s="3">
        <f>+IF(AVANCE[[#This Row],[PILASTREO]]=AR$2,100%,AVANCE[[#This Row],[PILASTREO]])</f>
        <v>0</v>
      </c>
      <c r="CG320" s="3">
        <f>+IF(AVANCE[[#This Row],[CELOSIAS]]=AS$2,100%,AVANCE[[#This Row],[CELOSIAS]])</f>
        <v>0</v>
      </c>
      <c r="CH320" s="3">
        <f>+IF(AVANCE[[#This Row],[VENTANAS]]=AT$2,100%,AVANCE[[#This Row],[VENTANAS]])</f>
        <v>0</v>
      </c>
      <c r="CI320" s="3">
        <f>+IF(AVANCE[[#This Row],[PUERTAS ACCESO - LOGIA - BANO]]=AU$2,100%,AVANCE[[#This Row],[PUERTAS ACCESO - LOGIA - BANO]])</f>
        <v>0</v>
      </c>
      <c r="CJ320" s="3">
        <f>+IF(AVANCE[[#This Row],[CERRADURAS]]=AV$2,100%,AVANCE[[#This Row],[CERRADURAS]])</f>
        <v>0</v>
      </c>
      <c r="CK320" s="3">
        <f>+IF(AVANCE[[#This Row],[REVESTIMIENTO INTERIOR ZONA SECA]]=AW$2,100%,AVANCE[[#This Row],[REVESTIMIENTO INTERIOR ZONA SECA]])</f>
        <v>0</v>
      </c>
      <c r="CL320" s="3">
        <f>+IF(AVANCE[[#This Row],[REVESTIMIENTO INTERIOR ZONAS HUMEDAS]]=AX$2,100%,AVANCE[[#This Row],[REVESTIMIENTO INTERIOR ZONAS HUMEDAS]])</f>
        <v>0</v>
      </c>
      <c r="CM320" s="3">
        <f>+IF(AVANCE[[#This Row],[MEMBRANA CIELO]]=AY$2,100%,AVANCE[[#This Row],[MEMBRANA CIELO]])</f>
        <v>0</v>
      </c>
      <c r="CN320" s="3">
        <f>+IF(AVANCE[[#This Row],[LIMPIEZA FINAL]]=AZ$2,100%,AVANCE[[#This Row],[LIMPIEZA FINAL]])</f>
        <v>0</v>
      </c>
      <c r="CO320" s="3">
        <f>+IF(AVANCE[[#This Row],[PUERTAS DORMITORIO]]=BA$2,100%,AVANCE[[#This Row],[PUERTAS DORMITORIO]])</f>
        <v>0</v>
      </c>
      <c r="CP320" s="3">
        <f>+IF(AVANCE[[#This Row],[REVESTIMIENTO INTERIOR BANO]]=BB$2,100%,AVANCE[[#This Row],[REVESTIMIENTO INTERIOR BANO]])</f>
        <v>0</v>
      </c>
      <c r="CQ320" s="3">
        <f>+IF(AVANCE[[#This Row],[MUEBLE LAVAPLATOS]]=BC$2,100%,AVANCE[[#This Row],[MUEBLE LAVAPLATOS]])</f>
        <v>0</v>
      </c>
      <c r="CR320" s="3">
        <f>+IF(AVANCE[[#This Row],[IMPERMEABILIZACION BANO - COCINA LOGIA]]=BD$2,100%,AVANCE[[#This Row],[IMPERMEABILIZACION BANO - COCINA LOGIA]])</f>
        <v>0</v>
      </c>
      <c r="CS320" s="40">
        <f ca="1">+IF(AVANCE[[#This Row],[ESTADO MODULO]]="PENDIENTE",(TODAY()-AVANCE[[#This Row],[FECHA TERMINO  PLANIFICADO]]),0)</f>
        <v>0</v>
      </c>
      <c r="CT320" s="41" t="str" cm="1">
        <f t="array" ref="CT320">_xlfn.TEXTJOIN(" | ",TRUE,IF(SUMPRODUCT((BG320:CR320&lt;1)*(PARTIDAS!$I$2:$AT$2="OBRA GRUESA"))&gt;0,"OBRA GRUESA: "&amp;_xlfn.TEXTJOIN(", ",TRUE,IF((BG320:CR320&lt;1)*(PARTIDAS!$I$2:$AT$2="OBRA GRUESA"),PARTIDAS!$I$1:$AT$1,"")),""),IF(SUMPRODUCT((BG320:CR320&lt;1)*(PARTIDAS!$I$2:$AT$2="SANITARIOS"))&gt;0,"SANITARIOS: "&amp;_xlfn.TEXTJOIN(", ",TRUE,IF((BG320:CR320&lt;1)*(PARTIDAS!$I$2:$AT$2="SANITARIOS"),PARTIDAS!$I$1:$AT$1,"")),""),IF(SUMPRODUCT((BG320:CR320&lt;1)*(PARTIDAS!$I$2:$AT$2="ELÉCTRICO"))&gt;0,"ELÉCTRICO: "&amp;_xlfn.TEXTJOIN(", ",TRUE,IF((BG320:CR320&lt;1)*(PARTIDAS!$I$2:$AT$2="ELÉCTRICO"),PARTIDAS!$I$1:$AT$1,"")),""),IF(SUMPRODUCT((BG320:CR320&lt;1)*(PARTIDAS!$I$2:$AT$2="TERMINACIONES"))&gt;0,"TERMINACIONES: "&amp;_xlfn.TEXTJOIN(", ",TRUE,IF((BG320:CR320&lt;1)*(PARTIDAS!$I$2:$AT$2="TERMINACIONES"),PARTIDAS!$I$1:$AT$1,"")),""))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0" s="43" t="str" cm="1">
        <f t="array" ref="CU320">_xlfn.TEXTJOIN(", ",TRUE,IF(SUMPRODUCT((BG320:CR320&lt;1)*(PARTIDAS!$I$2:$AT$2="OBRA GRUESA"))&gt;0,"OBRA GRUESA",""),IF(SUMPRODUCT((BG320:CR320&lt;1)*(PARTIDAS!$I$2:$AT$2="SANITARIOS"))&gt;0,"SANITARIOS",""),IF(SUMPRODUCT((BG320:CR320&lt;1)*(PARTIDAS!$I$2:$AT$2="ELÉCTRICO"))&gt;0,"ELÉCTRICO",""),IF(SUMPRODUCT((BG320:CR320&lt;1)*(PARTIDAS!$I$2:$AT$2="TERMINACIONES"))&gt;0,"TERMINACIONES",""))</f>
        <v>OBRA GRUESA, SANITARIOS, ELÉCTRICO, TERMINACIONES</v>
      </c>
      <c r="CV320" s="44" cm="1">
        <f t="array" ref="CV320">SUMPRODUCT(--(BG320:CR320&lt;1))</f>
        <v>38</v>
      </c>
    </row>
    <row r="321" spans="1:100" hidden="1" x14ac:dyDescent="0.25">
      <c r="A321" t="s">
        <v>355</v>
      </c>
      <c r="B321" t="s">
        <v>387</v>
      </c>
      <c r="C321">
        <v>2282600320</v>
      </c>
      <c r="D321" t="s">
        <v>58</v>
      </c>
      <c r="E321" s="2">
        <v>0</v>
      </c>
      <c r="F321" s="1">
        <v>46302</v>
      </c>
      <c r="G321" s="1"/>
      <c r="H321" s="1">
        <v>0</v>
      </c>
      <c r="I321" s="1">
        <v>46322</v>
      </c>
      <c r="J321">
        <v>46230</v>
      </c>
      <c r="K321" s="1"/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>
        <v>28.87</v>
      </c>
      <c r="BF321" s="3" t="str">
        <f>+IF(AVANCE[[#This Row],[% AVANCE]]=100%,"MODULO TERMINADO",IF(AVANCE[[#This Row],[FECHA INICIO REAL]]="","MODULO NO INICIADO","PENDIENTE"))</f>
        <v>MODULO NO INICIADO</v>
      </c>
      <c r="BG321" s="3">
        <f>+IF(AVANCE[[#This Row],[VENTANAS]]=8.10810810810811%,100%,AVANCE[[#This Row],[VENTANAS]])</f>
        <v>0</v>
      </c>
      <c r="BH321" s="3">
        <f>+IF(AVANCE[[#This Row],[PISO]]=N$2,100%,AVANCE[[#This Row],[PISO]])</f>
        <v>0</v>
      </c>
      <c r="BI321" s="3">
        <f>+IF(AVANCE[[#This Row],[TABIQUES]]=O$2,100%,AVANCE[[#This Row],[TABIQUES]])</f>
        <v>0</v>
      </c>
      <c r="BJ321" s="3">
        <f>+IF(AVANCE[[#This Row],[MUROS]]=P$2,100%,AVANCE[[#This Row],[MUROS]])</f>
        <v>0</v>
      </c>
      <c r="BK321" s="3">
        <f>+IF(AVANCE[[#This Row],[CIELO]]=Q$2,100%,AVANCE[[#This Row],[CIELO]])</f>
        <v>0</v>
      </c>
      <c r="BL321" s="3">
        <f>+IF(AVANCE[[#This Row],[BALCÓN]]=R$2,100%,AVANCE[[#This Row],[BALCÓN]])</f>
        <v>0</v>
      </c>
      <c r="BM321" s="3">
        <f>+IF(AVANCE[[#This Row],[RED ALCANTARILLADO]]=U$2,100%,AVANCE[[#This Row],[RED ALCANTARILLADO]])</f>
        <v>0</v>
      </c>
      <c r="BN321" s="3">
        <f>+IF(AVANCE[[#This Row],[RED DE AGUA]]=V$2,100%,AVANCE[[#This Row],[RED DE AGUA]])</f>
        <v>0</v>
      </c>
      <c r="BO321" s="3">
        <f>+IF(AVANCE[[#This Row],[VENTILACIONES]]=W$2,100%,AVANCE[[#This Row],[VENTILACIONES]])</f>
        <v>0</v>
      </c>
      <c r="BP321" s="3">
        <f>+IF(AVANCE[[#This Row],[TINA]]=X$2,100%,AVANCE[[#This Row],[TINA]])</f>
        <v>0</v>
      </c>
      <c r="BQ321" s="3">
        <f>+IF(AVANCE[[#This Row],[WC]]=Y$2,100%,AVANCE[[#This Row],[WC]])</f>
        <v>0</v>
      </c>
      <c r="BR321" s="3">
        <f>+IF(AVANCE[[#This Row],[LAVAMANOS / LAVAPLATOS / LAVADERO]]=Z$2,100%,AVANCE[[#This Row],[LAVAMANOS / LAVAPLATOS / LAVADERO]])</f>
        <v>0</v>
      </c>
      <c r="BS321" s="3">
        <f>+IF(AVANCE[[#This Row],[CANALIZACIÓN]]=AC$2,100%,AVANCE[[#This Row],[CANALIZACIÓN]])</f>
        <v>0</v>
      </c>
      <c r="BT321" s="3">
        <f>+IF(AVANCE[[#This Row],[CABLEADO]]=AD$2,100%,AVANCE[[#This Row],[CABLEADO]])</f>
        <v>0</v>
      </c>
      <c r="BU321" s="3">
        <f>+IF(AVANCE[[#This Row],[ARTEFACTOS]]=AE$2,100%,AVANCE[[#This Row],[ARTEFACTOS]])</f>
        <v>0</v>
      </c>
      <c r="BV321" s="3">
        <f>+IF(AVANCE[[#This Row],[TABLERO]]=AF$2,100%,AVANCE[[#This Row],[TABLERO]])</f>
        <v>0</v>
      </c>
      <c r="BW321" s="3">
        <f>+IF(AVANCE[[#This Row],[CAJA PAU]]=AG$2,100%,AVANCE[[#This Row],[CAJA PAU]])</f>
        <v>0</v>
      </c>
      <c r="BX321" s="3">
        <f>+IF(AVANCE[[#This Row],[INSTALACION VINILICO]]=AJ$2,100%,AVANCE[[#This Row],[INSTALACION VINILICO]])</f>
        <v>0</v>
      </c>
      <c r="BY321" s="3">
        <f>+IF(AVANCE[[#This Row],[OSB CUBIERTA]]=AK$2,100%,AVANCE[[#This Row],[OSB CUBIERTA]])</f>
        <v>0</v>
      </c>
      <c r="BZ321" s="3">
        <f>+IF(AVANCE[[#This Row],[BARANDA BALCON]]=AL$2,100%,AVANCE[[#This Row],[BARANDA BALCON]])</f>
        <v>0</v>
      </c>
      <c r="CA321" s="3">
        <f>+IF(AVANCE[[#This Row],[OSB EXTERIOR]]=AM$2,100%,AVANCE[[#This Row],[OSB EXTERIOR]])</f>
        <v>0</v>
      </c>
      <c r="CB321" s="3">
        <f>+IF(AVANCE[[#This Row],[SMART PANEL]]=AN$2,100%,AVANCE[[#This Row],[SMART PANEL]])</f>
        <v>0</v>
      </c>
      <c r="CC321" s="3">
        <f>+IF(AVANCE[[#This Row],[PINTURA EXTERIOR]]=AO$2,100%,AVANCE[[#This Row],[PINTURA EXTERIOR]])</f>
        <v>0</v>
      </c>
      <c r="CD321" s="3">
        <f>+IF(AVANCE[[#This Row],[ZOCALOS LOGIA]]=AP$2,100%,AVANCE[[#This Row],[ZOCALOS LOGIA]])</f>
        <v>0</v>
      </c>
      <c r="CE321" s="3">
        <f>+IF(AVANCE[[#This Row],[MOLDURAS]]=AQ$2,100%,AVANCE[[#This Row],[MOLDURAS]])</f>
        <v>0</v>
      </c>
      <c r="CF321" s="3">
        <f>+IF(AVANCE[[#This Row],[PILASTREO]]=AR$2,100%,AVANCE[[#This Row],[PILASTREO]])</f>
        <v>0</v>
      </c>
      <c r="CG321" s="3">
        <f>+IF(AVANCE[[#This Row],[CELOSIAS]]=AS$2,100%,AVANCE[[#This Row],[CELOSIAS]])</f>
        <v>0</v>
      </c>
      <c r="CH321" s="3">
        <f>+IF(AVANCE[[#This Row],[VENTANAS]]=AT$2,100%,AVANCE[[#This Row],[VENTANAS]])</f>
        <v>0</v>
      </c>
      <c r="CI321" s="3">
        <f>+IF(AVANCE[[#This Row],[PUERTAS ACCESO - LOGIA - BANO]]=AU$2,100%,AVANCE[[#This Row],[PUERTAS ACCESO - LOGIA - BANO]])</f>
        <v>0</v>
      </c>
      <c r="CJ321" s="3">
        <f>+IF(AVANCE[[#This Row],[CERRADURAS]]=AV$2,100%,AVANCE[[#This Row],[CERRADURAS]])</f>
        <v>0</v>
      </c>
      <c r="CK321" s="3">
        <f>+IF(AVANCE[[#This Row],[REVESTIMIENTO INTERIOR ZONA SECA]]=AW$2,100%,AVANCE[[#This Row],[REVESTIMIENTO INTERIOR ZONA SECA]])</f>
        <v>0</v>
      </c>
      <c r="CL321" s="3">
        <f>+IF(AVANCE[[#This Row],[REVESTIMIENTO INTERIOR ZONAS HUMEDAS]]=AX$2,100%,AVANCE[[#This Row],[REVESTIMIENTO INTERIOR ZONAS HUMEDAS]])</f>
        <v>0</v>
      </c>
      <c r="CM321" s="3">
        <f>+IF(AVANCE[[#This Row],[MEMBRANA CIELO]]=AY$2,100%,AVANCE[[#This Row],[MEMBRANA CIELO]])</f>
        <v>0</v>
      </c>
      <c r="CN321" s="3">
        <f>+IF(AVANCE[[#This Row],[LIMPIEZA FINAL]]=AZ$2,100%,AVANCE[[#This Row],[LIMPIEZA FINAL]])</f>
        <v>0</v>
      </c>
      <c r="CO321" s="3">
        <f>+IF(AVANCE[[#This Row],[PUERTAS DORMITORIO]]=BA$2,100%,AVANCE[[#This Row],[PUERTAS DORMITORIO]])</f>
        <v>0</v>
      </c>
      <c r="CP321" s="3">
        <f>+IF(AVANCE[[#This Row],[REVESTIMIENTO INTERIOR BANO]]=BB$2,100%,AVANCE[[#This Row],[REVESTIMIENTO INTERIOR BANO]])</f>
        <v>0</v>
      </c>
      <c r="CQ321" s="3">
        <f>+IF(AVANCE[[#This Row],[MUEBLE LAVAPLATOS]]=BC$2,100%,AVANCE[[#This Row],[MUEBLE LAVAPLATOS]])</f>
        <v>0</v>
      </c>
      <c r="CR321" s="3">
        <f>+IF(AVANCE[[#This Row],[IMPERMEABILIZACION BANO - COCINA LOGIA]]=BD$2,100%,AVANCE[[#This Row],[IMPERMEABILIZACION BANO - COCINA LOGIA]])</f>
        <v>0</v>
      </c>
      <c r="CS321" s="40">
        <f ca="1">+IF(AVANCE[[#This Row],[ESTADO MODULO]]="PENDIENTE",(TODAY()-AVANCE[[#This Row],[FECHA TERMINO  PLANIFICADO]]),0)</f>
        <v>0</v>
      </c>
      <c r="CT321" s="41" t="str" cm="1">
        <f t="array" ref="CT321">_xlfn.TEXTJOIN(" | ",TRUE,IF(SUMPRODUCT((BG321:CR321&lt;1)*(PARTIDAS!$I$2:$AT$2="OBRA GRUESA"))&gt;0,"OBRA GRUESA: "&amp;_xlfn.TEXTJOIN(", ",TRUE,IF((BG321:CR321&lt;1)*(PARTIDAS!$I$2:$AT$2="OBRA GRUESA"),PARTIDAS!$I$1:$AT$1,"")),""),IF(SUMPRODUCT((BG321:CR321&lt;1)*(PARTIDAS!$I$2:$AT$2="SANITARIOS"))&gt;0,"SANITARIOS: "&amp;_xlfn.TEXTJOIN(", ",TRUE,IF((BG321:CR321&lt;1)*(PARTIDAS!$I$2:$AT$2="SANITARIOS"),PARTIDAS!$I$1:$AT$1,"")),""),IF(SUMPRODUCT((BG321:CR321&lt;1)*(PARTIDAS!$I$2:$AT$2="ELÉCTRICO"))&gt;0,"ELÉCTRICO: "&amp;_xlfn.TEXTJOIN(", ",TRUE,IF((BG321:CR321&lt;1)*(PARTIDAS!$I$2:$AT$2="ELÉCTRICO"),PARTIDAS!$I$1:$AT$1,"")),""),IF(SUMPRODUCT((BG321:CR321&lt;1)*(PARTIDAS!$I$2:$AT$2="TERMINACIONES"))&gt;0,"TERMINACIONES: "&amp;_xlfn.TEXTJOIN(", ",TRUE,IF((BG321:CR321&lt;1)*(PARTIDAS!$I$2:$AT$2="TERMINACIONES"),PARTIDAS!$I$1:$AT$1,"")),""))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1" s="43" t="str" cm="1">
        <f t="array" ref="CU321">_xlfn.TEXTJOIN(", ",TRUE,IF(SUMPRODUCT((BG321:CR321&lt;1)*(PARTIDAS!$I$2:$AT$2="OBRA GRUESA"))&gt;0,"OBRA GRUESA",""),IF(SUMPRODUCT((BG321:CR321&lt;1)*(PARTIDAS!$I$2:$AT$2="SANITARIOS"))&gt;0,"SANITARIOS",""),IF(SUMPRODUCT((BG321:CR321&lt;1)*(PARTIDAS!$I$2:$AT$2="ELÉCTRICO"))&gt;0,"ELÉCTRICO",""),IF(SUMPRODUCT((BG321:CR321&lt;1)*(PARTIDAS!$I$2:$AT$2="TERMINACIONES"))&gt;0,"TERMINACIONES",""))</f>
        <v>OBRA GRUESA, SANITARIOS, ELÉCTRICO, TERMINACIONES</v>
      </c>
      <c r="CV321" s="44" cm="1">
        <f t="array" ref="CV321">SUMPRODUCT(--(BG321:CR321&lt;1))</f>
        <v>38</v>
      </c>
    </row>
    <row r="322" spans="1:100" hidden="1" x14ac:dyDescent="0.25">
      <c r="A322" t="s">
        <v>388</v>
      </c>
      <c r="B322" t="s">
        <v>389</v>
      </c>
      <c r="C322">
        <v>2282600321</v>
      </c>
      <c r="D322" t="s">
        <v>58</v>
      </c>
      <c r="E322" s="2">
        <v>0</v>
      </c>
      <c r="F322" s="1">
        <v>46302</v>
      </c>
      <c r="G322" s="1"/>
      <c r="H322" s="1">
        <v>0</v>
      </c>
      <c r="I322" s="1">
        <v>46322</v>
      </c>
      <c r="J322">
        <v>46230</v>
      </c>
      <c r="K322" s="1"/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>
        <v>28.87</v>
      </c>
      <c r="BF322" s="3" t="str">
        <f>+IF(AVANCE[[#This Row],[% AVANCE]]=100%,"MODULO TERMINADO",IF(AVANCE[[#This Row],[FECHA INICIO REAL]]="","MODULO NO INICIADO","PENDIENTE"))</f>
        <v>MODULO NO INICIADO</v>
      </c>
      <c r="BG322" s="3">
        <f>+IF(AVANCE[[#This Row],[VENTANAS]]=8.10810810810811%,100%,AVANCE[[#This Row],[VENTANAS]])</f>
        <v>0</v>
      </c>
      <c r="BH322" s="3">
        <f>+IF(AVANCE[[#This Row],[PISO]]=N$2,100%,AVANCE[[#This Row],[PISO]])</f>
        <v>0</v>
      </c>
      <c r="BI322" s="3">
        <f>+IF(AVANCE[[#This Row],[TABIQUES]]=O$2,100%,AVANCE[[#This Row],[TABIQUES]])</f>
        <v>0</v>
      </c>
      <c r="BJ322" s="3">
        <f>+IF(AVANCE[[#This Row],[MUROS]]=P$2,100%,AVANCE[[#This Row],[MUROS]])</f>
        <v>0</v>
      </c>
      <c r="BK322" s="3">
        <f>+IF(AVANCE[[#This Row],[CIELO]]=Q$2,100%,AVANCE[[#This Row],[CIELO]])</f>
        <v>0</v>
      </c>
      <c r="BL322" s="3">
        <f>+IF(AVANCE[[#This Row],[BALCÓN]]=R$2,100%,AVANCE[[#This Row],[BALCÓN]])</f>
        <v>0</v>
      </c>
      <c r="BM322" s="3">
        <f>+IF(AVANCE[[#This Row],[RED ALCANTARILLADO]]=U$2,100%,AVANCE[[#This Row],[RED ALCANTARILLADO]])</f>
        <v>0</v>
      </c>
      <c r="BN322" s="3">
        <f>+IF(AVANCE[[#This Row],[RED DE AGUA]]=V$2,100%,AVANCE[[#This Row],[RED DE AGUA]])</f>
        <v>0</v>
      </c>
      <c r="BO322" s="3">
        <f>+IF(AVANCE[[#This Row],[VENTILACIONES]]=W$2,100%,AVANCE[[#This Row],[VENTILACIONES]])</f>
        <v>0</v>
      </c>
      <c r="BP322" s="3">
        <f>+IF(AVANCE[[#This Row],[TINA]]=X$2,100%,AVANCE[[#This Row],[TINA]])</f>
        <v>0</v>
      </c>
      <c r="BQ322" s="3">
        <f>+IF(AVANCE[[#This Row],[WC]]=Y$2,100%,AVANCE[[#This Row],[WC]])</f>
        <v>0</v>
      </c>
      <c r="BR322" s="3">
        <f>+IF(AVANCE[[#This Row],[LAVAMANOS / LAVAPLATOS / LAVADERO]]=Z$2,100%,AVANCE[[#This Row],[LAVAMANOS / LAVAPLATOS / LAVADERO]])</f>
        <v>0</v>
      </c>
      <c r="BS322" s="3">
        <f>+IF(AVANCE[[#This Row],[CANALIZACIÓN]]=AC$2,100%,AVANCE[[#This Row],[CANALIZACIÓN]])</f>
        <v>0</v>
      </c>
      <c r="BT322" s="3">
        <f>+IF(AVANCE[[#This Row],[CABLEADO]]=AD$2,100%,AVANCE[[#This Row],[CABLEADO]])</f>
        <v>0</v>
      </c>
      <c r="BU322" s="3">
        <f>+IF(AVANCE[[#This Row],[ARTEFACTOS]]=AE$2,100%,AVANCE[[#This Row],[ARTEFACTOS]])</f>
        <v>0</v>
      </c>
      <c r="BV322" s="3">
        <f>+IF(AVANCE[[#This Row],[TABLERO]]=AF$2,100%,AVANCE[[#This Row],[TABLERO]])</f>
        <v>0</v>
      </c>
      <c r="BW322" s="3">
        <f>+IF(AVANCE[[#This Row],[CAJA PAU]]=AG$2,100%,AVANCE[[#This Row],[CAJA PAU]])</f>
        <v>0</v>
      </c>
      <c r="BX322" s="3">
        <f>+IF(AVANCE[[#This Row],[INSTALACION VINILICO]]=AJ$2,100%,AVANCE[[#This Row],[INSTALACION VINILICO]])</f>
        <v>0</v>
      </c>
      <c r="BY322" s="3">
        <f>+IF(AVANCE[[#This Row],[OSB CUBIERTA]]=AK$2,100%,AVANCE[[#This Row],[OSB CUBIERTA]])</f>
        <v>0</v>
      </c>
      <c r="BZ322" s="3">
        <f>+IF(AVANCE[[#This Row],[BARANDA BALCON]]=AL$2,100%,AVANCE[[#This Row],[BARANDA BALCON]])</f>
        <v>0</v>
      </c>
      <c r="CA322" s="3">
        <f>+IF(AVANCE[[#This Row],[OSB EXTERIOR]]=AM$2,100%,AVANCE[[#This Row],[OSB EXTERIOR]])</f>
        <v>0</v>
      </c>
      <c r="CB322" s="3">
        <f>+IF(AVANCE[[#This Row],[SMART PANEL]]=AN$2,100%,AVANCE[[#This Row],[SMART PANEL]])</f>
        <v>0</v>
      </c>
      <c r="CC322" s="3">
        <f>+IF(AVANCE[[#This Row],[PINTURA EXTERIOR]]=AO$2,100%,AVANCE[[#This Row],[PINTURA EXTERIOR]])</f>
        <v>0</v>
      </c>
      <c r="CD322" s="3">
        <f>+IF(AVANCE[[#This Row],[ZOCALOS LOGIA]]=AP$2,100%,AVANCE[[#This Row],[ZOCALOS LOGIA]])</f>
        <v>0</v>
      </c>
      <c r="CE322" s="3">
        <f>+IF(AVANCE[[#This Row],[MOLDURAS]]=AQ$2,100%,AVANCE[[#This Row],[MOLDURAS]])</f>
        <v>0</v>
      </c>
      <c r="CF322" s="3">
        <f>+IF(AVANCE[[#This Row],[PILASTREO]]=AR$2,100%,AVANCE[[#This Row],[PILASTREO]])</f>
        <v>0</v>
      </c>
      <c r="CG322" s="3">
        <f>+IF(AVANCE[[#This Row],[CELOSIAS]]=AS$2,100%,AVANCE[[#This Row],[CELOSIAS]])</f>
        <v>0</v>
      </c>
      <c r="CH322" s="3">
        <f>+IF(AVANCE[[#This Row],[VENTANAS]]=AT$2,100%,AVANCE[[#This Row],[VENTANAS]])</f>
        <v>0</v>
      </c>
      <c r="CI322" s="3">
        <f>+IF(AVANCE[[#This Row],[PUERTAS ACCESO - LOGIA - BANO]]=AU$2,100%,AVANCE[[#This Row],[PUERTAS ACCESO - LOGIA - BANO]])</f>
        <v>0</v>
      </c>
      <c r="CJ322" s="3">
        <f>+IF(AVANCE[[#This Row],[CERRADURAS]]=AV$2,100%,AVANCE[[#This Row],[CERRADURAS]])</f>
        <v>0</v>
      </c>
      <c r="CK322" s="3">
        <f>+IF(AVANCE[[#This Row],[REVESTIMIENTO INTERIOR ZONA SECA]]=AW$2,100%,AVANCE[[#This Row],[REVESTIMIENTO INTERIOR ZONA SECA]])</f>
        <v>0</v>
      </c>
      <c r="CL322" s="3">
        <f>+IF(AVANCE[[#This Row],[REVESTIMIENTO INTERIOR ZONAS HUMEDAS]]=AX$2,100%,AVANCE[[#This Row],[REVESTIMIENTO INTERIOR ZONAS HUMEDAS]])</f>
        <v>0</v>
      </c>
      <c r="CM322" s="3">
        <f>+IF(AVANCE[[#This Row],[MEMBRANA CIELO]]=AY$2,100%,AVANCE[[#This Row],[MEMBRANA CIELO]])</f>
        <v>0</v>
      </c>
      <c r="CN322" s="3">
        <f>+IF(AVANCE[[#This Row],[LIMPIEZA FINAL]]=AZ$2,100%,AVANCE[[#This Row],[LIMPIEZA FINAL]])</f>
        <v>0</v>
      </c>
      <c r="CO322" s="3">
        <f>+IF(AVANCE[[#This Row],[PUERTAS DORMITORIO]]=BA$2,100%,AVANCE[[#This Row],[PUERTAS DORMITORIO]])</f>
        <v>0</v>
      </c>
      <c r="CP322" s="3">
        <f>+IF(AVANCE[[#This Row],[REVESTIMIENTO INTERIOR BANO]]=BB$2,100%,AVANCE[[#This Row],[REVESTIMIENTO INTERIOR BANO]])</f>
        <v>0</v>
      </c>
      <c r="CQ322" s="3">
        <f>+IF(AVANCE[[#This Row],[MUEBLE LAVAPLATOS]]=BC$2,100%,AVANCE[[#This Row],[MUEBLE LAVAPLATOS]])</f>
        <v>0</v>
      </c>
      <c r="CR322" s="3">
        <f>+IF(AVANCE[[#This Row],[IMPERMEABILIZACION BANO - COCINA LOGIA]]=BD$2,100%,AVANCE[[#This Row],[IMPERMEABILIZACION BANO - COCINA LOGIA]])</f>
        <v>0</v>
      </c>
      <c r="CS322" s="40">
        <f ca="1">+IF(AVANCE[[#This Row],[ESTADO MODULO]]="PENDIENTE",(TODAY()-AVANCE[[#This Row],[FECHA TERMINO  PLANIFICADO]]),0)</f>
        <v>0</v>
      </c>
      <c r="CT322" s="41" t="str" cm="1">
        <f t="array" ref="CT322">_xlfn.TEXTJOIN(" | ",TRUE,IF(SUMPRODUCT((BG322:CR322&lt;1)*(PARTIDAS!$I$2:$AT$2="OBRA GRUESA"))&gt;0,"OBRA GRUESA: "&amp;_xlfn.TEXTJOIN(", ",TRUE,IF((BG322:CR322&lt;1)*(PARTIDAS!$I$2:$AT$2="OBRA GRUESA"),PARTIDAS!$I$1:$AT$1,"")),""),IF(SUMPRODUCT((BG322:CR322&lt;1)*(PARTIDAS!$I$2:$AT$2="SANITARIOS"))&gt;0,"SANITARIOS: "&amp;_xlfn.TEXTJOIN(", ",TRUE,IF((BG322:CR322&lt;1)*(PARTIDAS!$I$2:$AT$2="SANITARIOS"),PARTIDAS!$I$1:$AT$1,"")),""),IF(SUMPRODUCT((BG322:CR322&lt;1)*(PARTIDAS!$I$2:$AT$2="ELÉCTRICO"))&gt;0,"ELÉCTRICO: "&amp;_xlfn.TEXTJOIN(", ",TRUE,IF((BG322:CR322&lt;1)*(PARTIDAS!$I$2:$AT$2="ELÉCTRICO"),PARTIDAS!$I$1:$AT$1,"")),""),IF(SUMPRODUCT((BG322:CR322&lt;1)*(PARTIDAS!$I$2:$AT$2="TERMINACIONES"))&gt;0,"TERMINACIONES: "&amp;_xlfn.TEXTJOIN(", ",TRUE,IF((BG322:CR322&lt;1)*(PARTIDAS!$I$2:$AT$2="TERMINACIONES"),PARTIDAS!$I$1:$AT$1,"")),""))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2" s="43" t="str" cm="1">
        <f t="array" ref="CU322">_xlfn.TEXTJOIN(", ",TRUE,IF(SUMPRODUCT((BG322:CR322&lt;1)*(PARTIDAS!$I$2:$AT$2="OBRA GRUESA"))&gt;0,"OBRA GRUESA",""),IF(SUMPRODUCT((BG322:CR322&lt;1)*(PARTIDAS!$I$2:$AT$2="SANITARIOS"))&gt;0,"SANITARIOS",""),IF(SUMPRODUCT((BG322:CR322&lt;1)*(PARTIDAS!$I$2:$AT$2="ELÉCTRICO"))&gt;0,"ELÉCTRICO",""),IF(SUMPRODUCT((BG322:CR322&lt;1)*(PARTIDAS!$I$2:$AT$2="TERMINACIONES"))&gt;0,"TERMINACIONES",""))</f>
        <v>OBRA GRUESA, SANITARIOS, ELÉCTRICO, TERMINACIONES</v>
      </c>
      <c r="CV322" s="44" cm="1">
        <f t="array" ref="CV322">SUMPRODUCT(--(BG322:CR322&lt;1))</f>
        <v>38</v>
      </c>
    </row>
    <row r="323" spans="1:100" hidden="1" x14ac:dyDescent="0.25">
      <c r="A323" t="s">
        <v>388</v>
      </c>
      <c r="B323" t="s">
        <v>390</v>
      </c>
      <c r="C323">
        <v>2302600322</v>
      </c>
      <c r="D323" t="s">
        <v>60</v>
      </c>
      <c r="E323" s="2">
        <v>0</v>
      </c>
      <c r="F323" s="1">
        <v>46302</v>
      </c>
      <c r="G323" s="1"/>
      <c r="H323" s="1">
        <v>0</v>
      </c>
      <c r="I323" s="1">
        <v>46332</v>
      </c>
      <c r="J323">
        <v>46230</v>
      </c>
      <c r="K323" s="1"/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>
        <v>31.32</v>
      </c>
      <c r="BF323" s="3" t="str">
        <f>+IF(AVANCE[[#This Row],[% AVANCE]]=100%,"MODULO TERMINADO",IF(AVANCE[[#This Row],[FECHA INICIO REAL]]="","MODULO NO INICIADO","PENDIENTE"))</f>
        <v>MODULO NO INICIADO</v>
      </c>
      <c r="BG323" s="3">
        <f>+IF(AVANCE[[#This Row],[VENTANAS]]=8.10810810810811%,100%,AVANCE[[#This Row],[VENTANAS]])</f>
        <v>0</v>
      </c>
      <c r="BH323" s="3">
        <f>+IF(AVANCE[[#This Row],[PISO]]=N$2,100%,AVANCE[[#This Row],[PISO]])</f>
        <v>0</v>
      </c>
      <c r="BI323" s="3">
        <f>+IF(AVANCE[[#This Row],[TABIQUES]]=O$2,100%,AVANCE[[#This Row],[TABIQUES]])</f>
        <v>0</v>
      </c>
      <c r="BJ323" s="3">
        <f>+IF(AVANCE[[#This Row],[MUROS]]=P$2,100%,AVANCE[[#This Row],[MUROS]])</f>
        <v>0</v>
      </c>
      <c r="BK323" s="3">
        <f>+IF(AVANCE[[#This Row],[CIELO]]=Q$2,100%,AVANCE[[#This Row],[CIELO]])</f>
        <v>0</v>
      </c>
      <c r="BL323" s="3">
        <f>+IF(AVANCE[[#This Row],[BALCÓN]]=R$2,100%,AVANCE[[#This Row],[BALCÓN]])</f>
        <v>0</v>
      </c>
      <c r="BM323" s="3">
        <f>+IF(AVANCE[[#This Row],[RED ALCANTARILLADO]]=U$2,100%,AVANCE[[#This Row],[RED ALCANTARILLADO]])</f>
        <v>0</v>
      </c>
      <c r="BN323" s="3">
        <f>+IF(AVANCE[[#This Row],[RED DE AGUA]]=V$2,100%,AVANCE[[#This Row],[RED DE AGUA]])</f>
        <v>0</v>
      </c>
      <c r="BO323" s="3">
        <f>+IF(AVANCE[[#This Row],[VENTILACIONES]]=W$2,100%,AVANCE[[#This Row],[VENTILACIONES]])</f>
        <v>0</v>
      </c>
      <c r="BP323" s="3">
        <f>+IF(AVANCE[[#This Row],[TINA]]=X$2,100%,AVANCE[[#This Row],[TINA]])</f>
        <v>0</v>
      </c>
      <c r="BQ323" s="3">
        <f>+IF(AVANCE[[#This Row],[WC]]=Y$2,100%,AVANCE[[#This Row],[WC]])</f>
        <v>0</v>
      </c>
      <c r="BR323" s="3">
        <f>+IF(AVANCE[[#This Row],[LAVAMANOS / LAVAPLATOS / LAVADERO]]=Z$2,100%,AVANCE[[#This Row],[LAVAMANOS / LAVAPLATOS / LAVADERO]])</f>
        <v>0</v>
      </c>
      <c r="BS323" s="3">
        <f>+IF(AVANCE[[#This Row],[CANALIZACIÓN]]=AC$2,100%,AVANCE[[#This Row],[CANALIZACIÓN]])</f>
        <v>0</v>
      </c>
      <c r="BT323" s="3">
        <f>+IF(AVANCE[[#This Row],[CABLEADO]]=AD$2,100%,AVANCE[[#This Row],[CABLEADO]])</f>
        <v>0</v>
      </c>
      <c r="BU323" s="3">
        <f>+IF(AVANCE[[#This Row],[ARTEFACTOS]]=AE$2,100%,AVANCE[[#This Row],[ARTEFACTOS]])</f>
        <v>0</v>
      </c>
      <c r="BV323" s="3">
        <f>+IF(AVANCE[[#This Row],[TABLERO]]=AF$2,100%,AVANCE[[#This Row],[TABLERO]])</f>
        <v>0</v>
      </c>
      <c r="BW323" s="3">
        <f>+IF(AVANCE[[#This Row],[CAJA PAU]]=AG$2,100%,AVANCE[[#This Row],[CAJA PAU]])</f>
        <v>0</v>
      </c>
      <c r="BX323" s="3">
        <f>+IF(AVANCE[[#This Row],[INSTALACION VINILICO]]=AJ$2,100%,AVANCE[[#This Row],[INSTALACION VINILICO]])</f>
        <v>0</v>
      </c>
      <c r="BY323" s="3">
        <f>+IF(AVANCE[[#This Row],[OSB CUBIERTA]]=AK$2,100%,AVANCE[[#This Row],[OSB CUBIERTA]])</f>
        <v>0</v>
      </c>
      <c r="BZ323" s="3">
        <f>+IF(AVANCE[[#This Row],[BARANDA BALCON]]=AL$2,100%,AVANCE[[#This Row],[BARANDA BALCON]])</f>
        <v>0</v>
      </c>
      <c r="CA323" s="3">
        <f>+IF(AVANCE[[#This Row],[OSB EXTERIOR]]=AM$2,100%,AVANCE[[#This Row],[OSB EXTERIOR]])</f>
        <v>0</v>
      </c>
      <c r="CB323" s="3">
        <f>+IF(AVANCE[[#This Row],[SMART PANEL]]=AN$2,100%,AVANCE[[#This Row],[SMART PANEL]])</f>
        <v>0</v>
      </c>
      <c r="CC323" s="3">
        <f>+IF(AVANCE[[#This Row],[PINTURA EXTERIOR]]=AO$2,100%,AVANCE[[#This Row],[PINTURA EXTERIOR]])</f>
        <v>0</v>
      </c>
      <c r="CD323" s="3">
        <f>+IF(AVANCE[[#This Row],[ZOCALOS LOGIA]]=AP$2,100%,AVANCE[[#This Row],[ZOCALOS LOGIA]])</f>
        <v>0</v>
      </c>
      <c r="CE323" s="3">
        <f>+IF(AVANCE[[#This Row],[MOLDURAS]]=AQ$2,100%,AVANCE[[#This Row],[MOLDURAS]])</f>
        <v>0</v>
      </c>
      <c r="CF323" s="3">
        <f>+IF(AVANCE[[#This Row],[PILASTREO]]=AR$2,100%,AVANCE[[#This Row],[PILASTREO]])</f>
        <v>0</v>
      </c>
      <c r="CG323" s="3">
        <f>+IF(AVANCE[[#This Row],[CELOSIAS]]=AS$2,100%,AVANCE[[#This Row],[CELOSIAS]])</f>
        <v>0</v>
      </c>
      <c r="CH323" s="3">
        <f>+IF(AVANCE[[#This Row],[VENTANAS]]=AT$2,100%,AVANCE[[#This Row],[VENTANAS]])</f>
        <v>0</v>
      </c>
      <c r="CI323" s="3">
        <f>+IF(AVANCE[[#This Row],[PUERTAS ACCESO - LOGIA - BANO]]=AU$2,100%,AVANCE[[#This Row],[PUERTAS ACCESO - LOGIA - BANO]])</f>
        <v>0</v>
      </c>
      <c r="CJ323" s="3">
        <f>+IF(AVANCE[[#This Row],[CERRADURAS]]=AV$2,100%,AVANCE[[#This Row],[CERRADURAS]])</f>
        <v>0</v>
      </c>
      <c r="CK323" s="3">
        <f>+IF(AVANCE[[#This Row],[REVESTIMIENTO INTERIOR ZONA SECA]]=AW$2,100%,AVANCE[[#This Row],[REVESTIMIENTO INTERIOR ZONA SECA]])</f>
        <v>0</v>
      </c>
      <c r="CL323" s="3">
        <f>+IF(AVANCE[[#This Row],[REVESTIMIENTO INTERIOR ZONAS HUMEDAS]]=AX$2,100%,AVANCE[[#This Row],[REVESTIMIENTO INTERIOR ZONAS HUMEDAS]])</f>
        <v>0</v>
      </c>
      <c r="CM323" s="3">
        <f>+IF(AVANCE[[#This Row],[MEMBRANA CIELO]]=AY$2,100%,AVANCE[[#This Row],[MEMBRANA CIELO]])</f>
        <v>0</v>
      </c>
      <c r="CN323" s="3">
        <f>+IF(AVANCE[[#This Row],[LIMPIEZA FINAL]]=AZ$2,100%,AVANCE[[#This Row],[LIMPIEZA FINAL]])</f>
        <v>0</v>
      </c>
      <c r="CO323" s="3">
        <f>+IF(AVANCE[[#This Row],[PUERTAS DORMITORIO]]=BA$2,100%,AVANCE[[#This Row],[PUERTAS DORMITORIO]])</f>
        <v>0</v>
      </c>
      <c r="CP323" s="3">
        <f>+IF(AVANCE[[#This Row],[REVESTIMIENTO INTERIOR BANO]]=BB$2,100%,AVANCE[[#This Row],[REVESTIMIENTO INTERIOR BANO]])</f>
        <v>0</v>
      </c>
      <c r="CQ323" s="3">
        <f>+IF(AVANCE[[#This Row],[MUEBLE LAVAPLATOS]]=BC$2,100%,AVANCE[[#This Row],[MUEBLE LAVAPLATOS]])</f>
        <v>0</v>
      </c>
      <c r="CR323" s="3">
        <f>+IF(AVANCE[[#This Row],[IMPERMEABILIZACION BANO - COCINA LOGIA]]=BD$2,100%,AVANCE[[#This Row],[IMPERMEABILIZACION BANO - COCINA LOGIA]])</f>
        <v>0</v>
      </c>
      <c r="CS323" s="40">
        <f ca="1">+IF(AVANCE[[#This Row],[ESTADO MODULO]]="PENDIENTE",(TODAY()-AVANCE[[#This Row],[FECHA TERMINO  PLANIFICADO]]),0)</f>
        <v>0</v>
      </c>
      <c r="CT323" s="41" t="str" cm="1">
        <f t="array" ref="CT323">_xlfn.TEXTJOIN(" | ",TRUE,IF(SUMPRODUCT((BG323:CR323&lt;1)*(PARTIDAS!$I$2:$AT$2="OBRA GRUESA"))&gt;0,"OBRA GRUESA: "&amp;_xlfn.TEXTJOIN(", ",TRUE,IF((BG323:CR323&lt;1)*(PARTIDAS!$I$2:$AT$2="OBRA GRUESA"),PARTIDAS!$I$1:$AT$1,"")),""),IF(SUMPRODUCT((BG323:CR323&lt;1)*(PARTIDAS!$I$2:$AT$2="SANITARIOS"))&gt;0,"SANITARIOS: "&amp;_xlfn.TEXTJOIN(", ",TRUE,IF((BG323:CR323&lt;1)*(PARTIDAS!$I$2:$AT$2="SANITARIOS"),PARTIDAS!$I$1:$AT$1,"")),""),IF(SUMPRODUCT((BG323:CR323&lt;1)*(PARTIDAS!$I$2:$AT$2="ELÉCTRICO"))&gt;0,"ELÉCTRICO: "&amp;_xlfn.TEXTJOIN(", ",TRUE,IF((BG323:CR323&lt;1)*(PARTIDAS!$I$2:$AT$2="ELÉCTRICO"),PARTIDAS!$I$1:$AT$1,"")),""),IF(SUMPRODUCT((BG323:CR323&lt;1)*(PARTIDAS!$I$2:$AT$2="TERMINACIONES"))&gt;0,"TERMINACIONES: "&amp;_xlfn.TEXTJOIN(", ",TRUE,IF((BG323:CR323&lt;1)*(PARTIDAS!$I$2:$AT$2="TERMINACIONES"),PARTIDAS!$I$1:$AT$1,"")),""))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3" s="43" t="str" cm="1">
        <f t="array" ref="CU323">_xlfn.TEXTJOIN(", ",TRUE,IF(SUMPRODUCT((BG323:CR323&lt;1)*(PARTIDAS!$I$2:$AT$2="OBRA GRUESA"))&gt;0,"OBRA GRUESA",""),IF(SUMPRODUCT((BG323:CR323&lt;1)*(PARTIDAS!$I$2:$AT$2="SANITARIOS"))&gt;0,"SANITARIOS",""),IF(SUMPRODUCT((BG323:CR323&lt;1)*(PARTIDAS!$I$2:$AT$2="ELÉCTRICO"))&gt;0,"ELÉCTRICO",""),IF(SUMPRODUCT((BG323:CR323&lt;1)*(PARTIDAS!$I$2:$AT$2="TERMINACIONES"))&gt;0,"TERMINACIONES",""))</f>
        <v>OBRA GRUESA, SANITARIOS, ELÉCTRICO, TERMINACIONES</v>
      </c>
      <c r="CV323" s="44" cm="1">
        <f t="array" ref="CV323">SUMPRODUCT(--(BG323:CR323&lt;1))</f>
        <v>38</v>
      </c>
    </row>
    <row r="324" spans="1:100" hidden="1" x14ac:dyDescent="0.25">
      <c r="A324" t="s">
        <v>388</v>
      </c>
      <c r="B324" t="s">
        <v>391</v>
      </c>
      <c r="C324">
        <v>2302600323</v>
      </c>
      <c r="D324" t="s">
        <v>60</v>
      </c>
      <c r="E324" s="2">
        <v>0</v>
      </c>
      <c r="F324" s="1">
        <v>46303</v>
      </c>
      <c r="G324" s="1"/>
      <c r="H324" s="1">
        <v>0</v>
      </c>
      <c r="I324" s="1">
        <v>46333</v>
      </c>
      <c r="J324">
        <v>46230</v>
      </c>
      <c r="K324" s="1"/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>
        <v>31.32</v>
      </c>
      <c r="BF324" s="3" t="str">
        <f>+IF(AVANCE[[#This Row],[% AVANCE]]=100%,"MODULO TERMINADO",IF(AVANCE[[#This Row],[FECHA INICIO REAL]]="","MODULO NO INICIADO","PENDIENTE"))</f>
        <v>MODULO NO INICIADO</v>
      </c>
      <c r="BG324" s="3">
        <f>+IF(AVANCE[[#This Row],[VENTANAS]]=8.10810810810811%,100%,AVANCE[[#This Row],[VENTANAS]])</f>
        <v>0</v>
      </c>
      <c r="BH324" s="3">
        <f>+IF(AVANCE[[#This Row],[PISO]]=N$2,100%,AVANCE[[#This Row],[PISO]])</f>
        <v>0</v>
      </c>
      <c r="BI324" s="3">
        <f>+IF(AVANCE[[#This Row],[TABIQUES]]=O$2,100%,AVANCE[[#This Row],[TABIQUES]])</f>
        <v>0</v>
      </c>
      <c r="BJ324" s="3">
        <f>+IF(AVANCE[[#This Row],[MUROS]]=P$2,100%,AVANCE[[#This Row],[MUROS]])</f>
        <v>0</v>
      </c>
      <c r="BK324" s="3">
        <f>+IF(AVANCE[[#This Row],[CIELO]]=Q$2,100%,AVANCE[[#This Row],[CIELO]])</f>
        <v>0</v>
      </c>
      <c r="BL324" s="3">
        <f>+IF(AVANCE[[#This Row],[BALCÓN]]=R$2,100%,AVANCE[[#This Row],[BALCÓN]])</f>
        <v>0</v>
      </c>
      <c r="BM324" s="3">
        <f>+IF(AVANCE[[#This Row],[RED ALCANTARILLADO]]=U$2,100%,AVANCE[[#This Row],[RED ALCANTARILLADO]])</f>
        <v>0</v>
      </c>
      <c r="BN324" s="3">
        <f>+IF(AVANCE[[#This Row],[RED DE AGUA]]=V$2,100%,AVANCE[[#This Row],[RED DE AGUA]])</f>
        <v>0</v>
      </c>
      <c r="BO324" s="3">
        <f>+IF(AVANCE[[#This Row],[VENTILACIONES]]=W$2,100%,AVANCE[[#This Row],[VENTILACIONES]])</f>
        <v>0</v>
      </c>
      <c r="BP324" s="3">
        <f>+IF(AVANCE[[#This Row],[TINA]]=X$2,100%,AVANCE[[#This Row],[TINA]])</f>
        <v>0</v>
      </c>
      <c r="BQ324" s="3">
        <f>+IF(AVANCE[[#This Row],[WC]]=Y$2,100%,AVANCE[[#This Row],[WC]])</f>
        <v>0</v>
      </c>
      <c r="BR324" s="3">
        <f>+IF(AVANCE[[#This Row],[LAVAMANOS / LAVAPLATOS / LAVADERO]]=Z$2,100%,AVANCE[[#This Row],[LAVAMANOS / LAVAPLATOS / LAVADERO]])</f>
        <v>0</v>
      </c>
      <c r="BS324" s="3">
        <f>+IF(AVANCE[[#This Row],[CANALIZACIÓN]]=AC$2,100%,AVANCE[[#This Row],[CANALIZACIÓN]])</f>
        <v>0</v>
      </c>
      <c r="BT324" s="3">
        <f>+IF(AVANCE[[#This Row],[CABLEADO]]=AD$2,100%,AVANCE[[#This Row],[CABLEADO]])</f>
        <v>0</v>
      </c>
      <c r="BU324" s="3">
        <f>+IF(AVANCE[[#This Row],[ARTEFACTOS]]=AE$2,100%,AVANCE[[#This Row],[ARTEFACTOS]])</f>
        <v>0</v>
      </c>
      <c r="BV324" s="3">
        <f>+IF(AVANCE[[#This Row],[TABLERO]]=AF$2,100%,AVANCE[[#This Row],[TABLERO]])</f>
        <v>0</v>
      </c>
      <c r="BW324" s="3">
        <f>+IF(AVANCE[[#This Row],[CAJA PAU]]=AG$2,100%,AVANCE[[#This Row],[CAJA PAU]])</f>
        <v>0</v>
      </c>
      <c r="BX324" s="3">
        <f>+IF(AVANCE[[#This Row],[INSTALACION VINILICO]]=AJ$2,100%,AVANCE[[#This Row],[INSTALACION VINILICO]])</f>
        <v>0</v>
      </c>
      <c r="BY324" s="3">
        <f>+IF(AVANCE[[#This Row],[OSB CUBIERTA]]=AK$2,100%,AVANCE[[#This Row],[OSB CUBIERTA]])</f>
        <v>0</v>
      </c>
      <c r="BZ324" s="3">
        <f>+IF(AVANCE[[#This Row],[BARANDA BALCON]]=AL$2,100%,AVANCE[[#This Row],[BARANDA BALCON]])</f>
        <v>0</v>
      </c>
      <c r="CA324" s="3">
        <f>+IF(AVANCE[[#This Row],[OSB EXTERIOR]]=AM$2,100%,AVANCE[[#This Row],[OSB EXTERIOR]])</f>
        <v>0</v>
      </c>
      <c r="CB324" s="3">
        <f>+IF(AVANCE[[#This Row],[SMART PANEL]]=AN$2,100%,AVANCE[[#This Row],[SMART PANEL]])</f>
        <v>0</v>
      </c>
      <c r="CC324" s="3">
        <f>+IF(AVANCE[[#This Row],[PINTURA EXTERIOR]]=AO$2,100%,AVANCE[[#This Row],[PINTURA EXTERIOR]])</f>
        <v>0</v>
      </c>
      <c r="CD324" s="3">
        <f>+IF(AVANCE[[#This Row],[ZOCALOS LOGIA]]=AP$2,100%,AVANCE[[#This Row],[ZOCALOS LOGIA]])</f>
        <v>0</v>
      </c>
      <c r="CE324" s="3">
        <f>+IF(AVANCE[[#This Row],[MOLDURAS]]=AQ$2,100%,AVANCE[[#This Row],[MOLDURAS]])</f>
        <v>0</v>
      </c>
      <c r="CF324" s="3">
        <f>+IF(AVANCE[[#This Row],[PILASTREO]]=AR$2,100%,AVANCE[[#This Row],[PILASTREO]])</f>
        <v>0</v>
      </c>
      <c r="CG324" s="3">
        <f>+IF(AVANCE[[#This Row],[CELOSIAS]]=AS$2,100%,AVANCE[[#This Row],[CELOSIAS]])</f>
        <v>0</v>
      </c>
      <c r="CH324" s="3">
        <f>+IF(AVANCE[[#This Row],[VENTANAS]]=AT$2,100%,AVANCE[[#This Row],[VENTANAS]])</f>
        <v>0</v>
      </c>
      <c r="CI324" s="3">
        <f>+IF(AVANCE[[#This Row],[PUERTAS ACCESO - LOGIA - BANO]]=AU$2,100%,AVANCE[[#This Row],[PUERTAS ACCESO - LOGIA - BANO]])</f>
        <v>0</v>
      </c>
      <c r="CJ324" s="3">
        <f>+IF(AVANCE[[#This Row],[CERRADURAS]]=AV$2,100%,AVANCE[[#This Row],[CERRADURAS]])</f>
        <v>0</v>
      </c>
      <c r="CK324" s="3">
        <f>+IF(AVANCE[[#This Row],[REVESTIMIENTO INTERIOR ZONA SECA]]=AW$2,100%,AVANCE[[#This Row],[REVESTIMIENTO INTERIOR ZONA SECA]])</f>
        <v>0</v>
      </c>
      <c r="CL324" s="3">
        <f>+IF(AVANCE[[#This Row],[REVESTIMIENTO INTERIOR ZONAS HUMEDAS]]=AX$2,100%,AVANCE[[#This Row],[REVESTIMIENTO INTERIOR ZONAS HUMEDAS]])</f>
        <v>0</v>
      </c>
      <c r="CM324" s="3">
        <f>+IF(AVANCE[[#This Row],[MEMBRANA CIELO]]=AY$2,100%,AVANCE[[#This Row],[MEMBRANA CIELO]])</f>
        <v>0</v>
      </c>
      <c r="CN324" s="3">
        <f>+IF(AVANCE[[#This Row],[LIMPIEZA FINAL]]=AZ$2,100%,AVANCE[[#This Row],[LIMPIEZA FINAL]])</f>
        <v>0</v>
      </c>
      <c r="CO324" s="3">
        <f>+IF(AVANCE[[#This Row],[PUERTAS DORMITORIO]]=BA$2,100%,AVANCE[[#This Row],[PUERTAS DORMITORIO]])</f>
        <v>0</v>
      </c>
      <c r="CP324" s="3">
        <f>+IF(AVANCE[[#This Row],[REVESTIMIENTO INTERIOR BANO]]=BB$2,100%,AVANCE[[#This Row],[REVESTIMIENTO INTERIOR BANO]])</f>
        <v>0</v>
      </c>
      <c r="CQ324" s="3">
        <f>+IF(AVANCE[[#This Row],[MUEBLE LAVAPLATOS]]=BC$2,100%,AVANCE[[#This Row],[MUEBLE LAVAPLATOS]])</f>
        <v>0</v>
      </c>
      <c r="CR324" s="3">
        <f>+IF(AVANCE[[#This Row],[IMPERMEABILIZACION BANO - COCINA LOGIA]]=BD$2,100%,AVANCE[[#This Row],[IMPERMEABILIZACION BANO - COCINA LOGIA]])</f>
        <v>0</v>
      </c>
      <c r="CS324" s="40">
        <f ca="1">+IF(AVANCE[[#This Row],[ESTADO MODULO]]="PENDIENTE",(TODAY()-AVANCE[[#This Row],[FECHA TERMINO  PLANIFICADO]]),0)</f>
        <v>0</v>
      </c>
      <c r="CT324" s="41" t="str" cm="1">
        <f t="array" ref="CT324">_xlfn.TEXTJOIN(" | ",TRUE,IF(SUMPRODUCT((BG324:CR324&lt;1)*(PARTIDAS!$I$2:$AT$2="OBRA GRUESA"))&gt;0,"OBRA GRUESA: "&amp;_xlfn.TEXTJOIN(", ",TRUE,IF((BG324:CR324&lt;1)*(PARTIDAS!$I$2:$AT$2="OBRA GRUESA"),PARTIDAS!$I$1:$AT$1,"")),""),IF(SUMPRODUCT((BG324:CR324&lt;1)*(PARTIDAS!$I$2:$AT$2="SANITARIOS"))&gt;0,"SANITARIOS: "&amp;_xlfn.TEXTJOIN(", ",TRUE,IF((BG324:CR324&lt;1)*(PARTIDAS!$I$2:$AT$2="SANITARIOS"),PARTIDAS!$I$1:$AT$1,"")),""),IF(SUMPRODUCT((BG324:CR324&lt;1)*(PARTIDAS!$I$2:$AT$2="ELÉCTRICO"))&gt;0,"ELÉCTRICO: "&amp;_xlfn.TEXTJOIN(", ",TRUE,IF((BG324:CR324&lt;1)*(PARTIDAS!$I$2:$AT$2="ELÉCTRICO"),PARTIDAS!$I$1:$AT$1,"")),""),IF(SUMPRODUCT((BG324:CR324&lt;1)*(PARTIDAS!$I$2:$AT$2="TERMINACIONES"))&gt;0,"TERMINACIONES: "&amp;_xlfn.TEXTJOIN(", ",TRUE,IF((BG324:CR324&lt;1)*(PARTIDAS!$I$2:$AT$2="TERMINACIONES"),PARTIDAS!$I$1:$AT$1,"")),""))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4" s="43" t="str" cm="1">
        <f t="array" ref="CU324">_xlfn.TEXTJOIN(", ",TRUE,IF(SUMPRODUCT((BG324:CR324&lt;1)*(PARTIDAS!$I$2:$AT$2="OBRA GRUESA"))&gt;0,"OBRA GRUESA",""),IF(SUMPRODUCT((BG324:CR324&lt;1)*(PARTIDAS!$I$2:$AT$2="SANITARIOS"))&gt;0,"SANITARIOS",""),IF(SUMPRODUCT((BG324:CR324&lt;1)*(PARTIDAS!$I$2:$AT$2="ELÉCTRICO"))&gt;0,"ELÉCTRICO",""),IF(SUMPRODUCT((BG324:CR324&lt;1)*(PARTIDAS!$I$2:$AT$2="TERMINACIONES"))&gt;0,"TERMINACIONES",""))</f>
        <v>OBRA GRUESA, SANITARIOS, ELÉCTRICO, TERMINACIONES</v>
      </c>
      <c r="CV324" s="44" cm="1">
        <f t="array" ref="CV324">SUMPRODUCT(--(BG324:CR324&lt;1))</f>
        <v>38</v>
      </c>
    </row>
    <row r="325" spans="1:100" hidden="1" x14ac:dyDescent="0.25">
      <c r="A325" t="s">
        <v>388</v>
      </c>
      <c r="B325" t="s">
        <v>392</v>
      </c>
      <c r="C325">
        <v>2282600324</v>
      </c>
      <c r="D325" t="s">
        <v>58</v>
      </c>
      <c r="E325" s="2">
        <v>0</v>
      </c>
      <c r="F325" s="1">
        <v>46303</v>
      </c>
      <c r="G325" s="1"/>
      <c r="H325" s="1">
        <v>0</v>
      </c>
      <c r="I325" s="1">
        <v>46323</v>
      </c>
      <c r="J325">
        <v>46230</v>
      </c>
      <c r="K325" s="1"/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>
        <v>28.87</v>
      </c>
      <c r="BF325" s="3" t="str">
        <f>+IF(AVANCE[[#This Row],[% AVANCE]]=100%,"MODULO TERMINADO",IF(AVANCE[[#This Row],[FECHA INICIO REAL]]="","MODULO NO INICIADO","PENDIENTE"))</f>
        <v>MODULO NO INICIADO</v>
      </c>
      <c r="BG325" s="3">
        <f>+IF(AVANCE[[#This Row],[VENTANAS]]=8.10810810810811%,100%,AVANCE[[#This Row],[VENTANAS]])</f>
        <v>0</v>
      </c>
      <c r="BH325" s="3">
        <f>+IF(AVANCE[[#This Row],[PISO]]=N$2,100%,AVANCE[[#This Row],[PISO]])</f>
        <v>0</v>
      </c>
      <c r="BI325" s="3">
        <f>+IF(AVANCE[[#This Row],[TABIQUES]]=O$2,100%,AVANCE[[#This Row],[TABIQUES]])</f>
        <v>0</v>
      </c>
      <c r="BJ325" s="3">
        <f>+IF(AVANCE[[#This Row],[MUROS]]=P$2,100%,AVANCE[[#This Row],[MUROS]])</f>
        <v>0</v>
      </c>
      <c r="BK325" s="3">
        <f>+IF(AVANCE[[#This Row],[CIELO]]=Q$2,100%,AVANCE[[#This Row],[CIELO]])</f>
        <v>0</v>
      </c>
      <c r="BL325" s="3">
        <f>+IF(AVANCE[[#This Row],[BALCÓN]]=R$2,100%,AVANCE[[#This Row],[BALCÓN]])</f>
        <v>0</v>
      </c>
      <c r="BM325" s="3">
        <f>+IF(AVANCE[[#This Row],[RED ALCANTARILLADO]]=U$2,100%,AVANCE[[#This Row],[RED ALCANTARILLADO]])</f>
        <v>0</v>
      </c>
      <c r="BN325" s="3">
        <f>+IF(AVANCE[[#This Row],[RED DE AGUA]]=V$2,100%,AVANCE[[#This Row],[RED DE AGUA]])</f>
        <v>0</v>
      </c>
      <c r="BO325" s="3">
        <f>+IF(AVANCE[[#This Row],[VENTILACIONES]]=W$2,100%,AVANCE[[#This Row],[VENTILACIONES]])</f>
        <v>0</v>
      </c>
      <c r="BP325" s="3">
        <f>+IF(AVANCE[[#This Row],[TINA]]=X$2,100%,AVANCE[[#This Row],[TINA]])</f>
        <v>0</v>
      </c>
      <c r="BQ325" s="3">
        <f>+IF(AVANCE[[#This Row],[WC]]=Y$2,100%,AVANCE[[#This Row],[WC]])</f>
        <v>0</v>
      </c>
      <c r="BR325" s="3">
        <f>+IF(AVANCE[[#This Row],[LAVAMANOS / LAVAPLATOS / LAVADERO]]=Z$2,100%,AVANCE[[#This Row],[LAVAMANOS / LAVAPLATOS / LAVADERO]])</f>
        <v>0</v>
      </c>
      <c r="BS325" s="3">
        <f>+IF(AVANCE[[#This Row],[CANALIZACIÓN]]=AC$2,100%,AVANCE[[#This Row],[CANALIZACIÓN]])</f>
        <v>0</v>
      </c>
      <c r="BT325" s="3">
        <f>+IF(AVANCE[[#This Row],[CABLEADO]]=AD$2,100%,AVANCE[[#This Row],[CABLEADO]])</f>
        <v>0</v>
      </c>
      <c r="BU325" s="3">
        <f>+IF(AVANCE[[#This Row],[ARTEFACTOS]]=AE$2,100%,AVANCE[[#This Row],[ARTEFACTOS]])</f>
        <v>0</v>
      </c>
      <c r="BV325" s="3">
        <f>+IF(AVANCE[[#This Row],[TABLERO]]=AF$2,100%,AVANCE[[#This Row],[TABLERO]])</f>
        <v>0</v>
      </c>
      <c r="BW325" s="3">
        <f>+IF(AVANCE[[#This Row],[CAJA PAU]]=AG$2,100%,AVANCE[[#This Row],[CAJA PAU]])</f>
        <v>0</v>
      </c>
      <c r="BX325" s="3">
        <f>+IF(AVANCE[[#This Row],[INSTALACION VINILICO]]=AJ$2,100%,AVANCE[[#This Row],[INSTALACION VINILICO]])</f>
        <v>0</v>
      </c>
      <c r="BY325" s="3">
        <f>+IF(AVANCE[[#This Row],[OSB CUBIERTA]]=AK$2,100%,AVANCE[[#This Row],[OSB CUBIERTA]])</f>
        <v>0</v>
      </c>
      <c r="BZ325" s="3">
        <f>+IF(AVANCE[[#This Row],[BARANDA BALCON]]=AL$2,100%,AVANCE[[#This Row],[BARANDA BALCON]])</f>
        <v>0</v>
      </c>
      <c r="CA325" s="3">
        <f>+IF(AVANCE[[#This Row],[OSB EXTERIOR]]=AM$2,100%,AVANCE[[#This Row],[OSB EXTERIOR]])</f>
        <v>0</v>
      </c>
      <c r="CB325" s="3">
        <f>+IF(AVANCE[[#This Row],[SMART PANEL]]=AN$2,100%,AVANCE[[#This Row],[SMART PANEL]])</f>
        <v>0</v>
      </c>
      <c r="CC325" s="3">
        <f>+IF(AVANCE[[#This Row],[PINTURA EXTERIOR]]=AO$2,100%,AVANCE[[#This Row],[PINTURA EXTERIOR]])</f>
        <v>0</v>
      </c>
      <c r="CD325" s="3">
        <f>+IF(AVANCE[[#This Row],[ZOCALOS LOGIA]]=AP$2,100%,AVANCE[[#This Row],[ZOCALOS LOGIA]])</f>
        <v>0</v>
      </c>
      <c r="CE325" s="3">
        <f>+IF(AVANCE[[#This Row],[MOLDURAS]]=AQ$2,100%,AVANCE[[#This Row],[MOLDURAS]])</f>
        <v>0</v>
      </c>
      <c r="CF325" s="3">
        <f>+IF(AVANCE[[#This Row],[PILASTREO]]=AR$2,100%,AVANCE[[#This Row],[PILASTREO]])</f>
        <v>0</v>
      </c>
      <c r="CG325" s="3">
        <f>+IF(AVANCE[[#This Row],[CELOSIAS]]=AS$2,100%,AVANCE[[#This Row],[CELOSIAS]])</f>
        <v>0</v>
      </c>
      <c r="CH325" s="3">
        <f>+IF(AVANCE[[#This Row],[VENTANAS]]=AT$2,100%,AVANCE[[#This Row],[VENTANAS]])</f>
        <v>0</v>
      </c>
      <c r="CI325" s="3">
        <f>+IF(AVANCE[[#This Row],[PUERTAS ACCESO - LOGIA - BANO]]=AU$2,100%,AVANCE[[#This Row],[PUERTAS ACCESO - LOGIA - BANO]])</f>
        <v>0</v>
      </c>
      <c r="CJ325" s="3">
        <f>+IF(AVANCE[[#This Row],[CERRADURAS]]=AV$2,100%,AVANCE[[#This Row],[CERRADURAS]])</f>
        <v>0</v>
      </c>
      <c r="CK325" s="3">
        <f>+IF(AVANCE[[#This Row],[REVESTIMIENTO INTERIOR ZONA SECA]]=AW$2,100%,AVANCE[[#This Row],[REVESTIMIENTO INTERIOR ZONA SECA]])</f>
        <v>0</v>
      </c>
      <c r="CL325" s="3">
        <f>+IF(AVANCE[[#This Row],[REVESTIMIENTO INTERIOR ZONAS HUMEDAS]]=AX$2,100%,AVANCE[[#This Row],[REVESTIMIENTO INTERIOR ZONAS HUMEDAS]])</f>
        <v>0</v>
      </c>
      <c r="CM325" s="3">
        <f>+IF(AVANCE[[#This Row],[MEMBRANA CIELO]]=AY$2,100%,AVANCE[[#This Row],[MEMBRANA CIELO]])</f>
        <v>0</v>
      </c>
      <c r="CN325" s="3">
        <f>+IF(AVANCE[[#This Row],[LIMPIEZA FINAL]]=AZ$2,100%,AVANCE[[#This Row],[LIMPIEZA FINAL]])</f>
        <v>0</v>
      </c>
      <c r="CO325" s="3">
        <f>+IF(AVANCE[[#This Row],[PUERTAS DORMITORIO]]=BA$2,100%,AVANCE[[#This Row],[PUERTAS DORMITORIO]])</f>
        <v>0</v>
      </c>
      <c r="CP325" s="3">
        <f>+IF(AVANCE[[#This Row],[REVESTIMIENTO INTERIOR BANO]]=BB$2,100%,AVANCE[[#This Row],[REVESTIMIENTO INTERIOR BANO]])</f>
        <v>0</v>
      </c>
      <c r="CQ325" s="3">
        <f>+IF(AVANCE[[#This Row],[MUEBLE LAVAPLATOS]]=BC$2,100%,AVANCE[[#This Row],[MUEBLE LAVAPLATOS]])</f>
        <v>0</v>
      </c>
      <c r="CR325" s="3">
        <f>+IF(AVANCE[[#This Row],[IMPERMEABILIZACION BANO - COCINA LOGIA]]=BD$2,100%,AVANCE[[#This Row],[IMPERMEABILIZACION BANO - COCINA LOGIA]])</f>
        <v>0</v>
      </c>
      <c r="CS325" s="40">
        <f ca="1">+IF(AVANCE[[#This Row],[ESTADO MODULO]]="PENDIENTE",(TODAY()-AVANCE[[#This Row],[FECHA TERMINO  PLANIFICADO]]),0)</f>
        <v>0</v>
      </c>
      <c r="CT325" s="41" t="str" cm="1">
        <f t="array" ref="CT325">_xlfn.TEXTJOIN(" | ",TRUE,IF(SUMPRODUCT((BG325:CR325&lt;1)*(PARTIDAS!$I$2:$AT$2="OBRA GRUESA"))&gt;0,"OBRA GRUESA: "&amp;_xlfn.TEXTJOIN(", ",TRUE,IF((BG325:CR325&lt;1)*(PARTIDAS!$I$2:$AT$2="OBRA GRUESA"),PARTIDAS!$I$1:$AT$1,"")),""),IF(SUMPRODUCT((BG325:CR325&lt;1)*(PARTIDAS!$I$2:$AT$2="SANITARIOS"))&gt;0,"SANITARIOS: "&amp;_xlfn.TEXTJOIN(", ",TRUE,IF((BG325:CR325&lt;1)*(PARTIDAS!$I$2:$AT$2="SANITARIOS"),PARTIDAS!$I$1:$AT$1,"")),""),IF(SUMPRODUCT((BG325:CR325&lt;1)*(PARTIDAS!$I$2:$AT$2="ELÉCTRICO"))&gt;0,"ELÉCTRICO: "&amp;_xlfn.TEXTJOIN(", ",TRUE,IF((BG325:CR325&lt;1)*(PARTIDAS!$I$2:$AT$2="ELÉCTRICO"),PARTIDAS!$I$1:$AT$1,"")),""),IF(SUMPRODUCT((BG325:CR325&lt;1)*(PARTIDAS!$I$2:$AT$2="TERMINACIONES"))&gt;0,"TERMINACIONES: "&amp;_xlfn.TEXTJOIN(", ",TRUE,IF((BG325:CR325&lt;1)*(PARTIDAS!$I$2:$AT$2="TERMINACIONES"),PARTIDAS!$I$1:$AT$1,"")),""))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5" s="43" t="str" cm="1">
        <f t="array" ref="CU325">_xlfn.TEXTJOIN(", ",TRUE,IF(SUMPRODUCT((BG325:CR325&lt;1)*(PARTIDAS!$I$2:$AT$2="OBRA GRUESA"))&gt;0,"OBRA GRUESA",""),IF(SUMPRODUCT((BG325:CR325&lt;1)*(PARTIDAS!$I$2:$AT$2="SANITARIOS"))&gt;0,"SANITARIOS",""),IF(SUMPRODUCT((BG325:CR325&lt;1)*(PARTIDAS!$I$2:$AT$2="ELÉCTRICO"))&gt;0,"ELÉCTRICO",""),IF(SUMPRODUCT((BG325:CR325&lt;1)*(PARTIDAS!$I$2:$AT$2="TERMINACIONES"))&gt;0,"TERMINACIONES",""))</f>
        <v>OBRA GRUESA, SANITARIOS, ELÉCTRICO, TERMINACIONES</v>
      </c>
      <c r="CV325" s="44" cm="1">
        <f t="array" ref="CV325">SUMPRODUCT(--(BG325:CR325&lt;1))</f>
        <v>38</v>
      </c>
    </row>
    <row r="326" spans="1:100" hidden="1" x14ac:dyDescent="0.25">
      <c r="A326" t="s">
        <v>388</v>
      </c>
      <c r="B326" t="s">
        <v>393</v>
      </c>
      <c r="C326">
        <v>2282600325</v>
      </c>
      <c r="D326" t="s">
        <v>58</v>
      </c>
      <c r="E326" s="2">
        <v>0</v>
      </c>
      <c r="F326" s="1">
        <v>46303</v>
      </c>
      <c r="G326" s="1"/>
      <c r="H326" s="1">
        <v>0</v>
      </c>
      <c r="I326" s="1">
        <v>46323</v>
      </c>
      <c r="J326">
        <v>46230</v>
      </c>
      <c r="K326" s="1"/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>
        <v>28.87</v>
      </c>
      <c r="BF326" s="3" t="str">
        <f>+IF(AVANCE[[#This Row],[% AVANCE]]=100%,"MODULO TERMINADO",IF(AVANCE[[#This Row],[FECHA INICIO REAL]]="","MODULO NO INICIADO","PENDIENTE"))</f>
        <v>MODULO NO INICIADO</v>
      </c>
      <c r="BG326" s="3">
        <f>+IF(AVANCE[[#This Row],[VENTANAS]]=8.10810810810811%,100%,AVANCE[[#This Row],[VENTANAS]])</f>
        <v>0</v>
      </c>
      <c r="BH326" s="3">
        <f>+IF(AVANCE[[#This Row],[PISO]]=N$2,100%,AVANCE[[#This Row],[PISO]])</f>
        <v>0</v>
      </c>
      <c r="BI326" s="3">
        <f>+IF(AVANCE[[#This Row],[TABIQUES]]=O$2,100%,AVANCE[[#This Row],[TABIQUES]])</f>
        <v>0</v>
      </c>
      <c r="BJ326" s="3">
        <f>+IF(AVANCE[[#This Row],[MUROS]]=P$2,100%,AVANCE[[#This Row],[MUROS]])</f>
        <v>0</v>
      </c>
      <c r="BK326" s="3">
        <f>+IF(AVANCE[[#This Row],[CIELO]]=Q$2,100%,AVANCE[[#This Row],[CIELO]])</f>
        <v>0</v>
      </c>
      <c r="BL326" s="3">
        <f>+IF(AVANCE[[#This Row],[BALCÓN]]=R$2,100%,AVANCE[[#This Row],[BALCÓN]])</f>
        <v>0</v>
      </c>
      <c r="BM326" s="3">
        <f>+IF(AVANCE[[#This Row],[RED ALCANTARILLADO]]=U$2,100%,AVANCE[[#This Row],[RED ALCANTARILLADO]])</f>
        <v>0</v>
      </c>
      <c r="BN326" s="3">
        <f>+IF(AVANCE[[#This Row],[RED DE AGUA]]=V$2,100%,AVANCE[[#This Row],[RED DE AGUA]])</f>
        <v>0</v>
      </c>
      <c r="BO326" s="3">
        <f>+IF(AVANCE[[#This Row],[VENTILACIONES]]=W$2,100%,AVANCE[[#This Row],[VENTILACIONES]])</f>
        <v>0</v>
      </c>
      <c r="BP326" s="3">
        <f>+IF(AVANCE[[#This Row],[TINA]]=X$2,100%,AVANCE[[#This Row],[TINA]])</f>
        <v>0</v>
      </c>
      <c r="BQ326" s="3">
        <f>+IF(AVANCE[[#This Row],[WC]]=Y$2,100%,AVANCE[[#This Row],[WC]])</f>
        <v>0</v>
      </c>
      <c r="BR326" s="3">
        <f>+IF(AVANCE[[#This Row],[LAVAMANOS / LAVAPLATOS / LAVADERO]]=Z$2,100%,AVANCE[[#This Row],[LAVAMANOS / LAVAPLATOS / LAVADERO]])</f>
        <v>0</v>
      </c>
      <c r="BS326" s="3">
        <f>+IF(AVANCE[[#This Row],[CANALIZACIÓN]]=AC$2,100%,AVANCE[[#This Row],[CANALIZACIÓN]])</f>
        <v>0</v>
      </c>
      <c r="BT326" s="3">
        <f>+IF(AVANCE[[#This Row],[CABLEADO]]=AD$2,100%,AVANCE[[#This Row],[CABLEADO]])</f>
        <v>0</v>
      </c>
      <c r="BU326" s="3">
        <f>+IF(AVANCE[[#This Row],[ARTEFACTOS]]=AE$2,100%,AVANCE[[#This Row],[ARTEFACTOS]])</f>
        <v>0</v>
      </c>
      <c r="BV326" s="3">
        <f>+IF(AVANCE[[#This Row],[TABLERO]]=AF$2,100%,AVANCE[[#This Row],[TABLERO]])</f>
        <v>0</v>
      </c>
      <c r="BW326" s="3">
        <f>+IF(AVANCE[[#This Row],[CAJA PAU]]=AG$2,100%,AVANCE[[#This Row],[CAJA PAU]])</f>
        <v>0</v>
      </c>
      <c r="BX326" s="3">
        <f>+IF(AVANCE[[#This Row],[INSTALACION VINILICO]]=AJ$2,100%,AVANCE[[#This Row],[INSTALACION VINILICO]])</f>
        <v>0</v>
      </c>
      <c r="BY326" s="3">
        <f>+IF(AVANCE[[#This Row],[OSB CUBIERTA]]=AK$2,100%,AVANCE[[#This Row],[OSB CUBIERTA]])</f>
        <v>0</v>
      </c>
      <c r="BZ326" s="3">
        <f>+IF(AVANCE[[#This Row],[BARANDA BALCON]]=AL$2,100%,AVANCE[[#This Row],[BARANDA BALCON]])</f>
        <v>0</v>
      </c>
      <c r="CA326" s="3">
        <f>+IF(AVANCE[[#This Row],[OSB EXTERIOR]]=AM$2,100%,AVANCE[[#This Row],[OSB EXTERIOR]])</f>
        <v>0</v>
      </c>
      <c r="CB326" s="3">
        <f>+IF(AVANCE[[#This Row],[SMART PANEL]]=AN$2,100%,AVANCE[[#This Row],[SMART PANEL]])</f>
        <v>0</v>
      </c>
      <c r="CC326" s="3">
        <f>+IF(AVANCE[[#This Row],[PINTURA EXTERIOR]]=AO$2,100%,AVANCE[[#This Row],[PINTURA EXTERIOR]])</f>
        <v>0</v>
      </c>
      <c r="CD326" s="3">
        <f>+IF(AVANCE[[#This Row],[ZOCALOS LOGIA]]=AP$2,100%,AVANCE[[#This Row],[ZOCALOS LOGIA]])</f>
        <v>0</v>
      </c>
      <c r="CE326" s="3">
        <f>+IF(AVANCE[[#This Row],[MOLDURAS]]=AQ$2,100%,AVANCE[[#This Row],[MOLDURAS]])</f>
        <v>0</v>
      </c>
      <c r="CF326" s="3">
        <f>+IF(AVANCE[[#This Row],[PILASTREO]]=AR$2,100%,AVANCE[[#This Row],[PILASTREO]])</f>
        <v>0</v>
      </c>
      <c r="CG326" s="3">
        <f>+IF(AVANCE[[#This Row],[CELOSIAS]]=AS$2,100%,AVANCE[[#This Row],[CELOSIAS]])</f>
        <v>0</v>
      </c>
      <c r="CH326" s="3">
        <f>+IF(AVANCE[[#This Row],[VENTANAS]]=AT$2,100%,AVANCE[[#This Row],[VENTANAS]])</f>
        <v>0</v>
      </c>
      <c r="CI326" s="3">
        <f>+IF(AVANCE[[#This Row],[PUERTAS ACCESO - LOGIA - BANO]]=AU$2,100%,AVANCE[[#This Row],[PUERTAS ACCESO - LOGIA - BANO]])</f>
        <v>0</v>
      </c>
      <c r="CJ326" s="3">
        <f>+IF(AVANCE[[#This Row],[CERRADURAS]]=AV$2,100%,AVANCE[[#This Row],[CERRADURAS]])</f>
        <v>0</v>
      </c>
      <c r="CK326" s="3">
        <f>+IF(AVANCE[[#This Row],[REVESTIMIENTO INTERIOR ZONA SECA]]=AW$2,100%,AVANCE[[#This Row],[REVESTIMIENTO INTERIOR ZONA SECA]])</f>
        <v>0</v>
      </c>
      <c r="CL326" s="3">
        <f>+IF(AVANCE[[#This Row],[REVESTIMIENTO INTERIOR ZONAS HUMEDAS]]=AX$2,100%,AVANCE[[#This Row],[REVESTIMIENTO INTERIOR ZONAS HUMEDAS]])</f>
        <v>0</v>
      </c>
      <c r="CM326" s="3">
        <f>+IF(AVANCE[[#This Row],[MEMBRANA CIELO]]=AY$2,100%,AVANCE[[#This Row],[MEMBRANA CIELO]])</f>
        <v>0</v>
      </c>
      <c r="CN326" s="3">
        <f>+IF(AVANCE[[#This Row],[LIMPIEZA FINAL]]=AZ$2,100%,AVANCE[[#This Row],[LIMPIEZA FINAL]])</f>
        <v>0</v>
      </c>
      <c r="CO326" s="3">
        <f>+IF(AVANCE[[#This Row],[PUERTAS DORMITORIO]]=BA$2,100%,AVANCE[[#This Row],[PUERTAS DORMITORIO]])</f>
        <v>0</v>
      </c>
      <c r="CP326" s="3">
        <f>+IF(AVANCE[[#This Row],[REVESTIMIENTO INTERIOR BANO]]=BB$2,100%,AVANCE[[#This Row],[REVESTIMIENTO INTERIOR BANO]])</f>
        <v>0</v>
      </c>
      <c r="CQ326" s="3">
        <f>+IF(AVANCE[[#This Row],[MUEBLE LAVAPLATOS]]=BC$2,100%,AVANCE[[#This Row],[MUEBLE LAVAPLATOS]])</f>
        <v>0</v>
      </c>
      <c r="CR326" s="3">
        <f>+IF(AVANCE[[#This Row],[IMPERMEABILIZACION BANO - COCINA LOGIA]]=BD$2,100%,AVANCE[[#This Row],[IMPERMEABILIZACION BANO - COCINA LOGIA]])</f>
        <v>0</v>
      </c>
      <c r="CS326" s="40">
        <f ca="1">+IF(AVANCE[[#This Row],[ESTADO MODULO]]="PENDIENTE",(TODAY()-AVANCE[[#This Row],[FECHA TERMINO  PLANIFICADO]]),0)</f>
        <v>0</v>
      </c>
      <c r="CT326" s="41" t="str" cm="1">
        <f t="array" ref="CT326">_xlfn.TEXTJOIN(" | ",TRUE,IF(SUMPRODUCT((BG326:CR326&lt;1)*(PARTIDAS!$I$2:$AT$2="OBRA GRUESA"))&gt;0,"OBRA GRUESA: "&amp;_xlfn.TEXTJOIN(", ",TRUE,IF((BG326:CR326&lt;1)*(PARTIDAS!$I$2:$AT$2="OBRA GRUESA"),PARTIDAS!$I$1:$AT$1,"")),""),IF(SUMPRODUCT((BG326:CR326&lt;1)*(PARTIDAS!$I$2:$AT$2="SANITARIOS"))&gt;0,"SANITARIOS: "&amp;_xlfn.TEXTJOIN(", ",TRUE,IF((BG326:CR326&lt;1)*(PARTIDAS!$I$2:$AT$2="SANITARIOS"),PARTIDAS!$I$1:$AT$1,"")),""),IF(SUMPRODUCT((BG326:CR326&lt;1)*(PARTIDAS!$I$2:$AT$2="ELÉCTRICO"))&gt;0,"ELÉCTRICO: "&amp;_xlfn.TEXTJOIN(", ",TRUE,IF((BG326:CR326&lt;1)*(PARTIDAS!$I$2:$AT$2="ELÉCTRICO"),PARTIDAS!$I$1:$AT$1,"")),""),IF(SUMPRODUCT((BG326:CR326&lt;1)*(PARTIDAS!$I$2:$AT$2="TERMINACIONES"))&gt;0,"TERMINACIONES: "&amp;_xlfn.TEXTJOIN(", ",TRUE,IF((BG326:CR326&lt;1)*(PARTIDAS!$I$2:$AT$2="TERMINACIONES"),PARTIDAS!$I$1:$AT$1,"")),""))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6" s="43" t="str" cm="1">
        <f t="array" ref="CU326">_xlfn.TEXTJOIN(", ",TRUE,IF(SUMPRODUCT((BG326:CR326&lt;1)*(PARTIDAS!$I$2:$AT$2="OBRA GRUESA"))&gt;0,"OBRA GRUESA",""),IF(SUMPRODUCT((BG326:CR326&lt;1)*(PARTIDAS!$I$2:$AT$2="SANITARIOS"))&gt;0,"SANITARIOS",""),IF(SUMPRODUCT((BG326:CR326&lt;1)*(PARTIDAS!$I$2:$AT$2="ELÉCTRICO"))&gt;0,"ELÉCTRICO",""),IF(SUMPRODUCT((BG326:CR326&lt;1)*(PARTIDAS!$I$2:$AT$2="TERMINACIONES"))&gt;0,"TERMINACIONES",""))</f>
        <v>OBRA GRUESA, SANITARIOS, ELÉCTRICO, TERMINACIONES</v>
      </c>
      <c r="CV326" s="44" cm="1">
        <f t="array" ref="CV326">SUMPRODUCT(--(BG326:CR326&lt;1))</f>
        <v>38</v>
      </c>
    </row>
    <row r="327" spans="1:100" hidden="1" x14ac:dyDescent="0.25">
      <c r="A327" t="s">
        <v>388</v>
      </c>
      <c r="B327" t="s">
        <v>394</v>
      </c>
      <c r="C327">
        <v>2302600326</v>
      </c>
      <c r="D327" t="s">
        <v>60</v>
      </c>
      <c r="E327" s="2">
        <v>0</v>
      </c>
      <c r="F327" s="1">
        <v>46304</v>
      </c>
      <c r="G327" s="1"/>
      <c r="H327" s="1">
        <v>0</v>
      </c>
      <c r="I327" s="1">
        <v>46334</v>
      </c>
      <c r="J327">
        <v>46230</v>
      </c>
      <c r="K327" s="1"/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>
        <v>31.32</v>
      </c>
      <c r="BF327" s="3" t="str">
        <f>+IF(AVANCE[[#This Row],[% AVANCE]]=100%,"MODULO TERMINADO",IF(AVANCE[[#This Row],[FECHA INICIO REAL]]="","MODULO NO INICIADO","PENDIENTE"))</f>
        <v>MODULO NO INICIADO</v>
      </c>
      <c r="BG327" s="3">
        <f>+IF(AVANCE[[#This Row],[VENTANAS]]=8.10810810810811%,100%,AVANCE[[#This Row],[VENTANAS]])</f>
        <v>0</v>
      </c>
      <c r="BH327" s="3">
        <f>+IF(AVANCE[[#This Row],[PISO]]=N$2,100%,AVANCE[[#This Row],[PISO]])</f>
        <v>0</v>
      </c>
      <c r="BI327" s="3">
        <f>+IF(AVANCE[[#This Row],[TABIQUES]]=O$2,100%,AVANCE[[#This Row],[TABIQUES]])</f>
        <v>0</v>
      </c>
      <c r="BJ327" s="3">
        <f>+IF(AVANCE[[#This Row],[MUROS]]=P$2,100%,AVANCE[[#This Row],[MUROS]])</f>
        <v>0</v>
      </c>
      <c r="BK327" s="3">
        <f>+IF(AVANCE[[#This Row],[CIELO]]=Q$2,100%,AVANCE[[#This Row],[CIELO]])</f>
        <v>0</v>
      </c>
      <c r="BL327" s="3">
        <f>+IF(AVANCE[[#This Row],[BALCÓN]]=R$2,100%,AVANCE[[#This Row],[BALCÓN]])</f>
        <v>0</v>
      </c>
      <c r="BM327" s="3">
        <f>+IF(AVANCE[[#This Row],[RED ALCANTARILLADO]]=U$2,100%,AVANCE[[#This Row],[RED ALCANTARILLADO]])</f>
        <v>0</v>
      </c>
      <c r="BN327" s="3">
        <f>+IF(AVANCE[[#This Row],[RED DE AGUA]]=V$2,100%,AVANCE[[#This Row],[RED DE AGUA]])</f>
        <v>0</v>
      </c>
      <c r="BO327" s="3">
        <f>+IF(AVANCE[[#This Row],[VENTILACIONES]]=W$2,100%,AVANCE[[#This Row],[VENTILACIONES]])</f>
        <v>0</v>
      </c>
      <c r="BP327" s="3">
        <f>+IF(AVANCE[[#This Row],[TINA]]=X$2,100%,AVANCE[[#This Row],[TINA]])</f>
        <v>0</v>
      </c>
      <c r="BQ327" s="3">
        <f>+IF(AVANCE[[#This Row],[WC]]=Y$2,100%,AVANCE[[#This Row],[WC]])</f>
        <v>0</v>
      </c>
      <c r="BR327" s="3">
        <f>+IF(AVANCE[[#This Row],[LAVAMANOS / LAVAPLATOS / LAVADERO]]=Z$2,100%,AVANCE[[#This Row],[LAVAMANOS / LAVAPLATOS / LAVADERO]])</f>
        <v>0</v>
      </c>
      <c r="BS327" s="3">
        <f>+IF(AVANCE[[#This Row],[CANALIZACIÓN]]=AC$2,100%,AVANCE[[#This Row],[CANALIZACIÓN]])</f>
        <v>0</v>
      </c>
      <c r="BT327" s="3">
        <f>+IF(AVANCE[[#This Row],[CABLEADO]]=AD$2,100%,AVANCE[[#This Row],[CABLEADO]])</f>
        <v>0</v>
      </c>
      <c r="BU327" s="3">
        <f>+IF(AVANCE[[#This Row],[ARTEFACTOS]]=AE$2,100%,AVANCE[[#This Row],[ARTEFACTOS]])</f>
        <v>0</v>
      </c>
      <c r="BV327" s="3">
        <f>+IF(AVANCE[[#This Row],[TABLERO]]=AF$2,100%,AVANCE[[#This Row],[TABLERO]])</f>
        <v>0</v>
      </c>
      <c r="BW327" s="3">
        <f>+IF(AVANCE[[#This Row],[CAJA PAU]]=AG$2,100%,AVANCE[[#This Row],[CAJA PAU]])</f>
        <v>0</v>
      </c>
      <c r="BX327" s="3">
        <f>+IF(AVANCE[[#This Row],[INSTALACION VINILICO]]=AJ$2,100%,AVANCE[[#This Row],[INSTALACION VINILICO]])</f>
        <v>0</v>
      </c>
      <c r="BY327" s="3">
        <f>+IF(AVANCE[[#This Row],[OSB CUBIERTA]]=AK$2,100%,AVANCE[[#This Row],[OSB CUBIERTA]])</f>
        <v>0</v>
      </c>
      <c r="BZ327" s="3">
        <f>+IF(AVANCE[[#This Row],[BARANDA BALCON]]=AL$2,100%,AVANCE[[#This Row],[BARANDA BALCON]])</f>
        <v>0</v>
      </c>
      <c r="CA327" s="3">
        <f>+IF(AVANCE[[#This Row],[OSB EXTERIOR]]=AM$2,100%,AVANCE[[#This Row],[OSB EXTERIOR]])</f>
        <v>0</v>
      </c>
      <c r="CB327" s="3">
        <f>+IF(AVANCE[[#This Row],[SMART PANEL]]=AN$2,100%,AVANCE[[#This Row],[SMART PANEL]])</f>
        <v>0</v>
      </c>
      <c r="CC327" s="3">
        <f>+IF(AVANCE[[#This Row],[PINTURA EXTERIOR]]=AO$2,100%,AVANCE[[#This Row],[PINTURA EXTERIOR]])</f>
        <v>0</v>
      </c>
      <c r="CD327" s="3">
        <f>+IF(AVANCE[[#This Row],[ZOCALOS LOGIA]]=AP$2,100%,AVANCE[[#This Row],[ZOCALOS LOGIA]])</f>
        <v>0</v>
      </c>
      <c r="CE327" s="3">
        <f>+IF(AVANCE[[#This Row],[MOLDURAS]]=AQ$2,100%,AVANCE[[#This Row],[MOLDURAS]])</f>
        <v>0</v>
      </c>
      <c r="CF327" s="3">
        <f>+IF(AVANCE[[#This Row],[PILASTREO]]=AR$2,100%,AVANCE[[#This Row],[PILASTREO]])</f>
        <v>0</v>
      </c>
      <c r="CG327" s="3">
        <f>+IF(AVANCE[[#This Row],[CELOSIAS]]=AS$2,100%,AVANCE[[#This Row],[CELOSIAS]])</f>
        <v>0</v>
      </c>
      <c r="CH327" s="3">
        <f>+IF(AVANCE[[#This Row],[VENTANAS]]=AT$2,100%,AVANCE[[#This Row],[VENTANAS]])</f>
        <v>0</v>
      </c>
      <c r="CI327" s="3">
        <f>+IF(AVANCE[[#This Row],[PUERTAS ACCESO - LOGIA - BANO]]=AU$2,100%,AVANCE[[#This Row],[PUERTAS ACCESO - LOGIA - BANO]])</f>
        <v>0</v>
      </c>
      <c r="CJ327" s="3">
        <f>+IF(AVANCE[[#This Row],[CERRADURAS]]=AV$2,100%,AVANCE[[#This Row],[CERRADURAS]])</f>
        <v>0</v>
      </c>
      <c r="CK327" s="3">
        <f>+IF(AVANCE[[#This Row],[REVESTIMIENTO INTERIOR ZONA SECA]]=AW$2,100%,AVANCE[[#This Row],[REVESTIMIENTO INTERIOR ZONA SECA]])</f>
        <v>0</v>
      </c>
      <c r="CL327" s="3">
        <f>+IF(AVANCE[[#This Row],[REVESTIMIENTO INTERIOR ZONAS HUMEDAS]]=AX$2,100%,AVANCE[[#This Row],[REVESTIMIENTO INTERIOR ZONAS HUMEDAS]])</f>
        <v>0</v>
      </c>
      <c r="CM327" s="3">
        <f>+IF(AVANCE[[#This Row],[MEMBRANA CIELO]]=AY$2,100%,AVANCE[[#This Row],[MEMBRANA CIELO]])</f>
        <v>0</v>
      </c>
      <c r="CN327" s="3">
        <f>+IF(AVANCE[[#This Row],[LIMPIEZA FINAL]]=AZ$2,100%,AVANCE[[#This Row],[LIMPIEZA FINAL]])</f>
        <v>0</v>
      </c>
      <c r="CO327" s="3">
        <f>+IF(AVANCE[[#This Row],[PUERTAS DORMITORIO]]=BA$2,100%,AVANCE[[#This Row],[PUERTAS DORMITORIO]])</f>
        <v>0</v>
      </c>
      <c r="CP327" s="3">
        <f>+IF(AVANCE[[#This Row],[REVESTIMIENTO INTERIOR BANO]]=BB$2,100%,AVANCE[[#This Row],[REVESTIMIENTO INTERIOR BANO]])</f>
        <v>0</v>
      </c>
      <c r="CQ327" s="3">
        <f>+IF(AVANCE[[#This Row],[MUEBLE LAVAPLATOS]]=BC$2,100%,AVANCE[[#This Row],[MUEBLE LAVAPLATOS]])</f>
        <v>0</v>
      </c>
      <c r="CR327" s="3">
        <f>+IF(AVANCE[[#This Row],[IMPERMEABILIZACION BANO - COCINA LOGIA]]=BD$2,100%,AVANCE[[#This Row],[IMPERMEABILIZACION BANO - COCINA LOGIA]])</f>
        <v>0</v>
      </c>
      <c r="CS327" s="40">
        <f ca="1">+IF(AVANCE[[#This Row],[ESTADO MODULO]]="PENDIENTE",(TODAY()-AVANCE[[#This Row],[FECHA TERMINO  PLANIFICADO]]),0)</f>
        <v>0</v>
      </c>
      <c r="CT327" s="41" t="str" cm="1">
        <f t="array" ref="CT327">_xlfn.TEXTJOIN(" | ",TRUE,IF(SUMPRODUCT((BG327:CR327&lt;1)*(PARTIDAS!$I$2:$AT$2="OBRA GRUESA"))&gt;0,"OBRA GRUESA: "&amp;_xlfn.TEXTJOIN(", ",TRUE,IF((BG327:CR327&lt;1)*(PARTIDAS!$I$2:$AT$2="OBRA GRUESA"),PARTIDAS!$I$1:$AT$1,"")),""),IF(SUMPRODUCT((BG327:CR327&lt;1)*(PARTIDAS!$I$2:$AT$2="SANITARIOS"))&gt;0,"SANITARIOS: "&amp;_xlfn.TEXTJOIN(", ",TRUE,IF((BG327:CR327&lt;1)*(PARTIDAS!$I$2:$AT$2="SANITARIOS"),PARTIDAS!$I$1:$AT$1,"")),""),IF(SUMPRODUCT((BG327:CR327&lt;1)*(PARTIDAS!$I$2:$AT$2="ELÉCTRICO"))&gt;0,"ELÉCTRICO: "&amp;_xlfn.TEXTJOIN(", ",TRUE,IF((BG327:CR327&lt;1)*(PARTIDAS!$I$2:$AT$2="ELÉCTRICO"),PARTIDAS!$I$1:$AT$1,"")),""),IF(SUMPRODUCT((BG327:CR327&lt;1)*(PARTIDAS!$I$2:$AT$2="TERMINACIONES"))&gt;0,"TERMINACIONES: "&amp;_xlfn.TEXTJOIN(", ",TRUE,IF((BG327:CR327&lt;1)*(PARTIDAS!$I$2:$AT$2="TERMINACIONES"),PARTIDAS!$I$1:$AT$1,"")),""))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7" s="43" t="str" cm="1">
        <f t="array" ref="CU327">_xlfn.TEXTJOIN(", ",TRUE,IF(SUMPRODUCT((BG327:CR327&lt;1)*(PARTIDAS!$I$2:$AT$2="OBRA GRUESA"))&gt;0,"OBRA GRUESA",""),IF(SUMPRODUCT((BG327:CR327&lt;1)*(PARTIDAS!$I$2:$AT$2="SANITARIOS"))&gt;0,"SANITARIOS",""),IF(SUMPRODUCT((BG327:CR327&lt;1)*(PARTIDAS!$I$2:$AT$2="ELÉCTRICO"))&gt;0,"ELÉCTRICO",""),IF(SUMPRODUCT((BG327:CR327&lt;1)*(PARTIDAS!$I$2:$AT$2="TERMINACIONES"))&gt;0,"TERMINACIONES",""))</f>
        <v>OBRA GRUESA, SANITARIOS, ELÉCTRICO, TERMINACIONES</v>
      </c>
      <c r="CV327" s="44" cm="1">
        <f t="array" ref="CV327">SUMPRODUCT(--(BG327:CR327&lt;1))</f>
        <v>38</v>
      </c>
    </row>
    <row r="328" spans="1:100" hidden="1" x14ac:dyDescent="0.25">
      <c r="A328" t="s">
        <v>388</v>
      </c>
      <c r="B328" t="s">
        <v>395</v>
      </c>
      <c r="C328">
        <v>2302600327</v>
      </c>
      <c r="D328" t="s">
        <v>60</v>
      </c>
      <c r="E328" s="2">
        <v>0</v>
      </c>
      <c r="F328" s="1">
        <v>46304</v>
      </c>
      <c r="G328" s="1"/>
      <c r="H328" s="1">
        <v>0</v>
      </c>
      <c r="I328" s="1">
        <v>46334</v>
      </c>
      <c r="J328">
        <v>46230</v>
      </c>
      <c r="K328" s="1"/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>
        <v>31.32</v>
      </c>
      <c r="BF328" s="3" t="str">
        <f>+IF(AVANCE[[#This Row],[% AVANCE]]=100%,"MODULO TERMINADO",IF(AVANCE[[#This Row],[FECHA INICIO REAL]]="","MODULO NO INICIADO","PENDIENTE"))</f>
        <v>MODULO NO INICIADO</v>
      </c>
      <c r="BG328" s="3">
        <f>+IF(AVANCE[[#This Row],[VENTANAS]]=8.10810810810811%,100%,AVANCE[[#This Row],[VENTANAS]])</f>
        <v>0</v>
      </c>
      <c r="BH328" s="3">
        <f>+IF(AVANCE[[#This Row],[PISO]]=N$2,100%,AVANCE[[#This Row],[PISO]])</f>
        <v>0</v>
      </c>
      <c r="BI328" s="3">
        <f>+IF(AVANCE[[#This Row],[TABIQUES]]=O$2,100%,AVANCE[[#This Row],[TABIQUES]])</f>
        <v>0</v>
      </c>
      <c r="BJ328" s="3">
        <f>+IF(AVANCE[[#This Row],[MUROS]]=P$2,100%,AVANCE[[#This Row],[MUROS]])</f>
        <v>0</v>
      </c>
      <c r="BK328" s="3">
        <f>+IF(AVANCE[[#This Row],[CIELO]]=Q$2,100%,AVANCE[[#This Row],[CIELO]])</f>
        <v>0</v>
      </c>
      <c r="BL328" s="3">
        <f>+IF(AVANCE[[#This Row],[BALCÓN]]=R$2,100%,AVANCE[[#This Row],[BALCÓN]])</f>
        <v>0</v>
      </c>
      <c r="BM328" s="3">
        <f>+IF(AVANCE[[#This Row],[RED ALCANTARILLADO]]=U$2,100%,AVANCE[[#This Row],[RED ALCANTARILLADO]])</f>
        <v>0</v>
      </c>
      <c r="BN328" s="3">
        <f>+IF(AVANCE[[#This Row],[RED DE AGUA]]=V$2,100%,AVANCE[[#This Row],[RED DE AGUA]])</f>
        <v>0</v>
      </c>
      <c r="BO328" s="3">
        <f>+IF(AVANCE[[#This Row],[VENTILACIONES]]=W$2,100%,AVANCE[[#This Row],[VENTILACIONES]])</f>
        <v>0</v>
      </c>
      <c r="BP328" s="3">
        <f>+IF(AVANCE[[#This Row],[TINA]]=X$2,100%,AVANCE[[#This Row],[TINA]])</f>
        <v>0</v>
      </c>
      <c r="BQ328" s="3">
        <f>+IF(AVANCE[[#This Row],[WC]]=Y$2,100%,AVANCE[[#This Row],[WC]])</f>
        <v>0</v>
      </c>
      <c r="BR328" s="3">
        <f>+IF(AVANCE[[#This Row],[LAVAMANOS / LAVAPLATOS / LAVADERO]]=Z$2,100%,AVANCE[[#This Row],[LAVAMANOS / LAVAPLATOS / LAVADERO]])</f>
        <v>0</v>
      </c>
      <c r="BS328" s="3">
        <f>+IF(AVANCE[[#This Row],[CANALIZACIÓN]]=AC$2,100%,AVANCE[[#This Row],[CANALIZACIÓN]])</f>
        <v>0</v>
      </c>
      <c r="BT328" s="3">
        <f>+IF(AVANCE[[#This Row],[CABLEADO]]=AD$2,100%,AVANCE[[#This Row],[CABLEADO]])</f>
        <v>0</v>
      </c>
      <c r="BU328" s="3">
        <f>+IF(AVANCE[[#This Row],[ARTEFACTOS]]=AE$2,100%,AVANCE[[#This Row],[ARTEFACTOS]])</f>
        <v>0</v>
      </c>
      <c r="BV328" s="3">
        <f>+IF(AVANCE[[#This Row],[TABLERO]]=AF$2,100%,AVANCE[[#This Row],[TABLERO]])</f>
        <v>0</v>
      </c>
      <c r="BW328" s="3">
        <f>+IF(AVANCE[[#This Row],[CAJA PAU]]=AG$2,100%,AVANCE[[#This Row],[CAJA PAU]])</f>
        <v>0</v>
      </c>
      <c r="BX328" s="3">
        <f>+IF(AVANCE[[#This Row],[INSTALACION VINILICO]]=AJ$2,100%,AVANCE[[#This Row],[INSTALACION VINILICO]])</f>
        <v>0</v>
      </c>
      <c r="BY328" s="3">
        <f>+IF(AVANCE[[#This Row],[OSB CUBIERTA]]=AK$2,100%,AVANCE[[#This Row],[OSB CUBIERTA]])</f>
        <v>0</v>
      </c>
      <c r="BZ328" s="3">
        <f>+IF(AVANCE[[#This Row],[BARANDA BALCON]]=AL$2,100%,AVANCE[[#This Row],[BARANDA BALCON]])</f>
        <v>0</v>
      </c>
      <c r="CA328" s="3">
        <f>+IF(AVANCE[[#This Row],[OSB EXTERIOR]]=AM$2,100%,AVANCE[[#This Row],[OSB EXTERIOR]])</f>
        <v>0</v>
      </c>
      <c r="CB328" s="3">
        <f>+IF(AVANCE[[#This Row],[SMART PANEL]]=AN$2,100%,AVANCE[[#This Row],[SMART PANEL]])</f>
        <v>0</v>
      </c>
      <c r="CC328" s="3">
        <f>+IF(AVANCE[[#This Row],[PINTURA EXTERIOR]]=AO$2,100%,AVANCE[[#This Row],[PINTURA EXTERIOR]])</f>
        <v>0</v>
      </c>
      <c r="CD328" s="3">
        <f>+IF(AVANCE[[#This Row],[ZOCALOS LOGIA]]=AP$2,100%,AVANCE[[#This Row],[ZOCALOS LOGIA]])</f>
        <v>0</v>
      </c>
      <c r="CE328" s="3">
        <f>+IF(AVANCE[[#This Row],[MOLDURAS]]=AQ$2,100%,AVANCE[[#This Row],[MOLDURAS]])</f>
        <v>0</v>
      </c>
      <c r="CF328" s="3">
        <f>+IF(AVANCE[[#This Row],[PILASTREO]]=AR$2,100%,AVANCE[[#This Row],[PILASTREO]])</f>
        <v>0</v>
      </c>
      <c r="CG328" s="3">
        <f>+IF(AVANCE[[#This Row],[CELOSIAS]]=AS$2,100%,AVANCE[[#This Row],[CELOSIAS]])</f>
        <v>0</v>
      </c>
      <c r="CH328" s="3">
        <f>+IF(AVANCE[[#This Row],[VENTANAS]]=AT$2,100%,AVANCE[[#This Row],[VENTANAS]])</f>
        <v>0</v>
      </c>
      <c r="CI328" s="3">
        <f>+IF(AVANCE[[#This Row],[PUERTAS ACCESO - LOGIA - BANO]]=AU$2,100%,AVANCE[[#This Row],[PUERTAS ACCESO - LOGIA - BANO]])</f>
        <v>0</v>
      </c>
      <c r="CJ328" s="3">
        <f>+IF(AVANCE[[#This Row],[CERRADURAS]]=AV$2,100%,AVANCE[[#This Row],[CERRADURAS]])</f>
        <v>0</v>
      </c>
      <c r="CK328" s="3">
        <f>+IF(AVANCE[[#This Row],[REVESTIMIENTO INTERIOR ZONA SECA]]=AW$2,100%,AVANCE[[#This Row],[REVESTIMIENTO INTERIOR ZONA SECA]])</f>
        <v>0</v>
      </c>
      <c r="CL328" s="3">
        <f>+IF(AVANCE[[#This Row],[REVESTIMIENTO INTERIOR ZONAS HUMEDAS]]=AX$2,100%,AVANCE[[#This Row],[REVESTIMIENTO INTERIOR ZONAS HUMEDAS]])</f>
        <v>0</v>
      </c>
      <c r="CM328" s="3">
        <f>+IF(AVANCE[[#This Row],[MEMBRANA CIELO]]=AY$2,100%,AVANCE[[#This Row],[MEMBRANA CIELO]])</f>
        <v>0</v>
      </c>
      <c r="CN328" s="3">
        <f>+IF(AVANCE[[#This Row],[LIMPIEZA FINAL]]=AZ$2,100%,AVANCE[[#This Row],[LIMPIEZA FINAL]])</f>
        <v>0</v>
      </c>
      <c r="CO328" s="3">
        <f>+IF(AVANCE[[#This Row],[PUERTAS DORMITORIO]]=BA$2,100%,AVANCE[[#This Row],[PUERTAS DORMITORIO]])</f>
        <v>0</v>
      </c>
      <c r="CP328" s="3">
        <f>+IF(AVANCE[[#This Row],[REVESTIMIENTO INTERIOR BANO]]=BB$2,100%,AVANCE[[#This Row],[REVESTIMIENTO INTERIOR BANO]])</f>
        <v>0</v>
      </c>
      <c r="CQ328" s="3">
        <f>+IF(AVANCE[[#This Row],[MUEBLE LAVAPLATOS]]=BC$2,100%,AVANCE[[#This Row],[MUEBLE LAVAPLATOS]])</f>
        <v>0</v>
      </c>
      <c r="CR328" s="3">
        <f>+IF(AVANCE[[#This Row],[IMPERMEABILIZACION BANO - COCINA LOGIA]]=BD$2,100%,AVANCE[[#This Row],[IMPERMEABILIZACION BANO - COCINA LOGIA]])</f>
        <v>0</v>
      </c>
      <c r="CS328" s="40">
        <f ca="1">+IF(AVANCE[[#This Row],[ESTADO MODULO]]="PENDIENTE",(TODAY()-AVANCE[[#This Row],[FECHA TERMINO  PLANIFICADO]]),0)</f>
        <v>0</v>
      </c>
      <c r="CT328" s="41" t="str" cm="1">
        <f t="array" ref="CT328">_xlfn.TEXTJOIN(" | ",TRUE,IF(SUMPRODUCT((BG328:CR328&lt;1)*(PARTIDAS!$I$2:$AT$2="OBRA GRUESA"))&gt;0,"OBRA GRUESA: "&amp;_xlfn.TEXTJOIN(", ",TRUE,IF((BG328:CR328&lt;1)*(PARTIDAS!$I$2:$AT$2="OBRA GRUESA"),PARTIDAS!$I$1:$AT$1,"")),""),IF(SUMPRODUCT((BG328:CR328&lt;1)*(PARTIDAS!$I$2:$AT$2="SANITARIOS"))&gt;0,"SANITARIOS: "&amp;_xlfn.TEXTJOIN(", ",TRUE,IF((BG328:CR328&lt;1)*(PARTIDAS!$I$2:$AT$2="SANITARIOS"),PARTIDAS!$I$1:$AT$1,"")),""),IF(SUMPRODUCT((BG328:CR328&lt;1)*(PARTIDAS!$I$2:$AT$2="ELÉCTRICO"))&gt;0,"ELÉCTRICO: "&amp;_xlfn.TEXTJOIN(", ",TRUE,IF((BG328:CR328&lt;1)*(PARTIDAS!$I$2:$AT$2="ELÉCTRICO"),PARTIDAS!$I$1:$AT$1,"")),""),IF(SUMPRODUCT((BG328:CR328&lt;1)*(PARTIDAS!$I$2:$AT$2="TERMINACIONES"))&gt;0,"TERMINACIONES: "&amp;_xlfn.TEXTJOIN(", ",TRUE,IF((BG328:CR328&lt;1)*(PARTIDAS!$I$2:$AT$2="TERMINACIONES"),PARTIDAS!$I$1:$AT$1,"")),""))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8" s="43" t="str" cm="1">
        <f t="array" ref="CU328">_xlfn.TEXTJOIN(", ",TRUE,IF(SUMPRODUCT((BG328:CR328&lt;1)*(PARTIDAS!$I$2:$AT$2="OBRA GRUESA"))&gt;0,"OBRA GRUESA",""),IF(SUMPRODUCT((BG328:CR328&lt;1)*(PARTIDAS!$I$2:$AT$2="SANITARIOS"))&gt;0,"SANITARIOS",""),IF(SUMPRODUCT((BG328:CR328&lt;1)*(PARTIDAS!$I$2:$AT$2="ELÉCTRICO"))&gt;0,"ELÉCTRICO",""),IF(SUMPRODUCT((BG328:CR328&lt;1)*(PARTIDAS!$I$2:$AT$2="TERMINACIONES"))&gt;0,"TERMINACIONES",""))</f>
        <v>OBRA GRUESA, SANITARIOS, ELÉCTRICO, TERMINACIONES</v>
      </c>
      <c r="CV328" s="44" cm="1">
        <f t="array" ref="CV328">SUMPRODUCT(--(BG328:CR328&lt;1))</f>
        <v>38</v>
      </c>
    </row>
    <row r="329" spans="1:100" hidden="1" x14ac:dyDescent="0.25">
      <c r="A329" t="s">
        <v>388</v>
      </c>
      <c r="B329" t="s">
        <v>396</v>
      </c>
      <c r="C329">
        <v>2282600328</v>
      </c>
      <c r="D329" t="s">
        <v>58</v>
      </c>
      <c r="E329" s="2">
        <v>0</v>
      </c>
      <c r="F329" s="1">
        <v>46304</v>
      </c>
      <c r="G329" s="1"/>
      <c r="H329" s="1">
        <v>0</v>
      </c>
      <c r="I329" s="1">
        <v>46324</v>
      </c>
      <c r="J329">
        <v>46230</v>
      </c>
      <c r="K329" s="1"/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>
        <v>28.87</v>
      </c>
      <c r="BF329" s="3" t="str">
        <f>+IF(AVANCE[[#This Row],[% AVANCE]]=100%,"MODULO TERMINADO",IF(AVANCE[[#This Row],[FECHA INICIO REAL]]="","MODULO NO INICIADO","PENDIENTE"))</f>
        <v>MODULO NO INICIADO</v>
      </c>
      <c r="BG329" s="3">
        <f>+IF(AVANCE[[#This Row],[VENTANAS]]=8.10810810810811%,100%,AVANCE[[#This Row],[VENTANAS]])</f>
        <v>0</v>
      </c>
      <c r="BH329" s="3">
        <f>+IF(AVANCE[[#This Row],[PISO]]=N$2,100%,AVANCE[[#This Row],[PISO]])</f>
        <v>0</v>
      </c>
      <c r="BI329" s="3">
        <f>+IF(AVANCE[[#This Row],[TABIQUES]]=O$2,100%,AVANCE[[#This Row],[TABIQUES]])</f>
        <v>0</v>
      </c>
      <c r="BJ329" s="3">
        <f>+IF(AVANCE[[#This Row],[MUROS]]=P$2,100%,AVANCE[[#This Row],[MUROS]])</f>
        <v>0</v>
      </c>
      <c r="BK329" s="3">
        <f>+IF(AVANCE[[#This Row],[CIELO]]=Q$2,100%,AVANCE[[#This Row],[CIELO]])</f>
        <v>0</v>
      </c>
      <c r="BL329" s="3">
        <f>+IF(AVANCE[[#This Row],[BALCÓN]]=R$2,100%,AVANCE[[#This Row],[BALCÓN]])</f>
        <v>0</v>
      </c>
      <c r="BM329" s="3">
        <f>+IF(AVANCE[[#This Row],[RED ALCANTARILLADO]]=U$2,100%,AVANCE[[#This Row],[RED ALCANTARILLADO]])</f>
        <v>0</v>
      </c>
      <c r="BN329" s="3">
        <f>+IF(AVANCE[[#This Row],[RED DE AGUA]]=V$2,100%,AVANCE[[#This Row],[RED DE AGUA]])</f>
        <v>0</v>
      </c>
      <c r="BO329" s="3">
        <f>+IF(AVANCE[[#This Row],[VENTILACIONES]]=W$2,100%,AVANCE[[#This Row],[VENTILACIONES]])</f>
        <v>0</v>
      </c>
      <c r="BP329" s="3">
        <f>+IF(AVANCE[[#This Row],[TINA]]=X$2,100%,AVANCE[[#This Row],[TINA]])</f>
        <v>0</v>
      </c>
      <c r="BQ329" s="3">
        <f>+IF(AVANCE[[#This Row],[WC]]=Y$2,100%,AVANCE[[#This Row],[WC]])</f>
        <v>0</v>
      </c>
      <c r="BR329" s="3">
        <f>+IF(AVANCE[[#This Row],[LAVAMANOS / LAVAPLATOS / LAVADERO]]=Z$2,100%,AVANCE[[#This Row],[LAVAMANOS / LAVAPLATOS / LAVADERO]])</f>
        <v>0</v>
      </c>
      <c r="BS329" s="3">
        <f>+IF(AVANCE[[#This Row],[CANALIZACIÓN]]=AC$2,100%,AVANCE[[#This Row],[CANALIZACIÓN]])</f>
        <v>0</v>
      </c>
      <c r="BT329" s="3">
        <f>+IF(AVANCE[[#This Row],[CABLEADO]]=AD$2,100%,AVANCE[[#This Row],[CABLEADO]])</f>
        <v>0</v>
      </c>
      <c r="BU329" s="3">
        <f>+IF(AVANCE[[#This Row],[ARTEFACTOS]]=AE$2,100%,AVANCE[[#This Row],[ARTEFACTOS]])</f>
        <v>0</v>
      </c>
      <c r="BV329" s="3">
        <f>+IF(AVANCE[[#This Row],[TABLERO]]=AF$2,100%,AVANCE[[#This Row],[TABLERO]])</f>
        <v>0</v>
      </c>
      <c r="BW329" s="3">
        <f>+IF(AVANCE[[#This Row],[CAJA PAU]]=AG$2,100%,AVANCE[[#This Row],[CAJA PAU]])</f>
        <v>0</v>
      </c>
      <c r="BX329" s="3">
        <f>+IF(AVANCE[[#This Row],[INSTALACION VINILICO]]=AJ$2,100%,AVANCE[[#This Row],[INSTALACION VINILICO]])</f>
        <v>0</v>
      </c>
      <c r="BY329" s="3">
        <f>+IF(AVANCE[[#This Row],[OSB CUBIERTA]]=AK$2,100%,AVANCE[[#This Row],[OSB CUBIERTA]])</f>
        <v>0</v>
      </c>
      <c r="BZ329" s="3">
        <f>+IF(AVANCE[[#This Row],[BARANDA BALCON]]=AL$2,100%,AVANCE[[#This Row],[BARANDA BALCON]])</f>
        <v>0</v>
      </c>
      <c r="CA329" s="3">
        <f>+IF(AVANCE[[#This Row],[OSB EXTERIOR]]=AM$2,100%,AVANCE[[#This Row],[OSB EXTERIOR]])</f>
        <v>0</v>
      </c>
      <c r="CB329" s="3">
        <f>+IF(AVANCE[[#This Row],[SMART PANEL]]=AN$2,100%,AVANCE[[#This Row],[SMART PANEL]])</f>
        <v>0</v>
      </c>
      <c r="CC329" s="3">
        <f>+IF(AVANCE[[#This Row],[PINTURA EXTERIOR]]=AO$2,100%,AVANCE[[#This Row],[PINTURA EXTERIOR]])</f>
        <v>0</v>
      </c>
      <c r="CD329" s="3">
        <f>+IF(AVANCE[[#This Row],[ZOCALOS LOGIA]]=AP$2,100%,AVANCE[[#This Row],[ZOCALOS LOGIA]])</f>
        <v>0</v>
      </c>
      <c r="CE329" s="3">
        <f>+IF(AVANCE[[#This Row],[MOLDURAS]]=AQ$2,100%,AVANCE[[#This Row],[MOLDURAS]])</f>
        <v>0</v>
      </c>
      <c r="CF329" s="3">
        <f>+IF(AVANCE[[#This Row],[PILASTREO]]=AR$2,100%,AVANCE[[#This Row],[PILASTREO]])</f>
        <v>0</v>
      </c>
      <c r="CG329" s="3">
        <f>+IF(AVANCE[[#This Row],[CELOSIAS]]=AS$2,100%,AVANCE[[#This Row],[CELOSIAS]])</f>
        <v>0</v>
      </c>
      <c r="CH329" s="3">
        <f>+IF(AVANCE[[#This Row],[VENTANAS]]=AT$2,100%,AVANCE[[#This Row],[VENTANAS]])</f>
        <v>0</v>
      </c>
      <c r="CI329" s="3">
        <f>+IF(AVANCE[[#This Row],[PUERTAS ACCESO - LOGIA - BANO]]=AU$2,100%,AVANCE[[#This Row],[PUERTAS ACCESO - LOGIA - BANO]])</f>
        <v>0</v>
      </c>
      <c r="CJ329" s="3">
        <f>+IF(AVANCE[[#This Row],[CERRADURAS]]=AV$2,100%,AVANCE[[#This Row],[CERRADURAS]])</f>
        <v>0</v>
      </c>
      <c r="CK329" s="3">
        <f>+IF(AVANCE[[#This Row],[REVESTIMIENTO INTERIOR ZONA SECA]]=AW$2,100%,AVANCE[[#This Row],[REVESTIMIENTO INTERIOR ZONA SECA]])</f>
        <v>0</v>
      </c>
      <c r="CL329" s="3">
        <f>+IF(AVANCE[[#This Row],[REVESTIMIENTO INTERIOR ZONAS HUMEDAS]]=AX$2,100%,AVANCE[[#This Row],[REVESTIMIENTO INTERIOR ZONAS HUMEDAS]])</f>
        <v>0</v>
      </c>
      <c r="CM329" s="3">
        <f>+IF(AVANCE[[#This Row],[MEMBRANA CIELO]]=AY$2,100%,AVANCE[[#This Row],[MEMBRANA CIELO]])</f>
        <v>0</v>
      </c>
      <c r="CN329" s="3">
        <f>+IF(AVANCE[[#This Row],[LIMPIEZA FINAL]]=AZ$2,100%,AVANCE[[#This Row],[LIMPIEZA FINAL]])</f>
        <v>0</v>
      </c>
      <c r="CO329" s="3">
        <f>+IF(AVANCE[[#This Row],[PUERTAS DORMITORIO]]=BA$2,100%,AVANCE[[#This Row],[PUERTAS DORMITORIO]])</f>
        <v>0</v>
      </c>
      <c r="CP329" s="3">
        <f>+IF(AVANCE[[#This Row],[REVESTIMIENTO INTERIOR BANO]]=BB$2,100%,AVANCE[[#This Row],[REVESTIMIENTO INTERIOR BANO]])</f>
        <v>0</v>
      </c>
      <c r="CQ329" s="3">
        <f>+IF(AVANCE[[#This Row],[MUEBLE LAVAPLATOS]]=BC$2,100%,AVANCE[[#This Row],[MUEBLE LAVAPLATOS]])</f>
        <v>0</v>
      </c>
      <c r="CR329" s="3">
        <f>+IF(AVANCE[[#This Row],[IMPERMEABILIZACION BANO - COCINA LOGIA]]=BD$2,100%,AVANCE[[#This Row],[IMPERMEABILIZACION BANO - COCINA LOGIA]])</f>
        <v>0</v>
      </c>
      <c r="CS329" s="40">
        <f ca="1">+IF(AVANCE[[#This Row],[ESTADO MODULO]]="PENDIENTE",(TODAY()-AVANCE[[#This Row],[FECHA TERMINO  PLANIFICADO]]),0)</f>
        <v>0</v>
      </c>
      <c r="CT329" s="41" t="str" cm="1">
        <f t="array" ref="CT329">_xlfn.TEXTJOIN(" | ",TRUE,IF(SUMPRODUCT((BG329:CR329&lt;1)*(PARTIDAS!$I$2:$AT$2="OBRA GRUESA"))&gt;0,"OBRA GRUESA: "&amp;_xlfn.TEXTJOIN(", ",TRUE,IF((BG329:CR329&lt;1)*(PARTIDAS!$I$2:$AT$2="OBRA GRUESA"),PARTIDAS!$I$1:$AT$1,"")),""),IF(SUMPRODUCT((BG329:CR329&lt;1)*(PARTIDAS!$I$2:$AT$2="SANITARIOS"))&gt;0,"SANITARIOS: "&amp;_xlfn.TEXTJOIN(", ",TRUE,IF((BG329:CR329&lt;1)*(PARTIDAS!$I$2:$AT$2="SANITARIOS"),PARTIDAS!$I$1:$AT$1,"")),""),IF(SUMPRODUCT((BG329:CR329&lt;1)*(PARTIDAS!$I$2:$AT$2="ELÉCTRICO"))&gt;0,"ELÉCTRICO: "&amp;_xlfn.TEXTJOIN(", ",TRUE,IF((BG329:CR329&lt;1)*(PARTIDAS!$I$2:$AT$2="ELÉCTRICO"),PARTIDAS!$I$1:$AT$1,"")),""),IF(SUMPRODUCT((BG329:CR329&lt;1)*(PARTIDAS!$I$2:$AT$2="TERMINACIONES"))&gt;0,"TERMINACIONES: "&amp;_xlfn.TEXTJOIN(", ",TRUE,IF((BG329:CR329&lt;1)*(PARTIDAS!$I$2:$AT$2="TERMINACIONES"),PARTIDAS!$I$1:$AT$1,"")),""))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29" s="43" t="str" cm="1">
        <f t="array" ref="CU329">_xlfn.TEXTJOIN(", ",TRUE,IF(SUMPRODUCT((BG329:CR329&lt;1)*(PARTIDAS!$I$2:$AT$2="OBRA GRUESA"))&gt;0,"OBRA GRUESA",""),IF(SUMPRODUCT((BG329:CR329&lt;1)*(PARTIDAS!$I$2:$AT$2="SANITARIOS"))&gt;0,"SANITARIOS",""),IF(SUMPRODUCT((BG329:CR329&lt;1)*(PARTIDAS!$I$2:$AT$2="ELÉCTRICO"))&gt;0,"ELÉCTRICO",""),IF(SUMPRODUCT((BG329:CR329&lt;1)*(PARTIDAS!$I$2:$AT$2="TERMINACIONES"))&gt;0,"TERMINACIONES",""))</f>
        <v>OBRA GRUESA, SANITARIOS, ELÉCTRICO, TERMINACIONES</v>
      </c>
      <c r="CV329" s="44" cm="1">
        <f t="array" ref="CV329">SUMPRODUCT(--(BG329:CR329&lt;1))</f>
        <v>38</v>
      </c>
    </row>
    <row r="330" spans="1:100" hidden="1" x14ac:dyDescent="0.25">
      <c r="A330" t="s">
        <v>388</v>
      </c>
      <c r="B330" t="s">
        <v>397</v>
      </c>
      <c r="C330">
        <v>2282600329</v>
      </c>
      <c r="D330" t="s">
        <v>58</v>
      </c>
      <c r="E330" s="2">
        <v>0</v>
      </c>
      <c r="F330" s="1">
        <v>46307</v>
      </c>
      <c r="G330" s="1"/>
      <c r="H330" s="1">
        <v>0</v>
      </c>
      <c r="I330" s="1">
        <v>46327</v>
      </c>
      <c r="J330">
        <v>46230</v>
      </c>
      <c r="K330" s="1"/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>
        <v>28.87</v>
      </c>
      <c r="BF330" s="3" t="str">
        <f>+IF(AVANCE[[#This Row],[% AVANCE]]=100%,"MODULO TERMINADO",IF(AVANCE[[#This Row],[FECHA INICIO REAL]]="","MODULO NO INICIADO","PENDIENTE"))</f>
        <v>MODULO NO INICIADO</v>
      </c>
      <c r="BG330" s="3">
        <f>+IF(AVANCE[[#This Row],[VENTANAS]]=8.10810810810811%,100%,AVANCE[[#This Row],[VENTANAS]])</f>
        <v>0</v>
      </c>
      <c r="BH330" s="3">
        <f>+IF(AVANCE[[#This Row],[PISO]]=N$2,100%,AVANCE[[#This Row],[PISO]])</f>
        <v>0</v>
      </c>
      <c r="BI330" s="3">
        <f>+IF(AVANCE[[#This Row],[TABIQUES]]=O$2,100%,AVANCE[[#This Row],[TABIQUES]])</f>
        <v>0</v>
      </c>
      <c r="BJ330" s="3">
        <f>+IF(AVANCE[[#This Row],[MUROS]]=P$2,100%,AVANCE[[#This Row],[MUROS]])</f>
        <v>0</v>
      </c>
      <c r="BK330" s="3">
        <f>+IF(AVANCE[[#This Row],[CIELO]]=Q$2,100%,AVANCE[[#This Row],[CIELO]])</f>
        <v>0</v>
      </c>
      <c r="BL330" s="3">
        <f>+IF(AVANCE[[#This Row],[BALCÓN]]=R$2,100%,AVANCE[[#This Row],[BALCÓN]])</f>
        <v>0</v>
      </c>
      <c r="BM330" s="3">
        <f>+IF(AVANCE[[#This Row],[RED ALCANTARILLADO]]=U$2,100%,AVANCE[[#This Row],[RED ALCANTARILLADO]])</f>
        <v>0</v>
      </c>
      <c r="BN330" s="3">
        <f>+IF(AVANCE[[#This Row],[RED DE AGUA]]=V$2,100%,AVANCE[[#This Row],[RED DE AGUA]])</f>
        <v>0</v>
      </c>
      <c r="BO330" s="3">
        <f>+IF(AVANCE[[#This Row],[VENTILACIONES]]=W$2,100%,AVANCE[[#This Row],[VENTILACIONES]])</f>
        <v>0</v>
      </c>
      <c r="BP330" s="3">
        <f>+IF(AVANCE[[#This Row],[TINA]]=X$2,100%,AVANCE[[#This Row],[TINA]])</f>
        <v>0</v>
      </c>
      <c r="BQ330" s="3">
        <f>+IF(AVANCE[[#This Row],[WC]]=Y$2,100%,AVANCE[[#This Row],[WC]])</f>
        <v>0</v>
      </c>
      <c r="BR330" s="3">
        <f>+IF(AVANCE[[#This Row],[LAVAMANOS / LAVAPLATOS / LAVADERO]]=Z$2,100%,AVANCE[[#This Row],[LAVAMANOS / LAVAPLATOS / LAVADERO]])</f>
        <v>0</v>
      </c>
      <c r="BS330" s="3">
        <f>+IF(AVANCE[[#This Row],[CANALIZACIÓN]]=AC$2,100%,AVANCE[[#This Row],[CANALIZACIÓN]])</f>
        <v>0</v>
      </c>
      <c r="BT330" s="3">
        <f>+IF(AVANCE[[#This Row],[CABLEADO]]=AD$2,100%,AVANCE[[#This Row],[CABLEADO]])</f>
        <v>0</v>
      </c>
      <c r="BU330" s="3">
        <f>+IF(AVANCE[[#This Row],[ARTEFACTOS]]=AE$2,100%,AVANCE[[#This Row],[ARTEFACTOS]])</f>
        <v>0</v>
      </c>
      <c r="BV330" s="3">
        <f>+IF(AVANCE[[#This Row],[TABLERO]]=AF$2,100%,AVANCE[[#This Row],[TABLERO]])</f>
        <v>0</v>
      </c>
      <c r="BW330" s="3">
        <f>+IF(AVANCE[[#This Row],[CAJA PAU]]=AG$2,100%,AVANCE[[#This Row],[CAJA PAU]])</f>
        <v>0</v>
      </c>
      <c r="BX330" s="3">
        <f>+IF(AVANCE[[#This Row],[INSTALACION VINILICO]]=AJ$2,100%,AVANCE[[#This Row],[INSTALACION VINILICO]])</f>
        <v>0</v>
      </c>
      <c r="BY330" s="3">
        <f>+IF(AVANCE[[#This Row],[OSB CUBIERTA]]=AK$2,100%,AVANCE[[#This Row],[OSB CUBIERTA]])</f>
        <v>0</v>
      </c>
      <c r="BZ330" s="3">
        <f>+IF(AVANCE[[#This Row],[BARANDA BALCON]]=AL$2,100%,AVANCE[[#This Row],[BARANDA BALCON]])</f>
        <v>0</v>
      </c>
      <c r="CA330" s="3">
        <f>+IF(AVANCE[[#This Row],[OSB EXTERIOR]]=AM$2,100%,AVANCE[[#This Row],[OSB EXTERIOR]])</f>
        <v>0</v>
      </c>
      <c r="CB330" s="3">
        <f>+IF(AVANCE[[#This Row],[SMART PANEL]]=AN$2,100%,AVANCE[[#This Row],[SMART PANEL]])</f>
        <v>0</v>
      </c>
      <c r="CC330" s="3">
        <f>+IF(AVANCE[[#This Row],[PINTURA EXTERIOR]]=AO$2,100%,AVANCE[[#This Row],[PINTURA EXTERIOR]])</f>
        <v>0</v>
      </c>
      <c r="CD330" s="3">
        <f>+IF(AVANCE[[#This Row],[ZOCALOS LOGIA]]=AP$2,100%,AVANCE[[#This Row],[ZOCALOS LOGIA]])</f>
        <v>0</v>
      </c>
      <c r="CE330" s="3">
        <f>+IF(AVANCE[[#This Row],[MOLDURAS]]=AQ$2,100%,AVANCE[[#This Row],[MOLDURAS]])</f>
        <v>0</v>
      </c>
      <c r="CF330" s="3">
        <f>+IF(AVANCE[[#This Row],[PILASTREO]]=AR$2,100%,AVANCE[[#This Row],[PILASTREO]])</f>
        <v>0</v>
      </c>
      <c r="CG330" s="3">
        <f>+IF(AVANCE[[#This Row],[CELOSIAS]]=AS$2,100%,AVANCE[[#This Row],[CELOSIAS]])</f>
        <v>0</v>
      </c>
      <c r="CH330" s="3">
        <f>+IF(AVANCE[[#This Row],[VENTANAS]]=AT$2,100%,AVANCE[[#This Row],[VENTANAS]])</f>
        <v>0</v>
      </c>
      <c r="CI330" s="3">
        <f>+IF(AVANCE[[#This Row],[PUERTAS ACCESO - LOGIA - BANO]]=AU$2,100%,AVANCE[[#This Row],[PUERTAS ACCESO - LOGIA - BANO]])</f>
        <v>0</v>
      </c>
      <c r="CJ330" s="3">
        <f>+IF(AVANCE[[#This Row],[CERRADURAS]]=AV$2,100%,AVANCE[[#This Row],[CERRADURAS]])</f>
        <v>0</v>
      </c>
      <c r="CK330" s="3">
        <f>+IF(AVANCE[[#This Row],[REVESTIMIENTO INTERIOR ZONA SECA]]=AW$2,100%,AVANCE[[#This Row],[REVESTIMIENTO INTERIOR ZONA SECA]])</f>
        <v>0</v>
      </c>
      <c r="CL330" s="3">
        <f>+IF(AVANCE[[#This Row],[REVESTIMIENTO INTERIOR ZONAS HUMEDAS]]=AX$2,100%,AVANCE[[#This Row],[REVESTIMIENTO INTERIOR ZONAS HUMEDAS]])</f>
        <v>0</v>
      </c>
      <c r="CM330" s="3">
        <f>+IF(AVANCE[[#This Row],[MEMBRANA CIELO]]=AY$2,100%,AVANCE[[#This Row],[MEMBRANA CIELO]])</f>
        <v>0</v>
      </c>
      <c r="CN330" s="3">
        <f>+IF(AVANCE[[#This Row],[LIMPIEZA FINAL]]=AZ$2,100%,AVANCE[[#This Row],[LIMPIEZA FINAL]])</f>
        <v>0</v>
      </c>
      <c r="CO330" s="3">
        <f>+IF(AVANCE[[#This Row],[PUERTAS DORMITORIO]]=BA$2,100%,AVANCE[[#This Row],[PUERTAS DORMITORIO]])</f>
        <v>0</v>
      </c>
      <c r="CP330" s="3">
        <f>+IF(AVANCE[[#This Row],[REVESTIMIENTO INTERIOR BANO]]=BB$2,100%,AVANCE[[#This Row],[REVESTIMIENTO INTERIOR BANO]])</f>
        <v>0</v>
      </c>
      <c r="CQ330" s="3">
        <f>+IF(AVANCE[[#This Row],[MUEBLE LAVAPLATOS]]=BC$2,100%,AVANCE[[#This Row],[MUEBLE LAVAPLATOS]])</f>
        <v>0</v>
      </c>
      <c r="CR330" s="3">
        <f>+IF(AVANCE[[#This Row],[IMPERMEABILIZACION BANO - COCINA LOGIA]]=BD$2,100%,AVANCE[[#This Row],[IMPERMEABILIZACION BANO - COCINA LOGIA]])</f>
        <v>0</v>
      </c>
      <c r="CS330" s="40">
        <f ca="1">+IF(AVANCE[[#This Row],[ESTADO MODULO]]="PENDIENTE",(TODAY()-AVANCE[[#This Row],[FECHA TERMINO  PLANIFICADO]]),0)</f>
        <v>0</v>
      </c>
      <c r="CT330" s="41" t="str" cm="1">
        <f t="array" ref="CT330">_xlfn.TEXTJOIN(" | ",TRUE,IF(SUMPRODUCT((BG330:CR330&lt;1)*(PARTIDAS!$I$2:$AT$2="OBRA GRUESA"))&gt;0,"OBRA GRUESA: "&amp;_xlfn.TEXTJOIN(", ",TRUE,IF((BG330:CR330&lt;1)*(PARTIDAS!$I$2:$AT$2="OBRA GRUESA"),PARTIDAS!$I$1:$AT$1,"")),""),IF(SUMPRODUCT((BG330:CR330&lt;1)*(PARTIDAS!$I$2:$AT$2="SANITARIOS"))&gt;0,"SANITARIOS: "&amp;_xlfn.TEXTJOIN(", ",TRUE,IF((BG330:CR330&lt;1)*(PARTIDAS!$I$2:$AT$2="SANITARIOS"),PARTIDAS!$I$1:$AT$1,"")),""),IF(SUMPRODUCT((BG330:CR330&lt;1)*(PARTIDAS!$I$2:$AT$2="ELÉCTRICO"))&gt;0,"ELÉCTRICO: "&amp;_xlfn.TEXTJOIN(", ",TRUE,IF((BG330:CR330&lt;1)*(PARTIDAS!$I$2:$AT$2="ELÉCTRICO"),PARTIDAS!$I$1:$AT$1,"")),""),IF(SUMPRODUCT((BG330:CR330&lt;1)*(PARTIDAS!$I$2:$AT$2="TERMINACIONES"))&gt;0,"TERMINACIONES: "&amp;_xlfn.TEXTJOIN(", ",TRUE,IF((BG330:CR330&lt;1)*(PARTIDAS!$I$2:$AT$2="TERMINACIONES"),PARTIDAS!$I$1:$AT$1,"")),""))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0" s="43" t="str" cm="1">
        <f t="array" ref="CU330">_xlfn.TEXTJOIN(", ",TRUE,IF(SUMPRODUCT((BG330:CR330&lt;1)*(PARTIDAS!$I$2:$AT$2="OBRA GRUESA"))&gt;0,"OBRA GRUESA",""),IF(SUMPRODUCT((BG330:CR330&lt;1)*(PARTIDAS!$I$2:$AT$2="SANITARIOS"))&gt;0,"SANITARIOS",""),IF(SUMPRODUCT((BG330:CR330&lt;1)*(PARTIDAS!$I$2:$AT$2="ELÉCTRICO"))&gt;0,"ELÉCTRICO",""),IF(SUMPRODUCT((BG330:CR330&lt;1)*(PARTIDAS!$I$2:$AT$2="TERMINACIONES"))&gt;0,"TERMINACIONES",""))</f>
        <v>OBRA GRUESA, SANITARIOS, ELÉCTRICO, TERMINACIONES</v>
      </c>
      <c r="CV330" s="44" cm="1">
        <f t="array" ref="CV330">SUMPRODUCT(--(BG330:CR330&lt;1))</f>
        <v>38</v>
      </c>
    </row>
    <row r="331" spans="1:100" hidden="1" x14ac:dyDescent="0.25">
      <c r="A331" t="s">
        <v>388</v>
      </c>
      <c r="B331" t="s">
        <v>398</v>
      </c>
      <c r="C331">
        <v>2302600330</v>
      </c>
      <c r="D331" t="s">
        <v>60</v>
      </c>
      <c r="E331" s="2">
        <v>0</v>
      </c>
      <c r="F331" s="1">
        <v>46307</v>
      </c>
      <c r="G331" s="1"/>
      <c r="H331" s="1">
        <v>0</v>
      </c>
      <c r="I331" s="1">
        <v>46337</v>
      </c>
      <c r="J331">
        <v>46230</v>
      </c>
      <c r="K331" s="1"/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>
        <v>31.32</v>
      </c>
      <c r="BF331" s="3" t="str">
        <f>+IF(AVANCE[[#This Row],[% AVANCE]]=100%,"MODULO TERMINADO",IF(AVANCE[[#This Row],[FECHA INICIO REAL]]="","MODULO NO INICIADO","PENDIENTE"))</f>
        <v>MODULO NO INICIADO</v>
      </c>
      <c r="BG331" s="3">
        <f>+IF(AVANCE[[#This Row],[VENTANAS]]=8.10810810810811%,100%,AVANCE[[#This Row],[VENTANAS]])</f>
        <v>0</v>
      </c>
      <c r="BH331" s="3">
        <f>+IF(AVANCE[[#This Row],[PISO]]=N$2,100%,AVANCE[[#This Row],[PISO]])</f>
        <v>0</v>
      </c>
      <c r="BI331" s="3">
        <f>+IF(AVANCE[[#This Row],[TABIQUES]]=O$2,100%,AVANCE[[#This Row],[TABIQUES]])</f>
        <v>0</v>
      </c>
      <c r="BJ331" s="3">
        <f>+IF(AVANCE[[#This Row],[MUROS]]=P$2,100%,AVANCE[[#This Row],[MUROS]])</f>
        <v>0</v>
      </c>
      <c r="BK331" s="3">
        <f>+IF(AVANCE[[#This Row],[CIELO]]=Q$2,100%,AVANCE[[#This Row],[CIELO]])</f>
        <v>0</v>
      </c>
      <c r="BL331" s="3">
        <f>+IF(AVANCE[[#This Row],[BALCÓN]]=R$2,100%,AVANCE[[#This Row],[BALCÓN]])</f>
        <v>0</v>
      </c>
      <c r="BM331" s="3">
        <f>+IF(AVANCE[[#This Row],[RED ALCANTARILLADO]]=U$2,100%,AVANCE[[#This Row],[RED ALCANTARILLADO]])</f>
        <v>0</v>
      </c>
      <c r="BN331" s="3">
        <f>+IF(AVANCE[[#This Row],[RED DE AGUA]]=V$2,100%,AVANCE[[#This Row],[RED DE AGUA]])</f>
        <v>0</v>
      </c>
      <c r="BO331" s="3">
        <f>+IF(AVANCE[[#This Row],[VENTILACIONES]]=W$2,100%,AVANCE[[#This Row],[VENTILACIONES]])</f>
        <v>0</v>
      </c>
      <c r="BP331" s="3">
        <f>+IF(AVANCE[[#This Row],[TINA]]=X$2,100%,AVANCE[[#This Row],[TINA]])</f>
        <v>0</v>
      </c>
      <c r="BQ331" s="3">
        <f>+IF(AVANCE[[#This Row],[WC]]=Y$2,100%,AVANCE[[#This Row],[WC]])</f>
        <v>0</v>
      </c>
      <c r="BR331" s="3">
        <f>+IF(AVANCE[[#This Row],[LAVAMANOS / LAVAPLATOS / LAVADERO]]=Z$2,100%,AVANCE[[#This Row],[LAVAMANOS / LAVAPLATOS / LAVADERO]])</f>
        <v>0</v>
      </c>
      <c r="BS331" s="3">
        <f>+IF(AVANCE[[#This Row],[CANALIZACIÓN]]=AC$2,100%,AVANCE[[#This Row],[CANALIZACIÓN]])</f>
        <v>0</v>
      </c>
      <c r="BT331" s="3">
        <f>+IF(AVANCE[[#This Row],[CABLEADO]]=AD$2,100%,AVANCE[[#This Row],[CABLEADO]])</f>
        <v>0</v>
      </c>
      <c r="BU331" s="3">
        <f>+IF(AVANCE[[#This Row],[ARTEFACTOS]]=AE$2,100%,AVANCE[[#This Row],[ARTEFACTOS]])</f>
        <v>0</v>
      </c>
      <c r="BV331" s="3">
        <f>+IF(AVANCE[[#This Row],[TABLERO]]=AF$2,100%,AVANCE[[#This Row],[TABLERO]])</f>
        <v>0</v>
      </c>
      <c r="BW331" s="3">
        <f>+IF(AVANCE[[#This Row],[CAJA PAU]]=AG$2,100%,AVANCE[[#This Row],[CAJA PAU]])</f>
        <v>0</v>
      </c>
      <c r="BX331" s="3">
        <f>+IF(AVANCE[[#This Row],[INSTALACION VINILICO]]=AJ$2,100%,AVANCE[[#This Row],[INSTALACION VINILICO]])</f>
        <v>0</v>
      </c>
      <c r="BY331" s="3">
        <f>+IF(AVANCE[[#This Row],[OSB CUBIERTA]]=AK$2,100%,AVANCE[[#This Row],[OSB CUBIERTA]])</f>
        <v>0</v>
      </c>
      <c r="BZ331" s="3">
        <f>+IF(AVANCE[[#This Row],[BARANDA BALCON]]=AL$2,100%,AVANCE[[#This Row],[BARANDA BALCON]])</f>
        <v>0</v>
      </c>
      <c r="CA331" s="3">
        <f>+IF(AVANCE[[#This Row],[OSB EXTERIOR]]=AM$2,100%,AVANCE[[#This Row],[OSB EXTERIOR]])</f>
        <v>0</v>
      </c>
      <c r="CB331" s="3">
        <f>+IF(AVANCE[[#This Row],[SMART PANEL]]=AN$2,100%,AVANCE[[#This Row],[SMART PANEL]])</f>
        <v>0</v>
      </c>
      <c r="CC331" s="3">
        <f>+IF(AVANCE[[#This Row],[PINTURA EXTERIOR]]=AO$2,100%,AVANCE[[#This Row],[PINTURA EXTERIOR]])</f>
        <v>0</v>
      </c>
      <c r="CD331" s="3">
        <f>+IF(AVANCE[[#This Row],[ZOCALOS LOGIA]]=AP$2,100%,AVANCE[[#This Row],[ZOCALOS LOGIA]])</f>
        <v>0</v>
      </c>
      <c r="CE331" s="3">
        <f>+IF(AVANCE[[#This Row],[MOLDURAS]]=AQ$2,100%,AVANCE[[#This Row],[MOLDURAS]])</f>
        <v>0</v>
      </c>
      <c r="CF331" s="3">
        <f>+IF(AVANCE[[#This Row],[PILASTREO]]=AR$2,100%,AVANCE[[#This Row],[PILASTREO]])</f>
        <v>0</v>
      </c>
      <c r="CG331" s="3">
        <f>+IF(AVANCE[[#This Row],[CELOSIAS]]=AS$2,100%,AVANCE[[#This Row],[CELOSIAS]])</f>
        <v>0</v>
      </c>
      <c r="CH331" s="3">
        <f>+IF(AVANCE[[#This Row],[VENTANAS]]=AT$2,100%,AVANCE[[#This Row],[VENTANAS]])</f>
        <v>0</v>
      </c>
      <c r="CI331" s="3">
        <f>+IF(AVANCE[[#This Row],[PUERTAS ACCESO - LOGIA - BANO]]=AU$2,100%,AVANCE[[#This Row],[PUERTAS ACCESO - LOGIA - BANO]])</f>
        <v>0</v>
      </c>
      <c r="CJ331" s="3">
        <f>+IF(AVANCE[[#This Row],[CERRADURAS]]=AV$2,100%,AVANCE[[#This Row],[CERRADURAS]])</f>
        <v>0</v>
      </c>
      <c r="CK331" s="3">
        <f>+IF(AVANCE[[#This Row],[REVESTIMIENTO INTERIOR ZONA SECA]]=AW$2,100%,AVANCE[[#This Row],[REVESTIMIENTO INTERIOR ZONA SECA]])</f>
        <v>0</v>
      </c>
      <c r="CL331" s="3">
        <f>+IF(AVANCE[[#This Row],[REVESTIMIENTO INTERIOR ZONAS HUMEDAS]]=AX$2,100%,AVANCE[[#This Row],[REVESTIMIENTO INTERIOR ZONAS HUMEDAS]])</f>
        <v>0</v>
      </c>
      <c r="CM331" s="3">
        <f>+IF(AVANCE[[#This Row],[MEMBRANA CIELO]]=AY$2,100%,AVANCE[[#This Row],[MEMBRANA CIELO]])</f>
        <v>0</v>
      </c>
      <c r="CN331" s="3">
        <f>+IF(AVANCE[[#This Row],[LIMPIEZA FINAL]]=AZ$2,100%,AVANCE[[#This Row],[LIMPIEZA FINAL]])</f>
        <v>0</v>
      </c>
      <c r="CO331" s="3">
        <f>+IF(AVANCE[[#This Row],[PUERTAS DORMITORIO]]=BA$2,100%,AVANCE[[#This Row],[PUERTAS DORMITORIO]])</f>
        <v>0</v>
      </c>
      <c r="CP331" s="3">
        <f>+IF(AVANCE[[#This Row],[REVESTIMIENTO INTERIOR BANO]]=BB$2,100%,AVANCE[[#This Row],[REVESTIMIENTO INTERIOR BANO]])</f>
        <v>0</v>
      </c>
      <c r="CQ331" s="3">
        <f>+IF(AVANCE[[#This Row],[MUEBLE LAVAPLATOS]]=BC$2,100%,AVANCE[[#This Row],[MUEBLE LAVAPLATOS]])</f>
        <v>0</v>
      </c>
      <c r="CR331" s="3">
        <f>+IF(AVANCE[[#This Row],[IMPERMEABILIZACION BANO - COCINA LOGIA]]=BD$2,100%,AVANCE[[#This Row],[IMPERMEABILIZACION BANO - COCINA LOGIA]])</f>
        <v>0</v>
      </c>
      <c r="CS331" s="40">
        <f ca="1">+IF(AVANCE[[#This Row],[ESTADO MODULO]]="PENDIENTE",(TODAY()-AVANCE[[#This Row],[FECHA TERMINO  PLANIFICADO]]),0)</f>
        <v>0</v>
      </c>
      <c r="CT331" s="41" t="str" cm="1">
        <f t="array" ref="CT331">_xlfn.TEXTJOIN(" | ",TRUE,IF(SUMPRODUCT((BG331:CR331&lt;1)*(PARTIDAS!$I$2:$AT$2="OBRA GRUESA"))&gt;0,"OBRA GRUESA: "&amp;_xlfn.TEXTJOIN(", ",TRUE,IF((BG331:CR331&lt;1)*(PARTIDAS!$I$2:$AT$2="OBRA GRUESA"),PARTIDAS!$I$1:$AT$1,"")),""),IF(SUMPRODUCT((BG331:CR331&lt;1)*(PARTIDAS!$I$2:$AT$2="SANITARIOS"))&gt;0,"SANITARIOS: "&amp;_xlfn.TEXTJOIN(", ",TRUE,IF((BG331:CR331&lt;1)*(PARTIDAS!$I$2:$AT$2="SANITARIOS"),PARTIDAS!$I$1:$AT$1,"")),""),IF(SUMPRODUCT((BG331:CR331&lt;1)*(PARTIDAS!$I$2:$AT$2="ELÉCTRICO"))&gt;0,"ELÉCTRICO: "&amp;_xlfn.TEXTJOIN(", ",TRUE,IF((BG331:CR331&lt;1)*(PARTIDAS!$I$2:$AT$2="ELÉCTRICO"),PARTIDAS!$I$1:$AT$1,"")),""),IF(SUMPRODUCT((BG331:CR331&lt;1)*(PARTIDAS!$I$2:$AT$2="TERMINACIONES"))&gt;0,"TERMINACIONES: "&amp;_xlfn.TEXTJOIN(", ",TRUE,IF((BG331:CR331&lt;1)*(PARTIDAS!$I$2:$AT$2="TERMINACIONES"),PARTIDAS!$I$1:$AT$1,"")),""))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1" s="43" t="str" cm="1">
        <f t="array" ref="CU331">_xlfn.TEXTJOIN(", ",TRUE,IF(SUMPRODUCT((BG331:CR331&lt;1)*(PARTIDAS!$I$2:$AT$2="OBRA GRUESA"))&gt;0,"OBRA GRUESA",""),IF(SUMPRODUCT((BG331:CR331&lt;1)*(PARTIDAS!$I$2:$AT$2="SANITARIOS"))&gt;0,"SANITARIOS",""),IF(SUMPRODUCT((BG331:CR331&lt;1)*(PARTIDAS!$I$2:$AT$2="ELÉCTRICO"))&gt;0,"ELÉCTRICO",""),IF(SUMPRODUCT((BG331:CR331&lt;1)*(PARTIDAS!$I$2:$AT$2="TERMINACIONES"))&gt;0,"TERMINACIONES",""))</f>
        <v>OBRA GRUESA, SANITARIOS, ELÉCTRICO, TERMINACIONES</v>
      </c>
      <c r="CV331" s="44" cm="1">
        <f t="array" ref="CV331">SUMPRODUCT(--(BG331:CR331&lt;1))</f>
        <v>38</v>
      </c>
    </row>
    <row r="332" spans="1:100" hidden="1" x14ac:dyDescent="0.25">
      <c r="A332" t="s">
        <v>388</v>
      </c>
      <c r="B332" t="s">
        <v>399</v>
      </c>
      <c r="C332">
        <v>2302600331</v>
      </c>
      <c r="D332" t="s">
        <v>60</v>
      </c>
      <c r="E332" s="2">
        <v>0</v>
      </c>
      <c r="F332" s="1">
        <v>46307</v>
      </c>
      <c r="G332" s="1"/>
      <c r="H332" s="1">
        <v>0</v>
      </c>
      <c r="I332" s="1">
        <v>46337</v>
      </c>
      <c r="J332">
        <v>46230</v>
      </c>
      <c r="K332" s="1"/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>
        <v>31.32</v>
      </c>
      <c r="BF332" s="3" t="str">
        <f>+IF(AVANCE[[#This Row],[% AVANCE]]=100%,"MODULO TERMINADO",IF(AVANCE[[#This Row],[FECHA INICIO REAL]]="","MODULO NO INICIADO","PENDIENTE"))</f>
        <v>MODULO NO INICIADO</v>
      </c>
      <c r="BG332" s="3">
        <f>+IF(AVANCE[[#This Row],[VENTANAS]]=8.10810810810811%,100%,AVANCE[[#This Row],[VENTANAS]])</f>
        <v>0</v>
      </c>
      <c r="BH332" s="3">
        <f>+IF(AVANCE[[#This Row],[PISO]]=N$2,100%,AVANCE[[#This Row],[PISO]])</f>
        <v>0</v>
      </c>
      <c r="BI332" s="3">
        <f>+IF(AVANCE[[#This Row],[TABIQUES]]=O$2,100%,AVANCE[[#This Row],[TABIQUES]])</f>
        <v>0</v>
      </c>
      <c r="BJ332" s="3">
        <f>+IF(AVANCE[[#This Row],[MUROS]]=P$2,100%,AVANCE[[#This Row],[MUROS]])</f>
        <v>0</v>
      </c>
      <c r="BK332" s="3">
        <f>+IF(AVANCE[[#This Row],[CIELO]]=Q$2,100%,AVANCE[[#This Row],[CIELO]])</f>
        <v>0</v>
      </c>
      <c r="BL332" s="3">
        <f>+IF(AVANCE[[#This Row],[BALCÓN]]=R$2,100%,AVANCE[[#This Row],[BALCÓN]])</f>
        <v>0</v>
      </c>
      <c r="BM332" s="3">
        <f>+IF(AVANCE[[#This Row],[RED ALCANTARILLADO]]=U$2,100%,AVANCE[[#This Row],[RED ALCANTARILLADO]])</f>
        <v>0</v>
      </c>
      <c r="BN332" s="3">
        <f>+IF(AVANCE[[#This Row],[RED DE AGUA]]=V$2,100%,AVANCE[[#This Row],[RED DE AGUA]])</f>
        <v>0</v>
      </c>
      <c r="BO332" s="3">
        <f>+IF(AVANCE[[#This Row],[VENTILACIONES]]=W$2,100%,AVANCE[[#This Row],[VENTILACIONES]])</f>
        <v>0</v>
      </c>
      <c r="BP332" s="3">
        <f>+IF(AVANCE[[#This Row],[TINA]]=X$2,100%,AVANCE[[#This Row],[TINA]])</f>
        <v>0</v>
      </c>
      <c r="BQ332" s="3">
        <f>+IF(AVANCE[[#This Row],[WC]]=Y$2,100%,AVANCE[[#This Row],[WC]])</f>
        <v>0</v>
      </c>
      <c r="BR332" s="3">
        <f>+IF(AVANCE[[#This Row],[LAVAMANOS / LAVAPLATOS / LAVADERO]]=Z$2,100%,AVANCE[[#This Row],[LAVAMANOS / LAVAPLATOS / LAVADERO]])</f>
        <v>0</v>
      </c>
      <c r="BS332" s="3">
        <f>+IF(AVANCE[[#This Row],[CANALIZACIÓN]]=AC$2,100%,AVANCE[[#This Row],[CANALIZACIÓN]])</f>
        <v>0</v>
      </c>
      <c r="BT332" s="3">
        <f>+IF(AVANCE[[#This Row],[CABLEADO]]=AD$2,100%,AVANCE[[#This Row],[CABLEADO]])</f>
        <v>0</v>
      </c>
      <c r="BU332" s="3">
        <f>+IF(AVANCE[[#This Row],[ARTEFACTOS]]=AE$2,100%,AVANCE[[#This Row],[ARTEFACTOS]])</f>
        <v>0</v>
      </c>
      <c r="BV332" s="3">
        <f>+IF(AVANCE[[#This Row],[TABLERO]]=AF$2,100%,AVANCE[[#This Row],[TABLERO]])</f>
        <v>0</v>
      </c>
      <c r="BW332" s="3">
        <f>+IF(AVANCE[[#This Row],[CAJA PAU]]=AG$2,100%,AVANCE[[#This Row],[CAJA PAU]])</f>
        <v>0</v>
      </c>
      <c r="BX332" s="3">
        <f>+IF(AVANCE[[#This Row],[INSTALACION VINILICO]]=AJ$2,100%,AVANCE[[#This Row],[INSTALACION VINILICO]])</f>
        <v>0</v>
      </c>
      <c r="BY332" s="3">
        <f>+IF(AVANCE[[#This Row],[OSB CUBIERTA]]=AK$2,100%,AVANCE[[#This Row],[OSB CUBIERTA]])</f>
        <v>0</v>
      </c>
      <c r="BZ332" s="3">
        <f>+IF(AVANCE[[#This Row],[BARANDA BALCON]]=AL$2,100%,AVANCE[[#This Row],[BARANDA BALCON]])</f>
        <v>0</v>
      </c>
      <c r="CA332" s="3">
        <f>+IF(AVANCE[[#This Row],[OSB EXTERIOR]]=AM$2,100%,AVANCE[[#This Row],[OSB EXTERIOR]])</f>
        <v>0</v>
      </c>
      <c r="CB332" s="3">
        <f>+IF(AVANCE[[#This Row],[SMART PANEL]]=AN$2,100%,AVANCE[[#This Row],[SMART PANEL]])</f>
        <v>0</v>
      </c>
      <c r="CC332" s="3">
        <f>+IF(AVANCE[[#This Row],[PINTURA EXTERIOR]]=AO$2,100%,AVANCE[[#This Row],[PINTURA EXTERIOR]])</f>
        <v>0</v>
      </c>
      <c r="CD332" s="3">
        <f>+IF(AVANCE[[#This Row],[ZOCALOS LOGIA]]=AP$2,100%,AVANCE[[#This Row],[ZOCALOS LOGIA]])</f>
        <v>0</v>
      </c>
      <c r="CE332" s="3">
        <f>+IF(AVANCE[[#This Row],[MOLDURAS]]=AQ$2,100%,AVANCE[[#This Row],[MOLDURAS]])</f>
        <v>0</v>
      </c>
      <c r="CF332" s="3">
        <f>+IF(AVANCE[[#This Row],[PILASTREO]]=AR$2,100%,AVANCE[[#This Row],[PILASTREO]])</f>
        <v>0</v>
      </c>
      <c r="CG332" s="3">
        <f>+IF(AVANCE[[#This Row],[CELOSIAS]]=AS$2,100%,AVANCE[[#This Row],[CELOSIAS]])</f>
        <v>0</v>
      </c>
      <c r="CH332" s="3">
        <f>+IF(AVANCE[[#This Row],[VENTANAS]]=AT$2,100%,AVANCE[[#This Row],[VENTANAS]])</f>
        <v>0</v>
      </c>
      <c r="CI332" s="3">
        <f>+IF(AVANCE[[#This Row],[PUERTAS ACCESO - LOGIA - BANO]]=AU$2,100%,AVANCE[[#This Row],[PUERTAS ACCESO - LOGIA - BANO]])</f>
        <v>0</v>
      </c>
      <c r="CJ332" s="3">
        <f>+IF(AVANCE[[#This Row],[CERRADURAS]]=AV$2,100%,AVANCE[[#This Row],[CERRADURAS]])</f>
        <v>0</v>
      </c>
      <c r="CK332" s="3">
        <f>+IF(AVANCE[[#This Row],[REVESTIMIENTO INTERIOR ZONA SECA]]=AW$2,100%,AVANCE[[#This Row],[REVESTIMIENTO INTERIOR ZONA SECA]])</f>
        <v>0</v>
      </c>
      <c r="CL332" s="3">
        <f>+IF(AVANCE[[#This Row],[REVESTIMIENTO INTERIOR ZONAS HUMEDAS]]=AX$2,100%,AVANCE[[#This Row],[REVESTIMIENTO INTERIOR ZONAS HUMEDAS]])</f>
        <v>0</v>
      </c>
      <c r="CM332" s="3">
        <f>+IF(AVANCE[[#This Row],[MEMBRANA CIELO]]=AY$2,100%,AVANCE[[#This Row],[MEMBRANA CIELO]])</f>
        <v>0</v>
      </c>
      <c r="CN332" s="3">
        <f>+IF(AVANCE[[#This Row],[LIMPIEZA FINAL]]=AZ$2,100%,AVANCE[[#This Row],[LIMPIEZA FINAL]])</f>
        <v>0</v>
      </c>
      <c r="CO332" s="3">
        <f>+IF(AVANCE[[#This Row],[PUERTAS DORMITORIO]]=BA$2,100%,AVANCE[[#This Row],[PUERTAS DORMITORIO]])</f>
        <v>0</v>
      </c>
      <c r="CP332" s="3">
        <f>+IF(AVANCE[[#This Row],[REVESTIMIENTO INTERIOR BANO]]=BB$2,100%,AVANCE[[#This Row],[REVESTIMIENTO INTERIOR BANO]])</f>
        <v>0</v>
      </c>
      <c r="CQ332" s="3">
        <f>+IF(AVANCE[[#This Row],[MUEBLE LAVAPLATOS]]=BC$2,100%,AVANCE[[#This Row],[MUEBLE LAVAPLATOS]])</f>
        <v>0</v>
      </c>
      <c r="CR332" s="3">
        <f>+IF(AVANCE[[#This Row],[IMPERMEABILIZACION BANO - COCINA LOGIA]]=BD$2,100%,AVANCE[[#This Row],[IMPERMEABILIZACION BANO - COCINA LOGIA]])</f>
        <v>0</v>
      </c>
      <c r="CS332" s="40">
        <f ca="1">+IF(AVANCE[[#This Row],[ESTADO MODULO]]="PENDIENTE",(TODAY()-AVANCE[[#This Row],[FECHA TERMINO  PLANIFICADO]]),0)</f>
        <v>0</v>
      </c>
      <c r="CT332" s="41" t="str" cm="1">
        <f t="array" ref="CT332">_xlfn.TEXTJOIN(" | ",TRUE,IF(SUMPRODUCT((BG332:CR332&lt;1)*(PARTIDAS!$I$2:$AT$2="OBRA GRUESA"))&gt;0,"OBRA GRUESA: "&amp;_xlfn.TEXTJOIN(", ",TRUE,IF((BG332:CR332&lt;1)*(PARTIDAS!$I$2:$AT$2="OBRA GRUESA"),PARTIDAS!$I$1:$AT$1,"")),""),IF(SUMPRODUCT((BG332:CR332&lt;1)*(PARTIDAS!$I$2:$AT$2="SANITARIOS"))&gt;0,"SANITARIOS: "&amp;_xlfn.TEXTJOIN(", ",TRUE,IF((BG332:CR332&lt;1)*(PARTIDAS!$I$2:$AT$2="SANITARIOS"),PARTIDAS!$I$1:$AT$1,"")),""),IF(SUMPRODUCT((BG332:CR332&lt;1)*(PARTIDAS!$I$2:$AT$2="ELÉCTRICO"))&gt;0,"ELÉCTRICO: "&amp;_xlfn.TEXTJOIN(", ",TRUE,IF((BG332:CR332&lt;1)*(PARTIDAS!$I$2:$AT$2="ELÉCTRICO"),PARTIDAS!$I$1:$AT$1,"")),""),IF(SUMPRODUCT((BG332:CR332&lt;1)*(PARTIDAS!$I$2:$AT$2="TERMINACIONES"))&gt;0,"TERMINACIONES: "&amp;_xlfn.TEXTJOIN(", ",TRUE,IF((BG332:CR332&lt;1)*(PARTIDAS!$I$2:$AT$2="TERMINACIONES"),PARTIDAS!$I$1:$AT$1,"")),""))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2" s="43" t="str" cm="1">
        <f t="array" ref="CU332">_xlfn.TEXTJOIN(", ",TRUE,IF(SUMPRODUCT((BG332:CR332&lt;1)*(PARTIDAS!$I$2:$AT$2="OBRA GRUESA"))&gt;0,"OBRA GRUESA",""),IF(SUMPRODUCT((BG332:CR332&lt;1)*(PARTIDAS!$I$2:$AT$2="SANITARIOS"))&gt;0,"SANITARIOS",""),IF(SUMPRODUCT((BG332:CR332&lt;1)*(PARTIDAS!$I$2:$AT$2="ELÉCTRICO"))&gt;0,"ELÉCTRICO",""),IF(SUMPRODUCT((BG332:CR332&lt;1)*(PARTIDAS!$I$2:$AT$2="TERMINACIONES"))&gt;0,"TERMINACIONES",""))</f>
        <v>OBRA GRUESA, SANITARIOS, ELÉCTRICO, TERMINACIONES</v>
      </c>
      <c r="CV332" s="44" cm="1">
        <f t="array" ref="CV332">SUMPRODUCT(--(BG332:CR332&lt;1))</f>
        <v>38</v>
      </c>
    </row>
    <row r="333" spans="1:100" hidden="1" x14ac:dyDescent="0.25">
      <c r="A333" t="s">
        <v>388</v>
      </c>
      <c r="B333" t="s">
        <v>400</v>
      </c>
      <c r="C333">
        <v>2282600332</v>
      </c>
      <c r="D333" t="s">
        <v>58</v>
      </c>
      <c r="E333" s="2">
        <v>0</v>
      </c>
      <c r="F333" s="1">
        <v>46308</v>
      </c>
      <c r="G333" s="1"/>
      <c r="H333" s="1">
        <v>0</v>
      </c>
      <c r="I333" s="1">
        <v>46328</v>
      </c>
      <c r="J333">
        <v>46230</v>
      </c>
      <c r="K333" s="1"/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>
        <v>28.87</v>
      </c>
      <c r="BF333" s="3" t="str">
        <f>+IF(AVANCE[[#This Row],[% AVANCE]]=100%,"MODULO TERMINADO",IF(AVANCE[[#This Row],[FECHA INICIO REAL]]="","MODULO NO INICIADO","PENDIENTE"))</f>
        <v>MODULO NO INICIADO</v>
      </c>
      <c r="BG333" s="3">
        <f>+IF(AVANCE[[#This Row],[VENTANAS]]=8.10810810810811%,100%,AVANCE[[#This Row],[VENTANAS]])</f>
        <v>0</v>
      </c>
      <c r="BH333" s="3">
        <f>+IF(AVANCE[[#This Row],[PISO]]=N$2,100%,AVANCE[[#This Row],[PISO]])</f>
        <v>0</v>
      </c>
      <c r="BI333" s="3">
        <f>+IF(AVANCE[[#This Row],[TABIQUES]]=O$2,100%,AVANCE[[#This Row],[TABIQUES]])</f>
        <v>0</v>
      </c>
      <c r="BJ333" s="3">
        <f>+IF(AVANCE[[#This Row],[MUROS]]=P$2,100%,AVANCE[[#This Row],[MUROS]])</f>
        <v>0</v>
      </c>
      <c r="BK333" s="3">
        <f>+IF(AVANCE[[#This Row],[CIELO]]=Q$2,100%,AVANCE[[#This Row],[CIELO]])</f>
        <v>0</v>
      </c>
      <c r="BL333" s="3">
        <f>+IF(AVANCE[[#This Row],[BALCÓN]]=R$2,100%,AVANCE[[#This Row],[BALCÓN]])</f>
        <v>0</v>
      </c>
      <c r="BM333" s="3">
        <f>+IF(AVANCE[[#This Row],[RED ALCANTARILLADO]]=U$2,100%,AVANCE[[#This Row],[RED ALCANTARILLADO]])</f>
        <v>0</v>
      </c>
      <c r="BN333" s="3">
        <f>+IF(AVANCE[[#This Row],[RED DE AGUA]]=V$2,100%,AVANCE[[#This Row],[RED DE AGUA]])</f>
        <v>0</v>
      </c>
      <c r="BO333" s="3">
        <f>+IF(AVANCE[[#This Row],[VENTILACIONES]]=W$2,100%,AVANCE[[#This Row],[VENTILACIONES]])</f>
        <v>0</v>
      </c>
      <c r="BP333" s="3">
        <f>+IF(AVANCE[[#This Row],[TINA]]=X$2,100%,AVANCE[[#This Row],[TINA]])</f>
        <v>0</v>
      </c>
      <c r="BQ333" s="3">
        <f>+IF(AVANCE[[#This Row],[WC]]=Y$2,100%,AVANCE[[#This Row],[WC]])</f>
        <v>0</v>
      </c>
      <c r="BR333" s="3">
        <f>+IF(AVANCE[[#This Row],[LAVAMANOS / LAVAPLATOS / LAVADERO]]=Z$2,100%,AVANCE[[#This Row],[LAVAMANOS / LAVAPLATOS / LAVADERO]])</f>
        <v>0</v>
      </c>
      <c r="BS333" s="3">
        <f>+IF(AVANCE[[#This Row],[CANALIZACIÓN]]=AC$2,100%,AVANCE[[#This Row],[CANALIZACIÓN]])</f>
        <v>0</v>
      </c>
      <c r="BT333" s="3">
        <f>+IF(AVANCE[[#This Row],[CABLEADO]]=AD$2,100%,AVANCE[[#This Row],[CABLEADO]])</f>
        <v>0</v>
      </c>
      <c r="BU333" s="3">
        <f>+IF(AVANCE[[#This Row],[ARTEFACTOS]]=AE$2,100%,AVANCE[[#This Row],[ARTEFACTOS]])</f>
        <v>0</v>
      </c>
      <c r="BV333" s="3">
        <f>+IF(AVANCE[[#This Row],[TABLERO]]=AF$2,100%,AVANCE[[#This Row],[TABLERO]])</f>
        <v>0</v>
      </c>
      <c r="BW333" s="3">
        <f>+IF(AVANCE[[#This Row],[CAJA PAU]]=AG$2,100%,AVANCE[[#This Row],[CAJA PAU]])</f>
        <v>0</v>
      </c>
      <c r="BX333" s="3">
        <f>+IF(AVANCE[[#This Row],[INSTALACION VINILICO]]=AJ$2,100%,AVANCE[[#This Row],[INSTALACION VINILICO]])</f>
        <v>0</v>
      </c>
      <c r="BY333" s="3">
        <f>+IF(AVANCE[[#This Row],[OSB CUBIERTA]]=AK$2,100%,AVANCE[[#This Row],[OSB CUBIERTA]])</f>
        <v>0</v>
      </c>
      <c r="BZ333" s="3">
        <f>+IF(AVANCE[[#This Row],[BARANDA BALCON]]=AL$2,100%,AVANCE[[#This Row],[BARANDA BALCON]])</f>
        <v>0</v>
      </c>
      <c r="CA333" s="3">
        <f>+IF(AVANCE[[#This Row],[OSB EXTERIOR]]=AM$2,100%,AVANCE[[#This Row],[OSB EXTERIOR]])</f>
        <v>0</v>
      </c>
      <c r="CB333" s="3">
        <f>+IF(AVANCE[[#This Row],[SMART PANEL]]=AN$2,100%,AVANCE[[#This Row],[SMART PANEL]])</f>
        <v>0</v>
      </c>
      <c r="CC333" s="3">
        <f>+IF(AVANCE[[#This Row],[PINTURA EXTERIOR]]=AO$2,100%,AVANCE[[#This Row],[PINTURA EXTERIOR]])</f>
        <v>0</v>
      </c>
      <c r="CD333" s="3">
        <f>+IF(AVANCE[[#This Row],[ZOCALOS LOGIA]]=AP$2,100%,AVANCE[[#This Row],[ZOCALOS LOGIA]])</f>
        <v>0</v>
      </c>
      <c r="CE333" s="3">
        <f>+IF(AVANCE[[#This Row],[MOLDURAS]]=AQ$2,100%,AVANCE[[#This Row],[MOLDURAS]])</f>
        <v>0</v>
      </c>
      <c r="CF333" s="3">
        <f>+IF(AVANCE[[#This Row],[PILASTREO]]=AR$2,100%,AVANCE[[#This Row],[PILASTREO]])</f>
        <v>0</v>
      </c>
      <c r="CG333" s="3">
        <f>+IF(AVANCE[[#This Row],[CELOSIAS]]=AS$2,100%,AVANCE[[#This Row],[CELOSIAS]])</f>
        <v>0</v>
      </c>
      <c r="CH333" s="3">
        <f>+IF(AVANCE[[#This Row],[VENTANAS]]=AT$2,100%,AVANCE[[#This Row],[VENTANAS]])</f>
        <v>0</v>
      </c>
      <c r="CI333" s="3">
        <f>+IF(AVANCE[[#This Row],[PUERTAS ACCESO - LOGIA - BANO]]=AU$2,100%,AVANCE[[#This Row],[PUERTAS ACCESO - LOGIA - BANO]])</f>
        <v>0</v>
      </c>
      <c r="CJ333" s="3">
        <f>+IF(AVANCE[[#This Row],[CERRADURAS]]=AV$2,100%,AVANCE[[#This Row],[CERRADURAS]])</f>
        <v>0</v>
      </c>
      <c r="CK333" s="3">
        <f>+IF(AVANCE[[#This Row],[REVESTIMIENTO INTERIOR ZONA SECA]]=AW$2,100%,AVANCE[[#This Row],[REVESTIMIENTO INTERIOR ZONA SECA]])</f>
        <v>0</v>
      </c>
      <c r="CL333" s="3">
        <f>+IF(AVANCE[[#This Row],[REVESTIMIENTO INTERIOR ZONAS HUMEDAS]]=AX$2,100%,AVANCE[[#This Row],[REVESTIMIENTO INTERIOR ZONAS HUMEDAS]])</f>
        <v>0</v>
      </c>
      <c r="CM333" s="3">
        <f>+IF(AVANCE[[#This Row],[MEMBRANA CIELO]]=AY$2,100%,AVANCE[[#This Row],[MEMBRANA CIELO]])</f>
        <v>0</v>
      </c>
      <c r="CN333" s="3">
        <f>+IF(AVANCE[[#This Row],[LIMPIEZA FINAL]]=AZ$2,100%,AVANCE[[#This Row],[LIMPIEZA FINAL]])</f>
        <v>0</v>
      </c>
      <c r="CO333" s="3">
        <f>+IF(AVANCE[[#This Row],[PUERTAS DORMITORIO]]=BA$2,100%,AVANCE[[#This Row],[PUERTAS DORMITORIO]])</f>
        <v>0</v>
      </c>
      <c r="CP333" s="3">
        <f>+IF(AVANCE[[#This Row],[REVESTIMIENTO INTERIOR BANO]]=BB$2,100%,AVANCE[[#This Row],[REVESTIMIENTO INTERIOR BANO]])</f>
        <v>0</v>
      </c>
      <c r="CQ333" s="3">
        <f>+IF(AVANCE[[#This Row],[MUEBLE LAVAPLATOS]]=BC$2,100%,AVANCE[[#This Row],[MUEBLE LAVAPLATOS]])</f>
        <v>0</v>
      </c>
      <c r="CR333" s="3">
        <f>+IF(AVANCE[[#This Row],[IMPERMEABILIZACION BANO - COCINA LOGIA]]=BD$2,100%,AVANCE[[#This Row],[IMPERMEABILIZACION BANO - COCINA LOGIA]])</f>
        <v>0</v>
      </c>
      <c r="CS333" s="40">
        <f ca="1">+IF(AVANCE[[#This Row],[ESTADO MODULO]]="PENDIENTE",(TODAY()-AVANCE[[#This Row],[FECHA TERMINO  PLANIFICADO]]),0)</f>
        <v>0</v>
      </c>
      <c r="CT333" s="41" t="str" cm="1">
        <f t="array" ref="CT333">_xlfn.TEXTJOIN(" | ",TRUE,IF(SUMPRODUCT((BG333:CR333&lt;1)*(PARTIDAS!$I$2:$AT$2="OBRA GRUESA"))&gt;0,"OBRA GRUESA: "&amp;_xlfn.TEXTJOIN(", ",TRUE,IF((BG333:CR333&lt;1)*(PARTIDAS!$I$2:$AT$2="OBRA GRUESA"),PARTIDAS!$I$1:$AT$1,"")),""),IF(SUMPRODUCT((BG333:CR333&lt;1)*(PARTIDAS!$I$2:$AT$2="SANITARIOS"))&gt;0,"SANITARIOS: "&amp;_xlfn.TEXTJOIN(", ",TRUE,IF((BG333:CR333&lt;1)*(PARTIDAS!$I$2:$AT$2="SANITARIOS"),PARTIDAS!$I$1:$AT$1,"")),""),IF(SUMPRODUCT((BG333:CR333&lt;1)*(PARTIDAS!$I$2:$AT$2="ELÉCTRICO"))&gt;0,"ELÉCTRICO: "&amp;_xlfn.TEXTJOIN(", ",TRUE,IF((BG333:CR333&lt;1)*(PARTIDAS!$I$2:$AT$2="ELÉCTRICO"),PARTIDAS!$I$1:$AT$1,"")),""),IF(SUMPRODUCT((BG333:CR333&lt;1)*(PARTIDAS!$I$2:$AT$2="TERMINACIONES"))&gt;0,"TERMINACIONES: "&amp;_xlfn.TEXTJOIN(", ",TRUE,IF((BG333:CR333&lt;1)*(PARTIDAS!$I$2:$AT$2="TERMINACIONES"),PARTIDAS!$I$1:$AT$1,"")),""))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3" s="43" t="str" cm="1">
        <f t="array" ref="CU333">_xlfn.TEXTJOIN(", ",TRUE,IF(SUMPRODUCT((BG333:CR333&lt;1)*(PARTIDAS!$I$2:$AT$2="OBRA GRUESA"))&gt;0,"OBRA GRUESA",""),IF(SUMPRODUCT((BG333:CR333&lt;1)*(PARTIDAS!$I$2:$AT$2="SANITARIOS"))&gt;0,"SANITARIOS",""),IF(SUMPRODUCT((BG333:CR333&lt;1)*(PARTIDAS!$I$2:$AT$2="ELÉCTRICO"))&gt;0,"ELÉCTRICO",""),IF(SUMPRODUCT((BG333:CR333&lt;1)*(PARTIDAS!$I$2:$AT$2="TERMINACIONES"))&gt;0,"TERMINACIONES",""))</f>
        <v>OBRA GRUESA, SANITARIOS, ELÉCTRICO, TERMINACIONES</v>
      </c>
      <c r="CV333" s="44" cm="1">
        <f t="array" ref="CV333">SUMPRODUCT(--(BG333:CR333&lt;1))</f>
        <v>38</v>
      </c>
    </row>
    <row r="334" spans="1:100" hidden="1" x14ac:dyDescent="0.25">
      <c r="A334" t="s">
        <v>388</v>
      </c>
      <c r="B334" t="s">
        <v>401</v>
      </c>
      <c r="C334">
        <v>2282600333</v>
      </c>
      <c r="D334" t="s">
        <v>58</v>
      </c>
      <c r="E334" s="2">
        <v>0</v>
      </c>
      <c r="F334" s="1">
        <v>46308</v>
      </c>
      <c r="G334" s="1"/>
      <c r="H334" s="1">
        <v>0</v>
      </c>
      <c r="I334" s="1">
        <v>46328</v>
      </c>
      <c r="J334">
        <v>46230</v>
      </c>
      <c r="K334" s="1"/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>
        <v>28.87</v>
      </c>
      <c r="BF334" s="3" t="str">
        <f>+IF(AVANCE[[#This Row],[% AVANCE]]=100%,"MODULO TERMINADO",IF(AVANCE[[#This Row],[FECHA INICIO REAL]]="","MODULO NO INICIADO","PENDIENTE"))</f>
        <v>MODULO NO INICIADO</v>
      </c>
      <c r="BG334" s="3">
        <f>+IF(AVANCE[[#This Row],[VENTANAS]]=8.10810810810811%,100%,AVANCE[[#This Row],[VENTANAS]])</f>
        <v>0</v>
      </c>
      <c r="BH334" s="3">
        <f>+IF(AVANCE[[#This Row],[PISO]]=N$2,100%,AVANCE[[#This Row],[PISO]])</f>
        <v>0</v>
      </c>
      <c r="BI334" s="3">
        <f>+IF(AVANCE[[#This Row],[TABIQUES]]=O$2,100%,AVANCE[[#This Row],[TABIQUES]])</f>
        <v>0</v>
      </c>
      <c r="BJ334" s="3">
        <f>+IF(AVANCE[[#This Row],[MUROS]]=P$2,100%,AVANCE[[#This Row],[MUROS]])</f>
        <v>0</v>
      </c>
      <c r="BK334" s="3">
        <f>+IF(AVANCE[[#This Row],[CIELO]]=Q$2,100%,AVANCE[[#This Row],[CIELO]])</f>
        <v>0</v>
      </c>
      <c r="BL334" s="3">
        <f>+IF(AVANCE[[#This Row],[BALCÓN]]=R$2,100%,AVANCE[[#This Row],[BALCÓN]])</f>
        <v>0</v>
      </c>
      <c r="BM334" s="3">
        <f>+IF(AVANCE[[#This Row],[RED ALCANTARILLADO]]=U$2,100%,AVANCE[[#This Row],[RED ALCANTARILLADO]])</f>
        <v>0</v>
      </c>
      <c r="BN334" s="3">
        <f>+IF(AVANCE[[#This Row],[RED DE AGUA]]=V$2,100%,AVANCE[[#This Row],[RED DE AGUA]])</f>
        <v>0</v>
      </c>
      <c r="BO334" s="3">
        <f>+IF(AVANCE[[#This Row],[VENTILACIONES]]=W$2,100%,AVANCE[[#This Row],[VENTILACIONES]])</f>
        <v>0</v>
      </c>
      <c r="BP334" s="3">
        <f>+IF(AVANCE[[#This Row],[TINA]]=X$2,100%,AVANCE[[#This Row],[TINA]])</f>
        <v>0</v>
      </c>
      <c r="BQ334" s="3">
        <f>+IF(AVANCE[[#This Row],[WC]]=Y$2,100%,AVANCE[[#This Row],[WC]])</f>
        <v>0</v>
      </c>
      <c r="BR334" s="3">
        <f>+IF(AVANCE[[#This Row],[LAVAMANOS / LAVAPLATOS / LAVADERO]]=Z$2,100%,AVANCE[[#This Row],[LAVAMANOS / LAVAPLATOS / LAVADERO]])</f>
        <v>0</v>
      </c>
      <c r="BS334" s="3">
        <f>+IF(AVANCE[[#This Row],[CANALIZACIÓN]]=AC$2,100%,AVANCE[[#This Row],[CANALIZACIÓN]])</f>
        <v>0</v>
      </c>
      <c r="BT334" s="3">
        <f>+IF(AVANCE[[#This Row],[CABLEADO]]=AD$2,100%,AVANCE[[#This Row],[CABLEADO]])</f>
        <v>0</v>
      </c>
      <c r="BU334" s="3">
        <f>+IF(AVANCE[[#This Row],[ARTEFACTOS]]=AE$2,100%,AVANCE[[#This Row],[ARTEFACTOS]])</f>
        <v>0</v>
      </c>
      <c r="BV334" s="3">
        <f>+IF(AVANCE[[#This Row],[TABLERO]]=AF$2,100%,AVANCE[[#This Row],[TABLERO]])</f>
        <v>0</v>
      </c>
      <c r="BW334" s="3">
        <f>+IF(AVANCE[[#This Row],[CAJA PAU]]=AG$2,100%,AVANCE[[#This Row],[CAJA PAU]])</f>
        <v>0</v>
      </c>
      <c r="BX334" s="3">
        <f>+IF(AVANCE[[#This Row],[INSTALACION VINILICO]]=AJ$2,100%,AVANCE[[#This Row],[INSTALACION VINILICO]])</f>
        <v>0</v>
      </c>
      <c r="BY334" s="3">
        <f>+IF(AVANCE[[#This Row],[OSB CUBIERTA]]=AK$2,100%,AVANCE[[#This Row],[OSB CUBIERTA]])</f>
        <v>0</v>
      </c>
      <c r="BZ334" s="3">
        <f>+IF(AVANCE[[#This Row],[BARANDA BALCON]]=AL$2,100%,AVANCE[[#This Row],[BARANDA BALCON]])</f>
        <v>0</v>
      </c>
      <c r="CA334" s="3">
        <f>+IF(AVANCE[[#This Row],[OSB EXTERIOR]]=AM$2,100%,AVANCE[[#This Row],[OSB EXTERIOR]])</f>
        <v>0</v>
      </c>
      <c r="CB334" s="3">
        <f>+IF(AVANCE[[#This Row],[SMART PANEL]]=AN$2,100%,AVANCE[[#This Row],[SMART PANEL]])</f>
        <v>0</v>
      </c>
      <c r="CC334" s="3">
        <f>+IF(AVANCE[[#This Row],[PINTURA EXTERIOR]]=AO$2,100%,AVANCE[[#This Row],[PINTURA EXTERIOR]])</f>
        <v>0</v>
      </c>
      <c r="CD334" s="3">
        <f>+IF(AVANCE[[#This Row],[ZOCALOS LOGIA]]=AP$2,100%,AVANCE[[#This Row],[ZOCALOS LOGIA]])</f>
        <v>0</v>
      </c>
      <c r="CE334" s="3">
        <f>+IF(AVANCE[[#This Row],[MOLDURAS]]=AQ$2,100%,AVANCE[[#This Row],[MOLDURAS]])</f>
        <v>0</v>
      </c>
      <c r="CF334" s="3">
        <f>+IF(AVANCE[[#This Row],[PILASTREO]]=AR$2,100%,AVANCE[[#This Row],[PILASTREO]])</f>
        <v>0</v>
      </c>
      <c r="CG334" s="3">
        <f>+IF(AVANCE[[#This Row],[CELOSIAS]]=AS$2,100%,AVANCE[[#This Row],[CELOSIAS]])</f>
        <v>0</v>
      </c>
      <c r="CH334" s="3">
        <f>+IF(AVANCE[[#This Row],[VENTANAS]]=AT$2,100%,AVANCE[[#This Row],[VENTANAS]])</f>
        <v>0</v>
      </c>
      <c r="CI334" s="3">
        <f>+IF(AVANCE[[#This Row],[PUERTAS ACCESO - LOGIA - BANO]]=AU$2,100%,AVANCE[[#This Row],[PUERTAS ACCESO - LOGIA - BANO]])</f>
        <v>0</v>
      </c>
      <c r="CJ334" s="3">
        <f>+IF(AVANCE[[#This Row],[CERRADURAS]]=AV$2,100%,AVANCE[[#This Row],[CERRADURAS]])</f>
        <v>0</v>
      </c>
      <c r="CK334" s="3">
        <f>+IF(AVANCE[[#This Row],[REVESTIMIENTO INTERIOR ZONA SECA]]=AW$2,100%,AVANCE[[#This Row],[REVESTIMIENTO INTERIOR ZONA SECA]])</f>
        <v>0</v>
      </c>
      <c r="CL334" s="3">
        <f>+IF(AVANCE[[#This Row],[REVESTIMIENTO INTERIOR ZONAS HUMEDAS]]=AX$2,100%,AVANCE[[#This Row],[REVESTIMIENTO INTERIOR ZONAS HUMEDAS]])</f>
        <v>0</v>
      </c>
      <c r="CM334" s="3">
        <f>+IF(AVANCE[[#This Row],[MEMBRANA CIELO]]=AY$2,100%,AVANCE[[#This Row],[MEMBRANA CIELO]])</f>
        <v>0</v>
      </c>
      <c r="CN334" s="3">
        <f>+IF(AVANCE[[#This Row],[LIMPIEZA FINAL]]=AZ$2,100%,AVANCE[[#This Row],[LIMPIEZA FINAL]])</f>
        <v>0</v>
      </c>
      <c r="CO334" s="3">
        <f>+IF(AVANCE[[#This Row],[PUERTAS DORMITORIO]]=BA$2,100%,AVANCE[[#This Row],[PUERTAS DORMITORIO]])</f>
        <v>0</v>
      </c>
      <c r="CP334" s="3">
        <f>+IF(AVANCE[[#This Row],[REVESTIMIENTO INTERIOR BANO]]=BB$2,100%,AVANCE[[#This Row],[REVESTIMIENTO INTERIOR BANO]])</f>
        <v>0</v>
      </c>
      <c r="CQ334" s="3">
        <f>+IF(AVANCE[[#This Row],[MUEBLE LAVAPLATOS]]=BC$2,100%,AVANCE[[#This Row],[MUEBLE LAVAPLATOS]])</f>
        <v>0</v>
      </c>
      <c r="CR334" s="3">
        <f>+IF(AVANCE[[#This Row],[IMPERMEABILIZACION BANO - COCINA LOGIA]]=BD$2,100%,AVANCE[[#This Row],[IMPERMEABILIZACION BANO - COCINA LOGIA]])</f>
        <v>0</v>
      </c>
      <c r="CS334" s="40">
        <f ca="1">+IF(AVANCE[[#This Row],[ESTADO MODULO]]="PENDIENTE",(TODAY()-AVANCE[[#This Row],[FECHA TERMINO  PLANIFICADO]]),0)</f>
        <v>0</v>
      </c>
      <c r="CT334" s="41" t="str" cm="1">
        <f t="array" ref="CT334">_xlfn.TEXTJOIN(" | ",TRUE,IF(SUMPRODUCT((BG334:CR334&lt;1)*(PARTIDAS!$I$2:$AT$2="OBRA GRUESA"))&gt;0,"OBRA GRUESA: "&amp;_xlfn.TEXTJOIN(", ",TRUE,IF((BG334:CR334&lt;1)*(PARTIDAS!$I$2:$AT$2="OBRA GRUESA"),PARTIDAS!$I$1:$AT$1,"")),""),IF(SUMPRODUCT((BG334:CR334&lt;1)*(PARTIDAS!$I$2:$AT$2="SANITARIOS"))&gt;0,"SANITARIOS: "&amp;_xlfn.TEXTJOIN(", ",TRUE,IF((BG334:CR334&lt;1)*(PARTIDAS!$I$2:$AT$2="SANITARIOS"),PARTIDAS!$I$1:$AT$1,"")),""),IF(SUMPRODUCT((BG334:CR334&lt;1)*(PARTIDAS!$I$2:$AT$2="ELÉCTRICO"))&gt;0,"ELÉCTRICO: "&amp;_xlfn.TEXTJOIN(", ",TRUE,IF((BG334:CR334&lt;1)*(PARTIDAS!$I$2:$AT$2="ELÉCTRICO"),PARTIDAS!$I$1:$AT$1,"")),""),IF(SUMPRODUCT((BG334:CR334&lt;1)*(PARTIDAS!$I$2:$AT$2="TERMINACIONES"))&gt;0,"TERMINACIONES: "&amp;_xlfn.TEXTJOIN(", ",TRUE,IF((BG334:CR334&lt;1)*(PARTIDAS!$I$2:$AT$2="TERMINACIONES"),PARTIDAS!$I$1:$AT$1,"")),""))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4" s="43" t="str" cm="1">
        <f t="array" ref="CU334">_xlfn.TEXTJOIN(", ",TRUE,IF(SUMPRODUCT((BG334:CR334&lt;1)*(PARTIDAS!$I$2:$AT$2="OBRA GRUESA"))&gt;0,"OBRA GRUESA",""),IF(SUMPRODUCT((BG334:CR334&lt;1)*(PARTIDAS!$I$2:$AT$2="SANITARIOS"))&gt;0,"SANITARIOS",""),IF(SUMPRODUCT((BG334:CR334&lt;1)*(PARTIDAS!$I$2:$AT$2="ELÉCTRICO"))&gt;0,"ELÉCTRICO",""),IF(SUMPRODUCT((BG334:CR334&lt;1)*(PARTIDAS!$I$2:$AT$2="TERMINACIONES"))&gt;0,"TERMINACIONES",""))</f>
        <v>OBRA GRUESA, SANITARIOS, ELÉCTRICO, TERMINACIONES</v>
      </c>
      <c r="CV334" s="44" cm="1">
        <f t="array" ref="CV334">SUMPRODUCT(--(BG334:CR334&lt;1))</f>
        <v>38</v>
      </c>
    </row>
    <row r="335" spans="1:100" hidden="1" x14ac:dyDescent="0.25">
      <c r="A335" t="s">
        <v>388</v>
      </c>
      <c r="B335" t="s">
        <v>402</v>
      </c>
      <c r="C335">
        <v>2302600334</v>
      </c>
      <c r="D335" t="s">
        <v>60</v>
      </c>
      <c r="E335" s="2">
        <v>0</v>
      </c>
      <c r="F335" s="1">
        <v>46308</v>
      </c>
      <c r="G335" s="1"/>
      <c r="H335" s="1">
        <v>0</v>
      </c>
      <c r="I335" s="1">
        <v>46338</v>
      </c>
      <c r="J335">
        <v>46230</v>
      </c>
      <c r="K335" s="1"/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>
        <v>31.32</v>
      </c>
      <c r="BF335" s="3" t="str">
        <f>+IF(AVANCE[[#This Row],[% AVANCE]]=100%,"MODULO TERMINADO",IF(AVANCE[[#This Row],[FECHA INICIO REAL]]="","MODULO NO INICIADO","PENDIENTE"))</f>
        <v>MODULO NO INICIADO</v>
      </c>
      <c r="BG335" s="3">
        <f>+IF(AVANCE[[#This Row],[VENTANAS]]=8.10810810810811%,100%,AVANCE[[#This Row],[VENTANAS]])</f>
        <v>0</v>
      </c>
      <c r="BH335" s="3">
        <f>+IF(AVANCE[[#This Row],[PISO]]=N$2,100%,AVANCE[[#This Row],[PISO]])</f>
        <v>0</v>
      </c>
      <c r="BI335" s="3">
        <f>+IF(AVANCE[[#This Row],[TABIQUES]]=O$2,100%,AVANCE[[#This Row],[TABIQUES]])</f>
        <v>0</v>
      </c>
      <c r="BJ335" s="3">
        <f>+IF(AVANCE[[#This Row],[MUROS]]=P$2,100%,AVANCE[[#This Row],[MUROS]])</f>
        <v>0</v>
      </c>
      <c r="BK335" s="3">
        <f>+IF(AVANCE[[#This Row],[CIELO]]=Q$2,100%,AVANCE[[#This Row],[CIELO]])</f>
        <v>0</v>
      </c>
      <c r="BL335" s="3">
        <f>+IF(AVANCE[[#This Row],[BALCÓN]]=R$2,100%,AVANCE[[#This Row],[BALCÓN]])</f>
        <v>0</v>
      </c>
      <c r="BM335" s="3">
        <f>+IF(AVANCE[[#This Row],[RED ALCANTARILLADO]]=U$2,100%,AVANCE[[#This Row],[RED ALCANTARILLADO]])</f>
        <v>0</v>
      </c>
      <c r="BN335" s="3">
        <f>+IF(AVANCE[[#This Row],[RED DE AGUA]]=V$2,100%,AVANCE[[#This Row],[RED DE AGUA]])</f>
        <v>0</v>
      </c>
      <c r="BO335" s="3">
        <f>+IF(AVANCE[[#This Row],[VENTILACIONES]]=W$2,100%,AVANCE[[#This Row],[VENTILACIONES]])</f>
        <v>0</v>
      </c>
      <c r="BP335" s="3">
        <f>+IF(AVANCE[[#This Row],[TINA]]=X$2,100%,AVANCE[[#This Row],[TINA]])</f>
        <v>0</v>
      </c>
      <c r="BQ335" s="3">
        <f>+IF(AVANCE[[#This Row],[WC]]=Y$2,100%,AVANCE[[#This Row],[WC]])</f>
        <v>0</v>
      </c>
      <c r="BR335" s="3">
        <f>+IF(AVANCE[[#This Row],[LAVAMANOS / LAVAPLATOS / LAVADERO]]=Z$2,100%,AVANCE[[#This Row],[LAVAMANOS / LAVAPLATOS / LAVADERO]])</f>
        <v>0</v>
      </c>
      <c r="BS335" s="3">
        <f>+IF(AVANCE[[#This Row],[CANALIZACIÓN]]=AC$2,100%,AVANCE[[#This Row],[CANALIZACIÓN]])</f>
        <v>0</v>
      </c>
      <c r="BT335" s="3">
        <f>+IF(AVANCE[[#This Row],[CABLEADO]]=AD$2,100%,AVANCE[[#This Row],[CABLEADO]])</f>
        <v>0</v>
      </c>
      <c r="BU335" s="3">
        <f>+IF(AVANCE[[#This Row],[ARTEFACTOS]]=AE$2,100%,AVANCE[[#This Row],[ARTEFACTOS]])</f>
        <v>0</v>
      </c>
      <c r="BV335" s="3">
        <f>+IF(AVANCE[[#This Row],[TABLERO]]=AF$2,100%,AVANCE[[#This Row],[TABLERO]])</f>
        <v>0</v>
      </c>
      <c r="BW335" s="3">
        <f>+IF(AVANCE[[#This Row],[CAJA PAU]]=AG$2,100%,AVANCE[[#This Row],[CAJA PAU]])</f>
        <v>0</v>
      </c>
      <c r="BX335" s="3">
        <f>+IF(AVANCE[[#This Row],[INSTALACION VINILICO]]=AJ$2,100%,AVANCE[[#This Row],[INSTALACION VINILICO]])</f>
        <v>0</v>
      </c>
      <c r="BY335" s="3">
        <f>+IF(AVANCE[[#This Row],[OSB CUBIERTA]]=AK$2,100%,AVANCE[[#This Row],[OSB CUBIERTA]])</f>
        <v>0</v>
      </c>
      <c r="BZ335" s="3">
        <f>+IF(AVANCE[[#This Row],[BARANDA BALCON]]=AL$2,100%,AVANCE[[#This Row],[BARANDA BALCON]])</f>
        <v>0</v>
      </c>
      <c r="CA335" s="3">
        <f>+IF(AVANCE[[#This Row],[OSB EXTERIOR]]=AM$2,100%,AVANCE[[#This Row],[OSB EXTERIOR]])</f>
        <v>0</v>
      </c>
      <c r="CB335" s="3">
        <f>+IF(AVANCE[[#This Row],[SMART PANEL]]=AN$2,100%,AVANCE[[#This Row],[SMART PANEL]])</f>
        <v>0</v>
      </c>
      <c r="CC335" s="3">
        <f>+IF(AVANCE[[#This Row],[PINTURA EXTERIOR]]=AO$2,100%,AVANCE[[#This Row],[PINTURA EXTERIOR]])</f>
        <v>0</v>
      </c>
      <c r="CD335" s="3">
        <f>+IF(AVANCE[[#This Row],[ZOCALOS LOGIA]]=AP$2,100%,AVANCE[[#This Row],[ZOCALOS LOGIA]])</f>
        <v>0</v>
      </c>
      <c r="CE335" s="3">
        <f>+IF(AVANCE[[#This Row],[MOLDURAS]]=AQ$2,100%,AVANCE[[#This Row],[MOLDURAS]])</f>
        <v>0</v>
      </c>
      <c r="CF335" s="3">
        <f>+IF(AVANCE[[#This Row],[PILASTREO]]=AR$2,100%,AVANCE[[#This Row],[PILASTREO]])</f>
        <v>0</v>
      </c>
      <c r="CG335" s="3">
        <f>+IF(AVANCE[[#This Row],[CELOSIAS]]=AS$2,100%,AVANCE[[#This Row],[CELOSIAS]])</f>
        <v>0</v>
      </c>
      <c r="CH335" s="3">
        <f>+IF(AVANCE[[#This Row],[VENTANAS]]=AT$2,100%,AVANCE[[#This Row],[VENTANAS]])</f>
        <v>0</v>
      </c>
      <c r="CI335" s="3">
        <f>+IF(AVANCE[[#This Row],[PUERTAS ACCESO - LOGIA - BANO]]=AU$2,100%,AVANCE[[#This Row],[PUERTAS ACCESO - LOGIA - BANO]])</f>
        <v>0</v>
      </c>
      <c r="CJ335" s="3">
        <f>+IF(AVANCE[[#This Row],[CERRADURAS]]=AV$2,100%,AVANCE[[#This Row],[CERRADURAS]])</f>
        <v>0</v>
      </c>
      <c r="CK335" s="3">
        <f>+IF(AVANCE[[#This Row],[REVESTIMIENTO INTERIOR ZONA SECA]]=AW$2,100%,AVANCE[[#This Row],[REVESTIMIENTO INTERIOR ZONA SECA]])</f>
        <v>0</v>
      </c>
      <c r="CL335" s="3">
        <f>+IF(AVANCE[[#This Row],[REVESTIMIENTO INTERIOR ZONAS HUMEDAS]]=AX$2,100%,AVANCE[[#This Row],[REVESTIMIENTO INTERIOR ZONAS HUMEDAS]])</f>
        <v>0</v>
      </c>
      <c r="CM335" s="3">
        <f>+IF(AVANCE[[#This Row],[MEMBRANA CIELO]]=AY$2,100%,AVANCE[[#This Row],[MEMBRANA CIELO]])</f>
        <v>0</v>
      </c>
      <c r="CN335" s="3">
        <f>+IF(AVANCE[[#This Row],[LIMPIEZA FINAL]]=AZ$2,100%,AVANCE[[#This Row],[LIMPIEZA FINAL]])</f>
        <v>0</v>
      </c>
      <c r="CO335" s="3">
        <f>+IF(AVANCE[[#This Row],[PUERTAS DORMITORIO]]=BA$2,100%,AVANCE[[#This Row],[PUERTAS DORMITORIO]])</f>
        <v>0</v>
      </c>
      <c r="CP335" s="3">
        <f>+IF(AVANCE[[#This Row],[REVESTIMIENTO INTERIOR BANO]]=BB$2,100%,AVANCE[[#This Row],[REVESTIMIENTO INTERIOR BANO]])</f>
        <v>0</v>
      </c>
      <c r="CQ335" s="3">
        <f>+IF(AVANCE[[#This Row],[MUEBLE LAVAPLATOS]]=BC$2,100%,AVANCE[[#This Row],[MUEBLE LAVAPLATOS]])</f>
        <v>0</v>
      </c>
      <c r="CR335" s="3">
        <f>+IF(AVANCE[[#This Row],[IMPERMEABILIZACION BANO - COCINA LOGIA]]=BD$2,100%,AVANCE[[#This Row],[IMPERMEABILIZACION BANO - COCINA LOGIA]])</f>
        <v>0</v>
      </c>
      <c r="CS335" s="40">
        <f ca="1">+IF(AVANCE[[#This Row],[ESTADO MODULO]]="PENDIENTE",(TODAY()-AVANCE[[#This Row],[FECHA TERMINO  PLANIFICADO]]),0)</f>
        <v>0</v>
      </c>
      <c r="CT335" s="41" t="str" cm="1">
        <f t="array" ref="CT335">_xlfn.TEXTJOIN(" | ",TRUE,IF(SUMPRODUCT((BG335:CR335&lt;1)*(PARTIDAS!$I$2:$AT$2="OBRA GRUESA"))&gt;0,"OBRA GRUESA: "&amp;_xlfn.TEXTJOIN(", ",TRUE,IF((BG335:CR335&lt;1)*(PARTIDAS!$I$2:$AT$2="OBRA GRUESA"),PARTIDAS!$I$1:$AT$1,"")),""),IF(SUMPRODUCT((BG335:CR335&lt;1)*(PARTIDAS!$I$2:$AT$2="SANITARIOS"))&gt;0,"SANITARIOS: "&amp;_xlfn.TEXTJOIN(", ",TRUE,IF((BG335:CR335&lt;1)*(PARTIDAS!$I$2:$AT$2="SANITARIOS"),PARTIDAS!$I$1:$AT$1,"")),""),IF(SUMPRODUCT((BG335:CR335&lt;1)*(PARTIDAS!$I$2:$AT$2="ELÉCTRICO"))&gt;0,"ELÉCTRICO: "&amp;_xlfn.TEXTJOIN(", ",TRUE,IF((BG335:CR335&lt;1)*(PARTIDAS!$I$2:$AT$2="ELÉCTRICO"),PARTIDAS!$I$1:$AT$1,"")),""),IF(SUMPRODUCT((BG335:CR335&lt;1)*(PARTIDAS!$I$2:$AT$2="TERMINACIONES"))&gt;0,"TERMINACIONES: "&amp;_xlfn.TEXTJOIN(", ",TRUE,IF((BG335:CR335&lt;1)*(PARTIDAS!$I$2:$AT$2="TERMINACIONES"),PARTIDAS!$I$1:$AT$1,"")),""))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5" s="43" t="str" cm="1">
        <f t="array" ref="CU335">_xlfn.TEXTJOIN(", ",TRUE,IF(SUMPRODUCT((BG335:CR335&lt;1)*(PARTIDAS!$I$2:$AT$2="OBRA GRUESA"))&gt;0,"OBRA GRUESA",""),IF(SUMPRODUCT((BG335:CR335&lt;1)*(PARTIDAS!$I$2:$AT$2="SANITARIOS"))&gt;0,"SANITARIOS",""),IF(SUMPRODUCT((BG335:CR335&lt;1)*(PARTIDAS!$I$2:$AT$2="ELÉCTRICO"))&gt;0,"ELÉCTRICO",""),IF(SUMPRODUCT((BG335:CR335&lt;1)*(PARTIDAS!$I$2:$AT$2="TERMINACIONES"))&gt;0,"TERMINACIONES",""))</f>
        <v>OBRA GRUESA, SANITARIOS, ELÉCTRICO, TERMINACIONES</v>
      </c>
      <c r="CV335" s="44" cm="1">
        <f t="array" ref="CV335">SUMPRODUCT(--(BG335:CR335&lt;1))</f>
        <v>38</v>
      </c>
    </row>
    <row r="336" spans="1:100" hidden="1" x14ac:dyDescent="0.25">
      <c r="A336" t="s">
        <v>388</v>
      </c>
      <c r="B336" t="s">
        <v>403</v>
      </c>
      <c r="C336">
        <v>2302600335</v>
      </c>
      <c r="D336" t="s">
        <v>60</v>
      </c>
      <c r="E336" s="2">
        <v>0</v>
      </c>
      <c r="F336" s="1">
        <v>46309</v>
      </c>
      <c r="G336" s="1"/>
      <c r="H336" s="1">
        <v>0</v>
      </c>
      <c r="I336" s="1">
        <v>46339</v>
      </c>
      <c r="J336">
        <v>46230</v>
      </c>
      <c r="K336" s="1"/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>
        <v>31.32</v>
      </c>
      <c r="BF336" s="3" t="str">
        <f>+IF(AVANCE[[#This Row],[% AVANCE]]=100%,"MODULO TERMINADO",IF(AVANCE[[#This Row],[FECHA INICIO REAL]]="","MODULO NO INICIADO","PENDIENTE"))</f>
        <v>MODULO NO INICIADO</v>
      </c>
      <c r="BG336" s="3">
        <f>+IF(AVANCE[[#This Row],[VENTANAS]]=8.10810810810811%,100%,AVANCE[[#This Row],[VENTANAS]])</f>
        <v>0</v>
      </c>
      <c r="BH336" s="3">
        <f>+IF(AVANCE[[#This Row],[PISO]]=N$2,100%,AVANCE[[#This Row],[PISO]])</f>
        <v>0</v>
      </c>
      <c r="BI336" s="3">
        <f>+IF(AVANCE[[#This Row],[TABIQUES]]=O$2,100%,AVANCE[[#This Row],[TABIQUES]])</f>
        <v>0</v>
      </c>
      <c r="BJ336" s="3">
        <f>+IF(AVANCE[[#This Row],[MUROS]]=P$2,100%,AVANCE[[#This Row],[MUROS]])</f>
        <v>0</v>
      </c>
      <c r="BK336" s="3">
        <f>+IF(AVANCE[[#This Row],[CIELO]]=Q$2,100%,AVANCE[[#This Row],[CIELO]])</f>
        <v>0</v>
      </c>
      <c r="BL336" s="3">
        <f>+IF(AVANCE[[#This Row],[BALCÓN]]=R$2,100%,AVANCE[[#This Row],[BALCÓN]])</f>
        <v>0</v>
      </c>
      <c r="BM336" s="3">
        <f>+IF(AVANCE[[#This Row],[RED ALCANTARILLADO]]=U$2,100%,AVANCE[[#This Row],[RED ALCANTARILLADO]])</f>
        <v>0</v>
      </c>
      <c r="BN336" s="3">
        <f>+IF(AVANCE[[#This Row],[RED DE AGUA]]=V$2,100%,AVANCE[[#This Row],[RED DE AGUA]])</f>
        <v>0</v>
      </c>
      <c r="BO336" s="3">
        <f>+IF(AVANCE[[#This Row],[VENTILACIONES]]=W$2,100%,AVANCE[[#This Row],[VENTILACIONES]])</f>
        <v>0</v>
      </c>
      <c r="BP336" s="3">
        <f>+IF(AVANCE[[#This Row],[TINA]]=X$2,100%,AVANCE[[#This Row],[TINA]])</f>
        <v>0</v>
      </c>
      <c r="BQ336" s="3">
        <f>+IF(AVANCE[[#This Row],[WC]]=Y$2,100%,AVANCE[[#This Row],[WC]])</f>
        <v>0</v>
      </c>
      <c r="BR336" s="3">
        <f>+IF(AVANCE[[#This Row],[LAVAMANOS / LAVAPLATOS / LAVADERO]]=Z$2,100%,AVANCE[[#This Row],[LAVAMANOS / LAVAPLATOS / LAVADERO]])</f>
        <v>0</v>
      </c>
      <c r="BS336" s="3">
        <f>+IF(AVANCE[[#This Row],[CANALIZACIÓN]]=AC$2,100%,AVANCE[[#This Row],[CANALIZACIÓN]])</f>
        <v>0</v>
      </c>
      <c r="BT336" s="3">
        <f>+IF(AVANCE[[#This Row],[CABLEADO]]=AD$2,100%,AVANCE[[#This Row],[CABLEADO]])</f>
        <v>0</v>
      </c>
      <c r="BU336" s="3">
        <f>+IF(AVANCE[[#This Row],[ARTEFACTOS]]=AE$2,100%,AVANCE[[#This Row],[ARTEFACTOS]])</f>
        <v>0</v>
      </c>
      <c r="BV336" s="3">
        <f>+IF(AVANCE[[#This Row],[TABLERO]]=AF$2,100%,AVANCE[[#This Row],[TABLERO]])</f>
        <v>0</v>
      </c>
      <c r="BW336" s="3">
        <f>+IF(AVANCE[[#This Row],[CAJA PAU]]=AG$2,100%,AVANCE[[#This Row],[CAJA PAU]])</f>
        <v>0</v>
      </c>
      <c r="BX336" s="3">
        <f>+IF(AVANCE[[#This Row],[INSTALACION VINILICO]]=AJ$2,100%,AVANCE[[#This Row],[INSTALACION VINILICO]])</f>
        <v>0</v>
      </c>
      <c r="BY336" s="3">
        <f>+IF(AVANCE[[#This Row],[OSB CUBIERTA]]=AK$2,100%,AVANCE[[#This Row],[OSB CUBIERTA]])</f>
        <v>0</v>
      </c>
      <c r="BZ336" s="3">
        <f>+IF(AVANCE[[#This Row],[BARANDA BALCON]]=AL$2,100%,AVANCE[[#This Row],[BARANDA BALCON]])</f>
        <v>0</v>
      </c>
      <c r="CA336" s="3">
        <f>+IF(AVANCE[[#This Row],[OSB EXTERIOR]]=AM$2,100%,AVANCE[[#This Row],[OSB EXTERIOR]])</f>
        <v>0</v>
      </c>
      <c r="CB336" s="3">
        <f>+IF(AVANCE[[#This Row],[SMART PANEL]]=AN$2,100%,AVANCE[[#This Row],[SMART PANEL]])</f>
        <v>0</v>
      </c>
      <c r="CC336" s="3">
        <f>+IF(AVANCE[[#This Row],[PINTURA EXTERIOR]]=AO$2,100%,AVANCE[[#This Row],[PINTURA EXTERIOR]])</f>
        <v>0</v>
      </c>
      <c r="CD336" s="3">
        <f>+IF(AVANCE[[#This Row],[ZOCALOS LOGIA]]=AP$2,100%,AVANCE[[#This Row],[ZOCALOS LOGIA]])</f>
        <v>0</v>
      </c>
      <c r="CE336" s="3">
        <f>+IF(AVANCE[[#This Row],[MOLDURAS]]=AQ$2,100%,AVANCE[[#This Row],[MOLDURAS]])</f>
        <v>0</v>
      </c>
      <c r="CF336" s="3">
        <f>+IF(AVANCE[[#This Row],[PILASTREO]]=AR$2,100%,AVANCE[[#This Row],[PILASTREO]])</f>
        <v>0</v>
      </c>
      <c r="CG336" s="3">
        <f>+IF(AVANCE[[#This Row],[CELOSIAS]]=AS$2,100%,AVANCE[[#This Row],[CELOSIAS]])</f>
        <v>0</v>
      </c>
      <c r="CH336" s="3">
        <f>+IF(AVANCE[[#This Row],[VENTANAS]]=AT$2,100%,AVANCE[[#This Row],[VENTANAS]])</f>
        <v>0</v>
      </c>
      <c r="CI336" s="3">
        <f>+IF(AVANCE[[#This Row],[PUERTAS ACCESO - LOGIA - BANO]]=AU$2,100%,AVANCE[[#This Row],[PUERTAS ACCESO - LOGIA - BANO]])</f>
        <v>0</v>
      </c>
      <c r="CJ336" s="3">
        <f>+IF(AVANCE[[#This Row],[CERRADURAS]]=AV$2,100%,AVANCE[[#This Row],[CERRADURAS]])</f>
        <v>0</v>
      </c>
      <c r="CK336" s="3">
        <f>+IF(AVANCE[[#This Row],[REVESTIMIENTO INTERIOR ZONA SECA]]=AW$2,100%,AVANCE[[#This Row],[REVESTIMIENTO INTERIOR ZONA SECA]])</f>
        <v>0</v>
      </c>
      <c r="CL336" s="3">
        <f>+IF(AVANCE[[#This Row],[REVESTIMIENTO INTERIOR ZONAS HUMEDAS]]=AX$2,100%,AVANCE[[#This Row],[REVESTIMIENTO INTERIOR ZONAS HUMEDAS]])</f>
        <v>0</v>
      </c>
      <c r="CM336" s="3">
        <f>+IF(AVANCE[[#This Row],[MEMBRANA CIELO]]=AY$2,100%,AVANCE[[#This Row],[MEMBRANA CIELO]])</f>
        <v>0</v>
      </c>
      <c r="CN336" s="3">
        <f>+IF(AVANCE[[#This Row],[LIMPIEZA FINAL]]=AZ$2,100%,AVANCE[[#This Row],[LIMPIEZA FINAL]])</f>
        <v>0</v>
      </c>
      <c r="CO336" s="3">
        <f>+IF(AVANCE[[#This Row],[PUERTAS DORMITORIO]]=BA$2,100%,AVANCE[[#This Row],[PUERTAS DORMITORIO]])</f>
        <v>0</v>
      </c>
      <c r="CP336" s="3">
        <f>+IF(AVANCE[[#This Row],[REVESTIMIENTO INTERIOR BANO]]=BB$2,100%,AVANCE[[#This Row],[REVESTIMIENTO INTERIOR BANO]])</f>
        <v>0</v>
      </c>
      <c r="CQ336" s="3">
        <f>+IF(AVANCE[[#This Row],[MUEBLE LAVAPLATOS]]=BC$2,100%,AVANCE[[#This Row],[MUEBLE LAVAPLATOS]])</f>
        <v>0</v>
      </c>
      <c r="CR336" s="3">
        <f>+IF(AVANCE[[#This Row],[IMPERMEABILIZACION BANO - COCINA LOGIA]]=BD$2,100%,AVANCE[[#This Row],[IMPERMEABILIZACION BANO - COCINA LOGIA]])</f>
        <v>0</v>
      </c>
      <c r="CS336" s="40">
        <f ca="1">+IF(AVANCE[[#This Row],[ESTADO MODULO]]="PENDIENTE",(TODAY()-AVANCE[[#This Row],[FECHA TERMINO  PLANIFICADO]]),0)</f>
        <v>0</v>
      </c>
      <c r="CT336" s="41" t="str" cm="1">
        <f t="array" ref="CT336">_xlfn.TEXTJOIN(" | ",TRUE,IF(SUMPRODUCT((BG336:CR336&lt;1)*(PARTIDAS!$I$2:$AT$2="OBRA GRUESA"))&gt;0,"OBRA GRUESA: "&amp;_xlfn.TEXTJOIN(", ",TRUE,IF((BG336:CR336&lt;1)*(PARTIDAS!$I$2:$AT$2="OBRA GRUESA"),PARTIDAS!$I$1:$AT$1,"")),""),IF(SUMPRODUCT((BG336:CR336&lt;1)*(PARTIDAS!$I$2:$AT$2="SANITARIOS"))&gt;0,"SANITARIOS: "&amp;_xlfn.TEXTJOIN(", ",TRUE,IF((BG336:CR336&lt;1)*(PARTIDAS!$I$2:$AT$2="SANITARIOS"),PARTIDAS!$I$1:$AT$1,"")),""),IF(SUMPRODUCT((BG336:CR336&lt;1)*(PARTIDAS!$I$2:$AT$2="ELÉCTRICO"))&gt;0,"ELÉCTRICO: "&amp;_xlfn.TEXTJOIN(", ",TRUE,IF((BG336:CR336&lt;1)*(PARTIDAS!$I$2:$AT$2="ELÉCTRICO"),PARTIDAS!$I$1:$AT$1,"")),""),IF(SUMPRODUCT((BG336:CR336&lt;1)*(PARTIDAS!$I$2:$AT$2="TERMINACIONES"))&gt;0,"TERMINACIONES: "&amp;_xlfn.TEXTJOIN(", ",TRUE,IF((BG336:CR336&lt;1)*(PARTIDAS!$I$2:$AT$2="TERMINACIONES"),PARTIDAS!$I$1:$AT$1,"")),""))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6" s="43" t="str" cm="1">
        <f t="array" ref="CU336">_xlfn.TEXTJOIN(", ",TRUE,IF(SUMPRODUCT((BG336:CR336&lt;1)*(PARTIDAS!$I$2:$AT$2="OBRA GRUESA"))&gt;0,"OBRA GRUESA",""),IF(SUMPRODUCT((BG336:CR336&lt;1)*(PARTIDAS!$I$2:$AT$2="SANITARIOS"))&gt;0,"SANITARIOS",""),IF(SUMPRODUCT((BG336:CR336&lt;1)*(PARTIDAS!$I$2:$AT$2="ELÉCTRICO"))&gt;0,"ELÉCTRICO",""),IF(SUMPRODUCT((BG336:CR336&lt;1)*(PARTIDAS!$I$2:$AT$2="TERMINACIONES"))&gt;0,"TERMINACIONES",""))</f>
        <v>OBRA GRUESA, SANITARIOS, ELÉCTRICO, TERMINACIONES</v>
      </c>
      <c r="CV336" s="44" cm="1">
        <f t="array" ref="CV336">SUMPRODUCT(--(BG336:CR336&lt;1))</f>
        <v>38</v>
      </c>
    </row>
    <row r="337" spans="1:100" hidden="1" x14ac:dyDescent="0.25">
      <c r="A337" t="s">
        <v>388</v>
      </c>
      <c r="B337" t="s">
        <v>404</v>
      </c>
      <c r="C337">
        <v>2282600336</v>
      </c>
      <c r="D337" t="s">
        <v>58</v>
      </c>
      <c r="E337" s="2">
        <v>0</v>
      </c>
      <c r="F337" s="1">
        <v>46309</v>
      </c>
      <c r="G337" s="1"/>
      <c r="H337" s="1">
        <v>0</v>
      </c>
      <c r="I337" s="1">
        <v>46329</v>
      </c>
      <c r="J337">
        <v>46230</v>
      </c>
      <c r="K337" s="1"/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>
        <v>28.87</v>
      </c>
      <c r="BF337" s="3" t="str">
        <f>+IF(AVANCE[[#This Row],[% AVANCE]]=100%,"MODULO TERMINADO",IF(AVANCE[[#This Row],[FECHA INICIO REAL]]="","MODULO NO INICIADO","PENDIENTE"))</f>
        <v>MODULO NO INICIADO</v>
      </c>
      <c r="BG337" s="3">
        <f>+IF(AVANCE[[#This Row],[VENTANAS]]=8.10810810810811%,100%,AVANCE[[#This Row],[VENTANAS]])</f>
        <v>0</v>
      </c>
      <c r="BH337" s="3">
        <f>+IF(AVANCE[[#This Row],[PISO]]=N$2,100%,AVANCE[[#This Row],[PISO]])</f>
        <v>0</v>
      </c>
      <c r="BI337" s="3">
        <f>+IF(AVANCE[[#This Row],[TABIQUES]]=O$2,100%,AVANCE[[#This Row],[TABIQUES]])</f>
        <v>0</v>
      </c>
      <c r="BJ337" s="3">
        <f>+IF(AVANCE[[#This Row],[MUROS]]=P$2,100%,AVANCE[[#This Row],[MUROS]])</f>
        <v>0</v>
      </c>
      <c r="BK337" s="3">
        <f>+IF(AVANCE[[#This Row],[CIELO]]=Q$2,100%,AVANCE[[#This Row],[CIELO]])</f>
        <v>0</v>
      </c>
      <c r="BL337" s="3">
        <f>+IF(AVANCE[[#This Row],[BALCÓN]]=R$2,100%,AVANCE[[#This Row],[BALCÓN]])</f>
        <v>0</v>
      </c>
      <c r="BM337" s="3">
        <f>+IF(AVANCE[[#This Row],[RED ALCANTARILLADO]]=U$2,100%,AVANCE[[#This Row],[RED ALCANTARILLADO]])</f>
        <v>0</v>
      </c>
      <c r="BN337" s="3">
        <f>+IF(AVANCE[[#This Row],[RED DE AGUA]]=V$2,100%,AVANCE[[#This Row],[RED DE AGUA]])</f>
        <v>0</v>
      </c>
      <c r="BO337" s="3">
        <f>+IF(AVANCE[[#This Row],[VENTILACIONES]]=W$2,100%,AVANCE[[#This Row],[VENTILACIONES]])</f>
        <v>0</v>
      </c>
      <c r="BP337" s="3">
        <f>+IF(AVANCE[[#This Row],[TINA]]=X$2,100%,AVANCE[[#This Row],[TINA]])</f>
        <v>0</v>
      </c>
      <c r="BQ337" s="3">
        <f>+IF(AVANCE[[#This Row],[WC]]=Y$2,100%,AVANCE[[#This Row],[WC]])</f>
        <v>0</v>
      </c>
      <c r="BR337" s="3">
        <f>+IF(AVANCE[[#This Row],[LAVAMANOS / LAVAPLATOS / LAVADERO]]=Z$2,100%,AVANCE[[#This Row],[LAVAMANOS / LAVAPLATOS / LAVADERO]])</f>
        <v>0</v>
      </c>
      <c r="BS337" s="3">
        <f>+IF(AVANCE[[#This Row],[CANALIZACIÓN]]=AC$2,100%,AVANCE[[#This Row],[CANALIZACIÓN]])</f>
        <v>0</v>
      </c>
      <c r="BT337" s="3">
        <f>+IF(AVANCE[[#This Row],[CABLEADO]]=AD$2,100%,AVANCE[[#This Row],[CABLEADO]])</f>
        <v>0</v>
      </c>
      <c r="BU337" s="3">
        <f>+IF(AVANCE[[#This Row],[ARTEFACTOS]]=AE$2,100%,AVANCE[[#This Row],[ARTEFACTOS]])</f>
        <v>0</v>
      </c>
      <c r="BV337" s="3">
        <f>+IF(AVANCE[[#This Row],[TABLERO]]=AF$2,100%,AVANCE[[#This Row],[TABLERO]])</f>
        <v>0</v>
      </c>
      <c r="BW337" s="3">
        <f>+IF(AVANCE[[#This Row],[CAJA PAU]]=AG$2,100%,AVANCE[[#This Row],[CAJA PAU]])</f>
        <v>0</v>
      </c>
      <c r="BX337" s="3">
        <f>+IF(AVANCE[[#This Row],[INSTALACION VINILICO]]=AJ$2,100%,AVANCE[[#This Row],[INSTALACION VINILICO]])</f>
        <v>0</v>
      </c>
      <c r="BY337" s="3">
        <f>+IF(AVANCE[[#This Row],[OSB CUBIERTA]]=AK$2,100%,AVANCE[[#This Row],[OSB CUBIERTA]])</f>
        <v>0</v>
      </c>
      <c r="BZ337" s="3">
        <f>+IF(AVANCE[[#This Row],[BARANDA BALCON]]=AL$2,100%,AVANCE[[#This Row],[BARANDA BALCON]])</f>
        <v>0</v>
      </c>
      <c r="CA337" s="3">
        <f>+IF(AVANCE[[#This Row],[OSB EXTERIOR]]=AM$2,100%,AVANCE[[#This Row],[OSB EXTERIOR]])</f>
        <v>0</v>
      </c>
      <c r="CB337" s="3">
        <f>+IF(AVANCE[[#This Row],[SMART PANEL]]=AN$2,100%,AVANCE[[#This Row],[SMART PANEL]])</f>
        <v>0</v>
      </c>
      <c r="CC337" s="3">
        <f>+IF(AVANCE[[#This Row],[PINTURA EXTERIOR]]=AO$2,100%,AVANCE[[#This Row],[PINTURA EXTERIOR]])</f>
        <v>0</v>
      </c>
      <c r="CD337" s="3">
        <f>+IF(AVANCE[[#This Row],[ZOCALOS LOGIA]]=AP$2,100%,AVANCE[[#This Row],[ZOCALOS LOGIA]])</f>
        <v>0</v>
      </c>
      <c r="CE337" s="3">
        <f>+IF(AVANCE[[#This Row],[MOLDURAS]]=AQ$2,100%,AVANCE[[#This Row],[MOLDURAS]])</f>
        <v>0</v>
      </c>
      <c r="CF337" s="3">
        <f>+IF(AVANCE[[#This Row],[PILASTREO]]=AR$2,100%,AVANCE[[#This Row],[PILASTREO]])</f>
        <v>0</v>
      </c>
      <c r="CG337" s="3">
        <f>+IF(AVANCE[[#This Row],[CELOSIAS]]=AS$2,100%,AVANCE[[#This Row],[CELOSIAS]])</f>
        <v>0</v>
      </c>
      <c r="CH337" s="3">
        <f>+IF(AVANCE[[#This Row],[VENTANAS]]=AT$2,100%,AVANCE[[#This Row],[VENTANAS]])</f>
        <v>0</v>
      </c>
      <c r="CI337" s="3">
        <f>+IF(AVANCE[[#This Row],[PUERTAS ACCESO - LOGIA - BANO]]=AU$2,100%,AVANCE[[#This Row],[PUERTAS ACCESO - LOGIA - BANO]])</f>
        <v>0</v>
      </c>
      <c r="CJ337" s="3">
        <f>+IF(AVANCE[[#This Row],[CERRADURAS]]=AV$2,100%,AVANCE[[#This Row],[CERRADURAS]])</f>
        <v>0</v>
      </c>
      <c r="CK337" s="3">
        <f>+IF(AVANCE[[#This Row],[REVESTIMIENTO INTERIOR ZONA SECA]]=AW$2,100%,AVANCE[[#This Row],[REVESTIMIENTO INTERIOR ZONA SECA]])</f>
        <v>0</v>
      </c>
      <c r="CL337" s="3">
        <f>+IF(AVANCE[[#This Row],[REVESTIMIENTO INTERIOR ZONAS HUMEDAS]]=AX$2,100%,AVANCE[[#This Row],[REVESTIMIENTO INTERIOR ZONAS HUMEDAS]])</f>
        <v>0</v>
      </c>
      <c r="CM337" s="3">
        <f>+IF(AVANCE[[#This Row],[MEMBRANA CIELO]]=AY$2,100%,AVANCE[[#This Row],[MEMBRANA CIELO]])</f>
        <v>0</v>
      </c>
      <c r="CN337" s="3">
        <f>+IF(AVANCE[[#This Row],[LIMPIEZA FINAL]]=AZ$2,100%,AVANCE[[#This Row],[LIMPIEZA FINAL]])</f>
        <v>0</v>
      </c>
      <c r="CO337" s="3">
        <f>+IF(AVANCE[[#This Row],[PUERTAS DORMITORIO]]=BA$2,100%,AVANCE[[#This Row],[PUERTAS DORMITORIO]])</f>
        <v>0</v>
      </c>
      <c r="CP337" s="3">
        <f>+IF(AVANCE[[#This Row],[REVESTIMIENTO INTERIOR BANO]]=BB$2,100%,AVANCE[[#This Row],[REVESTIMIENTO INTERIOR BANO]])</f>
        <v>0</v>
      </c>
      <c r="CQ337" s="3">
        <f>+IF(AVANCE[[#This Row],[MUEBLE LAVAPLATOS]]=BC$2,100%,AVANCE[[#This Row],[MUEBLE LAVAPLATOS]])</f>
        <v>0</v>
      </c>
      <c r="CR337" s="3">
        <f>+IF(AVANCE[[#This Row],[IMPERMEABILIZACION BANO - COCINA LOGIA]]=BD$2,100%,AVANCE[[#This Row],[IMPERMEABILIZACION BANO - COCINA LOGIA]])</f>
        <v>0</v>
      </c>
      <c r="CS337" s="40">
        <f ca="1">+IF(AVANCE[[#This Row],[ESTADO MODULO]]="PENDIENTE",(TODAY()-AVANCE[[#This Row],[FECHA TERMINO  PLANIFICADO]]),0)</f>
        <v>0</v>
      </c>
      <c r="CT337" s="41" t="str" cm="1">
        <f t="array" ref="CT337">_xlfn.TEXTJOIN(" | ",TRUE,IF(SUMPRODUCT((BG337:CR337&lt;1)*(PARTIDAS!$I$2:$AT$2="OBRA GRUESA"))&gt;0,"OBRA GRUESA: "&amp;_xlfn.TEXTJOIN(", ",TRUE,IF((BG337:CR337&lt;1)*(PARTIDAS!$I$2:$AT$2="OBRA GRUESA"),PARTIDAS!$I$1:$AT$1,"")),""),IF(SUMPRODUCT((BG337:CR337&lt;1)*(PARTIDAS!$I$2:$AT$2="SANITARIOS"))&gt;0,"SANITARIOS: "&amp;_xlfn.TEXTJOIN(", ",TRUE,IF((BG337:CR337&lt;1)*(PARTIDAS!$I$2:$AT$2="SANITARIOS"),PARTIDAS!$I$1:$AT$1,"")),""),IF(SUMPRODUCT((BG337:CR337&lt;1)*(PARTIDAS!$I$2:$AT$2="ELÉCTRICO"))&gt;0,"ELÉCTRICO: "&amp;_xlfn.TEXTJOIN(", ",TRUE,IF((BG337:CR337&lt;1)*(PARTIDAS!$I$2:$AT$2="ELÉCTRICO"),PARTIDAS!$I$1:$AT$1,"")),""),IF(SUMPRODUCT((BG337:CR337&lt;1)*(PARTIDAS!$I$2:$AT$2="TERMINACIONES"))&gt;0,"TERMINACIONES: "&amp;_xlfn.TEXTJOIN(", ",TRUE,IF((BG337:CR337&lt;1)*(PARTIDAS!$I$2:$AT$2="TERMINACIONES"),PARTIDAS!$I$1:$AT$1,"")),""))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7" s="43" t="str" cm="1">
        <f t="array" ref="CU337">_xlfn.TEXTJOIN(", ",TRUE,IF(SUMPRODUCT((BG337:CR337&lt;1)*(PARTIDAS!$I$2:$AT$2="OBRA GRUESA"))&gt;0,"OBRA GRUESA",""),IF(SUMPRODUCT((BG337:CR337&lt;1)*(PARTIDAS!$I$2:$AT$2="SANITARIOS"))&gt;0,"SANITARIOS",""),IF(SUMPRODUCT((BG337:CR337&lt;1)*(PARTIDAS!$I$2:$AT$2="ELÉCTRICO"))&gt;0,"ELÉCTRICO",""),IF(SUMPRODUCT((BG337:CR337&lt;1)*(PARTIDAS!$I$2:$AT$2="TERMINACIONES"))&gt;0,"TERMINACIONES",""))</f>
        <v>OBRA GRUESA, SANITARIOS, ELÉCTRICO, TERMINACIONES</v>
      </c>
      <c r="CV337" s="44" cm="1">
        <f t="array" ref="CV337">SUMPRODUCT(--(BG337:CR337&lt;1))</f>
        <v>38</v>
      </c>
    </row>
    <row r="338" spans="1:100" hidden="1" x14ac:dyDescent="0.25">
      <c r="A338" t="s">
        <v>388</v>
      </c>
      <c r="B338" t="s">
        <v>405</v>
      </c>
      <c r="C338">
        <v>2282600337</v>
      </c>
      <c r="D338" t="s">
        <v>58</v>
      </c>
      <c r="E338" s="2">
        <v>0</v>
      </c>
      <c r="F338" s="1">
        <v>46309</v>
      </c>
      <c r="G338" s="1"/>
      <c r="H338" s="1">
        <v>0</v>
      </c>
      <c r="I338" s="1">
        <v>46329</v>
      </c>
      <c r="J338">
        <v>46230</v>
      </c>
      <c r="K338" s="1"/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>
        <v>28.87</v>
      </c>
      <c r="BF338" s="3" t="str">
        <f>+IF(AVANCE[[#This Row],[% AVANCE]]=100%,"MODULO TERMINADO",IF(AVANCE[[#This Row],[FECHA INICIO REAL]]="","MODULO NO INICIADO","PENDIENTE"))</f>
        <v>MODULO NO INICIADO</v>
      </c>
      <c r="BG338" s="3">
        <f>+IF(AVANCE[[#This Row],[VENTANAS]]=8.10810810810811%,100%,AVANCE[[#This Row],[VENTANAS]])</f>
        <v>0</v>
      </c>
      <c r="BH338" s="3">
        <f>+IF(AVANCE[[#This Row],[PISO]]=N$2,100%,AVANCE[[#This Row],[PISO]])</f>
        <v>0</v>
      </c>
      <c r="BI338" s="3">
        <f>+IF(AVANCE[[#This Row],[TABIQUES]]=O$2,100%,AVANCE[[#This Row],[TABIQUES]])</f>
        <v>0</v>
      </c>
      <c r="BJ338" s="3">
        <f>+IF(AVANCE[[#This Row],[MUROS]]=P$2,100%,AVANCE[[#This Row],[MUROS]])</f>
        <v>0</v>
      </c>
      <c r="BK338" s="3">
        <f>+IF(AVANCE[[#This Row],[CIELO]]=Q$2,100%,AVANCE[[#This Row],[CIELO]])</f>
        <v>0</v>
      </c>
      <c r="BL338" s="3">
        <f>+IF(AVANCE[[#This Row],[BALCÓN]]=R$2,100%,AVANCE[[#This Row],[BALCÓN]])</f>
        <v>0</v>
      </c>
      <c r="BM338" s="3">
        <f>+IF(AVANCE[[#This Row],[RED ALCANTARILLADO]]=U$2,100%,AVANCE[[#This Row],[RED ALCANTARILLADO]])</f>
        <v>0</v>
      </c>
      <c r="BN338" s="3">
        <f>+IF(AVANCE[[#This Row],[RED DE AGUA]]=V$2,100%,AVANCE[[#This Row],[RED DE AGUA]])</f>
        <v>0</v>
      </c>
      <c r="BO338" s="3">
        <f>+IF(AVANCE[[#This Row],[VENTILACIONES]]=W$2,100%,AVANCE[[#This Row],[VENTILACIONES]])</f>
        <v>0</v>
      </c>
      <c r="BP338" s="3">
        <f>+IF(AVANCE[[#This Row],[TINA]]=X$2,100%,AVANCE[[#This Row],[TINA]])</f>
        <v>0</v>
      </c>
      <c r="BQ338" s="3">
        <f>+IF(AVANCE[[#This Row],[WC]]=Y$2,100%,AVANCE[[#This Row],[WC]])</f>
        <v>0</v>
      </c>
      <c r="BR338" s="3">
        <f>+IF(AVANCE[[#This Row],[LAVAMANOS / LAVAPLATOS / LAVADERO]]=Z$2,100%,AVANCE[[#This Row],[LAVAMANOS / LAVAPLATOS / LAVADERO]])</f>
        <v>0</v>
      </c>
      <c r="BS338" s="3">
        <f>+IF(AVANCE[[#This Row],[CANALIZACIÓN]]=AC$2,100%,AVANCE[[#This Row],[CANALIZACIÓN]])</f>
        <v>0</v>
      </c>
      <c r="BT338" s="3">
        <f>+IF(AVANCE[[#This Row],[CABLEADO]]=AD$2,100%,AVANCE[[#This Row],[CABLEADO]])</f>
        <v>0</v>
      </c>
      <c r="BU338" s="3">
        <f>+IF(AVANCE[[#This Row],[ARTEFACTOS]]=AE$2,100%,AVANCE[[#This Row],[ARTEFACTOS]])</f>
        <v>0</v>
      </c>
      <c r="BV338" s="3">
        <f>+IF(AVANCE[[#This Row],[TABLERO]]=AF$2,100%,AVANCE[[#This Row],[TABLERO]])</f>
        <v>0</v>
      </c>
      <c r="BW338" s="3">
        <f>+IF(AVANCE[[#This Row],[CAJA PAU]]=AG$2,100%,AVANCE[[#This Row],[CAJA PAU]])</f>
        <v>0</v>
      </c>
      <c r="BX338" s="3">
        <f>+IF(AVANCE[[#This Row],[INSTALACION VINILICO]]=AJ$2,100%,AVANCE[[#This Row],[INSTALACION VINILICO]])</f>
        <v>0</v>
      </c>
      <c r="BY338" s="3">
        <f>+IF(AVANCE[[#This Row],[OSB CUBIERTA]]=AK$2,100%,AVANCE[[#This Row],[OSB CUBIERTA]])</f>
        <v>0</v>
      </c>
      <c r="BZ338" s="3">
        <f>+IF(AVANCE[[#This Row],[BARANDA BALCON]]=AL$2,100%,AVANCE[[#This Row],[BARANDA BALCON]])</f>
        <v>0</v>
      </c>
      <c r="CA338" s="3">
        <f>+IF(AVANCE[[#This Row],[OSB EXTERIOR]]=AM$2,100%,AVANCE[[#This Row],[OSB EXTERIOR]])</f>
        <v>0</v>
      </c>
      <c r="CB338" s="3">
        <f>+IF(AVANCE[[#This Row],[SMART PANEL]]=AN$2,100%,AVANCE[[#This Row],[SMART PANEL]])</f>
        <v>0</v>
      </c>
      <c r="CC338" s="3">
        <f>+IF(AVANCE[[#This Row],[PINTURA EXTERIOR]]=AO$2,100%,AVANCE[[#This Row],[PINTURA EXTERIOR]])</f>
        <v>0</v>
      </c>
      <c r="CD338" s="3">
        <f>+IF(AVANCE[[#This Row],[ZOCALOS LOGIA]]=AP$2,100%,AVANCE[[#This Row],[ZOCALOS LOGIA]])</f>
        <v>0</v>
      </c>
      <c r="CE338" s="3">
        <f>+IF(AVANCE[[#This Row],[MOLDURAS]]=AQ$2,100%,AVANCE[[#This Row],[MOLDURAS]])</f>
        <v>0</v>
      </c>
      <c r="CF338" s="3">
        <f>+IF(AVANCE[[#This Row],[PILASTREO]]=AR$2,100%,AVANCE[[#This Row],[PILASTREO]])</f>
        <v>0</v>
      </c>
      <c r="CG338" s="3">
        <f>+IF(AVANCE[[#This Row],[CELOSIAS]]=AS$2,100%,AVANCE[[#This Row],[CELOSIAS]])</f>
        <v>0</v>
      </c>
      <c r="CH338" s="3">
        <f>+IF(AVANCE[[#This Row],[VENTANAS]]=AT$2,100%,AVANCE[[#This Row],[VENTANAS]])</f>
        <v>0</v>
      </c>
      <c r="CI338" s="3">
        <f>+IF(AVANCE[[#This Row],[PUERTAS ACCESO - LOGIA - BANO]]=AU$2,100%,AVANCE[[#This Row],[PUERTAS ACCESO - LOGIA - BANO]])</f>
        <v>0</v>
      </c>
      <c r="CJ338" s="3">
        <f>+IF(AVANCE[[#This Row],[CERRADURAS]]=AV$2,100%,AVANCE[[#This Row],[CERRADURAS]])</f>
        <v>0</v>
      </c>
      <c r="CK338" s="3">
        <f>+IF(AVANCE[[#This Row],[REVESTIMIENTO INTERIOR ZONA SECA]]=AW$2,100%,AVANCE[[#This Row],[REVESTIMIENTO INTERIOR ZONA SECA]])</f>
        <v>0</v>
      </c>
      <c r="CL338" s="3">
        <f>+IF(AVANCE[[#This Row],[REVESTIMIENTO INTERIOR ZONAS HUMEDAS]]=AX$2,100%,AVANCE[[#This Row],[REVESTIMIENTO INTERIOR ZONAS HUMEDAS]])</f>
        <v>0</v>
      </c>
      <c r="CM338" s="3">
        <f>+IF(AVANCE[[#This Row],[MEMBRANA CIELO]]=AY$2,100%,AVANCE[[#This Row],[MEMBRANA CIELO]])</f>
        <v>0</v>
      </c>
      <c r="CN338" s="3">
        <f>+IF(AVANCE[[#This Row],[LIMPIEZA FINAL]]=AZ$2,100%,AVANCE[[#This Row],[LIMPIEZA FINAL]])</f>
        <v>0</v>
      </c>
      <c r="CO338" s="3">
        <f>+IF(AVANCE[[#This Row],[PUERTAS DORMITORIO]]=BA$2,100%,AVANCE[[#This Row],[PUERTAS DORMITORIO]])</f>
        <v>0</v>
      </c>
      <c r="CP338" s="3">
        <f>+IF(AVANCE[[#This Row],[REVESTIMIENTO INTERIOR BANO]]=BB$2,100%,AVANCE[[#This Row],[REVESTIMIENTO INTERIOR BANO]])</f>
        <v>0</v>
      </c>
      <c r="CQ338" s="3">
        <f>+IF(AVANCE[[#This Row],[MUEBLE LAVAPLATOS]]=BC$2,100%,AVANCE[[#This Row],[MUEBLE LAVAPLATOS]])</f>
        <v>0</v>
      </c>
      <c r="CR338" s="3">
        <f>+IF(AVANCE[[#This Row],[IMPERMEABILIZACION BANO - COCINA LOGIA]]=BD$2,100%,AVANCE[[#This Row],[IMPERMEABILIZACION BANO - COCINA LOGIA]])</f>
        <v>0</v>
      </c>
      <c r="CS338" s="40">
        <f ca="1">+IF(AVANCE[[#This Row],[ESTADO MODULO]]="PENDIENTE",(TODAY()-AVANCE[[#This Row],[FECHA TERMINO  PLANIFICADO]]),0)</f>
        <v>0</v>
      </c>
      <c r="CT338" s="41" t="str" cm="1">
        <f t="array" ref="CT338">_xlfn.TEXTJOIN(" | ",TRUE,IF(SUMPRODUCT((BG338:CR338&lt;1)*(PARTIDAS!$I$2:$AT$2="OBRA GRUESA"))&gt;0,"OBRA GRUESA: "&amp;_xlfn.TEXTJOIN(", ",TRUE,IF((BG338:CR338&lt;1)*(PARTIDAS!$I$2:$AT$2="OBRA GRUESA"),PARTIDAS!$I$1:$AT$1,"")),""),IF(SUMPRODUCT((BG338:CR338&lt;1)*(PARTIDAS!$I$2:$AT$2="SANITARIOS"))&gt;0,"SANITARIOS: "&amp;_xlfn.TEXTJOIN(", ",TRUE,IF((BG338:CR338&lt;1)*(PARTIDAS!$I$2:$AT$2="SANITARIOS"),PARTIDAS!$I$1:$AT$1,"")),""),IF(SUMPRODUCT((BG338:CR338&lt;1)*(PARTIDAS!$I$2:$AT$2="ELÉCTRICO"))&gt;0,"ELÉCTRICO: "&amp;_xlfn.TEXTJOIN(", ",TRUE,IF((BG338:CR338&lt;1)*(PARTIDAS!$I$2:$AT$2="ELÉCTRICO"),PARTIDAS!$I$1:$AT$1,"")),""),IF(SUMPRODUCT((BG338:CR338&lt;1)*(PARTIDAS!$I$2:$AT$2="TERMINACIONES"))&gt;0,"TERMINACIONES: "&amp;_xlfn.TEXTJOIN(", ",TRUE,IF((BG338:CR338&lt;1)*(PARTIDAS!$I$2:$AT$2="TERMINACIONES"),PARTIDAS!$I$1:$AT$1,"")),""))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8" s="43" t="str" cm="1">
        <f t="array" ref="CU338">_xlfn.TEXTJOIN(", ",TRUE,IF(SUMPRODUCT((BG338:CR338&lt;1)*(PARTIDAS!$I$2:$AT$2="OBRA GRUESA"))&gt;0,"OBRA GRUESA",""),IF(SUMPRODUCT((BG338:CR338&lt;1)*(PARTIDAS!$I$2:$AT$2="SANITARIOS"))&gt;0,"SANITARIOS",""),IF(SUMPRODUCT((BG338:CR338&lt;1)*(PARTIDAS!$I$2:$AT$2="ELÉCTRICO"))&gt;0,"ELÉCTRICO",""),IF(SUMPRODUCT((BG338:CR338&lt;1)*(PARTIDAS!$I$2:$AT$2="TERMINACIONES"))&gt;0,"TERMINACIONES",""))</f>
        <v>OBRA GRUESA, SANITARIOS, ELÉCTRICO, TERMINACIONES</v>
      </c>
      <c r="CV338" s="44" cm="1">
        <f t="array" ref="CV338">SUMPRODUCT(--(BG338:CR338&lt;1))</f>
        <v>38</v>
      </c>
    </row>
    <row r="339" spans="1:100" hidden="1" x14ac:dyDescent="0.25">
      <c r="A339" t="s">
        <v>388</v>
      </c>
      <c r="B339" t="s">
        <v>406</v>
      </c>
      <c r="C339">
        <v>2302600338</v>
      </c>
      <c r="D339" t="s">
        <v>60</v>
      </c>
      <c r="E339" s="2">
        <v>0</v>
      </c>
      <c r="F339" s="1">
        <v>46310</v>
      </c>
      <c r="G339" s="1"/>
      <c r="H339" s="1">
        <v>0</v>
      </c>
      <c r="I339" s="1">
        <v>46340</v>
      </c>
      <c r="J339">
        <v>46230</v>
      </c>
      <c r="K339" s="1"/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>
        <v>31.32</v>
      </c>
      <c r="BF339" s="3" t="str">
        <f>+IF(AVANCE[[#This Row],[% AVANCE]]=100%,"MODULO TERMINADO",IF(AVANCE[[#This Row],[FECHA INICIO REAL]]="","MODULO NO INICIADO","PENDIENTE"))</f>
        <v>MODULO NO INICIADO</v>
      </c>
      <c r="BG339" s="3">
        <f>+IF(AVANCE[[#This Row],[VENTANAS]]=8.10810810810811%,100%,AVANCE[[#This Row],[VENTANAS]])</f>
        <v>0</v>
      </c>
      <c r="BH339" s="3">
        <f>+IF(AVANCE[[#This Row],[PISO]]=N$2,100%,AVANCE[[#This Row],[PISO]])</f>
        <v>0</v>
      </c>
      <c r="BI339" s="3">
        <f>+IF(AVANCE[[#This Row],[TABIQUES]]=O$2,100%,AVANCE[[#This Row],[TABIQUES]])</f>
        <v>0</v>
      </c>
      <c r="BJ339" s="3">
        <f>+IF(AVANCE[[#This Row],[MUROS]]=P$2,100%,AVANCE[[#This Row],[MUROS]])</f>
        <v>0</v>
      </c>
      <c r="BK339" s="3">
        <f>+IF(AVANCE[[#This Row],[CIELO]]=Q$2,100%,AVANCE[[#This Row],[CIELO]])</f>
        <v>0</v>
      </c>
      <c r="BL339" s="3">
        <f>+IF(AVANCE[[#This Row],[BALCÓN]]=R$2,100%,AVANCE[[#This Row],[BALCÓN]])</f>
        <v>0</v>
      </c>
      <c r="BM339" s="3">
        <f>+IF(AVANCE[[#This Row],[RED ALCANTARILLADO]]=U$2,100%,AVANCE[[#This Row],[RED ALCANTARILLADO]])</f>
        <v>0</v>
      </c>
      <c r="BN339" s="3">
        <f>+IF(AVANCE[[#This Row],[RED DE AGUA]]=V$2,100%,AVANCE[[#This Row],[RED DE AGUA]])</f>
        <v>0</v>
      </c>
      <c r="BO339" s="3">
        <f>+IF(AVANCE[[#This Row],[VENTILACIONES]]=W$2,100%,AVANCE[[#This Row],[VENTILACIONES]])</f>
        <v>0</v>
      </c>
      <c r="BP339" s="3">
        <f>+IF(AVANCE[[#This Row],[TINA]]=X$2,100%,AVANCE[[#This Row],[TINA]])</f>
        <v>0</v>
      </c>
      <c r="BQ339" s="3">
        <f>+IF(AVANCE[[#This Row],[WC]]=Y$2,100%,AVANCE[[#This Row],[WC]])</f>
        <v>0</v>
      </c>
      <c r="BR339" s="3">
        <f>+IF(AVANCE[[#This Row],[LAVAMANOS / LAVAPLATOS / LAVADERO]]=Z$2,100%,AVANCE[[#This Row],[LAVAMANOS / LAVAPLATOS / LAVADERO]])</f>
        <v>0</v>
      </c>
      <c r="BS339" s="3">
        <f>+IF(AVANCE[[#This Row],[CANALIZACIÓN]]=AC$2,100%,AVANCE[[#This Row],[CANALIZACIÓN]])</f>
        <v>0</v>
      </c>
      <c r="BT339" s="3">
        <f>+IF(AVANCE[[#This Row],[CABLEADO]]=AD$2,100%,AVANCE[[#This Row],[CABLEADO]])</f>
        <v>0</v>
      </c>
      <c r="BU339" s="3">
        <f>+IF(AVANCE[[#This Row],[ARTEFACTOS]]=AE$2,100%,AVANCE[[#This Row],[ARTEFACTOS]])</f>
        <v>0</v>
      </c>
      <c r="BV339" s="3">
        <f>+IF(AVANCE[[#This Row],[TABLERO]]=AF$2,100%,AVANCE[[#This Row],[TABLERO]])</f>
        <v>0</v>
      </c>
      <c r="BW339" s="3">
        <f>+IF(AVANCE[[#This Row],[CAJA PAU]]=AG$2,100%,AVANCE[[#This Row],[CAJA PAU]])</f>
        <v>0</v>
      </c>
      <c r="BX339" s="3">
        <f>+IF(AVANCE[[#This Row],[INSTALACION VINILICO]]=AJ$2,100%,AVANCE[[#This Row],[INSTALACION VINILICO]])</f>
        <v>0</v>
      </c>
      <c r="BY339" s="3">
        <f>+IF(AVANCE[[#This Row],[OSB CUBIERTA]]=AK$2,100%,AVANCE[[#This Row],[OSB CUBIERTA]])</f>
        <v>0</v>
      </c>
      <c r="BZ339" s="3">
        <f>+IF(AVANCE[[#This Row],[BARANDA BALCON]]=AL$2,100%,AVANCE[[#This Row],[BARANDA BALCON]])</f>
        <v>0</v>
      </c>
      <c r="CA339" s="3">
        <f>+IF(AVANCE[[#This Row],[OSB EXTERIOR]]=AM$2,100%,AVANCE[[#This Row],[OSB EXTERIOR]])</f>
        <v>0</v>
      </c>
      <c r="CB339" s="3">
        <f>+IF(AVANCE[[#This Row],[SMART PANEL]]=AN$2,100%,AVANCE[[#This Row],[SMART PANEL]])</f>
        <v>0</v>
      </c>
      <c r="CC339" s="3">
        <f>+IF(AVANCE[[#This Row],[PINTURA EXTERIOR]]=AO$2,100%,AVANCE[[#This Row],[PINTURA EXTERIOR]])</f>
        <v>0</v>
      </c>
      <c r="CD339" s="3">
        <f>+IF(AVANCE[[#This Row],[ZOCALOS LOGIA]]=AP$2,100%,AVANCE[[#This Row],[ZOCALOS LOGIA]])</f>
        <v>0</v>
      </c>
      <c r="CE339" s="3">
        <f>+IF(AVANCE[[#This Row],[MOLDURAS]]=AQ$2,100%,AVANCE[[#This Row],[MOLDURAS]])</f>
        <v>0</v>
      </c>
      <c r="CF339" s="3">
        <f>+IF(AVANCE[[#This Row],[PILASTREO]]=AR$2,100%,AVANCE[[#This Row],[PILASTREO]])</f>
        <v>0</v>
      </c>
      <c r="CG339" s="3">
        <f>+IF(AVANCE[[#This Row],[CELOSIAS]]=AS$2,100%,AVANCE[[#This Row],[CELOSIAS]])</f>
        <v>0</v>
      </c>
      <c r="CH339" s="3">
        <f>+IF(AVANCE[[#This Row],[VENTANAS]]=AT$2,100%,AVANCE[[#This Row],[VENTANAS]])</f>
        <v>0</v>
      </c>
      <c r="CI339" s="3">
        <f>+IF(AVANCE[[#This Row],[PUERTAS ACCESO - LOGIA - BANO]]=AU$2,100%,AVANCE[[#This Row],[PUERTAS ACCESO - LOGIA - BANO]])</f>
        <v>0</v>
      </c>
      <c r="CJ339" s="3">
        <f>+IF(AVANCE[[#This Row],[CERRADURAS]]=AV$2,100%,AVANCE[[#This Row],[CERRADURAS]])</f>
        <v>0</v>
      </c>
      <c r="CK339" s="3">
        <f>+IF(AVANCE[[#This Row],[REVESTIMIENTO INTERIOR ZONA SECA]]=AW$2,100%,AVANCE[[#This Row],[REVESTIMIENTO INTERIOR ZONA SECA]])</f>
        <v>0</v>
      </c>
      <c r="CL339" s="3">
        <f>+IF(AVANCE[[#This Row],[REVESTIMIENTO INTERIOR ZONAS HUMEDAS]]=AX$2,100%,AVANCE[[#This Row],[REVESTIMIENTO INTERIOR ZONAS HUMEDAS]])</f>
        <v>0</v>
      </c>
      <c r="CM339" s="3">
        <f>+IF(AVANCE[[#This Row],[MEMBRANA CIELO]]=AY$2,100%,AVANCE[[#This Row],[MEMBRANA CIELO]])</f>
        <v>0</v>
      </c>
      <c r="CN339" s="3">
        <f>+IF(AVANCE[[#This Row],[LIMPIEZA FINAL]]=AZ$2,100%,AVANCE[[#This Row],[LIMPIEZA FINAL]])</f>
        <v>0</v>
      </c>
      <c r="CO339" s="3">
        <f>+IF(AVANCE[[#This Row],[PUERTAS DORMITORIO]]=BA$2,100%,AVANCE[[#This Row],[PUERTAS DORMITORIO]])</f>
        <v>0</v>
      </c>
      <c r="CP339" s="3">
        <f>+IF(AVANCE[[#This Row],[REVESTIMIENTO INTERIOR BANO]]=BB$2,100%,AVANCE[[#This Row],[REVESTIMIENTO INTERIOR BANO]])</f>
        <v>0</v>
      </c>
      <c r="CQ339" s="3">
        <f>+IF(AVANCE[[#This Row],[MUEBLE LAVAPLATOS]]=BC$2,100%,AVANCE[[#This Row],[MUEBLE LAVAPLATOS]])</f>
        <v>0</v>
      </c>
      <c r="CR339" s="3">
        <f>+IF(AVANCE[[#This Row],[IMPERMEABILIZACION BANO - COCINA LOGIA]]=BD$2,100%,AVANCE[[#This Row],[IMPERMEABILIZACION BANO - COCINA LOGIA]])</f>
        <v>0</v>
      </c>
      <c r="CS339" s="40">
        <f ca="1">+IF(AVANCE[[#This Row],[ESTADO MODULO]]="PENDIENTE",(TODAY()-AVANCE[[#This Row],[FECHA TERMINO  PLANIFICADO]]),0)</f>
        <v>0</v>
      </c>
      <c r="CT339" s="41" t="str" cm="1">
        <f t="array" ref="CT339">_xlfn.TEXTJOIN(" | ",TRUE,IF(SUMPRODUCT((BG339:CR339&lt;1)*(PARTIDAS!$I$2:$AT$2="OBRA GRUESA"))&gt;0,"OBRA GRUESA: "&amp;_xlfn.TEXTJOIN(", ",TRUE,IF((BG339:CR339&lt;1)*(PARTIDAS!$I$2:$AT$2="OBRA GRUESA"),PARTIDAS!$I$1:$AT$1,"")),""),IF(SUMPRODUCT((BG339:CR339&lt;1)*(PARTIDAS!$I$2:$AT$2="SANITARIOS"))&gt;0,"SANITARIOS: "&amp;_xlfn.TEXTJOIN(", ",TRUE,IF((BG339:CR339&lt;1)*(PARTIDAS!$I$2:$AT$2="SANITARIOS"),PARTIDAS!$I$1:$AT$1,"")),""),IF(SUMPRODUCT((BG339:CR339&lt;1)*(PARTIDAS!$I$2:$AT$2="ELÉCTRICO"))&gt;0,"ELÉCTRICO: "&amp;_xlfn.TEXTJOIN(", ",TRUE,IF((BG339:CR339&lt;1)*(PARTIDAS!$I$2:$AT$2="ELÉCTRICO"),PARTIDAS!$I$1:$AT$1,"")),""),IF(SUMPRODUCT((BG339:CR339&lt;1)*(PARTIDAS!$I$2:$AT$2="TERMINACIONES"))&gt;0,"TERMINACIONES: "&amp;_xlfn.TEXTJOIN(", ",TRUE,IF((BG339:CR339&lt;1)*(PARTIDAS!$I$2:$AT$2="TERMINACIONES"),PARTIDAS!$I$1:$AT$1,"")),""))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39" s="43" t="str" cm="1">
        <f t="array" ref="CU339">_xlfn.TEXTJOIN(", ",TRUE,IF(SUMPRODUCT((BG339:CR339&lt;1)*(PARTIDAS!$I$2:$AT$2="OBRA GRUESA"))&gt;0,"OBRA GRUESA",""),IF(SUMPRODUCT((BG339:CR339&lt;1)*(PARTIDAS!$I$2:$AT$2="SANITARIOS"))&gt;0,"SANITARIOS",""),IF(SUMPRODUCT((BG339:CR339&lt;1)*(PARTIDAS!$I$2:$AT$2="ELÉCTRICO"))&gt;0,"ELÉCTRICO",""),IF(SUMPRODUCT((BG339:CR339&lt;1)*(PARTIDAS!$I$2:$AT$2="TERMINACIONES"))&gt;0,"TERMINACIONES",""))</f>
        <v>OBRA GRUESA, SANITARIOS, ELÉCTRICO, TERMINACIONES</v>
      </c>
      <c r="CV339" s="44" cm="1">
        <f t="array" ref="CV339">SUMPRODUCT(--(BG339:CR339&lt;1))</f>
        <v>38</v>
      </c>
    </row>
    <row r="340" spans="1:100" hidden="1" x14ac:dyDescent="0.25">
      <c r="A340" t="s">
        <v>388</v>
      </c>
      <c r="B340" t="s">
        <v>407</v>
      </c>
      <c r="C340">
        <v>2302600339</v>
      </c>
      <c r="D340" t="s">
        <v>60</v>
      </c>
      <c r="E340" s="2">
        <v>0</v>
      </c>
      <c r="F340" s="1">
        <v>46310</v>
      </c>
      <c r="G340" s="1"/>
      <c r="H340" s="1">
        <v>0</v>
      </c>
      <c r="I340" s="1">
        <v>46340</v>
      </c>
      <c r="J340">
        <v>46230</v>
      </c>
      <c r="K340" s="1"/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>
        <v>31.32</v>
      </c>
      <c r="BF340" s="3" t="str">
        <f>+IF(AVANCE[[#This Row],[% AVANCE]]=100%,"MODULO TERMINADO",IF(AVANCE[[#This Row],[FECHA INICIO REAL]]="","MODULO NO INICIADO","PENDIENTE"))</f>
        <v>MODULO NO INICIADO</v>
      </c>
      <c r="BG340" s="3">
        <f>+IF(AVANCE[[#This Row],[VENTANAS]]=8.10810810810811%,100%,AVANCE[[#This Row],[VENTANAS]])</f>
        <v>0</v>
      </c>
      <c r="BH340" s="3">
        <f>+IF(AVANCE[[#This Row],[PISO]]=N$2,100%,AVANCE[[#This Row],[PISO]])</f>
        <v>0</v>
      </c>
      <c r="BI340" s="3">
        <f>+IF(AVANCE[[#This Row],[TABIQUES]]=O$2,100%,AVANCE[[#This Row],[TABIQUES]])</f>
        <v>0</v>
      </c>
      <c r="BJ340" s="3">
        <f>+IF(AVANCE[[#This Row],[MUROS]]=P$2,100%,AVANCE[[#This Row],[MUROS]])</f>
        <v>0</v>
      </c>
      <c r="BK340" s="3">
        <f>+IF(AVANCE[[#This Row],[CIELO]]=Q$2,100%,AVANCE[[#This Row],[CIELO]])</f>
        <v>0</v>
      </c>
      <c r="BL340" s="3">
        <f>+IF(AVANCE[[#This Row],[BALCÓN]]=R$2,100%,AVANCE[[#This Row],[BALCÓN]])</f>
        <v>0</v>
      </c>
      <c r="BM340" s="3">
        <f>+IF(AVANCE[[#This Row],[RED ALCANTARILLADO]]=U$2,100%,AVANCE[[#This Row],[RED ALCANTARILLADO]])</f>
        <v>0</v>
      </c>
      <c r="BN340" s="3">
        <f>+IF(AVANCE[[#This Row],[RED DE AGUA]]=V$2,100%,AVANCE[[#This Row],[RED DE AGUA]])</f>
        <v>0</v>
      </c>
      <c r="BO340" s="3">
        <f>+IF(AVANCE[[#This Row],[VENTILACIONES]]=W$2,100%,AVANCE[[#This Row],[VENTILACIONES]])</f>
        <v>0</v>
      </c>
      <c r="BP340" s="3">
        <f>+IF(AVANCE[[#This Row],[TINA]]=X$2,100%,AVANCE[[#This Row],[TINA]])</f>
        <v>0</v>
      </c>
      <c r="BQ340" s="3">
        <f>+IF(AVANCE[[#This Row],[WC]]=Y$2,100%,AVANCE[[#This Row],[WC]])</f>
        <v>0</v>
      </c>
      <c r="BR340" s="3">
        <f>+IF(AVANCE[[#This Row],[LAVAMANOS / LAVAPLATOS / LAVADERO]]=Z$2,100%,AVANCE[[#This Row],[LAVAMANOS / LAVAPLATOS / LAVADERO]])</f>
        <v>0</v>
      </c>
      <c r="BS340" s="3">
        <f>+IF(AVANCE[[#This Row],[CANALIZACIÓN]]=AC$2,100%,AVANCE[[#This Row],[CANALIZACIÓN]])</f>
        <v>0</v>
      </c>
      <c r="BT340" s="3">
        <f>+IF(AVANCE[[#This Row],[CABLEADO]]=AD$2,100%,AVANCE[[#This Row],[CABLEADO]])</f>
        <v>0</v>
      </c>
      <c r="BU340" s="3">
        <f>+IF(AVANCE[[#This Row],[ARTEFACTOS]]=AE$2,100%,AVANCE[[#This Row],[ARTEFACTOS]])</f>
        <v>0</v>
      </c>
      <c r="BV340" s="3">
        <f>+IF(AVANCE[[#This Row],[TABLERO]]=AF$2,100%,AVANCE[[#This Row],[TABLERO]])</f>
        <v>0</v>
      </c>
      <c r="BW340" s="3">
        <f>+IF(AVANCE[[#This Row],[CAJA PAU]]=AG$2,100%,AVANCE[[#This Row],[CAJA PAU]])</f>
        <v>0</v>
      </c>
      <c r="BX340" s="3">
        <f>+IF(AVANCE[[#This Row],[INSTALACION VINILICO]]=AJ$2,100%,AVANCE[[#This Row],[INSTALACION VINILICO]])</f>
        <v>0</v>
      </c>
      <c r="BY340" s="3">
        <f>+IF(AVANCE[[#This Row],[OSB CUBIERTA]]=AK$2,100%,AVANCE[[#This Row],[OSB CUBIERTA]])</f>
        <v>0</v>
      </c>
      <c r="BZ340" s="3">
        <f>+IF(AVANCE[[#This Row],[BARANDA BALCON]]=AL$2,100%,AVANCE[[#This Row],[BARANDA BALCON]])</f>
        <v>0</v>
      </c>
      <c r="CA340" s="3">
        <f>+IF(AVANCE[[#This Row],[OSB EXTERIOR]]=AM$2,100%,AVANCE[[#This Row],[OSB EXTERIOR]])</f>
        <v>0</v>
      </c>
      <c r="CB340" s="3">
        <f>+IF(AVANCE[[#This Row],[SMART PANEL]]=AN$2,100%,AVANCE[[#This Row],[SMART PANEL]])</f>
        <v>0</v>
      </c>
      <c r="CC340" s="3">
        <f>+IF(AVANCE[[#This Row],[PINTURA EXTERIOR]]=AO$2,100%,AVANCE[[#This Row],[PINTURA EXTERIOR]])</f>
        <v>0</v>
      </c>
      <c r="CD340" s="3">
        <f>+IF(AVANCE[[#This Row],[ZOCALOS LOGIA]]=AP$2,100%,AVANCE[[#This Row],[ZOCALOS LOGIA]])</f>
        <v>0</v>
      </c>
      <c r="CE340" s="3">
        <f>+IF(AVANCE[[#This Row],[MOLDURAS]]=AQ$2,100%,AVANCE[[#This Row],[MOLDURAS]])</f>
        <v>0</v>
      </c>
      <c r="CF340" s="3">
        <f>+IF(AVANCE[[#This Row],[PILASTREO]]=AR$2,100%,AVANCE[[#This Row],[PILASTREO]])</f>
        <v>0</v>
      </c>
      <c r="CG340" s="3">
        <f>+IF(AVANCE[[#This Row],[CELOSIAS]]=AS$2,100%,AVANCE[[#This Row],[CELOSIAS]])</f>
        <v>0</v>
      </c>
      <c r="CH340" s="3">
        <f>+IF(AVANCE[[#This Row],[VENTANAS]]=AT$2,100%,AVANCE[[#This Row],[VENTANAS]])</f>
        <v>0</v>
      </c>
      <c r="CI340" s="3">
        <f>+IF(AVANCE[[#This Row],[PUERTAS ACCESO - LOGIA - BANO]]=AU$2,100%,AVANCE[[#This Row],[PUERTAS ACCESO - LOGIA - BANO]])</f>
        <v>0</v>
      </c>
      <c r="CJ340" s="3">
        <f>+IF(AVANCE[[#This Row],[CERRADURAS]]=AV$2,100%,AVANCE[[#This Row],[CERRADURAS]])</f>
        <v>0</v>
      </c>
      <c r="CK340" s="3">
        <f>+IF(AVANCE[[#This Row],[REVESTIMIENTO INTERIOR ZONA SECA]]=AW$2,100%,AVANCE[[#This Row],[REVESTIMIENTO INTERIOR ZONA SECA]])</f>
        <v>0</v>
      </c>
      <c r="CL340" s="3">
        <f>+IF(AVANCE[[#This Row],[REVESTIMIENTO INTERIOR ZONAS HUMEDAS]]=AX$2,100%,AVANCE[[#This Row],[REVESTIMIENTO INTERIOR ZONAS HUMEDAS]])</f>
        <v>0</v>
      </c>
      <c r="CM340" s="3">
        <f>+IF(AVANCE[[#This Row],[MEMBRANA CIELO]]=AY$2,100%,AVANCE[[#This Row],[MEMBRANA CIELO]])</f>
        <v>0</v>
      </c>
      <c r="CN340" s="3">
        <f>+IF(AVANCE[[#This Row],[LIMPIEZA FINAL]]=AZ$2,100%,AVANCE[[#This Row],[LIMPIEZA FINAL]])</f>
        <v>0</v>
      </c>
      <c r="CO340" s="3">
        <f>+IF(AVANCE[[#This Row],[PUERTAS DORMITORIO]]=BA$2,100%,AVANCE[[#This Row],[PUERTAS DORMITORIO]])</f>
        <v>0</v>
      </c>
      <c r="CP340" s="3">
        <f>+IF(AVANCE[[#This Row],[REVESTIMIENTO INTERIOR BANO]]=BB$2,100%,AVANCE[[#This Row],[REVESTIMIENTO INTERIOR BANO]])</f>
        <v>0</v>
      </c>
      <c r="CQ340" s="3">
        <f>+IF(AVANCE[[#This Row],[MUEBLE LAVAPLATOS]]=BC$2,100%,AVANCE[[#This Row],[MUEBLE LAVAPLATOS]])</f>
        <v>0</v>
      </c>
      <c r="CR340" s="3">
        <f>+IF(AVANCE[[#This Row],[IMPERMEABILIZACION BANO - COCINA LOGIA]]=BD$2,100%,AVANCE[[#This Row],[IMPERMEABILIZACION BANO - COCINA LOGIA]])</f>
        <v>0</v>
      </c>
      <c r="CS340" s="40">
        <f ca="1">+IF(AVANCE[[#This Row],[ESTADO MODULO]]="PENDIENTE",(TODAY()-AVANCE[[#This Row],[FECHA TERMINO  PLANIFICADO]]),0)</f>
        <v>0</v>
      </c>
      <c r="CT340" s="41" t="str" cm="1">
        <f t="array" ref="CT340">_xlfn.TEXTJOIN(" | ",TRUE,IF(SUMPRODUCT((BG340:CR340&lt;1)*(PARTIDAS!$I$2:$AT$2="OBRA GRUESA"))&gt;0,"OBRA GRUESA: "&amp;_xlfn.TEXTJOIN(", ",TRUE,IF((BG340:CR340&lt;1)*(PARTIDAS!$I$2:$AT$2="OBRA GRUESA"),PARTIDAS!$I$1:$AT$1,"")),""),IF(SUMPRODUCT((BG340:CR340&lt;1)*(PARTIDAS!$I$2:$AT$2="SANITARIOS"))&gt;0,"SANITARIOS: "&amp;_xlfn.TEXTJOIN(", ",TRUE,IF((BG340:CR340&lt;1)*(PARTIDAS!$I$2:$AT$2="SANITARIOS"),PARTIDAS!$I$1:$AT$1,"")),""),IF(SUMPRODUCT((BG340:CR340&lt;1)*(PARTIDAS!$I$2:$AT$2="ELÉCTRICO"))&gt;0,"ELÉCTRICO: "&amp;_xlfn.TEXTJOIN(", ",TRUE,IF((BG340:CR340&lt;1)*(PARTIDAS!$I$2:$AT$2="ELÉCTRICO"),PARTIDAS!$I$1:$AT$1,"")),""),IF(SUMPRODUCT((BG340:CR340&lt;1)*(PARTIDAS!$I$2:$AT$2="TERMINACIONES"))&gt;0,"TERMINACIONES: "&amp;_xlfn.TEXTJOIN(", ",TRUE,IF((BG340:CR340&lt;1)*(PARTIDAS!$I$2:$AT$2="TERMINACIONES"),PARTIDAS!$I$1:$AT$1,"")),""))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0" s="43" t="str" cm="1">
        <f t="array" ref="CU340">_xlfn.TEXTJOIN(", ",TRUE,IF(SUMPRODUCT((BG340:CR340&lt;1)*(PARTIDAS!$I$2:$AT$2="OBRA GRUESA"))&gt;0,"OBRA GRUESA",""),IF(SUMPRODUCT((BG340:CR340&lt;1)*(PARTIDAS!$I$2:$AT$2="SANITARIOS"))&gt;0,"SANITARIOS",""),IF(SUMPRODUCT((BG340:CR340&lt;1)*(PARTIDAS!$I$2:$AT$2="ELÉCTRICO"))&gt;0,"ELÉCTRICO",""),IF(SUMPRODUCT((BG340:CR340&lt;1)*(PARTIDAS!$I$2:$AT$2="TERMINACIONES"))&gt;0,"TERMINACIONES",""))</f>
        <v>OBRA GRUESA, SANITARIOS, ELÉCTRICO, TERMINACIONES</v>
      </c>
      <c r="CV340" s="44" cm="1">
        <f t="array" ref="CV340">SUMPRODUCT(--(BG340:CR340&lt;1))</f>
        <v>38</v>
      </c>
    </row>
    <row r="341" spans="1:100" hidden="1" x14ac:dyDescent="0.25">
      <c r="A341" t="s">
        <v>388</v>
      </c>
      <c r="B341" t="s">
        <v>408</v>
      </c>
      <c r="C341">
        <v>2282600340</v>
      </c>
      <c r="D341" t="s">
        <v>58</v>
      </c>
      <c r="E341" s="2">
        <v>0</v>
      </c>
      <c r="F341" s="1">
        <v>46310</v>
      </c>
      <c r="G341" s="1"/>
      <c r="H341" s="1">
        <v>0</v>
      </c>
      <c r="I341" s="1">
        <v>46330</v>
      </c>
      <c r="J341">
        <v>46230</v>
      </c>
      <c r="K341" s="1"/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>
        <v>28.87</v>
      </c>
      <c r="BF341" s="3" t="str">
        <f>+IF(AVANCE[[#This Row],[% AVANCE]]=100%,"MODULO TERMINADO",IF(AVANCE[[#This Row],[FECHA INICIO REAL]]="","MODULO NO INICIADO","PENDIENTE"))</f>
        <v>MODULO NO INICIADO</v>
      </c>
      <c r="BG341" s="3">
        <f>+IF(AVANCE[[#This Row],[VENTANAS]]=8.10810810810811%,100%,AVANCE[[#This Row],[VENTANAS]])</f>
        <v>0</v>
      </c>
      <c r="BH341" s="3">
        <f>+IF(AVANCE[[#This Row],[PISO]]=N$2,100%,AVANCE[[#This Row],[PISO]])</f>
        <v>0</v>
      </c>
      <c r="BI341" s="3">
        <f>+IF(AVANCE[[#This Row],[TABIQUES]]=O$2,100%,AVANCE[[#This Row],[TABIQUES]])</f>
        <v>0</v>
      </c>
      <c r="BJ341" s="3">
        <f>+IF(AVANCE[[#This Row],[MUROS]]=P$2,100%,AVANCE[[#This Row],[MUROS]])</f>
        <v>0</v>
      </c>
      <c r="BK341" s="3">
        <f>+IF(AVANCE[[#This Row],[CIELO]]=Q$2,100%,AVANCE[[#This Row],[CIELO]])</f>
        <v>0</v>
      </c>
      <c r="BL341" s="3">
        <f>+IF(AVANCE[[#This Row],[BALCÓN]]=R$2,100%,AVANCE[[#This Row],[BALCÓN]])</f>
        <v>0</v>
      </c>
      <c r="BM341" s="3">
        <f>+IF(AVANCE[[#This Row],[RED ALCANTARILLADO]]=U$2,100%,AVANCE[[#This Row],[RED ALCANTARILLADO]])</f>
        <v>0</v>
      </c>
      <c r="BN341" s="3">
        <f>+IF(AVANCE[[#This Row],[RED DE AGUA]]=V$2,100%,AVANCE[[#This Row],[RED DE AGUA]])</f>
        <v>0</v>
      </c>
      <c r="BO341" s="3">
        <f>+IF(AVANCE[[#This Row],[VENTILACIONES]]=W$2,100%,AVANCE[[#This Row],[VENTILACIONES]])</f>
        <v>0</v>
      </c>
      <c r="BP341" s="3">
        <f>+IF(AVANCE[[#This Row],[TINA]]=X$2,100%,AVANCE[[#This Row],[TINA]])</f>
        <v>0</v>
      </c>
      <c r="BQ341" s="3">
        <f>+IF(AVANCE[[#This Row],[WC]]=Y$2,100%,AVANCE[[#This Row],[WC]])</f>
        <v>0</v>
      </c>
      <c r="BR341" s="3">
        <f>+IF(AVANCE[[#This Row],[LAVAMANOS / LAVAPLATOS / LAVADERO]]=Z$2,100%,AVANCE[[#This Row],[LAVAMANOS / LAVAPLATOS / LAVADERO]])</f>
        <v>0</v>
      </c>
      <c r="BS341" s="3">
        <f>+IF(AVANCE[[#This Row],[CANALIZACIÓN]]=AC$2,100%,AVANCE[[#This Row],[CANALIZACIÓN]])</f>
        <v>0</v>
      </c>
      <c r="BT341" s="3">
        <f>+IF(AVANCE[[#This Row],[CABLEADO]]=AD$2,100%,AVANCE[[#This Row],[CABLEADO]])</f>
        <v>0</v>
      </c>
      <c r="BU341" s="3">
        <f>+IF(AVANCE[[#This Row],[ARTEFACTOS]]=AE$2,100%,AVANCE[[#This Row],[ARTEFACTOS]])</f>
        <v>0</v>
      </c>
      <c r="BV341" s="3">
        <f>+IF(AVANCE[[#This Row],[TABLERO]]=AF$2,100%,AVANCE[[#This Row],[TABLERO]])</f>
        <v>0</v>
      </c>
      <c r="BW341" s="3">
        <f>+IF(AVANCE[[#This Row],[CAJA PAU]]=AG$2,100%,AVANCE[[#This Row],[CAJA PAU]])</f>
        <v>0</v>
      </c>
      <c r="BX341" s="3">
        <f>+IF(AVANCE[[#This Row],[INSTALACION VINILICO]]=AJ$2,100%,AVANCE[[#This Row],[INSTALACION VINILICO]])</f>
        <v>0</v>
      </c>
      <c r="BY341" s="3">
        <f>+IF(AVANCE[[#This Row],[OSB CUBIERTA]]=AK$2,100%,AVANCE[[#This Row],[OSB CUBIERTA]])</f>
        <v>0</v>
      </c>
      <c r="BZ341" s="3">
        <f>+IF(AVANCE[[#This Row],[BARANDA BALCON]]=AL$2,100%,AVANCE[[#This Row],[BARANDA BALCON]])</f>
        <v>0</v>
      </c>
      <c r="CA341" s="3">
        <f>+IF(AVANCE[[#This Row],[OSB EXTERIOR]]=AM$2,100%,AVANCE[[#This Row],[OSB EXTERIOR]])</f>
        <v>0</v>
      </c>
      <c r="CB341" s="3">
        <f>+IF(AVANCE[[#This Row],[SMART PANEL]]=AN$2,100%,AVANCE[[#This Row],[SMART PANEL]])</f>
        <v>0</v>
      </c>
      <c r="CC341" s="3">
        <f>+IF(AVANCE[[#This Row],[PINTURA EXTERIOR]]=AO$2,100%,AVANCE[[#This Row],[PINTURA EXTERIOR]])</f>
        <v>0</v>
      </c>
      <c r="CD341" s="3">
        <f>+IF(AVANCE[[#This Row],[ZOCALOS LOGIA]]=AP$2,100%,AVANCE[[#This Row],[ZOCALOS LOGIA]])</f>
        <v>0</v>
      </c>
      <c r="CE341" s="3">
        <f>+IF(AVANCE[[#This Row],[MOLDURAS]]=AQ$2,100%,AVANCE[[#This Row],[MOLDURAS]])</f>
        <v>0</v>
      </c>
      <c r="CF341" s="3">
        <f>+IF(AVANCE[[#This Row],[PILASTREO]]=AR$2,100%,AVANCE[[#This Row],[PILASTREO]])</f>
        <v>0</v>
      </c>
      <c r="CG341" s="3">
        <f>+IF(AVANCE[[#This Row],[CELOSIAS]]=AS$2,100%,AVANCE[[#This Row],[CELOSIAS]])</f>
        <v>0</v>
      </c>
      <c r="CH341" s="3">
        <f>+IF(AVANCE[[#This Row],[VENTANAS]]=AT$2,100%,AVANCE[[#This Row],[VENTANAS]])</f>
        <v>0</v>
      </c>
      <c r="CI341" s="3">
        <f>+IF(AVANCE[[#This Row],[PUERTAS ACCESO - LOGIA - BANO]]=AU$2,100%,AVANCE[[#This Row],[PUERTAS ACCESO - LOGIA - BANO]])</f>
        <v>0</v>
      </c>
      <c r="CJ341" s="3">
        <f>+IF(AVANCE[[#This Row],[CERRADURAS]]=AV$2,100%,AVANCE[[#This Row],[CERRADURAS]])</f>
        <v>0</v>
      </c>
      <c r="CK341" s="3">
        <f>+IF(AVANCE[[#This Row],[REVESTIMIENTO INTERIOR ZONA SECA]]=AW$2,100%,AVANCE[[#This Row],[REVESTIMIENTO INTERIOR ZONA SECA]])</f>
        <v>0</v>
      </c>
      <c r="CL341" s="3">
        <f>+IF(AVANCE[[#This Row],[REVESTIMIENTO INTERIOR ZONAS HUMEDAS]]=AX$2,100%,AVANCE[[#This Row],[REVESTIMIENTO INTERIOR ZONAS HUMEDAS]])</f>
        <v>0</v>
      </c>
      <c r="CM341" s="3">
        <f>+IF(AVANCE[[#This Row],[MEMBRANA CIELO]]=AY$2,100%,AVANCE[[#This Row],[MEMBRANA CIELO]])</f>
        <v>0</v>
      </c>
      <c r="CN341" s="3">
        <f>+IF(AVANCE[[#This Row],[LIMPIEZA FINAL]]=AZ$2,100%,AVANCE[[#This Row],[LIMPIEZA FINAL]])</f>
        <v>0</v>
      </c>
      <c r="CO341" s="3">
        <f>+IF(AVANCE[[#This Row],[PUERTAS DORMITORIO]]=BA$2,100%,AVANCE[[#This Row],[PUERTAS DORMITORIO]])</f>
        <v>0</v>
      </c>
      <c r="CP341" s="3">
        <f>+IF(AVANCE[[#This Row],[REVESTIMIENTO INTERIOR BANO]]=BB$2,100%,AVANCE[[#This Row],[REVESTIMIENTO INTERIOR BANO]])</f>
        <v>0</v>
      </c>
      <c r="CQ341" s="3">
        <f>+IF(AVANCE[[#This Row],[MUEBLE LAVAPLATOS]]=BC$2,100%,AVANCE[[#This Row],[MUEBLE LAVAPLATOS]])</f>
        <v>0</v>
      </c>
      <c r="CR341" s="3">
        <f>+IF(AVANCE[[#This Row],[IMPERMEABILIZACION BANO - COCINA LOGIA]]=BD$2,100%,AVANCE[[#This Row],[IMPERMEABILIZACION BANO - COCINA LOGIA]])</f>
        <v>0</v>
      </c>
      <c r="CS341" s="40">
        <f ca="1">+IF(AVANCE[[#This Row],[ESTADO MODULO]]="PENDIENTE",(TODAY()-AVANCE[[#This Row],[FECHA TERMINO  PLANIFICADO]]),0)</f>
        <v>0</v>
      </c>
      <c r="CT341" s="41" t="str" cm="1">
        <f t="array" ref="CT341">_xlfn.TEXTJOIN(" | ",TRUE,IF(SUMPRODUCT((BG341:CR341&lt;1)*(PARTIDAS!$I$2:$AT$2="OBRA GRUESA"))&gt;0,"OBRA GRUESA: "&amp;_xlfn.TEXTJOIN(", ",TRUE,IF((BG341:CR341&lt;1)*(PARTIDAS!$I$2:$AT$2="OBRA GRUESA"),PARTIDAS!$I$1:$AT$1,"")),""),IF(SUMPRODUCT((BG341:CR341&lt;1)*(PARTIDAS!$I$2:$AT$2="SANITARIOS"))&gt;0,"SANITARIOS: "&amp;_xlfn.TEXTJOIN(", ",TRUE,IF((BG341:CR341&lt;1)*(PARTIDAS!$I$2:$AT$2="SANITARIOS"),PARTIDAS!$I$1:$AT$1,"")),""),IF(SUMPRODUCT((BG341:CR341&lt;1)*(PARTIDAS!$I$2:$AT$2="ELÉCTRICO"))&gt;0,"ELÉCTRICO: "&amp;_xlfn.TEXTJOIN(", ",TRUE,IF((BG341:CR341&lt;1)*(PARTIDAS!$I$2:$AT$2="ELÉCTRICO"),PARTIDAS!$I$1:$AT$1,"")),""),IF(SUMPRODUCT((BG341:CR341&lt;1)*(PARTIDAS!$I$2:$AT$2="TERMINACIONES"))&gt;0,"TERMINACIONES: "&amp;_xlfn.TEXTJOIN(", ",TRUE,IF((BG341:CR341&lt;1)*(PARTIDAS!$I$2:$AT$2="TERMINACIONES"),PARTIDAS!$I$1:$AT$1,"")),""))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1" s="43" t="str" cm="1">
        <f t="array" ref="CU341">_xlfn.TEXTJOIN(", ",TRUE,IF(SUMPRODUCT((BG341:CR341&lt;1)*(PARTIDAS!$I$2:$AT$2="OBRA GRUESA"))&gt;0,"OBRA GRUESA",""),IF(SUMPRODUCT((BG341:CR341&lt;1)*(PARTIDAS!$I$2:$AT$2="SANITARIOS"))&gt;0,"SANITARIOS",""),IF(SUMPRODUCT((BG341:CR341&lt;1)*(PARTIDAS!$I$2:$AT$2="ELÉCTRICO"))&gt;0,"ELÉCTRICO",""),IF(SUMPRODUCT((BG341:CR341&lt;1)*(PARTIDAS!$I$2:$AT$2="TERMINACIONES"))&gt;0,"TERMINACIONES",""))</f>
        <v>OBRA GRUESA, SANITARIOS, ELÉCTRICO, TERMINACIONES</v>
      </c>
      <c r="CV341" s="44" cm="1">
        <f t="array" ref="CV341">SUMPRODUCT(--(BG341:CR341&lt;1))</f>
        <v>38</v>
      </c>
    </row>
    <row r="342" spans="1:100" hidden="1" x14ac:dyDescent="0.25">
      <c r="A342" t="s">
        <v>388</v>
      </c>
      <c r="B342" t="s">
        <v>409</v>
      </c>
      <c r="C342">
        <v>2282600341</v>
      </c>
      <c r="D342" t="s">
        <v>58</v>
      </c>
      <c r="E342" s="2">
        <v>0</v>
      </c>
      <c r="F342" s="1">
        <v>46311</v>
      </c>
      <c r="G342" s="1"/>
      <c r="H342" s="1">
        <v>0</v>
      </c>
      <c r="I342" s="1">
        <v>46331</v>
      </c>
      <c r="J342">
        <v>46230</v>
      </c>
      <c r="K342" s="1"/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>
        <v>28.87</v>
      </c>
      <c r="BF342" s="3" t="str">
        <f>+IF(AVANCE[[#This Row],[% AVANCE]]=100%,"MODULO TERMINADO",IF(AVANCE[[#This Row],[FECHA INICIO REAL]]="","MODULO NO INICIADO","PENDIENTE"))</f>
        <v>MODULO NO INICIADO</v>
      </c>
      <c r="BG342" s="3">
        <f>+IF(AVANCE[[#This Row],[VENTANAS]]=8.10810810810811%,100%,AVANCE[[#This Row],[VENTANAS]])</f>
        <v>0</v>
      </c>
      <c r="BH342" s="3">
        <f>+IF(AVANCE[[#This Row],[PISO]]=N$2,100%,AVANCE[[#This Row],[PISO]])</f>
        <v>0</v>
      </c>
      <c r="BI342" s="3">
        <f>+IF(AVANCE[[#This Row],[TABIQUES]]=O$2,100%,AVANCE[[#This Row],[TABIQUES]])</f>
        <v>0</v>
      </c>
      <c r="BJ342" s="3">
        <f>+IF(AVANCE[[#This Row],[MUROS]]=P$2,100%,AVANCE[[#This Row],[MUROS]])</f>
        <v>0</v>
      </c>
      <c r="BK342" s="3">
        <f>+IF(AVANCE[[#This Row],[CIELO]]=Q$2,100%,AVANCE[[#This Row],[CIELO]])</f>
        <v>0</v>
      </c>
      <c r="BL342" s="3">
        <f>+IF(AVANCE[[#This Row],[BALCÓN]]=R$2,100%,AVANCE[[#This Row],[BALCÓN]])</f>
        <v>0</v>
      </c>
      <c r="BM342" s="3">
        <f>+IF(AVANCE[[#This Row],[RED ALCANTARILLADO]]=U$2,100%,AVANCE[[#This Row],[RED ALCANTARILLADO]])</f>
        <v>0</v>
      </c>
      <c r="BN342" s="3">
        <f>+IF(AVANCE[[#This Row],[RED DE AGUA]]=V$2,100%,AVANCE[[#This Row],[RED DE AGUA]])</f>
        <v>0</v>
      </c>
      <c r="BO342" s="3">
        <f>+IF(AVANCE[[#This Row],[VENTILACIONES]]=W$2,100%,AVANCE[[#This Row],[VENTILACIONES]])</f>
        <v>0</v>
      </c>
      <c r="BP342" s="3">
        <f>+IF(AVANCE[[#This Row],[TINA]]=X$2,100%,AVANCE[[#This Row],[TINA]])</f>
        <v>0</v>
      </c>
      <c r="BQ342" s="3">
        <f>+IF(AVANCE[[#This Row],[WC]]=Y$2,100%,AVANCE[[#This Row],[WC]])</f>
        <v>0</v>
      </c>
      <c r="BR342" s="3">
        <f>+IF(AVANCE[[#This Row],[LAVAMANOS / LAVAPLATOS / LAVADERO]]=Z$2,100%,AVANCE[[#This Row],[LAVAMANOS / LAVAPLATOS / LAVADERO]])</f>
        <v>0</v>
      </c>
      <c r="BS342" s="3">
        <f>+IF(AVANCE[[#This Row],[CANALIZACIÓN]]=AC$2,100%,AVANCE[[#This Row],[CANALIZACIÓN]])</f>
        <v>0</v>
      </c>
      <c r="BT342" s="3">
        <f>+IF(AVANCE[[#This Row],[CABLEADO]]=AD$2,100%,AVANCE[[#This Row],[CABLEADO]])</f>
        <v>0</v>
      </c>
      <c r="BU342" s="3">
        <f>+IF(AVANCE[[#This Row],[ARTEFACTOS]]=AE$2,100%,AVANCE[[#This Row],[ARTEFACTOS]])</f>
        <v>0</v>
      </c>
      <c r="BV342" s="3">
        <f>+IF(AVANCE[[#This Row],[TABLERO]]=AF$2,100%,AVANCE[[#This Row],[TABLERO]])</f>
        <v>0</v>
      </c>
      <c r="BW342" s="3">
        <f>+IF(AVANCE[[#This Row],[CAJA PAU]]=AG$2,100%,AVANCE[[#This Row],[CAJA PAU]])</f>
        <v>0</v>
      </c>
      <c r="BX342" s="3">
        <f>+IF(AVANCE[[#This Row],[INSTALACION VINILICO]]=AJ$2,100%,AVANCE[[#This Row],[INSTALACION VINILICO]])</f>
        <v>0</v>
      </c>
      <c r="BY342" s="3">
        <f>+IF(AVANCE[[#This Row],[OSB CUBIERTA]]=AK$2,100%,AVANCE[[#This Row],[OSB CUBIERTA]])</f>
        <v>0</v>
      </c>
      <c r="BZ342" s="3">
        <f>+IF(AVANCE[[#This Row],[BARANDA BALCON]]=AL$2,100%,AVANCE[[#This Row],[BARANDA BALCON]])</f>
        <v>0</v>
      </c>
      <c r="CA342" s="3">
        <f>+IF(AVANCE[[#This Row],[OSB EXTERIOR]]=AM$2,100%,AVANCE[[#This Row],[OSB EXTERIOR]])</f>
        <v>0</v>
      </c>
      <c r="CB342" s="3">
        <f>+IF(AVANCE[[#This Row],[SMART PANEL]]=AN$2,100%,AVANCE[[#This Row],[SMART PANEL]])</f>
        <v>0</v>
      </c>
      <c r="CC342" s="3">
        <f>+IF(AVANCE[[#This Row],[PINTURA EXTERIOR]]=AO$2,100%,AVANCE[[#This Row],[PINTURA EXTERIOR]])</f>
        <v>0</v>
      </c>
      <c r="CD342" s="3">
        <f>+IF(AVANCE[[#This Row],[ZOCALOS LOGIA]]=AP$2,100%,AVANCE[[#This Row],[ZOCALOS LOGIA]])</f>
        <v>0</v>
      </c>
      <c r="CE342" s="3">
        <f>+IF(AVANCE[[#This Row],[MOLDURAS]]=AQ$2,100%,AVANCE[[#This Row],[MOLDURAS]])</f>
        <v>0</v>
      </c>
      <c r="CF342" s="3">
        <f>+IF(AVANCE[[#This Row],[PILASTREO]]=AR$2,100%,AVANCE[[#This Row],[PILASTREO]])</f>
        <v>0</v>
      </c>
      <c r="CG342" s="3">
        <f>+IF(AVANCE[[#This Row],[CELOSIAS]]=AS$2,100%,AVANCE[[#This Row],[CELOSIAS]])</f>
        <v>0</v>
      </c>
      <c r="CH342" s="3">
        <f>+IF(AVANCE[[#This Row],[VENTANAS]]=AT$2,100%,AVANCE[[#This Row],[VENTANAS]])</f>
        <v>0</v>
      </c>
      <c r="CI342" s="3">
        <f>+IF(AVANCE[[#This Row],[PUERTAS ACCESO - LOGIA - BANO]]=AU$2,100%,AVANCE[[#This Row],[PUERTAS ACCESO - LOGIA - BANO]])</f>
        <v>0</v>
      </c>
      <c r="CJ342" s="3">
        <f>+IF(AVANCE[[#This Row],[CERRADURAS]]=AV$2,100%,AVANCE[[#This Row],[CERRADURAS]])</f>
        <v>0</v>
      </c>
      <c r="CK342" s="3">
        <f>+IF(AVANCE[[#This Row],[REVESTIMIENTO INTERIOR ZONA SECA]]=AW$2,100%,AVANCE[[#This Row],[REVESTIMIENTO INTERIOR ZONA SECA]])</f>
        <v>0</v>
      </c>
      <c r="CL342" s="3">
        <f>+IF(AVANCE[[#This Row],[REVESTIMIENTO INTERIOR ZONAS HUMEDAS]]=AX$2,100%,AVANCE[[#This Row],[REVESTIMIENTO INTERIOR ZONAS HUMEDAS]])</f>
        <v>0</v>
      </c>
      <c r="CM342" s="3">
        <f>+IF(AVANCE[[#This Row],[MEMBRANA CIELO]]=AY$2,100%,AVANCE[[#This Row],[MEMBRANA CIELO]])</f>
        <v>0</v>
      </c>
      <c r="CN342" s="3">
        <f>+IF(AVANCE[[#This Row],[LIMPIEZA FINAL]]=AZ$2,100%,AVANCE[[#This Row],[LIMPIEZA FINAL]])</f>
        <v>0</v>
      </c>
      <c r="CO342" s="3">
        <f>+IF(AVANCE[[#This Row],[PUERTAS DORMITORIO]]=BA$2,100%,AVANCE[[#This Row],[PUERTAS DORMITORIO]])</f>
        <v>0</v>
      </c>
      <c r="CP342" s="3">
        <f>+IF(AVANCE[[#This Row],[REVESTIMIENTO INTERIOR BANO]]=BB$2,100%,AVANCE[[#This Row],[REVESTIMIENTO INTERIOR BANO]])</f>
        <v>0</v>
      </c>
      <c r="CQ342" s="3">
        <f>+IF(AVANCE[[#This Row],[MUEBLE LAVAPLATOS]]=BC$2,100%,AVANCE[[#This Row],[MUEBLE LAVAPLATOS]])</f>
        <v>0</v>
      </c>
      <c r="CR342" s="3">
        <f>+IF(AVANCE[[#This Row],[IMPERMEABILIZACION BANO - COCINA LOGIA]]=BD$2,100%,AVANCE[[#This Row],[IMPERMEABILIZACION BANO - COCINA LOGIA]])</f>
        <v>0</v>
      </c>
      <c r="CS342" s="40">
        <f ca="1">+IF(AVANCE[[#This Row],[ESTADO MODULO]]="PENDIENTE",(TODAY()-AVANCE[[#This Row],[FECHA TERMINO  PLANIFICADO]]),0)</f>
        <v>0</v>
      </c>
      <c r="CT342" s="41" t="str" cm="1">
        <f t="array" ref="CT342">_xlfn.TEXTJOIN(" | ",TRUE,IF(SUMPRODUCT((BG342:CR342&lt;1)*(PARTIDAS!$I$2:$AT$2="OBRA GRUESA"))&gt;0,"OBRA GRUESA: "&amp;_xlfn.TEXTJOIN(", ",TRUE,IF((BG342:CR342&lt;1)*(PARTIDAS!$I$2:$AT$2="OBRA GRUESA"),PARTIDAS!$I$1:$AT$1,"")),""),IF(SUMPRODUCT((BG342:CR342&lt;1)*(PARTIDAS!$I$2:$AT$2="SANITARIOS"))&gt;0,"SANITARIOS: "&amp;_xlfn.TEXTJOIN(", ",TRUE,IF((BG342:CR342&lt;1)*(PARTIDAS!$I$2:$AT$2="SANITARIOS"),PARTIDAS!$I$1:$AT$1,"")),""),IF(SUMPRODUCT((BG342:CR342&lt;1)*(PARTIDAS!$I$2:$AT$2="ELÉCTRICO"))&gt;0,"ELÉCTRICO: "&amp;_xlfn.TEXTJOIN(", ",TRUE,IF((BG342:CR342&lt;1)*(PARTIDAS!$I$2:$AT$2="ELÉCTRICO"),PARTIDAS!$I$1:$AT$1,"")),""),IF(SUMPRODUCT((BG342:CR342&lt;1)*(PARTIDAS!$I$2:$AT$2="TERMINACIONES"))&gt;0,"TERMINACIONES: "&amp;_xlfn.TEXTJOIN(", ",TRUE,IF((BG342:CR342&lt;1)*(PARTIDAS!$I$2:$AT$2="TERMINACIONES"),PARTIDAS!$I$1:$AT$1,"")),""))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2" s="43" t="str" cm="1">
        <f t="array" ref="CU342">_xlfn.TEXTJOIN(", ",TRUE,IF(SUMPRODUCT((BG342:CR342&lt;1)*(PARTIDAS!$I$2:$AT$2="OBRA GRUESA"))&gt;0,"OBRA GRUESA",""),IF(SUMPRODUCT((BG342:CR342&lt;1)*(PARTIDAS!$I$2:$AT$2="SANITARIOS"))&gt;0,"SANITARIOS",""),IF(SUMPRODUCT((BG342:CR342&lt;1)*(PARTIDAS!$I$2:$AT$2="ELÉCTRICO"))&gt;0,"ELÉCTRICO",""),IF(SUMPRODUCT((BG342:CR342&lt;1)*(PARTIDAS!$I$2:$AT$2="TERMINACIONES"))&gt;0,"TERMINACIONES",""))</f>
        <v>OBRA GRUESA, SANITARIOS, ELÉCTRICO, TERMINACIONES</v>
      </c>
      <c r="CV342" s="44" cm="1">
        <f t="array" ref="CV342">SUMPRODUCT(--(BG342:CR342&lt;1))</f>
        <v>38</v>
      </c>
    </row>
    <row r="343" spans="1:100" hidden="1" x14ac:dyDescent="0.25">
      <c r="A343" t="s">
        <v>388</v>
      </c>
      <c r="B343" t="s">
        <v>410</v>
      </c>
      <c r="C343">
        <v>2302600342</v>
      </c>
      <c r="D343" t="s">
        <v>60</v>
      </c>
      <c r="E343" s="2">
        <v>0</v>
      </c>
      <c r="F343" s="1">
        <v>46311</v>
      </c>
      <c r="G343" s="1"/>
      <c r="H343" s="1">
        <v>0</v>
      </c>
      <c r="I343" s="1">
        <v>46341</v>
      </c>
      <c r="J343">
        <v>46230</v>
      </c>
      <c r="K343" s="1"/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>
        <v>31.32</v>
      </c>
      <c r="BF343" s="3" t="str">
        <f>+IF(AVANCE[[#This Row],[% AVANCE]]=100%,"MODULO TERMINADO",IF(AVANCE[[#This Row],[FECHA INICIO REAL]]="","MODULO NO INICIADO","PENDIENTE"))</f>
        <v>MODULO NO INICIADO</v>
      </c>
      <c r="BG343" s="3">
        <f>+IF(AVANCE[[#This Row],[VENTANAS]]=8.10810810810811%,100%,AVANCE[[#This Row],[VENTANAS]])</f>
        <v>0</v>
      </c>
      <c r="BH343" s="3">
        <f>+IF(AVANCE[[#This Row],[PISO]]=N$2,100%,AVANCE[[#This Row],[PISO]])</f>
        <v>0</v>
      </c>
      <c r="BI343" s="3">
        <f>+IF(AVANCE[[#This Row],[TABIQUES]]=O$2,100%,AVANCE[[#This Row],[TABIQUES]])</f>
        <v>0</v>
      </c>
      <c r="BJ343" s="3">
        <f>+IF(AVANCE[[#This Row],[MUROS]]=P$2,100%,AVANCE[[#This Row],[MUROS]])</f>
        <v>0</v>
      </c>
      <c r="BK343" s="3">
        <f>+IF(AVANCE[[#This Row],[CIELO]]=Q$2,100%,AVANCE[[#This Row],[CIELO]])</f>
        <v>0</v>
      </c>
      <c r="BL343" s="3">
        <f>+IF(AVANCE[[#This Row],[BALCÓN]]=R$2,100%,AVANCE[[#This Row],[BALCÓN]])</f>
        <v>0</v>
      </c>
      <c r="BM343" s="3">
        <f>+IF(AVANCE[[#This Row],[RED ALCANTARILLADO]]=U$2,100%,AVANCE[[#This Row],[RED ALCANTARILLADO]])</f>
        <v>0</v>
      </c>
      <c r="BN343" s="3">
        <f>+IF(AVANCE[[#This Row],[RED DE AGUA]]=V$2,100%,AVANCE[[#This Row],[RED DE AGUA]])</f>
        <v>0</v>
      </c>
      <c r="BO343" s="3">
        <f>+IF(AVANCE[[#This Row],[VENTILACIONES]]=W$2,100%,AVANCE[[#This Row],[VENTILACIONES]])</f>
        <v>0</v>
      </c>
      <c r="BP343" s="3">
        <f>+IF(AVANCE[[#This Row],[TINA]]=X$2,100%,AVANCE[[#This Row],[TINA]])</f>
        <v>0</v>
      </c>
      <c r="BQ343" s="3">
        <f>+IF(AVANCE[[#This Row],[WC]]=Y$2,100%,AVANCE[[#This Row],[WC]])</f>
        <v>0</v>
      </c>
      <c r="BR343" s="3">
        <f>+IF(AVANCE[[#This Row],[LAVAMANOS / LAVAPLATOS / LAVADERO]]=Z$2,100%,AVANCE[[#This Row],[LAVAMANOS / LAVAPLATOS / LAVADERO]])</f>
        <v>0</v>
      </c>
      <c r="BS343" s="3">
        <f>+IF(AVANCE[[#This Row],[CANALIZACIÓN]]=AC$2,100%,AVANCE[[#This Row],[CANALIZACIÓN]])</f>
        <v>0</v>
      </c>
      <c r="BT343" s="3">
        <f>+IF(AVANCE[[#This Row],[CABLEADO]]=AD$2,100%,AVANCE[[#This Row],[CABLEADO]])</f>
        <v>0</v>
      </c>
      <c r="BU343" s="3">
        <f>+IF(AVANCE[[#This Row],[ARTEFACTOS]]=AE$2,100%,AVANCE[[#This Row],[ARTEFACTOS]])</f>
        <v>0</v>
      </c>
      <c r="BV343" s="3">
        <f>+IF(AVANCE[[#This Row],[TABLERO]]=AF$2,100%,AVANCE[[#This Row],[TABLERO]])</f>
        <v>0</v>
      </c>
      <c r="BW343" s="3">
        <f>+IF(AVANCE[[#This Row],[CAJA PAU]]=AG$2,100%,AVANCE[[#This Row],[CAJA PAU]])</f>
        <v>0</v>
      </c>
      <c r="BX343" s="3">
        <f>+IF(AVANCE[[#This Row],[INSTALACION VINILICO]]=AJ$2,100%,AVANCE[[#This Row],[INSTALACION VINILICO]])</f>
        <v>0</v>
      </c>
      <c r="BY343" s="3">
        <f>+IF(AVANCE[[#This Row],[OSB CUBIERTA]]=AK$2,100%,AVANCE[[#This Row],[OSB CUBIERTA]])</f>
        <v>0</v>
      </c>
      <c r="BZ343" s="3">
        <f>+IF(AVANCE[[#This Row],[BARANDA BALCON]]=AL$2,100%,AVANCE[[#This Row],[BARANDA BALCON]])</f>
        <v>0</v>
      </c>
      <c r="CA343" s="3">
        <f>+IF(AVANCE[[#This Row],[OSB EXTERIOR]]=AM$2,100%,AVANCE[[#This Row],[OSB EXTERIOR]])</f>
        <v>0</v>
      </c>
      <c r="CB343" s="3">
        <f>+IF(AVANCE[[#This Row],[SMART PANEL]]=AN$2,100%,AVANCE[[#This Row],[SMART PANEL]])</f>
        <v>0</v>
      </c>
      <c r="CC343" s="3">
        <f>+IF(AVANCE[[#This Row],[PINTURA EXTERIOR]]=AO$2,100%,AVANCE[[#This Row],[PINTURA EXTERIOR]])</f>
        <v>0</v>
      </c>
      <c r="CD343" s="3">
        <f>+IF(AVANCE[[#This Row],[ZOCALOS LOGIA]]=AP$2,100%,AVANCE[[#This Row],[ZOCALOS LOGIA]])</f>
        <v>0</v>
      </c>
      <c r="CE343" s="3">
        <f>+IF(AVANCE[[#This Row],[MOLDURAS]]=AQ$2,100%,AVANCE[[#This Row],[MOLDURAS]])</f>
        <v>0</v>
      </c>
      <c r="CF343" s="3">
        <f>+IF(AVANCE[[#This Row],[PILASTREO]]=AR$2,100%,AVANCE[[#This Row],[PILASTREO]])</f>
        <v>0</v>
      </c>
      <c r="CG343" s="3">
        <f>+IF(AVANCE[[#This Row],[CELOSIAS]]=AS$2,100%,AVANCE[[#This Row],[CELOSIAS]])</f>
        <v>0</v>
      </c>
      <c r="CH343" s="3">
        <f>+IF(AVANCE[[#This Row],[VENTANAS]]=AT$2,100%,AVANCE[[#This Row],[VENTANAS]])</f>
        <v>0</v>
      </c>
      <c r="CI343" s="3">
        <f>+IF(AVANCE[[#This Row],[PUERTAS ACCESO - LOGIA - BANO]]=AU$2,100%,AVANCE[[#This Row],[PUERTAS ACCESO - LOGIA - BANO]])</f>
        <v>0</v>
      </c>
      <c r="CJ343" s="3">
        <f>+IF(AVANCE[[#This Row],[CERRADURAS]]=AV$2,100%,AVANCE[[#This Row],[CERRADURAS]])</f>
        <v>0</v>
      </c>
      <c r="CK343" s="3">
        <f>+IF(AVANCE[[#This Row],[REVESTIMIENTO INTERIOR ZONA SECA]]=AW$2,100%,AVANCE[[#This Row],[REVESTIMIENTO INTERIOR ZONA SECA]])</f>
        <v>0</v>
      </c>
      <c r="CL343" s="3">
        <f>+IF(AVANCE[[#This Row],[REVESTIMIENTO INTERIOR ZONAS HUMEDAS]]=AX$2,100%,AVANCE[[#This Row],[REVESTIMIENTO INTERIOR ZONAS HUMEDAS]])</f>
        <v>0</v>
      </c>
      <c r="CM343" s="3">
        <f>+IF(AVANCE[[#This Row],[MEMBRANA CIELO]]=AY$2,100%,AVANCE[[#This Row],[MEMBRANA CIELO]])</f>
        <v>0</v>
      </c>
      <c r="CN343" s="3">
        <f>+IF(AVANCE[[#This Row],[LIMPIEZA FINAL]]=AZ$2,100%,AVANCE[[#This Row],[LIMPIEZA FINAL]])</f>
        <v>0</v>
      </c>
      <c r="CO343" s="3">
        <f>+IF(AVANCE[[#This Row],[PUERTAS DORMITORIO]]=BA$2,100%,AVANCE[[#This Row],[PUERTAS DORMITORIO]])</f>
        <v>0</v>
      </c>
      <c r="CP343" s="3">
        <f>+IF(AVANCE[[#This Row],[REVESTIMIENTO INTERIOR BANO]]=BB$2,100%,AVANCE[[#This Row],[REVESTIMIENTO INTERIOR BANO]])</f>
        <v>0</v>
      </c>
      <c r="CQ343" s="3">
        <f>+IF(AVANCE[[#This Row],[MUEBLE LAVAPLATOS]]=BC$2,100%,AVANCE[[#This Row],[MUEBLE LAVAPLATOS]])</f>
        <v>0</v>
      </c>
      <c r="CR343" s="3">
        <f>+IF(AVANCE[[#This Row],[IMPERMEABILIZACION BANO - COCINA LOGIA]]=BD$2,100%,AVANCE[[#This Row],[IMPERMEABILIZACION BANO - COCINA LOGIA]])</f>
        <v>0</v>
      </c>
      <c r="CS343" s="40">
        <f ca="1">+IF(AVANCE[[#This Row],[ESTADO MODULO]]="PENDIENTE",(TODAY()-AVANCE[[#This Row],[FECHA TERMINO  PLANIFICADO]]),0)</f>
        <v>0</v>
      </c>
      <c r="CT343" s="41" t="str" cm="1">
        <f t="array" ref="CT343">_xlfn.TEXTJOIN(" | ",TRUE,IF(SUMPRODUCT((BG343:CR343&lt;1)*(PARTIDAS!$I$2:$AT$2="OBRA GRUESA"))&gt;0,"OBRA GRUESA: "&amp;_xlfn.TEXTJOIN(", ",TRUE,IF((BG343:CR343&lt;1)*(PARTIDAS!$I$2:$AT$2="OBRA GRUESA"),PARTIDAS!$I$1:$AT$1,"")),""),IF(SUMPRODUCT((BG343:CR343&lt;1)*(PARTIDAS!$I$2:$AT$2="SANITARIOS"))&gt;0,"SANITARIOS: "&amp;_xlfn.TEXTJOIN(", ",TRUE,IF((BG343:CR343&lt;1)*(PARTIDAS!$I$2:$AT$2="SANITARIOS"),PARTIDAS!$I$1:$AT$1,"")),""),IF(SUMPRODUCT((BG343:CR343&lt;1)*(PARTIDAS!$I$2:$AT$2="ELÉCTRICO"))&gt;0,"ELÉCTRICO: "&amp;_xlfn.TEXTJOIN(", ",TRUE,IF((BG343:CR343&lt;1)*(PARTIDAS!$I$2:$AT$2="ELÉCTRICO"),PARTIDAS!$I$1:$AT$1,"")),""),IF(SUMPRODUCT((BG343:CR343&lt;1)*(PARTIDAS!$I$2:$AT$2="TERMINACIONES"))&gt;0,"TERMINACIONES: "&amp;_xlfn.TEXTJOIN(", ",TRUE,IF((BG343:CR343&lt;1)*(PARTIDAS!$I$2:$AT$2="TERMINACIONES"),PARTIDAS!$I$1:$AT$1,"")),""))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3" s="43" t="str" cm="1">
        <f t="array" ref="CU343">_xlfn.TEXTJOIN(", ",TRUE,IF(SUMPRODUCT((BG343:CR343&lt;1)*(PARTIDAS!$I$2:$AT$2="OBRA GRUESA"))&gt;0,"OBRA GRUESA",""),IF(SUMPRODUCT((BG343:CR343&lt;1)*(PARTIDAS!$I$2:$AT$2="SANITARIOS"))&gt;0,"SANITARIOS",""),IF(SUMPRODUCT((BG343:CR343&lt;1)*(PARTIDAS!$I$2:$AT$2="ELÉCTRICO"))&gt;0,"ELÉCTRICO",""),IF(SUMPRODUCT((BG343:CR343&lt;1)*(PARTIDAS!$I$2:$AT$2="TERMINACIONES"))&gt;0,"TERMINACIONES",""))</f>
        <v>OBRA GRUESA, SANITARIOS, ELÉCTRICO, TERMINACIONES</v>
      </c>
      <c r="CV343" s="44" cm="1">
        <f t="array" ref="CV343">SUMPRODUCT(--(BG343:CR343&lt;1))</f>
        <v>38</v>
      </c>
    </row>
    <row r="344" spans="1:100" hidden="1" x14ac:dyDescent="0.25">
      <c r="A344" t="s">
        <v>388</v>
      </c>
      <c r="B344" t="s">
        <v>411</v>
      </c>
      <c r="C344">
        <v>2302600343</v>
      </c>
      <c r="D344" t="s">
        <v>60</v>
      </c>
      <c r="E344" s="2">
        <v>0</v>
      </c>
      <c r="F344" s="1">
        <v>46311</v>
      </c>
      <c r="G344" s="1"/>
      <c r="H344" s="1">
        <v>0</v>
      </c>
      <c r="I344" s="1">
        <v>46341</v>
      </c>
      <c r="J344">
        <v>46230</v>
      </c>
      <c r="K344" s="1"/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>
        <v>31.32</v>
      </c>
      <c r="BF344" s="3" t="str">
        <f>+IF(AVANCE[[#This Row],[% AVANCE]]=100%,"MODULO TERMINADO",IF(AVANCE[[#This Row],[FECHA INICIO REAL]]="","MODULO NO INICIADO","PENDIENTE"))</f>
        <v>MODULO NO INICIADO</v>
      </c>
      <c r="BG344" s="3">
        <f>+IF(AVANCE[[#This Row],[VENTANAS]]=8.10810810810811%,100%,AVANCE[[#This Row],[VENTANAS]])</f>
        <v>0</v>
      </c>
      <c r="BH344" s="3">
        <f>+IF(AVANCE[[#This Row],[PISO]]=N$2,100%,AVANCE[[#This Row],[PISO]])</f>
        <v>0</v>
      </c>
      <c r="BI344" s="3">
        <f>+IF(AVANCE[[#This Row],[TABIQUES]]=O$2,100%,AVANCE[[#This Row],[TABIQUES]])</f>
        <v>0</v>
      </c>
      <c r="BJ344" s="3">
        <f>+IF(AVANCE[[#This Row],[MUROS]]=P$2,100%,AVANCE[[#This Row],[MUROS]])</f>
        <v>0</v>
      </c>
      <c r="BK344" s="3">
        <f>+IF(AVANCE[[#This Row],[CIELO]]=Q$2,100%,AVANCE[[#This Row],[CIELO]])</f>
        <v>0</v>
      </c>
      <c r="BL344" s="3">
        <f>+IF(AVANCE[[#This Row],[BALCÓN]]=R$2,100%,AVANCE[[#This Row],[BALCÓN]])</f>
        <v>0</v>
      </c>
      <c r="BM344" s="3">
        <f>+IF(AVANCE[[#This Row],[RED ALCANTARILLADO]]=U$2,100%,AVANCE[[#This Row],[RED ALCANTARILLADO]])</f>
        <v>0</v>
      </c>
      <c r="BN344" s="3">
        <f>+IF(AVANCE[[#This Row],[RED DE AGUA]]=V$2,100%,AVANCE[[#This Row],[RED DE AGUA]])</f>
        <v>0</v>
      </c>
      <c r="BO344" s="3">
        <f>+IF(AVANCE[[#This Row],[VENTILACIONES]]=W$2,100%,AVANCE[[#This Row],[VENTILACIONES]])</f>
        <v>0</v>
      </c>
      <c r="BP344" s="3">
        <f>+IF(AVANCE[[#This Row],[TINA]]=X$2,100%,AVANCE[[#This Row],[TINA]])</f>
        <v>0</v>
      </c>
      <c r="BQ344" s="3">
        <f>+IF(AVANCE[[#This Row],[WC]]=Y$2,100%,AVANCE[[#This Row],[WC]])</f>
        <v>0</v>
      </c>
      <c r="BR344" s="3">
        <f>+IF(AVANCE[[#This Row],[LAVAMANOS / LAVAPLATOS / LAVADERO]]=Z$2,100%,AVANCE[[#This Row],[LAVAMANOS / LAVAPLATOS / LAVADERO]])</f>
        <v>0</v>
      </c>
      <c r="BS344" s="3">
        <f>+IF(AVANCE[[#This Row],[CANALIZACIÓN]]=AC$2,100%,AVANCE[[#This Row],[CANALIZACIÓN]])</f>
        <v>0</v>
      </c>
      <c r="BT344" s="3">
        <f>+IF(AVANCE[[#This Row],[CABLEADO]]=AD$2,100%,AVANCE[[#This Row],[CABLEADO]])</f>
        <v>0</v>
      </c>
      <c r="BU344" s="3">
        <f>+IF(AVANCE[[#This Row],[ARTEFACTOS]]=AE$2,100%,AVANCE[[#This Row],[ARTEFACTOS]])</f>
        <v>0</v>
      </c>
      <c r="BV344" s="3">
        <f>+IF(AVANCE[[#This Row],[TABLERO]]=AF$2,100%,AVANCE[[#This Row],[TABLERO]])</f>
        <v>0</v>
      </c>
      <c r="BW344" s="3">
        <f>+IF(AVANCE[[#This Row],[CAJA PAU]]=AG$2,100%,AVANCE[[#This Row],[CAJA PAU]])</f>
        <v>0</v>
      </c>
      <c r="BX344" s="3">
        <f>+IF(AVANCE[[#This Row],[INSTALACION VINILICO]]=AJ$2,100%,AVANCE[[#This Row],[INSTALACION VINILICO]])</f>
        <v>0</v>
      </c>
      <c r="BY344" s="3">
        <f>+IF(AVANCE[[#This Row],[OSB CUBIERTA]]=AK$2,100%,AVANCE[[#This Row],[OSB CUBIERTA]])</f>
        <v>0</v>
      </c>
      <c r="BZ344" s="3">
        <f>+IF(AVANCE[[#This Row],[BARANDA BALCON]]=AL$2,100%,AVANCE[[#This Row],[BARANDA BALCON]])</f>
        <v>0</v>
      </c>
      <c r="CA344" s="3">
        <f>+IF(AVANCE[[#This Row],[OSB EXTERIOR]]=AM$2,100%,AVANCE[[#This Row],[OSB EXTERIOR]])</f>
        <v>0</v>
      </c>
      <c r="CB344" s="3">
        <f>+IF(AVANCE[[#This Row],[SMART PANEL]]=AN$2,100%,AVANCE[[#This Row],[SMART PANEL]])</f>
        <v>0</v>
      </c>
      <c r="CC344" s="3">
        <f>+IF(AVANCE[[#This Row],[PINTURA EXTERIOR]]=AO$2,100%,AVANCE[[#This Row],[PINTURA EXTERIOR]])</f>
        <v>0</v>
      </c>
      <c r="CD344" s="3">
        <f>+IF(AVANCE[[#This Row],[ZOCALOS LOGIA]]=AP$2,100%,AVANCE[[#This Row],[ZOCALOS LOGIA]])</f>
        <v>0</v>
      </c>
      <c r="CE344" s="3">
        <f>+IF(AVANCE[[#This Row],[MOLDURAS]]=AQ$2,100%,AVANCE[[#This Row],[MOLDURAS]])</f>
        <v>0</v>
      </c>
      <c r="CF344" s="3">
        <f>+IF(AVANCE[[#This Row],[PILASTREO]]=AR$2,100%,AVANCE[[#This Row],[PILASTREO]])</f>
        <v>0</v>
      </c>
      <c r="CG344" s="3">
        <f>+IF(AVANCE[[#This Row],[CELOSIAS]]=AS$2,100%,AVANCE[[#This Row],[CELOSIAS]])</f>
        <v>0</v>
      </c>
      <c r="CH344" s="3">
        <f>+IF(AVANCE[[#This Row],[VENTANAS]]=AT$2,100%,AVANCE[[#This Row],[VENTANAS]])</f>
        <v>0</v>
      </c>
      <c r="CI344" s="3">
        <f>+IF(AVANCE[[#This Row],[PUERTAS ACCESO - LOGIA - BANO]]=AU$2,100%,AVANCE[[#This Row],[PUERTAS ACCESO - LOGIA - BANO]])</f>
        <v>0</v>
      </c>
      <c r="CJ344" s="3">
        <f>+IF(AVANCE[[#This Row],[CERRADURAS]]=AV$2,100%,AVANCE[[#This Row],[CERRADURAS]])</f>
        <v>0</v>
      </c>
      <c r="CK344" s="3">
        <f>+IF(AVANCE[[#This Row],[REVESTIMIENTO INTERIOR ZONA SECA]]=AW$2,100%,AVANCE[[#This Row],[REVESTIMIENTO INTERIOR ZONA SECA]])</f>
        <v>0</v>
      </c>
      <c r="CL344" s="3">
        <f>+IF(AVANCE[[#This Row],[REVESTIMIENTO INTERIOR ZONAS HUMEDAS]]=AX$2,100%,AVANCE[[#This Row],[REVESTIMIENTO INTERIOR ZONAS HUMEDAS]])</f>
        <v>0</v>
      </c>
      <c r="CM344" s="3">
        <f>+IF(AVANCE[[#This Row],[MEMBRANA CIELO]]=AY$2,100%,AVANCE[[#This Row],[MEMBRANA CIELO]])</f>
        <v>0</v>
      </c>
      <c r="CN344" s="3">
        <f>+IF(AVANCE[[#This Row],[LIMPIEZA FINAL]]=AZ$2,100%,AVANCE[[#This Row],[LIMPIEZA FINAL]])</f>
        <v>0</v>
      </c>
      <c r="CO344" s="3">
        <f>+IF(AVANCE[[#This Row],[PUERTAS DORMITORIO]]=BA$2,100%,AVANCE[[#This Row],[PUERTAS DORMITORIO]])</f>
        <v>0</v>
      </c>
      <c r="CP344" s="3">
        <f>+IF(AVANCE[[#This Row],[REVESTIMIENTO INTERIOR BANO]]=BB$2,100%,AVANCE[[#This Row],[REVESTIMIENTO INTERIOR BANO]])</f>
        <v>0</v>
      </c>
      <c r="CQ344" s="3">
        <f>+IF(AVANCE[[#This Row],[MUEBLE LAVAPLATOS]]=BC$2,100%,AVANCE[[#This Row],[MUEBLE LAVAPLATOS]])</f>
        <v>0</v>
      </c>
      <c r="CR344" s="3">
        <f>+IF(AVANCE[[#This Row],[IMPERMEABILIZACION BANO - COCINA LOGIA]]=BD$2,100%,AVANCE[[#This Row],[IMPERMEABILIZACION BANO - COCINA LOGIA]])</f>
        <v>0</v>
      </c>
      <c r="CS344" s="40">
        <f ca="1">+IF(AVANCE[[#This Row],[ESTADO MODULO]]="PENDIENTE",(TODAY()-AVANCE[[#This Row],[FECHA TERMINO  PLANIFICADO]]),0)</f>
        <v>0</v>
      </c>
      <c r="CT344" s="41" t="str" cm="1">
        <f t="array" ref="CT344">_xlfn.TEXTJOIN(" | ",TRUE,IF(SUMPRODUCT((BG344:CR344&lt;1)*(PARTIDAS!$I$2:$AT$2="OBRA GRUESA"))&gt;0,"OBRA GRUESA: "&amp;_xlfn.TEXTJOIN(", ",TRUE,IF((BG344:CR344&lt;1)*(PARTIDAS!$I$2:$AT$2="OBRA GRUESA"),PARTIDAS!$I$1:$AT$1,"")),""),IF(SUMPRODUCT((BG344:CR344&lt;1)*(PARTIDAS!$I$2:$AT$2="SANITARIOS"))&gt;0,"SANITARIOS: "&amp;_xlfn.TEXTJOIN(", ",TRUE,IF((BG344:CR344&lt;1)*(PARTIDAS!$I$2:$AT$2="SANITARIOS"),PARTIDAS!$I$1:$AT$1,"")),""),IF(SUMPRODUCT((BG344:CR344&lt;1)*(PARTIDAS!$I$2:$AT$2="ELÉCTRICO"))&gt;0,"ELÉCTRICO: "&amp;_xlfn.TEXTJOIN(", ",TRUE,IF((BG344:CR344&lt;1)*(PARTIDAS!$I$2:$AT$2="ELÉCTRICO"),PARTIDAS!$I$1:$AT$1,"")),""),IF(SUMPRODUCT((BG344:CR344&lt;1)*(PARTIDAS!$I$2:$AT$2="TERMINACIONES"))&gt;0,"TERMINACIONES: "&amp;_xlfn.TEXTJOIN(", ",TRUE,IF((BG344:CR344&lt;1)*(PARTIDAS!$I$2:$AT$2="TERMINACIONES"),PARTIDAS!$I$1:$AT$1,"")),""))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4" s="43" t="str" cm="1">
        <f t="array" ref="CU344">_xlfn.TEXTJOIN(", ",TRUE,IF(SUMPRODUCT((BG344:CR344&lt;1)*(PARTIDAS!$I$2:$AT$2="OBRA GRUESA"))&gt;0,"OBRA GRUESA",""),IF(SUMPRODUCT((BG344:CR344&lt;1)*(PARTIDAS!$I$2:$AT$2="SANITARIOS"))&gt;0,"SANITARIOS",""),IF(SUMPRODUCT((BG344:CR344&lt;1)*(PARTIDAS!$I$2:$AT$2="ELÉCTRICO"))&gt;0,"ELÉCTRICO",""),IF(SUMPRODUCT((BG344:CR344&lt;1)*(PARTIDAS!$I$2:$AT$2="TERMINACIONES"))&gt;0,"TERMINACIONES",""))</f>
        <v>OBRA GRUESA, SANITARIOS, ELÉCTRICO, TERMINACIONES</v>
      </c>
      <c r="CV344" s="44" cm="1">
        <f t="array" ref="CV344">SUMPRODUCT(--(BG344:CR344&lt;1))</f>
        <v>38</v>
      </c>
    </row>
    <row r="345" spans="1:100" hidden="1" x14ac:dyDescent="0.25">
      <c r="A345" t="s">
        <v>388</v>
      </c>
      <c r="B345" t="s">
        <v>412</v>
      </c>
      <c r="C345">
        <v>2282600344</v>
      </c>
      <c r="D345" t="s">
        <v>58</v>
      </c>
      <c r="E345" s="2">
        <v>0</v>
      </c>
      <c r="F345" s="1">
        <v>46314</v>
      </c>
      <c r="G345" s="1"/>
      <c r="H345" s="1">
        <v>0</v>
      </c>
      <c r="I345" s="1">
        <v>46334</v>
      </c>
      <c r="J345">
        <v>46230</v>
      </c>
      <c r="K345" s="1"/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>
        <v>28.87</v>
      </c>
      <c r="BF345" s="3" t="str">
        <f>+IF(AVANCE[[#This Row],[% AVANCE]]=100%,"MODULO TERMINADO",IF(AVANCE[[#This Row],[FECHA INICIO REAL]]="","MODULO NO INICIADO","PENDIENTE"))</f>
        <v>MODULO NO INICIADO</v>
      </c>
      <c r="BG345" s="3">
        <f>+IF(AVANCE[[#This Row],[VENTANAS]]=8.10810810810811%,100%,AVANCE[[#This Row],[VENTANAS]])</f>
        <v>0</v>
      </c>
      <c r="BH345" s="3">
        <f>+IF(AVANCE[[#This Row],[PISO]]=N$2,100%,AVANCE[[#This Row],[PISO]])</f>
        <v>0</v>
      </c>
      <c r="BI345" s="3">
        <f>+IF(AVANCE[[#This Row],[TABIQUES]]=O$2,100%,AVANCE[[#This Row],[TABIQUES]])</f>
        <v>0</v>
      </c>
      <c r="BJ345" s="3">
        <f>+IF(AVANCE[[#This Row],[MUROS]]=P$2,100%,AVANCE[[#This Row],[MUROS]])</f>
        <v>0</v>
      </c>
      <c r="BK345" s="3">
        <f>+IF(AVANCE[[#This Row],[CIELO]]=Q$2,100%,AVANCE[[#This Row],[CIELO]])</f>
        <v>0</v>
      </c>
      <c r="BL345" s="3">
        <f>+IF(AVANCE[[#This Row],[BALCÓN]]=R$2,100%,AVANCE[[#This Row],[BALCÓN]])</f>
        <v>0</v>
      </c>
      <c r="BM345" s="3">
        <f>+IF(AVANCE[[#This Row],[RED ALCANTARILLADO]]=U$2,100%,AVANCE[[#This Row],[RED ALCANTARILLADO]])</f>
        <v>0</v>
      </c>
      <c r="BN345" s="3">
        <f>+IF(AVANCE[[#This Row],[RED DE AGUA]]=V$2,100%,AVANCE[[#This Row],[RED DE AGUA]])</f>
        <v>0</v>
      </c>
      <c r="BO345" s="3">
        <f>+IF(AVANCE[[#This Row],[VENTILACIONES]]=W$2,100%,AVANCE[[#This Row],[VENTILACIONES]])</f>
        <v>0</v>
      </c>
      <c r="BP345" s="3">
        <f>+IF(AVANCE[[#This Row],[TINA]]=X$2,100%,AVANCE[[#This Row],[TINA]])</f>
        <v>0</v>
      </c>
      <c r="BQ345" s="3">
        <f>+IF(AVANCE[[#This Row],[WC]]=Y$2,100%,AVANCE[[#This Row],[WC]])</f>
        <v>0</v>
      </c>
      <c r="BR345" s="3">
        <f>+IF(AVANCE[[#This Row],[LAVAMANOS / LAVAPLATOS / LAVADERO]]=Z$2,100%,AVANCE[[#This Row],[LAVAMANOS / LAVAPLATOS / LAVADERO]])</f>
        <v>0</v>
      </c>
      <c r="BS345" s="3">
        <f>+IF(AVANCE[[#This Row],[CANALIZACIÓN]]=AC$2,100%,AVANCE[[#This Row],[CANALIZACIÓN]])</f>
        <v>0</v>
      </c>
      <c r="BT345" s="3">
        <f>+IF(AVANCE[[#This Row],[CABLEADO]]=AD$2,100%,AVANCE[[#This Row],[CABLEADO]])</f>
        <v>0</v>
      </c>
      <c r="BU345" s="3">
        <f>+IF(AVANCE[[#This Row],[ARTEFACTOS]]=AE$2,100%,AVANCE[[#This Row],[ARTEFACTOS]])</f>
        <v>0</v>
      </c>
      <c r="BV345" s="3">
        <f>+IF(AVANCE[[#This Row],[TABLERO]]=AF$2,100%,AVANCE[[#This Row],[TABLERO]])</f>
        <v>0</v>
      </c>
      <c r="BW345" s="3">
        <f>+IF(AVANCE[[#This Row],[CAJA PAU]]=AG$2,100%,AVANCE[[#This Row],[CAJA PAU]])</f>
        <v>0</v>
      </c>
      <c r="BX345" s="3">
        <f>+IF(AVANCE[[#This Row],[INSTALACION VINILICO]]=AJ$2,100%,AVANCE[[#This Row],[INSTALACION VINILICO]])</f>
        <v>0</v>
      </c>
      <c r="BY345" s="3">
        <f>+IF(AVANCE[[#This Row],[OSB CUBIERTA]]=AK$2,100%,AVANCE[[#This Row],[OSB CUBIERTA]])</f>
        <v>0</v>
      </c>
      <c r="BZ345" s="3">
        <f>+IF(AVANCE[[#This Row],[BARANDA BALCON]]=AL$2,100%,AVANCE[[#This Row],[BARANDA BALCON]])</f>
        <v>0</v>
      </c>
      <c r="CA345" s="3">
        <f>+IF(AVANCE[[#This Row],[OSB EXTERIOR]]=AM$2,100%,AVANCE[[#This Row],[OSB EXTERIOR]])</f>
        <v>0</v>
      </c>
      <c r="CB345" s="3">
        <f>+IF(AVANCE[[#This Row],[SMART PANEL]]=AN$2,100%,AVANCE[[#This Row],[SMART PANEL]])</f>
        <v>0</v>
      </c>
      <c r="CC345" s="3">
        <f>+IF(AVANCE[[#This Row],[PINTURA EXTERIOR]]=AO$2,100%,AVANCE[[#This Row],[PINTURA EXTERIOR]])</f>
        <v>0</v>
      </c>
      <c r="CD345" s="3">
        <f>+IF(AVANCE[[#This Row],[ZOCALOS LOGIA]]=AP$2,100%,AVANCE[[#This Row],[ZOCALOS LOGIA]])</f>
        <v>0</v>
      </c>
      <c r="CE345" s="3">
        <f>+IF(AVANCE[[#This Row],[MOLDURAS]]=AQ$2,100%,AVANCE[[#This Row],[MOLDURAS]])</f>
        <v>0</v>
      </c>
      <c r="CF345" s="3">
        <f>+IF(AVANCE[[#This Row],[PILASTREO]]=AR$2,100%,AVANCE[[#This Row],[PILASTREO]])</f>
        <v>0</v>
      </c>
      <c r="CG345" s="3">
        <f>+IF(AVANCE[[#This Row],[CELOSIAS]]=AS$2,100%,AVANCE[[#This Row],[CELOSIAS]])</f>
        <v>0</v>
      </c>
      <c r="CH345" s="3">
        <f>+IF(AVANCE[[#This Row],[VENTANAS]]=AT$2,100%,AVANCE[[#This Row],[VENTANAS]])</f>
        <v>0</v>
      </c>
      <c r="CI345" s="3">
        <f>+IF(AVANCE[[#This Row],[PUERTAS ACCESO - LOGIA - BANO]]=AU$2,100%,AVANCE[[#This Row],[PUERTAS ACCESO - LOGIA - BANO]])</f>
        <v>0</v>
      </c>
      <c r="CJ345" s="3">
        <f>+IF(AVANCE[[#This Row],[CERRADURAS]]=AV$2,100%,AVANCE[[#This Row],[CERRADURAS]])</f>
        <v>0</v>
      </c>
      <c r="CK345" s="3">
        <f>+IF(AVANCE[[#This Row],[REVESTIMIENTO INTERIOR ZONA SECA]]=AW$2,100%,AVANCE[[#This Row],[REVESTIMIENTO INTERIOR ZONA SECA]])</f>
        <v>0</v>
      </c>
      <c r="CL345" s="3">
        <f>+IF(AVANCE[[#This Row],[REVESTIMIENTO INTERIOR ZONAS HUMEDAS]]=AX$2,100%,AVANCE[[#This Row],[REVESTIMIENTO INTERIOR ZONAS HUMEDAS]])</f>
        <v>0</v>
      </c>
      <c r="CM345" s="3">
        <f>+IF(AVANCE[[#This Row],[MEMBRANA CIELO]]=AY$2,100%,AVANCE[[#This Row],[MEMBRANA CIELO]])</f>
        <v>0</v>
      </c>
      <c r="CN345" s="3">
        <f>+IF(AVANCE[[#This Row],[LIMPIEZA FINAL]]=AZ$2,100%,AVANCE[[#This Row],[LIMPIEZA FINAL]])</f>
        <v>0</v>
      </c>
      <c r="CO345" s="3">
        <f>+IF(AVANCE[[#This Row],[PUERTAS DORMITORIO]]=BA$2,100%,AVANCE[[#This Row],[PUERTAS DORMITORIO]])</f>
        <v>0</v>
      </c>
      <c r="CP345" s="3">
        <f>+IF(AVANCE[[#This Row],[REVESTIMIENTO INTERIOR BANO]]=BB$2,100%,AVANCE[[#This Row],[REVESTIMIENTO INTERIOR BANO]])</f>
        <v>0</v>
      </c>
      <c r="CQ345" s="3">
        <f>+IF(AVANCE[[#This Row],[MUEBLE LAVAPLATOS]]=BC$2,100%,AVANCE[[#This Row],[MUEBLE LAVAPLATOS]])</f>
        <v>0</v>
      </c>
      <c r="CR345" s="3">
        <f>+IF(AVANCE[[#This Row],[IMPERMEABILIZACION BANO - COCINA LOGIA]]=BD$2,100%,AVANCE[[#This Row],[IMPERMEABILIZACION BANO - COCINA LOGIA]])</f>
        <v>0</v>
      </c>
      <c r="CS345" s="40">
        <f ca="1">+IF(AVANCE[[#This Row],[ESTADO MODULO]]="PENDIENTE",(TODAY()-AVANCE[[#This Row],[FECHA TERMINO  PLANIFICADO]]),0)</f>
        <v>0</v>
      </c>
      <c r="CT345" s="41" t="str" cm="1">
        <f t="array" ref="CT345">_xlfn.TEXTJOIN(" | ",TRUE,IF(SUMPRODUCT((BG345:CR345&lt;1)*(PARTIDAS!$I$2:$AT$2="OBRA GRUESA"))&gt;0,"OBRA GRUESA: "&amp;_xlfn.TEXTJOIN(", ",TRUE,IF((BG345:CR345&lt;1)*(PARTIDAS!$I$2:$AT$2="OBRA GRUESA"),PARTIDAS!$I$1:$AT$1,"")),""),IF(SUMPRODUCT((BG345:CR345&lt;1)*(PARTIDAS!$I$2:$AT$2="SANITARIOS"))&gt;0,"SANITARIOS: "&amp;_xlfn.TEXTJOIN(", ",TRUE,IF((BG345:CR345&lt;1)*(PARTIDAS!$I$2:$AT$2="SANITARIOS"),PARTIDAS!$I$1:$AT$1,"")),""),IF(SUMPRODUCT((BG345:CR345&lt;1)*(PARTIDAS!$I$2:$AT$2="ELÉCTRICO"))&gt;0,"ELÉCTRICO: "&amp;_xlfn.TEXTJOIN(", ",TRUE,IF((BG345:CR345&lt;1)*(PARTIDAS!$I$2:$AT$2="ELÉCTRICO"),PARTIDAS!$I$1:$AT$1,"")),""),IF(SUMPRODUCT((BG345:CR345&lt;1)*(PARTIDAS!$I$2:$AT$2="TERMINACIONES"))&gt;0,"TERMINACIONES: "&amp;_xlfn.TEXTJOIN(", ",TRUE,IF((BG345:CR345&lt;1)*(PARTIDAS!$I$2:$AT$2="TERMINACIONES"),PARTIDAS!$I$1:$AT$1,"")),""))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5" s="43" t="str" cm="1">
        <f t="array" ref="CU345">_xlfn.TEXTJOIN(", ",TRUE,IF(SUMPRODUCT((BG345:CR345&lt;1)*(PARTIDAS!$I$2:$AT$2="OBRA GRUESA"))&gt;0,"OBRA GRUESA",""),IF(SUMPRODUCT((BG345:CR345&lt;1)*(PARTIDAS!$I$2:$AT$2="SANITARIOS"))&gt;0,"SANITARIOS",""),IF(SUMPRODUCT((BG345:CR345&lt;1)*(PARTIDAS!$I$2:$AT$2="ELÉCTRICO"))&gt;0,"ELÉCTRICO",""),IF(SUMPRODUCT((BG345:CR345&lt;1)*(PARTIDAS!$I$2:$AT$2="TERMINACIONES"))&gt;0,"TERMINACIONES",""))</f>
        <v>OBRA GRUESA, SANITARIOS, ELÉCTRICO, TERMINACIONES</v>
      </c>
      <c r="CV345" s="44" cm="1">
        <f t="array" ref="CV345">SUMPRODUCT(--(BG345:CR345&lt;1))</f>
        <v>38</v>
      </c>
    </row>
    <row r="346" spans="1:100" hidden="1" x14ac:dyDescent="0.25">
      <c r="A346" t="s">
        <v>388</v>
      </c>
      <c r="B346" t="s">
        <v>413</v>
      </c>
      <c r="C346">
        <v>2282600345</v>
      </c>
      <c r="D346" t="s">
        <v>58</v>
      </c>
      <c r="E346" s="2">
        <v>0</v>
      </c>
      <c r="F346" s="1">
        <v>46314</v>
      </c>
      <c r="G346" s="1"/>
      <c r="H346" s="1">
        <v>0</v>
      </c>
      <c r="I346" s="1">
        <v>46334</v>
      </c>
      <c r="J346">
        <v>46230</v>
      </c>
      <c r="K346" s="1"/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>
        <v>28.87</v>
      </c>
      <c r="BF346" s="3" t="str">
        <f>+IF(AVANCE[[#This Row],[% AVANCE]]=100%,"MODULO TERMINADO",IF(AVANCE[[#This Row],[FECHA INICIO REAL]]="","MODULO NO INICIADO","PENDIENTE"))</f>
        <v>MODULO NO INICIADO</v>
      </c>
      <c r="BG346" s="3">
        <f>+IF(AVANCE[[#This Row],[VENTANAS]]=8.10810810810811%,100%,AVANCE[[#This Row],[VENTANAS]])</f>
        <v>0</v>
      </c>
      <c r="BH346" s="3">
        <f>+IF(AVANCE[[#This Row],[PISO]]=N$2,100%,AVANCE[[#This Row],[PISO]])</f>
        <v>0</v>
      </c>
      <c r="BI346" s="3">
        <f>+IF(AVANCE[[#This Row],[TABIQUES]]=O$2,100%,AVANCE[[#This Row],[TABIQUES]])</f>
        <v>0</v>
      </c>
      <c r="BJ346" s="3">
        <f>+IF(AVANCE[[#This Row],[MUROS]]=P$2,100%,AVANCE[[#This Row],[MUROS]])</f>
        <v>0</v>
      </c>
      <c r="BK346" s="3">
        <f>+IF(AVANCE[[#This Row],[CIELO]]=Q$2,100%,AVANCE[[#This Row],[CIELO]])</f>
        <v>0</v>
      </c>
      <c r="BL346" s="3">
        <f>+IF(AVANCE[[#This Row],[BALCÓN]]=R$2,100%,AVANCE[[#This Row],[BALCÓN]])</f>
        <v>0</v>
      </c>
      <c r="BM346" s="3">
        <f>+IF(AVANCE[[#This Row],[RED ALCANTARILLADO]]=U$2,100%,AVANCE[[#This Row],[RED ALCANTARILLADO]])</f>
        <v>0</v>
      </c>
      <c r="BN346" s="3">
        <f>+IF(AVANCE[[#This Row],[RED DE AGUA]]=V$2,100%,AVANCE[[#This Row],[RED DE AGUA]])</f>
        <v>0</v>
      </c>
      <c r="BO346" s="3">
        <f>+IF(AVANCE[[#This Row],[VENTILACIONES]]=W$2,100%,AVANCE[[#This Row],[VENTILACIONES]])</f>
        <v>0</v>
      </c>
      <c r="BP346" s="3">
        <f>+IF(AVANCE[[#This Row],[TINA]]=X$2,100%,AVANCE[[#This Row],[TINA]])</f>
        <v>0</v>
      </c>
      <c r="BQ346" s="3">
        <f>+IF(AVANCE[[#This Row],[WC]]=Y$2,100%,AVANCE[[#This Row],[WC]])</f>
        <v>0</v>
      </c>
      <c r="BR346" s="3">
        <f>+IF(AVANCE[[#This Row],[LAVAMANOS / LAVAPLATOS / LAVADERO]]=Z$2,100%,AVANCE[[#This Row],[LAVAMANOS / LAVAPLATOS / LAVADERO]])</f>
        <v>0</v>
      </c>
      <c r="BS346" s="3">
        <f>+IF(AVANCE[[#This Row],[CANALIZACIÓN]]=AC$2,100%,AVANCE[[#This Row],[CANALIZACIÓN]])</f>
        <v>0</v>
      </c>
      <c r="BT346" s="3">
        <f>+IF(AVANCE[[#This Row],[CABLEADO]]=AD$2,100%,AVANCE[[#This Row],[CABLEADO]])</f>
        <v>0</v>
      </c>
      <c r="BU346" s="3">
        <f>+IF(AVANCE[[#This Row],[ARTEFACTOS]]=AE$2,100%,AVANCE[[#This Row],[ARTEFACTOS]])</f>
        <v>0</v>
      </c>
      <c r="BV346" s="3">
        <f>+IF(AVANCE[[#This Row],[TABLERO]]=AF$2,100%,AVANCE[[#This Row],[TABLERO]])</f>
        <v>0</v>
      </c>
      <c r="BW346" s="3">
        <f>+IF(AVANCE[[#This Row],[CAJA PAU]]=AG$2,100%,AVANCE[[#This Row],[CAJA PAU]])</f>
        <v>0</v>
      </c>
      <c r="BX346" s="3">
        <f>+IF(AVANCE[[#This Row],[INSTALACION VINILICO]]=AJ$2,100%,AVANCE[[#This Row],[INSTALACION VINILICO]])</f>
        <v>0</v>
      </c>
      <c r="BY346" s="3">
        <f>+IF(AVANCE[[#This Row],[OSB CUBIERTA]]=AK$2,100%,AVANCE[[#This Row],[OSB CUBIERTA]])</f>
        <v>0</v>
      </c>
      <c r="BZ346" s="3">
        <f>+IF(AVANCE[[#This Row],[BARANDA BALCON]]=AL$2,100%,AVANCE[[#This Row],[BARANDA BALCON]])</f>
        <v>0</v>
      </c>
      <c r="CA346" s="3">
        <f>+IF(AVANCE[[#This Row],[OSB EXTERIOR]]=AM$2,100%,AVANCE[[#This Row],[OSB EXTERIOR]])</f>
        <v>0</v>
      </c>
      <c r="CB346" s="3">
        <f>+IF(AVANCE[[#This Row],[SMART PANEL]]=AN$2,100%,AVANCE[[#This Row],[SMART PANEL]])</f>
        <v>0</v>
      </c>
      <c r="CC346" s="3">
        <f>+IF(AVANCE[[#This Row],[PINTURA EXTERIOR]]=AO$2,100%,AVANCE[[#This Row],[PINTURA EXTERIOR]])</f>
        <v>0</v>
      </c>
      <c r="CD346" s="3">
        <f>+IF(AVANCE[[#This Row],[ZOCALOS LOGIA]]=AP$2,100%,AVANCE[[#This Row],[ZOCALOS LOGIA]])</f>
        <v>0</v>
      </c>
      <c r="CE346" s="3">
        <f>+IF(AVANCE[[#This Row],[MOLDURAS]]=AQ$2,100%,AVANCE[[#This Row],[MOLDURAS]])</f>
        <v>0</v>
      </c>
      <c r="CF346" s="3">
        <f>+IF(AVANCE[[#This Row],[PILASTREO]]=AR$2,100%,AVANCE[[#This Row],[PILASTREO]])</f>
        <v>0</v>
      </c>
      <c r="CG346" s="3">
        <f>+IF(AVANCE[[#This Row],[CELOSIAS]]=AS$2,100%,AVANCE[[#This Row],[CELOSIAS]])</f>
        <v>0</v>
      </c>
      <c r="CH346" s="3">
        <f>+IF(AVANCE[[#This Row],[VENTANAS]]=AT$2,100%,AVANCE[[#This Row],[VENTANAS]])</f>
        <v>0</v>
      </c>
      <c r="CI346" s="3">
        <f>+IF(AVANCE[[#This Row],[PUERTAS ACCESO - LOGIA - BANO]]=AU$2,100%,AVANCE[[#This Row],[PUERTAS ACCESO - LOGIA - BANO]])</f>
        <v>0</v>
      </c>
      <c r="CJ346" s="3">
        <f>+IF(AVANCE[[#This Row],[CERRADURAS]]=AV$2,100%,AVANCE[[#This Row],[CERRADURAS]])</f>
        <v>0</v>
      </c>
      <c r="CK346" s="3">
        <f>+IF(AVANCE[[#This Row],[REVESTIMIENTO INTERIOR ZONA SECA]]=AW$2,100%,AVANCE[[#This Row],[REVESTIMIENTO INTERIOR ZONA SECA]])</f>
        <v>0</v>
      </c>
      <c r="CL346" s="3">
        <f>+IF(AVANCE[[#This Row],[REVESTIMIENTO INTERIOR ZONAS HUMEDAS]]=AX$2,100%,AVANCE[[#This Row],[REVESTIMIENTO INTERIOR ZONAS HUMEDAS]])</f>
        <v>0</v>
      </c>
      <c r="CM346" s="3">
        <f>+IF(AVANCE[[#This Row],[MEMBRANA CIELO]]=AY$2,100%,AVANCE[[#This Row],[MEMBRANA CIELO]])</f>
        <v>0</v>
      </c>
      <c r="CN346" s="3">
        <f>+IF(AVANCE[[#This Row],[LIMPIEZA FINAL]]=AZ$2,100%,AVANCE[[#This Row],[LIMPIEZA FINAL]])</f>
        <v>0</v>
      </c>
      <c r="CO346" s="3">
        <f>+IF(AVANCE[[#This Row],[PUERTAS DORMITORIO]]=BA$2,100%,AVANCE[[#This Row],[PUERTAS DORMITORIO]])</f>
        <v>0</v>
      </c>
      <c r="CP346" s="3">
        <f>+IF(AVANCE[[#This Row],[REVESTIMIENTO INTERIOR BANO]]=BB$2,100%,AVANCE[[#This Row],[REVESTIMIENTO INTERIOR BANO]])</f>
        <v>0</v>
      </c>
      <c r="CQ346" s="3">
        <f>+IF(AVANCE[[#This Row],[MUEBLE LAVAPLATOS]]=BC$2,100%,AVANCE[[#This Row],[MUEBLE LAVAPLATOS]])</f>
        <v>0</v>
      </c>
      <c r="CR346" s="3">
        <f>+IF(AVANCE[[#This Row],[IMPERMEABILIZACION BANO - COCINA LOGIA]]=BD$2,100%,AVANCE[[#This Row],[IMPERMEABILIZACION BANO - COCINA LOGIA]])</f>
        <v>0</v>
      </c>
      <c r="CS346" s="40">
        <f ca="1">+IF(AVANCE[[#This Row],[ESTADO MODULO]]="PENDIENTE",(TODAY()-AVANCE[[#This Row],[FECHA TERMINO  PLANIFICADO]]),0)</f>
        <v>0</v>
      </c>
      <c r="CT346" s="41" t="str" cm="1">
        <f t="array" ref="CT346">_xlfn.TEXTJOIN(" | ",TRUE,IF(SUMPRODUCT((BG346:CR346&lt;1)*(PARTIDAS!$I$2:$AT$2="OBRA GRUESA"))&gt;0,"OBRA GRUESA: "&amp;_xlfn.TEXTJOIN(", ",TRUE,IF((BG346:CR346&lt;1)*(PARTIDAS!$I$2:$AT$2="OBRA GRUESA"),PARTIDAS!$I$1:$AT$1,"")),""),IF(SUMPRODUCT((BG346:CR346&lt;1)*(PARTIDAS!$I$2:$AT$2="SANITARIOS"))&gt;0,"SANITARIOS: "&amp;_xlfn.TEXTJOIN(", ",TRUE,IF((BG346:CR346&lt;1)*(PARTIDAS!$I$2:$AT$2="SANITARIOS"),PARTIDAS!$I$1:$AT$1,"")),""),IF(SUMPRODUCT((BG346:CR346&lt;1)*(PARTIDAS!$I$2:$AT$2="ELÉCTRICO"))&gt;0,"ELÉCTRICO: "&amp;_xlfn.TEXTJOIN(", ",TRUE,IF((BG346:CR346&lt;1)*(PARTIDAS!$I$2:$AT$2="ELÉCTRICO"),PARTIDAS!$I$1:$AT$1,"")),""),IF(SUMPRODUCT((BG346:CR346&lt;1)*(PARTIDAS!$I$2:$AT$2="TERMINACIONES"))&gt;0,"TERMINACIONES: "&amp;_xlfn.TEXTJOIN(", ",TRUE,IF((BG346:CR346&lt;1)*(PARTIDAS!$I$2:$AT$2="TERMINACIONES"),PARTIDAS!$I$1:$AT$1,"")),""))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6" s="43" t="str" cm="1">
        <f t="array" ref="CU346">_xlfn.TEXTJOIN(", ",TRUE,IF(SUMPRODUCT((BG346:CR346&lt;1)*(PARTIDAS!$I$2:$AT$2="OBRA GRUESA"))&gt;0,"OBRA GRUESA",""),IF(SUMPRODUCT((BG346:CR346&lt;1)*(PARTIDAS!$I$2:$AT$2="SANITARIOS"))&gt;0,"SANITARIOS",""),IF(SUMPRODUCT((BG346:CR346&lt;1)*(PARTIDAS!$I$2:$AT$2="ELÉCTRICO"))&gt;0,"ELÉCTRICO",""),IF(SUMPRODUCT((BG346:CR346&lt;1)*(PARTIDAS!$I$2:$AT$2="TERMINACIONES"))&gt;0,"TERMINACIONES",""))</f>
        <v>OBRA GRUESA, SANITARIOS, ELÉCTRICO, TERMINACIONES</v>
      </c>
      <c r="CV346" s="44" cm="1">
        <f t="array" ref="CV346">SUMPRODUCT(--(BG346:CR346&lt;1))</f>
        <v>38</v>
      </c>
    </row>
    <row r="347" spans="1:100" hidden="1" x14ac:dyDescent="0.25">
      <c r="A347" t="s">
        <v>388</v>
      </c>
      <c r="B347" t="s">
        <v>414</v>
      </c>
      <c r="C347">
        <v>2302600346</v>
      </c>
      <c r="D347" t="s">
        <v>60</v>
      </c>
      <c r="E347" s="2">
        <v>0</v>
      </c>
      <c r="F347" s="1">
        <v>46314</v>
      </c>
      <c r="G347" s="1"/>
      <c r="H347" s="1">
        <v>0</v>
      </c>
      <c r="I347" s="1">
        <v>46344</v>
      </c>
      <c r="J347">
        <v>46230</v>
      </c>
      <c r="K347" s="1"/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>
        <v>31.32</v>
      </c>
      <c r="BF347" s="3" t="str">
        <f>+IF(AVANCE[[#This Row],[% AVANCE]]=100%,"MODULO TERMINADO",IF(AVANCE[[#This Row],[FECHA INICIO REAL]]="","MODULO NO INICIADO","PENDIENTE"))</f>
        <v>MODULO NO INICIADO</v>
      </c>
      <c r="BG347" s="3">
        <f>+IF(AVANCE[[#This Row],[VENTANAS]]=8.10810810810811%,100%,AVANCE[[#This Row],[VENTANAS]])</f>
        <v>0</v>
      </c>
      <c r="BH347" s="3">
        <f>+IF(AVANCE[[#This Row],[PISO]]=N$2,100%,AVANCE[[#This Row],[PISO]])</f>
        <v>0</v>
      </c>
      <c r="BI347" s="3">
        <f>+IF(AVANCE[[#This Row],[TABIQUES]]=O$2,100%,AVANCE[[#This Row],[TABIQUES]])</f>
        <v>0</v>
      </c>
      <c r="BJ347" s="3">
        <f>+IF(AVANCE[[#This Row],[MUROS]]=P$2,100%,AVANCE[[#This Row],[MUROS]])</f>
        <v>0</v>
      </c>
      <c r="BK347" s="3">
        <f>+IF(AVANCE[[#This Row],[CIELO]]=Q$2,100%,AVANCE[[#This Row],[CIELO]])</f>
        <v>0</v>
      </c>
      <c r="BL347" s="3">
        <f>+IF(AVANCE[[#This Row],[BALCÓN]]=R$2,100%,AVANCE[[#This Row],[BALCÓN]])</f>
        <v>0</v>
      </c>
      <c r="BM347" s="3">
        <f>+IF(AVANCE[[#This Row],[RED ALCANTARILLADO]]=U$2,100%,AVANCE[[#This Row],[RED ALCANTARILLADO]])</f>
        <v>0</v>
      </c>
      <c r="BN347" s="3">
        <f>+IF(AVANCE[[#This Row],[RED DE AGUA]]=V$2,100%,AVANCE[[#This Row],[RED DE AGUA]])</f>
        <v>0</v>
      </c>
      <c r="BO347" s="3">
        <f>+IF(AVANCE[[#This Row],[VENTILACIONES]]=W$2,100%,AVANCE[[#This Row],[VENTILACIONES]])</f>
        <v>0</v>
      </c>
      <c r="BP347" s="3">
        <f>+IF(AVANCE[[#This Row],[TINA]]=X$2,100%,AVANCE[[#This Row],[TINA]])</f>
        <v>0</v>
      </c>
      <c r="BQ347" s="3">
        <f>+IF(AVANCE[[#This Row],[WC]]=Y$2,100%,AVANCE[[#This Row],[WC]])</f>
        <v>0</v>
      </c>
      <c r="BR347" s="3">
        <f>+IF(AVANCE[[#This Row],[LAVAMANOS / LAVAPLATOS / LAVADERO]]=Z$2,100%,AVANCE[[#This Row],[LAVAMANOS / LAVAPLATOS / LAVADERO]])</f>
        <v>0</v>
      </c>
      <c r="BS347" s="3">
        <f>+IF(AVANCE[[#This Row],[CANALIZACIÓN]]=AC$2,100%,AVANCE[[#This Row],[CANALIZACIÓN]])</f>
        <v>0</v>
      </c>
      <c r="BT347" s="3">
        <f>+IF(AVANCE[[#This Row],[CABLEADO]]=AD$2,100%,AVANCE[[#This Row],[CABLEADO]])</f>
        <v>0</v>
      </c>
      <c r="BU347" s="3">
        <f>+IF(AVANCE[[#This Row],[ARTEFACTOS]]=AE$2,100%,AVANCE[[#This Row],[ARTEFACTOS]])</f>
        <v>0</v>
      </c>
      <c r="BV347" s="3">
        <f>+IF(AVANCE[[#This Row],[TABLERO]]=AF$2,100%,AVANCE[[#This Row],[TABLERO]])</f>
        <v>0</v>
      </c>
      <c r="BW347" s="3">
        <f>+IF(AVANCE[[#This Row],[CAJA PAU]]=AG$2,100%,AVANCE[[#This Row],[CAJA PAU]])</f>
        <v>0</v>
      </c>
      <c r="BX347" s="3">
        <f>+IF(AVANCE[[#This Row],[INSTALACION VINILICO]]=AJ$2,100%,AVANCE[[#This Row],[INSTALACION VINILICO]])</f>
        <v>0</v>
      </c>
      <c r="BY347" s="3">
        <f>+IF(AVANCE[[#This Row],[OSB CUBIERTA]]=AK$2,100%,AVANCE[[#This Row],[OSB CUBIERTA]])</f>
        <v>0</v>
      </c>
      <c r="BZ347" s="3">
        <f>+IF(AVANCE[[#This Row],[BARANDA BALCON]]=AL$2,100%,AVANCE[[#This Row],[BARANDA BALCON]])</f>
        <v>0</v>
      </c>
      <c r="CA347" s="3">
        <f>+IF(AVANCE[[#This Row],[OSB EXTERIOR]]=AM$2,100%,AVANCE[[#This Row],[OSB EXTERIOR]])</f>
        <v>0</v>
      </c>
      <c r="CB347" s="3">
        <f>+IF(AVANCE[[#This Row],[SMART PANEL]]=AN$2,100%,AVANCE[[#This Row],[SMART PANEL]])</f>
        <v>0</v>
      </c>
      <c r="CC347" s="3">
        <f>+IF(AVANCE[[#This Row],[PINTURA EXTERIOR]]=AO$2,100%,AVANCE[[#This Row],[PINTURA EXTERIOR]])</f>
        <v>0</v>
      </c>
      <c r="CD347" s="3">
        <f>+IF(AVANCE[[#This Row],[ZOCALOS LOGIA]]=AP$2,100%,AVANCE[[#This Row],[ZOCALOS LOGIA]])</f>
        <v>0</v>
      </c>
      <c r="CE347" s="3">
        <f>+IF(AVANCE[[#This Row],[MOLDURAS]]=AQ$2,100%,AVANCE[[#This Row],[MOLDURAS]])</f>
        <v>0</v>
      </c>
      <c r="CF347" s="3">
        <f>+IF(AVANCE[[#This Row],[PILASTREO]]=AR$2,100%,AVANCE[[#This Row],[PILASTREO]])</f>
        <v>0</v>
      </c>
      <c r="CG347" s="3">
        <f>+IF(AVANCE[[#This Row],[CELOSIAS]]=AS$2,100%,AVANCE[[#This Row],[CELOSIAS]])</f>
        <v>0</v>
      </c>
      <c r="CH347" s="3">
        <f>+IF(AVANCE[[#This Row],[VENTANAS]]=AT$2,100%,AVANCE[[#This Row],[VENTANAS]])</f>
        <v>0</v>
      </c>
      <c r="CI347" s="3">
        <f>+IF(AVANCE[[#This Row],[PUERTAS ACCESO - LOGIA - BANO]]=AU$2,100%,AVANCE[[#This Row],[PUERTAS ACCESO - LOGIA - BANO]])</f>
        <v>0</v>
      </c>
      <c r="CJ347" s="3">
        <f>+IF(AVANCE[[#This Row],[CERRADURAS]]=AV$2,100%,AVANCE[[#This Row],[CERRADURAS]])</f>
        <v>0</v>
      </c>
      <c r="CK347" s="3">
        <f>+IF(AVANCE[[#This Row],[REVESTIMIENTO INTERIOR ZONA SECA]]=AW$2,100%,AVANCE[[#This Row],[REVESTIMIENTO INTERIOR ZONA SECA]])</f>
        <v>0</v>
      </c>
      <c r="CL347" s="3">
        <f>+IF(AVANCE[[#This Row],[REVESTIMIENTO INTERIOR ZONAS HUMEDAS]]=AX$2,100%,AVANCE[[#This Row],[REVESTIMIENTO INTERIOR ZONAS HUMEDAS]])</f>
        <v>0</v>
      </c>
      <c r="CM347" s="3">
        <f>+IF(AVANCE[[#This Row],[MEMBRANA CIELO]]=AY$2,100%,AVANCE[[#This Row],[MEMBRANA CIELO]])</f>
        <v>0</v>
      </c>
      <c r="CN347" s="3">
        <f>+IF(AVANCE[[#This Row],[LIMPIEZA FINAL]]=AZ$2,100%,AVANCE[[#This Row],[LIMPIEZA FINAL]])</f>
        <v>0</v>
      </c>
      <c r="CO347" s="3">
        <f>+IF(AVANCE[[#This Row],[PUERTAS DORMITORIO]]=BA$2,100%,AVANCE[[#This Row],[PUERTAS DORMITORIO]])</f>
        <v>0</v>
      </c>
      <c r="CP347" s="3">
        <f>+IF(AVANCE[[#This Row],[REVESTIMIENTO INTERIOR BANO]]=BB$2,100%,AVANCE[[#This Row],[REVESTIMIENTO INTERIOR BANO]])</f>
        <v>0</v>
      </c>
      <c r="CQ347" s="3">
        <f>+IF(AVANCE[[#This Row],[MUEBLE LAVAPLATOS]]=BC$2,100%,AVANCE[[#This Row],[MUEBLE LAVAPLATOS]])</f>
        <v>0</v>
      </c>
      <c r="CR347" s="3">
        <f>+IF(AVANCE[[#This Row],[IMPERMEABILIZACION BANO - COCINA LOGIA]]=BD$2,100%,AVANCE[[#This Row],[IMPERMEABILIZACION BANO - COCINA LOGIA]])</f>
        <v>0</v>
      </c>
      <c r="CS347" s="40">
        <f ca="1">+IF(AVANCE[[#This Row],[ESTADO MODULO]]="PENDIENTE",(TODAY()-AVANCE[[#This Row],[FECHA TERMINO  PLANIFICADO]]),0)</f>
        <v>0</v>
      </c>
      <c r="CT347" s="41" t="str" cm="1">
        <f t="array" ref="CT347">_xlfn.TEXTJOIN(" | ",TRUE,IF(SUMPRODUCT((BG347:CR347&lt;1)*(PARTIDAS!$I$2:$AT$2="OBRA GRUESA"))&gt;0,"OBRA GRUESA: "&amp;_xlfn.TEXTJOIN(", ",TRUE,IF((BG347:CR347&lt;1)*(PARTIDAS!$I$2:$AT$2="OBRA GRUESA"),PARTIDAS!$I$1:$AT$1,"")),""),IF(SUMPRODUCT((BG347:CR347&lt;1)*(PARTIDAS!$I$2:$AT$2="SANITARIOS"))&gt;0,"SANITARIOS: "&amp;_xlfn.TEXTJOIN(", ",TRUE,IF((BG347:CR347&lt;1)*(PARTIDAS!$I$2:$AT$2="SANITARIOS"),PARTIDAS!$I$1:$AT$1,"")),""),IF(SUMPRODUCT((BG347:CR347&lt;1)*(PARTIDAS!$I$2:$AT$2="ELÉCTRICO"))&gt;0,"ELÉCTRICO: "&amp;_xlfn.TEXTJOIN(", ",TRUE,IF((BG347:CR347&lt;1)*(PARTIDAS!$I$2:$AT$2="ELÉCTRICO"),PARTIDAS!$I$1:$AT$1,"")),""),IF(SUMPRODUCT((BG347:CR347&lt;1)*(PARTIDAS!$I$2:$AT$2="TERMINACIONES"))&gt;0,"TERMINACIONES: "&amp;_xlfn.TEXTJOIN(", ",TRUE,IF((BG347:CR347&lt;1)*(PARTIDAS!$I$2:$AT$2="TERMINACIONES"),PARTIDAS!$I$1:$AT$1,"")),""))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7" s="43" t="str" cm="1">
        <f t="array" ref="CU347">_xlfn.TEXTJOIN(", ",TRUE,IF(SUMPRODUCT((BG347:CR347&lt;1)*(PARTIDAS!$I$2:$AT$2="OBRA GRUESA"))&gt;0,"OBRA GRUESA",""),IF(SUMPRODUCT((BG347:CR347&lt;1)*(PARTIDAS!$I$2:$AT$2="SANITARIOS"))&gt;0,"SANITARIOS",""),IF(SUMPRODUCT((BG347:CR347&lt;1)*(PARTIDAS!$I$2:$AT$2="ELÉCTRICO"))&gt;0,"ELÉCTRICO",""),IF(SUMPRODUCT((BG347:CR347&lt;1)*(PARTIDAS!$I$2:$AT$2="TERMINACIONES"))&gt;0,"TERMINACIONES",""))</f>
        <v>OBRA GRUESA, SANITARIOS, ELÉCTRICO, TERMINACIONES</v>
      </c>
      <c r="CV347" s="44" cm="1">
        <f t="array" ref="CV347">SUMPRODUCT(--(BG347:CR347&lt;1))</f>
        <v>38</v>
      </c>
    </row>
    <row r="348" spans="1:100" hidden="1" x14ac:dyDescent="0.25">
      <c r="A348" t="s">
        <v>388</v>
      </c>
      <c r="B348" t="s">
        <v>415</v>
      </c>
      <c r="C348">
        <v>2302600347</v>
      </c>
      <c r="D348" t="s">
        <v>60</v>
      </c>
      <c r="E348" s="2">
        <v>0</v>
      </c>
      <c r="F348" s="1">
        <v>46315</v>
      </c>
      <c r="G348" s="1"/>
      <c r="H348" s="1">
        <v>0</v>
      </c>
      <c r="I348" s="1">
        <v>46345</v>
      </c>
      <c r="J348">
        <v>46230</v>
      </c>
      <c r="K348" s="1"/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>
        <v>31.32</v>
      </c>
      <c r="BF348" s="3" t="str">
        <f>+IF(AVANCE[[#This Row],[% AVANCE]]=100%,"MODULO TERMINADO",IF(AVANCE[[#This Row],[FECHA INICIO REAL]]="","MODULO NO INICIADO","PENDIENTE"))</f>
        <v>MODULO NO INICIADO</v>
      </c>
      <c r="BG348" s="3">
        <f>+IF(AVANCE[[#This Row],[VENTANAS]]=8.10810810810811%,100%,AVANCE[[#This Row],[VENTANAS]])</f>
        <v>0</v>
      </c>
      <c r="BH348" s="3">
        <f>+IF(AVANCE[[#This Row],[PISO]]=N$2,100%,AVANCE[[#This Row],[PISO]])</f>
        <v>0</v>
      </c>
      <c r="BI348" s="3">
        <f>+IF(AVANCE[[#This Row],[TABIQUES]]=O$2,100%,AVANCE[[#This Row],[TABIQUES]])</f>
        <v>0</v>
      </c>
      <c r="BJ348" s="3">
        <f>+IF(AVANCE[[#This Row],[MUROS]]=P$2,100%,AVANCE[[#This Row],[MUROS]])</f>
        <v>0</v>
      </c>
      <c r="BK348" s="3">
        <f>+IF(AVANCE[[#This Row],[CIELO]]=Q$2,100%,AVANCE[[#This Row],[CIELO]])</f>
        <v>0</v>
      </c>
      <c r="BL348" s="3">
        <f>+IF(AVANCE[[#This Row],[BALCÓN]]=R$2,100%,AVANCE[[#This Row],[BALCÓN]])</f>
        <v>0</v>
      </c>
      <c r="BM348" s="3">
        <f>+IF(AVANCE[[#This Row],[RED ALCANTARILLADO]]=U$2,100%,AVANCE[[#This Row],[RED ALCANTARILLADO]])</f>
        <v>0</v>
      </c>
      <c r="BN348" s="3">
        <f>+IF(AVANCE[[#This Row],[RED DE AGUA]]=V$2,100%,AVANCE[[#This Row],[RED DE AGUA]])</f>
        <v>0</v>
      </c>
      <c r="BO348" s="3">
        <f>+IF(AVANCE[[#This Row],[VENTILACIONES]]=W$2,100%,AVANCE[[#This Row],[VENTILACIONES]])</f>
        <v>0</v>
      </c>
      <c r="BP348" s="3">
        <f>+IF(AVANCE[[#This Row],[TINA]]=X$2,100%,AVANCE[[#This Row],[TINA]])</f>
        <v>0</v>
      </c>
      <c r="BQ348" s="3">
        <f>+IF(AVANCE[[#This Row],[WC]]=Y$2,100%,AVANCE[[#This Row],[WC]])</f>
        <v>0</v>
      </c>
      <c r="BR348" s="3">
        <f>+IF(AVANCE[[#This Row],[LAVAMANOS / LAVAPLATOS / LAVADERO]]=Z$2,100%,AVANCE[[#This Row],[LAVAMANOS / LAVAPLATOS / LAVADERO]])</f>
        <v>0</v>
      </c>
      <c r="BS348" s="3">
        <f>+IF(AVANCE[[#This Row],[CANALIZACIÓN]]=AC$2,100%,AVANCE[[#This Row],[CANALIZACIÓN]])</f>
        <v>0</v>
      </c>
      <c r="BT348" s="3">
        <f>+IF(AVANCE[[#This Row],[CABLEADO]]=AD$2,100%,AVANCE[[#This Row],[CABLEADO]])</f>
        <v>0</v>
      </c>
      <c r="BU348" s="3">
        <f>+IF(AVANCE[[#This Row],[ARTEFACTOS]]=AE$2,100%,AVANCE[[#This Row],[ARTEFACTOS]])</f>
        <v>0</v>
      </c>
      <c r="BV348" s="3">
        <f>+IF(AVANCE[[#This Row],[TABLERO]]=AF$2,100%,AVANCE[[#This Row],[TABLERO]])</f>
        <v>0</v>
      </c>
      <c r="BW348" s="3">
        <f>+IF(AVANCE[[#This Row],[CAJA PAU]]=AG$2,100%,AVANCE[[#This Row],[CAJA PAU]])</f>
        <v>0</v>
      </c>
      <c r="BX348" s="3">
        <f>+IF(AVANCE[[#This Row],[INSTALACION VINILICO]]=AJ$2,100%,AVANCE[[#This Row],[INSTALACION VINILICO]])</f>
        <v>0</v>
      </c>
      <c r="BY348" s="3">
        <f>+IF(AVANCE[[#This Row],[OSB CUBIERTA]]=AK$2,100%,AVANCE[[#This Row],[OSB CUBIERTA]])</f>
        <v>0</v>
      </c>
      <c r="BZ348" s="3">
        <f>+IF(AVANCE[[#This Row],[BARANDA BALCON]]=AL$2,100%,AVANCE[[#This Row],[BARANDA BALCON]])</f>
        <v>0</v>
      </c>
      <c r="CA348" s="3">
        <f>+IF(AVANCE[[#This Row],[OSB EXTERIOR]]=AM$2,100%,AVANCE[[#This Row],[OSB EXTERIOR]])</f>
        <v>0</v>
      </c>
      <c r="CB348" s="3">
        <f>+IF(AVANCE[[#This Row],[SMART PANEL]]=AN$2,100%,AVANCE[[#This Row],[SMART PANEL]])</f>
        <v>0</v>
      </c>
      <c r="CC348" s="3">
        <f>+IF(AVANCE[[#This Row],[PINTURA EXTERIOR]]=AO$2,100%,AVANCE[[#This Row],[PINTURA EXTERIOR]])</f>
        <v>0</v>
      </c>
      <c r="CD348" s="3">
        <f>+IF(AVANCE[[#This Row],[ZOCALOS LOGIA]]=AP$2,100%,AVANCE[[#This Row],[ZOCALOS LOGIA]])</f>
        <v>0</v>
      </c>
      <c r="CE348" s="3">
        <f>+IF(AVANCE[[#This Row],[MOLDURAS]]=AQ$2,100%,AVANCE[[#This Row],[MOLDURAS]])</f>
        <v>0</v>
      </c>
      <c r="CF348" s="3">
        <f>+IF(AVANCE[[#This Row],[PILASTREO]]=AR$2,100%,AVANCE[[#This Row],[PILASTREO]])</f>
        <v>0</v>
      </c>
      <c r="CG348" s="3">
        <f>+IF(AVANCE[[#This Row],[CELOSIAS]]=AS$2,100%,AVANCE[[#This Row],[CELOSIAS]])</f>
        <v>0</v>
      </c>
      <c r="CH348" s="3">
        <f>+IF(AVANCE[[#This Row],[VENTANAS]]=AT$2,100%,AVANCE[[#This Row],[VENTANAS]])</f>
        <v>0</v>
      </c>
      <c r="CI348" s="3">
        <f>+IF(AVANCE[[#This Row],[PUERTAS ACCESO - LOGIA - BANO]]=AU$2,100%,AVANCE[[#This Row],[PUERTAS ACCESO - LOGIA - BANO]])</f>
        <v>0</v>
      </c>
      <c r="CJ348" s="3">
        <f>+IF(AVANCE[[#This Row],[CERRADURAS]]=AV$2,100%,AVANCE[[#This Row],[CERRADURAS]])</f>
        <v>0</v>
      </c>
      <c r="CK348" s="3">
        <f>+IF(AVANCE[[#This Row],[REVESTIMIENTO INTERIOR ZONA SECA]]=AW$2,100%,AVANCE[[#This Row],[REVESTIMIENTO INTERIOR ZONA SECA]])</f>
        <v>0</v>
      </c>
      <c r="CL348" s="3">
        <f>+IF(AVANCE[[#This Row],[REVESTIMIENTO INTERIOR ZONAS HUMEDAS]]=AX$2,100%,AVANCE[[#This Row],[REVESTIMIENTO INTERIOR ZONAS HUMEDAS]])</f>
        <v>0</v>
      </c>
      <c r="CM348" s="3">
        <f>+IF(AVANCE[[#This Row],[MEMBRANA CIELO]]=AY$2,100%,AVANCE[[#This Row],[MEMBRANA CIELO]])</f>
        <v>0</v>
      </c>
      <c r="CN348" s="3">
        <f>+IF(AVANCE[[#This Row],[LIMPIEZA FINAL]]=AZ$2,100%,AVANCE[[#This Row],[LIMPIEZA FINAL]])</f>
        <v>0</v>
      </c>
      <c r="CO348" s="3">
        <f>+IF(AVANCE[[#This Row],[PUERTAS DORMITORIO]]=BA$2,100%,AVANCE[[#This Row],[PUERTAS DORMITORIO]])</f>
        <v>0</v>
      </c>
      <c r="CP348" s="3">
        <f>+IF(AVANCE[[#This Row],[REVESTIMIENTO INTERIOR BANO]]=BB$2,100%,AVANCE[[#This Row],[REVESTIMIENTO INTERIOR BANO]])</f>
        <v>0</v>
      </c>
      <c r="CQ348" s="3">
        <f>+IF(AVANCE[[#This Row],[MUEBLE LAVAPLATOS]]=BC$2,100%,AVANCE[[#This Row],[MUEBLE LAVAPLATOS]])</f>
        <v>0</v>
      </c>
      <c r="CR348" s="3">
        <f>+IF(AVANCE[[#This Row],[IMPERMEABILIZACION BANO - COCINA LOGIA]]=BD$2,100%,AVANCE[[#This Row],[IMPERMEABILIZACION BANO - COCINA LOGIA]])</f>
        <v>0</v>
      </c>
      <c r="CS348" s="40">
        <f ca="1">+IF(AVANCE[[#This Row],[ESTADO MODULO]]="PENDIENTE",(TODAY()-AVANCE[[#This Row],[FECHA TERMINO  PLANIFICADO]]),0)</f>
        <v>0</v>
      </c>
      <c r="CT348" s="41" t="str" cm="1">
        <f t="array" ref="CT348">_xlfn.TEXTJOIN(" | ",TRUE,IF(SUMPRODUCT((BG348:CR348&lt;1)*(PARTIDAS!$I$2:$AT$2="OBRA GRUESA"))&gt;0,"OBRA GRUESA: "&amp;_xlfn.TEXTJOIN(", ",TRUE,IF((BG348:CR348&lt;1)*(PARTIDAS!$I$2:$AT$2="OBRA GRUESA"),PARTIDAS!$I$1:$AT$1,"")),""),IF(SUMPRODUCT((BG348:CR348&lt;1)*(PARTIDAS!$I$2:$AT$2="SANITARIOS"))&gt;0,"SANITARIOS: "&amp;_xlfn.TEXTJOIN(", ",TRUE,IF((BG348:CR348&lt;1)*(PARTIDAS!$I$2:$AT$2="SANITARIOS"),PARTIDAS!$I$1:$AT$1,"")),""),IF(SUMPRODUCT((BG348:CR348&lt;1)*(PARTIDAS!$I$2:$AT$2="ELÉCTRICO"))&gt;0,"ELÉCTRICO: "&amp;_xlfn.TEXTJOIN(", ",TRUE,IF((BG348:CR348&lt;1)*(PARTIDAS!$I$2:$AT$2="ELÉCTRICO"),PARTIDAS!$I$1:$AT$1,"")),""),IF(SUMPRODUCT((BG348:CR348&lt;1)*(PARTIDAS!$I$2:$AT$2="TERMINACIONES"))&gt;0,"TERMINACIONES: "&amp;_xlfn.TEXTJOIN(", ",TRUE,IF((BG348:CR348&lt;1)*(PARTIDAS!$I$2:$AT$2="TERMINACIONES"),PARTIDAS!$I$1:$AT$1,"")),""))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8" s="43" t="str" cm="1">
        <f t="array" ref="CU348">_xlfn.TEXTJOIN(", ",TRUE,IF(SUMPRODUCT((BG348:CR348&lt;1)*(PARTIDAS!$I$2:$AT$2="OBRA GRUESA"))&gt;0,"OBRA GRUESA",""),IF(SUMPRODUCT((BG348:CR348&lt;1)*(PARTIDAS!$I$2:$AT$2="SANITARIOS"))&gt;0,"SANITARIOS",""),IF(SUMPRODUCT((BG348:CR348&lt;1)*(PARTIDAS!$I$2:$AT$2="ELÉCTRICO"))&gt;0,"ELÉCTRICO",""),IF(SUMPRODUCT((BG348:CR348&lt;1)*(PARTIDAS!$I$2:$AT$2="TERMINACIONES"))&gt;0,"TERMINACIONES",""))</f>
        <v>OBRA GRUESA, SANITARIOS, ELÉCTRICO, TERMINACIONES</v>
      </c>
      <c r="CV348" s="44" cm="1">
        <f t="array" ref="CV348">SUMPRODUCT(--(BG348:CR348&lt;1))</f>
        <v>38</v>
      </c>
    </row>
    <row r="349" spans="1:100" hidden="1" x14ac:dyDescent="0.25">
      <c r="A349" t="s">
        <v>388</v>
      </c>
      <c r="B349" t="s">
        <v>416</v>
      </c>
      <c r="C349">
        <v>2282600348</v>
      </c>
      <c r="D349" t="s">
        <v>58</v>
      </c>
      <c r="E349" s="2">
        <v>0</v>
      </c>
      <c r="F349" s="1">
        <v>46315</v>
      </c>
      <c r="G349" s="1"/>
      <c r="H349" s="1">
        <v>0</v>
      </c>
      <c r="I349" s="1">
        <v>46335</v>
      </c>
      <c r="J349">
        <v>46230</v>
      </c>
      <c r="K349" s="1"/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>
        <v>28.87</v>
      </c>
      <c r="BF349" s="3" t="str">
        <f>+IF(AVANCE[[#This Row],[% AVANCE]]=100%,"MODULO TERMINADO",IF(AVANCE[[#This Row],[FECHA INICIO REAL]]="","MODULO NO INICIADO","PENDIENTE"))</f>
        <v>MODULO NO INICIADO</v>
      </c>
      <c r="BG349" s="3">
        <f>+IF(AVANCE[[#This Row],[VENTANAS]]=8.10810810810811%,100%,AVANCE[[#This Row],[VENTANAS]])</f>
        <v>0</v>
      </c>
      <c r="BH349" s="3">
        <f>+IF(AVANCE[[#This Row],[PISO]]=N$2,100%,AVANCE[[#This Row],[PISO]])</f>
        <v>0</v>
      </c>
      <c r="BI349" s="3">
        <f>+IF(AVANCE[[#This Row],[TABIQUES]]=O$2,100%,AVANCE[[#This Row],[TABIQUES]])</f>
        <v>0</v>
      </c>
      <c r="BJ349" s="3">
        <f>+IF(AVANCE[[#This Row],[MUROS]]=P$2,100%,AVANCE[[#This Row],[MUROS]])</f>
        <v>0</v>
      </c>
      <c r="BK349" s="3">
        <f>+IF(AVANCE[[#This Row],[CIELO]]=Q$2,100%,AVANCE[[#This Row],[CIELO]])</f>
        <v>0</v>
      </c>
      <c r="BL349" s="3">
        <f>+IF(AVANCE[[#This Row],[BALCÓN]]=R$2,100%,AVANCE[[#This Row],[BALCÓN]])</f>
        <v>0</v>
      </c>
      <c r="BM349" s="3">
        <f>+IF(AVANCE[[#This Row],[RED ALCANTARILLADO]]=U$2,100%,AVANCE[[#This Row],[RED ALCANTARILLADO]])</f>
        <v>0</v>
      </c>
      <c r="BN349" s="3">
        <f>+IF(AVANCE[[#This Row],[RED DE AGUA]]=V$2,100%,AVANCE[[#This Row],[RED DE AGUA]])</f>
        <v>0</v>
      </c>
      <c r="BO349" s="3">
        <f>+IF(AVANCE[[#This Row],[VENTILACIONES]]=W$2,100%,AVANCE[[#This Row],[VENTILACIONES]])</f>
        <v>0</v>
      </c>
      <c r="BP349" s="3">
        <f>+IF(AVANCE[[#This Row],[TINA]]=X$2,100%,AVANCE[[#This Row],[TINA]])</f>
        <v>0</v>
      </c>
      <c r="BQ349" s="3">
        <f>+IF(AVANCE[[#This Row],[WC]]=Y$2,100%,AVANCE[[#This Row],[WC]])</f>
        <v>0</v>
      </c>
      <c r="BR349" s="3">
        <f>+IF(AVANCE[[#This Row],[LAVAMANOS / LAVAPLATOS / LAVADERO]]=Z$2,100%,AVANCE[[#This Row],[LAVAMANOS / LAVAPLATOS / LAVADERO]])</f>
        <v>0</v>
      </c>
      <c r="BS349" s="3">
        <f>+IF(AVANCE[[#This Row],[CANALIZACIÓN]]=AC$2,100%,AVANCE[[#This Row],[CANALIZACIÓN]])</f>
        <v>0</v>
      </c>
      <c r="BT349" s="3">
        <f>+IF(AVANCE[[#This Row],[CABLEADO]]=AD$2,100%,AVANCE[[#This Row],[CABLEADO]])</f>
        <v>0</v>
      </c>
      <c r="BU349" s="3">
        <f>+IF(AVANCE[[#This Row],[ARTEFACTOS]]=AE$2,100%,AVANCE[[#This Row],[ARTEFACTOS]])</f>
        <v>0</v>
      </c>
      <c r="BV349" s="3">
        <f>+IF(AVANCE[[#This Row],[TABLERO]]=AF$2,100%,AVANCE[[#This Row],[TABLERO]])</f>
        <v>0</v>
      </c>
      <c r="BW349" s="3">
        <f>+IF(AVANCE[[#This Row],[CAJA PAU]]=AG$2,100%,AVANCE[[#This Row],[CAJA PAU]])</f>
        <v>0</v>
      </c>
      <c r="BX349" s="3">
        <f>+IF(AVANCE[[#This Row],[INSTALACION VINILICO]]=AJ$2,100%,AVANCE[[#This Row],[INSTALACION VINILICO]])</f>
        <v>0</v>
      </c>
      <c r="BY349" s="3">
        <f>+IF(AVANCE[[#This Row],[OSB CUBIERTA]]=AK$2,100%,AVANCE[[#This Row],[OSB CUBIERTA]])</f>
        <v>0</v>
      </c>
      <c r="BZ349" s="3">
        <f>+IF(AVANCE[[#This Row],[BARANDA BALCON]]=AL$2,100%,AVANCE[[#This Row],[BARANDA BALCON]])</f>
        <v>0</v>
      </c>
      <c r="CA349" s="3">
        <f>+IF(AVANCE[[#This Row],[OSB EXTERIOR]]=AM$2,100%,AVANCE[[#This Row],[OSB EXTERIOR]])</f>
        <v>0</v>
      </c>
      <c r="CB349" s="3">
        <f>+IF(AVANCE[[#This Row],[SMART PANEL]]=AN$2,100%,AVANCE[[#This Row],[SMART PANEL]])</f>
        <v>0</v>
      </c>
      <c r="CC349" s="3">
        <f>+IF(AVANCE[[#This Row],[PINTURA EXTERIOR]]=AO$2,100%,AVANCE[[#This Row],[PINTURA EXTERIOR]])</f>
        <v>0</v>
      </c>
      <c r="CD349" s="3">
        <f>+IF(AVANCE[[#This Row],[ZOCALOS LOGIA]]=AP$2,100%,AVANCE[[#This Row],[ZOCALOS LOGIA]])</f>
        <v>0</v>
      </c>
      <c r="CE349" s="3">
        <f>+IF(AVANCE[[#This Row],[MOLDURAS]]=AQ$2,100%,AVANCE[[#This Row],[MOLDURAS]])</f>
        <v>0</v>
      </c>
      <c r="CF349" s="3">
        <f>+IF(AVANCE[[#This Row],[PILASTREO]]=AR$2,100%,AVANCE[[#This Row],[PILASTREO]])</f>
        <v>0</v>
      </c>
      <c r="CG349" s="3">
        <f>+IF(AVANCE[[#This Row],[CELOSIAS]]=AS$2,100%,AVANCE[[#This Row],[CELOSIAS]])</f>
        <v>0</v>
      </c>
      <c r="CH349" s="3">
        <f>+IF(AVANCE[[#This Row],[VENTANAS]]=AT$2,100%,AVANCE[[#This Row],[VENTANAS]])</f>
        <v>0</v>
      </c>
      <c r="CI349" s="3">
        <f>+IF(AVANCE[[#This Row],[PUERTAS ACCESO - LOGIA - BANO]]=AU$2,100%,AVANCE[[#This Row],[PUERTAS ACCESO - LOGIA - BANO]])</f>
        <v>0</v>
      </c>
      <c r="CJ349" s="3">
        <f>+IF(AVANCE[[#This Row],[CERRADURAS]]=AV$2,100%,AVANCE[[#This Row],[CERRADURAS]])</f>
        <v>0</v>
      </c>
      <c r="CK349" s="3">
        <f>+IF(AVANCE[[#This Row],[REVESTIMIENTO INTERIOR ZONA SECA]]=AW$2,100%,AVANCE[[#This Row],[REVESTIMIENTO INTERIOR ZONA SECA]])</f>
        <v>0</v>
      </c>
      <c r="CL349" s="3">
        <f>+IF(AVANCE[[#This Row],[REVESTIMIENTO INTERIOR ZONAS HUMEDAS]]=AX$2,100%,AVANCE[[#This Row],[REVESTIMIENTO INTERIOR ZONAS HUMEDAS]])</f>
        <v>0</v>
      </c>
      <c r="CM349" s="3">
        <f>+IF(AVANCE[[#This Row],[MEMBRANA CIELO]]=AY$2,100%,AVANCE[[#This Row],[MEMBRANA CIELO]])</f>
        <v>0</v>
      </c>
      <c r="CN349" s="3">
        <f>+IF(AVANCE[[#This Row],[LIMPIEZA FINAL]]=AZ$2,100%,AVANCE[[#This Row],[LIMPIEZA FINAL]])</f>
        <v>0</v>
      </c>
      <c r="CO349" s="3">
        <f>+IF(AVANCE[[#This Row],[PUERTAS DORMITORIO]]=BA$2,100%,AVANCE[[#This Row],[PUERTAS DORMITORIO]])</f>
        <v>0</v>
      </c>
      <c r="CP349" s="3">
        <f>+IF(AVANCE[[#This Row],[REVESTIMIENTO INTERIOR BANO]]=BB$2,100%,AVANCE[[#This Row],[REVESTIMIENTO INTERIOR BANO]])</f>
        <v>0</v>
      </c>
      <c r="CQ349" s="3">
        <f>+IF(AVANCE[[#This Row],[MUEBLE LAVAPLATOS]]=BC$2,100%,AVANCE[[#This Row],[MUEBLE LAVAPLATOS]])</f>
        <v>0</v>
      </c>
      <c r="CR349" s="3">
        <f>+IF(AVANCE[[#This Row],[IMPERMEABILIZACION BANO - COCINA LOGIA]]=BD$2,100%,AVANCE[[#This Row],[IMPERMEABILIZACION BANO - COCINA LOGIA]])</f>
        <v>0</v>
      </c>
      <c r="CS349" s="40">
        <f ca="1">+IF(AVANCE[[#This Row],[ESTADO MODULO]]="PENDIENTE",(TODAY()-AVANCE[[#This Row],[FECHA TERMINO  PLANIFICADO]]),0)</f>
        <v>0</v>
      </c>
      <c r="CT349" s="41" t="str" cm="1">
        <f t="array" ref="CT349">_xlfn.TEXTJOIN(" | ",TRUE,IF(SUMPRODUCT((BG349:CR349&lt;1)*(PARTIDAS!$I$2:$AT$2="OBRA GRUESA"))&gt;0,"OBRA GRUESA: "&amp;_xlfn.TEXTJOIN(", ",TRUE,IF((BG349:CR349&lt;1)*(PARTIDAS!$I$2:$AT$2="OBRA GRUESA"),PARTIDAS!$I$1:$AT$1,"")),""),IF(SUMPRODUCT((BG349:CR349&lt;1)*(PARTIDAS!$I$2:$AT$2="SANITARIOS"))&gt;0,"SANITARIOS: "&amp;_xlfn.TEXTJOIN(", ",TRUE,IF((BG349:CR349&lt;1)*(PARTIDAS!$I$2:$AT$2="SANITARIOS"),PARTIDAS!$I$1:$AT$1,"")),""),IF(SUMPRODUCT((BG349:CR349&lt;1)*(PARTIDAS!$I$2:$AT$2="ELÉCTRICO"))&gt;0,"ELÉCTRICO: "&amp;_xlfn.TEXTJOIN(", ",TRUE,IF((BG349:CR349&lt;1)*(PARTIDAS!$I$2:$AT$2="ELÉCTRICO"),PARTIDAS!$I$1:$AT$1,"")),""),IF(SUMPRODUCT((BG349:CR349&lt;1)*(PARTIDAS!$I$2:$AT$2="TERMINACIONES"))&gt;0,"TERMINACIONES: "&amp;_xlfn.TEXTJOIN(", ",TRUE,IF((BG349:CR349&lt;1)*(PARTIDAS!$I$2:$AT$2="TERMINACIONES"),PARTIDAS!$I$1:$AT$1,"")),""))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49" s="43" t="str" cm="1">
        <f t="array" ref="CU349">_xlfn.TEXTJOIN(", ",TRUE,IF(SUMPRODUCT((BG349:CR349&lt;1)*(PARTIDAS!$I$2:$AT$2="OBRA GRUESA"))&gt;0,"OBRA GRUESA",""),IF(SUMPRODUCT((BG349:CR349&lt;1)*(PARTIDAS!$I$2:$AT$2="SANITARIOS"))&gt;0,"SANITARIOS",""),IF(SUMPRODUCT((BG349:CR349&lt;1)*(PARTIDAS!$I$2:$AT$2="ELÉCTRICO"))&gt;0,"ELÉCTRICO",""),IF(SUMPRODUCT((BG349:CR349&lt;1)*(PARTIDAS!$I$2:$AT$2="TERMINACIONES"))&gt;0,"TERMINACIONES",""))</f>
        <v>OBRA GRUESA, SANITARIOS, ELÉCTRICO, TERMINACIONES</v>
      </c>
      <c r="CV349" s="44" cm="1">
        <f t="array" ref="CV349">SUMPRODUCT(--(BG349:CR349&lt;1))</f>
        <v>38</v>
      </c>
    </row>
    <row r="350" spans="1:100" hidden="1" x14ac:dyDescent="0.25">
      <c r="A350" t="s">
        <v>388</v>
      </c>
      <c r="B350" t="s">
        <v>417</v>
      </c>
      <c r="C350">
        <v>2282600349</v>
      </c>
      <c r="D350" t="s">
        <v>58</v>
      </c>
      <c r="E350" s="2">
        <v>0</v>
      </c>
      <c r="F350" s="1">
        <v>46315</v>
      </c>
      <c r="G350" s="1"/>
      <c r="H350" s="1">
        <v>0</v>
      </c>
      <c r="I350" s="1">
        <v>46335</v>
      </c>
      <c r="J350">
        <v>46230</v>
      </c>
      <c r="K350" s="1"/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>
        <v>28.87</v>
      </c>
      <c r="BF350" s="3" t="str">
        <f>+IF(AVANCE[[#This Row],[% AVANCE]]=100%,"MODULO TERMINADO",IF(AVANCE[[#This Row],[FECHA INICIO REAL]]="","MODULO NO INICIADO","PENDIENTE"))</f>
        <v>MODULO NO INICIADO</v>
      </c>
      <c r="BG350" s="3">
        <f>+IF(AVANCE[[#This Row],[VENTANAS]]=8.10810810810811%,100%,AVANCE[[#This Row],[VENTANAS]])</f>
        <v>0</v>
      </c>
      <c r="BH350" s="3">
        <f>+IF(AVANCE[[#This Row],[PISO]]=N$2,100%,AVANCE[[#This Row],[PISO]])</f>
        <v>0</v>
      </c>
      <c r="BI350" s="3">
        <f>+IF(AVANCE[[#This Row],[TABIQUES]]=O$2,100%,AVANCE[[#This Row],[TABIQUES]])</f>
        <v>0</v>
      </c>
      <c r="BJ350" s="3">
        <f>+IF(AVANCE[[#This Row],[MUROS]]=P$2,100%,AVANCE[[#This Row],[MUROS]])</f>
        <v>0</v>
      </c>
      <c r="BK350" s="3">
        <f>+IF(AVANCE[[#This Row],[CIELO]]=Q$2,100%,AVANCE[[#This Row],[CIELO]])</f>
        <v>0</v>
      </c>
      <c r="BL350" s="3">
        <f>+IF(AVANCE[[#This Row],[BALCÓN]]=R$2,100%,AVANCE[[#This Row],[BALCÓN]])</f>
        <v>0</v>
      </c>
      <c r="BM350" s="3">
        <f>+IF(AVANCE[[#This Row],[RED ALCANTARILLADO]]=U$2,100%,AVANCE[[#This Row],[RED ALCANTARILLADO]])</f>
        <v>0</v>
      </c>
      <c r="BN350" s="3">
        <f>+IF(AVANCE[[#This Row],[RED DE AGUA]]=V$2,100%,AVANCE[[#This Row],[RED DE AGUA]])</f>
        <v>0</v>
      </c>
      <c r="BO350" s="3">
        <f>+IF(AVANCE[[#This Row],[VENTILACIONES]]=W$2,100%,AVANCE[[#This Row],[VENTILACIONES]])</f>
        <v>0</v>
      </c>
      <c r="BP350" s="3">
        <f>+IF(AVANCE[[#This Row],[TINA]]=X$2,100%,AVANCE[[#This Row],[TINA]])</f>
        <v>0</v>
      </c>
      <c r="BQ350" s="3">
        <f>+IF(AVANCE[[#This Row],[WC]]=Y$2,100%,AVANCE[[#This Row],[WC]])</f>
        <v>0</v>
      </c>
      <c r="BR350" s="3">
        <f>+IF(AVANCE[[#This Row],[LAVAMANOS / LAVAPLATOS / LAVADERO]]=Z$2,100%,AVANCE[[#This Row],[LAVAMANOS / LAVAPLATOS / LAVADERO]])</f>
        <v>0</v>
      </c>
      <c r="BS350" s="3">
        <f>+IF(AVANCE[[#This Row],[CANALIZACIÓN]]=AC$2,100%,AVANCE[[#This Row],[CANALIZACIÓN]])</f>
        <v>0</v>
      </c>
      <c r="BT350" s="3">
        <f>+IF(AVANCE[[#This Row],[CABLEADO]]=AD$2,100%,AVANCE[[#This Row],[CABLEADO]])</f>
        <v>0</v>
      </c>
      <c r="BU350" s="3">
        <f>+IF(AVANCE[[#This Row],[ARTEFACTOS]]=AE$2,100%,AVANCE[[#This Row],[ARTEFACTOS]])</f>
        <v>0</v>
      </c>
      <c r="BV350" s="3">
        <f>+IF(AVANCE[[#This Row],[TABLERO]]=AF$2,100%,AVANCE[[#This Row],[TABLERO]])</f>
        <v>0</v>
      </c>
      <c r="BW350" s="3">
        <f>+IF(AVANCE[[#This Row],[CAJA PAU]]=AG$2,100%,AVANCE[[#This Row],[CAJA PAU]])</f>
        <v>0</v>
      </c>
      <c r="BX350" s="3">
        <f>+IF(AVANCE[[#This Row],[INSTALACION VINILICO]]=AJ$2,100%,AVANCE[[#This Row],[INSTALACION VINILICO]])</f>
        <v>0</v>
      </c>
      <c r="BY350" s="3">
        <f>+IF(AVANCE[[#This Row],[OSB CUBIERTA]]=AK$2,100%,AVANCE[[#This Row],[OSB CUBIERTA]])</f>
        <v>0</v>
      </c>
      <c r="BZ350" s="3">
        <f>+IF(AVANCE[[#This Row],[BARANDA BALCON]]=AL$2,100%,AVANCE[[#This Row],[BARANDA BALCON]])</f>
        <v>0</v>
      </c>
      <c r="CA350" s="3">
        <f>+IF(AVANCE[[#This Row],[OSB EXTERIOR]]=AM$2,100%,AVANCE[[#This Row],[OSB EXTERIOR]])</f>
        <v>0</v>
      </c>
      <c r="CB350" s="3">
        <f>+IF(AVANCE[[#This Row],[SMART PANEL]]=AN$2,100%,AVANCE[[#This Row],[SMART PANEL]])</f>
        <v>0</v>
      </c>
      <c r="CC350" s="3">
        <f>+IF(AVANCE[[#This Row],[PINTURA EXTERIOR]]=AO$2,100%,AVANCE[[#This Row],[PINTURA EXTERIOR]])</f>
        <v>0</v>
      </c>
      <c r="CD350" s="3">
        <f>+IF(AVANCE[[#This Row],[ZOCALOS LOGIA]]=AP$2,100%,AVANCE[[#This Row],[ZOCALOS LOGIA]])</f>
        <v>0</v>
      </c>
      <c r="CE350" s="3">
        <f>+IF(AVANCE[[#This Row],[MOLDURAS]]=AQ$2,100%,AVANCE[[#This Row],[MOLDURAS]])</f>
        <v>0</v>
      </c>
      <c r="CF350" s="3">
        <f>+IF(AVANCE[[#This Row],[PILASTREO]]=AR$2,100%,AVANCE[[#This Row],[PILASTREO]])</f>
        <v>0</v>
      </c>
      <c r="CG350" s="3">
        <f>+IF(AVANCE[[#This Row],[CELOSIAS]]=AS$2,100%,AVANCE[[#This Row],[CELOSIAS]])</f>
        <v>0</v>
      </c>
      <c r="CH350" s="3">
        <f>+IF(AVANCE[[#This Row],[VENTANAS]]=AT$2,100%,AVANCE[[#This Row],[VENTANAS]])</f>
        <v>0</v>
      </c>
      <c r="CI350" s="3">
        <f>+IF(AVANCE[[#This Row],[PUERTAS ACCESO - LOGIA - BANO]]=AU$2,100%,AVANCE[[#This Row],[PUERTAS ACCESO - LOGIA - BANO]])</f>
        <v>0</v>
      </c>
      <c r="CJ350" s="3">
        <f>+IF(AVANCE[[#This Row],[CERRADURAS]]=AV$2,100%,AVANCE[[#This Row],[CERRADURAS]])</f>
        <v>0</v>
      </c>
      <c r="CK350" s="3">
        <f>+IF(AVANCE[[#This Row],[REVESTIMIENTO INTERIOR ZONA SECA]]=AW$2,100%,AVANCE[[#This Row],[REVESTIMIENTO INTERIOR ZONA SECA]])</f>
        <v>0</v>
      </c>
      <c r="CL350" s="3">
        <f>+IF(AVANCE[[#This Row],[REVESTIMIENTO INTERIOR ZONAS HUMEDAS]]=AX$2,100%,AVANCE[[#This Row],[REVESTIMIENTO INTERIOR ZONAS HUMEDAS]])</f>
        <v>0</v>
      </c>
      <c r="CM350" s="3">
        <f>+IF(AVANCE[[#This Row],[MEMBRANA CIELO]]=AY$2,100%,AVANCE[[#This Row],[MEMBRANA CIELO]])</f>
        <v>0</v>
      </c>
      <c r="CN350" s="3">
        <f>+IF(AVANCE[[#This Row],[LIMPIEZA FINAL]]=AZ$2,100%,AVANCE[[#This Row],[LIMPIEZA FINAL]])</f>
        <v>0</v>
      </c>
      <c r="CO350" s="3">
        <f>+IF(AVANCE[[#This Row],[PUERTAS DORMITORIO]]=BA$2,100%,AVANCE[[#This Row],[PUERTAS DORMITORIO]])</f>
        <v>0</v>
      </c>
      <c r="CP350" s="3">
        <f>+IF(AVANCE[[#This Row],[REVESTIMIENTO INTERIOR BANO]]=BB$2,100%,AVANCE[[#This Row],[REVESTIMIENTO INTERIOR BANO]])</f>
        <v>0</v>
      </c>
      <c r="CQ350" s="3">
        <f>+IF(AVANCE[[#This Row],[MUEBLE LAVAPLATOS]]=BC$2,100%,AVANCE[[#This Row],[MUEBLE LAVAPLATOS]])</f>
        <v>0</v>
      </c>
      <c r="CR350" s="3">
        <f>+IF(AVANCE[[#This Row],[IMPERMEABILIZACION BANO - COCINA LOGIA]]=BD$2,100%,AVANCE[[#This Row],[IMPERMEABILIZACION BANO - COCINA LOGIA]])</f>
        <v>0</v>
      </c>
      <c r="CS350" s="40">
        <f ca="1">+IF(AVANCE[[#This Row],[ESTADO MODULO]]="PENDIENTE",(TODAY()-AVANCE[[#This Row],[FECHA TERMINO  PLANIFICADO]]),0)</f>
        <v>0</v>
      </c>
      <c r="CT350" s="41" t="str" cm="1">
        <f t="array" ref="CT350">_xlfn.TEXTJOIN(" | ",TRUE,IF(SUMPRODUCT((BG350:CR350&lt;1)*(PARTIDAS!$I$2:$AT$2="OBRA GRUESA"))&gt;0,"OBRA GRUESA: "&amp;_xlfn.TEXTJOIN(", ",TRUE,IF((BG350:CR350&lt;1)*(PARTIDAS!$I$2:$AT$2="OBRA GRUESA"),PARTIDAS!$I$1:$AT$1,"")),""),IF(SUMPRODUCT((BG350:CR350&lt;1)*(PARTIDAS!$I$2:$AT$2="SANITARIOS"))&gt;0,"SANITARIOS: "&amp;_xlfn.TEXTJOIN(", ",TRUE,IF((BG350:CR350&lt;1)*(PARTIDAS!$I$2:$AT$2="SANITARIOS"),PARTIDAS!$I$1:$AT$1,"")),""),IF(SUMPRODUCT((BG350:CR350&lt;1)*(PARTIDAS!$I$2:$AT$2="ELÉCTRICO"))&gt;0,"ELÉCTRICO: "&amp;_xlfn.TEXTJOIN(", ",TRUE,IF((BG350:CR350&lt;1)*(PARTIDAS!$I$2:$AT$2="ELÉCTRICO"),PARTIDAS!$I$1:$AT$1,"")),""),IF(SUMPRODUCT((BG350:CR350&lt;1)*(PARTIDAS!$I$2:$AT$2="TERMINACIONES"))&gt;0,"TERMINACIONES: "&amp;_xlfn.TEXTJOIN(", ",TRUE,IF((BG350:CR350&lt;1)*(PARTIDAS!$I$2:$AT$2="TERMINACIONES"),PARTIDAS!$I$1:$AT$1,"")),""))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0" s="43" t="str" cm="1">
        <f t="array" ref="CU350">_xlfn.TEXTJOIN(", ",TRUE,IF(SUMPRODUCT((BG350:CR350&lt;1)*(PARTIDAS!$I$2:$AT$2="OBRA GRUESA"))&gt;0,"OBRA GRUESA",""),IF(SUMPRODUCT((BG350:CR350&lt;1)*(PARTIDAS!$I$2:$AT$2="SANITARIOS"))&gt;0,"SANITARIOS",""),IF(SUMPRODUCT((BG350:CR350&lt;1)*(PARTIDAS!$I$2:$AT$2="ELÉCTRICO"))&gt;0,"ELÉCTRICO",""),IF(SUMPRODUCT((BG350:CR350&lt;1)*(PARTIDAS!$I$2:$AT$2="TERMINACIONES"))&gt;0,"TERMINACIONES",""))</f>
        <v>OBRA GRUESA, SANITARIOS, ELÉCTRICO, TERMINACIONES</v>
      </c>
      <c r="CV350" s="44" cm="1">
        <f t="array" ref="CV350">SUMPRODUCT(--(BG350:CR350&lt;1))</f>
        <v>38</v>
      </c>
    </row>
    <row r="351" spans="1:100" hidden="1" x14ac:dyDescent="0.25">
      <c r="A351" t="s">
        <v>388</v>
      </c>
      <c r="B351" t="s">
        <v>418</v>
      </c>
      <c r="C351">
        <v>2302600350</v>
      </c>
      <c r="D351" t="s">
        <v>60</v>
      </c>
      <c r="E351" s="2">
        <v>0</v>
      </c>
      <c r="F351" s="1">
        <v>46316</v>
      </c>
      <c r="G351" s="1"/>
      <c r="H351" s="1">
        <v>0</v>
      </c>
      <c r="I351" s="1">
        <v>46346</v>
      </c>
      <c r="J351">
        <v>46230</v>
      </c>
      <c r="K351" s="1"/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>
        <v>31.32</v>
      </c>
      <c r="BF351" s="3" t="str">
        <f>+IF(AVANCE[[#This Row],[% AVANCE]]=100%,"MODULO TERMINADO",IF(AVANCE[[#This Row],[FECHA INICIO REAL]]="","MODULO NO INICIADO","PENDIENTE"))</f>
        <v>MODULO NO INICIADO</v>
      </c>
      <c r="BG351" s="3">
        <f>+IF(AVANCE[[#This Row],[VENTANAS]]=8.10810810810811%,100%,AVANCE[[#This Row],[VENTANAS]])</f>
        <v>0</v>
      </c>
      <c r="BH351" s="3">
        <f>+IF(AVANCE[[#This Row],[PISO]]=N$2,100%,AVANCE[[#This Row],[PISO]])</f>
        <v>0</v>
      </c>
      <c r="BI351" s="3">
        <f>+IF(AVANCE[[#This Row],[TABIQUES]]=O$2,100%,AVANCE[[#This Row],[TABIQUES]])</f>
        <v>0</v>
      </c>
      <c r="BJ351" s="3">
        <f>+IF(AVANCE[[#This Row],[MUROS]]=P$2,100%,AVANCE[[#This Row],[MUROS]])</f>
        <v>0</v>
      </c>
      <c r="BK351" s="3">
        <f>+IF(AVANCE[[#This Row],[CIELO]]=Q$2,100%,AVANCE[[#This Row],[CIELO]])</f>
        <v>0</v>
      </c>
      <c r="BL351" s="3">
        <f>+IF(AVANCE[[#This Row],[BALCÓN]]=R$2,100%,AVANCE[[#This Row],[BALCÓN]])</f>
        <v>0</v>
      </c>
      <c r="BM351" s="3">
        <f>+IF(AVANCE[[#This Row],[RED ALCANTARILLADO]]=U$2,100%,AVANCE[[#This Row],[RED ALCANTARILLADO]])</f>
        <v>0</v>
      </c>
      <c r="BN351" s="3">
        <f>+IF(AVANCE[[#This Row],[RED DE AGUA]]=V$2,100%,AVANCE[[#This Row],[RED DE AGUA]])</f>
        <v>0</v>
      </c>
      <c r="BO351" s="3">
        <f>+IF(AVANCE[[#This Row],[VENTILACIONES]]=W$2,100%,AVANCE[[#This Row],[VENTILACIONES]])</f>
        <v>0</v>
      </c>
      <c r="BP351" s="3">
        <f>+IF(AVANCE[[#This Row],[TINA]]=X$2,100%,AVANCE[[#This Row],[TINA]])</f>
        <v>0</v>
      </c>
      <c r="BQ351" s="3">
        <f>+IF(AVANCE[[#This Row],[WC]]=Y$2,100%,AVANCE[[#This Row],[WC]])</f>
        <v>0</v>
      </c>
      <c r="BR351" s="3">
        <f>+IF(AVANCE[[#This Row],[LAVAMANOS / LAVAPLATOS / LAVADERO]]=Z$2,100%,AVANCE[[#This Row],[LAVAMANOS / LAVAPLATOS / LAVADERO]])</f>
        <v>0</v>
      </c>
      <c r="BS351" s="3">
        <f>+IF(AVANCE[[#This Row],[CANALIZACIÓN]]=AC$2,100%,AVANCE[[#This Row],[CANALIZACIÓN]])</f>
        <v>0</v>
      </c>
      <c r="BT351" s="3">
        <f>+IF(AVANCE[[#This Row],[CABLEADO]]=AD$2,100%,AVANCE[[#This Row],[CABLEADO]])</f>
        <v>0</v>
      </c>
      <c r="BU351" s="3">
        <f>+IF(AVANCE[[#This Row],[ARTEFACTOS]]=AE$2,100%,AVANCE[[#This Row],[ARTEFACTOS]])</f>
        <v>0</v>
      </c>
      <c r="BV351" s="3">
        <f>+IF(AVANCE[[#This Row],[TABLERO]]=AF$2,100%,AVANCE[[#This Row],[TABLERO]])</f>
        <v>0</v>
      </c>
      <c r="BW351" s="3">
        <f>+IF(AVANCE[[#This Row],[CAJA PAU]]=AG$2,100%,AVANCE[[#This Row],[CAJA PAU]])</f>
        <v>0</v>
      </c>
      <c r="BX351" s="3">
        <f>+IF(AVANCE[[#This Row],[INSTALACION VINILICO]]=AJ$2,100%,AVANCE[[#This Row],[INSTALACION VINILICO]])</f>
        <v>0</v>
      </c>
      <c r="BY351" s="3">
        <f>+IF(AVANCE[[#This Row],[OSB CUBIERTA]]=AK$2,100%,AVANCE[[#This Row],[OSB CUBIERTA]])</f>
        <v>0</v>
      </c>
      <c r="BZ351" s="3">
        <f>+IF(AVANCE[[#This Row],[BARANDA BALCON]]=AL$2,100%,AVANCE[[#This Row],[BARANDA BALCON]])</f>
        <v>0</v>
      </c>
      <c r="CA351" s="3">
        <f>+IF(AVANCE[[#This Row],[OSB EXTERIOR]]=AM$2,100%,AVANCE[[#This Row],[OSB EXTERIOR]])</f>
        <v>0</v>
      </c>
      <c r="CB351" s="3">
        <f>+IF(AVANCE[[#This Row],[SMART PANEL]]=AN$2,100%,AVANCE[[#This Row],[SMART PANEL]])</f>
        <v>0</v>
      </c>
      <c r="CC351" s="3">
        <f>+IF(AVANCE[[#This Row],[PINTURA EXTERIOR]]=AO$2,100%,AVANCE[[#This Row],[PINTURA EXTERIOR]])</f>
        <v>0</v>
      </c>
      <c r="CD351" s="3">
        <f>+IF(AVANCE[[#This Row],[ZOCALOS LOGIA]]=AP$2,100%,AVANCE[[#This Row],[ZOCALOS LOGIA]])</f>
        <v>0</v>
      </c>
      <c r="CE351" s="3">
        <f>+IF(AVANCE[[#This Row],[MOLDURAS]]=AQ$2,100%,AVANCE[[#This Row],[MOLDURAS]])</f>
        <v>0</v>
      </c>
      <c r="CF351" s="3">
        <f>+IF(AVANCE[[#This Row],[PILASTREO]]=AR$2,100%,AVANCE[[#This Row],[PILASTREO]])</f>
        <v>0</v>
      </c>
      <c r="CG351" s="3">
        <f>+IF(AVANCE[[#This Row],[CELOSIAS]]=AS$2,100%,AVANCE[[#This Row],[CELOSIAS]])</f>
        <v>0</v>
      </c>
      <c r="CH351" s="3">
        <f>+IF(AVANCE[[#This Row],[VENTANAS]]=AT$2,100%,AVANCE[[#This Row],[VENTANAS]])</f>
        <v>0</v>
      </c>
      <c r="CI351" s="3">
        <f>+IF(AVANCE[[#This Row],[PUERTAS ACCESO - LOGIA - BANO]]=AU$2,100%,AVANCE[[#This Row],[PUERTAS ACCESO - LOGIA - BANO]])</f>
        <v>0</v>
      </c>
      <c r="CJ351" s="3">
        <f>+IF(AVANCE[[#This Row],[CERRADURAS]]=AV$2,100%,AVANCE[[#This Row],[CERRADURAS]])</f>
        <v>0</v>
      </c>
      <c r="CK351" s="3">
        <f>+IF(AVANCE[[#This Row],[REVESTIMIENTO INTERIOR ZONA SECA]]=AW$2,100%,AVANCE[[#This Row],[REVESTIMIENTO INTERIOR ZONA SECA]])</f>
        <v>0</v>
      </c>
      <c r="CL351" s="3">
        <f>+IF(AVANCE[[#This Row],[REVESTIMIENTO INTERIOR ZONAS HUMEDAS]]=AX$2,100%,AVANCE[[#This Row],[REVESTIMIENTO INTERIOR ZONAS HUMEDAS]])</f>
        <v>0</v>
      </c>
      <c r="CM351" s="3">
        <f>+IF(AVANCE[[#This Row],[MEMBRANA CIELO]]=AY$2,100%,AVANCE[[#This Row],[MEMBRANA CIELO]])</f>
        <v>0</v>
      </c>
      <c r="CN351" s="3">
        <f>+IF(AVANCE[[#This Row],[LIMPIEZA FINAL]]=AZ$2,100%,AVANCE[[#This Row],[LIMPIEZA FINAL]])</f>
        <v>0</v>
      </c>
      <c r="CO351" s="3">
        <f>+IF(AVANCE[[#This Row],[PUERTAS DORMITORIO]]=BA$2,100%,AVANCE[[#This Row],[PUERTAS DORMITORIO]])</f>
        <v>0</v>
      </c>
      <c r="CP351" s="3">
        <f>+IF(AVANCE[[#This Row],[REVESTIMIENTO INTERIOR BANO]]=BB$2,100%,AVANCE[[#This Row],[REVESTIMIENTO INTERIOR BANO]])</f>
        <v>0</v>
      </c>
      <c r="CQ351" s="3">
        <f>+IF(AVANCE[[#This Row],[MUEBLE LAVAPLATOS]]=BC$2,100%,AVANCE[[#This Row],[MUEBLE LAVAPLATOS]])</f>
        <v>0</v>
      </c>
      <c r="CR351" s="3">
        <f>+IF(AVANCE[[#This Row],[IMPERMEABILIZACION BANO - COCINA LOGIA]]=BD$2,100%,AVANCE[[#This Row],[IMPERMEABILIZACION BANO - COCINA LOGIA]])</f>
        <v>0</v>
      </c>
      <c r="CS351" s="40">
        <f ca="1">+IF(AVANCE[[#This Row],[ESTADO MODULO]]="PENDIENTE",(TODAY()-AVANCE[[#This Row],[FECHA TERMINO  PLANIFICADO]]),0)</f>
        <v>0</v>
      </c>
      <c r="CT351" s="41" t="str" cm="1">
        <f t="array" ref="CT351">_xlfn.TEXTJOIN(" | ",TRUE,IF(SUMPRODUCT((BG351:CR351&lt;1)*(PARTIDAS!$I$2:$AT$2="OBRA GRUESA"))&gt;0,"OBRA GRUESA: "&amp;_xlfn.TEXTJOIN(", ",TRUE,IF((BG351:CR351&lt;1)*(PARTIDAS!$I$2:$AT$2="OBRA GRUESA"),PARTIDAS!$I$1:$AT$1,"")),""),IF(SUMPRODUCT((BG351:CR351&lt;1)*(PARTIDAS!$I$2:$AT$2="SANITARIOS"))&gt;0,"SANITARIOS: "&amp;_xlfn.TEXTJOIN(", ",TRUE,IF((BG351:CR351&lt;1)*(PARTIDAS!$I$2:$AT$2="SANITARIOS"),PARTIDAS!$I$1:$AT$1,"")),""),IF(SUMPRODUCT((BG351:CR351&lt;1)*(PARTIDAS!$I$2:$AT$2="ELÉCTRICO"))&gt;0,"ELÉCTRICO: "&amp;_xlfn.TEXTJOIN(", ",TRUE,IF((BG351:CR351&lt;1)*(PARTIDAS!$I$2:$AT$2="ELÉCTRICO"),PARTIDAS!$I$1:$AT$1,"")),""),IF(SUMPRODUCT((BG351:CR351&lt;1)*(PARTIDAS!$I$2:$AT$2="TERMINACIONES"))&gt;0,"TERMINACIONES: "&amp;_xlfn.TEXTJOIN(", ",TRUE,IF((BG351:CR351&lt;1)*(PARTIDAS!$I$2:$AT$2="TERMINACIONES"),PARTIDAS!$I$1:$AT$1,"")),""))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1" s="43" t="str" cm="1">
        <f t="array" ref="CU351">_xlfn.TEXTJOIN(", ",TRUE,IF(SUMPRODUCT((BG351:CR351&lt;1)*(PARTIDAS!$I$2:$AT$2="OBRA GRUESA"))&gt;0,"OBRA GRUESA",""),IF(SUMPRODUCT((BG351:CR351&lt;1)*(PARTIDAS!$I$2:$AT$2="SANITARIOS"))&gt;0,"SANITARIOS",""),IF(SUMPRODUCT((BG351:CR351&lt;1)*(PARTIDAS!$I$2:$AT$2="ELÉCTRICO"))&gt;0,"ELÉCTRICO",""),IF(SUMPRODUCT((BG351:CR351&lt;1)*(PARTIDAS!$I$2:$AT$2="TERMINACIONES"))&gt;0,"TERMINACIONES",""))</f>
        <v>OBRA GRUESA, SANITARIOS, ELÉCTRICO, TERMINACIONES</v>
      </c>
      <c r="CV351" s="44" cm="1">
        <f t="array" ref="CV351">SUMPRODUCT(--(BG351:CR351&lt;1))</f>
        <v>38</v>
      </c>
    </row>
    <row r="352" spans="1:100" hidden="1" x14ac:dyDescent="0.25">
      <c r="A352" t="s">
        <v>388</v>
      </c>
      <c r="B352" t="s">
        <v>419</v>
      </c>
      <c r="C352">
        <v>2302600351</v>
      </c>
      <c r="D352" t="s">
        <v>60</v>
      </c>
      <c r="E352" s="2">
        <v>0</v>
      </c>
      <c r="F352" s="1">
        <v>46316</v>
      </c>
      <c r="G352" s="1"/>
      <c r="H352" s="1">
        <v>0</v>
      </c>
      <c r="I352" s="1">
        <v>46346</v>
      </c>
      <c r="J352">
        <v>46230</v>
      </c>
      <c r="K352" s="1"/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>
        <v>31.32</v>
      </c>
      <c r="BF352" s="3" t="str">
        <f>+IF(AVANCE[[#This Row],[% AVANCE]]=100%,"MODULO TERMINADO",IF(AVANCE[[#This Row],[FECHA INICIO REAL]]="","MODULO NO INICIADO","PENDIENTE"))</f>
        <v>MODULO NO INICIADO</v>
      </c>
      <c r="BG352" s="3">
        <f>+IF(AVANCE[[#This Row],[VENTANAS]]=8.10810810810811%,100%,AVANCE[[#This Row],[VENTANAS]])</f>
        <v>0</v>
      </c>
      <c r="BH352" s="3">
        <f>+IF(AVANCE[[#This Row],[PISO]]=N$2,100%,AVANCE[[#This Row],[PISO]])</f>
        <v>0</v>
      </c>
      <c r="BI352" s="3">
        <f>+IF(AVANCE[[#This Row],[TABIQUES]]=O$2,100%,AVANCE[[#This Row],[TABIQUES]])</f>
        <v>0</v>
      </c>
      <c r="BJ352" s="3">
        <f>+IF(AVANCE[[#This Row],[MUROS]]=P$2,100%,AVANCE[[#This Row],[MUROS]])</f>
        <v>0</v>
      </c>
      <c r="BK352" s="3">
        <f>+IF(AVANCE[[#This Row],[CIELO]]=Q$2,100%,AVANCE[[#This Row],[CIELO]])</f>
        <v>0</v>
      </c>
      <c r="BL352" s="3">
        <f>+IF(AVANCE[[#This Row],[BALCÓN]]=R$2,100%,AVANCE[[#This Row],[BALCÓN]])</f>
        <v>0</v>
      </c>
      <c r="BM352" s="3">
        <f>+IF(AVANCE[[#This Row],[RED ALCANTARILLADO]]=U$2,100%,AVANCE[[#This Row],[RED ALCANTARILLADO]])</f>
        <v>0</v>
      </c>
      <c r="BN352" s="3">
        <f>+IF(AVANCE[[#This Row],[RED DE AGUA]]=V$2,100%,AVANCE[[#This Row],[RED DE AGUA]])</f>
        <v>0</v>
      </c>
      <c r="BO352" s="3">
        <f>+IF(AVANCE[[#This Row],[VENTILACIONES]]=W$2,100%,AVANCE[[#This Row],[VENTILACIONES]])</f>
        <v>0</v>
      </c>
      <c r="BP352" s="3">
        <f>+IF(AVANCE[[#This Row],[TINA]]=X$2,100%,AVANCE[[#This Row],[TINA]])</f>
        <v>0</v>
      </c>
      <c r="BQ352" s="3">
        <f>+IF(AVANCE[[#This Row],[WC]]=Y$2,100%,AVANCE[[#This Row],[WC]])</f>
        <v>0</v>
      </c>
      <c r="BR352" s="3">
        <f>+IF(AVANCE[[#This Row],[LAVAMANOS / LAVAPLATOS / LAVADERO]]=Z$2,100%,AVANCE[[#This Row],[LAVAMANOS / LAVAPLATOS / LAVADERO]])</f>
        <v>0</v>
      </c>
      <c r="BS352" s="3">
        <f>+IF(AVANCE[[#This Row],[CANALIZACIÓN]]=AC$2,100%,AVANCE[[#This Row],[CANALIZACIÓN]])</f>
        <v>0</v>
      </c>
      <c r="BT352" s="3">
        <f>+IF(AVANCE[[#This Row],[CABLEADO]]=AD$2,100%,AVANCE[[#This Row],[CABLEADO]])</f>
        <v>0</v>
      </c>
      <c r="BU352" s="3">
        <f>+IF(AVANCE[[#This Row],[ARTEFACTOS]]=AE$2,100%,AVANCE[[#This Row],[ARTEFACTOS]])</f>
        <v>0</v>
      </c>
      <c r="BV352" s="3">
        <f>+IF(AVANCE[[#This Row],[TABLERO]]=AF$2,100%,AVANCE[[#This Row],[TABLERO]])</f>
        <v>0</v>
      </c>
      <c r="BW352" s="3">
        <f>+IF(AVANCE[[#This Row],[CAJA PAU]]=AG$2,100%,AVANCE[[#This Row],[CAJA PAU]])</f>
        <v>0</v>
      </c>
      <c r="BX352" s="3">
        <f>+IF(AVANCE[[#This Row],[INSTALACION VINILICO]]=AJ$2,100%,AVANCE[[#This Row],[INSTALACION VINILICO]])</f>
        <v>0</v>
      </c>
      <c r="BY352" s="3">
        <f>+IF(AVANCE[[#This Row],[OSB CUBIERTA]]=AK$2,100%,AVANCE[[#This Row],[OSB CUBIERTA]])</f>
        <v>0</v>
      </c>
      <c r="BZ352" s="3">
        <f>+IF(AVANCE[[#This Row],[BARANDA BALCON]]=AL$2,100%,AVANCE[[#This Row],[BARANDA BALCON]])</f>
        <v>0</v>
      </c>
      <c r="CA352" s="3">
        <f>+IF(AVANCE[[#This Row],[OSB EXTERIOR]]=AM$2,100%,AVANCE[[#This Row],[OSB EXTERIOR]])</f>
        <v>0</v>
      </c>
      <c r="CB352" s="3">
        <f>+IF(AVANCE[[#This Row],[SMART PANEL]]=AN$2,100%,AVANCE[[#This Row],[SMART PANEL]])</f>
        <v>0</v>
      </c>
      <c r="CC352" s="3">
        <f>+IF(AVANCE[[#This Row],[PINTURA EXTERIOR]]=AO$2,100%,AVANCE[[#This Row],[PINTURA EXTERIOR]])</f>
        <v>0</v>
      </c>
      <c r="CD352" s="3">
        <f>+IF(AVANCE[[#This Row],[ZOCALOS LOGIA]]=AP$2,100%,AVANCE[[#This Row],[ZOCALOS LOGIA]])</f>
        <v>0</v>
      </c>
      <c r="CE352" s="3">
        <f>+IF(AVANCE[[#This Row],[MOLDURAS]]=AQ$2,100%,AVANCE[[#This Row],[MOLDURAS]])</f>
        <v>0</v>
      </c>
      <c r="CF352" s="3">
        <f>+IF(AVANCE[[#This Row],[PILASTREO]]=AR$2,100%,AVANCE[[#This Row],[PILASTREO]])</f>
        <v>0</v>
      </c>
      <c r="CG352" s="3">
        <f>+IF(AVANCE[[#This Row],[CELOSIAS]]=AS$2,100%,AVANCE[[#This Row],[CELOSIAS]])</f>
        <v>0</v>
      </c>
      <c r="CH352" s="3">
        <f>+IF(AVANCE[[#This Row],[VENTANAS]]=AT$2,100%,AVANCE[[#This Row],[VENTANAS]])</f>
        <v>0</v>
      </c>
      <c r="CI352" s="3">
        <f>+IF(AVANCE[[#This Row],[PUERTAS ACCESO - LOGIA - BANO]]=AU$2,100%,AVANCE[[#This Row],[PUERTAS ACCESO - LOGIA - BANO]])</f>
        <v>0</v>
      </c>
      <c r="CJ352" s="3">
        <f>+IF(AVANCE[[#This Row],[CERRADURAS]]=AV$2,100%,AVANCE[[#This Row],[CERRADURAS]])</f>
        <v>0</v>
      </c>
      <c r="CK352" s="3">
        <f>+IF(AVANCE[[#This Row],[REVESTIMIENTO INTERIOR ZONA SECA]]=AW$2,100%,AVANCE[[#This Row],[REVESTIMIENTO INTERIOR ZONA SECA]])</f>
        <v>0</v>
      </c>
      <c r="CL352" s="3">
        <f>+IF(AVANCE[[#This Row],[REVESTIMIENTO INTERIOR ZONAS HUMEDAS]]=AX$2,100%,AVANCE[[#This Row],[REVESTIMIENTO INTERIOR ZONAS HUMEDAS]])</f>
        <v>0</v>
      </c>
      <c r="CM352" s="3">
        <f>+IF(AVANCE[[#This Row],[MEMBRANA CIELO]]=AY$2,100%,AVANCE[[#This Row],[MEMBRANA CIELO]])</f>
        <v>0</v>
      </c>
      <c r="CN352" s="3">
        <f>+IF(AVANCE[[#This Row],[LIMPIEZA FINAL]]=AZ$2,100%,AVANCE[[#This Row],[LIMPIEZA FINAL]])</f>
        <v>0</v>
      </c>
      <c r="CO352" s="3">
        <f>+IF(AVANCE[[#This Row],[PUERTAS DORMITORIO]]=BA$2,100%,AVANCE[[#This Row],[PUERTAS DORMITORIO]])</f>
        <v>0</v>
      </c>
      <c r="CP352" s="3">
        <f>+IF(AVANCE[[#This Row],[REVESTIMIENTO INTERIOR BANO]]=BB$2,100%,AVANCE[[#This Row],[REVESTIMIENTO INTERIOR BANO]])</f>
        <v>0</v>
      </c>
      <c r="CQ352" s="3">
        <f>+IF(AVANCE[[#This Row],[MUEBLE LAVAPLATOS]]=BC$2,100%,AVANCE[[#This Row],[MUEBLE LAVAPLATOS]])</f>
        <v>0</v>
      </c>
      <c r="CR352" s="3">
        <f>+IF(AVANCE[[#This Row],[IMPERMEABILIZACION BANO - COCINA LOGIA]]=BD$2,100%,AVANCE[[#This Row],[IMPERMEABILIZACION BANO - COCINA LOGIA]])</f>
        <v>0</v>
      </c>
      <c r="CS352" s="40">
        <f ca="1">+IF(AVANCE[[#This Row],[ESTADO MODULO]]="PENDIENTE",(TODAY()-AVANCE[[#This Row],[FECHA TERMINO  PLANIFICADO]]),0)</f>
        <v>0</v>
      </c>
      <c r="CT352" s="41" t="str" cm="1">
        <f t="array" ref="CT352">_xlfn.TEXTJOIN(" | ",TRUE,IF(SUMPRODUCT((BG352:CR352&lt;1)*(PARTIDAS!$I$2:$AT$2="OBRA GRUESA"))&gt;0,"OBRA GRUESA: "&amp;_xlfn.TEXTJOIN(", ",TRUE,IF((BG352:CR352&lt;1)*(PARTIDAS!$I$2:$AT$2="OBRA GRUESA"),PARTIDAS!$I$1:$AT$1,"")),""),IF(SUMPRODUCT((BG352:CR352&lt;1)*(PARTIDAS!$I$2:$AT$2="SANITARIOS"))&gt;0,"SANITARIOS: "&amp;_xlfn.TEXTJOIN(", ",TRUE,IF((BG352:CR352&lt;1)*(PARTIDAS!$I$2:$AT$2="SANITARIOS"),PARTIDAS!$I$1:$AT$1,"")),""),IF(SUMPRODUCT((BG352:CR352&lt;1)*(PARTIDAS!$I$2:$AT$2="ELÉCTRICO"))&gt;0,"ELÉCTRICO: "&amp;_xlfn.TEXTJOIN(", ",TRUE,IF((BG352:CR352&lt;1)*(PARTIDAS!$I$2:$AT$2="ELÉCTRICO"),PARTIDAS!$I$1:$AT$1,"")),""),IF(SUMPRODUCT((BG352:CR352&lt;1)*(PARTIDAS!$I$2:$AT$2="TERMINACIONES"))&gt;0,"TERMINACIONES: "&amp;_xlfn.TEXTJOIN(", ",TRUE,IF((BG352:CR352&lt;1)*(PARTIDAS!$I$2:$AT$2="TERMINACIONES"),PARTIDAS!$I$1:$AT$1,"")),""))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2" s="43" t="str" cm="1">
        <f t="array" ref="CU352">_xlfn.TEXTJOIN(", ",TRUE,IF(SUMPRODUCT((BG352:CR352&lt;1)*(PARTIDAS!$I$2:$AT$2="OBRA GRUESA"))&gt;0,"OBRA GRUESA",""),IF(SUMPRODUCT((BG352:CR352&lt;1)*(PARTIDAS!$I$2:$AT$2="SANITARIOS"))&gt;0,"SANITARIOS",""),IF(SUMPRODUCT((BG352:CR352&lt;1)*(PARTIDAS!$I$2:$AT$2="ELÉCTRICO"))&gt;0,"ELÉCTRICO",""),IF(SUMPRODUCT((BG352:CR352&lt;1)*(PARTIDAS!$I$2:$AT$2="TERMINACIONES"))&gt;0,"TERMINACIONES",""))</f>
        <v>OBRA GRUESA, SANITARIOS, ELÉCTRICO, TERMINACIONES</v>
      </c>
      <c r="CV352" s="44" cm="1">
        <f t="array" ref="CV352">SUMPRODUCT(--(BG352:CR352&lt;1))</f>
        <v>38</v>
      </c>
    </row>
    <row r="353" spans="1:100" hidden="1" x14ac:dyDescent="0.25">
      <c r="A353" t="s">
        <v>388</v>
      </c>
      <c r="B353" t="s">
        <v>420</v>
      </c>
      <c r="C353">
        <v>2282600352</v>
      </c>
      <c r="D353" t="s">
        <v>58</v>
      </c>
      <c r="E353" s="2">
        <v>0</v>
      </c>
      <c r="F353" s="1">
        <v>46316</v>
      </c>
      <c r="G353" s="1"/>
      <c r="H353" s="1">
        <v>0</v>
      </c>
      <c r="I353" s="1">
        <v>46336</v>
      </c>
      <c r="J353">
        <v>46230</v>
      </c>
      <c r="K353" s="1"/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>
        <v>28.87</v>
      </c>
      <c r="BF353" s="3" t="str">
        <f>+IF(AVANCE[[#This Row],[% AVANCE]]=100%,"MODULO TERMINADO",IF(AVANCE[[#This Row],[FECHA INICIO REAL]]="","MODULO NO INICIADO","PENDIENTE"))</f>
        <v>MODULO NO INICIADO</v>
      </c>
      <c r="BG353" s="3">
        <f>+IF(AVANCE[[#This Row],[VENTANAS]]=8.10810810810811%,100%,AVANCE[[#This Row],[VENTANAS]])</f>
        <v>0</v>
      </c>
      <c r="BH353" s="3">
        <f>+IF(AVANCE[[#This Row],[PISO]]=N$2,100%,AVANCE[[#This Row],[PISO]])</f>
        <v>0</v>
      </c>
      <c r="BI353" s="3">
        <f>+IF(AVANCE[[#This Row],[TABIQUES]]=O$2,100%,AVANCE[[#This Row],[TABIQUES]])</f>
        <v>0</v>
      </c>
      <c r="BJ353" s="3">
        <f>+IF(AVANCE[[#This Row],[MUROS]]=P$2,100%,AVANCE[[#This Row],[MUROS]])</f>
        <v>0</v>
      </c>
      <c r="BK353" s="3">
        <f>+IF(AVANCE[[#This Row],[CIELO]]=Q$2,100%,AVANCE[[#This Row],[CIELO]])</f>
        <v>0</v>
      </c>
      <c r="BL353" s="3">
        <f>+IF(AVANCE[[#This Row],[BALCÓN]]=R$2,100%,AVANCE[[#This Row],[BALCÓN]])</f>
        <v>0</v>
      </c>
      <c r="BM353" s="3">
        <f>+IF(AVANCE[[#This Row],[RED ALCANTARILLADO]]=U$2,100%,AVANCE[[#This Row],[RED ALCANTARILLADO]])</f>
        <v>0</v>
      </c>
      <c r="BN353" s="3">
        <f>+IF(AVANCE[[#This Row],[RED DE AGUA]]=V$2,100%,AVANCE[[#This Row],[RED DE AGUA]])</f>
        <v>0</v>
      </c>
      <c r="BO353" s="3">
        <f>+IF(AVANCE[[#This Row],[VENTILACIONES]]=W$2,100%,AVANCE[[#This Row],[VENTILACIONES]])</f>
        <v>0</v>
      </c>
      <c r="BP353" s="3">
        <f>+IF(AVANCE[[#This Row],[TINA]]=X$2,100%,AVANCE[[#This Row],[TINA]])</f>
        <v>0</v>
      </c>
      <c r="BQ353" s="3">
        <f>+IF(AVANCE[[#This Row],[WC]]=Y$2,100%,AVANCE[[#This Row],[WC]])</f>
        <v>0</v>
      </c>
      <c r="BR353" s="3">
        <f>+IF(AVANCE[[#This Row],[LAVAMANOS / LAVAPLATOS / LAVADERO]]=Z$2,100%,AVANCE[[#This Row],[LAVAMANOS / LAVAPLATOS / LAVADERO]])</f>
        <v>0</v>
      </c>
      <c r="BS353" s="3">
        <f>+IF(AVANCE[[#This Row],[CANALIZACIÓN]]=AC$2,100%,AVANCE[[#This Row],[CANALIZACIÓN]])</f>
        <v>0</v>
      </c>
      <c r="BT353" s="3">
        <f>+IF(AVANCE[[#This Row],[CABLEADO]]=AD$2,100%,AVANCE[[#This Row],[CABLEADO]])</f>
        <v>0</v>
      </c>
      <c r="BU353" s="3">
        <f>+IF(AVANCE[[#This Row],[ARTEFACTOS]]=AE$2,100%,AVANCE[[#This Row],[ARTEFACTOS]])</f>
        <v>0</v>
      </c>
      <c r="BV353" s="3">
        <f>+IF(AVANCE[[#This Row],[TABLERO]]=AF$2,100%,AVANCE[[#This Row],[TABLERO]])</f>
        <v>0</v>
      </c>
      <c r="BW353" s="3">
        <f>+IF(AVANCE[[#This Row],[CAJA PAU]]=AG$2,100%,AVANCE[[#This Row],[CAJA PAU]])</f>
        <v>0</v>
      </c>
      <c r="BX353" s="3">
        <f>+IF(AVANCE[[#This Row],[INSTALACION VINILICO]]=AJ$2,100%,AVANCE[[#This Row],[INSTALACION VINILICO]])</f>
        <v>0</v>
      </c>
      <c r="BY353" s="3">
        <f>+IF(AVANCE[[#This Row],[OSB CUBIERTA]]=AK$2,100%,AVANCE[[#This Row],[OSB CUBIERTA]])</f>
        <v>0</v>
      </c>
      <c r="BZ353" s="3">
        <f>+IF(AVANCE[[#This Row],[BARANDA BALCON]]=AL$2,100%,AVANCE[[#This Row],[BARANDA BALCON]])</f>
        <v>0</v>
      </c>
      <c r="CA353" s="3">
        <f>+IF(AVANCE[[#This Row],[OSB EXTERIOR]]=AM$2,100%,AVANCE[[#This Row],[OSB EXTERIOR]])</f>
        <v>0</v>
      </c>
      <c r="CB353" s="3">
        <f>+IF(AVANCE[[#This Row],[SMART PANEL]]=AN$2,100%,AVANCE[[#This Row],[SMART PANEL]])</f>
        <v>0</v>
      </c>
      <c r="CC353" s="3">
        <f>+IF(AVANCE[[#This Row],[PINTURA EXTERIOR]]=AO$2,100%,AVANCE[[#This Row],[PINTURA EXTERIOR]])</f>
        <v>0</v>
      </c>
      <c r="CD353" s="3">
        <f>+IF(AVANCE[[#This Row],[ZOCALOS LOGIA]]=AP$2,100%,AVANCE[[#This Row],[ZOCALOS LOGIA]])</f>
        <v>0</v>
      </c>
      <c r="CE353" s="3">
        <f>+IF(AVANCE[[#This Row],[MOLDURAS]]=AQ$2,100%,AVANCE[[#This Row],[MOLDURAS]])</f>
        <v>0</v>
      </c>
      <c r="CF353" s="3">
        <f>+IF(AVANCE[[#This Row],[PILASTREO]]=AR$2,100%,AVANCE[[#This Row],[PILASTREO]])</f>
        <v>0</v>
      </c>
      <c r="CG353" s="3">
        <f>+IF(AVANCE[[#This Row],[CELOSIAS]]=AS$2,100%,AVANCE[[#This Row],[CELOSIAS]])</f>
        <v>0</v>
      </c>
      <c r="CH353" s="3">
        <f>+IF(AVANCE[[#This Row],[VENTANAS]]=AT$2,100%,AVANCE[[#This Row],[VENTANAS]])</f>
        <v>0</v>
      </c>
      <c r="CI353" s="3">
        <f>+IF(AVANCE[[#This Row],[PUERTAS ACCESO - LOGIA - BANO]]=AU$2,100%,AVANCE[[#This Row],[PUERTAS ACCESO - LOGIA - BANO]])</f>
        <v>0</v>
      </c>
      <c r="CJ353" s="3">
        <f>+IF(AVANCE[[#This Row],[CERRADURAS]]=AV$2,100%,AVANCE[[#This Row],[CERRADURAS]])</f>
        <v>0</v>
      </c>
      <c r="CK353" s="3">
        <f>+IF(AVANCE[[#This Row],[REVESTIMIENTO INTERIOR ZONA SECA]]=AW$2,100%,AVANCE[[#This Row],[REVESTIMIENTO INTERIOR ZONA SECA]])</f>
        <v>0</v>
      </c>
      <c r="CL353" s="3">
        <f>+IF(AVANCE[[#This Row],[REVESTIMIENTO INTERIOR ZONAS HUMEDAS]]=AX$2,100%,AVANCE[[#This Row],[REVESTIMIENTO INTERIOR ZONAS HUMEDAS]])</f>
        <v>0</v>
      </c>
      <c r="CM353" s="3">
        <f>+IF(AVANCE[[#This Row],[MEMBRANA CIELO]]=AY$2,100%,AVANCE[[#This Row],[MEMBRANA CIELO]])</f>
        <v>0</v>
      </c>
      <c r="CN353" s="3">
        <f>+IF(AVANCE[[#This Row],[LIMPIEZA FINAL]]=AZ$2,100%,AVANCE[[#This Row],[LIMPIEZA FINAL]])</f>
        <v>0</v>
      </c>
      <c r="CO353" s="3">
        <f>+IF(AVANCE[[#This Row],[PUERTAS DORMITORIO]]=BA$2,100%,AVANCE[[#This Row],[PUERTAS DORMITORIO]])</f>
        <v>0</v>
      </c>
      <c r="CP353" s="3">
        <f>+IF(AVANCE[[#This Row],[REVESTIMIENTO INTERIOR BANO]]=BB$2,100%,AVANCE[[#This Row],[REVESTIMIENTO INTERIOR BANO]])</f>
        <v>0</v>
      </c>
      <c r="CQ353" s="3">
        <f>+IF(AVANCE[[#This Row],[MUEBLE LAVAPLATOS]]=BC$2,100%,AVANCE[[#This Row],[MUEBLE LAVAPLATOS]])</f>
        <v>0</v>
      </c>
      <c r="CR353" s="3">
        <f>+IF(AVANCE[[#This Row],[IMPERMEABILIZACION BANO - COCINA LOGIA]]=BD$2,100%,AVANCE[[#This Row],[IMPERMEABILIZACION BANO - COCINA LOGIA]])</f>
        <v>0</v>
      </c>
      <c r="CS353" s="40">
        <f ca="1">+IF(AVANCE[[#This Row],[ESTADO MODULO]]="PENDIENTE",(TODAY()-AVANCE[[#This Row],[FECHA TERMINO  PLANIFICADO]]),0)</f>
        <v>0</v>
      </c>
      <c r="CT353" s="41" t="str" cm="1">
        <f t="array" ref="CT353">_xlfn.TEXTJOIN(" | ",TRUE,IF(SUMPRODUCT((BG353:CR353&lt;1)*(PARTIDAS!$I$2:$AT$2="OBRA GRUESA"))&gt;0,"OBRA GRUESA: "&amp;_xlfn.TEXTJOIN(", ",TRUE,IF((BG353:CR353&lt;1)*(PARTIDAS!$I$2:$AT$2="OBRA GRUESA"),PARTIDAS!$I$1:$AT$1,"")),""),IF(SUMPRODUCT((BG353:CR353&lt;1)*(PARTIDAS!$I$2:$AT$2="SANITARIOS"))&gt;0,"SANITARIOS: "&amp;_xlfn.TEXTJOIN(", ",TRUE,IF((BG353:CR353&lt;1)*(PARTIDAS!$I$2:$AT$2="SANITARIOS"),PARTIDAS!$I$1:$AT$1,"")),""),IF(SUMPRODUCT((BG353:CR353&lt;1)*(PARTIDAS!$I$2:$AT$2="ELÉCTRICO"))&gt;0,"ELÉCTRICO: "&amp;_xlfn.TEXTJOIN(", ",TRUE,IF((BG353:CR353&lt;1)*(PARTIDAS!$I$2:$AT$2="ELÉCTRICO"),PARTIDAS!$I$1:$AT$1,"")),""),IF(SUMPRODUCT((BG353:CR353&lt;1)*(PARTIDAS!$I$2:$AT$2="TERMINACIONES"))&gt;0,"TERMINACIONES: "&amp;_xlfn.TEXTJOIN(", ",TRUE,IF((BG353:CR353&lt;1)*(PARTIDAS!$I$2:$AT$2="TERMINACIONES"),PARTIDAS!$I$1:$AT$1,"")),""))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3" s="43" t="str" cm="1">
        <f t="array" ref="CU353">_xlfn.TEXTJOIN(", ",TRUE,IF(SUMPRODUCT((BG353:CR353&lt;1)*(PARTIDAS!$I$2:$AT$2="OBRA GRUESA"))&gt;0,"OBRA GRUESA",""),IF(SUMPRODUCT((BG353:CR353&lt;1)*(PARTIDAS!$I$2:$AT$2="SANITARIOS"))&gt;0,"SANITARIOS",""),IF(SUMPRODUCT((BG353:CR353&lt;1)*(PARTIDAS!$I$2:$AT$2="ELÉCTRICO"))&gt;0,"ELÉCTRICO",""),IF(SUMPRODUCT((BG353:CR353&lt;1)*(PARTIDAS!$I$2:$AT$2="TERMINACIONES"))&gt;0,"TERMINACIONES",""))</f>
        <v>OBRA GRUESA, SANITARIOS, ELÉCTRICO, TERMINACIONES</v>
      </c>
      <c r="CV353" s="44" cm="1">
        <f t="array" ref="CV353">SUMPRODUCT(--(BG353:CR353&lt;1))</f>
        <v>38</v>
      </c>
    </row>
    <row r="354" spans="1:100" hidden="1" x14ac:dyDescent="0.25">
      <c r="A354" t="s">
        <v>421</v>
      </c>
      <c r="B354" t="s">
        <v>422</v>
      </c>
      <c r="C354">
        <v>2282600353</v>
      </c>
      <c r="D354" t="s">
        <v>58</v>
      </c>
      <c r="E354" s="2">
        <v>0</v>
      </c>
      <c r="F354" s="1">
        <v>46317</v>
      </c>
      <c r="G354" s="1"/>
      <c r="H354" s="1">
        <v>0</v>
      </c>
      <c r="I354" s="1">
        <v>46337</v>
      </c>
      <c r="J354">
        <v>46230</v>
      </c>
      <c r="K354" s="1"/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>
        <v>28.87</v>
      </c>
      <c r="BF354" s="3" t="str">
        <f>+IF(AVANCE[[#This Row],[% AVANCE]]=100%,"MODULO TERMINADO",IF(AVANCE[[#This Row],[FECHA INICIO REAL]]="","MODULO NO INICIADO","PENDIENTE"))</f>
        <v>MODULO NO INICIADO</v>
      </c>
      <c r="BG354" s="3">
        <f>+IF(AVANCE[[#This Row],[VENTANAS]]=8.10810810810811%,100%,AVANCE[[#This Row],[VENTANAS]])</f>
        <v>0</v>
      </c>
      <c r="BH354" s="3">
        <f>+IF(AVANCE[[#This Row],[PISO]]=N$2,100%,AVANCE[[#This Row],[PISO]])</f>
        <v>0</v>
      </c>
      <c r="BI354" s="3">
        <f>+IF(AVANCE[[#This Row],[TABIQUES]]=O$2,100%,AVANCE[[#This Row],[TABIQUES]])</f>
        <v>0</v>
      </c>
      <c r="BJ354" s="3">
        <f>+IF(AVANCE[[#This Row],[MUROS]]=P$2,100%,AVANCE[[#This Row],[MUROS]])</f>
        <v>0</v>
      </c>
      <c r="BK354" s="3">
        <f>+IF(AVANCE[[#This Row],[CIELO]]=Q$2,100%,AVANCE[[#This Row],[CIELO]])</f>
        <v>0</v>
      </c>
      <c r="BL354" s="3">
        <f>+IF(AVANCE[[#This Row],[BALCÓN]]=R$2,100%,AVANCE[[#This Row],[BALCÓN]])</f>
        <v>0</v>
      </c>
      <c r="BM354" s="3">
        <f>+IF(AVANCE[[#This Row],[RED ALCANTARILLADO]]=U$2,100%,AVANCE[[#This Row],[RED ALCANTARILLADO]])</f>
        <v>0</v>
      </c>
      <c r="BN354" s="3">
        <f>+IF(AVANCE[[#This Row],[RED DE AGUA]]=V$2,100%,AVANCE[[#This Row],[RED DE AGUA]])</f>
        <v>0</v>
      </c>
      <c r="BO354" s="3">
        <f>+IF(AVANCE[[#This Row],[VENTILACIONES]]=W$2,100%,AVANCE[[#This Row],[VENTILACIONES]])</f>
        <v>0</v>
      </c>
      <c r="BP354" s="3">
        <f>+IF(AVANCE[[#This Row],[TINA]]=X$2,100%,AVANCE[[#This Row],[TINA]])</f>
        <v>0</v>
      </c>
      <c r="BQ354" s="3">
        <f>+IF(AVANCE[[#This Row],[WC]]=Y$2,100%,AVANCE[[#This Row],[WC]])</f>
        <v>0</v>
      </c>
      <c r="BR354" s="3">
        <f>+IF(AVANCE[[#This Row],[LAVAMANOS / LAVAPLATOS / LAVADERO]]=Z$2,100%,AVANCE[[#This Row],[LAVAMANOS / LAVAPLATOS / LAVADERO]])</f>
        <v>0</v>
      </c>
      <c r="BS354" s="3">
        <f>+IF(AVANCE[[#This Row],[CANALIZACIÓN]]=AC$2,100%,AVANCE[[#This Row],[CANALIZACIÓN]])</f>
        <v>0</v>
      </c>
      <c r="BT354" s="3">
        <f>+IF(AVANCE[[#This Row],[CABLEADO]]=AD$2,100%,AVANCE[[#This Row],[CABLEADO]])</f>
        <v>0</v>
      </c>
      <c r="BU354" s="3">
        <f>+IF(AVANCE[[#This Row],[ARTEFACTOS]]=AE$2,100%,AVANCE[[#This Row],[ARTEFACTOS]])</f>
        <v>0</v>
      </c>
      <c r="BV354" s="3">
        <f>+IF(AVANCE[[#This Row],[TABLERO]]=AF$2,100%,AVANCE[[#This Row],[TABLERO]])</f>
        <v>0</v>
      </c>
      <c r="BW354" s="3">
        <f>+IF(AVANCE[[#This Row],[CAJA PAU]]=AG$2,100%,AVANCE[[#This Row],[CAJA PAU]])</f>
        <v>0</v>
      </c>
      <c r="BX354" s="3">
        <f>+IF(AVANCE[[#This Row],[INSTALACION VINILICO]]=AJ$2,100%,AVANCE[[#This Row],[INSTALACION VINILICO]])</f>
        <v>0</v>
      </c>
      <c r="BY354" s="3">
        <f>+IF(AVANCE[[#This Row],[OSB CUBIERTA]]=AK$2,100%,AVANCE[[#This Row],[OSB CUBIERTA]])</f>
        <v>0</v>
      </c>
      <c r="BZ354" s="3">
        <f>+IF(AVANCE[[#This Row],[BARANDA BALCON]]=AL$2,100%,AVANCE[[#This Row],[BARANDA BALCON]])</f>
        <v>0</v>
      </c>
      <c r="CA354" s="3">
        <f>+IF(AVANCE[[#This Row],[OSB EXTERIOR]]=AM$2,100%,AVANCE[[#This Row],[OSB EXTERIOR]])</f>
        <v>0</v>
      </c>
      <c r="CB354" s="3">
        <f>+IF(AVANCE[[#This Row],[SMART PANEL]]=AN$2,100%,AVANCE[[#This Row],[SMART PANEL]])</f>
        <v>0</v>
      </c>
      <c r="CC354" s="3">
        <f>+IF(AVANCE[[#This Row],[PINTURA EXTERIOR]]=AO$2,100%,AVANCE[[#This Row],[PINTURA EXTERIOR]])</f>
        <v>0</v>
      </c>
      <c r="CD354" s="3">
        <f>+IF(AVANCE[[#This Row],[ZOCALOS LOGIA]]=AP$2,100%,AVANCE[[#This Row],[ZOCALOS LOGIA]])</f>
        <v>0</v>
      </c>
      <c r="CE354" s="3">
        <f>+IF(AVANCE[[#This Row],[MOLDURAS]]=AQ$2,100%,AVANCE[[#This Row],[MOLDURAS]])</f>
        <v>0</v>
      </c>
      <c r="CF354" s="3">
        <f>+IF(AVANCE[[#This Row],[PILASTREO]]=AR$2,100%,AVANCE[[#This Row],[PILASTREO]])</f>
        <v>0</v>
      </c>
      <c r="CG354" s="3">
        <f>+IF(AVANCE[[#This Row],[CELOSIAS]]=AS$2,100%,AVANCE[[#This Row],[CELOSIAS]])</f>
        <v>0</v>
      </c>
      <c r="CH354" s="3">
        <f>+IF(AVANCE[[#This Row],[VENTANAS]]=AT$2,100%,AVANCE[[#This Row],[VENTANAS]])</f>
        <v>0</v>
      </c>
      <c r="CI354" s="3">
        <f>+IF(AVANCE[[#This Row],[PUERTAS ACCESO - LOGIA - BANO]]=AU$2,100%,AVANCE[[#This Row],[PUERTAS ACCESO - LOGIA - BANO]])</f>
        <v>0</v>
      </c>
      <c r="CJ354" s="3">
        <f>+IF(AVANCE[[#This Row],[CERRADURAS]]=AV$2,100%,AVANCE[[#This Row],[CERRADURAS]])</f>
        <v>0</v>
      </c>
      <c r="CK354" s="3">
        <f>+IF(AVANCE[[#This Row],[REVESTIMIENTO INTERIOR ZONA SECA]]=AW$2,100%,AVANCE[[#This Row],[REVESTIMIENTO INTERIOR ZONA SECA]])</f>
        <v>0</v>
      </c>
      <c r="CL354" s="3">
        <f>+IF(AVANCE[[#This Row],[REVESTIMIENTO INTERIOR ZONAS HUMEDAS]]=AX$2,100%,AVANCE[[#This Row],[REVESTIMIENTO INTERIOR ZONAS HUMEDAS]])</f>
        <v>0</v>
      </c>
      <c r="CM354" s="3">
        <f>+IF(AVANCE[[#This Row],[MEMBRANA CIELO]]=AY$2,100%,AVANCE[[#This Row],[MEMBRANA CIELO]])</f>
        <v>0</v>
      </c>
      <c r="CN354" s="3">
        <f>+IF(AVANCE[[#This Row],[LIMPIEZA FINAL]]=AZ$2,100%,AVANCE[[#This Row],[LIMPIEZA FINAL]])</f>
        <v>0</v>
      </c>
      <c r="CO354" s="3">
        <f>+IF(AVANCE[[#This Row],[PUERTAS DORMITORIO]]=BA$2,100%,AVANCE[[#This Row],[PUERTAS DORMITORIO]])</f>
        <v>0</v>
      </c>
      <c r="CP354" s="3">
        <f>+IF(AVANCE[[#This Row],[REVESTIMIENTO INTERIOR BANO]]=BB$2,100%,AVANCE[[#This Row],[REVESTIMIENTO INTERIOR BANO]])</f>
        <v>0</v>
      </c>
      <c r="CQ354" s="3">
        <f>+IF(AVANCE[[#This Row],[MUEBLE LAVAPLATOS]]=BC$2,100%,AVANCE[[#This Row],[MUEBLE LAVAPLATOS]])</f>
        <v>0</v>
      </c>
      <c r="CR354" s="3">
        <f>+IF(AVANCE[[#This Row],[IMPERMEABILIZACION BANO - COCINA LOGIA]]=BD$2,100%,AVANCE[[#This Row],[IMPERMEABILIZACION BANO - COCINA LOGIA]])</f>
        <v>0</v>
      </c>
      <c r="CS354" s="40">
        <f ca="1">+IF(AVANCE[[#This Row],[ESTADO MODULO]]="PENDIENTE",(TODAY()-AVANCE[[#This Row],[FECHA TERMINO  PLANIFICADO]]),0)</f>
        <v>0</v>
      </c>
      <c r="CT354" s="41" t="str" cm="1">
        <f t="array" ref="CT354">_xlfn.TEXTJOIN(" | ",TRUE,IF(SUMPRODUCT((BG354:CR354&lt;1)*(PARTIDAS!$I$2:$AT$2="OBRA GRUESA"))&gt;0,"OBRA GRUESA: "&amp;_xlfn.TEXTJOIN(", ",TRUE,IF((BG354:CR354&lt;1)*(PARTIDAS!$I$2:$AT$2="OBRA GRUESA"),PARTIDAS!$I$1:$AT$1,"")),""),IF(SUMPRODUCT((BG354:CR354&lt;1)*(PARTIDAS!$I$2:$AT$2="SANITARIOS"))&gt;0,"SANITARIOS: "&amp;_xlfn.TEXTJOIN(", ",TRUE,IF((BG354:CR354&lt;1)*(PARTIDAS!$I$2:$AT$2="SANITARIOS"),PARTIDAS!$I$1:$AT$1,"")),""),IF(SUMPRODUCT((BG354:CR354&lt;1)*(PARTIDAS!$I$2:$AT$2="ELÉCTRICO"))&gt;0,"ELÉCTRICO: "&amp;_xlfn.TEXTJOIN(", ",TRUE,IF((BG354:CR354&lt;1)*(PARTIDAS!$I$2:$AT$2="ELÉCTRICO"),PARTIDAS!$I$1:$AT$1,"")),""),IF(SUMPRODUCT((BG354:CR354&lt;1)*(PARTIDAS!$I$2:$AT$2="TERMINACIONES"))&gt;0,"TERMINACIONES: "&amp;_xlfn.TEXTJOIN(", ",TRUE,IF((BG354:CR354&lt;1)*(PARTIDAS!$I$2:$AT$2="TERMINACIONES"),PARTIDAS!$I$1:$AT$1,"")),""))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4" s="43" t="str" cm="1">
        <f t="array" ref="CU354">_xlfn.TEXTJOIN(", ",TRUE,IF(SUMPRODUCT((BG354:CR354&lt;1)*(PARTIDAS!$I$2:$AT$2="OBRA GRUESA"))&gt;0,"OBRA GRUESA",""),IF(SUMPRODUCT((BG354:CR354&lt;1)*(PARTIDAS!$I$2:$AT$2="SANITARIOS"))&gt;0,"SANITARIOS",""),IF(SUMPRODUCT((BG354:CR354&lt;1)*(PARTIDAS!$I$2:$AT$2="ELÉCTRICO"))&gt;0,"ELÉCTRICO",""),IF(SUMPRODUCT((BG354:CR354&lt;1)*(PARTIDAS!$I$2:$AT$2="TERMINACIONES"))&gt;0,"TERMINACIONES",""))</f>
        <v>OBRA GRUESA, SANITARIOS, ELÉCTRICO, TERMINACIONES</v>
      </c>
      <c r="CV354" s="44" cm="1">
        <f t="array" ref="CV354">SUMPRODUCT(--(BG354:CR354&lt;1))</f>
        <v>38</v>
      </c>
    </row>
    <row r="355" spans="1:100" hidden="1" x14ac:dyDescent="0.25">
      <c r="A355" t="s">
        <v>421</v>
      </c>
      <c r="B355" t="s">
        <v>423</v>
      </c>
      <c r="C355">
        <v>2302600354</v>
      </c>
      <c r="D355" t="s">
        <v>60</v>
      </c>
      <c r="E355" s="2">
        <v>0</v>
      </c>
      <c r="F355" s="1">
        <v>46317</v>
      </c>
      <c r="G355" s="1"/>
      <c r="H355" s="1">
        <v>0</v>
      </c>
      <c r="I355" s="1">
        <v>46347</v>
      </c>
      <c r="J355">
        <v>46230</v>
      </c>
      <c r="K355" s="1"/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>
        <v>31.32</v>
      </c>
      <c r="BF355" s="3" t="str">
        <f>+IF(AVANCE[[#This Row],[% AVANCE]]=100%,"MODULO TERMINADO",IF(AVANCE[[#This Row],[FECHA INICIO REAL]]="","MODULO NO INICIADO","PENDIENTE"))</f>
        <v>MODULO NO INICIADO</v>
      </c>
      <c r="BG355" s="3">
        <f>+IF(AVANCE[[#This Row],[VENTANAS]]=8.10810810810811%,100%,AVANCE[[#This Row],[VENTANAS]])</f>
        <v>0</v>
      </c>
      <c r="BH355" s="3">
        <f>+IF(AVANCE[[#This Row],[PISO]]=N$2,100%,AVANCE[[#This Row],[PISO]])</f>
        <v>0</v>
      </c>
      <c r="BI355" s="3">
        <f>+IF(AVANCE[[#This Row],[TABIQUES]]=O$2,100%,AVANCE[[#This Row],[TABIQUES]])</f>
        <v>0</v>
      </c>
      <c r="BJ355" s="3">
        <f>+IF(AVANCE[[#This Row],[MUROS]]=P$2,100%,AVANCE[[#This Row],[MUROS]])</f>
        <v>0</v>
      </c>
      <c r="BK355" s="3">
        <f>+IF(AVANCE[[#This Row],[CIELO]]=Q$2,100%,AVANCE[[#This Row],[CIELO]])</f>
        <v>0</v>
      </c>
      <c r="BL355" s="3">
        <f>+IF(AVANCE[[#This Row],[BALCÓN]]=R$2,100%,AVANCE[[#This Row],[BALCÓN]])</f>
        <v>0</v>
      </c>
      <c r="BM355" s="3">
        <f>+IF(AVANCE[[#This Row],[RED ALCANTARILLADO]]=U$2,100%,AVANCE[[#This Row],[RED ALCANTARILLADO]])</f>
        <v>0</v>
      </c>
      <c r="BN355" s="3">
        <f>+IF(AVANCE[[#This Row],[RED DE AGUA]]=V$2,100%,AVANCE[[#This Row],[RED DE AGUA]])</f>
        <v>0</v>
      </c>
      <c r="BO355" s="3">
        <f>+IF(AVANCE[[#This Row],[VENTILACIONES]]=W$2,100%,AVANCE[[#This Row],[VENTILACIONES]])</f>
        <v>0</v>
      </c>
      <c r="BP355" s="3">
        <f>+IF(AVANCE[[#This Row],[TINA]]=X$2,100%,AVANCE[[#This Row],[TINA]])</f>
        <v>0</v>
      </c>
      <c r="BQ355" s="3">
        <f>+IF(AVANCE[[#This Row],[WC]]=Y$2,100%,AVANCE[[#This Row],[WC]])</f>
        <v>0</v>
      </c>
      <c r="BR355" s="3">
        <f>+IF(AVANCE[[#This Row],[LAVAMANOS / LAVAPLATOS / LAVADERO]]=Z$2,100%,AVANCE[[#This Row],[LAVAMANOS / LAVAPLATOS / LAVADERO]])</f>
        <v>0</v>
      </c>
      <c r="BS355" s="3">
        <f>+IF(AVANCE[[#This Row],[CANALIZACIÓN]]=AC$2,100%,AVANCE[[#This Row],[CANALIZACIÓN]])</f>
        <v>0</v>
      </c>
      <c r="BT355" s="3">
        <f>+IF(AVANCE[[#This Row],[CABLEADO]]=AD$2,100%,AVANCE[[#This Row],[CABLEADO]])</f>
        <v>0</v>
      </c>
      <c r="BU355" s="3">
        <f>+IF(AVANCE[[#This Row],[ARTEFACTOS]]=AE$2,100%,AVANCE[[#This Row],[ARTEFACTOS]])</f>
        <v>0</v>
      </c>
      <c r="BV355" s="3">
        <f>+IF(AVANCE[[#This Row],[TABLERO]]=AF$2,100%,AVANCE[[#This Row],[TABLERO]])</f>
        <v>0</v>
      </c>
      <c r="BW355" s="3">
        <f>+IF(AVANCE[[#This Row],[CAJA PAU]]=AG$2,100%,AVANCE[[#This Row],[CAJA PAU]])</f>
        <v>0</v>
      </c>
      <c r="BX355" s="3">
        <f>+IF(AVANCE[[#This Row],[INSTALACION VINILICO]]=AJ$2,100%,AVANCE[[#This Row],[INSTALACION VINILICO]])</f>
        <v>0</v>
      </c>
      <c r="BY355" s="3">
        <f>+IF(AVANCE[[#This Row],[OSB CUBIERTA]]=AK$2,100%,AVANCE[[#This Row],[OSB CUBIERTA]])</f>
        <v>0</v>
      </c>
      <c r="BZ355" s="3">
        <f>+IF(AVANCE[[#This Row],[BARANDA BALCON]]=AL$2,100%,AVANCE[[#This Row],[BARANDA BALCON]])</f>
        <v>0</v>
      </c>
      <c r="CA355" s="3">
        <f>+IF(AVANCE[[#This Row],[OSB EXTERIOR]]=AM$2,100%,AVANCE[[#This Row],[OSB EXTERIOR]])</f>
        <v>0</v>
      </c>
      <c r="CB355" s="3">
        <f>+IF(AVANCE[[#This Row],[SMART PANEL]]=AN$2,100%,AVANCE[[#This Row],[SMART PANEL]])</f>
        <v>0</v>
      </c>
      <c r="CC355" s="3">
        <f>+IF(AVANCE[[#This Row],[PINTURA EXTERIOR]]=AO$2,100%,AVANCE[[#This Row],[PINTURA EXTERIOR]])</f>
        <v>0</v>
      </c>
      <c r="CD355" s="3">
        <f>+IF(AVANCE[[#This Row],[ZOCALOS LOGIA]]=AP$2,100%,AVANCE[[#This Row],[ZOCALOS LOGIA]])</f>
        <v>0</v>
      </c>
      <c r="CE355" s="3">
        <f>+IF(AVANCE[[#This Row],[MOLDURAS]]=AQ$2,100%,AVANCE[[#This Row],[MOLDURAS]])</f>
        <v>0</v>
      </c>
      <c r="CF355" s="3">
        <f>+IF(AVANCE[[#This Row],[PILASTREO]]=AR$2,100%,AVANCE[[#This Row],[PILASTREO]])</f>
        <v>0</v>
      </c>
      <c r="CG355" s="3">
        <f>+IF(AVANCE[[#This Row],[CELOSIAS]]=AS$2,100%,AVANCE[[#This Row],[CELOSIAS]])</f>
        <v>0</v>
      </c>
      <c r="CH355" s="3">
        <f>+IF(AVANCE[[#This Row],[VENTANAS]]=AT$2,100%,AVANCE[[#This Row],[VENTANAS]])</f>
        <v>0</v>
      </c>
      <c r="CI355" s="3">
        <f>+IF(AVANCE[[#This Row],[PUERTAS ACCESO - LOGIA - BANO]]=AU$2,100%,AVANCE[[#This Row],[PUERTAS ACCESO - LOGIA - BANO]])</f>
        <v>0</v>
      </c>
      <c r="CJ355" s="3">
        <f>+IF(AVANCE[[#This Row],[CERRADURAS]]=AV$2,100%,AVANCE[[#This Row],[CERRADURAS]])</f>
        <v>0</v>
      </c>
      <c r="CK355" s="3">
        <f>+IF(AVANCE[[#This Row],[REVESTIMIENTO INTERIOR ZONA SECA]]=AW$2,100%,AVANCE[[#This Row],[REVESTIMIENTO INTERIOR ZONA SECA]])</f>
        <v>0</v>
      </c>
      <c r="CL355" s="3">
        <f>+IF(AVANCE[[#This Row],[REVESTIMIENTO INTERIOR ZONAS HUMEDAS]]=AX$2,100%,AVANCE[[#This Row],[REVESTIMIENTO INTERIOR ZONAS HUMEDAS]])</f>
        <v>0</v>
      </c>
      <c r="CM355" s="3">
        <f>+IF(AVANCE[[#This Row],[MEMBRANA CIELO]]=AY$2,100%,AVANCE[[#This Row],[MEMBRANA CIELO]])</f>
        <v>0</v>
      </c>
      <c r="CN355" s="3">
        <f>+IF(AVANCE[[#This Row],[LIMPIEZA FINAL]]=AZ$2,100%,AVANCE[[#This Row],[LIMPIEZA FINAL]])</f>
        <v>0</v>
      </c>
      <c r="CO355" s="3">
        <f>+IF(AVANCE[[#This Row],[PUERTAS DORMITORIO]]=BA$2,100%,AVANCE[[#This Row],[PUERTAS DORMITORIO]])</f>
        <v>0</v>
      </c>
      <c r="CP355" s="3">
        <f>+IF(AVANCE[[#This Row],[REVESTIMIENTO INTERIOR BANO]]=BB$2,100%,AVANCE[[#This Row],[REVESTIMIENTO INTERIOR BANO]])</f>
        <v>0</v>
      </c>
      <c r="CQ355" s="3">
        <f>+IF(AVANCE[[#This Row],[MUEBLE LAVAPLATOS]]=BC$2,100%,AVANCE[[#This Row],[MUEBLE LAVAPLATOS]])</f>
        <v>0</v>
      </c>
      <c r="CR355" s="3">
        <f>+IF(AVANCE[[#This Row],[IMPERMEABILIZACION BANO - COCINA LOGIA]]=BD$2,100%,AVANCE[[#This Row],[IMPERMEABILIZACION BANO - COCINA LOGIA]])</f>
        <v>0</v>
      </c>
      <c r="CS355" s="40">
        <f ca="1">+IF(AVANCE[[#This Row],[ESTADO MODULO]]="PENDIENTE",(TODAY()-AVANCE[[#This Row],[FECHA TERMINO  PLANIFICADO]]),0)</f>
        <v>0</v>
      </c>
      <c r="CT355" s="41" t="str" cm="1">
        <f t="array" ref="CT355">_xlfn.TEXTJOIN(" | ",TRUE,IF(SUMPRODUCT((BG355:CR355&lt;1)*(PARTIDAS!$I$2:$AT$2="OBRA GRUESA"))&gt;0,"OBRA GRUESA: "&amp;_xlfn.TEXTJOIN(", ",TRUE,IF((BG355:CR355&lt;1)*(PARTIDAS!$I$2:$AT$2="OBRA GRUESA"),PARTIDAS!$I$1:$AT$1,"")),""),IF(SUMPRODUCT((BG355:CR355&lt;1)*(PARTIDAS!$I$2:$AT$2="SANITARIOS"))&gt;0,"SANITARIOS: "&amp;_xlfn.TEXTJOIN(", ",TRUE,IF((BG355:CR355&lt;1)*(PARTIDAS!$I$2:$AT$2="SANITARIOS"),PARTIDAS!$I$1:$AT$1,"")),""),IF(SUMPRODUCT((BG355:CR355&lt;1)*(PARTIDAS!$I$2:$AT$2="ELÉCTRICO"))&gt;0,"ELÉCTRICO: "&amp;_xlfn.TEXTJOIN(", ",TRUE,IF((BG355:CR355&lt;1)*(PARTIDAS!$I$2:$AT$2="ELÉCTRICO"),PARTIDAS!$I$1:$AT$1,"")),""),IF(SUMPRODUCT((BG355:CR355&lt;1)*(PARTIDAS!$I$2:$AT$2="TERMINACIONES"))&gt;0,"TERMINACIONES: "&amp;_xlfn.TEXTJOIN(", ",TRUE,IF((BG355:CR355&lt;1)*(PARTIDAS!$I$2:$AT$2="TERMINACIONES"),PARTIDAS!$I$1:$AT$1,"")),""))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5" s="43" t="str" cm="1">
        <f t="array" ref="CU355">_xlfn.TEXTJOIN(", ",TRUE,IF(SUMPRODUCT((BG355:CR355&lt;1)*(PARTIDAS!$I$2:$AT$2="OBRA GRUESA"))&gt;0,"OBRA GRUESA",""),IF(SUMPRODUCT((BG355:CR355&lt;1)*(PARTIDAS!$I$2:$AT$2="SANITARIOS"))&gt;0,"SANITARIOS",""),IF(SUMPRODUCT((BG355:CR355&lt;1)*(PARTIDAS!$I$2:$AT$2="ELÉCTRICO"))&gt;0,"ELÉCTRICO",""),IF(SUMPRODUCT((BG355:CR355&lt;1)*(PARTIDAS!$I$2:$AT$2="TERMINACIONES"))&gt;0,"TERMINACIONES",""))</f>
        <v>OBRA GRUESA, SANITARIOS, ELÉCTRICO, TERMINACIONES</v>
      </c>
      <c r="CV355" s="44" cm="1">
        <f t="array" ref="CV355">SUMPRODUCT(--(BG355:CR355&lt;1))</f>
        <v>38</v>
      </c>
    </row>
    <row r="356" spans="1:100" hidden="1" x14ac:dyDescent="0.25">
      <c r="A356" t="s">
        <v>421</v>
      </c>
      <c r="B356" t="s">
        <v>424</v>
      </c>
      <c r="C356">
        <v>2302600355</v>
      </c>
      <c r="D356" t="s">
        <v>60</v>
      </c>
      <c r="E356" s="2">
        <v>0</v>
      </c>
      <c r="F356" s="1">
        <v>46317</v>
      </c>
      <c r="G356" s="1"/>
      <c r="H356" s="1">
        <v>0</v>
      </c>
      <c r="I356" s="1">
        <v>46347</v>
      </c>
      <c r="J356">
        <v>46230</v>
      </c>
      <c r="K356" s="1"/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>
        <v>31.32</v>
      </c>
      <c r="BF356" s="3" t="str">
        <f>+IF(AVANCE[[#This Row],[% AVANCE]]=100%,"MODULO TERMINADO",IF(AVANCE[[#This Row],[FECHA INICIO REAL]]="","MODULO NO INICIADO","PENDIENTE"))</f>
        <v>MODULO NO INICIADO</v>
      </c>
      <c r="BG356" s="3">
        <f>+IF(AVANCE[[#This Row],[VENTANAS]]=8.10810810810811%,100%,AVANCE[[#This Row],[VENTANAS]])</f>
        <v>0</v>
      </c>
      <c r="BH356" s="3">
        <f>+IF(AVANCE[[#This Row],[PISO]]=N$2,100%,AVANCE[[#This Row],[PISO]])</f>
        <v>0</v>
      </c>
      <c r="BI356" s="3">
        <f>+IF(AVANCE[[#This Row],[TABIQUES]]=O$2,100%,AVANCE[[#This Row],[TABIQUES]])</f>
        <v>0</v>
      </c>
      <c r="BJ356" s="3">
        <f>+IF(AVANCE[[#This Row],[MUROS]]=P$2,100%,AVANCE[[#This Row],[MUROS]])</f>
        <v>0</v>
      </c>
      <c r="BK356" s="3">
        <f>+IF(AVANCE[[#This Row],[CIELO]]=Q$2,100%,AVANCE[[#This Row],[CIELO]])</f>
        <v>0</v>
      </c>
      <c r="BL356" s="3">
        <f>+IF(AVANCE[[#This Row],[BALCÓN]]=R$2,100%,AVANCE[[#This Row],[BALCÓN]])</f>
        <v>0</v>
      </c>
      <c r="BM356" s="3">
        <f>+IF(AVANCE[[#This Row],[RED ALCANTARILLADO]]=U$2,100%,AVANCE[[#This Row],[RED ALCANTARILLADO]])</f>
        <v>0</v>
      </c>
      <c r="BN356" s="3">
        <f>+IF(AVANCE[[#This Row],[RED DE AGUA]]=V$2,100%,AVANCE[[#This Row],[RED DE AGUA]])</f>
        <v>0</v>
      </c>
      <c r="BO356" s="3">
        <f>+IF(AVANCE[[#This Row],[VENTILACIONES]]=W$2,100%,AVANCE[[#This Row],[VENTILACIONES]])</f>
        <v>0</v>
      </c>
      <c r="BP356" s="3">
        <f>+IF(AVANCE[[#This Row],[TINA]]=X$2,100%,AVANCE[[#This Row],[TINA]])</f>
        <v>0</v>
      </c>
      <c r="BQ356" s="3">
        <f>+IF(AVANCE[[#This Row],[WC]]=Y$2,100%,AVANCE[[#This Row],[WC]])</f>
        <v>0</v>
      </c>
      <c r="BR356" s="3">
        <f>+IF(AVANCE[[#This Row],[LAVAMANOS / LAVAPLATOS / LAVADERO]]=Z$2,100%,AVANCE[[#This Row],[LAVAMANOS / LAVAPLATOS / LAVADERO]])</f>
        <v>0</v>
      </c>
      <c r="BS356" s="3">
        <f>+IF(AVANCE[[#This Row],[CANALIZACIÓN]]=AC$2,100%,AVANCE[[#This Row],[CANALIZACIÓN]])</f>
        <v>0</v>
      </c>
      <c r="BT356" s="3">
        <f>+IF(AVANCE[[#This Row],[CABLEADO]]=AD$2,100%,AVANCE[[#This Row],[CABLEADO]])</f>
        <v>0</v>
      </c>
      <c r="BU356" s="3">
        <f>+IF(AVANCE[[#This Row],[ARTEFACTOS]]=AE$2,100%,AVANCE[[#This Row],[ARTEFACTOS]])</f>
        <v>0</v>
      </c>
      <c r="BV356" s="3">
        <f>+IF(AVANCE[[#This Row],[TABLERO]]=AF$2,100%,AVANCE[[#This Row],[TABLERO]])</f>
        <v>0</v>
      </c>
      <c r="BW356" s="3">
        <f>+IF(AVANCE[[#This Row],[CAJA PAU]]=AG$2,100%,AVANCE[[#This Row],[CAJA PAU]])</f>
        <v>0</v>
      </c>
      <c r="BX356" s="3">
        <f>+IF(AVANCE[[#This Row],[INSTALACION VINILICO]]=AJ$2,100%,AVANCE[[#This Row],[INSTALACION VINILICO]])</f>
        <v>0</v>
      </c>
      <c r="BY356" s="3">
        <f>+IF(AVANCE[[#This Row],[OSB CUBIERTA]]=AK$2,100%,AVANCE[[#This Row],[OSB CUBIERTA]])</f>
        <v>0</v>
      </c>
      <c r="BZ356" s="3">
        <f>+IF(AVANCE[[#This Row],[BARANDA BALCON]]=AL$2,100%,AVANCE[[#This Row],[BARANDA BALCON]])</f>
        <v>0</v>
      </c>
      <c r="CA356" s="3">
        <f>+IF(AVANCE[[#This Row],[OSB EXTERIOR]]=AM$2,100%,AVANCE[[#This Row],[OSB EXTERIOR]])</f>
        <v>0</v>
      </c>
      <c r="CB356" s="3">
        <f>+IF(AVANCE[[#This Row],[SMART PANEL]]=AN$2,100%,AVANCE[[#This Row],[SMART PANEL]])</f>
        <v>0</v>
      </c>
      <c r="CC356" s="3">
        <f>+IF(AVANCE[[#This Row],[PINTURA EXTERIOR]]=AO$2,100%,AVANCE[[#This Row],[PINTURA EXTERIOR]])</f>
        <v>0</v>
      </c>
      <c r="CD356" s="3">
        <f>+IF(AVANCE[[#This Row],[ZOCALOS LOGIA]]=AP$2,100%,AVANCE[[#This Row],[ZOCALOS LOGIA]])</f>
        <v>0</v>
      </c>
      <c r="CE356" s="3">
        <f>+IF(AVANCE[[#This Row],[MOLDURAS]]=AQ$2,100%,AVANCE[[#This Row],[MOLDURAS]])</f>
        <v>0</v>
      </c>
      <c r="CF356" s="3">
        <f>+IF(AVANCE[[#This Row],[PILASTREO]]=AR$2,100%,AVANCE[[#This Row],[PILASTREO]])</f>
        <v>0</v>
      </c>
      <c r="CG356" s="3">
        <f>+IF(AVANCE[[#This Row],[CELOSIAS]]=AS$2,100%,AVANCE[[#This Row],[CELOSIAS]])</f>
        <v>0</v>
      </c>
      <c r="CH356" s="3">
        <f>+IF(AVANCE[[#This Row],[VENTANAS]]=AT$2,100%,AVANCE[[#This Row],[VENTANAS]])</f>
        <v>0</v>
      </c>
      <c r="CI356" s="3">
        <f>+IF(AVANCE[[#This Row],[PUERTAS ACCESO - LOGIA - BANO]]=AU$2,100%,AVANCE[[#This Row],[PUERTAS ACCESO - LOGIA - BANO]])</f>
        <v>0</v>
      </c>
      <c r="CJ356" s="3">
        <f>+IF(AVANCE[[#This Row],[CERRADURAS]]=AV$2,100%,AVANCE[[#This Row],[CERRADURAS]])</f>
        <v>0</v>
      </c>
      <c r="CK356" s="3">
        <f>+IF(AVANCE[[#This Row],[REVESTIMIENTO INTERIOR ZONA SECA]]=AW$2,100%,AVANCE[[#This Row],[REVESTIMIENTO INTERIOR ZONA SECA]])</f>
        <v>0</v>
      </c>
      <c r="CL356" s="3">
        <f>+IF(AVANCE[[#This Row],[REVESTIMIENTO INTERIOR ZONAS HUMEDAS]]=AX$2,100%,AVANCE[[#This Row],[REVESTIMIENTO INTERIOR ZONAS HUMEDAS]])</f>
        <v>0</v>
      </c>
      <c r="CM356" s="3">
        <f>+IF(AVANCE[[#This Row],[MEMBRANA CIELO]]=AY$2,100%,AVANCE[[#This Row],[MEMBRANA CIELO]])</f>
        <v>0</v>
      </c>
      <c r="CN356" s="3">
        <f>+IF(AVANCE[[#This Row],[LIMPIEZA FINAL]]=AZ$2,100%,AVANCE[[#This Row],[LIMPIEZA FINAL]])</f>
        <v>0</v>
      </c>
      <c r="CO356" s="3">
        <f>+IF(AVANCE[[#This Row],[PUERTAS DORMITORIO]]=BA$2,100%,AVANCE[[#This Row],[PUERTAS DORMITORIO]])</f>
        <v>0</v>
      </c>
      <c r="CP356" s="3">
        <f>+IF(AVANCE[[#This Row],[REVESTIMIENTO INTERIOR BANO]]=BB$2,100%,AVANCE[[#This Row],[REVESTIMIENTO INTERIOR BANO]])</f>
        <v>0</v>
      </c>
      <c r="CQ356" s="3">
        <f>+IF(AVANCE[[#This Row],[MUEBLE LAVAPLATOS]]=BC$2,100%,AVANCE[[#This Row],[MUEBLE LAVAPLATOS]])</f>
        <v>0</v>
      </c>
      <c r="CR356" s="3">
        <f>+IF(AVANCE[[#This Row],[IMPERMEABILIZACION BANO - COCINA LOGIA]]=BD$2,100%,AVANCE[[#This Row],[IMPERMEABILIZACION BANO - COCINA LOGIA]])</f>
        <v>0</v>
      </c>
      <c r="CS356" s="40">
        <f ca="1">+IF(AVANCE[[#This Row],[ESTADO MODULO]]="PENDIENTE",(TODAY()-AVANCE[[#This Row],[FECHA TERMINO  PLANIFICADO]]),0)</f>
        <v>0</v>
      </c>
      <c r="CT356" s="41" t="str" cm="1">
        <f t="array" ref="CT356">_xlfn.TEXTJOIN(" | ",TRUE,IF(SUMPRODUCT((BG356:CR356&lt;1)*(PARTIDAS!$I$2:$AT$2="OBRA GRUESA"))&gt;0,"OBRA GRUESA: "&amp;_xlfn.TEXTJOIN(", ",TRUE,IF((BG356:CR356&lt;1)*(PARTIDAS!$I$2:$AT$2="OBRA GRUESA"),PARTIDAS!$I$1:$AT$1,"")),""),IF(SUMPRODUCT((BG356:CR356&lt;1)*(PARTIDAS!$I$2:$AT$2="SANITARIOS"))&gt;0,"SANITARIOS: "&amp;_xlfn.TEXTJOIN(", ",TRUE,IF((BG356:CR356&lt;1)*(PARTIDAS!$I$2:$AT$2="SANITARIOS"),PARTIDAS!$I$1:$AT$1,"")),""),IF(SUMPRODUCT((BG356:CR356&lt;1)*(PARTIDAS!$I$2:$AT$2="ELÉCTRICO"))&gt;0,"ELÉCTRICO: "&amp;_xlfn.TEXTJOIN(", ",TRUE,IF((BG356:CR356&lt;1)*(PARTIDAS!$I$2:$AT$2="ELÉCTRICO"),PARTIDAS!$I$1:$AT$1,"")),""),IF(SUMPRODUCT((BG356:CR356&lt;1)*(PARTIDAS!$I$2:$AT$2="TERMINACIONES"))&gt;0,"TERMINACIONES: "&amp;_xlfn.TEXTJOIN(", ",TRUE,IF((BG356:CR356&lt;1)*(PARTIDAS!$I$2:$AT$2="TERMINACIONES"),PARTIDAS!$I$1:$AT$1,"")),""))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6" s="43" t="str" cm="1">
        <f t="array" ref="CU356">_xlfn.TEXTJOIN(", ",TRUE,IF(SUMPRODUCT((BG356:CR356&lt;1)*(PARTIDAS!$I$2:$AT$2="OBRA GRUESA"))&gt;0,"OBRA GRUESA",""),IF(SUMPRODUCT((BG356:CR356&lt;1)*(PARTIDAS!$I$2:$AT$2="SANITARIOS"))&gt;0,"SANITARIOS",""),IF(SUMPRODUCT((BG356:CR356&lt;1)*(PARTIDAS!$I$2:$AT$2="ELÉCTRICO"))&gt;0,"ELÉCTRICO",""),IF(SUMPRODUCT((BG356:CR356&lt;1)*(PARTIDAS!$I$2:$AT$2="TERMINACIONES"))&gt;0,"TERMINACIONES",""))</f>
        <v>OBRA GRUESA, SANITARIOS, ELÉCTRICO, TERMINACIONES</v>
      </c>
      <c r="CV356" s="44" cm="1">
        <f t="array" ref="CV356">SUMPRODUCT(--(BG356:CR356&lt;1))</f>
        <v>38</v>
      </c>
    </row>
    <row r="357" spans="1:100" hidden="1" x14ac:dyDescent="0.25">
      <c r="A357" t="s">
        <v>421</v>
      </c>
      <c r="B357" t="s">
        <v>425</v>
      </c>
      <c r="C357">
        <v>2282600356</v>
      </c>
      <c r="D357" t="s">
        <v>58</v>
      </c>
      <c r="E357" s="2">
        <v>0</v>
      </c>
      <c r="F357" s="1">
        <v>46318</v>
      </c>
      <c r="G357" s="1"/>
      <c r="H357" s="1">
        <v>0</v>
      </c>
      <c r="I357" s="1">
        <v>46338</v>
      </c>
      <c r="J357">
        <v>46230</v>
      </c>
      <c r="K357" s="1"/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>
        <v>28.87</v>
      </c>
      <c r="BF357" s="3" t="str">
        <f>+IF(AVANCE[[#This Row],[% AVANCE]]=100%,"MODULO TERMINADO",IF(AVANCE[[#This Row],[FECHA INICIO REAL]]="","MODULO NO INICIADO","PENDIENTE"))</f>
        <v>MODULO NO INICIADO</v>
      </c>
      <c r="BG357" s="3">
        <f>+IF(AVANCE[[#This Row],[VENTANAS]]=8.10810810810811%,100%,AVANCE[[#This Row],[VENTANAS]])</f>
        <v>0</v>
      </c>
      <c r="BH357" s="3">
        <f>+IF(AVANCE[[#This Row],[PISO]]=N$2,100%,AVANCE[[#This Row],[PISO]])</f>
        <v>0</v>
      </c>
      <c r="BI357" s="3">
        <f>+IF(AVANCE[[#This Row],[TABIQUES]]=O$2,100%,AVANCE[[#This Row],[TABIQUES]])</f>
        <v>0</v>
      </c>
      <c r="BJ357" s="3">
        <f>+IF(AVANCE[[#This Row],[MUROS]]=P$2,100%,AVANCE[[#This Row],[MUROS]])</f>
        <v>0</v>
      </c>
      <c r="BK357" s="3">
        <f>+IF(AVANCE[[#This Row],[CIELO]]=Q$2,100%,AVANCE[[#This Row],[CIELO]])</f>
        <v>0</v>
      </c>
      <c r="BL357" s="3">
        <f>+IF(AVANCE[[#This Row],[BALCÓN]]=R$2,100%,AVANCE[[#This Row],[BALCÓN]])</f>
        <v>0</v>
      </c>
      <c r="BM357" s="3">
        <f>+IF(AVANCE[[#This Row],[RED ALCANTARILLADO]]=U$2,100%,AVANCE[[#This Row],[RED ALCANTARILLADO]])</f>
        <v>0</v>
      </c>
      <c r="BN357" s="3">
        <f>+IF(AVANCE[[#This Row],[RED DE AGUA]]=V$2,100%,AVANCE[[#This Row],[RED DE AGUA]])</f>
        <v>0</v>
      </c>
      <c r="BO357" s="3">
        <f>+IF(AVANCE[[#This Row],[VENTILACIONES]]=W$2,100%,AVANCE[[#This Row],[VENTILACIONES]])</f>
        <v>0</v>
      </c>
      <c r="BP357" s="3">
        <f>+IF(AVANCE[[#This Row],[TINA]]=X$2,100%,AVANCE[[#This Row],[TINA]])</f>
        <v>0</v>
      </c>
      <c r="BQ357" s="3">
        <f>+IF(AVANCE[[#This Row],[WC]]=Y$2,100%,AVANCE[[#This Row],[WC]])</f>
        <v>0</v>
      </c>
      <c r="BR357" s="3">
        <f>+IF(AVANCE[[#This Row],[LAVAMANOS / LAVAPLATOS / LAVADERO]]=Z$2,100%,AVANCE[[#This Row],[LAVAMANOS / LAVAPLATOS / LAVADERO]])</f>
        <v>0</v>
      </c>
      <c r="BS357" s="3">
        <f>+IF(AVANCE[[#This Row],[CANALIZACIÓN]]=AC$2,100%,AVANCE[[#This Row],[CANALIZACIÓN]])</f>
        <v>0</v>
      </c>
      <c r="BT357" s="3">
        <f>+IF(AVANCE[[#This Row],[CABLEADO]]=AD$2,100%,AVANCE[[#This Row],[CABLEADO]])</f>
        <v>0</v>
      </c>
      <c r="BU357" s="3">
        <f>+IF(AVANCE[[#This Row],[ARTEFACTOS]]=AE$2,100%,AVANCE[[#This Row],[ARTEFACTOS]])</f>
        <v>0</v>
      </c>
      <c r="BV357" s="3">
        <f>+IF(AVANCE[[#This Row],[TABLERO]]=AF$2,100%,AVANCE[[#This Row],[TABLERO]])</f>
        <v>0</v>
      </c>
      <c r="BW357" s="3">
        <f>+IF(AVANCE[[#This Row],[CAJA PAU]]=AG$2,100%,AVANCE[[#This Row],[CAJA PAU]])</f>
        <v>0</v>
      </c>
      <c r="BX357" s="3">
        <f>+IF(AVANCE[[#This Row],[INSTALACION VINILICO]]=AJ$2,100%,AVANCE[[#This Row],[INSTALACION VINILICO]])</f>
        <v>0</v>
      </c>
      <c r="BY357" s="3">
        <f>+IF(AVANCE[[#This Row],[OSB CUBIERTA]]=AK$2,100%,AVANCE[[#This Row],[OSB CUBIERTA]])</f>
        <v>0</v>
      </c>
      <c r="BZ357" s="3">
        <f>+IF(AVANCE[[#This Row],[BARANDA BALCON]]=AL$2,100%,AVANCE[[#This Row],[BARANDA BALCON]])</f>
        <v>0</v>
      </c>
      <c r="CA357" s="3">
        <f>+IF(AVANCE[[#This Row],[OSB EXTERIOR]]=AM$2,100%,AVANCE[[#This Row],[OSB EXTERIOR]])</f>
        <v>0</v>
      </c>
      <c r="CB357" s="3">
        <f>+IF(AVANCE[[#This Row],[SMART PANEL]]=AN$2,100%,AVANCE[[#This Row],[SMART PANEL]])</f>
        <v>0</v>
      </c>
      <c r="CC357" s="3">
        <f>+IF(AVANCE[[#This Row],[PINTURA EXTERIOR]]=AO$2,100%,AVANCE[[#This Row],[PINTURA EXTERIOR]])</f>
        <v>0</v>
      </c>
      <c r="CD357" s="3">
        <f>+IF(AVANCE[[#This Row],[ZOCALOS LOGIA]]=AP$2,100%,AVANCE[[#This Row],[ZOCALOS LOGIA]])</f>
        <v>0</v>
      </c>
      <c r="CE357" s="3">
        <f>+IF(AVANCE[[#This Row],[MOLDURAS]]=AQ$2,100%,AVANCE[[#This Row],[MOLDURAS]])</f>
        <v>0</v>
      </c>
      <c r="CF357" s="3">
        <f>+IF(AVANCE[[#This Row],[PILASTREO]]=AR$2,100%,AVANCE[[#This Row],[PILASTREO]])</f>
        <v>0</v>
      </c>
      <c r="CG357" s="3">
        <f>+IF(AVANCE[[#This Row],[CELOSIAS]]=AS$2,100%,AVANCE[[#This Row],[CELOSIAS]])</f>
        <v>0</v>
      </c>
      <c r="CH357" s="3">
        <f>+IF(AVANCE[[#This Row],[VENTANAS]]=AT$2,100%,AVANCE[[#This Row],[VENTANAS]])</f>
        <v>0</v>
      </c>
      <c r="CI357" s="3">
        <f>+IF(AVANCE[[#This Row],[PUERTAS ACCESO - LOGIA - BANO]]=AU$2,100%,AVANCE[[#This Row],[PUERTAS ACCESO - LOGIA - BANO]])</f>
        <v>0</v>
      </c>
      <c r="CJ357" s="3">
        <f>+IF(AVANCE[[#This Row],[CERRADURAS]]=AV$2,100%,AVANCE[[#This Row],[CERRADURAS]])</f>
        <v>0</v>
      </c>
      <c r="CK357" s="3">
        <f>+IF(AVANCE[[#This Row],[REVESTIMIENTO INTERIOR ZONA SECA]]=AW$2,100%,AVANCE[[#This Row],[REVESTIMIENTO INTERIOR ZONA SECA]])</f>
        <v>0</v>
      </c>
      <c r="CL357" s="3">
        <f>+IF(AVANCE[[#This Row],[REVESTIMIENTO INTERIOR ZONAS HUMEDAS]]=AX$2,100%,AVANCE[[#This Row],[REVESTIMIENTO INTERIOR ZONAS HUMEDAS]])</f>
        <v>0</v>
      </c>
      <c r="CM357" s="3">
        <f>+IF(AVANCE[[#This Row],[MEMBRANA CIELO]]=AY$2,100%,AVANCE[[#This Row],[MEMBRANA CIELO]])</f>
        <v>0</v>
      </c>
      <c r="CN357" s="3">
        <f>+IF(AVANCE[[#This Row],[LIMPIEZA FINAL]]=AZ$2,100%,AVANCE[[#This Row],[LIMPIEZA FINAL]])</f>
        <v>0</v>
      </c>
      <c r="CO357" s="3">
        <f>+IF(AVANCE[[#This Row],[PUERTAS DORMITORIO]]=BA$2,100%,AVANCE[[#This Row],[PUERTAS DORMITORIO]])</f>
        <v>0</v>
      </c>
      <c r="CP357" s="3">
        <f>+IF(AVANCE[[#This Row],[REVESTIMIENTO INTERIOR BANO]]=BB$2,100%,AVANCE[[#This Row],[REVESTIMIENTO INTERIOR BANO]])</f>
        <v>0</v>
      </c>
      <c r="CQ357" s="3">
        <f>+IF(AVANCE[[#This Row],[MUEBLE LAVAPLATOS]]=BC$2,100%,AVANCE[[#This Row],[MUEBLE LAVAPLATOS]])</f>
        <v>0</v>
      </c>
      <c r="CR357" s="3">
        <f>+IF(AVANCE[[#This Row],[IMPERMEABILIZACION BANO - COCINA LOGIA]]=BD$2,100%,AVANCE[[#This Row],[IMPERMEABILIZACION BANO - COCINA LOGIA]])</f>
        <v>0</v>
      </c>
      <c r="CS357" s="40">
        <f ca="1">+IF(AVANCE[[#This Row],[ESTADO MODULO]]="PENDIENTE",(TODAY()-AVANCE[[#This Row],[FECHA TERMINO  PLANIFICADO]]),0)</f>
        <v>0</v>
      </c>
      <c r="CT357" s="41" t="str" cm="1">
        <f t="array" ref="CT357">_xlfn.TEXTJOIN(" | ",TRUE,IF(SUMPRODUCT((BG357:CR357&lt;1)*(PARTIDAS!$I$2:$AT$2="OBRA GRUESA"))&gt;0,"OBRA GRUESA: "&amp;_xlfn.TEXTJOIN(", ",TRUE,IF((BG357:CR357&lt;1)*(PARTIDAS!$I$2:$AT$2="OBRA GRUESA"),PARTIDAS!$I$1:$AT$1,"")),""),IF(SUMPRODUCT((BG357:CR357&lt;1)*(PARTIDAS!$I$2:$AT$2="SANITARIOS"))&gt;0,"SANITARIOS: "&amp;_xlfn.TEXTJOIN(", ",TRUE,IF((BG357:CR357&lt;1)*(PARTIDAS!$I$2:$AT$2="SANITARIOS"),PARTIDAS!$I$1:$AT$1,"")),""),IF(SUMPRODUCT((BG357:CR357&lt;1)*(PARTIDAS!$I$2:$AT$2="ELÉCTRICO"))&gt;0,"ELÉCTRICO: "&amp;_xlfn.TEXTJOIN(", ",TRUE,IF((BG357:CR357&lt;1)*(PARTIDAS!$I$2:$AT$2="ELÉCTRICO"),PARTIDAS!$I$1:$AT$1,"")),""),IF(SUMPRODUCT((BG357:CR357&lt;1)*(PARTIDAS!$I$2:$AT$2="TERMINACIONES"))&gt;0,"TERMINACIONES: "&amp;_xlfn.TEXTJOIN(", ",TRUE,IF((BG357:CR357&lt;1)*(PARTIDAS!$I$2:$AT$2="TERMINACIONES"),PARTIDAS!$I$1:$AT$1,"")),""))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7" s="43" t="str" cm="1">
        <f t="array" ref="CU357">_xlfn.TEXTJOIN(", ",TRUE,IF(SUMPRODUCT((BG357:CR357&lt;1)*(PARTIDAS!$I$2:$AT$2="OBRA GRUESA"))&gt;0,"OBRA GRUESA",""),IF(SUMPRODUCT((BG357:CR357&lt;1)*(PARTIDAS!$I$2:$AT$2="SANITARIOS"))&gt;0,"SANITARIOS",""),IF(SUMPRODUCT((BG357:CR357&lt;1)*(PARTIDAS!$I$2:$AT$2="ELÉCTRICO"))&gt;0,"ELÉCTRICO",""),IF(SUMPRODUCT((BG357:CR357&lt;1)*(PARTIDAS!$I$2:$AT$2="TERMINACIONES"))&gt;0,"TERMINACIONES",""))</f>
        <v>OBRA GRUESA, SANITARIOS, ELÉCTRICO, TERMINACIONES</v>
      </c>
      <c r="CV357" s="44" cm="1">
        <f t="array" ref="CV357">SUMPRODUCT(--(BG357:CR357&lt;1))</f>
        <v>38</v>
      </c>
    </row>
    <row r="358" spans="1:100" hidden="1" x14ac:dyDescent="0.25">
      <c r="A358" t="s">
        <v>421</v>
      </c>
      <c r="B358" t="s">
        <v>426</v>
      </c>
      <c r="C358">
        <v>2282600357</v>
      </c>
      <c r="D358" t="s">
        <v>58</v>
      </c>
      <c r="E358" s="2">
        <v>0</v>
      </c>
      <c r="F358" s="1">
        <v>46318</v>
      </c>
      <c r="G358" s="1"/>
      <c r="H358" s="1">
        <v>0</v>
      </c>
      <c r="I358" s="1">
        <v>46338</v>
      </c>
      <c r="J358">
        <v>46230</v>
      </c>
      <c r="K358" s="1"/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>
        <v>28.87</v>
      </c>
      <c r="BF358" s="3" t="str">
        <f>+IF(AVANCE[[#This Row],[% AVANCE]]=100%,"MODULO TERMINADO",IF(AVANCE[[#This Row],[FECHA INICIO REAL]]="","MODULO NO INICIADO","PENDIENTE"))</f>
        <v>MODULO NO INICIADO</v>
      </c>
      <c r="BG358" s="3">
        <f>+IF(AVANCE[[#This Row],[VENTANAS]]=8.10810810810811%,100%,AVANCE[[#This Row],[VENTANAS]])</f>
        <v>0</v>
      </c>
      <c r="BH358" s="3">
        <f>+IF(AVANCE[[#This Row],[PISO]]=N$2,100%,AVANCE[[#This Row],[PISO]])</f>
        <v>0</v>
      </c>
      <c r="BI358" s="3">
        <f>+IF(AVANCE[[#This Row],[TABIQUES]]=O$2,100%,AVANCE[[#This Row],[TABIQUES]])</f>
        <v>0</v>
      </c>
      <c r="BJ358" s="3">
        <f>+IF(AVANCE[[#This Row],[MUROS]]=P$2,100%,AVANCE[[#This Row],[MUROS]])</f>
        <v>0</v>
      </c>
      <c r="BK358" s="3">
        <f>+IF(AVANCE[[#This Row],[CIELO]]=Q$2,100%,AVANCE[[#This Row],[CIELO]])</f>
        <v>0</v>
      </c>
      <c r="BL358" s="3">
        <f>+IF(AVANCE[[#This Row],[BALCÓN]]=R$2,100%,AVANCE[[#This Row],[BALCÓN]])</f>
        <v>0</v>
      </c>
      <c r="BM358" s="3">
        <f>+IF(AVANCE[[#This Row],[RED ALCANTARILLADO]]=U$2,100%,AVANCE[[#This Row],[RED ALCANTARILLADO]])</f>
        <v>0</v>
      </c>
      <c r="BN358" s="3">
        <f>+IF(AVANCE[[#This Row],[RED DE AGUA]]=V$2,100%,AVANCE[[#This Row],[RED DE AGUA]])</f>
        <v>0</v>
      </c>
      <c r="BO358" s="3">
        <f>+IF(AVANCE[[#This Row],[VENTILACIONES]]=W$2,100%,AVANCE[[#This Row],[VENTILACIONES]])</f>
        <v>0</v>
      </c>
      <c r="BP358" s="3">
        <f>+IF(AVANCE[[#This Row],[TINA]]=X$2,100%,AVANCE[[#This Row],[TINA]])</f>
        <v>0</v>
      </c>
      <c r="BQ358" s="3">
        <f>+IF(AVANCE[[#This Row],[WC]]=Y$2,100%,AVANCE[[#This Row],[WC]])</f>
        <v>0</v>
      </c>
      <c r="BR358" s="3">
        <f>+IF(AVANCE[[#This Row],[LAVAMANOS / LAVAPLATOS / LAVADERO]]=Z$2,100%,AVANCE[[#This Row],[LAVAMANOS / LAVAPLATOS / LAVADERO]])</f>
        <v>0</v>
      </c>
      <c r="BS358" s="3">
        <f>+IF(AVANCE[[#This Row],[CANALIZACIÓN]]=AC$2,100%,AVANCE[[#This Row],[CANALIZACIÓN]])</f>
        <v>0</v>
      </c>
      <c r="BT358" s="3">
        <f>+IF(AVANCE[[#This Row],[CABLEADO]]=AD$2,100%,AVANCE[[#This Row],[CABLEADO]])</f>
        <v>0</v>
      </c>
      <c r="BU358" s="3">
        <f>+IF(AVANCE[[#This Row],[ARTEFACTOS]]=AE$2,100%,AVANCE[[#This Row],[ARTEFACTOS]])</f>
        <v>0</v>
      </c>
      <c r="BV358" s="3">
        <f>+IF(AVANCE[[#This Row],[TABLERO]]=AF$2,100%,AVANCE[[#This Row],[TABLERO]])</f>
        <v>0</v>
      </c>
      <c r="BW358" s="3">
        <f>+IF(AVANCE[[#This Row],[CAJA PAU]]=AG$2,100%,AVANCE[[#This Row],[CAJA PAU]])</f>
        <v>0</v>
      </c>
      <c r="BX358" s="3">
        <f>+IF(AVANCE[[#This Row],[INSTALACION VINILICO]]=AJ$2,100%,AVANCE[[#This Row],[INSTALACION VINILICO]])</f>
        <v>0</v>
      </c>
      <c r="BY358" s="3">
        <f>+IF(AVANCE[[#This Row],[OSB CUBIERTA]]=AK$2,100%,AVANCE[[#This Row],[OSB CUBIERTA]])</f>
        <v>0</v>
      </c>
      <c r="BZ358" s="3">
        <f>+IF(AVANCE[[#This Row],[BARANDA BALCON]]=AL$2,100%,AVANCE[[#This Row],[BARANDA BALCON]])</f>
        <v>0</v>
      </c>
      <c r="CA358" s="3">
        <f>+IF(AVANCE[[#This Row],[OSB EXTERIOR]]=AM$2,100%,AVANCE[[#This Row],[OSB EXTERIOR]])</f>
        <v>0</v>
      </c>
      <c r="CB358" s="3">
        <f>+IF(AVANCE[[#This Row],[SMART PANEL]]=AN$2,100%,AVANCE[[#This Row],[SMART PANEL]])</f>
        <v>0</v>
      </c>
      <c r="CC358" s="3">
        <f>+IF(AVANCE[[#This Row],[PINTURA EXTERIOR]]=AO$2,100%,AVANCE[[#This Row],[PINTURA EXTERIOR]])</f>
        <v>0</v>
      </c>
      <c r="CD358" s="3">
        <f>+IF(AVANCE[[#This Row],[ZOCALOS LOGIA]]=AP$2,100%,AVANCE[[#This Row],[ZOCALOS LOGIA]])</f>
        <v>0</v>
      </c>
      <c r="CE358" s="3">
        <f>+IF(AVANCE[[#This Row],[MOLDURAS]]=AQ$2,100%,AVANCE[[#This Row],[MOLDURAS]])</f>
        <v>0</v>
      </c>
      <c r="CF358" s="3">
        <f>+IF(AVANCE[[#This Row],[PILASTREO]]=AR$2,100%,AVANCE[[#This Row],[PILASTREO]])</f>
        <v>0</v>
      </c>
      <c r="CG358" s="3">
        <f>+IF(AVANCE[[#This Row],[CELOSIAS]]=AS$2,100%,AVANCE[[#This Row],[CELOSIAS]])</f>
        <v>0</v>
      </c>
      <c r="CH358" s="3">
        <f>+IF(AVANCE[[#This Row],[VENTANAS]]=AT$2,100%,AVANCE[[#This Row],[VENTANAS]])</f>
        <v>0</v>
      </c>
      <c r="CI358" s="3">
        <f>+IF(AVANCE[[#This Row],[PUERTAS ACCESO - LOGIA - BANO]]=AU$2,100%,AVANCE[[#This Row],[PUERTAS ACCESO - LOGIA - BANO]])</f>
        <v>0</v>
      </c>
      <c r="CJ358" s="3">
        <f>+IF(AVANCE[[#This Row],[CERRADURAS]]=AV$2,100%,AVANCE[[#This Row],[CERRADURAS]])</f>
        <v>0</v>
      </c>
      <c r="CK358" s="3">
        <f>+IF(AVANCE[[#This Row],[REVESTIMIENTO INTERIOR ZONA SECA]]=AW$2,100%,AVANCE[[#This Row],[REVESTIMIENTO INTERIOR ZONA SECA]])</f>
        <v>0</v>
      </c>
      <c r="CL358" s="3">
        <f>+IF(AVANCE[[#This Row],[REVESTIMIENTO INTERIOR ZONAS HUMEDAS]]=AX$2,100%,AVANCE[[#This Row],[REVESTIMIENTO INTERIOR ZONAS HUMEDAS]])</f>
        <v>0</v>
      </c>
      <c r="CM358" s="3">
        <f>+IF(AVANCE[[#This Row],[MEMBRANA CIELO]]=AY$2,100%,AVANCE[[#This Row],[MEMBRANA CIELO]])</f>
        <v>0</v>
      </c>
      <c r="CN358" s="3">
        <f>+IF(AVANCE[[#This Row],[LIMPIEZA FINAL]]=AZ$2,100%,AVANCE[[#This Row],[LIMPIEZA FINAL]])</f>
        <v>0</v>
      </c>
      <c r="CO358" s="3">
        <f>+IF(AVANCE[[#This Row],[PUERTAS DORMITORIO]]=BA$2,100%,AVANCE[[#This Row],[PUERTAS DORMITORIO]])</f>
        <v>0</v>
      </c>
      <c r="CP358" s="3">
        <f>+IF(AVANCE[[#This Row],[REVESTIMIENTO INTERIOR BANO]]=BB$2,100%,AVANCE[[#This Row],[REVESTIMIENTO INTERIOR BANO]])</f>
        <v>0</v>
      </c>
      <c r="CQ358" s="3">
        <f>+IF(AVANCE[[#This Row],[MUEBLE LAVAPLATOS]]=BC$2,100%,AVANCE[[#This Row],[MUEBLE LAVAPLATOS]])</f>
        <v>0</v>
      </c>
      <c r="CR358" s="3">
        <f>+IF(AVANCE[[#This Row],[IMPERMEABILIZACION BANO - COCINA LOGIA]]=BD$2,100%,AVANCE[[#This Row],[IMPERMEABILIZACION BANO - COCINA LOGIA]])</f>
        <v>0</v>
      </c>
      <c r="CS358" s="40">
        <f ca="1">+IF(AVANCE[[#This Row],[ESTADO MODULO]]="PENDIENTE",(TODAY()-AVANCE[[#This Row],[FECHA TERMINO  PLANIFICADO]]),0)</f>
        <v>0</v>
      </c>
      <c r="CT358" s="41" t="str" cm="1">
        <f t="array" ref="CT358">_xlfn.TEXTJOIN(" | ",TRUE,IF(SUMPRODUCT((BG358:CR358&lt;1)*(PARTIDAS!$I$2:$AT$2="OBRA GRUESA"))&gt;0,"OBRA GRUESA: "&amp;_xlfn.TEXTJOIN(", ",TRUE,IF((BG358:CR358&lt;1)*(PARTIDAS!$I$2:$AT$2="OBRA GRUESA"),PARTIDAS!$I$1:$AT$1,"")),""),IF(SUMPRODUCT((BG358:CR358&lt;1)*(PARTIDAS!$I$2:$AT$2="SANITARIOS"))&gt;0,"SANITARIOS: "&amp;_xlfn.TEXTJOIN(", ",TRUE,IF((BG358:CR358&lt;1)*(PARTIDAS!$I$2:$AT$2="SANITARIOS"),PARTIDAS!$I$1:$AT$1,"")),""),IF(SUMPRODUCT((BG358:CR358&lt;1)*(PARTIDAS!$I$2:$AT$2="ELÉCTRICO"))&gt;0,"ELÉCTRICO: "&amp;_xlfn.TEXTJOIN(", ",TRUE,IF((BG358:CR358&lt;1)*(PARTIDAS!$I$2:$AT$2="ELÉCTRICO"),PARTIDAS!$I$1:$AT$1,"")),""),IF(SUMPRODUCT((BG358:CR358&lt;1)*(PARTIDAS!$I$2:$AT$2="TERMINACIONES"))&gt;0,"TERMINACIONES: "&amp;_xlfn.TEXTJOIN(", ",TRUE,IF((BG358:CR358&lt;1)*(PARTIDAS!$I$2:$AT$2="TERMINACIONES"),PARTIDAS!$I$1:$AT$1,"")),""))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8" s="43" t="str" cm="1">
        <f t="array" ref="CU358">_xlfn.TEXTJOIN(", ",TRUE,IF(SUMPRODUCT((BG358:CR358&lt;1)*(PARTIDAS!$I$2:$AT$2="OBRA GRUESA"))&gt;0,"OBRA GRUESA",""),IF(SUMPRODUCT((BG358:CR358&lt;1)*(PARTIDAS!$I$2:$AT$2="SANITARIOS"))&gt;0,"SANITARIOS",""),IF(SUMPRODUCT((BG358:CR358&lt;1)*(PARTIDAS!$I$2:$AT$2="ELÉCTRICO"))&gt;0,"ELÉCTRICO",""),IF(SUMPRODUCT((BG358:CR358&lt;1)*(PARTIDAS!$I$2:$AT$2="TERMINACIONES"))&gt;0,"TERMINACIONES",""))</f>
        <v>OBRA GRUESA, SANITARIOS, ELÉCTRICO, TERMINACIONES</v>
      </c>
      <c r="CV358" s="44" cm="1">
        <f t="array" ref="CV358">SUMPRODUCT(--(BG358:CR358&lt;1))</f>
        <v>38</v>
      </c>
    </row>
    <row r="359" spans="1:100" hidden="1" x14ac:dyDescent="0.25">
      <c r="A359" t="s">
        <v>421</v>
      </c>
      <c r="B359" t="s">
        <v>427</v>
      </c>
      <c r="C359">
        <v>2302600358</v>
      </c>
      <c r="D359" t="s">
        <v>60</v>
      </c>
      <c r="E359" s="2">
        <v>0</v>
      </c>
      <c r="F359" s="1">
        <v>46318</v>
      </c>
      <c r="G359" s="1"/>
      <c r="H359" s="1">
        <v>0</v>
      </c>
      <c r="I359" s="1">
        <v>46348</v>
      </c>
      <c r="J359">
        <v>46230</v>
      </c>
      <c r="K359" s="1"/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>
        <v>31.32</v>
      </c>
      <c r="BF359" s="3" t="str">
        <f>+IF(AVANCE[[#This Row],[% AVANCE]]=100%,"MODULO TERMINADO",IF(AVANCE[[#This Row],[FECHA INICIO REAL]]="","MODULO NO INICIADO","PENDIENTE"))</f>
        <v>MODULO NO INICIADO</v>
      </c>
      <c r="BG359" s="3">
        <f>+IF(AVANCE[[#This Row],[VENTANAS]]=8.10810810810811%,100%,AVANCE[[#This Row],[VENTANAS]])</f>
        <v>0</v>
      </c>
      <c r="BH359" s="3">
        <f>+IF(AVANCE[[#This Row],[PISO]]=N$2,100%,AVANCE[[#This Row],[PISO]])</f>
        <v>0</v>
      </c>
      <c r="BI359" s="3">
        <f>+IF(AVANCE[[#This Row],[TABIQUES]]=O$2,100%,AVANCE[[#This Row],[TABIQUES]])</f>
        <v>0</v>
      </c>
      <c r="BJ359" s="3">
        <f>+IF(AVANCE[[#This Row],[MUROS]]=P$2,100%,AVANCE[[#This Row],[MUROS]])</f>
        <v>0</v>
      </c>
      <c r="BK359" s="3">
        <f>+IF(AVANCE[[#This Row],[CIELO]]=Q$2,100%,AVANCE[[#This Row],[CIELO]])</f>
        <v>0</v>
      </c>
      <c r="BL359" s="3">
        <f>+IF(AVANCE[[#This Row],[BALCÓN]]=R$2,100%,AVANCE[[#This Row],[BALCÓN]])</f>
        <v>0</v>
      </c>
      <c r="BM359" s="3">
        <f>+IF(AVANCE[[#This Row],[RED ALCANTARILLADO]]=U$2,100%,AVANCE[[#This Row],[RED ALCANTARILLADO]])</f>
        <v>0</v>
      </c>
      <c r="BN359" s="3">
        <f>+IF(AVANCE[[#This Row],[RED DE AGUA]]=V$2,100%,AVANCE[[#This Row],[RED DE AGUA]])</f>
        <v>0</v>
      </c>
      <c r="BO359" s="3">
        <f>+IF(AVANCE[[#This Row],[VENTILACIONES]]=W$2,100%,AVANCE[[#This Row],[VENTILACIONES]])</f>
        <v>0</v>
      </c>
      <c r="BP359" s="3">
        <f>+IF(AVANCE[[#This Row],[TINA]]=X$2,100%,AVANCE[[#This Row],[TINA]])</f>
        <v>0</v>
      </c>
      <c r="BQ359" s="3">
        <f>+IF(AVANCE[[#This Row],[WC]]=Y$2,100%,AVANCE[[#This Row],[WC]])</f>
        <v>0</v>
      </c>
      <c r="BR359" s="3">
        <f>+IF(AVANCE[[#This Row],[LAVAMANOS / LAVAPLATOS / LAVADERO]]=Z$2,100%,AVANCE[[#This Row],[LAVAMANOS / LAVAPLATOS / LAVADERO]])</f>
        <v>0</v>
      </c>
      <c r="BS359" s="3">
        <f>+IF(AVANCE[[#This Row],[CANALIZACIÓN]]=AC$2,100%,AVANCE[[#This Row],[CANALIZACIÓN]])</f>
        <v>0</v>
      </c>
      <c r="BT359" s="3">
        <f>+IF(AVANCE[[#This Row],[CABLEADO]]=AD$2,100%,AVANCE[[#This Row],[CABLEADO]])</f>
        <v>0</v>
      </c>
      <c r="BU359" s="3">
        <f>+IF(AVANCE[[#This Row],[ARTEFACTOS]]=AE$2,100%,AVANCE[[#This Row],[ARTEFACTOS]])</f>
        <v>0</v>
      </c>
      <c r="BV359" s="3">
        <f>+IF(AVANCE[[#This Row],[TABLERO]]=AF$2,100%,AVANCE[[#This Row],[TABLERO]])</f>
        <v>0</v>
      </c>
      <c r="BW359" s="3">
        <f>+IF(AVANCE[[#This Row],[CAJA PAU]]=AG$2,100%,AVANCE[[#This Row],[CAJA PAU]])</f>
        <v>0</v>
      </c>
      <c r="BX359" s="3">
        <f>+IF(AVANCE[[#This Row],[INSTALACION VINILICO]]=AJ$2,100%,AVANCE[[#This Row],[INSTALACION VINILICO]])</f>
        <v>0</v>
      </c>
      <c r="BY359" s="3">
        <f>+IF(AVANCE[[#This Row],[OSB CUBIERTA]]=AK$2,100%,AVANCE[[#This Row],[OSB CUBIERTA]])</f>
        <v>0</v>
      </c>
      <c r="BZ359" s="3">
        <f>+IF(AVANCE[[#This Row],[BARANDA BALCON]]=AL$2,100%,AVANCE[[#This Row],[BARANDA BALCON]])</f>
        <v>0</v>
      </c>
      <c r="CA359" s="3">
        <f>+IF(AVANCE[[#This Row],[OSB EXTERIOR]]=AM$2,100%,AVANCE[[#This Row],[OSB EXTERIOR]])</f>
        <v>0</v>
      </c>
      <c r="CB359" s="3">
        <f>+IF(AVANCE[[#This Row],[SMART PANEL]]=AN$2,100%,AVANCE[[#This Row],[SMART PANEL]])</f>
        <v>0</v>
      </c>
      <c r="CC359" s="3">
        <f>+IF(AVANCE[[#This Row],[PINTURA EXTERIOR]]=AO$2,100%,AVANCE[[#This Row],[PINTURA EXTERIOR]])</f>
        <v>0</v>
      </c>
      <c r="CD359" s="3">
        <f>+IF(AVANCE[[#This Row],[ZOCALOS LOGIA]]=AP$2,100%,AVANCE[[#This Row],[ZOCALOS LOGIA]])</f>
        <v>0</v>
      </c>
      <c r="CE359" s="3">
        <f>+IF(AVANCE[[#This Row],[MOLDURAS]]=AQ$2,100%,AVANCE[[#This Row],[MOLDURAS]])</f>
        <v>0</v>
      </c>
      <c r="CF359" s="3">
        <f>+IF(AVANCE[[#This Row],[PILASTREO]]=AR$2,100%,AVANCE[[#This Row],[PILASTREO]])</f>
        <v>0</v>
      </c>
      <c r="CG359" s="3">
        <f>+IF(AVANCE[[#This Row],[CELOSIAS]]=AS$2,100%,AVANCE[[#This Row],[CELOSIAS]])</f>
        <v>0</v>
      </c>
      <c r="CH359" s="3">
        <f>+IF(AVANCE[[#This Row],[VENTANAS]]=AT$2,100%,AVANCE[[#This Row],[VENTANAS]])</f>
        <v>0</v>
      </c>
      <c r="CI359" s="3">
        <f>+IF(AVANCE[[#This Row],[PUERTAS ACCESO - LOGIA - BANO]]=AU$2,100%,AVANCE[[#This Row],[PUERTAS ACCESO - LOGIA - BANO]])</f>
        <v>0</v>
      </c>
      <c r="CJ359" s="3">
        <f>+IF(AVANCE[[#This Row],[CERRADURAS]]=AV$2,100%,AVANCE[[#This Row],[CERRADURAS]])</f>
        <v>0</v>
      </c>
      <c r="CK359" s="3">
        <f>+IF(AVANCE[[#This Row],[REVESTIMIENTO INTERIOR ZONA SECA]]=AW$2,100%,AVANCE[[#This Row],[REVESTIMIENTO INTERIOR ZONA SECA]])</f>
        <v>0</v>
      </c>
      <c r="CL359" s="3">
        <f>+IF(AVANCE[[#This Row],[REVESTIMIENTO INTERIOR ZONAS HUMEDAS]]=AX$2,100%,AVANCE[[#This Row],[REVESTIMIENTO INTERIOR ZONAS HUMEDAS]])</f>
        <v>0</v>
      </c>
      <c r="CM359" s="3">
        <f>+IF(AVANCE[[#This Row],[MEMBRANA CIELO]]=AY$2,100%,AVANCE[[#This Row],[MEMBRANA CIELO]])</f>
        <v>0</v>
      </c>
      <c r="CN359" s="3">
        <f>+IF(AVANCE[[#This Row],[LIMPIEZA FINAL]]=AZ$2,100%,AVANCE[[#This Row],[LIMPIEZA FINAL]])</f>
        <v>0</v>
      </c>
      <c r="CO359" s="3">
        <f>+IF(AVANCE[[#This Row],[PUERTAS DORMITORIO]]=BA$2,100%,AVANCE[[#This Row],[PUERTAS DORMITORIO]])</f>
        <v>0</v>
      </c>
      <c r="CP359" s="3">
        <f>+IF(AVANCE[[#This Row],[REVESTIMIENTO INTERIOR BANO]]=BB$2,100%,AVANCE[[#This Row],[REVESTIMIENTO INTERIOR BANO]])</f>
        <v>0</v>
      </c>
      <c r="CQ359" s="3">
        <f>+IF(AVANCE[[#This Row],[MUEBLE LAVAPLATOS]]=BC$2,100%,AVANCE[[#This Row],[MUEBLE LAVAPLATOS]])</f>
        <v>0</v>
      </c>
      <c r="CR359" s="3">
        <f>+IF(AVANCE[[#This Row],[IMPERMEABILIZACION BANO - COCINA LOGIA]]=BD$2,100%,AVANCE[[#This Row],[IMPERMEABILIZACION BANO - COCINA LOGIA]])</f>
        <v>0</v>
      </c>
      <c r="CS359" s="40">
        <f ca="1">+IF(AVANCE[[#This Row],[ESTADO MODULO]]="PENDIENTE",(TODAY()-AVANCE[[#This Row],[FECHA TERMINO  PLANIFICADO]]),0)</f>
        <v>0</v>
      </c>
      <c r="CT359" s="41" t="str" cm="1">
        <f t="array" ref="CT359">_xlfn.TEXTJOIN(" | ",TRUE,IF(SUMPRODUCT((BG359:CR359&lt;1)*(PARTIDAS!$I$2:$AT$2="OBRA GRUESA"))&gt;0,"OBRA GRUESA: "&amp;_xlfn.TEXTJOIN(", ",TRUE,IF((BG359:CR359&lt;1)*(PARTIDAS!$I$2:$AT$2="OBRA GRUESA"),PARTIDAS!$I$1:$AT$1,"")),""),IF(SUMPRODUCT((BG359:CR359&lt;1)*(PARTIDAS!$I$2:$AT$2="SANITARIOS"))&gt;0,"SANITARIOS: "&amp;_xlfn.TEXTJOIN(", ",TRUE,IF((BG359:CR359&lt;1)*(PARTIDAS!$I$2:$AT$2="SANITARIOS"),PARTIDAS!$I$1:$AT$1,"")),""),IF(SUMPRODUCT((BG359:CR359&lt;1)*(PARTIDAS!$I$2:$AT$2="ELÉCTRICO"))&gt;0,"ELÉCTRICO: "&amp;_xlfn.TEXTJOIN(", ",TRUE,IF((BG359:CR359&lt;1)*(PARTIDAS!$I$2:$AT$2="ELÉCTRICO"),PARTIDAS!$I$1:$AT$1,"")),""),IF(SUMPRODUCT((BG359:CR359&lt;1)*(PARTIDAS!$I$2:$AT$2="TERMINACIONES"))&gt;0,"TERMINACIONES: "&amp;_xlfn.TEXTJOIN(", ",TRUE,IF((BG359:CR359&lt;1)*(PARTIDAS!$I$2:$AT$2="TERMINACIONES"),PARTIDAS!$I$1:$AT$1,"")),""))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59" s="43" t="str" cm="1">
        <f t="array" ref="CU359">_xlfn.TEXTJOIN(", ",TRUE,IF(SUMPRODUCT((BG359:CR359&lt;1)*(PARTIDAS!$I$2:$AT$2="OBRA GRUESA"))&gt;0,"OBRA GRUESA",""),IF(SUMPRODUCT((BG359:CR359&lt;1)*(PARTIDAS!$I$2:$AT$2="SANITARIOS"))&gt;0,"SANITARIOS",""),IF(SUMPRODUCT((BG359:CR359&lt;1)*(PARTIDAS!$I$2:$AT$2="ELÉCTRICO"))&gt;0,"ELÉCTRICO",""),IF(SUMPRODUCT((BG359:CR359&lt;1)*(PARTIDAS!$I$2:$AT$2="TERMINACIONES"))&gt;0,"TERMINACIONES",""))</f>
        <v>OBRA GRUESA, SANITARIOS, ELÉCTRICO, TERMINACIONES</v>
      </c>
      <c r="CV359" s="44" cm="1">
        <f t="array" ref="CV359">SUMPRODUCT(--(BG359:CR359&lt;1))</f>
        <v>38</v>
      </c>
    </row>
    <row r="360" spans="1:100" hidden="1" x14ac:dyDescent="0.25">
      <c r="A360" t="s">
        <v>421</v>
      </c>
      <c r="B360" t="s">
        <v>428</v>
      </c>
      <c r="C360">
        <v>2302600359</v>
      </c>
      <c r="D360" t="s">
        <v>60</v>
      </c>
      <c r="E360" s="2">
        <v>0</v>
      </c>
      <c r="F360" s="1">
        <v>46321</v>
      </c>
      <c r="G360" s="1"/>
      <c r="H360" s="1">
        <v>0</v>
      </c>
      <c r="I360" s="1">
        <v>46351</v>
      </c>
      <c r="J360">
        <v>46230</v>
      </c>
      <c r="K360" s="1"/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>
        <v>31.32</v>
      </c>
      <c r="BF360" s="3" t="str">
        <f>+IF(AVANCE[[#This Row],[% AVANCE]]=100%,"MODULO TERMINADO",IF(AVANCE[[#This Row],[FECHA INICIO REAL]]="","MODULO NO INICIADO","PENDIENTE"))</f>
        <v>MODULO NO INICIADO</v>
      </c>
      <c r="BG360" s="3">
        <f>+IF(AVANCE[[#This Row],[VENTANAS]]=8.10810810810811%,100%,AVANCE[[#This Row],[VENTANAS]])</f>
        <v>0</v>
      </c>
      <c r="BH360" s="3">
        <f>+IF(AVANCE[[#This Row],[PISO]]=N$2,100%,AVANCE[[#This Row],[PISO]])</f>
        <v>0</v>
      </c>
      <c r="BI360" s="3">
        <f>+IF(AVANCE[[#This Row],[TABIQUES]]=O$2,100%,AVANCE[[#This Row],[TABIQUES]])</f>
        <v>0</v>
      </c>
      <c r="BJ360" s="3">
        <f>+IF(AVANCE[[#This Row],[MUROS]]=P$2,100%,AVANCE[[#This Row],[MUROS]])</f>
        <v>0</v>
      </c>
      <c r="BK360" s="3">
        <f>+IF(AVANCE[[#This Row],[CIELO]]=Q$2,100%,AVANCE[[#This Row],[CIELO]])</f>
        <v>0</v>
      </c>
      <c r="BL360" s="3">
        <f>+IF(AVANCE[[#This Row],[BALCÓN]]=R$2,100%,AVANCE[[#This Row],[BALCÓN]])</f>
        <v>0</v>
      </c>
      <c r="BM360" s="3">
        <f>+IF(AVANCE[[#This Row],[RED ALCANTARILLADO]]=U$2,100%,AVANCE[[#This Row],[RED ALCANTARILLADO]])</f>
        <v>0</v>
      </c>
      <c r="BN360" s="3">
        <f>+IF(AVANCE[[#This Row],[RED DE AGUA]]=V$2,100%,AVANCE[[#This Row],[RED DE AGUA]])</f>
        <v>0</v>
      </c>
      <c r="BO360" s="3">
        <f>+IF(AVANCE[[#This Row],[VENTILACIONES]]=W$2,100%,AVANCE[[#This Row],[VENTILACIONES]])</f>
        <v>0</v>
      </c>
      <c r="BP360" s="3">
        <f>+IF(AVANCE[[#This Row],[TINA]]=X$2,100%,AVANCE[[#This Row],[TINA]])</f>
        <v>0</v>
      </c>
      <c r="BQ360" s="3">
        <f>+IF(AVANCE[[#This Row],[WC]]=Y$2,100%,AVANCE[[#This Row],[WC]])</f>
        <v>0</v>
      </c>
      <c r="BR360" s="3">
        <f>+IF(AVANCE[[#This Row],[LAVAMANOS / LAVAPLATOS / LAVADERO]]=Z$2,100%,AVANCE[[#This Row],[LAVAMANOS / LAVAPLATOS / LAVADERO]])</f>
        <v>0</v>
      </c>
      <c r="BS360" s="3">
        <f>+IF(AVANCE[[#This Row],[CANALIZACIÓN]]=AC$2,100%,AVANCE[[#This Row],[CANALIZACIÓN]])</f>
        <v>0</v>
      </c>
      <c r="BT360" s="3">
        <f>+IF(AVANCE[[#This Row],[CABLEADO]]=AD$2,100%,AVANCE[[#This Row],[CABLEADO]])</f>
        <v>0</v>
      </c>
      <c r="BU360" s="3">
        <f>+IF(AVANCE[[#This Row],[ARTEFACTOS]]=AE$2,100%,AVANCE[[#This Row],[ARTEFACTOS]])</f>
        <v>0</v>
      </c>
      <c r="BV360" s="3">
        <f>+IF(AVANCE[[#This Row],[TABLERO]]=AF$2,100%,AVANCE[[#This Row],[TABLERO]])</f>
        <v>0</v>
      </c>
      <c r="BW360" s="3">
        <f>+IF(AVANCE[[#This Row],[CAJA PAU]]=AG$2,100%,AVANCE[[#This Row],[CAJA PAU]])</f>
        <v>0</v>
      </c>
      <c r="BX360" s="3">
        <f>+IF(AVANCE[[#This Row],[INSTALACION VINILICO]]=AJ$2,100%,AVANCE[[#This Row],[INSTALACION VINILICO]])</f>
        <v>0</v>
      </c>
      <c r="BY360" s="3">
        <f>+IF(AVANCE[[#This Row],[OSB CUBIERTA]]=AK$2,100%,AVANCE[[#This Row],[OSB CUBIERTA]])</f>
        <v>0</v>
      </c>
      <c r="BZ360" s="3">
        <f>+IF(AVANCE[[#This Row],[BARANDA BALCON]]=AL$2,100%,AVANCE[[#This Row],[BARANDA BALCON]])</f>
        <v>0</v>
      </c>
      <c r="CA360" s="3">
        <f>+IF(AVANCE[[#This Row],[OSB EXTERIOR]]=AM$2,100%,AVANCE[[#This Row],[OSB EXTERIOR]])</f>
        <v>0</v>
      </c>
      <c r="CB360" s="3">
        <f>+IF(AVANCE[[#This Row],[SMART PANEL]]=AN$2,100%,AVANCE[[#This Row],[SMART PANEL]])</f>
        <v>0</v>
      </c>
      <c r="CC360" s="3">
        <f>+IF(AVANCE[[#This Row],[PINTURA EXTERIOR]]=AO$2,100%,AVANCE[[#This Row],[PINTURA EXTERIOR]])</f>
        <v>0</v>
      </c>
      <c r="CD360" s="3">
        <f>+IF(AVANCE[[#This Row],[ZOCALOS LOGIA]]=AP$2,100%,AVANCE[[#This Row],[ZOCALOS LOGIA]])</f>
        <v>0</v>
      </c>
      <c r="CE360" s="3">
        <f>+IF(AVANCE[[#This Row],[MOLDURAS]]=AQ$2,100%,AVANCE[[#This Row],[MOLDURAS]])</f>
        <v>0</v>
      </c>
      <c r="CF360" s="3">
        <f>+IF(AVANCE[[#This Row],[PILASTREO]]=AR$2,100%,AVANCE[[#This Row],[PILASTREO]])</f>
        <v>0</v>
      </c>
      <c r="CG360" s="3">
        <f>+IF(AVANCE[[#This Row],[CELOSIAS]]=AS$2,100%,AVANCE[[#This Row],[CELOSIAS]])</f>
        <v>0</v>
      </c>
      <c r="CH360" s="3">
        <f>+IF(AVANCE[[#This Row],[VENTANAS]]=AT$2,100%,AVANCE[[#This Row],[VENTANAS]])</f>
        <v>0</v>
      </c>
      <c r="CI360" s="3">
        <f>+IF(AVANCE[[#This Row],[PUERTAS ACCESO - LOGIA - BANO]]=AU$2,100%,AVANCE[[#This Row],[PUERTAS ACCESO - LOGIA - BANO]])</f>
        <v>0</v>
      </c>
      <c r="CJ360" s="3">
        <f>+IF(AVANCE[[#This Row],[CERRADURAS]]=AV$2,100%,AVANCE[[#This Row],[CERRADURAS]])</f>
        <v>0</v>
      </c>
      <c r="CK360" s="3">
        <f>+IF(AVANCE[[#This Row],[REVESTIMIENTO INTERIOR ZONA SECA]]=AW$2,100%,AVANCE[[#This Row],[REVESTIMIENTO INTERIOR ZONA SECA]])</f>
        <v>0</v>
      </c>
      <c r="CL360" s="3">
        <f>+IF(AVANCE[[#This Row],[REVESTIMIENTO INTERIOR ZONAS HUMEDAS]]=AX$2,100%,AVANCE[[#This Row],[REVESTIMIENTO INTERIOR ZONAS HUMEDAS]])</f>
        <v>0</v>
      </c>
      <c r="CM360" s="3">
        <f>+IF(AVANCE[[#This Row],[MEMBRANA CIELO]]=AY$2,100%,AVANCE[[#This Row],[MEMBRANA CIELO]])</f>
        <v>0</v>
      </c>
      <c r="CN360" s="3">
        <f>+IF(AVANCE[[#This Row],[LIMPIEZA FINAL]]=AZ$2,100%,AVANCE[[#This Row],[LIMPIEZA FINAL]])</f>
        <v>0</v>
      </c>
      <c r="CO360" s="3">
        <f>+IF(AVANCE[[#This Row],[PUERTAS DORMITORIO]]=BA$2,100%,AVANCE[[#This Row],[PUERTAS DORMITORIO]])</f>
        <v>0</v>
      </c>
      <c r="CP360" s="3">
        <f>+IF(AVANCE[[#This Row],[REVESTIMIENTO INTERIOR BANO]]=BB$2,100%,AVANCE[[#This Row],[REVESTIMIENTO INTERIOR BANO]])</f>
        <v>0</v>
      </c>
      <c r="CQ360" s="3">
        <f>+IF(AVANCE[[#This Row],[MUEBLE LAVAPLATOS]]=BC$2,100%,AVANCE[[#This Row],[MUEBLE LAVAPLATOS]])</f>
        <v>0</v>
      </c>
      <c r="CR360" s="3">
        <f>+IF(AVANCE[[#This Row],[IMPERMEABILIZACION BANO - COCINA LOGIA]]=BD$2,100%,AVANCE[[#This Row],[IMPERMEABILIZACION BANO - COCINA LOGIA]])</f>
        <v>0</v>
      </c>
      <c r="CS360" s="40">
        <f ca="1">+IF(AVANCE[[#This Row],[ESTADO MODULO]]="PENDIENTE",(TODAY()-AVANCE[[#This Row],[FECHA TERMINO  PLANIFICADO]]),0)</f>
        <v>0</v>
      </c>
      <c r="CT360" s="41" t="str" cm="1">
        <f t="array" ref="CT360">_xlfn.TEXTJOIN(" | ",TRUE,IF(SUMPRODUCT((BG360:CR360&lt;1)*(PARTIDAS!$I$2:$AT$2="OBRA GRUESA"))&gt;0,"OBRA GRUESA: "&amp;_xlfn.TEXTJOIN(", ",TRUE,IF((BG360:CR360&lt;1)*(PARTIDAS!$I$2:$AT$2="OBRA GRUESA"),PARTIDAS!$I$1:$AT$1,"")),""),IF(SUMPRODUCT((BG360:CR360&lt;1)*(PARTIDAS!$I$2:$AT$2="SANITARIOS"))&gt;0,"SANITARIOS: "&amp;_xlfn.TEXTJOIN(", ",TRUE,IF((BG360:CR360&lt;1)*(PARTIDAS!$I$2:$AT$2="SANITARIOS"),PARTIDAS!$I$1:$AT$1,"")),""),IF(SUMPRODUCT((BG360:CR360&lt;1)*(PARTIDAS!$I$2:$AT$2="ELÉCTRICO"))&gt;0,"ELÉCTRICO: "&amp;_xlfn.TEXTJOIN(", ",TRUE,IF((BG360:CR360&lt;1)*(PARTIDAS!$I$2:$AT$2="ELÉCTRICO"),PARTIDAS!$I$1:$AT$1,"")),""),IF(SUMPRODUCT((BG360:CR360&lt;1)*(PARTIDAS!$I$2:$AT$2="TERMINACIONES"))&gt;0,"TERMINACIONES: "&amp;_xlfn.TEXTJOIN(", ",TRUE,IF((BG360:CR360&lt;1)*(PARTIDAS!$I$2:$AT$2="TERMINACIONES"),PARTIDAS!$I$1:$AT$1,"")),""))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0" s="43" t="str" cm="1">
        <f t="array" ref="CU360">_xlfn.TEXTJOIN(", ",TRUE,IF(SUMPRODUCT((BG360:CR360&lt;1)*(PARTIDAS!$I$2:$AT$2="OBRA GRUESA"))&gt;0,"OBRA GRUESA",""),IF(SUMPRODUCT((BG360:CR360&lt;1)*(PARTIDAS!$I$2:$AT$2="SANITARIOS"))&gt;0,"SANITARIOS",""),IF(SUMPRODUCT((BG360:CR360&lt;1)*(PARTIDAS!$I$2:$AT$2="ELÉCTRICO"))&gt;0,"ELÉCTRICO",""),IF(SUMPRODUCT((BG360:CR360&lt;1)*(PARTIDAS!$I$2:$AT$2="TERMINACIONES"))&gt;0,"TERMINACIONES",""))</f>
        <v>OBRA GRUESA, SANITARIOS, ELÉCTRICO, TERMINACIONES</v>
      </c>
      <c r="CV360" s="44" cm="1">
        <f t="array" ref="CV360">SUMPRODUCT(--(BG360:CR360&lt;1))</f>
        <v>38</v>
      </c>
    </row>
    <row r="361" spans="1:100" hidden="1" x14ac:dyDescent="0.25">
      <c r="A361" t="s">
        <v>421</v>
      </c>
      <c r="B361" t="s">
        <v>429</v>
      </c>
      <c r="C361">
        <v>2282600360</v>
      </c>
      <c r="D361" t="s">
        <v>58</v>
      </c>
      <c r="E361" s="2">
        <v>0</v>
      </c>
      <c r="F361" s="1">
        <v>46321</v>
      </c>
      <c r="G361" s="1"/>
      <c r="H361" s="1">
        <v>0</v>
      </c>
      <c r="I361" s="1">
        <v>46341</v>
      </c>
      <c r="J361">
        <v>46230</v>
      </c>
      <c r="K361" s="1"/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>
        <v>28.87</v>
      </c>
      <c r="BF361" s="3" t="str">
        <f>+IF(AVANCE[[#This Row],[% AVANCE]]=100%,"MODULO TERMINADO",IF(AVANCE[[#This Row],[FECHA INICIO REAL]]="","MODULO NO INICIADO","PENDIENTE"))</f>
        <v>MODULO NO INICIADO</v>
      </c>
      <c r="BG361" s="3">
        <f>+IF(AVANCE[[#This Row],[VENTANAS]]=8.10810810810811%,100%,AVANCE[[#This Row],[VENTANAS]])</f>
        <v>0</v>
      </c>
      <c r="BH361" s="3">
        <f>+IF(AVANCE[[#This Row],[PISO]]=N$2,100%,AVANCE[[#This Row],[PISO]])</f>
        <v>0</v>
      </c>
      <c r="BI361" s="3">
        <f>+IF(AVANCE[[#This Row],[TABIQUES]]=O$2,100%,AVANCE[[#This Row],[TABIQUES]])</f>
        <v>0</v>
      </c>
      <c r="BJ361" s="3">
        <f>+IF(AVANCE[[#This Row],[MUROS]]=P$2,100%,AVANCE[[#This Row],[MUROS]])</f>
        <v>0</v>
      </c>
      <c r="BK361" s="3">
        <f>+IF(AVANCE[[#This Row],[CIELO]]=Q$2,100%,AVANCE[[#This Row],[CIELO]])</f>
        <v>0</v>
      </c>
      <c r="BL361" s="3">
        <f>+IF(AVANCE[[#This Row],[BALCÓN]]=R$2,100%,AVANCE[[#This Row],[BALCÓN]])</f>
        <v>0</v>
      </c>
      <c r="BM361" s="3">
        <f>+IF(AVANCE[[#This Row],[RED ALCANTARILLADO]]=U$2,100%,AVANCE[[#This Row],[RED ALCANTARILLADO]])</f>
        <v>0</v>
      </c>
      <c r="BN361" s="3">
        <f>+IF(AVANCE[[#This Row],[RED DE AGUA]]=V$2,100%,AVANCE[[#This Row],[RED DE AGUA]])</f>
        <v>0</v>
      </c>
      <c r="BO361" s="3">
        <f>+IF(AVANCE[[#This Row],[VENTILACIONES]]=W$2,100%,AVANCE[[#This Row],[VENTILACIONES]])</f>
        <v>0</v>
      </c>
      <c r="BP361" s="3">
        <f>+IF(AVANCE[[#This Row],[TINA]]=X$2,100%,AVANCE[[#This Row],[TINA]])</f>
        <v>0</v>
      </c>
      <c r="BQ361" s="3">
        <f>+IF(AVANCE[[#This Row],[WC]]=Y$2,100%,AVANCE[[#This Row],[WC]])</f>
        <v>0</v>
      </c>
      <c r="BR361" s="3">
        <f>+IF(AVANCE[[#This Row],[LAVAMANOS / LAVAPLATOS / LAVADERO]]=Z$2,100%,AVANCE[[#This Row],[LAVAMANOS / LAVAPLATOS / LAVADERO]])</f>
        <v>0</v>
      </c>
      <c r="BS361" s="3">
        <f>+IF(AVANCE[[#This Row],[CANALIZACIÓN]]=AC$2,100%,AVANCE[[#This Row],[CANALIZACIÓN]])</f>
        <v>0</v>
      </c>
      <c r="BT361" s="3">
        <f>+IF(AVANCE[[#This Row],[CABLEADO]]=AD$2,100%,AVANCE[[#This Row],[CABLEADO]])</f>
        <v>0</v>
      </c>
      <c r="BU361" s="3">
        <f>+IF(AVANCE[[#This Row],[ARTEFACTOS]]=AE$2,100%,AVANCE[[#This Row],[ARTEFACTOS]])</f>
        <v>0</v>
      </c>
      <c r="BV361" s="3">
        <f>+IF(AVANCE[[#This Row],[TABLERO]]=AF$2,100%,AVANCE[[#This Row],[TABLERO]])</f>
        <v>0</v>
      </c>
      <c r="BW361" s="3">
        <f>+IF(AVANCE[[#This Row],[CAJA PAU]]=AG$2,100%,AVANCE[[#This Row],[CAJA PAU]])</f>
        <v>0</v>
      </c>
      <c r="BX361" s="3">
        <f>+IF(AVANCE[[#This Row],[INSTALACION VINILICO]]=AJ$2,100%,AVANCE[[#This Row],[INSTALACION VINILICO]])</f>
        <v>0</v>
      </c>
      <c r="BY361" s="3">
        <f>+IF(AVANCE[[#This Row],[OSB CUBIERTA]]=AK$2,100%,AVANCE[[#This Row],[OSB CUBIERTA]])</f>
        <v>0</v>
      </c>
      <c r="BZ361" s="3">
        <f>+IF(AVANCE[[#This Row],[BARANDA BALCON]]=AL$2,100%,AVANCE[[#This Row],[BARANDA BALCON]])</f>
        <v>0</v>
      </c>
      <c r="CA361" s="3">
        <f>+IF(AVANCE[[#This Row],[OSB EXTERIOR]]=AM$2,100%,AVANCE[[#This Row],[OSB EXTERIOR]])</f>
        <v>0</v>
      </c>
      <c r="CB361" s="3">
        <f>+IF(AVANCE[[#This Row],[SMART PANEL]]=AN$2,100%,AVANCE[[#This Row],[SMART PANEL]])</f>
        <v>0</v>
      </c>
      <c r="CC361" s="3">
        <f>+IF(AVANCE[[#This Row],[PINTURA EXTERIOR]]=AO$2,100%,AVANCE[[#This Row],[PINTURA EXTERIOR]])</f>
        <v>0</v>
      </c>
      <c r="CD361" s="3">
        <f>+IF(AVANCE[[#This Row],[ZOCALOS LOGIA]]=AP$2,100%,AVANCE[[#This Row],[ZOCALOS LOGIA]])</f>
        <v>0</v>
      </c>
      <c r="CE361" s="3">
        <f>+IF(AVANCE[[#This Row],[MOLDURAS]]=AQ$2,100%,AVANCE[[#This Row],[MOLDURAS]])</f>
        <v>0</v>
      </c>
      <c r="CF361" s="3">
        <f>+IF(AVANCE[[#This Row],[PILASTREO]]=AR$2,100%,AVANCE[[#This Row],[PILASTREO]])</f>
        <v>0</v>
      </c>
      <c r="CG361" s="3">
        <f>+IF(AVANCE[[#This Row],[CELOSIAS]]=AS$2,100%,AVANCE[[#This Row],[CELOSIAS]])</f>
        <v>0</v>
      </c>
      <c r="CH361" s="3">
        <f>+IF(AVANCE[[#This Row],[VENTANAS]]=AT$2,100%,AVANCE[[#This Row],[VENTANAS]])</f>
        <v>0</v>
      </c>
      <c r="CI361" s="3">
        <f>+IF(AVANCE[[#This Row],[PUERTAS ACCESO - LOGIA - BANO]]=AU$2,100%,AVANCE[[#This Row],[PUERTAS ACCESO - LOGIA - BANO]])</f>
        <v>0</v>
      </c>
      <c r="CJ361" s="3">
        <f>+IF(AVANCE[[#This Row],[CERRADURAS]]=AV$2,100%,AVANCE[[#This Row],[CERRADURAS]])</f>
        <v>0</v>
      </c>
      <c r="CK361" s="3">
        <f>+IF(AVANCE[[#This Row],[REVESTIMIENTO INTERIOR ZONA SECA]]=AW$2,100%,AVANCE[[#This Row],[REVESTIMIENTO INTERIOR ZONA SECA]])</f>
        <v>0</v>
      </c>
      <c r="CL361" s="3">
        <f>+IF(AVANCE[[#This Row],[REVESTIMIENTO INTERIOR ZONAS HUMEDAS]]=AX$2,100%,AVANCE[[#This Row],[REVESTIMIENTO INTERIOR ZONAS HUMEDAS]])</f>
        <v>0</v>
      </c>
      <c r="CM361" s="3">
        <f>+IF(AVANCE[[#This Row],[MEMBRANA CIELO]]=AY$2,100%,AVANCE[[#This Row],[MEMBRANA CIELO]])</f>
        <v>0</v>
      </c>
      <c r="CN361" s="3">
        <f>+IF(AVANCE[[#This Row],[LIMPIEZA FINAL]]=AZ$2,100%,AVANCE[[#This Row],[LIMPIEZA FINAL]])</f>
        <v>0</v>
      </c>
      <c r="CO361" s="3">
        <f>+IF(AVANCE[[#This Row],[PUERTAS DORMITORIO]]=BA$2,100%,AVANCE[[#This Row],[PUERTAS DORMITORIO]])</f>
        <v>0</v>
      </c>
      <c r="CP361" s="3">
        <f>+IF(AVANCE[[#This Row],[REVESTIMIENTO INTERIOR BANO]]=BB$2,100%,AVANCE[[#This Row],[REVESTIMIENTO INTERIOR BANO]])</f>
        <v>0</v>
      </c>
      <c r="CQ361" s="3">
        <f>+IF(AVANCE[[#This Row],[MUEBLE LAVAPLATOS]]=BC$2,100%,AVANCE[[#This Row],[MUEBLE LAVAPLATOS]])</f>
        <v>0</v>
      </c>
      <c r="CR361" s="3">
        <f>+IF(AVANCE[[#This Row],[IMPERMEABILIZACION BANO - COCINA LOGIA]]=BD$2,100%,AVANCE[[#This Row],[IMPERMEABILIZACION BANO - COCINA LOGIA]])</f>
        <v>0</v>
      </c>
      <c r="CS361" s="40">
        <f ca="1">+IF(AVANCE[[#This Row],[ESTADO MODULO]]="PENDIENTE",(TODAY()-AVANCE[[#This Row],[FECHA TERMINO  PLANIFICADO]]),0)</f>
        <v>0</v>
      </c>
      <c r="CT361" s="41" t="str" cm="1">
        <f t="array" ref="CT361">_xlfn.TEXTJOIN(" | ",TRUE,IF(SUMPRODUCT((BG361:CR361&lt;1)*(PARTIDAS!$I$2:$AT$2="OBRA GRUESA"))&gt;0,"OBRA GRUESA: "&amp;_xlfn.TEXTJOIN(", ",TRUE,IF((BG361:CR361&lt;1)*(PARTIDAS!$I$2:$AT$2="OBRA GRUESA"),PARTIDAS!$I$1:$AT$1,"")),""),IF(SUMPRODUCT((BG361:CR361&lt;1)*(PARTIDAS!$I$2:$AT$2="SANITARIOS"))&gt;0,"SANITARIOS: "&amp;_xlfn.TEXTJOIN(", ",TRUE,IF((BG361:CR361&lt;1)*(PARTIDAS!$I$2:$AT$2="SANITARIOS"),PARTIDAS!$I$1:$AT$1,"")),""),IF(SUMPRODUCT((BG361:CR361&lt;1)*(PARTIDAS!$I$2:$AT$2="ELÉCTRICO"))&gt;0,"ELÉCTRICO: "&amp;_xlfn.TEXTJOIN(", ",TRUE,IF((BG361:CR361&lt;1)*(PARTIDAS!$I$2:$AT$2="ELÉCTRICO"),PARTIDAS!$I$1:$AT$1,"")),""),IF(SUMPRODUCT((BG361:CR361&lt;1)*(PARTIDAS!$I$2:$AT$2="TERMINACIONES"))&gt;0,"TERMINACIONES: "&amp;_xlfn.TEXTJOIN(", ",TRUE,IF((BG361:CR361&lt;1)*(PARTIDAS!$I$2:$AT$2="TERMINACIONES"),PARTIDAS!$I$1:$AT$1,"")),""))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1" s="43" t="str" cm="1">
        <f t="array" ref="CU361">_xlfn.TEXTJOIN(", ",TRUE,IF(SUMPRODUCT((BG361:CR361&lt;1)*(PARTIDAS!$I$2:$AT$2="OBRA GRUESA"))&gt;0,"OBRA GRUESA",""),IF(SUMPRODUCT((BG361:CR361&lt;1)*(PARTIDAS!$I$2:$AT$2="SANITARIOS"))&gt;0,"SANITARIOS",""),IF(SUMPRODUCT((BG361:CR361&lt;1)*(PARTIDAS!$I$2:$AT$2="ELÉCTRICO"))&gt;0,"ELÉCTRICO",""),IF(SUMPRODUCT((BG361:CR361&lt;1)*(PARTIDAS!$I$2:$AT$2="TERMINACIONES"))&gt;0,"TERMINACIONES",""))</f>
        <v>OBRA GRUESA, SANITARIOS, ELÉCTRICO, TERMINACIONES</v>
      </c>
      <c r="CV361" s="44" cm="1">
        <f t="array" ref="CV361">SUMPRODUCT(--(BG361:CR361&lt;1))</f>
        <v>38</v>
      </c>
    </row>
    <row r="362" spans="1:100" hidden="1" x14ac:dyDescent="0.25">
      <c r="A362" t="s">
        <v>421</v>
      </c>
      <c r="B362" t="s">
        <v>430</v>
      </c>
      <c r="C362">
        <v>2282600361</v>
      </c>
      <c r="D362" t="s">
        <v>58</v>
      </c>
      <c r="E362" s="2">
        <v>0</v>
      </c>
      <c r="F362" s="1">
        <v>46321</v>
      </c>
      <c r="G362" s="1"/>
      <c r="H362" s="1">
        <v>0</v>
      </c>
      <c r="I362" s="1">
        <v>46341</v>
      </c>
      <c r="J362">
        <v>46230</v>
      </c>
      <c r="K362" s="1"/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>
        <v>28.87</v>
      </c>
      <c r="BF362" s="3" t="str">
        <f>+IF(AVANCE[[#This Row],[% AVANCE]]=100%,"MODULO TERMINADO",IF(AVANCE[[#This Row],[FECHA INICIO REAL]]="","MODULO NO INICIADO","PENDIENTE"))</f>
        <v>MODULO NO INICIADO</v>
      </c>
      <c r="BG362" s="3">
        <f>+IF(AVANCE[[#This Row],[VENTANAS]]=8.10810810810811%,100%,AVANCE[[#This Row],[VENTANAS]])</f>
        <v>0</v>
      </c>
      <c r="BH362" s="3">
        <f>+IF(AVANCE[[#This Row],[PISO]]=N$2,100%,AVANCE[[#This Row],[PISO]])</f>
        <v>0</v>
      </c>
      <c r="BI362" s="3">
        <f>+IF(AVANCE[[#This Row],[TABIQUES]]=O$2,100%,AVANCE[[#This Row],[TABIQUES]])</f>
        <v>0</v>
      </c>
      <c r="BJ362" s="3">
        <f>+IF(AVANCE[[#This Row],[MUROS]]=P$2,100%,AVANCE[[#This Row],[MUROS]])</f>
        <v>0</v>
      </c>
      <c r="BK362" s="3">
        <f>+IF(AVANCE[[#This Row],[CIELO]]=Q$2,100%,AVANCE[[#This Row],[CIELO]])</f>
        <v>0</v>
      </c>
      <c r="BL362" s="3">
        <f>+IF(AVANCE[[#This Row],[BALCÓN]]=R$2,100%,AVANCE[[#This Row],[BALCÓN]])</f>
        <v>0</v>
      </c>
      <c r="BM362" s="3">
        <f>+IF(AVANCE[[#This Row],[RED ALCANTARILLADO]]=U$2,100%,AVANCE[[#This Row],[RED ALCANTARILLADO]])</f>
        <v>0</v>
      </c>
      <c r="BN362" s="3">
        <f>+IF(AVANCE[[#This Row],[RED DE AGUA]]=V$2,100%,AVANCE[[#This Row],[RED DE AGUA]])</f>
        <v>0</v>
      </c>
      <c r="BO362" s="3">
        <f>+IF(AVANCE[[#This Row],[VENTILACIONES]]=W$2,100%,AVANCE[[#This Row],[VENTILACIONES]])</f>
        <v>0</v>
      </c>
      <c r="BP362" s="3">
        <f>+IF(AVANCE[[#This Row],[TINA]]=X$2,100%,AVANCE[[#This Row],[TINA]])</f>
        <v>0</v>
      </c>
      <c r="BQ362" s="3">
        <f>+IF(AVANCE[[#This Row],[WC]]=Y$2,100%,AVANCE[[#This Row],[WC]])</f>
        <v>0</v>
      </c>
      <c r="BR362" s="3">
        <f>+IF(AVANCE[[#This Row],[LAVAMANOS / LAVAPLATOS / LAVADERO]]=Z$2,100%,AVANCE[[#This Row],[LAVAMANOS / LAVAPLATOS / LAVADERO]])</f>
        <v>0</v>
      </c>
      <c r="BS362" s="3">
        <f>+IF(AVANCE[[#This Row],[CANALIZACIÓN]]=AC$2,100%,AVANCE[[#This Row],[CANALIZACIÓN]])</f>
        <v>0</v>
      </c>
      <c r="BT362" s="3">
        <f>+IF(AVANCE[[#This Row],[CABLEADO]]=AD$2,100%,AVANCE[[#This Row],[CABLEADO]])</f>
        <v>0</v>
      </c>
      <c r="BU362" s="3">
        <f>+IF(AVANCE[[#This Row],[ARTEFACTOS]]=AE$2,100%,AVANCE[[#This Row],[ARTEFACTOS]])</f>
        <v>0</v>
      </c>
      <c r="BV362" s="3">
        <f>+IF(AVANCE[[#This Row],[TABLERO]]=AF$2,100%,AVANCE[[#This Row],[TABLERO]])</f>
        <v>0</v>
      </c>
      <c r="BW362" s="3">
        <f>+IF(AVANCE[[#This Row],[CAJA PAU]]=AG$2,100%,AVANCE[[#This Row],[CAJA PAU]])</f>
        <v>0</v>
      </c>
      <c r="BX362" s="3">
        <f>+IF(AVANCE[[#This Row],[INSTALACION VINILICO]]=AJ$2,100%,AVANCE[[#This Row],[INSTALACION VINILICO]])</f>
        <v>0</v>
      </c>
      <c r="BY362" s="3">
        <f>+IF(AVANCE[[#This Row],[OSB CUBIERTA]]=AK$2,100%,AVANCE[[#This Row],[OSB CUBIERTA]])</f>
        <v>0</v>
      </c>
      <c r="BZ362" s="3">
        <f>+IF(AVANCE[[#This Row],[BARANDA BALCON]]=AL$2,100%,AVANCE[[#This Row],[BARANDA BALCON]])</f>
        <v>0</v>
      </c>
      <c r="CA362" s="3">
        <f>+IF(AVANCE[[#This Row],[OSB EXTERIOR]]=AM$2,100%,AVANCE[[#This Row],[OSB EXTERIOR]])</f>
        <v>0</v>
      </c>
      <c r="CB362" s="3">
        <f>+IF(AVANCE[[#This Row],[SMART PANEL]]=AN$2,100%,AVANCE[[#This Row],[SMART PANEL]])</f>
        <v>0</v>
      </c>
      <c r="CC362" s="3">
        <f>+IF(AVANCE[[#This Row],[PINTURA EXTERIOR]]=AO$2,100%,AVANCE[[#This Row],[PINTURA EXTERIOR]])</f>
        <v>0</v>
      </c>
      <c r="CD362" s="3">
        <f>+IF(AVANCE[[#This Row],[ZOCALOS LOGIA]]=AP$2,100%,AVANCE[[#This Row],[ZOCALOS LOGIA]])</f>
        <v>0</v>
      </c>
      <c r="CE362" s="3">
        <f>+IF(AVANCE[[#This Row],[MOLDURAS]]=AQ$2,100%,AVANCE[[#This Row],[MOLDURAS]])</f>
        <v>0</v>
      </c>
      <c r="CF362" s="3">
        <f>+IF(AVANCE[[#This Row],[PILASTREO]]=AR$2,100%,AVANCE[[#This Row],[PILASTREO]])</f>
        <v>0</v>
      </c>
      <c r="CG362" s="3">
        <f>+IF(AVANCE[[#This Row],[CELOSIAS]]=AS$2,100%,AVANCE[[#This Row],[CELOSIAS]])</f>
        <v>0</v>
      </c>
      <c r="CH362" s="3">
        <f>+IF(AVANCE[[#This Row],[VENTANAS]]=AT$2,100%,AVANCE[[#This Row],[VENTANAS]])</f>
        <v>0</v>
      </c>
      <c r="CI362" s="3">
        <f>+IF(AVANCE[[#This Row],[PUERTAS ACCESO - LOGIA - BANO]]=AU$2,100%,AVANCE[[#This Row],[PUERTAS ACCESO - LOGIA - BANO]])</f>
        <v>0</v>
      </c>
      <c r="CJ362" s="3">
        <f>+IF(AVANCE[[#This Row],[CERRADURAS]]=AV$2,100%,AVANCE[[#This Row],[CERRADURAS]])</f>
        <v>0</v>
      </c>
      <c r="CK362" s="3">
        <f>+IF(AVANCE[[#This Row],[REVESTIMIENTO INTERIOR ZONA SECA]]=AW$2,100%,AVANCE[[#This Row],[REVESTIMIENTO INTERIOR ZONA SECA]])</f>
        <v>0</v>
      </c>
      <c r="CL362" s="3">
        <f>+IF(AVANCE[[#This Row],[REVESTIMIENTO INTERIOR ZONAS HUMEDAS]]=AX$2,100%,AVANCE[[#This Row],[REVESTIMIENTO INTERIOR ZONAS HUMEDAS]])</f>
        <v>0</v>
      </c>
      <c r="CM362" s="3">
        <f>+IF(AVANCE[[#This Row],[MEMBRANA CIELO]]=AY$2,100%,AVANCE[[#This Row],[MEMBRANA CIELO]])</f>
        <v>0</v>
      </c>
      <c r="CN362" s="3">
        <f>+IF(AVANCE[[#This Row],[LIMPIEZA FINAL]]=AZ$2,100%,AVANCE[[#This Row],[LIMPIEZA FINAL]])</f>
        <v>0</v>
      </c>
      <c r="CO362" s="3">
        <f>+IF(AVANCE[[#This Row],[PUERTAS DORMITORIO]]=BA$2,100%,AVANCE[[#This Row],[PUERTAS DORMITORIO]])</f>
        <v>0</v>
      </c>
      <c r="CP362" s="3">
        <f>+IF(AVANCE[[#This Row],[REVESTIMIENTO INTERIOR BANO]]=BB$2,100%,AVANCE[[#This Row],[REVESTIMIENTO INTERIOR BANO]])</f>
        <v>0</v>
      </c>
      <c r="CQ362" s="3">
        <f>+IF(AVANCE[[#This Row],[MUEBLE LAVAPLATOS]]=BC$2,100%,AVANCE[[#This Row],[MUEBLE LAVAPLATOS]])</f>
        <v>0</v>
      </c>
      <c r="CR362" s="3">
        <f>+IF(AVANCE[[#This Row],[IMPERMEABILIZACION BANO - COCINA LOGIA]]=BD$2,100%,AVANCE[[#This Row],[IMPERMEABILIZACION BANO - COCINA LOGIA]])</f>
        <v>0</v>
      </c>
      <c r="CS362" s="40">
        <f ca="1">+IF(AVANCE[[#This Row],[ESTADO MODULO]]="PENDIENTE",(TODAY()-AVANCE[[#This Row],[FECHA TERMINO  PLANIFICADO]]),0)</f>
        <v>0</v>
      </c>
      <c r="CT362" s="41" t="str" cm="1">
        <f t="array" ref="CT362">_xlfn.TEXTJOIN(" | ",TRUE,IF(SUMPRODUCT((BG362:CR362&lt;1)*(PARTIDAS!$I$2:$AT$2="OBRA GRUESA"))&gt;0,"OBRA GRUESA: "&amp;_xlfn.TEXTJOIN(", ",TRUE,IF((BG362:CR362&lt;1)*(PARTIDAS!$I$2:$AT$2="OBRA GRUESA"),PARTIDAS!$I$1:$AT$1,"")),""),IF(SUMPRODUCT((BG362:CR362&lt;1)*(PARTIDAS!$I$2:$AT$2="SANITARIOS"))&gt;0,"SANITARIOS: "&amp;_xlfn.TEXTJOIN(", ",TRUE,IF((BG362:CR362&lt;1)*(PARTIDAS!$I$2:$AT$2="SANITARIOS"),PARTIDAS!$I$1:$AT$1,"")),""),IF(SUMPRODUCT((BG362:CR362&lt;1)*(PARTIDAS!$I$2:$AT$2="ELÉCTRICO"))&gt;0,"ELÉCTRICO: "&amp;_xlfn.TEXTJOIN(", ",TRUE,IF((BG362:CR362&lt;1)*(PARTIDAS!$I$2:$AT$2="ELÉCTRICO"),PARTIDAS!$I$1:$AT$1,"")),""),IF(SUMPRODUCT((BG362:CR362&lt;1)*(PARTIDAS!$I$2:$AT$2="TERMINACIONES"))&gt;0,"TERMINACIONES: "&amp;_xlfn.TEXTJOIN(", ",TRUE,IF((BG362:CR362&lt;1)*(PARTIDAS!$I$2:$AT$2="TERMINACIONES"),PARTIDAS!$I$1:$AT$1,"")),""))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2" s="43" t="str" cm="1">
        <f t="array" ref="CU362">_xlfn.TEXTJOIN(", ",TRUE,IF(SUMPRODUCT((BG362:CR362&lt;1)*(PARTIDAS!$I$2:$AT$2="OBRA GRUESA"))&gt;0,"OBRA GRUESA",""),IF(SUMPRODUCT((BG362:CR362&lt;1)*(PARTIDAS!$I$2:$AT$2="SANITARIOS"))&gt;0,"SANITARIOS",""),IF(SUMPRODUCT((BG362:CR362&lt;1)*(PARTIDAS!$I$2:$AT$2="ELÉCTRICO"))&gt;0,"ELÉCTRICO",""),IF(SUMPRODUCT((BG362:CR362&lt;1)*(PARTIDAS!$I$2:$AT$2="TERMINACIONES"))&gt;0,"TERMINACIONES",""))</f>
        <v>OBRA GRUESA, SANITARIOS, ELÉCTRICO, TERMINACIONES</v>
      </c>
      <c r="CV362" s="44" cm="1">
        <f t="array" ref="CV362">SUMPRODUCT(--(BG362:CR362&lt;1))</f>
        <v>38</v>
      </c>
    </row>
    <row r="363" spans="1:100" hidden="1" x14ac:dyDescent="0.25">
      <c r="A363" t="s">
        <v>421</v>
      </c>
      <c r="B363" t="s">
        <v>431</v>
      </c>
      <c r="C363">
        <v>2302600362</v>
      </c>
      <c r="D363" t="s">
        <v>60</v>
      </c>
      <c r="E363" s="2">
        <v>0</v>
      </c>
      <c r="F363" s="1">
        <v>46322</v>
      </c>
      <c r="G363" s="1"/>
      <c r="H363" s="1">
        <v>0</v>
      </c>
      <c r="I363" s="1">
        <v>46352</v>
      </c>
      <c r="J363">
        <v>46230</v>
      </c>
      <c r="K363" s="1"/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>
        <v>31.32</v>
      </c>
      <c r="BF363" s="3" t="str">
        <f>+IF(AVANCE[[#This Row],[% AVANCE]]=100%,"MODULO TERMINADO",IF(AVANCE[[#This Row],[FECHA INICIO REAL]]="","MODULO NO INICIADO","PENDIENTE"))</f>
        <v>MODULO NO INICIADO</v>
      </c>
      <c r="BG363" s="3">
        <f>+IF(AVANCE[[#This Row],[VENTANAS]]=8.10810810810811%,100%,AVANCE[[#This Row],[VENTANAS]])</f>
        <v>0</v>
      </c>
      <c r="BH363" s="3">
        <f>+IF(AVANCE[[#This Row],[PISO]]=N$2,100%,AVANCE[[#This Row],[PISO]])</f>
        <v>0</v>
      </c>
      <c r="BI363" s="3">
        <f>+IF(AVANCE[[#This Row],[TABIQUES]]=O$2,100%,AVANCE[[#This Row],[TABIQUES]])</f>
        <v>0</v>
      </c>
      <c r="BJ363" s="3">
        <f>+IF(AVANCE[[#This Row],[MUROS]]=P$2,100%,AVANCE[[#This Row],[MUROS]])</f>
        <v>0</v>
      </c>
      <c r="BK363" s="3">
        <f>+IF(AVANCE[[#This Row],[CIELO]]=Q$2,100%,AVANCE[[#This Row],[CIELO]])</f>
        <v>0</v>
      </c>
      <c r="BL363" s="3">
        <f>+IF(AVANCE[[#This Row],[BALCÓN]]=R$2,100%,AVANCE[[#This Row],[BALCÓN]])</f>
        <v>0</v>
      </c>
      <c r="BM363" s="3">
        <f>+IF(AVANCE[[#This Row],[RED ALCANTARILLADO]]=U$2,100%,AVANCE[[#This Row],[RED ALCANTARILLADO]])</f>
        <v>0</v>
      </c>
      <c r="BN363" s="3">
        <f>+IF(AVANCE[[#This Row],[RED DE AGUA]]=V$2,100%,AVANCE[[#This Row],[RED DE AGUA]])</f>
        <v>0</v>
      </c>
      <c r="BO363" s="3">
        <f>+IF(AVANCE[[#This Row],[VENTILACIONES]]=W$2,100%,AVANCE[[#This Row],[VENTILACIONES]])</f>
        <v>0</v>
      </c>
      <c r="BP363" s="3">
        <f>+IF(AVANCE[[#This Row],[TINA]]=X$2,100%,AVANCE[[#This Row],[TINA]])</f>
        <v>0</v>
      </c>
      <c r="BQ363" s="3">
        <f>+IF(AVANCE[[#This Row],[WC]]=Y$2,100%,AVANCE[[#This Row],[WC]])</f>
        <v>0</v>
      </c>
      <c r="BR363" s="3">
        <f>+IF(AVANCE[[#This Row],[LAVAMANOS / LAVAPLATOS / LAVADERO]]=Z$2,100%,AVANCE[[#This Row],[LAVAMANOS / LAVAPLATOS / LAVADERO]])</f>
        <v>0</v>
      </c>
      <c r="BS363" s="3">
        <f>+IF(AVANCE[[#This Row],[CANALIZACIÓN]]=AC$2,100%,AVANCE[[#This Row],[CANALIZACIÓN]])</f>
        <v>0</v>
      </c>
      <c r="BT363" s="3">
        <f>+IF(AVANCE[[#This Row],[CABLEADO]]=AD$2,100%,AVANCE[[#This Row],[CABLEADO]])</f>
        <v>0</v>
      </c>
      <c r="BU363" s="3">
        <f>+IF(AVANCE[[#This Row],[ARTEFACTOS]]=AE$2,100%,AVANCE[[#This Row],[ARTEFACTOS]])</f>
        <v>0</v>
      </c>
      <c r="BV363" s="3">
        <f>+IF(AVANCE[[#This Row],[TABLERO]]=AF$2,100%,AVANCE[[#This Row],[TABLERO]])</f>
        <v>0</v>
      </c>
      <c r="BW363" s="3">
        <f>+IF(AVANCE[[#This Row],[CAJA PAU]]=AG$2,100%,AVANCE[[#This Row],[CAJA PAU]])</f>
        <v>0</v>
      </c>
      <c r="BX363" s="3">
        <f>+IF(AVANCE[[#This Row],[INSTALACION VINILICO]]=AJ$2,100%,AVANCE[[#This Row],[INSTALACION VINILICO]])</f>
        <v>0</v>
      </c>
      <c r="BY363" s="3">
        <f>+IF(AVANCE[[#This Row],[OSB CUBIERTA]]=AK$2,100%,AVANCE[[#This Row],[OSB CUBIERTA]])</f>
        <v>0</v>
      </c>
      <c r="BZ363" s="3">
        <f>+IF(AVANCE[[#This Row],[BARANDA BALCON]]=AL$2,100%,AVANCE[[#This Row],[BARANDA BALCON]])</f>
        <v>0</v>
      </c>
      <c r="CA363" s="3">
        <f>+IF(AVANCE[[#This Row],[OSB EXTERIOR]]=AM$2,100%,AVANCE[[#This Row],[OSB EXTERIOR]])</f>
        <v>0</v>
      </c>
      <c r="CB363" s="3">
        <f>+IF(AVANCE[[#This Row],[SMART PANEL]]=AN$2,100%,AVANCE[[#This Row],[SMART PANEL]])</f>
        <v>0</v>
      </c>
      <c r="CC363" s="3">
        <f>+IF(AVANCE[[#This Row],[PINTURA EXTERIOR]]=AO$2,100%,AVANCE[[#This Row],[PINTURA EXTERIOR]])</f>
        <v>0</v>
      </c>
      <c r="CD363" s="3">
        <f>+IF(AVANCE[[#This Row],[ZOCALOS LOGIA]]=AP$2,100%,AVANCE[[#This Row],[ZOCALOS LOGIA]])</f>
        <v>0</v>
      </c>
      <c r="CE363" s="3">
        <f>+IF(AVANCE[[#This Row],[MOLDURAS]]=AQ$2,100%,AVANCE[[#This Row],[MOLDURAS]])</f>
        <v>0</v>
      </c>
      <c r="CF363" s="3">
        <f>+IF(AVANCE[[#This Row],[PILASTREO]]=AR$2,100%,AVANCE[[#This Row],[PILASTREO]])</f>
        <v>0</v>
      </c>
      <c r="CG363" s="3">
        <f>+IF(AVANCE[[#This Row],[CELOSIAS]]=AS$2,100%,AVANCE[[#This Row],[CELOSIAS]])</f>
        <v>0</v>
      </c>
      <c r="CH363" s="3">
        <f>+IF(AVANCE[[#This Row],[VENTANAS]]=AT$2,100%,AVANCE[[#This Row],[VENTANAS]])</f>
        <v>0</v>
      </c>
      <c r="CI363" s="3">
        <f>+IF(AVANCE[[#This Row],[PUERTAS ACCESO - LOGIA - BANO]]=AU$2,100%,AVANCE[[#This Row],[PUERTAS ACCESO - LOGIA - BANO]])</f>
        <v>0</v>
      </c>
      <c r="CJ363" s="3">
        <f>+IF(AVANCE[[#This Row],[CERRADURAS]]=AV$2,100%,AVANCE[[#This Row],[CERRADURAS]])</f>
        <v>0</v>
      </c>
      <c r="CK363" s="3">
        <f>+IF(AVANCE[[#This Row],[REVESTIMIENTO INTERIOR ZONA SECA]]=AW$2,100%,AVANCE[[#This Row],[REVESTIMIENTO INTERIOR ZONA SECA]])</f>
        <v>0</v>
      </c>
      <c r="CL363" s="3">
        <f>+IF(AVANCE[[#This Row],[REVESTIMIENTO INTERIOR ZONAS HUMEDAS]]=AX$2,100%,AVANCE[[#This Row],[REVESTIMIENTO INTERIOR ZONAS HUMEDAS]])</f>
        <v>0</v>
      </c>
      <c r="CM363" s="3">
        <f>+IF(AVANCE[[#This Row],[MEMBRANA CIELO]]=AY$2,100%,AVANCE[[#This Row],[MEMBRANA CIELO]])</f>
        <v>0</v>
      </c>
      <c r="CN363" s="3">
        <f>+IF(AVANCE[[#This Row],[LIMPIEZA FINAL]]=AZ$2,100%,AVANCE[[#This Row],[LIMPIEZA FINAL]])</f>
        <v>0</v>
      </c>
      <c r="CO363" s="3">
        <f>+IF(AVANCE[[#This Row],[PUERTAS DORMITORIO]]=BA$2,100%,AVANCE[[#This Row],[PUERTAS DORMITORIO]])</f>
        <v>0</v>
      </c>
      <c r="CP363" s="3">
        <f>+IF(AVANCE[[#This Row],[REVESTIMIENTO INTERIOR BANO]]=BB$2,100%,AVANCE[[#This Row],[REVESTIMIENTO INTERIOR BANO]])</f>
        <v>0</v>
      </c>
      <c r="CQ363" s="3">
        <f>+IF(AVANCE[[#This Row],[MUEBLE LAVAPLATOS]]=BC$2,100%,AVANCE[[#This Row],[MUEBLE LAVAPLATOS]])</f>
        <v>0</v>
      </c>
      <c r="CR363" s="3">
        <f>+IF(AVANCE[[#This Row],[IMPERMEABILIZACION BANO - COCINA LOGIA]]=BD$2,100%,AVANCE[[#This Row],[IMPERMEABILIZACION BANO - COCINA LOGIA]])</f>
        <v>0</v>
      </c>
      <c r="CS363" s="40">
        <f ca="1">+IF(AVANCE[[#This Row],[ESTADO MODULO]]="PENDIENTE",(TODAY()-AVANCE[[#This Row],[FECHA TERMINO  PLANIFICADO]]),0)</f>
        <v>0</v>
      </c>
      <c r="CT363" s="41" t="str" cm="1">
        <f t="array" ref="CT363">_xlfn.TEXTJOIN(" | ",TRUE,IF(SUMPRODUCT((BG363:CR363&lt;1)*(PARTIDAS!$I$2:$AT$2="OBRA GRUESA"))&gt;0,"OBRA GRUESA: "&amp;_xlfn.TEXTJOIN(", ",TRUE,IF((BG363:CR363&lt;1)*(PARTIDAS!$I$2:$AT$2="OBRA GRUESA"),PARTIDAS!$I$1:$AT$1,"")),""),IF(SUMPRODUCT((BG363:CR363&lt;1)*(PARTIDAS!$I$2:$AT$2="SANITARIOS"))&gt;0,"SANITARIOS: "&amp;_xlfn.TEXTJOIN(", ",TRUE,IF((BG363:CR363&lt;1)*(PARTIDAS!$I$2:$AT$2="SANITARIOS"),PARTIDAS!$I$1:$AT$1,"")),""),IF(SUMPRODUCT((BG363:CR363&lt;1)*(PARTIDAS!$I$2:$AT$2="ELÉCTRICO"))&gt;0,"ELÉCTRICO: "&amp;_xlfn.TEXTJOIN(", ",TRUE,IF((BG363:CR363&lt;1)*(PARTIDAS!$I$2:$AT$2="ELÉCTRICO"),PARTIDAS!$I$1:$AT$1,"")),""),IF(SUMPRODUCT((BG363:CR363&lt;1)*(PARTIDAS!$I$2:$AT$2="TERMINACIONES"))&gt;0,"TERMINACIONES: "&amp;_xlfn.TEXTJOIN(", ",TRUE,IF((BG363:CR363&lt;1)*(PARTIDAS!$I$2:$AT$2="TERMINACIONES"),PARTIDAS!$I$1:$AT$1,"")),""))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3" s="43" t="str" cm="1">
        <f t="array" ref="CU363">_xlfn.TEXTJOIN(", ",TRUE,IF(SUMPRODUCT((BG363:CR363&lt;1)*(PARTIDAS!$I$2:$AT$2="OBRA GRUESA"))&gt;0,"OBRA GRUESA",""),IF(SUMPRODUCT((BG363:CR363&lt;1)*(PARTIDAS!$I$2:$AT$2="SANITARIOS"))&gt;0,"SANITARIOS",""),IF(SUMPRODUCT((BG363:CR363&lt;1)*(PARTIDAS!$I$2:$AT$2="ELÉCTRICO"))&gt;0,"ELÉCTRICO",""),IF(SUMPRODUCT((BG363:CR363&lt;1)*(PARTIDAS!$I$2:$AT$2="TERMINACIONES"))&gt;0,"TERMINACIONES",""))</f>
        <v>OBRA GRUESA, SANITARIOS, ELÉCTRICO, TERMINACIONES</v>
      </c>
      <c r="CV363" s="44" cm="1">
        <f t="array" ref="CV363">SUMPRODUCT(--(BG363:CR363&lt;1))</f>
        <v>38</v>
      </c>
    </row>
    <row r="364" spans="1:100" hidden="1" x14ac:dyDescent="0.25">
      <c r="A364" t="s">
        <v>421</v>
      </c>
      <c r="B364" t="s">
        <v>432</v>
      </c>
      <c r="C364">
        <v>2302600363</v>
      </c>
      <c r="D364" t="s">
        <v>60</v>
      </c>
      <c r="E364" s="2">
        <v>0</v>
      </c>
      <c r="F364" s="1">
        <v>46322</v>
      </c>
      <c r="G364" s="1"/>
      <c r="H364" s="1">
        <v>0</v>
      </c>
      <c r="I364" s="1">
        <v>46352</v>
      </c>
      <c r="J364">
        <v>46230</v>
      </c>
      <c r="K364" s="1"/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>
        <v>31.32</v>
      </c>
      <c r="BF364" s="3" t="str">
        <f>+IF(AVANCE[[#This Row],[% AVANCE]]=100%,"MODULO TERMINADO",IF(AVANCE[[#This Row],[FECHA INICIO REAL]]="","MODULO NO INICIADO","PENDIENTE"))</f>
        <v>MODULO NO INICIADO</v>
      </c>
      <c r="BG364" s="3">
        <f>+IF(AVANCE[[#This Row],[VENTANAS]]=8.10810810810811%,100%,AVANCE[[#This Row],[VENTANAS]])</f>
        <v>0</v>
      </c>
      <c r="BH364" s="3">
        <f>+IF(AVANCE[[#This Row],[PISO]]=N$2,100%,AVANCE[[#This Row],[PISO]])</f>
        <v>0</v>
      </c>
      <c r="BI364" s="3">
        <f>+IF(AVANCE[[#This Row],[TABIQUES]]=O$2,100%,AVANCE[[#This Row],[TABIQUES]])</f>
        <v>0</v>
      </c>
      <c r="BJ364" s="3">
        <f>+IF(AVANCE[[#This Row],[MUROS]]=P$2,100%,AVANCE[[#This Row],[MUROS]])</f>
        <v>0</v>
      </c>
      <c r="BK364" s="3">
        <f>+IF(AVANCE[[#This Row],[CIELO]]=Q$2,100%,AVANCE[[#This Row],[CIELO]])</f>
        <v>0</v>
      </c>
      <c r="BL364" s="3">
        <f>+IF(AVANCE[[#This Row],[BALCÓN]]=R$2,100%,AVANCE[[#This Row],[BALCÓN]])</f>
        <v>0</v>
      </c>
      <c r="BM364" s="3">
        <f>+IF(AVANCE[[#This Row],[RED ALCANTARILLADO]]=U$2,100%,AVANCE[[#This Row],[RED ALCANTARILLADO]])</f>
        <v>0</v>
      </c>
      <c r="BN364" s="3">
        <f>+IF(AVANCE[[#This Row],[RED DE AGUA]]=V$2,100%,AVANCE[[#This Row],[RED DE AGUA]])</f>
        <v>0</v>
      </c>
      <c r="BO364" s="3">
        <f>+IF(AVANCE[[#This Row],[VENTILACIONES]]=W$2,100%,AVANCE[[#This Row],[VENTILACIONES]])</f>
        <v>0</v>
      </c>
      <c r="BP364" s="3">
        <f>+IF(AVANCE[[#This Row],[TINA]]=X$2,100%,AVANCE[[#This Row],[TINA]])</f>
        <v>0</v>
      </c>
      <c r="BQ364" s="3">
        <f>+IF(AVANCE[[#This Row],[WC]]=Y$2,100%,AVANCE[[#This Row],[WC]])</f>
        <v>0</v>
      </c>
      <c r="BR364" s="3">
        <f>+IF(AVANCE[[#This Row],[LAVAMANOS / LAVAPLATOS / LAVADERO]]=Z$2,100%,AVANCE[[#This Row],[LAVAMANOS / LAVAPLATOS / LAVADERO]])</f>
        <v>0</v>
      </c>
      <c r="BS364" s="3">
        <f>+IF(AVANCE[[#This Row],[CANALIZACIÓN]]=AC$2,100%,AVANCE[[#This Row],[CANALIZACIÓN]])</f>
        <v>0</v>
      </c>
      <c r="BT364" s="3">
        <f>+IF(AVANCE[[#This Row],[CABLEADO]]=AD$2,100%,AVANCE[[#This Row],[CABLEADO]])</f>
        <v>0</v>
      </c>
      <c r="BU364" s="3">
        <f>+IF(AVANCE[[#This Row],[ARTEFACTOS]]=AE$2,100%,AVANCE[[#This Row],[ARTEFACTOS]])</f>
        <v>0</v>
      </c>
      <c r="BV364" s="3">
        <f>+IF(AVANCE[[#This Row],[TABLERO]]=AF$2,100%,AVANCE[[#This Row],[TABLERO]])</f>
        <v>0</v>
      </c>
      <c r="BW364" s="3">
        <f>+IF(AVANCE[[#This Row],[CAJA PAU]]=AG$2,100%,AVANCE[[#This Row],[CAJA PAU]])</f>
        <v>0</v>
      </c>
      <c r="BX364" s="3">
        <f>+IF(AVANCE[[#This Row],[INSTALACION VINILICO]]=AJ$2,100%,AVANCE[[#This Row],[INSTALACION VINILICO]])</f>
        <v>0</v>
      </c>
      <c r="BY364" s="3">
        <f>+IF(AVANCE[[#This Row],[OSB CUBIERTA]]=AK$2,100%,AVANCE[[#This Row],[OSB CUBIERTA]])</f>
        <v>0</v>
      </c>
      <c r="BZ364" s="3">
        <f>+IF(AVANCE[[#This Row],[BARANDA BALCON]]=AL$2,100%,AVANCE[[#This Row],[BARANDA BALCON]])</f>
        <v>0</v>
      </c>
      <c r="CA364" s="3">
        <f>+IF(AVANCE[[#This Row],[OSB EXTERIOR]]=AM$2,100%,AVANCE[[#This Row],[OSB EXTERIOR]])</f>
        <v>0</v>
      </c>
      <c r="CB364" s="3">
        <f>+IF(AVANCE[[#This Row],[SMART PANEL]]=AN$2,100%,AVANCE[[#This Row],[SMART PANEL]])</f>
        <v>0</v>
      </c>
      <c r="CC364" s="3">
        <f>+IF(AVANCE[[#This Row],[PINTURA EXTERIOR]]=AO$2,100%,AVANCE[[#This Row],[PINTURA EXTERIOR]])</f>
        <v>0</v>
      </c>
      <c r="CD364" s="3">
        <f>+IF(AVANCE[[#This Row],[ZOCALOS LOGIA]]=AP$2,100%,AVANCE[[#This Row],[ZOCALOS LOGIA]])</f>
        <v>0</v>
      </c>
      <c r="CE364" s="3">
        <f>+IF(AVANCE[[#This Row],[MOLDURAS]]=AQ$2,100%,AVANCE[[#This Row],[MOLDURAS]])</f>
        <v>0</v>
      </c>
      <c r="CF364" s="3">
        <f>+IF(AVANCE[[#This Row],[PILASTREO]]=AR$2,100%,AVANCE[[#This Row],[PILASTREO]])</f>
        <v>0</v>
      </c>
      <c r="CG364" s="3">
        <f>+IF(AVANCE[[#This Row],[CELOSIAS]]=AS$2,100%,AVANCE[[#This Row],[CELOSIAS]])</f>
        <v>0</v>
      </c>
      <c r="CH364" s="3">
        <f>+IF(AVANCE[[#This Row],[VENTANAS]]=AT$2,100%,AVANCE[[#This Row],[VENTANAS]])</f>
        <v>0</v>
      </c>
      <c r="CI364" s="3">
        <f>+IF(AVANCE[[#This Row],[PUERTAS ACCESO - LOGIA - BANO]]=AU$2,100%,AVANCE[[#This Row],[PUERTAS ACCESO - LOGIA - BANO]])</f>
        <v>0</v>
      </c>
      <c r="CJ364" s="3">
        <f>+IF(AVANCE[[#This Row],[CERRADURAS]]=AV$2,100%,AVANCE[[#This Row],[CERRADURAS]])</f>
        <v>0</v>
      </c>
      <c r="CK364" s="3">
        <f>+IF(AVANCE[[#This Row],[REVESTIMIENTO INTERIOR ZONA SECA]]=AW$2,100%,AVANCE[[#This Row],[REVESTIMIENTO INTERIOR ZONA SECA]])</f>
        <v>0</v>
      </c>
      <c r="CL364" s="3">
        <f>+IF(AVANCE[[#This Row],[REVESTIMIENTO INTERIOR ZONAS HUMEDAS]]=AX$2,100%,AVANCE[[#This Row],[REVESTIMIENTO INTERIOR ZONAS HUMEDAS]])</f>
        <v>0</v>
      </c>
      <c r="CM364" s="3">
        <f>+IF(AVANCE[[#This Row],[MEMBRANA CIELO]]=AY$2,100%,AVANCE[[#This Row],[MEMBRANA CIELO]])</f>
        <v>0</v>
      </c>
      <c r="CN364" s="3">
        <f>+IF(AVANCE[[#This Row],[LIMPIEZA FINAL]]=AZ$2,100%,AVANCE[[#This Row],[LIMPIEZA FINAL]])</f>
        <v>0</v>
      </c>
      <c r="CO364" s="3">
        <f>+IF(AVANCE[[#This Row],[PUERTAS DORMITORIO]]=BA$2,100%,AVANCE[[#This Row],[PUERTAS DORMITORIO]])</f>
        <v>0</v>
      </c>
      <c r="CP364" s="3">
        <f>+IF(AVANCE[[#This Row],[REVESTIMIENTO INTERIOR BANO]]=BB$2,100%,AVANCE[[#This Row],[REVESTIMIENTO INTERIOR BANO]])</f>
        <v>0</v>
      </c>
      <c r="CQ364" s="3">
        <f>+IF(AVANCE[[#This Row],[MUEBLE LAVAPLATOS]]=BC$2,100%,AVANCE[[#This Row],[MUEBLE LAVAPLATOS]])</f>
        <v>0</v>
      </c>
      <c r="CR364" s="3">
        <f>+IF(AVANCE[[#This Row],[IMPERMEABILIZACION BANO - COCINA LOGIA]]=BD$2,100%,AVANCE[[#This Row],[IMPERMEABILIZACION BANO - COCINA LOGIA]])</f>
        <v>0</v>
      </c>
      <c r="CS364" s="40">
        <f ca="1">+IF(AVANCE[[#This Row],[ESTADO MODULO]]="PENDIENTE",(TODAY()-AVANCE[[#This Row],[FECHA TERMINO  PLANIFICADO]]),0)</f>
        <v>0</v>
      </c>
      <c r="CT364" s="41" t="str" cm="1">
        <f t="array" ref="CT364">_xlfn.TEXTJOIN(" | ",TRUE,IF(SUMPRODUCT((BG364:CR364&lt;1)*(PARTIDAS!$I$2:$AT$2="OBRA GRUESA"))&gt;0,"OBRA GRUESA: "&amp;_xlfn.TEXTJOIN(", ",TRUE,IF((BG364:CR364&lt;1)*(PARTIDAS!$I$2:$AT$2="OBRA GRUESA"),PARTIDAS!$I$1:$AT$1,"")),""),IF(SUMPRODUCT((BG364:CR364&lt;1)*(PARTIDAS!$I$2:$AT$2="SANITARIOS"))&gt;0,"SANITARIOS: "&amp;_xlfn.TEXTJOIN(", ",TRUE,IF((BG364:CR364&lt;1)*(PARTIDAS!$I$2:$AT$2="SANITARIOS"),PARTIDAS!$I$1:$AT$1,"")),""),IF(SUMPRODUCT((BG364:CR364&lt;1)*(PARTIDAS!$I$2:$AT$2="ELÉCTRICO"))&gt;0,"ELÉCTRICO: "&amp;_xlfn.TEXTJOIN(", ",TRUE,IF((BG364:CR364&lt;1)*(PARTIDAS!$I$2:$AT$2="ELÉCTRICO"),PARTIDAS!$I$1:$AT$1,"")),""),IF(SUMPRODUCT((BG364:CR364&lt;1)*(PARTIDAS!$I$2:$AT$2="TERMINACIONES"))&gt;0,"TERMINACIONES: "&amp;_xlfn.TEXTJOIN(", ",TRUE,IF((BG364:CR364&lt;1)*(PARTIDAS!$I$2:$AT$2="TERMINACIONES"),PARTIDAS!$I$1:$AT$1,"")),""))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4" s="43" t="str" cm="1">
        <f t="array" ref="CU364">_xlfn.TEXTJOIN(", ",TRUE,IF(SUMPRODUCT((BG364:CR364&lt;1)*(PARTIDAS!$I$2:$AT$2="OBRA GRUESA"))&gt;0,"OBRA GRUESA",""),IF(SUMPRODUCT((BG364:CR364&lt;1)*(PARTIDAS!$I$2:$AT$2="SANITARIOS"))&gt;0,"SANITARIOS",""),IF(SUMPRODUCT((BG364:CR364&lt;1)*(PARTIDAS!$I$2:$AT$2="ELÉCTRICO"))&gt;0,"ELÉCTRICO",""),IF(SUMPRODUCT((BG364:CR364&lt;1)*(PARTIDAS!$I$2:$AT$2="TERMINACIONES"))&gt;0,"TERMINACIONES",""))</f>
        <v>OBRA GRUESA, SANITARIOS, ELÉCTRICO, TERMINACIONES</v>
      </c>
      <c r="CV364" s="44" cm="1">
        <f t="array" ref="CV364">SUMPRODUCT(--(BG364:CR364&lt;1))</f>
        <v>38</v>
      </c>
    </row>
    <row r="365" spans="1:100" hidden="1" x14ac:dyDescent="0.25">
      <c r="A365" t="s">
        <v>421</v>
      </c>
      <c r="B365" t="s">
        <v>433</v>
      </c>
      <c r="C365">
        <v>2282600364</v>
      </c>
      <c r="D365" t="s">
        <v>58</v>
      </c>
      <c r="E365" s="2">
        <v>0</v>
      </c>
      <c r="F365" s="1">
        <v>46322</v>
      </c>
      <c r="G365" s="1"/>
      <c r="H365" s="1">
        <v>0</v>
      </c>
      <c r="I365" s="1">
        <v>46342</v>
      </c>
      <c r="J365">
        <v>46230</v>
      </c>
      <c r="K365" s="1"/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>
        <v>28.87</v>
      </c>
      <c r="BF365" s="3" t="str">
        <f>+IF(AVANCE[[#This Row],[% AVANCE]]=100%,"MODULO TERMINADO",IF(AVANCE[[#This Row],[FECHA INICIO REAL]]="","MODULO NO INICIADO","PENDIENTE"))</f>
        <v>MODULO NO INICIADO</v>
      </c>
      <c r="BG365" s="3">
        <f>+IF(AVANCE[[#This Row],[VENTANAS]]=8.10810810810811%,100%,AVANCE[[#This Row],[VENTANAS]])</f>
        <v>0</v>
      </c>
      <c r="BH365" s="3">
        <f>+IF(AVANCE[[#This Row],[PISO]]=N$2,100%,AVANCE[[#This Row],[PISO]])</f>
        <v>0</v>
      </c>
      <c r="BI365" s="3">
        <f>+IF(AVANCE[[#This Row],[TABIQUES]]=O$2,100%,AVANCE[[#This Row],[TABIQUES]])</f>
        <v>0</v>
      </c>
      <c r="BJ365" s="3">
        <f>+IF(AVANCE[[#This Row],[MUROS]]=P$2,100%,AVANCE[[#This Row],[MUROS]])</f>
        <v>0</v>
      </c>
      <c r="BK365" s="3">
        <f>+IF(AVANCE[[#This Row],[CIELO]]=Q$2,100%,AVANCE[[#This Row],[CIELO]])</f>
        <v>0</v>
      </c>
      <c r="BL365" s="3">
        <f>+IF(AVANCE[[#This Row],[BALCÓN]]=R$2,100%,AVANCE[[#This Row],[BALCÓN]])</f>
        <v>0</v>
      </c>
      <c r="BM365" s="3">
        <f>+IF(AVANCE[[#This Row],[RED ALCANTARILLADO]]=U$2,100%,AVANCE[[#This Row],[RED ALCANTARILLADO]])</f>
        <v>0</v>
      </c>
      <c r="BN365" s="3">
        <f>+IF(AVANCE[[#This Row],[RED DE AGUA]]=V$2,100%,AVANCE[[#This Row],[RED DE AGUA]])</f>
        <v>0</v>
      </c>
      <c r="BO365" s="3">
        <f>+IF(AVANCE[[#This Row],[VENTILACIONES]]=W$2,100%,AVANCE[[#This Row],[VENTILACIONES]])</f>
        <v>0</v>
      </c>
      <c r="BP365" s="3">
        <f>+IF(AVANCE[[#This Row],[TINA]]=X$2,100%,AVANCE[[#This Row],[TINA]])</f>
        <v>0</v>
      </c>
      <c r="BQ365" s="3">
        <f>+IF(AVANCE[[#This Row],[WC]]=Y$2,100%,AVANCE[[#This Row],[WC]])</f>
        <v>0</v>
      </c>
      <c r="BR365" s="3">
        <f>+IF(AVANCE[[#This Row],[LAVAMANOS / LAVAPLATOS / LAVADERO]]=Z$2,100%,AVANCE[[#This Row],[LAVAMANOS / LAVAPLATOS / LAVADERO]])</f>
        <v>0</v>
      </c>
      <c r="BS365" s="3">
        <f>+IF(AVANCE[[#This Row],[CANALIZACIÓN]]=AC$2,100%,AVANCE[[#This Row],[CANALIZACIÓN]])</f>
        <v>0</v>
      </c>
      <c r="BT365" s="3">
        <f>+IF(AVANCE[[#This Row],[CABLEADO]]=AD$2,100%,AVANCE[[#This Row],[CABLEADO]])</f>
        <v>0</v>
      </c>
      <c r="BU365" s="3">
        <f>+IF(AVANCE[[#This Row],[ARTEFACTOS]]=AE$2,100%,AVANCE[[#This Row],[ARTEFACTOS]])</f>
        <v>0</v>
      </c>
      <c r="BV365" s="3">
        <f>+IF(AVANCE[[#This Row],[TABLERO]]=AF$2,100%,AVANCE[[#This Row],[TABLERO]])</f>
        <v>0</v>
      </c>
      <c r="BW365" s="3">
        <f>+IF(AVANCE[[#This Row],[CAJA PAU]]=AG$2,100%,AVANCE[[#This Row],[CAJA PAU]])</f>
        <v>0</v>
      </c>
      <c r="BX365" s="3">
        <f>+IF(AVANCE[[#This Row],[INSTALACION VINILICO]]=AJ$2,100%,AVANCE[[#This Row],[INSTALACION VINILICO]])</f>
        <v>0</v>
      </c>
      <c r="BY365" s="3">
        <f>+IF(AVANCE[[#This Row],[OSB CUBIERTA]]=AK$2,100%,AVANCE[[#This Row],[OSB CUBIERTA]])</f>
        <v>0</v>
      </c>
      <c r="BZ365" s="3">
        <f>+IF(AVANCE[[#This Row],[BARANDA BALCON]]=AL$2,100%,AVANCE[[#This Row],[BARANDA BALCON]])</f>
        <v>0</v>
      </c>
      <c r="CA365" s="3">
        <f>+IF(AVANCE[[#This Row],[OSB EXTERIOR]]=AM$2,100%,AVANCE[[#This Row],[OSB EXTERIOR]])</f>
        <v>0</v>
      </c>
      <c r="CB365" s="3">
        <f>+IF(AVANCE[[#This Row],[SMART PANEL]]=AN$2,100%,AVANCE[[#This Row],[SMART PANEL]])</f>
        <v>0</v>
      </c>
      <c r="CC365" s="3">
        <f>+IF(AVANCE[[#This Row],[PINTURA EXTERIOR]]=AO$2,100%,AVANCE[[#This Row],[PINTURA EXTERIOR]])</f>
        <v>0</v>
      </c>
      <c r="CD365" s="3">
        <f>+IF(AVANCE[[#This Row],[ZOCALOS LOGIA]]=AP$2,100%,AVANCE[[#This Row],[ZOCALOS LOGIA]])</f>
        <v>0</v>
      </c>
      <c r="CE365" s="3">
        <f>+IF(AVANCE[[#This Row],[MOLDURAS]]=AQ$2,100%,AVANCE[[#This Row],[MOLDURAS]])</f>
        <v>0</v>
      </c>
      <c r="CF365" s="3">
        <f>+IF(AVANCE[[#This Row],[PILASTREO]]=AR$2,100%,AVANCE[[#This Row],[PILASTREO]])</f>
        <v>0</v>
      </c>
      <c r="CG365" s="3">
        <f>+IF(AVANCE[[#This Row],[CELOSIAS]]=AS$2,100%,AVANCE[[#This Row],[CELOSIAS]])</f>
        <v>0</v>
      </c>
      <c r="CH365" s="3">
        <f>+IF(AVANCE[[#This Row],[VENTANAS]]=AT$2,100%,AVANCE[[#This Row],[VENTANAS]])</f>
        <v>0</v>
      </c>
      <c r="CI365" s="3">
        <f>+IF(AVANCE[[#This Row],[PUERTAS ACCESO - LOGIA - BANO]]=AU$2,100%,AVANCE[[#This Row],[PUERTAS ACCESO - LOGIA - BANO]])</f>
        <v>0</v>
      </c>
      <c r="CJ365" s="3">
        <f>+IF(AVANCE[[#This Row],[CERRADURAS]]=AV$2,100%,AVANCE[[#This Row],[CERRADURAS]])</f>
        <v>0</v>
      </c>
      <c r="CK365" s="3">
        <f>+IF(AVANCE[[#This Row],[REVESTIMIENTO INTERIOR ZONA SECA]]=AW$2,100%,AVANCE[[#This Row],[REVESTIMIENTO INTERIOR ZONA SECA]])</f>
        <v>0</v>
      </c>
      <c r="CL365" s="3">
        <f>+IF(AVANCE[[#This Row],[REVESTIMIENTO INTERIOR ZONAS HUMEDAS]]=AX$2,100%,AVANCE[[#This Row],[REVESTIMIENTO INTERIOR ZONAS HUMEDAS]])</f>
        <v>0</v>
      </c>
      <c r="CM365" s="3">
        <f>+IF(AVANCE[[#This Row],[MEMBRANA CIELO]]=AY$2,100%,AVANCE[[#This Row],[MEMBRANA CIELO]])</f>
        <v>0</v>
      </c>
      <c r="CN365" s="3">
        <f>+IF(AVANCE[[#This Row],[LIMPIEZA FINAL]]=AZ$2,100%,AVANCE[[#This Row],[LIMPIEZA FINAL]])</f>
        <v>0</v>
      </c>
      <c r="CO365" s="3">
        <f>+IF(AVANCE[[#This Row],[PUERTAS DORMITORIO]]=BA$2,100%,AVANCE[[#This Row],[PUERTAS DORMITORIO]])</f>
        <v>0</v>
      </c>
      <c r="CP365" s="3">
        <f>+IF(AVANCE[[#This Row],[REVESTIMIENTO INTERIOR BANO]]=BB$2,100%,AVANCE[[#This Row],[REVESTIMIENTO INTERIOR BANO]])</f>
        <v>0</v>
      </c>
      <c r="CQ365" s="3">
        <f>+IF(AVANCE[[#This Row],[MUEBLE LAVAPLATOS]]=BC$2,100%,AVANCE[[#This Row],[MUEBLE LAVAPLATOS]])</f>
        <v>0</v>
      </c>
      <c r="CR365" s="3">
        <f>+IF(AVANCE[[#This Row],[IMPERMEABILIZACION BANO - COCINA LOGIA]]=BD$2,100%,AVANCE[[#This Row],[IMPERMEABILIZACION BANO - COCINA LOGIA]])</f>
        <v>0</v>
      </c>
      <c r="CS365" s="40">
        <f ca="1">+IF(AVANCE[[#This Row],[ESTADO MODULO]]="PENDIENTE",(TODAY()-AVANCE[[#This Row],[FECHA TERMINO  PLANIFICADO]]),0)</f>
        <v>0</v>
      </c>
      <c r="CT365" s="41" t="str" cm="1">
        <f t="array" ref="CT365">_xlfn.TEXTJOIN(" | ",TRUE,IF(SUMPRODUCT((BG365:CR365&lt;1)*(PARTIDAS!$I$2:$AT$2="OBRA GRUESA"))&gt;0,"OBRA GRUESA: "&amp;_xlfn.TEXTJOIN(", ",TRUE,IF((BG365:CR365&lt;1)*(PARTIDAS!$I$2:$AT$2="OBRA GRUESA"),PARTIDAS!$I$1:$AT$1,"")),""),IF(SUMPRODUCT((BG365:CR365&lt;1)*(PARTIDAS!$I$2:$AT$2="SANITARIOS"))&gt;0,"SANITARIOS: "&amp;_xlfn.TEXTJOIN(", ",TRUE,IF((BG365:CR365&lt;1)*(PARTIDAS!$I$2:$AT$2="SANITARIOS"),PARTIDAS!$I$1:$AT$1,"")),""),IF(SUMPRODUCT((BG365:CR365&lt;1)*(PARTIDAS!$I$2:$AT$2="ELÉCTRICO"))&gt;0,"ELÉCTRICO: "&amp;_xlfn.TEXTJOIN(", ",TRUE,IF((BG365:CR365&lt;1)*(PARTIDAS!$I$2:$AT$2="ELÉCTRICO"),PARTIDAS!$I$1:$AT$1,"")),""),IF(SUMPRODUCT((BG365:CR365&lt;1)*(PARTIDAS!$I$2:$AT$2="TERMINACIONES"))&gt;0,"TERMINACIONES: "&amp;_xlfn.TEXTJOIN(", ",TRUE,IF((BG365:CR365&lt;1)*(PARTIDAS!$I$2:$AT$2="TERMINACIONES"),PARTIDAS!$I$1:$AT$1,"")),""))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5" s="43" t="str" cm="1">
        <f t="array" ref="CU365">_xlfn.TEXTJOIN(", ",TRUE,IF(SUMPRODUCT((BG365:CR365&lt;1)*(PARTIDAS!$I$2:$AT$2="OBRA GRUESA"))&gt;0,"OBRA GRUESA",""),IF(SUMPRODUCT((BG365:CR365&lt;1)*(PARTIDAS!$I$2:$AT$2="SANITARIOS"))&gt;0,"SANITARIOS",""),IF(SUMPRODUCT((BG365:CR365&lt;1)*(PARTIDAS!$I$2:$AT$2="ELÉCTRICO"))&gt;0,"ELÉCTRICO",""),IF(SUMPRODUCT((BG365:CR365&lt;1)*(PARTIDAS!$I$2:$AT$2="TERMINACIONES"))&gt;0,"TERMINACIONES",""))</f>
        <v>OBRA GRUESA, SANITARIOS, ELÉCTRICO, TERMINACIONES</v>
      </c>
      <c r="CV365" s="44" cm="1">
        <f t="array" ref="CV365">SUMPRODUCT(--(BG365:CR365&lt;1))</f>
        <v>38</v>
      </c>
    </row>
    <row r="366" spans="1:100" hidden="1" x14ac:dyDescent="0.25">
      <c r="A366" t="s">
        <v>421</v>
      </c>
      <c r="B366" t="s">
        <v>434</v>
      </c>
      <c r="C366">
        <v>2282600365</v>
      </c>
      <c r="D366" t="s">
        <v>58</v>
      </c>
      <c r="E366" s="2">
        <v>0</v>
      </c>
      <c r="F366" s="1">
        <v>46323</v>
      </c>
      <c r="G366" s="1"/>
      <c r="H366" s="1">
        <v>0</v>
      </c>
      <c r="I366" s="1">
        <v>46343</v>
      </c>
      <c r="J366">
        <v>46230</v>
      </c>
      <c r="K366" s="1"/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>
        <v>28.87</v>
      </c>
      <c r="BF366" s="3" t="str">
        <f>+IF(AVANCE[[#This Row],[% AVANCE]]=100%,"MODULO TERMINADO",IF(AVANCE[[#This Row],[FECHA INICIO REAL]]="","MODULO NO INICIADO","PENDIENTE"))</f>
        <v>MODULO NO INICIADO</v>
      </c>
      <c r="BG366" s="3">
        <f>+IF(AVANCE[[#This Row],[VENTANAS]]=8.10810810810811%,100%,AVANCE[[#This Row],[VENTANAS]])</f>
        <v>0</v>
      </c>
      <c r="BH366" s="3">
        <f>+IF(AVANCE[[#This Row],[PISO]]=N$2,100%,AVANCE[[#This Row],[PISO]])</f>
        <v>0</v>
      </c>
      <c r="BI366" s="3">
        <f>+IF(AVANCE[[#This Row],[TABIQUES]]=O$2,100%,AVANCE[[#This Row],[TABIQUES]])</f>
        <v>0</v>
      </c>
      <c r="BJ366" s="3">
        <f>+IF(AVANCE[[#This Row],[MUROS]]=P$2,100%,AVANCE[[#This Row],[MUROS]])</f>
        <v>0</v>
      </c>
      <c r="BK366" s="3">
        <f>+IF(AVANCE[[#This Row],[CIELO]]=Q$2,100%,AVANCE[[#This Row],[CIELO]])</f>
        <v>0</v>
      </c>
      <c r="BL366" s="3">
        <f>+IF(AVANCE[[#This Row],[BALCÓN]]=R$2,100%,AVANCE[[#This Row],[BALCÓN]])</f>
        <v>0</v>
      </c>
      <c r="BM366" s="3">
        <f>+IF(AVANCE[[#This Row],[RED ALCANTARILLADO]]=U$2,100%,AVANCE[[#This Row],[RED ALCANTARILLADO]])</f>
        <v>0</v>
      </c>
      <c r="BN366" s="3">
        <f>+IF(AVANCE[[#This Row],[RED DE AGUA]]=V$2,100%,AVANCE[[#This Row],[RED DE AGUA]])</f>
        <v>0</v>
      </c>
      <c r="BO366" s="3">
        <f>+IF(AVANCE[[#This Row],[VENTILACIONES]]=W$2,100%,AVANCE[[#This Row],[VENTILACIONES]])</f>
        <v>0</v>
      </c>
      <c r="BP366" s="3">
        <f>+IF(AVANCE[[#This Row],[TINA]]=X$2,100%,AVANCE[[#This Row],[TINA]])</f>
        <v>0</v>
      </c>
      <c r="BQ366" s="3">
        <f>+IF(AVANCE[[#This Row],[WC]]=Y$2,100%,AVANCE[[#This Row],[WC]])</f>
        <v>0</v>
      </c>
      <c r="BR366" s="3">
        <f>+IF(AVANCE[[#This Row],[LAVAMANOS / LAVAPLATOS / LAVADERO]]=Z$2,100%,AVANCE[[#This Row],[LAVAMANOS / LAVAPLATOS / LAVADERO]])</f>
        <v>0</v>
      </c>
      <c r="BS366" s="3">
        <f>+IF(AVANCE[[#This Row],[CANALIZACIÓN]]=AC$2,100%,AVANCE[[#This Row],[CANALIZACIÓN]])</f>
        <v>0</v>
      </c>
      <c r="BT366" s="3">
        <f>+IF(AVANCE[[#This Row],[CABLEADO]]=AD$2,100%,AVANCE[[#This Row],[CABLEADO]])</f>
        <v>0</v>
      </c>
      <c r="BU366" s="3">
        <f>+IF(AVANCE[[#This Row],[ARTEFACTOS]]=AE$2,100%,AVANCE[[#This Row],[ARTEFACTOS]])</f>
        <v>0</v>
      </c>
      <c r="BV366" s="3">
        <f>+IF(AVANCE[[#This Row],[TABLERO]]=AF$2,100%,AVANCE[[#This Row],[TABLERO]])</f>
        <v>0</v>
      </c>
      <c r="BW366" s="3">
        <f>+IF(AVANCE[[#This Row],[CAJA PAU]]=AG$2,100%,AVANCE[[#This Row],[CAJA PAU]])</f>
        <v>0</v>
      </c>
      <c r="BX366" s="3">
        <f>+IF(AVANCE[[#This Row],[INSTALACION VINILICO]]=AJ$2,100%,AVANCE[[#This Row],[INSTALACION VINILICO]])</f>
        <v>0</v>
      </c>
      <c r="BY366" s="3">
        <f>+IF(AVANCE[[#This Row],[OSB CUBIERTA]]=AK$2,100%,AVANCE[[#This Row],[OSB CUBIERTA]])</f>
        <v>0</v>
      </c>
      <c r="BZ366" s="3">
        <f>+IF(AVANCE[[#This Row],[BARANDA BALCON]]=AL$2,100%,AVANCE[[#This Row],[BARANDA BALCON]])</f>
        <v>0</v>
      </c>
      <c r="CA366" s="3">
        <f>+IF(AVANCE[[#This Row],[OSB EXTERIOR]]=AM$2,100%,AVANCE[[#This Row],[OSB EXTERIOR]])</f>
        <v>0</v>
      </c>
      <c r="CB366" s="3">
        <f>+IF(AVANCE[[#This Row],[SMART PANEL]]=AN$2,100%,AVANCE[[#This Row],[SMART PANEL]])</f>
        <v>0</v>
      </c>
      <c r="CC366" s="3">
        <f>+IF(AVANCE[[#This Row],[PINTURA EXTERIOR]]=AO$2,100%,AVANCE[[#This Row],[PINTURA EXTERIOR]])</f>
        <v>0</v>
      </c>
      <c r="CD366" s="3">
        <f>+IF(AVANCE[[#This Row],[ZOCALOS LOGIA]]=AP$2,100%,AVANCE[[#This Row],[ZOCALOS LOGIA]])</f>
        <v>0</v>
      </c>
      <c r="CE366" s="3">
        <f>+IF(AVANCE[[#This Row],[MOLDURAS]]=AQ$2,100%,AVANCE[[#This Row],[MOLDURAS]])</f>
        <v>0</v>
      </c>
      <c r="CF366" s="3">
        <f>+IF(AVANCE[[#This Row],[PILASTREO]]=AR$2,100%,AVANCE[[#This Row],[PILASTREO]])</f>
        <v>0</v>
      </c>
      <c r="CG366" s="3">
        <f>+IF(AVANCE[[#This Row],[CELOSIAS]]=AS$2,100%,AVANCE[[#This Row],[CELOSIAS]])</f>
        <v>0</v>
      </c>
      <c r="CH366" s="3">
        <f>+IF(AVANCE[[#This Row],[VENTANAS]]=AT$2,100%,AVANCE[[#This Row],[VENTANAS]])</f>
        <v>0</v>
      </c>
      <c r="CI366" s="3">
        <f>+IF(AVANCE[[#This Row],[PUERTAS ACCESO - LOGIA - BANO]]=AU$2,100%,AVANCE[[#This Row],[PUERTAS ACCESO - LOGIA - BANO]])</f>
        <v>0</v>
      </c>
      <c r="CJ366" s="3">
        <f>+IF(AVANCE[[#This Row],[CERRADURAS]]=AV$2,100%,AVANCE[[#This Row],[CERRADURAS]])</f>
        <v>0</v>
      </c>
      <c r="CK366" s="3">
        <f>+IF(AVANCE[[#This Row],[REVESTIMIENTO INTERIOR ZONA SECA]]=AW$2,100%,AVANCE[[#This Row],[REVESTIMIENTO INTERIOR ZONA SECA]])</f>
        <v>0</v>
      </c>
      <c r="CL366" s="3">
        <f>+IF(AVANCE[[#This Row],[REVESTIMIENTO INTERIOR ZONAS HUMEDAS]]=AX$2,100%,AVANCE[[#This Row],[REVESTIMIENTO INTERIOR ZONAS HUMEDAS]])</f>
        <v>0</v>
      </c>
      <c r="CM366" s="3">
        <f>+IF(AVANCE[[#This Row],[MEMBRANA CIELO]]=AY$2,100%,AVANCE[[#This Row],[MEMBRANA CIELO]])</f>
        <v>0</v>
      </c>
      <c r="CN366" s="3">
        <f>+IF(AVANCE[[#This Row],[LIMPIEZA FINAL]]=AZ$2,100%,AVANCE[[#This Row],[LIMPIEZA FINAL]])</f>
        <v>0</v>
      </c>
      <c r="CO366" s="3">
        <f>+IF(AVANCE[[#This Row],[PUERTAS DORMITORIO]]=BA$2,100%,AVANCE[[#This Row],[PUERTAS DORMITORIO]])</f>
        <v>0</v>
      </c>
      <c r="CP366" s="3">
        <f>+IF(AVANCE[[#This Row],[REVESTIMIENTO INTERIOR BANO]]=BB$2,100%,AVANCE[[#This Row],[REVESTIMIENTO INTERIOR BANO]])</f>
        <v>0</v>
      </c>
      <c r="CQ366" s="3">
        <f>+IF(AVANCE[[#This Row],[MUEBLE LAVAPLATOS]]=BC$2,100%,AVANCE[[#This Row],[MUEBLE LAVAPLATOS]])</f>
        <v>0</v>
      </c>
      <c r="CR366" s="3">
        <f>+IF(AVANCE[[#This Row],[IMPERMEABILIZACION BANO - COCINA LOGIA]]=BD$2,100%,AVANCE[[#This Row],[IMPERMEABILIZACION BANO - COCINA LOGIA]])</f>
        <v>0</v>
      </c>
      <c r="CS366" s="40">
        <f ca="1">+IF(AVANCE[[#This Row],[ESTADO MODULO]]="PENDIENTE",(TODAY()-AVANCE[[#This Row],[FECHA TERMINO  PLANIFICADO]]),0)</f>
        <v>0</v>
      </c>
      <c r="CT366" s="41" t="str" cm="1">
        <f t="array" ref="CT366">_xlfn.TEXTJOIN(" | ",TRUE,IF(SUMPRODUCT((BG366:CR366&lt;1)*(PARTIDAS!$I$2:$AT$2="OBRA GRUESA"))&gt;0,"OBRA GRUESA: "&amp;_xlfn.TEXTJOIN(", ",TRUE,IF((BG366:CR366&lt;1)*(PARTIDAS!$I$2:$AT$2="OBRA GRUESA"),PARTIDAS!$I$1:$AT$1,"")),""),IF(SUMPRODUCT((BG366:CR366&lt;1)*(PARTIDAS!$I$2:$AT$2="SANITARIOS"))&gt;0,"SANITARIOS: "&amp;_xlfn.TEXTJOIN(", ",TRUE,IF((BG366:CR366&lt;1)*(PARTIDAS!$I$2:$AT$2="SANITARIOS"),PARTIDAS!$I$1:$AT$1,"")),""),IF(SUMPRODUCT((BG366:CR366&lt;1)*(PARTIDAS!$I$2:$AT$2="ELÉCTRICO"))&gt;0,"ELÉCTRICO: "&amp;_xlfn.TEXTJOIN(", ",TRUE,IF((BG366:CR366&lt;1)*(PARTIDAS!$I$2:$AT$2="ELÉCTRICO"),PARTIDAS!$I$1:$AT$1,"")),""),IF(SUMPRODUCT((BG366:CR366&lt;1)*(PARTIDAS!$I$2:$AT$2="TERMINACIONES"))&gt;0,"TERMINACIONES: "&amp;_xlfn.TEXTJOIN(", ",TRUE,IF((BG366:CR366&lt;1)*(PARTIDAS!$I$2:$AT$2="TERMINACIONES"),PARTIDAS!$I$1:$AT$1,"")),""))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6" s="43" t="str" cm="1">
        <f t="array" ref="CU366">_xlfn.TEXTJOIN(", ",TRUE,IF(SUMPRODUCT((BG366:CR366&lt;1)*(PARTIDAS!$I$2:$AT$2="OBRA GRUESA"))&gt;0,"OBRA GRUESA",""),IF(SUMPRODUCT((BG366:CR366&lt;1)*(PARTIDAS!$I$2:$AT$2="SANITARIOS"))&gt;0,"SANITARIOS",""),IF(SUMPRODUCT((BG366:CR366&lt;1)*(PARTIDAS!$I$2:$AT$2="ELÉCTRICO"))&gt;0,"ELÉCTRICO",""),IF(SUMPRODUCT((BG366:CR366&lt;1)*(PARTIDAS!$I$2:$AT$2="TERMINACIONES"))&gt;0,"TERMINACIONES",""))</f>
        <v>OBRA GRUESA, SANITARIOS, ELÉCTRICO, TERMINACIONES</v>
      </c>
      <c r="CV366" s="44" cm="1">
        <f t="array" ref="CV366">SUMPRODUCT(--(BG366:CR366&lt;1))</f>
        <v>38</v>
      </c>
    </row>
    <row r="367" spans="1:100" hidden="1" x14ac:dyDescent="0.25">
      <c r="A367" t="s">
        <v>421</v>
      </c>
      <c r="B367" t="s">
        <v>435</v>
      </c>
      <c r="C367">
        <v>2302600366</v>
      </c>
      <c r="D367" t="s">
        <v>60</v>
      </c>
      <c r="E367" s="2">
        <v>0</v>
      </c>
      <c r="F367" s="1">
        <v>46323</v>
      </c>
      <c r="G367" s="1"/>
      <c r="H367" s="1">
        <v>0</v>
      </c>
      <c r="I367" s="1">
        <v>46353</v>
      </c>
      <c r="J367">
        <v>46230</v>
      </c>
      <c r="K367" s="1"/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>
        <v>31.32</v>
      </c>
      <c r="BF367" s="3" t="str">
        <f>+IF(AVANCE[[#This Row],[% AVANCE]]=100%,"MODULO TERMINADO",IF(AVANCE[[#This Row],[FECHA INICIO REAL]]="","MODULO NO INICIADO","PENDIENTE"))</f>
        <v>MODULO NO INICIADO</v>
      </c>
      <c r="BG367" s="3">
        <f>+IF(AVANCE[[#This Row],[VENTANAS]]=8.10810810810811%,100%,AVANCE[[#This Row],[VENTANAS]])</f>
        <v>0</v>
      </c>
      <c r="BH367" s="3">
        <f>+IF(AVANCE[[#This Row],[PISO]]=N$2,100%,AVANCE[[#This Row],[PISO]])</f>
        <v>0</v>
      </c>
      <c r="BI367" s="3">
        <f>+IF(AVANCE[[#This Row],[TABIQUES]]=O$2,100%,AVANCE[[#This Row],[TABIQUES]])</f>
        <v>0</v>
      </c>
      <c r="BJ367" s="3">
        <f>+IF(AVANCE[[#This Row],[MUROS]]=P$2,100%,AVANCE[[#This Row],[MUROS]])</f>
        <v>0</v>
      </c>
      <c r="BK367" s="3">
        <f>+IF(AVANCE[[#This Row],[CIELO]]=Q$2,100%,AVANCE[[#This Row],[CIELO]])</f>
        <v>0</v>
      </c>
      <c r="BL367" s="3">
        <f>+IF(AVANCE[[#This Row],[BALCÓN]]=R$2,100%,AVANCE[[#This Row],[BALCÓN]])</f>
        <v>0</v>
      </c>
      <c r="BM367" s="3">
        <f>+IF(AVANCE[[#This Row],[RED ALCANTARILLADO]]=U$2,100%,AVANCE[[#This Row],[RED ALCANTARILLADO]])</f>
        <v>0</v>
      </c>
      <c r="BN367" s="3">
        <f>+IF(AVANCE[[#This Row],[RED DE AGUA]]=V$2,100%,AVANCE[[#This Row],[RED DE AGUA]])</f>
        <v>0</v>
      </c>
      <c r="BO367" s="3">
        <f>+IF(AVANCE[[#This Row],[VENTILACIONES]]=W$2,100%,AVANCE[[#This Row],[VENTILACIONES]])</f>
        <v>0</v>
      </c>
      <c r="BP367" s="3">
        <f>+IF(AVANCE[[#This Row],[TINA]]=X$2,100%,AVANCE[[#This Row],[TINA]])</f>
        <v>0</v>
      </c>
      <c r="BQ367" s="3">
        <f>+IF(AVANCE[[#This Row],[WC]]=Y$2,100%,AVANCE[[#This Row],[WC]])</f>
        <v>0</v>
      </c>
      <c r="BR367" s="3">
        <f>+IF(AVANCE[[#This Row],[LAVAMANOS / LAVAPLATOS / LAVADERO]]=Z$2,100%,AVANCE[[#This Row],[LAVAMANOS / LAVAPLATOS / LAVADERO]])</f>
        <v>0</v>
      </c>
      <c r="BS367" s="3">
        <f>+IF(AVANCE[[#This Row],[CANALIZACIÓN]]=AC$2,100%,AVANCE[[#This Row],[CANALIZACIÓN]])</f>
        <v>0</v>
      </c>
      <c r="BT367" s="3">
        <f>+IF(AVANCE[[#This Row],[CABLEADO]]=AD$2,100%,AVANCE[[#This Row],[CABLEADO]])</f>
        <v>0</v>
      </c>
      <c r="BU367" s="3">
        <f>+IF(AVANCE[[#This Row],[ARTEFACTOS]]=AE$2,100%,AVANCE[[#This Row],[ARTEFACTOS]])</f>
        <v>0</v>
      </c>
      <c r="BV367" s="3">
        <f>+IF(AVANCE[[#This Row],[TABLERO]]=AF$2,100%,AVANCE[[#This Row],[TABLERO]])</f>
        <v>0</v>
      </c>
      <c r="BW367" s="3">
        <f>+IF(AVANCE[[#This Row],[CAJA PAU]]=AG$2,100%,AVANCE[[#This Row],[CAJA PAU]])</f>
        <v>0</v>
      </c>
      <c r="BX367" s="3">
        <f>+IF(AVANCE[[#This Row],[INSTALACION VINILICO]]=AJ$2,100%,AVANCE[[#This Row],[INSTALACION VINILICO]])</f>
        <v>0</v>
      </c>
      <c r="BY367" s="3">
        <f>+IF(AVANCE[[#This Row],[OSB CUBIERTA]]=AK$2,100%,AVANCE[[#This Row],[OSB CUBIERTA]])</f>
        <v>0</v>
      </c>
      <c r="BZ367" s="3">
        <f>+IF(AVANCE[[#This Row],[BARANDA BALCON]]=AL$2,100%,AVANCE[[#This Row],[BARANDA BALCON]])</f>
        <v>0</v>
      </c>
      <c r="CA367" s="3">
        <f>+IF(AVANCE[[#This Row],[OSB EXTERIOR]]=AM$2,100%,AVANCE[[#This Row],[OSB EXTERIOR]])</f>
        <v>0</v>
      </c>
      <c r="CB367" s="3">
        <f>+IF(AVANCE[[#This Row],[SMART PANEL]]=AN$2,100%,AVANCE[[#This Row],[SMART PANEL]])</f>
        <v>0</v>
      </c>
      <c r="CC367" s="3">
        <f>+IF(AVANCE[[#This Row],[PINTURA EXTERIOR]]=AO$2,100%,AVANCE[[#This Row],[PINTURA EXTERIOR]])</f>
        <v>0</v>
      </c>
      <c r="CD367" s="3">
        <f>+IF(AVANCE[[#This Row],[ZOCALOS LOGIA]]=AP$2,100%,AVANCE[[#This Row],[ZOCALOS LOGIA]])</f>
        <v>0</v>
      </c>
      <c r="CE367" s="3">
        <f>+IF(AVANCE[[#This Row],[MOLDURAS]]=AQ$2,100%,AVANCE[[#This Row],[MOLDURAS]])</f>
        <v>0</v>
      </c>
      <c r="CF367" s="3">
        <f>+IF(AVANCE[[#This Row],[PILASTREO]]=AR$2,100%,AVANCE[[#This Row],[PILASTREO]])</f>
        <v>0</v>
      </c>
      <c r="CG367" s="3">
        <f>+IF(AVANCE[[#This Row],[CELOSIAS]]=AS$2,100%,AVANCE[[#This Row],[CELOSIAS]])</f>
        <v>0</v>
      </c>
      <c r="CH367" s="3">
        <f>+IF(AVANCE[[#This Row],[VENTANAS]]=AT$2,100%,AVANCE[[#This Row],[VENTANAS]])</f>
        <v>0</v>
      </c>
      <c r="CI367" s="3">
        <f>+IF(AVANCE[[#This Row],[PUERTAS ACCESO - LOGIA - BANO]]=AU$2,100%,AVANCE[[#This Row],[PUERTAS ACCESO - LOGIA - BANO]])</f>
        <v>0</v>
      </c>
      <c r="CJ367" s="3">
        <f>+IF(AVANCE[[#This Row],[CERRADURAS]]=AV$2,100%,AVANCE[[#This Row],[CERRADURAS]])</f>
        <v>0</v>
      </c>
      <c r="CK367" s="3">
        <f>+IF(AVANCE[[#This Row],[REVESTIMIENTO INTERIOR ZONA SECA]]=AW$2,100%,AVANCE[[#This Row],[REVESTIMIENTO INTERIOR ZONA SECA]])</f>
        <v>0</v>
      </c>
      <c r="CL367" s="3">
        <f>+IF(AVANCE[[#This Row],[REVESTIMIENTO INTERIOR ZONAS HUMEDAS]]=AX$2,100%,AVANCE[[#This Row],[REVESTIMIENTO INTERIOR ZONAS HUMEDAS]])</f>
        <v>0</v>
      </c>
      <c r="CM367" s="3">
        <f>+IF(AVANCE[[#This Row],[MEMBRANA CIELO]]=AY$2,100%,AVANCE[[#This Row],[MEMBRANA CIELO]])</f>
        <v>0</v>
      </c>
      <c r="CN367" s="3">
        <f>+IF(AVANCE[[#This Row],[LIMPIEZA FINAL]]=AZ$2,100%,AVANCE[[#This Row],[LIMPIEZA FINAL]])</f>
        <v>0</v>
      </c>
      <c r="CO367" s="3">
        <f>+IF(AVANCE[[#This Row],[PUERTAS DORMITORIO]]=BA$2,100%,AVANCE[[#This Row],[PUERTAS DORMITORIO]])</f>
        <v>0</v>
      </c>
      <c r="CP367" s="3">
        <f>+IF(AVANCE[[#This Row],[REVESTIMIENTO INTERIOR BANO]]=BB$2,100%,AVANCE[[#This Row],[REVESTIMIENTO INTERIOR BANO]])</f>
        <v>0</v>
      </c>
      <c r="CQ367" s="3">
        <f>+IF(AVANCE[[#This Row],[MUEBLE LAVAPLATOS]]=BC$2,100%,AVANCE[[#This Row],[MUEBLE LAVAPLATOS]])</f>
        <v>0</v>
      </c>
      <c r="CR367" s="3">
        <f>+IF(AVANCE[[#This Row],[IMPERMEABILIZACION BANO - COCINA LOGIA]]=BD$2,100%,AVANCE[[#This Row],[IMPERMEABILIZACION BANO - COCINA LOGIA]])</f>
        <v>0</v>
      </c>
      <c r="CS367" s="40">
        <f ca="1">+IF(AVANCE[[#This Row],[ESTADO MODULO]]="PENDIENTE",(TODAY()-AVANCE[[#This Row],[FECHA TERMINO  PLANIFICADO]]),0)</f>
        <v>0</v>
      </c>
      <c r="CT367" s="41" t="str" cm="1">
        <f t="array" ref="CT367">_xlfn.TEXTJOIN(" | ",TRUE,IF(SUMPRODUCT((BG367:CR367&lt;1)*(PARTIDAS!$I$2:$AT$2="OBRA GRUESA"))&gt;0,"OBRA GRUESA: "&amp;_xlfn.TEXTJOIN(", ",TRUE,IF((BG367:CR367&lt;1)*(PARTIDAS!$I$2:$AT$2="OBRA GRUESA"),PARTIDAS!$I$1:$AT$1,"")),""),IF(SUMPRODUCT((BG367:CR367&lt;1)*(PARTIDAS!$I$2:$AT$2="SANITARIOS"))&gt;0,"SANITARIOS: "&amp;_xlfn.TEXTJOIN(", ",TRUE,IF((BG367:CR367&lt;1)*(PARTIDAS!$I$2:$AT$2="SANITARIOS"),PARTIDAS!$I$1:$AT$1,"")),""),IF(SUMPRODUCT((BG367:CR367&lt;1)*(PARTIDAS!$I$2:$AT$2="ELÉCTRICO"))&gt;0,"ELÉCTRICO: "&amp;_xlfn.TEXTJOIN(", ",TRUE,IF((BG367:CR367&lt;1)*(PARTIDAS!$I$2:$AT$2="ELÉCTRICO"),PARTIDAS!$I$1:$AT$1,"")),""),IF(SUMPRODUCT((BG367:CR367&lt;1)*(PARTIDAS!$I$2:$AT$2="TERMINACIONES"))&gt;0,"TERMINACIONES: "&amp;_xlfn.TEXTJOIN(", ",TRUE,IF((BG367:CR367&lt;1)*(PARTIDAS!$I$2:$AT$2="TERMINACIONES"),PARTIDAS!$I$1:$AT$1,"")),""))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7" s="43" t="str" cm="1">
        <f t="array" ref="CU367">_xlfn.TEXTJOIN(", ",TRUE,IF(SUMPRODUCT((BG367:CR367&lt;1)*(PARTIDAS!$I$2:$AT$2="OBRA GRUESA"))&gt;0,"OBRA GRUESA",""),IF(SUMPRODUCT((BG367:CR367&lt;1)*(PARTIDAS!$I$2:$AT$2="SANITARIOS"))&gt;0,"SANITARIOS",""),IF(SUMPRODUCT((BG367:CR367&lt;1)*(PARTIDAS!$I$2:$AT$2="ELÉCTRICO"))&gt;0,"ELÉCTRICO",""),IF(SUMPRODUCT((BG367:CR367&lt;1)*(PARTIDAS!$I$2:$AT$2="TERMINACIONES"))&gt;0,"TERMINACIONES",""))</f>
        <v>OBRA GRUESA, SANITARIOS, ELÉCTRICO, TERMINACIONES</v>
      </c>
      <c r="CV367" s="44" cm="1">
        <f t="array" ref="CV367">SUMPRODUCT(--(BG367:CR367&lt;1))</f>
        <v>38</v>
      </c>
    </row>
    <row r="368" spans="1:100" hidden="1" x14ac:dyDescent="0.25">
      <c r="A368" t="s">
        <v>421</v>
      </c>
      <c r="B368" t="s">
        <v>436</v>
      </c>
      <c r="C368">
        <v>2302600367</v>
      </c>
      <c r="D368" t="s">
        <v>60</v>
      </c>
      <c r="E368" s="2">
        <v>0</v>
      </c>
      <c r="F368" s="1">
        <v>46323</v>
      </c>
      <c r="G368" s="1"/>
      <c r="H368" s="1">
        <v>0</v>
      </c>
      <c r="I368" s="1">
        <v>46353</v>
      </c>
      <c r="J368">
        <v>46230</v>
      </c>
      <c r="K368" s="1"/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>
        <v>31.32</v>
      </c>
      <c r="BF368" s="3" t="str">
        <f>+IF(AVANCE[[#This Row],[% AVANCE]]=100%,"MODULO TERMINADO",IF(AVANCE[[#This Row],[FECHA INICIO REAL]]="","MODULO NO INICIADO","PENDIENTE"))</f>
        <v>MODULO NO INICIADO</v>
      </c>
      <c r="BG368" s="3">
        <f>+IF(AVANCE[[#This Row],[VENTANAS]]=8.10810810810811%,100%,AVANCE[[#This Row],[VENTANAS]])</f>
        <v>0</v>
      </c>
      <c r="BH368" s="3">
        <f>+IF(AVANCE[[#This Row],[PISO]]=N$2,100%,AVANCE[[#This Row],[PISO]])</f>
        <v>0</v>
      </c>
      <c r="BI368" s="3">
        <f>+IF(AVANCE[[#This Row],[TABIQUES]]=O$2,100%,AVANCE[[#This Row],[TABIQUES]])</f>
        <v>0</v>
      </c>
      <c r="BJ368" s="3">
        <f>+IF(AVANCE[[#This Row],[MUROS]]=P$2,100%,AVANCE[[#This Row],[MUROS]])</f>
        <v>0</v>
      </c>
      <c r="BK368" s="3">
        <f>+IF(AVANCE[[#This Row],[CIELO]]=Q$2,100%,AVANCE[[#This Row],[CIELO]])</f>
        <v>0</v>
      </c>
      <c r="BL368" s="3">
        <f>+IF(AVANCE[[#This Row],[BALCÓN]]=R$2,100%,AVANCE[[#This Row],[BALCÓN]])</f>
        <v>0</v>
      </c>
      <c r="BM368" s="3">
        <f>+IF(AVANCE[[#This Row],[RED ALCANTARILLADO]]=U$2,100%,AVANCE[[#This Row],[RED ALCANTARILLADO]])</f>
        <v>0</v>
      </c>
      <c r="BN368" s="3">
        <f>+IF(AVANCE[[#This Row],[RED DE AGUA]]=V$2,100%,AVANCE[[#This Row],[RED DE AGUA]])</f>
        <v>0</v>
      </c>
      <c r="BO368" s="3">
        <f>+IF(AVANCE[[#This Row],[VENTILACIONES]]=W$2,100%,AVANCE[[#This Row],[VENTILACIONES]])</f>
        <v>0</v>
      </c>
      <c r="BP368" s="3">
        <f>+IF(AVANCE[[#This Row],[TINA]]=X$2,100%,AVANCE[[#This Row],[TINA]])</f>
        <v>0</v>
      </c>
      <c r="BQ368" s="3">
        <f>+IF(AVANCE[[#This Row],[WC]]=Y$2,100%,AVANCE[[#This Row],[WC]])</f>
        <v>0</v>
      </c>
      <c r="BR368" s="3">
        <f>+IF(AVANCE[[#This Row],[LAVAMANOS / LAVAPLATOS / LAVADERO]]=Z$2,100%,AVANCE[[#This Row],[LAVAMANOS / LAVAPLATOS / LAVADERO]])</f>
        <v>0</v>
      </c>
      <c r="BS368" s="3">
        <f>+IF(AVANCE[[#This Row],[CANALIZACIÓN]]=AC$2,100%,AVANCE[[#This Row],[CANALIZACIÓN]])</f>
        <v>0</v>
      </c>
      <c r="BT368" s="3">
        <f>+IF(AVANCE[[#This Row],[CABLEADO]]=AD$2,100%,AVANCE[[#This Row],[CABLEADO]])</f>
        <v>0</v>
      </c>
      <c r="BU368" s="3">
        <f>+IF(AVANCE[[#This Row],[ARTEFACTOS]]=AE$2,100%,AVANCE[[#This Row],[ARTEFACTOS]])</f>
        <v>0</v>
      </c>
      <c r="BV368" s="3">
        <f>+IF(AVANCE[[#This Row],[TABLERO]]=AF$2,100%,AVANCE[[#This Row],[TABLERO]])</f>
        <v>0</v>
      </c>
      <c r="BW368" s="3">
        <f>+IF(AVANCE[[#This Row],[CAJA PAU]]=AG$2,100%,AVANCE[[#This Row],[CAJA PAU]])</f>
        <v>0</v>
      </c>
      <c r="BX368" s="3">
        <f>+IF(AVANCE[[#This Row],[INSTALACION VINILICO]]=AJ$2,100%,AVANCE[[#This Row],[INSTALACION VINILICO]])</f>
        <v>0</v>
      </c>
      <c r="BY368" s="3">
        <f>+IF(AVANCE[[#This Row],[OSB CUBIERTA]]=AK$2,100%,AVANCE[[#This Row],[OSB CUBIERTA]])</f>
        <v>0</v>
      </c>
      <c r="BZ368" s="3">
        <f>+IF(AVANCE[[#This Row],[BARANDA BALCON]]=AL$2,100%,AVANCE[[#This Row],[BARANDA BALCON]])</f>
        <v>0</v>
      </c>
      <c r="CA368" s="3">
        <f>+IF(AVANCE[[#This Row],[OSB EXTERIOR]]=AM$2,100%,AVANCE[[#This Row],[OSB EXTERIOR]])</f>
        <v>0</v>
      </c>
      <c r="CB368" s="3">
        <f>+IF(AVANCE[[#This Row],[SMART PANEL]]=AN$2,100%,AVANCE[[#This Row],[SMART PANEL]])</f>
        <v>0</v>
      </c>
      <c r="CC368" s="3">
        <f>+IF(AVANCE[[#This Row],[PINTURA EXTERIOR]]=AO$2,100%,AVANCE[[#This Row],[PINTURA EXTERIOR]])</f>
        <v>0</v>
      </c>
      <c r="CD368" s="3">
        <f>+IF(AVANCE[[#This Row],[ZOCALOS LOGIA]]=AP$2,100%,AVANCE[[#This Row],[ZOCALOS LOGIA]])</f>
        <v>0</v>
      </c>
      <c r="CE368" s="3">
        <f>+IF(AVANCE[[#This Row],[MOLDURAS]]=AQ$2,100%,AVANCE[[#This Row],[MOLDURAS]])</f>
        <v>0</v>
      </c>
      <c r="CF368" s="3">
        <f>+IF(AVANCE[[#This Row],[PILASTREO]]=AR$2,100%,AVANCE[[#This Row],[PILASTREO]])</f>
        <v>0</v>
      </c>
      <c r="CG368" s="3">
        <f>+IF(AVANCE[[#This Row],[CELOSIAS]]=AS$2,100%,AVANCE[[#This Row],[CELOSIAS]])</f>
        <v>0</v>
      </c>
      <c r="CH368" s="3">
        <f>+IF(AVANCE[[#This Row],[VENTANAS]]=AT$2,100%,AVANCE[[#This Row],[VENTANAS]])</f>
        <v>0</v>
      </c>
      <c r="CI368" s="3">
        <f>+IF(AVANCE[[#This Row],[PUERTAS ACCESO - LOGIA - BANO]]=AU$2,100%,AVANCE[[#This Row],[PUERTAS ACCESO - LOGIA - BANO]])</f>
        <v>0</v>
      </c>
      <c r="CJ368" s="3">
        <f>+IF(AVANCE[[#This Row],[CERRADURAS]]=AV$2,100%,AVANCE[[#This Row],[CERRADURAS]])</f>
        <v>0</v>
      </c>
      <c r="CK368" s="3">
        <f>+IF(AVANCE[[#This Row],[REVESTIMIENTO INTERIOR ZONA SECA]]=AW$2,100%,AVANCE[[#This Row],[REVESTIMIENTO INTERIOR ZONA SECA]])</f>
        <v>0</v>
      </c>
      <c r="CL368" s="3">
        <f>+IF(AVANCE[[#This Row],[REVESTIMIENTO INTERIOR ZONAS HUMEDAS]]=AX$2,100%,AVANCE[[#This Row],[REVESTIMIENTO INTERIOR ZONAS HUMEDAS]])</f>
        <v>0</v>
      </c>
      <c r="CM368" s="3">
        <f>+IF(AVANCE[[#This Row],[MEMBRANA CIELO]]=AY$2,100%,AVANCE[[#This Row],[MEMBRANA CIELO]])</f>
        <v>0</v>
      </c>
      <c r="CN368" s="3">
        <f>+IF(AVANCE[[#This Row],[LIMPIEZA FINAL]]=AZ$2,100%,AVANCE[[#This Row],[LIMPIEZA FINAL]])</f>
        <v>0</v>
      </c>
      <c r="CO368" s="3">
        <f>+IF(AVANCE[[#This Row],[PUERTAS DORMITORIO]]=BA$2,100%,AVANCE[[#This Row],[PUERTAS DORMITORIO]])</f>
        <v>0</v>
      </c>
      <c r="CP368" s="3">
        <f>+IF(AVANCE[[#This Row],[REVESTIMIENTO INTERIOR BANO]]=BB$2,100%,AVANCE[[#This Row],[REVESTIMIENTO INTERIOR BANO]])</f>
        <v>0</v>
      </c>
      <c r="CQ368" s="3">
        <f>+IF(AVANCE[[#This Row],[MUEBLE LAVAPLATOS]]=BC$2,100%,AVANCE[[#This Row],[MUEBLE LAVAPLATOS]])</f>
        <v>0</v>
      </c>
      <c r="CR368" s="3">
        <f>+IF(AVANCE[[#This Row],[IMPERMEABILIZACION BANO - COCINA LOGIA]]=BD$2,100%,AVANCE[[#This Row],[IMPERMEABILIZACION BANO - COCINA LOGIA]])</f>
        <v>0</v>
      </c>
      <c r="CS368" s="40">
        <f ca="1">+IF(AVANCE[[#This Row],[ESTADO MODULO]]="PENDIENTE",(TODAY()-AVANCE[[#This Row],[FECHA TERMINO  PLANIFICADO]]),0)</f>
        <v>0</v>
      </c>
      <c r="CT368" s="41" t="str" cm="1">
        <f t="array" ref="CT368">_xlfn.TEXTJOIN(" | ",TRUE,IF(SUMPRODUCT((BG368:CR368&lt;1)*(PARTIDAS!$I$2:$AT$2="OBRA GRUESA"))&gt;0,"OBRA GRUESA: "&amp;_xlfn.TEXTJOIN(", ",TRUE,IF((BG368:CR368&lt;1)*(PARTIDAS!$I$2:$AT$2="OBRA GRUESA"),PARTIDAS!$I$1:$AT$1,"")),""),IF(SUMPRODUCT((BG368:CR368&lt;1)*(PARTIDAS!$I$2:$AT$2="SANITARIOS"))&gt;0,"SANITARIOS: "&amp;_xlfn.TEXTJOIN(", ",TRUE,IF((BG368:CR368&lt;1)*(PARTIDAS!$I$2:$AT$2="SANITARIOS"),PARTIDAS!$I$1:$AT$1,"")),""),IF(SUMPRODUCT((BG368:CR368&lt;1)*(PARTIDAS!$I$2:$AT$2="ELÉCTRICO"))&gt;0,"ELÉCTRICO: "&amp;_xlfn.TEXTJOIN(", ",TRUE,IF((BG368:CR368&lt;1)*(PARTIDAS!$I$2:$AT$2="ELÉCTRICO"),PARTIDAS!$I$1:$AT$1,"")),""),IF(SUMPRODUCT((BG368:CR368&lt;1)*(PARTIDAS!$I$2:$AT$2="TERMINACIONES"))&gt;0,"TERMINACIONES: "&amp;_xlfn.TEXTJOIN(", ",TRUE,IF((BG368:CR368&lt;1)*(PARTIDAS!$I$2:$AT$2="TERMINACIONES"),PARTIDAS!$I$1:$AT$1,"")),""))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8" s="43" t="str" cm="1">
        <f t="array" ref="CU368">_xlfn.TEXTJOIN(", ",TRUE,IF(SUMPRODUCT((BG368:CR368&lt;1)*(PARTIDAS!$I$2:$AT$2="OBRA GRUESA"))&gt;0,"OBRA GRUESA",""),IF(SUMPRODUCT((BG368:CR368&lt;1)*(PARTIDAS!$I$2:$AT$2="SANITARIOS"))&gt;0,"SANITARIOS",""),IF(SUMPRODUCT((BG368:CR368&lt;1)*(PARTIDAS!$I$2:$AT$2="ELÉCTRICO"))&gt;0,"ELÉCTRICO",""),IF(SUMPRODUCT((BG368:CR368&lt;1)*(PARTIDAS!$I$2:$AT$2="TERMINACIONES"))&gt;0,"TERMINACIONES",""))</f>
        <v>OBRA GRUESA, SANITARIOS, ELÉCTRICO, TERMINACIONES</v>
      </c>
      <c r="CV368" s="44" cm="1">
        <f t="array" ref="CV368">SUMPRODUCT(--(BG368:CR368&lt;1))</f>
        <v>38</v>
      </c>
    </row>
    <row r="369" spans="1:100" hidden="1" x14ac:dyDescent="0.25">
      <c r="A369" t="s">
        <v>421</v>
      </c>
      <c r="B369" t="s">
        <v>437</v>
      </c>
      <c r="C369">
        <v>2282600368</v>
      </c>
      <c r="D369" t="s">
        <v>58</v>
      </c>
      <c r="E369" s="2">
        <v>0</v>
      </c>
      <c r="F369" s="1">
        <v>46324</v>
      </c>
      <c r="G369" s="1"/>
      <c r="H369" s="1">
        <v>0</v>
      </c>
      <c r="I369" s="1">
        <v>46344</v>
      </c>
      <c r="J369">
        <v>46230</v>
      </c>
      <c r="K369" s="1"/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>
        <v>28.87</v>
      </c>
      <c r="BF369" s="3" t="str">
        <f>+IF(AVANCE[[#This Row],[% AVANCE]]=100%,"MODULO TERMINADO",IF(AVANCE[[#This Row],[FECHA INICIO REAL]]="","MODULO NO INICIADO","PENDIENTE"))</f>
        <v>MODULO NO INICIADO</v>
      </c>
      <c r="BG369" s="3">
        <f>+IF(AVANCE[[#This Row],[VENTANAS]]=8.10810810810811%,100%,AVANCE[[#This Row],[VENTANAS]])</f>
        <v>0</v>
      </c>
      <c r="BH369" s="3">
        <f>+IF(AVANCE[[#This Row],[PISO]]=N$2,100%,AVANCE[[#This Row],[PISO]])</f>
        <v>0</v>
      </c>
      <c r="BI369" s="3">
        <f>+IF(AVANCE[[#This Row],[TABIQUES]]=O$2,100%,AVANCE[[#This Row],[TABIQUES]])</f>
        <v>0</v>
      </c>
      <c r="BJ369" s="3">
        <f>+IF(AVANCE[[#This Row],[MUROS]]=P$2,100%,AVANCE[[#This Row],[MUROS]])</f>
        <v>0</v>
      </c>
      <c r="BK369" s="3">
        <f>+IF(AVANCE[[#This Row],[CIELO]]=Q$2,100%,AVANCE[[#This Row],[CIELO]])</f>
        <v>0</v>
      </c>
      <c r="BL369" s="3">
        <f>+IF(AVANCE[[#This Row],[BALCÓN]]=R$2,100%,AVANCE[[#This Row],[BALCÓN]])</f>
        <v>0</v>
      </c>
      <c r="BM369" s="3">
        <f>+IF(AVANCE[[#This Row],[RED ALCANTARILLADO]]=U$2,100%,AVANCE[[#This Row],[RED ALCANTARILLADO]])</f>
        <v>0</v>
      </c>
      <c r="BN369" s="3">
        <f>+IF(AVANCE[[#This Row],[RED DE AGUA]]=V$2,100%,AVANCE[[#This Row],[RED DE AGUA]])</f>
        <v>0</v>
      </c>
      <c r="BO369" s="3">
        <f>+IF(AVANCE[[#This Row],[VENTILACIONES]]=W$2,100%,AVANCE[[#This Row],[VENTILACIONES]])</f>
        <v>0</v>
      </c>
      <c r="BP369" s="3">
        <f>+IF(AVANCE[[#This Row],[TINA]]=X$2,100%,AVANCE[[#This Row],[TINA]])</f>
        <v>0</v>
      </c>
      <c r="BQ369" s="3">
        <f>+IF(AVANCE[[#This Row],[WC]]=Y$2,100%,AVANCE[[#This Row],[WC]])</f>
        <v>0</v>
      </c>
      <c r="BR369" s="3">
        <f>+IF(AVANCE[[#This Row],[LAVAMANOS / LAVAPLATOS / LAVADERO]]=Z$2,100%,AVANCE[[#This Row],[LAVAMANOS / LAVAPLATOS / LAVADERO]])</f>
        <v>0</v>
      </c>
      <c r="BS369" s="3">
        <f>+IF(AVANCE[[#This Row],[CANALIZACIÓN]]=AC$2,100%,AVANCE[[#This Row],[CANALIZACIÓN]])</f>
        <v>0</v>
      </c>
      <c r="BT369" s="3">
        <f>+IF(AVANCE[[#This Row],[CABLEADO]]=AD$2,100%,AVANCE[[#This Row],[CABLEADO]])</f>
        <v>0</v>
      </c>
      <c r="BU369" s="3">
        <f>+IF(AVANCE[[#This Row],[ARTEFACTOS]]=AE$2,100%,AVANCE[[#This Row],[ARTEFACTOS]])</f>
        <v>0</v>
      </c>
      <c r="BV369" s="3">
        <f>+IF(AVANCE[[#This Row],[TABLERO]]=AF$2,100%,AVANCE[[#This Row],[TABLERO]])</f>
        <v>0</v>
      </c>
      <c r="BW369" s="3">
        <f>+IF(AVANCE[[#This Row],[CAJA PAU]]=AG$2,100%,AVANCE[[#This Row],[CAJA PAU]])</f>
        <v>0</v>
      </c>
      <c r="BX369" s="3">
        <f>+IF(AVANCE[[#This Row],[INSTALACION VINILICO]]=AJ$2,100%,AVANCE[[#This Row],[INSTALACION VINILICO]])</f>
        <v>0</v>
      </c>
      <c r="BY369" s="3">
        <f>+IF(AVANCE[[#This Row],[OSB CUBIERTA]]=AK$2,100%,AVANCE[[#This Row],[OSB CUBIERTA]])</f>
        <v>0</v>
      </c>
      <c r="BZ369" s="3">
        <f>+IF(AVANCE[[#This Row],[BARANDA BALCON]]=AL$2,100%,AVANCE[[#This Row],[BARANDA BALCON]])</f>
        <v>0</v>
      </c>
      <c r="CA369" s="3">
        <f>+IF(AVANCE[[#This Row],[OSB EXTERIOR]]=AM$2,100%,AVANCE[[#This Row],[OSB EXTERIOR]])</f>
        <v>0</v>
      </c>
      <c r="CB369" s="3">
        <f>+IF(AVANCE[[#This Row],[SMART PANEL]]=AN$2,100%,AVANCE[[#This Row],[SMART PANEL]])</f>
        <v>0</v>
      </c>
      <c r="CC369" s="3">
        <f>+IF(AVANCE[[#This Row],[PINTURA EXTERIOR]]=AO$2,100%,AVANCE[[#This Row],[PINTURA EXTERIOR]])</f>
        <v>0</v>
      </c>
      <c r="CD369" s="3">
        <f>+IF(AVANCE[[#This Row],[ZOCALOS LOGIA]]=AP$2,100%,AVANCE[[#This Row],[ZOCALOS LOGIA]])</f>
        <v>0</v>
      </c>
      <c r="CE369" s="3">
        <f>+IF(AVANCE[[#This Row],[MOLDURAS]]=AQ$2,100%,AVANCE[[#This Row],[MOLDURAS]])</f>
        <v>0</v>
      </c>
      <c r="CF369" s="3">
        <f>+IF(AVANCE[[#This Row],[PILASTREO]]=AR$2,100%,AVANCE[[#This Row],[PILASTREO]])</f>
        <v>0</v>
      </c>
      <c r="CG369" s="3">
        <f>+IF(AVANCE[[#This Row],[CELOSIAS]]=AS$2,100%,AVANCE[[#This Row],[CELOSIAS]])</f>
        <v>0</v>
      </c>
      <c r="CH369" s="3">
        <f>+IF(AVANCE[[#This Row],[VENTANAS]]=AT$2,100%,AVANCE[[#This Row],[VENTANAS]])</f>
        <v>0</v>
      </c>
      <c r="CI369" s="3">
        <f>+IF(AVANCE[[#This Row],[PUERTAS ACCESO - LOGIA - BANO]]=AU$2,100%,AVANCE[[#This Row],[PUERTAS ACCESO - LOGIA - BANO]])</f>
        <v>0</v>
      </c>
      <c r="CJ369" s="3">
        <f>+IF(AVANCE[[#This Row],[CERRADURAS]]=AV$2,100%,AVANCE[[#This Row],[CERRADURAS]])</f>
        <v>0</v>
      </c>
      <c r="CK369" s="3">
        <f>+IF(AVANCE[[#This Row],[REVESTIMIENTO INTERIOR ZONA SECA]]=AW$2,100%,AVANCE[[#This Row],[REVESTIMIENTO INTERIOR ZONA SECA]])</f>
        <v>0</v>
      </c>
      <c r="CL369" s="3">
        <f>+IF(AVANCE[[#This Row],[REVESTIMIENTO INTERIOR ZONAS HUMEDAS]]=AX$2,100%,AVANCE[[#This Row],[REVESTIMIENTO INTERIOR ZONAS HUMEDAS]])</f>
        <v>0</v>
      </c>
      <c r="CM369" s="3">
        <f>+IF(AVANCE[[#This Row],[MEMBRANA CIELO]]=AY$2,100%,AVANCE[[#This Row],[MEMBRANA CIELO]])</f>
        <v>0</v>
      </c>
      <c r="CN369" s="3">
        <f>+IF(AVANCE[[#This Row],[LIMPIEZA FINAL]]=AZ$2,100%,AVANCE[[#This Row],[LIMPIEZA FINAL]])</f>
        <v>0</v>
      </c>
      <c r="CO369" s="3">
        <f>+IF(AVANCE[[#This Row],[PUERTAS DORMITORIO]]=BA$2,100%,AVANCE[[#This Row],[PUERTAS DORMITORIO]])</f>
        <v>0</v>
      </c>
      <c r="CP369" s="3">
        <f>+IF(AVANCE[[#This Row],[REVESTIMIENTO INTERIOR BANO]]=BB$2,100%,AVANCE[[#This Row],[REVESTIMIENTO INTERIOR BANO]])</f>
        <v>0</v>
      </c>
      <c r="CQ369" s="3">
        <f>+IF(AVANCE[[#This Row],[MUEBLE LAVAPLATOS]]=BC$2,100%,AVANCE[[#This Row],[MUEBLE LAVAPLATOS]])</f>
        <v>0</v>
      </c>
      <c r="CR369" s="3">
        <f>+IF(AVANCE[[#This Row],[IMPERMEABILIZACION BANO - COCINA LOGIA]]=BD$2,100%,AVANCE[[#This Row],[IMPERMEABILIZACION BANO - COCINA LOGIA]])</f>
        <v>0</v>
      </c>
      <c r="CS369" s="40">
        <f ca="1">+IF(AVANCE[[#This Row],[ESTADO MODULO]]="PENDIENTE",(TODAY()-AVANCE[[#This Row],[FECHA TERMINO  PLANIFICADO]]),0)</f>
        <v>0</v>
      </c>
      <c r="CT369" s="41" t="str" cm="1">
        <f t="array" ref="CT369">_xlfn.TEXTJOIN(" | ",TRUE,IF(SUMPRODUCT((BG369:CR369&lt;1)*(PARTIDAS!$I$2:$AT$2="OBRA GRUESA"))&gt;0,"OBRA GRUESA: "&amp;_xlfn.TEXTJOIN(", ",TRUE,IF((BG369:CR369&lt;1)*(PARTIDAS!$I$2:$AT$2="OBRA GRUESA"),PARTIDAS!$I$1:$AT$1,"")),""),IF(SUMPRODUCT((BG369:CR369&lt;1)*(PARTIDAS!$I$2:$AT$2="SANITARIOS"))&gt;0,"SANITARIOS: "&amp;_xlfn.TEXTJOIN(", ",TRUE,IF((BG369:CR369&lt;1)*(PARTIDAS!$I$2:$AT$2="SANITARIOS"),PARTIDAS!$I$1:$AT$1,"")),""),IF(SUMPRODUCT((BG369:CR369&lt;1)*(PARTIDAS!$I$2:$AT$2="ELÉCTRICO"))&gt;0,"ELÉCTRICO: "&amp;_xlfn.TEXTJOIN(", ",TRUE,IF((BG369:CR369&lt;1)*(PARTIDAS!$I$2:$AT$2="ELÉCTRICO"),PARTIDAS!$I$1:$AT$1,"")),""),IF(SUMPRODUCT((BG369:CR369&lt;1)*(PARTIDAS!$I$2:$AT$2="TERMINACIONES"))&gt;0,"TERMINACIONES: "&amp;_xlfn.TEXTJOIN(", ",TRUE,IF((BG369:CR369&lt;1)*(PARTIDAS!$I$2:$AT$2="TERMINACIONES"),PARTIDAS!$I$1:$AT$1,"")),""))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69" s="43" t="str" cm="1">
        <f t="array" ref="CU369">_xlfn.TEXTJOIN(", ",TRUE,IF(SUMPRODUCT((BG369:CR369&lt;1)*(PARTIDAS!$I$2:$AT$2="OBRA GRUESA"))&gt;0,"OBRA GRUESA",""),IF(SUMPRODUCT((BG369:CR369&lt;1)*(PARTIDAS!$I$2:$AT$2="SANITARIOS"))&gt;0,"SANITARIOS",""),IF(SUMPRODUCT((BG369:CR369&lt;1)*(PARTIDAS!$I$2:$AT$2="ELÉCTRICO"))&gt;0,"ELÉCTRICO",""),IF(SUMPRODUCT((BG369:CR369&lt;1)*(PARTIDAS!$I$2:$AT$2="TERMINACIONES"))&gt;0,"TERMINACIONES",""))</f>
        <v>OBRA GRUESA, SANITARIOS, ELÉCTRICO, TERMINACIONES</v>
      </c>
      <c r="CV369" s="44" cm="1">
        <f t="array" ref="CV369">SUMPRODUCT(--(BG369:CR369&lt;1))</f>
        <v>38</v>
      </c>
    </row>
    <row r="370" spans="1:100" hidden="1" x14ac:dyDescent="0.25">
      <c r="A370" t="s">
        <v>421</v>
      </c>
      <c r="B370" t="s">
        <v>438</v>
      </c>
      <c r="C370">
        <v>2282600369</v>
      </c>
      <c r="D370" t="s">
        <v>58</v>
      </c>
      <c r="E370" s="2">
        <v>0</v>
      </c>
      <c r="F370" s="1">
        <v>46324</v>
      </c>
      <c r="G370" s="1"/>
      <c r="H370" s="1">
        <v>0</v>
      </c>
      <c r="I370" s="1">
        <v>46344</v>
      </c>
      <c r="J370">
        <v>46230</v>
      </c>
      <c r="K370" s="1"/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>
        <v>28.87</v>
      </c>
      <c r="BF370" s="3" t="str">
        <f>+IF(AVANCE[[#This Row],[% AVANCE]]=100%,"MODULO TERMINADO",IF(AVANCE[[#This Row],[FECHA INICIO REAL]]="","MODULO NO INICIADO","PENDIENTE"))</f>
        <v>MODULO NO INICIADO</v>
      </c>
      <c r="BG370" s="3">
        <f>+IF(AVANCE[[#This Row],[VENTANAS]]=8.10810810810811%,100%,AVANCE[[#This Row],[VENTANAS]])</f>
        <v>0</v>
      </c>
      <c r="BH370" s="3">
        <f>+IF(AVANCE[[#This Row],[PISO]]=N$2,100%,AVANCE[[#This Row],[PISO]])</f>
        <v>0</v>
      </c>
      <c r="BI370" s="3">
        <f>+IF(AVANCE[[#This Row],[TABIQUES]]=O$2,100%,AVANCE[[#This Row],[TABIQUES]])</f>
        <v>0</v>
      </c>
      <c r="BJ370" s="3">
        <f>+IF(AVANCE[[#This Row],[MUROS]]=P$2,100%,AVANCE[[#This Row],[MUROS]])</f>
        <v>0</v>
      </c>
      <c r="BK370" s="3">
        <f>+IF(AVANCE[[#This Row],[CIELO]]=Q$2,100%,AVANCE[[#This Row],[CIELO]])</f>
        <v>0</v>
      </c>
      <c r="BL370" s="3">
        <f>+IF(AVANCE[[#This Row],[BALCÓN]]=R$2,100%,AVANCE[[#This Row],[BALCÓN]])</f>
        <v>0</v>
      </c>
      <c r="BM370" s="3">
        <f>+IF(AVANCE[[#This Row],[RED ALCANTARILLADO]]=U$2,100%,AVANCE[[#This Row],[RED ALCANTARILLADO]])</f>
        <v>0</v>
      </c>
      <c r="BN370" s="3">
        <f>+IF(AVANCE[[#This Row],[RED DE AGUA]]=V$2,100%,AVANCE[[#This Row],[RED DE AGUA]])</f>
        <v>0</v>
      </c>
      <c r="BO370" s="3">
        <f>+IF(AVANCE[[#This Row],[VENTILACIONES]]=W$2,100%,AVANCE[[#This Row],[VENTILACIONES]])</f>
        <v>0</v>
      </c>
      <c r="BP370" s="3">
        <f>+IF(AVANCE[[#This Row],[TINA]]=X$2,100%,AVANCE[[#This Row],[TINA]])</f>
        <v>0</v>
      </c>
      <c r="BQ370" s="3">
        <f>+IF(AVANCE[[#This Row],[WC]]=Y$2,100%,AVANCE[[#This Row],[WC]])</f>
        <v>0</v>
      </c>
      <c r="BR370" s="3">
        <f>+IF(AVANCE[[#This Row],[LAVAMANOS / LAVAPLATOS / LAVADERO]]=Z$2,100%,AVANCE[[#This Row],[LAVAMANOS / LAVAPLATOS / LAVADERO]])</f>
        <v>0</v>
      </c>
      <c r="BS370" s="3">
        <f>+IF(AVANCE[[#This Row],[CANALIZACIÓN]]=AC$2,100%,AVANCE[[#This Row],[CANALIZACIÓN]])</f>
        <v>0</v>
      </c>
      <c r="BT370" s="3">
        <f>+IF(AVANCE[[#This Row],[CABLEADO]]=AD$2,100%,AVANCE[[#This Row],[CABLEADO]])</f>
        <v>0</v>
      </c>
      <c r="BU370" s="3">
        <f>+IF(AVANCE[[#This Row],[ARTEFACTOS]]=AE$2,100%,AVANCE[[#This Row],[ARTEFACTOS]])</f>
        <v>0</v>
      </c>
      <c r="BV370" s="3">
        <f>+IF(AVANCE[[#This Row],[TABLERO]]=AF$2,100%,AVANCE[[#This Row],[TABLERO]])</f>
        <v>0</v>
      </c>
      <c r="BW370" s="3">
        <f>+IF(AVANCE[[#This Row],[CAJA PAU]]=AG$2,100%,AVANCE[[#This Row],[CAJA PAU]])</f>
        <v>0</v>
      </c>
      <c r="BX370" s="3">
        <f>+IF(AVANCE[[#This Row],[INSTALACION VINILICO]]=AJ$2,100%,AVANCE[[#This Row],[INSTALACION VINILICO]])</f>
        <v>0</v>
      </c>
      <c r="BY370" s="3">
        <f>+IF(AVANCE[[#This Row],[OSB CUBIERTA]]=AK$2,100%,AVANCE[[#This Row],[OSB CUBIERTA]])</f>
        <v>0</v>
      </c>
      <c r="BZ370" s="3">
        <f>+IF(AVANCE[[#This Row],[BARANDA BALCON]]=AL$2,100%,AVANCE[[#This Row],[BARANDA BALCON]])</f>
        <v>0</v>
      </c>
      <c r="CA370" s="3">
        <f>+IF(AVANCE[[#This Row],[OSB EXTERIOR]]=AM$2,100%,AVANCE[[#This Row],[OSB EXTERIOR]])</f>
        <v>0</v>
      </c>
      <c r="CB370" s="3">
        <f>+IF(AVANCE[[#This Row],[SMART PANEL]]=AN$2,100%,AVANCE[[#This Row],[SMART PANEL]])</f>
        <v>0</v>
      </c>
      <c r="CC370" s="3">
        <f>+IF(AVANCE[[#This Row],[PINTURA EXTERIOR]]=AO$2,100%,AVANCE[[#This Row],[PINTURA EXTERIOR]])</f>
        <v>0</v>
      </c>
      <c r="CD370" s="3">
        <f>+IF(AVANCE[[#This Row],[ZOCALOS LOGIA]]=AP$2,100%,AVANCE[[#This Row],[ZOCALOS LOGIA]])</f>
        <v>0</v>
      </c>
      <c r="CE370" s="3">
        <f>+IF(AVANCE[[#This Row],[MOLDURAS]]=AQ$2,100%,AVANCE[[#This Row],[MOLDURAS]])</f>
        <v>0</v>
      </c>
      <c r="CF370" s="3">
        <f>+IF(AVANCE[[#This Row],[PILASTREO]]=AR$2,100%,AVANCE[[#This Row],[PILASTREO]])</f>
        <v>0</v>
      </c>
      <c r="CG370" s="3">
        <f>+IF(AVANCE[[#This Row],[CELOSIAS]]=AS$2,100%,AVANCE[[#This Row],[CELOSIAS]])</f>
        <v>0</v>
      </c>
      <c r="CH370" s="3">
        <f>+IF(AVANCE[[#This Row],[VENTANAS]]=AT$2,100%,AVANCE[[#This Row],[VENTANAS]])</f>
        <v>0</v>
      </c>
      <c r="CI370" s="3">
        <f>+IF(AVANCE[[#This Row],[PUERTAS ACCESO - LOGIA - BANO]]=AU$2,100%,AVANCE[[#This Row],[PUERTAS ACCESO - LOGIA - BANO]])</f>
        <v>0</v>
      </c>
      <c r="CJ370" s="3">
        <f>+IF(AVANCE[[#This Row],[CERRADURAS]]=AV$2,100%,AVANCE[[#This Row],[CERRADURAS]])</f>
        <v>0</v>
      </c>
      <c r="CK370" s="3">
        <f>+IF(AVANCE[[#This Row],[REVESTIMIENTO INTERIOR ZONA SECA]]=AW$2,100%,AVANCE[[#This Row],[REVESTIMIENTO INTERIOR ZONA SECA]])</f>
        <v>0</v>
      </c>
      <c r="CL370" s="3">
        <f>+IF(AVANCE[[#This Row],[REVESTIMIENTO INTERIOR ZONAS HUMEDAS]]=AX$2,100%,AVANCE[[#This Row],[REVESTIMIENTO INTERIOR ZONAS HUMEDAS]])</f>
        <v>0</v>
      </c>
      <c r="CM370" s="3">
        <f>+IF(AVANCE[[#This Row],[MEMBRANA CIELO]]=AY$2,100%,AVANCE[[#This Row],[MEMBRANA CIELO]])</f>
        <v>0</v>
      </c>
      <c r="CN370" s="3">
        <f>+IF(AVANCE[[#This Row],[LIMPIEZA FINAL]]=AZ$2,100%,AVANCE[[#This Row],[LIMPIEZA FINAL]])</f>
        <v>0</v>
      </c>
      <c r="CO370" s="3">
        <f>+IF(AVANCE[[#This Row],[PUERTAS DORMITORIO]]=BA$2,100%,AVANCE[[#This Row],[PUERTAS DORMITORIO]])</f>
        <v>0</v>
      </c>
      <c r="CP370" s="3">
        <f>+IF(AVANCE[[#This Row],[REVESTIMIENTO INTERIOR BANO]]=BB$2,100%,AVANCE[[#This Row],[REVESTIMIENTO INTERIOR BANO]])</f>
        <v>0</v>
      </c>
      <c r="CQ370" s="3">
        <f>+IF(AVANCE[[#This Row],[MUEBLE LAVAPLATOS]]=BC$2,100%,AVANCE[[#This Row],[MUEBLE LAVAPLATOS]])</f>
        <v>0</v>
      </c>
      <c r="CR370" s="3">
        <f>+IF(AVANCE[[#This Row],[IMPERMEABILIZACION BANO - COCINA LOGIA]]=BD$2,100%,AVANCE[[#This Row],[IMPERMEABILIZACION BANO - COCINA LOGIA]])</f>
        <v>0</v>
      </c>
      <c r="CS370" s="40">
        <f ca="1">+IF(AVANCE[[#This Row],[ESTADO MODULO]]="PENDIENTE",(TODAY()-AVANCE[[#This Row],[FECHA TERMINO  PLANIFICADO]]),0)</f>
        <v>0</v>
      </c>
      <c r="CT370" s="41" t="str" cm="1">
        <f t="array" ref="CT370">_xlfn.TEXTJOIN(" | ",TRUE,IF(SUMPRODUCT((BG370:CR370&lt;1)*(PARTIDAS!$I$2:$AT$2="OBRA GRUESA"))&gt;0,"OBRA GRUESA: "&amp;_xlfn.TEXTJOIN(", ",TRUE,IF((BG370:CR370&lt;1)*(PARTIDAS!$I$2:$AT$2="OBRA GRUESA"),PARTIDAS!$I$1:$AT$1,"")),""),IF(SUMPRODUCT((BG370:CR370&lt;1)*(PARTIDAS!$I$2:$AT$2="SANITARIOS"))&gt;0,"SANITARIOS: "&amp;_xlfn.TEXTJOIN(", ",TRUE,IF((BG370:CR370&lt;1)*(PARTIDAS!$I$2:$AT$2="SANITARIOS"),PARTIDAS!$I$1:$AT$1,"")),""),IF(SUMPRODUCT((BG370:CR370&lt;1)*(PARTIDAS!$I$2:$AT$2="ELÉCTRICO"))&gt;0,"ELÉCTRICO: "&amp;_xlfn.TEXTJOIN(", ",TRUE,IF((BG370:CR370&lt;1)*(PARTIDAS!$I$2:$AT$2="ELÉCTRICO"),PARTIDAS!$I$1:$AT$1,"")),""),IF(SUMPRODUCT((BG370:CR370&lt;1)*(PARTIDAS!$I$2:$AT$2="TERMINACIONES"))&gt;0,"TERMINACIONES: "&amp;_xlfn.TEXTJOIN(", ",TRUE,IF((BG370:CR370&lt;1)*(PARTIDAS!$I$2:$AT$2="TERMINACIONES"),PARTIDAS!$I$1:$AT$1,"")),""))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0" s="43" t="str" cm="1">
        <f t="array" ref="CU370">_xlfn.TEXTJOIN(", ",TRUE,IF(SUMPRODUCT((BG370:CR370&lt;1)*(PARTIDAS!$I$2:$AT$2="OBRA GRUESA"))&gt;0,"OBRA GRUESA",""),IF(SUMPRODUCT((BG370:CR370&lt;1)*(PARTIDAS!$I$2:$AT$2="SANITARIOS"))&gt;0,"SANITARIOS",""),IF(SUMPRODUCT((BG370:CR370&lt;1)*(PARTIDAS!$I$2:$AT$2="ELÉCTRICO"))&gt;0,"ELÉCTRICO",""),IF(SUMPRODUCT((BG370:CR370&lt;1)*(PARTIDAS!$I$2:$AT$2="TERMINACIONES"))&gt;0,"TERMINACIONES",""))</f>
        <v>OBRA GRUESA, SANITARIOS, ELÉCTRICO, TERMINACIONES</v>
      </c>
      <c r="CV370" s="44" cm="1">
        <f t="array" ref="CV370">SUMPRODUCT(--(BG370:CR370&lt;1))</f>
        <v>38</v>
      </c>
    </row>
    <row r="371" spans="1:100" hidden="1" x14ac:dyDescent="0.25">
      <c r="A371" t="s">
        <v>421</v>
      </c>
      <c r="B371" t="s">
        <v>439</v>
      </c>
      <c r="C371">
        <v>2302600370</v>
      </c>
      <c r="D371" t="s">
        <v>60</v>
      </c>
      <c r="E371" s="2">
        <v>0</v>
      </c>
      <c r="F371" s="1">
        <v>46324</v>
      </c>
      <c r="G371" s="1"/>
      <c r="H371" s="1">
        <v>0</v>
      </c>
      <c r="I371" s="1">
        <v>46354</v>
      </c>
      <c r="J371">
        <v>46230</v>
      </c>
      <c r="K371" s="1"/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>
        <v>31.32</v>
      </c>
      <c r="BF371" s="3" t="str">
        <f>+IF(AVANCE[[#This Row],[% AVANCE]]=100%,"MODULO TERMINADO",IF(AVANCE[[#This Row],[FECHA INICIO REAL]]="","MODULO NO INICIADO","PENDIENTE"))</f>
        <v>MODULO NO INICIADO</v>
      </c>
      <c r="BG371" s="3">
        <f>+IF(AVANCE[[#This Row],[VENTANAS]]=8.10810810810811%,100%,AVANCE[[#This Row],[VENTANAS]])</f>
        <v>0</v>
      </c>
      <c r="BH371" s="3">
        <f>+IF(AVANCE[[#This Row],[PISO]]=N$2,100%,AVANCE[[#This Row],[PISO]])</f>
        <v>0</v>
      </c>
      <c r="BI371" s="3">
        <f>+IF(AVANCE[[#This Row],[TABIQUES]]=O$2,100%,AVANCE[[#This Row],[TABIQUES]])</f>
        <v>0</v>
      </c>
      <c r="BJ371" s="3">
        <f>+IF(AVANCE[[#This Row],[MUROS]]=P$2,100%,AVANCE[[#This Row],[MUROS]])</f>
        <v>0</v>
      </c>
      <c r="BK371" s="3">
        <f>+IF(AVANCE[[#This Row],[CIELO]]=Q$2,100%,AVANCE[[#This Row],[CIELO]])</f>
        <v>0</v>
      </c>
      <c r="BL371" s="3">
        <f>+IF(AVANCE[[#This Row],[BALCÓN]]=R$2,100%,AVANCE[[#This Row],[BALCÓN]])</f>
        <v>0</v>
      </c>
      <c r="BM371" s="3">
        <f>+IF(AVANCE[[#This Row],[RED ALCANTARILLADO]]=U$2,100%,AVANCE[[#This Row],[RED ALCANTARILLADO]])</f>
        <v>0</v>
      </c>
      <c r="BN371" s="3">
        <f>+IF(AVANCE[[#This Row],[RED DE AGUA]]=V$2,100%,AVANCE[[#This Row],[RED DE AGUA]])</f>
        <v>0</v>
      </c>
      <c r="BO371" s="3">
        <f>+IF(AVANCE[[#This Row],[VENTILACIONES]]=W$2,100%,AVANCE[[#This Row],[VENTILACIONES]])</f>
        <v>0</v>
      </c>
      <c r="BP371" s="3">
        <f>+IF(AVANCE[[#This Row],[TINA]]=X$2,100%,AVANCE[[#This Row],[TINA]])</f>
        <v>0</v>
      </c>
      <c r="BQ371" s="3">
        <f>+IF(AVANCE[[#This Row],[WC]]=Y$2,100%,AVANCE[[#This Row],[WC]])</f>
        <v>0</v>
      </c>
      <c r="BR371" s="3">
        <f>+IF(AVANCE[[#This Row],[LAVAMANOS / LAVAPLATOS / LAVADERO]]=Z$2,100%,AVANCE[[#This Row],[LAVAMANOS / LAVAPLATOS / LAVADERO]])</f>
        <v>0</v>
      </c>
      <c r="BS371" s="3">
        <f>+IF(AVANCE[[#This Row],[CANALIZACIÓN]]=AC$2,100%,AVANCE[[#This Row],[CANALIZACIÓN]])</f>
        <v>0</v>
      </c>
      <c r="BT371" s="3">
        <f>+IF(AVANCE[[#This Row],[CABLEADO]]=AD$2,100%,AVANCE[[#This Row],[CABLEADO]])</f>
        <v>0</v>
      </c>
      <c r="BU371" s="3">
        <f>+IF(AVANCE[[#This Row],[ARTEFACTOS]]=AE$2,100%,AVANCE[[#This Row],[ARTEFACTOS]])</f>
        <v>0</v>
      </c>
      <c r="BV371" s="3">
        <f>+IF(AVANCE[[#This Row],[TABLERO]]=AF$2,100%,AVANCE[[#This Row],[TABLERO]])</f>
        <v>0</v>
      </c>
      <c r="BW371" s="3">
        <f>+IF(AVANCE[[#This Row],[CAJA PAU]]=AG$2,100%,AVANCE[[#This Row],[CAJA PAU]])</f>
        <v>0</v>
      </c>
      <c r="BX371" s="3">
        <f>+IF(AVANCE[[#This Row],[INSTALACION VINILICO]]=AJ$2,100%,AVANCE[[#This Row],[INSTALACION VINILICO]])</f>
        <v>0</v>
      </c>
      <c r="BY371" s="3">
        <f>+IF(AVANCE[[#This Row],[OSB CUBIERTA]]=AK$2,100%,AVANCE[[#This Row],[OSB CUBIERTA]])</f>
        <v>0</v>
      </c>
      <c r="BZ371" s="3">
        <f>+IF(AVANCE[[#This Row],[BARANDA BALCON]]=AL$2,100%,AVANCE[[#This Row],[BARANDA BALCON]])</f>
        <v>0</v>
      </c>
      <c r="CA371" s="3">
        <f>+IF(AVANCE[[#This Row],[OSB EXTERIOR]]=AM$2,100%,AVANCE[[#This Row],[OSB EXTERIOR]])</f>
        <v>0</v>
      </c>
      <c r="CB371" s="3">
        <f>+IF(AVANCE[[#This Row],[SMART PANEL]]=AN$2,100%,AVANCE[[#This Row],[SMART PANEL]])</f>
        <v>0</v>
      </c>
      <c r="CC371" s="3">
        <f>+IF(AVANCE[[#This Row],[PINTURA EXTERIOR]]=AO$2,100%,AVANCE[[#This Row],[PINTURA EXTERIOR]])</f>
        <v>0</v>
      </c>
      <c r="CD371" s="3">
        <f>+IF(AVANCE[[#This Row],[ZOCALOS LOGIA]]=AP$2,100%,AVANCE[[#This Row],[ZOCALOS LOGIA]])</f>
        <v>0</v>
      </c>
      <c r="CE371" s="3">
        <f>+IF(AVANCE[[#This Row],[MOLDURAS]]=AQ$2,100%,AVANCE[[#This Row],[MOLDURAS]])</f>
        <v>0</v>
      </c>
      <c r="CF371" s="3">
        <f>+IF(AVANCE[[#This Row],[PILASTREO]]=AR$2,100%,AVANCE[[#This Row],[PILASTREO]])</f>
        <v>0</v>
      </c>
      <c r="CG371" s="3">
        <f>+IF(AVANCE[[#This Row],[CELOSIAS]]=AS$2,100%,AVANCE[[#This Row],[CELOSIAS]])</f>
        <v>0</v>
      </c>
      <c r="CH371" s="3">
        <f>+IF(AVANCE[[#This Row],[VENTANAS]]=AT$2,100%,AVANCE[[#This Row],[VENTANAS]])</f>
        <v>0</v>
      </c>
      <c r="CI371" s="3">
        <f>+IF(AVANCE[[#This Row],[PUERTAS ACCESO - LOGIA - BANO]]=AU$2,100%,AVANCE[[#This Row],[PUERTAS ACCESO - LOGIA - BANO]])</f>
        <v>0</v>
      </c>
      <c r="CJ371" s="3">
        <f>+IF(AVANCE[[#This Row],[CERRADURAS]]=AV$2,100%,AVANCE[[#This Row],[CERRADURAS]])</f>
        <v>0</v>
      </c>
      <c r="CK371" s="3">
        <f>+IF(AVANCE[[#This Row],[REVESTIMIENTO INTERIOR ZONA SECA]]=AW$2,100%,AVANCE[[#This Row],[REVESTIMIENTO INTERIOR ZONA SECA]])</f>
        <v>0</v>
      </c>
      <c r="CL371" s="3">
        <f>+IF(AVANCE[[#This Row],[REVESTIMIENTO INTERIOR ZONAS HUMEDAS]]=AX$2,100%,AVANCE[[#This Row],[REVESTIMIENTO INTERIOR ZONAS HUMEDAS]])</f>
        <v>0</v>
      </c>
      <c r="CM371" s="3">
        <f>+IF(AVANCE[[#This Row],[MEMBRANA CIELO]]=AY$2,100%,AVANCE[[#This Row],[MEMBRANA CIELO]])</f>
        <v>0</v>
      </c>
      <c r="CN371" s="3">
        <f>+IF(AVANCE[[#This Row],[LIMPIEZA FINAL]]=AZ$2,100%,AVANCE[[#This Row],[LIMPIEZA FINAL]])</f>
        <v>0</v>
      </c>
      <c r="CO371" s="3">
        <f>+IF(AVANCE[[#This Row],[PUERTAS DORMITORIO]]=BA$2,100%,AVANCE[[#This Row],[PUERTAS DORMITORIO]])</f>
        <v>0</v>
      </c>
      <c r="CP371" s="3">
        <f>+IF(AVANCE[[#This Row],[REVESTIMIENTO INTERIOR BANO]]=BB$2,100%,AVANCE[[#This Row],[REVESTIMIENTO INTERIOR BANO]])</f>
        <v>0</v>
      </c>
      <c r="CQ371" s="3">
        <f>+IF(AVANCE[[#This Row],[MUEBLE LAVAPLATOS]]=BC$2,100%,AVANCE[[#This Row],[MUEBLE LAVAPLATOS]])</f>
        <v>0</v>
      </c>
      <c r="CR371" s="3">
        <f>+IF(AVANCE[[#This Row],[IMPERMEABILIZACION BANO - COCINA LOGIA]]=BD$2,100%,AVANCE[[#This Row],[IMPERMEABILIZACION BANO - COCINA LOGIA]])</f>
        <v>0</v>
      </c>
      <c r="CS371" s="40">
        <f ca="1">+IF(AVANCE[[#This Row],[ESTADO MODULO]]="PENDIENTE",(TODAY()-AVANCE[[#This Row],[FECHA TERMINO  PLANIFICADO]]),0)</f>
        <v>0</v>
      </c>
      <c r="CT371" s="41" t="str" cm="1">
        <f t="array" ref="CT371">_xlfn.TEXTJOIN(" | ",TRUE,IF(SUMPRODUCT((BG371:CR371&lt;1)*(PARTIDAS!$I$2:$AT$2="OBRA GRUESA"))&gt;0,"OBRA GRUESA: "&amp;_xlfn.TEXTJOIN(", ",TRUE,IF((BG371:CR371&lt;1)*(PARTIDAS!$I$2:$AT$2="OBRA GRUESA"),PARTIDAS!$I$1:$AT$1,"")),""),IF(SUMPRODUCT((BG371:CR371&lt;1)*(PARTIDAS!$I$2:$AT$2="SANITARIOS"))&gt;0,"SANITARIOS: "&amp;_xlfn.TEXTJOIN(", ",TRUE,IF((BG371:CR371&lt;1)*(PARTIDAS!$I$2:$AT$2="SANITARIOS"),PARTIDAS!$I$1:$AT$1,"")),""),IF(SUMPRODUCT((BG371:CR371&lt;1)*(PARTIDAS!$I$2:$AT$2="ELÉCTRICO"))&gt;0,"ELÉCTRICO: "&amp;_xlfn.TEXTJOIN(", ",TRUE,IF((BG371:CR371&lt;1)*(PARTIDAS!$I$2:$AT$2="ELÉCTRICO"),PARTIDAS!$I$1:$AT$1,"")),""),IF(SUMPRODUCT((BG371:CR371&lt;1)*(PARTIDAS!$I$2:$AT$2="TERMINACIONES"))&gt;0,"TERMINACIONES: "&amp;_xlfn.TEXTJOIN(", ",TRUE,IF((BG371:CR371&lt;1)*(PARTIDAS!$I$2:$AT$2="TERMINACIONES"),PARTIDAS!$I$1:$AT$1,"")),""))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1" s="43" t="str" cm="1">
        <f t="array" ref="CU371">_xlfn.TEXTJOIN(", ",TRUE,IF(SUMPRODUCT((BG371:CR371&lt;1)*(PARTIDAS!$I$2:$AT$2="OBRA GRUESA"))&gt;0,"OBRA GRUESA",""),IF(SUMPRODUCT((BG371:CR371&lt;1)*(PARTIDAS!$I$2:$AT$2="SANITARIOS"))&gt;0,"SANITARIOS",""),IF(SUMPRODUCT((BG371:CR371&lt;1)*(PARTIDAS!$I$2:$AT$2="ELÉCTRICO"))&gt;0,"ELÉCTRICO",""),IF(SUMPRODUCT((BG371:CR371&lt;1)*(PARTIDAS!$I$2:$AT$2="TERMINACIONES"))&gt;0,"TERMINACIONES",""))</f>
        <v>OBRA GRUESA, SANITARIOS, ELÉCTRICO, TERMINACIONES</v>
      </c>
      <c r="CV371" s="44" cm="1">
        <f t="array" ref="CV371">SUMPRODUCT(--(BG371:CR371&lt;1))</f>
        <v>38</v>
      </c>
    </row>
    <row r="372" spans="1:100" hidden="1" x14ac:dyDescent="0.25">
      <c r="A372" t="s">
        <v>421</v>
      </c>
      <c r="B372" t="s">
        <v>440</v>
      </c>
      <c r="C372">
        <v>2302600371</v>
      </c>
      <c r="D372" t="s">
        <v>60</v>
      </c>
      <c r="E372" s="2">
        <v>0</v>
      </c>
      <c r="F372" s="1">
        <v>46325</v>
      </c>
      <c r="G372" s="1"/>
      <c r="H372" s="1">
        <v>0</v>
      </c>
      <c r="I372" s="1">
        <v>46355</v>
      </c>
      <c r="J372">
        <v>46230</v>
      </c>
      <c r="K372" s="1"/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>
        <v>31.32</v>
      </c>
      <c r="BF372" s="3" t="str">
        <f>+IF(AVANCE[[#This Row],[% AVANCE]]=100%,"MODULO TERMINADO",IF(AVANCE[[#This Row],[FECHA INICIO REAL]]="","MODULO NO INICIADO","PENDIENTE"))</f>
        <v>MODULO NO INICIADO</v>
      </c>
      <c r="BG372" s="3">
        <f>+IF(AVANCE[[#This Row],[VENTANAS]]=8.10810810810811%,100%,AVANCE[[#This Row],[VENTANAS]])</f>
        <v>0</v>
      </c>
      <c r="BH372" s="3">
        <f>+IF(AVANCE[[#This Row],[PISO]]=N$2,100%,AVANCE[[#This Row],[PISO]])</f>
        <v>0</v>
      </c>
      <c r="BI372" s="3">
        <f>+IF(AVANCE[[#This Row],[TABIQUES]]=O$2,100%,AVANCE[[#This Row],[TABIQUES]])</f>
        <v>0</v>
      </c>
      <c r="BJ372" s="3">
        <f>+IF(AVANCE[[#This Row],[MUROS]]=P$2,100%,AVANCE[[#This Row],[MUROS]])</f>
        <v>0</v>
      </c>
      <c r="BK372" s="3">
        <f>+IF(AVANCE[[#This Row],[CIELO]]=Q$2,100%,AVANCE[[#This Row],[CIELO]])</f>
        <v>0</v>
      </c>
      <c r="BL372" s="3">
        <f>+IF(AVANCE[[#This Row],[BALCÓN]]=R$2,100%,AVANCE[[#This Row],[BALCÓN]])</f>
        <v>0</v>
      </c>
      <c r="BM372" s="3">
        <f>+IF(AVANCE[[#This Row],[RED ALCANTARILLADO]]=U$2,100%,AVANCE[[#This Row],[RED ALCANTARILLADO]])</f>
        <v>0</v>
      </c>
      <c r="BN372" s="3">
        <f>+IF(AVANCE[[#This Row],[RED DE AGUA]]=V$2,100%,AVANCE[[#This Row],[RED DE AGUA]])</f>
        <v>0</v>
      </c>
      <c r="BO372" s="3">
        <f>+IF(AVANCE[[#This Row],[VENTILACIONES]]=W$2,100%,AVANCE[[#This Row],[VENTILACIONES]])</f>
        <v>0</v>
      </c>
      <c r="BP372" s="3">
        <f>+IF(AVANCE[[#This Row],[TINA]]=X$2,100%,AVANCE[[#This Row],[TINA]])</f>
        <v>0</v>
      </c>
      <c r="BQ372" s="3">
        <f>+IF(AVANCE[[#This Row],[WC]]=Y$2,100%,AVANCE[[#This Row],[WC]])</f>
        <v>0</v>
      </c>
      <c r="BR372" s="3">
        <f>+IF(AVANCE[[#This Row],[LAVAMANOS / LAVAPLATOS / LAVADERO]]=Z$2,100%,AVANCE[[#This Row],[LAVAMANOS / LAVAPLATOS / LAVADERO]])</f>
        <v>0</v>
      </c>
      <c r="BS372" s="3">
        <f>+IF(AVANCE[[#This Row],[CANALIZACIÓN]]=AC$2,100%,AVANCE[[#This Row],[CANALIZACIÓN]])</f>
        <v>0</v>
      </c>
      <c r="BT372" s="3">
        <f>+IF(AVANCE[[#This Row],[CABLEADO]]=AD$2,100%,AVANCE[[#This Row],[CABLEADO]])</f>
        <v>0</v>
      </c>
      <c r="BU372" s="3">
        <f>+IF(AVANCE[[#This Row],[ARTEFACTOS]]=AE$2,100%,AVANCE[[#This Row],[ARTEFACTOS]])</f>
        <v>0</v>
      </c>
      <c r="BV372" s="3">
        <f>+IF(AVANCE[[#This Row],[TABLERO]]=AF$2,100%,AVANCE[[#This Row],[TABLERO]])</f>
        <v>0</v>
      </c>
      <c r="BW372" s="3">
        <f>+IF(AVANCE[[#This Row],[CAJA PAU]]=AG$2,100%,AVANCE[[#This Row],[CAJA PAU]])</f>
        <v>0</v>
      </c>
      <c r="BX372" s="3">
        <f>+IF(AVANCE[[#This Row],[INSTALACION VINILICO]]=AJ$2,100%,AVANCE[[#This Row],[INSTALACION VINILICO]])</f>
        <v>0</v>
      </c>
      <c r="BY372" s="3">
        <f>+IF(AVANCE[[#This Row],[OSB CUBIERTA]]=AK$2,100%,AVANCE[[#This Row],[OSB CUBIERTA]])</f>
        <v>0</v>
      </c>
      <c r="BZ372" s="3">
        <f>+IF(AVANCE[[#This Row],[BARANDA BALCON]]=AL$2,100%,AVANCE[[#This Row],[BARANDA BALCON]])</f>
        <v>0</v>
      </c>
      <c r="CA372" s="3">
        <f>+IF(AVANCE[[#This Row],[OSB EXTERIOR]]=AM$2,100%,AVANCE[[#This Row],[OSB EXTERIOR]])</f>
        <v>0</v>
      </c>
      <c r="CB372" s="3">
        <f>+IF(AVANCE[[#This Row],[SMART PANEL]]=AN$2,100%,AVANCE[[#This Row],[SMART PANEL]])</f>
        <v>0</v>
      </c>
      <c r="CC372" s="3">
        <f>+IF(AVANCE[[#This Row],[PINTURA EXTERIOR]]=AO$2,100%,AVANCE[[#This Row],[PINTURA EXTERIOR]])</f>
        <v>0</v>
      </c>
      <c r="CD372" s="3">
        <f>+IF(AVANCE[[#This Row],[ZOCALOS LOGIA]]=AP$2,100%,AVANCE[[#This Row],[ZOCALOS LOGIA]])</f>
        <v>0</v>
      </c>
      <c r="CE372" s="3">
        <f>+IF(AVANCE[[#This Row],[MOLDURAS]]=AQ$2,100%,AVANCE[[#This Row],[MOLDURAS]])</f>
        <v>0</v>
      </c>
      <c r="CF372" s="3">
        <f>+IF(AVANCE[[#This Row],[PILASTREO]]=AR$2,100%,AVANCE[[#This Row],[PILASTREO]])</f>
        <v>0</v>
      </c>
      <c r="CG372" s="3">
        <f>+IF(AVANCE[[#This Row],[CELOSIAS]]=AS$2,100%,AVANCE[[#This Row],[CELOSIAS]])</f>
        <v>0</v>
      </c>
      <c r="CH372" s="3">
        <f>+IF(AVANCE[[#This Row],[VENTANAS]]=AT$2,100%,AVANCE[[#This Row],[VENTANAS]])</f>
        <v>0</v>
      </c>
      <c r="CI372" s="3">
        <f>+IF(AVANCE[[#This Row],[PUERTAS ACCESO - LOGIA - BANO]]=AU$2,100%,AVANCE[[#This Row],[PUERTAS ACCESO - LOGIA - BANO]])</f>
        <v>0</v>
      </c>
      <c r="CJ372" s="3">
        <f>+IF(AVANCE[[#This Row],[CERRADURAS]]=AV$2,100%,AVANCE[[#This Row],[CERRADURAS]])</f>
        <v>0</v>
      </c>
      <c r="CK372" s="3">
        <f>+IF(AVANCE[[#This Row],[REVESTIMIENTO INTERIOR ZONA SECA]]=AW$2,100%,AVANCE[[#This Row],[REVESTIMIENTO INTERIOR ZONA SECA]])</f>
        <v>0</v>
      </c>
      <c r="CL372" s="3">
        <f>+IF(AVANCE[[#This Row],[REVESTIMIENTO INTERIOR ZONAS HUMEDAS]]=AX$2,100%,AVANCE[[#This Row],[REVESTIMIENTO INTERIOR ZONAS HUMEDAS]])</f>
        <v>0</v>
      </c>
      <c r="CM372" s="3">
        <f>+IF(AVANCE[[#This Row],[MEMBRANA CIELO]]=AY$2,100%,AVANCE[[#This Row],[MEMBRANA CIELO]])</f>
        <v>0</v>
      </c>
      <c r="CN372" s="3">
        <f>+IF(AVANCE[[#This Row],[LIMPIEZA FINAL]]=AZ$2,100%,AVANCE[[#This Row],[LIMPIEZA FINAL]])</f>
        <v>0</v>
      </c>
      <c r="CO372" s="3">
        <f>+IF(AVANCE[[#This Row],[PUERTAS DORMITORIO]]=BA$2,100%,AVANCE[[#This Row],[PUERTAS DORMITORIO]])</f>
        <v>0</v>
      </c>
      <c r="CP372" s="3">
        <f>+IF(AVANCE[[#This Row],[REVESTIMIENTO INTERIOR BANO]]=BB$2,100%,AVANCE[[#This Row],[REVESTIMIENTO INTERIOR BANO]])</f>
        <v>0</v>
      </c>
      <c r="CQ372" s="3">
        <f>+IF(AVANCE[[#This Row],[MUEBLE LAVAPLATOS]]=BC$2,100%,AVANCE[[#This Row],[MUEBLE LAVAPLATOS]])</f>
        <v>0</v>
      </c>
      <c r="CR372" s="3">
        <f>+IF(AVANCE[[#This Row],[IMPERMEABILIZACION BANO - COCINA LOGIA]]=BD$2,100%,AVANCE[[#This Row],[IMPERMEABILIZACION BANO - COCINA LOGIA]])</f>
        <v>0</v>
      </c>
      <c r="CS372" s="40">
        <f ca="1">+IF(AVANCE[[#This Row],[ESTADO MODULO]]="PENDIENTE",(TODAY()-AVANCE[[#This Row],[FECHA TERMINO  PLANIFICADO]]),0)</f>
        <v>0</v>
      </c>
      <c r="CT372" s="41" t="str" cm="1">
        <f t="array" ref="CT372">_xlfn.TEXTJOIN(" | ",TRUE,IF(SUMPRODUCT((BG372:CR372&lt;1)*(PARTIDAS!$I$2:$AT$2="OBRA GRUESA"))&gt;0,"OBRA GRUESA: "&amp;_xlfn.TEXTJOIN(", ",TRUE,IF((BG372:CR372&lt;1)*(PARTIDAS!$I$2:$AT$2="OBRA GRUESA"),PARTIDAS!$I$1:$AT$1,"")),""),IF(SUMPRODUCT((BG372:CR372&lt;1)*(PARTIDAS!$I$2:$AT$2="SANITARIOS"))&gt;0,"SANITARIOS: "&amp;_xlfn.TEXTJOIN(", ",TRUE,IF((BG372:CR372&lt;1)*(PARTIDAS!$I$2:$AT$2="SANITARIOS"),PARTIDAS!$I$1:$AT$1,"")),""),IF(SUMPRODUCT((BG372:CR372&lt;1)*(PARTIDAS!$I$2:$AT$2="ELÉCTRICO"))&gt;0,"ELÉCTRICO: "&amp;_xlfn.TEXTJOIN(", ",TRUE,IF((BG372:CR372&lt;1)*(PARTIDAS!$I$2:$AT$2="ELÉCTRICO"),PARTIDAS!$I$1:$AT$1,"")),""),IF(SUMPRODUCT((BG372:CR372&lt;1)*(PARTIDAS!$I$2:$AT$2="TERMINACIONES"))&gt;0,"TERMINACIONES: "&amp;_xlfn.TEXTJOIN(", ",TRUE,IF((BG372:CR372&lt;1)*(PARTIDAS!$I$2:$AT$2="TERMINACIONES"),PARTIDAS!$I$1:$AT$1,"")),""))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2" s="43" t="str" cm="1">
        <f t="array" ref="CU372">_xlfn.TEXTJOIN(", ",TRUE,IF(SUMPRODUCT((BG372:CR372&lt;1)*(PARTIDAS!$I$2:$AT$2="OBRA GRUESA"))&gt;0,"OBRA GRUESA",""),IF(SUMPRODUCT((BG372:CR372&lt;1)*(PARTIDAS!$I$2:$AT$2="SANITARIOS"))&gt;0,"SANITARIOS",""),IF(SUMPRODUCT((BG372:CR372&lt;1)*(PARTIDAS!$I$2:$AT$2="ELÉCTRICO"))&gt;0,"ELÉCTRICO",""),IF(SUMPRODUCT((BG372:CR372&lt;1)*(PARTIDAS!$I$2:$AT$2="TERMINACIONES"))&gt;0,"TERMINACIONES",""))</f>
        <v>OBRA GRUESA, SANITARIOS, ELÉCTRICO, TERMINACIONES</v>
      </c>
      <c r="CV372" s="44" cm="1">
        <f t="array" ref="CV372">SUMPRODUCT(--(BG372:CR372&lt;1))</f>
        <v>38</v>
      </c>
    </row>
    <row r="373" spans="1:100" hidden="1" x14ac:dyDescent="0.25">
      <c r="A373" t="s">
        <v>421</v>
      </c>
      <c r="B373" t="s">
        <v>441</v>
      </c>
      <c r="C373">
        <v>2282600372</v>
      </c>
      <c r="D373" t="s">
        <v>58</v>
      </c>
      <c r="E373" s="2">
        <v>0</v>
      </c>
      <c r="F373" s="1">
        <v>46325</v>
      </c>
      <c r="G373" s="1"/>
      <c r="H373" s="1">
        <v>0</v>
      </c>
      <c r="I373" s="1">
        <v>46345</v>
      </c>
      <c r="J373">
        <v>46230</v>
      </c>
      <c r="K373" s="1"/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>
        <v>28.87</v>
      </c>
      <c r="BF373" s="3" t="str">
        <f>+IF(AVANCE[[#This Row],[% AVANCE]]=100%,"MODULO TERMINADO",IF(AVANCE[[#This Row],[FECHA INICIO REAL]]="","MODULO NO INICIADO","PENDIENTE"))</f>
        <v>MODULO NO INICIADO</v>
      </c>
      <c r="BG373" s="3">
        <f>+IF(AVANCE[[#This Row],[VENTANAS]]=8.10810810810811%,100%,AVANCE[[#This Row],[VENTANAS]])</f>
        <v>0</v>
      </c>
      <c r="BH373" s="3">
        <f>+IF(AVANCE[[#This Row],[PISO]]=N$2,100%,AVANCE[[#This Row],[PISO]])</f>
        <v>0</v>
      </c>
      <c r="BI373" s="3">
        <f>+IF(AVANCE[[#This Row],[TABIQUES]]=O$2,100%,AVANCE[[#This Row],[TABIQUES]])</f>
        <v>0</v>
      </c>
      <c r="BJ373" s="3">
        <f>+IF(AVANCE[[#This Row],[MUROS]]=P$2,100%,AVANCE[[#This Row],[MUROS]])</f>
        <v>0</v>
      </c>
      <c r="BK373" s="3">
        <f>+IF(AVANCE[[#This Row],[CIELO]]=Q$2,100%,AVANCE[[#This Row],[CIELO]])</f>
        <v>0</v>
      </c>
      <c r="BL373" s="3">
        <f>+IF(AVANCE[[#This Row],[BALCÓN]]=R$2,100%,AVANCE[[#This Row],[BALCÓN]])</f>
        <v>0</v>
      </c>
      <c r="BM373" s="3">
        <f>+IF(AVANCE[[#This Row],[RED ALCANTARILLADO]]=U$2,100%,AVANCE[[#This Row],[RED ALCANTARILLADO]])</f>
        <v>0</v>
      </c>
      <c r="BN373" s="3">
        <f>+IF(AVANCE[[#This Row],[RED DE AGUA]]=V$2,100%,AVANCE[[#This Row],[RED DE AGUA]])</f>
        <v>0</v>
      </c>
      <c r="BO373" s="3">
        <f>+IF(AVANCE[[#This Row],[VENTILACIONES]]=W$2,100%,AVANCE[[#This Row],[VENTILACIONES]])</f>
        <v>0</v>
      </c>
      <c r="BP373" s="3">
        <f>+IF(AVANCE[[#This Row],[TINA]]=X$2,100%,AVANCE[[#This Row],[TINA]])</f>
        <v>0</v>
      </c>
      <c r="BQ373" s="3">
        <f>+IF(AVANCE[[#This Row],[WC]]=Y$2,100%,AVANCE[[#This Row],[WC]])</f>
        <v>0</v>
      </c>
      <c r="BR373" s="3">
        <f>+IF(AVANCE[[#This Row],[LAVAMANOS / LAVAPLATOS / LAVADERO]]=Z$2,100%,AVANCE[[#This Row],[LAVAMANOS / LAVAPLATOS / LAVADERO]])</f>
        <v>0</v>
      </c>
      <c r="BS373" s="3">
        <f>+IF(AVANCE[[#This Row],[CANALIZACIÓN]]=AC$2,100%,AVANCE[[#This Row],[CANALIZACIÓN]])</f>
        <v>0</v>
      </c>
      <c r="BT373" s="3">
        <f>+IF(AVANCE[[#This Row],[CABLEADO]]=AD$2,100%,AVANCE[[#This Row],[CABLEADO]])</f>
        <v>0</v>
      </c>
      <c r="BU373" s="3">
        <f>+IF(AVANCE[[#This Row],[ARTEFACTOS]]=AE$2,100%,AVANCE[[#This Row],[ARTEFACTOS]])</f>
        <v>0</v>
      </c>
      <c r="BV373" s="3">
        <f>+IF(AVANCE[[#This Row],[TABLERO]]=AF$2,100%,AVANCE[[#This Row],[TABLERO]])</f>
        <v>0</v>
      </c>
      <c r="BW373" s="3">
        <f>+IF(AVANCE[[#This Row],[CAJA PAU]]=AG$2,100%,AVANCE[[#This Row],[CAJA PAU]])</f>
        <v>0</v>
      </c>
      <c r="BX373" s="3">
        <f>+IF(AVANCE[[#This Row],[INSTALACION VINILICO]]=AJ$2,100%,AVANCE[[#This Row],[INSTALACION VINILICO]])</f>
        <v>0</v>
      </c>
      <c r="BY373" s="3">
        <f>+IF(AVANCE[[#This Row],[OSB CUBIERTA]]=AK$2,100%,AVANCE[[#This Row],[OSB CUBIERTA]])</f>
        <v>0</v>
      </c>
      <c r="BZ373" s="3">
        <f>+IF(AVANCE[[#This Row],[BARANDA BALCON]]=AL$2,100%,AVANCE[[#This Row],[BARANDA BALCON]])</f>
        <v>0</v>
      </c>
      <c r="CA373" s="3">
        <f>+IF(AVANCE[[#This Row],[OSB EXTERIOR]]=AM$2,100%,AVANCE[[#This Row],[OSB EXTERIOR]])</f>
        <v>0</v>
      </c>
      <c r="CB373" s="3">
        <f>+IF(AVANCE[[#This Row],[SMART PANEL]]=AN$2,100%,AVANCE[[#This Row],[SMART PANEL]])</f>
        <v>0</v>
      </c>
      <c r="CC373" s="3">
        <f>+IF(AVANCE[[#This Row],[PINTURA EXTERIOR]]=AO$2,100%,AVANCE[[#This Row],[PINTURA EXTERIOR]])</f>
        <v>0</v>
      </c>
      <c r="CD373" s="3">
        <f>+IF(AVANCE[[#This Row],[ZOCALOS LOGIA]]=AP$2,100%,AVANCE[[#This Row],[ZOCALOS LOGIA]])</f>
        <v>0</v>
      </c>
      <c r="CE373" s="3">
        <f>+IF(AVANCE[[#This Row],[MOLDURAS]]=AQ$2,100%,AVANCE[[#This Row],[MOLDURAS]])</f>
        <v>0</v>
      </c>
      <c r="CF373" s="3">
        <f>+IF(AVANCE[[#This Row],[PILASTREO]]=AR$2,100%,AVANCE[[#This Row],[PILASTREO]])</f>
        <v>0</v>
      </c>
      <c r="CG373" s="3">
        <f>+IF(AVANCE[[#This Row],[CELOSIAS]]=AS$2,100%,AVANCE[[#This Row],[CELOSIAS]])</f>
        <v>0</v>
      </c>
      <c r="CH373" s="3">
        <f>+IF(AVANCE[[#This Row],[VENTANAS]]=AT$2,100%,AVANCE[[#This Row],[VENTANAS]])</f>
        <v>0</v>
      </c>
      <c r="CI373" s="3">
        <f>+IF(AVANCE[[#This Row],[PUERTAS ACCESO - LOGIA - BANO]]=AU$2,100%,AVANCE[[#This Row],[PUERTAS ACCESO - LOGIA - BANO]])</f>
        <v>0</v>
      </c>
      <c r="CJ373" s="3">
        <f>+IF(AVANCE[[#This Row],[CERRADURAS]]=AV$2,100%,AVANCE[[#This Row],[CERRADURAS]])</f>
        <v>0</v>
      </c>
      <c r="CK373" s="3">
        <f>+IF(AVANCE[[#This Row],[REVESTIMIENTO INTERIOR ZONA SECA]]=AW$2,100%,AVANCE[[#This Row],[REVESTIMIENTO INTERIOR ZONA SECA]])</f>
        <v>0</v>
      </c>
      <c r="CL373" s="3">
        <f>+IF(AVANCE[[#This Row],[REVESTIMIENTO INTERIOR ZONAS HUMEDAS]]=AX$2,100%,AVANCE[[#This Row],[REVESTIMIENTO INTERIOR ZONAS HUMEDAS]])</f>
        <v>0</v>
      </c>
      <c r="CM373" s="3">
        <f>+IF(AVANCE[[#This Row],[MEMBRANA CIELO]]=AY$2,100%,AVANCE[[#This Row],[MEMBRANA CIELO]])</f>
        <v>0</v>
      </c>
      <c r="CN373" s="3">
        <f>+IF(AVANCE[[#This Row],[LIMPIEZA FINAL]]=AZ$2,100%,AVANCE[[#This Row],[LIMPIEZA FINAL]])</f>
        <v>0</v>
      </c>
      <c r="CO373" s="3">
        <f>+IF(AVANCE[[#This Row],[PUERTAS DORMITORIO]]=BA$2,100%,AVANCE[[#This Row],[PUERTAS DORMITORIO]])</f>
        <v>0</v>
      </c>
      <c r="CP373" s="3">
        <f>+IF(AVANCE[[#This Row],[REVESTIMIENTO INTERIOR BANO]]=BB$2,100%,AVANCE[[#This Row],[REVESTIMIENTO INTERIOR BANO]])</f>
        <v>0</v>
      </c>
      <c r="CQ373" s="3">
        <f>+IF(AVANCE[[#This Row],[MUEBLE LAVAPLATOS]]=BC$2,100%,AVANCE[[#This Row],[MUEBLE LAVAPLATOS]])</f>
        <v>0</v>
      </c>
      <c r="CR373" s="3">
        <f>+IF(AVANCE[[#This Row],[IMPERMEABILIZACION BANO - COCINA LOGIA]]=BD$2,100%,AVANCE[[#This Row],[IMPERMEABILIZACION BANO - COCINA LOGIA]])</f>
        <v>0</v>
      </c>
      <c r="CS373" s="40">
        <f ca="1">+IF(AVANCE[[#This Row],[ESTADO MODULO]]="PENDIENTE",(TODAY()-AVANCE[[#This Row],[FECHA TERMINO  PLANIFICADO]]),0)</f>
        <v>0</v>
      </c>
      <c r="CT373" s="41" t="str" cm="1">
        <f t="array" ref="CT373">_xlfn.TEXTJOIN(" | ",TRUE,IF(SUMPRODUCT((BG373:CR373&lt;1)*(PARTIDAS!$I$2:$AT$2="OBRA GRUESA"))&gt;0,"OBRA GRUESA: "&amp;_xlfn.TEXTJOIN(", ",TRUE,IF((BG373:CR373&lt;1)*(PARTIDAS!$I$2:$AT$2="OBRA GRUESA"),PARTIDAS!$I$1:$AT$1,"")),""),IF(SUMPRODUCT((BG373:CR373&lt;1)*(PARTIDAS!$I$2:$AT$2="SANITARIOS"))&gt;0,"SANITARIOS: "&amp;_xlfn.TEXTJOIN(", ",TRUE,IF((BG373:CR373&lt;1)*(PARTIDAS!$I$2:$AT$2="SANITARIOS"),PARTIDAS!$I$1:$AT$1,"")),""),IF(SUMPRODUCT((BG373:CR373&lt;1)*(PARTIDAS!$I$2:$AT$2="ELÉCTRICO"))&gt;0,"ELÉCTRICO: "&amp;_xlfn.TEXTJOIN(", ",TRUE,IF((BG373:CR373&lt;1)*(PARTIDAS!$I$2:$AT$2="ELÉCTRICO"),PARTIDAS!$I$1:$AT$1,"")),""),IF(SUMPRODUCT((BG373:CR373&lt;1)*(PARTIDAS!$I$2:$AT$2="TERMINACIONES"))&gt;0,"TERMINACIONES: "&amp;_xlfn.TEXTJOIN(", ",TRUE,IF((BG373:CR373&lt;1)*(PARTIDAS!$I$2:$AT$2="TERMINACIONES"),PARTIDAS!$I$1:$AT$1,"")),""))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3" s="43" t="str" cm="1">
        <f t="array" ref="CU373">_xlfn.TEXTJOIN(", ",TRUE,IF(SUMPRODUCT((BG373:CR373&lt;1)*(PARTIDAS!$I$2:$AT$2="OBRA GRUESA"))&gt;0,"OBRA GRUESA",""),IF(SUMPRODUCT((BG373:CR373&lt;1)*(PARTIDAS!$I$2:$AT$2="SANITARIOS"))&gt;0,"SANITARIOS",""),IF(SUMPRODUCT((BG373:CR373&lt;1)*(PARTIDAS!$I$2:$AT$2="ELÉCTRICO"))&gt;0,"ELÉCTRICO",""),IF(SUMPRODUCT((BG373:CR373&lt;1)*(PARTIDAS!$I$2:$AT$2="TERMINACIONES"))&gt;0,"TERMINACIONES",""))</f>
        <v>OBRA GRUESA, SANITARIOS, ELÉCTRICO, TERMINACIONES</v>
      </c>
      <c r="CV373" s="44" cm="1">
        <f t="array" ref="CV373">SUMPRODUCT(--(BG373:CR373&lt;1))</f>
        <v>38</v>
      </c>
    </row>
    <row r="374" spans="1:100" hidden="1" x14ac:dyDescent="0.25">
      <c r="A374" t="s">
        <v>421</v>
      </c>
      <c r="B374" t="s">
        <v>442</v>
      </c>
      <c r="C374">
        <v>2282600373</v>
      </c>
      <c r="D374" t="s">
        <v>58</v>
      </c>
      <c r="E374" s="2">
        <v>0</v>
      </c>
      <c r="F374" s="1">
        <v>46325</v>
      </c>
      <c r="G374" s="1"/>
      <c r="H374" s="1">
        <v>0</v>
      </c>
      <c r="I374" s="1">
        <v>46345</v>
      </c>
      <c r="J374">
        <v>46230</v>
      </c>
      <c r="K374" s="1"/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>
        <v>28.87</v>
      </c>
      <c r="BF374" s="3" t="str">
        <f>+IF(AVANCE[[#This Row],[% AVANCE]]=100%,"MODULO TERMINADO",IF(AVANCE[[#This Row],[FECHA INICIO REAL]]="","MODULO NO INICIADO","PENDIENTE"))</f>
        <v>MODULO NO INICIADO</v>
      </c>
      <c r="BG374" s="3">
        <f>+IF(AVANCE[[#This Row],[VENTANAS]]=8.10810810810811%,100%,AVANCE[[#This Row],[VENTANAS]])</f>
        <v>0</v>
      </c>
      <c r="BH374" s="3">
        <f>+IF(AVANCE[[#This Row],[PISO]]=N$2,100%,AVANCE[[#This Row],[PISO]])</f>
        <v>0</v>
      </c>
      <c r="BI374" s="3">
        <f>+IF(AVANCE[[#This Row],[TABIQUES]]=O$2,100%,AVANCE[[#This Row],[TABIQUES]])</f>
        <v>0</v>
      </c>
      <c r="BJ374" s="3">
        <f>+IF(AVANCE[[#This Row],[MUROS]]=P$2,100%,AVANCE[[#This Row],[MUROS]])</f>
        <v>0</v>
      </c>
      <c r="BK374" s="3">
        <f>+IF(AVANCE[[#This Row],[CIELO]]=Q$2,100%,AVANCE[[#This Row],[CIELO]])</f>
        <v>0</v>
      </c>
      <c r="BL374" s="3">
        <f>+IF(AVANCE[[#This Row],[BALCÓN]]=R$2,100%,AVANCE[[#This Row],[BALCÓN]])</f>
        <v>0</v>
      </c>
      <c r="BM374" s="3">
        <f>+IF(AVANCE[[#This Row],[RED ALCANTARILLADO]]=U$2,100%,AVANCE[[#This Row],[RED ALCANTARILLADO]])</f>
        <v>0</v>
      </c>
      <c r="BN374" s="3">
        <f>+IF(AVANCE[[#This Row],[RED DE AGUA]]=V$2,100%,AVANCE[[#This Row],[RED DE AGUA]])</f>
        <v>0</v>
      </c>
      <c r="BO374" s="3">
        <f>+IF(AVANCE[[#This Row],[VENTILACIONES]]=W$2,100%,AVANCE[[#This Row],[VENTILACIONES]])</f>
        <v>0</v>
      </c>
      <c r="BP374" s="3">
        <f>+IF(AVANCE[[#This Row],[TINA]]=X$2,100%,AVANCE[[#This Row],[TINA]])</f>
        <v>0</v>
      </c>
      <c r="BQ374" s="3">
        <f>+IF(AVANCE[[#This Row],[WC]]=Y$2,100%,AVANCE[[#This Row],[WC]])</f>
        <v>0</v>
      </c>
      <c r="BR374" s="3">
        <f>+IF(AVANCE[[#This Row],[LAVAMANOS / LAVAPLATOS / LAVADERO]]=Z$2,100%,AVANCE[[#This Row],[LAVAMANOS / LAVAPLATOS / LAVADERO]])</f>
        <v>0</v>
      </c>
      <c r="BS374" s="3">
        <f>+IF(AVANCE[[#This Row],[CANALIZACIÓN]]=AC$2,100%,AVANCE[[#This Row],[CANALIZACIÓN]])</f>
        <v>0</v>
      </c>
      <c r="BT374" s="3">
        <f>+IF(AVANCE[[#This Row],[CABLEADO]]=AD$2,100%,AVANCE[[#This Row],[CABLEADO]])</f>
        <v>0</v>
      </c>
      <c r="BU374" s="3">
        <f>+IF(AVANCE[[#This Row],[ARTEFACTOS]]=AE$2,100%,AVANCE[[#This Row],[ARTEFACTOS]])</f>
        <v>0</v>
      </c>
      <c r="BV374" s="3">
        <f>+IF(AVANCE[[#This Row],[TABLERO]]=AF$2,100%,AVANCE[[#This Row],[TABLERO]])</f>
        <v>0</v>
      </c>
      <c r="BW374" s="3">
        <f>+IF(AVANCE[[#This Row],[CAJA PAU]]=AG$2,100%,AVANCE[[#This Row],[CAJA PAU]])</f>
        <v>0</v>
      </c>
      <c r="BX374" s="3">
        <f>+IF(AVANCE[[#This Row],[INSTALACION VINILICO]]=AJ$2,100%,AVANCE[[#This Row],[INSTALACION VINILICO]])</f>
        <v>0</v>
      </c>
      <c r="BY374" s="3">
        <f>+IF(AVANCE[[#This Row],[OSB CUBIERTA]]=AK$2,100%,AVANCE[[#This Row],[OSB CUBIERTA]])</f>
        <v>0</v>
      </c>
      <c r="BZ374" s="3">
        <f>+IF(AVANCE[[#This Row],[BARANDA BALCON]]=AL$2,100%,AVANCE[[#This Row],[BARANDA BALCON]])</f>
        <v>0</v>
      </c>
      <c r="CA374" s="3">
        <f>+IF(AVANCE[[#This Row],[OSB EXTERIOR]]=AM$2,100%,AVANCE[[#This Row],[OSB EXTERIOR]])</f>
        <v>0</v>
      </c>
      <c r="CB374" s="3">
        <f>+IF(AVANCE[[#This Row],[SMART PANEL]]=AN$2,100%,AVANCE[[#This Row],[SMART PANEL]])</f>
        <v>0</v>
      </c>
      <c r="CC374" s="3">
        <f>+IF(AVANCE[[#This Row],[PINTURA EXTERIOR]]=AO$2,100%,AVANCE[[#This Row],[PINTURA EXTERIOR]])</f>
        <v>0</v>
      </c>
      <c r="CD374" s="3">
        <f>+IF(AVANCE[[#This Row],[ZOCALOS LOGIA]]=AP$2,100%,AVANCE[[#This Row],[ZOCALOS LOGIA]])</f>
        <v>0</v>
      </c>
      <c r="CE374" s="3">
        <f>+IF(AVANCE[[#This Row],[MOLDURAS]]=AQ$2,100%,AVANCE[[#This Row],[MOLDURAS]])</f>
        <v>0</v>
      </c>
      <c r="CF374" s="3">
        <f>+IF(AVANCE[[#This Row],[PILASTREO]]=AR$2,100%,AVANCE[[#This Row],[PILASTREO]])</f>
        <v>0</v>
      </c>
      <c r="CG374" s="3">
        <f>+IF(AVANCE[[#This Row],[CELOSIAS]]=AS$2,100%,AVANCE[[#This Row],[CELOSIAS]])</f>
        <v>0</v>
      </c>
      <c r="CH374" s="3">
        <f>+IF(AVANCE[[#This Row],[VENTANAS]]=AT$2,100%,AVANCE[[#This Row],[VENTANAS]])</f>
        <v>0</v>
      </c>
      <c r="CI374" s="3">
        <f>+IF(AVANCE[[#This Row],[PUERTAS ACCESO - LOGIA - BANO]]=AU$2,100%,AVANCE[[#This Row],[PUERTAS ACCESO - LOGIA - BANO]])</f>
        <v>0</v>
      </c>
      <c r="CJ374" s="3">
        <f>+IF(AVANCE[[#This Row],[CERRADURAS]]=AV$2,100%,AVANCE[[#This Row],[CERRADURAS]])</f>
        <v>0</v>
      </c>
      <c r="CK374" s="3">
        <f>+IF(AVANCE[[#This Row],[REVESTIMIENTO INTERIOR ZONA SECA]]=AW$2,100%,AVANCE[[#This Row],[REVESTIMIENTO INTERIOR ZONA SECA]])</f>
        <v>0</v>
      </c>
      <c r="CL374" s="3">
        <f>+IF(AVANCE[[#This Row],[REVESTIMIENTO INTERIOR ZONAS HUMEDAS]]=AX$2,100%,AVANCE[[#This Row],[REVESTIMIENTO INTERIOR ZONAS HUMEDAS]])</f>
        <v>0</v>
      </c>
      <c r="CM374" s="3">
        <f>+IF(AVANCE[[#This Row],[MEMBRANA CIELO]]=AY$2,100%,AVANCE[[#This Row],[MEMBRANA CIELO]])</f>
        <v>0</v>
      </c>
      <c r="CN374" s="3">
        <f>+IF(AVANCE[[#This Row],[LIMPIEZA FINAL]]=AZ$2,100%,AVANCE[[#This Row],[LIMPIEZA FINAL]])</f>
        <v>0</v>
      </c>
      <c r="CO374" s="3">
        <f>+IF(AVANCE[[#This Row],[PUERTAS DORMITORIO]]=BA$2,100%,AVANCE[[#This Row],[PUERTAS DORMITORIO]])</f>
        <v>0</v>
      </c>
      <c r="CP374" s="3">
        <f>+IF(AVANCE[[#This Row],[REVESTIMIENTO INTERIOR BANO]]=BB$2,100%,AVANCE[[#This Row],[REVESTIMIENTO INTERIOR BANO]])</f>
        <v>0</v>
      </c>
      <c r="CQ374" s="3">
        <f>+IF(AVANCE[[#This Row],[MUEBLE LAVAPLATOS]]=BC$2,100%,AVANCE[[#This Row],[MUEBLE LAVAPLATOS]])</f>
        <v>0</v>
      </c>
      <c r="CR374" s="3">
        <f>+IF(AVANCE[[#This Row],[IMPERMEABILIZACION BANO - COCINA LOGIA]]=BD$2,100%,AVANCE[[#This Row],[IMPERMEABILIZACION BANO - COCINA LOGIA]])</f>
        <v>0</v>
      </c>
      <c r="CS374" s="40">
        <f ca="1">+IF(AVANCE[[#This Row],[ESTADO MODULO]]="PENDIENTE",(TODAY()-AVANCE[[#This Row],[FECHA TERMINO  PLANIFICADO]]),0)</f>
        <v>0</v>
      </c>
      <c r="CT374" s="41" t="str" cm="1">
        <f t="array" ref="CT374">_xlfn.TEXTJOIN(" | ",TRUE,IF(SUMPRODUCT((BG374:CR374&lt;1)*(PARTIDAS!$I$2:$AT$2="OBRA GRUESA"))&gt;0,"OBRA GRUESA: "&amp;_xlfn.TEXTJOIN(", ",TRUE,IF((BG374:CR374&lt;1)*(PARTIDAS!$I$2:$AT$2="OBRA GRUESA"),PARTIDAS!$I$1:$AT$1,"")),""),IF(SUMPRODUCT((BG374:CR374&lt;1)*(PARTIDAS!$I$2:$AT$2="SANITARIOS"))&gt;0,"SANITARIOS: "&amp;_xlfn.TEXTJOIN(", ",TRUE,IF((BG374:CR374&lt;1)*(PARTIDAS!$I$2:$AT$2="SANITARIOS"),PARTIDAS!$I$1:$AT$1,"")),""),IF(SUMPRODUCT((BG374:CR374&lt;1)*(PARTIDAS!$I$2:$AT$2="ELÉCTRICO"))&gt;0,"ELÉCTRICO: "&amp;_xlfn.TEXTJOIN(", ",TRUE,IF((BG374:CR374&lt;1)*(PARTIDAS!$I$2:$AT$2="ELÉCTRICO"),PARTIDAS!$I$1:$AT$1,"")),""),IF(SUMPRODUCT((BG374:CR374&lt;1)*(PARTIDAS!$I$2:$AT$2="TERMINACIONES"))&gt;0,"TERMINACIONES: "&amp;_xlfn.TEXTJOIN(", ",TRUE,IF((BG374:CR374&lt;1)*(PARTIDAS!$I$2:$AT$2="TERMINACIONES"),PARTIDAS!$I$1:$AT$1,"")),""))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4" s="43" t="str" cm="1">
        <f t="array" ref="CU374">_xlfn.TEXTJOIN(", ",TRUE,IF(SUMPRODUCT((BG374:CR374&lt;1)*(PARTIDAS!$I$2:$AT$2="OBRA GRUESA"))&gt;0,"OBRA GRUESA",""),IF(SUMPRODUCT((BG374:CR374&lt;1)*(PARTIDAS!$I$2:$AT$2="SANITARIOS"))&gt;0,"SANITARIOS",""),IF(SUMPRODUCT((BG374:CR374&lt;1)*(PARTIDAS!$I$2:$AT$2="ELÉCTRICO"))&gt;0,"ELÉCTRICO",""),IF(SUMPRODUCT((BG374:CR374&lt;1)*(PARTIDAS!$I$2:$AT$2="TERMINACIONES"))&gt;0,"TERMINACIONES",""))</f>
        <v>OBRA GRUESA, SANITARIOS, ELÉCTRICO, TERMINACIONES</v>
      </c>
      <c r="CV374" s="44" cm="1">
        <f t="array" ref="CV374">SUMPRODUCT(--(BG374:CR374&lt;1))</f>
        <v>38</v>
      </c>
    </row>
    <row r="375" spans="1:100" hidden="1" x14ac:dyDescent="0.25">
      <c r="A375" t="s">
        <v>421</v>
      </c>
      <c r="B375" t="s">
        <v>443</v>
      </c>
      <c r="C375">
        <v>2302600374</v>
      </c>
      <c r="D375" t="s">
        <v>60</v>
      </c>
      <c r="E375" s="2">
        <v>0</v>
      </c>
      <c r="F375" s="1">
        <v>46328</v>
      </c>
      <c r="G375" s="1"/>
      <c r="H375" s="1">
        <v>0</v>
      </c>
      <c r="I375" s="1">
        <v>46358</v>
      </c>
      <c r="J375">
        <v>46230</v>
      </c>
      <c r="K375" s="1"/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>
        <v>31.32</v>
      </c>
      <c r="BF375" s="3" t="str">
        <f>+IF(AVANCE[[#This Row],[% AVANCE]]=100%,"MODULO TERMINADO",IF(AVANCE[[#This Row],[FECHA INICIO REAL]]="","MODULO NO INICIADO","PENDIENTE"))</f>
        <v>MODULO NO INICIADO</v>
      </c>
      <c r="BG375" s="3">
        <f>+IF(AVANCE[[#This Row],[VENTANAS]]=8.10810810810811%,100%,AVANCE[[#This Row],[VENTANAS]])</f>
        <v>0</v>
      </c>
      <c r="BH375" s="3">
        <f>+IF(AVANCE[[#This Row],[PISO]]=N$2,100%,AVANCE[[#This Row],[PISO]])</f>
        <v>0</v>
      </c>
      <c r="BI375" s="3">
        <f>+IF(AVANCE[[#This Row],[TABIQUES]]=O$2,100%,AVANCE[[#This Row],[TABIQUES]])</f>
        <v>0</v>
      </c>
      <c r="BJ375" s="3">
        <f>+IF(AVANCE[[#This Row],[MUROS]]=P$2,100%,AVANCE[[#This Row],[MUROS]])</f>
        <v>0</v>
      </c>
      <c r="BK375" s="3">
        <f>+IF(AVANCE[[#This Row],[CIELO]]=Q$2,100%,AVANCE[[#This Row],[CIELO]])</f>
        <v>0</v>
      </c>
      <c r="BL375" s="3">
        <f>+IF(AVANCE[[#This Row],[BALCÓN]]=R$2,100%,AVANCE[[#This Row],[BALCÓN]])</f>
        <v>0</v>
      </c>
      <c r="BM375" s="3">
        <f>+IF(AVANCE[[#This Row],[RED ALCANTARILLADO]]=U$2,100%,AVANCE[[#This Row],[RED ALCANTARILLADO]])</f>
        <v>0</v>
      </c>
      <c r="BN375" s="3">
        <f>+IF(AVANCE[[#This Row],[RED DE AGUA]]=V$2,100%,AVANCE[[#This Row],[RED DE AGUA]])</f>
        <v>0</v>
      </c>
      <c r="BO375" s="3">
        <f>+IF(AVANCE[[#This Row],[VENTILACIONES]]=W$2,100%,AVANCE[[#This Row],[VENTILACIONES]])</f>
        <v>0</v>
      </c>
      <c r="BP375" s="3">
        <f>+IF(AVANCE[[#This Row],[TINA]]=X$2,100%,AVANCE[[#This Row],[TINA]])</f>
        <v>0</v>
      </c>
      <c r="BQ375" s="3">
        <f>+IF(AVANCE[[#This Row],[WC]]=Y$2,100%,AVANCE[[#This Row],[WC]])</f>
        <v>0</v>
      </c>
      <c r="BR375" s="3">
        <f>+IF(AVANCE[[#This Row],[LAVAMANOS / LAVAPLATOS / LAVADERO]]=Z$2,100%,AVANCE[[#This Row],[LAVAMANOS / LAVAPLATOS / LAVADERO]])</f>
        <v>0</v>
      </c>
      <c r="BS375" s="3">
        <f>+IF(AVANCE[[#This Row],[CANALIZACIÓN]]=AC$2,100%,AVANCE[[#This Row],[CANALIZACIÓN]])</f>
        <v>0</v>
      </c>
      <c r="BT375" s="3">
        <f>+IF(AVANCE[[#This Row],[CABLEADO]]=AD$2,100%,AVANCE[[#This Row],[CABLEADO]])</f>
        <v>0</v>
      </c>
      <c r="BU375" s="3">
        <f>+IF(AVANCE[[#This Row],[ARTEFACTOS]]=AE$2,100%,AVANCE[[#This Row],[ARTEFACTOS]])</f>
        <v>0</v>
      </c>
      <c r="BV375" s="3">
        <f>+IF(AVANCE[[#This Row],[TABLERO]]=AF$2,100%,AVANCE[[#This Row],[TABLERO]])</f>
        <v>0</v>
      </c>
      <c r="BW375" s="3">
        <f>+IF(AVANCE[[#This Row],[CAJA PAU]]=AG$2,100%,AVANCE[[#This Row],[CAJA PAU]])</f>
        <v>0</v>
      </c>
      <c r="BX375" s="3">
        <f>+IF(AVANCE[[#This Row],[INSTALACION VINILICO]]=AJ$2,100%,AVANCE[[#This Row],[INSTALACION VINILICO]])</f>
        <v>0</v>
      </c>
      <c r="BY375" s="3">
        <f>+IF(AVANCE[[#This Row],[OSB CUBIERTA]]=AK$2,100%,AVANCE[[#This Row],[OSB CUBIERTA]])</f>
        <v>0</v>
      </c>
      <c r="BZ375" s="3">
        <f>+IF(AVANCE[[#This Row],[BARANDA BALCON]]=AL$2,100%,AVANCE[[#This Row],[BARANDA BALCON]])</f>
        <v>0</v>
      </c>
      <c r="CA375" s="3">
        <f>+IF(AVANCE[[#This Row],[OSB EXTERIOR]]=AM$2,100%,AVANCE[[#This Row],[OSB EXTERIOR]])</f>
        <v>0</v>
      </c>
      <c r="CB375" s="3">
        <f>+IF(AVANCE[[#This Row],[SMART PANEL]]=AN$2,100%,AVANCE[[#This Row],[SMART PANEL]])</f>
        <v>0</v>
      </c>
      <c r="CC375" s="3">
        <f>+IF(AVANCE[[#This Row],[PINTURA EXTERIOR]]=AO$2,100%,AVANCE[[#This Row],[PINTURA EXTERIOR]])</f>
        <v>0</v>
      </c>
      <c r="CD375" s="3">
        <f>+IF(AVANCE[[#This Row],[ZOCALOS LOGIA]]=AP$2,100%,AVANCE[[#This Row],[ZOCALOS LOGIA]])</f>
        <v>0</v>
      </c>
      <c r="CE375" s="3">
        <f>+IF(AVANCE[[#This Row],[MOLDURAS]]=AQ$2,100%,AVANCE[[#This Row],[MOLDURAS]])</f>
        <v>0</v>
      </c>
      <c r="CF375" s="3">
        <f>+IF(AVANCE[[#This Row],[PILASTREO]]=AR$2,100%,AVANCE[[#This Row],[PILASTREO]])</f>
        <v>0</v>
      </c>
      <c r="CG375" s="3">
        <f>+IF(AVANCE[[#This Row],[CELOSIAS]]=AS$2,100%,AVANCE[[#This Row],[CELOSIAS]])</f>
        <v>0</v>
      </c>
      <c r="CH375" s="3">
        <f>+IF(AVANCE[[#This Row],[VENTANAS]]=AT$2,100%,AVANCE[[#This Row],[VENTANAS]])</f>
        <v>0</v>
      </c>
      <c r="CI375" s="3">
        <f>+IF(AVANCE[[#This Row],[PUERTAS ACCESO - LOGIA - BANO]]=AU$2,100%,AVANCE[[#This Row],[PUERTAS ACCESO - LOGIA - BANO]])</f>
        <v>0</v>
      </c>
      <c r="CJ375" s="3">
        <f>+IF(AVANCE[[#This Row],[CERRADURAS]]=AV$2,100%,AVANCE[[#This Row],[CERRADURAS]])</f>
        <v>0</v>
      </c>
      <c r="CK375" s="3">
        <f>+IF(AVANCE[[#This Row],[REVESTIMIENTO INTERIOR ZONA SECA]]=AW$2,100%,AVANCE[[#This Row],[REVESTIMIENTO INTERIOR ZONA SECA]])</f>
        <v>0</v>
      </c>
      <c r="CL375" s="3">
        <f>+IF(AVANCE[[#This Row],[REVESTIMIENTO INTERIOR ZONAS HUMEDAS]]=AX$2,100%,AVANCE[[#This Row],[REVESTIMIENTO INTERIOR ZONAS HUMEDAS]])</f>
        <v>0</v>
      </c>
      <c r="CM375" s="3">
        <f>+IF(AVANCE[[#This Row],[MEMBRANA CIELO]]=AY$2,100%,AVANCE[[#This Row],[MEMBRANA CIELO]])</f>
        <v>0</v>
      </c>
      <c r="CN375" s="3">
        <f>+IF(AVANCE[[#This Row],[LIMPIEZA FINAL]]=AZ$2,100%,AVANCE[[#This Row],[LIMPIEZA FINAL]])</f>
        <v>0</v>
      </c>
      <c r="CO375" s="3">
        <f>+IF(AVANCE[[#This Row],[PUERTAS DORMITORIO]]=BA$2,100%,AVANCE[[#This Row],[PUERTAS DORMITORIO]])</f>
        <v>0</v>
      </c>
      <c r="CP375" s="3">
        <f>+IF(AVANCE[[#This Row],[REVESTIMIENTO INTERIOR BANO]]=BB$2,100%,AVANCE[[#This Row],[REVESTIMIENTO INTERIOR BANO]])</f>
        <v>0</v>
      </c>
      <c r="CQ375" s="3">
        <f>+IF(AVANCE[[#This Row],[MUEBLE LAVAPLATOS]]=BC$2,100%,AVANCE[[#This Row],[MUEBLE LAVAPLATOS]])</f>
        <v>0</v>
      </c>
      <c r="CR375" s="3">
        <f>+IF(AVANCE[[#This Row],[IMPERMEABILIZACION BANO - COCINA LOGIA]]=BD$2,100%,AVANCE[[#This Row],[IMPERMEABILIZACION BANO - COCINA LOGIA]])</f>
        <v>0</v>
      </c>
      <c r="CS375" s="40">
        <f ca="1">+IF(AVANCE[[#This Row],[ESTADO MODULO]]="PENDIENTE",(TODAY()-AVANCE[[#This Row],[FECHA TERMINO  PLANIFICADO]]),0)</f>
        <v>0</v>
      </c>
      <c r="CT375" s="41" t="str" cm="1">
        <f t="array" ref="CT375">_xlfn.TEXTJOIN(" | ",TRUE,IF(SUMPRODUCT((BG375:CR375&lt;1)*(PARTIDAS!$I$2:$AT$2="OBRA GRUESA"))&gt;0,"OBRA GRUESA: "&amp;_xlfn.TEXTJOIN(", ",TRUE,IF((BG375:CR375&lt;1)*(PARTIDAS!$I$2:$AT$2="OBRA GRUESA"),PARTIDAS!$I$1:$AT$1,"")),""),IF(SUMPRODUCT((BG375:CR375&lt;1)*(PARTIDAS!$I$2:$AT$2="SANITARIOS"))&gt;0,"SANITARIOS: "&amp;_xlfn.TEXTJOIN(", ",TRUE,IF((BG375:CR375&lt;1)*(PARTIDAS!$I$2:$AT$2="SANITARIOS"),PARTIDAS!$I$1:$AT$1,"")),""),IF(SUMPRODUCT((BG375:CR375&lt;1)*(PARTIDAS!$I$2:$AT$2="ELÉCTRICO"))&gt;0,"ELÉCTRICO: "&amp;_xlfn.TEXTJOIN(", ",TRUE,IF((BG375:CR375&lt;1)*(PARTIDAS!$I$2:$AT$2="ELÉCTRICO"),PARTIDAS!$I$1:$AT$1,"")),""),IF(SUMPRODUCT((BG375:CR375&lt;1)*(PARTIDAS!$I$2:$AT$2="TERMINACIONES"))&gt;0,"TERMINACIONES: "&amp;_xlfn.TEXTJOIN(", ",TRUE,IF((BG375:CR375&lt;1)*(PARTIDAS!$I$2:$AT$2="TERMINACIONES"),PARTIDAS!$I$1:$AT$1,"")),""))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5" s="43" t="str" cm="1">
        <f t="array" ref="CU375">_xlfn.TEXTJOIN(", ",TRUE,IF(SUMPRODUCT((BG375:CR375&lt;1)*(PARTIDAS!$I$2:$AT$2="OBRA GRUESA"))&gt;0,"OBRA GRUESA",""),IF(SUMPRODUCT((BG375:CR375&lt;1)*(PARTIDAS!$I$2:$AT$2="SANITARIOS"))&gt;0,"SANITARIOS",""),IF(SUMPRODUCT((BG375:CR375&lt;1)*(PARTIDAS!$I$2:$AT$2="ELÉCTRICO"))&gt;0,"ELÉCTRICO",""),IF(SUMPRODUCT((BG375:CR375&lt;1)*(PARTIDAS!$I$2:$AT$2="TERMINACIONES"))&gt;0,"TERMINACIONES",""))</f>
        <v>OBRA GRUESA, SANITARIOS, ELÉCTRICO, TERMINACIONES</v>
      </c>
      <c r="CV375" s="44" cm="1">
        <f t="array" ref="CV375">SUMPRODUCT(--(BG375:CR375&lt;1))</f>
        <v>38</v>
      </c>
    </row>
    <row r="376" spans="1:100" hidden="1" x14ac:dyDescent="0.25">
      <c r="A376" t="s">
        <v>421</v>
      </c>
      <c r="B376" t="s">
        <v>444</v>
      </c>
      <c r="C376">
        <v>2302600375</v>
      </c>
      <c r="D376" t="s">
        <v>60</v>
      </c>
      <c r="E376" s="2">
        <v>0</v>
      </c>
      <c r="F376" s="1">
        <v>46328</v>
      </c>
      <c r="G376" s="1"/>
      <c r="H376" s="1">
        <v>0</v>
      </c>
      <c r="I376" s="1">
        <v>46358</v>
      </c>
      <c r="J376">
        <v>46230</v>
      </c>
      <c r="K376" s="1"/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>
        <v>31.32</v>
      </c>
      <c r="BF376" s="3" t="str">
        <f>+IF(AVANCE[[#This Row],[% AVANCE]]=100%,"MODULO TERMINADO",IF(AVANCE[[#This Row],[FECHA INICIO REAL]]="","MODULO NO INICIADO","PENDIENTE"))</f>
        <v>MODULO NO INICIADO</v>
      </c>
      <c r="BG376" s="3">
        <f>+IF(AVANCE[[#This Row],[VENTANAS]]=8.10810810810811%,100%,AVANCE[[#This Row],[VENTANAS]])</f>
        <v>0</v>
      </c>
      <c r="BH376" s="3">
        <f>+IF(AVANCE[[#This Row],[PISO]]=N$2,100%,AVANCE[[#This Row],[PISO]])</f>
        <v>0</v>
      </c>
      <c r="BI376" s="3">
        <f>+IF(AVANCE[[#This Row],[TABIQUES]]=O$2,100%,AVANCE[[#This Row],[TABIQUES]])</f>
        <v>0</v>
      </c>
      <c r="BJ376" s="3">
        <f>+IF(AVANCE[[#This Row],[MUROS]]=P$2,100%,AVANCE[[#This Row],[MUROS]])</f>
        <v>0</v>
      </c>
      <c r="BK376" s="3">
        <f>+IF(AVANCE[[#This Row],[CIELO]]=Q$2,100%,AVANCE[[#This Row],[CIELO]])</f>
        <v>0</v>
      </c>
      <c r="BL376" s="3">
        <f>+IF(AVANCE[[#This Row],[BALCÓN]]=R$2,100%,AVANCE[[#This Row],[BALCÓN]])</f>
        <v>0</v>
      </c>
      <c r="BM376" s="3">
        <f>+IF(AVANCE[[#This Row],[RED ALCANTARILLADO]]=U$2,100%,AVANCE[[#This Row],[RED ALCANTARILLADO]])</f>
        <v>0</v>
      </c>
      <c r="BN376" s="3">
        <f>+IF(AVANCE[[#This Row],[RED DE AGUA]]=V$2,100%,AVANCE[[#This Row],[RED DE AGUA]])</f>
        <v>0</v>
      </c>
      <c r="BO376" s="3">
        <f>+IF(AVANCE[[#This Row],[VENTILACIONES]]=W$2,100%,AVANCE[[#This Row],[VENTILACIONES]])</f>
        <v>0</v>
      </c>
      <c r="BP376" s="3">
        <f>+IF(AVANCE[[#This Row],[TINA]]=X$2,100%,AVANCE[[#This Row],[TINA]])</f>
        <v>0</v>
      </c>
      <c r="BQ376" s="3">
        <f>+IF(AVANCE[[#This Row],[WC]]=Y$2,100%,AVANCE[[#This Row],[WC]])</f>
        <v>0</v>
      </c>
      <c r="BR376" s="3">
        <f>+IF(AVANCE[[#This Row],[LAVAMANOS / LAVAPLATOS / LAVADERO]]=Z$2,100%,AVANCE[[#This Row],[LAVAMANOS / LAVAPLATOS / LAVADERO]])</f>
        <v>0</v>
      </c>
      <c r="BS376" s="3">
        <f>+IF(AVANCE[[#This Row],[CANALIZACIÓN]]=AC$2,100%,AVANCE[[#This Row],[CANALIZACIÓN]])</f>
        <v>0</v>
      </c>
      <c r="BT376" s="3">
        <f>+IF(AVANCE[[#This Row],[CABLEADO]]=AD$2,100%,AVANCE[[#This Row],[CABLEADO]])</f>
        <v>0</v>
      </c>
      <c r="BU376" s="3">
        <f>+IF(AVANCE[[#This Row],[ARTEFACTOS]]=AE$2,100%,AVANCE[[#This Row],[ARTEFACTOS]])</f>
        <v>0</v>
      </c>
      <c r="BV376" s="3">
        <f>+IF(AVANCE[[#This Row],[TABLERO]]=AF$2,100%,AVANCE[[#This Row],[TABLERO]])</f>
        <v>0</v>
      </c>
      <c r="BW376" s="3">
        <f>+IF(AVANCE[[#This Row],[CAJA PAU]]=AG$2,100%,AVANCE[[#This Row],[CAJA PAU]])</f>
        <v>0</v>
      </c>
      <c r="BX376" s="3">
        <f>+IF(AVANCE[[#This Row],[INSTALACION VINILICO]]=AJ$2,100%,AVANCE[[#This Row],[INSTALACION VINILICO]])</f>
        <v>0</v>
      </c>
      <c r="BY376" s="3">
        <f>+IF(AVANCE[[#This Row],[OSB CUBIERTA]]=AK$2,100%,AVANCE[[#This Row],[OSB CUBIERTA]])</f>
        <v>0</v>
      </c>
      <c r="BZ376" s="3">
        <f>+IF(AVANCE[[#This Row],[BARANDA BALCON]]=AL$2,100%,AVANCE[[#This Row],[BARANDA BALCON]])</f>
        <v>0</v>
      </c>
      <c r="CA376" s="3">
        <f>+IF(AVANCE[[#This Row],[OSB EXTERIOR]]=AM$2,100%,AVANCE[[#This Row],[OSB EXTERIOR]])</f>
        <v>0</v>
      </c>
      <c r="CB376" s="3">
        <f>+IF(AVANCE[[#This Row],[SMART PANEL]]=AN$2,100%,AVANCE[[#This Row],[SMART PANEL]])</f>
        <v>0</v>
      </c>
      <c r="CC376" s="3">
        <f>+IF(AVANCE[[#This Row],[PINTURA EXTERIOR]]=AO$2,100%,AVANCE[[#This Row],[PINTURA EXTERIOR]])</f>
        <v>0</v>
      </c>
      <c r="CD376" s="3">
        <f>+IF(AVANCE[[#This Row],[ZOCALOS LOGIA]]=AP$2,100%,AVANCE[[#This Row],[ZOCALOS LOGIA]])</f>
        <v>0</v>
      </c>
      <c r="CE376" s="3">
        <f>+IF(AVANCE[[#This Row],[MOLDURAS]]=AQ$2,100%,AVANCE[[#This Row],[MOLDURAS]])</f>
        <v>0</v>
      </c>
      <c r="CF376" s="3">
        <f>+IF(AVANCE[[#This Row],[PILASTREO]]=AR$2,100%,AVANCE[[#This Row],[PILASTREO]])</f>
        <v>0</v>
      </c>
      <c r="CG376" s="3">
        <f>+IF(AVANCE[[#This Row],[CELOSIAS]]=AS$2,100%,AVANCE[[#This Row],[CELOSIAS]])</f>
        <v>0</v>
      </c>
      <c r="CH376" s="3">
        <f>+IF(AVANCE[[#This Row],[VENTANAS]]=AT$2,100%,AVANCE[[#This Row],[VENTANAS]])</f>
        <v>0</v>
      </c>
      <c r="CI376" s="3">
        <f>+IF(AVANCE[[#This Row],[PUERTAS ACCESO - LOGIA - BANO]]=AU$2,100%,AVANCE[[#This Row],[PUERTAS ACCESO - LOGIA - BANO]])</f>
        <v>0</v>
      </c>
      <c r="CJ376" s="3">
        <f>+IF(AVANCE[[#This Row],[CERRADURAS]]=AV$2,100%,AVANCE[[#This Row],[CERRADURAS]])</f>
        <v>0</v>
      </c>
      <c r="CK376" s="3">
        <f>+IF(AVANCE[[#This Row],[REVESTIMIENTO INTERIOR ZONA SECA]]=AW$2,100%,AVANCE[[#This Row],[REVESTIMIENTO INTERIOR ZONA SECA]])</f>
        <v>0</v>
      </c>
      <c r="CL376" s="3">
        <f>+IF(AVANCE[[#This Row],[REVESTIMIENTO INTERIOR ZONAS HUMEDAS]]=AX$2,100%,AVANCE[[#This Row],[REVESTIMIENTO INTERIOR ZONAS HUMEDAS]])</f>
        <v>0</v>
      </c>
      <c r="CM376" s="3">
        <f>+IF(AVANCE[[#This Row],[MEMBRANA CIELO]]=AY$2,100%,AVANCE[[#This Row],[MEMBRANA CIELO]])</f>
        <v>0</v>
      </c>
      <c r="CN376" s="3">
        <f>+IF(AVANCE[[#This Row],[LIMPIEZA FINAL]]=AZ$2,100%,AVANCE[[#This Row],[LIMPIEZA FINAL]])</f>
        <v>0</v>
      </c>
      <c r="CO376" s="3">
        <f>+IF(AVANCE[[#This Row],[PUERTAS DORMITORIO]]=BA$2,100%,AVANCE[[#This Row],[PUERTAS DORMITORIO]])</f>
        <v>0</v>
      </c>
      <c r="CP376" s="3">
        <f>+IF(AVANCE[[#This Row],[REVESTIMIENTO INTERIOR BANO]]=BB$2,100%,AVANCE[[#This Row],[REVESTIMIENTO INTERIOR BANO]])</f>
        <v>0</v>
      </c>
      <c r="CQ376" s="3">
        <f>+IF(AVANCE[[#This Row],[MUEBLE LAVAPLATOS]]=BC$2,100%,AVANCE[[#This Row],[MUEBLE LAVAPLATOS]])</f>
        <v>0</v>
      </c>
      <c r="CR376" s="3">
        <f>+IF(AVANCE[[#This Row],[IMPERMEABILIZACION BANO - COCINA LOGIA]]=BD$2,100%,AVANCE[[#This Row],[IMPERMEABILIZACION BANO - COCINA LOGIA]])</f>
        <v>0</v>
      </c>
      <c r="CS376" s="40">
        <f ca="1">+IF(AVANCE[[#This Row],[ESTADO MODULO]]="PENDIENTE",(TODAY()-AVANCE[[#This Row],[FECHA TERMINO  PLANIFICADO]]),0)</f>
        <v>0</v>
      </c>
      <c r="CT376" s="41" t="str" cm="1">
        <f t="array" ref="CT376">_xlfn.TEXTJOIN(" | ",TRUE,IF(SUMPRODUCT((BG376:CR376&lt;1)*(PARTIDAS!$I$2:$AT$2="OBRA GRUESA"))&gt;0,"OBRA GRUESA: "&amp;_xlfn.TEXTJOIN(", ",TRUE,IF((BG376:CR376&lt;1)*(PARTIDAS!$I$2:$AT$2="OBRA GRUESA"),PARTIDAS!$I$1:$AT$1,"")),""),IF(SUMPRODUCT((BG376:CR376&lt;1)*(PARTIDAS!$I$2:$AT$2="SANITARIOS"))&gt;0,"SANITARIOS: "&amp;_xlfn.TEXTJOIN(", ",TRUE,IF((BG376:CR376&lt;1)*(PARTIDAS!$I$2:$AT$2="SANITARIOS"),PARTIDAS!$I$1:$AT$1,"")),""),IF(SUMPRODUCT((BG376:CR376&lt;1)*(PARTIDAS!$I$2:$AT$2="ELÉCTRICO"))&gt;0,"ELÉCTRICO: "&amp;_xlfn.TEXTJOIN(", ",TRUE,IF((BG376:CR376&lt;1)*(PARTIDAS!$I$2:$AT$2="ELÉCTRICO"),PARTIDAS!$I$1:$AT$1,"")),""),IF(SUMPRODUCT((BG376:CR376&lt;1)*(PARTIDAS!$I$2:$AT$2="TERMINACIONES"))&gt;0,"TERMINACIONES: "&amp;_xlfn.TEXTJOIN(", ",TRUE,IF((BG376:CR376&lt;1)*(PARTIDAS!$I$2:$AT$2="TERMINACIONES"),PARTIDAS!$I$1:$AT$1,"")),""))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6" s="43" t="str" cm="1">
        <f t="array" ref="CU376">_xlfn.TEXTJOIN(", ",TRUE,IF(SUMPRODUCT((BG376:CR376&lt;1)*(PARTIDAS!$I$2:$AT$2="OBRA GRUESA"))&gt;0,"OBRA GRUESA",""),IF(SUMPRODUCT((BG376:CR376&lt;1)*(PARTIDAS!$I$2:$AT$2="SANITARIOS"))&gt;0,"SANITARIOS",""),IF(SUMPRODUCT((BG376:CR376&lt;1)*(PARTIDAS!$I$2:$AT$2="ELÉCTRICO"))&gt;0,"ELÉCTRICO",""),IF(SUMPRODUCT((BG376:CR376&lt;1)*(PARTIDAS!$I$2:$AT$2="TERMINACIONES"))&gt;0,"TERMINACIONES",""))</f>
        <v>OBRA GRUESA, SANITARIOS, ELÉCTRICO, TERMINACIONES</v>
      </c>
      <c r="CV376" s="44" cm="1">
        <f t="array" ref="CV376">SUMPRODUCT(--(BG376:CR376&lt;1))</f>
        <v>38</v>
      </c>
    </row>
    <row r="377" spans="1:100" hidden="1" x14ac:dyDescent="0.25">
      <c r="A377" t="s">
        <v>421</v>
      </c>
      <c r="B377" t="s">
        <v>445</v>
      </c>
      <c r="C377">
        <v>2282600376</v>
      </c>
      <c r="D377" t="s">
        <v>58</v>
      </c>
      <c r="E377" s="2">
        <v>0</v>
      </c>
      <c r="F377" s="1">
        <v>46328</v>
      </c>
      <c r="G377" s="1"/>
      <c r="H377" s="1">
        <v>0</v>
      </c>
      <c r="I377" s="1">
        <v>46348</v>
      </c>
      <c r="J377">
        <v>46230</v>
      </c>
      <c r="K377" s="1"/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>
        <v>28.87</v>
      </c>
      <c r="BF377" s="3" t="str">
        <f>+IF(AVANCE[[#This Row],[% AVANCE]]=100%,"MODULO TERMINADO",IF(AVANCE[[#This Row],[FECHA INICIO REAL]]="","MODULO NO INICIADO","PENDIENTE"))</f>
        <v>MODULO NO INICIADO</v>
      </c>
      <c r="BG377" s="3">
        <f>+IF(AVANCE[[#This Row],[VENTANAS]]=8.10810810810811%,100%,AVANCE[[#This Row],[VENTANAS]])</f>
        <v>0</v>
      </c>
      <c r="BH377" s="3">
        <f>+IF(AVANCE[[#This Row],[PISO]]=N$2,100%,AVANCE[[#This Row],[PISO]])</f>
        <v>0</v>
      </c>
      <c r="BI377" s="3">
        <f>+IF(AVANCE[[#This Row],[TABIQUES]]=O$2,100%,AVANCE[[#This Row],[TABIQUES]])</f>
        <v>0</v>
      </c>
      <c r="BJ377" s="3">
        <f>+IF(AVANCE[[#This Row],[MUROS]]=P$2,100%,AVANCE[[#This Row],[MUROS]])</f>
        <v>0</v>
      </c>
      <c r="BK377" s="3">
        <f>+IF(AVANCE[[#This Row],[CIELO]]=Q$2,100%,AVANCE[[#This Row],[CIELO]])</f>
        <v>0</v>
      </c>
      <c r="BL377" s="3">
        <f>+IF(AVANCE[[#This Row],[BALCÓN]]=R$2,100%,AVANCE[[#This Row],[BALCÓN]])</f>
        <v>0</v>
      </c>
      <c r="BM377" s="3">
        <f>+IF(AVANCE[[#This Row],[RED ALCANTARILLADO]]=U$2,100%,AVANCE[[#This Row],[RED ALCANTARILLADO]])</f>
        <v>0</v>
      </c>
      <c r="BN377" s="3">
        <f>+IF(AVANCE[[#This Row],[RED DE AGUA]]=V$2,100%,AVANCE[[#This Row],[RED DE AGUA]])</f>
        <v>0</v>
      </c>
      <c r="BO377" s="3">
        <f>+IF(AVANCE[[#This Row],[VENTILACIONES]]=W$2,100%,AVANCE[[#This Row],[VENTILACIONES]])</f>
        <v>0</v>
      </c>
      <c r="BP377" s="3">
        <f>+IF(AVANCE[[#This Row],[TINA]]=X$2,100%,AVANCE[[#This Row],[TINA]])</f>
        <v>0</v>
      </c>
      <c r="BQ377" s="3">
        <f>+IF(AVANCE[[#This Row],[WC]]=Y$2,100%,AVANCE[[#This Row],[WC]])</f>
        <v>0</v>
      </c>
      <c r="BR377" s="3">
        <f>+IF(AVANCE[[#This Row],[LAVAMANOS / LAVAPLATOS / LAVADERO]]=Z$2,100%,AVANCE[[#This Row],[LAVAMANOS / LAVAPLATOS / LAVADERO]])</f>
        <v>0</v>
      </c>
      <c r="BS377" s="3">
        <f>+IF(AVANCE[[#This Row],[CANALIZACIÓN]]=AC$2,100%,AVANCE[[#This Row],[CANALIZACIÓN]])</f>
        <v>0</v>
      </c>
      <c r="BT377" s="3">
        <f>+IF(AVANCE[[#This Row],[CABLEADO]]=AD$2,100%,AVANCE[[#This Row],[CABLEADO]])</f>
        <v>0</v>
      </c>
      <c r="BU377" s="3">
        <f>+IF(AVANCE[[#This Row],[ARTEFACTOS]]=AE$2,100%,AVANCE[[#This Row],[ARTEFACTOS]])</f>
        <v>0</v>
      </c>
      <c r="BV377" s="3">
        <f>+IF(AVANCE[[#This Row],[TABLERO]]=AF$2,100%,AVANCE[[#This Row],[TABLERO]])</f>
        <v>0</v>
      </c>
      <c r="BW377" s="3">
        <f>+IF(AVANCE[[#This Row],[CAJA PAU]]=AG$2,100%,AVANCE[[#This Row],[CAJA PAU]])</f>
        <v>0</v>
      </c>
      <c r="BX377" s="3">
        <f>+IF(AVANCE[[#This Row],[INSTALACION VINILICO]]=AJ$2,100%,AVANCE[[#This Row],[INSTALACION VINILICO]])</f>
        <v>0</v>
      </c>
      <c r="BY377" s="3">
        <f>+IF(AVANCE[[#This Row],[OSB CUBIERTA]]=AK$2,100%,AVANCE[[#This Row],[OSB CUBIERTA]])</f>
        <v>0</v>
      </c>
      <c r="BZ377" s="3">
        <f>+IF(AVANCE[[#This Row],[BARANDA BALCON]]=AL$2,100%,AVANCE[[#This Row],[BARANDA BALCON]])</f>
        <v>0</v>
      </c>
      <c r="CA377" s="3">
        <f>+IF(AVANCE[[#This Row],[OSB EXTERIOR]]=AM$2,100%,AVANCE[[#This Row],[OSB EXTERIOR]])</f>
        <v>0</v>
      </c>
      <c r="CB377" s="3">
        <f>+IF(AVANCE[[#This Row],[SMART PANEL]]=AN$2,100%,AVANCE[[#This Row],[SMART PANEL]])</f>
        <v>0</v>
      </c>
      <c r="CC377" s="3">
        <f>+IF(AVANCE[[#This Row],[PINTURA EXTERIOR]]=AO$2,100%,AVANCE[[#This Row],[PINTURA EXTERIOR]])</f>
        <v>0</v>
      </c>
      <c r="CD377" s="3">
        <f>+IF(AVANCE[[#This Row],[ZOCALOS LOGIA]]=AP$2,100%,AVANCE[[#This Row],[ZOCALOS LOGIA]])</f>
        <v>0</v>
      </c>
      <c r="CE377" s="3">
        <f>+IF(AVANCE[[#This Row],[MOLDURAS]]=AQ$2,100%,AVANCE[[#This Row],[MOLDURAS]])</f>
        <v>0</v>
      </c>
      <c r="CF377" s="3">
        <f>+IF(AVANCE[[#This Row],[PILASTREO]]=AR$2,100%,AVANCE[[#This Row],[PILASTREO]])</f>
        <v>0</v>
      </c>
      <c r="CG377" s="3">
        <f>+IF(AVANCE[[#This Row],[CELOSIAS]]=AS$2,100%,AVANCE[[#This Row],[CELOSIAS]])</f>
        <v>0</v>
      </c>
      <c r="CH377" s="3">
        <f>+IF(AVANCE[[#This Row],[VENTANAS]]=AT$2,100%,AVANCE[[#This Row],[VENTANAS]])</f>
        <v>0</v>
      </c>
      <c r="CI377" s="3">
        <f>+IF(AVANCE[[#This Row],[PUERTAS ACCESO - LOGIA - BANO]]=AU$2,100%,AVANCE[[#This Row],[PUERTAS ACCESO - LOGIA - BANO]])</f>
        <v>0</v>
      </c>
      <c r="CJ377" s="3">
        <f>+IF(AVANCE[[#This Row],[CERRADURAS]]=AV$2,100%,AVANCE[[#This Row],[CERRADURAS]])</f>
        <v>0</v>
      </c>
      <c r="CK377" s="3">
        <f>+IF(AVANCE[[#This Row],[REVESTIMIENTO INTERIOR ZONA SECA]]=AW$2,100%,AVANCE[[#This Row],[REVESTIMIENTO INTERIOR ZONA SECA]])</f>
        <v>0</v>
      </c>
      <c r="CL377" s="3">
        <f>+IF(AVANCE[[#This Row],[REVESTIMIENTO INTERIOR ZONAS HUMEDAS]]=AX$2,100%,AVANCE[[#This Row],[REVESTIMIENTO INTERIOR ZONAS HUMEDAS]])</f>
        <v>0</v>
      </c>
      <c r="CM377" s="3">
        <f>+IF(AVANCE[[#This Row],[MEMBRANA CIELO]]=AY$2,100%,AVANCE[[#This Row],[MEMBRANA CIELO]])</f>
        <v>0</v>
      </c>
      <c r="CN377" s="3">
        <f>+IF(AVANCE[[#This Row],[LIMPIEZA FINAL]]=AZ$2,100%,AVANCE[[#This Row],[LIMPIEZA FINAL]])</f>
        <v>0</v>
      </c>
      <c r="CO377" s="3">
        <f>+IF(AVANCE[[#This Row],[PUERTAS DORMITORIO]]=BA$2,100%,AVANCE[[#This Row],[PUERTAS DORMITORIO]])</f>
        <v>0</v>
      </c>
      <c r="CP377" s="3">
        <f>+IF(AVANCE[[#This Row],[REVESTIMIENTO INTERIOR BANO]]=BB$2,100%,AVANCE[[#This Row],[REVESTIMIENTO INTERIOR BANO]])</f>
        <v>0</v>
      </c>
      <c r="CQ377" s="3">
        <f>+IF(AVANCE[[#This Row],[MUEBLE LAVAPLATOS]]=BC$2,100%,AVANCE[[#This Row],[MUEBLE LAVAPLATOS]])</f>
        <v>0</v>
      </c>
      <c r="CR377" s="3">
        <f>+IF(AVANCE[[#This Row],[IMPERMEABILIZACION BANO - COCINA LOGIA]]=BD$2,100%,AVANCE[[#This Row],[IMPERMEABILIZACION BANO - COCINA LOGIA]])</f>
        <v>0</v>
      </c>
      <c r="CS377" s="40">
        <f ca="1">+IF(AVANCE[[#This Row],[ESTADO MODULO]]="PENDIENTE",(TODAY()-AVANCE[[#This Row],[FECHA TERMINO  PLANIFICADO]]),0)</f>
        <v>0</v>
      </c>
      <c r="CT377" s="41" t="str" cm="1">
        <f t="array" ref="CT377">_xlfn.TEXTJOIN(" | ",TRUE,IF(SUMPRODUCT((BG377:CR377&lt;1)*(PARTIDAS!$I$2:$AT$2="OBRA GRUESA"))&gt;0,"OBRA GRUESA: "&amp;_xlfn.TEXTJOIN(", ",TRUE,IF((BG377:CR377&lt;1)*(PARTIDAS!$I$2:$AT$2="OBRA GRUESA"),PARTIDAS!$I$1:$AT$1,"")),""),IF(SUMPRODUCT((BG377:CR377&lt;1)*(PARTIDAS!$I$2:$AT$2="SANITARIOS"))&gt;0,"SANITARIOS: "&amp;_xlfn.TEXTJOIN(", ",TRUE,IF((BG377:CR377&lt;1)*(PARTIDAS!$I$2:$AT$2="SANITARIOS"),PARTIDAS!$I$1:$AT$1,"")),""),IF(SUMPRODUCT((BG377:CR377&lt;1)*(PARTIDAS!$I$2:$AT$2="ELÉCTRICO"))&gt;0,"ELÉCTRICO: "&amp;_xlfn.TEXTJOIN(", ",TRUE,IF((BG377:CR377&lt;1)*(PARTIDAS!$I$2:$AT$2="ELÉCTRICO"),PARTIDAS!$I$1:$AT$1,"")),""),IF(SUMPRODUCT((BG377:CR377&lt;1)*(PARTIDAS!$I$2:$AT$2="TERMINACIONES"))&gt;0,"TERMINACIONES: "&amp;_xlfn.TEXTJOIN(", ",TRUE,IF((BG377:CR377&lt;1)*(PARTIDAS!$I$2:$AT$2="TERMINACIONES"),PARTIDAS!$I$1:$AT$1,"")),""))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7" s="43" t="str" cm="1">
        <f t="array" ref="CU377">_xlfn.TEXTJOIN(", ",TRUE,IF(SUMPRODUCT((BG377:CR377&lt;1)*(PARTIDAS!$I$2:$AT$2="OBRA GRUESA"))&gt;0,"OBRA GRUESA",""),IF(SUMPRODUCT((BG377:CR377&lt;1)*(PARTIDAS!$I$2:$AT$2="SANITARIOS"))&gt;0,"SANITARIOS",""),IF(SUMPRODUCT((BG377:CR377&lt;1)*(PARTIDAS!$I$2:$AT$2="ELÉCTRICO"))&gt;0,"ELÉCTRICO",""),IF(SUMPRODUCT((BG377:CR377&lt;1)*(PARTIDAS!$I$2:$AT$2="TERMINACIONES"))&gt;0,"TERMINACIONES",""))</f>
        <v>OBRA GRUESA, SANITARIOS, ELÉCTRICO, TERMINACIONES</v>
      </c>
      <c r="CV377" s="44" cm="1">
        <f t="array" ref="CV377">SUMPRODUCT(--(BG377:CR377&lt;1))</f>
        <v>38</v>
      </c>
    </row>
    <row r="378" spans="1:100" hidden="1" x14ac:dyDescent="0.25">
      <c r="A378" t="s">
        <v>421</v>
      </c>
      <c r="B378" t="s">
        <v>446</v>
      </c>
      <c r="C378">
        <v>2282600377</v>
      </c>
      <c r="D378" t="s">
        <v>58</v>
      </c>
      <c r="E378" s="2">
        <v>0</v>
      </c>
      <c r="F378" s="1">
        <v>46329</v>
      </c>
      <c r="G378" s="1"/>
      <c r="H378" s="1">
        <v>0</v>
      </c>
      <c r="I378" s="1">
        <v>46349</v>
      </c>
      <c r="J378">
        <v>46230</v>
      </c>
      <c r="K378" s="1"/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>
        <v>28.87</v>
      </c>
      <c r="BF378" s="3" t="str">
        <f>+IF(AVANCE[[#This Row],[% AVANCE]]=100%,"MODULO TERMINADO",IF(AVANCE[[#This Row],[FECHA INICIO REAL]]="","MODULO NO INICIADO","PENDIENTE"))</f>
        <v>MODULO NO INICIADO</v>
      </c>
      <c r="BG378" s="3">
        <f>+IF(AVANCE[[#This Row],[VENTANAS]]=8.10810810810811%,100%,AVANCE[[#This Row],[VENTANAS]])</f>
        <v>0</v>
      </c>
      <c r="BH378" s="3">
        <f>+IF(AVANCE[[#This Row],[PISO]]=N$2,100%,AVANCE[[#This Row],[PISO]])</f>
        <v>0</v>
      </c>
      <c r="BI378" s="3">
        <f>+IF(AVANCE[[#This Row],[TABIQUES]]=O$2,100%,AVANCE[[#This Row],[TABIQUES]])</f>
        <v>0</v>
      </c>
      <c r="BJ378" s="3">
        <f>+IF(AVANCE[[#This Row],[MUROS]]=P$2,100%,AVANCE[[#This Row],[MUROS]])</f>
        <v>0</v>
      </c>
      <c r="BK378" s="3">
        <f>+IF(AVANCE[[#This Row],[CIELO]]=Q$2,100%,AVANCE[[#This Row],[CIELO]])</f>
        <v>0</v>
      </c>
      <c r="BL378" s="3">
        <f>+IF(AVANCE[[#This Row],[BALCÓN]]=R$2,100%,AVANCE[[#This Row],[BALCÓN]])</f>
        <v>0</v>
      </c>
      <c r="BM378" s="3">
        <f>+IF(AVANCE[[#This Row],[RED ALCANTARILLADO]]=U$2,100%,AVANCE[[#This Row],[RED ALCANTARILLADO]])</f>
        <v>0</v>
      </c>
      <c r="BN378" s="3">
        <f>+IF(AVANCE[[#This Row],[RED DE AGUA]]=V$2,100%,AVANCE[[#This Row],[RED DE AGUA]])</f>
        <v>0</v>
      </c>
      <c r="BO378" s="3">
        <f>+IF(AVANCE[[#This Row],[VENTILACIONES]]=W$2,100%,AVANCE[[#This Row],[VENTILACIONES]])</f>
        <v>0</v>
      </c>
      <c r="BP378" s="3">
        <f>+IF(AVANCE[[#This Row],[TINA]]=X$2,100%,AVANCE[[#This Row],[TINA]])</f>
        <v>0</v>
      </c>
      <c r="BQ378" s="3">
        <f>+IF(AVANCE[[#This Row],[WC]]=Y$2,100%,AVANCE[[#This Row],[WC]])</f>
        <v>0</v>
      </c>
      <c r="BR378" s="3">
        <f>+IF(AVANCE[[#This Row],[LAVAMANOS / LAVAPLATOS / LAVADERO]]=Z$2,100%,AVANCE[[#This Row],[LAVAMANOS / LAVAPLATOS / LAVADERO]])</f>
        <v>0</v>
      </c>
      <c r="BS378" s="3">
        <f>+IF(AVANCE[[#This Row],[CANALIZACIÓN]]=AC$2,100%,AVANCE[[#This Row],[CANALIZACIÓN]])</f>
        <v>0</v>
      </c>
      <c r="BT378" s="3">
        <f>+IF(AVANCE[[#This Row],[CABLEADO]]=AD$2,100%,AVANCE[[#This Row],[CABLEADO]])</f>
        <v>0</v>
      </c>
      <c r="BU378" s="3">
        <f>+IF(AVANCE[[#This Row],[ARTEFACTOS]]=AE$2,100%,AVANCE[[#This Row],[ARTEFACTOS]])</f>
        <v>0</v>
      </c>
      <c r="BV378" s="3">
        <f>+IF(AVANCE[[#This Row],[TABLERO]]=AF$2,100%,AVANCE[[#This Row],[TABLERO]])</f>
        <v>0</v>
      </c>
      <c r="BW378" s="3">
        <f>+IF(AVANCE[[#This Row],[CAJA PAU]]=AG$2,100%,AVANCE[[#This Row],[CAJA PAU]])</f>
        <v>0</v>
      </c>
      <c r="BX378" s="3">
        <f>+IF(AVANCE[[#This Row],[INSTALACION VINILICO]]=AJ$2,100%,AVANCE[[#This Row],[INSTALACION VINILICO]])</f>
        <v>0</v>
      </c>
      <c r="BY378" s="3">
        <f>+IF(AVANCE[[#This Row],[OSB CUBIERTA]]=AK$2,100%,AVANCE[[#This Row],[OSB CUBIERTA]])</f>
        <v>0</v>
      </c>
      <c r="BZ378" s="3">
        <f>+IF(AVANCE[[#This Row],[BARANDA BALCON]]=AL$2,100%,AVANCE[[#This Row],[BARANDA BALCON]])</f>
        <v>0</v>
      </c>
      <c r="CA378" s="3">
        <f>+IF(AVANCE[[#This Row],[OSB EXTERIOR]]=AM$2,100%,AVANCE[[#This Row],[OSB EXTERIOR]])</f>
        <v>0</v>
      </c>
      <c r="CB378" s="3">
        <f>+IF(AVANCE[[#This Row],[SMART PANEL]]=AN$2,100%,AVANCE[[#This Row],[SMART PANEL]])</f>
        <v>0</v>
      </c>
      <c r="CC378" s="3">
        <f>+IF(AVANCE[[#This Row],[PINTURA EXTERIOR]]=AO$2,100%,AVANCE[[#This Row],[PINTURA EXTERIOR]])</f>
        <v>0</v>
      </c>
      <c r="CD378" s="3">
        <f>+IF(AVANCE[[#This Row],[ZOCALOS LOGIA]]=AP$2,100%,AVANCE[[#This Row],[ZOCALOS LOGIA]])</f>
        <v>0</v>
      </c>
      <c r="CE378" s="3">
        <f>+IF(AVANCE[[#This Row],[MOLDURAS]]=AQ$2,100%,AVANCE[[#This Row],[MOLDURAS]])</f>
        <v>0</v>
      </c>
      <c r="CF378" s="3">
        <f>+IF(AVANCE[[#This Row],[PILASTREO]]=AR$2,100%,AVANCE[[#This Row],[PILASTREO]])</f>
        <v>0</v>
      </c>
      <c r="CG378" s="3">
        <f>+IF(AVANCE[[#This Row],[CELOSIAS]]=AS$2,100%,AVANCE[[#This Row],[CELOSIAS]])</f>
        <v>0</v>
      </c>
      <c r="CH378" s="3">
        <f>+IF(AVANCE[[#This Row],[VENTANAS]]=AT$2,100%,AVANCE[[#This Row],[VENTANAS]])</f>
        <v>0</v>
      </c>
      <c r="CI378" s="3">
        <f>+IF(AVANCE[[#This Row],[PUERTAS ACCESO - LOGIA - BANO]]=AU$2,100%,AVANCE[[#This Row],[PUERTAS ACCESO - LOGIA - BANO]])</f>
        <v>0</v>
      </c>
      <c r="CJ378" s="3">
        <f>+IF(AVANCE[[#This Row],[CERRADURAS]]=AV$2,100%,AVANCE[[#This Row],[CERRADURAS]])</f>
        <v>0</v>
      </c>
      <c r="CK378" s="3">
        <f>+IF(AVANCE[[#This Row],[REVESTIMIENTO INTERIOR ZONA SECA]]=AW$2,100%,AVANCE[[#This Row],[REVESTIMIENTO INTERIOR ZONA SECA]])</f>
        <v>0</v>
      </c>
      <c r="CL378" s="3">
        <f>+IF(AVANCE[[#This Row],[REVESTIMIENTO INTERIOR ZONAS HUMEDAS]]=AX$2,100%,AVANCE[[#This Row],[REVESTIMIENTO INTERIOR ZONAS HUMEDAS]])</f>
        <v>0</v>
      </c>
      <c r="CM378" s="3">
        <f>+IF(AVANCE[[#This Row],[MEMBRANA CIELO]]=AY$2,100%,AVANCE[[#This Row],[MEMBRANA CIELO]])</f>
        <v>0</v>
      </c>
      <c r="CN378" s="3">
        <f>+IF(AVANCE[[#This Row],[LIMPIEZA FINAL]]=AZ$2,100%,AVANCE[[#This Row],[LIMPIEZA FINAL]])</f>
        <v>0</v>
      </c>
      <c r="CO378" s="3">
        <f>+IF(AVANCE[[#This Row],[PUERTAS DORMITORIO]]=BA$2,100%,AVANCE[[#This Row],[PUERTAS DORMITORIO]])</f>
        <v>0</v>
      </c>
      <c r="CP378" s="3">
        <f>+IF(AVANCE[[#This Row],[REVESTIMIENTO INTERIOR BANO]]=BB$2,100%,AVANCE[[#This Row],[REVESTIMIENTO INTERIOR BANO]])</f>
        <v>0</v>
      </c>
      <c r="CQ378" s="3">
        <f>+IF(AVANCE[[#This Row],[MUEBLE LAVAPLATOS]]=BC$2,100%,AVANCE[[#This Row],[MUEBLE LAVAPLATOS]])</f>
        <v>0</v>
      </c>
      <c r="CR378" s="3">
        <f>+IF(AVANCE[[#This Row],[IMPERMEABILIZACION BANO - COCINA LOGIA]]=BD$2,100%,AVANCE[[#This Row],[IMPERMEABILIZACION BANO - COCINA LOGIA]])</f>
        <v>0</v>
      </c>
      <c r="CS378" s="40">
        <f ca="1">+IF(AVANCE[[#This Row],[ESTADO MODULO]]="PENDIENTE",(TODAY()-AVANCE[[#This Row],[FECHA TERMINO  PLANIFICADO]]),0)</f>
        <v>0</v>
      </c>
      <c r="CT378" s="41" t="str" cm="1">
        <f t="array" ref="CT378">_xlfn.TEXTJOIN(" | ",TRUE,IF(SUMPRODUCT((BG378:CR378&lt;1)*(PARTIDAS!$I$2:$AT$2="OBRA GRUESA"))&gt;0,"OBRA GRUESA: "&amp;_xlfn.TEXTJOIN(", ",TRUE,IF((BG378:CR378&lt;1)*(PARTIDAS!$I$2:$AT$2="OBRA GRUESA"),PARTIDAS!$I$1:$AT$1,"")),""),IF(SUMPRODUCT((BG378:CR378&lt;1)*(PARTIDAS!$I$2:$AT$2="SANITARIOS"))&gt;0,"SANITARIOS: "&amp;_xlfn.TEXTJOIN(", ",TRUE,IF((BG378:CR378&lt;1)*(PARTIDAS!$I$2:$AT$2="SANITARIOS"),PARTIDAS!$I$1:$AT$1,"")),""),IF(SUMPRODUCT((BG378:CR378&lt;1)*(PARTIDAS!$I$2:$AT$2="ELÉCTRICO"))&gt;0,"ELÉCTRICO: "&amp;_xlfn.TEXTJOIN(", ",TRUE,IF((BG378:CR378&lt;1)*(PARTIDAS!$I$2:$AT$2="ELÉCTRICO"),PARTIDAS!$I$1:$AT$1,"")),""),IF(SUMPRODUCT((BG378:CR378&lt;1)*(PARTIDAS!$I$2:$AT$2="TERMINACIONES"))&gt;0,"TERMINACIONES: "&amp;_xlfn.TEXTJOIN(", ",TRUE,IF((BG378:CR378&lt;1)*(PARTIDAS!$I$2:$AT$2="TERMINACIONES"),PARTIDAS!$I$1:$AT$1,"")),""))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8" s="43" t="str" cm="1">
        <f t="array" ref="CU378">_xlfn.TEXTJOIN(", ",TRUE,IF(SUMPRODUCT((BG378:CR378&lt;1)*(PARTIDAS!$I$2:$AT$2="OBRA GRUESA"))&gt;0,"OBRA GRUESA",""),IF(SUMPRODUCT((BG378:CR378&lt;1)*(PARTIDAS!$I$2:$AT$2="SANITARIOS"))&gt;0,"SANITARIOS",""),IF(SUMPRODUCT((BG378:CR378&lt;1)*(PARTIDAS!$I$2:$AT$2="ELÉCTRICO"))&gt;0,"ELÉCTRICO",""),IF(SUMPRODUCT((BG378:CR378&lt;1)*(PARTIDAS!$I$2:$AT$2="TERMINACIONES"))&gt;0,"TERMINACIONES",""))</f>
        <v>OBRA GRUESA, SANITARIOS, ELÉCTRICO, TERMINACIONES</v>
      </c>
      <c r="CV378" s="44" cm="1">
        <f t="array" ref="CV378">SUMPRODUCT(--(BG378:CR378&lt;1))</f>
        <v>38</v>
      </c>
    </row>
    <row r="379" spans="1:100" hidden="1" x14ac:dyDescent="0.25">
      <c r="A379" t="s">
        <v>421</v>
      </c>
      <c r="B379" t="s">
        <v>447</v>
      </c>
      <c r="C379">
        <v>2302600378</v>
      </c>
      <c r="D379" t="s">
        <v>60</v>
      </c>
      <c r="E379" s="2">
        <v>0</v>
      </c>
      <c r="F379" s="1">
        <v>46329</v>
      </c>
      <c r="G379" s="1"/>
      <c r="H379" s="1">
        <v>0</v>
      </c>
      <c r="I379" s="1">
        <v>46359</v>
      </c>
      <c r="J379">
        <v>46230</v>
      </c>
      <c r="K379" s="1"/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>
        <v>31.32</v>
      </c>
      <c r="BF379" s="3" t="str">
        <f>+IF(AVANCE[[#This Row],[% AVANCE]]=100%,"MODULO TERMINADO",IF(AVANCE[[#This Row],[FECHA INICIO REAL]]="","MODULO NO INICIADO","PENDIENTE"))</f>
        <v>MODULO NO INICIADO</v>
      </c>
      <c r="BG379" s="3">
        <f>+IF(AVANCE[[#This Row],[VENTANAS]]=8.10810810810811%,100%,AVANCE[[#This Row],[VENTANAS]])</f>
        <v>0</v>
      </c>
      <c r="BH379" s="3">
        <f>+IF(AVANCE[[#This Row],[PISO]]=N$2,100%,AVANCE[[#This Row],[PISO]])</f>
        <v>0</v>
      </c>
      <c r="BI379" s="3">
        <f>+IF(AVANCE[[#This Row],[TABIQUES]]=O$2,100%,AVANCE[[#This Row],[TABIQUES]])</f>
        <v>0</v>
      </c>
      <c r="BJ379" s="3">
        <f>+IF(AVANCE[[#This Row],[MUROS]]=P$2,100%,AVANCE[[#This Row],[MUROS]])</f>
        <v>0</v>
      </c>
      <c r="BK379" s="3">
        <f>+IF(AVANCE[[#This Row],[CIELO]]=Q$2,100%,AVANCE[[#This Row],[CIELO]])</f>
        <v>0</v>
      </c>
      <c r="BL379" s="3">
        <f>+IF(AVANCE[[#This Row],[BALCÓN]]=R$2,100%,AVANCE[[#This Row],[BALCÓN]])</f>
        <v>0</v>
      </c>
      <c r="BM379" s="3">
        <f>+IF(AVANCE[[#This Row],[RED ALCANTARILLADO]]=U$2,100%,AVANCE[[#This Row],[RED ALCANTARILLADO]])</f>
        <v>0</v>
      </c>
      <c r="BN379" s="3">
        <f>+IF(AVANCE[[#This Row],[RED DE AGUA]]=V$2,100%,AVANCE[[#This Row],[RED DE AGUA]])</f>
        <v>0</v>
      </c>
      <c r="BO379" s="3">
        <f>+IF(AVANCE[[#This Row],[VENTILACIONES]]=W$2,100%,AVANCE[[#This Row],[VENTILACIONES]])</f>
        <v>0</v>
      </c>
      <c r="BP379" s="3">
        <f>+IF(AVANCE[[#This Row],[TINA]]=X$2,100%,AVANCE[[#This Row],[TINA]])</f>
        <v>0</v>
      </c>
      <c r="BQ379" s="3">
        <f>+IF(AVANCE[[#This Row],[WC]]=Y$2,100%,AVANCE[[#This Row],[WC]])</f>
        <v>0</v>
      </c>
      <c r="BR379" s="3">
        <f>+IF(AVANCE[[#This Row],[LAVAMANOS / LAVAPLATOS / LAVADERO]]=Z$2,100%,AVANCE[[#This Row],[LAVAMANOS / LAVAPLATOS / LAVADERO]])</f>
        <v>0</v>
      </c>
      <c r="BS379" s="3">
        <f>+IF(AVANCE[[#This Row],[CANALIZACIÓN]]=AC$2,100%,AVANCE[[#This Row],[CANALIZACIÓN]])</f>
        <v>0</v>
      </c>
      <c r="BT379" s="3">
        <f>+IF(AVANCE[[#This Row],[CABLEADO]]=AD$2,100%,AVANCE[[#This Row],[CABLEADO]])</f>
        <v>0</v>
      </c>
      <c r="BU379" s="3">
        <f>+IF(AVANCE[[#This Row],[ARTEFACTOS]]=AE$2,100%,AVANCE[[#This Row],[ARTEFACTOS]])</f>
        <v>0</v>
      </c>
      <c r="BV379" s="3">
        <f>+IF(AVANCE[[#This Row],[TABLERO]]=AF$2,100%,AVANCE[[#This Row],[TABLERO]])</f>
        <v>0</v>
      </c>
      <c r="BW379" s="3">
        <f>+IF(AVANCE[[#This Row],[CAJA PAU]]=AG$2,100%,AVANCE[[#This Row],[CAJA PAU]])</f>
        <v>0</v>
      </c>
      <c r="BX379" s="3">
        <f>+IF(AVANCE[[#This Row],[INSTALACION VINILICO]]=AJ$2,100%,AVANCE[[#This Row],[INSTALACION VINILICO]])</f>
        <v>0</v>
      </c>
      <c r="BY379" s="3">
        <f>+IF(AVANCE[[#This Row],[OSB CUBIERTA]]=AK$2,100%,AVANCE[[#This Row],[OSB CUBIERTA]])</f>
        <v>0</v>
      </c>
      <c r="BZ379" s="3">
        <f>+IF(AVANCE[[#This Row],[BARANDA BALCON]]=AL$2,100%,AVANCE[[#This Row],[BARANDA BALCON]])</f>
        <v>0</v>
      </c>
      <c r="CA379" s="3">
        <f>+IF(AVANCE[[#This Row],[OSB EXTERIOR]]=AM$2,100%,AVANCE[[#This Row],[OSB EXTERIOR]])</f>
        <v>0</v>
      </c>
      <c r="CB379" s="3">
        <f>+IF(AVANCE[[#This Row],[SMART PANEL]]=AN$2,100%,AVANCE[[#This Row],[SMART PANEL]])</f>
        <v>0</v>
      </c>
      <c r="CC379" s="3">
        <f>+IF(AVANCE[[#This Row],[PINTURA EXTERIOR]]=AO$2,100%,AVANCE[[#This Row],[PINTURA EXTERIOR]])</f>
        <v>0</v>
      </c>
      <c r="CD379" s="3">
        <f>+IF(AVANCE[[#This Row],[ZOCALOS LOGIA]]=AP$2,100%,AVANCE[[#This Row],[ZOCALOS LOGIA]])</f>
        <v>0</v>
      </c>
      <c r="CE379" s="3">
        <f>+IF(AVANCE[[#This Row],[MOLDURAS]]=AQ$2,100%,AVANCE[[#This Row],[MOLDURAS]])</f>
        <v>0</v>
      </c>
      <c r="CF379" s="3">
        <f>+IF(AVANCE[[#This Row],[PILASTREO]]=AR$2,100%,AVANCE[[#This Row],[PILASTREO]])</f>
        <v>0</v>
      </c>
      <c r="CG379" s="3">
        <f>+IF(AVANCE[[#This Row],[CELOSIAS]]=AS$2,100%,AVANCE[[#This Row],[CELOSIAS]])</f>
        <v>0</v>
      </c>
      <c r="CH379" s="3">
        <f>+IF(AVANCE[[#This Row],[VENTANAS]]=AT$2,100%,AVANCE[[#This Row],[VENTANAS]])</f>
        <v>0</v>
      </c>
      <c r="CI379" s="3">
        <f>+IF(AVANCE[[#This Row],[PUERTAS ACCESO - LOGIA - BANO]]=AU$2,100%,AVANCE[[#This Row],[PUERTAS ACCESO - LOGIA - BANO]])</f>
        <v>0</v>
      </c>
      <c r="CJ379" s="3">
        <f>+IF(AVANCE[[#This Row],[CERRADURAS]]=AV$2,100%,AVANCE[[#This Row],[CERRADURAS]])</f>
        <v>0</v>
      </c>
      <c r="CK379" s="3">
        <f>+IF(AVANCE[[#This Row],[REVESTIMIENTO INTERIOR ZONA SECA]]=AW$2,100%,AVANCE[[#This Row],[REVESTIMIENTO INTERIOR ZONA SECA]])</f>
        <v>0</v>
      </c>
      <c r="CL379" s="3">
        <f>+IF(AVANCE[[#This Row],[REVESTIMIENTO INTERIOR ZONAS HUMEDAS]]=AX$2,100%,AVANCE[[#This Row],[REVESTIMIENTO INTERIOR ZONAS HUMEDAS]])</f>
        <v>0</v>
      </c>
      <c r="CM379" s="3">
        <f>+IF(AVANCE[[#This Row],[MEMBRANA CIELO]]=AY$2,100%,AVANCE[[#This Row],[MEMBRANA CIELO]])</f>
        <v>0</v>
      </c>
      <c r="CN379" s="3">
        <f>+IF(AVANCE[[#This Row],[LIMPIEZA FINAL]]=AZ$2,100%,AVANCE[[#This Row],[LIMPIEZA FINAL]])</f>
        <v>0</v>
      </c>
      <c r="CO379" s="3">
        <f>+IF(AVANCE[[#This Row],[PUERTAS DORMITORIO]]=BA$2,100%,AVANCE[[#This Row],[PUERTAS DORMITORIO]])</f>
        <v>0</v>
      </c>
      <c r="CP379" s="3">
        <f>+IF(AVANCE[[#This Row],[REVESTIMIENTO INTERIOR BANO]]=BB$2,100%,AVANCE[[#This Row],[REVESTIMIENTO INTERIOR BANO]])</f>
        <v>0</v>
      </c>
      <c r="CQ379" s="3">
        <f>+IF(AVANCE[[#This Row],[MUEBLE LAVAPLATOS]]=BC$2,100%,AVANCE[[#This Row],[MUEBLE LAVAPLATOS]])</f>
        <v>0</v>
      </c>
      <c r="CR379" s="3">
        <f>+IF(AVANCE[[#This Row],[IMPERMEABILIZACION BANO - COCINA LOGIA]]=BD$2,100%,AVANCE[[#This Row],[IMPERMEABILIZACION BANO - COCINA LOGIA]])</f>
        <v>0</v>
      </c>
      <c r="CS379" s="40">
        <f ca="1">+IF(AVANCE[[#This Row],[ESTADO MODULO]]="PENDIENTE",(TODAY()-AVANCE[[#This Row],[FECHA TERMINO  PLANIFICADO]]),0)</f>
        <v>0</v>
      </c>
      <c r="CT379" s="41" t="str" cm="1">
        <f t="array" ref="CT379">_xlfn.TEXTJOIN(" | ",TRUE,IF(SUMPRODUCT((BG379:CR379&lt;1)*(PARTIDAS!$I$2:$AT$2="OBRA GRUESA"))&gt;0,"OBRA GRUESA: "&amp;_xlfn.TEXTJOIN(", ",TRUE,IF((BG379:CR379&lt;1)*(PARTIDAS!$I$2:$AT$2="OBRA GRUESA"),PARTIDAS!$I$1:$AT$1,"")),""),IF(SUMPRODUCT((BG379:CR379&lt;1)*(PARTIDAS!$I$2:$AT$2="SANITARIOS"))&gt;0,"SANITARIOS: "&amp;_xlfn.TEXTJOIN(", ",TRUE,IF((BG379:CR379&lt;1)*(PARTIDAS!$I$2:$AT$2="SANITARIOS"),PARTIDAS!$I$1:$AT$1,"")),""),IF(SUMPRODUCT((BG379:CR379&lt;1)*(PARTIDAS!$I$2:$AT$2="ELÉCTRICO"))&gt;0,"ELÉCTRICO: "&amp;_xlfn.TEXTJOIN(", ",TRUE,IF((BG379:CR379&lt;1)*(PARTIDAS!$I$2:$AT$2="ELÉCTRICO"),PARTIDAS!$I$1:$AT$1,"")),""),IF(SUMPRODUCT((BG379:CR379&lt;1)*(PARTIDAS!$I$2:$AT$2="TERMINACIONES"))&gt;0,"TERMINACIONES: "&amp;_xlfn.TEXTJOIN(", ",TRUE,IF((BG379:CR379&lt;1)*(PARTIDAS!$I$2:$AT$2="TERMINACIONES"),PARTIDAS!$I$1:$AT$1,"")),""))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79" s="43" t="str" cm="1">
        <f t="array" ref="CU379">_xlfn.TEXTJOIN(", ",TRUE,IF(SUMPRODUCT((BG379:CR379&lt;1)*(PARTIDAS!$I$2:$AT$2="OBRA GRUESA"))&gt;0,"OBRA GRUESA",""),IF(SUMPRODUCT((BG379:CR379&lt;1)*(PARTIDAS!$I$2:$AT$2="SANITARIOS"))&gt;0,"SANITARIOS",""),IF(SUMPRODUCT((BG379:CR379&lt;1)*(PARTIDAS!$I$2:$AT$2="ELÉCTRICO"))&gt;0,"ELÉCTRICO",""),IF(SUMPRODUCT((BG379:CR379&lt;1)*(PARTIDAS!$I$2:$AT$2="TERMINACIONES"))&gt;0,"TERMINACIONES",""))</f>
        <v>OBRA GRUESA, SANITARIOS, ELÉCTRICO, TERMINACIONES</v>
      </c>
      <c r="CV379" s="44" cm="1">
        <f t="array" ref="CV379">SUMPRODUCT(--(BG379:CR379&lt;1))</f>
        <v>38</v>
      </c>
    </row>
    <row r="380" spans="1:100" hidden="1" x14ac:dyDescent="0.25">
      <c r="A380" t="s">
        <v>421</v>
      </c>
      <c r="B380" t="s">
        <v>448</v>
      </c>
      <c r="C380">
        <v>2302600379</v>
      </c>
      <c r="D380" t="s">
        <v>60</v>
      </c>
      <c r="E380" s="2">
        <v>0</v>
      </c>
      <c r="F380" s="1">
        <v>46329</v>
      </c>
      <c r="G380" s="1"/>
      <c r="H380" s="1">
        <v>0</v>
      </c>
      <c r="I380" s="1">
        <v>46359</v>
      </c>
      <c r="J380">
        <v>46230</v>
      </c>
      <c r="K380" s="1"/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>
        <v>31.32</v>
      </c>
      <c r="BF380" s="3" t="str">
        <f>+IF(AVANCE[[#This Row],[% AVANCE]]=100%,"MODULO TERMINADO",IF(AVANCE[[#This Row],[FECHA INICIO REAL]]="","MODULO NO INICIADO","PENDIENTE"))</f>
        <v>MODULO NO INICIADO</v>
      </c>
      <c r="BG380" s="3">
        <f>+IF(AVANCE[[#This Row],[VENTANAS]]=8.10810810810811%,100%,AVANCE[[#This Row],[VENTANAS]])</f>
        <v>0</v>
      </c>
      <c r="BH380" s="3">
        <f>+IF(AVANCE[[#This Row],[PISO]]=N$2,100%,AVANCE[[#This Row],[PISO]])</f>
        <v>0</v>
      </c>
      <c r="BI380" s="3">
        <f>+IF(AVANCE[[#This Row],[TABIQUES]]=O$2,100%,AVANCE[[#This Row],[TABIQUES]])</f>
        <v>0</v>
      </c>
      <c r="BJ380" s="3">
        <f>+IF(AVANCE[[#This Row],[MUROS]]=P$2,100%,AVANCE[[#This Row],[MUROS]])</f>
        <v>0</v>
      </c>
      <c r="BK380" s="3">
        <f>+IF(AVANCE[[#This Row],[CIELO]]=Q$2,100%,AVANCE[[#This Row],[CIELO]])</f>
        <v>0</v>
      </c>
      <c r="BL380" s="3">
        <f>+IF(AVANCE[[#This Row],[BALCÓN]]=R$2,100%,AVANCE[[#This Row],[BALCÓN]])</f>
        <v>0</v>
      </c>
      <c r="BM380" s="3">
        <f>+IF(AVANCE[[#This Row],[RED ALCANTARILLADO]]=U$2,100%,AVANCE[[#This Row],[RED ALCANTARILLADO]])</f>
        <v>0</v>
      </c>
      <c r="BN380" s="3">
        <f>+IF(AVANCE[[#This Row],[RED DE AGUA]]=V$2,100%,AVANCE[[#This Row],[RED DE AGUA]])</f>
        <v>0</v>
      </c>
      <c r="BO380" s="3">
        <f>+IF(AVANCE[[#This Row],[VENTILACIONES]]=W$2,100%,AVANCE[[#This Row],[VENTILACIONES]])</f>
        <v>0</v>
      </c>
      <c r="BP380" s="3">
        <f>+IF(AVANCE[[#This Row],[TINA]]=X$2,100%,AVANCE[[#This Row],[TINA]])</f>
        <v>0</v>
      </c>
      <c r="BQ380" s="3">
        <f>+IF(AVANCE[[#This Row],[WC]]=Y$2,100%,AVANCE[[#This Row],[WC]])</f>
        <v>0</v>
      </c>
      <c r="BR380" s="3">
        <f>+IF(AVANCE[[#This Row],[LAVAMANOS / LAVAPLATOS / LAVADERO]]=Z$2,100%,AVANCE[[#This Row],[LAVAMANOS / LAVAPLATOS / LAVADERO]])</f>
        <v>0</v>
      </c>
      <c r="BS380" s="3">
        <f>+IF(AVANCE[[#This Row],[CANALIZACIÓN]]=AC$2,100%,AVANCE[[#This Row],[CANALIZACIÓN]])</f>
        <v>0</v>
      </c>
      <c r="BT380" s="3">
        <f>+IF(AVANCE[[#This Row],[CABLEADO]]=AD$2,100%,AVANCE[[#This Row],[CABLEADO]])</f>
        <v>0</v>
      </c>
      <c r="BU380" s="3">
        <f>+IF(AVANCE[[#This Row],[ARTEFACTOS]]=AE$2,100%,AVANCE[[#This Row],[ARTEFACTOS]])</f>
        <v>0</v>
      </c>
      <c r="BV380" s="3">
        <f>+IF(AVANCE[[#This Row],[TABLERO]]=AF$2,100%,AVANCE[[#This Row],[TABLERO]])</f>
        <v>0</v>
      </c>
      <c r="BW380" s="3">
        <f>+IF(AVANCE[[#This Row],[CAJA PAU]]=AG$2,100%,AVANCE[[#This Row],[CAJA PAU]])</f>
        <v>0</v>
      </c>
      <c r="BX380" s="3">
        <f>+IF(AVANCE[[#This Row],[INSTALACION VINILICO]]=AJ$2,100%,AVANCE[[#This Row],[INSTALACION VINILICO]])</f>
        <v>0</v>
      </c>
      <c r="BY380" s="3">
        <f>+IF(AVANCE[[#This Row],[OSB CUBIERTA]]=AK$2,100%,AVANCE[[#This Row],[OSB CUBIERTA]])</f>
        <v>0</v>
      </c>
      <c r="BZ380" s="3">
        <f>+IF(AVANCE[[#This Row],[BARANDA BALCON]]=AL$2,100%,AVANCE[[#This Row],[BARANDA BALCON]])</f>
        <v>0</v>
      </c>
      <c r="CA380" s="3">
        <f>+IF(AVANCE[[#This Row],[OSB EXTERIOR]]=AM$2,100%,AVANCE[[#This Row],[OSB EXTERIOR]])</f>
        <v>0</v>
      </c>
      <c r="CB380" s="3">
        <f>+IF(AVANCE[[#This Row],[SMART PANEL]]=AN$2,100%,AVANCE[[#This Row],[SMART PANEL]])</f>
        <v>0</v>
      </c>
      <c r="CC380" s="3">
        <f>+IF(AVANCE[[#This Row],[PINTURA EXTERIOR]]=AO$2,100%,AVANCE[[#This Row],[PINTURA EXTERIOR]])</f>
        <v>0</v>
      </c>
      <c r="CD380" s="3">
        <f>+IF(AVANCE[[#This Row],[ZOCALOS LOGIA]]=AP$2,100%,AVANCE[[#This Row],[ZOCALOS LOGIA]])</f>
        <v>0</v>
      </c>
      <c r="CE380" s="3">
        <f>+IF(AVANCE[[#This Row],[MOLDURAS]]=AQ$2,100%,AVANCE[[#This Row],[MOLDURAS]])</f>
        <v>0</v>
      </c>
      <c r="CF380" s="3">
        <f>+IF(AVANCE[[#This Row],[PILASTREO]]=AR$2,100%,AVANCE[[#This Row],[PILASTREO]])</f>
        <v>0</v>
      </c>
      <c r="CG380" s="3">
        <f>+IF(AVANCE[[#This Row],[CELOSIAS]]=AS$2,100%,AVANCE[[#This Row],[CELOSIAS]])</f>
        <v>0</v>
      </c>
      <c r="CH380" s="3">
        <f>+IF(AVANCE[[#This Row],[VENTANAS]]=AT$2,100%,AVANCE[[#This Row],[VENTANAS]])</f>
        <v>0</v>
      </c>
      <c r="CI380" s="3">
        <f>+IF(AVANCE[[#This Row],[PUERTAS ACCESO - LOGIA - BANO]]=AU$2,100%,AVANCE[[#This Row],[PUERTAS ACCESO - LOGIA - BANO]])</f>
        <v>0</v>
      </c>
      <c r="CJ380" s="3">
        <f>+IF(AVANCE[[#This Row],[CERRADURAS]]=AV$2,100%,AVANCE[[#This Row],[CERRADURAS]])</f>
        <v>0</v>
      </c>
      <c r="CK380" s="3">
        <f>+IF(AVANCE[[#This Row],[REVESTIMIENTO INTERIOR ZONA SECA]]=AW$2,100%,AVANCE[[#This Row],[REVESTIMIENTO INTERIOR ZONA SECA]])</f>
        <v>0</v>
      </c>
      <c r="CL380" s="3">
        <f>+IF(AVANCE[[#This Row],[REVESTIMIENTO INTERIOR ZONAS HUMEDAS]]=AX$2,100%,AVANCE[[#This Row],[REVESTIMIENTO INTERIOR ZONAS HUMEDAS]])</f>
        <v>0</v>
      </c>
      <c r="CM380" s="3">
        <f>+IF(AVANCE[[#This Row],[MEMBRANA CIELO]]=AY$2,100%,AVANCE[[#This Row],[MEMBRANA CIELO]])</f>
        <v>0</v>
      </c>
      <c r="CN380" s="3">
        <f>+IF(AVANCE[[#This Row],[LIMPIEZA FINAL]]=AZ$2,100%,AVANCE[[#This Row],[LIMPIEZA FINAL]])</f>
        <v>0</v>
      </c>
      <c r="CO380" s="3">
        <f>+IF(AVANCE[[#This Row],[PUERTAS DORMITORIO]]=BA$2,100%,AVANCE[[#This Row],[PUERTAS DORMITORIO]])</f>
        <v>0</v>
      </c>
      <c r="CP380" s="3">
        <f>+IF(AVANCE[[#This Row],[REVESTIMIENTO INTERIOR BANO]]=BB$2,100%,AVANCE[[#This Row],[REVESTIMIENTO INTERIOR BANO]])</f>
        <v>0</v>
      </c>
      <c r="CQ380" s="3">
        <f>+IF(AVANCE[[#This Row],[MUEBLE LAVAPLATOS]]=BC$2,100%,AVANCE[[#This Row],[MUEBLE LAVAPLATOS]])</f>
        <v>0</v>
      </c>
      <c r="CR380" s="3">
        <f>+IF(AVANCE[[#This Row],[IMPERMEABILIZACION BANO - COCINA LOGIA]]=BD$2,100%,AVANCE[[#This Row],[IMPERMEABILIZACION BANO - COCINA LOGIA]])</f>
        <v>0</v>
      </c>
      <c r="CS380" s="40">
        <f ca="1">+IF(AVANCE[[#This Row],[ESTADO MODULO]]="PENDIENTE",(TODAY()-AVANCE[[#This Row],[FECHA TERMINO  PLANIFICADO]]),0)</f>
        <v>0</v>
      </c>
      <c r="CT380" s="41" t="str" cm="1">
        <f t="array" ref="CT380">_xlfn.TEXTJOIN(" | ",TRUE,IF(SUMPRODUCT((BG380:CR380&lt;1)*(PARTIDAS!$I$2:$AT$2="OBRA GRUESA"))&gt;0,"OBRA GRUESA: "&amp;_xlfn.TEXTJOIN(", ",TRUE,IF((BG380:CR380&lt;1)*(PARTIDAS!$I$2:$AT$2="OBRA GRUESA"),PARTIDAS!$I$1:$AT$1,"")),""),IF(SUMPRODUCT((BG380:CR380&lt;1)*(PARTIDAS!$I$2:$AT$2="SANITARIOS"))&gt;0,"SANITARIOS: "&amp;_xlfn.TEXTJOIN(", ",TRUE,IF((BG380:CR380&lt;1)*(PARTIDAS!$I$2:$AT$2="SANITARIOS"),PARTIDAS!$I$1:$AT$1,"")),""),IF(SUMPRODUCT((BG380:CR380&lt;1)*(PARTIDAS!$I$2:$AT$2="ELÉCTRICO"))&gt;0,"ELÉCTRICO: "&amp;_xlfn.TEXTJOIN(", ",TRUE,IF((BG380:CR380&lt;1)*(PARTIDAS!$I$2:$AT$2="ELÉCTRICO"),PARTIDAS!$I$1:$AT$1,"")),""),IF(SUMPRODUCT((BG380:CR380&lt;1)*(PARTIDAS!$I$2:$AT$2="TERMINACIONES"))&gt;0,"TERMINACIONES: "&amp;_xlfn.TEXTJOIN(", ",TRUE,IF((BG380:CR380&lt;1)*(PARTIDAS!$I$2:$AT$2="TERMINACIONES"),PARTIDAS!$I$1:$AT$1,"")),""))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0" s="43" t="str" cm="1">
        <f t="array" ref="CU380">_xlfn.TEXTJOIN(", ",TRUE,IF(SUMPRODUCT((BG380:CR380&lt;1)*(PARTIDAS!$I$2:$AT$2="OBRA GRUESA"))&gt;0,"OBRA GRUESA",""),IF(SUMPRODUCT((BG380:CR380&lt;1)*(PARTIDAS!$I$2:$AT$2="SANITARIOS"))&gt;0,"SANITARIOS",""),IF(SUMPRODUCT((BG380:CR380&lt;1)*(PARTIDAS!$I$2:$AT$2="ELÉCTRICO"))&gt;0,"ELÉCTRICO",""),IF(SUMPRODUCT((BG380:CR380&lt;1)*(PARTIDAS!$I$2:$AT$2="TERMINACIONES"))&gt;0,"TERMINACIONES",""))</f>
        <v>OBRA GRUESA, SANITARIOS, ELÉCTRICO, TERMINACIONES</v>
      </c>
      <c r="CV380" s="44" cm="1">
        <f t="array" ref="CV380">SUMPRODUCT(--(BG380:CR380&lt;1))</f>
        <v>38</v>
      </c>
    </row>
    <row r="381" spans="1:100" hidden="1" x14ac:dyDescent="0.25">
      <c r="A381" t="s">
        <v>421</v>
      </c>
      <c r="B381" t="s">
        <v>449</v>
      </c>
      <c r="C381">
        <v>2282600380</v>
      </c>
      <c r="D381" t="s">
        <v>58</v>
      </c>
      <c r="E381" s="2">
        <v>0</v>
      </c>
      <c r="F381" s="1">
        <v>46330</v>
      </c>
      <c r="G381" s="1"/>
      <c r="H381" s="1">
        <v>0</v>
      </c>
      <c r="I381" s="1">
        <v>46350</v>
      </c>
      <c r="J381">
        <v>46230</v>
      </c>
      <c r="K381" s="1"/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>
        <v>28.87</v>
      </c>
      <c r="BF381" s="3" t="str">
        <f>+IF(AVANCE[[#This Row],[% AVANCE]]=100%,"MODULO TERMINADO",IF(AVANCE[[#This Row],[FECHA INICIO REAL]]="","MODULO NO INICIADO","PENDIENTE"))</f>
        <v>MODULO NO INICIADO</v>
      </c>
      <c r="BG381" s="3">
        <f>+IF(AVANCE[[#This Row],[VENTANAS]]=8.10810810810811%,100%,AVANCE[[#This Row],[VENTANAS]])</f>
        <v>0</v>
      </c>
      <c r="BH381" s="3">
        <f>+IF(AVANCE[[#This Row],[PISO]]=N$2,100%,AVANCE[[#This Row],[PISO]])</f>
        <v>0</v>
      </c>
      <c r="BI381" s="3">
        <f>+IF(AVANCE[[#This Row],[TABIQUES]]=O$2,100%,AVANCE[[#This Row],[TABIQUES]])</f>
        <v>0</v>
      </c>
      <c r="BJ381" s="3">
        <f>+IF(AVANCE[[#This Row],[MUROS]]=P$2,100%,AVANCE[[#This Row],[MUROS]])</f>
        <v>0</v>
      </c>
      <c r="BK381" s="3">
        <f>+IF(AVANCE[[#This Row],[CIELO]]=Q$2,100%,AVANCE[[#This Row],[CIELO]])</f>
        <v>0</v>
      </c>
      <c r="BL381" s="3">
        <f>+IF(AVANCE[[#This Row],[BALCÓN]]=R$2,100%,AVANCE[[#This Row],[BALCÓN]])</f>
        <v>0</v>
      </c>
      <c r="BM381" s="3">
        <f>+IF(AVANCE[[#This Row],[RED ALCANTARILLADO]]=U$2,100%,AVANCE[[#This Row],[RED ALCANTARILLADO]])</f>
        <v>0</v>
      </c>
      <c r="BN381" s="3">
        <f>+IF(AVANCE[[#This Row],[RED DE AGUA]]=V$2,100%,AVANCE[[#This Row],[RED DE AGUA]])</f>
        <v>0</v>
      </c>
      <c r="BO381" s="3">
        <f>+IF(AVANCE[[#This Row],[VENTILACIONES]]=W$2,100%,AVANCE[[#This Row],[VENTILACIONES]])</f>
        <v>0</v>
      </c>
      <c r="BP381" s="3">
        <f>+IF(AVANCE[[#This Row],[TINA]]=X$2,100%,AVANCE[[#This Row],[TINA]])</f>
        <v>0</v>
      </c>
      <c r="BQ381" s="3">
        <f>+IF(AVANCE[[#This Row],[WC]]=Y$2,100%,AVANCE[[#This Row],[WC]])</f>
        <v>0</v>
      </c>
      <c r="BR381" s="3">
        <f>+IF(AVANCE[[#This Row],[LAVAMANOS / LAVAPLATOS / LAVADERO]]=Z$2,100%,AVANCE[[#This Row],[LAVAMANOS / LAVAPLATOS / LAVADERO]])</f>
        <v>0</v>
      </c>
      <c r="BS381" s="3">
        <f>+IF(AVANCE[[#This Row],[CANALIZACIÓN]]=AC$2,100%,AVANCE[[#This Row],[CANALIZACIÓN]])</f>
        <v>0</v>
      </c>
      <c r="BT381" s="3">
        <f>+IF(AVANCE[[#This Row],[CABLEADO]]=AD$2,100%,AVANCE[[#This Row],[CABLEADO]])</f>
        <v>0</v>
      </c>
      <c r="BU381" s="3">
        <f>+IF(AVANCE[[#This Row],[ARTEFACTOS]]=AE$2,100%,AVANCE[[#This Row],[ARTEFACTOS]])</f>
        <v>0</v>
      </c>
      <c r="BV381" s="3">
        <f>+IF(AVANCE[[#This Row],[TABLERO]]=AF$2,100%,AVANCE[[#This Row],[TABLERO]])</f>
        <v>0</v>
      </c>
      <c r="BW381" s="3">
        <f>+IF(AVANCE[[#This Row],[CAJA PAU]]=AG$2,100%,AVANCE[[#This Row],[CAJA PAU]])</f>
        <v>0</v>
      </c>
      <c r="BX381" s="3">
        <f>+IF(AVANCE[[#This Row],[INSTALACION VINILICO]]=AJ$2,100%,AVANCE[[#This Row],[INSTALACION VINILICO]])</f>
        <v>0</v>
      </c>
      <c r="BY381" s="3">
        <f>+IF(AVANCE[[#This Row],[OSB CUBIERTA]]=AK$2,100%,AVANCE[[#This Row],[OSB CUBIERTA]])</f>
        <v>0</v>
      </c>
      <c r="BZ381" s="3">
        <f>+IF(AVANCE[[#This Row],[BARANDA BALCON]]=AL$2,100%,AVANCE[[#This Row],[BARANDA BALCON]])</f>
        <v>0</v>
      </c>
      <c r="CA381" s="3">
        <f>+IF(AVANCE[[#This Row],[OSB EXTERIOR]]=AM$2,100%,AVANCE[[#This Row],[OSB EXTERIOR]])</f>
        <v>0</v>
      </c>
      <c r="CB381" s="3">
        <f>+IF(AVANCE[[#This Row],[SMART PANEL]]=AN$2,100%,AVANCE[[#This Row],[SMART PANEL]])</f>
        <v>0</v>
      </c>
      <c r="CC381" s="3">
        <f>+IF(AVANCE[[#This Row],[PINTURA EXTERIOR]]=AO$2,100%,AVANCE[[#This Row],[PINTURA EXTERIOR]])</f>
        <v>0</v>
      </c>
      <c r="CD381" s="3">
        <f>+IF(AVANCE[[#This Row],[ZOCALOS LOGIA]]=AP$2,100%,AVANCE[[#This Row],[ZOCALOS LOGIA]])</f>
        <v>0</v>
      </c>
      <c r="CE381" s="3">
        <f>+IF(AVANCE[[#This Row],[MOLDURAS]]=AQ$2,100%,AVANCE[[#This Row],[MOLDURAS]])</f>
        <v>0</v>
      </c>
      <c r="CF381" s="3">
        <f>+IF(AVANCE[[#This Row],[PILASTREO]]=AR$2,100%,AVANCE[[#This Row],[PILASTREO]])</f>
        <v>0</v>
      </c>
      <c r="CG381" s="3">
        <f>+IF(AVANCE[[#This Row],[CELOSIAS]]=AS$2,100%,AVANCE[[#This Row],[CELOSIAS]])</f>
        <v>0</v>
      </c>
      <c r="CH381" s="3">
        <f>+IF(AVANCE[[#This Row],[VENTANAS]]=AT$2,100%,AVANCE[[#This Row],[VENTANAS]])</f>
        <v>0</v>
      </c>
      <c r="CI381" s="3">
        <f>+IF(AVANCE[[#This Row],[PUERTAS ACCESO - LOGIA - BANO]]=AU$2,100%,AVANCE[[#This Row],[PUERTAS ACCESO - LOGIA - BANO]])</f>
        <v>0</v>
      </c>
      <c r="CJ381" s="3">
        <f>+IF(AVANCE[[#This Row],[CERRADURAS]]=AV$2,100%,AVANCE[[#This Row],[CERRADURAS]])</f>
        <v>0</v>
      </c>
      <c r="CK381" s="3">
        <f>+IF(AVANCE[[#This Row],[REVESTIMIENTO INTERIOR ZONA SECA]]=AW$2,100%,AVANCE[[#This Row],[REVESTIMIENTO INTERIOR ZONA SECA]])</f>
        <v>0</v>
      </c>
      <c r="CL381" s="3">
        <f>+IF(AVANCE[[#This Row],[REVESTIMIENTO INTERIOR ZONAS HUMEDAS]]=AX$2,100%,AVANCE[[#This Row],[REVESTIMIENTO INTERIOR ZONAS HUMEDAS]])</f>
        <v>0</v>
      </c>
      <c r="CM381" s="3">
        <f>+IF(AVANCE[[#This Row],[MEMBRANA CIELO]]=AY$2,100%,AVANCE[[#This Row],[MEMBRANA CIELO]])</f>
        <v>0</v>
      </c>
      <c r="CN381" s="3">
        <f>+IF(AVANCE[[#This Row],[LIMPIEZA FINAL]]=AZ$2,100%,AVANCE[[#This Row],[LIMPIEZA FINAL]])</f>
        <v>0</v>
      </c>
      <c r="CO381" s="3">
        <f>+IF(AVANCE[[#This Row],[PUERTAS DORMITORIO]]=BA$2,100%,AVANCE[[#This Row],[PUERTAS DORMITORIO]])</f>
        <v>0</v>
      </c>
      <c r="CP381" s="3">
        <f>+IF(AVANCE[[#This Row],[REVESTIMIENTO INTERIOR BANO]]=BB$2,100%,AVANCE[[#This Row],[REVESTIMIENTO INTERIOR BANO]])</f>
        <v>0</v>
      </c>
      <c r="CQ381" s="3">
        <f>+IF(AVANCE[[#This Row],[MUEBLE LAVAPLATOS]]=BC$2,100%,AVANCE[[#This Row],[MUEBLE LAVAPLATOS]])</f>
        <v>0</v>
      </c>
      <c r="CR381" s="3">
        <f>+IF(AVANCE[[#This Row],[IMPERMEABILIZACION BANO - COCINA LOGIA]]=BD$2,100%,AVANCE[[#This Row],[IMPERMEABILIZACION BANO - COCINA LOGIA]])</f>
        <v>0</v>
      </c>
      <c r="CS381" s="40">
        <f ca="1">+IF(AVANCE[[#This Row],[ESTADO MODULO]]="PENDIENTE",(TODAY()-AVANCE[[#This Row],[FECHA TERMINO  PLANIFICADO]]),0)</f>
        <v>0</v>
      </c>
      <c r="CT381" s="41" t="str" cm="1">
        <f t="array" ref="CT381">_xlfn.TEXTJOIN(" | ",TRUE,IF(SUMPRODUCT((BG381:CR381&lt;1)*(PARTIDAS!$I$2:$AT$2="OBRA GRUESA"))&gt;0,"OBRA GRUESA: "&amp;_xlfn.TEXTJOIN(", ",TRUE,IF((BG381:CR381&lt;1)*(PARTIDAS!$I$2:$AT$2="OBRA GRUESA"),PARTIDAS!$I$1:$AT$1,"")),""),IF(SUMPRODUCT((BG381:CR381&lt;1)*(PARTIDAS!$I$2:$AT$2="SANITARIOS"))&gt;0,"SANITARIOS: "&amp;_xlfn.TEXTJOIN(", ",TRUE,IF((BG381:CR381&lt;1)*(PARTIDAS!$I$2:$AT$2="SANITARIOS"),PARTIDAS!$I$1:$AT$1,"")),""),IF(SUMPRODUCT((BG381:CR381&lt;1)*(PARTIDAS!$I$2:$AT$2="ELÉCTRICO"))&gt;0,"ELÉCTRICO: "&amp;_xlfn.TEXTJOIN(", ",TRUE,IF((BG381:CR381&lt;1)*(PARTIDAS!$I$2:$AT$2="ELÉCTRICO"),PARTIDAS!$I$1:$AT$1,"")),""),IF(SUMPRODUCT((BG381:CR381&lt;1)*(PARTIDAS!$I$2:$AT$2="TERMINACIONES"))&gt;0,"TERMINACIONES: "&amp;_xlfn.TEXTJOIN(", ",TRUE,IF((BG381:CR381&lt;1)*(PARTIDAS!$I$2:$AT$2="TERMINACIONES"),PARTIDAS!$I$1:$AT$1,"")),""))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1" s="43" t="str" cm="1">
        <f t="array" ref="CU381">_xlfn.TEXTJOIN(", ",TRUE,IF(SUMPRODUCT((BG381:CR381&lt;1)*(PARTIDAS!$I$2:$AT$2="OBRA GRUESA"))&gt;0,"OBRA GRUESA",""),IF(SUMPRODUCT((BG381:CR381&lt;1)*(PARTIDAS!$I$2:$AT$2="SANITARIOS"))&gt;0,"SANITARIOS",""),IF(SUMPRODUCT((BG381:CR381&lt;1)*(PARTIDAS!$I$2:$AT$2="ELÉCTRICO"))&gt;0,"ELÉCTRICO",""),IF(SUMPRODUCT((BG381:CR381&lt;1)*(PARTIDAS!$I$2:$AT$2="TERMINACIONES"))&gt;0,"TERMINACIONES",""))</f>
        <v>OBRA GRUESA, SANITARIOS, ELÉCTRICO, TERMINACIONES</v>
      </c>
      <c r="CV381" s="44" cm="1">
        <f t="array" ref="CV381">SUMPRODUCT(--(BG381:CR381&lt;1))</f>
        <v>38</v>
      </c>
    </row>
    <row r="382" spans="1:100" hidden="1" x14ac:dyDescent="0.25">
      <c r="A382" t="s">
        <v>421</v>
      </c>
      <c r="B382" t="s">
        <v>450</v>
      </c>
      <c r="C382">
        <v>2282600381</v>
      </c>
      <c r="D382" t="s">
        <v>58</v>
      </c>
      <c r="E382" s="2">
        <v>0</v>
      </c>
      <c r="F382" s="1">
        <v>46330</v>
      </c>
      <c r="G382" s="1"/>
      <c r="H382" s="1">
        <v>0</v>
      </c>
      <c r="I382" s="1">
        <v>46350</v>
      </c>
      <c r="J382">
        <v>46230</v>
      </c>
      <c r="K382" s="1"/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>
        <v>28.87</v>
      </c>
      <c r="BF382" s="3" t="str">
        <f>+IF(AVANCE[[#This Row],[% AVANCE]]=100%,"MODULO TERMINADO",IF(AVANCE[[#This Row],[FECHA INICIO REAL]]="","MODULO NO INICIADO","PENDIENTE"))</f>
        <v>MODULO NO INICIADO</v>
      </c>
      <c r="BG382" s="3">
        <f>+IF(AVANCE[[#This Row],[VENTANAS]]=8.10810810810811%,100%,AVANCE[[#This Row],[VENTANAS]])</f>
        <v>0</v>
      </c>
      <c r="BH382" s="3">
        <f>+IF(AVANCE[[#This Row],[PISO]]=N$2,100%,AVANCE[[#This Row],[PISO]])</f>
        <v>0</v>
      </c>
      <c r="BI382" s="3">
        <f>+IF(AVANCE[[#This Row],[TABIQUES]]=O$2,100%,AVANCE[[#This Row],[TABIQUES]])</f>
        <v>0</v>
      </c>
      <c r="BJ382" s="3">
        <f>+IF(AVANCE[[#This Row],[MUROS]]=P$2,100%,AVANCE[[#This Row],[MUROS]])</f>
        <v>0</v>
      </c>
      <c r="BK382" s="3">
        <f>+IF(AVANCE[[#This Row],[CIELO]]=Q$2,100%,AVANCE[[#This Row],[CIELO]])</f>
        <v>0</v>
      </c>
      <c r="BL382" s="3">
        <f>+IF(AVANCE[[#This Row],[BALCÓN]]=R$2,100%,AVANCE[[#This Row],[BALCÓN]])</f>
        <v>0</v>
      </c>
      <c r="BM382" s="3">
        <f>+IF(AVANCE[[#This Row],[RED ALCANTARILLADO]]=U$2,100%,AVANCE[[#This Row],[RED ALCANTARILLADO]])</f>
        <v>0</v>
      </c>
      <c r="BN382" s="3">
        <f>+IF(AVANCE[[#This Row],[RED DE AGUA]]=V$2,100%,AVANCE[[#This Row],[RED DE AGUA]])</f>
        <v>0</v>
      </c>
      <c r="BO382" s="3">
        <f>+IF(AVANCE[[#This Row],[VENTILACIONES]]=W$2,100%,AVANCE[[#This Row],[VENTILACIONES]])</f>
        <v>0</v>
      </c>
      <c r="BP382" s="3">
        <f>+IF(AVANCE[[#This Row],[TINA]]=X$2,100%,AVANCE[[#This Row],[TINA]])</f>
        <v>0</v>
      </c>
      <c r="BQ382" s="3">
        <f>+IF(AVANCE[[#This Row],[WC]]=Y$2,100%,AVANCE[[#This Row],[WC]])</f>
        <v>0</v>
      </c>
      <c r="BR382" s="3">
        <f>+IF(AVANCE[[#This Row],[LAVAMANOS / LAVAPLATOS / LAVADERO]]=Z$2,100%,AVANCE[[#This Row],[LAVAMANOS / LAVAPLATOS / LAVADERO]])</f>
        <v>0</v>
      </c>
      <c r="BS382" s="3">
        <f>+IF(AVANCE[[#This Row],[CANALIZACIÓN]]=AC$2,100%,AVANCE[[#This Row],[CANALIZACIÓN]])</f>
        <v>0</v>
      </c>
      <c r="BT382" s="3">
        <f>+IF(AVANCE[[#This Row],[CABLEADO]]=AD$2,100%,AVANCE[[#This Row],[CABLEADO]])</f>
        <v>0</v>
      </c>
      <c r="BU382" s="3">
        <f>+IF(AVANCE[[#This Row],[ARTEFACTOS]]=AE$2,100%,AVANCE[[#This Row],[ARTEFACTOS]])</f>
        <v>0</v>
      </c>
      <c r="BV382" s="3">
        <f>+IF(AVANCE[[#This Row],[TABLERO]]=AF$2,100%,AVANCE[[#This Row],[TABLERO]])</f>
        <v>0</v>
      </c>
      <c r="BW382" s="3">
        <f>+IF(AVANCE[[#This Row],[CAJA PAU]]=AG$2,100%,AVANCE[[#This Row],[CAJA PAU]])</f>
        <v>0</v>
      </c>
      <c r="BX382" s="3">
        <f>+IF(AVANCE[[#This Row],[INSTALACION VINILICO]]=AJ$2,100%,AVANCE[[#This Row],[INSTALACION VINILICO]])</f>
        <v>0</v>
      </c>
      <c r="BY382" s="3">
        <f>+IF(AVANCE[[#This Row],[OSB CUBIERTA]]=AK$2,100%,AVANCE[[#This Row],[OSB CUBIERTA]])</f>
        <v>0</v>
      </c>
      <c r="BZ382" s="3">
        <f>+IF(AVANCE[[#This Row],[BARANDA BALCON]]=AL$2,100%,AVANCE[[#This Row],[BARANDA BALCON]])</f>
        <v>0</v>
      </c>
      <c r="CA382" s="3">
        <f>+IF(AVANCE[[#This Row],[OSB EXTERIOR]]=AM$2,100%,AVANCE[[#This Row],[OSB EXTERIOR]])</f>
        <v>0</v>
      </c>
      <c r="CB382" s="3">
        <f>+IF(AVANCE[[#This Row],[SMART PANEL]]=AN$2,100%,AVANCE[[#This Row],[SMART PANEL]])</f>
        <v>0</v>
      </c>
      <c r="CC382" s="3">
        <f>+IF(AVANCE[[#This Row],[PINTURA EXTERIOR]]=AO$2,100%,AVANCE[[#This Row],[PINTURA EXTERIOR]])</f>
        <v>0</v>
      </c>
      <c r="CD382" s="3">
        <f>+IF(AVANCE[[#This Row],[ZOCALOS LOGIA]]=AP$2,100%,AVANCE[[#This Row],[ZOCALOS LOGIA]])</f>
        <v>0</v>
      </c>
      <c r="CE382" s="3">
        <f>+IF(AVANCE[[#This Row],[MOLDURAS]]=AQ$2,100%,AVANCE[[#This Row],[MOLDURAS]])</f>
        <v>0</v>
      </c>
      <c r="CF382" s="3">
        <f>+IF(AVANCE[[#This Row],[PILASTREO]]=AR$2,100%,AVANCE[[#This Row],[PILASTREO]])</f>
        <v>0</v>
      </c>
      <c r="CG382" s="3">
        <f>+IF(AVANCE[[#This Row],[CELOSIAS]]=AS$2,100%,AVANCE[[#This Row],[CELOSIAS]])</f>
        <v>0</v>
      </c>
      <c r="CH382" s="3">
        <f>+IF(AVANCE[[#This Row],[VENTANAS]]=AT$2,100%,AVANCE[[#This Row],[VENTANAS]])</f>
        <v>0</v>
      </c>
      <c r="CI382" s="3">
        <f>+IF(AVANCE[[#This Row],[PUERTAS ACCESO - LOGIA - BANO]]=AU$2,100%,AVANCE[[#This Row],[PUERTAS ACCESO - LOGIA - BANO]])</f>
        <v>0</v>
      </c>
      <c r="CJ382" s="3">
        <f>+IF(AVANCE[[#This Row],[CERRADURAS]]=AV$2,100%,AVANCE[[#This Row],[CERRADURAS]])</f>
        <v>0</v>
      </c>
      <c r="CK382" s="3">
        <f>+IF(AVANCE[[#This Row],[REVESTIMIENTO INTERIOR ZONA SECA]]=AW$2,100%,AVANCE[[#This Row],[REVESTIMIENTO INTERIOR ZONA SECA]])</f>
        <v>0</v>
      </c>
      <c r="CL382" s="3">
        <f>+IF(AVANCE[[#This Row],[REVESTIMIENTO INTERIOR ZONAS HUMEDAS]]=AX$2,100%,AVANCE[[#This Row],[REVESTIMIENTO INTERIOR ZONAS HUMEDAS]])</f>
        <v>0</v>
      </c>
      <c r="CM382" s="3">
        <f>+IF(AVANCE[[#This Row],[MEMBRANA CIELO]]=AY$2,100%,AVANCE[[#This Row],[MEMBRANA CIELO]])</f>
        <v>0</v>
      </c>
      <c r="CN382" s="3">
        <f>+IF(AVANCE[[#This Row],[LIMPIEZA FINAL]]=AZ$2,100%,AVANCE[[#This Row],[LIMPIEZA FINAL]])</f>
        <v>0</v>
      </c>
      <c r="CO382" s="3">
        <f>+IF(AVANCE[[#This Row],[PUERTAS DORMITORIO]]=BA$2,100%,AVANCE[[#This Row],[PUERTAS DORMITORIO]])</f>
        <v>0</v>
      </c>
      <c r="CP382" s="3">
        <f>+IF(AVANCE[[#This Row],[REVESTIMIENTO INTERIOR BANO]]=BB$2,100%,AVANCE[[#This Row],[REVESTIMIENTO INTERIOR BANO]])</f>
        <v>0</v>
      </c>
      <c r="CQ382" s="3">
        <f>+IF(AVANCE[[#This Row],[MUEBLE LAVAPLATOS]]=BC$2,100%,AVANCE[[#This Row],[MUEBLE LAVAPLATOS]])</f>
        <v>0</v>
      </c>
      <c r="CR382" s="3">
        <f>+IF(AVANCE[[#This Row],[IMPERMEABILIZACION BANO - COCINA LOGIA]]=BD$2,100%,AVANCE[[#This Row],[IMPERMEABILIZACION BANO - COCINA LOGIA]])</f>
        <v>0</v>
      </c>
      <c r="CS382" s="40">
        <f ca="1">+IF(AVANCE[[#This Row],[ESTADO MODULO]]="PENDIENTE",(TODAY()-AVANCE[[#This Row],[FECHA TERMINO  PLANIFICADO]]),0)</f>
        <v>0</v>
      </c>
      <c r="CT382" s="41" t="str" cm="1">
        <f t="array" ref="CT382">_xlfn.TEXTJOIN(" | ",TRUE,IF(SUMPRODUCT((BG382:CR382&lt;1)*(PARTIDAS!$I$2:$AT$2="OBRA GRUESA"))&gt;0,"OBRA GRUESA: "&amp;_xlfn.TEXTJOIN(", ",TRUE,IF((BG382:CR382&lt;1)*(PARTIDAS!$I$2:$AT$2="OBRA GRUESA"),PARTIDAS!$I$1:$AT$1,"")),""),IF(SUMPRODUCT((BG382:CR382&lt;1)*(PARTIDAS!$I$2:$AT$2="SANITARIOS"))&gt;0,"SANITARIOS: "&amp;_xlfn.TEXTJOIN(", ",TRUE,IF((BG382:CR382&lt;1)*(PARTIDAS!$I$2:$AT$2="SANITARIOS"),PARTIDAS!$I$1:$AT$1,"")),""),IF(SUMPRODUCT((BG382:CR382&lt;1)*(PARTIDAS!$I$2:$AT$2="ELÉCTRICO"))&gt;0,"ELÉCTRICO: "&amp;_xlfn.TEXTJOIN(", ",TRUE,IF((BG382:CR382&lt;1)*(PARTIDAS!$I$2:$AT$2="ELÉCTRICO"),PARTIDAS!$I$1:$AT$1,"")),""),IF(SUMPRODUCT((BG382:CR382&lt;1)*(PARTIDAS!$I$2:$AT$2="TERMINACIONES"))&gt;0,"TERMINACIONES: "&amp;_xlfn.TEXTJOIN(", ",TRUE,IF((BG382:CR382&lt;1)*(PARTIDAS!$I$2:$AT$2="TERMINACIONES"),PARTIDAS!$I$1:$AT$1,"")),""))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2" s="43" t="str" cm="1">
        <f t="array" ref="CU382">_xlfn.TEXTJOIN(", ",TRUE,IF(SUMPRODUCT((BG382:CR382&lt;1)*(PARTIDAS!$I$2:$AT$2="OBRA GRUESA"))&gt;0,"OBRA GRUESA",""),IF(SUMPRODUCT((BG382:CR382&lt;1)*(PARTIDAS!$I$2:$AT$2="SANITARIOS"))&gt;0,"SANITARIOS",""),IF(SUMPRODUCT((BG382:CR382&lt;1)*(PARTIDAS!$I$2:$AT$2="ELÉCTRICO"))&gt;0,"ELÉCTRICO",""),IF(SUMPRODUCT((BG382:CR382&lt;1)*(PARTIDAS!$I$2:$AT$2="TERMINACIONES"))&gt;0,"TERMINACIONES",""))</f>
        <v>OBRA GRUESA, SANITARIOS, ELÉCTRICO, TERMINACIONES</v>
      </c>
      <c r="CV382" s="44" cm="1">
        <f t="array" ref="CV382">SUMPRODUCT(--(BG382:CR382&lt;1))</f>
        <v>38</v>
      </c>
    </row>
    <row r="383" spans="1:100" hidden="1" x14ac:dyDescent="0.25">
      <c r="A383" t="s">
        <v>421</v>
      </c>
      <c r="B383" t="s">
        <v>451</v>
      </c>
      <c r="C383">
        <v>2302600382</v>
      </c>
      <c r="D383" t="s">
        <v>60</v>
      </c>
      <c r="E383" s="2">
        <v>0</v>
      </c>
      <c r="F383" s="1">
        <v>46330</v>
      </c>
      <c r="G383" s="1"/>
      <c r="H383" s="1">
        <v>0</v>
      </c>
      <c r="I383" s="1">
        <v>46360</v>
      </c>
      <c r="J383">
        <v>46230</v>
      </c>
      <c r="K383" s="1"/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>
        <v>31.32</v>
      </c>
      <c r="BF383" s="3" t="str">
        <f>+IF(AVANCE[[#This Row],[% AVANCE]]=100%,"MODULO TERMINADO",IF(AVANCE[[#This Row],[FECHA INICIO REAL]]="","MODULO NO INICIADO","PENDIENTE"))</f>
        <v>MODULO NO INICIADO</v>
      </c>
      <c r="BG383" s="3">
        <f>+IF(AVANCE[[#This Row],[VENTANAS]]=8.10810810810811%,100%,AVANCE[[#This Row],[VENTANAS]])</f>
        <v>0</v>
      </c>
      <c r="BH383" s="3">
        <f>+IF(AVANCE[[#This Row],[PISO]]=N$2,100%,AVANCE[[#This Row],[PISO]])</f>
        <v>0</v>
      </c>
      <c r="BI383" s="3">
        <f>+IF(AVANCE[[#This Row],[TABIQUES]]=O$2,100%,AVANCE[[#This Row],[TABIQUES]])</f>
        <v>0</v>
      </c>
      <c r="BJ383" s="3">
        <f>+IF(AVANCE[[#This Row],[MUROS]]=P$2,100%,AVANCE[[#This Row],[MUROS]])</f>
        <v>0</v>
      </c>
      <c r="BK383" s="3">
        <f>+IF(AVANCE[[#This Row],[CIELO]]=Q$2,100%,AVANCE[[#This Row],[CIELO]])</f>
        <v>0</v>
      </c>
      <c r="BL383" s="3">
        <f>+IF(AVANCE[[#This Row],[BALCÓN]]=R$2,100%,AVANCE[[#This Row],[BALCÓN]])</f>
        <v>0</v>
      </c>
      <c r="BM383" s="3">
        <f>+IF(AVANCE[[#This Row],[RED ALCANTARILLADO]]=U$2,100%,AVANCE[[#This Row],[RED ALCANTARILLADO]])</f>
        <v>0</v>
      </c>
      <c r="BN383" s="3">
        <f>+IF(AVANCE[[#This Row],[RED DE AGUA]]=V$2,100%,AVANCE[[#This Row],[RED DE AGUA]])</f>
        <v>0</v>
      </c>
      <c r="BO383" s="3">
        <f>+IF(AVANCE[[#This Row],[VENTILACIONES]]=W$2,100%,AVANCE[[#This Row],[VENTILACIONES]])</f>
        <v>0</v>
      </c>
      <c r="BP383" s="3">
        <f>+IF(AVANCE[[#This Row],[TINA]]=X$2,100%,AVANCE[[#This Row],[TINA]])</f>
        <v>0</v>
      </c>
      <c r="BQ383" s="3">
        <f>+IF(AVANCE[[#This Row],[WC]]=Y$2,100%,AVANCE[[#This Row],[WC]])</f>
        <v>0</v>
      </c>
      <c r="BR383" s="3">
        <f>+IF(AVANCE[[#This Row],[LAVAMANOS / LAVAPLATOS / LAVADERO]]=Z$2,100%,AVANCE[[#This Row],[LAVAMANOS / LAVAPLATOS / LAVADERO]])</f>
        <v>0</v>
      </c>
      <c r="BS383" s="3">
        <f>+IF(AVANCE[[#This Row],[CANALIZACIÓN]]=AC$2,100%,AVANCE[[#This Row],[CANALIZACIÓN]])</f>
        <v>0</v>
      </c>
      <c r="BT383" s="3">
        <f>+IF(AVANCE[[#This Row],[CABLEADO]]=AD$2,100%,AVANCE[[#This Row],[CABLEADO]])</f>
        <v>0</v>
      </c>
      <c r="BU383" s="3">
        <f>+IF(AVANCE[[#This Row],[ARTEFACTOS]]=AE$2,100%,AVANCE[[#This Row],[ARTEFACTOS]])</f>
        <v>0</v>
      </c>
      <c r="BV383" s="3">
        <f>+IF(AVANCE[[#This Row],[TABLERO]]=AF$2,100%,AVANCE[[#This Row],[TABLERO]])</f>
        <v>0</v>
      </c>
      <c r="BW383" s="3">
        <f>+IF(AVANCE[[#This Row],[CAJA PAU]]=AG$2,100%,AVANCE[[#This Row],[CAJA PAU]])</f>
        <v>0</v>
      </c>
      <c r="BX383" s="3">
        <f>+IF(AVANCE[[#This Row],[INSTALACION VINILICO]]=AJ$2,100%,AVANCE[[#This Row],[INSTALACION VINILICO]])</f>
        <v>0</v>
      </c>
      <c r="BY383" s="3">
        <f>+IF(AVANCE[[#This Row],[OSB CUBIERTA]]=AK$2,100%,AVANCE[[#This Row],[OSB CUBIERTA]])</f>
        <v>0</v>
      </c>
      <c r="BZ383" s="3">
        <f>+IF(AVANCE[[#This Row],[BARANDA BALCON]]=AL$2,100%,AVANCE[[#This Row],[BARANDA BALCON]])</f>
        <v>0</v>
      </c>
      <c r="CA383" s="3">
        <f>+IF(AVANCE[[#This Row],[OSB EXTERIOR]]=AM$2,100%,AVANCE[[#This Row],[OSB EXTERIOR]])</f>
        <v>0</v>
      </c>
      <c r="CB383" s="3">
        <f>+IF(AVANCE[[#This Row],[SMART PANEL]]=AN$2,100%,AVANCE[[#This Row],[SMART PANEL]])</f>
        <v>0</v>
      </c>
      <c r="CC383" s="3">
        <f>+IF(AVANCE[[#This Row],[PINTURA EXTERIOR]]=AO$2,100%,AVANCE[[#This Row],[PINTURA EXTERIOR]])</f>
        <v>0</v>
      </c>
      <c r="CD383" s="3">
        <f>+IF(AVANCE[[#This Row],[ZOCALOS LOGIA]]=AP$2,100%,AVANCE[[#This Row],[ZOCALOS LOGIA]])</f>
        <v>0</v>
      </c>
      <c r="CE383" s="3">
        <f>+IF(AVANCE[[#This Row],[MOLDURAS]]=AQ$2,100%,AVANCE[[#This Row],[MOLDURAS]])</f>
        <v>0</v>
      </c>
      <c r="CF383" s="3">
        <f>+IF(AVANCE[[#This Row],[PILASTREO]]=AR$2,100%,AVANCE[[#This Row],[PILASTREO]])</f>
        <v>0</v>
      </c>
      <c r="CG383" s="3">
        <f>+IF(AVANCE[[#This Row],[CELOSIAS]]=AS$2,100%,AVANCE[[#This Row],[CELOSIAS]])</f>
        <v>0</v>
      </c>
      <c r="CH383" s="3">
        <f>+IF(AVANCE[[#This Row],[VENTANAS]]=AT$2,100%,AVANCE[[#This Row],[VENTANAS]])</f>
        <v>0</v>
      </c>
      <c r="CI383" s="3">
        <f>+IF(AVANCE[[#This Row],[PUERTAS ACCESO - LOGIA - BANO]]=AU$2,100%,AVANCE[[#This Row],[PUERTAS ACCESO - LOGIA - BANO]])</f>
        <v>0</v>
      </c>
      <c r="CJ383" s="3">
        <f>+IF(AVANCE[[#This Row],[CERRADURAS]]=AV$2,100%,AVANCE[[#This Row],[CERRADURAS]])</f>
        <v>0</v>
      </c>
      <c r="CK383" s="3">
        <f>+IF(AVANCE[[#This Row],[REVESTIMIENTO INTERIOR ZONA SECA]]=AW$2,100%,AVANCE[[#This Row],[REVESTIMIENTO INTERIOR ZONA SECA]])</f>
        <v>0</v>
      </c>
      <c r="CL383" s="3">
        <f>+IF(AVANCE[[#This Row],[REVESTIMIENTO INTERIOR ZONAS HUMEDAS]]=AX$2,100%,AVANCE[[#This Row],[REVESTIMIENTO INTERIOR ZONAS HUMEDAS]])</f>
        <v>0</v>
      </c>
      <c r="CM383" s="3">
        <f>+IF(AVANCE[[#This Row],[MEMBRANA CIELO]]=AY$2,100%,AVANCE[[#This Row],[MEMBRANA CIELO]])</f>
        <v>0</v>
      </c>
      <c r="CN383" s="3">
        <f>+IF(AVANCE[[#This Row],[LIMPIEZA FINAL]]=AZ$2,100%,AVANCE[[#This Row],[LIMPIEZA FINAL]])</f>
        <v>0</v>
      </c>
      <c r="CO383" s="3">
        <f>+IF(AVANCE[[#This Row],[PUERTAS DORMITORIO]]=BA$2,100%,AVANCE[[#This Row],[PUERTAS DORMITORIO]])</f>
        <v>0</v>
      </c>
      <c r="CP383" s="3">
        <f>+IF(AVANCE[[#This Row],[REVESTIMIENTO INTERIOR BANO]]=BB$2,100%,AVANCE[[#This Row],[REVESTIMIENTO INTERIOR BANO]])</f>
        <v>0</v>
      </c>
      <c r="CQ383" s="3">
        <f>+IF(AVANCE[[#This Row],[MUEBLE LAVAPLATOS]]=BC$2,100%,AVANCE[[#This Row],[MUEBLE LAVAPLATOS]])</f>
        <v>0</v>
      </c>
      <c r="CR383" s="3">
        <f>+IF(AVANCE[[#This Row],[IMPERMEABILIZACION BANO - COCINA LOGIA]]=BD$2,100%,AVANCE[[#This Row],[IMPERMEABILIZACION BANO - COCINA LOGIA]])</f>
        <v>0</v>
      </c>
      <c r="CS383" s="40">
        <f ca="1">+IF(AVANCE[[#This Row],[ESTADO MODULO]]="PENDIENTE",(TODAY()-AVANCE[[#This Row],[FECHA TERMINO  PLANIFICADO]]),0)</f>
        <v>0</v>
      </c>
      <c r="CT383" s="41" t="str" cm="1">
        <f t="array" ref="CT383">_xlfn.TEXTJOIN(" | ",TRUE,IF(SUMPRODUCT((BG383:CR383&lt;1)*(PARTIDAS!$I$2:$AT$2="OBRA GRUESA"))&gt;0,"OBRA GRUESA: "&amp;_xlfn.TEXTJOIN(", ",TRUE,IF((BG383:CR383&lt;1)*(PARTIDAS!$I$2:$AT$2="OBRA GRUESA"),PARTIDAS!$I$1:$AT$1,"")),""),IF(SUMPRODUCT((BG383:CR383&lt;1)*(PARTIDAS!$I$2:$AT$2="SANITARIOS"))&gt;0,"SANITARIOS: "&amp;_xlfn.TEXTJOIN(", ",TRUE,IF((BG383:CR383&lt;1)*(PARTIDAS!$I$2:$AT$2="SANITARIOS"),PARTIDAS!$I$1:$AT$1,"")),""),IF(SUMPRODUCT((BG383:CR383&lt;1)*(PARTIDAS!$I$2:$AT$2="ELÉCTRICO"))&gt;0,"ELÉCTRICO: "&amp;_xlfn.TEXTJOIN(", ",TRUE,IF((BG383:CR383&lt;1)*(PARTIDAS!$I$2:$AT$2="ELÉCTRICO"),PARTIDAS!$I$1:$AT$1,"")),""),IF(SUMPRODUCT((BG383:CR383&lt;1)*(PARTIDAS!$I$2:$AT$2="TERMINACIONES"))&gt;0,"TERMINACIONES: "&amp;_xlfn.TEXTJOIN(", ",TRUE,IF((BG383:CR383&lt;1)*(PARTIDAS!$I$2:$AT$2="TERMINACIONES"),PARTIDAS!$I$1:$AT$1,"")),""))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3" s="43" t="str" cm="1">
        <f t="array" ref="CU383">_xlfn.TEXTJOIN(", ",TRUE,IF(SUMPRODUCT((BG383:CR383&lt;1)*(PARTIDAS!$I$2:$AT$2="OBRA GRUESA"))&gt;0,"OBRA GRUESA",""),IF(SUMPRODUCT((BG383:CR383&lt;1)*(PARTIDAS!$I$2:$AT$2="SANITARIOS"))&gt;0,"SANITARIOS",""),IF(SUMPRODUCT((BG383:CR383&lt;1)*(PARTIDAS!$I$2:$AT$2="ELÉCTRICO"))&gt;0,"ELÉCTRICO",""),IF(SUMPRODUCT((BG383:CR383&lt;1)*(PARTIDAS!$I$2:$AT$2="TERMINACIONES"))&gt;0,"TERMINACIONES",""))</f>
        <v>OBRA GRUESA, SANITARIOS, ELÉCTRICO, TERMINACIONES</v>
      </c>
      <c r="CV383" s="44" cm="1">
        <f t="array" ref="CV383">SUMPRODUCT(--(BG383:CR383&lt;1))</f>
        <v>38</v>
      </c>
    </row>
    <row r="384" spans="1:100" hidden="1" x14ac:dyDescent="0.25">
      <c r="A384" t="s">
        <v>421</v>
      </c>
      <c r="B384" t="s">
        <v>452</v>
      </c>
      <c r="C384">
        <v>2302600383</v>
      </c>
      <c r="D384" t="s">
        <v>60</v>
      </c>
      <c r="E384" s="2">
        <v>0</v>
      </c>
      <c r="F384" s="1">
        <v>46331</v>
      </c>
      <c r="G384" s="1"/>
      <c r="H384" s="1">
        <v>0</v>
      </c>
      <c r="I384" s="1">
        <v>46361</v>
      </c>
      <c r="J384">
        <v>46230</v>
      </c>
      <c r="K384" s="1"/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>
        <v>31.32</v>
      </c>
      <c r="BF384" s="3" t="str">
        <f>+IF(AVANCE[[#This Row],[% AVANCE]]=100%,"MODULO TERMINADO",IF(AVANCE[[#This Row],[FECHA INICIO REAL]]="","MODULO NO INICIADO","PENDIENTE"))</f>
        <v>MODULO NO INICIADO</v>
      </c>
      <c r="BG384" s="3">
        <f>+IF(AVANCE[[#This Row],[VENTANAS]]=8.10810810810811%,100%,AVANCE[[#This Row],[VENTANAS]])</f>
        <v>0</v>
      </c>
      <c r="BH384" s="3">
        <f>+IF(AVANCE[[#This Row],[PISO]]=N$2,100%,AVANCE[[#This Row],[PISO]])</f>
        <v>0</v>
      </c>
      <c r="BI384" s="3">
        <f>+IF(AVANCE[[#This Row],[TABIQUES]]=O$2,100%,AVANCE[[#This Row],[TABIQUES]])</f>
        <v>0</v>
      </c>
      <c r="BJ384" s="3">
        <f>+IF(AVANCE[[#This Row],[MUROS]]=P$2,100%,AVANCE[[#This Row],[MUROS]])</f>
        <v>0</v>
      </c>
      <c r="BK384" s="3">
        <f>+IF(AVANCE[[#This Row],[CIELO]]=Q$2,100%,AVANCE[[#This Row],[CIELO]])</f>
        <v>0</v>
      </c>
      <c r="BL384" s="3">
        <f>+IF(AVANCE[[#This Row],[BALCÓN]]=R$2,100%,AVANCE[[#This Row],[BALCÓN]])</f>
        <v>0</v>
      </c>
      <c r="BM384" s="3">
        <f>+IF(AVANCE[[#This Row],[RED ALCANTARILLADO]]=U$2,100%,AVANCE[[#This Row],[RED ALCANTARILLADO]])</f>
        <v>0</v>
      </c>
      <c r="BN384" s="3">
        <f>+IF(AVANCE[[#This Row],[RED DE AGUA]]=V$2,100%,AVANCE[[#This Row],[RED DE AGUA]])</f>
        <v>0</v>
      </c>
      <c r="BO384" s="3">
        <f>+IF(AVANCE[[#This Row],[VENTILACIONES]]=W$2,100%,AVANCE[[#This Row],[VENTILACIONES]])</f>
        <v>0</v>
      </c>
      <c r="BP384" s="3">
        <f>+IF(AVANCE[[#This Row],[TINA]]=X$2,100%,AVANCE[[#This Row],[TINA]])</f>
        <v>0</v>
      </c>
      <c r="BQ384" s="3">
        <f>+IF(AVANCE[[#This Row],[WC]]=Y$2,100%,AVANCE[[#This Row],[WC]])</f>
        <v>0</v>
      </c>
      <c r="BR384" s="3">
        <f>+IF(AVANCE[[#This Row],[LAVAMANOS / LAVAPLATOS / LAVADERO]]=Z$2,100%,AVANCE[[#This Row],[LAVAMANOS / LAVAPLATOS / LAVADERO]])</f>
        <v>0</v>
      </c>
      <c r="BS384" s="3">
        <f>+IF(AVANCE[[#This Row],[CANALIZACIÓN]]=AC$2,100%,AVANCE[[#This Row],[CANALIZACIÓN]])</f>
        <v>0</v>
      </c>
      <c r="BT384" s="3">
        <f>+IF(AVANCE[[#This Row],[CABLEADO]]=AD$2,100%,AVANCE[[#This Row],[CABLEADO]])</f>
        <v>0</v>
      </c>
      <c r="BU384" s="3">
        <f>+IF(AVANCE[[#This Row],[ARTEFACTOS]]=AE$2,100%,AVANCE[[#This Row],[ARTEFACTOS]])</f>
        <v>0</v>
      </c>
      <c r="BV384" s="3">
        <f>+IF(AVANCE[[#This Row],[TABLERO]]=AF$2,100%,AVANCE[[#This Row],[TABLERO]])</f>
        <v>0</v>
      </c>
      <c r="BW384" s="3">
        <f>+IF(AVANCE[[#This Row],[CAJA PAU]]=AG$2,100%,AVANCE[[#This Row],[CAJA PAU]])</f>
        <v>0</v>
      </c>
      <c r="BX384" s="3">
        <f>+IF(AVANCE[[#This Row],[INSTALACION VINILICO]]=AJ$2,100%,AVANCE[[#This Row],[INSTALACION VINILICO]])</f>
        <v>0</v>
      </c>
      <c r="BY384" s="3">
        <f>+IF(AVANCE[[#This Row],[OSB CUBIERTA]]=AK$2,100%,AVANCE[[#This Row],[OSB CUBIERTA]])</f>
        <v>0</v>
      </c>
      <c r="BZ384" s="3">
        <f>+IF(AVANCE[[#This Row],[BARANDA BALCON]]=AL$2,100%,AVANCE[[#This Row],[BARANDA BALCON]])</f>
        <v>0</v>
      </c>
      <c r="CA384" s="3">
        <f>+IF(AVANCE[[#This Row],[OSB EXTERIOR]]=AM$2,100%,AVANCE[[#This Row],[OSB EXTERIOR]])</f>
        <v>0</v>
      </c>
      <c r="CB384" s="3">
        <f>+IF(AVANCE[[#This Row],[SMART PANEL]]=AN$2,100%,AVANCE[[#This Row],[SMART PANEL]])</f>
        <v>0</v>
      </c>
      <c r="CC384" s="3">
        <f>+IF(AVANCE[[#This Row],[PINTURA EXTERIOR]]=AO$2,100%,AVANCE[[#This Row],[PINTURA EXTERIOR]])</f>
        <v>0</v>
      </c>
      <c r="CD384" s="3">
        <f>+IF(AVANCE[[#This Row],[ZOCALOS LOGIA]]=AP$2,100%,AVANCE[[#This Row],[ZOCALOS LOGIA]])</f>
        <v>0</v>
      </c>
      <c r="CE384" s="3">
        <f>+IF(AVANCE[[#This Row],[MOLDURAS]]=AQ$2,100%,AVANCE[[#This Row],[MOLDURAS]])</f>
        <v>0</v>
      </c>
      <c r="CF384" s="3">
        <f>+IF(AVANCE[[#This Row],[PILASTREO]]=AR$2,100%,AVANCE[[#This Row],[PILASTREO]])</f>
        <v>0</v>
      </c>
      <c r="CG384" s="3">
        <f>+IF(AVANCE[[#This Row],[CELOSIAS]]=AS$2,100%,AVANCE[[#This Row],[CELOSIAS]])</f>
        <v>0</v>
      </c>
      <c r="CH384" s="3">
        <f>+IF(AVANCE[[#This Row],[VENTANAS]]=AT$2,100%,AVANCE[[#This Row],[VENTANAS]])</f>
        <v>0</v>
      </c>
      <c r="CI384" s="3">
        <f>+IF(AVANCE[[#This Row],[PUERTAS ACCESO - LOGIA - BANO]]=AU$2,100%,AVANCE[[#This Row],[PUERTAS ACCESO - LOGIA - BANO]])</f>
        <v>0</v>
      </c>
      <c r="CJ384" s="3">
        <f>+IF(AVANCE[[#This Row],[CERRADURAS]]=AV$2,100%,AVANCE[[#This Row],[CERRADURAS]])</f>
        <v>0</v>
      </c>
      <c r="CK384" s="3">
        <f>+IF(AVANCE[[#This Row],[REVESTIMIENTO INTERIOR ZONA SECA]]=AW$2,100%,AVANCE[[#This Row],[REVESTIMIENTO INTERIOR ZONA SECA]])</f>
        <v>0</v>
      </c>
      <c r="CL384" s="3">
        <f>+IF(AVANCE[[#This Row],[REVESTIMIENTO INTERIOR ZONAS HUMEDAS]]=AX$2,100%,AVANCE[[#This Row],[REVESTIMIENTO INTERIOR ZONAS HUMEDAS]])</f>
        <v>0</v>
      </c>
      <c r="CM384" s="3">
        <f>+IF(AVANCE[[#This Row],[MEMBRANA CIELO]]=AY$2,100%,AVANCE[[#This Row],[MEMBRANA CIELO]])</f>
        <v>0</v>
      </c>
      <c r="CN384" s="3">
        <f>+IF(AVANCE[[#This Row],[LIMPIEZA FINAL]]=AZ$2,100%,AVANCE[[#This Row],[LIMPIEZA FINAL]])</f>
        <v>0</v>
      </c>
      <c r="CO384" s="3">
        <f>+IF(AVANCE[[#This Row],[PUERTAS DORMITORIO]]=BA$2,100%,AVANCE[[#This Row],[PUERTAS DORMITORIO]])</f>
        <v>0</v>
      </c>
      <c r="CP384" s="3">
        <f>+IF(AVANCE[[#This Row],[REVESTIMIENTO INTERIOR BANO]]=BB$2,100%,AVANCE[[#This Row],[REVESTIMIENTO INTERIOR BANO]])</f>
        <v>0</v>
      </c>
      <c r="CQ384" s="3">
        <f>+IF(AVANCE[[#This Row],[MUEBLE LAVAPLATOS]]=BC$2,100%,AVANCE[[#This Row],[MUEBLE LAVAPLATOS]])</f>
        <v>0</v>
      </c>
      <c r="CR384" s="3">
        <f>+IF(AVANCE[[#This Row],[IMPERMEABILIZACION BANO - COCINA LOGIA]]=BD$2,100%,AVANCE[[#This Row],[IMPERMEABILIZACION BANO - COCINA LOGIA]])</f>
        <v>0</v>
      </c>
      <c r="CS384" s="40">
        <f ca="1">+IF(AVANCE[[#This Row],[ESTADO MODULO]]="PENDIENTE",(TODAY()-AVANCE[[#This Row],[FECHA TERMINO  PLANIFICADO]]),0)</f>
        <v>0</v>
      </c>
      <c r="CT384" s="41" t="str" cm="1">
        <f t="array" ref="CT384">_xlfn.TEXTJOIN(" | ",TRUE,IF(SUMPRODUCT((BG384:CR384&lt;1)*(PARTIDAS!$I$2:$AT$2="OBRA GRUESA"))&gt;0,"OBRA GRUESA: "&amp;_xlfn.TEXTJOIN(", ",TRUE,IF((BG384:CR384&lt;1)*(PARTIDAS!$I$2:$AT$2="OBRA GRUESA"),PARTIDAS!$I$1:$AT$1,"")),""),IF(SUMPRODUCT((BG384:CR384&lt;1)*(PARTIDAS!$I$2:$AT$2="SANITARIOS"))&gt;0,"SANITARIOS: "&amp;_xlfn.TEXTJOIN(", ",TRUE,IF((BG384:CR384&lt;1)*(PARTIDAS!$I$2:$AT$2="SANITARIOS"),PARTIDAS!$I$1:$AT$1,"")),""),IF(SUMPRODUCT((BG384:CR384&lt;1)*(PARTIDAS!$I$2:$AT$2="ELÉCTRICO"))&gt;0,"ELÉCTRICO: "&amp;_xlfn.TEXTJOIN(", ",TRUE,IF((BG384:CR384&lt;1)*(PARTIDAS!$I$2:$AT$2="ELÉCTRICO"),PARTIDAS!$I$1:$AT$1,"")),""),IF(SUMPRODUCT((BG384:CR384&lt;1)*(PARTIDAS!$I$2:$AT$2="TERMINACIONES"))&gt;0,"TERMINACIONES: "&amp;_xlfn.TEXTJOIN(", ",TRUE,IF((BG384:CR384&lt;1)*(PARTIDAS!$I$2:$AT$2="TERMINACIONES"),PARTIDAS!$I$1:$AT$1,"")),""))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4" s="43" t="str" cm="1">
        <f t="array" ref="CU384">_xlfn.TEXTJOIN(", ",TRUE,IF(SUMPRODUCT((BG384:CR384&lt;1)*(PARTIDAS!$I$2:$AT$2="OBRA GRUESA"))&gt;0,"OBRA GRUESA",""),IF(SUMPRODUCT((BG384:CR384&lt;1)*(PARTIDAS!$I$2:$AT$2="SANITARIOS"))&gt;0,"SANITARIOS",""),IF(SUMPRODUCT((BG384:CR384&lt;1)*(PARTIDAS!$I$2:$AT$2="ELÉCTRICO"))&gt;0,"ELÉCTRICO",""),IF(SUMPRODUCT((BG384:CR384&lt;1)*(PARTIDAS!$I$2:$AT$2="TERMINACIONES"))&gt;0,"TERMINACIONES",""))</f>
        <v>OBRA GRUESA, SANITARIOS, ELÉCTRICO, TERMINACIONES</v>
      </c>
      <c r="CV384" s="44" cm="1">
        <f t="array" ref="CV384">SUMPRODUCT(--(BG384:CR384&lt;1))</f>
        <v>38</v>
      </c>
    </row>
    <row r="385" spans="1:100" hidden="1" x14ac:dyDescent="0.25">
      <c r="A385" t="s">
        <v>421</v>
      </c>
      <c r="B385" t="s">
        <v>453</v>
      </c>
      <c r="C385">
        <v>2282600384</v>
      </c>
      <c r="D385" t="s">
        <v>58</v>
      </c>
      <c r="E385" s="2">
        <v>0</v>
      </c>
      <c r="F385" s="1">
        <v>46331</v>
      </c>
      <c r="G385" s="1"/>
      <c r="H385" s="1">
        <v>0</v>
      </c>
      <c r="I385" s="1">
        <v>46351</v>
      </c>
      <c r="J385">
        <v>46230</v>
      </c>
      <c r="K385" s="1"/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>
        <v>28.87</v>
      </c>
      <c r="BF385" s="3" t="str">
        <f>+IF(AVANCE[[#This Row],[% AVANCE]]=100%,"MODULO TERMINADO",IF(AVANCE[[#This Row],[FECHA INICIO REAL]]="","MODULO NO INICIADO","PENDIENTE"))</f>
        <v>MODULO NO INICIADO</v>
      </c>
      <c r="BG385" s="3">
        <f>+IF(AVANCE[[#This Row],[VENTANAS]]=8.10810810810811%,100%,AVANCE[[#This Row],[VENTANAS]])</f>
        <v>0</v>
      </c>
      <c r="BH385" s="3">
        <f>+IF(AVANCE[[#This Row],[PISO]]=N$2,100%,AVANCE[[#This Row],[PISO]])</f>
        <v>0</v>
      </c>
      <c r="BI385" s="3">
        <f>+IF(AVANCE[[#This Row],[TABIQUES]]=O$2,100%,AVANCE[[#This Row],[TABIQUES]])</f>
        <v>0</v>
      </c>
      <c r="BJ385" s="3">
        <f>+IF(AVANCE[[#This Row],[MUROS]]=P$2,100%,AVANCE[[#This Row],[MUROS]])</f>
        <v>0</v>
      </c>
      <c r="BK385" s="3">
        <f>+IF(AVANCE[[#This Row],[CIELO]]=Q$2,100%,AVANCE[[#This Row],[CIELO]])</f>
        <v>0</v>
      </c>
      <c r="BL385" s="3">
        <f>+IF(AVANCE[[#This Row],[BALCÓN]]=R$2,100%,AVANCE[[#This Row],[BALCÓN]])</f>
        <v>0</v>
      </c>
      <c r="BM385" s="3">
        <f>+IF(AVANCE[[#This Row],[RED ALCANTARILLADO]]=U$2,100%,AVANCE[[#This Row],[RED ALCANTARILLADO]])</f>
        <v>0</v>
      </c>
      <c r="BN385" s="3">
        <f>+IF(AVANCE[[#This Row],[RED DE AGUA]]=V$2,100%,AVANCE[[#This Row],[RED DE AGUA]])</f>
        <v>0</v>
      </c>
      <c r="BO385" s="3">
        <f>+IF(AVANCE[[#This Row],[VENTILACIONES]]=W$2,100%,AVANCE[[#This Row],[VENTILACIONES]])</f>
        <v>0</v>
      </c>
      <c r="BP385" s="3">
        <f>+IF(AVANCE[[#This Row],[TINA]]=X$2,100%,AVANCE[[#This Row],[TINA]])</f>
        <v>0</v>
      </c>
      <c r="BQ385" s="3">
        <f>+IF(AVANCE[[#This Row],[WC]]=Y$2,100%,AVANCE[[#This Row],[WC]])</f>
        <v>0</v>
      </c>
      <c r="BR385" s="3">
        <f>+IF(AVANCE[[#This Row],[LAVAMANOS / LAVAPLATOS / LAVADERO]]=Z$2,100%,AVANCE[[#This Row],[LAVAMANOS / LAVAPLATOS / LAVADERO]])</f>
        <v>0</v>
      </c>
      <c r="BS385" s="3">
        <f>+IF(AVANCE[[#This Row],[CANALIZACIÓN]]=AC$2,100%,AVANCE[[#This Row],[CANALIZACIÓN]])</f>
        <v>0</v>
      </c>
      <c r="BT385" s="3">
        <f>+IF(AVANCE[[#This Row],[CABLEADO]]=AD$2,100%,AVANCE[[#This Row],[CABLEADO]])</f>
        <v>0</v>
      </c>
      <c r="BU385" s="3">
        <f>+IF(AVANCE[[#This Row],[ARTEFACTOS]]=AE$2,100%,AVANCE[[#This Row],[ARTEFACTOS]])</f>
        <v>0</v>
      </c>
      <c r="BV385" s="3">
        <f>+IF(AVANCE[[#This Row],[TABLERO]]=AF$2,100%,AVANCE[[#This Row],[TABLERO]])</f>
        <v>0</v>
      </c>
      <c r="BW385" s="3">
        <f>+IF(AVANCE[[#This Row],[CAJA PAU]]=AG$2,100%,AVANCE[[#This Row],[CAJA PAU]])</f>
        <v>0</v>
      </c>
      <c r="BX385" s="3">
        <f>+IF(AVANCE[[#This Row],[INSTALACION VINILICO]]=AJ$2,100%,AVANCE[[#This Row],[INSTALACION VINILICO]])</f>
        <v>0</v>
      </c>
      <c r="BY385" s="3">
        <f>+IF(AVANCE[[#This Row],[OSB CUBIERTA]]=AK$2,100%,AVANCE[[#This Row],[OSB CUBIERTA]])</f>
        <v>0</v>
      </c>
      <c r="BZ385" s="3">
        <f>+IF(AVANCE[[#This Row],[BARANDA BALCON]]=AL$2,100%,AVANCE[[#This Row],[BARANDA BALCON]])</f>
        <v>0</v>
      </c>
      <c r="CA385" s="3">
        <f>+IF(AVANCE[[#This Row],[OSB EXTERIOR]]=AM$2,100%,AVANCE[[#This Row],[OSB EXTERIOR]])</f>
        <v>0</v>
      </c>
      <c r="CB385" s="3">
        <f>+IF(AVANCE[[#This Row],[SMART PANEL]]=AN$2,100%,AVANCE[[#This Row],[SMART PANEL]])</f>
        <v>0</v>
      </c>
      <c r="CC385" s="3">
        <f>+IF(AVANCE[[#This Row],[PINTURA EXTERIOR]]=AO$2,100%,AVANCE[[#This Row],[PINTURA EXTERIOR]])</f>
        <v>0</v>
      </c>
      <c r="CD385" s="3">
        <f>+IF(AVANCE[[#This Row],[ZOCALOS LOGIA]]=AP$2,100%,AVANCE[[#This Row],[ZOCALOS LOGIA]])</f>
        <v>0</v>
      </c>
      <c r="CE385" s="3">
        <f>+IF(AVANCE[[#This Row],[MOLDURAS]]=AQ$2,100%,AVANCE[[#This Row],[MOLDURAS]])</f>
        <v>0</v>
      </c>
      <c r="CF385" s="3">
        <f>+IF(AVANCE[[#This Row],[PILASTREO]]=AR$2,100%,AVANCE[[#This Row],[PILASTREO]])</f>
        <v>0</v>
      </c>
      <c r="CG385" s="3">
        <f>+IF(AVANCE[[#This Row],[CELOSIAS]]=AS$2,100%,AVANCE[[#This Row],[CELOSIAS]])</f>
        <v>0</v>
      </c>
      <c r="CH385" s="3">
        <f>+IF(AVANCE[[#This Row],[VENTANAS]]=AT$2,100%,AVANCE[[#This Row],[VENTANAS]])</f>
        <v>0</v>
      </c>
      <c r="CI385" s="3">
        <f>+IF(AVANCE[[#This Row],[PUERTAS ACCESO - LOGIA - BANO]]=AU$2,100%,AVANCE[[#This Row],[PUERTAS ACCESO - LOGIA - BANO]])</f>
        <v>0</v>
      </c>
      <c r="CJ385" s="3">
        <f>+IF(AVANCE[[#This Row],[CERRADURAS]]=AV$2,100%,AVANCE[[#This Row],[CERRADURAS]])</f>
        <v>0</v>
      </c>
      <c r="CK385" s="3">
        <f>+IF(AVANCE[[#This Row],[REVESTIMIENTO INTERIOR ZONA SECA]]=AW$2,100%,AVANCE[[#This Row],[REVESTIMIENTO INTERIOR ZONA SECA]])</f>
        <v>0</v>
      </c>
      <c r="CL385" s="3">
        <f>+IF(AVANCE[[#This Row],[REVESTIMIENTO INTERIOR ZONAS HUMEDAS]]=AX$2,100%,AVANCE[[#This Row],[REVESTIMIENTO INTERIOR ZONAS HUMEDAS]])</f>
        <v>0</v>
      </c>
      <c r="CM385" s="3">
        <f>+IF(AVANCE[[#This Row],[MEMBRANA CIELO]]=AY$2,100%,AVANCE[[#This Row],[MEMBRANA CIELO]])</f>
        <v>0</v>
      </c>
      <c r="CN385" s="3">
        <f>+IF(AVANCE[[#This Row],[LIMPIEZA FINAL]]=AZ$2,100%,AVANCE[[#This Row],[LIMPIEZA FINAL]])</f>
        <v>0</v>
      </c>
      <c r="CO385" s="3">
        <f>+IF(AVANCE[[#This Row],[PUERTAS DORMITORIO]]=BA$2,100%,AVANCE[[#This Row],[PUERTAS DORMITORIO]])</f>
        <v>0</v>
      </c>
      <c r="CP385" s="3">
        <f>+IF(AVANCE[[#This Row],[REVESTIMIENTO INTERIOR BANO]]=BB$2,100%,AVANCE[[#This Row],[REVESTIMIENTO INTERIOR BANO]])</f>
        <v>0</v>
      </c>
      <c r="CQ385" s="3">
        <f>+IF(AVANCE[[#This Row],[MUEBLE LAVAPLATOS]]=BC$2,100%,AVANCE[[#This Row],[MUEBLE LAVAPLATOS]])</f>
        <v>0</v>
      </c>
      <c r="CR385" s="3">
        <f>+IF(AVANCE[[#This Row],[IMPERMEABILIZACION BANO - COCINA LOGIA]]=BD$2,100%,AVANCE[[#This Row],[IMPERMEABILIZACION BANO - COCINA LOGIA]])</f>
        <v>0</v>
      </c>
      <c r="CS385" s="40">
        <f ca="1">+IF(AVANCE[[#This Row],[ESTADO MODULO]]="PENDIENTE",(TODAY()-AVANCE[[#This Row],[FECHA TERMINO  PLANIFICADO]]),0)</f>
        <v>0</v>
      </c>
      <c r="CT385" s="41" t="str" cm="1">
        <f t="array" ref="CT385">_xlfn.TEXTJOIN(" | ",TRUE,IF(SUMPRODUCT((BG385:CR385&lt;1)*(PARTIDAS!$I$2:$AT$2="OBRA GRUESA"))&gt;0,"OBRA GRUESA: "&amp;_xlfn.TEXTJOIN(", ",TRUE,IF((BG385:CR385&lt;1)*(PARTIDAS!$I$2:$AT$2="OBRA GRUESA"),PARTIDAS!$I$1:$AT$1,"")),""),IF(SUMPRODUCT((BG385:CR385&lt;1)*(PARTIDAS!$I$2:$AT$2="SANITARIOS"))&gt;0,"SANITARIOS: "&amp;_xlfn.TEXTJOIN(", ",TRUE,IF((BG385:CR385&lt;1)*(PARTIDAS!$I$2:$AT$2="SANITARIOS"),PARTIDAS!$I$1:$AT$1,"")),""),IF(SUMPRODUCT((BG385:CR385&lt;1)*(PARTIDAS!$I$2:$AT$2="ELÉCTRICO"))&gt;0,"ELÉCTRICO: "&amp;_xlfn.TEXTJOIN(", ",TRUE,IF((BG385:CR385&lt;1)*(PARTIDAS!$I$2:$AT$2="ELÉCTRICO"),PARTIDAS!$I$1:$AT$1,"")),""),IF(SUMPRODUCT((BG385:CR385&lt;1)*(PARTIDAS!$I$2:$AT$2="TERMINACIONES"))&gt;0,"TERMINACIONES: "&amp;_xlfn.TEXTJOIN(", ",TRUE,IF((BG385:CR385&lt;1)*(PARTIDAS!$I$2:$AT$2="TERMINACIONES"),PARTIDAS!$I$1:$AT$1,"")),""))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5" s="43" t="str" cm="1">
        <f t="array" ref="CU385">_xlfn.TEXTJOIN(", ",TRUE,IF(SUMPRODUCT((BG385:CR385&lt;1)*(PARTIDAS!$I$2:$AT$2="OBRA GRUESA"))&gt;0,"OBRA GRUESA",""),IF(SUMPRODUCT((BG385:CR385&lt;1)*(PARTIDAS!$I$2:$AT$2="SANITARIOS"))&gt;0,"SANITARIOS",""),IF(SUMPRODUCT((BG385:CR385&lt;1)*(PARTIDAS!$I$2:$AT$2="ELÉCTRICO"))&gt;0,"ELÉCTRICO",""),IF(SUMPRODUCT((BG385:CR385&lt;1)*(PARTIDAS!$I$2:$AT$2="TERMINACIONES"))&gt;0,"TERMINACIONES",""))</f>
        <v>OBRA GRUESA, SANITARIOS, ELÉCTRICO, TERMINACIONES</v>
      </c>
      <c r="CV385" s="44" cm="1">
        <f t="array" ref="CV385">SUMPRODUCT(--(BG385:CR385&lt;1))</f>
        <v>38</v>
      </c>
    </row>
    <row r="386" spans="1:100" hidden="1" x14ac:dyDescent="0.25">
      <c r="A386" t="s">
        <v>454</v>
      </c>
      <c r="B386" t="s">
        <v>455</v>
      </c>
      <c r="C386">
        <v>2282600385</v>
      </c>
      <c r="D386" t="s">
        <v>58</v>
      </c>
      <c r="E386" s="2">
        <v>0</v>
      </c>
      <c r="F386" s="1">
        <v>46331</v>
      </c>
      <c r="G386" s="1"/>
      <c r="H386" s="1">
        <v>0</v>
      </c>
      <c r="I386" s="1">
        <v>46351</v>
      </c>
      <c r="J386">
        <v>46230</v>
      </c>
      <c r="K386" s="1"/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>
        <v>28.87</v>
      </c>
      <c r="BF386" s="3" t="str">
        <f>+IF(AVANCE[[#This Row],[% AVANCE]]=100%,"MODULO TERMINADO",IF(AVANCE[[#This Row],[FECHA INICIO REAL]]="","MODULO NO INICIADO","PENDIENTE"))</f>
        <v>MODULO NO INICIADO</v>
      </c>
      <c r="BG386" s="3">
        <f>+IF(AVANCE[[#This Row],[VENTANAS]]=8.10810810810811%,100%,AVANCE[[#This Row],[VENTANAS]])</f>
        <v>0</v>
      </c>
      <c r="BH386" s="3">
        <f>+IF(AVANCE[[#This Row],[PISO]]=N$2,100%,AVANCE[[#This Row],[PISO]])</f>
        <v>0</v>
      </c>
      <c r="BI386" s="3">
        <f>+IF(AVANCE[[#This Row],[TABIQUES]]=O$2,100%,AVANCE[[#This Row],[TABIQUES]])</f>
        <v>0</v>
      </c>
      <c r="BJ386" s="3">
        <f>+IF(AVANCE[[#This Row],[MUROS]]=P$2,100%,AVANCE[[#This Row],[MUROS]])</f>
        <v>0</v>
      </c>
      <c r="BK386" s="3">
        <f>+IF(AVANCE[[#This Row],[CIELO]]=Q$2,100%,AVANCE[[#This Row],[CIELO]])</f>
        <v>0</v>
      </c>
      <c r="BL386" s="3">
        <f>+IF(AVANCE[[#This Row],[BALCÓN]]=R$2,100%,AVANCE[[#This Row],[BALCÓN]])</f>
        <v>0</v>
      </c>
      <c r="BM386" s="3">
        <f>+IF(AVANCE[[#This Row],[RED ALCANTARILLADO]]=U$2,100%,AVANCE[[#This Row],[RED ALCANTARILLADO]])</f>
        <v>0</v>
      </c>
      <c r="BN386" s="3">
        <f>+IF(AVANCE[[#This Row],[RED DE AGUA]]=V$2,100%,AVANCE[[#This Row],[RED DE AGUA]])</f>
        <v>0</v>
      </c>
      <c r="BO386" s="3">
        <f>+IF(AVANCE[[#This Row],[VENTILACIONES]]=W$2,100%,AVANCE[[#This Row],[VENTILACIONES]])</f>
        <v>0</v>
      </c>
      <c r="BP386" s="3">
        <f>+IF(AVANCE[[#This Row],[TINA]]=X$2,100%,AVANCE[[#This Row],[TINA]])</f>
        <v>0</v>
      </c>
      <c r="BQ386" s="3">
        <f>+IF(AVANCE[[#This Row],[WC]]=Y$2,100%,AVANCE[[#This Row],[WC]])</f>
        <v>0</v>
      </c>
      <c r="BR386" s="3">
        <f>+IF(AVANCE[[#This Row],[LAVAMANOS / LAVAPLATOS / LAVADERO]]=Z$2,100%,AVANCE[[#This Row],[LAVAMANOS / LAVAPLATOS / LAVADERO]])</f>
        <v>0</v>
      </c>
      <c r="BS386" s="3">
        <f>+IF(AVANCE[[#This Row],[CANALIZACIÓN]]=AC$2,100%,AVANCE[[#This Row],[CANALIZACIÓN]])</f>
        <v>0</v>
      </c>
      <c r="BT386" s="3">
        <f>+IF(AVANCE[[#This Row],[CABLEADO]]=AD$2,100%,AVANCE[[#This Row],[CABLEADO]])</f>
        <v>0</v>
      </c>
      <c r="BU386" s="3">
        <f>+IF(AVANCE[[#This Row],[ARTEFACTOS]]=AE$2,100%,AVANCE[[#This Row],[ARTEFACTOS]])</f>
        <v>0</v>
      </c>
      <c r="BV386" s="3">
        <f>+IF(AVANCE[[#This Row],[TABLERO]]=AF$2,100%,AVANCE[[#This Row],[TABLERO]])</f>
        <v>0</v>
      </c>
      <c r="BW386" s="3">
        <f>+IF(AVANCE[[#This Row],[CAJA PAU]]=AG$2,100%,AVANCE[[#This Row],[CAJA PAU]])</f>
        <v>0</v>
      </c>
      <c r="BX386" s="3">
        <f>+IF(AVANCE[[#This Row],[INSTALACION VINILICO]]=AJ$2,100%,AVANCE[[#This Row],[INSTALACION VINILICO]])</f>
        <v>0</v>
      </c>
      <c r="BY386" s="3">
        <f>+IF(AVANCE[[#This Row],[OSB CUBIERTA]]=AK$2,100%,AVANCE[[#This Row],[OSB CUBIERTA]])</f>
        <v>0</v>
      </c>
      <c r="BZ386" s="3">
        <f>+IF(AVANCE[[#This Row],[BARANDA BALCON]]=AL$2,100%,AVANCE[[#This Row],[BARANDA BALCON]])</f>
        <v>0</v>
      </c>
      <c r="CA386" s="3">
        <f>+IF(AVANCE[[#This Row],[OSB EXTERIOR]]=AM$2,100%,AVANCE[[#This Row],[OSB EXTERIOR]])</f>
        <v>0</v>
      </c>
      <c r="CB386" s="3">
        <f>+IF(AVANCE[[#This Row],[SMART PANEL]]=AN$2,100%,AVANCE[[#This Row],[SMART PANEL]])</f>
        <v>0</v>
      </c>
      <c r="CC386" s="3">
        <f>+IF(AVANCE[[#This Row],[PINTURA EXTERIOR]]=AO$2,100%,AVANCE[[#This Row],[PINTURA EXTERIOR]])</f>
        <v>0</v>
      </c>
      <c r="CD386" s="3">
        <f>+IF(AVANCE[[#This Row],[ZOCALOS LOGIA]]=AP$2,100%,AVANCE[[#This Row],[ZOCALOS LOGIA]])</f>
        <v>0</v>
      </c>
      <c r="CE386" s="3">
        <f>+IF(AVANCE[[#This Row],[MOLDURAS]]=AQ$2,100%,AVANCE[[#This Row],[MOLDURAS]])</f>
        <v>0</v>
      </c>
      <c r="CF386" s="3">
        <f>+IF(AVANCE[[#This Row],[PILASTREO]]=AR$2,100%,AVANCE[[#This Row],[PILASTREO]])</f>
        <v>0</v>
      </c>
      <c r="CG386" s="3">
        <f>+IF(AVANCE[[#This Row],[CELOSIAS]]=AS$2,100%,AVANCE[[#This Row],[CELOSIAS]])</f>
        <v>0</v>
      </c>
      <c r="CH386" s="3">
        <f>+IF(AVANCE[[#This Row],[VENTANAS]]=AT$2,100%,AVANCE[[#This Row],[VENTANAS]])</f>
        <v>0</v>
      </c>
      <c r="CI386" s="3">
        <f>+IF(AVANCE[[#This Row],[PUERTAS ACCESO - LOGIA - BANO]]=AU$2,100%,AVANCE[[#This Row],[PUERTAS ACCESO - LOGIA - BANO]])</f>
        <v>0</v>
      </c>
      <c r="CJ386" s="3">
        <f>+IF(AVANCE[[#This Row],[CERRADURAS]]=AV$2,100%,AVANCE[[#This Row],[CERRADURAS]])</f>
        <v>0</v>
      </c>
      <c r="CK386" s="3">
        <f>+IF(AVANCE[[#This Row],[REVESTIMIENTO INTERIOR ZONA SECA]]=AW$2,100%,AVANCE[[#This Row],[REVESTIMIENTO INTERIOR ZONA SECA]])</f>
        <v>0</v>
      </c>
      <c r="CL386" s="3">
        <f>+IF(AVANCE[[#This Row],[REVESTIMIENTO INTERIOR ZONAS HUMEDAS]]=AX$2,100%,AVANCE[[#This Row],[REVESTIMIENTO INTERIOR ZONAS HUMEDAS]])</f>
        <v>0</v>
      </c>
      <c r="CM386" s="3">
        <f>+IF(AVANCE[[#This Row],[MEMBRANA CIELO]]=AY$2,100%,AVANCE[[#This Row],[MEMBRANA CIELO]])</f>
        <v>0</v>
      </c>
      <c r="CN386" s="3">
        <f>+IF(AVANCE[[#This Row],[LIMPIEZA FINAL]]=AZ$2,100%,AVANCE[[#This Row],[LIMPIEZA FINAL]])</f>
        <v>0</v>
      </c>
      <c r="CO386" s="3">
        <f>+IF(AVANCE[[#This Row],[PUERTAS DORMITORIO]]=BA$2,100%,AVANCE[[#This Row],[PUERTAS DORMITORIO]])</f>
        <v>0</v>
      </c>
      <c r="CP386" s="3">
        <f>+IF(AVANCE[[#This Row],[REVESTIMIENTO INTERIOR BANO]]=BB$2,100%,AVANCE[[#This Row],[REVESTIMIENTO INTERIOR BANO]])</f>
        <v>0</v>
      </c>
      <c r="CQ386" s="3">
        <f>+IF(AVANCE[[#This Row],[MUEBLE LAVAPLATOS]]=BC$2,100%,AVANCE[[#This Row],[MUEBLE LAVAPLATOS]])</f>
        <v>0</v>
      </c>
      <c r="CR386" s="3">
        <f>+IF(AVANCE[[#This Row],[IMPERMEABILIZACION BANO - COCINA LOGIA]]=BD$2,100%,AVANCE[[#This Row],[IMPERMEABILIZACION BANO - COCINA LOGIA]])</f>
        <v>0</v>
      </c>
      <c r="CS386" s="40">
        <f ca="1">+IF(AVANCE[[#This Row],[ESTADO MODULO]]="PENDIENTE",(TODAY()-AVANCE[[#This Row],[FECHA TERMINO  PLANIFICADO]]),0)</f>
        <v>0</v>
      </c>
      <c r="CT386" s="41" t="str" cm="1">
        <f t="array" ref="CT386">_xlfn.TEXTJOIN(" | ",TRUE,IF(SUMPRODUCT((BG386:CR386&lt;1)*(PARTIDAS!$I$2:$AT$2="OBRA GRUESA"))&gt;0,"OBRA GRUESA: "&amp;_xlfn.TEXTJOIN(", ",TRUE,IF((BG386:CR386&lt;1)*(PARTIDAS!$I$2:$AT$2="OBRA GRUESA"),PARTIDAS!$I$1:$AT$1,"")),""),IF(SUMPRODUCT((BG386:CR386&lt;1)*(PARTIDAS!$I$2:$AT$2="SANITARIOS"))&gt;0,"SANITARIOS: "&amp;_xlfn.TEXTJOIN(", ",TRUE,IF((BG386:CR386&lt;1)*(PARTIDAS!$I$2:$AT$2="SANITARIOS"),PARTIDAS!$I$1:$AT$1,"")),""),IF(SUMPRODUCT((BG386:CR386&lt;1)*(PARTIDAS!$I$2:$AT$2="ELÉCTRICO"))&gt;0,"ELÉCTRICO: "&amp;_xlfn.TEXTJOIN(", ",TRUE,IF((BG386:CR386&lt;1)*(PARTIDAS!$I$2:$AT$2="ELÉCTRICO"),PARTIDAS!$I$1:$AT$1,"")),""),IF(SUMPRODUCT((BG386:CR386&lt;1)*(PARTIDAS!$I$2:$AT$2="TERMINACIONES"))&gt;0,"TERMINACIONES: "&amp;_xlfn.TEXTJOIN(", ",TRUE,IF((BG386:CR386&lt;1)*(PARTIDAS!$I$2:$AT$2="TERMINACIONES"),PARTIDAS!$I$1:$AT$1,"")),""))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6" s="43" t="str" cm="1">
        <f t="array" ref="CU386">_xlfn.TEXTJOIN(", ",TRUE,IF(SUMPRODUCT((BG386:CR386&lt;1)*(PARTIDAS!$I$2:$AT$2="OBRA GRUESA"))&gt;0,"OBRA GRUESA",""),IF(SUMPRODUCT((BG386:CR386&lt;1)*(PARTIDAS!$I$2:$AT$2="SANITARIOS"))&gt;0,"SANITARIOS",""),IF(SUMPRODUCT((BG386:CR386&lt;1)*(PARTIDAS!$I$2:$AT$2="ELÉCTRICO"))&gt;0,"ELÉCTRICO",""),IF(SUMPRODUCT((BG386:CR386&lt;1)*(PARTIDAS!$I$2:$AT$2="TERMINACIONES"))&gt;0,"TERMINACIONES",""))</f>
        <v>OBRA GRUESA, SANITARIOS, ELÉCTRICO, TERMINACIONES</v>
      </c>
      <c r="CV386" s="44" cm="1">
        <f t="array" ref="CV386">SUMPRODUCT(--(BG386:CR386&lt;1))</f>
        <v>38</v>
      </c>
    </row>
    <row r="387" spans="1:100" hidden="1" x14ac:dyDescent="0.25">
      <c r="A387" t="s">
        <v>454</v>
      </c>
      <c r="B387" t="s">
        <v>456</v>
      </c>
      <c r="C387">
        <v>2302600386</v>
      </c>
      <c r="D387" t="s">
        <v>60</v>
      </c>
      <c r="E387" s="2">
        <v>0</v>
      </c>
      <c r="F387" s="1">
        <v>46332</v>
      </c>
      <c r="G387" s="1"/>
      <c r="H387" s="1">
        <v>0</v>
      </c>
      <c r="I387" s="1">
        <v>46362</v>
      </c>
      <c r="J387">
        <v>46230</v>
      </c>
      <c r="K387" s="1"/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>
        <v>31.32</v>
      </c>
      <c r="BF387" s="3" t="str">
        <f>+IF(AVANCE[[#This Row],[% AVANCE]]=100%,"MODULO TERMINADO",IF(AVANCE[[#This Row],[FECHA INICIO REAL]]="","MODULO NO INICIADO","PENDIENTE"))</f>
        <v>MODULO NO INICIADO</v>
      </c>
      <c r="BG387" s="3">
        <f>+IF(AVANCE[[#This Row],[VENTANAS]]=8.10810810810811%,100%,AVANCE[[#This Row],[VENTANAS]])</f>
        <v>0</v>
      </c>
      <c r="BH387" s="3">
        <f>+IF(AVANCE[[#This Row],[PISO]]=N$2,100%,AVANCE[[#This Row],[PISO]])</f>
        <v>0</v>
      </c>
      <c r="BI387" s="3">
        <f>+IF(AVANCE[[#This Row],[TABIQUES]]=O$2,100%,AVANCE[[#This Row],[TABIQUES]])</f>
        <v>0</v>
      </c>
      <c r="BJ387" s="3">
        <f>+IF(AVANCE[[#This Row],[MUROS]]=P$2,100%,AVANCE[[#This Row],[MUROS]])</f>
        <v>0</v>
      </c>
      <c r="BK387" s="3">
        <f>+IF(AVANCE[[#This Row],[CIELO]]=Q$2,100%,AVANCE[[#This Row],[CIELO]])</f>
        <v>0</v>
      </c>
      <c r="BL387" s="3">
        <f>+IF(AVANCE[[#This Row],[BALCÓN]]=R$2,100%,AVANCE[[#This Row],[BALCÓN]])</f>
        <v>0</v>
      </c>
      <c r="BM387" s="3">
        <f>+IF(AVANCE[[#This Row],[RED ALCANTARILLADO]]=U$2,100%,AVANCE[[#This Row],[RED ALCANTARILLADO]])</f>
        <v>0</v>
      </c>
      <c r="BN387" s="3">
        <f>+IF(AVANCE[[#This Row],[RED DE AGUA]]=V$2,100%,AVANCE[[#This Row],[RED DE AGUA]])</f>
        <v>0</v>
      </c>
      <c r="BO387" s="3">
        <f>+IF(AVANCE[[#This Row],[VENTILACIONES]]=W$2,100%,AVANCE[[#This Row],[VENTILACIONES]])</f>
        <v>0</v>
      </c>
      <c r="BP387" s="3">
        <f>+IF(AVANCE[[#This Row],[TINA]]=X$2,100%,AVANCE[[#This Row],[TINA]])</f>
        <v>0</v>
      </c>
      <c r="BQ387" s="3">
        <f>+IF(AVANCE[[#This Row],[WC]]=Y$2,100%,AVANCE[[#This Row],[WC]])</f>
        <v>0</v>
      </c>
      <c r="BR387" s="3">
        <f>+IF(AVANCE[[#This Row],[LAVAMANOS / LAVAPLATOS / LAVADERO]]=Z$2,100%,AVANCE[[#This Row],[LAVAMANOS / LAVAPLATOS / LAVADERO]])</f>
        <v>0</v>
      </c>
      <c r="BS387" s="3">
        <f>+IF(AVANCE[[#This Row],[CANALIZACIÓN]]=AC$2,100%,AVANCE[[#This Row],[CANALIZACIÓN]])</f>
        <v>0</v>
      </c>
      <c r="BT387" s="3">
        <f>+IF(AVANCE[[#This Row],[CABLEADO]]=AD$2,100%,AVANCE[[#This Row],[CABLEADO]])</f>
        <v>0</v>
      </c>
      <c r="BU387" s="3">
        <f>+IF(AVANCE[[#This Row],[ARTEFACTOS]]=AE$2,100%,AVANCE[[#This Row],[ARTEFACTOS]])</f>
        <v>0</v>
      </c>
      <c r="BV387" s="3">
        <f>+IF(AVANCE[[#This Row],[TABLERO]]=AF$2,100%,AVANCE[[#This Row],[TABLERO]])</f>
        <v>0</v>
      </c>
      <c r="BW387" s="3">
        <f>+IF(AVANCE[[#This Row],[CAJA PAU]]=AG$2,100%,AVANCE[[#This Row],[CAJA PAU]])</f>
        <v>0</v>
      </c>
      <c r="BX387" s="3">
        <f>+IF(AVANCE[[#This Row],[INSTALACION VINILICO]]=AJ$2,100%,AVANCE[[#This Row],[INSTALACION VINILICO]])</f>
        <v>0</v>
      </c>
      <c r="BY387" s="3">
        <f>+IF(AVANCE[[#This Row],[OSB CUBIERTA]]=AK$2,100%,AVANCE[[#This Row],[OSB CUBIERTA]])</f>
        <v>0</v>
      </c>
      <c r="BZ387" s="3">
        <f>+IF(AVANCE[[#This Row],[BARANDA BALCON]]=AL$2,100%,AVANCE[[#This Row],[BARANDA BALCON]])</f>
        <v>0</v>
      </c>
      <c r="CA387" s="3">
        <f>+IF(AVANCE[[#This Row],[OSB EXTERIOR]]=AM$2,100%,AVANCE[[#This Row],[OSB EXTERIOR]])</f>
        <v>0</v>
      </c>
      <c r="CB387" s="3">
        <f>+IF(AVANCE[[#This Row],[SMART PANEL]]=AN$2,100%,AVANCE[[#This Row],[SMART PANEL]])</f>
        <v>0</v>
      </c>
      <c r="CC387" s="3">
        <f>+IF(AVANCE[[#This Row],[PINTURA EXTERIOR]]=AO$2,100%,AVANCE[[#This Row],[PINTURA EXTERIOR]])</f>
        <v>0</v>
      </c>
      <c r="CD387" s="3">
        <f>+IF(AVANCE[[#This Row],[ZOCALOS LOGIA]]=AP$2,100%,AVANCE[[#This Row],[ZOCALOS LOGIA]])</f>
        <v>0</v>
      </c>
      <c r="CE387" s="3">
        <f>+IF(AVANCE[[#This Row],[MOLDURAS]]=AQ$2,100%,AVANCE[[#This Row],[MOLDURAS]])</f>
        <v>0</v>
      </c>
      <c r="CF387" s="3">
        <f>+IF(AVANCE[[#This Row],[PILASTREO]]=AR$2,100%,AVANCE[[#This Row],[PILASTREO]])</f>
        <v>0</v>
      </c>
      <c r="CG387" s="3">
        <f>+IF(AVANCE[[#This Row],[CELOSIAS]]=AS$2,100%,AVANCE[[#This Row],[CELOSIAS]])</f>
        <v>0</v>
      </c>
      <c r="CH387" s="3">
        <f>+IF(AVANCE[[#This Row],[VENTANAS]]=AT$2,100%,AVANCE[[#This Row],[VENTANAS]])</f>
        <v>0</v>
      </c>
      <c r="CI387" s="3">
        <f>+IF(AVANCE[[#This Row],[PUERTAS ACCESO - LOGIA - BANO]]=AU$2,100%,AVANCE[[#This Row],[PUERTAS ACCESO - LOGIA - BANO]])</f>
        <v>0</v>
      </c>
      <c r="CJ387" s="3">
        <f>+IF(AVANCE[[#This Row],[CERRADURAS]]=AV$2,100%,AVANCE[[#This Row],[CERRADURAS]])</f>
        <v>0</v>
      </c>
      <c r="CK387" s="3">
        <f>+IF(AVANCE[[#This Row],[REVESTIMIENTO INTERIOR ZONA SECA]]=AW$2,100%,AVANCE[[#This Row],[REVESTIMIENTO INTERIOR ZONA SECA]])</f>
        <v>0</v>
      </c>
      <c r="CL387" s="3">
        <f>+IF(AVANCE[[#This Row],[REVESTIMIENTO INTERIOR ZONAS HUMEDAS]]=AX$2,100%,AVANCE[[#This Row],[REVESTIMIENTO INTERIOR ZONAS HUMEDAS]])</f>
        <v>0</v>
      </c>
      <c r="CM387" s="3">
        <f>+IF(AVANCE[[#This Row],[MEMBRANA CIELO]]=AY$2,100%,AVANCE[[#This Row],[MEMBRANA CIELO]])</f>
        <v>0</v>
      </c>
      <c r="CN387" s="3">
        <f>+IF(AVANCE[[#This Row],[LIMPIEZA FINAL]]=AZ$2,100%,AVANCE[[#This Row],[LIMPIEZA FINAL]])</f>
        <v>0</v>
      </c>
      <c r="CO387" s="3">
        <f>+IF(AVANCE[[#This Row],[PUERTAS DORMITORIO]]=BA$2,100%,AVANCE[[#This Row],[PUERTAS DORMITORIO]])</f>
        <v>0</v>
      </c>
      <c r="CP387" s="3">
        <f>+IF(AVANCE[[#This Row],[REVESTIMIENTO INTERIOR BANO]]=BB$2,100%,AVANCE[[#This Row],[REVESTIMIENTO INTERIOR BANO]])</f>
        <v>0</v>
      </c>
      <c r="CQ387" s="3">
        <f>+IF(AVANCE[[#This Row],[MUEBLE LAVAPLATOS]]=BC$2,100%,AVANCE[[#This Row],[MUEBLE LAVAPLATOS]])</f>
        <v>0</v>
      </c>
      <c r="CR387" s="3">
        <f>+IF(AVANCE[[#This Row],[IMPERMEABILIZACION BANO - COCINA LOGIA]]=BD$2,100%,AVANCE[[#This Row],[IMPERMEABILIZACION BANO - COCINA LOGIA]])</f>
        <v>0</v>
      </c>
      <c r="CS387" s="40">
        <f ca="1">+IF(AVANCE[[#This Row],[ESTADO MODULO]]="PENDIENTE",(TODAY()-AVANCE[[#This Row],[FECHA TERMINO  PLANIFICADO]]),0)</f>
        <v>0</v>
      </c>
      <c r="CT387" s="41" t="str" cm="1">
        <f t="array" ref="CT387">_xlfn.TEXTJOIN(" | ",TRUE,IF(SUMPRODUCT((BG387:CR387&lt;1)*(PARTIDAS!$I$2:$AT$2="OBRA GRUESA"))&gt;0,"OBRA GRUESA: "&amp;_xlfn.TEXTJOIN(", ",TRUE,IF((BG387:CR387&lt;1)*(PARTIDAS!$I$2:$AT$2="OBRA GRUESA"),PARTIDAS!$I$1:$AT$1,"")),""),IF(SUMPRODUCT((BG387:CR387&lt;1)*(PARTIDAS!$I$2:$AT$2="SANITARIOS"))&gt;0,"SANITARIOS: "&amp;_xlfn.TEXTJOIN(", ",TRUE,IF((BG387:CR387&lt;1)*(PARTIDAS!$I$2:$AT$2="SANITARIOS"),PARTIDAS!$I$1:$AT$1,"")),""),IF(SUMPRODUCT((BG387:CR387&lt;1)*(PARTIDAS!$I$2:$AT$2="ELÉCTRICO"))&gt;0,"ELÉCTRICO: "&amp;_xlfn.TEXTJOIN(", ",TRUE,IF((BG387:CR387&lt;1)*(PARTIDAS!$I$2:$AT$2="ELÉCTRICO"),PARTIDAS!$I$1:$AT$1,"")),""),IF(SUMPRODUCT((BG387:CR387&lt;1)*(PARTIDAS!$I$2:$AT$2="TERMINACIONES"))&gt;0,"TERMINACIONES: "&amp;_xlfn.TEXTJOIN(", ",TRUE,IF((BG387:CR387&lt;1)*(PARTIDAS!$I$2:$AT$2="TERMINACIONES"),PARTIDAS!$I$1:$AT$1,"")),""))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7" s="43" t="str" cm="1">
        <f t="array" ref="CU387">_xlfn.TEXTJOIN(", ",TRUE,IF(SUMPRODUCT((BG387:CR387&lt;1)*(PARTIDAS!$I$2:$AT$2="OBRA GRUESA"))&gt;0,"OBRA GRUESA",""),IF(SUMPRODUCT((BG387:CR387&lt;1)*(PARTIDAS!$I$2:$AT$2="SANITARIOS"))&gt;0,"SANITARIOS",""),IF(SUMPRODUCT((BG387:CR387&lt;1)*(PARTIDAS!$I$2:$AT$2="ELÉCTRICO"))&gt;0,"ELÉCTRICO",""),IF(SUMPRODUCT((BG387:CR387&lt;1)*(PARTIDAS!$I$2:$AT$2="TERMINACIONES"))&gt;0,"TERMINACIONES",""))</f>
        <v>OBRA GRUESA, SANITARIOS, ELÉCTRICO, TERMINACIONES</v>
      </c>
      <c r="CV387" s="44" cm="1">
        <f t="array" ref="CV387">SUMPRODUCT(--(BG387:CR387&lt;1))</f>
        <v>38</v>
      </c>
    </row>
    <row r="388" spans="1:100" hidden="1" x14ac:dyDescent="0.25">
      <c r="A388" t="s">
        <v>454</v>
      </c>
      <c r="B388" t="s">
        <v>457</v>
      </c>
      <c r="C388">
        <v>2302600387</v>
      </c>
      <c r="D388" t="s">
        <v>60</v>
      </c>
      <c r="E388" s="2">
        <v>0</v>
      </c>
      <c r="F388" s="1">
        <v>46332</v>
      </c>
      <c r="G388" s="1"/>
      <c r="H388" s="1">
        <v>0</v>
      </c>
      <c r="I388" s="1">
        <v>46362</v>
      </c>
      <c r="J388">
        <v>46230</v>
      </c>
      <c r="K388" s="1"/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>
        <v>31.32</v>
      </c>
      <c r="BF388" s="3" t="str">
        <f>+IF(AVANCE[[#This Row],[% AVANCE]]=100%,"MODULO TERMINADO",IF(AVANCE[[#This Row],[FECHA INICIO REAL]]="","MODULO NO INICIADO","PENDIENTE"))</f>
        <v>MODULO NO INICIADO</v>
      </c>
      <c r="BG388" s="3">
        <f>+IF(AVANCE[[#This Row],[VENTANAS]]=8.10810810810811%,100%,AVANCE[[#This Row],[VENTANAS]])</f>
        <v>0</v>
      </c>
      <c r="BH388" s="3">
        <f>+IF(AVANCE[[#This Row],[PISO]]=N$2,100%,AVANCE[[#This Row],[PISO]])</f>
        <v>0</v>
      </c>
      <c r="BI388" s="3">
        <f>+IF(AVANCE[[#This Row],[TABIQUES]]=O$2,100%,AVANCE[[#This Row],[TABIQUES]])</f>
        <v>0</v>
      </c>
      <c r="BJ388" s="3">
        <f>+IF(AVANCE[[#This Row],[MUROS]]=P$2,100%,AVANCE[[#This Row],[MUROS]])</f>
        <v>0</v>
      </c>
      <c r="BK388" s="3">
        <f>+IF(AVANCE[[#This Row],[CIELO]]=Q$2,100%,AVANCE[[#This Row],[CIELO]])</f>
        <v>0</v>
      </c>
      <c r="BL388" s="3">
        <f>+IF(AVANCE[[#This Row],[BALCÓN]]=R$2,100%,AVANCE[[#This Row],[BALCÓN]])</f>
        <v>0</v>
      </c>
      <c r="BM388" s="3">
        <f>+IF(AVANCE[[#This Row],[RED ALCANTARILLADO]]=U$2,100%,AVANCE[[#This Row],[RED ALCANTARILLADO]])</f>
        <v>0</v>
      </c>
      <c r="BN388" s="3">
        <f>+IF(AVANCE[[#This Row],[RED DE AGUA]]=V$2,100%,AVANCE[[#This Row],[RED DE AGUA]])</f>
        <v>0</v>
      </c>
      <c r="BO388" s="3">
        <f>+IF(AVANCE[[#This Row],[VENTILACIONES]]=W$2,100%,AVANCE[[#This Row],[VENTILACIONES]])</f>
        <v>0</v>
      </c>
      <c r="BP388" s="3">
        <f>+IF(AVANCE[[#This Row],[TINA]]=X$2,100%,AVANCE[[#This Row],[TINA]])</f>
        <v>0</v>
      </c>
      <c r="BQ388" s="3">
        <f>+IF(AVANCE[[#This Row],[WC]]=Y$2,100%,AVANCE[[#This Row],[WC]])</f>
        <v>0</v>
      </c>
      <c r="BR388" s="3">
        <f>+IF(AVANCE[[#This Row],[LAVAMANOS / LAVAPLATOS / LAVADERO]]=Z$2,100%,AVANCE[[#This Row],[LAVAMANOS / LAVAPLATOS / LAVADERO]])</f>
        <v>0</v>
      </c>
      <c r="BS388" s="3">
        <f>+IF(AVANCE[[#This Row],[CANALIZACIÓN]]=AC$2,100%,AVANCE[[#This Row],[CANALIZACIÓN]])</f>
        <v>0</v>
      </c>
      <c r="BT388" s="3">
        <f>+IF(AVANCE[[#This Row],[CABLEADO]]=AD$2,100%,AVANCE[[#This Row],[CABLEADO]])</f>
        <v>0</v>
      </c>
      <c r="BU388" s="3">
        <f>+IF(AVANCE[[#This Row],[ARTEFACTOS]]=AE$2,100%,AVANCE[[#This Row],[ARTEFACTOS]])</f>
        <v>0</v>
      </c>
      <c r="BV388" s="3">
        <f>+IF(AVANCE[[#This Row],[TABLERO]]=AF$2,100%,AVANCE[[#This Row],[TABLERO]])</f>
        <v>0</v>
      </c>
      <c r="BW388" s="3">
        <f>+IF(AVANCE[[#This Row],[CAJA PAU]]=AG$2,100%,AVANCE[[#This Row],[CAJA PAU]])</f>
        <v>0</v>
      </c>
      <c r="BX388" s="3">
        <f>+IF(AVANCE[[#This Row],[INSTALACION VINILICO]]=AJ$2,100%,AVANCE[[#This Row],[INSTALACION VINILICO]])</f>
        <v>0</v>
      </c>
      <c r="BY388" s="3">
        <f>+IF(AVANCE[[#This Row],[OSB CUBIERTA]]=AK$2,100%,AVANCE[[#This Row],[OSB CUBIERTA]])</f>
        <v>0</v>
      </c>
      <c r="BZ388" s="3">
        <f>+IF(AVANCE[[#This Row],[BARANDA BALCON]]=AL$2,100%,AVANCE[[#This Row],[BARANDA BALCON]])</f>
        <v>0</v>
      </c>
      <c r="CA388" s="3">
        <f>+IF(AVANCE[[#This Row],[OSB EXTERIOR]]=AM$2,100%,AVANCE[[#This Row],[OSB EXTERIOR]])</f>
        <v>0</v>
      </c>
      <c r="CB388" s="3">
        <f>+IF(AVANCE[[#This Row],[SMART PANEL]]=AN$2,100%,AVANCE[[#This Row],[SMART PANEL]])</f>
        <v>0</v>
      </c>
      <c r="CC388" s="3">
        <f>+IF(AVANCE[[#This Row],[PINTURA EXTERIOR]]=AO$2,100%,AVANCE[[#This Row],[PINTURA EXTERIOR]])</f>
        <v>0</v>
      </c>
      <c r="CD388" s="3">
        <f>+IF(AVANCE[[#This Row],[ZOCALOS LOGIA]]=AP$2,100%,AVANCE[[#This Row],[ZOCALOS LOGIA]])</f>
        <v>0</v>
      </c>
      <c r="CE388" s="3">
        <f>+IF(AVANCE[[#This Row],[MOLDURAS]]=AQ$2,100%,AVANCE[[#This Row],[MOLDURAS]])</f>
        <v>0</v>
      </c>
      <c r="CF388" s="3">
        <f>+IF(AVANCE[[#This Row],[PILASTREO]]=AR$2,100%,AVANCE[[#This Row],[PILASTREO]])</f>
        <v>0</v>
      </c>
      <c r="CG388" s="3">
        <f>+IF(AVANCE[[#This Row],[CELOSIAS]]=AS$2,100%,AVANCE[[#This Row],[CELOSIAS]])</f>
        <v>0</v>
      </c>
      <c r="CH388" s="3">
        <f>+IF(AVANCE[[#This Row],[VENTANAS]]=AT$2,100%,AVANCE[[#This Row],[VENTANAS]])</f>
        <v>0</v>
      </c>
      <c r="CI388" s="3">
        <f>+IF(AVANCE[[#This Row],[PUERTAS ACCESO - LOGIA - BANO]]=AU$2,100%,AVANCE[[#This Row],[PUERTAS ACCESO - LOGIA - BANO]])</f>
        <v>0</v>
      </c>
      <c r="CJ388" s="3">
        <f>+IF(AVANCE[[#This Row],[CERRADURAS]]=AV$2,100%,AVANCE[[#This Row],[CERRADURAS]])</f>
        <v>0</v>
      </c>
      <c r="CK388" s="3">
        <f>+IF(AVANCE[[#This Row],[REVESTIMIENTO INTERIOR ZONA SECA]]=AW$2,100%,AVANCE[[#This Row],[REVESTIMIENTO INTERIOR ZONA SECA]])</f>
        <v>0</v>
      </c>
      <c r="CL388" s="3">
        <f>+IF(AVANCE[[#This Row],[REVESTIMIENTO INTERIOR ZONAS HUMEDAS]]=AX$2,100%,AVANCE[[#This Row],[REVESTIMIENTO INTERIOR ZONAS HUMEDAS]])</f>
        <v>0</v>
      </c>
      <c r="CM388" s="3">
        <f>+IF(AVANCE[[#This Row],[MEMBRANA CIELO]]=AY$2,100%,AVANCE[[#This Row],[MEMBRANA CIELO]])</f>
        <v>0</v>
      </c>
      <c r="CN388" s="3">
        <f>+IF(AVANCE[[#This Row],[LIMPIEZA FINAL]]=AZ$2,100%,AVANCE[[#This Row],[LIMPIEZA FINAL]])</f>
        <v>0</v>
      </c>
      <c r="CO388" s="3">
        <f>+IF(AVANCE[[#This Row],[PUERTAS DORMITORIO]]=BA$2,100%,AVANCE[[#This Row],[PUERTAS DORMITORIO]])</f>
        <v>0</v>
      </c>
      <c r="CP388" s="3">
        <f>+IF(AVANCE[[#This Row],[REVESTIMIENTO INTERIOR BANO]]=BB$2,100%,AVANCE[[#This Row],[REVESTIMIENTO INTERIOR BANO]])</f>
        <v>0</v>
      </c>
      <c r="CQ388" s="3">
        <f>+IF(AVANCE[[#This Row],[MUEBLE LAVAPLATOS]]=BC$2,100%,AVANCE[[#This Row],[MUEBLE LAVAPLATOS]])</f>
        <v>0</v>
      </c>
      <c r="CR388" s="3">
        <f>+IF(AVANCE[[#This Row],[IMPERMEABILIZACION BANO - COCINA LOGIA]]=BD$2,100%,AVANCE[[#This Row],[IMPERMEABILIZACION BANO - COCINA LOGIA]])</f>
        <v>0</v>
      </c>
      <c r="CS388" s="40">
        <f ca="1">+IF(AVANCE[[#This Row],[ESTADO MODULO]]="PENDIENTE",(TODAY()-AVANCE[[#This Row],[FECHA TERMINO  PLANIFICADO]]),0)</f>
        <v>0</v>
      </c>
      <c r="CT388" s="41" t="str" cm="1">
        <f t="array" ref="CT388">_xlfn.TEXTJOIN(" | ",TRUE,IF(SUMPRODUCT((BG388:CR388&lt;1)*(PARTIDAS!$I$2:$AT$2="OBRA GRUESA"))&gt;0,"OBRA GRUESA: "&amp;_xlfn.TEXTJOIN(", ",TRUE,IF((BG388:CR388&lt;1)*(PARTIDAS!$I$2:$AT$2="OBRA GRUESA"),PARTIDAS!$I$1:$AT$1,"")),""),IF(SUMPRODUCT((BG388:CR388&lt;1)*(PARTIDAS!$I$2:$AT$2="SANITARIOS"))&gt;0,"SANITARIOS: "&amp;_xlfn.TEXTJOIN(", ",TRUE,IF((BG388:CR388&lt;1)*(PARTIDAS!$I$2:$AT$2="SANITARIOS"),PARTIDAS!$I$1:$AT$1,"")),""),IF(SUMPRODUCT((BG388:CR388&lt;1)*(PARTIDAS!$I$2:$AT$2="ELÉCTRICO"))&gt;0,"ELÉCTRICO: "&amp;_xlfn.TEXTJOIN(", ",TRUE,IF((BG388:CR388&lt;1)*(PARTIDAS!$I$2:$AT$2="ELÉCTRICO"),PARTIDAS!$I$1:$AT$1,"")),""),IF(SUMPRODUCT((BG388:CR388&lt;1)*(PARTIDAS!$I$2:$AT$2="TERMINACIONES"))&gt;0,"TERMINACIONES: "&amp;_xlfn.TEXTJOIN(", ",TRUE,IF((BG388:CR388&lt;1)*(PARTIDAS!$I$2:$AT$2="TERMINACIONES"),PARTIDAS!$I$1:$AT$1,"")),""))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8" s="43" t="str" cm="1">
        <f t="array" ref="CU388">_xlfn.TEXTJOIN(", ",TRUE,IF(SUMPRODUCT((BG388:CR388&lt;1)*(PARTIDAS!$I$2:$AT$2="OBRA GRUESA"))&gt;0,"OBRA GRUESA",""),IF(SUMPRODUCT((BG388:CR388&lt;1)*(PARTIDAS!$I$2:$AT$2="SANITARIOS"))&gt;0,"SANITARIOS",""),IF(SUMPRODUCT((BG388:CR388&lt;1)*(PARTIDAS!$I$2:$AT$2="ELÉCTRICO"))&gt;0,"ELÉCTRICO",""),IF(SUMPRODUCT((BG388:CR388&lt;1)*(PARTIDAS!$I$2:$AT$2="TERMINACIONES"))&gt;0,"TERMINACIONES",""))</f>
        <v>OBRA GRUESA, SANITARIOS, ELÉCTRICO, TERMINACIONES</v>
      </c>
      <c r="CV388" s="44" cm="1">
        <f t="array" ref="CV388">SUMPRODUCT(--(BG388:CR388&lt;1))</f>
        <v>38</v>
      </c>
    </row>
    <row r="389" spans="1:100" hidden="1" x14ac:dyDescent="0.25">
      <c r="A389" t="s">
        <v>454</v>
      </c>
      <c r="B389" t="s">
        <v>458</v>
      </c>
      <c r="C389">
        <v>2282600388</v>
      </c>
      <c r="D389" t="s">
        <v>58</v>
      </c>
      <c r="E389" s="2">
        <v>0</v>
      </c>
      <c r="F389" s="1">
        <v>46332</v>
      </c>
      <c r="G389" s="1"/>
      <c r="H389" s="1">
        <v>0</v>
      </c>
      <c r="I389" s="1">
        <v>46352</v>
      </c>
      <c r="J389">
        <v>46230</v>
      </c>
      <c r="K389" s="1"/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>
        <v>28.87</v>
      </c>
      <c r="BF389" s="3" t="str">
        <f>+IF(AVANCE[[#This Row],[% AVANCE]]=100%,"MODULO TERMINADO",IF(AVANCE[[#This Row],[FECHA INICIO REAL]]="","MODULO NO INICIADO","PENDIENTE"))</f>
        <v>MODULO NO INICIADO</v>
      </c>
      <c r="BG389" s="3">
        <f>+IF(AVANCE[[#This Row],[VENTANAS]]=8.10810810810811%,100%,AVANCE[[#This Row],[VENTANAS]])</f>
        <v>0</v>
      </c>
      <c r="BH389" s="3">
        <f>+IF(AVANCE[[#This Row],[PISO]]=N$2,100%,AVANCE[[#This Row],[PISO]])</f>
        <v>0</v>
      </c>
      <c r="BI389" s="3">
        <f>+IF(AVANCE[[#This Row],[TABIQUES]]=O$2,100%,AVANCE[[#This Row],[TABIQUES]])</f>
        <v>0</v>
      </c>
      <c r="BJ389" s="3">
        <f>+IF(AVANCE[[#This Row],[MUROS]]=P$2,100%,AVANCE[[#This Row],[MUROS]])</f>
        <v>0</v>
      </c>
      <c r="BK389" s="3">
        <f>+IF(AVANCE[[#This Row],[CIELO]]=Q$2,100%,AVANCE[[#This Row],[CIELO]])</f>
        <v>0</v>
      </c>
      <c r="BL389" s="3">
        <f>+IF(AVANCE[[#This Row],[BALCÓN]]=R$2,100%,AVANCE[[#This Row],[BALCÓN]])</f>
        <v>0</v>
      </c>
      <c r="BM389" s="3">
        <f>+IF(AVANCE[[#This Row],[RED ALCANTARILLADO]]=U$2,100%,AVANCE[[#This Row],[RED ALCANTARILLADO]])</f>
        <v>0</v>
      </c>
      <c r="BN389" s="3">
        <f>+IF(AVANCE[[#This Row],[RED DE AGUA]]=V$2,100%,AVANCE[[#This Row],[RED DE AGUA]])</f>
        <v>0</v>
      </c>
      <c r="BO389" s="3">
        <f>+IF(AVANCE[[#This Row],[VENTILACIONES]]=W$2,100%,AVANCE[[#This Row],[VENTILACIONES]])</f>
        <v>0</v>
      </c>
      <c r="BP389" s="3">
        <f>+IF(AVANCE[[#This Row],[TINA]]=X$2,100%,AVANCE[[#This Row],[TINA]])</f>
        <v>0</v>
      </c>
      <c r="BQ389" s="3">
        <f>+IF(AVANCE[[#This Row],[WC]]=Y$2,100%,AVANCE[[#This Row],[WC]])</f>
        <v>0</v>
      </c>
      <c r="BR389" s="3">
        <f>+IF(AVANCE[[#This Row],[LAVAMANOS / LAVAPLATOS / LAVADERO]]=Z$2,100%,AVANCE[[#This Row],[LAVAMANOS / LAVAPLATOS / LAVADERO]])</f>
        <v>0</v>
      </c>
      <c r="BS389" s="3">
        <f>+IF(AVANCE[[#This Row],[CANALIZACIÓN]]=AC$2,100%,AVANCE[[#This Row],[CANALIZACIÓN]])</f>
        <v>0</v>
      </c>
      <c r="BT389" s="3">
        <f>+IF(AVANCE[[#This Row],[CABLEADO]]=AD$2,100%,AVANCE[[#This Row],[CABLEADO]])</f>
        <v>0</v>
      </c>
      <c r="BU389" s="3">
        <f>+IF(AVANCE[[#This Row],[ARTEFACTOS]]=AE$2,100%,AVANCE[[#This Row],[ARTEFACTOS]])</f>
        <v>0</v>
      </c>
      <c r="BV389" s="3">
        <f>+IF(AVANCE[[#This Row],[TABLERO]]=AF$2,100%,AVANCE[[#This Row],[TABLERO]])</f>
        <v>0</v>
      </c>
      <c r="BW389" s="3">
        <f>+IF(AVANCE[[#This Row],[CAJA PAU]]=AG$2,100%,AVANCE[[#This Row],[CAJA PAU]])</f>
        <v>0</v>
      </c>
      <c r="BX389" s="3">
        <f>+IF(AVANCE[[#This Row],[INSTALACION VINILICO]]=AJ$2,100%,AVANCE[[#This Row],[INSTALACION VINILICO]])</f>
        <v>0</v>
      </c>
      <c r="BY389" s="3">
        <f>+IF(AVANCE[[#This Row],[OSB CUBIERTA]]=AK$2,100%,AVANCE[[#This Row],[OSB CUBIERTA]])</f>
        <v>0</v>
      </c>
      <c r="BZ389" s="3">
        <f>+IF(AVANCE[[#This Row],[BARANDA BALCON]]=AL$2,100%,AVANCE[[#This Row],[BARANDA BALCON]])</f>
        <v>0</v>
      </c>
      <c r="CA389" s="3">
        <f>+IF(AVANCE[[#This Row],[OSB EXTERIOR]]=AM$2,100%,AVANCE[[#This Row],[OSB EXTERIOR]])</f>
        <v>0</v>
      </c>
      <c r="CB389" s="3">
        <f>+IF(AVANCE[[#This Row],[SMART PANEL]]=AN$2,100%,AVANCE[[#This Row],[SMART PANEL]])</f>
        <v>0</v>
      </c>
      <c r="CC389" s="3">
        <f>+IF(AVANCE[[#This Row],[PINTURA EXTERIOR]]=AO$2,100%,AVANCE[[#This Row],[PINTURA EXTERIOR]])</f>
        <v>0</v>
      </c>
      <c r="CD389" s="3">
        <f>+IF(AVANCE[[#This Row],[ZOCALOS LOGIA]]=AP$2,100%,AVANCE[[#This Row],[ZOCALOS LOGIA]])</f>
        <v>0</v>
      </c>
      <c r="CE389" s="3">
        <f>+IF(AVANCE[[#This Row],[MOLDURAS]]=AQ$2,100%,AVANCE[[#This Row],[MOLDURAS]])</f>
        <v>0</v>
      </c>
      <c r="CF389" s="3">
        <f>+IF(AVANCE[[#This Row],[PILASTREO]]=AR$2,100%,AVANCE[[#This Row],[PILASTREO]])</f>
        <v>0</v>
      </c>
      <c r="CG389" s="3">
        <f>+IF(AVANCE[[#This Row],[CELOSIAS]]=AS$2,100%,AVANCE[[#This Row],[CELOSIAS]])</f>
        <v>0</v>
      </c>
      <c r="CH389" s="3">
        <f>+IF(AVANCE[[#This Row],[VENTANAS]]=AT$2,100%,AVANCE[[#This Row],[VENTANAS]])</f>
        <v>0</v>
      </c>
      <c r="CI389" s="3">
        <f>+IF(AVANCE[[#This Row],[PUERTAS ACCESO - LOGIA - BANO]]=AU$2,100%,AVANCE[[#This Row],[PUERTAS ACCESO - LOGIA - BANO]])</f>
        <v>0</v>
      </c>
      <c r="CJ389" s="3">
        <f>+IF(AVANCE[[#This Row],[CERRADURAS]]=AV$2,100%,AVANCE[[#This Row],[CERRADURAS]])</f>
        <v>0</v>
      </c>
      <c r="CK389" s="3">
        <f>+IF(AVANCE[[#This Row],[REVESTIMIENTO INTERIOR ZONA SECA]]=AW$2,100%,AVANCE[[#This Row],[REVESTIMIENTO INTERIOR ZONA SECA]])</f>
        <v>0</v>
      </c>
      <c r="CL389" s="3">
        <f>+IF(AVANCE[[#This Row],[REVESTIMIENTO INTERIOR ZONAS HUMEDAS]]=AX$2,100%,AVANCE[[#This Row],[REVESTIMIENTO INTERIOR ZONAS HUMEDAS]])</f>
        <v>0</v>
      </c>
      <c r="CM389" s="3">
        <f>+IF(AVANCE[[#This Row],[MEMBRANA CIELO]]=AY$2,100%,AVANCE[[#This Row],[MEMBRANA CIELO]])</f>
        <v>0</v>
      </c>
      <c r="CN389" s="3">
        <f>+IF(AVANCE[[#This Row],[LIMPIEZA FINAL]]=AZ$2,100%,AVANCE[[#This Row],[LIMPIEZA FINAL]])</f>
        <v>0</v>
      </c>
      <c r="CO389" s="3">
        <f>+IF(AVANCE[[#This Row],[PUERTAS DORMITORIO]]=BA$2,100%,AVANCE[[#This Row],[PUERTAS DORMITORIO]])</f>
        <v>0</v>
      </c>
      <c r="CP389" s="3">
        <f>+IF(AVANCE[[#This Row],[REVESTIMIENTO INTERIOR BANO]]=BB$2,100%,AVANCE[[#This Row],[REVESTIMIENTO INTERIOR BANO]])</f>
        <v>0</v>
      </c>
      <c r="CQ389" s="3">
        <f>+IF(AVANCE[[#This Row],[MUEBLE LAVAPLATOS]]=BC$2,100%,AVANCE[[#This Row],[MUEBLE LAVAPLATOS]])</f>
        <v>0</v>
      </c>
      <c r="CR389" s="3">
        <f>+IF(AVANCE[[#This Row],[IMPERMEABILIZACION BANO - COCINA LOGIA]]=BD$2,100%,AVANCE[[#This Row],[IMPERMEABILIZACION BANO - COCINA LOGIA]])</f>
        <v>0</v>
      </c>
      <c r="CS389" s="40">
        <f ca="1">+IF(AVANCE[[#This Row],[ESTADO MODULO]]="PENDIENTE",(TODAY()-AVANCE[[#This Row],[FECHA TERMINO  PLANIFICADO]]),0)</f>
        <v>0</v>
      </c>
      <c r="CT389" s="41" t="str" cm="1">
        <f t="array" ref="CT389">_xlfn.TEXTJOIN(" | ",TRUE,IF(SUMPRODUCT((BG389:CR389&lt;1)*(PARTIDAS!$I$2:$AT$2="OBRA GRUESA"))&gt;0,"OBRA GRUESA: "&amp;_xlfn.TEXTJOIN(", ",TRUE,IF((BG389:CR389&lt;1)*(PARTIDAS!$I$2:$AT$2="OBRA GRUESA"),PARTIDAS!$I$1:$AT$1,"")),""),IF(SUMPRODUCT((BG389:CR389&lt;1)*(PARTIDAS!$I$2:$AT$2="SANITARIOS"))&gt;0,"SANITARIOS: "&amp;_xlfn.TEXTJOIN(", ",TRUE,IF((BG389:CR389&lt;1)*(PARTIDAS!$I$2:$AT$2="SANITARIOS"),PARTIDAS!$I$1:$AT$1,"")),""),IF(SUMPRODUCT((BG389:CR389&lt;1)*(PARTIDAS!$I$2:$AT$2="ELÉCTRICO"))&gt;0,"ELÉCTRICO: "&amp;_xlfn.TEXTJOIN(", ",TRUE,IF((BG389:CR389&lt;1)*(PARTIDAS!$I$2:$AT$2="ELÉCTRICO"),PARTIDAS!$I$1:$AT$1,"")),""),IF(SUMPRODUCT((BG389:CR389&lt;1)*(PARTIDAS!$I$2:$AT$2="TERMINACIONES"))&gt;0,"TERMINACIONES: "&amp;_xlfn.TEXTJOIN(", ",TRUE,IF((BG389:CR389&lt;1)*(PARTIDAS!$I$2:$AT$2="TERMINACIONES"),PARTIDAS!$I$1:$AT$1,"")),""))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89" s="43" t="str" cm="1">
        <f t="array" ref="CU389">_xlfn.TEXTJOIN(", ",TRUE,IF(SUMPRODUCT((BG389:CR389&lt;1)*(PARTIDAS!$I$2:$AT$2="OBRA GRUESA"))&gt;0,"OBRA GRUESA",""),IF(SUMPRODUCT((BG389:CR389&lt;1)*(PARTIDAS!$I$2:$AT$2="SANITARIOS"))&gt;0,"SANITARIOS",""),IF(SUMPRODUCT((BG389:CR389&lt;1)*(PARTIDAS!$I$2:$AT$2="ELÉCTRICO"))&gt;0,"ELÉCTRICO",""),IF(SUMPRODUCT((BG389:CR389&lt;1)*(PARTIDAS!$I$2:$AT$2="TERMINACIONES"))&gt;0,"TERMINACIONES",""))</f>
        <v>OBRA GRUESA, SANITARIOS, ELÉCTRICO, TERMINACIONES</v>
      </c>
      <c r="CV389" s="44" cm="1">
        <f t="array" ref="CV389">SUMPRODUCT(--(BG389:CR389&lt;1))</f>
        <v>38</v>
      </c>
    </row>
    <row r="390" spans="1:100" hidden="1" x14ac:dyDescent="0.25">
      <c r="A390" t="s">
        <v>454</v>
      </c>
      <c r="B390" t="s">
        <v>459</v>
      </c>
      <c r="C390">
        <v>2282600389</v>
      </c>
      <c r="D390" t="s">
        <v>58</v>
      </c>
      <c r="E390" s="2">
        <v>0</v>
      </c>
      <c r="F390" s="1">
        <v>46335</v>
      </c>
      <c r="G390" s="1"/>
      <c r="H390" s="1">
        <v>0</v>
      </c>
      <c r="I390" s="1">
        <v>46355</v>
      </c>
      <c r="J390">
        <v>46230</v>
      </c>
      <c r="K390" s="1"/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>
        <v>28.87</v>
      </c>
      <c r="BF390" s="3" t="str">
        <f>+IF(AVANCE[[#This Row],[% AVANCE]]=100%,"MODULO TERMINADO",IF(AVANCE[[#This Row],[FECHA INICIO REAL]]="","MODULO NO INICIADO","PENDIENTE"))</f>
        <v>MODULO NO INICIADO</v>
      </c>
      <c r="BG390" s="3">
        <f>+IF(AVANCE[[#This Row],[VENTANAS]]=8.10810810810811%,100%,AVANCE[[#This Row],[VENTANAS]])</f>
        <v>0</v>
      </c>
      <c r="BH390" s="3">
        <f>+IF(AVANCE[[#This Row],[PISO]]=N$2,100%,AVANCE[[#This Row],[PISO]])</f>
        <v>0</v>
      </c>
      <c r="BI390" s="3">
        <f>+IF(AVANCE[[#This Row],[TABIQUES]]=O$2,100%,AVANCE[[#This Row],[TABIQUES]])</f>
        <v>0</v>
      </c>
      <c r="BJ390" s="3">
        <f>+IF(AVANCE[[#This Row],[MUROS]]=P$2,100%,AVANCE[[#This Row],[MUROS]])</f>
        <v>0</v>
      </c>
      <c r="BK390" s="3">
        <f>+IF(AVANCE[[#This Row],[CIELO]]=Q$2,100%,AVANCE[[#This Row],[CIELO]])</f>
        <v>0</v>
      </c>
      <c r="BL390" s="3">
        <f>+IF(AVANCE[[#This Row],[BALCÓN]]=R$2,100%,AVANCE[[#This Row],[BALCÓN]])</f>
        <v>0</v>
      </c>
      <c r="BM390" s="3">
        <f>+IF(AVANCE[[#This Row],[RED ALCANTARILLADO]]=U$2,100%,AVANCE[[#This Row],[RED ALCANTARILLADO]])</f>
        <v>0</v>
      </c>
      <c r="BN390" s="3">
        <f>+IF(AVANCE[[#This Row],[RED DE AGUA]]=V$2,100%,AVANCE[[#This Row],[RED DE AGUA]])</f>
        <v>0</v>
      </c>
      <c r="BO390" s="3">
        <f>+IF(AVANCE[[#This Row],[VENTILACIONES]]=W$2,100%,AVANCE[[#This Row],[VENTILACIONES]])</f>
        <v>0</v>
      </c>
      <c r="BP390" s="3">
        <f>+IF(AVANCE[[#This Row],[TINA]]=X$2,100%,AVANCE[[#This Row],[TINA]])</f>
        <v>0</v>
      </c>
      <c r="BQ390" s="3">
        <f>+IF(AVANCE[[#This Row],[WC]]=Y$2,100%,AVANCE[[#This Row],[WC]])</f>
        <v>0</v>
      </c>
      <c r="BR390" s="3">
        <f>+IF(AVANCE[[#This Row],[LAVAMANOS / LAVAPLATOS / LAVADERO]]=Z$2,100%,AVANCE[[#This Row],[LAVAMANOS / LAVAPLATOS / LAVADERO]])</f>
        <v>0</v>
      </c>
      <c r="BS390" s="3">
        <f>+IF(AVANCE[[#This Row],[CANALIZACIÓN]]=AC$2,100%,AVANCE[[#This Row],[CANALIZACIÓN]])</f>
        <v>0</v>
      </c>
      <c r="BT390" s="3">
        <f>+IF(AVANCE[[#This Row],[CABLEADO]]=AD$2,100%,AVANCE[[#This Row],[CABLEADO]])</f>
        <v>0</v>
      </c>
      <c r="BU390" s="3">
        <f>+IF(AVANCE[[#This Row],[ARTEFACTOS]]=AE$2,100%,AVANCE[[#This Row],[ARTEFACTOS]])</f>
        <v>0</v>
      </c>
      <c r="BV390" s="3">
        <f>+IF(AVANCE[[#This Row],[TABLERO]]=AF$2,100%,AVANCE[[#This Row],[TABLERO]])</f>
        <v>0</v>
      </c>
      <c r="BW390" s="3">
        <f>+IF(AVANCE[[#This Row],[CAJA PAU]]=AG$2,100%,AVANCE[[#This Row],[CAJA PAU]])</f>
        <v>0</v>
      </c>
      <c r="BX390" s="3">
        <f>+IF(AVANCE[[#This Row],[INSTALACION VINILICO]]=AJ$2,100%,AVANCE[[#This Row],[INSTALACION VINILICO]])</f>
        <v>0</v>
      </c>
      <c r="BY390" s="3">
        <f>+IF(AVANCE[[#This Row],[OSB CUBIERTA]]=AK$2,100%,AVANCE[[#This Row],[OSB CUBIERTA]])</f>
        <v>0</v>
      </c>
      <c r="BZ390" s="3">
        <f>+IF(AVANCE[[#This Row],[BARANDA BALCON]]=AL$2,100%,AVANCE[[#This Row],[BARANDA BALCON]])</f>
        <v>0</v>
      </c>
      <c r="CA390" s="3">
        <f>+IF(AVANCE[[#This Row],[OSB EXTERIOR]]=AM$2,100%,AVANCE[[#This Row],[OSB EXTERIOR]])</f>
        <v>0</v>
      </c>
      <c r="CB390" s="3">
        <f>+IF(AVANCE[[#This Row],[SMART PANEL]]=AN$2,100%,AVANCE[[#This Row],[SMART PANEL]])</f>
        <v>0</v>
      </c>
      <c r="CC390" s="3">
        <f>+IF(AVANCE[[#This Row],[PINTURA EXTERIOR]]=AO$2,100%,AVANCE[[#This Row],[PINTURA EXTERIOR]])</f>
        <v>0</v>
      </c>
      <c r="CD390" s="3">
        <f>+IF(AVANCE[[#This Row],[ZOCALOS LOGIA]]=AP$2,100%,AVANCE[[#This Row],[ZOCALOS LOGIA]])</f>
        <v>0</v>
      </c>
      <c r="CE390" s="3">
        <f>+IF(AVANCE[[#This Row],[MOLDURAS]]=AQ$2,100%,AVANCE[[#This Row],[MOLDURAS]])</f>
        <v>0</v>
      </c>
      <c r="CF390" s="3">
        <f>+IF(AVANCE[[#This Row],[PILASTREO]]=AR$2,100%,AVANCE[[#This Row],[PILASTREO]])</f>
        <v>0</v>
      </c>
      <c r="CG390" s="3">
        <f>+IF(AVANCE[[#This Row],[CELOSIAS]]=AS$2,100%,AVANCE[[#This Row],[CELOSIAS]])</f>
        <v>0</v>
      </c>
      <c r="CH390" s="3">
        <f>+IF(AVANCE[[#This Row],[VENTANAS]]=AT$2,100%,AVANCE[[#This Row],[VENTANAS]])</f>
        <v>0</v>
      </c>
      <c r="CI390" s="3">
        <f>+IF(AVANCE[[#This Row],[PUERTAS ACCESO - LOGIA - BANO]]=AU$2,100%,AVANCE[[#This Row],[PUERTAS ACCESO - LOGIA - BANO]])</f>
        <v>0</v>
      </c>
      <c r="CJ390" s="3">
        <f>+IF(AVANCE[[#This Row],[CERRADURAS]]=AV$2,100%,AVANCE[[#This Row],[CERRADURAS]])</f>
        <v>0</v>
      </c>
      <c r="CK390" s="3">
        <f>+IF(AVANCE[[#This Row],[REVESTIMIENTO INTERIOR ZONA SECA]]=AW$2,100%,AVANCE[[#This Row],[REVESTIMIENTO INTERIOR ZONA SECA]])</f>
        <v>0</v>
      </c>
      <c r="CL390" s="3">
        <f>+IF(AVANCE[[#This Row],[REVESTIMIENTO INTERIOR ZONAS HUMEDAS]]=AX$2,100%,AVANCE[[#This Row],[REVESTIMIENTO INTERIOR ZONAS HUMEDAS]])</f>
        <v>0</v>
      </c>
      <c r="CM390" s="3">
        <f>+IF(AVANCE[[#This Row],[MEMBRANA CIELO]]=AY$2,100%,AVANCE[[#This Row],[MEMBRANA CIELO]])</f>
        <v>0</v>
      </c>
      <c r="CN390" s="3">
        <f>+IF(AVANCE[[#This Row],[LIMPIEZA FINAL]]=AZ$2,100%,AVANCE[[#This Row],[LIMPIEZA FINAL]])</f>
        <v>0</v>
      </c>
      <c r="CO390" s="3">
        <f>+IF(AVANCE[[#This Row],[PUERTAS DORMITORIO]]=BA$2,100%,AVANCE[[#This Row],[PUERTAS DORMITORIO]])</f>
        <v>0</v>
      </c>
      <c r="CP390" s="3">
        <f>+IF(AVANCE[[#This Row],[REVESTIMIENTO INTERIOR BANO]]=BB$2,100%,AVANCE[[#This Row],[REVESTIMIENTO INTERIOR BANO]])</f>
        <v>0</v>
      </c>
      <c r="CQ390" s="3">
        <f>+IF(AVANCE[[#This Row],[MUEBLE LAVAPLATOS]]=BC$2,100%,AVANCE[[#This Row],[MUEBLE LAVAPLATOS]])</f>
        <v>0</v>
      </c>
      <c r="CR390" s="3">
        <f>+IF(AVANCE[[#This Row],[IMPERMEABILIZACION BANO - COCINA LOGIA]]=BD$2,100%,AVANCE[[#This Row],[IMPERMEABILIZACION BANO - COCINA LOGIA]])</f>
        <v>0</v>
      </c>
      <c r="CS390" s="40">
        <f ca="1">+IF(AVANCE[[#This Row],[ESTADO MODULO]]="PENDIENTE",(TODAY()-AVANCE[[#This Row],[FECHA TERMINO  PLANIFICADO]]),0)</f>
        <v>0</v>
      </c>
      <c r="CT390" s="41" t="str" cm="1">
        <f t="array" ref="CT390">_xlfn.TEXTJOIN(" | ",TRUE,IF(SUMPRODUCT((BG390:CR390&lt;1)*(PARTIDAS!$I$2:$AT$2="OBRA GRUESA"))&gt;0,"OBRA GRUESA: "&amp;_xlfn.TEXTJOIN(", ",TRUE,IF((BG390:CR390&lt;1)*(PARTIDAS!$I$2:$AT$2="OBRA GRUESA"),PARTIDAS!$I$1:$AT$1,"")),""),IF(SUMPRODUCT((BG390:CR390&lt;1)*(PARTIDAS!$I$2:$AT$2="SANITARIOS"))&gt;0,"SANITARIOS: "&amp;_xlfn.TEXTJOIN(", ",TRUE,IF((BG390:CR390&lt;1)*(PARTIDAS!$I$2:$AT$2="SANITARIOS"),PARTIDAS!$I$1:$AT$1,"")),""),IF(SUMPRODUCT((BG390:CR390&lt;1)*(PARTIDAS!$I$2:$AT$2="ELÉCTRICO"))&gt;0,"ELÉCTRICO: "&amp;_xlfn.TEXTJOIN(", ",TRUE,IF((BG390:CR390&lt;1)*(PARTIDAS!$I$2:$AT$2="ELÉCTRICO"),PARTIDAS!$I$1:$AT$1,"")),""),IF(SUMPRODUCT((BG390:CR390&lt;1)*(PARTIDAS!$I$2:$AT$2="TERMINACIONES"))&gt;0,"TERMINACIONES: "&amp;_xlfn.TEXTJOIN(", ",TRUE,IF((BG390:CR390&lt;1)*(PARTIDAS!$I$2:$AT$2="TERMINACIONES"),PARTIDAS!$I$1:$AT$1,"")),""))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0" s="43" t="str" cm="1">
        <f t="array" ref="CU390">_xlfn.TEXTJOIN(", ",TRUE,IF(SUMPRODUCT((BG390:CR390&lt;1)*(PARTIDAS!$I$2:$AT$2="OBRA GRUESA"))&gt;0,"OBRA GRUESA",""),IF(SUMPRODUCT((BG390:CR390&lt;1)*(PARTIDAS!$I$2:$AT$2="SANITARIOS"))&gt;0,"SANITARIOS",""),IF(SUMPRODUCT((BG390:CR390&lt;1)*(PARTIDAS!$I$2:$AT$2="ELÉCTRICO"))&gt;0,"ELÉCTRICO",""),IF(SUMPRODUCT((BG390:CR390&lt;1)*(PARTIDAS!$I$2:$AT$2="TERMINACIONES"))&gt;0,"TERMINACIONES",""))</f>
        <v>OBRA GRUESA, SANITARIOS, ELÉCTRICO, TERMINACIONES</v>
      </c>
      <c r="CV390" s="44" cm="1">
        <f t="array" ref="CV390">SUMPRODUCT(--(BG390:CR390&lt;1))</f>
        <v>38</v>
      </c>
    </row>
    <row r="391" spans="1:100" hidden="1" x14ac:dyDescent="0.25">
      <c r="A391" t="s">
        <v>454</v>
      </c>
      <c r="B391" t="s">
        <v>460</v>
      </c>
      <c r="C391">
        <v>2302600390</v>
      </c>
      <c r="D391" t="s">
        <v>60</v>
      </c>
      <c r="E391" s="2">
        <v>0</v>
      </c>
      <c r="F391" s="1">
        <v>46335</v>
      </c>
      <c r="G391" s="1"/>
      <c r="H391" s="1">
        <v>0</v>
      </c>
      <c r="I391" s="1">
        <v>46365</v>
      </c>
      <c r="J391">
        <v>46230</v>
      </c>
      <c r="K391" s="1"/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>
        <v>31.32</v>
      </c>
      <c r="BF391" s="3" t="str">
        <f>+IF(AVANCE[[#This Row],[% AVANCE]]=100%,"MODULO TERMINADO",IF(AVANCE[[#This Row],[FECHA INICIO REAL]]="","MODULO NO INICIADO","PENDIENTE"))</f>
        <v>MODULO NO INICIADO</v>
      </c>
      <c r="BG391" s="3">
        <f>+IF(AVANCE[[#This Row],[VENTANAS]]=8.10810810810811%,100%,AVANCE[[#This Row],[VENTANAS]])</f>
        <v>0</v>
      </c>
      <c r="BH391" s="3">
        <f>+IF(AVANCE[[#This Row],[PISO]]=N$2,100%,AVANCE[[#This Row],[PISO]])</f>
        <v>0</v>
      </c>
      <c r="BI391" s="3">
        <f>+IF(AVANCE[[#This Row],[TABIQUES]]=O$2,100%,AVANCE[[#This Row],[TABIQUES]])</f>
        <v>0</v>
      </c>
      <c r="BJ391" s="3">
        <f>+IF(AVANCE[[#This Row],[MUROS]]=P$2,100%,AVANCE[[#This Row],[MUROS]])</f>
        <v>0</v>
      </c>
      <c r="BK391" s="3">
        <f>+IF(AVANCE[[#This Row],[CIELO]]=Q$2,100%,AVANCE[[#This Row],[CIELO]])</f>
        <v>0</v>
      </c>
      <c r="BL391" s="3">
        <f>+IF(AVANCE[[#This Row],[BALCÓN]]=R$2,100%,AVANCE[[#This Row],[BALCÓN]])</f>
        <v>0</v>
      </c>
      <c r="BM391" s="3">
        <f>+IF(AVANCE[[#This Row],[RED ALCANTARILLADO]]=U$2,100%,AVANCE[[#This Row],[RED ALCANTARILLADO]])</f>
        <v>0</v>
      </c>
      <c r="BN391" s="3">
        <f>+IF(AVANCE[[#This Row],[RED DE AGUA]]=V$2,100%,AVANCE[[#This Row],[RED DE AGUA]])</f>
        <v>0</v>
      </c>
      <c r="BO391" s="3">
        <f>+IF(AVANCE[[#This Row],[VENTILACIONES]]=W$2,100%,AVANCE[[#This Row],[VENTILACIONES]])</f>
        <v>0</v>
      </c>
      <c r="BP391" s="3">
        <f>+IF(AVANCE[[#This Row],[TINA]]=X$2,100%,AVANCE[[#This Row],[TINA]])</f>
        <v>0</v>
      </c>
      <c r="BQ391" s="3">
        <f>+IF(AVANCE[[#This Row],[WC]]=Y$2,100%,AVANCE[[#This Row],[WC]])</f>
        <v>0</v>
      </c>
      <c r="BR391" s="3">
        <f>+IF(AVANCE[[#This Row],[LAVAMANOS / LAVAPLATOS / LAVADERO]]=Z$2,100%,AVANCE[[#This Row],[LAVAMANOS / LAVAPLATOS / LAVADERO]])</f>
        <v>0</v>
      </c>
      <c r="BS391" s="3">
        <f>+IF(AVANCE[[#This Row],[CANALIZACIÓN]]=AC$2,100%,AVANCE[[#This Row],[CANALIZACIÓN]])</f>
        <v>0</v>
      </c>
      <c r="BT391" s="3">
        <f>+IF(AVANCE[[#This Row],[CABLEADO]]=AD$2,100%,AVANCE[[#This Row],[CABLEADO]])</f>
        <v>0</v>
      </c>
      <c r="BU391" s="3">
        <f>+IF(AVANCE[[#This Row],[ARTEFACTOS]]=AE$2,100%,AVANCE[[#This Row],[ARTEFACTOS]])</f>
        <v>0</v>
      </c>
      <c r="BV391" s="3">
        <f>+IF(AVANCE[[#This Row],[TABLERO]]=AF$2,100%,AVANCE[[#This Row],[TABLERO]])</f>
        <v>0</v>
      </c>
      <c r="BW391" s="3">
        <f>+IF(AVANCE[[#This Row],[CAJA PAU]]=AG$2,100%,AVANCE[[#This Row],[CAJA PAU]])</f>
        <v>0</v>
      </c>
      <c r="BX391" s="3">
        <f>+IF(AVANCE[[#This Row],[INSTALACION VINILICO]]=AJ$2,100%,AVANCE[[#This Row],[INSTALACION VINILICO]])</f>
        <v>0</v>
      </c>
      <c r="BY391" s="3">
        <f>+IF(AVANCE[[#This Row],[OSB CUBIERTA]]=AK$2,100%,AVANCE[[#This Row],[OSB CUBIERTA]])</f>
        <v>0</v>
      </c>
      <c r="BZ391" s="3">
        <f>+IF(AVANCE[[#This Row],[BARANDA BALCON]]=AL$2,100%,AVANCE[[#This Row],[BARANDA BALCON]])</f>
        <v>0</v>
      </c>
      <c r="CA391" s="3">
        <f>+IF(AVANCE[[#This Row],[OSB EXTERIOR]]=AM$2,100%,AVANCE[[#This Row],[OSB EXTERIOR]])</f>
        <v>0</v>
      </c>
      <c r="CB391" s="3">
        <f>+IF(AVANCE[[#This Row],[SMART PANEL]]=AN$2,100%,AVANCE[[#This Row],[SMART PANEL]])</f>
        <v>0</v>
      </c>
      <c r="CC391" s="3">
        <f>+IF(AVANCE[[#This Row],[PINTURA EXTERIOR]]=AO$2,100%,AVANCE[[#This Row],[PINTURA EXTERIOR]])</f>
        <v>0</v>
      </c>
      <c r="CD391" s="3">
        <f>+IF(AVANCE[[#This Row],[ZOCALOS LOGIA]]=AP$2,100%,AVANCE[[#This Row],[ZOCALOS LOGIA]])</f>
        <v>0</v>
      </c>
      <c r="CE391" s="3">
        <f>+IF(AVANCE[[#This Row],[MOLDURAS]]=AQ$2,100%,AVANCE[[#This Row],[MOLDURAS]])</f>
        <v>0</v>
      </c>
      <c r="CF391" s="3">
        <f>+IF(AVANCE[[#This Row],[PILASTREO]]=AR$2,100%,AVANCE[[#This Row],[PILASTREO]])</f>
        <v>0</v>
      </c>
      <c r="CG391" s="3">
        <f>+IF(AVANCE[[#This Row],[CELOSIAS]]=AS$2,100%,AVANCE[[#This Row],[CELOSIAS]])</f>
        <v>0</v>
      </c>
      <c r="CH391" s="3">
        <f>+IF(AVANCE[[#This Row],[VENTANAS]]=AT$2,100%,AVANCE[[#This Row],[VENTANAS]])</f>
        <v>0</v>
      </c>
      <c r="CI391" s="3">
        <f>+IF(AVANCE[[#This Row],[PUERTAS ACCESO - LOGIA - BANO]]=AU$2,100%,AVANCE[[#This Row],[PUERTAS ACCESO - LOGIA - BANO]])</f>
        <v>0</v>
      </c>
      <c r="CJ391" s="3">
        <f>+IF(AVANCE[[#This Row],[CERRADURAS]]=AV$2,100%,AVANCE[[#This Row],[CERRADURAS]])</f>
        <v>0</v>
      </c>
      <c r="CK391" s="3">
        <f>+IF(AVANCE[[#This Row],[REVESTIMIENTO INTERIOR ZONA SECA]]=AW$2,100%,AVANCE[[#This Row],[REVESTIMIENTO INTERIOR ZONA SECA]])</f>
        <v>0</v>
      </c>
      <c r="CL391" s="3">
        <f>+IF(AVANCE[[#This Row],[REVESTIMIENTO INTERIOR ZONAS HUMEDAS]]=AX$2,100%,AVANCE[[#This Row],[REVESTIMIENTO INTERIOR ZONAS HUMEDAS]])</f>
        <v>0</v>
      </c>
      <c r="CM391" s="3">
        <f>+IF(AVANCE[[#This Row],[MEMBRANA CIELO]]=AY$2,100%,AVANCE[[#This Row],[MEMBRANA CIELO]])</f>
        <v>0</v>
      </c>
      <c r="CN391" s="3">
        <f>+IF(AVANCE[[#This Row],[LIMPIEZA FINAL]]=AZ$2,100%,AVANCE[[#This Row],[LIMPIEZA FINAL]])</f>
        <v>0</v>
      </c>
      <c r="CO391" s="3">
        <f>+IF(AVANCE[[#This Row],[PUERTAS DORMITORIO]]=BA$2,100%,AVANCE[[#This Row],[PUERTAS DORMITORIO]])</f>
        <v>0</v>
      </c>
      <c r="CP391" s="3">
        <f>+IF(AVANCE[[#This Row],[REVESTIMIENTO INTERIOR BANO]]=BB$2,100%,AVANCE[[#This Row],[REVESTIMIENTO INTERIOR BANO]])</f>
        <v>0</v>
      </c>
      <c r="CQ391" s="3">
        <f>+IF(AVANCE[[#This Row],[MUEBLE LAVAPLATOS]]=BC$2,100%,AVANCE[[#This Row],[MUEBLE LAVAPLATOS]])</f>
        <v>0</v>
      </c>
      <c r="CR391" s="3">
        <f>+IF(AVANCE[[#This Row],[IMPERMEABILIZACION BANO - COCINA LOGIA]]=BD$2,100%,AVANCE[[#This Row],[IMPERMEABILIZACION BANO - COCINA LOGIA]])</f>
        <v>0</v>
      </c>
      <c r="CS391" s="40">
        <f ca="1">+IF(AVANCE[[#This Row],[ESTADO MODULO]]="PENDIENTE",(TODAY()-AVANCE[[#This Row],[FECHA TERMINO  PLANIFICADO]]),0)</f>
        <v>0</v>
      </c>
      <c r="CT391" s="41" t="str" cm="1">
        <f t="array" ref="CT391">_xlfn.TEXTJOIN(" | ",TRUE,IF(SUMPRODUCT((BG391:CR391&lt;1)*(PARTIDAS!$I$2:$AT$2="OBRA GRUESA"))&gt;0,"OBRA GRUESA: "&amp;_xlfn.TEXTJOIN(", ",TRUE,IF((BG391:CR391&lt;1)*(PARTIDAS!$I$2:$AT$2="OBRA GRUESA"),PARTIDAS!$I$1:$AT$1,"")),""),IF(SUMPRODUCT((BG391:CR391&lt;1)*(PARTIDAS!$I$2:$AT$2="SANITARIOS"))&gt;0,"SANITARIOS: "&amp;_xlfn.TEXTJOIN(", ",TRUE,IF((BG391:CR391&lt;1)*(PARTIDAS!$I$2:$AT$2="SANITARIOS"),PARTIDAS!$I$1:$AT$1,"")),""),IF(SUMPRODUCT((BG391:CR391&lt;1)*(PARTIDAS!$I$2:$AT$2="ELÉCTRICO"))&gt;0,"ELÉCTRICO: "&amp;_xlfn.TEXTJOIN(", ",TRUE,IF((BG391:CR391&lt;1)*(PARTIDAS!$I$2:$AT$2="ELÉCTRICO"),PARTIDAS!$I$1:$AT$1,"")),""),IF(SUMPRODUCT((BG391:CR391&lt;1)*(PARTIDAS!$I$2:$AT$2="TERMINACIONES"))&gt;0,"TERMINACIONES: "&amp;_xlfn.TEXTJOIN(", ",TRUE,IF((BG391:CR391&lt;1)*(PARTIDAS!$I$2:$AT$2="TERMINACIONES"),PARTIDAS!$I$1:$AT$1,"")),""))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1" s="43" t="str" cm="1">
        <f t="array" ref="CU391">_xlfn.TEXTJOIN(", ",TRUE,IF(SUMPRODUCT((BG391:CR391&lt;1)*(PARTIDAS!$I$2:$AT$2="OBRA GRUESA"))&gt;0,"OBRA GRUESA",""),IF(SUMPRODUCT((BG391:CR391&lt;1)*(PARTIDAS!$I$2:$AT$2="SANITARIOS"))&gt;0,"SANITARIOS",""),IF(SUMPRODUCT((BG391:CR391&lt;1)*(PARTIDAS!$I$2:$AT$2="ELÉCTRICO"))&gt;0,"ELÉCTRICO",""),IF(SUMPRODUCT((BG391:CR391&lt;1)*(PARTIDAS!$I$2:$AT$2="TERMINACIONES"))&gt;0,"TERMINACIONES",""))</f>
        <v>OBRA GRUESA, SANITARIOS, ELÉCTRICO, TERMINACIONES</v>
      </c>
      <c r="CV391" s="44" cm="1">
        <f t="array" ref="CV391">SUMPRODUCT(--(BG391:CR391&lt;1))</f>
        <v>38</v>
      </c>
    </row>
    <row r="392" spans="1:100" hidden="1" x14ac:dyDescent="0.25">
      <c r="A392" t="s">
        <v>454</v>
      </c>
      <c r="B392" t="s">
        <v>461</v>
      </c>
      <c r="C392">
        <v>2302600391</v>
      </c>
      <c r="D392" t="s">
        <v>60</v>
      </c>
      <c r="E392" s="2">
        <v>0</v>
      </c>
      <c r="F392" s="1">
        <v>46335</v>
      </c>
      <c r="G392" s="1"/>
      <c r="H392" s="1">
        <v>0</v>
      </c>
      <c r="I392" s="1">
        <v>46365</v>
      </c>
      <c r="J392">
        <v>46230</v>
      </c>
      <c r="K392" s="1"/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>
        <v>31.32</v>
      </c>
      <c r="BF392" s="3" t="str">
        <f>+IF(AVANCE[[#This Row],[% AVANCE]]=100%,"MODULO TERMINADO",IF(AVANCE[[#This Row],[FECHA INICIO REAL]]="","MODULO NO INICIADO","PENDIENTE"))</f>
        <v>MODULO NO INICIADO</v>
      </c>
      <c r="BG392" s="3">
        <f>+IF(AVANCE[[#This Row],[VENTANAS]]=8.10810810810811%,100%,AVANCE[[#This Row],[VENTANAS]])</f>
        <v>0</v>
      </c>
      <c r="BH392" s="3">
        <f>+IF(AVANCE[[#This Row],[PISO]]=N$2,100%,AVANCE[[#This Row],[PISO]])</f>
        <v>0</v>
      </c>
      <c r="BI392" s="3">
        <f>+IF(AVANCE[[#This Row],[TABIQUES]]=O$2,100%,AVANCE[[#This Row],[TABIQUES]])</f>
        <v>0</v>
      </c>
      <c r="BJ392" s="3">
        <f>+IF(AVANCE[[#This Row],[MUROS]]=P$2,100%,AVANCE[[#This Row],[MUROS]])</f>
        <v>0</v>
      </c>
      <c r="BK392" s="3">
        <f>+IF(AVANCE[[#This Row],[CIELO]]=Q$2,100%,AVANCE[[#This Row],[CIELO]])</f>
        <v>0</v>
      </c>
      <c r="BL392" s="3">
        <f>+IF(AVANCE[[#This Row],[BALCÓN]]=R$2,100%,AVANCE[[#This Row],[BALCÓN]])</f>
        <v>0</v>
      </c>
      <c r="BM392" s="3">
        <f>+IF(AVANCE[[#This Row],[RED ALCANTARILLADO]]=U$2,100%,AVANCE[[#This Row],[RED ALCANTARILLADO]])</f>
        <v>0</v>
      </c>
      <c r="BN392" s="3">
        <f>+IF(AVANCE[[#This Row],[RED DE AGUA]]=V$2,100%,AVANCE[[#This Row],[RED DE AGUA]])</f>
        <v>0</v>
      </c>
      <c r="BO392" s="3">
        <f>+IF(AVANCE[[#This Row],[VENTILACIONES]]=W$2,100%,AVANCE[[#This Row],[VENTILACIONES]])</f>
        <v>0</v>
      </c>
      <c r="BP392" s="3">
        <f>+IF(AVANCE[[#This Row],[TINA]]=X$2,100%,AVANCE[[#This Row],[TINA]])</f>
        <v>0</v>
      </c>
      <c r="BQ392" s="3">
        <f>+IF(AVANCE[[#This Row],[WC]]=Y$2,100%,AVANCE[[#This Row],[WC]])</f>
        <v>0</v>
      </c>
      <c r="BR392" s="3">
        <f>+IF(AVANCE[[#This Row],[LAVAMANOS / LAVAPLATOS / LAVADERO]]=Z$2,100%,AVANCE[[#This Row],[LAVAMANOS / LAVAPLATOS / LAVADERO]])</f>
        <v>0</v>
      </c>
      <c r="BS392" s="3">
        <f>+IF(AVANCE[[#This Row],[CANALIZACIÓN]]=AC$2,100%,AVANCE[[#This Row],[CANALIZACIÓN]])</f>
        <v>0</v>
      </c>
      <c r="BT392" s="3">
        <f>+IF(AVANCE[[#This Row],[CABLEADO]]=AD$2,100%,AVANCE[[#This Row],[CABLEADO]])</f>
        <v>0</v>
      </c>
      <c r="BU392" s="3">
        <f>+IF(AVANCE[[#This Row],[ARTEFACTOS]]=AE$2,100%,AVANCE[[#This Row],[ARTEFACTOS]])</f>
        <v>0</v>
      </c>
      <c r="BV392" s="3">
        <f>+IF(AVANCE[[#This Row],[TABLERO]]=AF$2,100%,AVANCE[[#This Row],[TABLERO]])</f>
        <v>0</v>
      </c>
      <c r="BW392" s="3">
        <f>+IF(AVANCE[[#This Row],[CAJA PAU]]=AG$2,100%,AVANCE[[#This Row],[CAJA PAU]])</f>
        <v>0</v>
      </c>
      <c r="BX392" s="3">
        <f>+IF(AVANCE[[#This Row],[INSTALACION VINILICO]]=AJ$2,100%,AVANCE[[#This Row],[INSTALACION VINILICO]])</f>
        <v>0</v>
      </c>
      <c r="BY392" s="3">
        <f>+IF(AVANCE[[#This Row],[OSB CUBIERTA]]=AK$2,100%,AVANCE[[#This Row],[OSB CUBIERTA]])</f>
        <v>0</v>
      </c>
      <c r="BZ392" s="3">
        <f>+IF(AVANCE[[#This Row],[BARANDA BALCON]]=AL$2,100%,AVANCE[[#This Row],[BARANDA BALCON]])</f>
        <v>0</v>
      </c>
      <c r="CA392" s="3">
        <f>+IF(AVANCE[[#This Row],[OSB EXTERIOR]]=AM$2,100%,AVANCE[[#This Row],[OSB EXTERIOR]])</f>
        <v>0</v>
      </c>
      <c r="CB392" s="3">
        <f>+IF(AVANCE[[#This Row],[SMART PANEL]]=AN$2,100%,AVANCE[[#This Row],[SMART PANEL]])</f>
        <v>0</v>
      </c>
      <c r="CC392" s="3">
        <f>+IF(AVANCE[[#This Row],[PINTURA EXTERIOR]]=AO$2,100%,AVANCE[[#This Row],[PINTURA EXTERIOR]])</f>
        <v>0</v>
      </c>
      <c r="CD392" s="3">
        <f>+IF(AVANCE[[#This Row],[ZOCALOS LOGIA]]=AP$2,100%,AVANCE[[#This Row],[ZOCALOS LOGIA]])</f>
        <v>0</v>
      </c>
      <c r="CE392" s="3">
        <f>+IF(AVANCE[[#This Row],[MOLDURAS]]=AQ$2,100%,AVANCE[[#This Row],[MOLDURAS]])</f>
        <v>0</v>
      </c>
      <c r="CF392" s="3">
        <f>+IF(AVANCE[[#This Row],[PILASTREO]]=AR$2,100%,AVANCE[[#This Row],[PILASTREO]])</f>
        <v>0</v>
      </c>
      <c r="CG392" s="3">
        <f>+IF(AVANCE[[#This Row],[CELOSIAS]]=AS$2,100%,AVANCE[[#This Row],[CELOSIAS]])</f>
        <v>0</v>
      </c>
      <c r="CH392" s="3">
        <f>+IF(AVANCE[[#This Row],[VENTANAS]]=AT$2,100%,AVANCE[[#This Row],[VENTANAS]])</f>
        <v>0</v>
      </c>
      <c r="CI392" s="3">
        <f>+IF(AVANCE[[#This Row],[PUERTAS ACCESO - LOGIA - BANO]]=AU$2,100%,AVANCE[[#This Row],[PUERTAS ACCESO - LOGIA - BANO]])</f>
        <v>0</v>
      </c>
      <c r="CJ392" s="3">
        <f>+IF(AVANCE[[#This Row],[CERRADURAS]]=AV$2,100%,AVANCE[[#This Row],[CERRADURAS]])</f>
        <v>0</v>
      </c>
      <c r="CK392" s="3">
        <f>+IF(AVANCE[[#This Row],[REVESTIMIENTO INTERIOR ZONA SECA]]=AW$2,100%,AVANCE[[#This Row],[REVESTIMIENTO INTERIOR ZONA SECA]])</f>
        <v>0</v>
      </c>
      <c r="CL392" s="3">
        <f>+IF(AVANCE[[#This Row],[REVESTIMIENTO INTERIOR ZONAS HUMEDAS]]=AX$2,100%,AVANCE[[#This Row],[REVESTIMIENTO INTERIOR ZONAS HUMEDAS]])</f>
        <v>0</v>
      </c>
      <c r="CM392" s="3">
        <f>+IF(AVANCE[[#This Row],[MEMBRANA CIELO]]=AY$2,100%,AVANCE[[#This Row],[MEMBRANA CIELO]])</f>
        <v>0</v>
      </c>
      <c r="CN392" s="3">
        <f>+IF(AVANCE[[#This Row],[LIMPIEZA FINAL]]=AZ$2,100%,AVANCE[[#This Row],[LIMPIEZA FINAL]])</f>
        <v>0</v>
      </c>
      <c r="CO392" s="3">
        <f>+IF(AVANCE[[#This Row],[PUERTAS DORMITORIO]]=BA$2,100%,AVANCE[[#This Row],[PUERTAS DORMITORIO]])</f>
        <v>0</v>
      </c>
      <c r="CP392" s="3">
        <f>+IF(AVANCE[[#This Row],[REVESTIMIENTO INTERIOR BANO]]=BB$2,100%,AVANCE[[#This Row],[REVESTIMIENTO INTERIOR BANO]])</f>
        <v>0</v>
      </c>
      <c r="CQ392" s="3">
        <f>+IF(AVANCE[[#This Row],[MUEBLE LAVAPLATOS]]=BC$2,100%,AVANCE[[#This Row],[MUEBLE LAVAPLATOS]])</f>
        <v>0</v>
      </c>
      <c r="CR392" s="3">
        <f>+IF(AVANCE[[#This Row],[IMPERMEABILIZACION BANO - COCINA LOGIA]]=BD$2,100%,AVANCE[[#This Row],[IMPERMEABILIZACION BANO - COCINA LOGIA]])</f>
        <v>0</v>
      </c>
      <c r="CS392" s="40">
        <f ca="1">+IF(AVANCE[[#This Row],[ESTADO MODULO]]="PENDIENTE",(TODAY()-AVANCE[[#This Row],[FECHA TERMINO  PLANIFICADO]]),0)</f>
        <v>0</v>
      </c>
      <c r="CT392" s="41" t="str" cm="1">
        <f t="array" ref="CT392">_xlfn.TEXTJOIN(" | ",TRUE,IF(SUMPRODUCT((BG392:CR392&lt;1)*(PARTIDAS!$I$2:$AT$2="OBRA GRUESA"))&gt;0,"OBRA GRUESA: "&amp;_xlfn.TEXTJOIN(", ",TRUE,IF((BG392:CR392&lt;1)*(PARTIDAS!$I$2:$AT$2="OBRA GRUESA"),PARTIDAS!$I$1:$AT$1,"")),""),IF(SUMPRODUCT((BG392:CR392&lt;1)*(PARTIDAS!$I$2:$AT$2="SANITARIOS"))&gt;0,"SANITARIOS: "&amp;_xlfn.TEXTJOIN(", ",TRUE,IF((BG392:CR392&lt;1)*(PARTIDAS!$I$2:$AT$2="SANITARIOS"),PARTIDAS!$I$1:$AT$1,"")),""),IF(SUMPRODUCT((BG392:CR392&lt;1)*(PARTIDAS!$I$2:$AT$2="ELÉCTRICO"))&gt;0,"ELÉCTRICO: "&amp;_xlfn.TEXTJOIN(", ",TRUE,IF((BG392:CR392&lt;1)*(PARTIDAS!$I$2:$AT$2="ELÉCTRICO"),PARTIDAS!$I$1:$AT$1,"")),""),IF(SUMPRODUCT((BG392:CR392&lt;1)*(PARTIDAS!$I$2:$AT$2="TERMINACIONES"))&gt;0,"TERMINACIONES: "&amp;_xlfn.TEXTJOIN(", ",TRUE,IF((BG392:CR392&lt;1)*(PARTIDAS!$I$2:$AT$2="TERMINACIONES"),PARTIDAS!$I$1:$AT$1,"")),""))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2" s="43" t="str" cm="1">
        <f t="array" ref="CU392">_xlfn.TEXTJOIN(", ",TRUE,IF(SUMPRODUCT((BG392:CR392&lt;1)*(PARTIDAS!$I$2:$AT$2="OBRA GRUESA"))&gt;0,"OBRA GRUESA",""),IF(SUMPRODUCT((BG392:CR392&lt;1)*(PARTIDAS!$I$2:$AT$2="SANITARIOS"))&gt;0,"SANITARIOS",""),IF(SUMPRODUCT((BG392:CR392&lt;1)*(PARTIDAS!$I$2:$AT$2="ELÉCTRICO"))&gt;0,"ELÉCTRICO",""),IF(SUMPRODUCT((BG392:CR392&lt;1)*(PARTIDAS!$I$2:$AT$2="TERMINACIONES"))&gt;0,"TERMINACIONES",""))</f>
        <v>OBRA GRUESA, SANITARIOS, ELÉCTRICO, TERMINACIONES</v>
      </c>
      <c r="CV392" s="44" cm="1">
        <f t="array" ref="CV392">SUMPRODUCT(--(BG392:CR392&lt;1))</f>
        <v>38</v>
      </c>
    </row>
    <row r="393" spans="1:100" hidden="1" x14ac:dyDescent="0.25">
      <c r="A393" t="s">
        <v>454</v>
      </c>
      <c r="B393" t="s">
        <v>462</v>
      </c>
      <c r="C393">
        <v>2282600392</v>
      </c>
      <c r="D393" t="s">
        <v>58</v>
      </c>
      <c r="E393" s="2">
        <v>0</v>
      </c>
      <c r="F393" s="1">
        <v>46336</v>
      </c>
      <c r="G393" s="1"/>
      <c r="H393" s="1">
        <v>0</v>
      </c>
      <c r="I393" s="1">
        <v>46356</v>
      </c>
      <c r="J393">
        <v>46230</v>
      </c>
      <c r="K393" s="1"/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>
        <v>28.87</v>
      </c>
      <c r="BF393" s="3" t="str">
        <f>+IF(AVANCE[[#This Row],[% AVANCE]]=100%,"MODULO TERMINADO",IF(AVANCE[[#This Row],[FECHA INICIO REAL]]="","MODULO NO INICIADO","PENDIENTE"))</f>
        <v>MODULO NO INICIADO</v>
      </c>
      <c r="BG393" s="3">
        <f>+IF(AVANCE[[#This Row],[VENTANAS]]=8.10810810810811%,100%,AVANCE[[#This Row],[VENTANAS]])</f>
        <v>0</v>
      </c>
      <c r="BH393" s="3">
        <f>+IF(AVANCE[[#This Row],[PISO]]=N$2,100%,AVANCE[[#This Row],[PISO]])</f>
        <v>0</v>
      </c>
      <c r="BI393" s="3">
        <f>+IF(AVANCE[[#This Row],[TABIQUES]]=O$2,100%,AVANCE[[#This Row],[TABIQUES]])</f>
        <v>0</v>
      </c>
      <c r="BJ393" s="3">
        <f>+IF(AVANCE[[#This Row],[MUROS]]=P$2,100%,AVANCE[[#This Row],[MUROS]])</f>
        <v>0</v>
      </c>
      <c r="BK393" s="3">
        <f>+IF(AVANCE[[#This Row],[CIELO]]=Q$2,100%,AVANCE[[#This Row],[CIELO]])</f>
        <v>0</v>
      </c>
      <c r="BL393" s="3">
        <f>+IF(AVANCE[[#This Row],[BALCÓN]]=R$2,100%,AVANCE[[#This Row],[BALCÓN]])</f>
        <v>0</v>
      </c>
      <c r="BM393" s="3">
        <f>+IF(AVANCE[[#This Row],[RED ALCANTARILLADO]]=U$2,100%,AVANCE[[#This Row],[RED ALCANTARILLADO]])</f>
        <v>0</v>
      </c>
      <c r="BN393" s="3">
        <f>+IF(AVANCE[[#This Row],[RED DE AGUA]]=V$2,100%,AVANCE[[#This Row],[RED DE AGUA]])</f>
        <v>0</v>
      </c>
      <c r="BO393" s="3">
        <f>+IF(AVANCE[[#This Row],[VENTILACIONES]]=W$2,100%,AVANCE[[#This Row],[VENTILACIONES]])</f>
        <v>0</v>
      </c>
      <c r="BP393" s="3">
        <f>+IF(AVANCE[[#This Row],[TINA]]=X$2,100%,AVANCE[[#This Row],[TINA]])</f>
        <v>0</v>
      </c>
      <c r="BQ393" s="3">
        <f>+IF(AVANCE[[#This Row],[WC]]=Y$2,100%,AVANCE[[#This Row],[WC]])</f>
        <v>0</v>
      </c>
      <c r="BR393" s="3">
        <f>+IF(AVANCE[[#This Row],[LAVAMANOS / LAVAPLATOS / LAVADERO]]=Z$2,100%,AVANCE[[#This Row],[LAVAMANOS / LAVAPLATOS / LAVADERO]])</f>
        <v>0</v>
      </c>
      <c r="BS393" s="3">
        <f>+IF(AVANCE[[#This Row],[CANALIZACIÓN]]=AC$2,100%,AVANCE[[#This Row],[CANALIZACIÓN]])</f>
        <v>0</v>
      </c>
      <c r="BT393" s="3">
        <f>+IF(AVANCE[[#This Row],[CABLEADO]]=AD$2,100%,AVANCE[[#This Row],[CABLEADO]])</f>
        <v>0</v>
      </c>
      <c r="BU393" s="3">
        <f>+IF(AVANCE[[#This Row],[ARTEFACTOS]]=AE$2,100%,AVANCE[[#This Row],[ARTEFACTOS]])</f>
        <v>0</v>
      </c>
      <c r="BV393" s="3">
        <f>+IF(AVANCE[[#This Row],[TABLERO]]=AF$2,100%,AVANCE[[#This Row],[TABLERO]])</f>
        <v>0</v>
      </c>
      <c r="BW393" s="3">
        <f>+IF(AVANCE[[#This Row],[CAJA PAU]]=AG$2,100%,AVANCE[[#This Row],[CAJA PAU]])</f>
        <v>0</v>
      </c>
      <c r="BX393" s="3">
        <f>+IF(AVANCE[[#This Row],[INSTALACION VINILICO]]=AJ$2,100%,AVANCE[[#This Row],[INSTALACION VINILICO]])</f>
        <v>0</v>
      </c>
      <c r="BY393" s="3">
        <f>+IF(AVANCE[[#This Row],[OSB CUBIERTA]]=AK$2,100%,AVANCE[[#This Row],[OSB CUBIERTA]])</f>
        <v>0</v>
      </c>
      <c r="BZ393" s="3">
        <f>+IF(AVANCE[[#This Row],[BARANDA BALCON]]=AL$2,100%,AVANCE[[#This Row],[BARANDA BALCON]])</f>
        <v>0</v>
      </c>
      <c r="CA393" s="3">
        <f>+IF(AVANCE[[#This Row],[OSB EXTERIOR]]=AM$2,100%,AVANCE[[#This Row],[OSB EXTERIOR]])</f>
        <v>0</v>
      </c>
      <c r="CB393" s="3">
        <f>+IF(AVANCE[[#This Row],[SMART PANEL]]=AN$2,100%,AVANCE[[#This Row],[SMART PANEL]])</f>
        <v>0</v>
      </c>
      <c r="CC393" s="3">
        <f>+IF(AVANCE[[#This Row],[PINTURA EXTERIOR]]=AO$2,100%,AVANCE[[#This Row],[PINTURA EXTERIOR]])</f>
        <v>0</v>
      </c>
      <c r="CD393" s="3">
        <f>+IF(AVANCE[[#This Row],[ZOCALOS LOGIA]]=AP$2,100%,AVANCE[[#This Row],[ZOCALOS LOGIA]])</f>
        <v>0</v>
      </c>
      <c r="CE393" s="3">
        <f>+IF(AVANCE[[#This Row],[MOLDURAS]]=AQ$2,100%,AVANCE[[#This Row],[MOLDURAS]])</f>
        <v>0</v>
      </c>
      <c r="CF393" s="3">
        <f>+IF(AVANCE[[#This Row],[PILASTREO]]=AR$2,100%,AVANCE[[#This Row],[PILASTREO]])</f>
        <v>0</v>
      </c>
      <c r="CG393" s="3">
        <f>+IF(AVANCE[[#This Row],[CELOSIAS]]=AS$2,100%,AVANCE[[#This Row],[CELOSIAS]])</f>
        <v>0</v>
      </c>
      <c r="CH393" s="3">
        <f>+IF(AVANCE[[#This Row],[VENTANAS]]=AT$2,100%,AVANCE[[#This Row],[VENTANAS]])</f>
        <v>0</v>
      </c>
      <c r="CI393" s="3">
        <f>+IF(AVANCE[[#This Row],[PUERTAS ACCESO - LOGIA - BANO]]=AU$2,100%,AVANCE[[#This Row],[PUERTAS ACCESO - LOGIA - BANO]])</f>
        <v>0</v>
      </c>
      <c r="CJ393" s="3">
        <f>+IF(AVANCE[[#This Row],[CERRADURAS]]=AV$2,100%,AVANCE[[#This Row],[CERRADURAS]])</f>
        <v>0</v>
      </c>
      <c r="CK393" s="3">
        <f>+IF(AVANCE[[#This Row],[REVESTIMIENTO INTERIOR ZONA SECA]]=AW$2,100%,AVANCE[[#This Row],[REVESTIMIENTO INTERIOR ZONA SECA]])</f>
        <v>0</v>
      </c>
      <c r="CL393" s="3">
        <f>+IF(AVANCE[[#This Row],[REVESTIMIENTO INTERIOR ZONAS HUMEDAS]]=AX$2,100%,AVANCE[[#This Row],[REVESTIMIENTO INTERIOR ZONAS HUMEDAS]])</f>
        <v>0</v>
      </c>
      <c r="CM393" s="3">
        <f>+IF(AVANCE[[#This Row],[MEMBRANA CIELO]]=AY$2,100%,AVANCE[[#This Row],[MEMBRANA CIELO]])</f>
        <v>0</v>
      </c>
      <c r="CN393" s="3">
        <f>+IF(AVANCE[[#This Row],[LIMPIEZA FINAL]]=AZ$2,100%,AVANCE[[#This Row],[LIMPIEZA FINAL]])</f>
        <v>0</v>
      </c>
      <c r="CO393" s="3">
        <f>+IF(AVANCE[[#This Row],[PUERTAS DORMITORIO]]=BA$2,100%,AVANCE[[#This Row],[PUERTAS DORMITORIO]])</f>
        <v>0</v>
      </c>
      <c r="CP393" s="3">
        <f>+IF(AVANCE[[#This Row],[REVESTIMIENTO INTERIOR BANO]]=BB$2,100%,AVANCE[[#This Row],[REVESTIMIENTO INTERIOR BANO]])</f>
        <v>0</v>
      </c>
      <c r="CQ393" s="3">
        <f>+IF(AVANCE[[#This Row],[MUEBLE LAVAPLATOS]]=BC$2,100%,AVANCE[[#This Row],[MUEBLE LAVAPLATOS]])</f>
        <v>0</v>
      </c>
      <c r="CR393" s="3">
        <f>+IF(AVANCE[[#This Row],[IMPERMEABILIZACION BANO - COCINA LOGIA]]=BD$2,100%,AVANCE[[#This Row],[IMPERMEABILIZACION BANO - COCINA LOGIA]])</f>
        <v>0</v>
      </c>
      <c r="CS393" s="40">
        <f ca="1">+IF(AVANCE[[#This Row],[ESTADO MODULO]]="PENDIENTE",(TODAY()-AVANCE[[#This Row],[FECHA TERMINO  PLANIFICADO]]),0)</f>
        <v>0</v>
      </c>
      <c r="CT393" s="41" t="str" cm="1">
        <f t="array" ref="CT393">_xlfn.TEXTJOIN(" | ",TRUE,IF(SUMPRODUCT((BG393:CR393&lt;1)*(PARTIDAS!$I$2:$AT$2="OBRA GRUESA"))&gt;0,"OBRA GRUESA: "&amp;_xlfn.TEXTJOIN(", ",TRUE,IF((BG393:CR393&lt;1)*(PARTIDAS!$I$2:$AT$2="OBRA GRUESA"),PARTIDAS!$I$1:$AT$1,"")),""),IF(SUMPRODUCT((BG393:CR393&lt;1)*(PARTIDAS!$I$2:$AT$2="SANITARIOS"))&gt;0,"SANITARIOS: "&amp;_xlfn.TEXTJOIN(", ",TRUE,IF((BG393:CR393&lt;1)*(PARTIDAS!$I$2:$AT$2="SANITARIOS"),PARTIDAS!$I$1:$AT$1,"")),""),IF(SUMPRODUCT((BG393:CR393&lt;1)*(PARTIDAS!$I$2:$AT$2="ELÉCTRICO"))&gt;0,"ELÉCTRICO: "&amp;_xlfn.TEXTJOIN(", ",TRUE,IF((BG393:CR393&lt;1)*(PARTIDAS!$I$2:$AT$2="ELÉCTRICO"),PARTIDAS!$I$1:$AT$1,"")),""),IF(SUMPRODUCT((BG393:CR393&lt;1)*(PARTIDAS!$I$2:$AT$2="TERMINACIONES"))&gt;0,"TERMINACIONES: "&amp;_xlfn.TEXTJOIN(", ",TRUE,IF((BG393:CR393&lt;1)*(PARTIDAS!$I$2:$AT$2="TERMINACIONES"),PARTIDAS!$I$1:$AT$1,"")),""))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3" s="43" t="str" cm="1">
        <f t="array" ref="CU393">_xlfn.TEXTJOIN(", ",TRUE,IF(SUMPRODUCT((BG393:CR393&lt;1)*(PARTIDAS!$I$2:$AT$2="OBRA GRUESA"))&gt;0,"OBRA GRUESA",""),IF(SUMPRODUCT((BG393:CR393&lt;1)*(PARTIDAS!$I$2:$AT$2="SANITARIOS"))&gt;0,"SANITARIOS",""),IF(SUMPRODUCT((BG393:CR393&lt;1)*(PARTIDAS!$I$2:$AT$2="ELÉCTRICO"))&gt;0,"ELÉCTRICO",""),IF(SUMPRODUCT((BG393:CR393&lt;1)*(PARTIDAS!$I$2:$AT$2="TERMINACIONES"))&gt;0,"TERMINACIONES",""))</f>
        <v>OBRA GRUESA, SANITARIOS, ELÉCTRICO, TERMINACIONES</v>
      </c>
      <c r="CV393" s="44" cm="1">
        <f t="array" ref="CV393">SUMPRODUCT(--(BG393:CR393&lt;1))</f>
        <v>38</v>
      </c>
    </row>
    <row r="394" spans="1:100" hidden="1" x14ac:dyDescent="0.25">
      <c r="A394" t="s">
        <v>454</v>
      </c>
      <c r="B394" t="s">
        <v>463</v>
      </c>
      <c r="C394">
        <v>2282600393</v>
      </c>
      <c r="D394" t="s">
        <v>58</v>
      </c>
      <c r="E394" s="2">
        <v>0</v>
      </c>
      <c r="F394" s="1">
        <v>46336</v>
      </c>
      <c r="G394" s="1"/>
      <c r="H394" s="1">
        <v>0</v>
      </c>
      <c r="I394" s="1">
        <v>46356</v>
      </c>
      <c r="J394">
        <v>46230</v>
      </c>
      <c r="K394" s="1"/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>
        <v>28.87</v>
      </c>
      <c r="BF394" s="3" t="str">
        <f>+IF(AVANCE[[#This Row],[% AVANCE]]=100%,"MODULO TERMINADO",IF(AVANCE[[#This Row],[FECHA INICIO REAL]]="","MODULO NO INICIADO","PENDIENTE"))</f>
        <v>MODULO NO INICIADO</v>
      </c>
      <c r="BG394" s="3">
        <f>+IF(AVANCE[[#This Row],[VENTANAS]]=8.10810810810811%,100%,AVANCE[[#This Row],[VENTANAS]])</f>
        <v>0</v>
      </c>
      <c r="BH394" s="3">
        <f>+IF(AVANCE[[#This Row],[PISO]]=N$2,100%,AVANCE[[#This Row],[PISO]])</f>
        <v>0</v>
      </c>
      <c r="BI394" s="3">
        <f>+IF(AVANCE[[#This Row],[TABIQUES]]=O$2,100%,AVANCE[[#This Row],[TABIQUES]])</f>
        <v>0</v>
      </c>
      <c r="BJ394" s="3">
        <f>+IF(AVANCE[[#This Row],[MUROS]]=P$2,100%,AVANCE[[#This Row],[MUROS]])</f>
        <v>0</v>
      </c>
      <c r="BK394" s="3">
        <f>+IF(AVANCE[[#This Row],[CIELO]]=Q$2,100%,AVANCE[[#This Row],[CIELO]])</f>
        <v>0</v>
      </c>
      <c r="BL394" s="3">
        <f>+IF(AVANCE[[#This Row],[BALCÓN]]=R$2,100%,AVANCE[[#This Row],[BALCÓN]])</f>
        <v>0</v>
      </c>
      <c r="BM394" s="3">
        <f>+IF(AVANCE[[#This Row],[RED ALCANTARILLADO]]=U$2,100%,AVANCE[[#This Row],[RED ALCANTARILLADO]])</f>
        <v>0</v>
      </c>
      <c r="BN394" s="3">
        <f>+IF(AVANCE[[#This Row],[RED DE AGUA]]=V$2,100%,AVANCE[[#This Row],[RED DE AGUA]])</f>
        <v>0</v>
      </c>
      <c r="BO394" s="3">
        <f>+IF(AVANCE[[#This Row],[VENTILACIONES]]=W$2,100%,AVANCE[[#This Row],[VENTILACIONES]])</f>
        <v>0</v>
      </c>
      <c r="BP394" s="3">
        <f>+IF(AVANCE[[#This Row],[TINA]]=X$2,100%,AVANCE[[#This Row],[TINA]])</f>
        <v>0</v>
      </c>
      <c r="BQ394" s="3">
        <f>+IF(AVANCE[[#This Row],[WC]]=Y$2,100%,AVANCE[[#This Row],[WC]])</f>
        <v>0</v>
      </c>
      <c r="BR394" s="3">
        <f>+IF(AVANCE[[#This Row],[LAVAMANOS / LAVAPLATOS / LAVADERO]]=Z$2,100%,AVANCE[[#This Row],[LAVAMANOS / LAVAPLATOS / LAVADERO]])</f>
        <v>0</v>
      </c>
      <c r="BS394" s="3">
        <f>+IF(AVANCE[[#This Row],[CANALIZACIÓN]]=AC$2,100%,AVANCE[[#This Row],[CANALIZACIÓN]])</f>
        <v>0</v>
      </c>
      <c r="BT394" s="3">
        <f>+IF(AVANCE[[#This Row],[CABLEADO]]=AD$2,100%,AVANCE[[#This Row],[CABLEADO]])</f>
        <v>0</v>
      </c>
      <c r="BU394" s="3">
        <f>+IF(AVANCE[[#This Row],[ARTEFACTOS]]=AE$2,100%,AVANCE[[#This Row],[ARTEFACTOS]])</f>
        <v>0</v>
      </c>
      <c r="BV394" s="3">
        <f>+IF(AVANCE[[#This Row],[TABLERO]]=AF$2,100%,AVANCE[[#This Row],[TABLERO]])</f>
        <v>0</v>
      </c>
      <c r="BW394" s="3">
        <f>+IF(AVANCE[[#This Row],[CAJA PAU]]=AG$2,100%,AVANCE[[#This Row],[CAJA PAU]])</f>
        <v>0</v>
      </c>
      <c r="BX394" s="3">
        <f>+IF(AVANCE[[#This Row],[INSTALACION VINILICO]]=AJ$2,100%,AVANCE[[#This Row],[INSTALACION VINILICO]])</f>
        <v>0</v>
      </c>
      <c r="BY394" s="3">
        <f>+IF(AVANCE[[#This Row],[OSB CUBIERTA]]=AK$2,100%,AVANCE[[#This Row],[OSB CUBIERTA]])</f>
        <v>0</v>
      </c>
      <c r="BZ394" s="3">
        <f>+IF(AVANCE[[#This Row],[BARANDA BALCON]]=AL$2,100%,AVANCE[[#This Row],[BARANDA BALCON]])</f>
        <v>0</v>
      </c>
      <c r="CA394" s="3">
        <f>+IF(AVANCE[[#This Row],[OSB EXTERIOR]]=AM$2,100%,AVANCE[[#This Row],[OSB EXTERIOR]])</f>
        <v>0</v>
      </c>
      <c r="CB394" s="3">
        <f>+IF(AVANCE[[#This Row],[SMART PANEL]]=AN$2,100%,AVANCE[[#This Row],[SMART PANEL]])</f>
        <v>0</v>
      </c>
      <c r="CC394" s="3">
        <f>+IF(AVANCE[[#This Row],[PINTURA EXTERIOR]]=AO$2,100%,AVANCE[[#This Row],[PINTURA EXTERIOR]])</f>
        <v>0</v>
      </c>
      <c r="CD394" s="3">
        <f>+IF(AVANCE[[#This Row],[ZOCALOS LOGIA]]=AP$2,100%,AVANCE[[#This Row],[ZOCALOS LOGIA]])</f>
        <v>0</v>
      </c>
      <c r="CE394" s="3">
        <f>+IF(AVANCE[[#This Row],[MOLDURAS]]=AQ$2,100%,AVANCE[[#This Row],[MOLDURAS]])</f>
        <v>0</v>
      </c>
      <c r="CF394" s="3">
        <f>+IF(AVANCE[[#This Row],[PILASTREO]]=AR$2,100%,AVANCE[[#This Row],[PILASTREO]])</f>
        <v>0</v>
      </c>
      <c r="CG394" s="3">
        <f>+IF(AVANCE[[#This Row],[CELOSIAS]]=AS$2,100%,AVANCE[[#This Row],[CELOSIAS]])</f>
        <v>0</v>
      </c>
      <c r="CH394" s="3">
        <f>+IF(AVANCE[[#This Row],[VENTANAS]]=AT$2,100%,AVANCE[[#This Row],[VENTANAS]])</f>
        <v>0</v>
      </c>
      <c r="CI394" s="3">
        <f>+IF(AVANCE[[#This Row],[PUERTAS ACCESO - LOGIA - BANO]]=AU$2,100%,AVANCE[[#This Row],[PUERTAS ACCESO - LOGIA - BANO]])</f>
        <v>0</v>
      </c>
      <c r="CJ394" s="3">
        <f>+IF(AVANCE[[#This Row],[CERRADURAS]]=AV$2,100%,AVANCE[[#This Row],[CERRADURAS]])</f>
        <v>0</v>
      </c>
      <c r="CK394" s="3">
        <f>+IF(AVANCE[[#This Row],[REVESTIMIENTO INTERIOR ZONA SECA]]=AW$2,100%,AVANCE[[#This Row],[REVESTIMIENTO INTERIOR ZONA SECA]])</f>
        <v>0</v>
      </c>
      <c r="CL394" s="3">
        <f>+IF(AVANCE[[#This Row],[REVESTIMIENTO INTERIOR ZONAS HUMEDAS]]=AX$2,100%,AVANCE[[#This Row],[REVESTIMIENTO INTERIOR ZONAS HUMEDAS]])</f>
        <v>0</v>
      </c>
      <c r="CM394" s="3">
        <f>+IF(AVANCE[[#This Row],[MEMBRANA CIELO]]=AY$2,100%,AVANCE[[#This Row],[MEMBRANA CIELO]])</f>
        <v>0</v>
      </c>
      <c r="CN394" s="3">
        <f>+IF(AVANCE[[#This Row],[LIMPIEZA FINAL]]=AZ$2,100%,AVANCE[[#This Row],[LIMPIEZA FINAL]])</f>
        <v>0</v>
      </c>
      <c r="CO394" s="3">
        <f>+IF(AVANCE[[#This Row],[PUERTAS DORMITORIO]]=BA$2,100%,AVANCE[[#This Row],[PUERTAS DORMITORIO]])</f>
        <v>0</v>
      </c>
      <c r="CP394" s="3">
        <f>+IF(AVANCE[[#This Row],[REVESTIMIENTO INTERIOR BANO]]=BB$2,100%,AVANCE[[#This Row],[REVESTIMIENTO INTERIOR BANO]])</f>
        <v>0</v>
      </c>
      <c r="CQ394" s="3">
        <f>+IF(AVANCE[[#This Row],[MUEBLE LAVAPLATOS]]=BC$2,100%,AVANCE[[#This Row],[MUEBLE LAVAPLATOS]])</f>
        <v>0</v>
      </c>
      <c r="CR394" s="3">
        <f>+IF(AVANCE[[#This Row],[IMPERMEABILIZACION BANO - COCINA LOGIA]]=BD$2,100%,AVANCE[[#This Row],[IMPERMEABILIZACION BANO - COCINA LOGIA]])</f>
        <v>0</v>
      </c>
      <c r="CS394" s="40">
        <f ca="1">+IF(AVANCE[[#This Row],[ESTADO MODULO]]="PENDIENTE",(TODAY()-AVANCE[[#This Row],[FECHA TERMINO  PLANIFICADO]]),0)</f>
        <v>0</v>
      </c>
      <c r="CT394" s="41" t="str" cm="1">
        <f t="array" ref="CT394">_xlfn.TEXTJOIN(" | ",TRUE,IF(SUMPRODUCT((BG394:CR394&lt;1)*(PARTIDAS!$I$2:$AT$2="OBRA GRUESA"))&gt;0,"OBRA GRUESA: "&amp;_xlfn.TEXTJOIN(", ",TRUE,IF((BG394:CR394&lt;1)*(PARTIDAS!$I$2:$AT$2="OBRA GRUESA"),PARTIDAS!$I$1:$AT$1,"")),""),IF(SUMPRODUCT((BG394:CR394&lt;1)*(PARTIDAS!$I$2:$AT$2="SANITARIOS"))&gt;0,"SANITARIOS: "&amp;_xlfn.TEXTJOIN(", ",TRUE,IF((BG394:CR394&lt;1)*(PARTIDAS!$I$2:$AT$2="SANITARIOS"),PARTIDAS!$I$1:$AT$1,"")),""),IF(SUMPRODUCT((BG394:CR394&lt;1)*(PARTIDAS!$I$2:$AT$2="ELÉCTRICO"))&gt;0,"ELÉCTRICO: "&amp;_xlfn.TEXTJOIN(", ",TRUE,IF((BG394:CR394&lt;1)*(PARTIDAS!$I$2:$AT$2="ELÉCTRICO"),PARTIDAS!$I$1:$AT$1,"")),""),IF(SUMPRODUCT((BG394:CR394&lt;1)*(PARTIDAS!$I$2:$AT$2="TERMINACIONES"))&gt;0,"TERMINACIONES: "&amp;_xlfn.TEXTJOIN(", ",TRUE,IF((BG394:CR394&lt;1)*(PARTIDAS!$I$2:$AT$2="TERMINACIONES"),PARTIDAS!$I$1:$AT$1,"")),""))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4" s="43" t="str" cm="1">
        <f t="array" ref="CU394">_xlfn.TEXTJOIN(", ",TRUE,IF(SUMPRODUCT((BG394:CR394&lt;1)*(PARTIDAS!$I$2:$AT$2="OBRA GRUESA"))&gt;0,"OBRA GRUESA",""),IF(SUMPRODUCT((BG394:CR394&lt;1)*(PARTIDAS!$I$2:$AT$2="SANITARIOS"))&gt;0,"SANITARIOS",""),IF(SUMPRODUCT((BG394:CR394&lt;1)*(PARTIDAS!$I$2:$AT$2="ELÉCTRICO"))&gt;0,"ELÉCTRICO",""),IF(SUMPRODUCT((BG394:CR394&lt;1)*(PARTIDAS!$I$2:$AT$2="TERMINACIONES"))&gt;0,"TERMINACIONES",""))</f>
        <v>OBRA GRUESA, SANITARIOS, ELÉCTRICO, TERMINACIONES</v>
      </c>
      <c r="CV394" s="44" cm="1">
        <f t="array" ref="CV394">SUMPRODUCT(--(BG394:CR394&lt;1))</f>
        <v>38</v>
      </c>
    </row>
    <row r="395" spans="1:100" hidden="1" x14ac:dyDescent="0.25">
      <c r="A395" t="s">
        <v>454</v>
      </c>
      <c r="B395" t="s">
        <v>464</v>
      </c>
      <c r="C395">
        <v>2302600394</v>
      </c>
      <c r="D395" t="s">
        <v>60</v>
      </c>
      <c r="E395" s="2">
        <v>0</v>
      </c>
      <c r="F395" s="1">
        <v>46336</v>
      </c>
      <c r="G395" s="1"/>
      <c r="H395" s="1">
        <v>0</v>
      </c>
      <c r="I395" s="1">
        <v>46366</v>
      </c>
      <c r="J395">
        <v>46230</v>
      </c>
      <c r="K395" s="1"/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>
        <v>31.32</v>
      </c>
      <c r="BF395" s="3" t="str">
        <f>+IF(AVANCE[[#This Row],[% AVANCE]]=100%,"MODULO TERMINADO",IF(AVANCE[[#This Row],[FECHA INICIO REAL]]="","MODULO NO INICIADO","PENDIENTE"))</f>
        <v>MODULO NO INICIADO</v>
      </c>
      <c r="BG395" s="3">
        <f>+IF(AVANCE[[#This Row],[VENTANAS]]=8.10810810810811%,100%,AVANCE[[#This Row],[VENTANAS]])</f>
        <v>0</v>
      </c>
      <c r="BH395" s="3">
        <f>+IF(AVANCE[[#This Row],[PISO]]=N$2,100%,AVANCE[[#This Row],[PISO]])</f>
        <v>0</v>
      </c>
      <c r="BI395" s="3">
        <f>+IF(AVANCE[[#This Row],[TABIQUES]]=O$2,100%,AVANCE[[#This Row],[TABIQUES]])</f>
        <v>0</v>
      </c>
      <c r="BJ395" s="3">
        <f>+IF(AVANCE[[#This Row],[MUROS]]=P$2,100%,AVANCE[[#This Row],[MUROS]])</f>
        <v>0</v>
      </c>
      <c r="BK395" s="3">
        <f>+IF(AVANCE[[#This Row],[CIELO]]=Q$2,100%,AVANCE[[#This Row],[CIELO]])</f>
        <v>0</v>
      </c>
      <c r="BL395" s="3">
        <f>+IF(AVANCE[[#This Row],[BALCÓN]]=R$2,100%,AVANCE[[#This Row],[BALCÓN]])</f>
        <v>0</v>
      </c>
      <c r="BM395" s="3">
        <f>+IF(AVANCE[[#This Row],[RED ALCANTARILLADO]]=U$2,100%,AVANCE[[#This Row],[RED ALCANTARILLADO]])</f>
        <v>0</v>
      </c>
      <c r="BN395" s="3">
        <f>+IF(AVANCE[[#This Row],[RED DE AGUA]]=V$2,100%,AVANCE[[#This Row],[RED DE AGUA]])</f>
        <v>0</v>
      </c>
      <c r="BO395" s="3">
        <f>+IF(AVANCE[[#This Row],[VENTILACIONES]]=W$2,100%,AVANCE[[#This Row],[VENTILACIONES]])</f>
        <v>0</v>
      </c>
      <c r="BP395" s="3">
        <f>+IF(AVANCE[[#This Row],[TINA]]=X$2,100%,AVANCE[[#This Row],[TINA]])</f>
        <v>0</v>
      </c>
      <c r="BQ395" s="3">
        <f>+IF(AVANCE[[#This Row],[WC]]=Y$2,100%,AVANCE[[#This Row],[WC]])</f>
        <v>0</v>
      </c>
      <c r="BR395" s="3">
        <f>+IF(AVANCE[[#This Row],[LAVAMANOS / LAVAPLATOS / LAVADERO]]=Z$2,100%,AVANCE[[#This Row],[LAVAMANOS / LAVAPLATOS / LAVADERO]])</f>
        <v>0</v>
      </c>
      <c r="BS395" s="3">
        <f>+IF(AVANCE[[#This Row],[CANALIZACIÓN]]=AC$2,100%,AVANCE[[#This Row],[CANALIZACIÓN]])</f>
        <v>0</v>
      </c>
      <c r="BT395" s="3">
        <f>+IF(AVANCE[[#This Row],[CABLEADO]]=AD$2,100%,AVANCE[[#This Row],[CABLEADO]])</f>
        <v>0</v>
      </c>
      <c r="BU395" s="3">
        <f>+IF(AVANCE[[#This Row],[ARTEFACTOS]]=AE$2,100%,AVANCE[[#This Row],[ARTEFACTOS]])</f>
        <v>0</v>
      </c>
      <c r="BV395" s="3">
        <f>+IF(AVANCE[[#This Row],[TABLERO]]=AF$2,100%,AVANCE[[#This Row],[TABLERO]])</f>
        <v>0</v>
      </c>
      <c r="BW395" s="3">
        <f>+IF(AVANCE[[#This Row],[CAJA PAU]]=AG$2,100%,AVANCE[[#This Row],[CAJA PAU]])</f>
        <v>0</v>
      </c>
      <c r="BX395" s="3">
        <f>+IF(AVANCE[[#This Row],[INSTALACION VINILICO]]=AJ$2,100%,AVANCE[[#This Row],[INSTALACION VINILICO]])</f>
        <v>0</v>
      </c>
      <c r="BY395" s="3">
        <f>+IF(AVANCE[[#This Row],[OSB CUBIERTA]]=AK$2,100%,AVANCE[[#This Row],[OSB CUBIERTA]])</f>
        <v>0</v>
      </c>
      <c r="BZ395" s="3">
        <f>+IF(AVANCE[[#This Row],[BARANDA BALCON]]=AL$2,100%,AVANCE[[#This Row],[BARANDA BALCON]])</f>
        <v>0</v>
      </c>
      <c r="CA395" s="3">
        <f>+IF(AVANCE[[#This Row],[OSB EXTERIOR]]=AM$2,100%,AVANCE[[#This Row],[OSB EXTERIOR]])</f>
        <v>0</v>
      </c>
      <c r="CB395" s="3">
        <f>+IF(AVANCE[[#This Row],[SMART PANEL]]=AN$2,100%,AVANCE[[#This Row],[SMART PANEL]])</f>
        <v>0</v>
      </c>
      <c r="CC395" s="3">
        <f>+IF(AVANCE[[#This Row],[PINTURA EXTERIOR]]=AO$2,100%,AVANCE[[#This Row],[PINTURA EXTERIOR]])</f>
        <v>0</v>
      </c>
      <c r="CD395" s="3">
        <f>+IF(AVANCE[[#This Row],[ZOCALOS LOGIA]]=AP$2,100%,AVANCE[[#This Row],[ZOCALOS LOGIA]])</f>
        <v>0</v>
      </c>
      <c r="CE395" s="3">
        <f>+IF(AVANCE[[#This Row],[MOLDURAS]]=AQ$2,100%,AVANCE[[#This Row],[MOLDURAS]])</f>
        <v>0</v>
      </c>
      <c r="CF395" s="3">
        <f>+IF(AVANCE[[#This Row],[PILASTREO]]=AR$2,100%,AVANCE[[#This Row],[PILASTREO]])</f>
        <v>0</v>
      </c>
      <c r="CG395" s="3">
        <f>+IF(AVANCE[[#This Row],[CELOSIAS]]=AS$2,100%,AVANCE[[#This Row],[CELOSIAS]])</f>
        <v>0</v>
      </c>
      <c r="CH395" s="3">
        <f>+IF(AVANCE[[#This Row],[VENTANAS]]=AT$2,100%,AVANCE[[#This Row],[VENTANAS]])</f>
        <v>0</v>
      </c>
      <c r="CI395" s="3">
        <f>+IF(AVANCE[[#This Row],[PUERTAS ACCESO - LOGIA - BANO]]=AU$2,100%,AVANCE[[#This Row],[PUERTAS ACCESO - LOGIA - BANO]])</f>
        <v>0</v>
      </c>
      <c r="CJ395" s="3">
        <f>+IF(AVANCE[[#This Row],[CERRADURAS]]=AV$2,100%,AVANCE[[#This Row],[CERRADURAS]])</f>
        <v>0</v>
      </c>
      <c r="CK395" s="3">
        <f>+IF(AVANCE[[#This Row],[REVESTIMIENTO INTERIOR ZONA SECA]]=AW$2,100%,AVANCE[[#This Row],[REVESTIMIENTO INTERIOR ZONA SECA]])</f>
        <v>0</v>
      </c>
      <c r="CL395" s="3">
        <f>+IF(AVANCE[[#This Row],[REVESTIMIENTO INTERIOR ZONAS HUMEDAS]]=AX$2,100%,AVANCE[[#This Row],[REVESTIMIENTO INTERIOR ZONAS HUMEDAS]])</f>
        <v>0</v>
      </c>
      <c r="CM395" s="3">
        <f>+IF(AVANCE[[#This Row],[MEMBRANA CIELO]]=AY$2,100%,AVANCE[[#This Row],[MEMBRANA CIELO]])</f>
        <v>0</v>
      </c>
      <c r="CN395" s="3">
        <f>+IF(AVANCE[[#This Row],[LIMPIEZA FINAL]]=AZ$2,100%,AVANCE[[#This Row],[LIMPIEZA FINAL]])</f>
        <v>0</v>
      </c>
      <c r="CO395" s="3">
        <f>+IF(AVANCE[[#This Row],[PUERTAS DORMITORIO]]=BA$2,100%,AVANCE[[#This Row],[PUERTAS DORMITORIO]])</f>
        <v>0</v>
      </c>
      <c r="CP395" s="3">
        <f>+IF(AVANCE[[#This Row],[REVESTIMIENTO INTERIOR BANO]]=BB$2,100%,AVANCE[[#This Row],[REVESTIMIENTO INTERIOR BANO]])</f>
        <v>0</v>
      </c>
      <c r="CQ395" s="3">
        <f>+IF(AVANCE[[#This Row],[MUEBLE LAVAPLATOS]]=BC$2,100%,AVANCE[[#This Row],[MUEBLE LAVAPLATOS]])</f>
        <v>0</v>
      </c>
      <c r="CR395" s="3">
        <f>+IF(AVANCE[[#This Row],[IMPERMEABILIZACION BANO - COCINA LOGIA]]=BD$2,100%,AVANCE[[#This Row],[IMPERMEABILIZACION BANO - COCINA LOGIA]])</f>
        <v>0</v>
      </c>
      <c r="CS395" s="40">
        <f ca="1">+IF(AVANCE[[#This Row],[ESTADO MODULO]]="PENDIENTE",(TODAY()-AVANCE[[#This Row],[FECHA TERMINO  PLANIFICADO]]),0)</f>
        <v>0</v>
      </c>
      <c r="CT395" s="41" t="str" cm="1">
        <f t="array" ref="CT395">_xlfn.TEXTJOIN(" | ",TRUE,IF(SUMPRODUCT((BG395:CR395&lt;1)*(PARTIDAS!$I$2:$AT$2="OBRA GRUESA"))&gt;0,"OBRA GRUESA: "&amp;_xlfn.TEXTJOIN(", ",TRUE,IF((BG395:CR395&lt;1)*(PARTIDAS!$I$2:$AT$2="OBRA GRUESA"),PARTIDAS!$I$1:$AT$1,"")),""),IF(SUMPRODUCT((BG395:CR395&lt;1)*(PARTIDAS!$I$2:$AT$2="SANITARIOS"))&gt;0,"SANITARIOS: "&amp;_xlfn.TEXTJOIN(", ",TRUE,IF((BG395:CR395&lt;1)*(PARTIDAS!$I$2:$AT$2="SANITARIOS"),PARTIDAS!$I$1:$AT$1,"")),""),IF(SUMPRODUCT((BG395:CR395&lt;1)*(PARTIDAS!$I$2:$AT$2="ELÉCTRICO"))&gt;0,"ELÉCTRICO: "&amp;_xlfn.TEXTJOIN(", ",TRUE,IF((BG395:CR395&lt;1)*(PARTIDAS!$I$2:$AT$2="ELÉCTRICO"),PARTIDAS!$I$1:$AT$1,"")),""),IF(SUMPRODUCT((BG395:CR395&lt;1)*(PARTIDAS!$I$2:$AT$2="TERMINACIONES"))&gt;0,"TERMINACIONES: "&amp;_xlfn.TEXTJOIN(", ",TRUE,IF((BG395:CR395&lt;1)*(PARTIDAS!$I$2:$AT$2="TERMINACIONES"),PARTIDAS!$I$1:$AT$1,"")),""))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5" s="43" t="str" cm="1">
        <f t="array" ref="CU395">_xlfn.TEXTJOIN(", ",TRUE,IF(SUMPRODUCT((BG395:CR395&lt;1)*(PARTIDAS!$I$2:$AT$2="OBRA GRUESA"))&gt;0,"OBRA GRUESA",""),IF(SUMPRODUCT((BG395:CR395&lt;1)*(PARTIDAS!$I$2:$AT$2="SANITARIOS"))&gt;0,"SANITARIOS",""),IF(SUMPRODUCT((BG395:CR395&lt;1)*(PARTIDAS!$I$2:$AT$2="ELÉCTRICO"))&gt;0,"ELÉCTRICO",""),IF(SUMPRODUCT((BG395:CR395&lt;1)*(PARTIDAS!$I$2:$AT$2="TERMINACIONES"))&gt;0,"TERMINACIONES",""))</f>
        <v>OBRA GRUESA, SANITARIOS, ELÉCTRICO, TERMINACIONES</v>
      </c>
      <c r="CV395" s="44" cm="1">
        <f t="array" ref="CV395">SUMPRODUCT(--(BG395:CR395&lt;1))</f>
        <v>38</v>
      </c>
    </row>
    <row r="396" spans="1:100" hidden="1" x14ac:dyDescent="0.25">
      <c r="A396" t="s">
        <v>454</v>
      </c>
      <c r="B396" t="s">
        <v>465</v>
      </c>
      <c r="C396">
        <v>2302600395</v>
      </c>
      <c r="D396" t="s">
        <v>60</v>
      </c>
      <c r="E396" s="2">
        <v>0</v>
      </c>
      <c r="F396" s="1">
        <v>46337</v>
      </c>
      <c r="G396" s="1"/>
      <c r="H396" s="1">
        <v>0</v>
      </c>
      <c r="I396" s="1">
        <v>46367</v>
      </c>
      <c r="J396">
        <v>46230</v>
      </c>
      <c r="K396" s="1"/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>
        <v>31.32</v>
      </c>
      <c r="BF396" s="3" t="str">
        <f>+IF(AVANCE[[#This Row],[% AVANCE]]=100%,"MODULO TERMINADO",IF(AVANCE[[#This Row],[FECHA INICIO REAL]]="","MODULO NO INICIADO","PENDIENTE"))</f>
        <v>MODULO NO INICIADO</v>
      </c>
      <c r="BG396" s="3">
        <f>+IF(AVANCE[[#This Row],[VENTANAS]]=8.10810810810811%,100%,AVANCE[[#This Row],[VENTANAS]])</f>
        <v>0</v>
      </c>
      <c r="BH396" s="3">
        <f>+IF(AVANCE[[#This Row],[PISO]]=N$2,100%,AVANCE[[#This Row],[PISO]])</f>
        <v>0</v>
      </c>
      <c r="BI396" s="3">
        <f>+IF(AVANCE[[#This Row],[TABIQUES]]=O$2,100%,AVANCE[[#This Row],[TABIQUES]])</f>
        <v>0</v>
      </c>
      <c r="BJ396" s="3">
        <f>+IF(AVANCE[[#This Row],[MUROS]]=P$2,100%,AVANCE[[#This Row],[MUROS]])</f>
        <v>0</v>
      </c>
      <c r="BK396" s="3">
        <f>+IF(AVANCE[[#This Row],[CIELO]]=Q$2,100%,AVANCE[[#This Row],[CIELO]])</f>
        <v>0</v>
      </c>
      <c r="BL396" s="3">
        <f>+IF(AVANCE[[#This Row],[BALCÓN]]=R$2,100%,AVANCE[[#This Row],[BALCÓN]])</f>
        <v>0</v>
      </c>
      <c r="BM396" s="3">
        <f>+IF(AVANCE[[#This Row],[RED ALCANTARILLADO]]=U$2,100%,AVANCE[[#This Row],[RED ALCANTARILLADO]])</f>
        <v>0</v>
      </c>
      <c r="BN396" s="3">
        <f>+IF(AVANCE[[#This Row],[RED DE AGUA]]=V$2,100%,AVANCE[[#This Row],[RED DE AGUA]])</f>
        <v>0</v>
      </c>
      <c r="BO396" s="3">
        <f>+IF(AVANCE[[#This Row],[VENTILACIONES]]=W$2,100%,AVANCE[[#This Row],[VENTILACIONES]])</f>
        <v>0</v>
      </c>
      <c r="BP396" s="3">
        <f>+IF(AVANCE[[#This Row],[TINA]]=X$2,100%,AVANCE[[#This Row],[TINA]])</f>
        <v>0</v>
      </c>
      <c r="BQ396" s="3">
        <f>+IF(AVANCE[[#This Row],[WC]]=Y$2,100%,AVANCE[[#This Row],[WC]])</f>
        <v>0</v>
      </c>
      <c r="BR396" s="3">
        <f>+IF(AVANCE[[#This Row],[LAVAMANOS / LAVAPLATOS / LAVADERO]]=Z$2,100%,AVANCE[[#This Row],[LAVAMANOS / LAVAPLATOS / LAVADERO]])</f>
        <v>0</v>
      </c>
      <c r="BS396" s="3">
        <f>+IF(AVANCE[[#This Row],[CANALIZACIÓN]]=AC$2,100%,AVANCE[[#This Row],[CANALIZACIÓN]])</f>
        <v>0</v>
      </c>
      <c r="BT396" s="3">
        <f>+IF(AVANCE[[#This Row],[CABLEADO]]=AD$2,100%,AVANCE[[#This Row],[CABLEADO]])</f>
        <v>0</v>
      </c>
      <c r="BU396" s="3">
        <f>+IF(AVANCE[[#This Row],[ARTEFACTOS]]=AE$2,100%,AVANCE[[#This Row],[ARTEFACTOS]])</f>
        <v>0</v>
      </c>
      <c r="BV396" s="3">
        <f>+IF(AVANCE[[#This Row],[TABLERO]]=AF$2,100%,AVANCE[[#This Row],[TABLERO]])</f>
        <v>0</v>
      </c>
      <c r="BW396" s="3">
        <f>+IF(AVANCE[[#This Row],[CAJA PAU]]=AG$2,100%,AVANCE[[#This Row],[CAJA PAU]])</f>
        <v>0</v>
      </c>
      <c r="BX396" s="3">
        <f>+IF(AVANCE[[#This Row],[INSTALACION VINILICO]]=AJ$2,100%,AVANCE[[#This Row],[INSTALACION VINILICO]])</f>
        <v>0</v>
      </c>
      <c r="BY396" s="3">
        <f>+IF(AVANCE[[#This Row],[OSB CUBIERTA]]=AK$2,100%,AVANCE[[#This Row],[OSB CUBIERTA]])</f>
        <v>0</v>
      </c>
      <c r="BZ396" s="3">
        <f>+IF(AVANCE[[#This Row],[BARANDA BALCON]]=AL$2,100%,AVANCE[[#This Row],[BARANDA BALCON]])</f>
        <v>0</v>
      </c>
      <c r="CA396" s="3">
        <f>+IF(AVANCE[[#This Row],[OSB EXTERIOR]]=AM$2,100%,AVANCE[[#This Row],[OSB EXTERIOR]])</f>
        <v>0</v>
      </c>
      <c r="CB396" s="3">
        <f>+IF(AVANCE[[#This Row],[SMART PANEL]]=AN$2,100%,AVANCE[[#This Row],[SMART PANEL]])</f>
        <v>0</v>
      </c>
      <c r="CC396" s="3">
        <f>+IF(AVANCE[[#This Row],[PINTURA EXTERIOR]]=AO$2,100%,AVANCE[[#This Row],[PINTURA EXTERIOR]])</f>
        <v>0</v>
      </c>
      <c r="CD396" s="3">
        <f>+IF(AVANCE[[#This Row],[ZOCALOS LOGIA]]=AP$2,100%,AVANCE[[#This Row],[ZOCALOS LOGIA]])</f>
        <v>0</v>
      </c>
      <c r="CE396" s="3">
        <f>+IF(AVANCE[[#This Row],[MOLDURAS]]=AQ$2,100%,AVANCE[[#This Row],[MOLDURAS]])</f>
        <v>0</v>
      </c>
      <c r="CF396" s="3">
        <f>+IF(AVANCE[[#This Row],[PILASTREO]]=AR$2,100%,AVANCE[[#This Row],[PILASTREO]])</f>
        <v>0</v>
      </c>
      <c r="CG396" s="3">
        <f>+IF(AVANCE[[#This Row],[CELOSIAS]]=AS$2,100%,AVANCE[[#This Row],[CELOSIAS]])</f>
        <v>0</v>
      </c>
      <c r="CH396" s="3">
        <f>+IF(AVANCE[[#This Row],[VENTANAS]]=AT$2,100%,AVANCE[[#This Row],[VENTANAS]])</f>
        <v>0</v>
      </c>
      <c r="CI396" s="3">
        <f>+IF(AVANCE[[#This Row],[PUERTAS ACCESO - LOGIA - BANO]]=AU$2,100%,AVANCE[[#This Row],[PUERTAS ACCESO - LOGIA - BANO]])</f>
        <v>0</v>
      </c>
      <c r="CJ396" s="3">
        <f>+IF(AVANCE[[#This Row],[CERRADURAS]]=AV$2,100%,AVANCE[[#This Row],[CERRADURAS]])</f>
        <v>0</v>
      </c>
      <c r="CK396" s="3">
        <f>+IF(AVANCE[[#This Row],[REVESTIMIENTO INTERIOR ZONA SECA]]=AW$2,100%,AVANCE[[#This Row],[REVESTIMIENTO INTERIOR ZONA SECA]])</f>
        <v>0</v>
      </c>
      <c r="CL396" s="3">
        <f>+IF(AVANCE[[#This Row],[REVESTIMIENTO INTERIOR ZONAS HUMEDAS]]=AX$2,100%,AVANCE[[#This Row],[REVESTIMIENTO INTERIOR ZONAS HUMEDAS]])</f>
        <v>0</v>
      </c>
      <c r="CM396" s="3">
        <f>+IF(AVANCE[[#This Row],[MEMBRANA CIELO]]=AY$2,100%,AVANCE[[#This Row],[MEMBRANA CIELO]])</f>
        <v>0</v>
      </c>
      <c r="CN396" s="3">
        <f>+IF(AVANCE[[#This Row],[LIMPIEZA FINAL]]=AZ$2,100%,AVANCE[[#This Row],[LIMPIEZA FINAL]])</f>
        <v>0</v>
      </c>
      <c r="CO396" s="3">
        <f>+IF(AVANCE[[#This Row],[PUERTAS DORMITORIO]]=BA$2,100%,AVANCE[[#This Row],[PUERTAS DORMITORIO]])</f>
        <v>0</v>
      </c>
      <c r="CP396" s="3">
        <f>+IF(AVANCE[[#This Row],[REVESTIMIENTO INTERIOR BANO]]=BB$2,100%,AVANCE[[#This Row],[REVESTIMIENTO INTERIOR BANO]])</f>
        <v>0</v>
      </c>
      <c r="CQ396" s="3">
        <f>+IF(AVANCE[[#This Row],[MUEBLE LAVAPLATOS]]=BC$2,100%,AVANCE[[#This Row],[MUEBLE LAVAPLATOS]])</f>
        <v>0</v>
      </c>
      <c r="CR396" s="3">
        <f>+IF(AVANCE[[#This Row],[IMPERMEABILIZACION BANO - COCINA LOGIA]]=BD$2,100%,AVANCE[[#This Row],[IMPERMEABILIZACION BANO - COCINA LOGIA]])</f>
        <v>0</v>
      </c>
      <c r="CS396" s="40">
        <f ca="1">+IF(AVANCE[[#This Row],[ESTADO MODULO]]="PENDIENTE",(TODAY()-AVANCE[[#This Row],[FECHA TERMINO  PLANIFICADO]]),0)</f>
        <v>0</v>
      </c>
      <c r="CT396" s="41" t="str" cm="1">
        <f t="array" ref="CT396">_xlfn.TEXTJOIN(" | ",TRUE,IF(SUMPRODUCT((BG396:CR396&lt;1)*(PARTIDAS!$I$2:$AT$2="OBRA GRUESA"))&gt;0,"OBRA GRUESA: "&amp;_xlfn.TEXTJOIN(", ",TRUE,IF((BG396:CR396&lt;1)*(PARTIDAS!$I$2:$AT$2="OBRA GRUESA"),PARTIDAS!$I$1:$AT$1,"")),""),IF(SUMPRODUCT((BG396:CR396&lt;1)*(PARTIDAS!$I$2:$AT$2="SANITARIOS"))&gt;0,"SANITARIOS: "&amp;_xlfn.TEXTJOIN(", ",TRUE,IF((BG396:CR396&lt;1)*(PARTIDAS!$I$2:$AT$2="SANITARIOS"),PARTIDAS!$I$1:$AT$1,"")),""),IF(SUMPRODUCT((BG396:CR396&lt;1)*(PARTIDAS!$I$2:$AT$2="ELÉCTRICO"))&gt;0,"ELÉCTRICO: "&amp;_xlfn.TEXTJOIN(", ",TRUE,IF((BG396:CR396&lt;1)*(PARTIDAS!$I$2:$AT$2="ELÉCTRICO"),PARTIDAS!$I$1:$AT$1,"")),""),IF(SUMPRODUCT((BG396:CR396&lt;1)*(PARTIDAS!$I$2:$AT$2="TERMINACIONES"))&gt;0,"TERMINACIONES: "&amp;_xlfn.TEXTJOIN(", ",TRUE,IF((BG396:CR396&lt;1)*(PARTIDAS!$I$2:$AT$2="TERMINACIONES"),PARTIDAS!$I$1:$AT$1,"")),""))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6" s="43" t="str" cm="1">
        <f t="array" ref="CU396">_xlfn.TEXTJOIN(", ",TRUE,IF(SUMPRODUCT((BG396:CR396&lt;1)*(PARTIDAS!$I$2:$AT$2="OBRA GRUESA"))&gt;0,"OBRA GRUESA",""),IF(SUMPRODUCT((BG396:CR396&lt;1)*(PARTIDAS!$I$2:$AT$2="SANITARIOS"))&gt;0,"SANITARIOS",""),IF(SUMPRODUCT((BG396:CR396&lt;1)*(PARTIDAS!$I$2:$AT$2="ELÉCTRICO"))&gt;0,"ELÉCTRICO",""),IF(SUMPRODUCT((BG396:CR396&lt;1)*(PARTIDAS!$I$2:$AT$2="TERMINACIONES"))&gt;0,"TERMINACIONES",""))</f>
        <v>OBRA GRUESA, SANITARIOS, ELÉCTRICO, TERMINACIONES</v>
      </c>
      <c r="CV396" s="44" cm="1">
        <f t="array" ref="CV396">SUMPRODUCT(--(BG396:CR396&lt;1))</f>
        <v>38</v>
      </c>
    </row>
    <row r="397" spans="1:100" hidden="1" x14ac:dyDescent="0.25">
      <c r="A397" t="s">
        <v>454</v>
      </c>
      <c r="B397" t="s">
        <v>466</v>
      </c>
      <c r="C397">
        <v>2282600396</v>
      </c>
      <c r="D397" t="s">
        <v>58</v>
      </c>
      <c r="E397" s="2">
        <v>0</v>
      </c>
      <c r="F397" s="1">
        <v>46337</v>
      </c>
      <c r="G397" s="1"/>
      <c r="H397" s="1">
        <v>0</v>
      </c>
      <c r="I397" s="1">
        <v>46357</v>
      </c>
      <c r="J397">
        <v>46230</v>
      </c>
      <c r="K397" s="1"/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>
        <v>28.87</v>
      </c>
      <c r="BF397" s="3" t="str">
        <f>+IF(AVANCE[[#This Row],[% AVANCE]]=100%,"MODULO TERMINADO",IF(AVANCE[[#This Row],[FECHA INICIO REAL]]="","MODULO NO INICIADO","PENDIENTE"))</f>
        <v>MODULO NO INICIADO</v>
      </c>
      <c r="BG397" s="3">
        <f>+IF(AVANCE[[#This Row],[VENTANAS]]=8.10810810810811%,100%,AVANCE[[#This Row],[VENTANAS]])</f>
        <v>0</v>
      </c>
      <c r="BH397" s="3">
        <f>+IF(AVANCE[[#This Row],[PISO]]=N$2,100%,AVANCE[[#This Row],[PISO]])</f>
        <v>0</v>
      </c>
      <c r="BI397" s="3">
        <f>+IF(AVANCE[[#This Row],[TABIQUES]]=O$2,100%,AVANCE[[#This Row],[TABIQUES]])</f>
        <v>0</v>
      </c>
      <c r="BJ397" s="3">
        <f>+IF(AVANCE[[#This Row],[MUROS]]=P$2,100%,AVANCE[[#This Row],[MUROS]])</f>
        <v>0</v>
      </c>
      <c r="BK397" s="3">
        <f>+IF(AVANCE[[#This Row],[CIELO]]=Q$2,100%,AVANCE[[#This Row],[CIELO]])</f>
        <v>0</v>
      </c>
      <c r="BL397" s="3">
        <f>+IF(AVANCE[[#This Row],[BALCÓN]]=R$2,100%,AVANCE[[#This Row],[BALCÓN]])</f>
        <v>0</v>
      </c>
      <c r="BM397" s="3">
        <f>+IF(AVANCE[[#This Row],[RED ALCANTARILLADO]]=U$2,100%,AVANCE[[#This Row],[RED ALCANTARILLADO]])</f>
        <v>0</v>
      </c>
      <c r="BN397" s="3">
        <f>+IF(AVANCE[[#This Row],[RED DE AGUA]]=V$2,100%,AVANCE[[#This Row],[RED DE AGUA]])</f>
        <v>0</v>
      </c>
      <c r="BO397" s="3">
        <f>+IF(AVANCE[[#This Row],[VENTILACIONES]]=W$2,100%,AVANCE[[#This Row],[VENTILACIONES]])</f>
        <v>0</v>
      </c>
      <c r="BP397" s="3">
        <f>+IF(AVANCE[[#This Row],[TINA]]=X$2,100%,AVANCE[[#This Row],[TINA]])</f>
        <v>0</v>
      </c>
      <c r="BQ397" s="3">
        <f>+IF(AVANCE[[#This Row],[WC]]=Y$2,100%,AVANCE[[#This Row],[WC]])</f>
        <v>0</v>
      </c>
      <c r="BR397" s="3">
        <f>+IF(AVANCE[[#This Row],[LAVAMANOS / LAVAPLATOS / LAVADERO]]=Z$2,100%,AVANCE[[#This Row],[LAVAMANOS / LAVAPLATOS / LAVADERO]])</f>
        <v>0</v>
      </c>
      <c r="BS397" s="3">
        <f>+IF(AVANCE[[#This Row],[CANALIZACIÓN]]=AC$2,100%,AVANCE[[#This Row],[CANALIZACIÓN]])</f>
        <v>0</v>
      </c>
      <c r="BT397" s="3">
        <f>+IF(AVANCE[[#This Row],[CABLEADO]]=AD$2,100%,AVANCE[[#This Row],[CABLEADO]])</f>
        <v>0</v>
      </c>
      <c r="BU397" s="3">
        <f>+IF(AVANCE[[#This Row],[ARTEFACTOS]]=AE$2,100%,AVANCE[[#This Row],[ARTEFACTOS]])</f>
        <v>0</v>
      </c>
      <c r="BV397" s="3">
        <f>+IF(AVANCE[[#This Row],[TABLERO]]=AF$2,100%,AVANCE[[#This Row],[TABLERO]])</f>
        <v>0</v>
      </c>
      <c r="BW397" s="3">
        <f>+IF(AVANCE[[#This Row],[CAJA PAU]]=AG$2,100%,AVANCE[[#This Row],[CAJA PAU]])</f>
        <v>0</v>
      </c>
      <c r="BX397" s="3">
        <f>+IF(AVANCE[[#This Row],[INSTALACION VINILICO]]=AJ$2,100%,AVANCE[[#This Row],[INSTALACION VINILICO]])</f>
        <v>0</v>
      </c>
      <c r="BY397" s="3">
        <f>+IF(AVANCE[[#This Row],[OSB CUBIERTA]]=AK$2,100%,AVANCE[[#This Row],[OSB CUBIERTA]])</f>
        <v>0</v>
      </c>
      <c r="BZ397" s="3">
        <f>+IF(AVANCE[[#This Row],[BARANDA BALCON]]=AL$2,100%,AVANCE[[#This Row],[BARANDA BALCON]])</f>
        <v>0</v>
      </c>
      <c r="CA397" s="3">
        <f>+IF(AVANCE[[#This Row],[OSB EXTERIOR]]=AM$2,100%,AVANCE[[#This Row],[OSB EXTERIOR]])</f>
        <v>0</v>
      </c>
      <c r="CB397" s="3">
        <f>+IF(AVANCE[[#This Row],[SMART PANEL]]=AN$2,100%,AVANCE[[#This Row],[SMART PANEL]])</f>
        <v>0</v>
      </c>
      <c r="CC397" s="3">
        <f>+IF(AVANCE[[#This Row],[PINTURA EXTERIOR]]=AO$2,100%,AVANCE[[#This Row],[PINTURA EXTERIOR]])</f>
        <v>0</v>
      </c>
      <c r="CD397" s="3">
        <f>+IF(AVANCE[[#This Row],[ZOCALOS LOGIA]]=AP$2,100%,AVANCE[[#This Row],[ZOCALOS LOGIA]])</f>
        <v>0</v>
      </c>
      <c r="CE397" s="3">
        <f>+IF(AVANCE[[#This Row],[MOLDURAS]]=AQ$2,100%,AVANCE[[#This Row],[MOLDURAS]])</f>
        <v>0</v>
      </c>
      <c r="CF397" s="3">
        <f>+IF(AVANCE[[#This Row],[PILASTREO]]=AR$2,100%,AVANCE[[#This Row],[PILASTREO]])</f>
        <v>0</v>
      </c>
      <c r="CG397" s="3">
        <f>+IF(AVANCE[[#This Row],[CELOSIAS]]=AS$2,100%,AVANCE[[#This Row],[CELOSIAS]])</f>
        <v>0</v>
      </c>
      <c r="CH397" s="3">
        <f>+IF(AVANCE[[#This Row],[VENTANAS]]=AT$2,100%,AVANCE[[#This Row],[VENTANAS]])</f>
        <v>0</v>
      </c>
      <c r="CI397" s="3">
        <f>+IF(AVANCE[[#This Row],[PUERTAS ACCESO - LOGIA - BANO]]=AU$2,100%,AVANCE[[#This Row],[PUERTAS ACCESO - LOGIA - BANO]])</f>
        <v>0</v>
      </c>
      <c r="CJ397" s="3">
        <f>+IF(AVANCE[[#This Row],[CERRADURAS]]=AV$2,100%,AVANCE[[#This Row],[CERRADURAS]])</f>
        <v>0</v>
      </c>
      <c r="CK397" s="3">
        <f>+IF(AVANCE[[#This Row],[REVESTIMIENTO INTERIOR ZONA SECA]]=AW$2,100%,AVANCE[[#This Row],[REVESTIMIENTO INTERIOR ZONA SECA]])</f>
        <v>0</v>
      </c>
      <c r="CL397" s="3">
        <f>+IF(AVANCE[[#This Row],[REVESTIMIENTO INTERIOR ZONAS HUMEDAS]]=AX$2,100%,AVANCE[[#This Row],[REVESTIMIENTO INTERIOR ZONAS HUMEDAS]])</f>
        <v>0</v>
      </c>
      <c r="CM397" s="3">
        <f>+IF(AVANCE[[#This Row],[MEMBRANA CIELO]]=AY$2,100%,AVANCE[[#This Row],[MEMBRANA CIELO]])</f>
        <v>0</v>
      </c>
      <c r="CN397" s="3">
        <f>+IF(AVANCE[[#This Row],[LIMPIEZA FINAL]]=AZ$2,100%,AVANCE[[#This Row],[LIMPIEZA FINAL]])</f>
        <v>0</v>
      </c>
      <c r="CO397" s="3">
        <f>+IF(AVANCE[[#This Row],[PUERTAS DORMITORIO]]=BA$2,100%,AVANCE[[#This Row],[PUERTAS DORMITORIO]])</f>
        <v>0</v>
      </c>
      <c r="CP397" s="3">
        <f>+IF(AVANCE[[#This Row],[REVESTIMIENTO INTERIOR BANO]]=BB$2,100%,AVANCE[[#This Row],[REVESTIMIENTO INTERIOR BANO]])</f>
        <v>0</v>
      </c>
      <c r="CQ397" s="3">
        <f>+IF(AVANCE[[#This Row],[MUEBLE LAVAPLATOS]]=BC$2,100%,AVANCE[[#This Row],[MUEBLE LAVAPLATOS]])</f>
        <v>0</v>
      </c>
      <c r="CR397" s="3">
        <f>+IF(AVANCE[[#This Row],[IMPERMEABILIZACION BANO - COCINA LOGIA]]=BD$2,100%,AVANCE[[#This Row],[IMPERMEABILIZACION BANO - COCINA LOGIA]])</f>
        <v>0</v>
      </c>
      <c r="CS397" s="40">
        <f ca="1">+IF(AVANCE[[#This Row],[ESTADO MODULO]]="PENDIENTE",(TODAY()-AVANCE[[#This Row],[FECHA TERMINO  PLANIFICADO]]),0)</f>
        <v>0</v>
      </c>
      <c r="CT397" s="41" t="str" cm="1">
        <f t="array" ref="CT397">_xlfn.TEXTJOIN(" | ",TRUE,IF(SUMPRODUCT((BG397:CR397&lt;1)*(PARTIDAS!$I$2:$AT$2="OBRA GRUESA"))&gt;0,"OBRA GRUESA: "&amp;_xlfn.TEXTJOIN(", ",TRUE,IF((BG397:CR397&lt;1)*(PARTIDAS!$I$2:$AT$2="OBRA GRUESA"),PARTIDAS!$I$1:$AT$1,"")),""),IF(SUMPRODUCT((BG397:CR397&lt;1)*(PARTIDAS!$I$2:$AT$2="SANITARIOS"))&gt;0,"SANITARIOS: "&amp;_xlfn.TEXTJOIN(", ",TRUE,IF((BG397:CR397&lt;1)*(PARTIDAS!$I$2:$AT$2="SANITARIOS"),PARTIDAS!$I$1:$AT$1,"")),""),IF(SUMPRODUCT((BG397:CR397&lt;1)*(PARTIDAS!$I$2:$AT$2="ELÉCTRICO"))&gt;0,"ELÉCTRICO: "&amp;_xlfn.TEXTJOIN(", ",TRUE,IF((BG397:CR397&lt;1)*(PARTIDAS!$I$2:$AT$2="ELÉCTRICO"),PARTIDAS!$I$1:$AT$1,"")),""),IF(SUMPRODUCT((BG397:CR397&lt;1)*(PARTIDAS!$I$2:$AT$2="TERMINACIONES"))&gt;0,"TERMINACIONES: "&amp;_xlfn.TEXTJOIN(", ",TRUE,IF((BG397:CR397&lt;1)*(PARTIDAS!$I$2:$AT$2="TERMINACIONES"),PARTIDAS!$I$1:$AT$1,"")),""))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7" s="43" t="str" cm="1">
        <f t="array" ref="CU397">_xlfn.TEXTJOIN(", ",TRUE,IF(SUMPRODUCT((BG397:CR397&lt;1)*(PARTIDAS!$I$2:$AT$2="OBRA GRUESA"))&gt;0,"OBRA GRUESA",""),IF(SUMPRODUCT((BG397:CR397&lt;1)*(PARTIDAS!$I$2:$AT$2="SANITARIOS"))&gt;0,"SANITARIOS",""),IF(SUMPRODUCT((BG397:CR397&lt;1)*(PARTIDAS!$I$2:$AT$2="ELÉCTRICO"))&gt;0,"ELÉCTRICO",""),IF(SUMPRODUCT((BG397:CR397&lt;1)*(PARTIDAS!$I$2:$AT$2="TERMINACIONES"))&gt;0,"TERMINACIONES",""))</f>
        <v>OBRA GRUESA, SANITARIOS, ELÉCTRICO, TERMINACIONES</v>
      </c>
      <c r="CV397" s="44" cm="1">
        <f t="array" ref="CV397">SUMPRODUCT(--(BG397:CR397&lt;1))</f>
        <v>38</v>
      </c>
    </row>
    <row r="398" spans="1:100" hidden="1" x14ac:dyDescent="0.25">
      <c r="A398" t="s">
        <v>454</v>
      </c>
      <c r="B398" t="s">
        <v>467</v>
      </c>
      <c r="C398">
        <v>2282600397</v>
      </c>
      <c r="D398" t="s">
        <v>58</v>
      </c>
      <c r="E398" s="2">
        <v>0</v>
      </c>
      <c r="F398" s="1">
        <v>46337</v>
      </c>
      <c r="G398" s="1"/>
      <c r="H398" s="1">
        <v>0</v>
      </c>
      <c r="I398" s="1">
        <v>46357</v>
      </c>
      <c r="J398">
        <v>46230</v>
      </c>
      <c r="K398" s="1"/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>
        <v>28.87</v>
      </c>
      <c r="BF398" s="3" t="str">
        <f>+IF(AVANCE[[#This Row],[% AVANCE]]=100%,"MODULO TERMINADO",IF(AVANCE[[#This Row],[FECHA INICIO REAL]]="","MODULO NO INICIADO","PENDIENTE"))</f>
        <v>MODULO NO INICIADO</v>
      </c>
      <c r="BG398" s="3">
        <f>+IF(AVANCE[[#This Row],[VENTANAS]]=8.10810810810811%,100%,AVANCE[[#This Row],[VENTANAS]])</f>
        <v>0</v>
      </c>
      <c r="BH398" s="3">
        <f>+IF(AVANCE[[#This Row],[PISO]]=N$2,100%,AVANCE[[#This Row],[PISO]])</f>
        <v>0</v>
      </c>
      <c r="BI398" s="3">
        <f>+IF(AVANCE[[#This Row],[TABIQUES]]=O$2,100%,AVANCE[[#This Row],[TABIQUES]])</f>
        <v>0</v>
      </c>
      <c r="BJ398" s="3">
        <f>+IF(AVANCE[[#This Row],[MUROS]]=P$2,100%,AVANCE[[#This Row],[MUROS]])</f>
        <v>0</v>
      </c>
      <c r="BK398" s="3">
        <f>+IF(AVANCE[[#This Row],[CIELO]]=Q$2,100%,AVANCE[[#This Row],[CIELO]])</f>
        <v>0</v>
      </c>
      <c r="BL398" s="3">
        <f>+IF(AVANCE[[#This Row],[BALCÓN]]=R$2,100%,AVANCE[[#This Row],[BALCÓN]])</f>
        <v>0</v>
      </c>
      <c r="BM398" s="3">
        <f>+IF(AVANCE[[#This Row],[RED ALCANTARILLADO]]=U$2,100%,AVANCE[[#This Row],[RED ALCANTARILLADO]])</f>
        <v>0</v>
      </c>
      <c r="BN398" s="3">
        <f>+IF(AVANCE[[#This Row],[RED DE AGUA]]=V$2,100%,AVANCE[[#This Row],[RED DE AGUA]])</f>
        <v>0</v>
      </c>
      <c r="BO398" s="3">
        <f>+IF(AVANCE[[#This Row],[VENTILACIONES]]=W$2,100%,AVANCE[[#This Row],[VENTILACIONES]])</f>
        <v>0</v>
      </c>
      <c r="BP398" s="3">
        <f>+IF(AVANCE[[#This Row],[TINA]]=X$2,100%,AVANCE[[#This Row],[TINA]])</f>
        <v>0</v>
      </c>
      <c r="BQ398" s="3">
        <f>+IF(AVANCE[[#This Row],[WC]]=Y$2,100%,AVANCE[[#This Row],[WC]])</f>
        <v>0</v>
      </c>
      <c r="BR398" s="3">
        <f>+IF(AVANCE[[#This Row],[LAVAMANOS / LAVAPLATOS / LAVADERO]]=Z$2,100%,AVANCE[[#This Row],[LAVAMANOS / LAVAPLATOS / LAVADERO]])</f>
        <v>0</v>
      </c>
      <c r="BS398" s="3">
        <f>+IF(AVANCE[[#This Row],[CANALIZACIÓN]]=AC$2,100%,AVANCE[[#This Row],[CANALIZACIÓN]])</f>
        <v>0</v>
      </c>
      <c r="BT398" s="3">
        <f>+IF(AVANCE[[#This Row],[CABLEADO]]=AD$2,100%,AVANCE[[#This Row],[CABLEADO]])</f>
        <v>0</v>
      </c>
      <c r="BU398" s="3">
        <f>+IF(AVANCE[[#This Row],[ARTEFACTOS]]=AE$2,100%,AVANCE[[#This Row],[ARTEFACTOS]])</f>
        <v>0</v>
      </c>
      <c r="BV398" s="3">
        <f>+IF(AVANCE[[#This Row],[TABLERO]]=AF$2,100%,AVANCE[[#This Row],[TABLERO]])</f>
        <v>0</v>
      </c>
      <c r="BW398" s="3">
        <f>+IF(AVANCE[[#This Row],[CAJA PAU]]=AG$2,100%,AVANCE[[#This Row],[CAJA PAU]])</f>
        <v>0</v>
      </c>
      <c r="BX398" s="3">
        <f>+IF(AVANCE[[#This Row],[INSTALACION VINILICO]]=AJ$2,100%,AVANCE[[#This Row],[INSTALACION VINILICO]])</f>
        <v>0</v>
      </c>
      <c r="BY398" s="3">
        <f>+IF(AVANCE[[#This Row],[OSB CUBIERTA]]=AK$2,100%,AVANCE[[#This Row],[OSB CUBIERTA]])</f>
        <v>0</v>
      </c>
      <c r="BZ398" s="3">
        <f>+IF(AVANCE[[#This Row],[BARANDA BALCON]]=AL$2,100%,AVANCE[[#This Row],[BARANDA BALCON]])</f>
        <v>0</v>
      </c>
      <c r="CA398" s="3">
        <f>+IF(AVANCE[[#This Row],[OSB EXTERIOR]]=AM$2,100%,AVANCE[[#This Row],[OSB EXTERIOR]])</f>
        <v>0</v>
      </c>
      <c r="CB398" s="3">
        <f>+IF(AVANCE[[#This Row],[SMART PANEL]]=AN$2,100%,AVANCE[[#This Row],[SMART PANEL]])</f>
        <v>0</v>
      </c>
      <c r="CC398" s="3">
        <f>+IF(AVANCE[[#This Row],[PINTURA EXTERIOR]]=AO$2,100%,AVANCE[[#This Row],[PINTURA EXTERIOR]])</f>
        <v>0</v>
      </c>
      <c r="CD398" s="3">
        <f>+IF(AVANCE[[#This Row],[ZOCALOS LOGIA]]=AP$2,100%,AVANCE[[#This Row],[ZOCALOS LOGIA]])</f>
        <v>0</v>
      </c>
      <c r="CE398" s="3">
        <f>+IF(AVANCE[[#This Row],[MOLDURAS]]=AQ$2,100%,AVANCE[[#This Row],[MOLDURAS]])</f>
        <v>0</v>
      </c>
      <c r="CF398" s="3">
        <f>+IF(AVANCE[[#This Row],[PILASTREO]]=AR$2,100%,AVANCE[[#This Row],[PILASTREO]])</f>
        <v>0</v>
      </c>
      <c r="CG398" s="3">
        <f>+IF(AVANCE[[#This Row],[CELOSIAS]]=AS$2,100%,AVANCE[[#This Row],[CELOSIAS]])</f>
        <v>0</v>
      </c>
      <c r="CH398" s="3">
        <f>+IF(AVANCE[[#This Row],[VENTANAS]]=AT$2,100%,AVANCE[[#This Row],[VENTANAS]])</f>
        <v>0</v>
      </c>
      <c r="CI398" s="3">
        <f>+IF(AVANCE[[#This Row],[PUERTAS ACCESO - LOGIA - BANO]]=AU$2,100%,AVANCE[[#This Row],[PUERTAS ACCESO - LOGIA - BANO]])</f>
        <v>0</v>
      </c>
      <c r="CJ398" s="3">
        <f>+IF(AVANCE[[#This Row],[CERRADURAS]]=AV$2,100%,AVANCE[[#This Row],[CERRADURAS]])</f>
        <v>0</v>
      </c>
      <c r="CK398" s="3">
        <f>+IF(AVANCE[[#This Row],[REVESTIMIENTO INTERIOR ZONA SECA]]=AW$2,100%,AVANCE[[#This Row],[REVESTIMIENTO INTERIOR ZONA SECA]])</f>
        <v>0</v>
      </c>
      <c r="CL398" s="3">
        <f>+IF(AVANCE[[#This Row],[REVESTIMIENTO INTERIOR ZONAS HUMEDAS]]=AX$2,100%,AVANCE[[#This Row],[REVESTIMIENTO INTERIOR ZONAS HUMEDAS]])</f>
        <v>0</v>
      </c>
      <c r="CM398" s="3">
        <f>+IF(AVANCE[[#This Row],[MEMBRANA CIELO]]=AY$2,100%,AVANCE[[#This Row],[MEMBRANA CIELO]])</f>
        <v>0</v>
      </c>
      <c r="CN398" s="3">
        <f>+IF(AVANCE[[#This Row],[LIMPIEZA FINAL]]=AZ$2,100%,AVANCE[[#This Row],[LIMPIEZA FINAL]])</f>
        <v>0</v>
      </c>
      <c r="CO398" s="3">
        <f>+IF(AVANCE[[#This Row],[PUERTAS DORMITORIO]]=BA$2,100%,AVANCE[[#This Row],[PUERTAS DORMITORIO]])</f>
        <v>0</v>
      </c>
      <c r="CP398" s="3">
        <f>+IF(AVANCE[[#This Row],[REVESTIMIENTO INTERIOR BANO]]=BB$2,100%,AVANCE[[#This Row],[REVESTIMIENTO INTERIOR BANO]])</f>
        <v>0</v>
      </c>
      <c r="CQ398" s="3">
        <f>+IF(AVANCE[[#This Row],[MUEBLE LAVAPLATOS]]=BC$2,100%,AVANCE[[#This Row],[MUEBLE LAVAPLATOS]])</f>
        <v>0</v>
      </c>
      <c r="CR398" s="3">
        <f>+IF(AVANCE[[#This Row],[IMPERMEABILIZACION BANO - COCINA LOGIA]]=BD$2,100%,AVANCE[[#This Row],[IMPERMEABILIZACION BANO - COCINA LOGIA]])</f>
        <v>0</v>
      </c>
      <c r="CS398" s="40">
        <f ca="1">+IF(AVANCE[[#This Row],[ESTADO MODULO]]="PENDIENTE",(TODAY()-AVANCE[[#This Row],[FECHA TERMINO  PLANIFICADO]]),0)</f>
        <v>0</v>
      </c>
      <c r="CT398" s="41" t="str" cm="1">
        <f t="array" ref="CT398">_xlfn.TEXTJOIN(" | ",TRUE,IF(SUMPRODUCT((BG398:CR398&lt;1)*(PARTIDAS!$I$2:$AT$2="OBRA GRUESA"))&gt;0,"OBRA GRUESA: "&amp;_xlfn.TEXTJOIN(", ",TRUE,IF((BG398:CR398&lt;1)*(PARTIDAS!$I$2:$AT$2="OBRA GRUESA"),PARTIDAS!$I$1:$AT$1,"")),""),IF(SUMPRODUCT((BG398:CR398&lt;1)*(PARTIDAS!$I$2:$AT$2="SANITARIOS"))&gt;0,"SANITARIOS: "&amp;_xlfn.TEXTJOIN(", ",TRUE,IF((BG398:CR398&lt;1)*(PARTIDAS!$I$2:$AT$2="SANITARIOS"),PARTIDAS!$I$1:$AT$1,"")),""),IF(SUMPRODUCT((BG398:CR398&lt;1)*(PARTIDAS!$I$2:$AT$2="ELÉCTRICO"))&gt;0,"ELÉCTRICO: "&amp;_xlfn.TEXTJOIN(", ",TRUE,IF((BG398:CR398&lt;1)*(PARTIDAS!$I$2:$AT$2="ELÉCTRICO"),PARTIDAS!$I$1:$AT$1,"")),""),IF(SUMPRODUCT((BG398:CR398&lt;1)*(PARTIDAS!$I$2:$AT$2="TERMINACIONES"))&gt;0,"TERMINACIONES: "&amp;_xlfn.TEXTJOIN(", ",TRUE,IF((BG398:CR398&lt;1)*(PARTIDAS!$I$2:$AT$2="TERMINACIONES"),PARTIDAS!$I$1:$AT$1,"")),""))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8" s="43" t="str" cm="1">
        <f t="array" ref="CU398">_xlfn.TEXTJOIN(", ",TRUE,IF(SUMPRODUCT((BG398:CR398&lt;1)*(PARTIDAS!$I$2:$AT$2="OBRA GRUESA"))&gt;0,"OBRA GRUESA",""),IF(SUMPRODUCT((BG398:CR398&lt;1)*(PARTIDAS!$I$2:$AT$2="SANITARIOS"))&gt;0,"SANITARIOS",""),IF(SUMPRODUCT((BG398:CR398&lt;1)*(PARTIDAS!$I$2:$AT$2="ELÉCTRICO"))&gt;0,"ELÉCTRICO",""),IF(SUMPRODUCT((BG398:CR398&lt;1)*(PARTIDAS!$I$2:$AT$2="TERMINACIONES"))&gt;0,"TERMINACIONES",""))</f>
        <v>OBRA GRUESA, SANITARIOS, ELÉCTRICO, TERMINACIONES</v>
      </c>
      <c r="CV398" s="44" cm="1">
        <f t="array" ref="CV398">SUMPRODUCT(--(BG398:CR398&lt;1))</f>
        <v>38</v>
      </c>
    </row>
    <row r="399" spans="1:100" hidden="1" x14ac:dyDescent="0.25">
      <c r="A399" t="s">
        <v>454</v>
      </c>
      <c r="B399" t="s">
        <v>468</v>
      </c>
      <c r="C399">
        <v>2302600398</v>
      </c>
      <c r="D399" t="s">
        <v>60</v>
      </c>
      <c r="E399" s="2">
        <v>0</v>
      </c>
      <c r="F399" s="1">
        <v>46338</v>
      </c>
      <c r="G399" s="1"/>
      <c r="H399" s="1">
        <v>0</v>
      </c>
      <c r="I399" s="1">
        <v>46368</v>
      </c>
      <c r="J399">
        <v>46230</v>
      </c>
      <c r="K399" s="1"/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>
        <v>31.32</v>
      </c>
      <c r="BF399" s="3" t="str">
        <f>+IF(AVANCE[[#This Row],[% AVANCE]]=100%,"MODULO TERMINADO",IF(AVANCE[[#This Row],[FECHA INICIO REAL]]="","MODULO NO INICIADO","PENDIENTE"))</f>
        <v>MODULO NO INICIADO</v>
      </c>
      <c r="BG399" s="3">
        <f>+IF(AVANCE[[#This Row],[VENTANAS]]=8.10810810810811%,100%,AVANCE[[#This Row],[VENTANAS]])</f>
        <v>0</v>
      </c>
      <c r="BH399" s="3">
        <f>+IF(AVANCE[[#This Row],[PISO]]=N$2,100%,AVANCE[[#This Row],[PISO]])</f>
        <v>0</v>
      </c>
      <c r="BI399" s="3">
        <f>+IF(AVANCE[[#This Row],[TABIQUES]]=O$2,100%,AVANCE[[#This Row],[TABIQUES]])</f>
        <v>0</v>
      </c>
      <c r="BJ399" s="3">
        <f>+IF(AVANCE[[#This Row],[MUROS]]=P$2,100%,AVANCE[[#This Row],[MUROS]])</f>
        <v>0</v>
      </c>
      <c r="BK399" s="3">
        <f>+IF(AVANCE[[#This Row],[CIELO]]=Q$2,100%,AVANCE[[#This Row],[CIELO]])</f>
        <v>0</v>
      </c>
      <c r="BL399" s="3">
        <f>+IF(AVANCE[[#This Row],[BALCÓN]]=R$2,100%,AVANCE[[#This Row],[BALCÓN]])</f>
        <v>0</v>
      </c>
      <c r="BM399" s="3">
        <f>+IF(AVANCE[[#This Row],[RED ALCANTARILLADO]]=U$2,100%,AVANCE[[#This Row],[RED ALCANTARILLADO]])</f>
        <v>0</v>
      </c>
      <c r="BN399" s="3">
        <f>+IF(AVANCE[[#This Row],[RED DE AGUA]]=V$2,100%,AVANCE[[#This Row],[RED DE AGUA]])</f>
        <v>0</v>
      </c>
      <c r="BO399" s="3">
        <f>+IF(AVANCE[[#This Row],[VENTILACIONES]]=W$2,100%,AVANCE[[#This Row],[VENTILACIONES]])</f>
        <v>0</v>
      </c>
      <c r="BP399" s="3">
        <f>+IF(AVANCE[[#This Row],[TINA]]=X$2,100%,AVANCE[[#This Row],[TINA]])</f>
        <v>0</v>
      </c>
      <c r="BQ399" s="3">
        <f>+IF(AVANCE[[#This Row],[WC]]=Y$2,100%,AVANCE[[#This Row],[WC]])</f>
        <v>0</v>
      </c>
      <c r="BR399" s="3">
        <f>+IF(AVANCE[[#This Row],[LAVAMANOS / LAVAPLATOS / LAVADERO]]=Z$2,100%,AVANCE[[#This Row],[LAVAMANOS / LAVAPLATOS / LAVADERO]])</f>
        <v>0</v>
      </c>
      <c r="BS399" s="3">
        <f>+IF(AVANCE[[#This Row],[CANALIZACIÓN]]=AC$2,100%,AVANCE[[#This Row],[CANALIZACIÓN]])</f>
        <v>0</v>
      </c>
      <c r="BT399" s="3">
        <f>+IF(AVANCE[[#This Row],[CABLEADO]]=AD$2,100%,AVANCE[[#This Row],[CABLEADO]])</f>
        <v>0</v>
      </c>
      <c r="BU399" s="3">
        <f>+IF(AVANCE[[#This Row],[ARTEFACTOS]]=AE$2,100%,AVANCE[[#This Row],[ARTEFACTOS]])</f>
        <v>0</v>
      </c>
      <c r="BV399" s="3">
        <f>+IF(AVANCE[[#This Row],[TABLERO]]=AF$2,100%,AVANCE[[#This Row],[TABLERO]])</f>
        <v>0</v>
      </c>
      <c r="BW399" s="3">
        <f>+IF(AVANCE[[#This Row],[CAJA PAU]]=AG$2,100%,AVANCE[[#This Row],[CAJA PAU]])</f>
        <v>0</v>
      </c>
      <c r="BX399" s="3">
        <f>+IF(AVANCE[[#This Row],[INSTALACION VINILICO]]=AJ$2,100%,AVANCE[[#This Row],[INSTALACION VINILICO]])</f>
        <v>0</v>
      </c>
      <c r="BY399" s="3">
        <f>+IF(AVANCE[[#This Row],[OSB CUBIERTA]]=AK$2,100%,AVANCE[[#This Row],[OSB CUBIERTA]])</f>
        <v>0</v>
      </c>
      <c r="BZ399" s="3">
        <f>+IF(AVANCE[[#This Row],[BARANDA BALCON]]=AL$2,100%,AVANCE[[#This Row],[BARANDA BALCON]])</f>
        <v>0</v>
      </c>
      <c r="CA399" s="3">
        <f>+IF(AVANCE[[#This Row],[OSB EXTERIOR]]=AM$2,100%,AVANCE[[#This Row],[OSB EXTERIOR]])</f>
        <v>0</v>
      </c>
      <c r="CB399" s="3">
        <f>+IF(AVANCE[[#This Row],[SMART PANEL]]=AN$2,100%,AVANCE[[#This Row],[SMART PANEL]])</f>
        <v>0</v>
      </c>
      <c r="CC399" s="3">
        <f>+IF(AVANCE[[#This Row],[PINTURA EXTERIOR]]=AO$2,100%,AVANCE[[#This Row],[PINTURA EXTERIOR]])</f>
        <v>0</v>
      </c>
      <c r="CD399" s="3">
        <f>+IF(AVANCE[[#This Row],[ZOCALOS LOGIA]]=AP$2,100%,AVANCE[[#This Row],[ZOCALOS LOGIA]])</f>
        <v>0</v>
      </c>
      <c r="CE399" s="3">
        <f>+IF(AVANCE[[#This Row],[MOLDURAS]]=AQ$2,100%,AVANCE[[#This Row],[MOLDURAS]])</f>
        <v>0</v>
      </c>
      <c r="CF399" s="3">
        <f>+IF(AVANCE[[#This Row],[PILASTREO]]=AR$2,100%,AVANCE[[#This Row],[PILASTREO]])</f>
        <v>0</v>
      </c>
      <c r="CG399" s="3">
        <f>+IF(AVANCE[[#This Row],[CELOSIAS]]=AS$2,100%,AVANCE[[#This Row],[CELOSIAS]])</f>
        <v>0</v>
      </c>
      <c r="CH399" s="3">
        <f>+IF(AVANCE[[#This Row],[VENTANAS]]=AT$2,100%,AVANCE[[#This Row],[VENTANAS]])</f>
        <v>0</v>
      </c>
      <c r="CI399" s="3">
        <f>+IF(AVANCE[[#This Row],[PUERTAS ACCESO - LOGIA - BANO]]=AU$2,100%,AVANCE[[#This Row],[PUERTAS ACCESO - LOGIA - BANO]])</f>
        <v>0</v>
      </c>
      <c r="CJ399" s="3">
        <f>+IF(AVANCE[[#This Row],[CERRADURAS]]=AV$2,100%,AVANCE[[#This Row],[CERRADURAS]])</f>
        <v>0</v>
      </c>
      <c r="CK399" s="3">
        <f>+IF(AVANCE[[#This Row],[REVESTIMIENTO INTERIOR ZONA SECA]]=AW$2,100%,AVANCE[[#This Row],[REVESTIMIENTO INTERIOR ZONA SECA]])</f>
        <v>0</v>
      </c>
      <c r="CL399" s="3">
        <f>+IF(AVANCE[[#This Row],[REVESTIMIENTO INTERIOR ZONAS HUMEDAS]]=AX$2,100%,AVANCE[[#This Row],[REVESTIMIENTO INTERIOR ZONAS HUMEDAS]])</f>
        <v>0</v>
      </c>
      <c r="CM399" s="3">
        <f>+IF(AVANCE[[#This Row],[MEMBRANA CIELO]]=AY$2,100%,AVANCE[[#This Row],[MEMBRANA CIELO]])</f>
        <v>0</v>
      </c>
      <c r="CN399" s="3">
        <f>+IF(AVANCE[[#This Row],[LIMPIEZA FINAL]]=AZ$2,100%,AVANCE[[#This Row],[LIMPIEZA FINAL]])</f>
        <v>0</v>
      </c>
      <c r="CO399" s="3">
        <f>+IF(AVANCE[[#This Row],[PUERTAS DORMITORIO]]=BA$2,100%,AVANCE[[#This Row],[PUERTAS DORMITORIO]])</f>
        <v>0</v>
      </c>
      <c r="CP399" s="3">
        <f>+IF(AVANCE[[#This Row],[REVESTIMIENTO INTERIOR BANO]]=BB$2,100%,AVANCE[[#This Row],[REVESTIMIENTO INTERIOR BANO]])</f>
        <v>0</v>
      </c>
      <c r="CQ399" s="3">
        <f>+IF(AVANCE[[#This Row],[MUEBLE LAVAPLATOS]]=BC$2,100%,AVANCE[[#This Row],[MUEBLE LAVAPLATOS]])</f>
        <v>0</v>
      </c>
      <c r="CR399" s="3">
        <f>+IF(AVANCE[[#This Row],[IMPERMEABILIZACION BANO - COCINA LOGIA]]=BD$2,100%,AVANCE[[#This Row],[IMPERMEABILIZACION BANO - COCINA LOGIA]])</f>
        <v>0</v>
      </c>
      <c r="CS399" s="40">
        <f ca="1">+IF(AVANCE[[#This Row],[ESTADO MODULO]]="PENDIENTE",(TODAY()-AVANCE[[#This Row],[FECHA TERMINO  PLANIFICADO]]),0)</f>
        <v>0</v>
      </c>
      <c r="CT399" s="41" t="str" cm="1">
        <f t="array" ref="CT399">_xlfn.TEXTJOIN(" | ",TRUE,IF(SUMPRODUCT((BG399:CR399&lt;1)*(PARTIDAS!$I$2:$AT$2="OBRA GRUESA"))&gt;0,"OBRA GRUESA: "&amp;_xlfn.TEXTJOIN(", ",TRUE,IF((BG399:CR399&lt;1)*(PARTIDAS!$I$2:$AT$2="OBRA GRUESA"),PARTIDAS!$I$1:$AT$1,"")),""),IF(SUMPRODUCT((BG399:CR399&lt;1)*(PARTIDAS!$I$2:$AT$2="SANITARIOS"))&gt;0,"SANITARIOS: "&amp;_xlfn.TEXTJOIN(", ",TRUE,IF((BG399:CR399&lt;1)*(PARTIDAS!$I$2:$AT$2="SANITARIOS"),PARTIDAS!$I$1:$AT$1,"")),""),IF(SUMPRODUCT((BG399:CR399&lt;1)*(PARTIDAS!$I$2:$AT$2="ELÉCTRICO"))&gt;0,"ELÉCTRICO: "&amp;_xlfn.TEXTJOIN(", ",TRUE,IF((BG399:CR399&lt;1)*(PARTIDAS!$I$2:$AT$2="ELÉCTRICO"),PARTIDAS!$I$1:$AT$1,"")),""),IF(SUMPRODUCT((BG399:CR399&lt;1)*(PARTIDAS!$I$2:$AT$2="TERMINACIONES"))&gt;0,"TERMINACIONES: "&amp;_xlfn.TEXTJOIN(", ",TRUE,IF((BG399:CR399&lt;1)*(PARTIDAS!$I$2:$AT$2="TERMINACIONES"),PARTIDAS!$I$1:$AT$1,"")),""))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399" s="43" t="str" cm="1">
        <f t="array" ref="CU399">_xlfn.TEXTJOIN(", ",TRUE,IF(SUMPRODUCT((BG399:CR399&lt;1)*(PARTIDAS!$I$2:$AT$2="OBRA GRUESA"))&gt;0,"OBRA GRUESA",""),IF(SUMPRODUCT((BG399:CR399&lt;1)*(PARTIDAS!$I$2:$AT$2="SANITARIOS"))&gt;0,"SANITARIOS",""),IF(SUMPRODUCT((BG399:CR399&lt;1)*(PARTIDAS!$I$2:$AT$2="ELÉCTRICO"))&gt;0,"ELÉCTRICO",""),IF(SUMPRODUCT((BG399:CR399&lt;1)*(PARTIDAS!$I$2:$AT$2="TERMINACIONES"))&gt;0,"TERMINACIONES",""))</f>
        <v>OBRA GRUESA, SANITARIOS, ELÉCTRICO, TERMINACIONES</v>
      </c>
      <c r="CV399" s="44" cm="1">
        <f t="array" ref="CV399">SUMPRODUCT(--(BG399:CR399&lt;1))</f>
        <v>38</v>
      </c>
    </row>
    <row r="400" spans="1:100" hidden="1" x14ac:dyDescent="0.25">
      <c r="A400" t="s">
        <v>454</v>
      </c>
      <c r="B400" t="s">
        <v>469</v>
      </c>
      <c r="C400">
        <v>2302600399</v>
      </c>
      <c r="D400" t="s">
        <v>60</v>
      </c>
      <c r="E400" s="2">
        <v>0</v>
      </c>
      <c r="F400" s="1">
        <v>46338</v>
      </c>
      <c r="G400" s="1"/>
      <c r="H400" s="1">
        <v>0</v>
      </c>
      <c r="I400" s="1">
        <v>46368</v>
      </c>
      <c r="J400">
        <v>46230</v>
      </c>
      <c r="K400" s="1"/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>
        <v>31.32</v>
      </c>
      <c r="BF400" s="3" t="str">
        <f>+IF(AVANCE[[#This Row],[% AVANCE]]=100%,"MODULO TERMINADO",IF(AVANCE[[#This Row],[FECHA INICIO REAL]]="","MODULO NO INICIADO","PENDIENTE"))</f>
        <v>MODULO NO INICIADO</v>
      </c>
      <c r="BG400" s="3">
        <f>+IF(AVANCE[[#This Row],[VENTANAS]]=8.10810810810811%,100%,AVANCE[[#This Row],[VENTANAS]])</f>
        <v>0</v>
      </c>
      <c r="BH400" s="3">
        <f>+IF(AVANCE[[#This Row],[PISO]]=N$2,100%,AVANCE[[#This Row],[PISO]])</f>
        <v>0</v>
      </c>
      <c r="BI400" s="3">
        <f>+IF(AVANCE[[#This Row],[TABIQUES]]=O$2,100%,AVANCE[[#This Row],[TABIQUES]])</f>
        <v>0</v>
      </c>
      <c r="BJ400" s="3">
        <f>+IF(AVANCE[[#This Row],[MUROS]]=P$2,100%,AVANCE[[#This Row],[MUROS]])</f>
        <v>0</v>
      </c>
      <c r="BK400" s="3">
        <f>+IF(AVANCE[[#This Row],[CIELO]]=Q$2,100%,AVANCE[[#This Row],[CIELO]])</f>
        <v>0</v>
      </c>
      <c r="BL400" s="3">
        <f>+IF(AVANCE[[#This Row],[BALCÓN]]=R$2,100%,AVANCE[[#This Row],[BALCÓN]])</f>
        <v>0</v>
      </c>
      <c r="BM400" s="3">
        <f>+IF(AVANCE[[#This Row],[RED ALCANTARILLADO]]=U$2,100%,AVANCE[[#This Row],[RED ALCANTARILLADO]])</f>
        <v>0</v>
      </c>
      <c r="BN400" s="3">
        <f>+IF(AVANCE[[#This Row],[RED DE AGUA]]=V$2,100%,AVANCE[[#This Row],[RED DE AGUA]])</f>
        <v>0</v>
      </c>
      <c r="BO400" s="3">
        <f>+IF(AVANCE[[#This Row],[VENTILACIONES]]=W$2,100%,AVANCE[[#This Row],[VENTILACIONES]])</f>
        <v>0</v>
      </c>
      <c r="BP400" s="3">
        <f>+IF(AVANCE[[#This Row],[TINA]]=X$2,100%,AVANCE[[#This Row],[TINA]])</f>
        <v>0</v>
      </c>
      <c r="BQ400" s="3">
        <f>+IF(AVANCE[[#This Row],[WC]]=Y$2,100%,AVANCE[[#This Row],[WC]])</f>
        <v>0</v>
      </c>
      <c r="BR400" s="3">
        <f>+IF(AVANCE[[#This Row],[LAVAMANOS / LAVAPLATOS / LAVADERO]]=Z$2,100%,AVANCE[[#This Row],[LAVAMANOS / LAVAPLATOS / LAVADERO]])</f>
        <v>0</v>
      </c>
      <c r="BS400" s="3">
        <f>+IF(AVANCE[[#This Row],[CANALIZACIÓN]]=AC$2,100%,AVANCE[[#This Row],[CANALIZACIÓN]])</f>
        <v>0</v>
      </c>
      <c r="BT400" s="3">
        <f>+IF(AVANCE[[#This Row],[CABLEADO]]=AD$2,100%,AVANCE[[#This Row],[CABLEADO]])</f>
        <v>0</v>
      </c>
      <c r="BU400" s="3">
        <f>+IF(AVANCE[[#This Row],[ARTEFACTOS]]=AE$2,100%,AVANCE[[#This Row],[ARTEFACTOS]])</f>
        <v>0</v>
      </c>
      <c r="BV400" s="3">
        <f>+IF(AVANCE[[#This Row],[TABLERO]]=AF$2,100%,AVANCE[[#This Row],[TABLERO]])</f>
        <v>0</v>
      </c>
      <c r="BW400" s="3">
        <f>+IF(AVANCE[[#This Row],[CAJA PAU]]=AG$2,100%,AVANCE[[#This Row],[CAJA PAU]])</f>
        <v>0</v>
      </c>
      <c r="BX400" s="3">
        <f>+IF(AVANCE[[#This Row],[INSTALACION VINILICO]]=AJ$2,100%,AVANCE[[#This Row],[INSTALACION VINILICO]])</f>
        <v>0</v>
      </c>
      <c r="BY400" s="3">
        <f>+IF(AVANCE[[#This Row],[OSB CUBIERTA]]=AK$2,100%,AVANCE[[#This Row],[OSB CUBIERTA]])</f>
        <v>0</v>
      </c>
      <c r="BZ400" s="3">
        <f>+IF(AVANCE[[#This Row],[BARANDA BALCON]]=AL$2,100%,AVANCE[[#This Row],[BARANDA BALCON]])</f>
        <v>0</v>
      </c>
      <c r="CA400" s="3">
        <f>+IF(AVANCE[[#This Row],[OSB EXTERIOR]]=AM$2,100%,AVANCE[[#This Row],[OSB EXTERIOR]])</f>
        <v>0</v>
      </c>
      <c r="CB400" s="3">
        <f>+IF(AVANCE[[#This Row],[SMART PANEL]]=AN$2,100%,AVANCE[[#This Row],[SMART PANEL]])</f>
        <v>0</v>
      </c>
      <c r="CC400" s="3">
        <f>+IF(AVANCE[[#This Row],[PINTURA EXTERIOR]]=AO$2,100%,AVANCE[[#This Row],[PINTURA EXTERIOR]])</f>
        <v>0</v>
      </c>
      <c r="CD400" s="3">
        <f>+IF(AVANCE[[#This Row],[ZOCALOS LOGIA]]=AP$2,100%,AVANCE[[#This Row],[ZOCALOS LOGIA]])</f>
        <v>0</v>
      </c>
      <c r="CE400" s="3">
        <f>+IF(AVANCE[[#This Row],[MOLDURAS]]=AQ$2,100%,AVANCE[[#This Row],[MOLDURAS]])</f>
        <v>0</v>
      </c>
      <c r="CF400" s="3">
        <f>+IF(AVANCE[[#This Row],[PILASTREO]]=AR$2,100%,AVANCE[[#This Row],[PILASTREO]])</f>
        <v>0</v>
      </c>
      <c r="CG400" s="3">
        <f>+IF(AVANCE[[#This Row],[CELOSIAS]]=AS$2,100%,AVANCE[[#This Row],[CELOSIAS]])</f>
        <v>0</v>
      </c>
      <c r="CH400" s="3">
        <f>+IF(AVANCE[[#This Row],[VENTANAS]]=AT$2,100%,AVANCE[[#This Row],[VENTANAS]])</f>
        <v>0</v>
      </c>
      <c r="CI400" s="3">
        <f>+IF(AVANCE[[#This Row],[PUERTAS ACCESO - LOGIA - BANO]]=AU$2,100%,AVANCE[[#This Row],[PUERTAS ACCESO - LOGIA - BANO]])</f>
        <v>0</v>
      </c>
      <c r="CJ400" s="3">
        <f>+IF(AVANCE[[#This Row],[CERRADURAS]]=AV$2,100%,AVANCE[[#This Row],[CERRADURAS]])</f>
        <v>0</v>
      </c>
      <c r="CK400" s="3">
        <f>+IF(AVANCE[[#This Row],[REVESTIMIENTO INTERIOR ZONA SECA]]=AW$2,100%,AVANCE[[#This Row],[REVESTIMIENTO INTERIOR ZONA SECA]])</f>
        <v>0</v>
      </c>
      <c r="CL400" s="3">
        <f>+IF(AVANCE[[#This Row],[REVESTIMIENTO INTERIOR ZONAS HUMEDAS]]=AX$2,100%,AVANCE[[#This Row],[REVESTIMIENTO INTERIOR ZONAS HUMEDAS]])</f>
        <v>0</v>
      </c>
      <c r="CM400" s="3">
        <f>+IF(AVANCE[[#This Row],[MEMBRANA CIELO]]=AY$2,100%,AVANCE[[#This Row],[MEMBRANA CIELO]])</f>
        <v>0</v>
      </c>
      <c r="CN400" s="3">
        <f>+IF(AVANCE[[#This Row],[LIMPIEZA FINAL]]=AZ$2,100%,AVANCE[[#This Row],[LIMPIEZA FINAL]])</f>
        <v>0</v>
      </c>
      <c r="CO400" s="3">
        <f>+IF(AVANCE[[#This Row],[PUERTAS DORMITORIO]]=BA$2,100%,AVANCE[[#This Row],[PUERTAS DORMITORIO]])</f>
        <v>0</v>
      </c>
      <c r="CP400" s="3">
        <f>+IF(AVANCE[[#This Row],[REVESTIMIENTO INTERIOR BANO]]=BB$2,100%,AVANCE[[#This Row],[REVESTIMIENTO INTERIOR BANO]])</f>
        <v>0</v>
      </c>
      <c r="CQ400" s="3">
        <f>+IF(AVANCE[[#This Row],[MUEBLE LAVAPLATOS]]=BC$2,100%,AVANCE[[#This Row],[MUEBLE LAVAPLATOS]])</f>
        <v>0</v>
      </c>
      <c r="CR400" s="3">
        <f>+IF(AVANCE[[#This Row],[IMPERMEABILIZACION BANO - COCINA LOGIA]]=BD$2,100%,AVANCE[[#This Row],[IMPERMEABILIZACION BANO - COCINA LOGIA]])</f>
        <v>0</v>
      </c>
      <c r="CS400" s="40">
        <f ca="1">+IF(AVANCE[[#This Row],[ESTADO MODULO]]="PENDIENTE",(TODAY()-AVANCE[[#This Row],[FECHA TERMINO  PLANIFICADO]]),0)</f>
        <v>0</v>
      </c>
      <c r="CT400" s="41" t="str" cm="1">
        <f t="array" ref="CT400">_xlfn.TEXTJOIN(" | ",TRUE,IF(SUMPRODUCT((BG400:CR400&lt;1)*(PARTIDAS!$I$2:$AT$2="OBRA GRUESA"))&gt;0,"OBRA GRUESA: "&amp;_xlfn.TEXTJOIN(", ",TRUE,IF((BG400:CR400&lt;1)*(PARTIDAS!$I$2:$AT$2="OBRA GRUESA"),PARTIDAS!$I$1:$AT$1,"")),""),IF(SUMPRODUCT((BG400:CR400&lt;1)*(PARTIDAS!$I$2:$AT$2="SANITARIOS"))&gt;0,"SANITARIOS: "&amp;_xlfn.TEXTJOIN(", ",TRUE,IF((BG400:CR400&lt;1)*(PARTIDAS!$I$2:$AT$2="SANITARIOS"),PARTIDAS!$I$1:$AT$1,"")),""),IF(SUMPRODUCT((BG400:CR400&lt;1)*(PARTIDAS!$I$2:$AT$2="ELÉCTRICO"))&gt;0,"ELÉCTRICO: "&amp;_xlfn.TEXTJOIN(", ",TRUE,IF((BG400:CR400&lt;1)*(PARTIDAS!$I$2:$AT$2="ELÉCTRICO"),PARTIDAS!$I$1:$AT$1,"")),""),IF(SUMPRODUCT((BG400:CR400&lt;1)*(PARTIDAS!$I$2:$AT$2="TERMINACIONES"))&gt;0,"TERMINACIONES: "&amp;_xlfn.TEXTJOIN(", ",TRUE,IF((BG400:CR400&lt;1)*(PARTIDAS!$I$2:$AT$2="TERMINACIONES"),PARTIDAS!$I$1:$AT$1,"")),""))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0" s="43" t="str" cm="1">
        <f t="array" ref="CU400">_xlfn.TEXTJOIN(", ",TRUE,IF(SUMPRODUCT((BG400:CR400&lt;1)*(PARTIDAS!$I$2:$AT$2="OBRA GRUESA"))&gt;0,"OBRA GRUESA",""),IF(SUMPRODUCT((BG400:CR400&lt;1)*(PARTIDAS!$I$2:$AT$2="SANITARIOS"))&gt;0,"SANITARIOS",""),IF(SUMPRODUCT((BG400:CR400&lt;1)*(PARTIDAS!$I$2:$AT$2="ELÉCTRICO"))&gt;0,"ELÉCTRICO",""),IF(SUMPRODUCT((BG400:CR400&lt;1)*(PARTIDAS!$I$2:$AT$2="TERMINACIONES"))&gt;0,"TERMINACIONES",""))</f>
        <v>OBRA GRUESA, SANITARIOS, ELÉCTRICO, TERMINACIONES</v>
      </c>
      <c r="CV400" s="44" cm="1">
        <f t="array" ref="CV400">SUMPRODUCT(--(BG400:CR400&lt;1))</f>
        <v>38</v>
      </c>
    </row>
    <row r="401" spans="1:100" hidden="1" x14ac:dyDescent="0.25">
      <c r="A401" t="s">
        <v>454</v>
      </c>
      <c r="B401" t="s">
        <v>470</v>
      </c>
      <c r="C401">
        <v>2282600400</v>
      </c>
      <c r="D401" t="s">
        <v>58</v>
      </c>
      <c r="E401" s="2">
        <v>0</v>
      </c>
      <c r="F401" s="1">
        <v>46338</v>
      </c>
      <c r="G401" s="1"/>
      <c r="H401" s="1">
        <v>0</v>
      </c>
      <c r="I401" s="1">
        <v>46358</v>
      </c>
      <c r="J401">
        <v>46230</v>
      </c>
      <c r="K401" s="1"/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>
        <v>28.87</v>
      </c>
      <c r="BF401" s="3" t="str">
        <f>+IF(AVANCE[[#This Row],[% AVANCE]]=100%,"MODULO TERMINADO",IF(AVANCE[[#This Row],[FECHA INICIO REAL]]="","MODULO NO INICIADO","PENDIENTE"))</f>
        <v>MODULO NO INICIADO</v>
      </c>
      <c r="BG401" s="3">
        <f>+IF(AVANCE[[#This Row],[VENTANAS]]=8.10810810810811%,100%,AVANCE[[#This Row],[VENTANAS]])</f>
        <v>0</v>
      </c>
      <c r="BH401" s="3">
        <f>+IF(AVANCE[[#This Row],[PISO]]=N$2,100%,AVANCE[[#This Row],[PISO]])</f>
        <v>0</v>
      </c>
      <c r="BI401" s="3">
        <f>+IF(AVANCE[[#This Row],[TABIQUES]]=O$2,100%,AVANCE[[#This Row],[TABIQUES]])</f>
        <v>0</v>
      </c>
      <c r="BJ401" s="3">
        <f>+IF(AVANCE[[#This Row],[MUROS]]=P$2,100%,AVANCE[[#This Row],[MUROS]])</f>
        <v>0</v>
      </c>
      <c r="BK401" s="3">
        <f>+IF(AVANCE[[#This Row],[CIELO]]=Q$2,100%,AVANCE[[#This Row],[CIELO]])</f>
        <v>0</v>
      </c>
      <c r="BL401" s="3">
        <f>+IF(AVANCE[[#This Row],[BALCÓN]]=R$2,100%,AVANCE[[#This Row],[BALCÓN]])</f>
        <v>0</v>
      </c>
      <c r="BM401" s="3">
        <f>+IF(AVANCE[[#This Row],[RED ALCANTARILLADO]]=U$2,100%,AVANCE[[#This Row],[RED ALCANTARILLADO]])</f>
        <v>0</v>
      </c>
      <c r="BN401" s="3">
        <f>+IF(AVANCE[[#This Row],[RED DE AGUA]]=V$2,100%,AVANCE[[#This Row],[RED DE AGUA]])</f>
        <v>0</v>
      </c>
      <c r="BO401" s="3">
        <f>+IF(AVANCE[[#This Row],[VENTILACIONES]]=W$2,100%,AVANCE[[#This Row],[VENTILACIONES]])</f>
        <v>0</v>
      </c>
      <c r="BP401" s="3">
        <f>+IF(AVANCE[[#This Row],[TINA]]=X$2,100%,AVANCE[[#This Row],[TINA]])</f>
        <v>0</v>
      </c>
      <c r="BQ401" s="3">
        <f>+IF(AVANCE[[#This Row],[WC]]=Y$2,100%,AVANCE[[#This Row],[WC]])</f>
        <v>0</v>
      </c>
      <c r="BR401" s="3">
        <f>+IF(AVANCE[[#This Row],[LAVAMANOS / LAVAPLATOS / LAVADERO]]=Z$2,100%,AVANCE[[#This Row],[LAVAMANOS / LAVAPLATOS / LAVADERO]])</f>
        <v>0</v>
      </c>
      <c r="BS401" s="3">
        <f>+IF(AVANCE[[#This Row],[CANALIZACIÓN]]=AC$2,100%,AVANCE[[#This Row],[CANALIZACIÓN]])</f>
        <v>0</v>
      </c>
      <c r="BT401" s="3">
        <f>+IF(AVANCE[[#This Row],[CABLEADO]]=AD$2,100%,AVANCE[[#This Row],[CABLEADO]])</f>
        <v>0</v>
      </c>
      <c r="BU401" s="3">
        <f>+IF(AVANCE[[#This Row],[ARTEFACTOS]]=AE$2,100%,AVANCE[[#This Row],[ARTEFACTOS]])</f>
        <v>0</v>
      </c>
      <c r="BV401" s="3">
        <f>+IF(AVANCE[[#This Row],[TABLERO]]=AF$2,100%,AVANCE[[#This Row],[TABLERO]])</f>
        <v>0</v>
      </c>
      <c r="BW401" s="3">
        <f>+IF(AVANCE[[#This Row],[CAJA PAU]]=AG$2,100%,AVANCE[[#This Row],[CAJA PAU]])</f>
        <v>0</v>
      </c>
      <c r="BX401" s="3">
        <f>+IF(AVANCE[[#This Row],[INSTALACION VINILICO]]=AJ$2,100%,AVANCE[[#This Row],[INSTALACION VINILICO]])</f>
        <v>0</v>
      </c>
      <c r="BY401" s="3">
        <f>+IF(AVANCE[[#This Row],[OSB CUBIERTA]]=AK$2,100%,AVANCE[[#This Row],[OSB CUBIERTA]])</f>
        <v>0</v>
      </c>
      <c r="BZ401" s="3">
        <f>+IF(AVANCE[[#This Row],[BARANDA BALCON]]=AL$2,100%,AVANCE[[#This Row],[BARANDA BALCON]])</f>
        <v>0</v>
      </c>
      <c r="CA401" s="3">
        <f>+IF(AVANCE[[#This Row],[OSB EXTERIOR]]=AM$2,100%,AVANCE[[#This Row],[OSB EXTERIOR]])</f>
        <v>0</v>
      </c>
      <c r="CB401" s="3">
        <f>+IF(AVANCE[[#This Row],[SMART PANEL]]=AN$2,100%,AVANCE[[#This Row],[SMART PANEL]])</f>
        <v>0</v>
      </c>
      <c r="CC401" s="3">
        <f>+IF(AVANCE[[#This Row],[PINTURA EXTERIOR]]=AO$2,100%,AVANCE[[#This Row],[PINTURA EXTERIOR]])</f>
        <v>0</v>
      </c>
      <c r="CD401" s="3">
        <f>+IF(AVANCE[[#This Row],[ZOCALOS LOGIA]]=AP$2,100%,AVANCE[[#This Row],[ZOCALOS LOGIA]])</f>
        <v>0</v>
      </c>
      <c r="CE401" s="3">
        <f>+IF(AVANCE[[#This Row],[MOLDURAS]]=AQ$2,100%,AVANCE[[#This Row],[MOLDURAS]])</f>
        <v>0</v>
      </c>
      <c r="CF401" s="3">
        <f>+IF(AVANCE[[#This Row],[PILASTREO]]=AR$2,100%,AVANCE[[#This Row],[PILASTREO]])</f>
        <v>0</v>
      </c>
      <c r="CG401" s="3">
        <f>+IF(AVANCE[[#This Row],[CELOSIAS]]=AS$2,100%,AVANCE[[#This Row],[CELOSIAS]])</f>
        <v>0</v>
      </c>
      <c r="CH401" s="3">
        <f>+IF(AVANCE[[#This Row],[VENTANAS]]=AT$2,100%,AVANCE[[#This Row],[VENTANAS]])</f>
        <v>0</v>
      </c>
      <c r="CI401" s="3">
        <f>+IF(AVANCE[[#This Row],[PUERTAS ACCESO - LOGIA - BANO]]=AU$2,100%,AVANCE[[#This Row],[PUERTAS ACCESO - LOGIA - BANO]])</f>
        <v>0</v>
      </c>
      <c r="CJ401" s="3">
        <f>+IF(AVANCE[[#This Row],[CERRADURAS]]=AV$2,100%,AVANCE[[#This Row],[CERRADURAS]])</f>
        <v>0</v>
      </c>
      <c r="CK401" s="3">
        <f>+IF(AVANCE[[#This Row],[REVESTIMIENTO INTERIOR ZONA SECA]]=AW$2,100%,AVANCE[[#This Row],[REVESTIMIENTO INTERIOR ZONA SECA]])</f>
        <v>0</v>
      </c>
      <c r="CL401" s="3">
        <f>+IF(AVANCE[[#This Row],[REVESTIMIENTO INTERIOR ZONAS HUMEDAS]]=AX$2,100%,AVANCE[[#This Row],[REVESTIMIENTO INTERIOR ZONAS HUMEDAS]])</f>
        <v>0</v>
      </c>
      <c r="CM401" s="3">
        <f>+IF(AVANCE[[#This Row],[MEMBRANA CIELO]]=AY$2,100%,AVANCE[[#This Row],[MEMBRANA CIELO]])</f>
        <v>0</v>
      </c>
      <c r="CN401" s="3">
        <f>+IF(AVANCE[[#This Row],[LIMPIEZA FINAL]]=AZ$2,100%,AVANCE[[#This Row],[LIMPIEZA FINAL]])</f>
        <v>0</v>
      </c>
      <c r="CO401" s="3">
        <f>+IF(AVANCE[[#This Row],[PUERTAS DORMITORIO]]=BA$2,100%,AVANCE[[#This Row],[PUERTAS DORMITORIO]])</f>
        <v>0</v>
      </c>
      <c r="CP401" s="3">
        <f>+IF(AVANCE[[#This Row],[REVESTIMIENTO INTERIOR BANO]]=BB$2,100%,AVANCE[[#This Row],[REVESTIMIENTO INTERIOR BANO]])</f>
        <v>0</v>
      </c>
      <c r="CQ401" s="3">
        <f>+IF(AVANCE[[#This Row],[MUEBLE LAVAPLATOS]]=BC$2,100%,AVANCE[[#This Row],[MUEBLE LAVAPLATOS]])</f>
        <v>0</v>
      </c>
      <c r="CR401" s="3">
        <f>+IF(AVANCE[[#This Row],[IMPERMEABILIZACION BANO - COCINA LOGIA]]=BD$2,100%,AVANCE[[#This Row],[IMPERMEABILIZACION BANO - COCINA LOGIA]])</f>
        <v>0</v>
      </c>
      <c r="CS401" s="40">
        <f ca="1">+IF(AVANCE[[#This Row],[ESTADO MODULO]]="PENDIENTE",(TODAY()-AVANCE[[#This Row],[FECHA TERMINO  PLANIFICADO]]),0)</f>
        <v>0</v>
      </c>
      <c r="CT401" s="41" t="str" cm="1">
        <f t="array" ref="CT401">_xlfn.TEXTJOIN(" | ",TRUE,IF(SUMPRODUCT((BG401:CR401&lt;1)*(PARTIDAS!$I$2:$AT$2="OBRA GRUESA"))&gt;0,"OBRA GRUESA: "&amp;_xlfn.TEXTJOIN(", ",TRUE,IF((BG401:CR401&lt;1)*(PARTIDAS!$I$2:$AT$2="OBRA GRUESA"),PARTIDAS!$I$1:$AT$1,"")),""),IF(SUMPRODUCT((BG401:CR401&lt;1)*(PARTIDAS!$I$2:$AT$2="SANITARIOS"))&gt;0,"SANITARIOS: "&amp;_xlfn.TEXTJOIN(", ",TRUE,IF((BG401:CR401&lt;1)*(PARTIDAS!$I$2:$AT$2="SANITARIOS"),PARTIDAS!$I$1:$AT$1,"")),""),IF(SUMPRODUCT((BG401:CR401&lt;1)*(PARTIDAS!$I$2:$AT$2="ELÉCTRICO"))&gt;0,"ELÉCTRICO: "&amp;_xlfn.TEXTJOIN(", ",TRUE,IF((BG401:CR401&lt;1)*(PARTIDAS!$I$2:$AT$2="ELÉCTRICO"),PARTIDAS!$I$1:$AT$1,"")),""),IF(SUMPRODUCT((BG401:CR401&lt;1)*(PARTIDAS!$I$2:$AT$2="TERMINACIONES"))&gt;0,"TERMINACIONES: "&amp;_xlfn.TEXTJOIN(", ",TRUE,IF((BG401:CR401&lt;1)*(PARTIDAS!$I$2:$AT$2="TERMINACIONES"),PARTIDAS!$I$1:$AT$1,"")),""))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1" s="43" t="str" cm="1">
        <f t="array" ref="CU401">_xlfn.TEXTJOIN(", ",TRUE,IF(SUMPRODUCT((BG401:CR401&lt;1)*(PARTIDAS!$I$2:$AT$2="OBRA GRUESA"))&gt;0,"OBRA GRUESA",""),IF(SUMPRODUCT((BG401:CR401&lt;1)*(PARTIDAS!$I$2:$AT$2="SANITARIOS"))&gt;0,"SANITARIOS",""),IF(SUMPRODUCT((BG401:CR401&lt;1)*(PARTIDAS!$I$2:$AT$2="ELÉCTRICO"))&gt;0,"ELÉCTRICO",""),IF(SUMPRODUCT((BG401:CR401&lt;1)*(PARTIDAS!$I$2:$AT$2="TERMINACIONES"))&gt;0,"TERMINACIONES",""))</f>
        <v>OBRA GRUESA, SANITARIOS, ELÉCTRICO, TERMINACIONES</v>
      </c>
      <c r="CV401" s="44" cm="1">
        <f t="array" ref="CV401">SUMPRODUCT(--(BG401:CR401&lt;1))</f>
        <v>38</v>
      </c>
    </row>
    <row r="402" spans="1:100" hidden="1" x14ac:dyDescent="0.25">
      <c r="A402" t="s">
        <v>454</v>
      </c>
      <c r="B402" t="s">
        <v>471</v>
      </c>
      <c r="C402">
        <v>2282600401</v>
      </c>
      <c r="D402" t="s">
        <v>58</v>
      </c>
      <c r="E402" s="2">
        <v>0</v>
      </c>
      <c r="F402" s="1">
        <v>46339</v>
      </c>
      <c r="G402" s="1"/>
      <c r="H402" s="1">
        <v>0</v>
      </c>
      <c r="I402" s="1">
        <v>46359</v>
      </c>
      <c r="J402">
        <v>46230</v>
      </c>
      <c r="K402" s="1"/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>
        <v>28.87</v>
      </c>
      <c r="BF402" s="3" t="str">
        <f>+IF(AVANCE[[#This Row],[% AVANCE]]=100%,"MODULO TERMINADO",IF(AVANCE[[#This Row],[FECHA INICIO REAL]]="","MODULO NO INICIADO","PENDIENTE"))</f>
        <v>MODULO NO INICIADO</v>
      </c>
      <c r="BG402" s="3">
        <f>+IF(AVANCE[[#This Row],[VENTANAS]]=8.10810810810811%,100%,AVANCE[[#This Row],[VENTANAS]])</f>
        <v>0</v>
      </c>
      <c r="BH402" s="3">
        <f>+IF(AVANCE[[#This Row],[PISO]]=N$2,100%,AVANCE[[#This Row],[PISO]])</f>
        <v>0</v>
      </c>
      <c r="BI402" s="3">
        <f>+IF(AVANCE[[#This Row],[TABIQUES]]=O$2,100%,AVANCE[[#This Row],[TABIQUES]])</f>
        <v>0</v>
      </c>
      <c r="BJ402" s="3">
        <f>+IF(AVANCE[[#This Row],[MUROS]]=P$2,100%,AVANCE[[#This Row],[MUROS]])</f>
        <v>0</v>
      </c>
      <c r="BK402" s="3">
        <f>+IF(AVANCE[[#This Row],[CIELO]]=Q$2,100%,AVANCE[[#This Row],[CIELO]])</f>
        <v>0</v>
      </c>
      <c r="BL402" s="3">
        <f>+IF(AVANCE[[#This Row],[BALCÓN]]=R$2,100%,AVANCE[[#This Row],[BALCÓN]])</f>
        <v>0</v>
      </c>
      <c r="BM402" s="3">
        <f>+IF(AVANCE[[#This Row],[RED ALCANTARILLADO]]=U$2,100%,AVANCE[[#This Row],[RED ALCANTARILLADO]])</f>
        <v>0</v>
      </c>
      <c r="BN402" s="3">
        <f>+IF(AVANCE[[#This Row],[RED DE AGUA]]=V$2,100%,AVANCE[[#This Row],[RED DE AGUA]])</f>
        <v>0</v>
      </c>
      <c r="BO402" s="3">
        <f>+IF(AVANCE[[#This Row],[VENTILACIONES]]=W$2,100%,AVANCE[[#This Row],[VENTILACIONES]])</f>
        <v>0</v>
      </c>
      <c r="BP402" s="3">
        <f>+IF(AVANCE[[#This Row],[TINA]]=X$2,100%,AVANCE[[#This Row],[TINA]])</f>
        <v>0</v>
      </c>
      <c r="BQ402" s="3">
        <f>+IF(AVANCE[[#This Row],[WC]]=Y$2,100%,AVANCE[[#This Row],[WC]])</f>
        <v>0</v>
      </c>
      <c r="BR402" s="3">
        <f>+IF(AVANCE[[#This Row],[LAVAMANOS / LAVAPLATOS / LAVADERO]]=Z$2,100%,AVANCE[[#This Row],[LAVAMANOS / LAVAPLATOS / LAVADERO]])</f>
        <v>0</v>
      </c>
      <c r="BS402" s="3">
        <f>+IF(AVANCE[[#This Row],[CANALIZACIÓN]]=AC$2,100%,AVANCE[[#This Row],[CANALIZACIÓN]])</f>
        <v>0</v>
      </c>
      <c r="BT402" s="3">
        <f>+IF(AVANCE[[#This Row],[CABLEADO]]=AD$2,100%,AVANCE[[#This Row],[CABLEADO]])</f>
        <v>0</v>
      </c>
      <c r="BU402" s="3">
        <f>+IF(AVANCE[[#This Row],[ARTEFACTOS]]=AE$2,100%,AVANCE[[#This Row],[ARTEFACTOS]])</f>
        <v>0</v>
      </c>
      <c r="BV402" s="3">
        <f>+IF(AVANCE[[#This Row],[TABLERO]]=AF$2,100%,AVANCE[[#This Row],[TABLERO]])</f>
        <v>0</v>
      </c>
      <c r="BW402" s="3">
        <f>+IF(AVANCE[[#This Row],[CAJA PAU]]=AG$2,100%,AVANCE[[#This Row],[CAJA PAU]])</f>
        <v>0</v>
      </c>
      <c r="BX402" s="3">
        <f>+IF(AVANCE[[#This Row],[INSTALACION VINILICO]]=AJ$2,100%,AVANCE[[#This Row],[INSTALACION VINILICO]])</f>
        <v>0</v>
      </c>
      <c r="BY402" s="3">
        <f>+IF(AVANCE[[#This Row],[OSB CUBIERTA]]=AK$2,100%,AVANCE[[#This Row],[OSB CUBIERTA]])</f>
        <v>0</v>
      </c>
      <c r="BZ402" s="3">
        <f>+IF(AVANCE[[#This Row],[BARANDA BALCON]]=AL$2,100%,AVANCE[[#This Row],[BARANDA BALCON]])</f>
        <v>0</v>
      </c>
      <c r="CA402" s="3">
        <f>+IF(AVANCE[[#This Row],[OSB EXTERIOR]]=AM$2,100%,AVANCE[[#This Row],[OSB EXTERIOR]])</f>
        <v>0</v>
      </c>
      <c r="CB402" s="3">
        <f>+IF(AVANCE[[#This Row],[SMART PANEL]]=AN$2,100%,AVANCE[[#This Row],[SMART PANEL]])</f>
        <v>0</v>
      </c>
      <c r="CC402" s="3">
        <f>+IF(AVANCE[[#This Row],[PINTURA EXTERIOR]]=AO$2,100%,AVANCE[[#This Row],[PINTURA EXTERIOR]])</f>
        <v>0</v>
      </c>
      <c r="CD402" s="3">
        <f>+IF(AVANCE[[#This Row],[ZOCALOS LOGIA]]=AP$2,100%,AVANCE[[#This Row],[ZOCALOS LOGIA]])</f>
        <v>0</v>
      </c>
      <c r="CE402" s="3">
        <f>+IF(AVANCE[[#This Row],[MOLDURAS]]=AQ$2,100%,AVANCE[[#This Row],[MOLDURAS]])</f>
        <v>0</v>
      </c>
      <c r="CF402" s="3">
        <f>+IF(AVANCE[[#This Row],[PILASTREO]]=AR$2,100%,AVANCE[[#This Row],[PILASTREO]])</f>
        <v>0</v>
      </c>
      <c r="CG402" s="3">
        <f>+IF(AVANCE[[#This Row],[CELOSIAS]]=AS$2,100%,AVANCE[[#This Row],[CELOSIAS]])</f>
        <v>0</v>
      </c>
      <c r="CH402" s="3">
        <f>+IF(AVANCE[[#This Row],[VENTANAS]]=AT$2,100%,AVANCE[[#This Row],[VENTANAS]])</f>
        <v>0</v>
      </c>
      <c r="CI402" s="3">
        <f>+IF(AVANCE[[#This Row],[PUERTAS ACCESO - LOGIA - BANO]]=AU$2,100%,AVANCE[[#This Row],[PUERTAS ACCESO - LOGIA - BANO]])</f>
        <v>0</v>
      </c>
      <c r="CJ402" s="3">
        <f>+IF(AVANCE[[#This Row],[CERRADURAS]]=AV$2,100%,AVANCE[[#This Row],[CERRADURAS]])</f>
        <v>0</v>
      </c>
      <c r="CK402" s="3">
        <f>+IF(AVANCE[[#This Row],[REVESTIMIENTO INTERIOR ZONA SECA]]=AW$2,100%,AVANCE[[#This Row],[REVESTIMIENTO INTERIOR ZONA SECA]])</f>
        <v>0</v>
      </c>
      <c r="CL402" s="3">
        <f>+IF(AVANCE[[#This Row],[REVESTIMIENTO INTERIOR ZONAS HUMEDAS]]=AX$2,100%,AVANCE[[#This Row],[REVESTIMIENTO INTERIOR ZONAS HUMEDAS]])</f>
        <v>0</v>
      </c>
      <c r="CM402" s="3">
        <f>+IF(AVANCE[[#This Row],[MEMBRANA CIELO]]=AY$2,100%,AVANCE[[#This Row],[MEMBRANA CIELO]])</f>
        <v>0</v>
      </c>
      <c r="CN402" s="3">
        <f>+IF(AVANCE[[#This Row],[LIMPIEZA FINAL]]=AZ$2,100%,AVANCE[[#This Row],[LIMPIEZA FINAL]])</f>
        <v>0</v>
      </c>
      <c r="CO402" s="3">
        <f>+IF(AVANCE[[#This Row],[PUERTAS DORMITORIO]]=BA$2,100%,AVANCE[[#This Row],[PUERTAS DORMITORIO]])</f>
        <v>0</v>
      </c>
      <c r="CP402" s="3">
        <f>+IF(AVANCE[[#This Row],[REVESTIMIENTO INTERIOR BANO]]=BB$2,100%,AVANCE[[#This Row],[REVESTIMIENTO INTERIOR BANO]])</f>
        <v>0</v>
      </c>
      <c r="CQ402" s="3">
        <f>+IF(AVANCE[[#This Row],[MUEBLE LAVAPLATOS]]=BC$2,100%,AVANCE[[#This Row],[MUEBLE LAVAPLATOS]])</f>
        <v>0</v>
      </c>
      <c r="CR402" s="3">
        <f>+IF(AVANCE[[#This Row],[IMPERMEABILIZACION BANO - COCINA LOGIA]]=BD$2,100%,AVANCE[[#This Row],[IMPERMEABILIZACION BANO - COCINA LOGIA]])</f>
        <v>0</v>
      </c>
      <c r="CS402" s="40">
        <f ca="1">+IF(AVANCE[[#This Row],[ESTADO MODULO]]="PENDIENTE",(TODAY()-AVANCE[[#This Row],[FECHA TERMINO  PLANIFICADO]]),0)</f>
        <v>0</v>
      </c>
      <c r="CT402" s="41" t="str" cm="1">
        <f t="array" ref="CT402">_xlfn.TEXTJOIN(" | ",TRUE,IF(SUMPRODUCT((BG402:CR402&lt;1)*(PARTIDAS!$I$2:$AT$2="OBRA GRUESA"))&gt;0,"OBRA GRUESA: "&amp;_xlfn.TEXTJOIN(", ",TRUE,IF((BG402:CR402&lt;1)*(PARTIDAS!$I$2:$AT$2="OBRA GRUESA"),PARTIDAS!$I$1:$AT$1,"")),""),IF(SUMPRODUCT((BG402:CR402&lt;1)*(PARTIDAS!$I$2:$AT$2="SANITARIOS"))&gt;0,"SANITARIOS: "&amp;_xlfn.TEXTJOIN(", ",TRUE,IF((BG402:CR402&lt;1)*(PARTIDAS!$I$2:$AT$2="SANITARIOS"),PARTIDAS!$I$1:$AT$1,"")),""),IF(SUMPRODUCT((BG402:CR402&lt;1)*(PARTIDAS!$I$2:$AT$2="ELÉCTRICO"))&gt;0,"ELÉCTRICO: "&amp;_xlfn.TEXTJOIN(", ",TRUE,IF((BG402:CR402&lt;1)*(PARTIDAS!$I$2:$AT$2="ELÉCTRICO"),PARTIDAS!$I$1:$AT$1,"")),""),IF(SUMPRODUCT((BG402:CR402&lt;1)*(PARTIDAS!$I$2:$AT$2="TERMINACIONES"))&gt;0,"TERMINACIONES: "&amp;_xlfn.TEXTJOIN(", ",TRUE,IF((BG402:CR402&lt;1)*(PARTIDAS!$I$2:$AT$2="TERMINACIONES"),PARTIDAS!$I$1:$AT$1,"")),""))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2" s="43" t="str" cm="1">
        <f t="array" ref="CU402">_xlfn.TEXTJOIN(", ",TRUE,IF(SUMPRODUCT((BG402:CR402&lt;1)*(PARTIDAS!$I$2:$AT$2="OBRA GRUESA"))&gt;0,"OBRA GRUESA",""),IF(SUMPRODUCT((BG402:CR402&lt;1)*(PARTIDAS!$I$2:$AT$2="SANITARIOS"))&gt;0,"SANITARIOS",""),IF(SUMPRODUCT((BG402:CR402&lt;1)*(PARTIDAS!$I$2:$AT$2="ELÉCTRICO"))&gt;0,"ELÉCTRICO",""),IF(SUMPRODUCT((BG402:CR402&lt;1)*(PARTIDAS!$I$2:$AT$2="TERMINACIONES"))&gt;0,"TERMINACIONES",""))</f>
        <v>OBRA GRUESA, SANITARIOS, ELÉCTRICO, TERMINACIONES</v>
      </c>
      <c r="CV402" s="44" cm="1">
        <f t="array" ref="CV402">SUMPRODUCT(--(BG402:CR402&lt;1))</f>
        <v>38</v>
      </c>
    </row>
    <row r="403" spans="1:100" hidden="1" x14ac:dyDescent="0.25">
      <c r="A403" t="s">
        <v>454</v>
      </c>
      <c r="B403" t="s">
        <v>472</v>
      </c>
      <c r="C403">
        <v>2302600402</v>
      </c>
      <c r="D403" t="s">
        <v>60</v>
      </c>
      <c r="E403" s="2">
        <v>0</v>
      </c>
      <c r="F403" s="1">
        <v>46339</v>
      </c>
      <c r="G403" s="1"/>
      <c r="H403" s="1">
        <v>0</v>
      </c>
      <c r="I403" s="1">
        <v>46369</v>
      </c>
      <c r="J403">
        <v>46230</v>
      </c>
      <c r="K403" s="1"/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>
        <v>31.32</v>
      </c>
      <c r="BF403" s="3" t="str">
        <f>+IF(AVANCE[[#This Row],[% AVANCE]]=100%,"MODULO TERMINADO",IF(AVANCE[[#This Row],[FECHA INICIO REAL]]="","MODULO NO INICIADO","PENDIENTE"))</f>
        <v>MODULO NO INICIADO</v>
      </c>
      <c r="BG403" s="3">
        <f>+IF(AVANCE[[#This Row],[VENTANAS]]=8.10810810810811%,100%,AVANCE[[#This Row],[VENTANAS]])</f>
        <v>0</v>
      </c>
      <c r="BH403" s="3">
        <f>+IF(AVANCE[[#This Row],[PISO]]=N$2,100%,AVANCE[[#This Row],[PISO]])</f>
        <v>0</v>
      </c>
      <c r="BI403" s="3">
        <f>+IF(AVANCE[[#This Row],[TABIQUES]]=O$2,100%,AVANCE[[#This Row],[TABIQUES]])</f>
        <v>0</v>
      </c>
      <c r="BJ403" s="3">
        <f>+IF(AVANCE[[#This Row],[MUROS]]=P$2,100%,AVANCE[[#This Row],[MUROS]])</f>
        <v>0</v>
      </c>
      <c r="BK403" s="3">
        <f>+IF(AVANCE[[#This Row],[CIELO]]=Q$2,100%,AVANCE[[#This Row],[CIELO]])</f>
        <v>0</v>
      </c>
      <c r="BL403" s="3">
        <f>+IF(AVANCE[[#This Row],[BALCÓN]]=R$2,100%,AVANCE[[#This Row],[BALCÓN]])</f>
        <v>0</v>
      </c>
      <c r="BM403" s="3">
        <f>+IF(AVANCE[[#This Row],[RED ALCANTARILLADO]]=U$2,100%,AVANCE[[#This Row],[RED ALCANTARILLADO]])</f>
        <v>0</v>
      </c>
      <c r="BN403" s="3">
        <f>+IF(AVANCE[[#This Row],[RED DE AGUA]]=V$2,100%,AVANCE[[#This Row],[RED DE AGUA]])</f>
        <v>0</v>
      </c>
      <c r="BO403" s="3">
        <f>+IF(AVANCE[[#This Row],[VENTILACIONES]]=W$2,100%,AVANCE[[#This Row],[VENTILACIONES]])</f>
        <v>0</v>
      </c>
      <c r="BP403" s="3">
        <f>+IF(AVANCE[[#This Row],[TINA]]=X$2,100%,AVANCE[[#This Row],[TINA]])</f>
        <v>0</v>
      </c>
      <c r="BQ403" s="3">
        <f>+IF(AVANCE[[#This Row],[WC]]=Y$2,100%,AVANCE[[#This Row],[WC]])</f>
        <v>0</v>
      </c>
      <c r="BR403" s="3">
        <f>+IF(AVANCE[[#This Row],[LAVAMANOS / LAVAPLATOS / LAVADERO]]=Z$2,100%,AVANCE[[#This Row],[LAVAMANOS / LAVAPLATOS / LAVADERO]])</f>
        <v>0</v>
      </c>
      <c r="BS403" s="3">
        <f>+IF(AVANCE[[#This Row],[CANALIZACIÓN]]=AC$2,100%,AVANCE[[#This Row],[CANALIZACIÓN]])</f>
        <v>0</v>
      </c>
      <c r="BT403" s="3">
        <f>+IF(AVANCE[[#This Row],[CABLEADO]]=AD$2,100%,AVANCE[[#This Row],[CABLEADO]])</f>
        <v>0</v>
      </c>
      <c r="BU403" s="3">
        <f>+IF(AVANCE[[#This Row],[ARTEFACTOS]]=AE$2,100%,AVANCE[[#This Row],[ARTEFACTOS]])</f>
        <v>0</v>
      </c>
      <c r="BV403" s="3">
        <f>+IF(AVANCE[[#This Row],[TABLERO]]=AF$2,100%,AVANCE[[#This Row],[TABLERO]])</f>
        <v>0</v>
      </c>
      <c r="BW403" s="3">
        <f>+IF(AVANCE[[#This Row],[CAJA PAU]]=AG$2,100%,AVANCE[[#This Row],[CAJA PAU]])</f>
        <v>0</v>
      </c>
      <c r="BX403" s="3">
        <f>+IF(AVANCE[[#This Row],[INSTALACION VINILICO]]=AJ$2,100%,AVANCE[[#This Row],[INSTALACION VINILICO]])</f>
        <v>0</v>
      </c>
      <c r="BY403" s="3">
        <f>+IF(AVANCE[[#This Row],[OSB CUBIERTA]]=AK$2,100%,AVANCE[[#This Row],[OSB CUBIERTA]])</f>
        <v>0</v>
      </c>
      <c r="BZ403" s="3">
        <f>+IF(AVANCE[[#This Row],[BARANDA BALCON]]=AL$2,100%,AVANCE[[#This Row],[BARANDA BALCON]])</f>
        <v>0</v>
      </c>
      <c r="CA403" s="3">
        <f>+IF(AVANCE[[#This Row],[OSB EXTERIOR]]=AM$2,100%,AVANCE[[#This Row],[OSB EXTERIOR]])</f>
        <v>0</v>
      </c>
      <c r="CB403" s="3">
        <f>+IF(AVANCE[[#This Row],[SMART PANEL]]=AN$2,100%,AVANCE[[#This Row],[SMART PANEL]])</f>
        <v>0</v>
      </c>
      <c r="CC403" s="3">
        <f>+IF(AVANCE[[#This Row],[PINTURA EXTERIOR]]=AO$2,100%,AVANCE[[#This Row],[PINTURA EXTERIOR]])</f>
        <v>0</v>
      </c>
      <c r="CD403" s="3">
        <f>+IF(AVANCE[[#This Row],[ZOCALOS LOGIA]]=AP$2,100%,AVANCE[[#This Row],[ZOCALOS LOGIA]])</f>
        <v>0</v>
      </c>
      <c r="CE403" s="3">
        <f>+IF(AVANCE[[#This Row],[MOLDURAS]]=AQ$2,100%,AVANCE[[#This Row],[MOLDURAS]])</f>
        <v>0</v>
      </c>
      <c r="CF403" s="3">
        <f>+IF(AVANCE[[#This Row],[PILASTREO]]=AR$2,100%,AVANCE[[#This Row],[PILASTREO]])</f>
        <v>0</v>
      </c>
      <c r="CG403" s="3">
        <f>+IF(AVANCE[[#This Row],[CELOSIAS]]=AS$2,100%,AVANCE[[#This Row],[CELOSIAS]])</f>
        <v>0</v>
      </c>
      <c r="CH403" s="3">
        <f>+IF(AVANCE[[#This Row],[VENTANAS]]=AT$2,100%,AVANCE[[#This Row],[VENTANAS]])</f>
        <v>0</v>
      </c>
      <c r="CI403" s="3">
        <f>+IF(AVANCE[[#This Row],[PUERTAS ACCESO - LOGIA - BANO]]=AU$2,100%,AVANCE[[#This Row],[PUERTAS ACCESO - LOGIA - BANO]])</f>
        <v>0</v>
      </c>
      <c r="CJ403" s="3">
        <f>+IF(AVANCE[[#This Row],[CERRADURAS]]=AV$2,100%,AVANCE[[#This Row],[CERRADURAS]])</f>
        <v>0</v>
      </c>
      <c r="CK403" s="3">
        <f>+IF(AVANCE[[#This Row],[REVESTIMIENTO INTERIOR ZONA SECA]]=AW$2,100%,AVANCE[[#This Row],[REVESTIMIENTO INTERIOR ZONA SECA]])</f>
        <v>0</v>
      </c>
      <c r="CL403" s="3">
        <f>+IF(AVANCE[[#This Row],[REVESTIMIENTO INTERIOR ZONAS HUMEDAS]]=AX$2,100%,AVANCE[[#This Row],[REVESTIMIENTO INTERIOR ZONAS HUMEDAS]])</f>
        <v>0</v>
      </c>
      <c r="CM403" s="3">
        <f>+IF(AVANCE[[#This Row],[MEMBRANA CIELO]]=AY$2,100%,AVANCE[[#This Row],[MEMBRANA CIELO]])</f>
        <v>0</v>
      </c>
      <c r="CN403" s="3">
        <f>+IF(AVANCE[[#This Row],[LIMPIEZA FINAL]]=AZ$2,100%,AVANCE[[#This Row],[LIMPIEZA FINAL]])</f>
        <v>0</v>
      </c>
      <c r="CO403" s="3">
        <f>+IF(AVANCE[[#This Row],[PUERTAS DORMITORIO]]=BA$2,100%,AVANCE[[#This Row],[PUERTAS DORMITORIO]])</f>
        <v>0</v>
      </c>
      <c r="CP403" s="3">
        <f>+IF(AVANCE[[#This Row],[REVESTIMIENTO INTERIOR BANO]]=BB$2,100%,AVANCE[[#This Row],[REVESTIMIENTO INTERIOR BANO]])</f>
        <v>0</v>
      </c>
      <c r="CQ403" s="3">
        <f>+IF(AVANCE[[#This Row],[MUEBLE LAVAPLATOS]]=BC$2,100%,AVANCE[[#This Row],[MUEBLE LAVAPLATOS]])</f>
        <v>0</v>
      </c>
      <c r="CR403" s="3">
        <f>+IF(AVANCE[[#This Row],[IMPERMEABILIZACION BANO - COCINA LOGIA]]=BD$2,100%,AVANCE[[#This Row],[IMPERMEABILIZACION BANO - COCINA LOGIA]])</f>
        <v>0</v>
      </c>
      <c r="CS403" s="40">
        <f ca="1">+IF(AVANCE[[#This Row],[ESTADO MODULO]]="PENDIENTE",(TODAY()-AVANCE[[#This Row],[FECHA TERMINO  PLANIFICADO]]),0)</f>
        <v>0</v>
      </c>
      <c r="CT403" s="41" t="str" cm="1">
        <f t="array" ref="CT403">_xlfn.TEXTJOIN(" | ",TRUE,IF(SUMPRODUCT((BG403:CR403&lt;1)*(PARTIDAS!$I$2:$AT$2="OBRA GRUESA"))&gt;0,"OBRA GRUESA: "&amp;_xlfn.TEXTJOIN(", ",TRUE,IF((BG403:CR403&lt;1)*(PARTIDAS!$I$2:$AT$2="OBRA GRUESA"),PARTIDAS!$I$1:$AT$1,"")),""),IF(SUMPRODUCT((BG403:CR403&lt;1)*(PARTIDAS!$I$2:$AT$2="SANITARIOS"))&gt;0,"SANITARIOS: "&amp;_xlfn.TEXTJOIN(", ",TRUE,IF((BG403:CR403&lt;1)*(PARTIDAS!$I$2:$AT$2="SANITARIOS"),PARTIDAS!$I$1:$AT$1,"")),""),IF(SUMPRODUCT((BG403:CR403&lt;1)*(PARTIDAS!$I$2:$AT$2="ELÉCTRICO"))&gt;0,"ELÉCTRICO: "&amp;_xlfn.TEXTJOIN(", ",TRUE,IF((BG403:CR403&lt;1)*(PARTIDAS!$I$2:$AT$2="ELÉCTRICO"),PARTIDAS!$I$1:$AT$1,"")),""),IF(SUMPRODUCT((BG403:CR403&lt;1)*(PARTIDAS!$I$2:$AT$2="TERMINACIONES"))&gt;0,"TERMINACIONES: "&amp;_xlfn.TEXTJOIN(", ",TRUE,IF((BG403:CR403&lt;1)*(PARTIDAS!$I$2:$AT$2="TERMINACIONES"),PARTIDAS!$I$1:$AT$1,"")),""))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3" s="43" t="str" cm="1">
        <f t="array" ref="CU403">_xlfn.TEXTJOIN(", ",TRUE,IF(SUMPRODUCT((BG403:CR403&lt;1)*(PARTIDAS!$I$2:$AT$2="OBRA GRUESA"))&gt;0,"OBRA GRUESA",""),IF(SUMPRODUCT((BG403:CR403&lt;1)*(PARTIDAS!$I$2:$AT$2="SANITARIOS"))&gt;0,"SANITARIOS",""),IF(SUMPRODUCT((BG403:CR403&lt;1)*(PARTIDAS!$I$2:$AT$2="ELÉCTRICO"))&gt;0,"ELÉCTRICO",""),IF(SUMPRODUCT((BG403:CR403&lt;1)*(PARTIDAS!$I$2:$AT$2="TERMINACIONES"))&gt;0,"TERMINACIONES",""))</f>
        <v>OBRA GRUESA, SANITARIOS, ELÉCTRICO, TERMINACIONES</v>
      </c>
      <c r="CV403" s="44" cm="1">
        <f t="array" ref="CV403">SUMPRODUCT(--(BG403:CR403&lt;1))</f>
        <v>38</v>
      </c>
    </row>
    <row r="404" spans="1:100" hidden="1" x14ac:dyDescent="0.25">
      <c r="A404" t="s">
        <v>454</v>
      </c>
      <c r="B404" t="s">
        <v>473</v>
      </c>
      <c r="C404">
        <v>2302600403</v>
      </c>
      <c r="D404" t="s">
        <v>60</v>
      </c>
      <c r="E404" s="2">
        <v>0</v>
      </c>
      <c r="F404" s="1">
        <v>46339</v>
      </c>
      <c r="G404" s="1"/>
      <c r="H404" s="1">
        <v>0</v>
      </c>
      <c r="I404" s="1">
        <v>46369</v>
      </c>
      <c r="J404">
        <v>46230</v>
      </c>
      <c r="K404" s="1"/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>
        <v>31.32</v>
      </c>
      <c r="BF404" s="3" t="str">
        <f>+IF(AVANCE[[#This Row],[% AVANCE]]=100%,"MODULO TERMINADO",IF(AVANCE[[#This Row],[FECHA INICIO REAL]]="","MODULO NO INICIADO","PENDIENTE"))</f>
        <v>MODULO NO INICIADO</v>
      </c>
      <c r="BG404" s="3">
        <f>+IF(AVANCE[[#This Row],[VENTANAS]]=8.10810810810811%,100%,AVANCE[[#This Row],[VENTANAS]])</f>
        <v>0</v>
      </c>
      <c r="BH404" s="3">
        <f>+IF(AVANCE[[#This Row],[PISO]]=N$2,100%,AVANCE[[#This Row],[PISO]])</f>
        <v>0</v>
      </c>
      <c r="BI404" s="3">
        <f>+IF(AVANCE[[#This Row],[TABIQUES]]=O$2,100%,AVANCE[[#This Row],[TABIQUES]])</f>
        <v>0</v>
      </c>
      <c r="BJ404" s="3">
        <f>+IF(AVANCE[[#This Row],[MUROS]]=P$2,100%,AVANCE[[#This Row],[MUROS]])</f>
        <v>0</v>
      </c>
      <c r="BK404" s="3">
        <f>+IF(AVANCE[[#This Row],[CIELO]]=Q$2,100%,AVANCE[[#This Row],[CIELO]])</f>
        <v>0</v>
      </c>
      <c r="BL404" s="3">
        <f>+IF(AVANCE[[#This Row],[BALCÓN]]=R$2,100%,AVANCE[[#This Row],[BALCÓN]])</f>
        <v>0</v>
      </c>
      <c r="BM404" s="3">
        <f>+IF(AVANCE[[#This Row],[RED ALCANTARILLADO]]=U$2,100%,AVANCE[[#This Row],[RED ALCANTARILLADO]])</f>
        <v>0</v>
      </c>
      <c r="BN404" s="3">
        <f>+IF(AVANCE[[#This Row],[RED DE AGUA]]=V$2,100%,AVANCE[[#This Row],[RED DE AGUA]])</f>
        <v>0</v>
      </c>
      <c r="BO404" s="3">
        <f>+IF(AVANCE[[#This Row],[VENTILACIONES]]=W$2,100%,AVANCE[[#This Row],[VENTILACIONES]])</f>
        <v>0</v>
      </c>
      <c r="BP404" s="3">
        <f>+IF(AVANCE[[#This Row],[TINA]]=X$2,100%,AVANCE[[#This Row],[TINA]])</f>
        <v>0</v>
      </c>
      <c r="BQ404" s="3">
        <f>+IF(AVANCE[[#This Row],[WC]]=Y$2,100%,AVANCE[[#This Row],[WC]])</f>
        <v>0</v>
      </c>
      <c r="BR404" s="3">
        <f>+IF(AVANCE[[#This Row],[LAVAMANOS / LAVAPLATOS / LAVADERO]]=Z$2,100%,AVANCE[[#This Row],[LAVAMANOS / LAVAPLATOS / LAVADERO]])</f>
        <v>0</v>
      </c>
      <c r="BS404" s="3">
        <f>+IF(AVANCE[[#This Row],[CANALIZACIÓN]]=AC$2,100%,AVANCE[[#This Row],[CANALIZACIÓN]])</f>
        <v>0</v>
      </c>
      <c r="BT404" s="3">
        <f>+IF(AVANCE[[#This Row],[CABLEADO]]=AD$2,100%,AVANCE[[#This Row],[CABLEADO]])</f>
        <v>0</v>
      </c>
      <c r="BU404" s="3">
        <f>+IF(AVANCE[[#This Row],[ARTEFACTOS]]=AE$2,100%,AVANCE[[#This Row],[ARTEFACTOS]])</f>
        <v>0</v>
      </c>
      <c r="BV404" s="3">
        <f>+IF(AVANCE[[#This Row],[TABLERO]]=AF$2,100%,AVANCE[[#This Row],[TABLERO]])</f>
        <v>0</v>
      </c>
      <c r="BW404" s="3">
        <f>+IF(AVANCE[[#This Row],[CAJA PAU]]=AG$2,100%,AVANCE[[#This Row],[CAJA PAU]])</f>
        <v>0</v>
      </c>
      <c r="BX404" s="3">
        <f>+IF(AVANCE[[#This Row],[INSTALACION VINILICO]]=AJ$2,100%,AVANCE[[#This Row],[INSTALACION VINILICO]])</f>
        <v>0</v>
      </c>
      <c r="BY404" s="3">
        <f>+IF(AVANCE[[#This Row],[OSB CUBIERTA]]=AK$2,100%,AVANCE[[#This Row],[OSB CUBIERTA]])</f>
        <v>0</v>
      </c>
      <c r="BZ404" s="3">
        <f>+IF(AVANCE[[#This Row],[BARANDA BALCON]]=AL$2,100%,AVANCE[[#This Row],[BARANDA BALCON]])</f>
        <v>0</v>
      </c>
      <c r="CA404" s="3">
        <f>+IF(AVANCE[[#This Row],[OSB EXTERIOR]]=AM$2,100%,AVANCE[[#This Row],[OSB EXTERIOR]])</f>
        <v>0</v>
      </c>
      <c r="CB404" s="3">
        <f>+IF(AVANCE[[#This Row],[SMART PANEL]]=AN$2,100%,AVANCE[[#This Row],[SMART PANEL]])</f>
        <v>0</v>
      </c>
      <c r="CC404" s="3">
        <f>+IF(AVANCE[[#This Row],[PINTURA EXTERIOR]]=AO$2,100%,AVANCE[[#This Row],[PINTURA EXTERIOR]])</f>
        <v>0</v>
      </c>
      <c r="CD404" s="3">
        <f>+IF(AVANCE[[#This Row],[ZOCALOS LOGIA]]=AP$2,100%,AVANCE[[#This Row],[ZOCALOS LOGIA]])</f>
        <v>0</v>
      </c>
      <c r="CE404" s="3">
        <f>+IF(AVANCE[[#This Row],[MOLDURAS]]=AQ$2,100%,AVANCE[[#This Row],[MOLDURAS]])</f>
        <v>0</v>
      </c>
      <c r="CF404" s="3">
        <f>+IF(AVANCE[[#This Row],[PILASTREO]]=AR$2,100%,AVANCE[[#This Row],[PILASTREO]])</f>
        <v>0</v>
      </c>
      <c r="CG404" s="3">
        <f>+IF(AVANCE[[#This Row],[CELOSIAS]]=AS$2,100%,AVANCE[[#This Row],[CELOSIAS]])</f>
        <v>0</v>
      </c>
      <c r="CH404" s="3">
        <f>+IF(AVANCE[[#This Row],[VENTANAS]]=AT$2,100%,AVANCE[[#This Row],[VENTANAS]])</f>
        <v>0</v>
      </c>
      <c r="CI404" s="3">
        <f>+IF(AVANCE[[#This Row],[PUERTAS ACCESO - LOGIA - BANO]]=AU$2,100%,AVANCE[[#This Row],[PUERTAS ACCESO - LOGIA - BANO]])</f>
        <v>0</v>
      </c>
      <c r="CJ404" s="3">
        <f>+IF(AVANCE[[#This Row],[CERRADURAS]]=AV$2,100%,AVANCE[[#This Row],[CERRADURAS]])</f>
        <v>0</v>
      </c>
      <c r="CK404" s="3">
        <f>+IF(AVANCE[[#This Row],[REVESTIMIENTO INTERIOR ZONA SECA]]=AW$2,100%,AVANCE[[#This Row],[REVESTIMIENTO INTERIOR ZONA SECA]])</f>
        <v>0</v>
      </c>
      <c r="CL404" s="3">
        <f>+IF(AVANCE[[#This Row],[REVESTIMIENTO INTERIOR ZONAS HUMEDAS]]=AX$2,100%,AVANCE[[#This Row],[REVESTIMIENTO INTERIOR ZONAS HUMEDAS]])</f>
        <v>0</v>
      </c>
      <c r="CM404" s="3">
        <f>+IF(AVANCE[[#This Row],[MEMBRANA CIELO]]=AY$2,100%,AVANCE[[#This Row],[MEMBRANA CIELO]])</f>
        <v>0</v>
      </c>
      <c r="CN404" s="3">
        <f>+IF(AVANCE[[#This Row],[LIMPIEZA FINAL]]=AZ$2,100%,AVANCE[[#This Row],[LIMPIEZA FINAL]])</f>
        <v>0</v>
      </c>
      <c r="CO404" s="3">
        <f>+IF(AVANCE[[#This Row],[PUERTAS DORMITORIO]]=BA$2,100%,AVANCE[[#This Row],[PUERTAS DORMITORIO]])</f>
        <v>0</v>
      </c>
      <c r="CP404" s="3">
        <f>+IF(AVANCE[[#This Row],[REVESTIMIENTO INTERIOR BANO]]=BB$2,100%,AVANCE[[#This Row],[REVESTIMIENTO INTERIOR BANO]])</f>
        <v>0</v>
      </c>
      <c r="CQ404" s="3">
        <f>+IF(AVANCE[[#This Row],[MUEBLE LAVAPLATOS]]=BC$2,100%,AVANCE[[#This Row],[MUEBLE LAVAPLATOS]])</f>
        <v>0</v>
      </c>
      <c r="CR404" s="3">
        <f>+IF(AVANCE[[#This Row],[IMPERMEABILIZACION BANO - COCINA LOGIA]]=BD$2,100%,AVANCE[[#This Row],[IMPERMEABILIZACION BANO - COCINA LOGIA]])</f>
        <v>0</v>
      </c>
      <c r="CS404" s="40">
        <f ca="1">+IF(AVANCE[[#This Row],[ESTADO MODULO]]="PENDIENTE",(TODAY()-AVANCE[[#This Row],[FECHA TERMINO  PLANIFICADO]]),0)</f>
        <v>0</v>
      </c>
      <c r="CT404" s="41" t="str" cm="1">
        <f t="array" ref="CT404">_xlfn.TEXTJOIN(" | ",TRUE,IF(SUMPRODUCT((BG404:CR404&lt;1)*(PARTIDAS!$I$2:$AT$2="OBRA GRUESA"))&gt;0,"OBRA GRUESA: "&amp;_xlfn.TEXTJOIN(", ",TRUE,IF((BG404:CR404&lt;1)*(PARTIDAS!$I$2:$AT$2="OBRA GRUESA"),PARTIDAS!$I$1:$AT$1,"")),""),IF(SUMPRODUCT((BG404:CR404&lt;1)*(PARTIDAS!$I$2:$AT$2="SANITARIOS"))&gt;0,"SANITARIOS: "&amp;_xlfn.TEXTJOIN(", ",TRUE,IF((BG404:CR404&lt;1)*(PARTIDAS!$I$2:$AT$2="SANITARIOS"),PARTIDAS!$I$1:$AT$1,"")),""),IF(SUMPRODUCT((BG404:CR404&lt;1)*(PARTIDAS!$I$2:$AT$2="ELÉCTRICO"))&gt;0,"ELÉCTRICO: "&amp;_xlfn.TEXTJOIN(", ",TRUE,IF((BG404:CR404&lt;1)*(PARTIDAS!$I$2:$AT$2="ELÉCTRICO"),PARTIDAS!$I$1:$AT$1,"")),""),IF(SUMPRODUCT((BG404:CR404&lt;1)*(PARTIDAS!$I$2:$AT$2="TERMINACIONES"))&gt;0,"TERMINACIONES: "&amp;_xlfn.TEXTJOIN(", ",TRUE,IF((BG404:CR404&lt;1)*(PARTIDAS!$I$2:$AT$2="TERMINACIONES"),PARTIDAS!$I$1:$AT$1,"")),""))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4" s="43" t="str" cm="1">
        <f t="array" ref="CU404">_xlfn.TEXTJOIN(", ",TRUE,IF(SUMPRODUCT((BG404:CR404&lt;1)*(PARTIDAS!$I$2:$AT$2="OBRA GRUESA"))&gt;0,"OBRA GRUESA",""),IF(SUMPRODUCT((BG404:CR404&lt;1)*(PARTIDAS!$I$2:$AT$2="SANITARIOS"))&gt;0,"SANITARIOS",""),IF(SUMPRODUCT((BG404:CR404&lt;1)*(PARTIDAS!$I$2:$AT$2="ELÉCTRICO"))&gt;0,"ELÉCTRICO",""),IF(SUMPRODUCT((BG404:CR404&lt;1)*(PARTIDAS!$I$2:$AT$2="TERMINACIONES"))&gt;0,"TERMINACIONES",""))</f>
        <v>OBRA GRUESA, SANITARIOS, ELÉCTRICO, TERMINACIONES</v>
      </c>
      <c r="CV404" s="44" cm="1">
        <f t="array" ref="CV404">SUMPRODUCT(--(BG404:CR404&lt;1))</f>
        <v>38</v>
      </c>
    </row>
    <row r="405" spans="1:100" hidden="1" x14ac:dyDescent="0.25">
      <c r="A405" t="s">
        <v>454</v>
      </c>
      <c r="B405" t="s">
        <v>474</v>
      </c>
      <c r="C405">
        <v>2282600404</v>
      </c>
      <c r="D405" t="s">
        <v>58</v>
      </c>
      <c r="E405" s="2">
        <v>0</v>
      </c>
      <c r="F405" s="1">
        <v>46342</v>
      </c>
      <c r="G405" s="1"/>
      <c r="H405" s="1">
        <v>0</v>
      </c>
      <c r="I405" s="1">
        <v>46362</v>
      </c>
      <c r="J405">
        <v>46230</v>
      </c>
      <c r="K405" s="1"/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>
        <v>28.87</v>
      </c>
      <c r="BF405" s="3" t="str">
        <f>+IF(AVANCE[[#This Row],[% AVANCE]]=100%,"MODULO TERMINADO",IF(AVANCE[[#This Row],[FECHA INICIO REAL]]="","MODULO NO INICIADO","PENDIENTE"))</f>
        <v>MODULO NO INICIADO</v>
      </c>
      <c r="BG405" s="3">
        <f>+IF(AVANCE[[#This Row],[VENTANAS]]=8.10810810810811%,100%,AVANCE[[#This Row],[VENTANAS]])</f>
        <v>0</v>
      </c>
      <c r="BH405" s="3">
        <f>+IF(AVANCE[[#This Row],[PISO]]=N$2,100%,AVANCE[[#This Row],[PISO]])</f>
        <v>0</v>
      </c>
      <c r="BI405" s="3">
        <f>+IF(AVANCE[[#This Row],[TABIQUES]]=O$2,100%,AVANCE[[#This Row],[TABIQUES]])</f>
        <v>0</v>
      </c>
      <c r="BJ405" s="3">
        <f>+IF(AVANCE[[#This Row],[MUROS]]=P$2,100%,AVANCE[[#This Row],[MUROS]])</f>
        <v>0</v>
      </c>
      <c r="BK405" s="3">
        <f>+IF(AVANCE[[#This Row],[CIELO]]=Q$2,100%,AVANCE[[#This Row],[CIELO]])</f>
        <v>0</v>
      </c>
      <c r="BL405" s="3">
        <f>+IF(AVANCE[[#This Row],[BALCÓN]]=R$2,100%,AVANCE[[#This Row],[BALCÓN]])</f>
        <v>0</v>
      </c>
      <c r="BM405" s="3">
        <f>+IF(AVANCE[[#This Row],[RED ALCANTARILLADO]]=U$2,100%,AVANCE[[#This Row],[RED ALCANTARILLADO]])</f>
        <v>0</v>
      </c>
      <c r="BN405" s="3">
        <f>+IF(AVANCE[[#This Row],[RED DE AGUA]]=V$2,100%,AVANCE[[#This Row],[RED DE AGUA]])</f>
        <v>0</v>
      </c>
      <c r="BO405" s="3">
        <f>+IF(AVANCE[[#This Row],[VENTILACIONES]]=W$2,100%,AVANCE[[#This Row],[VENTILACIONES]])</f>
        <v>0</v>
      </c>
      <c r="BP405" s="3">
        <f>+IF(AVANCE[[#This Row],[TINA]]=X$2,100%,AVANCE[[#This Row],[TINA]])</f>
        <v>0</v>
      </c>
      <c r="BQ405" s="3">
        <f>+IF(AVANCE[[#This Row],[WC]]=Y$2,100%,AVANCE[[#This Row],[WC]])</f>
        <v>0</v>
      </c>
      <c r="BR405" s="3">
        <f>+IF(AVANCE[[#This Row],[LAVAMANOS / LAVAPLATOS / LAVADERO]]=Z$2,100%,AVANCE[[#This Row],[LAVAMANOS / LAVAPLATOS / LAVADERO]])</f>
        <v>0</v>
      </c>
      <c r="BS405" s="3">
        <f>+IF(AVANCE[[#This Row],[CANALIZACIÓN]]=AC$2,100%,AVANCE[[#This Row],[CANALIZACIÓN]])</f>
        <v>0</v>
      </c>
      <c r="BT405" s="3">
        <f>+IF(AVANCE[[#This Row],[CABLEADO]]=AD$2,100%,AVANCE[[#This Row],[CABLEADO]])</f>
        <v>0</v>
      </c>
      <c r="BU405" s="3">
        <f>+IF(AVANCE[[#This Row],[ARTEFACTOS]]=AE$2,100%,AVANCE[[#This Row],[ARTEFACTOS]])</f>
        <v>0</v>
      </c>
      <c r="BV405" s="3">
        <f>+IF(AVANCE[[#This Row],[TABLERO]]=AF$2,100%,AVANCE[[#This Row],[TABLERO]])</f>
        <v>0</v>
      </c>
      <c r="BW405" s="3">
        <f>+IF(AVANCE[[#This Row],[CAJA PAU]]=AG$2,100%,AVANCE[[#This Row],[CAJA PAU]])</f>
        <v>0</v>
      </c>
      <c r="BX405" s="3">
        <f>+IF(AVANCE[[#This Row],[INSTALACION VINILICO]]=AJ$2,100%,AVANCE[[#This Row],[INSTALACION VINILICO]])</f>
        <v>0</v>
      </c>
      <c r="BY405" s="3">
        <f>+IF(AVANCE[[#This Row],[OSB CUBIERTA]]=AK$2,100%,AVANCE[[#This Row],[OSB CUBIERTA]])</f>
        <v>0</v>
      </c>
      <c r="BZ405" s="3">
        <f>+IF(AVANCE[[#This Row],[BARANDA BALCON]]=AL$2,100%,AVANCE[[#This Row],[BARANDA BALCON]])</f>
        <v>0</v>
      </c>
      <c r="CA405" s="3">
        <f>+IF(AVANCE[[#This Row],[OSB EXTERIOR]]=AM$2,100%,AVANCE[[#This Row],[OSB EXTERIOR]])</f>
        <v>0</v>
      </c>
      <c r="CB405" s="3">
        <f>+IF(AVANCE[[#This Row],[SMART PANEL]]=AN$2,100%,AVANCE[[#This Row],[SMART PANEL]])</f>
        <v>0</v>
      </c>
      <c r="CC405" s="3">
        <f>+IF(AVANCE[[#This Row],[PINTURA EXTERIOR]]=AO$2,100%,AVANCE[[#This Row],[PINTURA EXTERIOR]])</f>
        <v>0</v>
      </c>
      <c r="CD405" s="3">
        <f>+IF(AVANCE[[#This Row],[ZOCALOS LOGIA]]=AP$2,100%,AVANCE[[#This Row],[ZOCALOS LOGIA]])</f>
        <v>0</v>
      </c>
      <c r="CE405" s="3">
        <f>+IF(AVANCE[[#This Row],[MOLDURAS]]=AQ$2,100%,AVANCE[[#This Row],[MOLDURAS]])</f>
        <v>0</v>
      </c>
      <c r="CF405" s="3">
        <f>+IF(AVANCE[[#This Row],[PILASTREO]]=AR$2,100%,AVANCE[[#This Row],[PILASTREO]])</f>
        <v>0</v>
      </c>
      <c r="CG405" s="3">
        <f>+IF(AVANCE[[#This Row],[CELOSIAS]]=AS$2,100%,AVANCE[[#This Row],[CELOSIAS]])</f>
        <v>0</v>
      </c>
      <c r="CH405" s="3">
        <f>+IF(AVANCE[[#This Row],[VENTANAS]]=AT$2,100%,AVANCE[[#This Row],[VENTANAS]])</f>
        <v>0</v>
      </c>
      <c r="CI405" s="3">
        <f>+IF(AVANCE[[#This Row],[PUERTAS ACCESO - LOGIA - BANO]]=AU$2,100%,AVANCE[[#This Row],[PUERTAS ACCESO - LOGIA - BANO]])</f>
        <v>0</v>
      </c>
      <c r="CJ405" s="3">
        <f>+IF(AVANCE[[#This Row],[CERRADURAS]]=AV$2,100%,AVANCE[[#This Row],[CERRADURAS]])</f>
        <v>0</v>
      </c>
      <c r="CK405" s="3">
        <f>+IF(AVANCE[[#This Row],[REVESTIMIENTO INTERIOR ZONA SECA]]=AW$2,100%,AVANCE[[#This Row],[REVESTIMIENTO INTERIOR ZONA SECA]])</f>
        <v>0</v>
      </c>
      <c r="CL405" s="3">
        <f>+IF(AVANCE[[#This Row],[REVESTIMIENTO INTERIOR ZONAS HUMEDAS]]=AX$2,100%,AVANCE[[#This Row],[REVESTIMIENTO INTERIOR ZONAS HUMEDAS]])</f>
        <v>0</v>
      </c>
      <c r="CM405" s="3">
        <f>+IF(AVANCE[[#This Row],[MEMBRANA CIELO]]=AY$2,100%,AVANCE[[#This Row],[MEMBRANA CIELO]])</f>
        <v>0</v>
      </c>
      <c r="CN405" s="3">
        <f>+IF(AVANCE[[#This Row],[LIMPIEZA FINAL]]=AZ$2,100%,AVANCE[[#This Row],[LIMPIEZA FINAL]])</f>
        <v>0</v>
      </c>
      <c r="CO405" s="3">
        <f>+IF(AVANCE[[#This Row],[PUERTAS DORMITORIO]]=BA$2,100%,AVANCE[[#This Row],[PUERTAS DORMITORIO]])</f>
        <v>0</v>
      </c>
      <c r="CP405" s="3">
        <f>+IF(AVANCE[[#This Row],[REVESTIMIENTO INTERIOR BANO]]=BB$2,100%,AVANCE[[#This Row],[REVESTIMIENTO INTERIOR BANO]])</f>
        <v>0</v>
      </c>
      <c r="CQ405" s="3">
        <f>+IF(AVANCE[[#This Row],[MUEBLE LAVAPLATOS]]=BC$2,100%,AVANCE[[#This Row],[MUEBLE LAVAPLATOS]])</f>
        <v>0</v>
      </c>
      <c r="CR405" s="3">
        <f>+IF(AVANCE[[#This Row],[IMPERMEABILIZACION BANO - COCINA LOGIA]]=BD$2,100%,AVANCE[[#This Row],[IMPERMEABILIZACION BANO - COCINA LOGIA]])</f>
        <v>0</v>
      </c>
      <c r="CS405" s="40">
        <f ca="1">+IF(AVANCE[[#This Row],[ESTADO MODULO]]="PENDIENTE",(TODAY()-AVANCE[[#This Row],[FECHA TERMINO  PLANIFICADO]]),0)</f>
        <v>0</v>
      </c>
      <c r="CT405" s="41" t="str" cm="1">
        <f t="array" ref="CT405">_xlfn.TEXTJOIN(" | ",TRUE,IF(SUMPRODUCT((BG405:CR405&lt;1)*(PARTIDAS!$I$2:$AT$2="OBRA GRUESA"))&gt;0,"OBRA GRUESA: "&amp;_xlfn.TEXTJOIN(", ",TRUE,IF((BG405:CR405&lt;1)*(PARTIDAS!$I$2:$AT$2="OBRA GRUESA"),PARTIDAS!$I$1:$AT$1,"")),""),IF(SUMPRODUCT((BG405:CR405&lt;1)*(PARTIDAS!$I$2:$AT$2="SANITARIOS"))&gt;0,"SANITARIOS: "&amp;_xlfn.TEXTJOIN(", ",TRUE,IF((BG405:CR405&lt;1)*(PARTIDAS!$I$2:$AT$2="SANITARIOS"),PARTIDAS!$I$1:$AT$1,"")),""),IF(SUMPRODUCT((BG405:CR405&lt;1)*(PARTIDAS!$I$2:$AT$2="ELÉCTRICO"))&gt;0,"ELÉCTRICO: "&amp;_xlfn.TEXTJOIN(", ",TRUE,IF((BG405:CR405&lt;1)*(PARTIDAS!$I$2:$AT$2="ELÉCTRICO"),PARTIDAS!$I$1:$AT$1,"")),""),IF(SUMPRODUCT((BG405:CR405&lt;1)*(PARTIDAS!$I$2:$AT$2="TERMINACIONES"))&gt;0,"TERMINACIONES: "&amp;_xlfn.TEXTJOIN(", ",TRUE,IF((BG405:CR405&lt;1)*(PARTIDAS!$I$2:$AT$2="TERMINACIONES"),PARTIDAS!$I$1:$AT$1,"")),""))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5" s="43" t="str" cm="1">
        <f t="array" ref="CU405">_xlfn.TEXTJOIN(", ",TRUE,IF(SUMPRODUCT((BG405:CR405&lt;1)*(PARTIDAS!$I$2:$AT$2="OBRA GRUESA"))&gt;0,"OBRA GRUESA",""),IF(SUMPRODUCT((BG405:CR405&lt;1)*(PARTIDAS!$I$2:$AT$2="SANITARIOS"))&gt;0,"SANITARIOS",""),IF(SUMPRODUCT((BG405:CR405&lt;1)*(PARTIDAS!$I$2:$AT$2="ELÉCTRICO"))&gt;0,"ELÉCTRICO",""),IF(SUMPRODUCT((BG405:CR405&lt;1)*(PARTIDAS!$I$2:$AT$2="TERMINACIONES"))&gt;0,"TERMINACIONES",""))</f>
        <v>OBRA GRUESA, SANITARIOS, ELÉCTRICO, TERMINACIONES</v>
      </c>
      <c r="CV405" s="44" cm="1">
        <f t="array" ref="CV405">SUMPRODUCT(--(BG405:CR405&lt;1))</f>
        <v>38</v>
      </c>
    </row>
    <row r="406" spans="1:100" hidden="1" x14ac:dyDescent="0.25">
      <c r="A406" t="s">
        <v>454</v>
      </c>
      <c r="B406" t="s">
        <v>475</v>
      </c>
      <c r="C406">
        <v>2282600405</v>
      </c>
      <c r="D406" t="s">
        <v>58</v>
      </c>
      <c r="E406" s="2">
        <v>0</v>
      </c>
      <c r="F406" s="1">
        <v>46342</v>
      </c>
      <c r="G406" s="1"/>
      <c r="H406" s="1">
        <v>0</v>
      </c>
      <c r="I406" s="1">
        <v>46362</v>
      </c>
      <c r="J406">
        <v>46230</v>
      </c>
      <c r="K406" s="1"/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>
        <v>28.87</v>
      </c>
      <c r="BF406" s="3" t="str">
        <f>+IF(AVANCE[[#This Row],[% AVANCE]]=100%,"MODULO TERMINADO",IF(AVANCE[[#This Row],[FECHA INICIO REAL]]="","MODULO NO INICIADO","PENDIENTE"))</f>
        <v>MODULO NO INICIADO</v>
      </c>
      <c r="BG406" s="3">
        <f>+IF(AVANCE[[#This Row],[VENTANAS]]=8.10810810810811%,100%,AVANCE[[#This Row],[VENTANAS]])</f>
        <v>0</v>
      </c>
      <c r="BH406" s="3">
        <f>+IF(AVANCE[[#This Row],[PISO]]=N$2,100%,AVANCE[[#This Row],[PISO]])</f>
        <v>0</v>
      </c>
      <c r="BI406" s="3">
        <f>+IF(AVANCE[[#This Row],[TABIQUES]]=O$2,100%,AVANCE[[#This Row],[TABIQUES]])</f>
        <v>0</v>
      </c>
      <c r="BJ406" s="3">
        <f>+IF(AVANCE[[#This Row],[MUROS]]=P$2,100%,AVANCE[[#This Row],[MUROS]])</f>
        <v>0</v>
      </c>
      <c r="BK406" s="3">
        <f>+IF(AVANCE[[#This Row],[CIELO]]=Q$2,100%,AVANCE[[#This Row],[CIELO]])</f>
        <v>0</v>
      </c>
      <c r="BL406" s="3">
        <f>+IF(AVANCE[[#This Row],[BALCÓN]]=R$2,100%,AVANCE[[#This Row],[BALCÓN]])</f>
        <v>0</v>
      </c>
      <c r="BM406" s="3">
        <f>+IF(AVANCE[[#This Row],[RED ALCANTARILLADO]]=U$2,100%,AVANCE[[#This Row],[RED ALCANTARILLADO]])</f>
        <v>0</v>
      </c>
      <c r="BN406" s="3">
        <f>+IF(AVANCE[[#This Row],[RED DE AGUA]]=V$2,100%,AVANCE[[#This Row],[RED DE AGUA]])</f>
        <v>0</v>
      </c>
      <c r="BO406" s="3">
        <f>+IF(AVANCE[[#This Row],[VENTILACIONES]]=W$2,100%,AVANCE[[#This Row],[VENTILACIONES]])</f>
        <v>0</v>
      </c>
      <c r="BP406" s="3">
        <f>+IF(AVANCE[[#This Row],[TINA]]=X$2,100%,AVANCE[[#This Row],[TINA]])</f>
        <v>0</v>
      </c>
      <c r="BQ406" s="3">
        <f>+IF(AVANCE[[#This Row],[WC]]=Y$2,100%,AVANCE[[#This Row],[WC]])</f>
        <v>0</v>
      </c>
      <c r="BR406" s="3">
        <f>+IF(AVANCE[[#This Row],[LAVAMANOS / LAVAPLATOS / LAVADERO]]=Z$2,100%,AVANCE[[#This Row],[LAVAMANOS / LAVAPLATOS / LAVADERO]])</f>
        <v>0</v>
      </c>
      <c r="BS406" s="3">
        <f>+IF(AVANCE[[#This Row],[CANALIZACIÓN]]=AC$2,100%,AVANCE[[#This Row],[CANALIZACIÓN]])</f>
        <v>0</v>
      </c>
      <c r="BT406" s="3">
        <f>+IF(AVANCE[[#This Row],[CABLEADO]]=AD$2,100%,AVANCE[[#This Row],[CABLEADO]])</f>
        <v>0</v>
      </c>
      <c r="BU406" s="3">
        <f>+IF(AVANCE[[#This Row],[ARTEFACTOS]]=AE$2,100%,AVANCE[[#This Row],[ARTEFACTOS]])</f>
        <v>0</v>
      </c>
      <c r="BV406" s="3">
        <f>+IF(AVANCE[[#This Row],[TABLERO]]=AF$2,100%,AVANCE[[#This Row],[TABLERO]])</f>
        <v>0</v>
      </c>
      <c r="BW406" s="3">
        <f>+IF(AVANCE[[#This Row],[CAJA PAU]]=AG$2,100%,AVANCE[[#This Row],[CAJA PAU]])</f>
        <v>0</v>
      </c>
      <c r="BX406" s="3">
        <f>+IF(AVANCE[[#This Row],[INSTALACION VINILICO]]=AJ$2,100%,AVANCE[[#This Row],[INSTALACION VINILICO]])</f>
        <v>0</v>
      </c>
      <c r="BY406" s="3">
        <f>+IF(AVANCE[[#This Row],[OSB CUBIERTA]]=AK$2,100%,AVANCE[[#This Row],[OSB CUBIERTA]])</f>
        <v>0</v>
      </c>
      <c r="BZ406" s="3">
        <f>+IF(AVANCE[[#This Row],[BARANDA BALCON]]=AL$2,100%,AVANCE[[#This Row],[BARANDA BALCON]])</f>
        <v>0</v>
      </c>
      <c r="CA406" s="3">
        <f>+IF(AVANCE[[#This Row],[OSB EXTERIOR]]=AM$2,100%,AVANCE[[#This Row],[OSB EXTERIOR]])</f>
        <v>0</v>
      </c>
      <c r="CB406" s="3">
        <f>+IF(AVANCE[[#This Row],[SMART PANEL]]=AN$2,100%,AVANCE[[#This Row],[SMART PANEL]])</f>
        <v>0</v>
      </c>
      <c r="CC406" s="3">
        <f>+IF(AVANCE[[#This Row],[PINTURA EXTERIOR]]=AO$2,100%,AVANCE[[#This Row],[PINTURA EXTERIOR]])</f>
        <v>0</v>
      </c>
      <c r="CD406" s="3">
        <f>+IF(AVANCE[[#This Row],[ZOCALOS LOGIA]]=AP$2,100%,AVANCE[[#This Row],[ZOCALOS LOGIA]])</f>
        <v>0</v>
      </c>
      <c r="CE406" s="3">
        <f>+IF(AVANCE[[#This Row],[MOLDURAS]]=AQ$2,100%,AVANCE[[#This Row],[MOLDURAS]])</f>
        <v>0</v>
      </c>
      <c r="CF406" s="3">
        <f>+IF(AVANCE[[#This Row],[PILASTREO]]=AR$2,100%,AVANCE[[#This Row],[PILASTREO]])</f>
        <v>0</v>
      </c>
      <c r="CG406" s="3">
        <f>+IF(AVANCE[[#This Row],[CELOSIAS]]=AS$2,100%,AVANCE[[#This Row],[CELOSIAS]])</f>
        <v>0</v>
      </c>
      <c r="CH406" s="3">
        <f>+IF(AVANCE[[#This Row],[VENTANAS]]=AT$2,100%,AVANCE[[#This Row],[VENTANAS]])</f>
        <v>0</v>
      </c>
      <c r="CI406" s="3">
        <f>+IF(AVANCE[[#This Row],[PUERTAS ACCESO - LOGIA - BANO]]=AU$2,100%,AVANCE[[#This Row],[PUERTAS ACCESO - LOGIA - BANO]])</f>
        <v>0</v>
      </c>
      <c r="CJ406" s="3">
        <f>+IF(AVANCE[[#This Row],[CERRADURAS]]=AV$2,100%,AVANCE[[#This Row],[CERRADURAS]])</f>
        <v>0</v>
      </c>
      <c r="CK406" s="3">
        <f>+IF(AVANCE[[#This Row],[REVESTIMIENTO INTERIOR ZONA SECA]]=AW$2,100%,AVANCE[[#This Row],[REVESTIMIENTO INTERIOR ZONA SECA]])</f>
        <v>0</v>
      </c>
      <c r="CL406" s="3">
        <f>+IF(AVANCE[[#This Row],[REVESTIMIENTO INTERIOR ZONAS HUMEDAS]]=AX$2,100%,AVANCE[[#This Row],[REVESTIMIENTO INTERIOR ZONAS HUMEDAS]])</f>
        <v>0</v>
      </c>
      <c r="CM406" s="3">
        <f>+IF(AVANCE[[#This Row],[MEMBRANA CIELO]]=AY$2,100%,AVANCE[[#This Row],[MEMBRANA CIELO]])</f>
        <v>0</v>
      </c>
      <c r="CN406" s="3">
        <f>+IF(AVANCE[[#This Row],[LIMPIEZA FINAL]]=AZ$2,100%,AVANCE[[#This Row],[LIMPIEZA FINAL]])</f>
        <v>0</v>
      </c>
      <c r="CO406" s="3">
        <f>+IF(AVANCE[[#This Row],[PUERTAS DORMITORIO]]=BA$2,100%,AVANCE[[#This Row],[PUERTAS DORMITORIO]])</f>
        <v>0</v>
      </c>
      <c r="CP406" s="3">
        <f>+IF(AVANCE[[#This Row],[REVESTIMIENTO INTERIOR BANO]]=BB$2,100%,AVANCE[[#This Row],[REVESTIMIENTO INTERIOR BANO]])</f>
        <v>0</v>
      </c>
      <c r="CQ406" s="3">
        <f>+IF(AVANCE[[#This Row],[MUEBLE LAVAPLATOS]]=BC$2,100%,AVANCE[[#This Row],[MUEBLE LAVAPLATOS]])</f>
        <v>0</v>
      </c>
      <c r="CR406" s="3">
        <f>+IF(AVANCE[[#This Row],[IMPERMEABILIZACION BANO - COCINA LOGIA]]=BD$2,100%,AVANCE[[#This Row],[IMPERMEABILIZACION BANO - COCINA LOGIA]])</f>
        <v>0</v>
      </c>
      <c r="CS406" s="40">
        <f ca="1">+IF(AVANCE[[#This Row],[ESTADO MODULO]]="PENDIENTE",(TODAY()-AVANCE[[#This Row],[FECHA TERMINO  PLANIFICADO]]),0)</f>
        <v>0</v>
      </c>
      <c r="CT406" s="41" t="str" cm="1">
        <f t="array" ref="CT406">_xlfn.TEXTJOIN(" | ",TRUE,IF(SUMPRODUCT((BG406:CR406&lt;1)*(PARTIDAS!$I$2:$AT$2="OBRA GRUESA"))&gt;0,"OBRA GRUESA: "&amp;_xlfn.TEXTJOIN(", ",TRUE,IF((BG406:CR406&lt;1)*(PARTIDAS!$I$2:$AT$2="OBRA GRUESA"),PARTIDAS!$I$1:$AT$1,"")),""),IF(SUMPRODUCT((BG406:CR406&lt;1)*(PARTIDAS!$I$2:$AT$2="SANITARIOS"))&gt;0,"SANITARIOS: "&amp;_xlfn.TEXTJOIN(", ",TRUE,IF((BG406:CR406&lt;1)*(PARTIDAS!$I$2:$AT$2="SANITARIOS"),PARTIDAS!$I$1:$AT$1,"")),""),IF(SUMPRODUCT((BG406:CR406&lt;1)*(PARTIDAS!$I$2:$AT$2="ELÉCTRICO"))&gt;0,"ELÉCTRICO: "&amp;_xlfn.TEXTJOIN(", ",TRUE,IF((BG406:CR406&lt;1)*(PARTIDAS!$I$2:$AT$2="ELÉCTRICO"),PARTIDAS!$I$1:$AT$1,"")),""),IF(SUMPRODUCT((BG406:CR406&lt;1)*(PARTIDAS!$I$2:$AT$2="TERMINACIONES"))&gt;0,"TERMINACIONES: "&amp;_xlfn.TEXTJOIN(", ",TRUE,IF((BG406:CR406&lt;1)*(PARTIDAS!$I$2:$AT$2="TERMINACIONES"),PARTIDAS!$I$1:$AT$1,"")),""))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6" s="43" t="str" cm="1">
        <f t="array" ref="CU406">_xlfn.TEXTJOIN(", ",TRUE,IF(SUMPRODUCT((BG406:CR406&lt;1)*(PARTIDAS!$I$2:$AT$2="OBRA GRUESA"))&gt;0,"OBRA GRUESA",""),IF(SUMPRODUCT((BG406:CR406&lt;1)*(PARTIDAS!$I$2:$AT$2="SANITARIOS"))&gt;0,"SANITARIOS",""),IF(SUMPRODUCT((BG406:CR406&lt;1)*(PARTIDAS!$I$2:$AT$2="ELÉCTRICO"))&gt;0,"ELÉCTRICO",""),IF(SUMPRODUCT((BG406:CR406&lt;1)*(PARTIDAS!$I$2:$AT$2="TERMINACIONES"))&gt;0,"TERMINACIONES",""))</f>
        <v>OBRA GRUESA, SANITARIOS, ELÉCTRICO, TERMINACIONES</v>
      </c>
      <c r="CV406" s="44" cm="1">
        <f t="array" ref="CV406">SUMPRODUCT(--(BG406:CR406&lt;1))</f>
        <v>38</v>
      </c>
    </row>
    <row r="407" spans="1:100" hidden="1" x14ac:dyDescent="0.25">
      <c r="A407" t="s">
        <v>454</v>
      </c>
      <c r="B407" t="s">
        <v>476</v>
      </c>
      <c r="C407">
        <v>2302600406</v>
      </c>
      <c r="D407" t="s">
        <v>60</v>
      </c>
      <c r="E407" s="2">
        <v>0</v>
      </c>
      <c r="F407" s="1">
        <v>46342</v>
      </c>
      <c r="G407" s="1"/>
      <c r="H407" s="1">
        <v>0</v>
      </c>
      <c r="I407" s="1">
        <v>46372</v>
      </c>
      <c r="J407">
        <v>46230</v>
      </c>
      <c r="K407" s="1"/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>
        <v>31.32</v>
      </c>
      <c r="BF407" s="3" t="str">
        <f>+IF(AVANCE[[#This Row],[% AVANCE]]=100%,"MODULO TERMINADO",IF(AVANCE[[#This Row],[FECHA INICIO REAL]]="","MODULO NO INICIADO","PENDIENTE"))</f>
        <v>MODULO NO INICIADO</v>
      </c>
      <c r="BG407" s="3">
        <f>+IF(AVANCE[[#This Row],[VENTANAS]]=8.10810810810811%,100%,AVANCE[[#This Row],[VENTANAS]])</f>
        <v>0</v>
      </c>
      <c r="BH407" s="3">
        <f>+IF(AVANCE[[#This Row],[PISO]]=N$2,100%,AVANCE[[#This Row],[PISO]])</f>
        <v>0</v>
      </c>
      <c r="BI407" s="3">
        <f>+IF(AVANCE[[#This Row],[TABIQUES]]=O$2,100%,AVANCE[[#This Row],[TABIQUES]])</f>
        <v>0</v>
      </c>
      <c r="BJ407" s="3">
        <f>+IF(AVANCE[[#This Row],[MUROS]]=P$2,100%,AVANCE[[#This Row],[MUROS]])</f>
        <v>0</v>
      </c>
      <c r="BK407" s="3">
        <f>+IF(AVANCE[[#This Row],[CIELO]]=Q$2,100%,AVANCE[[#This Row],[CIELO]])</f>
        <v>0</v>
      </c>
      <c r="BL407" s="3">
        <f>+IF(AVANCE[[#This Row],[BALCÓN]]=R$2,100%,AVANCE[[#This Row],[BALCÓN]])</f>
        <v>0</v>
      </c>
      <c r="BM407" s="3">
        <f>+IF(AVANCE[[#This Row],[RED ALCANTARILLADO]]=U$2,100%,AVANCE[[#This Row],[RED ALCANTARILLADO]])</f>
        <v>0</v>
      </c>
      <c r="BN407" s="3">
        <f>+IF(AVANCE[[#This Row],[RED DE AGUA]]=V$2,100%,AVANCE[[#This Row],[RED DE AGUA]])</f>
        <v>0</v>
      </c>
      <c r="BO407" s="3">
        <f>+IF(AVANCE[[#This Row],[VENTILACIONES]]=W$2,100%,AVANCE[[#This Row],[VENTILACIONES]])</f>
        <v>0</v>
      </c>
      <c r="BP407" s="3">
        <f>+IF(AVANCE[[#This Row],[TINA]]=X$2,100%,AVANCE[[#This Row],[TINA]])</f>
        <v>0</v>
      </c>
      <c r="BQ407" s="3">
        <f>+IF(AVANCE[[#This Row],[WC]]=Y$2,100%,AVANCE[[#This Row],[WC]])</f>
        <v>0</v>
      </c>
      <c r="BR407" s="3">
        <f>+IF(AVANCE[[#This Row],[LAVAMANOS / LAVAPLATOS / LAVADERO]]=Z$2,100%,AVANCE[[#This Row],[LAVAMANOS / LAVAPLATOS / LAVADERO]])</f>
        <v>0</v>
      </c>
      <c r="BS407" s="3">
        <f>+IF(AVANCE[[#This Row],[CANALIZACIÓN]]=AC$2,100%,AVANCE[[#This Row],[CANALIZACIÓN]])</f>
        <v>0</v>
      </c>
      <c r="BT407" s="3">
        <f>+IF(AVANCE[[#This Row],[CABLEADO]]=AD$2,100%,AVANCE[[#This Row],[CABLEADO]])</f>
        <v>0</v>
      </c>
      <c r="BU407" s="3">
        <f>+IF(AVANCE[[#This Row],[ARTEFACTOS]]=AE$2,100%,AVANCE[[#This Row],[ARTEFACTOS]])</f>
        <v>0</v>
      </c>
      <c r="BV407" s="3">
        <f>+IF(AVANCE[[#This Row],[TABLERO]]=AF$2,100%,AVANCE[[#This Row],[TABLERO]])</f>
        <v>0</v>
      </c>
      <c r="BW407" s="3">
        <f>+IF(AVANCE[[#This Row],[CAJA PAU]]=AG$2,100%,AVANCE[[#This Row],[CAJA PAU]])</f>
        <v>0</v>
      </c>
      <c r="BX407" s="3">
        <f>+IF(AVANCE[[#This Row],[INSTALACION VINILICO]]=AJ$2,100%,AVANCE[[#This Row],[INSTALACION VINILICO]])</f>
        <v>0</v>
      </c>
      <c r="BY407" s="3">
        <f>+IF(AVANCE[[#This Row],[OSB CUBIERTA]]=AK$2,100%,AVANCE[[#This Row],[OSB CUBIERTA]])</f>
        <v>0</v>
      </c>
      <c r="BZ407" s="3">
        <f>+IF(AVANCE[[#This Row],[BARANDA BALCON]]=AL$2,100%,AVANCE[[#This Row],[BARANDA BALCON]])</f>
        <v>0</v>
      </c>
      <c r="CA407" s="3">
        <f>+IF(AVANCE[[#This Row],[OSB EXTERIOR]]=AM$2,100%,AVANCE[[#This Row],[OSB EXTERIOR]])</f>
        <v>0</v>
      </c>
      <c r="CB407" s="3">
        <f>+IF(AVANCE[[#This Row],[SMART PANEL]]=AN$2,100%,AVANCE[[#This Row],[SMART PANEL]])</f>
        <v>0</v>
      </c>
      <c r="CC407" s="3">
        <f>+IF(AVANCE[[#This Row],[PINTURA EXTERIOR]]=AO$2,100%,AVANCE[[#This Row],[PINTURA EXTERIOR]])</f>
        <v>0</v>
      </c>
      <c r="CD407" s="3">
        <f>+IF(AVANCE[[#This Row],[ZOCALOS LOGIA]]=AP$2,100%,AVANCE[[#This Row],[ZOCALOS LOGIA]])</f>
        <v>0</v>
      </c>
      <c r="CE407" s="3">
        <f>+IF(AVANCE[[#This Row],[MOLDURAS]]=AQ$2,100%,AVANCE[[#This Row],[MOLDURAS]])</f>
        <v>0</v>
      </c>
      <c r="CF407" s="3">
        <f>+IF(AVANCE[[#This Row],[PILASTREO]]=AR$2,100%,AVANCE[[#This Row],[PILASTREO]])</f>
        <v>0</v>
      </c>
      <c r="CG407" s="3">
        <f>+IF(AVANCE[[#This Row],[CELOSIAS]]=AS$2,100%,AVANCE[[#This Row],[CELOSIAS]])</f>
        <v>0</v>
      </c>
      <c r="CH407" s="3">
        <f>+IF(AVANCE[[#This Row],[VENTANAS]]=AT$2,100%,AVANCE[[#This Row],[VENTANAS]])</f>
        <v>0</v>
      </c>
      <c r="CI407" s="3">
        <f>+IF(AVANCE[[#This Row],[PUERTAS ACCESO - LOGIA - BANO]]=AU$2,100%,AVANCE[[#This Row],[PUERTAS ACCESO - LOGIA - BANO]])</f>
        <v>0</v>
      </c>
      <c r="CJ407" s="3">
        <f>+IF(AVANCE[[#This Row],[CERRADURAS]]=AV$2,100%,AVANCE[[#This Row],[CERRADURAS]])</f>
        <v>0</v>
      </c>
      <c r="CK407" s="3">
        <f>+IF(AVANCE[[#This Row],[REVESTIMIENTO INTERIOR ZONA SECA]]=AW$2,100%,AVANCE[[#This Row],[REVESTIMIENTO INTERIOR ZONA SECA]])</f>
        <v>0</v>
      </c>
      <c r="CL407" s="3">
        <f>+IF(AVANCE[[#This Row],[REVESTIMIENTO INTERIOR ZONAS HUMEDAS]]=AX$2,100%,AVANCE[[#This Row],[REVESTIMIENTO INTERIOR ZONAS HUMEDAS]])</f>
        <v>0</v>
      </c>
      <c r="CM407" s="3">
        <f>+IF(AVANCE[[#This Row],[MEMBRANA CIELO]]=AY$2,100%,AVANCE[[#This Row],[MEMBRANA CIELO]])</f>
        <v>0</v>
      </c>
      <c r="CN407" s="3">
        <f>+IF(AVANCE[[#This Row],[LIMPIEZA FINAL]]=AZ$2,100%,AVANCE[[#This Row],[LIMPIEZA FINAL]])</f>
        <v>0</v>
      </c>
      <c r="CO407" s="3">
        <f>+IF(AVANCE[[#This Row],[PUERTAS DORMITORIO]]=BA$2,100%,AVANCE[[#This Row],[PUERTAS DORMITORIO]])</f>
        <v>0</v>
      </c>
      <c r="CP407" s="3">
        <f>+IF(AVANCE[[#This Row],[REVESTIMIENTO INTERIOR BANO]]=BB$2,100%,AVANCE[[#This Row],[REVESTIMIENTO INTERIOR BANO]])</f>
        <v>0</v>
      </c>
      <c r="CQ407" s="3">
        <f>+IF(AVANCE[[#This Row],[MUEBLE LAVAPLATOS]]=BC$2,100%,AVANCE[[#This Row],[MUEBLE LAVAPLATOS]])</f>
        <v>0</v>
      </c>
      <c r="CR407" s="3">
        <f>+IF(AVANCE[[#This Row],[IMPERMEABILIZACION BANO - COCINA LOGIA]]=BD$2,100%,AVANCE[[#This Row],[IMPERMEABILIZACION BANO - COCINA LOGIA]])</f>
        <v>0</v>
      </c>
      <c r="CS407" s="40">
        <f ca="1">+IF(AVANCE[[#This Row],[ESTADO MODULO]]="PENDIENTE",(TODAY()-AVANCE[[#This Row],[FECHA TERMINO  PLANIFICADO]]),0)</f>
        <v>0</v>
      </c>
      <c r="CT407" s="41" t="str" cm="1">
        <f t="array" ref="CT407">_xlfn.TEXTJOIN(" | ",TRUE,IF(SUMPRODUCT((BG407:CR407&lt;1)*(PARTIDAS!$I$2:$AT$2="OBRA GRUESA"))&gt;0,"OBRA GRUESA: "&amp;_xlfn.TEXTJOIN(", ",TRUE,IF((BG407:CR407&lt;1)*(PARTIDAS!$I$2:$AT$2="OBRA GRUESA"),PARTIDAS!$I$1:$AT$1,"")),""),IF(SUMPRODUCT((BG407:CR407&lt;1)*(PARTIDAS!$I$2:$AT$2="SANITARIOS"))&gt;0,"SANITARIOS: "&amp;_xlfn.TEXTJOIN(", ",TRUE,IF((BG407:CR407&lt;1)*(PARTIDAS!$I$2:$AT$2="SANITARIOS"),PARTIDAS!$I$1:$AT$1,"")),""),IF(SUMPRODUCT((BG407:CR407&lt;1)*(PARTIDAS!$I$2:$AT$2="ELÉCTRICO"))&gt;0,"ELÉCTRICO: "&amp;_xlfn.TEXTJOIN(", ",TRUE,IF((BG407:CR407&lt;1)*(PARTIDAS!$I$2:$AT$2="ELÉCTRICO"),PARTIDAS!$I$1:$AT$1,"")),""),IF(SUMPRODUCT((BG407:CR407&lt;1)*(PARTIDAS!$I$2:$AT$2="TERMINACIONES"))&gt;0,"TERMINACIONES: "&amp;_xlfn.TEXTJOIN(", ",TRUE,IF((BG407:CR407&lt;1)*(PARTIDAS!$I$2:$AT$2="TERMINACIONES"),PARTIDAS!$I$1:$AT$1,"")),""))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7" s="43" t="str" cm="1">
        <f t="array" ref="CU407">_xlfn.TEXTJOIN(", ",TRUE,IF(SUMPRODUCT((BG407:CR407&lt;1)*(PARTIDAS!$I$2:$AT$2="OBRA GRUESA"))&gt;0,"OBRA GRUESA",""),IF(SUMPRODUCT((BG407:CR407&lt;1)*(PARTIDAS!$I$2:$AT$2="SANITARIOS"))&gt;0,"SANITARIOS",""),IF(SUMPRODUCT((BG407:CR407&lt;1)*(PARTIDAS!$I$2:$AT$2="ELÉCTRICO"))&gt;0,"ELÉCTRICO",""),IF(SUMPRODUCT((BG407:CR407&lt;1)*(PARTIDAS!$I$2:$AT$2="TERMINACIONES"))&gt;0,"TERMINACIONES",""))</f>
        <v>OBRA GRUESA, SANITARIOS, ELÉCTRICO, TERMINACIONES</v>
      </c>
      <c r="CV407" s="44" cm="1">
        <f t="array" ref="CV407">SUMPRODUCT(--(BG407:CR407&lt;1))</f>
        <v>38</v>
      </c>
    </row>
    <row r="408" spans="1:100" hidden="1" x14ac:dyDescent="0.25">
      <c r="A408" t="s">
        <v>454</v>
      </c>
      <c r="B408" t="s">
        <v>477</v>
      </c>
      <c r="C408">
        <v>2302600407</v>
      </c>
      <c r="D408" t="s">
        <v>60</v>
      </c>
      <c r="E408" s="2">
        <v>0</v>
      </c>
      <c r="F408" s="1">
        <v>46343</v>
      </c>
      <c r="G408" s="1"/>
      <c r="H408" s="1">
        <v>0</v>
      </c>
      <c r="I408" s="1">
        <v>46373</v>
      </c>
      <c r="J408">
        <v>46230</v>
      </c>
      <c r="K408" s="1"/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>
        <v>31.32</v>
      </c>
      <c r="BF408" s="3" t="str">
        <f>+IF(AVANCE[[#This Row],[% AVANCE]]=100%,"MODULO TERMINADO",IF(AVANCE[[#This Row],[FECHA INICIO REAL]]="","MODULO NO INICIADO","PENDIENTE"))</f>
        <v>MODULO NO INICIADO</v>
      </c>
      <c r="BG408" s="3">
        <f>+IF(AVANCE[[#This Row],[VENTANAS]]=8.10810810810811%,100%,AVANCE[[#This Row],[VENTANAS]])</f>
        <v>0</v>
      </c>
      <c r="BH408" s="3">
        <f>+IF(AVANCE[[#This Row],[PISO]]=N$2,100%,AVANCE[[#This Row],[PISO]])</f>
        <v>0</v>
      </c>
      <c r="BI408" s="3">
        <f>+IF(AVANCE[[#This Row],[TABIQUES]]=O$2,100%,AVANCE[[#This Row],[TABIQUES]])</f>
        <v>0</v>
      </c>
      <c r="BJ408" s="3">
        <f>+IF(AVANCE[[#This Row],[MUROS]]=P$2,100%,AVANCE[[#This Row],[MUROS]])</f>
        <v>0</v>
      </c>
      <c r="BK408" s="3">
        <f>+IF(AVANCE[[#This Row],[CIELO]]=Q$2,100%,AVANCE[[#This Row],[CIELO]])</f>
        <v>0</v>
      </c>
      <c r="BL408" s="3">
        <f>+IF(AVANCE[[#This Row],[BALCÓN]]=R$2,100%,AVANCE[[#This Row],[BALCÓN]])</f>
        <v>0</v>
      </c>
      <c r="BM408" s="3">
        <f>+IF(AVANCE[[#This Row],[RED ALCANTARILLADO]]=U$2,100%,AVANCE[[#This Row],[RED ALCANTARILLADO]])</f>
        <v>0</v>
      </c>
      <c r="BN408" s="3">
        <f>+IF(AVANCE[[#This Row],[RED DE AGUA]]=V$2,100%,AVANCE[[#This Row],[RED DE AGUA]])</f>
        <v>0</v>
      </c>
      <c r="BO408" s="3">
        <f>+IF(AVANCE[[#This Row],[VENTILACIONES]]=W$2,100%,AVANCE[[#This Row],[VENTILACIONES]])</f>
        <v>0</v>
      </c>
      <c r="BP408" s="3">
        <f>+IF(AVANCE[[#This Row],[TINA]]=X$2,100%,AVANCE[[#This Row],[TINA]])</f>
        <v>0</v>
      </c>
      <c r="BQ408" s="3">
        <f>+IF(AVANCE[[#This Row],[WC]]=Y$2,100%,AVANCE[[#This Row],[WC]])</f>
        <v>0</v>
      </c>
      <c r="BR408" s="3">
        <f>+IF(AVANCE[[#This Row],[LAVAMANOS / LAVAPLATOS / LAVADERO]]=Z$2,100%,AVANCE[[#This Row],[LAVAMANOS / LAVAPLATOS / LAVADERO]])</f>
        <v>0</v>
      </c>
      <c r="BS408" s="3">
        <f>+IF(AVANCE[[#This Row],[CANALIZACIÓN]]=AC$2,100%,AVANCE[[#This Row],[CANALIZACIÓN]])</f>
        <v>0</v>
      </c>
      <c r="BT408" s="3">
        <f>+IF(AVANCE[[#This Row],[CABLEADO]]=AD$2,100%,AVANCE[[#This Row],[CABLEADO]])</f>
        <v>0</v>
      </c>
      <c r="BU408" s="3">
        <f>+IF(AVANCE[[#This Row],[ARTEFACTOS]]=AE$2,100%,AVANCE[[#This Row],[ARTEFACTOS]])</f>
        <v>0</v>
      </c>
      <c r="BV408" s="3">
        <f>+IF(AVANCE[[#This Row],[TABLERO]]=AF$2,100%,AVANCE[[#This Row],[TABLERO]])</f>
        <v>0</v>
      </c>
      <c r="BW408" s="3">
        <f>+IF(AVANCE[[#This Row],[CAJA PAU]]=AG$2,100%,AVANCE[[#This Row],[CAJA PAU]])</f>
        <v>0</v>
      </c>
      <c r="BX408" s="3">
        <f>+IF(AVANCE[[#This Row],[INSTALACION VINILICO]]=AJ$2,100%,AVANCE[[#This Row],[INSTALACION VINILICO]])</f>
        <v>0</v>
      </c>
      <c r="BY408" s="3">
        <f>+IF(AVANCE[[#This Row],[OSB CUBIERTA]]=AK$2,100%,AVANCE[[#This Row],[OSB CUBIERTA]])</f>
        <v>0</v>
      </c>
      <c r="BZ408" s="3">
        <f>+IF(AVANCE[[#This Row],[BARANDA BALCON]]=AL$2,100%,AVANCE[[#This Row],[BARANDA BALCON]])</f>
        <v>0</v>
      </c>
      <c r="CA408" s="3">
        <f>+IF(AVANCE[[#This Row],[OSB EXTERIOR]]=AM$2,100%,AVANCE[[#This Row],[OSB EXTERIOR]])</f>
        <v>0</v>
      </c>
      <c r="CB408" s="3">
        <f>+IF(AVANCE[[#This Row],[SMART PANEL]]=AN$2,100%,AVANCE[[#This Row],[SMART PANEL]])</f>
        <v>0</v>
      </c>
      <c r="CC408" s="3">
        <f>+IF(AVANCE[[#This Row],[PINTURA EXTERIOR]]=AO$2,100%,AVANCE[[#This Row],[PINTURA EXTERIOR]])</f>
        <v>0</v>
      </c>
      <c r="CD408" s="3">
        <f>+IF(AVANCE[[#This Row],[ZOCALOS LOGIA]]=AP$2,100%,AVANCE[[#This Row],[ZOCALOS LOGIA]])</f>
        <v>0</v>
      </c>
      <c r="CE408" s="3">
        <f>+IF(AVANCE[[#This Row],[MOLDURAS]]=AQ$2,100%,AVANCE[[#This Row],[MOLDURAS]])</f>
        <v>0</v>
      </c>
      <c r="CF408" s="3">
        <f>+IF(AVANCE[[#This Row],[PILASTREO]]=AR$2,100%,AVANCE[[#This Row],[PILASTREO]])</f>
        <v>0</v>
      </c>
      <c r="CG408" s="3">
        <f>+IF(AVANCE[[#This Row],[CELOSIAS]]=AS$2,100%,AVANCE[[#This Row],[CELOSIAS]])</f>
        <v>0</v>
      </c>
      <c r="CH408" s="3">
        <f>+IF(AVANCE[[#This Row],[VENTANAS]]=AT$2,100%,AVANCE[[#This Row],[VENTANAS]])</f>
        <v>0</v>
      </c>
      <c r="CI408" s="3">
        <f>+IF(AVANCE[[#This Row],[PUERTAS ACCESO - LOGIA - BANO]]=AU$2,100%,AVANCE[[#This Row],[PUERTAS ACCESO - LOGIA - BANO]])</f>
        <v>0</v>
      </c>
      <c r="CJ408" s="3">
        <f>+IF(AVANCE[[#This Row],[CERRADURAS]]=AV$2,100%,AVANCE[[#This Row],[CERRADURAS]])</f>
        <v>0</v>
      </c>
      <c r="CK408" s="3">
        <f>+IF(AVANCE[[#This Row],[REVESTIMIENTO INTERIOR ZONA SECA]]=AW$2,100%,AVANCE[[#This Row],[REVESTIMIENTO INTERIOR ZONA SECA]])</f>
        <v>0</v>
      </c>
      <c r="CL408" s="3">
        <f>+IF(AVANCE[[#This Row],[REVESTIMIENTO INTERIOR ZONAS HUMEDAS]]=AX$2,100%,AVANCE[[#This Row],[REVESTIMIENTO INTERIOR ZONAS HUMEDAS]])</f>
        <v>0</v>
      </c>
      <c r="CM408" s="3">
        <f>+IF(AVANCE[[#This Row],[MEMBRANA CIELO]]=AY$2,100%,AVANCE[[#This Row],[MEMBRANA CIELO]])</f>
        <v>0</v>
      </c>
      <c r="CN408" s="3">
        <f>+IF(AVANCE[[#This Row],[LIMPIEZA FINAL]]=AZ$2,100%,AVANCE[[#This Row],[LIMPIEZA FINAL]])</f>
        <v>0</v>
      </c>
      <c r="CO408" s="3">
        <f>+IF(AVANCE[[#This Row],[PUERTAS DORMITORIO]]=BA$2,100%,AVANCE[[#This Row],[PUERTAS DORMITORIO]])</f>
        <v>0</v>
      </c>
      <c r="CP408" s="3">
        <f>+IF(AVANCE[[#This Row],[REVESTIMIENTO INTERIOR BANO]]=BB$2,100%,AVANCE[[#This Row],[REVESTIMIENTO INTERIOR BANO]])</f>
        <v>0</v>
      </c>
      <c r="CQ408" s="3">
        <f>+IF(AVANCE[[#This Row],[MUEBLE LAVAPLATOS]]=BC$2,100%,AVANCE[[#This Row],[MUEBLE LAVAPLATOS]])</f>
        <v>0</v>
      </c>
      <c r="CR408" s="3">
        <f>+IF(AVANCE[[#This Row],[IMPERMEABILIZACION BANO - COCINA LOGIA]]=BD$2,100%,AVANCE[[#This Row],[IMPERMEABILIZACION BANO - COCINA LOGIA]])</f>
        <v>0</v>
      </c>
      <c r="CS408" s="40">
        <f ca="1">+IF(AVANCE[[#This Row],[ESTADO MODULO]]="PENDIENTE",(TODAY()-AVANCE[[#This Row],[FECHA TERMINO  PLANIFICADO]]),0)</f>
        <v>0</v>
      </c>
      <c r="CT408" s="41" t="str" cm="1">
        <f t="array" ref="CT408">_xlfn.TEXTJOIN(" | ",TRUE,IF(SUMPRODUCT((BG408:CR408&lt;1)*(PARTIDAS!$I$2:$AT$2="OBRA GRUESA"))&gt;0,"OBRA GRUESA: "&amp;_xlfn.TEXTJOIN(", ",TRUE,IF((BG408:CR408&lt;1)*(PARTIDAS!$I$2:$AT$2="OBRA GRUESA"),PARTIDAS!$I$1:$AT$1,"")),""),IF(SUMPRODUCT((BG408:CR408&lt;1)*(PARTIDAS!$I$2:$AT$2="SANITARIOS"))&gt;0,"SANITARIOS: "&amp;_xlfn.TEXTJOIN(", ",TRUE,IF((BG408:CR408&lt;1)*(PARTIDAS!$I$2:$AT$2="SANITARIOS"),PARTIDAS!$I$1:$AT$1,"")),""),IF(SUMPRODUCT((BG408:CR408&lt;1)*(PARTIDAS!$I$2:$AT$2="ELÉCTRICO"))&gt;0,"ELÉCTRICO: "&amp;_xlfn.TEXTJOIN(", ",TRUE,IF((BG408:CR408&lt;1)*(PARTIDAS!$I$2:$AT$2="ELÉCTRICO"),PARTIDAS!$I$1:$AT$1,"")),""),IF(SUMPRODUCT((BG408:CR408&lt;1)*(PARTIDAS!$I$2:$AT$2="TERMINACIONES"))&gt;0,"TERMINACIONES: "&amp;_xlfn.TEXTJOIN(", ",TRUE,IF((BG408:CR408&lt;1)*(PARTIDAS!$I$2:$AT$2="TERMINACIONES"),PARTIDAS!$I$1:$AT$1,"")),""))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8" s="43" t="str" cm="1">
        <f t="array" ref="CU408">_xlfn.TEXTJOIN(", ",TRUE,IF(SUMPRODUCT((BG408:CR408&lt;1)*(PARTIDAS!$I$2:$AT$2="OBRA GRUESA"))&gt;0,"OBRA GRUESA",""),IF(SUMPRODUCT((BG408:CR408&lt;1)*(PARTIDAS!$I$2:$AT$2="SANITARIOS"))&gt;0,"SANITARIOS",""),IF(SUMPRODUCT((BG408:CR408&lt;1)*(PARTIDAS!$I$2:$AT$2="ELÉCTRICO"))&gt;0,"ELÉCTRICO",""),IF(SUMPRODUCT((BG408:CR408&lt;1)*(PARTIDAS!$I$2:$AT$2="TERMINACIONES"))&gt;0,"TERMINACIONES",""))</f>
        <v>OBRA GRUESA, SANITARIOS, ELÉCTRICO, TERMINACIONES</v>
      </c>
      <c r="CV408" s="44" cm="1">
        <f t="array" ref="CV408">SUMPRODUCT(--(BG408:CR408&lt;1))</f>
        <v>38</v>
      </c>
    </row>
    <row r="409" spans="1:100" hidden="1" x14ac:dyDescent="0.25">
      <c r="A409" t="s">
        <v>454</v>
      </c>
      <c r="B409" t="s">
        <v>478</v>
      </c>
      <c r="C409">
        <v>2282600408</v>
      </c>
      <c r="D409" t="s">
        <v>58</v>
      </c>
      <c r="E409" s="2">
        <v>0</v>
      </c>
      <c r="F409" s="1">
        <v>46343</v>
      </c>
      <c r="G409" s="1"/>
      <c r="H409" s="1">
        <v>0</v>
      </c>
      <c r="I409" s="1">
        <v>46363</v>
      </c>
      <c r="J409">
        <v>46230</v>
      </c>
      <c r="K409" s="1"/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>
        <v>28.87</v>
      </c>
      <c r="BF409" s="3" t="str">
        <f>+IF(AVANCE[[#This Row],[% AVANCE]]=100%,"MODULO TERMINADO",IF(AVANCE[[#This Row],[FECHA INICIO REAL]]="","MODULO NO INICIADO","PENDIENTE"))</f>
        <v>MODULO NO INICIADO</v>
      </c>
      <c r="BG409" s="3">
        <f>+IF(AVANCE[[#This Row],[VENTANAS]]=8.10810810810811%,100%,AVANCE[[#This Row],[VENTANAS]])</f>
        <v>0</v>
      </c>
      <c r="BH409" s="3">
        <f>+IF(AVANCE[[#This Row],[PISO]]=N$2,100%,AVANCE[[#This Row],[PISO]])</f>
        <v>0</v>
      </c>
      <c r="BI409" s="3">
        <f>+IF(AVANCE[[#This Row],[TABIQUES]]=O$2,100%,AVANCE[[#This Row],[TABIQUES]])</f>
        <v>0</v>
      </c>
      <c r="BJ409" s="3">
        <f>+IF(AVANCE[[#This Row],[MUROS]]=P$2,100%,AVANCE[[#This Row],[MUROS]])</f>
        <v>0</v>
      </c>
      <c r="BK409" s="3">
        <f>+IF(AVANCE[[#This Row],[CIELO]]=Q$2,100%,AVANCE[[#This Row],[CIELO]])</f>
        <v>0</v>
      </c>
      <c r="BL409" s="3">
        <f>+IF(AVANCE[[#This Row],[BALCÓN]]=R$2,100%,AVANCE[[#This Row],[BALCÓN]])</f>
        <v>0</v>
      </c>
      <c r="BM409" s="3">
        <f>+IF(AVANCE[[#This Row],[RED ALCANTARILLADO]]=U$2,100%,AVANCE[[#This Row],[RED ALCANTARILLADO]])</f>
        <v>0</v>
      </c>
      <c r="BN409" s="3">
        <f>+IF(AVANCE[[#This Row],[RED DE AGUA]]=V$2,100%,AVANCE[[#This Row],[RED DE AGUA]])</f>
        <v>0</v>
      </c>
      <c r="BO409" s="3">
        <f>+IF(AVANCE[[#This Row],[VENTILACIONES]]=W$2,100%,AVANCE[[#This Row],[VENTILACIONES]])</f>
        <v>0</v>
      </c>
      <c r="BP409" s="3">
        <f>+IF(AVANCE[[#This Row],[TINA]]=X$2,100%,AVANCE[[#This Row],[TINA]])</f>
        <v>0</v>
      </c>
      <c r="BQ409" s="3">
        <f>+IF(AVANCE[[#This Row],[WC]]=Y$2,100%,AVANCE[[#This Row],[WC]])</f>
        <v>0</v>
      </c>
      <c r="BR409" s="3">
        <f>+IF(AVANCE[[#This Row],[LAVAMANOS / LAVAPLATOS / LAVADERO]]=Z$2,100%,AVANCE[[#This Row],[LAVAMANOS / LAVAPLATOS / LAVADERO]])</f>
        <v>0</v>
      </c>
      <c r="BS409" s="3">
        <f>+IF(AVANCE[[#This Row],[CANALIZACIÓN]]=AC$2,100%,AVANCE[[#This Row],[CANALIZACIÓN]])</f>
        <v>0</v>
      </c>
      <c r="BT409" s="3">
        <f>+IF(AVANCE[[#This Row],[CABLEADO]]=AD$2,100%,AVANCE[[#This Row],[CABLEADO]])</f>
        <v>0</v>
      </c>
      <c r="BU409" s="3">
        <f>+IF(AVANCE[[#This Row],[ARTEFACTOS]]=AE$2,100%,AVANCE[[#This Row],[ARTEFACTOS]])</f>
        <v>0</v>
      </c>
      <c r="BV409" s="3">
        <f>+IF(AVANCE[[#This Row],[TABLERO]]=AF$2,100%,AVANCE[[#This Row],[TABLERO]])</f>
        <v>0</v>
      </c>
      <c r="BW409" s="3">
        <f>+IF(AVANCE[[#This Row],[CAJA PAU]]=AG$2,100%,AVANCE[[#This Row],[CAJA PAU]])</f>
        <v>0</v>
      </c>
      <c r="BX409" s="3">
        <f>+IF(AVANCE[[#This Row],[INSTALACION VINILICO]]=AJ$2,100%,AVANCE[[#This Row],[INSTALACION VINILICO]])</f>
        <v>0</v>
      </c>
      <c r="BY409" s="3">
        <f>+IF(AVANCE[[#This Row],[OSB CUBIERTA]]=AK$2,100%,AVANCE[[#This Row],[OSB CUBIERTA]])</f>
        <v>0</v>
      </c>
      <c r="BZ409" s="3">
        <f>+IF(AVANCE[[#This Row],[BARANDA BALCON]]=AL$2,100%,AVANCE[[#This Row],[BARANDA BALCON]])</f>
        <v>0</v>
      </c>
      <c r="CA409" s="3">
        <f>+IF(AVANCE[[#This Row],[OSB EXTERIOR]]=AM$2,100%,AVANCE[[#This Row],[OSB EXTERIOR]])</f>
        <v>0</v>
      </c>
      <c r="CB409" s="3">
        <f>+IF(AVANCE[[#This Row],[SMART PANEL]]=AN$2,100%,AVANCE[[#This Row],[SMART PANEL]])</f>
        <v>0</v>
      </c>
      <c r="CC409" s="3">
        <f>+IF(AVANCE[[#This Row],[PINTURA EXTERIOR]]=AO$2,100%,AVANCE[[#This Row],[PINTURA EXTERIOR]])</f>
        <v>0</v>
      </c>
      <c r="CD409" s="3">
        <f>+IF(AVANCE[[#This Row],[ZOCALOS LOGIA]]=AP$2,100%,AVANCE[[#This Row],[ZOCALOS LOGIA]])</f>
        <v>0</v>
      </c>
      <c r="CE409" s="3">
        <f>+IF(AVANCE[[#This Row],[MOLDURAS]]=AQ$2,100%,AVANCE[[#This Row],[MOLDURAS]])</f>
        <v>0</v>
      </c>
      <c r="CF409" s="3">
        <f>+IF(AVANCE[[#This Row],[PILASTREO]]=AR$2,100%,AVANCE[[#This Row],[PILASTREO]])</f>
        <v>0</v>
      </c>
      <c r="CG409" s="3">
        <f>+IF(AVANCE[[#This Row],[CELOSIAS]]=AS$2,100%,AVANCE[[#This Row],[CELOSIAS]])</f>
        <v>0</v>
      </c>
      <c r="CH409" s="3">
        <f>+IF(AVANCE[[#This Row],[VENTANAS]]=AT$2,100%,AVANCE[[#This Row],[VENTANAS]])</f>
        <v>0</v>
      </c>
      <c r="CI409" s="3">
        <f>+IF(AVANCE[[#This Row],[PUERTAS ACCESO - LOGIA - BANO]]=AU$2,100%,AVANCE[[#This Row],[PUERTAS ACCESO - LOGIA - BANO]])</f>
        <v>0</v>
      </c>
      <c r="CJ409" s="3">
        <f>+IF(AVANCE[[#This Row],[CERRADURAS]]=AV$2,100%,AVANCE[[#This Row],[CERRADURAS]])</f>
        <v>0</v>
      </c>
      <c r="CK409" s="3">
        <f>+IF(AVANCE[[#This Row],[REVESTIMIENTO INTERIOR ZONA SECA]]=AW$2,100%,AVANCE[[#This Row],[REVESTIMIENTO INTERIOR ZONA SECA]])</f>
        <v>0</v>
      </c>
      <c r="CL409" s="3">
        <f>+IF(AVANCE[[#This Row],[REVESTIMIENTO INTERIOR ZONAS HUMEDAS]]=AX$2,100%,AVANCE[[#This Row],[REVESTIMIENTO INTERIOR ZONAS HUMEDAS]])</f>
        <v>0</v>
      </c>
      <c r="CM409" s="3">
        <f>+IF(AVANCE[[#This Row],[MEMBRANA CIELO]]=AY$2,100%,AVANCE[[#This Row],[MEMBRANA CIELO]])</f>
        <v>0</v>
      </c>
      <c r="CN409" s="3">
        <f>+IF(AVANCE[[#This Row],[LIMPIEZA FINAL]]=AZ$2,100%,AVANCE[[#This Row],[LIMPIEZA FINAL]])</f>
        <v>0</v>
      </c>
      <c r="CO409" s="3">
        <f>+IF(AVANCE[[#This Row],[PUERTAS DORMITORIO]]=BA$2,100%,AVANCE[[#This Row],[PUERTAS DORMITORIO]])</f>
        <v>0</v>
      </c>
      <c r="CP409" s="3">
        <f>+IF(AVANCE[[#This Row],[REVESTIMIENTO INTERIOR BANO]]=BB$2,100%,AVANCE[[#This Row],[REVESTIMIENTO INTERIOR BANO]])</f>
        <v>0</v>
      </c>
      <c r="CQ409" s="3">
        <f>+IF(AVANCE[[#This Row],[MUEBLE LAVAPLATOS]]=BC$2,100%,AVANCE[[#This Row],[MUEBLE LAVAPLATOS]])</f>
        <v>0</v>
      </c>
      <c r="CR409" s="3">
        <f>+IF(AVANCE[[#This Row],[IMPERMEABILIZACION BANO - COCINA LOGIA]]=BD$2,100%,AVANCE[[#This Row],[IMPERMEABILIZACION BANO - COCINA LOGIA]])</f>
        <v>0</v>
      </c>
      <c r="CS409" s="40">
        <f ca="1">+IF(AVANCE[[#This Row],[ESTADO MODULO]]="PENDIENTE",(TODAY()-AVANCE[[#This Row],[FECHA TERMINO  PLANIFICADO]]),0)</f>
        <v>0</v>
      </c>
      <c r="CT409" s="41" t="str" cm="1">
        <f t="array" ref="CT409">_xlfn.TEXTJOIN(" | ",TRUE,IF(SUMPRODUCT((BG409:CR409&lt;1)*(PARTIDAS!$I$2:$AT$2="OBRA GRUESA"))&gt;0,"OBRA GRUESA: "&amp;_xlfn.TEXTJOIN(", ",TRUE,IF((BG409:CR409&lt;1)*(PARTIDAS!$I$2:$AT$2="OBRA GRUESA"),PARTIDAS!$I$1:$AT$1,"")),""),IF(SUMPRODUCT((BG409:CR409&lt;1)*(PARTIDAS!$I$2:$AT$2="SANITARIOS"))&gt;0,"SANITARIOS: "&amp;_xlfn.TEXTJOIN(", ",TRUE,IF((BG409:CR409&lt;1)*(PARTIDAS!$I$2:$AT$2="SANITARIOS"),PARTIDAS!$I$1:$AT$1,"")),""),IF(SUMPRODUCT((BG409:CR409&lt;1)*(PARTIDAS!$I$2:$AT$2="ELÉCTRICO"))&gt;0,"ELÉCTRICO: "&amp;_xlfn.TEXTJOIN(", ",TRUE,IF((BG409:CR409&lt;1)*(PARTIDAS!$I$2:$AT$2="ELÉCTRICO"),PARTIDAS!$I$1:$AT$1,"")),""),IF(SUMPRODUCT((BG409:CR409&lt;1)*(PARTIDAS!$I$2:$AT$2="TERMINACIONES"))&gt;0,"TERMINACIONES: "&amp;_xlfn.TEXTJOIN(", ",TRUE,IF((BG409:CR409&lt;1)*(PARTIDAS!$I$2:$AT$2="TERMINACIONES"),PARTIDAS!$I$1:$AT$1,"")),""))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09" s="43" t="str" cm="1">
        <f t="array" ref="CU409">_xlfn.TEXTJOIN(", ",TRUE,IF(SUMPRODUCT((BG409:CR409&lt;1)*(PARTIDAS!$I$2:$AT$2="OBRA GRUESA"))&gt;0,"OBRA GRUESA",""),IF(SUMPRODUCT((BG409:CR409&lt;1)*(PARTIDAS!$I$2:$AT$2="SANITARIOS"))&gt;0,"SANITARIOS",""),IF(SUMPRODUCT((BG409:CR409&lt;1)*(PARTIDAS!$I$2:$AT$2="ELÉCTRICO"))&gt;0,"ELÉCTRICO",""),IF(SUMPRODUCT((BG409:CR409&lt;1)*(PARTIDAS!$I$2:$AT$2="TERMINACIONES"))&gt;0,"TERMINACIONES",""))</f>
        <v>OBRA GRUESA, SANITARIOS, ELÉCTRICO, TERMINACIONES</v>
      </c>
      <c r="CV409" s="44" cm="1">
        <f t="array" ref="CV409">SUMPRODUCT(--(BG409:CR409&lt;1))</f>
        <v>38</v>
      </c>
    </row>
    <row r="410" spans="1:100" hidden="1" x14ac:dyDescent="0.25">
      <c r="A410" t="s">
        <v>454</v>
      </c>
      <c r="B410" t="s">
        <v>479</v>
      </c>
      <c r="C410">
        <v>2282600409</v>
      </c>
      <c r="D410" t="s">
        <v>58</v>
      </c>
      <c r="E410" s="2">
        <v>0</v>
      </c>
      <c r="F410" s="1">
        <v>46343</v>
      </c>
      <c r="G410" s="1"/>
      <c r="H410" s="1">
        <v>0</v>
      </c>
      <c r="I410" s="1">
        <v>46363</v>
      </c>
      <c r="J410">
        <v>46230</v>
      </c>
      <c r="K410" s="1"/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>
        <v>28.87</v>
      </c>
      <c r="BF410" s="3" t="str">
        <f>+IF(AVANCE[[#This Row],[% AVANCE]]=100%,"MODULO TERMINADO",IF(AVANCE[[#This Row],[FECHA INICIO REAL]]="","MODULO NO INICIADO","PENDIENTE"))</f>
        <v>MODULO NO INICIADO</v>
      </c>
      <c r="BG410" s="3">
        <f>+IF(AVANCE[[#This Row],[VENTANAS]]=8.10810810810811%,100%,AVANCE[[#This Row],[VENTANAS]])</f>
        <v>0</v>
      </c>
      <c r="BH410" s="3">
        <f>+IF(AVANCE[[#This Row],[PISO]]=N$2,100%,AVANCE[[#This Row],[PISO]])</f>
        <v>0</v>
      </c>
      <c r="BI410" s="3">
        <f>+IF(AVANCE[[#This Row],[TABIQUES]]=O$2,100%,AVANCE[[#This Row],[TABIQUES]])</f>
        <v>0</v>
      </c>
      <c r="BJ410" s="3">
        <f>+IF(AVANCE[[#This Row],[MUROS]]=P$2,100%,AVANCE[[#This Row],[MUROS]])</f>
        <v>0</v>
      </c>
      <c r="BK410" s="3">
        <f>+IF(AVANCE[[#This Row],[CIELO]]=Q$2,100%,AVANCE[[#This Row],[CIELO]])</f>
        <v>0</v>
      </c>
      <c r="BL410" s="3">
        <f>+IF(AVANCE[[#This Row],[BALCÓN]]=R$2,100%,AVANCE[[#This Row],[BALCÓN]])</f>
        <v>0</v>
      </c>
      <c r="BM410" s="3">
        <f>+IF(AVANCE[[#This Row],[RED ALCANTARILLADO]]=U$2,100%,AVANCE[[#This Row],[RED ALCANTARILLADO]])</f>
        <v>0</v>
      </c>
      <c r="BN410" s="3">
        <f>+IF(AVANCE[[#This Row],[RED DE AGUA]]=V$2,100%,AVANCE[[#This Row],[RED DE AGUA]])</f>
        <v>0</v>
      </c>
      <c r="BO410" s="3">
        <f>+IF(AVANCE[[#This Row],[VENTILACIONES]]=W$2,100%,AVANCE[[#This Row],[VENTILACIONES]])</f>
        <v>0</v>
      </c>
      <c r="BP410" s="3">
        <f>+IF(AVANCE[[#This Row],[TINA]]=X$2,100%,AVANCE[[#This Row],[TINA]])</f>
        <v>0</v>
      </c>
      <c r="BQ410" s="3">
        <f>+IF(AVANCE[[#This Row],[WC]]=Y$2,100%,AVANCE[[#This Row],[WC]])</f>
        <v>0</v>
      </c>
      <c r="BR410" s="3">
        <f>+IF(AVANCE[[#This Row],[LAVAMANOS / LAVAPLATOS / LAVADERO]]=Z$2,100%,AVANCE[[#This Row],[LAVAMANOS / LAVAPLATOS / LAVADERO]])</f>
        <v>0</v>
      </c>
      <c r="BS410" s="3">
        <f>+IF(AVANCE[[#This Row],[CANALIZACIÓN]]=AC$2,100%,AVANCE[[#This Row],[CANALIZACIÓN]])</f>
        <v>0</v>
      </c>
      <c r="BT410" s="3">
        <f>+IF(AVANCE[[#This Row],[CABLEADO]]=AD$2,100%,AVANCE[[#This Row],[CABLEADO]])</f>
        <v>0</v>
      </c>
      <c r="BU410" s="3">
        <f>+IF(AVANCE[[#This Row],[ARTEFACTOS]]=AE$2,100%,AVANCE[[#This Row],[ARTEFACTOS]])</f>
        <v>0</v>
      </c>
      <c r="BV410" s="3">
        <f>+IF(AVANCE[[#This Row],[TABLERO]]=AF$2,100%,AVANCE[[#This Row],[TABLERO]])</f>
        <v>0</v>
      </c>
      <c r="BW410" s="3">
        <f>+IF(AVANCE[[#This Row],[CAJA PAU]]=AG$2,100%,AVANCE[[#This Row],[CAJA PAU]])</f>
        <v>0</v>
      </c>
      <c r="BX410" s="3">
        <f>+IF(AVANCE[[#This Row],[INSTALACION VINILICO]]=AJ$2,100%,AVANCE[[#This Row],[INSTALACION VINILICO]])</f>
        <v>0</v>
      </c>
      <c r="BY410" s="3">
        <f>+IF(AVANCE[[#This Row],[OSB CUBIERTA]]=AK$2,100%,AVANCE[[#This Row],[OSB CUBIERTA]])</f>
        <v>0</v>
      </c>
      <c r="BZ410" s="3">
        <f>+IF(AVANCE[[#This Row],[BARANDA BALCON]]=AL$2,100%,AVANCE[[#This Row],[BARANDA BALCON]])</f>
        <v>0</v>
      </c>
      <c r="CA410" s="3">
        <f>+IF(AVANCE[[#This Row],[OSB EXTERIOR]]=AM$2,100%,AVANCE[[#This Row],[OSB EXTERIOR]])</f>
        <v>0</v>
      </c>
      <c r="CB410" s="3">
        <f>+IF(AVANCE[[#This Row],[SMART PANEL]]=AN$2,100%,AVANCE[[#This Row],[SMART PANEL]])</f>
        <v>0</v>
      </c>
      <c r="CC410" s="3">
        <f>+IF(AVANCE[[#This Row],[PINTURA EXTERIOR]]=AO$2,100%,AVANCE[[#This Row],[PINTURA EXTERIOR]])</f>
        <v>0</v>
      </c>
      <c r="CD410" s="3">
        <f>+IF(AVANCE[[#This Row],[ZOCALOS LOGIA]]=AP$2,100%,AVANCE[[#This Row],[ZOCALOS LOGIA]])</f>
        <v>0</v>
      </c>
      <c r="CE410" s="3">
        <f>+IF(AVANCE[[#This Row],[MOLDURAS]]=AQ$2,100%,AVANCE[[#This Row],[MOLDURAS]])</f>
        <v>0</v>
      </c>
      <c r="CF410" s="3">
        <f>+IF(AVANCE[[#This Row],[PILASTREO]]=AR$2,100%,AVANCE[[#This Row],[PILASTREO]])</f>
        <v>0</v>
      </c>
      <c r="CG410" s="3">
        <f>+IF(AVANCE[[#This Row],[CELOSIAS]]=AS$2,100%,AVANCE[[#This Row],[CELOSIAS]])</f>
        <v>0</v>
      </c>
      <c r="CH410" s="3">
        <f>+IF(AVANCE[[#This Row],[VENTANAS]]=AT$2,100%,AVANCE[[#This Row],[VENTANAS]])</f>
        <v>0</v>
      </c>
      <c r="CI410" s="3">
        <f>+IF(AVANCE[[#This Row],[PUERTAS ACCESO - LOGIA - BANO]]=AU$2,100%,AVANCE[[#This Row],[PUERTAS ACCESO - LOGIA - BANO]])</f>
        <v>0</v>
      </c>
      <c r="CJ410" s="3">
        <f>+IF(AVANCE[[#This Row],[CERRADURAS]]=AV$2,100%,AVANCE[[#This Row],[CERRADURAS]])</f>
        <v>0</v>
      </c>
      <c r="CK410" s="3">
        <f>+IF(AVANCE[[#This Row],[REVESTIMIENTO INTERIOR ZONA SECA]]=AW$2,100%,AVANCE[[#This Row],[REVESTIMIENTO INTERIOR ZONA SECA]])</f>
        <v>0</v>
      </c>
      <c r="CL410" s="3">
        <f>+IF(AVANCE[[#This Row],[REVESTIMIENTO INTERIOR ZONAS HUMEDAS]]=AX$2,100%,AVANCE[[#This Row],[REVESTIMIENTO INTERIOR ZONAS HUMEDAS]])</f>
        <v>0</v>
      </c>
      <c r="CM410" s="3">
        <f>+IF(AVANCE[[#This Row],[MEMBRANA CIELO]]=AY$2,100%,AVANCE[[#This Row],[MEMBRANA CIELO]])</f>
        <v>0</v>
      </c>
      <c r="CN410" s="3">
        <f>+IF(AVANCE[[#This Row],[LIMPIEZA FINAL]]=AZ$2,100%,AVANCE[[#This Row],[LIMPIEZA FINAL]])</f>
        <v>0</v>
      </c>
      <c r="CO410" s="3">
        <f>+IF(AVANCE[[#This Row],[PUERTAS DORMITORIO]]=BA$2,100%,AVANCE[[#This Row],[PUERTAS DORMITORIO]])</f>
        <v>0</v>
      </c>
      <c r="CP410" s="3">
        <f>+IF(AVANCE[[#This Row],[REVESTIMIENTO INTERIOR BANO]]=BB$2,100%,AVANCE[[#This Row],[REVESTIMIENTO INTERIOR BANO]])</f>
        <v>0</v>
      </c>
      <c r="CQ410" s="3">
        <f>+IF(AVANCE[[#This Row],[MUEBLE LAVAPLATOS]]=BC$2,100%,AVANCE[[#This Row],[MUEBLE LAVAPLATOS]])</f>
        <v>0</v>
      </c>
      <c r="CR410" s="3">
        <f>+IF(AVANCE[[#This Row],[IMPERMEABILIZACION BANO - COCINA LOGIA]]=BD$2,100%,AVANCE[[#This Row],[IMPERMEABILIZACION BANO - COCINA LOGIA]])</f>
        <v>0</v>
      </c>
      <c r="CS410" s="40">
        <f ca="1">+IF(AVANCE[[#This Row],[ESTADO MODULO]]="PENDIENTE",(TODAY()-AVANCE[[#This Row],[FECHA TERMINO  PLANIFICADO]]),0)</f>
        <v>0</v>
      </c>
      <c r="CT410" s="41" t="str" cm="1">
        <f t="array" ref="CT410">_xlfn.TEXTJOIN(" | ",TRUE,IF(SUMPRODUCT((BG410:CR410&lt;1)*(PARTIDAS!$I$2:$AT$2="OBRA GRUESA"))&gt;0,"OBRA GRUESA: "&amp;_xlfn.TEXTJOIN(", ",TRUE,IF((BG410:CR410&lt;1)*(PARTIDAS!$I$2:$AT$2="OBRA GRUESA"),PARTIDAS!$I$1:$AT$1,"")),""),IF(SUMPRODUCT((BG410:CR410&lt;1)*(PARTIDAS!$I$2:$AT$2="SANITARIOS"))&gt;0,"SANITARIOS: "&amp;_xlfn.TEXTJOIN(", ",TRUE,IF((BG410:CR410&lt;1)*(PARTIDAS!$I$2:$AT$2="SANITARIOS"),PARTIDAS!$I$1:$AT$1,"")),""),IF(SUMPRODUCT((BG410:CR410&lt;1)*(PARTIDAS!$I$2:$AT$2="ELÉCTRICO"))&gt;0,"ELÉCTRICO: "&amp;_xlfn.TEXTJOIN(", ",TRUE,IF((BG410:CR410&lt;1)*(PARTIDAS!$I$2:$AT$2="ELÉCTRICO"),PARTIDAS!$I$1:$AT$1,"")),""),IF(SUMPRODUCT((BG410:CR410&lt;1)*(PARTIDAS!$I$2:$AT$2="TERMINACIONES"))&gt;0,"TERMINACIONES: "&amp;_xlfn.TEXTJOIN(", ",TRUE,IF((BG410:CR410&lt;1)*(PARTIDAS!$I$2:$AT$2="TERMINACIONES"),PARTIDAS!$I$1:$AT$1,"")),""))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0" s="43" t="str" cm="1">
        <f t="array" ref="CU410">_xlfn.TEXTJOIN(", ",TRUE,IF(SUMPRODUCT((BG410:CR410&lt;1)*(PARTIDAS!$I$2:$AT$2="OBRA GRUESA"))&gt;0,"OBRA GRUESA",""),IF(SUMPRODUCT((BG410:CR410&lt;1)*(PARTIDAS!$I$2:$AT$2="SANITARIOS"))&gt;0,"SANITARIOS",""),IF(SUMPRODUCT((BG410:CR410&lt;1)*(PARTIDAS!$I$2:$AT$2="ELÉCTRICO"))&gt;0,"ELÉCTRICO",""),IF(SUMPRODUCT((BG410:CR410&lt;1)*(PARTIDAS!$I$2:$AT$2="TERMINACIONES"))&gt;0,"TERMINACIONES",""))</f>
        <v>OBRA GRUESA, SANITARIOS, ELÉCTRICO, TERMINACIONES</v>
      </c>
      <c r="CV410" s="44" cm="1">
        <f t="array" ref="CV410">SUMPRODUCT(--(BG410:CR410&lt;1))</f>
        <v>38</v>
      </c>
    </row>
    <row r="411" spans="1:100" hidden="1" x14ac:dyDescent="0.25">
      <c r="A411" t="s">
        <v>454</v>
      </c>
      <c r="B411" t="s">
        <v>480</v>
      </c>
      <c r="C411">
        <v>2302600410</v>
      </c>
      <c r="D411" t="s">
        <v>60</v>
      </c>
      <c r="E411" s="2">
        <v>0</v>
      </c>
      <c r="F411" s="1">
        <v>46344</v>
      </c>
      <c r="G411" s="1"/>
      <c r="H411" s="1">
        <v>0</v>
      </c>
      <c r="I411" s="1">
        <v>46374</v>
      </c>
      <c r="J411">
        <v>46230</v>
      </c>
      <c r="K411" s="1"/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>
        <v>31.32</v>
      </c>
      <c r="BF411" s="3" t="str">
        <f>+IF(AVANCE[[#This Row],[% AVANCE]]=100%,"MODULO TERMINADO",IF(AVANCE[[#This Row],[FECHA INICIO REAL]]="","MODULO NO INICIADO","PENDIENTE"))</f>
        <v>MODULO NO INICIADO</v>
      </c>
      <c r="BG411" s="3">
        <f>+IF(AVANCE[[#This Row],[VENTANAS]]=8.10810810810811%,100%,AVANCE[[#This Row],[VENTANAS]])</f>
        <v>0</v>
      </c>
      <c r="BH411" s="3">
        <f>+IF(AVANCE[[#This Row],[PISO]]=N$2,100%,AVANCE[[#This Row],[PISO]])</f>
        <v>0</v>
      </c>
      <c r="BI411" s="3">
        <f>+IF(AVANCE[[#This Row],[TABIQUES]]=O$2,100%,AVANCE[[#This Row],[TABIQUES]])</f>
        <v>0</v>
      </c>
      <c r="BJ411" s="3">
        <f>+IF(AVANCE[[#This Row],[MUROS]]=P$2,100%,AVANCE[[#This Row],[MUROS]])</f>
        <v>0</v>
      </c>
      <c r="BK411" s="3">
        <f>+IF(AVANCE[[#This Row],[CIELO]]=Q$2,100%,AVANCE[[#This Row],[CIELO]])</f>
        <v>0</v>
      </c>
      <c r="BL411" s="3">
        <f>+IF(AVANCE[[#This Row],[BALCÓN]]=R$2,100%,AVANCE[[#This Row],[BALCÓN]])</f>
        <v>0</v>
      </c>
      <c r="BM411" s="3">
        <f>+IF(AVANCE[[#This Row],[RED ALCANTARILLADO]]=U$2,100%,AVANCE[[#This Row],[RED ALCANTARILLADO]])</f>
        <v>0</v>
      </c>
      <c r="BN411" s="3">
        <f>+IF(AVANCE[[#This Row],[RED DE AGUA]]=V$2,100%,AVANCE[[#This Row],[RED DE AGUA]])</f>
        <v>0</v>
      </c>
      <c r="BO411" s="3">
        <f>+IF(AVANCE[[#This Row],[VENTILACIONES]]=W$2,100%,AVANCE[[#This Row],[VENTILACIONES]])</f>
        <v>0</v>
      </c>
      <c r="BP411" s="3">
        <f>+IF(AVANCE[[#This Row],[TINA]]=X$2,100%,AVANCE[[#This Row],[TINA]])</f>
        <v>0</v>
      </c>
      <c r="BQ411" s="3">
        <f>+IF(AVANCE[[#This Row],[WC]]=Y$2,100%,AVANCE[[#This Row],[WC]])</f>
        <v>0</v>
      </c>
      <c r="BR411" s="3">
        <f>+IF(AVANCE[[#This Row],[LAVAMANOS / LAVAPLATOS / LAVADERO]]=Z$2,100%,AVANCE[[#This Row],[LAVAMANOS / LAVAPLATOS / LAVADERO]])</f>
        <v>0</v>
      </c>
      <c r="BS411" s="3">
        <f>+IF(AVANCE[[#This Row],[CANALIZACIÓN]]=AC$2,100%,AVANCE[[#This Row],[CANALIZACIÓN]])</f>
        <v>0</v>
      </c>
      <c r="BT411" s="3">
        <f>+IF(AVANCE[[#This Row],[CABLEADO]]=AD$2,100%,AVANCE[[#This Row],[CABLEADO]])</f>
        <v>0</v>
      </c>
      <c r="BU411" s="3">
        <f>+IF(AVANCE[[#This Row],[ARTEFACTOS]]=AE$2,100%,AVANCE[[#This Row],[ARTEFACTOS]])</f>
        <v>0</v>
      </c>
      <c r="BV411" s="3">
        <f>+IF(AVANCE[[#This Row],[TABLERO]]=AF$2,100%,AVANCE[[#This Row],[TABLERO]])</f>
        <v>0</v>
      </c>
      <c r="BW411" s="3">
        <f>+IF(AVANCE[[#This Row],[CAJA PAU]]=AG$2,100%,AVANCE[[#This Row],[CAJA PAU]])</f>
        <v>0</v>
      </c>
      <c r="BX411" s="3">
        <f>+IF(AVANCE[[#This Row],[INSTALACION VINILICO]]=AJ$2,100%,AVANCE[[#This Row],[INSTALACION VINILICO]])</f>
        <v>0</v>
      </c>
      <c r="BY411" s="3">
        <f>+IF(AVANCE[[#This Row],[OSB CUBIERTA]]=AK$2,100%,AVANCE[[#This Row],[OSB CUBIERTA]])</f>
        <v>0</v>
      </c>
      <c r="BZ411" s="3">
        <f>+IF(AVANCE[[#This Row],[BARANDA BALCON]]=AL$2,100%,AVANCE[[#This Row],[BARANDA BALCON]])</f>
        <v>0</v>
      </c>
      <c r="CA411" s="3">
        <f>+IF(AVANCE[[#This Row],[OSB EXTERIOR]]=AM$2,100%,AVANCE[[#This Row],[OSB EXTERIOR]])</f>
        <v>0</v>
      </c>
      <c r="CB411" s="3">
        <f>+IF(AVANCE[[#This Row],[SMART PANEL]]=AN$2,100%,AVANCE[[#This Row],[SMART PANEL]])</f>
        <v>0</v>
      </c>
      <c r="CC411" s="3">
        <f>+IF(AVANCE[[#This Row],[PINTURA EXTERIOR]]=AO$2,100%,AVANCE[[#This Row],[PINTURA EXTERIOR]])</f>
        <v>0</v>
      </c>
      <c r="CD411" s="3">
        <f>+IF(AVANCE[[#This Row],[ZOCALOS LOGIA]]=AP$2,100%,AVANCE[[#This Row],[ZOCALOS LOGIA]])</f>
        <v>0</v>
      </c>
      <c r="CE411" s="3">
        <f>+IF(AVANCE[[#This Row],[MOLDURAS]]=AQ$2,100%,AVANCE[[#This Row],[MOLDURAS]])</f>
        <v>0</v>
      </c>
      <c r="CF411" s="3">
        <f>+IF(AVANCE[[#This Row],[PILASTREO]]=AR$2,100%,AVANCE[[#This Row],[PILASTREO]])</f>
        <v>0</v>
      </c>
      <c r="CG411" s="3">
        <f>+IF(AVANCE[[#This Row],[CELOSIAS]]=AS$2,100%,AVANCE[[#This Row],[CELOSIAS]])</f>
        <v>0</v>
      </c>
      <c r="CH411" s="3">
        <f>+IF(AVANCE[[#This Row],[VENTANAS]]=AT$2,100%,AVANCE[[#This Row],[VENTANAS]])</f>
        <v>0</v>
      </c>
      <c r="CI411" s="3">
        <f>+IF(AVANCE[[#This Row],[PUERTAS ACCESO - LOGIA - BANO]]=AU$2,100%,AVANCE[[#This Row],[PUERTAS ACCESO - LOGIA - BANO]])</f>
        <v>0</v>
      </c>
      <c r="CJ411" s="3">
        <f>+IF(AVANCE[[#This Row],[CERRADURAS]]=AV$2,100%,AVANCE[[#This Row],[CERRADURAS]])</f>
        <v>0</v>
      </c>
      <c r="CK411" s="3">
        <f>+IF(AVANCE[[#This Row],[REVESTIMIENTO INTERIOR ZONA SECA]]=AW$2,100%,AVANCE[[#This Row],[REVESTIMIENTO INTERIOR ZONA SECA]])</f>
        <v>0</v>
      </c>
      <c r="CL411" s="3">
        <f>+IF(AVANCE[[#This Row],[REVESTIMIENTO INTERIOR ZONAS HUMEDAS]]=AX$2,100%,AVANCE[[#This Row],[REVESTIMIENTO INTERIOR ZONAS HUMEDAS]])</f>
        <v>0</v>
      </c>
      <c r="CM411" s="3">
        <f>+IF(AVANCE[[#This Row],[MEMBRANA CIELO]]=AY$2,100%,AVANCE[[#This Row],[MEMBRANA CIELO]])</f>
        <v>0</v>
      </c>
      <c r="CN411" s="3">
        <f>+IF(AVANCE[[#This Row],[LIMPIEZA FINAL]]=AZ$2,100%,AVANCE[[#This Row],[LIMPIEZA FINAL]])</f>
        <v>0</v>
      </c>
      <c r="CO411" s="3">
        <f>+IF(AVANCE[[#This Row],[PUERTAS DORMITORIO]]=BA$2,100%,AVANCE[[#This Row],[PUERTAS DORMITORIO]])</f>
        <v>0</v>
      </c>
      <c r="CP411" s="3">
        <f>+IF(AVANCE[[#This Row],[REVESTIMIENTO INTERIOR BANO]]=BB$2,100%,AVANCE[[#This Row],[REVESTIMIENTO INTERIOR BANO]])</f>
        <v>0</v>
      </c>
      <c r="CQ411" s="3">
        <f>+IF(AVANCE[[#This Row],[MUEBLE LAVAPLATOS]]=BC$2,100%,AVANCE[[#This Row],[MUEBLE LAVAPLATOS]])</f>
        <v>0</v>
      </c>
      <c r="CR411" s="3">
        <f>+IF(AVANCE[[#This Row],[IMPERMEABILIZACION BANO - COCINA LOGIA]]=BD$2,100%,AVANCE[[#This Row],[IMPERMEABILIZACION BANO - COCINA LOGIA]])</f>
        <v>0</v>
      </c>
      <c r="CS411" s="40">
        <f ca="1">+IF(AVANCE[[#This Row],[ESTADO MODULO]]="PENDIENTE",(TODAY()-AVANCE[[#This Row],[FECHA TERMINO  PLANIFICADO]]),0)</f>
        <v>0</v>
      </c>
      <c r="CT411" s="41" t="str" cm="1">
        <f t="array" ref="CT411">_xlfn.TEXTJOIN(" | ",TRUE,IF(SUMPRODUCT((BG411:CR411&lt;1)*(PARTIDAS!$I$2:$AT$2="OBRA GRUESA"))&gt;0,"OBRA GRUESA: "&amp;_xlfn.TEXTJOIN(", ",TRUE,IF((BG411:CR411&lt;1)*(PARTIDAS!$I$2:$AT$2="OBRA GRUESA"),PARTIDAS!$I$1:$AT$1,"")),""),IF(SUMPRODUCT((BG411:CR411&lt;1)*(PARTIDAS!$I$2:$AT$2="SANITARIOS"))&gt;0,"SANITARIOS: "&amp;_xlfn.TEXTJOIN(", ",TRUE,IF((BG411:CR411&lt;1)*(PARTIDAS!$I$2:$AT$2="SANITARIOS"),PARTIDAS!$I$1:$AT$1,"")),""),IF(SUMPRODUCT((BG411:CR411&lt;1)*(PARTIDAS!$I$2:$AT$2="ELÉCTRICO"))&gt;0,"ELÉCTRICO: "&amp;_xlfn.TEXTJOIN(", ",TRUE,IF((BG411:CR411&lt;1)*(PARTIDAS!$I$2:$AT$2="ELÉCTRICO"),PARTIDAS!$I$1:$AT$1,"")),""),IF(SUMPRODUCT((BG411:CR411&lt;1)*(PARTIDAS!$I$2:$AT$2="TERMINACIONES"))&gt;0,"TERMINACIONES: "&amp;_xlfn.TEXTJOIN(", ",TRUE,IF((BG411:CR411&lt;1)*(PARTIDAS!$I$2:$AT$2="TERMINACIONES"),PARTIDAS!$I$1:$AT$1,"")),""))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1" s="43" t="str" cm="1">
        <f t="array" ref="CU411">_xlfn.TEXTJOIN(", ",TRUE,IF(SUMPRODUCT((BG411:CR411&lt;1)*(PARTIDAS!$I$2:$AT$2="OBRA GRUESA"))&gt;0,"OBRA GRUESA",""),IF(SUMPRODUCT((BG411:CR411&lt;1)*(PARTIDAS!$I$2:$AT$2="SANITARIOS"))&gt;0,"SANITARIOS",""),IF(SUMPRODUCT((BG411:CR411&lt;1)*(PARTIDAS!$I$2:$AT$2="ELÉCTRICO"))&gt;0,"ELÉCTRICO",""),IF(SUMPRODUCT((BG411:CR411&lt;1)*(PARTIDAS!$I$2:$AT$2="TERMINACIONES"))&gt;0,"TERMINACIONES",""))</f>
        <v>OBRA GRUESA, SANITARIOS, ELÉCTRICO, TERMINACIONES</v>
      </c>
      <c r="CV411" s="44" cm="1">
        <f t="array" ref="CV411">SUMPRODUCT(--(BG411:CR411&lt;1))</f>
        <v>38</v>
      </c>
    </row>
    <row r="412" spans="1:100" hidden="1" x14ac:dyDescent="0.25">
      <c r="A412" t="s">
        <v>454</v>
      </c>
      <c r="B412" t="s">
        <v>481</v>
      </c>
      <c r="C412">
        <v>2302600411</v>
      </c>
      <c r="D412" t="s">
        <v>60</v>
      </c>
      <c r="E412" s="2">
        <v>0</v>
      </c>
      <c r="F412" s="1">
        <v>46344</v>
      </c>
      <c r="G412" s="1"/>
      <c r="H412" s="1">
        <v>0</v>
      </c>
      <c r="I412" s="1">
        <v>46374</v>
      </c>
      <c r="J412">
        <v>46230</v>
      </c>
      <c r="K412" s="1"/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>
        <v>31.32</v>
      </c>
      <c r="BF412" s="3" t="str">
        <f>+IF(AVANCE[[#This Row],[% AVANCE]]=100%,"MODULO TERMINADO",IF(AVANCE[[#This Row],[FECHA INICIO REAL]]="","MODULO NO INICIADO","PENDIENTE"))</f>
        <v>MODULO NO INICIADO</v>
      </c>
      <c r="BG412" s="3">
        <f>+IF(AVANCE[[#This Row],[VENTANAS]]=8.10810810810811%,100%,AVANCE[[#This Row],[VENTANAS]])</f>
        <v>0</v>
      </c>
      <c r="BH412" s="3">
        <f>+IF(AVANCE[[#This Row],[PISO]]=N$2,100%,AVANCE[[#This Row],[PISO]])</f>
        <v>0</v>
      </c>
      <c r="BI412" s="3">
        <f>+IF(AVANCE[[#This Row],[TABIQUES]]=O$2,100%,AVANCE[[#This Row],[TABIQUES]])</f>
        <v>0</v>
      </c>
      <c r="BJ412" s="3">
        <f>+IF(AVANCE[[#This Row],[MUROS]]=P$2,100%,AVANCE[[#This Row],[MUROS]])</f>
        <v>0</v>
      </c>
      <c r="BK412" s="3">
        <f>+IF(AVANCE[[#This Row],[CIELO]]=Q$2,100%,AVANCE[[#This Row],[CIELO]])</f>
        <v>0</v>
      </c>
      <c r="BL412" s="3">
        <f>+IF(AVANCE[[#This Row],[BALCÓN]]=R$2,100%,AVANCE[[#This Row],[BALCÓN]])</f>
        <v>0</v>
      </c>
      <c r="BM412" s="3">
        <f>+IF(AVANCE[[#This Row],[RED ALCANTARILLADO]]=U$2,100%,AVANCE[[#This Row],[RED ALCANTARILLADO]])</f>
        <v>0</v>
      </c>
      <c r="BN412" s="3">
        <f>+IF(AVANCE[[#This Row],[RED DE AGUA]]=V$2,100%,AVANCE[[#This Row],[RED DE AGUA]])</f>
        <v>0</v>
      </c>
      <c r="BO412" s="3">
        <f>+IF(AVANCE[[#This Row],[VENTILACIONES]]=W$2,100%,AVANCE[[#This Row],[VENTILACIONES]])</f>
        <v>0</v>
      </c>
      <c r="BP412" s="3">
        <f>+IF(AVANCE[[#This Row],[TINA]]=X$2,100%,AVANCE[[#This Row],[TINA]])</f>
        <v>0</v>
      </c>
      <c r="BQ412" s="3">
        <f>+IF(AVANCE[[#This Row],[WC]]=Y$2,100%,AVANCE[[#This Row],[WC]])</f>
        <v>0</v>
      </c>
      <c r="BR412" s="3">
        <f>+IF(AVANCE[[#This Row],[LAVAMANOS / LAVAPLATOS / LAVADERO]]=Z$2,100%,AVANCE[[#This Row],[LAVAMANOS / LAVAPLATOS / LAVADERO]])</f>
        <v>0</v>
      </c>
      <c r="BS412" s="3">
        <f>+IF(AVANCE[[#This Row],[CANALIZACIÓN]]=AC$2,100%,AVANCE[[#This Row],[CANALIZACIÓN]])</f>
        <v>0</v>
      </c>
      <c r="BT412" s="3">
        <f>+IF(AVANCE[[#This Row],[CABLEADO]]=AD$2,100%,AVANCE[[#This Row],[CABLEADO]])</f>
        <v>0</v>
      </c>
      <c r="BU412" s="3">
        <f>+IF(AVANCE[[#This Row],[ARTEFACTOS]]=AE$2,100%,AVANCE[[#This Row],[ARTEFACTOS]])</f>
        <v>0</v>
      </c>
      <c r="BV412" s="3">
        <f>+IF(AVANCE[[#This Row],[TABLERO]]=AF$2,100%,AVANCE[[#This Row],[TABLERO]])</f>
        <v>0</v>
      </c>
      <c r="BW412" s="3">
        <f>+IF(AVANCE[[#This Row],[CAJA PAU]]=AG$2,100%,AVANCE[[#This Row],[CAJA PAU]])</f>
        <v>0</v>
      </c>
      <c r="BX412" s="3">
        <f>+IF(AVANCE[[#This Row],[INSTALACION VINILICO]]=AJ$2,100%,AVANCE[[#This Row],[INSTALACION VINILICO]])</f>
        <v>0</v>
      </c>
      <c r="BY412" s="3">
        <f>+IF(AVANCE[[#This Row],[OSB CUBIERTA]]=AK$2,100%,AVANCE[[#This Row],[OSB CUBIERTA]])</f>
        <v>0</v>
      </c>
      <c r="BZ412" s="3">
        <f>+IF(AVANCE[[#This Row],[BARANDA BALCON]]=AL$2,100%,AVANCE[[#This Row],[BARANDA BALCON]])</f>
        <v>0</v>
      </c>
      <c r="CA412" s="3">
        <f>+IF(AVANCE[[#This Row],[OSB EXTERIOR]]=AM$2,100%,AVANCE[[#This Row],[OSB EXTERIOR]])</f>
        <v>0</v>
      </c>
      <c r="CB412" s="3">
        <f>+IF(AVANCE[[#This Row],[SMART PANEL]]=AN$2,100%,AVANCE[[#This Row],[SMART PANEL]])</f>
        <v>0</v>
      </c>
      <c r="CC412" s="3">
        <f>+IF(AVANCE[[#This Row],[PINTURA EXTERIOR]]=AO$2,100%,AVANCE[[#This Row],[PINTURA EXTERIOR]])</f>
        <v>0</v>
      </c>
      <c r="CD412" s="3">
        <f>+IF(AVANCE[[#This Row],[ZOCALOS LOGIA]]=AP$2,100%,AVANCE[[#This Row],[ZOCALOS LOGIA]])</f>
        <v>0</v>
      </c>
      <c r="CE412" s="3">
        <f>+IF(AVANCE[[#This Row],[MOLDURAS]]=AQ$2,100%,AVANCE[[#This Row],[MOLDURAS]])</f>
        <v>0</v>
      </c>
      <c r="CF412" s="3">
        <f>+IF(AVANCE[[#This Row],[PILASTREO]]=AR$2,100%,AVANCE[[#This Row],[PILASTREO]])</f>
        <v>0</v>
      </c>
      <c r="CG412" s="3">
        <f>+IF(AVANCE[[#This Row],[CELOSIAS]]=AS$2,100%,AVANCE[[#This Row],[CELOSIAS]])</f>
        <v>0</v>
      </c>
      <c r="CH412" s="3">
        <f>+IF(AVANCE[[#This Row],[VENTANAS]]=AT$2,100%,AVANCE[[#This Row],[VENTANAS]])</f>
        <v>0</v>
      </c>
      <c r="CI412" s="3">
        <f>+IF(AVANCE[[#This Row],[PUERTAS ACCESO - LOGIA - BANO]]=AU$2,100%,AVANCE[[#This Row],[PUERTAS ACCESO - LOGIA - BANO]])</f>
        <v>0</v>
      </c>
      <c r="CJ412" s="3">
        <f>+IF(AVANCE[[#This Row],[CERRADURAS]]=AV$2,100%,AVANCE[[#This Row],[CERRADURAS]])</f>
        <v>0</v>
      </c>
      <c r="CK412" s="3">
        <f>+IF(AVANCE[[#This Row],[REVESTIMIENTO INTERIOR ZONA SECA]]=AW$2,100%,AVANCE[[#This Row],[REVESTIMIENTO INTERIOR ZONA SECA]])</f>
        <v>0</v>
      </c>
      <c r="CL412" s="3">
        <f>+IF(AVANCE[[#This Row],[REVESTIMIENTO INTERIOR ZONAS HUMEDAS]]=AX$2,100%,AVANCE[[#This Row],[REVESTIMIENTO INTERIOR ZONAS HUMEDAS]])</f>
        <v>0</v>
      </c>
      <c r="CM412" s="3">
        <f>+IF(AVANCE[[#This Row],[MEMBRANA CIELO]]=AY$2,100%,AVANCE[[#This Row],[MEMBRANA CIELO]])</f>
        <v>0</v>
      </c>
      <c r="CN412" s="3">
        <f>+IF(AVANCE[[#This Row],[LIMPIEZA FINAL]]=AZ$2,100%,AVANCE[[#This Row],[LIMPIEZA FINAL]])</f>
        <v>0</v>
      </c>
      <c r="CO412" s="3">
        <f>+IF(AVANCE[[#This Row],[PUERTAS DORMITORIO]]=BA$2,100%,AVANCE[[#This Row],[PUERTAS DORMITORIO]])</f>
        <v>0</v>
      </c>
      <c r="CP412" s="3">
        <f>+IF(AVANCE[[#This Row],[REVESTIMIENTO INTERIOR BANO]]=BB$2,100%,AVANCE[[#This Row],[REVESTIMIENTO INTERIOR BANO]])</f>
        <v>0</v>
      </c>
      <c r="CQ412" s="3">
        <f>+IF(AVANCE[[#This Row],[MUEBLE LAVAPLATOS]]=BC$2,100%,AVANCE[[#This Row],[MUEBLE LAVAPLATOS]])</f>
        <v>0</v>
      </c>
      <c r="CR412" s="3">
        <f>+IF(AVANCE[[#This Row],[IMPERMEABILIZACION BANO - COCINA LOGIA]]=BD$2,100%,AVANCE[[#This Row],[IMPERMEABILIZACION BANO - COCINA LOGIA]])</f>
        <v>0</v>
      </c>
      <c r="CS412" s="40">
        <f ca="1">+IF(AVANCE[[#This Row],[ESTADO MODULO]]="PENDIENTE",(TODAY()-AVANCE[[#This Row],[FECHA TERMINO  PLANIFICADO]]),0)</f>
        <v>0</v>
      </c>
      <c r="CT412" s="41" t="str" cm="1">
        <f t="array" ref="CT412">_xlfn.TEXTJOIN(" | ",TRUE,IF(SUMPRODUCT((BG412:CR412&lt;1)*(PARTIDAS!$I$2:$AT$2="OBRA GRUESA"))&gt;0,"OBRA GRUESA: "&amp;_xlfn.TEXTJOIN(", ",TRUE,IF((BG412:CR412&lt;1)*(PARTIDAS!$I$2:$AT$2="OBRA GRUESA"),PARTIDAS!$I$1:$AT$1,"")),""),IF(SUMPRODUCT((BG412:CR412&lt;1)*(PARTIDAS!$I$2:$AT$2="SANITARIOS"))&gt;0,"SANITARIOS: "&amp;_xlfn.TEXTJOIN(", ",TRUE,IF((BG412:CR412&lt;1)*(PARTIDAS!$I$2:$AT$2="SANITARIOS"),PARTIDAS!$I$1:$AT$1,"")),""),IF(SUMPRODUCT((BG412:CR412&lt;1)*(PARTIDAS!$I$2:$AT$2="ELÉCTRICO"))&gt;0,"ELÉCTRICO: "&amp;_xlfn.TEXTJOIN(", ",TRUE,IF((BG412:CR412&lt;1)*(PARTIDAS!$I$2:$AT$2="ELÉCTRICO"),PARTIDAS!$I$1:$AT$1,"")),""),IF(SUMPRODUCT((BG412:CR412&lt;1)*(PARTIDAS!$I$2:$AT$2="TERMINACIONES"))&gt;0,"TERMINACIONES: "&amp;_xlfn.TEXTJOIN(", ",TRUE,IF((BG412:CR412&lt;1)*(PARTIDAS!$I$2:$AT$2="TERMINACIONES"),PARTIDAS!$I$1:$AT$1,"")),""))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2" s="43" t="str" cm="1">
        <f t="array" ref="CU412">_xlfn.TEXTJOIN(", ",TRUE,IF(SUMPRODUCT((BG412:CR412&lt;1)*(PARTIDAS!$I$2:$AT$2="OBRA GRUESA"))&gt;0,"OBRA GRUESA",""),IF(SUMPRODUCT((BG412:CR412&lt;1)*(PARTIDAS!$I$2:$AT$2="SANITARIOS"))&gt;0,"SANITARIOS",""),IF(SUMPRODUCT((BG412:CR412&lt;1)*(PARTIDAS!$I$2:$AT$2="ELÉCTRICO"))&gt;0,"ELÉCTRICO",""),IF(SUMPRODUCT((BG412:CR412&lt;1)*(PARTIDAS!$I$2:$AT$2="TERMINACIONES"))&gt;0,"TERMINACIONES",""))</f>
        <v>OBRA GRUESA, SANITARIOS, ELÉCTRICO, TERMINACIONES</v>
      </c>
      <c r="CV412" s="44" cm="1">
        <f t="array" ref="CV412">SUMPRODUCT(--(BG412:CR412&lt;1))</f>
        <v>38</v>
      </c>
    </row>
    <row r="413" spans="1:100" hidden="1" x14ac:dyDescent="0.25">
      <c r="A413" t="s">
        <v>454</v>
      </c>
      <c r="B413" t="s">
        <v>482</v>
      </c>
      <c r="C413">
        <v>2282600412</v>
      </c>
      <c r="D413" t="s">
        <v>58</v>
      </c>
      <c r="E413" s="2">
        <v>0</v>
      </c>
      <c r="F413" s="1">
        <v>46344</v>
      </c>
      <c r="G413" s="1"/>
      <c r="H413" s="1">
        <v>0</v>
      </c>
      <c r="I413" s="1">
        <v>46364</v>
      </c>
      <c r="J413">
        <v>46230</v>
      </c>
      <c r="K413" s="1"/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>
        <v>28.87</v>
      </c>
      <c r="BF413" s="3" t="str">
        <f>+IF(AVANCE[[#This Row],[% AVANCE]]=100%,"MODULO TERMINADO",IF(AVANCE[[#This Row],[FECHA INICIO REAL]]="","MODULO NO INICIADO","PENDIENTE"))</f>
        <v>MODULO NO INICIADO</v>
      </c>
      <c r="BG413" s="3">
        <f>+IF(AVANCE[[#This Row],[VENTANAS]]=8.10810810810811%,100%,AVANCE[[#This Row],[VENTANAS]])</f>
        <v>0</v>
      </c>
      <c r="BH413" s="3">
        <f>+IF(AVANCE[[#This Row],[PISO]]=N$2,100%,AVANCE[[#This Row],[PISO]])</f>
        <v>0</v>
      </c>
      <c r="BI413" s="3">
        <f>+IF(AVANCE[[#This Row],[TABIQUES]]=O$2,100%,AVANCE[[#This Row],[TABIQUES]])</f>
        <v>0</v>
      </c>
      <c r="BJ413" s="3">
        <f>+IF(AVANCE[[#This Row],[MUROS]]=P$2,100%,AVANCE[[#This Row],[MUROS]])</f>
        <v>0</v>
      </c>
      <c r="BK413" s="3">
        <f>+IF(AVANCE[[#This Row],[CIELO]]=Q$2,100%,AVANCE[[#This Row],[CIELO]])</f>
        <v>0</v>
      </c>
      <c r="BL413" s="3">
        <f>+IF(AVANCE[[#This Row],[BALCÓN]]=R$2,100%,AVANCE[[#This Row],[BALCÓN]])</f>
        <v>0</v>
      </c>
      <c r="BM413" s="3">
        <f>+IF(AVANCE[[#This Row],[RED ALCANTARILLADO]]=U$2,100%,AVANCE[[#This Row],[RED ALCANTARILLADO]])</f>
        <v>0</v>
      </c>
      <c r="BN413" s="3">
        <f>+IF(AVANCE[[#This Row],[RED DE AGUA]]=V$2,100%,AVANCE[[#This Row],[RED DE AGUA]])</f>
        <v>0</v>
      </c>
      <c r="BO413" s="3">
        <f>+IF(AVANCE[[#This Row],[VENTILACIONES]]=W$2,100%,AVANCE[[#This Row],[VENTILACIONES]])</f>
        <v>0</v>
      </c>
      <c r="BP413" s="3">
        <f>+IF(AVANCE[[#This Row],[TINA]]=X$2,100%,AVANCE[[#This Row],[TINA]])</f>
        <v>0</v>
      </c>
      <c r="BQ413" s="3">
        <f>+IF(AVANCE[[#This Row],[WC]]=Y$2,100%,AVANCE[[#This Row],[WC]])</f>
        <v>0</v>
      </c>
      <c r="BR413" s="3">
        <f>+IF(AVANCE[[#This Row],[LAVAMANOS / LAVAPLATOS / LAVADERO]]=Z$2,100%,AVANCE[[#This Row],[LAVAMANOS / LAVAPLATOS / LAVADERO]])</f>
        <v>0</v>
      </c>
      <c r="BS413" s="3">
        <f>+IF(AVANCE[[#This Row],[CANALIZACIÓN]]=AC$2,100%,AVANCE[[#This Row],[CANALIZACIÓN]])</f>
        <v>0</v>
      </c>
      <c r="BT413" s="3">
        <f>+IF(AVANCE[[#This Row],[CABLEADO]]=AD$2,100%,AVANCE[[#This Row],[CABLEADO]])</f>
        <v>0</v>
      </c>
      <c r="BU413" s="3">
        <f>+IF(AVANCE[[#This Row],[ARTEFACTOS]]=AE$2,100%,AVANCE[[#This Row],[ARTEFACTOS]])</f>
        <v>0</v>
      </c>
      <c r="BV413" s="3">
        <f>+IF(AVANCE[[#This Row],[TABLERO]]=AF$2,100%,AVANCE[[#This Row],[TABLERO]])</f>
        <v>0</v>
      </c>
      <c r="BW413" s="3">
        <f>+IF(AVANCE[[#This Row],[CAJA PAU]]=AG$2,100%,AVANCE[[#This Row],[CAJA PAU]])</f>
        <v>0</v>
      </c>
      <c r="BX413" s="3">
        <f>+IF(AVANCE[[#This Row],[INSTALACION VINILICO]]=AJ$2,100%,AVANCE[[#This Row],[INSTALACION VINILICO]])</f>
        <v>0</v>
      </c>
      <c r="BY413" s="3">
        <f>+IF(AVANCE[[#This Row],[OSB CUBIERTA]]=AK$2,100%,AVANCE[[#This Row],[OSB CUBIERTA]])</f>
        <v>0</v>
      </c>
      <c r="BZ413" s="3">
        <f>+IF(AVANCE[[#This Row],[BARANDA BALCON]]=AL$2,100%,AVANCE[[#This Row],[BARANDA BALCON]])</f>
        <v>0</v>
      </c>
      <c r="CA413" s="3">
        <f>+IF(AVANCE[[#This Row],[OSB EXTERIOR]]=AM$2,100%,AVANCE[[#This Row],[OSB EXTERIOR]])</f>
        <v>0</v>
      </c>
      <c r="CB413" s="3">
        <f>+IF(AVANCE[[#This Row],[SMART PANEL]]=AN$2,100%,AVANCE[[#This Row],[SMART PANEL]])</f>
        <v>0</v>
      </c>
      <c r="CC413" s="3">
        <f>+IF(AVANCE[[#This Row],[PINTURA EXTERIOR]]=AO$2,100%,AVANCE[[#This Row],[PINTURA EXTERIOR]])</f>
        <v>0</v>
      </c>
      <c r="CD413" s="3">
        <f>+IF(AVANCE[[#This Row],[ZOCALOS LOGIA]]=AP$2,100%,AVANCE[[#This Row],[ZOCALOS LOGIA]])</f>
        <v>0</v>
      </c>
      <c r="CE413" s="3">
        <f>+IF(AVANCE[[#This Row],[MOLDURAS]]=AQ$2,100%,AVANCE[[#This Row],[MOLDURAS]])</f>
        <v>0</v>
      </c>
      <c r="CF413" s="3">
        <f>+IF(AVANCE[[#This Row],[PILASTREO]]=AR$2,100%,AVANCE[[#This Row],[PILASTREO]])</f>
        <v>0</v>
      </c>
      <c r="CG413" s="3">
        <f>+IF(AVANCE[[#This Row],[CELOSIAS]]=AS$2,100%,AVANCE[[#This Row],[CELOSIAS]])</f>
        <v>0</v>
      </c>
      <c r="CH413" s="3">
        <f>+IF(AVANCE[[#This Row],[VENTANAS]]=AT$2,100%,AVANCE[[#This Row],[VENTANAS]])</f>
        <v>0</v>
      </c>
      <c r="CI413" s="3">
        <f>+IF(AVANCE[[#This Row],[PUERTAS ACCESO - LOGIA - BANO]]=AU$2,100%,AVANCE[[#This Row],[PUERTAS ACCESO - LOGIA - BANO]])</f>
        <v>0</v>
      </c>
      <c r="CJ413" s="3">
        <f>+IF(AVANCE[[#This Row],[CERRADURAS]]=AV$2,100%,AVANCE[[#This Row],[CERRADURAS]])</f>
        <v>0</v>
      </c>
      <c r="CK413" s="3">
        <f>+IF(AVANCE[[#This Row],[REVESTIMIENTO INTERIOR ZONA SECA]]=AW$2,100%,AVANCE[[#This Row],[REVESTIMIENTO INTERIOR ZONA SECA]])</f>
        <v>0</v>
      </c>
      <c r="CL413" s="3">
        <f>+IF(AVANCE[[#This Row],[REVESTIMIENTO INTERIOR ZONAS HUMEDAS]]=AX$2,100%,AVANCE[[#This Row],[REVESTIMIENTO INTERIOR ZONAS HUMEDAS]])</f>
        <v>0</v>
      </c>
      <c r="CM413" s="3">
        <f>+IF(AVANCE[[#This Row],[MEMBRANA CIELO]]=AY$2,100%,AVANCE[[#This Row],[MEMBRANA CIELO]])</f>
        <v>0</v>
      </c>
      <c r="CN413" s="3">
        <f>+IF(AVANCE[[#This Row],[LIMPIEZA FINAL]]=AZ$2,100%,AVANCE[[#This Row],[LIMPIEZA FINAL]])</f>
        <v>0</v>
      </c>
      <c r="CO413" s="3">
        <f>+IF(AVANCE[[#This Row],[PUERTAS DORMITORIO]]=BA$2,100%,AVANCE[[#This Row],[PUERTAS DORMITORIO]])</f>
        <v>0</v>
      </c>
      <c r="CP413" s="3">
        <f>+IF(AVANCE[[#This Row],[REVESTIMIENTO INTERIOR BANO]]=BB$2,100%,AVANCE[[#This Row],[REVESTIMIENTO INTERIOR BANO]])</f>
        <v>0</v>
      </c>
      <c r="CQ413" s="3">
        <f>+IF(AVANCE[[#This Row],[MUEBLE LAVAPLATOS]]=BC$2,100%,AVANCE[[#This Row],[MUEBLE LAVAPLATOS]])</f>
        <v>0</v>
      </c>
      <c r="CR413" s="3">
        <f>+IF(AVANCE[[#This Row],[IMPERMEABILIZACION BANO - COCINA LOGIA]]=BD$2,100%,AVANCE[[#This Row],[IMPERMEABILIZACION BANO - COCINA LOGIA]])</f>
        <v>0</v>
      </c>
      <c r="CS413" s="40">
        <f ca="1">+IF(AVANCE[[#This Row],[ESTADO MODULO]]="PENDIENTE",(TODAY()-AVANCE[[#This Row],[FECHA TERMINO  PLANIFICADO]]),0)</f>
        <v>0</v>
      </c>
      <c r="CT413" s="41" t="str" cm="1">
        <f t="array" ref="CT413">_xlfn.TEXTJOIN(" | ",TRUE,IF(SUMPRODUCT((BG413:CR413&lt;1)*(PARTIDAS!$I$2:$AT$2="OBRA GRUESA"))&gt;0,"OBRA GRUESA: "&amp;_xlfn.TEXTJOIN(", ",TRUE,IF((BG413:CR413&lt;1)*(PARTIDAS!$I$2:$AT$2="OBRA GRUESA"),PARTIDAS!$I$1:$AT$1,"")),""),IF(SUMPRODUCT((BG413:CR413&lt;1)*(PARTIDAS!$I$2:$AT$2="SANITARIOS"))&gt;0,"SANITARIOS: "&amp;_xlfn.TEXTJOIN(", ",TRUE,IF((BG413:CR413&lt;1)*(PARTIDAS!$I$2:$AT$2="SANITARIOS"),PARTIDAS!$I$1:$AT$1,"")),""),IF(SUMPRODUCT((BG413:CR413&lt;1)*(PARTIDAS!$I$2:$AT$2="ELÉCTRICO"))&gt;0,"ELÉCTRICO: "&amp;_xlfn.TEXTJOIN(", ",TRUE,IF((BG413:CR413&lt;1)*(PARTIDAS!$I$2:$AT$2="ELÉCTRICO"),PARTIDAS!$I$1:$AT$1,"")),""),IF(SUMPRODUCT((BG413:CR413&lt;1)*(PARTIDAS!$I$2:$AT$2="TERMINACIONES"))&gt;0,"TERMINACIONES: "&amp;_xlfn.TEXTJOIN(", ",TRUE,IF((BG413:CR413&lt;1)*(PARTIDAS!$I$2:$AT$2="TERMINACIONES"),PARTIDAS!$I$1:$AT$1,"")),""))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3" s="43" t="str" cm="1">
        <f t="array" ref="CU413">_xlfn.TEXTJOIN(", ",TRUE,IF(SUMPRODUCT((BG413:CR413&lt;1)*(PARTIDAS!$I$2:$AT$2="OBRA GRUESA"))&gt;0,"OBRA GRUESA",""),IF(SUMPRODUCT((BG413:CR413&lt;1)*(PARTIDAS!$I$2:$AT$2="SANITARIOS"))&gt;0,"SANITARIOS",""),IF(SUMPRODUCT((BG413:CR413&lt;1)*(PARTIDAS!$I$2:$AT$2="ELÉCTRICO"))&gt;0,"ELÉCTRICO",""),IF(SUMPRODUCT((BG413:CR413&lt;1)*(PARTIDAS!$I$2:$AT$2="TERMINACIONES"))&gt;0,"TERMINACIONES",""))</f>
        <v>OBRA GRUESA, SANITARIOS, ELÉCTRICO, TERMINACIONES</v>
      </c>
      <c r="CV413" s="44" cm="1">
        <f t="array" ref="CV413">SUMPRODUCT(--(BG413:CR413&lt;1))</f>
        <v>38</v>
      </c>
    </row>
    <row r="414" spans="1:100" hidden="1" x14ac:dyDescent="0.25">
      <c r="A414" t="s">
        <v>454</v>
      </c>
      <c r="B414" t="s">
        <v>483</v>
      </c>
      <c r="C414">
        <v>2282600413</v>
      </c>
      <c r="D414" t="s">
        <v>58</v>
      </c>
      <c r="E414" s="2">
        <v>0</v>
      </c>
      <c r="F414" s="1">
        <v>46345</v>
      </c>
      <c r="G414" s="1"/>
      <c r="H414" s="1">
        <v>0</v>
      </c>
      <c r="I414" s="1">
        <v>46365</v>
      </c>
      <c r="J414">
        <v>46230</v>
      </c>
      <c r="K414" s="1"/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>
        <v>28.87</v>
      </c>
      <c r="BF414" s="3" t="str">
        <f>+IF(AVANCE[[#This Row],[% AVANCE]]=100%,"MODULO TERMINADO",IF(AVANCE[[#This Row],[FECHA INICIO REAL]]="","MODULO NO INICIADO","PENDIENTE"))</f>
        <v>MODULO NO INICIADO</v>
      </c>
      <c r="BG414" s="3">
        <f>+IF(AVANCE[[#This Row],[VENTANAS]]=8.10810810810811%,100%,AVANCE[[#This Row],[VENTANAS]])</f>
        <v>0</v>
      </c>
      <c r="BH414" s="3">
        <f>+IF(AVANCE[[#This Row],[PISO]]=N$2,100%,AVANCE[[#This Row],[PISO]])</f>
        <v>0</v>
      </c>
      <c r="BI414" s="3">
        <f>+IF(AVANCE[[#This Row],[TABIQUES]]=O$2,100%,AVANCE[[#This Row],[TABIQUES]])</f>
        <v>0</v>
      </c>
      <c r="BJ414" s="3">
        <f>+IF(AVANCE[[#This Row],[MUROS]]=P$2,100%,AVANCE[[#This Row],[MUROS]])</f>
        <v>0</v>
      </c>
      <c r="BK414" s="3">
        <f>+IF(AVANCE[[#This Row],[CIELO]]=Q$2,100%,AVANCE[[#This Row],[CIELO]])</f>
        <v>0</v>
      </c>
      <c r="BL414" s="3">
        <f>+IF(AVANCE[[#This Row],[BALCÓN]]=R$2,100%,AVANCE[[#This Row],[BALCÓN]])</f>
        <v>0</v>
      </c>
      <c r="BM414" s="3">
        <f>+IF(AVANCE[[#This Row],[RED ALCANTARILLADO]]=U$2,100%,AVANCE[[#This Row],[RED ALCANTARILLADO]])</f>
        <v>0</v>
      </c>
      <c r="BN414" s="3">
        <f>+IF(AVANCE[[#This Row],[RED DE AGUA]]=V$2,100%,AVANCE[[#This Row],[RED DE AGUA]])</f>
        <v>0</v>
      </c>
      <c r="BO414" s="3">
        <f>+IF(AVANCE[[#This Row],[VENTILACIONES]]=W$2,100%,AVANCE[[#This Row],[VENTILACIONES]])</f>
        <v>0</v>
      </c>
      <c r="BP414" s="3">
        <f>+IF(AVANCE[[#This Row],[TINA]]=X$2,100%,AVANCE[[#This Row],[TINA]])</f>
        <v>0</v>
      </c>
      <c r="BQ414" s="3">
        <f>+IF(AVANCE[[#This Row],[WC]]=Y$2,100%,AVANCE[[#This Row],[WC]])</f>
        <v>0</v>
      </c>
      <c r="BR414" s="3">
        <f>+IF(AVANCE[[#This Row],[LAVAMANOS / LAVAPLATOS / LAVADERO]]=Z$2,100%,AVANCE[[#This Row],[LAVAMANOS / LAVAPLATOS / LAVADERO]])</f>
        <v>0</v>
      </c>
      <c r="BS414" s="3">
        <f>+IF(AVANCE[[#This Row],[CANALIZACIÓN]]=AC$2,100%,AVANCE[[#This Row],[CANALIZACIÓN]])</f>
        <v>0</v>
      </c>
      <c r="BT414" s="3">
        <f>+IF(AVANCE[[#This Row],[CABLEADO]]=AD$2,100%,AVANCE[[#This Row],[CABLEADO]])</f>
        <v>0</v>
      </c>
      <c r="BU414" s="3">
        <f>+IF(AVANCE[[#This Row],[ARTEFACTOS]]=AE$2,100%,AVANCE[[#This Row],[ARTEFACTOS]])</f>
        <v>0</v>
      </c>
      <c r="BV414" s="3">
        <f>+IF(AVANCE[[#This Row],[TABLERO]]=AF$2,100%,AVANCE[[#This Row],[TABLERO]])</f>
        <v>0</v>
      </c>
      <c r="BW414" s="3">
        <f>+IF(AVANCE[[#This Row],[CAJA PAU]]=AG$2,100%,AVANCE[[#This Row],[CAJA PAU]])</f>
        <v>0</v>
      </c>
      <c r="BX414" s="3">
        <f>+IF(AVANCE[[#This Row],[INSTALACION VINILICO]]=AJ$2,100%,AVANCE[[#This Row],[INSTALACION VINILICO]])</f>
        <v>0</v>
      </c>
      <c r="BY414" s="3">
        <f>+IF(AVANCE[[#This Row],[OSB CUBIERTA]]=AK$2,100%,AVANCE[[#This Row],[OSB CUBIERTA]])</f>
        <v>0</v>
      </c>
      <c r="BZ414" s="3">
        <f>+IF(AVANCE[[#This Row],[BARANDA BALCON]]=AL$2,100%,AVANCE[[#This Row],[BARANDA BALCON]])</f>
        <v>0</v>
      </c>
      <c r="CA414" s="3">
        <f>+IF(AVANCE[[#This Row],[OSB EXTERIOR]]=AM$2,100%,AVANCE[[#This Row],[OSB EXTERIOR]])</f>
        <v>0</v>
      </c>
      <c r="CB414" s="3">
        <f>+IF(AVANCE[[#This Row],[SMART PANEL]]=AN$2,100%,AVANCE[[#This Row],[SMART PANEL]])</f>
        <v>0</v>
      </c>
      <c r="CC414" s="3">
        <f>+IF(AVANCE[[#This Row],[PINTURA EXTERIOR]]=AO$2,100%,AVANCE[[#This Row],[PINTURA EXTERIOR]])</f>
        <v>0</v>
      </c>
      <c r="CD414" s="3">
        <f>+IF(AVANCE[[#This Row],[ZOCALOS LOGIA]]=AP$2,100%,AVANCE[[#This Row],[ZOCALOS LOGIA]])</f>
        <v>0</v>
      </c>
      <c r="CE414" s="3">
        <f>+IF(AVANCE[[#This Row],[MOLDURAS]]=AQ$2,100%,AVANCE[[#This Row],[MOLDURAS]])</f>
        <v>0</v>
      </c>
      <c r="CF414" s="3">
        <f>+IF(AVANCE[[#This Row],[PILASTREO]]=AR$2,100%,AVANCE[[#This Row],[PILASTREO]])</f>
        <v>0</v>
      </c>
      <c r="CG414" s="3">
        <f>+IF(AVANCE[[#This Row],[CELOSIAS]]=AS$2,100%,AVANCE[[#This Row],[CELOSIAS]])</f>
        <v>0</v>
      </c>
      <c r="CH414" s="3">
        <f>+IF(AVANCE[[#This Row],[VENTANAS]]=AT$2,100%,AVANCE[[#This Row],[VENTANAS]])</f>
        <v>0</v>
      </c>
      <c r="CI414" s="3">
        <f>+IF(AVANCE[[#This Row],[PUERTAS ACCESO - LOGIA - BANO]]=AU$2,100%,AVANCE[[#This Row],[PUERTAS ACCESO - LOGIA - BANO]])</f>
        <v>0</v>
      </c>
      <c r="CJ414" s="3">
        <f>+IF(AVANCE[[#This Row],[CERRADURAS]]=AV$2,100%,AVANCE[[#This Row],[CERRADURAS]])</f>
        <v>0</v>
      </c>
      <c r="CK414" s="3">
        <f>+IF(AVANCE[[#This Row],[REVESTIMIENTO INTERIOR ZONA SECA]]=AW$2,100%,AVANCE[[#This Row],[REVESTIMIENTO INTERIOR ZONA SECA]])</f>
        <v>0</v>
      </c>
      <c r="CL414" s="3">
        <f>+IF(AVANCE[[#This Row],[REVESTIMIENTO INTERIOR ZONAS HUMEDAS]]=AX$2,100%,AVANCE[[#This Row],[REVESTIMIENTO INTERIOR ZONAS HUMEDAS]])</f>
        <v>0</v>
      </c>
      <c r="CM414" s="3">
        <f>+IF(AVANCE[[#This Row],[MEMBRANA CIELO]]=AY$2,100%,AVANCE[[#This Row],[MEMBRANA CIELO]])</f>
        <v>0</v>
      </c>
      <c r="CN414" s="3">
        <f>+IF(AVANCE[[#This Row],[LIMPIEZA FINAL]]=AZ$2,100%,AVANCE[[#This Row],[LIMPIEZA FINAL]])</f>
        <v>0</v>
      </c>
      <c r="CO414" s="3">
        <f>+IF(AVANCE[[#This Row],[PUERTAS DORMITORIO]]=BA$2,100%,AVANCE[[#This Row],[PUERTAS DORMITORIO]])</f>
        <v>0</v>
      </c>
      <c r="CP414" s="3">
        <f>+IF(AVANCE[[#This Row],[REVESTIMIENTO INTERIOR BANO]]=BB$2,100%,AVANCE[[#This Row],[REVESTIMIENTO INTERIOR BANO]])</f>
        <v>0</v>
      </c>
      <c r="CQ414" s="3">
        <f>+IF(AVANCE[[#This Row],[MUEBLE LAVAPLATOS]]=BC$2,100%,AVANCE[[#This Row],[MUEBLE LAVAPLATOS]])</f>
        <v>0</v>
      </c>
      <c r="CR414" s="3">
        <f>+IF(AVANCE[[#This Row],[IMPERMEABILIZACION BANO - COCINA LOGIA]]=BD$2,100%,AVANCE[[#This Row],[IMPERMEABILIZACION BANO - COCINA LOGIA]])</f>
        <v>0</v>
      </c>
      <c r="CS414" s="40">
        <f ca="1">+IF(AVANCE[[#This Row],[ESTADO MODULO]]="PENDIENTE",(TODAY()-AVANCE[[#This Row],[FECHA TERMINO  PLANIFICADO]]),0)</f>
        <v>0</v>
      </c>
      <c r="CT414" s="41" t="str" cm="1">
        <f t="array" ref="CT414">_xlfn.TEXTJOIN(" | ",TRUE,IF(SUMPRODUCT((BG414:CR414&lt;1)*(PARTIDAS!$I$2:$AT$2="OBRA GRUESA"))&gt;0,"OBRA GRUESA: "&amp;_xlfn.TEXTJOIN(", ",TRUE,IF((BG414:CR414&lt;1)*(PARTIDAS!$I$2:$AT$2="OBRA GRUESA"),PARTIDAS!$I$1:$AT$1,"")),""),IF(SUMPRODUCT((BG414:CR414&lt;1)*(PARTIDAS!$I$2:$AT$2="SANITARIOS"))&gt;0,"SANITARIOS: "&amp;_xlfn.TEXTJOIN(", ",TRUE,IF((BG414:CR414&lt;1)*(PARTIDAS!$I$2:$AT$2="SANITARIOS"),PARTIDAS!$I$1:$AT$1,"")),""),IF(SUMPRODUCT((BG414:CR414&lt;1)*(PARTIDAS!$I$2:$AT$2="ELÉCTRICO"))&gt;0,"ELÉCTRICO: "&amp;_xlfn.TEXTJOIN(", ",TRUE,IF((BG414:CR414&lt;1)*(PARTIDAS!$I$2:$AT$2="ELÉCTRICO"),PARTIDAS!$I$1:$AT$1,"")),""),IF(SUMPRODUCT((BG414:CR414&lt;1)*(PARTIDAS!$I$2:$AT$2="TERMINACIONES"))&gt;0,"TERMINACIONES: "&amp;_xlfn.TEXTJOIN(", ",TRUE,IF((BG414:CR414&lt;1)*(PARTIDAS!$I$2:$AT$2="TERMINACIONES"),PARTIDAS!$I$1:$AT$1,"")),""))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4" s="43" t="str" cm="1">
        <f t="array" ref="CU414">_xlfn.TEXTJOIN(", ",TRUE,IF(SUMPRODUCT((BG414:CR414&lt;1)*(PARTIDAS!$I$2:$AT$2="OBRA GRUESA"))&gt;0,"OBRA GRUESA",""),IF(SUMPRODUCT((BG414:CR414&lt;1)*(PARTIDAS!$I$2:$AT$2="SANITARIOS"))&gt;0,"SANITARIOS",""),IF(SUMPRODUCT((BG414:CR414&lt;1)*(PARTIDAS!$I$2:$AT$2="ELÉCTRICO"))&gt;0,"ELÉCTRICO",""),IF(SUMPRODUCT((BG414:CR414&lt;1)*(PARTIDAS!$I$2:$AT$2="TERMINACIONES"))&gt;0,"TERMINACIONES",""))</f>
        <v>OBRA GRUESA, SANITARIOS, ELÉCTRICO, TERMINACIONES</v>
      </c>
      <c r="CV414" s="44" cm="1">
        <f t="array" ref="CV414">SUMPRODUCT(--(BG414:CR414&lt;1))</f>
        <v>38</v>
      </c>
    </row>
    <row r="415" spans="1:100" hidden="1" x14ac:dyDescent="0.25">
      <c r="A415" t="s">
        <v>454</v>
      </c>
      <c r="B415" t="s">
        <v>484</v>
      </c>
      <c r="C415">
        <v>2302600414</v>
      </c>
      <c r="D415" t="s">
        <v>60</v>
      </c>
      <c r="E415" s="2">
        <v>0</v>
      </c>
      <c r="F415" s="1">
        <v>46345</v>
      </c>
      <c r="G415" s="1"/>
      <c r="H415" s="1">
        <v>0</v>
      </c>
      <c r="I415" s="1">
        <v>46375</v>
      </c>
      <c r="J415">
        <v>46230</v>
      </c>
      <c r="K415" s="1"/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>
        <v>31.32</v>
      </c>
      <c r="BF415" s="3" t="str">
        <f>+IF(AVANCE[[#This Row],[% AVANCE]]=100%,"MODULO TERMINADO",IF(AVANCE[[#This Row],[FECHA INICIO REAL]]="","MODULO NO INICIADO","PENDIENTE"))</f>
        <v>MODULO NO INICIADO</v>
      </c>
      <c r="BG415" s="3">
        <f>+IF(AVANCE[[#This Row],[VENTANAS]]=8.10810810810811%,100%,AVANCE[[#This Row],[VENTANAS]])</f>
        <v>0</v>
      </c>
      <c r="BH415" s="3">
        <f>+IF(AVANCE[[#This Row],[PISO]]=N$2,100%,AVANCE[[#This Row],[PISO]])</f>
        <v>0</v>
      </c>
      <c r="BI415" s="3">
        <f>+IF(AVANCE[[#This Row],[TABIQUES]]=O$2,100%,AVANCE[[#This Row],[TABIQUES]])</f>
        <v>0</v>
      </c>
      <c r="BJ415" s="3">
        <f>+IF(AVANCE[[#This Row],[MUROS]]=P$2,100%,AVANCE[[#This Row],[MUROS]])</f>
        <v>0</v>
      </c>
      <c r="BK415" s="3">
        <f>+IF(AVANCE[[#This Row],[CIELO]]=Q$2,100%,AVANCE[[#This Row],[CIELO]])</f>
        <v>0</v>
      </c>
      <c r="BL415" s="3">
        <f>+IF(AVANCE[[#This Row],[BALCÓN]]=R$2,100%,AVANCE[[#This Row],[BALCÓN]])</f>
        <v>0</v>
      </c>
      <c r="BM415" s="3">
        <f>+IF(AVANCE[[#This Row],[RED ALCANTARILLADO]]=U$2,100%,AVANCE[[#This Row],[RED ALCANTARILLADO]])</f>
        <v>0</v>
      </c>
      <c r="BN415" s="3">
        <f>+IF(AVANCE[[#This Row],[RED DE AGUA]]=V$2,100%,AVANCE[[#This Row],[RED DE AGUA]])</f>
        <v>0</v>
      </c>
      <c r="BO415" s="3">
        <f>+IF(AVANCE[[#This Row],[VENTILACIONES]]=W$2,100%,AVANCE[[#This Row],[VENTILACIONES]])</f>
        <v>0</v>
      </c>
      <c r="BP415" s="3">
        <f>+IF(AVANCE[[#This Row],[TINA]]=X$2,100%,AVANCE[[#This Row],[TINA]])</f>
        <v>0</v>
      </c>
      <c r="BQ415" s="3">
        <f>+IF(AVANCE[[#This Row],[WC]]=Y$2,100%,AVANCE[[#This Row],[WC]])</f>
        <v>0</v>
      </c>
      <c r="BR415" s="3">
        <f>+IF(AVANCE[[#This Row],[LAVAMANOS / LAVAPLATOS / LAVADERO]]=Z$2,100%,AVANCE[[#This Row],[LAVAMANOS / LAVAPLATOS / LAVADERO]])</f>
        <v>0</v>
      </c>
      <c r="BS415" s="3">
        <f>+IF(AVANCE[[#This Row],[CANALIZACIÓN]]=AC$2,100%,AVANCE[[#This Row],[CANALIZACIÓN]])</f>
        <v>0</v>
      </c>
      <c r="BT415" s="3">
        <f>+IF(AVANCE[[#This Row],[CABLEADO]]=AD$2,100%,AVANCE[[#This Row],[CABLEADO]])</f>
        <v>0</v>
      </c>
      <c r="BU415" s="3">
        <f>+IF(AVANCE[[#This Row],[ARTEFACTOS]]=AE$2,100%,AVANCE[[#This Row],[ARTEFACTOS]])</f>
        <v>0</v>
      </c>
      <c r="BV415" s="3">
        <f>+IF(AVANCE[[#This Row],[TABLERO]]=AF$2,100%,AVANCE[[#This Row],[TABLERO]])</f>
        <v>0</v>
      </c>
      <c r="BW415" s="3">
        <f>+IF(AVANCE[[#This Row],[CAJA PAU]]=AG$2,100%,AVANCE[[#This Row],[CAJA PAU]])</f>
        <v>0</v>
      </c>
      <c r="BX415" s="3">
        <f>+IF(AVANCE[[#This Row],[INSTALACION VINILICO]]=AJ$2,100%,AVANCE[[#This Row],[INSTALACION VINILICO]])</f>
        <v>0</v>
      </c>
      <c r="BY415" s="3">
        <f>+IF(AVANCE[[#This Row],[OSB CUBIERTA]]=AK$2,100%,AVANCE[[#This Row],[OSB CUBIERTA]])</f>
        <v>0</v>
      </c>
      <c r="BZ415" s="3">
        <f>+IF(AVANCE[[#This Row],[BARANDA BALCON]]=AL$2,100%,AVANCE[[#This Row],[BARANDA BALCON]])</f>
        <v>0</v>
      </c>
      <c r="CA415" s="3">
        <f>+IF(AVANCE[[#This Row],[OSB EXTERIOR]]=AM$2,100%,AVANCE[[#This Row],[OSB EXTERIOR]])</f>
        <v>0</v>
      </c>
      <c r="CB415" s="3">
        <f>+IF(AVANCE[[#This Row],[SMART PANEL]]=AN$2,100%,AVANCE[[#This Row],[SMART PANEL]])</f>
        <v>0</v>
      </c>
      <c r="CC415" s="3">
        <f>+IF(AVANCE[[#This Row],[PINTURA EXTERIOR]]=AO$2,100%,AVANCE[[#This Row],[PINTURA EXTERIOR]])</f>
        <v>0</v>
      </c>
      <c r="CD415" s="3">
        <f>+IF(AVANCE[[#This Row],[ZOCALOS LOGIA]]=AP$2,100%,AVANCE[[#This Row],[ZOCALOS LOGIA]])</f>
        <v>0</v>
      </c>
      <c r="CE415" s="3">
        <f>+IF(AVANCE[[#This Row],[MOLDURAS]]=AQ$2,100%,AVANCE[[#This Row],[MOLDURAS]])</f>
        <v>0</v>
      </c>
      <c r="CF415" s="3">
        <f>+IF(AVANCE[[#This Row],[PILASTREO]]=AR$2,100%,AVANCE[[#This Row],[PILASTREO]])</f>
        <v>0</v>
      </c>
      <c r="CG415" s="3">
        <f>+IF(AVANCE[[#This Row],[CELOSIAS]]=AS$2,100%,AVANCE[[#This Row],[CELOSIAS]])</f>
        <v>0</v>
      </c>
      <c r="CH415" s="3">
        <f>+IF(AVANCE[[#This Row],[VENTANAS]]=AT$2,100%,AVANCE[[#This Row],[VENTANAS]])</f>
        <v>0</v>
      </c>
      <c r="CI415" s="3">
        <f>+IF(AVANCE[[#This Row],[PUERTAS ACCESO - LOGIA - BANO]]=AU$2,100%,AVANCE[[#This Row],[PUERTAS ACCESO - LOGIA - BANO]])</f>
        <v>0</v>
      </c>
      <c r="CJ415" s="3">
        <f>+IF(AVANCE[[#This Row],[CERRADURAS]]=AV$2,100%,AVANCE[[#This Row],[CERRADURAS]])</f>
        <v>0</v>
      </c>
      <c r="CK415" s="3">
        <f>+IF(AVANCE[[#This Row],[REVESTIMIENTO INTERIOR ZONA SECA]]=AW$2,100%,AVANCE[[#This Row],[REVESTIMIENTO INTERIOR ZONA SECA]])</f>
        <v>0</v>
      </c>
      <c r="CL415" s="3">
        <f>+IF(AVANCE[[#This Row],[REVESTIMIENTO INTERIOR ZONAS HUMEDAS]]=AX$2,100%,AVANCE[[#This Row],[REVESTIMIENTO INTERIOR ZONAS HUMEDAS]])</f>
        <v>0</v>
      </c>
      <c r="CM415" s="3">
        <f>+IF(AVANCE[[#This Row],[MEMBRANA CIELO]]=AY$2,100%,AVANCE[[#This Row],[MEMBRANA CIELO]])</f>
        <v>0</v>
      </c>
      <c r="CN415" s="3">
        <f>+IF(AVANCE[[#This Row],[LIMPIEZA FINAL]]=AZ$2,100%,AVANCE[[#This Row],[LIMPIEZA FINAL]])</f>
        <v>0</v>
      </c>
      <c r="CO415" s="3">
        <f>+IF(AVANCE[[#This Row],[PUERTAS DORMITORIO]]=BA$2,100%,AVANCE[[#This Row],[PUERTAS DORMITORIO]])</f>
        <v>0</v>
      </c>
      <c r="CP415" s="3">
        <f>+IF(AVANCE[[#This Row],[REVESTIMIENTO INTERIOR BANO]]=BB$2,100%,AVANCE[[#This Row],[REVESTIMIENTO INTERIOR BANO]])</f>
        <v>0</v>
      </c>
      <c r="CQ415" s="3">
        <f>+IF(AVANCE[[#This Row],[MUEBLE LAVAPLATOS]]=BC$2,100%,AVANCE[[#This Row],[MUEBLE LAVAPLATOS]])</f>
        <v>0</v>
      </c>
      <c r="CR415" s="3">
        <f>+IF(AVANCE[[#This Row],[IMPERMEABILIZACION BANO - COCINA LOGIA]]=BD$2,100%,AVANCE[[#This Row],[IMPERMEABILIZACION BANO - COCINA LOGIA]])</f>
        <v>0</v>
      </c>
      <c r="CS415" s="40">
        <f ca="1">+IF(AVANCE[[#This Row],[ESTADO MODULO]]="PENDIENTE",(TODAY()-AVANCE[[#This Row],[FECHA TERMINO  PLANIFICADO]]),0)</f>
        <v>0</v>
      </c>
      <c r="CT415" s="41" t="str" cm="1">
        <f t="array" ref="CT415">_xlfn.TEXTJOIN(" | ",TRUE,IF(SUMPRODUCT((BG415:CR415&lt;1)*(PARTIDAS!$I$2:$AT$2="OBRA GRUESA"))&gt;0,"OBRA GRUESA: "&amp;_xlfn.TEXTJOIN(", ",TRUE,IF((BG415:CR415&lt;1)*(PARTIDAS!$I$2:$AT$2="OBRA GRUESA"),PARTIDAS!$I$1:$AT$1,"")),""),IF(SUMPRODUCT((BG415:CR415&lt;1)*(PARTIDAS!$I$2:$AT$2="SANITARIOS"))&gt;0,"SANITARIOS: "&amp;_xlfn.TEXTJOIN(", ",TRUE,IF((BG415:CR415&lt;1)*(PARTIDAS!$I$2:$AT$2="SANITARIOS"),PARTIDAS!$I$1:$AT$1,"")),""),IF(SUMPRODUCT((BG415:CR415&lt;1)*(PARTIDAS!$I$2:$AT$2="ELÉCTRICO"))&gt;0,"ELÉCTRICO: "&amp;_xlfn.TEXTJOIN(", ",TRUE,IF((BG415:CR415&lt;1)*(PARTIDAS!$I$2:$AT$2="ELÉCTRICO"),PARTIDAS!$I$1:$AT$1,"")),""),IF(SUMPRODUCT((BG415:CR415&lt;1)*(PARTIDAS!$I$2:$AT$2="TERMINACIONES"))&gt;0,"TERMINACIONES: "&amp;_xlfn.TEXTJOIN(", ",TRUE,IF((BG415:CR415&lt;1)*(PARTIDAS!$I$2:$AT$2="TERMINACIONES"),PARTIDAS!$I$1:$AT$1,"")),""))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5" s="43" t="str" cm="1">
        <f t="array" ref="CU415">_xlfn.TEXTJOIN(", ",TRUE,IF(SUMPRODUCT((BG415:CR415&lt;1)*(PARTIDAS!$I$2:$AT$2="OBRA GRUESA"))&gt;0,"OBRA GRUESA",""),IF(SUMPRODUCT((BG415:CR415&lt;1)*(PARTIDAS!$I$2:$AT$2="SANITARIOS"))&gt;0,"SANITARIOS",""),IF(SUMPRODUCT((BG415:CR415&lt;1)*(PARTIDAS!$I$2:$AT$2="ELÉCTRICO"))&gt;0,"ELÉCTRICO",""),IF(SUMPRODUCT((BG415:CR415&lt;1)*(PARTIDAS!$I$2:$AT$2="TERMINACIONES"))&gt;0,"TERMINACIONES",""))</f>
        <v>OBRA GRUESA, SANITARIOS, ELÉCTRICO, TERMINACIONES</v>
      </c>
      <c r="CV415" s="44" cm="1">
        <f t="array" ref="CV415">SUMPRODUCT(--(BG415:CR415&lt;1))</f>
        <v>38</v>
      </c>
    </row>
    <row r="416" spans="1:100" hidden="1" x14ac:dyDescent="0.25">
      <c r="A416" t="s">
        <v>454</v>
      </c>
      <c r="B416" t="s">
        <v>485</v>
      </c>
      <c r="C416">
        <v>2302600415</v>
      </c>
      <c r="D416" t="s">
        <v>60</v>
      </c>
      <c r="E416" s="2">
        <v>0</v>
      </c>
      <c r="F416" s="1">
        <v>46345</v>
      </c>
      <c r="G416" s="1"/>
      <c r="H416" s="1">
        <v>0</v>
      </c>
      <c r="I416" s="1">
        <v>46375</v>
      </c>
      <c r="J416">
        <v>46230</v>
      </c>
      <c r="K416" s="1"/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>
        <v>31.32</v>
      </c>
      <c r="BF416" s="3" t="str">
        <f>+IF(AVANCE[[#This Row],[% AVANCE]]=100%,"MODULO TERMINADO",IF(AVANCE[[#This Row],[FECHA INICIO REAL]]="","MODULO NO INICIADO","PENDIENTE"))</f>
        <v>MODULO NO INICIADO</v>
      </c>
      <c r="BG416" s="3">
        <f>+IF(AVANCE[[#This Row],[VENTANAS]]=8.10810810810811%,100%,AVANCE[[#This Row],[VENTANAS]])</f>
        <v>0</v>
      </c>
      <c r="BH416" s="3">
        <f>+IF(AVANCE[[#This Row],[PISO]]=N$2,100%,AVANCE[[#This Row],[PISO]])</f>
        <v>0</v>
      </c>
      <c r="BI416" s="3">
        <f>+IF(AVANCE[[#This Row],[TABIQUES]]=O$2,100%,AVANCE[[#This Row],[TABIQUES]])</f>
        <v>0</v>
      </c>
      <c r="BJ416" s="3">
        <f>+IF(AVANCE[[#This Row],[MUROS]]=P$2,100%,AVANCE[[#This Row],[MUROS]])</f>
        <v>0</v>
      </c>
      <c r="BK416" s="3">
        <f>+IF(AVANCE[[#This Row],[CIELO]]=Q$2,100%,AVANCE[[#This Row],[CIELO]])</f>
        <v>0</v>
      </c>
      <c r="BL416" s="3">
        <f>+IF(AVANCE[[#This Row],[BALCÓN]]=R$2,100%,AVANCE[[#This Row],[BALCÓN]])</f>
        <v>0</v>
      </c>
      <c r="BM416" s="3">
        <f>+IF(AVANCE[[#This Row],[RED ALCANTARILLADO]]=U$2,100%,AVANCE[[#This Row],[RED ALCANTARILLADO]])</f>
        <v>0</v>
      </c>
      <c r="BN416" s="3">
        <f>+IF(AVANCE[[#This Row],[RED DE AGUA]]=V$2,100%,AVANCE[[#This Row],[RED DE AGUA]])</f>
        <v>0</v>
      </c>
      <c r="BO416" s="3">
        <f>+IF(AVANCE[[#This Row],[VENTILACIONES]]=W$2,100%,AVANCE[[#This Row],[VENTILACIONES]])</f>
        <v>0</v>
      </c>
      <c r="BP416" s="3">
        <f>+IF(AVANCE[[#This Row],[TINA]]=X$2,100%,AVANCE[[#This Row],[TINA]])</f>
        <v>0</v>
      </c>
      <c r="BQ416" s="3">
        <f>+IF(AVANCE[[#This Row],[WC]]=Y$2,100%,AVANCE[[#This Row],[WC]])</f>
        <v>0</v>
      </c>
      <c r="BR416" s="3">
        <f>+IF(AVANCE[[#This Row],[LAVAMANOS / LAVAPLATOS / LAVADERO]]=Z$2,100%,AVANCE[[#This Row],[LAVAMANOS / LAVAPLATOS / LAVADERO]])</f>
        <v>0</v>
      </c>
      <c r="BS416" s="3">
        <f>+IF(AVANCE[[#This Row],[CANALIZACIÓN]]=AC$2,100%,AVANCE[[#This Row],[CANALIZACIÓN]])</f>
        <v>0</v>
      </c>
      <c r="BT416" s="3">
        <f>+IF(AVANCE[[#This Row],[CABLEADO]]=AD$2,100%,AVANCE[[#This Row],[CABLEADO]])</f>
        <v>0</v>
      </c>
      <c r="BU416" s="3">
        <f>+IF(AVANCE[[#This Row],[ARTEFACTOS]]=AE$2,100%,AVANCE[[#This Row],[ARTEFACTOS]])</f>
        <v>0</v>
      </c>
      <c r="BV416" s="3">
        <f>+IF(AVANCE[[#This Row],[TABLERO]]=AF$2,100%,AVANCE[[#This Row],[TABLERO]])</f>
        <v>0</v>
      </c>
      <c r="BW416" s="3">
        <f>+IF(AVANCE[[#This Row],[CAJA PAU]]=AG$2,100%,AVANCE[[#This Row],[CAJA PAU]])</f>
        <v>0</v>
      </c>
      <c r="BX416" s="3">
        <f>+IF(AVANCE[[#This Row],[INSTALACION VINILICO]]=AJ$2,100%,AVANCE[[#This Row],[INSTALACION VINILICO]])</f>
        <v>0</v>
      </c>
      <c r="BY416" s="3">
        <f>+IF(AVANCE[[#This Row],[OSB CUBIERTA]]=AK$2,100%,AVANCE[[#This Row],[OSB CUBIERTA]])</f>
        <v>0</v>
      </c>
      <c r="BZ416" s="3">
        <f>+IF(AVANCE[[#This Row],[BARANDA BALCON]]=AL$2,100%,AVANCE[[#This Row],[BARANDA BALCON]])</f>
        <v>0</v>
      </c>
      <c r="CA416" s="3">
        <f>+IF(AVANCE[[#This Row],[OSB EXTERIOR]]=AM$2,100%,AVANCE[[#This Row],[OSB EXTERIOR]])</f>
        <v>0</v>
      </c>
      <c r="CB416" s="3">
        <f>+IF(AVANCE[[#This Row],[SMART PANEL]]=AN$2,100%,AVANCE[[#This Row],[SMART PANEL]])</f>
        <v>0</v>
      </c>
      <c r="CC416" s="3">
        <f>+IF(AVANCE[[#This Row],[PINTURA EXTERIOR]]=AO$2,100%,AVANCE[[#This Row],[PINTURA EXTERIOR]])</f>
        <v>0</v>
      </c>
      <c r="CD416" s="3">
        <f>+IF(AVANCE[[#This Row],[ZOCALOS LOGIA]]=AP$2,100%,AVANCE[[#This Row],[ZOCALOS LOGIA]])</f>
        <v>0</v>
      </c>
      <c r="CE416" s="3">
        <f>+IF(AVANCE[[#This Row],[MOLDURAS]]=AQ$2,100%,AVANCE[[#This Row],[MOLDURAS]])</f>
        <v>0</v>
      </c>
      <c r="CF416" s="3">
        <f>+IF(AVANCE[[#This Row],[PILASTREO]]=AR$2,100%,AVANCE[[#This Row],[PILASTREO]])</f>
        <v>0</v>
      </c>
      <c r="CG416" s="3">
        <f>+IF(AVANCE[[#This Row],[CELOSIAS]]=AS$2,100%,AVANCE[[#This Row],[CELOSIAS]])</f>
        <v>0</v>
      </c>
      <c r="CH416" s="3">
        <f>+IF(AVANCE[[#This Row],[VENTANAS]]=AT$2,100%,AVANCE[[#This Row],[VENTANAS]])</f>
        <v>0</v>
      </c>
      <c r="CI416" s="3">
        <f>+IF(AVANCE[[#This Row],[PUERTAS ACCESO - LOGIA - BANO]]=AU$2,100%,AVANCE[[#This Row],[PUERTAS ACCESO - LOGIA - BANO]])</f>
        <v>0</v>
      </c>
      <c r="CJ416" s="3">
        <f>+IF(AVANCE[[#This Row],[CERRADURAS]]=AV$2,100%,AVANCE[[#This Row],[CERRADURAS]])</f>
        <v>0</v>
      </c>
      <c r="CK416" s="3">
        <f>+IF(AVANCE[[#This Row],[REVESTIMIENTO INTERIOR ZONA SECA]]=AW$2,100%,AVANCE[[#This Row],[REVESTIMIENTO INTERIOR ZONA SECA]])</f>
        <v>0</v>
      </c>
      <c r="CL416" s="3">
        <f>+IF(AVANCE[[#This Row],[REVESTIMIENTO INTERIOR ZONAS HUMEDAS]]=AX$2,100%,AVANCE[[#This Row],[REVESTIMIENTO INTERIOR ZONAS HUMEDAS]])</f>
        <v>0</v>
      </c>
      <c r="CM416" s="3">
        <f>+IF(AVANCE[[#This Row],[MEMBRANA CIELO]]=AY$2,100%,AVANCE[[#This Row],[MEMBRANA CIELO]])</f>
        <v>0</v>
      </c>
      <c r="CN416" s="3">
        <f>+IF(AVANCE[[#This Row],[LIMPIEZA FINAL]]=AZ$2,100%,AVANCE[[#This Row],[LIMPIEZA FINAL]])</f>
        <v>0</v>
      </c>
      <c r="CO416" s="3">
        <f>+IF(AVANCE[[#This Row],[PUERTAS DORMITORIO]]=BA$2,100%,AVANCE[[#This Row],[PUERTAS DORMITORIO]])</f>
        <v>0</v>
      </c>
      <c r="CP416" s="3">
        <f>+IF(AVANCE[[#This Row],[REVESTIMIENTO INTERIOR BANO]]=BB$2,100%,AVANCE[[#This Row],[REVESTIMIENTO INTERIOR BANO]])</f>
        <v>0</v>
      </c>
      <c r="CQ416" s="3">
        <f>+IF(AVANCE[[#This Row],[MUEBLE LAVAPLATOS]]=BC$2,100%,AVANCE[[#This Row],[MUEBLE LAVAPLATOS]])</f>
        <v>0</v>
      </c>
      <c r="CR416" s="3">
        <f>+IF(AVANCE[[#This Row],[IMPERMEABILIZACION BANO - COCINA LOGIA]]=BD$2,100%,AVANCE[[#This Row],[IMPERMEABILIZACION BANO - COCINA LOGIA]])</f>
        <v>0</v>
      </c>
      <c r="CS416" s="40">
        <f ca="1">+IF(AVANCE[[#This Row],[ESTADO MODULO]]="PENDIENTE",(TODAY()-AVANCE[[#This Row],[FECHA TERMINO  PLANIFICADO]]),0)</f>
        <v>0</v>
      </c>
      <c r="CT416" s="41" t="str" cm="1">
        <f t="array" ref="CT416">_xlfn.TEXTJOIN(" | ",TRUE,IF(SUMPRODUCT((BG416:CR416&lt;1)*(PARTIDAS!$I$2:$AT$2="OBRA GRUESA"))&gt;0,"OBRA GRUESA: "&amp;_xlfn.TEXTJOIN(", ",TRUE,IF((BG416:CR416&lt;1)*(PARTIDAS!$I$2:$AT$2="OBRA GRUESA"),PARTIDAS!$I$1:$AT$1,"")),""),IF(SUMPRODUCT((BG416:CR416&lt;1)*(PARTIDAS!$I$2:$AT$2="SANITARIOS"))&gt;0,"SANITARIOS: "&amp;_xlfn.TEXTJOIN(", ",TRUE,IF((BG416:CR416&lt;1)*(PARTIDAS!$I$2:$AT$2="SANITARIOS"),PARTIDAS!$I$1:$AT$1,"")),""),IF(SUMPRODUCT((BG416:CR416&lt;1)*(PARTIDAS!$I$2:$AT$2="ELÉCTRICO"))&gt;0,"ELÉCTRICO: "&amp;_xlfn.TEXTJOIN(", ",TRUE,IF((BG416:CR416&lt;1)*(PARTIDAS!$I$2:$AT$2="ELÉCTRICO"),PARTIDAS!$I$1:$AT$1,"")),""),IF(SUMPRODUCT((BG416:CR416&lt;1)*(PARTIDAS!$I$2:$AT$2="TERMINACIONES"))&gt;0,"TERMINACIONES: "&amp;_xlfn.TEXTJOIN(", ",TRUE,IF((BG416:CR416&lt;1)*(PARTIDAS!$I$2:$AT$2="TERMINACIONES"),PARTIDAS!$I$1:$AT$1,"")),""))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6" s="43" t="str" cm="1">
        <f t="array" ref="CU416">_xlfn.TEXTJOIN(", ",TRUE,IF(SUMPRODUCT((BG416:CR416&lt;1)*(PARTIDAS!$I$2:$AT$2="OBRA GRUESA"))&gt;0,"OBRA GRUESA",""),IF(SUMPRODUCT((BG416:CR416&lt;1)*(PARTIDAS!$I$2:$AT$2="SANITARIOS"))&gt;0,"SANITARIOS",""),IF(SUMPRODUCT((BG416:CR416&lt;1)*(PARTIDAS!$I$2:$AT$2="ELÉCTRICO"))&gt;0,"ELÉCTRICO",""),IF(SUMPRODUCT((BG416:CR416&lt;1)*(PARTIDAS!$I$2:$AT$2="TERMINACIONES"))&gt;0,"TERMINACIONES",""))</f>
        <v>OBRA GRUESA, SANITARIOS, ELÉCTRICO, TERMINACIONES</v>
      </c>
      <c r="CV416" s="44" cm="1">
        <f t="array" ref="CV416">SUMPRODUCT(--(BG416:CR416&lt;1))</f>
        <v>38</v>
      </c>
    </row>
    <row r="417" spans="1:100" hidden="1" x14ac:dyDescent="0.25">
      <c r="A417" t="s">
        <v>454</v>
      </c>
      <c r="B417" t="s">
        <v>486</v>
      </c>
      <c r="C417">
        <v>2282600416</v>
      </c>
      <c r="D417" t="s">
        <v>58</v>
      </c>
      <c r="E417" s="2">
        <v>0</v>
      </c>
      <c r="F417" s="1">
        <v>46346</v>
      </c>
      <c r="G417" s="1"/>
      <c r="H417" s="1">
        <v>0</v>
      </c>
      <c r="I417" s="1">
        <v>46366</v>
      </c>
      <c r="J417">
        <v>46230</v>
      </c>
      <c r="K417" s="1"/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>
        <v>28.87</v>
      </c>
      <c r="BF417" s="3" t="str">
        <f>+IF(AVANCE[[#This Row],[% AVANCE]]=100%,"MODULO TERMINADO",IF(AVANCE[[#This Row],[FECHA INICIO REAL]]="","MODULO NO INICIADO","PENDIENTE"))</f>
        <v>MODULO NO INICIADO</v>
      </c>
      <c r="BG417" s="3">
        <f>+IF(AVANCE[[#This Row],[VENTANAS]]=8.10810810810811%,100%,AVANCE[[#This Row],[VENTANAS]])</f>
        <v>0</v>
      </c>
      <c r="BH417" s="3">
        <f>+IF(AVANCE[[#This Row],[PISO]]=N$2,100%,AVANCE[[#This Row],[PISO]])</f>
        <v>0</v>
      </c>
      <c r="BI417" s="3">
        <f>+IF(AVANCE[[#This Row],[TABIQUES]]=O$2,100%,AVANCE[[#This Row],[TABIQUES]])</f>
        <v>0</v>
      </c>
      <c r="BJ417" s="3">
        <f>+IF(AVANCE[[#This Row],[MUROS]]=P$2,100%,AVANCE[[#This Row],[MUROS]])</f>
        <v>0</v>
      </c>
      <c r="BK417" s="3">
        <f>+IF(AVANCE[[#This Row],[CIELO]]=Q$2,100%,AVANCE[[#This Row],[CIELO]])</f>
        <v>0</v>
      </c>
      <c r="BL417" s="3">
        <f>+IF(AVANCE[[#This Row],[BALCÓN]]=R$2,100%,AVANCE[[#This Row],[BALCÓN]])</f>
        <v>0</v>
      </c>
      <c r="BM417" s="3">
        <f>+IF(AVANCE[[#This Row],[RED ALCANTARILLADO]]=U$2,100%,AVANCE[[#This Row],[RED ALCANTARILLADO]])</f>
        <v>0</v>
      </c>
      <c r="BN417" s="3">
        <f>+IF(AVANCE[[#This Row],[RED DE AGUA]]=V$2,100%,AVANCE[[#This Row],[RED DE AGUA]])</f>
        <v>0</v>
      </c>
      <c r="BO417" s="3">
        <f>+IF(AVANCE[[#This Row],[VENTILACIONES]]=W$2,100%,AVANCE[[#This Row],[VENTILACIONES]])</f>
        <v>0</v>
      </c>
      <c r="BP417" s="3">
        <f>+IF(AVANCE[[#This Row],[TINA]]=X$2,100%,AVANCE[[#This Row],[TINA]])</f>
        <v>0</v>
      </c>
      <c r="BQ417" s="3">
        <f>+IF(AVANCE[[#This Row],[WC]]=Y$2,100%,AVANCE[[#This Row],[WC]])</f>
        <v>0</v>
      </c>
      <c r="BR417" s="3">
        <f>+IF(AVANCE[[#This Row],[LAVAMANOS / LAVAPLATOS / LAVADERO]]=Z$2,100%,AVANCE[[#This Row],[LAVAMANOS / LAVAPLATOS / LAVADERO]])</f>
        <v>0</v>
      </c>
      <c r="BS417" s="3">
        <f>+IF(AVANCE[[#This Row],[CANALIZACIÓN]]=AC$2,100%,AVANCE[[#This Row],[CANALIZACIÓN]])</f>
        <v>0</v>
      </c>
      <c r="BT417" s="3">
        <f>+IF(AVANCE[[#This Row],[CABLEADO]]=AD$2,100%,AVANCE[[#This Row],[CABLEADO]])</f>
        <v>0</v>
      </c>
      <c r="BU417" s="3">
        <f>+IF(AVANCE[[#This Row],[ARTEFACTOS]]=AE$2,100%,AVANCE[[#This Row],[ARTEFACTOS]])</f>
        <v>0</v>
      </c>
      <c r="BV417" s="3">
        <f>+IF(AVANCE[[#This Row],[TABLERO]]=AF$2,100%,AVANCE[[#This Row],[TABLERO]])</f>
        <v>0</v>
      </c>
      <c r="BW417" s="3">
        <f>+IF(AVANCE[[#This Row],[CAJA PAU]]=AG$2,100%,AVANCE[[#This Row],[CAJA PAU]])</f>
        <v>0</v>
      </c>
      <c r="BX417" s="3">
        <f>+IF(AVANCE[[#This Row],[INSTALACION VINILICO]]=AJ$2,100%,AVANCE[[#This Row],[INSTALACION VINILICO]])</f>
        <v>0</v>
      </c>
      <c r="BY417" s="3">
        <f>+IF(AVANCE[[#This Row],[OSB CUBIERTA]]=AK$2,100%,AVANCE[[#This Row],[OSB CUBIERTA]])</f>
        <v>0</v>
      </c>
      <c r="BZ417" s="3">
        <f>+IF(AVANCE[[#This Row],[BARANDA BALCON]]=AL$2,100%,AVANCE[[#This Row],[BARANDA BALCON]])</f>
        <v>0</v>
      </c>
      <c r="CA417" s="3">
        <f>+IF(AVANCE[[#This Row],[OSB EXTERIOR]]=AM$2,100%,AVANCE[[#This Row],[OSB EXTERIOR]])</f>
        <v>0</v>
      </c>
      <c r="CB417" s="3">
        <f>+IF(AVANCE[[#This Row],[SMART PANEL]]=AN$2,100%,AVANCE[[#This Row],[SMART PANEL]])</f>
        <v>0</v>
      </c>
      <c r="CC417" s="3">
        <f>+IF(AVANCE[[#This Row],[PINTURA EXTERIOR]]=AO$2,100%,AVANCE[[#This Row],[PINTURA EXTERIOR]])</f>
        <v>0</v>
      </c>
      <c r="CD417" s="3">
        <f>+IF(AVANCE[[#This Row],[ZOCALOS LOGIA]]=AP$2,100%,AVANCE[[#This Row],[ZOCALOS LOGIA]])</f>
        <v>0</v>
      </c>
      <c r="CE417" s="3">
        <f>+IF(AVANCE[[#This Row],[MOLDURAS]]=AQ$2,100%,AVANCE[[#This Row],[MOLDURAS]])</f>
        <v>0</v>
      </c>
      <c r="CF417" s="3">
        <f>+IF(AVANCE[[#This Row],[PILASTREO]]=AR$2,100%,AVANCE[[#This Row],[PILASTREO]])</f>
        <v>0</v>
      </c>
      <c r="CG417" s="3">
        <f>+IF(AVANCE[[#This Row],[CELOSIAS]]=AS$2,100%,AVANCE[[#This Row],[CELOSIAS]])</f>
        <v>0</v>
      </c>
      <c r="CH417" s="3">
        <f>+IF(AVANCE[[#This Row],[VENTANAS]]=AT$2,100%,AVANCE[[#This Row],[VENTANAS]])</f>
        <v>0</v>
      </c>
      <c r="CI417" s="3">
        <f>+IF(AVANCE[[#This Row],[PUERTAS ACCESO - LOGIA - BANO]]=AU$2,100%,AVANCE[[#This Row],[PUERTAS ACCESO - LOGIA - BANO]])</f>
        <v>0</v>
      </c>
      <c r="CJ417" s="3">
        <f>+IF(AVANCE[[#This Row],[CERRADURAS]]=AV$2,100%,AVANCE[[#This Row],[CERRADURAS]])</f>
        <v>0</v>
      </c>
      <c r="CK417" s="3">
        <f>+IF(AVANCE[[#This Row],[REVESTIMIENTO INTERIOR ZONA SECA]]=AW$2,100%,AVANCE[[#This Row],[REVESTIMIENTO INTERIOR ZONA SECA]])</f>
        <v>0</v>
      </c>
      <c r="CL417" s="3">
        <f>+IF(AVANCE[[#This Row],[REVESTIMIENTO INTERIOR ZONAS HUMEDAS]]=AX$2,100%,AVANCE[[#This Row],[REVESTIMIENTO INTERIOR ZONAS HUMEDAS]])</f>
        <v>0</v>
      </c>
      <c r="CM417" s="3">
        <f>+IF(AVANCE[[#This Row],[MEMBRANA CIELO]]=AY$2,100%,AVANCE[[#This Row],[MEMBRANA CIELO]])</f>
        <v>0</v>
      </c>
      <c r="CN417" s="3">
        <f>+IF(AVANCE[[#This Row],[LIMPIEZA FINAL]]=AZ$2,100%,AVANCE[[#This Row],[LIMPIEZA FINAL]])</f>
        <v>0</v>
      </c>
      <c r="CO417" s="3">
        <f>+IF(AVANCE[[#This Row],[PUERTAS DORMITORIO]]=BA$2,100%,AVANCE[[#This Row],[PUERTAS DORMITORIO]])</f>
        <v>0</v>
      </c>
      <c r="CP417" s="3">
        <f>+IF(AVANCE[[#This Row],[REVESTIMIENTO INTERIOR BANO]]=BB$2,100%,AVANCE[[#This Row],[REVESTIMIENTO INTERIOR BANO]])</f>
        <v>0</v>
      </c>
      <c r="CQ417" s="3">
        <f>+IF(AVANCE[[#This Row],[MUEBLE LAVAPLATOS]]=BC$2,100%,AVANCE[[#This Row],[MUEBLE LAVAPLATOS]])</f>
        <v>0</v>
      </c>
      <c r="CR417" s="3">
        <f>+IF(AVANCE[[#This Row],[IMPERMEABILIZACION BANO - COCINA LOGIA]]=BD$2,100%,AVANCE[[#This Row],[IMPERMEABILIZACION BANO - COCINA LOGIA]])</f>
        <v>0</v>
      </c>
      <c r="CS417" s="40">
        <f ca="1">+IF(AVANCE[[#This Row],[ESTADO MODULO]]="PENDIENTE",(TODAY()-AVANCE[[#This Row],[FECHA TERMINO  PLANIFICADO]]),0)</f>
        <v>0</v>
      </c>
      <c r="CT417" s="41" t="str" cm="1">
        <f t="array" ref="CT417">_xlfn.TEXTJOIN(" | ",TRUE,IF(SUMPRODUCT((BG417:CR417&lt;1)*(PARTIDAS!$I$2:$AT$2="OBRA GRUESA"))&gt;0,"OBRA GRUESA: "&amp;_xlfn.TEXTJOIN(", ",TRUE,IF((BG417:CR417&lt;1)*(PARTIDAS!$I$2:$AT$2="OBRA GRUESA"),PARTIDAS!$I$1:$AT$1,"")),""),IF(SUMPRODUCT((BG417:CR417&lt;1)*(PARTIDAS!$I$2:$AT$2="SANITARIOS"))&gt;0,"SANITARIOS: "&amp;_xlfn.TEXTJOIN(", ",TRUE,IF((BG417:CR417&lt;1)*(PARTIDAS!$I$2:$AT$2="SANITARIOS"),PARTIDAS!$I$1:$AT$1,"")),""),IF(SUMPRODUCT((BG417:CR417&lt;1)*(PARTIDAS!$I$2:$AT$2="ELÉCTRICO"))&gt;0,"ELÉCTRICO: "&amp;_xlfn.TEXTJOIN(", ",TRUE,IF((BG417:CR417&lt;1)*(PARTIDAS!$I$2:$AT$2="ELÉCTRICO"),PARTIDAS!$I$1:$AT$1,"")),""),IF(SUMPRODUCT((BG417:CR417&lt;1)*(PARTIDAS!$I$2:$AT$2="TERMINACIONES"))&gt;0,"TERMINACIONES: "&amp;_xlfn.TEXTJOIN(", ",TRUE,IF((BG417:CR417&lt;1)*(PARTIDAS!$I$2:$AT$2="TERMINACIONES"),PARTIDAS!$I$1:$AT$1,"")),""))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7" s="43" t="str" cm="1">
        <f t="array" ref="CU417">_xlfn.TEXTJOIN(", ",TRUE,IF(SUMPRODUCT((BG417:CR417&lt;1)*(PARTIDAS!$I$2:$AT$2="OBRA GRUESA"))&gt;0,"OBRA GRUESA",""),IF(SUMPRODUCT((BG417:CR417&lt;1)*(PARTIDAS!$I$2:$AT$2="SANITARIOS"))&gt;0,"SANITARIOS",""),IF(SUMPRODUCT((BG417:CR417&lt;1)*(PARTIDAS!$I$2:$AT$2="ELÉCTRICO"))&gt;0,"ELÉCTRICO",""),IF(SUMPRODUCT((BG417:CR417&lt;1)*(PARTIDAS!$I$2:$AT$2="TERMINACIONES"))&gt;0,"TERMINACIONES",""))</f>
        <v>OBRA GRUESA, SANITARIOS, ELÉCTRICO, TERMINACIONES</v>
      </c>
      <c r="CV417" s="44" cm="1">
        <f t="array" ref="CV417">SUMPRODUCT(--(BG417:CR417&lt;1))</f>
        <v>38</v>
      </c>
    </row>
    <row r="418" spans="1:100" hidden="1" x14ac:dyDescent="0.25">
      <c r="A418" t="s">
        <v>487</v>
      </c>
      <c r="B418" t="s">
        <v>488</v>
      </c>
      <c r="C418">
        <v>2282600417</v>
      </c>
      <c r="D418" t="s">
        <v>58</v>
      </c>
      <c r="E418" s="2">
        <v>0</v>
      </c>
      <c r="F418" s="1">
        <v>46346</v>
      </c>
      <c r="G418" s="1"/>
      <c r="H418" s="1">
        <v>0</v>
      </c>
      <c r="I418" s="1">
        <v>46366</v>
      </c>
      <c r="J418">
        <v>46230</v>
      </c>
      <c r="K418" s="1"/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>
        <v>28.87</v>
      </c>
      <c r="BF418" s="3" t="str">
        <f>+IF(AVANCE[[#This Row],[% AVANCE]]=100%,"MODULO TERMINADO",IF(AVANCE[[#This Row],[FECHA INICIO REAL]]="","MODULO NO INICIADO","PENDIENTE"))</f>
        <v>MODULO NO INICIADO</v>
      </c>
      <c r="BG418" s="3">
        <f>+IF(AVANCE[[#This Row],[VENTANAS]]=8.10810810810811%,100%,AVANCE[[#This Row],[VENTANAS]])</f>
        <v>0</v>
      </c>
      <c r="BH418" s="3">
        <f>+IF(AVANCE[[#This Row],[PISO]]=N$2,100%,AVANCE[[#This Row],[PISO]])</f>
        <v>0</v>
      </c>
      <c r="BI418" s="3">
        <f>+IF(AVANCE[[#This Row],[TABIQUES]]=O$2,100%,AVANCE[[#This Row],[TABIQUES]])</f>
        <v>0</v>
      </c>
      <c r="BJ418" s="3">
        <f>+IF(AVANCE[[#This Row],[MUROS]]=P$2,100%,AVANCE[[#This Row],[MUROS]])</f>
        <v>0</v>
      </c>
      <c r="BK418" s="3">
        <f>+IF(AVANCE[[#This Row],[CIELO]]=Q$2,100%,AVANCE[[#This Row],[CIELO]])</f>
        <v>0</v>
      </c>
      <c r="BL418" s="3">
        <f>+IF(AVANCE[[#This Row],[BALCÓN]]=R$2,100%,AVANCE[[#This Row],[BALCÓN]])</f>
        <v>0</v>
      </c>
      <c r="BM418" s="3">
        <f>+IF(AVANCE[[#This Row],[RED ALCANTARILLADO]]=U$2,100%,AVANCE[[#This Row],[RED ALCANTARILLADO]])</f>
        <v>0</v>
      </c>
      <c r="BN418" s="3">
        <f>+IF(AVANCE[[#This Row],[RED DE AGUA]]=V$2,100%,AVANCE[[#This Row],[RED DE AGUA]])</f>
        <v>0</v>
      </c>
      <c r="BO418" s="3">
        <f>+IF(AVANCE[[#This Row],[VENTILACIONES]]=W$2,100%,AVANCE[[#This Row],[VENTILACIONES]])</f>
        <v>0</v>
      </c>
      <c r="BP418" s="3">
        <f>+IF(AVANCE[[#This Row],[TINA]]=X$2,100%,AVANCE[[#This Row],[TINA]])</f>
        <v>0</v>
      </c>
      <c r="BQ418" s="3">
        <f>+IF(AVANCE[[#This Row],[WC]]=Y$2,100%,AVANCE[[#This Row],[WC]])</f>
        <v>0</v>
      </c>
      <c r="BR418" s="3">
        <f>+IF(AVANCE[[#This Row],[LAVAMANOS / LAVAPLATOS / LAVADERO]]=Z$2,100%,AVANCE[[#This Row],[LAVAMANOS / LAVAPLATOS / LAVADERO]])</f>
        <v>0</v>
      </c>
      <c r="BS418" s="3">
        <f>+IF(AVANCE[[#This Row],[CANALIZACIÓN]]=AC$2,100%,AVANCE[[#This Row],[CANALIZACIÓN]])</f>
        <v>0</v>
      </c>
      <c r="BT418" s="3">
        <f>+IF(AVANCE[[#This Row],[CABLEADO]]=AD$2,100%,AVANCE[[#This Row],[CABLEADO]])</f>
        <v>0</v>
      </c>
      <c r="BU418" s="3">
        <f>+IF(AVANCE[[#This Row],[ARTEFACTOS]]=AE$2,100%,AVANCE[[#This Row],[ARTEFACTOS]])</f>
        <v>0</v>
      </c>
      <c r="BV418" s="3">
        <f>+IF(AVANCE[[#This Row],[TABLERO]]=AF$2,100%,AVANCE[[#This Row],[TABLERO]])</f>
        <v>0</v>
      </c>
      <c r="BW418" s="3">
        <f>+IF(AVANCE[[#This Row],[CAJA PAU]]=AG$2,100%,AVANCE[[#This Row],[CAJA PAU]])</f>
        <v>0</v>
      </c>
      <c r="BX418" s="3">
        <f>+IF(AVANCE[[#This Row],[INSTALACION VINILICO]]=AJ$2,100%,AVANCE[[#This Row],[INSTALACION VINILICO]])</f>
        <v>0</v>
      </c>
      <c r="BY418" s="3">
        <f>+IF(AVANCE[[#This Row],[OSB CUBIERTA]]=AK$2,100%,AVANCE[[#This Row],[OSB CUBIERTA]])</f>
        <v>0</v>
      </c>
      <c r="BZ418" s="3">
        <f>+IF(AVANCE[[#This Row],[BARANDA BALCON]]=AL$2,100%,AVANCE[[#This Row],[BARANDA BALCON]])</f>
        <v>0</v>
      </c>
      <c r="CA418" s="3">
        <f>+IF(AVANCE[[#This Row],[OSB EXTERIOR]]=AM$2,100%,AVANCE[[#This Row],[OSB EXTERIOR]])</f>
        <v>0</v>
      </c>
      <c r="CB418" s="3">
        <f>+IF(AVANCE[[#This Row],[SMART PANEL]]=AN$2,100%,AVANCE[[#This Row],[SMART PANEL]])</f>
        <v>0</v>
      </c>
      <c r="CC418" s="3">
        <f>+IF(AVANCE[[#This Row],[PINTURA EXTERIOR]]=AO$2,100%,AVANCE[[#This Row],[PINTURA EXTERIOR]])</f>
        <v>0</v>
      </c>
      <c r="CD418" s="3">
        <f>+IF(AVANCE[[#This Row],[ZOCALOS LOGIA]]=AP$2,100%,AVANCE[[#This Row],[ZOCALOS LOGIA]])</f>
        <v>0</v>
      </c>
      <c r="CE418" s="3">
        <f>+IF(AVANCE[[#This Row],[MOLDURAS]]=AQ$2,100%,AVANCE[[#This Row],[MOLDURAS]])</f>
        <v>0</v>
      </c>
      <c r="CF418" s="3">
        <f>+IF(AVANCE[[#This Row],[PILASTREO]]=AR$2,100%,AVANCE[[#This Row],[PILASTREO]])</f>
        <v>0</v>
      </c>
      <c r="CG418" s="3">
        <f>+IF(AVANCE[[#This Row],[CELOSIAS]]=AS$2,100%,AVANCE[[#This Row],[CELOSIAS]])</f>
        <v>0</v>
      </c>
      <c r="CH418" s="3">
        <f>+IF(AVANCE[[#This Row],[VENTANAS]]=AT$2,100%,AVANCE[[#This Row],[VENTANAS]])</f>
        <v>0</v>
      </c>
      <c r="CI418" s="3">
        <f>+IF(AVANCE[[#This Row],[PUERTAS ACCESO - LOGIA - BANO]]=AU$2,100%,AVANCE[[#This Row],[PUERTAS ACCESO - LOGIA - BANO]])</f>
        <v>0</v>
      </c>
      <c r="CJ418" s="3">
        <f>+IF(AVANCE[[#This Row],[CERRADURAS]]=AV$2,100%,AVANCE[[#This Row],[CERRADURAS]])</f>
        <v>0</v>
      </c>
      <c r="CK418" s="3">
        <f>+IF(AVANCE[[#This Row],[REVESTIMIENTO INTERIOR ZONA SECA]]=AW$2,100%,AVANCE[[#This Row],[REVESTIMIENTO INTERIOR ZONA SECA]])</f>
        <v>0</v>
      </c>
      <c r="CL418" s="3">
        <f>+IF(AVANCE[[#This Row],[REVESTIMIENTO INTERIOR ZONAS HUMEDAS]]=AX$2,100%,AVANCE[[#This Row],[REVESTIMIENTO INTERIOR ZONAS HUMEDAS]])</f>
        <v>0</v>
      </c>
      <c r="CM418" s="3">
        <f>+IF(AVANCE[[#This Row],[MEMBRANA CIELO]]=AY$2,100%,AVANCE[[#This Row],[MEMBRANA CIELO]])</f>
        <v>0</v>
      </c>
      <c r="CN418" s="3">
        <f>+IF(AVANCE[[#This Row],[LIMPIEZA FINAL]]=AZ$2,100%,AVANCE[[#This Row],[LIMPIEZA FINAL]])</f>
        <v>0</v>
      </c>
      <c r="CO418" s="3">
        <f>+IF(AVANCE[[#This Row],[PUERTAS DORMITORIO]]=BA$2,100%,AVANCE[[#This Row],[PUERTAS DORMITORIO]])</f>
        <v>0</v>
      </c>
      <c r="CP418" s="3">
        <f>+IF(AVANCE[[#This Row],[REVESTIMIENTO INTERIOR BANO]]=BB$2,100%,AVANCE[[#This Row],[REVESTIMIENTO INTERIOR BANO]])</f>
        <v>0</v>
      </c>
      <c r="CQ418" s="3">
        <f>+IF(AVANCE[[#This Row],[MUEBLE LAVAPLATOS]]=BC$2,100%,AVANCE[[#This Row],[MUEBLE LAVAPLATOS]])</f>
        <v>0</v>
      </c>
      <c r="CR418" s="3">
        <f>+IF(AVANCE[[#This Row],[IMPERMEABILIZACION BANO - COCINA LOGIA]]=BD$2,100%,AVANCE[[#This Row],[IMPERMEABILIZACION BANO - COCINA LOGIA]])</f>
        <v>0</v>
      </c>
      <c r="CS418" s="40">
        <f ca="1">+IF(AVANCE[[#This Row],[ESTADO MODULO]]="PENDIENTE",(TODAY()-AVANCE[[#This Row],[FECHA TERMINO  PLANIFICADO]]),0)</f>
        <v>0</v>
      </c>
      <c r="CT418" s="41" t="str" cm="1">
        <f t="array" ref="CT418">_xlfn.TEXTJOIN(" | ",TRUE,IF(SUMPRODUCT((BG418:CR418&lt;1)*(PARTIDAS!$I$2:$AT$2="OBRA GRUESA"))&gt;0,"OBRA GRUESA: "&amp;_xlfn.TEXTJOIN(", ",TRUE,IF((BG418:CR418&lt;1)*(PARTIDAS!$I$2:$AT$2="OBRA GRUESA"),PARTIDAS!$I$1:$AT$1,"")),""),IF(SUMPRODUCT((BG418:CR418&lt;1)*(PARTIDAS!$I$2:$AT$2="SANITARIOS"))&gt;0,"SANITARIOS: "&amp;_xlfn.TEXTJOIN(", ",TRUE,IF((BG418:CR418&lt;1)*(PARTIDAS!$I$2:$AT$2="SANITARIOS"),PARTIDAS!$I$1:$AT$1,"")),""),IF(SUMPRODUCT((BG418:CR418&lt;1)*(PARTIDAS!$I$2:$AT$2="ELÉCTRICO"))&gt;0,"ELÉCTRICO: "&amp;_xlfn.TEXTJOIN(", ",TRUE,IF((BG418:CR418&lt;1)*(PARTIDAS!$I$2:$AT$2="ELÉCTRICO"),PARTIDAS!$I$1:$AT$1,"")),""),IF(SUMPRODUCT((BG418:CR418&lt;1)*(PARTIDAS!$I$2:$AT$2="TERMINACIONES"))&gt;0,"TERMINACIONES: "&amp;_xlfn.TEXTJOIN(", ",TRUE,IF((BG418:CR418&lt;1)*(PARTIDAS!$I$2:$AT$2="TERMINACIONES"),PARTIDAS!$I$1:$AT$1,"")),""))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8" s="43" t="str" cm="1">
        <f t="array" ref="CU418">_xlfn.TEXTJOIN(", ",TRUE,IF(SUMPRODUCT((BG418:CR418&lt;1)*(PARTIDAS!$I$2:$AT$2="OBRA GRUESA"))&gt;0,"OBRA GRUESA",""),IF(SUMPRODUCT((BG418:CR418&lt;1)*(PARTIDAS!$I$2:$AT$2="SANITARIOS"))&gt;0,"SANITARIOS",""),IF(SUMPRODUCT((BG418:CR418&lt;1)*(PARTIDAS!$I$2:$AT$2="ELÉCTRICO"))&gt;0,"ELÉCTRICO",""),IF(SUMPRODUCT((BG418:CR418&lt;1)*(PARTIDAS!$I$2:$AT$2="TERMINACIONES"))&gt;0,"TERMINACIONES",""))</f>
        <v>OBRA GRUESA, SANITARIOS, ELÉCTRICO, TERMINACIONES</v>
      </c>
      <c r="CV418" s="44" cm="1">
        <f t="array" ref="CV418">SUMPRODUCT(--(BG418:CR418&lt;1))</f>
        <v>38</v>
      </c>
    </row>
    <row r="419" spans="1:100" hidden="1" x14ac:dyDescent="0.25">
      <c r="A419" t="s">
        <v>487</v>
      </c>
      <c r="B419" t="s">
        <v>489</v>
      </c>
      <c r="C419">
        <v>2302600418</v>
      </c>
      <c r="D419" t="s">
        <v>60</v>
      </c>
      <c r="E419" s="2">
        <v>0</v>
      </c>
      <c r="F419" s="1">
        <v>46346</v>
      </c>
      <c r="G419" s="1"/>
      <c r="H419" s="1">
        <v>0</v>
      </c>
      <c r="I419" s="1">
        <v>46376</v>
      </c>
      <c r="J419">
        <v>46230</v>
      </c>
      <c r="K419" s="1"/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>
        <v>31.32</v>
      </c>
      <c r="BF419" s="3" t="str">
        <f>+IF(AVANCE[[#This Row],[% AVANCE]]=100%,"MODULO TERMINADO",IF(AVANCE[[#This Row],[FECHA INICIO REAL]]="","MODULO NO INICIADO","PENDIENTE"))</f>
        <v>MODULO NO INICIADO</v>
      </c>
      <c r="BG419" s="3">
        <f>+IF(AVANCE[[#This Row],[VENTANAS]]=8.10810810810811%,100%,AVANCE[[#This Row],[VENTANAS]])</f>
        <v>0</v>
      </c>
      <c r="BH419" s="3">
        <f>+IF(AVANCE[[#This Row],[PISO]]=N$2,100%,AVANCE[[#This Row],[PISO]])</f>
        <v>0</v>
      </c>
      <c r="BI419" s="3">
        <f>+IF(AVANCE[[#This Row],[TABIQUES]]=O$2,100%,AVANCE[[#This Row],[TABIQUES]])</f>
        <v>0</v>
      </c>
      <c r="BJ419" s="3">
        <f>+IF(AVANCE[[#This Row],[MUROS]]=P$2,100%,AVANCE[[#This Row],[MUROS]])</f>
        <v>0</v>
      </c>
      <c r="BK419" s="3">
        <f>+IF(AVANCE[[#This Row],[CIELO]]=Q$2,100%,AVANCE[[#This Row],[CIELO]])</f>
        <v>0</v>
      </c>
      <c r="BL419" s="3">
        <f>+IF(AVANCE[[#This Row],[BALCÓN]]=R$2,100%,AVANCE[[#This Row],[BALCÓN]])</f>
        <v>0</v>
      </c>
      <c r="BM419" s="3">
        <f>+IF(AVANCE[[#This Row],[RED ALCANTARILLADO]]=U$2,100%,AVANCE[[#This Row],[RED ALCANTARILLADO]])</f>
        <v>0</v>
      </c>
      <c r="BN419" s="3">
        <f>+IF(AVANCE[[#This Row],[RED DE AGUA]]=V$2,100%,AVANCE[[#This Row],[RED DE AGUA]])</f>
        <v>0</v>
      </c>
      <c r="BO419" s="3">
        <f>+IF(AVANCE[[#This Row],[VENTILACIONES]]=W$2,100%,AVANCE[[#This Row],[VENTILACIONES]])</f>
        <v>0</v>
      </c>
      <c r="BP419" s="3">
        <f>+IF(AVANCE[[#This Row],[TINA]]=X$2,100%,AVANCE[[#This Row],[TINA]])</f>
        <v>0</v>
      </c>
      <c r="BQ419" s="3">
        <f>+IF(AVANCE[[#This Row],[WC]]=Y$2,100%,AVANCE[[#This Row],[WC]])</f>
        <v>0</v>
      </c>
      <c r="BR419" s="3">
        <f>+IF(AVANCE[[#This Row],[LAVAMANOS / LAVAPLATOS / LAVADERO]]=Z$2,100%,AVANCE[[#This Row],[LAVAMANOS / LAVAPLATOS / LAVADERO]])</f>
        <v>0</v>
      </c>
      <c r="BS419" s="3">
        <f>+IF(AVANCE[[#This Row],[CANALIZACIÓN]]=AC$2,100%,AVANCE[[#This Row],[CANALIZACIÓN]])</f>
        <v>0</v>
      </c>
      <c r="BT419" s="3">
        <f>+IF(AVANCE[[#This Row],[CABLEADO]]=AD$2,100%,AVANCE[[#This Row],[CABLEADO]])</f>
        <v>0</v>
      </c>
      <c r="BU419" s="3">
        <f>+IF(AVANCE[[#This Row],[ARTEFACTOS]]=AE$2,100%,AVANCE[[#This Row],[ARTEFACTOS]])</f>
        <v>0</v>
      </c>
      <c r="BV419" s="3">
        <f>+IF(AVANCE[[#This Row],[TABLERO]]=AF$2,100%,AVANCE[[#This Row],[TABLERO]])</f>
        <v>0</v>
      </c>
      <c r="BW419" s="3">
        <f>+IF(AVANCE[[#This Row],[CAJA PAU]]=AG$2,100%,AVANCE[[#This Row],[CAJA PAU]])</f>
        <v>0</v>
      </c>
      <c r="BX419" s="3">
        <f>+IF(AVANCE[[#This Row],[INSTALACION VINILICO]]=AJ$2,100%,AVANCE[[#This Row],[INSTALACION VINILICO]])</f>
        <v>0</v>
      </c>
      <c r="BY419" s="3">
        <f>+IF(AVANCE[[#This Row],[OSB CUBIERTA]]=AK$2,100%,AVANCE[[#This Row],[OSB CUBIERTA]])</f>
        <v>0</v>
      </c>
      <c r="BZ419" s="3">
        <f>+IF(AVANCE[[#This Row],[BARANDA BALCON]]=AL$2,100%,AVANCE[[#This Row],[BARANDA BALCON]])</f>
        <v>0</v>
      </c>
      <c r="CA419" s="3">
        <f>+IF(AVANCE[[#This Row],[OSB EXTERIOR]]=AM$2,100%,AVANCE[[#This Row],[OSB EXTERIOR]])</f>
        <v>0</v>
      </c>
      <c r="CB419" s="3">
        <f>+IF(AVANCE[[#This Row],[SMART PANEL]]=AN$2,100%,AVANCE[[#This Row],[SMART PANEL]])</f>
        <v>0</v>
      </c>
      <c r="CC419" s="3">
        <f>+IF(AVANCE[[#This Row],[PINTURA EXTERIOR]]=AO$2,100%,AVANCE[[#This Row],[PINTURA EXTERIOR]])</f>
        <v>0</v>
      </c>
      <c r="CD419" s="3">
        <f>+IF(AVANCE[[#This Row],[ZOCALOS LOGIA]]=AP$2,100%,AVANCE[[#This Row],[ZOCALOS LOGIA]])</f>
        <v>0</v>
      </c>
      <c r="CE419" s="3">
        <f>+IF(AVANCE[[#This Row],[MOLDURAS]]=AQ$2,100%,AVANCE[[#This Row],[MOLDURAS]])</f>
        <v>0</v>
      </c>
      <c r="CF419" s="3">
        <f>+IF(AVANCE[[#This Row],[PILASTREO]]=AR$2,100%,AVANCE[[#This Row],[PILASTREO]])</f>
        <v>0</v>
      </c>
      <c r="CG419" s="3">
        <f>+IF(AVANCE[[#This Row],[CELOSIAS]]=AS$2,100%,AVANCE[[#This Row],[CELOSIAS]])</f>
        <v>0</v>
      </c>
      <c r="CH419" s="3">
        <f>+IF(AVANCE[[#This Row],[VENTANAS]]=AT$2,100%,AVANCE[[#This Row],[VENTANAS]])</f>
        <v>0</v>
      </c>
      <c r="CI419" s="3">
        <f>+IF(AVANCE[[#This Row],[PUERTAS ACCESO - LOGIA - BANO]]=AU$2,100%,AVANCE[[#This Row],[PUERTAS ACCESO - LOGIA - BANO]])</f>
        <v>0</v>
      </c>
      <c r="CJ419" s="3">
        <f>+IF(AVANCE[[#This Row],[CERRADURAS]]=AV$2,100%,AVANCE[[#This Row],[CERRADURAS]])</f>
        <v>0</v>
      </c>
      <c r="CK419" s="3">
        <f>+IF(AVANCE[[#This Row],[REVESTIMIENTO INTERIOR ZONA SECA]]=AW$2,100%,AVANCE[[#This Row],[REVESTIMIENTO INTERIOR ZONA SECA]])</f>
        <v>0</v>
      </c>
      <c r="CL419" s="3">
        <f>+IF(AVANCE[[#This Row],[REVESTIMIENTO INTERIOR ZONAS HUMEDAS]]=AX$2,100%,AVANCE[[#This Row],[REVESTIMIENTO INTERIOR ZONAS HUMEDAS]])</f>
        <v>0</v>
      </c>
      <c r="CM419" s="3">
        <f>+IF(AVANCE[[#This Row],[MEMBRANA CIELO]]=AY$2,100%,AVANCE[[#This Row],[MEMBRANA CIELO]])</f>
        <v>0</v>
      </c>
      <c r="CN419" s="3">
        <f>+IF(AVANCE[[#This Row],[LIMPIEZA FINAL]]=AZ$2,100%,AVANCE[[#This Row],[LIMPIEZA FINAL]])</f>
        <v>0</v>
      </c>
      <c r="CO419" s="3">
        <f>+IF(AVANCE[[#This Row],[PUERTAS DORMITORIO]]=BA$2,100%,AVANCE[[#This Row],[PUERTAS DORMITORIO]])</f>
        <v>0</v>
      </c>
      <c r="CP419" s="3">
        <f>+IF(AVANCE[[#This Row],[REVESTIMIENTO INTERIOR BANO]]=BB$2,100%,AVANCE[[#This Row],[REVESTIMIENTO INTERIOR BANO]])</f>
        <v>0</v>
      </c>
      <c r="CQ419" s="3">
        <f>+IF(AVANCE[[#This Row],[MUEBLE LAVAPLATOS]]=BC$2,100%,AVANCE[[#This Row],[MUEBLE LAVAPLATOS]])</f>
        <v>0</v>
      </c>
      <c r="CR419" s="3">
        <f>+IF(AVANCE[[#This Row],[IMPERMEABILIZACION BANO - COCINA LOGIA]]=BD$2,100%,AVANCE[[#This Row],[IMPERMEABILIZACION BANO - COCINA LOGIA]])</f>
        <v>0</v>
      </c>
      <c r="CS419" s="40">
        <f ca="1">+IF(AVANCE[[#This Row],[ESTADO MODULO]]="PENDIENTE",(TODAY()-AVANCE[[#This Row],[FECHA TERMINO  PLANIFICADO]]),0)</f>
        <v>0</v>
      </c>
      <c r="CT419" s="41" t="str" cm="1">
        <f t="array" ref="CT419">_xlfn.TEXTJOIN(" | ",TRUE,IF(SUMPRODUCT((BG419:CR419&lt;1)*(PARTIDAS!$I$2:$AT$2="OBRA GRUESA"))&gt;0,"OBRA GRUESA: "&amp;_xlfn.TEXTJOIN(", ",TRUE,IF((BG419:CR419&lt;1)*(PARTIDAS!$I$2:$AT$2="OBRA GRUESA"),PARTIDAS!$I$1:$AT$1,"")),""),IF(SUMPRODUCT((BG419:CR419&lt;1)*(PARTIDAS!$I$2:$AT$2="SANITARIOS"))&gt;0,"SANITARIOS: "&amp;_xlfn.TEXTJOIN(", ",TRUE,IF((BG419:CR419&lt;1)*(PARTIDAS!$I$2:$AT$2="SANITARIOS"),PARTIDAS!$I$1:$AT$1,"")),""),IF(SUMPRODUCT((BG419:CR419&lt;1)*(PARTIDAS!$I$2:$AT$2="ELÉCTRICO"))&gt;0,"ELÉCTRICO: "&amp;_xlfn.TEXTJOIN(", ",TRUE,IF((BG419:CR419&lt;1)*(PARTIDAS!$I$2:$AT$2="ELÉCTRICO"),PARTIDAS!$I$1:$AT$1,"")),""),IF(SUMPRODUCT((BG419:CR419&lt;1)*(PARTIDAS!$I$2:$AT$2="TERMINACIONES"))&gt;0,"TERMINACIONES: "&amp;_xlfn.TEXTJOIN(", ",TRUE,IF((BG419:CR419&lt;1)*(PARTIDAS!$I$2:$AT$2="TERMINACIONES"),PARTIDAS!$I$1:$AT$1,"")),""))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19" s="43" t="str" cm="1">
        <f t="array" ref="CU419">_xlfn.TEXTJOIN(", ",TRUE,IF(SUMPRODUCT((BG419:CR419&lt;1)*(PARTIDAS!$I$2:$AT$2="OBRA GRUESA"))&gt;0,"OBRA GRUESA",""),IF(SUMPRODUCT((BG419:CR419&lt;1)*(PARTIDAS!$I$2:$AT$2="SANITARIOS"))&gt;0,"SANITARIOS",""),IF(SUMPRODUCT((BG419:CR419&lt;1)*(PARTIDAS!$I$2:$AT$2="ELÉCTRICO"))&gt;0,"ELÉCTRICO",""),IF(SUMPRODUCT((BG419:CR419&lt;1)*(PARTIDAS!$I$2:$AT$2="TERMINACIONES"))&gt;0,"TERMINACIONES",""))</f>
        <v>OBRA GRUESA, SANITARIOS, ELÉCTRICO, TERMINACIONES</v>
      </c>
      <c r="CV419" s="44" cm="1">
        <f t="array" ref="CV419">SUMPRODUCT(--(BG419:CR419&lt;1))</f>
        <v>38</v>
      </c>
    </row>
    <row r="420" spans="1:100" hidden="1" x14ac:dyDescent="0.25">
      <c r="A420" t="s">
        <v>487</v>
      </c>
      <c r="B420" t="s">
        <v>490</v>
      </c>
      <c r="C420">
        <v>2302600419</v>
      </c>
      <c r="D420" t="s">
        <v>60</v>
      </c>
      <c r="E420" s="2">
        <v>0</v>
      </c>
      <c r="F420" s="1">
        <v>46349</v>
      </c>
      <c r="G420" s="1"/>
      <c r="H420" s="1">
        <v>0</v>
      </c>
      <c r="I420" s="1">
        <v>46379</v>
      </c>
      <c r="J420">
        <v>46230</v>
      </c>
      <c r="K420" s="1"/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>
        <v>31.32</v>
      </c>
      <c r="BF420" s="3" t="str">
        <f>+IF(AVANCE[[#This Row],[% AVANCE]]=100%,"MODULO TERMINADO",IF(AVANCE[[#This Row],[FECHA INICIO REAL]]="","MODULO NO INICIADO","PENDIENTE"))</f>
        <v>MODULO NO INICIADO</v>
      </c>
      <c r="BG420" s="3">
        <f>+IF(AVANCE[[#This Row],[VENTANAS]]=8.10810810810811%,100%,AVANCE[[#This Row],[VENTANAS]])</f>
        <v>0</v>
      </c>
      <c r="BH420" s="3">
        <f>+IF(AVANCE[[#This Row],[PISO]]=N$2,100%,AVANCE[[#This Row],[PISO]])</f>
        <v>0</v>
      </c>
      <c r="BI420" s="3">
        <f>+IF(AVANCE[[#This Row],[TABIQUES]]=O$2,100%,AVANCE[[#This Row],[TABIQUES]])</f>
        <v>0</v>
      </c>
      <c r="BJ420" s="3">
        <f>+IF(AVANCE[[#This Row],[MUROS]]=P$2,100%,AVANCE[[#This Row],[MUROS]])</f>
        <v>0</v>
      </c>
      <c r="BK420" s="3">
        <f>+IF(AVANCE[[#This Row],[CIELO]]=Q$2,100%,AVANCE[[#This Row],[CIELO]])</f>
        <v>0</v>
      </c>
      <c r="BL420" s="3">
        <f>+IF(AVANCE[[#This Row],[BALCÓN]]=R$2,100%,AVANCE[[#This Row],[BALCÓN]])</f>
        <v>0</v>
      </c>
      <c r="BM420" s="3">
        <f>+IF(AVANCE[[#This Row],[RED ALCANTARILLADO]]=U$2,100%,AVANCE[[#This Row],[RED ALCANTARILLADO]])</f>
        <v>0</v>
      </c>
      <c r="BN420" s="3">
        <f>+IF(AVANCE[[#This Row],[RED DE AGUA]]=V$2,100%,AVANCE[[#This Row],[RED DE AGUA]])</f>
        <v>0</v>
      </c>
      <c r="BO420" s="3">
        <f>+IF(AVANCE[[#This Row],[VENTILACIONES]]=W$2,100%,AVANCE[[#This Row],[VENTILACIONES]])</f>
        <v>0</v>
      </c>
      <c r="BP420" s="3">
        <f>+IF(AVANCE[[#This Row],[TINA]]=X$2,100%,AVANCE[[#This Row],[TINA]])</f>
        <v>0</v>
      </c>
      <c r="BQ420" s="3">
        <f>+IF(AVANCE[[#This Row],[WC]]=Y$2,100%,AVANCE[[#This Row],[WC]])</f>
        <v>0</v>
      </c>
      <c r="BR420" s="3">
        <f>+IF(AVANCE[[#This Row],[LAVAMANOS / LAVAPLATOS / LAVADERO]]=Z$2,100%,AVANCE[[#This Row],[LAVAMANOS / LAVAPLATOS / LAVADERO]])</f>
        <v>0</v>
      </c>
      <c r="BS420" s="3">
        <f>+IF(AVANCE[[#This Row],[CANALIZACIÓN]]=AC$2,100%,AVANCE[[#This Row],[CANALIZACIÓN]])</f>
        <v>0</v>
      </c>
      <c r="BT420" s="3">
        <f>+IF(AVANCE[[#This Row],[CABLEADO]]=AD$2,100%,AVANCE[[#This Row],[CABLEADO]])</f>
        <v>0</v>
      </c>
      <c r="BU420" s="3">
        <f>+IF(AVANCE[[#This Row],[ARTEFACTOS]]=AE$2,100%,AVANCE[[#This Row],[ARTEFACTOS]])</f>
        <v>0</v>
      </c>
      <c r="BV420" s="3">
        <f>+IF(AVANCE[[#This Row],[TABLERO]]=AF$2,100%,AVANCE[[#This Row],[TABLERO]])</f>
        <v>0</v>
      </c>
      <c r="BW420" s="3">
        <f>+IF(AVANCE[[#This Row],[CAJA PAU]]=AG$2,100%,AVANCE[[#This Row],[CAJA PAU]])</f>
        <v>0</v>
      </c>
      <c r="BX420" s="3">
        <f>+IF(AVANCE[[#This Row],[INSTALACION VINILICO]]=AJ$2,100%,AVANCE[[#This Row],[INSTALACION VINILICO]])</f>
        <v>0</v>
      </c>
      <c r="BY420" s="3">
        <f>+IF(AVANCE[[#This Row],[OSB CUBIERTA]]=AK$2,100%,AVANCE[[#This Row],[OSB CUBIERTA]])</f>
        <v>0</v>
      </c>
      <c r="BZ420" s="3">
        <f>+IF(AVANCE[[#This Row],[BARANDA BALCON]]=AL$2,100%,AVANCE[[#This Row],[BARANDA BALCON]])</f>
        <v>0</v>
      </c>
      <c r="CA420" s="3">
        <f>+IF(AVANCE[[#This Row],[OSB EXTERIOR]]=AM$2,100%,AVANCE[[#This Row],[OSB EXTERIOR]])</f>
        <v>0</v>
      </c>
      <c r="CB420" s="3">
        <f>+IF(AVANCE[[#This Row],[SMART PANEL]]=AN$2,100%,AVANCE[[#This Row],[SMART PANEL]])</f>
        <v>0</v>
      </c>
      <c r="CC420" s="3">
        <f>+IF(AVANCE[[#This Row],[PINTURA EXTERIOR]]=AO$2,100%,AVANCE[[#This Row],[PINTURA EXTERIOR]])</f>
        <v>0</v>
      </c>
      <c r="CD420" s="3">
        <f>+IF(AVANCE[[#This Row],[ZOCALOS LOGIA]]=AP$2,100%,AVANCE[[#This Row],[ZOCALOS LOGIA]])</f>
        <v>0</v>
      </c>
      <c r="CE420" s="3">
        <f>+IF(AVANCE[[#This Row],[MOLDURAS]]=AQ$2,100%,AVANCE[[#This Row],[MOLDURAS]])</f>
        <v>0</v>
      </c>
      <c r="CF420" s="3">
        <f>+IF(AVANCE[[#This Row],[PILASTREO]]=AR$2,100%,AVANCE[[#This Row],[PILASTREO]])</f>
        <v>0</v>
      </c>
      <c r="CG420" s="3">
        <f>+IF(AVANCE[[#This Row],[CELOSIAS]]=AS$2,100%,AVANCE[[#This Row],[CELOSIAS]])</f>
        <v>0</v>
      </c>
      <c r="CH420" s="3">
        <f>+IF(AVANCE[[#This Row],[VENTANAS]]=AT$2,100%,AVANCE[[#This Row],[VENTANAS]])</f>
        <v>0</v>
      </c>
      <c r="CI420" s="3">
        <f>+IF(AVANCE[[#This Row],[PUERTAS ACCESO - LOGIA - BANO]]=AU$2,100%,AVANCE[[#This Row],[PUERTAS ACCESO - LOGIA - BANO]])</f>
        <v>0</v>
      </c>
      <c r="CJ420" s="3">
        <f>+IF(AVANCE[[#This Row],[CERRADURAS]]=AV$2,100%,AVANCE[[#This Row],[CERRADURAS]])</f>
        <v>0</v>
      </c>
      <c r="CK420" s="3">
        <f>+IF(AVANCE[[#This Row],[REVESTIMIENTO INTERIOR ZONA SECA]]=AW$2,100%,AVANCE[[#This Row],[REVESTIMIENTO INTERIOR ZONA SECA]])</f>
        <v>0</v>
      </c>
      <c r="CL420" s="3">
        <f>+IF(AVANCE[[#This Row],[REVESTIMIENTO INTERIOR ZONAS HUMEDAS]]=AX$2,100%,AVANCE[[#This Row],[REVESTIMIENTO INTERIOR ZONAS HUMEDAS]])</f>
        <v>0</v>
      </c>
      <c r="CM420" s="3">
        <f>+IF(AVANCE[[#This Row],[MEMBRANA CIELO]]=AY$2,100%,AVANCE[[#This Row],[MEMBRANA CIELO]])</f>
        <v>0</v>
      </c>
      <c r="CN420" s="3">
        <f>+IF(AVANCE[[#This Row],[LIMPIEZA FINAL]]=AZ$2,100%,AVANCE[[#This Row],[LIMPIEZA FINAL]])</f>
        <v>0</v>
      </c>
      <c r="CO420" s="3">
        <f>+IF(AVANCE[[#This Row],[PUERTAS DORMITORIO]]=BA$2,100%,AVANCE[[#This Row],[PUERTAS DORMITORIO]])</f>
        <v>0</v>
      </c>
      <c r="CP420" s="3">
        <f>+IF(AVANCE[[#This Row],[REVESTIMIENTO INTERIOR BANO]]=BB$2,100%,AVANCE[[#This Row],[REVESTIMIENTO INTERIOR BANO]])</f>
        <v>0</v>
      </c>
      <c r="CQ420" s="3">
        <f>+IF(AVANCE[[#This Row],[MUEBLE LAVAPLATOS]]=BC$2,100%,AVANCE[[#This Row],[MUEBLE LAVAPLATOS]])</f>
        <v>0</v>
      </c>
      <c r="CR420" s="3">
        <f>+IF(AVANCE[[#This Row],[IMPERMEABILIZACION BANO - COCINA LOGIA]]=BD$2,100%,AVANCE[[#This Row],[IMPERMEABILIZACION BANO - COCINA LOGIA]])</f>
        <v>0</v>
      </c>
      <c r="CS420" s="40">
        <f ca="1">+IF(AVANCE[[#This Row],[ESTADO MODULO]]="PENDIENTE",(TODAY()-AVANCE[[#This Row],[FECHA TERMINO  PLANIFICADO]]),0)</f>
        <v>0</v>
      </c>
      <c r="CT420" s="41" t="str" cm="1">
        <f t="array" ref="CT420">_xlfn.TEXTJOIN(" | ",TRUE,IF(SUMPRODUCT((BG420:CR420&lt;1)*(PARTIDAS!$I$2:$AT$2="OBRA GRUESA"))&gt;0,"OBRA GRUESA: "&amp;_xlfn.TEXTJOIN(", ",TRUE,IF((BG420:CR420&lt;1)*(PARTIDAS!$I$2:$AT$2="OBRA GRUESA"),PARTIDAS!$I$1:$AT$1,"")),""),IF(SUMPRODUCT((BG420:CR420&lt;1)*(PARTIDAS!$I$2:$AT$2="SANITARIOS"))&gt;0,"SANITARIOS: "&amp;_xlfn.TEXTJOIN(", ",TRUE,IF((BG420:CR420&lt;1)*(PARTIDAS!$I$2:$AT$2="SANITARIOS"),PARTIDAS!$I$1:$AT$1,"")),""),IF(SUMPRODUCT((BG420:CR420&lt;1)*(PARTIDAS!$I$2:$AT$2="ELÉCTRICO"))&gt;0,"ELÉCTRICO: "&amp;_xlfn.TEXTJOIN(", ",TRUE,IF((BG420:CR420&lt;1)*(PARTIDAS!$I$2:$AT$2="ELÉCTRICO"),PARTIDAS!$I$1:$AT$1,"")),""),IF(SUMPRODUCT((BG420:CR420&lt;1)*(PARTIDAS!$I$2:$AT$2="TERMINACIONES"))&gt;0,"TERMINACIONES: "&amp;_xlfn.TEXTJOIN(", ",TRUE,IF((BG420:CR420&lt;1)*(PARTIDAS!$I$2:$AT$2="TERMINACIONES"),PARTIDAS!$I$1:$AT$1,"")),""))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0" s="43" t="str" cm="1">
        <f t="array" ref="CU420">_xlfn.TEXTJOIN(", ",TRUE,IF(SUMPRODUCT((BG420:CR420&lt;1)*(PARTIDAS!$I$2:$AT$2="OBRA GRUESA"))&gt;0,"OBRA GRUESA",""),IF(SUMPRODUCT((BG420:CR420&lt;1)*(PARTIDAS!$I$2:$AT$2="SANITARIOS"))&gt;0,"SANITARIOS",""),IF(SUMPRODUCT((BG420:CR420&lt;1)*(PARTIDAS!$I$2:$AT$2="ELÉCTRICO"))&gt;0,"ELÉCTRICO",""),IF(SUMPRODUCT((BG420:CR420&lt;1)*(PARTIDAS!$I$2:$AT$2="TERMINACIONES"))&gt;0,"TERMINACIONES",""))</f>
        <v>OBRA GRUESA, SANITARIOS, ELÉCTRICO, TERMINACIONES</v>
      </c>
      <c r="CV420" s="44" cm="1">
        <f t="array" ref="CV420">SUMPRODUCT(--(BG420:CR420&lt;1))</f>
        <v>38</v>
      </c>
    </row>
    <row r="421" spans="1:100" hidden="1" x14ac:dyDescent="0.25">
      <c r="A421" t="s">
        <v>487</v>
      </c>
      <c r="B421" t="s">
        <v>491</v>
      </c>
      <c r="C421">
        <v>2282600420</v>
      </c>
      <c r="D421" t="s">
        <v>58</v>
      </c>
      <c r="E421" s="2">
        <v>0</v>
      </c>
      <c r="F421" s="1">
        <v>46349</v>
      </c>
      <c r="G421" s="1"/>
      <c r="H421" s="1">
        <v>0</v>
      </c>
      <c r="I421" s="1">
        <v>46369</v>
      </c>
      <c r="J421">
        <v>46230</v>
      </c>
      <c r="K421" s="1"/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>
        <v>28.87</v>
      </c>
      <c r="BF421" s="3" t="str">
        <f>+IF(AVANCE[[#This Row],[% AVANCE]]=100%,"MODULO TERMINADO",IF(AVANCE[[#This Row],[FECHA INICIO REAL]]="","MODULO NO INICIADO","PENDIENTE"))</f>
        <v>MODULO NO INICIADO</v>
      </c>
      <c r="BG421" s="3">
        <f>+IF(AVANCE[[#This Row],[VENTANAS]]=8.10810810810811%,100%,AVANCE[[#This Row],[VENTANAS]])</f>
        <v>0</v>
      </c>
      <c r="BH421" s="3">
        <f>+IF(AVANCE[[#This Row],[PISO]]=N$2,100%,AVANCE[[#This Row],[PISO]])</f>
        <v>0</v>
      </c>
      <c r="BI421" s="3">
        <f>+IF(AVANCE[[#This Row],[TABIQUES]]=O$2,100%,AVANCE[[#This Row],[TABIQUES]])</f>
        <v>0</v>
      </c>
      <c r="BJ421" s="3">
        <f>+IF(AVANCE[[#This Row],[MUROS]]=P$2,100%,AVANCE[[#This Row],[MUROS]])</f>
        <v>0</v>
      </c>
      <c r="BK421" s="3">
        <f>+IF(AVANCE[[#This Row],[CIELO]]=Q$2,100%,AVANCE[[#This Row],[CIELO]])</f>
        <v>0</v>
      </c>
      <c r="BL421" s="3">
        <f>+IF(AVANCE[[#This Row],[BALCÓN]]=R$2,100%,AVANCE[[#This Row],[BALCÓN]])</f>
        <v>0</v>
      </c>
      <c r="BM421" s="3">
        <f>+IF(AVANCE[[#This Row],[RED ALCANTARILLADO]]=U$2,100%,AVANCE[[#This Row],[RED ALCANTARILLADO]])</f>
        <v>0</v>
      </c>
      <c r="BN421" s="3">
        <f>+IF(AVANCE[[#This Row],[RED DE AGUA]]=V$2,100%,AVANCE[[#This Row],[RED DE AGUA]])</f>
        <v>0</v>
      </c>
      <c r="BO421" s="3">
        <f>+IF(AVANCE[[#This Row],[VENTILACIONES]]=W$2,100%,AVANCE[[#This Row],[VENTILACIONES]])</f>
        <v>0</v>
      </c>
      <c r="BP421" s="3">
        <f>+IF(AVANCE[[#This Row],[TINA]]=X$2,100%,AVANCE[[#This Row],[TINA]])</f>
        <v>0</v>
      </c>
      <c r="BQ421" s="3">
        <f>+IF(AVANCE[[#This Row],[WC]]=Y$2,100%,AVANCE[[#This Row],[WC]])</f>
        <v>0</v>
      </c>
      <c r="BR421" s="3">
        <f>+IF(AVANCE[[#This Row],[LAVAMANOS / LAVAPLATOS / LAVADERO]]=Z$2,100%,AVANCE[[#This Row],[LAVAMANOS / LAVAPLATOS / LAVADERO]])</f>
        <v>0</v>
      </c>
      <c r="BS421" s="3">
        <f>+IF(AVANCE[[#This Row],[CANALIZACIÓN]]=AC$2,100%,AVANCE[[#This Row],[CANALIZACIÓN]])</f>
        <v>0</v>
      </c>
      <c r="BT421" s="3">
        <f>+IF(AVANCE[[#This Row],[CABLEADO]]=AD$2,100%,AVANCE[[#This Row],[CABLEADO]])</f>
        <v>0</v>
      </c>
      <c r="BU421" s="3">
        <f>+IF(AVANCE[[#This Row],[ARTEFACTOS]]=AE$2,100%,AVANCE[[#This Row],[ARTEFACTOS]])</f>
        <v>0</v>
      </c>
      <c r="BV421" s="3">
        <f>+IF(AVANCE[[#This Row],[TABLERO]]=AF$2,100%,AVANCE[[#This Row],[TABLERO]])</f>
        <v>0</v>
      </c>
      <c r="BW421" s="3">
        <f>+IF(AVANCE[[#This Row],[CAJA PAU]]=AG$2,100%,AVANCE[[#This Row],[CAJA PAU]])</f>
        <v>0</v>
      </c>
      <c r="BX421" s="3">
        <f>+IF(AVANCE[[#This Row],[INSTALACION VINILICO]]=AJ$2,100%,AVANCE[[#This Row],[INSTALACION VINILICO]])</f>
        <v>0</v>
      </c>
      <c r="BY421" s="3">
        <f>+IF(AVANCE[[#This Row],[OSB CUBIERTA]]=AK$2,100%,AVANCE[[#This Row],[OSB CUBIERTA]])</f>
        <v>0</v>
      </c>
      <c r="BZ421" s="3">
        <f>+IF(AVANCE[[#This Row],[BARANDA BALCON]]=AL$2,100%,AVANCE[[#This Row],[BARANDA BALCON]])</f>
        <v>0</v>
      </c>
      <c r="CA421" s="3">
        <f>+IF(AVANCE[[#This Row],[OSB EXTERIOR]]=AM$2,100%,AVANCE[[#This Row],[OSB EXTERIOR]])</f>
        <v>0</v>
      </c>
      <c r="CB421" s="3">
        <f>+IF(AVANCE[[#This Row],[SMART PANEL]]=AN$2,100%,AVANCE[[#This Row],[SMART PANEL]])</f>
        <v>0</v>
      </c>
      <c r="CC421" s="3">
        <f>+IF(AVANCE[[#This Row],[PINTURA EXTERIOR]]=AO$2,100%,AVANCE[[#This Row],[PINTURA EXTERIOR]])</f>
        <v>0</v>
      </c>
      <c r="CD421" s="3">
        <f>+IF(AVANCE[[#This Row],[ZOCALOS LOGIA]]=AP$2,100%,AVANCE[[#This Row],[ZOCALOS LOGIA]])</f>
        <v>0</v>
      </c>
      <c r="CE421" s="3">
        <f>+IF(AVANCE[[#This Row],[MOLDURAS]]=AQ$2,100%,AVANCE[[#This Row],[MOLDURAS]])</f>
        <v>0</v>
      </c>
      <c r="CF421" s="3">
        <f>+IF(AVANCE[[#This Row],[PILASTREO]]=AR$2,100%,AVANCE[[#This Row],[PILASTREO]])</f>
        <v>0</v>
      </c>
      <c r="CG421" s="3">
        <f>+IF(AVANCE[[#This Row],[CELOSIAS]]=AS$2,100%,AVANCE[[#This Row],[CELOSIAS]])</f>
        <v>0</v>
      </c>
      <c r="CH421" s="3">
        <f>+IF(AVANCE[[#This Row],[VENTANAS]]=AT$2,100%,AVANCE[[#This Row],[VENTANAS]])</f>
        <v>0</v>
      </c>
      <c r="CI421" s="3">
        <f>+IF(AVANCE[[#This Row],[PUERTAS ACCESO - LOGIA - BANO]]=AU$2,100%,AVANCE[[#This Row],[PUERTAS ACCESO - LOGIA - BANO]])</f>
        <v>0</v>
      </c>
      <c r="CJ421" s="3">
        <f>+IF(AVANCE[[#This Row],[CERRADURAS]]=AV$2,100%,AVANCE[[#This Row],[CERRADURAS]])</f>
        <v>0</v>
      </c>
      <c r="CK421" s="3">
        <f>+IF(AVANCE[[#This Row],[REVESTIMIENTO INTERIOR ZONA SECA]]=AW$2,100%,AVANCE[[#This Row],[REVESTIMIENTO INTERIOR ZONA SECA]])</f>
        <v>0</v>
      </c>
      <c r="CL421" s="3">
        <f>+IF(AVANCE[[#This Row],[REVESTIMIENTO INTERIOR ZONAS HUMEDAS]]=AX$2,100%,AVANCE[[#This Row],[REVESTIMIENTO INTERIOR ZONAS HUMEDAS]])</f>
        <v>0</v>
      </c>
      <c r="CM421" s="3">
        <f>+IF(AVANCE[[#This Row],[MEMBRANA CIELO]]=AY$2,100%,AVANCE[[#This Row],[MEMBRANA CIELO]])</f>
        <v>0</v>
      </c>
      <c r="CN421" s="3">
        <f>+IF(AVANCE[[#This Row],[LIMPIEZA FINAL]]=AZ$2,100%,AVANCE[[#This Row],[LIMPIEZA FINAL]])</f>
        <v>0</v>
      </c>
      <c r="CO421" s="3">
        <f>+IF(AVANCE[[#This Row],[PUERTAS DORMITORIO]]=BA$2,100%,AVANCE[[#This Row],[PUERTAS DORMITORIO]])</f>
        <v>0</v>
      </c>
      <c r="CP421" s="3">
        <f>+IF(AVANCE[[#This Row],[REVESTIMIENTO INTERIOR BANO]]=BB$2,100%,AVANCE[[#This Row],[REVESTIMIENTO INTERIOR BANO]])</f>
        <v>0</v>
      </c>
      <c r="CQ421" s="3">
        <f>+IF(AVANCE[[#This Row],[MUEBLE LAVAPLATOS]]=BC$2,100%,AVANCE[[#This Row],[MUEBLE LAVAPLATOS]])</f>
        <v>0</v>
      </c>
      <c r="CR421" s="3">
        <f>+IF(AVANCE[[#This Row],[IMPERMEABILIZACION BANO - COCINA LOGIA]]=BD$2,100%,AVANCE[[#This Row],[IMPERMEABILIZACION BANO - COCINA LOGIA]])</f>
        <v>0</v>
      </c>
      <c r="CS421" s="40">
        <f ca="1">+IF(AVANCE[[#This Row],[ESTADO MODULO]]="PENDIENTE",(TODAY()-AVANCE[[#This Row],[FECHA TERMINO  PLANIFICADO]]),0)</f>
        <v>0</v>
      </c>
      <c r="CT421" s="41" t="str" cm="1">
        <f t="array" ref="CT421">_xlfn.TEXTJOIN(" | ",TRUE,IF(SUMPRODUCT((BG421:CR421&lt;1)*(PARTIDAS!$I$2:$AT$2="OBRA GRUESA"))&gt;0,"OBRA GRUESA: "&amp;_xlfn.TEXTJOIN(", ",TRUE,IF((BG421:CR421&lt;1)*(PARTIDAS!$I$2:$AT$2="OBRA GRUESA"),PARTIDAS!$I$1:$AT$1,"")),""),IF(SUMPRODUCT((BG421:CR421&lt;1)*(PARTIDAS!$I$2:$AT$2="SANITARIOS"))&gt;0,"SANITARIOS: "&amp;_xlfn.TEXTJOIN(", ",TRUE,IF((BG421:CR421&lt;1)*(PARTIDAS!$I$2:$AT$2="SANITARIOS"),PARTIDAS!$I$1:$AT$1,"")),""),IF(SUMPRODUCT((BG421:CR421&lt;1)*(PARTIDAS!$I$2:$AT$2="ELÉCTRICO"))&gt;0,"ELÉCTRICO: "&amp;_xlfn.TEXTJOIN(", ",TRUE,IF((BG421:CR421&lt;1)*(PARTIDAS!$I$2:$AT$2="ELÉCTRICO"),PARTIDAS!$I$1:$AT$1,"")),""),IF(SUMPRODUCT((BG421:CR421&lt;1)*(PARTIDAS!$I$2:$AT$2="TERMINACIONES"))&gt;0,"TERMINACIONES: "&amp;_xlfn.TEXTJOIN(", ",TRUE,IF((BG421:CR421&lt;1)*(PARTIDAS!$I$2:$AT$2="TERMINACIONES"),PARTIDAS!$I$1:$AT$1,"")),""))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1" s="43" t="str" cm="1">
        <f t="array" ref="CU421">_xlfn.TEXTJOIN(", ",TRUE,IF(SUMPRODUCT((BG421:CR421&lt;1)*(PARTIDAS!$I$2:$AT$2="OBRA GRUESA"))&gt;0,"OBRA GRUESA",""),IF(SUMPRODUCT((BG421:CR421&lt;1)*(PARTIDAS!$I$2:$AT$2="SANITARIOS"))&gt;0,"SANITARIOS",""),IF(SUMPRODUCT((BG421:CR421&lt;1)*(PARTIDAS!$I$2:$AT$2="ELÉCTRICO"))&gt;0,"ELÉCTRICO",""),IF(SUMPRODUCT((BG421:CR421&lt;1)*(PARTIDAS!$I$2:$AT$2="TERMINACIONES"))&gt;0,"TERMINACIONES",""))</f>
        <v>OBRA GRUESA, SANITARIOS, ELÉCTRICO, TERMINACIONES</v>
      </c>
      <c r="CV421" s="44" cm="1">
        <f t="array" ref="CV421">SUMPRODUCT(--(BG421:CR421&lt;1))</f>
        <v>38</v>
      </c>
    </row>
    <row r="422" spans="1:100" hidden="1" x14ac:dyDescent="0.25">
      <c r="A422" t="s">
        <v>487</v>
      </c>
      <c r="B422" t="s">
        <v>492</v>
      </c>
      <c r="C422">
        <v>2282600421</v>
      </c>
      <c r="D422" t="s">
        <v>58</v>
      </c>
      <c r="E422" s="2">
        <v>0</v>
      </c>
      <c r="F422" s="1">
        <v>46349</v>
      </c>
      <c r="G422" s="1"/>
      <c r="H422" s="1">
        <v>0</v>
      </c>
      <c r="I422" s="1">
        <v>46369</v>
      </c>
      <c r="J422">
        <v>46230</v>
      </c>
      <c r="K422" s="1"/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>
        <v>28.87</v>
      </c>
      <c r="BF422" s="3" t="str">
        <f>+IF(AVANCE[[#This Row],[% AVANCE]]=100%,"MODULO TERMINADO",IF(AVANCE[[#This Row],[FECHA INICIO REAL]]="","MODULO NO INICIADO","PENDIENTE"))</f>
        <v>MODULO NO INICIADO</v>
      </c>
      <c r="BG422" s="3">
        <f>+IF(AVANCE[[#This Row],[VENTANAS]]=8.10810810810811%,100%,AVANCE[[#This Row],[VENTANAS]])</f>
        <v>0</v>
      </c>
      <c r="BH422" s="3">
        <f>+IF(AVANCE[[#This Row],[PISO]]=N$2,100%,AVANCE[[#This Row],[PISO]])</f>
        <v>0</v>
      </c>
      <c r="BI422" s="3">
        <f>+IF(AVANCE[[#This Row],[TABIQUES]]=O$2,100%,AVANCE[[#This Row],[TABIQUES]])</f>
        <v>0</v>
      </c>
      <c r="BJ422" s="3">
        <f>+IF(AVANCE[[#This Row],[MUROS]]=P$2,100%,AVANCE[[#This Row],[MUROS]])</f>
        <v>0</v>
      </c>
      <c r="BK422" s="3">
        <f>+IF(AVANCE[[#This Row],[CIELO]]=Q$2,100%,AVANCE[[#This Row],[CIELO]])</f>
        <v>0</v>
      </c>
      <c r="BL422" s="3">
        <f>+IF(AVANCE[[#This Row],[BALCÓN]]=R$2,100%,AVANCE[[#This Row],[BALCÓN]])</f>
        <v>0</v>
      </c>
      <c r="BM422" s="3">
        <f>+IF(AVANCE[[#This Row],[RED ALCANTARILLADO]]=U$2,100%,AVANCE[[#This Row],[RED ALCANTARILLADO]])</f>
        <v>0</v>
      </c>
      <c r="BN422" s="3">
        <f>+IF(AVANCE[[#This Row],[RED DE AGUA]]=V$2,100%,AVANCE[[#This Row],[RED DE AGUA]])</f>
        <v>0</v>
      </c>
      <c r="BO422" s="3">
        <f>+IF(AVANCE[[#This Row],[VENTILACIONES]]=W$2,100%,AVANCE[[#This Row],[VENTILACIONES]])</f>
        <v>0</v>
      </c>
      <c r="BP422" s="3">
        <f>+IF(AVANCE[[#This Row],[TINA]]=X$2,100%,AVANCE[[#This Row],[TINA]])</f>
        <v>0</v>
      </c>
      <c r="BQ422" s="3">
        <f>+IF(AVANCE[[#This Row],[WC]]=Y$2,100%,AVANCE[[#This Row],[WC]])</f>
        <v>0</v>
      </c>
      <c r="BR422" s="3">
        <f>+IF(AVANCE[[#This Row],[LAVAMANOS / LAVAPLATOS / LAVADERO]]=Z$2,100%,AVANCE[[#This Row],[LAVAMANOS / LAVAPLATOS / LAVADERO]])</f>
        <v>0</v>
      </c>
      <c r="BS422" s="3">
        <f>+IF(AVANCE[[#This Row],[CANALIZACIÓN]]=AC$2,100%,AVANCE[[#This Row],[CANALIZACIÓN]])</f>
        <v>0</v>
      </c>
      <c r="BT422" s="3">
        <f>+IF(AVANCE[[#This Row],[CABLEADO]]=AD$2,100%,AVANCE[[#This Row],[CABLEADO]])</f>
        <v>0</v>
      </c>
      <c r="BU422" s="3">
        <f>+IF(AVANCE[[#This Row],[ARTEFACTOS]]=AE$2,100%,AVANCE[[#This Row],[ARTEFACTOS]])</f>
        <v>0</v>
      </c>
      <c r="BV422" s="3">
        <f>+IF(AVANCE[[#This Row],[TABLERO]]=AF$2,100%,AVANCE[[#This Row],[TABLERO]])</f>
        <v>0</v>
      </c>
      <c r="BW422" s="3">
        <f>+IF(AVANCE[[#This Row],[CAJA PAU]]=AG$2,100%,AVANCE[[#This Row],[CAJA PAU]])</f>
        <v>0</v>
      </c>
      <c r="BX422" s="3">
        <f>+IF(AVANCE[[#This Row],[INSTALACION VINILICO]]=AJ$2,100%,AVANCE[[#This Row],[INSTALACION VINILICO]])</f>
        <v>0</v>
      </c>
      <c r="BY422" s="3">
        <f>+IF(AVANCE[[#This Row],[OSB CUBIERTA]]=AK$2,100%,AVANCE[[#This Row],[OSB CUBIERTA]])</f>
        <v>0</v>
      </c>
      <c r="BZ422" s="3">
        <f>+IF(AVANCE[[#This Row],[BARANDA BALCON]]=AL$2,100%,AVANCE[[#This Row],[BARANDA BALCON]])</f>
        <v>0</v>
      </c>
      <c r="CA422" s="3">
        <f>+IF(AVANCE[[#This Row],[OSB EXTERIOR]]=AM$2,100%,AVANCE[[#This Row],[OSB EXTERIOR]])</f>
        <v>0</v>
      </c>
      <c r="CB422" s="3">
        <f>+IF(AVANCE[[#This Row],[SMART PANEL]]=AN$2,100%,AVANCE[[#This Row],[SMART PANEL]])</f>
        <v>0</v>
      </c>
      <c r="CC422" s="3">
        <f>+IF(AVANCE[[#This Row],[PINTURA EXTERIOR]]=AO$2,100%,AVANCE[[#This Row],[PINTURA EXTERIOR]])</f>
        <v>0</v>
      </c>
      <c r="CD422" s="3">
        <f>+IF(AVANCE[[#This Row],[ZOCALOS LOGIA]]=AP$2,100%,AVANCE[[#This Row],[ZOCALOS LOGIA]])</f>
        <v>0</v>
      </c>
      <c r="CE422" s="3">
        <f>+IF(AVANCE[[#This Row],[MOLDURAS]]=AQ$2,100%,AVANCE[[#This Row],[MOLDURAS]])</f>
        <v>0</v>
      </c>
      <c r="CF422" s="3">
        <f>+IF(AVANCE[[#This Row],[PILASTREO]]=AR$2,100%,AVANCE[[#This Row],[PILASTREO]])</f>
        <v>0</v>
      </c>
      <c r="CG422" s="3">
        <f>+IF(AVANCE[[#This Row],[CELOSIAS]]=AS$2,100%,AVANCE[[#This Row],[CELOSIAS]])</f>
        <v>0</v>
      </c>
      <c r="CH422" s="3">
        <f>+IF(AVANCE[[#This Row],[VENTANAS]]=AT$2,100%,AVANCE[[#This Row],[VENTANAS]])</f>
        <v>0</v>
      </c>
      <c r="CI422" s="3">
        <f>+IF(AVANCE[[#This Row],[PUERTAS ACCESO - LOGIA - BANO]]=AU$2,100%,AVANCE[[#This Row],[PUERTAS ACCESO - LOGIA - BANO]])</f>
        <v>0</v>
      </c>
      <c r="CJ422" s="3">
        <f>+IF(AVANCE[[#This Row],[CERRADURAS]]=AV$2,100%,AVANCE[[#This Row],[CERRADURAS]])</f>
        <v>0</v>
      </c>
      <c r="CK422" s="3">
        <f>+IF(AVANCE[[#This Row],[REVESTIMIENTO INTERIOR ZONA SECA]]=AW$2,100%,AVANCE[[#This Row],[REVESTIMIENTO INTERIOR ZONA SECA]])</f>
        <v>0</v>
      </c>
      <c r="CL422" s="3">
        <f>+IF(AVANCE[[#This Row],[REVESTIMIENTO INTERIOR ZONAS HUMEDAS]]=AX$2,100%,AVANCE[[#This Row],[REVESTIMIENTO INTERIOR ZONAS HUMEDAS]])</f>
        <v>0</v>
      </c>
      <c r="CM422" s="3">
        <f>+IF(AVANCE[[#This Row],[MEMBRANA CIELO]]=AY$2,100%,AVANCE[[#This Row],[MEMBRANA CIELO]])</f>
        <v>0</v>
      </c>
      <c r="CN422" s="3">
        <f>+IF(AVANCE[[#This Row],[LIMPIEZA FINAL]]=AZ$2,100%,AVANCE[[#This Row],[LIMPIEZA FINAL]])</f>
        <v>0</v>
      </c>
      <c r="CO422" s="3">
        <f>+IF(AVANCE[[#This Row],[PUERTAS DORMITORIO]]=BA$2,100%,AVANCE[[#This Row],[PUERTAS DORMITORIO]])</f>
        <v>0</v>
      </c>
      <c r="CP422" s="3">
        <f>+IF(AVANCE[[#This Row],[REVESTIMIENTO INTERIOR BANO]]=BB$2,100%,AVANCE[[#This Row],[REVESTIMIENTO INTERIOR BANO]])</f>
        <v>0</v>
      </c>
      <c r="CQ422" s="3">
        <f>+IF(AVANCE[[#This Row],[MUEBLE LAVAPLATOS]]=BC$2,100%,AVANCE[[#This Row],[MUEBLE LAVAPLATOS]])</f>
        <v>0</v>
      </c>
      <c r="CR422" s="3">
        <f>+IF(AVANCE[[#This Row],[IMPERMEABILIZACION BANO - COCINA LOGIA]]=BD$2,100%,AVANCE[[#This Row],[IMPERMEABILIZACION BANO - COCINA LOGIA]])</f>
        <v>0</v>
      </c>
      <c r="CS422" s="40">
        <f ca="1">+IF(AVANCE[[#This Row],[ESTADO MODULO]]="PENDIENTE",(TODAY()-AVANCE[[#This Row],[FECHA TERMINO  PLANIFICADO]]),0)</f>
        <v>0</v>
      </c>
      <c r="CT422" s="41" t="str" cm="1">
        <f t="array" ref="CT422">_xlfn.TEXTJOIN(" | ",TRUE,IF(SUMPRODUCT((BG422:CR422&lt;1)*(PARTIDAS!$I$2:$AT$2="OBRA GRUESA"))&gt;0,"OBRA GRUESA: "&amp;_xlfn.TEXTJOIN(", ",TRUE,IF((BG422:CR422&lt;1)*(PARTIDAS!$I$2:$AT$2="OBRA GRUESA"),PARTIDAS!$I$1:$AT$1,"")),""),IF(SUMPRODUCT((BG422:CR422&lt;1)*(PARTIDAS!$I$2:$AT$2="SANITARIOS"))&gt;0,"SANITARIOS: "&amp;_xlfn.TEXTJOIN(", ",TRUE,IF((BG422:CR422&lt;1)*(PARTIDAS!$I$2:$AT$2="SANITARIOS"),PARTIDAS!$I$1:$AT$1,"")),""),IF(SUMPRODUCT((BG422:CR422&lt;1)*(PARTIDAS!$I$2:$AT$2="ELÉCTRICO"))&gt;0,"ELÉCTRICO: "&amp;_xlfn.TEXTJOIN(", ",TRUE,IF((BG422:CR422&lt;1)*(PARTIDAS!$I$2:$AT$2="ELÉCTRICO"),PARTIDAS!$I$1:$AT$1,"")),""),IF(SUMPRODUCT((BG422:CR422&lt;1)*(PARTIDAS!$I$2:$AT$2="TERMINACIONES"))&gt;0,"TERMINACIONES: "&amp;_xlfn.TEXTJOIN(", ",TRUE,IF((BG422:CR422&lt;1)*(PARTIDAS!$I$2:$AT$2="TERMINACIONES"),PARTIDAS!$I$1:$AT$1,"")),""))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2" s="43" t="str" cm="1">
        <f t="array" ref="CU422">_xlfn.TEXTJOIN(", ",TRUE,IF(SUMPRODUCT((BG422:CR422&lt;1)*(PARTIDAS!$I$2:$AT$2="OBRA GRUESA"))&gt;0,"OBRA GRUESA",""),IF(SUMPRODUCT((BG422:CR422&lt;1)*(PARTIDAS!$I$2:$AT$2="SANITARIOS"))&gt;0,"SANITARIOS",""),IF(SUMPRODUCT((BG422:CR422&lt;1)*(PARTIDAS!$I$2:$AT$2="ELÉCTRICO"))&gt;0,"ELÉCTRICO",""),IF(SUMPRODUCT((BG422:CR422&lt;1)*(PARTIDAS!$I$2:$AT$2="TERMINACIONES"))&gt;0,"TERMINACIONES",""))</f>
        <v>OBRA GRUESA, SANITARIOS, ELÉCTRICO, TERMINACIONES</v>
      </c>
      <c r="CV422" s="44" cm="1">
        <f t="array" ref="CV422">SUMPRODUCT(--(BG422:CR422&lt;1))</f>
        <v>38</v>
      </c>
    </row>
    <row r="423" spans="1:100" hidden="1" x14ac:dyDescent="0.25">
      <c r="A423" t="s">
        <v>487</v>
      </c>
      <c r="B423" t="s">
        <v>493</v>
      </c>
      <c r="C423">
        <v>2302600422</v>
      </c>
      <c r="D423" t="s">
        <v>60</v>
      </c>
      <c r="E423" s="2">
        <v>0</v>
      </c>
      <c r="F423" s="1">
        <v>46350</v>
      </c>
      <c r="G423" s="1"/>
      <c r="H423" s="1">
        <v>0</v>
      </c>
      <c r="I423" s="1">
        <v>46380</v>
      </c>
      <c r="J423">
        <v>46230</v>
      </c>
      <c r="K423" s="1"/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>
        <v>31.32</v>
      </c>
      <c r="BF423" s="3" t="str">
        <f>+IF(AVANCE[[#This Row],[% AVANCE]]=100%,"MODULO TERMINADO",IF(AVANCE[[#This Row],[FECHA INICIO REAL]]="","MODULO NO INICIADO","PENDIENTE"))</f>
        <v>MODULO NO INICIADO</v>
      </c>
      <c r="BG423" s="3">
        <f>+IF(AVANCE[[#This Row],[VENTANAS]]=8.10810810810811%,100%,AVANCE[[#This Row],[VENTANAS]])</f>
        <v>0</v>
      </c>
      <c r="BH423" s="3">
        <f>+IF(AVANCE[[#This Row],[PISO]]=N$2,100%,AVANCE[[#This Row],[PISO]])</f>
        <v>0</v>
      </c>
      <c r="BI423" s="3">
        <f>+IF(AVANCE[[#This Row],[TABIQUES]]=O$2,100%,AVANCE[[#This Row],[TABIQUES]])</f>
        <v>0</v>
      </c>
      <c r="BJ423" s="3">
        <f>+IF(AVANCE[[#This Row],[MUROS]]=P$2,100%,AVANCE[[#This Row],[MUROS]])</f>
        <v>0</v>
      </c>
      <c r="BK423" s="3">
        <f>+IF(AVANCE[[#This Row],[CIELO]]=Q$2,100%,AVANCE[[#This Row],[CIELO]])</f>
        <v>0</v>
      </c>
      <c r="BL423" s="3">
        <f>+IF(AVANCE[[#This Row],[BALCÓN]]=R$2,100%,AVANCE[[#This Row],[BALCÓN]])</f>
        <v>0</v>
      </c>
      <c r="BM423" s="3">
        <f>+IF(AVANCE[[#This Row],[RED ALCANTARILLADO]]=U$2,100%,AVANCE[[#This Row],[RED ALCANTARILLADO]])</f>
        <v>0</v>
      </c>
      <c r="BN423" s="3">
        <f>+IF(AVANCE[[#This Row],[RED DE AGUA]]=V$2,100%,AVANCE[[#This Row],[RED DE AGUA]])</f>
        <v>0</v>
      </c>
      <c r="BO423" s="3">
        <f>+IF(AVANCE[[#This Row],[VENTILACIONES]]=W$2,100%,AVANCE[[#This Row],[VENTILACIONES]])</f>
        <v>0</v>
      </c>
      <c r="BP423" s="3">
        <f>+IF(AVANCE[[#This Row],[TINA]]=X$2,100%,AVANCE[[#This Row],[TINA]])</f>
        <v>0</v>
      </c>
      <c r="BQ423" s="3">
        <f>+IF(AVANCE[[#This Row],[WC]]=Y$2,100%,AVANCE[[#This Row],[WC]])</f>
        <v>0</v>
      </c>
      <c r="BR423" s="3">
        <f>+IF(AVANCE[[#This Row],[LAVAMANOS / LAVAPLATOS / LAVADERO]]=Z$2,100%,AVANCE[[#This Row],[LAVAMANOS / LAVAPLATOS / LAVADERO]])</f>
        <v>0</v>
      </c>
      <c r="BS423" s="3">
        <f>+IF(AVANCE[[#This Row],[CANALIZACIÓN]]=AC$2,100%,AVANCE[[#This Row],[CANALIZACIÓN]])</f>
        <v>0</v>
      </c>
      <c r="BT423" s="3">
        <f>+IF(AVANCE[[#This Row],[CABLEADO]]=AD$2,100%,AVANCE[[#This Row],[CABLEADO]])</f>
        <v>0</v>
      </c>
      <c r="BU423" s="3">
        <f>+IF(AVANCE[[#This Row],[ARTEFACTOS]]=AE$2,100%,AVANCE[[#This Row],[ARTEFACTOS]])</f>
        <v>0</v>
      </c>
      <c r="BV423" s="3">
        <f>+IF(AVANCE[[#This Row],[TABLERO]]=AF$2,100%,AVANCE[[#This Row],[TABLERO]])</f>
        <v>0</v>
      </c>
      <c r="BW423" s="3">
        <f>+IF(AVANCE[[#This Row],[CAJA PAU]]=AG$2,100%,AVANCE[[#This Row],[CAJA PAU]])</f>
        <v>0</v>
      </c>
      <c r="BX423" s="3">
        <f>+IF(AVANCE[[#This Row],[INSTALACION VINILICO]]=AJ$2,100%,AVANCE[[#This Row],[INSTALACION VINILICO]])</f>
        <v>0</v>
      </c>
      <c r="BY423" s="3">
        <f>+IF(AVANCE[[#This Row],[OSB CUBIERTA]]=AK$2,100%,AVANCE[[#This Row],[OSB CUBIERTA]])</f>
        <v>0</v>
      </c>
      <c r="BZ423" s="3">
        <f>+IF(AVANCE[[#This Row],[BARANDA BALCON]]=AL$2,100%,AVANCE[[#This Row],[BARANDA BALCON]])</f>
        <v>0</v>
      </c>
      <c r="CA423" s="3">
        <f>+IF(AVANCE[[#This Row],[OSB EXTERIOR]]=AM$2,100%,AVANCE[[#This Row],[OSB EXTERIOR]])</f>
        <v>0</v>
      </c>
      <c r="CB423" s="3">
        <f>+IF(AVANCE[[#This Row],[SMART PANEL]]=AN$2,100%,AVANCE[[#This Row],[SMART PANEL]])</f>
        <v>0</v>
      </c>
      <c r="CC423" s="3">
        <f>+IF(AVANCE[[#This Row],[PINTURA EXTERIOR]]=AO$2,100%,AVANCE[[#This Row],[PINTURA EXTERIOR]])</f>
        <v>0</v>
      </c>
      <c r="CD423" s="3">
        <f>+IF(AVANCE[[#This Row],[ZOCALOS LOGIA]]=AP$2,100%,AVANCE[[#This Row],[ZOCALOS LOGIA]])</f>
        <v>0</v>
      </c>
      <c r="CE423" s="3">
        <f>+IF(AVANCE[[#This Row],[MOLDURAS]]=AQ$2,100%,AVANCE[[#This Row],[MOLDURAS]])</f>
        <v>0</v>
      </c>
      <c r="CF423" s="3">
        <f>+IF(AVANCE[[#This Row],[PILASTREO]]=AR$2,100%,AVANCE[[#This Row],[PILASTREO]])</f>
        <v>0</v>
      </c>
      <c r="CG423" s="3">
        <f>+IF(AVANCE[[#This Row],[CELOSIAS]]=AS$2,100%,AVANCE[[#This Row],[CELOSIAS]])</f>
        <v>0</v>
      </c>
      <c r="CH423" s="3">
        <f>+IF(AVANCE[[#This Row],[VENTANAS]]=AT$2,100%,AVANCE[[#This Row],[VENTANAS]])</f>
        <v>0</v>
      </c>
      <c r="CI423" s="3">
        <f>+IF(AVANCE[[#This Row],[PUERTAS ACCESO - LOGIA - BANO]]=AU$2,100%,AVANCE[[#This Row],[PUERTAS ACCESO - LOGIA - BANO]])</f>
        <v>0</v>
      </c>
      <c r="CJ423" s="3">
        <f>+IF(AVANCE[[#This Row],[CERRADURAS]]=AV$2,100%,AVANCE[[#This Row],[CERRADURAS]])</f>
        <v>0</v>
      </c>
      <c r="CK423" s="3">
        <f>+IF(AVANCE[[#This Row],[REVESTIMIENTO INTERIOR ZONA SECA]]=AW$2,100%,AVANCE[[#This Row],[REVESTIMIENTO INTERIOR ZONA SECA]])</f>
        <v>0</v>
      </c>
      <c r="CL423" s="3">
        <f>+IF(AVANCE[[#This Row],[REVESTIMIENTO INTERIOR ZONAS HUMEDAS]]=AX$2,100%,AVANCE[[#This Row],[REVESTIMIENTO INTERIOR ZONAS HUMEDAS]])</f>
        <v>0</v>
      </c>
      <c r="CM423" s="3">
        <f>+IF(AVANCE[[#This Row],[MEMBRANA CIELO]]=AY$2,100%,AVANCE[[#This Row],[MEMBRANA CIELO]])</f>
        <v>0</v>
      </c>
      <c r="CN423" s="3">
        <f>+IF(AVANCE[[#This Row],[LIMPIEZA FINAL]]=AZ$2,100%,AVANCE[[#This Row],[LIMPIEZA FINAL]])</f>
        <v>0</v>
      </c>
      <c r="CO423" s="3">
        <f>+IF(AVANCE[[#This Row],[PUERTAS DORMITORIO]]=BA$2,100%,AVANCE[[#This Row],[PUERTAS DORMITORIO]])</f>
        <v>0</v>
      </c>
      <c r="CP423" s="3">
        <f>+IF(AVANCE[[#This Row],[REVESTIMIENTO INTERIOR BANO]]=BB$2,100%,AVANCE[[#This Row],[REVESTIMIENTO INTERIOR BANO]])</f>
        <v>0</v>
      </c>
      <c r="CQ423" s="3">
        <f>+IF(AVANCE[[#This Row],[MUEBLE LAVAPLATOS]]=BC$2,100%,AVANCE[[#This Row],[MUEBLE LAVAPLATOS]])</f>
        <v>0</v>
      </c>
      <c r="CR423" s="3">
        <f>+IF(AVANCE[[#This Row],[IMPERMEABILIZACION BANO - COCINA LOGIA]]=BD$2,100%,AVANCE[[#This Row],[IMPERMEABILIZACION BANO - COCINA LOGIA]])</f>
        <v>0</v>
      </c>
      <c r="CS423" s="40">
        <f ca="1">+IF(AVANCE[[#This Row],[ESTADO MODULO]]="PENDIENTE",(TODAY()-AVANCE[[#This Row],[FECHA TERMINO  PLANIFICADO]]),0)</f>
        <v>0</v>
      </c>
      <c r="CT423" s="41" t="str" cm="1">
        <f t="array" ref="CT423">_xlfn.TEXTJOIN(" | ",TRUE,IF(SUMPRODUCT((BG423:CR423&lt;1)*(PARTIDAS!$I$2:$AT$2="OBRA GRUESA"))&gt;0,"OBRA GRUESA: "&amp;_xlfn.TEXTJOIN(", ",TRUE,IF((BG423:CR423&lt;1)*(PARTIDAS!$I$2:$AT$2="OBRA GRUESA"),PARTIDAS!$I$1:$AT$1,"")),""),IF(SUMPRODUCT((BG423:CR423&lt;1)*(PARTIDAS!$I$2:$AT$2="SANITARIOS"))&gt;0,"SANITARIOS: "&amp;_xlfn.TEXTJOIN(", ",TRUE,IF((BG423:CR423&lt;1)*(PARTIDAS!$I$2:$AT$2="SANITARIOS"),PARTIDAS!$I$1:$AT$1,"")),""),IF(SUMPRODUCT((BG423:CR423&lt;1)*(PARTIDAS!$I$2:$AT$2="ELÉCTRICO"))&gt;0,"ELÉCTRICO: "&amp;_xlfn.TEXTJOIN(", ",TRUE,IF((BG423:CR423&lt;1)*(PARTIDAS!$I$2:$AT$2="ELÉCTRICO"),PARTIDAS!$I$1:$AT$1,"")),""),IF(SUMPRODUCT((BG423:CR423&lt;1)*(PARTIDAS!$I$2:$AT$2="TERMINACIONES"))&gt;0,"TERMINACIONES: "&amp;_xlfn.TEXTJOIN(", ",TRUE,IF((BG423:CR423&lt;1)*(PARTIDAS!$I$2:$AT$2="TERMINACIONES"),PARTIDAS!$I$1:$AT$1,"")),""))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3" s="43" t="str" cm="1">
        <f t="array" ref="CU423">_xlfn.TEXTJOIN(", ",TRUE,IF(SUMPRODUCT((BG423:CR423&lt;1)*(PARTIDAS!$I$2:$AT$2="OBRA GRUESA"))&gt;0,"OBRA GRUESA",""),IF(SUMPRODUCT((BG423:CR423&lt;1)*(PARTIDAS!$I$2:$AT$2="SANITARIOS"))&gt;0,"SANITARIOS",""),IF(SUMPRODUCT((BG423:CR423&lt;1)*(PARTIDAS!$I$2:$AT$2="ELÉCTRICO"))&gt;0,"ELÉCTRICO",""),IF(SUMPRODUCT((BG423:CR423&lt;1)*(PARTIDAS!$I$2:$AT$2="TERMINACIONES"))&gt;0,"TERMINACIONES",""))</f>
        <v>OBRA GRUESA, SANITARIOS, ELÉCTRICO, TERMINACIONES</v>
      </c>
      <c r="CV423" s="44" cm="1">
        <f t="array" ref="CV423">SUMPRODUCT(--(BG423:CR423&lt;1))</f>
        <v>38</v>
      </c>
    </row>
    <row r="424" spans="1:100" hidden="1" x14ac:dyDescent="0.25">
      <c r="A424" t="s">
        <v>487</v>
      </c>
      <c r="B424" t="s">
        <v>494</v>
      </c>
      <c r="C424">
        <v>2302600423</v>
      </c>
      <c r="D424" t="s">
        <v>60</v>
      </c>
      <c r="E424" s="2">
        <v>0</v>
      </c>
      <c r="F424" s="1">
        <v>46350</v>
      </c>
      <c r="G424" s="1"/>
      <c r="H424" s="1">
        <v>0</v>
      </c>
      <c r="I424" s="1">
        <v>46380</v>
      </c>
      <c r="J424">
        <v>46230</v>
      </c>
      <c r="K424" s="1"/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>
        <v>31.32</v>
      </c>
      <c r="BF424" s="3" t="str">
        <f>+IF(AVANCE[[#This Row],[% AVANCE]]=100%,"MODULO TERMINADO",IF(AVANCE[[#This Row],[FECHA INICIO REAL]]="","MODULO NO INICIADO","PENDIENTE"))</f>
        <v>MODULO NO INICIADO</v>
      </c>
      <c r="BG424" s="3">
        <f>+IF(AVANCE[[#This Row],[VENTANAS]]=8.10810810810811%,100%,AVANCE[[#This Row],[VENTANAS]])</f>
        <v>0</v>
      </c>
      <c r="BH424" s="3">
        <f>+IF(AVANCE[[#This Row],[PISO]]=N$2,100%,AVANCE[[#This Row],[PISO]])</f>
        <v>0</v>
      </c>
      <c r="BI424" s="3">
        <f>+IF(AVANCE[[#This Row],[TABIQUES]]=O$2,100%,AVANCE[[#This Row],[TABIQUES]])</f>
        <v>0</v>
      </c>
      <c r="BJ424" s="3">
        <f>+IF(AVANCE[[#This Row],[MUROS]]=P$2,100%,AVANCE[[#This Row],[MUROS]])</f>
        <v>0</v>
      </c>
      <c r="BK424" s="3">
        <f>+IF(AVANCE[[#This Row],[CIELO]]=Q$2,100%,AVANCE[[#This Row],[CIELO]])</f>
        <v>0</v>
      </c>
      <c r="BL424" s="3">
        <f>+IF(AVANCE[[#This Row],[BALCÓN]]=R$2,100%,AVANCE[[#This Row],[BALCÓN]])</f>
        <v>0</v>
      </c>
      <c r="BM424" s="3">
        <f>+IF(AVANCE[[#This Row],[RED ALCANTARILLADO]]=U$2,100%,AVANCE[[#This Row],[RED ALCANTARILLADO]])</f>
        <v>0</v>
      </c>
      <c r="BN424" s="3">
        <f>+IF(AVANCE[[#This Row],[RED DE AGUA]]=V$2,100%,AVANCE[[#This Row],[RED DE AGUA]])</f>
        <v>0</v>
      </c>
      <c r="BO424" s="3">
        <f>+IF(AVANCE[[#This Row],[VENTILACIONES]]=W$2,100%,AVANCE[[#This Row],[VENTILACIONES]])</f>
        <v>0</v>
      </c>
      <c r="BP424" s="3">
        <f>+IF(AVANCE[[#This Row],[TINA]]=X$2,100%,AVANCE[[#This Row],[TINA]])</f>
        <v>0</v>
      </c>
      <c r="BQ424" s="3">
        <f>+IF(AVANCE[[#This Row],[WC]]=Y$2,100%,AVANCE[[#This Row],[WC]])</f>
        <v>0</v>
      </c>
      <c r="BR424" s="3">
        <f>+IF(AVANCE[[#This Row],[LAVAMANOS / LAVAPLATOS / LAVADERO]]=Z$2,100%,AVANCE[[#This Row],[LAVAMANOS / LAVAPLATOS / LAVADERO]])</f>
        <v>0</v>
      </c>
      <c r="BS424" s="3">
        <f>+IF(AVANCE[[#This Row],[CANALIZACIÓN]]=AC$2,100%,AVANCE[[#This Row],[CANALIZACIÓN]])</f>
        <v>0</v>
      </c>
      <c r="BT424" s="3">
        <f>+IF(AVANCE[[#This Row],[CABLEADO]]=AD$2,100%,AVANCE[[#This Row],[CABLEADO]])</f>
        <v>0</v>
      </c>
      <c r="BU424" s="3">
        <f>+IF(AVANCE[[#This Row],[ARTEFACTOS]]=AE$2,100%,AVANCE[[#This Row],[ARTEFACTOS]])</f>
        <v>0</v>
      </c>
      <c r="BV424" s="3">
        <f>+IF(AVANCE[[#This Row],[TABLERO]]=AF$2,100%,AVANCE[[#This Row],[TABLERO]])</f>
        <v>0</v>
      </c>
      <c r="BW424" s="3">
        <f>+IF(AVANCE[[#This Row],[CAJA PAU]]=AG$2,100%,AVANCE[[#This Row],[CAJA PAU]])</f>
        <v>0</v>
      </c>
      <c r="BX424" s="3">
        <f>+IF(AVANCE[[#This Row],[INSTALACION VINILICO]]=AJ$2,100%,AVANCE[[#This Row],[INSTALACION VINILICO]])</f>
        <v>0</v>
      </c>
      <c r="BY424" s="3">
        <f>+IF(AVANCE[[#This Row],[OSB CUBIERTA]]=AK$2,100%,AVANCE[[#This Row],[OSB CUBIERTA]])</f>
        <v>0</v>
      </c>
      <c r="BZ424" s="3">
        <f>+IF(AVANCE[[#This Row],[BARANDA BALCON]]=AL$2,100%,AVANCE[[#This Row],[BARANDA BALCON]])</f>
        <v>0</v>
      </c>
      <c r="CA424" s="3">
        <f>+IF(AVANCE[[#This Row],[OSB EXTERIOR]]=AM$2,100%,AVANCE[[#This Row],[OSB EXTERIOR]])</f>
        <v>0</v>
      </c>
      <c r="CB424" s="3">
        <f>+IF(AVANCE[[#This Row],[SMART PANEL]]=AN$2,100%,AVANCE[[#This Row],[SMART PANEL]])</f>
        <v>0</v>
      </c>
      <c r="CC424" s="3">
        <f>+IF(AVANCE[[#This Row],[PINTURA EXTERIOR]]=AO$2,100%,AVANCE[[#This Row],[PINTURA EXTERIOR]])</f>
        <v>0</v>
      </c>
      <c r="CD424" s="3">
        <f>+IF(AVANCE[[#This Row],[ZOCALOS LOGIA]]=AP$2,100%,AVANCE[[#This Row],[ZOCALOS LOGIA]])</f>
        <v>0</v>
      </c>
      <c r="CE424" s="3">
        <f>+IF(AVANCE[[#This Row],[MOLDURAS]]=AQ$2,100%,AVANCE[[#This Row],[MOLDURAS]])</f>
        <v>0</v>
      </c>
      <c r="CF424" s="3">
        <f>+IF(AVANCE[[#This Row],[PILASTREO]]=AR$2,100%,AVANCE[[#This Row],[PILASTREO]])</f>
        <v>0</v>
      </c>
      <c r="CG424" s="3">
        <f>+IF(AVANCE[[#This Row],[CELOSIAS]]=AS$2,100%,AVANCE[[#This Row],[CELOSIAS]])</f>
        <v>0</v>
      </c>
      <c r="CH424" s="3">
        <f>+IF(AVANCE[[#This Row],[VENTANAS]]=AT$2,100%,AVANCE[[#This Row],[VENTANAS]])</f>
        <v>0</v>
      </c>
      <c r="CI424" s="3">
        <f>+IF(AVANCE[[#This Row],[PUERTAS ACCESO - LOGIA - BANO]]=AU$2,100%,AVANCE[[#This Row],[PUERTAS ACCESO - LOGIA - BANO]])</f>
        <v>0</v>
      </c>
      <c r="CJ424" s="3">
        <f>+IF(AVANCE[[#This Row],[CERRADURAS]]=AV$2,100%,AVANCE[[#This Row],[CERRADURAS]])</f>
        <v>0</v>
      </c>
      <c r="CK424" s="3">
        <f>+IF(AVANCE[[#This Row],[REVESTIMIENTO INTERIOR ZONA SECA]]=AW$2,100%,AVANCE[[#This Row],[REVESTIMIENTO INTERIOR ZONA SECA]])</f>
        <v>0</v>
      </c>
      <c r="CL424" s="3">
        <f>+IF(AVANCE[[#This Row],[REVESTIMIENTO INTERIOR ZONAS HUMEDAS]]=AX$2,100%,AVANCE[[#This Row],[REVESTIMIENTO INTERIOR ZONAS HUMEDAS]])</f>
        <v>0</v>
      </c>
      <c r="CM424" s="3">
        <f>+IF(AVANCE[[#This Row],[MEMBRANA CIELO]]=AY$2,100%,AVANCE[[#This Row],[MEMBRANA CIELO]])</f>
        <v>0</v>
      </c>
      <c r="CN424" s="3">
        <f>+IF(AVANCE[[#This Row],[LIMPIEZA FINAL]]=AZ$2,100%,AVANCE[[#This Row],[LIMPIEZA FINAL]])</f>
        <v>0</v>
      </c>
      <c r="CO424" s="3">
        <f>+IF(AVANCE[[#This Row],[PUERTAS DORMITORIO]]=BA$2,100%,AVANCE[[#This Row],[PUERTAS DORMITORIO]])</f>
        <v>0</v>
      </c>
      <c r="CP424" s="3">
        <f>+IF(AVANCE[[#This Row],[REVESTIMIENTO INTERIOR BANO]]=BB$2,100%,AVANCE[[#This Row],[REVESTIMIENTO INTERIOR BANO]])</f>
        <v>0</v>
      </c>
      <c r="CQ424" s="3">
        <f>+IF(AVANCE[[#This Row],[MUEBLE LAVAPLATOS]]=BC$2,100%,AVANCE[[#This Row],[MUEBLE LAVAPLATOS]])</f>
        <v>0</v>
      </c>
      <c r="CR424" s="3">
        <f>+IF(AVANCE[[#This Row],[IMPERMEABILIZACION BANO - COCINA LOGIA]]=BD$2,100%,AVANCE[[#This Row],[IMPERMEABILIZACION BANO - COCINA LOGIA]])</f>
        <v>0</v>
      </c>
      <c r="CS424" s="40">
        <f ca="1">+IF(AVANCE[[#This Row],[ESTADO MODULO]]="PENDIENTE",(TODAY()-AVANCE[[#This Row],[FECHA TERMINO  PLANIFICADO]]),0)</f>
        <v>0</v>
      </c>
      <c r="CT424" s="41" t="str" cm="1">
        <f t="array" ref="CT424">_xlfn.TEXTJOIN(" | ",TRUE,IF(SUMPRODUCT((BG424:CR424&lt;1)*(PARTIDAS!$I$2:$AT$2="OBRA GRUESA"))&gt;0,"OBRA GRUESA: "&amp;_xlfn.TEXTJOIN(", ",TRUE,IF((BG424:CR424&lt;1)*(PARTIDAS!$I$2:$AT$2="OBRA GRUESA"),PARTIDAS!$I$1:$AT$1,"")),""),IF(SUMPRODUCT((BG424:CR424&lt;1)*(PARTIDAS!$I$2:$AT$2="SANITARIOS"))&gt;0,"SANITARIOS: "&amp;_xlfn.TEXTJOIN(", ",TRUE,IF((BG424:CR424&lt;1)*(PARTIDAS!$I$2:$AT$2="SANITARIOS"),PARTIDAS!$I$1:$AT$1,"")),""),IF(SUMPRODUCT((BG424:CR424&lt;1)*(PARTIDAS!$I$2:$AT$2="ELÉCTRICO"))&gt;0,"ELÉCTRICO: "&amp;_xlfn.TEXTJOIN(", ",TRUE,IF((BG424:CR424&lt;1)*(PARTIDAS!$I$2:$AT$2="ELÉCTRICO"),PARTIDAS!$I$1:$AT$1,"")),""),IF(SUMPRODUCT((BG424:CR424&lt;1)*(PARTIDAS!$I$2:$AT$2="TERMINACIONES"))&gt;0,"TERMINACIONES: "&amp;_xlfn.TEXTJOIN(", ",TRUE,IF((BG424:CR424&lt;1)*(PARTIDAS!$I$2:$AT$2="TERMINACIONES"),PARTIDAS!$I$1:$AT$1,"")),""))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4" s="43" t="str" cm="1">
        <f t="array" ref="CU424">_xlfn.TEXTJOIN(", ",TRUE,IF(SUMPRODUCT((BG424:CR424&lt;1)*(PARTIDAS!$I$2:$AT$2="OBRA GRUESA"))&gt;0,"OBRA GRUESA",""),IF(SUMPRODUCT((BG424:CR424&lt;1)*(PARTIDAS!$I$2:$AT$2="SANITARIOS"))&gt;0,"SANITARIOS",""),IF(SUMPRODUCT((BG424:CR424&lt;1)*(PARTIDAS!$I$2:$AT$2="ELÉCTRICO"))&gt;0,"ELÉCTRICO",""),IF(SUMPRODUCT((BG424:CR424&lt;1)*(PARTIDAS!$I$2:$AT$2="TERMINACIONES"))&gt;0,"TERMINACIONES",""))</f>
        <v>OBRA GRUESA, SANITARIOS, ELÉCTRICO, TERMINACIONES</v>
      </c>
      <c r="CV424" s="44" cm="1">
        <f t="array" ref="CV424">SUMPRODUCT(--(BG424:CR424&lt;1))</f>
        <v>38</v>
      </c>
    </row>
    <row r="425" spans="1:100" hidden="1" x14ac:dyDescent="0.25">
      <c r="A425" t="s">
        <v>487</v>
      </c>
      <c r="B425" t="s">
        <v>495</v>
      </c>
      <c r="C425">
        <v>2282600424</v>
      </c>
      <c r="D425" t="s">
        <v>58</v>
      </c>
      <c r="E425" s="2">
        <v>0</v>
      </c>
      <c r="F425" s="1">
        <v>46350</v>
      </c>
      <c r="G425" s="1"/>
      <c r="H425" s="1">
        <v>0</v>
      </c>
      <c r="I425" s="1">
        <v>46370</v>
      </c>
      <c r="J425">
        <v>46230</v>
      </c>
      <c r="K425" s="1"/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>
        <v>28.87</v>
      </c>
      <c r="BF425" s="3" t="str">
        <f>+IF(AVANCE[[#This Row],[% AVANCE]]=100%,"MODULO TERMINADO",IF(AVANCE[[#This Row],[FECHA INICIO REAL]]="","MODULO NO INICIADO","PENDIENTE"))</f>
        <v>MODULO NO INICIADO</v>
      </c>
      <c r="BG425" s="3">
        <f>+IF(AVANCE[[#This Row],[VENTANAS]]=8.10810810810811%,100%,AVANCE[[#This Row],[VENTANAS]])</f>
        <v>0</v>
      </c>
      <c r="BH425" s="3">
        <f>+IF(AVANCE[[#This Row],[PISO]]=N$2,100%,AVANCE[[#This Row],[PISO]])</f>
        <v>0</v>
      </c>
      <c r="BI425" s="3">
        <f>+IF(AVANCE[[#This Row],[TABIQUES]]=O$2,100%,AVANCE[[#This Row],[TABIQUES]])</f>
        <v>0</v>
      </c>
      <c r="BJ425" s="3">
        <f>+IF(AVANCE[[#This Row],[MUROS]]=P$2,100%,AVANCE[[#This Row],[MUROS]])</f>
        <v>0</v>
      </c>
      <c r="BK425" s="3">
        <f>+IF(AVANCE[[#This Row],[CIELO]]=Q$2,100%,AVANCE[[#This Row],[CIELO]])</f>
        <v>0</v>
      </c>
      <c r="BL425" s="3">
        <f>+IF(AVANCE[[#This Row],[BALCÓN]]=R$2,100%,AVANCE[[#This Row],[BALCÓN]])</f>
        <v>0</v>
      </c>
      <c r="BM425" s="3">
        <f>+IF(AVANCE[[#This Row],[RED ALCANTARILLADO]]=U$2,100%,AVANCE[[#This Row],[RED ALCANTARILLADO]])</f>
        <v>0</v>
      </c>
      <c r="BN425" s="3">
        <f>+IF(AVANCE[[#This Row],[RED DE AGUA]]=V$2,100%,AVANCE[[#This Row],[RED DE AGUA]])</f>
        <v>0</v>
      </c>
      <c r="BO425" s="3">
        <f>+IF(AVANCE[[#This Row],[VENTILACIONES]]=W$2,100%,AVANCE[[#This Row],[VENTILACIONES]])</f>
        <v>0</v>
      </c>
      <c r="BP425" s="3">
        <f>+IF(AVANCE[[#This Row],[TINA]]=X$2,100%,AVANCE[[#This Row],[TINA]])</f>
        <v>0</v>
      </c>
      <c r="BQ425" s="3">
        <f>+IF(AVANCE[[#This Row],[WC]]=Y$2,100%,AVANCE[[#This Row],[WC]])</f>
        <v>0</v>
      </c>
      <c r="BR425" s="3">
        <f>+IF(AVANCE[[#This Row],[LAVAMANOS / LAVAPLATOS / LAVADERO]]=Z$2,100%,AVANCE[[#This Row],[LAVAMANOS / LAVAPLATOS / LAVADERO]])</f>
        <v>0</v>
      </c>
      <c r="BS425" s="3">
        <f>+IF(AVANCE[[#This Row],[CANALIZACIÓN]]=AC$2,100%,AVANCE[[#This Row],[CANALIZACIÓN]])</f>
        <v>0</v>
      </c>
      <c r="BT425" s="3">
        <f>+IF(AVANCE[[#This Row],[CABLEADO]]=AD$2,100%,AVANCE[[#This Row],[CABLEADO]])</f>
        <v>0</v>
      </c>
      <c r="BU425" s="3">
        <f>+IF(AVANCE[[#This Row],[ARTEFACTOS]]=AE$2,100%,AVANCE[[#This Row],[ARTEFACTOS]])</f>
        <v>0</v>
      </c>
      <c r="BV425" s="3">
        <f>+IF(AVANCE[[#This Row],[TABLERO]]=AF$2,100%,AVANCE[[#This Row],[TABLERO]])</f>
        <v>0</v>
      </c>
      <c r="BW425" s="3">
        <f>+IF(AVANCE[[#This Row],[CAJA PAU]]=AG$2,100%,AVANCE[[#This Row],[CAJA PAU]])</f>
        <v>0</v>
      </c>
      <c r="BX425" s="3">
        <f>+IF(AVANCE[[#This Row],[INSTALACION VINILICO]]=AJ$2,100%,AVANCE[[#This Row],[INSTALACION VINILICO]])</f>
        <v>0</v>
      </c>
      <c r="BY425" s="3">
        <f>+IF(AVANCE[[#This Row],[OSB CUBIERTA]]=AK$2,100%,AVANCE[[#This Row],[OSB CUBIERTA]])</f>
        <v>0</v>
      </c>
      <c r="BZ425" s="3">
        <f>+IF(AVANCE[[#This Row],[BARANDA BALCON]]=AL$2,100%,AVANCE[[#This Row],[BARANDA BALCON]])</f>
        <v>0</v>
      </c>
      <c r="CA425" s="3">
        <f>+IF(AVANCE[[#This Row],[OSB EXTERIOR]]=AM$2,100%,AVANCE[[#This Row],[OSB EXTERIOR]])</f>
        <v>0</v>
      </c>
      <c r="CB425" s="3">
        <f>+IF(AVANCE[[#This Row],[SMART PANEL]]=AN$2,100%,AVANCE[[#This Row],[SMART PANEL]])</f>
        <v>0</v>
      </c>
      <c r="CC425" s="3">
        <f>+IF(AVANCE[[#This Row],[PINTURA EXTERIOR]]=AO$2,100%,AVANCE[[#This Row],[PINTURA EXTERIOR]])</f>
        <v>0</v>
      </c>
      <c r="CD425" s="3">
        <f>+IF(AVANCE[[#This Row],[ZOCALOS LOGIA]]=AP$2,100%,AVANCE[[#This Row],[ZOCALOS LOGIA]])</f>
        <v>0</v>
      </c>
      <c r="CE425" s="3">
        <f>+IF(AVANCE[[#This Row],[MOLDURAS]]=AQ$2,100%,AVANCE[[#This Row],[MOLDURAS]])</f>
        <v>0</v>
      </c>
      <c r="CF425" s="3">
        <f>+IF(AVANCE[[#This Row],[PILASTREO]]=AR$2,100%,AVANCE[[#This Row],[PILASTREO]])</f>
        <v>0</v>
      </c>
      <c r="CG425" s="3">
        <f>+IF(AVANCE[[#This Row],[CELOSIAS]]=AS$2,100%,AVANCE[[#This Row],[CELOSIAS]])</f>
        <v>0</v>
      </c>
      <c r="CH425" s="3">
        <f>+IF(AVANCE[[#This Row],[VENTANAS]]=AT$2,100%,AVANCE[[#This Row],[VENTANAS]])</f>
        <v>0</v>
      </c>
      <c r="CI425" s="3">
        <f>+IF(AVANCE[[#This Row],[PUERTAS ACCESO - LOGIA - BANO]]=AU$2,100%,AVANCE[[#This Row],[PUERTAS ACCESO - LOGIA - BANO]])</f>
        <v>0</v>
      </c>
      <c r="CJ425" s="3">
        <f>+IF(AVANCE[[#This Row],[CERRADURAS]]=AV$2,100%,AVANCE[[#This Row],[CERRADURAS]])</f>
        <v>0</v>
      </c>
      <c r="CK425" s="3">
        <f>+IF(AVANCE[[#This Row],[REVESTIMIENTO INTERIOR ZONA SECA]]=AW$2,100%,AVANCE[[#This Row],[REVESTIMIENTO INTERIOR ZONA SECA]])</f>
        <v>0</v>
      </c>
      <c r="CL425" s="3">
        <f>+IF(AVANCE[[#This Row],[REVESTIMIENTO INTERIOR ZONAS HUMEDAS]]=AX$2,100%,AVANCE[[#This Row],[REVESTIMIENTO INTERIOR ZONAS HUMEDAS]])</f>
        <v>0</v>
      </c>
      <c r="CM425" s="3">
        <f>+IF(AVANCE[[#This Row],[MEMBRANA CIELO]]=AY$2,100%,AVANCE[[#This Row],[MEMBRANA CIELO]])</f>
        <v>0</v>
      </c>
      <c r="CN425" s="3">
        <f>+IF(AVANCE[[#This Row],[LIMPIEZA FINAL]]=AZ$2,100%,AVANCE[[#This Row],[LIMPIEZA FINAL]])</f>
        <v>0</v>
      </c>
      <c r="CO425" s="3">
        <f>+IF(AVANCE[[#This Row],[PUERTAS DORMITORIO]]=BA$2,100%,AVANCE[[#This Row],[PUERTAS DORMITORIO]])</f>
        <v>0</v>
      </c>
      <c r="CP425" s="3">
        <f>+IF(AVANCE[[#This Row],[REVESTIMIENTO INTERIOR BANO]]=BB$2,100%,AVANCE[[#This Row],[REVESTIMIENTO INTERIOR BANO]])</f>
        <v>0</v>
      </c>
      <c r="CQ425" s="3">
        <f>+IF(AVANCE[[#This Row],[MUEBLE LAVAPLATOS]]=BC$2,100%,AVANCE[[#This Row],[MUEBLE LAVAPLATOS]])</f>
        <v>0</v>
      </c>
      <c r="CR425" s="3">
        <f>+IF(AVANCE[[#This Row],[IMPERMEABILIZACION BANO - COCINA LOGIA]]=BD$2,100%,AVANCE[[#This Row],[IMPERMEABILIZACION BANO - COCINA LOGIA]])</f>
        <v>0</v>
      </c>
      <c r="CS425" s="40">
        <f ca="1">+IF(AVANCE[[#This Row],[ESTADO MODULO]]="PENDIENTE",(TODAY()-AVANCE[[#This Row],[FECHA TERMINO  PLANIFICADO]]),0)</f>
        <v>0</v>
      </c>
      <c r="CT425" s="41" t="str" cm="1">
        <f t="array" ref="CT425">_xlfn.TEXTJOIN(" | ",TRUE,IF(SUMPRODUCT((BG425:CR425&lt;1)*(PARTIDAS!$I$2:$AT$2="OBRA GRUESA"))&gt;0,"OBRA GRUESA: "&amp;_xlfn.TEXTJOIN(", ",TRUE,IF((BG425:CR425&lt;1)*(PARTIDAS!$I$2:$AT$2="OBRA GRUESA"),PARTIDAS!$I$1:$AT$1,"")),""),IF(SUMPRODUCT((BG425:CR425&lt;1)*(PARTIDAS!$I$2:$AT$2="SANITARIOS"))&gt;0,"SANITARIOS: "&amp;_xlfn.TEXTJOIN(", ",TRUE,IF((BG425:CR425&lt;1)*(PARTIDAS!$I$2:$AT$2="SANITARIOS"),PARTIDAS!$I$1:$AT$1,"")),""),IF(SUMPRODUCT((BG425:CR425&lt;1)*(PARTIDAS!$I$2:$AT$2="ELÉCTRICO"))&gt;0,"ELÉCTRICO: "&amp;_xlfn.TEXTJOIN(", ",TRUE,IF((BG425:CR425&lt;1)*(PARTIDAS!$I$2:$AT$2="ELÉCTRICO"),PARTIDAS!$I$1:$AT$1,"")),""),IF(SUMPRODUCT((BG425:CR425&lt;1)*(PARTIDAS!$I$2:$AT$2="TERMINACIONES"))&gt;0,"TERMINACIONES: "&amp;_xlfn.TEXTJOIN(", ",TRUE,IF((BG425:CR425&lt;1)*(PARTIDAS!$I$2:$AT$2="TERMINACIONES"),PARTIDAS!$I$1:$AT$1,"")),""))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5" s="43" t="str" cm="1">
        <f t="array" ref="CU425">_xlfn.TEXTJOIN(", ",TRUE,IF(SUMPRODUCT((BG425:CR425&lt;1)*(PARTIDAS!$I$2:$AT$2="OBRA GRUESA"))&gt;0,"OBRA GRUESA",""),IF(SUMPRODUCT((BG425:CR425&lt;1)*(PARTIDAS!$I$2:$AT$2="SANITARIOS"))&gt;0,"SANITARIOS",""),IF(SUMPRODUCT((BG425:CR425&lt;1)*(PARTIDAS!$I$2:$AT$2="ELÉCTRICO"))&gt;0,"ELÉCTRICO",""),IF(SUMPRODUCT((BG425:CR425&lt;1)*(PARTIDAS!$I$2:$AT$2="TERMINACIONES"))&gt;0,"TERMINACIONES",""))</f>
        <v>OBRA GRUESA, SANITARIOS, ELÉCTRICO, TERMINACIONES</v>
      </c>
      <c r="CV425" s="44" cm="1">
        <f t="array" ref="CV425">SUMPRODUCT(--(BG425:CR425&lt;1))</f>
        <v>38</v>
      </c>
    </row>
    <row r="426" spans="1:100" hidden="1" x14ac:dyDescent="0.25">
      <c r="A426" t="s">
        <v>487</v>
      </c>
      <c r="B426" t="s">
        <v>496</v>
      </c>
      <c r="C426">
        <v>2282600425</v>
      </c>
      <c r="D426" t="s">
        <v>58</v>
      </c>
      <c r="E426" s="2">
        <v>0</v>
      </c>
      <c r="F426" s="1">
        <v>46351</v>
      </c>
      <c r="G426" s="1"/>
      <c r="H426" s="1">
        <v>0</v>
      </c>
      <c r="I426" s="1">
        <v>46371</v>
      </c>
      <c r="J426">
        <v>46230</v>
      </c>
      <c r="K426" s="1"/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>
        <v>28.87</v>
      </c>
      <c r="BF426" s="3" t="str">
        <f>+IF(AVANCE[[#This Row],[% AVANCE]]=100%,"MODULO TERMINADO",IF(AVANCE[[#This Row],[FECHA INICIO REAL]]="","MODULO NO INICIADO","PENDIENTE"))</f>
        <v>MODULO NO INICIADO</v>
      </c>
      <c r="BG426" s="3">
        <f>+IF(AVANCE[[#This Row],[VENTANAS]]=8.10810810810811%,100%,AVANCE[[#This Row],[VENTANAS]])</f>
        <v>0</v>
      </c>
      <c r="BH426" s="3">
        <f>+IF(AVANCE[[#This Row],[PISO]]=N$2,100%,AVANCE[[#This Row],[PISO]])</f>
        <v>0</v>
      </c>
      <c r="BI426" s="3">
        <f>+IF(AVANCE[[#This Row],[TABIQUES]]=O$2,100%,AVANCE[[#This Row],[TABIQUES]])</f>
        <v>0</v>
      </c>
      <c r="BJ426" s="3">
        <f>+IF(AVANCE[[#This Row],[MUROS]]=P$2,100%,AVANCE[[#This Row],[MUROS]])</f>
        <v>0</v>
      </c>
      <c r="BK426" s="3">
        <f>+IF(AVANCE[[#This Row],[CIELO]]=Q$2,100%,AVANCE[[#This Row],[CIELO]])</f>
        <v>0</v>
      </c>
      <c r="BL426" s="3">
        <f>+IF(AVANCE[[#This Row],[BALCÓN]]=R$2,100%,AVANCE[[#This Row],[BALCÓN]])</f>
        <v>0</v>
      </c>
      <c r="BM426" s="3">
        <f>+IF(AVANCE[[#This Row],[RED ALCANTARILLADO]]=U$2,100%,AVANCE[[#This Row],[RED ALCANTARILLADO]])</f>
        <v>0</v>
      </c>
      <c r="BN426" s="3">
        <f>+IF(AVANCE[[#This Row],[RED DE AGUA]]=V$2,100%,AVANCE[[#This Row],[RED DE AGUA]])</f>
        <v>0</v>
      </c>
      <c r="BO426" s="3">
        <f>+IF(AVANCE[[#This Row],[VENTILACIONES]]=W$2,100%,AVANCE[[#This Row],[VENTILACIONES]])</f>
        <v>0</v>
      </c>
      <c r="BP426" s="3">
        <f>+IF(AVANCE[[#This Row],[TINA]]=X$2,100%,AVANCE[[#This Row],[TINA]])</f>
        <v>0</v>
      </c>
      <c r="BQ426" s="3">
        <f>+IF(AVANCE[[#This Row],[WC]]=Y$2,100%,AVANCE[[#This Row],[WC]])</f>
        <v>0</v>
      </c>
      <c r="BR426" s="3">
        <f>+IF(AVANCE[[#This Row],[LAVAMANOS / LAVAPLATOS / LAVADERO]]=Z$2,100%,AVANCE[[#This Row],[LAVAMANOS / LAVAPLATOS / LAVADERO]])</f>
        <v>0</v>
      </c>
      <c r="BS426" s="3">
        <f>+IF(AVANCE[[#This Row],[CANALIZACIÓN]]=AC$2,100%,AVANCE[[#This Row],[CANALIZACIÓN]])</f>
        <v>0</v>
      </c>
      <c r="BT426" s="3">
        <f>+IF(AVANCE[[#This Row],[CABLEADO]]=AD$2,100%,AVANCE[[#This Row],[CABLEADO]])</f>
        <v>0</v>
      </c>
      <c r="BU426" s="3">
        <f>+IF(AVANCE[[#This Row],[ARTEFACTOS]]=AE$2,100%,AVANCE[[#This Row],[ARTEFACTOS]])</f>
        <v>0</v>
      </c>
      <c r="BV426" s="3">
        <f>+IF(AVANCE[[#This Row],[TABLERO]]=AF$2,100%,AVANCE[[#This Row],[TABLERO]])</f>
        <v>0</v>
      </c>
      <c r="BW426" s="3">
        <f>+IF(AVANCE[[#This Row],[CAJA PAU]]=AG$2,100%,AVANCE[[#This Row],[CAJA PAU]])</f>
        <v>0</v>
      </c>
      <c r="BX426" s="3">
        <f>+IF(AVANCE[[#This Row],[INSTALACION VINILICO]]=AJ$2,100%,AVANCE[[#This Row],[INSTALACION VINILICO]])</f>
        <v>0</v>
      </c>
      <c r="BY426" s="3">
        <f>+IF(AVANCE[[#This Row],[OSB CUBIERTA]]=AK$2,100%,AVANCE[[#This Row],[OSB CUBIERTA]])</f>
        <v>0</v>
      </c>
      <c r="BZ426" s="3">
        <f>+IF(AVANCE[[#This Row],[BARANDA BALCON]]=AL$2,100%,AVANCE[[#This Row],[BARANDA BALCON]])</f>
        <v>0</v>
      </c>
      <c r="CA426" s="3">
        <f>+IF(AVANCE[[#This Row],[OSB EXTERIOR]]=AM$2,100%,AVANCE[[#This Row],[OSB EXTERIOR]])</f>
        <v>0</v>
      </c>
      <c r="CB426" s="3">
        <f>+IF(AVANCE[[#This Row],[SMART PANEL]]=AN$2,100%,AVANCE[[#This Row],[SMART PANEL]])</f>
        <v>0</v>
      </c>
      <c r="CC426" s="3">
        <f>+IF(AVANCE[[#This Row],[PINTURA EXTERIOR]]=AO$2,100%,AVANCE[[#This Row],[PINTURA EXTERIOR]])</f>
        <v>0</v>
      </c>
      <c r="CD426" s="3">
        <f>+IF(AVANCE[[#This Row],[ZOCALOS LOGIA]]=AP$2,100%,AVANCE[[#This Row],[ZOCALOS LOGIA]])</f>
        <v>0</v>
      </c>
      <c r="CE426" s="3">
        <f>+IF(AVANCE[[#This Row],[MOLDURAS]]=AQ$2,100%,AVANCE[[#This Row],[MOLDURAS]])</f>
        <v>0</v>
      </c>
      <c r="CF426" s="3">
        <f>+IF(AVANCE[[#This Row],[PILASTREO]]=AR$2,100%,AVANCE[[#This Row],[PILASTREO]])</f>
        <v>0</v>
      </c>
      <c r="CG426" s="3">
        <f>+IF(AVANCE[[#This Row],[CELOSIAS]]=AS$2,100%,AVANCE[[#This Row],[CELOSIAS]])</f>
        <v>0</v>
      </c>
      <c r="CH426" s="3">
        <f>+IF(AVANCE[[#This Row],[VENTANAS]]=AT$2,100%,AVANCE[[#This Row],[VENTANAS]])</f>
        <v>0</v>
      </c>
      <c r="CI426" s="3">
        <f>+IF(AVANCE[[#This Row],[PUERTAS ACCESO - LOGIA - BANO]]=AU$2,100%,AVANCE[[#This Row],[PUERTAS ACCESO - LOGIA - BANO]])</f>
        <v>0</v>
      </c>
      <c r="CJ426" s="3">
        <f>+IF(AVANCE[[#This Row],[CERRADURAS]]=AV$2,100%,AVANCE[[#This Row],[CERRADURAS]])</f>
        <v>0</v>
      </c>
      <c r="CK426" s="3">
        <f>+IF(AVANCE[[#This Row],[REVESTIMIENTO INTERIOR ZONA SECA]]=AW$2,100%,AVANCE[[#This Row],[REVESTIMIENTO INTERIOR ZONA SECA]])</f>
        <v>0</v>
      </c>
      <c r="CL426" s="3">
        <f>+IF(AVANCE[[#This Row],[REVESTIMIENTO INTERIOR ZONAS HUMEDAS]]=AX$2,100%,AVANCE[[#This Row],[REVESTIMIENTO INTERIOR ZONAS HUMEDAS]])</f>
        <v>0</v>
      </c>
      <c r="CM426" s="3">
        <f>+IF(AVANCE[[#This Row],[MEMBRANA CIELO]]=AY$2,100%,AVANCE[[#This Row],[MEMBRANA CIELO]])</f>
        <v>0</v>
      </c>
      <c r="CN426" s="3">
        <f>+IF(AVANCE[[#This Row],[LIMPIEZA FINAL]]=AZ$2,100%,AVANCE[[#This Row],[LIMPIEZA FINAL]])</f>
        <v>0</v>
      </c>
      <c r="CO426" s="3">
        <f>+IF(AVANCE[[#This Row],[PUERTAS DORMITORIO]]=BA$2,100%,AVANCE[[#This Row],[PUERTAS DORMITORIO]])</f>
        <v>0</v>
      </c>
      <c r="CP426" s="3">
        <f>+IF(AVANCE[[#This Row],[REVESTIMIENTO INTERIOR BANO]]=BB$2,100%,AVANCE[[#This Row],[REVESTIMIENTO INTERIOR BANO]])</f>
        <v>0</v>
      </c>
      <c r="CQ426" s="3">
        <f>+IF(AVANCE[[#This Row],[MUEBLE LAVAPLATOS]]=BC$2,100%,AVANCE[[#This Row],[MUEBLE LAVAPLATOS]])</f>
        <v>0</v>
      </c>
      <c r="CR426" s="3">
        <f>+IF(AVANCE[[#This Row],[IMPERMEABILIZACION BANO - COCINA LOGIA]]=BD$2,100%,AVANCE[[#This Row],[IMPERMEABILIZACION BANO - COCINA LOGIA]])</f>
        <v>0</v>
      </c>
      <c r="CS426" s="40">
        <f ca="1">+IF(AVANCE[[#This Row],[ESTADO MODULO]]="PENDIENTE",(TODAY()-AVANCE[[#This Row],[FECHA TERMINO  PLANIFICADO]]),0)</f>
        <v>0</v>
      </c>
      <c r="CT426" s="41" t="str" cm="1">
        <f t="array" ref="CT426">_xlfn.TEXTJOIN(" | ",TRUE,IF(SUMPRODUCT((BG426:CR426&lt;1)*(PARTIDAS!$I$2:$AT$2="OBRA GRUESA"))&gt;0,"OBRA GRUESA: "&amp;_xlfn.TEXTJOIN(", ",TRUE,IF((BG426:CR426&lt;1)*(PARTIDAS!$I$2:$AT$2="OBRA GRUESA"),PARTIDAS!$I$1:$AT$1,"")),""),IF(SUMPRODUCT((BG426:CR426&lt;1)*(PARTIDAS!$I$2:$AT$2="SANITARIOS"))&gt;0,"SANITARIOS: "&amp;_xlfn.TEXTJOIN(", ",TRUE,IF((BG426:CR426&lt;1)*(PARTIDAS!$I$2:$AT$2="SANITARIOS"),PARTIDAS!$I$1:$AT$1,"")),""),IF(SUMPRODUCT((BG426:CR426&lt;1)*(PARTIDAS!$I$2:$AT$2="ELÉCTRICO"))&gt;0,"ELÉCTRICO: "&amp;_xlfn.TEXTJOIN(", ",TRUE,IF((BG426:CR426&lt;1)*(PARTIDAS!$I$2:$AT$2="ELÉCTRICO"),PARTIDAS!$I$1:$AT$1,"")),""),IF(SUMPRODUCT((BG426:CR426&lt;1)*(PARTIDAS!$I$2:$AT$2="TERMINACIONES"))&gt;0,"TERMINACIONES: "&amp;_xlfn.TEXTJOIN(", ",TRUE,IF((BG426:CR426&lt;1)*(PARTIDAS!$I$2:$AT$2="TERMINACIONES"),PARTIDAS!$I$1:$AT$1,"")),""))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6" s="43" t="str" cm="1">
        <f t="array" ref="CU426">_xlfn.TEXTJOIN(", ",TRUE,IF(SUMPRODUCT((BG426:CR426&lt;1)*(PARTIDAS!$I$2:$AT$2="OBRA GRUESA"))&gt;0,"OBRA GRUESA",""),IF(SUMPRODUCT((BG426:CR426&lt;1)*(PARTIDAS!$I$2:$AT$2="SANITARIOS"))&gt;0,"SANITARIOS",""),IF(SUMPRODUCT((BG426:CR426&lt;1)*(PARTIDAS!$I$2:$AT$2="ELÉCTRICO"))&gt;0,"ELÉCTRICO",""),IF(SUMPRODUCT((BG426:CR426&lt;1)*(PARTIDAS!$I$2:$AT$2="TERMINACIONES"))&gt;0,"TERMINACIONES",""))</f>
        <v>OBRA GRUESA, SANITARIOS, ELÉCTRICO, TERMINACIONES</v>
      </c>
      <c r="CV426" s="44" cm="1">
        <f t="array" ref="CV426">SUMPRODUCT(--(BG426:CR426&lt;1))</f>
        <v>38</v>
      </c>
    </row>
    <row r="427" spans="1:100" hidden="1" x14ac:dyDescent="0.25">
      <c r="A427" t="s">
        <v>487</v>
      </c>
      <c r="B427" t="s">
        <v>497</v>
      </c>
      <c r="C427">
        <v>2302600426</v>
      </c>
      <c r="D427" t="s">
        <v>60</v>
      </c>
      <c r="E427" s="2">
        <v>0</v>
      </c>
      <c r="F427" s="1">
        <v>46351</v>
      </c>
      <c r="G427" s="1"/>
      <c r="H427" s="1">
        <v>0</v>
      </c>
      <c r="I427" s="1">
        <v>46381</v>
      </c>
      <c r="J427">
        <v>46230</v>
      </c>
      <c r="K427" s="1"/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>
        <v>31.32</v>
      </c>
      <c r="BF427" s="3" t="str">
        <f>+IF(AVANCE[[#This Row],[% AVANCE]]=100%,"MODULO TERMINADO",IF(AVANCE[[#This Row],[FECHA INICIO REAL]]="","MODULO NO INICIADO","PENDIENTE"))</f>
        <v>MODULO NO INICIADO</v>
      </c>
      <c r="BG427" s="3">
        <f>+IF(AVANCE[[#This Row],[VENTANAS]]=8.10810810810811%,100%,AVANCE[[#This Row],[VENTANAS]])</f>
        <v>0</v>
      </c>
      <c r="BH427" s="3">
        <f>+IF(AVANCE[[#This Row],[PISO]]=N$2,100%,AVANCE[[#This Row],[PISO]])</f>
        <v>0</v>
      </c>
      <c r="BI427" s="3">
        <f>+IF(AVANCE[[#This Row],[TABIQUES]]=O$2,100%,AVANCE[[#This Row],[TABIQUES]])</f>
        <v>0</v>
      </c>
      <c r="BJ427" s="3">
        <f>+IF(AVANCE[[#This Row],[MUROS]]=P$2,100%,AVANCE[[#This Row],[MUROS]])</f>
        <v>0</v>
      </c>
      <c r="BK427" s="3">
        <f>+IF(AVANCE[[#This Row],[CIELO]]=Q$2,100%,AVANCE[[#This Row],[CIELO]])</f>
        <v>0</v>
      </c>
      <c r="BL427" s="3">
        <f>+IF(AVANCE[[#This Row],[BALCÓN]]=R$2,100%,AVANCE[[#This Row],[BALCÓN]])</f>
        <v>0</v>
      </c>
      <c r="BM427" s="3">
        <f>+IF(AVANCE[[#This Row],[RED ALCANTARILLADO]]=U$2,100%,AVANCE[[#This Row],[RED ALCANTARILLADO]])</f>
        <v>0</v>
      </c>
      <c r="BN427" s="3">
        <f>+IF(AVANCE[[#This Row],[RED DE AGUA]]=V$2,100%,AVANCE[[#This Row],[RED DE AGUA]])</f>
        <v>0</v>
      </c>
      <c r="BO427" s="3">
        <f>+IF(AVANCE[[#This Row],[VENTILACIONES]]=W$2,100%,AVANCE[[#This Row],[VENTILACIONES]])</f>
        <v>0</v>
      </c>
      <c r="BP427" s="3">
        <f>+IF(AVANCE[[#This Row],[TINA]]=X$2,100%,AVANCE[[#This Row],[TINA]])</f>
        <v>0</v>
      </c>
      <c r="BQ427" s="3">
        <f>+IF(AVANCE[[#This Row],[WC]]=Y$2,100%,AVANCE[[#This Row],[WC]])</f>
        <v>0</v>
      </c>
      <c r="BR427" s="3">
        <f>+IF(AVANCE[[#This Row],[LAVAMANOS / LAVAPLATOS / LAVADERO]]=Z$2,100%,AVANCE[[#This Row],[LAVAMANOS / LAVAPLATOS / LAVADERO]])</f>
        <v>0</v>
      </c>
      <c r="BS427" s="3">
        <f>+IF(AVANCE[[#This Row],[CANALIZACIÓN]]=AC$2,100%,AVANCE[[#This Row],[CANALIZACIÓN]])</f>
        <v>0</v>
      </c>
      <c r="BT427" s="3">
        <f>+IF(AVANCE[[#This Row],[CABLEADO]]=AD$2,100%,AVANCE[[#This Row],[CABLEADO]])</f>
        <v>0</v>
      </c>
      <c r="BU427" s="3">
        <f>+IF(AVANCE[[#This Row],[ARTEFACTOS]]=AE$2,100%,AVANCE[[#This Row],[ARTEFACTOS]])</f>
        <v>0</v>
      </c>
      <c r="BV427" s="3">
        <f>+IF(AVANCE[[#This Row],[TABLERO]]=AF$2,100%,AVANCE[[#This Row],[TABLERO]])</f>
        <v>0</v>
      </c>
      <c r="BW427" s="3">
        <f>+IF(AVANCE[[#This Row],[CAJA PAU]]=AG$2,100%,AVANCE[[#This Row],[CAJA PAU]])</f>
        <v>0</v>
      </c>
      <c r="BX427" s="3">
        <f>+IF(AVANCE[[#This Row],[INSTALACION VINILICO]]=AJ$2,100%,AVANCE[[#This Row],[INSTALACION VINILICO]])</f>
        <v>0</v>
      </c>
      <c r="BY427" s="3">
        <f>+IF(AVANCE[[#This Row],[OSB CUBIERTA]]=AK$2,100%,AVANCE[[#This Row],[OSB CUBIERTA]])</f>
        <v>0</v>
      </c>
      <c r="BZ427" s="3">
        <f>+IF(AVANCE[[#This Row],[BARANDA BALCON]]=AL$2,100%,AVANCE[[#This Row],[BARANDA BALCON]])</f>
        <v>0</v>
      </c>
      <c r="CA427" s="3">
        <f>+IF(AVANCE[[#This Row],[OSB EXTERIOR]]=AM$2,100%,AVANCE[[#This Row],[OSB EXTERIOR]])</f>
        <v>0</v>
      </c>
      <c r="CB427" s="3">
        <f>+IF(AVANCE[[#This Row],[SMART PANEL]]=AN$2,100%,AVANCE[[#This Row],[SMART PANEL]])</f>
        <v>0</v>
      </c>
      <c r="CC427" s="3">
        <f>+IF(AVANCE[[#This Row],[PINTURA EXTERIOR]]=AO$2,100%,AVANCE[[#This Row],[PINTURA EXTERIOR]])</f>
        <v>0</v>
      </c>
      <c r="CD427" s="3">
        <f>+IF(AVANCE[[#This Row],[ZOCALOS LOGIA]]=AP$2,100%,AVANCE[[#This Row],[ZOCALOS LOGIA]])</f>
        <v>0</v>
      </c>
      <c r="CE427" s="3">
        <f>+IF(AVANCE[[#This Row],[MOLDURAS]]=AQ$2,100%,AVANCE[[#This Row],[MOLDURAS]])</f>
        <v>0</v>
      </c>
      <c r="CF427" s="3">
        <f>+IF(AVANCE[[#This Row],[PILASTREO]]=AR$2,100%,AVANCE[[#This Row],[PILASTREO]])</f>
        <v>0</v>
      </c>
      <c r="CG427" s="3">
        <f>+IF(AVANCE[[#This Row],[CELOSIAS]]=AS$2,100%,AVANCE[[#This Row],[CELOSIAS]])</f>
        <v>0</v>
      </c>
      <c r="CH427" s="3">
        <f>+IF(AVANCE[[#This Row],[VENTANAS]]=AT$2,100%,AVANCE[[#This Row],[VENTANAS]])</f>
        <v>0</v>
      </c>
      <c r="CI427" s="3">
        <f>+IF(AVANCE[[#This Row],[PUERTAS ACCESO - LOGIA - BANO]]=AU$2,100%,AVANCE[[#This Row],[PUERTAS ACCESO - LOGIA - BANO]])</f>
        <v>0</v>
      </c>
      <c r="CJ427" s="3">
        <f>+IF(AVANCE[[#This Row],[CERRADURAS]]=AV$2,100%,AVANCE[[#This Row],[CERRADURAS]])</f>
        <v>0</v>
      </c>
      <c r="CK427" s="3">
        <f>+IF(AVANCE[[#This Row],[REVESTIMIENTO INTERIOR ZONA SECA]]=AW$2,100%,AVANCE[[#This Row],[REVESTIMIENTO INTERIOR ZONA SECA]])</f>
        <v>0</v>
      </c>
      <c r="CL427" s="3">
        <f>+IF(AVANCE[[#This Row],[REVESTIMIENTO INTERIOR ZONAS HUMEDAS]]=AX$2,100%,AVANCE[[#This Row],[REVESTIMIENTO INTERIOR ZONAS HUMEDAS]])</f>
        <v>0</v>
      </c>
      <c r="CM427" s="3">
        <f>+IF(AVANCE[[#This Row],[MEMBRANA CIELO]]=AY$2,100%,AVANCE[[#This Row],[MEMBRANA CIELO]])</f>
        <v>0</v>
      </c>
      <c r="CN427" s="3">
        <f>+IF(AVANCE[[#This Row],[LIMPIEZA FINAL]]=AZ$2,100%,AVANCE[[#This Row],[LIMPIEZA FINAL]])</f>
        <v>0</v>
      </c>
      <c r="CO427" s="3">
        <f>+IF(AVANCE[[#This Row],[PUERTAS DORMITORIO]]=BA$2,100%,AVANCE[[#This Row],[PUERTAS DORMITORIO]])</f>
        <v>0</v>
      </c>
      <c r="CP427" s="3">
        <f>+IF(AVANCE[[#This Row],[REVESTIMIENTO INTERIOR BANO]]=BB$2,100%,AVANCE[[#This Row],[REVESTIMIENTO INTERIOR BANO]])</f>
        <v>0</v>
      </c>
      <c r="CQ427" s="3">
        <f>+IF(AVANCE[[#This Row],[MUEBLE LAVAPLATOS]]=BC$2,100%,AVANCE[[#This Row],[MUEBLE LAVAPLATOS]])</f>
        <v>0</v>
      </c>
      <c r="CR427" s="3">
        <f>+IF(AVANCE[[#This Row],[IMPERMEABILIZACION BANO - COCINA LOGIA]]=BD$2,100%,AVANCE[[#This Row],[IMPERMEABILIZACION BANO - COCINA LOGIA]])</f>
        <v>0</v>
      </c>
      <c r="CS427" s="40">
        <f ca="1">+IF(AVANCE[[#This Row],[ESTADO MODULO]]="PENDIENTE",(TODAY()-AVANCE[[#This Row],[FECHA TERMINO  PLANIFICADO]]),0)</f>
        <v>0</v>
      </c>
      <c r="CT427" s="41" t="str" cm="1">
        <f t="array" ref="CT427">_xlfn.TEXTJOIN(" | ",TRUE,IF(SUMPRODUCT((BG427:CR427&lt;1)*(PARTIDAS!$I$2:$AT$2="OBRA GRUESA"))&gt;0,"OBRA GRUESA: "&amp;_xlfn.TEXTJOIN(", ",TRUE,IF((BG427:CR427&lt;1)*(PARTIDAS!$I$2:$AT$2="OBRA GRUESA"),PARTIDAS!$I$1:$AT$1,"")),""),IF(SUMPRODUCT((BG427:CR427&lt;1)*(PARTIDAS!$I$2:$AT$2="SANITARIOS"))&gt;0,"SANITARIOS: "&amp;_xlfn.TEXTJOIN(", ",TRUE,IF((BG427:CR427&lt;1)*(PARTIDAS!$I$2:$AT$2="SANITARIOS"),PARTIDAS!$I$1:$AT$1,"")),""),IF(SUMPRODUCT((BG427:CR427&lt;1)*(PARTIDAS!$I$2:$AT$2="ELÉCTRICO"))&gt;0,"ELÉCTRICO: "&amp;_xlfn.TEXTJOIN(", ",TRUE,IF((BG427:CR427&lt;1)*(PARTIDAS!$I$2:$AT$2="ELÉCTRICO"),PARTIDAS!$I$1:$AT$1,"")),""),IF(SUMPRODUCT((BG427:CR427&lt;1)*(PARTIDAS!$I$2:$AT$2="TERMINACIONES"))&gt;0,"TERMINACIONES: "&amp;_xlfn.TEXTJOIN(", ",TRUE,IF((BG427:CR427&lt;1)*(PARTIDAS!$I$2:$AT$2="TERMINACIONES"),PARTIDAS!$I$1:$AT$1,"")),""))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7" s="43" t="str" cm="1">
        <f t="array" ref="CU427">_xlfn.TEXTJOIN(", ",TRUE,IF(SUMPRODUCT((BG427:CR427&lt;1)*(PARTIDAS!$I$2:$AT$2="OBRA GRUESA"))&gt;0,"OBRA GRUESA",""),IF(SUMPRODUCT((BG427:CR427&lt;1)*(PARTIDAS!$I$2:$AT$2="SANITARIOS"))&gt;0,"SANITARIOS",""),IF(SUMPRODUCT((BG427:CR427&lt;1)*(PARTIDAS!$I$2:$AT$2="ELÉCTRICO"))&gt;0,"ELÉCTRICO",""),IF(SUMPRODUCT((BG427:CR427&lt;1)*(PARTIDAS!$I$2:$AT$2="TERMINACIONES"))&gt;0,"TERMINACIONES",""))</f>
        <v>OBRA GRUESA, SANITARIOS, ELÉCTRICO, TERMINACIONES</v>
      </c>
      <c r="CV427" s="44" cm="1">
        <f t="array" ref="CV427">SUMPRODUCT(--(BG427:CR427&lt;1))</f>
        <v>38</v>
      </c>
    </row>
    <row r="428" spans="1:100" hidden="1" x14ac:dyDescent="0.25">
      <c r="A428" t="s">
        <v>487</v>
      </c>
      <c r="B428" t="s">
        <v>498</v>
      </c>
      <c r="C428">
        <v>2302600427</v>
      </c>
      <c r="D428" t="s">
        <v>60</v>
      </c>
      <c r="E428" s="2">
        <v>0</v>
      </c>
      <c r="F428" s="1">
        <v>46351</v>
      </c>
      <c r="G428" s="1"/>
      <c r="H428" s="1">
        <v>0</v>
      </c>
      <c r="I428" s="1">
        <v>46381</v>
      </c>
      <c r="J428">
        <v>46230</v>
      </c>
      <c r="K428" s="1"/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>
        <v>31.32</v>
      </c>
      <c r="BF428" s="3" t="str">
        <f>+IF(AVANCE[[#This Row],[% AVANCE]]=100%,"MODULO TERMINADO",IF(AVANCE[[#This Row],[FECHA INICIO REAL]]="","MODULO NO INICIADO","PENDIENTE"))</f>
        <v>MODULO NO INICIADO</v>
      </c>
      <c r="BG428" s="3">
        <f>+IF(AVANCE[[#This Row],[VENTANAS]]=8.10810810810811%,100%,AVANCE[[#This Row],[VENTANAS]])</f>
        <v>0</v>
      </c>
      <c r="BH428" s="3">
        <f>+IF(AVANCE[[#This Row],[PISO]]=N$2,100%,AVANCE[[#This Row],[PISO]])</f>
        <v>0</v>
      </c>
      <c r="BI428" s="3">
        <f>+IF(AVANCE[[#This Row],[TABIQUES]]=O$2,100%,AVANCE[[#This Row],[TABIQUES]])</f>
        <v>0</v>
      </c>
      <c r="BJ428" s="3">
        <f>+IF(AVANCE[[#This Row],[MUROS]]=P$2,100%,AVANCE[[#This Row],[MUROS]])</f>
        <v>0</v>
      </c>
      <c r="BK428" s="3">
        <f>+IF(AVANCE[[#This Row],[CIELO]]=Q$2,100%,AVANCE[[#This Row],[CIELO]])</f>
        <v>0</v>
      </c>
      <c r="BL428" s="3">
        <f>+IF(AVANCE[[#This Row],[BALCÓN]]=R$2,100%,AVANCE[[#This Row],[BALCÓN]])</f>
        <v>0</v>
      </c>
      <c r="BM428" s="3">
        <f>+IF(AVANCE[[#This Row],[RED ALCANTARILLADO]]=U$2,100%,AVANCE[[#This Row],[RED ALCANTARILLADO]])</f>
        <v>0</v>
      </c>
      <c r="BN428" s="3">
        <f>+IF(AVANCE[[#This Row],[RED DE AGUA]]=V$2,100%,AVANCE[[#This Row],[RED DE AGUA]])</f>
        <v>0</v>
      </c>
      <c r="BO428" s="3">
        <f>+IF(AVANCE[[#This Row],[VENTILACIONES]]=W$2,100%,AVANCE[[#This Row],[VENTILACIONES]])</f>
        <v>0</v>
      </c>
      <c r="BP428" s="3">
        <f>+IF(AVANCE[[#This Row],[TINA]]=X$2,100%,AVANCE[[#This Row],[TINA]])</f>
        <v>0</v>
      </c>
      <c r="BQ428" s="3">
        <f>+IF(AVANCE[[#This Row],[WC]]=Y$2,100%,AVANCE[[#This Row],[WC]])</f>
        <v>0</v>
      </c>
      <c r="BR428" s="3">
        <f>+IF(AVANCE[[#This Row],[LAVAMANOS / LAVAPLATOS / LAVADERO]]=Z$2,100%,AVANCE[[#This Row],[LAVAMANOS / LAVAPLATOS / LAVADERO]])</f>
        <v>0</v>
      </c>
      <c r="BS428" s="3">
        <f>+IF(AVANCE[[#This Row],[CANALIZACIÓN]]=AC$2,100%,AVANCE[[#This Row],[CANALIZACIÓN]])</f>
        <v>0</v>
      </c>
      <c r="BT428" s="3">
        <f>+IF(AVANCE[[#This Row],[CABLEADO]]=AD$2,100%,AVANCE[[#This Row],[CABLEADO]])</f>
        <v>0</v>
      </c>
      <c r="BU428" s="3">
        <f>+IF(AVANCE[[#This Row],[ARTEFACTOS]]=AE$2,100%,AVANCE[[#This Row],[ARTEFACTOS]])</f>
        <v>0</v>
      </c>
      <c r="BV428" s="3">
        <f>+IF(AVANCE[[#This Row],[TABLERO]]=AF$2,100%,AVANCE[[#This Row],[TABLERO]])</f>
        <v>0</v>
      </c>
      <c r="BW428" s="3">
        <f>+IF(AVANCE[[#This Row],[CAJA PAU]]=AG$2,100%,AVANCE[[#This Row],[CAJA PAU]])</f>
        <v>0</v>
      </c>
      <c r="BX428" s="3">
        <f>+IF(AVANCE[[#This Row],[INSTALACION VINILICO]]=AJ$2,100%,AVANCE[[#This Row],[INSTALACION VINILICO]])</f>
        <v>0</v>
      </c>
      <c r="BY428" s="3">
        <f>+IF(AVANCE[[#This Row],[OSB CUBIERTA]]=AK$2,100%,AVANCE[[#This Row],[OSB CUBIERTA]])</f>
        <v>0</v>
      </c>
      <c r="BZ428" s="3">
        <f>+IF(AVANCE[[#This Row],[BARANDA BALCON]]=AL$2,100%,AVANCE[[#This Row],[BARANDA BALCON]])</f>
        <v>0</v>
      </c>
      <c r="CA428" s="3">
        <f>+IF(AVANCE[[#This Row],[OSB EXTERIOR]]=AM$2,100%,AVANCE[[#This Row],[OSB EXTERIOR]])</f>
        <v>0</v>
      </c>
      <c r="CB428" s="3">
        <f>+IF(AVANCE[[#This Row],[SMART PANEL]]=AN$2,100%,AVANCE[[#This Row],[SMART PANEL]])</f>
        <v>0</v>
      </c>
      <c r="CC428" s="3">
        <f>+IF(AVANCE[[#This Row],[PINTURA EXTERIOR]]=AO$2,100%,AVANCE[[#This Row],[PINTURA EXTERIOR]])</f>
        <v>0</v>
      </c>
      <c r="CD428" s="3">
        <f>+IF(AVANCE[[#This Row],[ZOCALOS LOGIA]]=AP$2,100%,AVANCE[[#This Row],[ZOCALOS LOGIA]])</f>
        <v>0</v>
      </c>
      <c r="CE428" s="3">
        <f>+IF(AVANCE[[#This Row],[MOLDURAS]]=AQ$2,100%,AVANCE[[#This Row],[MOLDURAS]])</f>
        <v>0</v>
      </c>
      <c r="CF428" s="3">
        <f>+IF(AVANCE[[#This Row],[PILASTREO]]=AR$2,100%,AVANCE[[#This Row],[PILASTREO]])</f>
        <v>0</v>
      </c>
      <c r="CG428" s="3">
        <f>+IF(AVANCE[[#This Row],[CELOSIAS]]=AS$2,100%,AVANCE[[#This Row],[CELOSIAS]])</f>
        <v>0</v>
      </c>
      <c r="CH428" s="3">
        <f>+IF(AVANCE[[#This Row],[VENTANAS]]=AT$2,100%,AVANCE[[#This Row],[VENTANAS]])</f>
        <v>0</v>
      </c>
      <c r="CI428" s="3">
        <f>+IF(AVANCE[[#This Row],[PUERTAS ACCESO - LOGIA - BANO]]=AU$2,100%,AVANCE[[#This Row],[PUERTAS ACCESO - LOGIA - BANO]])</f>
        <v>0</v>
      </c>
      <c r="CJ428" s="3">
        <f>+IF(AVANCE[[#This Row],[CERRADURAS]]=AV$2,100%,AVANCE[[#This Row],[CERRADURAS]])</f>
        <v>0</v>
      </c>
      <c r="CK428" s="3">
        <f>+IF(AVANCE[[#This Row],[REVESTIMIENTO INTERIOR ZONA SECA]]=AW$2,100%,AVANCE[[#This Row],[REVESTIMIENTO INTERIOR ZONA SECA]])</f>
        <v>0</v>
      </c>
      <c r="CL428" s="3">
        <f>+IF(AVANCE[[#This Row],[REVESTIMIENTO INTERIOR ZONAS HUMEDAS]]=AX$2,100%,AVANCE[[#This Row],[REVESTIMIENTO INTERIOR ZONAS HUMEDAS]])</f>
        <v>0</v>
      </c>
      <c r="CM428" s="3">
        <f>+IF(AVANCE[[#This Row],[MEMBRANA CIELO]]=AY$2,100%,AVANCE[[#This Row],[MEMBRANA CIELO]])</f>
        <v>0</v>
      </c>
      <c r="CN428" s="3">
        <f>+IF(AVANCE[[#This Row],[LIMPIEZA FINAL]]=AZ$2,100%,AVANCE[[#This Row],[LIMPIEZA FINAL]])</f>
        <v>0</v>
      </c>
      <c r="CO428" s="3">
        <f>+IF(AVANCE[[#This Row],[PUERTAS DORMITORIO]]=BA$2,100%,AVANCE[[#This Row],[PUERTAS DORMITORIO]])</f>
        <v>0</v>
      </c>
      <c r="CP428" s="3">
        <f>+IF(AVANCE[[#This Row],[REVESTIMIENTO INTERIOR BANO]]=BB$2,100%,AVANCE[[#This Row],[REVESTIMIENTO INTERIOR BANO]])</f>
        <v>0</v>
      </c>
      <c r="CQ428" s="3">
        <f>+IF(AVANCE[[#This Row],[MUEBLE LAVAPLATOS]]=BC$2,100%,AVANCE[[#This Row],[MUEBLE LAVAPLATOS]])</f>
        <v>0</v>
      </c>
      <c r="CR428" s="3">
        <f>+IF(AVANCE[[#This Row],[IMPERMEABILIZACION BANO - COCINA LOGIA]]=BD$2,100%,AVANCE[[#This Row],[IMPERMEABILIZACION BANO - COCINA LOGIA]])</f>
        <v>0</v>
      </c>
      <c r="CS428" s="40">
        <f ca="1">+IF(AVANCE[[#This Row],[ESTADO MODULO]]="PENDIENTE",(TODAY()-AVANCE[[#This Row],[FECHA TERMINO  PLANIFICADO]]),0)</f>
        <v>0</v>
      </c>
      <c r="CT428" s="41" t="str" cm="1">
        <f t="array" ref="CT428">_xlfn.TEXTJOIN(" | ",TRUE,IF(SUMPRODUCT((BG428:CR428&lt;1)*(PARTIDAS!$I$2:$AT$2="OBRA GRUESA"))&gt;0,"OBRA GRUESA: "&amp;_xlfn.TEXTJOIN(", ",TRUE,IF((BG428:CR428&lt;1)*(PARTIDAS!$I$2:$AT$2="OBRA GRUESA"),PARTIDAS!$I$1:$AT$1,"")),""),IF(SUMPRODUCT((BG428:CR428&lt;1)*(PARTIDAS!$I$2:$AT$2="SANITARIOS"))&gt;0,"SANITARIOS: "&amp;_xlfn.TEXTJOIN(", ",TRUE,IF((BG428:CR428&lt;1)*(PARTIDAS!$I$2:$AT$2="SANITARIOS"),PARTIDAS!$I$1:$AT$1,"")),""),IF(SUMPRODUCT((BG428:CR428&lt;1)*(PARTIDAS!$I$2:$AT$2="ELÉCTRICO"))&gt;0,"ELÉCTRICO: "&amp;_xlfn.TEXTJOIN(", ",TRUE,IF((BG428:CR428&lt;1)*(PARTIDAS!$I$2:$AT$2="ELÉCTRICO"),PARTIDAS!$I$1:$AT$1,"")),""),IF(SUMPRODUCT((BG428:CR428&lt;1)*(PARTIDAS!$I$2:$AT$2="TERMINACIONES"))&gt;0,"TERMINACIONES: "&amp;_xlfn.TEXTJOIN(", ",TRUE,IF((BG428:CR428&lt;1)*(PARTIDAS!$I$2:$AT$2="TERMINACIONES"),PARTIDAS!$I$1:$AT$1,"")),""))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8" s="43" t="str" cm="1">
        <f t="array" ref="CU428">_xlfn.TEXTJOIN(", ",TRUE,IF(SUMPRODUCT((BG428:CR428&lt;1)*(PARTIDAS!$I$2:$AT$2="OBRA GRUESA"))&gt;0,"OBRA GRUESA",""),IF(SUMPRODUCT((BG428:CR428&lt;1)*(PARTIDAS!$I$2:$AT$2="SANITARIOS"))&gt;0,"SANITARIOS",""),IF(SUMPRODUCT((BG428:CR428&lt;1)*(PARTIDAS!$I$2:$AT$2="ELÉCTRICO"))&gt;0,"ELÉCTRICO",""),IF(SUMPRODUCT((BG428:CR428&lt;1)*(PARTIDAS!$I$2:$AT$2="TERMINACIONES"))&gt;0,"TERMINACIONES",""))</f>
        <v>OBRA GRUESA, SANITARIOS, ELÉCTRICO, TERMINACIONES</v>
      </c>
      <c r="CV428" s="44" cm="1">
        <f t="array" ref="CV428">SUMPRODUCT(--(BG428:CR428&lt;1))</f>
        <v>38</v>
      </c>
    </row>
    <row r="429" spans="1:100" hidden="1" x14ac:dyDescent="0.25">
      <c r="A429" t="s">
        <v>487</v>
      </c>
      <c r="B429" t="s">
        <v>499</v>
      </c>
      <c r="C429">
        <v>2282600428</v>
      </c>
      <c r="D429" t="s">
        <v>58</v>
      </c>
      <c r="E429" s="2">
        <v>0</v>
      </c>
      <c r="F429" s="1">
        <v>46352</v>
      </c>
      <c r="G429" s="1"/>
      <c r="H429" s="1">
        <v>0</v>
      </c>
      <c r="I429" s="1">
        <v>46372</v>
      </c>
      <c r="J429">
        <v>46230</v>
      </c>
      <c r="K429" s="1"/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>
        <v>28.87</v>
      </c>
      <c r="BF429" s="3" t="str">
        <f>+IF(AVANCE[[#This Row],[% AVANCE]]=100%,"MODULO TERMINADO",IF(AVANCE[[#This Row],[FECHA INICIO REAL]]="","MODULO NO INICIADO","PENDIENTE"))</f>
        <v>MODULO NO INICIADO</v>
      </c>
      <c r="BG429" s="3">
        <f>+IF(AVANCE[[#This Row],[VENTANAS]]=8.10810810810811%,100%,AVANCE[[#This Row],[VENTANAS]])</f>
        <v>0</v>
      </c>
      <c r="BH429" s="3">
        <f>+IF(AVANCE[[#This Row],[PISO]]=N$2,100%,AVANCE[[#This Row],[PISO]])</f>
        <v>0</v>
      </c>
      <c r="BI429" s="3">
        <f>+IF(AVANCE[[#This Row],[TABIQUES]]=O$2,100%,AVANCE[[#This Row],[TABIQUES]])</f>
        <v>0</v>
      </c>
      <c r="BJ429" s="3">
        <f>+IF(AVANCE[[#This Row],[MUROS]]=P$2,100%,AVANCE[[#This Row],[MUROS]])</f>
        <v>0</v>
      </c>
      <c r="BK429" s="3">
        <f>+IF(AVANCE[[#This Row],[CIELO]]=Q$2,100%,AVANCE[[#This Row],[CIELO]])</f>
        <v>0</v>
      </c>
      <c r="BL429" s="3">
        <f>+IF(AVANCE[[#This Row],[BALCÓN]]=R$2,100%,AVANCE[[#This Row],[BALCÓN]])</f>
        <v>0</v>
      </c>
      <c r="BM429" s="3">
        <f>+IF(AVANCE[[#This Row],[RED ALCANTARILLADO]]=U$2,100%,AVANCE[[#This Row],[RED ALCANTARILLADO]])</f>
        <v>0</v>
      </c>
      <c r="BN429" s="3">
        <f>+IF(AVANCE[[#This Row],[RED DE AGUA]]=V$2,100%,AVANCE[[#This Row],[RED DE AGUA]])</f>
        <v>0</v>
      </c>
      <c r="BO429" s="3">
        <f>+IF(AVANCE[[#This Row],[VENTILACIONES]]=W$2,100%,AVANCE[[#This Row],[VENTILACIONES]])</f>
        <v>0</v>
      </c>
      <c r="BP429" s="3">
        <f>+IF(AVANCE[[#This Row],[TINA]]=X$2,100%,AVANCE[[#This Row],[TINA]])</f>
        <v>0</v>
      </c>
      <c r="BQ429" s="3">
        <f>+IF(AVANCE[[#This Row],[WC]]=Y$2,100%,AVANCE[[#This Row],[WC]])</f>
        <v>0</v>
      </c>
      <c r="BR429" s="3">
        <f>+IF(AVANCE[[#This Row],[LAVAMANOS / LAVAPLATOS / LAVADERO]]=Z$2,100%,AVANCE[[#This Row],[LAVAMANOS / LAVAPLATOS / LAVADERO]])</f>
        <v>0</v>
      </c>
      <c r="BS429" s="3">
        <f>+IF(AVANCE[[#This Row],[CANALIZACIÓN]]=AC$2,100%,AVANCE[[#This Row],[CANALIZACIÓN]])</f>
        <v>0</v>
      </c>
      <c r="BT429" s="3">
        <f>+IF(AVANCE[[#This Row],[CABLEADO]]=AD$2,100%,AVANCE[[#This Row],[CABLEADO]])</f>
        <v>0</v>
      </c>
      <c r="BU429" s="3">
        <f>+IF(AVANCE[[#This Row],[ARTEFACTOS]]=AE$2,100%,AVANCE[[#This Row],[ARTEFACTOS]])</f>
        <v>0</v>
      </c>
      <c r="BV429" s="3">
        <f>+IF(AVANCE[[#This Row],[TABLERO]]=AF$2,100%,AVANCE[[#This Row],[TABLERO]])</f>
        <v>0</v>
      </c>
      <c r="BW429" s="3">
        <f>+IF(AVANCE[[#This Row],[CAJA PAU]]=AG$2,100%,AVANCE[[#This Row],[CAJA PAU]])</f>
        <v>0</v>
      </c>
      <c r="BX429" s="3">
        <f>+IF(AVANCE[[#This Row],[INSTALACION VINILICO]]=AJ$2,100%,AVANCE[[#This Row],[INSTALACION VINILICO]])</f>
        <v>0</v>
      </c>
      <c r="BY429" s="3">
        <f>+IF(AVANCE[[#This Row],[OSB CUBIERTA]]=AK$2,100%,AVANCE[[#This Row],[OSB CUBIERTA]])</f>
        <v>0</v>
      </c>
      <c r="BZ429" s="3">
        <f>+IF(AVANCE[[#This Row],[BARANDA BALCON]]=AL$2,100%,AVANCE[[#This Row],[BARANDA BALCON]])</f>
        <v>0</v>
      </c>
      <c r="CA429" s="3">
        <f>+IF(AVANCE[[#This Row],[OSB EXTERIOR]]=AM$2,100%,AVANCE[[#This Row],[OSB EXTERIOR]])</f>
        <v>0</v>
      </c>
      <c r="CB429" s="3">
        <f>+IF(AVANCE[[#This Row],[SMART PANEL]]=AN$2,100%,AVANCE[[#This Row],[SMART PANEL]])</f>
        <v>0</v>
      </c>
      <c r="CC429" s="3">
        <f>+IF(AVANCE[[#This Row],[PINTURA EXTERIOR]]=AO$2,100%,AVANCE[[#This Row],[PINTURA EXTERIOR]])</f>
        <v>0</v>
      </c>
      <c r="CD429" s="3">
        <f>+IF(AVANCE[[#This Row],[ZOCALOS LOGIA]]=AP$2,100%,AVANCE[[#This Row],[ZOCALOS LOGIA]])</f>
        <v>0</v>
      </c>
      <c r="CE429" s="3">
        <f>+IF(AVANCE[[#This Row],[MOLDURAS]]=AQ$2,100%,AVANCE[[#This Row],[MOLDURAS]])</f>
        <v>0</v>
      </c>
      <c r="CF429" s="3">
        <f>+IF(AVANCE[[#This Row],[PILASTREO]]=AR$2,100%,AVANCE[[#This Row],[PILASTREO]])</f>
        <v>0</v>
      </c>
      <c r="CG429" s="3">
        <f>+IF(AVANCE[[#This Row],[CELOSIAS]]=AS$2,100%,AVANCE[[#This Row],[CELOSIAS]])</f>
        <v>0</v>
      </c>
      <c r="CH429" s="3">
        <f>+IF(AVANCE[[#This Row],[VENTANAS]]=AT$2,100%,AVANCE[[#This Row],[VENTANAS]])</f>
        <v>0</v>
      </c>
      <c r="CI429" s="3">
        <f>+IF(AVANCE[[#This Row],[PUERTAS ACCESO - LOGIA - BANO]]=AU$2,100%,AVANCE[[#This Row],[PUERTAS ACCESO - LOGIA - BANO]])</f>
        <v>0</v>
      </c>
      <c r="CJ429" s="3">
        <f>+IF(AVANCE[[#This Row],[CERRADURAS]]=AV$2,100%,AVANCE[[#This Row],[CERRADURAS]])</f>
        <v>0</v>
      </c>
      <c r="CK429" s="3">
        <f>+IF(AVANCE[[#This Row],[REVESTIMIENTO INTERIOR ZONA SECA]]=AW$2,100%,AVANCE[[#This Row],[REVESTIMIENTO INTERIOR ZONA SECA]])</f>
        <v>0</v>
      </c>
      <c r="CL429" s="3">
        <f>+IF(AVANCE[[#This Row],[REVESTIMIENTO INTERIOR ZONAS HUMEDAS]]=AX$2,100%,AVANCE[[#This Row],[REVESTIMIENTO INTERIOR ZONAS HUMEDAS]])</f>
        <v>0</v>
      </c>
      <c r="CM429" s="3">
        <f>+IF(AVANCE[[#This Row],[MEMBRANA CIELO]]=AY$2,100%,AVANCE[[#This Row],[MEMBRANA CIELO]])</f>
        <v>0</v>
      </c>
      <c r="CN429" s="3">
        <f>+IF(AVANCE[[#This Row],[LIMPIEZA FINAL]]=AZ$2,100%,AVANCE[[#This Row],[LIMPIEZA FINAL]])</f>
        <v>0</v>
      </c>
      <c r="CO429" s="3">
        <f>+IF(AVANCE[[#This Row],[PUERTAS DORMITORIO]]=BA$2,100%,AVANCE[[#This Row],[PUERTAS DORMITORIO]])</f>
        <v>0</v>
      </c>
      <c r="CP429" s="3">
        <f>+IF(AVANCE[[#This Row],[REVESTIMIENTO INTERIOR BANO]]=BB$2,100%,AVANCE[[#This Row],[REVESTIMIENTO INTERIOR BANO]])</f>
        <v>0</v>
      </c>
      <c r="CQ429" s="3">
        <f>+IF(AVANCE[[#This Row],[MUEBLE LAVAPLATOS]]=BC$2,100%,AVANCE[[#This Row],[MUEBLE LAVAPLATOS]])</f>
        <v>0</v>
      </c>
      <c r="CR429" s="3">
        <f>+IF(AVANCE[[#This Row],[IMPERMEABILIZACION BANO - COCINA LOGIA]]=BD$2,100%,AVANCE[[#This Row],[IMPERMEABILIZACION BANO - COCINA LOGIA]])</f>
        <v>0</v>
      </c>
      <c r="CS429" s="40">
        <f ca="1">+IF(AVANCE[[#This Row],[ESTADO MODULO]]="PENDIENTE",(TODAY()-AVANCE[[#This Row],[FECHA TERMINO  PLANIFICADO]]),0)</f>
        <v>0</v>
      </c>
      <c r="CT429" s="41" t="str" cm="1">
        <f t="array" ref="CT429">_xlfn.TEXTJOIN(" | ",TRUE,IF(SUMPRODUCT((BG429:CR429&lt;1)*(PARTIDAS!$I$2:$AT$2="OBRA GRUESA"))&gt;0,"OBRA GRUESA: "&amp;_xlfn.TEXTJOIN(", ",TRUE,IF((BG429:CR429&lt;1)*(PARTIDAS!$I$2:$AT$2="OBRA GRUESA"),PARTIDAS!$I$1:$AT$1,"")),""),IF(SUMPRODUCT((BG429:CR429&lt;1)*(PARTIDAS!$I$2:$AT$2="SANITARIOS"))&gt;0,"SANITARIOS: "&amp;_xlfn.TEXTJOIN(", ",TRUE,IF((BG429:CR429&lt;1)*(PARTIDAS!$I$2:$AT$2="SANITARIOS"),PARTIDAS!$I$1:$AT$1,"")),""),IF(SUMPRODUCT((BG429:CR429&lt;1)*(PARTIDAS!$I$2:$AT$2="ELÉCTRICO"))&gt;0,"ELÉCTRICO: "&amp;_xlfn.TEXTJOIN(", ",TRUE,IF((BG429:CR429&lt;1)*(PARTIDAS!$I$2:$AT$2="ELÉCTRICO"),PARTIDAS!$I$1:$AT$1,"")),""),IF(SUMPRODUCT((BG429:CR429&lt;1)*(PARTIDAS!$I$2:$AT$2="TERMINACIONES"))&gt;0,"TERMINACIONES: "&amp;_xlfn.TEXTJOIN(", ",TRUE,IF((BG429:CR429&lt;1)*(PARTIDAS!$I$2:$AT$2="TERMINACIONES"),PARTIDAS!$I$1:$AT$1,"")),""))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29" s="43" t="str" cm="1">
        <f t="array" ref="CU429">_xlfn.TEXTJOIN(", ",TRUE,IF(SUMPRODUCT((BG429:CR429&lt;1)*(PARTIDAS!$I$2:$AT$2="OBRA GRUESA"))&gt;0,"OBRA GRUESA",""),IF(SUMPRODUCT((BG429:CR429&lt;1)*(PARTIDAS!$I$2:$AT$2="SANITARIOS"))&gt;0,"SANITARIOS",""),IF(SUMPRODUCT((BG429:CR429&lt;1)*(PARTIDAS!$I$2:$AT$2="ELÉCTRICO"))&gt;0,"ELÉCTRICO",""),IF(SUMPRODUCT((BG429:CR429&lt;1)*(PARTIDAS!$I$2:$AT$2="TERMINACIONES"))&gt;0,"TERMINACIONES",""))</f>
        <v>OBRA GRUESA, SANITARIOS, ELÉCTRICO, TERMINACIONES</v>
      </c>
      <c r="CV429" s="44" cm="1">
        <f t="array" ref="CV429">SUMPRODUCT(--(BG429:CR429&lt;1))</f>
        <v>38</v>
      </c>
    </row>
    <row r="430" spans="1:100" hidden="1" x14ac:dyDescent="0.25">
      <c r="A430" t="s">
        <v>487</v>
      </c>
      <c r="B430" t="s">
        <v>500</v>
      </c>
      <c r="C430">
        <v>2282600429</v>
      </c>
      <c r="D430" t="s">
        <v>58</v>
      </c>
      <c r="E430" s="2">
        <v>0</v>
      </c>
      <c r="F430" s="1">
        <v>46352</v>
      </c>
      <c r="G430" s="1"/>
      <c r="H430" s="1">
        <v>0</v>
      </c>
      <c r="I430" s="1">
        <v>46372</v>
      </c>
      <c r="J430">
        <v>46230</v>
      </c>
      <c r="K430" s="1"/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>
        <v>28.87</v>
      </c>
      <c r="BF430" s="3" t="str">
        <f>+IF(AVANCE[[#This Row],[% AVANCE]]=100%,"MODULO TERMINADO",IF(AVANCE[[#This Row],[FECHA INICIO REAL]]="","MODULO NO INICIADO","PENDIENTE"))</f>
        <v>MODULO NO INICIADO</v>
      </c>
      <c r="BG430" s="3">
        <f>+IF(AVANCE[[#This Row],[VENTANAS]]=8.10810810810811%,100%,AVANCE[[#This Row],[VENTANAS]])</f>
        <v>0</v>
      </c>
      <c r="BH430" s="3">
        <f>+IF(AVANCE[[#This Row],[PISO]]=N$2,100%,AVANCE[[#This Row],[PISO]])</f>
        <v>0</v>
      </c>
      <c r="BI430" s="3">
        <f>+IF(AVANCE[[#This Row],[TABIQUES]]=O$2,100%,AVANCE[[#This Row],[TABIQUES]])</f>
        <v>0</v>
      </c>
      <c r="BJ430" s="3">
        <f>+IF(AVANCE[[#This Row],[MUROS]]=P$2,100%,AVANCE[[#This Row],[MUROS]])</f>
        <v>0</v>
      </c>
      <c r="BK430" s="3">
        <f>+IF(AVANCE[[#This Row],[CIELO]]=Q$2,100%,AVANCE[[#This Row],[CIELO]])</f>
        <v>0</v>
      </c>
      <c r="BL430" s="3">
        <f>+IF(AVANCE[[#This Row],[BALCÓN]]=R$2,100%,AVANCE[[#This Row],[BALCÓN]])</f>
        <v>0</v>
      </c>
      <c r="BM430" s="3">
        <f>+IF(AVANCE[[#This Row],[RED ALCANTARILLADO]]=U$2,100%,AVANCE[[#This Row],[RED ALCANTARILLADO]])</f>
        <v>0</v>
      </c>
      <c r="BN430" s="3">
        <f>+IF(AVANCE[[#This Row],[RED DE AGUA]]=V$2,100%,AVANCE[[#This Row],[RED DE AGUA]])</f>
        <v>0</v>
      </c>
      <c r="BO430" s="3">
        <f>+IF(AVANCE[[#This Row],[VENTILACIONES]]=W$2,100%,AVANCE[[#This Row],[VENTILACIONES]])</f>
        <v>0</v>
      </c>
      <c r="BP430" s="3">
        <f>+IF(AVANCE[[#This Row],[TINA]]=X$2,100%,AVANCE[[#This Row],[TINA]])</f>
        <v>0</v>
      </c>
      <c r="BQ430" s="3">
        <f>+IF(AVANCE[[#This Row],[WC]]=Y$2,100%,AVANCE[[#This Row],[WC]])</f>
        <v>0</v>
      </c>
      <c r="BR430" s="3">
        <f>+IF(AVANCE[[#This Row],[LAVAMANOS / LAVAPLATOS / LAVADERO]]=Z$2,100%,AVANCE[[#This Row],[LAVAMANOS / LAVAPLATOS / LAVADERO]])</f>
        <v>0</v>
      </c>
      <c r="BS430" s="3">
        <f>+IF(AVANCE[[#This Row],[CANALIZACIÓN]]=AC$2,100%,AVANCE[[#This Row],[CANALIZACIÓN]])</f>
        <v>0</v>
      </c>
      <c r="BT430" s="3">
        <f>+IF(AVANCE[[#This Row],[CABLEADO]]=AD$2,100%,AVANCE[[#This Row],[CABLEADO]])</f>
        <v>0</v>
      </c>
      <c r="BU430" s="3">
        <f>+IF(AVANCE[[#This Row],[ARTEFACTOS]]=AE$2,100%,AVANCE[[#This Row],[ARTEFACTOS]])</f>
        <v>0</v>
      </c>
      <c r="BV430" s="3">
        <f>+IF(AVANCE[[#This Row],[TABLERO]]=AF$2,100%,AVANCE[[#This Row],[TABLERO]])</f>
        <v>0</v>
      </c>
      <c r="BW430" s="3">
        <f>+IF(AVANCE[[#This Row],[CAJA PAU]]=AG$2,100%,AVANCE[[#This Row],[CAJA PAU]])</f>
        <v>0</v>
      </c>
      <c r="BX430" s="3">
        <f>+IF(AVANCE[[#This Row],[INSTALACION VINILICO]]=AJ$2,100%,AVANCE[[#This Row],[INSTALACION VINILICO]])</f>
        <v>0</v>
      </c>
      <c r="BY430" s="3">
        <f>+IF(AVANCE[[#This Row],[OSB CUBIERTA]]=AK$2,100%,AVANCE[[#This Row],[OSB CUBIERTA]])</f>
        <v>0</v>
      </c>
      <c r="BZ430" s="3">
        <f>+IF(AVANCE[[#This Row],[BARANDA BALCON]]=AL$2,100%,AVANCE[[#This Row],[BARANDA BALCON]])</f>
        <v>0</v>
      </c>
      <c r="CA430" s="3">
        <f>+IF(AVANCE[[#This Row],[OSB EXTERIOR]]=AM$2,100%,AVANCE[[#This Row],[OSB EXTERIOR]])</f>
        <v>0</v>
      </c>
      <c r="CB430" s="3">
        <f>+IF(AVANCE[[#This Row],[SMART PANEL]]=AN$2,100%,AVANCE[[#This Row],[SMART PANEL]])</f>
        <v>0</v>
      </c>
      <c r="CC430" s="3">
        <f>+IF(AVANCE[[#This Row],[PINTURA EXTERIOR]]=AO$2,100%,AVANCE[[#This Row],[PINTURA EXTERIOR]])</f>
        <v>0</v>
      </c>
      <c r="CD430" s="3">
        <f>+IF(AVANCE[[#This Row],[ZOCALOS LOGIA]]=AP$2,100%,AVANCE[[#This Row],[ZOCALOS LOGIA]])</f>
        <v>0</v>
      </c>
      <c r="CE430" s="3">
        <f>+IF(AVANCE[[#This Row],[MOLDURAS]]=AQ$2,100%,AVANCE[[#This Row],[MOLDURAS]])</f>
        <v>0</v>
      </c>
      <c r="CF430" s="3">
        <f>+IF(AVANCE[[#This Row],[PILASTREO]]=AR$2,100%,AVANCE[[#This Row],[PILASTREO]])</f>
        <v>0</v>
      </c>
      <c r="CG430" s="3">
        <f>+IF(AVANCE[[#This Row],[CELOSIAS]]=AS$2,100%,AVANCE[[#This Row],[CELOSIAS]])</f>
        <v>0</v>
      </c>
      <c r="CH430" s="3">
        <f>+IF(AVANCE[[#This Row],[VENTANAS]]=AT$2,100%,AVANCE[[#This Row],[VENTANAS]])</f>
        <v>0</v>
      </c>
      <c r="CI430" s="3">
        <f>+IF(AVANCE[[#This Row],[PUERTAS ACCESO - LOGIA - BANO]]=AU$2,100%,AVANCE[[#This Row],[PUERTAS ACCESO - LOGIA - BANO]])</f>
        <v>0</v>
      </c>
      <c r="CJ430" s="3">
        <f>+IF(AVANCE[[#This Row],[CERRADURAS]]=AV$2,100%,AVANCE[[#This Row],[CERRADURAS]])</f>
        <v>0</v>
      </c>
      <c r="CK430" s="3">
        <f>+IF(AVANCE[[#This Row],[REVESTIMIENTO INTERIOR ZONA SECA]]=AW$2,100%,AVANCE[[#This Row],[REVESTIMIENTO INTERIOR ZONA SECA]])</f>
        <v>0</v>
      </c>
      <c r="CL430" s="3">
        <f>+IF(AVANCE[[#This Row],[REVESTIMIENTO INTERIOR ZONAS HUMEDAS]]=AX$2,100%,AVANCE[[#This Row],[REVESTIMIENTO INTERIOR ZONAS HUMEDAS]])</f>
        <v>0</v>
      </c>
      <c r="CM430" s="3">
        <f>+IF(AVANCE[[#This Row],[MEMBRANA CIELO]]=AY$2,100%,AVANCE[[#This Row],[MEMBRANA CIELO]])</f>
        <v>0</v>
      </c>
      <c r="CN430" s="3">
        <f>+IF(AVANCE[[#This Row],[LIMPIEZA FINAL]]=AZ$2,100%,AVANCE[[#This Row],[LIMPIEZA FINAL]])</f>
        <v>0</v>
      </c>
      <c r="CO430" s="3">
        <f>+IF(AVANCE[[#This Row],[PUERTAS DORMITORIO]]=BA$2,100%,AVANCE[[#This Row],[PUERTAS DORMITORIO]])</f>
        <v>0</v>
      </c>
      <c r="CP430" s="3">
        <f>+IF(AVANCE[[#This Row],[REVESTIMIENTO INTERIOR BANO]]=BB$2,100%,AVANCE[[#This Row],[REVESTIMIENTO INTERIOR BANO]])</f>
        <v>0</v>
      </c>
      <c r="CQ430" s="3">
        <f>+IF(AVANCE[[#This Row],[MUEBLE LAVAPLATOS]]=BC$2,100%,AVANCE[[#This Row],[MUEBLE LAVAPLATOS]])</f>
        <v>0</v>
      </c>
      <c r="CR430" s="3">
        <f>+IF(AVANCE[[#This Row],[IMPERMEABILIZACION BANO - COCINA LOGIA]]=BD$2,100%,AVANCE[[#This Row],[IMPERMEABILIZACION BANO - COCINA LOGIA]])</f>
        <v>0</v>
      </c>
      <c r="CS430" s="40">
        <f ca="1">+IF(AVANCE[[#This Row],[ESTADO MODULO]]="PENDIENTE",(TODAY()-AVANCE[[#This Row],[FECHA TERMINO  PLANIFICADO]]),0)</f>
        <v>0</v>
      </c>
      <c r="CT430" s="41" t="str" cm="1">
        <f t="array" ref="CT430">_xlfn.TEXTJOIN(" | ",TRUE,IF(SUMPRODUCT((BG430:CR430&lt;1)*(PARTIDAS!$I$2:$AT$2="OBRA GRUESA"))&gt;0,"OBRA GRUESA: "&amp;_xlfn.TEXTJOIN(", ",TRUE,IF((BG430:CR430&lt;1)*(PARTIDAS!$I$2:$AT$2="OBRA GRUESA"),PARTIDAS!$I$1:$AT$1,"")),""),IF(SUMPRODUCT((BG430:CR430&lt;1)*(PARTIDAS!$I$2:$AT$2="SANITARIOS"))&gt;0,"SANITARIOS: "&amp;_xlfn.TEXTJOIN(", ",TRUE,IF((BG430:CR430&lt;1)*(PARTIDAS!$I$2:$AT$2="SANITARIOS"),PARTIDAS!$I$1:$AT$1,"")),""),IF(SUMPRODUCT((BG430:CR430&lt;1)*(PARTIDAS!$I$2:$AT$2="ELÉCTRICO"))&gt;0,"ELÉCTRICO: "&amp;_xlfn.TEXTJOIN(", ",TRUE,IF((BG430:CR430&lt;1)*(PARTIDAS!$I$2:$AT$2="ELÉCTRICO"),PARTIDAS!$I$1:$AT$1,"")),""),IF(SUMPRODUCT((BG430:CR430&lt;1)*(PARTIDAS!$I$2:$AT$2="TERMINACIONES"))&gt;0,"TERMINACIONES: "&amp;_xlfn.TEXTJOIN(", ",TRUE,IF((BG430:CR430&lt;1)*(PARTIDAS!$I$2:$AT$2="TERMINACIONES"),PARTIDAS!$I$1:$AT$1,"")),""))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0" s="43" t="str" cm="1">
        <f t="array" ref="CU430">_xlfn.TEXTJOIN(", ",TRUE,IF(SUMPRODUCT((BG430:CR430&lt;1)*(PARTIDAS!$I$2:$AT$2="OBRA GRUESA"))&gt;0,"OBRA GRUESA",""),IF(SUMPRODUCT((BG430:CR430&lt;1)*(PARTIDAS!$I$2:$AT$2="SANITARIOS"))&gt;0,"SANITARIOS",""),IF(SUMPRODUCT((BG430:CR430&lt;1)*(PARTIDAS!$I$2:$AT$2="ELÉCTRICO"))&gt;0,"ELÉCTRICO",""),IF(SUMPRODUCT((BG430:CR430&lt;1)*(PARTIDAS!$I$2:$AT$2="TERMINACIONES"))&gt;0,"TERMINACIONES",""))</f>
        <v>OBRA GRUESA, SANITARIOS, ELÉCTRICO, TERMINACIONES</v>
      </c>
      <c r="CV430" s="44" cm="1">
        <f t="array" ref="CV430">SUMPRODUCT(--(BG430:CR430&lt;1))</f>
        <v>38</v>
      </c>
    </row>
    <row r="431" spans="1:100" hidden="1" x14ac:dyDescent="0.25">
      <c r="A431" t="s">
        <v>487</v>
      </c>
      <c r="B431" t="s">
        <v>501</v>
      </c>
      <c r="C431">
        <v>2302600430</v>
      </c>
      <c r="D431" t="s">
        <v>60</v>
      </c>
      <c r="E431" s="2">
        <v>0</v>
      </c>
      <c r="F431" s="1">
        <v>46352</v>
      </c>
      <c r="G431" s="1"/>
      <c r="H431" s="1">
        <v>0</v>
      </c>
      <c r="I431" s="1">
        <v>46382</v>
      </c>
      <c r="J431">
        <v>46230</v>
      </c>
      <c r="K431" s="1"/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>
        <v>31.32</v>
      </c>
      <c r="BF431" s="3" t="str">
        <f>+IF(AVANCE[[#This Row],[% AVANCE]]=100%,"MODULO TERMINADO",IF(AVANCE[[#This Row],[FECHA INICIO REAL]]="","MODULO NO INICIADO","PENDIENTE"))</f>
        <v>MODULO NO INICIADO</v>
      </c>
      <c r="BG431" s="3">
        <f>+IF(AVANCE[[#This Row],[VENTANAS]]=8.10810810810811%,100%,AVANCE[[#This Row],[VENTANAS]])</f>
        <v>0</v>
      </c>
      <c r="BH431" s="3">
        <f>+IF(AVANCE[[#This Row],[PISO]]=N$2,100%,AVANCE[[#This Row],[PISO]])</f>
        <v>0</v>
      </c>
      <c r="BI431" s="3">
        <f>+IF(AVANCE[[#This Row],[TABIQUES]]=O$2,100%,AVANCE[[#This Row],[TABIQUES]])</f>
        <v>0</v>
      </c>
      <c r="BJ431" s="3">
        <f>+IF(AVANCE[[#This Row],[MUROS]]=P$2,100%,AVANCE[[#This Row],[MUROS]])</f>
        <v>0</v>
      </c>
      <c r="BK431" s="3">
        <f>+IF(AVANCE[[#This Row],[CIELO]]=Q$2,100%,AVANCE[[#This Row],[CIELO]])</f>
        <v>0</v>
      </c>
      <c r="BL431" s="3">
        <f>+IF(AVANCE[[#This Row],[BALCÓN]]=R$2,100%,AVANCE[[#This Row],[BALCÓN]])</f>
        <v>0</v>
      </c>
      <c r="BM431" s="3">
        <f>+IF(AVANCE[[#This Row],[RED ALCANTARILLADO]]=U$2,100%,AVANCE[[#This Row],[RED ALCANTARILLADO]])</f>
        <v>0</v>
      </c>
      <c r="BN431" s="3">
        <f>+IF(AVANCE[[#This Row],[RED DE AGUA]]=V$2,100%,AVANCE[[#This Row],[RED DE AGUA]])</f>
        <v>0</v>
      </c>
      <c r="BO431" s="3">
        <f>+IF(AVANCE[[#This Row],[VENTILACIONES]]=W$2,100%,AVANCE[[#This Row],[VENTILACIONES]])</f>
        <v>0</v>
      </c>
      <c r="BP431" s="3">
        <f>+IF(AVANCE[[#This Row],[TINA]]=X$2,100%,AVANCE[[#This Row],[TINA]])</f>
        <v>0</v>
      </c>
      <c r="BQ431" s="3">
        <f>+IF(AVANCE[[#This Row],[WC]]=Y$2,100%,AVANCE[[#This Row],[WC]])</f>
        <v>0</v>
      </c>
      <c r="BR431" s="3">
        <f>+IF(AVANCE[[#This Row],[LAVAMANOS / LAVAPLATOS / LAVADERO]]=Z$2,100%,AVANCE[[#This Row],[LAVAMANOS / LAVAPLATOS / LAVADERO]])</f>
        <v>0</v>
      </c>
      <c r="BS431" s="3">
        <f>+IF(AVANCE[[#This Row],[CANALIZACIÓN]]=AC$2,100%,AVANCE[[#This Row],[CANALIZACIÓN]])</f>
        <v>0</v>
      </c>
      <c r="BT431" s="3">
        <f>+IF(AVANCE[[#This Row],[CABLEADO]]=AD$2,100%,AVANCE[[#This Row],[CABLEADO]])</f>
        <v>0</v>
      </c>
      <c r="BU431" s="3">
        <f>+IF(AVANCE[[#This Row],[ARTEFACTOS]]=AE$2,100%,AVANCE[[#This Row],[ARTEFACTOS]])</f>
        <v>0</v>
      </c>
      <c r="BV431" s="3">
        <f>+IF(AVANCE[[#This Row],[TABLERO]]=AF$2,100%,AVANCE[[#This Row],[TABLERO]])</f>
        <v>0</v>
      </c>
      <c r="BW431" s="3">
        <f>+IF(AVANCE[[#This Row],[CAJA PAU]]=AG$2,100%,AVANCE[[#This Row],[CAJA PAU]])</f>
        <v>0</v>
      </c>
      <c r="BX431" s="3">
        <f>+IF(AVANCE[[#This Row],[INSTALACION VINILICO]]=AJ$2,100%,AVANCE[[#This Row],[INSTALACION VINILICO]])</f>
        <v>0</v>
      </c>
      <c r="BY431" s="3">
        <f>+IF(AVANCE[[#This Row],[OSB CUBIERTA]]=AK$2,100%,AVANCE[[#This Row],[OSB CUBIERTA]])</f>
        <v>0</v>
      </c>
      <c r="BZ431" s="3">
        <f>+IF(AVANCE[[#This Row],[BARANDA BALCON]]=AL$2,100%,AVANCE[[#This Row],[BARANDA BALCON]])</f>
        <v>0</v>
      </c>
      <c r="CA431" s="3">
        <f>+IF(AVANCE[[#This Row],[OSB EXTERIOR]]=AM$2,100%,AVANCE[[#This Row],[OSB EXTERIOR]])</f>
        <v>0</v>
      </c>
      <c r="CB431" s="3">
        <f>+IF(AVANCE[[#This Row],[SMART PANEL]]=AN$2,100%,AVANCE[[#This Row],[SMART PANEL]])</f>
        <v>0</v>
      </c>
      <c r="CC431" s="3">
        <f>+IF(AVANCE[[#This Row],[PINTURA EXTERIOR]]=AO$2,100%,AVANCE[[#This Row],[PINTURA EXTERIOR]])</f>
        <v>0</v>
      </c>
      <c r="CD431" s="3">
        <f>+IF(AVANCE[[#This Row],[ZOCALOS LOGIA]]=AP$2,100%,AVANCE[[#This Row],[ZOCALOS LOGIA]])</f>
        <v>0</v>
      </c>
      <c r="CE431" s="3">
        <f>+IF(AVANCE[[#This Row],[MOLDURAS]]=AQ$2,100%,AVANCE[[#This Row],[MOLDURAS]])</f>
        <v>0</v>
      </c>
      <c r="CF431" s="3">
        <f>+IF(AVANCE[[#This Row],[PILASTREO]]=AR$2,100%,AVANCE[[#This Row],[PILASTREO]])</f>
        <v>0</v>
      </c>
      <c r="CG431" s="3">
        <f>+IF(AVANCE[[#This Row],[CELOSIAS]]=AS$2,100%,AVANCE[[#This Row],[CELOSIAS]])</f>
        <v>0</v>
      </c>
      <c r="CH431" s="3">
        <f>+IF(AVANCE[[#This Row],[VENTANAS]]=AT$2,100%,AVANCE[[#This Row],[VENTANAS]])</f>
        <v>0</v>
      </c>
      <c r="CI431" s="3">
        <f>+IF(AVANCE[[#This Row],[PUERTAS ACCESO - LOGIA - BANO]]=AU$2,100%,AVANCE[[#This Row],[PUERTAS ACCESO - LOGIA - BANO]])</f>
        <v>0</v>
      </c>
      <c r="CJ431" s="3">
        <f>+IF(AVANCE[[#This Row],[CERRADURAS]]=AV$2,100%,AVANCE[[#This Row],[CERRADURAS]])</f>
        <v>0</v>
      </c>
      <c r="CK431" s="3">
        <f>+IF(AVANCE[[#This Row],[REVESTIMIENTO INTERIOR ZONA SECA]]=AW$2,100%,AVANCE[[#This Row],[REVESTIMIENTO INTERIOR ZONA SECA]])</f>
        <v>0</v>
      </c>
      <c r="CL431" s="3">
        <f>+IF(AVANCE[[#This Row],[REVESTIMIENTO INTERIOR ZONAS HUMEDAS]]=AX$2,100%,AVANCE[[#This Row],[REVESTIMIENTO INTERIOR ZONAS HUMEDAS]])</f>
        <v>0</v>
      </c>
      <c r="CM431" s="3">
        <f>+IF(AVANCE[[#This Row],[MEMBRANA CIELO]]=AY$2,100%,AVANCE[[#This Row],[MEMBRANA CIELO]])</f>
        <v>0</v>
      </c>
      <c r="CN431" s="3">
        <f>+IF(AVANCE[[#This Row],[LIMPIEZA FINAL]]=AZ$2,100%,AVANCE[[#This Row],[LIMPIEZA FINAL]])</f>
        <v>0</v>
      </c>
      <c r="CO431" s="3">
        <f>+IF(AVANCE[[#This Row],[PUERTAS DORMITORIO]]=BA$2,100%,AVANCE[[#This Row],[PUERTAS DORMITORIO]])</f>
        <v>0</v>
      </c>
      <c r="CP431" s="3">
        <f>+IF(AVANCE[[#This Row],[REVESTIMIENTO INTERIOR BANO]]=BB$2,100%,AVANCE[[#This Row],[REVESTIMIENTO INTERIOR BANO]])</f>
        <v>0</v>
      </c>
      <c r="CQ431" s="3">
        <f>+IF(AVANCE[[#This Row],[MUEBLE LAVAPLATOS]]=BC$2,100%,AVANCE[[#This Row],[MUEBLE LAVAPLATOS]])</f>
        <v>0</v>
      </c>
      <c r="CR431" s="3">
        <f>+IF(AVANCE[[#This Row],[IMPERMEABILIZACION BANO - COCINA LOGIA]]=BD$2,100%,AVANCE[[#This Row],[IMPERMEABILIZACION BANO - COCINA LOGIA]])</f>
        <v>0</v>
      </c>
      <c r="CS431" s="40">
        <f ca="1">+IF(AVANCE[[#This Row],[ESTADO MODULO]]="PENDIENTE",(TODAY()-AVANCE[[#This Row],[FECHA TERMINO  PLANIFICADO]]),0)</f>
        <v>0</v>
      </c>
      <c r="CT431" s="41" t="str" cm="1">
        <f t="array" ref="CT431">_xlfn.TEXTJOIN(" | ",TRUE,IF(SUMPRODUCT((BG431:CR431&lt;1)*(PARTIDAS!$I$2:$AT$2="OBRA GRUESA"))&gt;0,"OBRA GRUESA: "&amp;_xlfn.TEXTJOIN(", ",TRUE,IF((BG431:CR431&lt;1)*(PARTIDAS!$I$2:$AT$2="OBRA GRUESA"),PARTIDAS!$I$1:$AT$1,"")),""),IF(SUMPRODUCT((BG431:CR431&lt;1)*(PARTIDAS!$I$2:$AT$2="SANITARIOS"))&gt;0,"SANITARIOS: "&amp;_xlfn.TEXTJOIN(", ",TRUE,IF((BG431:CR431&lt;1)*(PARTIDAS!$I$2:$AT$2="SANITARIOS"),PARTIDAS!$I$1:$AT$1,"")),""),IF(SUMPRODUCT((BG431:CR431&lt;1)*(PARTIDAS!$I$2:$AT$2="ELÉCTRICO"))&gt;0,"ELÉCTRICO: "&amp;_xlfn.TEXTJOIN(", ",TRUE,IF((BG431:CR431&lt;1)*(PARTIDAS!$I$2:$AT$2="ELÉCTRICO"),PARTIDAS!$I$1:$AT$1,"")),""),IF(SUMPRODUCT((BG431:CR431&lt;1)*(PARTIDAS!$I$2:$AT$2="TERMINACIONES"))&gt;0,"TERMINACIONES: "&amp;_xlfn.TEXTJOIN(", ",TRUE,IF((BG431:CR431&lt;1)*(PARTIDAS!$I$2:$AT$2="TERMINACIONES"),PARTIDAS!$I$1:$AT$1,"")),""))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1" s="43" t="str" cm="1">
        <f t="array" ref="CU431">_xlfn.TEXTJOIN(", ",TRUE,IF(SUMPRODUCT((BG431:CR431&lt;1)*(PARTIDAS!$I$2:$AT$2="OBRA GRUESA"))&gt;0,"OBRA GRUESA",""),IF(SUMPRODUCT((BG431:CR431&lt;1)*(PARTIDAS!$I$2:$AT$2="SANITARIOS"))&gt;0,"SANITARIOS",""),IF(SUMPRODUCT((BG431:CR431&lt;1)*(PARTIDAS!$I$2:$AT$2="ELÉCTRICO"))&gt;0,"ELÉCTRICO",""),IF(SUMPRODUCT((BG431:CR431&lt;1)*(PARTIDAS!$I$2:$AT$2="TERMINACIONES"))&gt;0,"TERMINACIONES",""))</f>
        <v>OBRA GRUESA, SANITARIOS, ELÉCTRICO, TERMINACIONES</v>
      </c>
      <c r="CV431" s="44" cm="1">
        <f t="array" ref="CV431">SUMPRODUCT(--(BG431:CR431&lt;1))</f>
        <v>38</v>
      </c>
    </row>
    <row r="432" spans="1:100" hidden="1" x14ac:dyDescent="0.25">
      <c r="A432" t="s">
        <v>487</v>
      </c>
      <c r="B432" t="s">
        <v>502</v>
      </c>
      <c r="C432">
        <v>2302600431</v>
      </c>
      <c r="D432" t="s">
        <v>60</v>
      </c>
      <c r="E432" s="2">
        <v>0</v>
      </c>
      <c r="F432" s="1">
        <v>46353</v>
      </c>
      <c r="G432" s="1"/>
      <c r="H432" s="1">
        <v>0</v>
      </c>
      <c r="I432" s="1">
        <v>46383</v>
      </c>
      <c r="J432">
        <v>46230</v>
      </c>
      <c r="K432" s="1"/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>
        <v>31.32</v>
      </c>
      <c r="BF432" s="3" t="str">
        <f>+IF(AVANCE[[#This Row],[% AVANCE]]=100%,"MODULO TERMINADO",IF(AVANCE[[#This Row],[FECHA INICIO REAL]]="","MODULO NO INICIADO","PENDIENTE"))</f>
        <v>MODULO NO INICIADO</v>
      </c>
      <c r="BG432" s="3">
        <f>+IF(AVANCE[[#This Row],[VENTANAS]]=8.10810810810811%,100%,AVANCE[[#This Row],[VENTANAS]])</f>
        <v>0</v>
      </c>
      <c r="BH432" s="3">
        <f>+IF(AVANCE[[#This Row],[PISO]]=N$2,100%,AVANCE[[#This Row],[PISO]])</f>
        <v>0</v>
      </c>
      <c r="BI432" s="3">
        <f>+IF(AVANCE[[#This Row],[TABIQUES]]=O$2,100%,AVANCE[[#This Row],[TABIQUES]])</f>
        <v>0</v>
      </c>
      <c r="BJ432" s="3">
        <f>+IF(AVANCE[[#This Row],[MUROS]]=P$2,100%,AVANCE[[#This Row],[MUROS]])</f>
        <v>0</v>
      </c>
      <c r="BK432" s="3">
        <f>+IF(AVANCE[[#This Row],[CIELO]]=Q$2,100%,AVANCE[[#This Row],[CIELO]])</f>
        <v>0</v>
      </c>
      <c r="BL432" s="3">
        <f>+IF(AVANCE[[#This Row],[BALCÓN]]=R$2,100%,AVANCE[[#This Row],[BALCÓN]])</f>
        <v>0</v>
      </c>
      <c r="BM432" s="3">
        <f>+IF(AVANCE[[#This Row],[RED ALCANTARILLADO]]=U$2,100%,AVANCE[[#This Row],[RED ALCANTARILLADO]])</f>
        <v>0</v>
      </c>
      <c r="BN432" s="3">
        <f>+IF(AVANCE[[#This Row],[RED DE AGUA]]=V$2,100%,AVANCE[[#This Row],[RED DE AGUA]])</f>
        <v>0</v>
      </c>
      <c r="BO432" s="3">
        <f>+IF(AVANCE[[#This Row],[VENTILACIONES]]=W$2,100%,AVANCE[[#This Row],[VENTILACIONES]])</f>
        <v>0</v>
      </c>
      <c r="BP432" s="3">
        <f>+IF(AVANCE[[#This Row],[TINA]]=X$2,100%,AVANCE[[#This Row],[TINA]])</f>
        <v>0</v>
      </c>
      <c r="BQ432" s="3">
        <f>+IF(AVANCE[[#This Row],[WC]]=Y$2,100%,AVANCE[[#This Row],[WC]])</f>
        <v>0</v>
      </c>
      <c r="BR432" s="3">
        <f>+IF(AVANCE[[#This Row],[LAVAMANOS / LAVAPLATOS / LAVADERO]]=Z$2,100%,AVANCE[[#This Row],[LAVAMANOS / LAVAPLATOS / LAVADERO]])</f>
        <v>0</v>
      </c>
      <c r="BS432" s="3">
        <f>+IF(AVANCE[[#This Row],[CANALIZACIÓN]]=AC$2,100%,AVANCE[[#This Row],[CANALIZACIÓN]])</f>
        <v>0</v>
      </c>
      <c r="BT432" s="3">
        <f>+IF(AVANCE[[#This Row],[CABLEADO]]=AD$2,100%,AVANCE[[#This Row],[CABLEADO]])</f>
        <v>0</v>
      </c>
      <c r="BU432" s="3">
        <f>+IF(AVANCE[[#This Row],[ARTEFACTOS]]=AE$2,100%,AVANCE[[#This Row],[ARTEFACTOS]])</f>
        <v>0</v>
      </c>
      <c r="BV432" s="3">
        <f>+IF(AVANCE[[#This Row],[TABLERO]]=AF$2,100%,AVANCE[[#This Row],[TABLERO]])</f>
        <v>0</v>
      </c>
      <c r="BW432" s="3">
        <f>+IF(AVANCE[[#This Row],[CAJA PAU]]=AG$2,100%,AVANCE[[#This Row],[CAJA PAU]])</f>
        <v>0</v>
      </c>
      <c r="BX432" s="3">
        <f>+IF(AVANCE[[#This Row],[INSTALACION VINILICO]]=AJ$2,100%,AVANCE[[#This Row],[INSTALACION VINILICO]])</f>
        <v>0</v>
      </c>
      <c r="BY432" s="3">
        <f>+IF(AVANCE[[#This Row],[OSB CUBIERTA]]=AK$2,100%,AVANCE[[#This Row],[OSB CUBIERTA]])</f>
        <v>0</v>
      </c>
      <c r="BZ432" s="3">
        <f>+IF(AVANCE[[#This Row],[BARANDA BALCON]]=AL$2,100%,AVANCE[[#This Row],[BARANDA BALCON]])</f>
        <v>0</v>
      </c>
      <c r="CA432" s="3">
        <f>+IF(AVANCE[[#This Row],[OSB EXTERIOR]]=AM$2,100%,AVANCE[[#This Row],[OSB EXTERIOR]])</f>
        <v>0</v>
      </c>
      <c r="CB432" s="3">
        <f>+IF(AVANCE[[#This Row],[SMART PANEL]]=AN$2,100%,AVANCE[[#This Row],[SMART PANEL]])</f>
        <v>0</v>
      </c>
      <c r="CC432" s="3">
        <f>+IF(AVANCE[[#This Row],[PINTURA EXTERIOR]]=AO$2,100%,AVANCE[[#This Row],[PINTURA EXTERIOR]])</f>
        <v>0</v>
      </c>
      <c r="CD432" s="3">
        <f>+IF(AVANCE[[#This Row],[ZOCALOS LOGIA]]=AP$2,100%,AVANCE[[#This Row],[ZOCALOS LOGIA]])</f>
        <v>0</v>
      </c>
      <c r="CE432" s="3">
        <f>+IF(AVANCE[[#This Row],[MOLDURAS]]=AQ$2,100%,AVANCE[[#This Row],[MOLDURAS]])</f>
        <v>0</v>
      </c>
      <c r="CF432" s="3">
        <f>+IF(AVANCE[[#This Row],[PILASTREO]]=AR$2,100%,AVANCE[[#This Row],[PILASTREO]])</f>
        <v>0</v>
      </c>
      <c r="CG432" s="3">
        <f>+IF(AVANCE[[#This Row],[CELOSIAS]]=AS$2,100%,AVANCE[[#This Row],[CELOSIAS]])</f>
        <v>0</v>
      </c>
      <c r="CH432" s="3">
        <f>+IF(AVANCE[[#This Row],[VENTANAS]]=AT$2,100%,AVANCE[[#This Row],[VENTANAS]])</f>
        <v>0</v>
      </c>
      <c r="CI432" s="3">
        <f>+IF(AVANCE[[#This Row],[PUERTAS ACCESO - LOGIA - BANO]]=AU$2,100%,AVANCE[[#This Row],[PUERTAS ACCESO - LOGIA - BANO]])</f>
        <v>0</v>
      </c>
      <c r="CJ432" s="3">
        <f>+IF(AVANCE[[#This Row],[CERRADURAS]]=AV$2,100%,AVANCE[[#This Row],[CERRADURAS]])</f>
        <v>0</v>
      </c>
      <c r="CK432" s="3">
        <f>+IF(AVANCE[[#This Row],[REVESTIMIENTO INTERIOR ZONA SECA]]=AW$2,100%,AVANCE[[#This Row],[REVESTIMIENTO INTERIOR ZONA SECA]])</f>
        <v>0</v>
      </c>
      <c r="CL432" s="3">
        <f>+IF(AVANCE[[#This Row],[REVESTIMIENTO INTERIOR ZONAS HUMEDAS]]=AX$2,100%,AVANCE[[#This Row],[REVESTIMIENTO INTERIOR ZONAS HUMEDAS]])</f>
        <v>0</v>
      </c>
      <c r="CM432" s="3">
        <f>+IF(AVANCE[[#This Row],[MEMBRANA CIELO]]=AY$2,100%,AVANCE[[#This Row],[MEMBRANA CIELO]])</f>
        <v>0</v>
      </c>
      <c r="CN432" s="3">
        <f>+IF(AVANCE[[#This Row],[LIMPIEZA FINAL]]=AZ$2,100%,AVANCE[[#This Row],[LIMPIEZA FINAL]])</f>
        <v>0</v>
      </c>
      <c r="CO432" s="3">
        <f>+IF(AVANCE[[#This Row],[PUERTAS DORMITORIO]]=BA$2,100%,AVANCE[[#This Row],[PUERTAS DORMITORIO]])</f>
        <v>0</v>
      </c>
      <c r="CP432" s="3">
        <f>+IF(AVANCE[[#This Row],[REVESTIMIENTO INTERIOR BANO]]=BB$2,100%,AVANCE[[#This Row],[REVESTIMIENTO INTERIOR BANO]])</f>
        <v>0</v>
      </c>
      <c r="CQ432" s="3">
        <f>+IF(AVANCE[[#This Row],[MUEBLE LAVAPLATOS]]=BC$2,100%,AVANCE[[#This Row],[MUEBLE LAVAPLATOS]])</f>
        <v>0</v>
      </c>
      <c r="CR432" s="3">
        <f>+IF(AVANCE[[#This Row],[IMPERMEABILIZACION BANO - COCINA LOGIA]]=BD$2,100%,AVANCE[[#This Row],[IMPERMEABILIZACION BANO - COCINA LOGIA]])</f>
        <v>0</v>
      </c>
      <c r="CS432" s="40">
        <f ca="1">+IF(AVANCE[[#This Row],[ESTADO MODULO]]="PENDIENTE",(TODAY()-AVANCE[[#This Row],[FECHA TERMINO  PLANIFICADO]]),0)</f>
        <v>0</v>
      </c>
      <c r="CT432" s="41" t="str" cm="1">
        <f t="array" ref="CT432">_xlfn.TEXTJOIN(" | ",TRUE,IF(SUMPRODUCT((BG432:CR432&lt;1)*(PARTIDAS!$I$2:$AT$2="OBRA GRUESA"))&gt;0,"OBRA GRUESA: "&amp;_xlfn.TEXTJOIN(", ",TRUE,IF((BG432:CR432&lt;1)*(PARTIDAS!$I$2:$AT$2="OBRA GRUESA"),PARTIDAS!$I$1:$AT$1,"")),""),IF(SUMPRODUCT((BG432:CR432&lt;1)*(PARTIDAS!$I$2:$AT$2="SANITARIOS"))&gt;0,"SANITARIOS: "&amp;_xlfn.TEXTJOIN(", ",TRUE,IF((BG432:CR432&lt;1)*(PARTIDAS!$I$2:$AT$2="SANITARIOS"),PARTIDAS!$I$1:$AT$1,"")),""),IF(SUMPRODUCT((BG432:CR432&lt;1)*(PARTIDAS!$I$2:$AT$2="ELÉCTRICO"))&gt;0,"ELÉCTRICO: "&amp;_xlfn.TEXTJOIN(", ",TRUE,IF((BG432:CR432&lt;1)*(PARTIDAS!$I$2:$AT$2="ELÉCTRICO"),PARTIDAS!$I$1:$AT$1,"")),""),IF(SUMPRODUCT((BG432:CR432&lt;1)*(PARTIDAS!$I$2:$AT$2="TERMINACIONES"))&gt;0,"TERMINACIONES: "&amp;_xlfn.TEXTJOIN(", ",TRUE,IF((BG432:CR432&lt;1)*(PARTIDAS!$I$2:$AT$2="TERMINACIONES"),PARTIDAS!$I$1:$AT$1,"")),""))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2" s="43" t="str" cm="1">
        <f t="array" ref="CU432">_xlfn.TEXTJOIN(", ",TRUE,IF(SUMPRODUCT((BG432:CR432&lt;1)*(PARTIDAS!$I$2:$AT$2="OBRA GRUESA"))&gt;0,"OBRA GRUESA",""),IF(SUMPRODUCT((BG432:CR432&lt;1)*(PARTIDAS!$I$2:$AT$2="SANITARIOS"))&gt;0,"SANITARIOS",""),IF(SUMPRODUCT((BG432:CR432&lt;1)*(PARTIDAS!$I$2:$AT$2="ELÉCTRICO"))&gt;0,"ELÉCTRICO",""),IF(SUMPRODUCT((BG432:CR432&lt;1)*(PARTIDAS!$I$2:$AT$2="TERMINACIONES"))&gt;0,"TERMINACIONES",""))</f>
        <v>OBRA GRUESA, SANITARIOS, ELÉCTRICO, TERMINACIONES</v>
      </c>
      <c r="CV432" s="44" cm="1">
        <f t="array" ref="CV432">SUMPRODUCT(--(BG432:CR432&lt;1))</f>
        <v>38</v>
      </c>
    </row>
    <row r="433" spans="1:100" hidden="1" x14ac:dyDescent="0.25">
      <c r="A433" t="s">
        <v>487</v>
      </c>
      <c r="B433" t="s">
        <v>503</v>
      </c>
      <c r="C433">
        <v>2282600432</v>
      </c>
      <c r="D433" t="s">
        <v>58</v>
      </c>
      <c r="E433" s="2">
        <v>0</v>
      </c>
      <c r="F433" s="1">
        <v>46353</v>
      </c>
      <c r="G433" s="1"/>
      <c r="H433" s="1">
        <v>0</v>
      </c>
      <c r="I433" s="1">
        <v>46373</v>
      </c>
      <c r="J433">
        <v>46230</v>
      </c>
      <c r="K433" s="1"/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>
        <v>28.87</v>
      </c>
      <c r="BF433" s="3" t="str">
        <f>+IF(AVANCE[[#This Row],[% AVANCE]]=100%,"MODULO TERMINADO",IF(AVANCE[[#This Row],[FECHA INICIO REAL]]="","MODULO NO INICIADO","PENDIENTE"))</f>
        <v>MODULO NO INICIADO</v>
      </c>
      <c r="BG433" s="3">
        <f>+IF(AVANCE[[#This Row],[VENTANAS]]=8.10810810810811%,100%,AVANCE[[#This Row],[VENTANAS]])</f>
        <v>0</v>
      </c>
      <c r="BH433" s="3">
        <f>+IF(AVANCE[[#This Row],[PISO]]=N$2,100%,AVANCE[[#This Row],[PISO]])</f>
        <v>0</v>
      </c>
      <c r="BI433" s="3">
        <f>+IF(AVANCE[[#This Row],[TABIQUES]]=O$2,100%,AVANCE[[#This Row],[TABIQUES]])</f>
        <v>0</v>
      </c>
      <c r="BJ433" s="3">
        <f>+IF(AVANCE[[#This Row],[MUROS]]=P$2,100%,AVANCE[[#This Row],[MUROS]])</f>
        <v>0</v>
      </c>
      <c r="BK433" s="3">
        <f>+IF(AVANCE[[#This Row],[CIELO]]=Q$2,100%,AVANCE[[#This Row],[CIELO]])</f>
        <v>0</v>
      </c>
      <c r="BL433" s="3">
        <f>+IF(AVANCE[[#This Row],[BALCÓN]]=R$2,100%,AVANCE[[#This Row],[BALCÓN]])</f>
        <v>0</v>
      </c>
      <c r="BM433" s="3">
        <f>+IF(AVANCE[[#This Row],[RED ALCANTARILLADO]]=U$2,100%,AVANCE[[#This Row],[RED ALCANTARILLADO]])</f>
        <v>0</v>
      </c>
      <c r="BN433" s="3">
        <f>+IF(AVANCE[[#This Row],[RED DE AGUA]]=V$2,100%,AVANCE[[#This Row],[RED DE AGUA]])</f>
        <v>0</v>
      </c>
      <c r="BO433" s="3">
        <f>+IF(AVANCE[[#This Row],[VENTILACIONES]]=W$2,100%,AVANCE[[#This Row],[VENTILACIONES]])</f>
        <v>0</v>
      </c>
      <c r="BP433" s="3">
        <f>+IF(AVANCE[[#This Row],[TINA]]=X$2,100%,AVANCE[[#This Row],[TINA]])</f>
        <v>0</v>
      </c>
      <c r="BQ433" s="3">
        <f>+IF(AVANCE[[#This Row],[WC]]=Y$2,100%,AVANCE[[#This Row],[WC]])</f>
        <v>0</v>
      </c>
      <c r="BR433" s="3">
        <f>+IF(AVANCE[[#This Row],[LAVAMANOS / LAVAPLATOS / LAVADERO]]=Z$2,100%,AVANCE[[#This Row],[LAVAMANOS / LAVAPLATOS / LAVADERO]])</f>
        <v>0</v>
      </c>
      <c r="BS433" s="3">
        <f>+IF(AVANCE[[#This Row],[CANALIZACIÓN]]=AC$2,100%,AVANCE[[#This Row],[CANALIZACIÓN]])</f>
        <v>0</v>
      </c>
      <c r="BT433" s="3">
        <f>+IF(AVANCE[[#This Row],[CABLEADO]]=AD$2,100%,AVANCE[[#This Row],[CABLEADO]])</f>
        <v>0</v>
      </c>
      <c r="BU433" s="3">
        <f>+IF(AVANCE[[#This Row],[ARTEFACTOS]]=AE$2,100%,AVANCE[[#This Row],[ARTEFACTOS]])</f>
        <v>0</v>
      </c>
      <c r="BV433" s="3">
        <f>+IF(AVANCE[[#This Row],[TABLERO]]=AF$2,100%,AVANCE[[#This Row],[TABLERO]])</f>
        <v>0</v>
      </c>
      <c r="BW433" s="3">
        <f>+IF(AVANCE[[#This Row],[CAJA PAU]]=AG$2,100%,AVANCE[[#This Row],[CAJA PAU]])</f>
        <v>0</v>
      </c>
      <c r="BX433" s="3">
        <f>+IF(AVANCE[[#This Row],[INSTALACION VINILICO]]=AJ$2,100%,AVANCE[[#This Row],[INSTALACION VINILICO]])</f>
        <v>0</v>
      </c>
      <c r="BY433" s="3">
        <f>+IF(AVANCE[[#This Row],[OSB CUBIERTA]]=AK$2,100%,AVANCE[[#This Row],[OSB CUBIERTA]])</f>
        <v>0</v>
      </c>
      <c r="BZ433" s="3">
        <f>+IF(AVANCE[[#This Row],[BARANDA BALCON]]=AL$2,100%,AVANCE[[#This Row],[BARANDA BALCON]])</f>
        <v>0</v>
      </c>
      <c r="CA433" s="3">
        <f>+IF(AVANCE[[#This Row],[OSB EXTERIOR]]=AM$2,100%,AVANCE[[#This Row],[OSB EXTERIOR]])</f>
        <v>0</v>
      </c>
      <c r="CB433" s="3">
        <f>+IF(AVANCE[[#This Row],[SMART PANEL]]=AN$2,100%,AVANCE[[#This Row],[SMART PANEL]])</f>
        <v>0</v>
      </c>
      <c r="CC433" s="3">
        <f>+IF(AVANCE[[#This Row],[PINTURA EXTERIOR]]=AO$2,100%,AVANCE[[#This Row],[PINTURA EXTERIOR]])</f>
        <v>0</v>
      </c>
      <c r="CD433" s="3">
        <f>+IF(AVANCE[[#This Row],[ZOCALOS LOGIA]]=AP$2,100%,AVANCE[[#This Row],[ZOCALOS LOGIA]])</f>
        <v>0</v>
      </c>
      <c r="CE433" s="3">
        <f>+IF(AVANCE[[#This Row],[MOLDURAS]]=AQ$2,100%,AVANCE[[#This Row],[MOLDURAS]])</f>
        <v>0</v>
      </c>
      <c r="CF433" s="3">
        <f>+IF(AVANCE[[#This Row],[PILASTREO]]=AR$2,100%,AVANCE[[#This Row],[PILASTREO]])</f>
        <v>0</v>
      </c>
      <c r="CG433" s="3">
        <f>+IF(AVANCE[[#This Row],[CELOSIAS]]=AS$2,100%,AVANCE[[#This Row],[CELOSIAS]])</f>
        <v>0</v>
      </c>
      <c r="CH433" s="3">
        <f>+IF(AVANCE[[#This Row],[VENTANAS]]=AT$2,100%,AVANCE[[#This Row],[VENTANAS]])</f>
        <v>0</v>
      </c>
      <c r="CI433" s="3">
        <f>+IF(AVANCE[[#This Row],[PUERTAS ACCESO - LOGIA - BANO]]=AU$2,100%,AVANCE[[#This Row],[PUERTAS ACCESO - LOGIA - BANO]])</f>
        <v>0</v>
      </c>
      <c r="CJ433" s="3">
        <f>+IF(AVANCE[[#This Row],[CERRADURAS]]=AV$2,100%,AVANCE[[#This Row],[CERRADURAS]])</f>
        <v>0</v>
      </c>
      <c r="CK433" s="3">
        <f>+IF(AVANCE[[#This Row],[REVESTIMIENTO INTERIOR ZONA SECA]]=AW$2,100%,AVANCE[[#This Row],[REVESTIMIENTO INTERIOR ZONA SECA]])</f>
        <v>0</v>
      </c>
      <c r="CL433" s="3">
        <f>+IF(AVANCE[[#This Row],[REVESTIMIENTO INTERIOR ZONAS HUMEDAS]]=AX$2,100%,AVANCE[[#This Row],[REVESTIMIENTO INTERIOR ZONAS HUMEDAS]])</f>
        <v>0</v>
      </c>
      <c r="CM433" s="3">
        <f>+IF(AVANCE[[#This Row],[MEMBRANA CIELO]]=AY$2,100%,AVANCE[[#This Row],[MEMBRANA CIELO]])</f>
        <v>0</v>
      </c>
      <c r="CN433" s="3">
        <f>+IF(AVANCE[[#This Row],[LIMPIEZA FINAL]]=AZ$2,100%,AVANCE[[#This Row],[LIMPIEZA FINAL]])</f>
        <v>0</v>
      </c>
      <c r="CO433" s="3">
        <f>+IF(AVANCE[[#This Row],[PUERTAS DORMITORIO]]=BA$2,100%,AVANCE[[#This Row],[PUERTAS DORMITORIO]])</f>
        <v>0</v>
      </c>
      <c r="CP433" s="3">
        <f>+IF(AVANCE[[#This Row],[REVESTIMIENTO INTERIOR BANO]]=BB$2,100%,AVANCE[[#This Row],[REVESTIMIENTO INTERIOR BANO]])</f>
        <v>0</v>
      </c>
      <c r="CQ433" s="3">
        <f>+IF(AVANCE[[#This Row],[MUEBLE LAVAPLATOS]]=BC$2,100%,AVANCE[[#This Row],[MUEBLE LAVAPLATOS]])</f>
        <v>0</v>
      </c>
      <c r="CR433" s="3">
        <f>+IF(AVANCE[[#This Row],[IMPERMEABILIZACION BANO - COCINA LOGIA]]=BD$2,100%,AVANCE[[#This Row],[IMPERMEABILIZACION BANO - COCINA LOGIA]])</f>
        <v>0</v>
      </c>
      <c r="CS433" s="40">
        <f ca="1">+IF(AVANCE[[#This Row],[ESTADO MODULO]]="PENDIENTE",(TODAY()-AVANCE[[#This Row],[FECHA TERMINO  PLANIFICADO]]),0)</f>
        <v>0</v>
      </c>
      <c r="CT433" s="41" t="str" cm="1">
        <f t="array" ref="CT433">_xlfn.TEXTJOIN(" | ",TRUE,IF(SUMPRODUCT((BG433:CR433&lt;1)*(PARTIDAS!$I$2:$AT$2="OBRA GRUESA"))&gt;0,"OBRA GRUESA: "&amp;_xlfn.TEXTJOIN(", ",TRUE,IF((BG433:CR433&lt;1)*(PARTIDAS!$I$2:$AT$2="OBRA GRUESA"),PARTIDAS!$I$1:$AT$1,"")),""),IF(SUMPRODUCT((BG433:CR433&lt;1)*(PARTIDAS!$I$2:$AT$2="SANITARIOS"))&gt;0,"SANITARIOS: "&amp;_xlfn.TEXTJOIN(", ",TRUE,IF((BG433:CR433&lt;1)*(PARTIDAS!$I$2:$AT$2="SANITARIOS"),PARTIDAS!$I$1:$AT$1,"")),""),IF(SUMPRODUCT((BG433:CR433&lt;1)*(PARTIDAS!$I$2:$AT$2="ELÉCTRICO"))&gt;0,"ELÉCTRICO: "&amp;_xlfn.TEXTJOIN(", ",TRUE,IF((BG433:CR433&lt;1)*(PARTIDAS!$I$2:$AT$2="ELÉCTRICO"),PARTIDAS!$I$1:$AT$1,"")),""),IF(SUMPRODUCT((BG433:CR433&lt;1)*(PARTIDAS!$I$2:$AT$2="TERMINACIONES"))&gt;0,"TERMINACIONES: "&amp;_xlfn.TEXTJOIN(", ",TRUE,IF((BG433:CR433&lt;1)*(PARTIDAS!$I$2:$AT$2="TERMINACIONES"),PARTIDAS!$I$1:$AT$1,"")),""))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3" s="43" t="str" cm="1">
        <f t="array" ref="CU433">_xlfn.TEXTJOIN(", ",TRUE,IF(SUMPRODUCT((BG433:CR433&lt;1)*(PARTIDAS!$I$2:$AT$2="OBRA GRUESA"))&gt;0,"OBRA GRUESA",""),IF(SUMPRODUCT((BG433:CR433&lt;1)*(PARTIDAS!$I$2:$AT$2="SANITARIOS"))&gt;0,"SANITARIOS",""),IF(SUMPRODUCT((BG433:CR433&lt;1)*(PARTIDAS!$I$2:$AT$2="ELÉCTRICO"))&gt;0,"ELÉCTRICO",""),IF(SUMPRODUCT((BG433:CR433&lt;1)*(PARTIDAS!$I$2:$AT$2="TERMINACIONES"))&gt;0,"TERMINACIONES",""))</f>
        <v>OBRA GRUESA, SANITARIOS, ELÉCTRICO, TERMINACIONES</v>
      </c>
      <c r="CV433" s="44" cm="1">
        <f t="array" ref="CV433">SUMPRODUCT(--(BG433:CR433&lt;1))</f>
        <v>38</v>
      </c>
    </row>
    <row r="434" spans="1:100" hidden="1" x14ac:dyDescent="0.25">
      <c r="A434" t="s">
        <v>487</v>
      </c>
      <c r="B434" t="s">
        <v>504</v>
      </c>
      <c r="C434">
        <v>2282600433</v>
      </c>
      <c r="D434" t="s">
        <v>58</v>
      </c>
      <c r="E434" s="2">
        <v>0</v>
      </c>
      <c r="F434" s="1">
        <v>46353</v>
      </c>
      <c r="G434" s="1"/>
      <c r="H434" s="1">
        <v>0</v>
      </c>
      <c r="I434" s="1">
        <v>46373</v>
      </c>
      <c r="J434">
        <v>46230</v>
      </c>
      <c r="K434" s="1"/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>
        <v>28.87</v>
      </c>
      <c r="BF434" s="3" t="str">
        <f>+IF(AVANCE[[#This Row],[% AVANCE]]=100%,"MODULO TERMINADO",IF(AVANCE[[#This Row],[FECHA INICIO REAL]]="","MODULO NO INICIADO","PENDIENTE"))</f>
        <v>MODULO NO INICIADO</v>
      </c>
      <c r="BG434" s="3">
        <f>+IF(AVANCE[[#This Row],[VENTANAS]]=8.10810810810811%,100%,AVANCE[[#This Row],[VENTANAS]])</f>
        <v>0</v>
      </c>
      <c r="BH434" s="3">
        <f>+IF(AVANCE[[#This Row],[PISO]]=N$2,100%,AVANCE[[#This Row],[PISO]])</f>
        <v>0</v>
      </c>
      <c r="BI434" s="3">
        <f>+IF(AVANCE[[#This Row],[TABIQUES]]=O$2,100%,AVANCE[[#This Row],[TABIQUES]])</f>
        <v>0</v>
      </c>
      <c r="BJ434" s="3">
        <f>+IF(AVANCE[[#This Row],[MUROS]]=P$2,100%,AVANCE[[#This Row],[MUROS]])</f>
        <v>0</v>
      </c>
      <c r="BK434" s="3">
        <f>+IF(AVANCE[[#This Row],[CIELO]]=Q$2,100%,AVANCE[[#This Row],[CIELO]])</f>
        <v>0</v>
      </c>
      <c r="BL434" s="3">
        <f>+IF(AVANCE[[#This Row],[BALCÓN]]=R$2,100%,AVANCE[[#This Row],[BALCÓN]])</f>
        <v>0</v>
      </c>
      <c r="BM434" s="3">
        <f>+IF(AVANCE[[#This Row],[RED ALCANTARILLADO]]=U$2,100%,AVANCE[[#This Row],[RED ALCANTARILLADO]])</f>
        <v>0</v>
      </c>
      <c r="BN434" s="3">
        <f>+IF(AVANCE[[#This Row],[RED DE AGUA]]=V$2,100%,AVANCE[[#This Row],[RED DE AGUA]])</f>
        <v>0</v>
      </c>
      <c r="BO434" s="3">
        <f>+IF(AVANCE[[#This Row],[VENTILACIONES]]=W$2,100%,AVANCE[[#This Row],[VENTILACIONES]])</f>
        <v>0</v>
      </c>
      <c r="BP434" s="3">
        <f>+IF(AVANCE[[#This Row],[TINA]]=X$2,100%,AVANCE[[#This Row],[TINA]])</f>
        <v>0</v>
      </c>
      <c r="BQ434" s="3">
        <f>+IF(AVANCE[[#This Row],[WC]]=Y$2,100%,AVANCE[[#This Row],[WC]])</f>
        <v>0</v>
      </c>
      <c r="BR434" s="3">
        <f>+IF(AVANCE[[#This Row],[LAVAMANOS / LAVAPLATOS / LAVADERO]]=Z$2,100%,AVANCE[[#This Row],[LAVAMANOS / LAVAPLATOS / LAVADERO]])</f>
        <v>0</v>
      </c>
      <c r="BS434" s="3">
        <f>+IF(AVANCE[[#This Row],[CANALIZACIÓN]]=AC$2,100%,AVANCE[[#This Row],[CANALIZACIÓN]])</f>
        <v>0</v>
      </c>
      <c r="BT434" s="3">
        <f>+IF(AVANCE[[#This Row],[CABLEADO]]=AD$2,100%,AVANCE[[#This Row],[CABLEADO]])</f>
        <v>0</v>
      </c>
      <c r="BU434" s="3">
        <f>+IF(AVANCE[[#This Row],[ARTEFACTOS]]=AE$2,100%,AVANCE[[#This Row],[ARTEFACTOS]])</f>
        <v>0</v>
      </c>
      <c r="BV434" s="3">
        <f>+IF(AVANCE[[#This Row],[TABLERO]]=AF$2,100%,AVANCE[[#This Row],[TABLERO]])</f>
        <v>0</v>
      </c>
      <c r="BW434" s="3">
        <f>+IF(AVANCE[[#This Row],[CAJA PAU]]=AG$2,100%,AVANCE[[#This Row],[CAJA PAU]])</f>
        <v>0</v>
      </c>
      <c r="BX434" s="3">
        <f>+IF(AVANCE[[#This Row],[INSTALACION VINILICO]]=AJ$2,100%,AVANCE[[#This Row],[INSTALACION VINILICO]])</f>
        <v>0</v>
      </c>
      <c r="BY434" s="3">
        <f>+IF(AVANCE[[#This Row],[OSB CUBIERTA]]=AK$2,100%,AVANCE[[#This Row],[OSB CUBIERTA]])</f>
        <v>0</v>
      </c>
      <c r="BZ434" s="3">
        <f>+IF(AVANCE[[#This Row],[BARANDA BALCON]]=AL$2,100%,AVANCE[[#This Row],[BARANDA BALCON]])</f>
        <v>0</v>
      </c>
      <c r="CA434" s="3">
        <f>+IF(AVANCE[[#This Row],[OSB EXTERIOR]]=AM$2,100%,AVANCE[[#This Row],[OSB EXTERIOR]])</f>
        <v>0</v>
      </c>
      <c r="CB434" s="3">
        <f>+IF(AVANCE[[#This Row],[SMART PANEL]]=AN$2,100%,AVANCE[[#This Row],[SMART PANEL]])</f>
        <v>0</v>
      </c>
      <c r="CC434" s="3">
        <f>+IF(AVANCE[[#This Row],[PINTURA EXTERIOR]]=AO$2,100%,AVANCE[[#This Row],[PINTURA EXTERIOR]])</f>
        <v>0</v>
      </c>
      <c r="CD434" s="3">
        <f>+IF(AVANCE[[#This Row],[ZOCALOS LOGIA]]=AP$2,100%,AVANCE[[#This Row],[ZOCALOS LOGIA]])</f>
        <v>0</v>
      </c>
      <c r="CE434" s="3">
        <f>+IF(AVANCE[[#This Row],[MOLDURAS]]=AQ$2,100%,AVANCE[[#This Row],[MOLDURAS]])</f>
        <v>0</v>
      </c>
      <c r="CF434" s="3">
        <f>+IF(AVANCE[[#This Row],[PILASTREO]]=AR$2,100%,AVANCE[[#This Row],[PILASTREO]])</f>
        <v>0</v>
      </c>
      <c r="CG434" s="3">
        <f>+IF(AVANCE[[#This Row],[CELOSIAS]]=AS$2,100%,AVANCE[[#This Row],[CELOSIAS]])</f>
        <v>0</v>
      </c>
      <c r="CH434" s="3">
        <f>+IF(AVANCE[[#This Row],[VENTANAS]]=AT$2,100%,AVANCE[[#This Row],[VENTANAS]])</f>
        <v>0</v>
      </c>
      <c r="CI434" s="3">
        <f>+IF(AVANCE[[#This Row],[PUERTAS ACCESO - LOGIA - BANO]]=AU$2,100%,AVANCE[[#This Row],[PUERTAS ACCESO - LOGIA - BANO]])</f>
        <v>0</v>
      </c>
      <c r="CJ434" s="3">
        <f>+IF(AVANCE[[#This Row],[CERRADURAS]]=AV$2,100%,AVANCE[[#This Row],[CERRADURAS]])</f>
        <v>0</v>
      </c>
      <c r="CK434" s="3">
        <f>+IF(AVANCE[[#This Row],[REVESTIMIENTO INTERIOR ZONA SECA]]=AW$2,100%,AVANCE[[#This Row],[REVESTIMIENTO INTERIOR ZONA SECA]])</f>
        <v>0</v>
      </c>
      <c r="CL434" s="3">
        <f>+IF(AVANCE[[#This Row],[REVESTIMIENTO INTERIOR ZONAS HUMEDAS]]=AX$2,100%,AVANCE[[#This Row],[REVESTIMIENTO INTERIOR ZONAS HUMEDAS]])</f>
        <v>0</v>
      </c>
      <c r="CM434" s="3">
        <f>+IF(AVANCE[[#This Row],[MEMBRANA CIELO]]=AY$2,100%,AVANCE[[#This Row],[MEMBRANA CIELO]])</f>
        <v>0</v>
      </c>
      <c r="CN434" s="3">
        <f>+IF(AVANCE[[#This Row],[LIMPIEZA FINAL]]=AZ$2,100%,AVANCE[[#This Row],[LIMPIEZA FINAL]])</f>
        <v>0</v>
      </c>
      <c r="CO434" s="3">
        <f>+IF(AVANCE[[#This Row],[PUERTAS DORMITORIO]]=BA$2,100%,AVANCE[[#This Row],[PUERTAS DORMITORIO]])</f>
        <v>0</v>
      </c>
      <c r="CP434" s="3">
        <f>+IF(AVANCE[[#This Row],[REVESTIMIENTO INTERIOR BANO]]=BB$2,100%,AVANCE[[#This Row],[REVESTIMIENTO INTERIOR BANO]])</f>
        <v>0</v>
      </c>
      <c r="CQ434" s="3">
        <f>+IF(AVANCE[[#This Row],[MUEBLE LAVAPLATOS]]=BC$2,100%,AVANCE[[#This Row],[MUEBLE LAVAPLATOS]])</f>
        <v>0</v>
      </c>
      <c r="CR434" s="3">
        <f>+IF(AVANCE[[#This Row],[IMPERMEABILIZACION BANO - COCINA LOGIA]]=BD$2,100%,AVANCE[[#This Row],[IMPERMEABILIZACION BANO - COCINA LOGIA]])</f>
        <v>0</v>
      </c>
      <c r="CS434" s="40">
        <f ca="1">+IF(AVANCE[[#This Row],[ESTADO MODULO]]="PENDIENTE",(TODAY()-AVANCE[[#This Row],[FECHA TERMINO  PLANIFICADO]]),0)</f>
        <v>0</v>
      </c>
      <c r="CT434" s="41" t="str" cm="1">
        <f t="array" ref="CT434">_xlfn.TEXTJOIN(" | ",TRUE,IF(SUMPRODUCT((BG434:CR434&lt;1)*(PARTIDAS!$I$2:$AT$2="OBRA GRUESA"))&gt;0,"OBRA GRUESA: "&amp;_xlfn.TEXTJOIN(", ",TRUE,IF((BG434:CR434&lt;1)*(PARTIDAS!$I$2:$AT$2="OBRA GRUESA"),PARTIDAS!$I$1:$AT$1,"")),""),IF(SUMPRODUCT((BG434:CR434&lt;1)*(PARTIDAS!$I$2:$AT$2="SANITARIOS"))&gt;0,"SANITARIOS: "&amp;_xlfn.TEXTJOIN(", ",TRUE,IF((BG434:CR434&lt;1)*(PARTIDAS!$I$2:$AT$2="SANITARIOS"),PARTIDAS!$I$1:$AT$1,"")),""),IF(SUMPRODUCT((BG434:CR434&lt;1)*(PARTIDAS!$I$2:$AT$2="ELÉCTRICO"))&gt;0,"ELÉCTRICO: "&amp;_xlfn.TEXTJOIN(", ",TRUE,IF((BG434:CR434&lt;1)*(PARTIDAS!$I$2:$AT$2="ELÉCTRICO"),PARTIDAS!$I$1:$AT$1,"")),""),IF(SUMPRODUCT((BG434:CR434&lt;1)*(PARTIDAS!$I$2:$AT$2="TERMINACIONES"))&gt;0,"TERMINACIONES: "&amp;_xlfn.TEXTJOIN(", ",TRUE,IF((BG434:CR434&lt;1)*(PARTIDAS!$I$2:$AT$2="TERMINACIONES"),PARTIDAS!$I$1:$AT$1,"")),""))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4" s="43" t="str" cm="1">
        <f t="array" ref="CU434">_xlfn.TEXTJOIN(", ",TRUE,IF(SUMPRODUCT((BG434:CR434&lt;1)*(PARTIDAS!$I$2:$AT$2="OBRA GRUESA"))&gt;0,"OBRA GRUESA",""),IF(SUMPRODUCT((BG434:CR434&lt;1)*(PARTIDAS!$I$2:$AT$2="SANITARIOS"))&gt;0,"SANITARIOS",""),IF(SUMPRODUCT((BG434:CR434&lt;1)*(PARTIDAS!$I$2:$AT$2="ELÉCTRICO"))&gt;0,"ELÉCTRICO",""),IF(SUMPRODUCT((BG434:CR434&lt;1)*(PARTIDAS!$I$2:$AT$2="TERMINACIONES"))&gt;0,"TERMINACIONES",""))</f>
        <v>OBRA GRUESA, SANITARIOS, ELÉCTRICO, TERMINACIONES</v>
      </c>
      <c r="CV434" s="44" cm="1">
        <f t="array" ref="CV434">SUMPRODUCT(--(BG434:CR434&lt;1))</f>
        <v>38</v>
      </c>
    </row>
    <row r="435" spans="1:100" hidden="1" x14ac:dyDescent="0.25">
      <c r="A435" t="s">
        <v>487</v>
      </c>
      <c r="B435" t="s">
        <v>505</v>
      </c>
      <c r="C435">
        <v>2302600434</v>
      </c>
      <c r="D435" t="s">
        <v>60</v>
      </c>
      <c r="E435" s="2">
        <v>0</v>
      </c>
      <c r="F435" s="1">
        <v>46356</v>
      </c>
      <c r="G435" s="1"/>
      <c r="H435" s="1">
        <v>0</v>
      </c>
      <c r="I435" s="1">
        <v>46386</v>
      </c>
      <c r="J435">
        <v>46230</v>
      </c>
      <c r="K435" s="1"/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>
        <v>31.32</v>
      </c>
      <c r="BF435" s="3" t="str">
        <f>+IF(AVANCE[[#This Row],[% AVANCE]]=100%,"MODULO TERMINADO",IF(AVANCE[[#This Row],[FECHA INICIO REAL]]="","MODULO NO INICIADO","PENDIENTE"))</f>
        <v>MODULO NO INICIADO</v>
      </c>
      <c r="BG435" s="3">
        <f>+IF(AVANCE[[#This Row],[VENTANAS]]=8.10810810810811%,100%,AVANCE[[#This Row],[VENTANAS]])</f>
        <v>0</v>
      </c>
      <c r="BH435" s="3">
        <f>+IF(AVANCE[[#This Row],[PISO]]=N$2,100%,AVANCE[[#This Row],[PISO]])</f>
        <v>0</v>
      </c>
      <c r="BI435" s="3">
        <f>+IF(AVANCE[[#This Row],[TABIQUES]]=O$2,100%,AVANCE[[#This Row],[TABIQUES]])</f>
        <v>0</v>
      </c>
      <c r="BJ435" s="3">
        <f>+IF(AVANCE[[#This Row],[MUROS]]=P$2,100%,AVANCE[[#This Row],[MUROS]])</f>
        <v>0</v>
      </c>
      <c r="BK435" s="3">
        <f>+IF(AVANCE[[#This Row],[CIELO]]=Q$2,100%,AVANCE[[#This Row],[CIELO]])</f>
        <v>0</v>
      </c>
      <c r="BL435" s="3">
        <f>+IF(AVANCE[[#This Row],[BALCÓN]]=R$2,100%,AVANCE[[#This Row],[BALCÓN]])</f>
        <v>0</v>
      </c>
      <c r="BM435" s="3">
        <f>+IF(AVANCE[[#This Row],[RED ALCANTARILLADO]]=U$2,100%,AVANCE[[#This Row],[RED ALCANTARILLADO]])</f>
        <v>0</v>
      </c>
      <c r="BN435" s="3">
        <f>+IF(AVANCE[[#This Row],[RED DE AGUA]]=V$2,100%,AVANCE[[#This Row],[RED DE AGUA]])</f>
        <v>0</v>
      </c>
      <c r="BO435" s="3">
        <f>+IF(AVANCE[[#This Row],[VENTILACIONES]]=W$2,100%,AVANCE[[#This Row],[VENTILACIONES]])</f>
        <v>0</v>
      </c>
      <c r="BP435" s="3">
        <f>+IF(AVANCE[[#This Row],[TINA]]=X$2,100%,AVANCE[[#This Row],[TINA]])</f>
        <v>0</v>
      </c>
      <c r="BQ435" s="3">
        <f>+IF(AVANCE[[#This Row],[WC]]=Y$2,100%,AVANCE[[#This Row],[WC]])</f>
        <v>0</v>
      </c>
      <c r="BR435" s="3">
        <f>+IF(AVANCE[[#This Row],[LAVAMANOS / LAVAPLATOS / LAVADERO]]=Z$2,100%,AVANCE[[#This Row],[LAVAMANOS / LAVAPLATOS / LAVADERO]])</f>
        <v>0</v>
      </c>
      <c r="BS435" s="3">
        <f>+IF(AVANCE[[#This Row],[CANALIZACIÓN]]=AC$2,100%,AVANCE[[#This Row],[CANALIZACIÓN]])</f>
        <v>0</v>
      </c>
      <c r="BT435" s="3">
        <f>+IF(AVANCE[[#This Row],[CABLEADO]]=AD$2,100%,AVANCE[[#This Row],[CABLEADO]])</f>
        <v>0</v>
      </c>
      <c r="BU435" s="3">
        <f>+IF(AVANCE[[#This Row],[ARTEFACTOS]]=AE$2,100%,AVANCE[[#This Row],[ARTEFACTOS]])</f>
        <v>0</v>
      </c>
      <c r="BV435" s="3">
        <f>+IF(AVANCE[[#This Row],[TABLERO]]=AF$2,100%,AVANCE[[#This Row],[TABLERO]])</f>
        <v>0</v>
      </c>
      <c r="BW435" s="3">
        <f>+IF(AVANCE[[#This Row],[CAJA PAU]]=AG$2,100%,AVANCE[[#This Row],[CAJA PAU]])</f>
        <v>0</v>
      </c>
      <c r="BX435" s="3">
        <f>+IF(AVANCE[[#This Row],[INSTALACION VINILICO]]=AJ$2,100%,AVANCE[[#This Row],[INSTALACION VINILICO]])</f>
        <v>0</v>
      </c>
      <c r="BY435" s="3">
        <f>+IF(AVANCE[[#This Row],[OSB CUBIERTA]]=AK$2,100%,AVANCE[[#This Row],[OSB CUBIERTA]])</f>
        <v>0</v>
      </c>
      <c r="BZ435" s="3">
        <f>+IF(AVANCE[[#This Row],[BARANDA BALCON]]=AL$2,100%,AVANCE[[#This Row],[BARANDA BALCON]])</f>
        <v>0</v>
      </c>
      <c r="CA435" s="3">
        <f>+IF(AVANCE[[#This Row],[OSB EXTERIOR]]=AM$2,100%,AVANCE[[#This Row],[OSB EXTERIOR]])</f>
        <v>0</v>
      </c>
      <c r="CB435" s="3">
        <f>+IF(AVANCE[[#This Row],[SMART PANEL]]=AN$2,100%,AVANCE[[#This Row],[SMART PANEL]])</f>
        <v>0</v>
      </c>
      <c r="CC435" s="3">
        <f>+IF(AVANCE[[#This Row],[PINTURA EXTERIOR]]=AO$2,100%,AVANCE[[#This Row],[PINTURA EXTERIOR]])</f>
        <v>0</v>
      </c>
      <c r="CD435" s="3">
        <f>+IF(AVANCE[[#This Row],[ZOCALOS LOGIA]]=AP$2,100%,AVANCE[[#This Row],[ZOCALOS LOGIA]])</f>
        <v>0</v>
      </c>
      <c r="CE435" s="3">
        <f>+IF(AVANCE[[#This Row],[MOLDURAS]]=AQ$2,100%,AVANCE[[#This Row],[MOLDURAS]])</f>
        <v>0</v>
      </c>
      <c r="CF435" s="3">
        <f>+IF(AVANCE[[#This Row],[PILASTREO]]=AR$2,100%,AVANCE[[#This Row],[PILASTREO]])</f>
        <v>0</v>
      </c>
      <c r="CG435" s="3">
        <f>+IF(AVANCE[[#This Row],[CELOSIAS]]=AS$2,100%,AVANCE[[#This Row],[CELOSIAS]])</f>
        <v>0</v>
      </c>
      <c r="CH435" s="3">
        <f>+IF(AVANCE[[#This Row],[VENTANAS]]=AT$2,100%,AVANCE[[#This Row],[VENTANAS]])</f>
        <v>0</v>
      </c>
      <c r="CI435" s="3">
        <f>+IF(AVANCE[[#This Row],[PUERTAS ACCESO - LOGIA - BANO]]=AU$2,100%,AVANCE[[#This Row],[PUERTAS ACCESO - LOGIA - BANO]])</f>
        <v>0</v>
      </c>
      <c r="CJ435" s="3">
        <f>+IF(AVANCE[[#This Row],[CERRADURAS]]=AV$2,100%,AVANCE[[#This Row],[CERRADURAS]])</f>
        <v>0</v>
      </c>
      <c r="CK435" s="3">
        <f>+IF(AVANCE[[#This Row],[REVESTIMIENTO INTERIOR ZONA SECA]]=AW$2,100%,AVANCE[[#This Row],[REVESTIMIENTO INTERIOR ZONA SECA]])</f>
        <v>0</v>
      </c>
      <c r="CL435" s="3">
        <f>+IF(AVANCE[[#This Row],[REVESTIMIENTO INTERIOR ZONAS HUMEDAS]]=AX$2,100%,AVANCE[[#This Row],[REVESTIMIENTO INTERIOR ZONAS HUMEDAS]])</f>
        <v>0</v>
      </c>
      <c r="CM435" s="3">
        <f>+IF(AVANCE[[#This Row],[MEMBRANA CIELO]]=AY$2,100%,AVANCE[[#This Row],[MEMBRANA CIELO]])</f>
        <v>0</v>
      </c>
      <c r="CN435" s="3">
        <f>+IF(AVANCE[[#This Row],[LIMPIEZA FINAL]]=AZ$2,100%,AVANCE[[#This Row],[LIMPIEZA FINAL]])</f>
        <v>0</v>
      </c>
      <c r="CO435" s="3">
        <f>+IF(AVANCE[[#This Row],[PUERTAS DORMITORIO]]=BA$2,100%,AVANCE[[#This Row],[PUERTAS DORMITORIO]])</f>
        <v>0</v>
      </c>
      <c r="CP435" s="3">
        <f>+IF(AVANCE[[#This Row],[REVESTIMIENTO INTERIOR BANO]]=BB$2,100%,AVANCE[[#This Row],[REVESTIMIENTO INTERIOR BANO]])</f>
        <v>0</v>
      </c>
      <c r="CQ435" s="3">
        <f>+IF(AVANCE[[#This Row],[MUEBLE LAVAPLATOS]]=BC$2,100%,AVANCE[[#This Row],[MUEBLE LAVAPLATOS]])</f>
        <v>0</v>
      </c>
      <c r="CR435" s="3">
        <f>+IF(AVANCE[[#This Row],[IMPERMEABILIZACION BANO - COCINA LOGIA]]=BD$2,100%,AVANCE[[#This Row],[IMPERMEABILIZACION BANO - COCINA LOGIA]])</f>
        <v>0</v>
      </c>
      <c r="CS435" s="40">
        <f ca="1">+IF(AVANCE[[#This Row],[ESTADO MODULO]]="PENDIENTE",(TODAY()-AVANCE[[#This Row],[FECHA TERMINO  PLANIFICADO]]),0)</f>
        <v>0</v>
      </c>
      <c r="CT435" s="41" t="str" cm="1">
        <f t="array" ref="CT435">_xlfn.TEXTJOIN(" | ",TRUE,IF(SUMPRODUCT((BG435:CR435&lt;1)*(PARTIDAS!$I$2:$AT$2="OBRA GRUESA"))&gt;0,"OBRA GRUESA: "&amp;_xlfn.TEXTJOIN(", ",TRUE,IF((BG435:CR435&lt;1)*(PARTIDAS!$I$2:$AT$2="OBRA GRUESA"),PARTIDAS!$I$1:$AT$1,"")),""),IF(SUMPRODUCT((BG435:CR435&lt;1)*(PARTIDAS!$I$2:$AT$2="SANITARIOS"))&gt;0,"SANITARIOS: "&amp;_xlfn.TEXTJOIN(", ",TRUE,IF((BG435:CR435&lt;1)*(PARTIDAS!$I$2:$AT$2="SANITARIOS"),PARTIDAS!$I$1:$AT$1,"")),""),IF(SUMPRODUCT((BG435:CR435&lt;1)*(PARTIDAS!$I$2:$AT$2="ELÉCTRICO"))&gt;0,"ELÉCTRICO: "&amp;_xlfn.TEXTJOIN(", ",TRUE,IF((BG435:CR435&lt;1)*(PARTIDAS!$I$2:$AT$2="ELÉCTRICO"),PARTIDAS!$I$1:$AT$1,"")),""),IF(SUMPRODUCT((BG435:CR435&lt;1)*(PARTIDAS!$I$2:$AT$2="TERMINACIONES"))&gt;0,"TERMINACIONES: "&amp;_xlfn.TEXTJOIN(", ",TRUE,IF((BG435:CR435&lt;1)*(PARTIDAS!$I$2:$AT$2="TERMINACIONES"),PARTIDAS!$I$1:$AT$1,"")),""))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5" s="43" t="str" cm="1">
        <f t="array" ref="CU435">_xlfn.TEXTJOIN(", ",TRUE,IF(SUMPRODUCT((BG435:CR435&lt;1)*(PARTIDAS!$I$2:$AT$2="OBRA GRUESA"))&gt;0,"OBRA GRUESA",""),IF(SUMPRODUCT((BG435:CR435&lt;1)*(PARTIDAS!$I$2:$AT$2="SANITARIOS"))&gt;0,"SANITARIOS",""),IF(SUMPRODUCT((BG435:CR435&lt;1)*(PARTIDAS!$I$2:$AT$2="ELÉCTRICO"))&gt;0,"ELÉCTRICO",""),IF(SUMPRODUCT((BG435:CR435&lt;1)*(PARTIDAS!$I$2:$AT$2="TERMINACIONES"))&gt;0,"TERMINACIONES",""))</f>
        <v>OBRA GRUESA, SANITARIOS, ELÉCTRICO, TERMINACIONES</v>
      </c>
      <c r="CV435" s="44" cm="1">
        <f t="array" ref="CV435">SUMPRODUCT(--(BG435:CR435&lt;1))</f>
        <v>38</v>
      </c>
    </row>
    <row r="436" spans="1:100" hidden="1" x14ac:dyDescent="0.25">
      <c r="A436" t="s">
        <v>487</v>
      </c>
      <c r="B436" t="s">
        <v>506</v>
      </c>
      <c r="C436">
        <v>2302600435</v>
      </c>
      <c r="D436" t="s">
        <v>60</v>
      </c>
      <c r="E436" s="2">
        <v>0</v>
      </c>
      <c r="F436" s="1">
        <v>46356</v>
      </c>
      <c r="G436" s="1"/>
      <c r="H436" s="1">
        <v>0</v>
      </c>
      <c r="I436" s="1">
        <v>46386</v>
      </c>
      <c r="J436">
        <v>46230</v>
      </c>
      <c r="K436" s="1"/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>
        <v>31.32</v>
      </c>
      <c r="BF436" s="3" t="str">
        <f>+IF(AVANCE[[#This Row],[% AVANCE]]=100%,"MODULO TERMINADO",IF(AVANCE[[#This Row],[FECHA INICIO REAL]]="","MODULO NO INICIADO","PENDIENTE"))</f>
        <v>MODULO NO INICIADO</v>
      </c>
      <c r="BG436" s="3">
        <f>+IF(AVANCE[[#This Row],[VENTANAS]]=8.10810810810811%,100%,AVANCE[[#This Row],[VENTANAS]])</f>
        <v>0</v>
      </c>
      <c r="BH436" s="3">
        <f>+IF(AVANCE[[#This Row],[PISO]]=N$2,100%,AVANCE[[#This Row],[PISO]])</f>
        <v>0</v>
      </c>
      <c r="BI436" s="3">
        <f>+IF(AVANCE[[#This Row],[TABIQUES]]=O$2,100%,AVANCE[[#This Row],[TABIQUES]])</f>
        <v>0</v>
      </c>
      <c r="BJ436" s="3">
        <f>+IF(AVANCE[[#This Row],[MUROS]]=P$2,100%,AVANCE[[#This Row],[MUROS]])</f>
        <v>0</v>
      </c>
      <c r="BK436" s="3">
        <f>+IF(AVANCE[[#This Row],[CIELO]]=Q$2,100%,AVANCE[[#This Row],[CIELO]])</f>
        <v>0</v>
      </c>
      <c r="BL436" s="3">
        <f>+IF(AVANCE[[#This Row],[BALCÓN]]=R$2,100%,AVANCE[[#This Row],[BALCÓN]])</f>
        <v>0</v>
      </c>
      <c r="BM436" s="3">
        <f>+IF(AVANCE[[#This Row],[RED ALCANTARILLADO]]=U$2,100%,AVANCE[[#This Row],[RED ALCANTARILLADO]])</f>
        <v>0</v>
      </c>
      <c r="BN436" s="3">
        <f>+IF(AVANCE[[#This Row],[RED DE AGUA]]=V$2,100%,AVANCE[[#This Row],[RED DE AGUA]])</f>
        <v>0</v>
      </c>
      <c r="BO436" s="3">
        <f>+IF(AVANCE[[#This Row],[VENTILACIONES]]=W$2,100%,AVANCE[[#This Row],[VENTILACIONES]])</f>
        <v>0</v>
      </c>
      <c r="BP436" s="3">
        <f>+IF(AVANCE[[#This Row],[TINA]]=X$2,100%,AVANCE[[#This Row],[TINA]])</f>
        <v>0</v>
      </c>
      <c r="BQ436" s="3">
        <f>+IF(AVANCE[[#This Row],[WC]]=Y$2,100%,AVANCE[[#This Row],[WC]])</f>
        <v>0</v>
      </c>
      <c r="BR436" s="3">
        <f>+IF(AVANCE[[#This Row],[LAVAMANOS / LAVAPLATOS / LAVADERO]]=Z$2,100%,AVANCE[[#This Row],[LAVAMANOS / LAVAPLATOS / LAVADERO]])</f>
        <v>0</v>
      </c>
      <c r="BS436" s="3">
        <f>+IF(AVANCE[[#This Row],[CANALIZACIÓN]]=AC$2,100%,AVANCE[[#This Row],[CANALIZACIÓN]])</f>
        <v>0</v>
      </c>
      <c r="BT436" s="3">
        <f>+IF(AVANCE[[#This Row],[CABLEADO]]=AD$2,100%,AVANCE[[#This Row],[CABLEADO]])</f>
        <v>0</v>
      </c>
      <c r="BU436" s="3">
        <f>+IF(AVANCE[[#This Row],[ARTEFACTOS]]=AE$2,100%,AVANCE[[#This Row],[ARTEFACTOS]])</f>
        <v>0</v>
      </c>
      <c r="BV436" s="3">
        <f>+IF(AVANCE[[#This Row],[TABLERO]]=AF$2,100%,AVANCE[[#This Row],[TABLERO]])</f>
        <v>0</v>
      </c>
      <c r="BW436" s="3">
        <f>+IF(AVANCE[[#This Row],[CAJA PAU]]=AG$2,100%,AVANCE[[#This Row],[CAJA PAU]])</f>
        <v>0</v>
      </c>
      <c r="BX436" s="3">
        <f>+IF(AVANCE[[#This Row],[INSTALACION VINILICO]]=AJ$2,100%,AVANCE[[#This Row],[INSTALACION VINILICO]])</f>
        <v>0</v>
      </c>
      <c r="BY436" s="3">
        <f>+IF(AVANCE[[#This Row],[OSB CUBIERTA]]=AK$2,100%,AVANCE[[#This Row],[OSB CUBIERTA]])</f>
        <v>0</v>
      </c>
      <c r="BZ436" s="3">
        <f>+IF(AVANCE[[#This Row],[BARANDA BALCON]]=AL$2,100%,AVANCE[[#This Row],[BARANDA BALCON]])</f>
        <v>0</v>
      </c>
      <c r="CA436" s="3">
        <f>+IF(AVANCE[[#This Row],[OSB EXTERIOR]]=AM$2,100%,AVANCE[[#This Row],[OSB EXTERIOR]])</f>
        <v>0</v>
      </c>
      <c r="CB436" s="3">
        <f>+IF(AVANCE[[#This Row],[SMART PANEL]]=AN$2,100%,AVANCE[[#This Row],[SMART PANEL]])</f>
        <v>0</v>
      </c>
      <c r="CC436" s="3">
        <f>+IF(AVANCE[[#This Row],[PINTURA EXTERIOR]]=AO$2,100%,AVANCE[[#This Row],[PINTURA EXTERIOR]])</f>
        <v>0</v>
      </c>
      <c r="CD436" s="3">
        <f>+IF(AVANCE[[#This Row],[ZOCALOS LOGIA]]=AP$2,100%,AVANCE[[#This Row],[ZOCALOS LOGIA]])</f>
        <v>0</v>
      </c>
      <c r="CE436" s="3">
        <f>+IF(AVANCE[[#This Row],[MOLDURAS]]=AQ$2,100%,AVANCE[[#This Row],[MOLDURAS]])</f>
        <v>0</v>
      </c>
      <c r="CF436" s="3">
        <f>+IF(AVANCE[[#This Row],[PILASTREO]]=AR$2,100%,AVANCE[[#This Row],[PILASTREO]])</f>
        <v>0</v>
      </c>
      <c r="CG436" s="3">
        <f>+IF(AVANCE[[#This Row],[CELOSIAS]]=AS$2,100%,AVANCE[[#This Row],[CELOSIAS]])</f>
        <v>0</v>
      </c>
      <c r="CH436" s="3">
        <f>+IF(AVANCE[[#This Row],[VENTANAS]]=AT$2,100%,AVANCE[[#This Row],[VENTANAS]])</f>
        <v>0</v>
      </c>
      <c r="CI436" s="3">
        <f>+IF(AVANCE[[#This Row],[PUERTAS ACCESO - LOGIA - BANO]]=AU$2,100%,AVANCE[[#This Row],[PUERTAS ACCESO - LOGIA - BANO]])</f>
        <v>0</v>
      </c>
      <c r="CJ436" s="3">
        <f>+IF(AVANCE[[#This Row],[CERRADURAS]]=AV$2,100%,AVANCE[[#This Row],[CERRADURAS]])</f>
        <v>0</v>
      </c>
      <c r="CK436" s="3">
        <f>+IF(AVANCE[[#This Row],[REVESTIMIENTO INTERIOR ZONA SECA]]=AW$2,100%,AVANCE[[#This Row],[REVESTIMIENTO INTERIOR ZONA SECA]])</f>
        <v>0</v>
      </c>
      <c r="CL436" s="3">
        <f>+IF(AVANCE[[#This Row],[REVESTIMIENTO INTERIOR ZONAS HUMEDAS]]=AX$2,100%,AVANCE[[#This Row],[REVESTIMIENTO INTERIOR ZONAS HUMEDAS]])</f>
        <v>0</v>
      </c>
      <c r="CM436" s="3">
        <f>+IF(AVANCE[[#This Row],[MEMBRANA CIELO]]=AY$2,100%,AVANCE[[#This Row],[MEMBRANA CIELO]])</f>
        <v>0</v>
      </c>
      <c r="CN436" s="3">
        <f>+IF(AVANCE[[#This Row],[LIMPIEZA FINAL]]=AZ$2,100%,AVANCE[[#This Row],[LIMPIEZA FINAL]])</f>
        <v>0</v>
      </c>
      <c r="CO436" s="3">
        <f>+IF(AVANCE[[#This Row],[PUERTAS DORMITORIO]]=BA$2,100%,AVANCE[[#This Row],[PUERTAS DORMITORIO]])</f>
        <v>0</v>
      </c>
      <c r="CP436" s="3">
        <f>+IF(AVANCE[[#This Row],[REVESTIMIENTO INTERIOR BANO]]=BB$2,100%,AVANCE[[#This Row],[REVESTIMIENTO INTERIOR BANO]])</f>
        <v>0</v>
      </c>
      <c r="CQ436" s="3">
        <f>+IF(AVANCE[[#This Row],[MUEBLE LAVAPLATOS]]=BC$2,100%,AVANCE[[#This Row],[MUEBLE LAVAPLATOS]])</f>
        <v>0</v>
      </c>
      <c r="CR436" s="3">
        <f>+IF(AVANCE[[#This Row],[IMPERMEABILIZACION BANO - COCINA LOGIA]]=BD$2,100%,AVANCE[[#This Row],[IMPERMEABILIZACION BANO - COCINA LOGIA]])</f>
        <v>0</v>
      </c>
      <c r="CS436" s="40">
        <f ca="1">+IF(AVANCE[[#This Row],[ESTADO MODULO]]="PENDIENTE",(TODAY()-AVANCE[[#This Row],[FECHA TERMINO  PLANIFICADO]]),0)</f>
        <v>0</v>
      </c>
      <c r="CT436" s="41" t="str" cm="1">
        <f t="array" ref="CT436">_xlfn.TEXTJOIN(" | ",TRUE,IF(SUMPRODUCT((BG436:CR436&lt;1)*(PARTIDAS!$I$2:$AT$2="OBRA GRUESA"))&gt;0,"OBRA GRUESA: "&amp;_xlfn.TEXTJOIN(", ",TRUE,IF((BG436:CR436&lt;1)*(PARTIDAS!$I$2:$AT$2="OBRA GRUESA"),PARTIDAS!$I$1:$AT$1,"")),""),IF(SUMPRODUCT((BG436:CR436&lt;1)*(PARTIDAS!$I$2:$AT$2="SANITARIOS"))&gt;0,"SANITARIOS: "&amp;_xlfn.TEXTJOIN(", ",TRUE,IF((BG436:CR436&lt;1)*(PARTIDAS!$I$2:$AT$2="SANITARIOS"),PARTIDAS!$I$1:$AT$1,"")),""),IF(SUMPRODUCT((BG436:CR436&lt;1)*(PARTIDAS!$I$2:$AT$2="ELÉCTRICO"))&gt;0,"ELÉCTRICO: "&amp;_xlfn.TEXTJOIN(", ",TRUE,IF((BG436:CR436&lt;1)*(PARTIDAS!$I$2:$AT$2="ELÉCTRICO"),PARTIDAS!$I$1:$AT$1,"")),""),IF(SUMPRODUCT((BG436:CR436&lt;1)*(PARTIDAS!$I$2:$AT$2="TERMINACIONES"))&gt;0,"TERMINACIONES: "&amp;_xlfn.TEXTJOIN(", ",TRUE,IF((BG436:CR436&lt;1)*(PARTIDAS!$I$2:$AT$2="TERMINACIONES"),PARTIDAS!$I$1:$AT$1,"")),""))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6" s="43" t="str" cm="1">
        <f t="array" ref="CU436">_xlfn.TEXTJOIN(", ",TRUE,IF(SUMPRODUCT((BG436:CR436&lt;1)*(PARTIDAS!$I$2:$AT$2="OBRA GRUESA"))&gt;0,"OBRA GRUESA",""),IF(SUMPRODUCT((BG436:CR436&lt;1)*(PARTIDAS!$I$2:$AT$2="SANITARIOS"))&gt;0,"SANITARIOS",""),IF(SUMPRODUCT((BG436:CR436&lt;1)*(PARTIDAS!$I$2:$AT$2="ELÉCTRICO"))&gt;0,"ELÉCTRICO",""),IF(SUMPRODUCT((BG436:CR436&lt;1)*(PARTIDAS!$I$2:$AT$2="TERMINACIONES"))&gt;0,"TERMINACIONES",""))</f>
        <v>OBRA GRUESA, SANITARIOS, ELÉCTRICO, TERMINACIONES</v>
      </c>
      <c r="CV436" s="44" cm="1">
        <f t="array" ref="CV436">SUMPRODUCT(--(BG436:CR436&lt;1))</f>
        <v>38</v>
      </c>
    </row>
    <row r="437" spans="1:100" hidden="1" x14ac:dyDescent="0.25">
      <c r="A437" t="s">
        <v>487</v>
      </c>
      <c r="B437" t="s">
        <v>507</v>
      </c>
      <c r="C437">
        <v>2282600436</v>
      </c>
      <c r="D437" t="s">
        <v>58</v>
      </c>
      <c r="E437" s="2">
        <v>0</v>
      </c>
      <c r="F437" s="1">
        <v>46356</v>
      </c>
      <c r="G437" s="1"/>
      <c r="H437" s="1">
        <v>0</v>
      </c>
      <c r="I437" s="1">
        <v>46376</v>
      </c>
      <c r="J437">
        <v>46230</v>
      </c>
      <c r="K437" s="1"/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>
        <v>28.87</v>
      </c>
      <c r="BF437" s="3" t="str">
        <f>+IF(AVANCE[[#This Row],[% AVANCE]]=100%,"MODULO TERMINADO",IF(AVANCE[[#This Row],[FECHA INICIO REAL]]="","MODULO NO INICIADO","PENDIENTE"))</f>
        <v>MODULO NO INICIADO</v>
      </c>
      <c r="BG437" s="3">
        <f>+IF(AVANCE[[#This Row],[VENTANAS]]=8.10810810810811%,100%,AVANCE[[#This Row],[VENTANAS]])</f>
        <v>0</v>
      </c>
      <c r="BH437" s="3">
        <f>+IF(AVANCE[[#This Row],[PISO]]=N$2,100%,AVANCE[[#This Row],[PISO]])</f>
        <v>0</v>
      </c>
      <c r="BI437" s="3">
        <f>+IF(AVANCE[[#This Row],[TABIQUES]]=O$2,100%,AVANCE[[#This Row],[TABIQUES]])</f>
        <v>0</v>
      </c>
      <c r="BJ437" s="3">
        <f>+IF(AVANCE[[#This Row],[MUROS]]=P$2,100%,AVANCE[[#This Row],[MUROS]])</f>
        <v>0</v>
      </c>
      <c r="BK437" s="3">
        <f>+IF(AVANCE[[#This Row],[CIELO]]=Q$2,100%,AVANCE[[#This Row],[CIELO]])</f>
        <v>0</v>
      </c>
      <c r="BL437" s="3">
        <f>+IF(AVANCE[[#This Row],[BALCÓN]]=R$2,100%,AVANCE[[#This Row],[BALCÓN]])</f>
        <v>0</v>
      </c>
      <c r="BM437" s="3">
        <f>+IF(AVANCE[[#This Row],[RED ALCANTARILLADO]]=U$2,100%,AVANCE[[#This Row],[RED ALCANTARILLADO]])</f>
        <v>0</v>
      </c>
      <c r="BN437" s="3">
        <f>+IF(AVANCE[[#This Row],[RED DE AGUA]]=V$2,100%,AVANCE[[#This Row],[RED DE AGUA]])</f>
        <v>0</v>
      </c>
      <c r="BO437" s="3">
        <f>+IF(AVANCE[[#This Row],[VENTILACIONES]]=W$2,100%,AVANCE[[#This Row],[VENTILACIONES]])</f>
        <v>0</v>
      </c>
      <c r="BP437" s="3">
        <f>+IF(AVANCE[[#This Row],[TINA]]=X$2,100%,AVANCE[[#This Row],[TINA]])</f>
        <v>0</v>
      </c>
      <c r="BQ437" s="3">
        <f>+IF(AVANCE[[#This Row],[WC]]=Y$2,100%,AVANCE[[#This Row],[WC]])</f>
        <v>0</v>
      </c>
      <c r="BR437" s="3">
        <f>+IF(AVANCE[[#This Row],[LAVAMANOS / LAVAPLATOS / LAVADERO]]=Z$2,100%,AVANCE[[#This Row],[LAVAMANOS / LAVAPLATOS / LAVADERO]])</f>
        <v>0</v>
      </c>
      <c r="BS437" s="3">
        <f>+IF(AVANCE[[#This Row],[CANALIZACIÓN]]=AC$2,100%,AVANCE[[#This Row],[CANALIZACIÓN]])</f>
        <v>0</v>
      </c>
      <c r="BT437" s="3">
        <f>+IF(AVANCE[[#This Row],[CABLEADO]]=AD$2,100%,AVANCE[[#This Row],[CABLEADO]])</f>
        <v>0</v>
      </c>
      <c r="BU437" s="3">
        <f>+IF(AVANCE[[#This Row],[ARTEFACTOS]]=AE$2,100%,AVANCE[[#This Row],[ARTEFACTOS]])</f>
        <v>0</v>
      </c>
      <c r="BV437" s="3">
        <f>+IF(AVANCE[[#This Row],[TABLERO]]=AF$2,100%,AVANCE[[#This Row],[TABLERO]])</f>
        <v>0</v>
      </c>
      <c r="BW437" s="3">
        <f>+IF(AVANCE[[#This Row],[CAJA PAU]]=AG$2,100%,AVANCE[[#This Row],[CAJA PAU]])</f>
        <v>0</v>
      </c>
      <c r="BX437" s="3">
        <f>+IF(AVANCE[[#This Row],[INSTALACION VINILICO]]=AJ$2,100%,AVANCE[[#This Row],[INSTALACION VINILICO]])</f>
        <v>0</v>
      </c>
      <c r="BY437" s="3">
        <f>+IF(AVANCE[[#This Row],[OSB CUBIERTA]]=AK$2,100%,AVANCE[[#This Row],[OSB CUBIERTA]])</f>
        <v>0</v>
      </c>
      <c r="BZ437" s="3">
        <f>+IF(AVANCE[[#This Row],[BARANDA BALCON]]=AL$2,100%,AVANCE[[#This Row],[BARANDA BALCON]])</f>
        <v>0</v>
      </c>
      <c r="CA437" s="3">
        <f>+IF(AVANCE[[#This Row],[OSB EXTERIOR]]=AM$2,100%,AVANCE[[#This Row],[OSB EXTERIOR]])</f>
        <v>0</v>
      </c>
      <c r="CB437" s="3">
        <f>+IF(AVANCE[[#This Row],[SMART PANEL]]=AN$2,100%,AVANCE[[#This Row],[SMART PANEL]])</f>
        <v>0</v>
      </c>
      <c r="CC437" s="3">
        <f>+IF(AVANCE[[#This Row],[PINTURA EXTERIOR]]=AO$2,100%,AVANCE[[#This Row],[PINTURA EXTERIOR]])</f>
        <v>0</v>
      </c>
      <c r="CD437" s="3">
        <f>+IF(AVANCE[[#This Row],[ZOCALOS LOGIA]]=AP$2,100%,AVANCE[[#This Row],[ZOCALOS LOGIA]])</f>
        <v>0</v>
      </c>
      <c r="CE437" s="3">
        <f>+IF(AVANCE[[#This Row],[MOLDURAS]]=AQ$2,100%,AVANCE[[#This Row],[MOLDURAS]])</f>
        <v>0</v>
      </c>
      <c r="CF437" s="3">
        <f>+IF(AVANCE[[#This Row],[PILASTREO]]=AR$2,100%,AVANCE[[#This Row],[PILASTREO]])</f>
        <v>0</v>
      </c>
      <c r="CG437" s="3">
        <f>+IF(AVANCE[[#This Row],[CELOSIAS]]=AS$2,100%,AVANCE[[#This Row],[CELOSIAS]])</f>
        <v>0</v>
      </c>
      <c r="CH437" s="3">
        <f>+IF(AVANCE[[#This Row],[VENTANAS]]=AT$2,100%,AVANCE[[#This Row],[VENTANAS]])</f>
        <v>0</v>
      </c>
      <c r="CI437" s="3">
        <f>+IF(AVANCE[[#This Row],[PUERTAS ACCESO - LOGIA - BANO]]=AU$2,100%,AVANCE[[#This Row],[PUERTAS ACCESO - LOGIA - BANO]])</f>
        <v>0</v>
      </c>
      <c r="CJ437" s="3">
        <f>+IF(AVANCE[[#This Row],[CERRADURAS]]=AV$2,100%,AVANCE[[#This Row],[CERRADURAS]])</f>
        <v>0</v>
      </c>
      <c r="CK437" s="3">
        <f>+IF(AVANCE[[#This Row],[REVESTIMIENTO INTERIOR ZONA SECA]]=AW$2,100%,AVANCE[[#This Row],[REVESTIMIENTO INTERIOR ZONA SECA]])</f>
        <v>0</v>
      </c>
      <c r="CL437" s="3">
        <f>+IF(AVANCE[[#This Row],[REVESTIMIENTO INTERIOR ZONAS HUMEDAS]]=AX$2,100%,AVANCE[[#This Row],[REVESTIMIENTO INTERIOR ZONAS HUMEDAS]])</f>
        <v>0</v>
      </c>
      <c r="CM437" s="3">
        <f>+IF(AVANCE[[#This Row],[MEMBRANA CIELO]]=AY$2,100%,AVANCE[[#This Row],[MEMBRANA CIELO]])</f>
        <v>0</v>
      </c>
      <c r="CN437" s="3">
        <f>+IF(AVANCE[[#This Row],[LIMPIEZA FINAL]]=AZ$2,100%,AVANCE[[#This Row],[LIMPIEZA FINAL]])</f>
        <v>0</v>
      </c>
      <c r="CO437" s="3">
        <f>+IF(AVANCE[[#This Row],[PUERTAS DORMITORIO]]=BA$2,100%,AVANCE[[#This Row],[PUERTAS DORMITORIO]])</f>
        <v>0</v>
      </c>
      <c r="CP437" s="3">
        <f>+IF(AVANCE[[#This Row],[REVESTIMIENTO INTERIOR BANO]]=BB$2,100%,AVANCE[[#This Row],[REVESTIMIENTO INTERIOR BANO]])</f>
        <v>0</v>
      </c>
      <c r="CQ437" s="3">
        <f>+IF(AVANCE[[#This Row],[MUEBLE LAVAPLATOS]]=BC$2,100%,AVANCE[[#This Row],[MUEBLE LAVAPLATOS]])</f>
        <v>0</v>
      </c>
      <c r="CR437" s="3">
        <f>+IF(AVANCE[[#This Row],[IMPERMEABILIZACION BANO - COCINA LOGIA]]=BD$2,100%,AVANCE[[#This Row],[IMPERMEABILIZACION BANO - COCINA LOGIA]])</f>
        <v>0</v>
      </c>
      <c r="CS437" s="40">
        <f ca="1">+IF(AVANCE[[#This Row],[ESTADO MODULO]]="PENDIENTE",(TODAY()-AVANCE[[#This Row],[FECHA TERMINO  PLANIFICADO]]),0)</f>
        <v>0</v>
      </c>
      <c r="CT437" s="41" t="str" cm="1">
        <f t="array" ref="CT437">_xlfn.TEXTJOIN(" | ",TRUE,IF(SUMPRODUCT((BG437:CR437&lt;1)*(PARTIDAS!$I$2:$AT$2="OBRA GRUESA"))&gt;0,"OBRA GRUESA: "&amp;_xlfn.TEXTJOIN(", ",TRUE,IF((BG437:CR437&lt;1)*(PARTIDAS!$I$2:$AT$2="OBRA GRUESA"),PARTIDAS!$I$1:$AT$1,"")),""),IF(SUMPRODUCT((BG437:CR437&lt;1)*(PARTIDAS!$I$2:$AT$2="SANITARIOS"))&gt;0,"SANITARIOS: "&amp;_xlfn.TEXTJOIN(", ",TRUE,IF((BG437:CR437&lt;1)*(PARTIDAS!$I$2:$AT$2="SANITARIOS"),PARTIDAS!$I$1:$AT$1,"")),""),IF(SUMPRODUCT((BG437:CR437&lt;1)*(PARTIDAS!$I$2:$AT$2="ELÉCTRICO"))&gt;0,"ELÉCTRICO: "&amp;_xlfn.TEXTJOIN(", ",TRUE,IF((BG437:CR437&lt;1)*(PARTIDAS!$I$2:$AT$2="ELÉCTRICO"),PARTIDAS!$I$1:$AT$1,"")),""),IF(SUMPRODUCT((BG437:CR437&lt;1)*(PARTIDAS!$I$2:$AT$2="TERMINACIONES"))&gt;0,"TERMINACIONES: "&amp;_xlfn.TEXTJOIN(", ",TRUE,IF((BG437:CR437&lt;1)*(PARTIDAS!$I$2:$AT$2="TERMINACIONES"),PARTIDAS!$I$1:$AT$1,"")),""))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7" s="43" t="str" cm="1">
        <f t="array" ref="CU437">_xlfn.TEXTJOIN(", ",TRUE,IF(SUMPRODUCT((BG437:CR437&lt;1)*(PARTIDAS!$I$2:$AT$2="OBRA GRUESA"))&gt;0,"OBRA GRUESA",""),IF(SUMPRODUCT((BG437:CR437&lt;1)*(PARTIDAS!$I$2:$AT$2="SANITARIOS"))&gt;0,"SANITARIOS",""),IF(SUMPRODUCT((BG437:CR437&lt;1)*(PARTIDAS!$I$2:$AT$2="ELÉCTRICO"))&gt;0,"ELÉCTRICO",""),IF(SUMPRODUCT((BG437:CR437&lt;1)*(PARTIDAS!$I$2:$AT$2="TERMINACIONES"))&gt;0,"TERMINACIONES",""))</f>
        <v>OBRA GRUESA, SANITARIOS, ELÉCTRICO, TERMINACIONES</v>
      </c>
      <c r="CV437" s="44" cm="1">
        <f t="array" ref="CV437">SUMPRODUCT(--(BG437:CR437&lt;1))</f>
        <v>38</v>
      </c>
    </row>
    <row r="438" spans="1:100" hidden="1" x14ac:dyDescent="0.25">
      <c r="A438" t="s">
        <v>487</v>
      </c>
      <c r="B438" t="s">
        <v>508</v>
      </c>
      <c r="C438">
        <v>2282600437</v>
      </c>
      <c r="D438" t="s">
        <v>58</v>
      </c>
      <c r="E438" s="2">
        <v>0</v>
      </c>
      <c r="F438" s="1">
        <v>46357</v>
      </c>
      <c r="G438" s="1"/>
      <c r="H438" s="1">
        <v>0</v>
      </c>
      <c r="I438" s="1">
        <v>46377</v>
      </c>
      <c r="J438">
        <v>46230</v>
      </c>
      <c r="K438" s="1"/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>
        <v>28.87</v>
      </c>
      <c r="BF438" s="3" t="str">
        <f>+IF(AVANCE[[#This Row],[% AVANCE]]=100%,"MODULO TERMINADO",IF(AVANCE[[#This Row],[FECHA INICIO REAL]]="","MODULO NO INICIADO","PENDIENTE"))</f>
        <v>MODULO NO INICIADO</v>
      </c>
      <c r="BG438" s="3">
        <f>+IF(AVANCE[[#This Row],[VENTANAS]]=8.10810810810811%,100%,AVANCE[[#This Row],[VENTANAS]])</f>
        <v>0</v>
      </c>
      <c r="BH438" s="3">
        <f>+IF(AVANCE[[#This Row],[PISO]]=N$2,100%,AVANCE[[#This Row],[PISO]])</f>
        <v>0</v>
      </c>
      <c r="BI438" s="3">
        <f>+IF(AVANCE[[#This Row],[TABIQUES]]=O$2,100%,AVANCE[[#This Row],[TABIQUES]])</f>
        <v>0</v>
      </c>
      <c r="BJ438" s="3">
        <f>+IF(AVANCE[[#This Row],[MUROS]]=P$2,100%,AVANCE[[#This Row],[MUROS]])</f>
        <v>0</v>
      </c>
      <c r="BK438" s="3">
        <f>+IF(AVANCE[[#This Row],[CIELO]]=Q$2,100%,AVANCE[[#This Row],[CIELO]])</f>
        <v>0</v>
      </c>
      <c r="BL438" s="3">
        <f>+IF(AVANCE[[#This Row],[BALCÓN]]=R$2,100%,AVANCE[[#This Row],[BALCÓN]])</f>
        <v>0</v>
      </c>
      <c r="BM438" s="3">
        <f>+IF(AVANCE[[#This Row],[RED ALCANTARILLADO]]=U$2,100%,AVANCE[[#This Row],[RED ALCANTARILLADO]])</f>
        <v>0</v>
      </c>
      <c r="BN438" s="3">
        <f>+IF(AVANCE[[#This Row],[RED DE AGUA]]=V$2,100%,AVANCE[[#This Row],[RED DE AGUA]])</f>
        <v>0</v>
      </c>
      <c r="BO438" s="3">
        <f>+IF(AVANCE[[#This Row],[VENTILACIONES]]=W$2,100%,AVANCE[[#This Row],[VENTILACIONES]])</f>
        <v>0</v>
      </c>
      <c r="BP438" s="3">
        <f>+IF(AVANCE[[#This Row],[TINA]]=X$2,100%,AVANCE[[#This Row],[TINA]])</f>
        <v>0</v>
      </c>
      <c r="BQ438" s="3">
        <f>+IF(AVANCE[[#This Row],[WC]]=Y$2,100%,AVANCE[[#This Row],[WC]])</f>
        <v>0</v>
      </c>
      <c r="BR438" s="3">
        <f>+IF(AVANCE[[#This Row],[LAVAMANOS / LAVAPLATOS / LAVADERO]]=Z$2,100%,AVANCE[[#This Row],[LAVAMANOS / LAVAPLATOS / LAVADERO]])</f>
        <v>0</v>
      </c>
      <c r="BS438" s="3">
        <f>+IF(AVANCE[[#This Row],[CANALIZACIÓN]]=AC$2,100%,AVANCE[[#This Row],[CANALIZACIÓN]])</f>
        <v>0</v>
      </c>
      <c r="BT438" s="3">
        <f>+IF(AVANCE[[#This Row],[CABLEADO]]=AD$2,100%,AVANCE[[#This Row],[CABLEADO]])</f>
        <v>0</v>
      </c>
      <c r="BU438" s="3">
        <f>+IF(AVANCE[[#This Row],[ARTEFACTOS]]=AE$2,100%,AVANCE[[#This Row],[ARTEFACTOS]])</f>
        <v>0</v>
      </c>
      <c r="BV438" s="3">
        <f>+IF(AVANCE[[#This Row],[TABLERO]]=AF$2,100%,AVANCE[[#This Row],[TABLERO]])</f>
        <v>0</v>
      </c>
      <c r="BW438" s="3">
        <f>+IF(AVANCE[[#This Row],[CAJA PAU]]=AG$2,100%,AVANCE[[#This Row],[CAJA PAU]])</f>
        <v>0</v>
      </c>
      <c r="BX438" s="3">
        <f>+IF(AVANCE[[#This Row],[INSTALACION VINILICO]]=AJ$2,100%,AVANCE[[#This Row],[INSTALACION VINILICO]])</f>
        <v>0</v>
      </c>
      <c r="BY438" s="3">
        <f>+IF(AVANCE[[#This Row],[OSB CUBIERTA]]=AK$2,100%,AVANCE[[#This Row],[OSB CUBIERTA]])</f>
        <v>0</v>
      </c>
      <c r="BZ438" s="3">
        <f>+IF(AVANCE[[#This Row],[BARANDA BALCON]]=AL$2,100%,AVANCE[[#This Row],[BARANDA BALCON]])</f>
        <v>0</v>
      </c>
      <c r="CA438" s="3">
        <f>+IF(AVANCE[[#This Row],[OSB EXTERIOR]]=AM$2,100%,AVANCE[[#This Row],[OSB EXTERIOR]])</f>
        <v>0</v>
      </c>
      <c r="CB438" s="3">
        <f>+IF(AVANCE[[#This Row],[SMART PANEL]]=AN$2,100%,AVANCE[[#This Row],[SMART PANEL]])</f>
        <v>0</v>
      </c>
      <c r="CC438" s="3">
        <f>+IF(AVANCE[[#This Row],[PINTURA EXTERIOR]]=AO$2,100%,AVANCE[[#This Row],[PINTURA EXTERIOR]])</f>
        <v>0</v>
      </c>
      <c r="CD438" s="3">
        <f>+IF(AVANCE[[#This Row],[ZOCALOS LOGIA]]=AP$2,100%,AVANCE[[#This Row],[ZOCALOS LOGIA]])</f>
        <v>0</v>
      </c>
      <c r="CE438" s="3">
        <f>+IF(AVANCE[[#This Row],[MOLDURAS]]=AQ$2,100%,AVANCE[[#This Row],[MOLDURAS]])</f>
        <v>0</v>
      </c>
      <c r="CF438" s="3">
        <f>+IF(AVANCE[[#This Row],[PILASTREO]]=AR$2,100%,AVANCE[[#This Row],[PILASTREO]])</f>
        <v>0</v>
      </c>
      <c r="CG438" s="3">
        <f>+IF(AVANCE[[#This Row],[CELOSIAS]]=AS$2,100%,AVANCE[[#This Row],[CELOSIAS]])</f>
        <v>0</v>
      </c>
      <c r="CH438" s="3">
        <f>+IF(AVANCE[[#This Row],[VENTANAS]]=AT$2,100%,AVANCE[[#This Row],[VENTANAS]])</f>
        <v>0</v>
      </c>
      <c r="CI438" s="3">
        <f>+IF(AVANCE[[#This Row],[PUERTAS ACCESO - LOGIA - BANO]]=AU$2,100%,AVANCE[[#This Row],[PUERTAS ACCESO - LOGIA - BANO]])</f>
        <v>0</v>
      </c>
      <c r="CJ438" s="3">
        <f>+IF(AVANCE[[#This Row],[CERRADURAS]]=AV$2,100%,AVANCE[[#This Row],[CERRADURAS]])</f>
        <v>0</v>
      </c>
      <c r="CK438" s="3">
        <f>+IF(AVANCE[[#This Row],[REVESTIMIENTO INTERIOR ZONA SECA]]=AW$2,100%,AVANCE[[#This Row],[REVESTIMIENTO INTERIOR ZONA SECA]])</f>
        <v>0</v>
      </c>
      <c r="CL438" s="3">
        <f>+IF(AVANCE[[#This Row],[REVESTIMIENTO INTERIOR ZONAS HUMEDAS]]=AX$2,100%,AVANCE[[#This Row],[REVESTIMIENTO INTERIOR ZONAS HUMEDAS]])</f>
        <v>0</v>
      </c>
      <c r="CM438" s="3">
        <f>+IF(AVANCE[[#This Row],[MEMBRANA CIELO]]=AY$2,100%,AVANCE[[#This Row],[MEMBRANA CIELO]])</f>
        <v>0</v>
      </c>
      <c r="CN438" s="3">
        <f>+IF(AVANCE[[#This Row],[LIMPIEZA FINAL]]=AZ$2,100%,AVANCE[[#This Row],[LIMPIEZA FINAL]])</f>
        <v>0</v>
      </c>
      <c r="CO438" s="3">
        <f>+IF(AVANCE[[#This Row],[PUERTAS DORMITORIO]]=BA$2,100%,AVANCE[[#This Row],[PUERTAS DORMITORIO]])</f>
        <v>0</v>
      </c>
      <c r="CP438" s="3">
        <f>+IF(AVANCE[[#This Row],[REVESTIMIENTO INTERIOR BANO]]=BB$2,100%,AVANCE[[#This Row],[REVESTIMIENTO INTERIOR BANO]])</f>
        <v>0</v>
      </c>
      <c r="CQ438" s="3">
        <f>+IF(AVANCE[[#This Row],[MUEBLE LAVAPLATOS]]=BC$2,100%,AVANCE[[#This Row],[MUEBLE LAVAPLATOS]])</f>
        <v>0</v>
      </c>
      <c r="CR438" s="3">
        <f>+IF(AVANCE[[#This Row],[IMPERMEABILIZACION BANO - COCINA LOGIA]]=BD$2,100%,AVANCE[[#This Row],[IMPERMEABILIZACION BANO - COCINA LOGIA]])</f>
        <v>0</v>
      </c>
      <c r="CS438" s="40">
        <f ca="1">+IF(AVANCE[[#This Row],[ESTADO MODULO]]="PENDIENTE",(TODAY()-AVANCE[[#This Row],[FECHA TERMINO  PLANIFICADO]]),0)</f>
        <v>0</v>
      </c>
      <c r="CT438" s="41" t="str" cm="1">
        <f t="array" ref="CT438">_xlfn.TEXTJOIN(" | ",TRUE,IF(SUMPRODUCT((BG438:CR438&lt;1)*(PARTIDAS!$I$2:$AT$2="OBRA GRUESA"))&gt;0,"OBRA GRUESA: "&amp;_xlfn.TEXTJOIN(", ",TRUE,IF((BG438:CR438&lt;1)*(PARTIDAS!$I$2:$AT$2="OBRA GRUESA"),PARTIDAS!$I$1:$AT$1,"")),""),IF(SUMPRODUCT((BG438:CR438&lt;1)*(PARTIDAS!$I$2:$AT$2="SANITARIOS"))&gt;0,"SANITARIOS: "&amp;_xlfn.TEXTJOIN(", ",TRUE,IF((BG438:CR438&lt;1)*(PARTIDAS!$I$2:$AT$2="SANITARIOS"),PARTIDAS!$I$1:$AT$1,"")),""),IF(SUMPRODUCT((BG438:CR438&lt;1)*(PARTIDAS!$I$2:$AT$2="ELÉCTRICO"))&gt;0,"ELÉCTRICO: "&amp;_xlfn.TEXTJOIN(", ",TRUE,IF((BG438:CR438&lt;1)*(PARTIDAS!$I$2:$AT$2="ELÉCTRICO"),PARTIDAS!$I$1:$AT$1,"")),""),IF(SUMPRODUCT((BG438:CR438&lt;1)*(PARTIDAS!$I$2:$AT$2="TERMINACIONES"))&gt;0,"TERMINACIONES: "&amp;_xlfn.TEXTJOIN(", ",TRUE,IF((BG438:CR438&lt;1)*(PARTIDAS!$I$2:$AT$2="TERMINACIONES"),PARTIDAS!$I$1:$AT$1,"")),""))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8" s="43" t="str" cm="1">
        <f t="array" ref="CU438">_xlfn.TEXTJOIN(", ",TRUE,IF(SUMPRODUCT((BG438:CR438&lt;1)*(PARTIDAS!$I$2:$AT$2="OBRA GRUESA"))&gt;0,"OBRA GRUESA",""),IF(SUMPRODUCT((BG438:CR438&lt;1)*(PARTIDAS!$I$2:$AT$2="SANITARIOS"))&gt;0,"SANITARIOS",""),IF(SUMPRODUCT((BG438:CR438&lt;1)*(PARTIDAS!$I$2:$AT$2="ELÉCTRICO"))&gt;0,"ELÉCTRICO",""),IF(SUMPRODUCT((BG438:CR438&lt;1)*(PARTIDAS!$I$2:$AT$2="TERMINACIONES"))&gt;0,"TERMINACIONES",""))</f>
        <v>OBRA GRUESA, SANITARIOS, ELÉCTRICO, TERMINACIONES</v>
      </c>
      <c r="CV438" s="44" cm="1">
        <f t="array" ref="CV438">SUMPRODUCT(--(BG438:CR438&lt;1))</f>
        <v>38</v>
      </c>
    </row>
    <row r="439" spans="1:100" hidden="1" x14ac:dyDescent="0.25">
      <c r="A439" t="s">
        <v>487</v>
      </c>
      <c r="B439" t="s">
        <v>509</v>
      </c>
      <c r="C439">
        <v>2302600438</v>
      </c>
      <c r="D439" t="s">
        <v>60</v>
      </c>
      <c r="E439" s="2">
        <v>0</v>
      </c>
      <c r="F439" s="1">
        <v>46357</v>
      </c>
      <c r="G439" s="1"/>
      <c r="H439" s="1">
        <v>0</v>
      </c>
      <c r="I439" s="1">
        <v>46387</v>
      </c>
      <c r="J439">
        <v>46230</v>
      </c>
      <c r="K439" s="1"/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>
        <v>31.32</v>
      </c>
      <c r="BF439" s="3" t="str">
        <f>+IF(AVANCE[[#This Row],[% AVANCE]]=100%,"MODULO TERMINADO",IF(AVANCE[[#This Row],[FECHA INICIO REAL]]="","MODULO NO INICIADO","PENDIENTE"))</f>
        <v>MODULO NO INICIADO</v>
      </c>
      <c r="BG439" s="3">
        <f>+IF(AVANCE[[#This Row],[VENTANAS]]=8.10810810810811%,100%,AVANCE[[#This Row],[VENTANAS]])</f>
        <v>0</v>
      </c>
      <c r="BH439" s="3">
        <f>+IF(AVANCE[[#This Row],[PISO]]=N$2,100%,AVANCE[[#This Row],[PISO]])</f>
        <v>0</v>
      </c>
      <c r="BI439" s="3">
        <f>+IF(AVANCE[[#This Row],[TABIQUES]]=O$2,100%,AVANCE[[#This Row],[TABIQUES]])</f>
        <v>0</v>
      </c>
      <c r="BJ439" s="3">
        <f>+IF(AVANCE[[#This Row],[MUROS]]=P$2,100%,AVANCE[[#This Row],[MUROS]])</f>
        <v>0</v>
      </c>
      <c r="BK439" s="3">
        <f>+IF(AVANCE[[#This Row],[CIELO]]=Q$2,100%,AVANCE[[#This Row],[CIELO]])</f>
        <v>0</v>
      </c>
      <c r="BL439" s="3">
        <f>+IF(AVANCE[[#This Row],[BALCÓN]]=R$2,100%,AVANCE[[#This Row],[BALCÓN]])</f>
        <v>0</v>
      </c>
      <c r="BM439" s="3">
        <f>+IF(AVANCE[[#This Row],[RED ALCANTARILLADO]]=U$2,100%,AVANCE[[#This Row],[RED ALCANTARILLADO]])</f>
        <v>0</v>
      </c>
      <c r="BN439" s="3">
        <f>+IF(AVANCE[[#This Row],[RED DE AGUA]]=V$2,100%,AVANCE[[#This Row],[RED DE AGUA]])</f>
        <v>0</v>
      </c>
      <c r="BO439" s="3">
        <f>+IF(AVANCE[[#This Row],[VENTILACIONES]]=W$2,100%,AVANCE[[#This Row],[VENTILACIONES]])</f>
        <v>0</v>
      </c>
      <c r="BP439" s="3">
        <f>+IF(AVANCE[[#This Row],[TINA]]=X$2,100%,AVANCE[[#This Row],[TINA]])</f>
        <v>0</v>
      </c>
      <c r="BQ439" s="3">
        <f>+IF(AVANCE[[#This Row],[WC]]=Y$2,100%,AVANCE[[#This Row],[WC]])</f>
        <v>0</v>
      </c>
      <c r="BR439" s="3">
        <f>+IF(AVANCE[[#This Row],[LAVAMANOS / LAVAPLATOS / LAVADERO]]=Z$2,100%,AVANCE[[#This Row],[LAVAMANOS / LAVAPLATOS / LAVADERO]])</f>
        <v>0</v>
      </c>
      <c r="BS439" s="3">
        <f>+IF(AVANCE[[#This Row],[CANALIZACIÓN]]=AC$2,100%,AVANCE[[#This Row],[CANALIZACIÓN]])</f>
        <v>0</v>
      </c>
      <c r="BT439" s="3">
        <f>+IF(AVANCE[[#This Row],[CABLEADO]]=AD$2,100%,AVANCE[[#This Row],[CABLEADO]])</f>
        <v>0</v>
      </c>
      <c r="BU439" s="3">
        <f>+IF(AVANCE[[#This Row],[ARTEFACTOS]]=AE$2,100%,AVANCE[[#This Row],[ARTEFACTOS]])</f>
        <v>0</v>
      </c>
      <c r="BV439" s="3">
        <f>+IF(AVANCE[[#This Row],[TABLERO]]=AF$2,100%,AVANCE[[#This Row],[TABLERO]])</f>
        <v>0</v>
      </c>
      <c r="BW439" s="3">
        <f>+IF(AVANCE[[#This Row],[CAJA PAU]]=AG$2,100%,AVANCE[[#This Row],[CAJA PAU]])</f>
        <v>0</v>
      </c>
      <c r="BX439" s="3">
        <f>+IF(AVANCE[[#This Row],[INSTALACION VINILICO]]=AJ$2,100%,AVANCE[[#This Row],[INSTALACION VINILICO]])</f>
        <v>0</v>
      </c>
      <c r="BY439" s="3">
        <f>+IF(AVANCE[[#This Row],[OSB CUBIERTA]]=AK$2,100%,AVANCE[[#This Row],[OSB CUBIERTA]])</f>
        <v>0</v>
      </c>
      <c r="BZ439" s="3">
        <f>+IF(AVANCE[[#This Row],[BARANDA BALCON]]=AL$2,100%,AVANCE[[#This Row],[BARANDA BALCON]])</f>
        <v>0</v>
      </c>
      <c r="CA439" s="3">
        <f>+IF(AVANCE[[#This Row],[OSB EXTERIOR]]=AM$2,100%,AVANCE[[#This Row],[OSB EXTERIOR]])</f>
        <v>0</v>
      </c>
      <c r="CB439" s="3">
        <f>+IF(AVANCE[[#This Row],[SMART PANEL]]=AN$2,100%,AVANCE[[#This Row],[SMART PANEL]])</f>
        <v>0</v>
      </c>
      <c r="CC439" s="3">
        <f>+IF(AVANCE[[#This Row],[PINTURA EXTERIOR]]=AO$2,100%,AVANCE[[#This Row],[PINTURA EXTERIOR]])</f>
        <v>0</v>
      </c>
      <c r="CD439" s="3">
        <f>+IF(AVANCE[[#This Row],[ZOCALOS LOGIA]]=AP$2,100%,AVANCE[[#This Row],[ZOCALOS LOGIA]])</f>
        <v>0</v>
      </c>
      <c r="CE439" s="3">
        <f>+IF(AVANCE[[#This Row],[MOLDURAS]]=AQ$2,100%,AVANCE[[#This Row],[MOLDURAS]])</f>
        <v>0</v>
      </c>
      <c r="CF439" s="3">
        <f>+IF(AVANCE[[#This Row],[PILASTREO]]=AR$2,100%,AVANCE[[#This Row],[PILASTREO]])</f>
        <v>0</v>
      </c>
      <c r="CG439" s="3">
        <f>+IF(AVANCE[[#This Row],[CELOSIAS]]=AS$2,100%,AVANCE[[#This Row],[CELOSIAS]])</f>
        <v>0</v>
      </c>
      <c r="CH439" s="3">
        <f>+IF(AVANCE[[#This Row],[VENTANAS]]=AT$2,100%,AVANCE[[#This Row],[VENTANAS]])</f>
        <v>0</v>
      </c>
      <c r="CI439" s="3">
        <f>+IF(AVANCE[[#This Row],[PUERTAS ACCESO - LOGIA - BANO]]=AU$2,100%,AVANCE[[#This Row],[PUERTAS ACCESO - LOGIA - BANO]])</f>
        <v>0</v>
      </c>
      <c r="CJ439" s="3">
        <f>+IF(AVANCE[[#This Row],[CERRADURAS]]=AV$2,100%,AVANCE[[#This Row],[CERRADURAS]])</f>
        <v>0</v>
      </c>
      <c r="CK439" s="3">
        <f>+IF(AVANCE[[#This Row],[REVESTIMIENTO INTERIOR ZONA SECA]]=AW$2,100%,AVANCE[[#This Row],[REVESTIMIENTO INTERIOR ZONA SECA]])</f>
        <v>0</v>
      </c>
      <c r="CL439" s="3">
        <f>+IF(AVANCE[[#This Row],[REVESTIMIENTO INTERIOR ZONAS HUMEDAS]]=AX$2,100%,AVANCE[[#This Row],[REVESTIMIENTO INTERIOR ZONAS HUMEDAS]])</f>
        <v>0</v>
      </c>
      <c r="CM439" s="3">
        <f>+IF(AVANCE[[#This Row],[MEMBRANA CIELO]]=AY$2,100%,AVANCE[[#This Row],[MEMBRANA CIELO]])</f>
        <v>0</v>
      </c>
      <c r="CN439" s="3">
        <f>+IF(AVANCE[[#This Row],[LIMPIEZA FINAL]]=AZ$2,100%,AVANCE[[#This Row],[LIMPIEZA FINAL]])</f>
        <v>0</v>
      </c>
      <c r="CO439" s="3">
        <f>+IF(AVANCE[[#This Row],[PUERTAS DORMITORIO]]=BA$2,100%,AVANCE[[#This Row],[PUERTAS DORMITORIO]])</f>
        <v>0</v>
      </c>
      <c r="CP439" s="3">
        <f>+IF(AVANCE[[#This Row],[REVESTIMIENTO INTERIOR BANO]]=BB$2,100%,AVANCE[[#This Row],[REVESTIMIENTO INTERIOR BANO]])</f>
        <v>0</v>
      </c>
      <c r="CQ439" s="3">
        <f>+IF(AVANCE[[#This Row],[MUEBLE LAVAPLATOS]]=BC$2,100%,AVANCE[[#This Row],[MUEBLE LAVAPLATOS]])</f>
        <v>0</v>
      </c>
      <c r="CR439" s="3">
        <f>+IF(AVANCE[[#This Row],[IMPERMEABILIZACION BANO - COCINA LOGIA]]=BD$2,100%,AVANCE[[#This Row],[IMPERMEABILIZACION BANO - COCINA LOGIA]])</f>
        <v>0</v>
      </c>
      <c r="CS439" s="40">
        <f ca="1">+IF(AVANCE[[#This Row],[ESTADO MODULO]]="PENDIENTE",(TODAY()-AVANCE[[#This Row],[FECHA TERMINO  PLANIFICADO]]),0)</f>
        <v>0</v>
      </c>
      <c r="CT439" s="41" t="str" cm="1">
        <f t="array" ref="CT439">_xlfn.TEXTJOIN(" | ",TRUE,IF(SUMPRODUCT((BG439:CR439&lt;1)*(PARTIDAS!$I$2:$AT$2="OBRA GRUESA"))&gt;0,"OBRA GRUESA: "&amp;_xlfn.TEXTJOIN(", ",TRUE,IF((BG439:CR439&lt;1)*(PARTIDAS!$I$2:$AT$2="OBRA GRUESA"),PARTIDAS!$I$1:$AT$1,"")),""),IF(SUMPRODUCT((BG439:CR439&lt;1)*(PARTIDAS!$I$2:$AT$2="SANITARIOS"))&gt;0,"SANITARIOS: "&amp;_xlfn.TEXTJOIN(", ",TRUE,IF((BG439:CR439&lt;1)*(PARTIDAS!$I$2:$AT$2="SANITARIOS"),PARTIDAS!$I$1:$AT$1,"")),""),IF(SUMPRODUCT((BG439:CR439&lt;1)*(PARTIDAS!$I$2:$AT$2="ELÉCTRICO"))&gt;0,"ELÉCTRICO: "&amp;_xlfn.TEXTJOIN(", ",TRUE,IF((BG439:CR439&lt;1)*(PARTIDAS!$I$2:$AT$2="ELÉCTRICO"),PARTIDAS!$I$1:$AT$1,"")),""),IF(SUMPRODUCT((BG439:CR439&lt;1)*(PARTIDAS!$I$2:$AT$2="TERMINACIONES"))&gt;0,"TERMINACIONES: "&amp;_xlfn.TEXTJOIN(", ",TRUE,IF((BG439:CR439&lt;1)*(PARTIDAS!$I$2:$AT$2="TERMINACIONES"),PARTIDAS!$I$1:$AT$1,"")),""))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39" s="43" t="str" cm="1">
        <f t="array" ref="CU439">_xlfn.TEXTJOIN(", ",TRUE,IF(SUMPRODUCT((BG439:CR439&lt;1)*(PARTIDAS!$I$2:$AT$2="OBRA GRUESA"))&gt;0,"OBRA GRUESA",""),IF(SUMPRODUCT((BG439:CR439&lt;1)*(PARTIDAS!$I$2:$AT$2="SANITARIOS"))&gt;0,"SANITARIOS",""),IF(SUMPRODUCT((BG439:CR439&lt;1)*(PARTIDAS!$I$2:$AT$2="ELÉCTRICO"))&gt;0,"ELÉCTRICO",""),IF(SUMPRODUCT((BG439:CR439&lt;1)*(PARTIDAS!$I$2:$AT$2="TERMINACIONES"))&gt;0,"TERMINACIONES",""))</f>
        <v>OBRA GRUESA, SANITARIOS, ELÉCTRICO, TERMINACIONES</v>
      </c>
      <c r="CV439" s="44" cm="1">
        <f t="array" ref="CV439">SUMPRODUCT(--(BG439:CR439&lt;1))</f>
        <v>38</v>
      </c>
    </row>
    <row r="440" spans="1:100" hidden="1" x14ac:dyDescent="0.25">
      <c r="A440" t="s">
        <v>487</v>
      </c>
      <c r="B440" t="s">
        <v>510</v>
      </c>
      <c r="C440">
        <v>2302600439</v>
      </c>
      <c r="D440" t="s">
        <v>60</v>
      </c>
      <c r="E440" s="2">
        <v>0</v>
      </c>
      <c r="F440" s="1">
        <v>46357</v>
      </c>
      <c r="G440" s="1"/>
      <c r="H440" s="1">
        <v>0</v>
      </c>
      <c r="I440" s="1">
        <v>46387</v>
      </c>
      <c r="J440">
        <v>46230</v>
      </c>
      <c r="K440" s="1"/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>
        <v>31.32</v>
      </c>
      <c r="BF440" s="3" t="str">
        <f>+IF(AVANCE[[#This Row],[% AVANCE]]=100%,"MODULO TERMINADO",IF(AVANCE[[#This Row],[FECHA INICIO REAL]]="","MODULO NO INICIADO","PENDIENTE"))</f>
        <v>MODULO NO INICIADO</v>
      </c>
      <c r="BG440" s="3">
        <f>+IF(AVANCE[[#This Row],[VENTANAS]]=8.10810810810811%,100%,AVANCE[[#This Row],[VENTANAS]])</f>
        <v>0</v>
      </c>
      <c r="BH440" s="3">
        <f>+IF(AVANCE[[#This Row],[PISO]]=N$2,100%,AVANCE[[#This Row],[PISO]])</f>
        <v>0</v>
      </c>
      <c r="BI440" s="3">
        <f>+IF(AVANCE[[#This Row],[TABIQUES]]=O$2,100%,AVANCE[[#This Row],[TABIQUES]])</f>
        <v>0</v>
      </c>
      <c r="BJ440" s="3">
        <f>+IF(AVANCE[[#This Row],[MUROS]]=P$2,100%,AVANCE[[#This Row],[MUROS]])</f>
        <v>0</v>
      </c>
      <c r="BK440" s="3">
        <f>+IF(AVANCE[[#This Row],[CIELO]]=Q$2,100%,AVANCE[[#This Row],[CIELO]])</f>
        <v>0</v>
      </c>
      <c r="BL440" s="3">
        <f>+IF(AVANCE[[#This Row],[BALCÓN]]=R$2,100%,AVANCE[[#This Row],[BALCÓN]])</f>
        <v>0</v>
      </c>
      <c r="BM440" s="3">
        <f>+IF(AVANCE[[#This Row],[RED ALCANTARILLADO]]=U$2,100%,AVANCE[[#This Row],[RED ALCANTARILLADO]])</f>
        <v>0</v>
      </c>
      <c r="BN440" s="3">
        <f>+IF(AVANCE[[#This Row],[RED DE AGUA]]=V$2,100%,AVANCE[[#This Row],[RED DE AGUA]])</f>
        <v>0</v>
      </c>
      <c r="BO440" s="3">
        <f>+IF(AVANCE[[#This Row],[VENTILACIONES]]=W$2,100%,AVANCE[[#This Row],[VENTILACIONES]])</f>
        <v>0</v>
      </c>
      <c r="BP440" s="3">
        <f>+IF(AVANCE[[#This Row],[TINA]]=X$2,100%,AVANCE[[#This Row],[TINA]])</f>
        <v>0</v>
      </c>
      <c r="BQ440" s="3">
        <f>+IF(AVANCE[[#This Row],[WC]]=Y$2,100%,AVANCE[[#This Row],[WC]])</f>
        <v>0</v>
      </c>
      <c r="BR440" s="3">
        <f>+IF(AVANCE[[#This Row],[LAVAMANOS / LAVAPLATOS / LAVADERO]]=Z$2,100%,AVANCE[[#This Row],[LAVAMANOS / LAVAPLATOS / LAVADERO]])</f>
        <v>0</v>
      </c>
      <c r="BS440" s="3">
        <f>+IF(AVANCE[[#This Row],[CANALIZACIÓN]]=AC$2,100%,AVANCE[[#This Row],[CANALIZACIÓN]])</f>
        <v>0</v>
      </c>
      <c r="BT440" s="3">
        <f>+IF(AVANCE[[#This Row],[CABLEADO]]=AD$2,100%,AVANCE[[#This Row],[CABLEADO]])</f>
        <v>0</v>
      </c>
      <c r="BU440" s="3">
        <f>+IF(AVANCE[[#This Row],[ARTEFACTOS]]=AE$2,100%,AVANCE[[#This Row],[ARTEFACTOS]])</f>
        <v>0</v>
      </c>
      <c r="BV440" s="3">
        <f>+IF(AVANCE[[#This Row],[TABLERO]]=AF$2,100%,AVANCE[[#This Row],[TABLERO]])</f>
        <v>0</v>
      </c>
      <c r="BW440" s="3">
        <f>+IF(AVANCE[[#This Row],[CAJA PAU]]=AG$2,100%,AVANCE[[#This Row],[CAJA PAU]])</f>
        <v>0</v>
      </c>
      <c r="BX440" s="3">
        <f>+IF(AVANCE[[#This Row],[INSTALACION VINILICO]]=AJ$2,100%,AVANCE[[#This Row],[INSTALACION VINILICO]])</f>
        <v>0</v>
      </c>
      <c r="BY440" s="3">
        <f>+IF(AVANCE[[#This Row],[OSB CUBIERTA]]=AK$2,100%,AVANCE[[#This Row],[OSB CUBIERTA]])</f>
        <v>0</v>
      </c>
      <c r="BZ440" s="3">
        <f>+IF(AVANCE[[#This Row],[BARANDA BALCON]]=AL$2,100%,AVANCE[[#This Row],[BARANDA BALCON]])</f>
        <v>0</v>
      </c>
      <c r="CA440" s="3">
        <f>+IF(AVANCE[[#This Row],[OSB EXTERIOR]]=AM$2,100%,AVANCE[[#This Row],[OSB EXTERIOR]])</f>
        <v>0</v>
      </c>
      <c r="CB440" s="3">
        <f>+IF(AVANCE[[#This Row],[SMART PANEL]]=AN$2,100%,AVANCE[[#This Row],[SMART PANEL]])</f>
        <v>0</v>
      </c>
      <c r="CC440" s="3">
        <f>+IF(AVANCE[[#This Row],[PINTURA EXTERIOR]]=AO$2,100%,AVANCE[[#This Row],[PINTURA EXTERIOR]])</f>
        <v>0</v>
      </c>
      <c r="CD440" s="3">
        <f>+IF(AVANCE[[#This Row],[ZOCALOS LOGIA]]=AP$2,100%,AVANCE[[#This Row],[ZOCALOS LOGIA]])</f>
        <v>0</v>
      </c>
      <c r="CE440" s="3">
        <f>+IF(AVANCE[[#This Row],[MOLDURAS]]=AQ$2,100%,AVANCE[[#This Row],[MOLDURAS]])</f>
        <v>0</v>
      </c>
      <c r="CF440" s="3">
        <f>+IF(AVANCE[[#This Row],[PILASTREO]]=AR$2,100%,AVANCE[[#This Row],[PILASTREO]])</f>
        <v>0</v>
      </c>
      <c r="CG440" s="3">
        <f>+IF(AVANCE[[#This Row],[CELOSIAS]]=AS$2,100%,AVANCE[[#This Row],[CELOSIAS]])</f>
        <v>0</v>
      </c>
      <c r="CH440" s="3">
        <f>+IF(AVANCE[[#This Row],[VENTANAS]]=AT$2,100%,AVANCE[[#This Row],[VENTANAS]])</f>
        <v>0</v>
      </c>
      <c r="CI440" s="3">
        <f>+IF(AVANCE[[#This Row],[PUERTAS ACCESO - LOGIA - BANO]]=AU$2,100%,AVANCE[[#This Row],[PUERTAS ACCESO - LOGIA - BANO]])</f>
        <v>0</v>
      </c>
      <c r="CJ440" s="3">
        <f>+IF(AVANCE[[#This Row],[CERRADURAS]]=AV$2,100%,AVANCE[[#This Row],[CERRADURAS]])</f>
        <v>0</v>
      </c>
      <c r="CK440" s="3">
        <f>+IF(AVANCE[[#This Row],[REVESTIMIENTO INTERIOR ZONA SECA]]=AW$2,100%,AVANCE[[#This Row],[REVESTIMIENTO INTERIOR ZONA SECA]])</f>
        <v>0</v>
      </c>
      <c r="CL440" s="3">
        <f>+IF(AVANCE[[#This Row],[REVESTIMIENTO INTERIOR ZONAS HUMEDAS]]=AX$2,100%,AVANCE[[#This Row],[REVESTIMIENTO INTERIOR ZONAS HUMEDAS]])</f>
        <v>0</v>
      </c>
      <c r="CM440" s="3">
        <f>+IF(AVANCE[[#This Row],[MEMBRANA CIELO]]=AY$2,100%,AVANCE[[#This Row],[MEMBRANA CIELO]])</f>
        <v>0</v>
      </c>
      <c r="CN440" s="3">
        <f>+IF(AVANCE[[#This Row],[LIMPIEZA FINAL]]=AZ$2,100%,AVANCE[[#This Row],[LIMPIEZA FINAL]])</f>
        <v>0</v>
      </c>
      <c r="CO440" s="3">
        <f>+IF(AVANCE[[#This Row],[PUERTAS DORMITORIO]]=BA$2,100%,AVANCE[[#This Row],[PUERTAS DORMITORIO]])</f>
        <v>0</v>
      </c>
      <c r="CP440" s="3">
        <f>+IF(AVANCE[[#This Row],[REVESTIMIENTO INTERIOR BANO]]=BB$2,100%,AVANCE[[#This Row],[REVESTIMIENTO INTERIOR BANO]])</f>
        <v>0</v>
      </c>
      <c r="CQ440" s="3">
        <f>+IF(AVANCE[[#This Row],[MUEBLE LAVAPLATOS]]=BC$2,100%,AVANCE[[#This Row],[MUEBLE LAVAPLATOS]])</f>
        <v>0</v>
      </c>
      <c r="CR440" s="3">
        <f>+IF(AVANCE[[#This Row],[IMPERMEABILIZACION BANO - COCINA LOGIA]]=BD$2,100%,AVANCE[[#This Row],[IMPERMEABILIZACION BANO - COCINA LOGIA]])</f>
        <v>0</v>
      </c>
      <c r="CS440" s="40">
        <f ca="1">+IF(AVANCE[[#This Row],[ESTADO MODULO]]="PENDIENTE",(TODAY()-AVANCE[[#This Row],[FECHA TERMINO  PLANIFICADO]]),0)</f>
        <v>0</v>
      </c>
      <c r="CT440" s="41" t="str" cm="1">
        <f t="array" ref="CT440">_xlfn.TEXTJOIN(" | ",TRUE,IF(SUMPRODUCT((BG440:CR440&lt;1)*(PARTIDAS!$I$2:$AT$2="OBRA GRUESA"))&gt;0,"OBRA GRUESA: "&amp;_xlfn.TEXTJOIN(", ",TRUE,IF((BG440:CR440&lt;1)*(PARTIDAS!$I$2:$AT$2="OBRA GRUESA"),PARTIDAS!$I$1:$AT$1,"")),""),IF(SUMPRODUCT((BG440:CR440&lt;1)*(PARTIDAS!$I$2:$AT$2="SANITARIOS"))&gt;0,"SANITARIOS: "&amp;_xlfn.TEXTJOIN(", ",TRUE,IF((BG440:CR440&lt;1)*(PARTIDAS!$I$2:$AT$2="SANITARIOS"),PARTIDAS!$I$1:$AT$1,"")),""),IF(SUMPRODUCT((BG440:CR440&lt;1)*(PARTIDAS!$I$2:$AT$2="ELÉCTRICO"))&gt;0,"ELÉCTRICO: "&amp;_xlfn.TEXTJOIN(", ",TRUE,IF((BG440:CR440&lt;1)*(PARTIDAS!$I$2:$AT$2="ELÉCTRICO"),PARTIDAS!$I$1:$AT$1,"")),""),IF(SUMPRODUCT((BG440:CR440&lt;1)*(PARTIDAS!$I$2:$AT$2="TERMINACIONES"))&gt;0,"TERMINACIONES: "&amp;_xlfn.TEXTJOIN(", ",TRUE,IF((BG440:CR440&lt;1)*(PARTIDAS!$I$2:$AT$2="TERMINACIONES"),PARTIDAS!$I$1:$AT$1,"")),""))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0" s="43" t="str" cm="1">
        <f t="array" ref="CU440">_xlfn.TEXTJOIN(", ",TRUE,IF(SUMPRODUCT((BG440:CR440&lt;1)*(PARTIDAS!$I$2:$AT$2="OBRA GRUESA"))&gt;0,"OBRA GRUESA",""),IF(SUMPRODUCT((BG440:CR440&lt;1)*(PARTIDAS!$I$2:$AT$2="SANITARIOS"))&gt;0,"SANITARIOS",""),IF(SUMPRODUCT((BG440:CR440&lt;1)*(PARTIDAS!$I$2:$AT$2="ELÉCTRICO"))&gt;0,"ELÉCTRICO",""),IF(SUMPRODUCT((BG440:CR440&lt;1)*(PARTIDAS!$I$2:$AT$2="TERMINACIONES"))&gt;0,"TERMINACIONES",""))</f>
        <v>OBRA GRUESA, SANITARIOS, ELÉCTRICO, TERMINACIONES</v>
      </c>
      <c r="CV440" s="44" cm="1">
        <f t="array" ref="CV440">SUMPRODUCT(--(BG440:CR440&lt;1))</f>
        <v>38</v>
      </c>
    </row>
    <row r="441" spans="1:100" hidden="1" x14ac:dyDescent="0.25">
      <c r="A441" t="s">
        <v>487</v>
      </c>
      <c r="B441" t="s">
        <v>511</v>
      </c>
      <c r="C441">
        <v>2282600440</v>
      </c>
      <c r="D441" t="s">
        <v>58</v>
      </c>
      <c r="E441" s="2">
        <v>0</v>
      </c>
      <c r="F441" s="1">
        <v>46358</v>
      </c>
      <c r="G441" s="1"/>
      <c r="H441" s="1">
        <v>0</v>
      </c>
      <c r="I441" s="1">
        <v>46378</v>
      </c>
      <c r="J441">
        <v>46230</v>
      </c>
      <c r="K441" s="1"/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>
        <v>28.87</v>
      </c>
      <c r="BF441" s="3" t="str">
        <f>+IF(AVANCE[[#This Row],[% AVANCE]]=100%,"MODULO TERMINADO",IF(AVANCE[[#This Row],[FECHA INICIO REAL]]="","MODULO NO INICIADO","PENDIENTE"))</f>
        <v>MODULO NO INICIADO</v>
      </c>
      <c r="BG441" s="3">
        <f>+IF(AVANCE[[#This Row],[VENTANAS]]=8.10810810810811%,100%,AVANCE[[#This Row],[VENTANAS]])</f>
        <v>0</v>
      </c>
      <c r="BH441" s="3">
        <f>+IF(AVANCE[[#This Row],[PISO]]=N$2,100%,AVANCE[[#This Row],[PISO]])</f>
        <v>0</v>
      </c>
      <c r="BI441" s="3">
        <f>+IF(AVANCE[[#This Row],[TABIQUES]]=O$2,100%,AVANCE[[#This Row],[TABIQUES]])</f>
        <v>0</v>
      </c>
      <c r="BJ441" s="3">
        <f>+IF(AVANCE[[#This Row],[MUROS]]=P$2,100%,AVANCE[[#This Row],[MUROS]])</f>
        <v>0</v>
      </c>
      <c r="BK441" s="3">
        <f>+IF(AVANCE[[#This Row],[CIELO]]=Q$2,100%,AVANCE[[#This Row],[CIELO]])</f>
        <v>0</v>
      </c>
      <c r="BL441" s="3">
        <f>+IF(AVANCE[[#This Row],[BALCÓN]]=R$2,100%,AVANCE[[#This Row],[BALCÓN]])</f>
        <v>0</v>
      </c>
      <c r="BM441" s="3">
        <f>+IF(AVANCE[[#This Row],[RED ALCANTARILLADO]]=U$2,100%,AVANCE[[#This Row],[RED ALCANTARILLADO]])</f>
        <v>0</v>
      </c>
      <c r="BN441" s="3">
        <f>+IF(AVANCE[[#This Row],[RED DE AGUA]]=V$2,100%,AVANCE[[#This Row],[RED DE AGUA]])</f>
        <v>0</v>
      </c>
      <c r="BO441" s="3">
        <f>+IF(AVANCE[[#This Row],[VENTILACIONES]]=W$2,100%,AVANCE[[#This Row],[VENTILACIONES]])</f>
        <v>0</v>
      </c>
      <c r="BP441" s="3">
        <f>+IF(AVANCE[[#This Row],[TINA]]=X$2,100%,AVANCE[[#This Row],[TINA]])</f>
        <v>0</v>
      </c>
      <c r="BQ441" s="3">
        <f>+IF(AVANCE[[#This Row],[WC]]=Y$2,100%,AVANCE[[#This Row],[WC]])</f>
        <v>0</v>
      </c>
      <c r="BR441" s="3">
        <f>+IF(AVANCE[[#This Row],[LAVAMANOS / LAVAPLATOS / LAVADERO]]=Z$2,100%,AVANCE[[#This Row],[LAVAMANOS / LAVAPLATOS / LAVADERO]])</f>
        <v>0</v>
      </c>
      <c r="BS441" s="3">
        <f>+IF(AVANCE[[#This Row],[CANALIZACIÓN]]=AC$2,100%,AVANCE[[#This Row],[CANALIZACIÓN]])</f>
        <v>0</v>
      </c>
      <c r="BT441" s="3">
        <f>+IF(AVANCE[[#This Row],[CABLEADO]]=AD$2,100%,AVANCE[[#This Row],[CABLEADO]])</f>
        <v>0</v>
      </c>
      <c r="BU441" s="3">
        <f>+IF(AVANCE[[#This Row],[ARTEFACTOS]]=AE$2,100%,AVANCE[[#This Row],[ARTEFACTOS]])</f>
        <v>0</v>
      </c>
      <c r="BV441" s="3">
        <f>+IF(AVANCE[[#This Row],[TABLERO]]=AF$2,100%,AVANCE[[#This Row],[TABLERO]])</f>
        <v>0</v>
      </c>
      <c r="BW441" s="3">
        <f>+IF(AVANCE[[#This Row],[CAJA PAU]]=AG$2,100%,AVANCE[[#This Row],[CAJA PAU]])</f>
        <v>0</v>
      </c>
      <c r="BX441" s="3">
        <f>+IF(AVANCE[[#This Row],[INSTALACION VINILICO]]=AJ$2,100%,AVANCE[[#This Row],[INSTALACION VINILICO]])</f>
        <v>0</v>
      </c>
      <c r="BY441" s="3">
        <f>+IF(AVANCE[[#This Row],[OSB CUBIERTA]]=AK$2,100%,AVANCE[[#This Row],[OSB CUBIERTA]])</f>
        <v>0</v>
      </c>
      <c r="BZ441" s="3">
        <f>+IF(AVANCE[[#This Row],[BARANDA BALCON]]=AL$2,100%,AVANCE[[#This Row],[BARANDA BALCON]])</f>
        <v>0</v>
      </c>
      <c r="CA441" s="3">
        <f>+IF(AVANCE[[#This Row],[OSB EXTERIOR]]=AM$2,100%,AVANCE[[#This Row],[OSB EXTERIOR]])</f>
        <v>0</v>
      </c>
      <c r="CB441" s="3">
        <f>+IF(AVANCE[[#This Row],[SMART PANEL]]=AN$2,100%,AVANCE[[#This Row],[SMART PANEL]])</f>
        <v>0</v>
      </c>
      <c r="CC441" s="3">
        <f>+IF(AVANCE[[#This Row],[PINTURA EXTERIOR]]=AO$2,100%,AVANCE[[#This Row],[PINTURA EXTERIOR]])</f>
        <v>0</v>
      </c>
      <c r="CD441" s="3">
        <f>+IF(AVANCE[[#This Row],[ZOCALOS LOGIA]]=AP$2,100%,AVANCE[[#This Row],[ZOCALOS LOGIA]])</f>
        <v>0</v>
      </c>
      <c r="CE441" s="3">
        <f>+IF(AVANCE[[#This Row],[MOLDURAS]]=AQ$2,100%,AVANCE[[#This Row],[MOLDURAS]])</f>
        <v>0</v>
      </c>
      <c r="CF441" s="3">
        <f>+IF(AVANCE[[#This Row],[PILASTREO]]=AR$2,100%,AVANCE[[#This Row],[PILASTREO]])</f>
        <v>0</v>
      </c>
      <c r="CG441" s="3">
        <f>+IF(AVANCE[[#This Row],[CELOSIAS]]=AS$2,100%,AVANCE[[#This Row],[CELOSIAS]])</f>
        <v>0</v>
      </c>
      <c r="CH441" s="3">
        <f>+IF(AVANCE[[#This Row],[VENTANAS]]=AT$2,100%,AVANCE[[#This Row],[VENTANAS]])</f>
        <v>0</v>
      </c>
      <c r="CI441" s="3">
        <f>+IF(AVANCE[[#This Row],[PUERTAS ACCESO - LOGIA - BANO]]=AU$2,100%,AVANCE[[#This Row],[PUERTAS ACCESO - LOGIA - BANO]])</f>
        <v>0</v>
      </c>
      <c r="CJ441" s="3">
        <f>+IF(AVANCE[[#This Row],[CERRADURAS]]=AV$2,100%,AVANCE[[#This Row],[CERRADURAS]])</f>
        <v>0</v>
      </c>
      <c r="CK441" s="3">
        <f>+IF(AVANCE[[#This Row],[REVESTIMIENTO INTERIOR ZONA SECA]]=AW$2,100%,AVANCE[[#This Row],[REVESTIMIENTO INTERIOR ZONA SECA]])</f>
        <v>0</v>
      </c>
      <c r="CL441" s="3">
        <f>+IF(AVANCE[[#This Row],[REVESTIMIENTO INTERIOR ZONAS HUMEDAS]]=AX$2,100%,AVANCE[[#This Row],[REVESTIMIENTO INTERIOR ZONAS HUMEDAS]])</f>
        <v>0</v>
      </c>
      <c r="CM441" s="3">
        <f>+IF(AVANCE[[#This Row],[MEMBRANA CIELO]]=AY$2,100%,AVANCE[[#This Row],[MEMBRANA CIELO]])</f>
        <v>0</v>
      </c>
      <c r="CN441" s="3">
        <f>+IF(AVANCE[[#This Row],[LIMPIEZA FINAL]]=AZ$2,100%,AVANCE[[#This Row],[LIMPIEZA FINAL]])</f>
        <v>0</v>
      </c>
      <c r="CO441" s="3">
        <f>+IF(AVANCE[[#This Row],[PUERTAS DORMITORIO]]=BA$2,100%,AVANCE[[#This Row],[PUERTAS DORMITORIO]])</f>
        <v>0</v>
      </c>
      <c r="CP441" s="3">
        <f>+IF(AVANCE[[#This Row],[REVESTIMIENTO INTERIOR BANO]]=BB$2,100%,AVANCE[[#This Row],[REVESTIMIENTO INTERIOR BANO]])</f>
        <v>0</v>
      </c>
      <c r="CQ441" s="3">
        <f>+IF(AVANCE[[#This Row],[MUEBLE LAVAPLATOS]]=BC$2,100%,AVANCE[[#This Row],[MUEBLE LAVAPLATOS]])</f>
        <v>0</v>
      </c>
      <c r="CR441" s="3">
        <f>+IF(AVANCE[[#This Row],[IMPERMEABILIZACION BANO - COCINA LOGIA]]=BD$2,100%,AVANCE[[#This Row],[IMPERMEABILIZACION BANO - COCINA LOGIA]])</f>
        <v>0</v>
      </c>
      <c r="CS441" s="40">
        <f ca="1">+IF(AVANCE[[#This Row],[ESTADO MODULO]]="PENDIENTE",(TODAY()-AVANCE[[#This Row],[FECHA TERMINO  PLANIFICADO]]),0)</f>
        <v>0</v>
      </c>
      <c r="CT441" s="41" t="str" cm="1">
        <f t="array" ref="CT441">_xlfn.TEXTJOIN(" | ",TRUE,IF(SUMPRODUCT((BG441:CR441&lt;1)*(PARTIDAS!$I$2:$AT$2="OBRA GRUESA"))&gt;0,"OBRA GRUESA: "&amp;_xlfn.TEXTJOIN(", ",TRUE,IF((BG441:CR441&lt;1)*(PARTIDAS!$I$2:$AT$2="OBRA GRUESA"),PARTIDAS!$I$1:$AT$1,"")),""),IF(SUMPRODUCT((BG441:CR441&lt;1)*(PARTIDAS!$I$2:$AT$2="SANITARIOS"))&gt;0,"SANITARIOS: "&amp;_xlfn.TEXTJOIN(", ",TRUE,IF((BG441:CR441&lt;1)*(PARTIDAS!$I$2:$AT$2="SANITARIOS"),PARTIDAS!$I$1:$AT$1,"")),""),IF(SUMPRODUCT((BG441:CR441&lt;1)*(PARTIDAS!$I$2:$AT$2="ELÉCTRICO"))&gt;0,"ELÉCTRICO: "&amp;_xlfn.TEXTJOIN(", ",TRUE,IF((BG441:CR441&lt;1)*(PARTIDAS!$I$2:$AT$2="ELÉCTRICO"),PARTIDAS!$I$1:$AT$1,"")),""),IF(SUMPRODUCT((BG441:CR441&lt;1)*(PARTIDAS!$I$2:$AT$2="TERMINACIONES"))&gt;0,"TERMINACIONES: "&amp;_xlfn.TEXTJOIN(", ",TRUE,IF((BG441:CR441&lt;1)*(PARTIDAS!$I$2:$AT$2="TERMINACIONES"),PARTIDAS!$I$1:$AT$1,"")),""))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1" s="43" t="str" cm="1">
        <f t="array" ref="CU441">_xlfn.TEXTJOIN(", ",TRUE,IF(SUMPRODUCT((BG441:CR441&lt;1)*(PARTIDAS!$I$2:$AT$2="OBRA GRUESA"))&gt;0,"OBRA GRUESA",""),IF(SUMPRODUCT((BG441:CR441&lt;1)*(PARTIDAS!$I$2:$AT$2="SANITARIOS"))&gt;0,"SANITARIOS",""),IF(SUMPRODUCT((BG441:CR441&lt;1)*(PARTIDAS!$I$2:$AT$2="ELÉCTRICO"))&gt;0,"ELÉCTRICO",""),IF(SUMPRODUCT((BG441:CR441&lt;1)*(PARTIDAS!$I$2:$AT$2="TERMINACIONES"))&gt;0,"TERMINACIONES",""))</f>
        <v>OBRA GRUESA, SANITARIOS, ELÉCTRICO, TERMINACIONES</v>
      </c>
      <c r="CV441" s="44" cm="1">
        <f t="array" ref="CV441">SUMPRODUCT(--(BG441:CR441&lt;1))</f>
        <v>38</v>
      </c>
    </row>
    <row r="442" spans="1:100" hidden="1" x14ac:dyDescent="0.25">
      <c r="A442" t="s">
        <v>487</v>
      </c>
      <c r="B442" t="s">
        <v>512</v>
      </c>
      <c r="C442">
        <v>2282600441</v>
      </c>
      <c r="D442" t="s">
        <v>58</v>
      </c>
      <c r="E442" s="2">
        <v>0</v>
      </c>
      <c r="F442" s="1">
        <v>46358</v>
      </c>
      <c r="G442" s="1"/>
      <c r="H442" s="1">
        <v>0</v>
      </c>
      <c r="I442" s="1">
        <v>46378</v>
      </c>
      <c r="J442">
        <v>46230</v>
      </c>
      <c r="K442" s="1"/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>
        <v>28.87</v>
      </c>
      <c r="BF442" s="3" t="str">
        <f>+IF(AVANCE[[#This Row],[% AVANCE]]=100%,"MODULO TERMINADO",IF(AVANCE[[#This Row],[FECHA INICIO REAL]]="","MODULO NO INICIADO","PENDIENTE"))</f>
        <v>MODULO NO INICIADO</v>
      </c>
      <c r="BG442" s="3">
        <f>+IF(AVANCE[[#This Row],[VENTANAS]]=8.10810810810811%,100%,AVANCE[[#This Row],[VENTANAS]])</f>
        <v>0</v>
      </c>
      <c r="BH442" s="3">
        <f>+IF(AVANCE[[#This Row],[PISO]]=N$2,100%,AVANCE[[#This Row],[PISO]])</f>
        <v>0</v>
      </c>
      <c r="BI442" s="3">
        <f>+IF(AVANCE[[#This Row],[TABIQUES]]=O$2,100%,AVANCE[[#This Row],[TABIQUES]])</f>
        <v>0</v>
      </c>
      <c r="BJ442" s="3">
        <f>+IF(AVANCE[[#This Row],[MUROS]]=P$2,100%,AVANCE[[#This Row],[MUROS]])</f>
        <v>0</v>
      </c>
      <c r="BK442" s="3">
        <f>+IF(AVANCE[[#This Row],[CIELO]]=Q$2,100%,AVANCE[[#This Row],[CIELO]])</f>
        <v>0</v>
      </c>
      <c r="BL442" s="3">
        <f>+IF(AVANCE[[#This Row],[BALCÓN]]=R$2,100%,AVANCE[[#This Row],[BALCÓN]])</f>
        <v>0</v>
      </c>
      <c r="BM442" s="3">
        <f>+IF(AVANCE[[#This Row],[RED ALCANTARILLADO]]=U$2,100%,AVANCE[[#This Row],[RED ALCANTARILLADO]])</f>
        <v>0</v>
      </c>
      <c r="BN442" s="3">
        <f>+IF(AVANCE[[#This Row],[RED DE AGUA]]=V$2,100%,AVANCE[[#This Row],[RED DE AGUA]])</f>
        <v>0</v>
      </c>
      <c r="BO442" s="3">
        <f>+IF(AVANCE[[#This Row],[VENTILACIONES]]=W$2,100%,AVANCE[[#This Row],[VENTILACIONES]])</f>
        <v>0</v>
      </c>
      <c r="BP442" s="3">
        <f>+IF(AVANCE[[#This Row],[TINA]]=X$2,100%,AVANCE[[#This Row],[TINA]])</f>
        <v>0</v>
      </c>
      <c r="BQ442" s="3">
        <f>+IF(AVANCE[[#This Row],[WC]]=Y$2,100%,AVANCE[[#This Row],[WC]])</f>
        <v>0</v>
      </c>
      <c r="BR442" s="3">
        <f>+IF(AVANCE[[#This Row],[LAVAMANOS / LAVAPLATOS / LAVADERO]]=Z$2,100%,AVANCE[[#This Row],[LAVAMANOS / LAVAPLATOS / LAVADERO]])</f>
        <v>0</v>
      </c>
      <c r="BS442" s="3">
        <f>+IF(AVANCE[[#This Row],[CANALIZACIÓN]]=AC$2,100%,AVANCE[[#This Row],[CANALIZACIÓN]])</f>
        <v>0</v>
      </c>
      <c r="BT442" s="3">
        <f>+IF(AVANCE[[#This Row],[CABLEADO]]=AD$2,100%,AVANCE[[#This Row],[CABLEADO]])</f>
        <v>0</v>
      </c>
      <c r="BU442" s="3">
        <f>+IF(AVANCE[[#This Row],[ARTEFACTOS]]=AE$2,100%,AVANCE[[#This Row],[ARTEFACTOS]])</f>
        <v>0</v>
      </c>
      <c r="BV442" s="3">
        <f>+IF(AVANCE[[#This Row],[TABLERO]]=AF$2,100%,AVANCE[[#This Row],[TABLERO]])</f>
        <v>0</v>
      </c>
      <c r="BW442" s="3">
        <f>+IF(AVANCE[[#This Row],[CAJA PAU]]=AG$2,100%,AVANCE[[#This Row],[CAJA PAU]])</f>
        <v>0</v>
      </c>
      <c r="BX442" s="3">
        <f>+IF(AVANCE[[#This Row],[INSTALACION VINILICO]]=AJ$2,100%,AVANCE[[#This Row],[INSTALACION VINILICO]])</f>
        <v>0</v>
      </c>
      <c r="BY442" s="3">
        <f>+IF(AVANCE[[#This Row],[OSB CUBIERTA]]=AK$2,100%,AVANCE[[#This Row],[OSB CUBIERTA]])</f>
        <v>0</v>
      </c>
      <c r="BZ442" s="3">
        <f>+IF(AVANCE[[#This Row],[BARANDA BALCON]]=AL$2,100%,AVANCE[[#This Row],[BARANDA BALCON]])</f>
        <v>0</v>
      </c>
      <c r="CA442" s="3">
        <f>+IF(AVANCE[[#This Row],[OSB EXTERIOR]]=AM$2,100%,AVANCE[[#This Row],[OSB EXTERIOR]])</f>
        <v>0</v>
      </c>
      <c r="CB442" s="3">
        <f>+IF(AVANCE[[#This Row],[SMART PANEL]]=AN$2,100%,AVANCE[[#This Row],[SMART PANEL]])</f>
        <v>0</v>
      </c>
      <c r="CC442" s="3">
        <f>+IF(AVANCE[[#This Row],[PINTURA EXTERIOR]]=AO$2,100%,AVANCE[[#This Row],[PINTURA EXTERIOR]])</f>
        <v>0</v>
      </c>
      <c r="CD442" s="3">
        <f>+IF(AVANCE[[#This Row],[ZOCALOS LOGIA]]=AP$2,100%,AVANCE[[#This Row],[ZOCALOS LOGIA]])</f>
        <v>0</v>
      </c>
      <c r="CE442" s="3">
        <f>+IF(AVANCE[[#This Row],[MOLDURAS]]=AQ$2,100%,AVANCE[[#This Row],[MOLDURAS]])</f>
        <v>0</v>
      </c>
      <c r="CF442" s="3">
        <f>+IF(AVANCE[[#This Row],[PILASTREO]]=AR$2,100%,AVANCE[[#This Row],[PILASTREO]])</f>
        <v>0</v>
      </c>
      <c r="CG442" s="3">
        <f>+IF(AVANCE[[#This Row],[CELOSIAS]]=AS$2,100%,AVANCE[[#This Row],[CELOSIAS]])</f>
        <v>0</v>
      </c>
      <c r="CH442" s="3">
        <f>+IF(AVANCE[[#This Row],[VENTANAS]]=AT$2,100%,AVANCE[[#This Row],[VENTANAS]])</f>
        <v>0</v>
      </c>
      <c r="CI442" s="3">
        <f>+IF(AVANCE[[#This Row],[PUERTAS ACCESO - LOGIA - BANO]]=AU$2,100%,AVANCE[[#This Row],[PUERTAS ACCESO - LOGIA - BANO]])</f>
        <v>0</v>
      </c>
      <c r="CJ442" s="3">
        <f>+IF(AVANCE[[#This Row],[CERRADURAS]]=AV$2,100%,AVANCE[[#This Row],[CERRADURAS]])</f>
        <v>0</v>
      </c>
      <c r="CK442" s="3">
        <f>+IF(AVANCE[[#This Row],[REVESTIMIENTO INTERIOR ZONA SECA]]=AW$2,100%,AVANCE[[#This Row],[REVESTIMIENTO INTERIOR ZONA SECA]])</f>
        <v>0</v>
      </c>
      <c r="CL442" s="3">
        <f>+IF(AVANCE[[#This Row],[REVESTIMIENTO INTERIOR ZONAS HUMEDAS]]=AX$2,100%,AVANCE[[#This Row],[REVESTIMIENTO INTERIOR ZONAS HUMEDAS]])</f>
        <v>0</v>
      </c>
      <c r="CM442" s="3">
        <f>+IF(AVANCE[[#This Row],[MEMBRANA CIELO]]=AY$2,100%,AVANCE[[#This Row],[MEMBRANA CIELO]])</f>
        <v>0</v>
      </c>
      <c r="CN442" s="3">
        <f>+IF(AVANCE[[#This Row],[LIMPIEZA FINAL]]=AZ$2,100%,AVANCE[[#This Row],[LIMPIEZA FINAL]])</f>
        <v>0</v>
      </c>
      <c r="CO442" s="3">
        <f>+IF(AVANCE[[#This Row],[PUERTAS DORMITORIO]]=BA$2,100%,AVANCE[[#This Row],[PUERTAS DORMITORIO]])</f>
        <v>0</v>
      </c>
      <c r="CP442" s="3">
        <f>+IF(AVANCE[[#This Row],[REVESTIMIENTO INTERIOR BANO]]=BB$2,100%,AVANCE[[#This Row],[REVESTIMIENTO INTERIOR BANO]])</f>
        <v>0</v>
      </c>
      <c r="CQ442" s="3">
        <f>+IF(AVANCE[[#This Row],[MUEBLE LAVAPLATOS]]=BC$2,100%,AVANCE[[#This Row],[MUEBLE LAVAPLATOS]])</f>
        <v>0</v>
      </c>
      <c r="CR442" s="3">
        <f>+IF(AVANCE[[#This Row],[IMPERMEABILIZACION BANO - COCINA LOGIA]]=BD$2,100%,AVANCE[[#This Row],[IMPERMEABILIZACION BANO - COCINA LOGIA]])</f>
        <v>0</v>
      </c>
      <c r="CS442" s="40">
        <f ca="1">+IF(AVANCE[[#This Row],[ESTADO MODULO]]="PENDIENTE",(TODAY()-AVANCE[[#This Row],[FECHA TERMINO  PLANIFICADO]]),0)</f>
        <v>0</v>
      </c>
      <c r="CT442" s="41" t="str" cm="1">
        <f t="array" ref="CT442">_xlfn.TEXTJOIN(" | ",TRUE,IF(SUMPRODUCT((BG442:CR442&lt;1)*(PARTIDAS!$I$2:$AT$2="OBRA GRUESA"))&gt;0,"OBRA GRUESA: "&amp;_xlfn.TEXTJOIN(", ",TRUE,IF((BG442:CR442&lt;1)*(PARTIDAS!$I$2:$AT$2="OBRA GRUESA"),PARTIDAS!$I$1:$AT$1,"")),""),IF(SUMPRODUCT((BG442:CR442&lt;1)*(PARTIDAS!$I$2:$AT$2="SANITARIOS"))&gt;0,"SANITARIOS: "&amp;_xlfn.TEXTJOIN(", ",TRUE,IF((BG442:CR442&lt;1)*(PARTIDAS!$I$2:$AT$2="SANITARIOS"),PARTIDAS!$I$1:$AT$1,"")),""),IF(SUMPRODUCT((BG442:CR442&lt;1)*(PARTIDAS!$I$2:$AT$2="ELÉCTRICO"))&gt;0,"ELÉCTRICO: "&amp;_xlfn.TEXTJOIN(", ",TRUE,IF((BG442:CR442&lt;1)*(PARTIDAS!$I$2:$AT$2="ELÉCTRICO"),PARTIDAS!$I$1:$AT$1,"")),""),IF(SUMPRODUCT((BG442:CR442&lt;1)*(PARTIDAS!$I$2:$AT$2="TERMINACIONES"))&gt;0,"TERMINACIONES: "&amp;_xlfn.TEXTJOIN(", ",TRUE,IF((BG442:CR442&lt;1)*(PARTIDAS!$I$2:$AT$2="TERMINACIONES"),PARTIDAS!$I$1:$AT$1,"")),""))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2" s="43" t="str" cm="1">
        <f t="array" ref="CU442">_xlfn.TEXTJOIN(", ",TRUE,IF(SUMPRODUCT((BG442:CR442&lt;1)*(PARTIDAS!$I$2:$AT$2="OBRA GRUESA"))&gt;0,"OBRA GRUESA",""),IF(SUMPRODUCT((BG442:CR442&lt;1)*(PARTIDAS!$I$2:$AT$2="SANITARIOS"))&gt;0,"SANITARIOS",""),IF(SUMPRODUCT((BG442:CR442&lt;1)*(PARTIDAS!$I$2:$AT$2="ELÉCTRICO"))&gt;0,"ELÉCTRICO",""),IF(SUMPRODUCT((BG442:CR442&lt;1)*(PARTIDAS!$I$2:$AT$2="TERMINACIONES"))&gt;0,"TERMINACIONES",""))</f>
        <v>OBRA GRUESA, SANITARIOS, ELÉCTRICO, TERMINACIONES</v>
      </c>
      <c r="CV442" s="44" cm="1">
        <f t="array" ref="CV442">SUMPRODUCT(--(BG442:CR442&lt;1))</f>
        <v>38</v>
      </c>
    </row>
    <row r="443" spans="1:100" hidden="1" x14ac:dyDescent="0.25">
      <c r="A443" t="s">
        <v>487</v>
      </c>
      <c r="B443" t="s">
        <v>513</v>
      </c>
      <c r="C443">
        <v>2302600442</v>
      </c>
      <c r="D443" t="s">
        <v>60</v>
      </c>
      <c r="E443" s="2">
        <v>0</v>
      </c>
      <c r="F443" s="1">
        <v>46358</v>
      </c>
      <c r="G443" s="1"/>
      <c r="H443" s="1">
        <v>0</v>
      </c>
      <c r="I443" s="1">
        <v>46388</v>
      </c>
      <c r="J443">
        <v>46230</v>
      </c>
      <c r="K443" s="1"/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>
        <v>31.32</v>
      </c>
      <c r="BF443" s="3" t="str">
        <f>+IF(AVANCE[[#This Row],[% AVANCE]]=100%,"MODULO TERMINADO",IF(AVANCE[[#This Row],[FECHA INICIO REAL]]="","MODULO NO INICIADO","PENDIENTE"))</f>
        <v>MODULO NO INICIADO</v>
      </c>
      <c r="BG443" s="3">
        <f>+IF(AVANCE[[#This Row],[VENTANAS]]=8.10810810810811%,100%,AVANCE[[#This Row],[VENTANAS]])</f>
        <v>0</v>
      </c>
      <c r="BH443" s="3">
        <f>+IF(AVANCE[[#This Row],[PISO]]=N$2,100%,AVANCE[[#This Row],[PISO]])</f>
        <v>0</v>
      </c>
      <c r="BI443" s="3">
        <f>+IF(AVANCE[[#This Row],[TABIQUES]]=O$2,100%,AVANCE[[#This Row],[TABIQUES]])</f>
        <v>0</v>
      </c>
      <c r="BJ443" s="3">
        <f>+IF(AVANCE[[#This Row],[MUROS]]=P$2,100%,AVANCE[[#This Row],[MUROS]])</f>
        <v>0</v>
      </c>
      <c r="BK443" s="3">
        <f>+IF(AVANCE[[#This Row],[CIELO]]=Q$2,100%,AVANCE[[#This Row],[CIELO]])</f>
        <v>0</v>
      </c>
      <c r="BL443" s="3">
        <f>+IF(AVANCE[[#This Row],[BALCÓN]]=R$2,100%,AVANCE[[#This Row],[BALCÓN]])</f>
        <v>0</v>
      </c>
      <c r="BM443" s="3">
        <f>+IF(AVANCE[[#This Row],[RED ALCANTARILLADO]]=U$2,100%,AVANCE[[#This Row],[RED ALCANTARILLADO]])</f>
        <v>0</v>
      </c>
      <c r="BN443" s="3">
        <f>+IF(AVANCE[[#This Row],[RED DE AGUA]]=V$2,100%,AVANCE[[#This Row],[RED DE AGUA]])</f>
        <v>0</v>
      </c>
      <c r="BO443" s="3">
        <f>+IF(AVANCE[[#This Row],[VENTILACIONES]]=W$2,100%,AVANCE[[#This Row],[VENTILACIONES]])</f>
        <v>0</v>
      </c>
      <c r="BP443" s="3">
        <f>+IF(AVANCE[[#This Row],[TINA]]=X$2,100%,AVANCE[[#This Row],[TINA]])</f>
        <v>0</v>
      </c>
      <c r="BQ443" s="3">
        <f>+IF(AVANCE[[#This Row],[WC]]=Y$2,100%,AVANCE[[#This Row],[WC]])</f>
        <v>0</v>
      </c>
      <c r="BR443" s="3">
        <f>+IF(AVANCE[[#This Row],[LAVAMANOS / LAVAPLATOS / LAVADERO]]=Z$2,100%,AVANCE[[#This Row],[LAVAMANOS / LAVAPLATOS / LAVADERO]])</f>
        <v>0</v>
      </c>
      <c r="BS443" s="3">
        <f>+IF(AVANCE[[#This Row],[CANALIZACIÓN]]=AC$2,100%,AVANCE[[#This Row],[CANALIZACIÓN]])</f>
        <v>0</v>
      </c>
      <c r="BT443" s="3">
        <f>+IF(AVANCE[[#This Row],[CABLEADO]]=AD$2,100%,AVANCE[[#This Row],[CABLEADO]])</f>
        <v>0</v>
      </c>
      <c r="BU443" s="3">
        <f>+IF(AVANCE[[#This Row],[ARTEFACTOS]]=AE$2,100%,AVANCE[[#This Row],[ARTEFACTOS]])</f>
        <v>0</v>
      </c>
      <c r="BV443" s="3">
        <f>+IF(AVANCE[[#This Row],[TABLERO]]=AF$2,100%,AVANCE[[#This Row],[TABLERO]])</f>
        <v>0</v>
      </c>
      <c r="BW443" s="3">
        <f>+IF(AVANCE[[#This Row],[CAJA PAU]]=AG$2,100%,AVANCE[[#This Row],[CAJA PAU]])</f>
        <v>0</v>
      </c>
      <c r="BX443" s="3">
        <f>+IF(AVANCE[[#This Row],[INSTALACION VINILICO]]=AJ$2,100%,AVANCE[[#This Row],[INSTALACION VINILICO]])</f>
        <v>0</v>
      </c>
      <c r="BY443" s="3">
        <f>+IF(AVANCE[[#This Row],[OSB CUBIERTA]]=AK$2,100%,AVANCE[[#This Row],[OSB CUBIERTA]])</f>
        <v>0</v>
      </c>
      <c r="BZ443" s="3">
        <f>+IF(AVANCE[[#This Row],[BARANDA BALCON]]=AL$2,100%,AVANCE[[#This Row],[BARANDA BALCON]])</f>
        <v>0</v>
      </c>
      <c r="CA443" s="3">
        <f>+IF(AVANCE[[#This Row],[OSB EXTERIOR]]=AM$2,100%,AVANCE[[#This Row],[OSB EXTERIOR]])</f>
        <v>0</v>
      </c>
      <c r="CB443" s="3">
        <f>+IF(AVANCE[[#This Row],[SMART PANEL]]=AN$2,100%,AVANCE[[#This Row],[SMART PANEL]])</f>
        <v>0</v>
      </c>
      <c r="CC443" s="3">
        <f>+IF(AVANCE[[#This Row],[PINTURA EXTERIOR]]=AO$2,100%,AVANCE[[#This Row],[PINTURA EXTERIOR]])</f>
        <v>0</v>
      </c>
      <c r="CD443" s="3">
        <f>+IF(AVANCE[[#This Row],[ZOCALOS LOGIA]]=AP$2,100%,AVANCE[[#This Row],[ZOCALOS LOGIA]])</f>
        <v>0</v>
      </c>
      <c r="CE443" s="3">
        <f>+IF(AVANCE[[#This Row],[MOLDURAS]]=AQ$2,100%,AVANCE[[#This Row],[MOLDURAS]])</f>
        <v>0</v>
      </c>
      <c r="CF443" s="3">
        <f>+IF(AVANCE[[#This Row],[PILASTREO]]=AR$2,100%,AVANCE[[#This Row],[PILASTREO]])</f>
        <v>0</v>
      </c>
      <c r="CG443" s="3">
        <f>+IF(AVANCE[[#This Row],[CELOSIAS]]=AS$2,100%,AVANCE[[#This Row],[CELOSIAS]])</f>
        <v>0</v>
      </c>
      <c r="CH443" s="3">
        <f>+IF(AVANCE[[#This Row],[VENTANAS]]=AT$2,100%,AVANCE[[#This Row],[VENTANAS]])</f>
        <v>0</v>
      </c>
      <c r="CI443" s="3">
        <f>+IF(AVANCE[[#This Row],[PUERTAS ACCESO - LOGIA - BANO]]=AU$2,100%,AVANCE[[#This Row],[PUERTAS ACCESO - LOGIA - BANO]])</f>
        <v>0</v>
      </c>
      <c r="CJ443" s="3">
        <f>+IF(AVANCE[[#This Row],[CERRADURAS]]=AV$2,100%,AVANCE[[#This Row],[CERRADURAS]])</f>
        <v>0</v>
      </c>
      <c r="CK443" s="3">
        <f>+IF(AVANCE[[#This Row],[REVESTIMIENTO INTERIOR ZONA SECA]]=AW$2,100%,AVANCE[[#This Row],[REVESTIMIENTO INTERIOR ZONA SECA]])</f>
        <v>0</v>
      </c>
      <c r="CL443" s="3">
        <f>+IF(AVANCE[[#This Row],[REVESTIMIENTO INTERIOR ZONAS HUMEDAS]]=AX$2,100%,AVANCE[[#This Row],[REVESTIMIENTO INTERIOR ZONAS HUMEDAS]])</f>
        <v>0</v>
      </c>
      <c r="CM443" s="3">
        <f>+IF(AVANCE[[#This Row],[MEMBRANA CIELO]]=AY$2,100%,AVANCE[[#This Row],[MEMBRANA CIELO]])</f>
        <v>0</v>
      </c>
      <c r="CN443" s="3">
        <f>+IF(AVANCE[[#This Row],[LIMPIEZA FINAL]]=AZ$2,100%,AVANCE[[#This Row],[LIMPIEZA FINAL]])</f>
        <v>0</v>
      </c>
      <c r="CO443" s="3">
        <f>+IF(AVANCE[[#This Row],[PUERTAS DORMITORIO]]=BA$2,100%,AVANCE[[#This Row],[PUERTAS DORMITORIO]])</f>
        <v>0</v>
      </c>
      <c r="CP443" s="3">
        <f>+IF(AVANCE[[#This Row],[REVESTIMIENTO INTERIOR BANO]]=BB$2,100%,AVANCE[[#This Row],[REVESTIMIENTO INTERIOR BANO]])</f>
        <v>0</v>
      </c>
      <c r="CQ443" s="3">
        <f>+IF(AVANCE[[#This Row],[MUEBLE LAVAPLATOS]]=BC$2,100%,AVANCE[[#This Row],[MUEBLE LAVAPLATOS]])</f>
        <v>0</v>
      </c>
      <c r="CR443" s="3">
        <f>+IF(AVANCE[[#This Row],[IMPERMEABILIZACION BANO - COCINA LOGIA]]=BD$2,100%,AVANCE[[#This Row],[IMPERMEABILIZACION BANO - COCINA LOGIA]])</f>
        <v>0</v>
      </c>
      <c r="CS443" s="40">
        <f ca="1">+IF(AVANCE[[#This Row],[ESTADO MODULO]]="PENDIENTE",(TODAY()-AVANCE[[#This Row],[FECHA TERMINO  PLANIFICADO]]),0)</f>
        <v>0</v>
      </c>
      <c r="CT443" s="41" t="str" cm="1">
        <f t="array" ref="CT443">_xlfn.TEXTJOIN(" | ",TRUE,IF(SUMPRODUCT((BG443:CR443&lt;1)*(PARTIDAS!$I$2:$AT$2="OBRA GRUESA"))&gt;0,"OBRA GRUESA: "&amp;_xlfn.TEXTJOIN(", ",TRUE,IF((BG443:CR443&lt;1)*(PARTIDAS!$I$2:$AT$2="OBRA GRUESA"),PARTIDAS!$I$1:$AT$1,"")),""),IF(SUMPRODUCT((BG443:CR443&lt;1)*(PARTIDAS!$I$2:$AT$2="SANITARIOS"))&gt;0,"SANITARIOS: "&amp;_xlfn.TEXTJOIN(", ",TRUE,IF((BG443:CR443&lt;1)*(PARTIDAS!$I$2:$AT$2="SANITARIOS"),PARTIDAS!$I$1:$AT$1,"")),""),IF(SUMPRODUCT((BG443:CR443&lt;1)*(PARTIDAS!$I$2:$AT$2="ELÉCTRICO"))&gt;0,"ELÉCTRICO: "&amp;_xlfn.TEXTJOIN(", ",TRUE,IF((BG443:CR443&lt;1)*(PARTIDAS!$I$2:$AT$2="ELÉCTRICO"),PARTIDAS!$I$1:$AT$1,"")),""),IF(SUMPRODUCT((BG443:CR443&lt;1)*(PARTIDAS!$I$2:$AT$2="TERMINACIONES"))&gt;0,"TERMINACIONES: "&amp;_xlfn.TEXTJOIN(", ",TRUE,IF((BG443:CR443&lt;1)*(PARTIDAS!$I$2:$AT$2="TERMINACIONES"),PARTIDAS!$I$1:$AT$1,"")),""))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3" s="43" t="str" cm="1">
        <f t="array" ref="CU443">_xlfn.TEXTJOIN(", ",TRUE,IF(SUMPRODUCT((BG443:CR443&lt;1)*(PARTIDAS!$I$2:$AT$2="OBRA GRUESA"))&gt;0,"OBRA GRUESA",""),IF(SUMPRODUCT((BG443:CR443&lt;1)*(PARTIDAS!$I$2:$AT$2="SANITARIOS"))&gt;0,"SANITARIOS",""),IF(SUMPRODUCT((BG443:CR443&lt;1)*(PARTIDAS!$I$2:$AT$2="ELÉCTRICO"))&gt;0,"ELÉCTRICO",""),IF(SUMPRODUCT((BG443:CR443&lt;1)*(PARTIDAS!$I$2:$AT$2="TERMINACIONES"))&gt;0,"TERMINACIONES",""))</f>
        <v>OBRA GRUESA, SANITARIOS, ELÉCTRICO, TERMINACIONES</v>
      </c>
      <c r="CV443" s="44" cm="1">
        <f t="array" ref="CV443">SUMPRODUCT(--(BG443:CR443&lt;1))</f>
        <v>38</v>
      </c>
    </row>
    <row r="444" spans="1:100" hidden="1" x14ac:dyDescent="0.25">
      <c r="A444" t="s">
        <v>487</v>
      </c>
      <c r="B444" t="s">
        <v>514</v>
      </c>
      <c r="C444">
        <v>2302600443</v>
      </c>
      <c r="D444" t="s">
        <v>60</v>
      </c>
      <c r="E444" s="2">
        <v>0</v>
      </c>
      <c r="F444" s="1">
        <v>46359</v>
      </c>
      <c r="G444" s="1"/>
      <c r="H444" s="1">
        <v>0</v>
      </c>
      <c r="I444" s="1">
        <v>46389</v>
      </c>
      <c r="J444">
        <v>46230</v>
      </c>
      <c r="K444" s="1"/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>
        <v>31.32</v>
      </c>
      <c r="BF444" s="3" t="str">
        <f>+IF(AVANCE[[#This Row],[% AVANCE]]=100%,"MODULO TERMINADO",IF(AVANCE[[#This Row],[FECHA INICIO REAL]]="","MODULO NO INICIADO","PENDIENTE"))</f>
        <v>MODULO NO INICIADO</v>
      </c>
      <c r="BG444" s="3">
        <f>+IF(AVANCE[[#This Row],[VENTANAS]]=8.10810810810811%,100%,AVANCE[[#This Row],[VENTANAS]])</f>
        <v>0</v>
      </c>
      <c r="BH444" s="3">
        <f>+IF(AVANCE[[#This Row],[PISO]]=N$2,100%,AVANCE[[#This Row],[PISO]])</f>
        <v>0</v>
      </c>
      <c r="BI444" s="3">
        <f>+IF(AVANCE[[#This Row],[TABIQUES]]=O$2,100%,AVANCE[[#This Row],[TABIQUES]])</f>
        <v>0</v>
      </c>
      <c r="BJ444" s="3">
        <f>+IF(AVANCE[[#This Row],[MUROS]]=P$2,100%,AVANCE[[#This Row],[MUROS]])</f>
        <v>0</v>
      </c>
      <c r="BK444" s="3">
        <f>+IF(AVANCE[[#This Row],[CIELO]]=Q$2,100%,AVANCE[[#This Row],[CIELO]])</f>
        <v>0</v>
      </c>
      <c r="BL444" s="3">
        <f>+IF(AVANCE[[#This Row],[BALCÓN]]=R$2,100%,AVANCE[[#This Row],[BALCÓN]])</f>
        <v>0</v>
      </c>
      <c r="BM444" s="3">
        <f>+IF(AVANCE[[#This Row],[RED ALCANTARILLADO]]=U$2,100%,AVANCE[[#This Row],[RED ALCANTARILLADO]])</f>
        <v>0</v>
      </c>
      <c r="BN444" s="3">
        <f>+IF(AVANCE[[#This Row],[RED DE AGUA]]=V$2,100%,AVANCE[[#This Row],[RED DE AGUA]])</f>
        <v>0</v>
      </c>
      <c r="BO444" s="3">
        <f>+IF(AVANCE[[#This Row],[VENTILACIONES]]=W$2,100%,AVANCE[[#This Row],[VENTILACIONES]])</f>
        <v>0</v>
      </c>
      <c r="BP444" s="3">
        <f>+IF(AVANCE[[#This Row],[TINA]]=X$2,100%,AVANCE[[#This Row],[TINA]])</f>
        <v>0</v>
      </c>
      <c r="BQ444" s="3">
        <f>+IF(AVANCE[[#This Row],[WC]]=Y$2,100%,AVANCE[[#This Row],[WC]])</f>
        <v>0</v>
      </c>
      <c r="BR444" s="3">
        <f>+IF(AVANCE[[#This Row],[LAVAMANOS / LAVAPLATOS / LAVADERO]]=Z$2,100%,AVANCE[[#This Row],[LAVAMANOS / LAVAPLATOS / LAVADERO]])</f>
        <v>0</v>
      </c>
      <c r="BS444" s="3">
        <f>+IF(AVANCE[[#This Row],[CANALIZACIÓN]]=AC$2,100%,AVANCE[[#This Row],[CANALIZACIÓN]])</f>
        <v>0</v>
      </c>
      <c r="BT444" s="3">
        <f>+IF(AVANCE[[#This Row],[CABLEADO]]=AD$2,100%,AVANCE[[#This Row],[CABLEADO]])</f>
        <v>0</v>
      </c>
      <c r="BU444" s="3">
        <f>+IF(AVANCE[[#This Row],[ARTEFACTOS]]=AE$2,100%,AVANCE[[#This Row],[ARTEFACTOS]])</f>
        <v>0</v>
      </c>
      <c r="BV444" s="3">
        <f>+IF(AVANCE[[#This Row],[TABLERO]]=AF$2,100%,AVANCE[[#This Row],[TABLERO]])</f>
        <v>0</v>
      </c>
      <c r="BW444" s="3">
        <f>+IF(AVANCE[[#This Row],[CAJA PAU]]=AG$2,100%,AVANCE[[#This Row],[CAJA PAU]])</f>
        <v>0</v>
      </c>
      <c r="BX444" s="3">
        <f>+IF(AVANCE[[#This Row],[INSTALACION VINILICO]]=AJ$2,100%,AVANCE[[#This Row],[INSTALACION VINILICO]])</f>
        <v>0</v>
      </c>
      <c r="BY444" s="3">
        <f>+IF(AVANCE[[#This Row],[OSB CUBIERTA]]=AK$2,100%,AVANCE[[#This Row],[OSB CUBIERTA]])</f>
        <v>0</v>
      </c>
      <c r="BZ444" s="3">
        <f>+IF(AVANCE[[#This Row],[BARANDA BALCON]]=AL$2,100%,AVANCE[[#This Row],[BARANDA BALCON]])</f>
        <v>0</v>
      </c>
      <c r="CA444" s="3">
        <f>+IF(AVANCE[[#This Row],[OSB EXTERIOR]]=AM$2,100%,AVANCE[[#This Row],[OSB EXTERIOR]])</f>
        <v>0</v>
      </c>
      <c r="CB444" s="3">
        <f>+IF(AVANCE[[#This Row],[SMART PANEL]]=AN$2,100%,AVANCE[[#This Row],[SMART PANEL]])</f>
        <v>0</v>
      </c>
      <c r="CC444" s="3">
        <f>+IF(AVANCE[[#This Row],[PINTURA EXTERIOR]]=AO$2,100%,AVANCE[[#This Row],[PINTURA EXTERIOR]])</f>
        <v>0</v>
      </c>
      <c r="CD444" s="3">
        <f>+IF(AVANCE[[#This Row],[ZOCALOS LOGIA]]=AP$2,100%,AVANCE[[#This Row],[ZOCALOS LOGIA]])</f>
        <v>0</v>
      </c>
      <c r="CE444" s="3">
        <f>+IF(AVANCE[[#This Row],[MOLDURAS]]=AQ$2,100%,AVANCE[[#This Row],[MOLDURAS]])</f>
        <v>0</v>
      </c>
      <c r="CF444" s="3">
        <f>+IF(AVANCE[[#This Row],[PILASTREO]]=AR$2,100%,AVANCE[[#This Row],[PILASTREO]])</f>
        <v>0</v>
      </c>
      <c r="CG444" s="3">
        <f>+IF(AVANCE[[#This Row],[CELOSIAS]]=AS$2,100%,AVANCE[[#This Row],[CELOSIAS]])</f>
        <v>0</v>
      </c>
      <c r="CH444" s="3">
        <f>+IF(AVANCE[[#This Row],[VENTANAS]]=AT$2,100%,AVANCE[[#This Row],[VENTANAS]])</f>
        <v>0</v>
      </c>
      <c r="CI444" s="3">
        <f>+IF(AVANCE[[#This Row],[PUERTAS ACCESO - LOGIA - BANO]]=AU$2,100%,AVANCE[[#This Row],[PUERTAS ACCESO - LOGIA - BANO]])</f>
        <v>0</v>
      </c>
      <c r="CJ444" s="3">
        <f>+IF(AVANCE[[#This Row],[CERRADURAS]]=AV$2,100%,AVANCE[[#This Row],[CERRADURAS]])</f>
        <v>0</v>
      </c>
      <c r="CK444" s="3">
        <f>+IF(AVANCE[[#This Row],[REVESTIMIENTO INTERIOR ZONA SECA]]=AW$2,100%,AVANCE[[#This Row],[REVESTIMIENTO INTERIOR ZONA SECA]])</f>
        <v>0</v>
      </c>
      <c r="CL444" s="3">
        <f>+IF(AVANCE[[#This Row],[REVESTIMIENTO INTERIOR ZONAS HUMEDAS]]=AX$2,100%,AVANCE[[#This Row],[REVESTIMIENTO INTERIOR ZONAS HUMEDAS]])</f>
        <v>0</v>
      </c>
      <c r="CM444" s="3">
        <f>+IF(AVANCE[[#This Row],[MEMBRANA CIELO]]=AY$2,100%,AVANCE[[#This Row],[MEMBRANA CIELO]])</f>
        <v>0</v>
      </c>
      <c r="CN444" s="3">
        <f>+IF(AVANCE[[#This Row],[LIMPIEZA FINAL]]=AZ$2,100%,AVANCE[[#This Row],[LIMPIEZA FINAL]])</f>
        <v>0</v>
      </c>
      <c r="CO444" s="3">
        <f>+IF(AVANCE[[#This Row],[PUERTAS DORMITORIO]]=BA$2,100%,AVANCE[[#This Row],[PUERTAS DORMITORIO]])</f>
        <v>0</v>
      </c>
      <c r="CP444" s="3">
        <f>+IF(AVANCE[[#This Row],[REVESTIMIENTO INTERIOR BANO]]=BB$2,100%,AVANCE[[#This Row],[REVESTIMIENTO INTERIOR BANO]])</f>
        <v>0</v>
      </c>
      <c r="CQ444" s="3">
        <f>+IF(AVANCE[[#This Row],[MUEBLE LAVAPLATOS]]=BC$2,100%,AVANCE[[#This Row],[MUEBLE LAVAPLATOS]])</f>
        <v>0</v>
      </c>
      <c r="CR444" s="3">
        <f>+IF(AVANCE[[#This Row],[IMPERMEABILIZACION BANO - COCINA LOGIA]]=BD$2,100%,AVANCE[[#This Row],[IMPERMEABILIZACION BANO - COCINA LOGIA]])</f>
        <v>0</v>
      </c>
      <c r="CS444" s="40">
        <f ca="1">+IF(AVANCE[[#This Row],[ESTADO MODULO]]="PENDIENTE",(TODAY()-AVANCE[[#This Row],[FECHA TERMINO  PLANIFICADO]]),0)</f>
        <v>0</v>
      </c>
      <c r="CT444" s="41" t="str" cm="1">
        <f t="array" ref="CT444">_xlfn.TEXTJOIN(" | ",TRUE,IF(SUMPRODUCT((BG444:CR444&lt;1)*(PARTIDAS!$I$2:$AT$2="OBRA GRUESA"))&gt;0,"OBRA GRUESA: "&amp;_xlfn.TEXTJOIN(", ",TRUE,IF((BG444:CR444&lt;1)*(PARTIDAS!$I$2:$AT$2="OBRA GRUESA"),PARTIDAS!$I$1:$AT$1,"")),""),IF(SUMPRODUCT((BG444:CR444&lt;1)*(PARTIDAS!$I$2:$AT$2="SANITARIOS"))&gt;0,"SANITARIOS: "&amp;_xlfn.TEXTJOIN(", ",TRUE,IF((BG444:CR444&lt;1)*(PARTIDAS!$I$2:$AT$2="SANITARIOS"),PARTIDAS!$I$1:$AT$1,"")),""),IF(SUMPRODUCT((BG444:CR444&lt;1)*(PARTIDAS!$I$2:$AT$2="ELÉCTRICO"))&gt;0,"ELÉCTRICO: "&amp;_xlfn.TEXTJOIN(", ",TRUE,IF((BG444:CR444&lt;1)*(PARTIDAS!$I$2:$AT$2="ELÉCTRICO"),PARTIDAS!$I$1:$AT$1,"")),""),IF(SUMPRODUCT((BG444:CR444&lt;1)*(PARTIDAS!$I$2:$AT$2="TERMINACIONES"))&gt;0,"TERMINACIONES: "&amp;_xlfn.TEXTJOIN(", ",TRUE,IF((BG444:CR444&lt;1)*(PARTIDAS!$I$2:$AT$2="TERMINACIONES"),PARTIDAS!$I$1:$AT$1,"")),""))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4" s="43" t="str" cm="1">
        <f t="array" ref="CU444">_xlfn.TEXTJOIN(", ",TRUE,IF(SUMPRODUCT((BG444:CR444&lt;1)*(PARTIDAS!$I$2:$AT$2="OBRA GRUESA"))&gt;0,"OBRA GRUESA",""),IF(SUMPRODUCT((BG444:CR444&lt;1)*(PARTIDAS!$I$2:$AT$2="SANITARIOS"))&gt;0,"SANITARIOS",""),IF(SUMPRODUCT((BG444:CR444&lt;1)*(PARTIDAS!$I$2:$AT$2="ELÉCTRICO"))&gt;0,"ELÉCTRICO",""),IF(SUMPRODUCT((BG444:CR444&lt;1)*(PARTIDAS!$I$2:$AT$2="TERMINACIONES"))&gt;0,"TERMINACIONES",""))</f>
        <v>OBRA GRUESA, SANITARIOS, ELÉCTRICO, TERMINACIONES</v>
      </c>
      <c r="CV444" s="44" cm="1">
        <f t="array" ref="CV444">SUMPRODUCT(--(BG444:CR444&lt;1))</f>
        <v>38</v>
      </c>
    </row>
    <row r="445" spans="1:100" hidden="1" x14ac:dyDescent="0.25">
      <c r="A445" t="s">
        <v>487</v>
      </c>
      <c r="B445" t="s">
        <v>515</v>
      </c>
      <c r="C445">
        <v>2282600444</v>
      </c>
      <c r="D445" t="s">
        <v>58</v>
      </c>
      <c r="E445" s="2">
        <v>0</v>
      </c>
      <c r="F445" s="1">
        <v>46359</v>
      </c>
      <c r="G445" s="1"/>
      <c r="H445" s="1">
        <v>0</v>
      </c>
      <c r="I445" s="1">
        <v>46379</v>
      </c>
      <c r="J445">
        <v>46230</v>
      </c>
      <c r="K445" s="1"/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>
        <v>28.87</v>
      </c>
      <c r="BF445" s="3" t="str">
        <f>+IF(AVANCE[[#This Row],[% AVANCE]]=100%,"MODULO TERMINADO",IF(AVANCE[[#This Row],[FECHA INICIO REAL]]="","MODULO NO INICIADO","PENDIENTE"))</f>
        <v>MODULO NO INICIADO</v>
      </c>
      <c r="BG445" s="3">
        <f>+IF(AVANCE[[#This Row],[VENTANAS]]=8.10810810810811%,100%,AVANCE[[#This Row],[VENTANAS]])</f>
        <v>0</v>
      </c>
      <c r="BH445" s="3">
        <f>+IF(AVANCE[[#This Row],[PISO]]=N$2,100%,AVANCE[[#This Row],[PISO]])</f>
        <v>0</v>
      </c>
      <c r="BI445" s="3">
        <f>+IF(AVANCE[[#This Row],[TABIQUES]]=O$2,100%,AVANCE[[#This Row],[TABIQUES]])</f>
        <v>0</v>
      </c>
      <c r="BJ445" s="3">
        <f>+IF(AVANCE[[#This Row],[MUROS]]=P$2,100%,AVANCE[[#This Row],[MUROS]])</f>
        <v>0</v>
      </c>
      <c r="BK445" s="3">
        <f>+IF(AVANCE[[#This Row],[CIELO]]=Q$2,100%,AVANCE[[#This Row],[CIELO]])</f>
        <v>0</v>
      </c>
      <c r="BL445" s="3">
        <f>+IF(AVANCE[[#This Row],[BALCÓN]]=R$2,100%,AVANCE[[#This Row],[BALCÓN]])</f>
        <v>0</v>
      </c>
      <c r="BM445" s="3">
        <f>+IF(AVANCE[[#This Row],[RED ALCANTARILLADO]]=U$2,100%,AVANCE[[#This Row],[RED ALCANTARILLADO]])</f>
        <v>0</v>
      </c>
      <c r="BN445" s="3">
        <f>+IF(AVANCE[[#This Row],[RED DE AGUA]]=V$2,100%,AVANCE[[#This Row],[RED DE AGUA]])</f>
        <v>0</v>
      </c>
      <c r="BO445" s="3">
        <f>+IF(AVANCE[[#This Row],[VENTILACIONES]]=W$2,100%,AVANCE[[#This Row],[VENTILACIONES]])</f>
        <v>0</v>
      </c>
      <c r="BP445" s="3">
        <f>+IF(AVANCE[[#This Row],[TINA]]=X$2,100%,AVANCE[[#This Row],[TINA]])</f>
        <v>0</v>
      </c>
      <c r="BQ445" s="3">
        <f>+IF(AVANCE[[#This Row],[WC]]=Y$2,100%,AVANCE[[#This Row],[WC]])</f>
        <v>0</v>
      </c>
      <c r="BR445" s="3">
        <f>+IF(AVANCE[[#This Row],[LAVAMANOS / LAVAPLATOS / LAVADERO]]=Z$2,100%,AVANCE[[#This Row],[LAVAMANOS / LAVAPLATOS / LAVADERO]])</f>
        <v>0</v>
      </c>
      <c r="BS445" s="3">
        <f>+IF(AVANCE[[#This Row],[CANALIZACIÓN]]=AC$2,100%,AVANCE[[#This Row],[CANALIZACIÓN]])</f>
        <v>0</v>
      </c>
      <c r="BT445" s="3">
        <f>+IF(AVANCE[[#This Row],[CABLEADO]]=AD$2,100%,AVANCE[[#This Row],[CABLEADO]])</f>
        <v>0</v>
      </c>
      <c r="BU445" s="3">
        <f>+IF(AVANCE[[#This Row],[ARTEFACTOS]]=AE$2,100%,AVANCE[[#This Row],[ARTEFACTOS]])</f>
        <v>0</v>
      </c>
      <c r="BV445" s="3">
        <f>+IF(AVANCE[[#This Row],[TABLERO]]=AF$2,100%,AVANCE[[#This Row],[TABLERO]])</f>
        <v>0</v>
      </c>
      <c r="BW445" s="3">
        <f>+IF(AVANCE[[#This Row],[CAJA PAU]]=AG$2,100%,AVANCE[[#This Row],[CAJA PAU]])</f>
        <v>0</v>
      </c>
      <c r="BX445" s="3">
        <f>+IF(AVANCE[[#This Row],[INSTALACION VINILICO]]=AJ$2,100%,AVANCE[[#This Row],[INSTALACION VINILICO]])</f>
        <v>0</v>
      </c>
      <c r="BY445" s="3">
        <f>+IF(AVANCE[[#This Row],[OSB CUBIERTA]]=AK$2,100%,AVANCE[[#This Row],[OSB CUBIERTA]])</f>
        <v>0</v>
      </c>
      <c r="BZ445" s="3">
        <f>+IF(AVANCE[[#This Row],[BARANDA BALCON]]=AL$2,100%,AVANCE[[#This Row],[BARANDA BALCON]])</f>
        <v>0</v>
      </c>
      <c r="CA445" s="3">
        <f>+IF(AVANCE[[#This Row],[OSB EXTERIOR]]=AM$2,100%,AVANCE[[#This Row],[OSB EXTERIOR]])</f>
        <v>0</v>
      </c>
      <c r="CB445" s="3">
        <f>+IF(AVANCE[[#This Row],[SMART PANEL]]=AN$2,100%,AVANCE[[#This Row],[SMART PANEL]])</f>
        <v>0</v>
      </c>
      <c r="CC445" s="3">
        <f>+IF(AVANCE[[#This Row],[PINTURA EXTERIOR]]=AO$2,100%,AVANCE[[#This Row],[PINTURA EXTERIOR]])</f>
        <v>0</v>
      </c>
      <c r="CD445" s="3">
        <f>+IF(AVANCE[[#This Row],[ZOCALOS LOGIA]]=AP$2,100%,AVANCE[[#This Row],[ZOCALOS LOGIA]])</f>
        <v>0</v>
      </c>
      <c r="CE445" s="3">
        <f>+IF(AVANCE[[#This Row],[MOLDURAS]]=AQ$2,100%,AVANCE[[#This Row],[MOLDURAS]])</f>
        <v>0</v>
      </c>
      <c r="CF445" s="3">
        <f>+IF(AVANCE[[#This Row],[PILASTREO]]=AR$2,100%,AVANCE[[#This Row],[PILASTREO]])</f>
        <v>0</v>
      </c>
      <c r="CG445" s="3">
        <f>+IF(AVANCE[[#This Row],[CELOSIAS]]=AS$2,100%,AVANCE[[#This Row],[CELOSIAS]])</f>
        <v>0</v>
      </c>
      <c r="CH445" s="3">
        <f>+IF(AVANCE[[#This Row],[VENTANAS]]=AT$2,100%,AVANCE[[#This Row],[VENTANAS]])</f>
        <v>0</v>
      </c>
      <c r="CI445" s="3">
        <f>+IF(AVANCE[[#This Row],[PUERTAS ACCESO - LOGIA - BANO]]=AU$2,100%,AVANCE[[#This Row],[PUERTAS ACCESO - LOGIA - BANO]])</f>
        <v>0</v>
      </c>
      <c r="CJ445" s="3">
        <f>+IF(AVANCE[[#This Row],[CERRADURAS]]=AV$2,100%,AVANCE[[#This Row],[CERRADURAS]])</f>
        <v>0</v>
      </c>
      <c r="CK445" s="3">
        <f>+IF(AVANCE[[#This Row],[REVESTIMIENTO INTERIOR ZONA SECA]]=AW$2,100%,AVANCE[[#This Row],[REVESTIMIENTO INTERIOR ZONA SECA]])</f>
        <v>0</v>
      </c>
      <c r="CL445" s="3">
        <f>+IF(AVANCE[[#This Row],[REVESTIMIENTO INTERIOR ZONAS HUMEDAS]]=AX$2,100%,AVANCE[[#This Row],[REVESTIMIENTO INTERIOR ZONAS HUMEDAS]])</f>
        <v>0</v>
      </c>
      <c r="CM445" s="3">
        <f>+IF(AVANCE[[#This Row],[MEMBRANA CIELO]]=AY$2,100%,AVANCE[[#This Row],[MEMBRANA CIELO]])</f>
        <v>0</v>
      </c>
      <c r="CN445" s="3">
        <f>+IF(AVANCE[[#This Row],[LIMPIEZA FINAL]]=AZ$2,100%,AVANCE[[#This Row],[LIMPIEZA FINAL]])</f>
        <v>0</v>
      </c>
      <c r="CO445" s="3">
        <f>+IF(AVANCE[[#This Row],[PUERTAS DORMITORIO]]=BA$2,100%,AVANCE[[#This Row],[PUERTAS DORMITORIO]])</f>
        <v>0</v>
      </c>
      <c r="CP445" s="3">
        <f>+IF(AVANCE[[#This Row],[REVESTIMIENTO INTERIOR BANO]]=BB$2,100%,AVANCE[[#This Row],[REVESTIMIENTO INTERIOR BANO]])</f>
        <v>0</v>
      </c>
      <c r="CQ445" s="3">
        <f>+IF(AVANCE[[#This Row],[MUEBLE LAVAPLATOS]]=BC$2,100%,AVANCE[[#This Row],[MUEBLE LAVAPLATOS]])</f>
        <v>0</v>
      </c>
      <c r="CR445" s="3">
        <f>+IF(AVANCE[[#This Row],[IMPERMEABILIZACION BANO - COCINA LOGIA]]=BD$2,100%,AVANCE[[#This Row],[IMPERMEABILIZACION BANO - COCINA LOGIA]])</f>
        <v>0</v>
      </c>
      <c r="CS445" s="40">
        <f ca="1">+IF(AVANCE[[#This Row],[ESTADO MODULO]]="PENDIENTE",(TODAY()-AVANCE[[#This Row],[FECHA TERMINO  PLANIFICADO]]),0)</f>
        <v>0</v>
      </c>
      <c r="CT445" s="41" t="str" cm="1">
        <f t="array" ref="CT445">_xlfn.TEXTJOIN(" | ",TRUE,IF(SUMPRODUCT((BG445:CR445&lt;1)*(PARTIDAS!$I$2:$AT$2="OBRA GRUESA"))&gt;0,"OBRA GRUESA: "&amp;_xlfn.TEXTJOIN(", ",TRUE,IF((BG445:CR445&lt;1)*(PARTIDAS!$I$2:$AT$2="OBRA GRUESA"),PARTIDAS!$I$1:$AT$1,"")),""),IF(SUMPRODUCT((BG445:CR445&lt;1)*(PARTIDAS!$I$2:$AT$2="SANITARIOS"))&gt;0,"SANITARIOS: "&amp;_xlfn.TEXTJOIN(", ",TRUE,IF((BG445:CR445&lt;1)*(PARTIDAS!$I$2:$AT$2="SANITARIOS"),PARTIDAS!$I$1:$AT$1,"")),""),IF(SUMPRODUCT((BG445:CR445&lt;1)*(PARTIDAS!$I$2:$AT$2="ELÉCTRICO"))&gt;0,"ELÉCTRICO: "&amp;_xlfn.TEXTJOIN(", ",TRUE,IF((BG445:CR445&lt;1)*(PARTIDAS!$I$2:$AT$2="ELÉCTRICO"),PARTIDAS!$I$1:$AT$1,"")),""),IF(SUMPRODUCT((BG445:CR445&lt;1)*(PARTIDAS!$I$2:$AT$2="TERMINACIONES"))&gt;0,"TERMINACIONES: "&amp;_xlfn.TEXTJOIN(", ",TRUE,IF((BG445:CR445&lt;1)*(PARTIDAS!$I$2:$AT$2="TERMINACIONES"),PARTIDAS!$I$1:$AT$1,"")),""))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5" s="43" t="str" cm="1">
        <f t="array" ref="CU445">_xlfn.TEXTJOIN(", ",TRUE,IF(SUMPRODUCT((BG445:CR445&lt;1)*(PARTIDAS!$I$2:$AT$2="OBRA GRUESA"))&gt;0,"OBRA GRUESA",""),IF(SUMPRODUCT((BG445:CR445&lt;1)*(PARTIDAS!$I$2:$AT$2="SANITARIOS"))&gt;0,"SANITARIOS",""),IF(SUMPRODUCT((BG445:CR445&lt;1)*(PARTIDAS!$I$2:$AT$2="ELÉCTRICO"))&gt;0,"ELÉCTRICO",""),IF(SUMPRODUCT((BG445:CR445&lt;1)*(PARTIDAS!$I$2:$AT$2="TERMINACIONES"))&gt;0,"TERMINACIONES",""))</f>
        <v>OBRA GRUESA, SANITARIOS, ELÉCTRICO, TERMINACIONES</v>
      </c>
      <c r="CV445" s="44" cm="1">
        <f t="array" ref="CV445">SUMPRODUCT(--(BG445:CR445&lt;1))</f>
        <v>38</v>
      </c>
    </row>
    <row r="446" spans="1:100" hidden="1" x14ac:dyDescent="0.25">
      <c r="A446" t="s">
        <v>487</v>
      </c>
      <c r="B446" t="s">
        <v>516</v>
      </c>
      <c r="C446">
        <v>2282600445</v>
      </c>
      <c r="D446" t="s">
        <v>58</v>
      </c>
      <c r="E446" s="2">
        <v>0</v>
      </c>
      <c r="F446" s="1">
        <v>46359</v>
      </c>
      <c r="G446" s="1"/>
      <c r="H446" s="1">
        <v>0</v>
      </c>
      <c r="I446" s="1">
        <v>46379</v>
      </c>
      <c r="J446">
        <v>46230</v>
      </c>
      <c r="K446" s="1"/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>
        <v>28.87</v>
      </c>
      <c r="BF446" s="3" t="str">
        <f>+IF(AVANCE[[#This Row],[% AVANCE]]=100%,"MODULO TERMINADO",IF(AVANCE[[#This Row],[FECHA INICIO REAL]]="","MODULO NO INICIADO","PENDIENTE"))</f>
        <v>MODULO NO INICIADO</v>
      </c>
      <c r="BG446" s="3">
        <f>+IF(AVANCE[[#This Row],[VENTANAS]]=8.10810810810811%,100%,AVANCE[[#This Row],[VENTANAS]])</f>
        <v>0</v>
      </c>
      <c r="BH446" s="3">
        <f>+IF(AVANCE[[#This Row],[PISO]]=N$2,100%,AVANCE[[#This Row],[PISO]])</f>
        <v>0</v>
      </c>
      <c r="BI446" s="3">
        <f>+IF(AVANCE[[#This Row],[TABIQUES]]=O$2,100%,AVANCE[[#This Row],[TABIQUES]])</f>
        <v>0</v>
      </c>
      <c r="BJ446" s="3">
        <f>+IF(AVANCE[[#This Row],[MUROS]]=P$2,100%,AVANCE[[#This Row],[MUROS]])</f>
        <v>0</v>
      </c>
      <c r="BK446" s="3">
        <f>+IF(AVANCE[[#This Row],[CIELO]]=Q$2,100%,AVANCE[[#This Row],[CIELO]])</f>
        <v>0</v>
      </c>
      <c r="BL446" s="3">
        <f>+IF(AVANCE[[#This Row],[BALCÓN]]=R$2,100%,AVANCE[[#This Row],[BALCÓN]])</f>
        <v>0</v>
      </c>
      <c r="BM446" s="3">
        <f>+IF(AVANCE[[#This Row],[RED ALCANTARILLADO]]=U$2,100%,AVANCE[[#This Row],[RED ALCANTARILLADO]])</f>
        <v>0</v>
      </c>
      <c r="BN446" s="3">
        <f>+IF(AVANCE[[#This Row],[RED DE AGUA]]=V$2,100%,AVANCE[[#This Row],[RED DE AGUA]])</f>
        <v>0</v>
      </c>
      <c r="BO446" s="3">
        <f>+IF(AVANCE[[#This Row],[VENTILACIONES]]=W$2,100%,AVANCE[[#This Row],[VENTILACIONES]])</f>
        <v>0</v>
      </c>
      <c r="BP446" s="3">
        <f>+IF(AVANCE[[#This Row],[TINA]]=X$2,100%,AVANCE[[#This Row],[TINA]])</f>
        <v>0</v>
      </c>
      <c r="BQ446" s="3">
        <f>+IF(AVANCE[[#This Row],[WC]]=Y$2,100%,AVANCE[[#This Row],[WC]])</f>
        <v>0</v>
      </c>
      <c r="BR446" s="3">
        <f>+IF(AVANCE[[#This Row],[LAVAMANOS / LAVAPLATOS / LAVADERO]]=Z$2,100%,AVANCE[[#This Row],[LAVAMANOS / LAVAPLATOS / LAVADERO]])</f>
        <v>0</v>
      </c>
      <c r="BS446" s="3">
        <f>+IF(AVANCE[[#This Row],[CANALIZACIÓN]]=AC$2,100%,AVANCE[[#This Row],[CANALIZACIÓN]])</f>
        <v>0</v>
      </c>
      <c r="BT446" s="3">
        <f>+IF(AVANCE[[#This Row],[CABLEADO]]=AD$2,100%,AVANCE[[#This Row],[CABLEADO]])</f>
        <v>0</v>
      </c>
      <c r="BU446" s="3">
        <f>+IF(AVANCE[[#This Row],[ARTEFACTOS]]=AE$2,100%,AVANCE[[#This Row],[ARTEFACTOS]])</f>
        <v>0</v>
      </c>
      <c r="BV446" s="3">
        <f>+IF(AVANCE[[#This Row],[TABLERO]]=AF$2,100%,AVANCE[[#This Row],[TABLERO]])</f>
        <v>0</v>
      </c>
      <c r="BW446" s="3">
        <f>+IF(AVANCE[[#This Row],[CAJA PAU]]=AG$2,100%,AVANCE[[#This Row],[CAJA PAU]])</f>
        <v>0</v>
      </c>
      <c r="BX446" s="3">
        <f>+IF(AVANCE[[#This Row],[INSTALACION VINILICO]]=AJ$2,100%,AVANCE[[#This Row],[INSTALACION VINILICO]])</f>
        <v>0</v>
      </c>
      <c r="BY446" s="3">
        <f>+IF(AVANCE[[#This Row],[OSB CUBIERTA]]=AK$2,100%,AVANCE[[#This Row],[OSB CUBIERTA]])</f>
        <v>0</v>
      </c>
      <c r="BZ446" s="3">
        <f>+IF(AVANCE[[#This Row],[BARANDA BALCON]]=AL$2,100%,AVANCE[[#This Row],[BARANDA BALCON]])</f>
        <v>0</v>
      </c>
      <c r="CA446" s="3">
        <f>+IF(AVANCE[[#This Row],[OSB EXTERIOR]]=AM$2,100%,AVANCE[[#This Row],[OSB EXTERIOR]])</f>
        <v>0</v>
      </c>
      <c r="CB446" s="3">
        <f>+IF(AVANCE[[#This Row],[SMART PANEL]]=AN$2,100%,AVANCE[[#This Row],[SMART PANEL]])</f>
        <v>0</v>
      </c>
      <c r="CC446" s="3">
        <f>+IF(AVANCE[[#This Row],[PINTURA EXTERIOR]]=AO$2,100%,AVANCE[[#This Row],[PINTURA EXTERIOR]])</f>
        <v>0</v>
      </c>
      <c r="CD446" s="3">
        <f>+IF(AVANCE[[#This Row],[ZOCALOS LOGIA]]=AP$2,100%,AVANCE[[#This Row],[ZOCALOS LOGIA]])</f>
        <v>0</v>
      </c>
      <c r="CE446" s="3">
        <f>+IF(AVANCE[[#This Row],[MOLDURAS]]=AQ$2,100%,AVANCE[[#This Row],[MOLDURAS]])</f>
        <v>0</v>
      </c>
      <c r="CF446" s="3">
        <f>+IF(AVANCE[[#This Row],[PILASTREO]]=AR$2,100%,AVANCE[[#This Row],[PILASTREO]])</f>
        <v>0</v>
      </c>
      <c r="CG446" s="3">
        <f>+IF(AVANCE[[#This Row],[CELOSIAS]]=AS$2,100%,AVANCE[[#This Row],[CELOSIAS]])</f>
        <v>0</v>
      </c>
      <c r="CH446" s="3">
        <f>+IF(AVANCE[[#This Row],[VENTANAS]]=AT$2,100%,AVANCE[[#This Row],[VENTANAS]])</f>
        <v>0</v>
      </c>
      <c r="CI446" s="3">
        <f>+IF(AVANCE[[#This Row],[PUERTAS ACCESO - LOGIA - BANO]]=AU$2,100%,AVANCE[[#This Row],[PUERTAS ACCESO - LOGIA - BANO]])</f>
        <v>0</v>
      </c>
      <c r="CJ446" s="3">
        <f>+IF(AVANCE[[#This Row],[CERRADURAS]]=AV$2,100%,AVANCE[[#This Row],[CERRADURAS]])</f>
        <v>0</v>
      </c>
      <c r="CK446" s="3">
        <f>+IF(AVANCE[[#This Row],[REVESTIMIENTO INTERIOR ZONA SECA]]=AW$2,100%,AVANCE[[#This Row],[REVESTIMIENTO INTERIOR ZONA SECA]])</f>
        <v>0</v>
      </c>
      <c r="CL446" s="3">
        <f>+IF(AVANCE[[#This Row],[REVESTIMIENTO INTERIOR ZONAS HUMEDAS]]=AX$2,100%,AVANCE[[#This Row],[REVESTIMIENTO INTERIOR ZONAS HUMEDAS]])</f>
        <v>0</v>
      </c>
      <c r="CM446" s="3">
        <f>+IF(AVANCE[[#This Row],[MEMBRANA CIELO]]=AY$2,100%,AVANCE[[#This Row],[MEMBRANA CIELO]])</f>
        <v>0</v>
      </c>
      <c r="CN446" s="3">
        <f>+IF(AVANCE[[#This Row],[LIMPIEZA FINAL]]=AZ$2,100%,AVANCE[[#This Row],[LIMPIEZA FINAL]])</f>
        <v>0</v>
      </c>
      <c r="CO446" s="3">
        <f>+IF(AVANCE[[#This Row],[PUERTAS DORMITORIO]]=BA$2,100%,AVANCE[[#This Row],[PUERTAS DORMITORIO]])</f>
        <v>0</v>
      </c>
      <c r="CP446" s="3">
        <f>+IF(AVANCE[[#This Row],[REVESTIMIENTO INTERIOR BANO]]=BB$2,100%,AVANCE[[#This Row],[REVESTIMIENTO INTERIOR BANO]])</f>
        <v>0</v>
      </c>
      <c r="CQ446" s="3">
        <f>+IF(AVANCE[[#This Row],[MUEBLE LAVAPLATOS]]=BC$2,100%,AVANCE[[#This Row],[MUEBLE LAVAPLATOS]])</f>
        <v>0</v>
      </c>
      <c r="CR446" s="3">
        <f>+IF(AVANCE[[#This Row],[IMPERMEABILIZACION BANO - COCINA LOGIA]]=BD$2,100%,AVANCE[[#This Row],[IMPERMEABILIZACION BANO - COCINA LOGIA]])</f>
        <v>0</v>
      </c>
      <c r="CS446" s="40">
        <f ca="1">+IF(AVANCE[[#This Row],[ESTADO MODULO]]="PENDIENTE",(TODAY()-AVANCE[[#This Row],[FECHA TERMINO  PLANIFICADO]]),0)</f>
        <v>0</v>
      </c>
      <c r="CT446" s="41" t="str" cm="1">
        <f t="array" ref="CT446">_xlfn.TEXTJOIN(" | ",TRUE,IF(SUMPRODUCT((BG446:CR446&lt;1)*(PARTIDAS!$I$2:$AT$2="OBRA GRUESA"))&gt;0,"OBRA GRUESA: "&amp;_xlfn.TEXTJOIN(", ",TRUE,IF((BG446:CR446&lt;1)*(PARTIDAS!$I$2:$AT$2="OBRA GRUESA"),PARTIDAS!$I$1:$AT$1,"")),""),IF(SUMPRODUCT((BG446:CR446&lt;1)*(PARTIDAS!$I$2:$AT$2="SANITARIOS"))&gt;0,"SANITARIOS: "&amp;_xlfn.TEXTJOIN(", ",TRUE,IF((BG446:CR446&lt;1)*(PARTIDAS!$I$2:$AT$2="SANITARIOS"),PARTIDAS!$I$1:$AT$1,"")),""),IF(SUMPRODUCT((BG446:CR446&lt;1)*(PARTIDAS!$I$2:$AT$2="ELÉCTRICO"))&gt;0,"ELÉCTRICO: "&amp;_xlfn.TEXTJOIN(", ",TRUE,IF((BG446:CR446&lt;1)*(PARTIDAS!$I$2:$AT$2="ELÉCTRICO"),PARTIDAS!$I$1:$AT$1,"")),""),IF(SUMPRODUCT((BG446:CR446&lt;1)*(PARTIDAS!$I$2:$AT$2="TERMINACIONES"))&gt;0,"TERMINACIONES: "&amp;_xlfn.TEXTJOIN(", ",TRUE,IF((BG446:CR446&lt;1)*(PARTIDAS!$I$2:$AT$2="TERMINACIONES"),PARTIDAS!$I$1:$AT$1,"")),""))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6" s="43" t="str" cm="1">
        <f t="array" ref="CU446">_xlfn.TEXTJOIN(", ",TRUE,IF(SUMPRODUCT((BG446:CR446&lt;1)*(PARTIDAS!$I$2:$AT$2="OBRA GRUESA"))&gt;0,"OBRA GRUESA",""),IF(SUMPRODUCT((BG446:CR446&lt;1)*(PARTIDAS!$I$2:$AT$2="SANITARIOS"))&gt;0,"SANITARIOS",""),IF(SUMPRODUCT((BG446:CR446&lt;1)*(PARTIDAS!$I$2:$AT$2="ELÉCTRICO"))&gt;0,"ELÉCTRICO",""),IF(SUMPRODUCT((BG446:CR446&lt;1)*(PARTIDAS!$I$2:$AT$2="TERMINACIONES"))&gt;0,"TERMINACIONES",""))</f>
        <v>OBRA GRUESA, SANITARIOS, ELÉCTRICO, TERMINACIONES</v>
      </c>
      <c r="CV446" s="44" cm="1">
        <f t="array" ref="CV446">SUMPRODUCT(--(BG446:CR446&lt;1))</f>
        <v>38</v>
      </c>
    </row>
    <row r="447" spans="1:100" hidden="1" x14ac:dyDescent="0.25">
      <c r="A447" t="s">
        <v>487</v>
      </c>
      <c r="B447" t="s">
        <v>517</v>
      </c>
      <c r="C447">
        <v>2302600446</v>
      </c>
      <c r="D447" t="s">
        <v>60</v>
      </c>
      <c r="E447" s="2">
        <v>0</v>
      </c>
      <c r="F447" s="1">
        <v>46360</v>
      </c>
      <c r="G447" s="1"/>
      <c r="H447" s="1">
        <v>0</v>
      </c>
      <c r="I447" s="1">
        <v>46390</v>
      </c>
      <c r="J447">
        <v>46230</v>
      </c>
      <c r="K447" s="1"/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>
        <v>31.32</v>
      </c>
      <c r="BF447" s="3" t="str">
        <f>+IF(AVANCE[[#This Row],[% AVANCE]]=100%,"MODULO TERMINADO",IF(AVANCE[[#This Row],[FECHA INICIO REAL]]="","MODULO NO INICIADO","PENDIENTE"))</f>
        <v>MODULO NO INICIADO</v>
      </c>
      <c r="BG447" s="3">
        <f>+IF(AVANCE[[#This Row],[VENTANAS]]=8.10810810810811%,100%,AVANCE[[#This Row],[VENTANAS]])</f>
        <v>0</v>
      </c>
      <c r="BH447" s="3">
        <f>+IF(AVANCE[[#This Row],[PISO]]=N$2,100%,AVANCE[[#This Row],[PISO]])</f>
        <v>0</v>
      </c>
      <c r="BI447" s="3">
        <f>+IF(AVANCE[[#This Row],[TABIQUES]]=O$2,100%,AVANCE[[#This Row],[TABIQUES]])</f>
        <v>0</v>
      </c>
      <c r="BJ447" s="3">
        <f>+IF(AVANCE[[#This Row],[MUROS]]=P$2,100%,AVANCE[[#This Row],[MUROS]])</f>
        <v>0</v>
      </c>
      <c r="BK447" s="3">
        <f>+IF(AVANCE[[#This Row],[CIELO]]=Q$2,100%,AVANCE[[#This Row],[CIELO]])</f>
        <v>0</v>
      </c>
      <c r="BL447" s="3">
        <f>+IF(AVANCE[[#This Row],[BALCÓN]]=R$2,100%,AVANCE[[#This Row],[BALCÓN]])</f>
        <v>0</v>
      </c>
      <c r="BM447" s="3">
        <f>+IF(AVANCE[[#This Row],[RED ALCANTARILLADO]]=U$2,100%,AVANCE[[#This Row],[RED ALCANTARILLADO]])</f>
        <v>0</v>
      </c>
      <c r="BN447" s="3">
        <f>+IF(AVANCE[[#This Row],[RED DE AGUA]]=V$2,100%,AVANCE[[#This Row],[RED DE AGUA]])</f>
        <v>0</v>
      </c>
      <c r="BO447" s="3">
        <f>+IF(AVANCE[[#This Row],[VENTILACIONES]]=W$2,100%,AVANCE[[#This Row],[VENTILACIONES]])</f>
        <v>0</v>
      </c>
      <c r="BP447" s="3">
        <f>+IF(AVANCE[[#This Row],[TINA]]=X$2,100%,AVANCE[[#This Row],[TINA]])</f>
        <v>0</v>
      </c>
      <c r="BQ447" s="3">
        <f>+IF(AVANCE[[#This Row],[WC]]=Y$2,100%,AVANCE[[#This Row],[WC]])</f>
        <v>0</v>
      </c>
      <c r="BR447" s="3">
        <f>+IF(AVANCE[[#This Row],[LAVAMANOS / LAVAPLATOS / LAVADERO]]=Z$2,100%,AVANCE[[#This Row],[LAVAMANOS / LAVAPLATOS / LAVADERO]])</f>
        <v>0</v>
      </c>
      <c r="BS447" s="3">
        <f>+IF(AVANCE[[#This Row],[CANALIZACIÓN]]=AC$2,100%,AVANCE[[#This Row],[CANALIZACIÓN]])</f>
        <v>0</v>
      </c>
      <c r="BT447" s="3">
        <f>+IF(AVANCE[[#This Row],[CABLEADO]]=AD$2,100%,AVANCE[[#This Row],[CABLEADO]])</f>
        <v>0</v>
      </c>
      <c r="BU447" s="3">
        <f>+IF(AVANCE[[#This Row],[ARTEFACTOS]]=AE$2,100%,AVANCE[[#This Row],[ARTEFACTOS]])</f>
        <v>0</v>
      </c>
      <c r="BV447" s="3">
        <f>+IF(AVANCE[[#This Row],[TABLERO]]=AF$2,100%,AVANCE[[#This Row],[TABLERO]])</f>
        <v>0</v>
      </c>
      <c r="BW447" s="3">
        <f>+IF(AVANCE[[#This Row],[CAJA PAU]]=AG$2,100%,AVANCE[[#This Row],[CAJA PAU]])</f>
        <v>0</v>
      </c>
      <c r="BX447" s="3">
        <f>+IF(AVANCE[[#This Row],[INSTALACION VINILICO]]=AJ$2,100%,AVANCE[[#This Row],[INSTALACION VINILICO]])</f>
        <v>0</v>
      </c>
      <c r="BY447" s="3">
        <f>+IF(AVANCE[[#This Row],[OSB CUBIERTA]]=AK$2,100%,AVANCE[[#This Row],[OSB CUBIERTA]])</f>
        <v>0</v>
      </c>
      <c r="BZ447" s="3">
        <f>+IF(AVANCE[[#This Row],[BARANDA BALCON]]=AL$2,100%,AVANCE[[#This Row],[BARANDA BALCON]])</f>
        <v>0</v>
      </c>
      <c r="CA447" s="3">
        <f>+IF(AVANCE[[#This Row],[OSB EXTERIOR]]=AM$2,100%,AVANCE[[#This Row],[OSB EXTERIOR]])</f>
        <v>0</v>
      </c>
      <c r="CB447" s="3">
        <f>+IF(AVANCE[[#This Row],[SMART PANEL]]=AN$2,100%,AVANCE[[#This Row],[SMART PANEL]])</f>
        <v>0</v>
      </c>
      <c r="CC447" s="3">
        <f>+IF(AVANCE[[#This Row],[PINTURA EXTERIOR]]=AO$2,100%,AVANCE[[#This Row],[PINTURA EXTERIOR]])</f>
        <v>0</v>
      </c>
      <c r="CD447" s="3">
        <f>+IF(AVANCE[[#This Row],[ZOCALOS LOGIA]]=AP$2,100%,AVANCE[[#This Row],[ZOCALOS LOGIA]])</f>
        <v>0</v>
      </c>
      <c r="CE447" s="3">
        <f>+IF(AVANCE[[#This Row],[MOLDURAS]]=AQ$2,100%,AVANCE[[#This Row],[MOLDURAS]])</f>
        <v>0</v>
      </c>
      <c r="CF447" s="3">
        <f>+IF(AVANCE[[#This Row],[PILASTREO]]=AR$2,100%,AVANCE[[#This Row],[PILASTREO]])</f>
        <v>0</v>
      </c>
      <c r="CG447" s="3">
        <f>+IF(AVANCE[[#This Row],[CELOSIAS]]=AS$2,100%,AVANCE[[#This Row],[CELOSIAS]])</f>
        <v>0</v>
      </c>
      <c r="CH447" s="3">
        <f>+IF(AVANCE[[#This Row],[VENTANAS]]=AT$2,100%,AVANCE[[#This Row],[VENTANAS]])</f>
        <v>0</v>
      </c>
      <c r="CI447" s="3">
        <f>+IF(AVANCE[[#This Row],[PUERTAS ACCESO - LOGIA - BANO]]=AU$2,100%,AVANCE[[#This Row],[PUERTAS ACCESO - LOGIA - BANO]])</f>
        <v>0</v>
      </c>
      <c r="CJ447" s="3">
        <f>+IF(AVANCE[[#This Row],[CERRADURAS]]=AV$2,100%,AVANCE[[#This Row],[CERRADURAS]])</f>
        <v>0</v>
      </c>
      <c r="CK447" s="3">
        <f>+IF(AVANCE[[#This Row],[REVESTIMIENTO INTERIOR ZONA SECA]]=AW$2,100%,AVANCE[[#This Row],[REVESTIMIENTO INTERIOR ZONA SECA]])</f>
        <v>0</v>
      </c>
      <c r="CL447" s="3">
        <f>+IF(AVANCE[[#This Row],[REVESTIMIENTO INTERIOR ZONAS HUMEDAS]]=AX$2,100%,AVANCE[[#This Row],[REVESTIMIENTO INTERIOR ZONAS HUMEDAS]])</f>
        <v>0</v>
      </c>
      <c r="CM447" s="3">
        <f>+IF(AVANCE[[#This Row],[MEMBRANA CIELO]]=AY$2,100%,AVANCE[[#This Row],[MEMBRANA CIELO]])</f>
        <v>0</v>
      </c>
      <c r="CN447" s="3">
        <f>+IF(AVANCE[[#This Row],[LIMPIEZA FINAL]]=AZ$2,100%,AVANCE[[#This Row],[LIMPIEZA FINAL]])</f>
        <v>0</v>
      </c>
      <c r="CO447" s="3">
        <f>+IF(AVANCE[[#This Row],[PUERTAS DORMITORIO]]=BA$2,100%,AVANCE[[#This Row],[PUERTAS DORMITORIO]])</f>
        <v>0</v>
      </c>
      <c r="CP447" s="3">
        <f>+IF(AVANCE[[#This Row],[REVESTIMIENTO INTERIOR BANO]]=BB$2,100%,AVANCE[[#This Row],[REVESTIMIENTO INTERIOR BANO]])</f>
        <v>0</v>
      </c>
      <c r="CQ447" s="3">
        <f>+IF(AVANCE[[#This Row],[MUEBLE LAVAPLATOS]]=BC$2,100%,AVANCE[[#This Row],[MUEBLE LAVAPLATOS]])</f>
        <v>0</v>
      </c>
      <c r="CR447" s="3">
        <f>+IF(AVANCE[[#This Row],[IMPERMEABILIZACION BANO - COCINA LOGIA]]=BD$2,100%,AVANCE[[#This Row],[IMPERMEABILIZACION BANO - COCINA LOGIA]])</f>
        <v>0</v>
      </c>
      <c r="CS447" s="40">
        <f ca="1">+IF(AVANCE[[#This Row],[ESTADO MODULO]]="PENDIENTE",(TODAY()-AVANCE[[#This Row],[FECHA TERMINO  PLANIFICADO]]),0)</f>
        <v>0</v>
      </c>
      <c r="CT447" s="41" t="str" cm="1">
        <f t="array" ref="CT447">_xlfn.TEXTJOIN(" | ",TRUE,IF(SUMPRODUCT((BG447:CR447&lt;1)*(PARTIDAS!$I$2:$AT$2="OBRA GRUESA"))&gt;0,"OBRA GRUESA: "&amp;_xlfn.TEXTJOIN(", ",TRUE,IF((BG447:CR447&lt;1)*(PARTIDAS!$I$2:$AT$2="OBRA GRUESA"),PARTIDAS!$I$1:$AT$1,"")),""),IF(SUMPRODUCT((BG447:CR447&lt;1)*(PARTIDAS!$I$2:$AT$2="SANITARIOS"))&gt;0,"SANITARIOS: "&amp;_xlfn.TEXTJOIN(", ",TRUE,IF((BG447:CR447&lt;1)*(PARTIDAS!$I$2:$AT$2="SANITARIOS"),PARTIDAS!$I$1:$AT$1,"")),""),IF(SUMPRODUCT((BG447:CR447&lt;1)*(PARTIDAS!$I$2:$AT$2="ELÉCTRICO"))&gt;0,"ELÉCTRICO: "&amp;_xlfn.TEXTJOIN(", ",TRUE,IF((BG447:CR447&lt;1)*(PARTIDAS!$I$2:$AT$2="ELÉCTRICO"),PARTIDAS!$I$1:$AT$1,"")),""),IF(SUMPRODUCT((BG447:CR447&lt;1)*(PARTIDAS!$I$2:$AT$2="TERMINACIONES"))&gt;0,"TERMINACIONES: "&amp;_xlfn.TEXTJOIN(", ",TRUE,IF((BG447:CR447&lt;1)*(PARTIDAS!$I$2:$AT$2="TERMINACIONES"),PARTIDAS!$I$1:$AT$1,"")),""))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7" s="43" t="str" cm="1">
        <f t="array" ref="CU447">_xlfn.TEXTJOIN(", ",TRUE,IF(SUMPRODUCT((BG447:CR447&lt;1)*(PARTIDAS!$I$2:$AT$2="OBRA GRUESA"))&gt;0,"OBRA GRUESA",""),IF(SUMPRODUCT((BG447:CR447&lt;1)*(PARTIDAS!$I$2:$AT$2="SANITARIOS"))&gt;0,"SANITARIOS",""),IF(SUMPRODUCT((BG447:CR447&lt;1)*(PARTIDAS!$I$2:$AT$2="ELÉCTRICO"))&gt;0,"ELÉCTRICO",""),IF(SUMPRODUCT((BG447:CR447&lt;1)*(PARTIDAS!$I$2:$AT$2="TERMINACIONES"))&gt;0,"TERMINACIONES",""))</f>
        <v>OBRA GRUESA, SANITARIOS, ELÉCTRICO, TERMINACIONES</v>
      </c>
      <c r="CV447" s="44" cm="1">
        <f t="array" ref="CV447">SUMPRODUCT(--(BG447:CR447&lt;1))</f>
        <v>38</v>
      </c>
    </row>
    <row r="448" spans="1:100" hidden="1" x14ac:dyDescent="0.25">
      <c r="A448" t="s">
        <v>487</v>
      </c>
      <c r="B448" t="s">
        <v>518</v>
      </c>
      <c r="C448">
        <v>2302600447</v>
      </c>
      <c r="D448" t="s">
        <v>60</v>
      </c>
      <c r="E448" s="2">
        <v>0</v>
      </c>
      <c r="F448" s="1">
        <v>46360</v>
      </c>
      <c r="G448" s="1"/>
      <c r="H448" s="1">
        <v>0</v>
      </c>
      <c r="I448" s="1">
        <v>46390</v>
      </c>
      <c r="J448">
        <v>46230</v>
      </c>
      <c r="K448" s="1"/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>
        <v>31.32</v>
      </c>
      <c r="BF448" s="3" t="str">
        <f>+IF(AVANCE[[#This Row],[% AVANCE]]=100%,"MODULO TERMINADO",IF(AVANCE[[#This Row],[FECHA INICIO REAL]]="","MODULO NO INICIADO","PENDIENTE"))</f>
        <v>MODULO NO INICIADO</v>
      </c>
      <c r="BG448" s="3">
        <f>+IF(AVANCE[[#This Row],[VENTANAS]]=8.10810810810811%,100%,AVANCE[[#This Row],[VENTANAS]])</f>
        <v>0</v>
      </c>
      <c r="BH448" s="3">
        <f>+IF(AVANCE[[#This Row],[PISO]]=N$2,100%,AVANCE[[#This Row],[PISO]])</f>
        <v>0</v>
      </c>
      <c r="BI448" s="3">
        <f>+IF(AVANCE[[#This Row],[TABIQUES]]=O$2,100%,AVANCE[[#This Row],[TABIQUES]])</f>
        <v>0</v>
      </c>
      <c r="BJ448" s="3">
        <f>+IF(AVANCE[[#This Row],[MUROS]]=P$2,100%,AVANCE[[#This Row],[MUROS]])</f>
        <v>0</v>
      </c>
      <c r="BK448" s="3">
        <f>+IF(AVANCE[[#This Row],[CIELO]]=Q$2,100%,AVANCE[[#This Row],[CIELO]])</f>
        <v>0</v>
      </c>
      <c r="BL448" s="3">
        <f>+IF(AVANCE[[#This Row],[BALCÓN]]=R$2,100%,AVANCE[[#This Row],[BALCÓN]])</f>
        <v>0</v>
      </c>
      <c r="BM448" s="3">
        <f>+IF(AVANCE[[#This Row],[RED ALCANTARILLADO]]=U$2,100%,AVANCE[[#This Row],[RED ALCANTARILLADO]])</f>
        <v>0</v>
      </c>
      <c r="BN448" s="3">
        <f>+IF(AVANCE[[#This Row],[RED DE AGUA]]=V$2,100%,AVANCE[[#This Row],[RED DE AGUA]])</f>
        <v>0</v>
      </c>
      <c r="BO448" s="3">
        <f>+IF(AVANCE[[#This Row],[VENTILACIONES]]=W$2,100%,AVANCE[[#This Row],[VENTILACIONES]])</f>
        <v>0</v>
      </c>
      <c r="BP448" s="3">
        <f>+IF(AVANCE[[#This Row],[TINA]]=X$2,100%,AVANCE[[#This Row],[TINA]])</f>
        <v>0</v>
      </c>
      <c r="BQ448" s="3">
        <f>+IF(AVANCE[[#This Row],[WC]]=Y$2,100%,AVANCE[[#This Row],[WC]])</f>
        <v>0</v>
      </c>
      <c r="BR448" s="3">
        <f>+IF(AVANCE[[#This Row],[LAVAMANOS / LAVAPLATOS / LAVADERO]]=Z$2,100%,AVANCE[[#This Row],[LAVAMANOS / LAVAPLATOS / LAVADERO]])</f>
        <v>0</v>
      </c>
      <c r="BS448" s="3">
        <f>+IF(AVANCE[[#This Row],[CANALIZACIÓN]]=AC$2,100%,AVANCE[[#This Row],[CANALIZACIÓN]])</f>
        <v>0</v>
      </c>
      <c r="BT448" s="3">
        <f>+IF(AVANCE[[#This Row],[CABLEADO]]=AD$2,100%,AVANCE[[#This Row],[CABLEADO]])</f>
        <v>0</v>
      </c>
      <c r="BU448" s="3">
        <f>+IF(AVANCE[[#This Row],[ARTEFACTOS]]=AE$2,100%,AVANCE[[#This Row],[ARTEFACTOS]])</f>
        <v>0</v>
      </c>
      <c r="BV448" s="3">
        <f>+IF(AVANCE[[#This Row],[TABLERO]]=AF$2,100%,AVANCE[[#This Row],[TABLERO]])</f>
        <v>0</v>
      </c>
      <c r="BW448" s="3">
        <f>+IF(AVANCE[[#This Row],[CAJA PAU]]=AG$2,100%,AVANCE[[#This Row],[CAJA PAU]])</f>
        <v>0</v>
      </c>
      <c r="BX448" s="3">
        <f>+IF(AVANCE[[#This Row],[INSTALACION VINILICO]]=AJ$2,100%,AVANCE[[#This Row],[INSTALACION VINILICO]])</f>
        <v>0</v>
      </c>
      <c r="BY448" s="3">
        <f>+IF(AVANCE[[#This Row],[OSB CUBIERTA]]=AK$2,100%,AVANCE[[#This Row],[OSB CUBIERTA]])</f>
        <v>0</v>
      </c>
      <c r="BZ448" s="3">
        <f>+IF(AVANCE[[#This Row],[BARANDA BALCON]]=AL$2,100%,AVANCE[[#This Row],[BARANDA BALCON]])</f>
        <v>0</v>
      </c>
      <c r="CA448" s="3">
        <f>+IF(AVANCE[[#This Row],[OSB EXTERIOR]]=AM$2,100%,AVANCE[[#This Row],[OSB EXTERIOR]])</f>
        <v>0</v>
      </c>
      <c r="CB448" s="3">
        <f>+IF(AVANCE[[#This Row],[SMART PANEL]]=AN$2,100%,AVANCE[[#This Row],[SMART PANEL]])</f>
        <v>0</v>
      </c>
      <c r="CC448" s="3">
        <f>+IF(AVANCE[[#This Row],[PINTURA EXTERIOR]]=AO$2,100%,AVANCE[[#This Row],[PINTURA EXTERIOR]])</f>
        <v>0</v>
      </c>
      <c r="CD448" s="3">
        <f>+IF(AVANCE[[#This Row],[ZOCALOS LOGIA]]=AP$2,100%,AVANCE[[#This Row],[ZOCALOS LOGIA]])</f>
        <v>0</v>
      </c>
      <c r="CE448" s="3">
        <f>+IF(AVANCE[[#This Row],[MOLDURAS]]=AQ$2,100%,AVANCE[[#This Row],[MOLDURAS]])</f>
        <v>0</v>
      </c>
      <c r="CF448" s="3">
        <f>+IF(AVANCE[[#This Row],[PILASTREO]]=AR$2,100%,AVANCE[[#This Row],[PILASTREO]])</f>
        <v>0</v>
      </c>
      <c r="CG448" s="3">
        <f>+IF(AVANCE[[#This Row],[CELOSIAS]]=AS$2,100%,AVANCE[[#This Row],[CELOSIAS]])</f>
        <v>0</v>
      </c>
      <c r="CH448" s="3">
        <f>+IF(AVANCE[[#This Row],[VENTANAS]]=AT$2,100%,AVANCE[[#This Row],[VENTANAS]])</f>
        <v>0</v>
      </c>
      <c r="CI448" s="3">
        <f>+IF(AVANCE[[#This Row],[PUERTAS ACCESO - LOGIA - BANO]]=AU$2,100%,AVANCE[[#This Row],[PUERTAS ACCESO - LOGIA - BANO]])</f>
        <v>0</v>
      </c>
      <c r="CJ448" s="3">
        <f>+IF(AVANCE[[#This Row],[CERRADURAS]]=AV$2,100%,AVANCE[[#This Row],[CERRADURAS]])</f>
        <v>0</v>
      </c>
      <c r="CK448" s="3">
        <f>+IF(AVANCE[[#This Row],[REVESTIMIENTO INTERIOR ZONA SECA]]=AW$2,100%,AVANCE[[#This Row],[REVESTIMIENTO INTERIOR ZONA SECA]])</f>
        <v>0</v>
      </c>
      <c r="CL448" s="3">
        <f>+IF(AVANCE[[#This Row],[REVESTIMIENTO INTERIOR ZONAS HUMEDAS]]=AX$2,100%,AVANCE[[#This Row],[REVESTIMIENTO INTERIOR ZONAS HUMEDAS]])</f>
        <v>0</v>
      </c>
      <c r="CM448" s="3">
        <f>+IF(AVANCE[[#This Row],[MEMBRANA CIELO]]=AY$2,100%,AVANCE[[#This Row],[MEMBRANA CIELO]])</f>
        <v>0</v>
      </c>
      <c r="CN448" s="3">
        <f>+IF(AVANCE[[#This Row],[LIMPIEZA FINAL]]=AZ$2,100%,AVANCE[[#This Row],[LIMPIEZA FINAL]])</f>
        <v>0</v>
      </c>
      <c r="CO448" s="3">
        <f>+IF(AVANCE[[#This Row],[PUERTAS DORMITORIO]]=BA$2,100%,AVANCE[[#This Row],[PUERTAS DORMITORIO]])</f>
        <v>0</v>
      </c>
      <c r="CP448" s="3">
        <f>+IF(AVANCE[[#This Row],[REVESTIMIENTO INTERIOR BANO]]=BB$2,100%,AVANCE[[#This Row],[REVESTIMIENTO INTERIOR BANO]])</f>
        <v>0</v>
      </c>
      <c r="CQ448" s="3">
        <f>+IF(AVANCE[[#This Row],[MUEBLE LAVAPLATOS]]=BC$2,100%,AVANCE[[#This Row],[MUEBLE LAVAPLATOS]])</f>
        <v>0</v>
      </c>
      <c r="CR448" s="3">
        <f>+IF(AVANCE[[#This Row],[IMPERMEABILIZACION BANO - COCINA LOGIA]]=BD$2,100%,AVANCE[[#This Row],[IMPERMEABILIZACION BANO - COCINA LOGIA]])</f>
        <v>0</v>
      </c>
      <c r="CS448" s="40">
        <f ca="1">+IF(AVANCE[[#This Row],[ESTADO MODULO]]="PENDIENTE",(TODAY()-AVANCE[[#This Row],[FECHA TERMINO  PLANIFICADO]]),0)</f>
        <v>0</v>
      </c>
      <c r="CT448" s="41" t="str" cm="1">
        <f t="array" ref="CT448">_xlfn.TEXTJOIN(" | ",TRUE,IF(SUMPRODUCT((BG448:CR448&lt;1)*(PARTIDAS!$I$2:$AT$2="OBRA GRUESA"))&gt;0,"OBRA GRUESA: "&amp;_xlfn.TEXTJOIN(", ",TRUE,IF((BG448:CR448&lt;1)*(PARTIDAS!$I$2:$AT$2="OBRA GRUESA"),PARTIDAS!$I$1:$AT$1,"")),""),IF(SUMPRODUCT((BG448:CR448&lt;1)*(PARTIDAS!$I$2:$AT$2="SANITARIOS"))&gt;0,"SANITARIOS: "&amp;_xlfn.TEXTJOIN(", ",TRUE,IF((BG448:CR448&lt;1)*(PARTIDAS!$I$2:$AT$2="SANITARIOS"),PARTIDAS!$I$1:$AT$1,"")),""),IF(SUMPRODUCT((BG448:CR448&lt;1)*(PARTIDAS!$I$2:$AT$2="ELÉCTRICO"))&gt;0,"ELÉCTRICO: "&amp;_xlfn.TEXTJOIN(", ",TRUE,IF((BG448:CR448&lt;1)*(PARTIDAS!$I$2:$AT$2="ELÉCTRICO"),PARTIDAS!$I$1:$AT$1,"")),""),IF(SUMPRODUCT((BG448:CR448&lt;1)*(PARTIDAS!$I$2:$AT$2="TERMINACIONES"))&gt;0,"TERMINACIONES: "&amp;_xlfn.TEXTJOIN(", ",TRUE,IF((BG448:CR448&lt;1)*(PARTIDAS!$I$2:$AT$2="TERMINACIONES"),PARTIDAS!$I$1:$AT$1,"")),""))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8" s="43" t="str" cm="1">
        <f t="array" ref="CU448">_xlfn.TEXTJOIN(", ",TRUE,IF(SUMPRODUCT((BG448:CR448&lt;1)*(PARTIDAS!$I$2:$AT$2="OBRA GRUESA"))&gt;0,"OBRA GRUESA",""),IF(SUMPRODUCT((BG448:CR448&lt;1)*(PARTIDAS!$I$2:$AT$2="SANITARIOS"))&gt;0,"SANITARIOS",""),IF(SUMPRODUCT((BG448:CR448&lt;1)*(PARTIDAS!$I$2:$AT$2="ELÉCTRICO"))&gt;0,"ELÉCTRICO",""),IF(SUMPRODUCT((BG448:CR448&lt;1)*(PARTIDAS!$I$2:$AT$2="TERMINACIONES"))&gt;0,"TERMINACIONES",""))</f>
        <v>OBRA GRUESA, SANITARIOS, ELÉCTRICO, TERMINACIONES</v>
      </c>
      <c r="CV448" s="44" cm="1">
        <f t="array" ref="CV448">SUMPRODUCT(--(BG448:CR448&lt;1))</f>
        <v>38</v>
      </c>
    </row>
    <row r="449" spans="1:100" hidden="1" x14ac:dyDescent="0.25">
      <c r="A449" t="s">
        <v>487</v>
      </c>
      <c r="B449" t="s">
        <v>519</v>
      </c>
      <c r="C449">
        <v>2282600448</v>
      </c>
      <c r="D449" t="s">
        <v>58</v>
      </c>
      <c r="E449" s="2">
        <v>0</v>
      </c>
      <c r="F449" s="1">
        <v>46360</v>
      </c>
      <c r="G449" s="1"/>
      <c r="H449" s="1">
        <v>0</v>
      </c>
      <c r="I449" s="1">
        <v>46380</v>
      </c>
      <c r="J449">
        <v>46230</v>
      </c>
      <c r="K449" s="1"/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>
        <v>28.87</v>
      </c>
      <c r="BF449" s="3" t="str">
        <f>+IF(AVANCE[[#This Row],[% AVANCE]]=100%,"MODULO TERMINADO",IF(AVANCE[[#This Row],[FECHA INICIO REAL]]="","MODULO NO INICIADO","PENDIENTE"))</f>
        <v>MODULO NO INICIADO</v>
      </c>
      <c r="BG449" s="3">
        <f>+IF(AVANCE[[#This Row],[VENTANAS]]=8.10810810810811%,100%,AVANCE[[#This Row],[VENTANAS]])</f>
        <v>0</v>
      </c>
      <c r="BH449" s="3">
        <f>+IF(AVANCE[[#This Row],[PISO]]=N$2,100%,AVANCE[[#This Row],[PISO]])</f>
        <v>0</v>
      </c>
      <c r="BI449" s="3">
        <f>+IF(AVANCE[[#This Row],[TABIQUES]]=O$2,100%,AVANCE[[#This Row],[TABIQUES]])</f>
        <v>0</v>
      </c>
      <c r="BJ449" s="3">
        <f>+IF(AVANCE[[#This Row],[MUROS]]=P$2,100%,AVANCE[[#This Row],[MUROS]])</f>
        <v>0</v>
      </c>
      <c r="BK449" s="3">
        <f>+IF(AVANCE[[#This Row],[CIELO]]=Q$2,100%,AVANCE[[#This Row],[CIELO]])</f>
        <v>0</v>
      </c>
      <c r="BL449" s="3">
        <f>+IF(AVANCE[[#This Row],[BALCÓN]]=R$2,100%,AVANCE[[#This Row],[BALCÓN]])</f>
        <v>0</v>
      </c>
      <c r="BM449" s="3">
        <f>+IF(AVANCE[[#This Row],[RED ALCANTARILLADO]]=U$2,100%,AVANCE[[#This Row],[RED ALCANTARILLADO]])</f>
        <v>0</v>
      </c>
      <c r="BN449" s="3">
        <f>+IF(AVANCE[[#This Row],[RED DE AGUA]]=V$2,100%,AVANCE[[#This Row],[RED DE AGUA]])</f>
        <v>0</v>
      </c>
      <c r="BO449" s="3">
        <f>+IF(AVANCE[[#This Row],[VENTILACIONES]]=W$2,100%,AVANCE[[#This Row],[VENTILACIONES]])</f>
        <v>0</v>
      </c>
      <c r="BP449" s="3">
        <f>+IF(AVANCE[[#This Row],[TINA]]=X$2,100%,AVANCE[[#This Row],[TINA]])</f>
        <v>0</v>
      </c>
      <c r="BQ449" s="3">
        <f>+IF(AVANCE[[#This Row],[WC]]=Y$2,100%,AVANCE[[#This Row],[WC]])</f>
        <v>0</v>
      </c>
      <c r="BR449" s="3">
        <f>+IF(AVANCE[[#This Row],[LAVAMANOS / LAVAPLATOS / LAVADERO]]=Z$2,100%,AVANCE[[#This Row],[LAVAMANOS / LAVAPLATOS / LAVADERO]])</f>
        <v>0</v>
      </c>
      <c r="BS449" s="3">
        <f>+IF(AVANCE[[#This Row],[CANALIZACIÓN]]=AC$2,100%,AVANCE[[#This Row],[CANALIZACIÓN]])</f>
        <v>0</v>
      </c>
      <c r="BT449" s="3">
        <f>+IF(AVANCE[[#This Row],[CABLEADO]]=AD$2,100%,AVANCE[[#This Row],[CABLEADO]])</f>
        <v>0</v>
      </c>
      <c r="BU449" s="3">
        <f>+IF(AVANCE[[#This Row],[ARTEFACTOS]]=AE$2,100%,AVANCE[[#This Row],[ARTEFACTOS]])</f>
        <v>0</v>
      </c>
      <c r="BV449" s="3">
        <f>+IF(AVANCE[[#This Row],[TABLERO]]=AF$2,100%,AVANCE[[#This Row],[TABLERO]])</f>
        <v>0</v>
      </c>
      <c r="BW449" s="3">
        <f>+IF(AVANCE[[#This Row],[CAJA PAU]]=AG$2,100%,AVANCE[[#This Row],[CAJA PAU]])</f>
        <v>0</v>
      </c>
      <c r="BX449" s="3">
        <f>+IF(AVANCE[[#This Row],[INSTALACION VINILICO]]=AJ$2,100%,AVANCE[[#This Row],[INSTALACION VINILICO]])</f>
        <v>0</v>
      </c>
      <c r="BY449" s="3">
        <f>+IF(AVANCE[[#This Row],[OSB CUBIERTA]]=AK$2,100%,AVANCE[[#This Row],[OSB CUBIERTA]])</f>
        <v>0</v>
      </c>
      <c r="BZ449" s="3">
        <f>+IF(AVANCE[[#This Row],[BARANDA BALCON]]=AL$2,100%,AVANCE[[#This Row],[BARANDA BALCON]])</f>
        <v>0</v>
      </c>
      <c r="CA449" s="3">
        <f>+IF(AVANCE[[#This Row],[OSB EXTERIOR]]=AM$2,100%,AVANCE[[#This Row],[OSB EXTERIOR]])</f>
        <v>0</v>
      </c>
      <c r="CB449" s="3">
        <f>+IF(AVANCE[[#This Row],[SMART PANEL]]=AN$2,100%,AVANCE[[#This Row],[SMART PANEL]])</f>
        <v>0</v>
      </c>
      <c r="CC449" s="3">
        <f>+IF(AVANCE[[#This Row],[PINTURA EXTERIOR]]=AO$2,100%,AVANCE[[#This Row],[PINTURA EXTERIOR]])</f>
        <v>0</v>
      </c>
      <c r="CD449" s="3">
        <f>+IF(AVANCE[[#This Row],[ZOCALOS LOGIA]]=AP$2,100%,AVANCE[[#This Row],[ZOCALOS LOGIA]])</f>
        <v>0</v>
      </c>
      <c r="CE449" s="3">
        <f>+IF(AVANCE[[#This Row],[MOLDURAS]]=AQ$2,100%,AVANCE[[#This Row],[MOLDURAS]])</f>
        <v>0</v>
      </c>
      <c r="CF449" s="3">
        <f>+IF(AVANCE[[#This Row],[PILASTREO]]=AR$2,100%,AVANCE[[#This Row],[PILASTREO]])</f>
        <v>0</v>
      </c>
      <c r="CG449" s="3">
        <f>+IF(AVANCE[[#This Row],[CELOSIAS]]=AS$2,100%,AVANCE[[#This Row],[CELOSIAS]])</f>
        <v>0</v>
      </c>
      <c r="CH449" s="3">
        <f>+IF(AVANCE[[#This Row],[VENTANAS]]=AT$2,100%,AVANCE[[#This Row],[VENTANAS]])</f>
        <v>0</v>
      </c>
      <c r="CI449" s="3">
        <f>+IF(AVANCE[[#This Row],[PUERTAS ACCESO - LOGIA - BANO]]=AU$2,100%,AVANCE[[#This Row],[PUERTAS ACCESO - LOGIA - BANO]])</f>
        <v>0</v>
      </c>
      <c r="CJ449" s="3">
        <f>+IF(AVANCE[[#This Row],[CERRADURAS]]=AV$2,100%,AVANCE[[#This Row],[CERRADURAS]])</f>
        <v>0</v>
      </c>
      <c r="CK449" s="3">
        <f>+IF(AVANCE[[#This Row],[REVESTIMIENTO INTERIOR ZONA SECA]]=AW$2,100%,AVANCE[[#This Row],[REVESTIMIENTO INTERIOR ZONA SECA]])</f>
        <v>0</v>
      </c>
      <c r="CL449" s="3">
        <f>+IF(AVANCE[[#This Row],[REVESTIMIENTO INTERIOR ZONAS HUMEDAS]]=AX$2,100%,AVANCE[[#This Row],[REVESTIMIENTO INTERIOR ZONAS HUMEDAS]])</f>
        <v>0</v>
      </c>
      <c r="CM449" s="3">
        <f>+IF(AVANCE[[#This Row],[MEMBRANA CIELO]]=AY$2,100%,AVANCE[[#This Row],[MEMBRANA CIELO]])</f>
        <v>0</v>
      </c>
      <c r="CN449" s="3">
        <f>+IF(AVANCE[[#This Row],[LIMPIEZA FINAL]]=AZ$2,100%,AVANCE[[#This Row],[LIMPIEZA FINAL]])</f>
        <v>0</v>
      </c>
      <c r="CO449" s="3">
        <f>+IF(AVANCE[[#This Row],[PUERTAS DORMITORIO]]=BA$2,100%,AVANCE[[#This Row],[PUERTAS DORMITORIO]])</f>
        <v>0</v>
      </c>
      <c r="CP449" s="3">
        <f>+IF(AVANCE[[#This Row],[REVESTIMIENTO INTERIOR BANO]]=BB$2,100%,AVANCE[[#This Row],[REVESTIMIENTO INTERIOR BANO]])</f>
        <v>0</v>
      </c>
      <c r="CQ449" s="3">
        <f>+IF(AVANCE[[#This Row],[MUEBLE LAVAPLATOS]]=BC$2,100%,AVANCE[[#This Row],[MUEBLE LAVAPLATOS]])</f>
        <v>0</v>
      </c>
      <c r="CR449" s="3">
        <f>+IF(AVANCE[[#This Row],[IMPERMEABILIZACION BANO - COCINA LOGIA]]=BD$2,100%,AVANCE[[#This Row],[IMPERMEABILIZACION BANO - COCINA LOGIA]])</f>
        <v>0</v>
      </c>
      <c r="CS449" s="40">
        <f ca="1">+IF(AVANCE[[#This Row],[ESTADO MODULO]]="PENDIENTE",(TODAY()-AVANCE[[#This Row],[FECHA TERMINO  PLANIFICADO]]),0)</f>
        <v>0</v>
      </c>
      <c r="CT449" s="41" t="str" cm="1">
        <f t="array" ref="CT449">_xlfn.TEXTJOIN(" | ",TRUE,IF(SUMPRODUCT((BG449:CR449&lt;1)*(PARTIDAS!$I$2:$AT$2="OBRA GRUESA"))&gt;0,"OBRA GRUESA: "&amp;_xlfn.TEXTJOIN(", ",TRUE,IF((BG449:CR449&lt;1)*(PARTIDAS!$I$2:$AT$2="OBRA GRUESA"),PARTIDAS!$I$1:$AT$1,"")),""),IF(SUMPRODUCT((BG449:CR449&lt;1)*(PARTIDAS!$I$2:$AT$2="SANITARIOS"))&gt;0,"SANITARIOS: "&amp;_xlfn.TEXTJOIN(", ",TRUE,IF((BG449:CR449&lt;1)*(PARTIDAS!$I$2:$AT$2="SANITARIOS"),PARTIDAS!$I$1:$AT$1,"")),""),IF(SUMPRODUCT((BG449:CR449&lt;1)*(PARTIDAS!$I$2:$AT$2="ELÉCTRICO"))&gt;0,"ELÉCTRICO: "&amp;_xlfn.TEXTJOIN(", ",TRUE,IF((BG449:CR449&lt;1)*(PARTIDAS!$I$2:$AT$2="ELÉCTRICO"),PARTIDAS!$I$1:$AT$1,"")),""),IF(SUMPRODUCT((BG449:CR449&lt;1)*(PARTIDAS!$I$2:$AT$2="TERMINACIONES"))&gt;0,"TERMINACIONES: "&amp;_xlfn.TEXTJOIN(", ",TRUE,IF((BG449:CR449&lt;1)*(PARTIDAS!$I$2:$AT$2="TERMINACIONES"),PARTIDAS!$I$1:$AT$1,"")),""))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49" s="43" t="str" cm="1">
        <f t="array" ref="CU449">_xlfn.TEXTJOIN(", ",TRUE,IF(SUMPRODUCT((BG449:CR449&lt;1)*(PARTIDAS!$I$2:$AT$2="OBRA GRUESA"))&gt;0,"OBRA GRUESA",""),IF(SUMPRODUCT((BG449:CR449&lt;1)*(PARTIDAS!$I$2:$AT$2="SANITARIOS"))&gt;0,"SANITARIOS",""),IF(SUMPRODUCT((BG449:CR449&lt;1)*(PARTIDAS!$I$2:$AT$2="ELÉCTRICO"))&gt;0,"ELÉCTRICO",""),IF(SUMPRODUCT((BG449:CR449&lt;1)*(PARTIDAS!$I$2:$AT$2="TERMINACIONES"))&gt;0,"TERMINACIONES",""))</f>
        <v>OBRA GRUESA, SANITARIOS, ELÉCTRICO, TERMINACIONES</v>
      </c>
      <c r="CV449" s="44" cm="1">
        <f t="array" ref="CV449">SUMPRODUCT(--(BG449:CR449&lt;1))</f>
        <v>38</v>
      </c>
    </row>
    <row r="450" spans="1:100" hidden="1" x14ac:dyDescent="0.25">
      <c r="A450" t="s">
        <v>520</v>
      </c>
      <c r="B450" t="s">
        <v>521</v>
      </c>
      <c r="C450">
        <v>2282600449</v>
      </c>
      <c r="D450" t="s">
        <v>58</v>
      </c>
      <c r="E450" s="2">
        <v>0</v>
      </c>
      <c r="F450" s="1">
        <v>46363</v>
      </c>
      <c r="G450" s="1"/>
      <c r="H450" s="1">
        <v>0</v>
      </c>
      <c r="I450" s="1">
        <v>46383</v>
      </c>
      <c r="J450">
        <v>46230</v>
      </c>
      <c r="K450" s="1"/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>
        <v>28.87</v>
      </c>
      <c r="BF450" s="3" t="str">
        <f>+IF(AVANCE[[#This Row],[% AVANCE]]=100%,"MODULO TERMINADO",IF(AVANCE[[#This Row],[FECHA INICIO REAL]]="","MODULO NO INICIADO","PENDIENTE"))</f>
        <v>MODULO NO INICIADO</v>
      </c>
      <c r="BG450" s="3">
        <f>+IF(AVANCE[[#This Row],[VENTANAS]]=8.10810810810811%,100%,AVANCE[[#This Row],[VENTANAS]])</f>
        <v>0</v>
      </c>
      <c r="BH450" s="3">
        <f>+IF(AVANCE[[#This Row],[PISO]]=N$2,100%,AVANCE[[#This Row],[PISO]])</f>
        <v>0</v>
      </c>
      <c r="BI450" s="3">
        <f>+IF(AVANCE[[#This Row],[TABIQUES]]=O$2,100%,AVANCE[[#This Row],[TABIQUES]])</f>
        <v>0</v>
      </c>
      <c r="BJ450" s="3">
        <f>+IF(AVANCE[[#This Row],[MUROS]]=P$2,100%,AVANCE[[#This Row],[MUROS]])</f>
        <v>0</v>
      </c>
      <c r="BK450" s="3">
        <f>+IF(AVANCE[[#This Row],[CIELO]]=Q$2,100%,AVANCE[[#This Row],[CIELO]])</f>
        <v>0</v>
      </c>
      <c r="BL450" s="3">
        <f>+IF(AVANCE[[#This Row],[BALCÓN]]=R$2,100%,AVANCE[[#This Row],[BALCÓN]])</f>
        <v>0</v>
      </c>
      <c r="BM450" s="3">
        <f>+IF(AVANCE[[#This Row],[RED ALCANTARILLADO]]=U$2,100%,AVANCE[[#This Row],[RED ALCANTARILLADO]])</f>
        <v>0</v>
      </c>
      <c r="BN450" s="3">
        <f>+IF(AVANCE[[#This Row],[RED DE AGUA]]=V$2,100%,AVANCE[[#This Row],[RED DE AGUA]])</f>
        <v>0</v>
      </c>
      <c r="BO450" s="3">
        <f>+IF(AVANCE[[#This Row],[VENTILACIONES]]=W$2,100%,AVANCE[[#This Row],[VENTILACIONES]])</f>
        <v>0</v>
      </c>
      <c r="BP450" s="3">
        <f>+IF(AVANCE[[#This Row],[TINA]]=X$2,100%,AVANCE[[#This Row],[TINA]])</f>
        <v>0</v>
      </c>
      <c r="BQ450" s="3">
        <f>+IF(AVANCE[[#This Row],[WC]]=Y$2,100%,AVANCE[[#This Row],[WC]])</f>
        <v>0</v>
      </c>
      <c r="BR450" s="3">
        <f>+IF(AVANCE[[#This Row],[LAVAMANOS / LAVAPLATOS / LAVADERO]]=Z$2,100%,AVANCE[[#This Row],[LAVAMANOS / LAVAPLATOS / LAVADERO]])</f>
        <v>0</v>
      </c>
      <c r="BS450" s="3">
        <f>+IF(AVANCE[[#This Row],[CANALIZACIÓN]]=AC$2,100%,AVANCE[[#This Row],[CANALIZACIÓN]])</f>
        <v>0</v>
      </c>
      <c r="BT450" s="3">
        <f>+IF(AVANCE[[#This Row],[CABLEADO]]=AD$2,100%,AVANCE[[#This Row],[CABLEADO]])</f>
        <v>0</v>
      </c>
      <c r="BU450" s="3">
        <f>+IF(AVANCE[[#This Row],[ARTEFACTOS]]=AE$2,100%,AVANCE[[#This Row],[ARTEFACTOS]])</f>
        <v>0</v>
      </c>
      <c r="BV450" s="3">
        <f>+IF(AVANCE[[#This Row],[TABLERO]]=AF$2,100%,AVANCE[[#This Row],[TABLERO]])</f>
        <v>0</v>
      </c>
      <c r="BW450" s="3">
        <f>+IF(AVANCE[[#This Row],[CAJA PAU]]=AG$2,100%,AVANCE[[#This Row],[CAJA PAU]])</f>
        <v>0</v>
      </c>
      <c r="BX450" s="3">
        <f>+IF(AVANCE[[#This Row],[INSTALACION VINILICO]]=AJ$2,100%,AVANCE[[#This Row],[INSTALACION VINILICO]])</f>
        <v>0</v>
      </c>
      <c r="BY450" s="3">
        <f>+IF(AVANCE[[#This Row],[OSB CUBIERTA]]=AK$2,100%,AVANCE[[#This Row],[OSB CUBIERTA]])</f>
        <v>0</v>
      </c>
      <c r="BZ450" s="3">
        <f>+IF(AVANCE[[#This Row],[BARANDA BALCON]]=AL$2,100%,AVANCE[[#This Row],[BARANDA BALCON]])</f>
        <v>0</v>
      </c>
      <c r="CA450" s="3">
        <f>+IF(AVANCE[[#This Row],[OSB EXTERIOR]]=AM$2,100%,AVANCE[[#This Row],[OSB EXTERIOR]])</f>
        <v>0</v>
      </c>
      <c r="CB450" s="3">
        <f>+IF(AVANCE[[#This Row],[SMART PANEL]]=AN$2,100%,AVANCE[[#This Row],[SMART PANEL]])</f>
        <v>0</v>
      </c>
      <c r="CC450" s="3">
        <f>+IF(AVANCE[[#This Row],[PINTURA EXTERIOR]]=AO$2,100%,AVANCE[[#This Row],[PINTURA EXTERIOR]])</f>
        <v>0</v>
      </c>
      <c r="CD450" s="3">
        <f>+IF(AVANCE[[#This Row],[ZOCALOS LOGIA]]=AP$2,100%,AVANCE[[#This Row],[ZOCALOS LOGIA]])</f>
        <v>0</v>
      </c>
      <c r="CE450" s="3">
        <f>+IF(AVANCE[[#This Row],[MOLDURAS]]=AQ$2,100%,AVANCE[[#This Row],[MOLDURAS]])</f>
        <v>0</v>
      </c>
      <c r="CF450" s="3">
        <f>+IF(AVANCE[[#This Row],[PILASTREO]]=AR$2,100%,AVANCE[[#This Row],[PILASTREO]])</f>
        <v>0</v>
      </c>
      <c r="CG450" s="3">
        <f>+IF(AVANCE[[#This Row],[CELOSIAS]]=AS$2,100%,AVANCE[[#This Row],[CELOSIAS]])</f>
        <v>0</v>
      </c>
      <c r="CH450" s="3">
        <f>+IF(AVANCE[[#This Row],[VENTANAS]]=AT$2,100%,AVANCE[[#This Row],[VENTANAS]])</f>
        <v>0</v>
      </c>
      <c r="CI450" s="3">
        <f>+IF(AVANCE[[#This Row],[PUERTAS ACCESO - LOGIA - BANO]]=AU$2,100%,AVANCE[[#This Row],[PUERTAS ACCESO - LOGIA - BANO]])</f>
        <v>0</v>
      </c>
      <c r="CJ450" s="3">
        <f>+IF(AVANCE[[#This Row],[CERRADURAS]]=AV$2,100%,AVANCE[[#This Row],[CERRADURAS]])</f>
        <v>0</v>
      </c>
      <c r="CK450" s="3">
        <f>+IF(AVANCE[[#This Row],[REVESTIMIENTO INTERIOR ZONA SECA]]=AW$2,100%,AVANCE[[#This Row],[REVESTIMIENTO INTERIOR ZONA SECA]])</f>
        <v>0</v>
      </c>
      <c r="CL450" s="3">
        <f>+IF(AVANCE[[#This Row],[REVESTIMIENTO INTERIOR ZONAS HUMEDAS]]=AX$2,100%,AVANCE[[#This Row],[REVESTIMIENTO INTERIOR ZONAS HUMEDAS]])</f>
        <v>0</v>
      </c>
      <c r="CM450" s="3">
        <f>+IF(AVANCE[[#This Row],[MEMBRANA CIELO]]=AY$2,100%,AVANCE[[#This Row],[MEMBRANA CIELO]])</f>
        <v>0</v>
      </c>
      <c r="CN450" s="3">
        <f>+IF(AVANCE[[#This Row],[LIMPIEZA FINAL]]=AZ$2,100%,AVANCE[[#This Row],[LIMPIEZA FINAL]])</f>
        <v>0</v>
      </c>
      <c r="CO450" s="3">
        <f>+IF(AVANCE[[#This Row],[PUERTAS DORMITORIO]]=BA$2,100%,AVANCE[[#This Row],[PUERTAS DORMITORIO]])</f>
        <v>0</v>
      </c>
      <c r="CP450" s="3">
        <f>+IF(AVANCE[[#This Row],[REVESTIMIENTO INTERIOR BANO]]=BB$2,100%,AVANCE[[#This Row],[REVESTIMIENTO INTERIOR BANO]])</f>
        <v>0</v>
      </c>
      <c r="CQ450" s="3">
        <f>+IF(AVANCE[[#This Row],[MUEBLE LAVAPLATOS]]=BC$2,100%,AVANCE[[#This Row],[MUEBLE LAVAPLATOS]])</f>
        <v>0</v>
      </c>
      <c r="CR450" s="3">
        <f>+IF(AVANCE[[#This Row],[IMPERMEABILIZACION BANO - COCINA LOGIA]]=BD$2,100%,AVANCE[[#This Row],[IMPERMEABILIZACION BANO - COCINA LOGIA]])</f>
        <v>0</v>
      </c>
      <c r="CS450" s="40">
        <f ca="1">+IF(AVANCE[[#This Row],[ESTADO MODULO]]="PENDIENTE",(TODAY()-AVANCE[[#This Row],[FECHA TERMINO  PLANIFICADO]]),0)</f>
        <v>0</v>
      </c>
      <c r="CT450" s="41" t="str" cm="1">
        <f t="array" ref="CT450">_xlfn.TEXTJOIN(" | ",TRUE,IF(SUMPRODUCT((BG450:CR450&lt;1)*(PARTIDAS!$I$2:$AT$2="OBRA GRUESA"))&gt;0,"OBRA GRUESA: "&amp;_xlfn.TEXTJOIN(", ",TRUE,IF((BG450:CR450&lt;1)*(PARTIDAS!$I$2:$AT$2="OBRA GRUESA"),PARTIDAS!$I$1:$AT$1,"")),""),IF(SUMPRODUCT((BG450:CR450&lt;1)*(PARTIDAS!$I$2:$AT$2="SANITARIOS"))&gt;0,"SANITARIOS: "&amp;_xlfn.TEXTJOIN(", ",TRUE,IF((BG450:CR450&lt;1)*(PARTIDAS!$I$2:$AT$2="SANITARIOS"),PARTIDAS!$I$1:$AT$1,"")),""),IF(SUMPRODUCT((BG450:CR450&lt;1)*(PARTIDAS!$I$2:$AT$2="ELÉCTRICO"))&gt;0,"ELÉCTRICO: "&amp;_xlfn.TEXTJOIN(", ",TRUE,IF((BG450:CR450&lt;1)*(PARTIDAS!$I$2:$AT$2="ELÉCTRICO"),PARTIDAS!$I$1:$AT$1,"")),""),IF(SUMPRODUCT((BG450:CR450&lt;1)*(PARTIDAS!$I$2:$AT$2="TERMINACIONES"))&gt;0,"TERMINACIONES: "&amp;_xlfn.TEXTJOIN(", ",TRUE,IF((BG450:CR450&lt;1)*(PARTIDAS!$I$2:$AT$2="TERMINACIONES"),PARTIDAS!$I$1:$AT$1,"")),""))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0" s="43" t="str" cm="1">
        <f t="array" ref="CU450">_xlfn.TEXTJOIN(", ",TRUE,IF(SUMPRODUCT((BG450:CR450&lt;1)*(PARTIDAS!$I$2:$AT$2="OBRA GRUESA"))&gt;0,"OBRA GRUESA",""),IF(SUMPRODUCT((BG450:CR450&lt;1)*(PARTIDAS!$I$2:$AT$2="SANITARIOS"))&gt;0,"SANITARIOS",""),IF(SUMPRODUCT((BG450:CR450&lt;1)*(PARTIDAS!$I$2:$AT$2="ELÉCTRICO"))&gt;0,"ELÉCTRICO",""),IF(SUMPRODUCT((BG450:CR450&lt;1)*(PARTIDAS!$I$2:$AT$2="TERMINACIONES"))&gt;0,"TERMINACIONES",""))</f>
        <v>OBRA GRUESA, SANITARIOS, ELÉCTRICO, TERMINACIONES</v>
      </c>
      <c r="CV450" s="44" cm="1">
        <f t="array" ref="CV450">SUMPRODUCT(--(BG450:CR450&lt;1))</f>
        <v>38</v>
      </c>
    </row>
    <row r="451" spans="1:100" hidden="1" x14ac:dyDescent="0.25">
      <c r="A451" t="s">
        <v>520</v>
      </c>
      <c r="B451" t="s">
        <v>522</v>
      </c>
      <c r="C451">
        <v>2302600450</v>
      </c>
      <c r="D451" t="s">
        <v>60</v>
      </c>
      <c r="E451" s="2">
        <v>0</v>
      </c>
      <c r="F451" s="1">
        <v>46363</v>
      </c>
      <c r="G451" s="1"/>
      <c r="H451" s="1">
        <v>0</v>
      </c>
      <c r="I451" s="1">
        <v>46393</v>
      </c>
      <c r="J451">
        <v>46230</v>
      </c>
      <c r="K451" s="1"/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>
        <v>31.32</v>
      </c>
      <c r="BF451" s="3" t="str">
        <f>+IF(AVANCE[[#This Row],[% AVANCE]]=100%,"MODULO TERMINADO",IF(AVANCE[[#This Row],[FECHA INICIO REAL]]="","MODULO NO INICIADO","PENDIENTE"))</f>
        <v>MODULO NO INICIADO</v>
      </c>
      <c r="BG451" s="3">
        <f>+IF(AVANCE[[#This Row],[VENTANAS]]=8.10810810810811%,100%,AVANCE[[#This Row],[VENTANAS]])</f>
        <v>0</v>
      </c>
      <c r="BH451" s="3">
        <f>+IF(AVANCE[[#This Row],[PISO]]=N$2,100%,AVANCE[[#This Row],[PISO]])</f>
        <v>0</v>
      </c>
      <c r="BI451" s="3">
        <f>+IF(AVANCE[[#This Row],[TABIQUES]]=O$2,100%,AVANCE[[#This Row],[TABIQUES]])</f>
        <v>0</v>
      </c>
      <c r="BJ451" s="3">
        <f>+IF(AVANCE[[#This Row],[MUROS]]=P$2,100%,AVANCE[[#This Row],[MUROS]])</f>
        <v>0</v>
      </c>
      <c r="BK451" s="3">
        <f>+IF(AVANCE[[#This Row],[CIELO]]=Q$2,100%,AVANCE[[#This Row],[CIELO]])</f>
        <v>0</v>
      </c>
      <c r="BL451" s="3">
        <f>+IF(AVANCE[[#This Row],[BALCÓN]]=R$2,100%,AVANCE[[#This Row],[BALCÓN]])</f>
        <v>0</v>
      </c>
      <c r="BM451" s="3">
        <f>+IF(AVANCE[[#This Row],[RED ALCANTARILLADO]]=U$2,100%,AVANCE[[#This Row],[RED ALCANTARILLADO]])</f>
        <v>0</v>
      </c>
      <c r="BN451" s="3">
        <f>+IF(AVANCE[[#This Row],[RED DE AGUA]]=V$2,100%,AVANCE[[#This Row],[RED DE AGUA]])</f>
        <v>0</v>
      </c>
      <c r="BO451" s="3">
        <f>+IF(AVANCE[[#This Row],[VENTILACIONES]]=W$2,100%,AVANCE[[#This Row],[VENTILACIONES]])</f>
        <v>0</v>
      </c>
      <c r="BP451" s="3">
        <f>+IF(AVANCE[[#This Row],[TINA]]=X$2,100%,AVANCE[[#This Row],[TINA]])</f>
        <v>0</v>
      </c>
      <c r="BQ451" s="3">
        <f>+IF(AVANCE[[#This Row],[WC]]=Y$2,100%,AVANCE[[#This Row],[WC]])</f>
        <v>0</v>
      </c>
      <c r="BR451" s="3">
        <f>+IF(AVANCE[[#This Row],[LAVAMANOS / LAVAPLATOS / LAVADERO]]=Z$2,100%,AVANCE[[#This Row],[LAVAMANOS / LAVAPLATOS / LAVADERO]])</f>
        <v>0</v>
      </c>
      <c r="BS451" s="3">
        <f>+IF(AVANCE[[#This Row],[CANALIZACIÓN]]=AC$2,100%,AVANCE[[#This Row],[CANALIZACIÓN]])</f>
        <v>0</v>
      </c>
      <c r="BT451" s="3">
        <f>+IF(AVANCE[[#This Row],[CABLEADO]]=AD$2,100%,AVANCE[[#This Row],[CABLEADO]])</f>
        <v>0</v>
      </c>
      <c r="BU451" s="3">
        <f>+IF(AVANCE[[#This Row],[ARTEFACTOS]]=AE$2,100%,AVANCE[[#This Row],[ARTEFACTOS]])</f>
        <v>0</v>
      </c>
      <c r="BV451" s="3">
        <f>+IF(AVANCE[[#This Row],[TABLERO]]=AF$2,100%,AVANCE[[#This Row],[TABLERO]])</f>
        <v>0</v>
      </c>
      <c r="BW451" s="3">
        <f>+IF(AVANCE[[#This Row],[CAJA PAU]]=AG$2,100%,AVANCE[[#This Row],[CAJA PAU]])</f>
        <v>0</v>
      </c>
      <c r="BX451" s="3">
        <f>+IF(AVANCE[[#This Row],[INSTALACION VINILICO]]=AJ$2,100%,AVANCE[[#This Row],[INSTALACION VINILICO]])</f>
        <v>0</v>
      </c>
      <c r="BY451" s="3">
        <f>+IF(AVANCE[[#This Row],[OSB CUBIERTA]]=AK$2,100%,AVANCE[[#This Row],[OSB CUBIERTA]])</f>
        <v>0</v>
      </c>
      <c r="BZ451" s="3">
        <f>+IF(AVANCE[[#This Row],[BARANDA BALCON]]=AL$2,100%,AVANCE[[#This Row],[BARANDA BALCON]])</f>
        <v>0</v>
      </c>
      <c r="CA451" s="3">
        <f>+IF(AVANCE[[#This Row],[OSB EXTERIOR]]=AM$2,100%,AVANCE[[#This Row],[OSB EXTERIOR]])</f>
        <v>0</v>
      </c>
      <c r="CB451" s="3">
        <f>+IF(AVANCE[[#This Row],[SMART PANEL]]=AN$2,100%,AVANCE[[#This Row],[SMART PANEL]])</f>
        <v>0</v>
      </c>
      <c r="CC451" s="3">
        <f>+IF(AVANCE[[#This Row],[PINTURA EXTERIOR]]=AO$2,100%,AVANCE[[#This Row],[PINTURA EXTERIOR]])</f>
        <v>0</v>
      </c>
      <c r="CD451" s="3">
        <f>+IF(AVANCE[[#This Row],[ZOCALOS LOGIA]]=AP$2,100%,AVANCE[[#This Row],[ZOCALOS LOGIA]])</f>
        <v>0</v>
      </c>
      <c r="CE451" s="3">
        <f>+IF(AVANCE[[#This Row],[MOLDURAS]]=AQ$2,100%,AVANCE[[#This Row],[MOLDURAS]])</f>
        <v>0</v>
      </c>
      <c r="CF451" s="3">
        <f>+IF(AVANCE[[#This Row],[PILASTREO]]=AR$2,100%,AVANCE[[#This Row],[PILASTREO]])</f>
        <v>0</v>
      </c>
      <c r="CG451" s="3">
        <f>+IF(AVANCE[[#This Row],[CELOSIAS]]=AS$2,100%,AVANCE[[#This Row],[CELOSIAS]])</f>
        <v>0</v>
      </c>
      <c r="CH451" s="3">
        <f>+IF(AVANCE[[#This Row],[VENTANAS]]=AT$2,100%,AVANCE[[#This Row],[VENTANAS]])</f>
        <v>0</v>
      </c>
      <c r="CI451" s="3">
        <f>+IF(AVANCE[[#This Row],[PUERTAS ACCESO - LOGIA - BANO]]=AU$2,100%,AVANCE[[#This Row],[PUERTAS ACCESO - LOGIA - BANO]])</f>
        <v>0</v>
      </c>
      <c r="CJ451" s="3">
        <f>+IF(AVANCE[[#This Row],[CERRADURAS]]=AV$2,100%,AVANCE[[#This Row],[CERRADURAS]])</f>
        <v>0</v>
      </c>
      <c r="CK451" s="3">
        <f>+IF(AVANCE[[#This Row],[REVESTIMIENTO INTERIOR ZONA SECA]]=AW$2,100%,AVANCE[[#This Row],[REVESTIMIENTO INTERIOR ZONA SECA]])</f>
        <v>0</v>
      </c>
      <c r="CL451" s="3">
        <f>+IF(AVANCE[[#This Row],[REVESTIMIENTO INTERIOR ZONAS HUMEDAS]]=AX$2,100%,AVANCE[[#This Row],[REVESTIMIENTO INTERIOR ZONAS HUMEDAS]])</f>
        <v>0</v>
      </c>
      <c r="CM451" s="3">
        <f>+IF(AVANCE[[#This Row],[MEMBRANA CIELO]]=AY$2,100%,AVANCE[[#This Row],[MEMBRANA CIELO]])</f>
        <v>0</v>
      </c>
      <c r="CN451" s="3">
        <f>+IF(AVANCE[[#This Row],[LIMPIEZA FINAL]]=AZ$2,100%,AVANCE[[#This Row],[LIMPIEZA FINAL]])</f>
        <v>0</v>
      </c>
      <c r="CO451" s="3">
        <f>+IF(AVANCE[[#This Row],[PUERTAS DORMITORIO]]=BA$2,100%,AVANCE[[#This Row],[PUERTAS DORMITORIO]])</f>
        <v>0</v>
      </c>
      <c r="CP451" s="3">
        <f>+IF(AVANCE[[#This Row],[REVESTIMIENTO INTERIOR BANO]]=BB$2,100%,AVANCE[[#This Row],[REVESTIMIENTO INTERIOR BANO]])</f>
        <v>0</v>
      </c>
      <c r="CQ451" s="3">
        <f>+IF(AVANCE[[#This Row],[MUEBLE LAVAPLATOS]]=BC$2,100%,AVANCE[[#This Row],[MUEBLE LAVAPLATOS]])</f>
        <v>0</v>
      </c>
      <c r="CR451" s="3">
        <f>+IF(AVANCE[[#This Row],[IMPERMEABILIZACION BANO - COCINA LOGIA]]=BD$2,100%,AVANCE[[#This Row],[IMPERMEABILIZACION BANO - COCINA LOGIA]])</f>
        <v>0</v>
      </c>
      <c r="CS451" s="40">
        <f ca="1">+IF(AVANCE[[#This Row],[ESTADO MODULO]]="PENDIENTE",(TODAY()-AVANCE[[#This Row],[FECHA TERMINO  PLANIFICADO]]),0)</f>
        <v>0</v>
      </c>
      <c r="CT451" s="41" t="str" cm="1">
        <f t="array" ref="CT451">_xlfn.TEXTJOIN(" | ",TRUE,IF(SUMPRODUCT((BG451:CR451&lt;1)*(PARTIDAS!$I$2:$AT$2="OBRA GRUESA"))&gt;0,"OBRA GRUESA: "&amp;_xlfn.TEXTJOIN(", ",TRUE,IF((BG451:CR451&lt;1)*(PARTIDAS!$I$2:$AT$2="OBRA GRUESA"),PARTIDAS!$I$1:$AT$1,"")),""),IF(SUMPRODUCT((BG451:CR451&lt;1)*(PARTIDAS!$I$2:$AT$2="SANITARIOS"))&gt;0,"SANITARIOS: "&amp;_xlfn.TEXTJOIN(", ",TRUE,IF((BG451:CR451&lt;1)*(PARTIDAS!$I$2:$AT$2="SANITARIOS"),PARTIDAS!$I$1:$AT$1,"")),""),IF(SUMPRODUCT((BG451:CR451&lt;1)*(PARTIDAS!$I$2:$AT$2="ELÉCTRICO"))&gt;0,"ELÉCTRICO: "&amp;_xlfn.TEXTJOIN(", ",TRUE,IF((BG451:CR451&lt;1)*(PARTIDAS!$I$2:$AT$2="ELÉCTRICO"),PARTIDAS!$I$1:$AT$1,"")),""),IF(SUMPRODUCT((BG451:CR451&lt;1)*(PARTIDAS!$I$2:$AT$2="TERMINACIONES"))&gt;0,"TERMINACIONES: "&amp;_xlfn.TEXTJOIN(", ",TRUE,IF((BG451:CR451&lt;1)*(PARTIDAS!$I$2:$AT$2="TERMINACIONES"),PARTIDAS!$I$1:$AT$1,"")),""))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1" s="43" t="str" cm="1">
        <f t="array" ref="CU451">_xlfn.TEXTJOIN(", ",TRUE,IF(SUMPRODUCT((BG451:CR451&lt;1)*(PARTIDAS!$I$2:$AT$2="OBRA GRUESA"))&gt;0,"OBRA GRUESA",""),IF(SUMPRODUCT((BG451:CR451&lt;1)*(PARTIDAS!$I$2:$AT$2="SANITARIOS"))&gt;0,"SANITARIOS",""),IF(SUMPRODUCT((BG451:CR451&lt;1)*(PARTIDAS!$I$2:$AT$2="ELÉCTRICO"))&gt;0,"ELÉCTRICO",""),IF(SUMPRODUCT((BG451:CR451&lt;1)*(PARTIDAS!$I$2:$AT$2="TERMINACIONES"))&gt;0,"TERMINACIONES",""))</f>
        <v>OBRA GRUESA, SANITARIOS, ELÉCTRICO, TERMINACIONES</v>
      </c>
      <c r="CV451" s="44" cm="1">
        <f t="array" ref="CV451">SUMPRODUCT(--(BG451:CR451&lt;1))</f>
        <v>38</v>
      </c>
    </row>
    <row r="452" spans="1:100" hidden="1" x14ac:dyDescent="0.25">
      <c r="A452" t="s">
        <v>520</v>
      </c>
      <c r="B452" t="s">
        <v>523</v>
      </c>
      <c r="C452">
        <v>2302600451</v>
      </c>
      <c r="D452" t="s">
        <v>60</v>
      </c>
      <c r="E452" s="2">
        <v>0</v>
      </c>
      <c r="F452" s="1">
        <v>46363</v>
      </c>
      <c r="G452" s="1"/>
      <c r="H452" s="1">
        <v>0</v>
      </c>
      <c r="I452" s="1">
        <v>46393</v>
      </c>
      <c r="J452">
        <v>46230</v>
      </c>
      <c r="K452" s="1"/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>
        <v>31.32</v>
      </c>
      <c r="BF452" s="3" t="str">
        <f>+IF(AVANCE[[#This Row],[% AVANCE]]=100%,"MODULO TERMINADO",IF(AVANCE[[#This Row],[FECHA INICIO REAL]]="","MODULO NO INICIADO","PENDIENTE"))</f>
        <v>MODULO NO INICIADO</v>
      </c>
      <c r="BG452" s="3">
        <f>+IF(AVANCE[[#This Row],[VENTANAS]]=8.10810810810811%,100%,AVANCE[[#This Row],[VENTANAS]])</f>
        <v>0</v>
      </c>
      <c r="BH452" s="3">
        <f>+IF(AVANCE[[#This Row],[PISO]]=N$2,100%,AVANCE[[#This Row],[PISO]])</f>
        <v>0</v>
      </c>
      <c r="BI452" s="3">
        <f>+IF(AVANCE[[#This Row],[TABIQUES]]=O$2,100%,AVANCE[[#This Row],[TABIQUES]])</f>
        <v>0</v>
      </c>
      <c r="BJ452" s="3">
        <f>+IF(AVANCE[[#This Row],[MUROS]]=P$2,100%,AVANCE[[#This Row],[MUROS]])</f>
        <v>0</v>
      </c>
      <c r="BK452" s="3">
        <f>+IF(AVANCE[[#This Row],[CIELO]]=Q$2,100%,AVANCE[[#This Row],[CIELO]])</f>
        <v>0</v>
      </c>
      <c r="BL452" s="3">
        <f>+IF(AVANCE[[#This Row],[BALCÓN]]=R$2,100%,AVANCE[[#This Row],[BALCÓN]])</f>
        <v>0</v>
      </c>
      <c r="BM452" s="3">
        <f>+IF(AVANCE[[#This Row],[RED ALCANTARILLADO]]=U$2,100%,AVANCE[[#This Row],[RED ALCANTARILLADO]])</f>
        <v>0</v>
      </c>
      <c r="BN452" s="3">
        <f>+IF(AVANCE[[#This Row],[RED DE AGUA]]=V$2,100%,AVANCE[[#This Row],[RED DE AGUA]])</f>
        <v>0</v>
      </c>
      <c r="BO452" s="3">
        <f>+IF(AVANCE[[#This Row],[VENTILACIONES]]=W$2,100%,AVANCE[[#This Row],[VENTILACIONES]])</f>
        <v>0</v>
      </c>
      <c r="BP452" s="3">
        <f>+IF(AVANCE[[#This Row],[TINA]]=X$2,100%,AVANCE[[#This Row],[TINA]])</f>
        <v>0</v>
      </c>
      <c r="BQ452" s="3">
        <f>+IF(AVANCE[[#This Row],[WC]]=Y$2,100%,AVANCE[[#This Row],[WC]])</f>
        <v>0</v>
      </c>
      <c r="BR452" s="3">
        <f>+IF(AVANCE[[#This Row],[LAVAMANOS / LAVAPLATOS / LAVADERO]]=Z$2,100%,AVANCE[[#This Row],[LAVAMANOS / LAVAPLATOS / LAVADERO]])</f>
        <v>0</v>
      </c>
      <c r="BS452" s="3">
        <f>+IF(AVANCE[[#This Row],[CANALIZACIÓN]]=AC$2,100%,AVANCE[[#This Row],[CANALIZACIÓN]])</f>
        <v>0</v>
      </c>
      <c r="BT452" s="3">
        <f>+IF(AVANCE[[#This Row],[CABLEADO]]=AD$2,100%,AVANCE[[#This Row],[CABLEADO]])</f>
        <v>0</v>
      </c>
      <c r="BU452" s="3">
        <f>+IF(AVANCE[[#This Row],[ARTEFACTOS]]=AE$2,100%,AVANCE[[#This Row],[ARTEFACTOS]])</f>
        <v>0</v>
      </c>
      <c r="BV452" s="3">
        <f>+IF(AVANCE[[#This Row],[TABLERO]]=AF$2,100%,AVANCE[[#This Row],[TABLERO]])</f>
        <v>0</v>
      </c>
      <c r="BW452" s="3">
        <f>+IF(AVANCE[[#This Row],[CAJA PAU]]=AG$2,100%,AVANCE[[#This Row],[CAJA PAU]])</f>
        <v>0</v>
      </c>
      <c r="BX452" s="3">
        <f>+IF(AVANCE[[#This Row],[INSTALACION VINILICO]]=AJ$2,100%,AVANCE[[#This Row],[INSTALACION VINILICO]])</f>
        <v>0</v>
      </c>
      <c r="BY452" s="3">
        <f>+IF(AVANCE[[#This Row],[OSB CUBIERTA]]=AK$2,100%,AVANCE[[#This Row],[OSB CUBIERTA]])</f>
        <v>0</v>
      </c>
      <c r="BZ452" s="3">
        <f>+IF(AVANCE[[#This Row],[BARANDA BALCON]]=AL$2,100%,AVANCE[[#This Row],[BARANDA BALCON]])</f>
        <v>0</v>
      </c>
      <c r="CA452" s="3">
        <f>+IF(AVANCE[[#This Row],[OSB EXTERIOR]]=AM$2,100%,AVANCE[[#This Row],[OSB EXTERIOR]])</f>
        <v>0</v>
      </c>
      <c r="CB452" s="3">
        <f>+IF(AVANCE[[#This Row],[SMART PANEL]]=AN$2,100%,AVANCE[[#This Row],[SMART PANEL]])</f>
        <v>0</v>
      </c>
      <c r="CC452" s="3">
        <f>+IF(AVANCE[[#This Row],[PINTURA EXTERIOR]]=AO$2,100%,AVANCE[[#This Row],[PINTURA EXTERIOR]])</f>
        <v>0</v>
      </c>
      <c r="CD452" s="3">
        <f>+IF(AVANCE[[#This Row],[ZOCALOS LOGIA]]=AP$2,100%,AVANCE[[#This Row],[ZOCALOS LOGIA]])</f>
        <v>0</v>
      </c>
      <c r="CE452" s="3">
        <f>+IF(AVANCE[[#This Row],[MOLDURAS]]=AQ$2,100%,AVANCE[[#This Row],[MOLDURAS]])</f>
        <v>0</v>
      </c>
      <c r="CF452" s="3">
        <f>+IF(AVANCE[[#This Row],[PILASTREO]]=AR$2,100%,AVANCE[[#This Row],[PILASTREO]])</f>
        <v>0</v>
      </c>
      <c r="CG452" s="3">
        <f>+IF(AVANCE[[#This Row],[CELOSIAS]]=AS$2,100%,AVANCE[[#This Row],[CELOSIAS]])</f>
        <v>0</v>
      </c>
      <c r="CH452" s="3">
        <f>+IF(AVANCE[[#This Row],[VENTANAS]]=AT$2,100%,AVANCE[[#This Row],[VENTANAS]])</f>
        <v>0</v>
      </c>
      <c r="CI452" s="3">
        <f>+IF(AVANCE[[#This Row],[PUERTAS ACCESO - LOGIA - BANO]]=AU$2,100%,AVANCE[[#This Row],[PUERTAS ACCESO - LOGIA - BANO]])</f>
        <v>0</v>
      </c>
      <c r="CJ452" s="3">
        <f>+IF(AVANCE[[#This Row],[CERRADURAS]]=AV$2,100%,AVANCE[[#This Row],[CERRADURAS]])</f>
        <v>0</v>
      </c>
      <c r="CK452" s="3">
        <f>+IF(AVANCE[[#This Row],[REVESTIMIENTO INTERIOR ZONA SECA]]=AW$2,100%,AVANCE[[#This Row],[REVESTIMIENTO INTERIOR ZONA SECA]])</f>
        <v>0</v>
      </c>
      <c r="CL452" s="3">
        <f>+IF(AVANCE[[#This Row],[REVESTIMIENTO INTERIOR ZONAS HUMEDAS]]=AX$2,100%,AVANCE[[#This Row],[REVESTIMIENTO INTERIOR ZONAS HUMEDAS]])</f>
        <v>0</v>
      </c>
      <c r="CM452" s="3">
        <f>+IF(AVANCE[[#This Row],[MEMBRANA CIELO]]=AY$2,100%,AVANCE[[#This Row],[MEMBRANA CIELO]])</f>
        <v>0</v>
      </c>
      <c r="CN452" s="3">
        <f>+IF(AVANCE[[#This Row],[LIMPIEZA FINAL]]=AZ$2,100%,AVANCE[[#This Row],[LIMPIEZA FINAL]])</f>
        <v>0</v>
      </c>
      <c r="CO452" s="3">
        <f>+IF(AVANCE[[#This Row],[PUERTAS DORMITORIO]]=BA$2,100%,AVANCE[[#This Row],[PUERTAS DORMITORIO]])</f>
        <v>0</v>
      </c>
      <c r="CP452" s="3">
        <f>+IF(AVANCE[[#This Row],[REVESTIMIENTO INTERIOR BANO]]=BB$2,100%,AVANCE[[#This Row],[REVESTIMIENTO INTERIOR BANO]])</f>
        <v>0</v>
      </c>
      <c r="CQ452" s="3">
        <f>+IF(AVANCE[[#This Row],[MUEBLE LAVAPLATOS]]=BC$2,100%,AVANCE[[#This Row],[MUEBLE LAVAPLATOS]])</f>
        <v>0</v>
      </c>
      <c r="CR452" s="3">
        <f>+IF(AVANCE[[#This Row],[IMPERMEABILIZACION BANO - COCINA LOGIA]]=BD$2,100%,AVANCE[[#This Row],[IMPERMEABILIZACION BANO - COCINA LOGIA]])</f>
        <v>0</v>
      </c>
      <c r="CS452" s="40">
        <f ca="1">+IF(AVANCE[[#This Row],[ESTADO MODULO]]="PENDIENTE",(TODAY()-AVANCE[[#This Row],[FECHA TERMINO  PLANIFICADO]]),0)</f>
        <v>0</v>
      </c>
      <c r="CT452" s="41" t="str" cm="1">
        <f t="array" ref="CT452">_xlfn.TEXTJOIN(" | ",TRUE,IF(SUMPRODUCT((BG452:CR452&lt;1)*(PARTIDAS!$I$2:$AT$2="OBRA GRUESA"))&gt;0,"OBRA GRUESA: "&amp;_xlfn.TEXTJOIN(", ",TRUE,IF((BG452:CR452&lt;1)*(PARTIDAS!$I$2:$AT$2="OBRA GRUESA"),PARTIDAS!$I$1:$AT$1,"")),""),IF(SUMPRODUCT((BG452:CR452&lt;1)*(PARTIDAS!$I$2:$AT$2="SANITARIOS"))&gt;0,"SANITARIOS: "&amp;_xlfn.TEXTJOIN(", ",TRUE,IF((BG452:CR452&lt;1)*(PARTIDAS!$I$2:$AT$2="SANITARIOS"),PARTIDAS!$I$1:$AT$1,"")),""),IF(SUMPRODUCT((BG452:CR452&lt;1)*(PARTIDAS!$I$2:$AT$2="ELÉCTRICO"))&gt;0,"ELÉCTRICO: "&amp;_xlfn.TEXTJOIN(", ",TRUE,IF((BG452:CR452&lt;1)*(PARTIDAS!$I$2:$AT$2="ELÉCTRICO"),PARTIDAS!$I$1:$AT$1,"")),""),IF(SUMPRODUCT((BG452:CR452&lt;1)*(PARTIDAS!$I$2:$AT$2="TERMINACIONES"))&gt;0,"TERMINACIONES: "&amp;_xlfn.TEXTJOIN(", ",TRUE,IF((BG452:CR452&lt;1)*(PARTIDAS!$I$2:$AT$2="TERMINACIONES"),PARTIDAS!$I$1:$AT$1,"")),""))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2" s="43" t="str" cm="1">
        <f t="array" ref="CU452">_xlfn.TEXTJOIN(", ",TRUE,IF(SUMPRODUCT((BG452:CR452&lt;1)*(PARTIDAS!$I$2:$AT$2="OBRA GRUESA"))&gt;0,"OBRA GRUESA",""),IF(SUMPRODUCT((BG452:CR452&lt;1)*(PARTIDAS!$I$2:$AT$2="SANITARIOS"))&gt;0,"SANITARIOS",""),IF(SUMPRODUCT((BG452:CR452&lt;1)*(PARTIDAS!$I$2:$AT$2="ELÉCTRICO"))&gt;0,"ELÉCTRICO",""),IF(SUMPRODUCT((BG452:CR452&lt;1)*(PARTIDAS!$I$2:$AT$2="TERMINACIONES"))&gt;0,"TERMINACIONES",""))</f>
        <v>OBRA GRUESA, SANITARIOS, ELÉCTRICO, TERMINACIONES</v>
      </c>
      <c r="CV452" s="44" cm="1">
        <f t="array" ref="CV452">SUMPRODUCT(--(BG452:CR452&lt;1))</f>
        <v>38</v>
      </c>
    </row>
    <row r="453" spans="1:100" hidden="1" x14ac:dyDescent="0.25">
      <c r="A453" t="s">
        <v>520</v>
      </c>
      <c r="B453" t="s">
        <v>524</v>
      </c>
      <c r="C453">
        <v>2282600452</v>
      </c>
      <c r="D453" t="s">
        <v>58</v>
      </c>
      <c r="E453" s="2">
        <v>0</v>
      </c>
      <c r="F453" s="1">
        <v>46365</v>
      </c>
      <c r="G453" s="1"/>
      <c r="H453" s="1">
        <v>0</v>
      </c>
      <c r="I453" s="1">
        <v>46385</v>
      </c>
      <c r="J453">
        <v>46230</v>
      </c>
      <c r="K453" s="1"/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>
        <v>28.87</v>
      </c>
      <c r="BF453" s="3" t="str">
        <f>+IF(AVANCE[[#This Row],[% AVANCE]]=100%,"MODULO TERMINADO",IF(AVANCE[[#This Row],[FECHA INICIO REAL]]="","MODULO NO INICIADO","PENDIENTE"))</f>
        <v>MODULO NO INICIADO</v>
      </c>
      <c r="BG453" s="3">
        <f>+IF(AVANCE[[#This Row],[VENTANAS]]=8.10810810810811%,100%,AVANCE[[#This Row],[VENTANAS]])</f>
        <v>0</v>
      </c>
      <c r="BH453" s="3">
        <f>+IF(AVANCE[[#This Row],[PISO]]=N$2,100%,AVANCE[[#This Row],[PISO]])</f>
        <v>0</v>
      </c>
      <c r="BI453" s="3">
        <f>+IF(AVANCE[[#This Row],[TABIQUES]]=O$2,100%,AVANCE[[#This Row],[TABIQUES]])</f>
        <v>0</v>
      </c>
      <c r="BJ453" s="3">
        <f>+IF(AVANCE[[#This Row],[MUROS]]=P$2,100%,AVANCE[[#This Row],[MUROS]])</f>
        <v>0</v>
      </c>
      <c r="BK453" s="3">
        <f>+IF(AVANCE[[#This Row],[CIELO]]=Q$2,100%,AVANCE[[#This Row],[CIELO]])</f>
        <v>0</v>
      </c>
      <c r="BL453" s="3">
        <f>+IF(AVANCE[[#This Row],[BALCÓN]]=R$2,100%,AVANCE[[#This Row],[BALCÓN]])</f>
        <v>0</v>
      </c>
      <c r="BM453" s="3">
        <f>+IF(AVANCE[[#This Row],[RED ALCANTARILLADO]]=U$2,100%,AVANCE[[#This Row],[RED ALCANTARILLADO]])</f>
        <v>0</v>
      </c>
      <c r="BN453" s="3">
        <f>+IF(AVANCE[[#This Row],[RED DE AGUA]]=V$2,100%,AVANCE[[#This Row],[RED DE AGUA]])</f>
        <v>0</v>
      </c>
      <c r="BO453" s="3">
        <f>+IF(AVANCE[[#This Row],[VENTILACIONES]]=W$2,100%,AVANCE[[#This Row],[VENTILACIONES]])</f>
        <v>0</v>
      </c>
      <c r="BP453" s="3">
        <f>+IF(AVANCE[[#This Row],[TINA]]=X$2,100%,AVANCE[[#This Row],[TINA]])</f>
        <v>0</v>
      </c>
      <c r="BQ453" s="3">
        <f>+IF(AVANCE[[#This Row],[WC]]=Y$2,100%,AVANCE[[#This Row],[WC]])</f>
        <v>0</v>
      </c>
      <c r="BR453" s="3">
        <f>+IF(AVANCE[[#This Row],[LAVAMANOS / LAVAPLATOS / LAVADERO]]=Z$2,100%,AVANCE[[#This Row],[LAVAMANOS / LAVAPLATOS / LAVADERO]])</f>
        <v>0</v>
      </c>
      <c r="BS453" s="3">
        <f>+IF(AVANCE[[#This Row],[CANALIZACIÓN]]=AC$2,100%,AVANCE[[#This Row],[CANALIZACIÓN]])</f>
        <v>0</v>
      </c>
      <c r="BT453" s="3">
        <f>+IF(AVANCE[[#This Row],[CABLEADO]]=AD$2,100%,AVANCE[[#This Row],[CABLEADO]])</f>
        <v>0</v>
      </c>
      <c r="BU453" s="3">
        <f>+IF(AVANCE[[#This Row],[ARTEFACTOS]]=AE$2,100%,AVANCE[[#This Row],[ARTEFACTOS]])</f>
        <v>0</v>
      </c>
      <c r="BV453" s="3">
        <f>+IF(AVANCE[[#This Row],[TABLERO]]=AF$2,100%,AVANCE[[#This Row],[TABLERO]])</f>
        <v>0</v>
      </c>
      <c r="BW453" s="3">
        <f>+IF(AVANCE[[#This Row],[CAJA PAU]]=AG$2,100%,AVANCE[[#This Row],[CAJA PAU]])</f>
        <v>0</v>
      </c>
      <c r="BX453" s="3">
        <f>+IF(AVANCE[[#This Row],[INSTALACION VINILICO]]=AJ$2,100%,AVANCE[[#This Row],[INSTALACION VINILICO]])</f>
        <v>0</v>
      </c>
      <c r="BY453" s="3">
        <f>+IF(AVANCE[[#This Row],[OSB CUBIERTA]]=AK$2,100%,AVANCE[[#This Row],[OSB CUBIERTA]])</f>
        <v>0</v>
      </c>
      <c r="BZ453" s="3">
        <f>+IF(AVANCE[[#This Row],[BARANDA BALCON]]=AL$2,100%,AVANCE[[#This Row],[BARANDA BALCON]])</f>
        <v>0</v>
      </c>
      <c r="CA453" s="3">
        <f>+IF(AVANCE[[#This Row],[OSB EXTERIOR]]=AM$2,100%,AVANCE[[#This Row],[OSB EXTERIOR]])</f>
        <v>0</v>
      </c>
      <c r="CB453" s="3">
        <f>+IF(AVANCE[[#This Row],[SMART PANEL]]=AN$2,100%,AVANCE[[#This Row],[SMART PANEL]])</f>
        <v>0</v>
      </c>
      <c r="CC453" s="3">
        <f>+IF(AVANCE[[#This Row],[PINTURA EXTERIOR]]=AO$2,100%,AVANCE[[#This Row],[PINTURA EXTERIOR]])</f>
        <v>0</v>
      </c>
      <c r="CD453" s="3">
        <f>+IF(AVANCE[[#This Row],[ZOCALOS LOGIA]]=AP$2,100%,AVANCE[[#This Row],[ZOCALOS LOGIA]])</f>
        <v>0</v>
      </c>
      <c r="CE453" s="3">
        <f>+IF(AVANCE[[#This Row],[MOLDURAS]]=AQ$2,100%,AVANCE[[#This Row],[MOLDURAS]])</f>
        <v>0</v>
      </c>
      <c r="CF453" s="3">
        <f>+IF(AVANCE[[#This Row],[PILASTREO]]=AR$2,100%,AVANCE[[#This Row],[PILASTREO]])</f>
        <v>0</v>
      </c>
      <c r="CG453" s="3">
        <f>+IF(AVANCE[[#This Row],[CELOSIAS]]=AS$2,100%,AVANCE[[#This Row],[CELOSIAS]])</f>
        <v>0</v>
      </c>
      <c r="CH453" s="3">
        <f>+IF(AVANCE[[#This Row],[VENTANAS]]=AT$2,100%,AVANCE[[#This Row],[VENTANAS]])</f>
        <v>0</v>
      </c>
      <c r="CI453" s="3">
        <f>+IF(AVANCE[[#This Row],[PUERTAS ACCESO - LOGIA - BANO]]=AU$2,100%,AVANCE[[#This Row],[PUERTAS ACCESO - LOGIA - BANO]])</f>
        <v>0</v>
      </c>
      <c r="CJ453" s="3">
        <f>+IF(AVANCE[[#This Row],[CERRADURAS]]=AV$2,100%,AVANCE[[#This Row],[CERRADURAS]])</f>
        <v>0</v>
      </c>
      <c r="CK453" s="3">
        <f>+IF(AVANCE[[#This Row],[REVESTIMIENTO INTERIOR ZONA SECA]]=AW$2,100%,AVANCE[[#This Row],[REVESTIMIENTO INTERIOR ZONA SECA]])</f>
        <v>0</v>
      </c>
      <c r="CL453" s="3">
        <f>+IF(AVANCE[[#This Row],[REVESTIMIENTO INTERIOR ZONAS HUMEDAS]]=AX$2,100%,AVANCE[[#This Row],[REVESTIMIENTO INTERIOR ZONAS HUMEDAS]])</f>
        <v>0</v>
      </c>
      <c r="CM453" s="3">
        <f>+IF(AVANCE[[#This Row],[MEMBRANA CIELO]]=AY$2,100%,AVANCE[[#This Row],[MEMBRANA CIELO]])</f>
        <v>0</v>
      </c>
      <c r="CN453" s="3">
        <f>+IF(AVANCE[[#This Row],[LIMPIEZA FINAL]]=AZ$2,100%,AVANCE[[#This Row],[LIMPIEZA FINAL]])</f>
        <v>0</v>
      </c>
      <c r="CO453" s="3">
        <f>+IF(AVANCE[[#This Row],[PUERTAS DORMITORIO]]=BA$2,100%,AVANCE[[#This Row],[PUERTAS DORMITORIO]])</f>
        <v>0</v>
      </c>
      <c r="CP453" s="3">
        <f>+IF(AVANCE[[#This Row],[REVESTIMIENTO INTERIOR BANO]]=BB$2,100%,AVANCE[[#This Row],[REVESTIMIENTO INTERIOR BANO]])</f>
        <v>0</v>
      </c>
      <c r="CQ453" s="3">
        <f>+IF(AVANCE[[#This Row],[MUEBLE LAVAPLATOS]]=BC$2,100%,AVANCE[[#This Row],[MUEBLE LAVAPLATOS]])</f>
        <v>0</v>
      </c>
      <c r="CR453" s="3">
        <f>+IF(AVANCE[[#This Row],[IMPERMEABILIZACION BANO - COCINA LOGIA]]=BD$2,100%,AVANCE[[#This Row],[IMPERMEABILIZACION BANO - COCINA LOGIA]])</f>
        <v>0</v>
      </c>
      <c r="CS453" s="40">
        <f ca="1">+IF(AVANCE[[#This Row],[ESTADO MODULO]]="PENDIENTE",(TODAY()-AVANCE[[#This Row],[FECHA TERMINO  PLANIFICADO]]),0)</f>
        <v>0</v>
      </c>
      <c r="CT453" s="41" t="str" cm="1">
        <f t="array" ref="CT453">_xlfn.TEXTJOIN(" | ",TRUE,IF(SUMPRODUCT((BG453:CR453&lt;1)*(PARTIDAS!$I$2:$AT$2="OBRA GRUESA"))&gt;0,"OBRA GRUESA: "&amp;_xlfn.TEXTJOIN(", ",TRUE,IF((BG453:CR453&lt;1)*(PARTIDAS!$I$2:$AT$2="OBRA GRUESA"),PARTIDAS!$I$1:$AT$1,"")),""),IF(SUMPRODUCT((BG453:CR453&lt;1)*(PARTIDAS!$I$2:$AT$2="SANITARIOS"))&gt;0,"SANITARIOS: "&amp;_xlfn.TEXTJOIN(", ",TRUE,IF((BG453:CR453&lt;1)*(PARTIDAS!$I$2:$AT$2="SANITARIOS"),PARTIDAS!$I$1:$AT$1,"")),""),IF(SUMPRODUCT((BG453:CR453&lt;1)*(PARTIDAS!$I$2:$AT$2="ELÉCTRICO"))&gt;0,"ELÉCTRICO: "&amp;_xlfn.TEXTJOIN(", ",TRUE,IF((BG453:CR453&lt;1)*(PARTIDAS!$I$2:$AT$2="ELÉCTRICO"),PARTIDAS!$I$1:$AT$1,"")),""),IF(SUMPRODUCT((BG453:CR453&lt;1)*(PARTIDAS!$I$2:$AT$2="TERMINACIONES"))&gt;0,"TERMINACIONES: "&amp;_xlfn.TEXTJOIN(", ",TRUE,IF((BG453:CR453&lt;1)*(PARTIDAS!$I$2:$AT$2="TERMINACIONES"),PARTIDAS!$I$1:$AT$1,"")),""))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3" s="43" t="str" cm="1">
        <f t="array" ref="CU453">_xlfn.TEXTJOIN(", ",TRUE,IF(SUMPRODUCT((BG453:CR453&lt;1)*(PARTIDAS!$I$2:$AT$2="OBRA GRUESA"))&gt;0,"OBRA GRUESA",""),IF(SUMPRODUCT((BG453:CR453&lt;1)*(PARTIDAS!$I$2:$AT$2="SANITARIOS"))&gt;0,"SANITARIOS",""),IF(SUMPRODUCT((BG453:CR453&lt;1)*(PARTIDAS!$I$2:$AT$2="ELÉCTRICO"))&gt;0,"ELÉCTRICO",""),IF(SUMPRODUCT((BG453:CR453&lt;1)*(PARTIDAS!$I$2:$AT$2="TERMINACIONES"))&gt;0,"TERMINACIONES",""))</f>
        <v>OBRA GRUESA, SANITARIOS, ELÉCTRICO, TERMINACIONES</v>
      </c>
      <c r="CV453" s="44" cm="1">
        <f t="array" ref="CV453">SUMPRODUCT(--(BG453:CR453&lt;1))</f>
        <v>38</v>
      </c>
    </row>
    <row r="454" spans="1:100" hidden="1" x14ac:dyDescent="0.25">
      <c r="A454" t="s">
        <v>520</v>
      </c>
      <c r="B454" t="s">
        <v>525</v>
      </c>
      <c r="C454">
        <v>2282600453</v>
      </c>
      <c r="D454" t="s">
        <v>58</v>
      </c>
      <c r="E454" s="2">
        <v>0</v>
      </c>
      <c r="F454" s="1">
        <v>46365</v>
      </c>
      <c r="G454" s="1"/>
      <c r="H454" s="1">
        <v>0</v>
      </c>
      <c r="I454" s="1">
        <v>46385</v>
      </c>
      <c r="J454">
        <v>46230</v>
      </c>
      <c r="K454" s="1"/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>
        <v>28.87</v>
      </c>
      <c r="BF454" s="3" t="str">
        <f>+IF(AVANCE[[#This Row],[% AVANCE]]=100%,"MODULO TERMINADO",IF(AVANCE[[#This Row],[FECHA INICIO REAL]]="","MODULO NO INICIADO","PENDIENTE"))</f>
        <v>MODULO NO INICIADO</v>
      </c>
      <c r="BG454" s="3">
        <f>+IF(AVANCE[[#This Row],[VENTANAS]]=8.10810810810811%,100%,AVANCE[[#This Row],[VENTANAS]])</f>
        <v>0</v>
      </c>
      <c r="BH454" s="3">
        <f>+IF(AVANCE[[#This Row],[PISO]]=N$2,100%,AVANCE[[#This Row],[PISO]])</f>
        <v>0</v>
      </c>
      <c r="BI454" s="3">
        <f>+IF(AVANCE[[#This Row],[TABIQUES]]=O$2,100%,AVANCE[[#This Row],[TABIQUES]])</f>
        <v>0</v>
      </c>
      <c r="BJ454" s="3">
        <f>+IF(AVANCE[[#This Row],[MUROS]]=P$2,100%,AVANCE[[#This Row],[MUROS]])</f>
        <v>0</v>
      </c>
      <c r="BK454" s="3">
        <f>+IF(AVANCE[[#This Row],[CIELO]]=Q$2,100%,AVANCE[[#This Row],[CIELO]])</f>
        <v>0</v>
      </c>
      <c r="BL454" s="3">
        <f>+IF(AVANCE[[#This Row],[BALCÓN]]=R$2,100%,AVANCE[[#This Row],[BALCÓN]])</f>
        <v>0</v>
      </c>
      <c r="BM454" s="3">
        <f>+IF(AVANCE[[#This Row],[RED ALCANTARILLADO]]=U$2,100%,AVANCE[[#This Row],[RED ALCANTARILLADO]])</f>
        <v>0</v>
      </c>
      <c r="BN454" s="3">
        <f>+IF(AVANCE[[#This Row],[RED DE AGUA]]=V$2,100%,AVANCE[[#This Row],[RED DE AGUA]])</f>
        <v>0</v>
      </c>
      <c r="BO454" s="3">
        <f>+IF(AVANCE[[#This Row],[VENTILACIONES]]=W$2,100%,AVANCE[[#This Row],[VENTILACIONES]])</f>
        <v>0</v>
      </c>
      <c r="BP454" s="3">
        <f>+IF(AVANCE[[#This Row],[TINA]]=X$2,100%,AVANCE[[#This Row],[TINA]])</f>
        <v>0</v>
      </c>
      <c r="BQ454" s="3">
        <f>+IF(AVANCE[[#This Row],[WC]]=Y$2,100%,AVANCE[[#This Row],[WC]])</f>
        <v>0</v>
      </c>
      <c r="BR454" s="3">
        <f>+IF(AVANCE[[#This Row],[LAVAMANOS / LAVAPLATOS / LAVADERO]]=Z$2,100%,AVANCE[[#This Row],[LAVAMANOS / LAVAPLATOS / LAVADERO]])</f>
        <v>0</v>
      </c>
      <c r="BS454" s="3">
        <f>+IF(AVANCE[[#This Row],[CANALIZACIÓN]]=AC$2,100%,AVANCE[[#This Row],[CANALIZACIÓN]])</f>
        <v>0</v>
      </c>
      <c r="BT454" s="3">
        <f>+IF(AVANCE[[#This Row],[CABLEADO]]=AD$2,100%,AVANCE[[#This Row],[CABLEADO]])</f>
        <v>0</v>
      </c>
      <c r="BU454" s="3">
        <f>+IF(AVANCE[[#This Row],[ARTEFACTOS]]=AE$2,100%,AVANCE[[#This Row],[ARTEFACTOS]])</f>
        <v>0</v>
      </c>
      <c r="BV454" s="3">
        <f>+IF(AVANCE[[#This Row],[TABLERO]]=AF$2,100%,AVANCE[[#This Row],[TABLERO]])</f>
        <v>0</v>
      </c>
      <c r="BW454" s="3">
        <f>+IF(AVANCE[[#This Row],[CAJA PAU]]=AG$2,100%,AVANCE[[#This Row],[CAJA PAU]])</f>
        <v>0</v>
      </c>
      <c r="BX454" s="3">
        <f>+IF(AVANCE[[#This Row],[INSTALACION VINILICO]]=AJ$2,100%,AVANCE[[#This Row],[INSTALACION VINILICO]])</f>
        <v>0</v>
      </c>
      <c r="BY454" s="3">
        <f>+IF(AVANCE[[#This Row],[OSB CUBIERTA]]=AK$2,100%,AVANCE[[#This Row],[OSB CUBIERTA]])</f>
        <v>0</v>
      </c>
      <c r="BZ454" s="3">
        <f>+IF(AVANCE[[#This Row],[BARANDA BALCON]]=AL$2,100%,AVANCE[[#This Row],[BARANDA BALCON]])</f>
        <v>0</v>
      </c>
      <c r="CA454" s="3">
        <f>+IF(AVANCE[[#This Row],[OSB EXTERIOR]]=AM$2,100%,AVANCE[[#This Row],[OSB EXTERIOR]])</f>
        <v>0</v>
      </c>
      <c r="CB454" s="3">
        <f>+IF(AVANCE[[#This Row],[SMART PANEL]]=AN$2,100%,AVANCE[[#This Row],[SMART PANEL]])</f>
        <v>0</v>
      </c>
      <c r="CC454" s="3">
        <f>+IF(AVANCE[[#This Row],[PINTURA EXTERIOR]]=AO$2,100%,AVANCE[[#This Row],[PINTURA EXTERIOR]])</f>
        <v>0</v>
      </c>
      <c r="CD454" s="3">
        <f>+IF(AVANCE[[#This Row],[ZOCALOS LOGIA]]=AP$2,100%,AVANCE[[#This Row],[ZOCALOS LOGIA]])</f>
        <v>0</v>
      </c>
      <c r="CE454" s="3">
        <f>+IF(AVANCE[[#This Row],[MOLDURAS]]=AQ$2,100%,AVANCE[[#This Row],[MOLDURAS]])</f>
        <v>0</v>
      </c>
      <c r="CF454" s="3">
        <f>+IF(AVANCE[[#This Row],[PILASTREO]]=AR$2,100%,AVANCE[[#This Row],[PILASTREO]])</f>
        <v>0</v>
      </c>
      <c r="CG454" s="3">
        <f>+IF(AVANCE[[#This Row],[CELOSIAS]]=AS$2,100%,AVANCE[[#This Row],[CELOSIAS]])</f>
        <v>0</v>
      </c>
      <c r="CH454" s="3">
        <f>+IF(AVANCE[[#This Row],[VENTANAS]]=AT$2,100%,AVANCE[[#This Row],[VENTANAS]])</f>
        <v>0</v>
      </c>
      <c r="CI454" s="3">
        <f>+IF(AVANCE[[#This Row],[PUERTAS ACCESO - LOGIA - BANO]]=AU$2,100%,AVANCE[[#This Row],[PUERTAS ACCESO - LOGIA - BANO]])</f>
        <v>0</v>
      </c>
      <c r="CJ454" s="3">
        <f>+IF(AVANCE[[#This Row],[CERRADURAS]]=AV$2,100%,AVANCE[[#This Row],[CERRADURAS]])</f>
        <v>0</v>
      </c>
      <c r="CK454" s="3">
        <f>+IF(AVANCE[[#This Row],[REVESTIMIENTO INTERIOR ZONA SECA]]=AW$2,100%,AVANCE[[#This Row],[REVESTIMIENTO INTERIOR ZONA SECA]])</f>
        <v>0</v>
      </c>
      <c r="CL454" s="3">
        <f>+IF(AVANCE[[#This Row],[REVESTIMIENTO INTERIOR ZONAS HUMEDAS]]=AX$2,100%,AVANCE[[#This Row],[REVESTIMIENTO INTERIOR ZONAS HUMEDAS]])</f>
        <v>0</v>
      </c>
      <c r="CM454" s="3">
        <f>+IF(AVANCE[[#This Row],[MEMBRANA CIELO]]=AY$2,100%,AVANCE[[#This Row],[MEMBRANA CIELO]])</f>
        <v>0</v>
      </c>
      <c r="CN454" s="3">
        <f>+IF(AVANCE[[#This Row],[LIMPIEZA FINAL]]=AZ$2,100%,AVANCE[[#This Row],[LIMPIEZA FINAL]])</f>
        <v>0</v>
      </c>
      <c r="CO454" s="3">
        <f>+IF(AVANCE[[#This Row],[PUERTAS DORMITORIO]]=BA$2,100%,AVANCE[[#This Row],[PUERTAS DORMITORIO]])</f>
        <v>0</v>
      </c>
      <c r="CP454" s="3">
        <f>+IF(AVANCE[[#This Row],[REVESTIMIENTO INTERIOR BANO]]=BB$2,100%,AVANCE[[#This Row],[REVESTIMIENTO INTERIOR BANO]])</f>
        <v>0</v>
      </c>
      <c r="CQ454" s="3">
        <f>+IF(AVANCE[[#This Row],[MUEBLE LAVAPLATOS]]=BC$2,100%,AVANCE[[#This Row],[MUEBLE LAVAPLATOS]])</f>
        <v>0</v>
      </c>
      <c r="CR454" s="3">
        <f>+IF(AVANCE[[#This Row],[IMPERMEABILIZACION BANO - COCINA LOGIA]]=BD$2,100%,AVANCE[[#This Row],[IMPERMEABILIZACION BANO - COCINA LOGIA]])</f>
        <v>0</v>
      </c>
      <c r="CS454" s="40">
        <f ca="1">+IF(AVANCE[[#This Row],[ESTADO MODULO]]="PENDIENTE",(TODAY()-AVANCE[[#This Row],[FECHA TERMINO  PLANIFICADO]]),0)</f>
        <v>0</v>
      </c>
      <c r="CT454" s="41" t="str" cm="1">
        <f t="array" ref="CT454">_xlfn.TEXTJOIN(" | ",TRUE,IF(SUMPRODUCT((BG454:CR454&lt;1)*(PARTIDAS!$I$2:$AT$2="OBRA GRUESA"))&gt;0,"OBRA GRUESA: "&amp;_xlfn.TEXTJOIN(", ",TRUE,IF((BG454:CR454&lt;1)*(PARTIDAS!$I$2:$AT$2="OBRA GRUESA"),PARTIDAS!$I$1:$AT$1,"")),""),IF(SUMPRODUCT((BG454:CR454&lt;1)*(PARTIDAS!$I$2:$AT$2="SANITARIOS"))&gt;0,"SANITARIOS: "&amp;_xlfn.TEXTJOIN(", ",TRUE,IF((BG454:CR454&lt;1)*(PARTIDAS!$I$2:$AT$2="SANITARIOS"),PARTIDAS!$I$1:$AT$1,"")),""),IF(SUMPRODUCT((BG454:CR454&lt;1)*(PARTIDAS!$I$2:$AT$2="ELÉCTRICO"))&gt;0,"ELÉCTRICO: "&amp;_xlfn.TEXTJOIN(", ",TRUE,IF((BG454:CR454&lt;1)*(PARTIDAS!$I$2:$AT$2="ELÉCTRICO"),PARTIDAS!$I$1:$AT$1,"")),""),IF(SUMPRODUCT((BG454:CR454&lt;1)*(PARTIDAS!$I$2:$AT$2="TERMINACIONES"))&gt;0,"TERMINACIONES: "&amp;_xlfn.TEXTJOIN(", ",TRUE,IF((BG454:CR454&lt;1)*(PARTIDAS!$I$2:$AT$2="TERMINACIONES"),PARTIDAS!$I$1:$AT$1,"")),""))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4" s="43" t="str" cm="1">
        <f t="array" ref="CU454">_xlfn.TEXTJOIN(", ",TRUE,IF(SUMPRODUCT((BG454:CR454&lt;1)*(PARTIDAS!$I$2:$AT$2="OBRA GRUESA"))&gt;0,"OBRA GRUESA",""),IF(SUMPRODUCT((BG454:CR454&lt;1)*(PARTIDAS!$I$2:$AT$2="SANITARIOS"))&gt;0,"SANITARIOS",""),IF(SUMPRODUCT((BG454:CR454&lt;1)*(PARTIDAS!$I$2:$AT$2="ELÉCTRICO"))&gt;0,"ELÉCTRICO",""),IF(SUMPRODUCT((BG454:CR454&lt;1)*(PARTIDAS!$I$2:$AT$2="TERMINACIONES"))&gt;0,"TERMINACIONES",""))</f>
        <v>OBRA GRUESA, SANITARIOS, ELÉCTRICO, TERMINACIONES</v>
      </c>
      <c r="CV454" s="44" cm="1">
        <f t="array" ref="CV454">SUMPRODUCT(--(BG454:CR454&lt;1))</f>
        <v>38</v>
      </c>
    </row>
    <row r="455" spans="1:100" hidden="1" x14ac:dyDescent="0.25">
      <c r="A455" t="s">
        <v>520</v>
      </c>
      <c r="B455" t="s">
        <v>526</v>
      </c>
      <c r="C455">
        <v>2302600454</v>
      </c>
      <c r="D455" t="s">
        <v>60</v>
      </c>
      <c r="E455" s="2">
        <v>0</v>
      </c>
      <c r="F455" s="1">
        <v>46365</v>
      </c>
      <c r="G455" s="1"/>
      <c r="H455" s="1">
        <v>0</v>
      </c>
      <c r="I455" s="1">
        <v>46395</v>
      </c>
      <c r="J455">
        <v>46230</v>
      </c>
      <c r="K455" s="1"/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>
        <v>31.32</v>
      </c>
      <c r="BF455" s="3" t="str">
        <f>+IF(AVANCE[[#This Row],[% AVANCE]]=100%,"MODULO TERMINADO",IF(AVANCE[[#This Row],[FECHA INICIO REAL]]="","MODULO NO INICIADO","PENDIENTE"))</f>
        <v>MODULO NO INICIADO</v>
      </c>
      <c r="BG455" s="3">
        <f>+IF(AVANCE[[#This Row],[VENTANAS]]=8.10810810810811%,100%,AVANCE[[#This Row],[VENTANAS]])</f>
        <v>0</v>
      </c>
      <c r="BH455" s="3">
        <f>+IF(AVANCE[[#This Row],[PISO]]=N$2,100%,AVANCE[[#This Row],[PISO]])</f>
        <v>0</v>
      </c>
      <c r="BI455" s="3">
        <f>+IF(AVANCE[[#This Row],[TABIQUES]]=O$2,100%,AVANCE[[#This Row],[TABIQUES]])</f>
        <v>0</v>
      </c>
      <c r="BJ455" s="3">
        <f>+IF(AVANCE[[#This Row],[MUROS]]=P$2,100%,AVANCE[[#This Row],[MUROS]])</f>
        <v>0</v>
      </c>
      <c r="BK455" s="3">
        <f>+IF(AVANCE[[#This Row],[CIELO]]=Q$2,100%,AVANCE[[#This Row],[CIELO]])</f>
        <v>0</v>
      </c>
      <c r="BL455" s="3">
        <f>+IF(AVANCE[[#This Row],[BALCÓN]]=R$2,100%,AVANCE[[#This Row],[BALCÓN]])</f>
        <v>0</v>
      </c>
      <c r="BM455" s="3">
        <f>+IF(AVANCE[[#This Row],[RED ALCANTARILLADO]]=U$2,100%,AVANCE[[#This Row],[RED ALCANTARILLADO]])</f>
        <v>0</v>
      </c>
      <c r="BN455" s="3">
        <f>+IF(AVANCE[[#This Row],[RED DE AGUA]]=V$2,100%,AVANCE[[#This Row],[RED DE AGUA]])</f>
        <v>0</v>
      </c>
      <c r="BO455" s="3">
        <f>+IF(AVANCE[[#This Row],[VENTILACIONES]]=W$2,100%,AVANCE[[#This Row],[VENTILACIONES]])</f>
        <v>0</v>
      </c>
      <c r="BP455" s="3">
        <f>+IF(AVANCE[[#This Row],[TINA]]=X$2,100%,AVANCE[[#This Row],[TINA]])</f>
        <v>0</v>
      </c>
      <c r="BQ455" s="3">
        <f>+IF(AVANCE[[#This Row],[WC]]=Y$2,100%,AVANCE[[#This Row],[WC]])</f>
        <v>0</v>
      </c>
      <c r="BR455" s="3">
        <f>+IF(AVANCE[[#This Row],[LAVAMANOS / LAVAPLATOS / LAVADERO]]=Z$2,100%,AVANCE[[#This Row],[LAVAMANOS / LAVAPLATOS / LAVADERO]])</f>
        <v>0</v>
      </c>
      <c r="BS455" s="3">
        <f>+IF(AVANCE[[#This Row],[CANALIZACIÓN]]=AC$2,100%,AVANCE[[#This Row],[CANALIZACIÓN]])</f>
        <v>0</v>
      </c>
      <c r="BT455" s="3">
        <f>+IF(AVANCE[[#This Row],[CABLEADO]]=AD$2,100%,AVANCE[[#This Row],[CABLEADO]])</f>
        <v>0</v>
      </c>
      <c r="BU455" s="3">
        <f>+IF(AVANCE[[#This Row],[ARTEFACTOS]]=AE$2,100%,AVANCE[[#This Row],[ARTEFACTOS]])</f>
        <v>0</v>
      </c>
      <c r="BV455" s="3">
        <f>+IF(AVANCE[[#This Row],[TABLERO]]=AF$2,100%,AVANCE[[#This Row],[TABLERO]])</f>
        <v>0</v>
      </c>
      <c r="BW455" s="3">
        <f>+IF(AVANCE[[#This Row],[CAJA PAU]]=AG$2,100%,AVANCE[[#This Row],[CAJA PAU]])</f>
        <v>0</v>
      </c>
      <c r="BX455" s="3">
        <f>+IF(AVANCE[[#This Row],[INSTALACION VINILICO]]=AJ$2,100%,AVANCE[[#This Row],[INSTALACION VINILICO]])</f>
        <v>0</v>
      </c>
      <c r="BY455" s="3">
        <f>+IF(AVANCE[[#This Row],[OSB CUBIERTA]]=AK$2,100%,AVANCE[[#This Row],[OSB CUBIERTA]])</f>
        <v>0</v>
      </c>
      <c r="BZ455" s="3">
        <f>+IF(AVANCE[[#This Row],[BARANDA BALCON]]=AL$2,100%,AVANCE[[#This Row],[BARANDA BALCON]])</f>
        <v>0</v>
      </c>
      <c r="CA455" s="3">
        <f>+IF(AVANCE[[#This Row],[OSB EXTERIOR]]=AM$2,100%,AVANCE[[#This Row],[OSB EXTERIOR]])</f>
        <v>0</v>
      </c>
      <c r="CB455" s="3">
        <f>+IF(AVANCE[[#This Row],[SMART PANEL]]=AN$2,100%,AVANCE[[#This Row],[SMART PANEL]])</f>
        <v>0</v>
      </c>
      <c r="CC455" s="3">
        <f>+IF(AVANCE[[#This Row],[PINTURA EXTERIOR]]=AO$2,100%,AVANCE[[#This Row],[PINTURA EXTERIOR]])</f>
        <v>0</v>
      </c>
      <c r="CD455" s="3">
        <f>+IF(AVANCE[[#This Row],[ZOCALOS LOGIA]]=AP$2,100%,AVANCE[[#This Row],[ZOCALOS LOGIA]])</f>
        <v>0</v>
      </c>
      <c r="CE455" s="3">
        <f>+IF(AVANCE[[#This Row],[MOLDURAS]]=AQ$2,100%,AVANCE[[#This Row],[MOLDURAS]])</f>
        <v>0</v>
      </c>
      <c r="CF455" s="3">
        <f>+IF(AVANCE[[#This Row],[PILASTREO]]=AR$2,100%,AVANCE[[#This Row],[PILASTREO]])</f>
        <v>0</v>
      </c>
      <c r="CG455" s="3">
        <f>+IF(AVANCE[[#This Row],[CELOSIAS]]=AS$2,100%,AVANCE[[#This Row],[CELOSIAS]])</f>
        <v>0</v>
      </c>
      <c r="CH455" s="3">
        <f>+IF(AVANCE[[#This Row],[VENTANAS]]=AT$2,100%,AVANCE[[#This Row],[VENTANAS]])</f>
        <v>0</v>
      </c>
      <c r="CI455" s="3">
        <f>+IF(AVANCE[[#This Row],[PUERTAS ACCESO - LOGIA - BANO]]=AU$2,100%,AVANCE[[#This Row],[PUERTAS ACCESO - LOGIA - BANO]])</f>
        <v>0</v>
      </c>
      <c r="CJ455" s="3">
        <f>+IF(AVANCE[[#This Row],[CERRADURAS]]=AV$2,100%,AVANCE[[#This Row],[CERRADURAS]])</f>
        <v>0</v>
      </c>
      <c r="CK455" s="3">
        <f>+IF(AVANCE[[#This Row],[REVESTIMIENTO INTERIOR ZONA SECA]]=AW$2,100%,AVANCE[[#This Row],[REVESTIMIENTO INTERIOR ZONA SECA]])</f>
        <v>0</v>
      </c>
      <c r="CL455" s="3">
        <f>+IF(AVANCE[[#This Row],[REVESTIMIENTO INTERIOR ZONAS HUMEDAS]]=AX$2,100%,AVANCE[[#This Row],[REVESTIMIENTO INTERIOR ZONAS HUMEDAS]])</f>
        <v>0</v>
      </c>
      <c r="CM455" s="3">
        <f>+IF(AVANCE[[#This Row],[MEMBRANA CIELO]]=AY$2,100%,AVANCE[[#This Row],[MEMBRANA CIELO]])</f>
        <v>0</v>
      </c>
      <c r="CN455" s="3">
        <f>+IF(AVANCE[[#This Row],[LIMPIEZA FINAL]]=AZ$2,100%,AVANCE[[#This Row],[LIMPIEZA FINAL]])</f>
        <v>0</v>
      </c>
      <c r="CO455" s="3">
        <f>+IF(AVANCE[[#This Row],[PUERTAS DORMITORIO]]=BA$2,100%,AVANCE[[#This Row],[PUERTAS DORMITORIO]])</f>
        <v>0</v>
      </c>
      <c r="CP455" s="3">
        <f>+IF(AVANCE[[#This Row],[REVESTIMIENTO INTERIOR BANO]]=BB$2,100%,AVANCE[[#This Row],[REVESTIMIENTO INTERIOR BANO]])</f>
        <v>0</v>
      </c>
      <c r="CQ455" s="3">
        <f>+IF(AVANCE[[#This Row],[MUEBLE LAVAPLATOS]]=BC$2,100%,AVANCE[[#This Row],[MUEBLE LAVAPLATOS]])</f>
        <v>0</v>
      </c>
      <c r="CR455" s="3">
        <f>+IF(AVANCE[[#This Row],[IMPERMEABILIZACION BANO - COCINA LOGIA]]=BD$2,100%,AVANCE[[#This Row],[IMPERMEABILIZACION BANO - COCINA LOGIA]])</f>
        <v>0</v>
      </c>
      <c r="CS455" s="40">
        <f ca="1">+IF(AVANCE[[#This Row],[ESTADO MODULO]]="PENDIENTE",(TODAY()-AVANCE[[#This Row],[FECHA TERMINO  PLANIFICADO]]),0)</f>
        <v>0</v>
      </c>
      <c r="CT455" s="41" t="str" cm="1">
        <f t="array" ref="CT455">_xlfn.TEXTJOIN(" | ",TRUE,IF(SUMPRODUCT((BG455:CR455&lt;1)*(PARTIDAS!$I$2:$AT$2="OBRA GRUESA"))&gt;0,"OBRA GRUESA: "&amp;_xlfn.TEXTJOIN(", ",TRUE,IF((BG455:CR455&lt;1)*(PARTIDAS!$I$2:$AT$2="OBRA GRUESA"),PARTIDAS!$I$1:$AT$1,"")),""),IF(SUMPRODUCT((BG455:CR455&lt;1)*(PARTIDAS!$I$2:$AT$2="SANITARIOS"))&gt;0,"SANITARIOS: "&amp;_xlfn.TEXTJOIN(", ",TRUE,IF((BG455:CR455&lt;1)*(PARTIDAS!$I$2:$AT$2="SANITARIOS"),PARTIDAS!$I$1:$AT$1,"")),""),IF(SUMPRODUCT((BG455:CR455&lt;1)*(PARTIDAS!$I$2:$AT$2="ELÉCTRICO"))&gt;0,"ELÉCTRICO: "&amp;_xlfn.TEXTJOIN(", ",TRUE,IF((BG455:CR455&lt;1)*(PARTIDAS!$I$2:$AT$2="ELÉCTRICO"),PARTIDAS!$I$1:$AT$1,"")),""),IF(SUMPRODUCT((BG455:CR455&lt;1)*(PARTIDAS!$I$2:$AT$2="TERMINACIONES"))&gt;0,"TERMINACIONES: "&amp;_xlfn.TEXTJOIN(", ",TRUE,IF((BG455:CR455&lt;1)*(PARTIDAS!$I$2:$AT$2="TERMINACIONES"),PARTIDAS!$I$1:$AT$1,"")),""))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5" s="43" t="str" cm="1">
        <f t="array" ref="CU455">_xlfn.TEXTJOIN(", ",TRUE,IF(SUMPRODUCT((BG455:CR455&lt;1)*(PARTIDAS!$I$2:$AT$2="OBRA GRUESA"))&gt;0,"OBRA GRUESA",""),IF(SUMPRODUCT((BG455:CR455&lt;1)*(PARTIDAS!$I$2:$AT$2="SANITARIOS"))&gt;0,"SANITARIOS",""),IF(SUMPRODUCT((BG455:CR455&lt;1)*(PARTIDAS!$I$2:$AT$2="ELÉCTRICO"))&gt;0,"ELÉCTRICO",""),IF(SUMPRODUCT((BG455:CR455&lt;1)*(PARTIDAS!$I$2:$AT$2="TERMINACIONES"))&gt;0,"TERMINACIONES",""))</f>
        <v>OBRA GRUESA, SANITARIOS, ELÉCTRICO, TERMINACIONES</v>
      </c>
      <c r="CV455" s="44" cm="1">
        <f t="array" ref="CV455">SUMPRODUCT(--(BG455:CR455&lt;1))</f>
        <v>38</v>
      </c>
    </row>
    <row r="456" spans="1:100" hidden="1" x14ac:dyDescent="0.25">
      <c r="A456" t="s">
        <v>520</v>
      </c>
      <c r="B456" t="s">
        <v>527</v>
      </c>
      <c r="C456">
        <v>2302600455</v>
      </c>
      <c r="D456" t="s">
        <v>60</v>
      </c>
      <c r="E456" s="2">
        <v>0</v>
      </c>
      <c r="F456" s="1">
        <v>46366</v>
      </c>
      <c r="G456" s="1"/>
      <c r="H456" s="1">
        <v>0</v>
      </c>
      <c r="I456" s="1">
        <v>46396</v>
      </c>
      <c r="J456">
        <v>46230</v>
      </c>
      <c r="K456" s="1"/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>
        <v>31.32</v>
      </c>
      <c r="BF456" s="3" t="str">
        <f>+IF(AVANCE[[#This Row],[% AVANCE]]=100%,"MODULO TERMINADO",IF(AVANCE[[#This Row],[FECHA INICIO REAL]]="","MODULO NO INICIADO","PENDIENTE"))</f>
        <v>MODULO NO INICIADO</v>
      </c>
      <c r="BG456" s="3">
        <f>+IF(AVANCE[[#This Row],[VENTANAS]]=8.10810810810811%,100%,AVANCE[[#This Row],[VENTANAS]])</f>
        <v>0</v>
      </c>
      <c r="BH456" s="3">
        <f>+IF(AVANCE[[#This Row],[PISO]]=N$2,100%,AVANCE[[#This Row],[PISO]])</f>
        <v>0</v>
      </c>
      <c r="BI456" s="3">
        <f>+IF(AVANCE[[#This Row],[TABIQUES]]=O$2,100%,AVANCE[[#This Row],[TABIQUES]])</f>
        <v>0</v>
      </c>
      <c r="BJ456" s="3">
        <f>+IF(AVANCE[[#This Row],[MUROS]]=P$2,100%,AVANCE[[#This Row],[MUROS]])</f>
        <v>0</v>
      </c>
      <c r="BK456" s="3">
        <f>+IF(AVANCE[[#This Row],[CIELO]]=Q$2,100%,AVANCE[[#This Row],[CIELO]])</f>
        <v>0</v>
      </c>
      <c r="BL456" s="3">
        <f>+IF(AVANCE[[#This Row],[BALCÓN]]=R$2,100%,AVANCE[[#This Row],[BALCÓN]])</f>
        <v>0</v>
      </c>
      <c r="BM456" s="3">
        <f>+IF(AVANCE[[#This Row],[RED ALCANTARILLADO]]=U$2,100%,AVANCE[[#This Row],[RED ALCANTARILLADO]])</f>
        <v>0</v>
      </c>
      <c r="BN456" s="3">
        <f>+IF(AVANCE[[#This Row],[RED DE AGUA]]=V$2,100%,AVANCE[[#This Row],[RED DE AGUA]])</f>
        <v>0</v>
      </c>
      <c r="BO456" s="3">
        <f>+IF(AVANCE[[#This Row],[VENTILACIONES]]=W$2,100%,AVANCE[[#This Row],[VENTILACIONES]])</f>
        <v>0</v>
      </c>
      <c r="BP456" s="3">
        <f>+IF(AVANCE[[#This Row],[TINA]]=X$2,100%,AVANCE[[#This Row],[TINA]])</f>
        <v>0</v>
      </c>
      <c r="BQ456" s="3">
        <f>+IF(AVANCE[[#This Row],[WC]]=Y$2,100%,AVANCE[[#This Row],[WC]])</f>
        <v>0</v>
      </c>
      <c r="BR456" s="3">
        <f>+IF(AVANCE[[#This Row],[LAVAMANOS / LAVAPLATOS / LAVADERO]]=Z$2,100%,AVANCE[[#This Row],[LAVAMANOS / LAVAPLATOS / LAVADERO]])</f>
        <v>0</v>
      </c>
      <c r="BS456" s="3">
        <f>+IF(AVANCE[[#This Row],[CANALIZACIÓN]]=AC$2,100%,AVANCE[[#This Row],[CANALIZACIÓN]])</f>
        <v>0</v>
      </c>
      <c r="BT456" s="3">
        <f>+IF(AVANCE[[#This Row],[CABLEADO]]=AD$2,100%,AVANCE[[#This Row],[CABLEADO]])</f>
        <v>0</v>
      </c>
      <c r="BU456" s="3">
        <f>+IF(AVANCE[[#This Row],[ARTEFACTOS]]=AE$2,100%,AVANCE[[#This Row],[ARTEFACTOS]])</f>
        <v>0</v>
      </c>
      <c r="BV456" s="3">
        <f>+IF(AVANCE[[#This Row],[TABLERO]]=AF$2,100%,AVANCE[[#This Row],[TABLERO]])</f>
        <v>0</v>
      </c>
      <c r="BW456" s="3">
        <f>+IF(AVANCE[[#This Row],[CAJA PAU]]=AG$2,100%,AVANCE[[#This Row],[CAJA PAU]])</f>
        <v>0</v>
      </c>
      <c r="BX456" s="3">
        <f>+IF(AVANCE[[#This Row],[INSTALACION VINILICO]]=AJ$2,100%,AVANCE[[#This Row],[INSTALACION VINILICO]])</f>
        <v>0</v>
      </c>
      <c r="BY456" s="3">
        <f>+IF(AVANCE[[#This Row],[OSB CUBIERTA]]=AK$2,100%,AVANCE[[#This Row],[OSB CUBIERTA]])</f>
        <v>0</v>
      </c>
      <c r="BZ456" s="3">
        <f>+IF(AVANCE[[#This Row],[BARANDA BALCON]]=AL$2,100%,AVANCE[[#This Row],[BARANDA BALCON]])</f>
        <v>0</v>
      </c>
      <c r="CA456" s="3">
        <f>+IF(AVANCE[[#This Row],[OSB EXTERIOR]]=AM$2,100%,AVANCE[[#This Row],[OSB EXTERIOR]])</f>
        <v>0</v>
      </c>
      <c r="CB456" s="3">
        <f>+IF(AVANCE[[#This Row],[SMART PANEL]]=AN$2,100%,AVANCE[[#This Row],[SMART PANEL]])</f>
        <v>0</v>
      </c>
      <c r="CC456" s="3">
        <f>+IF(AVANCE[[#This Row],[PINTURA EXTERIOR]]=AO$2,100%,AVANCE[[#This Row],[PINTURA EXTERIOR]])</f>
        <v>0</v>
      </c>
      <c r="CD456" s="3">
        <f>+IF(AVANCE[[#This Row],[ZOCALOS LOGIA]]=AP$2,100%,AVANCE[[#This Row],[ZOCALOS LOGIA]])</f>
        <v>0</v>
      </c>
      <c r="CE456" s="3">
        <f>+IF(AVANCE[[#This Row],[MOLDURAS]]=AQ$2,100%,AVANCE[[#This Row],[MOLDURAS]])</f>
        <v>0</v>
      </c>
      <c r="CF456" s="3">
        <f>+IF(AVANCE[[#This Row],[PILASTREO]]=AR$2,100%,AVANCE[[#This Row],[PILASTREO]])</f>
        <v>0</v>
      </c>
      <c r="CG456" s="3">
        <f>+IF(AVANCE[[#This Row],[CELOSIAS]]=AS$2,100%,AVANCE[[#This Row],[CELOSIAS]])</f>
        <v>0</v>
      </c>
      <c r="CH456" s="3">
        <f>+IF(AVANCE[[#This Row],[VENTANAS]]=AT$2,100%,AVANCE[[#This Row],[VENTANAS]])</f>
        <v>0</v>
      </c>
      <c r="CI456" s="3">
        <f>+IF(AVANCE[[#This Row],[PUERTAS ACCESO - LOGIA - BANO]]=AU$2,100%,AVANCE[[#This Row],[PUERTAS ACCESO - LOGIA - BANO]])</f>
        <v>0</v>
      </c>
      <c r="CJ456" s="3">
        <f>+IF(AVANCE[[#This Row],[CERRADURAS]]=AV$2,100%,AVANCE[[#This Row],[CERRADURAS]])</f>
        <v>0</v>
      </c>
      <c r="CK456" s="3">
        <f>+IF(AVANCE[[#This Row],[REVESTIMIENTO INTERIOR ZONA SECA]]=AW$2,100%,AVANCE[[#This Row],[REVESTIMIENTO INTERIOR ZONA SECA]])</f>
        <v>0</v>
      </c>
      <c r="CL456" s="3">
        <f>+IF(AVANCE[[#This Row],[REVESTIMIENTO INTERIOR ZONAS HUMEDAS]]=AX$2,100%,AVANCE[[#This Row],[REVESTIMIENTO INTERIOR ZONAS HUMEDAS]])</f>
        <v>0</v>
      </c>
      <c r="CM456" s="3">
        <f>+IF(AVANCE[[#This Row],[MEMBRANA CIELO]]=AY$2,100%,AVANCE[[#This Row],[MEMBRANA CIELO]])</f>
        <v>0</v>
      </c>
      <c r="CN456" s="3">
        <f>+IF(AVANCE[[#This Row],[LIMPIEZA FINAL]]=AZ$2,100%,AVANCE[[#This Row],[LIMPIEZA FINAL]])</f>
        <v>0</v>
      </c>
      <c r="CO456" s="3">
        <f>+IF(AVANCE[[#This Row],[PUERTAS DORMITORIO]]=BA$2,100%,AVANCE[[#This Row],[PUERTAS DORMITORIO]])</f>
        <v>0</v>
      </c>
      <c r="CP456" s="3">
        <f>+IF(AVANCE[[#This Row],[REVESTIMIENTO INTERIOR BANO]]=BB$2,100%,AVANCE[[#This Row],[REVESTIMIENTO INTERIOR BANO]])</f>
        <v>0</v>
      </c>
      <c r="CQ456" s="3">
        <f>+IF(AVANCE[[#This Row],[MUEBLE LAVAPLATOS]]=BC$2,100%,AVANCE[[#This Row],[MUEBLE LAVAPLATOS]])</f>
        <v>0</v>
      </c>
      <c r="CR456" s="3">
        <f>+IF(AVANCE[[#This Row],[IMPERMEABILIZACION BANO - COCINA LOGIA]]=BD$2,100%,AVANCE[[#This Row],[IMPERMEABILIZACION BANO - COCINA LOGIA]])</f>
        <v>0</v>
      </c>
      <c r="CS456" s="40">
        <f ca="1">+IF(AVANCE[[#This Row],[ESTADO MODULO]]="PENDIENTE",(TODAY()-AVANCE[[#This Row],[FECHA TERMINO  PLANIFICADO]]),0)</f>
        <v>0</v>
      </c>
      <c r="CT456" s="41" t="str" cm="1">
        <f t="array" ref="CT456">_xlfn.TEXTJOIN(" | ",TRUE,IF(SUMPRODUCT((BG456:CR456&lt;1)*(PARTIDAS!$I$2:$AT$2="OBRA GRUESA"))&gt;0,"OBRA GRUESA: "&amp;_xlfn.TEXTJOIN(", ",TRUE,IF((BG456:CR456&lt;1)*(PARTIDAS!$I$2:$AT$2="OBRA GRUESA"),PARTIDAS!$I$1:$AT$1,"")),""),IF(SUMPRODUCT((BG456:CR456&lt;1)*(PARTIDAS!$I$2:$AT$2="SANITARIOS"))&gt;0,"SANITARIOS: "&amp;_xlfn.TEXTJOIN(", ",TRUE,IF((BG456:CR456&lt;1)*(PARTIDAS!$I$2:$AT$2="SANITARIOS"),PARTIDAS!$I$1:$AT$1,"")),""),IF(SUMPRODUCT((BG456:CR456&lt;1)*(PARTIDAS!$I$2:$AT$2="ELÉCTRICO"))&gt;0,"ELÉCTRICO: "&amp;_xlfn.TEXTJOIN(", ",TRUE,IF((BG456:CR456&lt;1)*(PARTIDAS!$I$2:$AT$2="ELÉCTRICO"),PARTIDAS!$I$1:$AT$1,"")),""),IF(SUMPRODUCT((BG456:CR456&lt;1)*(PARTIDAS!$I$2:$AT$2="TERMINACIONES"))&gt;0,"TERMINACIONES: "&amp;_xlfn.TEXTJOIN(", ",TRUE,IF((BG456:CR456&lt;1)*(PARTIDAS!$I$2:$AT$2="TERMINACIONES"),PARTIDAS!$I$1:$AT$1,"")),""))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6" s="43" t="str" cm="1">
        <f t="array" ref="CU456">_xlfn.TEXTJOIN(", ",TRUE,IF(SUMPRODUCT((BG456:CR456&lt;1)*(PARTIDAS!$I$2:$AT$2="OBRA GRUESA"))&gt;0,"OBRA GRUESA",""),IF(SUMPRODUCT((BG456:CR456&lt;1)*(PARTIDAS!$I$2:$AT$2="SANITARIOS"))&gt;0,"SANITARIOS",""),IF(SUMPRODUCT((BG456:CR456&lt;1)*(PARTIDAS!$I$2:$AT$2="ELÉCTRICO"))&gt;0,"ELÉCTRICO",""),IF(SUMPRODUCT((BG456:CR456&lt;1)*(PARTIDAS!$I$2:$AT$2="TERMINACIONES"))&gt;0,"TERMINACIONES",""))</f>
        <v>OBRA GRUESA, SANITARIOS, ELÉCTRICO, TERMINACIONES</v>
      </c>
      <c r="CV456" s="44" cm="1">
        <f t="array" ref="CV456">SUMPRODUCT(--(BG456:CR456&lt;1))</f>
        <v>38</v>
      </c>
    </row>
    <row r="457" spans="1:100" hidden="1" x14ac:dyDescent="0.25">
      <c r="A457" t="s">
        <v>520</v>
      </c>
      <c r="B457" t="s">
        <v>528</v>
      </c>
      <c r="C457">
        <v>2282600456</v>
      </c>
      <c r="D457" t="s">
        <v>58</v>
      </c>
      <c r="E457" s="2">
        <v>0</v>
      </c>
      <c r="F457" s="1">
        <v>46366</v>
      </c>
      <c r="G457" s="1"/>
      <c r="H457" s="1">
        <v>0</v>
      </c>
      <c r="I457" s="1">
        <v>46386</v>
      </c>
      <c r="J457">
        <v>46230</v>
      </c>
      <c r="K457" s="1"/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>
        <v>28.87</v>
      </c>
      <c r="BF457" s="3" t="str">
        <f>+IF(AVANCE[[#This Row],[% AVANCE]]=100%,"MODULO TERMINADO",IF(AVANCE[[#This Row],[FECHA INICIO REAL]]="","MODULO NO INICIADO","PENDIENTE"))</f>
        <v>MODULO NO INICIADO</v>
      </c>
      <c r="BG457" s="3">
        <f>+IF(AVANCE[[#This Row],[VENTANAS]]=8.10810810810811%,100%,AVANCE[[#This Row],[VENTANAS]])</f>
        <v>0</v>
      </c>
      <c r="BH457" s="3">
        <f>+IF(AVANCE[[#This Row],[PISO]]=N$2,100%,AVANCE[[#This Row],[PISO]])</f>
        <v>0</v>
      </c>
      <c r="BI457" s="3">
        <f>+IF(AVANCE[[#This Row],[TABIQUES]]=O$2,100%,AVANCE[[#This Row],[TABIQUES]])</f>
        <v>0</v>
      </c>
      <c r="BJ457" s="3">
        <f>+IF(AVANCE[[#This Row],[MUROS]]=P$2,100%,AVANCE[[#This Row],[MUROS]])</f>
        <v>0</v>
      </c>
      <c r="BK457" s="3">
        <f>+IF(AVANCE[[#This Row],[CIELO]]=Q$2,100%,AVANCE[[#This Row],[CIELO]])</f>
        <v>0</v>
      </c>
      <c r="BL457" s="3">
        <f>+IF(AVANCE[[#This Row],[BALCÓN]]=R$2,100%,AVANCE[[#This Row],[BALCÓN]])</f>
        <v>0</v>
      </c>
      <c r="BM457" s="3">
        <f>+IF(AVANCE[[#This Row],[RED ALCANTARILLADO]]=U$2,100%,AVANCE[[#This Row],[RED ALCANTARILLADO]])</f>
        <v>0</v>
      </c>
      <c r="BN457" s="3">
        <f>+IF(AVANCE[[#This Row],[RED DE AGUA]]=V$2,100%,AVANCE[[#This Row],[RED DE AGUA]])</f>
        <v>0</v>
      </c>
      <c r="BO457" s="3">
        <f>+IF(AVANCE[[#This Row],[VENTILACIONES]]=W$2,100%,AVANCE[[#This Row],[VENTILACIONES]])</f>
        <v>0</v>
      </c>
      <c r="BP457" s="3">
        <f>+IF(AVANCE[[#This Row],[TINA]]=X$2,100%,AVANCE[[#This Row],[TINA]])</f>
        <v>0</v>
      </c>
      <c r="BQ457" s="3">
        <f>+IF(AVANCE[[#This Row],[WC]]=Y$2,100%,AVANCE[[#This Row],[WC]])</f>
        <v>0</v>
      </c>
      <c r="BR457" s="3">
        <f>+IF(AVANCE[[#This Row],[LAVAMANOS / LAVAPLATOS / LAVADERO]]=Z$2,100%,AVANCE[[#This Row],[LAVAMANOS / LAVAPLATOS / LAVADERO]])</f>
        <v>0</v>
      </c>
      <c r="BS457" s="3">
        <f>+IF(AVANCE[[#This Row],[CANALIZACIÓN]]=AC$2,100%,AVANCE[[#This Row],[CANALIZACIÓN]])</f>
        <v>0</v>
      </c>
      <c r="BT457" s="3">
        <f>+IF(AVANCE[[#This Row],[CABLEADO]]=AD$2,100%,AVANCE[[#This Row],[CABLEADO]])</f>
        <v>0</v>
      </c>
      <c r="BU457" s="3">
        <f>+IF(AVANCE[[#This Row],[ARTEFACTOS]]=AE$2,100%,AVANCE[[#This Row],[ARTEFACTOS]])</f>
        <v>0</v>
      </c>
      <c r="BV457" s="3">
        <f>+IF(AVANCE[[#This Row],[TABLERO]]=AF$2,100%,AVANCE[[#This Row],[TABLERO]])</f>
        <v>0</v>
      </c>
      <c r="BW457" s="3">
        <f>+IF(AVANCE[[#This Row],[CAJA PAU]]=AG$2,100%,AVANCE[[#This Row],[CAJA PAU]])</f>
        <v>0</v>
      </c>
      <c r="BX457" s="3">
        <f>+IF(AVANCE[[#This Row],[INSTALACION VINILICO]]=AJ$2,100%,AVANCE[[#This Row],[INSTALACION VINILICO]])</f>
        <v>0</v>
      </c>
      <c r="BY457" s="3">
        <f>+IF(AVANCE[[#This Row],[OSB CUBIERTA]]=AK$2,100%,AVANCE[[#This Row],[OSB CUBIERTA]])</f>
        <v>0</v>
      </c>
      <c r="BZ457" s="3">
        <f>+IF(AVANCE[[#This Row],[BARANDA BALCON]]=AL$2,100%,AVANCE[[#This Row],[BARANDA BALCON]])</f>
        <v>0</v>
      </c>
      <c r="CA457" s="3">
        <f>+IF(AVANCE[[#This Row],[OSB EXTERIOR]]=AM$2,100%,AVANCE[[#This Row],[OSB EXTERIOR]])</f>
        <v>0</v>
      </c>
      <c r="CB457" s="3">
        <f>+IF(AVANCE[[#This Row],[SMART PANEL]]=AN$2,100%,AVANCE[[#This Row],[SMART PANEL]])</f>
        <v>0</v>
      </c>
      <c r="CC457" s="3">
        <f>+IF(AVANCE[[#This Row],[PINTURA EXTERIOR]]=AO$2,100%,AVANCE[[#This Row],[PINTURA EXTERIOR]])</f>
        <v>0</v>
      </c>
      <c r="CD457" s="3">
        <f>+IF(AVANCE[[#This Row],[ZOCALOS LOGIA]]=AP$2,100%,AVANCE[[#This Row],[ZOCALOS LOGIA]])</f>
        <v>0</v>
      </c>
      <c r="CE457" s="3">
        <f>+IF(AVANCE[[#This Row],[MOLDURAS]]=AQ$2,100%,AVANCE[[#This Row],[MOLDURAS]])</f>
        <v>0</v>
      </c>
      <c r="CF457" s="3">
        <f>+IF(AVANCE[[#This Row],[PILASTREO]]=AR$2,100%,AVANCE[[#This Row],[PILASTREO]])</f>
        <v>0</v>
      </c>
      <c r="CG457" s="3">
        <f>+IF(AVANCE[[#This Row],[CELOSIAS]]=AS$2,100%,AVANCE[[#This Row],[CELOSIAS]])</f>
        <v>0</v>
      </c>
      <c r="CH457" s="3">
        <f>+IF(AVANCE[[#This Row],[VENTANAS]]=AT$2,100%,AVANCE[[#This Row],[VENTANAS]])</f>
        <v>0</v>
      </c>
      <c r="CI457" s="3">
        <f>+IF(AVANCE[[#This Row],[PUERTAS ACCESO - LOGIA - BANO]]=AU$2,100%,AVANCE[[#This Row],[PUERTAS ACCESO - LOGIA - BANO]])</f>
        <v>0</v>
      </c>
      <c r="CJ457" s="3">
        <f>+IF(AVANCE[[#This Row],[CERRADURAS]]=AV$2,100%,AVANCE[[#This Row],[CERRADURAS]])</f>
        <v>0</v>
      </c>
      <c r="CK457" s="3">
        <f>+IF(AVANCE[[#This Row],[REVESTIMIENTO INTERIOR ZONA SECA]]=AW$2,100%,AVANCE[[#This Row],[REVESTIMIENTO INTERIOR ZONA SECA]])</f>
        <v>0</v>
      </c>
      <c r="CL457" s="3">
        <f>+IF(AVANCE[[#This Row],[REVESTIMIENTO INTERIOR ZONAS HUMEDAS]]=AX$2,100%,AVANCE[[#This Row],[REVESTIMIENTO INTERIOR ZONAS HUMEDAS]])</f>
        <v>0</v>
      </c>
      <c r="CM457" s="3">
        <f>+IF(AVANCE[[#This Row],[MEMBRANA CIELO]]=AY$2,100%,AVANCE[[#This Row],[MEMBRANA CIELO]])</f>
        <v>0</v>
      </c>
      <c r="CN457" s="3">
        <f>+IF(AVANCE[[#This Row],[LIMPIEZA FINAL]]=AZ$2,100%,AVANCE[[#This Row],[LIMPIEZA FINAL]])</f>
        <v>0</v>
      </c>
      <c r="CO457" s="3">
        <f>+IF(AVANCE[[#This Row],[PUERTAS DORMITORIO]]=BA$2,100%,AVANCE[[#This Row],[PUERTAS DORMITORIO]])</f>
        <v>0</v>
      </c>
      <c r="CP457" s="3">
        <f>+IF(AVANCE[[#This Row],[REVESTIMIENTO INTERIOR BANO]]=BB$2,100%,AVANCE[[#This Row],[REVESTIMIENTO INTERIOR BANO]])</f>
        <v>0</v>
      </c>
      <c r="CQ457" s="3">
        <f>+IF(AVANCE[[#This Row],[MUEBLE LAVAPLATOS]]=BC$2,100%,AVANCE[[#This Row],[MUEBLE LAVAPLATOS]])</f>
        <v>0</v>
      </c>
      <c r="CR457" s="3">
        <f>+IF(AVANCE[[#This Row],[IMPERMEABILIZACION BANO - COCINA LOGIA]]=BD$2,100%,AVANCE[[#This Row],[IMPERMEABILIZACION BANO - COCINA LOGIA]])</f>
        <v>0</v>
      </c>
      <c r="CS457" s="40">
        <f ca="1">+IF(AVANCE[[#This Row],[ESTADO MODULO]]="PENDIENTE",(TODAY()-AVANCE[[#This Row],[FECHA TERMINO  PLANIFICADO]]),0)</f>
        <v>0</v>
      </c>
      <c r="CT457" s="41" t="str" cm="1">
        <f t="array" ref="CT457">_xlfn.TEXTJOIN(" | ",TRUE,IF(SUMPRODUCT((BG457:CR457&lt;1)*(PARTIDAS!$I$2:$AT$2="OBRA GRUESA"))&gt;0,"OBRA GRUESA: "&amp;_xlfn.TEXTJOIN(", ",TRUE,IF((BG457:CR457&lt;1)*(PARTIDAS!$I$2:$AT$2="OBRA GRUESA"),PARTIDAS!$I$1:$AT$1,"")),""),IF(SUMPRODUCT((BG457:CR457&lt;1)*(PARTIDAS!$I$2:$AT$2="SANITARIOS"))&gt;0,"SANITARIOS: "&amp;_xlfn.TEXTJOIN(", ",TRUE,IF((BG457:CR457&lt;1)*(PARTIDAS!$I$2:$AT$2="SANITARIOS"),PARTIDAS!$I$1:$AT$1,"")),""),IF(SUMPRODUCT((BG457:CR457&lt;1)*(PARTIDAS!$I$2:$AT$2="ELÉCTRICO"))&gt;0,"ELÉCTRICO: "&amp;_xlfn.TEXTJOIN(", ",TRUE,IF((BG457:CR457&lt;1)*(PARTIDAS!$I$2:$AT$2="ELÉCTRICO"),PARTIDAS!$I$1:$AT$1,"")),""),IF(SUMPRODUCT((BG457:CR457&lt;1)*(PARTIDAS!$I$2:$AT$2="TERMINACIONES"))&gt;0,"TERMINACIONES: "&amp;_xlfn.TEXTJOIN(", ",TRUE,IF((BG457:CR457&lt;1)*(PARTIDAS!$I$2:$AT$2="TERMINACIONES"),PARTIDAS!$I$1:$AT$1,"")),""))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7" s="43" t="str" cm="1">
        <f t="array" ref="CU457">_xlfn.TEXTJOIN(", ",TRUE,IF(SUMPRODUCT((BG457:CR457&lt;1)*(PARTIDAS!$I$2:$AT$2="OBRA GRUESA"))&gt;0,"OBRA GRUESA",""),IF(SUMPRODUCT((BG457:CR457&lt;1)*(PARTIDAS!$I$2:$AT$2="SANITARIOS"))&gt;0,"SANITARIOS",""),IF(SUMPRODUCT((BG457:CR457&lt;1)*(PARTIDAS!$I$2:$AT$2="ELÉCTRICO"))&gt;0,"ELÉCTRICO",""),IF(SUMPRODUCT((BG457:CR457&lt;1)*(PARTIDAS!$I$2:$AT$2="TERMINACIONES"))&gt;0,"TERMINACIONES",""))</f>
        <v>OBRA GRUESA, SANITARIOS, ELÉCTRICO, TERMINACIONES</v>
      </c>
      <c r="CV457" s="44" cm="1">
        <f t="array" ref="CV457">SUMPRODUCT(--(BG457:CR457&lt;1))</f>
        <v>38</v>
      </c>
    </row>
    <row r="458" spans="1:100" hidden="1" x14ac:dyDescent="0.25">
      <c r="A458" t="s">
        <v>520</v>
      </c>
      <c r="B458" t="s">
        <v>529</v>
      </c>
      <c r="C458">
        <v>2282600457</v>
      </c>
      <c r="D458" t="s">
        <v>58</v>
      </c>
      <c r="E458" s="2">
        <v>0</v>
      </c>
      <c r="F458" s="1">
        <v>46366</v>
      </c>
      <c r="G458" s="1"/>
      <c r="H458" s="1">
        <v>0</v>
      </c>
      <c r="I458" s="1">
        <v>46386</v>
      </c>
      <c r="J458">
        <v>46230</v>
      </c>
      <c r="K458" s="1"/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>
        <v>28.87</v>
      </c>
      <c r="BF458" s="3" t="str">
        <f>+IF(AVANCE[[#This Row],[% AVANCE]]=100%,"MODULO TERMINADO",IF(AVANCE[[#This Row],[FECHA INICIO REAL]]="","MODULO NO INICIADO","PENDIENTE"))</f>
        <v>MODULO NO INICIADO</v>
      </c>
      <c r="BG458" s="3">
        <f>+IF(AVANCE[[#This Row],[VENTANAS]]=8.10810810810811%,100%,AVANCE[[#This Row],[VENTANAS]])</f>
        <v>0</v>
      </c>
      <c r="BH458" s="3">
        <f>+IF(AVANCE[[#This Row],[PISO]]=N$2,100%,AVANCE[[#This Row],[PISO]])</f>
        <v>0</v>
      </c>
      <c r="BI458" s="3">
        <f>+IF(AVANCE[[#This Row],[TABIQUES]]=O$2,100%,AVANCE[[#This Row],[TABIQUES]])</f>
        <v>0</v>
      </c>
      <c r="BJ458" s="3">
        <f>+IF(AVANCE[[#This Row],[MUROS]]=P$2,100%,AVANCE[[#This Row],[MUROS]])</f>
        <v>0</v>
      </c>
      <c r="BK458" s="3">
        <f>+IF(AVANCE[[#This Row],[CIELO]]=Q$2,100%,AVANCE[[#This Row],[CIELO]])</f>
        <v>0</v>
      </c>
      <c r="BL458" s="3">
        <f>+IF(AVANCE[[#This Row],[BALCÓN]]=R$2,100%,AVANCE[[#This Row],[BALCÓN]])</f>
        <v>0</v>
      </c>
      <c r="BM458" s="3">
        <f>+IF(AVANCE[[#This Row],[RED ALCANTARILLADO]]=U$2,100%,AVANCE[[#This Row],[RED ALCANTARILLADO]])</f>
        <v>0</v>
      </c>
      <c r="BN458" s="3">
        <f>+IF(AVANCE[[#This Row],[RED DE AGUA]]=V$2,100%,AVANCE[[#This Row],[RED DE AGUA]])</f>
        <v>0</v>
      </c>
      <c r="BO458" s="3">
        <f>+IF(AVANCE[[#This Row],[VENTILACIONES]]=W$2,100%,AVANCE[[#This Row],[VENTILACIONES]])</f>
        <v>0</v>
      </c>
      <c r="BP458" s="3">
        <f>+IF(AVANCE[[#This Row],[TINA]]=X$2,100%,AVANCE[[#This Row],[TINA]])</f>
        <v>0</v>
      </c>
      <c r="BQ458" s="3">
        <f>+IF(AVANCE[[#This Row],[WC]]=Y$2,100%,AVANCE[[#This Row],[WC]])</f>
        <v>0</v>
      </c>
      <c r="BR458" s="3">
        <f>+IF(AVANCE[[#This Row],[LAVAMANOS / LAVAPLATOS / LAVADERO]]=Z$2,100%,AVANCE[[#This Row],[LAVAMANOS / LAVAPLATOS / LAVADERO]])</f>
        <v>0</v>
      </c>
      <c r="BS458" s="3">
        <f>+IF(AVANCE[[#This Row],[CANALIZACIÓN]]=AC$2,100%,AVANCE[[#This Row],[CANALIZACIÓN]])</f>
        <v>0</v>
      </c>
      <c r="BT458" s="3">
        <f>+IF(AVANCE[[#This Row],[CABLEADO]]=AD$2,100%,AVANCE[[#This Row],[CABLEADO]])</f>
        <v>0</v>
      </c>
      <c r="BU458" s="3">
        <f>+IF(AVANCE[[#This Row],[ARTEFACTOS]]=AE$2,100%,AVANCE[[#This Row],[ARTEFACTOS]])</f>
        <v>0</v>
      </c>
      <c r="BV458" s="3">
        <f>+IF(AVANCE[[#This Row],[TABLERO]]=AF$2,100%,AVANCE[[#This Row],[TABLERO]])</f>
        <v>0</v>
      </c>
      <c r="BW458" s="3">
        <f>+IF(AVANCE[[#This Row],[CAJA PAU]]=AG$2,100%,AVANCE[[#This Row],[CAJA PAU]])</f>
        <v>0</v>
      </c>
      <c r="BX458" s="3">
        <f>+IF(AVANCE[[#This Row],[INSTALACION VINILICO]]=AJ$2,100%,AVANCE[[#This Row],[INSTALACION VINILICO]])</f>
        <v>0</v>
      </c>
      <c r="BY458" s="3">
        <f>+IF(AVANCE[[#This Row],[OSB CUBIERTA]]=AK$2,100%,AVANCE[[#This Row],[OSB CUBIERTA]])</f>
        <v>0</v>
      </c>
      <c r="BZ458" s="3">
        <f>+IF(AVANCE[[#This Row],[BARANDA BALCON]]=AL$2,100%,AVANCE[[#This Row],[BARANDA BALCON]])</f>
        <v>0</v>
      </c>
      <c r="CA458" s="3">
        <f>+IF(AVANCE[[#This Row],[OSB EXTERIOR]]=AM$2,100%,AVANCE[[#This Row],[OSB EXTERIOR]])</f>
        <v>0</v>
      </c>
      <c r="CB458" s="3">
        <f>+IF(AVANCE[[#This Row],[SMART PANEL]]=AN$2,100%,AVANCE[[#This Row],[SMART PANEL]])</f>
        <v>0</v>
      </c>
      <c r="CC458" s="3">
        <f>+IF(AVANCE[[#This Row],[PINTURA EXTERIOR]]=AO$2,100%,AVANCE[[#This Row],[PINTURA EXTERIOR]])</f>
        <v>0</v>
      </c>
      <c r="CD458" s="3">
        <f>+IF(AVANCE[[#This Row],[ZOCALOS LOGIA]]=AP$2,100%,AVANCE[[#This Row],[ZOCALOS LOGIA]])</f>
        <v>0</v>
      </c>
      <c r="CE458" s="3">
        <f>+IF(AVANCE[[#This Row],[MOLDURAS]]=AQ$2,100%,AVANCE[[#This Row],[MOLDURAS]])</f>
        <v>0</v>
      </c>
      <c r="CF458" s="3">
        <f>+IF(AVANCE[[#This Row],[PILASTREO]]=AR$2,100%,AVANCE[[#This Row],[PILASTREO]])</f>
        <v>0</v>
      </c>
      <c r="CG458" s="3">
        <f>+IF(AVANCE[[#This Row],[CELOSIAS]]=AS$2,100%,AVANCE[[#This Row],[CELOSIAS]])</f>
        <v>0</v>
      </c>
      <c r="CH458" s="3">
        <f>+IF(AVANCE[[#This Row],[VENTANAS]]=AT$2,100%,AVANCE[[#This Row],[VENTANAS]])</f>
        <v>0</v>
      </c>
      <c r="CI458" s="3">
        <f>+IF(AVANCE[[#This Row],[PUERTAS ACCESO - LOGIA - BANO]]=AU$2,100%,AVANCE[[#This Row],[PUERTAS ACCESO - LOGIA - BANO]])</f>
        <v>0</v>
      </c>
      <c r="CJ458" s="3">
        <f>+IF(AVANCE[[#This Row],[CERRADURAS]]=AV$2,100%,AVANCE[[#This Row],[CERRADURAS]])</f>
        <v>0</v>
      </c>
      <c r="CK458" s="3">
        <f>+IF(AVANCE[[#This Row],[REVESTIMIENTO INTERIOR ZONA SECA]]=AW$2,100%,AVANCE[[#This Row],[REVESTIMIENTO INTERIOR ZONA SECA]])</f>
        <v>0</v>
      </c>
      <c r="CL458" s="3">
        <f>+IF(AVANCE[[#This Row],[REVESTIMIENTO INTERIOR ZONAS HUMEDAS]]=AX$2,100%,AVANCE[[#This Row],[REVESTIMIENTO INTERIOR ZONAS HUMEDAS]])</f>
        <v>0</v>
      </c>
      <c r="CM458" s="3">
        <f>+IF(AVANCE[[#This Row],[MEMBRANA CIELO]]=AY$2,100%,AVANCE[[#This Row],[MEMBRANA CIELO]])</f>
        <v>0</v>
      </c>
      <c r="CN458" s="3">
        <f>+IF(AVANCE[[#This Row],[LIMPIEZA FINAL]]=AZ$2,100%,AVANCE[[#This Row],[LIMPIEZA FINAL]])</f>
        <v>0</v>
      </c>
      <c r="CO458" s="3">
        <f>+IF(AVANCE[[#This Row],[PUERTAS DORMITORIO]]=BA$2,100%,AVANCE[[#This Row],[PUERTAS DORMITORIO]])</f>
        <v>0</v>
      </c>
      <c r="CP458" s="3">
        <f>+IF(AVANCE[[#This Row],[REVESTIMIENTO INTERIOR BANO]]=BB$2,100%,AVANCE[[#This Row],[REVESTIMIENTO INTERIOR BANO]])</f>
        <v>0</v>
      </c>
      <c r="CQ458" s="3">
        <f>+IF(AVANCE[[#This Row],[MUEBLE LAVAPLATOS]]=BC$2,100%,AVANCE[[#This Row],[MUEBLE LAVAPLATOS]])</f>
        <v>0</v>
      </c>
      <c r="CR458" s="3">
        <f>+IF(AVANCE[[#This Row],[IMPERMEABILIZACION BANO - COCINA LOGIA]]=BD$2,100%,AVANCE[[#This Row],[IMPERMEABILIZACION BANO - COCINA LOGIA]])</f>
        <v>0</v>
      </c>
      <c r="CS458" s="40">
        <f ca="1">+IF(AVANCE[[#This Row],[ESTADO MODULO]]="PENDIENTE",(TODAY()-AVANCE[[#This Row],[FECHA TERMINO  PLANIFICADO]]),0)</f>
        <v>0</v>
      </c>
      <c r="CT458" s="41" t="str" cm="1">
        <f t="array" ref="CT458">_xlfn.TEXTJOIN(" | ",TRUE,IF(SUMPRODUCT((BG458:CR458&lt;1)*(PARTIDAS!$I$2:$AT$2="OBRA GRUESA"))&gt;0,"OBRA GRUESA: "&amp;_xlfn.TEXTJOIN(", ",TRUE,IF((BG458:CR458&lt;1)*(PARTIDAS!$I$2:$AT$2="OBRA GRUESA"),PARTIDAS!$I$1:$AT$1,"")),""),IF(SUMPRODUCT((BG458:CR458&lt;1)*(PARTIDAS!$I$2:$AT$2="SANITARIOS"))&gt;0,"SANITARIOS: "&amp;_xlfn.TEXTJOIN(", ",TRUE,IF((BG458:CR458&lt;1)*(PARTIDAS!$I$2:$AT$2="SANITARIOS"),PARTIDAS!$I$1:$AT$1,"")),""),IF(SUMPRODUCT((BG458:CR458&lt;1)*(PARTIDAS!$I$2:$AT$2="ELÉCTRICO"))&gt;0,"ELÉCTRICO: "&amp;_xlfn.TEXTJOIN(", ",TRUE,IF((BG458:CR458&lt;1)*(PARTIDAS!$I$2:$AT$2="ELÉCTRICO"),PARTIDAS!$I$1:$AT$1,"")),""),IF(SUMPRODUCT((BG458:CR458&lt;1)*(PARTIDAS!$I$2:$AT$2="TERMINACIONES"))&gt;0,"TERMINACIONES: "&amp;_xlfn.TEXTJOIN(", ",TRUE,IF((BG458:CR458&lt;1)*(PARTIDAS!$I$2:$AT$2="TERMINACIONES"),PARTIDAS!$I$1:$AT$1,"")),""))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8" s="43" t="str" cm="1">
        <f t="array" ref="CU458">_xlfn.TEXTJOIN(", ",TRUE,IF(SUMPRODUCT((BG458:CR458&lt;1)*(PARTIDAS!$I$2:$AT$2="OBRA GRUESA"))&gt;0,"OBRA GRUESA",""),IF(SUMPRODUCT((BG458:CR458&lt;1)*(PARTIDAS!$I$2:$AT$2="SANITARIOS"))&gt;0,"SANITARIOS",""),IF(SUMPRODUCT((BG458:CR458&lt;1)*(PARTIDAS!$I$2:$AT$2="ELÉCTRICO"))&gt;0,"ELÉCTRICO",""),IF(SUMPRODUCT((BG458:CR458&lt;1)*(PARTIDAS!$I$2:$AT$2="TERMINACIONES"))&gt;0,"TERMINACIONES",""))</f>
        <v>OBRA GRUESA, SANITARIOS, ELÉCTRICO, TERMINACIONES</v>
      </c>
      <c r="CV458" s="44" cm="1">
        <f t="array" ref="CV458">SUMPRODUCT(--(BG458:CR458&lt;1))</f>
        <v>38</v>
      </c>
    </row>
    <row r="459" spans="1:100" hidden="1" x14ac:dyDescent="0.25">
      <c r="A459" t="s">
        <v>520</v>
      </c>
      <c r="B459" t="s">
        <v>530</v>
      </c>
      <c r="C459">
        <v>2302600458</v>
      </c>
      <c r="D459" t="s">
        <v>60</v>
      </c>
      <c r="E459" s="2">
        <v>0</v>
      </c>
      <c r="F459" s="1">
        <v>46367</v>
      </c>
      <c r="G459" s="1"/>
      <c r="H459" s="1">
        <v>0</v>
      </c>
      <c r="I459" s="1">
        <v>46397</v>
      </c>
      <c r="J459">
        <v>46230</v>
      </c>
      <c r="K459" s="1"/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>
        <v>31.32</v>
      </c>
      <c r="BF459" s="3" t="str">
        <f>+IF(AVANCE[[#This Row],[% AVANCE]]=100%,"MODULO TERMINADO",IF(AVANCE[[#This Row],[FECHA INICIO REAL]]="","MODULO NO INICIADO","PENDIENTE"))</f>
        <v>MODULO NO INICIADO</v>
      </c>
      <c r="BG459" s="3">
        <f>+IF(AVANCE[[#This Row],[VENTANAS]]=8.10810810810811%,100%,AVANCE[[#This Row],[VENTANAS]])</f>
        <v>0</v>
      </c>
      <c r="BH459" s="3">
        <f>+IF(AVANCE[[#This Row],[PISO]]=N$2,100%,AVANCE[[#This Row],[PISO]])</f>
        <v>0</v>
      </c>
      <c r="BI459" s="3">
        <f>+IF(AVANCE[[#This Row],[TABIQUES]]=O$2,100%,AVANCE[[#This Row],[TABIQUES]])</f>
        <v>0</v>
      </c>
      <c r="BJ459" s="3">
        <f>+IF(AVANCE[[#This Row],[MUROS]]=P$2,100%,AVANCE[[#This Row],[MUROS]])</f>
        <v>0</v>
      </c>
      <c r="BK459" s="3">
        <f>+IF(AVANCE[[#This Row],[CIELO]]=Q$2,100%,AVANCE[[#This Row],[CIELO]])</f>
        <v>0</v>
      </c>
      <c r="BL459" s="3">
        <f>+IF(AVANCE[[#This Row],[BALCÓN]]=R$2,100%,AVANCE[[#This Row],[BALCÓN]])</f>
        <v>0</v>
      </c>
      <c r="BM459" s="3">
        <f>+IF(AVANCE[[#This Row],[RED ALCANTARILLADO]]=U$2,100%,AVANCE[[#This Row],[RED ALCANTARILLADO]])</f>
        <v>0</v>
      </c>
      <c r="BN459" s="3">
        <f>+IF(AVANCE[[#This Row],[RED DE AGUA]]=V$2,100%,AVANCE[[#This Row],[RED DE AGUA]])</f>
        <v>0</v>
      </c>
      <c r="BO459" s="3">
        <f>+IF(AVANCE[[#This Row],[VENTILACIONES]]=W$2,100%,AVANCE[[#This Row],[VENTILACIONES]])</f>
        <v>0</v>
      </c>
      <c r="BP459" s="3">
        <f>+IF(AVANCE[[#This Row],[TINA]]=X$2,100%,AVANCE[[#This Row],[TINA]])</f>
        <v>0</v>
      </c>
      <c r="BQ459" s="3">
        <f>+IF(AVANCE[[#This Row],[WC]]=Y$2,100%,AVANCE[[#This Row],[WC]])</f>
        <v>0</v>
      </c>
      <c r="BR459" s="3">
        <f>+IF(AVANCE[[#This Row],[LAVAMANOS / LAVAPLATOS / LAVADERO]]=Z$2,100%,AVANCE[[#This Row],[LAVAMANOS / LAVAPLATOS / LAVADERO]])</f>
        <v>0</v>
      </c>
      <c r="BS459" s="3">
        <f>+IF(AVANCE[[#This Row],[CANALIZACIÓN]]=AC$2,100%,AVANCE[[#This Row],[CANALIZACIÓN]])</f>
        <v>0</v>
      </c>
      <c r="BT459" s="3">
        <f>+IF(AVANCE[[#This Row],[CABLEADO]]=AD$2,100%,AVANCE[[#This Row],[CABLEADO]])</f>
        <v>0</v>
      </c>
      <c r="BU459" s="3">
        <f>+IF(AVANCE[[#This Row],[ARTEFACTOS]]=AE$2,100%,AVANCE[[#This Row],[ARTEFACTOS]])</f>
        <v>0</v>
      </c>
      <c r="BV459" s="3">
        <f>+IF(AVANCE[[#This Row],[TABLERO]]=AF$2,100%,AVANCE[[#This Row],[TABLERO]])</f>
        <v>0</v>
      </c>
      <c r="BW459" s="3">
        <f>+IF(AVANCE[[#This Row],[CAJA PAU]]=AG$2,100%,AVANCE[[#This Row],[CAJA PAU]])</f>
        <v>0</v>
      </c>
      <c r="BX459" s="3">
        <f>+IF(AVANCE[[#This Row],[INSTALACION VINILICO]]=AJ$2,100%,AVANCE[[#This Row],[INSTALACION VINILICO]])</f>
        <v>0</v>
      </c>
      <c r="BY459" s="3">
        <f>+IF(AVANCE[[#This Row],[OSB CUBIERTA]]=AK$2,100%,AVANCE[[#This Row],[OSB CUBIERTA]])</f>
        <v>0</v>
      </c>
      <c r="BZ459" s="3">
        <f>+IF(AVANCE[[#This Row],[BARANDA BALCON]]=AL$2,100%,AVANCE[[#This Row],[BARANDA BALCON]])</f>
        <v>0</v>
      </c>
      <c r="CA459" s="3">
        <f>+IF(AVANCE[[#This Row],[OSB EXTERIOR]]=AM$2,100%,AVANCE[[#This Row],[OSB EXTERIOR]])</f>
        <v>0</v>
      </c>
      <c r="CB459" s="3">
        <f>+IF(AVANCE[[#This Row],[SMART PANEL]]=AN$2,100%,AVANCE[[#This Row],[SMART PANEL]])</f>
        <v>0</v>
      </c>
      <c r="CC459" s="3">
        <f>+IF(AVANCE[[#This Row],[PINTURA EXTERIOR]]=AO$2,100%,AVANCE[[#This Row],[PINTURA EXTERIOR]])</f>
        <v>0</v>
      </c>
      <c r="CD459" s="3">
        <f>+IF(AVANCE[[#This Row],[ZOCALOS LOGIA]]=AP$2,100%,AVANCE[[#This Row],[ZOCALOS LOGIA]])</f>
        <v>0</v>
      </c>
      <c r="CE459" s="3">
        <f>+IF(AVANCE[[#This Row],[MOLDURAS]]=AQ$2,100%,AVANCE[[#This Row],[MOLDURAS]])</f>
        <v>0</v>
      </c>
      <c r="CF459" s="3">
        <f>+IF(AVANCE[[#This Row],[PILASTREO]]=AR$2,100%,AVANCE[[#This Row],[PILASTREO]])</f>
        <v>0</v>
      </c>
      <c r="CG459" s="3">
        <f>+IF(AVANCE[[#This Row],[CELOSIAS]]=AS$2,100%,AVANCE[[#This Row],[CELOSIAS]])</f>
        <v>0</v>
      </c>
      <c r="CH459" s="3">
        <f>+IF(AVANCE[[#This Row],[VENTANAS]]=AT$2,100%,AVANCE[[#This Row],[VENTANAS]])</f>
        <v>0</v>
      </c>
      <c r="CI459" s="3">
        <f>+IF(AVANCE[[#This Row],[PUERTAS ACCESO - LOGIA - BANO]]=AU$2,100%,AVANCE[[#This Row],[PUERTAS ACCESO - LOGIA - BANO]])</f>
        <v>0</v>
      </c>
      <c r="CJ459" s="3">
        <f>+IF(AVANCE[[#This Row],[CERRADURAS]]=AV$2,100%,AVANCE[[#This Row],[CERRADURAS]])</f>
        <v>0</v>
      </c>
      <c r="CK459" s="3">
        <f>+IF(AVANCE[[#This Row],[REVESTIMIENTO INTERIOR ZONA SECA]]=AW$2,100%,AVANCE[[#This Row],[REVESTIMIENTO INTERIOR ZONA SECA]])</f>
        <v>0</v>
      </c>
      <c r="CL459" s="3">
        <f>+IF(AVANCE[[#This Row],[REVESTIMIENTO INTERIOR ZONAS HUMEDAS]]=AX$2,100%,AVANCE[[#This Row],[REVESTIMIENTO INTERIOR ZONAS HUMEDAS]])</f>
        <v>0</v>
      </c>
      <c r="CM459" s="3">
        <f>+IF(AVANCE[[#This Row],[MEMBRANA CIELO]]=AY$2,100%,AVANCE[[#This Row],[MEMBRANA CIELO]])</f>
        <v>0</v>
      </c>
      <c r="CN459" s="3">
        <f>+IF(AVANCE[[#This Row],[LIMPIEZA FINAL]]=AZ$2,100%,AVANCE[[#This Row],[LIMPIEZA FINAL]])</f>
        <v>0</v>
      </c>
      <c r="CO459" s="3">
        <f>+IF(AVANCE[[#This Row],[PUERTAS DORMITORIO]]=BA$2,100%,AVANCE[[#This Row],[PUERTAS DORMITORIO]])</f>
        <v>0</v>
      </c>
      <c r="CP459" s="3">
        <f>+IF(AVANCE[[#This Row],[REVESTIMIENTO INTERIOR BANO]]=BB$2,100%,AVANCE[[#This Row],[REVESTIMIENTO INTERIOR BANO]])</f>
        <v>0</v>
      </c>
      <c r="CQ459" s="3">
        <f>+IF(AVANCE[[#This Row],[MUEBLE LAVAPLATOS]]=BC$2,100%,AVANCE[[#This Row],[MUEBLE LAVAPLATOS]])</f>
        <v>0</v>
      </c>
      <c r="CR459" s="3">
        <f>+IF(AVANCE[[#This Row],[IMPERMEABILIZACION BANO - COCINA LOGIA]]=BD$2,100%,AVANCE[[#This Row],[IMPERMEABILIZACION BANO - COCINA LOGIA]])</f>
        <v>0</v>
      </c>
      <c r="CS459" s="40">
        <f ca="1">+IF(AVANCE[[#This Row],[ESTADO MODULO]]="PENDIENTE",(TODAY()-AVANCE[[#This Row],[FECHA TERMINO  PLANIFICADO]]),0)</f>
        <v>0</v>
      </c>
      <c r="CT459" s="41" t="str" cm="1">
        <f t="array" ref="CT459">_xlfn.TEXTJOIN(" | ",TRUE,IF(SUMPRODUCT((BG459:CR459&lt;1)*(PARTIDAS!$I$2:$AT$2="OBRA GRUESA"))&gt;0,"OBRA GRUESA: "&amp;_xlfn.TEXTJOIN(", ",TRUE,IF((BG459:CR459&lt;1)*(PARTIDAS!$I$2:$AT$2="OBRA GRUESA"),PARTIDAS!$I$1:$AT$1,"")),""),IF(SUMPRODUCT((BG459:CR459&lt;1)*(PARTIDAS!$I$2:$AT$2="SANITARIOS"))&gt;0,"SANITARIOS: "&amp;_xlfn.TEXTJOIN(", ",TRUE,IF((BG459:CR459&lt;1)*(PARTIDAS!$I$2:$AT$2="SANITARIOS"),PARTIDAS!$I$1:$AT$1,"")),""),IF(SUMPRODUCT((BG459:CR459&lt;1)*(PARTIDAS!$I$2:$AT$2="ELÉCTRICO"))&gt;0,"ELÉCTRICO: "&amp;_xlfn.TEXTJOIN(", ",TRUE,IF((BG459:CR459&lt;1)*(PARTIDAS!$I$2:$AT$2="ELÉCTRICO"),PARTIDAS!$I$1:$AT$1,"")),""),IF(SUMPRODUCT((BG459:CR459&lt;1)*(PARTIDAS!$I$2:$AT$2="TERMINACIONES"))&gt;0,"TERMINACIONES: "&amp;_xlfn.TEXTJOIN(", ",TRUE,IF((BG459:CR459&lt;1)*(PARTIDAS!$I$2:$AT$2="TERMINACIONES"),PARTIDAS!$I$1:$AT$1,"")),""))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59" s="43" t="str" cm="1">
        <f t="array" ref="CU459">_xlfn.TEXTJOIN(", ",TRUE,IF(SUMPRODUCT((BG459:CR459&lt;1)*(PARTIDAS!$I$2:$AT$2="OBRA GRUESA"))&gt;0,"OBRA GRUESA",""),IF(SUMPRODUCT((BG459:CR459&lt;1)*(PARTIDAS!$I$2:$AT$2="SANITARIOS"))&gt;0,"SANITARIOS",""),IF(SUMPRODUCT((BG459:CR459&lt;1)*(PARTIDAS!$I$2:$AT$2="ELÉCTRICO"))&gt;0,"ELÉCTRICO",""),IF(SUMPRODUCT((BG459:CR459&lt;1)*(PARTIDAS!$I$2:$AT$2="TERMINACIONES"))&gt;0,"TERMINACIONES",""))</f>
        <v>OBRA GRUESA, SANITARIOS, ELÉCTRICO, TERMINACIONES</v>
      </c>
      <c r="CV459" s="44" cm="1">
        <f t="array" ref="CV459">SUMPRODUCT(--(BG459:CR459&lt;1))</f>
        <v>38</v>
      </c>
    </row>
    <row r="460" spans="1:100" hidden="1" x14ac:dyDescent="0.25">
      <c r="A460" t="s">
        <v>520</v>
      </c>
      <c r="B460" t="s">
        <v>531</v>
      </c>
      <c r="C460">
        <v>2302600459</v>
      </c>
      <c r="D460" t="s">
        <v>60</v>
      </c>
      <c r="E460" s="2">
        <v>0</v>
      </c>
      <c r="F460" s="1">
        <v>46367</v>
      </c>
      <c r="G460" s="1"/>
      <c r="H460" s="1">
        <v>0</v>
      </c>
      <c r="I460" s="1">
        <v>46397</v>
      </c>
      <c r="J460">
        <v>46230</v>
      </c>
      <c r="K460" s="1"/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>
        <v>31.32</v>
      </c>
      <c r="BF460" s="3" t="str">
        <f>+IF(AVANCE[[#This Row],[% AVANCE]]=100%,"MODULO TERMINADO",IF(AVANCE[[#This Row],[FECHA INICIO REAL]]="","MODULO NO INICIADO","PENDIENTE"))</f>
        <v>MODULO NO INICIADO</v>
      </c>
      <c r="BG460" s="3">
        <f>+IF(AVANCE[[#This Row],[VENTANAS]]=8.10810810810811%,100%,AVANCE[[#This Row],[VENTANAS]])</f>
        <v>0</v>
      </c>
      <c r="BH460" s="3">
        <f>+IF(AVANCE[[#This Row],[PISO]]=N$2,100%,AVANCE[[#This Row],[PISO]])</f>
        <v>0</v>
      </c>
      <c r="BI460" s="3">
        <f>+IF(AVANCE[[#This Row],[TABIQUES]]=O$2,100%,AVANCE[[#This Row],[TABIQUES]])</f>
        <v>0</v>
      </c>
      <c r="BJ460" s="3">
        <f>+IF(AVANCE[[#This Row],[MUROS]]=P$2,100%,AVANCE[[#This Row],[MUROS]])</f>
        <v>0</v>
      </c>
      <c r="BK460" s="3">
        <f>+IF(AVANCE[[#This Row],[CIELO]]=Q$2,100%,AVANCE[[#This Row],[CIELO]])</f>
        <v>0</v>
      </c>
      <c r="BL460" s="3">
        <f>+IF(AVANCE[[#This Row],[BALCÓN]]=R$2,100%,AVANCE[[#This Row],[BALCÓN]])</f>
        <v>0</v>
      </c>
      <c r="BM460" s="3">
        <f>+IF(AVANCE[[#This Row],[RED ALCANTARILLADO]]=U$2,100%,AVANCE[[#This Row],[RED ALCANTARILLADO]])</f>
        <v>0</v>
      </c>
      <c r="BN460" s="3">
        <f>+IF(AVANCE[[#This Row],[RED DE AGUA]]=V$2,100%,AVANCE[[#This Row],[RED DE AGUA]])</f>
        <v>0</v>
      </c>
      <c r="BO460" s="3">
        <f>+IF(AVANCE[[#This Row],[VENTILACIONES]]=W$2,100%,AVANCE[[#This Row],[VENTILACIONES]])</f>
        <v>0</v>
      </c>
      <c r="BP460" s="3">
        <f>+IF(AVANCE[[#This Row],[TINA]]=X$2,100%,AVANCE[[#This Row],[TINA]])</f>
        <v>0</v>
      </c>
      <c r="BQ460" s="3">
        <f>+IF(AVANCE[[#This Row],[WC]]=Y$2,100%,AVANCE[[#This Row],[WC]])</f>
        <v>0</v>
      </c>
      <c r="BR460" s="3">
        <f>+IF(AVANCE[[#This Row],[LAVAMANOS / LAVAPLATOS / LAVADERO]]=Z$2,100%,AVANCE[[#This Row],[LAVAMANOS / LAVAPLATOS / LAVADERO]])</f>
        <v>0</v>
      </c>
      <c r="BS460" s="3">
        <f>+IF(AVANCE[[#This Row],[CANALIZACIÓN]]=AC$2,100%,AVANCE[[#This Row],[CANALIZACIÓN]])</f>
        <v>0</v>
      </c>
      <c r="BT460" s="3">
        <f>+IF(AVANCE[[#This Row],[CABLEADO]]=AD$2,100%,AVANCE[[#This Row],[CABLEADO]])</f>
        <v>0</v>
      </c>
      <c r="BU460" s="3">
        <f>+IF(AVANCE[[#This Row],[ARTEFACTOS]]=AE$2,100%,AVANCE[[#This Row],[ARTEFACTOS]])</f>
        <v>0</v>
      </c>
      <c r="BV460" s="3">
        <f>+IF(AVANCE[[#This Row],[TABLERO]]=AF$2,100%,AVANCE[[#This Row],[TABLERO]])</f>
        <v>0</v>
      </c>
      <c r="BW460" s="3">
        <f>+IF(AVANCE[[#This Row],[CAJA PAU]]=AG$2,100%,AVANCE[[#This Row],[CAJA PAU]])</f>
        <v>0</v>
      </c>
      <c r="BX460" s="3">
        <f>+IF(AVANCE[[#This Row],[INSTALACION VINILICO]]=AJ$2,100%,AVANCE[[#This Row],[INSTALACION VINILICO]])</f>
        <v>0</v>
      </c>
      <c r="BY460" s="3">
        <f>+IF(AVANCE[[#This Row],[OSB CUBIERTA]]=AK$2,100%,AVANCE[[#This Row],[OSB CUBIERTA]])</f>
        <v>0</v>
      </c>
      <c r="BZ460" s="3">
        <f>+IF(AVANCE[[#This Row],[BARANDA BALCON]]=AL$2,100%,AVANCE[[#This Row],[BARANDA BALCON]])</f>
        <v>0</v>
      </c>
      <c r="CA460" s="3">
        <f>+IF(AVANCE[[#This Row],[OSB EXTERIOR]]=AM$2,100%,AVANCE[[#This Row],[OSB EXTERIOR]])</f>
        <v>0</v>
      </c>
      <c r="CB460" s="3">
        <f>+IF(AVANCE[[#This Row],[SMART PANEL]]=AN$2,100%,AVANCE[[#This Row],[SMART PANEL]])</f>
        <v>0</v>
      </c>
      <c r="CC460" s="3">
        <f>+IF(AVANCE[[#This Row],[PINTURA EXTERIOR]]=AO$2,100%,AVANCE[[#This Row],[PINTURA EXTERIOR]])</f>
        <v>0</v>
      </c>
      <c r="CD460" s="3">
        <f>+IF(AVANCE[[#This Row],[ZOCALOS LOGIA]]=AP$2,100%,AVANCE[[#This Row],[ZOCALOS LOGIA]])</f>
        <v>0</v>
      </c>
      <c r="CE460" s="3">
        <f>+IF(AVANCE[[#This Row],[MOLDURAS]]=AQ$2,100%,AVANCE[[#This Row],[MOLDURAS]])</f>
        <v>0</v>
      </c>
      <c r="CF460" s="3">
        <f>+IF(AVANCE[[#This Row],[PILASTREO]]=AR$2,100%,AVANCE[[#This Row],[PILASTREO]])</f>
        <v>0</v>
      </c>
      <c r="CG460" s="3">
        <f>+IF(AVANCE[[#This Row],[CELOSIAS]]=AS$2,100%,AVANCE[[#This Row],[CELOSIAS]])</f>
        <v>0</v>
      </c>
      <c r="CH460" s="3">
        <f>+IF(AVANCE[[#This Row],[VENTANAS]]=AT$2,100%,AVANCE[[#This Row],[VENTANAS]])</f>
        <v>0</v>
      </c>
      <c r="CI460" s="3">
        <f>+IF(AVANCE[[#This Row],[PUERTAS ACCESO - LOGIA - BANO]]=AU$2,100%,AVANCE[[#This Row],[PUERTAS ACCESO - LOGIA - BANO]])</f>
        <v>0</v>
      </c>
      <c r="CJ460" s="3">
        <f>+IF(AVANCE[[#This Row],[CERRADURAS]]=AV$2,100%,AVANCE[[#This Row],[CERRADURAS]])</f>
        <v>0</v>
      </c>
      <c r="CK460" s="3">
        <f>+IF(AVANCE[[#This Row],[REVESTIMIENTO INTERIOR ZONA SECA]]=AW$2,100%,AVANCE[[#This Row],[REVESTIMIENTO INTERIOR ZONA SECA]])</f>
        <v>0</v>
      </c>
      <c r="CL460" s="3">
        <f>+IF(AVANCE[[#This Row],[REVESTIMIENTO INTERIOR ZONAS HUMEDAS]]=AX$2,100%,AVANCE[[#This Row],[REVESTIMIENTO INTERIOR ZONAS HUMEDAS]])</f>
        <v>0</v>
      </c>
      <c r="CM460" s="3">
        <f>+IF(AVANCE[[#This Row],[MEMBRANA CIELO]]=AY$2,100%,AVANCE[[#This Row],[MEMBRANA CIELO]])</f>
        <v>0</v>
      </c>
      <c r="CN460" s="3">
        <f>+IF(AVANCE[[#This Row],[LIMPIEZA FINAL]]=AZ$2,100%,AVANCE[[#This Row],[LIMPIEZA FINAL]])</f>
        <v>0</v>
      </c>
      <c r="CO460" s="3">
        <f>+IF(AVANCE[[#This Row],[PUERTAS DORMITORIO]]=BA$2,100%,AVANCE[[#This Row],[PUERTAS DORMITORIO]])</f>
        <v>0</v>
      </c>
      <c r="CP460" s="3">
        <f>+IF(AVANCE[[#This Row],[REVESTIMIENTO INTERIOR BANO]]=BB$2,100%,AVANCE[[#This Row],[REVESTIMIENTO INTERIOR BANO]])</f>
        <v>0</v>
      </c>
      <c r="CQ460" s="3">
        <f>+IF(AVANCE[[#This Row],[MUEBLE LAVAPLATOS]]=BC$2,100%,AVANCE[[#This Row],[MUEBLE LAVAPLATOS]])</f>
        <v>0</v>
      </c>
      <c r="CR460" s="3">
        <f>+IF(AVANCE[[#This Row],[IMPERMEABILIZACION BANO - COCINA LOGIA]]=BD$2,100%,AVANCE[[#This Row],[IMPERMEABILIZACION BANO - COCINA LOGIA]])</f>
        <v>0</v>
      </c>
      <c r="CS460" s="40">
        <f ca="1">+IF(AVANCE[[#This Row],[ESTADO MODULO]]="PENDIENTE",(TODAY()-AVANCE[[#This Row],[FECHA TERMINO  PLANIFICADO]]),0)</f>
        <v>0</v>
      </c>
      <c r="CT460" s="41" t="str" cm="1">
        <f t="array" ref="CT460">_xlfn.TEXTJOIN(" | ",TRUE,IF(SUMPRODUCT((BG460:CR460&lt;1)*(PARTIDAS!$I$2:$AT$2="OBRA GRUESA"))&gt;0,"OBRA GRUESA: "&amp;_xlfn.TEXTJOIN(", ",TRUE,IF((BG460:CR460&lt;1)*(PARTIDAS!$I$2:$AT$2="OBRA GRUESA"),PARTIDAS!$I$1:$AT$1,"")),""),IF(SUMPRODUCT((BG460:CR460&lt;1)*(PARTIDAS!$I$2:$AT$2="SANITARIOS"))&gt;0,"SANITARIOS: "&amp;_xlfn.TEXTJOIN(", ",TRUE,IF((BG460:CR460&lt;1)*(PARTIDAS!$I$2:$AT$2="SANITARIOS"),PARTIDAS!$I$1:$AT$1,"")),""),IF(SUMPRODUCT((BG460:CR460&lt;1)*(PARTIDAS!$I$2:$AT$2="ELÉCTRICO"))&gt;0,"ELÉCTRICO: "&amp;_xlfn.TEXTJOIN(", ",TRUE,IF((BG460:CR460&lt;1)*(PARTIDAS!$I$2:$AT$2="ELÉCTRICO"),PARTIDAS!$I$1:$AT$1,"")),""),IF(SUMPRODUCT((BG460:CR460&lt;1)*(PARTIDAS!$I$2:$AT$2="TERMINACIONES"))&gt;0,"TERMINACIONES: "&amp;_xlfn.TEXTJOIN(", ",TRUE,IF((BG460:CR460&lt;1)*(PARTIDAS!$I$2:$AT$2="TERMINACIONES"),PARTIDAS!$I$1:$AT$1,"")),""))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0" s="43" t="str" cm="1">
        <f t="array" ref="CU460">_xlfn.TEXTJOIN(", ",TRUE,IF(SUMPRODUCT((BG460:CR460&lt;1)*(PARTIDAS!$I$2:$AT$2="OBRA GRUESA"))&gt;0,"OBRA GRUESA",""),IF(SUMPRODUCT((BG460:CR460&lt;1)*(PARTIDAS!$I$2:$AT$2="SANITARIOS"))&gt;0,"SANITARIOS",""),IF(SUMPRODUCT((BG460:CR460&lt;1)*(PARTIDAS!$I$2:$AT$2="ELÉCTRICO"))&gt;0,"ELÉCTRICO",""),IF(SUMPRODUCT((BG460:CR460&lt;1)*(PARTIDAS!$I$2:$AT$2="TERMINACIONES"))&gt;0,"TERMINACIONES",""))</f>
        <v>OBRA GRUESA, SANITARIOS, ELÉCTRICO, TERMINACIONES</v>
      </c>
      <c r="CV460" s="44" cm="1">
        <f t="array" ref="CV460">SUMPRODUCT(--(BG460:CR460&lt;1))</f>
        <v>38</v>
      </c>
    </row>
    <row r="461" spans="1:100" hidden="1" x14ac:dyDescent="0.25">
      <c r="A461" t="s">
        <v>520</v>
      </c>
      <c r="B461" t="s">
        <v>532</v>
      </c>
      <c r="C461">
        <v>2282600460</v>
      </c>
      <c r="D461" t="s">
        <v>58</v>
      </c>
      <c r="E461" s="2">
        <v>0</v>
      </c>
      <c r="F461" s="1">
        <v>46367</v>
      </c>
      <c r="G461" s="1"/>
      <c r="H461" s="1">
        <v>0</v>
      </c>
      <c r="I461" s="1">
        <v>46387</v>
      </c>
      <c r="J461">
        <v>46230</v>
      </c>
      <c r="K461" s="1"/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>
        <v>28.87</v>
      </c>
      <c r="BF461" s="3" t="str">
        <f>+IF(AVANCE[[#This Row],[% AVANCE]]=100%,"MODULO TERMINADO",IF(AVANCE[[#This Row],[FECHA INICIO REAL]]="","MODULO NO INICIADO","PENDIENTE"))</f>
        <v>MODULO NO INICIADO</v>
      </c>
      <c r="BG461" s="3">
        <f>+IF(AVANCE[[#This Row],[VENTANAS]]=8.10810810810811%,100%,AVANCE[[#This Row],[VENTANAS]])</f>
        <v>0</v>
      </c>
      <c r="BH461" s="3">
        <f>+IF(AVANCE[[#This Row],[PISO]]=N$2,100%,AVANCE[[#This Row],[PISO]])</f>
        <v>0</v>
      </c>
      <c r="BI461" s="3">
        <f>+IF(AVANCE[[#This Row],[TABIQUES]]=O$2,100%,AVANCE[[#This Row],[TABIQUES]])</f>
        <v>0</v>
      </c>
      <c r="BJ461" s="3">
        <f>+IF(AVANCE[[#This Row],[MUROS]]=P$2,100%,AVANCE[[#This Row],[MUROS]])</f>
        <v>0</v>
      </c>
      <c r="BK461" s="3">
        <f>+IF(AVANCE[[#This Row],[CIELO]]=Q$2,100%,AVANCE[[#This Row],[CIELO]])</f>
        <v>0</v>
      </c>
      <c r="BL461" s="3">
        <f>+IF(AVANCE[[#This Row],[BALCÓN]]=R$2,100%,AVANCE[[#This Row],[BALCÓN]])</f>
        <v>0</v>
      </c>
      <c r="BM461" s="3">
        <f>+IF(AVANCE[[#This Row],[RED ALCANTARILLADO]]=U$2,100%,AVANCE[[#This Row],[RED ALCANTARILLADO]])</f>
        <v>0</v>
      </c>
      <c r="BN461" s="3">
        <f>+IF(AVANCE[[#This Row],[RED DE AGUA]]=V$2,100%,AVANCE[[#This Row],[RED DE AGUA]])</f>
        <v>0</v>
      </c>
      <c r="BO461" s="3">
        <f>+IF(AVANCE[[#This Row],[VENTILACIONES]]=W$2,100%,AVANCE[[#This Row],[VENTILACIONES]])</f>
        <v>0</v>
      </c>
      <c r="BP461" s="3">
        <f>+IF(AVANCE[[#This Row],[TINA]]=X$2,100%,AVANCE[[#This Row],[TINA]])</f>
        <v>0</v>
      </c>
      <c r="BQ461" s="3">
        <f>+IF(AVANCE[[#This Row],[WC]]=Y$2,100%,AVANCE[[#This Row],[WC]])</f>
        <v>0</v>
      </c>
      <c r="BR461" s="3">
        <f>+IF(AVANCE[[#This Row],[LAVAMANOS / LAVAPLATOS / LAVADERO]]=Z$2,100%,AVANCE[[#This Row],[LAVAMANOS / LAVAPLATOS / LAVADERO]])</f>
        <v>0</v>
      </c>
      <c r="BS461" s="3">
        <f>+IF(AVANCE[[#This Row],[CANALIZACIÓN]]=AC$2,100%,AVANCE[[#This Row],[CANALIZACIÓN]])</f>
        <v>0</v>
      </c>
      <c r="BT461" s="3">
        <f>+IF(AVANCE[[#This Row],[CABLEADO]]=AD$2,100%,AVANCE[[#This Row],[CABLEADO]])</f>
        <v>0</v>
      </c>
      <c r="BU461" s="3">
        <f>+IF(AVANCE[[#This Row],[ARTEFACTOS]]=AE$2,100%,AVANCE[[#This Row],[ARTEFACTOS]])</f>
        <v>0</v>
      </c>
      <c r="BV461" s="3">
        <f>+IF(AVANCE[[#This Row],[TABLERO]]=AF$2,100%,AVANCE[[#This Row],[TABLERO]])</f>
        <v>0</v>
      </c>
      <c r="BW461" s="3">
        <f>+IF(AVANCE[[#This Row],[CAJA PAU]]=AG$2,100%,AVANCE[[#This Row],[CAJA PAU]])</f>
        <v>0</v>
      </c>
      <c r="BX461" s="3">
        <f>+IF(AVANCE[[#This Row],[INSTALACION VINILICO]]=AJ$2,100%,AVANCE[[#This Row],[INSTALACION VINILICO]])</f>
        <v>0</v>
      </c>
      <c r="BY461" s="3">
        <f>+IF(AVANCE[[#This Row],[OSB CUBIERTA]]=AK$2,100%,AVANCE[[#This Row],[OSB CUBIERTA]])</f>
        <v>0</v>
      </c>
      <c r="BZ461" s="3">
        <f>+IF(AVANCE[[#This Row],[BARANDA BALCON]]=AL$2,100%,AVANCE[[#This Row],[BARANDA BALCON]])</f>
        <v>0</v>
      </c>
      <c r="CA461" s="3">
        <f>+IF(AVANCE[[#This Row],[OSB EXTERIOR]]=AM$2,100%,AVANCE[[#This Row],[OSB EXTERIOR]])</f>
        <v>0</v>
      </c>
      <c r="CB461" s="3">
        <f>+IF(AVANCE[[#This Row],[SMART PANEL]]=AN$2,100%,AVANCE[[#This Row],[SMART PANEL]])</f>
        <v>0</v>
      </c>
      <c r="CC461" s="3">
        <f>+IF(AVANCE[[#This Row],[PINTURA EXTERIOR]]=AO$2,100%,AVANCE[[#This Row],[PINTURA EXTERIOR]])</f>
        <v>0</v>
      </c>
      <c r="CD461" s="3">
        <f>+IF(AVANCE[[#This Row],[ZOCALOS LOGIA]]=AP$2,100%,AVANCE[[#This Row],[ZOCALOS LOGIA]])</f>
        <v>0</v>
      </c>
      <c r="CE461" s="3">
        <f>+IF(AVANCE[[#This Row],[MOLDURAS]]=AQ$2,100%,AVANCE[[#This Row],[MOLDURAS]])</f>
        <v>0</v>
      </c>
      <c r="CF461" s="3">
        <f>+IF(AVANCE[[#This Row],[PILASTREO]]=AR$2,100%,AVANCE[[#This Row],[PILASTREO]])</f>
        <v>0</v>
      </c>
      <c r="CG461" s="3">
        <f>+IF(AVANCE[[#This Row],[CELOSIAS]]=AS$2,100%,AVANCE[[#This Row],[CELOSIAS]])</f>
        <v>0</v>
      </c>
      <c r="CH461" s="3">
        <f>+IF(AVANCE[[#This Row],[VENTANAS]]=AT$2,100%,AVANCE[[#This Row],[VENTANAS]])</f>
        <v>0</v>
      </c>
      <c r="CI461" s="3">
        <f>+IF(AVANCE[[#This Row],[PUERTAS ACCESO - LOGIA - BANO]]=AU$2,100%,AVANCE[[#This Row],[PUERTAS ACCESO - LOGIA - BANO]])</f>
        <v>0</v>
      </c>
      <c r="CJ461" s="3">
        <f>+IF(AVANCE[[#This Row],[CERRADURAS]]=AV$2,100%,AVANCE[[#This Row],[CERRADURAS]])</f>
        <v>0</v>
      </c>
      <c r="CK461" s="3">
        <f>+IF(AVANCE[[#This Row],[REVESTIMIENTO INTERIOR ZONA SECA]]=AW$2,100%,AVANCE[[#This Row],[REVESTIMIENTO INTERIOR ZONA SECA]])</f>
        <v>0</v>
      </c>
      <c r="CL461" s="3">
        <f>+IF(AVANCE[[#This Row],[REVESTIMIENTO INTERIOR ZONAS HUMEDAS]]=AX$2,100%,AVANCE[[#This Row],[REVESTIMIENTO INTERIOR ZONAS HUMEDAS]])</f>
        <v>0</v>
      </c>
      <c r="CM461" s="3">
        <f>+IF(AVANCE[[#This Row],[MEMBRANA CIELO]]=AY$2,100%,AVANCE[[#This Row],[MEMBRANA CIELO]])</f>
        <v>0</v>
      </c>
      <c r="CN461" s="3">
        <f>+IF(AVANCE[[#This Row],[LIMPIEZA FINAL]]=AZ$2,100%,AVANCE[[#This Row],[LIMPIEZA FINAL]])</f>
        <v>0</v>
      </c>
      <c r="CO461" s="3">
        <f>+IF(AVANCE[[#This Row],[PUERTAS DORMITORIO]]=BA$2,100%,AVANCE[[#This Row],[PUERTAS DORMITORIO]])</f>
        <v>0</v>
      </c>
      <c r="CP461" s="3">
        <f>+IF(AVANCE[[#This Row],[REVESTIMIENTO INTERIOR BANO]]=BB$2,100%,AVANCE[[#This Row],[REVESTIMIENTO INTERIOR BANO]])</f>
        <v>0</v>
      </c>
      <c r="CQ461" s="3">
        <f>+IF(AVANCE[[#This Row],[MUEBLE LAVAPLATOS]]=BC$2,100%,AVANCE[[#This Row],[MUEBLE LAVAPLATOS]])</f>
        <v>0</v>
      </c>
      <c r="CR461" s="3">
        <f>+IF(AVANCE[[#This Row],[IMPERMEABILIZACION BANO - COCINA LOGIA]]=BD$2,100%,AVANCE[[#This Row],[IMPERMEABILIZACION BANO - COCINA LOGIA]])</f>
        <v>0</v>
      </c>
      <c r="CS461" s="40">
        <f ca="1">+IF(AVANCE[[#This Row],[ESTADO MODULO]]="PENDIENTE",(TODAY()-AVANCE[[#This Row],[FECHA TERMINO  PLANIFICADO]]),0)</f>
        <v>0</v>
      </c>
      <c r="CT461" s="41" t="str" cm="1">
        <f t="array" ref="CT461">_xlfn.TEXTJOIN(" | ",TRUE,IF(SUMPRODUCT((BG461:CR461&lt;1)*(PARTIDAS!$I$2:$AT$2="OBRA GRUESA"))&gt;0,"OBRA GRUESA: "&amp;_xlfn.TEXTJOIN(", ",TRUE,IF((BG461:CR461&lt;1)*(PARTIDAS!$I$2:$AT$2="OBRA GRUESA"),PARTIDAS!$I$1:$AT$1,"")),""),IF(SUMPRODUCT((BG461:CR461&lt;1)*(PARTIDAS!$I$2:$AT$2="SANITARIOS"))&gt;0,"SANITARIOS: "&amp;_xlfn.TEXTJOIN(", ",TRUE,IF((BG461:CR461&lt;1)*(PARTIDAS!$I$2:$AT$2="SANITARIOS"),PARTIDAS!$I$1:$AT$1,"")),""),IF(SUMPRODUCT((BG461:CR461&lt;1)*(PARTIDAS!$I$2:$AT$2="ELÉCTRICO"))&gt;0,"ELÉCTRICO: "&amp;_xlfn.TEXTJOIN(", ",TRUE,IF((BG461:CR461&lt;1)*(PARTIDAS!$I$2:$AT$2="ELÉCTRICO"),PARTIDAS!$I$1:$AT$1,"")),""),IF(SUMPRODUCT((BG461:CR461&lt;1)*(PARTIDAS!$I$2:$AT$2="TERMINACIONES"))&gt;0,"TERMINACIONES: "&amp;_xlfn.TEXTJOIN(", ",TRUE,IF((BG461:CR461&lt;1)*(PARTIDAS!$I$2:$AT$2="TERMINACIONES"),PARTIDAS!$I$1:$AT$1,"")),""))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1" s="43" t="str" cm="1">
        <f t="array" ref="CU461">_xlfn.TEXTJOIN(", ",TRUE,IF(SUMPRODUCT((BG461:CR461&lt;1)*(PARTIDAS!$I$2:$AT$2="OBRA GRUESA"))&gt;0,"OBRA GRUESA",""),IF(SUMPRODUCT((BG461:CR461&lt;1)*(PARTIDAS!$I$2:$AT$2="SANITARIOS"))&gt;0,"SANITARIOS",""),IF(SUMPRODUCT((BG461:CR461&lt;1)*(PARTIDAS!$I$2:$AT$2="ELÉCTRICO"))&gt;0,"ELÉCTRICO",""),IF(SUMPRODUCT((BG461:CR461&lt;1)*(PARTIDAS!$I$2:$AT$2="TERMINACIONES"))&gt;0,"TERMINACIONES",""))</f>
        <v>OBRA GRUESA, SANITARIOS, ELÉCTRICO, TERMINACIONES</v>
      </c>
      <c r="CV461" s="44" cm="1">
        <f t="array" ref="CV461">SUMPRODUCT(--(BG461:CR461&lt;1))</f>
        <v>38</v>
      </c>
    </row>
    <row r="462" spans="1:100" hidden="1" x14ac:dyDescent="0.25">
      <c r="A462" t="s">
        <v>520</v>
      </c>
      <c r="B462" t="s">
        <v>533</v>
      </c>
      <c r="C462">
        <v>2282600461</v>
      </c>
      <c r="D462" t="s">
        <v>58</v>
      </c>
      <c r="E462" s="2">
        <v>0</v>
      </c>
      <c r="F462" s="1">
        <v>46370</v>
      </c>
      <c r="G462" s="1"/>
      <c r="H462" s="1">
        <v>0</v>
      </c>
      <c r="I462" s="1">
        <v>46390</v>
      </c>
      <c r="J462">
        <v>46230</v>
      </c>
      <c r="K462" s="1"/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>
        <v>28.87</v>
      </c>
      <c r="BF462" s="3" t="str">
        <f>+IF(AVANCE[[#This Row],[% AVANCE]]=100%,"MODULO TERMINADO",IF(AVANCE[[#This Row],[FECHA INICIO REAL]]="","MODULO NO INICIADO","PENDIENTE"))</f>
        <v>MODULO NO INICIADO</v>
      </c>
      <c r="BG462" s="3">
        <f>+IF(AVANCE[[#This Row],[VENTANAS]]=8.10810810810811%,100%,AVANCE[[#This Row],[VENTANAS]])</f>
        <v>0</v>
      </c>
      <c r="BH462" s="3">
        <f>+IF(AVANCE[[#This Row],[PISO]]=N$2,100%,AVANCE[[#This Row],[PISO]])</f>
        <v>0</v>
      </c>
      <c r="BI462" s="3">
        <f>+IF(AVANCE[[#This Row],[TABIQUES]]=O$2,100%,AVANCE[[#This Row],[TABIQUES]])</f>
        <v>0</v>
      </c>
      <c r="BJ462" s="3">
        <f>+IF(AVANCE[[#This Row],[MUROS]]=P$2,100%,AVANCE[[#This Row],[MUROS]])</f>
        <v>0</v>
      </c>
      <c r="BK462" s="3">
        <f>+IF(AVANCE[[#This Row],[CIELO]]=Q$2,100%,AVANCE[[#This Row],[CIELO]])</f>
        <v>0</v>
      </c>
      <c r="BL462" s="3">
        <f>+IF(AVANCE[[#This Row],[BALCÓN]]=R$2,100%,AVANCE[[#This Row],[BALCÓN]])</f>
        <v>0</v>
      </c>
      <c r="BM462" s="3">
        <f>+IF(AVANCE[[#This Row],[RED ALCANTARILLADO]]=U$2,100%,AVANCE[[#This Row],[RED ALCANTARILLADO]])</f>
        <v>0</v>
      </c>
      <c r="BN462" s="3">
        <f>+IF(AVANCE[[#This Row],[RED DE AGUA]]=V$2,100%,AVANCE[[#This Row],[RED DE AGUA]])</f>
        <v>0</v>
      </c>
      <c r="BO462" s="3">
        <f>+IF(AVANCE[[#This Row],[VENTILACIONES]]=W$2,100%,AVANCE[[#This Row],[VENTILACIONES]])</f>
        <v>0</v>
      </c>
      <c r="BP462" s="3">
        <f>+IF(AVANCE[[#This Row],[TINA]]=X$2,100%,AVANCE[[#This Row],[TINA]])</f>
        <v>0</v>
      </c>
      <c r="BQ462" s="3">
        <f>+IF(AVANCE[[#This Row],[WC]]=Y$2,100%,AVANCE[[#This Row],[WC]])</f>
        <v>0</v>
      </c>
      <c r="BR462" s="3">
        <f>+IF(AVANCE[[#This Row],[LAVAMANOS / LAVAPLATOS / LAVADERO]]=Z$2,100%,AVANCE[[#This Row],[LAVAMANOS / LAVAPLATOS / LAVADERO]])</f>
        <v>0</v>
      </c>
      <c r="BS462" s="3">
        <f>+IF(AVANCE[[#This Row],[CANALIZACIÓN]]=AC$2,100%,AVANCE[[#This Row],[CANALIZACIÓN]])</f>
        <v>0</v>
      </c>
      <c r="BT462" s="3">
        <f>+IF(AVANCE[[#This Row],[CABLEADO]]=AD$2,100%,AVANCE[[#This Row],[CABLEADO]])</f>
        <v>0</v>
      </c>
      <c r="BU462" s="3">
        <f>+IF(AVANCE[[#This Row],[ARTEFACTOS]]=AE$2,100%,AVANCE[[#This Row],[ARTEFACTOS]])</f>
        <v>0</v>
      </c>
      <c r="BV462" s="3">
        <f>+IF(AVANCE[[#This Row],[TABLERO]]=AF$2,100%,AVANCE[[#This Row],[TABLERO]])</f>
        <v>0</v>
      </c>
      <c r="BW462" s="3">
        <f>+IF(AVANCE[[#This Row],[CAJA PAU]]=AG$2,100%,AVANCE[[#This Row],[CAJA PAU]])</f>
        <v>0</v>
      </c>
      <c r="BX462" s="3">
        <f>+IF(AVANCE[[#This Row],[INSTALACION VINILICO]]=AJ$2,100%,AVANCE[[#This Row],[INSTALACION VINILICO]])</f>
        <v>0</v>
      </c>
      <c r="BY462" s="3">
        <f>+IF(AVANCE[[#This Row],[OSB CUBIERTA]]=AK$2,100%,AVANCE[[#This Row],[OSB CUBIERTA]])</f>
        <v>0</v>
      </c>
      <c r="BZ462" s="3">
        <f>+IF(AVANCE[[#This Row],[BARANDA BALCON]]=AL$2,100%,AVANCE[[#This Row],[BARANDA BALCON]])</f>
        <v>0</v>
      </c>
      <c r="CA462" s="3">
        <f>+IF(AVANCE[[#This Row],[OSB EXTERIOR]]=AM$2,100%,AVANCE[[#This Row],[OSB EXTERIOR]])</f>
        <v>0</v>
      </c>
      <c r="CB462" s="3">
        <f>+IF(AVANCE[[#This Row],[SMART PANEL]]=AN$2,100%,AVANCE[[#This Row],[SMART PANEL]])</f>
        <v>0</v>
      </c>
      <c r="CC462" s="3">
        <f>+IF(AVANCE[[#This Row],[PINTURA EXTERIOR]]=AO$2,100%,AVANCE[[#This Row],[PINTURA EXTERIOR]])</f>
        <v>0</v>
      </c>
      <c r="CD462" s="3">
        <f>+IF(AVANCE[[#This Row],[ZOCALOS LOGIA]]=AP$2,100%,AVANCE[[#This Row],[ZOCALOS LOGIA]])</f>
        <v>0</v>
      </c>
      <c r="CE462" s="3">
        <f>+IF(AVANCE[[#This Row],[MOLDURAS]]=AQ$2,100%,AVANCE[[#This Row],[MOLDURAS]])</f>
        <v>0</v>
      </c>
      <c r="CF462" s="3">
        <f>+IF(AVANCE[[#This Row],[PILASTREO]]=AR$2,100%,AVANCE[[#This Row],[PILASTREO]])</f>
        <v>0</v>
      </c>
      <c r="CG462" s="3">
        <f>+IF(AVANCE[[#This Row],[CELOSIAS]]=AS$2,100%,AVANCE[[#This Row],[CELOSIAS]])</f>
        <v>0</v>
      </c>
      <c r="CH462" s="3">
        <f>+IF(AVANCE[[#This Row],[VENTANAS]]=AT$2,100%,AVANCE[[#This Row],[VENTANAS]])</f>
        <v>0</v>
      </c>
      <c r="CI462" s="3">
        <f>+IF(AVANCE[[#This Row],[PUERTAS ACCESO - LOGIA - BANO]]=AU$2,100%,AVANCE[[#This Row],[PUERTAS ACCESO - LOGIA - BANO]])</f>
        <v>0</v>
      </c>
      <c r="CJ462" s="3">
        <f>+IF(AVANCE[[#This Row],[CERRADURAS]]=AV$2,100%,AVANCE[[#This Row],[CERRADURAS]])</f>
        <v>0</v>
      </c>
      <c r="CK462" s="3">
        <f>+IF(AVANCE[[#This Row],[REVESTIMIENTO INTERIOR ZONA SECA]]=AW$2,100%,AVANCE[[#This Row],[REVESTIMIENTO INTERIOR ZONA SECA]])</f>
        <v>0</v>
      </c>
      <c r="CL462" s="3">
        <f>+IF(AVANCE[[#This Row],[REVESTIMIENTO INTERIOR ZONAS HUMEDAS]]=AX$2,100%,AVANCE[[#This Row],[REVESTIMIENTO INTERIOR ZONAS HUMEDAS]])</f>
        <v>0</v>
      </c>
      <c r="CM462" s="3">
        <f>+IF(AVANCE[[#This Row],[MEMBRANA CIELO]]=AY$2,100%,AVANCE[[#This Row],[MEMBRANA CIELO]])</f>
        <v>0</v>
      </c>
      <c r="CN462" s="3">
        <f>+IF(AVANCE[[#This Row],[LIMPIEZA FINAL]]=AZ$2,100%,AVANCE[[#This Row],[LIMPIEZA FINAL]])</f>
        <v>0</v>
      </c>
      <c r="CO462" s="3">
        <f>+IF(AVANCE[[#This Row],[PUERTAS DORMITORIO]]=BA$2,100%,AVANCE[[#This Row],[PUERTAS DORMITORIO]])</f>
        <v>0</v>
      </c>
      <c r="CP462" s="3">
        <f>+IF(AVANCE[[#This Row],[REVESTIMIENTO INTERIOR BANO]]=BB$2,100%,AVANCE[[#This Row],[REVESTIMIENTO INTERIOR BANO]])</f>
        <v>0</v>
      </c>
      <c r="CQ462" s="3">
        <f>+IF(AVANCE[[#This Row],[MUEBLE LAVAPLATOS]]=BC$2,100%,AVANCE[[#This Row],[MUEBLE LAVAPLATOS]])</f>
        <v>0</v>
      </c>
      <c r="CR462" s="3">
        <f>+IF(AVANCE[[#This Row],[IMPERMEABILIZACION BANO - COCINA LOGIA]]=BD$2,100%,AVANCE[[#This Row],[IMPERMEABILIZACION BANO - COCINA LOGIA]])</f>
        <v>0</v>
      </c>
      <c r="CS462" s="40">
        <f ca="1">+IF(AVANCE[[#This Row],[ESTADO MODULO]]="PENDIENTE",(TODAY()-AVANCE[[#This Row],[FECHA TERMINO  PLANIFICADO]]),0)</f>
        <v>0</v>
      </c>
      <c r="CT462" s="41" t="str" cm="1">
        <f t="array" ref="CT462">_xlfn.TEXTJOIN(" | ",TRUE,IF(SUMPRODUCT((BG462:CR462&lt;1)*(PARTIDAS!$I$2:$AT$2="OBRA GRUESA"))&gt;0,"OBRA GRUESA: "&amp;_xlfn.TEXTJOIN(", ",TRUE,IF((BG462:CR462&lt;1)*(PARTIDAS!$I$2:$AT$2="OBRA GRUESA"),PARTIDAS!$I$1:$AT$1,"")),""),IF(SUMPRODUCT((BG462:CR462&lt;1)*(PARTIDAS!$I$2:$AT$2="SANITARIOS"))&gt;0,"SANITARIOS: "&amp;_xlfn.TEXTJOIN(", ",TRUE,IF((BG462:CR462&lt;1)*(PARTIDAS!$I$2:$AT$2="SANITARIOS"),PARTIDAS!$I$1:$AT$1,"")),""),IF(SUMPRODUCT((BG462:CR462&lt;1)*(PARTIDAS!$I$2:$AT$2="ELÉCTRICO"))&gt;0,"ELÉCTRICO: "&amp;_xlfn.TEXTJOIN(", ",TRUE,IF((BG462:CR462&lt;1)*(PARTIDAS!$I$2:$AT$2="ELÉCTRICO"),PARTIDAS!$I$1:$AT$1,"")),""),IF(SUMPRODUCT((BG462:CR462&lt;1)*(PARTIDAS!$I$2:$AT$2="TERMINACIONES"))&gt;0,"TERMINACIONES: "&amp;_xlfn.TEXTJOIN(", ",TRUE,IF((BG462:CR462&lt;1)*(PARTIDAS!$I$2:$AT$2="TERMINACIONES"),PARTIDAS!$I$1:$AT$1,"")),""))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2" s="43" t="str" cm="1">
        <f t="array" ref="CU462">_xlfn.TEXTJOIN(", ",TRUE,IF(SUMPRODUCT((BG462:CR462&lt;1)*(PARTIDAS!$I$2:$AT$2="OBRA GRUESA"))&gt;0,"OBRA GRUESA",""),IF(SUMPRODUCT((BG462:CR462&lt;1)*(PARTIDAS!$I$2:$AT$2="SANITARIOS"))&gt;0,"SANITARIOS",""),IF(SUMPRODUCT((BG462:CR462&lt;1)*(PARTIDAS!$I$2:$AT$2="ELÉCTRICO"))&gt;0,"ELÉCTRICO",""),IF(SUMPRODUCT((BG462:CR462&lt;1)*(PARTIDAS!$I$2:$AT$2="TERMINACIONES"))&gt;0,"TERMINACIONES",""))</f>
        <v>OBRA GRUESA, SANITARIOS, ELÉCTRICO, TERMINACIONES</v>
      </c>
      <c r="CV462" s="44" cm="1">
        <f t="array" ref="CV462">SUMPRODUCT(--(BG462:CR462&lt;1))</f>
        <v>38</v>
      </c>
    </row>
    <row r="463" spans="1:100" hidden="1" x14ac:dyDescent="0.25">
      <c r="A463" t="s">
        <v>520</v>
      </c>
      <c r="B463" t="s">
        <v>534</v>
      </c>
      <c r="C463">
        <v>2302600462</v>
      </c>
      <c r="D463" t="s">
        <v>60</v>
      </c>
      <c r="E463" s="2">
        <v>0</v>
      </c>
      <c r="F463" s="1">
        <v>46370</v>
      </c>
      <c r="G463" s="1"/>
      <c r="H463" s="1">
        <v>0</v>
      </c>
      <c r="I463" s="1">
        <v>46400</v>
      </c>
      <c r="J463">
        <v>46230</v>
      </c>
      <c r="K463" s="1"/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>
        <v>31.32</v>
      </c>
      <c r="BF463" s="3" t="str">
        <f>+IF(AVANCE[[#This Row],[% AVANCE]]=100%,"MODULO TERMINADO",IF(AVANCE[[#This Row],[FECHA INICIO REAL]]="","MODULO NO INICIADO","PENDIENTE"))</f>
        <v>MODULO NO INICIADO</v>
      </c>
      <c r="BG463" s="3">
        <f>+IF(AVANCE[[#This Row],[VENTANAS]]=8.10810810810811%,100%,AVANCE[[#This Row],[VENTANAS]])</f>
        <v>0</v>
      </c>
      <c r="BH463" s="3">
        <f>+IF(AVANCE[[#This Row],[PISO]]=N$2,100%,AVANCE[[#This Row],[PISO]])</f>
        <v>0</v>
      </c>
      <c r="BI463" s="3">
        <f>+IF(AVANCE[[#This Row],[TABIQUES]]=O$2,100%,AVANCE[[#This Row],[TABIQUES]])</f>
        <v>0</v>
      </c>
      <c r="BJ463" s="3">
        <f>+IF(AVANCE[[#This Row],[MUROS]]=P$2,100%,AVANCE[[#This Row],[MUROS]])</f>
        <v>0</v>
      </c>
      <c r="BK463" s="3">
        <f>+IF(AVANCE[[#This Row],[CIELO]]=Q$2,100%,AVANCE[[#This Row],[CIELO]])</f>
        <v>0</v>
      </c>
      <c r="BL463" s="3">
        <f>+IF(AVANCE[[#This Row],[BALCÓN]]=R$2,100%,AVANCE[[#This Row],[BALCÓN]])</f>
        <v>0</v>
      </c>
      <c r="BM463" s="3">
        <f>+IF(AVANCE[[#This Row],[RED ALCANTARILLADO]]=U$2,100%,AVANCE[[#This Row],[RED ALCANTARILLADO]])</f>
        <v>0</v>
      </c>
      <c r="BN463" s="3">
        <f>+IF(AVANCE[[#This Row],[RED DE AGUA]]=V$2,100%,AVANCE[[#This Row],[RED DE AGUA]])</f>
        <v>0</v>
      </c>
      <c r="BO463" s="3">
        <f>+IF(AVANCE[[#This Row],[VENTILACIONES]]=W$2,100%,AVANCE[[#This Row],[VENTILACIONES]])</f>
        <v>0</v>
      </c>
      <c r="BP463" s="3">
        <f>+IF(AVANCE[[#This Row],[TINA]]=X$2,100%,AVANCE[[#This Row],[TINA]])</f>
        <v>0</v>
      </c>
      <c r="BQ463" s="3">
        <f>+IF(AVANCE[[#This Row],[WC]]=Y$2,100%,AVANCE[[#This Row],[WC]])</f>
        <v>0</v>
      </c>
      <c r="BR463" s="3">
        <f>+IF(AVANCE[[#This Row],[LAVAMANOS / LAVAPLATOS / LAVADERO]]=Z$2,100%,AVANCE[[#This Row],[LAVAMANOS / LAVAPLATOS / LAVADERO]])</f>
        <v>0</v>
      </c>
      <c r="BS463" s="3">
        <f>+IF(AVANCE[[#This Row],[CANALIZACIÓN]]=AC$2,100%,AVANCE[[#This Row],[CANALIZACIÓN]])</f>
        <v>0</v>
      </c>
      <c r="BT463" s="3">
        <f>+IF(AVANCE[[#This Row],[CABLEADO]]=AD$2,100%,AVANCE[[#This Row],[CABLEADO]])</f>
        <v>0</v>
      </c>
      <c r="BU463" s="3">
        <f>+IF(AVANCE[[#This Row],[ARTEFACTOS]]=AE$2,100%,AVANCE[[#This Row],[ARTEFACTOS]])</f>
        <v>0</v>
      </c>
      <c r="BV463" s="3">
        <f>+IF(AVANCE[[#This Row],[TABLERO]]=AF$2,100%,AVANCE[[#This Row],[TABLERO]])</f>
        <v>0</v>
      </c>
      <c r="BW463" s="3">
        <f>+IF(AVANCE[[#This Row],[CAJA PAU]]=AG$2,100%,AVANCE[[#This Row],[CAJA PAU]])</f>
        <v>0</v>
      </c>
      <c r="BX463" s="3">
        <f>+IF(AVANCE[[#This Row],[INSTALACION VINILICO]]=AJ$2,100%,AVANCE[[#This Row],[INSTALACION VINILICO]])</f>
        <v>0</v>
      </c>
      <c r="BY463" s="3">
        <f>+IF(AVANCE[[#This Row],[OSB CUBIERTA]]=AK$2,100%,AVANCE[[#This Row],[OSB CUBIERTA]])</f>
        <v>0</v>
      </c>
      <c r="BZ463" s="3">
        <f>+IF(AVANCE[[#This Row],[BARANDA BALCON]]=AL$2,100%,AVANCE[[#This Row],[BARANDA BALCON]])</f>
        <v>0</v>
      </c>
      <c r="CA463" s="3">
        <f>+IF(AVANCE[[#This Row],[OSB EXTERIOR]]=AM$2,100%,AVANCE[[#This Row],[OSB EXTERIOR]])</f>
        <v>0</v>
      </c>
      <c r="CB463" s="3">
        <f>+IF(AVANCE[[#This Row],[SMART PANEL]]=AN$2,100%,AVANCE[[#This Row],[SMART PANEL]])</f>
        <v>0</v>
      </c>
      <c r="CC463" s="3">
        <f>+IF(AVANCE[[#This Row],[PINTURA EXTERIOR]]=AO$2,100%,AVANCE[[#This Row],[PINTURA EXTERIOR]])</f>
        <v>0</v>
      </c>
      <c r="CD463" s="3">
        <f>+IF(AVANCE[[#This Row],[ZOCALOS LOGIA]]=AP$2,100%,AVANCE[[#This Row],[ZOCALOS LOGIA]])</f>
        <v>0</v>
      </c>
      <c r="CE463" s="3">
        <f>+IF(AVANCE[[#This Row],[MOLDURAS]]=AQ$2,100%,AVANCE[[#This Row],[MOLDURAS]])</f>
        <v>0</v>
      </c>
      <c r="CF463" s="3">
        <f>+IF(AVANCE[[#This Row],[PILASTREO]]=AR$2,100%,AVANCE[[#This Row],[PILASTREO]])</f>
        <v>0</v>
      </c>
      <c r="CG463" s="3">
        <f>+IF(AVANCE[[#This Row],[CELOSIAS]]=AS$2,100%,AVANCE[[#This Row],[CELOSIAS]])</f>
        <v>0</v>
      </c>
      <c r="CH463" s="3">
        <f>+IF(AVANCE[[#This Row],[VENTANAS]]=AT$2,100%,AVANCE[[#This Row],[VENTANAS]])</f>
        <v>0</v>
      </c>
      <c r="CI463" s="3">
        <f>+IF(AVANCE[[#This Row],[PUERTAS ACCESO - LOGIA - BANO]]=AU$2,100%,AVANCE[[#This Row],[PUERTAS ACCESO - LOGIA - BANO]])</f>
        <v>0</v>
      </c>
      <c r="CJ463" s="3">
        <f>+IF(AVANCE[[#This Row],[CERRADURAS]]=AV$2,100%,AVANCE[[#This Row],[CERRADURAS]])</f>
        <v>0</v>
      </c>
      <c r="CK463" s="3">
        <f>+IF(AVANCE[[#This Row],[REVESTIMIENTO INTERIOR ZONA SECA]]=AW$2,100%,AVANCE[[#This Row],[REVESTIMIENTO INTERIOR ZONA SECA]])</f>
        <v>0</v>
      </c>
      <c r="CL463" s="3">
        <f>+IF(AVANCE[[#This Row],[REVESTIMIENTO INTERIOR ZONAS HUMEDAS]]=AX$2,100%,AVANCE[[#This Row],[REVESTIMIENTO INTERIOR ZONAS HUMEDAS]])</f>
        <v>0</v>
      </c>
      <c r="CM463" s="3">
        <f>+IF(AVANCE[[#This Row],[MEMBRANA CIELO]]=AY$2,100%,AVANCE[[#This Row],[MEMBRANA CIELO]])</f>
        <v>0</v>
      </c>
      <c r="CN463" s="3">
        <f>+IF(AVANCE[[#This Row],[LIMPIEZA FINAL]]=AZ$2,100%,AVANCE[[#This Row],[LIMPIEZA FINAL]])</f>
        <v>0</v>
      </c>
      <c r="CO463" s="3">
        <f>+IF(AVANCE[[#This Row],[PUERTAS DORMITORIO]]=BA$2,100%,AVANCE[[#This Row],[PUERTAS DORMITORIO]])</f>
        <v>0</v>
      </c>
      <c r="CP463" s="3">
        <f>+IF(AVANCE[[#This Row],[REVESTIMIENTO INTERIOR BANO]]=BB$2,100%,AVANCE[[#This Row],[REVESTIMIENTO INTERIOR BANO]])</f>
        <v>0</v>
      </c>
      <c r="CQ463" s="3">
        <f>+IF(AVANCE[[#This Row],[MUEBLE LAVAPLATOS]]=BC$2,100%,AVANCE[[#This Row],[MUEBLE LAVAPLATOS]])</f>
        <v>0</v>
      </c>
      <c r="CR463" s="3">
        <f>+IF(AVANCE[[#This Row],[IMPERMEABILIZACION BANO - COCINA LOGIA]]=BD$2,100%,AVANCE[[#This Row],[IMPERMEABILIZACION BANO - COCINA LOGIA]])</f>
        <v>0</v>
      </c>
      <c r="CS463" s="40">
        <f ca="1">+IF(AVANCE[[#This Row],[ESTADO MODULO]]="PENDIENTE",(TODAY()-AVANCE[[#This Row],[FECHA TERMINO  PLANIFICADO]]),0)</f>
        <v>0</v>
      </c>
      <c r="CT463" s="41" t="str" cm="1">
        <f t="array" ref="CT463">_xlfn.TEXTJOIN(" | ",TRUE,IF(SUMPRODUCT((BG463:CR463&lt;1)*(PARTIDAS!$I$2:$AT$2="OBRA GRUESA"))&gt;0,"OBRA GRUESA: "&amp;_xlfn.TEXTJOIN(", ",TRUE,IF((BG463:CR463&lt;1)*(PARTIDAS!$I$2:$AT$2="OBRA GRUESA"),PARTIDAS!$I$1:$AT$1,"")),""),IF(SUMPRODUCT((BG463:CR463&lt;1)*(PARTIDAS!$I$2:$AT$2="SANITARIOS"))&gt;0,"SANITARIOS: "&amp;_xlfn.TEXTJOIN(", ",TRUE,IF((BG463:CR463&lt;1)*(PARTIDAS!$I$2:$AT$2="SANITARIOS"),PARTIDAS!$I$1:$AT$1,"")),""),IF(SUMPRODUCT((BG463:CR463&lt;1)*(PARTIDAS!$I$2:$AT$2="ELÉCTRICO"))&gt;0,"ELÉCTRICO: "&amp;_xlfn.TEXTJOIN(", ",TRUE,IF((BG463:CR463&lt;1)*(PARTIDAS!$I$2:$AT$2="ELÉCTRICO"),PARTIDAS!$I$1:$AT$1,"")),""),IF(SUMPRODUCT((BG463:CR463&lt;1)*(PARTIDAS!$I$2:$AT$2="TERMINACIONES"))&gt;0,"TERMINACIONES: "&amp;_xlfn.TEXTJOIN(", ",TRUE,IF((BG463:CR463&lt;1)*(PARTIDAS!$I$2:$AT$2="TERMINACIONES"),PARTIDAS!$I$1:$AT$1,"")),""))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3" s="43" t="str" cm="1">
        <f t="array" ref="CU463">_xlfn.TEXTJOIN(", ",TRUE,IF(SUMPRODUCT((BG463:CR463&lt;1)*(PARTIDAS!$I$2:$AT$2="OBRA GRUESA"))&gt;0,"OBRA GRUESA",""),IF(SUMPRODUCT((BG463:CR463&lt;1)*(PARTIDAS!$I$2:$AT$2="SANITARIOS"))&gt;0,"SANITARIOS",""),IF(SUMPRODUCT((BG463:CR463&lt;1)*(PARTIDAS!$I$2:$AT$2="ELÉCTRICO"))&gt;0,"ELÉCTRICO",""),IF(SUMPRODUCT((BG463:CR463&lt;1)*(PARTIDAS!$I$2:$AT$2="TERMINACIONES"))&gt;0,"TERMINACIONES",""))</f>
        <v>OBRA GRUESA, SANITARIOS, ELÉCTRICO, TERMINACIONES</v>
      </c>
      <c r="CV463" s="44" cm="1">
        <f t="array" ref="CV463">SUMPRODUCT(--(BG463:CR463&lt;1))</f>
        <v>38</v>
      </c>
    </row>
    <row r="464" spans="1:100" hidden="1" x14ac:dyDescent="0.25">
      <c r="A464" t="s">
        <v>520</v>
      </c>
      <c r="B464" t="s">
        <v>535</v>
      </c>
      <c r="C464">
        <v>2302600463</v>
      </c>
      <c r="D464" t="s">
        <v>60</v>
      </c>
      <c r="E464" s="2">
        <v>0</v>
      </c>
      <c r="F464" s="1">
        <v>46370</v>
      </c>
      <c r="G464" s="1"/>
      <c r="H464" s="1">
        <v>0</v>
      </c>
      <c r="I464" s="1">
        <v>46400</v>
      </c>
      <c r="J464">
        <v>46230</v>
      </c>
      <c r="K464" s="1"/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>
        <v>31.32</v>
      </c>
      <c r="BF464" s="3" t="str">
        <f>+IF(AVANCE[[#This Row],[% AVANCE]]=100%,"MODULO TERMINADO",IF(AVANCE[[#This Row],[FECHA INICIO REAL]]="","MODULO NO INICIADO","PENDIENTE"))</f>
        <v>MODULO NO INICIADO</v>
      </c>
      <c r="BG464" s="3">
        <f>+IF(AVANCE[[#This Row],[VENTANAS]]=8.10810810810811%,100%,AVANCE[[#This Row],[VENTANAS]])</f>
        <v>0</v>
      </c>
      <c r="BH464" s="3">
        <f>+IF(AVANCE[[#This Row],[PISO]]=N$2,100%,AVANCE[[#This Row],[PISO]])</f>
        <v>0</v>
      </c>
      <c r="BI464" s="3">
        <f>+IF(AVANCE[[#This Row],[TABIQUES]]=O$2,100%,AVANCE[[#This Row],[TABIQUES]])</f>
        <v>0</v>
      </c>
      <c r="BJ464" s="3">
        <f>+IF(AVANCE[[#This Row],[MUROS]]=P$2,100%,AVANCE[[#This Row],[MUROS]])</f>
        <v>0</v>
      </c>
      <c r="BK464" s="3">
        <f>+IF(AVANCE[[#This Row],[CIELO]]=Q$2,100%,AVANCE[[#This Row],[CIELO]])</f>
        <v>0</v>
      </c>
      <c r="BL464" s="3">
        <f>+IF(AVANCE[[#This Row],[BALCÓN]]=R$2,100%,AVANCE[[#This Row],[BALCÓN]])</f>
        <v>0</v>
      </c>
      <c r="BM464" s="3">
        <f>+IF(AVANCE[[#This Row],[RED ALCANTARILLADO]]=U$2,100%,AVANCE[[#This Row],[RED ALCANTARILLADO]])</f>
        <v>0</v>
      </c>
      <c r="BN464" s="3">
        <f>+IF(AVANCE[[#This Row],[RED DE AGUA]]=V$2,100%,AVANCE[[#This Row],[RED DE AGUA]])</f>
        <v>0</v>
      </c>
      <c r="BO464" s="3">
        <f>+IF(AVANCE[[#This Row],[VENTILACIONES]]=W$2,100%,AVANCE[[#This Row],[VENTILACIONES]])</f>
        <v>0</v>
      </c>
      <c r="BP464" s="3">
        <f>+IF(AVANCE[[#This Row],[TINA]]=X$2,100%,AVANCE[[#This Row],[TINA]])</f>
        <v>0</v>
      </c>
      <c r="BQ464" s="3">
        <f>+IF(AVANCE[[#This Row],[WC]]=Y$2,100%,AVANCE[[#This Row],[WC]])</f>
        <v>0</v>
      </c>
      <c r="BR464" s="3">
        <f>+IF(AVANCE[[#This Row],[LAVAMANOS / LAVAPLATOS / LAVADERO]]=Z$2,100%,AVANCE[[#This Row],[LAVAMANOS / LAVAPLATOS / LAVADERO]])</f>
        <v>0</v>
      </c>
      <c r="BS464" s="3">
        <f>+IF(AVANCE[[#This Row],[CANALIZACIÓN]]=AC$2,100%,AVANCE[[#This Row],[CANALIZACIÓN]])</f>
        <v>0</v>
      </c>
      <c r="BT464" s="3">
        <f>+IF(AVANCE[[#This Row],[CABLEADO]]=AD$2,100%,AVANCE[[#This Row],[CABLEADO]])</f>
        <v>0</v>
      </c>
      <c r="BU464" s="3">
        <f>+IF(AVANCE[[#This Row],[ARTEFACTOS]]=AE$2,100%,AVANCE[[#This Row],[ARTEFACTOS]])</f>
        <v>0</v>
      </c>
      <c r="BV464" s="3">
        <f>+IF(AVANCE[[#This Row],[TABLERO]]=AF$2,100%,AVANCE[[#This Row],[TABLERO]])</f>
        <v>0</v>
      </c>
      <c r="BW464" s="3">
        <f>+IF(AVANCE[[#This Row],[CAJA PAU]]=AG$2,100%,AVANCE[[#This Row],[CAJA PAU]])</f>
        <v>0</v>
      </c>
      <c r="BX464" s="3">
        <f>+IF(AVANCE[[#This Row],[INSTALACION VINILICO]]=AJ$2,100%,AVANCE[[#This Row],[INSTALACION VINILICO]])</f>
        <v>0</v>
      </c>
      <c r="BY464" s="3">
        <f>+IF(AVANCE[[#This Row],[OSB CUBIERTA]]=AK$2,100%,AVANCE[[#This Row],[OSB CUBIERTA]])</f>
        <v>0</v>
      </c>
      <c r="BZ464" s="3">
        <f>+IF(AVANCE[[#This Row],[BARANDA BALCON]]=AL$2,100%,AVANCE[[#This Row],[BARANDA BALCON]])</f>
        <v>0</v>
      </c>
      <c r="CA464" s="3">
        <f>+IF(AVANCE[[#This Row],[OSB EXTERIOR]]=AM$2,100%,AVANCE[[#This Row],[OSB EXTERIOR]])</f>
        <v>0</v>
      </c>
      <c r="CB464" s="3">
        <f>+IF(AVANCE[[#This Row],[SMART PANEL]]=AN$2,100%,AVANCE[[#This Row],[SMART PANEL]])</f>
        <v>0</v>
      </c>
      <c r="CC464" s="3">
        <f>+IF(AVANCE[[#This Row],[PINTURA EXTERIOR]]=AO$2,100%,AVANCE[[#This Row],[PINTURA EXTERIOR]])</f>
        <v>0</v>
      </c>
      <c r="CD464" s="3">
        <f>+IF(AVANCE[[#This Row],[ZOCALOS LOGIA]]=AP$2,100%,AVANCE[[#This Row],[ZOCALOS LOGIA]])</f>
        <v>0</v>
      </c>
      <c r="CE464" s="3">
        <f>+IF(AVANCE[[#This Row],[MOLDURAS]]=AQ$2,100%,AVANCE[[#This Row],[MOLDURAS]])</f>
        <v>0</v>
      </c>
      <c r="CF464" s="3">
        <f>+IF(AVANCE[[#This Row],[PILASTREO]]=AR$2,100%,AVANCE[[#This Row],[PILASTREO]])</f>
        <v>0</v>
      </c>
      <c r="CG464" s="3">
        <f>+IF(AVANCE[[#This Row],[CELOSIAS]]=AS$2,100%,AVANCE[[#This Row],[CELOSIAS]])</f>
        <v>0</v>
      </c>
      <c r="CH464" s="3">
        <f>+IF(AVANCE[[#This Row],[VENTANAS]]=AT$2,100%,AVANCE[[#This Row],[VENTANAS]])</f>
        <v>0</v>
      </c>
      <c r="CI464" s="3">
        <f>+IF(AVANCE[[#This Row],[PUERTAS ACCESO - LOGIA - BANO]]=AU$2,100%,AVANCE[[#This Row],[PUERTAS ACCESO - LOGIA - BANO]])</f>
        <v>0</v>
      </c>
      <c r="CJ464" s="3">
        <f>+IF(AVANCE[[#This Row],[CERRADURAS]]=AV$2,100%,AVANCE[[#This Row],[CERRADURAS]])</f>
        <v>0</v>
      </c>
      <c r="CK464" s="3">
        <f>+IF(AVANCE[[#This Row],[REVESTIMIENTO INTERIOR ZONA SECA]]=AW$2,100%,AVANCE[[#This Row],[REVESTIMIENTO INTERIOR ZONA SECA]])</f>
        <v>0</v>
      </c>
      <c r="CL464" s="3">
        <f>+IF(AVANCE[[#This Row],[REVESTIMIENTO INTERIOR ZONAS HUMEDAS]]=AX$2,100%,AVANCE[[#This Row],[REVESTIMIENTO INTERIOR ZONAS HUMEDAS]])</f>
        <v>0</v>
      </c>
      <c r="CM464" s="3">
        <f>+IF(AVANCE[[#This Row],[MEMBRANA CIELO]]=AY$2,100%,AVANCE[[#This Row],[MEMBRANA CIELO]])</f>
        <v>0</v>
      </c>
      <c r="CN464" s="3">
        <f>+IF(AVANCE[[#This Row],[LIMPIEZA FINAL]]=AZ$2,100%,AVANCE[[#This Row],[LIMPIEZA FINAL]])</f>
        <v>0</v>
      </c>
      <c r="CO464" s="3">
        <f>+IF(AVANCE[[#This Row],[PUERTAS DORMITORIO]]=BA$2,100%,AVANCE[[#This Row],[PUERTAS DORMITORIO]])</f>
        <v>0</v>
      </c>
      <c r="CP464" s="3">
        <f>+IF(AVANCE[[#This Row],[REVESTIMIENTO INTERIOR BANO]]=BB$2,100%,AVANCE[[#This Row],[REVESTIMIENTO INTERIOR BANO]])</f>
        <v>0</v>
      </c>
      <c r="CQ464" s="3">
        <f>+IF(AVANCE[[#This Row],[MUEBLE LAVAPLATOS]]=BC$2,100%,AVANCE[[#This Row],[MUEBLE LAVAPLATOS]])</f>
        <v>0</v>
      </c>
      <c r="CR464" s="3">
        <f>+IF(AVANCE[[#This Row],[IMPERMEABILIZACION BANO - COCINA LOGIA]]=BD$2,100%,AVANCE[[#This Row],[IMPERMEABILIZACION BANO - COCINA LOGIA]])</f>
        <v>0</v>
      </c>
      <c r="CS464" s="40">
        <f ca="1">+IF(AVANCE[[#This Row],[ESTADO MODULO]]="PENDIENTE",(TODAY()-AVANCE[[#This Row],[FECHA TERMINO  PLANIFICADO]]),0)</f>
        <v>0</v>
      </c>
      <c r="CT464" s="41" t="str" cm="1">
        <f t="array" ref="CT464">_xlfn.TEXTJOIN(" | ",TRUE,IF(SUMPRODUCT((BG464:CR464&lt;1)*(PARTIDAS!$I$2:$AT$2="OBRA GRUESA"))&gt;0,"OBRA GRUESA: "&amp;_xlfn.TEXTJOIN(", ",TRUE,IF((BG464:CR464&lt;1)*(PARTIDAS!$I$2:$AT$2="OBRA GRUESA"),PARTIDAS!$I$1:$AT$1,"")),""),IF(SUMPRODUCT((BG464:CR464&lt;1)*(PARTIDAS!$I$2:$AT$2="SANITARIOS"))&gt;0,"SANITARIOS: "&amp;_xlfn.TEXTJOIN(", ",TRUE,IF((BG464:CR464&lt;1)*(PARTIDAS!$I$2:$AT$2="SANITARIOS"),PARTIDAS!$I$1:$AT$1,"")),""),IF(SUMPRODUCT((BG464:CR464&lt;1)*(PARTIDAS!$I$2:$AT$2="ELÉCTRICO"))&gt;0,"ELÉCTRICO: "&amp;_xlfn.TEXTJOIN(", ",TRUE,IF((BG464:CR464&lt;1)*(PARTIDAS!$I$2:$AT$2="ELÉCTRICO"),PARTIDAS!$I$1:$AT$1,"")),""),IF(SUMPRODUCT((BG464:CR464&lt;1)*(PARTIDAS!$I$2:$AT$2="TERMINACIONES"))&gt;0,"TERMINACIONES: "&amp;_xlfn.TEXTJOIN(", ",TRUE,IF((BG464:CR464&lt;1)*(PARTIDAS!$I$2:$AT$2="TERMINACIONES"),PARTIDAS!$I$1:$AT$1,"")),""))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4" s="43" t="str" cm="1">
        <f t="array" ref="CU464">_xlfn.TEXTJOIN(", ",TRUE,IF(SUMPRODUCT((BG464:CR464&lt;1)*(PARTIDAS!$I$2:$AT$2="OBRA GRUESA"))&gt;0,"OBRA GRUESA",""),IF(SUMPRODUCT((BG464:CR464&lt;1)*(PARTIDAS!$I$2:$AT$2="SANITARIOS"))&gt;0,"SANITARIOS",""),IF(SUMPRODUCT((BG464:CR464&lt;1)*(PARTIDAS!$I$2:$AT$2="ELÉCTRICO"))&gt;0,"ELÉCTRICO",""),IF(SUMPRODUCT((BG464:CR464&lt;1)*(PARTIDAS!$I$2:$AT$2="TERMINACIONES"))&gt;0,"TERMINACIONES",""))</f>
        <v>OBRA GRUESA, SANITARIOS, ELÉCTRICO, TERMINACIONES</v>
      </c>
      <c r="CV464" s="44" cm="1">
        <f t="array" ref="CV464">SUMPRODUCT(--(BG464:CR464&lt;1))</f>
        <v>38</v>
      </c>
    </row>
    <row r="465" spans="1:100" hidden="1" x14ac:dyDescent="0.25">
      <c r="A465" t="s">
        <v>520</v>
      </c>
      <c r="B465" t="s">
        <v>536</v>
      </c>
      <c r="C465">
        <v>2282600464</v>
      </c>
      <c r="D465" t="s">
        <v>58</v>
      </c>
      <c r="E465" s="2">
        <v>0</v>
      </c>
      <c r="F465" s="1">
        <v>46371</v>
      </c>
      <c r="G465" s="1"/>
      <c r="H465" s="1">
        <v>0</v>
      </c>
      <c r="I465" s="1">
        <v>46391</v>
      </c>
      <c r="J465">
        <v>46230</v>
      </c>
      <c r="K465" s="1"/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>
        <v>28.87</v>
      </c>
      <c r="BF465" s="3" t="str">
        <f>+IF(AVANCE[[#This Row],[% AVANCE]]=100%,"MODULO TERMINADO",IF(AVANCE[[#This Row],[FECHA INICIO REAL]]="","MODULO NO INICIADO","PENDIENTE"))</f>
        <v>MODULO NO INICIADO</v>
      </c>
      <c r="BG465" s="3">
        <f>+IF(AVANCE[[#This Row],[VENTANAS]]=8.10810810810811%,100%,AVANCE[[#This Row],[VENTANAS]])</f>
        <v>0</v>
      </c>
      <c r="BH465" s="3">
        <f>+IF(AVANCE[[#This Row],[PISO]]=N$2,100%,AVANCE[[#This Row],[PISO]])</f>
        <v>0</v>
      </c>
      <c r="BI465" s="3">
        <f>+IF(AVANCE[[#This Row],[TABIQUES]]=O$2,100%,AVANCE[[#This Row],[TABIQUES]])</f>
        <v>0</v>
      </c>
      <c r="BJ465" s="3">
        <f>+IF(AVANCE[[#This Row],[MUROS]]=P$2,100%,AVANCE[[#This Row],[MUROS]])</f>
        <v>0</v>
      </c>
      <c r="BK465" s="3">
        <f>+IF(AVANCE[[#This Row],[CIELO]]=Q$2,100%,AVANCE[[#This Row],[CIELO]])</f>
        <v>0</v>
      </c>
      <c r="BL465" s="3">
        <f>+IF(AVANCE[[#This Row],[BALCÓN]]=R$2,100%,AVANCE[[#This Row],[BALCÓN]])</f>
        <v>0</v>
      </c>
      <c r="BM465" s="3">
        <f>+IF(AVANCE[[#This Row],[RED ALCANTARILLADO]]=U$2,100%,AVANCE[[#This Row],[RED ALCANTARILLADO]])</f>
        <v>0</v>
      </c>
      <c r="BN465" s="3">
        <f>+IF(AVANCE[[#This Row],[RED DE AGUA]]=V$2,100%,AVANCE[[#This Row],[RED DE AGUA]])</f>
        <v>0</v>
      </c>
      <c r="BO465" s="3">
        <f>+IF(AVANCE[[#This Row],[VENTILACIONES]]=W$2,100%,AVANCE[[#This Row],[VENTILACIONES]])</f>
        <v>0</v>
      </c>
      <c r="BP465" s="3">
        <f>+IF(AVANCE[[#This Row],[TINA]]=X$2,100%,AVANCE[[#This Row],[TINA]])</f>
        <v>0</v>
      </c>
      <c r="BQ465" s="3">
        <f>+IF(AVANCE[[#This Row],[WC]]=Y$2,100%,AVANCE[[#This Row],[WC]])</f>
        <v>0</v>
      </c>
      <c r="BR465" s="3">
        <f>+IF(AVANCE[[#This Row],[LAVAMANOS / LAVAPLATOS / LAVADERO]]=Z$2,100%,AVANCE[[#This Row],[LAVAMANOS / LAVAPLATOS / LAVADERO]])</f>
        <v>0</v>
      </c>
      <c r="BS465" s="3">
        <f>+IF(AVANCE[[#This Row],[CANALIZACIÓN]]=AC$2,100%,AVANCE[[#This Row],[CANALIZACIÓN]])</f>
        <v>0</v>
      </c>
      <c r="BT465" s="3">
        <f>+IF(AVANCE[[#This Row],[CABLEADO]]=AD$2,100%,AVANCE[[#This Row],[CABLEADO]])</f>
        <v>0</v>
      </c>
      <c r="BU465" s="3">
        <f>+IF(AVANCE[[#This Row],[ARTEFACTOS]]=AE$2,100%,AVANCE[[#This Row],[ARTEFACTOS]])</f>
        <v>0</v>
      </c>
      <c r="BV465" s="3">
        <f>+IF(AVANCE[[#This Row],[TABLERO]]=AF$2,100%,AVANCE[[#This Row],[TABLERO]])</f>
        <v>0</v>
      </c>
      <c r="BW465" s="3">
        <f>+IF(AVANCE[[#This Row],[CAJA PAU]]=AG$2,100%,AVANCE[[#This Row],[CAJA PAU]])</f>
        <v>0</v>
      </c>
      <c r="BX465" s="3">
        <f>+IF(AVANCE[[#This Row],[INSTALACION VINILICO]]=AJ$2,100%,AVANCE[[#This Row],[INSTALACION VINILICO]])</f>
        <v>0</v>
      </c>
      <c r="BY465" s="3">
        <f>+IF(AVANCE[[#This Row],[OSB CUBIERTA]]=AK$2,100%,AVANCE[[#This Row],[OSB CUBIERTA]])</f>
        <v>0</v>
      </c>
      <c r="BZ465" s="3">
        <f>+IF(AVANCE[[#This Row],[BARANDA BALCON]]=AL$2,100%,AVANCE[[#This Row],[BARANDA BALCON]])</f>
        <v>0</v>
      </c>
      <c r="CA465" s="3">
        <f>+IF(AVANCE[[#This Row],[OSB EXTERIOR]]=AM$2,100%,AVANCE[[#This Row],[OSB EXTERIOR]])</f>
        <v>0</v>
      </c>
      <c r="CB465" s="3">
        <f>+IF(AVANCE[[#This Row],[SMART PANEL]]=AN$2,100%,AVANCE[[#This Row],[SMART PANEL]])</f>
        <v>0</v>
      </c>
      <c r="CC465" s="3">
        <f>+IF(AVANCE[[#This Row],[PINTURA EXTERIOR]]=AO$2,100%,AVANCE[[#This Row],[PINTURA EXTERIOR]])</f>
        <v>0</v>
      </c>
      <c r="CD465" s="3">
        <f>+IF(AVANCE[[#This Row],[ZOCALOS LOGIA]]=AP$2,100%,AVANCE[[#This Row],[ZOCALOS LOGIA]])</f>
        <v>0</v>
      </c>
      <c r="CE465" s="3">
        <f>+IF(AVANCE[[#This Row],[MOLDURAS]]=AQ$2,100%,AVANCE[[#This Row],[MOLDURAS]])</f>
        <v>0</v>
      </c>
      <c r="CF465" s="3">
        <f>+IF(AVANCE[[#This Row],[PILASTREO]]=AR$2,100%,AVANCE[[#This Row],[PILASTREO]])</f>
        <v>0</v>
      </c>
      <c r="CG465" s="3">
        <f>+IF(AVANCE[[#This Row],[CELOSIAS]]=AS$2,100%,AVANCE[[#This Row],[CELOSIAS]])</f>
        <v>0</v>
      </c>
      <c r="CH465" s="3">
        <f>+IF(AVANCE[[#This Row],[VENTANAS]]=AT$2,100%,AVANCE[[#This Row],[VENTANAS]])</f>
        <v>0</v>
      </c>
      <c r="CI465" s="3">
        <f>+IF(AVANCE[[#This Row],[PUERTAS ACCESO - LOGIA - BANO]]=AU$2,100%,AVANCE[[#This Row],[PUERTAS ACCESO - LOGIA - BANO]])</f>
        <v>0</v>
      </c>
      <c r="CJ465" s="3">
        <f>+IF(AVANCE[[#This Row],[CERRADURAS]]=AV$2,100%,AVANCE[[#This Row],[CERRADURAS]])</f>
        <v>0</v>
      </c>
      <c r="CK465" s="3">
        <f>+IF(AVANCE[[#This Row],[REVESTIMIENTO INTERIOR ZONA SECA]]=AW$2,100%,AVANCE[[#This Row],[REVESTIMIENTO INTERIOR ZONA SECA]])</f>
        <v>0</v>
      </c>
      <c r="CL465" s="3">
        <f>+IF(AVANCE[[#This Row],[REVESTIMIENTO INTERIOR ZONAS HUMEDAS]]=AX$2,100%,AVANCE[[#This Row],[REVESTIMIENTO INTERIOR ZONAS HUMEDAS]])</f>
        <v>0</v>
      </c>
      <c r="CM465" s="3">
        <f>+IF(AVANCE[[#This Row],[MEMBRANA CIELO]]=AY$2,100%,AVANCE[[#This Row],[MEMBRANA CIELO]])</f>
        <v>0</v>
      </c>
      <c r="CN465" s="3">
        <f>+IF(AVANCE[[#This Row],[LIMPIEZA FINAL]]=AZ$2,100%,AVANCE[[#This Row],[LIMPIEZA FINAL]])</f>
        <v>0</v>
      </c>
      <c r="CO465" s="3">
        <f>+IF(AVANCE[[#This Row],[PUERTAS DORMITORIO]]=BA$2,100%,AVANCE[[#This Row],[PUERTAS DORMITORIO]])</f>
        <v>0</v>
      </c>
      <c r="CP465" s="3">
        <f>+IF(AVANCE[[#This Row],[REVESTIMIENTO INTERIOR BANO]]=BB$2,100%,AVANCE[[#This Row],[REVESTIMIENTO INTERIOR BANO]])</f>
        <v>0</v>
      </c>
      <c r="CQ465" s="3">
        <f>+IF(AVANCE[[#This Row],[MUEBLE LAVAPLATOS]]=BC$2,100%,AVANCE[[#This Row],[MUEBLE LAVAPLATOS]])</f>
        <v>0</v>
      </c>
      <c r="CR465" s="3">
        <f>+IF(AVANCE[[#This Row],[IMPERMEABILIZACION BANO - COCINA LOGIA]]=BD$2,100%,AVANCE[[#This Row],[IMPERMEABILIZACION BANO - COCINA LOGIA]])</f>
        <v>0</v>
      </c>
      <c r="CS465" s="40">
        <f ca="1">+IF(AVANCE[[#This Row],[ESTADO MODULO]]="PENDIENTE",(TODAY()-AVANCE[[#This Row],[FECHA TERMINO  PLANIFICADO]]),0)</f>
        <v>0</v>
      </c>
      <c r="CT465" s="41" t="str" cm="1">
        <f t="array" ref="CT465">_xlfn.TEXTJOIN(" | ",TRUE,IF(SUMPRODUCT((BG465:CR465&lt;1)*(PARTIDAS!$I$2:$AT$2="OBRA GRUESA"))&gt;0,"OBRA GRUESA: "&amp;_xlfn.TEXTJOIN(", ",TRUE,IF((BG465:CR465&lt;1)*(PARTIDAS!$I$2:$AT$2="OBRA GRUESA"),PARTIDAS!$I$1:$AT$1,"")),""),IF(SUMPRODUCT((BG465:CR465&lt;1)*(PARTIDAS!$I$2:$AT$2="SANITARIOS"))&gt;0,"SANITARIOS: "&amp;_xlfn.TEXTJOIN(", ",TRUE,IF((BG465:CR465&lt;1)*(PARTIDAS!$I$2:$AT$2="SANITARIOS"),PARTIDAS!$I$1:$AT$1,"")),""),IF(SUMPRODUCT((BG465:CR465&lt;1)*(PARTIDAS!$I$2:$AT$2="ELÉCTRICO"))&gt;0,"ELÉCTRICO: "&amp;_xlfn.TEXTJOIN(", ",TRUE,IF((BG465:CR465&lt;1)*(PARTIDAS!$I$2:$AT$2="ELÉCTRICO"),PARTIDAS!$I$1:$AT$1,"")),""),IF(SUMPRODUCT((BG465:CR465&lt;1)*(PARTIDAS!$I$2:$AT$2="TERMINACIONES"))&gt;0,"TERMINACIONES: "&amp;_xlfn.TEXTJOIN(", ",TRUE,IF((BG465:CR465&lt;1)*(PARTIDAS!$I$2:$AT$2="TERMINACIONES"),PARTIDAS!$I$1:$AT$1,"")),""))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5" s="43" t="str" cm="1">
        <f t="array" ref="CU465">_xlfn.TEXTJOIN(", ",TRUE,IF(SUMPRODUCT((BG465:CR465&lt;1)*(PARTIDAS!$I$2:$AT$2="OBRA GRUESA"))&gt;0,"OBRA GRUESA",""),IF(SUMPRODUCT((BG465:CR465&lt;1)*(PARTIDAS!$I$2:$AT$2="SANITARIOS"))&gt;0,"SANITARIOS",""),IF(SUMPRODUCT((BG465:CR465&lt;1)*(PARTIDAS!$I$2:$AT$2="ELÉCTRICO"))&gt;0,"ELÉCTRICO",""),IF(SUMPRODUCT((BG465:CR465&lt;1)*(PARTIDAS!$I$2:$AT$2="TERMINACIONES"))&gt;0,"TERMINACIONES",""))</f>
        <v>OBRA GRUESA, SANITARIOS, ELÉCTRICO, TERMINACIONES</v>
      </c>
      <c r="CV465" s="44" cm="1">
        <f t="array" ref="CV465">SUMPRODUCT(--(BG465:CR465&lt;1))</f>
        <v>38</v>
      </c>
    </row>
    <row r="466" spans="1:100" hidden="1" x14ac:dyDescent="0.25">
      <c r="A466" t="s">
        <v>520</v>
      </c>
      <c r="B466" t="s">
        <v>537</v>
      </c>
      <c r="C466">
        <v>2282600465</v>
      </c>
      <c r="D466" t="s">
        <v>58</v>
      </c>
      <c r="E466" s="2">
        <v>0</v>
      </c>
      <c r="F466" s="1">
        <v>46371</v>
      </c>
      <c r="G466" s="1"/>
      <c r="H466" s="1">
        <v>0</v>
      </c>
      <c r="I466" s="1">
        <v>46391</v>
      </c>
      <c r="J466">
        <v>46230</v>
      </c>
      <c r="K466" s="1"/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>
        <v>28.87</v>
      </c>
      <c r="BF466" s="3" t="str">
        <f>+IF(AVANCE[[#This Row],[% AVANCE]]=100%,"MODULO TERMINADO",IF(AVANCE[[#This Row],[FECHA INICIO REAL]]="","MODULO NO INICIADO","PENDIENTE"))</f>
        <v>MODULO NO INICIADO</v>
      </c>
      <c r="BG466" s="3">
        <f>+IF(AVANCE[[#This Row],[VENTANAS]]=8.10810810810811%,100%,AVANCE[[#This Row],[VENTANAS]])</f>
        <v>0</v>
      </c>
      <c r="BH466" s="3">
        <f>+IF(AVANCE[[#This Row],[PISO]]=N$2,100%,AVANCE[[#This Row],[PISO]])</f>
        <v>0</v>
      </c>
      <c r="BI466" s="3">
        <f>+IF(AVANCE[[#This Row],[TABIQUES]]=O$2,100%,AVANCE[[#This Row],[TABIQUES]])</f>
        <v>0</v>
      </c>
      <c r="BJ466" s="3">
        <f>+IF(AVANCE[[#This Row],[MUROS]]=P$2,100%,AVANCE[[#This Row],[MUROS]])</f>
        <v>0</v>
      </c>
      <c r="BK466" s="3">
        <f>+IF(AVANCE[[#This Row],[CIELO]]=Q$2,100%,AVANCE[[#This Row],[CIELO]])</f>
        <v>0</v>
      </c>
      <c r="BL466" s="3">
        <f>+IF(AVANCE[[#This Row],[BALCÓN]]=R$2,100%,AVANCE[[#This Row],[BALCÓN]])</f>
        <v>0</v>
      </c>
      <c r="BM466" s="3">
        <f>+IF(AVANCE[[#This Row],[RED ALCANTARILLADO]]=U$2,100%,AVANCE[[#This Row],[RED ALCANTARILLADO]])</f>
        <v>0</v>
      </c>
      <c r="BN466" s="3">
        <f>+IF(AVANCE[[#This Row],[RED DE AGUA]]=V$2,100%,AVANCE[[#This Row],[RED DE AGUA]])</f>
        <v>0</v>
      </c>
      <c r="BO466" s="3">
        <f>+IF(AVANCE[[#This Row],[VENTILACIONES]]=W$2,100%,AVANCE[[#This Row],[VENTILACIONES]])</f>
        <v>0</v>
      </c>
      <c r="BP466" s="3">
        <f>+IF(AVANCE[[#This Row],[TINA]]=X$2,100%,AVANCE[[#This Row],[TINA]])</f>
        <v>0</v>
      </c>
      <c r="BQ466" s="3">
        <f>+IF(AVANCE[[#This Row],[WC]]=Y$2,100%,AVANCE[[#This Row],[WC]])</f>
        <v>0</v>
      </c>
      <c r="BR466" s="3">
        <f>+IF(AVANCE[[#This Row],[LAVAMANOS / LAVAPLATOS / LAVADERO]]=Z$2,100%,AVANCE[[#This Row],[LAVAMANOS / LAVAPLATOS / LAVADERO]])</f>
        <v>0</v>
      </c>
      <c r="BS466" s="3">
        <f>+IF(AVANCE[[#This Row],[CANALIZACIÓN]]=AC$2,100%,AVANCE[[#This Row],[CANALIZACIÓN]])</f>
        <v>0</v>
      </c>
      <c r="BT466" s="3">
        <f>+IF(AVANCE[[#This Row],[CABLEADO]]=AD$2,100%,AVANCE[[#This Row],[CABLEADO]])</f>
        <v>0</v>
      </c>
      <c r="BU466" s="3">
        <f>+IF(AVANCE[[#This Row],[ARTEFACTOS]]=AE$2,100%,AVANCE[[#This Row],[ARTEFACTOS]])</f>
        <v>0</v>
      </c>
      <c r="BV466" s="3">
        <f>+IF(AVANCE[[#This Row],[TABLERO]]=AF$2,100%,AVANCE[[#This Row],[TABLERO]])</f>
        <v>0</v>
      </c>
      <c r="BW466" s="3">
        <f>+IF(AVANCE[[#This Row],[CAJA PAU]]=AG$2,100%,AVANCE[[#This Row],[CAJA PAU]])</f>
        <v>0</v>
      </c>
      <c r="BX466" s="3">
        <f>+IF(AVANCE[[#This Row],[INSTALACION VINILICO]]=AJ$2,100%,AVANCE[[#This Row],[INSTALACION VINILICO]])</f>
        <v>0</v>
      </c>
      <c r="BY466" s="3">
        <f>+IF(AVANCE[[#This Row],[OSB CUBIERTA]]=AK$2,100%,AVANCE[[#This Row],[OSB CUBIERTA]])</f>
        <v>0</v>
      </c>
      <c r="BZ466" s="3">
        <f>+IF(AVANCE[[#This Row],[BARANDA BALCON]]=AL$2,100%,AVANCE[[#This Row],[BARANDA BALCON]])</f>
        <v>0</v>
      </c>
      <c r="CA466" s="3">
        <f>+IF(AVANCE[[#This Row],[OSB EXTERIOR]]=AM$2,100%,AVANCE[[#This Row],[OSB EXTERIOR]])</f>
        <v>0</v>
      </c>
      <c r="CB466" s="3">
        <f>+IF(AVANCE[[#This Row],[SMART PANEL]]=AN$2,100%,AVANCE[[#This Row],[SMART PANEL]])</f>
        <v>0</v>
      </c>
      <c r="CC466" s="3">
        <f>+IF(AVANCE[[#This Row],[PINTURA EXTERIOR]]=AO$2,100%,AVANCE[[#This Row],[PINTURA EXTERIOR]])</f>
        <v>0</v>
      </c>
      <c r="CD466" s="3">
        <f>+IF(AVANCE[[#This Row],[ZOCALOS LOGIA]]=AP$2,100%,AVANCE[[#This Row],[ZOCALOS LOGIA]])</f>
        <v>0</v>
      </c>
      <c r="CE466" s="3">
        <f>+IF(AVANCE[[#This Row],[MOLDURAS]]=AQ$2,100%,AVANCE[[#This Row],[MOLDURAS]])</f>
        <v>0</v>
      </c>
      <c r="CF466" s="3">
        <f>+IF(AVANCE[[#This Row],[PILASTREO]]=AR$2,100%,AVANCE[[#This Row],[PILASTREO]])</f>
        <v>0</v>
      </c>
      <c r="CG466" s="3">
        <f>+IF(AVANCE[[#This Row],[CELOSIAS]]=AS$2,100%,AVANCE[[#This Row],[CELOSIAS]])</f>
        <v>0</v>
      </c>
      <c r="CH466" s="3">
        <f>+IF(AVANCE[[#This Row],[VENTANAS]]=AT$2,100%,AVANCE[[#This Row],[VENTANAS]])</f>
        <v>0</v>
      </c>
      <c r="CI466" s="3">
        <f>+IF(AVANCE[[#This Row],[PUERTAS ACCESO - LOGIA - BANO]]=AU$2,100%,AVANCE[[#This Row],[PUERTAS ACCESO - LOGIA - BANO]])</f>
        <v>0</v>
      </c>
      <c r="CJ466" s="3">
        <f>+IF(AVANCE[[#This Row],[CERRADURAS]]=AV$2,100%,AVANCE[[#This Row],[CERRADURAS]])</f>
        <v>0</v>
      </c>
      <c r="CK466" s="3">
        <f>+IF(AVANCE[[#This Row],[REVESTIMIENTO INTERIOR ZONA SECA]]=AW$2,100%,AVANCE[[#This Row],[REVESTIMIENTO INTERIOR ZONA SECA]])</f>
        <v>0</v>
      </c>
      <c r="CL466" s="3">
        <f>+IF(AVANCE[[#This Row],[REVESTIMIENTO INTERIOR ZONAS HUMEDAS]]=AX$2,100%,AVANCE[[#This Row],[REVESTIMIENTO INTERIOR ZONAS HUMEDAS]])</f>
        <v>0</v>
      </c>
      <c r="CM466" s="3">
        <f>+IF(AVANCE[[#This Row],[MEMBRANA CIELO]]=AY$2,100%,AVANCE[[#This Row],[MEMBRANA CIELO]])</f>
        <v>0</v>
      </c>
      <c r="CN466" s="3">
        <f>+IF(AVANCE[[#This Row],[LIMPIEZA FINAL]]=AZ$2,100%,AVANCE[[#This Row],[LIMPIEZA FINAL]])</f>
        <v>0</v>
      </c>
      <c r="CO466" s="3">
        <f>+IF(AVANCE[[#This Row],[PUERTAS DORMITORIO]]=BA$2,100%,AVANCE[[#This Row],[PUERTAS DORMITORIO]])</f>
        <v>0</v>
      </c>
      <c r="CP466" s="3">
        <f>+IF(AVANCE[[#This Row],[REVESTIMIENTO INTERIOR BANO]]=BB$2,100%,AVANCE[[#This Row],[REVESTIMIENTO INTERIOR BANO]])</f>
        <v>0</v>
      </c>
      <c r="CQ466" s="3">
        <f>+IF(AVANCE[[#This Row],[MUEBLE LAVAPLATOS]]=BC$2,100%,AVANCE[[#This Row],[MUEBLE LAVAPLATOS]])</f>
        <v>0</v>
      </c>
      <c r="CR466" s="3">
        <f>+IF(AVANCE[[#This Row],[IMPERMEABILIZACION BANO - COCINA LOGIA]]=BD$2,100%,AVANCE[[#This Row],[IMPERMEABILIZACION BANO - COCINA LOGIA]])</f>
        <v>0</v>
      </c>
      <c r="CS466" s="40">
        <f ca="1">+IF(AVANCE[[#This Row],[ESTADO MODULO]]="PENDIENTE",(TODAY()-AVANCE[[#This Row],[FECHA TERMINO  PLANIFICADO]]),0)</f>
        <v>0</v>
      </c>
      <c r="CT466" s="41" t="str" cm="1">
        <f t="array" ref="CT466">_xlfn.TEXTJOIN(" | ",TRUE,IF(SUMPRODUCT((BG466:CR466&lt;1)*(PARTIDAS!$I$2:$AT$2="OBRA GRUESA"))&gt;0,"OBRA GRUESA: "&amp;_xlfn.TEXTJOIN(", ",TRUE,IF((BG466:CR466&lt;1)*(PARTIDAS!$I$2:$AT$2="OBRA GRUESA"),PARTIDAS!$I$1:$AT$1,"")),""),IF(SUMPRODUCT((BG466:CR466&lt;1)*(PARTIDAS!$I$2:$AT$2="SANITARIOS"))&gt;0,"SANITARIOS: "&amp;_xlfn.TEXTJOIN(", ",TRUE,IF((BG466:CR466&lt;1)*(PARTIDAS!$I$2:$AT$2="SANITARIOS"),PARTIDAS!$I$1:$AT$1,"")),""),IF(SUMPRODUCT((BG466:CR466&lt;1)*(PARTIDAS!$I$2:$AT$2="ELÉCTRICO"))&gt;0,"ELÉCTRICO: "&amp;_xlfn.TEXTJOIN(", ",TRUE,IF((BG466:CR466&lt;1)*(PARTIDAS!$I$2:$AT$2="ELÉCTRICO"),PARTIDAS!$I$1:$AT$1,"")),""),IF(SUMPRODUCT((BG466:CR466&lt;1)*(PARTIDAS!$I$2:$AT$2="TERMINACIONES"))&gt;0,"TERMINACIONES: "&amp;_xlfn.TEXTJOIN(", ",TRUE,IF((BG466:CR466&lt;1)*(PARTIDAS!$I$2:$AT$2="TERMINACIONES"),PARTIDAS!$I$1:$AT$1,"")),""))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6" s="43" t="str" cm="1">
        <f t="array" ref="CU466">_xlfn.TEXTJOIN(", ",TRUE,IF(SUMPRODUCT((BG466:CR466&lt;1)*(PARTIDAS!$I$2:$AT$2="OBRA GRUESA"))&gt;0,"OBRA GRUESA",""),IF(SUMPRODUCT((BG466:CR466&lt;1)*(PARTIDAS!$I$2:$AT$2="SANITARIOS"))&gt;0,"SANITARIOS",""),IF(SUMPRODUCT((BG466:CR466&lt;1)*(PARTIDAS!$I$2:$AT$2="ELÉCTRICO"))&gt;0,"ELÉCTRICO",""),IF(SUMPRODUCT((BG466:CR466&lt;1)*(PARTIDAS!$I$2:$AT$2="TERMINACIONES"))&gt;0,"TERMINACIONES",""))</f>
        <v>OBRA GRUESA, SANITARIOS, ELÉCTRICO, TERMINACIONES</v>
      </c>
      <c r="CV466" s="44" cm="1">
        <f t="array" ref="CV466">SUMPRODUCT(--(BG466:CR466&lt;1))</f>
        <v>38</v>
      </c>
    </row>
    <row r="467" spans="1:100" hidden="1" x14ac:dyDescent="0.25">
      <c r="A467" t="s">
        <v>520</v>
      </c>
      <c r="B467" t="s">
        <v>538</v>
      </c>
      <c r="C467">
        <v>2302600466</v>
      </c>
      <c r="D467" t="s">
        <v>60</v>
      </c>
      <c r="E467" s="2">
        <v>0</v>
      </c>
      <c r="F467" s="1">
        <v>46371</v>
      </c>
      <c r="G467" s="1"/>
      <c r="H467" s="1">
        <v>0</v>
      </c>
      <c r="I467" s="1">
        <v>46401</v>
      </c>
      <c r="J467">
        <v>46230</v>
      </c>
      <c r="K467" s="1"/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>
        <v>31.32</v>
      </c>
      <c r="BF467" s="3" t="str">
        <f>+IF(AVANCE[[#This Row],[% AVANCE]]=100%,"MODULO TERMINADO",IF(AVANCE[[#This Row],[FECHA INICIO REAL]]="","MODULO NO INICIADO","PENDIENTE"))</f>
        <v>MODULO NO INICIADO</v>
      </c>
      <c r="BG467" s="3">
        <f>+IF(AVANCE[[#This Row],[VENTANAS]]=8.10810810810811%,100%,AVANCE[[#This Row],[VENTANAS]])</f>
        <v>0</v>
      </c>
      <c r="BH467" s="3">
        <f>+IF(AVANCE[[#This Row],[PISO]]=N$2,100%,AVANCE[[#This Row],[PISO]])</f>
        <v>0</v>
      </c>
      <c r="BI467" s="3">
        <f>+IF(AVANCE[[#This Row],[TABIQUES]]=O$2,100%,AVANCE[[#This Row],[TABIQUES]])</f>
        <v>0</v>
      </c>
      <c r="BJ467" s="3">
        <f>+IF(AVANCE[[#This Row],[MUROS]]=P$2,100%,AVANCE[[#This Row],[MUROS]])</f>
        <v>0</v>
      </c>
      <c r="BK467" s="3">
        <f>+IF(AVANCE[[#This Row],[CIELO]]=Q$2,100%,AVANCE[[#This Row],[CIELO]])</f>
        <v>0</v>
      </c>
      <c r="BL467" s="3">
        <f>+IF(AVANCE[[#This Row],[BALCÓN]]=R$2,100%,AVANCE[[#This Row],[BALCÓN]])</f>
        <v>0</v>
      </c>
      <c r="BM467" s="3">
        <f>+IF(AVANCE[[#This Row],[RED ALCANTARILLADO]]=U$2,100%,AVANCE[[#This Row],[RED ALCANTARILLADO]])</f>
        <v>0</v>
      </c>
      <c r="BN467" s="3">
        <f>+IF(AVANCE[[#This Row],[RED DE AGUA]]=V$2,100%,AVANCE[[#This Row],[RED DE AGUA]])</f>
        <v>0</v>
      </c>
      <c r="BO467" s="3">
        <f>+IF(AVANCE[[#This Row],[VENTILACIONES]]=W$2,100%,AVANCE[[#This Row],[VENTILACIONES]])</f>
        <v>0</v>
      </c>
      <c r="BP467" s="3">
        <f>+IF(AVANCE[[#This Row],[TINA]]=X$2,100%,AVANCE[[#This Row],[TINA]])</f>
        <v>0</v>
      </c>
      <c r="BQ467" s="3">
        <f>+IF(AVANCE[[#This Row],[WC]]=Y$2,100%,AVANCE[[#This Row],[WC]])</f>
        <v>0</v>
      </c>
      <c r="BR467" s="3">
        <f>+IF(AVANCE[[#This Row],[LAVAMANOS / LAVAPLATOS / LAVADERO]]=Z$2,100%,AVANCE[[#This Row],[LAVAMANOS / LAVAPLATOS / LAVADERO]])</f>
        <v>0</v>
      </c>
      <c r="BS467" s="3">
        <f>+IF(AVANCE[[#This Row],[CANALIZACIÓN]]=AC$2,100%,AVANCE[[#This Row],[CANALIZACIÓN]])</f>
        <v>0</v>
      </c>
      <c r="BT467" s="3">
        <f>+IF(AVANCE[[#This Row],[CABLEADO]]=AD$2,100%,AVANCE[[#This Row],[CABLEADO]])</f>
        <v>0</v>
      </c>
      <c r="BU467" s="3">
        <f>+IF(AVANCE[[#This Row],[ARTEFACTOS]]=AE$2,100%,AVANCE[[#This Row],[ARTEFACTOS]])</f>
        <v>0</v>
      </c>
      <c r="BV467" s="3">
        <f>+IF(AVANCE[[#This Row],[TABLERO]]=AF$2,100%,AVANCE[[#This Row],[TABLERO]])</f>
        <v>0</v>
      </c>
      <c r="BW467" s="3">
        <f>+IF(AVANCE[[#This Row],[CAJA PAU]]=AG$2,100%,AVANCE[[#This Row],[CAJA PAU]])</f>
        <v>0</v>
      </c>
      <c r="BX467" s="3">
        <f>+IF(AVANCE[[#This Row],[INSTALACION VINILICO]]=AJ$2,100%,AVANCE[[#This Row],[INSTALACION VINILICO]])</f>
        <v>0</v>
      </c>
      <c r="BY467" s="3">
        <f>+IF(AVANCE[[#This Row],[OSB CUBIERTA]]=AK$2,100%,AVANCE[[#This Row],[OSB CUBIERTA]])</f>
        <v>0</v>
      </c>
      <c r="BZ467" s="3">
        <f>+IF(AVANCE[[#This Row],[BARANDA BALCON]]=AL$2,100%,AVANCE[[#This Row],[BARANDA BALCON]])</f>
        <v>0</v>
      </c>
      <c r="CA467" s="3">
        <f>+IF(AVANCE[[#This Row],[OSB EXTERIOR]]=AM$2,100%,AVANCE[[#This Row],[OSB EXTERIOR]])</f>
        <v>0</v>
      </c>
      <c r="CB467" s="3">
        <f>+IF(AVANCE[[#This Row],[SMART PANEL]]=AN$2,100%,AVANCE[[#This Row],[SMART PANEL]])</f>
        <v>0</v>
      </c>
      <c r="CC467" s="3">
        <f>+IF(AVANCE[[#This Row],[PINTURA EXTERIOR]]=AO$2,100%,AVANCE[[#This Row],[PINTURA EXTERIOR]])</f>
        <v>0</v>
      </c>
      <c r="CD467" s="3">
        <f>+IF(AVANCE[[#This Row],[ZOCALOS LOGIA]]=AP$2,100%,AVANCE[[#This Row],[ZOCALOS LOGIA]])</f>
        <v>0</v>
      </c>
      <c r="CE467" s="3">
        <f>+IF(AVANCE[[#This Row],[MOLDURAS]]=AQ$2,100%,AVANCE[[#This Row],[MOLDURAS]])</f>
        <v>0</v>
      </c>
      <c r="CF467" s="3">
        <f>+IF(AVANCE[[#This Row],[PILASTREO]]=AR$2,100%,AVANCE[[#This Row],[PILASTREO]])</f>
        <v>0</v>
      </c>
      <c r="CG467" s="3">
        <f>+IF(AVANCE[[#This Row],[CELOSIAS]]=AS$2,100%,AVANCE[[#This Row],[CELOSIAS]])</f>
        <v>0</v>
      </c>
      <c r="CH467" s="3">
        <f>+IF(AVANCE[[#This Row],[VENTANAS]]=AT$2,100%,AVANCE[[#This Row],[VENTANAS]])</f>
        <v>0</v>
      </c>
      <c r="CI467" s="3">
        <f>+IF(AVANCE[[#This Row],[PUERTAS ACCESO - LOGIA - BANO]]=AU$2,100%,AVANCE[[#This Row],[PUERTAS ACCESO - LOGIA - BANO]])</f>
        <v>0</v>
      </c>
      <c r="CJ467" s="3">
        <f>+IF(AVANCE[[#This Row],[CERRADURAS]]=AV$2,100%,AVANCE[[#This Row],[CERRADURAS]])</f>
        <v>0</v>
      </c>
      <c r="CK467" s="3">
        <f>+IF(AVANCE[[#This Row],[REVESTIMIENTO INTERIOR ZONA SECA]]=AW$2,100%,AVANCE[[#This Row],[REVESTIMIENTO INTERIOR ZONA SECA]])</f>
        <v>0</v>
      </c>
      <c r="CL467" s="3">
        <f>+IF(AVANCE[[#This Row],[REVESTIMIENTO INTERIOR ZONAS HUMEDAS]]=AX$2,100%,AVANCE[[#This Row],[REVESTIMIENTO INTERIOR ZONAS HUMEDAS]])</f>
        <v>0</v>
      </c>
      <c r="CM467" s="3">
        <f>+IF(AVANCE[[#This Row],[MEMBRANA CIELO]]=AY$2,100%,AVANCE[[#This Row],[MEMBRANA CIELO]])</f>
        <v>0</v>
      </c>
      <c r="CN467" s="3">
        <f>+IF(AVANCE[[#This Row],[LIMPIEZA FINAL]]=AZ$2,100%,AVANCE[[#This Row],[LIMPIEZA FINAL]])</f>
        <v>0</v>
      </c>
      <c r="CO467" s="3">
        <f>+IF(AVANCE[[#This Row],[PUERTAS DORMITORIO]]=BA$2,100%,AVANCE[[#This Row],[PUERTAS DORMITORIO]])</f>
        <v>0</v>
      </c>
      <c r="CP467" s="3">
        <f>+IF(AVANCE[[#This Row],[REVESTIMIENTO INTERIOR BANO]]=BB$2,100%,AVANCE[[#This Row],[REVESTIMIENTO INTERIOR BANO]])</f>
        <v>0</v>
      </c>
      <c r="CQ467" s="3">
        <f>+IF(AVANCE[[#This Row],[MUEBLE LAVAPLATOS]]=BC$2,100%,AVANCE[[#This Row],[MUEBLE LAVAPLATOS]])</f>
        <v>0</v>
      </c>
      <c r="CR467" s="3">
        <f>+IF(AVANCE[[#This Row],[IMPERMEABILIZACION BANO - COCINA LOGIA]]=BD$2,100%,AVANCE[[#This Row],[IMPERMEABILIZACION BANO - COCINA LOGIA]])</f>
        <v>0</v>
      </c>
      <c r="CS467" s="40">
        <f ca="1">+IF(AVANCE[[#This Row],[ESTADO MODULO]]="PENDIENTE",(TODAY()-AVANCE[[#This Row],[FECHA TERMINO  PLANIFICADO]]),0)</f>
        <v>0</v>
      </c>
      <c r="CT467" s="41" t="str" cm="1">
        <f t="array" ref="CT467">_xlfn.TEXTJOIN(" | ",TRUE,IF(SUMPRODUCT((BG467:CR467&lt;1)*(PARTIDAS!$I$2:$AT$2="OBRA GRUESA"))&gt;0,"OBRA GRUESA: "&amp;_xlfn.TEXTJOIN(", ",TRUE,IF((BG467:CR467&lt;1)*(PARTIDAS!$I$2:$AT$2="OBRA GRUESA"),PARTIDAS!$I$1:$AT$1,"")),""),IF(SUMPRODUCT((BG467:CR467&lt;1)*(PARTIDAS!$I$2:$AT$2="SANITARIOS"))&gt;0,"SANITARIOS: "&amp;_xlfn.TEXTJOIN(", ",TRUE,IF((BG467:CR467&lt;1)*(PARTIDAS!$I$2:$AT$2="SANITARIOS"),PARTIDAS!$I$1:$AT$1,"")),""),IF(SUMPRODUCT((BG467:CR467&lt;1)*(PARTIDAS!$I$2:$AT$2="ELÉCTRICO"))&gt;0,"ELÉCTRICO: "&amp;_xlfn.TEXTJOIN(", ",TRUE,IF((BG467:CR467&lt;1)*(PARTIDAS!$I$2:$AT$2="ELÉCTRICO"),PARTIDAS!$I$1:$AT$1,"")),""),IF(SUMPRODUCT((BG467:CR467&lt;1)*(PARTIDAS!$I$2:$AT$2="TERMINACIONES"))&gt;0,"TERMINACIONES: "&amp;_xlfn.TEXTJOIN(", ",TRUE,IF((BG467:CR467&lt;1)*(PARTIDAS!$I$2:$AT$2="TERMINACIONES"),PARTIDAS!$I$1:$AT$1,"")),""))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7" s="43" t="str" cm="1">
        <f t="array" ref="CU467">_xlfn.TEXTJOIN(", ",TRUE,IF(SUMPRODUCT((BG467:CR467&lt;1)*(PARTIDAS!$I$2:$AT$2="OBRA GRUESA"))&gt;0,"OBRA GRUESA",""),IF(SUMPRODUCT((BG467:CR467&lt;1)*(PARTIDAS!$I$2:$AT$2="SANITARIOS"))&gt;0,"SANITARIOS",""),IF(SUMPRODUCT((BG467:CR467&lt;1)*(PARTIDAS!$I$2:$AT$2="ELÉCTRICO"))&gt;0,"ELÉCTRICO",""),IF(SUMPRODUCT((BG467:CR467&lt;1)*(PARTIDAS!$I$2:$AT$2="TERMINACIONES"))&gt;0,"TERMINACIONES",""))</f>
        <v>OBRA GRUESA, SANITARIOS, ELÉCTRICO, TERMINACIONES</v>
      </c>
      <c r="CV467" s="44" cm="1">
        <f t="array" ref="CV467">SUMPRODUCT(--(BG467:CR467&lt;1))</f>
        <v>38</v>
      </c>
    </row>
    <row r="468" spans="1:100" hidden="1" x14ac:dyDescent="0.25">
      <c r="A468" t="s">
        <v>520</v>
      </c>
      <c r="B468" t="s">
        <v>539</v>
      </c>
      <c r="C468">
        <v>2302600467</v>
      </c>
      <c r="D468" t="s">
        <v>60</v>
      </c>
      <c r="E468" s="2">
        <v>0</v>
      </c>
      <c r="F468" s="1">
        <v>46372</v>
      </c>
      <c r="G468" s="1"/>
      <c r="H468" s="1">
        <v>0</v>
      </c>
      <c r="I468" s="1">
        <v>46402</v>
      </c>
      <c r="J468">
        <v>46230</v>
      </c>
      <c r="K468" s="1"/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>
        <v>31.32</v>
      </c>
      <c r="BF468" s="3" t="str">
        <f>+IF(AVANCE[[#This Row],[% AVANCE]]=100%,"MODULO TERMINADO",IF(AVANCE[[#This Row],[FECHA INICIO REAL]]="","MODULO NO INICIADO","PENDIENTE"))</f>
        <v>MODULO NO INICIADO</v>
      </c>
      <c r="BG468" s="3">
        <f>+IF(AVANCE[[#This Row],[VENTANAS]]=8.10810810810811%,100%,AVANCE[[#This Row],[VENTANAS]])</f>
        <v>0</v>
      </c>
      <c r="BH468" s="3">
        <f>+IF(AVANCE[[#This Row],[PISO]]=N$2,100%,AVANCE[[#This Row],[PISO]])</f>
        <v>0</v>
      </c>
      <c r="BI468" s="3">
        <f>+IF(AVANCE[[#This Row],[TABIQUES]]=O$2,100%,AVANCE[[#This Row],[TABIQUES]])</f>
        <v>0</v>
      </c>
      <c r="BJ468" s="3">
        <f>+IF(AVANCE[[#This Row],[MUROS]]=P$2,100%,AVANCE[[#This Row],[MUROS]])</f>
        <v>0</v>
      </c>
      <c r="BK468" s="3">
        <f>+IF(AVANCE[[#This Row],[CIELO]]=Q$2,100%,AVANCE[[#This Row],[CIELO]])</f>
        <v>0</v>
      </c>
      <c r="BL468" s="3">
        <f>+IF(AVANCE[[#This Row],[BALCÓN]]=R$2,100%,AVANCE[[#This Row],[BALCÓN]])</f>
        <v>0</v>
      </c>
      <c r="BM468" s="3">
        <f>+IF(AVANCE[[#This Row],[RED ALCANTARILLADO]]=U$2,100%,AVANCE[[#This Row],[RED ALCANTARILLADO]])</f>
        <v>0</v>
      </c>
      <c r="BN468" s="3">
        <f>+IF(AVANCE[[#This Row],[RED DE AGUA]]=V$2,100%,AVANCE[[#This Row],[RED DE AGUA]])</f>
        <v>0</v>
      </c>
      <c r="BO468" s="3">
        <f>+IF(AVANCE[[#This Row],[VENTILACIONES]]=W$2,100%,AVANCE[[#This Row],[VENTILACIONES]])</f>
        <v>0</v>
      </c>
      <c r="BP468" s="3">
        <f>+IF(AVANCE[[#This Row],[TINA]]=X$2,100%,AVANCE[[#This Row],[TINA]])</f>
        <v>0</v>
      </c>
      <c r="BQ468" s="3">
        <f>+IF(AVANCE[[#This Row],[WC]]=Y$2,100%,AVANCE[[#This Row],[WC]])</f>
        <v>0</v>
      </c>
      <c r="BR468" s="3">
        <f>+IF(AVANCE[[#This Row],[LAVAMANOS / LAVAPLATOS / LAVADERO]]=Z$2,100%,AVANCE[[#This Row],[LAVAMANOS / LAVAPLATOS / LAVADERO]])</f>
        <v>0</v>
      </c>
      <c r="BS468" s="3">
        <f>+IF(AVANCE[[#This Row],[CANALIZACIÓN]]=AC$2,100%,AVANCE[[#This Row],[CANALIZACIÓN]])</f>
        <v>0</v>
      </c>
      <c r="BT468" s="3">
        <f>+IF(AVANCE[[#This Row],[CABLEADO]]=AD$2,100%,AVANCE[[#This Row],[CABLEADO]])</f>
        <v>0</v>
      </c>
      <c r="BU468" s="3">
        <f>+IF(AVANCE[[#This Row],[ARTEFACTOS]]=AE$2,100%,AVANCE[[#This Row],[ARTEFACTOS]])</f>
        <v>0</v>
      </c>
      <c r="BV468" s="3">
        <f>+IF(AVANCE[[#This Row],[TABLERO]]=AF$2,100%,AVANCE[[#This Row],[TABLERO]])</f>
        <v>0</v>
      </c>
      <c r="BW468" s="3">
        <f>+IF(AVANCE[[#This Row],[CAJA PAU]]=AG$2,100%,AVANCE[[#This Row],[CAJA PAU]])</f>
        <v>0</v>
      </c>
      <c r="BX468" s="3">
        <f>+IF(AVANCE[[#This Row],[INSTALACION VINILICO]]=AJ$2,100%,AVANCE[[#This Row],[INSTALACION VINILICO]])</f>
        <v>0</v>
      </c>
      <c r="BY468" s="3">
        <f>+IF(AVANCE[[#This Row],[OSB CUBIERTA]]=AK$2,100%,AVANCE[[#This Row],[OSB CUBIERTA]])</f>
        <v>0</v>
      </c>
      <c r="BZ468" s="3">
        <f>+IF(AVANCE[[#This Row],[BARANDA BALCON]]=AL$2,100%,AVANCE[[#This Row],[BARANDA BALCON]])</f>
        <v>0</v>
      </c>
      <c r="CA468" s="3">
        <f>+IF(AVANCE[[#This Row],[OSB EXTERIOR]]=AM$2,100%,AVANCE[[#This Row],[OSB EXTERIOR]])</f>
        <v>0</v>
      </c>
      <c r="CB468" s="3">
        <f>+IF(AVANCE[[#This Row],[SMART PANEL]]=AN$2,100%,AVANCE[[#This Row],[SMART PANEL]])</f>
        <v>0</v>
      </c>
      <c r="CC468" s="3">
        <f>+IF(AVANCE[[#This Row],[PINTURA EXTERIOR]]=AO$2,100%,AVANCE[[#This Row],[PINTURA EXTERIOR]])</f>
        <v>0</v>
      </c>
      <c r="CD468" s="3">
        <f>+IF(AVANCE[[#This Row],[ZOCALOS LOGIA]]=AP$2,100%,AVANCE[[#This Row],[ZOCALOS LOGIA]])</f>
        <v>0</v>
      </c>
      <c r="CE468" s="3">
        <f>+IF(AVANCE[[#This Row],[MOLDURAS]]=AQ$2,100%,AVANCE[[#This Row],[MOLDURAS]])</f>
        <v>0</v>
      </c>
      <c r="CF468" s="3">
        <f>+IF(AVANCE[[#This Row],[PILASTREO]]=AR$2,100%,AVANCE[[#This Row],[PILASTREO]])</f>
        <v>0</v>
      </c>
      <c r="CG468" s="3">
        <f>+IF(AVANCE[[#This Row],[CELOSIAS]]=AS$2,100%,AVANCE[[#This Row],[CELOSIAS]])</f>
        <v>0</v>
      </c>
      <c r="CH468" s="3">
        <f>+IF(AVANCE[[#This Row],[VENTANAS]]=AT$2,100%,AVANCE[[#This Row],[VENTANAS]])</f>
        <v>0</v>
      </c>
      <c r="CI468" s="3">
        <f>+IF(AVANCE[[#This Row],[PUERTAS ACCESO - LOGIA - BANO]]=AU$2,100%,AVANCE[[#This Row],[PUERTAS ACCESO - LOGIA - BANO]])</f>
        <v>0</v>
      </c>
      <c r="CJ468" s="3">
        <f>+IF(AVANCE[[#This Row],[CERRADURAS]]=AV$2,100%,AVANCE[[#This Row],[CERRADURAS]])</f>
        <v>0</v>
      </c>
      <c r="CK468" s="3">
        <f>+IF(AVANCE[[#This Row],[REVESTIMIENTO INTERIOR ZONA SECA]]=AW$2,100%,AVANCE[[#This Row],[REVESTIMIENTO INTERIOR ZONA SECA]])</f>
        <v>0</v>
      </c>
      <c r="CL468" s="3">
        <f>+IF(AVANCE[[#This Row],[REVESTIMIENTO INTERIOR ZONAS HUMEDAS]]=AX$2,100%,AVANCE[[#This Row],[REVESTIMIENTO INTERIOR ZONAS HUMEDAS]])</f>
        <v>0</v>
      </c>
      <c r="CM468" s="3">
        <f>+IF(AVANCE[[#This Row],[MEMBRANA CIELO]]=AY$2,100%,AVANCE[[#This Row],[MEMBRANA CIELO]])</f>
        <v>0</v>
      </c>
      <c r="CN468" s="3">
        <f>+IF(AVANCE[[#This Row],[LIMPIEZA FINAL]]=AZ$2,100%,AVANCE[[#This Row],[LIMPIEZA FINAL]])</f>
        <v>0</v>
      </c>
      <c r="CO468" s="3">
        <f>+IF(AVANCE[[#This Row],[PUERTAS DORMITORIO]]=BA$2,100%,AVANCE[[#This Row],[PUERTAS DORMITORIO]])</f>
        <v>0</v>
      </c>
      <c r="CP468" s="3">
        <f>+IF(AVANCE[[#This Row],[REVESTIMIENTO INTERIOR BANO]]=BB$2,100%,AVANCE[[#This Row],[REVESTIMIENTO INTERIOR BANO]])</f>
        <v>0</v>
      </c>
      <c r="CQ468" s="3">
        <f>+IF(AVANCE[[#This Row],[MUEBLE LAVAPLATOS]]=BC$2,100%,AVANCE[[#This Row],[MUEBLE LAVAPLATOS]])</f>
        <v>0</v>
      </c>
      <c r="CR468" s="3">
        <f>+IF(AVANCE[[#This Row],[IMPERMEABILIZACION BANO - COCINA LOGIA]]=BD$2,100%,AVANCE[[#This Row],[IMPERMEABILIZACION BANO - COCINA LOGIA]])</f>
        <v>0</v>
      </c>
      <c r="CS468" s="40">
        <f ca="1">+IF(AVANCE[[#This Row],[ESTADO MODULO]]="PENDIENTE",(TODAY()-AVANCE[[#This Row],[FECHA TERMINO  PLANIFICADO]]),0)</f>
        <v>0</v>
      </c>
      <c r="CT468" s="41" t="str" cm="1">
        <f t="array" ref="CT468">_xlfn.TEXTJOIN(" | ",TRUE,IF(SUMPRODUCT((BG468:CR468&lt;1)*(PARTIDAS!$I$2:$AT$2="OBRA GRUESA"))&gt;0,"OBRA GRUESA: "&amp;_xlfn.TEXTJOIN(", ",TRUE,IF((BG468:CR468&lt;1)*(PARTIDAS!$I$2:$AT$2="OBRA GRUESA"),PARTIDAS!$I$1:$AT$1,"")),""),IF(SUMPRODUCT((BG468:CR468&lt;1)*(PARTIDAS!$I$2:$AT$2="SANITARIOS"))&gt;0,"SANITARIOS: "&amp;_xlfn.TEXTJOIN(", ",TRUE,IF((BG468:CR468&lt;1)*(PARTIDAS!$I$2:$AT$2="SANITARIOS"),PARTIDAS!$I$1:$AT$1,"")),""),IF(SUMPRODUCT((BG468:CR468&lt;1)*(PARTIDAS!$I$2:$AT$2="ELÉCTRICO"))&gt;0,"ELÉCTRICO: "&amp;_xlfn.TEXTJOIN(", ",TRUE,IF((BG468:CR468&lt;1)*(PARTIDAS!$I$2:$AT$2="ELÉCTRICO"),PARTIDAS!$I$1:$AT$1,"")),""),IF(SUMPRODUCT((BG468:CR468&lt;1)*(PARTIDAS!$I$2:$AT$2="TERMINACIONES"))&gt;0,"TERMINACIONES: "&amp;_xlfn.TEXTJOIN(", ",TRUE,IF((BG468:CR468&lt;1)*(PARTIDAS!$I$2:$AT$2="TERMINACIONES"),PARTIDAS!$I$1:$AT$1,"")),""))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8" s="43" t="str" cm="1">
        <f t="array" ref="CU468">_xlfn.TEXTJOIN(", ",TRUE,IF(SUMPRODUCT((BG468:CR468&lt;1)*(PARTIDAS!$I$2:$AT$2="OBRA GRUESA"))&gt;0,"OBRA GRUESA",""),IF(SUMPRODUCT((BG468:CR468&lt;1)*(PARTIDAS!$I$2:$AT$2="SANITARIOS"))&gt;0,"SANITARIOS",""),IF(SUMPRODUCT((BG468:CR468&lt;1)*(PARTIDAS!$I$2:$AT$2="ELÉCTRICO"))&gt;0,"ELÉCTRICO",""),IF(SUMPRODUCT((BG468:CR468&lt;1)*(PARTIDAS!$I$2:$AT$2="TERMINACIONES"))&gt;0,"TERMINACIONES",""))</f>
        <v>OBRA GRUESA, SANITARIOS, ELÉCTRICO, TERMINACIONES</v>
      </c>
      <c r="CV468" s="44" cm="1">
        <f t="array" ref="CV468">SUMPRODUCT(--(BG468:CR468&lt;1))</f>
        <v>38</v>
      </c>
    </row>
    <row r="469" spans="1:100" hidden="1" x14ac:dyDescent="0.25">
      <c r="A469" t="s">
        <v>520</v>
      </c>
      <c r="B469" t="s">
        <v>540</v>
      </c>
      <c r="C469">
        <v>2282600468</v>
      </c>
      <c r="D469" t="s">
        <v>58</v>
      </c>
      <c r="E469" s="2">
        <v>0</v>
      </c>
      <c r="F469" s="1">
        <v>46372</v>
      </c>
      <c r="G469" s="1"/>
      <c r="H469" s="1">
        <v>0</v>
      </c>
      <c r="I469" s="1">
        <v>46392</v>
      </c>
      <c r="J469">
        <v>46230</v>
      </c>
      <c r="K469" s="1"/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>
        <v>28.87</v>
      </c>
      <c r="BF469" s="3" t="str">
        <f>+IF(AVANCE[[#This Row],[% AVANCE]]=100%,"MODULO TERMINADO",IF(AVANCE[[#This Row],[FECHA INICIO REAL]]="","MODULO NO INICIADO","PENDIENTE"))</f>
        <v>MODULO NO INICIADO</v>
      </c>
      <c r="BG469" s="3">
        <f>+IF(AVANCE[[#This Row],[VENTANAS]]=8.10810810810811%,100%,AVANCE[[#This Row],[VENTANAS]])</f>
        <v>0</v>
      </c>
      <c r="BH469" s="3">
        <f>+IF(AVANCE[[#This Row],[PISO]]=N$2,100%,AVANCE[[#This Row],[PISO]])</f>
        <v>0</v>
      </c>
      <c r="BI469" s="3">
        <f>+IF(AVANCE[[#This Row],[TABIQUES]]=O$2,100%,AVANCE[[#This Row],[TABIQUES]])</f>
        <v>0</v>
      </c>
      <c r="BJ469" s="3">
        <f>+IF(AVANCE[[#This Row],[MUROS]]=P$2,100%,AVANCE[[#This Row],[MUROS]])</f>
        <v>0</v>
      </c>
      <c r="BK469" s="3">
        <f>+IF(AVANCE[[#This Row],[CIELO]]=Q$2,100%,AVANCE[[#This Row],[CIELO]])</f>
        <v>0</v>
      </c>
      <c r="BL469" s="3">
        <f>+IF(AVANCE[[#This Row],[BALCÓN]]=R$2,100%,AVANCE[[#This Row],[BALCÓN]])</f>
        <v>0</v>
      </c>
      <c r="BM469" s="3">
        <f>+IF(AVANCE[[#This Row],[RED ALCANTARILLADO]]=U$2,100%,AVANCE[[#This Row],[RED ALCANTARILLADO]])</f>
        <v>0</v>
      </c>
      <c r="BN469" s="3">
        <f>+IF(AVANCE[[#This Row],[RED DE AGUA]]=V$2,100%,AVANCE[[#This Row],[RED DE AGUA]])</f>
        <v>0</v>
      </c>
      <c r="BO469" s="3">
        <f>+IF(AVANCE[[#This Row],[VENTILACIONES]]=W$2,100%,AVANCE[[#This Row],[VENTILACIONES]])</f>
        <v>0</v>
      </c>
      <c r="BP469" s="3">
        <f>+IF(AVANCE[[#This Row],[TINA]]=X$2,100%,AVANCE[[#This Row],[TINA]])</f>
        <v>0</v>
      </c>
      <c r="BQ469" s="3">
        <f>+IF(AVANCE[[#This Row],[WC]]=Y$2,100%,AVANCE[[#This Row],[WC]])</f>
        <v>0</v>
      </c>
      <c r="BR469" s="3">
        <f>+IF(AVANCE[[#This Row],[LAVAMANOS / LAVAPLATOS / LAVADERO]]=Z$2,100%,AVANCE[[#This Row],[LAVAMANOS / LAVAPLATOS / LAVADERO]])</f>
        <v>0</v>
      </c>
      <c r="BS469" s="3">
        <f>+IF(AVANCE[[#This Row],[CANALIZACIÓN]]=AC$2,100%,AVANCE[[#This Row],[CANALIZACIÓN]])</f>
        <v>0</v>
      </c>
      <c r="BT469" s="3">
        <f>+IF(AVANCE[[#This Row],[CABLEADO]]=AD$2,100%,AVANCE[[#This Row],[CABLEADO]])</f>
        <v>0</v>
      </c>
      <c r="BU469" s="3">
        <f>+IF(AVANCE[[#This Row],[ARTEFACTOS]]=AE$2,100%,AVANCE[[#This Row],[ARTEFACTOS]])</f>
        <v>0</v>
      </c>
      <c r="BV469" s="3">
        <f>+IF(AVANCE[[#This Row],[TABLERO]]=AF$2,100%,AVANCE[[#This Row],[TABLERO]])</f>
        <v>0</v>
      </c>
      <c r="BW469" s="3">
        <f>+IF(AVANCE[[#This Row],[CAJA PAU]]=AG$2,100%,AVANCE[[#This Row],[CAJA PAU]])</f>
        <v>0</v>
      </c>
      <c r="BX469" s="3">
        <f>+IF(AVANCE[[#This Row],[INSTALACION VINILICO]]=AJ$2,100%,AVANCE[[#This Row],[INSTALACION VINILICO]])</f>
        <v>0</v>
      </c>
      <c r="BY469" s="3">
        <f>+IF(AVANCE[[#This Row],[OSB CUBIERTA]]=AK$2,100%,AVANCE[[#This Row],[OSB CUBIERTA]])</f>
        <v>0</v>
      </c>
      <c r="BZ469" s="3">
        <f>+IF(AVANCE[[#This Row],[BARANDA BALCON]]=AL$2,100%,AVANCE[[#This Row],[BARANDA BALCON]])</f>
        <v>0</v>
      </c>
      <c r="CA469" s="3">
        <f>+IF(AVANCE[[#This Row],[OSB EXTERIOR]]=AM$2,100%,AVANCE[[#This Row],[OSB EXTERIOR]])</f>
        <v>0</v>
      </c>
      <c r="CB469" s="3">
        <f>+IF(AVANCE[[#This Row],[SMART PANEL]]=AN$2,100%,AVANCE[[#This Row],[SMART PANEL]])</f>
        <v>0</v>
      </c>
      <c r="CC469" s="3">
        <f>+IF(AVANCE[[#This Row],[PINTURA EXTERIOR]]=AO$2,100%,AVANCE[[#This Row],[PINTURA EXTERIOR]])</f>
        <v>0</v>
      </c>
      <c r="CD469" s="3">
        <f>+IF(AVANCE[[#This Row],[ZOCALOS LOGIA]]=AP$2,100%,AVANCE[[#This Row],[ZOCALOS LOGIA]])</f>
        <v>0</v>
      </c>
      <c r="CE469" s="3">
        <f>+IF(AVANCE[[#This Row],[MOLDURAS]]=AQ$2,100%,AVANCE[[#This Row],[MOLDURAS]])</f>
        <v>0</v>
      </c>
      <c r="CF469" s="3">
        <f>+IF(AVANCE[[#This Row],[PILASTREO]]=AR$2,100%,AVANCE[[#This Row],[PILASTREO]])</f>
        <v>0</v>
      </c>
      <c r="CG469" s="3">
        <f>+IF(AVANCE[[#This Row],[CELOSIAS]]=AS$2,100%,AVANCE[[#This Row],[CELOSIAS]])</f>
        <v>0</v>
      </c>
      <c r="CH469" s="3">
        <f>+IF(AVANCE[[#This Row],[VENTANAS]]=AT$2,100%,AVANCE[[#This Row],[VENTANAS]])</f>
        <v>0</v>
      </c>
      <c r="CI469" s="3">
        <f>+IF(AVANCE[[#This Row],[PUERTAS ACCESO - LOGIA - BANO]]=AU$2,100%,AVANCE[[#This Row],[PUERTAS ACCESO - LOGIA - BANO]])</f>
        <v>0</v>
      </c>
      <c r="CJ469" s="3">
        <f>+IF(AVANCE[[#This Row],[CERRADURAS]]=AV$2,100%,AVANCE[[#This Row],[CERRADURAS]])</f>
        <v>0</v>
      </c>
      <c r="CK469" s="3">
        <f>+IF(AVANCE[[#This Row],[REVESTIMIENTO INTERIOR ZONA SECA]]=AW$2,100%,AVANCE[[#This Row],[REVESTIMIENTO INTERIOR ZONA SECA]])</f>
        <v>0</v>
      </c>
      <c r="CL469" s="3">
        <f>+IF(AVANCE[[#This Row],[REVESTIMIENTO INTERIOR ZONAS HUMEDAS]]=AX$2,100%,AVANCE[[#This Row],[REVESTIMIENTO INTERIOR ZONAS HUMEDAS]])</f>
        <v>0</v>
      </c>
      <c r="CM469" s="3">
        <f>+IF(AVANCE[[#This Row],[MEMBRANA CIELO]]=AY$2,100%,AVANCE[[#This Row],[MEMBRANA CIELO]])</f>
        <v>0</v>
      </c>
      <c r="CN469" s="3">
        <f>+IF(AVANCE[[#This Row],[LIMPIEZA FINAL]]=AZ$2,100%,AVANCE[[#This Row],[LIMPIEZA FINAL]])</f>
        <v>0</v>
      </c>
      <c r="CO469" s="3">
        <f>+IF(AVANCE[[#This Row],[PUERTAS DORMITORIO]]=BA$2,100%,AVANCE[[#This Row],[PUERTAS DORMITORIO]])</f>
        <v>0</v>
      </c>
      <c r="CP469" s="3">
        <f>+IF(AVANCE[[#This Row],[REVESTIMIENTO INTERIOR BANO]]=BB$2,100%,AVANCE[[#This Row],[REVESTIMIENTO INTERIOR BANO]])</f>
        <v>0</v>
      </c>
      <c r="CQ469" s="3">
        <f>+IF(AVANCE[[#This Row],[MUEBLE LAVAPLATOS]]=BC$2,100%,AVANCE[[#This Row],[MUEBLE LAVAPLATOS]])</f>
        <v>0</v>
      </c>
      <c r="CR469" s="3">
        <f>+IF(AVANCE[[#This Row],[IMPERMEABILIZACION BANO - COCINA LOGIA]]=BD$2,100%,AVANCE[[#This Row],[IMPERMEABILIZACION BANO - COCINA LOGIA]])</f>
        <v>0</v>
      </c>
      <c r="CS469" s="40">
        <f ca="1">+IF(AVANCE[[#This Row],[ESTADO MODULO]]="PENDIENTE",(TODAY()-AVANCE[[#This Row],[FECHA TERMINO  PLANIFICADO]]),0)</f>
        <v>0</v>
      </c>
      <c r="CT469" s="41" t="str" cm="1">
        <f t="array" ref="CT469">_xlfn.TEXTJOIN(" | ",TRUE,IF(SUMPRODUCT((BG469:CR469&lt;1)*(PARTIDAS!$I$2:$AT$2="OBRA GRUESA"))&gt;0,"OBRA GRUESA: "&amp;_xlfn.TEXTJOIN(", ",TRUE,IF((BG469:CR469&lt;1)*(PARTIDAS!$I$2:$AT$2="OBRA GRUESA"),PARTIDAS!$I$1:$AT$1,"")),""),IF(SUMPRODUCT((BG469:CR469&lt;1)*(PARTIDAS!$I$2:$AT$2="SANITARIOS"))&gt;0,"SANITARIOS: "&amp;_xlfn.TEXTJOIN(", ",TRUE,IF((BG469:CR469&lt;1)*(PARTIDAS!$I$2:$AT$2="SANITARIOS"),PARTIDAS!$I$1:$AT$1,"")),""),IF(SUMPRODUCT((BG469:CR469&lt;1)*(PARTIDAS!$I$2:$AT$2="ELÉCTRICO"))&gt;0,"ELÉCTRICO: "&amp;_xlfn.TEXTJOIN(", ",TRUE,IF((BG469:CR469&lt;1)*(PARTIDAS!$I$2:$AT$2="ELÉCTRICO"),PARTIDAS!$I$1:$AT$1,"")),""),IF(SUMPRODUCT((BG469:CR469&lt;1)*(PARTIDAS!$I$2:$AT$2="TERMINACIONES"))&gt;0,"TERMINACIONES: "&amp;_xlfn.TEXTJOIN(", ",TRUE,IF((BG469:CR469&lt;1)*(PARTIDAS!$I$2:$AT$2="TERMINACIONES"),PARTIDAS!$I$1:$AT$1,"")),""))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69" s="43" t="str" cm="1">
        <f t="array" ref="CU469">_xlfn.TEXTJOIN(", ",TRUE,IF(SUMPRODUCT((BG469:CR469&lt;1)*(PARTIDAS!$I$2:$AT$2="OBRA GRUESA"))&gt;0,"OBRA GRUESA",""),IF(SUMPRODUCT((BG469:CR469&lt;1)*(PARTIDAS!$I$2:$AT$2="SANITARIOS"))&gt;0,"SANITARIOS",""),IF(SUMPRODUCT((BG469:CR469&lt;1)*(PARTIDAS!$I$2:$AT$2="ELÉCTRICO"))&gt;0,"ELÉCTRICO",""),IF(SUMPRODUCT((BG469:CR469&lt;1)*(PARTIDAS!$I$2:$AT$2="TERMINACIONES"))&gt;0,"TERMINACIONES",""))</f>
        <v>OBRA GRUESA, SANITARIOS, ELÉCTRICO, TERMINACIONES</v>
      </c>
      <c r="CV469" s="44" cm="1">
        <f t="array" ref="CV469">SUMPRODUCT(--(BG469:CR469&lt;1))</f>
        <v>38</v>
      </c>
    </row>
    <row r="470" spans="1:100" hidden="1" x14ac:dyDescent="0.25">
      <c r="A470" t="s">
        <v>520</v>
      </c>
      <c r="B470" t="s">
        <v>541</v>
      </c>
      <c r="C470">
        <v>2282600469</v>
      </c>
      <c r="D470" t="s">
        <v>58</v>
      </c>
      <c r="E470" s="2">
        <v>0</v>
      </c>
      <c r="F470" s="1">
        <v>46372</v>
      </c>
      <c r="G470" s="1"/>
      <c r="H470" s="1">
        <v>0</v>
      </c>
      <c r="I470" s="1">
        <v>46392</v>
      </c>
      <c r="J470">
        <v>46230</v>
      </c>
      <c r="K470" s="1"/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>
        <v>28.87</v>
      </c>
      <c r="BF470" s="3" t="str">
        <f>+IF(AVANCE[[#This Row],[% AVANCE]]=100%,"MODULO TERMINADO",IF(AVANCE[[#This Row],[FECHA INICIO REAL]]="","MODULO NO INICIADO","PENDIENTE"))</f>
        <v>MODULO NO INICIADO</v>
      </c>
      <c r="BG470" s="3">
        <f>+IF(AVANCE[[#This Row],[VENTANAS]]=8.10810810810811%,100%,AVANCE[[#This Row],[VENTANAS]])</f>
        <v>0</v>
      </c>
      <c r="BH470" s="3">
        <f>+IF(AVANCE[[#This Row],[PISO]]=N$2,100%,AVANCE[[#This Row],[PISO]])</f>
        <v>0</v>
      </c>
      <c r="BI470" s="3">
        <f>+IF(AVANCE[[#This Row],[TABIQUES]]=O$2,100%,AVANCE[[#This Row],[TABIQUES]])</f>
        <v>0</v>
      </c>
      <c r="BJ470" s="3">
        <f>+IF(AVANCE[[#This Row],[MUROS]]=P$2,100%,AVANCE[[#This Row],[MUROS]])</f>
        <v>0</v>
      </c>
      <c r="BK470" s="3">
        <f>+IF(AVANCE[[#This Row],[CIELO]]=Q$2,100%,AVANCE[[#This Row],[CIELO]])</f>
        <v>0</v>
      </c>
      <c r="BL470" s="3">
        <f>+IF(AVANCE[[#This Row],[BALCÓN]]=R$2,100%,AVANCE[[#This Row],[BALCÓN]])</f>
        <v>0</v>
      </c>
      <c r="BM470" s="3">
        <f>+IF(AVANCE[[#This Row],[RED ALCANTARILLADO]]=U$2,100%,AVANCE[[#This Row],[RED ALCANTARILLADO]])</f>
        <v>0</v>
      </c>
      <c r="BN470" s="3">
        <f>+IF(AVANCE[[#This Row],[RED DE AGUA]]=V$2,100%,AVANCE[[#This Row],[RED DE AGUA]])</f>
        <v>0</v>
      </c>
      <c r="BO470" s="3">
        <f>+IF(AVANCE[[#This Row],[VENTILACIONES]]=W$2,100%,AVANCE[[#This Row],[VENTILACIONES]])</f>
        <v>0</v>
      </c>
      <c r="BP470" s="3">
        <f>+IF(AVANCE[[#This Row],[TINA]]=X$2,100%,AVANCE[[#This Row],[TINA]])</f>
        <v>0</v>
      </c>
      <c r="BQ470" s="3">
        <f>+IF(AVANCE[[#This Row],[WC]]=Y$2,100%,AVANCE[[#This Row],[WC]])</f>
        <v>0</v>
      </c>
      <c r="BR470" s="3">
        <f>+IF(AVANCE[[#This Row],[LAVAMANOS / LAVAPLATOS / LAVADERO]]=Z$2,100%,AVANCE[[#This Row],[LAVAMANOS / LAVAPLATOS / LAVADERO]])</f>
        <v>0</v>
      </c>
      <c r="BS470" s="3">
        <f>+IF(AVANCE[[#This Row],[CANALIZACIÓN]]=AC$2,100%,AVANCE[[#This Row],[CANALIZACIÓN]])</f>
        <v>0</v>
      </c>
      <c r="BT470" s="3">
        <f>+IF(AVANCE[[#This Row],[CABLEADO]]=AD$2,100%,AVANCE[[#This Row],[CABLEADO]])</f>
        <v>0</v>
      </c>
      <c r="BU470" s="3">
        <f>+IF(AVANCE[[#This Row],[ARTEFACTOS]]=AE$2,100%,AVANCE[[#This Row],[ARTEFACTOS]])</f>
        <v>0</v>
      </c>
      <c r="BV470" s="3">
        <f>+IF(AVANCE[[#This Row],[TABLERO]]=AF$2,100%,AVANCE[[#This Row],[TABLERO]])</f>
        <v>0</v>
      </c>
      <c r="BW470" s="3">
        <f>+IF(AVANCE[[#This Row],[CAJA PAU]]=AG$2,100%,AVANCE[[#This Row],[CAJA PAU]])</f>
        <v>0</v>
      </c>
      <c r="BX470" s="3">
        <f>+IF(AVANCE[[#This Row],[INSTALACION VINILICO]]=AJ$2,100%,AVANCE[[#This Row],[INSTALACION VINILICO]])</f>
        <v>0</v>
      </c>
      <c r="BY470" s="3">
        <f>+IF(AVANCE[[#This Row],[OSB CUBIERTA]]=AK$2,100%,AVANCE[[#This Row],[OSB CUBIERTA]])</f>
        <v>0</v>
      </c>
      <c r="BZ470" s="3">
        <f>+IF(AVANCE[[#This Row],[BARANDA BALCON]]=AL$2,100%,AVANCE[[#This Row],[BARANDA BALCON]])</f>
        <v>0</v>
      </c>
      <c r="CA470" s="3">
        <f>+IF(AVANCE[[#This Row],[OSB EXTERIOR]]=AM$2,100%,AVANCE[[#This Row],[OSB EXTERIOR]])</f>
        <v>0</v>
      </c>
      <c r="CB470" s="3">
        <f>+IF(AVANCE[[#This Row],[SMART PANEL]]=AN$2,100%,AVANCE[[#This Row],[SMART PANEL]])</f>
        <v>0</v>
      </c>
      <c r="CC470" s="3">
        <f>+IF(AVANCE[[#This Row],[PINTURA EXTERIOR]]=AO$2,100%,AVANCE[[#This Row],[PINTURA EXTERIOR]])</f>
        <v>0</v>
      </c>
      <c r="CD470" s="3">
        <f>+IF(AVANCE[[#This Row],[ZOCALOS LOGIA]]=AP$2,100%,AVANCE[[#This Row],[ZOCALOS LOGIA]])</f>
        <v>0</v>
      </c>
      <c r="CE470" s="3">
        <f>+IF(AVANCE[[#This Row],[MOLDURAS]]=AQ$2,100%,AVANCE[[#This Row],[MOLDURAS]])</f>
        <v>0</v>
      </c>
      <c r="CF470" s="3">
        <f>+IF(AVANCE[[#This Row],[PILASTREO]]=AR$2,100%,AVANCE[[#This Row],[PILASTREO]])</f>
        <v>0</v>
      </c>
      <c r="CG470" s="3">
        <f>+IF(AVANCE[[#This Row],[CELOSIAS]]=AS$2,100%,AVANCE[[#This Row],[CELOSIAS]])</f>
        <v>0</v>
      </c>
      <c r="CH470" s="3">
        <f>+IF(AVANCE[[#This Row],[VENTANAS]]=AT$2,100%,AVANCE[[#This Row],[VENTANAS]])</f>
        <v>0</v>
      </c>
      <c r="CI470" s="3">
        <f>+IF(AVANCE[[#This Row],[PUERTAS ACCESO - LOGIA - BANO]]=AU$2,100%,AVANCE[[#This Row],[PUERTAS ACCESO - LOGIA - BANO]])</f>
        <v>0</v>
      </c>
      <c r="CJ470" s="3">
        <f>+IF(AVANCE[[#This Row],[CERRADURAS]]=AV$2,100%,AVANCE[[#This Row],[CERRADURAS]])</f>
        <v>0</v>
      </c>
      <c r="CK470" s="3">
        <f>+IF(AVANCE[[#This Row],[REVESTIMIENTO INTERIOR ZONA SECA]]=AW$2,100%,AVANCE[[#This Row],[REVESTIMIENTO INTERIOR ZONA SECA]])</f>
        <v>0</v>
      </c>
      <c r="CL470" s="3">
        <f>+IF(AVANCE[[#This Row],[REVESTIMIENTO INTERIOR ZONAS HUMEDAS]]=AX$2,100%,AVANCE[[#This Row],[REVESTIMIENTO INTERIOR ZONAS HUMEDAS]])</f>
        <v>0</v>
      </c>
      <c r="CM470" s="3">
        <f>+IF(AVANCE[[#This Row],[MEMBRANA CIELO]]=AY$2,100%,AVANCE[[#This Row],[MEMBRANA CIELO]])</f>
        <v>0</v>
      </c>
      <c r="CN470" s="3">
        <f>+IF(AVANCE[[#This Row],[LIMPIEZA FINAL]]=AZ$2,100%,AVANCE[[#This Row],[LIMPIEZA FINAL]])</f>
        <v>0</v>
      </c>
      <c r="CO470" s="3">
        <f>+IF(AVANCE[[#This Row],[PUERTAS DORMITORIO]]=BA$2,100%,AVANCE[[#This Row],[PUERTAS DORMITORIO]])</f>
        <v>0</v>
      </c>
      <c r="CP470" s="3">
        <f>+IF(AVANCE[[#This Row],[REVESTIMIENTO INTERIOR BANO]]=BB$2,100%,AVANCE[[#This Row],[REVESTIMIENTO INTERIOR BANO]])</f>
        <v>0</v>
      </c>
      <c r="CQ470" s="3">
        <f>+IF(AVANCE[[#This Row],[MUEBLE LAVAPLATOS]]=BC$2,100%,AVANCE[[#This Row],[MUEBLE LAVAPLATOS]])</f>
        <v>0</v>
      </c>
      <c r="CR470" s="3">
        <f>+IF(AVANCE[[#This Row],[IMPERMEABILIZACION BANO - COCINA LOGIA]]=BD$2,100%,AVANCE[[#This Row],[IMPERMEABILIZACION BANO - COCINA LOGIA]])</f>
        <v>0</v>
      </c>
      <c r="CS470" s="40">
        <f ca="1">+IF(AVANCE[[#This Row],[ESTADO MODULO]]="PENDIENTE",(TODAY()-AVANCE[[#This Row],[FECHA TERMINO  PLANIFICADO]]),0)</f>
        <v>0</v>
      </c>
      <c r="CT470" s="41" t="str" cm="1">
        <f t="array" ref="CT470">_xlfn.TEXTJOIN(" | ",TRUE,IF(SUMPRODUCT((BG470:CR470&lt;1)*(PARTIDAS!$I$2:$AT$2="OBRA GRUESA"))&gt;0,"OBRA GRUESA: "&amp;_xlfn.TEXTJOIN(", ",TRUE,IF((BG470:CR470&lt;1)*(PARTIDAS!$I$2:$AT$2="OBRA GRUESA"),PARTIDAS!$I$1:$AT$1,"")),""),IF(SUMPRODUCT((BG470:CR470&lt;1)*(PARTIDAS!$I$2:$AT$2="SANITARIOS"))&gt;0,"SANITARIOS: "&amp;_xlfn.TEXTJOIN(", ",TRUE,IF((BG470:CR470&lt;1)*(PARTIDAS!$I$2:$AT$2="SANITARIOS"),PARTIDAS!$I$1:$AT$1,"")),""),IF(SUMPRODUCT((BG470:CR470&lt;1)*(PARTIDAS!$I$2:$AT$2="ELÉCTRICO"))&gt;0,"ELÉCTRICO: "&amp;_xlfn.TEXTJOIN(", ",TRUE,IF((BG470:CR470&lt;1)*(PARTIDAS!$I$2:$AT$2="ELÉCTRICO"),PARTIDAS!$I$1:$AT$1,"")),""),IF(SUMPRODUCT((BG470:CR470&lt;1)*(PARTIDAS!$I$2:$AT$2="TERMINACIONES"))&gt;0,"TERMINACIONES: "&amp;_xlfn.TEXTJOIN(", ",TRUE,IF((BG470:CR470&lt;1)*(PARTIDAS!$I$2:$AT$2="TERMINACIONES"),PARTIDAS!$I$1:$AT$1,"")),""))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0" s="43" t="str" cm="1">
        <f t="array" ref="CU470">_xlfn.TEXTJOIN(", ",TRUE,IF(SUMPRODUCT((BG470:CR470&lt;1)*(PARTIDAS!$I$2:$AT$2="OBRA GRUESA"))&gt;0,"OBRA GRUESA",""),IF(SUMPRODUCT((BG470:CR470&lt;1)*(PARTIDAS!$I$2:$AT$2="SANITARIOS"))&gt;0,"SANITARIOS",""),IF(SUMPRODUCT((BG470:CR470&lt;1)*(PARTIDAS!$I$2:$AT$2="ELÉCTRICO"))&gt;0,"ELÉCTRICO",""),IF(SUMPRODUCT((BG470:CR470&lt;1)*(PARTIDAS!$I$2:$AT$2="TERMINACIONES"))&gt;0,"TERMINACIONES",""))</f>
        <v>OBRA GRUESA, SANITARIOS, ELÉCTRICO, TERMINACIONES</v>
      </c>
      <c r="CV470" s="44" cm="1">
        <f t="array" ref="CV470">SUMPRODUCT(--(BG470:CR470&lt;1))</f>
        <v>38</v>
      </c>
    </row>
    <row r="471" spans="1:100" hidden="1" x14ac:dyDescent="0.25">
      <c r="A471" t="s">
        <v>520</v>
      </c>
      <c r="B471" t="s">
        <v>542</v>
      </c>
      <c r="C471">
        <v>2302600470</v>
      </c>
      <c r="D471" t="s">
        <v>60</v>
      </c>
      <c r="E471" s="2">
        <v>0</v>
      </c>
      <c r="F471" s="1">
        <v>46373</v>
      </c>
      <c r="G471" s="1"/>
      <c r="H471" s="1">
        <v>0</v>
      </c>
      <c r="I471" s="1">
        <v>46403</v>
      </c>
      <c r="J471">
        <v>46230</v>
      </c>
      <c r="K471" s="1"/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>
        <v>31.32</v>
      </c>
      <c r="BF471" s="3" t="str">
        <f>+IF(AVANCE[[#This Row],[% AVANCE]]=100%,"MODULO TERMINADO",IF(AVANCE[[#This Row],[FECHA INICIO REAL]]="","MODULO NO INICIADO","PENDIENTE"))</f>
        <v>MODULO NO INICIADO</v>
      </c>
      <c r="BG471" s="3">
        <f>+IF(AVANCE[[#This Row],[VENTANAS]]=8.10810810810811%,100%,AVANCE[[#This Row],[VENTANAS]])</f>
        <v>0</v>
      </c>
      <c r="BH471" s="3">
        <f>+IF(AVANCE[[#This Row],[PISO]]=N$2,100%,AVANCE[[#This Row],[PISO]])</f>
        <v>0</v>
      </c>
      <c r="BI471" s="3">
        <f>+IF(AVANCE[[#This Row],[TABIQUES]]=O$2,100%,AVANCE[[#This Row],[TABIQUES]])</f>
        <v>0</v>
      </c>
      <c r="BJ471" s="3">
        <f>+IF(AVANCE[[#This Row],[MUROS]]=P$2,100%,AVANCE[[#This Row],[MUROS]])</f>
        <v>0</v>
      </c>
      <c r="BK471" s="3">
        <f>+IF(AVANCE[[#This Row],[CIELO]]=Q$2,100%,AVANCE[[#This Row],[CIELO]])</f>
        <v>0</v>
      </c>
      <c r="BL471" s="3">
        <f>+IF(AVANCE[[#This Row],[BALCÓN]]=R$2,100%,AVANCE[[#This Row],[BALCÓN]])</f>
        <v>0</v>
      </c>
      <c r="BM471" s="3">
        <f>+IF(AVANCE[[#This Row],[RED ALCANTARILLADO]]=U$2,100%,AVANCE[[#This Row],[RED ALCANTARILLADO]])</f>
        <v>0</v>
      </c>
      <c r="BN471" s="3">
        <f>+IF(AVANCE[[#This Row],[RED DE AGUA]]=V$2,100%,AVANCE[[#This Row],[RED DE AGUA]])</f>
        <v>0</v>
      </c>
      <c r="BO471" s="3">
        <f>+IF(AVANCE[[#This Row],[VENTILACIONES]]=W$2,100%,AVANCE[[#This Row],[VENTILACIONES]])</f>
        <v>0</v>
      </c>
      <c r="BP471" s="3">
        <f>+IF(AVANCE[[#This Row],[TINA]]=X$2,100%,AVANCE[[#This Row],[TINA]])</f>
        <v>0</v>
      </c>
      <c r="BQ471" s="3">
        <f>+IF(AVANCE[[#This Row],[WC]]=Y$2,100%,AVANCE[[#This Row],[WC]])</f>
        <v>0</v>
      </c>
      <c r="BR471" s="3">
        <f>+IF(AVANCE[[#This Row],[LAVAMANOS / LAVAPLATOS / LAVADERO]]=Z$2,100%,AVANCE[[#This Row],[LAVAMANOS / LAVAPLATOS / LAVADERO]])</f>
        <v>0</v>
      </c>
      <c r="BS471" s="3">
        <f>+IF(AVANCE[[#This Row],[CANALIZACIÓN]]=AC$2,100%,AVANCE[[#This Row],[CANALIZACIÓN]])</f>
        <v>0</v>
      </c>
      <c r="BT471" s="3">
        <f>+IF(AVANCE[[#This Row],[CABLEADO]]=AD$2,100%,AVANCE[[#This Row],[CABLEADO]])</f>
        <v>0</v>
      </c>
      <c r="BU471" s="3">
        <f>+IF(AVANCE[[#This Row],[ARTEFACTOS]]=AE$2,100%,AVANCE[[#This Row],[ARTEFACTOS]])</f>
        <v>0</v>
      </c>
      <c r="BV471" s="3">
        <f>+IF(AVANCE[[#This Row],[TABLERO]]=AF$2,100%,AVANCE[[#This Row],[TABLERO]])</f>
        <v>0</v>
      </c>
      <c r="BW471" s="3">
        <f>+IF(AVANCE[[#This Row],[CAJA PAU]]=AG$2,100%,AVANCE[[#This Row],[CAJA PAU]])</f>
        <v>0</v>
      </c>
      <c r="BX471" s="3">
        <f>+IF(AVANCE[[#This Row],[INSTALACION VINILICO]]=AJ$2,100%,AVANCE[[#This Row],[INSTALACION VINILICO]])</f>
        <v>0</v>
      </c>
      <c r="BY471" s="3">
        <f>+IF(AVANCE[[#This Row],[OSB CUBIERTA]]=AK$2,100%,AVANCE[[#This Row],[OSB CUBIERTA]])</f>
        <v>0</v>
      </c>
      <c r="BZ471" s="3">
        <f>+IF(AVANCE[[#This Row],[BARANDA BALCON]]=AL$2,100%,AVANCE[[#This Row],[BARANDA BALCON]])</f>
        <v>0</v>
      </c>
      <c r="CA471" s="3">
        <f>+IF(AVANCE[[#This Row],[OSB EXTERIOR]]=AM$2,100%,AVANCE[[#This Row],[OSB EXTERIOR]])</f>
        <v>0</v>
      </c>
      <c r="CB471" s="3">
        <f>+IF(AVANCE[[#This Row],[SMART PANEL]]=AN$2,100%,AVANCE[[#This Row],[SMART PANEL]])</f>
        <v>0</v>
      </c>
      <c r="CC471" s="3">
        <f>+IF(AVANCE[[#This Row],[PINTURA EXTERIOR]]=AO$2,100%,AVANCE[[#This Row],[PINTURA EXTERIOR]])</f>
        <v>0</v>
      </c>
      <c r="CD471" s="3">
        <f>+IF(AVANCE[[#This Row],[ZOCALOS LOGIA]]=AP$2,100%,AVANCE[[#This Row],[ZOCALOS LOGIA]])</f>
        <v>0</v>
      </c>
      <c r="CE471" s="3">
        <f>+IF(AVANCE[[#This Row],[MOLDURAS]]=AQ$2,100%,AVANCE[[#This Row],[MOLDURAS]])</f>
        <v>0</v>
      </c>
      <c r="CF471" s="3">
        <f>+IF(AVANCE[[#This Row],[PILASTREO]]=AR$2,100%,AVANCE[[#This Row],[PILASTREO]])</f>
        <v>0</v>
      </c>
      <c r="CG471" s="3">
        <f>+IF(AVANCE[[#This Row],[CELOSIAS]]=AS$2,100%,AVANCE[[#This Row],[CELOSIAS]])</f>
        <v>0</v>
      </c>
      <c r="CH471" s="3">
        <f>+IF(AVANCE[[#This Row],[VENTANAS]]=AT$2,100%,AVANCE[[#This Row],[VENTANAS]])</f>
        <v>0</v>
      </c>
      <c r="CI471" s="3">
        <f>+IF(AVANCE[[#This Row],[PUERTAS ACCESO - LOGIA - BANO]]=AU$2,100%,AVANCE[[#This Row],[PUERTAS ACCESO - LOGIA - BANO]])</f>
        <v>0</v>
      </c>
      <c r="CJ471" s="3">
        <f>+IF(AVANCE[[#This Row],[CERRADURAS]]=AV$2,100%,AVANCE[[#This Row],[CERRADURAS]])</f>
        <v>0</v>
      </c>
      <c r="CK471" s="3">
        <f>+IF(AVANCE[[#This Row],[REVESTIMIENTO INTERIOR ZONA SECA]]=AW$2,100%,AVANCE[[#This Row],[REVESTIMIENTO INTERIOR ZONA SECA]])</f>
        <v>0</v>
      </c>
      <c r="CL471" s="3">
        <f>+IF(AVANCE[[#This Row],[REVESTIMIENTO INTERIOR ZONAS HUMEDAS]]=AX$2,100%,AVANCE[[#This Row],[REVESTIMIENTO INTERIOR ZONAS HUMEDAS]])</f>
        <v>0</v>
      </c>
      <c r="CM471" s="3">
        <f>+IF(AVANCE[[#This Row],[MEMBRANA CIELO]]=AY$2,100%,AVANCE[[#This Row],[MEMBRANA CIELO]])</f>
        <v>0</v>
      </c>
      <c r="CN471" s="3">
        <f>+IF(AVANCE[[#This Row],[LIMPIEZA FINAL]]=AZ$2,100%,AVANCE[[#This Row],[LIMPIEZA FINAL]])</f>
        <v>0</v>
      </c>
      <c r="CO471" s="3">
        <f>+IF(AVANCE[[#This Row],[PUERTAS DORMITORIO]]=BA$2,100%,AVANCE[[#This Row],[PUERTAS DORMITORIO]])</f>
        <v>0</v>
      </c>
      <c r="CP471" s="3">
        <f>+IF(AVANCE[[#This Row],[REVESTIMIENTO INTERIOR BANO]]=BB$2,100%,AVANCE[[#This Row],[REVESTIMIENTO INTERIOR BANO]])</f>
        <v>0</v>
      </c>
      <c r="CQ471" s="3">
        <f>+IF(AVANCE[[#This Row],[MUEBLE LAVAPLATOS]]=BC$2,100%,AVANCE[[#This Row],[MUEBLE LAVAPLATOS]])</f>
        <v>0</v>
      </c>
      <c r="CR471" s="3">
        <f>+IF(AVANCE[[#This Row],[IMPERMEABILIZACION BANO - COCINA LOGIA]]=BD$2,100%,AVANCE[[#This Row],[IMPERMEABILIZACION BANO - COCINA LOGIA]])</f>
        <v>0</v>
      </c>
      <c r="CS471" s="40">
        <f ca="1">+IF(AVANCE[[#This Row],[ESTADO MODULO]]="PENDIENTE",(TODAY()-AVANCE[[#This Row],[FECHA TERMINO  PLANIFICADO]]),0)</f>
        <v>0</v>
      </c>
      <c r="CT471" s="41" t="str" cm="1">
        <f t="array" ref="CT471">_xlfn.TEXTJOIN(" | ",TRUE,IF(SUMPRODUCT((BG471:CR471&lt;1)*(PARTIDAS!$I$2:$AT$2="OBRA GRUESA"))&gt;0,"OBRA GRUESA: "&amp;_xlfn.TEXTJOIN(", ",TRUE,IF((BG471:CR471&lt;1)*(PARTIDAS!$I$2:$AT$2="OBRA GRUESA"),PARTIDAS!$I$1:$AT$1,"")),""),IF(SUMPRODUCT((BG471:CR471&lt;1)*(PARTIDAS!$I$2:$AT$2="SANITARIOS"))&gt;0,"SANITARIOS: "&amp;_xlfn.TEXTJOIN(", ",TRUE,IF((BG471:CR471&lt;1)*(PARTIDAS!$I$2:$AT$2="SANITARIOS"),PARTIDAS!$I$1:$AT$1,"")),""),IF(SUMPRODUCT((BG471:CR471&lt;1)*(PARTIDAS!$I$2:$AT$2="ELÉCTRICO"))&gt;0,"ELÉCTRICO: "&amp;_xlfn.TEXTJOIN(", ",TRUE,IF((BG471:CR471&lt;1)*(PARTIDAS!$I$2:$AT$2="ELÉCTRICO"),PARTIDAS!$I$1:$AT$1,"")),""),IF(SUMPRODUCT((BG471:CR471&lt;1)*(PARTIDAS!$I$2:$AT$2="TERMINACIONES"))&gt;0,"TERMINACIONES: "&amp;_xlfn.TEXTJOIN(", ",TRUE,IF((BG471:CR471&lt;1)*(PARTIDAS!$I$2:$AT$2="TERMINACIONES"),PARTIDAS!$I$1:$AT$1,"")),""))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1" s="43" t="str" cm="1">
        <f t="array" ref="CU471">_xlfn.TEXTJOIN(", ",TRUE,IF(SUMPRODUCT((BG471:CR471&lt;1)*(PARTIDAS!$I$2:$AT$2="OBRA GRUESA"))&gt;0,"OBRA GRUESA",""),IF(SUMPRODUCT((BG471:CR471&lt;1)*(PARTIDAS!$I$2:$AT$2="SANITARIOS"))&gt;0,"SANITARIOS",""),IF(SUMPRODUCT((BG471:CR471&lt;1)*(PARTIDAS!$I$2:$AT$2="ELÉCTRICO"))&gt;0,"ELÉCTRICO",""),IF(SUMPRODUCT((BG471:CR471&lt;1)*(PARTIDAS!$I$2:$AT$2="TERMINACIONES"))&gt;0,"TERMINACIONES",""))</f>
        <v>OBRA GRUESA, SANITARIOS, ELÉCTRICO, TERMINACIONES</v>
      </c>
      <c r="CV471" s="44" cm="1">
        <f t="array" ref="CV471">SUMPRODUCT(--(BG471:CR471&lt;1))</f>
        <v>38</v>
      </c>
    </row>
    <row r="472" spans="1:100" hidden="1" x14ac:dyDescent="0.25">
      <c r="A472" t="s">
        <v>520</v>
      </c>
      <c r="B472" t="s">
        <v>543</v>
      </c>
      <c r="C472">
        <v>2302600471</v>
      </c>
      <c r="D472" t="s">
        <v>60</v>
      </c>
      <c r="E472" s="2">
        <v>0</v>
      </c>
      <c r="F472" s="1">
        <v>46373</v>
      </c>
      <c r="G472" s="1"/>
      <c r="H472" s="1">
        <v>0</v>
      </c>
      <c r="I472" s="1">
        <v>46403</v>
      </c>
      <c r="J472">
        <v>46230</v>
      </c>
      <c r="K472" s="1"/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>
        <v>31.32</v>
      </c>
      <c r="BF472" s="3" t="str">
        <f>+IF(AVANCE[[#This Row],[% AVANCE]]=100%,"MODULO TERMINADO",IF(AVANCE[[#This Row],[FECHA INICIO REAL]]="","MODULO NO INICIADO","PENDIENTE"))</f>
        <v>MODULO NO INICIADO</v>
      </c>
      <c r="BG472" s="3">
        <f>+IF(AVANCE[[#This Row],[VENTANAS]]=8.10810810810811%,100%,AVANCE[[#This Row],[VENTANAS]])</f>
        <v>0</v>
      </c>
      <c r="BH472" s="3">
        <f>+IF(AVANCE[[#This Row],[PISO]]=N$2,100%,AVANCE[[#This Row],[PISO]])</f>
        <v>0</v>
      </c>
      <c r="BI472" s="3">
        <f>+IF(AVANCE[[#This Row],[TABIQUES]]=O$2,100%,AVANCE[[#This Row],[TABIQUES]])</f>
        <v>0</v>
      </c>
      <c r="BJ472" s="3">
        <f>+IF(AVANCE[[#This Row],[MUROS]]=P$2,100%,AVANCE[[#This Row],[MUROS]])</f>
        <v>0</v>
      </c>
      <c r="BK472" s="3">
        <f>+IF(AVANCE[[#This Row],[CIELO]]=Q$2,100%,AVANCE[[#This Row],[CIELO]])</f>
        <v>0</v>
      </c>
      <c r="BL472" s="3">
        <f>+IF(AVANCE[[#This Row],[BALCÓN]]=R$2,100%,AVANCE[[#This Row],[BALCÓN]])</f>
        <v>0</v>
      </c>
      <c r="BM472" s="3">
        <f>+IF(AVANCE[[#This Row],[RED ALCANTARILLADO]]=U$2,100%,AVANCE[[#This Row],[RED ALCANTARILLADO]])</f>
        <v>0</v>
      </c>
      <c r="BN472" s="3">
        <f>+IF(AVANCE[[#This Row],[RED DE AGUA]]=V$2,100%,AVANCE[[#This Row],[RED DE AGUA]])</f>
        <v>0</v>
      </c>
      <c r="BO472" s="3">
        <f>+IF(AVANCE[[#This Row],[VENTILACIONES]]=W$2,100%,AVANCE[[#This Row],[VENTILACIONES]])</f>
        <v>0</v>
      </c>
      <c r="BP472" s="3">
        <f>+IF(AVANCE[[#This Row],[TINA]]=X$2,100%,AVANCE[[#This Row],[TINA]])</f>
        <v>0</v>
      </c>
      <c r="BQ472" s="3">
        <f>+IF(AVANCE[[#This Row],[WC]]=Y$2,100%,AVANCE[[#This Row],[WC]])</f>
        <v>0</v>
      </c>
      <c r="BR472" s="3">
        <f>+IF(AVANCE[[#This Row],[LAVAMANOS / LAVAPLATOS / LAVADERO]]=Z$2,100%,AVANCE[[#This Row],[LAVAMANOS / LAVAPLATOS / LAVADERO]])</f>
        <v>0</v>
      </c>
      <c r="BS472" s="3">
        <f>+IF(AVANCE[[#This Row],[CANALIZACIÓN]]=AC$2,100%,AVANCE[[#This Row],[CANALIZACIÓN]])</f>
        <v>0</v>
      </c>
      <c r="BT472" s="3">
        <f>+IF(AVANCE[[#This Row],[CABLEADO]]=AD$2,100%,AVANCE[[#This Row],[CABLEADO]])</f>
        <v>0</v>
      </c>
      <c r="BU472" s="3">
        <f>+IF(AVANCE[[#This Row],[ARTEFACTOS]]=AE$2,100%,AVANCE[[#This Row],[ARTEFACTOS]])</f>
        <v>0</v>
      </c>
      <c r="BV472" s="3">
        <f>+IF(AVANCE[[#This Row],[TABLERO]]=AF$2,100%,AVANCE[[#This Row],[TABLERO]])</f>
        <v>0</v>
      </c>
      <c r="BW472" s="3">
        <f>+IF(AVANCE[[#This Row],[CAJA PAU]]=AG$2,100%,AVANCE[[#This Row],[CAJA PAU]])</f>
        <v>0</v>
      </c>
      <c r="BX472" s="3">
        <f>+IF(AVANCE[[#This Row],[INSTALACION VINILICO]]=AJ$2,100%,AVANCE[[#This Row],[INSTALACION VINILICO]])</f>
        <v>0</v>
      </c>
      <c r="BY472" s="3">
        <f>+IF(AVANCE[[#This Row],[OSB CUBIERTA]]=AK$2,100%,AVANCE[[#This Row],[OSB CUBIERTA]])</f>
        <v>0</v>
      </c>
      <c r="BZ472" s="3">
        <f>+IF(AVANCE[[#This Row],[BARANDA BALCON]]=AL$2,100%,AVANCE[[#This Row],[BARANDA BALCON]])</f>
        <v>0</v>
      </c>
      <c r="CA472" s="3">
        <f>+IF(AVANCE[[#This Row],[OSB EXTERIOR]]=AM$2,100%,AVANCE[[#This Row],[OSB EXTERIOR]])</f>
        <v>0</v>
      </c>
      <c r="CB472" s="3">
        <f>+IF(AVANCE[[#This Row],[SMART PANEL]]=AN$2,100%,AVANCE[[#This Row],[SMART PANEL]])</f>
        <v>0</v>
      </c>
      <c r="CC472" s="3">
        <f>+IF(AVANCE[[#This Row],[PINTURA EXTERIOR]]=AO$2,100%,AVANCE[[#This Row],[PINTURA EXTERIOR]])</f>
        <v>0</v>
      </c>
      <c r="CD472" s="3">
        <f>+IF(AVANCE[[#This Row],[ZOCALOS LOGIA]]=AP$2,100%,AVANCE[[#This Row],[ZOCALOS LOGIA]])</f>
        <v>0</v>
      </c>
      <c r="CE472" s="3">
        <f>+IF(AVANCE[[#This Row],[MOLDURAS]]=AQ$2,100%,AVANCE[[#This Row],[MOLDURAS]])</f>
        <v>0</v>
      </c>
      <c r="CF472" s="3">
        <f>+IF(AVANCE[[#This Row],[PILASTREO]]=AR$2,100%,AVANCE[[#This Row],[PILASTREO]])</f>
        <v>0</v>
      </c>
      <c r="CG472" s="3">
        <f>+IF(AVANCE[[#This Row],[CELOSIAS]]=AS$2,100%,AVANCE[[#This Row],[CELOSIAS]])</f>
        <v>0</v>
      </c>
      <c r="CH472" s="3">
        <f>+IF(AVANCE[[#This Row],[VENTANAS]]=AT$2,100%,AVANCE[[#This Row],[VENTANAS]])</f>
        <v>0</v>
      </c>
      <c r="CI472" s="3">
        <f>+IF(AVANCE[[#This Row],[PUERTAS ACCESO - LOGIA - BANO]]=AU$2,100%,AVANCE[[#This Row],[PUERTAS ACCESO - LOGIA - BANO]])</f>
        <v>0</v>
      </c>
      <c r="CJ472" s="3">
        <f>+IF(AVANCE[[#This Row],[CERRADURAS]]=AV$2,100%,AVANCE[[#This Row],[CERRADURAS]])</f>
        <v>0</v>
      </c>
      <c r="CK472" s="3">
        <f>+IF(AVANCE[[#This Row],[REVESTIMIENTO INTERIOR ZONA SECA]]=AW$2,100%,AVANCE[[#This Row],[REVESTIMIENTO INTERIOR ZONA SECA]])</f>
        <v>0</v>
      </c>
      <c r="CL472" s="3">
        <f>+IF(AVANCE[[#This Row],[REVESTIMIENTO INTERIOR ZONAS HUMEDAS]]=AX$2,100%,AVANCE[[#This Row],[REVESTIMIENTO INTERIOR ZONAS HUMEDAS]])</f>
        <v>0</v>
      </c>
      <c r="CM472" s="3">
        <f>+IF(AVANCE[[#This Row],[MEMBRANA CIELO]]=AY$2,100%,AVANCE[[#This Row],[MEMBRANA CIELO]])</f>
        <v>0</v>
      </c>
      <c r="CN472" s="3">
        <f>+IF(AVANCE[[#This Row],[LIMPIEZA FINAL]]=AZ$2,100%,AVANCE[[#This Row],[LIMPIEZA FINAL]])</f>
        <v>0</v>
      </c>
      <c r="CO472" s="3">
        <f>+IF(AVANCE[[#This Row],[PUERTAS DORMITORIO]]=BA$2,100%,AVANCE[[#This Row],[PUERTAS DORMITORIO]])</f>
        <v>0</v>
      </c>
      <c r="CP472" s="3">
        <f>+IF(AVANCE[[#This Row],[REVESTIMIENTO INTERIOR BANO]]=BB$2,100%,AVANCE[[#This Row],[REVESTIMIENTO INTERIOR BANO]])</f>
        <v>0</v>
      </c>
      <c r="CQ472" s="3">
        <f>+IF(AVANCE[[#This Row],[MUEBLE LAVAPLATOS]]=BC$2,100%,AVANCE[[#This Row],[MUEBLE LAVAPLATOS]])</f>
        <v>0</v>
      </c>
      <c r="CR472" s="3">
        <f>+IF(AVANCE[[#This Row],[IMPERMEABILIZACION BANO - COCINA LOGIA]]=BD$2,100%,AVANCE[[#This Row],[IMPERMEABILIZACION BANO - COCINA LOGIA]])</f>
        <v>0</v>
      </c>
      <c r="CS472" s="40">
        <f ca="1">+IF(AVANCE[[#This Row],[ESTADO MODULO]]="PENDIENTE",(TODAY()-AVANCE[[#This Row],[FECHA TERMINO  PLANIFICADO]]),0)</f>
        <v>0</v>
      </c>
      <c r="CT472" s="41" t="str" cm="1">
        <f t="array" ref="CT472">_xlfn.TEXTJOIN(" | ",TRUE,IF(SUMPRODUCT((BG472:CR472&lt;1)*(PARTIDAS!$I$2:$AT$2="OBRA GRUESA"))&gt;0,"OBRA GRUESA: "&amp;_xlfn.TEXTJOIN(", ",TRUE,IF((BG472:CR472&lt;1)*(PARTIDAS!$I$2:$AT$2="OBRA GRUESA"),PARTIDAS!$I$1:$AT$1,"")),""),IF(SUMPRODUCT((BG472:CR472&lt;1)*(PARTIDAS!$I$2:$AT$2="SANITARIOS"))&gt;0,"SANITARIOS: "&amp;_xlfn.TEXTJOIN(", ",TRUE,IF((BG472:CR472&lt;1)*(PARTIDAS!$I$2:$AT$2="SANITARIOS"),PARTIDAS!$I$1:$AT$1,"")),""),IF(SUMPRODUCT((BG472:CR472&lt;1)*(PARTIDAS!$I$2:$AT$2="ELÉCTRICO"))&gt;0,"ELÉCTRICO: "&amp;_xlfn.TEXTJOIN(", ",TRUE,IF((BG472:CR472&lt;1)*(PARTIDAS!$I$2:$AT$2="ELÉCTRICO"),PARTIDAS!$I$1:$AT$1,"")),""),IF(SUMPRODUCT((BG472:CR472&lt;1)*(PARTIDAS!$I$2:$AT$2="TERMINACIONES"))&gt;0,"TERMINACIONES: "&amp;_xlfn.TEXTJOIN(", ",TRUE,IF((BG472:CR472&lt;1)*(PARTIDAS!$I$2:$AT$2="TERMINACIONES"),PARTIDAS!$I$1:$AT$1,"")),""))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2" s="43" t="str" cm="1">
        <f t="array" ref="CU472">_xlfn.TEXTJOIN(", ",TRUE,IF(SUMPRODUCT((BG472:CR472&lt;1)*(PARTIDAS!$I$2:$AT$2="OBRA GRUESA"))&gt;0,"OBRA GRUESA",""),IF(SUMPRODUCT((BG472:CR472&lt;1)*(PARTIDAS!$I$2:$AT$2="SANITARIOS"))&gt;0,"SANITARIOS",""),IF(SUMPRODUCT((BG472:CR472&lt;1)*(PARTIDAS!$I$2:$AT$2="ELÉCTRICO"))&gt;0,"ELÉCTRICO",""),IF(SUMPRODUCT((BG472:CR472&lt;1)*(PARTIDAS!$I$2:$AT$2="TERMINACIONES"))&gt;0,"TERMINACIONES",""))</f>
        <v>OBRA GRUESA, SANITARIOS, ELÉCTRICO, TERMINACIONES</v>
      </c>
      <c r="CV472" s="44" cm="1">
        <f t="array" ref="CV472">SUMPRODUCT(--(BG472:CR472&lt;1))</f>
        <v>38</v>
      </c>
    </row>
    <row r="473" spans="1:100" hidden="1" x14ac:dyDescent="0.25">
      <c r="A473" t="s">
        <v>520</v>
      </c>
      <c r="B473" t="s">
        <v>544</v>
      </c>
      <c r="C473">
        <v>2282600472</v>
      </c>
      <c r="D473" t="s">
        <v>58</v>
      </c>
      <c r="E473" s="2">
        <v>0</v>
      </c>
      <c r="F473" s="1">
        <v>46373</v>
      </c>
      <c r="G473" s="1"/>
      <c r="H473" s="1">
        <v>0</v>
      </c>
      <c r="I473" s="1">
        <v>46393</v>
      </c>
      <c r="J473">
        <v>46230</v>
      </c>
      <c r="K473" s="1"/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>
        <v>28.87</v>
      </c>
      <c r="BF473" s="3" t="str">
        <f>+IF(AVANCE[[#This Row],[% AVANCE]]=100%,"MODULO TERMINADO",IF(AVANCE[[#This Row],[FECHA INICIO REAL]]="","MODULO NO INICIADO","PENDIENTE"))</f>
        <v>MODULO NO INICIADO</v>
      </c>
      <c r="BG473" s="3">
        <f>+IF(AVANCE[[#This Row],[VENTANAS]]=8.10810810810811%,100%,AVANCE[[#This Row],[VENTANAS]])</f>
        <v>0</v>
      </c>
      <c r="BH473" s="3">
        <f>+IF(AVANCE[[#This Row],[PISO]]=N$2,100%,AVANCE[[#This Row],[PISO]])</f>
        <v>0</v>
      </c>
      <c r="BI473" s="3">
        <f>+IF(AVANCE[[#This Row],[TABIQUES]]=O$2,100%,AVANCE[[#This Row],[TABIQUES]])</f>
        <v>0</v>
      </c>
      <c r="BJ473" s="3">
        <f>+IF(AVANCE[[#This Row],[MUROS]]=P$2,100%,AVANCE[[#This Row],[MUROS]])</f>
        <v>0</v>
      </c>
      <c r="BK473" s="3">
        <f>+IF(AVANCE[[#This Row],[CIELO]]=Q$2,100%,AVANCE[[#This Row],[CIELO]])</f>
        <v>0</v>
      </c>
      <c r="BL473" s="3">
        <f>+IF(AVANCE[[#This Row],[BALCÓN]]=R$2,100%,AVANCE[[#This Row],[BALCÓN]])</f>
        <v>0</v>
      </c>
      <c r="BM473" s="3">
        <f>+IF(AVANCE[[#This Row],[RED ALCANTARILLADO]]=U$2,100%,AVANCE[[#This Row],[RED ALCANTARILLADO]])</f>
        <v>0</v>
      </c>
      <c r="BN473" s="3">
        <f>+IF(AVANCE[[#This Row],[RED DE AGUA]]=V$2,100%,AVANCE[[#This Row],[RED DE AGUA]])</f>
        <v>0</v>
      </c>
      <c r="BO473" s="3">
        <f>+IF(AVANCE[[#This Row],[VENTILACIONES]]=W$2,100%,AVANCE[[#This Row],[VENTILACIONES]])</f>
        <v>0</v>
      </c>
      <c r="BP473" s="3">
        <f>+IF(AVANCE[[#This Row],[TINA]]=X$2,100%,AVANCE[[#This Row],[TINA]])</f>
        <v>0</v>
      </c>
      <c r="BQ473" s="3">
        <f>+IF(AVANCE[[#This Row],[WC]]=Y$2,100%,AVANCE[[#This Row],[WC]])</f>
        <v>0</v>
      </c>
      <c r="BR473" s="3">
        <f>+IF(AVANCE[[#This Row],[LAVAMANOS / LAVAPLATOS / LAVADERO]]=Z$2,100%,AVANCE[[#This Row],[LAVAMANOS / LAVAPLATOS / LAVADERO]])</f>
        <v>0</v>
      </c>
      <c r="BS473" s="3">
        <f>+IF(AVANCE[[#This Row],[CANALIZACIÓN]]=AC$2,100%,AVANCE[[#This Row],[CANALIZACIÓN]])</f>
        <v>0</v>
      </c>
      <c r="BT473" s="3">
        <f>+IF(AVANCE[[#This Row],[CABLEADO]]=AD$2,100%,AVANCE[[#This Row],[CABLEADO]])</f>
        <v>0</v>
      </c>
      <c r="BU473" s="3">
        <f>+IF(AVANCE[[#This Row],[ARTEFACTOS]]=AE$2,100%,AVANCE[[#This Row],[ARTEFACTOS]])</f>
        <v>0</v>
      </c>
      <c r="BV473" s="3">
        <f>+IF(AVANCE[[#This Row],[TABLERO]]=AF$2,100%,AVANCE[[#This Row],[TABLERO]])</f>
        <v>0</v>
      </c>
      <c r="BW473" s="3">
        <f>+IF(AVANCE[[#This Row],[CAJA PAU]]=AG$2,100%,AVANCE[[#This Row],[CAJA PAU]])</f>
        <v>0</v>
      </c>
      <c r="BX473" s="3">
        <f>+IF(AVANCE[[#This Row],[INSTALACION VINILICO]]=AJ$2,100%,AVANCE[[#This Row],[INSTALACION VINILICO]])</f>
        <v>0</v>
      </c>
      <c r="BY473" s="3">
        <f>+IF(AVANCE[[#This Row],[OSB CUBIERTA]]=AK$2,100%,AVANCE[[#This Row],[OSB CUBIERTA]])</f>
        <v>0</v>
      </c>
      <c r="BZ473" s="3">
        <f>+IF(AVANCE[[#This Row],[BARANDA BALCON]]=AL$2,100%,AVANCE[[#This Row],[BARANDA BALCON]])</f>
        <v>0</v>
      </c>
      <c r="CA473" s="3">
        <f>+IF(AVANCE[[#This Row],[OSB EXTERIOR]]=AM$2,100%,AVANCE[[#This Row],[OSB EXTERIOR]])</f>
        <v>0</v>
      </c>
      <c r="CB473" s="3">
        <f>+IF(AVANCE[[#This Row],[SMART PANEL]]=AN$2,100%,AVANCE[[#This Row],[SMART PANEL]])</f>
        <v>0</v>
      </c>
      <c r="CC473" s="3">
        <f>+IF(AVANCE[[#This Row],[PINTURA EXTERIOR]]=AO$2,100%,AVANCE[[#This Row],[PINTURA EXTERIOR]])</f>
        <v>0</v>
      </c>
      <c r="CD473" s="3">
        <f>+IF(AVANCE[[#This Row],[ZOCALOS LOGIA]]=AP$2,100%,AVANCE[[#This Row],[ZOCALOS LOGIA]])</f>
        <v>0</v>
      </c>
      <c r="CE473" s="3">
        <f>+IF(AVANCE[[#This Row],[MOLDURAS]]=AQ$2,100%,AVANCE[[#This Row],[MOLDURAS]])</f>
        <v>0</v>
      </c>
      <c r="CF473" s="3">
        <f>+IF(AVANCE[[#This Row],[PILASTREO]]=AR$2,100%,AVANCE[[#This Row],[PILASTREO]])</f>
        <v>0</v>
      </c>
      <c r="CG473" s="3">
        <f>+IF(AVANCE[[#This Row],[CELOSIAS]]=AS$2,100%,AVANCE[[#This Row],[CELOSIAS]])</f>
        <v>0</v>
      </c>
      <c r="CH473" s="3">
        <f>+IF(AVANCE[[#This Row],[VENTANAS]]=AT$2,100%,AVANCE[[#This Row],[VENTANAS]])</f>
        <v>0</v>
      </c>
      <c r="CI473" s="3">
        <f>+IF(AVANCE[[#This Row],[PUERTAS ACCESO - LOGIA - BANO]]=AU$2,100%,AVANCE[[#This Row],[PUERTAS ACCESO - LOGIA - BANO]])</f>
        <v>0</v>
      </c>
      <c r="CJ473" s="3">
        <f>+IF(AVANCE[[#This Row],[CERRADURAS]]=AV$2,100%,AVANCE[[#This Row],[CERRADURAS]])</f>
        <v>0</v>
      </c>
      <c r="CK473" s="3">
        <f>+IF(AVANCE[[#This Row],[REVESTIMIENTO INTERIOR ZONA SECA]]=AW$2,100%,AVANCE[[#This Row],[REVESTIMIENTO INTERIOR ZONA SECA]])</f>
        <v>0</v>
      </c>
      <c r="CL473" s="3">
        <f>+IF(AVANCE[[#This Row],[REVESTIMIENTO INTERIOR ZONAS HUMEDAS]]=AX$2,100%,AVANCE[[#This Row],[REVESTIMIENTO INTERIOR ZONAS HUMEDAS]])</f>
        <v>0</v>
      </c>
      <c r="CM473" s="3">
        <f>+IF(AVANCE[[#This Row],[MEMBRANA CIELO]]=AY$2,100%,AVANCE[[#This Row],[MEMBRANA CIELO]])</f>
        <v>0</v>
      </c>
      <c r="CN473" s="3">
        <f>+IF(AVANCE[[#This Row],[LIMPIEZA FINAL]]=AZ$2,100%,AVANCE[[#This Row],[LIMPIEZA FINAL]])</f>
        <v>0</v>
      </c>
      <c r="CO473" s="3">
        <f>+IF(AVANCE[[#This Row],[PUERTAS DORMITORIO]]=BA$2,100%,AVANCE[[#This Row],[PUERTAS DORMITORIO]])</f>
        <v>0</v>
      </c>
      <c r="CP473" s="3">
        <f>+IF(AVANCE[[#This Row],[REVESTIMIENTO INTERIOR BANO]]=BB$2,100%,AVANCE[[#This Row],[REVESTIMIENTO INTERIOR BANO]])</f>
        <v>0</v>
      </c>
      <c r="CQ473" s="3">
        <f>+IF(AVANCE[[#This Row],[MUEBLE LAVAPLATOS]]=BC$2,100%,AVANCE[[#This Row],[MUEBLE LAVAPLATOS]])</f>
        <v>0</v>
      </c>
      <c r="CR473" s="3">
        <f>+IF(AVANCE[[#This Row],[IMPERMEABILIZACION BANO - COCINA LOGIA]]=BD$2,100%,AVANCE[[#This Row],[IMPERMEABILIZACION BANO - COCINA LOGIA]])</f>
        <v>0</v>
      </c>
      <c r="CS473" s="40">
        <f ca="1">+IF(AVANCE[[#This Row],[ESTADO MODULO]]="PENDIENTE",(TODAY()-AVANCE[[#This Row],[FECHA TERMINO  PLANIFICADO]]),0)</f>
        <v>0</v>
      </c>
      <c r="CT473" s="41" t="str" cm="1">
        <f t="array" ref="CT473">_xlfn.TEXTJOIN(" | ",TRUE,IF(SUMPRODUCT((BG473:CR473&lt;1)*(PARTIDAS!$I$2:$AT$2="OBRA GRUESA"))&gt;0,"OBRA GRUESA: "&amp;_xlfn.TEXTJOIN(", ",TRUE,IF((BG473:CR473&lt;1)*(PARTIDAS!$I$2:$AT$2="OBRA GRUESA"),PARTIDAS!$I$1:$AT$1,"")),""),IF(SUMPRODUCT((BG473:CR473&lt;1)*(PARTIDAS!$I$2:$AT$2="SANITARIOS"))&gt;0,"SANITARIOS: "&amp;_xlfn.TEXTJOIN(", ",TRUE,IF((BG473:CR473&lt;1)*(PARTIDAS!$I$2:$AT$2="SANITARIOS"),PARTIDAS!$I$1:$AT$1,"")),""),IF(SUMPRODUCT((BG473:CR473&lt;1)*(PARTIDAS!$I$2:$AT$2="ELÉCTRICO"))&gt;0,"ELÉCTRICO: "&amp;_xlfn.TEXTJOIN(", ",TRUE,IF((BG473:CR473&lt;1)*(PARTIDAS!$I$2:$AT$2="ELÉCTRICO"),PARTIDAS!$I$1:$AT$1,"")),""),IF(SUMPRODUCT((BG473:CR473&lt;1)*(PARTIDAS!$I$2:$AT$2="TERMINACIONES"))&gt;0,"TERMINACIONES: "&amp;_xlfn.TEXTJOIN(", ",TRUE,IF((BG473:CR473&lt;1)*(PARTIDAS!$I$2:$AT$2="TERMINACIONES"),PARTIDAS!$I$1:$AT$1,"")),""))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3" s="43" t="str" cm="1">
        <f t="array" ref="CU473">_xlfn.TEXTJOIN(", ",TRUE,IF(SUMPRODUCT((BG473:CR473&lt;1)*(PARTIDAS!$I$2:$AT$2="OBRA GRUESA"))&gt;0,"OBRA GRUESA",""),IF(SUMPRODUCT((BG473:CR473&lt;1)*(PARTIDAS!$I$2:$AT$2="SANITARIOS"))&gt;0,"SANITARIOS",""),IF(SUMPRODUCT((BG473:CR473&lt;1)*(PARTIDAS!$I$2:$AT$2="ELÉCTRICO"))&gt;0,"ELÉCTRICO",""),IF(SUMPRODUCT((BG473:CR473&lt;1)*(PARTIDAS!$I$2:$AT$2="TERMINACIONES"))&gt;0,"TERMINACIONES",""))</f>
        <v>OBRA GRUESA, SANITARIOS, ELÉCTRICO, TERMINACIONES</v>
      </c>
      <c r="CV473" s="44" cm="1">
        <f t="array" ref="CV473">SUMPRODUCT(--(BG473:CR473&lt;1))</f>
        <v>38</v>
      </c>
    </row>
    <row r="474" spans="1:100" hidden="1" x14ac:dyDescent="0.25">
      <c r="A474" t="s">
        <v>520</v>
      </c>
      <c r="B474" t="s">
        <v>545</v>
      </c>
      <c r="C474">
        <v>2282600473</v>
      </c>
      <c r="D474" t="s">
        <v>58</v>
      </c>
      <c r="E474" s="2">
        <v>0</v>
      </c>
      <c r="F474" s="1">
        <v>46374</v>
      </c>
      <c r="G474" s="1"/>
      <c r="H474" s="1">
        <v>0</v>
      </c>
      <c r="I474" s="1">
        <v>46394</v>
      </c>
      <c r="J474">
        <v>46230</v>
      </c>
      <c r="K474" s="1"/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>
        <v>28.87</v>
      </c>
      <c r="BF474" s="3" t="str">
        <f>+IF(AVANCE[[#This Row],[% AVANCE]]=100%,"MODULO TERMINADO",IF(AVANCE[[#This Row],[FECHA INICIO REAL]]="","MODULO NO INICIADO","PENDIENTE"))</f>
        <v>MODULO NO INICIADO</v>
      </c>
      <c r="BG474" s="3">
        <f>+IF(AVANCE[[#This Row],[VENTANAS]]=8.10810810810811%,100%,AVANCE[[#This Row],[VENTANAS]])</f>
        <v>0</v>
      </c>
      <c r="BH474" s="3">
        <f>+IF(AVANCE[[#This Row],[PISO]]=N$2,100%,AVANCE[[#This Row],[PISO]])</f>
        <v>0</v>
      </c>
      <c r="BI474" s="3">
        <f>+IF(AVANCE[[#This Row],[TABIQUES]]=O$2,100%,AVANCE[[#This Row],[TABIQUES]])</f>
        <v>0</v>
      </c>
      <c r="BJ474" s="3">
        <f>+IF(AVANCE[[#This Row],[MUROS]]=P$2,100%,AVANCE[[#This Row],[MUROS]])</f>
        <v>0</v>
      </c>
      <c r="BK474" s="3">
        <f>+IF(AVANCE[[#This Row],[CIELO]]=Q$2,100%,AVANCE[[#This Row],[CIELO]])</f>
        <v>0</v>
      </c>
      <c r="BL474" s="3">
        <f>+IF(AVANCE[[#This Row],[BALCÓN]]=R$2,100%,AVANCE[[#This Row],[BALCÓN]])</f>
        <v>0</v>
      </c>
      <c r="BM474" s="3">
        <f>+IF(AVANCE[[#This Row],[RED ALCANTARILLADO]]=U$2,100%,AVANCE[[#This Row],[RED ALCANTARILLADO]])</f>
        <v>0</v>
      </c>
      <c r="BN474" s="3">
        <f>+IF(AVANCE[[#This Row],[RED DE AGUA]]=V$2,100%,AVANCE[[#This Row],[RED DE AGUA]])</f>
        <v>0</v>
      </c>
      <c r="BO474" s="3">
        <f>+IF(AVANCE[[#This Row],[VENTILACIONES]]=W$2,100%,AVANCE[[#This Row],[VENTILACIONES]])</f>
        <v>0</v>
      </c>
      <c r="BP474" s="3">
        <f>+IF(AVANCE[[#This Row],[TINA]]=X$2,100%,AVANCE[[#This Row],[TINA]])</f>
        <v>0</v>
      </c>
      <c r="BQ474" s="3">
        <f>+IF(AVANCE[[#This Row],[WC]]=Y$2,100%,AVANCE[[#This Row],[WC]])</f>
        <v>0</v>
      </c>
      <c r="BR474" s="3">
        <f>+IF(AVANCE[[#This Row],[LAVAMANOS / LAVAPLATOS / LAVADERO]]=Z$2,100%,AVANCE[[#This Row],[LAVAMANOS / LAVAPLATOS / LAVADERO]])</f>
        <v>0</v>
      </c>
      <c r="BS474" s="3">
        <f>+IF(AVANCE[[#This Row],[CANALIZACIÓN]]=AC$2,100%,AVANCE[[#This Row],[CANALIZACIÓN]])</f>
        <v>0</v>
      </c>
      <c r="BT474" s="3">
        <f>+IF(AVANCE[[#This Row],[CABLEADO]]=AD$2,100%,AVANCE[[#This Row],[CABLEADO]])</f>
        <v>0</v>
      </c>
      <c r="BU474" s="3">
        <f>+IF(AVANCE[[#This Row],[ARTEFACTOS]]=AE$2,100%,AVANCE[[#This Row],[ARTEFACTOS]])</f>
        <v>0</v>
      </c>
      <c r="BV474" s="3">
        <f>+IF(AVANCE[[#This Row],[TABLERO]]=AF$2,100%,AVANCE[[#This Row],[TABLERO]])</f>
        <v>0</v>
      </c>
      <c r="BW474" s="3">
        <f>+IF(AVANCE[[#This Row],[CAJA PAU]]=AG$2,100%,AVANCE[[#This Row],[CAJA PAU]])</f>
        <v>0</v>
      </c>
      <c r="BX474" s="3">
        <f>+IF(AVANCE[[#This Row],[INSTALACION VINILICO]]=AJ$2,100%,AVANCE[[#This Row],[INSTALACION VINILICO]])</f>
        <v>0</v>
      </c>
      <c r="BY474" s="3">
        <f>+IF(AVANCE[[#This Row],[OSB CUBIERTA]]=AK$2,100%,AVANCE[[#This Row],[OSB CUBIERTA]])</f>
        <v>0</v>
      </c>
      <c r="BZ474" s="3">
        <f>+IF(AVANCE[[#This Row],[BARANDA BALCON]]=AL$2,100%,AVANCE[[#This Row],[BARANDA BALCON]])</f>
        <v>0</v>
      </c>
      <c r="CA474" s="3">
        <f>+IF(AVANCE[[#This Row],[OSB EXTERIOR]]=AM$2,100%,AVANCE[[#This Row],[OSB EXTERIOR]])</f>
        <v>0</v>
      </c>
      <c r="CB474" s="3">
        <f>+IF(AVANCE[[#This Row],[SMART PANEL]]=AN$2,100%,AVANCE[[#This Row],[SMART PANEL]])</f>
        <v>0</v>
      </c>
      <c r="CC474" s="3">
        <f>+IF(AVANCE[[#This Row],[PINTURA EXTERIOR]]=AO$2,100%,AVANCE[[#This Row],[PINTURA EXTERIOR]])</f>
        <v>0</v>
      </c>
      <c r="CD474" s="3">
        <f>+IF(AVANCE[[#This Row],[ZOCALOS LOGIA]]=AP$2,100%,AVANCE[[#This Row],[ZOCALOS LOGIA]])</f>
        <v>0</v>
      </c>
      <c r="CE474" s="3">
        <f>+IF(AVANCE[[#This Row],[MOLDURAS]]=AQ$2,100%,AVANCE[[#This Row],[MOLDURAS]])</f>
        <v>0</v>
      </c>
      <c r="CF474" s="3">
        <f>+IF(AVANCE[[#This Row],[PILASTREO]]=AR$2,100%,AVANCE[[#This Row],[PILASTREO]])</f>
        <v>0</v>
      </c>
      <c r="CG474" s="3">
        <f>+IF(AVANCE[[#This Row],[CELOSIAS]]=AS$2,100%,AVANCE[[#This Row],[CELOSIAS]])</f>
        <v>0</v>
      </c>
      <c r="CH474" s="3">
        <f>+IF(AVANCE[[#This Row],[VENTANAS]]=AT$2,100%,AVANCE[[#This Row],[VENTANAS]])</f>
        <v>0</v>
      </c>
      <c r="CI474" s="3">
        <f>+IF(AVANCE[[#This Row],[PUERTAS ACCESO - LOGIA - BANO]]=AU$2,100%,AVANCE[[#This Row],[PUERTAS ACCESO - LOGIA - BANO]])</f>
        <v>0</v>
      </c>
      <c r="CJ474" s="3">
        <f>+IF(AVANCE[[#This Row],[CERRADURAS]]=AV$2,100%,AVANCE[[#This Row],[CERRADURAS]])</f>
        <v>0</v>
      </c>
      <c r="CK474" s="3">
        <f>+IF(AVANCE[[#This Row],[REVESTIMIENTO INTERIOR ZONA SECA]]=AW$2,100%,AVANCE[[#This Row],[REVESTIMIENTO INTERIOR ZONA SECA]])</f>
        <v>0</v>
      </c>
      <c r="CL474" s="3">
        <f>+IF(AVANCE[[#This Row],[REVESTIMIENTO INTERIOR ZONAS HUMEDAS]]=AX$2,100%,AVANCE[[#This Row],[REVESTIMIENTO INTERIOR ZONAS HUMEDAS]])</f>
        <v>0</v>
      </c>
      <c r="CM474" s="3">
        <f>+IF(AVANCE[[#This Row],[MEMBRANA CIELO]]=AY$2,100%,AVANCE[[#This Row],[MEMBRANA CIELO]])</f>
        <v>0</v>
      </c>
      <c r="CN474" s="3">
        <f>+IF(AVANCE[[#This Row],[LIMPIEZA FINAL]]=AZ$2,100%,AVANCE[[#This Row],[LIMPIEZA FINAL]])</f>
        <v>0</v>
      </c>
      <c r="CO474" s="3">
        <f>+IF(AVANCE[[#This Row],[PUERTAS DORMITORIO]]=BA$2,100%,AVANCE[[#This Row],[PUERTAS DORMITORIO]])</f>
        <v>0</v>
      </c>
      <c r="CP474" s="3">
        <f>+IF(AVANCE[[#This Row],[REVESTIMIENTO INTERIOR BANO]]=BB$2,100%,AVANCE[[#This Row],[REVESTIMIENTO INTERIOR BANO]])</f>
        <v>0</v>
      </c>
      <c r="CQ474" s="3">
        <f>+IF(AVANCE[[#This Row],[MUEBLE LAVAPLATOS]]=BC$2,100%,AVANCE[[#This Row],[MUEBLE LAVAPLATOS]])</f>
        <v>0</v>
      </c>
      <c r="CR474" s="3">
        <f>+IF(AVANCE[[#This Row],[IMPERMEABILIZACION BANO - COCINA LOGIA]]=BD$2,100%,AVANCE[[#This Row],[IMPERMEABILIZACION BANO - COCINA LOGIA]])</f>
        <v>0</v>
      </c>
      <c r="CS474" s="40">
        <f ca="1">+IF(AVANCE[[#This Row],[ESTADO MODULO]]="PENDIENTE",(TODAY()-AVANCE[[#This Row],[FECHA TERMINO  PLANIFICADO]]),0)</f>
        <v>0</v>
      </c>
      <c r="CT474" s="41" t="str" cm="1">
        <f t="array" ref="CT474">_xlfn.TEXTJOIN(" | ",TRUE,IF(SUMPRODUCT((BG474:CR474&lt;1)*(PARTIDAS!$I$2:$AT$2="OBRA GRUESA"))&gt;0,"OBRA GRUESA: "&amp;_xlfn.TEXTJOIN(", ",TRUE,IF((BG474:CR474&lt;1)*(PARTIDAS!$I$2:$AT$2="OBRA GRUESA"),PARTIDAS!$I$1:$AT$1,"")),""),IF(SUMPRODUCT((BG474:CR474&lt;1)*(PARTIDAS!$I$2:$AT$2="SANITARIOS"))&gt;0,"SANITARIOS: "&amp;_xlfn.TEXTJOIN(", ",TRUE,IF((BG474:CR474&lt;1)*(PARTIDAS!$I$2:$AT$2="SANITARIOS"),PARTIDAS!$I$1:$AT$1,"")),""),IF(SUMPRODUCT((BG474:CR474&lt;1)*(PARTIDAS!$I$2:$AT$2="ELÉCTRICO"))&gt;0,"ELÉCTRICO: "&amp;_xlfn.TEXTJOIN(", ",TRUE,IF((BG474:CR474&lt;1)*(PARTIDAS!$I$2:$AT$2="ELÉCTRICO"),PARTIDAS!$I$1:$AT$1,"")),""),IF(SUMPRODUCT((BG474:CR474&lt;1)*(PARTIDAS!$I$2:$AT$2="TERMINACIONES"))&gt;0,"TERMINACIONES: "&amp;_xlfn.TEXTJOIN(", ",TRUE,IF((BG474:CR474&lt;1)*(PARTIDAS!$I$2:$AT$2="TERMINACIONES"),PARTIDAS!$I$1:$AT$1,"")),""))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4" s="43" t="str" cm="1">
        <f t="array" ref="CU474">_xlfn.TEXTJOIN(", ",TRUE,IF(SUMPRODUCT((BG474:CR474&lt;1)*(PARTIDAS!$I$2:$AT$2="OBRA GRUESA"))&gt;0,"OBRA GRUESA",""),IF(SUMPRODUCT((BG474:CR474&lt;1)*(PARTIDAS!$I$2:$AT$2="SANITARIOS"))&gt;0,"SANITARIOS",""),IF(SUMPRODUCT((BG474:CR474&lt;1)*(PARTIDAS!$I$2:$AT$2="ELÉCTRICO"))&gt;0,"ELÉCTRICO",""),IF(SUMPRODUCT((BG474:CR474&lt;1)*(PARTIDAS!$I$2:$AT$2="TERMINACIONES"))&gt;0,"TERMINACIONES",""))</f>
        <v>OBRA GRUESA, SANITARIOS, ELÉCTRICO, TERMINACIONES</v>
      </c>
      <c r="CV474" s="44" cm="1">
        <f t="array" ref="CV474">SUMPRODUCT(--(BG474:CR474&lt;1))</f>
        <v>38</v>
      </c>
    </row>
    <row r="475" spans="1:100" hidden="1" x14ac:dyDescent="0.25">
      <c r="A475" t="s">
        <v>520</v>
      </c>
      <c r="B475" t="s">
        <v>546</v>
      </c>
      <c r="C475">
        <v>2302600474</v>
      </c>
      <c r="D475" t="s">
        <v>60</v>
      </c>
      <c r="E475" s="2">
        <v>0</v>
      </c>
      <c r="F475" s="1">
        <v>46374</v>
      </c>
      <c r="G475" s="1"/>
      <c r="H475" s="1">
        <v>0</v>
      </c>
      <c r="I475" s="1">
        <v>46404</v>
      </c>
      <c r="J475">
        <v>46230</v>
      </c>
      <c r="K475" s="1"/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>
        <v>31.32</v>
      </c>
      <c r="BF475" s="3" t="str">
        <f>+IF(AVANCE[[#This Row],[% AVANCE]]=100%,"MODULO TERMINADO",IF(AVANCE[[#This Row],[FECHA INICIO REAL]]="","MODULO NO INICIADO","PENDIENTE"))</f>
        <v>MODULO NO INICIADO</v>
      </c>
      <c r="BG475" s="3">
        <f>+IF(AVANCE[[#This Row],[VENTANAS]]=8.10810810810811%,100%,AVANCE[[#This Row],[VENTANAS]])</f>
        <v>0</v>
      </c>
      <c r="BH475" s="3">
        <f>+IF(AVANCE[[#This Row],[PISO]]=N$2,100%,AVANCE[[#This Row],[PISO]])</f>
        <v>0</v>
      </c>
      <c r="BI475" s="3">
        <f>+IF(AVANCE[[#This Row],[TABIQUES]]=O$2,100%,AVANCE[[#This Row],[TABIQUES]])</f>
        <v>0</v>
      </c>
      <c r="BJ475" s="3">
        <f>+IF(AVANCE[[#This Row],[MUROS]]=P$2,100%,AVANCE[[#This Row],[MUROS]])</f>
        <v>0</v>
      </c>
      <c r="BK475" s="3">
        <f>+IF(AVANCE[[#This Row],[CIELO]]=Q$2,100%,AVANCE[[#This Row],[CIELO]])</f>
        <v>0</v>
      </c>
      <c r="BL475" s="3">
        <f>+IF(AVANCE[[#This Row],[BALCÓN]]=R$2,100%,AVANCE[[#This Row],[BALCÓN]])</f>
        <v>0</v>
      </c>
      <c r="BM475" s="3">
        <f>+IF(AVANCE[[#This Row],[RED ALCANTARILLADO]]=U$2,100%,AVANCE[[#This Row],[RED ALCANTARILLADO]])</f>
        <v>0</v>
      </c>
      <c r="BN475" s="3">
        <f>+IF(AVANCE[[#This Row],[RED DE AGUA]]=V$2,100%,AVANCE[[#This Row],[RED DE AGUA]])</f>
        <v>0</v>
      </c>
      <c r="BO475" s="3">
        <f>+IF(AVANCE[[#This Row],[VENTILACIONES]]=W$2,100%,AVANCE[[#This Row],[VENTILACIONES]])</f>
        <v>0</v>
      </c>
      <c r="BP475" s="3">
        <f>+IF(AVANCE[[#This Row],[TINA]]=X$2,100%,AVANCE[[#This Row],[TINA]])</f>
        <v>0</v>
      </c>
      <c r="BQ475" s="3">
        <f>+IF(AVANCE[[#This Row],[WC]]=Y$2,100%,AVANCE[[#This Row],[WC]])</f>
        <v>0</v>
      </c>
      <c r="BR475" s="3">
        <f>+IF(AVANCE[[#This Row],[LAVAMANOS / LAVAPLATOS / LAVADERO]]=Z$2,100%,AVANCE[[#This Row],[LAVAMANOS / LAVAPLATOS / LAVADERO]])</f>
        <v>0</v>
      </c>
      <c r="BS475" s="3">
        <f>+IF(AVANCE[[#This Row],[CANALIZACIÓN]]=AC$2,100%,AVANCE[[#This Row],[CANALIZACIÓN]])</f>
        <v>0</v>
      </c>
      <c r="BT475" s="3">
        <f>+IF(AVANCE[[#This Row],[CABLEADO]]=AD$2,100%,AVANCE[[#This Row],[CABLEADO]])</f>
        <v>0</v>
      </c>
      <c r="BU475" s="3">
        <f>+IF(AVANCE[[#This Row],[ARTEFACTOS]]=AE$2,100%,AVANCE[[#This Row],[ARTEFACTOS]])</f>
        <v>0</v>
      </c>
      <c r="BV475" s="3">
        <f>+IF(AVANCE[[#This Row],[TABLERO]]=AF$2,100%,AVANCE[[#This Row],[TABLERO]])</f>
        <v>0</v>
      </c>
      <c r="BW475" s="3">
        <f>+IF(AVANCE[[#This Row],[CAJA PAU]]=AG$2,100%,AVANCE[[#This Row],[CAJA PAU]])</f>
        <v>0</v>
      </c>
      <c r="BX475" s="3">
        <f>+IF(AVANCE[[#This Row],[INSTALACION VINILICO]]=AJ$2,100%,AVANCE[[#This Row],[INSTALACION VINILICO]])</f>
        <v>0</v>
      </c>
      <c r="BY475" s="3">
        <f>+IF(AVANCE[[#This Row],[OSB CUBIERTA]]=AK$2,100%,AVANCE[[#This Row],[OSB CUBIERTA]])</f>
        <v>0</v>
      </c>
      <c r="BZ475" s="3">
        <f>+IF(AVANCE[[#This Row],[BARANDA BALCON]]=AL$2,100%,AVANCE[[#This Row],[BARANDA BALCON]])</f>
        <v>0</v>
      </c>
      <c r="CA475" s="3">
        <f>+IF(AVANCE[[#This Row],[OSB EXTERIOR]]=AM$2,100%,AVANCE[[#This Row],[OSB EXTERIOR]])</f>
        <v>0</v>
      </c>
      <c r="CB475" s="3">
        <f>+IF(AVANCE[[#This Row],[SMART PANEL]]=AN$2,100%,AVANCE[[#This Row],[SMART PANEL]])</f>
        <v>0</v>
      </c>
      <c r="CC475" s="3">
        <f>+IF(AVANCE[[#This Row],[PINTURA EXTERIOR]]=AO$2,100%,AVANCE[[#This Row],[PINTURA EXTERIOR]])</f>
        <v>0</v>
      </c>
      <c r="CD475" s="3">
        <f>+IF(AVANCE[[#This Row],[ZOCALOS LOGIA]]=AP$2,100%,AVANCE[[#This Row],[ZOCALOS LOGIA]])</f>
        <v>0</v>
      </c>
      <c r="CE475" s="3">
        <f>+IF(AVANCE[[#This Row],[MOLDURAS]]=AQ$2,100%,AVANCE[[#This Row],[MOLDURAS]])</f>
        <v>0</v>
      </c>
      <c r="CF475" s="3">
        <f>+IF(AVANCE[[#This Row],[PILASTREO]]=AR$2,100%,AVANCE[[#This Row],[PILASTREO]])</f>
        <v>0</v>
      </c>
      <c r="CG475" s="3">
        <f>+IF(AVANCE[[#This Row],[CELOSIAS]]=AS$2,100%,AVANCE[[#This Row],[CELOSIAS]])</f>
        <v>0</v>
      </c>
      <c r="CH475" s="3">
        <f>+IF(AVANCE[[#This Row],[VENTANAS]]=AT$2,100%,AVANCE[[#This Row],[VENTANAS]])</f>
        <v>0</v>
      </c>
      <c r="CI475" s="3">
        <f>+IF(AVANCE[[#This Row],[PUERTAS ACCESO - LOGIA - BANO]]=AU$2,100%,AVANCE[[#This Row],[PUERTAS ACCESO - LOGIA - BANO]])</f>
        <v>0</v>
      </c>
      <c r="CJ475" s="3">
        <f>+IF(AVANCE[[#This Row],[CERRADURAS]]=AV$2,100%,AVANCE[[#This Row],[CERRADURAS]])</f>
        <v>0</v>
      </c>
      <c r="CK475" s="3">
        <f>+IF(AVANCE[[#This Row],[REVESTIMIENTO INTERIOR ZONA SECA]]=AW$2,100%,AVANCE[[#This Row],[REVESTIMIENTO INTERIOR ZONA SECA]])</f>
        <v>0</v>
      </c>
      <c r="CL475" s="3">
        <f>+IF(AVANCE[[#This Row],[REVESTIMIENTO INTERIOR ZONAS HUMEDAS]]=AX$2,100%,AVANCE[[#This Row],[REVESTIMIENTO INTERIOR ZONAS HUMEDAS]])</f>
        <v>0</v>
      </c>
      <c r="CM475" s="3">
        <f>+IF(AVANCE[[#This Row],[MEMBRANA CIELO]]=AY$2,100%,AVANCE[[#This Row],[MEMBRANA CIELO]])</f>
        <v>0</v>
      </c>
      <c r="CN475" s="3">
        <f>+IF(AVANCE[[#This Row],[LIMPIEZA FINAL]]=AZ$2,100%,AVANCE[[#This Row],[LIMPIEZA FINAL]])</f>
        <v>0</v>
      </c>
      <c r="CO475" s="3">
        <f>+IF(AVANCE[[#This Row],[PUERTAS DORMITORIO]]=BA$2,100%,AVANCE[[#This Row],[PUERTAS DORMITORIO]])</f>
        <v>0</v>
      </c>
      <c r="CP475" s="3">
        <f>+IF(AVANCE[[#This Row],[REVESTIMIENTO INTERIOR BANO]]=BB$2,100%,AVANCE[[#This Row],[REVESTIMIENTO INTERIOR BANO]])</f>
        <v>0</v>
      </c>
      <c r="CQ475" s="3">
        <f>+IF(AVANCE[[#This Row],[MUEBLE LAVAPLATOS]]=BC$2,100%,AVANCE[[#This Row],[MUEBLE LAVAPLATOS]])</f>
        <v>0</v>
      </c>
      <c r="CR475" s="3">
        <f>+IF(AVANCE[[#This Row],[IMPERMEABILIZACION BANO - COCINA LOGIA]]=BD$2,100%,AVANCE[[#This Row],[IMPERMEABILIZACION BANO - COCINA LOGIA]])</f>
        <v>0</v>
      </c>
      <c r="CS475" s="40">
        <f ca="1">+IF(AVANCE[[#This Row],[ESTADO MODULO]]="PENDIENTE",(TODAY()-AVANCE[[#This Row],[FECHA TERMINO  PLANIFICADO]]),0)</f>
        <v>0</v>
      </c>
      <c r="CT475" s="41" t="str" cm="1">
        <f t="array" ref="CT475">_xlfn.TEXTJOIN(" | ",TRUE,IF(SUMPRODUCT((BG475:CR475&lt;1)*(PARTIDAS!$I$2:$AT$2="OBRA GRUESA"))&gt;0,"OBRA GRUESA: "&amp;_xlfn.TEXTJOIN(", ",TRUE,IF((BG475:CR475&lt;1)*(PARTIDAS!$I$2:$AT$2="OBRA GRUESA"),PARTIDAS!$I$1:$AT$1,"")),""),IF(SUMPRODUCT((BG475:CR475&lt;1)*(PARTIDAS!$I$2:$AT$2="SANITARIOS"))&gt;0,"SANITARIOS: "&amp;_xlfn.TEXTJOIN(", ",TRUE,IF((BG475:CR475&lt;1)*(PARTIDAS!$I$2:$AT$2="SANITARIOS"),PARTIDAS!$I$1:$AT$1,"")),""),IF(SUMPRODUCT((BG475:CR475&lt;1)*(PARTIDAS!$I$2:$AT$2="ELÉCTRICO"))&gt;0,"ELÉCTRICO: "&amp;_xlfn.TEXTJOIN(", ",TRUE,IF((BG475:CR475&lt;1)*(PARTIDAS!$I$2:$AT$2="ELÉCTRICO"),PARTIDAS!$I$1:$AT$1,"")),""),IF(SUMPRODUCT((BG475:CR475&lt;1)*(PARTIDAS!$I$2:$AT$2="TERMINACIONES"))&gt;0,"TERMINACIONES: "&amp;_xlfn.TEXTJOIN(", ",TRUE,IF((BG475:CR475&lt;1)*(PARTIDAS!$I$2:$AT$2="TERMINACIONES"),PARTIDAS!$I$1:$AT$1,"")),""))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5" s="43" t="str" cm="1">
        <f t="array" ref="CU475">_xlfn.TEXTJOIN(", ",TRUE,IF(SUMPRODUCT((BG475:CR475&lt;1)*(PARTIDAS!$I$2:$AT$2="OBRA GRUESA"))&gt;0,"OBRA GRUESA",""),IF(SUMPRODUCT((BG475:CR475&lt;1)*(PARTIDAS!$I$2:$AT$2="SANITARIOS"))&gt;0,"SANITARIOS",""),IF(SUMPRODUCT((BG475:CR475&lt;1)*(PARTIDAS!$I$2:$AT$2="ELÉCTRICO"))&gt;0,"ELÉCTRICO",""),IF(SUMPRODUCT((BG475:CR475&lt;1)*(PARTIDAS!$I$2:$AT$2="TERMINACIONES"))&gt;0,"TERMINACIONES",""))</f>
        <v>OBRA GRUESA, SANITARIOS, ELÉCTRICO, TERMINACIONES</v>
      </c>
      <c r="CV475" s="44" cm="1">
        <f t="array" ref="CV475">SUMPRODUCT(--(BG475:CR475&lt;1))</f>
        <v>38</v>
      </c>
    </row>
    <row r="476" spans="1:100" hidden="1" x14ac:dyDescent="0.25">
      <c r="A476" t="s">
        <v>520</v>
      </c>
      <c r="B476" t="s">
        <v>547</v>
      </c>
      <c r="C476">
        <v>2302600475</v>
      </c>
      <c r="D476" t="s">
        <v>60</v>
      </c>
      <c r="E476" s="2">
        <v>0</v>
      </c>
      <c r="F476" s="1">
        <v>46374</v>
      </c>
      <c r="G476" s="1"/>
      <c r="H476" s="1">
        <v>0</v>
      </c>
      <c r="I476" s="1">
        <v>46404</v>
      </c>
      <c r="J476">
        <v>46230</v>
      </c>
      <c r="K476" s="1"/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>
        <v>31.32</v>
      </c>
      <c r="BF476" s="3" t="str">
        <f>+IF(AVANCE[[#This Row],[% AVANCE]]=100%,"MODULO TERMINADO",IF(AVANCE[[#This Row],[FECHA INICIO REAL]]="","MODULO NO INICIADO","PENDIENTE"))</f>
        <v>MODULO NO INICIADO</v>
      </c>
      <c r="BG476" s="3">
        <f>+IF(AVANCE[[#This Row],[VENTANAS]]=8.10810810810811%,100%,AVANCE[[#This Row],[VENTANAS]])</f>
        <v>0</v>
      </c>
      <c r="BH476" s="3">
        <f>+IF(AVANCE[[#This Row],[PISO]]=N$2,100%,AVANCE[[#This Row],[PISO]])</f>
        <v>0</v>
      </c>
      <c r="BI476" s="3">
        <f>+IF(AVANCE[[#This Row],[TABIQUES]]=O$2,100%,AVANCE[[#This Row],[TABIQUES]])</f>
        <v>0</v>
      </c>
      <c r="BJ476" s="3">
        <f>+IF(AVANCE[[#This Row],[MUROS]]=P$2,100%,AVANCE[[#This Row],[MUROS]])</f>
        <v>0</v>
      </c>
      <c r="BK476" s="3">
        <f>+IF(AVANCE[[#This Row],[CIELO]]=Q$2,100%,AVANCE[[#This Row],[CIELO]])</f>
        <v>0</v>
      </c>
      <c r="BL476" s="3">
        <f>+IF(AVANCE[[#This Row],[BALCÓN]]=R$2,100%,AVANCE[[#This Row],[BALCÓN]])</f>
        <v>0</v>
      </c>
      <c r="BM476" s="3">
        <f>+IF(AVANCE[[#This Row],[RED ALCANTARILLADO]]=U$2,100%,AVANCE[[#This Row],[RED ALCANTARILLADO]])</f>
        <v>0</v>
      </c>
      <c r="BN476" s="3">
        <f>+IF(AVANCE[[#This Row],[RED DE AGUA]]=V$2,100%,AVANCE[[#This Row],[RED DE AGUA]])</f>
        <v>0</v>
      </c>
      <c r="BO476" s="3">
        <f>+IF(AVANCE[[#This Row],[VENTILACIONES]]=W$2,100%,AVANCE[[#This Row],[VENTILACIONES]])</f>
        <v>0</v>
      </c>
      <c r="BP476" s="3">
        <f>+IF(AVANCE[[#This Row],[TINA]]=X$2,100%,AVANCE[[#This Row],[TINA]])</f>
        <v>0</v>
      </c>
      <c r="BQ476" s="3">
        <f>+IF(AVANCE[[#This Row],[WC]]=Y$2,100%,AVANCE[[#This Row],[WC]])</f>
        <v>0</v>
      </c>
      <c r="BR476" s="3">
        <f>+IF(AVANCE[[#This Row],[LAVAMANOS / LAVAPLATOS / LAVADERO]]=Z$2,100%,AVANCE[[#This Row],[LAVAMANOS / LAVAPLATOS / LAVADERO]])</f>
        <v>0</v>
      </c>
      <c r="BS476" s="3">
        <f>+IF(AVANCE[[#This Row],[CANALIZACIÓN]]=AC$2,100%,AVANCE[[#This Row],[CANALIZACIÓN]])</f>
        <v>0</v>
      </c>
      <c r="BT476" s="3">
        <f>+IF(AVANCE[[#This Row],[CABLEADO]]=AD$2,100%,AVANCE[[#This Row],[CABLEADO]])</f>
        <v>0</v>
      </c>
      <c r="BU476" s="3">
        <f>+IF(AVANCE[[#This Row],[ARTEFACTOS]]=AE$2,100%,AVANCE[[#This Row],[ARTEFACTOS]])</f>
        <v>0</v>
      </c>
      <c r="BV476" s="3">
        <f>+IF(AVANCE[[#This Row],[TABLERO]]=AF$2,100%,AVANCE[[#This Row],[TABLERO]])</f>
        <v>0</v>
      </c>
      <c r="BW476" s="3">
        <f>+IF(AVANCE[[#This Row],[CAJA PAU]]=AG$2,100%,AVANCE[[#This Row],[CAJA PAU]])</f>
        <v>0</v>
      </c>
      <c r="BX476" s="3">
        <f>+IF(AVANCE[[#This Row],[INSTALACION VINILICO]]=AJ$2,100%,AVANCE[[#This Row],[INSTALACION VINILICO]])</f>
        <v>0</v>
      </c>
      <c r="BY476" s="3">
        <f>+IF(AVANCE[[#This Row],[OSB CUBIERTA]]=AK$2,100%,AVANCE[[#This Row],[OSB CUBIERTA]])</f>
        <v>0</v>
      </c>
      <c r="BZ476" s="3">
        <f>+IF(AVANCE[[#This Row],[BARANDA BALCON]]=AL$2,100%,AVANCE[[#This Row],[BARANDA BALCON]])</f>
        <v>0</v>
      </c>
      <c r="CA476" s="3">
        <f>+IF(AVANCE[[#This Row],[OSB EXTERIOR]]=AM$2,100%,AVANCE[[#This Row],[OSB EXTERIOR]])</f>
        <v>0</v>
      </c>
      <c r="CB476" s="3">
        <f>+IF(AVANCE[[#This Row],[SMART PANEL]]=AN$2,100%,AVANCE[[#This Row],[SMART PANEL]])</f>
        <v>0</v>
      </c>
      <c r="CC476" s="3">
        <f>+IF(AVANCE[[#This Row],[PINTURA EXTERIOR]]=AO$2,100%,AVANCE[[#This Row],[PINTURA EXTERIOR]])</f>
        <v>0</v>
      </c>
      <c r="CD476" s="3">
        <f>+IF(AVANCE[[#This Row],[ZOCALOS LOGIA]]=AP$2,100%,AVANCE[[#This Row],[ZOCALOS LOGIA]])</f>
        <v>0</v>
      </c>
      <c r="CE476" s="3">
        <f>+IF(AVANCE[[#This Row],[MOLDURAS]]=AQ$2,100%,AVANCE[[#This Row],[MOLDURAS]])</f>
        <v>0</v>
      </c>
      <c r="CF476" s="3">
        <f>+IF(AVANCE[[#This Row],[PILASTREO]]=AR$2,100%,AVANCE[[#This Row],[PILASTREO]])</f>
        <v>0</v>
      </c>
      <c r="CG476" s="3">
        <f>+IF(AVANCE[[#This Row],[CELOSIAS]]=AS$2,100%,AVANCE[[#This Row],[CELOSIAS]])</f>
        <v>0</v>
      </c>
      <c r="CH476" s="3">
        <f>+IF(AVANCE[[#This Row],[VENTANAS]]=AT$2,100%,AVANCE[[#This Row],[VENTANAS]])</f>
        <v>0</v>
      </c>
      <c r="CI476" s="3">
        <f>+IF(AVANCE[[#This Row],[PUERTAS ACCESO - LOGIA - BANO]]=AU$2,100%,AVANCE[[#This Row],[PUERTAS ACCESO - LOGIA - BANO]])</f>
        <v>0</v>
      </c>
      <c r="CJ476" s="3">
        <f>+IF(AVANCE[[#This Row],[CERRADURAS]]=AV$2,100%,AVANCE[[#This Row],[CERRADURAS]])</f>
        <v>0</v>
      </c>
      <c r="CK476" s="3">
        <f>+IF(AVANCE[[#This Row],[REVESTIMIENTO INTERIOR ZONA SECA]]=AW$2,100%,AVANCE[[#This Row],[REVESTIMIENTO INTERIOR ZONA SECA]])</f>
        <v>0</v>
      </c>
      <c r="CL476" s="3">
        <f>+IF(AVANCE[[#This Row],[REVESTIMIENTO INTERIOR ZONAS HUMEDAS]]=AX$2,100%,AVANCE[[#This Row],[REVESTIMIENTO INTERIOR ZONAS HUMEDAS]])</f>
        <v>0</v>
      </c>
      <c r="CM476" s="3">
        <f>+IF(AVANCE[[#This Row],[MEMBRANA CIELO]]=AY$2,100%,AVANCE[[#This Row],[MEMBRANA CIELO]])</f>
        <v>0</v>
      </c>
      <c r="CN476" s="3">
        <f>+IF(AVANCE[[#This Row],[LIMPIEZA FINAL]]=AZ$2,100%,AVANCE[[#This Row],[LIMPIEZA FINAL]])</f>
        <v>0</v>
      </c>
      <c r="CO476" s="3">
        <f>+IF(AVANCE[[#This Row],[PUERTAS DORMITORIO]]=BA$2,100%,AVANCE[[#This Row],[PUERTAS DORMITORIO]])</f>
        <v>0</v>
      </c>
      <c r="CP476" s="3">
        <f>+IF(AVANCE[[#This Row],[REVESTIMIENTO INTERIOR BANO]]=BB$2,100%,AVANCE[[#This Row],[REVESTIMIENTO INTERIOR BANO]])</f>
        <v>0</v>
      </c>
      <c r="CQ476" s="3">
        <f>+IF(AVANCE[[#This Row],[MUEBLE LAVAPLATOS]]=BC$2,100%,AVANCE[[#This Row],[MUEBLE LAVAPLATOS]])</f>
        <v>0</v>
      </c>
      <c r="CR476" s="3">
        <f>+IF(AVANCE[[#This Row],[IMPERMEABILIZACION BANO - COCINA LOGIA]]=BD$2,100%,AVANCE[[#This Row],[IMPERMEABILIZACION BANO - COCINA LOGIA]])</f>
        <v>0</v>
      </c>
      <c r="CS476" s="40">
        <f ca="1">+IF(AVANCE[[#This Row],[ESTADO MODULO]]="PENDIENTE",(TODAY()-AVANCE[[#This Row],[FECHA TERMINO  PLANIFICADO]]),0)</f>
        <v>0</v>
      </c>
      <c r="CT476" s="41" t="str" cm="1">
        <f t="array" ref="CT476">_xlfn.TEXTJOIN(" | ",TRUE,IF(SUMPRODUCT((BG476:CR476&lt;1)*(PARTIDAS!$I$2:$AT$2="OBRA GRUESA"))&gt;0,"OBRA GRUESA: "&amp;_xlfn.TEXTJOIN(", ",TRUE,IF((BG476:CR476&lt;1)*(PARTIDAS!$I$2:$AT$2="OBRA GRUESA"),PARTIDAS!$I$1:$AT$1,"")),""),IF(SUMPRODUCT((BG476:CR476&lt;1)*(PARTIDAS!$I$2:$AT$2="SANITARIOS"))&gt;0,"SANITARIOS: "&amp;_xlfn.TEXTJOIN(", ",TRUE,IF((BG476:CR476&lt;1)*(PARTIDAS!$I$2:$AT$2="SANITARIOS"),PARTIDAS!$I$1:$AT$1,"")),""),IF(SUMPRODUCT((BG476:CR476&lt;1)*(PARTIDAS!$I$2:$AT$2="ELÉCTRICO"))&gt;0,"ELÉCTRICO: "&amp;_xlfn.TEXTJOIN(", ",TRUE,IF((BG476:CR476&lt;1)*(PARTIDAS!$I$2:$AT$2="ELÉCTRICO"),PARTIDAS!$I$1:$AT$1,"")),""),IF(SUMPRODUCT((BG476:CR476&lt;1)*(PARTIDAS!$I$2:$AT$2="TERMINACIONES"))&gt;0,"TERMINACIONES: "&amp;_xlfn.TEXTJOIN(", ",TRUE,IF((BG476:CR476&lt;1)*(PARTIDAS!$I$2:$AT$2="TERMINACIONES"),PARTIDAS!$I$1:$AT$1,"")),""))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6" s="43" t="str" cm="1">
        <f t="array" ref="CU476">_xlfn.TEXTJOIN(", ",TRUE,IF(SUMPRODUCT((BG476:CR476&lt;1)*(PARTIDAS!$I$2:$AT$2="OBRA GRUESA"))&gt;0,"OBRA GRUESA",""),IF(SUMPRODUCT((BG476:CR476&lt;1)*(PARTIDAS!$I$2:$AT$2="SANITARIOS"))&gt;0,"SANITARIOS",""),IF(SUMPRODUCT((BG476:CR476&lt;1)*(PARTIDAS!$I$2:$AT$2="ELÉCTRICO"))&gt;0,"ELÉCTRICO",""),IF(SUMPRODUCT((BG476:CR476&lt;1)*(PARTIDAS!$I$2:$AT$2="TERMINACIONES"))&gt;0,"TERMINACIONES",""))</f>
        <v>OBRA GRUESA, SANITARIOS, ELÉCTRICO, TERMINACIONES</v>
      </c>
      <c r="CV476" s="44" cm="1">
        <f t="array" ref="CV476">SUMPRODUCT(--(BG476:CR476&lt;1))</f>
        <v>38</v>
      </c>
    </row>
    <row r="477" spans="1:100" hidden="1" x14ac:dyDescent="0.25">
      <c r="A477" t="s">
        <v>520</v>
      </c>
      <c r="B477" t="s">
        <v>548</v>
      </c>
      <c r="C477">
        <v>2282600476</v>
      </c>
      <c r="D477" t="s">
        <v>58</v>
      </c>
      <c r="E477" s="2">
        <v>0</v>
      </c>
      <c r="F477" s="1">
        <v>46377</v>
      </c>
      <c r="G477" s="1"/>
      <c r="H477" s="1">
        <v>0</v>
      </c>
      <c r="I477" s="1">
        <v>46397</v>
      </c>
      <c r="J477">
        <v>46230</v>
      </c>
      <c r="K477" s="1"/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>
        <v>28.87</v>
      </c>
      <c r="BF477" s="3" t="str">
        <f>+IF(AVANCE[[#This Row],[% AVANCE]]=100%,"MODULO TERMINADO",IF(AVANCE[[#This Row],[FECHA INICIO REAL]]="","MODULO NO INICIADO","PENDIENTE"))</f>
        <v>MODULO NO INICIADO</v>
      </c>
      <c r="BG477" s="3">
        <f>+IF(AVANCE[[#This Row],[VENTANAS]]=8.10810810810811%,100%,AVANCE[[#This Row],[VENTANAS]])</f>
        <v>0</v>
      </c>
      <c r="BH477" s="3">
        <f>+IF(AVANCE[[#This Row],[PISO]]=N$2,100%,AVANCE[[#This Row],[PISO]])</f>
        <v>0</v>
      </c>
      <c r="BI477" s="3">
        <f>+IF(AVANCE[[#This Row],[TABIQUES]]=O$2,100%,AVANCE[[#This Row],[TABIQUES]])</f>
        <v>0</v>
      </c>
      <c r="BJ477" s="3">
        <f>+IF(AVANCE[[#This Row],[MUROS]]=P$2,100%,AVANCE[[#This Row],[MUROS]])</f>
        <v>0</v>
      </c>
      <c r="BK477" s="3">
        <f>+IF(AVANCE[[#This Row],[CIELO]]=Q$2,100%,AVANCE[[#This Row],[CIELO]])</f>
        <v>0</v>
      </c>
      <c r="BL477" s="3">
        <f>+IF(AVANCE[[#This Row],[BALCÓN]]=R$2,100%,AVANCE[[#This Row],[BALCÓN]])</f>
        <v>0</v>
      </c>
      <c r="BM477" s="3">
        <f>+IF(AVANCE[[#This Row],[RED ALCANTARILLADO]]=U$2,100%,AVANCE[[#This Row],[RED ALCANTARILLADO]])</f>
        <v>0</v>
      </c>
      <c r="BN477" s="3">
        <f>+IF(AVANCE[[#This Row],[RED DE AGUA]]=V$2,100%,AVANCE[[#This Row],[RED DE AGUA]])</f>
        <v>0</v>
      </c>
      <c r="BO477" s="3">
        <f>+IF(AVANCE[[#This Row],[VENTILACIONES]]=W$2,100%,AVANCE[[#This Row],[VENTILACIONES]])</f>
        <v>0</v>
      </c>
      <c r="BP477" s="3">
        <f>+IF(AVANCE[[#This Row],[TINA]]=X$2,100%,AVANCE[[#This Row],[TINA]])</f>
        <v>0</v>
      </c>
      <c r="BQ477" s="3">
        <f>+IF(AVANCE[[#This Row],[WC]]=Y$2,100%,AVANCE[[#This Row],[WC]])</f>
        <v>0</v>
      </c>
      <c r="BR477" s="3">
        <f>+IF(AVANCE[[#This Row],[LAVAMANOS / LAVAPLATOS / LAVADERO]]=Z$2,100%,AVANCE[[#This Row],[LAVAMANOS / LAVAPLATOS / LAVADERO]])</f>
        <v>0</v>
      </c>
      <c r="BS477" s="3">
        <f>+IF(AVANCE[[#This Row],[CANALIZACIÓN]]=AC$2,100%,AVANCE[[#This Row],[CANALIZACIÓN]])</f>
        <v>0</v>
      </c>
      <c r="BT477" s="3">
        <f>+IF(AVANCE[[#This Row],[CABLEADO]]=AD$2,100%,AVANCE[[#This Row],[CABLEADO]])</f>
        <v>0</v>
      </c>
      <c r="BU477" s="3">
        <f>+IF(AVANCE[[#This Row],[ARTEFACTOS]]=AE$2,100%,AVANCE[[#This Row],[ARTEFACTOS]])</f>
        <v>0</v>
      </c>
      <c r="BV477" s="3">
        <f>+IF(AVANCE[[#This Row],[TABLERO]]=AF$2,100%,AVANCE[[#This Row],[TABLERO]])</f>
        <v>0</v>
      </c>
      <c r="BW477" s="3">
        <f>+IF(AVANCE[[#This Row],[CAJA PAU]]=AG$2,100%,AVANCE[[#This Row],[CAJA PAU]])</f>
        <v>0</v>
      </c>
      <c r="BX477" s="3">
        <f>+IF(AVANCE[[#This Row],[INSTALACION VINILICO]]=AJ$2,100%,AVANCE[[#This Row],[INSTALACION VINILICO]])</f>
        <v>0</v>
      </c>
      <c r="BY477" s="3">
        <f>+IF(AVANCE[[#This Row],[OSB CUBIERTA]]=AK$2,100%,AVANCE[[#This Row],[OSB CUBIERTA]])</f>
        <v>0</v>
      </c>
      <c r="BZ477" s="3">
        <f>+IF(AVANCE[[#This Row],[BARANDA BALCON]]=AL$2,100%,AVANCE[[#This Row],[BARANDA BALCON]])</f>
        <v>0</v>
      </c>
      <c r="CA477" s="3">
        <f>+IF(AVANCE[[#This Row],[OSB EXTERIOR]]=AM$2,100%,AVANCE[[#This Row],[OSB EXTERIOR]])</f>
        <v>0</v>
      </c>
      <c r="CB477" s="3">
        <f>+IF(AVANCE[[#This Row],[SMART PANEL]]=AN$2,100%,AVANCE[[#This Row],[SMART PANEL]])</f>
        <v>0</v>
      </c>
      <c r="CC477" s="3">
        <f>+IF(AVANCE[[#This Row],[PINTURA EXTERIOR]]=AO$2,100%,AVANCE[[#This Row],[PINTURA EXTERIOR]])</f>
        <v>0</v>
      </c>
      <c r="CD477" s="3">
        <f>+IF(AVANCE[[#This Row],[ZOCALOS LOGIA]]=AP$2,100%,AVANCE[[#This Row],[ZOCALOS LOGIA]])</f>
        <v>0</v>
      </c>
      <c r="CE477" s="3">
        <f>+IF(AVANCE[[#This Row],[MOLDURAS]]=AQ$2,100%,AVANCE[[#This Row],[MOLDURAS]])</f>
        <v>0</v>
      </c>
      <c r="CF477" s="3">
        <f>+IF(AVANCE[[#This Row],[PILASTREO]]=AR$2,100%,AVANCE[[#This Row],[PILASTREO]])</f>
        <v>0</v>
      </c>
      <c r="CG477" s="3">
        <f>+IF(AVANCE[[#This Row],[CELOSIAS]]=AS$2,100%,AVANCE[[#This Row],[CELOSIAS]])</f>
        <v>0</v>
      </c>
      <c r="CH477" s="3">
        <f>+IF(AVANCE[[#This Row],[VENTANAS]]=AT$2,100%,AVANCE[[#This Row],[VENTANAS]])</f>
        <v>0</v>
      </c>
      <c r="CI477" s="3">
        <f>+IF(AVANCE[[#This Row],[PUERTAS ACCESO - LOGIA - BANO]]=AU$2,100%,AVANCE[[#This Row],[PUERTAS ACCESO - LOGIA - BANO]])</f>
        <v>0</v>
      </c>
      <c r="CJ477" s="3">
        <f>+IF(AVANCE[[#This Row],[CERRADURAS]]=AV$2,100%,AVANCE[[#This Row],[CERRADURAS]])</f>
        <v>0</v>
      </c>
      <c r="CK477" s="3">
        <f>+IF(AVANCE[[#This Row],[REVESTIMIENTO INTERIOR ZONA SECA]]=AW$2,100%,AVANCE[[#This Row],[REVESTIMIENTO INTERIOR ZONA SECA]])</f>
        <v>0</v>
      </c>
      <c r="CL477" s="3">
        <f>+IF(AVANCE[[#This Row],[REVESTIMIENTO INTERIOR ZONAS HUMEDAS]]=AX$2,100%,AVANCE[[#This Row],[REVESTIMIENTO INTERIOR ZONAS HUMEDAS]])</f>
        <v>0</v>
      </c>
      <c r="CM477" s="3">
        <f>+IF(AVANCE[[#This Row],[MEMBRANA CIELO]]=AY$2,100%,AVANCE[[#This Row],[MEMBRANA CIELO]])</f>
        <v>0</v>
      </c>
      <c r="CN477" s="3">
        <f>+IF(AVANCE[[#This Row],[LIMPIEZA FINAL]]=AZ$2,100%,AVANCE[[#This Row],[LIMPIEZA FINAL]])</f>
        <v>0</v>
      </c>
      <c r="CO477" s="3">
        <f>+IF(AVANCE[[#This Row],[PUERTAS DORMITORIO]]=BA$2,100%,AVANCE[[#This Row],[PUERTAS DORMITORIO]])</f>
        <v>0</v>
      </c>
      <c r="CP477" s="3">
        <f>+IF(AVANCE[[#This Row],[REVESTIMIENTO INTERIOR BANO]]=BB$2,100%,AVANCE[[#This Row],[REVESTIMIENTO INTERIOR BANO]])</f>
        <v>0</v>
      </c>
      <c r="CQ477" s="3">
        <f>+IF(AVANCE[[#This Row],[MUEBLE LAVAPLATOS]]=BC$2,100%,AVANCE[[#This Row],[MUEBLE LAVAPLATOS]])</f>
        <v>0</v>
      </c>
      <c r="CR477" s="3">
        <f>+IF(AVANCE[[#This Row],[IMPERMEABILIZACION BANO - COCINA LOGIA]]=BD$2,100%,AVANCE[[#This Row],[IMPERMEABILIZACION BANO - COCINA LOGIA]])</f>
        <v>0</v>
      </c>
      <c r="CS477" s="40">
        <f ca="1">+IF(AVANCE[[#This Row],[ESTADO MODULO]]="PENDIENTE",(TODAY()-AVANCE[[#This Row],[FECHA TERMINO  PLANIFICADO]]),0)</f>
        <v>0</v>
      </c>
      <c r="CT477" s="41" t="str" cm="1">
        <f t="array" ref="CT477">_xlfn.TEXTJOIN(" | ",TRUE,IF(SUMPRODUCT((BG477:CR477&lt;1)*(PARTIDAS!$I$2:$AT$2="OBRA GRUESA"))&gt;0,"OBRA GRUESA: "&amp;_xlfn.TEXTJOIN(", ",TRUE,IF((BG477:CR477&lt;1)*(PARTIDAS!$I$2:$AT$2="OBRA GRUESA"),PARTIDAS!$I$1:$AT$1,"")),""),IF(SUMPRODUCT((BG477:CR477&lt;1)*(PARTIDAS!$I$2:$AT$2="SANITARIOS"))&gt;0,"SANITARIOS: "&amp;_xlfn.TEXTJOIN(", ",TRUE,IF((BG477:CR477&lt;1)*(PARTIDAS!$I$2:$AT$2="SANITARIOS"),PARTIDAS!$I$1:$AT$1,"")),""),IF(SUMPRODUCT((BG477:CR477&lt;1)*(PARTIDAS!$I$2:$AT$2="ELÉCTRICO"))&gt;0,"ELÉCTRICO: "&amp;_xlfn.TEXTJOIN(", ",TRUE,IF((BG477:CR477&lt;1)*(PARTIDAS!$I$2:$AT$2="ELÉCTRICO"),PARTIDAS!$I$1:$AT$1,"")),""),IF(SUMPRODUCT((BG477:CR477&lt;1)*(PARTIDAS!$I$2:$AT$2="TERMINACIONES"))&gt;0,"TERMINACIONES: "&amp;_xlfn.TEXTJOIN(", ",TRUE,IF((BG477:CR477&lt;1)*(PARTIDAS!$I$2:$AT$2="TERMINACIONES"),PARTIDAS!$I$1:$AT$1,"")),""))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7" s="43" t="str" cm="1">
        <f t="array" ref="CU477">_xlfn.TEXTJOIN(", ",TRUE,IF(SUMPRODUCT((BG477:CR477&lt;1)*(PARTIDAS!$I$2:$AT$2="OBRA GRUESA"))&gt;0,"OBRA GRUESA",""),IF(SUMPRODUCT((BG477:CR477&lt;1)*(PARTIDAS!$I$2:$AT$2="SANITARIOS"))&gt;0,"SANITARIOS",""),IF(SUMPRODUCT((BG477:CR477&lt;1)*(PARTIDAS!$I$2:$AT$2="ELÉCTRICO"))&gt;0,"ELÉCTRICO",""),IF(SUMPRODUCT((BG477:CR477&lt;1)*(PARTIDAS!$I$2:$AT$2="TERMINACIONES"))&gt;0,"TERMINACIONES",""))</f>
        <v>OBRA GRUESA, SANITARIOS, ELÉCTRICO, TERMINACIONES</v>
      </c>
      <c r="CV477" s="44" cm="1">
        <f t="array" ref="CV477">SUMPRODUCT(--(BG477:CR477&lt;1))</f>
        <v>38</v>
      </c>
    </row>
    <row r="478" spans="1:100" hidden="1" x14ac:dyDescent="0.25">
      <c r="A478" t="s">
        <v>520</v>
      </c>
      <c r="B478" t="s">
        <v>549</v>
      </c>
      <c r="C478">
        <v>2282600477</v>
      </c>
      <c r="D478" t="s">
        <v>58</v>
      </c>
      <c r="E478" s="2">
        <v>0</v>
      </c>
      <c r="F478" s="1">
        <v>46377</v>
      </c>
      <c r="G478" s="1"/>
      <c r="H478" s="1">
        <v>0</v>
      </c>
      <c r="I478" s="1">
        <v>46397</v>
      </c>
      <c r="J478">
        <v>46230</v>
      </c>
      <c r="K478" s="1"/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>
        <v>28.87</v>
      </c>
      <c r="BF478" s="3" t="str">
        <f>+IF(AVANCE[[#This Row],[% AVANCE]]=100%,"MODULO TERMINADO",IF(AVANCE[[#This Row],[FECHA INICIO REAL]]="","MODULO NO INICIADO","PENDIENTE"))</f>
        <v>MODULO NO INICIADO</v>
      </c>
      <c r="BG478" s="3">
        <f>+IF(AVANCE[[#This Row],[VENTANAS]]=8.10810810810811%,100%,AVANCE[[#This Row],[VENTANAS]])</f>
        <v>0</v>
      </c>
      <c r="BH478" s="3">
        <f>+IF(AVANCE[[#This Row],[PISO]]=N$2,100%,AVANCE[[#This Row],[PISO]])</f>
        <v>0</v>
      </c>
      <c r="BI478" s="3">
        <f>+IF(AVANCE[[#This Row],[TABIQUES]]=O$2,100%,AVANCE[[#This Row],[TABIQUES]])</f>
        <v>0</v>
      </c>
      <c r="BJ478" s="3">
        <f>+IF(AVANCE[[#This Row],[MUROS]]=P$2,100%,AVANCE[[#This Row],[MUROS]])</f>
        <v>0</v>
      </c>
      <c r="BK478" s="3">
        <f>+IF(AVANCE[[#This Row],[CIELO]]=Q$2,100%,AVANCE[[#This Row],[CIELO]])</f>
        <v>0</v>
      </c>
      <c r="BL478" s="3">
        <f>+IF(AVANCE[[#This Row],[BALCÓN]]=R$2,100%,AVANCE[[#This Row],[BALCÓN]])</f>
        <v>0</v>
      </c>
      <c r="BM478" s="3">
        <f>+IF(AVANCE[[#This Row],[RED ALCANTARILLADO]]=U$2,100%,AVANCE[[#This Row],[RED ALCANTARILLADO]])</f>
        <v>0</v>
      </c>
      <c r="BN478" s="3">
        <f>+IF(AVANCE[[#This Row],[RED DE AGUA]]=V$2,100%,AVANCE[[#This Row],[RED DE AGUA]])</f>
        <v>0</v>
      </c>
      <c r="BO478" s="3">
        <f>+IF(AVANCE[[#This Row],[VENTILACIONES]]=W$2,100%,AVANCE[[#This Row],[VENTILACIONES]])</f>
        <v>0</v>
      </c>
      <c r="BP478" s="3">
        <f>+IF(AVANCE[[#This Row],[TINA]]=X$2,100%,AVANCE[[#This Row],[TINA]])</f>
        <v>0</v>
      </c>
      <c r="BQ478" s="3">
        <f>+IF(AVANCE[[#This Row],[WC]]=Y$2,100%,AVANCE[[#This Row],[WC]])</f>
        <v>0</v>
      </c>
      <c r="BR478" s="3">
        <f>+IF(AVANCE[[#This Row],[LAVAMANOS / LAVAPLATOS / LAVADERO]]=Z$2,100%,AVANCE[[#This Row],[LAVAMANOS / LAVAPLATOS / LAVADERO]])</f>
        <v>0</v>
      </c>
      <c r="BS478" s="3">
        <f>+IF(AVANCE[[#This Row],[CANALIZACIÓN]]=AC$2,100%,AVANCE[[#This Row],[CANALIZACIÓN]])</f>
        <v>0</v>
      </c>
      <c r="BT478" s="3">
        <f>+IF(AVANCE[[#This Row],[CABLEADO]]=AD$2,100%,AVANCE[[#This Row],[CABLEADO]])</f>
        <v>0</v>
      </c>
      <c r="BU478" s="3">
        <f>+IF(AVANCE[[#This Row],[ARTEFACTOS]]=AE$2,100%,AVANCE[[#This Row],[ARTEFACTOS]])</f>
        <v>0</v>
      </c>
      <c r="BV478" s="3">
        <f>+IF(AVANCE[[#This Row],[TABLERO]]=AF$2,100%,AVANCE[[#This Row],[TABLERO]])</f>
        <v>0</v>
      </c>
      <c r="BW478" s="3">
        <f>+IF(AVANCE[[#This Row],[CAJA PAU]]=AG$2,100%,AVANCE[[#This Row],[CAJA PAU]])</f>
        <v>0</v>
      </c>
      <c r="BX478" s="3">
        <f>+IF(AVANCE[[#This Row],[INSTALACION VINILICO]]=AJ$2,100%,AVANCE[[#This Row],[INSTALACION VINILICO]])</f>
        <v>0</v>
      </c>
      <c r="BY478" s="3">
        <f>+IF(AVANCE[[#This Row],[OSB CUBIERTA]]=AK$2,100%,AVANCE[[#This Row],[OSB CUBIERTA]])</f>
        <v>0</v>
      </c>
      <c r="BZ478" s="3">
        <f>+IF(AVANCE[[#This Row],[BARANDA BALCON]]=AL$2,100%,AVANCE[[#This Row],[BARANDA BALCON]])</f>
        <v>0</v>
      </c>
      <c r="CA478" s="3">
        <f>+IF(AVANCE[[#This Row],[OSB EXTERIOR]]=AM$2,100%,AVANCE[[#This Row],[OSB EXTERIOR]])</f>
        <v>0</v>
      </c>
      <c r="CB478" s="3">
        <f>+IF(AVANCE[[#This Row],[SMART PANEL]]=AN$2,100%,AVANCE[[#This Row],[SMART PANEL]])</f>
        <v>0</v>
      </c>
      <c r="CC478" s="3">
        <f>+IF(AVANCE[[#This Row],[PINTURA EXTERIOR]]=AO$2,100%,AVANCE[[#This Row],[PINTURA EXTERIOR]])</f>
        <v>0</v>
      </c>
      <c r="CD478" s="3">
        <f>+IF(AVANCE[[#This Row],[ZOCALOS LOGIA]]=AP$2,100%,AVANCE[[#This Row],[ZOCALOS LOGIA]])</f>
        <v>0</v>
      </c>
      <c r="CE478" s="3">
        <f>+IF(AVANCE[[#This Row],[MOLDURAS]]=AQ$2,100%,AVANCE[[#This Row],[MOLDURAS]])</f>
        <v>0</v>
      </c>
      <c r="CF478" s="3">
        <f>+IF(AVANCE[[#This Row],[PILASTREO]]=AR$2,100%,AVANCE[[#This Row],[PILASTREO]])</f>
        <v>0</v>
      </c>
      <c r="CG478" s="3">
        <f>+IF(AVANCE[[#This Row],[CELOSIAS]]=AS$2,100%,AVANCE[[#This Row],[CELOSIAS]])</f>
        <v>0</v>
      </c>
      <c r="CH478" s="3">
        <f>+IF(AVANCE[[#This Row],[VENTANAS]]=AT$2,100%,AVANCE[[#This Row],[VENTANAS]])</f>
        <v>0</v>
      </c>
      <c r="CI478" s="3">
        <f>+IF(AVANCE[[#This Row],[PUERTAS ACCESO - LOGIA - BANO]]=AU$2,100%,AVANCE[[#This Row],[PUERTAS ACCESO - LOGIA - BANO]])</f>
        <v>0</v>
      </c>
      <c r="CJ478" s="3">
        <f>+IF(AVANCE[[#This Row],[CERRADURAS]]=AV$2,100%,AVANCE[[#This Row],[CERRADURAS]])</f>
        <v>0</v>
      </c>
      <c r="CK478" s="3">
        <f>+IF(AVANCE[[#This Row],[REVESTIMIENTO INTERIOR ZONA SECA]]=AW$2,100%,AVANCE[[#This Row],[REVESTIMIENTO INTERIOR ZONA SECA]])</f>
        <v>0</v>
      </c>
      <c r="CL478" s="3">
        <f>+IF(AVANCE[[#This Row],[REVESTIMIENTO INTERIOR ZONAS HUMEDAS]]=AX$2,100%,AVANCE[[#This Row],[REVESTIMIENTO INTERIOR ZONAS HUMEDAS]])</f>
        <v>0</v>
      </c>
      <c r="CM478" s="3">
        <f>+IF(AVANCE[[#This Row],[MEMBRANA CIELO]]=AY$2,100%,AVANCE[[#This Row],[MEMBRANA CIELO]])</f>
        <v>0</v>
      </c>
      <c r="CN478" s="3">
        <f>+IF(AVANCE[[#This Row],[LIMPIEZA FINAL]]=AZ$2,100%,AVANCE[[#This Row],[LIMPIEZA FINAL]])</f>
        <v>0</v>
      </c>
      <c r="CO478" s="3">
        <f>+IF(AVANCE[[#This Row],[PUERTAS DORMITORIO]]=BA$2,100%,AVANCE[[#This Row],[PUERTAS DORMITORIO]])</f>
        <v>0</v>
      </c>
      <c r="CP478" s="3">
        <f>+IF(AVANCE[[#This Row],[REVESTIMIENTO INTERIOR BANO]]=BB$2,100%,AVANCE[[#This Row],[REVESTIMIENTO INTERIOR BANO]])</f>
        <v>0</v>
      </c>
      <c r="CQ478" s="3">
        <f>+IF(AVANCE[[#This Row],[MUEBLE LAVAPLATOS]]=BC$2,100%,AVANCE[[#This Row],[MUEBLE LAVAPLATOS]])</f>
        <v>0</v>
      </c>
      <c r="CR478" s="3">
        <f>+IF(AVANCE[[#This Row],[IMPERMEABILIZACION BANO - COCINA LOGIA]]=BD$2,100%,AVANCE[[#This Row],[IMPERMEABILIZACION BANO - COCINA LOGIA]])</f>
        <v>0</v>
      </c>
      <c r="CS478" s="40">
        <f ca="1">+IF(AVANCE[[#This Row],[ESTADO MODULO]]="PENDIENTE",(TODAY()-AVANCE[[#This Row],[FECHA TERMINO  PLANIFICADO]]),0)</f>
        <v>0</v>
      </c>
      <c r="CT478" s="41" t="str" cm="1">
        <f t="array" ref="CT478">_xlfn.TEXTJOIN(" | ",TRUE,IF(SUMPRODUCT((BG478:CR478&lt;1)*(PARTIDAS!$I$2:$AT$2="OBRA GRUESA"))&gt;0,"OBRA GRUESA: "&amp;_xlfn.TEXTJOIN(", ",TRUE,IF((BG478:CR478&lt;1)*(PARTIDAS!$I$2:$AT$2="OBRA GRUESA"),PARTIDAS!$I$1:$AT$1,"")),""),IF(SUMPRODUCT((BG478:CR478&lt;1)*(PARTIDAS!$I$2:$AT$2="SANITARIOS"))&gt;0,"SANITARIOS: "&amp;_xlfn.TEXTJOIN(", ",TRUE,IF((BG478:CR478&lt;1)*(PARTIDAS!$I$2:$AT$2="SANITARIOS"),PARTIDAS!$I$1:$AT$1,"")),""),IF(SUMPRODUCT((BG478:CR478&lt;1)*(PARTIDAS!$I$2:$AT$2="ELÉCTRICO"))&gt;0,"ELÉCTRICO: "&amp;_xlfn.TEXTJOIN(", ",TRUE,IF((BG478:CR478&lt;1)*(PARTIDAS!$I$2:$AT$2="ELÉCTRICO"),PARTIDAS!$I$1:$AT$1,"")),""),IF(SUMPRODUCT((BG478:CR478&lt;1)*(PARTIDAS!$I$2:$AT$2="TERMINACIONES"))&gt;0,"TERMINACIONES: "&amp;_xlfn.TEXTJOIN(", ",TRUE,IF((BG478:CR478&lt;1)*(PARTIDAS!$I$2:$AT$2="TERMINACIONES"),PARTIDAS!$I$1:$AT$1,"")),""))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8" s="43" t="str" cm="1">
        <f t="array" ref="CU478">_xlfn.TEXTJOIN(", ",TRUE,IF(SUMPRODUCT((BG478:CR478&lt;1)*(PARTIDAS!$I$2:$AT$2="OBRA GRUESA"))&gt;0,"OBRA GRUESA",""),IF(SUMPRODUCT((BG478:CR478&lt;1)*(PARTIDAS!$I$2:$AT$2="SANITARIOS"))&gt;0,"SANITARIOS",""),IF(SUMPRODUCT((BG478:CR478&lt;1)*(PARTIDAS!$I$2:$AT$2="ELÉCTRICO"))&gt;0,"ELÉCTRICO",""),IF(SUMPRODUCT((BG478:CR478&lt;1)*(PARTIDAS!$I$2:$AT$2="TERMINACIONES"))&gt;0,"TERMINACIONES",""))</f>
        <v>OBRA GRUESA, SANITARIOS, ELÉCTRICO, TERMINACIONES</v>
      </c>
      <c r="CV478" s="44" cm="1">
        <f t="array" ref="CV478">SUMPRODUCT(--(BG478:CR478&lt;1))</f>
        <v>38</v>
      </c>
    </row>
    <row r="479" spans="1:100" hidden="1" x14ac:dyDescent="0.25">
      <c r="A479" t="s">
        <v>520</v>
      </c>
      <c r="B479" t="s">
        <v>550</v>
      </c>
      <c r="C479">
        <v>2302600478</v>
      </c>
      <c r="D479" t="s">
        <v>60</v>
      </c>
      <c r="E479" s="2">
        <v>0</v>
      </c>
      <c r="F479" s="1">
        <v>46377</v>
      </c>
      <c r="G479" s="1"/>
      <c r="H479" s="1">
        <v>0</v>
      </c>
      <c r="I479" s="1">
        <v>46407</v>
      </c>
      <c r="J479">
        <v>46230</v>
      </c>
      <c r="K479" s="1"/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>
        <v>31.32</v>
      </c>
      <c r="BF479" s="3" t="str">
        <f>+IF(AVANCE[[#This Row],[% AVANCE]]=100%,"MODULO TERMINADO",IF(AVANCE[[#This Row],[FECHA INICIO REAL]]="","MODULO NO INICIADO","PENDIENTE"))</f>
        <v>MODULO NO INICIADO</v>
      </c>
      <c r="BG479" s="3">
        <f>+IF(AVANCE[[#This Row],[VENTANAS]]=8.10810810810811%,100%,AVANCE[[#This Row],[VENTANAS]])</f>
        <v>0</v>
      </c>
      <c r="BH479" s="3">
        <f>+IF(AVANCE[[#This Row],[PISO]]=N$2,100%,AVANCE[[#This Row],[PISO]])</f>
        <v>0</v>
      </c>
      <c r="BI479" s="3">
        <f>+IF(AVANCE[[#This Row],[TABIQUES]]=O$2,100%,AVANCE[[#This Row],[TABIQUES]])</f>
        <v>0</v>
      </c>
      <c r="BJ479" s="3">
        <f>+IF(AVANCE[[#This Row],[MUROS]]=P$2,100%,AVANCE[[#This Row],[MUROS]])</f>
        <v>0</v>
      </c>
      <c r="BK479" s="3">
        <f>+IF(AVANCE[[#This Row],[CIELO]]=Q$2,100%,AVANCE[[#This Row],[CIELO]])</f>
        <v>0</v>
      </c>
      <c r="BL479" s="3">
        <f>+IF(AVANCE[[#This Row],[BALCÓN]]=R$2,100%,AVANCE[[#This Row],[BALCÓN]])</f>
        <v>0</v>
      </c>
      <c r="BM479" s="3">
        <f>+IF(AVANCE[[#This Row],[RED ALCANTARILLADO]]=U$2,100%,AVANCE[[#This Row],[RED ALCANTARILLADO]])</f>
        <v>0</v>
      </c>
      <c r="BN479" s="3">
        <f>+IF(AVANCE[[#This Row],[RED DE AGUA]]=V$2,100%,AVANCE[[#This Row],[RED DE AGUA]])</f>
        <v>0</v>
      </c>
      <c r="BO479" s="3">
        <f>+IF(AVANCE[[#This Row],[VENTILACIONES]]=W$2,100%,AVANCE[[#This Row],[VENTILACIONES]])</f>
        <v>0</v>
      </c>
      <c r="BP479" s="3">
        <f>+IF(AVANCE[[#This Row],[TINA]]=X$2,100%,AVANCE[[#This Row],[TINA]])</f>
        <v>0</v>
      </c>
      <c r="BQ479" s="3">
        <f>+IF(AVANCE[[#This Row],[WC]]=Y$2,100%,AVANCE[[#This Row],[WC]])</f>
        <v>0</v>
      </c>
      <c r="BR479" s="3">
        <f>+IF(AVANCE[[#This Row],[LAVAMANOS / LAVAPLATOS / LAVADERO]]=Z$2,100%,AVANCE[[#This Row],[LAVAMANOS / LAVAPLATOS / LAVADERO]])</f>
        <v>0</v>
      </c>
      <c r="BS479" s="3">
        <f>+IF(AVANCE[[#This Row],[CANALIZACIÓN]]=AC$2,100%,AVANCE[[#This Row],[CANALIZACIÓN]])</f>
        <v>0</v>
      </c>
      <c r="BT479" s="3">
        <f>+IF(AVANCE[[#This Row],[CABLEADO]]=AD$2,100%,AVANCE[[#This Row],[CABLEADO]])</f>
        <v>0</v>
      </c>
      <c r="BU479" s="3">
        <f>+IF(AVANCE[[#This Row],[ARTEFACTOS]]=AE$2,100%,AVANCE[[#This Row],[ARTEFACTOS]])</f>
        <v>0</v>
      </c>
      <c r="BV479" s="3">
        <f>+IF(AVANCE[[#This Row],[TABLERO]]=AF$2,100%,AVANCE[[#This Row],[TABLERO]])</f>
        <v>0</v>
      </c>
      <c r="BW479" s="3">
        <f>+IF(AVANCE[[#This Row],[CAJA PAU]]=AG$2,100%,AVANCE[[#This Row],[CAJA PAU]])</f>
        <v>0</v>
      </c>
      <c r="BX479" s="3">
        <f>+IF(AVANCE[[#This Row],[INSTALACION VINILICO]]=AJ$2,100%,AVANCE[[#This Row],[INSTALACION VINILICO]])</f>
        <v>0</v>
      </c>
      <c r="BY479" s="3">
        <f>+IF(AVANCE[[#This Row],[OSB CUBIERTA]]=AK$2,100%,AVANCE[[#This Row],[OSB CUBIERTA]])</f>
        <v>0</v>
      </c>
      <c r="BZ479" s="3">
        <f>+IF(AVANCE[[#This Row],[BARANDA BALCON]]=AL$2,100%,AVANCE[[#This Row],[BARANDA BALCON]])</f>
        <v>0</v>
      </c>
      <c r="CA479" s="3">
        <f>+IF(AVANCE[[#This Row],[OSB EXTERIOR]]=AM$2,100%,AVANCE[[#This Row],[OSB EXTERIOR]])</f>
        <v>0</v>
      </c>
      <c r="CB479" s="3">
        <f>+IF(AVANCE[[#This Row],[SMART PANEL]]=AN$2,100%,AVANCE[[#This Row],[SMART PANEL]])</f>
        <v>0</v>
      </c>
      <c r="CC479" s="3">
        <f>+IF(AVANCE[[#This Row],[PINTURA EXTERIOR]]=AO$2,100%,AVANCE[[#This Row],[PINTURA EXTERIOR]])</f>
        <v>0</v>
      </c>
      <c r="CD479" s="3">
        <f>+IF(AVANCE[[#This Row],[ZOCALOS LOGIA]]=AP$2,100%,AVANCE[[#This Row],[ZOCALOS LOGIA]])</f>
        <v>0</v>
      </c>
      <c r="CE479" s="3">
        <f>+IF(AVANCE[[#This Row],[MOLDURAS]]=AQ$2,100%,AVANCE[[#This Row],[MOLDURAS]])</f>
        <v>0</v>
      </c>
      <c r="CF479" s="3">
        <f>+IF(AVANCE[[#This Row],[PILASTREO]]=AR$2,100%,AVANCE[[#This Row],[PILASTREO]])</f>
        <v>0</v>
      </c>
      <c r="CG479" s="3">
        <f>+IF(AVANCE[[#This Row],[CELOSIAS]]=AS$2,100%,AVANCE[[#This Row],[CELOSIAS]])</f>
        <v>0</v>
      </c>
      <c r="CH479" s="3">
        <f>+IF(AVANCE[[#This Row],[VENTANAS]]=AT$2,100%,AVANCE[[#This Row],[VENTANAS]])</f>
        <v>0</v>
      </c>
      <c r="CI479" s="3">
        <f>+IF(AVANCE[[#This Row],[PUERTAS ACCESO - LOGIA - BANO]]=AU$2,100%,AVANCE[[#This Row],[PUERTAS ACCESO - LOGIA - BANO]])</f>
        <v>0</v>
      </c>
      <c r="CJ479" s="3">
        <f>+IF(AVANCE[[#This Row],[CERRADURAS]]=AV$2,100%,AVANCE[[#This Row],[CERRADURAS]])</f>
        <v>0</v>
      </c>
      <c r="CK479" s="3">
        <f>+IF(AVANCE[[#This Row],[REVESTIMIENTO INTERIOR ZONA SECA]]=AW$2,100%,AVANCE[[#This Row],[REVESTIMIENTO INTERIOR ZONA SECA]])</f>
        <v>0</v>
      </c>
      <c r="CL479" s="3">
        <f>+IF(AVANCE[[#This Row],[REVESTIMIENTO INTERIOR ZONAS HUMEDAS]]=AX$2,100%,AVANCE[[#This Row],[REVESTIMIENTO INTERIOR ZONAS HUMEDAS]])</f>
        <v>0</v>
      </c>
      <c r="CM479" s="3">
        <f>+IF(AVANCE[[#This Row],[MEMBRANA CIELO]]=AY$2,100%,AVANCE[[#This Row],[MEMBRANA CIELO]])</f>
        <v>0</v>
      </c>
      <c r="CN479" s="3">
        <f>+IF(AVANCE[[#This Row],[LIMPIEZA FINAL]]=AZ$2,100%,AVANCE[[#This Row],[LIMPIEZA FINAL]])</f>
        <v>0</v>
      </c>
      <c r="CO479" s="3">
        <f>+IF(AVANCE[[#This Row],[PUERTAS DORMITORIO]]=BA$2,100%,AVANCE[[#This Row],[PUERTAS DORMITORIO]])</f>
        <v>0</v>
      </c>
      <c r="CP479" s="3">
        <f>+IF(AVANCE[[#This Row],[REVESTIMIENTO INTERIOR BANO]]=BB$2,100%,AVANCE[[#This Row],[REVESTIMIENTO INTERIOR BANO]])</f>
        <v>0</v>
      </c>
      <c r="CQ479" s="3">
        <f>+IF(AVANCE[[#This Row],[MUEBLE LAVAPLATOS]]=BC$2,100%,AVANCE[[#This Row],[MUEBLE LAVAPLATOS]])</f>
        <v>0</v>
      </c>
      <c r="CR479" s="3">
        <f>+IF(AVANCE[[#This Row],[IMPERMEABILIZACION BANO - COCINA LOGIA]]=BD$2,100%,AVANCE[[#This Row],[IMPERMEABILIZACION BANO - COCINA LOGIA]])</f>
        <v>0</v>
      </c>
      <c r="CS479" s="40">
        <f ca="1">+IF(AVANCE[[#This Row],[ESTADO MODULO]]="PENDIENTE",(TODAY()-AVANCE[[#This Row],[FECHA TERMINO  PLANIFICADO]]),0)</f>
        <v>0</v>
      </c>
      <c r="CT479" s="41" t="str" cm="1">
        <f t="array" ref="CT479">_xlfn.TEXTJOIN(" | ",TRUE,IF(SUMPRODUCT((BG479:CR479&lt;1)*(PARTIDAS!$I$2:$AT$2="OBRA GRUESA"))&gt;0,"OBRA GRUESA: "&amp;_xlfn.TEXTJOIN(", ",TRUE,IF((BG479:CR479&lt;1)*(PARTIDAS!$I$2:$AT$2="OBRA GRUESA"),PARTIDAS!$I$1:$AT$1,"")),""),IF(SUMPRODUCT((BG479:CR479&lt;1)*(PARTIDAS!$I$2:$AT$2="SANITARIOS"))&gt;0,"SANITARIOS: "&amp;_xlfn.TEXTJOIN(", ",TRUE,IF((BG479:CR479&lt;1)*(PARTIDAS!$I$2:$AT$2="SANITARIOS"),PARTIDAS!$I$1:$AT$1,"")),""),IF(SUMPRODUCT((BG479:CR479&lt;1)*(PARTIDAS!$I$2:$AT$2="ELÉCTRICO"))&gt;0,"ELÉCTRICO: "&amp;_xlfn.TEXTJOIN(", ",TRUE,IF((BG479:CR479&lt;1)*(PARTIDAS!$I$2:$AT$2="ELÉCTRICO"),PARTIDAS!$I$1:$AT$1,"")),""),IF(SUMPRODUCT((BG479:CR479&lt;1)*(PARTIDAS!$I$2:$AT$2="TERMINACIONES"))&gt;0,"TERMINACIONES: "&amp;_xlfn.TEXTJOIN(", ",TRUE,IF((BG479:CR479&lt;1)*(PARTIDAS!$I$2:$AT$2="TERMINACIONES"),PARTIDAS!$I$1:$AT$1,"")),""))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79" s="43" t="str" cm="1">
        <f t="array" ref="CU479">_xlfn.TEXTJOIN(", ",TRUE,IF(SUMPRODUCT((BG479:CR479&lt;1)*(PARTIDAS!$I$2:$AT$2="OBRA GRUESA"))&gt;0,"OBRA GRUESA",""),IF(SUMPRODUCT((BG479:CR479&lt;1)*(PARTIDAS!$I$2:$AT$2="SANITARIOS"))&gt;0,"SANITARIOS",""),IF(SUMPRODUCT((BG479:CR479&lt;1)*(PARTIDAS!$I$2:$AT$2="ELÉCTRICO"))&gt;0,"ELÉCTRICO",""),IF(SUMPRODUCT((BG479:CR479&lt;1)*(PARTIDAS!$I$2:$AT$2="TERMINACIONES"))&gt;0,"TERMINACIONES",""))</f>
        <v>OBRA GRUESA, SANITARIOS, ELÉCTRICO, TERMINACIONES</v>
      </c>
      <c r="CV479" s="44" cm="1">
        <f t="array" ref="CV479">SUMPRODUCT(--(BG479:CR479&lt;1))</f>
        <v>38</v>
      </c>
    </row>
    <row r="480" spans="1:100" hidden="1" x14ac:dyDescent="0.25">
      <c r="A480" t="s">
        <v>520</v>
      </c>
      <c r="B480" t="s">
        <v>551</v>
      </c>
      <c r="C480">
        <v>2302600479</v>
      </c>
      <c r="D480" t="s">
        <v>60</v>
      </c>
      <c r="E480" s="2">
        <v>0</v>
      </c>
      <c r="F480" s="1">
        <v>46378</v>
      </c>
      <c r="G480" s="1"/>
      <c r="H480" s="1">
        <v>0</v>
      </c>
      <c r="I480" s="1">
        <v>46408</v>
      </c>
      <c r="J480">
        <v>46230</v>
      </c>
      <c r="K480" s="1"/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>
        <v>31.32</v>
      </c>
      <c r="BF480" s="3" t="str">
        <f>+IF(AVANCE[[#This Row],[% AVANCE]]=100%,"MODULO TERMINADO",IF(AVANCE[[#This Row],[FECHA INICIO REAL]]="","MODULO NO INICIADO","PENDIENTE"))</f>
        <v>MODULO NO INICIADO</v>
      </c>
      <c r="BG480" s="3">
        <f>+IF(AVANCE[[#This Row],[VENTANAS]]=8.10810810810811%,100%,AVANCE[[#This Row],[VENTANAS]])</f>
        <v>0</v>
      </c>
      <c r="BH480" s="3">
        <f>+IF(AVANCE[[#This Row],[PISO]]=N$2,100%,AVANCE[[#This Row],[PISO]])</f>
        <v>0</v>
      </c>
      <c r="BI480" s="3">
        <f>+IF(AVANCE[[#This Row],[TABIQUES]]=O$2,100%,AVANCE[[#This Row],[TABIQUES]])</f>
        <v>0</v>
      </c>
      <c r="BJ480" s="3">
        <f>+IF(AVANCE[[#This Row],[MUROS]]=P$2,100%,AVANCE[[#This Row],[MUROS]])</f>
        <v>0</v>
      </c>
      <c r="BK480" s="3">
        <f>+IF(AVANCE[[#This Row],[CIELO]]=Q$2,100%,AVANCE[[#This Row],[CIELO]])</f>
        <v>0</v>
      </c>
      <c r="BL480" s="3">
        <f>+IF(AVANCE[[#This Row],[BALCÓN]]=R$2,100%,AVANCE[[#This Row],[BALCÓN]])</f>
        <v>0</v>
      </c>
      <c r="BM480" s="3">
        <f>+IF(AVANCE[[#This Row],[RED ALCANTARILLADO]]=U$2,100%,AVANCE[[#This Row],[RED ALCANTARILLADO]])</f>
        <v>0</v>
      </c>
      <c r="BN480" s="3">
        <f>+IF(AVANCE[[#This Row],[RED DE AGUA]]=V$2,100%,AVANCE[[#This Row],[RED DE AGUA]])</f>
        <v>0</v>
      </c>
      <c r="BO480" s="3">
        <f>+IF(AVANCE[[#This Row],[VENTILACIONES]]=W$2,100%,AVANCE[[#This Row],[VENTILACIONES]])</f>
        <v>0</v>
      </c>
      <c r="BP480" s="3">
        <f>+IF(AVANCE[[#This Row],[TINA]]=X$2,100%,AVANCE[[#This Row],[TINA]])</f>
        <v>0</v>
      </c>
      <c r="BQ480" s="3">
        <f>+IF(AVANCE[[#This Row],[WC]]=Y$2,100%,AVANCE[[#This Row],[WC]])</f>
        <v>0</v>
      </c>
      <c r="BR480" s="3">
        <f>+IF(AVANCE[[#This Row],[LAVAMANOS / LAVAPLATOS / LAVADERO]]=Z$2,100%,AVANCE[[#This Row],[LAVAMANOS / LAVAPLATOS / LAVADERO]])</f>
        <v>0</v>
      </c>
      <c r="BS480" s="3">
        <f>+IF(AVANCE[[#This Row],[CANALIZACIÓN]]=AC$2,100%,AVANCE[[#This Row],[CANALIZACIÓN]])</f>
        <v>0</v>
      </c>
      <c r="BT480" s="3">
        <f>+IF(AVANCE[[#This Row],[CABLEADO]]=AD$2,100%,AVANCE[[#This Row],[CABLEADO]])</f>
        <v>0</v>
      </c>
      <c r="BU480" s="3">
        <f>+IF(AVANCE[[#This Row],[ARTEFACTOS]]=AE$2,100%,AVANCE[[#This Row],[ARTEFACTOS]])</f>
        <v>0</v>
      </c>
      <c r="BV480" s="3">
        <f>+IF(AVANCE[[#This Row],[TABLERO]]=AF$2,100%,AVANCE[[#This Row],[TABLERO]])</f>
        <v>0</v>
      </c>
      <c r="BW480" s="3">
        <f>+IF(AVANCE[[#This Row],[CAJA PAU]]=AG$2,100%,AVANCE[[#This Row],[CAJA PAU]])</f>
        <v>0</v>
      </c>
      <c r="BX480" s="3">
        <f>+IF(AVANCE[[#This Row],[INSTALACION VINILICO]]=AJ$2,100%,AVANCE[[#This Row],[INSTALACION VINILICO]])</f>
        <v>0</v>
      </c>
      <c r="BY480" s="3">
        <f>+IF(AVANCE[[#This Row],[OSB CUBIERTA]]=AK$2,100%,AVANCE[[#This Row],[OSB CUBIERTA]])</f>
        <v>0</v>
      </c>
      <c r="BZ480" s="3">
        <f>+IF(AVANCE[[#This Row],[BARANDA BALCON]]=AL$2,100%,AVANCE[[#This Row],[BARANDA BALCON]])</f>
        <v>0</v>
      </c>
      <c r="CA480" s="3">
        <f>+IF(AVANCE[[#This Row],[OSB EXTERIOR]]=AM$2,100%,AVANCE[[#This Row],[OSB EXTERIOR]])</f>
        <v>0</v>
      </c>
      <c r="CB480" s="3">
        <f>+IF(AVANCE[[#This Row],[SMART PANEL]]=AN$2,100%,AVANCE[[#This Row],[SMART PANEL]])</f>
        <v>0</v>
      </c>
      <c r="CC480" s="3">
        <f>+IF(AVANCE[[#This Row],[PINTURA EXTERIOR]]=AO$2,100%,AVANCE[[#This Row],[PINTURA EXTERIOR]])</f>
        <v>0</v>
      </c>
      <c r="CD480" s="3">
        <f>+IF(AVANCE[[#This Row],[ZOCALOS LOGIA]]=AP$2,100%,AVANCE[[#This Row],[ZOCALOS LOGIA]])</f>
        <v>0</v>
      </c>
      <c r="CE480" s="3">
        <f>+IF(AVANCE[[#This Row],[MOLDURAS]]=AQ$2,100%,AVANCE[[#This Row],[MOLDURAS]])</f>
        <v>0</v>
      </c>
      <c r="CF480" s="3">
        <f>+IF(AVANCE[[#This Row],[PILASTREO]]=AR$2,100%,AVANCE[[#This Row],[PILASTREO]])</f>
        <v>0</v>
      </c>
      <c r="CG480" s="3">
        <f>+IF(AVANCE[[#This Row],[CELOSIAS]]=AS$2,100%,AVANCE[[#This Row],[CELOSIAS]])</f>
        <v>0</v>
      </c>
      <c r="CH480" s="3">
        <f>+IF(AVANCE[[#This Row],[VENTANAS]]=AT$2,100%,AVANCE[[#This Row],[VENTANAS]])</f>
        <v>0</v>
      </c>
      <c r="CI480" s="3">
        <f>+IF(AVANCE[[#This Row],[PUERTAS ACCESO - LOGIA - BANO]]=AU$2,100%,AVANCE[[#This Row],[PUERTAS ACCESO - LOGIA - BANO]])</f>
        <v>0</v>
      </c>
      <c r="CJ480" s="3">
        <f>+IF(AVANCE[[#This Row],[CERRADURAS]]=AV$2,100%,AVANCE[[#This Row],[CERRADURAS]])</f>
        <v>0</v>
      </c>
      <c r="CK480" s="3">
        <f>+IF(AVANCE[[#This Row],[REVESTIMIENTO INTERIOR ZONA SECA]]=AW$2,100%,AVANCE[[#This Row],[REVESTIMIENTO INTERIOR ZONA SECA]])</f>
        <v>0</v>
      </c>
      <c r="CL480" s="3">
        <f>+IF(AVANCE[[#This Row],[REVESTIMIENTO INTERIOR ZONAS HUMEDAS]]=AX$2,100%,AVANCE[[#This Row],[REVESTIMIENTO INTERIOR ZONAS HUMEDAS]])</f>
        <v>0</v>
      </c>
      <c r="CM480" s="3">
        <f>+IF(AVANCE[[#This Row],[MEMBRANA CIELO]]=AY$2,100%,AVANCE[[#This Row],[MEMBRANA CIELO]])</f>
        <v>0</v>
      </c>
      <c r="CN480" s="3">
        <f>+IF(AVANCE[[#This Row],[LIMPIEZA FINAL]]=AZ$2,100%,AVANCE[[#This Row],[LIMPIEZA FINAL]])</f>
        <v>0</v>
      </c>
      <c r="CO480" s="3">
        <f>+IF(AVANCE[[#This Row],[PUERTAS DORMITORIO]]=BA$2,100%,AVANCE[[#This Row],[PUERTAS DORMITORIO]])</f>
        <v>0</v>
      </c>
      <c r="CP480" s="3">
        <f>+IF(AVANCE[[#This Row],[REVESTIMIENTO INTERIOR BANO]]=BB$2,100%,AVANCE[[#This Row],[REVESTIMIENTO INTERIOR BANO]])</f>
        <v>0</v>
      </c>
      <c r="CQ480" s="3">
        <f>+IF(AVANCE[[#This Row],[MUEBLE LAVAPLATOS]]=BC$2,100%,AVANCE[[#This Row],[MUEBLE LAVAPLATOS]])</f>
        <v>0</v>
      </c>
      <c r="CR480" s="3">
        <f>+IF(AVANCE[[#This Row],[IMPERMEABILIZACION BANO - COCINA LOGIA]]=BD$2,100%,AVANCE[[#This Row],[IMPERMEABILIZACION BANO - COCINA LOGIA]])</f>
        <v>0</v>
      </c>
      <c r="CS480" s="40">
        <f ca="1">+IF(AVANCE[[#This Row],[ESTADO MODULO]]="PENDIENTE",(TODAY()-AVANCE[[#This Row],[FECHA TERMINO  PLANIFICADO]]),0)</f>
        <v>0</v>
      </c>
      <c r="CT480" s="41" t="str" cm="1">
        <f t="array" ref="CT480">_xlfn.TEXTJOIN(" | ",TRUE,IF(SUMPRODUCT((BG480:CR480&lt;1)*(PARTIDAS!$I$2:$AT$2="OBRA GRUESA"))&gt;0,"OBRA GRUESA: "&amp;_xlfn.TEXTJOIN(", ",TRUE,IF((BG480:CR480&lt;1)*(PARTIDAS!$I$2:$AT$2="OBRA GRUESA"),PARTIDAS!$I$1:$AT$1,"")),""),IF(SUMPRODUCT((BG480:CR480&lt;1)*(PARTIDAS!$I$2:$AT$2="SANITARIOS"))&gt;0,"SANITARIOS: "&amp;_xlfn.TEXTJOIN(", ",TRUE,IF((BG480:CR480&lt;1)*(PARTIDAS!$I$2:$AT$2="SANITARIOS"),PARTIDAS!$I$1:$AT$1,"")),""),IF(SUMPRODUCT((BG480:CR480&lt;1)*(PARTIDAS!$I$2:$AT$2="ELÉCTRICO"))&gt;0,"ELÉCTRICO: "&amp;_xlfn.TEXTJOIN(", ",TRUE,IF((BG480:CR480&lt;1)*(PARTIDAS!$I$2:$AT$2="ELÉCTRICO"),PARTIDAS!$I$1:$AT$1,"")),""),IF(SUMPRODUCT((BG480:CR480&lt;1)*(PARTIDAS!$I$2:$AT$2="TERMINACIONES"))&gt;0,"TERMINACIONES: "&amp;_xlfn.TEXTJOIN(", ",TRUE,IF((BG480:CR480&lt;1)*(PARTIDAS!$I$2:$AT$2="TERMINACIONES"),PARTIDAS!$I$1:$AT$1,"")),""))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0" s="43" t="str" cm="1">
        <f t="array" ref="CU480">_xlfn.TEXTJOIN(", ",TRUE,IF(SUMPRODUCT((BG480:CR480&lt;1)*(PARTIDAS!$I$2:$AT$2="OBRA GRUESA"))&gt;0,"OBRA GRUESA",""),IF(SUMPRODUCT((BG480:CR480&lt;1)*(PARTIDAS!$I$2:$AT$2="SANITARIOS"))&gt;0,"SANITARIOS",""),IF(SUMPRODUCT((BG480:CR480&lt;1)*(PARTIDAS!$I$2:$AT$2="ELÉCTRICO"))&gt;0,"ELÉCTRICO",""),IF(SUMPRODUCT((BG480:CR480&lt;1)*(PARTIDAS!$I$2:$AT$2="TERMINACIONES"))&gt;0,"TERMINACIONES",""))</f>
        <v>OBRA GRUESA, SANITARIOS, ELÉCTRICO, TERMINACIONES</v>
      </c>
      <c r="CV480" s="44" cm="1">
        <f t="array" ref="CV480">SUMPRODUCT(--(BG480:CR480&lt;1))</f>
        <v>38</v>
      </c>
    </row>
    <row r="481" spans="1:100" hidden="1" x14ac:dyDescent="0.25">
      <c r="A481" t="s">
        <v>520</v>
      </c>
      <c r="B481" t="s">
        <v>552</v>
      </c>
      <c r="C481">
        <v>2282600480</v>
      </c>
      <c r="D481" t="s">
        <v>58</v>
      </c>
      <c r="E481" s="2">
        <v>0</v>
      </c>
      <c r="F481" s="1">
        <v>46378</v>
      </c>
      <c r="G481" s="1"/>
      <c r="H481" s="1">
        <v>0</v>
      </c>
      <c r="I481" s="1">
        <v>46398</v>
      </c>
      <c r="J481">
        <v>46230</v>
      </c>
      <c r="K481" s="1"/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>
        <v>28.87</v>
      </c>
      <c r="BF481" s="3" t="str">
        <f>+IF(AVANCE[[#This Row],[% AVANCE]]=100%,"MODULO TERMINADO",IF(AVANCE[[#This Row],[FECHA INICIO REAL]]="","MODULO NO INICIADO","PENDIENTE"))</f>
        <v>MODULO NO INICIADO</v>
      </c>
      <c r="BG481" s="3">
        <f>+IF(AVANCE[[#This Row],[VENTANAS]]=8.10810810810811%,100%,AVANCE[[#This Row],[VENTANAS]])</f>
        <v>0</v>
      </c>
      <c r="BH481" s="3">
        <f>+IF(AVANCE[[#This Row],[PISO]]=N$2,100%,AVANCE[[#This Row],[PISO]])</f>
        <v>0</v>
      </c>
      <c r="BI481" s="3">
        <f>+IF(AVANCE[[#This Row],[TABIQUES]]=O$2,100%,AVANCE[[#This Row],[TABIQUES]])</f>
        <v>0</v>
      </c>
      <c r="BJ481" s="3">
        <f>+IF(AVANCE[[#This Row],[MUROS]]=P$2,100%,AVANCE[[#This Row],[MUROS]])</f>
        <v>0</v>
      </c>
      <c r="BK481" s="3">
        <f>+IF(AVANCE[[#This Row],[CIELO]]=Q$2,100%,AVANCE[[#This Row],[CIELO]])</f>
        <v>0</v>
      </c>
      <c r="BL481" s="3">
        <f>+IF(AVANCE[[#This Row],[BALCÓN]]=R$2,100%,AVANCE[[#This Row],[BALCÓN]])</f>
        <v>0</v>
      </c>
      <c r="BM481" s="3">
        <f>+IF(AVANCE[[#This Row],[RED ALCANTARILLADO]]=U$2,100%,AVANCE[[#This Row],[RED ALCANTARILLADO]])</f>
        <v>0</v>
      </c>
      <c r="BN481" s="3">
        <f>+IF(AVANCE[[#This Row],[RED DE AGUA]]=V$2,100%,AVANCE[[#This Row],[RED DE AGUA]])</f>
        <v>0</v>
      </c>
      <c r="BO481" s="3">
        <f>+IF(AVANCE[[#This Row],[VENTILACIONES]]=W$2,100%,AVANCE[[#This Row],[VENTILACIONES]])</f>
        <v>0</v>
      </c>
      <c r="BP481" s="3">
        <f>+IF(AVANCE[[#This Row],[TINA]]=X$2,100%,AVANCE[[#This Row],[TINA]])</f>
        <v>0</v>
      </c>
      <c r="BQ481" s="3">
        <f>+IF(AVANCE[[#This Row],[WC]]=Y$2,100%,AVANCE[[#This Row],[WC]])</f>
        <v>0</v>
      </c>
      <c r="BR481" s="3">
        <f>+IF(AVANCE[[#This Row],[LAVAMANOS / LAVAPLATOS / LAVADERO]]=Z$2,100%,AVANCE[[#This Row],[LAVAMANOS / LAVAPLATOS / LAVADERO]])</f>
        <v>0</v>
      </c>
      <c r="BS481" s="3">
        <f>+IF(AVANCE[[#This Row],[CANALIZACIÓN]]=AC$2,100%,AVANCE[[#This Row],[CANALIZACIÓN]])</f>
        <v>0</v>
      </c>
      <c r="BT481" s="3">
        <f>+IF(AVANCE[[#This Row],[CABLEADO]]=AD$2,100%,AVANCE[[#This Row],[CABLEADO]])</f>
        <v>0</v>
      </c>
      <c r="BU481" s="3">
        <f>+IF(AVANCE[[#This Row],[ARTEFACTOS]]=AE$2,100%,AVANCE[[#This Row],[ARTEFACTOS]])</f>
        <v>0</v>
      </c>
      <c r="BV481" s="3">
        <f>+IF(AVANCE[[#This Row],[TABLERO]]=AF$2,100%,AVANCE[[#This Row],[TABLERO]])</f>
        <v>0</v>
      </c>
      <c r="BW481" s="3">
        <f>+IF(AVANCE[[#This Row],[CAJA PAU]]=AG$2,100%,AVANCE[[#This Row],[CAJA PAU]])</f>
        <v>0</v>
      </c>
      <c r="BX481" s="3">
        <f>+IF(AVANCE[[#This Row],[INSTALACION VINILICO]]=AJ$2,100%,AVANCE[[#This Row],[INSTALACION VINILICO]])</f>
        <v>0</v>
      </c>
      <c r="BY481" s="3">
        <f>+IF(AVANCE[[#This Row],[OSB CUBIERTA]]=AK$2,100%,AVANCE[[#This Row],[OSB CUBIERTA]])</f>
        <v>0</v>
      </c>
      <c r="BZ481" s="3">
        <f>+IF(AVANCE[[#This Row],[BARANDA BALCON]]=AL$2,100%,AVANCE[[#This Row],[BARANDA BALCON]])</f>
        <v>0</v>
      </c>
      <c r="CA481" s="3">
        <f>+IF(AVANCE[[#This Row],[OSB EXTERIOR]]=AM$2,100%,AVANCE[[#This Row],[OSB EXTERIOR]])</f>
        <v>0</v>
      </c>
      <c r="CB481" s="3">
        <f>+IF(AVANCE[[#This Row],[SMART PANEL]]=AN$2,100%,AVANCE[[#This Row],[SMART PANEL]])</f>
        <v>0</v>
      </c>
      <c r="CC481" s="3">
        <f>+IF(AVANCE[[#This Row],[PINTURA EXTERIOR]]=AO$2,100%,AVANCE[[#This Row],[PINTURA EXTERIOR]])</f>
        <v>0</v>
      </c>
      <c r="CD481" s="3">
        <f>+IF(AVANCE[[#This Row],[ZOCALOS LOGIA]]=AP$2,100%,AVANCE[[#This Row],[ZOCALOS LOGIA]])</f>
        <v>0</v>
      </c>
      <c r="CE481" s="3">
        <f>+IF(AVANCE[[#This Row],[MOLDURAS]]=AQ$2,100%,AVANCE[[#This Row],[MOLDURAS]])</f>
        <v>0</v>
      </c>
      <c r="CF481" s="3">
        <f>+IF(AVANCE[[#This Row],[PILASTREO]]=AR$2,100%,AVANCE[[#This Row],[PILASTREO]])</f>
        <v>0</v>
      </c>
      <c r="CG481" s="3">
        <f>+IF(AVANCE[[#This Row],[CELOSIAS]]=AS$2,100%,AVANCE[[#This Row],[CELOSIAS]])</f>
        <v>0</v>
      </c>
      <c r="CH481" s="3">
        <f>+IF(AVANCE[[#This Row],[VENTANAS]]=AT$2,100%,AVANCE[[#This Row],[VENTANAS]])</f>
        <v>0</v>
      </c>
      <c r="CI481" s="3">
        <f>+IF(AVANCE[[#This Row],[PUERTAS ACCESO - LOGIA - BANO]]=AU$2,100%,AVANCE[[#This Row],[PUERTAS ACCESO - LOGIA - BANO]])</f>
        <v>0</v>
      </c>
      <c r="CJ481" s="3">
        <f>+IF(AVANCE[[#This Row],[CERRADURAS]]=AV$2,100%,AVANCE[[#This Row],[CERRADURAS]])</f>
        <v>0</v>
      </c>
      <c r="CK481" s="3">
        <f>+IF(AVANCE[[#This Row],[REVESTIMIENTO INTERIOR ZONA SECA]]=AW$2,100%,AVANCE[[#This Row],[REVESTIMIENTO INTERIOR ZONA SECA]])</f>
        <v>0</v>
      </c>
      <c r="CL481" s="3">
        <f>+IF(AVANCE[[#This Row],[REVESTIMIENTO INTERIOR ZONAS HUMEDAS]]=AX$2,100%,AVANCE[[#This Row],[REVESTIMIENTO INTERIOR ZONAS HUMEDAS]])</f>
        <v>0</v>
      </c>
      <c r="CM481" s="3">
        <f>+IF(AVANCE[[#This Row],[MEMBRANA CIELO]]=AY$2,100%,AVANCE[[#This Row],[MEMBRANA CIELO]])</f>
        <v>0</v>
      </c>
      <c r="CN481" s="3">
        <f>+IF(AVANCE[[#This Row],[LIMPIEZA FINAL]]=AZ$2,100%,AVANCE[[#This Row],[LIMPIEZA FINAL]])</f>
        <v>0</v>
      </c>
      <c r="CO481" s="3">
        <f>+IF(AVANCE[[#This Row],[PUERTAS DORMITORIO]]=BA$2,100%,AVANCE[[#This Row],[PUERTAS DORMITORIO]])</f>
        <v>0</v>
      </c>
      <c r="CP481" s="3">
        <f>+IF(AVANCE[[#This Row],[REVESTIMIENTO INTERIOR BANO]]=BB$2,100%,AVANCE[[#This Row],[REVESTIMIENTO INTERIOR BANO]])</f>
        <v>0</v>
      </c>
      <c r="CQ481" s="3">
        <f>+IF(AVANCE[[#This Row],[MUEBLE LAVAPLATOS]]=BC$2,100%,AVANCE[[#This Row],[MUEBLE LAVAPLATOS]])</f>
        <v>0</v>
      </c>
      <c r="CR481" s="3">
        <f>+IF(AVANCE[[#This Row],[IMPERMEABILIZACION BANO - COCINA LOGIA]]=BD$2,100%,AVANCE[[#This Row],[IMPERMEABILIZACION BANO - COCINA LOGIA]])</f>
        <v>0</v>
      </c>
      <c r="CS481" s="40">
        <f ca="1">+IF(AVANCE[[#This Row],[ESTADO MODULO]]="PENDIENTE",(TODAY()-AVANCE[[#This Row],[FECHA TERMINO  PLANIFICADO]]),0)</f>
        <v>0</v>
      </c>
      <c r="CT481" s="41" t="str" cm="1">
        <f t="array" ref="CT481">_xlfn.TEXTJOIN(" | ",TRUE,IF(SUMPRODUCT((BG481:CR481&lt;1)*(PARTIDAS!$I$2:$AT$2="OBRA GRUESA"))&gt;0,"OBRA GRUESA: "&amp;_xlfn.TEXTJOIN(", ",TRUE,IF((BG481:CR481&lt;1)*(PARTIDAS!$I$2:$AT$2="OBRA GRUESA"),PARTIDAS!$I$1:$AT$1,"")),""),IF(SUMPRODUCT((BG481:CR481&lt;1)*(PARTIDAS!$I$2:$AT$2="SANITARIOS"))&gt;0,"SANITARIOS: "&amp;_xlfn.TEXTJOIN(", ",TRUE,IF((BG481:CR481&lt;1)*(PARTIDAS!$I$2:$AT$2="SANITARIOS"),PARTIDAS!$I$1:$AT$1,"")),""),IF(SUMPRODUCT((BG481:CR481&lt;1)*(PARTIDAS!$I$2:$AT$2="ELÉCTRICO"))&gt;0,"ELÉCTRICO: "&amp;_xlfn.TEXTJOIN(", ",TRUE,IF((BG481:CR481&lt;1)*(PARTIDAS!$I$2:$AT$2="ELÉCTRICO"),PARTIDAS!$I$1:$AT$1,"")),""),IF(SUMPRODUCT((BG481:CR481&lt;1)*(PARTIDAS!$I$2:$AT$2="TERMINACIONES"))&gt;0,"TERMINACIONES: "&amp;_xlfn.TEXTJOIN(", ",TRUE,IF((BG481:CR481&lt;1)*(PARTIDAS!$I$2:$AT$2="TERMINACIONES"),PARTIDAS!$I$1:$AT$1,"")),""))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1" s="43" t="str" cm="1">
        <f t="array" ref="CU481">_xlfn.TEXTJOIN(", ",TRUE,IF(SUMPRODUCT((BG481:CR481&lt;1)*(PARTIDAS!$I$2:$AT$2="OBRA GRUESA"))&gt;0,"OBRA GRUESA",""),IF(SUMPRODUCT((BG481:CR481&lt;1)*(PARTIDAS!$I$2:$AT$2="SANITARIOS"))&gt;0,"SANITARIOS",""),IF(SUMPRODUCT((BG481:CR481&lt;1)*(PARTIDAS!$I$2:$AT$2="ELÉCTRICO"))&gt;0,"ELÉCTRICO",""),IF(SUMPRODUCT((BG481:CR481&lt;1)*(PARTIDAS!$I$2:$AT$2="TERMINACIONES"))&gt;0,"TERMINACIONES",""))</f>
        <v>OBRA GRUESA, SANITARIOS, ELÉCTRICO, TERMINACIONES</v>
      </c>
      <c r="CV481" s="44" cm="1">
        <f t="array" ref="CV481">SUMPRODUCT(--(BG481:CR481&lt;1))</f>
        <v>38</v>
      </c>
    </row>
    <row r="482" spans="1:100" hidden="1" x14ac:dyDescent="0.25">
      <c r="A482" t="s">
        <v>553</v>
      </c>
      <c r="B482" t="s">
        <v>554</v>
      </c>
      <c r="C482">
        <v>2282600481</v>
      </c>
      <c r="D482" t="s">
        <v>58</v>
      </c>
      <c r="E482" s="2">
        <v>0</v>
      </c>
      <c r="F482" s="1">
        <v>46378</v>
      </c>
      <c r="G482" s="1"/>
      <c r="H482" s="1">
        <v>0</v>
      </c>
      <c r="I482" s="1">
        <v>46398</v>
      </c>
      <c r="J482">
        <v>46230</v>
      </c>
      <c r="K482" s="1"/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>
        <v>28.87</v>
      </c>
      <c r="BF482" s="3" t="str">
        <f>+IF(AVANCE[[#This Row],[% AVANCE]]=100%,"MODULO TERMINADO",IF(AVANCE[[#This Row],[FECHA INICIO REAL]]="","MODULO NO INICIADO","PENDIENTE"))</f>
        <v>MODULO NO INICIADO</v>
      </c>
      <c r="BG482" s="3">
        <f>+IF(AVANCE[[#This Row],[VENTANAS]]=8.10810810810811%,100%,AVANCE[[#This Row],[VENTANAS]])</f>
        <v>0</v>
      </c>
      <c r="BH482" s="3">
        <f>+IF(AVANCE[[#This Row],[PISO]]=N$2,100%,AVANCE[[#This Row],[PISO]])</f>
        <v>0</v>
      </c>
      <c r="BI482" s="3">
        <f>+IF(AVANCE[[#This Row],[TABIQUES]]=O$2,100%,AVANCE[[#This Row],[TABIQUES]])</f>
        <v>0</v>
      </c>
      <c r="BJ482" s="3">
        <f>+IF(AVANCE[[#This Row],[MUROS]]=P$2,100%,AVANCE[[#This Row],[MUROS]])</f>
        <v>0</v>
      </c>
      <c r="BK482" s="3">
        <f>+IF(AVANCE[[#This Row],[CIELO]]=Q$2,100%,AVANCE[[#This Row],[CIELO]])</f>
        <v>0</v>
      </c>
      <c r="BL482" s="3">
        <f>+IF(AVANCE[[#This Row],[BALCÓN]]=R$2,100%,AVANCE[[#This Row],[BALCÓN]])</f>
        <v>0</v>
      </c>
      <c r="BM482" s="3">
        <f>+IF(AVANCE[[#This Row],[RED ALCANTARILLADO]]=U$2,100%,AVANCE[[#This Row],[RED ALCANTARILLADO]])</f>
        <v>0</v>
      </c>
      <c r="BN482" s="3">
        <f>+IF(AVANCE[[#This Row],[RED DE AGUA]]=V$2,100%,AVANCE[[#This Row],[RED DE AGUA]])</f>
        <v>0</v>
      </c>
      <c r="BO482" s="3">
        <f>+IF(AVANCE[[#This Row],[VENTILACIONES]]=W$2,100%,AVANCE[[#This Row],[VENTILACIONES]])</f>
        <v>0</v>
      </c>
      <c r="BP482" s="3">
        <f>+IF(AVANCE[[#This Row],[TINA]]=X$2,100%,AVANCE[[#This Row],[TINA]])</f>
        <v>0</v>
      </c>
      <c r="BQ482" s="3">
        <f>+IF(AVANCE[[#This Row],[WC]]=Y$2,100%,AVANCE[[#This Row],[WC]])</f>
        <v>0</v>
      </c>
      <c r="BR482" s="3">
        <f>+IF(AVANCE[[#This Row],[LAVAMANOS / LAVAPLATOS / LAVADERO]]=Z$2,100%,AVANCE[[#This Row],[LAVAMANOS / LAVAPLATOS / LAVADERO]])</f>
        <v>0</v>
      </c>
      <c r="BS482" s="3">
        <f>+IF(AVANCE[[#This Row],[CANALIZACIÓN]]=AC$2,100%,AVANCE[[#This Row],[CANALIZACIÓN]])</f>
        <v>0</v>
      </c>
      <c r="BT482" s="3">
        <f>+IF(AVANCE[[#This Row],[CABLEADO]]=AD$2,100%,AVANCE[[#This Row],[CABLEADO]])</f>
        <v>0</v>
      </c>
      <c r="BU482" s="3">
        <f>+IF(AVANCE[[#This Row],[ARTEFACTOS]]=AE$2,100%,AVANCE[[#This Row],[ARTEFACTOS]])</f>
        <v>0</v>
      </c>
      <c r="BV482" s="3">
        <f>+IF(AVANCE[[#This Row],[TABLERO]]=AF$2,100%,AVANCE[[#This Row],[TABLERO]])</f>
        <v>0</v>
      </c>
      <c r="BW482" s="3">
        <f>+IF(AVANCE[[#This Row],[CAJA PAU]]=AG$2,100%,AVANCE[[#This Row],[CAJA PAU]])</f>
        <v>0</v>
      </c>
      <c r="BX482" s="3">
        <f>+IF(AVANCE[[#This Row],[INSTALACION VINILICO]]=AJ$2,100%,AVANCE[[#This Row],[INSTALACION VINILICO]])</f>
        <v>0</v>
      </c>
      <c r="BY482" s="3">
        <f>+IF(AVANCE[[#This Row],[OSB CUBIERTA]]=AK$2,100%,AVANCE[[#This Row],[OSB CUBIERTA]])</f>
        <v>0</v>
      </c>
      <c r="BZ482" s="3">
        <f>+IF(AVANCE[[#This Row],[BARANDA BALCON]]=AL$2,100%,AVANCE[[#This Row],[BARANDA BALCON]])</f>
        <v>0</v>
      </c>
      <c r="CA482" s="3">
        <f>+IF(AVANCE[[#This Row],[OSB EXTERIOR]]=AM$2,100%,AVANCE[[#This Row],[OSB EXTERIOR]])</f>
        <v>0</v>
      </c>
      <c r="CB482" s="3">
        <f>+IF(AVANCE[[#This Row],[SMART PANEL]]=AN$2,100%,AVANCE[[#This Row],[SMART PANEL]])</f>
        <v>0</v>
      </c>
      <c r="CC482" s="3">
        <f>+IF(AVANCE[[#This Row],[PINTURA EXTERIOR]]=AO$2,100%,AVANCE[[#This Row],[PINTURA EXTERIOR]])</f>
        <v>0</v>
      </c>
      <c r="CD482" s="3">
        <f>+IF(AVANCE[[#This Row],[ZOCALOS LOGIA]]=AP$2,100%,AVANCE[[#This Row],[ZOCALOS LOGIA]])</f>
        <v>0</v>
      </c>
      <c r="CE482" s="3">
        <f>+IF(AVANCE[[#This Row],[MOLDURAS]]=AQ$2,100%,AVANCE[[#This Row],[MOLDURAS]])</f>
        <v>0</v>
      </c>
      <c r="CF482" s="3">
        <f>+IF(AVANCE[[#This Row],[PILASTREO]]=AR$2,100%,AVANCE[[#This Row],[PILASTREO]])</f>
        <v>0</v>
      </c>
      <c r="CG482" s="3">
        <f>+IF(AVANCE[[#This Row],[CELOSIAS]]=AS$2,100%,AVANCE[[#This Row],[CELOSIAS]])</f>
        <v>0</v>
      </c>
      <c r="CH482" s="3">
        <f>+IF(AVANCE[[#This Row],[VENTANAS]]=AT$2,100%,AVANCE[[#This Row],[VENTANAS]])</f>
        <v>0</v>
      </c>
      <c r="CI482" s="3">
        <f>+IF(AVANCE[[#This Row],[PUERTAS ACCESO - LOGIA - BANO]]=AU$2,100%,AVANCE[[#This Row],[PUERTAS ACCESO - LOGIA - BANO]])</f>
        <v>0</v>
      </c>
      <c r="CJ482" s="3">
        <f>+IF(AVANCE[[#This Row],[CERRADURAS]]=AV$2,100%,AVANCE[[#This Row],[CERRADURAS]])</f>
        <v>0</v>
      </c>
      <c r="CK482" s="3">
        <f>+IF(AVANCE[[#This Row],[REVESTIMIENTO INTERIOR ZONA SECA]]=AW$2,100%,AVANCE[[#This Row],[REVESTIMIENTO INTERIOR ZONA SECA]])</f>
        <v>0</v>
      </c>
      <c r="CL482" s="3">
        <f>+IF(AVANCE[[#This Row],[REVESTIMIENTO INTERIOR ZONAS HUMEDAS]]=AX$2,100%,AVANCE[[#This Row],[REVESTIMIENTO INTERIOR ZONAS HUMEDAS]])</f>
        <v>0</v>
      </c>
      <c r="CM482" s="3">
        <f>+IF(AVANCE[[#This Row],[MEMBRANA CIELO]]=AY$2,100%,AVANCE[[#This Row],[MEMBRANA CIELO]])</f>
        <v>0</v>
      </c>
      <c r="CN482" s="3">
        <f>+IF(AVANCE[[#This Row],[LIMPIEZA FINAL]]=AZ$2,100%,AVANCE[[#This Row],[LIMPIEZA FINAL]])</f>
        <v>0</v>
      </c>
      <c r="CO482" s="3">
        <f>+IF(AVANCE[[#This Row],[PUERTAS DORMITORIO]]=BA$2,100%,AVANCE[[#This Row],[PUERTAS DORMITORIO]])</f>
        <v>0</v>
      </c>
      <c r="CP482" s="3">
        <f>+IF(AVANCE[[#This Row],[REVESTIMIENTO INTERIOR BANO]]=BB$2,100%,AVANCE[[#This Row],[REVESTIMIENTO INTERIOR BANO]])</f>
        <v>0</v>
      </c>
      <c r="CQ482" s="3">
        <f>+IF(AVANCE[[#This Row],[MUEBLE LAVAPLATOS]]=BC$2,100%,AVANCE[[#This Row],[MUEBLE LAVAPLATOS]])</f>
        <v>0</v>
      </c>
      <c r="CR482" s="3">
        <f>+IF(AVANCE[[#This Row],[IMPERMEABILIZACION BANO - COCINA LOGIA]]=BD$2,100%,AVANCE[[#This Row],[IMPERMEABILIZACION BANO - COCINA LOGIA]])</f>
        <v>0</v>
      </c>
      <c r="CS482" s="40">
        <f ca="1">+IF(AVANCE[[#This Row],[ESTADO MODULO]]="PENDIENTE",(TODAY()-AVANCE[[#This Row],[FECHA TERMINO  PLANIFICADO]]),0)</f>
        <v>0</v>
      </c>
      <c r="CT482" s="41" t="str" cm="1">
        <f t="array" ref="CT482">_xlfn.TEXTJOIN(" | ",TRUE,IF(SUMPRODUCT((BG482:CR482&lt;1)*(PARTIDAS!$I$2:$AT$2="OBRA GRUESA"))&gt;0,"OBRA GRUESA: "&amp;_xlfn.TEXTJOIN(", ",TRUE,IF((BG482:CR482&lt;1)*(PARTIDAS!$I$2:$AT$2="OBRA GRUESA"),PARTIDAS!$I$1:$AT$1,"")),""),IF(SUMPRODUCT((BG482:CR482&lt;1)*(PARTIDAS!$I$2:$AT$2="SANITARIOS"))&gt;0,"SANITARIOS: "&amp;_xlfn.TEXTJOIN(", ",TRUE,IF((BG482:CR482&lt;1)*(PARTIDAS!$I$2:$AT$2="SANITARIOS"),PARTIDAS!$I$1:$AT$1,"")),""),IF(SUMPRODUCT((BG482:CR482&lt;1)*(PARTIDAS!$I$2:$AT$2="ELÉCTRICO"))&gt;0,"ELÉCTRICO: "&amp;_xlfn.TEXTJOIN(", ",TRUE,IF((BG482:CR482&lt;1)*(PARTIDAS!$I$2:$AT$2="ELÉCTRICO"),PARTIDAS!$I$1:$AT$1,"")),""),IF(SUMPRODUCT((BG482:CR482&lt;1)*(PARTIDAS!$I$2:$AT$2="TERMINACIONES"))&gt;0,"TERMINACIONES: "&amp;_xlfn.TEXTJOIN(", ",TRUE,IF((BG482:CR482&lt;1)*(PARTIDAS!$I$2:$AT$2="TERMINACIONES"),PARTIDAS!$I$1:$AT$1,"")),""))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2" s="43" t="str" cm="1">
        <f t="array" ref="CU482">_xlfn.TEXTJOIN(", ",TRUE,IF(SUMPRODUCT((BG482:CR482&lt;1)*(PARTIDAS!$I$2:$AT$2="OBRA GRUESA"))&gt;0,"OBRA GRUESA",""),IF(SUMPRODUCT((BG482:CR482&lt;1)*(PARTIDAS!$I$2:$AT$2="SANITARIOS"))&gt;0,"SANITARIOS",""),IF(SUMPRODUCT((BG482:CR482&lt;1)*(PARTIDAS!$I$2:$AT$2="ELÉCTRICO"))&gt;0,"ELÉCTRICO",""),IF(SUMPRODUCT((BG482:CR482&lt;1)*(PARTIDAS!$I$2:$AT$2="TERMINACIONES"))&gt;0,"TERMINACIONES",""))</f>
        <v>OBRA GRUESA, SANITARIOS, ELÉCTRICO, TERMINACIONES</v>
      </c>
      <c r="CV482" s="44" cm="1">
        <f t="array" ref="CV482">SUMPRODUCT(--(BG482:CR482&lt;1))</f>
        <v>38</v>
      </c>
    </row>
    <row r="483" spans="1:100" hidden="1" x14ac:dyDescent="0.25">
      <c r="A483" t="s">
        <v>553</v>
      </c>
      <c r="B483" t="s">
        <v>555</v>
      </c>
      <c r="C483">
        <v>2302600482</v>
      </c>
      <c r="D483" t="s">
        <v>60</v>
      </c>
      <c r="E483" s="2">
        <v>0</v>
      </c>
      <c r="F483" s="1">
        <v>46379</v>
      </c>
      <c r="G483" s="1"/>
      <c r="H483" s="1">
        <v>0</v>
      </c>
      <c r="I483" s="1">
        <v>46409</v>
      </c>
      <c r="J483">
        <v>46230</v>
      </c>
      <c r="K483" s="1"/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>
        <v>31.32</v>
      </c>
      <c r="BF483" s="3" t="str">
        <f>+IF(AVANCE[[#This Row],[% AVANCE]]=100%,"MODULO TERMINADO",IF(AVANCE[[#This Row],[FECHA INICIO REAL]]="","MODULO NO INICIADO","PENDIENTE"))</f>
        <v>MODULO NO INICIADO</v>
      </c>
      <c r="BG483" s="3">
        <f>+IF(AVANCE[[#This Row],[VENTANAS]]=8.10810810810811%,100%,AVANCE[[#This Row],[VENTANAS]])</f>
        <v>0</v>
      </c>
      <c r="BH483" s="3">
        <f>+IF(AVANCE[[#This Row],[PISO]]=N$2,100%,AVANCE[[#This Row],[PISO]])</f>
        <v>0</v>
      </c>
      <c r="BI483" s="3">
        <f>+IF(AVANCE[[#This Row],[TABIQUES]]=O$2,100%,AVANCE[[#This Row],[TABIQUES]])</f>
        <v>0</v>
      </c>
      <c r="BJ483" s="3">
        <f>+IF(AVANCE[[#This Row],[MUROS]]=P$2,100%,AVANCE[[#This Row],[MUROS]])</f>
        <v>0</v>
      </c>
      <c r="BK483" s="3">
        <f>+IF(AVANCE[[#This Row],[CIELO]]=Q$2,100%,AVANCE[[#This Row],[CIELO]])</f>
        <v>0</v>
      </c>
      <c r="BL483" s="3">
        <f>+IF(AVANCE[[#This Row],[BALCÓN]]=R$2,100%,AVANCE[[#This Row],[BALCÓN]])</f>
        <v>0</v>
      </c>
      <c r="BM483" s="3">
        <f>+IF(AVANCE[[#This Row],[RED ALCANTARILLADO]]=U$2,100%,AVANCE[[#This Row],[RED ALCANTARILLADO]])</f>
        <v>0</v>
      </c>
      <c r="BN483" s="3">
        <f>+IF(AVANCE[[#This Row],[RED DE AGUA]]=V$2,100%,AVANCE[[#This Row],[RED DE AGUA]])</f>
        <v>0</v>
      </c>
      <c r="BO483" s="3">
        <f>+IF(AVANCE[[#This Row],[VENTILACIONES]]=W$2,100%,AVANCE[[#This Row],[VENTILACIONES]])</f>
        <v>0</v>
      </c>
      <c r="BP483" s="3">
        <f>+IF(AVANCE[[#This Row],[TINA]]=X$2,100%,AVANCE[[#This Row],[TINA]])</f>
        <v>0</v>
      </c>
      <c r="BQ483" s="3">
        <f>+IF(AVANCE[[#This Row],[WC]]=Y$2,100%,AVANCE[[#This Row],[WC]])</f>
        <v>0</v>
      </c>
      <c r="BR483" s="3">
        <f>+IF(AVANCE[[#This Row],[LAVAMANOS / LAVAPLATOS / LAVADERO]]=Z$2,100%,AVANCE[[#This Row],[LAVAMANOS / LAVAPLATOS / LAVADERO]])</f>
        <v>0</v>
      </c>
      <c r="BS483" s="3">
        <f>+IF(AVANCE[[#This Row],[CANALIZACIÓN]]=AC$2,100%,AVANCE[[#This Row],[CANALIZACIÓN]])</f>
        <v>0</v>
      </c>
      <c r="BT483" s="3">
        <f>+IF(AVANCE[[#This Row],[CABLEADO]]=AD$2,100%,AVANCE[[#This Row],[CABLEADO]])</f>
        <v>0</v>
      </c>
      <c r="BU483" s="3">
        <f>+IF(AVANCE[[#This Row],[ARTEFACTOS]]=AE$2,100%,AVANCE[[#This Row],[ARTEFACTOS]])</f>
        <v>0</v>
      </c>
      <c r="BV483" s="3">
        <f>+IF(AVANCE[[#This Row],[TABLERO]]=AF$2,100%,AVANCE[[#This Row],[TABLERO]])</f>
        <v>0</v>
      </c>
      <c r="BW483" s="3">
        <f>+IF(AVANCE[[#This Row],[CAJA PAU]]=AG$2,100%,AVANCE[[#This Row],[CAJA PAU]])</f>
        <v>0</v>
      </c>
      <c r="BX483" s="3">
        <f>+IF(AVANCE[[#This Row],[INSTALACION VINILICO]]=AJ$2,100%,AVANCE[[#This Row],[INSTALACION VINILICO]])</f>
        <v>0</v>
      </c>
      <c r="BY483" s="3">
        <f>+IF(AVANCE[[#This Row],[OSB CUBIERTA]]=AK$2,100%,AVANCE[[#This Row],[OSB CUBIERTA]])</f>
        <v>0</v>
      </c>
      <c r="BZ483" s="3">
        <f>+IF(AVANCE[[#This Row],[BARANDA BALCON]]=AL$2,100%,AVANCE[[#This Row],[BARANDA BALCON]])</f>
        <v>0</v>
      </c>
      <c r="CA483" s="3">
        <f>+IF(AVANCE[[#This Row],[OSB EXTERIOR]]=AM$2,100%,AVANCE[[#This Row],[OSB EXTERIOR]])</f>
        <v>0</v>
      </c>
      <c r="CB483" s="3">
        <f>+IF(AVANCE[[#This Row],[SMART PANEL]]=AN$2,100%,AVANCE[[#This Row],[SMART PANEL]])</f>
        <v>0</v>
      </c>
      <c r="CC483" s="3">
        <f>+IF(AVANCE[[#This Row],[PINTURA EXTERIOR]]=AO$2,100%,AVANCE[[#This Row],[PINTURA EXTERIOR]])</f>
        <v>0</v>
      </c>
      <c r="CD483" s="3">
        <f>+IF(AVANCE[[#This Row],[ZOCALOS LOGIA]]=AP$2,100%,AVANCE[[#This Row],[ZOCALOS LOGIA]])</f>
        <v>0</v>
      </c>
      <c r="CE483" s="3">
        <f>+IF(AVANCE[[#This Row],[MOLDURAS]]=AQ$2,100%,AVANCE[[#This Row],[MOLDURAS]])</f>
        <v>0</v>
      </c>
      <c r="CF483" s="3">
        <f>+IF(AVANCE[[#This Row],[PILASTREO]]=AR$2,100%,AVANCE[[#This Row],[PILASTREO]])</f>
        <v>0</v>
      </c>
      <c r="CG483" s="3">
        <f>+IF(AVANCE[[#This Row],[CELOSIAS]]=AS$2,100%,AVANCE[[#This Row],[CELOSIAS]])</f>
        <v>0</v>
      </c>
      <c r="CH483" s="3">
        <f>+IF(AVANCE[[#This Row],[VENTANAS]]=AT$2,100%,AVANCE[[#This Row],[VENTANAS]])</f>
        <v>0</v>
      </c>
      <c r="CI483" s="3">
        <f>+IF(AVANCE[[#This Row],[PUERTAS ACCESO - LOGIA - BANO]]=AU$2,100%,AVANCE[[#This Row],[PUERTAS ACCESO - LOGIA - BANO]])</f>
        <v>0</v>
      </c>
      <c r="CJ483" s="3">
        <f>+IF(AVANCE[[#This Row],[CERRADURAS]]=AV$2,100%,AVANCE[[#This Row],[CERRADURAS]])</f>
        <v>0</v>
      </c>
      <c r="CK483" s="3">
        <f>+IF(AVANCE[[#This Row],[REVESTIMIENTO INTERIOR ZONA SECA]]=AW$2,100%,AVANCE[[#This Row],[REVESTIMIENTO INTERIOR ZONA SECA]])</f>
        <v>0</v>
      </c>
      <c r="CL483" s="3">
        <f>+IF(AVANCE[[#This Row],[REVESTIMIENTO INTERIOR ZONAS HUMEDAS]]=AX$2,100%,AVANCE[[#This Row],[REVESTIMIENTO INTERIOR ZONAS HUMEDAS]])</f>
        <v>0</v>
      </c>
      <c r="CM483" s="3">
        <f>+IF(AVANCE[[#This Row],[MEMBRANA CIELO]]=AY$2,100%,AVANCE[[#This Row],[MEMBRANA CIELO]])</f>
        <v>0</v>
      </c>
      <c r="CN483" s="3">
        <f>+IF(AVANCE[[#This Row],[LIMPIEZA FINAL]]=AZ$2,100%,AVANCE[[#This Row],[LIMPIEZA FINAL]])</f>
        <v>0</v>
      </c>
      <c r="CO483" s="3">
        <f>+IF(AVANCE[[#This Row],[PUERTAS DORMITORIO]]=BA$2,100%,AVANCE[[#This Row],[PUERTAS DORMITORIO]])</f>
        <v>0</v>
      </c>
      <c r="CP483" s="3">
        <f>+IF(AVANCE[[#This Row],[REVESTIMIENTO INTERIOR BANO]]=BB$2,100%,AVANCE[[#This Row],[REVESTIMIENTO INTERIOR BANO]])</f>
        <v>0</v>
      </c>
      <c r="CQ483" s="3">
        <f>+IF(AVANCE[[#This Row],[MUEBLE LAVAPLATOS]]=BC$2,100%,AVANCE[[#This Row],[MUEBLE LAVAPLATOS]])</f>
        <v>0</v>
      </c>
      <c r="CR483" s="3">
        <f>+IF(AVANCE[[#This Row],[IMPERMEABILIZACION BANO - COCINA LOGIA]]=BD$2,100%,AVANCE[[#This Row],[IMPERMEABILIZACION BANO - COCINA LOGIA]])</f>
        <v>0</v>
      </c>
      <c r="CS483" s="40">
        <f ca="1">+IF(AVANCE[[#This Row],[ESTADO MODULO]]="PENDIENTE",(TODAY()-AVANCE[[#This Row],[FECHA TERMINO  PLANIFICADO]]),0)</f>
        <v>0</v>
      </c>
      <c r="CT483" s="41" t="str" cm="1">
        <f t="array" ref="CT483">_xlfn.TEXTJOIN(" | ",TRUE,IF(SUMPRODUCT((BG483:CR483&lt;1)*(PARTIDAS!$I$2:$AT$2="OBRA GRUESA"))&gt;0,"OBRA GRUESA: "&amp;_xlfn.TEXTJOIN(", ",TRUE,IF((BG483:CR483&lt;1)*(PARTIDAS!$I$2:$AT$2="OBRA GRUESA"),PARTIDAS!$I$1:$AT$1,"")),""),IF(SUMPRODUCT((BG483:CR483&lt;1)*(PARTIDAS!$I$2:$AT$2="SANITARIOS"))&gt;0,"SANITARIOS: "&amp;_xlfn.TEXTJOIN(", ",TRUE,IF((BG483:CR483&lt;1)*(PARTIDAS!$I$2:$AT$2="SANITARIOS"),PARTIDAS!$I$1:$AT$1,"")),""),IF(SUMPRODUCT((BG483:CR483&lt;1)*(PARTIDAS!$I$2:$AT$2="ELÉCTRICO"))&gt;0,"ELÉCTRICO: "&amp;_xlfn.TEXTJOIN(", ",TRUE,IF((BG483:CR483&lt;1)*(PARTIDAS!$I$2:$AT$2="ELÉCTRICO"),PARTIDAS!$I$1:$AT$1,"")),""),IF(SUMPRODUCT((BG483:CR483&lt;1)*(PARTIDAS!$I$2:$AT$2="TERMINACIONES"))&gt;0,"TERMINACIONES: "&amp;_xlfn.TEXTJOIN(", ",TRUE,IF((BG483:CR483&lt;1)*(PARTIDAS!$I$2:$AT$2="TERMINACIONES"),PARTIDAS!$I$1:$AT$1,"")),""))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3" s="43" t="str" cm="1">
        <f t="array" ref="CU483">_xlfn.TEXTJOIN(", ",TRUE,IF(SUMPRODUCT((BG483:CR483&lt;1)*(PARTIDAS!$I$2:$AT$2="OBRA GRUESA"))&gt;0,"OBRA GRUESA",""),IF(SUMPRODUCT((BG483:CR483&lt;1)*(PARTIDAS!$I$2:$AT$2="SANITARIOS"))&gt;0,"SANITARIOS",""),IF(SUMPRODUCT((BG483:CR483&lt;1)*(PARTIDAS!$I$2:$AT$2="ELÉCTRICO"))&gt;0,"ELÉCTRICO",""),IF(SUMPRODUCT((BG483:CR483&lt;1)*(PARTIDAS!$I$2:$AT$2="TERMINACIONES"))&gt;0,"TERMINACIONES",""))</f>
        <v>OBRA GRUESA, SANITARIOS, ELÉCTRICO, TERMINACIONES</v>
      </c>
      <c r="CV483" s="44" cm="1">
        <f t="array" ref="CV483">SUMPRODUCT(--(BG483:CR483&lt;1))</f>
        <v>38</v>
      </c>
    </row>
    <row r="484" spans="1:100" hidden="1" x14ac:dyDescent="0.25">
      <c r="A484" t="s">
        <v>553</v>
      </c>
      <c r="B484" t="s">
        <v>556</v>
      </c>
      <c r="C484">
        <v>2302600483</v>
      </c>
      <c r="D484" t="s">
        <v>60</v>
      </c>
      <c r="E484" s="2">
        <v>0</v>
      </c>
      <c r="F484" s="1">
        <v>46379</v>
      </c>
      <c r="G484" s="1"/>
      <c r="H484" s="1">
        <v>0</v>
      </c>
      <c r="I484" s="1">
        <v>46409</v>
      </c>
      <c r="J484">
        <v>46230</v>
      </c>
      <c r="K484" s="1"/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>
        <v>31.32</v>
      </c>
      <c r="BF484" s="3" t="str">
        <f>+IF(AVANCE[[#This Row],[% AVANCE]]=100%,"MODULO TERMINADO",IF(AVANCE[[#This Row],[FECHA INICIO REAL]]="","MODULO NO INICIADO","PENDIENTE"))</f>
        <v>MODULO NO INICIADO</v>
      </c>
      <c r="BG484" s="3">
        <f>+IF(AVANCE[[#This Row],[VENTANAS]]=8.10810810810811%,100%,AVANCE[[#This Row],[VENTANAS]])</f>
        <v>0</v>
      </c>
      <c r="BH484" s="3">
        <f>+IF(AVANCE[[#This Row],[PISO]]=N$2,100%,AVANCE[[#This Row],[PISO]])</f>
        <v>0</v>
      </c>
      <c r="BI484" s="3">
        <f>+IF(AVANCE[[#This Row],[TABIQUES]]=O$2,100%,AVANCE[[#This Row],[TABIQUES]])</f>
        <v>0</v>
      </c>
      <c r="BJ484" s="3">
        <f>+IF(AVANCE[[#This Row],[MUROS]]=P$2,100%,AVANCE[[#This Row],[MUROS]])</f>
        <v>0</v>
      </c>
      <c r="BK484" s="3">
        <f>+IF(AVANCE[[#This Row],[CIELO]]=Q$2,100%,AVANCE[[#This Row],[CIELO]])</f>
        <v>0</v>
      </c>
      <c r="BL484" s="3">
        <f>+IF(AVANCE[[#This Row],[BALCÓN]]=R$2,100%,AVANCE[[#This Row],[BALCÓN]])</f>
        <v>0</v>
      </c>
      <c r="BM484" s="3">
        <f>+IF(AVANCE[[#This Row],[RED ALCANTARILLADO]]=U$2,100%,AVANCE[[#This Row],[RED ALCANTARILLADO]])</f>
        <v>0</v>
      </c>
      <c r="BN484" s="3">
        <f>+IF(AVANCE[[#This Row],[RED DE AGUA]]=V$2,100%,AVANCE[[#This Row],[RED DE AGUA]])</f>
        <v>0</v>
      </c>
      <c r="BO484" s="3">
        <f>+IF(AVANCE[[#This Row],[VENTILACIONES]]=W$2,100%,AVANCE[[#This Row],[VENTILACIONES]])</f>
        <v>0</v>
      </c>
      <c r="BP484" s="3">
        <f>+IF(AVANCE[[#This Row],[TINA]]=X$2,100%,AVANCE[[#This Row],[TINA]])</f>
        <v>0</v>
      </c>
      <c r="BQ484" s="3">
        <f>+IF(AVANCE[[#This Row],[WC]]=Y$2,100%,AVANCE[[#This Row],[WC]])</f>
        <v>0</v>
      </c>
      <c r="BR484" s="3">
        <f>+IF(AVANCE[[#This Row],[LAVAMANOS / LAVAPLATOS / LAVADERO]]=Z$2,100%,AVANCE[[#This Row],[LAVAMANOS / LAVAPLATOS / LAVADERO]])</f>
        <v>0</v>
      </c>
      <c r="BS484" s="3">
        <f>+IF(AVANCE[[#This Row],[CANALIZACIÓN]]=AC$2,100%,AVANCE[[#This Row],[CANALIZACIÓN]])</f>
        <v>0</v>
      </c>
      <c r="BT484" s="3">
        <f>+IF(AVANCE[[#This Row],[CABLEADO]]=AD$2,100%,AVANCE[[#This Row],[CABLEADO]])</f>
        <v>0</v>
      </c>
      <c r="BU484" s="3">
        <f>+IF(AVANCE[[#This Row],[ARTEFACTOS]]=AE$2,100%,AVANCE[[#This Row],[ARTEFACTOS]])</f>
        <v>0</v>
      </c>
      <c r="BV484" s="3">
        <f>+IF(AVANCE[[#This Row],[TABLERO]]=AF$2,100%,AVANCE[[#This Row],[TABLERO]])</f>
        <v>0</v>
      </c>
      <c r="BW484" s="3">
        <f>+IF(AVANCE[[#This Row],[CAJA PAU]]=AG$2,100%,AVANCE[[#This Row],[CAJA PAU]])</f>
        <v>0</v>
      </c>
      <c r="BX484" s="3">
        <f>+IF(AVANCE[[#This Row],[INSTALACION VINILICO]]=AJ$2,100%,AVANCE[[#This Row],[INSTALACION VINILICO]])</f>
        <v>0</v>
      </c>
      <c r="BY484" s="3">
        <f>+IF(AVANCE[[#This Row],[OSB CUBIERTA]]=AK$2,100%,AVANCE[[#This Row],[OSB CUBIERTA]])</f>
        <v>0</v>
      </c>
      <c r="BZ484" s="3">
        <f>+IF(AVANCE[[#This Row],[BARANDA BALCON]]=AL$2,100%,AVANCE[[#This Row],[BARANDA BALCON]])</f>
        <v>0</v>
      </c>
      <c r="CA484" s="3">
        <f>+IF(AVANCE[[#This Row],[OSB EXTERIOR]]=AM$2,100%,AVANCE[[#This Row],[OSB EXTERIOR]])</f>
        <v>0</v>
      </c>
      <c r="CB484" s="3">
        <f>+IF(AVANCE[[#This Row],[SMART PANEL]]=AN$2,100%,AVANCE[[#This Row],[SMART PANEL]])</f>
        <v>0</v>
      </c>
      <c r="CC484" s="3">
        <f>+IF(AVANCE[[#This Row],[PINTURA EXTERIOR]]=AO$2,100%,AVANCE[[#This Row],[PINTURA EXTERIOR]])</f>
        <v>0</v>
      </c>
      <c r="CD484" s="3">
        <f>+IF(AVANCE[[#This Row],[ZOCALOS LOGIA]]=AP$2,100%,AVANCE[[#This Row],[ZOCALOS LOGIA]])</f>
        <v>0</v>
      </c>
      <c r="CE484" s="3">
        <f>+IF(AVANCE[[#This Row],[MOLDURAS]]=AQ$2,100%,AVANCE[[#This Row],[MOLDURAS]])</f>
        <v>0</v>
      </c>
      <c r="CF484" s="3">
        <f>+IF(AVANCE[[#This Row],[PILASTREO]]=AR$2,100%,AVANCE[[#This Row],[PILASTREO]])</f>
        <v>0</v>
      </c>
      <c r="CG484" s="3">
        <f>+IF(AVANCE[[#This Row],[CELOSIAS]]=AS$2,100%,AVANCE[[#This Row],[CELOSIAS]])</f>
        <v>0</v>
      </c>
      <c r="CH484" s="3">
        <f>+IF(AVANCE[[#This Row],[VENTANAS]]=AT$2,100%,AVANCE[[#This Row],[VENTANAS]])</f>
        <v>0</v>
      </c>
      <c r="CI484" s="3">
        <f>+IF(AVANCE[[#This Row],[PUERTAS ACCESO - LOGIA - BANO]]=AU$2,100%,AVANCE[[#This Row],[PUERTAS ACCESO - LOGIA - BANO]])</f>
        <v>0</v>
      </c>
      <c r="CJ484" s="3">
        <f>+IF(AVANCE[[#This Row],[CERRADURAS]]=AV$2,100%,AVANCE[[#This Row],[CERRADURAS]])</f>
        <v>0</v>
      </c>
      <c r="CK484" s="3">
        <f>+IF(AVANCE[[#This Row],[REVESTIMIENTO INTERIOR ZONA SECA]]=AW$2,100%,AVANCE[[#This Row],[REVESTIMIENTO INTERIOR ZONA SECA]])</f>
        <v>0</v>
      </c>
      <c r="CL484" s="3">
        <f>+IF(AVANCE[[#This Row],[REVESTIMIENTO INTERIOR ZONAS HUMEDAS]]=AX$2,100%,AVANCE[[#This Row],[REVESTIMIENTO INTERIOR ZONAS HUMEDAS]])</f>
        <v>0</v>
      </c>
      <c r="CM484" s="3">
        <f>+IF(AVANCE[[#This Row],[MEMBRANA CIELO]]=AY$2,100%,AVANCE[[#This Row],[MEMBRANA CIELO]])</f>
        <v>0</v>
      </c>
      <c r="CN484" s="3">
        <f>+IF(AVANCE[[#This Row],[LIMPIEZA FINAL]]=AZ$2,100%,AVANCE[[#This Row],[LIMPIEZA FINAL]])</f>
        <v>0</v>
      </c>
      <c r="CO484" s="3">
        <f>+IF(AVANCE[[#This Row],[PUERTAS DORMITORIO]]=BA$2,100%,AVANCE[[#This Row],[PUERTAS DORMITORIO]])</f>
        <v>0</v>
      </c>
      <c r="CP484" s="3">
        <f>+IF(AVANCE[[#This Row],[REVESTIMIENTO INTERIOR BANO]]=BB$2,100%,AVANCE[[#This Row],[REVESTIMIENTO INTERIOR BANO]])</f>
        <v>0</v>
      </c>
      <c r="CQ484" s="3">
        <f>+IF(AVANCE[[#This Row],[MUEBLE LAVAPLATOS]]=BC$2,100%,AVANCE[[#This Row],[MUEBLE LAVAPLATOS]])</f>
        <v>0</v>
      </c>
      <c r="CR484" s="3">
        <f>+IF(AVANCE[[#This Row],[IMPERMEABILIZACION BANO - COCINA LOGIA]]=BD$2,100%,AVANCE[[#This Row],[IMPERMEABILIZACION BANO - COCINA LOGIA]])</f>
        <v>0</v>
      </c>
      <c r="CS484" s="40">
        <f ca="1">+IF(AVANCE[[#This Row],[ESTADO MODULO]]="PENDIENTE",(TODAY()-AVANCE[[#This Row],[FECHA TERMINO  PLANIFICADO]]),0)</f>
        <v>0</v>
      </c>
      <c r="CT484" s="41" t="str" cm="1">
        <f t="array" ref="CT484">_xlfn.TEXTJOIN(" | ",TRUE,IF(SUMPRODUCT((BG484:CR484&lt;1)*(PARTIDAS!$I$2:$AT$2="OBRA GRUESA"))&gt;0,"OBRA GRUESA: "&amp;_xlfn.TEXTJOIN(", ",TRUE,IF((BG484:CR484&lt;1)*(PARTIDAS!$I$2:$AT$2="OBRA GRUESA"),PARTIDAS!$I$1:$AT$1,"")),""),IF(SUMPRODUCT((BG484:CR484&lt;1)*(PARTIDAS!$I$2:$AT$2="SANITARIOS"))&gt;0,"SANITARIOS: "&amp;_xlfn.TEXTJOIN(", ",TRUE,IF((BG484:CR484&lt;1)*(PARTIDAS!$I$2:$AT$2="SANITARIOS"),PARTIDAS!$I$1:$AT$1,"")),""),IF(SUMPRODUCT((BG484:CR484&lt;1)*(PARTIDAS!$I$2:$AT$2="ELÉCTRICO"))&gt;0,"ELÉCTRICO: "&amp;_xlfn.TEXTJOIN(", ",TRUE,IF((BG484:CR484&lt;1)*(PARTIDAS!$I$2:$AT$2="ELÉCTRICO"),PARTIDAS!$I$1:$AT$1,"")),""),IF(SUMPRODUCT((BG484:CR484&lt;1)*(PARTIDAS!$I$2:$AT$2="TERMINACIONES"))&gt;0,"TERMINACIONES: "&amp;_xlfn.TEXTJOIN(", ",TRUE,IF((BG484:CR484&lt;1)*(PARTIDAS!$I$2:$AT$2="TERMINACIONES"),PARTIDAS!$I$1:$AT$1,"")),""))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4" s="43" t="str" cm="1">
        <f t="array" ref="CU484">_xlfn.TEXTJOIN(", ",TRUE,IF(SUMPRODUCT((BG484:CR484&lt;1)*(PARTIDAS!$I$2:$AT$2="OBRA GRUESA"))&gt;0,"OBRA GRUESA",""),IF(SUMPRODUCT((BG484:CR484&lt;1)*(PARTIDAS!$I$2:$AT$2="SANITARIOS"))&gt;0,"SANITARIOS",""),IF(SUMPRODUCT((BG484:CR484&lt;1)*(PARTIDAS!$I$2:$AT$2="ELÉCTRICO"))&gt;0,"ELÉCTRICO",""),IF(SUMPRODUCT((BG484:CR484&lt;1)*(PARTIDAS!$I$2:$AT$2="TERMINACIONES"))&gt;0,"TERMINACIONES",""))</f>
        <v>OBRA GRUESA, SANITARIOS, ELÉCTRICO, TERMINACIONES</v>
      </c>
      <c r="CV484" s="44" cm="1">
        <f t="array" ref="CV484">SUMPRODUCT(--(BG484:CR484&lt;1))</f>
        <v>38</v>
      </c>
    </row>
    <row r="485" spans="1:100" hidden="1" x14ac:dyDescent="0.25">
      <c r="A485" t="s">
        <v>553</v>
      </c>
      <c r="B485" t="s">
        <v>557</v>
      </c>
      <c r="C485">
        <v>2282600484</v>
      </c>
      <c r="D485" t="s">
        <v>58</v>
      </c>
      <c r="E485" s="2">
        <v>0</v>
      </c>
      <c r="F485" s="1">
        <v>46379</v>
      </c>
      <c r="G485" s="1"/>
      <c r="H485" s="1">
        <v>0</v>
      </c>
      <c r="I485" s="1">
        <v>46399</v>
      </c>
      <c r="J485">
        <v>46230</v>
      </c>
      <c r="K485" s="1"/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>
        <v>28.87</v>
      </c>
      <c r="BF485" s="3" t="str">
        <f>+IF(AVANCE[[#This Row],[% AVANCE]]=100%,"MODULO TERMINADO",IF(AVANCE[[#This Row],[FECHA INICIO REAL]]="","MODULO NO INICIADO","PENDIENTE"))</f>
        <v>MODULO NO INICIADO</v>
      </c>
      <c r="BG485" s="3">
        <f>+IF(AVANCE[[#This Row],[VENTANAS]]=8.10810810810811%,100%,AVANCE[[#This Row],[VENTANAS]])</f>
        <v>0</v>
      </c>
      <c r="BH485" s="3">
        <f>+IF(AVANCE[[#This Row],[PISO]]=N$2,100%,AVANCE[[#This Row],[PISO]])</f>
        <v>0</v>
      </c>
      <c r="BI485" s="3">
        <f>+IF(AVANCE[[#This Row],[TABIQUES]]=O$2,100%,AVANCE[[#This Row],[TABIQUES]])</f>
        <v>0</v>
      </c>
      <c r="BJ485" s="3">
        <f>+IF(AVANCE[[#This Row],[MUROS]]=P$2,100%,AVANCE[[#This Row],[MUROS]])</f>
        <v>0</v>
      </c>
      <c r="BK485" s="3">
        <f>+IF(AVANCE[[#This Row],[CIELO]]=Q$2,100%,AVANCE[[#This Row],[CIELO]])</f>
        <v>0</v>
      </c>
      <c r="BL485" s="3">
        <f>+IF(AVANCE[[#This Row],[BALCÓN]]=R$2,100%,AVANCE[[#This Row],[BALCÓN]])</f>
        <v>0</v>
      </c>
      <c r="BM485" s="3">
        <f>+IF(AVANCE[[#This Row],[RED ALCANTARILLADO]]=U$2,100%,AVANCE[[#This Row],[RED ALCANTARILLADO]])</f>
        <v>0</v>
      </c>
      <c r="BN485" s="3">
        <f>+IF(AVANCE[[#This Row],[RED DE AGUA]]=V$2,100%,AVANCE[[#This Row],[RED DE AGUA]])</f>
        <v>0</v>
      </c>
      <c r="BO485" s="3">
        <f>+IF(AVANCE[[#This Row],[VENTILACIONES]]=W$2,100%,AVANCE[[#This Row],[VENTILACIONES]])</f>
        <v>0</v>
      </c>
      <c r="BP485" s="3">
        <f>+IF(AVANCE[[#This Row],[TINA]]=X$2,100%,AVANCE[[#This Row],[TINA]])</f>
        <v>0</v>
      </c>
      <c r="BQ485" s="3">
        <f>+IF(AVANCE[[#This Row],[WC]]=Y$2,100%,AVANCE[[#This Row],[WC]])</f>
        <v>0</v>
      </c>
      <c r="BR485" s="3">
        <f>+IF(AVANCE[[#This Row],[LAVAMANOS / LAVAPLATOS / LAVADERO]]=Z$2,100%,AVANCE[[#This Row],[LAVAMANOS / LAVAPLATOS / LAVADERO]])</f>
        <v>0</v>
      </c>
      <c r="BS485" s="3">
        <f>+IF(AVANCE[[#This Row],[CANALIZACIÓN]]=AC$2,100%,AVANCE[[#This Row],[CANALIZACIÓN]])</f>
        <v>0</v>
      </c>
      <c r="BT485" s="3">
        <f>+IF(AVANCE[[#This Row],[CABLEADO]]=AD$2,100%,AVANCE[[#This Row],[CABLEADO]])</f>
        <v>0</v>
      </c>
      <c r="BU485" s="3">
        <f>+IF(AVANCE[[#This Row],[ARTEFACTOS]]=AE$2,100%,AVANCE[[#This Row],[ARTEFACTOS]])</f>
        <v>0</v>
      </c>
      <c r="BV485" s="3">
        <f>+IF(AVANCE[[#This Row],[TABLERO]]=AF$2,100%,AVANCE[[#This Row],[TABLERO]])</f>
        <v>0</v>
      </c>
      <c r="BW485" s="3">
        <f>+IF(AVANCE[[#This Row],[CAJA PAU]]=AG$2,100%,AVANCE[[#This Row],[CAJA PAU]])</f>
        <v>0</v>
      </c>
      <c r="BX485" s="3">
        <f>+IF(AVANCE[[#This Row],[INSTALACION VINILICO]]=AJ$2,100%,AVANCE[[#This Row],[INSTALACION VINILICO]])</f>
        <v>0</v>
      </c>
      <c r="BY485" s="3">
        <f>+IF(AVANCE[[#This Row],[OSB CUBIERTA]]=AK$2,100%,AVANCE[[#This Row],[OSB CUBIERTA]])</f>
        <v>0</v>
      </c>
      <c r="BZ485" s="3">
        <f>+IF(AVANCE[[#This Row],[BARANDA BALCON]]=AL$2,100%,AVANCE[[#This Row],[BARANDA BALCON]])</f>
        <v>0</v>
      </c>
      <c r="CA485" s="3">
        <f>+IF(AVANCE[[#This Row],[OSB EXTERIOR]]=AM$2,100%,AVANCE[[#This Row],[OSB EXTERIOR]])</f>
        <v>0</v>
      </c>
      <c r="CB485" s="3">
        <f>+IF(AVANCE[[#This Row],[SMART PANEL]]=AN$2,100%,AVANCE[[#This Row],[SMART PANEL]])</f>
        <v>0</v>
      </c>
      <c r="CC485" s="3">
        <f>+IF(AVANCE[[#This Row],[PINTURA EXTERIOR]]=AO$2,100%,AVANCE[[#This Row],[PINTURA EXTERIOR]])</f>
        <v>0</v>
      </c>
      <c r="CD485" s="3">
        <f>+IF(AVANCE[[#This Row],[ZOCALOS LOGIA]]=AP$2,100%,AVANCE[[#This Row],[ZOCALOS LOGIA]])</f>
        <v>0</v>
      </c>
      <c r="CE485" s="3">
        <f>+IF(AVANCE[[#This Row],[MOLDURAS]]=AQ$2,100%,AVANCE[[#This Row],[MOLDURAS]])</f>
        <v>0</v>
      </c>
      <c r="CF485" s="3">
        <f>+IF(AVANCE[[#This Row],[PILASTREO]]=AR$2,100%,AVANCE[[#This Row],[PILASTREO]])</f>
        <v>0</v>
      </c>
      <c r="CG485" s="3">
        <f>+IF(AVANCE[[#This Row],[CELOSIAS]]=AS$2,100%,AVANCE[[#This Row],[CELOSIAS]])</f>
        <v>0</v>
      </c>
      <c r="CH485" s="3">
        <f>+IF(AVANCE[[#This Row],[VENTANAS]]=AT$2,100%,AVANCE[[#This Row],[VENTANAS]])</f>
        <v>0</v>
      </c>
      <c r="CI485" s="3">
        <f>+IF(AVANCE[[#This Row],[PUERTAS ACCESO - LOGIA - BANO]]=AU$2,100%,AVANCE[[#This Row],[PUERTAS ACCESO - LOGIA - BANO]])</f>
        <v>0</v>
      </c>
      <c r="CJ485" s="3">
        <f>+IF(AVANCE[[#This Row],[CERRADURAS]]=AV$2,100%,AVANCE[[#This Row],[CERRADURAS]])</f>
        <v>0</v>
      </c>
      <c r="CK485" s="3">
        <f>+IF(AVANCE[[#This Row],[REVESTIMIENTO INTERIOR ZONA SECA]]=AW$2,100%,AVANCE[[#This Row],[REVESTIMIENTO INTERIOR ZONA SECA]])</f>
        <v>0</v>
      </c>
      <c r="CL485" s="3">
        <f>+IF(AVANCE[[#This Row],[REVESTIMIENTO INTERIOR ZONAS HUMEDAS]]=AX$2,100%,AVANCE[[#This Row],[REVESTIMIENTO INTERIOR ZONAS HUMEDAS]])</f>
        <v>0</v>
      </c>
      <c r="CM485" s="3">
        <f>+IF(AVANCE[[#This Row],[MEMBRANA CIELO]]=AY$2,100%,AVANCE[[#This Row],[MEMBRANA CIELO]])</f>
        <v>0</v>
      </c>
      <c r="CN485" s="3">
        <f>+IF(AVANCE[[#This Row],[LIMPIEZA FINAL]]=AZ$2,100%,AVANCE[[#This Row],[LIMPIEZA FINAL]])</f>
        <v>0</v>
      </c>
      <c r="CO485" s="3">
        <f>+IF(AVANCE[[#This Row],[PUERTAS DORMITORIO]]=BA$2,100%,AVANCE[[#This Row],[PUERTAS DORMITORIO]])</f>
        <v>0</v>
      </c>
      <c r="CP485" s="3">
        <f>+IF(AVANCE[[#This Row],[REVESTIMIENTO INTERIOR BANO]]=BB$2,100%,AVANCE[[#This Row],[REVESTIMIENTO INTERIOR BANO]])</f>
        <v>0</v>
      </c>
      <c r="CQ485" s="3">
        <f>+IF(AVANCE[[#This Row],[MUEBLE LAVAPLATOS]]=BC$2,100%,AVANCE[[#This Row],[MUEBLE LAVAPLATOS]])</f>
        <v>0</v>
      </c>
      <c r="CR485" s="3">
        <f>+IF(AVANCE[[#This Row],[IMPERMEABILIZACION BANO - COCINA LOGIA]]=BD$2,100%,AVANCE[[#This Row],[IMPERMEABILIZACION BANO - COCINA LOGIA]])</f>
        <v>0</v>
      </c>
      <c r="CS485" s="40">
        <f ca="1">+IF(AVANCE[[#This Row],[ESTADO MODULO]]="PENDIENTE",(TODAY()-AVANCE[[#This Row],[FECHA TERMINO  PLANIFICADO]]),0)</f>
        <v>0</v>
      </c>
      <c r="CT485" s="41" t="str" cm="1">
        <f t="array" ref="CT485">_xlfn.TEXTJOIN(" | ",TRUE,IF(SUMPRODUCT((BG485:CR485&lt;1)*(PARTIDAS!$I$2:$AT$2="OBRA GRUESA"))&gt;0,"OBRA GRUESA: "&amp;_xlfn.TEXTJOIN(", ",TRUE,IF((BG485:CR485&lt;1)*(PARTIDAS!$I$2:$AT$2="OBRA GRUESA"),PARTIDAS!$I$1:$AT$1,"")),""),IF(SUMPRODUCT((BG485:CR485&lt;1)*(PARTIDAS!$I$2:$AT$2="SANITARIOS"))&gt;0,"SANITARIOS: "&amp;_xlfn.TEXTJOIN(", ",TRUE,IF((BG485:CR485&lt;1)*(PARTIDAS!$I$2:$AT$2="SANITARIOS"),PARTIDAS!$I$1:$AT$1,"")),""),IF(SUMPRODUCT((BG485:CR485&lt;1)*(PARTIDAS!$I$2:$AT$2="ELÉCTRICO"))&gt;0,"ELÉCTRICO: "&amp;_xlfn.TEXTJOIN(", ",TRUE,IF((BG485:CR485&lt;1)*(PARTIDAS!$I$2:$AT$2="ELÉCTRICO"),PARTIDAS!$I$1:$AT$1,"")),""),IF(SUMPRODUCT((BG485:CR485&lt;1)*(PARTIDAS!$I$2:$AT$2="TERMINACIONES"))&gt;0,"TERMINACIONES: "&amp;_xlfn.TEXTJOIN(", ",TRUE,IF((BG485:CR485&lt;1)*(PARTIDAS!$I$2:$AT$2="TERMINACIONES"),PARTIDAS!$I$1:$AT$1,"")),""))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5" s="43" t="str" cm="1">
        <f t="array" ref="CU485">_xlfn.TEXTJOIN(", ",TRUE,IF(SUMPRODUCT((BG485:CR485&lt;1)*(PARTIDAS!$I$2:$AT$2="OBRA GRUESA"))&gt;0,"OBRA GRUESA",""),IF(SUMPRODUCT((BG485:CR485&lt;1)*(PARTIDAS!$I$2:$AT$2="SANITARIOS"))&gt;0,"SANITARIOS",""),IF(SUMPRODUCT((BG485:CR485&lt;1)*(PARTIDAS!$I$2:$AT$2="ELÉCTRICO"))&gt;0,"ELÉCTRICO",""),IF(SUMPRODUCT((BG485:CR485&lt;1)*(PARTIDAS!$I$2:$AT$2="TERMINACIONES"))&gt;0,"TERMINACIONES",""))</f>
        <v>OBRA GRUESA, SANITARIOS, ELÉCTRICO, TERMINACIONES</v>
      </c>
      <c r="CV485" s="44" cm="1">
        <f t="array" ref="CV485">SUMPRODUCT(--(BG485:CR485&lt;1))</f>
        <v>38</v>
      </c>
    </row>
    <row r="486" spans="1:100" hidden="1" x14ac:dyDescent="0.25">
      <c r="A486" t="s">
        <v>553</v>
      </c>
      <c r="B486" t="s">
        <v>558</v>
      </c>
      <c r="C486">
        <v>2282600485</v>
      </c>
      <c r="D486" t="s">
        <v>58</v>
      </c>
      <c r="E486" s="2">
        <v>0</v>
      </c>
      <c r="F486" s="1">
        <v>46384</v>
      </c>
      <c r="G486" s="1"/>
      <c r="H486" s="1">
        <v>0</v>
      </c>
      <c r="I486" s="1">
        <v>46404</v>
      </c>
      <c r="J486">
        <v>46230</v>
      </c>
      <c r="K486" s="1"/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>
        <v>28.87</v>
      </c>
      <c r="BF486" s="3" t="str">
        <f>+IF(AVANCE[[#This Row],[% AVANCE]]=100%,"MODULO TERMINADO",IF(AVANCE[[#This Row],[FECHA INICIO REAL]]="","MODULO NO INICIADO","PENDIENTE"))</f>
        <v>MODULO NO INICIADO</v>
      </c>
      <c r="BG486" s="3">
        <f>+IF(AVANCE[[#This Row],[VENTANAS]]=8.10810810810811%,100%,AVANCE[[#This Row],[VENTANAS]])</f>
        <v>0</v>
      </c>
      <c r="BH486" s="3">
        <f>+IF(AVANCE[[#This Row],[PISO]]=N$2,100%,AVANCE[[#This Row],[PISO]])</f>
        <v>0</v>
      </c>
      <c r="BI486" s="3">
        <f>+IF(AVANCE[[#This Row],[TABIQUES]]=O$2,100%,AVANCE[[#This Row],[TABIQUES]])</f>
        <v>0</v>
      </c>
      <c r="BJ486" s="3">
        <f>+IF(AVANCE[[#This Row],[MUROS]]=P$2,100%,AVANCE[[#This Row],[MUROS]])</f>
        <v>0</v>
      </c>
      <c r="BK486" s="3">
        <f>+IF(AVANCE[[#This Row],[CIELO]]=Q$2,100%,AVANCE[[#This Row],[CIELO]])</f>
        <v>0</v>
      </c>
      <c r="BL486" s="3">
        <f>+IF(AVANCE[[#This Row],[BALCÓN]]=R$2,100%,AVANCE[[#This Row],[BALCÓN]])</f>
        <v>0</v>
      </c>
      <c r="BM486" s="3">
        <f>+IF(AVANCE[[#This Row],[RED ALCANTARILLADO]]=U$2,100%,AVANCE[[#This Row],[RED ALCANTARILLADO]])</f>
        <v>0</v>
      </c>
      <c r="BN486" s="3">
        <f>+IF(AVANCE[[#This Row],[RED DE AGUA]]=V$2,100%,AVANCE[[#This Row],[RED DE AGUA]])</f>
        <v>0</v>
      </c>
      <c r="BO486" s="3">
        <f>+IF(AVANCE[[#This Row],[VENTILACIONES]]=W$2,100%,AVANCE[[#This Row],[VENTILACIONES]])</f>
        <v>0</v>
      </c>
      <c r="BP486" s="3">
        <f>+IF(AVANCE[[#This Row],[TINA]]=X$2,100%,AVANCE[[#This Row],[TINA]])</f>
        <v>0</v>
      </c>
      <c r="BQ486" s="3">
        <f>+IF(AVANCE[[#This Row],[WC]]=Y$2,100%,AVANCE[[#This Row],[WC]])</f>
        <v>0</v>
      </c>
      <c r="BR486" s="3">
        <f>+IF(AVANCE[[#This Row],[LAVAMANOS / LAVAPLATOS / LAVADERO]]=Z$2,100%,AVANCE[[#This Row],[LAVAMANOS / LAVAPLATOS / LAVADERO]])</f>
        <v>0</v>
      </c>
      <c r="BS486" s="3">
        <f>+IF(AVANCE[[#This Row],[CANALIZACIÓN]]=AC$2,100%,AVANCE[[#This Row],[CANALIZACIÓN]])</f>
        <v>0</v>
      </c>
      <c r="BT486" s="3">
        <f>+IF(AVANCE[[#This Row],[CABLEADO]]=AD$2,100%,AVANCE[[#This Row],[CABLEADO]])</f>
        <v>0</v>
      </c>
      <c r="BU486" s="3">
        <f>+IF(AVANCE[[#This Row],[ARTEFACTOS]]=AE$2,100%,AVANCE[[#This Row],[ARTEFACTOS]])</f>
        <v>0</v>
      </c>
      <c r="BV486" s="3">
        <f>+IF(AVANCE[[#This Row],[TABLERO]]=AF$2,100%,AVANCE[[#This Row],[TABLERO]])</f>
        <v>0</v>
      </c>
      <c r="BW486" s="3">
        <f>+IF(AVANCE[[#This Row],[CAJA PAU]]=AG$2,100%,AVANCE[[#This Row],[CAJA PAU]])</f>
        <v>0</v>
      </c>
      <c r="BX486" s="3">
        <f>+IF(AVANCE[[#This Row],[INSTALACION VINILICO]]=AJ$2,100%,AVANCE[[#This Row],[INSTALACION VINILICO]])</f>
        <v>0</v>
      </c>
      <c r="BY486" s="3">
        <f>+IF(AVANCE[[#This Row],[OSB CUBIERTA]]=AK$2,100%,AVANCE[[#This Row],[OSB CUBIERTA]])</f>
        <v>0</v>
      </c>
      <c r="BZ486" s="3">
        <f>+IF(AVANCE[[#This Row],[BARANDA BALCON]]=AL$2,100%,AVANCE[[#This Row],[BARANDA BALCON]])</f>
        <v>0</v>
      </c>
      <c r="CA486" s="3">
        <f>+IF(AVANCE[[#This Row],[OSB EXTERIOR]]=AM$2,100%,AVANCE[[#This Row],[OSB EXTERIOR]])</f>
        <v>0</v>
      </c>
      <c r="CB486" s="3">
        <f>+IF(AVANCE[[#This Row],[SMART PANEL]]=AN$2,100%,AVANCE[[#This Row],[SMART PANEL]])</f>
        <v>0</v>
      </c>
      <c r="CC486" s="3">
        <f>+IF(AVANCE[[#This Row],[PINTURA EXTERIOR]]=AO$2,100%,AVANCE[[#This Row],[PINTURA EXTERIOR]])</f>
        <v>0</v>
      </c>
      <c r="CD486" s="3">
        <f>+IF(AVANCE[[#This Row],[ZOCALOS LOGIA]]=AP$2,100%,AVANCE[[#This Row],[ZOCALOS LOGIA]])</f>
        <v>0</v>
      </c>
      <c r="CE486" s="3">
        <f>+IF(AVANCE[[#This Row],[MOLDURAS]]=AQ$2,100%,AVANCE[[#This Row],[MOLDURAS]])</f>
        <v>0</v>
      </c>
      <c r="CF486" s="3">
        <f>+IF(AVANCE[[#This Row],[PILASTREO]]=AR$2,100%,AVANCE[[#This Row],[PILASTREO]])</f>
        <v>0</v>
      </c>
      <c r="CG486" s="3">
        <f>+IF(AVANCE[[#This Row],[CELOSIAS]]=AS$2,100%,AVANCE[[#This Row],[CELOSIAS]])</f>
        <v>0</v>
      </c>
      <c r="CH486" s="3">
        <f>+IF(AVANCE[[#This Row],[VENTANAS]]=AT$2,100%,AVANCE[[#This Row],[VENTANAS]])</f>
        <v>0</v>
      </c>
      <c r="CI486" s="3">
        <f>+IF(AVANCE[[#This Row],[PUERTAS ACCESO - LOGIA - BANO]]=AU$2,100%,AVANCE[[#This Row],[PUERTAS ACCESO - LOGIA - BANO]])</f>
        <v>0</v>
      </c>
      <c r="CJ486" s="3">
        <f>+IF(AVANCE[[#This Row],[CERRADURAS]]=AV$2,100%,AVANCE[[#This Row],[CERRADURAS]])</f>
        <v>0</v>
      </c>
      <c r="CK486" s="3">
        <f>+IF(AVANCE[[#This Row],[REVESTIMIENTO INTERIOR ZONA SECA]]=AW$2,100%,AVANCE[[#This Row],[REVESTIMIENTO INTERIOR ZONA SECA]])</f>
        <v>0</v>
      </c>
      <c r="CL486" s="3">
        <f>+IF(AVANCE[[#This Row],[REVESTIMIENTO INTERIOR ZONAS HUMEDAS]]=AX$2,100%,AVANCE[[#This Row],[REVESTIMIENTO INTERIOR ZONAS HUMEDAS]])</f>
        <v>0</v>
      </c>
      <c r="CM486" s="3">
        <f>+IF(AVANCE[[#This Row],[MEMBRANA CIELO]]=AY$2,100%,AVANCE[[#This Row],[MEMBRANA CIELO]])</f>
        <v>0</v>
      </c>
      <c r="CN486" s="3">
        <f>+IF(AVANCE[[#This Row],[LIMPIEZA FINAL]]=AZ$2,100%,AVANCE[[#This Row],[LIMPIEZA FINAL]])</f>
        <v>0</v>
      </c>
      <c r="CO486" s="3">
        <f>+IF(AVANCE[[#This Row],[PUERTAS DORMITORIO]]=BA$2,100%,AVANCE[[#This Row],[PUERTAS DORMITORIO]])</f>
        <v>0</v>
      </c>
      <c r="CP486" s="3">
        <f>+IF(AVANCE[[#This Row],[REVESTIMIENTO INTERIOR BANO]]=BB$2,100%,AVANCE[[#This Row],[REVESTIMIENTO INTERIOR BANO]])</f>
        <v>0</v>
      </c>
      <c r="CQ486" s="3">
        <f>+IF(AVANCE[[#This Row],[MUEBLE LAVAPLATOS]]=BC$2,100%,AVANCE[[#This Row],[MUEBLE LAVAPLATOS]])</f>
        <v>0</v>
      </c>
      <c r="CR486" s="3">
        <f>+IF(AVANCE[[#This Row],[IMPERMEABILIZACION BANO - COCINA LOGIA]]=BD$2,100%,AVANCE[[#This Row],[IMPERMEABILIZACION BANO - COCINA LOGIA]])</f>
        <v>0</v>
      </c>
      <c r="CS486" s="40">
        <f ca="1">+IF(AVANCE[[#This Row],[ESTADO MODULO]]="PENDIENTE",(TODAY()-AVANCE[[#This Row],[FECHA TERMINO  PLANIFICADO]]),0)</f>
        <v>0</v>
      </c>
      <c r="CT486" s="41" t="str" cm="1">
        <f t="array" ref="CT486">_xlfn.TEXTJOIN(" | ",TRUE,IF(SUMPRODUCT((BG486:CR486&lt;1)*(PARTIDAS!$I$2:$AT$2="OBRA GRUESA"))&gt;0,"OBRA GRUESA: "&amp;_xlfn.TEXTJOIN(", ",TRUE,IF((BG486:CR486&lt;1)*(PARTIDAS!$I$2:$AT$2="OBRA GRUESA"),PARTIDAS!$I$1:$AT$1,"")),""),IF(SUMPRODUCT((BG486:CR486&lt;1)*(PARTIDAS!$I$2:$AT$2="SANITARIOS"))&gt;0,"SANITARIOS: "&amp;_xlfn.TEXTJOIN(", ",TRUE,IF((BG486:CR486&lt;1)*(PARTIDAS!$I$2:$AT$2="SANITARIOS"),PARTIDAS!$I$1:$AT$1,"")),""),IF(SUMPRODUCT((BG486:CR486&lt;1)*(PARTIDAS!$I$2:$AT$2="ELÉCTRICO"))&gt;0,"ELÉCTRICO: "&amp;_xlfn.TEXTJOIN(", ",TRUE,IF((BG486:CR486&lt;1)*(PARTIDAS!$I$2:$AT$2="ELÉCTRICO"),PARTIDAS!$I$1:$AT$1,"")),""),IF(SUMPRODUCT((BG486:CR486&lt;1)*(PARTIDAS!$I$2:$AT$2="TERMINACIONES"))&gt;0,"TERMINACIONES: "&amp;_xlfn.TEXTJOIN(", ",TRUE,IF((BG486:CR486&lt;1)*(PARTIDAS!$I$2:$AT$2="TERMINACIONES"),PARTIDAS!$I$1:$AT$1,"")),""))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6" s="43" t="str" cm="1">
        <f t="array" ref="CU486">_xlfn.TEXTJOIN(", ",TRUE,IF(SUMPRODUCT((BG486:CR486&lt;1)*(PARTIDAS!$I$2:$AT$2="OBRA GRUESA"))&gt;0,"OBRA GRUESA",""),IF(SUMPRODUCT((BG486:CR486&lt;1)*(PARTIDAS!$I$2:$AT$2="SANITARIOS"))&gt;0,"SANITARIOS",""),IF(SUMPRODUCT((BG486:CR486&lt;1)*(PARTIDAS!$I$2:$AT$2="ELÉCTRICO"))&gt;0,"ELÉCTRICO",""),IF(SUMPRODUCT((BG486:CR486&lt;1)*(PARTIDAS!$I$2:$AT$2="TERMINACIONES"))&gt;0,"TERMINACIONES",""))</f>
        <v>OBRA GRUESA, SANITARIOS, ELÉCTRICO, TERMINACIONES</v>
      </c>
      <c r="CV486" s="44" cm="1">
        <f t="array" ref="CV486">SUMPRODUCT(--(BG486:CR486&lt;1))</f>
        <v>38</v>
      </c>
    </row>
    <row r="487" spans="1:100" hidden="1" x14ac:dyDescent="0.25">
      <c r="A487" t="s">
        <v>553</v>
      </c>
      <c r="B487" t="s">
        <v>559</v>
      </c>
      <c r="C487">
        <v>2302600486</v>
      </c>
      <c r="D487" t="s">
        <v>60</v>
      </c>
      <c r="E487" s="2">
        <v>0</v>
      </c>
      <c r="F487" s="1">
        <v>46384</v>
      </c>
      <c r="G487" s="1"/>
      <c r="H487" s="1">
        <v>0</v>
      </c>
      <c r="I487" s="1">
        <v>46414</v>
      </c>
      <c r="J487">
        <v>46230</v>
      </c>
      <c r="K487" s="1"/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>
        <v>31.32</v>
      </c>
      <c r="BF487" s="3" t="str">
        <f>+IF(AVANCE[[#This Row],[% AVANCE]]=100%,"MODULO TERMINADO",IF(AVANCE[[#This Row],[FECHA INICIO REAL]]="","MODULO NO INICIADO","PENDIENTE"))</f>
        <v>MODULO NO INICIADO</v>
      </c>
      <c r="BG487" s="3">
        <f>+IF(AVANCE[[#This Row],[VENTANAS]]=8.10810810810811%,100%,AVANCE[[#This Row],[VENTANAS]])</f>
        <v>0</v>
      </c>
      <c r="BH487" s="3">
        <f>+IF(AVANCE[[#This Row],[PISO]]=N$2,100%,AVANCE[[#This Row],[PISO]])</f>
        <v>0</v>
      </c>
      <c r="BI487" s="3">
        <f>+IF(AVANCE[[#This Row],[TABIQUES]]=O$2,100%,AVANCE[[#This Row],[TABIQUES]])</f>
        <v>0</v>
      </c>
      <c r="BJ487" s="3">
        <f>+IF(AVANCE[[#This Row],[MUROS]]=P$2,100%,AVANCE[[#This Row],[MUROS]])</f>
        <v>0</v>
      </c>
      <c r="BK487" s="3">
        <f>+IF(AVANCE[[#This Row],[CIELO]]=Q$2,100%,AVANCE[[#This Row],[CIELO]])</f>
        <v>0</v>
      </c>
      <c r="BL487" s="3">
        <f>+IF(AVANCE[[#This Row],[BALCÓN]]=R$2,100%,AVANCE[[#This Row],[BALCÓN]])</f>
        <v>0</v>
      </c>
      <c r="BM487" s="3">
        <f>+IF(AVANCE[[#This Row],[RED ALCANTARILLADO]]=U$2,100%,AVANCE[[#This Row],[RED ALCANTARILLADO]])</f>
        <v>0</v>
      </c>
      <c r="BN487" s="3">
        <f>+IF(AVANCE[[#This Row],[RED DE AGUA]]=V$2,100%,AVANCE[[#This Row],[RED DE AGUA]])</f>
        <v>0</v>
      </c>
      <c r="BO487" s="3">
        <f>+IF(AVANCE[[#This Row],[VENTILACIONES]]=W$2,100%,AVANCE[[#This Row],[VENTILACIONES]])</f>
        <v>0</v>
      </c>
      <c r="BP487" s="3">
        <f>+IF(AVANCE[[#This Row],[TINA]]=X$2,100%,AVANCE[[#This Row],[TINA]])</f>
        <v>0</v>
      </c>
      <c r="BQ487" s="3">
        <f>+IF(AVANCE[[#This Row],[WC]]=Y$2,100%,AVANCE[[#This Row],[WC]])</f>
        <v>0</v>
      </c>
      <c r="BR487" s="3">
        <f>+IF(AVANCE[[#This Row],[LAVAMANOS / LAVAPLATOS / LAVADERO]]=Z$2,100%,AVANCE[[#This Row],[LAVAMANOS / LAVAPLATOS / LAVADERO]])</f>
        <v>0</v>
      </c>
      <c r="BS487" s="3">
        <f>+IF(AVANCE[[#This Row],[CANALIZACIÓN]]=AC$2,100%,AVANCE[[#This Row],[CANALIZACIÓN]])</f>
        <v>0</v>
      </c>
      <c r="BT487" s="3">
        <f>+IF(AVANCE[[#This Row],[CABLEADO]]=AD$2,100%,AVANCE[[#This Row],[CABLEADO]])</f>
        <v>0</v>
      </c>
      <c r="BU487" s="3">
        <f>+IF(AVANCE[[#This Row],[ARTEFACTOS]]=AE$2,100%,AVANCE[[#This Row],[ARTEFACTOS]])</f>
        <v>0</v>
      </c>
      <c r="BV487" s="3">
        <f>+IF(AVANCE[[#This Row],[TABLERO]]=AF$2,100%,AVANCE[[#This Row],[TABLERO]])</f>
        <v>0</v>
      </c>
      <c r="BW487" s="3">
        <f>+IF(AVANCE[[#This Row],[CAJA PAU]]=AG$2,100%,AVANCE[[#This Row],[CAJA PAU]])</f>
        <v>0</v>
      </c>
      <c r="BX487" s="3">
        <f>+IF(AVANCE[[#This Row],[INSTALACION VINILICO]]=AJ$2,100%,AVANCE[[#This Row],[INSTALACION VINILICO]])</f>
        <v>0</v>
      </c>
      <c r="BY487" s="3">
        <f>+IF(AVANCE[[#This Row],[OSB CUBIERTA]]=AK$2,100%,AVANCE[[#This Row],[OSB CUBIERTA]])</f>
        <v>0</v>
      </c>
      <c r="BZ487" s="3">
        <f>+IF(AVANCE[[#This Row],[BARANDA BALCON]]=AL$2,100%,AVANCE[[#This Row],[BARANDA BALCON]])</f>
        <v>0</v>
      </c>
      <c r="CA487" s="3">
        <f>+IF(AVANCE[[#This Row],[OSB EXTERIOR]]=AM$2,100%,AVANCE[[#This Row],[OSB EXTERIOR]])</f>
        <v>0</v>
      </c>
      <c r="CB487" s="3">
        <f>+IF(AVANCE[[#This Row],[SMART PANEL]]=AN$2,100%,AVANCE[[#This Row],[SMART PANEL]])</f>
        <v>0</v>
      </c>
      <c r="CC487" s="3">
        <f>+IF(AVANCE[[#This Row],[PINTURA EXTERIOR]]=AO$2,100%,AVANCE[[#This Row],[PINTURA EXTERIOR]])</f>
        <v>0</v>
      </c>
      <c r="CD487" s="3">
        <f>+IF(AVANCE[[#This Row],[ZOCALOS LOGIA]]=AP$2,100%,AVANCE[[#This Row],[ZOCALOS LOGIA]])</f>
        <v>0</v>
      </c>
      <c r="CE487" s="3">
        <f>+IF(AVANCE[[#This Row],[MOLDURAS]]=AQ$2,100%,AVANCE[[#This Row],[MOLDURAS]])</f>
        <v>0</v>
      </c>
      <c r="CF487" s="3">
        <f>+IF(AVANCE[[#This Row],[PILASTREO]]=AR$2,100%,AVANCE[[#This Row],[PILASTREO]])</f>
        <v>0</v>
      </c>
      <c r="CG487" s="3">
        <f>+IF(AVANCE[[#This Row],[CELOSIAS]]=AS$2,100%,AVANCE[[#This Row],[CELOSIAS]])</f>
        <v>0</v>
      </c>
      <c r="CH487" s="3">
        <f>+IF(AVANCE[[#This Row],[VENTANAS]]=AT$2,100%,AVANCE[[#This Row],[VENTANAS]])</f>
        <v>0</v>
      </c>
      <c r="CI487" s="3">
        <f>+IF(AVANCE[[#This Row],[PUERTAS ACCESO - LOGIA - BANO]]=AU$2,100%,AVANCE[[#This Row],[PUERTAS ACCESO - LOGIA - BANO]])</f>
        <v>0</v>
      </c>
      <c r="CJ487" s="3">
        <f>+IF(AVANCE[[#This Row],[CERRADURAS]]=AV$2,100%,AVANCE[[#This Row],[CERRADURAS]])</f>
        <v>0</v>
      </c>
      <c r="CK487" s="3">
        <f>+IF(AVANCE[[#This Row],[REVESTIMIENTO INTERIOR ZONA SECA]]=AW$2,100%,AVANCE[[#This Row],[REVESTIMIENTO INTERIOR ZONA SECA]])</f>
        <v>0</v>
      </c>
      <c r="CL487" s="3">
        <f>+IF(AVANCE[[#This Row],[REVESTIMIENTO INTERIOR ZONAS HUMEDAS]]=AX$2,100%,AVANCE[[#This Row],[REVESTIMIENTO INTERIOR ZONAS HUMEDAS]])</f>
        <v>0</v>
      </c>
      <c r="CM487" s="3">
        <f>+IF(AVANCE[[#This Row],[MEMBRANA CIELO]]=AY$2,100%,AVANCE[[#This Row],[MEMBRANA CIELO]])</f>
        <v>0</v>
      </c>
      <c r="CN487" s="3">
        <f>+IF(AVANCE[[#This Row],[LIMPIEZA FINAL]]=AZ$2,100%,AVANCE[[#This Row],[LIMPIEZA FINAL]])</f>
        <v>0</v>
      </c>
      <c r="CO487" s="3">
        <f>+IF(AVANCE[[#This Row],[PUERTAS DORMITORIO]]=BA$2,100%,AVANCE[[#This Row],[PUERTAS DORMITORIO]])</f>
        <v>0</v>
      </c>
      <c r="CP487" s="3">
        <f>+IF(AVANCE[[#This Row],[REVESTIMIENTO INTERIOR BANO]]=BB$2,100%,AVANCE[[#This Row],[REVESTIMIENTO INTERIOR BANO]])</f>
        <v>0</v>
      </c>
      <c r="CQ487" s="3">
        <f>+IF(AVANCE[[#This Row],[MUEBLE LAVAPLATOS]]=BC$2,100%,AVANCE[[#This Row],[MUEBLE LAVAPLATOS]])</f>
        <v>0</v>
      </c>
      <c r="CR487" s="3">
        <f>+IF(AVANCE[[#This Row],[IMPERMEABILIZACION BANO - COCINA LOGIA]]=BD$2,100%,AVANCE[[#This Row],[IMPERMEABILIZACION BANO - COCINA LOGIA]])</f>
        <v>0</v>
      </c>
      <c r="CS487" s="40">
        <f ca="1">+IF(AVANCE[[#This Row],[ESTADO MODULO]]="PENDIENTE",(TODAY()-AVANCE[[#This Row],[FECHA TERMINO  PLANIFICADO]]),0)</f>
        <v>0</v>
      </c>
      <c r="CT487" s="41" t="str" cm="1">
        <f t="array" ref="CT487">_xlfn.TEXTJOIN(" | ",TRUE,IF(SUMPRODUCT((BG487:CR487&lt;1)*(PARTIDAS!$I$2:$AT$2="OBRA GRUESA"))&gt;0,"OBRA GRUESA: "&amp;_xlfn.TEXTJOIN(", ",TRUE,IF((BG487:CR487&lt;1)*(PARTIDAS!$I$2:$AT$2="OBRA GRUESA"),PARTIDAS!$I$1:$AT$1,"")),""),IF(SUMPRODUCT((BG487:CR487&lt;1)*(PARTIDAS!$I$2:$AT$2="SANITARIOS"))&gt;0,"SANITARIOS: "&amp;_xlfn.TEXTJOIN(", ",TRUE,IF((BG487:CR487&lt;1)*(PARTIDAS!$I$2:$AT$2="SANITARIOS"),PARTIDAS!$I$1:$AT$1,"")),""),IF(SUMPRODUCT((BG487:CR487&lt;1)*(PARTIDAS!$I$2:$AT$2="ELÉCTRICO"))&gt;0,"ELÉCTRICO: "&amp;_xlfn.TEXTJOIN(", ",TRUE,IF((BG487:CR487&lt;1)*(PARTIDAS!$I$2:$AT$2="ELÉCTRICO"),PARTIDAS!$I$1:$AT$1,"")),""),IF(SUMPRODUCT((BG487:CR487&lt;1)*(PARTIDAS!$I$2:$AT$2="TERMINACIONES"))&gt;0,"TERMINACIONES: "&amp;_xlfn.TEXTJOIN(", ",TRUE,IF((BG487:CR487&lt;1)*(PARTIDAS!$I$2:$AT$2="TERMINACIONES"),PARTIDAS!$I$1:$AT$1,"")),""))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7" s="43" t="str" cm="1">
        <f t="array" ref="CU487">_xlfn.TEXTJOIN(", ",TRUE,IF(SUMPRODUCT((BG487:CR487&lt;1)*(PARTIDAS!$I$2:$AT$2="OBRA GRUESA"))&gt;0,"OBRA GRUESA",""),IF(SUMPRODUCT((BG487:CR487&lt;1)*(PARTIDAS!$I$2:$AT$2="SANITARIOS"))&gt;0,"SANITARIOS",""),IF(SUMPRODUCT((BG487:CR487&lt;1)*(PARTIDAS!$I$2:$AT$2="ELÉCTRICO"))&gt;0,"ELÉCTRICO",""),IF(SUMPRODUCT((BG487:CR487&lt;1)*(PARTIDAS!$I$2:$AT$2="TERMINACIONES"))&gt;0,"TERMINACIONES",""))</f>
        <v>OBRA GRUESA, SANITARIOS, ELÉCTRICO, TERMINACIONES</v>
      </c>
      <c r="CV487" s="44" cm="1">
        <f t="array" ref="CV487">SUMPRODUCT(--(BG487:CR487&lt;1))</f>
        <v>38</v>
      </c>
    </row>
    <row r="488" spans="1:100" hidden="1" x14ac:dyDescent="0.25">
      <c r="A488" t="s">
        <v>553</v>
      </c>
      <c r="B488" t="s">
        <v>560</v>
      </c>
      <c r="C488">
        <v>2302600487</v>
      </c>
      <c r="D488" t="s">
        <v>60</v>
      </c>
      <c r="E488" s="2">
        <v>0</v>
      </c>
      <c r="F488" s="1">
        <v>46384</v>
      </c>
      <c r="G488" s="1"/>
      <c r="H488" s="1">
        <v>0</v>
      </c>
      <c r="I488" s="1">
        <v>46414</v>
      </c>
      <c r="J488">
        <v>46230</v>
      </c>
      <c r="K488" s="1"/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>
        <v>31.32</v>
      </c>
      <c r="BF488" s="3" t="str">
        <f>+IF(AVANCE[[#This Row],[% AVANCE]]=100%,"MODULO TERMINADO",IF(AVANCE[[#This Row],[FECHA INICIO REAL]]="","MODULO NO INICIADO","PENDIENTE"))</f>
        <v>MODULO NO INICIADO</v>
      </c>
      <c r="BG488" s="3">
        <f>+IF(AVANCE[[#This Row],[VENTANAS]]=8.10810810810811%,100%,AVANCE[[#This Row],[VENTANAS]])</f>
        <v>0</v>
      </c>
      <c r="BH488" s="3">
        <f>+IF(AVANCE[[#This Row],[PISO]]=N$2,100%,AVANCE[[#This Row],[PISO]])</f>
        <v>0</v>
      </c>
      <c r="BI488" s="3">
        <f>+IF(AVANCE[[#This Row],[TABIQUES]]=O$2,100%,AVANCE[[#This Row],[TABIQUES]])</f>
        <v>0</v>
      </c>
      <c r="BJ488" s="3">
        <f>+IF(AVANCE[[#This Row],[MUROS]]=P$2,100%,AVANCE[[#This Row],[MUROS]])</f>
        <v>0</v>
      </c>
      <c r="BK488" s="3">
        <f>+IF(AVANCE[[#This Row],[CIELO]]=Q$2,100%,AVANCE[[#This Row],[CIELO]])</f>
        <v>0</v>
      </c>
      <c r="BL488" s="3">
        <f>+IF(AVANCE[[#This Row],[BALCÓN]]=R$2,100%,AVANCE[[#This Row],[BALCÓN]])</f>
        <v>0</v>
      </c>
      <c r="BM488" s="3">
        <f>+IF(AVANCE[[#This Row],[RED ALCANTARILLADO]]=U$2,100%,AVANCE[[#This Row],[RED ALCANTARILLADO]])</f>
        <v>0</v>
      </c>
      <c r="BN488" s="3">
        <f>+IF(AVANCE[[#This Row],[RED DE AGUA]]=V$2,100%,AVANCE[[#This Row],[RED DE AGUA]])</f>
        <v>0</v>
      </c>
      <c r="BO488" s="3">
        <f>+IF(AVANCE[[#This Row],[VENTILACIONES]]=W$2,100%,AVANCE[[#This Row],[VENTILACIONES]])</f>
        <v>0</v>
      </c>
      <c r="BP488" s="3">
        <f>+IF(AVANCE[[#This Row],[TINA]]=X$2,100%,AVANCE[[#This Row],[TINA]])</f>
        <v>0</v>
      </c>
      <c r="BQ488" s="3">
        <f>+IF(AVANCE[[#This Row],[WC]]=Y$2,100%,AVANCE[[#This Row],[WC]])</f>
        <v>0</v>
      </c>
      <c r="BR488" s="3">
        <f>+IF(AVANCE[[#This Row],[LAVAMANOS / LAVAPLATOS / LAVADERO]]=Z$2,100%,AVANCE[[#This Row],[LAVAMANOS / LAVAPLATOS / LAVADERO]])</f>
        <v>0</v>
      </c>
      <c r="BS488" s="3">
        <f>+IF(AVANCE[[#This Row],[CANALIZACIÓN]]=AC$2,100%,AVANCE[[#This Row],[CANALIZACIÓN]])</f>
        <v>0</v>
      </c>
      <c r="BT488" s="3">
        <f>+IF(AVANCE[[#This Row],[CABLEADO]]=AD$2,100%,AVANCE[[#This Row],[CABLEADO]])</f>
        <v>0</v>
      </c>
      <c r="BU488" s="3">
        <f>+IF(AVANCE[[#This Row],[ARTEFACTOS]]=AE$2,100%,AVANCE[[#This Row],[ARTEFACTOS]])</f>
        <v>0</v>
      </c>
      <c r="BV488" s="3">
        <f>+IF(AVANCE[[#This Row],[TABLERO]]=AF$2,100%,AVANCE[[#This Row],[TABLERO]])</f>
        <v>0</v>
      </c>
      <c r="BW488" s="3">
        <f>+IF(AVANCE[[#This Row],[CAJA PAU]]=AG$2,100%,AVANCE[[#This Row],[CAJA PAU]])</f>
        <v>0</v>
      </c>
      <c r="BX488" s="3">
        <f>+IF(AVANCE[[#This Row],[INSTALACION VINILICO]]=AJ$2,100%,AVANCE[[#This Row],[INSTALACION VINILICO]])</f>
        <v>0</v>
      </c>
      <c r="BY488" s="3">
        <f>+IF(AVANCE[[#This Row],[OSB CUBIERTA]]=AK$2,100%,AVANCE[[#This Row],[OSB CUBIERTA]])</f>
        <v>0</v>
      </c>
      <c r="BZ488" s="3">
        <f>+IF(AVANCE[[#This Row],[BARANDA BALCON]]=AL$2,100%,AVANCE[[#This Row],[BARANDA BALCON]])</f>
        <v>0</v>
      </c>
      <c r="CA488" s="3">
        <f>+IF(AVANCE[[#This Row],[OSB EXTERIOR]]=AM$2,100%,AVANCE[[#This Row],[OSB EXTERIOR]])</f>
        <v>0</v>
      </c>
      <c r="CB488" s="3">
        <f>+IF(AVANCE[[#This Row],[SMART PANEL]]=AN$2,100%,AVANCE[[#This Row],[SMART PANEL]])</f>
        <v>0</v>
      </c>
      <c r="CC488" s="3">
        <f>+IF(AVANCE[[#This Row],[PINTURA EXTERIOR]]=AO$2,100%,AVANCE[[#This Row],[PINTURA EXTERIOR]])</f>
        <v>0</v>
      </c>
      <c r="CD488" s="3">
        <f>+IF(AVANCE[[#This Row],[ZOCALOS LOGIA]]=AP$2,100%,AVANCE[[#This Row],[ZOCALOS LOGIA]])</f>
        <v>0</v>
      </c>
      <c r="CE488" s="3">
        <f>+IF(AVANCE[[#This Row],[MOLDURAS]]=AQ$2,100%,AVANCE[[#This Row],[MOLDURAS]])</f>
        <v>0</v>
      </c>
      <c r="CF488" s="3">
        <f>+IF(AVANCE[[#This Row],[PILASTREO]]=AR$2,100%,AVANCE[[#This Row],[PILASTREO]])</f>
        <v>0</v>
      </c>
      <c r="CG488" s="3">
        <f>+IF(AVANCE[[#This Row],[CELOSIAS]]=AS$2,100%,AVANCE[[#This Row],[CELOSIAS]])</f>
        <v>0</v>
      </c>
      <c r="CH488" s="3">
        <f>+IF(AVANCE[[#This Row],[VENTANAS]]=AT$2,100%,AVANCE[[#This Row],[VENTANAS]])</f>
        <v>0</v>
      </c>
      <c r="CI488" s="3">
        <f>+IF(AVANCE[[#This Row],[PUERTAS ACCESO - LOGIA - BANO]]=AU$2,100%,AVANCE[[#This Row],[PUERTAS ACCESO - LOGIA - BANO]])</f>
        <v>0</v>
      </c>
      <c r="CJ488" s="3">
        <f>+IF(AVANCE[[#This Row],[CERRADURAS]]=AV$2,100%,AVANCE[[#This Row],[CERRADURAS]])</f>
        <v>0</v>
      </c>
      <c r="CK488" s="3">
        <f>+IF(AVANCE[[#This Row],[REVESTIMIENTO INTERIOR ZONA SECA]]=AW$2,100%,AVANCE[[#This Row],[REVESTIMIENTO INTERIOR ZONA SECA]])</f>
        <v>0</v>
      </c>
      <c r="CL488" s="3">
        <f>+IF(AVANCE[[#This Row],[REVESTIMIENTO INTERIOR ZONAS HUMEDAS]]=AX$2,100%,AVANCE[[#This Row],[REVESTIMIENTO INTERIOR ZONAS HUMEDAS]])</f>
        <v>0</v>
      </c>
      <c r="CM488" s="3">
        <f>+IF(AVANCE[[#This Row],[MEMBRANA CIELO]]=AY$2,100%,AVANCE[[#This Row],[MEMBRANA CIELO]])</f>
        <v>0</v>
      </c>
      <c r="CN488" s="3">
        <f>+IF(AVANCE[[#This Row],[LIMPIEZA FINAL]]=AZ$2,100%,AVANCE[[#This Row],[LIMPIEZA FINAL]])</f>
        <v>0</v>
      </c>
      <c r="CO488" s="3">
        <f>+IF(AVANCE[[#This Row],[PUERTAS DORMITORIO]]=BA$2,100%,AVANCE[[#This Row],[PUERTAS DORMITORIO]])</f>
        <v>0</v>
      </c>
      <c r="CP488" s="3">
        <f>+IF(AVANCE[[#This Row],[REVESTIMIENTO INTERIOR BANO]]=BB$2,100%,AVANCE[[#This Row],[REVESTIMIENTO INTERIOR BANO]])</f>
        <v>0</v>
      </c>
      <c r="CQ488" s="3">
        <f>+IF(AVANCE[[#This Row],[MUEBLE LAVAPLATOS]]=BC$2,100%,AVANCE[[#This Row],[MUEBLE LAVAPLATOS]])</f>
        <v>0</v>
      </c>
      <c r="CR488" s="3">
        <f>+IF(AVANCE[[#This Row],[IMPERMEABILIZACION BANO - COCINA LOGIA]]=BD$2,100%,AVANCE[[#This Row],[IMPERMEABILIZACION BANO - COCINA LOGIA]])</f>
        <v>0</v>
      </c>
      <c r="CS488" s="40">
        <f ca="1">+IF(AVANCE[[#This Row],[ESTADO MODULO]]="PENDIENTE",(TODAY()-AVANCE[[#This Row],[FECHA TERMINO  PLANIFICADO]]),0)</f>
        <v>0</v>
      </c>
      <c r="CT488" s="41" t="str" cm="1">
        <f t="array" ref="CT488">_xlfn.TEXTJOIN(" | ",TRUE,IF(SUMPRODUCT((BG488:CR488&lt;1)*(PARTIDAS!$I$2:$AT$2="OBRA GRUESA"))&gt;0,"OBRA GRUESA: "&amp;_xlfn.TEXTJOIN(", ",TRUE,IF((BG488:CR488&lt;1)*(PARTIDAS!$I$2:$AT$2="OBRA GRUESA"),PARTIDAS!$I$1:$AT$1,"")),""),IF(SUMPRODUCT((BG488:CR488&lt;1)*(PARTIDAS!$I$2:$AT$2="SANITARIOS"))&gt;0,"SANITARIOS: "&amp;_xlfn.TEXTJOIN(", ",TRUE,IF((BG488:CR488&lt;1)*(PARTIDAS!$I$2:$AT$2="SANITARIOS"),PARTIDAS!$I$1:$AT$1,"")),""),IF(SUMPRODUCT((BG488:CR488&lt;1)*(PARTIDAS!$I$2:$AT$2="ELÉCTRICO"))&gt;0,"ELÉCTRICO: "&amp;_xlfn.TEXTJOIN(", ",TRUE,IF((BG488:CR488&lt;1)*(PARTIDAS!$I$2:$AT$2="ELÉCTRICO"),PARTIDAS!$I$1:$AT$1,"")),""),IF(SUMPRODUCT((BG488:CR488&lt;1)*(PARTIDAS!$I$2:$AT$2="TERMINACIONES"))&gt;0,"TERMINACIONES: "&amp;_xlfn.TEXTJOIN(", ",TRUE,IF((BG488:CR488&lt;1)*(PARTIDAS!$I$2:$AT$2="TERMINACIONES"),PARTIDAS!$I$1:$AT$1,"")),""))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8" s="43" t="str" cm="1">
        <f t="array" ref="CU488">_xlfn.TEXTJOIN(", ",TRUE,IF(SUMPRODUCT((BG488:CR488&lt;1)*(PARTIDAS!$I$2:$AT$2="OBRA GRUESA"))&gt;0,"OBRA GRUESA",""),IF(SUMPRODUCT((BG488:CR488&lt;1)*(PARTIDAS!$I$2:$AT$2="SANITARIOS"))&gt;0,"SANITARIOS",""),IF(SUMPRODUCT((BG488:CR488&lt;1)*(PARTIDAS!$I$2:$AT$2="ELÉCTRICO"))&gt;0,"ELÉCTRICO",""),IF(SUMPRODUCT((BG488:CR488&lt;1)*(PARTIDAS!$I$2:$AT$2="TERMINACIONES"))&gt;0,"TERMINACIONES",""))</f>
        <v>OBRA GRUESA, SANITARIOS, ELÉCTRICO, TERMINACIONES</v>
      </c>
      <c r="CV488" s="44" cm="1">
        <f t="array" ref="CV488">SUMPRODUCT(--(BG488:CR488&lt;1))</f>
        <v>38</v>
      </c>
    </row>
    <row r="489" spans="1:100" hidden="1" x14ac:dyDescent="0.25">
      <c r="A489" t="s">
        <v>553</v>
      </c>
      <c r="B489" t="s">
        <v>561</v>
      </c>
      <c r="C489">
        <v>2282600488</v>
      </c>
      <c r="D489" t="s">
        <v>58</v>
      </c>
      <c r="E489" s="2">
        <v>0</v>
      </c>
      <c r="F489" s="1">
        <v>46385</v>
      </c>
      <c r="G489" s="1"/>
      <c r="H489" s="1">
        <v>0</v>
      </c>
      <c r="I489" s="1">
        <v>46405</v>
      </c>
      <c r="J489">
        <v>46230</v>
      </c>
      <c r="K489" s="1"/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>
        <v>28.87</v>
      </c>
      <c r="BF489" s="3" t="str">
        <f>+IF(AVANCE[[#This Row],[% AVANCE]]=100%,"MODULO TERMINADO",IF(AVANCE[[#This Row],[FECHA INICIO REAL]]="","MODULO NO INICIADO","PENDIENTE"))</f>
        <v>MODULO NO INICIADO</v>
      </c>
      <c r="BG489" s="3">
        <f>+IF(AVANCE[[#This Row],[VENTANAS]]=8.10810810810811%,100%,AVANCE[[#This Row],[VENTANAS]])</f>
        <v>0</v>
      </c>
      <c r="BH489" s="3">
        <f>+IF(AVANCE[[#This Row],[PISO]]=N$2,100%,AVANCE[[#This Row],[PISO]])</f>
        <v>0</v>
      </c>
      <c r="BI489" s="3">
        <f>+IF(AVANCE[[#This Row],[TABIQUES]]=O$2,100%,AVANCE[[#This Row],[TABIQUES]])</f>
        <v>0</v>
      </c>
      <c r="BJ489" s="3">
        <f>+IF(AVANCE[[#This Row],[MUROS]]=P$2,100%,AVANCE[[#This Row],[MUROS]])</f>
        <v>0</v>
      </c>
      <c r="BK489" s="3">
        <f>+IF(AVANCE[[#This Row],[CIELO]]=Q$2,100%,AVANCE[[#This Row],[CIELO]])</f>
        <v>0</v>
      </c>
      <c r="BL489" s="3">
        <f>+IF(AVANCE[[#This Row],[BALCÓN]]=R$2,100%,AVANCE[[#This Row],[BALCÓN]])</f>
        <v>0</v>
      </c>
      <c r="BM489" s="3">
        <f>+IF(AVANCE[[#This Row],[RED ALCANTARILLADO]]=U$2,100%,AVANCE[[#This Row],[RED ALCANTARILLADO]])</f>
        <v>0</v>
      </c>
      <c r="BN489" s="3">
        <f>+IF(AVANCE[[#This Row],[RED DE AGUA]]=V$2,100%,AVANCE[[#This Row],[RED DE AGUA]])</f>
        <v>0</v>
      </c>
      <c r="BO489" s="3">
        <f>+IF(AVANCE[[#This Row],[VENTILACIONES]]=W$2,100%,AVANCE[[#This Row],[VENTILACIONES]])</f>
        <v>0</v>
      </c>
      <c r="BP489" s="3">
        <f>+IF(AVANCE[[#This Row],[TINA]]=X$2,100%,AVANCE[[#This Row],[TINA]])</f>
        <v>0</v>
      </c>
      <c r="BQ489" s="3">
        <f>+IF(AVANCE[[#This Row],[WC]]=Y$2,100%,AVANCE[[#This Row],[WC]])</f>
        <v>0</v>
      </c>
      <c r="BR489" s="3">
        <f>+IF(AVANCE[[#This Row],[LAVAMANOS / LAVAPLATOS / LAVADERO]]=Z$2,100%,AVANCE[[#This Row],[LAVAMANOS / LAVAPLATOS / LAVADERO]])</f>
        <v>0</v>
      </c>
      <c r="BS489" s="3">
        <f>+IF(AVANCE[[#This Row],[CANALIZACIÓN]]=AC$2,100%,AVANCE[[#This Row],[CANALIZACIÓN]])</f>
        <v>0</v>
      </c>
      <c r="BT489" s="3">
        <f>+IF(AVANCE[[#This Row],[CABLEADO]]=AD$2,100%,AVANCE[[#This Row],[CABLEADO]])</f>
        <v>0</v>
      </c>
      <c r="BU489" s="3">
        <f>+IF(AVANCE[[#This Row],[ARTEFACTOS]]=AE$2,100%,AVANCE[[#This Row],[ARTEFACTOS]])</f>
        <v>0</v>
      </c>
      <c r="BV489" s="3">
        <f>+IF(AVANCE[[#This Row],[TABLERO]]=AF$2,100%,AVANCE[[#This Row],[TABLERO]])</f>
        <v>0</v>
      </c>
      <c r="BW489" s="3">
        <f>+IF(AVANCE[[#This Row],[CAJA PAU]]=AG$2,100%,AVANCE[[#This Row],[CAJA PAU]])</f>
        <v>0</v>
      </c>
      <c r="BX489" s="3">
        <f>+IF(AVANCE[[#This Row],[INSTALACION VINILICO]]=AJ$2,100%,AVANCE[[#This Row],[INSTALACION VINILICO]])</f>
        <v>0</v>
      </c>
      <c r="BY489" s="3">
        <f>+IF(AVANCE[[#This Row],[OSB CUBIERTA]]=AK$2,100%,AVANCE[[#This Row],[OSB CUBIERTA]])</f>
        <v>0</v>
      </c>
      <c r="BZ489" s="3">
        <f>+IF(AVANCE[[#This Row],[BARANDA BALCON]]=AL$2,100%,AVANCE[[#This Row],[BARANDA BALCON]])</f>
        <v>0</v>
      </c>
      <c r="CA489" s="3">
        <f>+IF(AVANCE[[#This Row],[OSB EXTERIOR]]=AM$2,100%,AVANCE[[#This Row],[OSB EXTERIOR]])</f>
        <v>0</v>
      </c>
      <c r="CB489" s="3">
        <f>+IF(AVANCE[[#This Row],[SMART PANEL]]=AN$2,100%,AVANCE[[#This Row],[SMART PANEL]])</f>
        <v>0</v>
      </c>
      <c r="CC489" s="3">
        <f>+IF(AVANCE[[#This Row],[PINTURA EXTERIOR]]=AO$2,100%,AVANCE[[#This Row],[PINTURA EXTERIOR]])</f>
        <v>0</v>
      </c>
      <c r="CD489" s="3">
        <f>+IF(AVANCE[[#This Row],[ZOCALOS LOGIA]]=AP$2,100%,AVANCE[[#This Row],[ZOCALOS LOGIA]])</f>
        <v>0</v>
      </c>
      <c r="CE489" s="3">
        <f>+IF(AVANCE[[#This Row],[MOLDURAS]]=AQ$2,100%,AVANCE[[#This Row],[MOLDURAS]])</f>
        <v>0</v>
      </c>
      <c r="CF489" s="3">
        <f>+IF(AVANCE[[#This Row],[PILASTREO]]=AR$2,100%,AVANCE[[#This Row],[PILASTREO]])</f>
        <v>0</v>
      </c>
      <c r="CG489" s="3">
        <f>+IF(AVANCE[[#This Row],[CELOSIAS]]=AS$2,100%,AVANCE[[#This Row],[CELOSIAS]])</f>
        <v>0</v>
      </c>
      <c r="CH489" s="3">
        <f>+IF(AVANCE[[#This Row],[VENTANAS]]=AT$2,100%,AVANCE[[#This Row],[VENTANAS]])</f>
        <v>0</v>
      </c>
      <c r="CI489" s="3">
        <f>+IF(AVANCE[[#This Row],[PUERTAS ACCESO - LOGIA - BANO]]=AU$2,100%,AVANCE[[#This Row],[PUERTAS ACCESO - LOGIA - BANO]])</f>
        <v>0</v>
      </c>
      <c r="CJ489" s="3">
        <f>+IF(AVANCE[[#This Row],[CERRADURAS]]=AV$2,100%,AVANCE[[#This Row],[CERRADURAS]])</f>
        <v>0</v>
      </c>
      <c r="CK489" s="3">
        <f>+IF(AVANCE[[#This Row],[REVESTIMIENTO INTERIOR ZONA SECA]]=AW$2,100%,AVANCE[[#This Row],[REVESTIMIENTO INTERIOR ZONA SECA]])</f>
        <v>0</v>
      </c>
      <c r="CL489" s="3">
        <f>+IF(AVANCE[[#This Row],[REVESTIMIENTO INTERIOR ZONAS HUMEDAS]]=AX$2,100%,AVANCE[[#This Row],[REVESTIMIENTO INTERIOR ZONAS HUMEDAS]])</f>
        <v>0</v>
      </c>
      <c r="CM489" s="3">
        <f>+IF(AVANCE[[#This Row],[MEMBRANA CIELO]]=AY$2,100%,AVANCE[[#This Row],[MEMBRANA CIELO]])</f>
        <v>0</v>
      </c>
      <c r="CN489" s="3">
        <f>+IF(AVANCE[[#This Row],[LIMPIEZA FINAL]]=AZ$2,100%,AVANCE[[#This Row],[LIMPIEZA FINAL]])</f>
        <v>0</v>
      </c>
      <c r="CO489" s="3">
        <f>+IF(AVANCE[[#This Row],[PUERTAS DORMITORIO]]=BA$2,100%,AVANCE[[#This Row],[PUERTAS DORMITORIO]])</f>
        <v>0</v>
      </c>
      <c r="CP489" s="3">
        <f>+IF(AVANCE[[#This Row],[REVESTIMIENTO INTERIOR BANO]]=BB$2,100%,AVANCE[[#This Row],[REVESTIMIENTO INTERIOR BANO]])</f>
        <v>0</v>
      </c>
      <c r="CQ489" s="3">
        <f>+IF(AVANCE[[#This Row],[MUEBLE LAVAPLATOS]]=BC$2,100%,AVANCE[[#This Row],[MUEBLE LAVAPLATOS]])</f>
        <v>0</v>
      </c>
      <c r="CR489" s="3">
        <f>+IF(AVANCE[[#This Row],[IMPERMEABILIZACION BANO - COCINA LOGIA]]=BD$2,100%,AVANCE[[#This Row],[IMPERMEABILIZACION BANO - COCINA LOGIA]])</f>
        <v>0</v>
      </c>
      <c r="CS489" s="40">
        <f ca="1">+IF(AVANCE[[#This Row],[ESTADO MODULO]]="PENDIENTE",(TODAY()-AVANCE[[#This Row],[FECHA TERMINO  PLANIFICADO]]),0)</f>
        <v>0</v>
      </c>
      <c r="CT489" s="41" t="str" cm="1">
        <f t="array" ref="CT489">_xlfn.TEXTJOIN(" | ",TRUE,IF(SUMPRODUCT((BG489:CR489&lt;1)*(PARTIDAS!$I$2:$AT$2="OBRA GRUESA"))&gt;0,"OBRA GRUESA: "&amp;_xlfn.TEXTJOIN(", ",TRUE,IF((BG489:CR489&lt;1)*(PARTIDAS!$I$2:$AT$2="OBRA GRUESA"),PARTIDAS!$I$1:$AT$1,"")),""),IF(SUMPRODUCT((BG489:CR489&lt;1)*(PARTIDAS!$I$2:$AT$2="SANITARIOS"))&gt;0,"SANITARIOS: "&amp;_xlfn.TEXTJOIN(", ",TRUE,IF((BG489:CR489&lt;1)*(PARTIDAS!$I$2:$AT$2="SANITARIOS"),PARTIDAS!$I$1:$AT$1,"")),""),IF(SUMPRODUCT((BG489:CR489&lt;1)*(PARTIDAS!$I$2:$AT$2="ELÉCTRICO"))&gt;0,"ELÉCTRICO: "&amp;_xlfn.TEXTJOIN(", ",TRUE,IF((BG489:CR489&lt;1)*(PARTIDAS!$I$2:$AT$2="ELÉCTRICO"),PARTIDAS!$I$1:$AT$1,"")),""),IF(SUMPRODUCT((BG489:CR489&lt;1)*(PARTIDAS!$I$2:$AT$2="TERMINACIONES"))&gt;0,"TERMINACIONES: "&amp;_xlfn.TEXTJOIN(", ",TRUE,IF((BG489:CR489&lt;1)*(PARTIDAS!$I$2:$AT$2="TERMINACIONES"),PARTIDAS!$I$1:$AT$1,"")),""))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89" s="43" t="str" cm="1">
        <f t="array" ref="CU489">_xlfn.TEXTJOIN(", ",TRUE,IF(SUMPRODUCT((BG489:CR489&lt;1)*(PARTIDAS!$I$2:$AT$2="OBRA GRUESA"))&gt;0,"OBRA GRUESA",""),IF(SUMPRODUCT((BG489:CR489&lt;1)*(PARTIDAS!$I$2:$AT$2="SANITARIOS"))&gt;0,"SANITARIOS",""),IF(SUMPRODUCT((BG489:CR489&lt;1)*(PARTIDAS!$I$2:$AT$2="ELÉCTRICO"))&gt;0,"ELÉCTRICO",""),IF(SUMPRODUCT((BG489:CR489&lt;1)*(PARTIDAS!$I$2:$AT$2="TERMINACIONES"))&gt;0,"TERMINACIONES",""))</f>
        <v>OBRA GRUESA, SANITARIOS, ELÉCTRICO, TERMINACIONES</v>
      </c>
      <c r="CV489" s="44" cm="1">
        <f t="array" ref="CV489">SUMPRODUCT(--(BG489:CR489&lt;1))</f>
        <v>38</v>
      </c>
    </row>
    <row r="490" spans="1:100" hidden="1" x14ac:dyDescent="0.25">
      <c r="A490" t="s">
        <v>553</v>
      </c>
      <c r="B490" t="s">
        <v>562</v>
      </c>
      <c r="C490">
        <v>2282600489</v>
      </c>
      <c r="D490" t="s">
        <v>58</v>
      </c>
      <c r="E490" s="2">
        <v>0</v>
      </c>
      <c r="F490" s="1">
        <v>46385</v>
      </c>
      <c r="G490" s="1"/>
      <c r="H490" s="1">
        <v>0</v>
      </c>
      <c r="I490" s="1">
        <v>46405</v>
      </c>
      <c r="J490">
        <v>46230</v>
      </c>
      <c r="K490" s="1"/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>
        <v>28.87</v>
      </c>
      <c r="BF490" s="3" t="str">
        <f>+IF(AVANCE[[#This Row],[% AVANCE]]=100%,"MODULO TERMINADO",IF(AVANCE[[#This Row],[FECHA INICIO REAL]]="","MODULO NO INICIADO","PENDIENTE"))</f>
        <v>MODULO NO INICIADO</v>
      </c>
      <c r="BG490" s="3">
        <f>+IF(AVANCE[[#This Row],[VENTANAS]]=8.10810810810811%,100%,AVANCE[[#This Row],[VENTANAS]])</f>
        <v>0</v>
      </c>
      <c r="BH490" s="3">
        <f>+IF(AVANCE[[#This Row],[PISO]]=N$2,100%,AVANCE[[#This Row],[PISO]])</f>
        <v>0</v>
      </c>
      <c r="BI490" s="3">
        <f>+IF(AVANCE[[#This Row],[TABIQUES]]=O$2,100%,AVANCE[[#This Row],[TABIQUES]])</f>
        <v>0</v>
      </c>
      <c r="BJ490" s="3">
        <f>+IF(AVANCE[[#This Row],[MUROS]]=P$2,100%,AVANCE[[#This Row],[MUROS]])</f>
        <v>0</v>
      </c>
      <c r="BK490" s="3">
        <f>+IF(AVANCE[[#This Row],[CIELO]]=Q$2,100%,AVANCE[[#This Row],[CIELO]])</f>
        <v>0</v>
      </c>
      <c r="BL490" s="3">
        <f>+IF(AVANCE[[#This Row],[BALCÓN]]=R$2,100%,AVANCE[[#This Row],[BALCÓN]])</f>
        <v>0</v>
      </c>
      <c r="BM490" s="3">
        <f>+IF(AVANCE[[#This Row],[RED ALCANTARILLADO]]=U$2,100%,AVANCE[[#This Row],[RED ALCANTARILLADO]])</f>
        <v>0</v>
      </c>
      <c r="BN490" s="3">
        <f>+IF(AVANCE[[#This Row],[RED DE AGUA]]=V$2,100%,AVANCE[[#This Row],[RED DE AGUA]])</f>
        <v>0</v>
      </c>
      <c r="BO490" s="3">
        <f>+IF(AVANCE[[#This Row],[VENTILACIONES]]=W$2,100%,AVANCE[[#This Row],[VENTILACIONES]])</f>
        <v>0</v>
      </c>
      <c r="BP490" s="3">
        <f>+IF(AVANCE[[#This Row],[TINA]]=X$2,100%,AVANCE[[#This Row],[TINA]])</f>
        <v>0</v>
      </c>
      <c r="BQ490" s="3">
        <f>+IF(AVANCE[[#This Row],[WC]]=Y$2,100%,AVANCE[[#This Row],[WC]])</f>
        <v>0</v>
      </c>
      <c r="BR490" s="3">
        <f>+IF(AVANCE[[#This Row],[LAVAMANOS / LAVAPLATOS / LAVADERO]]=Z$2,100%,AVANCE[[#This Row],[LAVAMANOS / LAVAPLATOS / LAVADERO]])</f>
        <v>0</v>
      </c>
      <c r="BS490" s="3">
        <f>+IF(AVANCE[[#This Row],[CANALIZACIÓN]]=AC$2,100%,AVANCE[[#This Row],[CANALIZACIÓN]])</f>
        <v>0</v>
      </c>
      <c r="BT490" s="3">
        <f>+IF(AVANCE[[#This Row],[CABLEADO]]=AD$2,100%,AVANCE[[#This Row],[CABLEADO]])</f>
        <v>0</v>
      </c>
      <c r="BU490" s="3">
        <f>+IF(AVANCE[[#This Row],[ARTEFACTOS]]=AE$2,100%,AVANCE[[#This Row],[ARTEFACTOS]])</f>
        <v>0</v>
      </c>
      <c r="BV490" s="3">
        <f>+IF(AVANCE[[#This Row],[TABLERO]]=AF$2,100%,AVANCE[[#This Row],[TABLERO]])</f>
        <v>0</v>
      </c>
      <c r="BW490" s="3">
        <f>+IF(AVANCE[[#This Row],[CAJA PAU]]=AG$2,100%,AVANCE[[#This Row],[CAJA PAU]])</f>
        <v>0</v>
      </c>
      <c r="BX490" s="3">
        <f>+IF(AVANCE[[#This Row],[INSTALACION VINILICO]]=AJ$2,100%,AVANCE[[#This Row],[INSTALACION VINILICO]])</f>
        <v>0</v>
      </c>
      <c r="BY490" s="3">
        <f>+IF(AVANCE[[#This Row],[OSB CUBIERTA]]=AK$2,100%,AVANCE[[#This Row],[OSB CUBIERTA]])</f>
        <v>0</v>
      </c>
      <c r="BZ490" s="3">
        <f>+IF(AVANCE[[#This Row],[BARANDA BALCON]]=AL$2,100%,AVANCE[[#This Row],[BARANDA BALCON]])</f>
        <v>0</v>
      </c>
      <c r="CA490" s="3">
        <f>+IF(AVANCE[[#This Row],[OSB EXTERIOR]]=AM$2,100%,AVANCE[[#This Row],[OSB EXTERIOR]])</f>
        <v>0</v>
      </c>
      <c r="CB490" s="3">
        <f>+IF(AVANCE[[#This Row],[SMART PANEL]]=AN$2,100%,AVANCE[[#This Row],[SMART PANEL]])</f>
        <v>0</v>
      </c>
      <c r="CC490" s="3">
        <f>+IF(AVANCE[[#This Row],[PINTURA EXTERIOR]]=AO$2,100%,AVANCE[[#This Row],[PINTURA EXTERIOR]])</f>
        <v>0</v>
      </c>
      <c r="CD490" s="3">
        <f>+IF(AVANCE[[#This Row],[ZOCALOS LOGIA]]=AP$2,100%,AVANCE[[#This Row],[ZOCALOS LOGIA]])</f>
        <v>0</v>
      </c>
      <c r="CE490" s="3">
        <f>+IF(AVANCE[[#This Row],[MOLDURAS]]=AQ$2,100%,AVANCE[[#This Row],[MOLDURAS]])</f>
        <v>0</v>
      </c>
      <c r="CF490" s="3">
        <f>+IF(AVANCE[[#This Row],[PILASTREO]]=AR$2,100%,AVANCE[[#This Row],[PILASTREO]])</f>
        <v>0</v>
      </c>
      <c r="CG490" s="3">
        <f>+IF(AVANCE[[#This Row],[CELOSIAS]]=AS$2,100%,AVANCE[[#This Row],[CELOSIAS]])</f>
        <v>0</v>
      </c>
      <c r="CH490" s="3">
        <f>+IF(AVANCE[[#This Row],[VENTANAS]]=AT$2,100%,AVANCE[[#This Row],[VENTANAS]])</f>
        <v>0</v>
      </c>
      <c r="CI490" s="3">
        <f>+IF(AVANCE[[#This Row],[PUERTAS ACCESO - LOGIA - BANO]]=AU$2,100%,AVANCE[[#This Row],[PUERTAS ACCESO - LOGIA - BANO]])</f>
        <v>0</v>
      </c>
      <c r="CJ490" s="3">
        <f>+IF(AVANCE[[#This Row],[CERRADURAS]]=AV$2,100%,AVANCE[[#This Row],[CERRADURAS]])</f>
        <v>0</v>
      </c>
      <c r="CK490" s="3">
        <f>+IF(AVANCE[[#This Row],[REVESTIMIENTO INTERIOR ZONA SECA]]=AW$2,100%,AVANCE[[#This Row],[REVESTIMIENTO INTERIOR ZONA SECA]])</f>
        <v>0</v>
      </c>
      <c r="CL490" s="3">
        <f>+IF(AVANCE[[#This Row],[REVESTIMIENTO INTERIOR ZONAS HUMEDAS]]=AX$2,100%,AVANCE[[#This Row],[REVESTIMIENTO INTERIOR ZONAS HUMEDAS]])</f>
        <v>0</v>
      </c>
      <c r="CM490" s="3">
        <f>+IF(AVANCE[[#This Row],[MEMBRANA CIELO]]=AY$2,100%,AVANCE[[#This Row],[MEMBRANA CIELO]])</f>
        <v>0</v>
      </c>
      <c r="CN490" s="3">
        <f>+IF(AVANCE[[#This Row],[LIMPIEZA FINAL]]=AZ$2,100%,AVANCE[[#This Row],[LIMPIEZA FINAL]])</f>
        <v>0</v>
      </c>
      <c r="CO490" s="3">
        <f>+IF(AVANCE[[#This Row],[PUERTAS DORMITORIO]]=BA$2,100%,AVANCE[[#This Row],[PUERTAS DORMITORIO]])</f>
        <v>0</v>
      </c>
      <c r="CP490" s="3">
        <f>+IF(AVANCE[[#This Row],[REVESTIMIENTO INTERIOR BANO]]=BB$2,100%,AVANCE[[#This Row],[REVESTIMIENTO INTERIOR BANO]])</f>
        <v>0</v>
      </c>
      <c r="CQ490" s="3">
        <f>+IF(AVANCE[[#This Row],[MUEBLE LAVAPLATOS]]=BC$2,100%,AVANCE[[#This Row],[MUEBLE LAVAPLATOS]])</f>
        <v>0</v>
      </c>
      <c r="CR490" s="3">
        <f>+IF(AVANCE[[#This Row],[IMPERMEABILIZACION BANO - COCINA LOGIA]]=BD$2,100%,AVANCE[[#This Row],[IMPERMEABILIZACION BANO - COCINA LOGIA]])</f>
        <v>0</v>
      </c>
      <c r="CS490" s="40">
        <f ca="1">+IF(AVANCE[[#This Row],[ESTADO MODULO]]="PENDIENTE",(TODAY()-AVANCE[[#This Row],[FECHA TERMINO  PLANIFICADO]]),0)</f>
        <v>0</v>
      </c>
      <c r="CT490" s="41" t="str" cm="1">
        <f t="array" ref="CT490">_xlfn.TEXTJOIN(" | ",TRUE,IF(SUMPRODUCT((BG490:CR490&lt;1)*(PARTIDAS!$I$2:$AT$2="OBRA GRUESA"))&gt;0,"OBRA GRUESA: "&amp;_xlfn.TEXTJOIN(", ",TRUE,IF((BG490:CR490&lt;1)*(PARTIDAS!$I$2:$AT$2="OBRA GRUESA"),PARTIDAS!$I$1:$AT$1,"")),""),IF(SUMPRODUCT((BG490:CR490&lt;1)*(PARTIDAS!$I$2:$AT$2="SANITARIOS"))&gt;0,"SANITARIOS: "&amp;_xlfn.TEXTJOIN(", ",TRUE,IF((BG490:CR490&lt;1)*(PARTIDAS!$I$2:$AT$2="SANITARIOS"),PARTIDAS!$I$1:$AT$1,"")),""),IF(SUMPRODUCT((BG490:CR490&lt;1)*(PARTIDAS!$I$2:$AT$2="ELÉCTRICO"))&gt;0,"ELÉCTRICO: "&amp;_xlfn.TEXTJOIN(", ",TRUE,IF((BG490:CR490&lt;1)*(PARTIDAS!$I$2:$AT$2="ELÉCTRICO"),PARTIDAS!$I$1:$AT$1,"")),""),IF(SUMPRODUCT((BG490:CR490&lt;1)*(PARTIDAS!$I$2:$AT$2="TERMINACIONES"))&gt;0,"TERMINACIONES: "&amp;_xlfn.TEXTJOIN(", ",TRUE,IF((BG490:CR490&lt;1)*(PARTIDAS!$I$2:$AT$2="TERMINACIONES"),PARTIDAS!$I$1:$AT$1,"")),""))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0" s="43" t="str" cm="1">
        <f t="array" ref="CU490">_xlfn.TEXTJOIN(", ",TRUE,IF(SUMPRODUCT((BG490:CR490&lt;1)*(PARTIDAS!$I$2:$AT$2="OBRA GRUESA"))&gt;0,"OBRA GRUESA",""),IF(SUMPRODUCT((BG490:CR490&lt;1)*(PARTIDAS!$I$2:$AT$2="SANITARIOS"))&gt;0,"SANITARIOS",""),IF(SUMPRODUCT((BG490:CR490&lt;1)*(PARTIDAS!$I$2:$AT$2="ELÉCTRICO"))&gt;0,"ELÉCTRICO",""),IF(SUMPRODUCT((BG490:CR490&lt;1)*(PARTIDAS!$I$2:$AT$2="TERMINACIONES"))&gt;0,"TERMINACIONES",""))</f>
        <v>OBRA GRUESA, SANITARIOS, ELÉCTRICO, TERMINACIONES</v>
      </c>
      <c r="CV490" s="44" cm="1">
        <f t="array" ref="CV490">SUMPRODUCT(--(BG490:CR490&lt;1))</f>
        <v>38</v>
      </c>
    </row>
    <row r="491" spans="1:100" hidden="1" x14ac:dyDescent="0.25">
      <c r="A491" t="s">
        <v>553</v>
      </c>
      <c r="B491" t="s">
        <v>563</v>
      </c>
      <c r="C491">
        <v>2302600490</v>
      </c>
      <c r="D491" t="s">
        <v>60</v>
      </c>
      <c r="E491" s="2">
        <v>0</v>
      </c>
      <c r="F491" s="1">
        <v>46385</v>
      </c>
      <c r="G491" s="1"/>
      <c r="H491" s="1">
        <v>0</v>
      </c>
      <c r="I491" s="1">
        <v>46415</v>
      </c>
      <c r="J491">
        <v>46230</v>
      </c>
      <c r="K491" s="1"/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>
        <v>31.32</v>
      </c>
      <c r="BF491" s="3" t="str">
        <f>+IF(AVANCE[[#This Row],[% AVANCE]]=100%,"MODULO TERMINADO",IF(AVANCE[[#This Row],[FECHA INICIO REAL]]="","MODULO NO INICIADO","PENDIENTE"))</f>
        <v>MODULO NO INICIADO</v>
      </c>
      <c r="BG491" s="3">
        <f>+IF(AVANCE[[#This Row],[VENTANAS]]=8.10810810810811%,100%,AVANCE[[#This Row],[VENTANAS]])</f>
        <v>0</v>
      </c>
      <c r="BH491" s="3">
        <f>+IF(AVANCE[[#This Row],[PISO]]=N$2,100%,AVANCE[[#This Row],[PISO]])</f>
        <v>0</v>
      </c>
      <c r="BI491" s="3">
        <f>+IF(AVANCE[[#This Row],[TABIQUES]]=O$2,100%,AVANCE[[#This Row],[TABIQUES]])</f>
        <v>0</v>
      </c>
      <c r="BJ491" s="3">
        <f>+IF(AVANCE[[#This Row],[MUROS]]=P$2,100%,AVANCE[[#This Row],[MUROS]])</f>
        <v>0</v>
      </c>
      <c r="BK491" s="3">
        <f>+IF(AVANCE[[#This Row],[CIELO]]=Q$2,100%,AVANCE[[#This Row],[CIELO]])</f>
        <v>0</v>
      </c>
      <c r="BL491" s="3">
        <f>+IF(AVANCE[[#This Row],[BALCÓN]]=R$2,100%,AVANCE[[#This Row],[BALCÓN]])</f>
        <v>0</v>
      </c>
      <c r="BM491" s="3">
        <f>+IF(AVANCE[[#This Row],[RED ALCANTARILLADO]]=U$2,100%,AVANCE[[#This Row],[RED ALCANTARILLADO]])</f>
        <v>0</v>
      </c>
      <c r="BN491" s="3">
        <f>+IF(AVANCE[[#This Row],[RED DE AGUA]]=V$2,100%,AVANCE[[#This Row],[RED DE AGUA]])</f>
        <v>0</v>
      </c>
      <c r="BO491" s="3">
        <f>+IF(AVANCE[[#This Row],[VENTILACIONES]]=W$2,100%,AVANCE[[#This Row],[VENTILACIONES]])</f>
        <v>0</v>
      </c>
      <c r="BP491" s="3">
        <f>+IF(AVANCE[[#This Row],[TINA]]=X$2,100%,AVANCE[[#This Row],[TINA]])</f>
        <v>0</v>
      </c>
      <c r="BQ491" s="3">
        <f>+IF(AVANCE[[#This Row],[WC]]=Y$2,100%,AVANCE[[#This Row],[WC]])</f>
        <v>0</v>
      </c>
      <c r="BR491" s="3">
        <f>+IF(AVANCE[[#This Row],[LAVAMANOS / LAVAPLATOS / LAVADERO]]=Z$2,100%,AVANCE[[#This Row],[LAVAMANOS / LAVAPLATOS / LAVADERO]])</f>
        <v>0</v>
      </c>
      <c r="BS491" s="3">
        <f>+IF(AVANCE[[#This Row],[CANALIZACIÓN]]=AC$2,100%,AVANCE[[#This Row],[CANALIZACIÓN]])</f>
        <v>0</v>
      </c>
      <c r="BT491" s="3">
        <f>+IF(AVANCE[[#This Row],[CABLEADO]]=AD$2,100%,AVANCE[[#This Row],[CABLEADO]])</f>
        <v>0</v>
      </c>
      <c r="BU491" s="3">
        <f>+IF(AVANCE[[#This Row],[ARTEFACTOS]]=AE$2,100%,AVANCE[[#This Row],[ARTEFACTOS]])</f>
        <v>0</v>
      </c>
      <c r="BV491" s="3">
        <f>+IF(AVANCE[[#This Row],[TABLERO]]=AF$2,100%,AVANCE[[#This Row],[TABLERO]])</f>
        <v>0</v>
      </c>
      <c r="BW491" s="3">
        <f>+IF(AVANCE[[#This Row],[CAJA PAU]]=AG$2,100%,AVANCE[[#This Row],[CAJA PAU]])</f>
        <v>0</v>
      </c>
      <c r="BX491" s="3">
        <f>+IF(AVANCE[[#This Row],[INSTALACION VINILICO]]=AJ$2,100%,AVANCE[[#This Row],[INSTALACION VINILICO]])</f>
        <v>0</v>
      </c>
      <c r="BY491" s="3">
        <f>+IF(AVANCE[[#This Row],[OSB CUBIERTA]]=AK$2,100%,AVANCE[[#This Row],[OSB CUBIERTA]])</f>
        <v>0</v>
      </c>
      <c r="BZ491" s="3">
        <f>+IF(AVANCE[[#This Row],[BARANDA BALCON]]=AL$2,100%,AVANCE[[#This Row],[BARANDA BALCON]])</f>
        <v>0</v>
      </c>
      <c r="CA491" s="3">
        <f>+IF(AVANCE[[#This Row],[OSB EXTERIOR]]=AM$2,100%,AVANCE[[#This Row],[OSB EXTERIOR]])</f>
        <v>0</v>
      </c>
      <c r="CB491" s="3">
        <f>+IF(AVANCE[[#This Row],[SMART PANEL]]=AN$2,100%,AVANCE[[#This Row],[SMART PANEL]])</f>
        <v>0</v>
      </c>
      <c r="CC491" s="3">
        <f>+IF(AVANCE[[#This Row],[PINTURA EXTERIOR]]=AO$2,100%,AVANCE[[#This Row],[PINTURA EXTERIOR]])</f>
        <v>0</v>
      </c>
      <c r="CD491" s="3">
        <f>+IF(AVANCE[[#This Row],[ZOCALOS LOGIA]]=AP$2,100%,AVANCE[[#This Row],[ZOCALOS LOGIA]])</f>
        <v>0</v>
      </c>
      <c r="CE491" s="3">
        <f>+IF(AVANCE[[#This Row],[MOLDURAS]]=AQ$2,100%,AVANCE[[#This Row],[MOLDURAS]])</f>
        <v>0</v>
      </c>
      <c r="CF491" s="3">
        <f>+IF(AVANCE[[#This Row],[PILASTREO]]=AR$2,100%,AVANCE[[#This Row],[PILASTREO]])</f>
        <v>0</v>
      </c>
      <c r="CG491" s="3">
        <f>+IF(AVANCE[[#This Row],[CELOSIAS]]=AS$2,100%,AVANCE[[#This Row],[CELOSIAS]])</f>
        <v>0</v>
      </c>
      <c r="CH491" s="3">
        <f>+IF(AVANCE[[#This Row],[VENTANAS]]=AT$2,100%,AVANCE[[#This Row],[VENTANAS]])</f>
        <v>0</v>
      </c>
      <c r="CI491" s="3">
        <f>+IF(AVANCE[[#This Row],[PUERTAS ACCESO - LOGIA - BANO]]=AU$2,100%,AVANCE[[#This Row],[PUERTAS ACCESO - LOGIA - BANO]])</f>
        <v>0</v>
      </c>
      <c r="CJ491" s="3">
        <f>+IF(AVANCE[[#This Row],[CERRADURAS]]=AV$2,100%,AVANCE[[#This Row],[CERRADURAS]])</f>
        <v>0</v>
      </c>
      <c r="CK491" s="3">
        <f>+IF(AVANCE[[#This Row],[REVESTIMIENTO INTERIOR ZONA SECA]]=AW$2,100%,AVANCE[[#This Row],[REVESTIMIENTO INTERIOR ZONA SECA]])</f>
        <v>0</v>
      </c>
      <c r="CL491" s="3">
        <f>+IF(AVANCE[[#This Row],[REVESTIMIENTO INTERIOR ZONAS HUMEDAS]]=AX$2,100%,AVANCE[[#This Row],[REVESTIMIENTO INTERIOR ZONAS HUMEDAS]])</f>
        <v>0</v>
      </c>
      <c r="CM491" s="3">
        <f>+IF(AVANCE[[#This Row],[MEMBRANA CIELO]]=AY$2,100%,AVANCE[[#This Row],[MEMBRANA CIELO]])</f>
        <v>0</v>
      </c>
      <c r="CN491" s="3">
        <f>+IF(AVANCE[[#This Row],[LIMPIEZA FINAL]]=AZ$2,100%,AVANCE[[#This Row],[LIMPIEZA FINAL]])</f>
        <v>0</v>
      </c>
      <c r="CO491" s="3">
        <f>+IF(AVANCE[[#This Row],[PUERTAS DORMITORIO]]=BA$2,100%,AVANCE[[#This Row],[PUERTAS DORMITORIO]])</f>
        <v>0</v>
      </c>
      <c r="CP491" s="3">
        <f>+IF(AVANCE[[#This Row],[REVESTIMIENTO INTERIOR BANO]]=BB$2,100%,AVANCE[[#This Row],[REVESTIMIENTO INTERIOR BANO]])</f>
        <v>0</v>
      </c>
      <c r="CQ491" s="3">
        <f>+IF(AVANCE[[#This Row],[MUEBLE LAVAPLATOS]]=BC$2,100%,AVANCE[[#This Row],[MUEBLE LAVAPLATOS]])</f>
        <v>0</v>
      </c>
      <c r="CR491" s="3">
        <f>+IF(AVANCE[[#This Row],[IMPERMEABILIZACION BANO - COCINA LOGIA]]=BD$2,100%,AVANCE[[#This Row],[IMPERMEABILIZACION BANO - COCINA LOGIA]])</f>
        <v>0</v>
      </c>
      <c r="CS491" s="40">
        <f ca="1">+IF(AVANCE[[#This Row],[ESTADO MODULO]]="PENDIENTE",(TODAY()-AVANCE[[#This Row],[FECHA TERMINO  PLANIFICADO]]),0)</f>
        <v>0</v>
      </c>
      <c r="CT491" s="41" t="str" cm="1">
        <f t="array" ref="CT491">_xlfn.TEXTJOIN(" | ",TRUE,IF(SUMPRODUCT((BG491:CR491&lt;1)*(PARTIDAS!$I$2:$AT$2="OBRA GRUESA"))&gt;0,"OBRA GRUESA: "&amp;_xlfn.TEXTJOIN(", ",TRUE,IF((BG491:CR491&lt;1)*(PARTIDAS!$I$2:$AT$2="OBRA GRUESA"),PARTIDAS!$I$1:$AT$1,"")),""),IF(SUMPRODUCT((BG491:CR491&lt;1)*(PARTIDAS!$I$2:$AT$2="SANITARIOS"))&gt;0,"SANITARIOS: "&amp;_xlfn.TEXTJOIN(", ",TRUE,IF((BG491:CR491&lt;1)*(PARTIDAS!$I$2:$AT$2="SANITARIOS"),PARTIDAS!$I$1:$AT$1,"")),""),IF(SUMPRODUCT((BG491:CR491&lt;1)*(PARTIDAS!$I$2:$AT$2="ELÉCTRICO"))&gt;0,"ELÉCTRICO: "&amp;_xlfn.TEXTJOIN(", ",TRUE,IF((BG491:CR491&lt;1)*(PARTIDAS!$I$2:$AT$2="ELÉCTRICO"),PARTIDAS!$I$1:$AT$1,"")),""),IF(SUMPRODUCT((BG491:CR491&lt;1)*(PARTIDAS!$I$2:$AT$2="TERMINACIONES"))&gt;0,"TERMINACIONES: "&amp;_xlfn.TEXTJOIN(", ",TRUE,IF((BG491:CR491&lt;1)*(PARTIDAS!$I$2:$AT$2="TERMINACIONES"),PARTIDAS!$I$1:$AT$1,"")),""))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1" s="43" t="str" cm="1">
        <f t="array" ref="CU491">_xlfn.TEXTJOIN(", ",TRUE,IF(SUMPRODUCT((BG491:CR491&lt;1)*(PARTIDAS!$I$2:$AT$2="OBRA GRUESA"))&gt;0,"OBRA GRUESA",""),IF(SUMPRODUCT((BG491:CR491&lt;1)*(PARTIDAS!$I$2:$AT$2="SANITARIOS"))&gt;0,"SANITARIOS",""),IF(SUMPRODUCT((BG491:CR491&lt;1)*(PARTIDAS!$I$2:$AT$2="ELÉCTRICO"))&gt;0,"ELÉCTRICO",""),IF(SUMPRODUCT((BG491:CR491&lt;1)*(PARTIDAS!$I$2:$AT$2="TERMINACIONES"))&gt;0,"TERMINACIONES",""))</f>
        <v>OBRA GRUESA, SANITARIOS, ELÉCTRICO, TERMINACIONES</v>
      </c>
      <c r="CV491" s="44" cm="1">
        <f t="array" ref="CV491">SUMPRODUCT(--(BG491:CR491&lt;1))</f>
        <v>38</v>
      </c>
    </row>
    <row r="492" spans="1:100" hidden="1" x14ac:dyDescent="0.25">
      <c r="A492" t="s">
        <v>553</v>
      </c>
      <c r="B492" t="s">
        <v>564</v>
      </c>
      <c r="C492">
        <v>2302600491</v>
      </c>
      <c r="D492" t="s">
        <v>60</v>
      </c>
      <c r="E492" s="2">
        <v>0</v>
      </c>
      <c r="F492" s="1">
        <v>46386</v>
      </c>
      <c r="G492" s="1"/>
      <c r="H492" s="1">
        <v>0</v>
      </c>
      <c r="I492" s="1">
        <v>46416</v>
      </c>
      <c r="J492">
        <v>46230</v>
      </c>
      <c r="K492" s="1"/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>
        <v>31.32</v>
      </c>
      <c r="BF492" s="3" t="str">
        <f>+IF(AVANCE[[#This Row],[% AVANCE]]=100%,"MODULO TERMINADO",IF(AVANCE[[#This Row],[FECHA INICIO REAL]]="","MODULO NO INICIADO","PENDIENTE"))</f>
        <v>MODULO NO INICIADO</v>
      </c>
      <c r="BG492" s="3">
        <f>+IF(AVANCE[[#This Row],[VENTANAS]]=8.10810810810811%,100%,AVANCE[[#This Row],[VENTANAS]])</f>
        <v>0</v>
      </c>
      <c r="BH492" s="3">
        <f>+IF(AVANCE[[#This Row],[PISO]]=N$2,100%,AVANCE[[#This Row],[PISO]])</f>
        <v>0</v>
      </c>
      <c r="BI492" s="3">
        <f>+IF(AVANCE[[#This Row],[TABIQUES]]=O$2,100%,AVANCE[[#This Row],[TABIQUES]])</f>
        <v>0</v>
      </c>
      <c r="BJ492" s="3">
        <f>+IF(AVANCE[[#This Row],[MUROS]]=P$2,100%,AVANCE[[#This Row],[MUROS]])</f>
        <v>0</v>
      </c>
      <c r="BK492" s="3">
        <f>+IF(AVANCE[[#This Row],[CIELO]]=Q$2,100%,AVANCE[[#This Row],[CIELO]])</f>
        <v>0</v>
      </c>
      <c r="BL492" s="3">
        <f>+IF(AVANCE[[#This Row],[BALCÓN]]=R$2,100%,AVANCE[[#This Row],[BALCÓN]])</f>
        <v>0</v>
      </c>
      <c r="BM492" s="3">
        <f>+IF(AVANCE[[#This Row],[RED ALCANTARILLADO]]=U$2,100%,AVANCE[[#This Row],[RED ALCANTARILLADO]])</f>
        <v>0</v>
      </c>
      <c r="BN492" s="3">
        <f>+IF(AVANCE[[#This Row],[RED DE AGUA]]=V$2,100%,AVANCE[[#This Row],[RED DE AGUA]])</f>
        <v>0</v>
      </c>
      <c r="BO492" s="3">
        <f>+IF(AVANCE[[#This Row],[VENTILACIONES]]=W$2,100%,AVANCE[[#This Row],[VENTILACIONES]])</f>
        <v>0</v>
      </c>
      <c r="BP492" s="3">
        <f>+IF(AVANCE[[#This Row],[TINA]]=X$2,100%,AVANCE[[#This Row],[TINA]])</f>
        <v>0</v>
      </c>
      <c r="BQ492" s="3">
        <f>+IF(AVANCE[[#This Row],[WC]]=Y$2,100%,AVANCE[[#This Row],[WC]])</f>
        <v>0</v>
      </c>
      <c r="BR492" s="3">
        <f>+IF(AVANCE[[#This Row],[LAVAMANOS / LAVAPLATOS / LAVADERO]]=Z$2,100%,AVANCE[[#This Row],[LAVAMANOS / LAVAPLATOS / LAVADERO]])</f>
        <v>0</v>
      </c>
      <c r="BS492" s="3">
        <f>+IF(AVANCE[[#This Row],[CANALIZACIÓN]]=AC$2,100%,AVANCE[[#This Row],[CANALIZACIÓN]])</f>
        <v>0</v>
      </c>
      <c r="BT492" s="3">
        <f>+IF(AVANCE[[#This Row],[CABLEADO]]=AD$2,100%,AVANCE[[#This Row],[CABLEADO]])</f>
        <v>0</v>
      </c>
      <c r="BU492" s="3">
        <f>+IF(AVANCE[[#This Row],[ARTEFACTOS]]=AE$2,100%,AVANCE[[#This Row],[ARTEFACTOS]])</f>
        <v>0</v>
      </c>
      <c r="BV492" s="3">
        <f>+IF(AVANCE[[#This Row],[TABLERO]]=AF$2,100%,AVANCE[[#This Row],[TABLERO]])</f>
        <v>0</v>
      </c>
      <c r="BW492" s="3">
        <f>+IF(AVANCE[[#This Row],[CAJA PAU]]=AG$2,100%,AVANCE[[#This Row],[CAJA PAU]])</f>
        <v>0</v>
      </c>
      <c r="BX492" s="3">
        <f>+IF(AVANCE[[#This Row],[INSTALACION VINILICO]]=AJ$2,100%,AVANCE[[#This Row],[INSTALACION VINILICO]])</f>
        <v>0</v>
      </c>
      <c r="BY492" s="3">
        <f>+IF(AVANCE[[#This Row],[OSB CUBIERTA]]=AK$2,100%,AVANCE[[#This Row],[OSB CUBIERTA]])</f>
        <v>0</v>
      </c>
      <c r="BZ492" s="3">
        <f>+IF(AVANCE[[#This Row],[BARANDA BALCON]]=AL$2,100%,AVANCE[[#This Row],[BARANDA BALCON]])</f>
        <v>0</v>
      </c>
      <c r="CA492" s="3">
        <f>+IF(AVANCE[[#This Row],[OSB EXTERIOR]]=AM$2,100%,AVANCE[[#This Row],[OSB EXTERIOR]])</f>
        <v>0</v>
      </c>
      <c r="CB492" s="3">
        <f>+IF(AVANCE[[#This Row],[SMART PANEL]]=AN$2,100%,AVANCE[[#This Row],[SMART PANEL]])</f>
        <v>0</v>
      </c>
      <c r="CC492" s="3">
        <f>+IF(AVANCE[[#This Row],[PINTURA EXTERIOR]]=AO$2,100%,AVANCE[[#This Row],[PINTURA EXTERIOR]])</f>
        <v>0</v>
      </c>
      <c r="CD492" s="3">
        <f>+IF(AVANCE[[#This Row],[ZOCALOS LOGIA]]=AP$2,100%,AVANCE[[#This Row],[ZOCALOS LOGIA]])</f>
        <v>0</v>
      </c>
      <c r="CE492" s="3">
        <f>+IF(AVANCE[[#This Row],[MOLDURAS]]=AQ$2,100%,AVANCE[[#This Row],[MOLDURAS]])</f>
        <v>0</v>
      </c>
      <c r="CF492" s="3">
        <f>+IF(AVANCE[[#This Row],[PILASTREO]]=AR$2,100%,AVANCE[[#This Row],[PILASTREO]])</f>
        <v>0</v>
      </c>
      <c r="CG492" s="3">
        <f>+IF(AVANCE[[#This Row],[CELOSIAS]]=AS$2,100%,AVANCE[[#This Row],[CELOSIAS]])</f>
        <v>0</v>
      </c>
      <c r="CH492" s="3">
        <f>+IF(AVANCE[[#This Row],[VENTANAS]]=AT$2,100%,AVANCE[[#This Row],[VENTANAS]])</f>
        <v>0</v>
      </c>
      <c r="CI492" s="3">
        <f>+IF(AVANCE[[#This Row],[PUERTAS ACCESO - LOGIA - BANO]]=AU$2,100%,AVANCE[[#This Row],[PUERTAS ACCESO - LOGIA - BANO]])</f>
        <v>0</v>
      </c>
      <c r="CJ492" s="3">
        <f>+IF(AVANCE[[#This Row],[CERRADURAS]]=AV$2,100%,AVANCE[[#This Row],[CERRADURAS]])</f>
        <v>0</v>
      </c>
      <c r="CK492" s="3">
        <f>+IF(AVANCE[[#This Row],[REVESTIMIENTO INTERIOR ZONA SECA]]=AW$2,100%,AVANCE[[#This Row],[REVESTIMIENTO INTERIOR ZONA SECA]])</f>
        <v>0</v>
      </c>
      <c r="CL492" s="3">
        <f>+IF(AVANCE[[#This Row],[REVESTIMIENTO INTERIOR ZONAS HUMEDAS]]=AX$2,100%,AVANCE[[#This Row],[REVESTIMIENTO INTERIOR ZONAS HUMEDAS]])</f>
        <v>0</v>
      </c>
      <c r="CM492" s="3">
        <f>+IF(AVANCE[[#This Row],[MEMBRANA CIELO]]=AY$2,100%,AVANCE[[#This Row],[MEMBRANA CIELO]])</f>
        <v>0</v>
      </c>
      <c r="CN492" s="3">
        <f>+IF(AVANCE[[#This Row],[LIMPIEZA FINAL]]=AZ$2,100%,AVANCE[[#This Row],[LIMPIEZA FINAL]])</f>
        <v>0</v>
      </c>
      <c r="CO492" s="3">
        <f>+IF(AVANCE[[#This Row],[PUERTAS DORMITORIO]]=BA$2,100%,AVANCE[[#This Row],[PUERTAS DORMITORIO]])</f>
        <v>0</v>
      </c>
      <c r="CP492" s="3">
        <f>+IF(AVANCE[[#This Row],[REVESTIMIENTO INTERIOR BANO]]=BB$2,100%,AVANCE[[#This Row],[REVESTIMIENTO INTERIOR BANO]])</f>
        <v>0</v>
      </c>
      <c r="CQ492" s="3">
        <f>+IF(AVANCE[[#This Row],[MUEBLE LAVAPLATOS]]=BC$2,100%,AVANCE[[#This Row],[MUEBLE LAVAPLATOS]])</f>
        <v>0</v>
      </c>
      <c r="CR492" s="3">
        <f>+IF(AVANCE[[#This Row],[IMPERMEABILIZACION BANO - COCINA LOGIA]]=BD$2,100%,AVANCE[[#This Row],[IMPERMEABILIZACION BANO - COCINA LOGIA]])</f>
        <v>0</v>
      </c>
      <c r="CS492" s="40">
        <f ca="1">+IF(AVANCE[[#This Row],[ESTADO MODULO]]="PENDIENTE",(TODAY()-AVANCE[[#This Row],[FECHA TERMINO  PLANIFICADO]]),0)</f>
        <v>0</v>
      </c>
      <c r="CT492" s="41" t="str" cm="1">
        <f t="array" ref="CT492">_xlfn.TEXTJOIN(" | ",TRUE,IF(SUMPRODUCT((BG492:CR492&lt;1)*(PARTIDAS!$I$2:$AT$2="OBRA GRUESA"))&gt;0,"OBRA GRUESA: "&amp;_xlfn.TEXTJOIN(", ",TRUE,IF((BG492:CR492&lt;1)*(PARTIDAS!$I$2:$AT$2="OBRA GRUESA"),PARTIDAS!$I$1:$AT$1,"")),""),IF(SUMPRODUCT((BG492:CR492&lt;1)*(PARTIDAS!$I$2:$AT$2="SANITARIOS"))&gt;0,"SANITARIOS: "&amp;_xlfn.TEXTJOIN(", ",TRUE,IF((BG492:CR492&lt;1)*(PARTIDAS!$I$2:$AT$2="SANITARIOS"),PARTIDAS!$I$1:$AT$1,"")),""),IF(SUMPRODUCT((BG492:CR492&lt;1)*(PARTIDAS!$I$2:$AT$2="ELÉCTRICO"))&gt;0,"ELÉCTRICO: "&amp;_xlfn.TEXTJOIN(", ",TRUE,IF((BG492:CR492&lt;1)*(PARTIDAS!$I$2:$AT$2="ELÉCTRICO"),PARTIDAS!$I$1:$AT$1,"")),""),IF(SUMPRODUCT((BG492:CR492&lt;1)*(PARTIDAS!$I$2:$AT$2="TERMINACIONES"))&gt;0,"TERMINACIONES: "&amp;_xlfn.TEXTJOIN(", ",TRUE,IF((BG492:CR492&lt;1)*(PARTIDAS!$I$2:$AT$2="TERMINACIONES"),PARTIDAS!$I$1:$AT$1,"")),""))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2" s="43" t="str" cm="1">
        <f t="array" ref="CU492">_xlfn.TEXTJOIN(", ",TRUE,IF(SUMPRODUCT((BG492:CR492&lt;1)*(PARTIDAS!$I$2:$AT$2="OBRA GRUESA"))&gt;0,"OBRA GRUESA",""),IF(SUMPRODUCT((BG492:CR492&lt;1)*(PARTIDAS!$I$2:$AT$2="SANITARIOS"))&gt;0,"SANITARIOS",""),IF(SUMPRODUCT((BG492:CR492&lt;1)*(PARTIDAS!$I$2:$AT$2="ELÉCTRICO"))&gt;0,"ELÉCTRICO",""),IF(SUMPRODUCT((BG492:CR492&lt;1)*(PARTIDAS!$I$2:$AT$2="TERMINACIONES"))&gt;0,"TERMINACIONES",""))</f>
        <v>OBRA GRUESA, SANITARIOS, ELÉCTRICO, TERMINACIONES</v>
      </c>
      <c r="CV492" s="44" cm="1">
        <f t="array" ref="CV492">SUMPRODUCT(--(BG492:CR492&lt;1))</f>
        <v>38</v>
      </c>
    </row>
    <row r="493" spans="1:100" hidden="1" x14ac:dyDescent="0.25">
      <c r="A493" t="s">
        <v>553</v>
      </c>
      <c r="B493" t="s">
        <v>565</v>
      </c>
      <c r="C493">
        <v>2282600492</v>
      </c>
      <c r="D493" t="s">
        <v>58</v>
      </c>
      <c r="E493" s="2">
        <v>0</v>
      </c>
      <c r="F493" s="1">
        <v>46386</v>
      </c>
      <c r="G493" s="1"/>
      <c r="H493" s="1">
        <v>0</v>
      </c>
      <c r="I493" s="1">
        <v>46406</v>
      </c>
      <c r="J493">
        <v>46230</v>
      </c>
      <c r="K493" s="1"/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>
        <v>28.87</v>
      </c>
      <c r="BF493" s="3" t="str">
        <f>+IF(AVANCE[[#This Row],[% AVANCE]]=100%,"MODULO TERMINADO",IF(AVANCE[[#This Row],[FECHA INICIO REAL]]="","MODULO NO INICIADO","PENDIENTE"))</f>
        <v>MODULO NO INICIADO</v>
      </c>
      <c r="BG493" s="3">
        <f>+IF(AVANCE[[#This Row],[VENTANAS]]=8.10810810810811%,100%,AVANCE[[#This Row],[VENTANAS]])</f>
        <v>0</v>
      </c>
      <c r="BH493" s="3">
        <f>+IF(AVANCE[[#This Row],[PISO]]=N$2,100%,AVANCE[[#This Row],[PISO]])</f>
        <v>0</v>
      </c>
      <c r="BI493" s="3">
        <f>+IF(AVANCE[[#This Row],[TABIQUES]]=O$2,100%,AVANCE[[#This Row],[TABIQUES]])</f>
        <v>0</v>
      </c>
      <c r="BJ493" s="3">
        <f>+IF(AVANCE[[#This Row],[MUROS]]=P$2,100%,AVANCE[[#This Row],[MUROS]])</f>
        <v>0</v>
      </c>
      <c r="BK493" s="3">
        <f>+IF(AVANCE[[#This Row],[CIELO]]=Q$2,100%,AVANCE[[#This Row],[CIELO]])</f>
        <v>0</v>
      </c>
      <c r="BL493" s="3">
        <f>+IF(AVANCE[[#This Row],[BALCÓN]]=R$2,100%,AVANCE[[#This Row],[BALCÓN]])</f>
        <v>0</v>
      </c>
      <c r="BM493" s="3">
        <f>+IF(AVANCE[[#This Row],[RED ALCANTARILLADO]]=U$2,100%,AVANCE[[#This Row],[RED ALCANTARILLADO]])</f>
        <v>0</v>
      </c>
      <c r="BN493" s="3">
        <f>+IF(AVANCE[[#This Row],[RED DE AGUA]]=V$2,100%,AVANCE[[#This Row],[RED DE AGUA]])</f>
        <v>0</v>
      </c>
      <c r="BO493" s="3">
        <f>+IF(AVANCE[[#This Row],[VENTILACIONES]]=W$2,100%,AVANCE[[#This Row],[VENTILACIONES]])</f>
        <v>0</v>
      </c>
      <c r="BP493" s="3">
        <f>+IF(AVANCE[[#This Row],[TINA]]=X$2,100%,AVANCE[[#This Row],[TINA]])</f>
        <v>0</v>
      </c>
      <c r="BQ493" s="3">
        <f>+IF(AVANCE[[#This Row],[WC]]=Y$2,100%,AVANCE[[#This Row],[WC]])</f>
        <v>0</v>
      </c>
      <c r="BR493" s="3">
        <f>+IF(AVANCE[[#This Row],[LAVAMANOS / LAVAPLATOS / LAVADERO]]=Z$2,100%,AVANCE[[#This Row],[LAVAMANOS / LAVAPLATOS / LAVADERO]])</f>
        <v>0</v>
      </c>
      <c r="BS493" s="3">
        <f>+IF(AVANCE[[#This Row],[CANALIZACIÓN]]=AC$2,100%,AVANCE[[#This Row],[CANALIZACIÓN]])</f>
        <v>0</v>
      </c>
      <c r="BT493" s="3">
        <f>+IF(AVANCE[[#This Row],[CABLEADO]]=AD$2,100%,AVANCE[[#This Row],[CABLEADO]])</f>
        <v>0</v>
      </c>
      <c r="BU493" s="3">
        <f>+IF(AVANCE[[#This Row],[ARTEFACTOS]]=AE$2,100%,AVANCE[[#This Row],[ARTEFACTOS]])</f>
        <v>0</v>
      </c>
      <c r="BV493" s="3">
        <f>+IF(AVANCE[[#This Row],[TABLERO]]=AF$2,100%,AVANCE[[#This Row],[TABLERO]])</f>
        <v>0</v>
      </c>
      <c r="BW493" s="3">
        <f>+IF(AVANCE[[#This Row],[CAJA PAU]]=AG$2,100%,AVANCE[[#This Row],[CAJA PAU]])</f>
        <v>0</v>
      </c>
      <c r="BX493" s="3">
        <f>+IF(AVANCE[[#This Row],[INSTALACION VINILICO]]=AJ$2,100%,AVANCE[[#This Row],[INSTALACION VINILICO]])</f>
        <v>0</v>
      </c>
      <c r="BY493" s="3">
        <f>+IF(AVANCE[[#This Row],[OSB CUBIERTA]]=AK$2,100%,AVANCE[[#This Row],[OSB CUBIERTA]])</f>
        <v>0</v>
      </c>
      <c r="BZ493" s="3">
        <f>+IF(AVANCE[[#This Row],[BARANDA BALCON]]=AL$2,100%,AVANCE[[#This Row],[BARANDA BALCON]])</f>
        <v>0</v>
      </c>
      <c r="CA493" s="3">
        <f>+IF(AVANCE[[#This Row],[OSB EXTERIOR]]=AM$2,100%,AVANCE[[#This Row],[OSB EXTERIOR]])</f>
        <v>0</v>
      </c>
      <c r="CB493" s="3">
        <f>+IF(AVANCE[[#This Row],[SMART PANEL]]=AN$2,100%,AVANCE[[#This Row],[SMART PANEL]])</f>
        <v>0</v>
      </c>
      <c r="CC493" s="3">
        <f>+IF(AVANCE[[#This Row],[PINTURA EXTERIOR]]=AO$2,100%,AVANCE[[#This Row],[PINTURA EXTERIOR]])</f>
        <v>0</v>
      </c>
      <c r="CD493" s="3">
        <f>+IF(AVANCE[[#This Row],[ZOCALOS LOGIA]]=AP$2,100%,AVANCE[[#This Row],[ZOCALOS LOGIA]])</f>
        <v>0</v>
      </c>
      <c r="CE493" s="3">
        <f>+IF(AVANCE[[#This Row],[MOLDURAS]]=AQ$2,100%,AVANCE[[#This Row],[MOLDURAS]])</f>
        <v>0</v>
      </c>
      <c r="CF493" s="3">
        <f>+IF(AVANCE[[#This Row],[PILASTREO]]=AR$2,100%,AVANCE[[#This Row],[PILASTREO]])</f>
        <v>0</v>
      </c>
      <c r="CG493" s="3">
        <f>+IF(AVANCE[[#This Row],[CELOSIAS]]=AS$2,100%,AVANCE[[#This Row],[CELOSIAS]])</f>
        <v>0</v>
      </c>
      <c r="CH493" s="3">
        <f>+IF(AVANCE[[#This Row],[VENTANAS]]=AT$2,100%,AVANCE[[#This Row],[VENTANAS]])</f>
        <v>0</v>
      </c>
      <c r="CI493" s="3">
        <f>+IF(AVANCE[[#This Row],[PUERTAS ACCESO - LOGIA - BANO]]=AU$2,100%,AVANCE[[#This Row],[PUERTAS ACCESO - LOGIA - BANO]])</f>
        <v>0</v>
      </c>
      <c r="CJ493" s="3">
        <f>+IF(AVANCE[[#This Row],[CERRADURAS]]=AV$2,100%,AVANCE[[#This Row],[CERRADURAS]])</f>
        <v>0</v>
      </c>
      <c r="CK493" s="3">
        <f>+IF(AVANCE[[#This Row],[REVESTIMIENTO INTERIOR ZONA SECA]]=AW$2,100%,AVANCE[[#This Row],[REVESTIMIENTO INTERIOR ZONA SECA]])</f>
        <v>0</v>
      </c>
      <c r="CL493" s="3">
        <f>+IF(AVANCE[[#This Row],[REVESTIMIENTO INTERIOR ZONAS HUMEDAS]]=AX$2,100%,AVANCE[[#This Row],[REVESTIMIENTO INTERIOR ZONAS HUMEDAS]])</f>
        <v>0</v>
      </c>
      <c r="CM493" s="3">
        <f>+IF(AVANCE[[#This Row],[MEMBRANA CIELO]]=AY$2,100%,AVANCE[[#This Row],[MEMBRANA CIELO]])</f>
        <v>0</v>
      </c>
      <c r="CN493" s="3">
        <f>+IF(AVANCE[[#This Row],[LIMPIEZA FINAL]]=AZ$2,100%,AVANCE[[#This Row],[LIMPIEZA FINAL]])</f>
        <v>0</v>
      </c>
      <c r="CO493" s="3">
        <f>+IF(AVANCE[[#This Row],[PUERTAS DORMITORIO]]=BA$2,100%,AVANCE[[#This Row],[PUERTAS DORMITORIO]])</f>
        <v>0</v>
      </c>
      <c r="CP493" s="3">
        <f>+IF(AVANCE[[#This Row],[REVESTIMIENTO INTERIOR BANO]]=BB$2,100%,AVANCE[[#This Row],[REVESTIMIENTO INTERIOR BANO]])</f>
        <v>0</v>
      </c>
      <c r="CQ493" s="3">
        <f>+IF(AVANCE[[#This Row],[MUEBLE LAVAPLATOS]]=BC$2,100%,AVANCE[[#This Row],[MUEBLE LAVAPLATOS]])</f>
        <v>0</v>
      </c>
      <c r="CR493" s="3">
        <f>+IF(AVANCE[[#This Row],[IMPERMEABILIZACION BANO - COCINA LOGIA]]=BD$2,100%,AVANCE[[#This Row],[IMPERMEABILIZACION BANO - COCINA LOGIA]])</f>
        <v>0</v>
      </c>
      <c r="CS493" s="40">
        <f ca="1">+IF(AVANCE[[#This Row],[ESTADO MODULO]]="PENDIENTE",(TODAY()-AVANCE[[#This Row],[FECHA TERMINO  PLANIFICADO]]),0)</f>
        <v>0</v>
      </c>
      <c r="CT493" s="41" t="str" cm="1">
        <f t="array" ref="CT493">_xlfn.TEXTJOIN(" | ",TRUE,IF(SUMPRODUCT((BG493:CR493&lt;1)*(PARTIDAS!$I$2:$AT$2="OBRA GRUESA"))&gt;0,"OBRA GRUESA: "&amp;_xlfn.TEXTJOIN(", ",TRUE,IF((BG493:CR493&lt;1)*(PARTIDAS!$I$2:$AT$2="OBRA GRUESA"),PARTIDAS!$I$1:$AT$1,"")),""),IF(SUMPRODUCT((BG493:CR493&lt;1)*(PARTIDAS!$I$2:$AT$2="SANITARIOS"))&gt;0,"SANITARIOS: "&amp;_xlfn.TEXTJOIN(", ",TRUE,IF((BG493:CR493&lt;1)*(PARTIDAS!$I$2:$AT$2="SANITARIOS"),PARTIDAS!$I$1:$AT$1,"")),""),IF(SUMPRODUCT((BG493:CR493&lt;1)*(PARTIDAS!$I$2:$AT$2="ELÉCTRICO"))&gt;0,"ELÉCTRICO: "&amp;_xlfn.TEXTJOIN(", ",TRUE,IF((BG493:CR493&lt;1)*(PARTIDAS!$I$2:$AT$2="ELÉCTRICO"),PARTIDAS!$I$1:$AT$1,"")),""),IF(SUMPRODUCT((BG493:CR493&lt;1)*(PARTIDAS!$I$2:$AT$2="TERMINACIONES"))&gt;0,"TERMINACIONES: "&amp;_xlfn.TEXTJOIN(", ",TRUE,IF((BG493:CR493&lt;1)*(PARTIDAS!$I$2:$AT$2="TERMINACIONES"),PARTIDAS!$I$1:$AT$1,"")),""))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3" s="43" t="str" cm="1">
        <f t="array" ref="CU493">_xlfn.TEXTJOIN(", ",TRUE,IF(SUMPRODUCT((BG493:CR493&lt;1)*(PARTIDAS!$I$2:$AT$2="OBRA GRUESA"))&gt;0,"OBRA GRUESA",""),IF(SUMPRODUCT((BG493:CR493&lt;1)*(PARTIDAS!$I$2:$AT$2="SANITARIOS"))&gt;0,"SANITARIOS",""),IF(SUMPRODUCT((BG493:CR493&lt;1)*(PARTIDAS!$I$2:$AT$2="ELÉCTRICO"))&gt;0,"ELÉCTRICO",""),IF(SUMPRODUCT((BG493:CR493&lt;1)*(PARTIDAS!$I$2:$AT$2="TERMINACIONES"))&gt;0,"TERMINACIONES",""))</f>
        <v>OBRA GRUESA, SANITARIOS, ELÉCTRICO, TERMINACIONES</v>
      </c>
      <c r="CV493" s="44" cm="1">
        <f t="array" ref="CV493">SUMPRODUCT(--(BG493:CR493&lt;1))</f>
        <v>38</v>
      </c>
    </row>
    <row r="494" spans="1:100" hidden="1" x14ac:dyDescent="0.25">
      <c r="A494" t="s">
        <v>553</v>
      </c>
      <c r="B494" t="s">
        <v>566</v>
      </c>
      <c r="C494">
        <v>2282600493</v>
      </c>
      <c r="D494" t="s">
        <v>58</v>
      </c>
      <c r="E494" s="2">
        <v>0</v>
      </c>
      <c r="F494" s="1">
        <v>46386</v>
      </c>
      <c r="G494" s="1"/>
      <c r="H494" s="1">
        <v>0</v>
      </c>
      <c r="I494" s="1">
        <v>46406</v>
      </c>
      <c r="J494">
        <v>46230</v>
      </c>
      <c r="K494" s="1"/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>
        <v>28.87</v>
      </c>
      <c r="BF494" s="3" t="str">
        <f>+IF(AVANCE[[#This Row],[% AVANCE]]=100%,"MODULO TERMINADO",IF(AVANCE[[#This Row],[FECHA INICIO REAL]]="","MODULO NO INICIADO","PENDIENTE"))</f>
        <v>MODULO NO INICIADO</v>
      </c>
      <c r="BG494" s="3">
        <f>+IF(AVANCE[[#This Row],[VENTANAS]]=8.10810810810811%,100%,AVANCE[[#This Row],[VENTANAS]])</f>
        <v>0</v>
      </c>
      <c r="BH494" s="3">
        <f>+IF(AVANCE[[#This Row],[PISO]]=N$2,100%,AVANCE[[#This Row],[PISO]])</f>
        <v>0</v>
      </c>
      <c r="BI494" s="3">
        <f>+IF(AVANCE[[#This Row],[TABIQUES]]=O$2,100%,AVANCE[[#This Row],[TABIQUES]])</f>
        <v>0</v>
      </c>
      <c r="BJ494" s="3">
        <f>+IF(AVANCE[[#This Row],[MUROS]]=P$2,100%,AVANCE[[#This Row],[MUROS]])</f>
        <v>0</v>
      </c>
      <c r="BK494" s="3">
        <f>+IF(AVANCE[[#This Row],[CIELO]]=Q$2,100%,AVANCE[[#This Row],[CIELO]])</f>
        <v>0</v>
      </c>
      <c r="BL494" s="3">
        <f>+IF(AVANCE[[#This Row],[BALCÓN]]=R$2,100%,AVANCE[[#This Row],[BALCÓN]])</f>
        <v>0</v>
      </c>
      <c r="BM494" s="3">
        <f>+IF(AVANCE[[#This Row],[RED ALCANTARILLADO]]=U$2,100%,AVANCE[[#This Row],[RED ALCANTARILLADO]])</f>
        <v>0</v>
      </c>
      <c r="BN494" s="3">
        <f>+IF(AVANCE[[#This Row],[RED DE AGUA]]=V$2,100%,AVANCE[[#This Row],[RED DE AGUA]])</f>
        <v>0</v>
      </c>
      <c r="BO494" s="3">
        <f>+IF(AVANCE[[#This Row],[VENTILACIONES]]=W$2,100%,AVANCE[[#This Row],[VENTILACIONES]])</f>
        <v>0</v>
      </c>
      <c r="BP494" s="3">
        <f>+IF(AVANCE[[#This Row],[TINA]]=X$2,100%,AVANCE[[#This Row],[TINA]])</f>
        <v>0</v>
      </c>
      <c r="BQ494" s="3">
        <f>+IF(AVANCE[[#This Row],[WC]]=Y$2,100%,AVANCE[[#This Row],[WC]])</f>
        <v>0</v>
      </c>
      <c r="BR494" s="3">
        <f>+IF(AVANCE[[#This Row],[LAVAMANOS / LAVAPLATOS / LAVADERO]]=Z$2,100%,AVANCE[[#This Row],[LAVAMANOS / LAVAPLATOS / LAVADERO]])</f>
        <v>0</v>
      </c>
      <c r="BS494" s="3">
        <f>+IF(AVANCE[[#This Row],[CANALIZACIÓN]]=AC$2,100%,AVANCE[[#This Row],[CANALIZACIÓN]])</f>
        <v>0</v>
      </c>
      <c r="BT494" s="3">
        <f>+IF(AVANCE[[#This Row],[CABLEADO]]=AD$2,100%,AVANCE[[#This Row],[CABLEADO]])</f>
        <v>0</v>
      </c>
      <c r="BU494" s="3">
        <f>+IF(AVANCE[[#This Row],[ARTEFACTOS]]=AE$2,100%,AVANCE[[#This Row],[ARTEFACTOS]])</f>
        <v>0</v>
      </c>
      <c r="BV494" s="3">
        <f>+IF(AVANCE[[#This Row],[TABLERO]]=AF$2,100%,AVANCE[[#This Row],[TABLERO]])</f>
        <v>0</v>
      </c>
      <c r="BW494" s="3">
        <f>+IF(AVANCE[[#This Row],[CAJA PAU]]=AG$2,100%,AVANCE[[#This Row],[CAJA PAU]])</f>
        <v>0</v>
      </c>
      <c r="BX494" s="3">
        <f>+IF(AVANCE[[#This Row],[INSTALACION VINILICO]]=AJ$2,100%,AVANCE[[#This Row],[INSTALACION VINILICO]])</f>
        <v>0</v>
      </c>
      <c r="BY494" s="3">
        <f>+IF(AVANCE[[#This Row],[OSB CUBIERTA]]=AK$2,100%,AVANCE[[#This Row],[OSB CUBIERTA]])</f>
        <v>0</v>
      </c>
      <c r="BZ494" s="3">
        <f>+IF(AVANCE[[#This Row],[BARANDA BALCON]]=AL$2,100%,AVANCE[[#This Row],[BARANDA BALCON]])</f>
        <v>0</v>
      </c>
      <c r="CA494" s="3">
        <f>+IF(AVANCE[[#This Row],[OSB EXTERIOR]]=AM$2,100%,AVANCE[[#This Row],[OSB EXTERIOR]])</f>
        <v>0</v>
      </c>
      <c r="CB494" s="3">
        <f>+IF(AVANCE[[#This Row],[SMART PANEL]]=AN$2,100%,AVANCE[[#This Row],[SMART PANEL]])</f>
        <v>0</v>
      </c>
      <c r="CC494" s="3">
        <f>+IF(AVANCE[[#This Row],[PINTURA EXTERIOR]]=AO$2,100%,AVANCE[[#This Row],[PINTURA EXTERIOR]])</f>
        <v>0</v>
      </c>
      <c r="CD494" s="3">
        <f>+IF(AVANCE[[#This Row],[ZOCALOS LOGIA]]=AP$2,100%,AVANCE[[#This Row],[ZOCALOS LOGIA]])</f>
        <v>0</v>
      </c>
      <c r="CE494" s="3">
        <f>+IF(AVANCE[[#This Row],[MOLDURAS]]=AQ$2,100%,AVANCE[[#This Row],[MOLDURAS]])</f>
        <v>0</v>
      </c>
      <c r="CF494" s="3">
        <f>+IF(AVANCE[[#This Row],[PILASTREO]]=AR$2,100%,AVANCE[[#This Row],[PILASTREO]])</f>
        <v>0</v>
      </c>
      <c r="CG494" s="3">
        <f>+IF(AVANCE[[#This Row],[CELOSIAS]]=AS$2,100%,AVANCE[[#This Row],[CELOSIAS]])</f>
        <v>0</v>
      </c>
      <c r="CH494" s="3">
        <f>+IF(AVANCE[[#This Row],[VENTANAS]]=AT$2,100%,AVANCE[[#This Row],[VENTANAS]])</f>
        <v>0</v>
      </c>
      <c r="CI494" s="3">
        <f>+IF(AVANCE[[#This Row],[PUERTAS ACCESO - LOGIA - BANO]]=AU$2,100%,AVANCE[[#This Row],[PUERTAS ACCESO - LOGIA - BANO]])</f>
        <v>0</v>
      </c>
      <c r="CJ494" s="3">
        <f>+IF(AVANCE[[#This Row],[CERRADURAS]]=AV$2,100%,AVANCE[[#This Row],[CERRADURAS]])</f>
        <v>0</v>
      </c>
      <c r="CK494" s="3">
        <f>+IF(AVANCE[[#This Row],[REVESTIMIENTO INTERIOR ZONA SECA]]=AW$2,100%,AVANCE[[#This Row],[REVESTIMIENTO INTERIOR ZONA SECA]])</f>
        <v>0</v>
      </c>
      <c r="CL494" s="3">
        <f>+IF(AVANCE[[#This Row],[REVESTIMIENTO INTERIOR ZONAS HUMEDAS]]=AX$2,100%,AVANCE[[#This Row],[REVESTIMIENTO INTERIOR ZONAS HUMEDAS]])</f>
        <v>0</v>
      </c>
      <c r="CM494" s="3">
        <f>+IF(AVANCE[[#This Row],[MEMBRANA CIELO]]=AY$2,100%,AVANCE[[#This Row],[MEMBRANA CIELO]])</f>
        <v>0</v>
      </c>
      <c r="CN494" s="3">
        <f>+IF(AVANCE[[#This Row],[LIMPIEZA FINAL]]=AZ$2,100%,AVANCE[[#This Row],[LIMPIEZA FINAL]])</f>
        <v>0</v>
      </c>
      <c r="CO494" s="3">
        <f>+IF(AVANCE[[#This Row],[PUERTAS DORMITORIO]]=BA$2,100%,AVANCE[[#This Row],[PUERTAS DORMITORIO]])</f>
        <v>0</v>
      </c>
      <c r="CP494" s="3">
        <f>+IF(AVANCE[[#This Row],[REVESTIMIENTO INTERIOR BANO]]=BB$2,100%,AVANCE[[#This Row],[REVESTIMIENTO INTERIOR BANO]])</f>
        <v>0</v>
      </c>
      <c r="CQ494" s="3">
        <f>+IF(AVANCE[[#This Row],[MUEBLE LAVAPLATOS]]=BC$2,100%,AVANCE[[#This Row],[MUEBLE LAVAPLATOS]])</f>
        <v>0</v>
      </c>
      <c r="CR494" s="3">
        <f>+IF(AVANCE[[#This Row],[IMPERMEABILIZACION BANO - COCINA LOGIA]]=BD$2,100%,AVANCE[[#This Row],[IMPERMEABILIZACION BANO - COCINA LOGIA]])</f>
        <v>0</v>
      </c>
      <c r="CS494" s="40">
        <f ca="1">+IF(AVANCE[[#This Row],[ESTADO MODULO]]="PENDIENTE",(TODAY()-AVANCE[[#This Row],[FECHA TERMINO  PLANIFICADO]]),0)</f>
        <v>0</v>
      </c>
      <c r="CT494" s="41" t="str" cm="1">
        <f t="array" ref="CT494">_xlfn.TEXTJOIN(" | ",TRUE,IF(SUMPRODUCT((BG494:CR494&lt;1)*(PARTIDAS!$I$2:$AT$2="OBRA GRUESA"))&gt;0,"OBRA GRUESA: "&amp;_xlfn.TEXTJOIN(", ",TRUE,IF((BG494:CR494&lt;1)*(PARTIDAS!$I$2:$AT$2="OBRA GRUESA"),PARTIDAS!$I$1:$AT$1,"")),""),IF(SUMPRODUCT((BG494:CR494&lt;1)*(PARTIDAS!$I$2:$AT$2="SANITARIOS"))&gt;0,"SANITARIOS: "&amp;_xlfn.TEXTJOIN(", ",TRUE,IF((BG494:CR494&lt;1)*(PARTIDAS!$I$2:$AT$2="SANITARIOS"),PARTIDAS!$I$1:$AT$1,"")),""),IF(SUMPRODUCT((BG494:CR494&lt;1)*(PARTIDAS!$I$2:$AT$2="ELÉCTRICO"))&gt;0,"ELÉCTRICO: "&amp;_xlfn.TEXTJOIN(", ",TRUE,IF((BG494:CR494&lt;1)*(PARTIDAS!$I$2:$AT$2="ELÉCTRICO"),PARTIDAS!$I$1:$AT$1,"")),""),IF(SUMPRODUCT((BG494:CR494&lt;1)*(PARTIDAS!$I$2:$AT$2="TERMINACIONES"))&gt;0,"TERMINACIONES: "&amp;_xlfn.TEXTJOIN(", ",TRUE,IF((BG494:CR494&lt;1)*(PARTIDAS!$I$2:$AT$2="TERMINACIONES"),PARTIDAS!$I$1:$AT$1,"")),""))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4" s="43" t="str" cm="1">
        <f t="array" ref="CU494">_xlfn.TEXTJOIN(", ",TRUE,IF(SUMPRODUCT((BG494:CR494&lt;1)*(PARTIDAS!$I$2:$AT$2="OBRA GRUESA"))&gt;0,"OBRA GRUESA",""),IF(SUMPRODUCT((BG494:CR494&lt;1)*(PARTIDAS!$I$2:$AT$2="SANITARIOS"))&gt;0,"SANITARIOS",""),IF(SUMPRODUCT((BG494:CR494&lt;1)*(PARTIDAS!$I$2:$AT$2="ELÉCTRICO"))&gt;0,"ELÉCTRICO",""),IF(SUMPRODUCT((BG494:CR494&lt;1)*(PARTIDAS!$I$2:$AT$2="TERMINACIONES"))&gt;0,"TERMINACIONES",""))</f>
        <v>OBRA GRUESA, SANITARIOS, ELÉCTRICO, TERMINACIONES</v>
      </c>
      <c r="CV494" s="44" cm="1">
        <f t="array" ref="CV494">SUMPRODUCT(--(BG494:CR494&lt;1))</f>
        <v>38</v>
      </c>
    </row>
    <row r="495" spans="1:100" hidden="1" x14ac:dyDescent="0.25">
      <c r="A495" t="s">
        <v>553</v>
      </c>
      <c r="B495" t="s">
        <v>567</v>
      </c>
      <c r="C495">
        <v>2302600494</v>
      </c>
      <c r="D495" t="s">
        <v>60</v>
      </c>
      <c r="E495" s="2">
        <v>0</v>
      </c>
      <c r="F495" s="1">
        <v>46391</v>
      </c>
      <c r="G495" s="1"/>
      <c r="H495" s="1">
        <v>0</v>
      </c>
      <c r="I495" s="1">
        <v>46421</v>
      </c>
      <c r="J495">
        <v>46230</v>
      </c>
      <c r="K495" s="1"/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>
        <v>31.32</v>
      </c>
      <c r="BF495" s="3" t="str">
        <f>+IF(AVANCE[[#This Row],[% AVANCE]]=100%,"MODULO TERMINADO",IF(AVANCE[[#This Row],[FECHA INICIO REAL]]="","MODULO NO INICIADO","PENDIENTE"))</f>
        <v>MODULO NO INICIADO</v>
      </c>
      <c r="BG495" s="3">
        <f>+IF(AVANCE[[#This Row],[VENTANAS]]=8.10810810810811%,100%,AVANCE[[#This Row],[VENTANAS]])</f>
        <v>0</v>
      </c>
      <c r="BH495" s="3">
        <f>+IF(AVANCE[[#This Row],[PISO]]=N$2,100%,AVANCE[[#This Row],[PISO]])</f>
        <v>0</v>
      </c>
      <c r="BI495" s="3">
        <f>+IF(AVANCE[[#This Row],[TABIQUES]]=O$2,100%,AVANCE[[#This Row],[TABIQUES]])</f>
        <v>0</v>
      </c>
      <c r="BJ495" s="3">
        <f>+IF(AVANCE[[#This Row],[MUROS]]=P$2,100%,AVANCE[[#This Row],[MUROS]])</f>
        <v>0</v>
      </c>
      <c r="BK495" s="3">
        <f>+IF(AVANCE[[#This Row],[CIELO]]=Q$2,100%,AVANCE[[#This Row],[CIELO]])</f>
        <v>0</v>
      </c>
      <c r="BL495" s="3">
        <f>+IF(AVANCE[[#This Row],[BALCÓN]]=R$2,100%,AVANCE[[#This Row],[BALCÓN]])</f>
        <v>0</v>
      </c>
      <c r="BM495" s="3">
        <f>+IF(AVANCE[[#This Row],[RED ALCANTARILLADO]]=U$2,100%,AVANCE[[#This Row],[RED ALCANTARILLADO]])</f>
        <v>0</v>
      </c>
      <c r="BN495" s="3">
        <f>+IF(AVANCE[[#This Row],[RED DE AGUA]]=V$2,100%,AVANCE[[#This Row],[RED DE AGUA]])</f>
        <v>0</v>
      </c>
      <c r="BO495" s="3">
        <f>+IF(AVANCE[[#This Row],[VENTILACIONES]]=W$2,100%,AVANCE[[#This Row],[VENTILACIONES]])</f>
        <v>0</v>
      </c>
      <c r="BP495" s="3">
        <f>+IF(AVANCE[[#This Row],[TINA]]=X$2,100%,AVANCE[[#This Row],[TINA]])</f>
        <v>0</v>
      </c>
      <c r="BQ495" s="3">
        <f>+IF(AVANCE[[#This Row],[WC]]=Y$2,100%,AVANCE[[#This Row],[WC]])</f>
        <v>0</v>
      </c>
      <c r="BR495" s="3">
        <f>+IF(AVANCE[[#This Row],[LAVAMANOS / LAVAPLATOS / LAVADERO]]=Z$2,100%,AVANCE[[#This Row],[LAVAMANOS / LAVAPLATOS / LAVADERO]])</f>
        <v>0</v>
      </c>
      <c r="BS495" s="3">
        <f>+IF(AVANCE[[#This Row],[CANALIZACIÓN]]=AC$2,100%,AVANCE[[#This Row],[CANALIZACIÓN]])</f>
        <v>0</v>
      </c>
      <c r="BT495" s="3">
        <f>+IF(AVANCE[[#This Row],[CABLEADO]]=AD$2,100%,AVANCE[[#This Row],[CABLEADO]])</f>
        <v>0</v>
      </c>
      <c r="BU495" s="3">
        <f>+IF(AVANCE[[#This Row],[ARTEFACTOS]]=AE$2,100%,AVANCE[[#This Row],[ARTEFACTOS]])</f>
        <v>0</v>
      </c>
      <c r="BV495" s="3">
        <f>+IF(AVANCE[[#This Row],[TABLERO]]=AF$2,100%,AVANCE[[#This Row],[TABLERO]])</f>
        <v>0</v>
      </c>
      <c r="BW495" s="3">
        <f>+IF(AVANCE[[#This Row],[CAJA PAU]]=AG$2,100%,AVANCE[[#This Row],[CAJA PAU]])</f>
        <v>0</v>
      </c>
      <c r="BX495" s="3">
        <f>+IF(AVANCE[[#This Row],[INSTALACION VINILICO]]=AJ$2,100%,AVANCE[[#This Row],[INSTALACION VINILICO]])</f>
        <v>0</v>
      </c>
      <c r="BY495" s="3">
        <f>+IF(AVANCE[[#This Row],[OSB CUBIERTA]]=AK$2,100%,AVANCE[[#This Row],[OSB CUBIERTA]])</f>
        <v>0</v>
      </c>
      <c r="BZ495" s="3">
        <f>+IF(AVANCE[[#This Row],[BARANDA BALCON]]=AL$2,100%,AVANCE[[#This Row],[BARANDA BALCON]])</f>
        <v>0</v>
      </c>
      <c r="CA495" s="3">
        <f>+IF(AVANCE[[#This Row],[OSB EXTERIOR]]=AM$2,100%,AVANCE[[#This Row],[OSB EXTERIOR]])</f>
        <v>0</v>
      </c>
      <c r="CB495" s="3">
        <f>+IF(AVANCE[[#This Row],[SMART PANEL]]=AN$2,100%,AVANCE[[#This Row],[SMART PANEL]])</f>
        <v>0</v>
      </c>
      <c r="CC495" s="3">
        <f>+IF(AVANCE[[#This Row],[PINTURA EXTERIOR]]=AO$2,100%,AVANCE[[#This Row],[PINTURA EXTERIOR]])</f>
        <v>0</v>
      </c>
      <c r="CD495" s="3">
        <f>+IF(AVANCE[[#This Row],[ZOCALOS LOGIA]]=AP$2,100%,AVANCE[[#This Row],[ZOCALOS LOGIA]])</f>
        <v>0</v>
      </c>
      <c r="CE495" s="3">
        <f>+IF(AVANCE[[#This Row],[MOLDURAS]]=AQ$2,100%,AVANCE[[#This Row],[MOLDURAS]])</f>
        <v>0</v>
      </c>
      <c r="CF495" s="3">
        <f>+IF(AVANCE[[#This Row],[PILASTREO]]=AR$2,100%,AVANCE[[#This Row],[PILASTREO]])</f>
        <v>0</v>
      </c>
      <c r="CG495" s="3">
        <f>+IF(AVANCE[[#This Row],[CELOSIAS]]=AS$2,100%,AVANCE[[#This Row],[CELOSIAS]])</f>
        <v>0</v>
      </c>
      <c r="CH495" s="3">
        <f>+IF(AVANCE[[#This Row],[VENTANAS]]=AT$2,100%,AVANCE[[#This Row],[VENTANAS]])</f>
        <v>0</v>
      </c>
      <c r="CI495" s="3">
        <f>+IF(AVANCE[[#This Row],[PUERTAS ACCESO - LOGIA - BANO]]=AU$2,100%,AVANCE[[#This Row],[PUERTAS ACCESO - LOGIA - BANO]])</f>
        <v>0</v>
      </c>
      <c r="CJ495" s="3">
        <f>+IF(AVANCE[[#This Row],[CERRADURAS]]=AV$2,100%,AVANCE[[#This Row],[CERRADURAS]])</f>
        <v>0</v>
      </c>
      <c r="CK495" s="3">
        <f>+IF(AVANCE[[#This Row],[REVESTIMIENTO INTERIOR ZONA SECA]]=AW$2,100%,AVANCE[[#This Row],[REVESTIMIENTO INTERIOR ZONA SECA]])</f>
        <v>0</v>
      </c>
      <c r="CL495" s="3">
        <f>+IF(AVANCE[[#This Row],[REVESTIMIENTO INTERIOR ZONAS HUMEDAS]]=AX$2,100%,AVANCE[[#This Row],[REVESTIMIENTO INTERIOR ZONAS HUMEDAS]])</f>
        <v>0</v>
      </c>
      <c r="CM495" s="3">
        <f>+IF(AVANCE[[#This Row],[MEMBRANA CIELO]]=AY$2,100%,AVANCE[[#This Row],[MEMBRANA CIELO]])</f>
        <v>0</v>
      </c>
      <c r="CN495" s="3">
        <f>+IF(AVANCE[[#This Row],[LIMPIEZA FINAL]]=AZ$2,100%,AVANCE[[#This Row],[LIMPIEZA FINAL]])</f>
        <v>0</v>
      </c>
      <c r="CO495" s="3">
        <f>+IF(AVANCE[[#This Row],[PUERTAS DORMITORIO]]=BA$2,100%,AVANCE[[#This Row],[PUERTAS DORMITORIO]])</f>
        <v>0</v>
      </c>
      <c r="CP495" s="3">
        <f>+IF(AVANCE[[#This Row],[REVESTIMIENTO INTERIOR BANO]]=BB$2,100%,AVANCE[[#This Row],[REVESTIMIENTO INTERIOR BANO]])</f>
        <v>0</v>
      </c>
      <c r="CQ495" s="3">
        <f>+IF(AVANCE[[#This Row],[MUEBLE LAVAPLATOS]]=BC$2,100%,AVANCE[[#This Row],[MUEBLE LAVAPLATOS]])</f>
        <v>0</v>
      </c>
      <c r="CR495" s="3">
        <f>+IF(AVANCE[[#This Row],[IMPERMEABILIZACION BANO - COCINA LOGIA]]=BD$2,100%,AVANCE[[#This Row],[IMPERMEABILIZACION BANO - COCINA LOGIA]])</f>
        <v>0</v>
      </c>
      <c r="CS495" s="40">
        <f ca="1">+IF(AVANCE[[#This Row],[ESTADO MODULO]]="PENDIENTE",(TODAY()-AVANCE[[#This Row],[FECHA TERMINO  PLANIFICADO]]),0)</f>
        <v>0</v>
      </c>
      <c r="CT495" s="41" t="str" cm="1">
        <f t="array" ref="CT495">_xlfn.TEXTJOIN(" | ",TRUE,IF(SUMPRODUCT((BG495:CR495&lt;1)*(PARTIDAS!$I$2:$AT$2="OBRA GRUESA"))&gt;0,"OBRA GRUESA: "&amp;_xlfn.TEXTJOIN(", ",TRUE,IF((BG495:CR495&lt;1)*(PARTIDAS!$I$2:$AT$2="OBRA GRUESA"),PARTIDAS!$I$1:$AT$1,"")),""),IF(SUMPRODUCT((BG495:CR495&lt;1)*(PARTIDAS!$I$2:$AT$2="SANITARIOS"))&gt;0,"SANITARIOS: "&amp;_xlfn.TEXTJOIN(", ",TRUE,IF((BG495:CR495&lt;1)*(PARTIDAS!$I$2:$AT$2="SANITARIOS"),PARTIDAS!$I$1:$AT$1,"")),""),IF(SUMPRODUCT((BG495:CR495&lt;1)*(PARTIDAS!$I$2:$AT$2="ELÉCTRICO"))&gt;0,"ELÉCTRICO: "&amp;_xlfn.TEXTJOIN(", ",TRUE,IF((BG495:CR495&lt;1)*(PARTIDAS!$I$2:$AT$2="ELÉCTRICO"),PARTIDAS!$I$1:$AT$1,"")),""),IF(SUMPRODUCT((BG495:CR495&lt;1)*(PARTIDAS!$I$2:$AT$2="TERMINACIONES"))&gt;0,"TERMINACIONES: "&amp;_xlfn.TEXTJOIN(", ",TRUE,IF((BG495:CR495&lt;1)*(PARTIDAS!$I$2:$AT$2="TERMINACIONES"),PARTIDAS!$I$1:$AT$1,"")),""))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5" s="43" t="str" cm="1">
        <f t="array" ref="CU495">_xlfn.TEXTJOIN(", ",TRUE,IF(SUMPRODUCT((BG495:CR495&lt;1)*(PARTIDAS!$I$2:$AT$2="OBRA GRUESA"))&gt;0,"OBRA GRUESA",""),IF(SUMPRODUCT((BG495:CR495&lt;1)*(PARTIDAS!$I$2:$AT$2="SANITARIOS"))&gt;0,"SANITARIOS",""),IF(SUMPRODUCT((BG495:CR495&lt;1)*(PARTIDAS!$I$2:$AT$2="ELÉCTRICO"))&gt;0,"ELÉCTRICO",""),IF(SUMPRODUCT((BG495:CR495&lt;1)*(PARTIDAS!$I$2:$AT$2="TERMINACIONES"))&gt;0,"TERMINACIONES",""))</f>
        <v>OBRA GRUESA, SANITARIOS, ELÉCTRICO, TERMINACIONES</v>
      </c>
      <c r="CV495" s="44" cm="1">
        <f t="array" ref="CV495">SUMPRODUCT(--(BG495:CR495&lt;1))</f>
        <v>38</v>
      </c>
    </row>
    <row r="496" spans="1:100" hidden="1" x14ac:dyDescent="0.25">
      <c r="A496" t="s">
        <v>553</v>
      </c>
      <c r="B496" t="s">
        <v>568</v>
      </c>
      <c r="C496">
        <v>2302600495</v>
      </c>
      <c r="D496" t="s">
        <v>60</v>
      </c>
      <c r="E496" s="2">
        <v>0</v>
      </c>
      <c r="F496" s="1">
        <v>46391</v>
      </c>
      <c r="G496" s="1"/>
      <c r="H496" s="1">
        <v>0</v>
      </c>
      <c r="I496" s="1">
        <v>46421</v>
      </c>
      <c r="J496">
        <v>46230</v>
      </c>
      <c r="K496" s="1"/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>
        <v>31.32</v>
      </c>
      <c r="BF496" s="3" t="str">
        <f>+IF(AVANCE[[#This Row],[% AVANCE]]=100%,"MODULO TERMINADO",IF(AVANCE[[#This Row],[FECHA INICIO REAL]]="","MODULO NO INICIADO","PENDIENTE"))</f>
        <v>MODULO NO INICIADO</v>
      </c>
      <c r="BG496" s="3">
        <f>+IF(AVANCE[[#This Row],[VENTANAS]]=8.10810810810811%,100%,AVANCE[[#This Row],[VENTANAS]])</f>
        <v>0</v>
      </c>
      <c r="BH496" s="3">
        <f>+IF(AVANCE[[#This Row],[PISO]]=N$2,100%,AVANCE[[#This Row],[PISO]])</f>
        <v>0</v>
      </c>
      <c r="BI496" s="3">
        <f>+IF(AVANCE[[#This Row],[TABIQUES]]=O$2,100%,AVANCE[[#This Row],[TABIQUES]])</f>
        <v>0</v>
      </c>
      <c r="BJ496" s="3">
        <f>+IF(AVANCE[[#This Row],[MUROS]]=P$2,100%,AVANCE[[#This Row],[MUROS]])</f>
        <v>0</v>
      </c>
      <c r="BK496" s="3">
        <f>+IF(AVANCE[[#This Row],[CIELO]]=Q$2,100%,AVANCE[[#This Row],[CIELO]])</f>
        <v>0</v>
      </c>
      <c r="BL496" s="3">
        <f>+IF(AVANCE[[#This Row],[BALCÓN]]=R$2,100%,AVANCE[[#This Row],[BALCÓN]])</f>
        <v>0</v>
      </c>
      <c r="BM496" s="3">
        <f>+IF(AVANCE[[#This Row],[RED ALCANTARILLADO]]=U$2,100%,AVANCE[[#This Row],[RED ALCANTARILLADO]])</f>
        <v>0</v>
      </c>
      <c r="BN496" s="3">
        <f>+IF(AVANCE[[#This Row],[RED DE AGUA]]=V$2,100%,AVANCE[[#This Row],[RED DE AGUA]])</f>
        <v>0</v>
      </c>
      <c r="BO496" s="3">
        <f>+IF(AVANCE[[#This Row],[VENTILACIONES]]=W$2,100%,AVANCE[[#This Row],[VENTILACIONES]])</f>
        <v>0</v>
      </c>
      <c r="BP496" s="3">
        <f>+IF(AVANCE[[#This Row],[TINA]]=X$2,100%,AVANCE[[#This Row],[TINA]])</f>
        <v>0</v>
      </c>
      <c r="BQ496" s="3">
        <f>+IF(AVANCE[[#This Row],[WC]]=Y$2,100%,AVANCE[[#This Row],[WC]])</f>
        <v>0</v>
      </c>
      <c r="BR496" s="3">
        <f>+IF(AVANCE[[#This Row],[LAVAMANOS / LAVAPLATOS / LAVADERO]]=Z$2,100%,AVANCE[[#This Row],[LAVAMANOS / LAVAPLATOS / LAVADERO]])</f>
        <v>0</v>
      </c>
      <c r="BS496" s="3">
        <f>+IF(AVANCE[[#This Row],[CANALIZACIÓN]]=AC$2,100%,AVANCE[[#This Row],[CANALIZACIÓN]])</f>
        <v>0</v>
      </c>
      <c r="BT496" s="3">
        <f>+IF(AVANCE[[#This Row],[CABLEADO]]=AD$2,100%,AVANCE[[#This Row],[CABLEADO]])</f>
        <v>0</v>
      </c>
      <c r="BU496" s="3">
        <f>+IF(AVANCE[[#This Row],[ARTEFACTOS]]=AE$2,100%,AVANCE[[#This Row],[ARTEFACTOS]])</f>
        <v>0</v>
      </c>
      <c r="BV496" s="3">
        <f>+IF(AVANCE[[#This Row],[TABLERO]]=AF$2,100%,AVANCE[[#This Row],[TABLERO]])</f>
        <v>0</v>
      </c>
      <c r="BW496" s="3">
        <f>+IF(AVANCE[[#This Row],[CAJA PAU]]=AG$2,100%,AVANCE[[#This Row],[CAJA PAU]])</f>
        <v>0</v>
      </c>
      <c r="BX496" s="3">
        <f>+IF(AVANCE[[#This Row],[INSTALACION VINILICO]]=AJ$2,100%,AVANCE[[#This Row],[INSTALACION VINILICO]])</f>
        <v>0</v>
      </c>
      <c r="BY496" s="3">
        <f>+IF(AVANCE[[#This Row],[OSB CUBIERTA]]=AK$2,100%,AVANCE[[#This Row],[OSB CUBIERTA]])</f>
        <v>0</v>
      </c>
      <c r="BZ496" s="3">
        <f>+IF(AVANCE[[#This Row],[BARANDA BALCON]]=AL$2,100%,AVANCE[[#This Row],[BARANDA BALCON]])</f>
        <v>0</v>
      </c>
      <c r="CA496" s="3">
        <f>+IF(AVANCE[[#This Row],[OSB EXTERIOR]]=AM$2,100%,AVANCE[[#This Row],[OSB EXTERIOR]])</f>
        <v>0</v>
      </c>
      <c r="CB496" s="3">
        <f>+IF(AVANCE[[#This Row],[SMART PANEL]]=AN$2,100%,AVANCE[[#This Row],[SMART PANEL]])</f>
        <v>0</v>
      </c>
      <c r="CC496" s="3">
        <f>+IF(AVANCE[[#This Row],[PINTURA EXTERIOR]]=AO$2,100%,AVANCE[[#This Row],[PINTURA EXTERIOR]])</f>
        <v>0</v>
      </c>
      <c r="CD496" s="3">
        <f>+IF(AVANCE[[#This Row],[ZOCALOS LOGIA]]=AP$2,100%,AVANCE[[#This Row],[ZOCALOS LOGIA]])</f>
        <v>0</v>
      </c>
      <c r="CE496" s="3">
        <f>+IF(AVANCE[[#This Row],[MOLDURAS]]=AQ$2,100%,AVANCE[[#This Row],[MOLDURAS]])</f>
        <v>0</v>
      </c>
      <c r="CF496" s="3">
        <f>+IF(AVANCE[[#This Row],[PILASTREO]]=AR$2,100%,AVANCE[[#This Row],[PILASTREO]])</f>
        <v>0</v>
      </c>
      <c r="CG496" s="3">
        <f>+IF(AVANCE[[#This Row],[CELOSIAS]]=AS$2,100%,AVANCE[[#This Row],[CELOSIAS]])</f>
        <v>0</v>
      </c>
      <c r="CH496" s="3">
        <f>+IF(AVANCE[[#This Row],[VENTANAS]]=AT$2,100%,AVANCE[[#This Row],[VENTANAS]])</f>
        <v>0</v>
      </c>
      <c r="CI496" s="3">
        <f>+IF(AVANCE[[#This Row],[PUERTAS ACCESO - LOGIA - BANO]]=AU$2,100%,AVANCE[[#This Row],[PUERTAS ACCESO - LOGIA - BANO]])</f>
        <v>0</v>
      </c>
      <c r="CJ496" s="3">
        <f>+IF(AVANCE[[#This Row],[CERRADURAS]]=AV$2,100%,AVANCE[[#This Row],[CERRADURAS]])</f>
        <v>0</v>
      </c>
      <c r="CK496" s="3">
        <f>+IF(AVANCE[[#This Row],[REVESTIMIENTO INTERIOR ZONA SECA]]=AW$2,100%,AVANCE[[#This Row],[REVESTIMIENTO INTERIOR ZONA SECA]])</f>
        <v>0</v>
      </c>
      <c r="CL496" s="3">
        <f>+IF(AVANCE[[#This Row],[REVESTIMIENTO INTERIOR ZONAS HUMEDAS]]=AX$2,100%,AVANCE[[#This Row],[REVESTIMIENTO INTERIOR ZONAS HUMEDAS]])</f>
        <v>0</v>
      </c>
      <c r="CM496" s="3">
        <f>+IF(AVANCE[[#This Row],[MEMBRANA CIELO]]=AY$2,100%,AVANCE[[#This Row],[MEMBRANA CIELO]])</f>
        <v>0</v>
      </c>
      <c r="CN496" s="3">
        <f>+IF(AVANCE[[#This Row],[LIMPIEZA FINAL]]=AZ$2,100%,AVANCE[[#This Row],[LIMPIEZA FINAL]])</f>
        <v>0</v>
      </c>
      <c r="CO496" s="3">
        <f>+IF(AVANCE[[#This Row],[PUERTAS DORMITORIO]]=BA$2,100%,AVANCE[[#This Row],[PUERTAS DORMITORIO]])</f>
        <v>0</v>
      </c>
      <c r="CP496" s="3">
        <f>+IF(AVANCE[[#This Row],[REVESTIMIENTO INTERIOR BANO]]=BB$2,100%,AVANCE[[#This Row],[REVESTIMIENTO INTERIOR BANO]])</f>
        <v>0</v>
      </c>
      <c r="CQ496" s="3">
        <f>+IF(AVANCE[[#This Row],[MUEBLE LAVAPLATOS]]=BC$2,100%,AVANCE[[#This Row],[MUEBLE LAVAPLATOS]])</f>
        <v>0</v>
      </c>
      <c r="CR496" s="3">
        <f>+IF(AVANCE[[#This Row],[IMPERMEABILIZACION BANO - COCINA LOGIA]]=BD$2,100%,AVANCE[[#This Row],[IMPERMEABILIZACION BANO - COCINA LOGIA]])</f>
        <v>0</v>
      </c>
      <c r="CS496" s="40">
        <f ca="1">+IF(AVANCE[[#This Row],[ESTADO MODULO]]="PENDIENTE",(TODAY()-AVANCE[[#This Row],[FECHA TERMINO  PLANIFICADO]]),0)</f>
        <v>0</v>
      </c>
      <c r="CT496" s="41" t="str" cm="1">
        <f t="array" ref="CT496">_xlfn.TEXTJOIN(" | ",TRUE,IF(SUMPRODUCT((BG496:CR496&lt;1)*(PARTIDAS!$I$2:$AT$2="OBRA GRUESA"))&gt;0,"OBRA GRUESA: "&amp;_xlfn.TEXTJOIN(", ",TRUE,IF((BG496:CR496&lt;1)*(PARTIDAS!$I$2:$AT$2="OBRA GRUESA"),PARTIDAS!$I$1:$AT$1,"")),""),IF(SUMPRODUCT((BG496:CR496&lt;1)*(PARTIDAS!$I$2:$AT$2="SANITARIOS"))&gt;0,"SANITARIOS: "&amp;_xlfn.TEXTJOIN(", ",TRUE,IF((BG496:CR496&lt;1)*(PARTIDAS!$I$2:$AT$2="SANITARIOS"),PARTIDAS!$I$1:$AT$1,"")),""),IF(SUMPRODUCT((BG496:CR496&lt;1)*(PARTIDAS!$I$2:$AT$2="ELÉCTRICO"))&gt;0,"ELÉCTRICO: "&amp;_xlfn.TEXTJOIN(", ",TRUE,IF((BG496:CR496&lt;1)*(PARTIDAS!$I$2:$AT$2="ELÉCTRICO"),PARTIDAS!$I$1:$AT$1,"")),""),IF(SUMPRODUCT((BG496:CR496&lt;1)*(PARTIDAS!$I$2:$AT$2="TERMINACIONES"))&gt;0,"TERMINACIONES: "&amp;_xlfn.TEXTJOIN(", ",TRUE,IF((BG496:CR496&lt;1)*(PARTIDAS!$I$2:$AT$2="TERMINACIONES"),PARTIDAS!$I$1:$AT$1,"")),""))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6" s="43" t="str" cm="1">
        <f t="array" ref="CU496">_xlfn.TEXTJOIN(", ",TRUE,IF(SUMPRODUCT((BG496:CR496&lt;1)*(PARTIDAS!$I$2:$AT$2="OBRA GRUESA"))&gt;0,"OBRA GRUESA",""),IF(SUMPRODUCT((BG496:CR496&lt;1)*(PARTIDAS!$I$2:$AT$2="SANITARIOS"))&gt;0,"SANITARIOS",""),IF(SUMPRODUCT((BG496:CR496&lt;1)*(PARTIDAS!$I$2:$AT$2="ELÉCTRICO"))&gt;0,"ELÉCTRICO",""),IF(SUMPRODUCT((BG496:CR496&lt;1)*(PARTIDAS!$I$2:$AT$2="TERMINACIONES"))&gt;0,"TERMINACIONES",""))</f>
        <v>OBRA GRUESA, SANITARIOS, ELÉCTRICO, TERMINACIONES</v>
      </c>
      <c r="CV496" s="44" cm="1">
        <f t="array" ref="CV496">SUMPRODUCT(--(BG496:CR496&lt;1))</f>
        <v>38</v>
      </c>
    </row>
    <row r="497" spans="1:100" hidden="1" x14ac:dyDescent="0.25">
      <c r="A497" t="s">
        <v>553</v>
      </c>
      <c r="B497" t="s">
        <v>569</v>
      </c>
      <c r="C497">
        <v>2282600496</v>
      </c>
      <c r="D497" t="s">
        <v>58</v>
      </c>
      <c r="E497" s="2">
        <v>0</v>
      </c>
      <c r="F497" s="1">
        <v>46391</v>
      </c>
      <c r="G497" s="1"/>
      <c r="H497" s="1">
        <v>0</v>
      </c>
      <c r="I497" s="1">
        <v>46411</v>
      </c>
      <c r="J497">
        <v>46230</v>
      </c>
      <c r="K497" s="1"/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>
        <v>28.87</v>
      </c>
      <c r="BF497" s="3" t="str">
        <f>+IF(AVANCE[[#This Row],[% AVANCE]]=100%,"MODULO TERMINADO",IF(AVANCE[[#This Row],[FECHA INICIO REAL]]="","MODULO NO INICIADO","PENDIENTE"))</f>
        <v>MODULO NO INICIADO</v>
      </c>
      <c r="BG497" s="3">
        <f>+IF(AVANCE[[#This Row],[VENTANAS]]=8.10810810810811%,100%,AVANCE[[#This Row],[VENTANAS]])</f>
        <v>0</v>
      </c>
      <c r="BH497" s="3">
        <f>+IF(AVANCE[[#This Row],[PISO]]=N$2,100%,AVANCE[[#This Row],[PISO]])</f>
        <v>0</v>
      </c>
      <c r="BI497" s="3">
        <f>+IF(AVANCE[[#This Row],[TABIQUES]]=O$2,100%,AVANCE[[#This Row],[TABIQUES]])</f>
        <v>0</v>
      </c>
      <c r="BJ497" s="3">
        <f>+IF(AVANCE[[#This Row],[MUROS]]=P$2,100%,AVANCE[[#This Row],[MUROS]])</f>
        <v>0</v>
      </c>
      <c r="BK497" s="3">
        <f>+IF(AVANCE[[#This Row],[CIELO]]=Q$2,100%,AVANCE[[#This Row],[CIELO]])</f>
        <v>0</v>
      </c>
      <c r="BL497" s="3">
        <f>+IF(AVANCE[[#This Row],[BALCÓN]]=R$2,100%,AVANCE[[#This Row],[BALCÓN]])</f>
        <v>0</v>
      </c>
      <c r="BM497" s="3">
        <f>+IF(AVANCE[[#This Row],[RED ALCANTARILLADO]]=U$2,100%,AVANCE[[#This Row],[RED ALCANTARILLADO]])</f>
        <v>0</v>
      </c>
      <c r="BN497" s="3">
        <f>+IF(AVANCE[[#This Row],[RED DE AGUA]]=V$2,100%,AVANCE[[#This Row],[RED DE AGUA]])</f>
        <v>0</v>
      </c>
      <c r="BO497" s="3">
        <f>+IF(AVANCE[[#This Row],[VENTILACIONES]]=W$2,100%,AVANCE[[#This Row],[VENTILACIONES]])</f>
        <v>0</v>
      </c>
      <c r="BP497" s="3">
        <f>+IF(AVANCE[[#This Row],[TINA]]=X$2,100%,AVANCE[[#This Row],[TINA]])</f>
        <v>0</v>
      </c>
      <c r="BQ497" s="3">
        <f>+IF(AVANCE[[#This Row],[WC]]=Y$2,100%,AVANCE[[#This Row],[WC]])</f>
        <v>0</v>
      </c>
      <c r="BR497" s="3">
        <f>+IF(AVANCE[[#This Row],[LAVAMANOS / LAVAPLATOS / LAVADERO]]=Z$2,100%,AVANCE[[#This Row],[LAVAMANOS / LAVAPLATOS / LAVADERO]])</f>
        <v>0</v>
      </c>
      <c r="BS497" s="3">
        <f>+IF(AVANCE[[#This Row],[CANALIZACIÓN]]=AC$2,100%,AVANCE[[#This Row],[CANALIZACIÓN]])</f>
        <v>0</v>
      </c>
      <c r="BT497" s="3">
        <f>+IF(AVANCE[[#This Row],[CABLEADO]]=AD$2,100%,AVANCE[[#This Row],[CABLEADO]])</f>
        <v>0</v>
      </c>
      <c r="BU497" s="3">
        <f>+IF(AVANCE[[#This Row],[ARTEFACTOS]]=AE$2,100%,AVANCE[[#This Row],[ARTEFACTOS]])</f>
        <v>0</v>
      </c>
      <c r="BV497" s="3">
        <f>+IF(AVANCE[[#This Row],[TABLERO]]=AF$2,100%,AVANCE[[#This Row],[TABLERO]])</f>
        <v>0</v>
      </c>
      <c r="BW497" s="3">
        <f>+IF(AVANCE[[#This Row],[CAJA PAU]]=AG$2,100%,AVANCE[[#This Row],[CAJA PAU]])</f>
        <v>0</v>
      </c>
      <c r="BX497" s="3">
        <f>+IF(AVANCE[[#This Row],[INSTALACION VINILICO]]=AJ$2,100%,AVANCE[[#This Row],[INSTALACION VINILICO]])</f>
        <v>0</v>
      </c>
      <c r="BY497" s="3">
        <f>+IF(AVANCE[[#This Row],[OSB CUBIERTA]]=AK$2,100%,AVANCE[[#This Row],[OSB CUBIERTA]])</f>
        <v>0</v>
      </c>
      <c r="BZ497" s="3">
        <f>+IF(AVANCE[[#This Row],[BARANDA BALCON]]=AL$2,100%,AVANCE[[#This Row],[BARANDA BALCON]])</f>
        <v>0</v>
      </c>
      <c r="CA497" s="3">
        <f>+IF(AVANCE[[#This Row],[OSB EXTERIOR]]=AM$2,100%,AVANCE[[#This Row],[OSB EXTERIOR]])</f>
        <v>0</v>
      </c>
      <c r="CB497" s="3">
        <f>+IF(AVANCE[[#This Row],[SMART PANEL]]=AN$2,100%,AVANCE[[#This Row],[SMART PANEL]])</f>
        <v>0</v>
      </c>
      <c r="CC497" s="3">
        <f>+IF(AVANCE[[#This Row],[PINTURA EXTERIOR]]=AO$2,100%,AVANCE[[#This Row],[PINTURA EXTERIOR]])</f>
        <v>0</v>
      </c>
      <c r="CD497" s="3">
        <f>+IF(AVANCE[[#This Row],[ZOCALOS LOGIA]]=AP$2,100%,AVANCE[[#This Row],[ZOCALOS LOGIA]])</f>
        <v>0</v>
      </c>
      <c r="CE497" s="3">
        <f>+IF(AVANCE[[#This Row],[MOLDURAS]]=AQ$2,100%,AVANCE[[#This Row],[MOLDURAS]])</f>
        <v>0</v>
      </c>
      <c r="CF497" s="3">
        <f>+IF(AVANCE[[#This Row],[PILASTREO]]=AR$2,100%,AVANCE[[#This Row],[PILASTREO]])</f>
        <v>0</v>
      </c>
      <c r="CG497" s="3">
        <f>+IF(AVANCE[[#This Row],[CELOSIAS]]=AS$2,100%,AVANCE[[#This Row],[CELOSIAS]])</f>
        <v>0</v>
      </c>
      <c r="CH497" s="3">
        <f>+IF(AVANCE[[#This Row],[VENTANAS]]=AT$2,100%,AVANCE[[#This Row],[VENTANAS]])</f>
        <v>0</v>
      </c>
      <c r="CI497" s="3">
        <f>+IF(AVANCE[[#This Row],[PUERTAS ACCESO - LOGIA - BANO]]=AU$2,100%,AVANCE[[#This Row],[PUERTAS ACCESO - LOGIA - BANO]])</f>
        <v>0</v>
      </c>
      <c r="CJ497" s="3">
        <f>+IF(AVANCE[[#This Row],[CERRADURAS]]=AV$2,100%,AVANCE[[#This Row],[CERRADURAS]])</f>
        <v>0</v>
      </c>
      <c r="CK497" s="3">
        <f>+IF(AVANCE[[#This Row],[REVESTIMIENTO INTERIOR ZONA SECA]]=AW$2,100%,AVANCE[[#This Row],[REVESTIMIENTO INTERIOR ZONA SECA]])</f>
        <v>0</v>
      </c>
      <c r="CL497" s="3">
        <f>+IF(AVANCE[[#This Row],[REVESTIMIENTO INTERIOR ZONAS HUMEDAS]]=AX$2,100%,AVANCE[[#This Row],[REVESTIMIENTO INTERIOR ZONAS HUMEDAS]])</f>
        <v>0</v>
      </c>
      <c r="CM497" s="3">
        <f>+IF(AVANCE[[#This Row],[MEMBRANA CIELO]]=AY$2,100%,AVANCE[[#This Row],[MEMBRANA CIELO]])</f>
        <v>0</v>
      </c>
      <c r="CN497" s="3">
        <f>+IF(AVANCE[[#This Row],[LIMPIEZA FINAL]]=AZ$2,100%,AVANCE[[#This Row],[LIMPIEZA FINAL]])</f>
        <v>0</v>
      </c>
      <c r="CO497" s="3">
        <f>+IF(AVANCE[[#This Row],[PUERTAS DORMITORIO]]=BA$2,100%,AVANCE[[#This Row],[PUERTAS DORMITORIO]])</f>
        <v>0</v>
      </c>
      <c r="CP497" s="3">
        <f>+IF(AVANCE[[#This Row],[REVESTIMIENTO INTERIOR BANO]]=BB$2,100%,AVANCE[[#This Row],[REVESTIMIENTO INTERIOR BANO]])</f>
        <v>0</v>
      </c>
      <c r="CQ497" s="3">
        <f>+IF(AVANCE[[#This Row],[MUEBLE LAVAPLATOS]]=BC$2,100%,AVANCE[[#This Row],[MUEBLE LAVAPLATOS]])</f>
        <v>0</v>
      </c>
      <c r="CR497" s="3">
        <f>+IF(AVANCE[[#This Row],[IMPERMEABILIZACION BANO - COCINA LOGIA]]=BD$2,100%,AVANCE[[#This Row],[IMPERMEABILIZACION BANO - COCINA LOGIA]])</f>
        <v>0</v>
      </c>
      <c r="CS497" s="40">
        <f ca="1">+IF(AVANCE[[#This Row],[ESTADO MODULO]]="PENDIENTE",(TODAY()-AVANCE[[#This Row],[FECHA TERMINO  PLANIFICADO]]),0)</f>
        <v>0</v>
      </c>
      <c r="CT497" s="41" t="str" cm="1">
        <f t="array" ref="CT497">_xlfn.TEXTJOIN(" | ",TRUE,IF(SUMPRODUCT((BG497:CR497&lt;1)*(PARTIDAS!$I$2:$AT$2="OBRA GRUESA"))&gt;0,"OBRA GRUESA: "&amp;_xlfn.TEXTJOIN(", ",TRUE,IF((BG497:CR497&lt;1)*(PARTIDAS!$I$2:$AT$2="OBRA GRUESA"),PARTIDAS!$I$1:$AT$1,"")),""),IF(SUMPRODUCT((BG497:CR497&lt;1)*(PARTIDAS!$I$2:$AT$2="SANITARIOS"))&gt;0,"SANITARIOS: "&amp;_xlfn.TEXTJOIN(", ",TRUE,IF((BG497:CR497&lt;1)*(PARTIDAS!$I$2:$AT$2="SANITARIOS"),PARTIDAS!$I$1:$AT$1,"")),""),IF(SUMPRODUCT((BG497:CR497&lt;1)*(PARTIDAS!$I$2:$AT$2="ELÉCTRICO"))&gt;0,"ELÉCTRICO: "&amp;_xlfn.TEXTJOIN(", ",TRUE,IF((BG497:CR497&lt;1)*(PARTIDAS!$I$2:$AT$2="ELÉCTRICO"),PARTIDAS!$I$1:$AT$1,"")),""),IF(SUMPRODUCT((BG497:CR497&lt;1)*(PARTIDAS!$I$2:$AT$2="TERMINACIONES"))&gt;0,"TERMINACIONES: "&amp;_xlfn.TEXTJOIN(", ",TRUE,IF((BG497:CR497&lt;1)*(PARTIDAS!$I$2:$AT$2="TERMINACIONES"),PARTIDAS!$I$1:$AT$1,"")),""))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7" s="43" t="str" cm="1">
        <f t="array" ref="CU497">_xlfn.TEXTJOIN(", ",TRUE,IF(SUMPRODUCT((BG497:CR497&lt;1)*(PARTIDAS!$I$2:$AT$2="OBRA GRUESA"))&gt;0,"OBRA GRUESA",""),IF(SUMPRODUCT((BG497:CR497&lt;1)*(PARTIDAS!$I$2:$AT$2="SANITARIOS"))&gt;0,"SANITARIOS",""),IF(SUMPRODUCT((BG497:CR497&lt;1)*(PARTIDAS!$I$2:$AT$2="ELÉCTRICO"))&gt;0,"ELÉCTRICO",""),IF(SUMPRODUCT((BG497:CR497&lt;1)*(PARTIDAS!$I$2:$AT$2="TERMINACIONES"))&gt;0,"TERMINACIONES",""))</f>
        <v>OBRA GRUESA, SANITARIOS, ELÉCTRICO, TERMINACIONES</v>
      </c>
      <c r="CV497" s="44" cm="1">
        <f t="array" ref="CV497">SUMPRODUCT(--(BG497:CR497&lt;1))</f>
        <v>38</v>
      </c>
    </row>
    <row r="498" spans="1:100" hidden="1" x14ac:dyDescent="0.25">
      <c r="A498" t="s">
        <v>553</v>
      </c>
      <c r="B498" t="s">
        <v>570</v>
      </c>
      <c r="C498">
        <v>2282600497</v>
      </c>
      <c r="D498" t="s">
        <v>58</v>
      </c>
      <c r="E498" s="2">
        <v>0</v>
      </c>
      <c r="F498" s="1">
        <v>46392</v>
      </c>
      <c r="G498" s="1"/>
      <c r="H498" s="1">
        <v>0</v>
      </c>
      <c r="I498" s="1">
        <v>46412</v>
      </c>
      <c r="J498">
        <v>46230</v>
      </c>
      <c r="K498" s="1"/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>
        <v>28.87</v>
      </c>
      <c r="BF498" s="3" t="str">
        <f>+IF(AVANCE[[#This Row],[% AVANCE]]=100%,"MODULO TERMINADO",IF(AVANCE[[#This Row],[FECHA INICIO REAL]]="","MODULO NO INICIADO","PENDIENTE"))</f>
        <v>MODULO NO INICIADO</v>
      </c>
      <c r="BG498" s="3">
        <f>+IF(AVANCE[[#This Row],[VENTANAS]]=8.10810810810811%,100%,AVANCE[[#This Row],[VENTANAS]])</f>
        <v>0</v>
      </c>
      <c r="BH498" s="3">
        <f>+IF(AVANCE[[#This Row],[PISO]]=N$2,100%,AVANCE[[#This Row],[PISO]])</f>
        <v>0</v>
      </c>
      <c r="BI498" s="3">
        <f>+IF(AVANCE[[#This Row],[TABIQUES]]=O$2,100%,AVANCE[[#This Row],[TABIQUES]])</f>
        <v>0</v>
      </c>
      <c r="BJ498" s="3">
        <f>+IF(AVANCE[[#This Row],[MUROS]]=P$2,100%,AVANCE[[#This Row],[MUROS]])</f>
        <v>0</v>
      </c>
      <c r="BK498" s="3">
        <f>+IF(AVANCE[[#This Row],[CIELO]]=Q$2,100%,AVANCE[[#This Row],[CIELO]])</f>
        <v>0</v>
      </c>
      <c r="BL498" s="3">
        <f>+IF(AVANCE[[#This Row],[BALCÓN]]=R$2,100%,AVANCE[[#This Row],[BALCÓN]])</f>
        <v>0</v>
      </c>
      <c r="BM498" s="3">
        <f>+IF(AVANCE[[#This Row],[RED ALCANTARILLADO]]=U$2,100%,AVANCE[[#This Row],[RED ALCANTARILLADO]])</f>
        <v>0</v>
      </c>
      <c r="BN498" s="3">
        <f>+IF(AVANCE[[#This Row],[RED DE AGUA]]=V$2,100%,AVANCE[[#This Row],[RED DE AGUA]])</f>
        <v>0</v>
      </c>
      <c r="BO498" s="3">
        <f>+IF(AVANCE[[#This Row],[VENTILACIONES]]=W$2,100%,AVANCE[[#This Row],[VENTILACIONES]])</f>
        <v>0</v>
      </c>
      <c r="BP498" s="3">
        <f>+IF(AVANCE[[#This Row],[TINA]]=X$2,100%,AVANCE[[#This Row],[TINA]])</f>
        <v>0</v>
      </c>
      <c r="BQ498" s="3">
        <f>+IF(AVANCE[[#This Row],[WC]]=Y$2,100%,AVANCE[[#This Row],[WC]])</f>
        <v>0</v>
      </c>
      <c r="BR498" s="3">
        <f>+IF(AVANCE[[#This Row],[LAVAMANOS / LAVAPLATOS / LAVADERO]]=Z$2,100%,AVANCE[[#This Row],[LAVAMANOS / LAVAPLATOS / LAVADERO]])</f>
        <v>0</v>
      </c>
      <c r="BS498" s="3">
        <f>+IF(AVANCE[[#This Row],[CANALIZACIÓN]]=AC$2,100%,AVANCE[[#This Row],[CANALIZACIÓN]])</f>
        <v>0</v>
      </c>
      <c r="BT498" s="3">
        <f>+IF(AVANCE[[#This Row],[CABLEADO]]=AD$2,100%,AVANCE[[#This Row],[CABLEADO]])</f>
        <v>0</v>
      </c>
      <c r="BU498" s="3">
        <f>+IF(AVANCE[[#This Row],[ARTEFACTOS]]=AE$2,100%,AVANCE[[#This Row],[ARTEFACTOS]])</f>
        <v>0</v>
      </c>
      <c r="BV498" s="3">
        <f>+IF(AVANCE[[#This Row],[TABLERO]]=AF$2,100%,AVANCE[[#This Row],[TABLERO]])</f>
        <v>0</v>
      </c>
      <c r="BW498" s="3">
        <f>+IF(AVANCE[[#This Row],[CAJA PAU]]=AG$2,100%,AVANCE[[#This Row],[CAJA PAU]])</f>
        <v>0</v>
      </c>
      <c r="BX498" s="3">
        <f>+IF(AVANCE[[#This Row],[INSTALACION VINILICO]]=AJ$2,100%,AVANCE[[#This Row],[INSTALACION VINILICO]])</f>
        <v>0</v>
      </c>
      <c r="BY498" s="3">
        <f>+IF(AVANCE[[#This Row],[OSB CUBIERTA]]=AK$2,100%,AVANCE[[#This Row],[OSB CUBIERTA]])</f>
        <v>0</v>
      </c>
      <c r="BZ498" s="3">
        <f>+IF(AVANCE[[#This Row],[BARANDA BALCON]]=AL$2,100%,AVANCE[[#This Row],[BARANDA BALCON]])</f>
        <v>0</v>
      </c>
      <c r="CA498" s="3">
        <f>+IF(AVANCE[[#This Row],[OSB EXTERIOR]]=AM$2,100%,AVANCE[[#This Row],[OSB EXTERIOR]])</f>
        <v>0</v>
      </c>
      <c r="CB498" s="3">
        <f>+IF(AVANCE[[#This Row],[SMART PANEL]]=AN$2,100%,AVANCE[[#This Row],[SMART PANEL]])</f>
        <v>0</v>
      </c>
      <c r="CC498" s="3">
        <f>+IF(AVANCE[[#This Row],[PINTURA EXTERIOR]]=AO$2,100%,AVANCE[[#This Row],[PINTURA EXTERIOR]])</f>
        <v>0</v>
      </c>
      <c r="CD498" s="3">
        <f>+IF(AVANCE[[#This Row],[ZOCALOS LOGIA]]=AP$2,100%,AVANCE[[#This Row],[ZOCALOS LOGIA]])</f>
        <v>0</v>
      </c>
      <c r="CE498" s="3">
        <f>+IF(AVANCE[[#This Row],[MOLDURAS]]=AQ$2,100%,AVANCE[[#This Row],[MOLDURAS]])</f>
        <v>0</v>
      </c>
      <c r="CF498" s="3">
        <f>+IF(AVANCE[[#This Row],[PILASTREO]]=AR$2,100%,AVANCE[[#This Row],[PILASTREO]])</f>
        <v>0</v>
      </c>
      <c r="CG498" s="3">
        <f>+IF(AVANCE[[#This Row],[CELOSIAS]]=AS$2,100%,AVANCE[[#This Row],[CELOSIAS]])</f>
        <v>0</v>
      </c>
      <c r="CH498" s="3">
        <f>+IF(AVANCE[[#This Row],[VENTANAS]]=AT$2,100%,AVANCE[[#This Row],[VENTANAS]])</f>
        <v>0</v>
      </c>
      <c r="CI498" s="3">
        <f>+IF(AVANCE[[#This Row],[PUERTAS ACCESO - LOGIA - BANO]]=AU$2,100%,AVANCE[[#This Row],[PUERTAS ACCESO - LOGIA - BANO]])</f>
        <v>0</v>
      </c>
      <c r="CJ498" s="3">
        <f>+IF(AVANCE[[#This Row],[CERRADURAS]]=AV$2,100%,AVANCE[[#This Row],[CERRADURAS]])</f>
        <v>0</v>
      </c>
      <c r="CK498" s="3">
        <f>+IF(AVANCE[[#This Row],[REVESTIMIENTO INTERIOR ZONA SECA]]=AW$2,100%,AVANCE[[#This Row],[REVESTIMIENTO INTERIOR ZONA SECA]])</f>
        <v>0</v>
      </c>
      <c r="CL498" s="3">
        <f>+IF(AVANCE[[#This Row],[REVESTIMIENTO INTERIOR ZONAS HUMEDAS]]=AX$2,100%,AVANCE[[#This Row],[REVESTIMIENTO INTERIOR ZONAS HUMEDAS]])</f>
        <v>0</v>
      </c>
      <c r="CM498" s="3">
        <f>+IF(AVANCE[[#This Row],[MEMBRANA CIELO]]=AY$2,100%,AVANCE[[#This Row],[MEMBRANA CIELO]])</f>
        <v>0</v>
      </c>
      <c r="CN498" s="3">
        <f>+IF(AVANCE[[#This Row],[LIMPIEZA FINAL]]=AZ$2,100%,AVANCE[[#This Row],[LIMPIEZA FINAL]])</f>
        <v>0</v>
      </c>
      <c r="CO498" s="3">
        <f>+IF(AVANCE[[#This Row],[PUERTAS DORMITORIO]]=BA$2,100%,AVANCE[[#This Row],[PUERTAS DORMITORIO]])</f>
        <v>0</v>
      </c>
      <c r="CP498" s="3">
        <f>+IF(AVANCE[[#This Row],[REVESTIMIENTO INTERIOR BANO]]=BB$2,100%,AVANCE[[#This Row],[REVESTIMIENTO INTERIOR BANO]])</f>
        <v>0</v>
      </c>
      <c r="CQ498" s="3">
        <f>+IF(AVANCE[[#This Row],[MUEBLE LAVAPLATOS]]=BC$2,100%,AVANCE[[#This Row],[MUEBLE LAVAPLATOS]])</f>
        <v>0</v>
      </c>
      <c r="CR498" s="3">
        <f>+IF(AVANCE[[#This Row],[IMPERMEABILIZACION BANO - COCINA LOGIA]]=BD$2,100%,AVANCE[[#This Row],[IMPERMEABILIZACION BANO - COCINA LOGIA]])</f>
        <v>0</v>
      </c>
      <c r="CS498" s="40">
        <f ca="1">+IF(AVANCE[[#This Row],[ESTADO MODULO]]="PENDIENTE",(TODAY()-AVANCE[[#This Row],[FECHA TERMINO  PLANIFICADO]]),0)</f>
        <v>0</v>
      </c>
      <c r="CT498" s="41" t="str" cm="1">
        <f t="array" ref="CT498">_xlfn.TEXTJOIN(" | ",TRUE,IF(SUMPRODUCT((BG498:CR498&lt;1)*(PARTIDAS!$I$2:$AT$2="OBRA GRUESA"))&gt;0,"OBRA GRUESA: "&amp;_xlfn.TEXTJOIN(", ",TRUE,IF((BG498:CR498&lt;1)*(PARTIDAS!$I$2:$AT$2="OBRA GRUESA"),PARTIDAS!$I$1:$AT$1,"")),""),IF(SUMPRODUCT((BG498:CR498&lt;1)*(PARTIDAS!$I$2:$AT$2="SANITARIOS"))&gt;0,"SANITARIOS: "&amp;_xlfn.TEXTJOIN(", ",TRUE,IF((BG498:CR498&lt;1)*(PARTIDAS!$I$2:$AT$2="SANITARIOS"),PARTIDAS!$I$1:$AT$1,"")),""),IF(SUMPRODUCT((BG498:CR498&lt;1)*(PARTIDAS!$I$2:$AT$2="ELÉCTRICO"))&gt;0,"ELÉCTRICO: "&amp;_xlfn.TEXTJOIN(", ",TRUE,IF((BG498:CR498&lt;1)*(PARTIDAS!$I$2:$AT$2="ELÉCTRICO"),PARTIDAS!$I$1:$AT$1,"")),""),IF(SUMPRODUCT((BG498:CR498&lt;1)*(PARTIDAS!$I$2:$AT$2="TERMINACIONES"))&gt;0,"TERMINACIONES: "&amp;_xlfn.TEXTJOIN(", ",TRUE,IF((BG498:CR498&lt;1)*(PARTIDAS!$I$2:$AT$2="TERMINACIONES"),PARTIDAS!$I$1:$AT$1,"")),""))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8" s="43" t="str" cm="1">
        <f t="array" ref="CU498">_xlfn.TEXTJOIN(", ",TRUE,IF(SUMPRODUCT((BG498:CR498&lt;1)*(PARTIDAS!$I$2:$AT$2="OBRA GRUESA"))&gt;0,"OBRA GRUESA",""),IF(SUMPRODUCT((BG498:CR498&lt;1)*(PARTIDAS!$I$2:$AT$2="SANITARIOS"))&gt;0,"SANITARIOS",""),IF(SUMPRODUCT((BG498:CR498&lt;1)*(PARTIDAS!$I$2:$AT$2="ELÉCTRICO"))&gt;0,"ELÉCTRICO",""),IF(SUMPRODUCT((BG498:CR498&lt;1)*(PARTIDAS!$I$2:$AT$2="TERMINACIONES"))&gt;0,"TERMINACIONES",""))</f>
        <v>OBRA GRUESA, SANITARIOS, ELÉCTRICO, TERMINACIONES</v>
      </c>
      <c r="CV498" s="44" cm="1">
        <f t="array" ref="CV498">SUMPRODUCT(--(BG498:CR498&lt;1))</f>
        <v>38</v>
      </c>
    </row>
    <row r="499" spans="1:100" hidden="1" x14ac:dyDescent="0.25">
      <c r="A499" t="s">
        <v>553</v>
      </c>
      <c r="B499" t="s">
        <v>571</v>
      </c>
      <c r="C499">
        <v>2302600498</v>
      </c>
      <c r="D499" t="s">
        <v>60</v>
      </c>
      <c r="E499" s="2">
        <v>0</v>
      </c>
      <c r="F499" s="1">
        <v>46392</v>
      </c>
      <c r="G499" s="1"/>
      <c r="H499" s="1">
        <v>0</v>
      </c>
      <c r="I499" s="1">
        <v>46422</v>
      </c>
      <c r="J499">
        <v>46230</v>
      </c>
      <c r="K499" s="1"/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>
        <v>31.32</v>
      </c>
      <c r="BF499" s="3" t="str">
        <f>+IF(AVANCE[[#This Row],[% AVANCE]]=100%,"MODULO TERMINADO",IF(AVANCE[[#This Row],[FECHA INICIO REAL]]="","MODULO NO INICIADO","PENDIENTE"))</f>
        <v>MODULO NO INICIADO</v>
      </c>
      <c r="BG499" s="3">
        <f>+IF(AVANCE[[#This Row],[VENTANAS]]=8.10810810810811%,100%,AVANCE[[#This Row],[VENTANAS]])</f>
        <v>0</v>
      </c>
      <c r="BH499" s="3">
        <f>+IF(AVANCE[[#This Row],[PISO]]=N$2,100%,AVANCE[[#This Row],[PISO]])</f>
        <v>0</v>
      </c>
      <c r="BI499" s="3">
        <f>+IF(AVANCE[[#This Row],[TABIQUES]]=O$2,100%,AVANCE[[#This Row],[TABIQUES]])</f>
        <v>0</v>
      </c>
      <c r="BJ499" s="3">
        <f>+IF(AVANCE[[#This Row],[MUROS]]=P$2,100%,AVANCE[[#This Row],[MUROS]])</f>
        <v>0</v>
      </c>
      <c r="BK499" s="3">
        <f>+IF(AVANCE[[#This Row],[CIELO]]=Q$2,100%,AVANCE[[#This Row],[CIELO]])</f>
        <v>0</v>
      </c>
      <c r="BL499" s="3">
        <f>+IF(AVANCE[[#This Row],[BALCÓN]]=R$2,100%,AVANCE[[#This Row],[BALCÓN]])</f>
        <v>0</v>
      </c>
      <c r="BM499" s="3">
        <f>+IF(AVANCE[[#This Row],[RED ALCANTARILLADO]]=U$2,100%,AVANCE[[#This Row],[RED ALCANTARILLADO]])</f>
        <v>0</v>
      </c>
      <c r="BN499" s="3">
        <f>+IF(AVANCE[[#This Row],[RED DE AGUA]]=V$2,100%,AVANCE[[#This Row],[RED DE AGUA]])</f>
        <v>0</v>
      </c>
      <c r="BO499" s="3">
        <f>+IF(AVANCE[[#This Row],[VENTILACIONES]]=W$2,100%,AVANCE[[#This Row],[VENTILACIONES]])</f>
        <v>0</v>
      </c>
      <c r="BP499" s="3">
        <f>+IF(AVANCE[[#This Row],[TINA]]=X$2,100%,AVANCE[[#This Row],[TINA]])</f>
        <v>0</v>
      </c>
      <c r="BQ499" s="3">
        <f>+IF(AVANCE[[#This Row],[WC]]=Y$2,100%,AVANCE[[#This Row],[WC]])</f>
        <v>0</v>
      </c>
      <c r="BR499" s="3">
        <f>+IF(AVANCE[[#This Row],[LAVAMANOS / LAVAPLATOS / LAVADERO]]=Z$2,100%,AVANCE[[#This Row],[LAVAMANOS / LAVAPLATOS / LAVADERO]])</f>
        <v>0</v>
      </c>
      <c r="BS499" s="3">
        <f>+IF(AVANCE[[#This Row],[CANALIZACIÓN]]=AC$2,100%,AVANCE[[#This Row],[CANALIZACIÓN]])</f>
        <v>0</v>
      </c>
      <c r="BT499" s="3">
        <f>+IF(AVANCE[[#This Row],[CABLEADO]]=AD$2,100%,AVANCE[[#This Row],[CABLEADO]])</f>
        <v>0</v>
      </c>
      <c r="BU499" s="3">
        <f>+IF(AVANCE[[#This Row],[ARTEFACTOS]]=AE$2,100%,AVANCE[[#This Row],[ARTEFACTOS]])</f>
        <v>0</v>
      </c>
      <c r="BV499" s="3">
        <f>+IF(AVANCE[[#This Row],[TABLERO]]=AF$2,100%,AVANCE[[#This Row],[TABLERO]])</f>
        <v>0</v>
      </c>
      <c r="BW499" s="3">
        <f>+IF(AVANCE[[#This Row],[CAJA PAU]]=AG$2,100%,AVANCE[[#This Row],[CAJA PAU]])</f>
        <v>0</v>
      </c>
      <c r="BX499" s="3">
        <f>+IF(AVANCE[[#This Row],[INSTALACION VINILICO]]=AJ$2,100%,AVANCE[[#This Row],[INSTALACION VINILICO]])</f>
        <v>0</v>
      </c>
      <c r="BY499" s="3">
        <f>+IF(AVANCE[[#This Row],[OSB CUBIERTA]]=AK$2,100%,AVANCE[[#This Row],[OSB CUBIERTA]])</f>
        <v>0</v>
      </c>
      <c r="BZ499" s="3">
        <f>+IF(AVANCE[[#This Row],[BARANDA BALCON]]=AL$2,100%,AVANCE[[#This Row],[BARANDA BALCON]])</f>
        <v>0</v>
      </c>
      <c r="CA499" s="3">
        <f>+IF(AVANCE[[#This Row],[OSB EXTERIOR]]=AM$2,100%,AVANCE[[#This Row],[OSB EXTERIOR]])</f>
        <v>0</v>
      </c>
      <c r="CB499" s="3">
        <f>+IF(AVANCE[[#This Row],[SMART PANEL]]=AN$2,100%,AVANCE[[#This Row],[SMART PANEL]])</f>
        <v>0</v>
      </c>
      <c r="CC499" s="3">
        <f>+IF(AVANCE[[#This Row],[PINTURA EXTERIOR]]=AO$2,100%,AVANCE[[#This Row],[PINTURA EXTERIOR]])</f>
        <v>0</v>
      </c>
      <c r="CD499" s="3">
        <f>+IF(AVANCE[[#This Row],[ZOCALOS LOGIA]]=AP$2,100%,AVANCE[[#This Row],[ZOCALOS LOGIA]])</f>
        <v>0</v>
      </c>
      <c r="CE499" s="3">
        <f>+IF(AVANCE[[#This Row],[MOLDURAS]]=AQ$2,100%,AVANCE[[#This Row],[MOLDURAS]])</f>
        <v>0</v>
      </c>
      <c r="CF499" s="3">
        <f>+IF(AVANCE[[#This Row],[PILASTREO]]=AR$2,100%,AVANCE[[#This Row],[PILASTREO]])</f>
        <v>0</v>
      </c>
      <c r="CG499" s="3">
        <f>+IF(AVANCE[[#This Row],[CELOSIAS]]=AS$2,100%,AVANCE[[#This Row],[CELOSIAS]])</f>
        <v>0</v>
      </c>
      <c r="CH499" s="3">
        <f>+IF(AVANCE[[#This Row],[VENTANAS]]=AT$2,100%,AVANCE[[#This Row],[VENTANAS]])</f>
        <v>0</v>
      </c>
      <c r="CI499" s="3">
        <f>+IF(AVANCE[[#This Row],[PUERTAS ACCESO - LOGIA - BANO]]=AU$2,100%,AVANCE[[#This Row],[PUERTAS ACCESO - LOGIA - BANO]])</f>
        <v>0</v>
      </c>
      <c r="CJ499" s="3">
        <f>+IF(AVANCE[[#This Row],[CERRADURAS]]=AV$2,100%,AVANCE[[#This Row],[CERRADURAS]])</f>
        <v>0</v>
      </c>
      <c r="CK499" s="3">
        <f>+IF(AVANCE[[#This Row],[REVESTIMIENTO INTERIOR ZONA SECA]]=AW$2,100%,AVANCE[[#This Row],[REVESTIMIENTO INTERIOR ZONA SECA]])</f>
        <v>0</v>
      </c>
      <c r="CL499" s="3">
        <f>+IF(AVANCE[[#This Row],[REVESTIMIENTO INTERIOR ZONAS HUMEDAS]]=AX$2,100%,AVANCE[[#This Row],[REVESTIMIENTO INTERIOR ZONAS HUMEDAS]])</f>
        <v>0</v>
      </c>
      <c r="CM499" s="3">
        <f>+IF(AVANCE[[#This Row],[MEMBRANA CIELO]]=AY$2,100%,AVANCE[[#This Row],[MEMBRANA CIELO]])</f>
        <v>0</v>
      </c>
      <c r="CN499" s="3">
        <f>+IF(AVANCE[[#This Row],[LIMPIEZA FINAL]]=AZ$2,100%,AVANCE[[#This Row],[LIMPIEZA FINAL]])</f>
        <v>0</v>
      </c>
      <c r="CO499" s="3">
        <f>+IF(AVANCE[[#This Row],[PUERTAS DORMITORIO]]=BA$2,100%,AVANCE[[#This Row],[PUERTAS DORMITORIO]])</f>
        <v>0</v>
      </c>
      <c r="CP499" s="3">
        <f>+IF(AVANCE[[#This Row],[REVESTIMIENTO INTERIOR BANO]]=BB$2,100%,AVANCE[[#This Row],[REVESTIMIENTO INTERIOR BANO]])</f>
        <v>0</v>
      </c>
      <c r="CQ499" s="3">
        <f>+IF(AVANCE[[#This Row],[MUEBLE LAVAPLATOS]]=BC$2,100%,AVANCE[[#This Row],[MUEBLE LAVAPLATOS]])</f>
        <v>0</v>
      </c>
      <c r="CR499" s="3">
        <f>+IF(AVANCE[[#This Row],[IMPERMEABILIZACION BANO - COCINA LOGIA]]=BD$2,100%,AVANCE[[#This Row],[IMPERMEABILIZACION BANO - COCINA LOGIA]])</f>
        <v>0</v>
      </c>
      <c r="CS499" s="40">
        <f ca="1">+IF(AVANCE[[#This Row],[ESTADO MODULO]]="PENDIENTE",(TODAY()-AVANCE[[#This Row],[FECHA TERMINO  PLANIFICADO]]),0)</f>
        <v>0</v>
      </c>
      <c r="CT499" s="41" t="str" cm="1">
        <f t="array" ref="CT499">_xlfn.TEXTJOIN(" | ",TRUE,IF(SUMPRODUCT((BG499:CR499&lt;1)*(PARTIDAS!$I$2:$AT$2="OBRA GRUESA"))&gt;0,"OBRA GRUESA: "&amp;_xlfn.TEXTJOIN(", ",TRUE,IF((BG499:CR499&lt;1)*(PARTIDAS!$I$2:$AT$2="OBRA GRUESA"),PARTIDAS!$I$1:$AT$1,"")),""),IF(SUMPRODUCT((BG499:CR499&lt;1)*(PARTIDAS!$I$2:$AT$2="SANITARIOS"))&gt;0,"SANITARIOS: "&amp;_xlfn.TEXTJOIN(", ",TRUE,IF((BG499:CR499&lt;1)*(PARTIDAS!$I$2:$AT$2="SANITARIOS"),PARTIDAS!$I$1:$AT$1,"")),""),IF(SUMPRODUCT((BG499:CR499&lt;1)*(PARTIDAS!$I$2:$AT$2="ELÉCTRICO"))&gt;0,"ELÉCTRICO: "&amp;_xlfn.TEXTJOIN(", ",TRUE,IF((BG499:CR499&lt;1)*(PARTIDAS!$I$2:$AT$2="ELÉCTRICO"),PARTIDAS!$I$1:$AT$1,"")),""),IF(SUMPRODUCT((BG499:CR499&lt;1)*(PARTIDAS!$I$2:$AT$2="TERMINACIONES"))&gt;0,"TERMINACIONES: "&amp;_xlfn.TEXTJOIN(", ",TRUE,IF((BG499:CR499&lt;1)*(PARTIDAS!$I$2:$AT$2="TERMINACIONES"),PARTIDAS!$I$1:$AT$1,"")),""))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499" s="43" t="str" cm="1">
        <f t="array" ref="CU499">_xlfn.TEXTJOIN(", ",TRUE,IF(SUMPRODUCT((BG499:CR499&lt;1)*(PARTIDAS!$I$2:$AT$2="OBRA GRUESA"))&gt;0,"OBRA GRUESA",""),IF(SUMPRODUCT((BG499:CR499&lt;1)*(PARTIDAS!$I$2:$AT$2="SANITARIOS"))&gt;0,"SANITARIOS",""),IF(SUMPRODUCT((BG499:CR499&lt;1)*(PARTIDAS!$I$2:$AT$2="ELÉCTRICO"))&gt;0,"ELÉCTRICO",""),IF(SUMPRODUCT((BG499:CR499&lt;1)*(PARTIDAS!$I$2:$AT$2="TERMINACIONES"))&gt;0,"TERMINACIONES",""))</f>
        <v>OBRA GRUESA, SANITARIOS, ELÉCTRICO, TERMINACIONES</v>
      </c>
      <c r="CV499" s="44" cm="1">
        <f t="array" ref="CV499">SUMPRODUCT(--(BG499:CR499&lt;1))</f>
        <v>38</v>
      </c>
    </row>
    <row r="500" spans="1:100" hidden="1" x14ac:dyDescent="0.25">
      <c r="A500" t="s">
        <v>553</v>
      </c>
      <c r="B500" t="s">
        <v>572</v>
      </c>
      <c r="C500">
        <v>2302600499</v>
      </c>
      <c r="D500" t="s">
        <v>60</v>
      </c>
      <c r="E500" s="2">
        <v>0</v>
      </c>
      <c r="F500" s="1">
        <v>46392</v>
      </c>
      <c r="G500" s="1"/>
      <c r="H500" s="1">
        <v>0</v>
      </c>
      <c r="I500" s="1">
        <v>46422</v>
      </c>
      <c r="J500">
        <v>46230</v>
      </c>
      <c r="K500" s="1"/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>
        <v>31.32</v>
      </c>
      <c r="BF500" s="3" t="str">
        <f>+IF(AVANCE[[#This Row],[% AVANCE]]=100%,"MODULO TERMINADO",IF(AVANCE[[#This Row],[FECHA INICIO REAL]]="","MODULO NO INICIADO","PENDIENTE"))</f>
        <v>MODULO NO INICIADO</v>
      </c>
      <c r="BG500" s="3">
        <f>+IF(AVANCE[[#This Row],[VENTANAS]]=8.10810810810811%,100%,AVANCE[[#This Row],[VENTANAS]])</f>
        <v>0</v>
      </c>
      <c r="BH500" s="3">
        <f>+IF(AVANCE[[#This Row],[PISO]]=N$2,100%,AVANCE[[#This Row],[PISO]])</f>
        <v>0</v>
      </c>
      <c r="BI500" s="3">
        <f>+IF(AVANCE[[#This Row],[TABIQUES]]=O$2,100%,AVANCE[[#This Row],[TABIQUES]])</f>
        <v>0</v>
      </c>
      <c r="BJ500" s="3">
        <f>+IF(AVANCE[[#This Row],[MUROS]]=P$2,100%,AVANCE[[#This Row],[MUROS]])</f>
        <v>0</v>
      </c>
      <c r="BK500" s="3">
        <f>+IF(AVANCE[[#This Row],[CIELO]]=Q$2,100%,AVANCE[[#This Row],[CIELO]])</f>
        <v>0</v>
      </c>
      <c r="BL500" s="3">
        <f>+IF(AVANCE[[#This Row],[BALCÓN]]=R$2,100%,AVANCE[[#This Row],[BALCÓN]])</f>
        <v>0</v>
      </c>
      <c r="BM500" s="3">
        <f>+IF(AVANCE[[#This Row],[RED ALCANTARILLADO]]=U$2,100%,AVANCE[[#This Row],[RED ALCANTARILLADO]])</f>
        <v>0</v>
      </c>
      <c r="BN500" s="3">
        <f>+IF(AVANCE[[#This Row],[RED DE AGUA]]=V$2,100%,AVANCE[[#This Row],[RED DE AGUA]])</f>
        <v>0</v>
      </c>
      <c r="BO500" s="3">
        <f>+IF(AVANCE[[#This Row],[VENTILACIONES]]=W$2,100%,AVANCE[[#This Row],[VENTILACIONES]])</f>
        <v>0</v>
      </c>
      <c r="BP500" s="3">
        <f>+IF(AVANCE[[#This Row],[TINA]]=X$2,100%,AVANCE[[#This Row],[TINA]])</f>
        <v>0</v>
      </c>
      <c r="BQ500" s="3">
        <f>+IF(AVANCE[[#This Row],[WC]]=Y$2,100%,AVANCE[[#This Row],[WC]])</f>
        <v>0</v>
      </c>
      <c r="BR500" s="3">
        <f>+IF(AVANCE[[#This Row],[LAVAMANOS / LAVAPLATOS / LAVADERO]]=Z$2,100%,AVANCE[[#This Row],[LAVAMANOS / LAVAPLATOS / LAVADERO]])</f>
        <v>0</v>
      </c>
      <c r="BS500" s="3">
        <f>+IF(AVANCE[[#This Row],[CANALIZACIÓN]]=AC$2,100%,AVANCE[[#This Row],[CANALIZACIÓN]])</f>
        <v>0</v>
      </c>
      <c r="BT500" s="3">
        <f>+IF(AVANCE[[#This Row],[CABLEADO]]=AD$2,100%,AVANCE[[#This Row],[CABLEADO]])</f>
        <v>0</v>
      </c>
      <c r="BU500" s="3">
        <f>+IF(AVANCE[[#This Row],[ARTEFACTOS]]=AE$2,100%,AVANCE[[#This Row],[ARTEFACTOS]])</f>
        <v>0</v>
      </c>
      <c r="BV500" s="3">
        <f>+IF(AVANCE[[#This Row],[TABLERO]]=AF$2,100%,AVANCE[[#This Row],[TABLERO]])</f>
        <v>0</v>
      </c>
      <c r="BW500" s="3">
        <f>+IF(AVANCE[[#This Row],[CAJA PAU]]=AG$2,100%,AVANCE[[#This Row],[CAJA PAU]])</f>
        <v>0</v>
      </c>
      <c r="BX500" s="3">
        <f>+IF(AVANCE[[#This Row],[INSTALACION VINILICO]]=AJ$2,100%,AVANCE[[#This Row],[INSTALACION VINILICO]])</f>
        <v>0</v>
      </c>
      <c r="BY500" s="3">
        <f>+IF(AVANCE[[#This Row],[OSB CUBIERTA]]=AK$2,100%,AVANCE[[#This Row],[OSB CUBIERTA]])</f>
        <v>0</v>
      </c>
      <c r="BZ500" s="3">
        <f>+IF(AVANCE[[#This Row],[BARANDA BALCON]]=AL$2,100%,AVANCE[[#This Row],[BARANDA BALCON]])</f>
        <v>0</v>
      </c>
      <c r="CA500" s="3">
        <f>+IF(AVANCE[[#This Row],[OSB EXTERIOR]]=AM$2,100%,AVANCE[[#This Row],[OSB EXTERIOR]])</f>
        <v>0</v>
      </c>
      <c r="CB500" s="3">
        <f>+IF(AVANCE[[#This Row],[SMART PANEL]]=AN$2,100%,AVANCE[[#This Row],[SMART PANEL]])</f>
        <v>0</v>
      </c>
      <c r="CC500" s="3">
        <f>+IF(AVANCE[[#This Row],[PINTURA EXTERIOR]]=AO$2,100%,AVANCE[[#This Row],[PINTURA EXTERIOR]])</f>
        <v>0</v>
      </c>
      <c r="CD500" s="3">
        <f>+IF(AVANCE[[#This Row],[ZOCALOS LOGIA]]=AP$2,100%,AVANCE[[#This Row],[ZOCALOS LOGIA]])</f>
        <v>0</v>
      </c>
      <c r="CE500" s="3">
        <f>+IF(AVANCE[[#This Row],[MOLDURAS]]=AQ$2,100%,AVANCE[[#This Row],[MOLDURAS]])</f>
        <v>0</v>
      </c>
      <c r="CF500" s="3">
        <f>+IF(AVANCE[[#This Row],[PILASTREO]]=AR$2,100%,AVANCE[[#This Row],[PILASTREO]])</f>
        <v>0</v>
      </c>
      <c r="CG500" s="3">
        <f>+IF(AVANCE[[#This Row],[CELOSIAS]]=AS$2,100%,AVANCE[[#This Row],[CELOSIAS]])</f>
        <v>0</v>
      </c>
      <c r="CH500" s="3">
        <f>+IF(AVANCE[[#This Row],[VENTANAS]]=AT$2,100%,AVANCE[[#This Row],[VENTANAS]])</f>
        <v>0</v>
      </c>
      <c r="CI500" s="3">
        <f>+IF(AVANCE[[#This Row],[PUERTAS ACCESO - LOGIA - BANO]]=AU$2,100%,AVANCE[[#This Row],[PUERTAS ACCESO - LOGIA - BANO]])</f>
        <v>0</v>
      </c>
      <c r="CJ500" s="3">
        <f>+IF(AVANCE[[#This Row],[CERRADURAS]]=AV$2,100%,AVANCE[[#This Row],[CERRADURAS]])</f>
        <v>0</v>
      </c>
      <c r="CK500" s="3">
        <f>+IF(AVANCE[[#This Row],[REVESTIMIENTO INTERIOR ZONA SECA]]=AW$2,100%,AVANCE[[#This Row],[REVESTIMIENTO INTERIOR ZONA SECA]])</f>
        <v>0</v>
      </c>
      <c r="CL500" s="3">
        <f>+IF(AVANCE[[#This Row],[REVESTIMIENTO INTERIOR ZONAS HUMEDAS]]=AX$2,100%,AVANCE[[#This Row],[REVESTIMIENTO INTERIOR ZONAS HUMEDAS]])</f>
        <v>0</v>
      </c>
      <c r="CM500" s="3">
        <f>+IF(AVANCE[[#This Row],[MEMBRANA CIELO]]=AY$2,100%,AVANCE[[#This Row],[MEMBRANA CIELO]])</f>
        <v>0</v>
      </c>
      <c r="CN500" s="3">
        <f>+IF(AVANCE[[#This Row],[LIMPIEZA FINAL]]=AZ$2,100%,AVANCE[[#This Row],[LIMPIEZA FINAL]])</f>
        <v>0</v>
      </c>
      <c r="CO500" s="3">
        <f>+IF(AVANCE[[#This Row],[PUERTAS DORMITORIO]]=BA$2,100%,AVANCE[[#This Row],[PUERTAS DORMITORIO]])</f>
        <v>0</v>
      </c>
      <c r="CP500" s="3">
        <f>+IF(AVANCE[[#This Row],[REVESTIMIENTO INTERIOR BANO]]=BB$2,100%,AVANCE[[#This Row],[REVESTIMIENTO INTERIOR BANO]])</f>
        <v>0</v>
      </c>
      <c r="CQ500" s="3">
        <f>+IF(AVANCE[[#This Row],[MUEBLE LAVAPLATOS]]=BC$2,100%,AVANCE[[#This Row],[MUEBLE LAVAPLATOS]])</f>
        <v>0</v>
      </c>
      <c r="CR500" s="3">
        <f>+IF(AVANCE[[#This Row],[IMPERMEABILIZACION BANO - COCINA LOGIA]]=BD$2,100%,AVANCE[[#This Row],[IMPERMEABILIZACION BANO - COCINA LOGIA]])</f>
        <v>0</v>
      </c>
      <c r="CS500" s="40">
        <f ca="1">+IF(AVANCE[[#This Row],[ESTADO MODULO]]="PENDIENTE",(TODAY()-AVANCE[[#This Row],[FECHA TERMINO  PLANIFICADO]]),0)</f>
        <v>0</v>
      </c>
      <c r="CT500" s="41" t="str" cm="1">
        <f t="array" ref="CT500">_xlfn.TEXTJOIN(" | ",TRUE,IF(SUMPRODUCT((BG500:CR500&lt;1)*(PARTIDAS!$I$2:$AT$2="OBRA GRUESA"))&gt;0,"OBRA GRUESA: "&amp;_xlfn.TEXTJOIN(", ",TRUE,IF((BG500:CR500&lt;1)*(PARTIDAS!$I$2:$AT$2="OBRA GRUESA"),PARTIDAS!$I$1:$AT$1,"")),""),IF(SUMPRODUCT((BG500:CR500&lt;1)*(PARTIDAS!$I$2:$AT$2="SANITARIOS"))&gt;0,"SANITARIOS: "&amp;_xlfn.TEXTJOIN(", ",TRUE,IF((BG500:CR500&lt;1)*(PARTIDAS!$I$2:$AT$2="SANITARIOS"),PARTIDAS!$I$1:$AT$1,"")),""),IF(SUMPRODUCT((BG500:CR500&lt;1)*(PARTIDAS!$I$2:$AT$2="ELÉCTRICO"))&gt;0,"ELÉCTRICO: "&amp;_xlfn.TEXTJOIN(", ",TRUE,IF((BG500:CR500&lt;1)*(PARTIDAS!$I$2:$AT$2="ELÉCTRICO"),PARTIDAS!$I$1:$AT$1,"")),""),IF(SUMPRODUCT((BG500:CR500&lt;1)*(PARTIDAS!$I$2:$AT$2="TERMINACIONES"))&gt;0,"TERMINACIONES: "&amp;_xlfn.TEXTJOIN(", ",TRUE,IF((BG500:CR500&lt;1)*(PARTIDAS!$I$2:$AT$2="TERMINACIONES"),PARTIDAS!$I$1:$AT$1,"")),""))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0" s="43" t="str" cm="1">
        <f t="array" ref="CU500">_xlfn.TEXTJOIN(", ",TRUE,IF(SUMPRODUCT((BG500:CR500&lt;1)*(PARTIDAS!$I$2:$AT$2="OBRA GRUESA"))&gt;0,"OBRA GRUESA",""),IF(SUMPRODUCT((BG500:CR500&lt;1)*(PARTIDAS!$I$2:$AT$2="SANITARIOS"))&gt;0,"SANITARIOS",""),IF(SUMPRODUCT((BG500:CR500&lt;1)*(PARTIDAS!$I$2:$AT$2="ELÉCTRICO"))&gt;0,"ELÉCTRICO",""),IF(SUMPRODUCT((BG500:CR500&lt;1)*(PARTIDAS!$I$2:$AT$2="TERMINACIONES"))&gt;0,"TERMINACIONES",""))</f>
        <v>OBRA GRUESA, SANITARIOS, ELÉCTRICO, TERMINACIONES</v>
      </c>
      <c r="CV500" s="44" cm="1">
        <f t="array" ref="CV500">SUMPRODUCT(--(BG500:CR500&lt;1))</f>
        <v>38</v>
      </c>
    </row>
    <row r="501" spans="1:100" hidden="1" x14ac:dyDescent="0.25">
      <c r="A501" t="s">
        <v>553</v>
      </c>
      <c r="B501" t="s">
        <v>573</v>
      </c>
      <c r="C501">
        <v>2282600500</v>
      </c>
      <c r="D501" t="s">
        <v>58</v>
      </c>
      <c r="E501" s="2">
        <v>0</v>
      </c>
      <c r="F501" s="1">
        <v>46393</v>
      </c>
      <c r="G501" s="1"/>
      <c r="H501" s="1">
        <v>0</v>
      </c>
      <c r="I501" s="1">
        <v>46413</v>
      </c>
      <c r="J501">
        <v>46230</v>
      </c>
      <c r="K501" s="1"/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>
        <v>28.87</v>
      </c>
      <c r="BF501" s="3" t="str">
        <f>+IF(AVANCE[[#This Row],[% AVANCE]]=100%,"MODULO TERMINADO",IF(AVANCE[[#This Row],[FECHA INICIO REAL]]="","MODULO NO INICIADO","PENDIENTE"))</f>
        <v>MODULO NO INICIADO</v>
      </c>
      <c r="BG501" s="3">
        <f>+IF(AVANCE[[#This Row],[VENTANAS]]=8.10810810810811%,100%,AVANCE[[#This Row],[VENTANAS]])</f>
        <v>0</v>
      </c>
      <c r="BH501" s="3">
        <f>+IF(AVANCE[[#This Row],[PISO]]=N$2,100%,AVANCE[[#This Row],[PISO]])</f>
        <v>0</v>
      </c>
      <c r="BI501" s="3">
        <f>+IF(AVANCE[[#This Row],[TABIQUES]]=O$2,100%,AVANCE[[#This Row],[TABIQUES]])</f>
        <v>0</v>
      </c>
      <c r="BJ501" s="3">
        <f>+IF(AVANCE[[#This Row],[MUROS]]=P$2,100%,AVANCE[[#This Row],[MUROS]])</f>
        <v>0</v>
      </c>
      <c r="BK501" s="3">
        <f>+IF(AVANCE[[#This Row],[CIELO]]=Q$2,100%,AVANCE[[#This Row],[CIELO]])</f>
        <v>0</v>
      </c>
      <c r="BL501" s="3">
        <f>+IF(AVANCE[[#This Row],[BALCÓN]]=R$2,100%,AVANCE[[#This Row],[BALCÓN]])</f>
        <v>0</v>
      </c>
      <c r="BM501" s="3">
        <f>+IF(AVANCE[[#This Row],[RED ALCANTARILLADO]]=U$2,100%,AVANCE[[#This Row],[RED ALCANTARILLADO]])</f>
        <v>0</v>
      </c>
      <c r="BN501" s="3">
        <f>+IF(AVANCE[[#This Row],[RED DE AGUA]]=V$2,100%,AVANCE[[#This Row],[RED DE AGUA]])</f>
        <v>0</v>
      </c>
      <c r="BO501" s="3">
        <f>+IF(AVANCE[[#This Row],[VENTILACIONES]]=W$2,100%,AVANCE[[#This Row],[VENTILACIONES]])</f>
        <v>0</v>
      </c>
      <c r="BP501" s="3">
        <f>+IF(AVANCE[[#This Row],[TINA]]=X$2,100%,AVANCE[[#This Row],[TINA]])</f>
        <v>0</v>
      </c>
      <c r="BQ501" s="3">
        <f>+IF(AVANCE[[#This Row],[WC]]=Y$2,100%,AVANCE[[#This Row],[WC]])</f>
        <v>0</v>
      </c>
      <c r="BR501" s="3">
        <f>+IF(AVANCE[[#This Row],[LAVAMANOS / LAVAPLATOS / LAVADERO]]=Z$2,100%,AVANCE[[#This Row],[LAVAMANOS / LAVAPLATOS / LAVADERO]])</f>
        <v>0</v>
      </c>
      <c r="BS501" s="3">
        <f>+IF(AVANCE[[#This Row],[CANALIZACIÓN]]=AC$2,100%,AVANCE[[#This Row],[CANALIZACIÓN]])</f>
        <v>0</v>
      </c>
      <c r="BT501" s="3">
        <f>+IF(AVANCE[[#This Row],[CABLEADO]]=AD$2,100%,AVANCE[[#This Row],[CABLEADO]])</f>
        <v>0</v>
      </c>
      <c r="BU501" s="3">
        <f>+IF(AVANCE[[#This Row],[ARTEFACTOS]]=AE$2,100%,AVANCE[[#This Row],[ARTEFACTOS]])</f>
        <v>0</v>
      </c>
      <c r="BV501" s="3">
        <f>+IF(AVANCE[[#This Row],[TABLERO]]=AF$2,100%,AVANCE[[#This Row],[TABLERO]])</f>
        <v>0</v>
      </c>
      <c r="BW501" s="3">
        <f>+IF(AVANCE[[#This Row],[CAJA PAU]]=AG$2,100%,AVANCE[[#This Row],[CAJA PAU]])</f>
        <v>0</v>
      </c>
      <c r="BX501" s="3">
        <f>+IF(AVANCE[[#This Row],[INSTALACION VINILICO]]=AJ$2,100%,AVANCE[[#This Row],[INSTALACION VINILICO]])</f>
        <v>0</v>
      </c>
      <c r="BY501" s="3">
        <f>+IF(AVANCE[[#This Row],[OSB CUBIERTA]]=AK$2,100%,AVANCE[[#This Row],[OSB CUBIERTA]])</f>
        <v>0</v>
      </c>
      <c r="BZ501" s="3">
        <f>+IF(AVANCE[[#This Row],[BARANDA BALCON]]=AL$2,100%,AVANCE[[#This Row],[BARANDA BALCON]])</f>
        <v>0</v>
      </c>
      <c r="CA501" s="3">
        <f>+IF(AVANCE[[#This Row],[OSB EXTERIOR]]=AM$2,100%,AVANCE[[#This Row],[OSB EXTERIOR]])</f>
        <v>0</v>
      </c>
      <c r="CB501" s="3">
        <f>+IF(AVANCE[[#This Row],[SMART PANEL]]=AN$2,100%,AVANCE[[#This Row],[SMART PANEL]])</f>
        <v>0</v>
      </c>
      <c r="CC501" s="3">
        <f>+IF(AVANCE[[#This Row],[PINTURA EXTERIOR]]=AO$2,100%,AVANCE[[#This Row],[PINTURA EXTERIOR]])</f>
        <v>0</v>
      </c>
      <c r="CD501" s="3">
        <f>+IF(AVANCE[[#This Row],[ZOCALOS LOGIA]]=AP$2,100%,AVANCE[[#This Row],[ZOCALOS LOGIA]])</f>
        <v>0</v>
      </c>
      <c r="CE501" s="3">
        <f>+IF(AVANCE[[#This Row],[MOLDURAS]]=AQ$2,100%,AVANCE[[#This Row],[MOLDURAS]])</f>
        <v>0</v>
      </c>
      <c r="CF501" s="3">
        <f>+IF(AVANCE[[#This Row],[PILASTREO]]=AR$2,100%,AVANCE[[#This Row],[PILASTREO]])</f>
        <v>0</v>
      </c>
      <c r="CG501" s="3">
        <f>+IF(AVANCE[[#This Row],[CELOSIAS]]=AS$2,100%,AVANCE[[#This Row],[CELOSIAS]])</f>
        <v>0</v>
      </c>
      <c r="CH501" s="3">
        <f>+IF(AVANCE[[#This Row],[VENTANAS]]=AT$2,100%,AVANCE[[#This Row],[VENTANAS]])</f>
        <v>0</v>
      </c>
      <c r="CI501" s="3">
        <f>+IF(AVANCE[[#This Row],[PUERTAS ACCESO - LOGIA - BANO]]=AU$2,100%,AVANCE[[#This Row],[PUERTAS ACCESO - LOGIA - BANO]])</f>
        <v>0</v>
      </c>
      <c r="CJ501" s="3">
        <f>+IF(AVANCE[[#This Row],[CERRADURAS]]=AV$2,100%,AVANCE[[#This Row],[CERRADURAS]])</f>
        <v>0</v>
      </c>
      <c r="CK501" s="3">
        <f>+IF(AVANCE[[#This Row],[REVESTIMIENTO INTERIOR ZONA SECA]]=AW$2,100%,AVANCE[[#This Row],[REVESTIMIENTO INTERIOR ZONA SECA]])</f>
        <v>0</v>
      </c>
      <c r="CL501" s="3">
        <f>+IF(AVANCE[[#This Row],[REVESTIMIENTO INTERIOR ZONAS HUMEDAS]]=AX$2,100%,AVANCE[[#This Row],[REVESTIMIENTO INTERIOR ZONAS HUMEDAS]])</f>
        <v>0</v>
      </c>
      <c r="CM501" s="3">
        <f>+IF(AVANCE[[#This Row],[MEMBRANA CIELO]]=AY$2,100%,AVANCE[[#This Row],[MEMBRANA CIELO]])</f>
        <v>0</v>
      </c>
      <c r="CN501" s="3">
        <f>+IF(AVANCE[[#This Row],[LIMPIEZA FINAL]]=AZ$2,100%,AVANCE[[#This Row],[LIMPIEZA FINAL]])</f>
        <v>0</v>
      </c>
      <c r="CO501" s="3">
        <f>+IF(AVANCE[[#This Row],[PUERTAS DORMITORIO]]=BA$2,100%,AVANCE[[#This Row],[PUERTAS DORMITORIO]])</f>
        <v>0</v>
      </c>
      <c r="CP501" s="3">
        <f>+IF(AVANCE[[#This Row],[REVESTIMIENTO INTERIOR BANO]]=BB$2,100%,AVANCE[[#This Row],[REVESTIMIENTO INTERIOR BANO]])</f>
        <v>0</v>
      </c>
      <c r="CQ501" s="3">
        <f>+IF(AVANCE[[#This Row],[MUEBLE LAVAPLATOS]]=BC$2,100%,AVANCE[[#This Row],[MUEBLE LAVAPLATOS]])</f>
        <v>0</v>
      </c>
      <c r="CR501" s="3">
        <f>+IF(AVANCE[[#This Row],[IMPERMEABILIZACION BANO - COCINA LOGIA]]=BD$2,100%,AVANCE[[#This Row],[IMPERMEABILIZACION BANO - COCINA LOGIA]])</f>
        <v>0</v>
      </c>
      <c r="CS501" s="40">
        <f ca="1">+IF(AVANCE[[#This Row],[ESTADO MODULO]]="PENDIENTE",(TODAY()-AVANCE[[#This Row],[FECHA TERMINO  PLANIFICADO]]),0)</f>
        <v>0</v>
      </c>
      <c r="CT501" s="41" t="str" cm="1">
        <f t="array" ref="CT501">_xlfn.TEXTJOIN(" | ",TRUE,IF(SUMPRODUCT((BG501:CR501&lt;1)*(PARTIDAS!$I$2:$AT$2="OBRA GRUESA"))&gt;0,"OBRA GRUESA: "&amp;_xlfn.TEXTJOIN(", ",TRUE,IF((BG501:CR501&lt;1)*(PARTIDAS!$I$2:$AT$2="OBRA GRUESA"),PARTIDAS!$I$1:$AT$1,"")),""),IF(SUMPRODUCT((BG501:CR501&lt;1)*(PARTIDAS!$I$2:$AT$2="SANITARIOS"))&gt;0,"SANITARIOS: "&amp;_xlfn.TEXTJOIN(", ",TRUE,IF((BG501:CR501&lt;1)*(PARTIDAS!$I$2:$AT$2="SANITARIOS"),PARTIDAS!$I$1:$AT$1,"")),""),IF(SUMPRODUCT((BG501:CR501&lt;1)*(PARTIDAS!$I$2:$AT$2="ELÉCTRICO"))&gt;0,"ELÉCTRICO: "&amp;_xlfn.TEXTJOIN(", ",TRUE,IF((BG501:CR501&lt;1)*(PARTIDAS!$I$2:$AT$2="ELÉCTRICO"),PARTIDAS!$I$1:$AT$1,"")),""),IF(SUMPRODUCT((BG501:CR501&lt;1)*(PARTIDAS!$I$2:$AT$2="TERMINACIONES"))&gt;0,"TERMINACIONES: "&amp;_xlfn.TEXTJOIN(", ",TRUE,IF((BG501:CR501&lt;1)*(PARTIDAS!$I$2:$AT$2="TERMINACIONES"),PARTIDAS!$I$1:$AT$1,"")),""))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1" s="43" t="str" cm="1">
        <f t="array" ref="CU501">_xlfn.TEXTJOIN(", ",TRUE,IF(SUMPRODUCT((BG501:CR501&lt;1)*(PARTIDAS!$I$2:$AT$2="OBRA GRUESA"))&gt;0,"OBRA GRUESA",""),IF(SUMPRODUCT((BG501:CR501&lt;1)*(PARTIDAS!$I$2:$AT$2="SANITARIOS"))&gt;0,"SANITARIOS",""),IF(SUMPRODUCT((BG501:CR501&lt;1)*(PARTIDAS!$I$2:$AT$2="ELÉCTRICO"))&gt;0,"ELÉCTRICO",""),IF(SUMPRODUCT((BG501:CR501&lt;1)*(PARTIDAS!$I$2:$AT$2="TERMINACIONES"))&gt;0,"TERMINACIONES",""))</f>
        <v>OBRA GRUESA, SANITARIOS, ELÉCTRICO, TERMINACIONES</v>
      </c>
      <c r="CV501" s="44" cm="1">
        <f t="array" ref="CV501">SUMPRODUCT(--(BG501:CR501&lt;1))</f>
        <v>38</v>
      </c>
    </row>
    <row r="502" spans="1:100" hidden="1" x14ac:dyDescent="0.25">
      <c r="A502" t="s">
        <v>553</v>
      </c>
      <c r="B502" t="s">
        <v>574</v>
      </c>
      <c r="C502">
        <v>2282600501</v>
      </c>
      <c r="D502" t="s">
        <v>58</v>
      </c>
      <c r="E502" s="2">
        <v>0</v>
      </c>
      <c r="F502" s="1">
        <v>46393</v>
      </c>
      <c r="G502" s="1"/>
      <c r="H502" s="1">
        <v>0</v>
      </c>
      <c r="I502" s="1">
        <v>46413</v>
      </c>
      <c r="J502">
        <v>46230</v>
      </c>
      <c r="K502" s="1"/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>
        <v>28.87</v>
      </c>
      <c r="BF502" s="3" t="str">
        <f>+IF(AVANCE[[#This Row],[% AVANCE]]=100%,"MODULO TERMINADO",IF(AVANCE[[#This Row],[FECHA INICIO REAL]]="","MODULO NO INICIADO","PENDIENTE"))</f>
        <v>MODULO NO INICIADO</v>
      </c>
      <c r="BG502" s="3">
        <f>+IF(AVANCE[[#This Row],[VENTANAS]]=8.10810810810811%,100%,AVANCE[[#This Row],[VENTANAS]])</f>
        <v>0</v>
      </c>
      <c r="BH502" s="3">
        <f>+IF(AVANCE[[#This Row],[PISO]]=N$2,100%,AVANCE[[#This Row],[PISO]])</f>
        <v>0</v>
      </c>
      <c r="BI502" s="3">
        <f>+IF(AVANCE[[#This Row],[TABIQUES]]=O$2,100%,AVANCE[[#This Row],[TABIQUES]])</f>
        <v>0</v>
      </c>
      <c r="BJ502" s="3">
        <f>+IF(AVANCE[[#This Row],[MUROS]]=P$2,100%,AVANCE[[#This Row],[MUROS]])</f>
        <v>0</v>
      </c>
      <c r="BK502" s="3">
        <f>+IF(AVANCE[[#This Row],[CIELO]]=Q$2,100%,AVANCE[[#This Row],[CIELO]])</f>
        <v>0</v>
      </c>
      <c r="BL502" s="3">
        <f>+IF(AVANCE[[#This Row],[BALCÓN]]=R$2,100%,AVANCE[[#This Row],[BALCÓN]])</f>
        <v>0</v>
      </c>
      <c r="BM502" s="3">
        <f>+IF(AVANCE[[#This Row],[RED ALCANTARILLADO]]=U$2,100%,AVANCE[[#This Row],[RED ALCANTARILLADO]])</f>
        <v>0</v>
      </c>
      <c r="BN502" s="3">
        <f>+IF(AVANCE[[#This Row],[RED DE AGUA]]=V$2,100%,AVANCE[[#This Row],[RED DE AGUA]])</f>
        <v>0</v>
      </c>
      <c r="BO502" s="3">
        <f>+IF(AVANCE[[#This Row],[VENTILACIONES]]=W$2,100%,AVANCE[[#This Row],[VENTILACIONES]])</f>
        <v>0</v>
      </c>
      <c r="BP502" s="3">
        <f>+IF(AVANCE[[#This Row],[TINA]]=X$2,100%,AVANCE[[#This Row],[TINA]])</f>
        <v>0</v>
      </c>
      <c r="BQ502" s="3">
        <f>+IF(AVANCE[[#This Row],[WC]]=Y$2,100%,AVANCE[[#This Row],[WC]])</f>
        <v>0</v>
      </c>
      <c r="BR502" s="3">
        <f>+IF(AVANCE[[#This Row],[LAVAMANOS / LAVAPLATOS / LAVADERO]]=Z$2,100%,AVANCE[[#This Row],[LAVAMANOS / LAVAPLATOS / LAVADERO]])</f>
        <v>0</v>
      </c>
      <c r="BS502" s="3">
        <f>+IF(AVANCE[[#This Row],[CANALIZACIÓN]]=AC$2,100%,AVANCE[[#This Row],[CANALIZACIÓN]])</f>
        <v>0</v>
      </c>
      <c r="BT502" s="3">
        <f>+IF(AVANCE[[#This Row],[CABLEADO]]=AD$2,100%,AVANCE[[#This Row],[CABLEADO]])</f>
        <v>0</v>
      </c>
      <c r="BU502" s="3">
        <f>+IF(AVANCE[[#This Row],[ARTEFACTOS]]=AE$2,100%,AVANCE[[#This Row],[ARTEFACTOS]])</f>
        <v>0</v>
      </c>
      <c r="BV502" s="3">
        <f>+IF(AVANCE[[#This Row],[TABLERO]]=AF$2,100%,AVANCE[[#This Row],[TABLERO]])</f>
        <v>0</v>
      </c>
      <c r="BW502" s="3">
        <f>+IF(AVANCE[[#This Row],[CAJA PAU]]=AG$2,100%,AVANCE[[#This Row],[CAJA PAU]])</f>
        <v>0</v>
      </c>
      <c r="BX502" s="3">
        <f>+IF(AVANCE[[#This Row],[INSTALACION VINILICO]]=AJ$2,100%,AVANCE[[#This Row],[INSTALACION VINILICO]])</f>
        <v>0</v>
      </c>
      <c r="BY502" s="3">
        <f>+IF(AVANCE[[#This Row],[OSB CUBIERTA]]=AK$2,100%,AVANCE[[#This Row],[OSB CUBIERTA]])</f>
        <v>0</v>
      </c>
      <c r="BZ502" s="3">
        <f>+IF(AVANCE[[#This Row],[BARANDA BALCON]]=AL$2,100%,AVANCE[[#This Row],[BARANDA BALCON]])</f>
        <v>0</v>
      </c>
      <c r="CA502" s="3">
        <f>+IF(AVANCE[[#This Row],[OSB EXTERIOR]]=AM$2,100%,AVANCE[[#This Row],[OSB EXTERIOR]])</f>
        <v>0</v>
      </c>
      <c r="CB502" s="3">
        <f>+IF(AVANCE[[#This Row],[SMART PANEL]]=AN$2,100%,AVANCE[[#This Row],[SMART PANEL]])</f>
        <v>0</v>
      </c>
      <c r="CC502" s="3">
        <f>+IF(AVANCE[[#This Row],[PINTURA EXTERIOR]]=AO$2,100%,AVANCE[[#This Row],[PINTURA EXTERIOR]])</f>
        <v>0</v>
      </c>
      <c r="CD502" s="3">
        <f>+IF(AVANCE[[#This Row],[ZOCALOS LOGIA]]=AP$2,100%,AVANCE[[#This Row],[ZOCALOS LOGIA]])</f>
        <v>0</v>
      </c>
      <c r="CE502" s="3">
        <f>+IF(AVANCE[[#This Row],[MOLDURAS]]=AQ$2,100%,AVANCE[[#This Row],[MOLDURAS]])</f>
        <v>0</v>
      </c>
      <c r="CF502" s="3">
        <f>+IF(AVANCE[[#This Row],[PILASTREO]]=AR$2,100%,AVANCE[[#This Row],[PILASTREO]])</f>
        <v>0</v>
      </c>
      <c r="CG502" s="3">
        <f>+IF(AVANCE[[#This Row],[CELOSIAS]]=AS$2,100%,AVANCE[[#This Row],[CELOSIAS]])</f>
        <v>0</v>
      </c>
      <c r="CH502" s="3">
        <f>+IF(AVANCE[[#This Row],[VENTANAS]]=AT$2,100%,AVANCE[[#This Row],[VENTANAS]])</f>
        <v>0</v>
      </c>
      <c r="CI502" s="3">
        <f>+IF(AVANCE[[#This Row],[PUERTAS ACCESO - LOGIA - BANO]]=AU$2,100%,AVANCE[[#This Row],[PUERTAS ACCESO - LOGIA - BANO]])</f>
        <v>0</v>
      </c>
      <c r="CJ502" s="3">
        <f>+IF(AVANCE[[#This Row],[CERRADURAS]]=AV$2,100%,AVANCE[[#This Row],[CERRADURAS]])</f>
        <v>0</v>
      </c>
      <c r="CK502" s="3">
        <f>+IF(AVANCE[[#This Row],[REVESTIMIENTO INTERIOR ZONA SECA]]=AW$2,100%,AVANCE[[#This Row],[REVESTIMIENTO INTERIOR ZONA SECA]])</f>
        <v>0</v>
      </c>
      <c r="CL502" s="3">
        <f>+IF(AVANCE[[#This Row],[REVESTIMIENTO INTERIOR ZONAS HUMEDAS]]=AX$2,100%,AVANCE[[#This Row],[REVESTIMIENTO INTERIOR ZONAS HUMEDAS]])</f>
        <v>0</v>
      </c>
      <c r="CM502" s="3">
        <f>+IF(AVANCE[[#This Row],[MEMBRANA CIELO]]=AY$2,100%,AVANCE[[#This Row],[MEMBRANA CIELO]])</f>
        <v>0</v>
      </c>
      <c r="CN502" s="3">
        <f>+IF(AVANCE[[#This Row],[LIMPIEZA FINAL]]=AZ$2,100%,AVANCE[[#This Row],[LIMPIEZA FINAL]])</f>
        <v>0</v>
      </c>
      <c r="CO502" s="3">
        <f>+IF(AVANCE[[#This Row],[PUERTAS DORMITORIO]]=BA$2,100%,AVANCE[[#This Row],[PUERTAS DORMITORIO]])</f>
        <v>0</v>
      </c>
      <c r="CP502" s="3">
        <f>+IF(AVANCE[[#This Row],[REVESTIMIENTO INTERIOR BANO]]=BB$2,100%,AVANCE[[#This Row],[REVESTIMIENTO INTERIOR BANO]])</f>
        <v>0</v>
      </c>
      <c r="CQ502" s="3">
        <f>+IF(AVANCE[[#This Row],[MUEBLE LAVAPLATOS]]=BC$2,100%,AVANCE[[#This Row],[MUEBLE LAVAPLATOS]])</f>
        <v>0</v>
      </c>
      <c r="CR502" s="3">
        <f>+IF(AVANCE[[#This Row],[IMPERMEABILIZACION BANO - COCINA LOGIA]]=BD$2,100%,AVANCE[[#This Row],[IMPERMEABILIZACION BANO - COCINA LOGIA]])</f>
        <v>0</v>
      </c>
      <c r="CS502" s="40">
        <f ca="1">+IF(AVANCE[[#This Row],[ESTADO MODULO]]="PENDIENTE",(TODAY()-AVANCE[[#This Row],[FECHA TERMINO  PLANIFICADO]]),0)</f>
        <v>0</v>
      </c>
      <c r="CT502" s="41" t="str" cm="1">
        <f t="array" ref="CT502">_xlfn.TEXTJOIN(" | ",TRUE,IF(SUMPRODUCT((BG502:CR502&lt;1)*(PARTIDAS!$I$2:$AT$2="OBRA GRUESA"))&gt;0,"OBRA GRUESA: "&amp;_xlfn.TEXTJOIN(", ",TRUE,IF((BG502:CR502&lt;1)*(PARTIDAS!$I$2:$AT$2="OBRA GRUESA"),PARTIDAS!$I$1:$AT$1,"")),""),IF(SUMPRODUCT((BG502:CR502&lt;1)*(PARTIDAS!$I$2:$AT$2="SANITARIOS"))&gt;0,"SANITARIOS: "&amp;_xlfn.TEXTJOIN(", ",TRUE,IF((BG502:CR502&lt;1)*(PARTIDAS!$I$2:$AT$2="SANITARIOS"),PARTIDAS!$I$1:$AT$1,"")),""),IF(SUMPRODUCT((BG502:CR502&lt;1)*(PARTIDAS!$I$2:$AT$2="ELÉCTRICO"))&gt;0,"ELÉCTRICO: "&amp;_xlfn.TEXTJOIN(", ",TRUE,IF((BG502:CR502&lt;1)*(PARTIDAS!$I$2:$AT$2="ELÉCTRICO"),PARTIDAS!$I$1:$AT$1,"")),""),IF(SUMPRODUCT((BG502:CR502&lt;1)*(PARTIDAS!$I$2:$AT$2="TERMINACIONES"))&gt;0,"TERMINACIONES: "&amp;_xlfn.TEXTJOIN(", ",TRUE,IF((BG502:CR502&lt;1)*(PARTIDAS!$I$2:$AT$2="TERMINACIONES"),PARTIDAS!$I$1:$AT$1,"")),""))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2" s="43" t="str" cm="1">
        <f t="array" ref="CU502">_xlfn.TEXTJOIN(", ",TRUE,IF(SUMPRODUCT((BG502:CR502&lt;1)*(PARTIDAS!$I$2:$AT$2="OBRA GRUESA"))&gt;0,"OBRA GRUESA",""),IF(SUMPRODUCT((BG502:CR502&lt;1)*(PARTIDAS!$I$2:$AT$2="SANITARIOS"))&gt;0,"SANITARIOS",""),IF(SUMPRODUCT((BG502:CR502&lt;1)*(PARTIDAS!$I$2:$AT$2="ELÉCTRICO"))&gt;0,"ELÉCTRICO",""),IF(SUMPRODUCT((BG502:CR502&lt;1)*(PARTIDAS!$I$2:$AT$2="TERMINACIONES"))&gt;0,"TERMINACIONES",""))</f>
        <v>OBRA GRUESA, SANITARIOS, ELÉCTRICO, TERMINACIONES</v>
      </c>
      <c r="CV502" s="44" cm="1">
        <f t="array" ref="CV502">SUMPRODUCT(--(BG502:CR502&lt;1))</f>
        <v>38</v>
      </c>
    </row>
    <row r="503" spans="1:100" hidden="1" x14ac:dyDescent="0.25">
      <c r="A503" t="s">
        <v>553</v>
      </c>
      <c r="B503" t="s">
        <v>575</v>
      </c>
      <c r="C503">
        <v>2302600502</v>
      </c>
      <c r="D503" t="s">
        <v>60</v>
      </c>
      <c r="E503" s="2">
        <v>0</v>
      </c>
      <c r="F503" s="1">
        <v>46393</v>
      </c>
      <c r="G503" s="1"/>
      <c r="H503" s="1">
        <v>0</v>
      </c>
      <c r="I503" s="1">
        <v>46423</v>
      </c>
      <c r="J503">
        <v>46230</v>
      </c>
      <c r="K503" s="1"/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>
        <v>31.32</v>
      </c>
      <c r="BF503" s="3" t="str">
        <f>+IF(AVANCE[[#This Row],[% AVANCE]]=100%,"MODULO TERMINADO",IF(AVANCE[[#This Row],[FECHA INICIO REAL]]="","MODULO NO INICIADO","PENDIENTE"))</f>
        <v>MODULO NO INICIADO</v>
      </c>
      <c r="BG503" s="3">
        <f>+IF(AVANCE[[#This Row],[VENTANAS]]=8.10810810810811%,100%,AVANCE[[#This Row],[VENTANAS]])</f>
        <v>0</v>
      </c>
      <c r="BH503" s="3">
        <f>+IF(AVANCE[[#This Row],[PISO]]=N$2,100%,AVANCE[[#This Row],[PISO]])</f>
        <v>0</v>
      </c>
      <c r="BI503" s="3">
        <f>+IF(AVANCE[[#This Row],[TABIQUES]]=O$2,100%,AVANCE[[#This Row],[TABIQUES]])</f>
        <v>0</v>
      </c>
      <c r="BJ503" s="3">
        <f>+IF(AVANCE[[#This Row],[MUROS]]=P$2,100%,AVANCE[[#This Row],[MUROS]])</f>
        <v>0</v>
      </c>
      <c r="BK503" s="3">
        <f>+IF(AVANCE[[#This Row],[CIELO]]=Q$2,100%,AVANCE[[#This Row],[CIELO]])</f>
        <v>0</v>
      </c>
      <c r="BL503" s="3">
        <f>+IF(AVANCE[[#This Row],[BALCÓN]]=R$2,100%,AVANCE[[#This Row],[BALCÓN]])</f>
        <v>0</v>
      </c>
      <c r="BM503" s="3">
        <f>+IF(AVANCE[[#This Row],[RED ALCANTARILLADO]]=U$2,100%,AVANCE[[#This Row],[RED ALCANTARILLADO]])</f>
        <v>0</v>
      </c>
      <c r="BN503" s="3">
        <f>+IF(AVANCE[[#This Row],[RED DE AGUA]]=V$2,100%,AVANCE[[#This Row],[RED DE AGUA]])</f>
        <v>0</v>
      </c>
      <c r="BO503" s="3">
        <f>+IF(AVANCE[[#This Row],[VENTILACIONES]]=W$2,100%,AVANCE[[#This Row],[VENTILACIONES]])</f>
        <v>0</v>
      </c>
      <c r="BP503" s="3">
        <f>+IF(AVANCE[[#This Row],[TINA]]=X$2,100%,AVANCE[[#This Row],[TINA]])</f>
        <v>0</v>
      </c>
      <c r="BQ503" s="3">
        <f>+IF(AVANCE[[#This Row],[WC]]=Y$2,100%,AVANCE[[#This Row],[WC]])</f>
        <v>0</v>
      </c>
      <c r="BR503" s="3">
        <f>+IF(AVANCE[[#This Row],[LAVAMANOS / LAVAPLATOS / LAVADERO]]=Z$2,100%,AVANCE[[#This Row],[LAVAMANOS / LAVAPLATOS / LAVADERO]])</f>
        <v>0</v>
      </c>
      <c r="BS503" s="3">
        <f>+IF(AVANCE[[#This Row],[CANALIZACIÓN]]=AC$2,100%,AVANCE[[#This Row],[CANALIZACIÓN]])</f>
        <v>0</v>
      </c>
      <c r="BT503" s="3">
        <f>+IF(AVANCE[[#This Row],[CABLEADO]]=AD$2,100%,AVANCE[[#This Row],[CABLEADO]])</f>
        <v>0</v>
      </c>
      <c r="BU503" s="3">
        <f>+IF(AVANCE[[#This Row],[ARTEFACTOS]]=AE$2,100%,AVANCE[[#This Row],[ARTEFACTOS]])</f>
        <v>0</v>
      </c>
      <c r="BV503" s="3">
        <f>+IF(AVANCE[[#This Row],[TABLERO]]=AF$2,100%,AVANCE[[#This Row],[TABLERO]])</f>
        <v>0</v>
      </c>
      <c r="BW503" s="3">
        <f>+IF(AVANCE[[#This Row],[CAJA PAU]]=AG$2,100%,AVANCE[[#This Row],[CAJA PAU]])</f>
        <v>0</v>
      </c>
      <c r="BX503" s="3">
        <f>+IF(AVANCE[[#This Row],[INSTALACION VINILICO]]=AJ$2,100%,AVANCE[[#This Row],[INSTALACION VINILICO]])</f>
        <v>0</v>
      </c>
      <c r="BY503" s="3">
        <f>+IF(AVANCE[[#This Row],[OSB CUBIERTA]]=AK$2,100%,AVANCE[[#This Row],[OSB CUBIERTA]])</f>
        <v>0</v>
      </c>
      <c r="BZ503" s="3">
        <f>+IF(AVANCE[[#This Row],[BARANDA BALCON]]=AL$2,100%,AVANCE[[#This Row],[BARANDA BALCON]])</f>
        <v>0</v>
      </c>
      <c r="CA503" s="3">
        <f>+IF(AVANCE[[#This Row],[OSB EXTERIOR]]=AM$2,100%,AVANCE[[#This Row],[OSB EXTERIOR]])</f>
        <v>0</v>
      </c>
      <c r="CB503" s="3">
        <f>+IF(AVANCE[[#This Row],[SMART PANEL]]=AN$2,100%,AVANCE[[#This Row],[SMART PANEL]])</f>
        <v>0</v>
      </c>
      <c r="CC503" s="3">
        <f>+IF(AVANCE[[#This Row],[PINTURA EXTERIOR]]=AO$2,100%,AVANCE[[#This Row],[PINTURA EXTERIOR]])</f>
        <v>0</v>
      </c>
      <c r="CD503" s="3">
        <f>+IF(AVANCE[[#This Row],[ZOCALOS LOGIA]]=AP$2,100%,AVANCE[[#This Row],[ZOCALOS LOGIA]])</f>
        <v>0</v>
      </c>
      <c r="CE503" s="3">
        <f>+IF(AVANCE[[#This Row],[MOLDURAS]]=AQ$2,100%,AVANCE[[#This Row],[MOLDURAS]])</f>
        <v>0</v>
      </c>
      <c r="CF503" s="3">
        <f>+IF(AVANCE[[#This Row],[PILASTREO]]=AR$2,100%,AVANCE[[#This Row],[PILASTREO]])</f>
        <v>0</v>
      </c>
      <c r="CG503" s="3">
        <f>+IF(AVANCE[[#This Row],[CELOSIAS]]=AS$2,100%,AVANCE[[#This Row],[CELOSIAS]])</f>
        <v>0</v>
      </c>
      <c r="CH503" s="3">
        <f>+IF(AVANCE[[#This Row],[VENTANAS]]=AT$2,100%,AVANCE[[#This Row],[VENTANAS]])</f>
        <v>0</v>
      </c>
      <c r="CI503" s="3">
        <f>+IF(AVANCE[[#This Row],[PUERTAS ACCESO - LOGIA - BANO]]=AU$2,100%,AVANCE[[#This Row],[PUERTAS ACCESO - LOGIA - BANO]])</f>
        <v>0</v>
      </c>
      <c r="CJ503" s="3">
        <f>+IF(AVANCE[[#This Row],[CERRADURAS]]=AV$2,100%,AVANCE[[#This Row],[CERRADURAS]])</f>
        <v>0</v>
      </c>
      <c r="CK503" s="3">
        <f>+IF(AVANCE[[#This Row],[REVESTIMIENTO INTERIOR ZONA SECA]]=AW$2,100%,AVANCE[[#This Row],[REVESTIMIENTO INTERIOR ZONA SECA]])</f>
        <v>0</v>
      </c>
      <c r="CL503" s="3">
        <f>+IF(AVANCE[[#This Row],[REVESTIMIENTO INTERIOR ZONAS HUMEDAS]]=AX$2,100%,AVANCE[[#This Row],[REVESTIMIENTO INTERIOR ZONAS HUMEDAS]])</f>
        <v>0</v>
      </c>
      <c r="CM503" s="3">
        <f>+IF(AVANCE[[#This Row],[MEMBRANA CIELO]]=AY$2,100%,AVANCE[[#This Row],[MEMBRANA CIELO]])</f>
        <v>0</v>
      </c>
      <c r="CN503" s="3">
        <f>+IF(AVANCE[[#This Row],[LIMPIEZA FINAL]]=AZ$2,100%,AVANCE[[#This Row],[LIMPIEZA FINAL]])</f>
        <v>0</v>
      </c>
      <c r="CO503" s="3">
        <f>+IF(AVANCE[[#This Row],[PUERTAS DORMITORIO]]=BA$2,100%,AVANCE[[#This Row],[PUERTAS DORMITORIO]])</f>
        <v>0</v>
      </c>
      <c r="CP503" s="3">
        <f>+IF(AVANCE[[#This Row],[REVESTIMIENTO INTERIOR BANO]]=BB$2,100%,AVANCE[[#This Row],[REVESTIMIENTO INTERIOR BANO]])</f>
        <v>0</v>
      </c>
      <c r="CQ503" s="3">
        <f>+IF(AVANCE[[#This Row],[MUEBLE LAVAPLATOS]]=BC$2,100%,AVANCE[[#This Row],[MUEBLE LAVAPLATOS]])</f>
        <v>0</v>
      </c>
      <c r="CR503" s="3">
        <f>+IF(AVANCE[[#This Row],[IMPERMEABILIZACION BANO - COCINA LOGIA]]=BD$2,100%,AVANCE[[#This Row],[IMPERMEABILIZACION BANO - COCINA LOGIA]])</f>
        <v>0</v>
      </c>
      <c r="CS503" s="40">
        <f ca="1">+IF(AVANCE[[#This Row],[ESTADO MODULO]]="PENDIENTE",(TODAY()-AVANCE[[#This Row],[FECHA TERMINO  PLANIFICADO]]),0)</f>
        <v>0</v>
      </c>
      <c r="CT503" s="41" t="str" cm="1">
        <f t="array" ref="CT503">_xlfn.TEXTJOIN(" | ",TRUE,IF(SUMPRODUCT((BG503:CR503&lt;1)*(PARTIDAS!$I$2:$AT$2="OBRA GRUESA"))&gt;0,"OBRA GRUESA: "&amp;_xlfn.TEXTJOIN(", ",TRUE,IF((BG503:CR503&lt;1)*(PARTIDAS!$I$2:$AT$2="OBRA GRUESA"),PARTIDAS!$I$1:$AT$1,"")),""),IF(SUMPRODUCT((BG503:CR503&lt;1)*(PARTIDAS!$I$2:$AT$2="SANITARIOS"))&gt;0,"SANITARIOS: "&amp;_xlfn.TEXTJOIN(", ",TRUE,IF((BG503:CR503&lt;1)*(PARTIDAS!$I$2:$AT$2="SANITARIOS"),PARTIDAS!$I$1:$AT$1,"")),""),IF(SUMPRODUCT((BG503:CR503&lt;1)*(PARTIDAS!$I$2:$AT$2="ELÉCTRICO"))&gt;0,"ELÉCTRICO: "&amp;_xlfn.TEXTJOIN(", ",TRUE,IF((BG503:CR503&lt;1)*(PARTIDAS!$I$2:$AT$2="ELÉCTRICO"),PARTIDAS!$I$1:$AT$1,"")),""),IF(SUMPRODUCT((BG503:CR503&lt;1)*(PARTIDAS!$I$2:$AT$2="TERMINACIONES"))&gt;0,"TERMINACIONES: "&amp;_xlfn.TEXTJOIN(", ",TRUE,IF((BG503:CR503&lt;1)*(PARTIDAS!$I$2:$AT$2="TERMINACIONES"),PARTIDAS!$I$1:$AT$1,"")),""))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3" s="43" t="str" cm="1">
        <f t="array" ref="CU503">_xlfn.TEXTJOIN(", ",TRUE,IF(SUMPRODUCT((BG503:CR503&lt;1)*(PARTIDAS!$I$2:$AT$2="OBRA GRUESA"))&gt;0,"OBRA GRUESA",""),IF(SUMPRODUCT((BG503:CR503&lt;1)*(PARTIDAS!$I$2:$AT$2="SANITARIOS"))&gt;0,"SANITARIOS",""),IF(SUMPRODUCT((BG503:CR503&lt;1)*(PARTIDAS!$I$2:$AT$2="ELÉCTRICO"))&gt;0,"ELÉCTRICO",""),IF(SUMPRODUCT((BG503:CR503&lt;1)*(PARTIDAS!$I$2:$AT$2="TERMINACIONES"))&gt;0,"TERMINACIONES",""))</f>
        <v>OBRA GRUESA, SANITARIOS, ELÉCTRICO, TERMINACIONES</v>
      </c>
      <c r="CV503" s="44" cm="1">
        <f t="array" ref="CV503">SUMPRODUCT(--(BG503:CR503&lt;1))</f>
        <v>38</v>
      </c>
    </row>
    <row r="504" spans="1:100" hidden="1" x14ac:dyDescent="0.25">
      <c r="A504" t="s">
        <v>553</v>
      </c>
      <c r="B504" t="s">
        <v>576</v>
      </c>
      <c r="C504">
        <v>2302600503</v>
      </c>
      <c r="D504" t="s">
        <v>60</v>
      </c>
      <c r="E504" s="2">
        <v>0</v>
      </c>
      <c r="F504" s="1">
        <v>46394</v>
      </c>
      <c r="G504" s="1"/>
      <c r="H504" s="1">
        <v>0</v>
      </c>
      <c r="I504" s="1">
        <v>46424</v>
      </c>
      <c r="J504">
        <v>46230</v>
      </c>
      <c r="K504" s="1"/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>
        <v>31.32</v>
      </c>
      <c r="BF504" s="3" t="str">
        <f>+IF(AVANCE[[#This Row],[% AVANCE]]=100%,"MODULO TERMINADO",IF(AVANCE[[#This Row],[FECHA INICIO REAL]]="","MODULO NO INICIADO","PENDIENTE"))</f>
        <v>MODULO NO INICIADO</v>
      </c>
      <c r="BG504" s="3">
        <f>+IF(AVANCE[[#This Row],[VENTANAS]]=8.10810810810811%,100%,AVANCE[[#This Row],[VENTANAS]])</f>
        <v>0</v>
      </c>
      <c r="BH504" s="3">
        <f>+IF(AVANCE[[#This Row],[PISO]]=N$2,100%,AVANCE[[#This Row],[PISO]])</f>
        <v>0</v>
      </c>
      <c r="BI504" s="3">
        <f>+IF(AVANCE[[#This Row],[TABIQUES]]=O$2,100%,AVANCE[[#This Row],[TABIQUES]])</f>
        <v>0</v>
      </c>
      <c r="BJ504" s="3">
        <f>+IF(AVANCE[[#This Row],[MUROS]]=P$2,100%,AVANCE[[#This Row],[MUROS]])</f>
        <v>0</v>
      </c>
      <c r="BK504" s="3">
        <f>+IF(AVANCE[[#This Row],[CIELO]]=Q$2,100%,AVANCE[[#This Row],[CIELO]])</f>
        <v>0</v>
      </c>
      <c r="BL504" s="3">
        <f>+IF(AVANCE[[#This Row],[BALCÓN]]=R$2,100%,AVANCE[[#This Row],[BALCÓN]])</f>
        <v>0</v>
      </c>
      <c r="BM504" s="3">
        <f>+IF(AVANCE[[#This Row],[RED ALCANTARILLADO]]=U$2,100%,AVANCE[[#This Row],[RED ALCANTARILLADO]])</f>
        <v>0</v>
      </c>
      <c r="BN504" s="3">
        <f>+IF(AVANCE[[#This Row],[RED DE AGUA]]=V$2,100%,AVANCE[[#This Row],[RED DE AGUA]])</f>
        <v>0</v>
      </c>
      <c r="BO504" s="3">
        <f>+IF(AVANCE[[#This Row],[VENTILACIONES]]=W$2,100%,AVANCE[[#This Row],[VENTILACIONES]])</f>
        <v>0</v>
      </c>
      <c r="BP504" s="3">
        <f>+IF(AVANCE[[#This Row],[TINA]]=X$2,100%,AVANCE[[#This Row],[TINA]])</f>
        <v>0</v>
      </c>
      <c r="BQ504" s="3">
        <f>+IF(AVANCE[[#This Row],[WC]]=Y$2,100%,AVANCE[[#This Row],[WC]])</f>
        <v>0</v>
      </c>
      <c r="BR504" s="3">
        <f>+IF(AVANCE[[#This Row],[LAVAMANOS / LAVAPLATOS / LAVADERO]]=Z$2,100%,AVANCE[[#This Row],[LAVAMANOS / LAVAPLATOS / LAVADERO]])</f>
        <v>0</v>
      </c>
      <c r="BS504" s="3">
        <f>+IF(AVANCE[[#This Row],[CANALIZACIÓN]]=AC$2,100%,AVANCE[[#This Row],[CANALIZACIÓN]])</f>
        <v>0</v>
      </c>
      <c r="BT504" s="3">
        <f>+IF(AVANCE[[#This Row],[CABLEADO]]=AD$2,100%,AVANCE[[#This Row],[CABLEADO]])</f>
        <v>0</v>
      </c>
      <c r="BU504" s="3">
        <f>+IF(AVANCE[[#This Row],[ARTEFACTOS]]=AE$2,100%,AVANCE[[#This Row],[ARTEFACTOS]])</f>
        <v>0</v>
      </c>
      <c r="BV504" s="3">
        <f>+IF(AVANCE[[#This Row],[TABLERO]]=AF$2,100%,AVANCE[[#This Row],[TABLERO]])</f>
        <v>0</v>
      </c>
      <c r="BW504" s="3">
        <f>+IF(AVANCE[[#This Row],[CAJA PAU]]=AG$2,100%,AVANCE[[#This Row],[CAJA PAU]])</f>
        <v>0</v>
      </c>
      <c r="BX504" s="3">
        <f>+IF(AVANCE[[#This Row],[INSTALACION VINILICO]]=AJ$2,100%,AVANCE[[#This Row],[INSTALACION VINILICO]])</f>
        <v>0</v>
      </c>
      <c r="BY504" s="3">
        <f>+IF(AVANCE[[#This Row],[OSB CUBIERTA]]=AK$2,100%,AVANCE[[#This Row],[OSB CUBIERTA]])</f>
        <v>0</v>
      </c>
      <c r="BZ504" s="3">
        <f>+IF(AVANCE[[#This Row],[BARANDA BALCON]]=AL$2,100%,AVANCE[[#This Row],[BARANDA BALCON]])</f>
        <v>0</v>
      </c>
      <c r="CA504" s="3">
        <f>+IF(AVANCE[[#This Row],[OSB EXTERIOR]]=AM$2,100%,AVANCE[[#This Row],[OSB EXTERIOR]])</f>
        <v>0</v>
      </c>
      <c r="CB504" s="3">
        <f>+IF(AVANCE[[#This Row],[SMART PANEL]]=AN$2,100%,AVANCE[[#This Row],[SMART PANEL]])</f>
        <v>0</v>
      </c>
      <c r="CC504" s="3">
        <f>+IF(AVANCE[[#This Row],[PINTURA EXTERIOR]]=AO$2,100%,AVANCE[[#This Row],[PINTURA EXTERIOR]])</f>
        <v>0</v>
      </c>
      <c r="CD504" s="3">
        <f>+IF(AVANCE[[#This Row],[ZOCALOS LOGIA]]=AP$2,100%,AVANCE[[#This Row],[ZOCALOS LOGIA]])</f>
        <v>0</v>
      </c>
      <c r="CE504" s="3">
        <f>+IF(AVANCE[[#This Row],[MOLDURAS]]=AQ$2,100%,AVANCE[[#This Row],[MOLDURAS]])</f>
        <v>0</v>
      </c>
      <c r="CF504" s="3">
        <f>+IF(AVANCE[[#This Row],[PILASTREO]]=AR$2,100%,AVANCE[[#This Row],[PILASTREO]])</f>
        <v>0</v>
      </c>
      <c r="CG504" s="3">
        <f>+IF(AVANCE[[#This Row],[CELOSIAS]]=AS$2,100%,AVANCE[[#This Row],[CELOSIAS]])</f>
        <v>0</v>
      </c>
      <c r="CH504" s="3">
        <f>+IF(AVANCE[[#This Row],[VENTANAS]]=AT$2,100%,AVANCE[[#This Row],[VENTANAS]])</f>
        <v>0</v>
      </c>
      <c r="CI504" s="3">
        <f>+IF(AVANCE[[#This Row],[PUERTAS ACCESO - LOGIA - BANO]]=AU$2,100%,AVANCE[[#This Row],[PUERTAS ACCESO - LOGIA - BANO]])</f>
        <v>0</v>
      </c>
      <c r="CJ504" s="3">
        <f>+IF(AVANCE[[#This Row],[CERRADURAS]]=AV$2,100%,AVANCE[[#This Row],[CERRADURAS]])</f>
        <v>0</v>
      </c>
      <c r="CK504" s="3">
        <f>+IF(AVANCE[[#This Row],[REVESTIMIENTO INTERIOR ZONA SECA]]=AW$2,100%,AVANCE[[#This Row],[REVESTIMIENTO INTERIOR ZONA SECA]])</f>
        <v>0</v>
      </c>
      <c r="CL504" s="3">
        <f>+IF(AVANCE[[#This Row],[REVESTIMIENTO INTERIOR ZONAS HUMEDAS]]=AX$2,100%,AVANCE[[#This Row],[REVESTIMIENTO INTERIOR ZONAS HUMEDAS]])</f>
        <v>0</v>
      </c>
      <c r="CM504" s="3">
        <f>+IF(AVANCE[[#This Row],[MEMBRANA CIELO]]=AY$2,100%,AVANCE[[#This Row],[MEMBRANA CIELO]])</f>
        <v>0</v>
      </c>
      <c r="CN504" s="3">
        <f>+IF(AVANCE[[#This Row],[LIMPIEZA FINAL]]=AZ$2,100%,AVANCE[[#This Row],[LIMPIEZA FINAL]])</f>
        <v>0</v>
      </c>
      <c r="CO504" s="3">
        <f>+IF(AVANCE[[#This Row],[PUERTAS DORMITORIO]]=BA$2,100%,AVANCE[[#This Row],[PUERTAS DORMITORIO]])</f>
        <v>0</v>
      </c>
      <c r="CP504" s="3">
        <f>+IF(AVANCE[[#This Row],[REVESTIMIENTO INTERIOR BANO]]=BB$2,100%,AVANCE[[#This Row],[REVESTIMIENTO INTERIOR BANO]])</f>
        <v>0</v>
      </c>
      <c r="CQ504" s="3">
        <f>+IF(AVANCE[[#This Row],[MUEBLE LAVAPLATOS]]=BC$2,100%,AVANCE[[#This Row],[MUEBLE LAVAPLATOS]])</f>
        <v>0</v>
      </c>
      <c r="CR504" s="3">
        <f>+IF(AVANCE[[#This Row],[IMPERMEABILIZACION BANO - COCINA LOGIA]]=BD$2,100%,AVANCE[[#This Row],[IMPERMEABILIZACION BANO - COCINA LOGIA]])</f>
        <v>0</v>
      </c>
      <c r="CS504" s="40">
        <f ca="1">+IF(AVANCE[[#This Row],[ESTADO MODULO]]="PENDIENTE",(TODAY()-AVANCE[[#This Row],[FECHA TERMINO  PLANIFICADO]]),0)</f>
        <v>0</v>
      </c>
      <c r="CT504" s="41" t="str" cm="1">
        <f t="array" ref="CT504">_xlfn.TEXTJOIN(" | ",TRUE,IF(SUMPRODUCT((BG504:CR504&lt;1)*(PARTIDAS!$I$2:$AT$2="OBRA GRUESA"))&gt;0,"OBRA GRUESA: "&amp;_xlfn.TEXTJOIN(", ",TRUE,IF((BG504:CR504&lt;1)*(PARTIDAS!$I$2:$AT$2="OBRA GRUESA"),PARTIDAS!$I$1:$AT$1,"")),""),IF(SUMPRODUCT((BG504:CR504&lt;1)*(PARTIDAS!$I$2:$AT$2="SANITARIOS"))&gt;0,"SANITARIOS: "&amp;_xlfn.TEXTJOIN(", ",TRUE,IF((BG504:CR504&lt;1)*(PARTIDAS!$I$2:$AT$2="SANITARIOS"),PARTIDAS!$I$1:$AT$1,"")),""),IF(SUMPRODUCT((BG504:CR504&lt;1)*(PARTIDAS!$I$2:$AT$2="ELÉCTRICO"))&gt;0,"ELÉCTRICO: "&amp;_xlfn.TEXTJOIN(", ",TRUE,IF((BG504:CR504&lt;1)*(PARTIDAS!$I$2:$AT$2="ELÉCTRICO"),PARTIDAS!$I$1:$AT$1,"")),""),IF(SUMPRODUCT((BG504:CR504&lt;1)*(PARTIDAS!$I$2:$AT$2="TERMINACIONES"))&gt;0,"TERMINACIONES: "&amp;_xlfn.TEXTJOIN(", ",TRUE,IF((BG504:CR504&lt;1)*(PARTIDAS!$I$2:$AT$2="TERMINACIONES"),PARTIDAS!$I$1:$AT$1,"")),""))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4" s="43" t="str" cm="1">
        <f t="array" ref="CU504">_xlfn.TEXTJOIN(", ",TRUE,IF(SUMPRODUCT((BG504:CR504&lt;1)*(PARTIDAS!$I$2:$AT$2="OBRA GRUESA"))&gt;0,"OBRA GRUESA",""),IF(SUMPRODUCT((BG504:CR504&lt;1)*(PARTIDAS!$I$2:$AT$2="SANITARIOS"))&gt;0,"SANITARIOS",""),IF(SUMPRODUCT((BG504:CR504&lt;1)*(PARTIDAS!$I$2:$AT$2="ELÉCTRICO"))&gt;0,"ELÉCTRICO",""),IF(SUMPRODUCT((BG504:CR504&lt;1)*(PARTIDAS!$I$2:$AT$2="TERMINACIONES"))&gt;0,"TERMINACIONES",""))</f>
        <v>OBRA GRUESA, SANITARIOS, ELÉCTRICO, TERMINACIONES</v>
      </c>
      <c r="CV504" s="44" cm="1">
        <f t="array" ref="CV504">SUMPRODUCT(--(BG504:CR504&lt;1))</f>
        <v>38</v>
      </c>
    </row>
    <row r="505" spans="1:100" hidden="1" x14ac:dyDescent="0.25">
      <c r="A505" t="s">
        <v>553</v>
      </c>
      <c r="B505" t="s">
        <v>577</v>
      </c>
      <c r="C505">
        <v>2282600504</v>
      </c>
      <c r="D505" t="s">
        <v>58</v>
      </c>
      <c r="E505" s="2">
        <v>0</v>
      </c>
      <c r="F505" s="1">
        <v>46394</v>
      </c>
      <c r="G505" s="1"/>
      <c r="H505" s="1">
        <v>0</v>
      </c>
      <c r="I505" s="1">
        <v>46414</v>
      </c>
      <c r="J505">
        <v>46230</v>
      </c>
      <c r="K505" s="1"/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>
        <v>28.87</v>
      </c>
      <c r="BF505" s="3" t="str">
        <f>+IF(AVANCE[[#This Row],[% AVANCE]]=100%,"MODULO TERMINADO",IF(AVANCE[[#This Row],[FECHA INICIO REAL]]="","MODULO NO INICIADO","PENDIENTE"))</f>
        <v>MODULO NO INICIADO</v>
      </c>
      <c r="BG505" s="3">
        <f>+IF(AVANCE[[#This Row],[VENTANAS]]=8.10810810810811%,100%,AVANCE[[#This Row],[VENTANAS]])</f>
        <v>0</v>
      </c>
      <c r="BH505" s="3">
        <f>+IF(AVANCE[[#This Row],[PISO]]=N$2,100%,AVANCE[[#This Row],[PISO]])</f>
        <v>0</v>
      </c>
      <c r="BI505" s="3">
        <f>+IF(AVANCE[[#This Row],[TABIQUES]]=O$2,100%,AVANCE[[#This Row],[TABIQUES]])</f>
        <v>0</v>
      </c>
      <c r="BJ505" s="3">
        <f>+IF(AVANCE[[#This Row],[MUROS]]=P$2,100%,AVANCE[[#This Row],[MUROS]])</f>
        <v>0</v>
      </c>
      <c r="BK505" s="3">
        <f>+IF(AVANCE[[#This Row],[CIELO]]=Q$2,100%,AVANCE[[#This Row],[CIELO]])</f>
        <v>0</v>
      </c>
      <c r="BL505" s="3">
        <f>+IF(AVANCE[[#This Row],[BALCÓN]]=R$2,100%,AVANCE[[#This Row],[BALCÓN]])</f>
        <v>0</v>
      </c>
      <c r="BM505" s="3">
        <f>+IF(AVANCE[[#This Row],[RED ALCANTARILLADO]]=U$2,100%,AVANCE[[#This Row],[RED ALCANTARILLADO]])</f>
        <v>0</v>
      </c>
      <c r="BN505" s="3">
        <f>+IF(AVANCE[[#This Row],[RED DE AGUA]]=V$2,100%,AVANCE[[#This Row],[RED DE AGUA]])</f>
        <v>0</v>
      </c>
      <c r="BO505" s="3">
        <f>+IF(AVANCE[[#This Row],[VENTILACIONES]]=W$2,100%,AVANCE[[#This Row],[VENTILACIONES]])</f>
        <v>0</v>
      </c>
      <c r="BP505" s="3">
        <f>+IF(AVANCE[[#This Row],[TINA]]=X$2,100%,AVANCE[[#This Row],[TINA]])</f>
        <v>0</v>
      </c>
      <c r="BQ505" s="3">
        <f>+IF(AVANCE[[#This Row],[WC]]=Y$2,100%,AVANCE[[#This Row],[WC]])</f>
        <v>0</v>
      </c>
      <c r="BR505" s="3">
        <f>+IF(AVANCE[[#This Row],[LAVAMANOS / LAVAPLATOS / LAVADERO]]=Z$2,100%,AVANCE[[#This Row],[LAVAMANOS / LAVAPLATOS / LAVADERO]])</f>
        <v>0</v>
      </c>
      <c r="BS505" s="3">
        <f>+IF(AVANCE[[#This Row],[CANALIZACIÓN]]=AC$2,100%,AVANCE[[#This Row],[CANALIZACIÓN]])</f>
        <v>0</v>
      </c>
      <c r="BT505" s="3">
        <f>+IF(AVANCE[[#This Row],[CABLEADO]]=AD$2,100%,AVANCE[[#This Row],[CABLEADO]])</f>
        <v>0</v>
      </c>
      <c r="BU505" s="3">
        <f>+IF(AVANCE[[#This Row],[ARTEFACTOS]]=AE$2,100%,AVANCE[[#This Row],[ARTEFACTOS]])</f>
        <v>0</v>
      </c>
      <c r="BV505" s="3">
        <f>+IF(AVANCE[[#This Row],[TABLERO]]=AF$2,100%,AVANCE[[#This Row],[TABLERO]])</f>
        <v>0</v>
      </c>
      <c r="BW505" s="3">
        <f>+IF(AVANCE[[#This Row],[CAJA PAU]]=AG$2,100%,AVANCE[[#This Row],[CAJA PAU]])</f>
        <v>0</v>
      </c>
      <c r="BX505" s="3">
        <f>+IF(AVANCE[[#This Row],[INSTALACION VINILICO]]=AJ$2,100%,AVANCE[[#This Row],[INSTALACION VINILICO]])</f>
        <v>0</v>
      </c>
      <c r="BY505" s="3">
        <f>+IF(AVANCE[[#This Row],[OSB CUBIERTA]]=AK$2,100%,AVANCE[[#This Row],[OSB CUBIERTA]])</f>
        <v>0</v>
      </c>
      <c r="BZ505" s="3">
        <f>+IF(AVANCE[[#This Row],[BARANDA BALCON]]=AL$2,100%,AVANCE[[#This Row],[BARANDA BALCON]])</f>
        <v>0</v>
      </c>
      <c r="CA505" s="3">
        <f>+IF(AVANCE[[#This Row],[OSB EXTERIOR]]=AM$2,100%,AVANCE[[#This Row],[OSB EXTERIOR]])</f>
        <v>0</v>
      </c>
      <c r="CB505" s="3">
        <f>+IF(AVANCE[[#This Row],[SMART PANEL]]=AN$2,100%,AVANCE[[#This Row],[SMART PANEL]])</f>
        <v>0</v>
      </c>
      <c r="CC505" s="3">
        <f>+IF(AVANCE[[#This Row],[PINTURA EXTERIOR]]=AO$2,100%,AVANCE[[#This Row],[PINTURA EXTERIOR]])</f>
        <v>0</v>
      </c>
      <c r="CD505" s="3">
        <f>+IF(AVANCE[[#This Row],[ZOCALOS LOGIA]]=AP$2,100%,AVANCE[[#This Row],[ZOCALOS LOGIA]])</f>
        <v>0</v>
      </c>
      <c r="CE505" s="3">
        <f>+IF(AVANCE[[#This Row],[MOLDURAS]]=AQ$2,100%,AVANCE[[#This Row],[MOLDURAS]])</f>
        <v>0</v>
      </c>
      <c r="CF505" s="3">
        <f>+IF(AVANCE[[#This Row],[PILASTREO]]=AR$2,100%,AVANCE[[#This Row],[PILASTREO]])</f>
        <v>0</v>
      </c>
      <c r="CG505" s="3">
        <f>+IF(AVANCE[[#This Row],[CELOSIAS]]=AS$2,100%,AVANCE[[#This Row],[CELOSIAS]])</f>
        <v>0</v>
      </c>
      <c r="CH505" s="3">
        <f>+IF(AVANCE[[#This Row],[VENTANAS]]=AT$2,100%,AVANCE[[#This Row],[VENTANAS]])</f>
        <v>0</v>
      </c>
      <c r="CI505" s="3">
        <f>+IF(AVANCE[[#This Row],[PUERTAS ACCESO - LOGIA - BANO]]=AU$2,100%,AVANCE[[#This Row],[PUERTAS ACCESO - LOGIA - BANO]])</f>
        <v>0</v>
      </c>
      <c r="CJ505" s="3">
        <f>+IF(AVANCE[[#This Row],[CERRADURAS]]=AV$2,100%,AVANCE[[#This Row],[CERRADURAS]])</f>
        <v>0</v>
      </c>
      <c r="CK505" s="3">
        <f>+IF(AVANCE[[#This Row],[REVESTIMIENTO INTERIOR ZONA SECA]]=AW$2,100%,AVANCE[[#This Row],[REVESTIMIENTO INTERIOR ZONA SECA]])</f>
        <v>0</v>
      </c>
      <c r="CL505" s="3">
        <f>+IF(AVANCE[[#This Row],[REVESTIMIENTO INTERIOR ZONAS HUMEDAS]]=AX$2,100%,AVANCE[[#This Row],[REVESTIMIENTO INTERIOR ZONAS HUMEDAS]])</f>
        <v>0</v>
      </c>
      <c r="CM505" s="3">
        <f>+IF(AVANCE[[#This Row],[MEMBRANA CIELO]]=AY$2,100%,AVANCE[[#This Row],[MEMBRANA CIELO]])</f>
        <v>0</v>
      </c>
      <c r="CN505" s="3">
        <f>+IF(AVANCE[[#This Row],[LIMPIEZA FINAL]]=AZ$2,100%,AVANCE[[#This Row],[LIMPIEZA FINAL]])</f>
        <v>0</v>
      </c>
      <c r="CO505" s="3">
        <f>+IF(AVANCE[[#This Row],[PUERTAS DORMITORIO]]=BA$2,100%,AVANCE[[#This Row],[PUERTAS DORMITORIO]])</f>
        <v>0</v>
      </c>
      <c r="CP505" s="3">
        <f>+IF(AVANCE[[#This Row],[REVESTIMIENTO INTERIOR BANO]]=BB$2,100%,AVANCE[[#This Row],[REVESTIMIENTO INTERIOR BANO]])</f>
        <v>0</v>
      </c>
      <c r="CQ505" s="3">
        <f>+IF(AVANCE[[#This Row],[MUEBLE LAVAPLATOS]]=BC$2,100%,AVANCE[[#This Row],[MUEBLE LAVAPLATOS]])</f>
        <v>0</v>
      </c>
      <c r="CR505" s="3">
        <f>+IF(AVANCE[[#This Row],[IMPERMEABILIZACION BANO - COCINA LOGIA]]=BD$2,100%,AVANCE[[#This Row],[IMPERMEABILIZACION BANO - COCINA LOGIA]])</f>
        <v>0</v>
      </c>
      <c r="CS505" s="40">
        <f ca="1">+IF(AVANCE[[#This Row],[ESTADO MODULO]]="PENDIENTE",(TODAY()-AVANCE[[#This Row],[FECHA TERMINO  PLANIFICADO]]),0)</f>
        <v>0</v>
      </c>
      <c r="CT505" s="41" t="str" cm="1">
        <f t="array" ref="CT505">_xlfn.TEXTJOIN(" | ",TRUE,IF(SUMPRODUCT((BG505:CR505&lt;1)*(PARTIDAS!$I$2:$AT$2="OBRA GRUESA"))&gt;0,"OBRA GRUESA: "&amp;_xlfn.TEXTJOIN(", ",TRUE,IF((BG505:CR505&lt;1)*(PARTIDAS!$I$2:$AT$2="OBRA GRUESA"),PARTIDAS!$I$1:$AT$1,"")),""),IF(SUMPRODUCT((BG505:CR505&lt;1)*(PARTIDAS!$I$2:$AT$2="SANITARIOS"))&gt;0,"SANITARIOS: "&amp;_xlfn.TEXTJOIN(", ",TRUE,IF((BG505:CR505&lt;1)*(PARTIDAS!$I$2:$AT$2="SANITARIOS"),PARTIDAS!$I$1:$AT$1,"")),""),IF(SUMPRODUCT((BG505:CR505&lt;1)*(PARTIDAS!$I$2:$AT$2="ELÉCTRICO"))&gt;0,"ELÉCTRICO: "&amp;_xlfn.TEXTJOIN(", ",TRUE,IF((BG505:CR505&lt;1)*(PARTIDAS!$I$2:$AT$2="ELÉCTRICO"),PARTIDAS!$I$1:$AT$1,"")),""),IF(SUMPRODUCT((BG505:CR505&lt;1)*(PARTIDAS!$I$2:$AT$2="TERMINACIONES"))&gt;0,"TERMINACIONES: "&amp;_xlfn.TEXTJOIN(", ",TRUE,IF((BG505:CR505&lt;1)*(PARTIDAS!$I$2:$AT$2="TERMINACIONES"),PARTIDAS!$I$1:$AT$1,"")),""))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5" s="43" t="str" cm="1">
        <f t="array" ref="CU505">_xlfn.TEXTJOIN(", ",TRUE,IF(SUMPRODUCT((BG505:CR505&lt;1)*(PARTIDAS!$I$2:$AT$2="OBRA GRUESA"))&gt;0,"OBRA GRUESA",""),IF(SUMPRODUCT((BG505:CR505&lt;1)*(PARTIDAS!$I$2:$AT$2="SANITARIOS"))&gt;0,"SANITARIOS",""),IF(SUMPRODUCT((BG505:CR505&lt;1)*(PARTIDAS!$I$2:$AT$2="ELÉCTRICO"))&gt;0,"ELÉCTRICO",""),IF(SUMPRODUCT((BG505:CR505&lt;1)*(PARTIDAS!$I$2:$AT$2="TERMINACIONES"))&gt;0,"TERMINACIONES",""))</f>
        <v>OBRA GRUESA, SANITARIOS, ELÉCTRICO, TERMINACIONES</v>
      </c>
      <c r="CV505" s="44" cm="1">
        <f t="array" ref="CV505">SUMPRODUCT(--(BG505:CR505&lt;1))</f>
        <v>38</v>
      </c>
    </row>
    <row r="506" spans="1:100" hidden="1" x14ac:dyDescent="0.25">
      <c r="A506" t="s">
        <v>553</v>
      </c>
      <c r="B506" t="s">
        <v>578</v>
      </c>
      <c r="C506">
        <v>2282600505</v>
      </c>
      <c r="D506" t="s">
        <v>58</v>
      </c>
      <c r="E506" s="2">
        <v>0</v>
      </c>
      <c r="F506" s="1">
        <v>46394</v>
      </c>
      <c r="G506" s="1"/>
      <c r="H506" s="1">
        <v>0</v>
      </c>
      <c r="I506" s="1">
        <v>46414</v>
      </c>
      <c r="J506">
        <v>46230</v>
      </c>
      <c r="K506" s="1"/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>
        <v>28.87</v>
      </c>
      <c r="BF506" s="3" t="str">
        <f>+IF(AVANCE[[#This Row],[% AVANCE]]=100%,"MODULO TERMINADO",IF(AVANCE[[#This Row],[FECHA INICIO REAL]]="","MODULO NO INICIADO","PENDIENTE"))</f>
        <v>MODULO NO INICIADO</v>
      </c>
      <c r="BG506" s="3">
        <f>+IF(AVANCE[[#This Row],[VENTANAS]]=8.10810810810811%,100%,AVANCE[[#This Row],[VENTANAS]])</f>
        <v>0</v>
      </c>
      <c r="BH506" s="3">
        <f>+IF(AVANCE[[#This Row],[PISO]]=N$2,100%,AVANCE[[#This Row],[PISO]])</f>
        <v>0</v>
      </c>
      <c r="BI506" s="3">
        <f>+IF(AVANCE[[#This Row],[TABIQUES]]=O$2,100%,AVANCE[[#This Row],[TABIQUES]])</f>
        <v>0</v>
      </c>
      <c r="BJ506" s="3">
        <f>+IF(AVANCE[[#This Row],[MUROS]]=P$2,100%,AVANCE[[#This Row],[MUROS]])</f>
        <v>0</v>
      </c>
      <c r="BK506" s="3">
        <f>+IF(AVANCE[[#This Row],[CIELO]]=Q$2,100%,AVANCE[[#This Row],[CIELO]])</f>
        <v>0</v>
      </c>
      <c r="BL506" s="3">
        <f>+IF(AVANCE[[#This Row],[BALCÓN]]=R$2,100%,AVANCE[[#This Row],[BALCÓN]])</f>
        <v>0</v>
      </c>
      <c r="BM506" s="3">
        <f>+IF(AVANCE[[#This Row],[RED ALCANTARILLADO]]=U$2,100%,AVANCE[[#This Row],[RED ALCANTARILLADO]])</f>
        <v>0</v>
      </c>
      <c r="BN506" s="3">
        <f>+IF(AVANCE[[#This Row],[RED DE AGUA]]=V$2,100%,AVANCE[[#This Row],[RED DE AGUA]])</f>
        <v>0</v>
      </c>
      <c r="BO506" s="3">
        <f>+IF(AVANCE[[#This Row],[VENTILACIONES]]=W$2,100%,AVANCE[[#This Row],[VENTILACIONES]])</f>
        <v>0</v>
      </c>
      <c r="BP506" s="3">
        <f>+IF(AVANCE[[#This Row],[TINA]]=X$2,100%,AVANCE[[#This Row],[TINA]])</f>
        <v>0</v>
      </c>
      <c r="BQ506" s="3">
        <f>+IF(AVANCE[[#This Row],[WC]]=Y$2,100%,AVANCE[[#This Row],[WC]])</f>
        <v>0</v>
      </c>
      <c r="BR506" s="3">
        <f>+IF(AVANCE[[#This Row],[LAVAMANOS / LAVAPLATOS / LAVADERO]]=Z$2,100%,AVANCE[[#This Row],[LAVAMANOS / LAVAPLATOS / LAVADERO]])</f>
        <v>0</v>
      </c>
      <c r="BS506" s="3">
        <f>+IF(AVANCE[[#This Row],[CANALIZACIÓN]]=AC$2,100%,AVANCE[[#This Row],[CANALIZACIÓN]])</f>
        <v>0</v>
      </c>
      <c r="BT506" s="3">
        <f>+IF(AVANCE[[#This Row],[CABLEADO]]=AD$2,100%,AVANCE[[#This Row],[CABLEADO]])</f>
        <v>0</v>
      </c>
      <c r="BU506" s="3">
        <f>+IF(AVANCE[[#This Row],[ARTEFACTOS]]=AE$2,100%,AVANCE[[#This Row],[ARTEFACTOS]])</f>
        <v>0</v>
      </c>
      <c r="BV506" s="3">
        <f>+IF(AVANCE[[#This Row],[TABLERO]]=AF$2,100%,AVANCE[[#This Row],[TABLERO]])</f>
        <v>0</v>
      </c>
      <c r="BW506" s="3">
        <f>+IF(AVANCE[[#This Row],[CAJA PAU]]=AG$2,100%,AVANCE[[#This Row],[CAJA PAU]])</f>
        <v>0</v>
      </c>
      <c r="BX506" s="3">
        <f>+IF(AVANCE[[#This Row],[INSTALACION VINILICO]]=AJ$2,100%,AVANCE[[#This Row],[INSTALACION VINILICO]])</f>
        <v>0</v>
      </c>
      <c r="BY506" s="3">
        <f>+IF(AVANCE[[#This Row],[OSB CUBIERTA]]=AK$2,100%,AVANCE[[#This Row],[OSB CUBIERTA]])</f>
        <v>0</v>
      </c>
      <c r="BZ506" s="3">
        <f>+IF(AVANCE[[#This Row],[BARANDA BALCON]]=AL$2,100%,AVANCE[[#This Row],[BARANDA BALCON]])</f>
        <v>0</v>
      </c>
      <c r="CA506" s="3">
        <f>+IF(AVANCE[[#This Row],[OSB EXTERIOR]]=AM$2,100%,AVANCE[[#This Row],[OSB EXTERIOR]])</f>
        <v>0</v>
      </c>
      <c r="CB506" s="3">
        <f>+IF(AVANCE[[#This Row],[SMART PANEL]]=AN$2,100%,AVANCE[[#This Row],[SMART PANEL]])</f>
        <v>0</v>
      </c>
      <c r="CC506" s="3">
        <f>+IF(AVANCE[[#This Row],[PINTURA EXTERIOR]]=AO$2,100%,AVANCE[[#This Row],[PINTURA EXTERIOR]])</f>
        <v>0</v>
      </c>
      <c r="CD506" s="3">
        <f>+IF(AVANCE[[#This Row],[ZOCALOS LOGIA]]=AP$2,100%,AVANCE[[#This Row],[ZOCALOS LOGIA]])</f>
        <v>0</v>
      </c>
      <c r="CE506" s="3">
        <f>+IF(AVANCE[[#This Row],[MOLDURAS]]=AQ$2,100%,AVANCE[[#This Row],[MOLDURAS]])</f>
        <v>0</v>
      </c>
      <c r="CF506" s="3">
        <f>+IF(AVANCE[[#This Row],[PILASTREO]]=AR$2,100%,AVANCE[[#This Row],[PILASTREO]])</f>
        <v>0</v>
      </c>
      <c r="CG506" s="3">
        <f>+IF(AVANCE[[#This Row],[CELOSIAS]]=AS$2,100%,AVANCE[[#This Row],[CELOSIAS]])</f>
        <v>0</v>
      </c>
      <c r="CH506" s="3">
        <f>+IF(AVANCE[[#This Row],[VENTANAS]]=AT$2,100%,AVANCE[[#This Row],[VENTANAS]])</f>
        <v>0</v>
      </c>
      <c r="CI506" s="3">
        <f>+IF(AVANCE[[#This Row],[PUERTAS ACCESO - LOGIA - BANO]]=AU$2,100%,AVANCE[[#This Row],[PUERTAS ACCESO - LOGIA - BANO]])</f>
        <v>0</v>
      </c>
      <c r="CJ506" s="3">
        <f>+IF(AVANCE[[#This Row],[CERRADURAS]]=AV$2,100%,AVANCE[[#This Row],[CERRADURAS]])</f>
        <v>0</v>
      </c>
      <c r="CK506" s="3">
        <f>+IF(AVANCE[[#This Row],[REVESTIMIENTO INTERIOR ZONA SECA]]=AW$2,100%,AVANCE[[#This Row],[REVESTIMIENTO INTERIOR ZONA SECA]])</f>
        <v>0</v>
      </c>
      <c r="CL506" s="3">
        <f>+IF(AVANCE[[#This Row],[REVESTIMIENTO INTERIOR ZONAS HUMEDAS]]=AX$2,100%,AVANCE[[#This Row],[REVESTIMIENTO INTERIOR ZONAS HUMEDAS]])</f>
        <v>0</v>
      </c>
      <c r="CM506" s="3">
        <f>+IF(AVANCE[[#This Row],[MEMBRANA CIELO]]=AY$2,100%,AVANCE[[#This Row],[MEMBRANA CIELO]])</f>
        <v>0</v>
      </c>
      <c r="CN506" s="3">
        <f>+IF(AVANCE[[#This Row],[LIMPIEZA FINAL]]=AZ$2,100%,AVANCE[[#This Row],[LIMPIEZA FINAL]])</f>
        <v>0</v>
      </c>
      <c r="CO506" s="3">
        <f>+IF(AVANCE[[#This Row],[PUERTAS DORMITORIO]]=BA$2,100%,AVANCE[[#This Row],[PUERTAS DORMITORIO]])</f>
        <v>0</v>
      </c>
      <c r="CP506" s="3">
        <f>+IF(AVANCE[[#This Row],[REVESTIMIENTO INTERIOR BANO]]=BB$2,100%,AVANCE[[#This Row],[REVESTIMIENTO INTERIOR BANO]])</f>
        <v>0</v>
      </c>
      <c r="CQ506" s="3">
        <f>+IF(AVANCE[[#This Row],[MUEBLE LAVAPLATOS]]=BC$2,100%,AVANCE[[#This Row],[MUEBLE LAVAPLATOS]])</f>
        <v>0</v>
      </c>
      <c r="CR506" s="3">
        <f>+IF(AVANCE[[#This Row],[IMPERMEABILIZACION BANO - COCINA LOGIA]]=BD$2,100%,AVANCE[[#This Row],[IMPERMEABILIZACION BANO - COCINA LOGIA]])</f>
        <v>0</v>
      </c>
      <c r="CS506" s="40">
        <f ca="1">+IF(AVANCE[[#This Row],[ESTADO MODULO]]="PENDIENTE",(TODAY()-AVANCE[[#This Row],[FECHA TERMINO  PLANIFICADO]]),0)</f>
        <v>0</v>
      </c>
      <c r="CT506" s="41" t="str" cm="1">
        <f t="array" ref="CT506">_xlfn.TEXTJOIN(" | ",TRUE,IF(SUMPRODUCT((BG506:CR506&lt;1)*(PARTIDAS!$I$2:$AT$2="OBRA GRUESA"))&gt;0,"OBRA GRUESA: "&amp;_xlfn.TEXTJOIN(", ",TRUE,IF((BG506:CR506&lt;1)*(PARTIDAS!$I$2:$AT$2="OBRA GRUESA"),PARTIDAS!$I$1:$AT$1,"")),""),IF(SUMPRODUCT((BG506:CR506&lt;1)*(PARTIDAS!$I$2:$AT$2="SANITARIOS"))&gt;0,"SANITARIOS: "&amp;_xlfn.TEXTJOIN(", ",TRUE,IF((BG506:CR506&lt;1)*(PARTIDAS!$I$2:$AT$2="SANITARIOS"),PARTIDAS!$I$1:$AT$1,"")),""),IF(SUMPRODUCT((BG506:CR506&lt;1)*(PARTIDAS!$I$2:$AT$2="ELÉCTRICO"))&gt;0,"ELÉCTRICO: "&amp;_xlfn.TEXTJOIN(", ",TRUE,IF((BG506:CR506&lt;1)*(PARTIDAS!$I$2:$AT$2="ELÉCTRICO"),PARTIDAS!$I$1:$AT$1,"")),""),IF(SUMPRODUCT((BG506:CR506&lt;1)*(PARTIDAS!$I$2:$AT$2="TERMINACIONES"))&gt;0,"TERMINACIONES: "&amp;_xlfn.TEXTJOIN(", ",TRUE,IF((BG506:CR506&lt;1)*(PARTIDAS!$I$2:$AT$2="TERMINACIONES"),PARTIDAS!$I$1:$AT$1,"")),""))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6" s="43" t="str" cm="1">
        <f t="array" ref="CU506">_xlfn.TEXTJOIN(", ",TRUE,IF(SUMPRODUCT((BG506:CR506&lt;1)*(PARTIDAS!$I$2:$AT$2="OBRA GRUESA"))&gt;0,"OBRA GRUESA",""),IF(SUMPRODUCT((BG506:CR506&lt;1)*(PARTIDAS!$I$2:$AT$2="SANITARIOS"))&gt;0,"SANITARIOS",""),IF(SUMPRODUCT((BG506:CR506&lt;1)*(PARTIDAS!$I$2:$AT$2="ELÉCTRICO"))&gt;0,"ELÉCTRICO",""),IF(SUMPRODUCT((BG506:CR506&lt;1)*(PARTIDAS!$I$2:$AT$2="TERMINACIONES"))&gt;0,"TERMINACIONES",""))</f>
        <v>OBRA GRUESA, SANITARIOS, ELÉCTRICO, TERMINACIONES</v>
      </c>
      <c r="CV506" s="44" cm="1">
        <f t="array" ref="CV506">SUMPRODUCT(--(BG506:CR506&lt;1))</f>
        <v>38</v>
      </c>
    </row>
    <row r="507" spans="1:100" hidden="1" x14ac:dyDescent="0.25">
      <c r="A507" t="s">
        <v>553</v>
      </c>
      <c r="B507" t="s">
        <v>579</v>
      </c>
      <c r="C507">
        <v>2302600506</v>
      </c>
      <c r="D507" t="s">
        <v>60</v>
      </c>
      <c r="E507" s="2">
        <v>0</v>
      </c>
      <c r="F507" s="1">
        <v>46395</v>
      </c>
      <c r="G507" s="1"/>
      <c r="H507" s="1">
        <v>0</v>
      </c>
      <c r="I507" s="1">
        <v>46425</v>
      </c>
      <c r="J507">
        <v>46230</v>
      </c>
      <c r="K507" s="1"/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>
        <v>31.32</v>
      </c>
      <c r="BF507" s="3" t="str">
        <f>+IF(AVANCE[[#This Row],[% AVANCE]]=100%,"MODULO TERMINADO",IF(AVANCE[[#This Row],[FECHA INICIO REAL]]="","MODULO NO INICIADO","PENDIENTE"))</f>
        <v>MODULO NO INICIADO</v>
      </c>
      <c r="BG507" s="3">
        <f>+IF(AVANCE[[#This Row],[VENTANAS]]=8.10810810810811%,100%,AVANCE[[#This Row],[VENTANAS]])</f>
        <v>0</v>
      </c>
      <c r="BH507" s="3">
        <f>+IF(AVANCE[[#This Row],[PISO]]=N$2,100%,AVANCE[[#This Row],[PISO]])</f>
        <v>0</v>
      </c>
      <c r="BI507" s="3">
        <f>+IF(AVANCE[[#This Row],[TABIQUES]]=O$2,100%,AVANCE[[#This Row],[TABIQUES]])</f>
        <v>0</v>
      </c>
      <c r="BJ507" s="3">
        <f>+IF(AVANCE[[#This Row],[MUROS]]=P$2,100%,AVANCE[[#This Row],[MUROS]])</f>
        <v>0</v>
      </c>
      <c r="BK507" s="3">
        <f>+IF(AVANCE[[#This Row],[CIELO]]=Q$2,100%,AVANCE[[#This Row],[CIELO]])</f>
        <v>0</v>
      </c>
      <c r="BL507" s="3">
        <f>+IF(AVANCE[[#This Row],[BALCÓN]]=R$2,100%,AVANCE[[#This Row],[BALCÓN]])</f>
        <v>0</v>
      </c>
      <c r="BM507" s="3">
        <f>+IF(AVANCE[[#This Row],[RED ALCANTARILLADO]]=U$2,100%,AVANCE[[#This Row],[RED ALCANTARILLADO]])</f>
        <v>0</v>
      </c>
      <c r="BN507" s="3">
        <f>+IF(AVANCE[[#This Row],[RED DE AGUA]]=V$2,100%,AVANCE[[#This Row],[RED DE AGUA]])</f>
        <v>0</v>
      </c>
      <c r="BO507" s="3">
        <f>+IF(AVANCE[[#This Row],[VENTILACIONES]]=W$2,100%,AVANCE[[#This Row],[VENTILACIONES]])</f>
        <v>0</v>
      </c>
      <c r="BP507" s="3">
        <f>+IF(AVANCE[[#This Row],[TINA]]=X$2,100%,AVANCE[[#This Row],[TINA]])</f>
        <v>0</v>
      </c>
      <c r="BQ507" s="3">
        <f>+IF(AVANCE[[#This Row],[WC]]=Y$2,100%,AVANCE[[#This Row],[WC]])</f>
        <v>0</v>
      </c>
      <c r="BR507" s="3">
        <f>+IF(AVANCE[[#This Row],[LAVAMANOS / LAVAPLATOS / LAVADERO]]=Z$2,100%,AVANCE[[#This Row],[LAVAMANOS / LAVAPLATOS / LAVADERO]])</f>
        <v>0</v>
      </c>
      <c r="BS507" s="3">
        <f>+IF(AVANCE[[#This Row],[CANALIZACIÓN]]=AC$2,100%,AVANCE[[#This Row],[CANALIZACIÓN]])</f>
        <v>0</v>
      </c>
      <c r="BT507" s="3">
        <f>+IF(AVANCE[[#This Row],[CABLEADO]]=AD$2,100%,AVANCE[[#This Row],[CABLEADO]])</f>
        <v>0</v>
      </c>
      <c r="BU507" s="3">
        <f>+IF(AVANCE[[#This Row],[ARTEFACTOS]]=AE$2,100%,AVANCE[[#This Row],[ARTEFACTOS]])</f>
        <v>0</v>
      </c>
      <c r="BV507" s="3">
        <f>+IF(AVANCE[[#This Row],[TABLERO]]=AF$2,100%,AVANCE[[#This Row],[TABLERO]])</f>
        <v>0</v>
      </c>
      <c r="BW507" s="3">
        <f>+IF(AVANCE[[#This Row],[CAJA PAU]]=AG$2,100%,AVANCE[[#This Row],[CAJA PAU]])</f>
        <v>0</v>
      </c>
      <c r="BX507" s="3">
        <f>+IF(AVANCE[[#This Row],[INSTALACION VINILICO]]=AJ$2,100%,AVANCE[[#This Row],[INSTALACION VINILICO]])</f>
        <v>0</v>
      </c>
      <c r="BY507" s="3">
        <f>+IF(AVANCE[[#This Row],[OSB CUBIERTA]]=AK$2,100%,AVANCE[[#This Row],[OSB CUBIERTA]])</f>
        <v>0</v>
      </c>
      <c r="BZ507" s="3">
        <f>+IF(AVANCE[[#This Row],[BARANDA BALCON]]=AL$2,100%,AVANCE[[#This Row],[BARANDA BALCON]])</f>
        <v>0</v>
      </c>
      <c r="CA507" s="3">
        <f>+IF(AVANCE[[#This Row],[OSB EXTERIOR]]=AM$2,100%,AVANCE[[#This Row],[OSB EXTERIOR]])</f>
        <v>0</v>
      </c>
      <c r="CB507" s="3">
        <f>+IF(AVANCE[[#This Row],[SMART PANEL]]=AN$2,100%,AVANCE[[#This Row],[SMART PANEL]])</f>
        <v>0</v>
      </c>
      <c r="CC507" s="3">
        <f>+IF(AVANCE[[#This Row],[PINTURA EXTERIOR]]=AO$2,100%,AVANCE[[#This Row],[PINTURA EXTERIOR]])</f>
        <v>0</v>
      </c>
      <c r="CD507" s="3">
        <f>+IF(AVANCE[[#This Row],[ZOCALOS LOGIA]]=AP$2,100%,AVANCE[[#This Row],[ZOCALOS LOGIA]])</f>
        <v>0</v>
      </c>
      <c r="CE507" s="3">
        <f>+IF(AVANCE[[#This Row],[MOLDURAS]]=AQ$2,100%,AVANCE[[#This Row],[MOLDURAS]])</f>
        <v>0</v>
      </c>
      <c r="CF507" s="3">
        <f>+IF(AVANCE[[#This Row],[PILASTREO]]=AR$2,100%,AVANCE[[#This Row],[PILASTREO]])</f>
        <v>0</v>
      </c>
      <c r="CG507" s="3">
        <f>+IF(AVANCE[[#This Row],[CELOSIAS]]=AS$2,100%,AVANCE[[#This Row],[CELOSIAS]])</f>
        <v>0</v>
      </c>
      <c r="CH507" s="3">
        <f>+IF(AVANCE[[#This Row],[VENTANAS]]=AT$2,100%,AVANCE[[#This Row],[VENTANAS]])</f>
        <v>0</v>
      </c>
      <c r="CI507" s="3">
        <f>+IF(AVANCE[[#This Row],[PUERTAS ACCESO - LOGIA - BANO]]=AU$2,100%,AVANCE[[#This Row],[PUERTAS ACCESO - LOGIA - BANO]])</f>
        <v>0</v>
      </c>
      <c r="CJ507" s="3">
        <f>+IF(AVANCE[[#This Row],[CERRADURAS]]=AV$2,100%,AVANCE[[#This Row],[CERRADURAS]])</f>
        <v>0</v>
      </c>
      <c r="CK507" s="3">
        <f>+IF(AVANCE[[#This Row],[REVESTIMIENTO INTERIOR ZONA SECA]]=AW$2,100%,AVANCE[[#This Row],[REVESTIMIENTO INTERIOR ZONA SECA]])</f>
        <v>0</v>
      </c>
      <c r="CL507" s="3">
        <f>+IF(AVANCE[[#This Row],[REVESTIMIENTO INTERIOR ZONAS HUMEDAS]]=AX$2,100%,AVANCE[[#This Row],[REVESTIMIENTO INTERIOR ZONAS HUMEDAS]])</f>
        <v>0</v>
      </c>
      <c r="CM507" s="3">
        <f>+IF(AVANCE[[#This Row],[MEMBRANA CIELO]]=AY$2,100%,AVANCE[[#This Row],[MEMBRANA CIELO]])</f>
        <v>0</v>
      </c>
      <c r="CN507" s="3">
        <f>+IF(AVANCE[[#This Row],[LIMPIEZA FINAL]]=AZ$2,100%,AVANCE[[#This Row],[LIMPIEZA FINAL]])</f>
        <v>0</v>
      </c>
      <c r="CO507" s="3">
        <f>+IF(AVANCE[[#This Row],[PUERTAS DORMITORIO]]=BA$2,100%,AVANCE[[#This Row],[PUERTAS DORMITORIO]])</f>
        <v>0</v>
      </c>
      <c r="CP507" s="3">
        <f>+IF(AVANCE[[#This Row],[REVESTIMIENTO INTERIOR BANO]]=BB$2,100%,AVANCE[[#This Row],[REVESTIMIENTO INTERIOR BANO]])</f>
        <v>0</v>
      </c>
      <c r="CQ507" s="3">
        <f>+IF(AVANCE[[#This Row],[MUEBLE LAVAPLATOS]]=BC$2,100%,AVANCE[[#This Row],[MUEBLE LAVAPLATOS]])</f>
        <v>0</v>
      </c>
      <c r="CR507" s="3">
        <f>+IF(AVANCE[[#This Row],[IMPERMEABILIZACION BANO - COCINA LOGIA]]=BD$2,100%,AVANCE[[#This Row],[IMPERMEABILIZACION BANO - COCINA LOGIA]])</f>
        <v>0</v>
      </c>
      <c r="CS507" s="40">
        <f ca="1">+IF(AVANCE[[#This Row],[ESTADO MODULO]]="PENDIENTE",(TODAY()-AVANCE[[#This Row],[FECHA TERMINO  PLANIFICADO]]),0)</f>
        <v>0</v>
      </c>
      <c r="CT507" s="41" t="str" cm="1">
        <f t="array" ref="CT507">_xlfn.TEXTJOIN(" | ",TRUE,IF(SUMPRODUCT((BG507:CR507&lt;1)*(PARTIDAS!$I$2:$AT$2="OBRA GRUESA"))&gt;0,"OBRA GRUESA: "&amp;_xlfn.TEXTJOIN(", ",TRUE,IF((BG507:CR507&lt;1)*(PARTIDAS!$I$2:$AT$2="OBRA GRUESA"),PARTIDAS!$I$1:$AT$1,"")),""),IF(SUMPRODUCT((BG507:CR507&lt;1)*(PARTIDAS!$I$2:$AT$2="SANITARIOS"))&gt;0,"SANITARIOS: "&amp;_xlfn.TEXTJOIN(", ",TRUE,IF((BG507:CR507&lt;1)*(PARTIDAS!$I$2:$AT$2="SANITARIOS"),PARTIDAS!$I$1:$AT$1,"")),""),IF(SUMPRODUCT((BG507:CR507&lt;1)*(PARTIDAS!$I$2:$AT$2="ELÉCTRICO"))&gt;0,"ELÉCTRICO: "&amp;_xlfn.TEXTJOIN(", ",TRUE,IF((BG507:CR507&lt;1)*(PARTIDAS!$I$2:$AT$2="ELÉCTRICO"),PARTIDAS!$I$1:$AT$1,"")),""),IF(SUMPRODUCT((BG507:CR507&lt;1)*(PARTIDAS!$I$2:$AT$2="TERMINACIONES"))&gt;0,"TERMINACIONES: "&amp;_xlfn.TEXTJOIN(", ",TRUE,IF((BG507:CR507&lt;1)*(PARTIDAS!$I$2:$AT$2="TERMINACIONES"),PARTIDAS!$I$1:$AT$1,"")),""))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7" s="43" t="str" cm="1">
        <f t="array" ref="CU507">_xlfn.TEXTJOIN(", ",TRUE,IF(SUMPRODUCT((BG507:CR507&lt;1)*(PARTIDAS!$I$2:$AT$2="OBRA GRUESA"))&gt;0,"OBRA GRUESA",""),IF(SUMPRODUCT((BG507:CR507&lt;1)*(PARTIDAS!$I$2:$AT$2="SANITARIOS"))&gt;0,"SANITARIOS",""),IF(SUMPRODUCT((BG507:CR507&lt;1)*(PARTIDAS!$I$2:$AT$2="ELÉCTRICO"))&gt;0,"ELÉCTRICO",""),IF(SUMPRODUCT((BG507:CR507&lt;1)*(PARTIDAS!$I$2:$AT$2="TERMINACIONES"))&gt;0,"TERMINACIONES",""))</f>
        <v>OBRA GRUESA, SANITARIOS, ELÉCTRICO, TERMINACIONES</v>
      </c>
      <c r="CV507" s="44" cm="1">
        <f t="array" ref="CV507">SUMPRODUCT(--(BG507:CR507&lt;1))</f>
        <v>38</v>
      </c>
    </row>
    <row r="508" spans="1:100" hidden="1" x14ac:dyDescent="0.25">
      <c r="A508" t="s">
        <v>553</v>
      </c>
      <c r="B508" t="s">
        <v>580</v>
      </c>
      <c r="C508">
        <v>2302600507</v>
      </c>
      <c r="D508" t="s">
        <v>60</v>
      </c>
      <c r="E508" s="2">
        <v>0</v>
      </c>
      <c r="F508" s="1">
        <v>46395</v>
      </c>
      <c r="G508" s="1"/>
      <c r="H508" s="1">
        <v>0</v>
      </c>
      <c r="I508" s="1">
        <v>46425</v>
      </c>
      <c r="J508">
        <v>46230</v>
      </c>
      <c r="K508" s="1"/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>
        <v>31.32</v>
      </c>
      <c r="BF508" s="3" t="str">
        <f>+IF(AVANCE[[#This Row],[% AVANCE]]=100%,"MODULO TERMINADO",IF(AVANCE[[#This Row],[FECHA INICIO REAL]]="","MODULO NO INICIADO","PENDIENTE"))</f>
        <v>MODULO NO INICIADO</v>
      </c>
      <c r="BG508" s="3">
        <f>+IF(AVANCE[[#This Row],[VENTANAS]]=8.10810810810811%,100%,AVANCE[[#This Row],[VENTANAS]])</f>
        <v>0</v>
      </c>
      <c r="BH508" s="3">
        <f>+IF(AVANCE[[#This Row],[PISO]]=N$2,100%,AVANCE[[#This Row],[PISO]])</f>
        <v>0</v>
      </c>
      <c r="BI508" s="3">
        <f>+IF(AVANCE[[#This Row],[TABIQUES]]=O$2,100%,AVANCE[[#This Row],[TABIQUES]])</f>
        <v>0</v>
      </c>
      <c r="BJ508" s="3">
        <f>+IF(AVANCE[[#This Row],[MUROS]]=P$2,100%,AVANCE[[#This Row],[MUROS]])</f>
        <v>0</v>
      </c>
      <c r="BK508" s="3">
        <f>+IF(AVANCE[[#This Row],[CIELO]]=Q$2,100%,AVANCE[[#This Row],[CIELO]])</f>
        <v>0</v>
      </c>
      <c r="BL508" s="3">
        <f>+IF(AVANCE[[#This Row],[BALCÓN]]=R$2,100%,AVANCE[[#This Row],[BALCÓN]])</f>
        <v>0</v>
      </c>
      <c r="BM508" s="3">
        <f>+IF(AVANCE[[#This Row],[RED ALCANTARILLADO]]=U$2,100%,AVANCE[[#This Row],[RED ALCANTARILLADO]])</f>
        <v>0</v>
      </c>
      <c r="BN508" s="3">
        <f>+IF(AVANCE[[#This Row],[RED DE AGUA]]=V$2,100%,AVANCE[[#This Row],[RED DE AGUA]])</f>
        <v>0</v>
      </c>
      <c r="BO508" s="3">
        <f>+IF(AVANCE[[#This Row],[VENTILACIONES]]=W$2,100%,AVANCE[[#This Row],[VENTILACIONES]])</f>
        <v>0</v>
      </c>
      <c r="BP508" s="3">
        <f>+IF(AVANCE[[#This Row],[TINA]]=X$2,100%,AVANCE[[#This Row],[TINA]])</f>
        <v>0</v>
      </c>
      <c r="BQ508" s="3">
        <f>+IF(AVANCE[[#This Row],[WC]]=Y$2,100%,AVANCE[[#This Row],[WC]])</f>
        <v>0</v>
      </c>
      <c r="BR508" s="3">
        <f>+IF(AVANCE[[#This Row],[LAVAMANOS / LAVAPLATOS / LAVADERO]]=Z$2,100%,AVANCE[[#This Row],[LAVAMANOS / LAVAPLATOS / LAVADERO]])</f>
        <v>0</v>
      </c>
      <c r="BS508" s="3">
        <f>+IF(AVANCE[[#This Row],[CANALIZACIÓN]]=AC$2,100%,AVANCE[[#This Row],[CANALIZACIÓN]])</f>
        <v>0</v>
      </c>
      <c r="BT508" s="3">
        <f>+IF(AVANCE[[#This Row],[CABLEADO]]=AD$2,100%,AVANCE[[#This Row],[CABLEADO]])</f>
        <v>0</v>
      </c>
      <c r="BU508" s="3">
        <f>+IF(AVANCE[[#This Row],[ARTEFACTOS]]=AE$2,100%,AVANCE[[#This Row],[ARTEFACTOS]])</f>
        <v>0</v>
      </c>
      <c r="BV508" s="3">
        <f>+IF(AVANCE[[#This Row],[TABLERO]]=AF$2,100%,AVANCE[[#This Row],[TABLERO]])</f>
        <v>0</v>
      </c>
      <c r="BW508" s="3">
        <f>+IF(AVANCE[[#This Row],[CAJA PAU]]=AG$2,100%,AVANCE[[#This Row],[CAJA PAU]])</f>
        <v>0</v>
      </c>
      <c r="BX508" s="3">
        <f>+IF(AVANCE[[#This Row],[INSTALACION VINILICO]]=AJ$2,100%,AVANCE[[#This Row],[INSTALACION VINILICO]])</f>
        <v>0</v>
      </c>
      <c r="BY508" s="3">
        <f>+IF(AVANCE[[#This Row],[OSB CUBIERTA]]=AK$2,100%,AVANCE[[#This Row],[OSB CUBIERTA]])</f>
        <v>0</v>
      </c>
      <c r="BZ508" s="3">
        <f>+IF(AVANCE[[#This Row],[BARANDA BALCON]]=AL$2,100%,AVANCE[[#This Row],[BARANDA BALCON]])</f>
        <v>0</v>
      </c>
      <c r="CA508" s="3">
        <f>+IF(AVANCE[[#This Row],[OSB EXTERIOR]]=AM$2,100%,AVANCE[[#This Row],[OSB EXTERIOR]])</f>
        <v>0</v>
      </c>
      <c r="CB508" s="3">
        <f>+IF(AVANCE[[#This Row],[SMART PANEL]]=AN$2,100%,AVANCE[[#This Row],[SMART PANEL]])</f>
        <v>0</v>
      </c>
      <c r="CC508" s="3">
        <f>+IF(AVANCE[[#This Row],[PINTURA EXTERIOR]]=AO$2,100%,AVANCE[[#This Row],[PINTURA EXTERIOR]])</f>
        <v>0</v>
      </c>
      <c r="CD508" s="3">
        <f>+IF(AVANCE[[#This Row],[ZOCALOS LOGIA]]=AP$2,100%,AVANCE[[#This Row],[ZOCALOS LOGIA]])</f>
        <v>0</v>
      </c>
      <c r="CE508" s="3">
        <f>+IF(AVANCE[[#This Row],[MOLDURAS]]=AQ$2,100%,AVANCE[[#This Row],[MOLDURAS]])</f>
        <v>0</v>
      </c>
      <c r="CF508" s="3">
        <f>+IF(AVANCE[[#This Row],[PILASTREO]]=AR$2,100%,AVANCE[[#This Row],[PILASTREO]])</f>
        <v>0</v>
      </c>
      <c r="CG508" s="3">
        <f>+IF(AVANCE[[#This Row],[CELOSIAS]]=AS$2,100%,AVANCE[[#This Row],[CELOSIAS]])</f>
        <v>0</v>
      </c>
      <c r="CH508" s="3">
        <f>+IF(AVANCE[[#This Row],[VENTANAS]]=AT$2,100%,AVANCE[[#This Row],[VENTANAS]])</f>
        <v>0</v>
      </c>
      <c r="CI508" s="3">
        <f>+IF(AVANCE[[#This Row],[PUERTAS ACCESO - LOGIA - BANO]]=AU$2,100%,AVANCE[[#This Row],[PUERTAS ACCESO - LOGIA - BANO]])</f>
        <v>0</v>
      </c>
      <c r="CJ508" s="3">
        <f>+IF(AVANCE[[#This Row],[CERRADURAS]]=AV$2,100%,AVANCE[[#This Row],[CERRADURAS]])</f>
        <v>0</v>
      </c>
      <c r="CK508" s="3">
        <f>+IF(AVANCE[[#This Row],[REVESTIMIENTO INTERIOR ZONA SECA]]=AW$2,100%,AVANCE[[#This Row],[REVESTIMIENTO INTERIOR ZONA SECA]])</f>
        <v>0</v>
      </c>
      <c r="CL508" s="3">
        <f>+IF(AVANCE[[#This Row],[REVESTIMIENTO INTERIOR ZONAS HUMEDAS]]=AX$2,100%,AVANCE[[#This Row],[REVESTIMIENTO INTERIOR ZONAS HUMEDAS]])</f>
        <v>0</v>
      </c>
      <c r="CM508" s="3">
        <f>+IF(AVANCE[[#This Row],[MEMBRANA CIELO]]=AY$2,100%,AVANCE[[#This Row],[MEMBRANA CIELO]])</f>
        <v>0</v>
      </c>
      <c r="CN508" s="3">
        <f>+IF(AVANCE[[#This Row],[LIMPIEZA FINAL]]=AZ$2,100%,AVANCE[[#This Row],[LIMPIEZA FINAL]])</f>
        <v>0</v>
      </c>
      <c r="CO508" s="3">
        <f>+IF(AVANCE[[#This Row],[PUERTAS DORMITORIO]]=BA$2,100%,AVANCE[[#This Row],[PUERTAS DORMITORIO]])</f>
        <v>0</v>
      </c>
      <c r="CP508" s="3">
        <f>+IF(AVANCE[[#This Row],[REVESTIMIENTO INTERIOR BANO]]=BB$2,100%,AVANCE[[#This Row],[REVESTIMIENTO INTERIOR BANO]])</f>
        <v>0</v>
      </c>
      <c r="CQ508" s="3">
        <f>+IF(AVANCE[[#This Row],[MUEBLE LAVAPLATOS]]=BC$2,100%,AVANCE[[#This Row],[MUEBLE LAVAPLATOS]])</f>
        <v>0</v>
      </c>
      <c r="CR508" s="3">
        <f>+IF(AVANCE[[#This Row],[IMPERMEABILIZACION BANO - COCINA LOGIA]]=BD$2,100%,AVANCE[[#This Row],[IMPERMEABILIZACION BANO - COCINA LOGIA]])</f>
        <v>0</v>
      </c>
      <c r="CS508" s="40">
        <f ca="1">+IF(AVANCE[[#This Row],[ESTADO MODULO]]="PENDIENTE",(TODAY()-AVANCE[[#This Row],[FECHA TERMINO  PLANIFICADO]]),0)</f>
        <v>0</v>
      </c>
      <c r="CT508" s="41" t="str" cm="1">
        <f t="array" ref="CT508">_xlfn.TEXTJOIN(" | ",TRUE,IF(SUMPRODUCT((BG508:CR508&lt;1)*(PARTIDAS!$I$2:$AT$2="OBRA GRUESA"))&gt;0,"OBRA GRUESA: "&amp;_xlfn.TEXTJOIN(", ",TRUE,IF((BG508:CR508&lt;1)*(PARTIDAS!$I$2:$AT$2="OBRA GRUESA"),PARTIDAS!$I$1:$AT$1,"")),""),IF(SUMPRODUCT((BG508:CR508&lt;1)*(PARTIDAS!$I$2:$AT$2="SANITARIOS"))&gt;0,"SANITARIOS: "&amp;_xlfn.TEXTJOIN(", ",TRUE,IF((BG508:CR508&lt;1)*(PARTIDAS!$I$2:$AT$2="SANITARIOS"),PARTIDAS!$I$1:$AT$1,"")),""),IF(SUMPRODUCT((BG508:CR508&lt;1)*(PARTIDAS!$I$2:$AT$2="ELÉCTRICO"))&gt;0,"ELÉCTRICO: "&amp;_xlfn.TEXTJOIN(", ",TRUE,IF((BG508:CR508&lt;1)*(PARTIDAS!$I$2:$AT$2="ELÉCTRICO"),PARTIDAS!$I$1:$AT$1,"")),""),IF(SUMPRODUCT((BG508:CR508&lt;1)*(PARTIDAS!$I$2:$AT$2="TERMINACIONES"))&gt;0,"TERMINACIONES: "&amp;_xlfn.TEXTJOIN(", ",TRUE,IF((BG508:CR508&lt;1)*(PARTIDAS!$I$2:$AT$2="TERMINACIONES"),PARTIDAS!$I$1:$AT$1,"")),""))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8" s="43" t="str" cm="1">
        <f t="array" ref="CU508">_xlfn.TEXTJOIN(", ",TRUE,IF(SUMPRODUCT((BG508:CR508&lt;1)*(PARTIDAS!$I$2:$AT$2="OBRA GRUESA"))&gt;0,"OBRA GRUESA",""),IF(SUMPRODUCT((BG508:CR508&lt;1)*(PARTIDAS!$I$2:$AT$2="SANITARIOS"))&gt;0,"SANITARIOS",""),IF(SUMPRODUCT((BG508:CR508&lt;1)*(PARTIDAS!$I$2:$AT$2="ELÉCTRICO"))&gt;0,"ELÉCTRICO",""),IF(SUMPRODUCT((BG508:CR508&lt;1)*(PARTIDAS!$I$2:$AT$2="TERMINACIONES"))&gt;0,"TERMINACIONES",""))</f>
        <v>OBRA GRUESA, SANITARIOS, ELÉCTRICO, TERMINACIONES</v>
      </c>
      <c r="CV508" s="44" cm="1">
        <f t="array" ref="CV508">SUMPRODUCT(--(BG508:CR508&lt;1))</f>
        <v>38</v>
      </c>
    </row>
    <row r="509" spans="1:100" hidden="1" x14ac:dyDescent="0.25">
      <c r="A509" t="s">
        <v>553</v>
      </c>
      <c r="B509" t="s">
        <v>581</v>
      </c>
      <c r="C509">
        <v>2282600508</v>
      </c>
      <c r="D509" t="s">
        <v>58</v>
      </c>
      <c r="E509" s="2">
        <v>0</v>
      </c>
      <c r="F509" s="1">
        <v>46395</v>
      </c>
      <c r="G509" s="1"/>
      <c r="H509" s="1">
        <v>0</v>
      </c>
      <c r="I509" s="1">
        <v>46415</v>
      </c>
      <c r="J509">
        <v>46230</v>
      </c>
      <c r="K509" s="1"/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>
        <v>28.87</v>
      </c>
      <c r="BF509" s="3" t="str">
        <f>+IF(AVANCE[[#This Row],[% AVANCE]]=100%,"MODULO TERMINADO",IF(AVANCE[[#This Row],[FECHA INICIO REAL]]="","MODULO NO INICIADO","PENDIENTE"))</f>
        <v>MODULO NO INICIADO</v>
      </c>
      <c r="BG509" s="3">
        <f>+IF(AVANCE[[#This Row],[VENTANAS]]=8.10810810810811%,100%,AVANCE[[#This Row],[VENTANAS]])</f>
        <v>0</v>
      </c>
      <c r="BH509" s="3">
        <f>+IF(AVANCE[[#This Row],[PISO]]=N$2,100%,AVANCE[[#This Row],[PISO]])</f>
        <v>0</v>
      </c>
      <c r="BI509" s="3">
        <f>+IF(AVANCE[[#This Row],[TABIQUES]]=O$2,100%,AVANCE[[#This Row],[TABIQUES]])</f>
        <v>0</v>
      </c>
      <c r="BJ509" s="3">
        <f>+IF(AVANCE[[#This Row],[MUROS]]=P$2,100%,AVANCE[[#This Row],[MUROS]])</f>
        <v>0</v>
      </c>
      <c r="BK509" s="3">
        <f>+IF(AVANCE[[#This Row],[CIELO]]=Q$2,100%,AVANCE[[#This Row],[CIELO]])</f>
        <v>0</v>
      </c>
      <c r="BL509" s="3">
        <f>+IF(AVANCE[[#This Row],[BALCÓN]]=R$2,100%,AVANCE[[#This Row],[BALCÓN]])</f>
        <v>0</v>
      </c>
      <c r="BM509" s="3">
        <f>+IF(AVANCE[[#This Row],[RED ALCANTARILLADO]]=U$2,100%,AVANCE[[#This Row],[RED ALCANTARILLADO]])</f>
        <v>0</v>
      </c>
      <c r="BN509" s="3">
        <f>+IF(AVANCE[[#This Row],[RED DE AGUA]]=V$2,100%,AVANCE[[#This Row],[RED DE AGUA]])</f>
        <v>0</v>
      </c>
      <c r="BO509" s="3">
        <f>+IF(AVANCE[[#This Row],[VENTILACIONES]]=W$2,100%,AVANCE[[#This Row],[VENTILACIONES]])</f>
        <v>0</v>
      </c>
      <c r="BP509" s="3">
        <f>+IF(AVANCE[[#This Row],[TINA]]=X$2,100%,AVANCE[[#This Row],[TINA]])</f>
        <v>0</v>
      </c>
      <c r="BQ509" s="3">
        <f>+IF(AVANCE[[#This Row],[WC]]=Y$2,100%,AVANCE[[#This Row],[WC]])</f>
        <v>0</v>
      </c>
      <c r="BR509" s="3">
        <f>+IF(AVANCE[[#This Row],[LAVAMANOS / LAVAPLATOS / LAVADERO]]=Z$2,100%,AVANCE[[#This Row],[LAVAMANOS / LAVAPLATOS / LAVADERO]])</f>
        <v>0</v>
      </c>
      <c r="BS509" s="3">
        <f>+IF(AVANCE[[#This Row],[CANALIZACIÓN]]=AC$2,100%,AVANCE[[#This Row],[CANALIZACIÓN]])</f>
        <v>0</v>
      </c>
      <c r="BT509" s="3">
        <f>+IF(AVANCE[[#This Row],[CABLEADO]]=AD$2,100%,AVANCE[[#This Row],[CABLEADO]])</f>
        <v>0</v>
      </c>
      <c r="BU509" s="3">
        <f>+IF(AVANCE[[#This Row],[ARTEFACTOS]]=AE$2,100%,AVANCE[[#This Row],[ARTEFACTOS]])</f>
        <v>0</v>
      </c>
      <c r="BV509" s="3">
        <f>+IF(AVANCE[[#This Row],[TABLERO]]=AF$2,100%,AVANCE[[#This Row],[TABLERO]])</f>
        <v>0</v>
      </c>
      <c r="BW509" s="3">
        <f>+IF(AVANCE[[#This Row],[CAJA PAU]]=AG$2,100%,AVANCE[[#This Row],[CAJA PAU]])</f>
        <v>0</v>
      </c>
      <c r="BX509" s="3">
        <f>+IF(AVANCE[[#This Row],[INSTALACION VINILICO]]=AJ$2,100%,AVANCE[[#This Row],[INSTALACION VINILICO]])</f>
        <v>0</v>
      </c>
      <c r="BY509" s="3">
        <f>+IF(AVANCE[[#This Row],[OSB CUBIERTA]]=AK$2,100%,AVANCE[[#This Row],[OSB CUBIERTA]])</f>
        <v>0</v>
      </c>
      <c r="BZ509" s="3">
        <f>+IF(AVANCE[[#This Row],[BARANDA BALCON]]=AL$2,100%,AVANCE[[#This Row],[BARANDA BALCON]])</f>
        <v>0</v>
      </c>
      <c r="CA509" s="3">
        <f>+IF(AVANCE[[#This Row],[OSB EXTERIOR]]=AM$2,100%,AVANCE[[#This Row],[OSB EXTERIOR]])</f>
        <v>0</v>
      </c>
      <c r="CB509" s="3">
        <f>+IF(AVANCE[[#This Row],[SMART PANEL]]=AN$2,100%,AVANCE[[#This Row],[SMART PANEL]])</f>
        <v>0</v>
      </c>
      <c r="CC509" s="3">
        <f>+IF(AVANCE[[#This Row],[PINTURA EXTERIOR]]=AO$2,100%,AVANCE[[#This Row],[PINTURA EXTERIOR]])</f>
        <v>0</v>
      </c>
      <c r="CD509" s="3">
        <f>+IF(AVANCE[[#This Row],[ZOCALOS LOGIA]]=AP$2,100%,AVANCE[[#This Row],[ZOCALOS LOGIA]])</f>
        <v>0</v>
      </c>
      <c r="CE509" s="3">
        <f>+IF(AVANCE[[#This Row],[MOLDURAS]]=AQ$2,100%,AVANCE[[#This Row],[MOLDURAS]])</f>
        <v>0</v>
      </c>
      <c r="CF509" s="3">
        <f>+IF(AVANCE[[#This Row],[PILASTREO]]=AR$2,100%,AVANCE[[#This Row],[PILASTREO]])</f>
        <v>0</v>
      </c>
      <c r="CG509" s="3">
        <f>+IF(AVANCE[[#This Row],[CELOSIAS]]=AS$2,100%,AVANCE[[#This Row],[CELOSIAS]])</f>
        <v>0</v>
      </c>
      <c r="CH509" s="3">
        <f>+IF(AVANCE[[#This Row],[VENTANAS]]=AT$2,100%,AVANCE[[#This Row],[VENTANAS]])</f>
        <v>0</v>
      </c>
      <c r="CI509" s="3">
        <f>+IF(AVANCE[[#This Row],[PUERTAS ACCESO - LOGIA - BANO]]=AU$2,100%,AVANCE[[#This Row],[PUERTAS ACCESO - LOGIA - BANO]])</f>
        <v>0</v>
      </c>
      <c r="CJ509" s="3">
        <f>+IF(AVANCE[[#This Row],[CERRADURAS]]=AV$2,100%,AVANCE[[#This Row],[CERRADURAS]])</f>
        <v>0</v>
      </c>
      <c r="CK509" s="3">
        <f>+IF(AVANCE[[#This Row],[REVESTIMIENTO INTERIOR ZONA SECA]]=AW$2,100%,AVANCE[[#This Row],[REVESTIMIENTO INTERIOR ZONA SECA]])</f>
        <v>0</v>
      </c>
      <c r="CL509" s="3">
        <f>+IF(AVANCE[[#This Row],[REVESTIMIENTO INTERIOR ZONAS HUMEDAS]]=AX$2,100%,AVANCE[[#This Row],[REVESTIMIENTO INTERIOR ZONAS HUMEDAS]])</f>
        <v>0</v>
      </c>
      <c r="CM509" s="3">
        <f>+IF(AVANCE[[#This Row],[MEMBRANA CIELO]]=AY$2,100%,AVANCE[[#This Row],[MEMBRANA CIELO]])</f>
        <v>0</v>
      </c>
      <c r="CN509" s="3">
        <f>+IF(AVANCE[[#This Row],[LIMPIEZA FINAL]]=AZ$2,100%,AVANCE[[#This Row],[LIMPIEZA FINAL]])</f>
        <v>0</v>
      </c>
      <c r="CO509" s="3">
        <f>+IF(AVANCE[[#This Row],[PUERTAS DORMITORIO]]=BA$2,100%,AVANCE[[#This Row],[PUERTAS DORMITORIO]])</f>
        <v>0</v>
      </c>
      <c r="CP509" s="3">
        <f>+IF(AVANCE[[#This Row],[REVESTIMIENTO INTERIOR BANO]]=BB$2,100%,AVANCE[[#This Row],[REVESTIMIENTO INTERIOR BANO]])</f>
        <v>0</v>
      </c>
      <c r="CQ509" s="3">
        <f>+IF(AVANCE[[#This Row],[MUEBLE LAVAPLATOS]]=BC$2,100%,AVANCE[[#This Row],[MUEBLE LAVAPLATOS]])</f>
        <v>0</v>
      </c>
      <c r="CR509" s="3">
        <f>+IF(AVANCE[[#This Row],[IMPERMEABILIZACION BANO - COCINA LOGIA]]=BD$2,100%,AVANCE[[#This Row],[IMPERMEABILIZACION BANO - COCINA LOGIA]])</f>
        <v>0</v>
      </c>
      <c r="CS509" s="40">
        <f ca="1">+IF(AVANCE[[#This Row],[ESTADO MODULO]]="PENDIENTE",(TODAY()-AVANCE[[#This Row],[FECHA TERMINO  PLANIFICADO]]),0)</f>
        <v>0</v>
      </c>
      <c r="CT509" s="41" t="str" cm="1">
        <f t="array" ref="CT509">_xlfn.TEXTJOIN(" | ",TRUE,IF(SUMPRODUCT((BG509:CR509&lt;1)*(PARTIDAS!$I$2:$AT$2="OBRA GRUESA"))&gt;0,"OBRA GRUESA: "&amp;_xlfn.TEXTJOIN(", ",TRUE,IF((BG509:CR509&lt;1)*(PARTIDAS!$I$2:$AT$2="OBRA GRUESA"),PARTIDAS!$I$1:$AT$1,"")),""),IF(SUMPRODUCT((BG509:CR509&lt;1)*(PARTIDAS!$I$2:$AT$2="SANITARIOS"))&gt;0,"SANITARIOS: "&amp;_xlfn.TEXTJOIN(", ",TRUE,IF((BG509:CR509&lt;1)*(PARTIDAS!$I$2:$AT$2="SANITARIOS"),PARTIDAS!$I$1:$AT$1,"")),""),IF(SUMPRODUCT((BG509:CR509&lt;1)*(PARTIDAS!$I$2:$AT$2="ELÉCTRICO"))&gt;0,"ELÉCTRICO: "&amp;_xlfn.TEXTJOIN(", ",TRUE,IF((BG509:CR509&lt;1)*(PARTIDAS!$I$2:$AT$2="ELÉCTRICO"),PARTIDAS!$I$1:$AT$1,"")),""),IF(SUMPRODUCT((BG509:CR509&lt;1)*(PARTIDAS!$I$2:$AT$2="TERMINACIONES"))&gt;0,"TERMINACIONES: "&amp;_xlfn.TEXTJOIN(", ",TRUE,IF((BG509:CR509&lt;1)*(PARTIDAS!$I$2:$AT$2="TERMINACIONES"),PARTIDAS!$I$1:$AT$1,"")),""))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09" s="43" t="str" cm="1">
        <f t="array" ref="CU509">_xlfn.TEXTJOIN(", ",TRUE,IF(SUMPRODUCT((BG509:CR509&lt;1)*(PARTIDAS!$I$2:$AT$2="OBRA GRUESA"))&gt;0,"OBRA GRUESA",""),IF(SUMPRODUCT((BG509:CR509&lt;1)*(PARTIDAS!$I$2:$AT$2="SANITARIOS"))&gt;0,"SANITARIOS",""),IF(SUMPRODUCT((BG509:CR509&lt;1)*(PARTIDAS!$I$2:$AT$2="ELÉCTRICO"))&gt;0,"ELÉCTRICO",""),IF(SUMPRODUCT((BG509:CR509&lt;1)*(PARTIDAS!$I$2:$AT$2="TERMINACIONES"))&gt;0,"TERMINACIONES",""))</f>
        <v>OBRA GRUESA, SANITARIOS, ELÉCTRICO, TERMINACIONES</v>
      </c>
      <c r="CV509" s="44" cm="1">
        <f t="array" ref="CV509">SUMPRODUCT(--(BG509:CR509&lt;1))</f>
        <v>38</v>
      </c>
    </row>
    <row r="510" spans="1:100" hidden="1" x14ac:dyDescent="0.25">
      <c r="A510" t="s">
        <v>553</v>
      </c>
      <c r="B510" t="s">
        <v>582</v>
      </c>
      <c r="C510">
        <v>2282600509</v>
      </c>
      <c r="D510" t="s">
        <v>58</v>
      </c>
      <c r="E510" s="2">
        <v>0</v>
      </c>
      <c r="F510" s="1">
        <v>46398</v>
      </c>
      <c r="G510" s="1"/>
      <c r="H510" s="1">
        <v>0</v>
      </c>
      <c r="I510" s="1">
        <v>46418</v>
      </c>
      <c r="J510">
        <v>46230</v>
      </c>
      <c r="K510" s="1"/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>
        <v>28.87</v>
      </c>
      <c r="BF510" s="3" t="str">
        <f>+IF(AVANCE[[#This Row],[% AVANCE]]=100%,"MODULO TERMINADO",IF(AVANCE[[#This Row],[FECHA INICIO REAL]]="","MODULO NO INICIADO","PENDIENTE"))</f>
        <v>MODULO NO INICIADO</v>
      </c>
      <c r="BG510" s="3">
        <f>+IF(AVANCE[[#This Row],[VENTANAS]]=8.10810810810811%,100%,AVANCE[[#This Row],[VENTANAS]])</f>
        <v>0</v>
      </c>
      <c r="BH510" s="3">
        <f>+IF(AVANCE[[#This Row],[PISO]]=N$2,100%,AVANCE[[#This Row],[PISO]])</f>
        <v>0</v>
      </c>
      <c r="BI510" s="3">
        <f>+IF(AVANCE[[#This Row],[TABIQUES]]=O$2,100%,AVANCE[[#This Row],[TABIQUES]])</f>
        <v>0</v>
      </c>
      <c r="BJ510" s="3">
        <f>+IF(AVANCE[[#This Row],[MUROS]]=P$2,100%,AVANCE[[#This Row],[MUROS]])</f>
        <v>0</v>
      </c>
      <c r="BK510" s="3">
        <f>+IF(AVANCE[[#This Row],[CIELO]]=Q$2,100%,AVANCE[[#This Row],[CIELO]])</f>
        <v>0</v>
      </c>
      <c r="BL510" s="3">
        <f>+IF(AVANCE[[#This Row],[BALCÓN]]=R$2,100%,AVANCE[[#This Row],[BALCÓN]])</f>
        <v>0</v>
      </c>
      <c r="BM510" s="3">
        <f>+IF(AVANCE[[#This Row],[RED ALCANTARILLADO]]=U$2,100%,AVANCE[[#This Row],[RED ALCANTARILLADO]])</f>
        <v>0</v>
      </c>
      <c r="BN510" s="3">
        <f>+IF(AVANCE[[#This Row],[RED DE AGUA]]=V$2,100%,AVANCE[[#This Row],[RED DE AGUA]])</f>
        <v>0</v>
      </c>
      <c r="BO510" s="3">
        <f>+IF(AVANCE[[#This Row],[VENTILACIONES]]=W$2,100%,AVANCE[[#This Row],[VENTILACIONES]])</f>
        <v>0</v>
      </c>
      <c r="BP510" s="3">
        <f>+IF(AVANCE[[#This Row],[TINA]]=X$2,100%,AVANCE[[#This Row],[TINA]])</f>
        <v>0</v>
      </c>
      <c r="BQ510" s="3">
        <f>+IF(AVANCE[[#This Row],[WC]]=Y$2,100%,AVANCE[[#This Row],[WC]])</f>
        <v>0</v>
      </c>
      <c r="BR510" s="3">
        <f>+IF(AVANCE[[#This Row],[LAVAMANOS / LAVAPLATOS / LAVADERO]]=Z$2,100%,AVANCE[[#This Row],[LAVAMANOS / LAVAPLATOS / LAVADERO]])</f>
        <v>0</v>
      </c>
      <c r="BS510" s="3">
        <f>+IF(AVANCE[[#This Row],[CANALIZACIÓN]]=AC$2,100%,AVANCE[[#This Row],[CANALIZACIÓN]])</f>
        <v>0</v>
      </c>
      <c r="BT510" s="3">
        <f>+IF(AVANCE[[#This Row],[CABLEADO]]=AD$2,100%,AVANCE[[#This Row],[CABLEADO]])</f>
        <v>0</v>
      </c>
      <c r="BU510" s="3">
        <f>+IF(AVANCE[[#This Row],[ARTEFACTOS]]=AE$2,100%,AVANCE[[#This Row],[ARTEFACTOS]])</f>
        <v>0</v>
      </c>
      <c r="BV510" s="3">
        <f>+IF(AVANCE[[#This Row],[TABLERO]]=AF$2,100%,AVANCE[[#This Row],[TABLERO]])</f>
        <v>0</v>
      </c>
      <c r="BW510" s="3">
        <f>+IF(AVANCE[[#This Row],[CAJA PAU]]=AG$2,100%,AVANCE[[#This Row],[CAJA PAU]])</f>
        <v>0</v>
      </c>
      <c r="BX510" s="3">
        <f>+IF(AVANCE[[#This Row],[INSTALACION VINILICO]]=AJ$2,100%,AVANCE[[#This Row],[INSTALACION VINILICO]])</f>
        <v>0</v>
      </c>
      <c r="BY510" s="3">
        <f>+IF(AVANCE[[#This Row],[OSB CUBIERTA]]=AK$2,100%,AVANCE[[#This Row],[OSB CUBIERTA]])</f>
        <v>0</v>
      </c>
      <c r="BZ510" s="3">
        <f>+IF(AVANCE[[#This Row],[BARANDA BALCON]]=AL$2,100%,AVANCE[[#This Row],[BARANDA BALCON]])</f>
        <v>0</v>
      </c>
      <c r="CA510" s="3">
        <f>+IF(AVANCE[[#This Row],[OSB EXTERIOR]]=AM$2,100%,AVANCE[[#This Row],[OSB EXTERIOR]])</f>
        <v>0</v>
      </c>
      <c r="CB510" s="3">
        <f>+IF(AVANCE[[#This Row],[SMART PANEL]]=AN$2,100%,AVANCE[[#This Row],[SMART PANEL]])</f>
        <v>0</v>
      </c>
      <c r="CC510" s="3">
        <f>+IF(AVANCE[[#This Row],[PINTURA EXTERIOR]]=AO$2,100%,AVANCE[[#This Row],[PINTURA EXTERIOR]])</f>
        <v>0</v>
      </c>
      <c r="CD510" s="3">
        <f>+IF(AVANCE[[#This Row],[ZOCALOS LOGIA]]=AP$2,100%,AVANCE[[#This Row],[ZOCALOS LOGIA]])</f>
        <v>0</v>
      </c>
      <c r="CE510" s="3">
        <f>+IF(AVANCE[[#This Row],[MOLDURAS]]=AQ$2,100%,AVANCE[[#This Row],[MOLDURAS]])</f>
        <v>0</v>
      </c>
      <c r="CF510" s="3">
        <f>+IF(AVANCE[[#This Row],[PILASTREO]]=AR$2,100%,AVANCE[[#This Row],[PILASTREO]])</f>
        <v>0</v>
      </c>
      <c r="CG510" s="3">
        <f>+IF(AVANCE[[#This Row],[CELOSIAS]]=AS$2,100%,AVANCE[[#This Row],[CELOSIAS]])</f>
        <v>0</v>
      </c>
      <c r="CH510" s="3">
        <f>+IF(AVANCE[[#This Row],[VENTANAS]]=AT$2,100%,AVANCE[[#This Row],[VENTANAS]])</f>
        <v>0</v>
      </c>
      <c r="CI510" s="3">
        <f>+IF(AVANCE[[#This Row],[PUERTAS ACCESO - LOGIA - BANO]]=AU$2,100%,AVANCE[[#This Row],[PUERTAS ACCESO - LOGIA - BANO]])</f>
        <v>0</v>
      </c>
      <c r="CJ510" s="3">
        <f>+IF(AVANCE[[#This Row],[CERRADURAS]]=AV$2,100%,AVANCE[[#This Row],[CERRADURAS]])</f>
        <v>0</v>
      </c>
      <c r="CK510" s="3">
        <f>+IF(AVANCE[[#This Row],[REVESTIMIENTO INTERIOR ZONA SECA]]=AW$2,100%,AVANCE[[#This Row],[REVESTIMIENTO INTERIOR ZONA SECA]])</f>
        <v>0</v>
      </c>
      <c r="CL510" s="3">
        <f>+IF(AVANCE[[#This Row],[REVESTIMIENTO INTERIOR ZONAS HUMEDAS]]=AX$2,100%,AVANCE[[#This Row],[REVESTIMIENTO INTERIOR ZONAS HUMEDAS]])</f>
        <v>0</v>
      </c>
      <c r="CM510" s="3">
        <f>+IF(AVANCE[[#This Row],[MEMBRANA CIELO]]=AY$2,100%,AVANCE[[#This Row],[MEMBRANA CIELO]])</f>
        <v>0</v>
      </c>
      <c r="CN510" s="3">
        <f>+IF(AVANCE[[#This Row],[LIMPIEZA FINAL]]=AZ$2,100%,AVANCE[[#This Row],[LIMPIEZA FINAL]])</f>
        <v>0</v>
      </c>
      <c r="CO510" s="3">
        <f>+IF(AVANCE[[#This Row],[PUERTAS DORMITORIO]]=BA$2,100%,AVANCE[[#This Row],[PUERTAS DORMITORIO]])</f>
        <v>0</v>
      </c>
      <c r="CP510" s="3">
        <f>+IF(AVANCE[[#This Row],[REVESTIMIENTO INTERIOR BANO]]=BB$2,100%,AVANCE[[#This Row],[REVESTIMIENTO INTERIOR BANO]])</f>
        <v>0</v>
      </c>
      <c r="CQ510" s="3">
        <f>+IF(AVANCE[[#This Row],[MUEBLE LAVAPLATOS]]=BC$2,100%,AVANCE[[#This Row],[MUEBLE LAVAPLATOS]])</f>
        <v>0</v>
      </c>
      <c r="CR510" s="3">
        <f>+IF(AVANCE[[#This Row],[IMPERMEABILIZACION BANO - COCINA LOGIA]]=BD$2,100%,AVANCE[[#This Row],[IMPERMEABILIZACION BANO - COCINA LOGIA]])</f>
        <v>0</v>
      </c>
      <c r="CS510" s="40">
        <f ca="1">+IF(AVANCE[[#This Row],[ESTADO MODULO]]="PENDIENTE",(TODAY()-AVANCE[[#This Row],[FECHA TERMINO  PLANIFICADO]]),0)</f>
        <v>0</v>
      </c>
      <c r="CT510" s="41" t="str" cm="1">
        <f t="array" ref="CT510">_xlfn.TEXTJOIN(" | ",TRUE,IF(SUMPRODUCT((BG510:CR510&lt;1)*(PARTIDAS!$I$2:$AT$2="OBRA GRUESA"))&gt;0,"OBRA GRUESA: "&amp;_xlfn.TEXTJOIN(", ",TRUE,IF((BG510:CR510&lt;1)*(PARTIDAS!$I$2:$AT$2="OBRA GRUESA"),PARTIDAS!$I$1:$AT$1,"")),""),IF(SUMPRODUCT((BG510:CR510&lt;1)*(PARTIDAS!$I$2:$AT$2="SANITARIOS"))&gt;0,"SANITARIOS: "&amp;_xlfn.TEXTJOIN(", ",TRUE,IF((BG510:CR510&lt;1)*(PARTIDAS!$I$2:$AT$2="SANITARIOS"),PARTIDAS!$I$1:$AT$1,"")),""),IF(SUMPRODUCT((BG510:CR510&lt;1)*(PARTIDAS!$I$2:$AT$2="ELÉCTRICO"))&gt;0,"ELÉCTRICO: "&amp;_xlfn.TEXTJOIN(", ",TRUE,IF((BG510:CR510&lt;1)*(PARTIDAS!$I$2:$AT$2="ELÉCTRICO"),PARTIDAS!$I$1:$AT$1,"")),""),IF(SUMPRODUCT((BG510:CR510&lt;1)*(PARTIDAS!$I$2:$AT$2="TERMINACIONES"))&gt;0,"TERMINACIONES: "&amp;_xlfn.TEXTJOIN(", ",TRUE,IF((BG510:CR510&lt;1)*(PARTIDAS!$I$2:$AT$2="TERMINACIONES"),PARTIDAS!$I$1:$AT$1,"")),""))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0" s="43" t="str" cm="1">
        <f t="array" ref="CU510">_xlfn.TEXTJOIN(", ",TRUE,IF(SUMPRODUCT((BG510:CR510&lt;1)*(PARTIDAS!$I$2:$AT$2="OBRA GRUESA"))&gt;0,"OBRA GRUESA",""),IF(SUMPRODUCT((BG510:CR510&lt;1)*(PARTIDAS!$I$2:$AT$2="SANITARIOS"))&gt;0,"SANITARIOS",""),IF(SUMPRODUCT((BG510:CR510&lt;1)*(PARTIDAS!$I$2:$AT$2="ELÉCTRICO"))&gt;0,"ELÉCTRICO",""),IF(SUMPRODUCT((BG510:CR510&lt;1)*(PARTIDAS!$I$2:$AT$2="TERMINACIONES"))&gt;0,"TERMINACIONES",""))</f>
        <v>OBRA GRUESA, SANITARIOS, ELÉCTRICO, TERMINACIONES</v>
      </c>
      <c r="CV510" s="44" cm="1">
        <f t="array" ref="CV510">SUMPRODUCT(--(BG510:CR510&lt;1))</f>
        <v>38</v>
      </c>
    </row>
    <row r="511" spans="1:100" hidden="1" x14ac:dyDescent="0.25">
      <c r="A511" t="s">
        <v>553</v>
      </c>
      <c r="B511" t="s">
        <v>583</v>
      </c>
      <c r="C511">
        <v>2302600510</v>
      </c>
      <c r="D511" t="s">
        <v>60</v>
      </c>
      <c r="E511" s="2">
        <v>0</v>
      </c>
      <c r="F511" s="1">
        <v>46398</v>
      </c>
      <c r="G511" s="1"/>
      <c r="H511" s="1">
        <v>0</v>
      </c>
      <c r="I511" s="1">
        <v>46428</v>
      </c>
      <c r="J511">
        <v>46230</v>
      </c>
      <c r="K511" s="1"/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>
        <v>31.32</v>
      </c>
      <c r="BF511" s="3" t="str">
        <f>+IF(AVANCE[[#This Row],[% AVANCE]]=100%,"MODULO TERMINADO",IF(AVANCE[[#This Row],[FECHA INICIO REAL]]="","MODULO NO INICIADO","PENDIENTE"))</f>
        <v>MODULO NO INICIADO</v>
      </c>
      <c r="BG511" s="3">
        <f>+IF(AVANCE[[#This Row],[VENTANAS]]=8.10810810810811%,100%,AVANCE[[#This Row],[VENTANAS]])</f>
        <v>0</v>
      </c>
      <c r="BH511" s="3">
        <f>+IF(AVANCE[[#This Row],[PISO]]=N$2,100%,AVANCE[[#This Row],[PISO]])</f>
        <v>0</v>
      </c>
      <c r="BI511" s="3">
        <f>+IF(AVANCE[[#This Row],[TABIQUES]]=O$2,100%,AVANCE[[#This Row],[TABIQUES]])</f>
        <v>0</v>
      </c>
      <c r="BJ511" s="3">
        <f>+IF(AVANCE[[#This Row],[MUROS]]=P$2,100%,AVANCE[[#This Row],[MUROS]])</f>
        <v>0</v>
      </c>
      <c r="BK511" s="3">
        <f>+IF(AVANCE[[#This Row],[CIELO]]=Q$2,100%,AVANCE[[#This Row],[CIELO]])</f>
        <v>0</v>
      </c>
      <c r="BL511" s="3">
        <f>+IF(AVANCE[[#This Row],[BALCÓN]]=R$2,100%,AVANCE[[#This Row],[BALCÓN]])</f>
        <v>0</v>
      </c>
      <c r="BM511" s="3">
        <f>+IF(AVANCE[[#This Row],[RED ALCANTARILLADO]]=U$2,100%,AVANCE[[#This Row],[RED ALCANTARILLADO]])</f>
        <v>0</v>
      </c>
      <c r="BN511" s="3">
        <f>+IF(AVANCE[[#This Row],[RED DE AGUA]]=V$2,100%,AVANCE[[#This Row],[RED DE AGUA]])</f>
        <v>0</v>
      </c>
      <c r="BO511" s="3">
        <f>+IF(AVANCE[[#This Row],[VENTILACIONES]]=W$2,100%,AVANCE[[#This Row],[VENTILACIONES]])</f>
        <v>0</v>
      </c>
      <c r="BP511" s="3">
        <f>+IF(AVANCE[[#This Row],[TINA]]=X$2,100%,AVANCE[[#This Row],[TINA]])</f>
        <v>0</v>
      </c>
      <c r="BQ511" s="3">
        <f>+IF(AVANCE[[#This Row],[WC]]=Y$2,100%,AVANCE[[#This Row],[WC]])</f>
        <v>0</v>
      </c>
      <c r="BR511" s="3">
        <f>+IF(AVANCE[[#This Row],[LAVAMANOS / LAVAPLATOS / LAVADERO]]=Z$2,100%,AVANCE[[#This Row],[LAVAMANOS / LAVAPLATOS / LAVADERO]])</f>
        <v>0</v>
      </c>
      <c r="BS511" s="3">
        <f>+IF(AVANCE[[#This Row],[CANALIZACIÓN]]=AC$2,100%,AVANCE[[#This Row],[CANALIZACIÓN]])</f>
        <v>0</v>
      </c>
      <c r="BT511" s="3">
        <f>+IF(AVANCE[[#This Row],[CABLEADO]]=AD$2,100%,AVANCE[[#This Row],[CABLEADO]])</f>
        <v>0</v>
      </c>
      <c r="BU511" s="3">
        <f>+IF(AVANCE[[#This Row],[ARTEFACTOS]]=AE$2,100%,AVANCE[[#This Row],[ARTEFACTOS]])</f>
        <v>0</v>
      </c>
      <c r="BV511" s="3">
        <f>+IF(AVANCE[[#This Row],[TABLERO]]=AF$2,100%,AVANCE[[#This Row],[TABLERO]])</f>
        <v>0</v>
      </c>
      <c r="BW511" s="3">
        <f>+IF(AVANCE[[#This Row],[CAJA PAU]]=AG$2,100%,AVANCE[[#This Row],[CAJA PAU]])</f>
        <v>0</v>
      </c>
      <c r="BX511" s="3">
        <f>+IF(AVANCE[[#This Row],[INSTALACION VINILICO]]=AJ$2,100%,AVANCE[[#This Row],[INSTALACION VINILICO]])</f>
        <v>0</v>
      </c>
      <c r="BY511" s="3">
        <f>+IF(AVANCE[[#This Row],[OSB CUBIERTA]]=AK$2,100%,AVANCE[[#This Row],[OSB CUBIERTA]])</f>
        <v>0</v>
      </c>
      <c r="BZ511" s="3">
        <f>+IF(AVANCE[[#This Row],[BARANDA BALCON]]=AL$2,100%,AVANCE[[#This Row],[BARANDA BALCON]])</f>
        <v>0</v>
      </c>
      <c r="CA511" s="3">
        <f>+IF(AVANCE[[#This Row],[OSB EXTERIOR]]=AM$2,100%,AVANCE[[#This Row],[OSB EXTERIOR]])</f>
        <v>0</v>
      </c>
      <c r="CB511" s="3">
        <f>+IF(AVANCE[[#This Row],[SMART PANEL]]=AN$2,100%,AVANCE[[#This Row],[SMART PANEL]])</f>
        <v>0</v>
      </c>
      <c r="CC511" s="3">
        <f>+IF(AVANCE[[#This Row],[PINTURA EXTERIOR]]=AO$2,100%,AVANCE[[#This Row],[PINTURA EXTERIOR]])</f>
        <v>0</v>
      </c>
      <c r="CD511" s="3">
        <f>+IF(AVANCE[[#This Row],[ZOCALOS LOGIA]]=AP$2,100%,AVANCE[[#This Row],[ZOCALOS LOGIA]])</f>
        <v>0</v>
      </c>
      <c r="CE511" s="3">
        <f>+IF(AVANCE[[#This Row],[MOLDURAS]]=AQ$2,100%,AVANCE[[#This Row],[MOLDURAS]])</f>
        <v>0</v>
      </c>
      <c r="CF511" s="3">
        <f>+IF(AVANCE[[#This Row],[PILASTREO]]=AR$2,100%,AVANCE[[#This Row],[PILASTREO]])</f>
        <v>0</v>
      </c>
      <c r="CG511" s="3">
        <f>+IF(AVANCE[[#This Row],[CELOSIAS]]=AS$2,100%,AVANCE[[#This Row],[CELOSIAS]])</f>
        <v>0</v>
      </c>
      <c r="CH511" s="3">
        <f>+IF(AVANCE[[#This Row],[VENTANAS]]=AT$2,100%,AVANCE[[#This Row],[VENTANAS]])</f>
        <v>0</v>
      </c>
      <c r="CI511" s="3">
        <f>+IF(AVANCE[[#This Row],[PUERTAS ACCESO - LOGIA - BANO]]=AU$2,100%,AVANCE[[#This Row],[PUERTAS ACCESO - LOGIA - BANO]])</f>
        <v>0</v>
      </c>
      <c r="CJ511" s="3">
        <f>+IF(AVANCE[[#This Row],[CERRADURAS]]=AV$2,100%,AVANCE[[#This Row],[CERRADURAS]])</f>
        <v>0</v>
      </c>
      <c r="CK511" s="3">
        <f>+IF(AVANCE[[#This Row],[REVESTIMIENTO INTERIOR ZONA SECA]]=AW$2,100%,AVANCE[[#This Row],[REVESTIMIENTO INTERIOR ZONA SECA]])</f>
        <v>0</v>
      </c>
      <c r="CL511" s="3">
        <f>+IF(AVANCE[[#This Row],[REVESTIMIENTO INTERIOR ZONAS HUMEDAS]]=AX$2,100%,AVANCE[[#This Row],[REVESTIMIENTO INTERIOR ZONAS HUMEDAS]])</f>
        <v>0</v>
      </c>
      <c r="CM511" s="3">
        <f>+IF(AVANCE[[#This Row],[MEMBRANA CIELO]]=AY$2,100%,AVANCE[[#This Row],[MEMBRANA CIELO]])</f>
        <v>0</v>
      </c>
      <c r="CN511" s="3">
        <f>+IF(AVANCE[[#This Row],[LIMPIEZA FINAL]]=AZ$2,100%,AVANCE[[#This Row],[LIMPIEZA FINAL]])</f>
        <v>0</v>
      </c>
      <c r="CO511" s="3">
        <f>+IF(AVANCE[[#This Row],[PUERTAS DORMITORIO]]=BA$2,100%,AVANCE[[#This Row],[PUERTAS DORMITORIO]])</f>
        <v>0</v>
      </c>
      <c r="CP511" s="3">
        <f>+IF(AVANCE[[#This Row],[REVESTIMIENTO INTERIOR BANO]]=BB$2,100%,AVANCE[[#This Row],[REVESTIMIENTO INTERIOR BANO]])</f>
        <v>0</v>
      </c>
      <c r="CQ511" s="3">
        <f>+IF(AVANCE[[#This Row],[MUEBLE LAVAPLATOS]]=BC$2,100%,AVANCE[[#This Row],[MUEBLE LAVAPLATOS]])</f>
        <v>0</v>
      </c>
      <c r="CR511" s="3">
        <f>+IF(AVANCE[[#This Row],[IMPERMEABILIZACION BANO - COCINA LOGIA]]=BD$2,100%,AVANCE[[#This Row],[IMPERMEABILIZACION BANO - COCINA LOGIA]])</f>
        <v>0</v>
      </c>
      <c r="CS511" s="40">
        <f ca="1">+IF(AVANCE[[#This Row],[ESTADO MODULO]]="PENDIENTE",(TODAY()-AVANCE[[#This Row],[FECHA TERMINO  PLANIFICADO]]),0)</f>
        <v>0</v>
      </c>
      <c r="CT511" s="41" t="str" cm="1">
        <f t="array" ref="CT511">_xlfn.TEXTJOIN(" | ",TRUE,IF(SUMPRODUCT((BG511:CR511&lt;1)*(PARTIDAS!$I$2:$AT$2="OBRA GRUESA"))&gt;0,"OBRA GRUESA: "&amp;_xlfn.TEXTJOIN(", ",TRUE,IF((BG511:CR511&lt;1)*(PARTIDAS!$I$2:$AT$2="OBRA GRUESA"),PARTIDAS!$I$1:$AT$1,"")),""),IF(SUMPRODUCT((BG511:CR511&lt;1)*(PARTIDAS!$I$2:$AT$2="SANITARIOS"))&gt;0,"SANITARIOS: "&amp;_xlfn.TEXTJOIN(", ",TRUE,IF((BG511:CR511&lt;1)*(PARTIDAS!$I$2:$AT$2="SANITARIOS"),PARTIDAS!$I$1:$AT$1,"")),""),IF(SUMPRODUCT((BG511:CR511&lt;1)*(PARTIDAS!$I$2:$AT$2="ELÉCTRICO"))&gt;0,"ELÉCTRICO: "&amp;_xlfn.TEXTJOIN(", ",TRUE,IF((BG511:CR511&lt;1)*(PARTIDAS!$I$2:$AT$2="ELÉCTRICO"),PARTIDAS!$I$1:$AT$1,"")),""),IF(SUMPRODUCT((BG511:CR511&lt;1)*(PARTIDAS!$I$2:$AT$2="TERMINACIONES"))&gt;0,"TERMINACIONES: "&amp;_xlfn.TEXTJOIN(", ",TRUE,IF((BG511:CR511&lt;1)*(PARTIDAS!$I$2:$AT$2="TERMINACIONES"),PARTIDAS!$I$1:$AT$1,"")),""))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1" s="43" t="str" cm="1">
        <f t="array" ref="CU511">_xlfn.TEXTJOIN(", ",TRUE,IF(SUMPRODUCT((BG511:CR511&lt;1)*(PARTIDAS!$I$2:$AT$2="OBRA GRUESA"))&gt;0,"OBRA GRUESA",""),IF(SUMPRODUCT((BG511:CR511&lt;1)*(PARTIDAS!$I$2:$AT$2="SANITARIOS"))&gt;0,"SANITARIOS",""),IF(SUMPRODUCT((BG511:CR511&lt;1)*(PARTIDAS!$I$2:$AT$2="ELÉCTRICO"))&gt;0,"ELÉCTRICO",""),IF(SUMPRODUCT((BG511:CR511&lt;1)*(PARTIDAS!$I$2:$AT$2="TERMINACIONES"))&gt;0,"TERMINACIONES",""))</f>
        <v>OBRA GRUESA, SANITARIOS, ELÉCTRICO, TERMINACIONES</v>
      </c>
      <c r="CV511" s="44" cm="1">
        <f t="array" ref="CV511">SUMPRODUCT(--(BG511:CR511&lt;1))</f>
        <v>38</v>
      </c>
    </row>
    <row r="512" spans="1:100" hidden="1" x14ac:dyDescent="0.25">
      <c r="A512" t="s">
        <v>553</v>
      </c>
      <c r="B512" t="s">
        <v>584</v>
      </c>
      <c r="C512">
        <v>2302600511</v>
      </c>
      <c r="D512" t="s">
        <v>60</v>
      </c>
      <c r="E512" s="2">
        <v>0</v>
      </c>
      <c r="F512" s="1">
        <v>46398</v>
      </c>
      <c r="G512" s="1"/>
      <c r="H512" s="1">
        <v>0</v>
      </c>
      <c r="I512" s="1">
        <v>46428</v>
      </c>
      <c r="J512">
        <v>46230</v>
      </c>
      <c r="K512" s="1"/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>
        <v>31.32</v>
      </c>
      <c r="BF512" s="3" t="str">
        <f>+IF(AVANCE[[#This Row],[% AVANCE]]=100%,"MODULO TERMINADO",IF(AVANCE[[#This Row],[FECHA INICIO REAL]]="","MODULO NO INICIADO","PENDIENTE"))</f>
        <v>MODULO NO INICIADO</v>
      </c>
      <c r="BG512" s="3">
        <f>+IF(AVANCE[[#This Row],[VENTANAS]]=8.10810810810811%,100%,AVANCE[[#This Row],[VENTANAS]])</f>
        <v>0</v>
      </c>
      <c r="BH512" s="3">
        <f>+IF(AVANCE[[#This Row],[PISO]]=N$2,100%,AVANCE[[#This Row],[PISO]])</f>
        <v>0</v>
      </c>
      <c r="BI512" s="3">
        <f>+IF(AVANCE[[#This Row],[TABIQUES]]=O$2,100%,AVANCE[[#This Row],[TABIQUES]])</f>
        <v>0</v>
      </c>
      <c r="BJ512" s="3">
        <f>+IF(AVANCE[[#This Row],[MUROS]]=P$2,100%,AVANCE[[#This Row],[MUROS]])</f>
        <v>0</v>
      </c>
      <c r="BK512" s="3">
        <f>+IF(AVANCE[[#This Row],[CIELO]]=Q$2,100%,AVANCE[[#This Row],[CIELO]])</f>
        <v>0</v>
      </c>
      <c r="BL512" s="3">
        <f>+IF(AVANCE[[#This Row],[BALCÓN]]=R$2,100%,AVANCE[[#This Row],[BALCÓN]])</f>
        <v>0</v>
      </c>
      <c r="BM512" s="3">
        <f>+IF(AVANCE[[#This Row],[RED ALCANTARILLADO]]=U$2,100%,AVANCE[[#This Row],[RED ALCANTARILLADO]])</f>
        <v>0</v>
      </c>
      <c r="BN512" s="3">
        <f>+IF(AVANCE[[#This Row],[RED DE AGUA]]=V$2,100%,AVANCE[[#This Row],[RED DE AGUA]])</f>
        <v>0</v>
      </c>
      <c r="BO512" s="3">
        <f>+IF(AVANCE[[#This Row],[VENTILACIONES]]=W$2,100%,AVANCE[[#This Row],[VENTILACIONES]])</f>
        <v>0</v>
      </c>
      <c r="BP512" s="3">
        <f>+IF(AVANCE[[#This Row],[TINA]]=X$2,100%,AVANCE[[#This Row],[TINA]])</f>
        <v>0</v>
      </c>
      <c r="BQ512" s="3">
        <f>+IF(AVANCE[[#This Row],[WC]]=Y$2,100%,AVANCE[[#This Row],[WC]])</f>
        <v>0</v>
      </c>
      <c r="BR512" s="3">
        <f>+IF(AVANCE[[#This Row],[LAVAMANOS / LAVAPLATOS / LAVADERO]]=Z$2,100%,AVANCE[[#This Row],[LAVAMANOS / LAVAPLATOS / LAVADERO]])</f>
        <v>0</v>
      </c>
      <c r="BS512" s="3">
        <f>+IF(AVANCE[[#This Row],[CANALIZACIÓN]]=AC$2,100%,AVANCE[[#This Row],[CANALIZACIÓN]])</f>
        <v>0</v>
      </c>
      <c r="BT512" s="3">
        <f>+IF(AVANCE[[#This Row],[CABLEADO]]=AD$2,100%,AVANCE[[#This Row],[CABLEADO]])</f>
        <v>0</v>
      </c>
      <c r="BU512" s="3">
        <f>+IF(AVANCE[[#This Row],[ARTEFACTOS]]=AE$2,100%,AVANCE[[#This Row],[ARTEFACTOS]])</f>
        <v>0</v>
      </c>
      <c r="BV512" s="3">
        <f>+IF(AVANCE[[#This Row],[TABLERO]]=AF$2,100%,AVANCE[[#This Row],[TABLERO]])</f>
        <v>0</v>
      </c>
      <c r="BW512" s="3">
        <f>+IF(AVANCE[[#This Row],[CAJA PAU]]=AG$2,100%,AVANCE[[#This Row],[CAJA PAU]])</f>
        <v>0</v>
      </c>
      <c r="BX512" s="3">
        <f>+IF(AVANCE[[#This Row],[INSTALACION VINILICO]]=AJ$2,100%,AVANCE[[#This Row],[INSTALACION VINILICO]])</f>
        <v>0</v>
      </c>
      <c r="BY512" s="3">
        <f>+IF(AVANCE[[#This Row],[OSB CUBIERTA]]=AK$2,100%,AVANCE[[#This Row],[OSB CUBIERTA]])</f>
        <v>0</v>
      </c>
      <c r="BZ512" s="3">
        <f>+IF(AVANCE[[#This Row],[BARANDA BALCON]]=AL$2,100%,AVANCE[[#This Row],[BARANDA BALCON]])</f>
        <v>0</v>
      </c>
      <c r="CA512" s="3">
        <f>+IF(AVANCE[[#This Row],[OSB EXTERIOR]]=AM$2,100%,AVANCE[[#This Row],[OSB EXTERIOR]])</f>
        <v>0</v>
      </c>
      <c r="CB512" s="3">
        <f>+IF(AVANCE[[#This Row],[SMART PANEL]]=AN$2,100%,AVANCE[[#This Row],[SMART PANEL]])</f>
        <v>0</v>
      </c>
      <c r="CC512" s="3">
        <f>+IF(AVANCE[[#This Row],[PINTURA EXTERIOR]]=AO$2,100%,AVANCE[[#This Row],[PINTURA EXTERIOR]])</f>
        <v>0</v>
      </c>
      <c r="CD512" s="3">
        <f>+IF(AVANCE[[#This Row],[ZOCALOS LOGIA]]=AP$2,100%,AVANCE[[#This Row],[ZOCALOS LOGIA]])</f>
        <v>0</v>
      </c>
      <c r="CE512" s="3">
        <f>+IF(AVANCE[[#This Row],[MOLDURAS]]=AQ$2,100%,AVANCE[[#This Row],[MOLDURAS]])</f>
        <v>0</v>
      </c>
      <c r="CF512" s="3">
        <f>+IF(AVANCE[[#This Row],[PILASTREO]]=AR$2,100%,AVANCE[[#This Row],[PILASTREO]])</f>
        <v>0</v>
      </c>
      <c r="CG512" s="3">
        <f>+IF(AVANCE[[#This Row],[CELOSIAS]]=AS$2,100%,AVANCE[[#This Row],[CELOSIAS]])</f>
        <v>0</v>
      </c>
      <c r="CH512" s="3">
        <f>+IF(AVANCE[[#This Row],[VENTANAS]]=AT$2,100%,AVANCE[[#This Row],[VENTANAS]])</f>
        <v>0</v>
      </c>
      <c r="CI512" s="3">
        <f>+IF(AVANCE[[#This Row],[PUERTAS ACCESO - LOGIA - BANO]]=AU$2,100%,AVANCE[[#This Row],[PUERTAS ACCESO - LOGIA - BANO]])</f>
        <v>0</v>
      </c>
      <c r="CJ512" s="3">
        <f>+IF(AVANCE[[#This Row],[CERRADURAS]]=AV$2,100%,AVANCE[[#This Row],[CERRADURAS]])</f>
        <v>0</v>
      </c>
      <c r="CK512" s="3">
        <f>+IF(AVANCE[[#This Row],[REVESTIMIENTO INTERIOR ZONA SECA]]=AW$2,100%,AVANCE[[#This Row],[REVESTIMIENTO INTERIOR ZONA SECA]])</f>
        <v>0</v>
      </c>
      <c r="CL512" s="3">
        <f>+IF(AVANCE[[#This Row],[REVESTIMIENTO INTERIOR ZONAS HUMEDAS]]=AX$2,100%,AVANCE[[#This Row],[REVESTIMIENTO INTERIOR ZONAS HUMEDAS]])</f>
        <v>0</v>
      </c>
      <c r="CM512" s="3">
        <f>+IF(AVANCE[[#This Row],[MEMBRANA CIELO]]=AY$2,100%,AVANCE[[#This Row],[MEMBRANA CIELO]])</f>
        <v>0</v>
      </c>
      <c r="CN512" s="3">
        <f>+IF(AVANCE[[#This Row],[LIMPIEZA FINAL]]=AZ$2,100%,AVANCE[[#This Row],[LIMPIEZA FINAL]])</f>
        <v>0</v>
      </c>
      <c r="CO512" s="3">
        <f>+IF(AVANCE[[#This Row],[PUERTAS DORMITORIO]]=BA$2,100%,AVANCE[[#This Row],[PUERTAS DORMITORIO]])</f>
        <v>0</v>
      </c>
      <c r="CP512" s="3">
        <f>+IF(AVANCE[[#This Row],[REVESTIMIENTO INTERIOR BANO]]=BB$2,100%,AVANCE[[#This Row],[REVESTIMIENTO INTERIOR BANO]])</f>
        <v>0</v>
      </c>
      <c r="CQ512" s="3">
        <f>+IF(AVANCE[[#This Row],[MUEBLE LAVAPLATOS]]=BC$2,100%,AVANCE[[#This Row],[MUEBLE LAVAPLATOS]])</f>
        <v>0</v>
      </c>
      <c r="CR512" s="3">
        <f>+IF(AVANCE[[#This Row],[IMPERMEABILIZACION BANO - COCINA LOGIA]]=BD$2,100%,AVANCE[[#This Row],[IMPERMEABILIZACION BANO - COCINA LOGIA]])</f>
        <v>0</v>
      </c>
      <c r="CS512" s="40">
        <f ca="1">+IF(AVANCE[[#This Row],[ESTADO MODULO]]="PENDIENTE",(TODAY()-AVANCE[[#This Row],[FECHA TERMINO  PLANIFICADO]]),0)</f>
        <v>0</v>
      </c>
      <c r="CT512" s="41" t="str" cm="1">
        <f t="array" ref="CT512">_xlfn.TEXTJOIN(" | ",TRUE,IF(SUMPRODUCT((BG512:CR512&lt;1)*(PARTIDAS!$I$2:$AT$2="OBRA GRUESA"))&gt;0,"OBRA GRUESA: "&amp;_xlfn.TEXTJOIN(", ",TRUE,IF((BG512:CR512&lt;1)*(PARTIDAS!$I$2:$AT$2="OBRA GRUESA"),PARTIDAS!$I$1:$AT$1,"")),""),IF(SUMPRODUCT((BG512:CR512&lt;1)*(PARTIDAS!$I$2:$AT$2="SANITARIOS"))&gt;0,"SANITARIOS: "&amp;_xlfn.TEXTJOIN(", ",TRUE,IF((BG512:CR512&lt;1)*(PARTIDAS!$I$2:$AT$2="SANITARIOS"),PARTIDAS!$I$1:$AT$1,"")),""),IF(SUMPRODUCT((BG512:CR512&lt;1)*(PARTIDAS!$I$2:$AT$2="ELÉCTRICO"))&gt;0,"ELÉCTRICO: "&amp;_xlfn.TEXTJOIN(", ",TRUE,IF((BG512:CR512&lt;1)*(PARTIDAS!$I$2:$AT$2="ELÉCTRICO"),PARTIDAS!$I$1:$AT$1,"")),""),IF(SUMPRODUCT((BG512:CR512&lt;1)*(PARTIDAS!$I$2:$AT$2="TERMINACIONES"))&gt;0,"TERMINACIONES: "&amp;_xlfn.TEXTJOIN(", ",TRUE,IF((BG512:CR512&lt;1)*(PARTIDAS!$I$2:$AT$2="TERMINACIONES"),PARTIDAS!$I$1:$AT$1,"")),""))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2" s="43" t="str" cm="1">
        <f t="array" ref="CU512">_xlfn.TEXTJOIN(", ",TRUE,IF(SUMPRODUCT((BG512:CR512&lt;1)*(PARTIDAS!$I$2:$AT$2="OBRA GRUESA"))&gt;0,"OBRA GRUESA",""),IF(SUMPRODUCT((BG512:CR512&lt;1)*(PARTIDAS!$I$2:$AT$2="SANITARIOS"))&gt;0,"SANITARIOS",""),IF(SUMPRODUCT((BG512:CR512&lt;1)*(PARTIDAS!$I$2:$AT$2="ELÉCTRICO"))&gt;0,"ELÉCTRICO",""),IF(SUMPRODUCT((BG512:CR512&lt;1)*(PARTIDAS!$I$2:$AT$2="TERMINACIONES"))&gt;0,"TERMINACIONES",""))</f>
        <v>OBRA GRUESA, SANITARIOS, ELÉCTRICO, TERMINACIONES</v>
      </c>
      <c r="CV512" s="44" cm="1">
        <f t="array" ref="CV512">SUMPRODUCT(--(BG512:CR512&lt;1))</f>
        <v>38</v>
      </c>
    </row>
    <row r="513" spans="1:100" hidden="1" x14ac:dyDescent="0.25">
      <c r="A513" t="s">
        <v>553</v>
      </c>
      <c r="B513" t="s">
        <v>585</v>
      </c>
      <c r="C513">
        <v>2282600512</v>
      </c>
      <c r="D513" t="s">
        <v>58</v>
      </c>
      <c r="E513" s="2">
        <v>0</v>
      </c>
      <c r="F513" s="1">
        <v>46399</v>
      </c>
      <c r="G513" s="1"/>
      <c r="H513" s="1">
        <v>0</v>
      </c>
      <c r="I513" s="1">
        <v>46419</v>
      </c>
      <c r="J513">
        <v>46230</v>
      </c>
      <c r="K513" s="1"/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>
        <v>28.87</v>
      </c>
      <c r="BF513" s="3" t="str">
        <f>+IF(AVANCE[[#This Row],[% AVANCE]]=100%,"MODULO TERMINADO",IF(AVANCE[[#This Row],[FECHA INICIO REAL]]="","MODULO NO INICIADO","PENDIENTE"))</f>
        <v>MODULO NO INICIADO</v>
      </c>
      <c r="BG513" s="3">
        <f>+IF(AVANCE[[#This Row],[VENTANAS]]=8.10810810810811%,100%,AVANCE[[#This Row],[VENTANAS]])</f>
        <v>0</v>
      </c>
      <c r="BH513" s="3">
        <f>+IF(AVANCE[[#This Row],[PISO]]=N$2,100%,AVANCE[[#This Row],[PISO]])</f>
        <v>0</v>
      </c>
      <c r="BI513" s="3">
        <f>+IF(AVANCE[[#This Row],[TABIQUES]]=O$2,100%,AVANCE[[#This Row],[TABIQUES]])</f>
        <v>0</v>
      </c>
      <c r="BJ513" s="3">
        <f>+IF(AVANCE[[#This Row],[MUROS]]=P$2,100%,AVANCE[[#This Row],[MUROS]])</f>
        <v>0</v>
      </c>
      <c r="BK513" s="3">
        <f>+IF(AVANCE[[#This Row],[CIELO]]=Q$2,100%,AVANCE[[#This Row],[CIELO]])</f>
        <v>0</v>
      </c>
      <c r="BL513" s="3">
        <f>+IF(AVANCE[[#This Row],[BALCÓN]]=R$2,100%,AVANCE[[#This Row],[BALCÓN]])</f>
        <v>0</v>
      </c>
      <c r="BM513" s="3">
        <f>+IF(AVANCE[[#This Row],[RED ALCANTARILLADO]]=U$2,100%,AVANCE[[#This Row],[RED ALCANTARILLADO]])</f>
        <v>0</v>
      </c>
      <c r="BN513" s="3">
        <f>+IF(AVANCE[[#This Row],[RED DE AGUA]]=V$2,100%,AVANCE[[#This Row],[RED DE AGUA]])</f>
        <v>0</v>
      </c>
      <c r="BO513" s="3">
        <f>+IF(AVANCE[[#This Row],[VENTILACIONES]]=W$2,100%,AVANCE[[#This Row],[VENTILACIONES]])</f>
        <v>0</v>
      </c>
      <c r="BP513" s="3">
        <f>+IF(AVANCE[[#This Row],[TINA]]=X$2,100%,AVANCE[[#This Row],[TINA]])</f>
        <v>0</v>
      </c>
      <c r="BQ513" s="3">
        <f>+IF(AVANCE[[#This Row],[WC]]=Y$2,100%,AVANCE[[#This Row],[WC]])</f>
        <v>0</v>
      </c>
      <c r="BR513" s="3">
        <f>+IF(AVANCE[[#This Row],[LAVAMANOS / LAVAPLATOS / LAVADERO]]=Z$2,100%,AVANCE[[#This Row],[LAVAMANOS / LAVAPLATOS / LAVADERO]])</f>
        <v>0</v>
      </c>
      <c r="BS513" s="3">
        <f>+IF(AVANCE[[#This Row],[CANALIZACIÓN]]=AC$2,100%,AVANCE[[#This Row],[CANALIZACIÓN]])</f>
        <v>0</v>
      </c>
      <c r="BT513" s="3">
        <f>+IF(AVANCE[[#This Row],[CABLEADO]]=AD$2,100%,AVANCE[[#This Row],[CABLEADO]])</f>
        <v>0</v>
      </c>
      <c r="BU513" s="3">
        <f>+IF(AVANCE[[#This Row],[ARTEFACTOS]]=AE$2,100%,AVANCE[[#This Row],[ARTEFACTOS]])</f>
        <v>0</v>
      </c>
      <c r="BV513" s="3">
        <f>+IF(AVANCE[[#This Row],[TABLERO]]=AF$2,100%,AVANCE[[#This Row],[TABLERO]])</f>
        <v>0</v>
      </c>
      <c r="BW513" s="3">
        <f>+IF(AVANCE[[#This Row],[CAJA PAU]]=AG$2,100%,AVANCE[[#This Row],[CAJA PAU]])</f>
        <v>0</v>
      </c>
      <c r="BX513" s="3">
        <f>+IF(AVANCE[[#This Row],[INSTALACION VINILICO]]=AJ$2,100%,AVANCE[[#This Row],[INSTALACION VINILICO]])</f>
        <v>0</v>
      </c>
      <c r="BY513" s="3">
        <f>+IF(AVANCE[[#This Row],[OSB CUBIERTA]]=AK$2,100%,AVANCE[[#This Row],[OSB CUBIERTA]])</f>
        <v>0</v>
      </c>
      <c r="BZ513" s="3">
        <f>+IF(AVANCE[[#This Row],[BARANDA BALCON]]=AL$2,100%,AVANCE[[#This Row],[BARANDA BALCON]])</f>
        <v>0</v>
      </c>
      <c r="CA513" s="3">
        <f>+IF(AVANCE[[#This Row],[OSB EXTERIOR]]=AM$2,100%,AVANCE[[#This Row],[OSB EXTERIOR]])</f>
        <v>0</v>
      </c>
      <c r="CB513" s="3">
        <f>+IF(AVANCE[[#This Row],[SMART PANEL]]=AN$2,100%,AVANCE[[#This Row],[SMART PANEL]])</f>
        <v>0</v>
      </c>
      <c r="CC513" s="3">
        <f>+IF(AVANCE[[#This Row],[PINTURA EXTERIOR]]=AO$2,100%,AVANCE[[#This Row],[PINTURA EXTERIOR]])</f>
        <v>0</v>
      </c>
      <c r="CD513" s="3">
        <f>+IF(AVANCE[[#This Row],[ZOCALOS LOGIA]]=AP$2,100%,AVANCE[[#This Row],[ZOCALOS LOGIA]])</f>
        <v>0</v>
      </c>
      <c r="CE513" s="3">
        <f>+IF(AVANCE[[#This Row],[MOLDURAS]]=AQ$2,100%,AVANCE[[#This Row],[MOLDURAS]])</f>
        <v>0</v>
      </c>
      <c r="CF513" s="3">
        <f>+IF(AVANCE[[#This Row],[PILASTREO]]=AR$2,100%,AVANCE[[#This Row],[PILASTREO]])</f>
        <v>0</v>
      </c>
      <c r="CG513" s="3">
        <f>+IF(AVANCE[[#This Row],[CELOSIAS]]=AS$2,100%,AVANCE[[#This Row],[CELOSIAS]])</f>
        <v>0</v>
      </c>
      <c r="CH513" s="3">
        <f>+IF(AVANCE[[#This Row],[VENTANAS]]=AT$2,100%,AVANCE[[#This Row],[VENTANAS]])</f>
        <v>0</v>
      </c>
      <c r="CI513" s="3">
        <f>+IF(AVANCE[[#This Row],[PUERTAS ACCESO - LOGIA - BANO]]=AU$2,100%,AVANCE[[#This Row],[PUERTAS ACCESO - LOGIA - BANO]])</f>
        <v>0</v>
      </c>
      <c r="CJ513" s="3">
        <f>+IF(AVANCE[[#This Row],[CERRADURAS]]=AV$2,100%,AVANCE[[#This Row],[CERRADURAS]])</f>
        <v>0</v>
      </c>
      <c r="CK513" s="3">
        <f>+IF(AVANCE[[#This Row],[REVESTIMIENTO INTERIOR ZONA SECA]]=AW$2,100%,AVANCE[[#This Row],[REVESTIMIENTO INTERIOR ZONA SECA]])</f>
        <v>0</v>
      </c>
      <c r="CL513" s="3">
        <f>+IF(AVANCE[[#This Row],[REVESTIMIENTO INTERIOR ZONAS HUMEDAS]]=AX$2,100%,AVANCE[[#This Row],[REVESTIMIENTO INTERIOR ZONAS HUMEDAS]])</f>
        <v>0</v>
      </c>
      <c r="CM513" s="3">
        <f>+IF(AVANCE[[#This Row],[MEMBRANA CIELO]]=AY$2,100%,AVANCE[[#This Row],[MEMBRANA CIELO]])</f>
        <v>0</v>
      </c>
      <c r="CN513" s="3">
        <f>+IF(AVANCE[[#This Row],[LIMPIEZA FINAL]]=AZ$2,100%,AVANCE[[#This Row],[LIMPIEZA FINAL]])</f>
        <v>0</v>
      </c>
      <c r="CO513" s="3">
        <f>+IF(AVANCE[[#This Row],[PUERTAS DORMITORIO]]=BA$2,100%,AVANCE[[#This Row],[PUERTAS DORMITORIO]])</f>
        <v>0</v>
      </c>
      <c r="CP513" s="3">
        <f>+IF(AVANCE[[#This Row],[REVESTIMIENTO INTERIOR BANO]]=BB$2,100%,AVANCE[[#This Row],[REVESTIMIENTO INTERIOR BANO]])</f>
        <v>0</v>
      </c>
      <c r="CQ513" s="3">
        <f>+IF(AVANCE[[#This Row],[MUEBLE LAVAPLATOS]]=BC$2,100%,AVANCE[[#This Row],[MUEBLE LAVAPLATOS]])</f>
        <v>0</v>
      </c>
      <c r="CR513" s="3">
        <f>+IF(AVANCE[[#This Row],[IMPERMEABILIZACION BANO - COCINA LOGIA]]=BD$2,100%,AVANCE[[#This Row],[IMPERMEABILIZACION BANO - COCINA LOGIA]])</f>
        <v>0</v>
      </c>
      <c r="CS513" s="40">
        <f ca="1">+IF(AVANCE[[#This Row],[ESTADO MODULO]]="PENDIENTE",(TODAY()-AVANCE[[#This Row],[FECHA TERMINO  PLANIFICADO]]),0)</f>
        <v>0</v>
      </c>
      <c r="CT513" s="41" t="str" cm="1">
        <f t="array" ref="CT513">_xlfn.TEXTJOIN(" | ",TRUE,IF(SUMPRODUCT((BG513:CR513&lt;1)*(PARTIDAS!$I$2:$AT$2="OBRA GRUESA"))&gt;0,"OBRA GRUESA: "&amp;_xlfn.TEXTJOIN(", ",TRUE,IF((BG513:CR513&lt;1)*(PARTIDAS!$I$2:$AT$2="OBRA GRUESA"),PARTIDAS!$I$1:$AT$1,"")),""),IF(SUMPRODUCT((BG513:CR513&lt;1)*(PARTIDAS!$I$2:$AT$2="SANITARIOS"))&gt;0,"SANITARIOS: "&amp;_xlfn.TEXTJOIN(", ",TRUE,IF((BG513:CR513&lt;1)*(PARTIDAS!$I$2:$AT$2="SANITARIOS"),PARTIDAS!$I$1:$AT$1,"")),""),IF(SUMPRODUCT((BG513:CR513&lt;1)*(PARTIDAS!$I$2:$AT$2="ELÉCTRICO"))&gt;0,"ELÉCTRICO: "&amp;_xlfn.TEXTJOIN(", ",TRUE,IF((BG513:CR513&lt;1)*(PARTIDAS!$I$2:$AT$2="ELÉCTRICO"),PARTIDAS!$I$1:$AT$1,"")),""),IF(SUMPRODUCT((BG513:CR513&lt;1)*(PARTIDAS!$I$2:$AT$2="TERMINACIONES"))&gt;0,"TERMINACIONES: "&amp;_xlfn.TEXTJOIN(", ",TRUE,IF((BG513:CR513&lt;1)*(PARTIDAS!$I$2:$AT$2="TERMINACIONES"),PARTIDAS!$I$1:$AT$1,"")),""))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3" s="43" t="str" cm="1">
        <f t="array" ref="CU513">_xlfn.TEXTJOIN(", ",TRUE,IF(SUMPRODUCT((BG513:CR513&lt;1)*(PARTIDAS!$I$2:$AT$2="OBRA GRUESA"))&gt;0,"OBRA GRUESA",""),IF(SUMPRODUCT((BG513:CR513&lt;1)*(PARTIDAS!$I$2:$AT$2="SANITARIOS"))&gt;0,"SANITARIOS",""),IF(SUMPRODUCT((BG513:CR513&lt;1)*(PARTIDAS!$I$2:$AT$2="ELÉCTRICO"))&gt;0,"ELÉCTRICO",""),IF(SUMPRODUCT((BG513:CR513&lt;1)*(PARTIDAS!$I$2:$AT$2="TERMINACIONES"))&gt;0,"TERMINACIONES",""))</f>
        <v>OBRA GRUESA, SANITARIOS, ELÉCTRICO, TERMINACIONES</v>
      </c>
      <c r="CV513" s="44" cm="1">
        <f t="array" ref="CV513">SUMPRODUCT(--(BG513:CR513&lt;1))</f>
        <v>38</v>
      </c>
    </row>
    <row r="514" spans="1:100" hidden="1" x14ac:dyDescent="0.25">
      <c r="A514" t="s">
        <v>586</v>
      </c>
      <c r="B514" t="s">
        <v>587</v>
      </c>
      <c r="C514">
        <v>2282600513</v>
      </c>
      <c r="D514" t="s">
        <v>58</v>
      </c>
      <c r="E514" s="2">
        <v>0</v>
      </c>
      <c r="F514" s="1">
        <v>46399</v>
      </c>
      <c r="G514" s="1"/>
      <c r="H514" s="1">
        <v>0</v>
      </c>
      <c r="I514" s="1">
        <v>46419</v>
      </c>
      <c r="J514">
        <v>46230</v>
      </c>
      <c r="K514" s="1"/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>
        <v>28.87</v>
      </c>
      <c r="BF514" s="3" t="str">
        <f>+IF(AVANCE[[#This Row],[% AVANCE]]=100%,"MODULO TERMINADO",IF(AVANCE[[#This Row],[FECHA INICIO REAL]]="","MODULO NO INICIADO","PENDIENTE"))</f>
        <v>MODULO NO INICIADO</v>
      </c>
      <c r="BG514" s="3">
        <f>+IF(AVANCE[[#This Row],[VENTANAS]]=8.10810810810811%,100%,AVANCE[[#This Row],[VENTANAS]])</f>
        <v>0</v>
      </c>
      <c r="BH514" s="3">
        <f>+IF(AVANCE[[#This Row],[PISO]]=N$2,100%,AVANCE[[#This Row],[PISO]])</f>
        <v>0</v>
      </c>
      <c r="BI514" s="3">
        <f>+IF(AVANCE[[#This Row],[TABIQUES]]=O$2,100%,AVANCE[[#This Row],[TABIQUES]])</f>
        <v>0</v>
      </c>
      <c r="BJ514" s="3">
        <f>+IF(AVANCE[[#This Row],[MUROS]]=P$2,100%,AVANCE[[#This Row],[MUROS]])</f>
        <v>0</v>
      </c>
      <c r="BK514" s="3">
        <f>+IF(AVANCE[[#This Row],[CIELO]]=Q$2,100%,AVANCE[[#This Row],[CIELO]])</f>
        <v>0</v>
      </c>
      <c r="BL514" s="3">
        <f>+IF(AVANCE[[#This Row],[BALCÓN]]=R$2,100%,AVANCE[[#This Row],[BALCÓN]])</f>
        <v>0</v>
      </c>
      <c r="BM514" s="3">
        <f>+IF(AVANCE[[#This Row],[RED ALCANTARILLADO]]=U$2,100%,AVANCE[[#This Row],[RED ALCANTARILLADO]])</f>
        <v>0</v>
      </c>
      <c r="BN514" s="3">
        <f>+IF(AVANCE[[#This Row],[RED DE AGUA]]=V$2,100%,AVANCE[[#This Row],[RED DE AGUA]])</f>
        <v>0</v>
      </c>
      <c r="BO514" s="3">
        <f>+IF(AVANCE[[#This Row],[VENTILACIONES]]=W$2,100%,AVANCE[[#This Row],[VENTILACIONES]])</f>
        <v>0</v>
      </c>
      <c r="BP514" s="3">
        <f>+IF(AVANCE[[#This Row],[TINA]]=X$2,100%,AVANCE[[#This Row],[TINA]])</f>
        <v>0</v>
      </c>
      <c r="BQ514" s="3">
        <f>+IF(AVANCE[[#This Row],[WC]]=Y$2,100%,AVANCE[[#This Row],[WC]])</f>
        <v>0</v>
      </c>
      <c r="BR514" s="3">
        <f>+IF(AVANCE[[#This Row],[LAVAMANOS / LAVAPLATOS / LAVADERO]]=Z$2,100%,AVANCE[[#This Row],[LAVAMANOS / LAVAPLATOS / LAVADERO]])</f>
        <v>0</v>
      </c>
      <c r="BS514" s="3">
        <f>+IF(AVANCE[[#This Row],[CANALIZACIÓN]]=AC$2,100%,AVANCE[[#This Row],[CANALIZACIÓN]])</f>
        <v>0</v>
      </c>
      <c r="BT514" s="3">
        <f>+IF(AVANCE[[#This Row],[CABLEADO]]=AD$2,100%,AVANCE[[#This Row],[CABLEADO]])</f>
        <v>0</v>
      </c>
      <c r="BU514" s="3">
        <f>+IF(AVANCE[[#This Row],[ARTEFACTOS]]=AE$2,100%,AVANCE[[#This Row],[ARTEFACTOS]])</f>
        <v>0</v>
      </c>
      <c r="BV514" s="3">
        <f>+IF(AVANCE[[#This Row],[TABLERO]]=AF$2,100%,AVANCE[[#This Row],[TABLERO]])</f>
        <v>0</v>
      </c>
      <c r="BW514" s="3">
        <f>+IF(AVANCE[[#This Row],[CAJA PAU]]=AG$2,100%,AVANCE[[#This Row],[CAJA PAU]])</f>
        <v>0</v>
      </c>
      <c r="BX514" s="3">
        <f>+IF(AVANCE[[#This Row],[INSTALACION VINILICO]]=AJ$2,100%,AVANCE[[#This Row],[INSTALACION VINILICO]])</f>
        <v>0</v>
      </c>
      <c r="BY514" s="3">
        <f>+IF(AVANCE[[#This Row],[OSB CUBIERTA]]=AK$2,100%,AVANCE[[#This Row],[OSB CUBIERTA]])</f>
        <v>0</v>
      </c>
      <c r="BZ514" s="3">
        <f>+IF(AVANCE[[#This Row],[BARANDA BALCON]]=AL$2,100%,AVANCE[[#This Row],[BARANDA BALCON]])</f>
        <v>0</v>
      </c>
      <c r="CA514" s="3">
        <f>+IF(AVANCE[[#This Row],[OSB EXTERIOR]]=AM$2,100%,AVANCE[[#This Row],[OSB EXTERIOR]])</f>
        <v>0</v>
      </c>
      <c r="CB514" s="3">
        <f>+IF(AVANCE[[#This Row],[SMART PANEL]]=AN$2,100%,AVANCE[[#This Row],[SMART PANEL]])</f>
        <v>0</v>
      </c>
      <c r="CC514" s="3">
        <f>+IF(AVANCE[[#This Row],[PINTURA EXTERIOR]]=AO$2,100%,AVANCE[[#This Row],[PINTURA EXTERIOR]])</f>
        <v>0</v>
      </c>
      <c r="CD514" s="3">
        <f>+IF(AVANCE[[#This Row],[ZOCALOS LOGIA]]=AP$2,100%,AVANCE[[#This Row],[ZOCALOS LOGIA]])</f>
        <v>0</v>
      </c>
      <c r="CE514" s="3">
        <f>+IF(AVANCE[[#This Row],[MOLDURAS]]=AQ$2,100%,AVANCE[[#This Row],[MOLDURAS]])</f>
        <v>0</v>
      </c>
      <c r="CF514" s="3">
        <f>+IF(AVANCE[[#This Row],[PILASTREO]]=AR$2,100%,AVANCE[[#This Row],[PILASTREO]])</f>
        <v>0</v>
      </c>
      <c r="CG514" s="3">
        <f>+IF(AVANCE[[#This Row],[CELOSIAS]]=AS$2,100%,AVANCE[[#This Row],[CELOSIAS]])</f>
        <v>0</v>
      </c>
      <c r="CH514" s="3">
        <f>+IF(AVANCE[[#This Row],[VENTANAS]]=AT$2,100%,AVANCE[[#This Row],[VENTANAS]])</f>
        <v>0</v>
      </c>
      <c r="CI514" s="3">
        <f>+IF(AVANCE[[#This Row],[PUERTAS ACCESO - LOGIA - BANO]]=AU$2,100%,AVANCE[[#This Row],[PUERTAS ACCESO - LOGIA - BANO]])</f>
        <v>0</v>
      </c>
      <c r="CJ514" s="3">
        <f>+IF(AVANCE[[#This Row],[CERRADURAS]]=AV$2,100%,AVANCE[[#This Row],[CERRADURAS]])</f>
        <v>0</v>
      </c>
      <c r="CK514" s="3">
        <f>+IF(AVANCE[[#This Row],[REVESTIMIENTO INTERIOR ZONA SECA]]=AW$2,100%,AVANCE[[#This Row],[REVESTIMIENTO INTERIOR ZONA SECA]])</f>
        <v>0</v>
      </c>
      <c r="CL514" s="3">
        <f>+IF(AVANCE[[#This Row],[REVESTIMIENTO INTERIOR ZONAS HUMEDAS]]=AX$2,100%,AVANCE[[#This Row],[REVESTIMIENTO INTERIOR ZONAS HUMEDAS]])</f>
        <v>0</v>
      </c>
      <c r="CM514" s="3">
        <f>+IF(AVANCE[[#This Row],[MEMBRANA CIELO]]=AY$2,100%,AVANCE[[#This Row],[MEMBRANA CIELO]])</f>
        <v>0</v>
      </c>
      <c r="CN514" s="3">
        <f>+IF(AVANCE[[#This Row],[LIMPIEZA FINAL]]=AZ$2,100%,AVANCE[[#This Row],[LIMPIEZA FINAL]])</f>
        <v>0</v>
      </c>
      <c r="CO514" s="3">
        <f>+IF(AVANCE[[#This Row],[PUERTAS DORMITORIO]]=BA$2,100%,AVANCE[[#This Row],[PUERTAS DORMITORIO]])</f>
        <v>0</v>
      </c>
      <c r="CP514" s="3">
        <f>+IF(AVANCE[[#This Row],[REVESTIMIENTO INTERIOR BANO]]=BB$2,100%,AVANCE[[#This Row],[REVESTIMIENTO INTERIOR BANO]])</f>
        <v>0</v>
      </c>
      <c r="CQ514" s="3">
        <f>+IF(AVANCE[[#This Row],[MUEBLE LAVAPLATOS]]=BC$2,100%,AVANCE[[#This Row],[MUEBLE LAVAPLATOS]])</f>
        <v>0</v>
      </c>
      <c r="CR514" s="3">
        <f>+IF(AVANCE[[#This Row],[IMPERMEABILIZACION BANO - COCINA LOGIA]]=BD$2,100%,AVANCE[[#This Row],[IMPERMEABILIZACION BANO - COCINA LOGIA]])</f>
        <v>0</v>
      </c>
      <c r="CS514" s="40">
        <f ca="1">+IF(AVANCE[[#This Row],[ESTADO MODULO]]="PENDIENTE",(TODAY()-AVANCE[[#This Row],[FECHA TERMINO  PLANIFICADO]]),0)</f>
        <v>0</v>
      </c>
      <c r="CT514" s="41" t="str" cm="1">
        <f t="array" ref="CT514">_xlfn.TEXTJOIN(" | ",TRUE,IF(SUMPRODUCT((BG514:CR514&lt;1)*(PARTIDAS!$I$2:$AT$2="OBRA GRUESA"))&gt;0,"OBRA GRUESA: "&amp;_xlfn.TEXTJOIN(", ",TRUE,IF((BG514:CR514&lt;1)*(PARTIDAS!$I$2:$AT$2="OBRA GRUESA"),PARTIDAS!$I$1:$AT$1,"")),""),IF(SUMPRODUCT((BG514:CR514&lt;1)*(PARTIDAS!$I$2:$AT$2="SANITARIOS"))&gt;0,"SANITARIOS: "&amp;_xlfn.TEXTJOIN(", ",TRUE,IF((BG514:CR514&lt;1)*(PARTIDAS!$I$2:$AT$2="SANITARIOS"),PARTIDAS!$I$1:$AT$1,"")),""),IF(SUMPRODUCT((BG514:CR514&lt;1)*(PARTIDAS!$I$2:$AT$2="ELÉCTRICO"))&gt;0,"ELÉCTRICO: "&amp;_xlfn.TEXTJOIN(", ",TRUE,IF((BG514:CR514&lt;1)*(PARTIDAS!$I$2:$AT$2="ELÉCTRICO"),PARTIDAS!$I$1:$AT$1,"")),""),IF(SUMPRODUCT((BG514:CR514&lt;1)*(PARTIDAS!$I$2:$AT$2="TERMINACIONES"))&gt;0,"TERMINACIONES: "&amp;_xlfn.TEXTJOIN(", ",TRUE,IF((BG514:CR514&lt;1)*(PARTIDAS!$I$2:$AT$2="TERMINACIONES"),PARTIDAS!$I$1:$AT$1,"")),""))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4" s="43" t="str" cm="1">
        <f t="array" ref="CU514">_xlfn.TEXTJOIN(", ",TRUE,IF(SUMPRODUCT((BG514:CR514&lt;1)*(PARTIDAS!$I$2:$AT$2="OBRA GRUESA"))&gt;0,"OBRA GRUESA",""),IF(SUMPRODUCT((BG514:CR514&lt;1)*(PARTIDAS!$I$2:$AT$2="SANITARIOS"))&gt;0,"SANITARIOS",""),IF(SUMPRODUCT((BG514:CR514&lt;1)*(PARTIDAS!$I$2:$AT$2="ELÉCTRICO"))&gt;0,"ELÉCTRICO",""),IF(SUMPRODUCT((BG514:CR514&lt;1)*(PARTIDAS!$I$2:$AT$2="TERMINACIONES"))&gt;0,"TERMINACIONES",""))</f>
        <v>OBRA GRUESA, SANITARIOS, ELÉCTRICO, TERMINACIONES</v>
      </c>
      <c r="CV514" s="44" cm="1">
        <f t="array" ref="CV514">SUMPRODUCT(--(BG514:CR514&lt;1))</f>
        <v>38</v>
      </c>
    </row>
    <row r="515" spans="1:100" hidden="1" x14ac:dyDescent="0.25">
      <c r="A515" t="s">
        <v>586</v>
      </c>
      <c r="B515" t="s">
        <v>588</v>
      </c>
      <c r="C515">
        <v>2302600514</v>
      </c>
      <c r="D515" t="s">
        <v>60</v>
      </c>
      <c r="E515" s="2">
        <v>0</v>
      </c>
      <c r="F515" s="1">
        <v>46399</v>
      </c>
      <c r="G515" s="1"/>
      <c r="H515" s="1">
        <v>0</v>
      </c>
      <c r="I515" s="1">
        <v>46429</v>
      </c>
      <c r="J515">
        <v>46230</v>
      </c>
      <c r="K515" s="1"/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>
        <v>31.32</v>
      </c>
      <c r="BF515" s="3" t="str">
        <f>+IF(AVANCE[[#This Row],[% AVANCE]]=100%,"MODULO TERMINADO",IF(AVANCE[[#This Row],[FECHA INICIO REAL]]="","MODULO NO INICIADO","PENDIENTE"))</f>
        <v>MODULO NO INICIADO</v>
      </c>
      <c r="BG515" s="3">
        <f>+IF(AVANCE[[#This Row],[VENTANAS]]=8.10810810810811%,100%,AVANCE[[#This Row],[VENTANAS]])</f>
        <v>0</v>
      </c>
      <c r="BH515" s="3">
        <f>+IF(AVANCE[[#This Row],[PISO]]=N$2,100%,AVANCE[[#This Row],[PISO]])</f>
        <v>0</v>
      </c>
      <c r="BI515" s="3">
        <f>+IF(AVANCE[[#This Row],[TABIQUES]]=O$2,100%,AVANCE[[#This Row],[TABIQUES]])</f>
        <v>0</v>
      </c>
      <c r="BJ515" s="3">
        <f>+IF(AVANCE[[#This Row],[MUROS]]=P$2,100%,AVANCE[[#This Row],[MUROS]])</f>
        <v>0</v>
      </c>
      <c r="BK515" s="3">
        <f>+IF(AVANCE[[#This Row],[CIELO]]=Q$2,100%,AVANCE[[#This Row],[CIELO]])</f>
        <v>0</v>
      </c>
      <c r="BL515" s="3">
        <f>+IF(AVANCE[[#This Row],[BALCÓN]]=R$2,100%,AVANCE[[#This Row],[BALCÓN]])</f>
        <v>0</v>
      </c>
      <c r="BM515" s="3">
        <f>+IF(AVANCE[[#This Row],[RED ALCANTARILLADO]]=U$2,100%,AVANCE[[#This Row],[RED ALCANTARILLADO]])</f>
        <v>0</v>
      </c>
      <c r="BN515" s="3">
        <f>+IF(AVANCE[[#This Row],[RED DE AGUA]]=V$2,100%,AVANCE[[#This Row],[RED DE AGUA]])</f>
        <v>0</v>
      </c>
      <c r="BO515" s="3">
        <f>+IF(AVANCE[[#This Row],[VENTILACIONES]]=W$2,100%,AVANCE[[#This Row],[VENTILACIONES]])</f>
        <v>0</v>
      </c>
      <c r="BP515" s="3">
        <f>+IF(AVANCE[[#This Row],[TINA]]=X$2,100%,AVANCE[[#This Row],[TINA]])</f>
        <v>0</v>
      </c>
      <c r="BQ515" s="3">
        <f>+IF(AVANCE[[#This Row],[WC]]=Y$2,100%,AVANCE[[#This Row],[WC]])</f>
        <v>0</v>
      </c>
      <c r="BR515" s="3">
        <f>+IF(AVANCE[[#This Row],[LAVAMANOS / LAVAPLATOS / LAVADERO]]=Z$2,100%,AVANCE[[#This Row],[LAVAMANOS / LAVAPLATOS / LAVADERO]])</f>
        <v>0</v>
      </c>
      <c r="BS515" s="3">
        <f>+IF(AVANCE[[#This Row],[CANALIZACIÓN]]=AC$2,100%,AVANCE[[#This Row],[CANALIZACIÓN]])</f>
        <v>0</v>
      </c>
      <c r="BT515" s="3">
        <f>+IF(AVANCE[[#This Row],[CABLEADO]]=AD$2,100%,AVANCE[[#This Row],[CABLEADO]])</f>
        <v>0</v>
      </c>
      <c r="BU515" s="3">
        <f>+IF(AVANCE[[#This Row],[ARTEFACTOS]]=AE$2,100%,AVANCE[[#This Row],[ARTEFACTOS]])</f>
        <v>0</v>
      </c>
      <c r="BV515" s="3">
        <f>+IF(AVANCE[[#This Row],[TABLERO]]=AF$2,100%,AVANCE[[#This Row],[TABLERO]])</f>
        <v>0</v>
      </c>
      <c r="BW515" s="3">
        <f>+IF(AVANCE[[#This Row],[CAJA PAU]]=AG$2,100%,AVANCE[[#This Row],[CAJA PAU]])</f>
        <v>0</v>
      </c>
      <c r="BX515" s="3">
        <f>+IF(AVANCE[[#This Row],[INSTALACION VINILICO]]=AJ$2,100%,AVANCE[[#This Row],[INSTALACION VINILICO]])</f>
        <v>0</v>
      </c>
      <c r="BY515" s="3">
        <f>+IF(AVANCE[[#This Row],[OSB CUBIERTA]]=AK$2,100%,AVANCE[[#This Row],[OSB CUBIERTA]])</f>
        <v>0</v>
      </c>
      <c r="BZ515" s="3">
        <f>+IF(AVANCE[[#This Row],[BARANDA BALCON]]=AL$2,100%,AVANCE[[#This Row],[BARANDA BALCON]])</f>
        <v>0</v>
      </c>
      <c r="CA515" s="3">
        <f>+IF(AVANCE[[#This Row],[OSB EXTERIOR]]=AM$2,100%,AVANCE[[#This Row],[OSB EXTERIOR]])</f>
        <v>0</v>
      </c>
      <c r="CB515" s="3">
        <f>+IF(AVANCE[[#This Row],[SMART PANEL]]=AN$2,100%,AVANCE[[#This Row],[SMART PANEL]])</f>
        <v>0</v>
      </c>
      <c r="CC515" s="3">
        <f>+IF(AVANCE[[#This Row],[PINTURA EXTERIOR]]=AO$2,100%,AVANCE[[#This Row],[PINTURA EXTERIOR]])</f>
        <v>0</v>
      </c>
      <c r="CD515" s="3">
        <f>+IF(AVANCE[[#This Row],[ZOCALOS LOGIA]]=AP$2,100%,AVANCE[[#This Row],[ZOCALOS LOGIA]])</f>
        <v>0</v>
      </c>
      <c r="CE515" s="3">
        <f>+IF(AVANCE[[#This Row],[MOLDURAS]]=AQ$2,100%,AVANCE[[#This Row],[MOLDURAS]])</f>
        <v>0</v>
      </c>
      <c r="CF515" s="3">
        <f>+IF(AVANCE[[#This Row],[PILASTREO]]=AR$2,100%,AVANCE[[#This Row],[PILASTREO]])</f>
        <v>0</v>
      </c>
      <c r="CG515" s="3">
        <f>+IF(AVANCE[[#This Row],[CELOSIAS]]=AS$2,100%,AVANCE[[#This Row],[CELOSIAS]])</f>
        <v>0</v>
      </c>
      <c r="CH515" s="3">
        <f>+IF(AVANCE[[#This Row],[VENTANAS]]=AT$2,100%,AVANCE[[#This Row],[VENTANAS]])</f>
        <v>0</v>
      </c>
      <c r="CI515" s="3">
        <f>+IF(AVANCE[[#This Row],[PUERTAS ACCESO - LOGIA - BANO]]=AU$2,100%,AVANCE[[#This Row],[PUERTAS ACCESO - LOGIA - BANO]])</f>
        <v>0</v>
      </c>
      <c r="CJ515" s="3">
        <f>+IF(AVANCE[[#This Row],[CERRADURAS]]=AV$2,100%,AVANCE[[#This Row],[CERRADURAS]])</f>
        <v>0</v>
      </c>
      <c r="CK515" s="3">
        <f>+IF(AVANCE[[#This Row],[REVESTIMIENTO INTERIOR ZONA SECA]]=AW$2,100%,AVANCE[[#This Row],[REVESTIMIENTO INTERIOR ZONA SECA]])</f>
        <v>0</v>
      </c>
      <c r="CL515" s="3">
        <f>+IF(AVANCE[[#This Row],[REVESTIMIENTO INTERIOR ZONAS HUMEDAS]]=AX$2,100%,AVANCE[[#This Row],[REVESTIMIENTO INTERIOR ZONAS HUMEDAS]])</f>
        <v>0</v>
      </c>
      <c r="CM515" s="3">
        <f>+IF(AVANCE[[#This Row],[MEMBRANA CIELO]]=AY$2,100%,AVANCE[[#This Row],[MEMBRANA CIELO]])</f>
        <v>0</v>
      </c>
      <c r="CN515" s="3">
        <f>+IF(AVANCE[[#This Row],[LIMPIEZA FINAL]]=AZ$2,100%,AVANCE[[#This Row],[LIMPIEZA FINAL]])</f>
        <v>0</v>
      </c>
      <c r="CO515" s="3">
        <f>+IF(AVANCE[[#This Row],[PUERTAS DORMITORIO]]=BA$2,100%,AVANCE[[#This Row],[PUERTAS DORMITORIO]])</f>
        <v>0</v>
      </c>
      <c r="CP515" s="3">
        <f>+IF(AVANCE[[#This Row],[REVESTIMIENTO INTERIOR BANO]]=BB$2,100%,AVANCE[[#This Row],[REVESTIMIENTO INTERIOR BANO]])</f>
        <v>0</v>
      </c>
      <c r="CQ515" s="3">
        <f>+IF(AVANCE[[#This Row],[MUEBLE LAVAPLATOS]]=BC$2,100%,AVANCE[[#This Row],[MUEBLE LAVAPLATOS]])</f>
        <v>0</v>
      </c>
      <c r="CR515" s="3">
        <f>+IF(AVANCE[[#This Row],[IMPERMEABILIZACION BANO - COCINA LOGIA]]=BD$2,100%,AVANCE[[#This Row],[IMPERMEABILIZACION BANO - COCINA LOGIA]])</f>
        <v>0</v>
      </c>
      <c r="CS515" s="40">
        <f ca="1">+IF(AVANCE[[#This Row],[ESTADO MODULO]]="PENDIENTE",(TODAY()-AVANCE[[#This Row],[FECHA TERMINO  PLANIFICADO]]),0)</f>
        <v>0</v>
      </c>
      <c r="CT515" s="41" t="str" cm="1">
        <f t="array" ref="CT515">_xlfn.TEXTJOIN(" | ",TRUE,IF(SUMPRODUCT((BG515:CR515&lt;1)*(PARTIDAS!$I$2:$AT$2="OBRA GRUESA"))&gt;0,"OBRA GRUESA: "&amp;_xlfn.TEXTJOIN(", ",TRUE,IF((BG515:CR515&lt;1)*(PARTIDAS!$I$2:$AT$2="OBRA GRUESA"),PARTIDAS!$I$1:$AT$1,"")),""),IF(SUMPRODUCT((BG515:CR515&lt;1)*(PARTIDAS!$I$2:$AT$2="SANITARIOS"))&gt;0,"SANITARIOS: "&amp;_xlfn.TEXTJOIN(", ",TRUE,IF((BG515:CR515&lt;1)*(PARTIDAS!$I$2:$AT$2="SANITARIOS"),PARTIDAS!$I$1:$AT$1,"")),""),IF(SUMPRODUCT((BG515:CR515&lt;1)*(PARTIDAS!$I$2:$AT$2="ELÉCTRICO"))&gt;0,"ELÉCTRICO: "&amp;_xlfn.TEXTJOIN(", ",TRUE,IF((BG515:CR515&lt;1)*(PARTIDAS!$I$2:$AT$2="ELÉCTRICO"),PARTIDAS!$I$1:$AT$1,"")),""),IF(SUMPRODUCT((BG515:CR515&lt;1)*(PARTIDAS!$I$2:$AT$2="TERMINACIONES"))&gt;0,"TERMINACIONES: "&amp;_xlfn.TEXTJOIN(", ",TRUE,IF((BG515:CR515&lt;1)*(PARTIDAS!$I$2:$AT$2="TERMINACIONES"),PARTIDAS!$I$1:$AT$1,"")),""))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5" s="43" t="str" cm="1">
        <f t="array" ref="CU515">_xlfn.TEXTJOIN(", ",TRUE,IF(SUMPRODUCT((BG515:CR515&lt;1)*(PARTIDAS!$I$2:$AT$2="OBRA GRUESA"))&gt;0,"OBRA GRUESA",""),IF(SUMPRODUCT((BG515:CR515&lt;1)*(PARTIDAS!$I$2:$AT$2="SANITARIOS"))&gt;0,"SANITARIOS",""),IF(SUMPRODUCT((BG515:CR515&lt;1)*(PARTIDAS!$I$2:$AT$2="ELÉCTRICO"))&gt;0,"ELÉCTRICO",""),IF(SUMPRODUCT((BG515:CR515&lt;1)*(PARTIDAS!$I$2:$AT$2="TERMINACIONES"))&gt;0,"TERMINACIONES",""))</f>
        <v>OBRA GRUESA, SANITARIOS, ELÉCTRICO, TERMINACIONES</v>
      </c>
      <c r="CV515" s="44" cm="1">
        <f t="array" ref="CV515">SUMPRODUCT(--(BG515:CR515&lt;1))</f>
        <v>38</v>
      </c>
    </row>
    <row r="516" spans="1:100" hidden="1" x14ac:dyDescent="0.25">
      <c r="A516" t="s">
        <v>586</v>
      </c>
      <c r="B516" t="s">
        <v>589</v>
      </c>
      <c r="C516">
        <v>2302600515</v>
      </c>
      <c r="D516" t="s">
        <v>60</v>
      </c>
      <c r="E516" s="2">
        <v>0</v>
      </c>
      <c r="F516" s="1">
        <v>46400</v>
      </c>
      <c r="G516" s="1"/>
      <c r="H516" s="1">
        <v>0</v>
      </c>
      <c r="I516" s="1">
        <v>46430</v>
      </c>
      <c r="J516">
        <v>46230</v>
      </c>
      <c r="K516" s="1"/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>
        <v>31.32</v>
      </c>
      <c r="BF516" s="3" t="str">
        <f>+IF(AVANCE[[#This Row],[% AVANCE]]=100%,"MODULO TERMINADO",IF(AVANCE[[#This Row],[FECHA INICIO REAL]]="","MODULO NO INICIADO","PENDIENTE"))</f>
        <v>MODULO NO INICIADO</v>
      </c>
      <c r="BG516" s="3">
        <f>+IF(AVANCE[[#This Row],[VENTANAS]]=8.10810810810811%,100%,AVANCE[[#This Row],[VENTANAS]])</f>
        <v>0</v>
      </c>
      <c r="BH516" s="3">
        <f>+IF(AVANCE[[#This Row],[PISO]]=N$2,100%,AVANCE[[#This Row],[PISO]])</f>
        <v>0</v>
      </c>
      <c r="BI516" s="3">
        <f>+IF(AVANCE[[#This Row],[TABIQUES]]=O$2,100%,AVANCE[[#This Row],[TABIQUES]])</f>
        <v>0</v>
      </c>
      <c r="BJ516" s="3">
        <f>+IF(AVANCE[[#This Row],[MUROS]]=P$2,100%,AVANCE[[#This Row],[MUROS]])</f>
        <v>0</v>
      </c>
      <c r="BK516" s="3">
        <f>+IF(AVANCE[[#This Row],[CIELO]]=Q$2,100%,AVANCE[[#This Row],[CIELO]])</f>
        <v>0</v>
      </c>
      <c r="BL516" s="3">
        <f>+IF(AVANCE[[#This Row],[BALCÓN]]=R$2,100%,AVANCE[[#This Row],[BALCÓN]])</f>
        <v>0</v>
      </c>
      <c r="BM516" s="3">
        <f>+IF(AVANCE[[#This Row],[RED ALCANTARILLADO]]=U$2,100%,AVANCE[[#This Row],[RED ALCANTARILLADO]])</f>
        <v>0</v>
      </c>
      <c r="BN516" s="3">
        <f>+IF(AVANCE[[#This Row],[RED DE AGUA]]=V$2,100%,AVANCE[[#This Row],[RED DE AGUA]])</f>
        <v>0</v>
      </c>
      <c r="BO516" s="3">
        <f>+IF(AVANCE[[#This Row],[VENTILACIONES]]=W$2,100%,AVANCE[[#This Row],[VENTILACIONES]])</f>
        <v>0</v>
      </c>
      <c r="BP516" s="3">
        <f>+IF(AVANCE[[#This Row],[TINA]]=X$2,100%,AVANCE[[#This Row],[TINA]])</f>
        <v>0</v>
      </c>
      <c r="BQ516" s="3">
        <f>+IF(AVANCE[[#This Row],[WC]]=Y$2,100%,AVANCE[[#This Row],[WC]])</f>
        <v>0</v>
      </c>
      <c r="BR516" s="3">
        <f>+IF(AVANCE[[#This Row],[LAVAMANOS / LAVAPLATOS / LAVADERO]]=Z$2,100%,AVANCE[[#This Row],[LAVAMANOS / LAVAPLATOS / LAVADERO]])</f>
        <v>0</v>
      </c>
      <c r="BS516" s="3">
        <f>+IF(AVANCE[[#This Row],[CANALIZACIÓN]]=AC$2,100%,AVANCE[[#This Row],[CANALIZACIÓN]])</f>
        <v>0</v>
      </c>
      <c r="BT516" s="3">
        <f>+IF(AVANCE[[#This Row],[CABLEADO]]=AD$2,100%,AVANCE[[#This Row],[CABLEADO]])</f>
        <v>0</v>
      </c>
      <c r="BU516" s="3">
        <f>+IF(AVANCE[[#This Row],[ARTEFACTOS]]=AE$2,100%,AVANCE[[#This Row],[ARTEFACTOS]])</f>
        <v>0</v>
      </c>
      <c r="BV516" s="3">
        <f>+IF(AVANCE[[#This Row],[TABLERO]]=AF$2,100%,AVANCE[[#This Row],[TABLERO]])</f>
        <v>0</v>
      </c>
      <c r="BW516" s="3">
        <f>+IF(AVANCE[[#This Row],[CAJA PAU]]=AG$2,100%,AVANCE[[#This Row],[CAJA PAU]])</f>
        <v>0</v>
      </c>
      <c r="BX516" s="3">
        <f>+IF(AVANCE[[#This Row],[INSTALACION VINILICO]]=AJ$2,100%,AVANCE[[#This Row],[INSTALACION VINILICO]])</f>
        <v>0</v>
      </c>
      <c r="BY516" s="3">
        <f>+IF(AVANCE[[#This Row],[OSB CUBIERTA]]=AK$2,100%,AVANCE[[#This Row],[OSB CUBIERTA]])</f>
        <v>0</v>
      </c>
      <c r="BZ516" s="3">
        <f>+IF(AVANCE[[#This Row],[BARANDA BALCON]]=AL$2,100%,AVANCE[[#This Row],[BARANDA BALCON]])</f>
        <v>0</v>
      </c>
      <c r="CA516" s="3">
        <f>+IF(AVANCE[[#This Row],[OSB EXTERIOR]]=AM$2,100%,AVANCE[[#This Row],[OSB EXTERIOR]])</f>
        <v>0</v>
      </c>
      <c r="CB516" s="3">
        <f>+IF(AVANCE[[#This Row],[SMART PANEL]]=AN$2,100%,AVANCE[[#This Row],[SMART PANEL]])</f>
        <v>0</v>
      </c>
      <c r="CC516" s="3">
        <f>+IF(AVANCE[[#This Row],[PINTURA EXTERIOR]]=AO$2,100%,AVANCE[[#This Row],[PINTURA EXTERIOR]])</f>
        <v>0</v>
      </c>
      <c r="CD516" s="3">
        <f>+IF(AVANCE[[#This Row],[ZOCALOS LOGIA]]=AP$2,100%,AVANCE[[#This Row],[ZOCALOS LOGIA]])</f>
        <v>0</v>
      </c>
      <c r="CE516" s="3">
        <f>+IF(AVANCE[[#This Row],[MOLDURAS]]=AQ$2,100%,AVANCE[[#This Row],[MOLDURAS]])</f>
        <v>0</v>
      </c>
      <c r="CF516" s="3">
        <f>+IF(AVANCE[[#This Row],[PILASTREO]]=AR$2,100%,AVANCE[[#This Row],[PILASTREO]])</f>
        <v>0</v>
      </c>
      <c r="CG516" s="3">
        <f>+IF(AVANCE[[#This Row],[CELOSIAS]]=AS$2,100%,AVANCE[[#This Row],[CELOSIAS]])</f>
        <v>0</v>
      </c>
      <c r="CH516" s="3">
        <f>+IF(AVANCE[[#This Row],[VENTANAS]]=AT$2,100%,AVANCE[[#This Row],[VENTANAS]])</f>
        <v>0</v>
      </c>
      <c r="CI516" s="3">
        <f>+IF(AVANCE[[#This Row],[PUERTAS ACCESO - LOGIA - BANO]]=AU$2,100%,AVANCE[[#This Row],[PUERTAS ACCESO - LOGIA - BANO]])</f>
        <v>0</v>
      </c>
      <c r="CJ516" s="3">
        <f>+IF(AVANCE[[#This Row],[CERRADURAS]]=AV$2,100%,AVANCE[[#This Row],[CERRADURAS]])</f>
        <v>0</v>
      </c>
      <c r="CK516" s="3">
        <f>+IF(AVANCE[[#This Row],[REVESTIMIENTO INTERIOR ZONA SECA]]=AW$2,100%,AVANCE[[#This Row],[REVESTIMIENTO INTERIOR ZONA SECA]])</f>
        <v>0</v>
      </c>
      <c r="CL516" s="3">
        <f>+IF(AVANCE[[#This Row],[REVESTIMIENTO INTERIOR ZONAS HUMEDAS]]=AX$2,100%,AVANCE[[#This Row],[REVESTIMIENTO INTERIOR ZONAS HUMEDAS]])</f>
        <v>0</v>
      </c>
      <c r="CM516" s="3">
        <f>+IF(AVANCE[[#This Row],[MEMBRANA CIELO]]=AY$2,100%,AVANCE[[#This Row],[MEMBRANA CIELO]])</f>
        <v>0</v>
      </c>
      <c r="CN516" s="3">
        <f>+IF(AVANCE[[#This Row],[LIMPIEZA FINAL]]=AZ$2,100%,AVANCE[[#This Row],[LIMPIEZA FINAL]])</f>
        <v>0</v>
      </c>
      <c r="CO516" s="3">
        <f>+IF(AVANCE[[#This Row],[PUERTAS DORMITORIO]]=BA$2,100%,AVANCE[[#This Row],[PUERTAS DORMITORIO]])</f>
        <v>0</v>
      </c>
      <c r="CP516" s="3">
        <f>+IF(AVANCE[[#This Row],[REVESTIMIENTO INTERIOR BANO]]=BB$2,100%,AVANCE[[#This Row],[REVESTIMIENTO INTERIOR BANO]])</f>
        <v>0</v>
      </c>
      <c r="CQ516" s="3">
        <f>+IF(AVANCE[[#This Row],[MUEBLE LAVAPLATOS]]=BC$2,100%,AVANCE[[#This Row],[MUEBLE LAVAPLATOS]])</f>
        <v>0</v>
      </c>
      <c r="CR516" s="3">
        <f>+IF(AVANCE[[#This Row],[IMPERMEABILIZACION BANO - COCINA LOGIA]]=BD$2,100%,AVANCE[[#This Row],[IMPERMEABILIZACION BANO - COCINA LOGIA]])</f>
        <v>0</v>
      </c>
      <c r="CS516" s="40">
        <f ca="1">+IF(AVANCE[[#This Row],[ESTADO MODULO]]="PENDIENTE",(TODAY()-AVANCE[[#This Row],[FECHA TERMINO  PLANIFICADO]]),0)</f>
        <v>0</v>
      </c>
      <c r="CT516" s="41" t="str" cm="1">
        <f t="array" ref="CT516">_xlfn.TEXTJOIN(" | ",TRUE,IF(SUMPRODUCT((BG516:CR516&lt;1)*(PARTIDAS!$I$2:$AT$2="OBRA GRUESA"))&gt;0,"OBRA GRUESA: "&amp;_xlfn.TEXTJOIN(", ",TRUE,IF((BG516:CR516&lt;1)*(PARTIDAS!$I$2:$AT$2="OBRA GRUESA"),PARTIDAS!$I$1:$AT$1,"")),""),IF(SUMPRODUCT((BG516:CR516&lt;1)*(PARTIDAS!$I$2:$AT$2="SANITARIOS"))&gt;0,"SANITARIOS: "&amp;_xlfn.TEXTJOIN(", ",TRUE,IF((BG516:CR516&lt;1)*(PARTIDAS!$I$2:$AT$2="SANITARIOS"),PARTIDAS!$I$1:$AT$1,"")),""),IF(SUMPRODUCT((BG516:CR516&lt;1)*(PARTIDAS!$I$2:$AT$2="ELÉCTRICO"))&gt;0,"ELÉCTRICO: "&amp;_xlfn.TEXTJOIN(", ",TRUE,IF((BG516:CR516&lt;1)*(PARTIDAS!$I$2:$AT$2="ELÉCTRICO"),PARTIDAS!$I$1:$AT$1,"")),""),IF(SUMPRODUCT((BG516:CR516&lt;1)*(PARTIDAS!$I$2:$AT$2="TERMINACIONES"))&gt;0,"TERMINACIONES: "&amp;_xlfn.TEXTJOIN(", ",TRUE,IF((BG516:CR516&lt;1)*(PARTIDAS!$I$2:$AT$2="TERMINACIONES"),PARTIDAS!$I$1:$AT$1,"")),""))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6" s="43" t="str" cm="1">
        <f t="array" ref="CU516">_xlfn.TEXTJOIN(", ",TRUE,IF(SUMPRODUCT((BG516:CR516&lt;1)*(PARTIDAS!$I$2:$AT$2="OBRA GRUESA"))&gt;0,"OBRA GRUESA",""),IF(SUMPRODUCT((BG516:CR516&lt;1)*(PARTIDAS!$I$2:$AT$2="SANITARIOS"))&gt;0,"SANITARIOS",""),IF(SUMPRODUCT((BG516:CR516&lt;1)*(PARTIDAS!$I$2:$AT$2="ELÉCTRICO"))&gt;0,"ELÉCTRICO",""),IF(SUMPRODUCT((BG516:CR516&lt;1)*(PARTIDAS!$I$2:$AT$2="TERMINACIONES"))&gt;0,"TERMINACIONES",""))</f>
        <v>OBRA GRUESA, SANITARIOS, ELÉCTRICO, TERMINACIONES</v>
      </c>
      <c r="CV516" s="44" cm="1">
        <f t="array" ref="CV516">SUMPRODUCT(--(BG516:CR516&lt;1))</f>
        <v>38</v>
      </c>
    </row>
    <row r="517" spans="1:100" hidden="1" x14ac:dyDescent="0.25">
      <c r="A517" t="s">
        <v>586</v>
      </c>
      <c r="B517" t="s">
        <v>590</v>
      </c>
      <c r="C517">
        <v>2282600516</v>
      </c>
      <c r="D517" t="s">
        <v>58</v>
      </c>
      <c r="E517" s="2">
        <v>0</v>
      </c>
      <c r="F517" s="1">
        <v>46400</v>
      </c>
      <c r="G517" s="1"/>
      <c r="H517" s="1">
        <v>0</v>
      </c>
      <c r="I517" s="1">
        <v>46420</v>
      </c>
      <c r="J517">
        <v>46230</v>
      </c>
      <c r="K517" s="1"/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>
        <v>28.87</v>
      </c>
      <c r="BF517" s="3" t="str">
        <f>+IF(AVANCE[[#This Row],[% AVANCE]]=100%,"MODULO TERMINADO",IF(AVANCE[[#This Row],[FECHA INICIO REAL]]="","MODULO NO INICIADO","PENDIENTE"))</f>
        <v>MODULO NO INICIADO</v>
      </c>
      <c r="BG517" s="3">
        <f>+IF(AVANCE[[#This Row],[VENTANAS]]=8.10810810810811%,100%,AVANCE[[#This Row],[VENTANAS]])</f>
        <v>0</v>
      </c>
      <c r="BH517" s="3">
        <f>+IF(AVANCE[[#This Row],[PISO]]=N$2,100%,AVANCE[[#This Row],[PISO]])</f>
        <v>0</v>
      </c>
      <c r="BI517" s="3">
        <f>+IF(AVANCE[[#This Row],[TABIQUES]]=O$2,100%,AVANCE[[#This Row],[TABIQUES]])</f>
        <v>0</v>
      </c>
      <c r="BJ517" s="3">
        <f>+IF(AVANCE[[#This Row],[MUROS]]=P$2,100%,AVANCE[[#This Row],[MUROS]])</f>
        <v>0</v>
      </c>
      <c r="BK517" s="3">
        <f>+IF(AVANCE[[#This Row],[CIELO]]=Q$2,100%,AVANCE[[#This Row],[CIELO]])</f>
        <v>0</v>
      </c>
      <c r="BL517" s="3">
        <f>+IF(AVANCE[[#This Row],[BALCÓN]]=R$2,100%,AVANCE[[#This Row],[BALCÓN]])</f>
        <v>0</v>
      </c>
      <c r="BM517" s="3">
        <f>+IF(AVANCE[[#This Row],[RED ALCANTARILLADO]]=U$2,100%,AVANCE[[#This Row],[RED ALCANTARILLADO]])</f>
        <v>0</v>
      </c>
      <c r="BN517" s="3">
        <f>+IF(AVANCE[[#This Row],[RED DE AGUA]]=V$2,100%,AVANCE[[#This Row],[RED DE AGUA]])</f>
        <v>0</v>
      </c>
      <c r="BO517" s="3">
        <f>+IF(AVANCE[[#This Row],[VENTILACIONES]]=W$2,100%,AVANCE[[#This Row],[VENTILACIONES]])</f>
        <v>0</v>
      </c>
      <c r="BP517" s="3">
        <f>+IF(AVANCE[[#This Row],[TINA]]=X$2,100%,AVANCE[[#This Row],[TINA]])</f>
        <v>0</v>
      </c>
      <c r="BQ517" s="3">
        <f>+IF(AVANCE[[#This Row],[WC]]=Y$2,100%,AVANCE[[#This Row],[WC]])</f>
        <v>0</v>
      </c>
      <c r="BR517" s="3">
        <f>+IF(AVANCE[[#This Row],[LAVAMANOS / LAVAPLATOS / LAVADERO]]=Z$2,100%,AVANCE[[#This Row],[LAVAMANOS / LAVAPLATOS / LAVADERO]])</f>
        <v>0</v>
      </c>
      <c r="BS517" s="3">
        <f>+IF(AVANCE[[#This Row],[CANALIZACIÓN]]=AC$2,100%,AVANCE[[#This Row],[CANALIZACIÓN]])</f>
        <v>0</v>
      </c>
      <c r="BT517" s="3">
        <f>+IF(AVANCE[[#This Row],[CABLEADO]]=AD$2,100%,AVANCE[[#This Row],[CABLEADO]])</f>
        <v>0</v>
      </c>
      <c r="BU517" s="3">
        <f>+IF(AVANCE[[#This Row],[ARTEFACTOS]]=AE$2,100%,AVANCE[[#This Row],[ARTEFACTOS]])</f>
        <v>0</v>
      </c>
      <c r="BV517" s="3">
        <f>+IF(AVANCE[[#This Row],[TABLERO]]=AF$2,100%,AVANCE[[#This Row],[TABLERO]])</f>
        <v>0</v>
      </c>
      <c r="BW517" s="3">
        <f>+IF(AVANCE[[#This Row],[CAJA PAU]]=AG$2,100%,AVANCE[[#This Row],[CAJA PAU]])</f>
        <v>0</v>
      </c>
      <c r="BX517" s="3">
        <f>+IF(AVANCE[[#This Row],[INSTALACION VINILICO]]=AJ$2,100%,AVANCE[[#This Row],[INSTALACION VINILICO]])</f>
        <v>0</v>
      </c>
      <c r="BY517" s="3">
        <f>+IF(AVANCE[[#This Row],[OSB CUBIERTA]]=AK$2,100%,AVANCE[[#This Row],[OSB CUBIERTA]])</f>
        <v>0</v>
      </c>
      <c r="BZ517" s="3">
        <f>+IF(AVANCE[[#This Row],[BARANDA BALCON]]=AL$2,100%,AVANCE[[#This Row],[BARANDA BALCON]])</f>
        <v>0</v>
      </c>
      <c r="CA517" s="3">
        <f>+IF(AVANCE[[#This Row],[OSB EXTERIOR]]=AM$2,100%,AVANCE[[#This Row],[OSB EXTERIOR]])</f>
        <v>0</v>
      </c>
      <c r="CB517" s="3">
        <f>+IF(AVANCE[[#This Row],[SMART PANEL]]=AN$2,100%,AVANCE[[#This Row],[SMART PANEL]])</f>
        <v>0</v>
      </c>
      <c r="CC517" s="3">
        <f>+IF(AVANCE[[#This Row],[PINTURA EXTERIOR]]=AO$2,100%,AVANCE[[#This Row],[PINTURA EXTERIOR]])</f>
        <v>0</v>
      </c>
      <c r="CD517" s="3">
        <f>+IF(AVANCE[[#This Row],[ZOCALOS LOGIA]]=AP$2,100%,AVANCE[[#This Row],[ZOCALOS LOGIA]])</f>
        <v>0</v>
      </c>
      <c r="CE517" s="3">
        <f>+IF(AVANCE[[#This Row],[MOLDURAS]]=AQ$2,100%,AVANCE[[#This Row],[MOLDURAS]])</f>
        <v>0</v>
      </c>
      <c r="CF517" s="3">
        <f>+IF(AVANCE[[#This Row],[PILASTREO]]=AR$2,100%,AVANCE[[#This Row],[PILASTREO]])</f>
        <v>0</v>
      </c>
      <c r="CG517" s="3">
        <f>+IF(AVANCE[[#This Row],[CELOSIAS]]=AS$2,100%,AVANCE[[#This Row],[CELOSIAS]])</f>
        <v>0</v>
      </c>
      <c r="CH517" s="3">
        <f>+IF(AVANCE[[#This Row],[VENTANAS]]=AT$2,100%,AVANCE[[#This Row],[VENTANAS]])</f>
        <v>0</v>
      </c>
      <c r="CI517" s="3">
        <f>+IF(AVANCE[[#This Row],[PUERTAS ACCESO - LOGIA - BANO]]=AU$2,100%,AVANCE[[#This Row],[PUERTAS ACCESO - LOGIA - BANO]])</f>
        <v>0</v>
      </c>
      <c r="CJ517" s="3">
        <f>+IF(AVANCE[[#This Row],[CERRADURAS]]=AV$2,100%,AVANCE[[#This Row],[CERRADURAS]])</f>
        <v>0</v>
      </c>
      <c r="CK517" s="3">
        <f>+IF(AVANCE[[#This Row],[REVESTIMIENTO INTERIOR ZONA SECA]]=AW$2,100%,AVANCE[[#This Row],[REVESTIMIENTO INTERIOR ZONA SECA]])</f>
        <v>0</v>
      </c>
      <c r="CL517" s="3">
        <f>+IF(AVANCE[[#This Row],[REVESTIMIENTO INTERIOR ZONAS HUMEDAS]]=AX$2,100%,AVANCE[[#This Row],[REVESTIMIENTO INTERIOR ZONAS HUMEDAS]])</f>
        <v>0</v>
      </c>
      <c r="CM517" s="3">
        <f>+IF(AVANCE[[#This Row],[MEMBRANA CIELO]]=AY$2,100%,AVANCE[[#This Row],[MEMBRANA CIELO]])</f>
        <v>0</v>
      </c>
      <c r="CN517" s="3">
        <f>+IF(AVANCE[[#This Row],[LIMPIEZA FINAL]]=AZ$2,100%,AVANCE[[#This Row],[LIMPIEZA FINAL]])</f>
        <v>0</v>
      </c>
      <c r="CO517" s="3">
        <f>+IF(AVANCE[[#This Row],[PUERTAS DORMITORIO]]=BA$2,100%,AVANCE[[#This Row],[PUERTAS DORMITORIO]])</f>
        <v>0</v>
      </c>
      <c r="CP517" s="3">
        <f>+IF(AVANCE[[#This Row],[REVESTIMIENTO INTERIOR BANO]]=BB$2,100%,AVANCE[[#This Row],[REVESTIMIENTO INTERIOR BANO]])</f>
        <v>0</v>
      </c>
      <c r="CQ517" s="3">
        <f>+IF(AVANCE[[#This Row],[MUEBLE LAVAPLATOS]]=BC$2,100%,AVANCE[[#This Row],[MUEBLE LAVAPLATOS]])</f>
        <v>0</v>
      </c>
      <c r="CR517" s="3">
        <f>+IF(AVANCE[[#This Row],[IMPERMEABILIZACION BANO - COCINA LOGIA]]=BD$2,100%,AVANCE[[#This Row],[IMPERMEABILIZACION BANO - COCINA LOGIA]])</f>
        <v>0</v>
      </c>
      <c r="CS517" s="40">
        <f ca="1">+IF(AVANCE[[#This Row],[ESTADO MODULO]]="PENDIENTE",(TODAY()-AVANCE[[#This Row],[FECHA TERMINO  PLANIFICADO]]),0)</f>
        <v>0</v>
      </c>
      <c r="CT517" s="41" t="str" cm="1">
        <f t="array" ref="CT517">_xlfn.TEXTJOIN(" | ",TRUE,IF(SUMPRODUCT((BG517:CR517&lt;1)*(PARTIDAS!$I$2:$AT$2="OBRA GRUESA"))&gt;0,"OBRA GRUESA: "&amp;_xlfn.TEXTJOIN(", ",TRUE,IF((BG517:CR517&lt;1)*(PARTIDAS!$I$2:$AT$2="OBRA GRUESA"),PARTIDAS!$I$1:$AT$1,"")),""),IF(SUMPRODUCT((BG517:CR517&lt;1)*(PARTIDAS!$I$2:$AT$2="SANITARIOS"))&gt;0,"SANITARIOS: "&amp;_xlfn.TEXTJOIN(", ",TRUE,IF((BG517:CR517&lt;1)*(PARTIDAS!$I$2:$AT$2="SANITARIOS"),PARTIDAS!$I$1:$AT$1,"")),""),IF(SUMPRODUCT((BG517:CR517&lt;1)*(PARTIDAS!$I$2:$AT$2="ELÉCTRICO"))&gt;0,"ELÉCTRICO: "&amp;_xlfn.TEXTJOIN(", ",TRUE,IF((BG517:CR517&lt;1)*(PARTIDAS!$I$2:$AT$2="ELÉCTRICO"),PARTIDAS!$I$1:$AT$1,"")),""),IF(SUMPRODUCT((BG517:CR517&lt;1)*(PARTIDAS!$I$2:$AT$2="TERMINACIONES"))&gt;0,"TERMINACIONES: "&amp;_xlfn.TEXTJOIN(", ",TRUE,IF((BG517:CR517&lt;1)*(PARTIDAS!$I$2:$AT$2="TERMINACIONES"),PARTIDAS!$I$1:$AT$1,"")),""))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7" s="43" t="str" cm="1">
        <f t="array" ref="CU517">_xlfn.TEXTJOIN(", ",TRUE,IF(SUMPRODUCT((BG517:CR517&lt;1)*(PARTIDAS!$I$2:$AT$2="OBRA GRUESA"))&gt;0,"OBRA GRUESA",""),IF(SUMPRODUCT((BG517:CR517&lt;1)*(PARTIDAS!$I$2:$AT$2="SANITARIOS"))&gt;0,"SANITARIOS",""),IF(SUMPRODUCT((BG517:CR517&lt;1)*(PARTIDAS!$I$2:$AT$2="ELÉCTRICO"))&gt;0,"ELÉCTRICO",""),IF(SUMPRODUCT((BG517:CR517&lt;1)*(PARTIDAS!$I$2:$AT$2="TERMINACIONES"))&gt;0,"TERMINACIONES",""))</f>
        <v>OBRA GRUESA, SANITARIOS, ELÉCTRICO, TERMINACIONES</v>
      </c>
      <c r="CV517" s="44" cm="1">
        <f t="array" ref="CV517">SUMPRODUCT(--(BG517:CR517&lt;1))</f>
        <v>38</v>
      </c>
    </row>
    <row r="518" spans="1:100" hidden="1" x14ac:dyDescent="0.25">
      <c r="A518" t="s">
        <v>586</v>
      </c>
      <c r="B518" t="s">
        <v>591</v>
      </c>
      <c r="C518">
        <v>2282600517</v>
      </c>
      <c r="D518" t="s">
        <v>58</v>
      </c>
      <c r="E518" s="2">
        <v>0</v>
      </c>
      <c r="F518" s="1">
        <v>46400</v>
      </c>
      <c r="G518" s="1"/>
      <c r="H518" s="1">
        <v>0</v>
      </c>
      <c r="I518" s="1">
        <v>46420</v>
      </c>
      <c r="J518">
        <v>46230</v>
      </c>
      <c r="K518" s="1"/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>
        <v>28.87</v>
      </c>
      <c r="BF518" s="3" t="str">
        <f>+IF(AVANCE[[#This Row],[% AVANCE]]=100%,"MODULO TERMINADO",IF(AVANCE[[#This Row],[FECHA INICIO REAL]]="","MODULO NO INICIADO","PENDIENTE"))</f>
        <v>MODULO NO INICIADO</v>
      </c>
      <c r="BG518" s="3">
        <f>+IF(AVANCE[[#This Row],[VENTANAS]]=8.10810810810811%,100%,AVANCE[[#This Row],[VENTANAS]])</f>
        <v>0</v>
      </c>
      <c r="BH518" s="3">
        <f>+IF(AVANCE[[#This Row],[PISO]]=N$2,100%,AVANCE[[#This Row],[PISO]])</f>
        <v>0</v>
      </c>
      <c r="BI518" s="3">
        <f>+IF(AVANCE[[#This Row],[TABIQUES]]=O$2,100%,AVANCE[[#This Row],[TABIQUES]])</f>
        <v>0</v>
      </c>
      <c r="BJ518" s="3">
        <f>+IF(AVANCE[[#This Row],[MUROS]]=P$2,100%,AVANCE[[#This Row],[MUROS]])</f>
        <v>0</v>
      </c>
      <c r="BK518" s="3">
        <f>+IF(AVANCE[[#This Row],[CIELO]]=Q$2,100%,AVANCE[[#This Row],[CIELO]])</f>
        <v>0</v>
      </c>
      <c r="BL518" s="3">
        <f>+IF(AVANCE[[#This Row],[BALCÓN]]=R$2,100%,AVANCE[[#This Row],[BALCÓN]])</f>
        <v>0</v>
      </c>
      <c r="BM518" s="3">
        <f>+IF(AVANCE[[#This Row],[RED ALCANTARILLADO]]=U$2,100%,AVANCE[[#This Row],[RED ALCANTARILLADO]])</f>
        <v>0</v>
      </c>
      <c r="BN518" s="3">
        <f>+IF(AVANCE[[#This Row],[RED DE AGUA]]=V$2,100%,AVANCE[[#This Row],[RED DE AGUA]])</f>
        <v>0</v>
      </c>
      <c r="BO518" s="3">
        <f>+IF(AVANCE[[#This Row],[VENTILACIONES]]=W$2,100%,AVANCE[[#This Row],[VENTILACIONES]])</f>
        <v>0</v>
      </c>
      <c r="BP518" s="3">
        <f>+IF(AVANCE[[#This Row],[TINA]]=X$2,100%,AVANCE[[#This Row],[TINA]])</f>
        <v>0</v>
      </c>
      <c r="BQ518" s="3">
        <f>+IF(AVANCE[[#This Row],[WC]]=Y$2,100%,AVANCE[[#This Row],[WC]])</f>
        <v>0</v>
      </c>
      <c r="BR518" s="3">
        <f>+IF(AVANCE[[#This Row],[LAVAMANOS / LAVAPLATOS / LAVADERO]]=Z$2,100%,AVANCE[[#This Row],[LAVAMANOS / LAVAPLATOS / LAVADERO]])</f>
        <v>0</v>
      </c>
      <c r="BS518" s="3">
        <f>+IF(AVANCE[[#This Row],[CANALIZACIÓN]]=AC$2,100%,AVANCE[[#This Row],[CANALIZACIÓN]])</f>
        <v>0</v>
      </c>
      <c r="BT518" s="3">
        <f>+IF(AVANCE[[#This Row],[CABLEADO]]=AD$2,100%,AVANCE[[#This Row],[CABLEADO]])</f>
        <v>0</v>
      </c>
      <c r="BU518" s="3">
        <f>+IF(AVANCE[[#This Row],[ARTEFACTOS]]=AE$2,100%,AVANCE[[#This Row],[ARTEFACTOS]])</f>
        <v>0</v>
      </c>
      <c r="BV518" s="3">
        <f>+IF(AVANCE[[#This Row],[TABLERO]]=AF$2,100%,AVANCE[[#This Row],[TABLERO]])</f>
        <v>0</v>
      </c>
      <c r="BW518" s="3">
        <f>+IF(AVANCE[[#This Row],[CAJA PAU]]=AG$2,100%,AVANCE[[#This Row],[CAJA PAU]])</f>
        <v>0</v>
      </c>
      <c r="BX518" s="3">
        <f>+IF(AVANCE[[#This Row],[INSTALACION VINILICO]]=AJ$2,100%,AVANCE[[#This Row],[INSTALACION VINILICO]])</f>
        <v>0</v>
      </c>
      <c r="BY518" s="3">
        <f>+IF(AVANCE[[#This Row],[OSB CUBIERTA]]=AK$2,100%,AVANCE[[#This Row],[OSB CUBIERTA]])</f>
        <v>0</v>
      </c>
      <c r="BZ518" s="3">
        <f>+IF(AVANCE[[#This Row],[BARANDA BALCON]]=AL$2,100%,AVANCE[[#This Row],[BARANDA BALCON]])</f>
        <v>0</v>
      </c>
      <c r="CA518" s="3">
        <f>+IF(AVANCE[[#This Row],[OSB EXTERIOR]]=AM$2,100%,AVANCE[[#This Row],[OSB EXTERIOR]])</f>
        <v>0</v>
      </c>
      <c r="CB518" s="3">
        <f>+IF(AVANCE[[#This Row],[SMART PANEL]]=AN$2,100%,AVANCE[[#This Row],[SMART PANEL]])</f>
        <v>0</v>
      </c>
      <c r="CC518" s="3">
        <f>+IF(AVANCE[[#This Row],[PINTURA EXTERIOR]]=AO$2,100%,AVANCE[[#This Row],[PINTURA EXTERIOR]])</f>
        <v>0</v>
      </c>
      <c r="CD518" s="3">
        <f>+IF(AVANCE[[#This Row],[ZOCALOS LOGIA]]=AP$2,100%,AVANCE[[#This Row],[ZOCALOS LOGIA]])</f>
        <v>0</v>
      </c>
      <c r="CE518" s="3">
        <f>+IF(AVANCE[[#This Row],[MOLDURAS]]=AQ$2,100%,AVANCE[[#This Row],[MOLDURAS]])</f>
        <v>0</v>
      </c>
      <c r="CF518" s="3">
        <f>+IF(AVANCE[[#This Row],[PILASTREO]]=AR$2,100%,AVANCE[[#This Row],[PILASTREO]])</f>
        <v>0</v>
      </c>
      <c r="CG518" s="3">
        <f>+IF(AVANCE[[#This Row],[CELOSIAS]]=AS$2,100%,AVANCE[[#This Row],[CELOSIAS]])</f>
        <v>0</v>
      </c>
      <c r="CH518" s="3">
        <f>+IF(AVANCE[[#This Row],[VENTANAS]]=AT$2,100%,AVANCE[[#This Row],[VENTANAS]])</f>
        <v>0</v>
      </c>
      <c r="CI518" s="3">
        <f>+IF(AVANCE[[#This Row],[PUERTAS ACCESO - LOGIA - BANO]]=AU$2,100%,AVANCE[[#This Row],[PUERTAS ACCESO - LOGIA - BANO]])</f>
        <v>0</v>
      </c>
      <c r="CJ518" s="3">
        <f>+IF(AVANCE[[#This Row],[CERRADURAS]]=AV$2,100%,AVANCE[[#This Row],[CERRADURAS]])</f>
        <v>0</v>
      </c>
      <c r="CK518" s="3">
        <f>+IF(AVANCE[[#This Row],[REVESTIMIENTO INTERIOR ZONA SECA]]=AW$2,100%,AVANCE[[#This Row],[REVESTIMIENTO INTERIOR ZONA SECA]])</f>
        <v>0</v>
      </c>
      <c r="CL518" s="3">
        <f>+IF(AVANCE[[#This Row],[REVESTIMIENTO INTERIOR ZONAS HUMEDAS]]=AX$2,100%,AVANCE[[#This Row],[REVESTIMIENTO INTERIOR ZONAS HUMEDAS]])</f>
        <v>0</v>
      </c>
      <c r="CM518" s="3">
        <f>+IF(AVANCE[[#This Row],[MEMBRANA CIELO]]=AY$2,100%,AVANCE[[#This Row],[MEMBRANA CIELO]])</f>
        <v>0</v>
      </c>
      <c r="CN518" s="3">
        <f>+IF(AVANCE[[#This Row],[LIMPIEZA FINAL]]=AZ$2,100%,AVANCE[[#This Row],[LIMPIEZA FINAL]])</f>
        <v>0</v>
      </c>
      <c r="CO518" s="3">
        <f>+IF(AVANCE[[#This Row],[PUERTAS DORMITORIO]]=BA$2,100%,AVANCE[[#This Row],[PUERTAS DORMITORIO]])</f>
        <v>0</v>
      </c>
      <c r="CP518" s="3">
        <f>+IF(AVANCE[[#This Row],[REVESTIMIENTO INTERIOR BANO]]=BB$2,100%,AVANCE[[#This Row],[REVESTIMIENTO INTERIOR BANO]])</f>
        <v>0</v>
      </c>
      <c r="CQ518" s="3">
        <f>+IF(AVANCE[[#This Row],[MUEBLE LAVAPLATOS]]=BC$2,100%,AVANCE[[#This Row],[MUEBLE LAVAPLATOS]])</f>
        <v>0</v>
      </c>
      <c r="CR518" s="3">
        <f>+IF(AVANCE[[#This Row],[IMPERMEABILIZACION BANO - COCINA LOGIA]]=BD$2,100%,AVANCE[[#This Row],[IMPERMEABILIZACION BANO - COCINA LOGIA]])</f>
        <v>0</v>
      </c>
      <c r="CS518" s="40">
        <f ca="1">+IF(AVANCE[[#This Row],[ESTADO MODULO]]="PENDIENTE",(TODAY()-AVANCE[[#This Row],[FECHA TERMINO  PLANIFICADO]]),0)</f>
        <v>0</v>
      </c>
      <c r="CT518" s="41" t="str" cm="1">
        <f t="array" ref="CT518">_xlfn.TEXTJOIN(" | ",TRUE,IF(SUMPRODUCT((BG518:CR518&lt;1)*(PARTIDAS!$I$2:$AT$2="OBRA GRUESA"))&gt;0,"OBRA GRUESA: "&amp;_xlfn.TEXTJOIN(", ",TRUE,IF((BG518:CR518&lt;1)*(PARTIDAS!$I$2:$AT$2="OBRA GRUESA"),PARTIDAS!$I$1:$AT$1,"")),""),IF(SUMPRODUCT((BG518:CR518&lt;1)*(PARTIDAS!$I$2:$AT$2="SANITARIOS"))&gt;0,"SANITARIOS: "&amp;_xlfn.TEXTJOIN(", ",TRUE,IF((BG518:CR518&lt;1)*(PARTIDAS!$I$2:$AT$2="SANITARIOS"),PARTIDAS!$I$1:$AT$1,"")),""),IF(SUMPRODUCT((BG518:CR518&lt;1)*(PARTIDAS!$I$2:$AT$2="ELÉCTRICO"))&gt;0,"ELÉCTRICO: "&amp;_xlfn.TEXTJOIN(", ",TRUE,IF((BG518:CR518&lt;1)*(PARTIDAS!$I$2:$AT$2="ELÉCTRICO"),PARTIDAS!$I$1:$AT$1,"")),""),IF(SUMPRODUCT((BG518:CR518&lt;1)*(PARTIDAS!$I$2:$AT$2="TERMINACIONES"))&gt;0,"TERMINACIONES: "&amp;_xlfn.TEXTJOIN(", ",TRUE,IF((BG518:CR518&lt;1)*(PARTIDAS!$I$2:$AT$2="TERMINACIONES"),PARTIDAS!$I$1:$AT$1,"")),""))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8" s="43" t="str" cm="1">
        <f t="array" ref="CU518">_xlfn.TEXTJOIN(", ",TRUE,IF(SUMPRODUCT((BG518:CR518&lt;1)*(PARTIDAS!$I$2:$AT$2="OBRA GRUESA"))&gt;0,"OBRA GRUESA",""),IF(SUMPRODUCT((BG518:CR518&lt;1)*(PARTIDAS!$I$2:$AT$2="SANITARIOS"))&gt;0,"SANITARIOS",""),IF(SUMPRODUCT((BG518:CR518&lt;1)*(PARTIDAS!$I$2:$AT$2="ELÉCTRICO"))&gt;0,"ELÉCTRICO",""),IF(SUMPRODUCT((BG518:CR518&lt;1)*(PARTIDAS!$I$2:$AT$2="TERMINACIONES"))&gt;0,"TERMINACIONES",""))</f>
        <v>OBRA GRUESA, SANITARIOS, ELÉCTRICO, TERMINACIONES</v>
      </c>
      <c r="CV518" s="44" cm="1">
        <f t="array" ref="CV518">SUMPRODUCT(--(BG518:CR518&lt;1))</f>
        <v>38</v>
      </c>
    </row>
    <row r="519" spans="1:100" hidden="1" x14ac:dyDescent="0.25">
      <c r="A519" t="s">
        <v>586</v>
      </c>
      <c r="B519" t="s">
        <v>592</v>
      </c>
      <c r="C519">
        <v>2302600518</v>
      </c>
      <c r="D519" t="s">
        <v>60</v>
      </c>
      <c r="E519" s="2">
        <v>0</v>
      </c>
      <c r="F519" s="1">
        <v>46401</v>
      </c>
      <c r="G519" s="1"/>
      <c r="H519" s="1">
        <v>0</v>
      </c>
      <c r="I519" s="1">
        <v>46431</v>
      </c>
      <c r="J519">
        <v>46230</v>
      </c>
      <c r="K519" s="1"/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>
        <v>31.32</v>
      </c>
      <c r="BF519" s="3" t="str">
        <f>+IF(AVANCE[[#This Row],[% AVANCE]]=100%,"MODULO TERMINADO",IF(AVANCE[[#This Row],[FECHA INICIO REAL]]="","MODULO NO INICIADO","PENDIENTE"))</f>
        <v>MODULO NO INICIADO</v>
      </c>
      <c r="BG519" s="3">
        <f>+IF(AVANCE[[#This Row],[VENTANAS]]=8.10810810810811%,100%,AVANCE[[#This Row],[VENTANAS]])</f>
        <v>0</v>
      </c>
      <c r="BH519" s="3">
        <f>+IF(AVANCE[[#This Row],[PISO]]=N$2,100%,AVANCE[[#This Row],[PISO]])</f>
        <v>0</v>
      </c>
      <c r="BI519" s="3">
        <f>+IF(AVANCE[[#This Row],[TABIQUES]]=O$2,100%,AVANCE[[#This Row],[TABIQUES]])</f>
        <v>0</v>
      </c>
      <c r="BJ519" s="3">
        <f>+IF(AVANCE[[#This Row],[MUROS]]=P$2,100%,AVANCE[[#This Row],[MUROS]])</f>
        <v>0</v>
      </c>
      <c r="BK519" s="3">
        <f>+IF(AVANCE[[#This Row],[CIELO]]=Q$2,100%,AVANCE[[#This Row],[CIELO]])</f>
        <v>0</v>
      </c>
      <c r="BL519" s="3">
        <f>+IF(AVANCE[[#This Row],[BALCÓN]]=R$2,100%,AVANCE[[#This Row],[BALCÓN]])</f>
        <v>0</v>
      </c>
      <c r="BM519" s="3">
        <f>+IF(AVANCE[[#This Row],[RED ALCANTARILLADO]]=U$2,100%,AVANCE[[#This Row],[RED ALCANTARILLADO]])</f>
        <v>0</v>
      </c>
      <c r="BN519" s="3">
        <f>+IF(AVANCE[[#This Row],[RED DE AGUA]]=V$2,100%,AVANCE[[#This Row],[RED DE AGUA]])</f>
        <v>0</v>
      </c>
      <c r="BO519" s="3">
        <f>+IF(AVANCE[[#This Row],[VENTILACIONES]]=W$2,100%,AVANCE[[#This Row],[VENTILACIONES]])</f>
        <v>0</v>
      </c>
      <c r="BP519" s="3">
        <f>+IF(AVANCE[[#This Row],[TINA]]=X$2,100%,AVANCE[[#This Row],[TINA]])</f>
        <v>0</v>
      </c>
      <c r="BQ519" s="3">
        <f>+IF(AVANCE[[#This Row],[WC]]=Y$2,100%,AVANCE[[#This Row],[WC]])</f>
        <v>0</v>
      </c>
      <c r="BR519" s="3">
        <f>+IF(AVANCE[[#This Row],[LAVAMANOS / LAVAPLATOS / LAVADERO]]=Z$2,100%,AVANCE[[#This Row],[LAVAMANOS / LAVAPLATOS / LAVADERO]])</f>
        <v>0</v>
      </c>
      <c r="BS519" s="3">
        <f>+IF(AVANCE[[#This Row],[CANALIZACIÓN]]=AC$2,100%,AVANCE[[#This Row],[CANALIZACIÓN]])</f>
        <v>0</v>
      </c>
      <c r="BT519" s="3">
        <f>+IF(AVANCE[[#This Row],[CABLEADO]]=AD$2,100%,AVANCE[[#This Row],[CABLEADO]])</f>
        <v>0</v>
      </c>
      <c r="BU519" s="3">
        <f>+IF(AVANCE[[#This Row],[ARTEFACTOS]]=AE$2,100%,AVANCE[[#This Row],[ARTEFACTOS]])</f>
        <v>0</v>
      </c>
      <c r="BV519" s="3">
        <f>+IF(AVANCE[[#This Row],[TABLERO]]=AF$2,100%,AVANCE[[#This Row],[TABLERO]])</f>
        <v>0</v>
      </c>
      <c r="BW519" s="3">
        <f>+IF(AVANCE[[#This Row],[CAJA PAU]]=AG$2,100%,AVANCE[[#This Row],[CAJA PAU]])</f>
        <v>0</v>
      </c>
      <c r="BX519" s="3">
        <f>+IF(AVANCE[[#This Row],[INSTALACION VINILICO]]=AJ$2,100%,AVANCE[[#This Row],[INSTALACION VINILICO]])</f>
        <v>0</v>
      </c>
      <c r="BY519" s="3">
        <f>+IF(AVANCE[[#This Row],[OSB CUBIERTA]]=AK$2,100%,AVANCE[[#This Row],[OSB CUBIERTA]])</f>
        <v>0</v>
      </c>
      <c r="BZ519" s="3">
        <f>+IF(AVANCE[[#This Row],[BARANDA BALCON]]=AL$2,100%,AVANCE[[#This Row],[BARANDA BALCON]])</f>
        <v>0</v>
      </c>
      <c r="CA519" s="3">
        <f>+IF(AVANCE[[#This Row],[OSB EXTERIOR]]=AM$2,100%,AVANCE[[#This Row],[OSB EXTERIOR]])</f>
        <v>0</v>
      </c>
      <c r="CB519" s="3">
        <f>+IF(AVANCE[[#This Row],[SMART PANEL]]=AN$2,100%,AVANCE[[#This Row],[SMART PANEL]])</f>
        <v>0</v>
      </c>
      <c r="CC519" s="3">
        <f>+IF(AVANCE[[#This Row],[PINTURA EXTERIOR]]=AO$2,100%,AVANCE[[#This Row],[PINTURA EXTERIOR]])</f>
        <v>0</v>
      </c>
      <c r="CD519" s="3">
        <f>+IF(AVANCE[[#This Row],[ZOCALOS LOGIA]]=AP$2,100%,AVANCE[[#This Row],[ZOCALOS LOGIA]])</f>
        <v>0</v>
      </c>
      <c r="CE519" s="3">
        <f>+IF(AVANCE[[#This Row],[MOLDURAS]]=AQ$2,100%,AVANCE[[#This Row],[MOLDURAS]])</f>
        <v>0</v>
      </c>
      <c r="CF519" s="3">
        <f>+IF(AVANCE[[#This Row],[PILASTREO]]=AR$2,100%,AVANCE[[#This Row],[PILASTREO]])</f>
        <v>0</v>
      </c>
      <c r="CG519" s="3">
        <f>+IF(AVANCE[[#This Row],[CELOSIAS]]=AS$2,100%,AVANCE[[#This Row],[CELOSIAS]])</f>
        <v>0</v>
      </c>
      <c r="CH519" s="3">
        <f>+IF(AVANCE[[#This Row],[VENTANAS]]=AT$2,100%,AVANCE[[#This Row],[VENTANAS]])</f>
        <v>0</v>
      </c>
      <c r="CI519" s="3">
        <f>+IF(AVANCE[[#This Row],[PUERTAS ACCESO - LOGIA - BANO]]=AU$2,100%,AVANCE[[#This Row],[PUERTAS ACCESO - LOGIA - BANO]])</f>
        <v>0</v>
      </c>
      <c r="CJ519" s="3">
        <f>+IF(AVANCE[[#This Row],[CERRADURAS]]=AV$2,100%,AVANCE[[#This Row],[CERRADURAS]])</f>
        <v>0</v>
      </c>
      <c r="CK519" s="3">
        <f>+IF(AVANCE[[#This Row],[REVESTIMIENTO INTERIOR ZONA SECA]]=AW$2,100%,AVANCE[[#This Row],[REVESTIMIENTO INTERIOR ZONA SECA]])</f>
        <v>0</v>
      </c>
      <c r="CL519" s="3">
        <f>+IF(AVANCE[[#This Row],[REVESTIMIENTO INTERIOR ZONAS HUMEDAS]]=AX$2,100%,AVANCE[[#This Row],[REVESTIMIENTO INTERIOR ZONAS HUMEDAS]])</f>
        <v>0</v>
      </c>
      <c r="CM519" s="3">
        <f>+IF(AVANCE[[#This Row],[MEMBRANA CIELO]]=AY$2,100%,AVANCE[[#This Row],[MEMBRANA CIELO]])</f>
        <v>0</v>
      </c>
      <c r="CN519" s="3">
        <f>+IF(AVANCE[[#This Row],[LIMPIEZA FINAL]]=AZ$2,100%,AVANCE[[#This Row],[LIMPIEZA FINAL]])</f>
        <v>0</v>
      </c>
      <c r="CO519" s="3">
        <f>+IF(AVANCE[[#This Row],[PUERTAS DORMITORIO]]=BA$2,100%,AVANCE[[#This Row],[PUERTAS DORMITORIO]])</f>
        <v>0</v>
      </c>
      <c r="CP519" s="3">
        <f>+IF(AVANCE[[#This Row],[REVESTIMIENTO INTERIOR BANO]]=BB$2,100%,AVANCE[[#This Row],[REVESTIMIENTO INTERIOR BANO]])</f>
        <v>0</v>
      </c>
      <c r="CQ519" s="3">
        <f>+IF(AVANCE[[#This Row],[MUEBLE LAVAPLATOS]]=BC$2,100%,AVANCE[[#This Row],[MUEBLE LAVAPLATOS]])</f>
        <v>0</v>
      </c>
      <c r="CR519" s="3">
        <f>+IF(AVANCE[[#This Row],[IMPERMEABILIZACION BANO - COCINA LOGIA]]=BD$2,100%,AVANCE[[#This Row],[IMPERMEABILIZACION BANO - COCINA LOGIA]])</f>
        <v>0</v>
      </c>
      <c r="CS519" s="40">
        <f ca="1">+IF(AVANCE[[#This Row],[ESTADO MODULO]]="PENDIENTE",(TODAY()-AVANCE[[#This Row],[FECHA TERMINO  PLANIFICADO]]),0)</f>
        <v>0</v>
      </c>
      <c r="CT519" s="41" t="str" cm="1">
        <f t="array" ref="CT519">_xlfn.TEXTJOIN(" | ",TRUE,IF(SUMPRODUCT((BG519:CR519&lt;1)*(PARTIDAS!$I$2:$AT$2="OBRA GRUESA"))&gt;0,"OBRA GRUESA: "&amp;_xlfn.TEXTJOIN(", ",TRUE,IF((BG519:CR519&lt;1)*(PARTIDAS!$I$2:$AT$2="OBRA GRUESA"),PARTIDAS!$I$1:$AT$1,"")),""),IF(SUMPRODUCT((BG519:CR519&lt;1)*(PARTIDAS!$I$2:$AT$2="SANITARIOS"))&gt;0,"SANITARIOS: "&amp;_xlfn.TEXTJOIN(", ",TRUE,IF((BG519:CR519&lt;1)*(PARTIDAS!$I$2:$AT$2="SANITARIOS"),PARTIDAS!$I$1:$AT$1,"")),""),IF(SUMPRODUCT((BG519:CR519&lt;1)*(PARTIDAS!$I$2:$AT$2="ELÉCTRICO"))&gt;0,"ELÉCTRICO: "&amp;_xlfn.TEXTJOIN(", ",TRUE,IF((BG519:CR519&lt;1)*(PARTIDAS!$I$2:$AT$2="ELÉCTRICO"),PARTIDAS!$I$1:$AT$1,"")),""),IF(SUMPRODUCT((BG519:CR519&lt;1)*(PARTIDAS!$I$2:$AT$2="TERMINACIONES"))&gt;0,"TERMINACIONES: "&amp;_xlfn.TEXTJOIN(", ",TRUE,IF((BG519:CR519&lt;1)*(PARTIDAS!$I$2:$AT$2="TERMINACIONES"),PARTIDAS!$I$1:$AT$1,"")),""))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19" s="43" t="str" cm="1">
        <f t="array" ref="CU519">_xlfn.TEXTJOIN(", ",TRUE,IF(SUMPRODUCT((BG519:CR519&lt;1)*(PARTIDAS!$I$2:$AT$2="OBRA GRUESA"))&gt;0,"OBRA GRUESA",""),IF(SUMPRODUCT((BG519:CR519&lt;1)*(PARTIDAS!$I$2:$AT$2="SANITARIOS"))&gt;0,"SANITARIOS",""),IF(SUMPRODUCT((BG519:CR519&lt;1)*(PARTIDAS!$I$2:$AT$2="ELÉCTRICO"))&gt;0,"ELÉCTRICO",""),IF(SUMPRODUCT((BG519:CR519&lt;1)*(PARTIDAS!$I$2:$AT$2="TERMINACIONES"))&gt;0,"TERMINACIONES",""))</f>
        <v>OBRA GRUESA, SANITARIOS, ELÉCTRICO, TERMINACIONES</v>
      </c>
      <c r="CV519" s="44" cm="1">
        <f t="array" ref="CV519">SUMPRODUCT(--(BG519:CR519&lt;1))</f>
        <v>38</v>
      </c>
    </row>
    <row r="520" spans="1:100" hidden="1" x14ac:dyDescent="0.25">
      <c r="A520" t="s">
        <v>586</v>
      </c>
      <c r="B520" t="s">
        <v>593</v>
      </c>
      <c r="C520">
        <v>2302600519</v>
      </c>
      <c r="D520" t="s">
        <v>60</v>
      </c>
      <c r="E520" s="2">
        <v>0</v>
      </c>
      <c r="F520" s="1">
        <v>46401</v>
      </c>
      <c r="G520" s="1"/>
      <c r="H520" s="1">
        <v>0</v>
      </c>
      <c r="I520" s="1">
        <v>46431</v>
      </c>
      <c r="J520">
        <v>46230</v>
      </c>
      <c r="K520" s="1"/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>
        <v>31.32</v>
      </c>
      <c r="BF520" s="3" t="str">
        <f>+IF(AVANCE[[#This Row],[% AVANCE]]=100%,"MODULO TERMINADO",IF(AVANCE[[#This Row],[FECHA INICIO REAL]]="","MODULO NO INICIADO","PENDIENTE"))</f>
        <v>MODULO NO INICIADO</v>
      </c>
      <c r="BG520" s="3">
        <f>+IF(AVANCE[[#This Row],[VENTANAS]]=8.10810810810811%,100%,AVANCE[[#This Row],[VENTANAS]])</f>
        <v>0</v>
      </c>
      <c r="BH520" s="3">
        <f>+IF(AVANCE[[#This Row],[PISO]]=N$2,100%,AVANCE[[#This Row],[PISO]])</f>
        <v>0</v>
      </c>
      <c r="BI520" s="3">
        <f>+IF(AVANCE[[#This Row],[TABIQUES]]=O$2,100%,AVANCE[[#This Row],[TABIQUES]])</f>
        <v>0</v>
      </c>
      <c r="BJ520" s="3">
        <f>+IF(AVANCE[[#This Row],[MUROS]]=P$2,100%,AVANCE[[#This Row],[MUROS]])</f>
        <v>0</v>
      </c>
      <c r="BK520" s="3">
        <f>+IF(AVANCE[[#This Row],[CIELO]]=Q$2,100%,AVANCE[[#This Row],[CIELO]])</f>
        <v>0</v>
      </c>
      <c r="BL520" s="3">
        <f>+IF(AVANCE[[#This Row],[BALCÓN]]=R$2,100%,AVANCE[[#This Row],[BALCÓN]])</f>
        <v>0</v>
      </c>
      <c r="BM520" s="3">
        <f>+IF(AVANCE[[#This Row],[RED ALCANTARILLADO]]=U$2,100%,AVANCE[[#This Row],[RED ALCANTARILLADO]])</f>
        <v>0</v>
      </c>
      <c r="BN520" s="3">
        <f>+IF(AVANCE[[#This Row],[RED DE AGUA]]=V$2,100%,AVANCE[[#This Row],[RED DE AGUA]])</f>
        <v>0</v>
      </c>
      <c r="BO520" s="3">
        <f>+IF(AVANCE[[#This Row],[VENTILACIONES]]=W$2,100%,AVANCE[[#This Row],[VENTILACIONES]])</f>
        <v>0</v>
      </c>
      <c r="BP520" s="3">
        <f>+IF(AVANCE[[#This Row],[TINA]]=X$2,100%,AVANCE[[#This Row],[TINA]])</f>
        <v>0</v>
      </c>
      <c r="BQ520" s="3">
        <f>+IF(AVANCE[[#This Row],[WC]]=Y$2,100%,AVANCE[[#This Row],[WC]])</f>
        <v>0</v>
      </c>
      <c r="BR520" s="3">
        <f>+IF(AVANCE[[#This Row],[LAVAMANOS / LAVAPLATOS / LAVADERO]]=Z$2,100%,AVANCE[[#This Row],[LAVAMANOS / LAVAPLATOS / LAVADERO]])</f>
        <v>0</v>
      </c>
      <c r="BS520" s="3">
        <f>+IF(AVANCE[[#This Row],[CANALIZACIÓN]]=AC$2,100%,AVANCE[[#This Row],[CANALIZACIÓN]])</f>
        <v>0</v>
      </c>
      <c r="BT520" s="3">
        <f>+IF(AVANCE[[#This Row],[CABLEADO]]=AD$2,100%,AVANCE[[#This Row],[CABLEADO]])</f>
        <v>0</v>
      </c>
      <c r="BU520" s="3">
        <f>+IF(AVANCE[[#This Row],[ARTEFACTOS]]=AE$2,100%,AVANCE[[#This Row],[ARTEFACTOS]])</f>
        <v>0</v>
      </c>
      <c r="BV520" s="3">
        <f>+IF(AVANCE[[#This Row],[TABLERO]]=AF$2,100%,AVANCE[[#This Row],[TABLERO]])</f>
        <v>0</v>
      </c>
      <c r="BW520" s="3">
        <f>+IF(AVANCE[[#This Row],[CAJA PAU]]=AG$2,100%,AVANCE[[#This Row],[CAJA PAU]])</f>
        <v>0</v>
      </c>
      <c r="BX520" s="3">
        <f>+IF(AVANCE[[#This Row],[INSTALACION VINILICO]]=AJ$2,100%,AVANCE[[#This Row],[INSTALACION VINILICO]])</f>
        <v>0</v>
      </c>
      <c r="BY520" s="3">
        <f>+IF(AVANCE[[#This Row],[OSB CUBIERTA]]=AK$2,100%,AVANCE[[#This Row],[OSB CUBIERTA]])</f>
        <v>0</v>
      </c>
      <c r="BZ520" s="3">
        <f>+IF(AVANCE[[#This Row],[BARANDA BALCON]]=AL$2,100%,AVANCE[[#This Row],[BARANDA BALCON]])</f>
        <v>0</v>
      </c>
      <c r="CA520" s="3">
        <f>+IF(AVANCE[[#This Row],[OSB EXTERIOR]]=AM$2,100%,AVANCE[[#This Row],[OSB EXTERIOR]])</f>
        <v>0</v>
      </c>
      <c r="CB520" s="3">
        <f>+IF(AVANCE[[#This Row],[SMART PANEL]]=AN$2,100%,AVANCE[[#This Row],[SMART PANEL]])</f>
        <v>0</v>
      </c>
      <c r="CC520" s="3">
        <f>+IF(AVANCE[[#This Row],[PINTURA EXTERIOR]]=AO$2,100%,AVANCE[[#This Row],[PINTURA EXTERIOR]])</f>
        <v>0</v>
      </c>
      <c r="CD520" s="3">
        <f>+IF(AVANCE[[#This Row],[ZOCALOS LOGIA]]=AP$2,100%,AVANCE[[#This Row],[ZOCALOS LOGIA]])</f>
        <v>0</v>
      </c>
      <c r="CE520" s="3">
        <f>+IF(AVANCE[[#This Row],[MOLDURAS]]=AQ$2,100%,AVANCE[[#This Row],[MOLDURAS]])</f>
        <v>0</v>
      </c>
      <c r="CF520" s="3">
        <f>+IF(AVANCE[[#This Row],[PILASTREO]]=AR$2,100%,AVANCE[[#This Row],[PILASTREO]])</f>
        <v>0</v>
      </c>
      <c r="CG520" s="3">
        <f>+IF(AVANCE[[#This Row],[CELOSIAS]]=AS$2,100%,AVANCE[[#This Row],[CELOSIAS]])</f>
        <v>0</v>
      </c>
      <c r="CH520" s="3">
        <f>+IF(AVANCE[[#This Row],[VENTANAS]]=AT$2,100%,AVANCE[[#This Row],[VENTANAS]])</f>
        <v>0</v>
      </c>
      <c r="CI520" s="3">
        <f>+IF(AVANCE[[#This Row],[PUERTAS ACCESO - LOGIA - BANO]]=AU$2,100%,AVANCE[[#This Row],[PUERTAS ACCESO - LOGIA - BANO]])</f>
        <v>0</v>
      </c>
      <c r="CJ520" s="3">
        <f>+IF(AVANCE[[#This Row],[CERRADURAS]]=AV$2,100%,AVANCE[[#This Row],[CERRADURAS]])</f>
        <v>0</v>
      </c>
      <c r="CK520" s="3">
        <f>+IF(AVANCE[[#This Row],[REVESTIMIENTO INTERIOR ZONA SECA]]=AW$2,100%,AVANCE[[#This Row],[REVESTIMIENTO INTERIOR ZONA SECA]])</f>
        <v>0</v>
      </c>
      <c r="CL520" s="3">
        <f>+IF(AVANCE[[#This Row],[REVESTIMIENTO INTERIOR ZONAS HUMEDAS]]=AX$2,100%,AVANCE[[#This Row],[REVESTIMIENTO INTERIOR ZONAS HUMEDAS]])</f>
        <v>0</v>
      </c>
      <c r="CM520" s="3">
        <f>+IF(AVANCE[[#This Row],[MEMBRANA CIELO]]=AY$2,100%,AVANCE[[#This Row],[MEMBRANA CIELO]])</f>
        <v>0</v>
      </c>
      <c r="CN520" s="3">
        <f>+IF(AVANCE[[#This Row],[LIMPIEZA FINAL]]=AZ$2,100%,AVANCE[[#This Row],[LIMPIEZA FINAL]])</f>
        <v>0</v>
      </c>
      <c r="CO520" s="3">
        <f>+IF(AVANCE[[#This Row],[PUERTAS DORMITORIO]]=BA$2,100%,AVANCE[[#This Row],[PUERTAS DORMITORIO]])</f>
        <v>0</v>
      </c>
      <c r="CP520" s="3">
        <f>+IF(AVANCE[[#This Row],[REVESTIMIENTO INTERIOR BANO]]=BB$2,100%,AVANCE[[#This Row],[REVESTIMIENTO INTERIOR BANO]])</f>
        <v>0</v>
      </c>
      <c r="CQ520" s="3">
        <f>+IF(AVANCE[[#This Row],[MUEBLE LAVAPLATOS]]=BC$2,100%,AVANCE[[#This Row],[MUEBLE LAVAPLATOS]])</f>
        <v>0</v>
      </c>
      <c r="CR520" s="3">
        <f>+IF(AVANCE[[#This Row],[IMPERMEABILIZACION BANO - COCINA LOGIA]]=BD$2,100%,AVANCE[[#This Row],[IMPERMEABILIZACION BANO - COCINA LOGIA]])</f>
        <v>0</v>
      </c>
      <c r="CS520" s="40">
        <f ca="1">+IF(AVANCE[[#This Row],[ESTADO MODULO]]="PENDIENTE",(TODAY()-AVANCE[[#This Row],[FECHA TERMINO  PLANIFICADO]]),0)</f>
        <v>0</v>
      </c>
      <c r="CT520" s="41" t="str" cm="1">
        <f t="array" ref="CT520">_xlfn.TEXTJOIN(" | ",TRUE,IF(SUMPRODUCT((BG520:CR520&lt;1)*(PARTIDAS!$I$2:$AT$2="OBRA GRUESA"))&gt;0,"OBRA GRUESA: "&amp;_xlfn.TEXTJOIN(", ",TRUE,IF((BG520:CR520&lt;1)*(PARTIDAS!$I$2:$AT$2="OBRA GRUESA"),PARTIDAS!$I$1:$AT$1,"")),""),IF(SUMPRODUCT((BG520:CR520&lt;1)*(PARTIDAS!$I$2:$AT$2="SANITARIOS"))&gt;0,"SANITARIOS: "&amp;_xlfn.TEXTJOIN(", ",TRUE,IF((BG520:CR520&lt;1)*(PARTIDAS!$I$2:$AT$2="SANITARIOS"),PARTIDAS!$I$1:$AT$1,"")),""),IF(SUMPRODUCT((BG520:CR520&lt;1)*(PARTIDAS!$I$2:$AT$2="ELÉCTRICO"))&gt;0,"ELÉCTRICO: "&amp;_xlfn.TEXTJOIN(", ",TRUE,IF((BG520:CR520&lt;1)*(PARTIDAS!$I$2:$AT$2="ELÉCTRICO"),PARTIDAS!$I$1:$AT$1,"")),""),IF(SUMPRODUCT((BG520:CR520&lt;1)*(PARTIDAS!$I$2:$AT$2="TERMINACIONES"))&gt;0,"TERMINACIONES: "&amp;_xlfn.TEXTJOIN(", ",TRUE,IF((BG520:CR520&lt;1)*(PARTIDAS!$I$2:$AT$2="TERMINACIONES"),PARTIDAS!$I$1:$AT$1,"")),""))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0" s="43" t="str" cm="1">
        <f t="array" ref="CU520">_xlfn.TEXTJOIN(", ",TRUE,IF(SUMPRODUCT((BG520:CR520&lt;1)*(PARTIDAS!$I$2:$AT$2="OBRA GRUESA"))&gt;0,"OBRA GRUESA",""),IF(SUMPRODUCT((BG520:CR520&lt;1)*(PARTIDAS!$I$2:$AT$2="SANITARIOS"))&gt;0,"SANITARIOS",""),IF(SUMPRODUCT((BG520:CR520&lt;1)*(PARTIDAS!$I$2:$AT$2="ELÉCTRICO"))&gt;0,"ELÉCTRICO",""),IF(SUMPRODUCT((BG520:CR520&lt;1)*(PARTIDAS!$I$2:$AT$2="TERMINACIONES"))&gt;0,"TERMINACIONES",""))</f>
        <v>OBRA GRUESA, SANITARIOS, ELÉCTRICO, TERMINACIONES</v>
      </c>
      <c r="CV520" s="44" cm="1">
        <f t="array" ref="CV520">SUMPRODUCT(--(BG520:CR520&lt;1))</f>
        <v>38</v>
      </c>
    </row>
    <row r="521" spans="1:100" hidden="1" x14ac:dyDescent="0.25">
      <c r="A521" t="s">
        <v>586</v>
      </c>
      <c r="B521" t="s">
        <v>594</v>
      </c>
      <c r="C521">
        <v>2282600520</v>
      </c>
      <c r="D521" t="s">
        <v>58</v>
      </c>
      <c r="E521" s="2">
        <v>0</v>
      </c>
      <c r="F521" s="1">
        <v>46401</v>
      </c>
      <c r="G521" s="1"/>
      <c r="H521" s="1">
        <v>0</v>
      </c>
      <c r="I521" s="1">
        <v>46421</v>
      </c>
      <c r="J521">
        <v>46230</v>
      </c>
      <c r="K521" s="1"/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>
        <v>28.87</v>
      </c>
      <c r="BF521" s="3" t="str">
        <f>+IF(AVANCE[[#This Row],[% AVANCE]]=100%,"MODULO TERMINADO",IF(AVANCE[[#This Row],[FECHA INICIO REAL]]="","MODULO NO INICIADO","PENDIENTE"))</f>
        <v>MODULO NO INICIADO</v>
      </c>
      <c r="BG521" s="3">
        <f>+IF(AVANCE[[#This Row],[VENTANAS]]=8.10810810810811%,100%,AVANCE[[#This Row],[VENTANAS]])</f>
        <v>0</v>
      </c>
      <c r="BH521" s="3">
        <f>+IF(AVANCE[[#This Row],[PISO]]=N$2,100%,AVANCE[[#This Row],[PISO]])</f>
        <v>0</v>
      </c>
      <c r="BI521" s="3">
        <f>+IF(AVANCE[[#This Row],[TABIQUES]]=O$2,100%,AVANCE[[#This Row],[TABIQUES]])</f>
        <v>0</v>
      </c>
      <c r="BJ521" s="3">
        <f>+IF(AVANCE[[#This Row],[MUROS]]=P$2,100%,AVANCE[[#This Row],[MUROS]])</f>
        <v>0</v>
      </c>
      <c r="BK521" s="3">
        <f>+IF(AVANCE[[#This Row],[CIELO]]=Q$2,100%,AVANCE[[#This Row],[CIELO]])</f>
        <v>0</v>
      </c>
      <c r="BL521" s="3">
        <f>+IF(AVANCE[[#This Row],[BALCÓN]]=R$2,100%,AVANCE[[#This Row],[BALCÓN]])</f>
        <v>0</v>
      </c>
      <c r="BM521" s="3">
        <f>+IF(AVANCE[[#This Row],[RED ALCANTARILLADO]]=U$2,100%,AVANCE[[#This Row],[RED ALCANTARILLADO]])</f>
        <v>0</v>
      </c>
      <c r="BN521" s="3">
        <f>+IF(AVANCE[[#This Row],[RED DE AGUA]]=V$2,100%,AVANCE[[#This Row],[RED DE AGUA]])</f>
        <v>0</v>
      </c>
      <c r="BO521" s="3">
        <f>+IF(AVANCE[[#This Row],[VENTILACIONES]]=W$2,100%,AVANCE[[#This Row],[VENTILACIONES]])</f>
        <v>0</v>
      </c>
      <c r="BP521" s="3">
        <f>+IF(AVANCE[[#This Row],[TINA]]=X$2,100%,AVANCE[[#This Row],[TINA]])</f>
        <v>0</v>
      </c>
      <c r="BQ521" s="3">
        <f>+IF(AVANCE[[#This Row],[WC]]=Y$2,100%,AVANCE[[#This Row],[WC]])</f>
        <v>0</v>
      </c>
      <c r="BR521" s="3">
        <f>+IF(AVANCE[[#This Row],[LAVAMANOS / LAVAPLATOS / LAVADERO]]=Z$2,100%,AVANCE[[#This Row],[LAVAMANOS / LAVAPLATOS / LAVADERO]])</f>
        <v>0</v>
      </c>
      <c r="BS521" s="3">
        <f>+IF(AVANCE[[#This Row],[CANALIZACIÓN]]=AC$2,100%,AVANCE[[#This Row],[CANALIZACIÓN]])</f>
        <v>0</v>
      </c>
      <c r="BT521" s="3">
        <f>+IF(AVANCE[[#This Row],[CABLEADO]]=AD$2,100%,AVANCE[[#This Row],[CABLEADO]])</f>
        <v>0</v>
      </c>
      <c r="BU521" s="3">
        <f>+IF(AVANCE[[#This Row],[ARTEFACTOS]]=AE$2,100%,AVANCE[[#This Row],[ARTEFACTOS]])</f>
        <v>0</v>
      </c>
      <c r="BV521" s="3">
        <f>+IF(AVANCE[[#This Row],[TABLERO]]=AF$2,100%,AVANCE[[#This Row],[TABLERO]])</f>
        <v>0</v>
      </c>
      <c r="BW521" s="3">
        <f>+IF(AVANCE[[#This Row],[CAJA PAU]]=AG$2,100%,AVANCE[[#This Row],[CAJA PAU]])</f>
        <v>0</v>
      </c>
      <c r="BX521" s="3">
        <f>+IF(AVANCE[[#This Row],[INSTALACION VINILICO]]=AJ$2,100%,AVANCE[[#This Row],[INSTALACION VINILICO]])</f>
        <v>0</v>
      </c>
      <c r="BY521" s="3">
        <f>+IF(AVANCE[[#This Row],[OSB CUBIERTA]]=AK$2,100%,AVANCE[[#This Row],[OSB CUBIERTA]])</f>
        <v>0</v>
      </c>
      <c r="BZ521" s="3">
        <f>+IF(AVANCE[[#This Row],[BARANDA BALCON]]=AL$2,100%,AVANCE[[#This Row],[BARANDA BALCON]])</f>
        <v>0</v>
      </c>
      <c r="CA521" s="3">
        <f>+IF(AVANCE[[#This Row],[OSB EXTERIOR]]=AM$2,100%,AVANCE[[#This Row],[OSB EXTERIOR]])</f>
        <v>0</v>
      </c>
      <c r="CB521" s="3">
        <f>+IF(AVANCE[[#This Row],[SMART PANEL]]=AN$2,100%,AVANCE[[#This Row],[SMART PANEL]])</f>
        <v>0</v>
      </c>
      <c r="CC521" s="3">
        <f>+IF(AVANCE[[#This Row],[PINTURA EXTERIOR]]=AO$2,100%,AVANCE[[#This Row],[PINTURA EXTERIOR]])</f>
        <v>0</v>
      </c>
      <c r="CD521" s="3">
        <f>+IF(AVANCE[[#This Row],[ZOCALOS LOGIA]]=AP$2,100%,AVANCE[[#This Row],[ZOCALOS LOGIA]])</f>
        <v>0</v>
      </c>
      <c r="CE521" s="3">
        <f>+IF(AVANCE[[#This Row],[MOLDURAS]]=AQ$2,100%,AVANCE[[#This Row],[MOLDURAS]])</f>
        <v>0</v>
      </c>
      <c r="CF521" s="3">
        <f>+IF(AVANCE[[#This Row],[PILASTREO]]=AR$2,100%,AVANCE[[#This Row],[PILASTREO]])</f>
        <v>0</v>
      </c>
      <c r="CG521" s="3">
        <f>+IF(AVANCE[[#This Row],[CELOSIAS]]=AS$2,100%,AVANCE[[#This Row],[CELOSIAS]])</f>
        <v>0</v>
      </c>
      <c r="CH521" s="3">
        <f>+IF(AVANCE[[#This Row],[VENTANAS]]=AT$2,100%,AVANCE[[#This Row],[VENTANAS]])</f>
        <v>0</v>
      </c>
      <c r="CI521" s="3">
        <f>+IF(AVANCE[[#This Row],[PUERTAS ACCESO - LOGIA - BANO]]=AU$2,100%,AVANCE[[#This Row],[PUERTAS ACCESO - LOGIA - BANO]])</f>
        <v>0</v>
      </c>
      <c r="CJ521" s="3">
        <f>+IF(AVANCE[[#This Row],[CERRADURAS]]=AV$2,100%,AVANCE[[#This Row],[CERRADURAS]])</f>
        <v>0</v>
      </c>
      <c r="CK521" s="3">
        <f>+IF(AVANCE[[#This Row],[REVESTIMIENTO INTERIOR ZONA SECA]]=AW$2,100%,AVANCE[[#This Row],[REVESTIMIENTO INTERIOR ZONA SECA]])</f>
        <v>0</v>
      </c>
      <c r="CL521" s="3">
        <f>+IF(AVANCE[[#This Row],[REVESTIMIENTO INTERIOR ZONAS HUMEDAS]]=AX$2,100%,AVANCE[[#This Row],[REVESTIMIENTO INTERIOR ZONAS HUMEDAS]])</f>
        <v>0</v>
      </c>
      <c r="CM521" s="3">
        <f>+IF(AVANCE[[#This Row],[MEMBRANA CIELO]]=AY$2,100%,AVANCE[[#This Row],[MEMBRANA CIELO]])</f>
        <v>0</v>
      </c>
      <c r="CN521" s="3">
        <f>+IF(AVANCE[[#This Row],[LIMPIEZA FINAL]]=AZ$2,100%,AVANCE[[#This Row],[LIMPIEZA FINAL]])</f>
        <v>0</v>
      </c>
      <c r="CO521" s="3">
        <f>+IF(AVANCE[[#This Row],[PUERTAS DORMITORIO]]=BA$2,100%,AVANCE[[#This Row],[PUERTAS DORMITORIO]])</f>
        <v>0</v>
      </c>
      <c r="CP521" s="3">
        <f>+IF(AVANCE[[#This Row],[REVESTIMIENTO INTERIOR BANO]]=BB$2,100%,AVANCE[[#This Row],[REVESTIMIENTO INTERIOR BANO]])</f>
        <v>0</v>
      </c>
      <c r="CQ521" s="3">
        <f>+IF(AVANCE[[#This Row],[MUEBLE LAVAPLATOS]]=BC$2,100%,AVANCE[[#This Row],[MUEBLE LAVAPLATOS]])</f>
        <v>0</v>
      </c>
      <c r="CR521" s="3">
        <f>+IF(AVANCE[[#This Row],[IMPERMEABILIZACION BANO - COCINA LOGIA]]=BD$2,100%,AVANCE[[#This Row],[IMPERMEABILIZACION BANO - COCINA LOGIA]])</f>
        <v>0</v>
      </c>
      <c r="CS521" s="40">
        <f ca="1">+IF(AVANCE[[#This Row],[ESTADO MODULO]]="PENDIENTE",(TODAY()-AVANCE[[#This Row],[FECHA TERMINO  PLANIFICADO]]),0)</f>
        <v>0</v>
      </c>
      <c r="CT521" s="41" t="str" cm="1">
        <f t="array" ref="CT521">_xlfn.TEXTJOIN(" | ",TRUE,IF(SUMPRODUCT((BG521:CR521&lt;1)*(PARTIDAS!$I$2:$AT$2="OBRA GRUESA"))&gt;0,"OBRA GRUESA: "&amp;_xlfn.TEXTJOIN(", ",TRUE,IF((BG521:CR521&lt;1)*(PARTIDAS!$I$2:$AT$2="OBRA GRUESA"),PARTIDAS!$I$1:$AT$1,"")),""),IF(SUMPRODUCT((BG521:CR521&lt;1)*(PARTIDAS!$I$2:$AT$2="SANITARIOS"))&gt;0,"SANITARIOS: "&amp;_xlfn.TEXTJOIN(", ",TRUE,IF((BG521:CR521&lt;1)*(PARTIDAS!$I$2:$AT$2="SANITARIOS"),PARTIDAS!$I$1:$AT$1,"")),""),IF(SUMPRODUCT((BG521:CR521&lt;1)*(PARTIDAS!$I$2:$AT$2="ELÉCTRICO"))&gt;0,"ELÉCTRICO: "&amp;_xlfn.TEXTJOIN(", ",TRUE,IF((BG521:CR521&lt;1)*(PARTIDAS!$I$2:$AT$2="ELÉCTRICO"),PARTIDAS!$I$1:$AT$1,"")),""),IF(SUMPRODUCT((BG521:CR521&lt;1)*(PARTIDAS!$I$2:$AT$2="TERMINACIONES"))&gt;0,"TERMINACIONES: "&amp;_xlfn.TEXTJOIN(", ",TRUE,IF((BG521:CR521&lt;1)*(PARTIDAS!$I$2:$AT$2="TERMINACIONES"),PARTIDAS!$I$1:$AT$1,"")),""))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1" s="43" t="str" cm="1">
        <f t="array" ref="CU521">_xlfn.TEXTJOIN(", ",TRUE,IF(SUMPRODUCT((BG521:CR521&lt;1)*(PARTIDAS!$I$2:$AT$2="OBRA GRUESA"))&gt;0,"OBRA GRUESA",""),IF(SUMPRODUCT((BG521:CR521&lt;1)*(PARTIDAS!$I$2:$AT$2="SANITARIOS"))&gt;0,"SANITARIOS",""),IF(SUMPRODUCT((BG521:CR521&lt;1)*(PARTIDAS!$I$2:$AT$2="ELÉCTRICO"))&gt;0,"ELÉCTRICO",""),IF(SUMPRODUCT((BG521:CR521&lt;1)*(PARTIDAS!$I$2:$AT$2="TERMINACIONES"))&gt;0,"TERMINACIONES",""))</f>
        <v>OBRA GRUESA, SANITARIOS, ELÉCTRICO, TERMINACIONES</v>
      </c>
      <c r="CV521" s="44" cm="1">
        <f t="array" ref="CV521">SUMPRODUCT(--(BG521:CR521&lt;1))</f>
        <v>38</v>
      </c>
    </row>
    <row r="522" spans="1:100" hidden="1" x14ac:dyDescent="0.25">
      <c r="A522" t="s">
        <v>586</v>
      </c>
      <c r="B522" t="s">
        <v>595</v>
      </c>
      <c r="C522">
        <v>2282600521</v>
      </c>
      <c r="D522" t="s">
        <v>58</v>
      </c>
      <c r="E522" s="2">
        <v>0</v>
      </c>
      <c r="F522" s="1">
        <v>46402</v>
      </c>
      <c r="G522" s="1"/>
      <c r="H522" s="1">
        <v>0</v>
      </c>
      <c r="I522" s="1">
        <v>46422</v>
      </c>
      <c r="J522">
        <v>46230</v>
      </c>
      <c r="K522" s="1"/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>
        <v>28.87</v>
      </c>
      <c r="BF522" s="3" t="str">
        <f>+IF(AVANCE[[#This Row],[% AVANCE]]=100%,"MODULO TERMINADO",IF(AVANCE[[#This Row],[FECHA INICIO REAL]]="","MODULO NO INICIADO","PENDIENTE"))</f>
        <v>MODULO NO INICIADO</v>
      </c>
      <c r="BG522" s="3">
        <f>+IF(AVANCE[[#This Row],[VENTANAS]]=8.10810810810811%,100%,AVANCE[[#This Row],[VENTANAS]])</f>
        <v>0</v>
      </c>
      <c r="BH522" s="3">
        <f>+IF(AVANCE[[#This Row],[PISO]]=N$2,100%,AVANCE[[#This Row],[PISO]])</f>
        <v>0</v>
      </c>
      <c r="BI522" s="3">
        <f>+IF(AVANCE[[#This Row],[TABIQUES]]=O$2,100%,AVANCE[[#This Row],[TABIQUES]])</f>
        <v>0</v>
      </c>
      <c r="BJ522" s="3">
        <f>+IF(AVANCE[[#This Row],[MUROS]]=P$2,100%,AVANCE[[#This Row],[MUROS]])</f>
        <v>0</v>
      </c>
      <c r="BK522" s="3">
        <f>+IF(AVANCE[[#This Row],[CIELO]]=Q$2,100%,AVANCE[[#This Row],[CIELO]])</f>
        <v>0</v>
      </c>
      <c r="BL522" s="3">
        <f>+IF(AVANCE[[#This Row],[BALCÓN]]=R$2,100%,AVANCE[[#This Row],[BALCÓN]])</f>
        <v>0</v>
      </c>
      <c r="BM522" s="3">
        <f>+IF(AVANCE[[#This Row],[RED ALCANTARILLADO]]=U$2,100%,AVANCE[[#This Row],[RED ALCANTARILLADO]])</f>
        <v>0</v>
      </c>
      <c r="BN522" s="3">
        <f>+IF(AVANCE[[#This Row],[RED DE AGUA]]=V$2,100%,AVANCE[[#This Row],[RED DE AGUA]])</f>
        <v>0</v>
      </c>
      <c r="BO522" s="3">
        <f>+IF(AVANCE[[#This Row],[VENTILACIONES]]=W$2,100%,AVANCE[[#This Row],[VENTILACIONES]])</f>
        <v>0</v>
      </c>
      <c r="BP522" s="3">
        <f>+IF(AVANCE[[#This Row],[TINA]]=X$2,100%,AVANCE[[#This Row],[TINA]])</f>
        <v>0</v>
      </c>
      <c r="BQ522" s="3">
        <f>+IF(AVANCE[[#This Row],[WC]]=Y$2,100%,AVANCE[[#This Row],[WC]])</f>
        <v>0</v>
      </c>
      <c r="BR522" s="3">
        <f>+IF(AVANCE[[#This Row],[LAVAMANOS / LAVAPLATOS / LAVADERO]]=Z$2,100%,AVANCE[[#This Row],[LAVAMANOS / LAVAPLATOS / LAVADERO]])</f>
        <v>0</v>
      </c>
      <c r="BS522" s="3">
        <f>+IF(AVANCE[[#This Row],[CANALIZACIÓN]]=AC$2,100%,AVANCE[[#This Row],[CANALIZACIÓN]])</f>
        <v>0</v>
      </c>
      <c r="BT522" s="3">
        <f>+IF(AVANCE[[#This Row],[CABLEADO]]=AD$2,100%,AVANCE[[#This Row],[CABLEADO]])</f>
        <v>0</v>
      </c>
      <c r="BU522" s="3">
        <f>+IF(AVANCE[[#This Row],[ARTEFACTOS]]=AE$2,100%,AVANCE[[#This Row],[ARTEFACTOS]])</f>
        <v>0</v>
      </c>
      <c r="BV522" s="3">
        <f>+IF(AVANCE[[#This Row],[TABLERO]]=AF$2,100%,AVANCE[[#This Row],[TABLERO]])</f>
        <v>0</v>
      </c>
      <c r="BW522" s="3">
        <f>+IF(AVANCE[[#This Row],[CAJA PAU]]=AG$2,100%,AVANCE[[#This Row],[CAJA PAU]])</f>
        <v>0</v>
      </c>
      <c r="BX522" s="3">
        <f>+IF(AVANCE[[#This Row],[INSTALACION VINILICO]]=AJ$2,100%,AVANCE[[#This Row],[INSTALACION VINILICO]])</f>
        <v>0</v>
      </c>
      <c r="BY522" s="3">
        <f>+IF(AVANCE[[#This Row],[OSB CUBIERTA]]=AK$2,100%,AVANCE[[#This Row],[OSB CUBIERTA]])</f>
        <v>0</v>
      </c>
      <c r="BZ522" s="3">
        <f>+IF(AVANCE[[#This Row],[BARANDA BALCON]]=AL$2,100%,AVANCE[[#This Row],[BARANDA BALCON]])</f>
        <v>0</v>
      </c>
      <c r="CA522" s="3">
        <f>+IF(AVANCE[[#This Row],[OSB EXTERIOR]]=AM$2,100%,AVANCE[[#This Row],[OSB EXTERIOR]])</f>
        <v>0</v>
      </c>
      <c r="CB522" s="3">
        <f>+IF(AVANCE[[#This Row],[SMART PANEL]]=AN$2,100%,AVANCE[[#This Row],[SMART PANEL]])</f>
        <v>0</v>
      </c>
      <c r="CC522" s="3">
        <f>+IF(AVANCE[[#This Row],[PINTURA EXTERIOR]]=AO$2,100%,AVANCE[[#This Row],[PINTURA EXTERIOR]])</f>
        <v>0</v>
      </c>
      <c r="CD522" s="3">
        <f>+IF(AVANCE[[#This Row],[ZOCALOS LOGIA]]=AP$2,100%,AVANCE[[#This Row],[ZOCALOS LOGIA]])</f>
        <v>0</v>
      </c>
      <c r="CE522" s="3">
        <f>+IF(AVANCE[[#This Row],[MOLDURAS]]=AQ$2,100%,AVANCE[[#This Row],[MOLDURAS]])</f>
        <v>0</v>
      </c>
      <c r="CF522" s="3">
        <f>+IF(AVANCE[[#This Row],[PILASTREO]]=AR$2,100%,AVANCE[[#This Row],[PILASTREO]])</f>
        <v>0</v>
      </c>
      <c r="CG522" s="3">
        <f>+IF(AVANCE[[#This Row],[CELOSIAS]]=AS$2,100%,AVANCE[[#This Row],[CELOSIAS]])</f>
        <v>0</v>
      </c>
      <c r="CH522" s="3">
        <f>+IF(AVANCE[[#This Row],[VENTANAS]]=AT$2,100%,AVANCE[[#This Row],[VENTANAS]])</f>
        <v>0</v>
      </c>
      <c r="CI522" s="3">
        <f>+IF(AVANCE[[#This Row],[PUERTAS ACCESO - LOGIA - BANO]]=AU$2,100%,AVANCE[[#This Row],[PUERTAS ACCESO - LOGIA - BANO]])</f>
        <v>0</v>
      </c>
      <c r="CJ522" s="3">
        <f>+IF(AVANCE[[#This Row],[CERRADURAS]]=AV$2,100%,AVANCE[[#This Row],[CERRADURAS]])</f>
        <v>0</v>
      </c>
      <c r="CK522" s="3">
        <f>+IF(AVANCE[[#This Row],[REVESTIMIENTO INTERIOR ZONA SECA]]=AW$2,100%,AVANCE[[#This Row],[REVESTIMIENTO INTERIOR ZONA SECA]])</f>
        <v>0</v>
      </c>
      <c r="CL522" s="3">
        <f>+IF(AVANCE[[#This Row],[REVESTIMIENTO INTERIOR ZONAS HUMEDAS]]=AX$2,100%,AVANCE[[#This Row],[REVESTIMIENTO INTERIOR ZONAS HUMEDAS]])</f>
        <v>0</v>
      </c>
      <c r="CM522" s="3">
        <f>+IF(AVANCE[[#This Row],[MEMBRANA CIELO]]=AY$2,100%,AVANCE[[#This Row],[MEMBRANA CIELO]])</f>
        <v>0</v>
      </c>
      <c r="CN522" s="3">
        <f>+IF(AVANCE[[#This Row],[LIMPIEZA FINAL]]=AZ$2,100%,AVANCE[[#This Row],[LIMPIEZA FINAL]])</f>
        <v>0</v>
      </c>
      <c r="CO522" s="3">
        <f>+IF(AVANCE[[#This Row],[PUERTAS DORMITORIO]]=BA$2,100%,AVANCE[[#This Row],[PUERTAS DORMITORIO]])</f>
        <v>0</v>
      </c>
      <c r="CP522" s="3">
        <f>+IF(AVANCE[[#This Row],[REVESTIMIENTO INTERIOR BANO]]=BB$2,100%,AVANCE[[#This Row],[REVESTIMIENTO INTERIOR BANO]])</f>
        <v>0</v>
      </c>
      <c r="CQ522" s="3">
        <f>+IF(AVANCE[[#This Row],[MUEBLE LAVAPLATOS]]=BC$2,100%,AVANCE[[#This Row],[MUEBLE LAVAPLATOS]])</f>
        <v>0</v>
      </c>
      <c r="CR522" s="3">
        <f>+IF(AVANCE[[#This Row],[IMPERMEABILIZACION BANO - COCINA LOGIA]]=BD$2,100%,AVANCE[[#This Row],[IMPERMEABILIZACION BANO - COCINA LOGIA]])</f>
        <v>0</v>
      </c>
      <c r="CS522" s="40">
        <f ca="1">+IF(AVANCE[[#This Row],[ESTADO MODULO]]="PENDIENTE",(TODAY()-AVANCE[[#This Row],[FECHA TERMINO  PLANIFICADO]]),0)</f>
        <v>0</v>
      </c>
      <c r="CT522" s="41" t="str" cm="1">
        <f t="array" ref="CT522">_xlfn.TEXTJOIN(" | ",TRUE,IF(SUMPRODUCT((BG522:CR522&lt;1)*(PARTIDAS!$I$2:$AT$2="OBRA GRUESA"))&gt;0,"OBRA GRUESA: "&amp;_xlfn.TEXTJOIN(", ",TRUE,IF((BG522:CR522&lt;1)*(PARTIDAS!$I$2:$AT$2="OBRA GRUESA"),PARTIDAS!$I$1:$AT$1,"")),""),IF(SUMPRODUCT((BG522:CR522&lt;1)*(PARTIDAS!$I$2:$AT$2="SANITARIOS"))&gt;0,"SANITARIOS: "&amp;_xlfn.TEXTJOIN(", ",TRUE,IF((BG522:CR522&lt;1)*(PARTIDAS!$I$2:$AT$2="SANITARIOS"),PARTIDAS!$I$1:$AT$1,"")),""),IF(SUMPRODUCT((BG522:CR522&lt;1)*(PARTIDAS!$I$2:$AT$2="ELÉCTRICO"))&gt;0,"ELÉCTRICO: "&amp;_xlfn.TEXTJOIN(", ",TRUE,IF((BG522:CR522&lt;1)*(PARTIDAS!$I$2:$AT$2="ELÉCTRICO"),PARTIDAS!$I$1:$AT$1,"")),""),IF(SUMPRODUCT((BG522:CR522&lt;1)*(PARTIDAS!$I$2:$AT$2="TERMINACIONES"))&gt;0,"TERMINACIONES: "&amp;_xlfn.TEXTJOIN(", ",TRUE,IF((BG522:CR522&lt;1)*(PARTIDAS!$I$2:$AT$2="TERMINACIONES"),PARTIDAS!$I$1:$AT$1,"")),""))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2" s="43" t="str" cm="1">
        <f t="array" ref="CU522">_xlfn.TEXTJOIN(", ",TRUE,IF(SUMPRODUCT((BG522:CR522&lt;1)*(PARTIDAS!$I$2:$AT$2="OBRA GRUESA"))&gt;0,"OBRA GRUESA",""),IF(SUMPRODUCT((BG522:CR522&lt;1)*(PARTIDAS!$I$2:$AT$2="SANITARIOS"))&gt;0,"SANITARIOS",""),IF(SUMPRODUCT((BG522:CR522&lt;1)*(PARTIDAS!$I$2:$AT$2="ELÉCTRICO"))&gt;0,"ELÉCTRICO",""),IF(SUMPRODUCT((BG522:CR522&lt;1)*(PARTIDAS!$I$2:$AT$2="TERMINACIONES"))&gt;0,"TERMINACIONES",""))</f>
        <v>OBRA GRUESA, SANITARIOS, ELÉCTRICO, TERMINACIONES</v>
      </c>
      <c r="CV522" s="44" cm="1">
        <f t="array" ref="CV522">SUMPRODUCT(--(BG522:CR522&lt;1))</f>
        <v>38</v>
      </c>
    </row>
    <row r="523" spans="1:100" hidden="1" x14ac:dyDescent="0.25">
      <c r="A523" t="s">
        <v>586</v>
      </c>
      <c r="B523" t="s">
        <v>596</v>
      </c>
      <c r="C523">
        <v>2302600522</v>
      </c>
      <c r="D523" t="s">
        <v>60</v>
      </c>
      <c r="E523" s="2">
        <v>0</v>
      </c>
      <c r="F523" s="1">
        <v>46402</v>
      </c>
      <c r="G523" s="1"/>
      <c r="H523" s="1">
        <v>0</v>
      </c>
      <c r="I523" s="1">
        <v>46432</v>
      </c>
      <c r="J523">
        <v>46230</v>
      </c>
      <c r="K523" s="1"/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>
        <v>31.32</v>
      </c>
      <c r="BF523" s="3" t="str">
        <f>+IF(AVANCE[[#This Row],[% AVANCE]]=100%,"MODULO TERMINADO",IF(AVANCE[[#This Row],[FECHA INICIO REAL]]="","MODULO NO INICIADO","PENDIENTE"))</f>
        <v>MODULO NO INICIADO</v>
      </c>
      <c r="BG523" s="3">
        <f>+IF(AVANCE[[#This Row],[VENTANAS]]=8.10810810810811%,100%,AVANCE[[#This Row],[VENTANAS]])</f>
        <v>0</v>
      </c>
      <c r="BH523" s="3">
        <f>+IF(AVANCE[[#This Row],[PISO]]=N$2,100%,AVANCE[[#This Row],[PISO]])</f>
        <v>0</v>
      </c>
      <c r="BI523" s="3">
        <f>+IF(AVANCE[[#This Row],[TABIQUES]]=O$2,100%,AVANCE[[#This Row],[TABIQUES]])</f>
        <v>0</v>
      </c>
      <c r="BJ523" s="3">
        <f>+IF(AVANCE[[#This Row],[MUROS]]=P$2,100%,AVANCE[[#This Row],[MUROS]])</f>
        <v>0</v>
      </c>
      <c r="BK523" s="3">
        <f>+IF(AVANCE[[#This Row],[CIELO]]=Q$2,100%,AVANCE[[#This Row],[CIELO]])</f>
        <v>0</v>
      </c>
      <c r="BL523" s="3">
        <f>+IF(AVANCE[[#This Row],[BALCÓN]]=R$2,100%,AVANCE[[#This Row],[BALCÓN]])</f>
        <v>0</v>
      </c>
      <c r="BM523" s="3">
        <f>+IF(AVANCE[[#This Row],[RED ALCANTARILLADO]]=U$2,100%,AVANCE[[#This Row],[RED ALCANTARILLADO]])</f>
        <v>0</v>
      </c>
      <c r="BN523" s="3">
        <f>+IF(AVANCE[[#This Row],[RED DE AGUA]]=V$2,100%,AVANCE[[#This Row],[RED DE AGUA]])</f>
        <v>0</v>
      </c>
      <c r="BO523" s="3">
        <f>+IF(AVANCE[[#This Row],[VENTILACIONES]]=W$2,100%,AVANCE[[#This Row],[VENTILACIONES]])</f>
        <v>0</v>
      </c>
      <c r="BP523" s="3">
        <f>+IF(AVANCE[[#This Row],[TINA]]=X$2,100%,AVANCE[[#This Row],[TINA]])</f>
        <v>0</v>
      </c>
      <c r="BQ523" s="3">
        <f>+IF(AVANCE[[#This Row],[WC]]=Y$2,100%,AVANCE[[#This Row],[WC]])</f>
        <v>0</v>
      </c>
      <c r="BR523" s="3">
        <f>+IF(AVANCE[[#This Row],[LAVAMANOS / LAVAPLATOS / LAVADERO]]=Z$2,100%,AVANCE[[#This Row],[LAVAMANOS / LAVAPLATOS / LAVADERO]])</f>
        <v>0</v>
      </c>
      <c r="BS523" s="3">
        <f>+IF(AVANCE[[#This Row],[CANALIZACIÓN]]=AC$2,100%,AVANCE[[#This Row],[CANALIZACIÓN]])</f>
        <v>0</v>
      </c>
      <c r="BT523" s="3">
        <f>+IF(AVANCE[[#This Row],[CABLEADO]]=AD$2,100%,AVANCE[[#This Row],[CABLEADO]])</f>
        <v>0</v>
      </c>
      <c r="BU523" s="3">
        <f>+IF(AVANCE[[#This Row],[ARTEFACTOS]]=AE$2,100%,AVANCE[[#This Row],[ARTEFACTOS]])</f>
        <v>0</v>
      </c>
      <c r="BV523" s="3">
        <f>+IF(AVANCE[[#This Row],[TABLERO]]=AF$2,100%,AVANCE[[#This Row],[TABLERO]])</f>
        <v>0</v>
      </c>
      <c r="BW523" s="3">
        <f>+IF(AVANCE[[#This Row],[CAJA PAU]]=AG$2,100%,AVANCE[[#This Row],[CAJA PAU]])</f>
        <v>0</v>
      </c>
      <c r="BX523" s="3">
        <f>+IF(AVANCE[[#This Row],[INSTALACION VINILICO]]=AJ$2,100%,AVANCE[[#This Row],[INSTALACION VINILICO]])</f>
        <v>0</v>
      </c>
      <c r="BY523" s="3">
        <f>+IF(AVANCE[[#This Row],[OSB CUBIERTA]]=AK$2,100%,AVANCE[[#This Row],[OSB CUBIERTA]])</f>
        <v>0</v>
      </c>
      <c r="BZ523" s="3">
        <f>+IF(AVANCE[[#This Row],[BARANDA BALCON]]=AL$2,100%,AVANCE[[#This Row],[BARANDA BALCON]])</f>
        <v>0</v>
      </c>
      <c r="CA523" s="3">
        <f>+IF(AVANCE[[#This Row],[OSB EXTERIOR]]=AM$2,100%,AVANCE[[#This Row],[OSB EXTERIOR]])</f>
        <v>0</v>
      </c>
      <c r="CB523" s="3">
        <f>+IF(AVANCE[[#This Row],[SMART PANEL]]=AN$2,100%,AVANCE[[#This Row],[SMART PANEL]])</f>
        <v>0</v>
      </c>
      <c r="CC523" s="3">
        <f>+IF(AVANCE[[#This Row],[PINTURA EXTERIOR]]=AO$2,100%,AVANCE[[#This Row],[PINTURA EXTERIOR]])</f>
        <v>0</v>
      </c>
      <c r="CD523" s="3">
        <f>+IF(AVANCE[[#This Row],[ZOCALOS LOGIA]]=AP$2,100%,AVANCE[[#This Row],[ZOCALOS LOGIA]])</f>
        <v>0</v>
      </c>
      <c r="CE523" s="3">
        <f>+IF(AVANCE[[#This Row],[MOLDURAS]]=AQ$2,100%,AVANCE[[#This Row],[MOLDURAS]])</f>
        <v>0</v>
      </c>
      <c r="CF523" s="3">
        <f>+IF(AVANCE[[#This Row],[PILASTREO]]=AR$2,100%,AVANCE[[#This Row],[PILASTREO]])</f>
        <v>0</v>
      </c>
      <c r="CG523" s="3">
        <f>+IF(AVANCE[[#This Row],[CELOSIAS]]=AS$2,100%,AVANCE[[#This Row],[CELOSIAS]])</f>
        <v>0</v>
      </c>
      <c r="CH523" s="3">
        <f>+IF(AVANCE[[#This Row],[VENTANAS]]=AT$2,100%,AVANCE[[#This Row],[VENTANAS]])</f>
        <v>0</v>
      </c>
      <c r="CI523" s="3">
        <f>+IF(AVANCE[[#This Row],[PUERTAS ACCESO - LOGIA - BANO]]=AU$2,100%,AVANCE[[#This Row],[PUERTAS ACCESO - LOGIA - BANO]])</f>
        <v>0</v>
      </c>
      <c r="CJ523" s="3">
        <f>+IF(AVANCE[[#This Row],[CERRADURAS]]=AV$2,100%,AVANCE[[#This Row],[CERRADURAS]])</f>
        <v>0</v>
      </c>
      <c r="CK523" s="3">
        <f>+IF(AVANCE[[#This Row],[REVESTIMIENTO INTERIOR ZONA SECA]]=AW$2,100%,AVANCE[[#This Row],[REVESTIMIENTO INTERIOR ZONA SECA]])</f>
        <v>0</v>
      </c>
      <c r="CL523" s="3">
        <f>+IF(AVANCE[[#This Row],[REVESTIMIENTO INTERIOR ZONAS HUMEDAS]]=AX$2,100%,AVANCE[[#This Row],[REVESTIMIENTO INTERIOR ZONAS HUMEDAS]])</f>
        <v>0</v>
      </c>
      <c r="CM523" s="3">
        <f>+IF(AVANCE[[#This Row],[MEMBRANA CIELO]]=AY$2,100%,AVANCE[[#This Row],[MEMBRANA CIELO]])</f>
        <v>0</v>
      </c>
      <c r="CN523" s="3">
        <f>+IF(AVANCE[[#This Row],[LIMPIEZA FINAL]]=AZ$2,100%,AVANCE[[#This Row],[LIMPIEZA FINAL]])</f>
        <v>0</v>
      </c>
      <c r="CO523" s="3">
        <f>+IF(AVANCE[[#This Row],[PUERTAS DORMITORIO]]=BA$2,100%,AVANCE[[#This Row],[PUERTAS DORMITORIO]])</f>
        <v>0</v>
      </c>
      <c r="CP523" s="3">
        <f>+IF(AVANCE[[#This Row],[REVESTIMIENTO INTERIOR BANO]]=BB$2,100%,AVANCE[[#This Row],[REVESTIMIENTO INTERIOR BANO]])</f>
        <v>0</v>
      </c>
      <c r="CQ523" s="3">
        <f>+IF(AVANCE[[#This Row],[MUEBLE LAVAPLATOS]]=BC$2,100%,AVANCE[[#This Row],[MUEBLE LAVAPLATOS]])</f>
        <v>0</v>
      </c>
      <c r="CR523" s="3">
        <f>+IF(AVANCE[[#This Row],[IMPERMEABILIZACION BANO - COCINA LOGIA]]=BD$2,100%,AVANCE[[#This Row],[IMPERMEABILIZACION BANO - COCINA LOGIA]])</f>
        <v>0</v>
      </c>
      <c r="CS523" s="40">
        <f ca="1">+IF(AVANCE[[#This Row],[ESTADO MODULO]]="PENDIENTE",(TODAY()-AVANCE[[#This Row],[FECHA TERMINO  PLANIFICADO]]),0)</f>
        <v>0</v>
      </c>
      <c r="CT523" s="41" t="str" cm="1">
        <f t="array" ref="CT523">_xlfn.TEXTJOIN(" | ",TRUE,IF(SUMPRODUCT((BG523:CR523&lt;1)*(PARTIDAS!$I$2:$AT$2="OBRA GRUESA"))&gt;0,"OBRA GRUESA: "&amp;_xlfn.TEXTJOIN(", ",TRUE,IF((BG523:CR523&lt;1)*(PARTIDAS!$I$2:$AT$2="OBRA GRUESA"),PARTIDAS!$I$1:$AT$1,"")),""),IF(SUMPRODUCT((BG523:CR523&lt;1)*(PARTIDAS!$I$2:$AT$2="SANITARIOS"))&gt;0,"SANITARIOS: "&amp;_xlfn.TEXTJOIN(", ",TRUE,IF((BG523:CR523&lt;1)*(PARTIDAS!$I$2:$AT$2="SANITARIOS"),PARTIDAS!$I$1:$AT$1,"")),""),IF(SUMPRODUCT((BG523:CR523&lt;1)*(PARTIDAS!$I$2:$AT$2="ELÉCTRICO"))&gt;0,"ELÉCTRICO: "&amp;_xlfn.TEXTJOIN(", ",TRUE,IF((BG523:CR523&lt;1)*(PARTIDAS!$I$2:$AT$2="ELÉCTRICO"),PARTIDAS!$I$1:$AT$1,"")),""),IF(SUMPRODUCT((BG523:CR523&lt;1)*(PARTIDAS!$I$2:$AT$2="TERMINACIONES"))&gt;0,"TERMINACIONES: "&amp;_xlfn.TEXTJOIN(", ",TRUE,IF((BG523:CR523&lt;1)*(PARTIDAS!$I$2:$AT$2="TERMINACIONES"),PARTIDAS!$I$1:$AT$1,"")),""))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3" s="43" t="str" cm="1">
        <f t="array" ref="CU523">_xlfn.TEXTJOIN(", ",TRUE,IF(SUMPRODUCT((BG523:CR523&lt;1)*(PARTIDAS!$I$2:$AT$2="OBRA GRUESA"))&gt;0,"OBRA GRUESA",""),IF(SUMPRODUCT((BG523:CR523&lt;1)*(PARTIDAS!$I$2:$AT$2="SANITARIOS"))&gt;0,"SANITARIOS",""),IF(SUMPRODUCT((BG523:CR523&lt;1)*(PARTIDAS!$I$2:$AT$2="ELÉCTRICO"))&gt;0,"ELÉCTRICO",""),IF(SUMPRODUCT((BG523:CR523&lt;1)*(PARTIDAS!$I$2:$AT$2="TERMINACIONES"))&gt;0,"TERMINACIONES",""))</f>
        <v>OBRA GRUESA, SANITARIOS, ELÉCTRICO, TERMINACIONES</v>
      </c>
      <c r="CV523" s="44" cm="1">
        <f t="array" ref="CV523">SUMPRODUCT(--(BG523:CR523&lt;1))</f>
        <v>38</v>
      </c>
    </row>
    <row r="524" spans="1:100" hidden="1" x14ac:dyDescent="0.25">
      <c r="A524" t="s">
        <v>586</v>
      </c>
      <c r="B524" t="s">
        <v>597</v>
      </c>
      <c r="C524">
        <v>2302600523</v>
      </c>
      <c r="D524" t="s">
        <v>60</v>
      </c>
      <c r="E524" s="2">
        <v>0</v>
      </c>
      <c r="F524" s="1">
        <v>46402</v>
      </c>
      <c r="G524" s="1"/>
      <c r="H524" s="1">
        <v>0</v>
      </c>
      <c r="I524" s="1">
        <v>46432</v>
      </c>
      <c r="J524">
        <v>46230</v>
      </c>
      <c r="K524" s="1"/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>
        <v>31.32</v>
      </c>
      <c r="BF524" s="3" t="str">
        <f>+IF(AVANCE[[#This Row],[% AVANCE]]=100%,"MODULO TERMINADO",IF(AVANCE[[#This Row],[FECHA INICIO REAL]]="","MODULO NO INICIADO","PENDIENTE"))</f>
        <v>MODULO NO INICIADO</v>
      </c>
      <c r="BG524" s="3">
        <f>+IF(AVANCE[[#This Row],[VENTANAS]]=8.10810810810811%,100%,AVANCE[[#This Row],[VENTANAS]])</f>
        <v>0</v>
      </c>
      <c r="BH524" s="3">
        <f>+IF(AVANCE[[#This Row],[PISO]]=N$2,100%,AVANCE[[#This Row],[PISO]])</f>
        <v>0</v>
      </c>
      <c r="BI524" s="3">
        <f>+IF(AVANCE[[#This Row],[TABIQUES]]=O$2,100%,AVANCE[[#This Row],[TABIQUES]])</f>
        <v>0</v>
      </c>
      <c r="BJ524" s="3">
        <f>+IF(AVANCE[[#This Row],[MUROS]]=P$2,100%,AVANCE[[#This Row],[MUROS]])</f>
        <v>0</v>
      </c>
      <c r="BK524" s="3">
        <f>+IF(AVANCE[[#This Row],[CIELO]]=Q$2,100%,AVANCE[[#This Row],[CIELO]])</f>
        <v>0</v>
      </c>
      <c r="BL524" s="3">
        <f>+IF(AVANCE[[#This Row],[BALCÓN]]=R$2,100%,AVANCE[[#This Row],[BALCÓN]])</f>
        <v>0</v>
      </c>
      <c r="BM524" s="3">
        <f>+IF(AVANCE[[#This Row],[RED ALCANTARILLADO]]=U$2,100%,AVANCE[[#This Row],[RED ALCANTARILLADO]])</f>
        <v>0</v>
      </c>
      <c r="BN524" s="3">
        <f>+IF(AVANCE[[#This Row],[RED DE AGUA]]=V$2,100%,AVANCE[[#This Row],[RED DE AGUA]])</f>
        <v>0</v>
      </c>
      <c r="BO524" s="3">
        <f>+IF(AVANCE[[#This Row],[VENTILACIONES]]=W$2,100%,AVANCE[[#This Row],[VENTILACIONES]])</f>
        <v>0</v>
      </c>
      <c r="BP524" s="3">
        <f>+IF(AVANCE[[#This Row],[TINA]]=X$2,100%,AVANCE[[#This Row],[TINA]])</f>
        <v>0</v>
      </c>
      <c r="BQ524" s="3">
        <f>+IF(AVANCE[[#This Row],[WC]]=Y$2,100%,AVANCE[[#This Row],[WC]])</f>
        <v>0</v>
      </c>
      <c r="BR524" s="3">
        <f>+IF(AVANCE[[#This Row],[LAVAMANOS / LAVAPLATOS / LAVADERO]]=Z$2,100%,AVANCE[[#This Row],[LAVAMANOS / LAVAPLATOS / LAVADERO]])</f>
        <v>0</v>
      </c>
      <c r="BS524" s="3">
        <f>+IF(AVANCE[[#This Row],[CANALIZACIÓN]]=AC$2,100%,AVANCE[[#This Row],[CANALIZACIÓN]])</f>
        <v>0</v>
      </c>
      <c r="BT524" s="3">
        <f>+IF(AVANCE[[#This Row],[CABLEADO]]=AD$2,100%,AVANCE[[#This Row],[CABLEADO]])</f>
        <v>0</v>
      </c>
      <c r="BU524" s="3">
        <f>+IF(AVANCE[[#This Row],[ARTEFACTOS]]=AE$2,100%,AVANCE[[#This Row],[ARTEFACTOS]])</f>
        <v>0</v>
      </c>
      <c r="BV524" s="3">
        <f>+IF(AVANCE[[#This Row],[TABLERO]]=AF$2,100%,AVANCE[[#This Row],[TABLERO]])</f>
        <v>0</v>
      </c>
      <c r="BW524" s="3">
        <f>+IF(AVANCE[[#This Row],[CAJA PAU]]=AG$2,100%,AVANCE[[#This Row],[CAJA PAU]])</f>
        <v>0</v>
      </c>
      <c r="BX524" s="3">
        <f>+IF(AVANCE[[#This Row],[INSTALACION VINILICO]]=AJ$2,100%,AVANCE[[#This Row],[INSTALACION VINILICO]])</f>
        <v>0</v>
      </c>
      <c r="BY524" s="3">
        <f>+IF(AVANCE[[#This Row],[OSB CUBIERTA]]=AK$2,100%,AVANCE[[#This Row],[OSB CUBIERTA]])</f>
        <v>0</v>
      </c>
      <c r="BZ524" s="3">
        <f>+IF(AVANCE[[#This Row],[BARANDA BALCON]]=AL$2,100%,AVANCE[[#This Row],[BARANDA BALCON]])</f>
        <v>0</v>
      </c>
      <c r="CA524" s="3">
        <f>+IF(AVANCE[[#This Row],[OSB EXTERIOR]]=AM$2,100%,AVANCE[[#This Row],[OSB EXTERIOR]])</f>
        <v>0</v>
      </c>
      <c r="CB524" s="3">
        <f>+IF(AVANCE[[#This Row],[SMART PANEL]]=AN$2,100%,AVANCE[[#This Row],[SMART PANEL]])</f>
        <v>0</v>
      </c>
      <c r="CC524" s="3">
        <f>+IF(AVANCE[[#This Row],[PINTURA EXTERIOR]]=AO$2,100%,AVANCE[[#This Row],[PINTURA EXTERIOR]])</f>
        <v>0</v>
      </c>
      <c r="CD524" s="3">
        <f>+IF(AVANCE[[#This Row],[ZOCALOS LOGIA]]=AP$2,100%,AVANCE[[#This Row],[ZOCALOS LOGIA]])</f>
        <v>0</v>
      </c>
      <c r="CE524" s="3">
        <f>+IF(AVANCE[[#This Row],[MOLDURAS]]=AQ$2,100%,AVANCE[[#This Row],[MOLDURAS]])</f>
        <v>0</v>
      </c>
      <c r="CF524" s="3">
        <f>+IF(AVANCE[[#This Row],[PILASTREO]]=AR$2,100%,AVANCE[[#This Row],[PILASTREO]])</f>
        <v>0</v>
      </c>
      <c r="CG524" s="3">
        <f>+IF(AVANCE[[#This Row],[CELOSIAS]]=AS$2,100%,AVANCE[[#This Row],[CELOSIAS]])</f>
        <v>0</v>
      </c>
      <c r="CH524" s="3">
        <f>+IF(AVANCE[[#This Row],[VENTANAS]]=AT$2,100%,AVANCE[[#This Row],[VENTANAS]])</f>
        <v>0</v>
      </c>
      <c r="CI524" s="3">
        <f>+IF(AVANCE[[#This Row],[PUERTAS ACCESO - LOGIA - BANO]]=AU$2,100%,AVANCE[[#This Row],[PUERTAS ACCESO - LOGIA - BANO]])</f>
        <v>0</v>
      </c>
      <c r="CJ524" s="3">
        <f>+IF(AVANCE[[#This Row],[CERRADURAS]]=AV$2,100%,AVANCE[[#This Row],[CERRADURAS]])</f>
        <v>0</v>
      </c>
      <c r="CK524" s="3">
        <f>+IF(AVANCE[[#This Row],[REVESTIMIENTO INTERIOR ZONA SECA]]=AW$2,100%,AVANCE[[#This Row],[REVESTIMIENTO INTERIOR ZONA SECA]])</f>
        <v>0</v>
      </c>
      <c r="CL524" s="3">
        <f>+IF(AVANCE[[#This Row],[REVESTIMIENTO INTERIOR ZONAS HUMEDAS]]=AX$2,100%,AVANCE[[#This Row],[REVESTIMIENTO INTERIOR ZONAS HUMEDAS]])</f>
        <v>0</v>
      </c>
      <c r="CM524" s="3">
        <f>+IF(AVANCE[[#This Row],[MEMBRANA CIELO]]=AY$2,100%,AVANCE[[#This Row],[MEMBRANA CIELO]])</f>
        <v>0</v>
      </c>
      <c r="CN524" s="3">
        <f>+IF(AVANCE[[#This Row],[LIMPIEZA FINAL]]=AZ$2,100%,AVANCE[[#This Row],[LIMPIEZA FINAL]])</f>
        <v>0</v>
      </c>
      <c r="CO524" s="3">
        <f>+IF(AVANCE[[#This Row],[PUERTAS DORMITORIO]]=BA$2,100%,AVANCE[[#This Row],[PUERTAS DORMITORIO]])</f>
        <v>0</v>
      </c>
      <c r="CP524" s="3">
        <f>+IF(AVANCE[[#This Row],[REVESTIMIENTO INTERIOR BANO]]=BB$2,100%,AVANCE[[#This Row],[REVESTIMIENTO INTERIOR BANO]])</f>
        <v>0</v>
      </c>
      <c r="CQ524" s="3">
        <f>+IF(AVANCE[[#This Row],[MUEBLE LAVAPLATOS]]=BC$2,100%,AVANCE[[#This Row],[MUEBLE LAVAPLATOS]])</f>
        <v>0</v>
      </c>
      <c r="CR524" s="3">
        <f>+IF(AVANCE[[#This Row],[IMPERMEABILIZACION BANO - COCINA LOGIA]]=BD$2,100%,AVANCE[[#This Row],[IMPERMEABILIZACION BANO - COCINA LOGIA]])</f>
        <v>0</v>
      </c>
      <c r="CS524" s="40">
        <f ca="1">+IF(AVANCE[[#This Row],[ESTADO MODULO]]="PENDIENTE",(TODAY()-AVANCE[[#This Row],[FECHA TERMINO  PLANIFICADO]]),0)</f>
        <v>0</v>
      </c>
      <c r="CT524" s="41" t="str" cm="1">
        <f t="array" ref="CT524">_xlfn.TEXTJOIN(" | ",TRUE,IF(SUMPRODUCT((BG524:CR524&lt;1)*(PARTIDAS!$I$2:$AT$2="OBRA GRUESA"))&gt;0,"OBRA GRUESA: "&amp;_xlfn.TEXTJOIN(", ",TRUE,IF((BG524:CR524&lt;1)*(PARTIDAS!$I$2:$AT$2="OBRA GRUESA"),PARTIDAS!$I$1:$AT$1,"")),""),IF(SUMPRODUCT((BG524:CR524&lt;1)*(PARTIDAS!$I$2:$AT$2="SANITARIOS"))&gt;0,"SANITARIOS: "&amp;_xlfn.TEXTJOIN(", ",TRUE,IF((BG524:CR524&lt;1)*(PARTIDAS!$I$2:$AT$2="SANITARIOS"),PARTIDAS!$I$1:$AT$1,"")),""),IF(SUMPRODUCT((BG524:CR524&lt;1)*(PARTIDAS!$I$2:$AT$2="ELÉCTRICO"))&gt;0,"ELÉCTRICO: "&amp;_xlfn.TEXTJOIN(", ",TRUE,IF((BG524:CR524&lt;1)*(PARTIDAS!$I$2:$AT$2="ELÉCTRICO"),PARTIDAS!$I$1:$AT$1,"")),""),IF(SUMPRODUCT((BG524:CR524&lt;1)*(PARTIDAS!$I$2:$AT$2="TERMINACIONES"))&gt;0,"TERMINACIONES: "&amp;_xlfn.TEXTJOIN(", ",TRUE,IF((BG524:CR524&lt;1)*(PARTIDAS!$I$2:$AT$2="TERMINACIONES"),PARTIDAS!$I$1:$AT$1,"")),""))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4" s="43" t="str" cm="1">
        <f t="array" ref="CU524">_xlfn.TEXTJOIN(", ",TRUE,IF(SUMPRODUCT((BG524:CR524&lt;1)*(PARTIDAS!$I$2:$AT$2="OBRA GRUESA"))&gt;0,"OBRA GRUESA",""),IF(SUMPRODUCT((BG524:CR524&lt;1)*(PARTIDAS!$I$2:$AT$2="SANITARIOS"))&gt;0,"SANITARIOS",""),IF(SUMPRODUCT((BG524:CR524&lt;1)*(PARTIDAS!$I$2:$AT$2="ELÉCTRICO"))&gt;0,"ELÉCTRICO",""),IF(SUMPRODUCT((BG524:CR524&lt;1)*(PARTIDAS!$I$2:$AT$2="TERMINACIONES"))&gt;0,"TERMINACIONES",""))</f>
        <v>OBRA GRUESA, SANITARIOS, ELÉCTRICO, TERMINACIONES</v>
      </c>
      <c r="CV524" s="44" cm="1">
        <f t="array" ref="CV524">SUMPRODUCT(--(BG524:CR524&lt;1))</f>
        <v>38</v>
      </c>
    </row>
    <row r="525" spans="1:100" hidden="1" x14ac:dyDescent="0.25">
      <c r="A525" t="s">
        <v>586</v>
      </c>
      <c r="B525" t="s">
        <v>598</v>
      </c>
      <c r="C525">
        <v>2282600524</v>
      </c>
      <c r="D525" t="s">
        <v>58</v>
      </c>
      <c r="E525" s="2">
        <v>0</v>
      </c>
      <c r="F525" s="1">
        <v>46405</v>
      </c>
      <c r="G525" s="1"/>
      <c r="H525" s="1">
        <v>0</v>
      </c>
      <c r="I525" s="1">
        <v>46425</v>
      </c>
      <c r="J525">
        <v>46230</v>
      </c>
      <c r="K525" s="1"/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>
        <v>28.87</v>
      </c>
      <c r="BF525" s="3" t="str">
        <f>+IF(AVANCE[[#This Row],[% AVANCE]]=100%,"MODULO TERMINADO",IF(AVANCE[[#This Row],[FECHA INICIO REAL]]="","MODULO NO INICIADO","PENDIENTE"))</f>
        <v>MODULO NO INICIADO</v>
      </c>
      <c r="BG525" s="3">
        <f>+IF(AVANCE[[#This Row],[VENTANAS]]=8.10810810810811%,100%,AVANCE[[#This Row],[VENTANAS]])</f>
        <v>0</v>
      </c>
      <c r="BH525" s="3">
        <f>+IF(AVANCE[[#This Row],[PISO]]=N$2,100%,AVANCE[[#This Row],[PISO]])</f>
        <v>0</v>
      </c>
      <c r="BI525" s="3">
        <f>+IF(AVANCE[[#This Row],[TABIQUES]]=O$2,100%,AVANCE[[#This Row],[TABIQUES]])</f>
        <v>0</v>
      </c>
      <c r="BJ525" s="3">
        <f>+IF(AVANCE[[#This Row],[MUROS]]=P$2,100%,AVANCE[[#This Row],[MUROS]])</f>
        <v>0</v>
      </c>
      <c r="BK525" s="3">
        <f>+IF(AVANCE[[#This Row],[CIELO]]=Q$2,100%,AVANCE[[#This Row],[CIELO]])</f>
        <v>0</v>
      </c>
      <c r="BL525" s="3">
        <f>+IF(AVANCE[[#This Row],[BALCÓN]]=R$2,100%,AVANCE[[#This Row],[BALCÓN]])</f>
        <v>0</v>
      </c>
      <c r="BM525" s="3">
        <f>+IF(AVANCE[[#This Row],[RED ALCANTARILLADO]]=U$2,100%,AVANCE[[#This Row],[RED ALCANTARILLADO]])</f>
        <v>0</v>
      </c>
      <c r="BN525" s="3">
        <f>+IF(AVANCE[[#This Row],[RED DE AGUA]]=V$2,100%,AVANCE[[#This Row],[RED DE AGUA]])</f>
        <v>0</v>
      </c>
      <c r="BO525" s="3">
        <f>+IF(AVANCE[[#This Row],[VENTILACIONES]]=W$2,100%,AVANCE[[#This Row],[VENTILACIONES]])</f>
        <v>0</v>
      </c>
      <c r="BP525" s="3">
        <f>+IF(AVANCE[[#This Row],[TINA]]=X$2,100%,AVANCE[[#This Row],[TINA]])</f>
        <v>0</v>
      </c>
      <c r="BQ525" s="3">
        <f>+IF(AVANCE[[#This Row],[WC]]=Y$2,100%,AVANCE[[#This Row],[WC]])</f>
        <v>0</v>
      </c>
      <c r="BR525" s="3">
        <f>+IF(AVANCE[[#This Row],[LAVAMANOS / LAVAPLATOS / LAVADERO]]=Z$2,100%,AVANCE[[#This Row],[LAVAMANOS / LAVAPLATOS / LAVADERO]])</f>
        <v>0</v>
      </c>
      <c r="BS525" s="3">
        <f>+IF(AVANCE[[#This Row],[CANALIZACIÓN]]=AC$2,100%,AVANCE[[#This Row],[CANALIZACIÓN]])</f>
        <v>0</v>
      </c>
      <c r="BT525" s="3">
        <f>+IF(AVANCE[[#This Row],[CABLEADO]]=AD$2,100%,AVANCE[[#This Row],[CABLEADO]])</f>
        <v>0</v>
      </c>
      <c r="BU525" s="3">
        <f>+IF(AVANCE[[#This Row],[ARTEFACTOS]]=AE$2,100%,AVANCE[[#This Row],[ARTEFACTOS]])</f>
        <v>0</v>
      </c>
      <c r="BV525" s="3">
        <f>+IF(AVANCE[[#This Row],[TABLERO]]=AF$2,100%,AVANCE[[#This Row],[TABLERO]])</f>
        <v>0</v>
      </c>
      <c r="BW525" s="3">
        <f>+IF(AVANCE[[#This Row],[CAJA PAU]]=AG$2,100%,AVANCE[[#This Row],[CAJA PAU]])</f>
        <v>0</v>
      </c>
      <c r="BX525" s="3">
        <f>+IF(AVANCE[[#This Row],[INSTALACION VINILICO]]=AJ$2,100%,AVANCE[[#This Row],[INSTALACION VINILICO]])</f>
        <v>0</v>
      </c>
      <c r="BY525" s="3">
        <f>+IF(AVANCE[[#This Row],[OSB CUBIERTA]]=AK$2,100%,AVANCE[[#This Row],[OSB CUBIERTA]])</f>
        <v>0</v>
      </c>
      <c r="BZ525" s="3">
        <f>+IF(AVANCE[[#This Row],[BARANDA BALCON]]=AL$2,100%,AVANCE[[#This Row],[BARANDA BALCON]])</f>
        <v>0</v>
      </c>
      <c r="CA525" s="3">
        <f>+IF(AVANCE[[#This Row],[OSB EXTERIOR]]=AM$2,100%,AVANCE[[#This Row],[OSB EXTERIOR]])</f>
        <v>0</v>
      </c>
      <c r="CB525" s="3">
        <f>+IF(AVANCE[[#This Row],[SMART PANEL]]=AN$2,100%,AVANCE[[#This Row],[SMART PANEL]])</f>
        <v>0</v>
      </c>
      <c r="CC525" s="3">
        <f>+IF(AVANCE[[#This Row],[PINTURA EXTERIOR]]=AO$2,100%,AVANCE[[#This Row],[PINTURA EXTERIOR]])</f>
        <v>0</v>
      </c>
      <c r="CD525" s="3">
        <f>+IF(AVANCE[[#This Row],[ZOCALOS LOGIA]]=AP$2,100%,AVANCE[[#This Row],[ZOCALOS LOGIA]])</f>
        <v>0</v>
      </c>
      <c r="CE525" s="3">
        <f>+IF(AVANCE[[#This Row],[MOLDURAS]]=AQ$2,100%,AVANCE[[#This Row],[MOLDURAS]])</f>
        <v>0</v>
      </c>
      <c r="CF525" s="3">
        <f>+IF(AVANCE[[#This Row],[PILASTREO]]=AR$2,100%,AVANCE[[#This Row],[PILASTREO]])</f>
        <v>0</v>
      </c>
      <c r="CG525" s="3">
        <f>+IF(AVANCE[[#This Row],[CELOSIAS]]=AS$2,100%,AVANCE[[#This Row],[CELOSIAS]])</f>
        <v>0</v>
      </c>
      <c r="CH525" s="3">
        <f>+IF(AVANCE[[#This Row],[VENTANAS]]=AT$2,100%,AVANCE[[#This Row],[VENTANAS]])</f>
        <v>0</v>
      </c>
      <c r="CI525" s="3">
        <f>+IF(AVANCE[[#This Row],[PUERTAS ACCESO - LOGIA - BANO]]=AU$2,100%,AVANCE[[#This Row],[PUERTAS ACCESO - LOGIA - BANO]])</f>
        <v>0</v>
      </c>
      <c r="CJ525" s="3">
        <f>+IF(AVANCE[[#This Row],[CERRADURAS]]=AV$2,100%,AVANCE[[#This Row],[CERRADURAS]])</f>
        <v>0</v>
      </c>
      <c r="CK525" s="3">
        <f>+IF(AVANCE[[#This Row],[REVESTIMIENTO INTERIOR ZONA SECA]]=AW$2,100%,AVANCE[[#This Row],[REVESTIMIENTO INTERIOR ZONA SECA]])</f>
        <v>0</v>
      </c>
      <c r="CL525" s="3">
        <f>+IF(AVANCE[[#This Row],[REVESTIMIENTO INTERIOR ZONAS HUMEDAS]]=AX$2,100%,AVANCE[[#This Row],[REVESTIMIENTO INTERIOR ZONAS HUMEDAS]])</f>
        <v>0</v>
      </c>
      <c r="CM525" s="3">
        <f>+IF(AVANCE[[#This Row],[MEMBRANA CIELO]]=AY$2,100%,AVANCE[[#This Row],[MEMBRANA CIELO]])</f>
        <v>0</v>
      </c>
      <c r="CN525" s="3">
        <f>+IF(AVANCE[[#This Row],[LIMPIEZA FINAL]]=AZ$2,100%,AVANCE[[#This Row],[LIMPIEZA FINAL]])</f>
        <v>0</v>
      </c>
      <c r="CO525" s="3">
        <f>+IF(AVANCE[[#This Row],[PUERTAS DORMITORIO]]=BA$2,100%,AVANCE[[#This Row],[PUERTAS DORMITORIO]])</f>
        <v>0</v>
      </c>
      <c r="CP525" s="3">
        <f>+IF(AVANCE[[#This Row],[REVESTIMIENTO INTERIOR BANO]]=BB$2,100%,AVANCE[[#This Row],[REVESTIMIENTO INTERIOR BANO]])</f>
        <v>0</v>
      </c>
      <c r="CQ525" s="3">
        <f>+IF(AVANCE[[#This Row],[MUEBLE LAVAPLATOS]]=BC$2,100%,AVANCE[[#This Row],[MUEBLE LAVAPLATOS]])</f>
        <v>0</v>
      </c>
      <c r="CR525" s="3">
        <f>+IF(AVANCE[[#This Row],[IMPERMEABILIZACION BANO - COCINA LOGIA]]=BD$2,100%,AVANCE[[#This Row],[IMPERMEABILIZACION BANO - COCINA LOGIA]])</f>
        <v>0</v>
      </c>
      <c r="CS525" s="40">
        <f ca="1">+IF(AVANCE[[#This Row],[ESTADO MODULO]]="PENDIENTE",(TODAY()-AVANCE[[#This Row],[FECHA TERMINO  PLANIFICADO]]),0)</f>
        <v>0</v>
      </c>
      <c r="CT525" s="41" t="str" cm="1">
        <f t="array" ref="CT525">_xlfn.TEXTJOIN(" | ",TRUE,IF(SUMPRODUCT((BG525:CR525&lt;1)*(PARTIDAS!$I$2:$AT$2="OBRA GRUESA"))&gt;0,"OBRA GRUESA: "&amp;_xlfn.TEXTJOIN(", ",TRUE,IF((BG525:CR525&lt;1)*(PARTIDAS!$I$2:$AT$2="OBRA GRUESA"),PARTIDAS!$I$1:$AT$1,"")),""),IF(SUMPRODUCT((BG525:CR525&lt;1)*(PARTIDAS!$I$2:$AT$2="SANITARIOS"))&gt;0,"SANITARIOS: "&amp;_xlfn.TEXTJOIN(", ",TRUE,IF((BG525:CR525&lt;1)*(PARTIDAS!$I$2:$AT$2="SANITARIOS"),PARTIDAS!$I$1:$AT$1,"")),""),IF(SUMPRODUCT((BG525:CR525&lt;1)*(PARTIDAS!$I$2:$AT$2="ELÉCTRICO"))&gt;0,"ELÉCTRICO: "&amp;_xlfn.TEXTJOIN(", ",TRUE,IF((BG525:CR525&lt;1)*(PARTIDAS!$I$2:$AT$2="ELÉCTRICO"),PARTIDAS!$I$1:$AT$1,"")),""),IF(SUMPRODUCT((BG525:CR525&lt;1)*(PARTIDAS!$I$2:$AT$2="TERMINACIONES"))&gt;0,"TERMINACIONES: "&amp;_xlfn.TEXTJOIN(", ",TRUE,IF((BG525:CR525&lt;1)*(PARTIDAS!$I$2:$AT$2="TERMINACIONES"),PARTIDAS!$I$1:$AT$1,"")),""))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5" s="43" t="str" cm="1">
        <f t="array" ref="CU525">_xlfn.TEXTJOIN(", ",TRUE,IF(SUMPRODUCT((BG525:CR525&lt;1)*(PARTIDAS!$I$2:$AT$2="OBRA GRUESA"))&gt;0,"OBRA GRUESA",""),IF(SUMPRODUCT((BG525:CR525&lt;1)*(PARTIDAS!$I$2:$AT$2="SANITARIOS"))&gt;0,"SANITARIOS",""),IF(SUMPRODUCT((BG525:CR525&lt;1)*(PARTIDAS!$I$2:$AT$2="ELÉCTRICO"))&gt;0,"ELÉCTRICO",""),IF(SUMPRODUCT((BG525:CR525&lt;1)*(PARTIDAS!$I$2:$AT$2="TERMINACIONES"))&gt;0,"TERMINACIONES",""))</f>
        <v>OBRA GRUESA, SANITARIOS, ELÉCTRICO, TERMINACIONES</v>
      </c>
      <c r="CV525" s="44" cm="1">
        <f t="array" ref="CV525">SUMPRODUCT(--(BG525:CR525&lt;1))</f>
        <v>38</v>
      </c>
    </row>
    <row r="526" spans="1:100" hidden="1" x14ac:dyDescent="0.25">
      <c r="A526" t="s">
        <v>586</v>
      </c>
      <c r="B526" t="s">
        <v>599</v>
      </c>
      <c r="C526">
        <v>2282600525</v>
      </c>
      <c r="D526" t="s">
        <v>58</v>
      </c>
      <c r="E526" s="2">
        <v>0</v>
      </c>
      <c r="F526" s="1">
        <v>46405</v>
      </c>
      <c r="G526" s="1"/>
      <c r="H526" s="1">
        <v>0</v>
      </c>
      <c r="I526" s="1">
        <v>46425</v>
      </c>
      <c r="J526">
        <v>46230</v>
      </c>
      <c r="K526" s="1"/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>
        <v>28.87</v>
      </c>
      <c r="BF526" s="3" t="str">
        <f>+IF(AVANCE[[#This Row],[% AVANCE]]=100%,"MODULO TERMINADO",IF(AVANCE[[#This Row],[FECHA INICIO REAL]]="","MODULO NO INICIADO","PENDIENTE"))</f>
        <v>MODULO NO INICIADO</v>
      </c>
      <c r="BG526" s="3">
        <f>+IF(AVANCE[[#This Row],[VENTANAS]]=8.10810810810811%,100%,AVANCE[[#This Row],[VENTANAS]])</f>
        <v>0</v>
      </c>
      <c r="BH526" s="3">
        <f>+IF(AVANCE[[#This Row],[PISO]]=N$2,100%,AVANCE[[#This Row],[PISO]])</f>
        <v>0</v>
      </c>
      <c r="BI526" s="3">
        <f>+IF(AVANCE[[#This Row],[TABIQUES]]=O$2,100%,AVANCE[[#This Row],[TABIQUES]])</f>
        <v>0</v>
      </c>
      <c r="BJ526" s="3">
        <f>+IF(AVANCE[[#This Row],[MUROS]]=P$2,100%,AVANCE[[#This Row],[MUROS]])</f>
        <v>0</v>
      </c>
      <c r="BK526" s="3">
        <f>+IF(AVANCE[[#This Row],[CIELO]]=Q$2,100%,AVANCE[[#This Row],[CIELO]])</f>
        <v>0</v>
      </c>
      <c r="BL526" s="3">
        <f>+IF(AVANCE[[#This Row],[BALCÓN]]=R$2,100%,AVANCE[[#This Row],[BALCÓN]])</f>
        <v>0</v>
      </c>
      <c r="BM526" s="3">
        <f>+IF(AVANCE[[#This Row],[RED ALCANTARILLADO]]=U$2,100%,AVANCE[[#This Row],[RED ALCANTARILLADO]])</f>
        <v>0</v>
      </c>
      <c r="BN526" s="3">
        <f>+IF(AVANCE[[#This Row],[RED DE AGUA]]=V$2,100%,AVANCE[[#This Row],[RED DE AGUA]])</f>
        <v>0</v>
      </c>
      <c r="BO526" s="3">
        <f>+IF(AVANCE[[#This Row],[VENTILACIONES]]=W$2,100%,AVANCE[[#This Row],[VENTILACIONES]])</f>
        <v>0</v>
      </c>
      <c r="BP526" s="3">
        <f>+IF(AVANCE[[#This Row],[TINA]]=X$2,100%,AVANCE[[#This Row],[TINA]])</f>
        <v>0</v>
      </c>
      <c r="BQ526" s="3">
        <f>+IF(AVANCE[[#This Row],[WC]]=Y$2,100%,AVANCE[[#This Row],[WC]])</f>
        <v>0</v>
      </c>
      <c r="BR526" s="3">
        <f>+IF(AVANCE[[#This Row],[LAVAMANOS / LAVAPLATOS / LAVADERO]]=Z$2,100%,AVANCE[[#This Row],[LAVAMANOS / LAVAPLATOS / LAVADERO]])</f>
        <v>0</v>
      </c>
      <c r="BS526" s="3">
        <f>+IF(AVANCE[[#This Row],[CANALIZACIÓN]]=AC$2,100%,AVANCE[[#This Row],[CANALIZACIÓN]])</f>
        <v>0</v>
      </c>
      <c r="BT526" s="3">
        <f>+IF(AVANCE[[#This Row],[CABLEADO]]=AD$2,100%,AVANCE[[#This Row],[CABLEADO]])</f>
        <v>0</v>
      </c>
      <c r="BU526" s="3">
        <f>+IF(AVANCE[[#This Row],[ARTEFACTOS]]=AE$2,100%,AVANCE[[#This Row],[ARTEFACTOS]])</f>
        <v>0</v>
      </c>
      <c r="BV526" s="3">
        <f>+IF(AVANCE[[#This Row],[TABLERO]]=AF$2,100%,AVANCE[[#This Row],[TABLERO]])</f>
        <v>0</v>
      </c>
      <c r="BW526" s="3">
        <f>+IF(AVANCE[[#This Row],[CAJA PAU]]=AG$2,100%,AVANCE[[#This Row],[CAJA PAU]])</f>
        <v>0</v>
      </c>
      <c r="BX526" s="3">
        <f>+IF(AVANCE[[#This Row],[INSTALACION VINILICO]]=AJ$2,100%,AVANCE[[#This Row],[INSTALACION VINILICO]])</f>
        <v>0</v>
      </c>
      <c r="BY526" s="3">
        <f>+IF(AVANCE[[#This Row],[OSB CUBIERTA]]=AK$2,100%,AVANCE[[#This Row],[OSB CUBIERTA]])</f>
        <v>0</v>
      </c>
      <c r="BZ526" s="3">
        <f>+IF(AVANCE[[#This Row],[BARANDA BALCON]]=AL$2,100%,AVANCE[[#This Row],[BARANDA BALCON]])</f>
        <v>0</v>
      </c>
      <c r="CA526" s="3">
        <f>+IF(AVANCE[[#This Row],[OSB EXTERIOR]]=AM$2,100%,AVANCE[[#This Row],[OSB EXTERIOR]])</f>
        <v>0</v>
      </c>
      <c r="CB526" s="3">
        <f>+IF(AVANCE[[#This Row],[SMART PANEL]]=AN$2,100%,AVANCE[[#This Row],[SMART PANEL]])</f>
        <v>0</v>
      </c>
      <c r="CC526" s="3">
        <f>+IF(AVANCE[[#This Row],[PINTURA EXTERIOR]]=AO$2,100%,AVANCE[[#This Row],[PINTURA EXTERIOR]])</f>
        <v>0</v>
      </c>
      <c r="CD526" s="3">
        <f>+IF(AVANCE[[#This Row],[ZOCALOS LOGIA]]=AP$2,100%,AVANCE[[#This Row],[ZOCALOS LOGIA]])</f>
        <v>0</v>
      </c>
      <c r="CE526" s="3">
        <f>+IF(AVANCE[[#This Row],[MOLDURAS]]=AQ$2,100%,AVANCE[[#This Row],[MOLDURAS]])</f>
        <v>0</v>
      </c>
      <c r="CF526" s="3">
        <f>+IF(AVANCE[[#This Row],[PILASTREO]]=AR$2,100%,AVANCE[[#This Row],[PILASTREO]])</f>
        <v>0</v>
      </c>
      <c r="CG526" s="3">
        <f>+IF(AVANCE[[#This Row],[CELOSIAS]]=AS$2,100%,AVANCE[[#This Row],[CELOSIAS]])</f>
        <v>0</v>
      </c>
      <c r="CH526" s="3">
        <f>+IF(AVANCE[[#This Row],[VENTANAS]]=AT$2,100%,AVANCE[[#This Row],[VENTANAS]])</f>
        <v>0</v>
      </c>
      <c r="CI526" s="3">
        <f>+IF(AVANCE[[#This Row],[PUERTAS ACCESO - LOGIA - BANO]]=AU$2,100%,AVANCE[[#This Row],[PUERTAS ACCESO - LOGIA - BANO]])</f>
        <v>0</v>
      </c>
      <c r="CJ526" s="3">
        <f>+IF(AVANCE[[#This Row],[CERRADURAS]]=AV$2,100%,AVANCE[[#This Row],[CERRADURAS]])</f>
        <v>0</v>
      </c>
      <c r="CK526" s="3">
        <f>+IF(AVANCE[[#This Row],[REVESTIMIENTO INTERIOR ZONA SECA]]=AW$2,100%,AVANCE[[#This Row],[REVESTIMIENTO INTERIOR ZONA SECA]])</f>
        <v>0</v>
      </c>
      <c r="CL526" s="3">
        <f>+IF(AVANCE[[#This Row],[REVESTIMIENTO INTERIOR ZONAS HUMEDAS]]=AX$2,100%,AVANCE[[#This Row],[REVESTIMIENTO INTERIOR ZONAS HUMEDAS]])</f>
        <v>0</v>
      </c>
      <c r="CM526" s="3">
        <f>+IF(AVANCE[[#This Row],[MEMBRANA CIELO]]=AY$2,100%,AVANCE[[#This Row],[MEMBRANA CIELO]])</f>
        <v>0</v>
      </c>
      <c r="CN526" s="3">
        <f>+IF(AVANCE[[#This Row],[LIMPIEZA FINAL]]=AZ$2,100%,AVANCE[[#This Row],[LIMPIEZA FINAL]])</f>
        <v>0</v>
      </c>
      <c r="CO526" s="3">
        <f>+IF(AVANCE[[#This Row],[PUERTAS DORMITORIO]]=BA$2,100%,AVANCE[[#This Row],[PUERTAS DORMITORIO]])</f>
        <v>0</v>
      </c>
      <c r="CP526" s="3">
        <f>+IF(AVANCE[[#This Row],[REVESTIMIENTO INTERIOR BANO]]=BB$2,100%,AVANCE[[#This Row],[REVESTIMIENTO INTERIOR BANO]])</f>
        <v>0</v>
      </c>
      <c r="CQ526" s="3">
        <f>+IF(AVANCE[[#This Row],[MUEBLE LAVAPLATOS]]=BC$2,100%,AVANCE[[#This Row],[MUEBLE LAVAPLATOS]])</f>
        <v>0</v>
      </c>
      <c r="CR526" s="3">
        <f>+IF(AVANCE[[#This Row],[IMPERMEABILIZACION BANO - COCINA LOGIA]]=BD$2,100%,AVANCE[[#This Row],[IMPERMEABILIZACION BANO - COCINA LOGIA]])</f>
        <v>0</v>
      </c>
      <c r="CS526" s="40">
        <f ca="1">+IF(AVANCE[[#This Row],[ESTADO MODULO]]="PENDIENTE",(TODAY()-AVANCE[[#This Row],[FECHA TERMINO  PLANIFICADO]]),0)</f>
        <v>0</v>
      </c>
      <c r="CT526" s="41" t="str" cm="1">
        <f t="array" ref="CT526">_xlfn.TEXTJOIN(" | ",TRUE,IF(SUMPRODUCT((BG526:CR526&lt;1)*(PARTIDAS!$I$2:$AT$2="OBRA GRUESA"))&gt;0,"OBRA GRUESA: "&amp;_xlfn.TEXTJOIN(", ",TRUE,IF((BG526:CR526&lt;1)*(PARTIDAS!$I$2:$AT$2="OBRA GRUESA"),PARTIDAS!$I$1:$AT$1,"")),""),IF(SUMPRODUCT((BG526:CR526&lt;1)*(PARTIDAS!$I$2:$AT$2="SANITARIOS"))&gt;0,"SANITARIOS: "&amp;_xlfn.TEXTJOIN(", ",TRUE,IF((BG526:CR526&lt;1)*(PARTIDAS!$I$2:$AT$2="SANITARIOS"),PARTIDAS!$I$1:$AT$1,"")),""),IF(SUMPRODUCT((BG526:CR526&lt;1)*(PARTIDAS!$I$2:$AT$2="ELÉCTRICO"))&gt;0,"ELÉCTRICO: "&amp;_xlfn.TEXTJOIN(", ",TRUE,IF((BG526:CR526&lt;1)*(PARTIDAS!$I$2:$AT$2="ELÉCTRICO"),PARTIDAS!$I$1:$AT$1,"")),""),IF(SUMPRODUCT((BG526:CR526&lt;1)*(PARTIDAS!$I$2:$AT$2="TERMINACIONES"))&gt;0,"TERMINACIONES: "&amp;_xlfn.TEXTJOIN(", ",TRUE,IF((BG526:CR526&lt;1)*(PARTIDAS!$I$2:$AT$2="TERMINACIONES"),PARTIDAS!$I$1:$AT$1,"")),""))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6" s="43" t="str" cm="1">
        <f t="array" ref="CU526">_xlfn.TEXTJOIN(", ",TRUE,IF(SUMPRODUCT((BG526:CR526&lt;1)*(PARTIDAS!$I$2:$AT$2="OBRA GRUESA"))&gt;0,"OBRA GRUESA",""),IF(SUMPRODUCT((BG526:CR526&lt;1)*(PARTIDAS!$I$2:$AT$2="SANITARIOS"))&gt;0,"SANITARIOS",""),IF(SUMPRODUCT((BG526:CR526&lt;1)*(PARTIDAS!$I$2:$AT$2="ELÉCTRICO"))&gt;0,"ELÉCTRICO",""),IF(SUMPRODUCT((BG526:CR526&lt;1)*(PARTIDAS!$I$2:$AT$2="TERMINACIONES"))&gt;0,"TERMINACIONES",""))</f>
        <v>OBRA GRUESA, SANITARIOS, ELÉCTRICO, TERMINACIONES</v>
      </c>
      <c r="CV526" s="44" cm="1">
        <f t="array" ref="CV526">SUMPRODUCT(--(BG526:CR526&lt;1))</f>
        <v>38</v>
      </c>
    </row>
    <row r="527" spans="1:100" hidden="1" x14ac:dyDescent="0.25">
      <c r="A527" t="s">
        <v>586</v>
      </c>
      <c r="B527" t="s">
        <v>600</v>
      </c>
      <c r="C527">
        <v>2302600526</v>
      </c>
      <c r="D527" t="s">
        <v>60</v>
      </c>
      <c r="E527" s="2">
        <v>0</v>
      </c>
      <c r="F527" s="1">
        <v>46405</v>
      </c>
      <c r="G527" s="1"/>
      <c r="H527" s="1">
        <v>0</v>
      </c>
      <c r="I527" s="1">
        <v>46435</v>
      </c>
      <c r="J527">
        <v>46230</v>
      </c>
      <c r="K527" s="1"/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>
        <v>31.32</v>
      </c>
      <c r="BF527" s="3" t="str">
        <f>+IF(AVANCE[[#This Row],[% AVANCE]]=100%,"MODULO TERMINADO",IF(AVANCE[[#This Row],[FECHA INICIO REAL]]="","MODULO NO INICIADO","PENDIENTE"))</f>
        <v>MODULO NO INICIADO</v>
      </c>
      <c r="BG527" s="3">
        <f>+IF(AVANCE[[#This Row],[VENTANAS]]=8.10810810810811%,100%,AVANCE[[#This Row],[VENTANAS]])</f>
        <v>0</v>
      </c>
      <c r="BH527" s="3">
        <f>+IF(AVANCE[[#This Row],[PISO]]=N$2,100%,AVANCE[[#This Row],[PISO]])</f>
        <v>0</v>
      </c>
      <c r="BI527" s="3">
        <f>+IF(AVANCE[[#This Row],[TABIQUES]]=O$2,100%,AVANCE[[#This Row],[TABIQUES]])</f>
        <v>0</v>
      </c>
      <c r="BJ527" s="3">
        <f>+IF(AVANCE[[#This Row],[MUROS]]=P$2,100%,AVANCE[[#This Row],[MUROS]])</f>
        <v>0</v>
      </c>
      <c r="BK527" s="3">
        <f>+IF(AVANCE[[#This Row],[CIELO]]=Q$2,100%,AVANCE[[#This Row],[CIELO]])</f>
        <v>0</v>
      </c>
      <c r="BL527" s="3">
        <f>+IF(AVANCE[[#This Row],[BALCÓN]]=R$2,100%,AVANCE[[#This Row],[BALCÓN]])</f>
        <v>0</v>
      </c>
      <c r="BM527" s="3">
        <f>+IF(AVANCE[[#This Row],[RED ALCANTARILLADO]]=U$2,100%,AVANCE[[#This Row],[RED ALCANTARILLADO]])</f>
        <v>0</v>
      </c>
      <c r="BN527" s="3">
        <f>+IF(AVANCE[[#This Row],[RED DE AGUA]]=V$2,100%,AVANCE[[#This Row],[RED DE AGUA]])</f>
        <v>0</v>
      </c>
      <c r="BO527" s="3">
        <f>+IF(AVANCE[[#This Row],[VENTILACIONES]]=W$2,100%,AVANCE[[#This Row],[VENTILACIONES]])</f>
        <v>0</v>
      </c>
      <c r="BP527" s="3">
        <f>+IF(AVANCE[[#This Row],[TINA]]=X$2,100%,AVANCE[[#This Row],[TINA]])</f>
        <v>0</v>
      </c>
      <c r="BQ527" s="3">
        <f>+IF(AVANCE[[#This Row],[WC]]=Y$2,100%,AVANCE[[#This Row],[WC]])</f>
        <v>0</v>
      </c>
      <c r="BR527" s="3">
        <f>+IF(AVANCE[[#This Row],[LAVAMANOS / LAVAPLATOS / LAVADERO]]=Z$2,100%,AVANCE[[#This Row],[LAVAMANOS / LAVAPLATOS / LAVADERO]])</f>
        <v>0</v>
      </c>
      <c r="BS527" s="3">
        <f>+IF(AVANCE[[#This Row],[CANALIZACIÓN]]=AC$2,100%,AVANCE[[#This Row],[CANALIZACIÓN]])</f>
        <v>0</v>
      </c>
      <c r="BT527" s="3">
        <f>+IF(AVANCE[[#This Row],[CABLEADO]]=AD$2,100%,AVANCE[[#This Row],[CABLEADO]])</f>
        <v>0</v>
      </c>
      <c r="BU527" s="3">
        <f>+IF(AVANCE[[#This Row],[ARTEFACTOS]]=AE$2,100%,AVANCE[[#This Row],[ARTEFACTOS]])</f>
        <v>0</v>
      </c>
      <c r="BV527" s="3">
        <f>+IF(AVANCE[[#This Row],[TABLERO]]=AF$2,100%,AVANCE[[#This Row],[TABLERO]])</f>
        <v>0</v>
      </c>
      <c r="BW527" s="3">
        <f>+IF(AVANCE[[#This Row],[CAJA PAU]]=AG$2,100%,AVANCE[[#This Row],[CAJA PAU]])</f>
        <v>0</v>
      </c>
      <c r="BX527" s="3">
        <f>+IF(AVANCE[[#This Row],[INSTALACION VINILICO]]=AJ$2,100%,AVANCE[[#This Row],[INSTALACION VINILICO]])</f>
        <v>0</v>
      </c>
      <c r="BY527" s="3">
        <f>+IF(AVANCE[[#This Row],[OSB CUBIERTA]]=AK$2,100%,AVANCE[[#This Row],[OSB CUBIERTA]])</f>
        <v>0</v>
      </c>
      <c r="BZ527" s="3">
        <f>+IF(AVANCE[[#This Row],[BARANDA BALCON]]=AL$2,100%,AVANCE[[#This Row],[BARANDA BALCON]])</f>
        <v>0</v>
      </c>
      <c r="CA527" s="3">
        <f>+IF(AVANCE[[#This Row],[OSB EXTERIOR]]=AM$2,100%,AVANCE[[#This Row],[OSB EXTERIOR]])</f>
        <v>0</v>
      </c>
      <c r="CB527" s="3">
        <f>+IF(AVANCE[[#This Row],[SMART PANEL]]=AN$2,100%,AVANCE[[#This Row],[SMART PANEL]])</f>
        <v>0</v>
      </c>
      <c r="CC527" s="3">
        <f>+IF(AVANCE[[#This Row],[PINTURA EXTERIOR]]=AO$2,100%,AVANCE[[#This Row],[PINTURA EXTERIOR]])</f>
        <v>0</v>
      </c>
      <c r="CD527" s="3">
        <f>+IF(AVANCE[[#This Row],[ZOCALOS LOGIA]]=AP$2,100%,AVANCE[[#This Row],[ZOCALOS LOGIA]])</f>
        <v>0</v>
      </c>
      <c r="CE527" s="3">
        <f>+IF(AVANCE[[#This Row],[MOLDURAS]]=AQ$2,100%,AVANCE[[#This Row],[MOLDURAS]])</f>
        <v>0</v>
      </c>
      <c r="CF527" s="3">
        <f>+IF(AVANCE[[#This Row],[PILASTREO]]=AR$2,100%,AVANCE[[#This Row],[PILASTREO]])</f>
        <v>0</v>
      </c>
      <c r="CG527" s="3">
        <f>+IF(AVANCE[[#This Row],[CELOSIAS]]=AS$2,100%,AVANCE[[#This Row],[CELOSIAS]])</f>
        <v>0</v>
      </c>
      <c r="CH527" s="3">
        <f>+IF(AVANCE[[#This Row],[VENTANAS]]=AT$2,100%,AVANCE[[#This Row],[VENTANAS]])</f>
        <v>0</v>
      </c>
      <c r="CI527" s="3">
        <f>+IF(AVANCE[[#This Row],[PUERTAS ACCESO - LOGIA - BANO]]=AU$2,100%,AVANCE[[#This Row],[PUERTAS ACCESO - LOGIA - BANO]])</f>
        <v>0</v>
      </c>
      <c r="CJ527" s="3">
        <f>+IF(AVANCE[[#This Row],[CERRADURAS]]=AV$2,100%,AVANCE[[#This Row],[CERRADURAS]])</f>
        <v>0</v>
      </c>
      <c r="CK527" s="3">
        <f>+IF(AVANCE[[#This Row],[REVESTIMIENTO INTERIOR ZONA SECA]]=AW$2,100%,AVANCE[[#This Row],[REVESTIMIENTO INTERIOR ZONA SECA]])</f>
        <v>0</v>
      </c>
      <c r="CL527" s="3">
        <f>+IF(AVANCE[[#This Row],[REVESTIMIENTO INTERIOR ZONAS HUMEDAS]]=AX$2,100%,AVANCE[[#This Row],[REVESTIMIENTO INTERIOR ZONAS HUMEDAS]])</f>
        <v>0</v>
      </c>
      <c r="CM527" s="3">
        <f>+IF(AVANCE[[#This Row],[MEMBRANA CIELO]]=AY$2,100%,AVANCE[[#This Row],[MEMBRANA CIELO]])</f>
        <v>0</v>
      </c>
      <c r="CN527" s="3">
        <f>+IF(AVANCE[[#This Row],[LIMPIEZA FINAL]]=AZ$2,100%,AVANCE[[#This Row],[LIMPIEZA FINAL]])</f>
        <v>0</v>
      </c>
      <c r="CO527" s="3">
        <f>+IF(AVANCE[[#This Row],[PUERTAS DORMITORIO]]=BA$2,100%,AVANCE[[#This Row],[PUERTAS DORMITORIO]])</f>
        <v>0</v>
      </c>
      <c r="CP527" s="3">
        <f>+IF(AVANCE[[#This Row],[REVESTIMIENTO INTERIOR BANO]]=BB$2,100%,AVANCE[[#This Row],[REVESTIMIENTO INTERIOR BANO]])</f>
        <v>0</v>
      </c>
      <c r="CQ527" s="3">
        <f>+IF(AVANCE[[#This Row],[MUEBLE LAVAPLATOS]]=BC$2,100%,AVANCE[[#This Row],[MUEBLE LAVAPLATOS]])</f>
        <v>0</v>
      </c>
      <c r="CR527" s="3">
        <f>+IF(AVANCE[[#This Row],[IMPERMEABILIZACION BANO - COCINA LOGIA]]=BD$2,100%,AVANCE[[#This Row],[IMPERMEABILIZACION BANO - COCINA LOGIA]])</f>
        <v>0</v>
      </c>
      <c r="CS527" s="40">
        <f ca="1">+IF(AVANCE[[#This Row],[ESTADO MODULO]]="PENDIENTE",(TODAY()-AVANCE[[#This Row],[FECHA TERMINO  PLANIFICADO]]),0)</f>
        <v>0</v>
      </c>
      <c r="CT527" s="41" t="str" cm="1">
        <f t="array" ref="CT527">_xlfn.TEXTJOIN(" | ",TRUE,IF(SUMPRODUCT((BG527:CR527&lt;1)*(PARTIDAS!$I$2:$AT$2="OBRA GRUESA"))&gt;0,"OBRA GRUESA: "&amp;_xlfn.TEXTJOIN(", ",TRUE,IF((BG527:CR527&lt;1)*(PARTIDAS!$I$2:$AT$2="OBRA GRUESA"),PARTIDAS!$I$1:$AT$1,"")),""),IF(SUMPRODUCT((BG527:CR527&lt;1)*(PARTIDAS!$I$2:$AT$2="SANITARIOS"))&gt;0,"SANITARIOS: "&amp;_xlfn.TEXTJOIN(", ",TRUE,IF((BG527:CR527&lt;1)*(PARTIDAS!$I$2:$AT$2="SANITARIOS"),PARTIDAS!$I$1:$AT$1,"")),""),IF(SUMPRODUCT((BG527:CR527&lt;1)*(PARTIDAS!$I$2:$AT$2="ELÉCTRICO"))&gt;0,"ELÉCTRICO: "&amp;_xlfn.TEXTJOIN(", ",TRUE,IF((BG527:CR527&lt;1)*(PARTIDAS!$I$2:$AT$2="ELÉCTRICO"),PARTIDAS!$I$1:$AT$1,"")),""),IF(SUMPRODUCT((BG527:CR527&lt;1)*(PARTIDAS!$I$2:$AT$2="TERMINACIONES"))&gt;0,"TERMINACIONES: "&amp;_xlfn.TEXTJOIN(", ",TRUE,IF((BG527:CR527&lt;1)*(PARTIDAS!$I$2:$AT$2="TERMINACIONES"),PARTIDAS!$I$1:$AT$1,"")),""))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7" s="43" t="str" cm="1">
        <f t="array" ref="CU527">_xlfn.TEXTJOIN(", ",TRUE,IF(SUMPRODUCT((BG527:CR527&lt;1)*(PARTIDAS!$I$2:$AT$2="OBRA GRUESA"))&gt;0,"OBRA GRUESA",""),IF(SUMPRODUCT((BG527:CR527&lt;1)*(PARTIDAS!$I$2:$AT$2="SANITARIOS"))&gt;0,"SANITARIOS",""),IF(SUMPRODUCT((BG527:CR527&lt;1)*(PARTIDAS!$I$2:$AT$2="ELÉCTRICO"))&gt;0,"ELÉCTRICO",""),IF(SUMPRODUCT((BG527:CR527&lt;1)*(PARTIDAS!$I$2:$AT$2="TERMINACIONES"))&gt;0,"TERMINACIONES",""))</f>
        <v>OBRA GRUESA, SANITARIOS, ELÉCTRICO, TERMINACIONES</v>
      </c>
      <c r="CV527" s="44" cm="1">
        <f t="array" ref="CV527">SUMPRODUCT(--(BG527:CR527&lt;1))</f>
        <v>38</v>
      </c>
    </row>
    <row r="528" spans="1:100" hidden="1" x14ac:dyDescent="0.25">
      <c r="A528" t="s">
        <v>586</v>
      </c>
      <c r="B528" t="s">
        <v>601</v>
      </c>
      <c r="C528">
        <v>2302600527</v>
      </c>
      <c r="D528" t="s">
        <v>60</v>
      </c>
      <c r="E528" s="2">
        <v>0</v>
      </c>
      <c r="F528" s="1">
        <v>46406</v>
      </c>
      <c r="G528" s="1"/>
      <c r="H528" s="1">
        <v>0</v>
      </c>
      <c r="I528" s="1">
        <v>46436</v>
      </c>
      <c r="J528">
        <v>46230</v>
      </c>
      <c r="K528" s="1"/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>
        <v>31.32</v>
      </c>
      <c r="BF528" s="3" t="str">
        <f>+IF(AVANCE[[#This Row],[% AVANCE]]=100%,"MODULO TERMINADO",IF(AVANCE[[#This Row],[FECHA INICIO REAL]]="","MODULO NO INICIADO","PENDIENTE"))</f>
        <v>MODULO NO INICIADO</v>
      </c>
      <c r="BG528" s="3">
        <f>+IF(AVANCE[[#This Row],[VENTANAS]]=8.10810810810811%,100%,AVANCE[[#This Row],[VENTANAS]])</f>
        <v>0</v>
      </c>
      <c r="BH528" s="3">
        <f>+IF(AVANCE[[#This Row],[PISO]]=N$2,100%,AVANCE[[#This Row],[PISO]])</f>
        <v>0</v>
      </c>
      <c r="BI528" s="3">
        <f>+IF(AVANCE[[#This Row],[TABIQUES]]=O$2,100%,AVANCE[[#This Row],[TABIQUES]])</f>
        <v>0</v>
      </c>
      <c r="BJ528" s="3">
        <f>+IF(AVANCE[[#This Row],[MUROS]]=P$2,100%,AVANCE[[#This Row],[MUROS]])</f>
        <v>0</v>
      </c>
      <c r="BK528" s="3">
        <f>+IF(AVANCE[[#This Row],[CIELO]]=Q$2,100%,AVANCE[[#This Row],[CIELO]])</f>
        <v>0</v>
      </c>
      <c r="BL528" s="3">
        <f>+IF(AVANCE[[#This Row],[BALCÓN]]=R$2,100%,AVANCE[[#This Row],[BALCÓN]])</f>
        <v>0</v>
      </c>
      <c r="BM528" s="3">
        <f>+IF(AVANCE[[#This Row],[RED ALCANTARILLADO]]=U$2,100%,AVANCE[[#This Row],[RED ALCANTARILLADO]])</f>
        <v>0</v>
      </c>
      <c r="BN528" s="3">
        <f>+IF(AVANCE[[#This Row],[RED DE AGUA]]=V$2,100%,AVANCE[[#This Row],[RED DE AGUA]])</f>
        <v>0</v>
      </c>
      <c r="BO528" s="3">
        <f>+IF(AVANCE[[#This Row],[VENTILACIONES]]=W$2,100%,AVANCE[[#This Row],[VENTILACIONES]])</f>
        <v>0</v>
      </c>
      <c r="BP528" s="3">
        <f>+IF(AVANCE[[#This Row],[TINA]]=X$2,100%,AVANCE[[#This Row],[TINA]])</f>
        <v>0</v>
      </c>
      <c r="BQ528" s="3">
        <f>+IF(AVANCE[[#This Row],[WC]]=Y$2,100%,AVANCE[[#This Row],[WC]])</f>
        <v>0</v>
      </c>
      <c r="BR528" s="3">
        <f>+IF(AVANCE[[#This Row],[LAVAMANOS / LAVAPLATOS / LAVADERO]]=Z$2,100%,AVANCE[[#This Row],[LAVAMANOS / LAVAPLATOS / LAVADERO]])</f>
        <v>0</v>
      </c>
      <c r="BS528" s="3">
        <f>+IF(AVANCE[[#This Row],[CANALIZACIÓN]]=AC$2,100%,AVANCE[[#This Row],[CANALIZACIÓN]])</f>
        <v>0</v>
      </c>
      <c r="BT528" s="3">
        <f>+IF(AVANCE[[#This Row],[CABLEADO]]=AD$2,100%,AVANCE[[#This Row],[CABLEADO]])</f>
        <v>0</v>
      </c>
      <c r="BU528" s="3">
        <f>+IF(AVANCE[[#This Row],[ARTEFACTOS]]=AE$2,100%,AVANCE[[#This Row],[ARTEFACTOS]])</f>
        <v>0</v>
      </c>
      <c r="BV528" s="3">
        <f>+IF(AVANCE[[#This Row],[TABLERO]]=AF$2,100%,AVANCE[[#This Row],[TABLERO]])</f>
        <v>0</v>
      </c>
      <c r="BW528" s="3">
        <f>+IF(AVANCE[[#This Row],[CAJA PAU]]=AG$2,100%,AVANCE[[#This Row],[CAJA PAU]])</f>
        <v>0</v>
      </c>
      <c r="BX528" s="3">
        <f>+IF(AVANCE[[#This Row],[INSTALACION VINILICO]]=AJ$2,100%,AVANCE[[#This Row],[INSTALACION VINILICO]])</f>
        <v>0</v>
      </c>
      <c r="BY528" s="3">
        <f>+IF(AVANCE[[#This Row],[OSB CUBIERTA]]=AK$2,100%,AVANCE[[#This Row],[OSB CUBIERTA]])</f>
        <v>0</v>
      </c>
      <c r="BZ528" s="3">
        <f>+IF(AVANCE[[#This Row],[BARANDA BALCON]]=AL$2,100%,AVANCE[[#This Row],[BARANDA BALCON]])</f>
        <v>0</v>
      </c>
      <c r="CA528" s="3">
        <f>+IF(AVANCE[[#This Row],[OSB EXTERIOR]]=AM$2,100%,AVANCE[[#This Row],[OSB EXTERIOR]])</f>
        <v>0</v>
      </c>
      <c r="CB528" s="3">
        <f>+IF(AVANCE[[#This Row],[SMART PANEL]]=AN$2,100%,AVANCE[[#This Row],[SMART PANEL]])</f>
        <v>0</v>
      </c>
      <c r="CC528" s="3">
        <f>+IF(AVANCE[[#This Row],[PINTURA EXTERIOR]]=AO$2,100%,AVANCE[[#This Row],[PINTURA EXTERIOR]])</f>
        <v>0</v>
      </c>
      <c r="CD528" s="3">
        <f>+IF(AVANCE[[#This Row],[ZOCALOS LOGIA]]=AP$2,100%,AVANCE[[#This Row],[ZOCALOS LOGIA]])</f>
        <v>0</v>
      </c>
      <c r="CE528" s="3">
        <f>+IF(AVANCE[[#This Row],[MOLDURAS]]=AQ$2,100%,AVANCE[[#This Row],[MOLDURAS]])</f>
        <v>0</v>
      </c>
      <c r="CF528" s="3">
        <f>+IF(AVANCE[[#This Row],[PILASTREO]]=AR$2,100%,AVANCE[[#This Row],[PILASTREO]])</f>
        <v>0</v>
      </c>
      <c r="CG528" s="3">
        <f>+IF(AVANCE[[#This Row],[CELOSIAS]]=AS$2,100%,AVANCE[[#This Row],[CELOSIAS]])</f>
        <v>0</v>
      </c>
      <c r="CH528" s="3">
        <f>+IF(AVANCE[[#This Row],[VENTANAS]]=AT$2,100%,AVANCE[[#This Row],[VENTANAS]])</f>
        <v>0</v>
      </c>
      <c r="CI528" s="3">
        <f>+IF(AVANCE[[#This Row],[PUERTAS ACCESO - LOGIA - BANO]]=AU$2,100%,AVANCE[[#This Row],[PUERTAS ACCESO - LOGIA - BANO]])</f>
        <v>0</v>
      </c>
      <c r="CJ528" s="3">
        <f>+IF(AVANCE[[#This Row],[CERRADURAS]]=AV$2,100%,AVANCE[[#This Row],[CERRADURAS]])</f>
        <v>0</v>
      </c>
      <c r="CK528" s="3">
        <f>+IF(AVANCE[[#This Row],[REVESTIMIENTO INTERIOR ZONA SECA]]=AW$2,100%,AVANCE[[#This Row],[REVESTIMIENTO INTERIOR ZONA SECA]])</f>
        <v>0</v>
      </c>
      <c r="CL528" s="3">
        <f>+IF(AVANCE[[#This Row],[REVESTIMIENTO INTERIOR ZONAS HUMEDAS]]=AX$2,100%,AVANCE[[#This Row],[REVESTIMIENTO INTERIOR ZONAS HUMEDAS]])</f>
        <v>0</v>
      </c>
      <c r="CM528" s="3">
        <f>+IF(AVANCE[[#This Row],[MEMBRANA CIELO]]=AY$2,100%,AVANCE[[#This Row],[MEMBRANA CIELO]])</f>
        <v>0</v>
      </c>
      <c r="CN528" s="3">
        <f>+IF(AVANCE[[#This Row],[LIMPIEZA FINAL]]=AZ$2,100%,AVANCE[[#This Row],[LIMPIEZA FINAL]])</f>
        <v>0</v>
      </c>
      <c r="CO528" s="3">
        <f>+IF(AVANCE[[#This Row],[PUERTAS DORMITORIO]]=BA$2,100%,AVANCE[[#This Row],[PUERTAS DORMITORIO]])</f>
        <v>0</v>
      </c>
      <c r="CP528" s="3">
        <f>+IF(AVANCE[[#This Row],[REVESTIMIENTO INTERIOR BANO]]=BB$2,100%,AVANCE[[#This Row],[REVESTIMIENTO INTERIOR BANO]])</f>
        <v>0</v>
      </c>
      <c r="CQ528" s="3">
        <f>+IF(AVANCE[[#This Row],[MUEBLE LAVAPLATOS]]=BC$2,100%,AVANCE[[#This Row],[MUEBLE LAVAPLATOS]])</f>
        <v>0</v>
      </c>
      <c r="CR528" s="3">
        <f>+IF(AVANCE[[#This Row],[IMPERMEABILIZACION BANO - COCINA LOGIA]]=BD$2,100%,AVANCE[[#This Row],[IMPERMEABILIZACION BANO - COCINA LOGIA]])</f>
        <v>0</v>
      </c>
      <c r="CS528" s="40">
        <f ca="1">+IF(AVANCE[[#This Row],[ESTADO MODULO]]="PENDIENTE",(TODAY()-AVANCE[[#This Row],[FECHA TERMINO  PLANIFICADO]]),0)</f>
        <v>0</v>
      </c>
      <c r="CT528" s="41" t="str" cm="1">
        <f t="array" ref="CT528">_xlfn.TEXTJOIN(" | ",TRUE,IF(SUMPRODUCT((BG528:CR528&lt;1)*(PARTIDAS!$I$2:$AT$2="OBRA GRUESA"))&gt;0,"OBRA GRUESA: "&amp;_xlfn.TEXTJOIN(", ",TRUE,IF((BG528:CR528&lt;1)*(PARTIDAS!$I$2:$AT$2="OBRA GRUESA"),PARTIDAS!$I$1:$AT$1,"")),""),IF(SUMPRODUCT((BG528:CR528&lt;1)*(PARTIDAS!$I$2:$AT$2="SANITARIOS"))&gt;0,"SANITARIOS: "&amp;_xlfn.TEXTJOIN(", ",TRUE,IF((BG528:CR528&lt;1)*(PARTIDAS!$I$2:$AT$2="SANITARIOS"),PARTIDAS!$I$1:$AT$1,"")),""),IF(SUMPRODUCT((BG528:CR528&lt;1)*(PARTIDAS!$I$2:$AT$2="ELÉCTRICO"))&gt;0,"ELÉCTRICO: "&amp;_xlfn.TEXTJOIN(", ",TRUE,IF((BG528:CR528&lt;1)*(PARTIDAS!$I$2:$AT$2="ELÉCTRICO"),PARTIDAS!$I$1:$AT$1,"")),""),IF(SUMPRODUCT((BG528:CR528&lt;1)*(PARTIDAS!$I$2:$AT$2="TERMINACIONES"))&gt;0,"TERMINACIONES: "&amp;_xlfn.TEXTJOIN(", ",TRUE,IF((BG528:CR528&lt;1)*(PARTIDAS!$I$2:$AT$2="TERMINACIONES"),PARTIDAS!$I$1:$AT$1,"")),""))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8" s="43" t="str" cm="1">
        <f t="array" ref="CU528">_xlfn.TEXTJOIN(", ",TRUE,IF(SUMPRODUCT((BG528:CR528&lt;1)*(PARTIDAS!$I$2:$AT$2="OBRA GRUESA"))&gt;0,"OBRA GRUESA",""),IF(SUMPRODUCT((BG528:CR528&lt;1)*(PARTIDAS!$I$2:$AT$2="SANITARIOS"))&gt;0,"SANITARIOS",""),IF(SUMPRODUCT((BG528:CR528&lt;1)*(PARTIDAS!$I$2:$AT$2="ELÉCTRICO"))&gt;0,"ELÉCTRICO",""),IF(SUMPRODUCT((BG528:CR528&lt;1)*(PARTIDAS!$I$2:$AT$2="TERMINACIONES"))&gt;0,"TERMINACIONES",""))</f>
        <v>OBRA GRUESA, SANITARIOS, ELÉCTRICO, TERMINACIONES</v>
      </c>
      <c r="CV528" s="44" cm="1">
        <f t="array" ref="CV528">SUMPRODUCT(--(BG528:CR528&lt;1))</f>
        <v>38</v>
      </c>
    </row>
    <row r="529" spans="1:100" hidden="1" x14ac:dyDescent="0.25">
      <c r="A529" t="s">
        <v>586</v>
      </c>
      <c r="B529" t="s">
        <v>602</v>
      </c>
      <c r="C529">
        <v>2282600528</v>
      </c>
      <c r="D529" t="s">
        <v>58</v>
      </c>
      <c r="E529" s="2">
        <v>0</v>
      </c>
      <c r="F529" s="1">
        <v>46406</v>
      </c>
      <c r="G529" s="1"/>
      <c r="H529" s="1">
        <v>0</v>
      </c>
      <c r="I529" s="1">
        <v>46426</v>
      </c>
      <c r="J529">
        <v>46230</v>
      </c>
      <c r="K529" s="1"/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>
        <v>28.87</v>
      </c>
      <c r="BF529" s="3" t="str">
        <f>+IF(AVANCE[[#This Row],[% AVANCE]]=100%,"MODULO TERMINADO",IF(AVANCE[[#This Row],[FECHA INICIO REAL]]="","MODULO NO INICIADO","PENDIENTE"))</f>
        <v>MODULO NO INICIADO</v>
      </c>
      <c r="BG529" s="3">
        <f>+IF(AVANCE[[#This Row],[VENTANAS]]=8.10810810810811%,100%,AVANCE[[#This Row],[VENTANAS]])</f>
        <v>0</v>
      </c>
      <c r="BH529" s="3">
        <f>+IF(AVANCE[[#This Row],[PISO]]=N$2,100%,AVANCE[[#This Row],[PISO]])</f>
        <v>0</v>
      </c>
      <c r="BI529" s="3">
        <f>+IF(AVANCE[[#This Row],[TABIQUES]]=O$2,100%,AVANCE[[#This Row],[TABIQUES]])</f>
        <v>0</v>
      </c>
      <c r="BJ529" s="3">
        <f>+IF(AVANCE[[#This Row],[MUROS]]=P$2,100%,AVANCE[[#This Row],[MUROS]])</f>
        <v>0</v>
      </c>
      <c r="BK529" s="3">
        <f>+IF(AVANCE[[#This Row],[CIELO]]=Q$2,100%,AVANCE[[#This Row],[CIELO]])</f>
        <v>0</v>
      </c>
      <c r="BL529" s="3">
        <f>+IF(AVANCE[[#This Row],[BALCÓN]]=R$2,100%,AVANCE[[#This Row],[BALCÓN]])</f>
        <v>0</v>
      </c>
      <c r="BM529" s="3">
        <f>+IF(AVANCE[[#This Row],[RED ALCANTARILLADO]]=U$2,100%,AVANCE[[#This Row],[RED ALCANTARILLADO]])</f>
        <v>0</v>
      </c>
      <c r="BN529" s="3">
        <f>+IF(AVANCE[[#This Row],[RED DE AGUA]]=V$2,100%,AVANCE[[#This Row],[RED DE AGUA]])</f>
        <v>0</v>
      </c>
      <c r="BO529" s="3">
        <f>+IF(AVANCE[[#This Row],[VENTILACIONES]]=W$2,100%,AVANCE[[#This Row],[VENTILACIONES]])</f>
        <v>0</v>
      </c>
      <c r="BP529" s="3">
        <f>+IF(AVANCE[[#This Row],[TINA]]=X$2,100%,AVANCE[[#This Row],[TINA]])</f>
        <v>0</v>
      </c>
      <c r="BQ529" s="3">
        <f>+IF(AVANCE[[#This Row],[WC]]=Y$2,100%,AVANCE[[#This Row],[WC]])</f>
        <v>0</v>
      </c>
      <c r="BR529" s="3">
        <f>+IF(AVANCE[[#This Row],[LAVAMANOS / LAVAPLATOS / LAVADERO]]=Z$2,100%,AVANCE[[#This Row],[LAVAMANOS / LAVAPLATOS / LAVADERO]])</f>
        <v>0</v>
      </c>
      <c r="BS529" s="3">
        <f>+IF(AVANCE[[#This Row],[CANALIZACIÓN]]=AC$2,100%,AVANCE[[#This Row],[CANALIZACIÓN]])</f>
        <v>0</v>
      </c>
      <c r="BT529" s="3">
        <f>+IF(AVANCE[[#This Row],[CABLEADO]]=AD$2,100%,AVANCE[[#This Row],[CABLEADO]])</f>
        <v>0</v>
      </c>
      <c r="BU529" s="3">
        <f>+IF(AVANCE[[#This Row],[ARTEFACTOS]]=AE$2,100%,AVANCE[[#This Row],[ARTEFACTOS]])</f>
        <v>0</v>
      </c>
      <c r="BV529" s="3">
        <f>+IF(AVANCE[[#This Row],[TABLERO]]=AF$2,100%,AVANCE[[#This Row],[TABLERO]])</f>
        <v>0</v>
      </c>
      <c r="BW529" s="3">
        <f>+IF(AVANCE[[#This Row],[CAJA PAU]]=AG$2,100%,AVANCE[[#This Row],[CAJA PAU]])</f>
        <v>0</v>
      </c>
      <c r="BX529" s="3">
        <f>+IF(AVANCE[[#This Row],[INSTALACION VINILICO]]=AJ$2,100%,AVANCE[[#This Row],[INSTALACION VINILICO]])</f>
        <v>0</v>
      </c>
      <c r="BY529" s="3">
        <f>+IF(AVANCE[[#This Row],[OSB CUBIERTA]]=AK$2,100%,AVANCE[[#This Row],[OSB CUBIERTA]])</f>
        <v>0</v>
      </c>
      <c r="BZ529" s="3">
        <f>+IF(AVANCE[[#This Row],[BARANDA BALCON]]=AL$2,100%,AVANCE[[#This Row],[BARANDA BALCON]])</f>
        <v>0</v>
      </c>
      <c r="CA529" s="3">
        <f>+IF(AVANCE[[#This Row],[OSB EXTERIOR]]=AM$2,100%,AVANCE[[#This Row],[OSB EXTERIOR]])</f>
        <v>0</v>
      </c>
      <c r="CB529" s="3">
        <f>+IF(AVANCE[[#This Row],[SMART PANEL]]=AN$2,100%,AVANCE[[#This Row],[SMART PANEL]])</f>
        <v>0</v>
      </c>
      <c r="CC529" s="3">
        <f>+IF(AVANCE[[#This Row],[PINTURA EXTERIOR]]=AO$2,100%,AVANCE[[#This Row],[PINTURA EXTERIOR]])</f>
        <v>0</v>
      </c>
      <c r="CD529" s="3">
        <f>+IF(AVANCE[[#This Row],[ZOCALOS LOGIA]]=AP$2,100%,AVANCE[[#This Row],[ZOCALOS LOGIA]])</f>
        <v>0</v>
      </c>
      <c r="CE529" s="3">
        <f>+IF(AVANCE[[#This Row],[MOLDURAS]]=AQ$2,100%,AVANCE[[#This Row],[MOLDURAS]])</f>
        <v>0</v>
      </c>
      <c r="CF529" s="3">
        <f>+IF(AVANCE[[#This Row],[PILASTREO]]=AR$2,100%,AVANCE[[#This Row],[PILASTREO]])</f>
        <v>0</v>
      </c>
      <c r="CG529" s="3">
        <f>+IF(AVANCE[[#This Row],[CELOSIAS]]=AS$2,100%,AVANCE[[#This Row],[CELOSIAS]])</f>
        <v>0</v>
      </c>
      <c r="CH529" s="3">
        <f>+IF(AVANCE[[#This Row],[VENTANAS]]=AT$2,100%,AVANCE[[#This Row],[VENTANAS]])</f>
        <v>0</v>
      </c>
      <c r="CI529" s="3">
        <f>+IF(AVANCE[[#This Row],[PUERTAS ACCESO - LOGIA - BANO]]=AU$2,100%,AVANCE[[#This Row],[PUERTAS ACCESO - LOGIA - BANO]])</f>
        <v>0</v>
      </c>
      <c r="CJ529" s="3">
        <f>+IF(AVANCE[[#This Row],[CERRADURAS]]=AV$2,100%,AVANCE[[#This Row],[CERRADURAS]])</f>
        <v>0</v>
      </c>
      <c r="CK529" s="3">
        <f>+IF(AVANCE[[#This Row],[REVESTIMIENTO INTERIOR ZONA SECA]]=AW$2,100%,AVANCE[[#This Row],[REVESTIMIENTO INTERIOR ZONA SECA]])</f>
        <v>0</v>
      </c>
      <c r="CL529" s="3">
        <f>+IF(AVANCE[[#This Row],[REVESTIMIENTO INTERIOR ZONAS HUMEDAS]]=AX$2,100%,AVANCE[[#This Row],[REVESTIMIENTO INTERIOR ZONAS HUMEDAS]])</f>
        <v>0</v>
      </c>
      <c r="CM529" s="3">
        <f>+IF(AVANCE[[#This Row],[MEMBRANA CIELO]]=AY$2,100%,AVANCE[[#This Row],[MEMBRANA CIELO]])</f>
        <v>0</v>
      </c>
      <c r="CN529" s="3">
        <f>+IF(AVANCE[[#This Row],[LIMPIEZA FINAL]]=AZ$2,100%,AVANCE[[#This Row],[LIMPIEZA FINAL]])</f>
        <v>0</v>
      </c>
      <c r="CO529" s="3">
        <f>+IF(AVANCE[[#This Row],[PUERTAS DORMITORIO]]=BA$2,100%,AVANCE[[#This Row],[PUERTAS DORMITORIO]])</f>
        <v>0</v>
      </c>
      <c r="CP529" s="3">
        <f>+IF(AVANCE[[#This Row],[REVESTIMIENTO INTERIOR BANO]]=BB$2,100%,AVANCE[[#This Row],[REVESTIMIENTO INTERIOR BANO]])</f>
        <v>0</v>
      </c>
      <c r="CQ529" s="3">
        <f>+IF(AVANCE[[#This Row],[MUEBLE LAVAPLATOS]]=BC$2,100%,AVANCE[[#This Row],[MUEBLE LAVAPLATOS]])</f>
        <v>0</v>
      </c>
      <c r="CR529" s="3">
        <f>+IF(AVANCE[[#This Row],[IMPERMEABILIZACION BANO - COCINA LOGIA]]=BD$2,100%,AVANCE[[#This Row],[IMPERMEABILIZACION BANO - COCINA LOGIA]])</f>
        <v>0</v>
      </c>
      <c r="CS529" s="40">
        <f ca="1">+IF(AVANCE[[#This Row],[ESTADO MODULO]]="PENDIENTE",(TODAY()-AVANCE[[#This Row],[FECHA TERMINO  PLANIFICADO]]),0)</f>
        <v>0</v>
      </c>
      <c r="CT529" s="41" t="str" cm="1">
        <f t="array" ref="CT529">_xlfn.TEXTJOIN(" | ",TRUE,IF(SUMPRODUCT((BG529:CR529&lt;1)*(PARTIDAS!$I$2:$AT$2="OBRA GRUESA"))&gt;0,"OBRA GRUESA: "&amp;_xlfn.TEXTJOIN(", ",TRUE,IF((BG529:CR529&lt;1)*(PARTIDAS!$I$2:$AT$2="OBRA GRUESA"),PARTIDAS!$I$1:$AT$1,"")),""),IF(SUMPRODUCT((BG529:CR529&lt;1)*(PARTIDAS!$I$2:$AT$2="SANITARIOS"))&gt;0,"SANITARIOS: "&amp;_xlfn.TEXTJOIN(", ",TRUE,IF((BG529:CR529&lt;1)*(PARTIDAS!$I$2:$AT$2="SANITARIOS"),PARTIDAS!$I$1:$AT$1,"")),""),IF(SUMPRODUCT((BG529:CR529&lt;1)*(PARTIDAS!$I$2:$AT$2="ELÉCTRICO"))&gt;0,"ELÉCTRICO: "&amp;_xlfn.TEXTJOIN(", ",TRUE,IF((BG529:CR529&lt;1)*(PARTIDAS!$I$2:$AT$2="ELÉCTRICO"),PARTIDAS!$I$1:$AT$1,"")),""),IF(SUMPRODUCT((BG529:CR529&lt;1)*(PARTIDAS!$I$2:$AT$2="TERMINACIONES"))&gt;0,"TERMINACIONES: "&amp;_xlfn.TEXTJOIN(", ",TRUE,IF((BG529:CR529&lt;1)*(PARTIDAS!$I$2:$AT$2="TERMINACIONES"),PARTIDAS!$I$1:$AT$1,"")),""))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29" s="43" t="str" cm="1">
        <f t="array" ref="CU529">_xlfn.TEXTJOIN(", ",TRUE,IF(SUMPRODUCT((BG529:CR529&lt;1)*(PARTIDAS!$I$2:$AT$2="OBRA GRUESA"))&gt;0,"OBRA GRUESA",""),IF(SUMPRODUCT((BG529:CR529&lt;1)*(PARTIDAS!$I$2:$AT$2="SANITARIOS"))&gt;0,"SANITARIOS",""),IF(SUMPRODUCT((BG529:CR529&lt;1)*(PARTIDAS!$I$2:$AT$2="ELÉCTRICO"))&gt;0,"ELÉCTRICO",""),IF(SUMPRODUCT((BG529:CR529&lt;1)*(PARTIDAS!$I$2:$AT$2="TERMINACIONES"))&gt;0,"TERMINACIONES",""))</f>
        <v>OBRA GRUESA, SANITARIOS, ELÉCTRICO, TERMINACIONES</v>
      </c>
      <c r="CV529" s="44" cm="1">
        <f t="array" ref="CV529">SUMPRODUCT(--(BG529:CR529&lt;1))</f>
        <v>38</v>
      </c>
    </row>
    <row r="530" spans="1:100" hidden="1" x14ac:dyDescent="0.25">
      <c r="A530" t="s">
        <v>586</v>
      </c>
      <c r="B530" t="s">
        <v>603</v>
      </c>
      <c r="C530">
        <v>2282600529</v>
      </c>
      <c r="D530" t="s">
        <v>58</v>
      </c>
      <c r="E530" s="2">
        <v>0</v>
      </c>
      <c r="F530" s="1">
        <v>46406</v>
      </c>
      <c r="G530" s="1"/>
      <c r="H530" s="1">
        <v>0</v>
      </c>
      <c r="I530" s="1">
        <v>46426</v>
      </c>
      <c r="J530">
        <v>46230</v>
      </c>
      <c r="K530" s="1"/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>
        <v>28.87</v>
      </c>
      <c r="BF530" s="3" t="str">
        <f>+IF(AVANCE[[#This Row],[% AVANCE]]=100%,"MODULO TERMINADO",IF(AVANCE[[#This Row],[FECHA INICIO REAL]]="","MODULO NO INICIADO","PENDIENTE"))</f>
        <v>MODULO NO INICIADO</v>
      </c>
      <c r="BG530" s="3">
        <f>+IF(AVANCE[[#This Row],[VENTANAS]]=8.10810810810811%,100%,AVANCE[[#This Row],[VENTANAS]])</f>
        <v>0</v>
      </c>
      <c r="BH530" s="3">
        <f>+IF(AVANCE[[#This Row],[PISO]]=N$2,100%,AVANCE[[#This Row],[PISO]])</f>
        <v>0</v>
      </c>
      <c r="BI530" s="3">
        <f>+IF(AVANCE[[#This Row],[TABIQUES]]=O$2,100%,AVANCE[[#This Row],[TABIQUES]])</f>
        <v>0</v>
      </c>
      <c r="BJ530" s="3">
        <f>+IF(AVANCE[[#This Row],[MUROS]]=P$2,100%,AVANCE[[#This Row],[MUROS]])</f>
        <v>0</v>
      </c>
      <c r="BK530" s="3">
        <f>+IF(AVANCE[[#This Row],[CIELO]]=Q$2,100%,AVANCE[[#This Row],[CIELO]])</f>
        <v>0</v>
      </c>
      <c r="BL530" s="3">
        <f>+IF(AVANCE[[#This Row],[BALCÓN]]=R$2,100%,AVANCE[[#This Row],[BALCÓN]])</f>
        <v>0</v>
      </c>
      <c r="BM530" s="3">
        <f>+IF(AVANCE[[#This Row],[RED ALCANTARILLADO]]=U$2,100%,AVANCE[[#This Row],[RED ALCANTARILLADO]])</f>
        <v>0</v>
      </c>
      <c r="BN530" s="3">
        <f>+IF(AVANCE[[#This Row],[RED DE AGUA]]=V$2,100%,AVANCE[[#This Row],[RED DE AGUA]])</f>
        <v>0</v>
      </c>
      <c r="BO530" s="3">
        <f>+IF(AVANCE[[#This Row],[VENTILACIONES]]=W$2,100%,AVANCE[[#This Row],[VENTILACIONES]])</f>
        <v>0</v>
      </c>
      <c r="BP530" s="3">
        <f>+IF(AVANCE[[#This Row],[TINA]]=X$2,100%,AVANCE[[#This Row],[TINA]])</f>
        <v>0</v>
      </c>
      <c r="BQ530" s="3">
        <f>+IF(AVANCE[[#This Row],[WC]]=Y$2,100%,AVANCE[[#This Row],[WC]])</f>
        <v>0</v>
      </c>
      <c r="BR530" s="3">
        <f>+IF(AVANCE[[#This Row],[LAVAMANOS / LAVAPLATOS / LAVADERO]]=Z$2,100%,AVANCE[[#This Row],[LAVAMANOS / LAVAPLATOS / LAVADERO]])</f>
        <v>0</v>
      </c>
      <c r="BS530" s="3">
        <f>+IF(AVANCE[[#This Row],[CANALIZACIÓN]]=AC$2,100%,AVANCE[[#This Row],[CANALIZACIÓN]])</f>
        <v>0</v>
      </c>
      <c r="BT530" s="3">
        <f>+IF(AVANCE[[#This Row],[CABLEADO]]=AD$2,100%,AVANCE[[#This Row],[CABLEADO]])</f>
        <v>0</v>
      </c>
      <c r="BU530" s="3">
        <f>+IF(AVANCE[[#This Row],[ARTEFACTOS]]=AE$2,100%,AVANCE[[#This Row],[ARTEFACTOS]])</f>
        <v>0</v>
      </c>
      <c r="BV530" s="3">
        <f>+IF(AVANCE[[#This Row],[TABLERO]]=AF$2,100%,AVANCE[[#This Row],[TABLERO]])</f>
        <v>0</v>
      </c>
      <c r="BW530" s="3">
        <f>+IF(AVANCE[[#This Row],[CAJA PAU]]=AG$2,100%,AVANCE[[#This Row],[CAJA PAU]])</f>
        <v>0</v>
      </c>
      <c r="BX530" s="3">
        <f>+IF(AVANCE[[#This Row],[INSTALACION VINILICO]]=AJ$2,100%,AVANCE[[#This Row],[INSTALACION VINILICO]])</f>
        <v>0</v>
      </c>
      <c r="BY530" s="3">
        <f>+IF(AVANCE[[#This Row],[OSB CUBIERTA]]=AK$2,100%,AVANCE[[#This Row],[OSB CUBIERTA]])</f>
        <v>0</v>
      </c>
      <c r="BZ530" s="3">
        <f>+IF(AVANCE[[#This Row],[BARANDA BALCON]]=AL$2,100%,AVANCE[[#This Row],[BARANDA BALCON]])</f>
        <v>0</v>
      </c>
      <c r="CA530" s="3">
        <f>+IF(AVANCE[[#This Row],[OSB EXTERIOR]]=AM$2,100%,AVANCE[[#This Row],[OSB EXTERIOR]])</f>
        <v>0</v>
      </c>
      <c r="CB530" s="3">
        <f>+IF(AVANCE[[#This Row],[SMART PANEL]]=AN$2,100%,AVANCE[[#This Row],[SMART PANEL]])</f>
        <v>0</v>
      </c>
      <c r="CC530" s="3">
        <f>+IF(AVANCE[[#This Row],[PINTURA EXTERIOR]]=AO$2,100%,AVANCE[[#This Row],[PINTURA EXTERIOR]])</f>
        <v>0</v>
      </c>
      <c r="CD530" s="3">
        <f>+IF(AVANCE[[#This Row],[ZOCALOS LOGIA]]=AP$2,100%,AVANCE[[#This Row],[ZOCALOS LOGIA]])</f>
        <v>0</v>
      </c>
      <c r="CE530" s="3">
        <f>+IF(AVANCE[[#This Row],[MOLDURAS]]=AQ$2,100%,AVANCE[[#This Row],[MOLDURAS]])</f>
        <v>0</v>
      </c>
      <c r="CF530" s="3">
        <f>+IF(AVANCE[[#This Row],[PILASTREO]]=AR$2,100%,AVANCE[[#This Row],[PILASTREO]])</f>
        <v>0</v>
      </c>
      <c r="CG530" s="3">
        <f>+IF(AVANCE[[#This Row],[CELOSIAS]]=AS$2,100%,AVANCE[[#This Row],[CELOSIAS]])</f>
        <v>0</v>
      </c>
      <c r="CH530" s="3">
        <f>+IF(AVANCE[[#This Row],[VENTANAS]]=AT$2,100%,AVANCE[[#This Row],[VENTANAS]])</f>
        <v>0</v>
      </c>
      <c r="CI530" s="3">
        <f>+IF(AVANCE[[#This Row],[PUERTAS ACCESO - LOGIA - BANO]]=AU$2,100%,AVANCE[[#This Row],[PUERTAS ACCESO - LOGIA - BANO]])</f>
        <v>0</v>
      </c>
      <c r="CJ530" s="3">
        <f>+IF(AVANCE[[#This Row],[CERRADURAS]]=AV$2,100%,AVANCE[[#This Row],[CERRADURAS]])</f>
        <v>0</v>
      </c>
      <c r="CK530" s="3">
        <f>+IF(AVANCE[[#This Row],[REVESTIMIENTO INTERIOR ZONA SECA]]=AW$2,100%,AVANCE[[#This Row],[REVESTIMIENTO INTERIOR ZONA SECA]])</f>
        <v>0</v>
      </c>
      <c r="CL530" s="3">
        <f>+IF(AVANCE[[#This Row],[REVESTIMIENTO INTERIOR ZONAS HUMEDAS]]=AX$2,100%,AVANCE[[#This Row],[REVESTIMIENTO INTERIOR ZONAS HUMEDAS]])</f>
        <v>0</v>
      </c>
      <c r="CM530" s="3">
        <f>+IF(AVANCE[[#This Row],[MEMBRANA CIELO]]=AY$2,100%,AVANCE[[#This Row],[MEMBRANA CIELO]])</f>
        <v>0</v>
      </c>
      <c r="CN530" s="3">
        <f>+IF(AVANCE[[#This Row],[LIMPIEZA FINAL]]=AZ$2,100%,AVANCE[[#This Row],[LIMPIEZA FINAL]])</f>
        <v>0</v>
      </c>
      <c r="CO530" s="3">
        <f>+IF(AVANCE[[#This Row],[PUERTAS DORMITORIO]]=BA$2,100%,AVANCE[[#This Row],[PUERTAS DORMITORIO]])</f>
        <v>0</v>
      </c>
      <c r="CP530" s="3">
        <f>+IF(AVANCE[[#This Row],[REVESTIMIENTO INTERIOR BANO]]=BB$2,100%,AVANCE[[#This Row],[REVESTIMIENTO INTERIOR BANO]])</f>
        <v>0</v>
      </c>
      <c r="CQ530" s="3">
        <f>+IF(AVANCE[[#This Row],[MUEBLE LAVAPLATOS]]=BC$2,100%,AVANCE[[#This Row],[MUEBLE LAVAPLATOS]])</f>
        <v>0</v>
      </c>
      <c r="CR530" s="3">
        <f>+IF(AVANCE[[#This Row],[IMPERMEABILIZACION BANO - COCINA LOGIA]]=BD$2,100%,AVANCE[[#This Row],[IMPERMEABILIZACION BANO - COCINA LOGIA]])</f>
        <v>0</v>
      </c>
      <c r="CS530" s="40">
        <f ca="1">+IF(AVANCE[[#This Row],[ESTADO MODULO]]="PENDIENTE",(TODAY()-AVANCE[[#This Row],[FECHA TERMINO  PLANIFICADO]]),0)</f>
        <v>0</v>
      </c>
      <c r="CT530" s="41" t="str" cm="1">
        <f t="array" ref="CT530">_xlfn.TEXTJOIN(" | ",TRUE,IF(SUMPRODUCT((BG530:CR530&lt;1)*(PARTIDAS!$I$2:$AT$2="OBRA GRUESA"))&gt;0,"OBRA GRUESA: "&amp;_xlfn.TEXTJOIN(", ",TRUE,IF((BG530:CR530&lt;1)*(PARTIDAS!$I$2:$AT$2="OBRA GRUESA"),PARTIDAS!$I$1:$AT$1,"")),""),IF(SUMPRODUCT((BG530:CR530&lt;1)*(PARTIDAS!$I$2:$AT$2="SANITARIOS"))&gt;0,"SANITARIOS: "&amp;_xlfn.TEXTJOIN(", ",TRUE,IF((BG530:CR530&lt;1)*(PARTIDAS!$I$2:$AT$2="SANITARIOS"),PARTIDAS!$I$1:$AT$1,"")),""),IF(SUMPRODUCT((BG530:CR530&lt;1)*(PARTIDAS!$I$2:$AT$2="ELÉCTRICO"))&gt;0,"ELÉCTRICO: "&amp;_xlfn.TEXTJOIN(", ",TRUE,IF((BG530:CR530&lt;1)*(PARTIDAS!$I$2:$AT$2="ELÉCTRICO"),PARTIDAS!$I$1:$AT$1,"")),""),IF(SUMPRODUCT((BG530:CR530&lt;1)*(PARTIDAS!$I$2:$AT$2="TERMINACIONES"))&gt;0,"TERMINACIONES: "&amp;_xlfn.TEXTJOIN(", ",TRUE,IF((BG530:CR530&lt;1)*(PARTIDAS!$I$2:$AT$2="TERMINACIONES"),PARTIDAS!$I$1:$AT$1,"")),""))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0" s="43" t="str" cm="1">
        <f t="array" ref="CU530">_xlfn.TEXTJOIN(", ",TRUE,IF(SUMPRODUCT((BG530:CR530&lt;1)*(PARTIDAS!$I$2:$AT$2="OBRA GRUESA"))&gt;0,"OBRA GRUESA",""),IF(SUMPRODUCT((BG530:CR530&lt;1)*(PARTIDAS!$I$2:$AT$2="SANITARIOS"))&gt;0,"SANITARIOS",""),IF(SUMPRODUCT((BG530:CR530&lt;1)*(PARTIDAS!$I$2:$AT$2="ELÉCTRICO"))&gt;0,"ELÉCTRICO",""),IF(SUMPRODUCT((BG530:CR530&lt;1)*(PARTIDAS!$I$2:$AT$2="TERMINACIONES"))&gt;0,"TERMINACIONES",""))</f>
        <v>OBRA GRUESA, SANITARIOS, ELÉCTRICO, TERMINACIONES</v>
      </c>
      <c r="CV530" s="44" cm="1">
        <f t="array" ref="CV530">SUMPRODUCT(--(BG530:CR530&lt;1))</f>
        <v>38</v>
      </c>
    </row>
    <row r="531" spans="1:100" hidden="1" x14ac:dyDescent="0.25">
      <c r="A531" t="s">
        <v>586</v>
      </c>
      <c r="B531" t="s">
        <v>604</v>
      </c>
      <c r="C531">
        <v>2302600530</v>
      </c>
      <c r="D531" t="s">
        <v>60</v>
      </c>
      <c r="E531" s="2">
        <v>0</v>
      </c>
      <c r="F531" s="1">
        <v>46407</v>
      </c>
      <c r="G531" s="1"/>
      <c r="H531" s="1">
        <v>0</v>
      </c>
      <c r="I531" s="1">
        <v>46437</v>
      </c>
      <c r="J531">
        <v>46230</v>
      </c>
      <c r="K531" s="1"/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>
        <v>31.32</v>
      </c>
      <c r="BF531" s="3" t="str">
        <f>+IF(AVANCE[[#This Row],[% AVANCE]]=100%,"MODULO TERMINADO",IF(AVANCE[[#This Row],[FECHA INICIO REAL]]="","MODULO NO INICIADO","PENDIENTE"))</f>
        <v>MODULO NO INICIADO</v>
      </c>
      <c r="BG531" s="3">
        <f>+IF(AVANCE[[#This Row],[VENTANAS]]=8.10810810810811%,100%,AVANCE[[#This Row],[VENTANAS]])</f>
        <v>0</v>
      </c>
      <c r="BH531" s="3">
        <f>+IF(AVANCE[[#This Row],[PISO]]=N$2,100%,AVANCE[[#This Row],[PISO]])</f>
        <v>0</v>
      </c>
      <c r="BI531" s="3">
        <f>+IF(AVANCE[[#This Row],[TABIQUES]]=O$2,100%,AVANCE[[#This Row],[TABIQUES]])</f>
        <v>0</v>
      </c>
      <c r="BJ531" s="3">
        <f>+IF(AVANCE[[#This Row],[MUROS]]=P$2,100%,AVANCE[[#This Row],[MUROS]])</f>
        <v>0</v>
      </c>
      <c r="BK531" s="3">
        <f>+IF(AVANCE[[#This Row],[CIELO]]=Q$2,100%,AVANCE[[#This Row],[CIELO]])</f>
        <v>0</v>
      </c>
      <c r="BL531" s="3">
        <f>+IF(AVANCE[[#This Row],[BALCÓN]]=R$2,100%,AVANCE[[#This Row],[BALCÓN]])</f>
        <v>0</v>
      </c>
      <c r="BM531" s="3">
        <f>+IF(AVANCE[[#This Row],[RED ALCANTARILLADO]]=U$2,100%,AVANCE[[#This Row],[RED ALCANTARILLADO]])</f>
        <v>0</v>
      </c>
      <c r="BN531" s="3">
        <f>+IF(AVANCE[[#This Row],[RED DE AGUA]]=V$2,100%,AVANCE[[#This Row],[RED DE AGUA]])</f>
        <v>0</v>
      </c>
      <c r="BO531" s="3">
        <f>+IF(AVANCE[[#This Row],[VENTILACIONES]]=W$2,100%,AVANCE[[#This Row],[VENTILACIONES]])</f>
        <v>0</v>
      </c>
      <c r="BP531" s="3">
        <f>+IF(AVANCE[[#This Row],[TINA]]=X$2,100%,AVANCE[[#This Row],[TINA]])</f>
        <v>0</v>
      </c>
      <c r="BQ531" s="3">
        <f>+IF(AVANCE[[#This Row],[WC]]=Y$2,100%,AVANCE[[#This Row],[WC]])</f>
        <v>0</v>
      </c>
      <c r="BR531" s="3">
        <f>+IF(AVANCE[[#This Row],[LAVAMANOS / LAVAPLATOS / LAVADERO]]=Z$2,100%,AVANCE[[#This Row],[LAVAMANOS / LAVAPLATOS / LAVADERO]])</f>
        <v>0</v>
      </c>
      <c r="BS531" s="3">
        <f>+IF(AVANCE[[#This Row],[CANALIZACIÓN]]=AC$2,100%,AVANCE[[#This Row],[CANALIZACIÓN]])</f>
        <v>0</v>
      </c>
      <c r="BT531" s="3">
        <f>+IF(AVANCE[[#This Row],[CABLEADO]]=AD$2,100%,AVANCE[[#This Row],[CABLEADO]])</f>
        <v>0</v>
      </c>
      <c r="BU531" s="3">
        <f>+IF(AVANCE[[#This Row],[ARTEFACTOS]]=AE$2,100%,AVANCE[[#This Row],[ARTEFACTOS]])</f>
        <v>0</v>
      </c>
      <c r="BV531" s="3">
        <f>+IF(AVANCE[[#This Row],[TABLERO]]=AF$2,100%,AVANCE[[#This Row],[TABLERO]])</f>
        <v>0</v>
      </c>
      <c r="BW531" s="3">
        <f>+IF(AVANCE[[#This Row],[CAJA PAU]]=AG$2,100%,AVANCE[[#This Row],[CAJA PAU]])</f>
        <v>0</v>
      </c>
      <c r="BX531" s="3">
        <f>+IF(AVANCE[[#This Row],[INSTALACION VINILICO]]=AJ$2,100%,AVANCE[[#This Row],[INSTALACION VINILICO]])</f>
        <v>0</v>
      </c>
      <c r="BY531" s="3">
        <f>+IF(AVANCE[[#This Row],[OSB CUBIERTA]]=AK$2,100%,AVANCE[[#This Row],[OSB CUBIERTA]])</f>
        <v>0</v>
      </c>
      <c r="BZ531" s="3">
        <f>+IF(AVANCE[[#This Row],[BARANDA BALCON]]=AL$2,100%,AVANCE[[#This Row],[BARANDA BALCON]])</f>
        <v>0</v>
      </c>
      <c r="CA531" s="3">
        <f>+IF(AVANCE[[#This Row],[OSB EXTERIOR]]=AM$2,100%,AVANCE[[#This Row],[OSB EXTERIOR]])</f>
        <v>0</v>
      </c>
      <c r="CB531" s="3">
        <f>+IF(AVANCE[[#This Row],[SMART PANEL]]=AN$2,100%,AVANCE[[#This Row],[SMART PANEL]])</f>
        <v>0</v>
      </c>
      <c r="CC531" s="3">
        <f>+IF(AVANCE[[#This Row],[PINTURA EXTERIOR]]=AO$2,100%,AVANCE[[#This Row],[PINTURA EXTERIOR]])</f>
        <v>0</v>
      </c>
      <c r="CD531" s="3">
        <f>+IF(AVANCE[[#This Row],[ZOCALOS LOGIA]]=AP$2,100%,AVANCE[[#This Row],[ZOCALOS LOGIA]])</f>
        <v>0</v>
      </c>
      <c r="CE531" s="3">
        <f>+IF(AVANCE[[#This Row],[MOLDURAS]]=AQ$2,100%,AVANCE[[#This Row],[MOLDURAS]])</f>
        <v>0</v>
      </c>
      <c r="CF531" s="3">
        <f>+IF(AVANCE[[#This Row],[PILASTREO]]=AR$2,100%,AVANCE[[#This Row],[PILASTREO]])</f>
        <v>0</v>
      </c>
      <c r="CG531" s="3">
        <f>+IF(AVANCE[[#This Row],[CELOSIAS]]=AS$2,100%,AVANCE[[#This Row],[CELOSIAS]])</f>
        <v>0</v>
      </c>
      <c r="CH531" s="3">
        <f>+IF(AVANCE[[#This Row],[VENTANAS]]=AT$2,100%,AVANCE[[#This Row],[VENTANAS]])</f>
        <v>0</v>
      </c>
      <c r="CI531" s="3">
        <f>+IF(AVANCE[[#This Row],[PUERTAS ACCESO - LOGIA - BANO]]=AU$2,100%,AVANCE[[#This Row],[PUERTAS ACCESO - LOGIA - BANO]])</f>
        <v>0</v>
      </c>
      <c r="CJ531" s="3">
        <f>+IF(AVANCE[[#This Row],[CERRADURAS]]=AV$2,100%,AVANCE[[#This Row],[CERRADURAS]])</f>
        <v>0</v>
      </c>
      <c r="CK531" s="3">
        <f>+IF(AVANCE[[#This Row],[REVESTIMIENTO INTERIOR ZONA SECA]]=AW$2,100%,AVANCE[[#This Row],[REVESTIMIENTO INTERIOR ZONA SECA]])</f>
        <v>0</v>
      </c>
      <c r="CL531" s="3">
        <f>+IF(AVANCE[[#This Row],[REVESTIMIENTO INTERIOR ZONAS HUMEDAS]]=AX$2,100%,AVANCE[[#This Row],[REVESTIMIENTO INTERIOR ZONAS HUMEDAS]])</f>
        <v>0</v>
      </c>
      <c r="CM531" s="3">
        <f>+IF(AVANCE[[#This Row],[MEMBRANA CIELO]]=AY$2,100%,AVANCE[[#This Row],[MEMBRANA CIELO]])</f>
        <v>0</v>
      </c>
      <c r="CN531" s="3">
        <f>+IF(AVANCE[[#This Row],[LIMPIEZA FINAL]]=AZ$2,100%,AVANCE[[#This Row],[LIMPIEZA FINAL]])</f>
        <v>0</v>
      </c>
      <c r="CO531" s="3">
        <f>+IF(AVANCE[[#This Row],[PUERTAS DORMITORIO]]=BA$2,100%,AVANCE[[#This Row],[PUERTAS DORMITORIO]])</f>
        <v>0</v>
      </c>
      <c r="CP531" s="3">
        <f>+IF(AVANCE[[#This Row],[REVESTIMIENTO INTERIOR BANO]]=BB$2,100%,AVANCE[[#This Row],[REVESTIMIENTO INTERIOR BANO]])</f>
        <v>0</v>
      </c>
      <c r="CQ531" s="3">
        <f>+IF(AVANCE[[#This Row],[MUEBLE LAVAPLATOS]]=BC$2,100%,AVANCE[[#This Row],[MUEBLE LAVAPLATOS]])</f>
        <v>0</v>
      </c>
      <c r="CR531" s="3">
        <f>+IF(AVANCE[[#This Row],[IMPERMEABILIZACION BANO - COCINA LOGIA]]=BD$2,100%,AVANCE[[#This Row],[IMPERMEABILIZACION BANO - COCINA LOGIA]])</f>
        <v>0</v>
      </c>
      <c r="CS531" s="40">
        <f ca="1">+IF(AVANCE[[#This Row],[ESTADO MODULO]]="PENDIENTE",(TODAY()-AVANCE[[#This Row],[FECHA TERMINO  PLANIFICADO]]),0)</f>
        <v>0</v>
      </c>
      <c r="CT531" s="41" t="str" cm="1">
        <f t="array" ref="CT531">_xlfn.TEXTJOIN(" | ",TRUE,IF(SUMPRODUCT((BG531:CR531&lt;1)*(PARTIDAS!$I$2:$AT$2="OBRA GRUESA"))&gt;0,"OBRA GRUESA: "&amp;_xlfn.TEXTJOIN(", ",TRUE,IF((BG531:CR531&lt;1)*(PARTIDAS!$I$2:$AT$2="OBRA GRUESA"),PARTIDAS!$I$1:$AT$1,"")),""),IF(SUMPRODUCT((BG531:CR531&lt;1)*(PARTIDAS!$I$2:$AT$2="SANITARIOS"))&gt;0,"SANITARIOS: "&amp;_xlfn.TEXTJOIN(", ",TRUE,IF((BG531:CR531&lt;1)*(PARTIDAS!$I$2:$AT$2="SANITARIOS"),PARTIDAS!$I$1:$AT$1,"")),""),IF(SUMPRODUCT((BG531:CR531&lt;1)*(PARTIDAS!$I$2:$AT$2="ELÉCTRICO"))&gt;0,"ELÉCTRICO: "&amp;_xlfn.TEXTJOIN(", ",TRUE,IF((BG531:CR531&lt;1)*(PARTIDAS!$I$2:$AT$2="ELÉCTRICO"),PARTIDAS!$I$1:$AT$1,"")),""),IF(SUMPRODUCT((BG531:CR531&lt;1)*(PARTIDAS!$I$2:$AT$2="TERMINACIONES"))&gt;0,"TERMINACIONES: "&amp;_xlfn.TEXTJOIN(", ",TRUE,IF((BG531:CR531&lt;1)*(PARTIDAS!$I$2:$AT$2="TERMINACIONES"),PARTIDAS!$I$1:$AT$1,"")),""))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1" s="43" t="str" cm="1">
        <f t="array" ref="CU531">_xlfn.TEXTJOIN(", ",TRUE,IF(SUMPRODUCT((BG531:CR531&lt;1)*(PARTIDAS!$I$2:$AT$2="OBRA GRUESA"))&gt;0,"OBRA GRUESA",""),IF(SUMPRODUCT((BG531:CR531&lt;1)*(PARTIDAS!$I$2:$AT$2="SANITARIOS"))&gt;0,"SANITARIOS",""),IF(SUMPRODUCT((BG531:CR531&lt;1)*(PARTIDAS!$I$2:$AT$2="ELÉCTRICO"))&gt;0,"ELÉCTRICO",""),IF(SUMPRODUCT((BG531:CR531&lt;1)*(PARTIDAS!$I$2:$AT$2="TERMINACIONES"))&gt;0,"TERMINACIONES",""))</f>
        <v>OBRA GRUESA, SANITARIOS, ELÉCTRICO, TERMINACIONES</v>
      </c>
      <c r="CV531" s="44" cm="1">
        <f t="array" ref="CV531">SUMPRODUCT(--(BG531:CR531&lt;1))</f>
        <v>38</v>
      </c>
    </row>
    <row r="532" spans="1:100" hidden="1" x14ac:dyDescent="0.25">
      <c r="A532" t="s">
        <v>586</v>
      </c>
      <c r="B532" t="s">
        <v>605</v>
      </c>
      <c r="C532">
        <v>2302600531</v>
      </c>
      <c r="D532" t="s">
        <v>60</v>
      </c>
      <c r="E532" s="2">
        <v>0</v>
      </c>
      <c r="F532" s="1">
        <v>46407</v>
      </c>
      <c r="G532" s="1"/>
      <c r="H532" s="1">
        <v>0</v>
      </c>
      <c r="I532" s="1">
        <v>46437</v>
      </c>
      <c r="J532">
        <v>46230</v>
      </c>
      <c r="K532" s="1"/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>
        <v>31.32</v>
      </c>
      <c r="BF532" s="3" t="str">
        <f>+IF(AVANCE[[#This Row],[% AVANCE]]=100%,"MODULO TERMINADO",IF(AVANCE[[#This Row],[FECHA INICIO REAL]]="","MODULO NO INICIADO","PENDIENTE"))</f>
        <v>MODULO NO INICIADO</v>
      </c>
      <c r="BG532" s="3">
        <f>+IF(AVANCE[[#This Row],[VENTANAS]]=8.10810810810811%,100%,AVANCE[[#This Row],[VENTANAS]])</f>
        <v>0</v>
      </c>
      <c r="BH532" s="3">
        <f>+IF(AVANCE[[#This Row],[PISO]]=N$2,100%,AVANCE[[#This Row],[PISO]])</f>
        <v>0</v>
      </c>
      <c r="BI532" s="3">
        <f>+IF(AVANCE[[#This Row],[TABIQUES]]=O$2,100%,AVANCE[[#This Row],[TABIQUES]])</f>
        <v>0</v>
      </c>
      <c r="BJ532" s="3">
        <f>+IF(AVANCE[[#This Row],[MUROS]]=P$2,100%,AVANCE[[#This Row],[MUROS]])</f>
        <v>0</v>
      </c>
      <c r="BK532" s="3">
        <f>+IF(AVANCE[[#This Row],[CIELO]]=Q$2,100%,AVANCE[[#This Row],[CIELO]])</f>
        <v>0</v>
      </c>
      <c r="BL532" s="3">
        <f>+IF(AVANCE[[#This Row],[BALCÓN]]=R$2,100%,AVANCE[[#This Row],[BALCÓN]])</f>
        <v>0</v>
      </c>
      <c r="BM532" s="3">
        <f>+IF(AVANCE[[#This Row],[RED ALCANTARILLADO]]=U$2,100%,AVANCE[[#This Row],[RED ALCANTARILLADO]])</f>
        <v>0</v>
      </c>
      <c r="BN532" s="3">
        <f>+IF(AVANCE[[#This Row],[RED DE AGUA]]=V$2,100%,AVANCE[[#This Row],[RED DE AGUA]])</f>
        <v>0</v>
      </c>
      <c r="BO532" s="3">
        <f>+IF(AVANCE[[#This Row],[VENTILACIONES]]=W$2,100%,AVANCE[[#This Row],[VENTILACIONES]])</f>
        <v>0</v>
      </c>
      <c r="BP532" s="3">
        <f>+IF(AVANCE[[#This Row],[TINA]]=X$2,100%,AVANCE[[#This Row],[TINA]])</f>
        <v>0</v>
      </c>
      <c r="BQ532" s="3">
        <f>+IF(AVANCE[[#This Row],[WC]]=Y$2,100%,AVANCE[[#This Row],[WC]])</f>
        <v>0</v>
      </c>
      <c r="BR532" s="3">
        <f>+IF(AVANCE[[#This Row],[LAVAMANOS / LAVAPLATOS / LAVADERO]]=Z$2,100%,AVANCE[[#This Row],[LAVAMANOS / LAVAPLATOS / LAVADERO]])</f>
        <v>0</v>
      </c>
      <c r="BS532" s="3">
        <f>+IF(AVANCE[[#This Row],[CANALIZACIÓN]]=AC$2,100%,AVANCE[[#This Row],[CANALIZACIÓN]])</f>
        <v>0</v>
      </c>
      <c r="BT532" s="3">
        <f>+IF(AVANCE[[#This Row],[CABLEADO]]=AD$2,100%,AVANCE[[#This Row],[CABLEADO]])</f>
        <v>0</v>
      </c>
      <c r="BU532" s="3">
        <f>+IF(AVANCE[[#This Row],[ARTEFACTOS]]=AE$2,100%,AVANCE[[#This Row],[ARTEFACTOS]])</f>
        <v>0</v>
      </c>
      <c r="BV532" s="3">
        <f>+IF(AVANCE[[#This Row],[TABLERO]]=AF$2,100%,AVANCE[[#This Row],[TABLERO]])</f>
        <v>0</v>
      </c>
      <c r="BW532" s="3">
        <f>+IF(AVANCE[[#This Row],[CAJA PAU]]=AG$2,100%,AVANCE[[#This Row],[CAJA PAU]])</f>
        <v>0</v>
      </c>
      <c r="BX532" s="3">
        <f>+IF(AVANCE[[#This Row],[INSTALACION VINILICO]]=AJ$2,100%,AVANCE[[#This Row],[INSTALACION VINILICO]])</f>
        <v>0</v>
      </c>
      <c r="BY532" s="3">
        <f>+IF(AVANCE[[#This Row],[OSB CUBIERTA]]=AK$2,100%,AVANCE[[#This Row],[OSB CUBIERTA]])</f>
        <v>0</v>
      </c>
      <c r="BZ532" s="3">
        <f>+IF(AVANCE[[#This Row],[BARANDA BALCON]]=AL$2,100%,AVANCE[[#This Row],[BARANDA BALCON]])</f>
        <v>0</v>
      </c>
      <c r="CA532" s="3">
        <f>+IF(AVANCE[[#This Row],[OSB EXTERIOR]]=AM$2,100%,AVANCE[[#This Row],[OSB EXTERIOR]])</f>
        <v>0</v>
      </c>
      <c r="CB532" s="3">
        <f>+IF(AVANCE[[#This Row],[SMART PANEL]]=AN$2,100%,AVANCE[[#This Row],[SMART PANEL]])</f>
        <v>0</v>
      </c>
      <c r="CC532" s="3">
        <f>+IF(AVANCE[[#This Row],[PINTURA EXTERIOR]]=AO$2,100%,AVANCE[[#This Row],[PINTURA EXTERIOR]])</f>
        <v>0</v>
      </c>
      <c r="CD532" s="3">
        <f>+IF(AVANCE[[#This Row],[ZOCALOS LOGIA]]=AP$2,100%,AVANCE[[#This Row],[ZOCALOS LOGIA]])</f>
        <v>0</v>
      </c>
      <c r="CE532" s="3">
        <f>+IF(AVANCE[[#This Row],[MOLDURAS]]=AQ$2,100%,AVANCE[[#This Row],[MOLDURAS]])</f>
        <v>0</v>
      </c>
      <c r="CF532" s="3">
        <f>+IF(AVANCE[[#This Row],[PILASTREO]]=AR$2,100%,AVANCE[[#This Row],[PILASTREO]])</f>
        <v>0</v>
      </c>
      <c r="CG532" s="3">
        <f>+IF(AVANCE[[#This Row],[CELOSIAS]]=AS$2,100%,AVANCE[[#This Row],[CELOSIAS]])</f>
        <v>0</v>
      </c>
      <c r="CH532" s="3">
        <f>+IF(AVANCE[[#This Row],[VENTANAS]]=AT$2,100%,AVANCE[[#This Row],[VENTANAS]])</f>
        <v>0</v>
      </c>
      <c r="CI532" s="3">
        <f>+IF(AVANCE[[#This Row],[PUERTAS ACCESO - LOGIA - BANO]]=AU$2,100%,AVANCE[[#This Row],[PUERTAS ACCESO - LOGIA - BANO]])</f>
        <v>0</v>
      </c>
      <c r="CJ532" s="3">
        <f>+IF(AVANCE[[#This Row],[CERRADURAS]]=AV$2,100%,AVANCE[[#This Row],[CERRADURAS]])</f>
        <v>0</v>
      </c>
      <c r="CK532" s="3">
        <f>+IF(AVANCE[[#This Row],[REVESTIMIENTO INTERIOR ZONA SECA]]=AW$2,100%,AVANCE[[#This Row],[REVESTIMIENTO INTERIOR ZONA SECA]])</f>
        <v>0</v>
      </c>
      <c r="CL532" s="3">
        <f>+IF(AVANCE[[#This Row],[REVESTIMIENTO INTERIOR ZONAS HUMEDAS]]=AX$2,100%,AVANCE[[#This Row],[REVESTIMIENTO INTERIOR ZONAS HUMEDAS]])</f>
        <v>0</v>
      </c>
      <c r="CM532" s="3">
        <f>+IF(AVANCE[[#This Row],[MEMBRANA CIELO]]=AY$2,100%,AVANCE[[#This Row],[MEMBRANA CIELO]])</f>
        <v>0</v>
      </c>
      <c r="CN532" s="3">
        <f>+IF(AVANCE[[#This Row],[LIMPIEZA FINAL]]=AZ$2,100%,AVANCE[[#This Row],[LIMPIEZA FINAL]])</f>
        <v>0</v>
      </c>
      <c r="CO532" s="3">
        <f>+IF(AVANCE[[#This Row],[PUERTAS DORMITORIO]]=BA$2,100%,AVANCE[[#This Row],[PUERTAS DORMITORIO]])</f>
        <v>0</v>
      </c>
      <c r="CP532" s="3">
        <f>+IF(AVANCE[[#This Row],[REVESTIMIENTO INTERIOR BANO]]=BB$2,100%,AVANCE[[#This Row],[REVESTIMIENTO INTERIOR BANO]])</f>
        <v>0</v>
      </c>
      <c r="CQ532" s="3">
        <f>+IF(AVANCE[[#This Row],[MUEBLE LAVAPLATOS]]=BC$2,100%,AVANCE[[#This Row],[MUEBLE LAVAPLATOS]])</f>
        <v>0</v>
      </c>
      <c r="CR532" s="3">
        <f>+IF(AVANCE[[#This Row],[IMPERMEABILIZACION BANO - COCINA LOGIA]]=BD$2,100%,AVANCE[[#This Row],[IMPERMEABILIZACION BANO - COCINA LOGIA]])</f>
        <v>0</v>
      </c>
      <c r="CS532" s="40">
        <f ca="1">+IF(AVANCE[[#This Row],[ESTADO MODULO]]="PENDIENTE",(TODAY()-AVANCE[[#This Row],[FECHA TERMINO  PLANIFICADO]]),0)</f>
        <v>0</v>
      </c>
      <c r="CT532" s="41" t="str" cm="1">
        <f t="array" ref="CT532">_xlfn.TEXTJOIN(" | ",TRUE,IF(SUMPRODUCT((BG532:CR532&lt;1)*(PARTIDAS!$I$2:$AT$2="OBRA GRUESA"))&gt;0,"OBRA GRUESA: "&amp;_xlfn.TEXTJOIN(", ",TRUE,IF((BG532:CR532&lt;1)*(PARTIDAS!$I$2:$AT$2="OBRA GRUESA"),PARTIDAS!$I$1:$AT$1,"")),""),IF(SUMPRODUCT((BG532:CR532&lt;1)*(PARTIDAS!$I$2:$AT$2="SANITARIOS"))&gt;0,"SANITARIOS: "&amp;_xlfn.TEXTJOIN(", ",TRUE,IF((BG532:CR532&lt;1)*(PARTIDAS!$I$2:$AT$2="SANITARIOS"),PARTIDAS!$I$1:$AT$1,"")),""),IF(SUMPRODUCT((BG532:CR532&lt;1)*(PARTIDAS!$I$2:$AT$2="ELÉCTRICO"))&gt;0,"ELÉCTRICO: "&amp;_xlfn.TEXTJOIN(", ",TRUE,IF((BG532:CR532&lt;1)*(PARTIDAS!$I$2:$AT$2="ELÉCTRICO"),PARTIDAS!$I$1:$AT$1,"")),""),IF(SUMPRODUCT((BG532:CR532&lt;1)*(PARTIDAS!$I$2:$AT$2="TERMINACIONES"))&gt;0,"TERMINACIONES: "&amp;_xlfn.TEXTJOIN(", ",TRUE,IF((BG532:CR532&lt;1)*(PARTIDAS!$I$2:$AT$2="TERMINACIONES"),PARTIDAS!$I$1:$AT$1,"")),""))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2" s="43" t="str" cm="1">
        <f t="array" ref="CU532">_xlfn.TEXTJOIN(", ",TRUE,IF(SUMPRODUCT((BG532:CR532&lt;1)*(PARTIDAS!$I$2:$AT$2="OBRA GRUESA"))&gt;0,"OBRA GRUESA",""),IF(SUMPRODUCT((BG532:CR532&lt;1)*(PARTIDAS!$I$2:$AT$2="SANITARIOS"))&gt;0,"SANITARIOS",""),IF(SUMPRODUCT((BG532:CR532&lt;1)*(PARTIDAS!$I$2:$AT$2="ELÉCTRICO"))&gt;0,"ELÉCTRICO",""),IF(SUMPRODUCT((BG532:CR532&lt;1)*(PARTIDAS!$I$2:$AT$2="TERMINACIONES"))&gt;0,"TERMINACIONES",""))</f>
        <v>OBRA GRUESA, SANITARIOS, ELÉCTRICO, TERMINACIONES</v>
      </c>
      <c r="CV532" s="44" cm="1">
        <f t="array" ref="CV532">SUMPRODUCT(--(BG532:CR532&lt;1))</f>
        <v>38</v>
      </c>
    </row>
    <row r="533" spans="1:100" hidden="1" x14ac:dyDescent="0.25">
      <c r="A533" t="s">
        <v>586</v>
      </c>
      <c r="B533" t="s">
        <v>606</v>
      </c>
      <c r="C533">
        <v>2282600532</v>
      </c>
      <c r="D533" t="s">
        <v>58</v>
      </c>
      <c r="E533" s="2">
        <v>0</v>
      </c>
      <c r="F533" s="1">
        <v>46407</v>
      </c>
      <c r="G533" s="1"/>
      <c r="H533" s="1">
        <v>0</v>
      </c>
      <c r="I533" s="1">
        <v>46427</v>
      </c>
      <c r="J533">
        <v>46230</v>
      </c>
      <c r="K533" s="1"/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>
        <v>28.87</v>
      </c>
      <c r="BF533" s="3" t="str">
        <f>+IF(AVANCE[[#This Row],[% AVANCE]]=100%,"MODULO TERMINADO",IF(AVANCE[[#This Row],[FECHA INICIO REAL]]="","MODULO NO INICIADO","PENDIENTE"))</f>
        <v>MODULO NO INICIADO</v>
      </c>
      <c r="BG533" s="3">
        <f>+IF(AVANCE[[#This Row],[VENTANAS]]=8.10810810810811%,100%,AVANCE[[#This Row],[VENTANAS]])</f>
        <v>0</v>
      </c>
      <c r="BH533" s="3">
        <f>+IF(AVANCE[[#This Row],[PISO]]=N$2,100%,AVANCE[[#This Row],[PISO]])</f>
        <v>0</v>
      </c>
      <c r="BI533" s="3">
        <f>+IF(AVANCE[[#This Row],[TABIQUES]]=O$2,100%,AVANCE[[#This Row],[TABIQUES]])</f>
        <v>0</v>
      </c>
      <c r="BJ533" s="3">
        <f>+IF(AVANCE[[#This Row],[MUROS]]=P$2,100%,AVANCE[[#This Row],[MUROS]])</f>
        <v>0</v>
      </c>
      <c r="BK533" s="3">
        <f>+IF(AVANCE[[#This Row],[CIELO]]=Q$2,100%,AVANCE[[#This Row],[CIELO]])</f>
        <v>0</v>
      </c>
      <c r="BL533" s="3">
        <f>+IF(AVANCE[[#This Row],[BALCÓN]]=R$2,100%,AVANCE[[#This Row],[BALCÓN]])</f>
        <v>0</v>
      </c>
      <c r="BM533" s="3">
        <f>+IF(AVANCE[[#This Row],[RED ALCANTARILLADO]]=U$2,100%,AVANCE[[#This Row],[RED ALCANTARILLADO]])</f>
        <v>0</v>
      </c>
      <c r="BN533" s="3">
        <f>+IF(AVANCE[[#This Row],[RED DE AGUA]]=V$2,100%,AVANCE[[#This Row],[RED DE AGUA]])</f>
        <v>0</v>
      </c>
      <c r="BO533" s="3">
        <f>+IF(AVANCE[[#This Row],[VENTILACIONES]]=W$2,100%,AVANCE[[#This Row],[VENTILACIONES]])</f>
        <v>0</v>
      </c>
      <c r="BP533" s="3">
        <f>+IF(AVANCE[[#This Row],[TINA]]=X$2,100%,AVANCE[[#This Row],[TINA]])</f>
        <v>0</v>
      </c>
      <c r="BQ533" s="3">
        <f>+IF(AVANCE[[#This Row],[WC]]=Y$2,100%,AVANCE[[#This Row],[WC]])</f>
        <v>0</v>
      </c>
      <c r="BR533" s="3">
        <f>+IF(AVANCE[[#This Row],[LAVAMANOS / LAVAPLATOS / LAVADERO]]=Z$2,100%,AVANCE[[#This Row],[LAVAMANOS / LAVAPLATOS / LAVADERO]])</f>
        <v>0</v>
      </c>
      <c r="BS533" s="3">
        <f>+IF(AVANCE[[#This Row],[CANALIZACIÓN]]=AC$2,100%,AVANCE[[#This Row],[CANALIZACIÓN]])</f>
        <v>0</v>
      </c>
      <c r="BT533" s="3">
        <f>+IF(AVANCE[[#This Row],[CABLEADO]]=AD$2,100%,AVANCE[[#This Row],[CABLEADO]])</f>
        <v>0</v>
      </c>
      <c r="BU533" s="3">
        <f>+IF(AVANCE[[#This Row],[ARTEFACTOS]]=AE$2,100%,AVANCE[[#This Row],[ARTEFACTOS]])</f>
        <v>0</v>
      </c>
      <c r="BV533" s="3">
        <f>+IF(AVANCE[[#This Row],[TABLERO]]=AF$2,100%,AVANCE[[#This Row],[TABLERO]])</f>
        <v>0</v>
      </c>
      <c r="BW533" s="3">
        <f>+IF(AVANCE[[#This Row],[CAJA PAU]]=AG$2,100%,AVANCE[[#This Row],[CAJA PAU]])</f>
        <v>0</v>
      </c>
      <c r="BX533" s="3">
        <f>+IF(AVANCE[[#This Row],[INSTALACION VINILICO]]=AJ$2,100%,AVANCE[[#This Row],[INSTALACION VINILICO]])</f>
        <v>0</v>
      </c>
      <c r="BY533" s="3">
        <f>+IF(AVANCE[[#This Row],[OSB CUBIERTA]]=AK$2,100%,AVANCE[[#This Row],[OSB CUBIERTA]])</f>
        <v>0</v>
      </c>
      <c r="BZ533" s="3">
        <f>+IF(AVANCE[[#This Row],[BARANDA BALCON]]=AL$2,100%,AVANCE[[#This Row],[BARANDA BALCON]])</f>
        <v>0</v>
      </c>
      <c r="CA533" s="3">
        <f>+IF(AVANCE[[#This Row],[OSB EXTERIOR]]=AM$2,100%,AVANCE[[#This Row],[OSB EXTERIOR]])</f>
        <v>0</v>
      </c>
      <c r="CB533" s="3">
        <f>+IF(AVANCE[[#This Row],[SMART PANEL]]=AN$2,100%,AVANCE[[#This Row],[SMART PANEL]])</f>
        <v>0</v>
      </c>
      <c r="CC533" s="3">
        <f>+IF(AVANCE[[#This Row],[PINTURA EXTERIOR]]=AO$2,100%,AVANCE[[#This Row],[PINTURA EXTERIOR]])</f>
        <v>0</v>
      </c>
      <c r="CD533" s="3">
        <f>+IF(AVANCE[[#This Row],[ZOCALOS LOGIA]]=AP$2,100%,AVANCE[[#This Row],[ZOCALOS LOGIA]])</f>
        <v>0</v>
      </c>
      <c r="CE533" s="3">
        <f>+IF(AVANCE[[#This Row],[MOLDURAS]]=AQ$2,100%,AVANCE[[#This Row],[MOLDURAS]])</f>
        <v>0</v>
      </c>
      <c r="CF533" s="3">
        <f>+IF(AVANCE[[#This Row],[PILASTREO]]=AR$2,100%,AVANCE[[#This Row],[PILASTREO]])</f>
        <v>0</v>
      </c>
      <c r="CG533" s="3">
        <f>+IF(AVANCE[[#This Row],[CELOSIAS]]=AS$2,100%,AVANCE[[#This Row],[CELOSIAS]])</f>
        <v>0</v>
      </c>
      <c r="CH533" s="3">
        <f>+IF(AVANCE[[#This Row],[VENTANAS]]=AT$2,100%,AVANCE[[#This Row],[VENTANAS]])</f>
        <v>0</v>
      </c>
      <c r="CI533" s="3">
        <f>+IF(AVANCE[[#This Row],[PUERTAS ACCESO - LOGIA - BANO]]=AU$2,100%,AVANCE[[#This Row],[PUERTAS ACCESO - LOGIA - BANO]])</f>
        <v>0</v>
      </c>
      <c r="CJ533" s="3">
        <f>+IF(AVANCE[[#This Row],[CERRADURAS]]=AV$2,100%,AVANCE[[#This Row],[CERRADURAS]])</f>
        <v>0</v>
      </c>
      <c r="CK533" s="3">
        <f>+IF(AVANCE[[#This Row],[REVESTIMIENTO INTERIOR ZONA SECA]]=AW$2,100%,AVANCE[[#This Row],[REVESTIMIENTO INTERIOR ZONA SECA]])</f>
        <v>0</v>
      </c>
      <c r="CL533" s="3">
        <f>+IF(AVANCE[[#This Row],[REVESTIMIENTO INTERIOR ZONAS HUMEDAS]]=AX$2,100%,AVANCE[[#This Row],[REVESTIMIENTO INTERIOR ZONAS HUMEDAS]])</f>
        <v>0</v>
      </c>
      <c r="CM533" s="3">
        <f>+IF(AVANCE[[#This Row],[MEMBRANA CIELO]]=AY$2,100%,AVANCE[[#This Row],[MEMBRANA CIELO]])</f>
        <v>0</v>
      </c>
      <c r="CN533" s="3">
        <f>+IF(AVANCE[[#This Row],[LIMPIEZA FINAL]]=AZ$2,100%,AVANCE[[#This Row],[LIMPIEZA FINAL]])</f>
        <v>0</v>
      </c>
      <c r="CO533" s="3">
        <f>+IF(AVANCE[[#This Row],[PUERTAS DORMITORIO]]=BA$2,100%,AVANCE[[#This Row],[PUERTAS DORMITORIO]])</f>
        <v>0</v>
      </c>
      <c r="CP533" s="3">
        <f>+IF(AVANCE[[#This Row],[REVESTIMIENTO INTERIOR BANO]]=BB$2,100%,AVANCE[[#This Row],[REVESTIMIENTO INTERIOR BANO]])</f>
        <v>0</v>
      </c>
      <c r="CQ533" s="3">
        <f>+IF(AVANCE[[#This Row],[MUEBLE LAVAPLATOS]]=BC$2,100%,AVANCE[[#This Row],[MUEBLE LAVAPLATOS]])</f>
        <v>0</v>
      </c>
      <c r="CR533" s="3">
        <f>+IF(AVANCE[[#This Row],[IMPERMEABILIZACION BANO - COCINA LOGIA]]=BD$2,100%,AVANCE[[#This Row],[IMPERMEABILIZACION BANO - COCINA LOGIA]])</f>
        <v>0</v>
      </c>
      <c r="CS533" s="40">
        <f ca="1">+IF(AVANCE[[#This Row],[ESTADO MODULO]]="PENDIENTE",(TODAY()-AVANCE[[#This Row],[FECHA TERMINO  PLANIFICADO]]),0)</f>
        <v>0</v>
      </c>
      <c r="CT533" s="41" t="str" cm="1">
        <f t="array" ref="CT533">_xlfn.TEXTJOIN(" | ",TRUE,IF(SUMPRODUCT((BG533:CR533&lt;1)*(PARTIDAS!$I$2:$AT$2="OBRA GRUESA"))&gt;0,"OBRA GRUESA: "&amp;_xlfn.TEXTJOIN(", ",TRUE,IF((BG533:CR533&lt;1)*(PARTIDAS!$I$2:$AT$2="OBRA GRUESA"),PARTIDAS!$I$1:$AT$1,"")),""),IF(SUMPRODUCT((BG533:CR533&lt;1)*(PARTIDAS!$I$2:$AT$2="SANITARIOS"))&gt;0,"SANITARIOS: "&amp;_xlfn.TEXTJOIN(", ",TRUE,IF((BG533:CR533&lt;1)*(PARTIDAS!$I$2:$AT$2="SANITARIOS"),PARTIDAS!$I$1:$AT$1,"")),""),IF(SUMPRODUCT((BG533:CR533&lt;1)*(PARTIDAS!$I$2:$AT$2="ELÉCTRICO"))&gt;0,"ELÉCTRICO: "&amp;_xlfn.TEXTJOIN(", ",TRUE,IF((BG533:CR533&lt;1)*(PARTIDAS!$I$2:$AT$2="ELÉCTRICO"),PARTIDAS!$I$1:$AT$1,"")),""),IF(SUMPRODUCT((BG533:CR533&lt;1)*(PARTIDAS!$I$2:$AT$2="TERMINACIONES"))&gt;0,"TERMINACIONES: "&amp;_xlfn.TEXTJOIN(", ",TRUE,IF((BG533:CR533&lt;1)*(PARTIDAS!$I$2:$AT$2="TERMINACIONES"),PARTIDAS!$I$1:$AT$1,"")),""))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3" s="43" t="str" cm="1">
        <f t="array" ref="CU533">_xlfn.TEXTJOIN(", ",TRUE,IF(SUMPRODUCT((BG533:CR533&lt;1)*(PARTIDAS!$I$2:$AT$2="OBRA GRUESA"))&gt;0,"OBRA GRUESA",""),IF(SUMPRODUCT((BG533:CR533&lt;1)*(PARTIDAS!$I$2:$AT$2="SANITARIOS"))&gt;0,"SANITARIOS",""),IF(SUMPRODUCT((BG533:CR533&lt;1)*(PARTIDAS!$I$2:$AT$2="ELÉCTRICO"))&gt;0,"ELÉCTRICO",""),IF(SUMPRODUCT((BG533:CR533&lt;1)*(PARTIDAS!$I$2:$AT$2="TERMINACIONES"))&gt;0,"TERMINACIONES",""))</f>
        <v>OBRA GRUESA, SANITARIOS, ELÉCTRICO, TERMINACIONES</v>
      </c>
      <c r="CV533" s="44" cm="1">
        <f t="array" ref="CV533">SUMPRODUCT(--(BG533:CR533&lt;1))</f>
        <v>38</v>
      </c>
    </row>
    <row r="534" spans="1:100" hidden="1" x14ac:dyDescent="0.25">
      <c r="A534" t="s">
        <v>586</v>
      </c>
      <c r="B534" t="s">
        <v>607</v>
      </c>
      <c r="C534">
        <v>2282600533</v>
      </c>
      <c r="D534" t="s">
        <v>58</v>
      </c>
      <c r="E534" s="2">
        <v>0</v>
      </c>
      <c r="F534" s="1">
        <v>46408</v>
      </c>
      <c r="G534" s="1"/>
      <c r="H534" s="1">
        <v>0</v>
      </c>
      <c r="I534" s="1">
        <v>46428</v>
      </c>
      <c r="J534">
        <v>46230</v>
      </c>
      <c r="K534" s="1"/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>
        <v>28.87</v>
      </c>
      <c r="BF534" s="3" t="str">
        <f>+IF(AVANCE[[#This Row],[% AVANCE]]=100%,"MODULO TERMINADO",IF(AVANCE[[#This Row],[FECHA INICIO REAL]]="","MODULO NO INICIADO","PENDIENTE"))</f>
        <v>MODULO NO INICIADO</v>
      </c>
      <c r="BG534" s="3">
        <f>+IF(AVANCE[[#This Row],[VENTANAS]]=8.10810810810811%,100%,AVANCE[[#This Row],[VENTANAS]])</f>
        <v>0</v>
      </c>
      <c r="BH534" s="3">
        <f>+IF(AVANCE[[#This Row],[PISO]]=N$2,100%,AVANCE[[#This Row],[PISO]])</f>
        <v>0</v>
      </c>
      <c r="BI534" s="3">
        <f>+IF(AVANCE[[#This Row],[TABIQUES]]=O$2,100%,AVANCE[[#This Row],[TABIQUES]])</f>
        <v>0</v>
      </c>
      <c r="BJ534" s="3">
        <f>+IF(AVANCE[[#This Row],[MUROS]]=P$2,100%,AVANCE[[#This Row],[MUROS]])</f>
        <v>0</v>
      </c>
      <c r="BK534" s="3">
        <f>+IF(AVANCE[[#This Row],[CIELO]]=Q$2,100%,AVANCE[[#This Row],[CIELO]])</f>
        <v>0</v>
      </c>
      <c r="BL534" s="3">
        <f>+IF(AVANCE[[#This Row],[BALCÓN]]=R$2,100%,AVANCE[[#This Row],[BALCÓN]])</f>
        <v>0</v>
      </c>
      <c r="BM534" s="3">
        <f>+IF(AVANCE[[#This Row],[RED ALCANTARILLADO]]=U$2,100%,AVANCE[[#This Row],[RED ALCANTARILLADO]])</f>
        <v>0</v>
      </c>
      <c r="BN534" s="3">
        <f>+IF(AVANCE[[#This Row],[RED DE AGUA]]=V$2,100%,AVANCE[[#This Row],[RED DE AGUA]])</f>
        <v>0</v>
      </c>
      <c r="BO534" s="3">
        <f>+IF(AVANCE[[#This Row],[VENTILACIONES]]=W$2,100%,AVANCE[[#This Row],[VENTILACIONES]])</f>
        <v>0</v>
      </c>
      <c r="BP534" s="3">
        <f>+IF(AVANCE[[#This Row],[TINA]]=X$2,100%,AVANCE[[#This Row],[TINA]])</f>
        <v>0</v>
      </c>
      <c r="BQ534" s="3">
        <f>+IF(AVANCE[[#This Row],[WC]]=Y$2,100%,AVANCE[[#This Row],[WC]])</f>
        <v>0</v>
      </c>
      <c r="BR534" s="3">
        <f>+IF(AVANCE[[#This Row],[LAVAMANOS / LAVAPLATOS / LAVADERO]]=Z$2,100%,AVANCE[[#This Row],[LAVAMANOS / LAVAPLATOS / LAVADERO]])</f>
        <v>0</v>
      </c>
      <c r="BS534" s="3">
        <f>+IF(AVANCE[[#This Row],[CANALIZACIÓN]]=AC$2,100%,AVANCE[[#This Row],[CANALIZACIÓN]])</f>
        <v>0</v>
      </c>
      <c r="BT534" s="3">
        <f>+IF(AVANCE[[#This Row],[CABLEADO]]=AD$2,100%,AVANCE[[#This Row],[CABLEADO]])</f>
        <v>0</v>
      </c>
      <c r="BU534" s="3">
        <f>+IF(AVANCE[[#This Row],[ARTEFACTOS]]=AE$2,100%,AVANCE[[#This Row],[ARTEFACTOS]])</f>
        <v>0</v>
      </c>
      <c r="BV534" s="3">
        <f>+IF(AVANCE[[#This Row],[TABLERO]]=AF$2,100%,AVANCE[[#This Row],[TABLERO]])</f>
        <v>0</v>
      </c>
      <c r="BW534" s="3">
        <f>+IF(AVANCE[[#This Row],[CAJA PAU]]=AG$2,100%,AVANCE[[#This Row],[CAJA PAU]])</f>
        <v>0</v>
      </c>
      <c r="BX534" s="3">
        <f>+IF(AVANCE[[#This Row],[INSTALACION VINILICO]]=AJ$2,100%,AVANCE[[#This Row],[INSTALACION VINILICO]])</f>
        <v>0</v>
      </c>
      <c r="BY534" s="3">
        <f>+IF(AVANCE[[#This Row],[OSB CUBIERTA]]=AK$2,100%,AVANCE[[#This Row],[OSB CUBIERTA]])</f>
        <v>0</v>
      </c>
      <c r="BZ534" s="3">
        <f>+IF(AVANCE[[#This Row],[BARANDA BALCON]]=AL$2,100%,AVANCE[[#This Row],[BARANDA BALCON]])</f>
        <v>0</v>
      </c>
      <c r="CA534" s="3">
        <f>+IF(AVANCE[[#This Row],[OSB EXTERIOR]]=AM$2,100%,AVANCE[[#This Row],[OSB EXTERIOR]])</f>
        <v>0</v>
      </c>
      <c r="CB534" s="3">
        <f>+IF(AVANCE[[#This Row],[SMART PANEL]]=AN$2,100%,AVANCE[[#This Row],[SMART PANEL]])</f>
        <v>0</v>
      </c>
      <c r="CC534" s="3">
        <f>+IF(AVANCE[[#This Row],[PINTURA EXTERIOR]]=AO$2,100%,AVANCE[[#This Row],[PINTURA EXTERIOR]])</f>
        <v>0</v>
      </c>
      <c r="CD534" s="3">
        <f>+IF(AVANCE[[#This Row],[ZOCALOS LOGIA]]=AP$2,100%,AVANCE[[#This Row],[ZOCALOS LOGIA]])</f>
        <v>0</v>
      </c>
      <c r="CE534" s="3">
        <f>+IF(AVANCE[[#This Row],[MOLDURAS]]=AQ$2,100%,AVANCE[[#This Row],[MOLDURAS]])</f>
        <v>0</v>
      </c>
      <c r="CF534" s="3">
        <f>+IF(AVANCE[[#This Row],[PILASTREO]]=AR$2,100%,AVANCE[[#This Row],[PILASTREO]])</f>
        <v>0</v>
      </c>
      <c r="CG534" s="3">
        <f>+IF(AVANCE[[#This Row],[CELOSIAS]]=AS$2,100%,AVANCE[[#This Row],[CELOSIAS]])</f>
        <v>0</v>
      </c>
      <c r="CH534" s="3">
        <f>+IF(AVANCE[[#This Row],[VENTANAS]]=AT$2,100%,AVANCE[[#This Row],[VENTANAS]])</f>
        <v>0</v>
      </c>
      <c r="CI534" s="3">
        <f>+IF(AVANCE[[#This Row],[PUERTAS ACCESO - LOGIA - BANO]]=AU$2,100%,AVANCE[[#This Row],[PUERTAS ACCESO - LOGIA - BANO]])</f>
        <v>0</v>
      </c>
      <c r="CJ534" s="3">
        <f>+IF(AVANCE[[#This Row],[CERRADURAS]]=AV$2,100%,AVANCE[[#This Row],[CERRADURAS]])</f>
        <v>0</v>
      </c>
      <c r="CK534" s="3">
        <f>+IF(AVANCE[[#This Row],[REVESTIMIENTO INTERIOR ZONA SECA]]=AW$2,100%,AVANCE[[#This Row],[REVESTIMIENTO INTERIOR ZONA SECA]])</f>
        <v>0</v>
      </c>
      <c r="CL534" s="3">
        <f>+IF(AVANCE[[#This Row],[REVESTIMIENTO INTERIOR ZONAS HUMEDAS]]=AX$2,100%,AVANCE[[#This Row],[REVESTIMIENTO INTERIOR ZONAS HUMEDAS]])</f>
        <v>0</v>
      </c>
      <c r="CM534" s="3">
        <f>+IF(AVANCE[[#This Row],[MEMBRANA CIELO]]=AY$2,100%,AVANCE[[#This Row],[MEMBRANA CIELO]])</f>
        <v>0</v>
      </c>
      <c r="CN534" s="3">
        <f>+IF(AVANCE[[#This Row],[LIMPIEZA FINAL]]=AZ$2,100%,AVANCE[[#This Row],[LIMPIEZA FINAL]])</f>
        <v>0</v>
      </c>
      <c r="CO534" s="3">
        <f>+IF(AVANCE[[#This Row],[PUERTAS DORMITORIO]]=BA$2,100%,AVANCE[[#This Row],[PUERTAS DORMITORIO]])</f>
        <v>0</v>
      </c>
      <c r="CP534" s="3">
        <f>+IF(AVANCE[[#This Row],[REVESTIMIENTO INTERIOR BANO]]=BB$2,100%,AVANCE[[#This Row],[REVESTIMIENTO INTERIOR BANO]])</f>
        <v>0</v>
      </c>
      <c r="CQ534" s="3">
        <f>+IF(AVANCE[[#This Row],[MUEBLE LAVAPLATOS]]=BC$2,100%,AVANCE[[#This Row],[MUEBLE LAVAPLATOS]])</f>
        <v>0</v>
      </c>
      <c r="CR534" s="3">
        <f>+IF(AVANCE[[#This Row],[IMPERMEABILIZACION BANO - COCINA LOGIA]]=BD$2,100%,AVANCE[[#This Row],[IMPERMEABILIZACION BANO - COCINA LOGIA]])</f>
        <v>0</v>
      </c>
      <c r="CS534" s="40">
        <f ca="1">+IF(AVANCE[[#This Row],[ESTADO MODULO]]="PENDIENTE",(TODAY()-AVANCE[[#This Row],[FECHA TERMINO  PLANIFICADO]]),0)</f>
        <v>0</v>
      </c>
      <c r="CT534" s="41" t="str" cm="1">
        <f t="array" ref="CT534">_xlfn.TEXTJOIN(" | ",TRUE,IF(SUMPRODUCT((BG534:CR534&lt;1)*(PARTIDAS!$I$2:$AT$2="OBRA GRUESA"))&gt;0,"OBRA GRUESA: "&amp;_xlfn.TEXTJOIN(", ",TRUE,IF((BG534:CR534&lt;1)*(PARTIDAS!$I$2:$AT$2="OBRA GRUESA"),PARTIDAS!$I$1:$AT$1,"")),""),IF(SUMPRODUCT((BG534:CR534&lt;1)*(PARTIDAS!$I$2:$AT$2="SANITARIOS"))&gt;0,"SANITARIOS: "&amp;_xlfn.TEXTJOIN(", ",TRUE,IF((BG534:CR534&lt;1)*(PARTIDAS!$I$2:$AT$2="SANITARIOS"),PARTIDAS!$I$1:$AT$1,"")),""),IF(SUMPRODUCT((BG534:CR534&lt;1)*(PARTIDAS!$I$2:$AT$2="ELÉCTRICO"))&gt;0,"ELÉCTRICO: "&amp;_xlfn.TEXTJOIN(", ",TRUE,IF((BG534:CR534&lt;1)*(PARTIDAS!$I$2:$AT$2="ELÉCTRICO"),PARTIDAS!$I$1:$AT$1,"")),""),IF(SUMPRODUCT((BG534:CR534&lt;1)*(PARTIDAS!$I$2:$AT$2="TERMINACIONES"))&gt;0,"TERMINACIONES: "&amp;_xlfn.TEXTJOIN(", ",TRUE,IF((BG534:CR534&lt;1)*(PARTIDAS!$I$2:$AT$2="TERMINACIONES"),PARTIDAS!$I$1:$AT$1,"")),""))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4" s="43" t="str" cm="1">
        <f t="array" ref="CU534">_xlfn.TEXTJOIN(", ",TRUE,IF(SUMPRODUCT((BG534:CR534&lt;1)*(PARTIDAS!$I$2:$AT$2="OBRA GRUESA"))&gt;0,"OBRA GRUESA",""),IF(SUMPRODUCT((BG534:CR534&lt;1)*(PARTIDAS!$I$2:$AT$2="SANITARIOS"))&gt;0,"SANITARIOS",""),IF(SUMPRODUCT((BG534:CR534&lt;1)*(PARTIDAS!$I$2:$AT$2="ELÉCTRICO"))&gt;0,"ELÉCTRICO",""),IF(SUMPRODUCT((BG534:CR534&lt;1)*(PARTIDAS!$I$2:$AT$2="TERMINACIONES"))&gt;0,"TERMINACIONES",""))</f>
        <v>OBRA GRUESA, SANITARIOS, ELÉCTRICO, TERMINACIONES</v>
      </c>
      <c r="CV534" s="44" cm="1">
        <f t="array" ref="CV534">SUMPRODUCT(--(BG534:CR534&lt;1))</f>
        <v>38</v>
      </c>
    </row>
    <row r="535" spans="1:100" hidden="1" x14ac:dyDescent="0.25">
      <c r="A535" t="s">
        <v>586</v>
      </c>
      <c r="B535" t="s">
        <v>608</v>
      </c>
      <c r="C535">
        <v>2302600534</v>
      </c>
      <c r="D535" t="s">
        <v>60</v>
      </c>
      <c r="E535" s="2">
        <v>0</v>
      </c>
      <c r="F535" s="1">
        <v>46408</v>
      </c>
      <c r="G535" s="1"/>
      <c r="H535" s="1">
        <v>0</v>
      </c>
      <c r="I535" s="1">
        <v>46438</v>
      </c>
      <c r="J535">
        <v>46230</v>
      </c>
      <c r="K535" s="1"/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>
        <v>31.32</v>
      </c>
      <c r="BF535" s="3" t="str">
        <f>+IF(AVANCE[[#This Row],[% AVANCE]]=100%,"MODULO TERMINADO",IF(AVANCE[[#This Row],[FECHA INICIO REAL]]="","MODULO NO INICIADO","PENDIENTE"))</f>
        <v>MODULO NO INICIADO</v>
      </c>
      <c r="BG535" s="3">
        <f>+IF(AVANCE[[#This Row],[VENTANAS]]=8.10810810810811%,100%,AVANCE[[#This Row],[VENTANAS]])</f>
        <v>0</v>
      </c>
      <c r="BH535" s="3">
        <f>+IF(AVANCE[[#This Row],[PISO]]=N$2,100%,AVANCE[[#This Row],[PISO]])</f>
        <v>0</v>
      </c>
      <c r="BI535" s="3">
        <f>+IF(AVANCE[[#This Row],[TABIQUES]]=O$2,100%,AVANCE[[#This Row],[TABIQUES]])</f>
        <v>0</v>
      </c>
      <c r="BJ535" s="3">
        <f>+IF(AVANCE[[#This Row],[MUROS]]=P$2,100%,AVANCE[[#This Row],[MUROS]])</f>
        <v>0</v>
      </c>
      <c r="BK535" s="3">
        <f>+IF(AVANCE[[#This Row],[CIELO]]=Q$2,100%,AVANCE[[#This Row],[CIELO]])</f>
        <v>0</v>
      </c>
      <c r="BL535" s="3">
        <f>+IF(AVANCE[[#This Row],[BALCÓN]]=R$2,100%,AVANCE[[#This Row],[BALCÓN]])</f>
        <v>0</v>
      </c>
      <c r="BM535" s="3">
        <f>+IF(AVANCE[[#This Row],[RED ALCANTARILLADO]]=U$2,100%,AVANCE[[#This Row],[RED ALCANTARILLADO]])</f>
        <v>0</v>
      </c>
      <c r="BN535" s="3">
        <f>+IF(AVANCE[[#This Row],[RED DE AGUA]]=V$2,100%,AVANCE[[#This Row],[RED DE AGUA]])</f>
        <v>0</v>
      </c>
      <c r="BO535" s="3">
        <f>+IF(AVANCE[[#This Row],[VENTILACIONES]]=W$2,100%,AVANCE[[#This Row],[VENTILACIONES]])</f>
        <v>0</v>
      </c>
      <c r="BP535" s="3">
        <f>+IF(AVANCE[[#This Row],[TINA]]=X$2,100%,AVANCE[[#This Row],[TINA]])</f>
        <v>0</v>
      </c>
      <c r="BQ535" s="3">
        <f>+IF(AVANCE[[#This Row],[WC]]=Y$2,100%,AVANCE[[#This Row],[WC]])</f>
        <v>0</v>
      </c>
      <c r="BR535" s="3">
        <f>+IF(AVANCE[[#This Row],[LAVAMANOS / LAVAPLATOS / LAVADERO]]=Z$2,100%,AVANCE[[#This Row],[LAVAMANOS / LAVAPLATOS / LAVADERO]])</f>
        <v>0</v>
      </c>
      <c r="BS535" s="3">
        <f>+IF(AVANCE[[#This Row],[CANALIZACIÓN]]=AC$2,100%,AVANCE[[#This Row],[CANALIZACIÓN]])</f>
        <v>0</v>
      </c>
      <c r="BT535" s="3">
        <f>+IF(AVANCE[[#This Row],[CABLEADO]]=AD$2,100%,AVANCE[[#This Row],[CABLEADO]])</f>
        <v>0</v>
      </c>
      <c r="BU535" s="3">
        <f>+IF(AVANCE[[#This Row],[ARTEFACTOS]]=AE$2,100%,AVANCE[[#This Row],[ARTEFACTOS]])</f>
        <v>0</v>
      </c>
      <c r="BV535" s="3">
        <f>+IF(AVANCE[[#This Row],[TABLERO]]=AF$2,100%,AVANCE[[#This Row],[TABLERO]])</f>
        <v>0</v>
      </c>
      <c r="BW535" s="3">
        <f>+IF(AVANCE[[#This Row],[CAJA PAU]]=AG$2,100%,AVANCE[[#This Row],[CAJA PAU]])</f>
        <v>0</v>
      </c>
      <c r="BX535" s="3">
        <f>+IF(AVANCE[[#This Row],[INSTALACION VINILICO]]=AJ$2,100%,AVANCE[[#This Row],[INSTALACION VINILICO]])</f>
        <v>0</v>
      </c>
      <c r="BY535" s="3">
        <f>+IF(AVANCE[[#This Row],[OSB CUBIERTA]]=AK$2,100%,AVANCE[[#This Row],[OSB CUBIERTA]])</f>
        <v>0</v>
      </c>
      <c r="BZ535" s="3">
        <f>+IF(AVANCE[[#This Row],[BARANDA BALCON]]=AL$2,100%,AVANCE[[#This Row],[BARANDA BALCON]])</f>
        <v>0</v>
      </c>
      <c r="CA535" s="3">
        <f>+IF(AVANCE[[#This Row],[OSB EXTERIOR]]=AM$2,100%,AVANCE[[#This Row],[OSB EXTERIOR]])</f>
        <v>0</v>
      </c>
      <c r="CB535" s="3">
        <f>+IF(AVANCE[[#This Row],[SMART PANEL]]=AN$2,100%,AVANCE[[#This Row],[SMART PANEL]])</f>
        <v>0</v>
      </c>
      <c r="CC535" s="3">
        <f>+IF(AVANCE[[#This Row],[PINTURA EXTERIOR]]=AO$2,100%,AVANCE[[#This Row],[PINTURA EXTERIOR]])</f>
        <v>0</v>
      </c>
      <c r="CD535" s="3">
        <f>+IF(AVANCE[[#This Row],[ZOCALOS LOGIA]]=AP$2,100%,AVANCE[[#This Row],[ZOCALOS LOGIA]])</f>
        <v>0</v>
      </c>
      <c r="CE535" s="3">
        <f>+IF(AVANCE[[#This Row],[MOLDURAS]]=AQ$2,100%,AVANCE[[#This Row],[MOLDURAS]])</f>
        <v>0</v>
      </c>
      <c r="CF535" s="3">
        <f>+IF(AVANCE[[#This Row],[PILASTREO]]=AR$2,100%,AVANCE[[#This Row],[PILASTREO]])</f>
        <v>0</v>
      </c>
      <c r="CG535" s="3">
        <f>+IF(AVANCE[[#This Row],[CELOSIAS]]=AS$2,100%,AVANCE[[#This Row],[CELOSIAS]])</f>
        <v>0</v>
      </c>
      <c r="CH535" s="3">
        <f>+IF(AVANCE[[#This Row],[VENTANAS]]=AT$2,100%,AVANCE[[#This Row],[VENTANAS]])</f>
        <v>0</v>
      </c>
      <c r="CI535" s="3">
        <f>+IF(AVANCE[[#This Row],[PUERTAS ACCESO - LOGIA - BANO]]=AU$2,100%,AVANCE[[#This Row],[PUERTAS ACCESO - LOGIA - BANO]])</f>
        <v>0</v>
      </c>
      <c r="CJ535" s="3">
        <f>+IF(AVANCE[[#This Row],[CERRADURAS]]=AV$2,100%,AVANCE[[#This Row],[CERRADURAS]])</f>
        <v>0</v>
      </c>
      <c r="CK535" s="3">
        <f>+IF(AVANCE[[#This Row],[REVESTIMIENTO INTERIOR ZONA SECA]]=AW$2,100%,AVANCE[[#This Row],[REVESTIMIENTO INTERIOR ZONA SECA]])</f>
        <v>0</v>
      </c>
      <c r="CL535" s="3">
        <f>+IF(AVANCE[[#This Row],[REVESTIMIENTO INTERIOR ZONAS HUMEDAS]]=AX$2,100%,AVANCE[[#This Row],[REVESTIMIENTO INTERIOR ZONAS HUMEDAS]])</f>
        <v>0</v>
      </c>
      <c r="CM535" s="3">
        <f>+IF(AVANCE[[#This Row],[MEMBRANA CIELO]]=AY$2,100%,AVANCE[[#This Row],[MEMBRANA CIELO]])</f>
        <v>0</v>
      </c>
      <c r="CN535" s="3">
        <f>+IF(AVANCE[[#This Row],[LIMPIEZA FINAL]]=AZ$2,100%,AVANCE[[#This Row],[LIMPIEZA FINAL]])</f>
        <v>0</v>
      </c>
      <c r="CO535" s="3">
        <f>+IF(AVANCE[[#This Row],[PUERTAS DORMITORIO]]=BA$2,100%,AVANCE[[#This Row],[PUERTAS DORMITORIO]])</f>
        <v>0</v>
      </c>
      <c r="CP535" s="3">
        <f>+IF(AVANCE[[#This Row],[REVESTIMIENTO INTERIOR BANO]]=BB$2,100%,AVANCE[[#This Row],[REVESTIMIENTO INTERIOR BANO]])</f>
        <v>0</v>
      </c>
      <c r="CQ535" s="3">
        <f>+IF(AVANCE[[#This Row],[MUEBLE LAVAPLATOS]]=BC$2,100%,AVANCE[[#This Row],[MUEBLE LAVAPLATOS]])</f>
        <v>0</v>
      </c>
      <c r="CR535" s="3">
        <f>+IF(AVANCE[[#This Row],[IMPERMEABILIZACION BANO - COCINA LOGIA]]=BD$2,100%,AVANCE[[#This Row],[IMPERMEABILIZACION BANO - COCINA LOGIA]])</f>
        <v>0</v>
      </c>
      <c r="CS535" s="40">
        <f ca="1">+IF(AVANCE[[#This Row],[ESTADO MODULO]]="PENDIENTE",(TODAY()-AVANCE[[#This Row],[FECHA TERMINO  PLANIFICADO]]),0)</f>
        <v>0</v>
      </c>
      <c r="CT535" s="41" t="str" cm="1">
        <f t="array" ref="CT535">_xlfn.TEXTJOIN(" | ",TRUE,IF(SUMPRODUCT((BG535:CR535&lt;1)*(PARTIDAS!$I$2:$AT$2="OBRA GRUESA"))&gt;0,"OBRA GRUESA: "&amp;_xlfn.TEXTJOIN(", ",TRUE,IF((BG535:CR535&lt;1)*(PARTIDAS!$I$2:$AT$2="OBRA GRUESA"),PARTIDAS!$I$1:$AT$1,"")),""),IF(SUMPRODUCT((BG535:CR535&lt;1)*(PARTIDAS!$I$2:$AT$2="SANITARIOS"))&gt;0,"SANITARIOS: "&amp;_xlfn.TEXTJOIN(", ",TRUE,IF((BG535:CR535&lt;1)*(PARTIDAS!$I$2:$AT$2="SANITARIOS"),PARTIDAS!$I$1:$AT$1,"")),""),IF(SUMPRODUCT((BG535:CR535&lt;1)*(PARTIDAS!$I$2:$AT$2="ELÉCTRICO"))&gt;0,"ELÉCTRICO: "&amp;_xlfn.TEXTJOIN(", ",TRUE,IF((BG535:CR535&lt;1)*(PARTIDAS!$I$2:$AT$2="ELÉCTRICO"),PARTIDAS!$I$1:$AT$1,"")),""),IF(SUMPRODUCT((BG535:CR535&lt;1)*(PARTIDAS!$I$2:$AT$2="TERMINACIONES"))&gt;0,"TERMINACIONES: "&amp;_xlfn.TEXTJOIN(", ",TRUE,IF((BG535:CR535&lt;1)*(PARTIDAS!$I$2:$AT$2="TERMINACIONES"),PARTIDAS!$I$1:$AT$1,"")),""))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5" s="43" t="str" cm="1">
        <f t="array" ref="CU535">_xlfn.TEXTJOIN(", ",TRUE,IF(SUMPRODUCT((BG535:CR535&lt;1)*(PARTIDAS!$I$2:$AT$2="OBRA GRUESA"))&gt;0,"OBRA GRUESA",""),IF(SUMPRODUCT((BG535:CR535&lt;1)*(PARTIDAS!$I$2:$AT$2="SANITARIOS"))&gt;0,"SANITARIOS",""),IF(SUMPRODUCT((BG535:CR535&lt;1)*(PARTIDAS!$I$2:$AT$2="ELÉCTRICO"))&gt;0,"ELÉCTRICO",""),IF(SUMPRODUCT((BG535:CR535&lt;1)*(PARTIDAS!$I$2:$AT$2="TERMINACIONES"))&gt;0,"TERMINACIONES",""))</f>
        <v>OBRA GRUESA, SANITARIOS, ELÉCTRICO, TERMINACIONES</v>
      </c>
      <c r="CV535" s="44" cm="1">
        <f t="array" ref="CV535">SUMPRODUCT(--(BG535:CR535&lt;1))</f>
        <v>38</v>
      </c>
    </row>
    <row r="536" spans="1:100" hidden="1" x14ac:dyDescent="0.25">
      <c r="A536" t="s">
        <v>586</v>
      </c>
      <c r="B536" t="s">
        <v>609</v>
      </c>
      <c r="C536">
        <v>2302600535</v>
      </c>
      <c r="D536" t="s">
        <v>60</v>
      </c>
      <c r="E536" s="2">
        <v>0</v>
      </c>
      <c r="F536" s="1">
        <v>46408</v>
      </c>
      <c r="G536" s="1"/>
      <c r="H536" s="1">
        <v>0</v>
      </c>
      <c r="I536" s="1">
        <v>46438</v>
      </c>
      <c r="J536">
        <v>46230</v>
      </c>
      <c r="K536" s="1"/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>
        <v>31.32</v>
      </c>
      <c r="BF536" s="3" t="str">
        <f>+IF(AVANCE[[#This Row],[% AVANCE]]=100%,"MODULO TERMINADO",IF(AVANCE[[#This Row],[FECHA INICIO REAL]]="","MODULO NO INICIADO","PENDIENTE"))</f>
        <v>MODULO NO INICIADO</v>
      </c>
      <c r="BG536" s="3">
        <f>+IF(AVANCE[[#This Row],[VENTANAS]]=8.10810810810811%,100%,AVANCE[[#This Row],[VENTANAS]])</f>
        <v>0</v>
      </c>
      <c r="BH536" s="3">
        <f>+IF(AVANCE[[#This Row],[PISO]]=N$2,100%,AVANCE[[#This Row],[PISO]])</f>
        <v>0</v>
      </c>
      <c r="BI536" s="3">
        <f>+IF(AVANCE[[#This Row],[TABIQUES]]=O$2,100%,AVANCE[[#This Row],[TABIQUES]])</f>
        <v>0</v>
      </c>
      <c r="BJ536" s="3">
        <f>+IF(AVANCE[[#This Row],[MUROS]]=P$2,100%,AVANCE[[#This Row],[MUROS]])</f>
        <v>0</v>
      </c>
      <c r="BK536" s="3">
        <f>+IF(AVANCE[[#This Row],[CIELO]]=Q$2,100%,AVANCE[[#This Row],[CIELO]])</f>
        <v>0</v>
      </c>
      <c r="BL536" s="3">
        <f>+IF(AVANCE[[#This Row],[BALCÓN]]=R$2,100%,AVANCE[[#This Row],[BALCÓN]])</f>
        <v>0</v>
      </c>
      <c r="BM536" s="3">
        <f>+IF(AVANCE[[#This Row],[RED ALCANTARILLADO]]=U$2,100%,AVANCE[[#This Row],[RED ALCANTARILLADO]])</f>
        <v>0</v>
      </c>
      <c r="BN536" s="3">
        <f>+IF(AVANCE[[#This Row],[RED DE AGUA]]=V$2,100%,AVANCE[[#This Row],[RED DE AGUA]])</f>
        <v>0</v>
      </c>
      <c r="BO536" s="3">
        <f>+IF(AVANCE[[#This Row],[VENTILACIONES]]=W$2,100%,AVANCE[[#This Row],[VENTILACIONES]])</f>
        <v>0</v>
      </c>
      <c r="BP536" s="3">
        <f>+IF(AVANCE[[#This Row],[TINA]]=X$2,100%,AVANCE[[#This Row],[TINA]])</f>
        <v>0</v>
      </c>
      <c r="BQ536" s="3">
        <f>+IF(AVANCE[[#This Row],[WC]]=Y$2,100%,AVANCE[[#This Row],[WC]])</f>
        <v>0</v>
      </c>
      <c r="BR536" s="3">
        <f>+IF(AVANCE[[#This Row],[LAVAMANOS / LAVAPLATOS / LAVADERO]]=Z$2,100%,AVANCE[[#This Row],[LAVAMANOS / LAVAPLATOS / LAVADERO]])</f>
        <v>0</v>
      </c>
      <c r="BS536" s="3">
        <f>+IF(AVANCE[[#This Row],[CANALIZACIÓN]]=AC$2,100%,AVANCE[[#This Row],[CANALIZACIÓN]])</f>
        <v>0</v>
      </c>
      <c r="BT536" s="3">
        <f>+IF(AVANCE[[#This Row],[CABLEADO]]=AD$2,100%,AVANCE[[#This Row],[CABLEADO]])</f>
        <v>0</v>
      </c>
      <c r="BU536" s="3">
        <f>+IF(AVANCE[[#This Row],[ARTEFACTOS]]=AE$2,100%,AVANCE[[#This Row],[ARTEFACTOS]])</f>
        <v>0</v>
      </c>
      <c r="BV536" s="3">
        <f>+IF(AVANCE[[#This Row],[TABLERO]]=AF$2,100%,AVANCE[[#This Row],[TABLERO]])</f>
        <v>0</v>
      </c>
      <c r="BW536" s="3">
        <f>+IF(AVANCE[[#This Row],[CAJA PAU]]=AG$2,100%,AVANCE[[#This Row],[CAJA PAU]])</f>
        <v>0</v>
      </c>
      <c r="BX536" s="3">
        <f>+IF(AVANCE[[#This Row],[INSTALACION VINILICO]]=AJ$2,100%,AVANCE[[#This Row],[INSTALACION VINILICO]])</f>
        <v>0</v>
      </c>
      <c r="BY536" s="3">
        <f>+IF(AVANCE[[#This Row],[OSB CUBIERTA]]=AK$2,100%,AVANCE[[#This Row],[OSB CUBIERTA]])</f>
        <v>0</v>
      </c>
      <c r="BZ536" s="3">
        <f>+IF(AVANCE[[#This Row],[BARANDA BALCON]]=AL$2,100%,AVANCE[[#This Row],[BARANDA BALCON]])</f>
        <v>0</v>
      </c>
      <c r="CA536" s="3">
        <f>+IF(AVANCE[[#This Row],[OSB EXTERIOR]]=AM$2,100%,AVANCE[[#This Row],[OSB EXTERIOR]])</f>
        <v>0</v>
      </c>
      <c r="CB536" s="3">
        <f>+IF(AVANCE[[#This Row],[SMART PANEL]]=AN$2,100%,AVANCE[[#This Row],[SMART PANEL]])</f>
        <v>0</v>
      </c>
      <c r="CC536" s="3">
        <f>+IF(AVANCE[[#This Row],[PINTURA EXTERIOR]]=AO$2,100%,AVANCE[[#This Row],[PINTURA EXTERIOR]])</f>
        <v>0</v>
      </c>
      <c r="CD536" s="3">
        <f>+IF(AVANCE[[#This Row],[ZOCALOS LOGIA]]=AP$2,100%,AVANCE[[#This Row],[ZOCALOS LOGIA]])</f>
        <v>0</v>
      </c>
      <c r="CE536" s="3">
        <f>+IF(AVANCE[[#This Row],[MOLDURAS]]=AQ$2,100%,AVANCE[[#This Row],[MOLDURAS]])</f>
        <v>0</v>
      </c>
      <c r="CF536" s="3">
        <f>+IF(AVANCE[[#This Row],[PILASTREO]]=AR$2,100%,AVANCE[[#This Row],[PILASTREO]])</f>
        <v>0</v>
      </c>
      <c r="CG536" s="3">
        <f>+IF(AVANCE[[#This Row],[CELOSIAS]]=AS$2,100%,AVANCE[[#This Row],[CELOSIAS]])</f>
        <v>0</v>
      </c>
      <c r="CH536" s="3">
        <f>+IF(AVANCE[[#This Row],[VENTANAS]]=AT$2,100%,AVANCE[[#This Row],[VENTANAS]])</f>
        <v>0</v>
      </c>
      <c r="CI536" s="3">
        <f>+IF(AVANCE[[#This Row],[PUERTAS ACCESO - LOGIA - BANO]]=AU$2,100%,AVANCE[[#This Row],[PUERTAS ACCESO - LOGIA - BANO]])</f>
        <v>0</v>
      </c>
      <c r="CJ536" s="3">
        <f>+IF(AVANCE[[#This Row],[CERRADURAS]]=AV$2,100%,AVANCE[[#This Row],[CERRADURAS]])</f>
        <v>0</v>
      </c>
      <c r="CK536" s="3">
        <f>+IF(AVANCE[[#This Row],[REVESTIMIENTO INTERIOR ZONA SECA]]=AW$2,100%,AVANCE[[#This Row],[REVESTIMIENTO INTERIOR ZONA SECA]])</f>
        <v>0</v>
      </c>
      <c r="CL536" s="3">
        <f>+IF(AVANCE[[#This Row],[REVESTIMIENTO INTERIOR ZONAS HUMEDAS]]=AX$2,100%,AVANCE[[#This Row],[REVESTIMIENTO INTERIOR ZONAS HUMEDAS]])</f>
        <v>0</v>
      </c>
      <c r="CM536" s="3">
        <f>+IF(AVANCE[[#This Row],[MEMBRANA CIELO]]=AY$2,100%,AVANCE[[#This Row],[MEMBRANA CIELO]])</f>
        <v>0</v>
      </c>
      <c r="CN536" s="3">
        <f>+IF(AVANCE[[#This Row],[LIMPIEZA FINAL]]=AZ$2,100%,AVANCE[[#This Row],[LIMPIEZA FINAL]])</f>
        <v>0</v>
      </c>
      <c r="CO536" s="3">
        <f>+IF(AVANCE[[#This Row],[PUERTAS DORMITORIO]]=BA$2,100%,AVANCE[[#This Row],[PUERTAS DORMITORIO]])</f>
        <v>0</v>
      </c>
      <c r="CP536" s="3">
        <f>+IF(AVANCE[[#This Row],[REVESTIMIENTO INTERIOR BANO]]=BB$2,100%,AVANCE[[#This Row],[REVESTIMIENTO INTERIOR BANO]])</f>
        <v>0</v>
      </c>
      <c r="CQ536" s="3">
        <f>+IF(AVANCE[[#This Row],[MUEBLE LAVAPLATOS]]=BC$2,100%,AVANCE[[#This Row],[MUEBLE LAVAPLATOS]])</f>
        <v>0</v>
      </c>
      <c r="CR536" s="3">
        <f>+IF(AVANCE[[#This Row],[IMPERMEABILIZACION BANO - COCINA LOGIA]]=BD$2,100%,AVANCE[[#This Row],[IMPERMEABILIZACION BANO - COCINA LOGIA]])</f>
        <v>0</v>
      </c>
      <c r="CS536" s="40">
        <f ca="1">+IF(AVANCE[[#This Row],[ESTADO MODULO]]="PENDIENTE",(TODAY()-AVANCE[[#This Row],[FECHA TERMINO  PLANIFICADO]]),0)</f>
        <v>0</v>
      </c>
      <c r="CT536" s="41" t="str" cm="1">
        <f t="array" ref="CT536">_xlfn.TEXTJOIN(" | ",TRUE,IF(SUMPRODUCT((BG536:CR536&lt;1)*(PARTIDAS!$I$2:$AT$2="OBRA GRUESA"))&gt;0,"OBRA GRUESA: "&amp;_xlfn.TEXTJOIN(", ",TRUE,IF((BG536:CR536&lt;1)*(PARTIDAS!$I$2:$AT$2="OBRA GRUESA"),PARTIDAS!$I$1:$AT$1,"")),""),IF(SUMPRODUCT((BG536:CR536&lt;1)*(PARTIDAS!$I$2:$AT$2="SANITARIOS"))&gt;0,"SANITARIOS: "&amp;_xlfn.TEXTJOIN(", ",TRUE,IF((BG536:CR536&lt;1)*(PARTIDAS!$I$2:$AT$2="SANITARIOS"),PARTIDAS!$I$1:$AT$1,"")),""),IF(SUMPRODUCT((BG536:CR536&lt;1)*(PARTIDAS!$I$2:$AT$2="ELÉCTRICO"))&gt;0,"ELÉCTRICO: "&amp;_xlfn.TEXTJOIN(", ",TRUE,IF((BG536:CR536&lt;1)*(PARTIDAS!$I$2:$AT$2="ELÉCTRICO"),PARTIDAS!$I$1:$AT$1,"")),""),IF(SUMPRODUCT((BG536:CR536&lt;1)*(PARTIDAS!$I$2:$AT$2="TERMINACIONES"))&gt;0,"TERMINACIONES: "&amp;_xlfn.TEXTJOIN(", ",TRUE,IF((BG536:CR536&lt;1)*(PARTIDAS!$I$2:$AT$2="TERMINACIONES"),PARTIDAS!$I$1:$AT$1,"")),""))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6" s="43" t="str" cm="1">
        <f t="array" ref="CU536">_xlfn.TEXTJOIN(", ",TRUE,IF(SUMPRODUCT((BG536:CR536&lt;1)*(PARTIDAS!$I$2:$AT$2="OBRA GRUESA"))&gt;0,"OBRA GRUESA",""),IF(SUMPRODUCT((BG536:CR536&lt;1)*(PARTIDAS!$I$2:$AT$2="SANITARIOS"))&gt;0,"SANITARIOS",""),IF(SUMPRODUCT((BG536:CR536&lt;1)*(PARTIDAS!$I$2:$AT$2="ELÉCTRICO"))&gt;0,"ELÉCTRICO",""),IF(SUMPRODUCT((BG536:CR536&lt;1)*(PARTIDAS!$I$2:$AT$2="TERMINACIONES"))&gt;0,"TERMINACIONES",""))</f>
        <v>OBRA GRUESA, SANITARIOS, ELÉCTRICO, TERMINACIONES</v>
      </c>
      <c r="CV536" s="44" cm="1">
        <f t="array" ref="CV536">SUMPRODUCT(--(BG536:CR536&lt;1))</f>
        <v>38</v>
      </c>
    </row>
    <row r="537" spans="1:100" hidden="1" x14ac:dyDescent="0.25">
      <c r="A537" t="s">
        <v>586</v>
      </c>
      <c r="B537" t="s">
        <v>610</v>
      </c>
      <c r="C537">
        <v>2282600536</v>
      </c>
      <c r="D537" t="s">
        <v>58</v>
      </c>
      <c r="E537" s="2">
        <v>0</v>
      </c>
      <c r="F537" s="1">
        <v>46409</v>
      </c>
      <c r="G537" s="1"/>
      <c r="H537" s="1">
        <v>0</v>
      </c>
      <c r="I537" s="1">
        <v>46429</v>
      </c>
      <c r="J537">
        <v>46230</v>
      </c>
      <c r="K537" s="1"/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>
        <v>28.87</v>
      </c>
      <c r="BF537" s="3" t="str">
        <f>+IF(AVANCE[[#This Row],[% AVANCE]]=100%,"MODULO TERMINADO",IF(AVANCE[[#This Row],[FECHA INICIO REAL]]="","MODULO NO INICIADO","PENDIENTE"))</f>
        <v>MODULO NO INICIADO</v>
      </c>
      <c r="BG537" s="3">
        <f>+IF(AVANCE[[#This Row],[VENTANAS]]=8.10810810810811%,100%,AVANCE[[#This Row],[VENTANAS]])</f>
        <v>0</v>
      </c>
      <c r="BH537" s="3">
        <f>+IF(AVANCE[[#This Row],[PISO]]=N$2,100%,AVANCE[[#This Row],[PISO]])</f>
        <v>0</v>
      </c>
      <c r="BI537" s="3">
        <f>+IF(AVANCE[[#This Row],[TABIQUES]]=O$2,100%,AVANCE[[#This Row],[TABIQUES]])</f>
        <v>0</v>
      </c>
      <c r="BJ537" s="3">
        <f>+IF(AVANCE[[#This Row],[MUROS]]=P$2,100%,AVANCE[[#This Row],[MUROS]])</f>
        <v>0</v>
      </c>
      <c r="BK537" s="3">
        <f>+IF(AVANCE[[#This Row],[CIELO]]=Q$2,100%,AVANCE[[#This Row],[CIELO]])</f>
        <v>0</v>
      </c>
      <c r="BL537" s="3">
        <f>+IF(AVANCE[[#This Row],[BALCÓN]]=R$2,100%,AVANCE[[#This Row],[BALCÓN]])</f>
        <v>0</v>
      </c>
      <c r="BM537" s="3">
        <f>+IF(AVANCE[[#This Row],[RED ALCANTARILLADO]]=U$2,100%,AVANCE[[#This Row],[RED ALCANTARILLADO]])</f>
        <v>0</v>
      </c>
      <c r="BN537" s="3">
        <f>+IF(AVANCE[[#This Row],[RED DE AGUA]]=V$2,100%,AVANCE[[#This Row],[RED DE AGUA]])</f>
        <v>0</v>
      </c>
      <c r="BO537" s="3">
        <f>+IF(AVANCE[[#This Row],[VENTILACIONES]]=W$2,100%,AVANCE[[#This Row],[VENTILACIONES]])</f>
        <v>0</v>
      </c>
      <c r="BP537" s="3">
        <f>+IF(AVANCE[[#This Row],[TINA]]=X$2,100%,AVANCE[[#This Row],[TINA]])</f>
        <v>0</v>
      </c>
      <c r="BQ537" s="3">
        <f>+IF(AVANCE[[#This Row],[WC]]=Y$2,100%,AVANCE[[#This Row],[WC]])</f>
        <v>0</v>
      </c>
      <c r="BR537" s="3">
        <f>+IF(AVANCE[[#This Row],[LAVAMANOS / LAVAPLATOS / LAVADERO]]=Z$2,100%,AVANCE[[#This Row],[LAVAMANOS / LAVAPLATOS / LAVADERO]])</f>
        <v>0</v>
      </c>
      <c r="BS537" s="3">
        <f>+IF(AVANCE[[#This Row],[CANALIZACIÓN]]=AC$2,100%,AVANCE[[#This Row],[CANALIZACIÓN]])</f>
        <v>0</v>
      </c>
      <c r="BT537" s="3">
        <f>+IF(AVANCE[[#This Row],[CABLEADO]]=AD$2,100%,AVANCE[[#This Row],[CABLEADO]])</f>
        <v>0</v>
      </c>
      <c r="BU537" s="3">
        <f>+IF(AVANCE[[#This Row],[ARTEFACTOS]]=AE$2,100%,AVANCE[[#This Row],[ARTEFACTOS]])</f>
        <v>0</v>
      </c>
      <c r="BV537" s="3">
        <f>+IF(AVANCE[[#This Row],[TABLERO]]=AF$2,100%,AVANCE[[#This Row],[TABLERO]])</f>
        <v>0</v>
      </c>
      <c r="BW537" s="3">
        <f>+IF(AVANCE[[#This Row],[CAJA PAU]]=AG$2,100%,AVANCE[[#This Row],[CAJA PAU]])</f>
        <v>0</v>
      </c>
      <c r="BX537" s="3">
        <f>+IF(AVANCE[[#This Row],[INSTALACION VINILICO]]=AJ$2,100%,AVANCE[[#This Row],[INSTALACION VINILICO]])</f>
        <v>0</v>
      </c>
      <c r="BY537" s="3">
        <f>+IF(AVANCE[[#This Row],[OSB CUBIERTA]]=AK$2,100%,AVANCE[[#This Row],[OSB CUBIERTA]])</f>
        <v>0</v>
      </c>
      <c r="BZ537" s="3">
        <f>+IF(AVANCE[[#This Row],[BARANDA BALCON]]=AL$2,100%,AVANCE[[#This Row],[BARANDA BALCON]])</f>
        <v>0</v>
      </c>
      <c r="CA537" s="3">
        <f>+IF(AVANCE[[#This Row],[OSB EXTERIOR]]=AM$2,100%,AVANCE[[#This Row],[OSB EXTERIOR]])</f>
        <v>0</v>
      </c>
      <c r="CB537" s="3">
        <f>+IF(AVANCE[[#This Row],[SMART PANEL]]=AN$2,100%,AVANCE[[#This Row],[SMART PANEL]])</f>
        <v>0</v>
      </c>
      <c r="CC537" s="3">
        <f>+IF(AVANCE[[#This Row],[PINTURA EXTERIOR]]=AO$2,100%,AVANCE[[#This Row],[PINTURA EXTERIOR]])</f>
        <v>0</v>
      </c>
      <c r="CD537" s="3">
        <f>+IF(AVANCE[[#This Row],[ZOCALOS LOGIA]]=AP$2,100%,AVANCE[[#This Row],[ZOCALOS LOGIA]])</f>
        <v>0</v>
      </c>
      <c r="CE537" s="3">
        <f>+IF(AVANCE[[#This Row],[MOLDURAS]]=AQ$2,100%,AVANCE[[#This Row],[MOLDURAS]])</f>
        <v>0</v>
      </c>
      <c r="CF537" s="3">
        <f>+IF(AVANCE[[#This Row],[PILASTREO]]=AR$2,100%,AVANCE[[#This Row],[PILASTREO]])</f>
        <v>0</v>
      </c>
      <c r="CG537" s="3">
        <f>+IF(AVANCE[[#This Row],[CELOSIAS]]=AS$2,100%,AVANCE[[#This Row],[CELOSIAS]])</f>
        <v>0</v>
      </c>
      <c r="CH537" s="3">
        <f>+IF(AVANCE[[#This Row],[VENTANAS]]=AT$2,100%,AVANCE[[#This Row],[VENTANAS]])</f>
        <v>0</v>
      </c>
      <c r="CI537" s="3">
        <f>+IF(AVANCE[[#This Row],[PUERTAS ACCESO - LOGIA - BANO]]=AU$2,100%,AVANCE[[#This Row],[PUERTAS ACCESO - LOGIA - BANO]])</f>
        <v>0</v>
      </c>
      <c r="CJ537" s="3">
        <f>+IF(AVANCE[[#This Row],[CERRADURAS]]=AV$2,100%,AVANCE[[#This Row],[CERRADURAS]])</f>
        <v>0</v>
      </c>
      <c r="CK537" s="3">
        <f>+IF(AVANCE[[#This Row],[REVESTIMIENTO INTERIOR ZONA SECA]]=AW$2,100%,AVANCE[[#This Row],[REVESTIMIENTO INTERIOR ZONA SECA]])</f>
        <v>0</v>
      </c>
      <c r="CL537" s="3">
        <f>+IF(AVANCE[[#This Row],[REVESTIMIENTO INTERIOR ZONAS HUMEDAS]]=AX$2,100%,AVANCE[[#This Row],[REVESTIMIENTO INTERIOR ZONAS HUMEDAS]])</f>
        <v>0</v>
      </c>
      <c r="CM537" s="3">
        <f>+IF(AVANCE[[#This Row],[MEMBRANA CIELO]]=AY$2,100%,AVANCE[[#This Row],[MEMBRANA CIELO]])</f>
        <v>0</v>
      </c>
      <c r="CN537" s="3">
        <f>+IF(AVANCE[[#This Row],[LIMPIEZA FINAL]]=AZ$2,100%,AVANCE[[#This Row],[LIMPIEZA FINAL]])</f>
        <v>0</v>
      </c>
      <c r="CO537" s="3">
        <f>+IF(AVANCE[[#This Row],[PUERTAS DORMITORIO]]=BA$2,100%,AVANCE[[#This Row],[PUERTAS DORMITORIO]])</f>
        <v>0</v>
      </c>
      <c r="CP537" s="3">
        <f>+IF(AVANCE[[#This Row],[REVESTIMIENTO INTERIOR BANO]]=BB$2,100%,AVANCE[[#This Row],[REVESTIMIENTO INTERIOR BANO]])</f>
        <v>0</v>
      </c>
      <c r="CQ537" s="3">
        <f>+IF(AVANCE[[#This Row],[MUEBLE LAVAPLATOS]]=BC$2,100%,AVANCE[[#This Row],[MUEBLE LAVAPLATOS]])</f>
        <v>0</v>
      </c>
      <c r="CR537" s="3">
        <f>+IF(AVANCE[[#This Row],[IMPERMEABILIZACION BANO - COCINA LOGIA]]=BD$2,100%,AVANCE[[#This Row],[IMPERMEABILIZACION BANO - COCINA LOGIA]])</f>
        <v>0</v>
      </c>
      <c r="CS537" s="40">
        <f ca="1">+IF(AVANCE[[#This Row],[ESTADO MODULO]]="PENDIENTE",(TODAY()-AVANCE[[#This Row],[FECHA TERMINO  PLANIFICADO]]),0)</f>
        <v>0</v>
      </c>
      <c r="CT537" s="41" t="str" cm="1">
        <f t="array" ref="CT537">_xlfn.TEXTJOIN(" | ",TRUE,IF(SUMPRODUCT((BG537:CR537&lt;1)*(PARTIDAS!$I$2:$AT$2="OBRA GRUESA"))&gt;0,"OBRA GRUESA: "&amp;_xlfn.TEXTJOIN(", ",TRUE,IF((BG537:CR537&lt;1)*(PARTIDAS!$I$2:$AT$2="OBRA GRUESA"),PARTIDAS!$I$1:$AT$1,"")),""),IF(SUMPRODUCT((BG537:CR537&lt;1)*(PARTIDAS!$I$2:$AT$2="SANITARIOS"))&gt;0,"SANITARIOS: "&amp;_xlfn.TEXTJOIN(", ",TRUE,IF((BG537:CR537&lt;1)*(PARTIDAS!$I$2:$AT$2="SANITARIOS"),PARTIDAS!$I$1:$AT$1,"")),""),IF(SUMPRODUCT((BG537:CR537&lt;1)*(PARTIDAS!$I$2:$AT$2="ELÉCTRICO"))&gt;0,"ELÉCTRICO: "&amp;_xlfn.TEXTJOIN(", ",TRUE,IF((BG537:CR537&lt;1)*(PARTIDAS!$I$2:$AT$2="ELÉCTRICO"),PARTIDAS!$I$1:$AT$1,"")),""),IF(SUMPRODUCT((BG537:CR537&lt;1)*(PARTIDAS!$I$2:$AT$2="TERMINACIONES"))&gt;0,"TERMINACIONES: "&amp;_xlfn.TEXTJOIN(", ",TRUE,IF((BG537:CR537&lt;1)*(PARTIDAS!$I$2:$AT$2="TERMINACIONES"),PARTIDAS!$I$1:$AT$1,"")),""))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7" s="43" t="str" cm="1">
        <f t="array" ref="CU537">_xlfn.TEXTJOIN(", ",TRUE,IF(SUMPRODUCT((BG537:CR537&lt;1)*(PARTIDAS!$I$2:$AT$2="OBRA GRUESA"))&gt;0,"OBRA GRUESA",""),IF(SUMPRODUCT((BG537:CR537&lt;1)*(PARTIDAS!$I$2:$AT$2="SANITARIOS"))&gt;0,"SANITARIOS",""),IF(SUMPRODUCT((BG537:CR537&lt;1)*(PARTIDAS!$I$2:$AT$2="ELÉCTRICO"))&gt;0,"ELÉCTRICO",""),IF(SUMPRODUCT((BG537:CR537&lt;1)*(PARTIDAS!$I$2:$AT$2="TERMINACIONES"))&gt;0,"TERMINACIONES",""))</f>
        <v>OBRA GRUESA, SANITARIOS, ELÉCTRICO, TERMINACIONES</v>
      </c>
      <c r="CV537" s="44" cm="1">
        <f t="array" ref="CV537">SUMPRODUCT(--(BG537:CR537&lt;1))</f>
        <v>38</v>
      </c>
    </row>
    <row r="538" spans="1:100" hidden="1" x14ac:dyDescent="0.25">
      <c r="A538" t="s">
        <v>586</v>
      </c>
      <c r="B538" t="s">
        <v>611</v>
      </c>
      <c r="C538">
        <v>2282600537</v>
      </c>
      <c r="D538" t="s">
        <v>58</v>
      </c>
      <c r="E538" s="2">
        <v>0</v>
      </c>
      <c r="F538" s="1">
        <v>46409</v>
      </c>
      <c r="G538" s="1"/>
      <c r="H538" s="1">
        <v>0</v>
      </c>
      <c r="I538" s="1">
        <v>46429</v>
      </c>
      <c r="J538">
        <v>46230</v>
      </c>
      <c r="K538" s="1"/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>
        <v>28.87</v>
      </c>
      <c r="BF538" s="3" t="str">
        <f>+IF(AVANCE[[#This Row],[% AVANCE]]=100%,"MODULO TERMINADO",IF(AVANCE[[#This Row],[FECHA INICIO REAL]]="","MODULO NO INICIADO","PENDIENTE"))</f>
        <v>MODULO NO INICIADO</v>
      </c>
      <c r="BG538" s="3">
        <f>+IF(AVANCE[[#This Row],[VENTANAS]]=8.10810810810811%,100%,AVANCE[[#This Row],[VENTANAS]])</f>
        <v>0</v>
      </c>
      <c r="BH538" s="3">
        <f>+IF(AVANCE[[#This Row],[PISO]]=N$2,100%,AVANCE[[#This Row],[PISO]])</f>
        <v>0</v>
      </c>
      <c r="BI538" s="3">
        <f>+IF(AVANCE[[#This Row],[TABIQUES]]=O$2,100%,AVANCE[[#This Row],[TABIQUES]])</f>
        <v>0</v>
      </c>
      <c r="BJ538" s="3">
        <f>+IF(AVANCE[[#This Row],[MUROS]]=P$2,100%,AVANCE[[#This Row],[MUROS]])</f>
        <v>0</v>
      </c>
      <c r="BK538" s="3">
        <f>+IF(AVANCE[[#This Row],[CIELO]]=Q$2,100%,AVANCE[[#This Row],[CIELO]])</f>
        <v>0</v>
      </c>
      <c r="BL538" s="3">
        <f>+IF(AVANCE[[#This Row],[BALCÓN]]=R$2,100%,AVANCE[[#This Row],[BALCÓN]])</f>
        <v>0</v>
      </c>
      <c r="BM538" s="3">
        <f>+IF(AVANCE[[#This Row],[RED ALCANTARILLADO]]=U$2,100%,AVANCE[[#This Row],[RED ALCANTARILLADO]])</f>
        <v>0</v>
      </c>
      <c r="BN538" s="3">
        <f>+IF(AVANCE[[#This Row],[RED DE AGUA]]=V$2,100%,AVANCE[[#This Row],[RED DE AGUA]])</f>
        <v>0</v>
      </c>
      <c r="BO538" s="3">
        <f>+IF(AVANCE[[#This Row],[VENTILACIONES]]=W$2,100%,AVANCE[[#This Row],[VENTILACIONES]])</f>
        <v>0</v>
      </c>
      <c r="BP538" s="3">
        <f>+IF(AVANCE[[#This Row],[TINA]]=X$2,100%,AVANCE[[#This Row],[TINA]])</f>
        <v>0</v>
      </c>
      <c r="BQ538" s="3">
        <f>+IF(AVANCE[[#This Row],[WC]]=Y$2,100%,AVANCE[[#This Row],[WC]])</f>
        <v>0</v>
      </c>
      <c r="BR538" s="3">
        <f>+IF(AVANCE[[#This Row],[LAVAMANOS / LAVAPLATOS / LAVADERO]]=Z$2,100%,AVANCE[[#This Row],[LAVAMANOS / LAVAPLATOS / LAVADERO]])</f>
        <v>0</v>
      </c>
      <c r="BS538" s="3">
        <f>+IF(AVANCE[[#This Row],[CANALIZACIÓN]]=AC$2,100%,AVANCE[[#This Row],[CANALIZACIÓN]])</f>
        <v>0</v>
      </c>
      <c r="BT538" s="3">
        <f>+IF(AVANCE[[#This Row],[CABLEADO]]=AD$2,100%,AVANCE[[#This Row],[CABLEADO]])</f>
        <v>0</v>
      </c>
      <c r="BU538" s="3">
        <f>+IF(AVANCE[[#This Row],[ARTEFACTOS]]=AE$2,100%,AVANCE[[#This Row],[ARTEFACTOS]])</f>
        <v>0</v>
      </c>
      <c r="BV538" s="3">
        <f>+IF(AVANCE[[#This Row],[TABLERO]]=AF$2,100%,AVANCE[[#This Row],[TABLERO]])</f>
        <v>0</v>
      </c>
      <c r="BW538" s="3">
        <f>+IF(AVANCE[[#This Row],[CAJA PAU]]=AG$2,100%,AVANCE[[#This Row],[CAJA PAU]])</f>
        <v>0</v>
      </c>
      <c r="BX538" s="3">
        <f>+IF(AVANCE[[#This Row],[INSTALACION VINILICO]]=AJ$2,100%,AVANCE[[#This Row],[INSTALACION VINILICO]])</f>
        <v>0</v>
      </c>
      <c r="BY538" s="3">
        <f>+IF(AVANCE[[#This Row],[OSB CUBIERTA]]=AK$2,100%,AVANCE[[#This Row],[OSB CUBIERTA]])</f>
        <v>0</v>
      </c>
      <c r="BZ538" s="3">
        <f>+IF(AVANCE[[#This Row],[BARANDA BALCON]]=AL$2,100%,AVANCE[[#This Row],[BARANDA BALCON]])</f>
        <v>0</v>
      </c>
      <c r="CA538" s="3">
        <f>+IF(AVANCE[[#This Row],[OSB EXTERIOR]]=AM$2,100%,AVANCE[[#This Row],[OSB EXTERIOR]])</f>
        <v>0</v>
      </c>
      <c r="CB538" s="3">
        <f>+IF(AVANCE[[#This Row],[SMART PANEL]]=AN$2,100%,AVANCE[[#This Row],[SMART PANEL]])</f>
        <v>0</v>
      </c>
      <c r="CC538" s="3">
        <f>+IF(AVANCE[[#This Row],[PINTURA EXTERIOR]]=AO$2,100%,AVANCE[[#This Row],[PINTURA EXTERIOR]])</f>
        <v>0</v>
      </c>
      <c r="CD538" s="3">
        <f>+IF(AVANCE[[#This Row],[ZOCALOS LOGIA]]=AP$2,100%,AVANCE[[#This Row],[ZOCALOS LOGIA]])</f>
        <v>0</v>
      </c>
      <c r="CE538" s="3">
        <f>+IF(AVANCE[[#This Row],[MOLDURAS]]=AQ$2,100%,AVANCE[[#This Row],[MOLDURAS]])</f>
        <v>0</v>
      </c>
      <c r="CF538" s="3">
        <f>+IF(AVANCE[[#This Row],[PILASTREO]]=AR$2,100%,AVANCE[[#This Row],[PILASTREO]])</f>
        <v>0</v>
      </c>
      <c r="CG538" s="3">
        <f>+IF(AVANCE[[#This Row],[CELOSIAS]]=AS$2,100%,AVANCE[[#This Row],[CELOSIAS]])</f>
        <v>0</v>
      </c>
      <c r="CH538" s="3">
        <f>+IF(AVANCE[[#This Row],[VENTANAS]]=AT$2,100%,AVANCE[[#This Row],[VENTANAS]])</f>
        <v>0</v>
      </c>
      <c r="CI538" s="3">
        <f>+IF(AVANCE[[#This Row],[PUERTAS ACCESO - LOGIA - BANO]]=AU$2,100%,AVANCE[[#This Row],[PUERTAS ACCESO - LOGIA - BANO]])</f>
        <v>0</v>
      </c>
      <c r="CJ538" s="3">
        <f>+IF(AVANCE[[#This Row],[CERRADURAS]]=AV$2,100%,AVANCE[[#This Row],[CERRADURAS]])</f>
        <v>0</v>
      </c>
      <c r="CK538" s="3">
        <f>+IF(AVANCE[[#This Row],[REVESTIMIENTO INTERIOR ZONA SECA]]=AW$2,100%,AVANCE[[#This Row],[REVESTIMIENTO INTERIOR ZONA SECA]])</f>
        <v>0</v>
      </c>
      <c r="CL538" s="3">
        <f>+IF(AVANCE[[#This Row],[REVESTIMIENTO INTERIOR ZONAS HUMEDAS]]=AX$2,100%,AVANCE[[#This Row],[REVESTIMIENTO INTERIOR ZONAS HUMEDAS]])</f>
        <v>0</v>
      </c>
      <c r="CM538" s="3">
        <f>+IF(AVANCE[[#This Row],[MEMBRANA CIELO]]=AY$2,100%,AVANCE[[#This Row],[MEMBRANA CIELO]])</f>
        <v>0</v>
      </c>
      <c r="CN538" s="3">
        <f>+IF(AVANCE[[#This Row],[LIMPIEZA FINAL]]=AZ$2,100%,AVANCE[[#This Row],[LIMPIEZA FINAL]])</f>
        <v>0</v>
      </c>
      <c r="CO538" s="3">
        <f>+IF(AVANCE[[#This Row],[PUERTAS DORMITORIO]]=BA$2,100%,AVANCE[[#This Row],[PUERTAS DORMITORIO]])</f>
        <v>0</v>
      </c>
      <c r="CP538" s="3">
        <f>+IF(AVANCE[[#This Row],[REVESTIMIENTO INTERIOR BANO]]=BB$2,100%,AVANCE[[#This Row],[REVESTIMIENTO INTERIOR BANO]])</f>
        <v>0</v>
      </c>
      <c r="CQ538" s="3">
        <f>+IF(AVANCE[[#This Row],[MUEBLE LAVAPLATOS]]=BC$2,100%,AVANCE[[#This Row],[MUEBLE LAVAPLATOS]])</f>
        <v>0</v>
      </c>
      <c r="CR538" s="3">
        <f>+IF(AVANCE[[#This Row],[IMPERMEABILIZACION BANO - COCINA LOGIA]]=BD$2,100%,AVANCE[[#This Row],[IMPERMEABILIZACION BANO - COCINA LOGIA]])</f>
        <v>0</v>
      </c>
      <c r="CS538" s="40">
        <f ca="1">+IF(AVANCE[[#This Row],[ESTADO MODULO]]="PENDIENTE",(TODAY()-AVANCE[[#This Row],[FECHA TERMINO  PLANIFICADO]]),0)</f>
        <v>0</v>
      </c>
      <c r="CT538" s="41" t="str" cm="1">
        <f t="array" ref="CT538">_xlfn.TEXTJOIN(" | ",TRUE,IF(SUMPRODUCT((BG538:CR538&lt;1)*(PARTIDAS!$I$2:$AT$2="OBRA GRUESA"))&gt;0,"OBRA GRUESA: "&amp;_xlfn.TEXTJOIN(", ",TRUE,IF((BG538:CR538&lt;1)*(PARTIDAS!$I$2:$AT$2="OBRA GRUESA"),PARTIDAS!$I$1:$AT$1,"")),""),IF(SUMPRODUCT((BG538:CR538&lt;1)*(PARTIDAS!$I$2:$AT$2="SANITARIOS"))&gt;0,"SANITARIOS: "&amp;_xlfn.TEXTJOIN(", ",TRUE,IF((BG538:CR538&lt;1)*(PARTIDAS!$I$2:$AT$2="SANITARIOS"),PARTIDAS!$I$1:$AT$1,"")),""),IF(SUMPRODUCT((BG538:CR538&lt;1)*(PARTIDAS!$I$2:$AT$2="ELÉCTRICO"))&gt;0,"ELÉCTRICO: "&amp;_xlfn.TEXTJOIN(", ",TRUE,IF((BG538:CR538&lt;1)*(PARTIDAS!$I$2:$AT$2="ELÉCTRICO"),PARTIDAS!$I$1:$AT$1,"")),""),IF(SUMPRODUCT((BG538:CR538&lt;1)*(PARTIDAS!$I$2:$AT$2="TERMINACIONES"))&gt;0,"TERMINACIONES: "&amp;_xlfn.TEXTJOIN(", ",TRUE,IF((BG538:CR538&lt;1)*(PARTIDAS!$I$2:$AT$2="TERMINACIONES"),PARTIDAS!$I$1:$AT$1,"")),""))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8" s="43" t="str" cm="1">
        <f t="array" ref="CU538">_xlfn.TEXTJOIN(", ",TRUE,IF(SUMPRODUCT((BG538:CR538&lt;1)*(PARTIDAS!$I$2:$AT$2="OBRA GRUESA"))&gt;0,"OBRA GRUESA",""),IF(SUMPRODUCT((BG538:CR538&lt;1)*(PARTIDAS!$I$2:$AT$2="SANITARIOS"))&gt;0,"SANITARIOS",""),IF(SUMPRODUCT((BG538:CR538&lt;1)*(PARTIDAS!$I$2:$AT$2="ELÉCTRICO"))&gt;0,"ELÉCTRICO",""),IF(SUMPRODUCT((BG538:CR538&lt;1)*(PARTIDAS!$I$2:$AT$2="TERMINACIONES"))&gt;0,"TERMINACIONES",""))</f>
        <v>OBRA GRUESA, SANITARIOS, ELÉCTRICO, TERMINACIONES</v>
      </c>
      <c r="CV538" s="44" cm="1">
        <f t="array" ref="CV538">SUMPRODUCT(--(BG538:CR538&lt;1))</f>
        <v>38</v>
      </c>
    </row>
    <row r="539" spans="1:100" hidden="1" x14ac:dyDescent="0.25">
      <c r="A539" t="s">
        <v>586</v>
      </c>
      <c r="B539" t="s">
        <v>612</v>
      </c>
      <c r="C539">
        <v>2302600538</v>
      </c>
      <c r="D539" t="s">
        <v>60</v>
      </c>
      <c r="E539" s="2">
        <v>0</v>
      </c>
      <c r="F539" s="1">
        <v>46409</v>
      </c>
      <c r="G539" s="1"/>
      <c r="H539" s="1">
        <v>0</v>
      </c>
      <c r="I539" s="1">
        <v>46439</v>
      </c>
      <c r="J539">
        <v>46230</v>
      </c>
      <c r="K539" s="1"/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>
        <v>31.32</v>
      </c>
      <c r="BF539" s="3" t="str">
        <f>+IF(AVANCE[[#This Row],[% AVANCE]]=100%,"MODULO TERMINADO",IF(AVANCE[[#This Row],[FECHA INICIO REAL]]="","MODULO NO INICIADO","PENDIENTE"))</f>
        <v>MODULO NO INICIADO</v>
      </c>
      <c r="BG539" s="3">
        <f>+IF(AVANCE[[#This Row],[VENTANAS]]=8.10810810810811%,100%,AVANCE[[#This Row],[VENTANAS]])</f>
        <v>0</v>
      </c>
      <c r="BH539" s="3">
        <f>+IF(AVANCE[[#This Row],[PISO]]=N$2,100%,AVANCE[[#This Row],[PISO]])</f>
        <v>0</v>
      </c>
      <c r="BI539" s="3">
        <f>+IF(AVANCE[[#This Row],[TABIQUES]]=O$2,100%,AVANCE[[#This Row],[TABIQUES]])</f>
        <v>0</v>
      </c>
      <c r="BJ539" s="3">
        <f>+IF(AVANCE[[#This Row],[MUROS]]=P$2,100%,AVANCE[[#This Row],[MUROS]])</f>
        <v>0</v>
      </c>
      <c r="BK539" s="3">
        <f>+IF(AVANCE[[#This Row],[CIELO]]=Q$2,100%,AVANCE[[#This Row],[CIELO]])</f>
        <v>0</v>
      </c>
      <c r="BL539" s="3">
        <f>+IF(AVANCE[[#This Row],[BALCÓN]]=R$2,100%,AVANCE[[#This Row],[BALCÓN]])</f>
        <v>0</v>
      </c>
      <c r="BM539" s="3">
        <f>+IF(AVANCE[[#This Row],[RED ALCANTARILLADO]]=U$2,100%,AVANCE[[#This Row],[RED ALCANTARILLADO]])</f>
        <v>0</v>
      </c>
      <c r="BN539" s="3">
        <f>+IF(AVANCE[[#This Row],[RED DE AGUA]]=V$2,100%,AVANCE[[#This Row],[RED DE AGUA]])</f>
        <v>0</v>
      </c>
      <c r="BO539" s="3">
        <f>+IF(AVANCE[[#This Row],[VENTILACIONES]]=W$2,100%,AVANCE[[#This Row],[VENTILACIONES]])</f>
        <v>0</v>
      </c>
      <c r="BP539" s="3">
        <f>+IF(AVANCE[[#This Row],[TINA]]=X$2,100%,AVANCE[[#This Row],[TINA]])</f>
        <v>0</v>
      </c>
      <c r="BQ539" s="3">
        <f>+IF(AVANCE[[#This Row],[WC]]=Y$2,100%,AVANCE[[#This Row],[WC]])</f>
        <v>0</v>
      </c>
      <c r="BR539" s="3">
        <f>+IF(AVANCE[[#This Row],[LAVAMANOS / LAVAPLATOS / LAVADERO]]=Z$2,100%,AVANCE[[#This Row],[LAVAMANOS / LAVAPLATOS / LAVADERO]])</f>
        <v>0</v>
      </c>
      <c r="BS539" s="3">
        <f>+IF(AVANCE[[#This Row],[CANALIZACIÓN]]=AC$2,100%,AVANCE[[#This Row],[CANALIZACIÓN]])</f>
        <v>0</v>
      </c>
      <c r="BT539" s="3">
        <f>+IF(AVANCE[[#This Row],[CABLEADO]]=AD$2,100%,AVANCE[[#This Row],[CABLEADO]])</f>
        <v>0</v>
      </c>
      <c r="BU539" s="3">
        <f>+IF(AVANCE[[#This Row],[ARTEFACTOS]]=AE$2,100%,AVANCE[[#This Row],[ARTEFACTOS]])</f>
        <v>0</v>
      </c>
      <c r="BV539" s="3">
        <f>+IF(AVANCE[[#This Row],[TABLERO]]=AF$2,100%,AVANCE[[#This Row],[TABLERO]])</f>
        <v>0</v>
      </c>
      <c r="BW539" s="3">
        <f>+IF(AVANCE[[#This Row],[CAJA PAU]]=AG$2,100%,AVANCE[[#This Row],[CAJA PAU]])</f>
        <v>0</v>
      </c>
      <c r="BX539" s="3">
        <f>+IF(AVANCE[[#This Row],[INSTALACION VINILICO]]=AJ$2,100%,AVANCE[[#This Row],[INSTALACION VINILICO]])</f>
        <v>0</v>
      </c>
      <c r="BY539" s="3">
        <f>+IF(AVANCE[[#This Row],[OSB CUBIERTA]]=AK$2,100%,AVANCE[[#This Row],[OSB CUBIERTA]])</f>
        <v>0</v>
      </c>
      <c r="BZ539" s="3">
        <f>+IF(AVANCE[[#This Row],[BARANDA BALCON]]=AL$2,100%,AVANCE[[#This Row],[BARANDA BALCON]])</f>
        <v>0</v>
      </c>
      <c r="CA539" s="3">
        <f>+IF(AVANCE[[#This Row],[OSB EXTERIOR]]=AM$2,100%,AVANCE[[#This Row],[OSB EXTERIOR]])</f>
        <v>0</v>
      </c>
      <c r="CB539" s="3">
        <f>+IF(AVANCE[[#This Row],[SMART PANEL]]=AN$2,100%,AVANCE[[#This Row],[SMART PANEL]])</f>
        <v>0</v>
      </c>
      <c r="CC539" s="3">
        <f>+IF(AVANCE[[#This Row],[PINTURA EXTERIOR]]=AO$2,100%,AVANCE[[#This Row],[PINTURA EXTERIOR]])</f>
        <v>0</v>
      </c>
      <c r="CD539" s="3">
        <f>+IF(AVANCE[[#This Row],[ZOCALOS LOGIA]]=AP$2,100%,AVANCE[[#This Row],[ZOCALOS LOGIA]])</f>
        <v>0</v>
      </c>
      <c r="CE539" s="3">
        <f>+IF(AVANCE[[#This Row],[MOLDURAS]]=AQ$2,100%,AVANCE[[#This Row],[MOLDURAS]])</f>
        <v>0</v>
      </c>
      <c r="CF539" s="3">
        <f>+IF(AVANCE[[#This Row],[PILASTREO]]=AR$2,100%,AVANCE[[#This Row],[PILASTREO]])</f>
        <v>0</v>
      </c>
      <c r="CG539" s="3">
        <f>+IF(AVANCE[[#This Row],[CELOSIAS]]=AS$2,100%,AVANCE[[#This Row],[CELOSIAS]])</f>
        <v>0</v>
      </c>
      <c r="CH539" s="3">
        <f>+IF(AVANCE[[#This Row],[VENTANAS]]=AT$2,100%,AVANCE[[#This Row],[VENTANAS]])</f>
        <v>0</v>
      </c>
      <c r="CI539" s="3">
        <f>+IF(AVANCE[[#This Row],[PUERTAS ACCESO - LOGIA - BANO]]=AU$2,100%,AVANCE[[#This Row],[PUERTAS ACCESO - LOGIA - BANO]])</f>
        <v>0</v>
      </c>
      <c r="CJ539" s="3">
        <f>+IF(AVANCE[[#This Row],[CERRADURAS]]=AV$2,100%,AVANCE[[#This Row],[CERRADURAS]])</f>
        <v>0</v>
      </c>
      <c r="CK539" s="3">
        <f>+IF(AVANCE[[#This Row],[REVESTIMIENTO INTERIOR ZONA SECA]]=AW$2,100%,AVANCE[[#This Row],[REVESTIMIENTO INTERIOR ZONA SECA]])</f>
        <v>0</v>
      </c>
      <c r="CL539" s="3">
        <f>+IF(AVANCE[[#This Row],[REVESTIMIENTO INTERIOR ZONAS HUMEDAS]]=AX$2,100%,AVANCE[[#This Row],[REVESTIMIENTO INTERIOR ZONAS HUMEDAS]])</f>
        <v>0</v>
      </c>
      <c r="CM539" s="3">
        <f>+IF(AVANCE[[#This Row],[MEMBRANA CIELO]]=AY$2,100%,AVANCE[[#This Row],[MEMBRANA CIELO]])</f>
        <v>0</v>
      </c>
      <c r="CN539" s="3">
        <f>+IF(AVANCE[[#This Row],[LIMPIEZA FINAL]]=AZ$2,100%,AVANCE[[#This Row],[LIMPIEZA FINAL]])</f>
        <v>0</v>
      </c>
      <c r="CO539" s="3">
        <f>+IF(AVANCE[[#This Row],[PUERTAS DORMITORIO]]=BA$2,100%,AVANCE[[#This Row],[PUERTAS DORMITORIO]])</f>
        <v>0</v>
      </c>
      <c r="CP539" s="3">
        <f>+IF(AVANCE[[#This Row],[REVESTIMIENTO INTERIOR BANO]]=BB$2,100%,AVANCE[[#This Row],[REVESTIMIENTO INTERIOR BANO]])</f>
        <v>0</v>
      </c>
      <c r="CQ539" s="3">
        <f>+IF(AVANCE[[#This Row],[MUEBLE LAVAPLATOS]]=BC$2,100%,AVANCE[[#This Row],[MUEBLE LAVAPLATOS]])</f>
        <v>0</v>
      </c>
      <c r="CR539" s="3">
        <f>+IF(AVANCE[[#This Row],[IMPERMEABILIZACION BANO - COCINA LOGIA]]=BD$2,100%,AVANCE[[#This Row],[IMPERMEABILIZACION BANO - COCINA LOGIA]])</f>
        <v>0</v>
      </c>
      <c r="CS539" s="40">
        <f ca="1">+IF(AVANCE[[#This Row],[ESTADO MODULO]]="PENDIENTE",(TODAY()-AVANCE[[#This Row],[FECHA TERMINO  PLANIFICADO]]),0)</f>
        <v>0</v>
      </c>
      <c r="CT539" s="41" t="str" cm="1">
        <f t="array" ref="CT539">_xlfn.TEXTJOIN(" | ",TRUE,IF(SUMPRODUCT((BG539:CR539&lt;1)*(PARTIDAS!$I$2:$AT$2="OBRA GRUESA"))&gt;0,"OBRA GRUESA: "&amp;_xlfn.TEXTJOIN(", ",TRUE,IF((BG539:CR539&lt;1)*(PARTIDAS!$I$2:$AT$2="OBRA GRUESA"),PARTIDAS!$I$1:$AT$1,"")),""),IF(SUMPRODUCT((BG539:CR539&lt;1)*(PARTIDAS!$I$2:$AT$2="SANITARIOS"))&gt;0,"SANITARIOS: "&amp;_xlfn.TEXTJOIN(", ",TRUE,IF((BG539:CR539&lt;1)*(PARTIDAS!$I$2:$AT$2="SANITARIOS"),PARTIDAS!$I$1:$AT$1,"")),""),IF(SUMPRODUCT((BG539:CR539&lt;1)*(PARTIDAS!$I$2:$AT$2="ELÉCTRICO"))&gt;0,"ELÉCTRICO: "&amp;_xlfn.TEXTJOIN(", ",TRUE,IF((BG539:CR539&lt;1)*(PARTIDAS!$I$2:$AT$2="ELÉCTRICO"),PARTIDAS!$I$1:$AT$1,"")),""),IF(SUMPRODUCT((BG539:CR539&lt;1)*(PARTIDAS!$I$2:$AT$2="TERMINACIONES"))&gt;0,"TERMINACIONES: "&amp;_xlfn.TEXTJOIN(", ",TRUE,IF((BG539:CR539&lt;1)*(PARTIDAS!$I$2:$AT$2="TERMINACIONES"),PARTIDAS!$I$1:$AT$1,"")),""))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39" s="43" t="str" cm="1">
        <f t="array" ref="CU539">_xlfn.TEXTJOIN(", ",TRUE,IF(SUMPRODUCT((BG539:CR539&lt;1)*(PARTIDAS!$I$2:$AT$2="OBRA GRUESA"))&gt;0,"OBRA GRUESA",""),IF(SUMPRODUCT((BG539:CR539&lt;1)*(PARTIDAS!$I$2:$AT$2="SANITARIOS"))&gt;0,"SANITARIOS",""),IF(SUMPRODUCT((BG539:CR539&lt;1)*(PARTIDAS!$I$2:$AT$2="ELÉCTRICO"))&gt;0,"ELÉCTRICO",""),IF(SUMPRODUCT((BG539:CR539&lt;1)*(PARTIDAS!$I$2:$AT$2="TERMINACIONES"))&gt;0,"TERMINACIONES",""))</f>
        <v>OBRA GRUESA, SANITARIOS, ELÉCTRICO, TERMINACIONES</v>
      </c>
      <c r="CV539" s="44" cm="1">
        <f t="array" ref="CV539">SUMPRODUCT(--(BG539:CR539&lt;1))</f>
        <v>38</v>
      </c>
    </row>
    <row r="540" spans="1:100" hidden="1" x14ac:dyDescent="0.25">
      <c r="A540" t="s">
        <v>586</v>
      </c>
      <c r="B540" t="s">
        <v>613</v>
      </c>
      <c r="C540">
        <v>2302600539</v>
      </c>
      <c r="D540" t="s">
        <v>60</v>
      </c>
      <c r="E540" s="2">
        <v>0</v>
      </c>
      <c r="F540" s="1">
        <v>46412</v>
      </c>
      <c r="G540" s="1"/>
      <c r="H540" s="1">
        <v>0</v>
      </c>
      <c r="I540" s="1">
        <v>46442</v>
      </c>
      <c r="J540">
        <v>46230</v>
      </c>
      <c r="K540" s="1"/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>
        <v>31.32</v>
      </c>
      <c r="BF540" s="3" t="str">
        <f>+IF(AVANCE[[#This Row],[% AVANCE]]=100%,"MODULO TERMINADO",IF(AVANCE[[#This Row],[FECHA INICIO REAL]]="","MODULO NO INICIADO","PENDIENTE"))</f>
        <v>MODULO NO INICIADO</v>
      </c>
      <c r="BG540" s="3">
        <f>+IF(AVANCE[[#This Row],[VENTANAS]]=8.10810810810811%,100%,AVANCE[[#This Row],[VENTANAS]])</f>
        <v>0</v>
      </c>
      <c r="BH540" s="3">
        <f>+IF(AVANCE[[#This Row],[PISO]]=N$2,100%,AVANCE[[#This Row],[PISO]])</f>
        <v>0</v>
      </c>
      <c r="BI540" s="3">
        <f>+IF(AVANCE[[#This Row],[TABIQUES]]=O$2,100%,AVANCE[[#This Row],[TABIQUES]])</f>
        <v>0</v>
      </c>
      <c r="BJ540" s="3">
        <f>+IF(AVANCE[[#This Row],[MUROS]]=P$2,100%,AVANCE[[#This Row],[MUROS]])</f>
        <v>0</v>
      </c>
      <c r="BK540" s="3">
        <f>+IF(AVANCE[[#This Row],[CIELO]]=Q$2,100%,AVANCE[[#This Row],[CIELO]])</f>
        <v>0</v>
      </c>
      <c r="BL540" s="3">
        <f>+IF(AVANCE[[#This Row],[BALCÓN]]=R$2,100%,AVANCE[[#This Row],[BALCÓN]])</f>
        <v>0</v>
      </c>
      <c r="BM540" s="3">
        <f>+IF(AVANCE[[#This Row],[RED ALCANTARILLADO]]=U$2,100%,AVANCE[[#This Row],[RED ALCANTARILLADO]])</f>
        <v>0</v>
      </c>
      <c r="BN540" s="3">
        <f>+IF(AVANCE[[#This Row],[RED DE AGUA]]=V$2,100%,AVANCE[[#This Row],[RED DE AGUA]])</f>
        <v>0</v>
      </c>
      <c r="BO540" s="3">
        <f>+IF(AVANCE[[#This Row],[VENTILACIONES]]=W$2,100%,AVANCE[[#This Row],[VENTILACIONES]])</f>
        <v>0</v>
      </c>
      <c r="BP540" s="3">
        <f>+IF(AVANCE[[#This Row],[TINA]]=X$2,100%,AVANCE[[#This Row],[TINA]])</f>
        <v>0</v>
      </c>
      <c r="BQ540" s="3">
        <f>+IF(AVANCE[[#This Row],[WC]]=Y$2,100%,AVANCE[[#This Row],[WC]])</f>
        <v>0</v>
      </c>
      <c r="BR540" s="3">
        <f>+IF(AVANCE[[#This Row],[LAVAMANOS / LAVAPLATOS / LAVADERO]]=Z$2,100%,AVANCE[[#This Row],[LAVAMANOS / LAVAPLATOS / LAVADERO]])</f>
        <v>0</v>
      </c>
      <c r="BS540" s="3">
        <f>+IF(AVANCE[[#This Row],[CANALIZACIÓN]]=AC$2,100%,AVANCE[[#This Row],[CANALIZACIÓN]])</f>
        <v>0</v>
      </c>
      <c r="BT540" s="3">
        <f>+IF(AVANCE[[#This Row],[CABLEADO]]=AD$2,100%,AVANCE[[#This Row],[CABLEADO]])</f>
        <v>0</v>
      </c>
      <c r="BU540" s="3">
        <f>+IF(AVANCE[[#This Row],[ARTEFACTOS]]=AE$2,100%,AVANCE[[#This Row],[ARTEFACTOS]])</f>
        <v>0</v>
      </c>
      <c r="BV540" s="3">
        <f>+IF(AVANCE[[#This Row],[TABLERO]]=AF$2,100%,AVANCE[[#This Row],[TABLERO]])</f>
        <v>0</v>
      </c>
      <c r="BW540" s="3">
        <f>+IF(AVANCE[[#This Row],[CAJA PAU]]=AG$2,100%,AVANCE[[#This Row],[CAJA PAU]])</f>
        <v>0</v>
      </c>
      <c r="BX540" s="3">
        <f>+IF(AVANCE[[#This Row],[INSTALACION VINILICO]]=AJ$2,100%,AVANCE[[#This Row],[INSTALACION VINILICO]])</f>
        <v>0</v>
      </c>
      <c r="BY540" s="3">
        <f>+IF(AVANCE[[#This Row],[OSB CUBIERTA]]=AK$2,100%,AVANCE[[#This Row],[OSB CUBIERTA]])</f>
        <v>0</v>
      </c>
      <c r="BZ540" s="3">
        <f>+IF(AVANCE[[#This Row],[BARANDA BALCON]]=AL$2,100%,AVANCE[[#This Row],[BARANDA BALCON]])</f>
        <v>0</v>
      </c>
      <c r="CA540" s="3">
        <f>+IF(AVANCE[[#This Row],[OSB EXTERIOR]]=AM$2,100%,AVANCE[[#This Row],[OSB EXTERIOR]])</f>
        <v>0</v>
      </c>
      <c r="CB540" s="3">
        <f>+IF(AVANCE[[#This Row],[SMART PANEL]]=AN$2,100%,AVANCE[[#This Row],[SMART PANEL]])</f>
        <v>0</v>
      </c>
      <c r="CC540" s="3">
        <f>+IF(AVANCE[[#This Row],[PINTURA EXTERIOR]]=AO$2,100%,AVANCE[[#This Row],[PINTURA EXTERIOR]])</f>
        <v>0</v>
      </c>
      <c r="CD540" s="3">
        <f>+IF(AVANCE[[#This Row],[ZOCALOS LOGIA]]=AP$2,100%,AVANCE[[#This Row],[ZOCALOS LOGIA]])</f>
        <v>0</v>
      </c>
      <c r="CE540" s="3">
        <f>+IF(AVANCE[[#This Row],[MOLDURAS]]=AQ$2,100%,AVANCE[[#This Row],[MOLDURAS]])</f>
        <v>0</v>
      </c>
      <c r="CF540" s="3">
        <f>+IF(AVANCE[[#This Row],[PILASTREO]]=AR$2,100%,AVANCE[[#This Row],[PILASTREO]])</f>
        <v>0</v>
      </c>
      <c r="CG540" s="3">
        <f>+IF(AVANCE[[#This Row],[CELOSIAS]]=AS$2,100%,AVANCE[[#This Row],[CELOSIAS]])</f>
        <v>0</v>
      </c>
      <c r="CH540" s="3">
        <f>+IF(AVANCE[[#This Row],[VENTANAS]]=AT$2,100%,AVANCE[[#This Row],[VENTANAS]])</f>
        <v>0</v>
      </c>
      <c r="CI540" s="3">
        <f>+IF(AVANCE[[#This Row],[PUERTAS ACCESO - LOGIA - BANO]]=AU$2,100%,AVANCE[[#This Row],[PUERTAS ACCESO - LOGIA - BANO]])</f>
        <v>0</v>
      </c>
      <c r="CJ540" s="3">
        <f>+IF(AVANCE[[#This Row],[CERRADURAS]]=AV$2,100%,AVANCE[[#This Row],[CERRADURAS]])</f>
        <v>0</v>
      </c>
      <c r="CK540" s="3">
        <f>+IF(AVANCE[[#This Row],[REVESTIMIENTO INTERIOR ZONA SECA]]=AW$2,100%,AVANCE[[#This Row],[REVESTIMIENTO INTERIOR ZONA SECA]])</f>
        <v>0</v>
      </c>
      <c r="CL540" s="3">
        <f>+IF(AVANCE[[#This Row],[REVESTIMIENTO INTERIOR ZONAS HUMEDAS]]=AX$2,100%,AVANCE[[#This Row],[REVESTIMIENTO INTERIOR ZONAS HUMEDAS]])</f>
        <v>0</v>
      </c>
      <c r="CM540" s="3">
        <f>+IF(AVANCE[[#This Row],[MEMBRANA CIELO]]=AY$2,100%,AVANCE[[#This Row],[MEMBRANA CIELO]])</f>
        <v>0</v>
      </c>
      <c r="CN540" s="3">
        <f>+IF(AVANCE[[#This Row],[LIMPIEZA FINAL]]=AZ$2,100%,AVANCE[[#This Row],[LIMPIEZA FINAL]])</f>
        <v>0</v>
      </c>
      <c r="CO540" s="3">
        <f>+IF(AVANCE[[#This Row],[PUERTAS DORMITORIO]]=BA$2,100%,AVANCE[[#This Row],[PUERTAS DORMITORIO]])</f>
        <v>0</v>
      </c>
      <c r="CP540" s="3">
        <f>+IF(AVANCE[[#This Row],[REVESTIMIENTO INTERIOR BANO]]=BB$2,100%,AVANCE[[#This Row],[REVESTIMIENTO INTERIOR BANO]])</f>
        <v>0</v>
      </c>
      <c r="CQ540" s="3">
        <f>+IF(AVANCE[[#This Row],[MUEBLE LAVAPLATOS]]=BC$2,100%,AVANCE[[#This Row],[MUEBLE LAVAPLATOS]])</f>
        <v>0</v>
      </c>
      <c r="CR540" s="3">
        <f>+IF(AVANCE[[#This Row],[IMPERMEABILIZACION BANO - COCINA LOGIA]]=BD$2,100%,AVANCE[[#This Row],[IMPERMEABILIZACION BANO - COCINA LOGIA]])</f>
        <v>0</v>
      </c>
      <c r="CS540" s="40">
        <f ca="1">+IF(AVANCE[[#This Row],[ESTADO MODULO]]="PENDIENTE",(TODAY()-AVANCE[[#This Row],[FECHA TERMINO  PLANIFICADO]]),0)</f>
        <v>0</v>
      </c>
      <c r="CT540" s="41" t="str" cm="1">
        <f t="array" ref="CT540">_xlfn.TEXTJOIN(" | ",TRUE,IF(SUMPRODUCT((BG540:CR540&lt;1)*(PARTIDAS!$I$2:$AT$2="OBRA GRUESA"))&gt;0,"OBRA GRUESA: "&amp;_xlfn.TEXTJOIN(", ",TRUE,IF((BG540:CR540&lt;1)*(PARTIDAS!$I$2:$AT$2="OBRA GRUESA"),PARTIDAS!$I$1:$AT$1,"")),""),IF(SUMPRODUCT((BG540:CR540&lt;1)*(PARTIDAS!$I$2:$AT$2="SANITARIOS"))&gt;0,"SANITARIOS: "&amp;_xlfn.TEXTJOIN(", ",TRUE,IF((BG540:CR540&lt;1)*(PARTIDAS!$I$2:$AT$2="SANITARIOS"),PARTIDAS!$I$1:$AT$1,"")),""),IF(SUMPRODUCT((BG540:CR540&lt;1)*(PARTIDAS!$I$2:$AT$2="ELÉCTRICO"))&gt;0,"ELÉCTRICO: "&amp;_xlfn.TEXTJOIN(", ",TRUE,IF((BG540:CR540&lt;1)*(PARTIDAS!$I$2:$AT$2="ELÉCTRICO"),PARTIDAS!$I$1:$AT$1,"")),""),IF(SUMPRODUCT((BG540:CR540&lt;1)*(PARTIDAS!$I$2:$AT$2="TERMINACIONES"))&gt;0,"TERMINACIONES: "&amp;_xlfn.TEXTJOIN(", ",TRUE,IF((BG540:CR540&lt;1)*(PARTIDAS!$I$2:$AT$2="TERMINACIONES"),PARTIDAS!$I$1:$AT$1,"")),""))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0" s="43" t="str" cm="1">
        <f t="array" ref="CU540">_xlfn.TEXTJOIN(", ",TRUE,IF(SUMPRODUCT((BG540:CR540&lt;1)*(PARTIDAS!$I$2:$AT$2="OBRA GRUESA"))&gt;0,"OBRA GRUESA",""),IF(SUMPRODUCT((BG540:CR540&lt;1)*(PARTIDAS!$I$2:$AT$2="SANITARIOS"))&gt;0,"SANITARIOS",""),IF(SUMPRODUCT((BG540:CR540&lt;1)*(PARTIDAS!$I$2:$AT$2="ELÉCTRICO"))&gt;0,"ELÉCTRICO",""),IF(SUMPRODUCT((BG540:CR540&lt;1)*(PARTIDAS!$I$2:$AT$2="TERMINACIONES"))&gt;0,"TERMINACIONES",""))</f>
        <v>OBRA GRUESA, SANITARIOS, ELÉCTRICO, TERMINACIONES</v>
      </c>
      <c r="CV540" s="44" cm="1">
        <f t="array" ref="CV540">SUMPRODUCT(--(BG540:CR540&lt;1))</f>
        <v>38</v>
      </c>
    </row>
    <row r="541" spans="1:100" hidden="1" x14ac:dyDescent="0.25">
      <c r="A541" t="s">
        <v>586</v>
      </c>
      <c r="B541" t="s">
        <v>614</v>
      </c>
      <c r="C541">
        <v>2282600540</v>
      </c>
      <c r="D541" t="s">
        <v>58</v>
      </c>
      <c r="E541" s="2">
        <v>0</v>
      </c>
      <c r="F541" s="1">
        <v>46412</v>
      </c>
      <c r="G541" s="1"/>
      <c r="H541" s="1">
        <v>0</v>
      </c>
      <c r="I541" s="1">
        <v>46432</v>
      </c>
      <c r="J541">
        <v>46230</v>
      </c>
      <c r="K541" s="1"/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>
        <v>28.87</v>
      </c>
      <c r="BF541" s="3" t="str">
        <f>+IF(AVANCE[[#This Row],[% AVANCE]]=100%,"MODULO TERMINADO",IF(AVANCE[[#This Row],[FECHA INICIO REAL]]="","MODULO NO INICIADO","PENDIENTE"))</f>
        <v>MODULO NO INICIADO</v>
      </c>
      <c r="BG541" s="3">
        <f>+IF(AVANCE[[#This Row],[VENTANAS]]=8.10810810810811%,100%,AVANCE[[#This Row],[VENTANAS]])</f>
        <v>0</v>
      </c>
      <c r="BH541" s="3">
        <f>+IF(AVANCE[[#This Row],[PISO]]=N$2,100%,AVANCE[[#This Row],[PISO]])</f>
        <v>0</v>
      </c>
      <c r="BI541" s="3">
        <f>+IF(AVANCE[[#This Row],[TABIQUES]]=O$2,100%,AVANCE[[#This Row],[TABIQUES]])</f>
        <v>0</v>
      </c>
      <c r="BJ541" s="3">
        <f>+IF(AVANCE[[#This Row],[MUROS]]=P$2,100%,AVANCE[[#This Row],[MUROS]])</f>
        <v>0</v>
      </c>
      <c r="BK541" s="3">
        <f>+IF(AVANCE[[#This Row],[CIELO]]=Q$2,100%,AVANCE[[#This Row],[CIELO]])</f>
        <v>0</v>
      </c>
      <c r="BL541" s="3">
        <f>+IF(AVANCE[[#This Row],[BALCÓN]]=R$2,100%,AVANCE[[#This Row],[BALCÓN]])</f>
        <v>0</v>
      </c>
      <c r="BM541" s="3">
        <f>+IF(AVANCE[[#This Row],[RED ALCANTARILLADO]]=U$2,100%,AVANCE[[#This Row],[RED ALCANTARILLADO]])</f>
        <v>0</v>
      </c>
      <c r="BN541" s="3">
        <f>+IF(AVANCE[[#This Row],[RED DE AGUA]]=V$2,100%,AVANCE[[#This Row],[RED DE AGUA]])</f>
        <v>0</v>
      </c>
      <c r="BO541" s="3">
        <f>+IF(AVANCE[[#This Row],[VENTILACIONES]]=W$2,100%,AVANCE[[#This Row],[VENTILACIONES]])</f>
        <v>0</v>
      </c>
      <c r="BP541" s="3">
        <f>+IF(AVANCE[[#This Row],[TINA]]=X$2,100%,AVANCE[[#This Row],[TINA]])</f>
        <v>0</v>
      </c>
      <c r="BQ541" s="3">
        <f>+IF(AVANCE[[#This Row],[WC]]=Y$2,100%,AVANCE[[#This Row],[WC]])</f>
        <v>0</v>
      </c>
      <c r="BR541" s="3">
        <f>+IF(AVANCE[[#This Row],[LAVAMANOS / LAVAPLATOS / LAVADERO]]=Z$2,100%,AVANCE[[#This Row],[LAVAMANOS / LAVAPLATOS / LAVADERO]])</f>
        <v>0</v>
      </c>
      <c r="BS541" s="3">
        <f>+IF(AVANCE[[#This Row],[CANALIZACIÓN]]=AC$2,100%,AVANCE[[#This Row],[CANALIZACIÓN]])</f>
        <v>0</v>
      </c>
      <c r="BT541" s="3">
        <f>+IF(AVANCE[[#This Row],[CABLEADO]]=AD$2,100%,AVANCE[[#This Row],[CABLEADO]])</f>
        <v>0</v>
      </c>
      <c r="BU541" s="3">
        <f>+IF(AVANCE[[#This Row],[ARTEFACTOS]]=AE$2,100%,AVANCE[[#This Row],[ARTEFACTOS]])</f>
        <v>0</v>
      </c>
      <c r="BV541" s="3">
        <f>+IF(AVANCE[[#This Row],[TABLERO]]=AF$2,100%,AVANCE[[#This Row],[TABLERO]])</f>
        <v>0</v>
      </c>
      <c r="BW541" s="3">
        <f>+IF(AVANCE[[#This Row],[CAJA PAU]]=AG$2,100%,AVANCE[[#This Row],[CAJA PAU]])</f>
        <v>0</v>
      </c>
      <c r="BX541" s="3">
        <f>+IF(AVANCE[[#This Row],[INSTALACION VINILICO]]=AJ$2,100%,AVANCE[[#This Row],[INSTALACION VINILICO]])</f>
        <v>0</v>
      </c>
      <c r="BY541" s="3">
        <f>+IF(AVANCE[[#This Row],[OSB CUBIERTA]]=AK$2,100%,AVANCE[[#This Row],[OSB CUBIERTA]])</f>
        <v>0</v>
      </c>
      <c r="BZ541" s="3">
        <f>+IF(AVANCE[[#This Row],[BARANDA BALCON]]=AL$2,100%,AVANCE[[#This Row],[BARANDA BALCON]])</f>
        <v>0</v>
      </c>
      <c r="CA541" s="3">
        <f>+IF(AVANCE[[#This Row],[OSB EXTERIOR]]=AM$2,100%,AVANCE[[#This Row],[OSB EXTERIOR]])</f>
        <v>0</v>
      </c>
      <c r="CB541" s="3">
        <f>+IF(AVANCE[[#This Row],[SMART PANEL]]=AN$2,100%,AVANCE[[#This Row],[SMART PANEL]])</f>
        <v>0</v>
      </c>
      <c r="CC541" s="3">
        <f>+IF(AVANCE[[#This Row],[PINTURA EXTERIOR]]=AO$2,100%,AVANCE[[#This Row],[PINTURA EXTERIOR]])</f>
        <v>0</v>
      </c>
      <c r="CD541" s="3">
        <f>+IF(AVANCE[[#This Row],[ZOCALOS LOGIA]]=AP$2,100%,AVANCE[[#This Row],[ZOCALOS LOGIA]])</f>
        <v>0</v>
      </c>
      <c r="CE541" s="3">
        <f>+IF(AVANCE[[#This Row],[MOLDURAS]]=AQ$2,100%,AVANCE[[#This Row],[MOLDURAS]])</f>
        <v>0</v>
      </c>
      <c r="CF541" s="3">
        <f>+IF(AVANCE[[#This Row],[PILASTREO]]=AR$2,100%,AVANCE[[#This Row],[PILASTREO]])</f>
        <v>0</v>
      </c>
      <c r="CG541" s="3">
        <f>+IF(AVANCE[[#This Row],[CELOSIAS]]=AS$2,100%,AVANCE[[#This Row],[CELOSIAS]])</f>
        <v>0</v>
      </c>
      <c r="CH541" s="3">
        <f>+IF(AVANCE[[#This Row],[VENTANAS]]=AT$2,100%,AVANCE[[#This Row],[VENTANAS]])</f>
        <v>0</v>
      </c>
      <c r="CI541" s="3">
        <f>+IF(AVANCE[[#This Row],[PUERTAS ACCESO - LOGIA - BANO]]=AU$2,100%,AVANCE[[#This Row],[PUERTAS ACCESO - LOGIA - BANO]])</f>
        <v>0</v>
      </c>
      <c r="CJ541" s="3">
        <f>+IF(AVANCE[[#This Row],[CERRADURAS]]=AV$2,100%,AVANCE[[#This Row],[CERRADURAS]])</f>
        <v>0</v>
      </c>
      <c r="CK541" s="3">
        <f>+IF(AVANCE[[#This Row],[REVESTIMIENTO INTERIOR ZONA SECA]]=AW$2,100%,AVANCE[[#This Row],[REVESTIMIENTO INTERIOR ZONA SECA]])</f>
        <v>0</v>
      </c>
      <c r="CL541" s="3">
        <f>+IF(AVANCE[[#This Row],[REVESTIMIENTO INTERIOR ZONAS HUMEDAS]]=AX$2,100%,AVANCE[[#This Row],[REVESTIMIENTO INTERIOR ZONAS HUMEDAS]])</f>
        <v>0</v>
      </c>
      <c r="CM541" s="3">
        <f>+IF(AVANCE[[#This Row],[MEMBRANA CIELO]]=AY$2,100%,AVANCE[[#This Row],[MEMBRANA CIELO]])</f>
        <v>0</v>
      </c>
      <c r="CN541" s="3">
        <f>+IF(AVANCE[[#This Row],[LIMPIEZA FINAL]]=AZ$2,100%,AVANCE[[#This Row],[LIMPIEZA FINAL]])</f>
        <v>0</v>
      </c>
      <c r="CO541" s="3">
        <f>+IF(AVANCE[[#This Row],[PUERTAS DORMITORIO]]=BA$2,100%,AVANCE[[#This Row],[PUERTAS DORMITORIO]])</f>
        <v>0</v>
      </c>
      <c r="CP541" s="3">
        <f>+IF(AVANCE[[#This Row],[REVESTIMIENTO INTERIOR BANO]]=BB$2,100%,AVANCE[[#This Row],[REVESTIMIENTO INTERIOR BANO]])</f>
        <v>0</v>
      </c>
      <c r="CQ541" s="3">
        <f>+IF(AVANCE[[#This Row],[MUEBLE LAVAPLATOS]]=BC$2,100%,AVANCE[[#This Row],[MUEBLE LAVAPLATOS]])</f>
        <v>0</v>
      </c>
      <c r="CR541" s="3">
        <f>+IF(AVANCE[[#This Row],[IMPERMEABILIZACION BANO - COCINA LOGIA]]=BD$2,100%,AVANCE[[#This Row],[IMPERMEABILIZACION BANO - COCINA LOGIA]])</f>
        <v>0</v>
      </c>
      <c r="CS541" s="40">
        <f ca="1">+IF(AVANCE[[#This Row],[ESTADO MODULO]]="PENDIENTE",(TODAY()-AVANCE[[#This Row],[FECHA TERMINO  PLANIFICADO]]),0)</f>
        <v>0</v>
      </c>
      <c r="CT541" s="41" t="str" cm="1">
        <f t="array" ref="CT541">_xlfn.TEXTJOIN(" | ",TRUE,IF(SUMPRODUCT((BG541:CR541&lt;1)*(PARTIDAS!$I$2:$AT$2="OBRA GRUESA"))&gt;0,"OBRA GRUESA: "&amp;_xlfn.TEXTJOIN(", ",TRUE,IF((BG541:CR541&lt;1)*(PARTIDAS!$I$2:$AT$2="OBRA GRUESA"),PARTIDAS!$I$1:$AT$1,"")),""),IF(SUMPRODUCT((BG541:CR541&lt;1)*(PARTIDAS!$I$2:$AT$2="SANITARIOS"))&gt;0,"SANITARIOS: "&amp;_xlfn.TEXTJOIN(", ",TRUE,IF((BG541:CR541&lt;1)*(PARTIDAS!$I$2:$AT$2="SANITARIOS"),PARTIDAS!$I$1:$AT$1,"")),""),IF(SUMPRODUCT((BG541:CR541&lt;1)*(PARTIDAS!$I$2:$AT$2="ELÉCTRICO"))&gt;0,"ELÉCTRICO: "&amp;_xlfn.TEXTJOIN(", ",TRUE,IF((BG541:CR541&lt;1)*(PARTIDAS!$I$2:$AT$2="ELÉCTRICO"),PARTIDAS!$I$1:$AT$1,"")),""),IF(SUMPRODUCT((BG541:CR541&lt;1)*(PARTIDAS!$I$2:$AT$2="TERMINACIONES"))&gt;0,"TERMINACIONES: "&amp;_xlfn.TEXTJOIN(", ",TRUE,IF((BG541:CR541&lt;1)*(PARTIDAS!$I$2:$AT$2="TERMINACIONES"),PARTIDAS!$I$1:$AT$1,"")),""))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1" s="43" t="str" cm="1">
        <f t="array" ref="CU541">_xlfn.TEXTJOIN(", ",TRUE,IF(SUMPRODUCT((BG541:CR541&lt;1)*(PARTIDAS!$I$2:$AT$2="OBRA GRUESA"))&gt;0,"OBRA GRUESA",""),IF(SUMPRODUCT((BG541:CR541&lt;1)*(PARTIDAS!$I$2:$AT$2="SANITARIOS"))&gt;0,"SANITARIOS",""),IF(SUMPRODUCT((BG541:CR541&lt;1)*(PARTIDAS!$I$2:$AT$2="ELÉCTRICO"))&gt;0,"ELÉCTRICO",""),IF(SUMPRODUCT((BG541:CR541&lt;1)*(PARTIDAS!$I$2:$AT$2="TERMINACIONES"))&gt;0,"TERMINACIONES",""))</f>
        <v>OBRA GRUESA, SANITARIOS, ELÉCTRICO, TERMINACIONES</v>
      </c>
      <c r="CV541" s="44" cm="1">
        <f t="array" ref="CV541">SUMPRODUCT(--(BG541:CR541&lt;1))</f>
        <v>38</v>
      </c>
    </row>
    <row r="542" spans="1:100" hidden="1" x14ac:dyDescent="0.25">
      <c r="A542" t="s">
        <v>586</v>
      </c>
      <c r="B542" t="s">
        <v>615</v>
      </c>
      <c r="C542">
        <v>2282600541</v>
      </c>
      <c r="D542" t="s">
        <v>58</v>
      </c>
      <c r="E542" s="2">
        <v>0</v>
      </c>
      <c r="F542" s="1">
        <v>46412</v>
      </c>
      <c r="G542" s="1"/>
      <c r="H542" s="1">
        <v>0</v>
      </c>
      <c r="I542" s="1">
        <v>46432</v>
      </c>
      <c r="J542">
        <v>46230</v>
      </c>
      <c r="K542" s="1"/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>
        <v>28.87</v>
      </c>
      <c r="BF542" s="3" t="str">
        <f>+IF(AVANCE[[#This Row],[% AVANCE]]=100%,"MODULO TERMINADO",IF(AVANCE[[#This Row],[FECHA INICIO REAL]]="","MODULO NO INICIADO","PENDIENTE"))</f>
        <v>MODULO NO INICIADO</v>
      </c>
      <c r="BG542" s="3">
        <f>+IF(AVANCE[[#This Row],[VENTANAS]]=8.10810810810811%,100%,AVANCE[[#This Row],[VENTANAS]])</f>
        <v>0</v>
      </c>
      <c r="BH542" s="3">
        <f>+IF(AVANCE[[#This Row],[PISO]]=N$2,100%,AVANCE[[#This Row],[PISO]])</f>
        <v>0</v>
      </c>
      <c r="BI542" s="3">
        <f>+IF(AVANCE[[#This Row],[TABIQUES]]=O$2,100%,AVANCE[[#This Row],[TABIQUES]])</f>
        <v>0</v>
      </c>
      <c r="BJ542" s="3">
        <f>+IF(AVANCE[[#This Row],[MUROS]]=P$2,100%,AVANCE[[#This Row],[MUROS]])</f>
        <v>0</v>
      </c>
      <c r="BK542" s="3">
        <f>+IF(AVANCE[[#This Row],[CIELO]]=Q$2,100%,AVANCE[[#This Row],[CIELO]])</f>
        <v>0</v>
      </c>
      <c r="BL542" s="3">
        <f>+IF(AVANCE[[#This Row],[BALCÓN]]=R$2,100%,AVANCE[[#This Row],[BALCÓN]])</f>
        <v>0</v>
      </c>
      <c r="BM542" s="3">
        <f>+IF(AVANCE[[#This Row],[RED ALCANTARILLADO]]=U$2,100%,AVANCE[[#This Row],[RED ALCANTARILLADO]])</f>
        <v>0</v>
      </c>
      <c r="BN542" s="3">
        <f>+IF(AVANCE[[#This Row],[RED DE AGUA]]=V$2,100%,AVANCE[[#This Row],[RED DE AGUA]])</f>
        <v>0</v>
      </c>
      <c r="BO542" s="3">
        <f>+IF(AVANCE[[#This Row],[VENTILACIONES]]=W$2,100%,AVANCE[[#This Row],[VENTILACIONES]])</f>
        <v>0</v>
      </c>
      <c r="BP542" s="3">
        <f>+IF(AVANCE[[#This Row],[TINA]]=X$2,100%,AVANCE[[#This Row],[TINA]])</f>
        <v>0</v>
      </c>
      <c r="BQ542" s="3">
        <f>+IF(AVANCE[[#This Row],[WC]]=Y$2,100%,AVANCE[[#This Row],[WC]])</f>
        <v>0</v>
      </c>
      <c r="BR542" s="3">
        <f>+IF(AVANCE[[#This Row],[LAVAMANOS / LAVAPLATOS / LAVADERO]]=Z$2,100%,AVANCE[[#This Row],[LAVAMANOS / LAVAPLATOS / LAVADERO]])</f>
        <v>0</v>
      </c>
      <c r="BS542" s="3">
        <f>+IF(AVANCE[[#This Row],[CANALIZACIÓN]]=AC$2,100%,AVANCE[[#This Row],[CANALIZACIÓN]])</f>
        <v>0</v>
      </c>
      <c r="BT542" s="3">
        <f>+IF(AVANCE[[#This Row],[CABLEADO]]=AD$2,100%,AVANCE[[#This Row],[CABLEADO]])</f>
        <v>0</v>
      </c>
      <c r="BU542" s="3">
        <f>+IF(AVANCE[[#This Row],[ARTEFACTOS]]=AE$2,100%,AVANCE[[#This Row],[ARTEFACTOS]])</f>
        <v>0</v>
      </c>
      <c r="BV542" s="3">
        <f>+IF(AVANCE[[#This Row],[TABLERO]]=AF$2,100%,AVANCE[[#This Row],[TABLERO]])</f>
        <v>0</v>
      </c>
      <c r="BW542" s="3">
        <f>+IF(AVANCE[[#This Row],[CAJA PAU]]=AG$2,100%,AVANCE[[#This Row],[CAJA PAU]])</f>
        <v>0</v>
      </c>
      <c r="BX542" s="3">
        <f>+IF(AVANCE[[#This Row],[INSTALACION VINILICO]]=AJ$2,100%,AVANCE[[#This Row],[INSTALACION VINILICO]])</f>
        <v>0</v>
      </c>
      <c r="BY542" s="3">
        <f>+IF(AVANCE[[#This Row],[OSB CUBIERTA]]=AK$2,100%,AVANCE[[#This Row],[OSB CUBIERTA]])</f>
        <v>0</v>
      </c>
      <c r="BZ542" s="3">
        <f>+IF(AVANCE[[#This Row],[BARANDA BALCON]]=AL$2,100%,AVANCE[[#This Row],[BARANDA BALCON]])</f>
        <v>0</v>
      </c>
      <c r="CA542" s="3">
        <f>+IF(AVANCE[[#This Row],[OSB EXTERIOR]]=AM$2,100%,AVANCE[[#This Row],[OSB EXTERIOR]])</f>
        <v>0</v>
      </c>
      <c r="CB542" s="3">
        <f>+IF(AVANCE[[#This Row],[SMART PANEL]]=AN$2,100%,AVANCE[[#This Row],[SMART PANEL]])</f>
        <v>0</v>
      </c>
      <c r="CC542" s="3">
        <f>+IF(AVANCE[[#This Row],[PINTURA EXTERIOR]]=AO$2,100%,AVANCE[[#This Row],[PINTURA EXTERIOR]])</f>
        <v>0</v>
      </c>
      <c r="CD542" s="3">
        <f>+IF(AVANCE[[#This Row],[ZOCALOS LOGIA]]=AP$2,100%,AVANCE[[#This Row],[ZOCALOS LOGIA]])</f>
        <v>0</v>
      </c>
      <c r="CE542" s="3">
        <f>+IF(AVANCE[[#This Row],[MOLDURAS]]=AQ$2,100%,AVANCE[[#This Row],[MOLDURAS]])</f>
        <v>0</v>
      </c>
      <c r="CF542" s="3">
        <f>+IF(AVANCE[[#This Row],[PILASTREO]]=AR$2,100%,AVANCE[[#This Row],[PILASTREO]])</f>
        <v>0</v>
      </c>
      <c r="CG542" s="3">
        <f>+IF(AVANCE[[#This Row],[CELOSIAS]]=AS$2,100%,AVANCE[[#This Row],[CELOSIAS]])</f>
        <v>0</v>
      </c>
      <c r="CH542" s="3">
        <f>+IF(AVANCE[[#This Row],[VENTANAS]]=AT$2,100%,AVANCE[[#This Row],[VENTANAS]])</f>
        <v>0</v>
      </c>
      <c r="CI542" s="3">
        <f>+IF(AVANCE[[#This Row],[PUERTAS ACCESO - LOGIA - BANO]]=AU$2,100%,AVANCE[[#This Row],[PUERTAS ACCESO - LOGIA - BANO]])</f>
        <v>0</v>
      </c>
      <c r="CJ542" s="3">
        <f>+IF(AVANCE[[#This Row],[CERRADURAS]]=AV$2,100%,AVANCE[[#This Row],[CERRADURAS]])</f>
        <v>0</v>
      </c>
      <c r="CK542" s="3">
        <f>+IF(AVANCE[[#This Row],[REVESTIMIENTO INTERIOR ZONA SECA]]=AW$2,100%,AVANCE[[#This Row],[REVESTIMIENTO INTERIOR ZONA SECA]])</f>
        <v>0</v>
      </c>
      <c r="CL542" s="3">
        <f>+IF(AVANCE[[#This Row],[REVESTIMIENTO INTERIOR ZONAS HUMEDAS]]=AX$2,100%,AVANCE[[#This Row],[REVESTIMIENTO INTERIOR ZONAS HUMEDAS]])</f>
        <v>0</v>
      </c>
      <c r="CM542" s="3">
        <f>+IF(AVANCE[[#This Row],[MEMBRANA CIELO]]=AY$2,100%,AVANCE[[#This Row],[MEMBRANA CIELO]])</f>
        <v>0</v>
      </c>
      <c r="CN542" s="3">
        <f>+IF(AVANCE[[#This Row],[LIMPIEZA FINAL]]=AZ$2,100%,AVANCE[[#This Row],[LIMPIEZA FINAL]])</f>
        <v>0</v>
      </c>
      <c r="CO542" s="3">
        <f>+IF(AVANCE[[#This Row],[PUERTAS DORMITORIO]]=BA$2,100%,AVANCE[[#This Row],[PUERTAS DORMITORIO]])</f>
        <v>0</v>
      </c>
      <c r="CP542" s="3">
        <f>+IF(AVANCE[[#This Row],[REVESTIMIENTO INTERIOR BANO]]=BB$2,100%,AVANCE[[#This Row],[REVESTIMIENTO INTERIOR BANO]])</f>
        <v>0</v>
      </c>
      <c r="CQ542" s="3">
        <f>+IF(AVANCE[[#This Row],[MUEBLE LAVAPLATOS]]=BC$2,100%,AVANCE[[#This Row],[MUEBLE LAVAPLATOS]])</f>
        <v>0</v>
      </c>
      <c r="CR542" s="3">
        <f>+IF(AVANCE[[#This Row],[IMPERMEABILIZACION BANO - COCINA LOGIA]]=BD$2,100%,AVANCE[[#This Row],[IMPERMEABILIZACION BANO - COCINA LOGIA]])</f>
        <v>0</v>
      </c>
      <c r="CS542" s="40">
        <f ca="1">+IF(AVANCE[[#This Row],[ESTADO MODULO]]="PENDIENTE",(TODAY()-AVANCE[[#This Row],[FECHA TERMINO  PLANIFICADO]]),0)</f>
        <v>0</v>
      </c>
      <c r="CT542" s="41" t="str" cm="1">
        <f t="array" ref="CT542">_xlfn.TEXTJOIN(" | ",TRUE,IF(SUMPRODUCT((BG542:CR542&lt;1)*(PARTIDAS!$I$2:$AT$2="OBRA GRUESA"))&gt;0,"OBRA GRUESA: "&amp;_xlfn.TEXTJOIN(", ",TRUE,IF((BG542:CR542&lt;1)*(PARTIDAS!$I$2:$AT$2="OBRA GRUESA"),PARTIDAS!$I$1:$AT$1,"")),""),IF(SUMPRODUCT((BG542:CR542&lt;1)*(PARTIDAS!$I$2:$AT$2="SANITARIOS"))&gt;0,"SANITARIOS: "&amp;_xlfn.TEXTJOIN(", ",TRUE,IF((BG542:CR542&lt;1)*(PARTIDAS!$I$2:$AT$2="SANITARIOS"),PARTIDAS!$I$1:$AT$1,"")),""),IF(SUMPRODUCT((BG542:CR542&lt;1)*(PARTIDAS!$I$2:$AT$2="ELÉCTRICO"))&gt;0,"ELÉCTRICO: "&amp;_xlfn.TEXTJOIN(", ",TRUE,IF((BG542:CR542&lt;1)*(PARTIDAS!$I$2:$AT$2="ELÉCTRICO"),PARTIDAS!$I$1:$AT$1,"")),""),IF(SUMPRODUCT((BG542:CR542&lt;1)*(PARTIDAS!$I$2:$AT$2="TERMINACIONES"))&gt;0,"TERMINACIONES: "&amp;_xlfn.TEXTJOIN(", ",TRUE,IF((BG542:CR542&lt;1)*(PARTIDAS!$I$2:$AT$2="TERMINACIONES"),PARTIDAS!$I$1:$AT$1,"")),""))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2" s="43" t="str" cm="1">
        <f t="array" ref="CU542">_xlfn.TEXTJOIN(", ",TRUE,IF(SUMPRODUCT((BG542:CR542&lt;1)*(PARTIDAS!$I$2:$AT$2="OBRA GRUESA"))&gt;0,"OBRA GRUESA",""),IF(SUMPRODUCT((BG542:CR542&lt;1)*(PARTIDAS!$I$2:$AT$2="SANITARIOS"))&gt;0,"SANITARIOS",""),IF(SUMPRODUCT((BG542:CR542&lt;1)*(PARTIDAS!$I$2:$AT$2="ELÉCTRICO"))&gt;0,"ELÉCTRICO",""),IF(SUMPRODUCT((BG542:CR542&lt;1)*(PARTIDAS!$I$2:$AT$2="TERMINACIONES"))&gt;0,"TERMINACIONES",""))</f>
        <v>OBRA GRUESA, SANITARIOS, ELÉCTRICO, TERMINACIONES</v>
      </c>
      <c r="CV542" s="44" cm="1">
        <f t="array" ref="CV542">SUMPRODUCT(--(BG542:CR542&lt;1))</f>
        <v>38</v>
      </c>
    </row>
    <row r="543" spans="1:100" hidden="1" x14ac:dyDescent="0.25">
      <c r="A543" t="s">
        <v>586</v>
      </c>
      <c r="B543" t="s">
        <v>616</v>
      </c>
      <c r="C543">
        <v>2302600542</v>
      </c>
      <c r="D543" t="s">
        <v>60</v>
      </c>
      <c r="E543" s="2">
        <v>0</v>
      </c>
      <c r="F543" s="1">
        <v>46413</v>
      </c>
      <c r="G543" s="1"/>
      <c r="H543" s="1">
        <v>0</v>
      </c>
      <c r="I543" s="1">
        <v>46443</v>
      </c>
      <c r="J543">
        <v>46230</v>
      </c>
      <c r="K543" s="1"/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>
        <v>31.32</v>
      </c>
      <c r="BF543" s="3" t="str">
        <f>+IF(AVANCE[[#This Row],[% AVANCE]]=100%,"MODULO TERMINADO",IF(AVANCE[[#This Row],[FECHA INICIO REAL]]="","MODULO NO INICIADO","PENDIENTE"))</f>
        <v>MODULO NO INICIADO</v>
      </c>
      <c r="BG543" s="3">
        <f>+IF(AVANCE[[#This Row],[VENTANAS]]=8.10810810810811%,100%,AVANCE[[#This Row],[VENTANAS]])</f>
        <v>0</v>
      </c>
      <c r="BH543" s="3">
        <f>+IF(AVANCE[[#This Row],[PISO]]=N$2,100%,AVANCE[[#This Row],[PISO]])</f>
        <v>0</v>
      </c>
      <c r="BI543" s="3">
        <f>+IF(AVANCE[[#This Row],[TABIQUES]]=O$2,100%,AVANCE[[#This Row],[TABIQUES]])</f>
        <v>0</v>
      </c>
      <c r="BJ543" s="3">
        <f>+IF(AVANCE[[#This Row],[MUROS]]=P$2,100%,AVANCE[[#This Row],[MUROS]])</f>
        <v>0</v>
      </c>
      <c r="BK543" s="3">
        <f>+IF(AVANCE[[#This Row],[CIELO]]=Q$2,100%,AVANCE[[#This Row],[CIELO]])</f>
        <v>0</v>
      </c>
      <c r="BL543" s="3">
        <f>+IF(AVANCE[[#This Row],[BALCÓN]]=R$2,100%,AVANCE[[#This Row],[BALCÓN]])</f>
        <v>0</v>
      </c>
      <c r="BM543" s="3">
        <f>+IF(AVANCE[[#This Row],[RED ALCANTARILLADO]]=U$2,100%,AVANCE[[#This Row],[RED ALCANTARILLADO]])</f>
        <v>0</v>
      </c>
      <c r="BN543" s="3">
        <f>+IF(AVANCE[[#This Row],[RED DE AGUA]]=V$2,100%,AVANCE[[#This Row],[RED DE AGUA]])</f>
        <v>0</v>
      </c>
      <c r="BO543" s="3">
        <f>+IF(AVANCE[[#This Row],[VENTILACIONES]]=W$2,100%,AVANCE[[#This Row],[VENTILACIONES]])</f>
        <v>0</v>
      </c>
      <c r="BP543" s="3">
        <f>+IF(AVANCE[[#This Row],[TINA]]=X$2,100%,AVANCE[[#This Row],[TINA]])</f>
        <v>0</v>
      </c>
      <c r="BQ543" s="3">
        <f>+IF(AVANCE[[#This Row],[WC]]=Y$2,100%,AVANCE[[#This Row],[WC]])</f>
        <v>0</v>
      </c>
      <c r="BR543" s="3">
        <f>+IF(AVANCE[[#This Row],[LAVAMANOS / LAVAPLATOS / LAVADERO]]=Z$2,100%,AVANCE[[#This Row],[LAVAMANOS / LAVAPLATOS / LAVADERO]])</f>
        <v>0</v>
      </c>
      <c r="BS543" s="3">
        <f>+IF(AVANCE[[#This Row],[CANALIZACIÓN]]=AC$2,100%,AVANCE[[#This Row],[CANALIZACIÓN]])</f>
        <v>0</v>
      </c>
      <c r="BT543" s="3">
        <f>+IF(AVANCE[[#This Row],[CABLEADO]]=AD$2,100%,AVANCE[[#This Row],[CABLEADO]])</f>
        <v>0</v>
      </c>
      <c r="BU543" s="3">
        <f>+IF(AVANCE[[#This Row],[ARTEFACTOS]]=AE$2,100%,AVANCE[[#This Row],[ARTEFACTOS]])</f>
        <v>0</v>
      </c>
      <c r="BV543" s="3">
        <f>+IF(AVANCE[[#This Row],[TABLERO]]=AF$2,100%,AVANCE[[#This Row],[TABLERO]])</f>
        <v>0</v>
      </c>
      <c r="BW543" s="3">
        <f>+IF(AVANCE[[#This Row],[CAJA PAU]]=AG$2,100%,AVANCE[[#This Row],[CAJA PAU]])</f>
        <v>0</v>
      </c>
      <c r="BX543" s="3">
        <f>+IF(AVANCE[[#This Row],[INSTALACION VINILICO]]=AJ$2,100%,AVANCE[[#This Row],[INSTALACION VINILICO]])</f>
        <v>0</v>
      </c>
      <c r="BY543" s="3">
        <f>+IF(AVANCE[[#This Row],[OSB CUBIERTA]]=AK$2,100%,AVANCE[[#This Row],[OSB CUBIERTA]])</f>
        <v>0</v>
      </c>
      <c r="BZ543" s="3">
        <f>+IF(AVANCE[[#This Row],[BARANDA BALCON]]=AL$2,100%,AVANCE[[#This Row],[BARANDA BALCON]])</f>
        <v>0</v>
      </c>
      <c r="CA543" s="3">
        <f>+IF(AVANCE[[#This Row],[OSB EXTERIOR]]=AM$2,100%,AVANCE[[#This Row],[OSB EXTERIOR]])</f>
        <v>0</v>
      </c>
      <c r="CB543" s="3">
        <f>+IF(AVANCE[[#This Row],[SMART PANEL]]=AN$2,100%,AVANCE[[#This Row],[SMART PANEL]])</f>
        <v>0</v>
      </c>
      <c r="CC543" s="3">
        <f>+IF(AVANCE[[#This Row],[PINTURA EXTERIOR]]=AO$2,100%,AVANCE[[#This Row],[PINTURA EXTERIOR]])</f>
        <v>0</v>
      </c>
      <c r="CD543" s="3">
        <f>+IF(AVANCE[[#This Row],[ZOCALOS LOGIA]]=AP$2,100%,AVANCE[[#This Row],[ZOCALOS LOGIA]])</f>
        <v>0</v>
      </c>
      <c r="CE543" s="3">
        <f>+IF(AVANCE[[#This Row],[MOLDURAS]]=AQ$2,100%,AVANCE[[#This Row],[MOLDURAS]])</f>
        <v>0</v>
      </c>
      <c r="CF543" s="3">
        <f>+IF(AVANCE[[#This Row],[PILASTREO]]=AR$2,100%,AVANCE[[#This Row],[PILASTREO]])</f>
        <v>0</v>
      </c>
      <c r="CG543" s="3">
        <f>+IF(AVANCE[[#This Row],[CELOSIAS]]=AS$2,100%,AVANCE[[#This Row],[CELOSIAS]])</f>
        <v>0</v>
      </c>
      <c r="CH543" s="3">
        <f>+IF(AVANCE[[#This Row],[VENTANAS]]=AT$2,100%,AVANCE[[#This Row],[VENTANAS]])</f>
        <v>0</v>
      </c>
      <c r="CI543" s="3">
        <f>+IF(AVANCE[[#This Row],[PUERTAS ACCESO - LOGIA - BANO]]=AU$2,100%,AVANCE[[#This Row],[PUERTAS ACCESO - LOGIA - BANO]])</f>
        <v>0</v>
      </c>
      <c r="CJ543" s="3">
        <f>+IF(AVANCE[[#This Row],[CERRADURAS]]=AV$2,100%,AVANCE[[#This Row],[CERRADURAS]])</f>
        <v>0</v>
      </c>
      <c r="CK543" s="3">
        <f>+IF(AVANCE[[#This Row],[REVESTIMIENTO INTERIOR ZONA SECA]]=AW$2,100%,AVANCE[[#This Row],[REVESTIMIENTO INTERIOR ZONA SECA]])</f>
        <v>0</v>
      </c>
      <c r="CL543" s="3">
        <f>+IF(AVANCE[[#This Row],[REVESTIMIENTO INTERIOR ZONAS HUMEDAS]]=AX$2,100%,AVANCE[[#This Row],[REVESTIMIENTO INTERIOR ZONAS HUMEDAS]])</f>
        <v>0</v>
      </c>
      <c r="CM543" s="3">
        <f>+IF(AVANCE[[#This Row],[MEMBRANA CIELO]]=AY$2,100%,AVANCE[[#This Row],[MEMBRANA CIELO]])</f>
        <v>0</v>
      </c>
      <c r="CN543" s="3">
        <f>+IF(AVANCE[[#This Row],[LIMPIEZA FINAL]]=AZ$2,100%,AVANCE[[#This Row],[LIMPIEZA FINAL]])</f>
        <v>0</v>
      </c>
      <c r="CO543" s="3">
        <f>+IF(AVANCE[[#This Row],[PUERTAS DORMITORIO]]=BA$2,100%,AVANCE[[#This Row],[PUERTAS DORMITORIO]])</f>
        <v>0</v>
      </c>
      <c r="CP543" s="3">
        <f>+IF(AVANCE[[#This Row],[REVESTIMIENTO INTERIOR BANO]]=BB$2,100%,AVANCE[[#This Row],[REVESTIMIENTO INTERIOR BANO]])</f>
        <v>0</v>
      </c>
      <c r="CQ543" s="3">
        <f>+IF(AVANCE[[#This Row],[MUEBLE LAVAPLATOS]]=BC$2,100%,AVANCE[[#This Row],[MUEBLE LAVAPLATOS]])</f>
        <v>0</v>
      </c>
      <c r="CR543" s="3">
        <f>+IF(AVANCE[[#This Row],[IMPERMEABILIZACION BANO - COCINA LOGIA]]=BD$2,100%,AVANCE[[#This Row],[IMPERMEABILIZACION BANO - COCINA LOGIA]])</f>
        <v>0</v>
      </c>
      <c r="CS543" s="40">
        <f ca="1">+IF(AVANCE[[#This Row],[ESTADO MODULO]]="PENDIENTE",(TODAY()-AVANCE[[#This Row],[FECHA TERMINO  PLANIFICADO]]),0)</f>
        <v>0</v>
      </c>
      <c r="CT543" s="41" t="str" cm="1">
        <f t="array" ref="CT543">_xlfn.TEXTJOIN(" | ",TRUE,IF(SUMPRODUCT((BG543:CR543&lt;1)*(PARTIDAS!$I$2:$AT$2="OBRA GRUESA"))&gt;0,"OBRA GRUESA: "&amp;_xlfn.TEXTJOIN(", ",TRUE,IF((BG543:CR543&lt;1)*(PARTIDAS!$I$2:$AT$2="OBRA GRUESA"),PARTIDAS!$I$1:$AT$1,"")),""),IF(SUMPRODUCT((BG543:CR543&lt;1)*(PARTIDAS!$I$2:$AT$2="SANITARIOS"))&gt;0,"SANITARIOS: "&amp;_xlfn.TEXTJOIN(", ",TRUE,IF((BG543:CR543&lt;1)*(PARTIDAS!$I$2:$AT$2="SANITARIOS"),PARTIDAS!$I$1:$AT$1,"")),""),IF(SUMPRODUCT((BG543:CR543&lt;1)*(PARTIDAS!$I$2:$AT$2="ELÉCTRICO"))&gt;0,"ELÉCTRICO: "&amp;_xlfn.TEXTJOIN(", ",TRUE,IF((BG543:CR543&lt;1)*(PARTIDAS!$I$2:$AT$2="ELÉCTRICO"),PARTIDAS!$I$1:$AT$1,"")),""),IF(SUMPRODUCT((BG543:CR543&lt;1)*(PARTIDAS!$I$2:$AT$2="TERMINACIONES"))&gt;0,"TERMINACIONES: "&amp;_xlfn.TEXTJOIN(", ",TRUE,IF((BG543:CR543&lt;1)*(PARTIDAS!$I$2:$AT$2="TERMINACIONES"),PARTIDAS!$I$1:$AT$1,"")),""))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3" s="43" t="str" cm="1">
        <f t="array" ref="CU543">_xlfn.TEXTJOIN(", ",TRUE,IF(SUMPRODUCT((BG543:CR543&lt;1)*(PARTIDAS!$I$2:$AT$2="OBRA GRUESA"))&gt;0,"OBRA GRUESA",""),IF(SUMPRODUCT((BG543:CR543&lt;1)*(PARTIDAS!$I$2:$AT$2="SANITARIOS"))&gt;0,"SANITARIOS",""),IF(SUMPRODUCT((BG543:CR543&lt;1)*(PARTIDAS!$I$2:$AT$2="ELÉCTRICO"))&gt;0,"ELÉCTRICO",""),IF(SUMPRODUCT((BG543:CR543&lt;1)*(PARTIDAS!$I$2:$AT$2="TERMINACIONES"))&gt;0,"TERMINACIONES",""))</f>
        <v>OBRA GRUESA, SANITARIOS, ELÉCTRICO, TERMINACIONES</v>
      </c>
      <c r="CV543" s="44" cm="1">
        <f t="array" ref="CV543">SUMPRODUCT(--(BG543:CR543&lt;1))</f>
        <v>38</v>
      </c>
    </row>
    <row r="544" spans="1:100" hidden="1" x14ac:dyDescent="0.25">
      <c r="A544" t="s">
        <v>586</v>
      </c>
      <c r="B544" t="s">
        <v>617</v>
      </c>
      <c r="C544">
        <v>2302600543</v>
      </c>
      <c r="D544" t="s">
        <v>60</v>
      </c>
      <c r="E544" s="2">
        <v>0</v>
      </c>
      <c r="F544" s="1">
        <v>46413</v>
      </c>
      <c r="G544" s="1"/>
      <c r="H544" s="1">
        <v>0</v>
      </c>
      <c r="I544" s="1">
        <v>46443</v>
      </c>
      <c r="J544">
        <v>46230</v>
      </c>
      <c r="K544" s="1"/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>
        <v>31.32</v>
      </c>
      <c r="BF544" s="3" t="str">
        <f>+IF(AVANCE[[#This Row],[% AVANCE]]=100%,"MODULO TERMINADO",IF(AVANCE[[#This Row],[FECHA INICIO REAL]]="","MODULO NO INICIADO","PENDIENTE"))</f>
        <v>MODULO NO INICIADO</v>
      </c>
      <c r="BG544" s="3">
        <f>+IF(AVANCE[[#This Row],[VENTANAS]]=8.10810810810811%,100%,AVANCE[[#This Row],[VENTANAS]])</f>
        <v>0</v>
      </c>
      <c r="BH544" s="3">
        <f>+IF(AVANCE[[#This Row],[PISO]]=N$2,100%,AVANCE[[#This Row],[PISO]])</f>
        <v>0</v>
      </c>
      <c r="BI544" s="3">
        <f>+IF(AVANCE[[#This Row],[TABIQUES]]=O$2,100%,AVANCE[[#This Row],[TABIQUES]])</f>
        <v>0</v>
      </c>
      <c r="BJ544" s="3">
        <f>+IF(AVANCE[[#This Row],[MUROS]]=P$2,100%,AVANCE[[#This Row],[MUROS]])</f>
        <v>0</v>
      </c>
      <c r="BK544" s="3">
        <f>+IF(AVANCE[[#This Row],[CIELO]]=Q$2,100%,AVANCE[[#This Row],[CIELO]])</f>
        <v>0</v>
      </c>
      <c r="BL544" s="3">
        <f>+IF(AVANCE[[#This Row],[BALCÓN]]=R$2,100%,AVANCE[[#This Row],[BALCÓN]])</f>
        <v>0</v>
      </c>
      <c r="BM544" s="3">
        <f>+IF(AVANCE[[#This Row],[RED ALCANTARILLADO]]=U$2,100%,AVANCE[[#This Row],[RED ALCANTARILLADO]])</f>
        <v>0</v>
      </c>
      <c r="BN544" s="3">
        <f>+IF(AVANCE[[#This Row],[RED DE AGUA]]=V$2,100%,AVANCE[[#This Row],[RED DE AGUA]])</f>
        <v>0</v>
      </c>
      <c r="BO544" s="3">
        <f>+IF(AVANCE[[#This Row],[VENTILACIONES]]=W$2,100%,AVANCE[[#This Row],[VENTILACIONES]])</f>
        <v>0</v>
      </c>
      <c r="BP544" s="3">
        <f>+IF(AVANCE[[#This Row],[TINA]]=X$2,100%,AVANCE[[#This Row],[TINA]])</f>
        <v>0</v>
      </c>
      <c r="BQ544" s="3">
        <f>+IF(AVANCE[[#This Row],[WC]]=Y$2,100%,AVANCE[[#This Row],[WC]])</f>
        <v>0</v>
      </c>
      <c r="BR544" s="3">
        <f>+IF(AVANCE[[#This Row],[LAVAMANOS / LAVAPLATOS / LAVADERO]]=Z$2,100%,AVANCE[[#This Row],[LAVAMANOS / LAVAPLATOS / LAVADERO]])</f>
        <v>0</v>
      </c>
      <c r="BS544" s="3">
        <f>+IF(AVANCE[[#This Row],[CANALIZACIÓN]]=AC$2,100%,AVANCE[[#This Row],[CANALIZACIÓN]])</f>
        <v>0</v>
      </c>
      <c r="BT544" s="3">
        <f>+IF(AVANCE[[#This Row],[CABLEADO]]=AD$2,100%,AVANCE[[#This Row],[CABLEADO]])</f>
        <v>0</v>
      </c>
      <c r="BU544" s="3">
        <f>+IF(AVANCE[[#This Row],[ARTEFACTOS]]=AE$2,100%,AVANCE[[#This Row],[ARTEFACTOS]])</f>
        <v>0</v>
      </c>
      <c r="BV544" s="3">
        <f>+IF(AVANCE[[#This Row],[TABLERO]]=AF$2,100%,AVANCE[[#This Row],[TABLERO]])</f>
        <v>0</v>
      </c>
      <c r="BW544" s="3">
        <f>+IF(AVANCE[[#This Row],[CAJA PAU]]=AG$2,100%,AVANCE[[#This Row],[CAJA PAU]])</f>
        <v>0</v>
      </c>
      <c r="BX544" s="3">
        <f>+IF(AVANCE[[#This Row],[INSTALACION VINILICO]]=AJ$2,100%,AVANCE[[#This Row],[INSTALACION VINILICO]])</f>
        <v>0</v>
      </c>
      <c r="BY544" s="3">
        <f>+IF(AVANCE[[#This Row],[OSB CUBIERTA]]=AK$2,100%,AVANCE[[#This Row],[OSB CUBIERTA]])</f>
        <v>0</v>
      </c>
      <c r="BZ544" s="3">
        <f>+IF(AVANCE[[#This Row],[BARANDA BALCON]]=AL$2,100%,AVANCE[[#This Row],[BARANDA BALCON]])</f>
        <v>0</v>
      </c>
      <c r="CA544" s="3">
        <f>+IF(AVANCE[[#This Row],[OSB EXTERIOR]]=AM$2,100%,AVANCE[[#This Row],[OSB EXTERIOR]])</f>
        <v>0</v>
      </c>
      <c r="CB544" s="3">
        <f>+IF(AVANCE[[#This Row],[SMART PANEL]]=AN$2,100%,AVANCE[[#This Row],[SMART PANEL]])</f>
        <v>0</v>
      </c>
      <c r="CC544" s="3">
        <f>+IF(AVANCE[[#This Row],[PINTURA EXTERIOR]]=AO$2,100%,AVANCE[[#This Row],[PINTURA EXTERIOR]])</f>
        <v>0</v>
      </c>
      <c r="CD544" s="3">
        <f>+IF(AVANCE[[#This Row],[ZOCALOS LOGIA]]=AP$2,100%,AVANCE[[#This Row],[ZOCALOS LOGIA]])</f>
        <v>0</v>
      </c>
      <c r="CE544" s="3">
        <f>+IF(AVANCE[[#This Row],[MOLDURAS]]=AQ$2,100%,AVANCE[[#This Row],[MOLDURAS]])</f>
        <v>0</v>
      </c>
      <c r="CF544" s="3">
        <f>+IF(AVANCE[[#This Row],[PILASTREO]]=AR$2,100%,AVANCE[[#This Row],[PILASTREO]])</f>
        <v>0</v>
      </c>
      <c r="CG544" s="3">
        <f>+IF(AVANCE[[#This Row],[CELOSIAS]]=AS$2,100%,AVANCE[[#This Row],[CELOSIAS]])</f>
        <v>0</v>
      </c>
      <c r="CH544" s="3">
        <f>+IF(AVANCE[[#This Row],[VENTANAS]]=AT$2,100%,AVANCE[[#This Row],[VENTANAS]])</f>
        <v>0</v>
      </c>
      <c r="CI544" s="3">
        <f>+IF(AVANCE[[#This Row],[PUERTAS ACCESO - LOGIA - BANO]]=AU$2,100%,AVANCE[[#This Row],[PUERTAS ACCESO - LOGIA - BANO]])</f>
        <v>0</v>
      </c>
      <c r="CJ544" s="3">
        <f>+IF(AVANCE[[#This Row],[CERRADURAS]]=AV$2,100%,AVANCE[[#This Row],[CERRADURAS]])</f>
        <v>0</v>
      </c>
      <c r="CK544" s="3">
        <f>+IF(AVANCE[[#This Row],[REVESTIMIENTO INTERIOR ZONA SECA]]=AW$2,100%,AVANCE[[#This Row],[REVESTIMIENTO INTERIOR ZONA SECA]])</f>
        <v>0</v>
      </c>
      <c r="CL544" s="3">
        <f>+IF(AVANCE[[#This Row],[REVESTIMIENTO INTERIOR ZONAS HUMEDAS]]=AX$2,100%,AVANCE[[#This Row],[REVESTIMIENTO INTERIOR ZONAS HUMEDAS]])</f>
        <v>0</v>
      </c>
      <c r="CM544" s="3">
        <f>+IF(AVANCE[[#This Row],[MEMBRANA CIELO]]=AY$2,100%,AVANCE[[#This Row],[MEMBRANA CIELO]])</f>
        <v>0</v>
      </c>
      <c r="CN544" s="3">
        <f>+IF(AVANCE[[#This Row],[LIMPIEZA FINAL]]=AZ$2,100%,AVANCE[[#This Row],[LIMPIEZA FINAL]])</f>
        <v>0</v>
      </c>
      <c r="CO544" s="3">
        <f>+IF(AVANCE[[#This Row],[PUERTAS DORMITORIO]]=BA$2,100%,AVANCE[[#This Row],[PUERTAS DORMITORIO]])</f>
        <v>0</v>
      </c>
      <c r="CP544" s="3">
        <f>+IF(AVANCE[[#This Row],[REVESTIMIENTO INTERIOR BANO]]=BB$2,100%,AVANCE[[#This Row],[REVESTIMIENTO INTERIOR BANO]])</f>
        <v>0</v>
      </c>
      <c r="CQ544" s="3">
        <f>+IF(AVANCE[[#This Row],[MUEBLE LAVAPLATOS]]=BC$2,100%,AVANCE[[#This Row],[MUEBLE LAVAPLATOS]])</f>
        <v>0</v>
      </c>
      <c r="CR544" s="3">
        <f>+IF(AVANCE[[#This Row],[IMPERMEABILIZACION BANO - COCINA LOGIA]]=BD$2,100%,AVANCE[[#This Row],[IMPERMEABILIZACION BANO - COCINA LOGIA]])</f>
        <v>0</v>
      </c>
      <c r="CS544" s="40">
        <f ca="1">+IF(AVANCE[[#This Row],[ESTADO MODULO]]="PENDIENTE",(TODAY()-AVANCE[[#This Row],[FECHA TERMINO  PLANIFICADO]]),0)</f>
        <v>0</v>
      </c>
      <c r="CT544" s="41" t="str" cm="1">
        <f t="array" ref="CT544">_xlfn.TEXTJOIN(" | ",TRUE,IF(SUMPRODUCT((BG544:CR544&lt;1)*(PARTIDAS!$I$2:$AT$2="OBRA GRUESA"))&gt;0,"OBRA GRUESA: "&amp;_xlfn.TEXTJOIN(", ",TRUE,IF((BG544:CR544&lt;1)*(PARTIDAS!$I$2:$AT$2="OBRA GRUESA"),PARTIDAS!$I$1:$AT$1,"")),""),IF(SUMPRODUCT((BG544:CR544&lt;1)*(PARTIDAS!$I$2:$AT$2="SANITARIOS"))&gt;0,"SANITARIOS: "&amp;_xlfn.TEXTJOIN(", ",TRUE,IF((BG544:CR544&lt;1)*(PARTIDAS!$I$2:$AT$2="SANITARIOS"),PARTIDAS!$I$1:$AT$1,"")),""),IF(SUMPRODUCT((BG544:CR544&lt;1)*(PARTIDAS!$I$2:$AT$2="ELÉCTRICO"))&gt;0,"ELÉCTRICO: "&amp;_xlfn.TEXTJOIN(", ",TRUE,IF((BG544:CR544&lt;1)*(PARTIDAS!$I$2:$AT$2="ELÉCTRICO"),PARTIDAS!$I$1:$AT$1,"")),""),IF(SUMPRODUCT((BG544:CR544&lt;1)*(PARTIDAS!$I$2:$AT$2="TERMINACIONES"))&gt;0,"TERMINACIONES: "&amp;_xlfn.TEXTJOIN(", ",TRUE,IF((BG544:CR544&lt;1)*(PARTIDAS!$I$2:$AT$2="TERMINACIONES"),PARTIDAS!$I$1:$AT$1,"")),""))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4" s="43" t="str" cm="1">
        <f t="array" ref="CU544">_xlfn.TEXTJOIN(", ",TRUE,IF(SUMPRODUCT((BG544:CR544&lt;1)*(PARTIDAS!$I$2:$AT$2="OBRA GRUESA"))&gt;0,"OBRA GRUESA",""),IF(SUMPRODUCT((BG544:CR544&lt;1)*(PARTIDAS!$I$2:$AT$2="SANITARIOS"))&gt;0,"SANITARIOS",""),IF(SUMPRODUCT((BG544:CR544&lt;1)*(PARTIDAS!$I$2:$AT$2="ELÉCTRICO"))&gt;0,"ELÉCTRICO",""),IF(SUMPRODUCT((BG544:CR544&lt;1)*(PARTIDAS!$I$2:$AT$2="TERMINACIONES"))&gt;0,"TERMINACIONES",""))</f>
        <v>OBRA GRUESA, SANITARIOS, ELÉCTRICO, TERMINACIONES</v>
      </c>
      <c r="CV544" s="44" cm="1">
        <f t="array" ref="CV544">SUMPRODUCT(--(BG544:CR544&lt;1))</f>
        <v>38</v>
      </c>
    </row>
    <row r="545" spans="1:100" hidden="1" x14ac:dyDescent="0.25">
      <c r="A545" t="s">
        <v>586</v>
      </c>
      <c r="B545" t="s">
        <v>618</v>
      </c>
      <c r="C545">
        <v>2282600544</v>
      </c>
      <c r="D545" t="s">
        <v>58</v>
      </c>
      <c r="E545" s="2">
        <v>0</v>
      </c>
      <c r="F545" s="1">
        <v>46413</v>
      </c>
      <c r="G545" s="1"/>
      <c r="H545" s="1">
        <v>0</v>
      </c>
      <c r="I545" s="1">
        <v>46433</v>
      </c>
      <c r="J545">
        <v>46230</v>
      </c>
      <c r="K545" s="1"/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>
        <v>28.87</v>
      </c>
      <c r="BF545" s="3" t="str">
        <f>+IF(AVANCE[[#This Row],[% AVANCE]]=100%,"MODULO TERMINADO",IF(AVANCE[[#This Row],[FECHA INICIO REAL]]="","MODULO NO INICIADO","PENDIENTE"))</f>
        <v>MODULO NO INICIADO</v>
      </c>
      <c r="BG545" s="3">
        <f>+IF(AVANCE[[#This Row],[VENTANAS]]=8.10810810810811%,100%,AVANCE[[#This Row],[VENTANAS]])</f>
        <v>0</v>
      </c>
      <c r="BH545" s="3">
        <f>+IF(AVANCE[[#This Row],[PISO]]=N$2,100%,AVANCE[[#This Row],[PISO]])</f>
        <v>0</v>
      </c>
      <c r="BI545" s="3">
        <f>+IF(AVANCE[[#This Row],[TABIQUES]]=O$2,100%,AVANCE[[#This Row],[TABIQUES]])</f>
        <v>0</v>
      </c>
      <c r="BJ545" s="3">
        <f>+IF(AVANCE[[#This Row],[MUROS]]=P$2,100%,AVANCE[[#This Row],[MUROS]])</f>
        <v>0</v>
      </c>
      <c r="BK545" s="3">
        <f>+IF(AVANCE[[#This Row],[CIELO]]=Q$2,100%,AVANCE[[#This Row],[CIELO]])</f>
        <v>0</v>
      </c>
      <c r="BL545" s="3">
        <f>+IF(AVANCE[[#This Row],[BALCÓN]]=R$2,100%,AVANCE[[#This Row],[BALCÓN]])</f>
        <v>0</v>
      </c>
      <c r="BM545" s="3">
        <f>+IF(AVANCE[[#This Row],[RED ALCANTARILLADO]]=U$2,100%,AVANCE[[#This Row],[RED ALCANTARILLADO]])</f>
        <v>0</v>
      </c>
      <c r="BN545" s="3">
        <f>+IF(AVANCE[[#This Row],[RED DE AGUA]]=V$2,100%,AVANCE[[#This Row],[RED DE AGUA]])</f>
        <v>0</v>
      </c>
      <c r="BO545" s="3">
        <f>+IF(AVANCE[[#This Row],[VENTILACIONES]]=W$2,100%,AVANCE[[#This Row],[VENTILACIONES]])</f>
        <v>0</v>
      </c>
      <c r="BP545" s="3">
        <f>+IF(AVANCE[[#This Row],[TINA]]=X$2,100%,AVANCE[[#This Row],[TINA]])</f>
        <v>0</v>
      </c>
      <c r="BQ545" s="3">
        <f>+IF(AVANCE[[#This Row],[WC]]=Y$2,100%,AVANCE[[#This Row],[WC]])</f>
        <v>0</v>
      </c>
      <c r="BR545" s="3">
        <f>+IF(AVANCE[[#This Row],[LAVAMANOS / LAVAPLATOS / LAVADERO]]=Z$2,100%,AVANCE[[#This Row],[LAVAMANOS / LAVAPLATOS / LAVADERO]])</f>
        <v>0</v>
      </c>
      <c r="BS545" s="3">
        <f>+IF(AVANCE[[#This Row],[CANALIZACIÓN]]=AC$2,100%,AVANCE[[#This Row],[CANALIZACIÓN]])</f>
        <v>0</v>
      </c>
      <c r="BT545" s="3">
        <f>+IF(AVANCE[[#This Row],[CABLEADO]]=AD$2,100%,AVANCE[[#This Row],[CABLEADO]])</f>
        <v>0</v>
      </c>
      <c r="BU545" s="3">
        <f>+IF(AVANCE[[#This Row],[ARTEFACTOS]]=AE$2,100%,AVANCE[[#This Row],[ARTEFACTOS]])</f>
        <v>0</v>
      </c>
      <c r="BV545" s="3">
        <f>+IF(AVANCE[[#This Row],[TABLERO]]=AF$2,100%,AVANCE[[#This Row],[TABLERO]])</f>
        <v>0</v>
      </c>
      <c r="BW545" s="3">
        <f>+IF(AVANCE[[#This Row],[CAJA PAU]]=AG$2,100%,AVANCE[[#This Row],[CAJA PAU]])</f>
        <v>0</v>
      </c>
      <c r="BX545" s="3">
        <f>+IF(AVANCE[[#This Row],[INSTALACION VINILICO]]=AJ$2,100%,AVANCE[[#This Row],[INSTALACION VINILICO]])</f>
        <v>0</v>
      </c>
      <c r="BY545" s="3">
        <f>+IF(AVANCE[[#This Row],[OSB CUBIERTA]]=AK$2,100%,AVANCE[[#This Row],[OSB CUBIERTA]])</f>
        <v>0</v>
      </c>
      <c r="BZ545" s="3">
        <f>+IF(AVANCE[[#This Row],[BARANDA BALCON]]=AL$2,100%,AVANCE[[#This Row],[BARANDA BALCON]])</f>
        <v>0</v>
      </c>
      <c r="CA545" s="3">
        <f>+IF(AVANCE[[#This Row],[OSB EXTERIOR]]=AM$2,100%,AVANCE[[#This Row],[OSB EXTERIOR]])</f>
        <v>0</v>
      </c>
      <c r="CB545" s="3">
        <f>+IF(AVANCE[[#This Row],[SMART PANEL]]=AN$2,100%,AVANCE[[#This Row],[SMART PANEL]])</f>
        <v>0</v>
      </c>
      <c r="CC545" s="3">
        <f>+IF(AVANCE[[#This Row],[PINTURA EXTERIOR]]=AO$2,100%,AVANCE[[#This Row],[PINTURA EXTERIOR]])</f>
        <v>0</v>
      </c>
      <c r="CD545" s="3">
        <f>+IF(AVANCE[[#This Row],[ZOCALOS LOGIA]]=AP$2,100%,AVANCE[[#This Row],[ZOCALOS LOGIA]])</f>
        <v>0</v>
      </c>
      <c r="CE545" s="3">
        <f>+IF(AVANCE[[#This Row],[MOLDURAS]]=AQ$2,100%,AVANCE[[#This Row],[MOLDURAS]])</f>
        <v>0</v>
      </c>
      <c r="CF545" s="3">
        <f>+IF(AVANCE[[#This Row],[PILASTREO]]=AR$2,100%,AVANCE[[#This Row],[PILASTREO]])</f>
        <v>0</v>
      </c>
      <c r="CG545" s="3">
        <f>+IF(AVANCE[[#This Row],[CELOSIAS]]=AS$2,100%,AVANCE[[#This Row],[CELOSIAS]])</f>
        <v>0</v>
      </c>
      <c r="CH545" s="3">
        <f>+IF(AVANCE[[#This Row],[VENTANAS]]=AT$2,100%,AVANCE[[#This Row],[VENTANAS]])</f>
        <v>0</v>
      </c>
      <c r="CI545" s="3">
        <f>+IF(AVANCE[[#This Row],[PUERTAS ACCESO - LOGIA - BANO]]=AU$2,100%,AVANCE[[#This Row],[PUERTAS ACCESO - LOGIA - BANO]])</f>
        <v>0</v>
      </c>
      <c r="CJ545" s="3">
        <f>+IF(AVANCE[[#This Row],[CERRADURAS]]=AV$2,100%,AVANCE[[#This Row],[CERRADURAS]])</f>
        <v>0</v>
      </c>
      <c r="CK545" s="3">
        <f>+IF(AVANCE[[#This Row],[REVESTIMIENTO INTERIOR ZONA SECA]]=AW$2,100%,AVANCE[[#This Row],[REVESTIMIENTO INTERIOR ZONA SECA]])</f>
        <v>0</v>
      </c>
      <c r="CL545" s="3">
        <f>+IF(AVANCE[[#This Row],[REVESTIMIENTO INTERIOR ZONAS HUMEDAS]]=AX$2,100%,AVANCE[[#This Row],[REVESTIMIENTO INTERIOR ZONAS HUMEDAS]])</f>
        <v>0</v>
      </c>
      <c r="CM545" s="3">
        <f>+IF(AVANCE[[#This Row],[MEMBRANA CIELO]]=AY$2,100%,AVANCE[[#This Row],[MEMBRANA CIELO]])</f>
        <v>0</v>
      </c>
      <c r="CN545" s="3">
        <f>+IF(AVANCE[[#This Row],[LIMPIEZA FINAL]]=AZ$2,100%,AVANCE[[#This Row],[LIMPIEZA FINAL]])</f>
        <v>0</v>
      </c>
      <c r="CO545" s="3">
        <f>+IF(AVANCE[[#This Row],[PUERTAS DORMITORIO]]=BA$2,100%,AVANCE[[#This Row],[PUERTAS DORMITORIO]])</f>
        <v>0</v>
      </c>
      <c r="CP545" s="3">
        <f>+IF(AVANCE[[#This Row],[REVESTIMIENTO INTERIOR BANO]]=BB$2,100%,AVANCE[[#This Row],[REVESTIMIENTO INTERIOR BANO]])</f>
        <v>0</v>
      </c>
      <c r="CQ545" s="3">
        <f>+IF(AVANCE[[#This Row],[MUEBLE LAVAPLATOS]]=BC$2,100%,AVANCE[[#This Row],[MUEBLE LAVAPLATOS]])</f>
        <v>0</v>
      </c>
      <c r="CR545" s="3">
        <f>+IF(AVANCE[[#This Row],[IMPERMEABILIZACION BANO - COCINA LOGIA]]=BD$2,100%,AVANCE[[#This Row],[IMPERMEABILIZACION BANO - COCINA LOGIA]])</f>
        <v>0</v>
      </c>
      <c r="CS545" s="40">
        <f ca="1">+IF(AVANCE[[#This Row],[ESTADO MODULO]]="PENDIENTE",(TODAY()-AVANCE[[#This Row],[FECHA TERMINO  PLANIFICADO]]),0)</f>
        <v>0</v>
      </c>
      <c r="CT545" s="41" t="str" cm="1">
        <f t="array" ref="CT545">_xlfn.TEXTJOIN(" | ",TRUE,IF(SUMPRODUCT((BG545:CR545&lt;1)*(PARTIDAS!$I$2:$AT$2="OBRA GRUESA"))&gt;0,"OBRA GRUESA: "&amp;_xlfn.TEXTJOIN(", ",TRUE,IF((BG545:CR545&lt;1)*(PARTIDAS!$I$2:$AT$2="OBRA GRUESA"),PARTIDAS!$I$1:$AT$1,"")),""),IF(SUMPRODUCT((BG545:CR545&lt;1)*(PARTIDAS!$I$2:$AT$2="SANITARIOS"))&gt;0,"SANITARIOS: "&amp;_xlfn.TEXTJOIN(", ",TRUE,IF((BG545:CR545&lt;1)*(PARTIDAS!$I$2:$AT$2="SANITARIOS"),PARTIDAS!$I$1:$AT$1,"")),""),IF(SUMPRODUCT((BG545:CR545&lt;1)*(PARTIDAS!$I$2:$AT$2="ELÉCTRICO"))&gt;0,"ELÉCTRICO: "&amp;_xlfn.TEXTJOIN(", ",TRUE,IF((BG545:CR545&lt;1)*(PARTIDAS!$I$2:$AT$2="ELÉCTRICO"),PARTIDAS!$I$1:$AT$1,"")),""),IF(SUMPRODUCT((BG545:CR545&lt;1)*(PARTIDAS!$I$2:$AT$2="TERMINACIONES"))&gt;0,"TERMINACIONES: "&amp;_xlfn.TEXTJOIN(", ",TRUE,IF((BG545:CR545&lt;1)*(PARTIDAS!$I$2:$AT$2="TERMINACIONES"),PARTIDAS!$I$1:$AT$1,"")),""))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5" s="43" t="str" cm="1">
        <f t="array" ref="CU545">_xlfn.TEXTJOIN(", ",TRUE,IF(SUMPRODUCT((BG545:CR545&lt;1)*(PARTIDAS!$I$2:$AT$2="OBRA GRUESA"))&gt;0,"OBRA GRUESA",""),IF(SUMPRODUCT((BG545:CR545&lt;1)*(PARTIDAS!$I$2:$AT$2="SANITARIOS"))&gt;0,"SANITARIOS",""),IF(SUMPRODUCT((BG545:CR545&lt;1)*(PARTIDAS!$I$2:$AT$2="ELÉCTRICO"))&gt;0,"ELÉCTRICO",""),IF(SUMPRODUCT((BG545:CR545&lt;1)*(PARTIDAS!$I$2:$AT$2="TERMINACIONES"))&gt;0,"TERMINACIONES",""))</f>
        <v>OBRA GRUESA, SANITARIOS, ELÉCTRICO, TERMINACIONES</v>
      </c>
      <c r="CV545" s="44" cm="1">
        <f t="array" ref="CV545">SUMPRODUCT(--(BG545:CR545&lt;1))</f>
        <v>38</v>
      </c>
    </row>
    <row r="546" spans="1:100" hidden="1" x14ac:dyDescent="0.25">
      <c r="A546" t="s">
        <v>619</v>
      </c>
      <c r="B546" t="s">
        <v>620</v>
      </c>
      <c r="C546">
        <v>2282600545</v>
      </c>
      <c r="D546" t="s">
        <v>58</v>
      </c>
      <c r="E546" s="2">
        <v>0</v>
      </c>
      <c r="F546" s="1">
        <v>46414</v>
      </c>
      <c r="G546" s="1"/>
      <c r="H546" s="1">
        <v>0</v>
      </c>
      <c r="I546" s="1">
        <v>46434</v>
      </c>
      <c r="J546">
        <v>46230</v>
      </c>
      <c r="K546" s="1"/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>
        <v>28.87</v>
      </c>
      <c r="BF546" s="3" t="str">
        <f>+IF(AVANCE[[#This Row],[% AVANCE]]=100%,"MODULO TERMINADO",IF(AVANCE[[#This Row],[FECHA INICIO REAL]]="","MODULO NO INICIADO","PENDIENTE"))</f>
        <v>MODULO NO INICIADO</v>
      </c>
      <c r="BG546" s="3">
        <f>+IF(AVANCE[[#This Row],[VENTANAS]]=8.10810810810811%,100%,AVANCE[[#This Row],[VENTANAS]])</f>
        <v>0</v>
      </c>
      <c r="BH546" s="3">
        <f>+IF(AVANCE[[#This Row],[PISO]]=N$2,100%,AVANCE[[#This Row],[PISO]])</f>
        <v>0</v>
      </c>
      <c r="BI546" s="3">
        <f>+IF(AVANCE[[#This Row],[TABIQUES]]=O$2,100%,AVANCE[[#This Row],[TABIQUES]])</f>
        <v>0</v>
      </c>
      <c r="BJ546" s="3">
        <f>+IF(AVANCE[[#This Row],[MUROS]]=P$2,100%,AVANCE[[#This Row],[MUROS]])</f>
        <v>0</v>
      </c>
      <c r="BK546" s="3">
        <f>+IF(AVANCE[[#This Row],[CIELO]]=Q$2,100%,AVANCE[[#This Row],[CIELO]])</f>
        <v>0</v>
      </c>
      <c r="BL546" s="3">
        <f>+IF(AVANCE[[#This Row],[BALCÓN]]=R$2,100%,AVANCE[[#This Row],[BALCÓN]])</f>
        <v>0</v>
      </c>
      <c r="BM546" s="3">
        <f>+IF(AVANCE[[#This Row],[RED ALCANTARILLADO]]=U$2,100%,AVANCE[[#This Row],[RED ALCANTARILLADO]])</f>
        <v>0</v>
      </c>
      <c r="BN546" s="3">
        <f>+IF(AVANCE[[#This Row],[RED DE AGUA]]=V$2,100%,AVANCE[[#This Row],[RED DE AGUA]])</f>
        <v>0</v>
      </c>
      <c r="BO546" s="3">
        <f>+IF(AVANCE[[#This Row],[VENTILACIONES]]=W$2,100%,AVANCE[[#This Row],[VENTILACIONES]])</f>
        <v>0</v>
      </c>
      <c r="BP546" s="3">
        <f>+IF(AVANCE[[#This Row],[TINA]]=X$2,100%,AVANCE[[#This Row],[TINA]])</f>
        <v>0</v>
      </c>
      <c r="BQ546" s="3">
        <f>+IF(AVANCE[[#This Row],[WC]]=Y$2,100%,AVANCE[[#This Row],[WC]])</f>
        <v>0</v>
      </c>
      <c r="BR546" s="3">
        <f>+IF(AVANCE[[#This Row],[LAVAMANOS / LAVAPLATOS / LAVADERO]]=Z$2,100%,AVANCE[[#This Row],[LAVAMANOS / LAVAPLATOS / LAVADERO]])</f>
        <v>0</v>
      </c>
      <c r="BS546" s="3">
        <f>+IF(AVANCE[[#This Row],[CANALIZACIÓN]]=AC$2,100%,AVANCE[[#This Row],[CANALIZACIÓN]])</f>
        <v>0</v>
      </c>
      <c r="BT546" s="3">
        <f>+IF(AVANCE[[#This Row],[CABLEADO]]=AD$2,100%,AVANCE[[#This Row],[CABLEADO]])</f>
        <v>0</v>
      </c>
      <c r="BU546" s="3">
        <f>+IF(AVANCE[[#This Row],[ARTEFACTOS]]=AE$2,100%,AVANCE[[#This Row],[ARTEFACTOS]])</f>
        <v>0</v>
      </c>
      <c r="BV546" s="3">
        <f>+IF(AVANCE[[#This Row],[TABLERO]]=AF$2,100%,AVANCE[[#This Row],[TABLERO]])</f>
        <v>0</v>
      </c>
      <c r="BW546" s="3">
        <f>+IF(AVANCE[[#This Row],[CAJA PAU]]=AG$2,100%,AVANCE[[#This Row],[CAJA PAU]])</f>
        <v>0</v>
      </c>
      <c r="BX546" s="3">
        <f>+IF(AVANCE[[#This Row],[INSTALACION VINILICO]]=AJ$2,100%,AVANCE[[#This Row],[INSTALACION VINILICO]])</f>
        <v>0</v>
      </c>
      <c r="BY546" s="3">
        <f>+IF(AVANCE[[#This Row],[OSB CUBIERTA]]=AK$2,100%,AVANCE[[#This Row],[OSB CUBIERTA]])</f>
        <v>0</v>
      </c>
      <c r="BZ546" s="3">
        <f>+IF(AVANCE[[#This Row],[BARANDA BALCON]]=AL$2,100%,AVANCE[[#This Row],[BARANDA BALCON]])</f>
        <v>0</v>
      </c>
      <c r="CA546" s="3">
        <f>+IF(AVANCE[[#This Row],[OSB EXTERIOR]]=AM$2,100%,AVANCE[[#This Row],[OSB EXTERIOR]])</f>
        <v>0</v>
      </c>
      <c r="CB546" s="3">
        <f>+IF(AVANCE[[#This Row],[SMART PANEL]]=AN$2,100%,AVANCE[[#This Row],[SMART PANEL]])</f>
        <v>0</v>
      </c>
      <c r="CC546" s="3">
        <f>+IF(AVANCE[[#This Row],[PINTURA EXTERIOR]]=AO$2,100%,AVANCE[[#This Row],[PINTURA EXTERIOR]])</f>
        <v>0</v>
      </c>
      <c r="CD546" s="3">
        <f>+IF(AVANCE[[#This Row],[ZOCALOS LOGIA]]=AP$2,100%,AVANCE[[#This Row],[ZOCALOS LOGIA]])</f>
        <v>0</v>
      </c>
      <c r="CE546" s="3">
        <f>+IF(AVANCE[[#This Row],[MOLDURAS]]=AQ$2,100%,AVANCE[[#This Row],[MOLDURAS]])</f>
        <v>0</v>
      </c>
      <c r="CF546" s="3">
        <f>+IF(AVANCE[[#This Row],[PILASTREO]]=AR$2,100%,AVANCE[[#This Row],[PILASTREO]])</f>
        <v>0</v>
      </c>
      <c r="CG546" s="3">
        <f>+IF(AVANCE[[#This Row],[CELOSIAS]]=AS$2,100%,AVANCE[[#This Row],[CELOSIAS]])</f>
        <v>0</v>
      </c>
      <c r="CH546" s="3">
        <f>+IF(AVANCE[[#This Row],[VENTANAS]]=AT$2,100%,AVANCE[[#This Row],[VENTANAS]])</f>
        <v>0</v>
      </c>
      <c r="CI546" s="3">
        <f>+IF(AVANCE[[#This Row],[PUERTAS ACCESO - LOGIA - BANO]]=AU$2,100%,AVANCE[[#This Row],[PUERTAS ACCESO - LOGIA - BANO]])</f>
        <v>0</v>
      </c>
      <c r="CJ546" s="3">
        <f>+IF(AVANCE[[#This Row],[CERRADURAS]]=AV$2,100%,AVANCE[[#This Row],[CERRADURAS]])</f>
        <v>0</v>
      </c>
      <c r="CK546" s="3">
        <f>+IF(AVANCE[[#This Row],[REVESTIMIENTO INTERIOR ZONA SECA]]=AW$2,100%,AVANCE[[#This Row],[REVESTIMIENTO INTERIOR ZONA SECA]])</f>
        <v>0</v>
      </c>
      <c r="CL546" s="3">
        <f>+IF(AVANCE[[#This Row],[REVESTIMIENTO INTERIOR ZONAS HUMEDAS]]=AX$2,100%,AVANCE[[#This Row],[REVESTIMIENTO INTERIOR ZONAS HUMEDAS]])</f>
        <v>0</v>
      </c>
      <c r="CM546" s="3">
        <f>+IF(AVANCE[[#This Row],[MEMBRANA CIELO]]=AY$2,100%,AVANCE[[#This Row],[MEMBRANA CIELO]])</f>
        <v>0</v>
      </c>
      <c r="CN546" s="3">
        <f>+IF(AVANCE[[#This Row],[LIMPIEZA FINAL]]=AZ$2,100%,AVANCE[[#This Row],[LIMPIEZA FINAL]])</f>
        <v>0</v>
      </c>
      <c r="CO546" s="3">
        <f>+IF(AVANCE[[#This Row],[PUERTAS DORMITORIO]]=BA$2,100%,AVANCE[[#This Row],[PUERTAS DORMITORIO]])</f>
        <v>0</v>
      </c>
      <c r="CP546" s="3">
        <f>+IF(AVANCE[[#This Row],[REVESTIMIENTO INTERIOR BANO]]=BB$2,100%,AVANCE[[#This Row],[REVESTIMIENTO INTERIOR BANO]])</f>
        <v>0</v>
      </c>
      <c r="CQ546" s="3">
        <f>+IF(AVANCE[[#This Row],[MUEBLE LAVAPLATOS]]=BC$2,100%,AVANCE[[#This Row],[MUEBLE LAVAPLATOS]])</f>
        <v>0</v>
      </c>
      <c r="CR546" s="3">
        <f>+IF(AVANCE[[#This Row],[IMPERMEABILIZACION BANO - COCINA LOGIA]]=BD$2,100%,AVANCE[[#This Row],[IMPERMEABILIZACION BANO - COCINA LOGIA]])</f>
        <v>0</v>
      </c>
      <c r="CS546" s="40">
        <f ca="1">+IF(AVANCE[[#This Row],[ESTADO MODULO]]="PENDIENTE",(TODAY()-AVANCE[[#This Row],[FECHA TERMINO  PLANIFICADO]]),0)</f>
        <v>0</v>
      </c>
      <c r="CT546" s="41" t="str" cm="1">
        <f t="array" ref="CT546">_xlfn.TEXTJOIN(" | ",TRUE,IF(SUMPRODUCT((BG546:CR546&lt;1)*(PARTIDAS!$I$2:$AT$2="OBRA GRUESA"))&gt;0,"OBRA GRUESA: "&amp;_xlfn.TEXTJOIN(", ",TRUE,IF((BG546:CR546&lt;1)*(PARTIDAS!$I$2:$AT$2="OBRA GRUESA"),PARTIDAS!$I$1:$AT$1,"")),""),IF(SUMPRODUCT((BG546:CR546&lt;1)*(PARTIDAS!$I$2:$AT$2="SANITARIOS"))&gt;0,"SANITARIOS: "&amp;_xlfn.TEXTJOIN(", ",TRUE,IF((BG546:CR546&lt;1)*(PARTIDAS!$I$2:$AT$2="SANITARIOS"),PARTIDAS!$I$1:$AT$1,"")),""),IF(SUMPRODUCT((BG546:CR546&lt;1)*(PARTIDAS!$I$2:$AT$2="ELÉCTRICO"))&gt;0,"ELÉCTRICO: "&amp;_xlfn.TEXTJOIN(", ",TRUE,IF((BG546:CR546&lt;1)*(PARTIDAS!$I$2:$AT$2="ELÉCTRICO"),PARTIDAS!$I$1:$AT$1,"")),""),IF(SUMPRODUCT((BG546:CR546&lt;1)*(PARTIDAS!$I$2:$AT$2="TERMINACIONES"))&gt;0,"TERMINACIONES: "&amp;_xlfn.TEXTJOIN(", ",TRUE,IF((BG546:CR546&lt;1)*(PARTIDAS!$I$2:$AT$2="TERMINACIONES"),PARTIDAS!$I$1:$AT$1,"")),""))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6" s="43" t="str" cm="1">
        <f t="array" ref="CU546">_xlfn.TEXTJOIN(", ",TRUE,IF(SUMPRODUCT((BG546:CR546&lt;1)*(PARTIDAS!$I$2:$AT$2="OBRA GRUESA"))&gt;0,"OBRA GRUESA",""),IF(SUMPRODUCT((BG546:CR546&lt;1)*(PARTIDAS!$I$2:$AT$2="SANITARIOS"))&gt;0,"SANITARIOS",""),IF(SUMPRODUCT((BG546:CR546&lt;1)*(PARTIDAS!$I$2:$AT$2="ELÉCTRICO"))&gt;0,"ELÉCTRICO",""),IF(SUMPRODUCT((BG546:CR546&lt;1)*(PARTIDAS!$I$2:$AT$2="TERMINACIONES"))&gt;0,"TERMINACIONES",""))</f>
        <v>OBRA GRUESA, SANITARIOS, ELÉCTRICO, TERMINACIONES</v>
      </c>
      <c r="CV546" s="44" cm="1">
        <f t="array" ref="CV546">SUMPRODUCT(--(BG546:CR546&lt;1))</f>
        <v>38</v>
      </c>
    </row>
    <row r="547" spans="1:100" hidden="1" x14ac:dyDescent="0.25">
      <c r="A547" t="s">
        <v>619</v>
      </c>
      <c r="B547" t="s">
        <v>621</v>
      </c>
      <c r="C547">
        <v>2302600546</v>
      </c>
      <c r="D547" t="s">
        <v>60</v>
      </c>
      <c r="E547" s="2">
        <v>0</v>
      </c>
      <c r="F547" s="1">
        <v>46414</v>
      </c>
      <c r="G547" s="1"/>
      <c r="H547" s="1">
        <v>0</v>
      </c>
      <c r="I547" s="1">
        <v>46444</v>
      </c>
      <c r="J547">
        <v>46230</v>
      </c>
      <c r="K547" s="1"/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>
        <v>31.32</v>
      </c>
      <c r="BF547" s="3" t="str">
        <f>+IF(AVANCE[[#This Row],[% AVANCE]]=100%,"MODULO TERMINADO",IF(AVANCE[[#This Row],[FECHA INICIO REAL]]="","MODULO NO INICIADO","PENDIENTE"))</f>
        <v>MODULO NO INICIADO</v>
      </c>
      <c r="BG547" s="3">
        <f>+IF(AVANCE[[#This Row],[VENTANAS]]=8.10810810810811%,100%,AVANCE[[#This Row],[VENTANAS]])</f>
        <v>0</v>
      </c>
      <c r="BH547" s="3">
        <f>+IF(AVANCE[[#This Row],[PISO]]=N$2,100%,AVANCE[[#This Row],[PISO]])</f>
        <v>0</v>
      </c>
      <c r="BI547" s="3">
        <f>+IF(AVANCE[[#This Row],[TABIQUES]]=O$2,100%,AVANCE[[#This Row],[TABIQUES]])</f>
        <v>0</v>
      </c>
      <c r="BJ547" s="3">
        <f>+IF(AVANCE[[#This Row],[MUROS]]=P$2,100%,AVANCE[[#This Row],[MUROS]])</f>
        <v>0</v>
      </c>
      <c r="BK547" s="3">
        <f>+IF(AVANCE[[#This Row],[CIELO]]=Q$2,100%,AVANCE[[#This Row],[CIELO]])</f>
        <v>0</v>
      </c>
      <c r="BL547" s="3">
        <f>+IF(AVANCE[[#This Row],[BALCÓN]]=R$2,100%,AVANCE[[#This Row],[BALCÓN]])</f>
        <v>0</v>
      </c>
      <c r="BM547" s="3">
        <f>+IF(AVANCE[[#This Row],[RED ALCANTARILLADO]]=U$2,100%,AVANCE[[#This Row],[RED ALCANTARILLADO]])</f>
        <v>0</v>
      </c>
      <c r="BN547" s="3">
        <f>+IF(AVANCE[[#This Row],[RED DE AGUA]]=V$2,100%,AVANCE[[#This Row],[RED DE AGUA]])</f>
        <v>0</v>
      </c>
      <c r="BO547" s="3">
        <f>+IF(AVANCE[[#This Row],[VENTILACIONES]]=W$2,100%,AVANCE[[#This Row],[VENTILACIONES]])</f>
        <v>0</v>
      </c>
      <c r="BP547" s="3">
        <f>+IF(AVANCE[[#This Row],[TINA]]=X$2,100%,AVANCE[[#This Row],[TINA]])</f>
        <v>0</v>
      </c>
      <c r="BQ547" s="3">
        <f>+IF(AVANCE[[#This Row],[WC]]=Y$2,100%,AVANCE[[#This Row],[WC]])</f>
        <v>0</v>
      </c>
      <c r="BR547" s="3">
        <f>+IF(AVANCE[[#This Row],[LAVAMANOS / LAVAPLATOS / LAVADERO]]=Z$2,100%,AVANCE[[#This Row],[LAVAMANOS / LAVAPLATOS / LAVADERO]])</f>
        <v>0</v>
      </c>
      <c r="BS547" s="3">
        <f>+IF(AVANCE[[#This Row],[CANALIZACIÓN]]=AC$2,100%,AVANCE[[#This Row],[CANALIZACIÓN]])</f>
        <v>0</v>
      </c>
      <c r="BT547" s="3">
        <f>+IF(AVANCE[[#This Row],[CABLEADO]]=AD$2,100%,AVANCE[[#This Row],[CABLEADO]])</f>
        <v>0</v>
      </c>
      <c r="BU547" s="3">
        <f>+IF(AVANCE[[#This Row],[ARTEFACTOS]]=AE$2,100%,AVANCE[[#This Row],[ARTEFACTOS]])</f>
        <v>0</v>
      </c>
      <c r="BV547" s="3">
        <f>+IF(AVANCE[[#This Row],[TABLERO]]=AF$2,100%,AVANCE[[#This Row],[TABLERO]])</f>
        <v>0</v>
      </c>
      <c r="BW547" s="3">
        <f>+IF(AVANCE[[#This Row],[CAJA PAU]]=AG$2,100%,AVANCE[[#This Row],[CAJA PAU]])</f>
        <v>0</v>
      </c>
      <c r="BX547" s="3">
        <f>+IF(AVANCE[[#This Row],[INSTALACION VINILICO]]=AJ$2,100%,AVANCE[[#This Row],[INSTALACION VINILICO]])</f>
        <v>0</v>
      </c>
      <c r="BY547" s="3">
        <f>+IF(AVANCE[[#This Row],[OSB CUBIERTA]]=AK$2,100%,AVANCE[[#This Row],[OSB CUBIERTA]])</f>
        <v>0</v>
      </c>
      <c r="BZ547" s="3">
        <f>+IF(AVANCE[[#This Row],[BARANDA BALCON]]=AL$2,100%,AVANCE[[#This Row],[BARANDA BALCON]])</f>
        <v>0</v>
      </c>
      <c r="CA547" s="3">
        <f>+IF(AVANCE[[#This Row],[OSB EXTERIOR]]=AM$2,100%,AVANCE[[#This Row],[OSB EXTERIOR]])</f>
        <v>0</v>
      </c>
      <c r="CB547" s="3">
        <f>+IF(AVANCE[[#This Row],[SMART PANEL]]=AN$2,100%,AVANCE[[#This Row],[SMART PANEL]])</f>
        <v>0</v>
      </c>
      <c r="CC547" s="3">
        <f>+IF(AVANCE[[#This Row],[PINTURA EXTERIOR]]=AO$2,100%,AVANCE[[#This Row],[PINTURA EXTERIOR]])</f>
        <v>0</v>
      </c>
      <c r="CD547" s="3">
        <f>+IF(AVANCE[[#This Row],[ZOCALOS LOGIA]]=AP$2,100%,AVANCE[[#This Row],[ZOCALOS LOGIA]])</f>
        <v>0</v>
      </c>
      <c r="CE547" s="3">
        <f>+IF(AVANCE[[#This Row],[MOLDURAS]]=AQ$2,100%,AVANCE[[#This Row],[MOLDURAS]])</f>
        <v>0</v>
      </c>
      <c r="CF547" s="3">
        <f>+IF(AVANCE[[#This Row],[PILASTREO]]=AR$2,100%,AVANCE[[#This Row],[PILASTREO]])</f>
        <v>0</v>
      </c>
      <c r="CG547" s="3">
        <f>+IF(AVANCE[[#This Row],[CELOSIAS]]=AS$2,100%,AVANCE[[#This Row],[CELOSIAS]])</f>
        <v>0</v>
      </c>
      <c r="CH547" s="3">
        <f>+IF(AVANCE[[#This Row],[VENTANAS]]=AT$2,100%,AVANCE[[#This Row],[VENTANAS]])</f>
        <v>0</v>
      </c>
      <c r="CI547" s="3">
        <f>+IF(AVANCE[[#This Row],[PUERTAS ACCESO - LOGIA - BANO]]=AU$2,100%,AVANCE[[#This Row],[PUERTAS ACCESO - LOGIA - BANO]])</f>
        <v>0</v>
      </c>
      <c r="CJ547" s="3">
        <f>+IF(AVANCE[[#This Row],[CERRADURAS]]=AV$2,100%,AVANCE[[#This Row],[CERRADURAS]])</f>
        <v>0</v>
      </c>
      <c r="CK547" s="3">
        <f>+IF(AVANCE[[#This Row],[REVESTIMIENTO INTERIOR ZONA SECA]]=AW$2,100%,AVANCE[[#This Row],[REVESTIMIENTO INTERIOR ZONA SECA]])</f>
        <v>0</v>
      </c>
      <c r="CL547" s="3">
        <f>+IF(AVANCE[[#This Row],[REVESTIMIENTO INTERIOR ZONAS HUMEDAS]]=AX$2,100%,AVANCE[[#This Row],[REVESTIMIENTO INTERIOR ZONAS HUMEDAS]])</f>
        <v>0</v>
      </c>
      <c r="CM547" s="3">
        <f>+IF(AVANCE[[#This Row],[MEMBRANA CIELO]]=AY$2,100%,AVANCE[[#This Row],[MEMBRANA CIELO]])</f>
        <v>0</v>
      </c>
      <c r="CN547" s="3">
        <f>+IF(AVANCE[[#This Row],[LIMPIEZA FINAL]]=AZ$2,100%,AVANCE[[#This Row],[LIMPIEZA FINAL]])</f>
        <v>0</v>
      </c>
      <c r="CO547" s="3">
        <f>+IF(AVANCE[[#This Row],[PUERTAS DORMITORIO]]=BA$2,100%,AVANCE[[#This Row],[PUERTAS DORMITORIO]])</f>
        <v>0</v>
      </c>
      <c r="CP547" s="3">
        <f>+IF(AVANCE[[#This Row],[REVESTIMIENTO INTERIOR BANO]]=BB$2,100%,AVANCE[[#This Row],[REVESTIMIENTO INTERIOR BANO]])</f>
        <v>0</v>
      </c>
      <c r="CQ547" s="3">
        <f>+IF(AVANCE[[#This Row],[MUEBLE LAVAPLATOS]]=BC$2,100%,AVANCE[[#This Row],[MUEBLE LAVAPLATOS]])</f>
        <v>0</v>
      </c>
      <c r="CR547" s="3">
        <f>+IF(AVANCE[[#This Row],[IMPERMEABILIZACION BANO - COCINA LOGIA]]=BD$2,100%,AVANCE[[#This Row],[IMPERMEABILIZACION BANO - COCINA LOGIA]])</f>
        <v>0</v>
      </c>
      <c r="CS547" s="40">
        <f ca="1">+IF(AVANCE[[#This Row],[ESTADO MODULO]]="PENDIENTE",(TODAY()-AVANCE[[#This Row],[FECHA TERMINO  PLANIFICADO]]),0)</f>
        <v>0</v>
      </c>
      <c r="CT547" s="41" t="str" cm="1">
        <f t="array" ref="CT547">_xlfn.TEXTJOIN(" | ",TRUE,IF(SUMPRODUCT((BG547:CR547&lt;1)*(PARTIDAS!$I$2:$AT$2="OBRA GRUESA"))&gt;0,"OBRA GRUESA: "&amp;_xlfn.TEXTJOIN(", ",TRUE,IF((BG547:CR547&lt;1)*(PARTIDAS!$I$2:$AT$2="OBRA GRUESA"),PARTIDAS!$I$1:$AT$1,"")),""),IF(SUMPRODUCT((BG547:CR547&lt;1)*(PARTIDAS!$I$2:$AT$2="SANITARIOS"))&gt;0,"SANITARIOS: "&amp;_xlfn.TEXTJOIN(", ",TRUE,IF((BG547:CR547&lt;1)*(PARTIDAS!$I$2:$AT$2="SANITARIOS"),PARTIDAS!$I$1:$AT$1,"")),""),IF(SUMPRODUCT((BG547:CR547&lt;1)*(PARTIDAS!$I$2:$AT$2="ELÉCTRICO"))&gt;0,"ELÉCTRICO: "&amp;_xlfn.TEXTJOIN(", ",TRUE,IF((BG547:CR547&lt;1)*(PARTIDAS!$I$2:$AT$2="ELÉCTRICO"),PARTIDAS!$I$1:$AT$1,"")),""),IF(SUMPRODUCT((BG547:CR547&lt;1)*(PARTIDAS!$I$2:$AT$2="TERMINACIONES"))&gt;0,"TERMINACIONES: "&amp;_xlfn.TEXTJOIN(", ",TRUE,IF((BG547:CR547&lt;1)*(PARTIDAS!$I$2:$AT$2="TERMINACIONES"),PARTIDAS!$I$1:$AT$1,"")),""))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7" s="43" t="str" cm="1">
        <f t="array" ref="CU547">_xlfn.TEXTJOIN(", ",TRUE,IF(SUMPRODUCT((BG547:CR547&lt;1)*(PARTIDAS!$I$2:$AT$2="OBRA GRUESA"))&gt;0,"OBRA GRUESA",""),IF(SUMPRODUCT((BG547:CR547&lt;1)*(PARTIDAS!$I$2:$AT$2="SANITARIOS"))&gt;0,"SANITARIOS",""),IF(SUMPRODUCT((BG547:CR547&lt;1)*(PARTIDAS!$I$2:$AT$2="ELÉCTRICO"))&gt;0,"ELÉCTRICO",""),IF(SUMPRODUCT((BG547:CR547&lt;1)*(PARTIDAS!$I$2:$AT$2="TERMINACIONES"))&gt;0,"TERMINACIONES",""))</f>
        <v>OBRA GRUESA, SANITARIOS, ELÉCTRICO, TERMINACIONES</v>
      </c>
      <c r="CV547" s="44" cm="1">
        <f t="array" ref="CV547">SUMPRODUCT(--(BG547:CR547&lt;1))</f>
        <v>38</v>
      </c>
    </row>
    <row r="548" spans="1:100" hidden="1" x14ac:dyDescent="0.25">
      <c r="A548" t="s">
        <v>619</v>
      </c>
      <c r="B548" t="s">
        <v>622</v>
      </c>
      <c r="C548">
        <v>2302600547</v>
      </c>
      <c r="D548" t="s">
        <v>60</v>
      </c>
      <c r="E548" s="2">
        <v>0</v>
      </c>
      <c r="F548" s="1">
        <v>46414</v>
      </c>
      <c r="G548" s="1"/>
      <c r="H548" s="1">
        <v>0</v>
      </c>
      <c r="I548" s="1">
        <v>46444</v>
      </c>
      <c r="J548">
        <v>46230</v>
      </c>
      <c r="K548" s="1"/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>
        <v>31.32</v>
      </c>
      <c r="BF548" s="3" t="str">
        <f>+IF(AVANCE[[#This Row],[% AVANCE]]=100%,"MODULO TERMINADO",IF(AVANCE[[#This Row],[FECHA INICIO REAL]]="","MODULO NO INICIADO","PENDIENTE"))</f>
        <v>MODULO NO INICIADO</v>
      </c>
      <c r="BG548" s="3">
        <f>+IF(AVANCE[[#This Row],[VENTANAS]]=8.10810810810811%,100%,AVANCE[[#This Row],[VENTANAS]])</f>
        <v>0</v>
      </c>
      <c r="BH548" s="3">
        <f>+IF(AVANCE[[#This Row],[PISO]]=N$2,100%,AVANCE[[#This Row],[PISO]])</f>
        <v>0</v>
      </c>
      <c r="BI548" s="3">
        <f>+IF(AVANCE[[#This Row],[TABIQUES]]=O$2,100%,AVANCE[[#This Row],[TABIQUES]])</f>
        <v>0</v>
      </c>
      <c r="BJ548" s="3">
        <f>+IF(AVANCE[[#This Row],[MUROS]]=P$2,100%,AVANCE[[#This Row],[MUROS]])</f>
        <v>0</v>
      </c>
      <c r="BK548" s="3">
        <f>+IF(AVANCE[[#This Row],[CIELO]]=Q$2,100%,AVANCE[[#This Row],[CIELO]])</f>
        <v>0</v>
      </c>
      <c r="BL548" s="3">
        <f>+IF(AVANCE[[#This Row],[BALCÓN]]=R$2,100%,AVANCE[[#This Row],[BALCÓN]])</f>
        <v>0</v>
      </c>
      <c r="BM548" s="3">
        <f>+IF(AVANCE[[#This Row],[RED ALCANTARILLADO]]=U$2,100%,AVANCE[[#This Row],[RED ALCANTARILLADO]])</f>
        <v>0</v>
      </c>
      <c r="BN548" s="3">
        <f>+IF(AVANCE[[#This Row],[RED DE AGUA]]=V$2,100%,AVANCE[[#This Row],[RED DE AGUA]])</f>
        <v>0</v>
      </c>
      <c r="BO548" s="3">
        <f>+IF(AVANCE[[#This Row],[VENTILACIONES]]=W$2,100%,AVANCE[[#This Row],[VENTILACIONES]])</f>
        <v>0</v>
      </c>
      <c r="BP548" s="3">
        <f>+IF(AVANCE[[#This Row],[TINA]]=X$2,100%,AVANCE[[#This Row],[TINA]])</f>
        <v>0</v>
      </c>
      <c r="BQ548" s="3">
        <f>+IF(AVANCE[[#This Row],[WC]]=Y$2,100%,AVANCE[[#This Row],[WC]])</f>
        <v>0</v>
      </c>
      <c r="BR548" s="3">
        <f>+IF(AVANCE[[#This Row],[LAVAMANOS / LAVAPLATOS / LAVADERO]]=Z$2,100%,AVANCE[[#This Row],[LAVAMANOS / LAVAPLATOS / LAVADERO]])</f>
        <v>0</v>
      </c>
      <c r="BS548" s="3">
        <f>+IF(AVANCE[[#This Row],[CANALIZACIÓN]]=AC$2,100%,AVANCE[[#This Row],[CANALIZACIÓN]])</f>
        <v>0</v>
      </c>
      <c r="BT548" s="3">
        <f>+IF(AVANCE[[#This Row],[CABLEADO]]=AD$2,100%,AVANCE[[#This Row],[CABLEADO]])</f>
        <v>0</v>
      </c>
      <c r="BU548" s="3">
        <f>+IF(AVANCE[[#This Row],[ARTEFACTOS]]=AE$2,100%,AVANCE[[#This Row],[ARTEFACTOS]])</f>
        <v>0</v>
      </c>
      <c r="BV548" s="3">
        <f>+IF(AVANCE[[#This Row],[TABLERO]]=AF$2,100%,AVANCE[[#This Row],[TABLERO]])</f>
        <v>0</v>
      </c>
      <c r="BW548" s="3">
        <f>+IF(AVANCE[[#This Row],[CAJA PAU]]=AG$2,100%,AVANCE[[#This Row],[CAJA PAU]])</f>
        <v>0</v>
      </c>
      <c r="BX548" s="3">
        <f>+IF(AVANCE[[#This Row],[INSTALACION VINILICO]]=AJ$2,100%,AVANCE[[#This Row],[INSTALACION VINILICO]])</f>
        <v>0</v>
      </c>
      <c r="BY548" s="3">
        <f>+IF(AVANCE[[#This Row],[OSB CUBIERTA]]=AK$2,100%,AVANCE[[#This Row],[OSB CUBIERTA]])</f>
        <v>0</v>
      </c>
      <c r="BZ548" s="3">
        <f>+IF(AVANCE[[#This Row],[BARANDA BALCON]]=AL$2,100%,AVANCE[[#This Row],[BARANDA BALCON]])</f>
        <v>0</v>
      </c>
      <c r="CA548" s="3">
        <f>+IF(AVANCE[[#This Row],[OSB EXTERIOR]]=AM$2,100%,AVANCE[[#This Row],[OSB EXTERIOR]])</f>
        <v>0</v>
      </c>
      <c r="CB548" s="3">
        <f>+IF(AVANCE[[#This Row],[SMART PANEL]]=AN$2,100%,AVANCE[[#This Row],[SMART PANEL]])</f>
        <v>0</v>
      </c>
      <c r="CC548" s="3">
        <f>+IF(AVANCE[[#This Row],[PINTURA EXTERIOR]]=AO$2,100%,AVANCE[[#This Row],[PINTURA EXTERIOR]])</f>
        <v>0</v>
      </c>
      <c r="CD548" s="3">
        <f>+IF(AVANCE[[#This Row],[ZOCALOS LOGIA]]=AP$2,100%,AVANCE[[#This Row],[ZOCALOS LOGIA]])</f>
        <v>0</v>
      </c>
      <c r="CE548" s="3">
        <f>+IF(AVANCE[[#This Row],[MOLDURAS]]=AQ$2,100%,AVANCE[[#This Row],[MOLDURAS]])</f>
        <v>0</v>
      </c>
      <c r="CF548" s="3">
        <f>+IF(AVANCE[[#This Row],[PILASTREO]]=AR$2,100%,AVANCE[[#This Row],[PILASTREO]])</f>
        <v>0</v>
      </c>
      <c r="CG548" s="3">
        <f>+IF(AVANCE[[#This Row],[CELOSIAS]]=AS$2,100%,AVANCE[[#This Row],[CELOSIAS]])</f>
        <v>0</v>
      </c>
      <c r="CH548" s="3">
        <f>+IF(AVANCE[[#This Row],[VENTANAS]]=AT$2,100%,AVANCE[[#This Row],[VENTANAS]])</f>
        <v>0</v>
      </c>
      <c r="CI548" s="3">
        <f>+IF(AVANCE[[#This Row],[PUERTAS ACCESO - LOGIA - BANO]]=AU$2,100%,AVANCE[[#This Row],[PUERTAS ACCESO - LOGIA - BANO]])</f>
        <v>0</v>
      </c>
      <c r="CJ548" s="3">
        <f>+IF(AVANCE[[#This Row],[CERRADURAS]]=AV$2,100%,AVANCE[[#This Row],[CERRADURAS]])</f>
        <v>0</v>
      </c>
      <c r="CK548" s="3">
        <f>+IF(AVANCE[[#This Row],[REVESTIMIENTO INTERIOR ZONA SECA]]=AW$2,100%,AVANCE[[#This Row],[REVESTIMIENTO INTERIOR ZONA SECA]])</f>
        <v>0</v>
      </c>
      <c r="CL548" s="3">
        <f>+IF(AVANCE[[#This Row],[REVESTIMIENTO INTERIOR ZONAS HUMEDAS]]=AX$2,100%,AVANCE[[#This Row],[REVESTIMIENTO INTERIOR ZONAS HUMEDAS]])</f>
        <v>0</v>
      </c>
      <c r="CM548" s="3">
        <f>+IF(AVANCE[[#This Row],[MEMBRANA CIELO]]=AY$2,100%,AVANCE[[#This Row],[MEMBRANA CIELO]])</f>
        <v>0</v>
      </c>
      <c r="CN548" s="3">
        <f>+IF(AVANCE[[#This Row],[LIMPIEZA FINAL]]=AZ$2,100%,AVANCE[[#This Row],[LIMPIEZA FINAL]])</f>
        <v>0</v>
      </c>
      <c r="CO548" s="3">
        <f>+IF(AVANCE[[#This Row],[PUERTAS DORMITORIO]]=BA$2,100%,AVANCE[[#This Row],[PUERTAS DORMITORIO]])</f>
        <v>0</v>
      </c>
      <c r="CP548" s="3">
        <f>+IF(AVANCE[[#This Row],[REVESTIMIENTO INTERIOR BANO]]=BB$2,100%,AVANCE[[#This Row],[REVESTIMIENTO INTERIOR BANO]])</f>
        <v>0</v>
      </c>
      <c r="CQ548" s="3">
        <f>+IF(AVANCE[[#This Row],[MUEBLE LAVAPLATOS]]=BC$2,100%,AVANCE[[#This Row],[MUEBLE LAVAPLATOS]])</f>
        <v>0</v>
      </c>
      <c r="CR548" s="3">
        <f>+IF(AVANCE[[#This Row],[IMPERMEABILIZACION BANO - COCINA LOGIA]]=BD$2,100%,AVANCE[[#This Row],[IMPERMEABILIZACION BANO - COCINA LOGIA]])</f>
        <v>0</v>
      </c>
      <c r="CS548" s="40">
        <f ca="1">+IF(AVANCE[[#This Row],[ESTADO MODULO]]="PENDIENTE",(TODAY()-AVANCE[[#This Row],[FECHA TERMINO  PLANIFICADO]]),0)</f>
        <v>0</v>
      </c>
      <c r="CT548" s="41" t="str" cm="1">
        <f t="array" ref="CT548">_xlfn.TEXTJOIN(" | ",TRUE,IF(SUMPRODUCT((BG548:CR548&lt;1)*(PARTIDAS!$I$2:$AT$2="OBRA GRUESA"))&gt;0,"OBRA GRUESA: "&amp;_xlfn.TEXTJOIN(", ",TRUE,IF((BG548:CR548&lt;1)*(PARTIDAS!$I$2:$AT$2="OBRA GRUESA"),PARTIDAS!$I$1:$AT$1,"")),""),IF(SUMPRODUCT((BG548:CR548&lt;1)*(PARTIDAS!$I$2:$AT$2="SANITARIOS"))&gt;0,"SANITARIOS: "&amp;_xlfn.TEXTJOIN(", ",TRUE,IF((BG548:CR548&lt;1)*(PARTIDAS!$I$2:$AT$2="SANITARIOS"),PARTIDAS!$I$1:$AT$1,"")),""),IF(SUMPRODUCT((BG548:CR548&lt;1)*(PARTIDAS!$I$2:$AT$2="ELÉCTRICO"))&gt;0,"ELÉCTRICO: "&amp;_xlfn.TEXTJOIN(", ",TRUE,IF((BG548:CR548&lt;1)*(PARTIDAS!$I$2:$AT$2="ELÉCTRICO"),PARTIDAS!$I$1:$AT$1,"")),""),IF(SUMPRODUCT((BG548:CR548&lt;1)*(PARTIDAS!$I$2:$AT$2="TERMINACIONES"))&gt;0,"TERMINACIONES: "&amp;_xlfn.TEXTJOIN(", ",TRUE,IF((BG548:CR548&lt;1)*(PARTIDAS!$I$2:$AT$2="TERMINACIONES"),PARTIDAS!$I$1:$AT$1,"")),""))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8" s="43" t="str" cm="1">
        <f t="array" ref="CU548">_xlfn.TEXTJOIN(", ",TRUE,IF(SUMPRODUCT((BG548:CR548&lt;1)*(PARTIDAS!$I$2:$AT$2="OBRA GRUESA"))&gt;0,"OBRA GRUESA",""),IF(SUMPRODUCT((BG548:CR548&lt;1)*(PARTIDAS!$I$2:$AT$2="SANITARIOS"))&gt;0,"SANITARIOS",""),IF(SUMPRODUCT((BG548:CR548&lt;1)*(PARTIDAS!$I$2:$AT$2="ELÉCTRICO"))&gt;0,"ELÉCTRICO",""),IF(SUMPRODUCT((BG548:CR548&lt;1)*(PARTIDAS!$I$2:$AT$2="TERMINACIONES"))&gt;0,"TERMINACIONES",""))</f>
        <v>OBRA GRUESA, SANITARIOS, ELÉCTRICO, TERMINACIONES</v>
      </c>
      <c r="CV548" s="44" cm="1">
        <f t="array" ref="CV548">SUMPRODUCT(--(BG548:CR548&lt;1))</f>
        <v>38</v>
      </c>
    </row>
    <row r="549" spans="1:100" hidden="1" x14ac:dyDescent="0.25">
      <c r="A549" t="s">
        <v>619</v>
      </c>
      <c r="B549" t="s">
        <v>623</v>
      </c>
      <c r="C549">
        <v>2282600548</v>
      </c>
      <c r="D549" t="s">
        <v>58</v>
      </c>
      <c r="E549" s="2">
        <v>0</v>
      </c>
      <c r="F549" s="1">
        <v>46415</v>
      </c>
      <c r="G549" s="1"/>
      <c r="H549" s="1">
        <v>0</v>
      </c>
      <c r="I549" s="1">
        <v>46435</v>
      </c>
      <c r="J549">
        <v>46230</v>
      </c>
      <c r="K549" s="1"/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>
        <v>28.87</v>
      </c>
      <c r="BF549" s="3" t="str">
        <f>+IF(AVANCE[[#This Row],[% AVANCE]]=100%,"MODULO TERMINADO",IF(AVANCE[[#This Row],[FECHA INICIO REAL]]="","MODULO NO INICIADO","PENDIENTE"))</f>
        <v>MODULO NO INICIADO</v>
      </c>
      <c r="BG549" s="3">
        <f>+IF(AVANCE[[#This Row],[VENTANAS]]=8.10810810810811%,100%,AVANCE[[#This Row],[VENTANAS]])</f>
        <v>0</v>
      </c>
      <c r="BH549" s="3">
        <f>+IF(AVANCE[[#This Row],[PISO]]=N$2,100%,AVANCE[[#This Row],[PISO]])</f>
        <v>0</v>
      </c>
      <c r="BI549" s="3">
        <f>+IF(AVANCE[[#This Row],[TABIQUES]]=O$2,100%,AVANCE[[#This Row],[TABIQUES]])</f>
        <v>0</v>
      </c>
      <c r="BJ549" s="3">
        <f>+IF(AVANCE[[#This Row],[MUROS]]=P$2,100%,AVANCE[[#This Row],[MUROS]])</f>
        <v>0</v>
      </c>
      <c r="BK549" s="3">
        <f>+IF(AVANCE[[#This Row],[CIELO]]=Q$2,100%,AVANCE[[#This Row],[CIELO]])</f>
        <v>0</v>
      </c>
      <c r="BL549" s="3">
        <f>+IF(AVANCE[[#This Row],[BALCÓN]]=R$2,100%,AVANCE[[#This Row],[BALCÓN]])</f>
        <v>0</v>
      </c>
      <c r="BM549" s="3">
        <f>+IF(AVANCE[[#This Row],[RED ALCANTARILLADO]]=U$2,100%,AVANCE[[#This Row],[RED ALCANTARILLADO]])</f>
        <v>0</v>
      </c>
      <c r="BN549" s="3">
        <f>+IF(AVANCE[[#This Row],[RED DE AGUA]]=V$2,100%,AVANCE[[#This Row],[RED DE AGUA]])</f>
        <v>0</v>
      </c>
      <c r="BO549" s="3">
        <f>+IF(AVANCE[[#This Row],[VENTILACIONES]]=W$2,100%,AVANCE[[#This Row],[VENTILACIONES]])</f>
        <v>0</v>
      </c>
      <c r="BP549" s="3">
        <f>+IF(AVANCE[[#This Row],[TINA]]=X$2,100%,AVANCE[[#This Row],[TINA]])</f>
        <v>0</v>
      </c>
      <c r="BQ549" s="3">
        <f>+IF(AVANCE[[#This Row],[WC]]=Y$2,100%,AVANCE[[#This Row],[WC]])</f>
        <v>0</v>
      </c>
      <c r="BR549" s="3">
        <f>+IF(AVANCE[[#This Row],[LAVAMANOS / LAVAPLATOS / LAVADERO]]=Z$2,100%,AVANCE[[#This Row],[LAVAMANOS / LAVAPLATOS / LAVADERO]])</f>
        <v>0</v>
      </c>
      <c r="BS549" s="3">
        <f>+IF(AVANCE[[#This Row],[CANALIZACIÓN]]=AC$2,100%,AVANCE[[#This Row],[CANALIZACIÓN]])</f>
        <v>0</v>
      </c>
      <c r="BT549" s="3">
        <f>+IF(AVANCE[[#This Row],[CABLEADO]]=AD$2,100%,AVANCE[[#This Row],[CABLEADO]])</f>
        <v>0</v>
      </c>
      <c r="BU549" s="3">
        <f>+IF(AVANCE[[#This Row],[ARTEFACTOS]]=AE$2,100%,AVANCE[[#This Row],[ARTEFACTOS]])</f>
        <v>0</v>
      </c>
      <c r="BV549" s="3">
        <f>+IF(AVANCE[[#This Row],[TABLERO]]=AF$2,100%,AVANCE[[#This Row],[TABLERO]])</f>
        <v>0</v>
      </c>
      <c r="BW549" s="3">
        <f>+IF(AVANCE[[#This Row],[CAJA PAU]]=AG$2,100%,AVANCE[[#This Row],[CAJA PAU]])</f>
        <v>0</v>
      </c>
      <c r="BX549" s="3">
        <f>+IF(AVANCE[[#This Row],[INSTALACION VINILICO]]=AJ$2,100%,AVANCE[[#This Row],[INSTALACION VINILICO]])</f>
        <v>0</v>
      </c>
      <c r="BY549" s="3">
        <f>+IF(AVANCE[[#This Row],[OSB CUBIERTA]]=AK$2,100%,AVANCE[[#This Row],[OSB CUBIERTA]])</f>
        <v>0</v>
      </c>
      <c r="BZ549" s="3">
        <f>+IF(AVANCE[[#This Row],[BARANDA BALCON]]=AL$2,100%,AVANCE[[#This Row],[BARANDA BALCON]])</f>
        <v>0</v>
      </c>
      <c r="CA549" s="3">
        <f>+IF(AVANCE[[#This Row],[OSB EXTERIOR]]=AM$2,100%,AVANCE[[#This Row],[OSB EXTERIOR]])</f>
        <v>0</v>
      </c>
      <c r="CB549" s="3">
        <f>+IF(AVANCE[[#This Row],[SMART PANEL]]=AN$2,100%,AVANCE[[#This Row],[SMART PANEL]])</f>
        <v>0</v>
      </c>
      <c r="CC549" s="3">
        <f>+IF(AVANCE[[#This Row],[PINTURA EXTERIOR]]=AO$2,100%,AVANCE[[#This Row],[PINTURA EXTERIOR]])</f>
        <v>0</v>
      </c>
      <c r="CD549" s="3">
        <f>+IF(AVANCE[[#This Row],[ZOCALOS LOGIA]]=AP$2,100%,AVANCE[[#This Row],[ZOCALOS LOGIA]])</f>
        <v>0</v>
      </c>
      <c r="CE549" s="3">
        <f>+IF(AVANCE[[#This Row],[MOLDURAS]]=AQ$2,100%,AVANCE[[#This Row],[MOLDURAS]])</f>
        <v>0</v>
      </c>
      <c r="CF549" s="3">
        <f>+IF(AVANCE[[#This Row],[PILASTREO]]=AR$2,100%,AVANCE[[#This Row],[PILASTREO]])</f>
        <v>0</v>
      </c>
      <c r="CG549" s="3">
        <f>+IF(AVANCE[[#This Row],[CELOSIAS]]=AS$2,100%,AVANCE[[#This Row],[CELOSIAS]])</f>
        <v>0</v>
      </c>
      <c r="CH549" s="3">
        <f>+IF(AVANCE[[#This Row],[VENTANAS]]=AT$2,100%,AVANCE[[#This Row],[VENTANAS]])</f>
        <v>0</v>
      </c>
      <c r="CI549" s="3">
        <f>+IF(AVANCE[[#This Row],[PUERTAS ACCESO - LOGIA - BANO]]=AU$2,100%,AVANCE[[#This Row],[PUERTAS ACCESO - LOGIA - BANO]])</f>
        <v>0</v>
      </c>
      <c r="CJ549" s="3">
        <f>+IF(AVANCE[[#This Row],[CERRADURAS]]=AV$2,100%,AVANCE[[#This Row],[CERRADURAS]])</f>
        <v>0</v>
      </c>
      <c r="CK549" s="3">
        <f>+IF(AVANCE[[#This Row],[REVESTIMIENTO INTERIOR ZONA SECA]]=AW$2,100%,AVANCE[[#This Row],[REVESTIMIENTO INTERIOR ZONA SECA]])</f>
        <v>0</v>
      </c>
      <c r="CL549" s="3">
        <f>+IF(AVANCE[[#This Row],[REVESTIMIENTO INTERIOR ZONAS HUMEDAS]]=AX$2,100%,AVANCE[[#This Row],[REVESTIMIENTO INTERIOR ZONAS HUMEDAS]])</f>
        <v>0</v>
      </c>
      <c r="CM549" s="3">
        <f>+IF(AVANCE[[#This Row],[MEMBRANA CIELO]]=AY$2,100%,AVANCE[[#This Row],[MEMBRANA CIELO]])</f>
        <v>0</v>
      </c>
      <c r="CN549" s="3">
        <f>+IF(AVANCE[[#This Row],[LIMPIEZA FINAL]]=AZ$2,100%,AVANCE[[#This Row],[LIMPIEZA FINAL]])</f>
        <v>0</v>
      </c>
      <c r="CO549" s="3">
        <f>+IF(AVANCE[[#This Row],[PUERTAS DORMITORIO]]=BA$2,100%,AVANCE[[#This Row],[PUERTAS DORMITORIO]])</f>
        <v>0</v>
      </c>
      <c r="CP549" s="3">
        <f>+IF(AVANCE[[#This Row],[REVESTIMIENTO INTERIOR BANO]]=BB$2,100%,AVANCE[[#This Row],[REVESTIMIENTO INTERIOR BANO]])</f>
        <v>0</v>
      </c>
      <c r="CQ549" s="3">
        <f>+IF(AVANCE[[#This Row],[MUEBLE LAVAPLATOS]]=BC$2,100%,AVANCE[[#This Row],[MUEBLE LAVAPLATOS]])</f>
        <v>0</v>
      </c>
      <c r="CR549" s="3">
        <f>+IF(AVANCE[[#This Row],[IMPERMEABILIZACION BANO - COCINA LOGIA]]=BD$2,100%,AVANCE[[#This Row],[IMPERMEABILIZACION BANO - COCINA LOGIA]])</f>
        <v>0</v>
      </c>
      <c r="CS549" s="40">
        <f ca="1">+IF(AVANCE[[#This Row],[ESTADO MODULO]]="PENDIENTE",(TODAY()-AVANCE[[#This Row],[FECHA TERMINO  PLANIFICADO]]),0)</f>
        <v>0</v>
      </c>
      <c r="CT549" s="41" t="str" cm="1">
        <f t="array" ref="CT549">_xlfn.TEXTJOIN(" | ",TRUE,IF(SUMPRODUCT((BG549:CR549&lt;1)*(PARTIDAS!$I$2:$AT$2="OBRA GRUESA"))&gt;0,"OBRA GRUESA: "&amp;_xlfn.TEXTJOIN(", ",TRUE,IF((BG549:CR549&lt;1)*(PARTIDAS!$I$2:$AT$2="OBRA GRUESA"),PARTIDAS!$I$1:$AT$1,"")),""),IF(SUMPRODUCT((BG549:CR549&lt;1)*(PARTIDAS!$I$2:$AT$2="SANITARIOS"))&gt;0,"SANITARIOS: "&amp;_xlfn.TEXTJOIN(", ",TRUE,IF((BG549:CR549&lt;1)*(PARTIDAS!$I$2:$AT$2="SANITARIOS"),PARTIDAS!$I$1:$AT$1,"")),""),IF(SUMPRODUCT((BG549:CR549&lt;1)*(PARTIDAS!$I$2:$AT$2="ELÉCTRICO"))&gt;0,"ELÉCTRICO: "&amp;_xlfn.TEXTJOIN(", ",TRUE,IF((BG549:CR549&lt;1)*(PARTIDAS!$I$2:$AT$2="ELÉCTRICO"),PARTIDAS!$I$1:$AT$1,"")),""),IF(SUMPRODUCT((BG549:CR549&lt;1)*(PARTIDAS!$I$2:$AT$2="TERMINACIONES"))&gt;0,"TERMINACIONES: "&amp;_xlfn.TEXTJOIN(", ",TRUE,IF((BG549:CR549&lt;1)*(PARTIDAS!$I$2:$AT$2="TERMINACIONES"),PARTIDAS!$I$1:$AT$1,"")),""))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49" s="43" t="str" cm="1">
        <f t="array" ref="CU549">_xlfn.TEXTJOIN(", ",TRUE,IF(SUMPRODUCT((BG549:CR549&lt;1)*(PARTIDAS!$I$2:$AT$2="OBRA GRUESA"))&gt;0,"OBRA GRUESA",""),IF(SUMPRODUCT((BG549:CR549&lt;1)*(PARTIDAS!$I$2:$AT$2="SANITARIOS"))&gt;0,"SANITARIOS",""),IF(SUMPRODUCT((BG549:CR549&lt;1)*(PARTIDAS!$I$2:$AT$2="ELÉCTRICO"))&gt;0,"ELÉCTRICO",""),IF(SUMPRODUCT((BG549:CR549&lt;1)*(PARTIDAS!$I$2:$AT$2="TERMINACIONES"))&gt;0,"TERMINACIONES",""))</f>
        <v>OBRA GRUESA, SANITARIOS, ELÉCTRICO, TERMINACIONES</v>
      </c>
      <c r="CV549" s="44" cm="1">
        <f t="array" ref="CV549">SUMPRODUCT(--(BG549:CR549&lt;1))</f>
        <v>38</v>
      </c>
    </row>
    <row r="550" spans="1:100" hidden="1" x14ac:dyDescent="0.25">
      <c r="A550" t="s">
        <v>619</v>
      </c>
      <c r="B550" t="s">
        <v>624</v>
      </c>
      <c r="C550">
        <v>2282600549</v>
      </c>
      <c r="D550" t="s">
        <v>58</v>
      </c>
      <c r="E550" s="2">
        <v>0</v>
      </c>
      <c r="F550" s="1">
        <v>46415</v>
      </c>
      <c r="G550" s="1"/>
      <c r="H550" s="1">
        <v>0</v>
      </c>
      <c r="I550" s="1">
        <v>46435</v>
      </c>
      <c r="J550">
        <v>46230</v>
      </c>
      <c r="K550" s="1"/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>
        <v>28.87</v>
      </c>
      <c r="BF550" s="3" t="str">
        <f>+IF(AVANCE[[#This Row],[% AVANCE]]=100%,"MODULO TERMINADO",IF(AVANCE[[#This Row],[FECHA INICIO REAL]]="","MODULO NO INICIADO","PENDIENTE"))</f>
        <v>MODULO NO INICIADO</v>
      </c>
      <c r="BG550" s="3">
        <f>+IF(AVANCE[[#This Row],[VENTANAS]]=8.10810810810811%,100%,AVANCE[[#This Row],[VENTANAS]])</f>
        <v>0</v>
      </c>
      <c r="BH550" s="3">
        <f>+IF(AVANCE[[#This Row],[PISO]]=N$2,100%,AVANCE[[#This Row],[PISO]])</f>
        <v>0</v>
      </c>
      <c r="BI550" s="3">
        <f>+IF(AVANCE[[#This Row],[TABIQUES]]=O$2,100%,AVANCE[[#This Row],[TABIQUES]])</f>
        <v>0</v>
      </c>
      <c r="BJ550" s="3">
        <f>+IF(AVANCE[[#This Row],[MUROS]]=P$2,100%,AVANCE[[#This Row],[MUROS]])</f>
        <v>0</v>
      </c>
      <c r="BK550" s="3">
        <f>+IF(AVANCE[[#This Row],[CIELO]]=Q$2,100%,AVANCE[[#This Row],[CIELO]])</f>
        <v>0</v>
      </c>
      <c r="BL550" s="3">
        <f>+IF(AVANCE[[#This Row],[BALCÓN]]=R$2,100%,AVANCE[[#This Row],[BALCÓN]])</f>
        <v>0</v>
      </c>
      <c r="BM550" s="3">
        <f>+IF(AVANCE[[#This Row],[RED ALCANTARILLADO]]=U$2,100%,AVANCE[[#This Row],[RED ALCANTARILLADO]])</f>
        <v>0</v>
      </c>
      <c r="BN550" s="3">
        <f>+IF(AVANCE[[#This Row],[RED DE AGUA]]=V$2,100%,AVANCE[[#This Row],[RED DE AGUA]])</f>
        <v>0</v>
      </c>
      <c r="BO550" s="3">
        <f>+IF(AVANCE[[#This Row],[VENTILACIONES]]=W$2,100%,AVANCE[[#This Row],[VENTILACIONES]])</f>
        <v>0</v>
      </c>
      <c r="BP550" s="3">
        <f>+IF(AVANCE[[#This Row],[TINA]]=X$2,100%,AVANCE[[#This Row],[TINA]])</f>
        <v>0</v>
      </c>
      <c r="BQ550" s="3">
        <f>+IF(AVANCE[[#This Row],[WC]]=Y$2,100%,AVANCE[[#This Row],[WC]])</f>
        <v>0</v>
      </c>
      <c r="BR550" s="3">
        <f>+IF(AVANCE[[#This Row],[LAVAMANOS / LAVAPLATOS / LAVADERO]]=Z$2,100%,AVANCE[[#This Row],[LAVAMANOS / LAVAPLATOS / LAVADERO]])</f>
        <v>0</v>
      </c>
      <c r="BS550" s="3">
        <f>+IF(AVANCE[[#This Row],[CANALIZACIÓN]]=AC$2,100%,AVANCE[[#This Row],[CANALIZACIÓN]])</f>
        <v>0</v>
      </c>
      <c r="BT550" s="3">
        <f>+IF(AVANCE[[#This Row],[CABLEADO]]=AD$2,100%,AVANCE[[#This Row],[CABLEADO]])</f>
        <v>0</v>
      </c>
      <c r="BU550" s="3">
        <f>+IF(AVANCE[[#This Row],[ARTEFACTOS]]=AE$2,100%,AVANCE[[#This Row],[ARTEFACTOS]])</f>
        <v>0</v>
      </c>
      <c r="BV550" s="3">
        <f>+IF(AVANCE[[#This Row],[TABLERO]]=AF$2,100%,AVANCE[[#This Row],[TABLERO]])</f>
        <v>0</v>
      </c>
      <c r="BW550" s="3">
        <f>+IF(AVANCE[[#This Row],[CAJA PAU]]=AG$2,100%,AVANCE[[#This Row],[CAJA PAU]])</f>
        <v>0</v>
      </c>
      <c r="BX550" s="3">
        <f>+IF(AVANCE[[#This Row],[INSTALACION VINILICO]]=AJ$2,100%,AVANCE[[#This Row],[INSTALACION VINILICO]])</f>
        <v>0</v>
      </c>
      <c r="BY550" s="3">
        <f>+IF(AVANCE[[#This Row],[OSB CUBIERTA]]=AK$2,100%,AVANCE[[#This Row],[OSB CUBIERTA]])</f>
        <v>0</v>
      </c>
      <c r="BZ550" s="3">
        <f>+IF(AVANCE[[#This Row],[BARANDA BALCON]]=AL$2,100%,AVANCE[[#This Row],[BARANDA BALCON]])</f>
        <v>0</v>
      </c>
      <c r="CA550" s="3">
        <f>+IF(AVANCE[[#This Row],[OSB EXTERIOR]]=AM$2,100%,AVANCE[[#This Row],[OSB EXTERIOR]])</f>
        <v>0</v>
      </c>
      <c r="CB550" s="3">
        <f>+IF(AVANCE[[#This Row],[SMART PANEL]]=AN$2,100%,AVANCE[[#This Row],[SMART PANEL]])</f>
        <v>0</v>
      </c>
      <c r="CC550" s="3">
        <f>+IF(AVANCE[[#This Row],[PINTURA EXTERIOR]]=AO$2,100%,AVANCE[[#This Row],[PINTURA EXTERIOR]])</f>
        <v>0</v>
      </c>
      <c r="CD550" s="3">
        <f>+IF(AVANCE[[#This Row],[ZOCALOS LOGIA]]=AP$2,100%,AVANCE[[#This Row],[ZOCALOS LOGIA]])</f>
        <v>0</v>
      </c>
      <c r="CE550" s="3">
        <f>+IF(AVANCE[[#This Row],[MOLDURAS]]=AQ$2,100%,AVANCE[[#This Row],[MOLDURAS]])</f>
        <v>0</v>
      </c>
      <c r="CF550" s="3">
        <f>+IF(AVANCE[[#This Row],[PILASTREO]]=AR$2,100%,AVANCE[[#This Row],[PILASTREO]])</f>
        <v>0</v>
      </c>
      <c r="CG550" s="3">
        <f>+IF(AVANCE[[#This Row],[CELOSIAS]]=AS$2,100%,AVANCE[[#This Row],[CELOSIAS]])</f>
        <v>0</v>
      </c>
      <c r="CH550" s="3">
        <f>+IF(AVANCE[[#This Row],[VENTANAS]]=AT$2,100%,AVANCE[[#This Row],[VENTANAS]])</f>
        <v>0</v>
      </c>
      <c r="CI550" s="3">
        <f>+IF(AVANCE[[#This Row],[PUERTAS ACCESO - LOGIA - BANO]]=AU$2,100%,AVANCE[[#This Row],[PUERTAS ACCESO - LOGIA - BANO]])</f>
        <v>0</v>
      </c>
      <c r="CJ550" s="3">
        <f>+IF(AVANCE[[#This Row],[CERRADURAS]]=AV$2,100%,AVANCE[[#This Row],[CERRADURAS]])</f>
        <v>0</v>
      </c>
      <c r="CK550" s="3">
        <f>+IF(AVANCE[[#This Row],[REVESTIMIENTO INTERIOR ZONA SECA]]=AW$2,100%,AVANCE[[#This Row],[REVESTIMIENTO INTERIOR ZONA SECA]])</f>
        <v>0</v>
      </c>
      <c r="CL550" s="3">
        <f>+IF(AVANCE[[#This Row],[REVESTIMIENTO INTERIOR ZONAS HUMEDAS]]=AX$2,100%,AVANCE[[#This Row],[REVESTIMIENTO INTERIOR ZONAS HUMEDAS]])</f>
        <v>0</v>
      </c>
      <c r="CM550" s="3">
        <f>+IF(AVANCE[[#This Row],[MEMBRANA CIELO]]=AY$2,100%,AVANCE[[#This Row],[MEMBRANA CIELO]])</f>
        <v>0</v>
      </c>
      <c r="CN550" s="3">
        <f>+IF(AVANCE[[#This Row],[LIMPIEZA FINAL]]=AZ$2,100%,AVANCE[[#This Row],[LIMPIEZA FINAL]])</f>
        <v>0</v>
      </c>
      <c r="CO550" s="3">
        <f>+IF(AVANCE[[#This Row],[PUERTAS DORMITORIO]]=BA$2,100%,AVANCE[[#This Row],[PUERTAS DORMITORIO]])</f>
        <v>0</v>
      </c>
      <c r="CP550" s="3">
        <f>+IF(AVANCE[[#This Row],[REVESTIMIENTO INTERIOR BANO]]=BB$2,100%,AVANCE[[#This Row],[REVESTIMIENTO INTERIOR BANO]])</f>
        <v>0</v>
      </c>
      <c r="CQ550" s="3">
        <f>+IF(AVANCE[[#This Row],[MUEBLE LAVAPLATOS]]=BC$2,100%,AVANCE[[#This Row],[MUEBLE LAVAPLATOS]])</f>
        <v>0</v>
      </c>
      <c r="CR550" s="3">
        <f>+IF(AVANCE[[#This Row],[IMPERMEABILIZACION BANO - COCINA LOGIA]]=BD$2,100%,AVANCE[[#This Row],[IMPERMEABILIZACION BANO - COCINA LOGIA]])</f>
        <v>0</v>
      </c>
      <c r="CS550" s="40">
        <f ca="1">+IF(AVANCE[[#This Row],[ESTADO MODULO]]="PENDIENTE",(TODAY()-AVANCE[[#This Row],[FECHA TERMINO  PLANIFICADO]]),0)</f>
        <v>0</v>
      </c>
      <c r="CT550" s="41" t="str" cm="1">
        <f t="array" ref="CT550">_xlfn.TEXTJOIN(" | ",TRUE,IF(SUMPRODUCT((BG550:CR550&lt;1)*(PARTIDAS!$I$2:$AT$2="OBRA GRUESA"))&gt;0,"OBRA GRUESA: "&amp;_xlfn.TEXTJOIN(", ",TRUE,IF((BG550:CR550&lt;1)*(PARTIDAS!$I$2:$AT$2="OBRA GRUESA"),PARTIDAS!$I$1:$AT$1,"")),""),IF(SUMPRODUCT((BG550:CR550&lt;1)*(PARTIDAS!$I$2:$AT$2="SANITARIOS"))&gt;0,"SANITARIOS: "&amp;_xlfn.TEXTJOIN(", ",TRUE,IF((BG550:CR550&lt;1)*(PARTIDAS!$I$2:$AT$2="SANITARIOS"),PARTIDAS!$I$1:$AT$1,"")),""),IF(SUMPRODUCT((BG550:CR550&lt;1)*(PARTIDAS!$I$2:$AT$2="ELÉCTRICO"))&gt;0,"ELÉCTRICO: "&amp;_xlfn.TEXTJOIN(", ",TRUE,IF((BG550:CR550&lt;1)*(PARTIDAS!$I$2:$AT$2="ELÉCTRICO"),PARTIDAS!$I$1:$AT$1,"")),""),IF(SUMPRODUCT((BG550:CR550&lt;1)*(PARTIDAS!$I$2:$AT$2="TERMINACIONES"))&gt;0,"TERMINACIONES: "&amp;_xlfn.TEXTJOIN(", ",TRUE,IF((BG550:CR550&lt;1)*(PARTIDAS!$I$2:$AT$2="TERMINACIONES"),PARTIDAS!$I$1:$AT$1,"")),""))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0" s="43" t="str" cm="1">
        <f t="array" ref="CU550">_xlfn.TEXTJOIN(", ",TRUE,IF(SUMPRODUCT((BG550:CR550&lt;1)*(PARTIDAS!$I$2:$AT$2="OBRA GRUESA"))&gt;0,"OBRA GRUESA",""),IF(SUMPRODUCT((BG550:CR550&lt;1)*(PARTIDAS!$I$2:$AT$2="SANITARIOS"))&gt;0,"SANITARIOS",""),IF(SUMPRODUCT((BG550:CR550&lt;1)*(PARTIDAS!$I$2:$AT$2="ELÉCTRICO"))&gt;0,"ELÉCTRICO",""),IF(SUMPRODUCT((BG550:CR550&lt;1)*(PARTIDAS!$I$2:$AT$2="TERMINACIONES"))&gt;0,"TERMINACIONES",""))</f>
        <v>OBRA GRUESA, SANITARIOS, ELÉCTRICO, TERMINACIONES</v>
      </c>
      <c r="CV550" s="44" cm="1">
        <f t="array" ref="CV550">SUMPRODUCT(--(BG550:CR550&lt;1))</f>
        <v>38</v>
      </c>
    </row>
    <row r="551" spans="1:100" hidden="1" x14ac:dyDescent="0.25">
      <c r="A551" t="s">
        <v>619</v>
      </c>
      <c r="B551" t="s">
        <v>625</v>
      </c>
      <c r="C551">
        <v>2302600550</v>
      </c>
      <c r="D551" t="s">
        <v>60</v>
      </c>
      <c r="E551" s="2">
        <v>0</v>
      </c>
      <c r="F551" s="1">
        <v>46415</v>
      </c>
      <c r="G551" s="1"/>
      <c r="H551" s="1">
        <v>0</v>
      </c>
      <c r="I551" s="1">
        <v>46445</v>
      </c>
      <c r="J551">
        <v>46230</v>
      </c>
      <c r="K551" s="1"/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>
        <v>31.32</v>
      </c>
      <c r="BF551" s="3" t="str">
        <f>+IF(AVANCE[[#This Row],[% AVANCE]]=100%,"MODULO TERMINADO",IF(AVANCE[[#This Row],[FECHA INICIO REAL]]="","MODULO NO INICIADO","PENDIENTE"))</f>
        <v>MODULO NO INICIADO</v>
      </c>
      <c r="BG551" s="3">
        <f>+IF(AVANCE[[#This Row],[VENTANAS]]=8.10810810810811%,100%,AVANCE[[#This Row],[VENTANAS]])</f>
        <v>0</v>
      </c>
      <c r="BH551" s="3">
        <f>+IF(AVANCE[[#This Row],[PISO]]=N$2,100%,AVANCE[[#This Row],[PISO]])</f>
        <v>0</v>
      </c>
      <c r="BI551" s="3">
        <f>+IF(AVANCE[[#This Row],[TABIQUES]]=O$2,100%,AVANCE[[#This Row],[TABIQUES]])</f>
        <v>0</v>
      </c>
      <c r="BJ551" s="3">
        <f>+IF(AVANCE[[#This Row],[MUROS]]=P$2,100%,AVANCE[[#This Row],[MUROS]])</f>
        <v>0</v>
      </c>
      <c r="BK551" s="3">
        <f>+IF(AVANCE[[#This Row],[CIELO]]=Q$2,100%,AVANCE[[#This Row],[CIELO]])</f>
        <v>0</v>
      </c>
      <c r="BL551" s="3">
        <f>+IF(AVANCE[[#This Row],[BALCÓN]]=R$2,100%,AVANCE[[#This Row],[BALCÓN]])</f>
        <v>0</v>
      </c>
      <c r="BM551" s="3">
        <f>+IF(AVANCE[[#This Row],[RED ALCANTARILLADO]]=U$2,100%,AVANCE[[#This Row],[RED ALCANTARILLADO]])</f>
        <v>0</v>
      </c>
      <c r="BN551" s="3">
        <f>+IF(AVANCE[[#This Row],[RED DE AGUA]]=V$2,100%,AVANCE[[#This Row],[RED DE AGUA]])</f>
        <v>0</v>
      </c>
      <c r="BO551" s="3">
        <f>+IF(AVANCE[[#This Row],[VENTILACIONES]]=W$2,100%,AVANCE[[#This Row],[VENTILACIONES]])</f>
        <v>0</v>
      </c>
      <c r="BP551" s="3">
        <f>+IF(AVANCE[[#This Row],[TINA]]=X$2,100%,AVANCE[[#This Row],[TINA]])</f>
        <v>0</v>
      </c>
      <c r="BQ551" s="3">
        <f>+IF(AVANCE[[#This Row],[WC]]=Y$2,100%,AVANCE[[#This Row],[WC]])</f>
        <v>0</v>
      </c>
      <c r="BR551" s="3">
        <f>+IF(AVANCE[[#This Row],[LAVAMANOS / LAVAPLATOS / LAVADERO]]=Z$2,100%,AVANCE[[#This Row],[LAVAMANOS / LAVAPLATOS / LAVADERO]])</f>
        <v>0</v>
      </c>
      <c r="BS551" s="3">
        <f>+IF(AVANCE[[#This Row],[CANALIZACIÓN]]=AC$2,100%,AVANCE[[#This Row],[CANALIZACIÓN]])</f>
        <v>0</v>
      </c>
      <c r="BT551" s="3">
        <f>+IF(AVANCE[[#This Row],[CABLEADO]]=AD$2,100%,AVANCE[[#This Row],[CABLEADO]])</f>
        <v>0</v>
      </c>
      <c r="BU551" s="3">
        <f>+IF(AVANCE[[#This Row],[ARTEFACTOS]]=AE$2,100%,AVANCE[[#This Row],[ARTEFACTOS]])</f>
        <v>0</v>
      </c>
      <c r="BV551" s="3">
        <f>+IF(AVANCE[[#This Row],[TABLERO]]=AF$2,100%,AVANCE[[#This Row],[TABLERO]])</f>
        <v>0</v>
      </c>
      <c r="BW551" s="3">
        <f>+IF(AVANCE[[#This Row],[CAJA PAU]]=AG$2,100%,AVANCE[[#This Row],[CAJA PAU]])</f>
        <v>0</v>
      </c>
      <c r="BX551" s="3">
        <f>+IF(AVANCE[[#This Row],[INSTALACION VINILICO]]=AJ$2,100%,AVANCE[[#This Row],[INSTALACION VINILICO]])</f>
        <v>0</v>
      </c>
      <c r="BY551" s="3">
        <f>+IF(AVANCE[[#This Row],[OSB CUBIERTA]]=AK$2,100%,AVANCE[[#This Row],[OSB CUBIERTA]])</f>
        <v>0</v>
      </c>
      <c r="BZ551" s="3">
        <f>+IF(AVANCE[[#This Row],[BARANDA BALCON]]=AL$2,100%,AVANCE[[#This Row],[BARANDA BALCON]])</f>
        <v>0</v>
      </c>
      <c r="CA551" s="3">
        <f>+IF(AVANCE[[#This Row],[OSB EXTERIOR]]=AM$2,100%,AVANCE[[#This Row],[OSB EXTERIOR]])</f>
        <v>0</v>
      </c>
      <c r="CB551" s="3">
        <f>+IF(AVANCE[[#This Row],[SMART PANEL]]=AN$2,100%,AVANCE[[#This Row],[SMART PANEL]])</f>
        <v>0</v>
      </c>
      <c r="CC551" s="3">
        <f>+IF(AVANCE[[#This Row],[PINTURA EXTERIOR]]=AO$2,100%,AVANCE[[#This Row],[PINTURA EXTERIOR]])</f>
        <v>0</v>
      </c>
      <c r="CD551" s="3">
        <f>+IF(AVANCE[[#This Row],[ZOCALOS LOGIA]]=AP$2,100%,AVANCE[[#This Row],[ZOCALOS LOGIA]])</f>
        <v>0</v>
      </c>
      <c r="CE551" s="3">
        <f>+IF(AVANCE[[#This Row],[MOLDURAS]]=AQ$2,100%,AVANCE[[#This Row],[MOLDURAS]])</f>
        <v>0</v>
      </c>
      <c r="CF551" s="3">
        <f>+IF(AVANCE[[#This Row],[PILASTREO]]=AR$2,100%,AVANCE[[#This Row],[PILASTREO]])</f>
        <v>0</v>
      </c>
      <c r="CG551" s="3">
        <f>+IF(AVANCE[[#This Row],[CELOSIAS]]=AS$2,100%,AVANCE[[#This Row],[CELOSIAS]])</f>
        <v>0</v>
      </c>
      <c r="CH551" s="3">
        <f>+IF(AVANCE[[#This Row],[VENTANAS]]=AT$2,100%,AVANCE[[#This Row],[VENTANAS]])</f>
        <v>0</v>
      </c>
      <c r="CI551" s="3">
        <f>+IF(AVANCE[[#This Row],[PUERTAS ACCESO - LOGIA - BANO]]=AU$2,100%,AVANCE[[#This Row],[PUERTAS ACCESO - LOGIA - BANO]])</f>
        <v>0</v>
      </c>
      <c r="CJ551" s="3">
        <f>+IF(AVANCE[[#This Row],[CERRADURAS]]=AV$2,100%,AVANCE[[#This Row],[CERRADURAS]])</f>
        <v>0</v>
      </c>
      <c r="CK551" s="3">
        <f>+IF(AVANCE[[#This Row],[REVESTIMIENTO INTERIOR ZONA SECA]]=AW$2,100%,AVANCE[[#This Row],[REVESTIMIENTO INTERIOR ZONA SECA]])</f>
        <v>0</v>
      </c>
      <c r="CL551" s="3">
        <f>+IF(AVANCE[[#This Row],[REVESTIMIENTO INTERIOR ZONAS HUMEDAS]]=AX$2,100%,AVANCE[[#This Row],[REVESTIMIENTO INTERIOR ZONAS HUMEDAS]])</f>
        <v>0</v>
      </c>
      <c r="CM551" s="3">
        <f>+IF(AVANCE[[#This Row],[MEMBRANA CIELO]]=AY$2,100%,AVANCE[[#This Row],[MEMBRANA CIELO]])</f>
        <v>0</v>
      </c>
      <c r="CN551" s="3">
        <f>+IF(AVANCE[[#This Row],[LIMPIEZA FINAL]]=AZ$2,100%,AVANCE[[#This Row],[LIMPIEZA FINAL]])</f>
        <v>0</v>
      </c>
      <c r="CO551" s="3">
        <f>+IF(AVANCE[[#This Row],[PUERTAS DORMITORIO]]=BA$2,100%,AVANCE[[#This Row],[PUERTAS DORMITORIO]])</f>
        <v>0</v>
      </c>
      <c r="CP551" s="3">
        <f>+IF(AVANCE[[#This Row],[REVESTIMIENTO INTERIOR BANO]]=BB$2,100%,AVANCE[[#This Row],[REVESTIMIENTO INTERIOR BANO]])</f>
        <v>0</v>
      </c>
      <c r="CQ551" s="3">
        <f>+IF(AVANCE[[#This Row],[MUEBLE LAVAPLATOS]]=BC$2,100%,AVANCE[[#This Row],[MUEBLE LAVAPLATOS]])</f>
        <v>0</v>
      </c>
      <c r="CR551" s="3">
        <f>+IF(AVANCE[[#This Row],[IMPERMEABILIZACION BANO - COCINA LOGIA]]=BD$2,100%,AVANCE[[#This Row],[IMPERMEABILIZACION BANO - COCINA LOGIA]])</f>
        <v>0</v>
      </c>
      <c r="CS551" s="40">
        <f ca="1">+IF(AVANCE[[#This Row],[ESTADO MODULO]]="PENDIENTE",(TODAY()-AVANCE[[#This Row],[FECHA TERMINO  PLANIFICADO]]),0)</f>
        <v>0</v>
      </c>
      <c r="CT551" s="41" t="str" cm="1">
        <f t="array" ref="CT551">_xlfn.TEXTJOIN(" | ",TRUE,IF(SUMPRODUCT((BG551:CR551&lt;1)*(PARTIDAS!$I$2:$AT$2="OBRA GRUESA"))&gt;0,"OBRA GRUESA: "&amp;_xlfn.TEXTJOIN(", ",TRUE,IF((BG551:CR551&lt;1)*(PARTIDAS!$I$2:$AT$2="OBRA GRUESA"),PARTIDAS!$I$1:$AT$1,"")),""),IF(SUMPRODUCT((BG551:CR551&lt;1)*(PARTIDAS!$I$2:$AT$2="SANITARIOS"))&gt;0,"SANITARIOS: "&amp;_xlfn.TEXTJOIN(", ",TRUE,IF((BG551:CR551&lt;1)*(PARTIDAS!$I$2:$AT$2="SANITARIOS"),PARTIDAS!$I$1:$AT$1,"")),""),IF(SUMPRODUCT((BG551:CR551&lt;1)*(PARTIDAS!$I$2:$AT$2="ELÉCTRICO"))&gt;0,"ELÉCTRICO: "&amp;_xlfn.TEXTJOIN(", ",TRUE,IF((BG551:CR551&lt;1)*(PARTIDAS!$I$2:$AT$2="ELÉCTRICO"),PARTIDAS!$I$1:$AT$1,"")),""),IF(SUMPRODUCT((BG551:CR551&lt;1)*(PARTIDAS!$I$2:$AT$2="TERMINACIONES"))&gt;0,"TERMINACIONES: "&amp;_xlfn.TEXTJOIN(", ",TRUE,IF((BG551:CR551&lt;1)*(PARTIDAS!$I$2:$AT$2="TERMINACIONES"),PARTIDAS!$I$1:$AT$1,"")),""))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1" s="43" t="str" cm="1">
        <f t="array" ref="CU551">_xlfn.TEXTJOIN(", ",TRUE,IF(SUMPRODUCT((BG551:CR551&lt;1)*(PARTIDAS!$I$2:$AT$2="OBRA GRUESA"))&gt;0,"OBRA GRUESA",""),IF(SUMPRODUCT((BG551:CR551&lt;1)*(PARTIDAS!$I$2:$AT$2="SANITARIOS"))&gt;0,"SANITARIOS",""),IF(SUMPRODUCT((BG551:CR551&lt;1)*(PARTIDAS!$I$2:$AT$2="ELÉCTRICO"))&gt;0,"ELÉCTRICO",""),IF(SUMPRODUCT((BG551:CR551&lt;1)*(PARTIDAS!$I$2:$AT$2="TERMINACIONES"))&gt;0,"TERMINACIONES",""))</f>
        <v>OBRA GRUESA, SANITARIOS, ELÉCTRICO, TERMINACIONES</v>
      </c>
      <c r="CV551" s="44" cm="1">
        <f t="array" ref="CV551">SUMPRODUCT(--(BG551:CR551&lt;1))</f>
        <v>38</v>
      </c>
    </row>
    <row r="552" spans="1:100" hidden="1" x14ac:dyDescent="0.25">
      <c r="A552" t="s">
        <v>619</v>
      </c>
      <c r="B552" t="s">
        <v>626</v>
      </c>
      <c r="C552">
        <v>2302600551</v>
      </c>
      <c r="D552" t="s">
        <v>60</v>
      </c>
      <c r="E552" s="2">
        <v>0</v>
      </c>
      <c r="F552" s="1">
        <v>46416</v>
      </c>
      <c r="G552" s="1"/>
      <c r="H552" s="1">
        <v>0</v>
      </c>
      <c r="I552" s="1">
        <v>46446</v>
      </c>
      <c r="J552">
        <v>46230</v>
      </c>
      <c r="K552" s="1"/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>
        <v>31.32</v>
      </c>
      <c r="BF552" s="3" t="str">
        <f>+IF(AVANCE[[#This Row],[% AVANCE]]=100%,"MODULO TERMINADO",IF(AVANCE[[#This Row],[FECHA INICIO REAL]]="","MODULO NO INICIADO","PENDIENTE"))</f>
        <v>MODULO NO INICIADO</v>
      </c>
      <c r="BG552" s="3">
        <f>+IF(AVANCE[[#This Row],[VENTANAS]]=8.10810810810811%,100%,AVANCE[[#This Row],[VENTANAS]])</f>
        <v>0</v>
      </c>
      <c r="BH552" s="3">
        <f>+IF(AVANCE[[#This Row],[PISO]]=N$2,100%,AVANCE[[#This Row],[PISO]])</f>
        <v>0</v>
      </c>
      <c r="BI552" s="3">
        <f>+IF(AVANCE[[#This Row],[TABIQUES]]=O$2,100%,AVANCE[[#This Row],[TABIQUES]])</f>
        <v>0</v>
      </c>
      <c r="BJ552" s="3">
        <f>+IF(AVANCE[[#This Row],[MUROS]]=P$2,100%,AVANCE[[#This Row],[MUROS]])</f>
        <v>0</v>
      </c>
      <c r="BK552" s="3">
        <f>+IF(AVANCE[[#This Row],[CIELO]]=Q$2,100%,AVANCE[[#This Row],[CIELO]])</f>
        <v>0</v>
      </c>
      <c r="BL552" s="3">
        <f>+IF(AVANCE[[#This Row],[BALCÓN]]=R$2,100%,AVANCE[[#This Row],[BALCÓN]])</f>
        <v>0</v>
      </c>
      <c r="BM552" s="3">
        <f>+IF(AVANCE[[#This Row],[RED ALCANTARILLADO]]=U$2,100%,AVANCE[[#This Row],[RED ALCANTARILLADO]])</f>
        <v>0</v>
      </c>
      <c r="BN552" s="3">
        <f>+IF(AVANCE[[#This Row],[RED DE AGUA]]=V$2,100%,AVANCE[[#This Row],[RED DE AGUA]])</f>
        <v>0</v>
      </c>
      <c r="BO552" s="3">
        <f>+IF(AVANCE[[#This Row],[VENTILACIONES]]=W$2,100%,AVANCE[[#This Row],[VENTILACIONES]])</f>
        <v>0</v>
      </c>
      <c r="BP552" s="3">
        <f>+IF(AVANCE[[#This Row],[TINA]]=X$2,100%,AVANCE[[#This Row],[TINA]])</f>
        <v>0</v>
      </c>
      <c r="BQ552" s="3">
        <f>+IF(AVANCE[[#This Row],[WC]]=Y$2,100%,AVANCE[[#This Row],[WC]])</f>
        <v>0</v>
      </c>
      <c r="BR552" s="3">
        <f>+IF(AVANCE[[#This Row],[LAVAMANOS / LAVAPLATOS / LAVADERO]]=Z$2,100%,AVANCE[[#This Row],[LAVAMANOS / LAVAPLATOS / LAVADERO]])</f>
        <v>0</v>
      </c>
      <c r="BS552" s="3">
        <f>+IF(AVANCE[[#This Row],[CANALIZACIÓN]]=AC$2,100%,AVANCE[[#This Row],[CANALIZACIÓN]])</f>
        <v>0</v>
      </c>
      <c r="BT552" s="3">
        <f>+IF(AVANCE[[#This Row],[CABLEADO]]=AD$2,100%,AVANCE[[#This Row],[CABLEADO]])</f>
        <v>0</v>
      </c>
      <c r="BU552" s="3">
        <f>+IF(AVANCE[[#This Row],[ARTEFACTOS]]=AE$2,100%,AVANCE[[#This Row],[ARTEFACTOS]])</f>
        <v>0</v>
      </c>
      <c r="BV552" s="3">
        <f>+IF(AVANCE[[#This Row],[TABLERO]]=AF$2,100%,AVANCE[[#This Row],[TABLERO]])</f>
        <v>0</v>
      </c>
      <c r="BW552" s="3">
        <f>+IF(AVANCE[[#This Row],[CAJA PAU]]=AG$2,100%,AVANCE[[#This Row],[CAJA PAU]])</f>
        <v>0</v>
      </c>
      <c r="BX552" s="3">
        <f>+IF(AVANCE[[#This Row],[INSTALACION VINILICO]]=AJ$2,100%,AVANCE[[#This Row],[INSTALACION VINILICO]])</f>
        <v>0</v>
      </c>
      <c r="BY552" s="3">
        <f>+IF(AVANCE[[#This Row],[OSB CUBIERTA]]=AK$2,100%,AVANCE[[#This Row],[OSB CUBIERTA]])</f>
        <v>0</v>
      </c>
      <c r="BZ552" s="3">
        <f>+IF(AVANCE[[#This Row],[BARANDA BALCON]]=AL$2,100%,AVANCE[[#This Row],[BARANDA BALCON]])</f>
        <v>0</v>
      </c>
      <c r="CA552" s="3">
        <f>+IF(AVANCE[[#This Row],[OSB EXTERIOR]]=AM$2,100%,AVANCE[[#This Row],[OSB EXTERIOR]])</f>
        <v>0</v>
      </c>
      <c r="CB552" s="3">
        <f>+IF(AVANCE[[#This Row],[SMART PANEL]]=AN$2,100%,AVANCE[[#This Row],[SMART PANEL]])</f>
        <v>0</v>
      </c>
      <c r="CC552" s="3">
        <f>+IF(AVANCE[[#This Row],[PINTURA EXTERIOR]]=AO$2,100%,AVANCE[[#This Row],[PINTURA EXTERIOR]])</f>
        <v>0</v>
      </c>
      <c r="CD552" s="3">
        <f>+IF(AVANCE[[#This Row],[ZOCALOS LOGIA]]=AP$2,100%,AVANCE[[#This Row],[ZOCALOS LOGIA]])</f>
        <v>0</v>
      </c>
      <c r="CE552" s="3">
        <f>+IF(AVANCE[[#This Row],[MOLDURAS]]=AQ$2,100%,AVANCE[[#This Row],[MOLDURAS]])</f>
        <v>0</v>
      </c>
      <c r="CF552" s="3">
        <f>+IF(AVANCE[[#This Row],[PILASTREO]]=AR$2,100%,AVANCE[[#This Row],[PILASTREO]])</f>
        <v>0</v>
      </c>
      <c r="CG552" s="3">
        <f>+IF(AVANCE[[#This Row],[CELOSIAS]]=AS$2,100%,AVANCE[[#This Row],[CELOSIAS]])</f>
        <v>0</v>
      </c>
      <c r="CH552" s="3">
        <f>+IF(AVANCE[[#This Row],[VENTANAS]]=AT$2,100%,AVANCE[[#This Row],[VENTANAS]])</f>
        <v>0</v>
      </c>
      <c r="CI552" s="3">
        <f>+IF(AVANCE[[#This Row],[PUERTAS ACCESO - LOGIA - BANO]]=AU$2,100%,AVANCE[[#This Row],[PUERTAS ACCESO - LOGIA - BANO]])</f>
        <v>0</v>
      </c>
      <c r="CJ552" s="3">
        <f>+IF(AVANCE[[#This Row],[CERRADURAS]]=AV$2,100%,AVANCE[[#This Row],[CERRADURAS]])</f>
        <v>0</v>
      </c>
      <c r="CK552" s="3">
        <f>+IF(AVANCE[[#This Row],[REVESTIMIENTO INTERIOR ZONA SECA]]=AW$2,100%,AVANCE[[#This Row],[REVESTIMIENTO INTERIOR ZONA SECA]])</f>
        <v>0</v>
      </c>
      <c r="CL552" s="3">
        <f>+IF(AVANCE[[#This Row],[REVESTIMIENTO INTERIOR ZONAS HUMEDAS]]=AX$2,100%,AVANCE[[#This Row],[REVESTIMIENTO INTERIOR ZONAS HUMEDAS]])</f>
        <v>0</v>
      </c>
      <c r="CM552" s="3">
        <f>+IF(AVANCE[[#This Row],[MEMBRANA CIELO]]=AY$2,100%,AVANCE[[#This Row],[MEMBRANA CIELO]])</f>
        <v>0</v>
      </c>
      <c r="CN552" s="3">
        <f>+IF(AVANCE[[#This Row],[LIMPIEZA FINAL]]=AZ$2,100%,AVANCE[[#This Row],[LIMPIEZA FINAL]])</f>
        <v>0</v>
      </c>
      <c r="CO552" s="3">
        <f>+IF(AVANCE[[#This Row],[PUERTAS DORMITORIO]]=BA$2,100%,AVANCE[[#This Row],[PUERTAS DORMITORIO]])</f>
        <v>0</v>
      </c>
      <c r="CP552" s="3">
        <f>+IF(AVANCE[[#This Row],[REVESTIMIENTO INTERIOR BANO]]=BB$2,100%,AVANCE[[#This Row],[REVESTIMIENTO INTERIOR BANO]])</f>
        <v>0</v>
      </c>
      <c r="CQ552" s="3">
        <f>+IF(AVANCE[[#This Row],[MUEBLE LAVAPLATOS]]=BC$2,100%,AVANCE[[#This Row],[MUEBLE LAVAPLATOS]])</f>
        <v>0</v>
      </c>
      <c r="CR552" s="3">
        <f>+IF(AVANCE[[#This Row],[IMPERMEABILIZACION BANO - COCINA LOGIA]]=BD$2,100%,AVANCE[[#This Row],[IMPERMEABILIZACION BANO - COCINA LOGIA]])</f>
        <v>0</v>
      </c>
      <c r="CS552" s="40">
        <f ca="1">+IF(AVANCE[[#This Row],[ESTADO MODULO]]="PENDIENTE",(TODAY()-AVANCE[[#This Row],[FECHA TERMINO  PLANIFICADO]]),0)</f>
        <v>0</v>
      </c>
      <c r="CT552" s="41" t="str" cm="1">
        <f t="array" ref="CT552">_xlfn.TEXTJOIN(" | ",TRUE,IF(SUMPRODUCT((BG552:CR552&lt;1)*(PARTIDAS!$I$2:$AT$2="OBRA GRUESA"))&gt;0,"OBRA GRUESA: "&amp;_xlfn.TEXTJOIN(", ",TRUE,IF((BG552:CR552&lt;1)*(PARTIDAS!$I$2:$AT$2="OBRA GRUESA"),PARTIDAS!$I$1:$AT$1,"")),""),IF(SUMPRODUCT((BG552:CR552&lt;1)*(PARTIDAS!$I$2:$AT$2="SANITARIOS"))&gt;0,"SANITARIOS: "&amp;_xlfn.TEXTJOIN(", ",TRUE,IF((BG552:CR552&lt;1)*(PARTIDAS!$I$2:$AT$2="SANITARIOS"),PARTIDAS!$I$1:$AT$1,"")),""),IF(SUMPRODUCT((BG552:CR552&lt;1)*(PARTIDAS!$I$2:$AT$2="ELÉCTRICO"))&gt;0,"ELÉCTRICO: "&amp;_xlfn.TEXTJOIN(", ",TRUE,IF((BG552:CR552&lt;1)*(PARTIDAS!$I$2:$AT$2="ELÉCTRICO"),PARTIDAS!$I$1:$AT$1,"")),""),IF(SUMPRODUCT((BG552:CR552&lt;1)*(PARTIDAS!$I$2:$AT$2="TERMINACIONES"))&gt;0,"TERMINACIONES: "&amp;_xlfn.TEXTJOIN(", ",TRUE,IF((BG552:CR552&lt;1)*(PARTIDAS!$I$2:$AT$2="TERMINACIONES"),PARTIDAS!$I$1:$AT$1,"")),""))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2" s="43" t="str" cm="1">
        <f t="array" ref="CU552">_xlfn.TEXTJOIN(", ",TRUE,IF(SUMPRODUCT((BG552:CR552&lt;1)*(PARTIDAS!$I$2:$AT$2="OBRA GRUESA"))&gt;0,"OBRA GRUESA",""),IF(SUMPRODUCT((BG552:CR552&lt;1)*(PARTIDAS!$I$2:$AT$2="SANITARIOS"))&gt;0,"SANITARIOS",""),IF(SUMPRODUCT((BG552:CR552&lt;1)*(PARTIDAS!$I$2:$AT$2="ELÉCTRICO"))&gt;0,"ELÉCTRICO",""),IF(SUMPRODUCT((BG552:CR552&lt;1)*(PARTIDAS!$I$2:$AT$2="TERMINACIONES"))&gt;0,"TERMINACIONES",""))</f>
        <v>OBRA GRUESA, SANITARIOS, ELÉCTRICO, TERMINACIONES</v>
      </c>
      <c r="CV552" s="44" cm="1">
        <f t="array" ref="CV552">SUMPRODUCT(--(BG552:CR552&lt;1))</f>
        <v>38</v>
      </c>
    </row>
    <row r="553" spans="1:100" hidden="1" x14ac:dyDescent="0.25">
      <c r="A553" t="s">
        <v>619</v>
      </c>
      <c r="B553" t="s">
        <v>627</v>
      </c>
      <c r="C553">
        <v>2282600552</v>
      </c>
      <c r="D553" t="s">
        <v>58</v>
      </c>
      <c r="E553" s="2">
        <v>0</v>
      </c>
      <c r="F553" s="1">
        <v>46416</v>
      </c>
      <c r="G553" s="1"/>
      <c r="H553" s="1">
        <v>0</v>
      </c>
      <c r="I553" s="1">
        <v>46436</v>
      </c>
      <c r="J553">
        <v>46230</v>
      </c>
      <c r="K553" s="1"/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>
        <v>28.87</v>
      </c>
      <c r="BF553" s="3" t="str">
        <f>+IF(AVANCE[[#This Row],[% AVANCE]]=100%,"MODULO TERMINADO",IF(AVANCE[[#This Row],[FECHA INICIO REAL]]="","MODULO NO INICIADO","PENDIENTE"))</f>
        <v>MODULO NO INICIADO</v>
      </c>
      <c r="BG553" s="3">
        <f>+IF(AVANCE[[#This Row],[VENTANAS]]=8.10810810810811%,100%,AVANCE[[#This Row],[VENTANAS]])</f>
        <v>0</v>
      </c>
      <c r="BH553" s="3">
        <f>+IF(AVANCE[[#This Row],[PISO]]=N$2,100%,AVANCE[[#This Row],[PISO]])</f>
        <v>0</v>
      </c>
      <c r="BI553" s="3">
        <f>+IF(AVANCE[[#This Row],[TABIQUES]]=O$2,100%,AVANCE[[#This Row],[TABIQUES]])</f>
        <v>0</v>
      </c>
      <c r="BJ553" s="3">
        <f>+IF(AVANCE[[#This Row],[MUROS]]=P$2,100%,AVANCE[[#This Row],[MUROS]])</f>
        <v>0</v>
      </c>
      <c r="BK553" s="3">
        <f>+IF(AVANCE[[#This Row],[CIELO]]=Q$2,100%,AVANCE[[#This Row],[CIELO]])</f>
        <v>0</v>
      </c>
      <c r="BL553" s="3">
        <f>+IF(AVANCE[[#This Row],[BALCÓN]]=R$2,100%,AVANCE[[#This Row],[BALCÓN]])</f>
        <v>0</v>
      </c>
      <c r="BM553" s="3">
        <f>+IF(AVANCE[[#This Row],[RED ALCANTARILLADO]]=U$2,100%,AVANCE[[#This Row],[RED ALCANTARILLADO]])</f>
        <v>0</v>
      </c>
      <c r="BN553" s="3">
        <f>+IF(AVANCE[[#This Row],[RED DE AGUA]]=V$2,100%,AVANCE[[#This Row],[RED DE AGUA]])</f>
        <v>0</v>
      </c>
      <c r="BO553" s="3">
        <f>+IF(AVANCE[[#This Row],[VENTILACIONES]]=W$2,100%,AVANCE[[#This Row],[VENTILACIONES]])</f>
        <v>0</v>
      </c>
      <c r="BP553" s="3">
        <f>+IF(AVANCE[[#This Row],[TINA]]=X$2,100%,AVANCE[[#This Row],[TINA]])</f>
        <v>0</v>
      </c>
      <c r="BQ553" s="3">
        <f>+IF(AVANCE[[#This Row],[WC]]=Y$2,100%,AVANCE[[#This Row],[WC]])</f>
        <v>0</v>
      </c>
      <c r="BR553" s="3">
        <f>+IF(AVANCE[[#This Row],[LAVAMANOS / LAVAPLATOS / LAVADERO]]=Z$2,100%,AVANCE[[#This Row],[LAVAMANOS / LAVAPLATOS / LAVADERO]])</f>
        <v>0</v>
      </c>
      <c r="BS553" s="3">
        <f>+IF(AVANCE[[#This Row],[CANALIZACIÓN]]=AC$2,100%,AVANCE[[#This Row],[CANALIZACIÓN]])</f>
        <v>0</v>
      </c>
      <c r="BT553" s="3">
        <f>+IF(AVANCE[[#This Row],[CABLEADO]]=AD$2,100%,AVANCE[[#This Row],[CABLEADO]])</f>
        <v>0</v>
      </c>
      <c r="BU553" s="3">
        <f>+IF(AVANCE[[#This Row],[ARTEFACTOS]]=AE$2,100%,AVANCE[[#This Row],[ARTEFACTOS]])</f>
        <v>0</v>
      </c>
      <c r="BV553" s="3">
        <f>+IF(AVANCE[[#This Row],[TABLERO]]=AF$2,100%,AVANCE[[#This Row],[TABLERO]])</f>
        <v>0</v>
      </c>
      <c r="BW553" s="3">
        <f>+IF(AVANCE[[#This Row],[CAJA PAU]]=AG$2,100%,AVANCE[[#This Row],[CAJA PAU]])</f>
        <v>0</v>
      </c>
      <c r="BX553" s="3">
        <f>+IF(AVANCE[[#This Row],[INSTALACION VINILICO]]=AJ$2,100%,AVANCE[[#This Row],[INSTALACION VINILICO]])</f>
        <v>0</v>
      </c>
      <c r="BY553" s="3">
        <f>+IF(AVANCE[[#This Row],[OSB CUBIERTA]]=AK$2,100%,AVANCE[[#This Row],[OSB CUBIERTA]])</f>
        <v>0</v>
      </c>
      <c r="BZ553" s="3">
        <f>+IF(AVANCE[[#This Row],[BARANDA BALCON]]=AL$2,100%,AVANCE[[#This Row],[BARANDA BALCON]])</f>
        <v>0</v>
      </c>
      <c r="CA553" s="3">
        <f>+IF(AVANCE[[#This Row],[OSB EXTERIOR]]=AM$2,100%,AVANCE[[#This Row],[OSB EXTERIOR]])</f>
        <v>0</v>
      </c>
      <c r="CB553" s="3">
        <f>+IF(AVANCE[[#This Row],[SMART PANEL]]=AN$2,100%,AVANCE[[#This Row],[SMART PANEL]])</f>
        <v>0</v>
      </c>
      <c r="CC553" s="3">
        <f>+IF(AVANCE[[#This Row],[PINTURA EXTERIOR]]=AO$2,100%,AVANCE[[#This Row],[PINTURA EXTERIOR]])</f>
        <v>0</v>
      </c>
      <c r="CD553" s="3">
        <f>+IF(AVANCE[[#This Row],[ZOCALOS LOGIA]]=AP$2,100%,AVANCE[[#This Row],[ZOCALOS LOGIA]])</f>
        <v>0</v>
      </c>
      <c r="CE553" s="3">
        <f>+IF(AVANCE[[#This Row],[MOLDURAS]]=AQ$2,100%,AVANCE[[#This Row],[MOLDURAS]])</f>
        <v>0</v>
      </c>
      <c r="CF553" s="3">
        <f>+IF(AVANCE[[#This Row],[PILASTREO]]=AR$2,100%,AVANCE[[#This Row],[PILASTREO]])</f>
        <v>0</v>
      </c>
      <c r="CG553" s="3">
        <f>+IF(AVANCE[[#This Row],[CELOSIAS]]=AS$2,100%,AVANCE[[#This Row],[CELOSIAS]])</f>
        <v>0</v>
      </c>
      <c r="CH553" s="3">
        <f>+IF(AVANCE[[#This Row],[VENTANAS]]=AT$2,100%,AVANCE[[#This Row],[VENTANAS]])</f>
        <v>0</v>
      </c>
      <c r="CI553" s="3">
        <f>+IF(AVANCE[[#This Row],[PUERTAS ACCESO - LOGIA - BANO]]=AU$2,100%,AVANCE[[#This Row],[PUERTAS ACCESO - LOGIA - BANO]])</f>
        <v>0</v>
      </c>
      <c r="CJ553" s="3">
        <f>+IF(AVANCE[[#This Row],[CERRADURAS]]=AV$2,100%,AVANCE[[#This Row],[CERRADURAS]])</f>
        <v>0</v>
      </c>
      <c r="CK553" s="3">
        <f>+IF(AVANCE[[#This Row],[REVESTIMIENTO INTERIOR ZONA SECA]]=AW$2,100%,AVANCE[[#This Row],[REVESTIMIENTO INTERIOR ZONA SECA]])</f>
        <v>0</v>
      </c>
      <c r="CL553" s="3">
        <f>+IF(AVANCE[[#This Row],[REVESTIMIENTO INTERIOR ZONAS HUMEDAS]]=AX$2,100%,AVANCE[[#This Row],[REVESTIMIENTO INTERIOR ZONAS HUMEDAS]])</f>
        <v>0</v>
      </c>
      <c r="CM553" s="3">
        <f>+IF(AVANCE[[#This Row],[MEMBRANA CIELO]]=AY$2,100%,AVANCE[[#This Row],[MEMBRANA CIELO]])</f>
        <v>0</v>
      </c>
      <c r="CN553" s="3">
        <f>+IF(AVANCE[[#This Row],[LIMPIEZA FINAL]]=AZ$2,100%,AVANCE[[#This Row],[LIMPIEZA FINAL]])</f>
        <v>0</v>
      </c>
      <c r="CO553" s="3">
        <f>+IF(AVANCE[[#This Row],[PUERTAS DORMITORIO]]=BA$2,100%,AVANCE[[#This Row],[PUERTAS DORMITORIO]])</f>
        <v>0</v>
      </c>
      <c r="CP553" s="3">
        <f>+IF(AVANCE[[#This Row],[REVESTIMIENTO INTERIOR BANO]]=BB$2,100%,AVANCE[[#This Row],[REVESTIMIENTO INTERIOR BANO]])</f>
        <v>0</v>
      </c>
      <c r="CQ553" s="3">
        <f>+IF(AVANCE[[#This Row],[MUEBLE LAVAPLATOS]]=BC$2,100%,AVANCE[[#This Row],[MUEBLE LAVAPLATOS]])</f>
        <v>0</v>
      </c>
      <c r="CR553" s="3">
        <f>+IF(AVANCE[[#This Row],[IMPERMEABILIZACION BANO - COCINA LOGIA]]=BD$2,100%,AVANCE[[#This Row],[IMPERMEABILIZACION BANO - COCINA LOGIA]])</f>
        <v>0</v>
      </c>
      <c r="CS553" s="40">
        <f ca="1">+IF(AVANCE[[#This Row],[ESTADO MODULO]]="PENDIENTE",(TODAY()-AVANCE[[#This Row],[FECHA TERMINO  PLANIFICADO]]),0)</f>
        <v>0</v>
      </c>
      <c r="CT553" s="41" t="str" cm="1">
        <f t="array" ref="CT553">_xlfn.TEXTJOIN(" | ",TRUE,IF(SUMPRODUCT((BG553:CR553&lt;1)*(PARTIDAS!$I$2:$AT$2="OBRA GRUESA"))&gt;0,"OBRA GRUESA: "&amp;_xlfn.TEXTJOIN(", ",TRUE,IF((BG553:CR553&lt;1)*(PARTIDAS!$I$2:$AT$2="OBRA GRUESA"),PARTIDAS!$I$1:$AT$1,"")),""),IF(SUMPRODUCT((BG553:CR553&lt;1)*(PARTIDAS!$I$2:$AT$2="SANITARIOS"))&gt;0,"SANITARIOS: "&amp;_xlfn.TEXTJOIN(", ",TRUE,IF((BG553:CR553&lt;1)*(PARTIDAS!$I$2:$AT$2="SANITARIOS"),PARTIDAS!$I$1:$AT$1,"")),""),IF(SUMPRODUCT((BG553:CR553&lt;1)*(PARTIDAS!$I$2:$AT$2="ELÉCTRICO"))&gt;0,"ELÉCTRICO: "&amp;_xlfn.TEXTJOIN(", ",TRUE,IF((BG553:CR553&lt;1)*(PARTIDAS!$I$2:$AT$2="ELÉCTRICO"),PARTIDAS!$I$1:$AT$1,"")),""),IF(SUMPRODUCT((BG553:CR553&lt;1)*(PARTIDAS!$I$2:$AT$2="TERMINACIONES"))&gt;0,"TERMINACIONES: "&amp;_xlfn.TEXTJOIN(", ",TRUE,IF((BG553:CR553&lt;1)*(PARTIDAS!$I$2:$AT$2="TERMINACIONES"),PARTIDAS!$I$1:$AT$1,"")),""))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3" s="43" t="str" cm="1">
        <f t="array" ref="CU553">_xlfn.TEXTJOIN(", ",TRUE,IF(SUMPRODUCT((BG553:CR553&lt;1)*(PARTIDAS!$I$2:$AT$2="OBRA GRUESA"))&gt;0,"OBRA GRUESA",""),IF(SUMPRODUCT((BG553:CR553&lt;1)*(PARTIDAS!$I$2:$AT$2="SANITARIOS"))&gt;0,"SANITARIOS",""),IF(SUMPRODUCT((BG553:CR553&lt;1)*(PARTIDAS!$I$2:$AT$2="ELÉCTRICO"))&gt;0,"ELÉCTRICO",""),IF(SUMPRODUCT((BG553:CR553&lt;1)*(PARTIDAS!$I$2:$AT$2="TERMINACIONES"))&gt;0,"TERMINACIONES",""))</f>
        <v>OBRA GRUESA, SANITARIOS, ELÉCTRICO, TERMINACIONES</v>
      </c>
      <c r="CV553" s="44" cm="1">
        <f t="array" ref="CV553">SUMPRODUCT(--(BG553:CR553&lt;1))</f>
        <v>38</v>
      </c>
    </row>
    <row r="554" spans="1:100" hidden="1" x14ac:dyDescent="0.25">
      <c r="A554" t="s">
        <v>619</v>
      </c>
      <c r="B554" t="s">
        <v>628</v>
      </c>
      <c r="C554">
        <v>2282600553</v>
      </c>
      <c r="D554" t="s">
        <v>58</v>
      </c>
      <c r="E554" s="2">
        <v>0</v>
      </c>
      <c r="F554" s="1">
        <v>46416</v>
      </c>
      <c r="G554" s="1"/>
      <c r="H554" s="1">
        <v>0</v>
      </c>
      <c r="I554" s="1">
        <v>46436</v>
      </c>
      <c r="J554">
        <v>46230</v>
      </c>
      <c r="K554" s="1"/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>
        <v>28.87</v>
      </c>
      <c r="BF554" s="3" t="str">
        <f>+IF(AVANCE[[#This Row],[% AVANCE]]=100%,"MODULO TERMINADO",IF(AVANCE[[#This Row],[FECHA INICIO REAL]]="","MODULO NO INICIADO","PENDIENTE"))</f>
        <v>MODULO NO INICIADO</v>
      </c>
      <c r="BG554" s="3">
        <f>+IF(AVANCE[[#This Row],[VENTANAS]]=8.10810810810811%,100%,AVANCE[[#This Row],[VENTANAS]])</f>
        <v>0</v>
      </c>
      <c r="BH554" s="3">
        <f>+IF(AVANCE[[#This Row],[PISO]]=N$2,100%,AVANCE[[#This Row],[PISO]])</f>
        <v>0</v>
      </c>
      <c r="BI554" s="3">
        <f>+IF(AVANCE[[#This Row],[TABIQUES]]=O$2,100%,AVANCE[[#This Row],[TABIQUES]])</f>
        <v>0</v>
      </c>
      <c r="BJ554" s="3">
        <f>+IF(AVANCE[[#This Row],[MUROS]]=P$2,100%,AVANCE[[#This Row],[MUROS]])</f>
        <v>0</v>
      </c>
      <c r="BK554" s="3">
        <f>+IF(AVANCE[[#This Row],[CIELO]]=Q$2,100%,AVANCE[[#This Row],[CIELO]])</f>
        <v>0</v>
      </c>
      <c r="BL554" s="3">
        <f>+IF(AVANCE[[#This Row],[BALCÓN]]=R$2,100%,AVANCE[[#This Row],[BALCÓN]])</f>
        <v>0</v>
      </c>
      <c r="BM554" s="3">
        <f>+IF(AVANCE[[#This Row],[RED ALCANTARILLADO]]=U$2,100%,AVANCE[[#This Row],[RED ALCANTARILLADO]])</f>
        <v>0</v>
      </c>
      <c r="BN554" s="3">
        <f>+IF(AVANCE[[#This Row],[RED DE AGUA]]=V$2,100%,AVANCE[[#This Row],[RED DE AGUA]])</f>
        <v>0</v>
      </c>
      <c r="BO554" s="3">
        <f>+IF(AVANCE[[#This Row],[VENTILACIONES]]=W$2,100%,AVANCE[[#This Row],[VENTILACIONES]])</f>
        <v>0</v>
      </c>
      <c r="BP554" s="3">
        <f>+IF(AVANCE[[#This Row],[TINA]]=X$2,100%,AVANCE[[#This Row],[TINA]])</f>
        <v>0</v>
      </c>
      <c r="BQ554" s="3">
        <f>+IF(AVANCE[[#This Row],[WC]]=Y$2,100%,AVANCE[[#This Row],[WC]])</f>
        <v>0</v>
      </c>
      <c r="BR554" s="3">
        <f>+IF(AVANCE[[#This Row],[LAVAMANOS / LAVAPLATOS / LAVADERO]]=Z$2,100%,AVANCE[[#This Row],[LAVAMANOS / LAVAPLATOS / LAVADERO]])</f>
        <v>0</v>
      </c>
      <c r="BS554" s="3">
        <f>+IF(AVANCE[[#This Row],[CANALIZACIÓN]]=AC$2,100%,AVANCE[[#This Row],[CANALIZACIÓN]])</f>
        <v>0</v>
      </c>
      <c r="BT554" s="3">
        <f>+IF(AVANCE[[#This Row],[CABLEADO]]=AD$2,100%,AVANCE[[#This Row],[CABLEADO]])</f>
        <v>0</v>
      </c>
      <c r="BU554" s="3">
        <f>+IF(AVANCE[[#This Row],[ARTEFACTOS]]=AE$2,100%,AVANCE[[#This Row],[ARTEFACTOS]])</f>
        <v>0</v>
      </c>
      <c r="BV554" s="3">
        <f>+IF(AVANCE[[#This Row],[TABLERO]]=AF$2,100%,AVANCE[[#This Row],[TABLERO]])</f>
        <v>0</v>
      </c>
      <c r="BW554" s="3">
        <f>+IF(AVANCE[[#This Row],[CAJA PAU]]=AG$2,100%,AVANCE[[#This Row],[CAJA PAU]])</f>
        <v>0</v>
      </c>
      <c r="BX554" s="3">
        <f>+IF(AVANCE[[#This Row],[INSTALACION VINILICO]]=AJ$2,100%,AVANCE[[#This Row],[INSTALACION VINILICO]])</f>
        <v>0</v>
      </c>
      <c r="BY554" s="3">
        <f>+IF(AVANCE[[#This Row],[OSB CUBIERTA]]=AK$2,100%,AVANCE[[#This Row],[OSB CUBIERTA]])</f>
        <v>0</v>
      </c>
      <c r="BZ554" s="3">
        <f>+IF(AVANCE[[#This Row],[BARANDA BALCON]]=AL$2,100%,AVANCE[[#This Row],[BARANDA BALCON]])</f>
        <v>0</v>
      </c>
      <c r="CA554" s="3">
        <f>+IF(AVANCE[[#This Row],[OSB EXTERIOR]]=AM$2,100%,AVANCE[[#This Row],[OSB EXTERIOR]])</f>
        <v>0</v>
      </c>
      <c r="CB554" s="3">
        <f>+IF(AVANCE[[#This Row],[SMART PANEL]]=AN$2,100%,AVANCE[[#This Row],[SMART PANEL]])</f>
        <v>0</v>
      </c>
      <c r="CC554" s="3">
        <f>+IF(AVANCE[[#This Row],[PINTURA EXTERIOR]]=AO$2,100%,AVANCE[[#This Row],[PINTURA EXTERIOR]])</f>
        <v>0</v>
      </c>
      <c r="CD554" s="3">
        <f>+IF(AVANCE[[#This Row],[ZOCALOS LOGIA]]=AP$2,100%,AVANCE[[#This Row],[ZOCALOS LOGIA]])</f>
        <v>0</v>
      </c>
      <c r="CE554" s="3">
        <f>+IF(AVANCE[[#This Row],[MOLDURAS]]=AQ$2,100%,AVANCE[[#This Row],[MOLDURAS]])</f>
        <v>0</v>
      </c>
      <c r="CF554" s="3">
        <f>+IF(AVANCE[[#This Row],[PILASTREO]]=AR$2,100%,AVANCE[[#This Row],[PILASTREO]])</f>
        <v>0</v>
      </c>
      <c r="CG554" s="3">
        <f>+IF(AVANCE[[#This Row],[CELOSIAS]]=AS$2,100%,AVANCE[[#This Row],[CELOSIAS]])</f>
        <v>0</v>
      </c>
      <c r="CH554" s="3">
        <f>+IF(AVANCE[[#This Row],[VENTANAS]]=AT$2,100%,AVANCE[[#This Row],[VENTANAS]])</f>
        <v>0</v>
      </c>
      <c r="CI554" s="3">
        <f>+IF(AVANCE[[#This Row],[PUERTAS ACCESO - LOGIA - BANO]]=AU$2,100%,AVANCE[[#This Row],[PUERTAS ACCESO - LOGIA - BANO]])</f>
        <v>0</v>
      </c>
      <c r="CJ554" s="3">
        <f>+IF(AVANCE[[#This Row],[CERRADURAS]]=AV$2,100%,AVANCE[[#This Row],[CERRADURAS]])</f>
        <v>0</v>
      </c>
      <c r="CK554" s="3">
        <f>+IF(AVANCE[[#This Row],[REVESTIMIENTO INTERIOR ZONA SECA]]=AW$2,100%,AVANCE[[#This Row],[REVESTIMIENTO INTERIOR ZONA SECA]])</f>
        <v>0</v>
      </c>
      <c r="CL554" s="3">
        <f>+IF(AVANCE[[#This Row],[REVESTIMIENTO INTERIOR ZONAS HUMEDAS]]=AX$2,100%,AVANCE[[#This Row],[REVESTIMIENTO INTERIOR ZONAS HUMEDAS]])</f>
        <v>0</v>
      </c>
      <c r="CM554" s="3">
        <f>+IF(AVANCE[[#This Row],[MEMBRANA CIELO]]=AY$2,100%,AVANCE[[#This Row],[MEMBRANA CIELO]])</f>
        <v>0</v>
      </c>
      <c r="CN554" s="3">
        <f>+IF(AVANCE[[#This Row],[LIMPIEZA FINAL]]=AZ$2,100%,AVANCE[[#This Row],[LIMPIEZA FINAL]])</f>
        <v>0</v>
      </c>
      <c r="CO554" s="3">
        <f>+IF(AVANCE[[#This Row],[PUERTAS DORMITORIO]]=BA$2,100%,AVANCE[[#This Row],[PUERTAS DORMITORIO]])</f>
        <v>0</v>
      </c>
      <c r="CP554" s="3">
        <f>+IF(AVANCE[[#This Row],[REVESTIMIENTO INTERIOR BANO]]=BB$2,100%,AVANCE[[#This Row],[REVESTIMIENTO INTERIOR BANO]])</f>
        <v>0</v>
      </c>
      <c r="CQ554" s="3">
        <f>+IF(AVANCE[[#This Row],[MUEBLE LAVAPLATOS]]=BC$2,100%,AVANCE[[#This Row],[MUEBLE LAVAPLATOS]])</f>
        <v>0</v>
      </c>
      <c r="CR554" s="3">
        <f>+IF(AVANCE[[#This Row],[IMPERMEABILIZACION BANO - COCINA LOGIA]]=BD$2,100%,AVANCE[[#This Row],[IMPERMEABILIZACION BANO - COCINA LOGIA]])</f>
        <v>0</v>
      </c>
      <c r="CS554" s="40">
        <f ca="1">+IF(AVANCE[[#This Row],[ESTADO MODULO]]="PENDIENTE",(TODAY()-AVANCE[[#This Row],[FECHA TERMINO  PLANIFICADO]]),0)</f>
        <v>0</v>
      </c>
      <c r="CT554" s="41" t="str" cm="1">
        <f t="array" ref="CT554">_xlfn.TEXTJOIN(" | ",TRUE,IF(SUMPRODUCT((BG554:CR554&lt;1)*(PARTIDAS!$I$2:$AT$2="OBRA GRUESA"))&gt;0,"OBRA GRUESA: "&amp;_xlfn.TEXTJOIN(", ",TRUE,IF((BG554:CR554&lt;1)*(PARTIDAS!$I$2:$AT$2="OBRA GRUESA"),PARTIDAS!$I$1:$AT$1,"")),""),IF(SUMPRODUCT((BG554:CR554&lt;1)*(PARTIDAS!$I$2:$AT$2="SANITARIOS"))&gt;0,"SANITARIOS: "&amp;_xlfn.TEXTJOIN(", ",TRUE,IF((BG554:CR554&lt;1)*(PARTIDAS!$I$2:$AT$2="SANITARIOS"),PARTIDAS!$I$1:$AT$1,"")),""),IF(SUMPRODUCT((BG554:CR554&lt;1)*(PARTIDAS!$I$2:$AT$2="ELÉCTRICO"))&gt;0,"ELÉCTRICO: "&amp;_xlfn.TEXTJOIN(", ",TRUE,IF((BG554:CR554&lt;1)*(PARTIDAS!$I$2:$AT$2="ELÉCTRICO"),PARTIDAS!$I$1:$AT$1,"")),""),IF(SUMPRODUCT((BG554:CR554&lt;1)*(PARTIDAS!$I$2:$AT$2="TERMINACIONES"))&gt;0,"TERMINACIONES: "&amp;_xlfn.TEXTJOIN(", ",TRUE,IF((BG554:CR554&lt;1)*(PARTIDAS!$I$2:$AT$2="TERMINACIONES"),PARTIDAS!$I$1:$AT$1,"")),""))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4" s="43" t="str" cm="1">
        <f t="array" ref="CU554">_xlfn.TEXTJOIN(", ",TRUE,IF(SUMPRODUCT((BG554:CR554&lt;1)*(PARTIDAS!$I$2:$AT$2="OBRA GRUESA"))&gt;0,"OBRA GRUESA",""),IF(SUMPRODUCT((BG554:CR554&lt;1)*(PARTIDAS!$I$2:$AT$2="SANITARIOS"))&gt;0,"SANITARIOS",""),IF(SUMPRODUCT((BG554:CR554&lt;1)*(PARTIDAS!$I$2:$AT$2="ELÉCTRICO"))&gt;0,"ELÉCTRICO",""),IF(SUMPRODUCT((BG554:CR554&lt;1)*(PARTIDAS!$I$2:$AT$2="TERMINACIONES"))&gt;0,"TERMINACIONES",""))</f>
        <v>OBRA GRUESA, SANITARIOS, ELÉCTRICO, TERMINACIONES</v>
      </c>
      <c r="CV554" s="44" cm="1">
        <f t="array" ref="CV554">SUMPRODUCT(--(BG554:CR554&lt;1))</f>
        <v>38</v>
      </c>
    </row>
    <row r="555" spans="1:100" hidden="1" x14ac:dyDescent="0.25">
      <c r="A555" t="s">
        <v>619</v>
      </c>
      <c r="B555" t="s">
        <v>629</v>
      </c>
      <c r="C555">
        <v>2302600554</v>
      </c>
      <c r="D555" t="s">
        <v>60</v>
      </c>
      <c r="E555" s="2">
        <v>0</v>
      </c>
      <c r="F555" s="1">
        <v>46419</v>
      </c>
      <c r="G555" s="1"/>
      <c r="H555" s="1">
        <v>0</v>
      </c>
      <c r="I555" s="1">
        <v>46449</v>
      </c>
      <c r="J555">
        <v>46230</v>
      </c>
      <c r="K555" s="1"/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>
        <v>31.32</v>
      </c>
      <c r="BF555" s="3" t="str">
        <f>+IF(AVANCE[[#This Row],[% AVANCE]]=100%,"MODULO TERMINADO",IF(AVANCE[[#This Row],[FECHA INICIO REAL]]="","MODULO NO INICIADO","PENDIENTE"))</f>
        <v>MODULO NO INICIADO</v>
      </c>
      <c r="BG555" s="3">
        <f>+IF(AVANCE[[#This Row],[VENTANAS]]=8.10810810810811%,100%,AVANCE[[#This Row],[VENTANAS]])</f>
        <v>0</v>
      </c>
      <c r="BH555" s="3">
        <f>+IF(AVANCE[[#This Row],[PISO]]=N$2,100%,AVANCE[[#This Row],[PISO]])</f>
        <v>0</v>
      </c>
      <c r="BI555" s="3">
        <f>+IF(AVANCE[[#This Row],[TABIQUES]]=O$2,100%,AVANCE[[#This Row],[TABIQUES]])</f>
        <v>0</v>
      </c>
      <c r="BJ555" s="3">
        <f>+IF(AVANCE[[#This Row],[MUROS]]=P$2,100%,AVANCE[[#This Row],[MUROS]])</f>
        <v>0</v>
      </c>
      <c r="BK555" s="3">
        <f>+IF(AVANCE[[#This Row],[CIELO]]=Q$2,100%,AVANCE[[#This Row],[CIELO]])</f>
        <v>0</v>
      </c>
      <c r="BL555" s="3">
        <f>+IF(AVANCE[[#This Row],[BALCÓN]]=R$2,100%,AVANCE[[#This Row],[BALCÓN]])</f>
        <v>0</v>
      </c>
      <c r="BM555" s="3">
        <f>+IF(AVANCE[[#This Row],[RED ALCANTARILLADO]]=U$2,100%,AVANCE[[#This Row],[RED ALCANTARILLADO]])</f>
        <v>0</v>
      </c>
      <c r="BN555" s="3">
        <f>+IF(AVANCE[[#This Row],[RED DE AGUA]]=V$2,100%,AVANCE[[#This Row],[RED DE AGUA]])</f>
        <v>0</v>
      </c>
      <c r="BO555" s="3">
        <f>+IF(AVANCE[[#This Row],[VENTILACIONES]]=W$2,100%,AVANCE[[#This Row],[VENTILACIONES]])</f>
        <v>0</v>
      </c>
      <c r="BP555" s="3">
        <f>+IF(AVANCE[[#This Row],[TINA]]=X$2,100%,AVANCE[[#This Row],[TINA]])</f>
        <v>0</v>
      </c>
      <c r="BQ555" s="3">
        <f>+IF(AVANCE[[#This Row],[WC]]=Y$2,100%,AVANCE[[#This Row],[WC]])</f>
        <v>0</v>
      </c>
      <c r="BR555" s="3">
        <f>+IF(AVANCE[[#This Row],[LAVAMANOS / LAVAPLATOS / LAVADERO]]=Z$2,100%,AVANCE[[#This Row],[LAVAMANOS / LAVAPLATOS / LAVADERO]])</f>
        <v>0</v>
      </c>
      <c r="BS555" s="3">
        <f>+IF(AVANCE[[#This Row],[CANALIZACIÓN]]=AC$2,100%,AVANCE[[#This Row],[CANALIZACIÓN]])</f>
        <v>0</v>
      </c>
      <c r="BT555" s="3">
        <f>+IF(AVANCE[[#This Row],[CABLEADO]]=AD$2,100%,AVANCE[[#This Row],[CABLEADO]])</f>
        <v>0</v>
      </c>
      <c r="BU555" s="3">
        <f>+IF(AVANCE[[#This Row],[ARTEFACTOS]]=AE$2,100%,AVANCE[[#This Row],[ARTEFACTOS]])</f>
        <v>0</v>
      </c>
      <c r="BV555" s="3">
        <f>+IF(AVANCE[[#This Row],[TABLERO]]=AF$2,100%,AVANCE[[#This Row],[TABLERO]])</f>
        <v>0</v>
      </c>
      <c r="BW555" s="3">
        <f>+IF(AVANCE[[#This Row],[CAJA PAU]]=AG$2,100%,AVANCE[[#This Row],[CAJA PAU]])</f>
        <v>0</v>
      </c>
      <c r="BX555" s="3">
        <f>+IF(AVANCE[[#This Row],[INSTALACION VINILICO]]=AJ$2,100%,AVANCE[[#This Row],[INSTALACION VINILICO]])</f>
        <v>0</v>
      </c>
      <c r="BY555" s="3">
        <f>+IF(AVANCE[[#This Row],[OSB CUBIERTA]]=AK$2,100%,AVANCE[[#This Row],[OSB CUBIERTA]])</f>
        <v>0</v>
      </c>
      <c r="BZ555" s="3">
        <f>+IF(AVANCE[[#This Row],[BARANDA BALCON]]=AL$2,100%,AVANCE[[#This Row],[BARANDA BALCON]])</f>
        <v>0</v>
      </c>
      <c r="CA555" s="3">
        <f>+IF(AVANCE[[#This Row],[OSB EXTERIOR]]=AM$2,100%,AVANCE[[#This Row],[OSB EXTERIOR]])</f>
        <v>0</v>
      </c>
      <c r="CB555" s="3">
        <f>+IF(AVANCE[[#This Row],[SMART PANEL]]=AN$2,100%,AVANCE[[#This Row],[SMART PANEL]])</f>
        <v>0</v>
      </c>
      <c r="CC555" s="3">
        <f>+IF(AVANCE[[#This Row],[PINTURA EXTERIOR]]=AO$2,100%,AVANCE[[#This Row],[PINTURA EXTERIOR]])</f>
        <v>0</v>
      </c>
      <c r="CD555" s="3">
        <f>+IF(AVANCE[[#This Row],[ZOCALOS LOGIA]]=AP$2,100%,AVANCE[[#This Row],[ZOCALOS LOGIA]])</f>
        <v>0</v>
      </c>
      <c r="CE555" s="3">
        <f>+IF(AVANCE[[#This Row],[MOLDURAS]]=AQ$2,100%,AVANCE[[#This Row],[MOLDURAS]])</f>
        <v>0</v>
      </c>
      <c r="CF555" s="3">
        <f>+IF(AVANCE[[#This Row],[PILASTREO]]=AR$2,100%,AVANCE[[#This Row],[PILASTREO]])</f>
        <v>0</v>
      </c>
      <c r="CG555" s="3">
        <f>+IF(AVANCE[[#This Row],[CELOSIAS]]=AS$2,100%,AVANCE[[#This Row],[CELOSIAS]])</f>
        <v>0</v>
      </c>
      <c r="CH555" s="3">
        <f>+IF(AVANCE[[#This Row],[VENTANAS]]=AT$2,100%,AVANCE[[#This Row],[VENTANAS]])</f>
        <v>0</v>
      </c>
      <c r="CI555" s="3">
        <f>+IF(AVANCE[[#This Row],[PUERTAS ACCESO - LOGIA - BANO]]=AU$2,100%,AVANCE[[#This Row],[PUERTAS ACCESO - LOGIA - BANO]])</f>
        <v>0</v>
      </c>
      <c r="CJ555" s="3">
        <f>+IF(AVANCE[[#This Row],[CERRADURAS]]=AV$2,100%,AVANCE[[#This Row],[CERRADURAS]])</f>
        <v>0</v>
      </c>
      <c r="CK555" s="3">
        <f>+IF(AVANCE[[#This Row],[REVESTIMIENTO INTERIOR ZONA SECA]]=AW$2,100%,AVANCE[[#This Row],[REVESTIMIENTO INTERIOR ZONA SECA]])</f>
        <v>0</v>
      </c>
      <c r="CL555" s="3">
        <f>+IF(AVANCE[[#This Row],[REVESTIMIENTO INTERIOR ZONAS HUMEDAS]]=AX$2,100%,AVANCE[[#This Row],[REVESTIMIENTO INTERIOR ZONAS HUMEDAS]])</f>
        <v>0</v>
      </c>
      <c r="CM555" s="3">
        <f>+IF(AVANCE[[#This Row],[MEMBRANA CIELO]]=AY$2,100%,AVANCE[[#This Row],[MEMBRANA CIELO]])</f>
        <v>0</v>
      </c>
      <c r="CN555" s="3">
        <f>+IF(AVANCE[[#This Row],[LIMPIEZA FINAL]]=AZ$2,100%,AVANCE[[#This Row],[LIMPIEZA FINAL]])</f>
        <v>0</v>
      </c>
      <c r="CO555" s="3">
        <f>+IF(AVANCE[[#This Row],[PUERTAS DORMITORIO]]=BA$2,100%,AVANCE[[#This Row],[PUERTAS DORMITORIO]])</f>
        <v>0</v>
      </c>
      <c r="CP555" s="3">
        <f>+IF(AVANCE[[#This Row],[REVESTIMIENTO INTERIOR BANO]]=BB$2,100%,AVANCE[[#This Row],[REVESTIMIENTO INTERIOR BANO]])</f>
        <v>0</v>
      </c>
      <c r="CQ555" s="3">
        <f>+IF(AVANCE[[#This Row],[MUEBLE LAVAPLATOS]]=BC$2,100%,AVANCE[[#This Row],[MUEBLE LAVAPLATOS]])</f>
        <v>0</v>
      </c>
      <c r="CR555" s="3">
        <f>+IF(AVANCE[[#This Row],[IMPERMEABILIZACION BANO - COCINA LOGIA]]=BD$2,100%,AVANCE[[#This Row],[IMPERMEABILIZACION BANO - COCINA LOGIA]])</f>
        <v>0</v>
      </c>
      <c r="CS555" s="40">
        <f ca="1">+IF(AVANCE[[#This Row],[ESTADO MODULO]]="PENDIENTE",(TODAY()-AVANCE[[#This Row],[FECHA TERMINO  PLANIFICADO]]),0)</f>
        <v>0</v>
      </c>
      <c r="CT555" s="41" t="str" cm="1">
        <f t="array" ref="CT555">_xlfn.TEXTJOIN(" | ",TRUE,IF(SUMPRODUCT((BG555:CR555&lt;1)*(PARTIDAS!$I$2:$AT$2="OBRA GRUESA"))&gt;0,"OBRA GRUESA: "&amp;_xlfn.TEXTJOIN(", ",TRUE,IF((BG555:CR555&lt;1)*(PARTIDAS!$I$2:$AT$2="OBRA GRUESA"),PARTIDAS!$I$1:$AT$1,"")),""),IF(SUMPRODUCT((BG555:CR555&lt;1)*(PARTIDAS!$I$2:$AT$2="SANITARIOS"))&gt;0,"SANITARIOS: "&amp;_xlfn.TEXTJOIN(", ",TRUE,IF((BG555:CR555&lt;1)*(PARTIDAS!$I$2:$AT$2="SANITARIOS"),PARTIDAS!$I$1:$AT$1,"")),""),IF(SUMPRODUCT((BG555:CR555&lt;1)*(PARTIDAS!$I$2:$AT$2="ELÉCTRICO"))&gt;0,"ELÉCTRICO: "&amp;_xlfn.TEXTJOIN(", ",TRUE,IF((BG555:CR555&lt;1)*(PARTIDAS!$I$2:$AT$2="ELÉCTRICO"),PARTIDAS!$I$1:$AT$1,"")),""),IF(SUMPRODUCT((BG555:CR555&lt;1)*(PARTIDAS!$I$2:$AT$2="TERMINACIONES"))&gt;0,"TERMINACIONES: "&amp;_xlfn.TEXTJOIN(", ",TRUE,IF((BG555:CR555&lt;1)*(PARTIDAS!$I$2:$AT$2="TERMINACIONES"),PARTIDAS!$I$1:$AT$1,"")),""))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5" s="43" t="str" cm="1">
        <f t="array" ref="CU555">_xlfn.TEXTJOIN(", ",TRUE,IF(SUMPRODUCT((BG555:CR555&lt;1)*(PARTIDAS!$I$2:$AT$2="OBRA GRUESA"))&gt;0,"OBRA GRUESA",""),IF(SUMPRODUCT((BG555:CR555&lt;1)*(PARTIDAS!$I$2:$AT$2="SANITARIOS"))&gt;0,"SANITARIOS",""),IF(SUMPRODUCT((BG555:CR555&lt;1)*(PARTIDAS!$I$2:$AT$2="ELÉCTRICO"))&gt;0,"ELÉCTRICO",""),IF(SUMPRODUCT((BG555:CR555&lt;1)*(PARTIDAS!$I$2:$AT$2="TERMINACIONES"))&gt;0,"TERMINACIONES",""))</f>
        <v>OBRA GRUESA, SANITARIOS, ELÉCTRICO, TERMINACIONES</v>
      </c>
      <c r="CV555" s="44" cm="1">
        <f t="array" ref="CV555">SUMPRODUCT(--(BG555:CR555&lt;1))</f>
        <v>38</v>
      </c>
    </row>
    <row r="556" spans="1:100" hidden="1" x14ac:dyDescent="0.25">
      <c r="A556" t="s">
        <v>619</v>
      </c>
      <c r="B556" t="s">
        <v>630</v>
      </c>
      <c r="C556">
        <v>2302600555</v>
      </c>
      <c r="D556" t="s">
        <v>60</v>
      </c>
      <c r="E556" s="2">
        <v>0</v>
      </c>
      <c r="F556" s="1">
        <v>46419</v>
      </c>
      <c r="G556" s="1"/>
      <c r="H556" s="1">
        <v>0</v>
      </c>
      <c r="I556" s="1">
        <v>46449</v>
      </c>
      <c r="J556">
        <v>46230</v>
      </c>
      <c r="K556" s="1"/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>
        <v>31.32</v>
      </c>
      <c r="BF556" s="3" t="str">
        <f>+IF(AVANCE[[#This Row],[% AVANCE]]=100%,"MODULO TERMINADO",IF(AVANCE[[#This Row],[FECHA INICIO REAL]]="","MODULO NO INICIADO","PENDIENTE"))</f>
        <v>MODULO NO INICIADO</v>
      </c>
      <c r="BG556" s="3">
        <f>+IF(AVANCE[[#This Row],[VENTANAS]]=8.10810810810811%,100%,AVANCE[[#This Row],[VENTANAS]])</f>
        <v>0</v>
      </c>
      <c r="BH556" s="3">
        <f>+IF(AVANCE[[#This Row],[PISO]]=N$2,100%,AVANCE[[#This Row],[PISO]])</f>
        <v>0</v>
      </c>
      <c r="BI556" s="3">
        <f>+IF(AVANCE[[#This Row],[TABIQUES]]=O$2,100%,AVANCE[[#This Row],[TABIQUES]])</f>
        <v>0</v>
      </c>
      <c r="BJ556" s="3">
        <f>+IF(AVANCE[[#This Row],[MUROS]]=P$2,100%,AVANCE[[#This Row],[MUROS]])</f>
        <v>0</v>
      </c>
      <c r="BK556" s="3">
        <f>+IF(AVANCE[[#This Row],[CIELO]]=Q$2,100%,AVANCE[[#This Row],[CIELO]])</f>
        <v>0</v>
      </c>
      <c r="BL556" s="3">
        <f>+IF(AVANCE[[#This Row],[BALCÓN]]=R$2,100%,AVANCE[[#This Row],[BALCÓN]])</f>
        <v>0</v>
      </c>
      <c r="BM556" s="3">
        <f>+IF(AVANCE[[#This Row],[RED ALCANTARILLADO]]=U$2,100%,AVANCE[[#This Row],[RED ALCANTARILLADO]])</f>
        <v>0</v>
      </c>
      <c r="BN556" s="3">
        <f>+IF(AVANCE[[#This Row],[RED DE AGUA]]=V$2,100%,AVANCE[[#This Row],[RED DE AGUA]])</f>
        <v>0</v>
      </c>
      <c r="BO556" s="3">
        <f>+IF(AVANCE[[#This Row],[VENTILACIONES]]=W$2,100%,AVANCE[[#This Row],[VENTILACIONES]])</f>
        <v>0</v>
      </c>
      <c r="BP556" s="3">
        <f>+IF(AVANCE[[#This Row],[TINA]]=X$2,100%,AVANCE[[#This Row],[TINA]])</f>
        <v>0</v>
      </c>
      <c r="BQ556" s="3">
        <f>+IF(AVANCE[[#This Row],[WC]]=Y$2,100%,AVANCE[[#This Row],[WC]])</f>
        <v>0</v>
      </c>
      <c r="BR556" s="3">
        <f>+IF(AVANCE[[#This Row],[LAVAMANOS / LAVAPLATOS / LAVADERO]]=Z$2,100%,AVANCE[[#This Row],[LAVAMANOS / LAVAPLATOS / LAVADERO]])</f>
        <v>0</v>
      </c>
      <c r="BS556" s="3">
        <f>+IF(AVANCE[[#This Row],[CANALIZACIÓN]]=AC$2,100%,AVANCE[[#This Row],[CANALIZACIÓN]])</f>
        <v>0</v>
      </c>
      <c r="BT556" s="3">
        <f>+IF(AVANCE[[#This Row],[CABLEADO]]=AD$2,100%,AVANCE[[#This Row],[CABLEADO]])</f>
        <v>0</v>
      </c>
      <c r="BU556" s="3">
        <f>+IF(AVANCE[[#This Row],[ARTEFACTOS]]=AE$2,100%,AVANCE[[#This Row],[ARTEFACTOS]])</f>
        <v>0</v>
      </c>
      <c r="BV556" s="3">
        <f>+IF(AVANCE[[#This Row],[TABLERO]]=AF$2,100%,AVANCE[[#This Row],[TABLERO]])</f>
        <v>0</v>
      </c>
      <c r="BW556" s="3">
        <f>+IF(AVANCE[[#This Row],[CAJA PAU]]=AG$2,100%,AVANCE[[#This Row],[CAJA PAU]])</f>
        <v>0</v>
      </c>
      <c r="BX556" s="3">
        <f>+IF(AVANCE[[#This Row],[INSTALACION VINILICO]]=AJ$2,100%,AVANCE[[#This Row],[INSTALACION VINILICO]])</f>
        <v>0</v>
      </c>
      <c r="BY556" s="3">
        <f>+IF(AVANCE[[#This Row],[OSB CUBIERTA]]=AK$2,100%,AVANCE[[#This Row],[OSB CUBIERTA]])</f>
        <v>0</v>
      </c>
      <c r="BZ556" s="3">
        <f>+IF(AVANCE[[#This Row],[BARANDA BALCON]]=AL$2,100%,AVANCE[[#This Row],[BARANDA BALCON]])</f>
        <v>0</v>
      </c>
      <c r="CA556" s="3">
        <f>+IF(AVANCE[[#This Row],[OSB EXTERIOR]]=AM$2,100%,AVANCE[[#This Row],[OSB EXTERIOR]])</f>
        <v>0</v>
      </c>
      <c r="CB556" s="3">
        <f>+IF(AVANCE[[#This Row],[SMART PANEL]]=AN$2,100%,AVANCE[[#This Row],[SMART PANEL]])</f>
        <v>0</v>
      </c>
      <c r="CC556" s="3">
        <f>+IF(AVANCE[[#This Row],[PINTURA EXTERIOR]]=AO$2,100%,AVANCE[[#This Row],[PINTURA EXTERIOR]])</f>
        <v>0</v>
      </c>
      <c r="CD556" s="3">
        <f>+IF(AVANCE[[#This Row],[ZOCALOS LOGIA]]=AP$2,100%,AVANCE[[#This Row],[ZOCALOS LOGIA]])</f>
        <v>0</v>
      </c>
      <c r="CE556" s="3">
        <f>+IF(AVANCE[[#This Row],[MOLDURAS]]=AQ$2,100%,AVANCE[[#This Row],[MOLDURAS]])</f>
        <v>0</v>
      </c>
      <c r="CF556" s="3">
        <f>+IF(AVANCE[[#This Row],[PILASTREO]]=AR$2,100%,AVANCE[[#This Row],[PILASTREO]])</f>
        <v>0</v>
      </c>
      <c r="CG556" s="3">
        <f>+IF(AVANCE[[#This Row],[CELOSIAS]]=AS$2,100%,AVANCE[[#This Row],[CELOSIAS]])</f>
        <v>0</v>
      </c>
      <c r="CH556" s="3">
        <f>+IF(AVANCE[[#This Row],[VENTANAS]]=AT$2,100%,AVANCE[[#This Row],[VENTANAS]])</f>
        <v>0</v>
      </c>
      <c r="CI556" s="3">
        <f>+IF(AVANCE[[#This Row],[PUERTAS ACCESO - LOGIA - BANO]]=AU$2,100%,AVANCE[[#This Row],[PUERTAS ACCESO - LOGIA - BANO]])</f>
        <v>0</v>
      </c>
      <c r="CJ556" s="3">
        <f>+IF(AVANCE[[#This Row],[CERRADURAS]]=AV$2,100%,AVANCE[[#This Row],[CERRADURAS]])</f>
        <v>0</v>
      </c>
      <c r="CK556" s="3">
        <f>+IF(AVANCE[[#This Row],[REVESTIMIENTO INTERIOR ZONA SECA]]=AW$2,100%,AVANCE[[#This Row],[REVESTIMIENTO INTERIOR ZONA SECA]])</f>
        <v>0</v>
      </c>
      <c r="CL556" s="3">
        <f>+IF(AVANCE[[#This Row],[REVESTIMIENTO INTERIOR ZONAS HUMEDAS]]=AX$2,100%,AVANCE[[#This Row],[REVESTIMIENTO INTERIOR ZONAS HUMEDAS]])</f>
        <v>0</v>
      </c>
      <c r="CM556" s="3">
        <f>+IF(AVANCE[[#This Row],[MEMBRANA CIELO]]=AY$2,100%,AVANCE[[#This Row],[MEMBRANA CIELO]])</f>
        <v>0</v>
      </c>
      <c r="CN556" s="3">
        <f>+IF(AVANCE[[#This Row],[LIMPIEZA FINAL]]=AZ$2,100%,AVANCE[[#This Row],[LIMPIEZA FINAL]])</f>
        <v>0</v>
      </c>
      <c r="CO556" s="3">
        <f>+IF(AVANCE[[#This Row],[PUERTAS DORMITORIO]]=BA$2,100%,AVANCE[[#This Row],[PUERTAS DORMITORIO]])</f>
        <v>0</v>
      </c>
      <c r="CP556" s="3">
        <f>+IF(AVANCE[[#This Row],[REVESTIMIENTO INTERIOR BANO]]=BB$2,100%,AVANCE[[#This Row],[REVESTIMIENTO INTERIOR BANO]])</f>
        <v>0</v>
      </c>
      <c r="CQ556" s="3">
        <f>+IF(AVANCE[[#This Row],[MUEBLE LAVAPLATOS]]=BC$2,100%,AVANCE[[#This Row],[MUEBLE LAVAPLATOS]])</f>
        <v>0</v>
      </c>
      <c r="CR556" s="3">
        <f>+IF(AVANCE[[#This Row],[IMPERMEABILIZACION BANO - COCINA LOGIA]]=BD$2,100%,AVANCE[[#This Row],[IMPERMEABILIZACION BANO - COCINA LOGIA]])</f>
        <v>0</v>
      </c>
      <c r="CS556" s="40">
        <f ca="1">+IF(AVANCE[[#This Row],[ESTADO MODULO]]="PENDIENTE",(TODAY()-AVANCE[[#This Row],[FECHA TERMINO  PLANIFICADO]]),0)</f>
        <v>0</v>
      </c>
      <c r="CT556" s="41" t="str" cm="1">
        <f t="array" ref="CT556">_xlfn.TEXTJOIN(" | ",TRUE,IF(SUMPRODUCT((BG556:CR556&lt;1)*(PARTIDAS!$I$2:$AT$2="OBRA GRUESA"))&gt;0,"OBRA GRUESA: "&amp;_xlfn.TEXTJOIN(", ",TRUE,IF((BG556:CR556&lt;1)*(PARTIDAS!$I$2:$AT$2="OBRA GRUESA"),PARTIDAS!$I$1:$AT$1,"")),""),IF(SUMPRODUCT((BG556:CR556&lt;1)*(PARTIDAS!$I$2:$AT$2="SANITARIOS"))&gt;0,"SANITARIOS: "&amp;_xlfn.TEXTJOIN(", ",TRUE,IF((BG556:CR556&lt;1)*(PARTIDAS!$I$2:$AT$2="SANITARIOS"),PARTIDAS!$I$1:$AT$1,"")),""),IF(SUMPRODUCT((BG556:CR556&lt;1)*(PARTIDAS!$I$2:$AT$2="ELÉCTRICO"))&gt;0,"ELÉCTRICO: "&amp;_xlfn.TEXTJOIN(", ",TRUE,IF((BG556:CR556&lt;1)*(PARTIDAS!$I$2:$AT$2="ELÉCTRICO"),PARTIDAS!$I$1:$AT$1,"")),""),IF(SUMPRODUCT((BG556:CR556&lt;1)*(PARTIDAS!$I$2:$AT$2="TERMINACIONES"))&gt;0,"TERMINACIONES: "&amp;_xlfn.TEXTJOIN(", ",TRUE,IF((BG556:CR556&lt;1)*(PARTIDAS!$I$2:$AT$2="TERMINACIONES"),PARTIDAS!$I$1:$AT$1,"")),""))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6" s="43" t="str" cm="1">
        <f t="array" ref="CU556">_xlfn.TEXTJOIN(", ",TRUE,IF(SUMPRODUCT((BG556:CR556&lt;1)*(PARTIDAS!$I$2:$AT$2="OBRA GRUESA"))&gt;0,"OBRA GRUESA",""),IF(SUMPRODUCT((BG556:CR556&lt;1)*(PARTIDAS!$I$2:$AT$2="SANITARIOS"))&gt;0,"SANITARIOS",""),IF(SUMPRODUCT((BG556:CR556&lt;1)*(PARTIDAS!$I$2:$AT$2="ELÉCTRICO"))&gt;0,"ELÉCTRICO",""),IF(SUMPRODUCT((BG556:CR556&lt;1)*(PARTIDAS!$I$2:$AT$2="TERMINACIONES"))&gt;0,"TERMINACIONES",""))</f>
        <v>OBRA GRUESA, SANITARIOS, ELÉCTRICO, TERMINACIONES</v>
      </c>
      <c r="CV556" s="44" cm="1">
        <f t="array" ref="CV556">SUMPRODUCT(--(BG556:CR556&lt;1))</f>
        <v>38</v>
      </c>
    </row>
    <row r="557" spans="1:100" hidden="1" x14ac:dyDescent="0.25">
      <c r="A557" t="s">
        <v>619</v>
      </c>
      <c r="B557" t="s">
        <v>631</v>
      </c>
      <c r="C557">
        <v>2282600556</v>
      </c>
      <c r="D557" t="s">
        <v>58</v>
      </c>
      <c r="E557" s="2">
        <v>0</v>
      </c>
      <c r="F557" s="1">
        <v>46419</v>
      </c>
      <c r="G557" s="1"/>
      <c r="H557" s="1">
        <v>0</v>
      </c>
      <c r="I557" s="1">
        <v>46439</v>
      </c>
      <c r="J557">
        <v>46230</v>
      </c>
      <c r="K557" s="1"/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>
        <v>28.87</v>
      </c>
      <c r="BF557" s="3" t="str">
        <f>+IF(AVANCE[[#This Row],[% AVANCE]]=100%,"MODULO TERMINADO",IF(AVANCE[[#This Row],[FECHA INICIO REAL]]="","MODULO NO INICIADO","PENDIENTE"))</f>
        <v>MODULO NO INICIADO</v>
      </c>
      <c r="BG557" s="3">
        <f>+IF(AVANCE[[#This Row],[VENTANAS]]=8.10810810810811%,100%,AVANCE[[#This Row],[VENTANAS]])</f>
        <v>0</v>
      </c>
      <c r="BH557" s="3">
        <f>+IF(AVANCE[[#This Row],[PISO]]=N$2,100%,AVANCE[[#This Row],[PISO]])</f>
        <v>0</v>
      </c>
      <c r="BI557" s="3">
        <f>+IF(AVANCE[[#This Row],[TABIQUES]]=O$2,100%,AVANCE[[#This Row],[TABIQUES]])</f>
        <v>0</v>
      </c>
      <c r="BJ557" s="3">
        <f>+IF(AVANCE[[#This Row],[MUROS]]=P$2,100%,AVANCE[[#This Row],[MUROS]])</f>
        <v>0</v>
      </c>
      <c r="BK557" s="3">
        <f>+IF(AVANCE[[#This Row],[CIELO]]=Q$2,100%,AVANCE[[#This Row],[CIELO]])</f>
        <v>0</v>
      </c>
      <c r="BL557" s="3">
        <f>+IF(AVANCE[[#This Row],[BALCÓN]]=R$2,100%,AVANCE[[#This Row],[BALCÓN]])</f>
        <v>0</v>
      </c>
      <c r="BM557" s="3">
        <f>+IF(AVANCE[[#This Row],[RED ALCANTARILLADO]]=U$2,100%,AVANCE[[#This Row],[RED ALCANTARILLADO]])</f>
        <v>0</v>
      </c>
      <c r="BN557" s="3">
        <f>+IF(AVANCE[[#This Row],[RED DE AGUA]]=V$2,100%,AVANCE[[#This Row],[RED DE AGUA]])</f>
        <v>0</v>
      </c>
      <c r="BO557" s="3">
        <f>+IF(AVANCE[[#This Row],[VENTILACIONES]]=W$2,100%,AVANCE[[#This Row],[VENTILACIONES]])</f>
        <v>0</v>
      </c>
      <c r="BP557" s="3">
        <f>+IF(AVANCE[[#This Row],[TINA]]=X$2,100%,AVANCE[[#This Row],[TINA]])</f>
        <v>0</v>
      </c>
      <c r="BQ557" s="3">
        <f>+IF(AVANCE[[#This Row],[WC]]=Y$2,100%,AVANCE[[#This Row],[WC]])</f>
        <v>0</v>
      </c>
      <c r="BR557" s="3">
        <f>+IF(AVANCE[[#This Row],[LAVAMANOS / LAVAPLATOS / LAVADERO]]=Z$2,100%,AVANCE[[#This Row],[LAVAMANOS / LAVAPLATOS / LAVADERO]])</f>
        <v>0</v>
      </c>
      <c r="BS557" s="3">
        <f>+IF(AVANCE[[#This Row],[CANALIZACIÓN]]=AC$2,100%,AVANCE[[#This Row],[CANALIZACIÓN]])</f>
        <v>0</v>
      </c>
      <c r="BT557" s="3">
        <f>+IF(AVANCE[[#This Row],[CABLEADO]]=AD$2,100%,AVANCE[[#This Row],[CABLEADO]])</f>
        <v>0</v>
      </c>
      <c r="BU557" s="3">
        <f>+IF(AVANCE[[#This Row],[ARTEFACTOS]]=AE$2,100%,AVANCE[[#This Row],[ARTEFACTOS]])</f>
        <v>0</v>
      </c>
      <c r="BV557" s="3">
        <f>+IF(AVANCE[[#This Row],[TABLERO]]=AF$2,100%,AVANCE[[#This Row],[TABLERO]])</f>
        <v>0</v>
      </c>
      <c r="BW557" s="3">
        <f>+IF(AVANCE[[#This Row],[CAJA PAU]]=AG$2,100%,AVANCE[[#This Row],[CAJA PAU]])</f>
        <v>0</v>
      </c>
      <c r="BX557" s="3">
        <f>+IF(AVANCE[[#This Row],[INSTALACION VINILICO]]=AJ$2,100%,AVANCE[[#This Row],[INSTALACION VINILICO]])</f>
        <v>0</v>
      </c>
      <c r="BY557" s="3">
        <f>+IF(AVANCE[[#This Row],[OSB CUBIERTA]]=AK$2,100%,AVANCE[[#This Row],[OSB CUBIERTA]])</f>
        <v>0</v>
      </c>
      <c r="BZ557" s="3">
        <f>+IF(AVANCE[[#This Row],[BARANDA BALCON]]=AL$2,100%,AVANCE[[#This Row],[BARANDA BALCON]])</f>
        <v>0</v>
      </c>
      <c r="CA557" s="3">
        <f>+IF(AVANCE[[#This Row],[OSB EXTERIOR]]=AM$2,100%,AVANCE[[#This Row],[OSB EXTERIOR]])</f>
        <v>0</v>
      </c>
      <c r="CB557" s="3">
        <f>+IF(AVANCE[[#This Row],[SMART PANEL]]=AN$2,100%,AVANCE[[#This Row],[SMART PANEL]])</f>
        <v>0</v>
      </c>
      <c r="CC557" s="3">
        <f>+IF(AVANCE[[#This Row],[PINTURA EXTERIOR]]=AO$2,100%,AVANCE[[#This Row],[PINTURA EXTERIOR]])</f>
        <v>0</v>
      </c>
      <c r="CD557" s="3">
        <f>+IF(AVANCE[[#This Row],[ZOCALOS LOGIA]]=AP$2,100%,AVANCE[[#This Row],[ZOCALOS LOGIA]])</f>
        <v>0</v>
      </c>
      <c r="CE557" s="3">
        <f>+IF(AVANCE[[#This Row],[MOLDURAS]]=AQ$2,100%,AVANCE[[#This Row],[MOLDURAS]])</f>
        <v>0</v>
      </c>
      <c r="CF557" s="3">
        <f>+IF(AVANCE[[#This Row],[PILASTREO]]=AR$2,100%,AVANCE[[#This Row],[PILASTREO]])</f>
        <v>0</v>
      </c>
      <c r="CG557" s="3">
        <f>+IF(AVANCE[[#This Row],[CELOSIAS]]=AS$2,100%,AVANCE[[#This Row],[CELOSIAS]])</f>
        <v>0</v>
      </c>
      <c r="CH557" s="3">
        <f>+IF(AVANCE[[#This Row],[VENTANAS]]=AT$2,100%,AVANCE[[#This Row],[VENTANAS]])</f>
        <v>0</v>
      </c>
      <c r="CI557" s="3">
        <f>+IF(AVANCE[[#This Row],[PUERTAS ACCESO - LOGIA - BANO]]=AU$2,100%,AVANCE[[#This Row],[PUERTAS ACCESO - LOGIA - BANO]])</f>
        <v>0</v>
      </c>
      <c r="CJ557" s="3">
        <f>+IF(AVANCE[[#This Row],[CERRADURAS]]=AV$2,100%,AVANCE[[#This Row],[CERRADURAS]])</f>
        <v>0</v>
      </c>
      <c r="CK557" s="3">
        <f>+IF(AVANCE[[#This Row],[REVESTIMIENTO INTERIOR ZONA SECA]]=AW$2,100%,AVANCE[[#This Row],[REVESTIMIENTO INTERIOR ZONA SECA]])</f>
        <v>0</v>
      </c>
      <c r="CL557" s="3">
        <f>+IF(AVANCE[[#This Row],[REVESTIMIENTO INTERIOR ZONAS HUMEDAS]]=AX$2,100%,AVANCE[[#This Row],[REVESTIMIENTO INTERIOR ZONAS HUMEDAS]])</f>
        <v>0</v>
      </c>
      <c r="CM557" s="3">
        <f>+IF(AVANCE[[#This Row],[MEMBRANA CIELO]]=AY$2,100%,AVANCE[[#This Row],[MEMBRANA CIELO]])</f>
        <v>0</v>
      </c>
      <c r="CN557" s="3">
        <f>+IF(AVANCE[[#This Row],[LIMPIEZA FINAL]]=AZ$2,100%,AVANCE[[#This Row],[LIMPIEZA FINAL]])</f>
        <v>0</v>
      </c>
      <c r="CO557" s="3">
        <f>+IF(AVANCE[[#This Row],[PUERTAS DORMITORIO]]=BA$2,100%,AVANCE[[#This Row],[PUERTAS DORMITORIO]])</f>
        <v>0</v>
      </c>
      <c r="CP557" s="3">
        <f>+IF(AVANCE[[#This Row],[REVESTIMIENTO INTERIOR BANO]]=BB$2,100%,AVANCE[[#This Row],[REVESTIMIENTO INTERIOR BANO]])</f>
        <v>0</v>
      </c>
      <c r="CQ557" s="3">
        <f>+IF(AVANCE[[#This Row],[MUEBLE LAVAPLATOS]]=BC$2,100%,AVANCE[[#This Row],[MUEBLE LAVAPLATOS]])</f>
        <v>0</v>
      </c>
      <c r="CR557" s="3">
        <f>+IF(AVANCE[[#This Row],[IMPERMEABILIZACION BANO - COCINA LOGIA]]=BD$2,100%,AVANCE[[#This Row],[IMPERMEABILIZACION BANO - COCINA LOGIA]])</f>
        <v>0</v>
      </c>
      <c r="CS557" s="40">
        <f ca="1">+IF(AVANCE[[#This Row],[ESTADO MODULO]]="PENDIENTE",(TODAY()-AVANCE[[#This Row],[FECHA TERMINO  PLANIFICADO]]),0)</f>
        <v>0</v>
      </c>
      <c r="CT557" s="41" t="str" cm="1">
        <f t="array" ref="CT557">_xlfn.TEXTJOIN(" | ",TRUE,IF(SUMPRODUCT((BG557:CR557&lt;1)*(PARTIDAS!$I$2:$AT$2="OBRA GRUESA"))&gt;0,"OBRA GRUESA: "&amp;_xlfn.TEXTJOIN(", ",TRUE,IF((BG557:CR557&lt;1)*(PARTIDAS!$I$2:$AT$2="OBRA GRUESA"),PARTIDAS!$I$1:$AT$1,"")),""),IF(SUMPRODUCT((BG557:CR557&lt;1)*(PARTIDAS!$I$2:$AT$2="SANITARIOS"))&gt;0,"SANITARIOS: "&amp;_xlfn.TEXTJOIN(", ",TRUE,IF((BG557:CR557&lt;1)*(PARTIDAS!$I$2:$AT$2="SANITARIOS"),PARTIDAS!$I$1:$AT$1,"")),""),IF(SUMPRODUCT((BG557:CR557&lt;1)*(PARTIDAS!$I$2:$AT$2="ELÉCTRICO"))&gt;0,"ELÉCTRICO: "&amp;_xlfn.TEXTJOIN(", ",TRUE,IF((BG557:CR557&lt;1)*(PARTIDAS!$I$2:$AT$2="ELÉCTRICO"),PARTIDAS!$I$1:$AT$1,"")),""),IF(SUMPRODUCT((BG557:CR557&lt;1)*(PARTIDAS!$I$2:$AT$2="TERMINACIONES"))&gt;0,"TERMINACIONES: "&amp;_xlfn.TEXTJOIN(", ",TRUE,IF((BG557:CR557&lt;1)*(PARTIDAS!$I$2:$AT$2="TERMINACIONES"),PARTIDAS!$I$1:$AT$1,"")),""))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7" s="43" t="str" cm="1">
        <f t="array" ref="CU557">_xlfn.TEXTJOIN(", ",TRUE,IF(SUMPRODUCT((BG557:CR557&lt;1)*(PARTIDAS!$I$2:$AT$2="OBRA GRUESA"))&gt;0,"OBRA GRUESA",""),IF(SUMPRODUCT((BG557:CR557&lt;1)*(PARTIDAS!$I$2:$AT$2="SANITARIOS"))&gt;0,"SANITARIOS",""),IF(SUMPRODUCT((BG557:CR557&lt;1)*(PARTIDAS!$I$2:$AT$2="ELÉCTRICO"))&gt;0,"ELÉCTRICO",""),IF(SUMPRODUCT((BG557:CR557&lt;1)*(PARTIDAS!$I$2:$AT$2="TERMINACIONES"))&gt;0,"TERMINACIONES",""))</f>
        <v>OBRA GRUESA, SANITARIOS, ELÉCTRICO, TERMINACIONES</v>
      </c>
      <c r="CV557" s="44" cm="1">
        <f t="array" ref="CV557">SUMPRODUCT(--(BG557:CR557&lt;1))</f>
        <v>38</v>
      </c>
    </row>
    <row r="558" spans="1:100" hidden="1" x14ac:dyDescent="0.25">
      <c r="A558" t="s">
        <v>619</v>
      </c>
      <c r="B558" t="s">
        <v>632</v>
      </c>
      <c r="C558">
        <v>2282600557</v>
      </c>
      <c r="D558" t="s">
        <v>58</v>
      </c>
      <c r="E558" s="2">
        <v>0</v>
      </c>
      <c r="F558" s="1">
        <v>46420</v>
      </c>
      <c r="G558" s="1"/>
      <c r="H558" s="1">
        <v>0</v>
      </c>
      <c r="I558" s="1">
        <v>46440</v>
      </c>
      <c r="J558">
        <v>46230</v>
      </c>
      <c r="K558" s="1"/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>
        <v>28.87</v>
      </c>
      <c r="BF558" s="3" t="str">
        <f>+IF(AVANCE[[#This Row],[% AVANCE]]=100%,"MODULO TERMINADO",IF(AVANCE[[#This Row],[FECHA INICIO REAL]]="","MODULO NO INICIADO","PENDIENTE"))</f>
        <v>MODULO NO INICIADO</v>
      </c>
      <c r="BG558" s="3">
        <f>+IF(AVANCE[[#This Row],[VENTANAS]]=8.10810810810811%,100%,AVANCE[[#This Row],[VENTANAS]])</f>
        <v>0</v>
      </c>
      <c r="BH558" s="3">
        <f>+IF(AVANCE[[#This Row],[PISO]]=N$2,100%,AVANCE[[#This Row],[PISO]])</f>
        <v>0</v>
      </c>
      <c r="BI558" s="3">
        <f>+IF(AVANCE[[#This Row],[TABIQUES]]=O$2,100%,AVANCE[[#This Row],[TABIQUES]])</f>
        <v>0</v>
      </c>
      <c r="BJ558" s="3">
        <f>+IF(AVANCE[[#This Row],[MUROS]]=P$2,100%,AVANCE[[#This Row],[MUROS]])</f>
        <v>0</v>
      </c>
      <c r="BK558" s="3">
        <f>+IF(AVANCE[[#This Row],[CIELO]]=Q$2,100%,AVANCE[[#This Row],[CIELO]])</f>
        <v>0</v>
      </c>
      <c r="BL558" s="3">
        <f>+IF(AVANCE[[#This Row],[BALCÓN]]=R$2,100%,AVANCE[[#This Row],[BALCÓN]])</f>
        <v>0</v>
      </c>
      <c r="BM558" s="3">
        <f>+IF(AVANCE[[#This Row],[RED ALCANTARILLADO]]=U$2,100%,AVANCE[[#This Row],[RED ALCANTARILLADO]])</f>
        <v>0</v>
      </c>
      <c r="BN558" s="3">
        <f>+IF(AVANCE[[#This Row],[RED DE AGUA]]=V$2,100%,AVANCE[[#This Row],[RED DE AGUA]])</f>
        <v>0</v>
      </c>
      <c r="BO558" s="3">
        <f>+IF(AVANCE[[#This Row],[VENTILACIONES]]=W$2,100%,AVANCE[[#This Row],[VENTILACIONES]])</f>
        <v>0</v>
      </c>
      <c r="BP558" s="3">
        <f>+IF(AVANCE[[#This Row],[TINA]]=X$2,100%,AVANCE[[#This Row],[TINA]])</f>
        <v>0</v>
      </c>
      <c r="BQ558" s="3">
        <f>+IF(AVANCE[[#This Row],[WC]]=Y$2,100%,AVANCE[[#This Row],[WC]])</f>
        <v>0</v>
      </c>
      <c r="BR558" s="3">
        <f>+IF(AVANCE[[#This Row],[LAVAMANOS / LAVAPLATOS / LAVADERO]]=Z$2,100%,AVANCE[[#This Row],[LAVAMANOS / LAVAPLATOS / LAVADERO]])</f>
        <v>0</v>
      </c>
      <c r="BS558" s="3">
        <f>+IF(AVANCE[[#This Row],[CANALIZACIÓN]]=AC$2,100%,AVANCE[[#This Row],[CANALIZACIÓN]])</f>
        <v>0</v>
      </c>
      <c r="BT558" s="3">
        <f>+IF(AVANCE[[#This Row],[CABLEADO]]=AD$2,100%,AVANCE[[#This Row],[CABLEADO]])</f>
        <v>0</v>
      </c>
      <c r="BU558" s="3">
        <f>+IF(AVANCE[[#This Row],[ARTEFACTOS]]=AE$2,100%,AVANCE[[#This Row],[ARTEFACTOS]])</f>
        <v>0</v>
      </c>
      <c r="BV558" s="3">
        <f>+IF(AVANCE[[#This Row],[TABLERO]]=AF$2,100%,AVANCE[[#This Row],[TABLERO]])</f>
        <v>0</v>
      </c>
      <c r="BW558" s="3">
        <f>+IF(AVANCE[[#This Row],[CAJA PAU]]=AG$2,100%,AVANCE[[#This Row],[CAJA PAU]])</f>
        <v>0</v>
      </c>
      <c r="BX558" s="3">
        <f>+IF(AVANCE[[#This Row],[INSTALACION VINILICO]]=AJ$2,100%,AVANCE[[#This Row],[INSTALACION VINILICO]])</f>
        <v>0</v>
      </c>
      <c r="BY558" s="3">
        <f>+IF(AVANCE[[#This Row],[OSB CUBIERTA]]=AK$2,100%,AVANCE[[#This Row],[OSB CUBIERTA]])</f>
        <v>0</v>
      </c>
      <c r="BZ558" s="3">
        <f>+IF(AVANCE[[#This Row],[BARANDA BALCON]]=AL$2,100%,AVANCE[[#This Row],[BARANDA BALCON]])</f>
        <v>0</v>
      </c>
      <c r="CA558" s="3">
        <f>+IF(AVANCE[[#This Row],[OSB EXTERIOR]]=AM$2,100%,AVANCE[[#This Row],[OSB EXTERIOR]])</f>
        <v>0</v>
      </c>
      <c r="CB558" s="3">
        <f>+IF(AVANCE[[#This Row],[SMART PANEL]]=AN$2,100%,AVANCE[[#This Row],[SMART PANEL]])</f>
        <v>0</v>
      </c>
      <c r="CC558" s="3">
        <f>+IF(AVANCE[[#This Row],[PINTURA EXTERIOR]]=AO$2,100%,AVANCE[[#This Row],[PINTURA EXTERIOR]])</f>
        <v>0</v>
      </c>
      <c r="CD558" s="3">
        <f>+IF(AVANCE[[#This Row],[ZOCALOS LOGIA]]=AP$2,100%,AVANCE[[#This Row],[ZOCALOS LOGIA]])</f>
        <v>0</v>
      </c>
      <c r="CE558" s="3">
        <f>+IF(AVANCE[[#This Row],[MOLDURAS]]=AQ$2,100%,AVANCE[[#This Row],[MOLDURAS]])</f>
        <v>0</v>
      </c>
      <c r="CF558" s="3">
        <f>+IF(AVANCE[[#This Row],[PILASTREO]]=AR$2,100%,AVANCE[[#This Row],[PILASTREO]])</f>
        <v>0</v>
      </c>
      <c r="CG558" s="3">
        <f>+IF(AVANCE[[#This Row],[CELOSIAS]]=AS$2,100%,AVANCE[[#This Row],[CELOSIAS]])</f>
        <v>0</v>
      </c>
      <c r="CH558" s="3">
        <f>+IF(AVANCE[[#This Row],[VENTANAS]]=AT$2,100%,AVANCE[[#This Row],[VENTANAS]])</f>
        <v>0</v>
      </c>
      <c r="CI558" s="3">
        <f>+IF(AVANCE[[#This Row],[PUERTAS ACCESO - LOGIA - BANO]]=AU$2,100%,AVANCE[[#This Row],[PUERTAS ACCESO - LOGIA - BANO]])</f>
        <v>0</v>
      </c>
      <c r="CJ558" s="3">
        <f>+IF(AVANCE[[#This Row],[CERRADURAS]]=AV$2,100%,AVANCE[[#This Row],[CERRADURAS]])</f>
        <v>0</v>
      </c>
      <c r="CK558" s="3">
        <f>+IF(AVANCE[[#This Row],[REVESTIMIENTO INTERIOR ZONA SECA]]=AW$2,100%,AVANCE[[#This Row],[REVESTIMIENTO INTERIOR ZONA SECA]])</f>
        <v>0</v>
      </c>
      <c r="CL558" s="3">
        <f>+IF(AVANCE[[#This Row],[REVESTIMIENTO INTERIOR ZONAS HUMEDAS]]=AX$2,100%,AVANCE[[#This Row],[REVESTIMIENTO INTERIOR ZONAS HUMEDAS]])</f>
        <v>0</v>
      </c>
      <c r="CM558" s="3">
        <f>+IF(AVANCE[[#This Row],[MEMBRANA CIELO]]=AY$2,100%,AVANCE[[#This Row],[MEMBRANA CIELO]])</f>
        <v>0</v>
      </c>
      <c r="CN558" s="3">
        <f>+IF(AVANCE[[#This Row],[LIMPIEZA FINAL]]=AZ$2,100%,AVANCE[[#This Row],[LIMPIEZA FINAL]])</f>
        <v>0</v>
      </c>
      <c r="CO558" s="3">
        <f>+IF(AVANCE[[#This Row],[PUERTAS DORMITORIO]]=BA$2,100%,AVANCE[[#This Row],[PUERTAS DORMITORIO]])</f>
        <v>0</v>
      </c>
      <c r="CP558" s="3">
        <f>+IF(AVANCE[[#This Row],[REVESTIMIENTO INTERIOR BANO]]=BB$2,100%,AVANCE[[#This Row],[REVESTIMIENTO INTERIOR BANO]])</f>
        <v>0</v>
      </c>
      <c r="CQ558" s="3">
        <f>+IF(AVANCE[[#This Row],[MUEBLE LAVAPLATOS]]=BC$2,100%,AVANCE[[#This Row],[MUEBLE LAVAPLATOS]])</f>
        <v>0</v>
      </c>
      <c r="CR558" s="3">
        <f>+IF(AVANCE[[#This Row],[IMPERMEABILIZACION BANO - COCINA LOGIA]]=BD$2,100%,AVANCE[[#This Row],[IMPERMEABILIZACION BANO - COCINA LOGIA]])</f>
        <v>0</v>
      </c>
      <c r="CS558" s="40">
        <f ca="1">+IF(AVANCE[[#This Row],[ESTADO MODULO]]="PENDIENTE",(TODAY()-AVANCE[[#This Row],[FECHA TERMINO  PLANIFICADO]]),0)</f>
        <v>0</v>
      </c>
      <c r="CT558" s="41" t="str" cm="1">
        <f t="array" ref="CT558">_xlfn.TEXTJOIN(" | ",TRUE,IF(SUMPRODUCT((BG558:CR558&lt;1)*(PARTIDAS!$I$2:$AT$2="OBRA GRUESA"))&gt;0,"OBRA GRUESA: "&amp;_xlfn.TEXTJOIN(", ",TRUE,IF((BG558:CR558&lt;1)*(PARTIDAS!$I$2:$AT$2="OBRA GRUESA"),PARTIDAS!$I$1:$AT$1,"")),""),IF(SUMPRODUCT((BG558:CR558&lt;1)*(PARTIDAS!$I$2:$AT$2="SANITARIOS"))&gt;0,"SANITARIOS: "&amp;_xlfn.TEXTJOIN(", ",TRUE,IF((BG558:CR558&lt;1)*(PARTIDAS!$I$2:$AT$2="SANITARIOS"),PARTIDAS!$I$1:$AT$1,"")),""),IF(SUMPRODUCT((BG558:CR558&lt;1)*(PARTIDAS!$I$2:$AT$2="ELÉCTRICO"))&gt;0,"ELÉCTRICO: "&amp;_xlfn.TEXTJOIN(", ",TRUE,IF((BG558:CR558&lt;1)*(PARTIDAS!$I$2:$AT$2="ELÉCTRICO"),PARTIDAS!$I$1:$AT$1,"")),""),IF(SUMPRODUCT((BG558:CR558&lt;1)*(PARTIDAS!$I$2:$AT$2="TERMINACIONES"))&gt;0,"TERMINACIONES: "&amp;_xlfn.TEXTJOIN(", ",TRUE,IF((BG558:CR558&lt;1)*(PARTIDAS!$I$2:$AT$2="TERMINACIONES"),PARTIDAS!$I$1:$AT$1,"")),""))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8" s="43" t="str" cm="1">
        <f t="array" ref="CU558">_xlfn.TEXTJOIN(", ",TRUE,IF(SUMPRODUCT((BG558:CR558&lt;1)*(PARTIDAS!$I$2:$AT$2="OBRA GRUESA"))&gt;0,"OBRA GRUESA",""),IF(SUMPRODUCT((BG558:CR558&lt;1)*(PARTIDAS!$I$2:$AT$2="SANITARIOS"))&gt;0,"SANITARIOS",""),IF(SUMPRODUCT((BG558:CR558&lt;1)*(PARTIDAS!$I$2:$AT$2="ELÉCTRICO"))&gt;0,"ELÉCTRICO",""),IF(SUMPRODUCT((BG558:CR558&lt;1)*(PARTIDAS!$I$2:$AT$2="TERMINACIONES"))&gt;0,"TERMINACIONES",""))</f>
        <v>OBRA GRUESA, SANITARIOS, ELÉCTRICO, TERMINACIONES</v>
      </c>
      <c r="CV558" s="44" cm="1">
        <f t="array" ref="CV558">SUMPRODUCT(--(BG558:CR558&lt;1))</f>
        <v>38</v>
      </c>
    </row>
    <row r="559" spans="1:100" hidden="1" x14ac:dyDescent="0.25">
      <c r="A559" t="s">
        <v>619</v>
      </c>
      <c r="B559" t="s">
        <v>633</v>
      </c>
      <c r="C559">
        <v>2302600558</v>
      </c>
      <c r="D559" t="s">
        <v>60</v>
      </c>
      <c r="E559" s="2">
        <v>0</v>
      </c>
      <c r="F559" s="1">
        <v>46420</v>
      </c>
      <c r="G559" s="1"/>
      <c r="H559" s="1">
        <v>0</v>
      </c>
      <c r="I559" s="1">
        <v>46450</v>
      </c>
      <c r="J559">
        <v>46230</v>
      </c>
      <c r="K559" s="1"/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>
        <v>31.32</v>
      </c>
      <c r="BF559" s="3" t="str">
        <f>+IF(AVANCE[[#This Row],[% AVANCE]]=100%,"MODULO TERMINADO",IF(AVANCE[[#This Row],[FECHA INICIO REAL]]="","MODULO NO INICIADO","PENDIENTE"))</f>
        <v>MODULO NO INICIADO</v>
      </c>
      <c r="BG559" s="3">
        <f>+IF(AVANCE[[#This Row],[VENTANAS]]=8.10810810810811%,100%,AVANCE[[#This Row],[VENTANAS]])</f>
        <v>0</v>
      </c>
      <c r="BH559" s="3">
        <f>+IF(AVANCE[[#This Row],[PISO]]=N$2,100%,AVANCE[[#This Row],[PISO]])</f>
        <v>0</v>
      </c>
      <c r="BI559" s="3">
        <f>+IF(AVANCE[[#This Row],[TABIQUES]]=O$2,100%,AVANCE[[#This Row],[TABIQUES]])</f>
        <v>0</v>
      </c>
      <c r="BJ559" s="3">
        <f>+IF(AVANCE[[#This Row],[MUROS]]=P$2,100%,AVANCE[[#This Row],[MUROS]])</f>
        <v>0</v>
      </c>
      <c r="BK559" s="3">
        <f>+IF(AVANCE[[#This Row],[CIELO]]=Q$2,100%,AVANCE[[#This Row],[CIELO]])</f>
        <v>0</v>
      </c>
      <c r="BL559" s="3">
        <f>+IF(AVANCE[[#This Row],[BALCÓN]]=R$2,100%,AVANCE[[#This Row],[BALCÓN]])</f>
        <v>0</v>
      </c>
      <c r="BM559" s="3">
        <f>+IF(AVANCE[[#This Row],[RED ALCANTARILLADO]]=U$2,100%,AVANCE[[#This Row],[RED ALCANTARILLADO]])</f>
        <v>0</v>
      </c>
      <c r="BN559" s="3">
        <f>+IF(AVANCE[[#This Row],[RED DE AGUA]]=V$2,100%,AVANCE[[#This Row],[RED DE AGUA]])</f>
        <v>0</v>
      </c>
      <c r="BO559" s="3">
        <f>+IF(AVANCE[[#This Row],[VENTILACIONES]]=W$2,100%,AVANCE[[#This Row],[VENTILACIONES]])</f>
        <v>0</v>
      </c>
      <c r="BP559" s="3">
        <f>+IF(AVANCE[[#This Row],[TINA]]=X$2,100%,AVANCE[[#This Row],[TINA]])</f>
        <v>0</v>
      </c>
      <c r="BQ559" s="3">
        <f>+IF(AVANCE[[#This Row],[WC]]=Y$2,100%,AVANCE[[#This Row],[WC]])</f>
        <v>0</v>
      </c>
      <c r="BR559" s="3">
        <f>+IF(AVANCE[[#This Row],[LAVAMANOS / LAVAPLATOS / LAVADERO]]=Z$2,100%,AVANCE[[#This Row],[LAVAMANOS / LAVAPLATOS / LAVADERO]])</f>
        <v>0</v>
      </c>
      <c r="BS559" s="3">
        <f>+IF(AVANCE[[#This Row],[CANALIZACIÓN]]=AC$2,100%,AVANCE[[#This Row],[CANALIZACIÓN]])</f>
        <v>0</v>
      </c>
      <c r="BT559" s="3">
        <f>+IF(AVANCE[[#This Row],[CABLEADO]]=AD$2,100%,AVANCE[[#This Row],[CABLEADO]])</f>
        <v>0</v>
      </c>
      <c r="BU559" s="3">
        <f>+IF(AVANCE[[#This Row],[ARTEFACTOS]]=AE$2,100%,AVANCE[[#This Row],[ARTEFACTOS]])</f>
        <v>0</v>
      </c>
      <c r="BV559" s="3">
        <f>+IF(AVANCE[[#This Row],[TABLERO]]=AF$2,100%,AVANCE[[#This Row],[TABLERO]])</f>
        <v>0</v>
      </c>
      <c r="BW559" s="3">
        <f>+IF(AVANCE[[#This Row],[CAJA PAU]]=AG$2,100%,AVANCE[[#This Row],[CAJA PAU]])</f>
        <v>0</v>
      </c>
      <c r="BX559" s="3">
        <f>+IF(AVANCE[[#This Row],[INSTALACION VINILICO]]=AJ$2,100%,AVANCE[[#This Row],[INSTALACION VINILICO]])</f>
        <v>0</v>
      </c>
      <c r="BY559" s="3">
        <f>+IF(AVANCE[[#This Row],[OSB CUBIERTA]]=AK$2,100%,AVANCE[[#This Row],[OSB CUBIERTA]])</f>
        <v>0</v>
      </c>
      <c r="BZ559" s="3">
        <f>+IF(AVANCE[[#This Row],[BARANDA BALCON]]=AL$2,100%,AVANCE[[#This Row],[BARANDA BALCON]])</f>
        <v>0</v>
      </c>
      <c r="CA559" s="3">
        <f>+IF(AVANCE[[#This Row],[OSB EXTERIOR]]=AM$2,100%,AVANCE[[#This Row],[OSB EXTERIOR]])</f>
        <v>0</v>
      </c>
      <c r="CB559" s="3">
        <f>+IF(AVANCE[[#This Row],[SMART PANEL]]=AN$2,100%,AVANCE[[#This Row],[SMART PANEL]])</f>
        <v>0</v>
      </c>
      <c r="CC559" s="3">
        <f>+IF(AVANCE[[#This Row],[PINTURA EXTERIOR]]=AO$2,100%,AVANCE[[#This Row],[PINTURA EXTERIOR]])</f>
        <v>0</v>
      </c>
      <c r="CD559" s="3">
        <f>+IF(AVANCE[[#This Row],[ZOCALOS LOGIA]]=AP$2,100%,AVANCE[[#This Row],[ZOCALOS LOGIA]])</f>
        <v>0</v>
      </c>
      <c r="CE559" s="3">
        <f>+IF(AVANCE[[#This Row],[MOLDURAS]]=AQ$2,100%,AVANCE[[#This Row],[MOLDURAS]])</f>
        <v>0</v>
      </c>
      <c r="CF559" s="3">
        <f>+IF(AVANCE[[#This Row],[PILASTREO]]=AR$2,100%,AVANCE[[#This Row],[PILASTREO]])</f>
        <v>0</v>
      </c>
      <c r="CG559" s="3">
        <f>+IF(AVANCE[[#This Row],[CELOSIAS]]=AS$2,100%,AVANCE[[#This Row],[CELOSIAS]])</f>
        <v>0</v>
      </c>
      <c r="CH559" s="3">
        <f>+IF(AVANCE[[#This Row],[VENTANAS]]=AT$2,100%,AVANCE[[#This Row],[VENTANAS]])</f>
        <v>0</v>
      </c>
      <c r="CI559" s="3">
        <f>+IF(AVANCE[[#This Row],[PUERTAS ACCESO - LOGIA - BANO]]=AU$2,100%,AVANCE[[#This Row],[PUERTAS ACCESO - LOGIA - BANO]])</f>
        <v>0</v>
      </c>
      <c r="CJ559" s="3">
        <f>+IF(AVANCE[[#This Row],[CERRADURAS]]=AV$2,100%,AVANCE[[#This Row],[CERRADURAS]])</f>
        <v>0</v>
      </c>
      <c r="CK559" s="3">
        <f>+IF(AVANCE[[#This Row],[REVESTIMIENTO INTERIOR ZONA SECA]]=AW$2,100%,AVANCE[[#This Row],[REVESTIMIENTO INTERIOR ZONA SECA]])</f>
        <v>0</v>
      </c>
      <c r="CL559" s="3">
        <f>+IF(AVANCE[[#This Row],[REVESTIMIENTO INTERIOR ZONAS HUMEDAS]]=AX$2,100%,AVANCE[[#This Row],[REVESTIMIENTO INTERIOR ZONAS HUMEDAS]])</f>
        <v>0</v>
      </c>
      <c r="CM559" s="3">
        <f>+IF(AVANCE[[#This Row],[MEMBRANA CIELO]]=AY$2,100%,AVANCE[[#This Row],[MEMBRANA CIELO]])</f>
        <v>0</v>
      </c>
      <c r="CN559" s="3">
        <f>+IF(AVANCE[[#This Row],[LIMPIEZA FINAL]]=AZ$2,100%,AVANCE[[#This Row],[LIMPIEZA FINAL]])</f>
        <v>0</v>
      </c>
      <c r="CO559" s="3">
        <f>+IF(AVANCE[[#This Row],[PUERTAS DORMITORIO]]=BA$2,100%,AVANCE[[#This Row],[PUERTAS DORMITORIO]])</f>
        <v>0</v>
      </c>
      <c r="CP559" s="3">
        <f>+IF(AVANCE[[#This Row],[REVESTIMIENTO INTERIOR BANO]]=BB$2,100%,AVANCE[[#This Row],[REVESTIMIENTO INTERIOR BANO]])</f>
        <v>0</v>
      </c>
      <c r="CQ559" s="3">
        <f>+IF(AVANCE[[#This Row],[MUEBLE LAVAPLATOS]]=BC$2,100%,AVANCE[[#This Row],[MUEBLE LAVAPLATOS]])</f>
        <v>0</v>
      </c>
      <c r="CR559" s="3">
        <f>+IF(AVANCE[[#This Row],[IMPERMEABILIZACION BANO - COCINA LOGIA]]=BD$2,100%,AVANCE[[#This Row],[IMPERMEABILIZACION BANO - COCINA LOGIA]])</f>
        <v>0</v>
      </c>
      <c r="CS559" s="40">
        <f ca="1">+IF(AVANCE[[#This Row],[ESTADO MODULO]]="PENDIENTE",(TODAY()-AVANCE[[#This Row],[FECHA TERMINO  PLANIFICADO]]),0)</f>
        <v>0</v>
      </c>
      <c r="CT559" s="41" t="str" cm="1">
        <f t="array" ref="CT559">_xlfn.TEXTJOIN(" | ",TRUE,IF(SUMPRODUCT((BG559:CR559&lt;1)*(PARTIDAS!$I$2:$AT$2="OBRA GRUESA"))&gt;0,"OBRA GRUESA: "&amp;_xlfn.TEXTJOIN(", ",TRUE,IF((BG559:CR559&lt;1)*(PARTIDAS!$I$2:$AT$2="OBRA GRUESA"),PARTIDAS!$I$1:$AT$1,"")),""),IF(SUMPRODUCT((BG559:CR559&lt;1)*(PARTIDAS!$I$2:$AT$2="SANITARIOS"))&gt;0,"SANITARIOS: "&amp;_xlfn.TEXTJOIN(", ",TRUE,IF((BG559:CR559&lt;1)*(PARTIDAS!$I$2:$AT$2="SANITARIOS"),PARTIDAS!$I$1:$AT$1,"")),""),IF(SUMPRODUCT((BG559:CR559&lt;1)*(PARTIDAS!$I$2:$AT$2="ELÉCTRICO"))&gt;0,"ELÉCTRICO: "&amp;_xlfn.TEXTJOIN(", ",TRUE,IF((BG559:CR559&lt;1)*(PARTIDAS!$I$2:$AT$2="ELÉCTRICO"),PARTIDAS!$I$1:$AT$1,"")),""),IF(SUMPRODUCT((BG559:CR559&lt;1)*(PARTIDAS!$I$2:$AT$2="TERMINACIONES"))&gt;0,"TERMINACIONES: "&amp;_xlfn.TEXTJOIN(", ",TRUE,IF((BG559:CR559&lt;1)*(PARTIDAS!$I$2:$AT$2="TERMINACIONES"),PARTIDAS!$I$1:$AT$1,"")),""))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59" s="43" t="str" cm="1">
        <f t="array" ref="CU559">_xlfn.TEXTJOIN(", ",TRUE,IF(SUMPRODUCT((BG559:CR559&lt;1)*(PARTIDAS!$I$2:$AT$2="OBRA GRUESA"))&gt;0,"OBRA GRUESA",""),IF(SUMPRODUCT((BG559:CR559&lt;1)*(PARTIDAS!$I$2:$AT$2="SANITARIOS"))&gt;0,"SANITARIOS",""),IF(SUMPRODUCT((BG559:CR559&lt;1)*(PARTIDAS!$I$2:$AT$2="ELÉCTRICO"))&gt;0,"ELÉCTRICO",""),IF(SUMPRODUCT((BG559:CR559&lt;1)*(PARTIDAS!$I$2:$AT$2="TERMINACIONES"))&gt;0,"TERMINACIONES",""))</f>
        <v>OBRA GRUESA, SANITARIOS, ELÉCTRICO, TERMINACIONES</v>
      </c>
      <c r="CV559" s="44" cm="1">
        <f t="array" ref="CV559">SUMPRODUCT(--(BG559:CR559&lt;1))</f>
        <v>38</v>
      </c>
    </row>
    <row r="560" spans="1:100" hidden="1" x14ac:dyDescent="0.25">
      <c r="A560" t="s">
        <v>619</v>
      </c>
      <c r="B560" t="s">
        <v>634</v>
      </c>
      <c r="C560">
        <v>2302600559</v>
      </c>
      <c r="D560" t="s">
        <v>60</v>
      </c>
      <c r="E560" s="2">
        <v>0</v>
      </c>
      <c r="F560" s="1">
        <v>46420</v>
      </c>
      <c r="G560" s="1"/>
      <c r="H560" s="1">
        <v>0</v>
      </c>
      <c r="I560" s="1">
        <v>46450</v>
      </c>
      <c r="J560">
        <v>46230</v>
      </c>
      <c r="K560" s="1"/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>
        <v>31.32</v>
      </c>
      <c r="BF560" s="3" t="str">
        <f>+IF(AVANCE[[#This Row],[% AVANCE]]=100%,"MODULO TERMINADO",IF(AVANCE[[#This Row],[FECHA INICIO REAL]]="","MODULO NO INICIADO","PENDIENTE"))</f>
        <v>MODULO NO INICIADO</v>
      </c>
      <c r="BG560" s="3">
        <f>+IF(AVANCE[[#This Row],[VENTANAS]]=8.10810810810811%,100%,AVANCE[[#This Row],[VENTANAS]])</f>
        <v>0</v>
      </c>
      <c r="BH560" s="3">
        <f>+IF(AVANCE[[#This Row],[PISO]]=N$2,100%,AVANCE[[#This Row],[PISO]])</f>
        <v>0</v>
      </c>
      <c r="BI560" s="3">
        <f>+IF(AVANCE[[#This Row],[TABIQUES]]=O$2,100%,AVANCE[[#This Row],[TABIQUES]])</f>
        <v>0</v>
      </c>
      <c r="BJ560" s="3">
        <f>+IF(AVANCE[[#This Row],[MUROS]]=P$2,100%,AVANCE[[#This Row],[MUROS]])</f>
        <v>0</v>
      </c>
      <c r="BK560" s="3">
        <f>+IF(AVANCE[[#This Row],[CIELO]]=Q$2,100%,AVANCE[[#This Row],[CIELO]])</f>
        <v>0</v>
      </c>
      <c r="BL560" s="3">
        <f>+IF(AVANCE[[#This Row],[BALCÓN]]=R$2,100%,AVANCE[[#This Row],[BALCÓN]])</f>
        <v>0</v>
      </c>
      <c r="BM560" s="3">
        <f>+IF(AVANCE[[#This Row],[RED ALCANTARILLADO]]=U$2,100%,AVANCE[[#This Row],[RED ALCANTARILLADO]])</f>
        <v>0</v>
      </c>
      <c r="BN560" s="3">
        <f>+IF(AVANCE[[#This Row],[RED DE AGUA]]=V$2,100%,AVANCE[[#This Row],[RED DE AGUA]])</f>
        <v>0</v>
      </c>
      <c r="BO560" s="3">
        <f>+IF(AVANCE[[#This Row],[VENTILACIONES]]=W$2,100%,AVANCE[[#This Row],[VENTILACIONES]])</f>
        <v>0</v>
      </c>
      <c r="BP560" s="3">
        <f>+IF(AVANCE[[#This Row],[TINA]]=X$2,100%,AVANCE[[#This Row],[TINA]])</f>
        <v>0</v>
      </c>
      <c r="BQ560" s="3">
        <f>+IF(AVANCE[[#This Row],[WC]]=Y$2,100%,AVANCE[[#This Row],[WC]])</f>
        <v>0</v>
      </c>
      <c r="BR560" s="3">
        <f>+IF(AVANCE[[#This Row],[LAVAMANOS / LAVAPLATOS / LAVADERO]]=Z$2,100%,AVANCE[[#This Row],[LAVAMANOS / LAVAPLATOS / LAVADERO]])</f>
        <v>0</v>
      </c>
      <c r="BS560" s="3">
        <f>+IF(AVANCE[[#This Row],[CANALIZACIÓN]]=AC$2,100%,AVANCE[[#This Row],[CANALIZACIÓN]])</f>
        <v>0</v>
      </c>
      <c r="BT560" s="3">
        <f>+IF(AVANCE[[#This Row],[CABLEADO]]=AD$2,100%,AVANCE[[#This Row],[CABLEADO]])</f>
        <v>0</v>
      </c>
      <c r="BU560" s="3">
        <f>+IF(AVANCE[[#This Row],[ARTEFACTOS]]=AE$2,100%,AVANCE[[#This Row],[ARTEFACTOS]])</f>
        <v>0</v>
      </c>
      <c r="BV560" s="3">
        <f>+IF(AVANCE[[#This Row],[TABLERO]]=AF$2,100%,AVANCE[[#This Row],[TABLERO]])</f>
        <v>0</v>
      </c>
      <c r="BW560" s="3">
        <f>+IF(AVANCE[[#This Row],[CAJA PAU]]=AG$2,100%,AVANCE[[#This Row],[CAJA PAU]])</f>
        <v>0</v>
      </c>
      <c r="BX560" s="3">
        <f>+IF(AVANCE[[#This Row],[INSTALACION VINILICO]]=AJ$2,100%,AVANCE[[#This Row],[INSTALACION VINILICO]])</f>
        <v>0</v>
      </c>
      <c r="BY560" s="3">
        <f>+IF(AVANCE[[#This Row],[OSB CUBIERTA]]=AK$2,100%,AVANCE[[#This Row],[OSB CUBIERTA]])</f>
        <v>0</v>
      </c>
      <c r="BZ560" s="3">
        <f>+IF(AVANCE[[#This Row],[BARANDA BALCON]]=AL$2,100%,AVANCE[[#This Row],[BARANDA BALCON]])</f>
        <v>0</v>
      </c>
      <c r="CA560" s="3">
        <f>+IF(AVANCE[[#This Row],[OSB EXTERIOR]]=AM$2,100%,AVANCE[[#This Row],[OSB EXTERIOR]])</f>
        <v>0</v>
      </c>
      <c r="CB560" s="3">
        <f>+IF(AVANCE[[#This Row],[SMART PANEL]]=AN$2,100%,AVANCE[[#This Row],[SMART PANEL]])</f>
        <v>0</v>
      </c>
      <c r="CC560" s="3">
        <f>+IF(AVANCE[[#This Row],[PINTURA EXTERIOR]]=AO$2,100%,AVANCE[[#This Row],[PINTURA EXTERIOR]])</f>
        <v>0</v>
      </c>
      <c r="CD560" s="3">
        <f>+IF(AVANCE[[#This Row],[ZOCALOS LOGIA]]=AP$2,100%,AVANCE[[#This Row],[ZOCALOS LOGIA]])</f>
        <v>0</v>
      </c>
      <c r="CE560" s="3">
        <f>+IF(AVANCE[[#This Row],[MOLDURAS]]=AQ$2,100%,AVANCE[[#This Row],[MOLDURAS]])</f>
        <v>0</v>
      </c>
      <c r="CF560" s="3">
        <f>+IF(AVANCE[[#This Row],[PILASTREO]]=AR$2,100%,AVANCE[[#This Row],[PILASTREO]])</f>
        <v>0</v>
      </c>
      <c r="CG560" s="3">
        <f>+IF(AVANCE[[#This Row],[CELOSIAS]]=AS$2,100%,AVANCE[[#This Row],[CELOSIAS]])</f>
        <v>0</v>
      </c>
      <c r="CH560" s="3">
        <f>+IF(AVANCE[[#This Row],[VENTANAS]]=AT$2,100%,AVANCE[[#This Row],[VENTANAS]])</f>
        <v>0</v>
      </c>
      <c r="CI560" s="3">
        <f>+IF(AVANCE[[#This Row],[PUERTAS ACCESO - LOGIA - BANO]]=AU$2,100%,AVANCE[[#This Row],[PUERTAS ACCESO - LOGIA - BANO]])</f>
        <v>0</v>
      </c>
      <c r="CJ560" s="3">
        <f>+IF(AVANCE[[#This Row],[CERRADURAS]]=AV$2,100%,AVANCE[[#This Row],[CERRADURAS]])</f>
        <v>0</v>
      </c>
      <c r="CK560" s="3">
        <f>+IF(AVANCE[[#This Row],[REVESTIMIENTO INTERIOR ZONA SECA]]=AW$2,100%,AVANCE[[#This Row],[REVESTIMIENTO INTERIOR ZONA SECA]])</f>
        <v>0</v>
      </c>
      <c r="CL560" s="3">
        <f>+IF(AVANCE[[#This Row],[REVESTIMIENTO INTERIOR ZONAS HUMEDAS]]=AX$2,100%,AVANCE[[#This Row],[REVESTIMIENTO INTERIOR ZONAS HUMEDAS]])</f>
        <v>0</v>
      </c>
      <c r="CM560" s="3">
        <f>+IF(AVANCE[[#This Row],[MEMBRANA CIELO]]=AY$2,100%,AVANCE[[#This Row],[MEMBRANA CIELO]])</f>
        <v>0</v>
      </c>
      <c r="CN560" s="3">
        <f>+IF(AVANCE[[#This Row],[LIMPIEZA FINAL]]=AZ$2,100%,AVANCE[[#This Row],[LIMPIEZA FINAL]])</f>
        <v>0</v>
      </c>
      <c r="CO560" s="3">
        <f>+IF(AVANCE[[#This Row],[PUERTAS DORMITORIO]]=BA$2,100%,AVANCE[[#This Row],[PUERTAS DORMITORIO]])</f>
        <v>0</v>
      </c>
      <c r="CP560" s="3">
        <f>+IF(AVANCE[[#This Row],[REVESTIMIENTO INTERIOR BANO]]=BB$2,100%,AVANCE[[#This Row],[REVESTIMIENTO INTERIOR BANO]])</f>
        <v>0</v>
      </c>
      <c r="CQ560" s="3">
        <f>+IF(AVANCE[[#This Row],[MUEBLE LAVAPLATOS]]=BC$2,100%,AVANCE[[#This Row],[MUEBLE LAVAPLATOS]])</f>
        <v>0</v>
      </c>
      <c r="CR560" s="3">
        <f>+IF(AVANCE[[#This Row],[IMPERMEABILIZACION BANO - COCINA LOGIA]]=BD$2,100%,AVANCE[[#This Row],[IMPERMEABILIZACION BANO - COCINA LOGIA]])</f>
        <v>0</v>
      </c>
      <c r="CS560" s="40">
        <f ca="1">+IF(AVANCE[[#This Row],[ESTADO MODULO]]="PENDIENTE",(TODAY()-AVANCE[[#This Row],[FECHA TERMINO  PLANIFICADO]]),0)</f>
        <v>0</v>
      </c>
      <c r="CT560" s="41" t="str" cm="1">
        <f t="array" ref="CT560">_xlfn.TEXTJOIN(" | ",TRUE,IF(SUMPRODUCT((BG560:CR560&lt;1)*(PARTIDAS!$I$2:$AT$2="OBRA GRUESA"))&gt;0,"OBRA GRUESA: "&amp;_xlfn.TEXTJOIN(", ",TRUE,IF((BG560:CR560&lt;1)*(PARTIDAS!$I$2:$AT$2="OBRA GRUESA"),PARTIDAS!$I$1:$AT$1,"")),""),IF(SUMPRODUCT((BG560:CR560&lt;1)*(PARTIDAS!$I$2:$AT$2="SANITARIOS"))&gt;0,"SANITARIOS: "&amp;_xlfn.TEXTJOIN(", ",TRUE,IF((BG560:CR560&lt;1)*(PARTIDAS!$I$2:$AT$2="SANITARIOS"),PARTIDAS!$I$1:$AT$1,"")),""),IF(SUMPRODUCT((BG560:CR560&lt;1)*(PARTIDAS!$I$2:$AT$2="ELÉCTRICO"))&gt;0,"ELÉCTRICO: "&amp;_xlfn.TEXTJOIN(", ",TRUE,IF((BG560:CR560&lt;1)*(PARTIDAS!$I$2:$AT$2="ELÉCTRICO"),PARTIDAS!$I$1:$AT$1,"")),""),IF(SUMPRODUCT((BG560:CR560&lt;1)*(PARTIDAS!$I$2:$AT$2="TERMINACIONES"))&gt;0,"TERMINACIONES: "&amp;_xlfn.TEXTJOIN(", ",TRUE,IF((BG560:CR560&lt;1)*(PARTIDAS!$I$2:$AT$2="TERMINACIONES"),PARTIDAS!$I$1:$AT$1,"")),""))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0" s="43" t="str" cm="1">
        <f t="array" ref="CU560">_xlfn.TEXTJOIN(", ",TRUE,IF(SUMPRODUCT((BG560:CR560&lt;1)*(PARTIDAS!$I$2:$AT$2="OBRA GRUESA"))&gt;0,"OBRA GRUESA",""),IF(SUMPRODUCT((BG560:CR560&lt;1)*(PARTIDAS!$I$2:$AT$2="SANITARIOS"))&gt;0,"SANITARIOS",""),IF(SUMPRODUCT((BG560:CR560&lt;1)*(PARTIDAS!$I$2:$AT$2="ELÉCTRICO"))&gt;0,"ELÉCTRICO",""),IF(SUMPRODUCT((BG560:CR560&lt;1)*(PARTIDAS!$I$2:$AT$2="TERMINACIONES"))&gt;0,"TERMINACIONES",""))</f>
        <v>OBRA GRUESA, SANITARIOS, ELÉCTRICO, TERMINACIONES</v>
      </c>
      <c r="CV560" s="44" cm="1">
        <f t="array" ref="CV560">SUMPRODUCT(--(BG560:CR560&lt;1))</f>
        <v>38</v>
      </c>
    </row>
    <row r="561" spans="1:100" hidden="1" x14ac:dyDescent="0.25">
      <c r="A561" t="s">
        <v>619</v>
      </c>
      <c r="B561" t="s">
        <v>635</v>
      </c>
      <c r="C561">
        <v>2282600560</v>
      </c>
      <c r="D561" t="s">
        <v>58</v>
      </c>
      <c r="E561" s="2">
        <v>0</v>
      </c>
      <c r="F561" s="1">
        <v>46421</v>
      </c>
      <c r="G561" s="1"/>
      <c r="H561" s="1">
        <v>0</v>
      </c>
      <c r="I561" s="1">
        <v>46441</v>
      </c>
      <c r="J561">
        <v>46230</v>
      </c>
      <c r="K561" s="1"/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>
        <v>28.87</v>
      </c>
      <c r="BF561" s="3" t="str">
        <f>+IF(AVANCE[[#This Row],[% AVANCE]]=100%,"MODULO TERMINADO",IF(AVANCE[[#This Row],[FECHA INICIO REAL]]="","MODULO NO INICIADO","PENDIENTE"))</f>
        <v>MODULO NO INICIADO</v>
      </c>
      <c r="BG561" s="3">
        <f>+IF(AVANCE[[#This Row],[VENTANAS]]=8.10810810810811%,100%,AVANCE[[#This Row],[VENTANAS]])</f>
        <v>0</v>
      </c>
      <c r="BH561" s="3">
        <f>+IF(AVANCE[[#This Row],[PISO]]=N$2,100%,AVANCE[[#This Row],[PISO]])</f>
        <v>0</v>
      </c>
      <c r="BI561" s="3">
        <f>+IF(AVANCE[[#This Row],[TABIQUES]]=O$2,100%,AVANCE[[#This Row],[TABIQUES]])</f>
        <v>0</v>
      </c>
      <c r="BJ561" s="3">
        <f>+IF(AVANCE[[#This Row],[MUROS]]=P$2,100%,AVANCE[[#This Row],[MUROS]])</f>
        <v>0</v>
      </c>
      <c r="BK561" s="3">
        <f>+IF(AVANCE[[#This Row],[CIELO]]=Q$2,100%,AVANCE[[#This Row],[CIELO]])</f>
        <v>0</v>
      </c>
      <c r="BL561" s="3">
        <f>+IF(AVANCE[[#This Row],[BALCÓN]]=R$2,100%,AVANCE[[#This Row],[BALCÓN]])</f>
        <v>0</v>
      </c>
      <c r="BM561" s="3">
        <f>+IF(AVANCE[[#This Row],[RED ALCANTARILLADO]]=U$2,100%,AVANCE[[#This Row],[RED ALCANTARILLADO]])</f>
        <v>0</v>
      </c>
      <c r="BN561" s="3">
        <f>+IF(AVANCE[[#This Row],[RED DE AGUA]]=V$2,100%,AVANCE[[#This Row],[RED DE AGUA]])</f>
        <v>0</v>
      </c>
      <c r="BO561" s="3">
        <f>+IF(AVANCE[[#This Row],[VENTILACIONES]]=W$2,100%,AVANCE[[#This Row],[VENTILACIONES]])</f>
        <v>0</v>
      </c>
      <c r="BP561" s="3">
        <f>+IF(AVANCE[[#This Row],[TINA]]=X$2,100%,AVANCE[[#This Row],[TINA]])</f>
        <v>0</v>
      </c>
      <c r="BQ561" s="3">
        <f>+IF(AVANCE[[#This Row],[WC]]=Y$2,100%,AVANCE[[#This Row],[WC]])</f>
        <v>0</v>
      </c>
      <c r="BR561" s="3">
        <f>+IF(AVANCE[[#This Row],[LAVAMANOS / LAVAPLATOS / LAVADERO]]=Z$2,100%,AVANCE[[#This Row],[LAVAMANOS / LAVAPLATOS / LAVADERO]])</f>
        <v>0</v>
      </c>
      <c r="BS561" s="3">
        <f>+IF(AVANCE[[#This Row],[CANALIZACIÓN]]=AC$2,100%,AVANCE[[#This Row],[CANALIZACIÓN]])</f>
        <v>0</v>
      </c>
      <c r="BT561" s="3">
        <f>+IF(AVANCE[[#This Row],[CABLEADO]]=AD$2,100%,AVANCE[[#This Row],[CABLEADO]])</f>
        <v>0</v>
      </c>
      <c r="BU561" s="3">
        <f>+IF(AVANCE[[#This Row],[ARTEFACTOS]]=AE$2,100%,AVANCE[[#This Row],[ARTEFACTOS]])</f>
        <v>0</v>
      </c>
      <c r="BV561" s="3">
        <f>+IF(AVANCE[[#This Row],[TABLERO]]=AF$2,100%,AVANCE[[#This Row],[TABLERO]])</f>
        <v>0</v>
      </c>
      <c r="BW561" s="3">
        <f>+IF(AVANCE[[#This Row],[CAJA PAU]]=AG$2,100%,AVANCE[[#This Row],[CAJA PAU]])</f>
        <v>0</v>
      </c>
      <c r="BX561" s="3">
        <f>+IF(AVANCE[[#This Row],[INSTALACION VINILICO]]=AJ$2,100%,AVANCE[[#This Row],[INSTALACION VINILICO]])</f>
        <v>0</v>
      </c>
      <c r="BY561" s="3">
        <f>+IF(AVANCE[[#This Row],[OSB CUBIERTA]]=AK$2,100%,AVANCE[[#This Row],[OSB CUBIERTA]])</f>
        <v>0</v>
      </c>
      <c r="BZ561" s="3">
        <f>+IF(AVANCE[[#This Row],[BARANDA BALCON]]=AL$2,100%,AVANCE[[#This Row],[BARANDA BALCON]])</f>
        <v>0</v>
      </c>
      <c r="CA561" s="3">
        <f>+IF(AVANCE[[#This Row],[OSB EXTERIOR]]=AM$2,100%,AVANCE[[#This Row],[OSB EXTERIOR]])</f>
        <v>0</v>
      </c>
      <c r="CB561" s="3">
        <f>+IF(AVANCE[[#This Row],[SMART PANEL]]=AN$2,100%,AVANCE[[#This Row],[SMART PANEL]])</f>
        <v>0</v>
      </c>
      <c r="CC561" s="3">
        <f>+IF(AVANCE[[#This Row],[PINTURA EXTERIOR]]=AO$2,100%,AVANCE[[#This Row],[PINTURA EXTERIOR]])</f>
        <v>0</v>
      </c>
      <c r="CD561" s="3">
        <f>+IF(AVANCE[[#This Row],[ZOCALOS LOGIA]]=AP$2,100%,AVANCE[[#This Row],[ZOCALOS LOGIA]])</f>
        <v>0</v>
      </c>
      <c r="CE561" s="3">
        <f>+IF(AVANCE[[#This Row],[MOLDURAS]]=AQ$2,100%,AVANCE[[#This Row],[MOLDURAS]])</f>
        <v>0</v>
      </c>
      <c r="CF561" s="3">
        <f>+IF(AVANCE[[#This Row],[PILASTREO]]=AR$2,100%,AVANCE[[#This Row],[PILASTREO]])</f>
        <v>0</v>
      </c>
      <c r="CG561" s="3">
        <f>+IF(AVANCE[[#This Row],[CELOSIAS]]=AS$2,100%,AVANCE[[#This Row],[CELOSIAS]])</f>
        <v>0</v>
      </c>
      <c r="CH561" s="3">
        <f>+IF(AVANCE[[#This Row],[VENTANAS]]=AT$2,100%,AVANCE[[#This Row],[VENTANAS]])</f>
        <v>0</v>
      </c>
      <c r="CI561" s="3">
        <f>+IF(AVANCE[[#This Row],[PUERTAS ACCESO - LOGIA - BANO]]=AU$2,100%,AVANCE[[#This Row],[PUERTAS ACCESO - LOGIA - BANO]])</f>
        <v>0</v>
      </c>
      <c r="CJ561" s="3">
        <f>+IF(AVANCE[[#This Row],[CERRADURAS]]=AV$2,100%,AVANCE[[#This Row],[CERRADURAS]])</f>
        <v>0</v>
      </c>
      <c r="CK561" s="3">
        <f>+IF(AVANCE[[#This Row],[REVESTIMIENTO INTERIOR ZONA SECA]]=AW$2,100%,AVANCE[[#This Row],[REVESTIMIENTO INTERIOR ZONA SECA]])</f>
        <v>0</v>
      </c>
      <c r="CL561" s="3">
        <f>+IF(AVANCE[[#This Row],[REVESTIMIENTO INTERIOR ZONAS HUMEDAS]]=AX$2,100%,AVANCE[[#This Row],[REVESTIMIENTO INTERIOR ZONAS HUMEDAS]])</f>
        <v>0</v>
      </c>
      <c r="CM561" s="3">
        <f>+IF(AVANCE[[#This Row],[MEMBRANA CIELO]]=AY$2,100%,AVANCE[[#This Row],[MEMBRANA CIELO]])</f>
        <v>0</v>
      </c>
      <c r="CN561" s="3">
        <f>+IF(AVANCE[[#This Row],[LIMPIEZA FINAL]]=AZ$2,100%,AVANCE[[#This Row],[LIMPIEZA FINAL]])</f>
        <v>0</v>
      </c>
      <c r="CO561" s="3">
        <f>+IF(AVANCE[[#This Row],[PUERTAS DORMITORIO]]=BA$2,100%,AVANCE[[#This Row],[PUERTAS DORMITORIO]])</f>
        <v>0</v>
      </c>
      <c r="CP561" s="3">
        <f>+IF(AVANCE[[#This Row],[REVESTIMIENTO INTERIOR BANO]]=BB$2,100%,AVANCE[[#This Row],[REVESTIMIENTO INTERIOR BANO]])</f>
        <v>0</v>
      </c>
      <c r="CQ561" s="3">
        <f>+IF(AVANCE[[#This Row],[MUEBLE LAVAPLATOS]]=BC$2,100%,AVANCE[[#This Row],[MUEBLE LAVAPLATOS]])</f>
        <v>0</v>
      </c>
      <c r="CR561" s="3">
        <f>+IF(AVANCE[[#This Row],[IMPERMEABILIZACION BANO - COCINA LOGIA]]=BD$2,100%,AVANCE[[#This Row],[IMPERMEABILIZACION BANO - COCINA LOGIA]])</f>
        <v>0</v>
      </c>
      <c r="CS561" s="40">
        <f ca="1">+IF(AVANCE[[#This Row],[ESTADO MODULO]]="PENDIENTE",(TODAY()-AVANCE[[#This Row],[FECHA TERMINO  PLANIFICADO]]),0)</f>
        <v>0</v>
      </c>
      <c r="CT561" s="41" t="str" cm="1">
        <f t="array" ref="CT561">_xlfn.TEXTJOIN(" | ",TRUE,IF(SUMPRODUCT((BG561:CR561&lt;1)*(PARTIDAS!$I$2:$AT$2="OBRA GRUESA"))&gt;0,"OBRA GRUESA: "&amp;_xlfn.TEXTJOIN(", ",TRUE,IF((BG561:CR561&lt;1)*(PARTIDAS!$I$2:$AT$2="OBRA GRUESA"),PARTIDAS!$I$1:$AT$1,"")),""),IF(SUMPRODUCT((BG561:CR561&lt;1)*(PARTIDAS!$I$2:$AT$2="SANITARIOS"))&gt;0,"SANITARIOS: "&amp;_xlfn.TEXTJOIN(", ",TRUE,IF((BG561:CR561&lt;1)*(PARTIDAS!$I$2:$AT$2="SANITARIOS"),PARTIDAS!$I$1:$AT$1,"")),""),IF(SUMPRODUCT((BG561:CR561&lt;1)*(PARTIDAS!$I$2:$AT$2="ELÉCTRICO"))&gt;0,"ELÉCTRICO: "&amp;_xlfn.TEXTJOIN(", ",TRUE,IF((BG561:CR561&lt;1)*(PARTIDAS!$I$2:$AT$2="ELÉCTRICO"),PARTIDAS!$I$1:$AT$1,"")),""),IF(SUMPRODUCT((BG561:CR561&lt;1)*(PARTIDAS!$I$2:$AT$2="TERMINACIONES"))&gt;0,"TERMINACIONES: "&amp;_xlfn.TEXTJOIN(", ",TRUE,IF((BG561:CR561&lt;1)*(PARTIDAS!$I$2:$AT$2="TERMINACIONES"),PARTIDAS!$I$1:$AT$1,"")),""))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1" s="43" t="str" cm="1">
        <f t="array" ref="CU561">_xlfn.TEXTJOIN(", ",TRUE,IF(SUMPRODUCT((BG561:CR561&lt;1)*(PARTIDAS!$I$2:$AT$2="OBRA GRUESA"))&gt;0,"OBRA GRUESA",""),IF(SUMPRODUCT((BG561:CR561&lt;1)*(PARTIDAS!$I$2:$AT$2="SANITARIOS"))&gt;0,"SANITARIOS",""),IF(SUMPRODUCT((BG561:CR561&lt;1)*(PARTIDAS!$I$2:$AT$2="ELÉCTRICO"))&gt;0,"ELÉCTRICO",""),IF(SUMPRODUCT((BG561:CR561&lt;1)*(PARTIDAS!$I$2:$AT$2="TERMINACIONES"))&gt;0,"TERMINACIONES",""))</f>
        <v>OBRA GRUESA, SANITARIOS, ELÉCTRICO, TERMINACIONES</v>
      </c>
      <c r="CV561" s="44" cm="1">
        <f t="array" ref="CV561">SUMPRODUCT(--(BG561:CR561&lt;1))</f>
        <v>38</v>
      </c>
    </row>
    <row r="562" spans="1:100" hidden="1" x14ac:dyDescent="0.25">
      <c r="A562" t="s">
        <v>619</v>
      </c>
      <c r="B562" t="s">
        <v>636</v>
      </c>
      <c r="C562">
        <v>2282600561</v>
      </c>
      <c r="D562" t="s">
        <v>58</v>
      </c>
      <c r="E562" s="2">
        <v>0</v>
      </c>
      <c r="F562" s="1">
        <v>46421</v>
      </c>
      <c r="G562" s="1"/>
      <c r="H562" s="1">
        <v>0</v>
      </c>
      <c r="I562" s="1">
        <v>46441</v>
      </c>
      <c r="J562">
        <v>46230</v>
      </c>
      <c r="K562" s="1"/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>
        <v>28.87</v>
      </c>
      <c r="BF562" s="3" t="str">
        <f>+IF(AVANCE[[#This Row],[% AVANCE]]=100%,"MODULO TERMINADO",IF(AVANCE[[#This Row],[FECHA INICIO REAL]]="","MODULO NO INICIADO","PENDIENTE"))</f>
        <v>MODULO NO INICIADO</v>
      </c>
      <c r="BG562" s="3">
        <f>+IF(AVANCE[[#This Row],[VENTANAS]]=8.10810810810811%,100%,AVANCE[[#This Row],[VENTANAS]])</f>
        <v>0</v>
      </c>
      <c r="BH562" s="3">
        <f>+IF(AVANCE[[#This Row],[PISO]]=N$2,100%,AVANCE[[#This Row],[PISO]])</f>
        <v>0</v>
      </c>
      <c r="BI562" s="3">
        <f>+IF(AVANCE[[#This Row],[TABIQUES]]=O$2,100%,AVANCE[[#This Row],[TABIQUES]])</f>
        <v>0</v>
      </c>
      <c r="BJ562" s="3">
        <f>+IF(AVANCE[[#This Row],[MUROS]]=P$2,100%,AVANCE[[#This Row],[MUROS]])</f>
        <v>0</v>
      </c>
      <c r="BK562" s="3">
        <f>+IF(AVANCE[[#This Row],[CIELO]]=Q$2,100%,AVANCE[[#This Row],[CIELO]])</f>
        <v>0</v>
      </c>
      <c r="BL562" s="3">
        <f>+IF(AVANCE[[#This Row],[BALCÓN]]=R$2,100%,AVANCE[[#This Row],[BALCÓN]])</f>
        <v>0</v>
      </c>
      <c r="BM562" s="3">
        <f>+IF(AVANCE[[#This Row],[RED ALCANTARILLADO]]=U$2,100%,AVANCE[[#This Row],[RED ALCANTARILLADO]])</f>
        <v>0</v>
      </c>
      <c r="BN562" s="3">
        <f>+IF(AVANCE[[#This Row],[RED DE AGUA]]=V$2,100%,AVANCE[[#This Row],[RED DE AGUA]])</f>
        <v>0</v>
      </c>
      <c r="BO562" s="3">
        <f>+IF(AVANCE[[#This Row],[VENTILACIONES]]=W$2,100%,AVANCE[[#This Row],[VENTILACIONES]])</f>
        <v>0</v>
      </c>
      <c r="BP562" s="3">
        <f>+IF(AVANCE[[#This Row],[TINA]]=X$2,100%,AVANCE[[#This Row],[TINA]])</f>
        <v>0</v>
      </c>
      <c r="BQ562" s="3">
        <f>+IF(AVANCE[[#This Row],[WC]]=Y$2,100%,AVANCE[[#This Row],[WC]])</f>
        <v>0</v>
      </c>
      <c r="BR562" s="3">
        <f>+IF(AVANCE[[#This Row],[LAVAMANOS / LAVAPLATOS / LAVADERO]]=Z$2,100%,AVANCE[[#This Row],[LAVAMANOS / LAVAPLATOS / LAVADERO]])</f>
        <v>0</v>
      </c>
      <c r="BS562" s="3">
        <f>+IF(AVANCE[[#This Row],[CANALIZACIÓN]]=AC$2,100%,AVANCE[[#This Row],[CANALIZACIÓN]])</f>
        <v>0</v>
      </c>
      <c r="BT562" s="3">
        <f>+IF(AVANCE[[#This Row],[CABLEADO]]=AD$2,100%,AVANCE[[#This Row],[CABLEADO]])</f>
        <v>0</v>
      </c>
      <c r="BU562" s="3">
        <f>+IF(AVANCE[[#This Row],[ARTEFACTOS]]=AE$2,100%,AVANCE[[#This Row],[ARTEFACTOS]])</f>
        <v>0</v>
      </c>
      <c r="BV562" s="3">
        <f>+IF(AVANCE[[#This Row],[TABLERO]]=AF$2,100%,AVANCE[[#This Row],[TABLERO]])</f>
        <v>0</v>
      </c>
      <c r="BW562" s="3">
        <f>+IF(AVANCE[[#This Row],[CAJA PAU]]=AG$2,100%,AVANCE[[#This Row],[CAJA PAU]])</f>
        <v>0</v>
      </c>
      <c r="BX562" s="3">
        <f>+IF(AVANCE[[#This Row],[INSTALACION VINILICO]]=AJ$2,100%,AVANCE[[#This Row],[INSTALACION VINILICO]])</f>
        <v>0</v>
      </c>
      <c r="BY562" s="3">
        <f>+IF(AVANCE[[#This Row],[OSB CUBIERTA]]=AK$2,100%,AVANCE[[#This Row],[OSB CUBIERTA]])</f>
        <v>0</v>
      </c>
      <c r="BZ562" s="3">
        <f>+IF(AVANCE[[#This Row],[BARANDA BALCON]]=AL$2,100%,AVANCE[[#This Row],[BARANDA BALCON]])</f>
        <v>0</v>
      </c>
      <c r="CA562" s="3">
        <f>+IF(AVANCE[[#This Row],[OSB EXTERIOR]]=AM$2,100%,AVANCE[[#This Row],[OSB EXTERIOR]])</f>
        <v>0</v>
      </c>
      <c r="CB562" s="3">
        <f>+IF(AVANCE[[#This Row],[SMART PANEL]]=AN$2,100%,AVANCE[[#This Row],[SMART PANEL]])</f>
        <v>0</v>
      </c>
      <c r="CC562" s="3">
        <f>+IF(AVANCE[[#This Row],[PINTURA EXTERIOR]]=AO$2,100%,AVANCE[[#This Row],[PINTURA EXTERIOR]])</f>
        <v>0</v>
      </c>
      <c r="CD562" s="3">
        <f>+IF(AVANCE[[#This Row],[ZOCALOS LOGIA]]=AP$2,100%,AVANCE[[#This Row],[ZOCALOS LOGIA]])</f>
        <v>0</v>
      </c>
      <c r="CE562" s="3">
        <f>+IF(AVANCE[[#This Row],[MOLDURAS]]=AQ$2,100%,AVANCE[[#This Row],[MOLDURAS]])</f>
        <v>0</v>
      </c>
      <c r="CF562" s="3">
        <f>+IF(AVANCE[[#This Row],[PILASTREO]]=AR$2,100%,AVANCE[[#This Row],[PILASTREO]])</f>
        <v>0</v>
      </c>
      <c r="CG562" s="3">
        <f>+IF(AVANCE[[#This Row],[CELOSIAS]]=AS$2,100%,AVANCE[[#This Row],[CELOSIAS]])</f>
        <v>0</v>
      </c>
      <c r="CH562" s="3">
        <f>+IF(AVANCE[[#This Row],[VENTANAS]]=AT$2,100%,AVANCE[[#This Row],[VENTANAS]])</f>
        <v>0</v>
      </c>
      <c r="CI562" s="3">
        <f>+IF(AVANCE[[#This Row],[PUERTAS ACCESO - LOGIA - BANO]]=AU$2,100%,AVANCE[[#This Row],[PUERTAS ACCESO - LOGIA - BANO]])</f>
        <v>0</v>
      </c>
      <c r="CJ562" s="3">
        <f>+IF(AVANCE[[#This Row],[CERRADURAS]]=AV$2,100%,AVANCE[[#This Row],[CERRADURAS]])</f>
        <v>0</v>
      </c>
      <c r="CK562" s="3">
        <f>+IF(AVANCE[[#This Row],[REVESTIMIENTO INTERIOR ZONA SECA]]=AW$2,100%,AVANCE[[#This Row],[REVESTIMIENTO INTERIOR ZONA SECA]])</f>
        <v>0</v>
      </c>
      <c r="CL562" s="3">
        <f>+IF(AVANCE[[#This Row],[REVESTIMIENTO INTERIOR ZONAS HUMEDAS]]=AX$2,100%,AVANCE[[#This Row],[REVESTIMIENTO INTERIOR ZONAS HUMEDAS]])</f>
        <v>0</v>
      </c>
      <c r="CM562" s="3">
        <f>+IF(AVANCE[[#This Row],[MEMBRANA CIELO]]=AY$2,100%,AVANCE[[#This Row],[MEMBRANA CIELO]])</f>
        <v>0</v>
      </c>
      <c r="CN562" s="3">
        <f>+IF(AVANCE[[#This Row],[LIMPIEZA FINAL]]=AZ$2,100%,AVANCE[[#This Row],[LIMPIEZA FINAL]])</f>
        <v>0</v>
      </c>
      <c r="CO562" s="3">
        <f>+IF(AVANCE[[#This Row],[PUERTAS DORMITORIO]]=BA$2,100%,AVANCE[[#This Row],[PUERTAS DORMITORIO]])</f>
        <v>0</v>
      </c>
      <c r="CP562" s="3">
        <f>+IF(AVANCE[[#This Row],[REVESTIMIENTO INTERIOR BANO]]=BB$2,100%,AVANCE[[#This Row],[REVESTIMIENTO INTERIOR BANO]])</f>
        <v>0</v>
      </c>
      <c r="CQ562" s="3">
        <f>+IF(AVANCE[[#This Row],[MUEBLE LAVAPLATOS]]=BC$2,100%,AVANCE[[#This Row],[MUEBLE LAVAPLATOS]])</f>
        <v>0</v>
      </c>
      <c r="CR562" s="3">
        <f>+IF(AVANCE[[#This Row],[IMPERMEABILIZACION BANO - COCINA LOGIA]]=BD$2,100%,AVANCE[[#This Row],[IMPERMEABILIZACION BANO - COCINA LOGIA]])</f>
        <v>0</v>
      </c>
      <c r="CS562" s="40">
        <f ca="1">+IF(AVANCE[[#This Row],[ESTADO MODULO]]="PENDIENTE",(TODAY()-AVANCE[[#This Row],[FECHA TERMINO  PLANIFICADO]]),0)</f>
        <v>0</v>
      </c>
      <c r="CT562" s="41" t="str" cm="1">
        <f t="array" ref="CT562">_xlfn.TEXTJOIN(" | ",TRUE,IF(SUMPRODUCT((BG562:CR562&lt;1)*(PARTIDAS!$I$2:$AT$2="OBRA GRUESA"))&gt;0,"OBRA GRUESA: "&amp;_xlfn.TEXTJOIN(", ",TRUE,IF((BG562:CR562&lt;1)*(PARTIDAS!$I$2:$AT$2="OBRA GRUESA"),PARTIDAS!$I$1:$AT$1,"")),""),IF(SUMPRODUCT((BG562:CR562&lt;1)*(PARTIDAS!$I$2:$AT$2="SANITARIOS"))&gt;0,"SANITARIOS: "&amp;_xlfn.TEXTJOIN(", ",TRUE,IF((BG562:CR562&lt;1)*(PARTIDAS!$I$2:$AT$2="SANITARIOS"),PARTIDAS!$I$1:$AT$1,"")),""),IF(SUMPRODUCT((BG562:CR562&lt;1)*(PARTIDAS!$I$2:$AT$2="ELÉCTRICO"))&gt;0,"ELÉCTRICO: "&amp;_xlfn.TEXTJOIN(", ",TRUE,IF((BG562:CR562&lt;1)*(PARTIDAS!$I$2:$AT$2="ELÉCTRICO"),PARTIDAS!$I$1:$AT$1,"")),""),IF(SUMPRODUCT((BG562:CR562&lt;1)*(PARTIDAS!$I$2:$AT$2="TERMINACIONES"))&gt;0,"TERMINACIONES: "&amp;_xlfn.TEXTJOIN(", ",TRUE,IF((BG562:CR562&lt;1)*(PARTIDAS!$I$2:$AT$2="TERMINACIONES"),PARTIDAS!$I$1:$AT$1,"")),""))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2" s="43" t="str" cm="1">
        <f t="array" ref="CU562">_xlfn.TEXTJOIN(", ",TRUE,IF(SUMPRODUCT((BG562:CR562&lt;1)*(PARTIDAS!$I$2:$AT$2="OBRA GRUESA"))&gt;0,"OBRA GRUESA",""),IF(SUMPRODUCT((BG562:CR562&lt;1)*(PARTIDAS!$I$2:$AT$2="SANITARIOS"))&gt;0,"SANITARIOS",""),IF(SUMPRODUCT((BG562:CR562&lt;1)*(PARTIDAS!$I$2:$AT$2="ELÉCTRICO"))&gt;0,"ELÉCTRICO",""),IF(SUMPRODUCT((BG562:CR562&lt;1)*(PARTIDAS!$I$2:$AT$2="TERMINACIONES"))&gt;0,"TERMINACIONES",""))</f>
        <v>OBRA GRUESA, SANITARIOS, ELÉCTRICO, TERMINACIONES</v>
      </c>
      <c r="CV562" s="44" cm="1">
        <f t="array" ref="CV562">SUMPRODUCT(--(BG562:CR562&lt;1))</f>
        <v>38</v>
      </c>
    </row>
    <row r="563" spans="1:100" hidden="1" x14ac:dyDescent="0.25">
      <c r="A563" t="s">
        <v>619</v>
      </c>
      <c r="B563" t="s">
        <v>637</v>
      </c>
      <c r="C563">
        <v>2302600562</v>
      </c>
      <c r="D563" t="s">
        <v>60</v>
      </c>
      <c r="E563" s="2">
        <v>0</v>
      </c>
      <c r="F563" s="1">
        <v>46421</v>
      </c>
      <c r="G563" s="1"/>
      <c r="H563" s="1">
        <v>0</v>
      </c>
      <c r="I563" s="1">
        <v>46451</v>
      </c>
      <c r="J563">
        <v>46230</v>
      </c>
      <c r="K563" s="1"/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>
        <v>31.32</v>
      </c>
      <c r="BF563" s="3" t="str">
        <f>+IF(AVANCE[[#This Row],[% AVANCE]]=100%,"MODULO TERMINADO",IF(AVANCE[[#This Row],[FECHA INICIO REAL]]="","MODULO NO INICIADO","PENDIENTE"))</f>
        <v>MODULO NO INICIADO</v>
      </c>
      <c r="BG563" s="3">
        <f>+IF(AVANCE[[#This Row],[VENTANAS]]=8.10810810810811%,100%,AVANCE[[#This Row],[VENTANAS]])</f>
        <v>0</v>
      </c>
      <c r="BH563" s="3">
        <f>+IF(AVANCE[[#This Row],[PISO]]=N$2,100%,AVANCE[[#This Row],[PISO]])</f>
        <v>0</v>
      </c>
      <c r="BI563" s="3">
        <f>+IF(AVANCE[[#This Row],[TABIQUES]]=O$2,100%,AVANCE[[#This Row],[TABIQUES]])</f>
        <v>0</v>
      </c>
      <c r="BJ563" s="3">
        <f>+IF(AVANCE[[#This Row],[MUROS]]=P$2,100%,AVANCE[[#This Row],[MUROS]])</f>
        <v>0</v>
      </c>
      <c r="BK563" s="3">
        <f>+IF(AVANCE[[#This Row],[CIELO]]=Q$2,100%,AVANCE[[#This Row],[CIELO]])</f>
        <v>0</v>
      </c>
      <c r="BL563" s="3">
        <f>+IF(AVANCE[[#This Row],[BALCÓN]]=R$2,100%,AVANCE[[#This Row],[BALCÓN]])</f>
        <v>0</v>
      </c>
      <c r="BM563" s="3">
        <f>+IF(AVANCE[[#This Row],[RED ALCANTARILLADO]]=U$2,100%,AVANCE[[#This Row],[RED ALCANTARILLADO]])</f>
        <v>0</v>
      </c>
      <c r="BN563" s="3">
        <f>+IF(AVANCE[[#This Row],[RED DE AGUA]]=V$2,100%,AVANCE[[#This Row],[RED DE AGUA]])</f>
        <v>0</v>
      </c>
      <c r="BO563" s="3">
        <f>+IF(AVANCE[[#This Row],[VENTILACIONES]]=W$2,100%,AVANCE[[#This Row],[VENTILACIONES]])</f>
        <v>0</v>
      </c>
      <c r="BP563" s="3">
        <f>+IF(AVANCE[[#This Row],[TINA]]=X$2,100%,AVANCE[[#This Row],[TINA]])</f>
        <v>0</v>
      </c>
      <c r="BQ563" s="3">
        <f>+IF(AVANCE[[#This Row],[WC]]=Y$2,100%,AVANCE[[#This Row],[WC]])</f>
        <v>0</v>
      </c>
      <c r="BR563" s="3">
        <f>+IF(AVANCE[[#This Row],[LAVAMANOS / LAVAPLATOS / LAVADERO]]=Z$2,100%,AVANCE[[#This Row],[LAVAMANOS / LAVAPLATOS / LAVADERO]])</f>
        <v>0</v>
      </c>
      <c r="BS563" s="3">
        <f>+IF(AVANCE[[#This Row],[CANALIZACIÓN]]=AC$2,100%,AVANCE[[#This Row],[CANALIZACIÓN]])</f>
        <v>0</v>
      </c>
      <c r="BT563" s="3">
        <f>+IF(AVANCE[[#This Row],[CABLEADO]]=AD$2,100%,AVANCE[[#This Row],[CABLEADO]])</f>
        <v>0</v>
      </c>
      <c r="BU563" s="3">
        <f>+IF(AVANCE[[#This Row],[ARTEFACTOS]]=AE$2,100%,AVANCE[[#This Row],[ARTEFACTOS]])</f>
        <v>0</v>
      </c>
      <c r="BV563" s="3">
        <f>+IF(AVANCE[[#This Row],[TABLERO]]=AF$2,100%,AVANCE[[#This Row],[TABLERO]])</f>
        <v>0</v>
      </c>
      <c r="BW563" s="3">
        <f>+IF(AVANCE[[#This Row],[CAJA PAU]]=AG$2,100%,AVANCE[[#This Row],[CAJA PAU]])</f>
        <v>0</v>
      </c>
      <c r="BX563" s="3">
        <f>+IF(AVANCE[[#This Row],[INSTALACION VINILICO]]=AJ$2,100%,AVANCE[[#This Row],[INSTALACION VINILICO]])</f>
        <v>0</v>
      </c>
      <c r="BY563" s="3">
        <f>+IF(AVANCE[[#This Row],[OSB CUBIERTA]]=AK$2,100%,AVANCE[[#This Row],[OSB CUBIERTA]])</f>
        <v>0</v>
      </c>
      <c r="BZ563" s="3">
        <f>+IF(AVANCE[[#This Row],[BARANDA BALCON]]=AL$2,100%,AVANCE[[#This Row],[BARANDA BALCON]])</f>
        <v>0</v>
      </c>
      <c r="CA563" s="3">
        <f>+IF(AVANCE[[#This Row],[OSB EXTERIOR]]=AM$2,100%,AVANCE[[#This Row],[OSB EXTERIOR]])</f>
        <v>0</v>
      </c>
      <c r="CB563" s="3">
        <f>+IF(AVANCE[[#This Row],[SMART PANEL]]=AN$2,100%,AVANCE[[#This Row],[SMART PANEL]])</f>
        <v>0</v>
      </c>
      <c r="CC563" s="3">
        <f>+IF(AVANCE[[#This Row],[PINTURA EXTERIOR]]=AO$2,100%,AVANCE[[#This Row],[PINTURA EXTERIOR]])</f>
        <v>0</v>
      </c>
      <c r="CD563" s="3">
        <f>+IF(AVANCE[[#This Row],[ZOCALOS LOGIA]]=AP$2,100%,AVANCE[[#This Row],[ZOCALOS LOGIA]])</f>
        <v>0</v>
      </c>
      <c r="CE563" s="3">
        <f>+IF(AVANCE[[#This Row],[MOLDURAS]]=AQ$2,100%,AVANCE[[#This Row],[MOLDURAS]])</f>
        <v>0</v>
      </c>
      <c r="CF563" s="3">
        <f>+IF(AVANCE[[#This Row],[PILASTREO]]=AR$2,100%,AVANCE[[#This Row],[PILASTREO]])</f>
        <v>0</v>
      </c>
      <c r="CG563" s="3">
        <f>+IF(AVANCE[[#This Row],[CELOSIAS]]=AS$2,100%,AVANCE[[#This Row],[CELOSIAS]])</f>
        <v>0</v>
      </c>
      <c r="CH563" s="3">
        <f>+IF(AVANCE[[#This Row],[VENTANAS]]=AT$2,100%,AVANCE[[#This Row],[VENTANAS]])</f>
        <v>0</v>
      </c>
      <c r="CI563" s="3">
        <f>+IF(AVANCE[[#This Row],[PUERTAS ACCESO - LOGIA - BANO]]=AU$2,100%,AVANCE[[#This Row],[PUERTAS ACCESO - LOGIA - BANO]])</f>
        <v>0</v>
      </c>
      <c r="CJ563" s="3">
        <f>+IF(AVANCE[[#This Row],[CERRADURAS]]=AV$2,100%,AVANCE[[#This Row],[CERRADURAS]])</f>
        <v>0</v>
      </c>
      <c r="CK563" s="3">
        <f>+IF(AVANCE[[#This Row],[REVESTIMIENTO INTERIOR ZONA SECA]]=AW$2,100%,AVANCE[[#This Row],[REVESTIMIENTO INTERIOR ZONA SECA]])</f>
        <v>0</v>
      </c>
      <c r="CL563" s="3">
        <f>+IF(AVANCE[[#This Row],[REVESTIMIENTO INTERIOR ZONAS HUMEDAS]]=AX$2,100%,AVANCE[[#This Row],[REVESTIMIENTO INTERIOR ZONAS HUMEDAS]])</f>
        <v>0</v>
      </c>
      <c r="CM563" s="3">
        <f>+IF(AVANCE[[#This Row],[MEMBRANA CIELO]]=AY$2,100%,AVANCE[[#This Row],[MEMBRANA CIELO]])</f>
        <v>0</v>
      </c>
      <c r="CN563" s="3">
        <f>+IF(AVANCE[[#This Row],[LIMPIEZA FINAL]]=AZ$2,100%,AVANCE[[#This Row],[LIMPIEZA FINAL]])</f>
        <v>0</v>
      </c>
      <c r="CO563" s="3">
        <f>+IF(AVANCE[[#This Row],[PUERTAS DORMITORIO]]=BA$2,100%,AVANCE[[#This Row],[PUERTAS DORMITORIO]])</f>
        <v>0</v>
      </c>
      <c r="CP563" s="3">
        <f>+IF(AVANCE[[#This Row],[REVESTIMIENTO INTERIOR BANO]]=BB$2,100%,AVANCE[[#This Row],[REVESTIMIENTO INTERIOR BANO]])</f>
        <v>0</v>
      </c>
      <c r="CQ563" s="3">
        <f>+IF(AVANCE[[#This Row],[MUEBLE LAVAPLATOS]]=BC$2,100%,AVANCE[[#This Row],[MUEBLE LAVAPLATOS]])</f>
        <v>0</v>
      </c>
      <c r="CR563" s="3">
        <f>+IF(AVANCE[[#This Row],[IMPERMEABILIZACION BANO - COCINA LOGIA]]=BD$2,100%,AVANCE[[#This Row],[IMPERMEABILIZACION BANO - COCINA LOGIA]])</f>
        <v>0</v>
      </c>
      <c r="CS563" s="40">
        <f ca="1">+IF(AVANCE[[#This Row],[ESTADO MODULO]]="PENDIENTE",(TODAY()-AVANCE[[#This Row],[FECHA TERMINO  PLANIFICADO]]),0)</f>
        <v>0</v>
      </c>
      <c r="CT563" s="41" t="str" cm="1">
        <f t="array" ref="CT563">_xlfn.TEXTJOIN(" | ",TRUE,IF(SUMPRODUCT((BG563:CR563&lt;1)*(PARTIDAS!$I$2:$AT$2="OBRA GRUESA"))&gt;0,"OBRA GRUESA: "&amp;_xlfn.TEXTJOIN(", ",TRUE,IF((BG563:CR563&lt;1)*(PARTIDAS!$I$2:$AT$2="OBRA GRUESA"),PARTIDAS!$I$1:$AT$1,"")),""),IF(SUMPRODUCT((BG563:CR563&lt;1)*(PARTIDAS!$I$2:$AT$2="SANITARIOS"))&gt;0,"SANITARIOS: "&amp;_xlfn.TEXTJOIN(", ",TRUE,IF((BG563:CR563&lt;1)*(PARTIDAS!$I$2:$AT$2="SANITARIOS"),PARTIDAS!$I$1:$AT$1,"")),""),IF(SUMPRODUCT((BG563:CR563&lt;1)*(PARTIDAS!$I$2:$AT$2="ELÉCTRICO"))&gt;0,"ELÉCTRICO: "&amp;_xlfn.TEXTJOIN(", ",TRUE,IF((BG563:CR563&lt;1)*(PARTIDAS!$I$2:$AT$2="ELÉCTRICO"),PARTIDAS!$I$1:$AT$1,"")),""),IF(SUMPRODUCT((BG563:CR563&lt;1)*(PARTIDAS!$I$2:$AT$2="TERMINACIONES"))&gt;0,"TERMINACIONES: "&amp;_xlfn.TEXTJOIN(", ",TRUE,IF((BG563:CR563&lt;1)*(PARTIDAS!$I$2:$AT$2="TERMINACIONES"),PARTIDAS!$I$1:$AT$1,"")),""))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3" s="43" t="str" cm="1">
        <f t="array" ref="CU563">_xlfn.TEXTJOIN(", ",TRUE,IF(SUMPRODUCT((BG563:CR563&lt;1)*(PARTIDAS!$I$2:$AT$2="OBRA GRUESA"))&gt;0,"OBRA GRUESA",""),IF(SUMPRODUCT((BG563:CR563&lt;1)*(PARTIDAS!$I$2:$AT$2="SANITARIOS"))&gt;0,"SANITARIOS",""),IF(SUMPRODUCT((BG563:CR563&lt;1)*(PARTIDAS!$I$2:$AT$2="ELÉCTRICO"))&gt;0,"ELÉCTRICO",""),IF(SUMPRODUCT((BG563:CR563&lt;1)*(PARTIDAS!$I$2:$AT$2="TERMINACIONES"))&gt;0,"TERMINACIONES",""))</f>
        <v>OBRA GRUESA, SANITARIOS, ELÉCTRICO, TERMINACIONES</v>
      </c>
      <c r="CV563" s="44" cm="1">
        <f t="array" ref="CV563">SUMPRODUCT(--(BG563:CR563&lt;1))</f>
        <v>38</v>
      </c>
    </row>
    <row r="564" spans="1:100" hidden="1" x14ac:dyDescent="0.25">
      <c r="A564" t="s">
        <v>619</v>
      </c>
      <c r="B564" t="s">
        <v>638</v>
      </c>
      <c r="C564">
        <v>2302600563</v>
      </c>
      <c r="D564" t="s">
        <v>60</v>
      </c>
      <c r="E564" s="2">
        <v>0</v>
      </c>
      <c r="F564" s="1">
        <v>46422</v>
      </c>
      <c r="G564" s="1"/>
      <c r="H564" s="1">
        <v>0</v>
      </c>
      <c r="I564" s="1">
        <v>46452</v>
      </c>
      <c r="J564">
        <v>46230</v>
      </c>
      <c r="K564" s="1"/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>
        <v>31.32</v>
      </c>
      <c r="BF564" s="3" t="str">
        <f>+IF(AVANCE[[#This Row],[% AVANCE]]=100%,"MODULO TERMINADO",IF(AVANCE[[#This Row],[FECHA INICIO REAL]]="","MODULO NO INICIADO","PENDIENTE"))</f>
        <v>MODULO NO INICIADO</v>
      </c>
      <c r="BG564" s="3">
        <f>+IF(AVANCE[[#This Row],[VENTANAS]]=8.10810810810811%,100%,AVANCE[[#This Row],[VENTANAS]])</f>
        <v>0</v>
      </c>
      <c r="BH564" s="3">
        <f>+IF(AVANCE[[#This Row],[PISO]]=N$2,100%,AVANCE[[#This Row],[PISO]])</f>
        <v>0</v>
      </c>
      <c r="BI564" s="3">
        <f>+IF(AVANCE[[#This Row],[TABIQUES]]=O$2,100%,AVANCE[[#This Row],[TABIQUES]])</f>
        <v>0</v>
      </c>
      <c r="BJ564" s="3">
        <f>+IF(AVANCE[[#This Row],[MUROS]]=P$2,100%,AVANCE[[#This Row],[MUROS]])</f>
        <v>0</v>
      </c>
      <c r="BK564" s="3">
        <f>+IF(AVANCE[[#This Row],[CIELO]]=Q$2,100%,AVANCE[[#This Row],[CIELO]])</f>
        <v>0</v>
      </c>
      <c r="BL564" s="3">
        <f>+IF(AVANCE[[#This Row],[BALCÓN]]=R$2,100%,AVANCE[[#This Row],[BALCÓN]])</f>
        <v>0</v>
      </c>
      <c r="BM564" s="3">
        <f>+IF(AVANCE[[#This Row],[RED ALCANTARILLADO]]=U$2,100%,AVANCE[[#This Row],[RED ALCANTARILLADO]])</f>
        <v>0</v>
      </c>
      <c r="BN564" s="3">
        <f>+IF(AVANCE[[#This Row],[RED DE AGUA]]=V$2,100%,AVANCE[[#This Row],[RED DE AGUA]])</f>
        <v>0</v>
      </c>
      <c r="BO564" s="3">
        <f>+IF(AVANCE[[#This Row],[VENTILACIONES]]=W$2,100%,AVANCE[[#This Row],[VENTILACIONES]])</f>
        <v>0</v>
      </c>
      <c r="BP564" s="3">
        <f>+IF(AVANCE[[#This Row],[TINA]]=X$2,100%,AVANCE[[#This Row],[TINA]])</f>
        <v>0</v>
      </c>
      <c r="BQ564" s="3">
        <f>+IF(AVANCE[[#This Row],[WC]]=Y$2,100%,AVANCE[[#This Row],[WC]])</f>
        <v>0</v>
      </c>
      <c r="BR564" s="3">
        <f>+IF(AVANCE[[#This Row],[LAVAMANOS / LAVAPLATOS / LAVADERO]]=Z$2,100%,AVANCE[[#This Row],[LAVAMANOS / LAVAPLATOS / LAVADERO]])</f>
        <v>0</v>
      </c>
      <c r="BS564" s="3">
        <f>+IF(AVANCE[[#This Row],[CANALIZACIÓN]]=AC$2,100%,AVANCE[[#This Row],[CANALIZACIÓN]])</f>
        <v>0</v>
      </c>
      <c r="BT564" s="3">
        <f>+IF(AVANCE[[#This Row],[CABLEADO]]=AD$2,100%,AVANCE[[#This Row],[CABLEADO]])</f>
        <v>0</v>
      </c>
      <c r="BU564" s="3">
        <f>+IF(AVANCE[[#This Row],[ARTEFACTOS]]=AE$2,100%,AVANCE[[#This Row],[ARTEFACTOS]])</f>
        <v>0</v>
      </c>
      <c r="BV564" s="3">
        <f>+IF(AVANCE[[#This Row],[TABLERO]]=AF$2,100%,AVANCE[[#This Row],[TABLERO]])</f>
        <v>0</v>
      </c>
      <c r="BW564" s="3">
        <f>+IF(AVANCE[[#This Row],[CAJA PAU]]=AG$2,100%,AVANCE[[#This Row],[CAJA PAU]])</f>
        <v>0</v>
      </c>
      <c r="BX564" s="3">
        <f>+IF(AVANCE[[#This Row],[INSTALACION VINILICO]]=AJ$2,100%,AVANCE[[#This Row],[INSTALACION VINILICO]])</f>
        <v>0</v>
      </c>
      <c r="BY564" s="3">
        <f>+IF(AVANCE[[#This Row],[OSB CUBIERTA]]=AK$2,100%,AVANCE[[#This Row],[OSB CUBIERTA]])</f>
        <v>0</v>
      </c>
      <c r="BZ564" s="3">
        <f>+IF(AVANCE[[#This Row],[BARANDA BALCON]]=AL$2,100%,AVANCE[[#This Row],[BARANDA BALCON]])</f>
        <v>0</v>
      </c>
      <c r="CA564" s="3">
        <f>+IF(AVANCE[[#This Row],[OSB EXTERIOR]]=AM$2,100%,AVANCE[[#This Row],[OSB EXTERIOR]])</f>
        <v>0</v>
      </c>
      <c r="CB564" s="3">
        <f>+IF(AVANCE[[#This Row],[SMART PANEL]]=AN$2,100%,AVANCE[[#This Row],[SMART PANEL]])</f>
        <v>0</v>
      </c>
      <c r="CC564" s="3">
        <f>+IF(AVANCE[[#This Row],[PINTURA EXTERIOR]]=AO$2,100%,AVANCE[[#This Row],[PINTURA EXTERIOR]])</f>
        <v>0</v>
      </c>
      <c r="CD564" s="3">
        <f>+IF(AVANCE[[#This Row],[ZOCALOS LOGIA]]=AP$2,100%,AVANCE[[#This Row],[ZOCALOS LOGIA]])</f>
        <v>0</v>
      </c>
      <c r="CE564" s="3">
        <f>+IF(AVANCE[[#This Row],[MOLDURAS]]=AQ$2,100%,AVANCE[[#This Row],[MOLDURAS]])</f>
        <v>0</v>
      </c>
      <c r="CF564" s="3">
        <f>+IF(AVANCE[[#This Row],[PILASTREO]]=AR$2,100%,AVANCE[[#This Row],[PILASTREO]])</f>
        <v>0</v>
      </c>
      <c r="CG564" s="3">
        <f>+IF(AVANCE[[#This Row],[CELOSIAS]]=AS$2,100%,AVANCE[[#This Row],[CELOSIAS]])</f>
        <v>0</v>
      </c>
      <c r="CH564" s="3">
        <f>+IF(AVANCE[[#This Row],[VENTANAS]]=AT$2,100%,AVANCE[[#This Row],[VENTANAS]])</f>
        <v>0</v>
      </c>
      <c r="CI564" s="3">
        <f>+IF(AVANCE[[#This Row],[PUERTAS ACCESO - LOGIA - BANO]]=AU$2,100%,AVANCE[[#This Row],[PUERTAS ACCESO - LOGIA - BANO]])</f>
        <v>0</v>
      </c>
      <c r="CJ564" s="3">
        <f>+IF(AVANCE[[#This Row],[CERRADURAS]]=AV$2,100%,AVANCE[[#This Row],[CERRADURAS]])</f>
        <v>0</v>
      </c>
      <c r="CK564" s="3">
        <f>+IF(AVANCE[[#This Row],[REVESTIMIENTO INTERIOR ZONA SECA]]=AW$2,100%,AVANCE[[#This Row],[REVESTIMIENTO INTERIOR ZONA SECA]])</f>
        <v>0</v>
      </c>
      <c r="CL564" s="3">
        <f>+IF(AVANCE[[#This Row],[REVESTIMIENTO INTERIOR ZONAS HUMEDAS]]=AX$2,100%,AVANCE[[#This Row],[REVESTIMIENTO INTERIOR ZONAS HUMEDAS]])</f>
        <v>0</v>
      </c>
      <c r="CM564" s="3">
        <f>+IF(AVANCE[[#This Row],[MEMBRANA CIELO]]=AY$2,100%,AVANCE[[#This Row],[MEMBRANA CIELO]])</f>
        <v>0</v>
      </c>
      <c r="CN564" s="3">
        <f>+IF(AVANCE[[#This Row],[LIMPIEZA FINAL]]=AZ$2,100%,AVANCE[[#This Row],[LIMPIEZA FINAL]])</f>
        <v>0</v>
      </c>
      <c r="CO564" s="3">
        <f>+IF(AVANCE[[#This Row],[PUERTAS DORMITORIO]]=BA$2,100%,AVANCE[[#This Row],[PUERTAS DORMITORIO]])</f>
        <v>0</v>
      </c>
      <c r="CP564" s="3">
        <f>+IF(AVANCE[[#This Row],[REVESTIMIENTO INTERIOR BANO]]=BB$2,100%,AVANCE[[#This Row],[REVESTIMIENTO INTERIOR BANO]])</f>
        <v>0</v>
      </c>
      <c r="CQ564" s="3">
        <f>+IF(AVANCE[[#This Row],[MUEBLE LAVAPLATOS]]=BC$2,100%,AVANCE[[#This Row],[MUEBLE LAVAPLATOS]])</f>
        <v>0</v>
      </c>
      <c r="CR564" s="3">
        <f>+IF(AVANCE[[#This Row],[IMPERMEABILIZACION BANO - COCINA LOGIA]]=BD$2,100%,AVANCE[[#This Row],[IMPERMEABILIZACION BANO - COCINA LOGIA]])</f>
        <v>0</v>
      </c>
      <c r="CS564" s="40">
        <f ca="1">+IF(AVANCE[[#This Row],[ESTADO MODULO]]="PENDIENTE",(TODAY()-AVANCE[[#This Row],[FECHA TERMINO  PLANIFICADO]]),0)</f>
        <v>0</v>
      </c>
      <c r="CT564" s="41" t="str" cm="1">
        <f t="array" ref="CT564">_xlfn.TEXTJOIN(" | ",TRUE,IF(SUMPRODUCT((BG564:CR564&lt;1)*(PARTIDAS!$I$2:$AT$2="OBRA GRUESA"))&gt;0,"OBRA GRUESA: "&amp;_xlfn.TEXTJOIN(", ",TRUE,IF((BG564:CR564&lt;1)*(PARTIDAS!$I$2:$AT$2="OBRA GRUESA"),PARTIDAS!$I$1:$AT$1,"")),""),IF(SUMPRODUCT((BG564:CR564&lt;1)*(PARTIDAS!$I$2:$AT$2="SANITARIOS"))&gt;0,"SANITARIOS: "&amp;_xlfn.TEXTJOIN(", ",TRUE,IF((BG564:CR564&lt;1)*(PARTIDAS!$I$2:$AT$2="SANITARIOS"),PARTIDAS!$I$1:$AT$1,"")),""),IF(SUMPRODUCT((BG564:CR564&lt;1)*(PARTIDAS!$I$2:$AT$2="ELÉCTRICO"))&gt;0,"ELÉCTRICO: "&amp;_xlfn.TEXTJOIN(", ",TRUE,IF((BG564:CR564&lt;1)*(PARTIDAS!$I$2:$AT$2="ELÉCTRICO"),PARTIDAS!$I$1:$AT$1,"")),""),IF(SUMPRODUCT((BG564:CR564&lt;1)*(PARTIDAS!$I$2:$AT$2="TERMINACIONES"))&gt;0,"TERMINACIONES: "&amp;_xlfn.TEXTJOIN(", ",TRUE,IF((BG564:CR564&lt;1)*(PARTIDAS!$I$2:$AT$2="TERMINACIONES"),PARTIDAS!$I$1:$AT$1,"")),""))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4" s="43" t="str" cm="1">
        <f t="array" ref="CU564">_xlfn.TEXTJOIN(", ",TRUE,IF(SUMPRODUCT((BG564:CR564&lt;1)*(PARTIDAS!$I$2:$AT$2="OBRA GRUESA"))&gt;0,"OBRA GRUESA",""),IF(SUMPRODUCT((BG564:CR564&lt;1)*(PARTIDAS!$I$2:$AT$2="SANITARIOS"))&gt;0,"SANITARIOS",""),IF(SUMPRODUCT((BG564:CR564&lt;1)*(PARTIDAS!$I$2:$AT$2="ELÉCTRICO"))&gt;0,"ELÉCTRICO",""),IF(SUMPRODUCT((BG564:CR564&lt;1)*(PARTIDAS!$I$2:$AT$2="TERMINACIONES"))&gt;0,"TERMINACIONES",""))</f>
        <v>OBRA GRUESA, SANITARIOS, ELÉCTRICO, TERMINACIONES</v>
      </c>
      <c r="CV564" s="44" cm="1">
        <f t="array" ref="CV564">SUMPRODUCT(--(BG564:CR564&lt;1))</f>
        <v>38</v>
      </c>
    </row>
    <row r="565" spans="1:100" hidden="1" x14ac:dyDescent="0.25">
      <c r="A565" t="s">
        <v>619</v>
      </c>
      <c r="B565" t="s">
        <v>639</v>
      </c>
      <c r="C565">
        <v>2282600564</v>
      </c>
      <c r="D565" t="s">
        <v>58</v>
      </c>
      <c r="E565" s="2">
        <v>0</v>
      </c>
      <c r="F565" s="1">
        <v>46422</v>
      </c>
      <c r="G565" s="1"/>
      <c r="H565" s="1">
        <v>0</v>
      </c>
      <c r="I565" s="1">
        <v>46442</v>
      </c>
      <c r="J565">
        <v>46230</v>
      </c>
      <c r="K565" s="1"/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>
        <v>28.87</v>
      </c>
      <c r="BF565" s="3" t="str">
        <f>+IF(AVANCE[[#This Row],[% AVANCE]]=100%,"MODULO TERMINADO",IF(AVANCE[[#This Row],[FECHA INICIO REAL]]="","MODULO NO INICIADO","PENDIENTE"))</f>
        <v>MODULO NO INICIADO</v>
      </c>
      <c r="BG565" s="3">
        <f>+IF(AVANCE[[#This Row],[VENTANAS]]=8.10810810810811%,100%,AVANCE[[#This Row],[VENTANAS]])</f>
        <v>0</v>
      </c>
      <c r="BH565" s="3">
        <f>+IF(AVANCE[[#This Row],[PISO]]=N$2,100%,AVANCE[[#This Row],[PISO]])</f>
        <v>0</v>
      </c>
      <c r="BI565" s="3">
        <f>+IF(AVANCE[[#This Row],[TABIQUES]]=O$2,100%,AVANCE[[#This Row],[TABIQUES]])</f>
        <v>0</v>
      </c>
      <c r="BJ565" s="3">
        <f>+IF(AVANCE[[#This Row],[MUROS]]=P$2,100%,AVANCE[[#This Row],[MUROS]])</f>
        <v>0</v>
      </c>
      <c r="BK565" s="3">
        <f>+IF(AVANCE[[#This Row],[CIELO]]=Q$2,100%,AVANCE[[#This Row],[CIELO]])</f>
        <v>0</v>
      </c>
      <c r="BL565" s="3">
        <f>+IF(AVANCE[[#This Row],[BALCÓN]]=R$2,100%,AVANCE[[#This Row],[BALCÓN]])</f>
        <v>0</v>
      </c>
      <c r="BM565" s="3">
        <f>+IF(AVANCE[[#This Row],[RED ALCANTARILLADO]]=U$2,100%,AVANCE[[#This Row],[RED ALCANTARILLADO]])</f>
        <v>0</v>
      </c>
      <c r="BN565" s="3">
        <f>+IF(AVANCE[[#This Row],[RED DE AGUA]]=V$2,100%,AVANCE[[#This Row],[RED DE AGUA]])</f>
        <v>0</v>
      </c>
      <c r="BO565" s="3">
        <f>+IF(AVANCE[[#This Row],[VENTILACIONES]]=W$2,100%,AVANCE[[#This Row],[VENTILACIONES]])</f>
        <v>0</v>
      </c>
      <c r="BP565" s="3">
        <f>+IF(AVANCE[[#This Row],[TINA]]=X$2,100%,AVANCE[[#This Row],[TINA]])</f>
        <v>0</v>
      </c>
      <c r="BQ565" s="3">
        <f>+IF(AVANCE[[#This Row],[WC]]=Y$2,100%,AVANCE[[#This Row],[WC]])</f>
        <v>0</v>
      </c>
      <c r="BR565" s="3">
        <f>+IF(AVANCE[[#This Row],[LAVAMANOS / LAVAPLATOS / LAVADERO]]=Z$2,100%,AVANCE[[#This Row],[LAVAMANOS / LAVAPLATOS / LAVADERO]])</f>
        <v>0</v>
      </c>
      <c r="BS565" s="3">
        <f>+IF(AVANCE[[#This Row],[CANALIZACIÓN]]=AC$2,100%,AVANCE[[#This Row],[CANALIZACIÓN]])</f>
        <v>0</v>
      </c>
      <c r="BT565" s="3">
        <f>+IF(AVANCE[[#This Row],[CABLEADO]]=AD$2,100%,AVANCE[[#This Row],[CABLEADO]])</f>
        <v>0</v>
      </c>
      <c r="BU565" s="3">
        <f>+IF(AVANCE[[#This Row],[ARTEFACTOS]]=AE$2,100%,AVANCE[[#This Row],[ARTEFACTOS]])</f>
        <v>0</v>
      </c>
      <c r="BV565" s="3">
        <f>+IF(AVANCE[[#This Row],[TABLERO]]=AF$2,100%,AVANCE[[#This Row],[TABLERO]])</f>
        <v>0</v>
      </c>
      <c r="BW565" s="3">
        <f>+IF(AVANCE[[#This Row],[CAJA PAU]]=AG$2,100%,AVANCE[[#This Row],[CAJA PAU]])</f>
        <v>0</v>
      </c>
      <c r="BX565" s="3">
        <f>+IF(AVANCE[[#This Row],[INSTALACION VINILICO]]=AJ$2,100%,AVANCE[[#This Row],[INSTALACION VINILICO]])</f>
        <v>0</v>
      </c>
      <c r="BY565" s="3">
        <f>+IF(AVANCE[[#This Row],[OSB CUBIERTA]]=AK$2,100%,AVANCE[[#This Row],[OSB CUBIERTA]])</f>
        <v>0</v>
      </c>
      <c r="BZ565" s="3">
        <f>+IF(AVANCE[[#This Row],[BARANDA BALCON]]=AL$2,100%,AVANCE[[#This Row],[BARANDA BALCON]])</f>
        <v>0</v>
      </c>
      <c r="CA565" s="3">
        <f>+IF(AVANCE[[#This Row],[OSB EXTERIOR]]=AM$2,100%,AVANCE[[#This Row],[OSB EXTERIOR]])</f>
        <v>0</v>
      </c>
      <c r="CB565" s="3">
        <f>+IF(AVANCE[[#This Row],[SMART PANEL]]=AN$2,100%,AVANCE[[#This Row],[SMART PANEL]])</f>
        <v>0</v>
      </c>
      <c r="CC565" s="3">
        <f>+IF(AVANCE[[#This Row],[PINTURA EXTERIOR]]=AO$2,100%,AVANCE[[#This Row],[PINTURA EXTERIOR]])</f>
        <v>0</v>
      </c>
      <c r="CD565" s="3">
        <f>+IF(AVANCE[[#This Row],[ZOCALOS LOGIA]]=AP$2,100%,AVANCE[[#This Row],[ZOCALOS LOGIA]])</f>
        <v>0</v>
      </c>
      <c r="CE565" s="3">
        <f>+IF(AVANCE[[#This Row],[MOLDURAS]]=AQ$2,100%,AVANCE[[#This Row],[MOLDURAS]])</f>
        <v>0</v>
      </c>
      <c r="CF565" s="3">
        <f>+IF(AVANCE[[#This Row],[PILASTREO]]=AR$2,100%,AVANCE[[#This Row],[PILASTREO]])</f>
        <v>0</v>
      </c>
      <c r="CG565" s="3">
        <f>+IF(AVANCE[[#This Row],[CELOSIAS]]=AS$2,100%,AVANCE[[#This Row],[CELOSIAS]])</f>
        <v>0</v>
      </c>
      <c r="CH565" s="3">
        <f>+IF(AVANCE[[#This Row],[VENTANAS]]=AT$2,100%,AVANCE[[#This Row],[VENTANAS]])</f>
        <v>0</v>
      </c>
      <c r="CI565" s="3">
        <f>+IF(AVANCE[[#This Row],[PUERTAS ACCESO - LOGIA - BANO]]=AU$2,100%,AVANCE[[#This Row],[PUERTAS ACCESO - LOGIA - BANO]])</f>
        <v>0</v>
      </c>
      <c r="CJ565" s="3">
        <f>+IF(AVANCE[[#This Row],[CERRADURAS]]=AV$2,100%,AVANCE[[#This Row],[CERRADURAS]])</f>
        <v>0</v>
      </c>
      <c r="CK565" s="3">
        <f>+IF(AVANCE[[#This Row],[REVESTIMIENTO INTERIOR ZONA SECA]]=AW$2,100%,AVANCE[[#This Row],[REVESTIMIENTO INTERIOR ZONA SECA]])</f>
        <v>0</v>
      </c>
      <c r="CL565" s="3">
        <f>+IF(AVANCE[[#This Row],[REVESTIMIENTO INTERIOR ZONAS HUMEDAS]]=AX$2,100%,AVANCE[[#This Row],[REVESTIMIENTO INTERIOR ZONAS HUMEDAS]])</f>
        <v>0</v>
      </c>
      <c r="CM565" s="3">
        <f>+IF(AVANCE[[#This Row],[MEMBRANA CIELO]]=AY$2,100%,AVANCE[[#This Row],[MEMBRANA CIELO]])</f>
        <v>0</v>
      </c>
      <c r="CN565" s="3">
        <f>+IF(AVANCE[[#This Row],[LIMPIEZA FINAL]]=AZ$2,100%,AVANCE[[#This Row],[LIMPIEZA FINAL]])</f>
        <v>0</v>
      </c>
      <c r="CO565" s="3">
        <f>+IF(AVANCE[[#This Row],[PUERTAS DORMITORIO]]=BA$2,100%,AVANCE[[#This Row],[PUERTAS DORMITORIO]])</f>
        <v>0</v>
      </c>
      <c r="CP565" s="3">
        <f>+IF(AVANCE[[#This Row],[REVESTIMIENTO INTERIOR BANO]]=BB$2,100%,AVANCE[[#This Row],[REVESTIMIENTO INTERIOR BANO]])</f>
        <v>0</v>
      </c>
      <c r="CQ565" s="3">
        <f>+IF(AVANCE[[#This Row],[MUEBLE LAVAPLATOS]]=BC$2,100%,AVANCE[[#This Row],[MUEBLE LAVAPLATOS]])</f>
        <v>0</v>
      </c>
      <c r="CR565" s="3">
        <f>+IF(AVANCE[[#This Row],[IMPERMEABILIZACION BANO - COCINA LOGIA]]=BD$2,100%,AVANCE[[#This Row],[IMPERMEABILIZACION BANO - COCINA LOGIA]])</f>
        <v>0</v>
      </c>
      <c r="CS565" s="40">
        <f ca="1">+IF(AVANCE[[#This Row],[ESTADO MODULO]]="PENDIENTE",(TODAY()-AVANCE[[#This Row],[FECHA TERMINO  PLANIFICADO]]),0)</f>
        <v>0</v>
      </c>
      <c r="CT565" s="41" t="str" cm="1">
        <f t="array" ref="CT565">_xlfn.TEXTJOIN(" | ",TRUE,IF(SUMPRODUCT((BG565:CR565&lt;1)*(PARTIDAS!$I$2:$AT$2="OBRA GRUESA"))&gt;0,"OBRA GRUESA: "&amp;_xlfn.TEXTJOIN(", ",TRUE,IF((BG565:CR565&lt;1)*(PARTIDAS!$I$2:$AT$2="OBRA GRUESA"),PARTIDAS!$I$1:$AT$1,"")),""),IF(SUMPRODUCT((BG565:CR565&lt;1)*(PARTIDAS!$I$2:$AT$2="SANITARIOS"))&gt;0,"SANITARIOS: "&amp;_xlfn.TEXTJOIN(", ",TRUE,IF((BG565:CR565&lt;1)*(PARTIDAS!$I$2:$AT$2="SANITARIOS"),PARTIDAS!$I$1:$AT$1,"")),""),IF(SUMPRODUCT((BG565:CR565&lt;1)*(PARTIDAS!$I$2:$AT$2="ELÉCTRICO"))&gt;0,"ELÉCTRICO: "&amp;_xlfn.TEXTJOIN(", ",TRUE,IF((BG565:CR565&lt;1)*(PARTIDAS!$I$2:$AT$2="ELÉCTRICO"),PARTIDAS!$I$1:$AT$1,"")),""),IF(SUMPRODUCT((BG565:CR565&lt;1)*(PARTIDAS!$I$2:$AT$2="TERMINACIONES"))&gt;0,"TERMINACIONES: "&amp;_xlfn.TEXTJOIN(", ",TRUE,IF((BG565:CR565&lt;1)*(PARTIDAS!$I$2:$AT$2="TERMINACIONES"),PARTIDAS!$I$1:$AT$1,"")),""))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5" s="43" t="str" cm="1">
        <f t="array" ref="CU565">_xlfn.TEXTJOIN(", ",TRUE,IF(SUMPRODUCT((BG565:CR565&lt;1)*(PARTIDAS!$I$2:$AT$2="OBRA GRUESA"))&gt;0,"OBRA GRUESA",""),IF(SUMPRODUCT((BG565:CR565&lt;1)*(PARTIDAS!$I$2:$AT$2="SANITARIOS"))&gt;0,"SANITARIOS",""),IF(SUMPRODUCT((BG565:CR565&lt;1)*(PARTIDAS!$I$2:$AT$2="ELÉCTRICO"))&gt;0,"ELÉCTRICO",""),IF(SUMPRODUCT((BG565:CR565&lt;1)*(PARTIDAS!$I$2:$AT$2="TERMINACIONES"))&gt;0,"TERMINACIONES",""))</f>
        <v>OBRA GRUESA, SANITARIOS, ELÉCTRICO, TERMINACIONES</v>
      </c>
      <c r="CV565" s="44" cm="1">
        <f t="array" ref="CV565">SUMPRODUCT(--(BG565:CR565&lt;1))</f>
        <v>38</v>
      </c>
    </row>
    <row r="566" spans="1:100" hidden="1" x14ac:dyDescent="0.25">
      <c r="A566" t="s">
        <v>619</v>
      </c>
      <c r="B566" t="s">
        <v>640</v>
      </c>
      <c r="C566">
        <v>2282600565</v>
      </c>
      <c r="D566" t="s">
        <v>58</v>
      </c>
      <c r="E566" s="2">
        <v>0</v>
      </c>
      <c r="F566" s="1">
        <v>46422</v>
      </c>
      <c r="G566" s="1"/>
      <c r="H566" s="1">
        <v>0</v>
      </c>
      <c r="I566" s="1">
        <v>46442</v>
      </c>
      <c r="J566">
        <v>46230</v>
      </c>
      <c r="K566" s="1"/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>
        <v>28.87</v>
      </c>
      <c r="BF566" s="3" t="str">
        <f>+IF(AVANCE[[#This Row],[% AVANCE]]=100%,"MODULO TERMINADO",IF(AVANCE[[#This Row],[FECHA INICIO REAL]]="","MODULO NO INICIADO","PENDIENTE"))</f>
        <v>MODULO NO INICIADO</v>
      </c>
      <c r="BG566" s="3">
        <f>+IF(AVANCE[[#This Row],[VENTANAS]]=8.10810810810811%,100%,AVANCE[[#This Row],[VENTANAS]])</f>
        <v>0</v>
      </c>
      <c r="BH566" s="3">
        <f>+IF(AVANCE[[#This Row],[PISO]]=N$2,100%,AVANCE[[#This Row],[PISO]])</f>
        <v>0</v>
      </c>
      <c r="BI566" s="3">
        <f>+IF(AVANCE[[#This Row],[TABIQUES]]=O$2,100%,AVANCE[[#This Row],[TABIQUES]])</f>
        <v>0</v>
      </c>
      <c r="BJ566" s="3">
        <f>+IF(AVANCE[[#This Row],[MUROS]]=P$2,100%,AVANCE[[#This Row],[MUROS]])</f>
        <v>0</v>
      </c>
      <c r="BK566" s="3">
        <f>+IF(AVANCE[[#This Row],[CIELO]]=Q$2,100%,AVANCE[[#This Row],[CIELO]])</f>
        <v>0</v>
      </c>
      <c r="BL566" s="3">
        <f>+IF(AVANCE[[#This Row],[BALCÓN]]=R$2,100%,AVANCE[[#This Row],[BALCÓN]])</f>
        <v>0</v>
      </c>
      <c r="BM566" s="3">
        <f>+IF(AVANCE[[#This Row],[RED ALCANTARILLADO]]=U$2,100%,AVANCE[[#This Row],[RED ALCANTARILLADO]])</f>
        <v>0</v>
      </c>
      <c r="BN566" s="3">
        <f>+IF(AVANCE[[#This Row],[RED DE AGUA]]=V$2,100%,AVANCE[[#This Row],[RED DE AGUA]])</f>
        <v>0</v>
      </c>
      <c r="BO566" s="3">
        <f>+IF(AVANCE[[#This Row],[VENTILACIONES]]=W$2,100%,AVANCE[[#This Row],[VENTILACIONES]])</f>
        <v>0</v>
      </c>
      <c r="BP566" s="3">
        <f>+IF(AVANCE[[#This Row],[TINA]]=X$2,100%,AVANCE[[#This Row],[TINA]])</f>
        <v>0</v>
      </c>
      <c r="BQ566" s="3">
        <f>+IF(AVANCE[[#This Row],[WC]]=Y$2,100%,AVANCE[[#This Row],[WC]])</f>
        <v>0</v>
      </c>
      <c r="BR566" s="3">
        <f>+IF(AVANCE[[#This Row],[LAVAMANOS / LAVAPLATOS / LAVADERO]]=Z$2,100%,AVANCE[[#This Row],[LAVAMANOS / LAVAPLATOS / LAVADERO]])</f>
        <v>0</v>
      </c>
      <c r="BS566" s="3">
        <f>+IF(AVANCE[[#This Row],[CANALIZACIÓN]]=AC$2,100%,AVANCE[[#This Row],[CANALIZACIÓN]])</f>
        <v>0</v>
      </c>
      <c r="BT566" s="3">
        <f>+IF(AVANCE[[#This Row],[CABLEADO]]=AD$2,100%,AVANCE[[#This Row],[CABLEADO]])</f>
        <v>0</v>
      </c>
      <c r="BU566" s="3">
        <f>+IF(AVANCE[[#This Row],[ARTEFACTOS]]=AE$2,100%,AVANCE[[#This Row],[ARTEFACTOS]])</f>
        <v>0</v>
      </c>
      <c r="BV566" s="3">
        <f>+IF(AVANCE[[#This Row],[TABLERO]]=AF$2,100%,AVANCE[[#This Row],[TABLERO]])</f>
        <v>0</v>
      </c>
      <c r="BW566" s="3">
        <f>+IF(AVANCE[[#This Row],[CAJA PAU]]=AG$2,100%,AVANCE[[#This Row],[CAJA PAU]])</f>
        <v>0</v>
      </c>
      <c r="BX566" s="3">
        <f>+IF(AVANCE[[#This Row],[INSTALACION VINILICO]]=AJ$2,100%,AVANCE[[#This Row],[INSTALACION VINILICO]])</f>
        <v>0</v>
      </c>
      <c r="BY566" s="3">
        <f>+IF(AVANCE[[#This Row],[OSB CUBIERTA]]=AK$2,100%,AVANCE[[#This Row],[OSB CUBIERTA]])</f>
        <v>0</v>
      </c>
      <c r="BZ566" s="3">
        <f>+IF(AVANCE[[#This Row],[BARANDA BALCON]]=AL$2,100%,AVANCE[[#This Row],[BARANDA BALCON]])</f>
        <v>0</v>
      </c>
      <c r="CA566" s="3">
        <f>+IF(AVANCE[[#This Row],[OSB EXTERIOR]]=AM$2,100%,AVANCE[[#This Row],[OSB EXTERIOR]])</f>
        <v>0</v>
      </c>
      <c r="CB566" s="3">
        <f>+IF(AVANCE[[#This Row],[SMART PANEL]]=AN$2,100%,AVANCE[[#This Row],[SMART PANEL]])</f>
        <v>0</v>
      </c>
      <c r="CC566" s="3">
        <f>+IF(AVANCE[[#This Row],[PINTURA EXTERIOR]]=AO$2,100%,AVANCE[[#This Row],[PINTURA EXTERIOR]])</f>
        <v>0</v>
      </c>
      <c r="CD566" s="3">
        <f>+IF(AVANCE[[#This Row],[ZOCALOS LOGIA]]=AP$2,100%,AVANCE[[#This Row],[ZOCALOS LOGIA]])</f>
        <v>0</v>
      </c>
      <c r="CE566" s="3">
        <f>+IF(AVANCE[[#This Row],[MOLDURAS]]=AQ$2,100%,AVANCE[[#This Row],[MOLDURAS]])</f>
        <v>0</v>
      </c>
      <c r="CF566" s="3">
        <f>+IF(AVANCE[[#This Row],[PILASTREO]]=AR$2,100%,AVANCE[[#This Row],[PILASTREO]])</f>
        <v>0</v>
      </c>
      <c r="CG566" s="3">
        <f>+IF(AVANCE[[#This Row],[CELOSIAS]]=AS$2,100%,AVANCE[[#This Row],[CELOSIAS]])</f>
        <v>0</v>
      </c>
      <c r="CH566" s="3">
        <f>+IF(AVANCE[[#This Row],[VENTANAS]]=AT$2,100%,AVANCE[[#This Row],[VENTANAS]])</f>
        <v>0</v>
      </c>
      <c r="CI566" s="3">
        <f>+IF(AVANCE[[#This Row],[PUERTAS ACCESO - LOGIA - BANO]]=AU$2,100%,AVANCE[[#This Row],[PUERTAS ACCESO - LOGIA - BANO]])</f>
        <v>0</v>
      </c>
      <c r="CJ566" s="3">
        <f>+IF(AVANCE[[#This Row],[CERRADURAS]]=AV$2,100%,AVANCE[[#This Row],[CERRADURAS]])</f>
        <v>0</v>
      </c>
      <c r="CK566" s="3">
        <f>+IF(AVANCE[[#This Row],[REVESTIMIENTO INTERIOR ZONA SECA]]=AW$2,100%,AVANCE[[#This Row],[REVESTIMIENTO INTERIOR ZONA SECA]])</f>
        <v>0</v>
      </c>
      <c r="CL566" s="3">
        <f>+IF(AVANCE[[#This Row],[REVESTIMIENTO INTERIOR ZONAS HUMEDAS]]=AX$2,100%,AVANCE[[#This Row],[REVESTIMIENTO INTERIOR ZONAS HUMEDAS]])</f>
        <v>0</v>
      </c>
      <c r="CM566" s="3">
        <f>+IF(AVANCE[[#This Row],[MEMBRANA CIELO]]=AY$2,100%,AVANCE[[#This Row],[MEMBRANA CIELO]])</f>
        <v>0</v>
      </c>
      <c r="CN566" s="3">
        <f>+IF(AVANCE[[#This Row],[LIMPIEZA FINAL]]=AZ$2,100%,AVANCE[[#This Row],[LIMPIEZA FINAL]])</f>
        <v>0</v>
      </c>
      <c r="CO566" s="3">
        <f>+IF(AVANCE[[#This Row],[PUERTAS DORMITORIO]]=BA$2,100%,AVANCE[[#This Row],[PUERTAS DORMITORIO]])</f>
        <v>0</v>
      </c>
      <c r="CP566" s="3">
        <f>+IF(AVANCE[[#This Row],[REVESTIMIENTO INTERIOR BANO]]=BB$2,100%,AVANCE[[#This Row],[REVESTIMIENTO INTERIOR BANO]])</f>
        <v>0</v>
      </c>
      <c r="CQ566" s="3">
        <f>+IF(AVANCE[[#This Row],[MUEBLE LAVAPLATOS]]=BC$2,100%,AVANCE[[#This Row],[MUEBLE LAVAPLATOS]])</f>
        <v>0</v>
      </c>
      <c r="CR566" s="3">
        <f>+IF(AVANCE[[#This Row],[IMPERMEABILIZACION BANO - COCINA LOGIA]]=BD$2,100%,AVANCE[[#This Row],[IMPERMEABILIZACION BANO - COCINA LOGIA]])</f>
        <v>0</v>
      </c>
      <c r="CS566" s="40">
        <f ca="1">+IF(AVANCE[[#This Row],[ESTADO MODULO]]="PENDIENTE",(TODAY()-AVANCE[[#This Row],[FECHA TERMINO  PLANIFICADO]]),0)</f>
        <v>0</v>
      </c>
      <c r="CT566" s="41" t="str" cm="1">
        <f t="array" ref="CT566">_xlfn.TEXTJOIN(" | ",TRUE,IF(SUMPRODUCT((BG566:CR566&lt;1)*(PARTIDAS!$I$2:$AT$2="OBRA GRUESA"))&gt;0,"OBRA GRUESA: "&amp;_xlfn.TEXTJOIN(", ",TRUE,IF((BG566:CR566&lt;1)*(PARTIDAS!$I$2:$AT$2="OBRA GRUESA"),PARTIDAS!$I$1:$AT$1,"")),""),IF(SUMPRODUCT((BG566:CR566&lt;1)*(PARTIDAS!$I$2:$AT$2="SANITARIOS"))&gt;0,"SANITARIOS: "&amp;_xlfn.TEXTJOIN(", ",TRUE,IF((BG566:CR566&lt;1)*(PARTIDAS!$I$2:$AT$2="SANITARIOS"),PARTIDAS!$I$1:$AT$1,"")),""),IF(SUMPRODUCT((BG566:CR566&lt;1)*(PARTIDAS!$I$2:$AT$2="ELÉCTRICO"))&gt;0,"ELÉCTRICO: "&amp;_xlfn.TEXTJOIN(", ",TRUE,IF((BG566:CR566&lt;1)*(PARTIDAS!$I$2:$AT$2="ELÉCTRICO"),PARTIDAS!$I$1:$AT$1,"")),""),IF(SUMPRODUCT((BG566:CR566&lt;1)*(PARTIDAS!$I$2:$AT$2="TERMINACIONES"))&gt;0,"TERMINACIONES: "&amp;_xlfn.TEXTJOIN(", ",TRUE,IF((BG566:CR566&lt;1)*(PARTIDAS!$I$2:$AT$2="TERMINACIONES"),PARTIDAS!$I$1:$AT$1,"")),""))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6" s="43" t="str" cm="1">
        <f t="array" ref="CU566">_xlfn.TEXTJOIN(", ",TRUE,IF(SUMPRODUCT((BG566:CR566&lt;1)*(PARTIDAS!$I$2:$AT$2="OBRA GRUESA"))&gt;0,"OBRA GRUESA",""),IF(SUMPRODUCT((BG566:CR566&lt;1)*(PARTIDAS!$I$2:$AT$2="SANITARIOS"))&gt;0,"SANITARIOS",""),IF(SUMPRODUCT((BG566:CR566&lt;1)*(PARTIDAS!$I$2:$AT$2="ELÉCTRICO"))&gt;0,"ELÉCTRICO",""),IF(SUMPRODUCT((BG566:CR566&lt;1)*(PARTIDAS!$I$2:$AT$2="TERMINACIONES"))&gt;0,"TERMINACIONES",""))</f>
        <v>OBRA GRUESA, SANITARIOS, ELÉCTRICO, TERMINACIONES</v>
      </c>
      <c r="CV566" s="44" cm="1">
        <f t="array" ref="CV566">SUMPRODUCT(--(BG566:CR566&lt;1))</f>
        <v>38</v>
      </c>
    </row>
    <row r="567" spans="1:100" hidden="1" x14ac:dyDescent="0.25">
      <c r="A567" t="s">
        <v>619</v>
      </c>
      <c r="B567" t="s">
        <v>641</v>
      </c>
      <c r="C567">
        <v>2302600566</v>
      </c>
      <c r="D567" t="s">
        <v>60</v>
      </c>
      <c r="E567" s="2">
        <v>0</v>
      </c>
      <c r="F567" s="1">
        <v>46423</v>
      </c>
      <c r="G567" s="1"/>
      <c r="H567" s="1">
        <v>0</v>
      </c>
      <c r="I567" s="1">
        <v>46453</v>
      </c>
      <c r="J567">
        <v>46230</v>
      </c>
      <c r="K567" s="1"/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>
        <v>31.32</v>
      </c>
      <c r="BF567" s="3" t="str">
        <f>+IF(AVANCE[[#This Row],[% AVANCE]]=100%,"MODULO TERMINADO",IF(AVANCE[[#This Row],[FECHA INICIO REAL]]="","MODULO NO INICIADO","PENDIENTE"))</f>
        <v>MODULO NO INICIADO</v>
      </c>
      <c r="BG567" s="3">
        <f>+IF(AVANCE[[#This Row],[VENTANAS]]=8.10810810810811%,100%,AVANCE[[#This Row],[VENTANAS]])</f>
        <v>0</v>
      </c>
      <c r="BH567" s="3">
        <f>+IF(AVANCE[[#This Row],[PISO]]=N$2,100%,AVANCE[[#This Row],[PISO]])</f>
        <v>0</v>
      </c>
      <c r="BI567" s="3">
        <f>+IF(AVANCE[[#This Row],[TABIQUES]]=O$2,100%,AVANCE[[#This Row],[TABIQUES]])</f>
        <v>0</v>
      </c>
      <c r="BJ567" s="3">
        <f>+IF(AVANCE[[#This Row],[MUROS]]=P$2,100%,AVANCE[[#This Row],[MUROS]])</f>
        <v>0</v>
      </c>
      <c r="BK567" s="3">
        <f>+IF(AVANCE[[#This Row],[CIELO]]=Q$2,100%,AVANCE[[#This Row],[CIELO]])</f>
        <v>0</v>
      </c>
      <c r="BL567" s="3">
        <f>+IF(AVANCE[[#This Row],[BALCÓN]]=R$2,100%,AVANCE[[#This Row],[BALCÓN]])</f>
        <v>0</v>
      </c>
      <c r="BM567" s="3">
        <f>+IF(AVANCE[[#This Row],[RED ALCANTARILLADO]]=U$2,100%,AVANCE[[#This Row],[RED ALCANTARILLADO]])</f>
        <v>0</v>
      </c>
      <c r="BN567" s="3">
        <f>+IF(AVANCE[[#This Row],[RED DE AGUA]]=V$2,100%,AVANCE[[#This Row],[RED DE AGUA]])</f>
        <v>0</v>
      </c>
      <c r="BO567" s="3">
        <f>+IF(AVANCE[[#This Row],[VENTILACIONES]]=W$2,100%,AVANCE[[#This Row],[VENTILACIONES]])</f>
        <v>0</v>
      </c>
      <c r="BP567" s="3">
        <f>+IF(AVANCE[[#This Row],[TINA]]=X$2,100%,AVANCE[[#This Row],[TINA]])</f>
        <v>0</v>
      </c>
      <c r="BQ567" s="3">
        <f>+IF(AVANCE[[#This Row],[WC]]=Y$2,100%,AVANCE[[#This Row],[WC]])</f>
        <v>0</v>
      </c>
      <c r="BR567" s="3">
        <f>+IF(AVANCE[[#This Row],[LAVAMANOS / LAVAPLATOS / LAVADERO]]=Z$2,100%,AVANCE[[#This Row],[LAVAMANOS / LAVAPLATOS / LAVADERO]])</f>
        <v>0</v>
      </c>
      <c r="BS567" s="3">
        <f>+IF(AVANCE[[#This Row],[CANALIZACIÓN]]=AC$2,100%,AVANCE[[#This Row],[CANALIZACIÓN]])</f>
        <v>0</v>
      </c>
      <c r="BT567" s="3">
        <f>+IF(AVANCE[[#This Row],[CABLEADO]]=AD$2,100%,AVANCE[[#This Row],[CABLEADO]])</f>
        <v>0</v>
      </c>
      <c r="BU567" s="3">
        <f>+IF(AVANCE[[#This Row],[ARTEFACTOS]]=AE$2,100%,AVANCE[[#This Row],[ARTEFACTOS]])</f>
        <v>0</v>
      </c>
      <c r="BV567" s="3">
        <f>+IF(AVANCE[[#This Row],[TABLERO]]=AF$2,100%,AVANCE[[#This Row],[TABLERO]])</f>
        <v>0</v>
      </c>
      <c r="BW567" s="3">
        <f>+IF(AVANCE[[#This Row],[CAJA PAU]]=AG$2,100%,AVANCE[[#This Row],[CAJA PAU]])</f>
        <v>0</v>
      </c>
      <c r="BX567" s="3">
        <f>+IF(AVANCE[[#This Row],[INSTALACION VINILICO]]=AJ$2,100%,AVANCE[[#This Row],[INSTALACION VINILICO]])</f>
        <v>0</v>
      </c>
      <c r="BY567" s="3">
        <f>+IF(AVANCE[[#This Row],[OSB CUBIERTA]]=AK$2,100%,AVANCE[[#This Row],[OSB CUBIERTA]])</f>
        <v>0</v>
      </c>
      <c r="BZ567" s="3">
        <f>+IF(AVANCE[[#This Row],[BARANDA BALCON]]=AL$2,100%,AVANCE[[#This Row],[BARANDA BALCON]])</f>
        <v>0</v>
      </c>
      <c r="CA567" s="3">
        <f>+IF(AVANCE[[#This Row],[OSB EXTERIOR]]=AM$2,100%,AVANCE[[#This Row],[OSB EXTERIOR]])</f>
        <v>0</v>
      </c>
      <c r="CB567" s="3">
        <f>+IF(AVANCE[[#This Row],[SMART PANEL]]=AN$2,100%,AVANCE[[#This Row],[SMART PANEL]])</f>
        <v>0</v>
      </c>
      <c r="CC567" s="3">
        <f>+IF(AVANCE[[#This Row],[PINTURA EXTERIOR]]=AO$2,100%,AVANCE[[#This Row],[PINTURA EXTERIOR]])</f>
        <v>0</v>
      </c>
      <c r="CD567" s="3">
        <f>+IF(AVANCE[[#This Row],[ZOCALOS LOGIA]]=AP$2,100%,AVANCE[[#This Row],[ZOCALOS LOGIA]])</f>
        <v>0</v>
      </c>
      <c r="CE567" s="3">
        <f>+IF(AVANCE[[#This Row],[MOLDURAS]]=AQ$2,100%,AVANCE[[#This Row],[MOLDURAS]])</f>
        <v>0</v>
      </c>
      <c r="CF567" s="3">
        <f>+IF(AVANCE[[#This Row],[PILASTREO]]=AR$2,100%,AVANCE[[#This Row],[PILASTREO]])</f>
        <v>0</v>
      </c>
      <c r="CG567" s="3">
        <f>+IF(AVANCE[[#This Row],[CELOSIAS]]=AS$2,100%,AVANCE[[#This Row],[CELOSIAS]])</f>
        <v>0</v>
      </c>
      <c r="CH567" s="3">
        <f>+IF(AVANCE[[#This Row],[VENTANAS]]=AT$2,100%,AVANCE[[#This Row],[VENTANAS]])</f>
        <v>0</v>
      </c>
      <c r="CI567" s="3">
        <f>+IF(AVANCE[[#This Row],[PUERTAS ACCESO - LOGIA - BANO]]=AU$2,100%,AVANCE[[#This Row],[PUERTAS ACCESO - LOGIA - BANO]])</f>
        <v>0</v>
      </c>
      <c r="CJ567" s="3">
        <f>+IF(AVANCE[[#This Row],[CERRADURAS]]=AV$2,100%,AVANCE[[#This Row],[CERRADURAS]])</f>
        <v>0</v>
      </c>
      <c r="CK567" s="3">
        <f>+IF(AVANCE[[#This Row],[REVESTIMIENTO INTERIOR ZONA SECA]]=AW$2,100%,AVANCE[[#This Row],[REVESTIMIENTO INTERIOR ZONA SECA]])</f>
        <v>0</v>
      </c>
      <c r="CL567" s="3">
        <f>+IF(AVANCE[[#This Row],[REVESTIMIENTO INTERIOR ZONAS HUMEDAS]]=AX$2,100%,AVANCE[[#This Row],[REVESTIMIENTO INTERIOR ZONAS HUMEDAS]])</f>
        <v>0</v>
      </c>
      <c r="CM567" s="3">
        <f>+IF(AVANCE[[#This Row],[MEMBRANA CIELO]]=AY$2,100%,AVANCE[[#This Row],[MEMBRANA CIELO]])</f>
        <v>0</v>
      </c>
      <c r="CN567" s="3">
        <f>+IF(AVANCE[[#This Row],[LIMPIEZA FINAL]]=AZ$2,100%,AVANCE[[#This Row],[LIMPIEZA FINAL]])</f>
        <v>0</v>
      </c>
      <c r="CO567" s="3">
        <f>+IF(AVANCE[[#This Row],[PUERTAS DORMITORIO]]=BA$2,100%,AVANCE[[#This Row],[PUERTAS DORMITORIO]])</f>
        <v>0</v>
      </c>
      <c r="CP567" s="3">
        <f>+IF(AVANCE[[#This Row],[REVESTIMIENTO INTERIOR BANO]]=BB$2,100%,AVANCE[[#This Row],[REVESTIMIENTO INTERIOR BANO]])</f>
        <v>0</v>
      </c>
      <c r="CQ567" s="3">
        <f>+IF(AVANCE[[#This Row],[MUEBLE LAVAPLATOS]]=BC$2,100%,AVANCE[[#This Row],[MUEBLE LAVAPLATOS]])</f>
        <v>0</v>
      </c>
      <c r="CR567" s="3">
        <f>+IF(AVANCE[[#This Row],[IMPERMEABILIZACION BANO - COCINA LOGIA]]=BD$2,100%,AVANCE[[#This Row],[IMPERMEABILIZACION BANO - COCINA LOGIA]])</f>
        <v>0</v>
      </c>
      <c r="CS567" s="40">
        <f ca="1">+IF(AVANCE[[#This Row],[ESTADO MODULO]]="PENDIENTE",(TODAY()-AVANCE[[#This Row],[FECHA TERMINO  PLANIFICADO]]),0)</f>
        <v>0</v>
      </c>
      <c r="CT567" s="41" t="str" cm="1">
        <f t="array" ref="CT567">_xlfn.TEXTJOIN(" | ",TRUE,IF(SUMPRODUCT((BG567:CR567&lt;1)*(PARTIDAS!$I$2:$AT$2="OBRA GRUESA"))&gt;0,"OBRA GRUESA: "&amp;_xlfn.TEXTJOIN(", ",TRUE,IF((BG567:CR567&lt;1)*(PARTIDAS!$I$2:$AT$2="OBRA GRUESA"),PARTIDAS!$I$1:$AT$1,"")),""),IF(SUMPRODUCT((BG567:CR567&lt;1)*(PARTIDAS!$I$2:$AT$2="SANITARIOS"))&gt;0,"SANITARIOS: "&amp;_xlfn.TEXTJOIN(", ",TRUE,IF((BG567:CR567&lt;1)*(PARTIDAS!$I$2:$AT$2="SANITARIOS"),PARTIDAS!$I$1:$AT$1,"")),""),IF(SUMPRODUCT((BG567:CR567&lt;1)*(PARTIDAS!$I$2:$AT$2="ELÉCTRICO"))&gt;0,"ELÉCTRICO: "&amp;_xlfn.TEXTJOIN(", ",TRUE,IF((BG567:CR567&lt;1)*(PARTIDAS!$I$2:$AT$2="ELÉCTRICO"),PARTIDAS!$I$1:$AT$1,"")),""),IF(SUMPRODUCT((BG567:CR567&lt;1)*(PARTIDAS!$I$2:$AT$2="TERMINACIONES"))&gt;0,"TERMINACIONES: "&amp;_xlfn.TEXTJOIN(", ",TRUE,IF((BG567:CR567&lt;1)*(PARTIDAS!$I$2:$AT$2="TERMINACIONES"),PARTIDAS!$I$1:$AT$1,"")),""))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7" s="43" t="str" cm="1">
        <f t="array" ref="CU567">_xlfn.TEXTJOIN(", ",TRUE,IF(SUMPRODUCT((BG567:CR567&lt;1)*(PARTIDAS!$I$2:$AT$2="OBRA GRUESA"))&gt;0,"OBRA GRUESA",""),IF(SUMPRODUCT((BG567:CR567&lt;1)*(PARTIDAS!$I$2:$AT$2="SANITARIOS"))&gt;0,"SANITARIOS",""),IF(SUMPRODUCT((BG567:CR567&lt;1)*(PARTIDAS!$I$2:$AT$2="ELÉCTRICO"))&gt;0,"ELÉCTRICO",""),IF(SUMPRODUCT((BG567:CR567&lt;1)*(PARTIDAS!$I$2:$AT$2="TERMINACIONES"))&gt;0,"TERMINACIONES",""))</f>
        <v>OBRA GRUESA, SANITARIOS, ELÉCTRICO, TERMINACIONES</v>
      </c>
      <c r="CV567" s="44" cm="1">
        <f t="array" ref="CV567">SUMPRODUCT(--(BG567:CR567&lt;1))</f>
        <v>38</v>
      </c>
    </row>
    <row r="568" spans="1:100" hidden="1" x14ac:dyDescent="0.25">
      <c r="A568" t="s">
        <v>619</v>
      </c>
      <c r="B568" t="s">
        <v>642</v>
      </c>
      <c r="C568">
        <v>2302600567</v>
      </c>
      <c r="D568" t="s">
        <v>60</v>
      </c>
      <c r="E568" s="2">
        <v>0</v>
      </c>
      <c r="F568" s="1">
        <v>46423</v>
      </c>
      <c r="G568" s="1"/>
      <c r="H568" s="1">
        <v>0</v>
      </c>
      <c r="I568" s="1">
        <v>46453</v>
      </c>
      <c r="J568">
        <v>46230</v>
      </c>
      <c r="K568" s="1"/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>
        <v>31.32</v>
      </c>
      <c r="BF568" s="3" t="str">
        <f>+IF(AVANCE[[#This Row],[% AVANCE]]=100%,"MODULO TERMINADO",IF(AVANCE[[#This Row],[FECHA INICIO REAL]]="","MODULO NO INICIADO","PENDIENTE"))</f>
        <v>MODULO NO INICIADO</v>
      </c>
      <c r="BG568" s="3">
        <f>+IF(AVANCE[[#This Row],[VENTANAS]]=8.10810810810811%,100%,AVANCE[[#This Row],[VENTANAS]])</f>
        <v>0</v>
      </c>
      <c r="BH568" s="3">
        <f>+IF(AVANCE[[#This Row],[PISO]]=N$2,100%,AVANCE[[#This Row],[PISO]])</f>
        <v>0</v>
      </c>
      <c r="BI568" s="3">
        <f>+IF(AVANCE[[#This Row],[TABIQUES]]=O$2,100%,AVANCE[[#This Row],[TABIQUES]])</f>
        <v>0</v>
      </c>
      <c r="BJ568" s="3">
        <f>+IF(AVANCE[[#This Row],[MUROS]]=P$2,100%,AVANCE[[#This Row],[MUROS]])</f>
        <v>0</v>
      </c>
      <c r="BK568" s="3">
        <f>+IF(AVANCE[[#This Row],[CIELO]]=Q$2,100%,AVANCE[[#This Row],[CIELO]])</f>
        <v>0</v>
      </c>
      <c r="BL568" s="3">
        <f>+IF(AVANCE[[#This Row],[BALCÓN]]=R$2,100%,AVANCE[[#This Row],[BALCÓN]])</f>
        <v>0</v>
      </c>
      <c r="BM568" s="3">
        <f>+IF(AVANCE[[#This Row],[RED ALCANTARILLADO]]=U$2,100%,AVANCE[[#This Row],[RED ALCANTARILLADO]])</f>
        <v>0</v>
      </c>
      <c r="BN568" s="3">
        <f>+IF(AVANCE[[#This Row],[RED DE AGUA]]=V$2,100%,AVANCE[[#This Row],[RED DE AGUA]])</f>
        <v>0</v>
      </c>
      <c r="BO568" s="3">
        <f>+IF(AVANCE[[#This Row],[VENTILACIONES]]=W$2,100%,AVANCE[[#This Row],[VENTILACIONES]])</f>
        <v>0</v>
      </c>
      <c r="BP568" s="3">
        <f>+IF(AVANCE[[#This Row],[TINA]]=X$2,100%,AVANCE[[#This Row],[TINA]])</f>
        <v>0</v>
      </c>
      <c r="BQ568" s="3">
        <f>+IF(AVANCE[[#This Row],[WC]]=Y$2,100%,AVANCE[[#This Row],[WC]])</f>
        <v>0</v>
      </c>
      <c r="BR568" s="3">
        <f>+IF(AVANCE[[#This Row],[LAVAMANOS / LAVAPLATOS / LAVADERO]]=Z$2,100%,AVANCE[[#This Row],[LAVAMANOS / LAVAPLATOS / LAVADERO]])</f>
        <v>0</v>
      </c>
      <c r="BS568" s="3">
        <f>+IF(AVANCE[[#This Row],[CANALIZACIÓN]]=AC$2,100%,AVANCE[[#This Row],[CANALIZACIÓN]])</f>
        <v>0</v>
      </c>
      <c r="BT568" s="3">
        <f>+IF(AVANCE[[#This Row],[CABLEADO]]=AD$2,100%,AVANCE[[#This Row],[CABLEADO]])</f>
        <v>0</v>
      </c>
      <c r="BU568" s="3">
        <f>+IF(AVANCE[[#This Row],[ARTEFACTOS]]=AE$2,100%,AVANCE[[#This Row],[ARTEFACTOS]])</f>
        <v>0</v>
      </c>
      <c r="BV568" s="3">
        <f>+IF(AVANCE[[#This Row],[TABLERO]]=AF$2,100%,AVANCE[[#This Row],[TABLERO]])</f>
        <v>0</v>
      </c>
      <c r="BW568" s="3">
        <f>+IF(AVANCE[[#This Row],[CAJA PAU]]=AG$2,100%,AVANCE[[#This Row],[CAJA PAU]])</f>
        <v>0</v>
      </c>
      <c r="BX568" s="3">
        <f>+IF(AVANCE[[#This Row],[INSTALACION VINILICO]]=AJ$2,100%,AVANCE[[#This Row],[INSTALACION VINILICO]])</f>
        <v>0</v>
      </c>
      <c r="BY568" s="3">
        <f>+IF(AVANCE[[#This Row],[OSB CUBIERTA]]=AK$2,100%,AVANCE[[#This Row],[OSB CUBIERTA]])</f>
        <v>0</v>
      </c>
      <c r="BZ568" s="3">
        <f>+IF(AVANCE[[#This Row],[BARANDA BALCON]]=AL$2,100%,AVANCE[[#This Row],[BARANDA BALCON]])</f>
        <v>0</v>
      </c>
      <c r="CA568" s="3">
        <f>+IF(AVANCE[[#This Row],[OSB EXTERIOR]]=AM$2,100%,AVANCE[[#This Row],[OSB EXTERIOR]])</f>
        <v>0</v>
      </c>
      <c r="CB568" s="3">
        <f>+IF(AVANCE[[#This Row],[SMART PANEL]]=AN$2,100%,AVANCE[[#This Row],[SMART PANEL]])</f>
        <v>0</v>
      </c>
      <c r="CC568" s="3">
        <f>+IF(AVANCE[[#This Row],[PINTURA EXTERIOR]]=AO$2,100%,AVANCE[[#This Row],[PINTURA EXTERIOR]])</f>
        <v>0</v>
      </c>
      <c r="CD568" s="3">
        <f>+IF(AVANCE[[#This Row],[ZOCALOS LOGIA]]=AP$2,100%,AVANCE[[#This Row],[ZOCALOS LOGIA]])</f>
        <v>0</v>
      </c>
      <c r="CE568" s="3">
        <f>+IF(AVANCE[[#This Row],[MOLDURAS]]=AQ$2,100%,AVANCE[[#This Row],[MOLDURAS]])</f>
        <v>0</v>
      </c>
      <c r="CF568" s="3">
        <f>+IF(AVANCE[[#This Row],[PILASTREO]]=AR$2,100%,AVANCE[[#This Row],[PILASTREO]])</f>
        <v>0</v>
      </c>
      <c r="CG568" s="3">
        <f>+IF(AVANCE[[#This Row],[CELOSIAS]]=AS$2,100%,AVANCE[[#This Row],[CELOSIAS]])</f>
        <v>0</v>
      </c>
      <c r="CH568" s="3">
        <f>+IF(AVANCE[[#This Row],[VENTANAS]]=AT$2,100%,AVANCE[[#This Row],[VENTANAS]])</f>
        <v>0</v>
      </c>
      <c r="CI568" s="3">
        <f>+IF(AVANCE[[#This Row],[PUERTAS ACCESO - LOGIA - BANO]]=AU$2,100%,AVANCE[[#This Row],[PUERTAS ACCESO - LOGIA - BANO]])</f>
        <v>0</v>
      </c>
      <c r="CJ568" s="3">
        <f>+IF(AVANCE[[#This Row],[CERRADURAS]]=AV$2,100%,AVANCE[[#This Row],[CERRADURAS]])</f>
        <v>0</v>
      </c>
      <c r="CK568" s="3">
        <f>+IF(AVANCE[[#This Row],[REVESTIMIENTO INTERIOR ZONA SECA]]=AW$2,100%,AVANCE[[#This Row],[REVESTIMIENTO INTERIOR ZONA SECA]])</f>
        <v>0</v>
      </c>
      <c r="CL568" s="3">
        <f>+IF(AVANCE[[#This Row],[REVESTIMIENTO INTERIOR ZONAS HUMEDAS]]=AX$2,100%,AVANCE[[#This Row],[REVESTIMIENTO INTERIOR ZONAS HUMEDAS]])</f>
        <v>0</v>
      </c>
      <c r="CM568" s="3">
        <f>+IF(AVANCE[[#This Row],[MEMBRANA CIELO]]=AY$2,100%,AVANCE[[#This Row],[MEMBRANA CIELO]])</f>
        <v>0</v>
      </c>
      <c r="CN568" s="3">
        <f>+IF(AVANCE[[#This Row],[LIMPIEZA FINAL]]=AZ$2,100%,AVANCE[[#This Row],[LIMPIEZA FINAL]])</f>
        <v>0</v>
      </c>
      <c r="CO568" s="3">
        <f>+IF(AVANCE[[#This Row],[PUERTAS DORMITORIO]]=BA$2,100%,AVANCE[[#This Row],[PUERTAS DORMITORIO]])</f>
        <v>0</v>
      </c>
      <c r="CP568" s="3">
        <f>+IF(AVANCE[[#This Row],[REVESTIMIENTO INTERIOR BANO]]=BB$2,100%,AVANCE[[#This Row],[REVESTIMIENTO INTERIOR BANO]])</f>
        <v>0</v>
      </c>
      <c r="CQ568" s="3">
        <f>+IF(AVANCE[[#This Row],[MUEBLE LAVAPLATOS]]=BC$2,100%,AVANCE[[#This Row],[MUEBLE LAVAPLATOS]])</f>
        <v>0</v>
      </c>
      <c r="CR568" s="3">
        <f>+IF(AVANCE[[#This Row],[IMPERMEABILIZACION BANO - COCINA LOGIA]]=BD$2,100%,AVANCE[[#This Row],[IMPERMEABILIZACION BANO - COCINA LOGIA]])</f>
        <v>0</v>
      </c>
      <c r="CS568" s="40">
        <f ca="1">+IF(AVANCE[[#This Row],[ESTADO MODULO]]="PENDIENTE",(TODAY()-AVANCE[[#This Row],[FECHA TERMINO  PLANIFICADO]]),0)</f>
        <v>0</v>
      </c>
      <c r="CT568" s="41" t="str" cm="1">
        <f t="array" ref="CT568">_xlfn.TEXTJOIN(" | ",TRUE,IF(SUMPRODUCT((BG568:CR568&lt;1)*(PARTIDAS!$I$2:$AT$2="OBRA GRUESA"))&gt;0,"OBRA GRUESA: "&amp;_xlfn.TEXTJOIN(", ",TRUE,IF((BG568:CR568&lt;1)*(PARTIDAS!$I$2:$AT$2="OBRA GRUESA"),PARTIDAS!$I$1:$AT$1,"")),""),IF(SUMPRODUCT((BG568:CR568&lt;1)*(PARTIDAS!$I$2:$AT$2="SANITARIOS"))&gt;0,"SANITARIOS: "&amp;_xlfn.TEXTJOIN(", ",TRUE,IF((BG568:CR568&lt;1)*(PARTIDAS!$I$2:$AT$2="SANITARIOS"),PARTIDAS!$I$1:$AT$1,"")),""),IF(SUMPRODUCT((BG568:CR568&lt;1)*(PARTIDAS!$I$2:$AT$2="ELÉCTRICO"))&gt;0,"ELÉCTRICO: "&amp;_xlfn.TEXTJOIN(", ",TRUE,IF((BG568:CR568&lt;1)*(PARTIDAS!$I$2:$AT$2="ELÉCTRICO"),PARTIDAS!$I$1:$AT$1,"")),""),IF(SUMPRODUCT((BG568:CR568&lt;1)*(PARTIDAS!$I$2:$AT$2="TERMINACIONES"))&gt;0,"TERMINACIONES: "&amp;_xlfn.TEXTJOIN(", ",TRUE,IF((BG568:CR568&lt;1)*(PARTIDAS!$I$2:$AT$2="TERMINACIONES"),PARTIDAS!$I$1:$AT$1,"")),""))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8" s="43" t="str" cm="1">
        <f t="array" ref="CU568">_xlfn.TEXTJOIN(", ",TRUE,IF(SUMPRODUCT((BG568:CR568&lt;1)*(PARTIDAS!$I$2:$AT$2="OBRA GRUESA"))&gt;0,"OBRA GRUESA",""),IF(SUMPRODUCT((BG568:CR568&lt;1)*(PARTIDAS!$I$2:$AT$2="SANITARIOS"))&gt;0,"SANITARIOS",""),IF(SUMPRODUCT((BG568:CR568&lt;1)*(PARTIDAS!$I$2:$AT$2="ELÉCTRICO"))&gt;0,"ELÉCTRICO",""),IF(SUMPRODUCT((BG568:CR568&lt;1)*(PARTIDAS!$I$2:$AT$2="TERMINACIONES"))&gt;0,"TERMINACIONES",""))</f>
        <v>OBRA GRUESA, SANITARIOS, ELÉCTRICO, TERMINACIONES</v>
      </c>
      <c r="CV568" s="44" cm="1">
        <f t="array" ref="CV568">SUMPRODUCT(--(BG568:CR568&lt;1))</f>
        <v>38</v>
      </c>
    </row>
    <row r="569" spans="1:100" hidden="1" x14ac:dyDescent="0.25">
      <c r="A569" t="s">
        <v>619</v>
      </c>
      <c r="B569" t="s">
        <v>643</v>
      </c>
      <c r="C569">
        <v>2282600568</v>
      </c>
      <c r="D569" t="s">
        <v>58</v>
      </c>
      <c r="E569" s="2">
        <v>0</v>
      </c>
      <c r="F569" s="1">
        <v>46423</v>
      </c>
      <c r="G569" s="1"/>
      <c r="H569" s="1">
        <v>0</v>
      </c>
      <c r="I569" s="1">
        <v>46443</v>
      </c>
      <c r="J569">
        <v>46230</v>
      </c>
      <c r="K569" s="1"/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>
        <v>28.87</v>
      </c>
      <c r="BF569" s="3" t="str">
        <f>+IF(AVANCE[[#This Row],[% AVANCE]]=100%,"MODULO TERMINADO",IF(AVANCE[[#This Row],[FECHA INICIO REAL]]="","MODULO NO INICIADO","PENDIENTE"))</f>
        <v>MODULO NO INICIADO</v>
      </c>
      <c r="BG569" s="3">
        <f>+IF(AVANCE[[#This Row],[VENTANAS]]=8.10810810810811%,100%,AVANCE[[#This Row],[VENTANAS]])</f>
        <v>0</v>
      </c>
      <c r="BH569" s="3">
        <f>+IF(AVANCE[[#This Row],[PISO]]=N$2,100%,AVANCE[[#This Row],[PISO]])</f>
        <v>0</v>
      </c>
      <c r="BI569" s="3">
        <f>+IF(AVANCE[[#This Row],[TABIQUES]]=O$2,100%,AVANCE[[#This Row],[TABIQUES]])</f>
        <v>0</v>
      </c>
      <c r="BJ569" s="3">
        <f>+IF(AVANCE[[#This Row],[MUROS]]=P$2,100%,AVANCE[[#This Row],[MUROS]])</f>
        <v>0</v>
      </c>
      <c r="BK569" s="3">
        <f>+IF(AVANCE[[#This Row],[CIELO]]=Q$2,100%,AVANCE[[#This Row],[CIELO]])</f>
        <v>0</v>
      </c>
      <c r="BL569" s="3">
        <f>+IF(AVANCE[[#This Row],[BALCÓN]]=R$2,100%,AVANCE[[#This Row],[BALCÓN]])</f>
        <v>0</v>
      </c>
      <c r="BM569" s="3">
        <f>+IF(AVANCE[[#This Row],[RED ALCANTARILLADO]]=U$2,100%,AVANCE[[#This Row],[RED ALCANTARILLADO]])</f>
        <v>0</v>
      </c>
      <c r="BN569" s="3">
        <f>+IF(AVANCE[[#This Row],[RED DE AGUA]]=V$2,100%,AVANCE[[#This Row],[RED DE AGUA]])</f>
        <v>0</v>
      </c>
      <c r="BO569" s="3">
        <f>+IF(AVANCE[[#This Row],[VENTILACIONES]]=W$2,100%,AVANCE[[#This Row],[VENTILACIONES]])</f>
        <v>0</v>
      </c>
      <c r="BP569" s="3">
        <f>+IF(AVANCE[[#This Row],[TINA]]=X$2,100%,AVANCE[[#This Row],[TINA]])</f>
        <v>0</v>
      </c>
      <c r="BQ569" s="3">
        <f>+IF(AVANCE[[#This Row],[WC]]=Y$2,100%,AVANCE[[#This Row],[WC]])</f>
        <v>0</v>
      </c>
      <c r="BR569" s="3">
        <f>+IF(AVANCE[[#This Row],[LAVAMANOS / LAVAPLATOS / LAVADERO]]=Z$2,100%,AVANCE[[#This Row],[LAVAMANOS / LAVAPLATOS / LAVADERO]])</f>
        <v>0</v>
      </c>
      <c r="BS569" s="3">
        <f>+IF(AVANCE[[#This Row],[CANALIZACIÓN]]=AC$2,100%,AVANCE[[#This Row],[CANALIZACIÓN]])</f>
        <v>0</v>
      </c>
      <c r="BT569" s="3">
        <f>+IF(AVANCE[[#This Row],[CABLEADO]]=AD$2,100%,AVANCE[[#This Row],[CABLEADO]])</f>
        <v>0</v>
      </c>
      <c r="BU569" s="3">
        <f>+IF(AVANCE[[#This Row],[ARTEFACTOS]]=AE$2,100%,AVANCE[[#This Row],[ARTEFACTOS]])</f>
        <v>0</v>
      </c>
      <c r="BV569" s="3">
        <f>+IF(AVANCE[[#This Row],[TABLERO]]=AF$2,100%,AVANCE[[#This Row],[TABLERO]])</f>
        <v>0</v>
      </c>
      <c r="BW569" s="3">
        <f>+IF(AVANCE[[#This Row],[CAJA PAU]]=AG$2,100%,AVANCE[[#This Row],[CAJA PAU]])</f>
        <v>0</v>
      </c>
      <c r="BX569" s="3">
        <f>+IF(AVANCE[[#This Row],[INSTALACION VINILICO]]=AJ$2,100%,AVANCE[[#This Row],[INSTALACION VINILICO]])</f>
        <v>0</v>
      </c>
      <c r="BY569" s="3">
        <f>+IF(AVANCE[[#This Row],[OSB CUBIERTA]]=AK$2,100%,AVANCE[[#This Row],[OSB CUBIERTA]])</f>
        <v>0</v>
      </c>
      <c r="BZ569" s="3">
        <f>+IF(AVANCE[[#This Row],[BARANDA BALCON]]=AL$2,100%,AVANCE[[#This Row],[BARANDA BALCON]])</f>
        <v>0</v>
      </c>
      <c r="CA569" s="3">
        <f>+IF(AVANCE[[#This Row],[OSB EXTERIOR]]=AM$2,100%,AVANCE[[#This Row],[OSB EXTERIOR]])</f>
        <v>0</v>
      </c>
      <c r="CB569" s="3">
        <f>+IF(AVANCE[[#This Row],[SMART PANEL]]=AN$2,100%,AVANCE[[#This Row],[SMART PANEL]])</f>
        <v>0</v>
      </c>
      <c r="CC569" s="3">
        <f>+IF(AVANCE[[#This Row],[PINTURA EXTERIOR]]=AO$2,100%,AVANCE[[#This Row],[PINTURA EXTERIOR]])</f>
        <v>0</v>
      </c>
      <c r="CD569" s="3">
        <f>+IF(AVANCE[[#This Row],[ZOCALOS LOGIA]]=AP$2,100%,AVANCE[[#This Row],[ZOCALOS LOGIA]])</f>
        <v>0</v>
      </c>
      <c r="CE569" s="3">
        <f>+IF(AVANCE[[#This Row],[MOLDURAS]]=AQ$2,100%,AVANCE[[#This Row],[MOLDURAS]])</f>
        <v>0</v>
      </c>
      <c r="CF569" s="3">
        <f>+IF(AVANCE[[#This Row],[PILASTREO]]=AR$2,100%,AVANCE[[#This Row],[PILASTREO]])</f>
        <v>0</v>
      </c>
      <c r="CG569" s="3">
        <f>+IF(AVANCE[[#This Row],[CELOSIAS]]=AS$2,100%,AVANCE[[#This Row],[CELOSIAS]])</f>
        <v>0</v>
      </c>
      <c r="CH569" s="3">
        <f>+IF(AVANCE[[#This Row],[VENTANAS]]=AT$2,100%,AVANCE[[#This Row],[VENTANAS]])</f>
        <v>0</v>
      </c>
      <c r="CI569" s="3">
        <f>+IF(AVANCE[[#This Row],[PUERTAS ACCESO - LOGIA - BANO]]=AU$2,100%,AVANCE[[#This Row],[PUERTAS ACCESO - LOGIA - BANO]])</f>
        <v>0</v>
      </c>
      <c r="CJ569" s="3">
        <f>+IF(AVANCE[[#This Row],[CERRADURAS]]=AV$2,100%,AVANCE[[#This Row],[CERRADURAS]])</f>
        <v>0</v>
      </c>
      <c r="CK569" s="3">
        <f>+IF(AVANCE[[#This Row],[REVESTIMIENTO INTERIOR ZONA SECA]]=AW$2,100%,AVANCE[[#This Row],[REVESTIMIENTO INTERIOR ZONA SECA]])</f>
        <v>0</v>
      </c>
      <c r="CL569" s="3">
        <f>+IF(AVANCE[[#This Row],[REVESTIMIENTO INTERIOR ZONAS HUMEDAS]]=AX$2,100%,AVANCE[[#This Row],[REVESTIMIENTO INTERIOR ZONAS HUMEDAS]])</f>
        <v>0</v>
      </c>
      <c r="CM569" s="3">
        <f>+IF(AVANCE[[#This Row],[MEMBRANA CIELO]]=AY$2,100%,AVANCE[[#This Row],[MEMBRANA CIELO]])</f>
        <v>0</v>
      </c>
      <c r="CN569" s="3">
        <f>+IF(AVANCE[[#This Row],[LIMPIEZA FINAL]]=AZ$2,100%,AVANCE[[#This Row],[LIMPIEZA FINAL]])</f>
        <v>0</v>
      </c>
      <c r="CO569" s="3">
        <f>+IF(AVANCE[[#This Row],[PUERTAS DORMITORIO]]=BA$2,100%,AVANCE[[#This Row],[PUERTAS DORMITORIO]])</f>
        <v>0</v>
      </c>
      <c r="CP569" s="3">
        <f>+IF(AVANCE[[#This Row],[REVESTIMIENTO INTERIOR BANO]]=BB$2,100%,AVANCE[[#This Row],[REVESTIMIENTO INTERIOR BANO]])</f>
        <v>0</v>
      </c>
      <c r="CQ569" s="3">
        <f>+IF(AVANCE[[#This Row],[MUEBLE LAVAPLATOS]]=BC$2,100%,AVANCE[[#This Row],[MUEBLE LAVAPLATOS]])</f>
        <v>0</v>
      </c>
      <c r="CR569" s="3">
        <f>+IF(AVANCE[[#This Row],[IMPERMEABILIZACION BANO - COCINA LOGIA]]=BD$2,100%,AVANCE[[#This Row],[IMPERMEABILIZACION BANO - COCINA LOGIA]])</f>
        <v>0</v>
      </c>
      <c r="CS569" s="40">
        <f ca="1">+IF(AVANCE[[#This Row],[ESTADO MODULO]]="PENDIENTE",(TODAY()-AVANCE[[#This Row],[FECHA TERMINO  PLANIFICADO]]),0)</f>
        <v>0</v>
      </c>
      <c r="CT569" s="41" t="str" cm="1">
        <f t="array" ref="CT569">_xlfn.TEXTJOIN(" | ",TRUE,IF(SUMPRODUCT((BG569:CR569&lt;1)*(PARTIDAS!$I$2:$AT$2="OBRA GRUESA"))&gt;0,"OBRA GRUESA: "&amp;_xlfn.TEXTJOIN(", ",TRUE,IF((BG569:CR569&lt;1)*(PARTIDAS!$I$2:$AT$2="OBRA GRUESA"),PARTIDAS!$I$1:$AT$1,"")),""),IF(SUMPRODUCT((BG569:CR569&lt;1)*(PARTIDAS!$I$2:$AT$2="SANITARIOS"))&gt;0,"SANITARIOS: "&amp;_xlfn.TEXTJOIN(", ",TRUE,IF((BG569:CR569&lt;1)*(PARTIDAS!$I$2:$AT$2="SANITARIOS"),PARTIDAS!$I$1:$AT$1,"")),""),IF(SUMPRODUCT((BG569:CR569&lt;1)*(PARTIDAS!$I$2:$AT$2="ELÉCTRICO"))&gt;0,"ELÉCTRICO: "&amp;_xlfn.TEXTJOIN(", ",TRUE,IF((BG569:CR569&lt;1)*(PARTIDAS!$I$2:$AT$2="ELÉCTRICO"),PARTIDAS!$I$1:$AT$1,"")),""),IF(SUMPRODUCT((BG569:CR569&lt;1)*(PARTIDAS!$I$2:$AT$2="TERMINACIONES"))&gt;0,"TERMINACIONES: "&amp;_xlfn.TEXTJOIN(", ",TRUE,IF((BG569:CR569&lt;1)*(PARTIDAS!$I$2:$AT$2="TERMINACIONES"),PARTIDAS!$I$1:$AT$1,"")),""))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69" s="43" t="str" cm="1">
        <f t="array" ref="CU569">_xlfn.TEXTJOIN(", ",TRUE,IF(SUMPRODUCT((BG569:CR569&lt;1)*(PARTIDAS!$I$2:$AT$2="OBRA GRUESA"))&gt;0,"OBRA GRUESA",""),IF(SUMPRODUCT((BG569:CR569&lt;1)*(PARTIDAS!$I$2:$AT$2="SANITARIOS"))&gt;0,"SANITARIOS",""),IF(SUMPRODUCT((BG569:CR569&lt;1)*(PARTIDAS!$I$2:$AT$2="ELÉCTRICO"))&gt;0,"ELÉCTRICO",""),IF(SUMPRODUCT((BG569:CR569&lt;1)*(PARTIDAS!$I$2:$AT$2="TERMINACIONES"))&gt;0,"TERMINACIONES",""))</f>
        <v>OBRA GRUESA, SANITARIOS, ELÉCTRICO, TERMINACIONES</v>
      </c>
      <c r="CV569" s="44" cm="1">
        <f t="array" ref="CV569">SUMPRODUCT(--(BG569:CR569&lt;1))</f>
        <v>38</v>
      </c>
    </row>
    <row r="570" spans="1:100" hidden="1" x14ac:dyDescent="0.25">
      <c r="A570" t="s">
        <v>619</v>
      </c>
      <c r="B570" t="s">
        <v>644</v>
      </c>
      <c r="C570">
        <v>2282600569</v>
      </c>
      <c r="D570" t="s">
        <v>58</v>
      </c>
      <c r="E570" s="2">
        <v>0</v>
      </c>
      <c r="F570" s="1">
        <v>46426</v>
      </c>
      <c r="G570" s="1"/>
      <c r="H570" s="1">
        <v>0</v>
      </c>
      <c r="I570" s="1">
        <v>46446</v>
      </c>
      <c r="J570">
        <v>46230</v>
      </c>
      <c r="K570" s="1"/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>
        <v>28.87</v>
      </c>
      <c r="BF570" s="3" t="str">
        <f>+IF(AVANCE[[#This Row],[% AVANCE]]=100%,"MODULO TERMINADO",IF(AVANCE[[#This Row],[FECHA INICIO REAL]]="","MODULO NO INICIADO","PENDIENTE"))</f>
        <v>MODULO NO INICIADO</v>
      </c>
      <c r="BG570" s="3">
        <f>+IF(AVANCE[[#This Row],[VENTANAS]]=8.10810810810811%,100%,AVANCE[[#This Row],[VENTANAS]])</f>
        <v>0</v>
      </c>
      <c r="BH570" s="3">
        <f>+IF(AVANCE[[#This Row],[PISO]]=N$2,100%,AVANCE[[#This Row],[PISO]])</f>
        <v>0</v>
      </c>
      <c r="BI570" s="3">
        <f>+IF(AVANCE[[#This Row],[TABIQUES]]=O$2,100%,AVANCE[[#This Row],[TABIQUES]])</f>
        <v>0</v>
      </c>
      <c r="BJ570" s="3">
        <f>+IF(AVANCE[[#This Row],[MUROS]]=P$2,100%,AVANCE[[#This Row],[MUROS]])</f>
        <v>0</v>
      </c>
      <c r="BK570" s="3">
        <f>+IF(AVANCE[[#This Row],[CIELO]]=Q$2,100%,AVANCE[[#This Row],[CIELO]])</f>
        <v>0</v>
      </c>
      <c r="BL570" s="3">
        <f>+IF(AVANCE[[#This Row],[BALCÓN]]=R$2,100%,AVANCE[[#This Row],[BALCÓN]])</f>
        <v>0</v>
      </c>
      <c r="BM570" s="3">
        <f>+IF(AVANCE[[#This Row],[RED ALCANTARILLADO]]=U$2,100%,AVANCE[[#This Row],[RED ALCANTARILLADO]])</f>
        <v>0</v>
      </c>
      <c r="BN570" s="3">
        <f>+IF(AVANCE[[#This Row],[RED DE AGUA]]=V$2,100%,AVANCE[[#This Row],[RED DE AGUA]])</f>
        <v>0</v>
      </c>
      <c r="BO570" s="3">
        <f>+IF(AVANCE[[#This Row],[VENTILACIONES]]=W$2,100%,AVANCE[[#This Row],[VENTILACIONES]])</f>
        <v>0</v>
      </c>
      <c r="BP570" s="3">
        <f>+IF(AVANCE[[#This Row],[TINA]]=X$2,100%,AVANCE[[#This Row],[TINA]])</f>
        <v>0</v>
      </c>
      <c r="BQ570" s="3">
        <f>+IF(AVANCE[[#This Row],[WC]]=Y$2,100%,AVANCE[[#This Row],[WC]])</f>
        <v>0</v>
      </c>
      <c r="BR570" s="3">
        <f>+IF(AVANCE[[#This Row],[LAVAMANOS / LAVAPLATOS / LAVADERO]]=Z$2,100%,AVANCE[[#This Row],[LAVAMANOS / LAVAPLATOS / LAVADERO]])</f>
        <v>0</v>
      </c>
      <c r="BS570" s="3">
        <f>+IF(AVANCE[[#This Row],[CANALIZACIÓN]]=AC$2,100%,AVANCE[[#This Row],[CANALIZACIÓN]])</f>
        <v>0</v>
      </c>
      <c r="BT570" s="3">
        <f>+IF(AVANCE[[#This Row],[CABLEADO]]=AD$2,100%,AVANCE[[#This Row],[CABLEADO]])</f>
        <v>0</v>
      </c>
      <c r="BU570" s="3">
        <f>+IF(AVANCE[[#This Row],[ARTEFACTOS]]=AE$2,100%,AVANCE[[#This Row],[ARTEFACTOS]])</f>
        <v>0</v>
      </c>
      <c r="BV570" s="3">
        <f>+IF(AVANCE[[#This Row],[TABLERO]]=AF$2,100%,AVANCE[[#This Row],[TABLERO]])</f>
        <v>0</v>
      </c>
      <c r="BW570" s="3">
        <f>+IF(AVANCE[[#This Row],[CAJA PAU]]=AG$2,100%,AVANCE[[#This Row],[CAJA PAU]])</f>
        <v>0</v>
      </c>
      <c r="BX570" s="3">
        <f>+IF(AVANCE[[#This Row],[INSTALACION VINILICO]]=AJ$2,100%,AVANCE[[#This Row],[INSTALACION VINILICO]])</f>
        <v>0</v>
      </c>
      <c r="BY570" s="3">
        <f>+IF(AVANCE[[#This Row],[OSB CUBIERTA]]=AK$2,100%,AVANCE[[#This Row],[OSB CUBIERTA]])</f>
        <v>0</v>
      </c>
      <c r="BZ570" s="3">
        <f>+IF(AVANCE[[#This Row],[BARANDA BALCON]]=AL$2,100%,AVANCE[[#This Row],[BARANDA BALCON]])</f>
        <v>0</v>
      </c>
      <c r="CA570" s="3">
        <f>+IF(AVANCE[[#This Row],[OSB EXTERIOR]]=AM$2,100%,AVANCE[[#This Row],[OSB EXTERIOR]])</f>
        <v>0</v>
      </c>
      <c r="CB570" s="3">
        <f>+IF(AVANCE[[#This Row],[SMART PANEL]]=AN$2,100%,AVANCE[[#This Row],[SMART PANEL]])</f>
        <v>0</v>
      </c>
      <c r="CC570" s="3">
        <f>+IF(AVANCE[[#This Row],[PINTURA EXTERIOR]]=AO$2,100%,AVANCE[[#This Row],[PINTURA EXTERIOR]])</f>
        <v>0</v>
      </c>
      <c r="CD570" s="3">
        <f>+IF(AVANCE[[#This Row],[ZOCALOS LOGIA]]=AP$2,100%,AVANCE[[#This Row],[ZOCALOS LOGIA]])</f>
        <v>0</v>
      </c>
      <c r="CE570" s="3">
        <f>+IF(AVANCE[[#This Row],[MOLDURAS]]=AQ$2,100%,AVANCE[[#This Row],[MOLDURAS]])</f>
        <v>0</v>
      </c>
      <c r="CF570" s="3">
        <f>+IF(AVANCE[[#This Row],[PILASTREO]]=AR$2,100%,AVANCE[[#This Row],[PILASTREO]])</f>
        <v>0</v>
      </c>
      <c r="CG570" s="3">
        <f>+IF(AVANCE[[#This Row],[CELOSIAS]]=AS$2,100%,AVANCE[[#This Row],[CELOSIAS]])</f>
        <v>0</v>
      </c>
      <c r="CH570" s="3">
        <f>+IF(AVANCE[[#This Row],[VENTANAS]]=AT$2,100%,AVANCE[[#This Row],[VENTANAS]])</f>
        <v>0</v>
      </c>
      <c r="CI570" s="3">
        <f>+IF(AVANCE[[#This Row],[PUERTAS ACCESO - LOGIA - BANO]]=AU$2,100%,AVANCE[[#This Row],[PUERTAS ACCESO - LOGIA - BANO]])</f>
        <v>0</v>
      </c>
      <c r="CJ570" s="3">
        <f>+IF(AVANCE[[#This Row],[CERRADURAS]]=AV$2,100%,AVANCE[[#This Row],[CERRADURAS]])</f>
        <v>0</v>
      </c>
      <c r="CK570" s="3">
        <f>+IF(AVANCE[[#This Row],[REVESTIMIENTO INTERIOR ZONA SECA]]=AW$2,100%,AVANCE[[#This Row],[REVESTIMIENTO INTERIOR ZONA SECA]])</f>
        <v>0</v>
      </c>
      <c r="CL570" s="3">
        <f>+IF(AVANCE[[#This Row],[REVESTIMIENTO INTERIOR ZONAS HUMEDAS]]=AX$2,100%,AVANCE[[#This Row],[REVESTIMIENTO INTERIOR ZONAS HUMEDAS]])</f>
        <v>0</v>
      </c>
      <c r="CM570" s="3">
        <f>+IF(AVANCE[[#This Row],[MEMBRANA CIELO]]=AY$2,100%,AVANCE[[#This Row],[MEMBRANA CIELO]])</f>
        <v>0</v>
      </c>
      <c r="CN570" s="3">
        <f>+IF(AVANCE[[#This Row],[LIMPIEZA FINAL]]=AZ$2,100%,AVANCE[[#This Row],[LIMPIEZA FINAL]])</f>
        <v>0</v>
      </c>
      <c r="CO570" s="3">
        <f>+IF(AVANCE[[#This Row],[PUERTAS DORMITORIO]]=BA$2,100%,AVANCE[[#This Row],[PUERTAS DORMITORIO]])</f>
        <v>0</v>
      </c>
      <c r="CP570" s="3">
        <f>+IF(AVANCE[[#This Row],[REVESTIMIENTO INTERIOR BANO]]=BB$2,100%,AVANCE[[#This Row],[REVESTIMIENTO INTERIOR BANO]])</f>
        <v>0</v>
      </c>
      <c r="CQ570" s="3">
        <f>+IF(AVANCE[[#This Row],[MUEBLE LAVAPLATOS]]=BC$2,100%,AVANCE[[#This Row],[MUEBLE LAVAPLATOS]])</f>
        <v>0</v>
      </c>
      <c r="CR570" s="3">
        <f>+IF(AVANCE[[#This Row],[IMPERMEABILIZACION BANO - COCINA LOGIA]]=BD$2,100%,AVANCE[[#This Row],[IMPERMEABILIZACION BANO - COCINA LOGIA]])</f>
        <v>0</v>
      </c>
      <c r="CS570" s="40">
        <f ca="1">+IF(AVANCE[[#This Row],[ESTADO MODULO]]="PENDIENTE",(TODAY()-AVANCE[[#This Row],[FECHA TERMINO  PLANIFICADO]]),0)</f>
        <v>0</v>
      </c>
      <c r="CT570" s="41" t="str" cm="1">
        <f t="array" ref="CT570">_xlfn.TEXTJOIN(" | ",TRUE,IF(SUMPRODUCT((BG570:CR570&lt;1)*(PARTIDAS!$I$2:$AT$2="OBRA GRUESA"))&gt;0,"OBRA GRUESA: "&amp;_xlfn.TEXTJOIN(", ",TRUE,IF((BG570:CR570&lt;1)*(PARTIDAS!$I$2:$AT$2="OBRA GRUESA"),PARTIDAS!$I$1:$AT$1,"")),""),IF(SUMPRODUCT((BG570:CR570&lt;1)*(PARTIDAS!$I$2:$AT$2="SANITARIOS"))&gt;0,"SANITARIOS: "&amp;_xlfn.TEXTJOIN(", ",TRUE,IF((BG570:CR570&lt;1)*(PARTIDAS!$I$2:$AT$2="SANITARIOS"),PARTIDAS!$I$1:$AT$1,"")),""),IF(SUMPRODUCT((BG570:CR570&lt;1)*(PARTIDAS!$I$2:$AT$2="ELÉCTRICO"))&gt;0,"ELÉCTRICO: "&amp;_xlfn.TEXTJOIN(", ",TRUE,IF((BG570:CR570&lt;1)*(PARTIDAS!$I$2:$AT$2="ELÉCTRICO"),PARTIDAS!$I$1:$AT$1,"")),""),IF(SUMPRODUCT((BG570:CR570&lt;1)*(PARTIDAS!$I$2:$AT$2="TERMINACIONES"))&gt;0,"TERMINACIONES: "&amp;_xlfn.TEXTJOIN(", ",TRUE,IF((BG570:CR570&lt;1)*(PARTIDAS!$I$2:$AT$2="TERMINACIONES"),PARTIDAS!$I$1:$AT$1,"")),""))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0" s="43" t="str" cm="1">
        <f t="array" ref="CU570">_xlfn.TEXTJOIN(", ",TRUE,IF(SUMPRODUCT((BG570:CR570&lt;1)*(PARTIDAS!$I$2:$AT$2="OBRA GRUESA"))&gt;0,"OBRA GRUESA",""),IF(SUMPRODUCT((BG570:CR570&lt;1)*(PARTIDAS!$I$2:$AT$2="SANITARIOS"))&gt;0,"SANITARIOS",""),IF(SUMPRODUCT((BG570:CR570&lt;1)*(PARTIDAS!$I$2:$AT$2="ELÉCTRICO"))&gt;0,"ELÉCTRICO",""),IF(SUMPRODUCT((BG570:CR570&lt;1)*(PARTIDAS!$I$2:$AT$2="TERMINACIONES"))&gt;0,"TERMINACIONES",""))</f>
        <v>OBRA GRUESA, SANITARIOS, ELÉCTRICO, TERMINACIONES</v>
      </c>
      <c r="CV570" s="44" cm="1">
        <f t="array" ref="CV570">SUMPRODUCT(--(BG570:CR570&lt;1))</f>
        <v>38</v>
      </c>
    </row>
    <row r="571" spans="1:100" hidden="1" x14ac:dyDescent="0.25">
      <c r="A571" t="s">
        <v>619</v>
      </c>
      <c r="B571" t="s">
        <v>645</v>
      </c>
      <c r="C571">
        <v>2302600570</v>
      </c>
      <c r="D571" t="s">
        <v>60</v>
      </c>
      <c r="E571" s="2">
        <v>0</v>
      </c>
      <c r="F571" s="1">
        <v>46426</v>
      </c>
      <c r="G571" s="1"/>
      <c r="H571" s="1">
        <v>0</v>
      </c>
      <c r="I571" s="1">
        <v>46456</v>
      </c>
      <c r="J571">
        <v>46230</v>
      </c>
      <c r="K571" s="1"/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>
        <v>31.32</v>
      </c>
      <c r="BF571" s="3" t="str">
        <f>+IF(AVANCE[[#This Row],[% AVANCE]]=100%,"MODULO TERMINADO",IF(AVANCE[[#This Row],[FECHA INICIO REAL]]="","MODULO NO INICIADO","PENDIENTE"))</f>
        <v>MODULO NO INICIADO</v>
      </c>
      <c r="BG571" s="3">
        <f>+IF(AVANCE[[#This Row],[VENTANAS]]=8.10810810810811%,100%,AVANCE[[#This Row],[VENTANAS]])</f>
        <v>0</v>
      </c>
      <c r="BH571" s="3">
        <f>+IF(AVANCE[[#This Row],[PISO]]=N$2,100%,AVANCE[[#This Row],[PISO]])</f>
        <v>0</v>
      </c>
      <c r="BI571" s="3">
        <f>+IF(AVANCE[[#This Row],[TABIQUES]]=O$2,100%,AVANCE[[#This Row],[TABIQUES]])</f>
        <v>0</v>
      </c>
      <c r="BJ571" s="3">
        <f>+IF(AVANCE[[#This Row],[MUROS]]=P$2,100%,AVANCE[[#This Row],[MUROS]])</f>
        <v>0</v>
      </c>
      <c r="BK571" s="3">
        <f>+IF(AVANCE[[#This Row],[CIELO]]=Q$2,100%,AVANCE[[#This Row],[CIELO]])</f>
        <v>0</v>
      </c>
      <c r="BL571" s="3">
        <f>+IF(AVANCE[[#This Row],[BALCÓN]]=R$2,100%,AVANCE[[#This Row],[BALCÓN]])</f>
        <v>0</v>
      </c>
      <c r="BM571" s="3">
        <f>+IF(AVANCE[[#This Row],[RED ALCANTARILLADO]]=U$2,100%,AVANCE[[#This Row],[RED ALCANTARILLADO]])</f>
        <v>0</v>
      </c>
      <c r="BN571" s="3">
        <f>+IF(AVANCE[[#This Row],[RED DE AGUA]]=V$2,100%,AVANCE[[#This Row],[RED DE AGUA]])</f>
        <v>0</v>
      </c>
      <c r="BO571" s="3">
        <f>+IF(AVANCE[[#This Row],[VENTILACIONES]]=W$2,100%,AVANCE[[#This Row],[VENTILACIONES]])</f>
        <v>0</v>
      </c>
      <c r="BP571" s="3">
        <f>+IF(AVANCE[[#This Row],[TINA]]=X$2,100%,AVANCE[[#This Row],[TINA]])</f>
        <v>0</v>
      </c>
      <c r="BQ571" s="3">
        <f>+IF(AVANCE[[#This Row],[WC]]=Y$2,100%,AVANCE[[#This Row],[WC]])</f>
        <v>0</v>
      </c>
      <c r="BR571" s="3">
        <f>+IF(AVANCE[[#This Row],[LAVAMANOS / LAVAPLATOS / LAVADERO]]=Z$2,100%,AVANCE[[#This Row],[LAVAMANOS / LAVAPLATOS / LAVADERO]])</f>
        <v>0</v>
      </c>
      <c r="BS571" s="3">
        <f>+IF(AVANCE[[#This Row],[CANALIZACIÓN]]=AC$2,100%,AVANCE[[#This Row],[CANALIZACIÓN]])</f>
        <v>0</v>
      </c>
      <c r="BT571" s="3">
        <f>+IF(AVANCE[[#This Row],[CABLEADO]]=AD$2,100%,AVANCE[[#This Row],[CABLEADO]])</f>
        <v>0</v>
      </c>
      <c r="BU571" s="3">
        <f>+IF(AVANCE[[#This Row],[ARTEFACTOS]]=AE$2,100%,AVANCE[[#This Row],[ARTEFACTOS]])</f>
        <v>0</v>
      </c>
      <c r="BV571" s="3">
        <f>+IF(AVANCE[[#This Row],[TABLERO]]=AF$2,100%,AVANCE[[#This Row],[TABLERO]])</f>
        <v>0</v>
      </c>
      <c r="BW571" s="3">
        <f>+IF(AVANCE[[#This Row],[CAJA PAU]]=AG$2,100%,AVANCE[[#This Row],[CAJA PAU]])</f>
        <v>0</v>
      </c>
      <c r="BX571" s="3">
        <f>+IF(AVANCE[[#This Row],[INSTALACION VINILICO]]=AJ$2,100%,AVANCE[[#This Row],[INSTALACION VINILICO]])</f>
        <v>0</v>
      </c>
      <c r="BY571" s="3">
        <f>+IF(AVANCE[[#This Row],[OSB CUBIERTA]]=AK$2,100%,AVANCE[[#This Row],[OSB CUBIERTA]])</f>
        <v>0</v>
      </c>
      <c r="BZ571" s="3">
        <f>+IF(AVANCE[[#This Row],[BARANDA BALCON]]=AL$2,100%,AVANCE[[#This Row],[BARANDA BALCON]])</f>
        <v>0</v>
      </c>
      <c r="CA571" s="3">
        <f>+IF(AVANCE[[#This Row],[OSB EXTERIOR]]=AM$2,100%,AVANCE[[#This Row],[OSB EXTERIOR]])</f>
        <v>0</v>
      </c>
      <c r="CB571" s="3">
        <f>+IF(AVANCE[[#This Row],[SMART PANEL]]=AN$2,100%,AVANCE[[#This Row],[SMART PANEL]])</f>
        <v>0</v>
      </c>
      <c r="CC571" s="3">
        <f>+IF(AVANCE[[#This Row],[PINTURA EXTERIOR]]=AO$2,100%,AVANCE[[#This Row],[PINTURA EXTERIOR]])</f>
        <v>0</v>
      </c>
      <c r="CD571" s="3">
        <f>+IF(AVANCE[[#This Row],[ZOCALOS LOGIA]]=AP$2,100%,AVANCE[[#This Row],[ZOCALOS LOGIA]])</f>
        <v>0</v>
      </c>
      <c r="CE571" s="3">
        <f>+IF(AVANCE[[#This Row],[MOLDURAS]]=AQ$2,100%,AVANCE[[#This Row],[MOLDURAS]])</f>
        <v>0</v>
      </c>
      <c r="CF571" s="3">
        <f>+IF(AVANCE[[#This Row],[PILASTREO]]=AR$2,100%,AVANCE[[#This Row],[PILASTREO]])</f>
        <v>0</v>
      </c>
      <c r="CG571" s="3">
        <f>+IF(AVANCE[[#This Row],[CELOSIAS]]=AS$2,100%,AVANCE[[#This Row],[CELOSIAS]])</f>
        <v>0</v>
      </c>
      <c r="CH571" s="3">
        <f>+IF(AVANCE[[#This Row],[VENTANAS]]=AT$2,100%,AVANCE[[#This Row],[VENTANAS]])</f>
        <v>0</v>
      </c>
      <c r="CI571" s="3">
        <f>+IF(AVANCE[[#This Row],[PUERTAS ACCESO - LOGIA - BANO]]=AU$2,100%,AVANCE[[#This Row],[PUERTAS ACCESO - LOGIA - BANO]])</f>
        <v>0</v>
      </c>
      <c r="CJ571" s="3">
        <f>+IF(AVANCE[[#This Row],[CERRADURAS]]=AV$2,100%,AVANCE[[#This Row],[CERRADURAS]])</f>
        <v>0</v>
      </c>
      <c r="CK571" s="3">
        <f>+IF(AVANCE[[#This Row],[REVESTIMIENTO INTERIOR ZONA SECA]]=AW$2,100%,AVANCE[[#This Row],[REVESTIMIENTO INTERIOR ZONA SECA]])</f>
        <v>0</v>
      </c>
      <c r="CL571" s="3">
        <f>+IF(AVANCE[[#This Row],[REVESTIMIENTO INTERIOR ZONAS HUMEDAS]]=AX$2,100%,AVANCE[[#This Row],[REVESTIMIENTO INTERIOR ZONAS HUMEDAS]])</f>
        <v>0</v>
      </c>
      <c r="CM571" s="3">
        <f>+IF(AVANCE[[#This Row],[MEMBRANA CIELO]]=AY$2,100%,AVANCE[[#This Row],[MEMBRANA CIELO]])</f>
        <v>0</v>
      </c>
      <c r="CN571" s="3">
        <f>+IF(AVANCE[[#This Row],[LIMPIEZA FINAL]]=AZ$2,100%,AVANCE[[#This Row],[LIMPIEZA FINAL]])</f>
        <v>0</v>
      </c>
      <c r="CO571" s="3">
        <f>+IF(AVANCE[[#This Row],[PUERTAS DORMITORIO]]=BA$2,100%,AVANCE[[#This Row],[PUERTAS DORMITORIO]])</f>
        <v>0</v>
      </c>
      <c r="CP571" s="3">
        <f>+IF(AVANCE[[#This Row],[REVESTIMIENTO INTERIOR BANO]]=BB$2,100%,AVANCE[[#This Row],[REVESTIMIENTO INTERIOR BANO]])</f>
        <v>0</v>
      </c>
      <c r="CQ571" s="3">
        <f>+IF(AVANCE[[#This Row],[MUEBLE LAVAPLATOS]]=BC$2,100%,AVANCE[[#This Row],[MUEBLE LAVAPLATOS]])</f>
        <v>0</v>
      </c>
      <c r="CR571" s="3">
        <f>+IF(AVANCE[[#This Row],[IMPERMEABILIZACION BANO - COCINA LOGIA]]=BD$2,100%,AVANCE[[#This Row],[IMPERMEABILIZACION BANO - COCINA LOGIA]])</f>
        <v>0</v>
      </c>
      <c r="CS571" s="40">
        <f ca="1">+IF(AVANCE[[#This Row],[ESTADO MODULO]]="PENDIENTE",(TODAY()-AVANCE[[#This Row],[FECHA TERMINO  PLANIFICADO]]),0)</f>
        <v>0</v>
      </c>
      <c r="CT571" s="41" t="str" cm="1">
        <f t="array" ref="CT571">_xlfn.TEXTJOIN(" | ",TRUE,IF(SUMPRODUCT((BG571:CR571&lt;1)*(PARTIDAS!$I$2:$AT$2="OBRA GRUESA"))&gt;0,"OBRA GRUESA: "&amp;_xlfn.TEXTJOIN(", ",TRUE,IF((BG571:CR571&lt;1)*(PARTIDAS!$I$2:$AT$2="OBRA GRUESA"),PARTIDAS!$I$1:$AT$1,"")),""),IF(SUMPRODUCT((BG571:CR571&lt;1)*(PARTIDAS!$I$2:$AT$2="SANITARIOS"))&gt;0,"SANITARIOS: "&amp;_xlfn.TEXTJOIN(", ",TRUE,IF((BG571:CR571&lt;1)*(PARTIDAS!$I$2:$AT$2="SANITARIOS"),PARTIDAS!$I$1:$AT$1,"")),""),IF(SUMPRODUCT((BG571:CR571&lt;1)*(PARTIDAS!$I$2:$AT$2="ELÉCTRICO"))&gt;0,"ELÉCTRICO: "&amp;_xlfn.TEXTJOIN(", ",TRUE,IF((BG571:CR571&lt;1)*(PARTIDAS!$I$2:$AT$2="ELÉCTRICO"),PARTIDAS!$I$1:$AT$1,"")),""),IF(SUMPRODUCT((BG571:CR571&lt;1)*(PARTIDAS!$I$2:$AT$2="TERMINACIONES"))&gt;0,"TERMINACIONES: "&amp;_xlfn.TEXTJOIN(", ",TRUE,IF((BG571:CR571&lt;1)*(PARTIDAS!$I$2:$AT$2="TERMINACIONES"),PARTIDAS!$I$1:$AT$1,"")),""))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1" s="43" t="str" cm="1">
        <f t="array" ref="CU571">_xlfn.TEXTJOIN(", ",TRUE,IF(SUMPRODUCT((BG571:CR571&lt;1)*(PARTIDAS!$I$2:$AT$2="OBRA GRUESA"))&gt;0,"OBRA GRUESA",""),IF(SUMPRODUCT((BG571:CR571&lt;1)*(PARTIDAS!$I$2:$AT$2="SANITARIOS"))&gt;0,"SANITARIOS",""),IF(SUMPRODUCT((BG571:CR571&lt;1)*(PARTIDAS!$I$2:$AT$2="ELÉCTRICO"))&gt;0,"ELÉCTRICO",""),IF(SUMPRODUCT((BG571:CR571&lt;1)*(PARTIDAS!$I$2:$AT$2="TERMINACIONES"))&gt;0,"TERMINACIONES",""))</f>
        <v>OBRA GRUESA, SANITARIOS, ELÉCTRICO, TERMINACIONES</v>
      </c>
      <c r="CV571" s="44" cm="1">
        <f t="array" ref="CV571">SUMPRODUCT(--(BG571:CR571&lt;1))</f>
        <v>38</v>
      </c>
    </row>
    <row r="572" spans="1:100" hidden="1" x14ac:dyDescent="0.25">
      <c r="A572" t="s">
        <v>619</v>
      </c>
      <c r="B572" t="s">
        <v>646</v>
      </c>
      <c r="C572">
        <v>2302600571</v>
      </c>
      <c r="D572" t="s">
        <v>60</v>
      </c>
      <c r="E572" s="2">
        <v>0</v>
      </c>
      <c r="F572" s="1">
        <v>46426</v>
      </c>
      <c r="G572" s="1"/>
      <c r="H572" s="1">
        <v>0</v>
      </c>
      <c r="I572" s="1">
        <v>46456</v>
      </c>
      <c r="J572">
        <v>46230</v>
      </c>
      <c r="K572" s="1"/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>
        <v>31.32</v>
      </c>
      <c r="BF572" s="3" t="str">
        <f>+IF(AVANCE[[#This Row],[% AVANCE]]=100%,"MODULO TERMINADO",IF(AVANCE[[#This Row],[FECHA INICIO REAL]]="","MODULO NO INICIADO","PENDIENTE"))</f>
        <v>MODULO NO INICIADO</v>
      </c>
      <c r="BG572" s="3">
        <f>+IF(AVANCE[[#This Row],[VENTANAS]]=8.10810810810811%,100%,AVANCE[[#This Row],[VENTANAS]])</f>
        <v>0</v>
      </c>
      <c r="BH572" s="3">
        <f>+IF(AVANCE[[#This Row],[PISO]]=N$2,100%,AVANCE[[#This Row],[PISO]])</f>
        <v>0</v>
      </c>
      <c r="BI572" s="3">
        <f>+IF(AVANCE[[#This Row],[TABIQUES]]=O$2,100%,AVANCE[[#This Row],[TABIQUES]])</f>
        <v>0</v>
      </c>
      <c r="BJ572" s="3">
        <f>+IF(AVANCE[[#This Row],[MUROS]]=P$2,100%,AVANCE[[#This Row],[MUROS]])</f>
        <v>0</v>
      </c>
      <c r="BK572" s="3">
        <f>+IF(AVANCE[[#This Row],[CIELO]]=Q$2,100%,AVANCE[[#This Row],[CIELO]])</f>
        <v>0</v>
      </c>
      <c r="BL572" s="3">
        <f>+IF(AVANCE[[#This Row],[BALCÓN]]=R$2,100%,AVANCE[[#This Row],[BALCÓN]])</f>
        <v>0</v>
      </c>
      <c r="BM572" s="3">
        <f>+IF(AVANCE[[#This Row],[RED ALCANTARILLADO]]=U$2,100%,AVANCE[[#This Row],[RED ALCANTARILLADO]])</f>
        <v>0</v>
      </c>
      <c r="BN572" s="3">
        <f>+IF(AVANCE[[#This Row],[RED DE AGUA]]=V$2,100%,AVANCE[[#This Row],[RED DE AGUA]])</f>
        <v>0</v>
      </c>
      <c r="BO572" s="3">
        <f>+IF(AVANCE[[#This Row],[VENTILACIONES]]=W$2,100%,AVANCE[[#This Row],[VENTILACIONES]])</f>
        <v>0</v>
      </c>
      <c r="BP572" s="3">
        <f>+IF(AVANCE[[#This Row],[TINA]]=X$2,100%,AVANCE[[#This Row],[TINA]])</f>
        <v>0</v>
      </c>
      <c r="BQ572" s="3">
        <f>+IF(AVANCE[[#This Row],[WC]]=Y$2,100%,AVANCE[[#This Row],[WC]])</f>
        <v>0</v>
      </c>
      <c r="BR572" s="3">
        <f>+IF(AVANCE[[#This Row],[LAVAMANOS / LAVAPLATOS / LAVADERO]]=Z$2,100%,AVANCE[[#This Row],[LAVAMANOS / LAVAPLATOS / LAVADERO]])</f>
        <v>0</v>
      </c>
      <c r="BS572" s="3">
        <f>+IF(AVANCE[[#This Row],[CANALIZACIÓN]]=AC$2,100%,AVANCE[[#This Row],[CANALIZACIÓN]])</f>
        <v>0</v>
      </c>
      <c r="BT572" s="3">
        <f>+IF(AVANCE[[#This Row],[CABLEADO]]=AD$2,100%,AVANCE[[#This Row],[CABLEADO]])</f>
        <v>0</v>
      </c>
      <c r="BU572" s="3">
        <f>+IF(AVANCE[[#This Row],[ARTEFACTOS]]=AE$2,100%,AVANCE[[#This Row],[ARTEFACTOS]])</f>
        <v>0</v>
      </c>
      <c r="BV572" s="3">
        <f>+IF(AVANCE[[#This Row],[TABLERO]]=AF$2,100%,AVANCE[[#This Row],[TABLERO]])</f>
        <v>0</v>
      </c>
      <c r="BW572" s="3">
        <f>+IF(AVANCE[[#This Row],[CAJA PAU]]=AG$2,100%,AVANCE[[#This Row],[CAJA PAU]])</f>
        <v>0</v>
      </c>
      <c r="BX572" s="3">
        <f>+IF(AVANCE[[#This Row],[INSTALACION VINILICO]]=AJ$2,100%,AVANCE[[#This Row],[INSTALACION VINILICO]])</f>
        <v>0</v>
      </c>
      <c r="BY572" s="3">
        <f>+IF(AVANCE[[#This Row],[OSB CUBIERTA]]=AK$2,100%,AVANCE[[#This Row],[OSB CUBIERTA]])</f>
        <v>0</v>
      </c>
      <c r="BZ572" s="3">
        <f>+IF(AVANCE[[#This Row],[BARANDA BALCON]]=AL$2,100%,AVANCE[[#This Row],[BARANDA BALCON]])</f>
        <v>0</v>
      </c>
      <c r="CA572" s="3">
        <f>+IF(AVANCE[[#This Row],[OSB EXTERIOR]]=AM$2,100%,AVANCE[[#This Row],[OSB EXTERIOR]])</f>
        <v>0</v>
      </c>
      <c r="CB572" s="3">
        <f>+IF(AVANCE[[#This Row],[SMART PANEL]]=AN$2,100%,AVANCE[[#This Row],[SMART PANEL]])</f>
        <v>0</v>
      </c>
      <c r="CC572" s="3">
        <f>+IF(AVANCE[[#This Row],[PINTURA EXTERIOR]]=AO$2,100%,AVANCE[[#This Row],[PINTURA EXTERIOR]])</f>
        <v>0</v>
      </c>
      <c r="CD572" s="3">
        <f>+IF(AVANCE[[#This Row],[ZOCALOS LOGIA]]=AP$2,100%,AVANCE[[#This Row],[ZOCALOS LOGIA]])</f>
        <v>0</v>
      </c>
      <c r="CE572" s="3">
        <f>+IF(AVANCE[[#This Row],[MOLDURAS]]=AQ$2,100%,AVANCE[[#This Row],[MOLDURAS]])</f>
        <v>0</v>
      </c>
      <c r="CF572" s="3">
        <f>+IF(AVANCE[[#This Row],[PILASTREO]]=AR$2,100%,AVANCE[[#This Row],[PILASTREO]])</f>
        <v>0</v>
      </c>
      <c r="CG572" s="3">
        <f>+IF(AVANCE[[#This Row],[CELOSIAS]]=AS$2,100%,AVANCE[[#This Row],[CELOSIAS]])</f>
        <v>0</v>
      </c>
      <c r="CH572" s="3">
        <f>+IF(AVANCE[[#This Row],[VENTANAS]]=AT$2,100%,AVANCE[[#This Row],[VENTANAS]])</f>
        <v>0</v>
      </c>
      <c r="CI572" s="3">
        <f>+IF(AVANCE[[#This Row],[PUERTAS ACCESO - LOGIA - BANO]]=AU$2,100%,AVANCE[[#This Row],[PUERTAS ACCESO - LOGIA - BANO]])</f>
        <v>0</v>
      </c>
      <c r="CJ572" s="3">
        <f>+IF(AVANCE[[#This Row],[CERRADURAS]]=AV$2,100%,AVANCE[[#This Row],[CERRADURAS]])</f>
        <v>0</v>
      </c>
      <c r="CK572" s="3">
        <f>+IF(AVANCE[[#This Row],[REVESTIMIENTO INTERIOR ZONA SECA]]=AW$2,100%,AVANCE[[#This Row],[REVESTIMIENTO INTERIOR ZONA SECA]])</f>
        <v>0</v>
      </c>
      <c r="CL572" s="3">
        <f>+IF(AVANCE[[#This Row],[REVESTIMIENTO INTERIOR ZONAS HUMEDAS]]=AX$2,100%,AVANCE[[#This Row],[REVESTIMIENTO INTERIOR ZONAS HUMEDAS]])</f>
        <v>0</v>
      </c>
      <c r="CM572" s="3">
        <f>+IF(AVANCE[[#This Row],[MEMBRANA CIELO]]=AY$2,100%,AVANCE[[#This Row],[MEMBRANA CIELO]])</f>
        <v>0</v>
      </c>
      <c r="CN572" s="3">
        <f>+IF(AVANCE[[#This Row],[LIMPIEZA FINAL]]=AZ$2,100%,AVANCE[[#This Row],[LIMPIEZA FINAL]])</f>
        <v>0</v>
      </c>
      <c r="CO572" s="3">
        <f>+IF(AVANCE[[#This Row],[PUERTAS DORMITORIO]]=BA$2,100%,AVANCE[[#This Row],[PUERTAS DORMITORIO]])</f>
        <v>0</v>
      </c>
      <c r="CP572" s="3">
        <f>+IF(AVANCE[[#This Row],[REVESTIMIENTO INTERIOR BANO]]=BB$2,100%,AVANCE[[#This Row],[REVESTIMIENTO INTERIOR BANO]])</f>
        <v>0</v>
      </c>
      <c r="CQ572" s="3">
        <f>+IF(AVANCE[[#This Row],[MUEBLE LAVAPLATOS]]=BC$2,100%,AVANCE[[#This Row],[MUEBLE LAVAPLATOS]])</f>
        <v>0</v>
      </c>
      <c r="CR572" s="3">
        <f>+IF(AVANCE[[#This Row],[IMPERMEABILIZACION BANO - COCINA LOGIA]]=BD$2,100%,AVANCE[[#This Row],[IMPERMEABILIZACION BANO - COCINA LOGIA]])</f>
        <v>0</v>
      </c>
      <c r="CS572" s="40">
        <f ca="1">+IF(AVANCE[[#This Row],[ESTADO MODULO]]="PENDIENTE",(TODAY()-AVANCE[[#This Row],[FECHA TERMINO  PLANIFICADO]]),0)</f>
        <v>0</v>
      </c>
      <c r="CT572" s="41" t="str" cm="1">
        <f t="array" ref="CT572">_xlfn.TEXTJOIN(" | ",TRUE,IF(SUMPRODUCT((BG572:CR572&lt;1)*(PARTIDAS!$I$2:$AT$2="OBRA GRUESA"))&gt;0,"OBRA GRUESA: "&amp;_xlfn.TEXTJOIN(", ",TRUE,IF((BG572:CR572&lt;1)*(PARTIDAS!$I$2:$AT$2="OBRA GRUESA"),PARTIDAS!$I$1:$AT$1,"")),""),IF(SUMPRODUCT((BG572:CR572&lt;1)*(PARTIDAS!$I$2:$AT$2="SANITARIOS"))&gt;0,"SANITARIOS: "&amp;_xlfn.TEXTJOIN(", ",TRUE,IF((BG572:CR572&lt;1)*(PARTIDAS!$I$2:$AT$2="SANITARIOS"),PARTIDAS!$I$1:$AT$1,"")),""),IF(SUMPRODUCT((BG572:CR572&lt;1)*(PARTIDAS!$I$2:$AT$2="ELÉCTRICO"))&gt;0,"ELÉCTRICO: "&amp;_xlfn.TEXTJOIN(", ",TRUE,IF((BG572:CR572&lt;1)*(PARTIDAS!$I$2:$AT$2="ELÉCTRICO"),PARTIDAS!$I$1:$AT$1,"")),""),IF(SUMPRODUCT((BG572:CR572&lt;1)*(PARTIDAS!$I$2:$AT$2="TERMINACIONES"))&gt;0,"TERMINACIONES: "&amp;_xlfn.TEXTJOIN(", ",TRUE,IF((BG572:CR572&lt;1)*(PARTIDAS!$I$2:$AT$2="TERMINACIONES"),PARTIDAS!$I$1:$AT$1,"")),""))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2" s="43" t="str" cm="1">
        <f t="array" ref="CU572">_xlfn.TEXTJOIN(", ",TRUE,IF(SUMPRODUCT((BG572:CR572&lt;1)*(PARTIDAS!$I$2:$AT$2="OBRA GRUESA"))&gt;0,"OBRA GRUESA",""),IF(SUMPRODUCT((BG572:CR572&lt;1)*(PARTIDAS!$I$2:$AT$2="SANITARIOS"))&gt;0,"SANITARIOS",""),IF(SUMPRODUCT((BG572:CR572&lt;1)*(PARTIDAS!$I$2:$AT$2="ELÉCTRICO"))&gt;0,"ELÉCTRICO",""),IF(SUMPRODUCT((BG572:CR572&lt;1)*(PARTIDAS!$I$2:$AT$2="TERMINACIONES"))&gt;0,"TERMINACIONES",""))</f>
        <v>OBRA GRUESA, SANITARIOS, ELÉCTRICO, TERMINACIONES</v>
      </c>
      <c r="CV572" s="44" cm="1">
        <f t="array" ref="CV572">SUMPRODUCT(--(BG572:CR572&lt;1))</f>
        <v>38</v>
      </c>
    </row>
    <row r="573" spans="1:100" hidden="1" x14ac:dyDescent="0.25">
      <c r="A573" t="s">
        <v>619</v>
      </c>
      <c r="B573" t="s">
        <v>647</v>
      </c>
      <c r="C573">
        <v>2282600572</v>
      </c>
      <c r="D573" t="s">
        <v>58</v>
      </c>
      <c r="E573" s="2">
        <v>0</v>
      </c>
      <c r="F573" s="1">
        <v>46427</v>
      </c>
      <c r="G573" s="1"/>
      <c r="H573" s="1">
        <v>0</v>
      </c>
      <c r="I573" s="1">
        <v>46447</v>
      </c>
      <c r="J573">
        <v>46230</v>
      </c>
      <c r="K573" s="1"/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>
        <v>28.87</v>
      </c>
      <c r="BF573" s="3" t="str">
        <f>+IF(AVANCE[[#This Row],[% AVANCE]]=100%,"MODULO TERMINADO",IF(AVANCE[[#This Row],[FECHA INICIO REAL]]="","MODULO NO INICIADO","PENDIENTE"))</f>
        <v>MODULO NO INICIADO</v>
      </c>
      <c r="BG573" s="3">
        <f>+IF(AVANCE[[#This Row],[VENTANAS]]=8.10810810810811%,100%,AVANCE[[#This Row],[VENTANAS]])</f>
        <v>0</v>
      </c>
      <c r="BH573" s="3">
        <f>+IF(AVANCE[[#This Row],[PISO]]=N$2,100%,AVANCE[[#This Row],[PISO]])</f>
        <v>0</v>
      </c>
      <c r="BI573" s="3">
        <f>+IF(AVANCE[[#This Row],[TABIQUES]]=O$2,100%,AVANCE[[#This Row],[TABIQUES]])</f>
        <v>0</v>
      </c>
      <c r="BJ573" s="3">
        <f>+IF(AVANCE[[#This Row],[MUROS]]=P$2,100%,AVANCE[[#This Row],[MUROS]])</f>
        <v>0</v>
      </c>
      <c r="BK573" s="3">
        <f>+IF(AVANCE[[#This Row],[CIELO]]=Q$2,100%,AVANCE[[#This Row],[CIELO]])</f>
        <v>0</v>
      </c>
      <c r="BL573" s="3">
        <f>+IF(AVANCE[[#This Row],[BALCÓN]]=R$2,100%,AVANCE[[#This Row],[BALCÓN]])</f>
        <v>0</v>
      </c>
      <c r="BM573" s="3">
        <f>+IF(AVANCE[[#This Row],[RED ALCANTARILLADO]]=U$2,100%,AVANCE[[#This Row],[RED ALCANTARILLADO]])</f>
        <v>0</v>
      </c>
      <c r="BN573" s="3">
        <f>+IF(AVANCE[[#This Row],[RED DE AGUA]]=V$2,100%,AVANCE[[#This Row],[RED DE AGUA]])</f>
        <v>0</v>
      </c>
      <c r="BO573" s="3">
        <f>+IF(AVANCE[[#This Row],[VENTILACIONES]]=W$2,100%,AVANCE[[#This Row],[VENTILACIONES]])</f>
        <v>0</v>
      </c>
      <c r="BP573" s="3">
        <f>+IF(AVANCE[[#This Row],[TINA]]=X$2,100%,AVANCE[[#This Row],[TINA]])</f>
        <v>0</v>
      </c>
      <c r="BQ573" s="3">
        <f>+IF(AVANCE[[#This Row],[WC]]=Y$2,100%,AVANCE[[#This Row],[WC]])</f>
        <v>0</v>
      </c>
      <c r="BR573" s="3">
        <f>+IF(AVANCE[[#This Row],[LAVAMANOS / LAVAPLATOS / LAVADERO]]=Z$2,100%,AVANCE[[#This Row],[LAVAMANOS / LAVAPLATOS / LAVADERO]])</f>
        <v>0</v>
      </c>
      <c r="BS573" s="3">
        <f>+IF(AVANCE[[#This Row],[CANALIZACIÓN]]=AC$2,100%,AVANCE[[#This Row],[CANALIZACIÓN]])</f>
        <v>0</v>
      </c>
      <c r="BT573" s="3">
        <f>+IF(AVANCE[[#This Row],[CABLEADO]]=AD$2,100%,AVANCE[[#This Row],[CABLEADO]])</f>
        <v>0</v>
      </c>
      <c r="BU573" s="3">
        <f>+IF(AVANCE[[#This Row],[ARTEFACTOS]]=AE$2,100%,AVANCE[[#This Row],[ARTEFACTOS]])</f>
        <v>0</v>
      </c>
      <c r="BV573" s="3">
        <f>+IF(AVANCE[[#This Row],[TABLERO]]=AF$2,100%,AVANCE[[#This Row],[TABLERO]])</f>
        <v>0</v>
      </c>
      <c r="BW573" s="3">
        <f>+IF(AVANCE[[#This Row],[CAJA PAU]]=AG$2,100%,AVANCE[[#This Row],[CAJA PAU]])</f>
        <v>0</v>
      </c>
      <c r="BX573" s="3">
        <f>+IF(AVANCE[[#This Row],[INSTALACION VINILICO]]=AJ$2,100%,AVANCE[[#This Row],[INSTALACION VINILICO]])</f>
        <v>0</v>
      </c>
      <c r="BY573" s="3">
        <f>+IF(AVANCE[[#This Row],[OSB CUBIERTA]]=AK$2,100%,AVANCE[[#This Row],[OSB CUBIERTA]])</f>
        <v>0</v>
      </c>
      <c r="BZ573" s="3">
        <f>+IF(AVANCE[[#This Row],[BARANDA BALCON]]=AL$2,100%,AVANCE[[#This Row],[BARANDA BALCON]])</f>
        <v>0</v>
      </c>
      <c r="CA573" s="3">
        <f>+IF(AVANCE[[#This Row],[OSB EXTERIOR]]=AM$2,100%,AVANCE[[#This Row],[OSB EXTERIOR]])</f>
        <v>0</v>
      </c>
      <c r="CB573" s="3">
        <f>+IF(AVANCE[[#This Row],[SMART PANEL]]=AN$2,100%,AVANCE[[#This Row],[SMART PANEL]])</f>
        <v>0</v>
      </c>
      <c r="CC573" s="3">
        <f>+IF(AVANCE[[#This Row],[PINTURA EXTERIOR]]=AO$2,100%,AVANCE[[#This Row],[PINTURA EXTERIOR]])</f>
        <v>0</v>
      </c>
      <c r="CD573" s="3">
        <f>+IF(AVANCE[[#This Row],[ZOCALOS LOGIA]]=AP$2,100%,AVANCE[[#This Row],[ZOCALOS LOGIA]])</f>
        <v>0</v>
      </c>
      <c r="CE573" s="3">
        <f>+IF(AVANCE[[#This Row],[MOLDURAS]]=AQ$2,100%,AVANCE[[#This Row],[MOLDURAS]])</f>
        <v>0</v>
      </c>
      <c r="CF573" s="3">
        <f>+IF(AVANCE[[#This Row],[PILASTREO]]=AR$2,100%,AVANCE[[#This Row],[PILASTREO]])</f>
        <v>0</v>
      </c>
      <c r="CG573" s="3">
        <f>+IF(AVANCE[[#This Row],[CELOSIAS]]=AS$2,100%,AVANCE[[#This Row],[CELOSIAS]])</f>
        <v>0</v>
      </c>
      <c r="CH573" s="3">
        <f>+IF(AVANCE[[#This Row],[VENTANAS]]=AT$2,100%,AVANCE[[#This Row],[VENTANAS]])</f>
        <v>0</v>
      </c>
      <c r="CI573" s="3">
        <f>+IF(AVANCE[[#This Row],[PUERTAS ACCESO - LOGIA - BANO]]=AU$2,100%,AVANCE[[#This Row],[PUERTAS ACCESO - LOGIA - BANO]])</f>
        <v>0</v>
      </c>
      <c r="CJ573" s="3">
        <f>+IF(AVANCE[[#This Row],[CERRADURAS]]=AV$2,100%,AVANCE[[#This Row],[CERRADURAS]])</f>
        <v>0</v>
      </c>
      <c r="CK573" s="3">
        <f>+IF(AVANCE[[#This Row],[REVESTIMIENTO INTERIOR ZONA SECA]]=AW$2,100%,AVANCE[[#This Row],[REVESTIMIENTO INTERIOR ZONA SECA]])</f>
        <v>0</v>
      </c>
      <c r="CL573" s="3">
        <f>+IF(AVANCE[[#This Row],[REVESTIMIENTO INTERIOR ZONAS HUMEDAS]]=AX$2,100%,AVANCE[[#This Row],[REVESTIMIENTO INTERIOR ZONAS HUMEDAS]])</f>
        <v>0</v>
      </c>
      <c r="CM573" s="3">
        <f>+IF(AVANCE[[#This Row],[MEMBRANA CIELO]]=AY$2,100%,AVANCE[[#This Row],[MEMBRANA CIELO]])</f>
        <v>0</v>
      </c>
      <c r="CN573" s="3">
        <f>+IF(AVANCE[[#This Row],[LIMPIEZA FINAL]]=AZ$2,100%,AVANCE[[#This Row],[LIMPIEZA FINAL]])</f>
        <v>0</v>
      </c>
      <c r="CO573" s="3">
        <f>+IF(AVANCE[[#This Row],[PUERTAS DORMITORIO]]=BA$2,100%,AVANCE[[#This Row],[PUERTAS DORMITORIO]])</f>
        <v>0</v>
      </c>
      <c r="CP573" s="3">
        <f>+IF(AVANCE[[#This Row],[REVESTIMIENTO INTERIOR BANO]]=BB$2,100%,AVANCE[[#This Row],[REVESTIMIENTO INTERIOR BANO]])</f>
        <v>0</v>
      </c>
      <c r="CQ573" s="3">
        <f>+IF(AVANCE[[#This Row],[MUEBLE LAVAPLATOS]]=BC$2,100%,AVANCE[[#This Row],[MUEBLE LAVAPLATOS]])</f>
        <v>0</v>
      </c>
      <c r="CR573" s="3">
        <f>+IF(AVANCE[[#This Row],[IMPERMEABILIZACION BANO - COCINA LOGIA]]=BD$2,100%,AVANCE[[#This Row],[IMPERMEABILIZACION BANO - COCINA LOGIA]])</f>
        <v>0</v>
      </c>
      <c r="CS573" s="40">
        <f ca="1">+IF(AVANCE[[#This Row],[ESTADO MODULO]]="PENDIENTE",(TODAY()-AVANCE[[#This Row],[FECHA TERMINO  PLANIFICADO]]),0)</f>
        <v>0</v>
      </c>
      <c r="CT573" s="41" t="str" cm="1">
        <f t="array" ref="CT573">_xlfn.TEXTJOIN(" | ",TRUE,IF(SUMPRODUCT((BG573:CR573&lt;1)*(PARTIDAS!$I$2:$AT$2="OBRA GRUESA"))&gt;0,"OBRA GRUESA: "&amp;_xlfn.TEXTJOIN(", ",TRUE,IF((BG573:CR573&lt;1)*(PARTIDAS!$I$2:$AT$2="OBRA GRUESA"),PARTIDAS!$I$1:$AT$1,"")),""),IF(SUMPRODUCT((BG573:CR573&lt;1)*(PARTIDAS!$I$2:$AT$2="SANITARIOS"))&gt;0,"SANITARIOS: "&amp;_xlfn.TEXTJOIN(", ",TRUE,IF((BG573:CR573&lt;1)*(PARTIDAS!$I$2:$AT$2="SANITARIOS"),PARTIDAS!$I$1:$AT$1,"")),""),IF(SUMPRODUCT((BG573:CR573&lt;1)*(PARTIDAS!$I$2:$AT$2="ELÉCTRICO"))&gt;0,"ELÉCTRICO: "&amp;_xlfn.TEXTJOIN(", ",TRUE,IF((BG573:CR573&lt;1)*(PARTIDAS!$I$2:$AT$2="ELÉCTRICO"),PARTIDAS!$I$1:$AT$1,"")),""),IF(SUMPRODUCT((BG573:CR573&lt;1)*(PARTIDAS!$I$2:$AT$2="TERMINACIONES"))&gt;0,"TERMINACIONES: "&amp;_xlfn.TEXTJOIN(", ",TRUE,IF((BG573:CR573&lt;1)*(PARTIDAS!$I$2:$AT$2="TERMINACIONES"),PARTIDAS!$I$1:$AT$1,"")),""))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3" s="43" t="str" cm="1">
        <f t="array" ref="CU573">_xlfn.TEXTJOIN(", ",TRUE,IF(SUMPRODUCT((BG573:CR573&lt;1)*(PARTIDAS!$I$2:$AT$2="OBRA GRUESA"))&gt;0,"OBRA GRUESA",""),IF(SUMPRODUCT((BG573:CR573&lt;1)*(PARTIDAS!$I$2:$AT$2="SANITARIOS"))&gt;0,"SANITARIOS",""),IF(SUMPRODUCT((BG573:CR573&lt;1)*(PARTIDAS!$I$2:$AT$2="ELÉCTRICO"))&gt;0,"ELÉCTRICO",""),IF(SUMPRODUCT((BG573:CR573&lt;1)*(PARTIDAS!$I$2:$AT$2="TERMINACIONES"))&gt;0,"TERMINACIONES",""))</f>
        <v>OBRA GRUESA, SANITARIOS, ELÉCTRICO, TERMINACIONES</v>
      </c>
      <c r="CV573" s="44" cm="1">
        <f t="array" ref="CV573">SUMPRODUCT(--(BG573:CR573&lt;1))</f>
        <v>38</v>
      </c>
    </row>
    <row r="574" spans="1:100" hidden="1" x14ac:dyDescent="0.25">
      <c r="A574" t="s">
        <v>619</v>
      </c>
      <c r="B574" t="s">
        <v>648</v>
      </c>
      <c r="C574">
        <v>2282600573</v>
      </c>
      <c r="D574" t="s">
        <v>58</v>
      </c>
      <c r="E574" s="2">
        <v>0</v>
      </c>
      <c r="F574" s="1">
        <v>46427</v>
      </c>
      <c r="G574" s="1"/>
      <c r="H574" s="1">
        <v>0</v>
      </c>
      <c r="I574" s="1">
        <v>46447</v>
      </c>
      <c r="J574">
        <v>46230</v>
      </c>
      <c r="K574" s="1"/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>
        <v>28.87</v>
      </c>
      <c r="BF574" s="3" t="str">
        <f>+IF(AVANCE[[#This Row],[% AVANCE]]=100%,"MODULO TERMINADO",IF(AVANCE[[#This Row],[FECHA INICIO REAL]]="","MODULO NO INICIADO","PENDIENTE"))</f>
        <v>MODULO NO INICIADO</v>
      </c>
      <c r="BG574" s="3">
        <f>+IF(AVANCE[[#This Row],[VENTANAS]]=8.10810810810811%,100%,AVANCE[[#This Row],[VENTANAS]])</f>
        <v>0</v>
      </c>
      <c r="BH574" s="3">
        <f>+IF(AVANCE[[#This Row],[PISO]]=N$2,100%,AVANCE[[#This Row],[PISO]])</f>
        <v>0</v>
      </c>
      <c r="BI574" s="3">
        <f>+IF(AVANCE[[#This Row],[TABIQUES]]=O$2,100%,AVANCE[[#This Row],[TABIQUES]])</f>
        <v>0</v>
      </c>
      <c r="BJ574" s="3">
        <f>+IF(AVANCE[[#This Row],[MUROS]]=P$2,100%,AVANCE[[#This Row],[MUROS]])</f>
        <v>0</v>
      </c>
      <c r="BK574" s="3">
        <f>+IF(AVANCE[[#This Row],[CIELO]]=Q$2,100%,AVANCE[[#This Row],[CIELO]])</f>
        <v>0</v>
      </c>
      <c r="BL574" s="3">
        <f>+IF(AVANCE[[#This Row],[BALCÓN]]=R$2,100%,AVANCE[[#This Row],[BALCÓN]])</f>
        <v>0</v>
      </c>
      <c r="BM574" s="3">
        <f>+IF(AVANCE[[#This Row],[RED ALCANTARILLADO]]=U$2,100%,AVANCE[[#This Row],[RED ALCANTARILLADO]])</f>
        <v>0</v>
      </c>
      <c r="BN574" s="3">
        <f>+IF(AVANCE[[#This Row],[RED DE AGUA]]=V$2,100%,AVANCE[[#This Row],[RED DE AGUA]])</f>
        <v>0</v>
      </c>
      <c r="BO574" s="3">
        <f>+IF(AVANCE[[#This Row],[VENTILACIONES]]=W$2,100%,AVANCE[[#This Row],[VENTILACIONES]])</f>
        <v>0</v>
      </c>
      <c r="BP574" s="3">
        <f>+IF(AVANCE[[#This Row],[TINA]]=X$2,100%,AVANCE[[#This Row],[TINA]])</f>
        <v>0</v>
      </c>
      <c r="BQ574" s="3">
        <f>+IF(AVANCE[[#This Row],[WC]]=Y$2,100%,AVANCE[[#This Row],[WC]])</f>
        <v>0</v>
      </c>
      <c r="BR574" s="3">
        <f>+IF(AVANCE[[#This Row],[LAVAMANOS / LAVAPLATOS / LAVADERO]]=Z$2,100%,AVANCE[[#This Row],[LAVAMANOS / LAVAPLATOS / LAVADERO]])</f>
        <v>0</v>
      </c>
      <c r="BS574" s="3">
        <f>+IF(AVANCE[[#This Row],[CANALIZACIÓN]]=AC$2,100%,AVANCE[[#This Row],[CANALIZACIÓN]])</f>
        <v>0</v>
      </c>
      <c r="BT574" s="3">
        <f>+IF(AVANCE[[#This Row],[CABLEADO]]=AD$2,100%,AVANCE[[#This Row],[CABLEADO]])</f>
        <v>0</v>
      </c>
      <c r="BU574" s="3">
        <f>+IF(AVANCE[[#This Row],[ARTEFACTOS]]=AE$2,100%,AVANCE[[#This Row],[ARTEFACTOS]])</f>
        <v>0</v>
      </c>
      <c r="BV574" s="3">
        <f>+IF(AVANCE[[#This Row],[TABLERO]]=AF$2,100%,AVANCE[[#This Row],[TABLERO]])</f>
        <v>0</v>
      </c>
      <c r="BW574" s="3">
        <f>+IF(AVANCE[[#This Row],[CAJA PAU]]=AG$2,100%,AVANCE[[#This Row],[CAJA PAU]])</f>
        <v>0</v>
      </c>
      <c r="BX574" s="3">
        <f>+IF(AVANCE[[#This Row],[INSTALACION VINILICO]]=AJ$2,100%,AVANCE[[#This Row],[INSTALACION VINILICO]])</f>
        <v>0</v>
      </c>
      <c r="BY574" s="3">
        <f>+IF(AVANCE[[#This Row],[OSB CUBIERTA]]=AK$2,100%,AVANCE[[#This Row],[OSB CUBIERTA]])</f>
        <v>0</v>
      </c>
      <c r="BZ574" s="3">
        <f>+IF(AVANCE[[#This Row],[BARANDA BALCON]]=AL$2,100%,AVANCE[[#This Row],[BARANDA BALCON]])</f>
        <v>0</v>
      </c>
      <c r="CA574" s="3">
        <f>+IF(AVANCE[[#This Row],[OSB EXTERIOR]]=AM$2,100%,AVANCE[[#This Row],[OSB EXTERIOR]])</f>
        <v>0</v>
      </c>
      <c r="CB574" s="3">
        <f>+IF(AVANCE[[#This Row],[SMART PANEL]]=AN$2,100%,AVANCE[[#This Row],[SMART PANEL]])</f>
        <v>0</v>
      </c>
      <c r="CC574" s="3">
        <f>+IF(AVANCE[[#This Row],[PINTURA EXTERIOR]]=AO$2,100%,AVANCE[[#This Row],[PINTURA EXTERIOR]])</f>
        <v>0</v>
      </c>
      <c r="CD574" s="3">
        <f>+IF(AVANCE[[#This Row],[ZOCALOS LOGIA]]=AP$2,100%,AVANCE[[#This Row],[ZOCALOS LOGIA]])</f>
        <v>0</v>
      </c>
      <c r="CE574" s="3">
        <f>+IF(AVANCE[[#This Row],[MOLDURAS]]=AQ$2,100%,AVANCE[[#This Row],[MOLDURAS]])</f>
        <v>0</v>
      </c>
      <c r="CF574" s="3">
        <f>+IF(AVANCE[[#This Row],[PILASTREO]]=AR$2,100%,AVANCE[[#This Row],[PILASTREO]])</f>
        <v>0</v>
      </c>
      <c r="CG574" s="3">
        <f>+IF(AVANCE[[#This Row],[CELOSIAS]]=AS$2,100%,AVANCE[[#This Row],[CELOSIAS]])</f>
        <v>0</v>
      </c>
      <c r="CH574" s="3">
        <f>+IF(AVANCE[[#This Row],[VENTANAS]]=AT$2,100%,AVANCE[[#This Row],[VENTANAS]])</f>
        <v>0</v>
      </c>
      <c r="CI574" s="3">
        <f>+IF(AVANCE[[#This Row],[PUERTAS ACCESO - LOGIA - BANO]]=AU$2,100%,AVANCE[[#This Row],[PUERTAS ACCESO - LOGIA - BANO]])</f>
        <v>0</v>
      </c>
      <c r="CJ574" s="3">
        <f>+IF(AVANCE[[#This Row],[CERRADURAS]]=AV$2,100%,AVANCE[[#This Row],[CERRADURAS]])</f>
        <v>0</v>
      </c>
      <c r="CK574" s="3">
        <f>+IF(AVANCE[[#This Row],[REVESTIMIENTO INTERIOR ZONA SECA]]=AW$2,100%,AVANCE[[#This Row],[REVESTIMIENTO INTERIOR ZONA SECA]])</f>
        <v>0</v>
      </c>
      <c r="CL574" s="3">
        <f>+IF(AVANCE[[#This Row],[REVESTIMIENTO INTERIOR ZONAS HUMEDAS]]=AX$2,100%,AVANCE[[#This Row],[REVESTIMIENTO INTERIOR ZONAS HUMEDAS]])</f>
        <v>0</v>
      </c>
      <c r="CM574" s="3">
        <f>+IF(AVANCE[[#This Row],[MEMBRANA CIELO]]=AY$2,100%,AVANCE[[#This Row],[MEMBRANA CIELO]])</f>
        <v>0</v>
      </c>
      <c r="CN574" s="3">
        <f>+IF(AVANCE[[#This Row],[LIMPIEZA FINAL]]=AZ$2,100%,AVANCE[[#This Row],[LIMPIEZA FINAL]])</f>
        <v>0</v>
      </c>
      <c r="CO574" s="3">
        <f>+IF(AVANCE[[#This Row],[PUERTAS DORMITORIO]]=BA$2,100%,AVANCE[[#This Row],[PUERTAS DORMITORIO]])</f>
        <v>0</v>
      </c>
      <c r="CP574" s="3">
        <f>+IF(AVANCE[[#This Row],[REVESTIMIENTO INTERIOR BANO]]=BB$2,100%,AVANCE[[#This Row],[REVESTIMIENTO INTERIOR BANO]])</f>
        <v>0</v>
      </c>
      <c r="CQ574" s="3">
        <f>+IF(AVANCE[[#This Row],[MUEBLE LAVAPLATOS]]=BC$2,100%,AVANCE[[#This Row],[MUEBLE LAVAPLATOS]])</f>
        <v>0</v>
      </c>
      <c r="CR574" s="3">
        <f>+IF(AVANCE[[#This Row],[IMPERMEABILIZACION BANO - COCINA LOGIA]]=BD$2,100%,AVANCE[[#This Row],[IMPERMEABILIZACION BANO - COCINA LOGIA]])</f>
        <v>0</v>
      </c>
      <c r="CS574" s="40">
        <f ca="1">+IF(AVANCE[[#This Row],[ESTADO MODULO]]="PENDIENTE",(TODAY()-AVANCE[[#This Row],[FECHA TERMINO  PLANIFICADO]]),0)</f>
        <v>0</v>
      </c>
      <c r="CT574" s="41" t="str" cm="1">
        <f t="array" ref="CT574">_xlfn.TEXTJOIN(" | ",TRUE,IF(SUMPRODUCT((BG574:CR574&lt;1)*(PARTIDAS!$I$2:$AT$2="OBRA GRUESA"))&gt;0,"OBRA GRUESA: "&amp;_xlfn.TEXTJOIN(", ",TRUE,IF((BG574:CR574&lt;1)*(PARTIDAS!$I$2:$AT$2="OBRA GRUESA"),PARTIDAS!$I$1:$AT$1,"")),""),IF(SUMPRODUCT((BG574:CR574&lt;1)*(PARTIDAS!$I$2:$AT$2="SANITARIOS"))&gt;0,"SANITARIOS: "&amp;_xlfn.TEXTJOIN(", ",TRUE,IF((BG574:CR574&lt;1)*(PARTIDAS!$I$2:$AT$2="SANITARIOS"),PARTIDAS!$I$1:$AT$1,"")),""),IF(SUMPRODUCT((BG574:CR574&lt;1)*(PARTIDAS!$I$2:$AT$2="ELÉCTRICO"))&gt;0,"ELÉCTRICO: "&amp;_xlfn.TEXTJOIN(", ",TRUE,IF((BG574:CR574&lt;1)*(PARTIDAS!$I$2:$AT$2="ELÉCTRICO"),PARTIDAS!$I$1:$AT$1,"")),""),IF(SUMPRODUCT((BG574:CR574&lt;1)*(PARTIDAS!$I$2:$AT$2="TERMINACIONES"))&gt;0,"TERMINACIONES: "&amp;_xlfn.TEXTJOIN(", ",TRUE,IF((BG574:CR574&lt;1)*(PARTIDAS!$I$2:$AT$2="TERMINACIONES"),PARTIDAS!$I$1:$AT$1,"")),""))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4" s="43" t="str" cm="1">
        <f t="array" ref="CU574">_xlfn.TEXTJOIN(", ",TRUE,IF(SUMPRODUCT((BG574:CR574&lt;1)*(PARTIDAS!$I$2:$AT$2="OBRA GRUESA"))&gt;0,"OBRA GRUESA",""),IF(SUMPRODUCT((BG574:CR574&lt;1)*(PARTIDAS!$I$2:$AT$2="SANITARIOS"))&gt;0,"SANITARIOS",""),IF(SUMPRODUCT((BG574:CR574&lt;1)*(PARTIDAS!$I$2:$AT$2="ELÉCTRICO"))&gt;0,"ELÉCTRICO",""),IF(SUMPRODUCT((BG574:CR574&lt;1)*(PARTIDAS!$I$2:$AT$2="TERMINACIONES"))&gt;0,"TERMINACIONES",""))</f>
        <v>OBRA GRUESA, SANITARIOS, ELÉCTRICO, TERMINACIONES</v>
      </c>
      <c r="CV574" s="44" cm="1">
        <f t="array" ref="CV574">SUMPRODUCT(--(BG574:CR574&lt;1))</f>
        <v>38</v>
      </c>
    </row>
    <row r="575" spans="1:100" hidden="1" x14ac:dyDescent="0.25">
      <c r="A575" t="s">
        <v>619</v>
      </c>
      <c r="B575" t="s">
        <v>649</v>
      </c>
      <c r="C575">
        <v>2302600574</v>
      </c>
      <c r="D575" t="s">
        <v>60</v>
      </c>
      <c r="E575" s="2">
        <v>0</v>
      </c>
      <c r="F575" s="1">
        <v>46427</v>
      </c>
      <c r="G575" s="1"/>
      <c r="H575" s="1">
        <v>0</v>
      </c>
      <c r="I575" s="1">
        <v>46457</v>
      </c>
      <c r="J575">
        <v>46230</v>
      </c>
      <c r="K575" s="1"/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>
        <v>31.32</v>
      </c>
      <c r="BF575" s="3" t="str">
        <f>+IF(AVANCE[[#This Row],[% AVANCE]]=100%,"MODULO TERMINADO",IF(AVANCE[[#This Row],[FECHA INICIO REAL]]="","MODULO NO INICIADO","PENDIENTE"))</f>
        <v>MODULO NO INICIADO</v>
      </c>
      <c r="BG575" s="3">
        <f>+IF(AVANCE[[#This Row],[VENTANAS]]=8.10810810810811%,100%,AVANCE[[#This Row],[VENTANAS]])</f>
        <v>0</v>
      </c>
      <c r="BH575" s="3">
        <f>+IF(AVANCE[[#This Row],[PISO]]=N$2,100%,AVANCE[[#This Row],[PISO]])</f>
        <v>0</v>
      </c>
      <c r="BI575" s="3">
        <f>+IF(AVANCE[[#This Row],[TABIQUES]]=O$2,100%,AVANCE[[#This Row],[TABIQUES]])</f>
        <v>0</v>
      </c>
      <c r="BJ575" s="3">
        <f>+IF(AVANCE[[#This Row],[MUROS]]=P$2,100%,AVANCE[[#This Row],[MUROS]])</f>
        <v>0</v>
      </c>
      <c r="BK575" s="3">
        <f>+IF(AVANCE[[#This Row],[CIELO]]=Q$2,100%,AVANCE[[#This Row],[CIELO]])</f>
        <v>0</v>
      </c>
      <c r="BL575" s="3">
        <f>+IF(AVANCE[[#This Row],[BALCÓN]]=R$2,100%,AVANCE[[#This Row],[BALCÓN]])</f>
        <v>0</v>
      </c>
      <c r="BM575" s="3">
        <f>+IF(AVANCE[[#This Row],[RED ALCANTARILLADO]]=U$2,100%,AVANCE[[#This Row],[RED ALCANTARILLADO]])</f>
        <v>0</v>
      </c>
      <c r="BN575" s="3">
        <f>+IF(AVANCE[[#This Row],[RED DE AGUA]]=V$2,100%,AVANCE[[#This Row],[RED DE AGUA]])</f>
        <v>0</v>
      </c>
      <c r="BO575" s="3">
        <f>+IF(AVANCE[[#This Row],[VENTILACIONES]]=W$2,100%,AVANCE[[#This Row],[VENTILACIONES]])</f>
        <v>0</v>
      </c>
      <c r="BP575" s="3">
        <f>+IF(AVANCE[[#This Row],[TINA]]=X$2,100%,AVANCE[[#This Row],[TINA]])</f>
        <v>0</v>
      </c>
      <c r="BQ575" s="3">
        <f>+IF(AVANCE[[#This Row],[WC]]=Y$2,100%,AVANCE[[#This Row],[WC]])</f>
        <v>0</v>
      </c>
      <c r="BR575" s="3">
        <f>+IF(AVANCE[[#This Row],[LAVAMANOS / LAVAPLATOS / LAVADERO]]=Z$2,100%,AVANCE[[#This Row],[LAVAMANOS / LAVAPLATOS / LAVADERO]])</f>
        <v>0</v>
      </c>
      <c r="BS575" s="3">
        <f>+IF(AVANCE[[#This Row],[CANALIZACIÓN]]=AC$2,100%,AVANCE[[#This Row],[CANALIZACIÓN]])</f>
        <v>0</v>
      </c>
      <c r="BT575" s="3">
        <f>+IF(AVANCE[[#This Row],[CABLEADO]]=AD$2,100%,AVANCE[[#This Row],[CABLEADO]])</f>
        <v>0</v>
      </c>
      <c r="BU575" s="3">
        <f>+IF(AVANCE[[#This Row],[ARTEFACTOS]]=AE$2,100%,AVANCE[[#This Row],[ARTEFACTOS]])</f>
        <v>0</v>
      </c>
      <c r="BV575" s="3">
        <f>+IF(AVANCE[[#This Row],[TABLERO]]=AF$2,100%,AVANCE[[#This Row],[TABLERO]])</f>
        <v>0</v>
      </c>
      <c r="BW575" s="3">
        <f>+IF(AVANCE[[#This Row],[CAJA PAU]]=AG$2,100%,AVANCE[[#This Row],[CAJA PAU]])</f>
        <v>0</v>
      </c>
      <c r="BX575" s="3">
        <f>+IF(AVANCE[[#This Row],[INSTALACION VINILICO]]=AJ$2,100%,AVANCE[[#This Row],[INSTALACION VINILICO]])</f>
        <v>0</v>
      </c>
      <c r="BY575" s="3">
        <f>+IF(AVANCE[[#This Row],[OSB CUBIERTA]]=AK$2,100%,AVANCE[[#This Row],[OSB CUBIERTA]])</f>
        <v>0</v>
      </c>
      <c r="BZ575" s="3">
        <f>+IF(AVANCE[[#This Row],[BARANDA BALCON]]=AL$2,100%,AVANCE[[#This Row],[BARANDA BALCON]])</f>
        <v>0</v>
      </c>
      <c r="CA575" s="3">
        <f>+IF(AVANCE[[#This Row],[OSB EXTERIOR]]=AM$2,100%,AVANCE[[#This Row],[OSB EXTERIOR]])</f>
        <v>0</v>
      </c>
      <c r="CB575" s="3">
        <f>+IF(AVANCE[[#This Row],[SMART PANEL]]=AN$2,100%,AVANCE[[#This Row],[SMART PANEL]])</f>
        <v>0</v>
      </c>
      <c r="CC575" s="3">
        <f>+IF(AVANCE[[#This Row],[PINTURA EXTERIOR]]=AO$2,100%,AVANCE[[#This Row],[PINTURA EXTERIOR]])</f>
        <v>0</v>
      </c>
      <c r="CD575" s="3">
        <f>+IF(AVANCE[[#This Row],[ZOCALOS LOGIA]]=AP$2,100%,AVANCE[[#This Row],[ZOCALOS LOGIA]])</f>
        <v>0</v>
      </c>
      <c r="CE575" s="3">
        <f>+IF(AVANCE[[#This Row],[MOLDURAS]]=AQ$2,100%,AVANCE[[#This Row],[MOLDURAS]])</f>
        <v>0</v>
      </c>
      <c r="CF575" s="3">
        <f>+IF(AVANCE[[#This Row],[PILASTREO]]=AR$2,100%,AVANCE[[#This Row],[PILASTREO]])</f>
        <v>0</v>
      </c>
      <c r="CG575" s="3">
        <f>+IF(AVANCE[[#This Row],[CELOSIAS]]=AS$2,100%,AVANCE[[#This Row],[CELOSIAS]])</f>
        <v>0</v>
      </c>
      <c r="CH575" s="3">
        <f>+IF(AVANCE[[#This Row],[VENTANAS]]=AT$2,100%,AVANCE[[#This Row],[VENTANAS]])</f>
        <v>0</v>
      </c>
      <c r="CI575" s="3">
        <f>+IF(AVANCE[[#This Row],[PUERTAS ACCESO - LOGIA - BANO]]=AU$2,100%,AVANCE[[#This Row],[PUERTAS ACCESO - LOGIA - BANO]])</f>
        <v>0</v>
      </c>
      <c r="CJ575" s="3">
        <f>+IF(AVANCE[[#This Row],[CERRADURAS]]=AV$2,100%,AVANCE[[#This Row],[CERRADURAS]])</f>
        <v>0</v>
      </c>
      <c r="CK575" s="3">
        <f>+IF(AVANCE[[#This Row],[REVESTIMIENTO INTERIOR ZONA SECA]]=AW$2,100%,AVANCE[[#This Row],[REVESTIMIENTO INTERIOR ZONA SECA]])</f>
        <v>0</v>
      </c>
      <c r="CL575" s="3">
        <f>+IF(AVANCE[[#This Row],[REVESTIMIENTO INTERIOR ZONAS HUMEDAS]]=AX$2,100%,AVANCE[[#This Row],[REVESTIMIENTO INTERIOR ZONAS HUMEDAS]])</f>
        <v>0</v>
      </c>
      <c r="CM575" s="3">
        <f>+IF(AVANCE[[#This Row],[MEMBRANA CIELO]]=AY$2,100%,AVANCE[[#This Row],[MEMBRANA CIELO]])</f>
        <v>0</v>
      </c>
      <c r="CN575" s="3">
        <f>+IF(AVANCE[[#This Row],[LIMPIEZA FINAL]]=AZ$2,100%,AVANCE[[#This Row],[LIMPIEZA FINAL]])</f>
        <v>0</v>
      </c>
      <c r="CO575" s="3">
        <f>+IF(AVANCE[[#This Row],[PUERTAS DORMITORIO]]=BA$2,100%,AVANCE[[#This Row],[PUERTAS DORMITORIO]])</f>
        <v>0</v>
      </c>
      <c r="CP575" s="3">
        <f>+IF(AVANCE[[#This Row],[REVESTIMIENTO INTERIOR BANO]]=BB$2,100%,AVANCE[[#This Row],[REVESTIMIENTO INTERIOR BANO]])</f>
        <v>0</v>
      </c>
      <c r="CQ575" s="3">
        <f>+IF(AVANCE[[#This Row],[MUEBLE LAVAPLATOS]]=BC$2,100%,AVANCE[[#This Row],[MUEBLE LAVAPLATOS]])</f>
        <v>0</v>
      </c>
      <c r="CR575" s="3">
        <f>+IF(AVANCE[[#This Row],[IMPERMEABILIZACION BANO - COCINA LOGIA]]=BD$2,100%,AVANCE[[#This Row],[IMPERMEABILIZACION BANO - COCINA LOGIA]])</f>
        <v>0</v>
      </c>
      <c r="CS575" s="40">
        <f ca="1">+IF(AVANCE[[#This Row],[ESTADO MODULO]]="PENDIENTE",(TODAY()-AVANCE[[#This Row],[FECHA TERMINO  PLANIFICADO]]),0)</f>
        <v>0</v>
      </c>
      <c r="CT575" s="41" t="str" cm="1">
        <f t="array" ref="CT575">_xlfn.TEXTJOIN(" | ",TRUE,IF(SUMPRODUCT((BG575:CR575&lt;1)*(PARTIDAS!$I$2:$AT$2="OBRA GRUESA"))&gt;0,"OBRA GRUESA: "&amp;_xlfn.TEXTJOIN(", ",TRUE,IF((BG575:CR575&lt;1)*(PARTIDAS!$I$2:$AT$2="OBRA GRUESA"),PARTIDAS!$I$1:$AT$1,"")),""),IF(SUMPRODUCT((BG575:CR575&lt;1)*(PARTIDAS!$I$2:$AT$2="SANITARIOS"))&gt;0,"SANITARIOS: "&amp;_xlfn.TEXTJOIN(", ",TRUE,IF((BG575:CR575&lt;1)*(PARTIDAS!$I$2:$AT$2="SANITARIOS"),PARTIDAS!$I$1:$AT$1,"")),""),IF(SUMPRODUCT((BG575:CR575&lt;1)*(PARTIDAS!$I$2:$AT$2="ELÉCTRICO"))&gt;0,"ELÉCTRICO: "&amp;_xlfn.TEXTJOIN(", ",TRUE,IF((BG575:CR575&lt;1)*(PARTIDAS!$I$2:$AT$2="ELÉCTRICO"),PARTIDAS!$I$1:$AT$1,"")),""),IF(SUMPRODUCT((BG575:CR575&lt;1)*(PARTIDAS!$I$2:$AT$2="TERMINACIONES"))&gt;0,"TERMINACIONES: "&amp;_xlfn.TEXTJOIN(", ",TRUE,IF((BG575:CR575&lt;1)*(PARTIDAS!$I$2:$AT$2="TERMINACIONES"),PARTIDAS!$I$1:$AT$1,"")),""))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5" s="43" t="str" cm="1">
        <f t="array" ref="CU575">_xlfn.TEXTJOIN(", ",TRUE,IF(SUMPRODUCT((BG575:CR575&lt;1)*(PARTIDAS!$I$2:$AT$2="OBRA GRUESA"))&gt;0,"OBRA GRUESA",""),IF(SUMPRODUCT((BG575:CR575&lt;1)*(PARTIDAS!$I$2:$AT$2="SANITARIOS"))&gt;0,"SANITARIOS",""),IF(SUMPRODUCT((BG575:CR575&lt;1)*(PARTIDAS!$I$2:$AT$2="ELÉCTRICO"))&gt;0,"ELÉCTRICO",""),IF(SUMPRODUCT((BG575:CR575&lt;1)*(PARTIDAS!$I$2:$AT$2="TERMINACIONES"))&gt;0,"TERMINACIONES",""))</f>
        <v>OBRA GRUESA, SANITARIOS, ELÉCTRICO, TERMINACIONES</v>
      </c>
      <c r="CV575" s="44" cm="1">
        <f t="array" ref="CV575">SUMPRODUCT(--(BG575:CR575&lt;1))</f>
        <v>38</v>
      </c>
    </row>
    <row r="576" spans="1:100" hidden="1" x14ac:dyDescent="0.25">
      <c r="A576" t="s">
        <v>619</v>
      </c>
      <c r="B576" t="s">
        <v>650</v>
      </c>
      <c r="C576">
        <v>2302600575</v>
      </c>
      <c r="D576" t="s">
        <v>60</v>
      </c>
      <c r="E576" s="2">
        <v>0</v>
      </c>
      <c r="F576" s="1">
        <v>46428</v>
      </c>
      <c r="G576" s="1"/>
      <c r="H576" s="1">
        <v>0</v>
      </c>
      <c r="I576" s="1">
        <v>46458</v>
      </c>
      <c r="J576">
        <v>46230</v>
      </c>
      <c r="K576" s="1"/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>
        <v>31.32</v>
      </c>
      <c r="BF576" s="3" t="str">
        <f>+IF(AVANCE[[#This Row],[% AVANCE]]=100%,"MODULO TERMINADO",IF(AVANCE[[#This Row],[FECHA INICIO REAL]]="","MODULO NO INICIADO","PENDIENTE"))</f>
        <v>MODULO NO INICIADO</v>
      </c>
      <c r="BG576" s="3">
        <f>+IF(AVANCE[[#This Row],[VENTANAS]]=8.10810810810811%,100%,AVANCE[[#This Row],[VENTANAS]])</f>
        <v>0</v>
      </c>
      <c r="BH576" s="3">
        <f>+IF(AVANCE[[#This Row],[PISO]]=N$2,100%,AVANCE[[#This Row],[PISO]])</f>
        <v>0</v>
      </c>
      <c r="BI576" s="3">
        <f>+IF(AVANCE[[#This Row],[TABIQUES]]=O$2,100%,AVANCE[[#This Row],[TABIQUES]])</f>
        <v>0</v>
      </c>
      <c r="BJ576" s="3">
        <f>+IF(AVANCE[[#This Row],[MUROS]]=P$2,100%,AVANCE[[#This Row],[MUROS]])</f>
        <v>0</v>
      </c>
      <c r="BK576" s="3">
        <f>+IF(AVANCE[[#This Row],[CIELO]]=Q$2,100%,AVANCE[[#This Row],[CIELO]])</f>
        <v>0</v>
      </c>
      <c r="BL576" s="3">
        <f>+IF(AVANCE[[#This Row],[BALCÓN]]=R$2,100%,AVANCE[[#This Row],[BALCÓN]])</f>
        <v>0</v>
      </c>
      <c r="BM576" s="3">
        <f>+IF(AVANCE[[#This Row],[RED ALCANTARILLADO]]=U$2,100%,AVANCE[[#This Row],[RED ALCANTARILLADO]])</f>
        <v>0</v>
      </c>
      <c r="BN576" s="3">
        <f>+IF(AVANCE[[#This Row],[RED DE AGUA]]=V$2,100%,AVANCE[[#This Row],[RED DE AGUA]])</f>
        <v>0</v>
      </c>
      <c r="BO576" s="3">
        <f>+IF(AVANCE[[#This Row],[VENTILACIONES]]=W$2,100%,AVANCE[[#This Row],[VENTILACIONES]])</f>
        <v>0</v>
      </c>
      <c r="BP576" s="3">
        <f>+IF(AVANCE[[#This Row],[TINA]]=X$2,100%,AVANCE[[#This Row],[TINA]])</f>
        <v>0</v>
      </c>
      <c r="BQ576" s="3">
        <f>+IF(AVANCE[[#This Row],[WC]]=Y$2,100%,AVANCE[[#This Row],[WC]])</f>
        <v>0</v>
      </c>
      <c r="BR576" s="3">
        <f>+IF(AVANCE[[#This Row],[LAVAMANOS / LAVAPLATOS / LAVADERO]]=Z$2,100%,AVANCE[[#This Row],[LAVAMANOS / LAVAPLATOS / LAVADERO]])</f>
        <v>0</v>
      </c>
      <c r="BS576" s="3">
        <f>+IF(AVANCE[[#This Row],[CANALIZACIÓN]]=AC$2,100%,AVANCE[[#This Row],[CANALIZACIÓN]])</f>
        <v>0</v>
      </c>
      <c r="BT576" s="3">
        <f>+IF(AVANCE[[#This Row],[CABLEADO]]=AD$2,100%,AVANCE[[#This Row],[CABLEADO]])</f>
        <v>0</v>
      </c>
      <c r="BU576" s="3">
        <f>+IF(AVANCE[[#This Row],[ARTEFACTOS]]=AE$2,100%,AVANCE[[#This Row],[ARTEFACTOS]])</f>
        <v>0</v>
      </c>
      <c r="BV576" s="3">
        <f>+IF(AVANCE[[#This Row],[TABLERO]]=AF$2,100%,AVANCE[[#This Row],[TABLERO]])</f>
        <v>0</v>
      </c>
      <c r="BW576" s="3">
        <f>+IF(AVANCE[[#This Row],[CAJA PAU]]=AG$2,100%,AVANCE[[#This Row],[CAJA PAU]])</f>
        <v>0</v>
      </c>
      <c r="BX576" s="3">
        <f>+IF(AVANCE[[#This Row],[INSTALACION VINILICO]]=AJ$2,100%,AVANCE[[#This Row],[INSTALACION VINILICO]])</f>
        <v>0</v>
      </c>
      <c r="BY576" s="3">
        <f>+IF(AVANCE[[#This Row],[OSB CUBIERTA]]=AK$2,100%,AVANCE[[#This Row],[OSB CUBIERTA]])</f>
        <v>0</v>
      </c>
      <c r="BZ576" s="3">
        <f>+IF(AVANCE[[#This Row],[BARANDA BALCON]]=AL$2,100%,AVANCE[[#This Row],[BARANDA BALCON]])</f>
        <v>0</v>
      </c>
      <c r="CA576" s="3">
        <f>+IF(AVANCE[[#This Row],[OSB EXTERIOR]]=AM$2,100%,AVANCE[[#This Row],[OSB EXTERIOR]])</f>
        <v>0</v>
      </c>
      <c r="CB576" s="3">
        <f>+IF(AVANCE[[#This Row],[SMART PANEL]]=AN$2,100%,AVANCE[[#This Row],[SMART PANEL]])</f>
        <v>0</v>
      </c>
      <c r="CC576" s="3">
        <f>+IF(AVANCE[[#This Row],[PINTURA EXTERIOR]]=AO$2,100%,AVANCE[[#This Row],[PINTURA EXTERIOR]])</f>
        <v>0</v>
      </c>
      <c r="CD576" s="3">
        <f>+IF(AVANCE[[#This Row],[ZOCALOS LOGIA]]=AP$2,100%,AVANCE[[#This Row],[ZOCALOS LOGIA]])</f>
        <v>0</v>
      </c>
      <c r="CE576" s="3">
        <f>+IF(AVANCE[[#This Row],[MOLDURAS]]=AQ$2,100%,AVANCE[[#This Row],[MOLDURAS]])</f>
        <v>0</v>
      </c>
      <c r="CF576" s="3">
        <f>+IF(AVANCE[[#This Row],[PILASTREO]]=AR$2,100%,AVANCE[[#This Row],[PILASTREO]])</f>
        <v>0</v>
      </c>
      <c r="CG576" s="3">
        <f>+IF(AVANCE[[#This Row],[CELOSIAS]]=AS$2,100%,AVANCE[[#This Row],[CELOSIAS]])</f>
        <v>0</v>
      </c>
      <c r="CH576" s="3">
        <f>+IF(AVANCE[[#This Row],[VENTANAS]]=AT$2,100%,AVANCE[[#This Row],[VENTANAS]])</f>
        <v>0</v>
      </c>
      <c r="CI576" s="3">
        <f>+IF(AVANCE[[#This Row],[PUERTAS ACCESO - LOGIA - BANO]]=AU$2,100%,AVANCE[[#This Row],[PUERTAS ACCESO - LOGIA - BANO]])</f>
        <v>0</v>
      </c>
      <c r="CJ576" s="3">
        <f>+IF(AVANCE[[#This Row],[CERRADURAS]]=AV$2,100%,AVANCE[[#This Row],[CERRADURAS]])</f>
        <v>0</v>
      </c>
      <c r="CK576" s="3">
        <f>+IF(AVANCE[[#This Row],[REVESTIMIENTO INTERIOR ZONA SECA]]=AW$2,100%,AVANCE[[#This Row],[REVESTIMIENTO INTERIOR ZONA SECA]])</f>
        <v>0</v>
      </c>
      <c r="CL576" s="3">
        <f>+IF(AVANCE[[#This Row],[REVESTIMIENTO INTERIOR ZONAS HUMEDAS]]=AX$2,100%,AVANCE[[#This Row],[REVESTIMIENTO INTERIOR ZONAS HUMEDAS]])</f>
        <v>0</v>
      </c>
      <c r="CM576" s="3">
        <f>+IF(AVANCE[[#This Row],[MEMBRANA CIELO]]=AY$2,100%,AVANCE[[#This Row],[MEMBRANA CIELO]])</f>
        <v>0</v>
      </c>
      <c r="CN576" s="3">
        <f>+IF(AVANCE[[#This Row],[LIMPIEZA FINAL]]=AZ$2,100%,AVANCE[[#This Row],[LIMPIEZA FINAL]])</f>
        <v>0</v>
      </c>
      <c r="CO576" s="3">
        <f>+IF(AVANCE[[#This Row],[PUERTAS DORMITORIO]]=BA$2,100%,AVANCE[[#This Row],[PUERTAS DORMITORIO]])</f>
        <v>0</v>
      </c>
      <c r="CP576" s="3">
        <f>+IF(AVANCE[[#This Row],[REVESTIMIENTO INTERIOR BANO]]=BB$2,100%,AVANCE[[#This Row],[REVESTIMIENTO INTERIOR BANO]])</f>
        <v>0</v>
      </c>
      <c r="CQ576" s="3">
        <f>+IF(AVANCE[[#This Row],[MUEBLE LAVAPLATOS]]=BC$2,100%,AVANCE[[#This Row],[MUEBLE LAVAPLATOS]])</f>
        <v>0</v>
      </c>
      <c r="CR576" s="3">
        <f>+IF(AVANCE[[#This Row],[IMPERMEABILIZACION BANO - COCINA LOGIA]]=BD$2,100%,AVANCE[[#This Row],[IMPERMEABILIZACION BANO - COCINA LOGIA]])</f>
        <v>0</v>
      </c>
      <c r="CS576" s="40">
        <f ca="1">+IF(AVANCE[[#This Row],[ESTADO MODULO]]="PENDIENTE",(TODAY()-AVANCE[[#This Row],[FECHA TERMINO  PLANIFICADO]]),0)</f>
        <v>0</v>
      </c>
      <c r="CT576" s="41" t="str" cm="1">
        <f t="array" ref="CT576">_xlfn.TEXTJOIN(" | ",TRUE,IF(SUMPRODUCT((BG576:CR576&lt;1)*(PARTIDAS!$I$2:$AT$2="OBRA GRUESA"))&gt;0,"OBRA GRUESA: "&amp;_xlfn.TEXTJOIN(", ",TRUE,IF((BG576:CR576&lt;1)*(PARTIDAS!$I$2:$AT$2="OBRA GRUESA"),PARTIDAS!$I$1:$AT$1,"")),""),IF(SUMPRODUCT((BG576:CR576&lt;1)*(PARTIDAS!$I$2:$AT$2="SANITARIOS"))&gt;0,"SANITARIOS: "&amp;_xlfn.TEXTJOIN(", ",TRUE,IF((BG576:CR576&lt;1)*(PARTIDAS!$I$2:$AT$2="SANITARIOS"),PARTIDAS!$I$1:$AT$1,"")),""),IF(SUMPRODUCT((BG576:CR576&lt;1)*(PARTIDAS!$I$2:$AT$2="ELÉCTRICO"))&gt;0,"ELÉCTRICO: "&amp;_xlfn.TEXTJOIN(", ",TRUE,IF((BG576:CR576&lt;1)*(PARTIDAS!$I$2:$AT$2="ELÉCTRICO"),PARTIDAS!$I$1:$AT$1,"")),""),IF(SUMPRODUCT((BG576:CR576&lt;1)*(PARTIDAS!$I$2:$AT$2="TERMINACIONES"))&gt;0,"TERMINACIONES: "&amp;_xlfn.TEXTJOIN(", ",TRUE,IF((BG576:CR576&lt;1)*(PARTIDAS!$I$2:$AT$2="TERMINACIONES"),PARTIDAS!$I$1:$AT$1,"")),""))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6" s="43" t="str" cm="1">
        <f t="array" ref="CU576">_xlfn.TEXTJOIN(", ",TRUE,IF(SUMPRODUCT((BG576:CR576&lt;1)*(PARTIDAS!$I$2:$AT$2="OBRA GRUESA"))&gt;0,"OBRA GRUESA",""),IF(SUMPRODUCT((BG576:CR576&lt;1)*(PARTIDAS!$I$2:$AT$2="SANITARIOS"))&gt;0,"SANITARIOS",""),IF(SUMPRODUCT((BG576:CR576&lt;1)*(PARTIDAS!$I$2:$AT$2="ELÉCTRICO"))&gt;0,"ELÉCTRICO",""),IF(SUMPRODUCT((BG576:CR576&lt;1)*(PARTIDAS!$I$2:$AT$2="TERMINACIONES"))&gt;0,"TERMINACIONES",""))</f>
        <v>OBRA GRUESA, SANITARIOS, ELÉCTRICO, TERMINACIONES</v>
      </c>
      <c r="CV576" s="44" cm="1">
        <f t="array" ref="CV576">SUMPRODUCT(--(BG576:CR576&lt;1))</f>
        <v>38</v>
      </c>
    </row>
    <row r="577" spans="1:100" hidden="1" x14ac:dyDescent="0.25">
      <c r="A577" t="s">
        <v>619</v>
      </c>
      <c r="B577" t="s">
        <v>651</v>
      </c>
      <c r="C577">
        <v>2282600576</v>
      </c>
      <c r="D577" t="s">
        <v>58</v>
      </c>
      <c r="E577" s="2">
        <v>0</v>
      </c>
      <c r="F577" s="1">
        <v>46428</v>
      </c>
      <c r="G577" s="1"/>
      <c r="H577" s="1">
        <v>0</v>
      </c>
      <c r="I577" s="1">
        <v>46448</v>
      </c>
      <c r="J577">
        <v>46230</v>
      </c>
      <c r="K577" s="1"/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>
        <v>28.87</v>
      </c>
      <c r="BF577" s="3" t="str">
        <f>+IF(AVANCE[[#This Row],[% AVANCE]]=100%,"MODULO TERMINADO",IF(AVANCE[[#This Row],[FECHA INICIO REAL]]="","MODULO NO INICIADO","PENDIENTE"))</f>
        <v>MODULO NO INICIADO</v>
      </c>
      <c r="BG577" s="3">
        <f>+IF(AVANCE[[#This Row],[VENTANAS]]=8.10810810810811%,100%,AVANCE[[#This Row],[VENTANAS]])</f>
        <v>0</v>
      </c>
      <c r="BH577" s="3">
        <f>+IF(AVANCE[[#This Row],[PISO]]=N$2,100%,AVANCE[[#This Row],[PISO]])</f>
        <v>0</v>
      </c>
      <c r="BI577" s="3">
        <f>+IF(AVANCE[[#This Row],[TABIQUES]]=O$2,100%,AVANCE[[#This Row],[TABIQUES]])</f>
        <v>0</v>
      </c>
      <c r="BJ577" s="3">
        <f>+IF(AVANCE[[#This Row],[MUROS]]=P$2,100%,AVANCE[[#This Row],[MUROS]])</f>
        <v>0</v>
      </c>
      <c r="BK577" s="3">
        <f>+IF(AVANCE[[#This Row],[CIELO]]=Q$2,100%,AVANCE[[#This Row],[CIELO]])</f>
        <v>0</v>
      </c>
      <c r="BL577" s="3">
        <f>+IF(AVANCE[[#This Row],[BALCÓN]]=R$2,100%,AVANCE[[#This Row],[BALCÓN]])</f>
        <v>0</v>
      </c>
      <c r="BM577" s="3">
        <f>+IF(AVANCE[[#This Row],[RED ALCANTARILLADO]]=U$2,100%,AVANCE[[#This Row],[RED ALCANTARILLADO]])</f>
        <v>0</v>
      </c>
      <c r="BN577" s="3">
        <f>+IF(AVANCE[[#This Row],[RED DE AGUA]]=V$2,100%,AVANCE[[#This Row],[RED DE AGUA]])</f>
        <v>0</v>
      </c>
      <c r="BO577" s="3">
        <f>+IF(AVANCE[[#This Row],[VENTILACIONES]]=W$2,100%,AVANCE[[#This Row],[VENTILACIONES]])</f>
        <v>0</v>
      </c>
      <c r="BP577" s="3">
        <f>+IF(AVANCE[[#This Row],[TINA]]=X$2,100%,AVANCE[[#This Row],[TINA]])</f>
        <v>0</v>
      </c>
      <c r="BQ577" s="3">
        <f>+IF(AVANCE[[#This Row],[WC]]=Y$2,100%,AVANCE[[#This Row],[WC]])</f>
        <v>0</v>
      </c>
      <c r="BR577" s="3">
        <f>+IF(AVANCE[[#This Row],[LAVAMANOS / LAVAPLATOS / LAVADERO]]=Z$2,100%,AVANCE[[#This Row],[LAVAMANOS / LAVAPLATOS / LAVADERO]])</f>
        <v>0</v>
      </c>
      <c r="BS577" s="3">
        <f>+IF(AVANCE[[#This Row],[CANALIZACIÓN]]=AC$2,100%,AVANCE[[#This Row],[CANALIZACIÓN]])</f>
        <v>0</v>
      </c>
      <c r="BT577" s="3">
        <f>+IF(AVANCE[[#This Row],[CABLEADO]]=AD$2,100%,AVANCE[[#This Row],[CABLEADO]])</f>
        <v>0</v>
      </c>
      <c r="BU577" s="3">
        <f>+IF(AVANCE[[#This Row],[ARTEFACTOS]]=AE$2,100%,AVANCE[[#This Row],[ARTEFACTOS]])</f>
        <v>0</v>
      </c>
      <c r="BV577" s="3">
        <f>+IF(AVANCE[[#This Row],[TABLERO]]=AF$2,100%,AVANCE[[#This Row],[TABLERO]])</f>
        <v>0</v>
      </c>
      <c r="BW577" s="3">
        <f>+IF(AVANCE[[#This Row],[CAJA PAU]]=AG$2,100%,AVANCE[[#This Row],[CAJA PAU]])</f>
        <v>0</v>
      </c>
      <c r="BX577" s="3">
        <f>+IF(AVANCE[[#This Row],[INSTALACION VINILICO]]=AJ$2,100%,AVANCE[[#This Row],[INSTALACION VINILICO]])</f>
        <v>0</v>
      </c>
      <c r="BY577" s="3">
        <f>+IF(AVANCE[[#This Row],[OSB CUBIERTA]]=AK$2,100%,AVANCE[[#This Row],[OSB CUBIERTA]])</f>
        <v>0</v>
      </c>
      <c r="BZ577" s="3">
        <f>+IF(AVANCE[[#This Row],[BARANDA BALCON]]=AL$2,100%,AVANCE[[#This Row],[BARANDA BALCON]])</f>
        <v>0</v>
      </c>
      <c r="CA577" s="3">
        <f>+IF(AVANCE[[#This Row],[OSB EXTERIOR]]=AM$2,100%,AVANCE[[#This Row],[OSB EXTERIOR]])</f>
        <v>0</v>
      </c>
      <c r="CB577" s="3">
        <f>+IF(AVANCE[[#This Row],[SMART PANEL]]=AN$2,100%,AVANCE[[#This Row],[SMART PANEL]])</f>
        <v>0</v>
      </c>
      <c r="CC577" s="3">
        <f>+IF(AVANCE[[#This Row],[PINTURA EXTERIOR]]=AO$2,100%,AVANCE[[#This Row],[PINTURA EXTERIOR]])</f>
        <v>0</v>
      </c>
      <c r="CD577" s="3">
        <f>+IF(AVANCE[[#This Row],[ZOCALOS LOGIA]]=AP$2,100%,AVANCE[[#This Row],[ZOCALOS LOGIA]])</f>
        <v>0</v>
      </c>
      <c r="CE577" s="3">
        <f>+IF(AVANCE[[#This Row],[MOLDURAS]]=AQ$2,100%,AVANCE[[#This Row],[MOLDURAS]])</f>
        <v>0</v>
      </c>
      <c r="CF577" s="3">
        <f>+IF(AVANCE[[#This Row],[PILASTREO]]=AR$2,100%,AVANCE[[#This Row],[PILASTREO]])</f>
        <v>0</v>
      </c>
      <c r="CG577" s="3">
        <f>+IF(AVANCE[[#This Row],[CELOSIAS]]=AS$2,100%,AVANCE[[#This Row],[CELOSIAS]])</f>
        <v>0</v>
      </c>
      <c r="CH577" s="3">
        <f>+IF(AVANCE[[#This Row],[VENTANAS]]=AT$2,100%,AVANCE[[#This Row],[VENTANAS]])</f>
        <v>0</v>
      </c>
      <c r="CI577" s="3">
        <f>+IF(AVANCE[[#This Row],[PUERTAS ACCESO - LOGIA - BANO]]=AU$2,100%,AVANCE[[#This Row],[PUERTAS ACCESO - LOGIA - BANO]])</f>
        <v>0</v>
      </c>
      <c r="CJ577" s="3">
        <f>+IF(AVANCE[[#This Row],[CERRADURAS]]=AV$2,100%,AVANCE[[#This Row],[CERRADURAS]])</f>
        <v>0</v>
      </c>
      <c r="CK577" s="3">
        <f>+IF(AVANCE[[#This Row],[REVESTIMIENTO INTERIOR ZONA SECA]]=AW$2,100%,AVANCE[[#This Row],[REVESTIMIENTO INTERIOR ZONA SECA]])</f>
        <v>0</v>
      </c>
      <c r="CL577" s="3">
        <f>+IF(AVANCE[[#This Row],[REVESTIMIENTO INTERIOR ZONAS HUMEDAS]]=AX$2,100%,AVANCE[[#This Row],[REVESTIMIENTO INTERIOR ZONAS HUMEDAS]])</f>
        <v>0</v>
      </c>
      <c r="CM577" s="3">
        <f>+IF(AVANCE[[#This Row],[MEMBRANA CIELO]]=AY$2,100%,AVANCE[[#This Row],[MEMBRANA CIELO]])</f>
        <v>0</v>
      </c>
      <c r="CN577" s="3">
        <f>+IF(AVANCE[[#This Row],[LIMPIEZA FINAL]]=AZ$2,100%,AVANCE[[#This Row],[LIMPIEZA FINAL]])</f>
        <v>0</v>
      </c>
      <c r="CO577" s="3">
        <f>+IF(AVANCE[[#This Row],[PUERTAS DORMITORIO]]=BA$2,100%,AVANCE[[#This Row],[PUERTAS DORMITORIO]])</f>
        <v>0</v>
      </c>
      <c r="CP577" s="3">
        <f>+IF(AVANCE[[#This Row],[REVESTIMIENTO INTERIOR BANO]]=BB$2,100%,AVANCE[[#This Row],[REVESTIMIENTO INTERIOR BANO]])</f>
        <v>0</v>
      </c>
      <c r="CQ577" s="3">
        <f>+IF(AVANCE[[#This Row],[MUEBLE LAVAPLATOS]]=BC$2,100%,AVANCE[[#This Row],[MUEBLE LAVAPLATOS]])</f>
        <v>0</v>
      </c>
      <c r="CR577" s="3">
        <f>+IF(AVANCE[[#This Row],[IMPERMEABILIZACION BANO - COCINA LOGIA]]=BD$2,100%,AVANCE[[#This Row],[IMPERMEABILIZACION BANO - COCINA LOGIA]])</f>
        <v>0</v>
      </c>
      <c r="CS577" s="40">
        <f ca="1">+IF(AVANCE[[#This Row],[ESTADO MODULO]]="PENDIENTE",(TODAY()-AVANCE[[#This Row],[FECHA TERMINO  PLANIFICADO]]),0)</f>
        <v>0</v>
      </c>
      <c r="CT577" s="41" t="str" cm="1">
        <f t="array" ref="CT577">_xlfn.TEXTJOIN(" | ",TRUE,IF(SUMPRODUCT((BG577:CR577&lt;1)*(PARTIDAS!$I$2:$AT$2="OBRA GRUESA"))&gt;0,"OBRA GRUESA: "&amp;_xlfn.TEXTJOIN(", ",TRUE,IF((BG577:CR577&lt;1)*(PARTIDAS!$I$2:$AT$2="OBRA GRUESA"),PARTIDAS!$I$1:$AT$1,"")),""),IF(SUMPRODUCT((BG577:CR577&lt;1)*(PARTIDAS!$I$2:$AT$2="SANITARIOS"))&gt;0,"SANITARIOS: "&amp;_xlfn.TEXTJOIN(", ",TRUE,IF((BG577:CR577&lt;1)*(PARTIDAS!$I$2:$AT$2="SANITARIOS"),PARTIDAS!$I$1:$AT$1,"")),""),IF(SUMPRODUCT((BG577:CR577&lt;1)*(PARTIDAS!$I$2:$AT$2="ELÉCTRICO"))&gt;0,"ELÉCTRICO: "&amp;_xlfn.TEXTJOIN(", ",TRUE,IF((BG577:CR577&lt;1)*(PARTIDAS!$I$2:$AT$2="ELÉCTRICO"),PARTIDAS!$I$1:$AT$1,"")),""),IF(SUMPRODUCT((BG577:CR577&lt;1)*(PARTIDAS!$I$2:$AT$2="TERMINACIONES"))&gt;0,"TERMINACIONES: "&amp;_xlfn.TEXTJOIN(", ",TRUE,IF((BG577:CR577&lt;1)*(PARTIDAS!$I$2:$AT$2="TERMINACIONES"),PARTIDAS!$I$1:$AT$1,"")),""))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7" s="43" t="str" cm="1">
        <f t="array" ref="CU577">_xlfn.TEXTJOIN(", ",TRUE,IF(SUMPRODUCT((BG577:CR577&lt;1)*(PARTIDAS!$I$2:$AT$2="OBRA GRUESA"))&gt;0,"OBRA GRUESA",""),IF(SUMPRODUCT((BG577:CR577&lt;1)*(PARTIDAS!$I$2:$AT$2="SANITARIOS"))&gt;0,"SANITARIOS",""),IF(SUMPRODUCT((BG577:CR577&lt;1)*(PARTIDAS!$I$2:$AT$2="ELÉCTRICO"))&gt;0,"ELÉCTRICO",""),IF(SUMPRODUCT((BG577:CR577&lt;1)*(PARTIDAS!$I$2:$AT$2="TERMINACIONES"))&gt;0,"TERMINACIONES",""))</f>
        <v>OBRA GRUESA, SANITARIOS, ELÉCTRICO, TERMINACIONES</v>
      </c>
      <c r="CV577" s="44" cm="1">
        <f t="array" ref="CV577">SUMPRODUCT(--(BG577:CR577&lt;1))</f>
        <v>38</v>
      </c>
    </row>
    <row r="578" spans="1:100" hidden="1" x14ac:dyDescent="0.25">
      <c r="A578" t="s">
        <v>652</v>
      </c>
      <c r="B578" t="s">
        <v>653</v>
      </c>
      <c r="C578">
        <v>2282600577</v>
      </c>
      <c r="D578" t="s">
        <v>58</v>
      </c>
      <c r="E578" s="2">
        <v>0</v>
      </c>
      <c r="F578" s="1">
        <v>46428</v>
      </c>
      <c r="G578" s="1"/>
      <c r="H578" s="1">
        <v>0</v>
      </c>
      <c r="I578" s="1">
        <v>46448</v>
      </c>
      <c r="J578">
        <v>46230</v>
      </c>
      <c r="K578" s="1"/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>
        <v>28.87</v>
      </c>
      <c r="BF578" s="3" t="str">
        <f>+IF(AVANCE[[#This Row],[% AVANCE]]=100%,"MODULO TERMINADO",IF(AVANCE[[#This Row],[FECHA INICIO REAL]]="","MODULO NO INICIADO","PENDIENTE"))</f>
        <v>MODULO NO INICIADO</v>
      </c>
      <c r="BG578" s="3">
        <f>+IF(AVANCE[[#This Row],[VENTANAS]]=8.10810810810811%,100%,AVANCE[[#This Row],[VENTANAS]])</f>
        <v>0</v>
      </c>
      <c r="BH578" s="3">
        <f>+IF(AVANCE[[#This Row],[PISO]]=N$2,100%,AVANCE[[#This Row],[PISO]])</f>
        <v>0</v>
      </c>
      <c r="BI578" s="3">
        <f>+IF(AVANCE[[#This Row],[TABIQUES]]=O$2,100%,AVANCE[[#This Row],[TABIQUES]])</f>
        <v>0</v>
      </c>
      <c r="BJ578" s="3">
        <f>+IF(AVANCE[[#This Row],[MUROS]]=P$2,100%,AVANCE[[#This Row],[MUROS]])</f>
        <v>0</v>
      </c>
      <c r="BK578" s="3">
        <f>+IF(AVANCE[[#This Row],[CIELO]]=Q$2,100%,AVANCE[[#This Row],[CIELO]])</f>
        <v>0</v>
      </c>
      <c r="BL578" s="3">
        <f>+IF(AVANCE[[#This Row],[BALCÓN]]=R$2,100%,AVANCE[[#This Row],[BALCÓN]])</f>
        <v>0</v>
      </c>
      <c r="BM578" s="3">
        <f>+IF(AVANCE[[#This Row],[RED ALCANTARILLADO]]=U$2,100%,AVANCE[[#This Row],[RED ALCANTARILLADO]])</f>
        <v>0</v>
      </c>
      <c r="BN578" s="3">
        <f>+IF(AVANCE[[#This Row],[RED DE AGUA]]=V$2,100%,AVANCE[[#This Row],[RED DE AGUA]])</f>
        <v>0</v>
      </c>
      <c r="BO578" s="3">
        <f>+IF(AVANCE[[#This Row],[VENTILACIONES]]=W$2,100%,AVANCE[[#This Row],[VENTILACIONES]])</f>
        <v>0</v>
      </c>
      <c r="BP578" s="3">
        <f>+IF(AVANCE[[#This Row],[TINA]]=X$2,100%,AVANCE[[#This Row],[TINA]])</f>
        <v>0</v>
      </c>
      <c r="BQ578" s="3">
        <f>+IF(AVANCE[[#This Row],[WC]]=Y$2,100%,AVANCE[[#This Row],[WC]])</f>
        <v>0</v>
      </c>
      <c r="BR578" s="3">
        <f>+IF(AVANCE[[#This Row],[LAVAMANOS / LAVAPLATOS / LAVADERO]]=Z$2,100%,AVANCE[[#This Row],[LAVAMANOS / LAVAPLATOS / LAVADERO]])</f>
        <v>0</v>
      </c>
      <c r="BS578" s="3">
        <f>+IF(AVANCE[[#This Row],[CANALIZACIÓN]]=AC$2,100%,AVANCE[[#This Row],[CANALIZACIÓN]])</f>
        <v>0</v>
      </c>
      <c r="BT578" s="3">
        <f>+IF(AVANCE[[#This Row],[CABLEADO]]=AD$2,100%,AVANCE[[#This Row],[CABLEADO]])</f>
        <v>0</v>
      </c>
      <c r="BU578" s="3">
        <f>+IF(AVANCE[[#This Row],[ARTEFACTOS]]=AE$2,100%,AVANCE[[#This Row],[ARTEFACTOS]])</f>
        <v>0</v>
      </c>
      <c r="BV578" s="3">
        <f>+IF(AVANCE[[#This Row],[TABLERO]]=AF$2,100%,AVANCE[[#This Row],[TABLERO]])</f>
        <v>0</v>
      </c>
      <c r="BW578" s="3">
        <f>+IF(AVANCE[[#This Row],[CAJA PAU]]=AG$2,100%,AVANCE[[#This Row],[CAJA PAU]])</f>
        <v>0</v>
      </c>
      <c r="BX578" s="3">
        <f>+IF(AVANCE[[#This Row],[INSTALACION VINILICO]]=AJ$2,100%,AVANCE[[#This Row],[INSTALACION VINILICO]])</f>
        <v>0</v>
      </c>
      <c r="BY578" s="3">
        <f>+IF(AVANCE[[#This Row],[OSB CUBIERTA]]=AK$2,100%,AVANCE[[#This Row],[OSB CUBIERTA]])</f>
        <v>0</v>
      </c>
      <c r="BZ578" s="3">
        <f>+IF(AVANCE[[#This Row],[BARANDA BALCON]]=AL$2,100%,AVANCE[[#This Row],[BARANDA BALCON]])</f>
        <v>0</v>
      </c>
      <c r="CA578" s="3">
        <f>+IF(AVANCE[[#This Row],[OSB EXTERIOR]]=AM$2,100%,AVANCE[[#This Row],[OSB EXTERIOR]])</f>
        <v>0</v>
      </c>
      <c r="CB578" s="3">
        <f>+IF(AVANCE[[#This Row],[SMART PANEL]]=AN$2,100%,AVANCE[[#This Row],[SMART PANEL]])</f>
        <v>0</v>
      </c>
      <c r="CC578" s="3">
        <f>+IF(AVANCE[[#This Row],[PINTURA EXTERIOR]]=AO$2,100%,AVANCE[[#This Row],[PINTURA EXTERIOR]])</f>
        <v>0</v>
      </c>
      <c r="CD578" s="3">
        <f>+IF(AVANCE[[#This Row],[ZOCALOS LOGIA]]=AP$2,100%,AVANCE[[#This Row],[ZOCALOS LOGIA]])</f>
        <v>0</v>
      </c>
      <c r="CE578" s="3">
        <f>+IF(AVANCE[[#This Row],[MOLDURAS]]=AQ$2,100%,AVANCE[[#This Row],[MOLDURAS]])</f>
        <v>0</v>
      </c>
      <c r="CF578" s="3">
        <f>+IF(AVANCE[[#This Row],[PILASTREO]]=AR$2,100%,AVANCE[[#This Row],[PILASTREO]])</f>
        <v>0</v>
      </c>
      <c r="CG578" s="3">
        <f>+IF(AVANCE[[#This Row],[CELOSIAS]]=AS$2,100%,AVANCE[[#This Row],[CELOSIAS]])</f>
        <v>0</v>
      </c>
      <c r="CH578" s="3">
        <f>+IF(AVANCE[[#This Row],[VENTANAS]]=AT$2,100%,AVANCE[[#This Row],[VENTANAS]])</f>
        <v>0</v>
      </c>
      <c r="CI578" s="3">
        <f>+IF(AVANCE[[#This Row],[PUERTAS ACCESO - LOGIA - BANO]]=AU$2,100%,AVANCE[[#This Row],[PUERTAS ACCESO - LOGIA - BANO]])</f>
        <v>0</v>
      </c>
      <c r="CJ578" s="3">
        <f>+IF(AVANCE[[#This Row],[CERRADURAS]]=AV$2,100%,AVANCE[[#This Row],[CERRADURAS]])</f>
        <v>0</v>
      </c>
      <c r="CK578" s="3">
        <f>+IF(AVANCE[[#This Row],[REVESTIMIENTO INTERIOR ZONA SECA]]=AW$2,100%,AVANCE[[#This Row],[REVESTIMIENTO INTERIOR ZONA SECA]])</f>
        <v>0</v>
      </c>
      <c r="CL578" s="3">
        <f>+IF(AVANCE[[#This Row],[REVESTIMIENTO INTERIOR ZONAS HUMEDAS]]=AX$2,100%,AVANCE[[#This Row],[REVESTIMIENTO INTERIOR ZONAS HUMEDAS]])</f>
        <v>0</v>
      </c>
      <c r="CM578" s="3">
        <f>+IF(AVANCE[[#This Row],[MEMBRANA CIELO]]=AY$2,100%,AVANCE[[#This Row],[MEMBRANA CIELO]])</f>
        <v>0</v>
      </c>
      <c r="CN578" s="3">
        <f>+IF(AVANCE[[#This Row],[LIMPIEZA FINAL]]=AZ$2,100%,AVANCE[[#This Row],[LIMPIEZA FINAL]])</f>
        <v>0</v>
      </c>
      <c r="CO578" s="3">
        <f>+IF(AVANCE[[#This Row],[PUERTAS DORMITORIO]]=BA$2,100%,AVANCE[[#This Row],[PUERTAS DORMITORIO]])</f>
        <v>0</v>
      </c>
      <c r="CP578" s="3">
        <f>+IF(AVANCE[[#This Row],[REVESTIMIENTO INTERIOR BANO]]=BB$2,100%,AVANCE[[#This Row],[REVESTIMIENTO INTERIOR BANO]])</f>
        <v>0</v>
      </c>
      <c r="CQ578" s="3">
        <f>+IF(AVANCE[[#This Row],[MUEBLE LAVAPLATOS]]=BC$2,100%,AVANCE[[#This Row],[MUEBLE LAVAPLATOS]])</f>
        <v>0</v>
      </c>
      <c r="CR578" s="3">
        <f>+IF(AVANCE[[#This Row],[IMPERMEABILIZACION BANO - COCINA LOGIA]]=BD$2,100%,AVANCE[[#This Row],[IMPERMEABILIZACION BANO - COCINA LOGIA]])</f>
        <v>0</v>
      </c>
      <c r="CS578" s="40">
        <f ca="1">+IF(AVANCE[[#This Row],[ESTADO MODULO]]="PENDIENTE",(TODAY()-AVANCE[[#This Row],[FECHA TERMINO  PLANIFICADO]]),0)</f>
        <v>0</v>
      </c>
      <c r="CT578" s="41" t="str" cm="1">
        <f t="array" ref="CT578">_xlfn.TEXTJOIN(" | ",TRUE,IF(SUMPRODUCT((BG578:CR578&lt;1)*(PARTIDAS!$I$2:$AT$2="OBRA GRUESA"))&gt;0,"OBRA GRUESA: "&amp;_xlfn.TEXTJOIN(", ",TRUE,IF((BG578:CR578&lt;1)*(PARTIDAS!$I$2:$AT$2="OBRA GRUESA"),PARTIDAS!$I$1:$AT$1,"")),""),IF(SUMPRODUCT((BG578:CR578&lt;1)*(PARTIDAS!$I$2:$AT$2="SANITARIOS"))&gt;0,"SANITARIOS: "&amp;_xlfn.TEXTJOIN(", ",TRUE,IF((BG578:CR578&lt;1)*(PARTIDAS!$I$2:$AT$2="SANITARIOS"),PARTIDAS!$I$1:$AT$1,"")),""),IF(SUMPRODUCT((BG578:CR578&lt;1)*(PARTIDAS!$I$2:$AT$2="ELÉCTRICO"))&gt;0,"ELÉCTRICO: "&amp;_xlfn.TEXTJOIN(", ",TRUE,IF((BG578:CR578&lt;1)*(PARTIDAS!$I$2:$AT$2="ELÉCTRICO"),PARTIDAS!$I$1:$AT$1,"")),""),IF(SUMPRODUCT((BG578:CR578&lt;1)*(PARTIDAS!$I$2:$AT$2="TERMINACIONES"))&gt;0,"TERMINACIONES: "&amp;_xlfn.TEXTJOIN(", ",TRUE,IF((BG578:CR578&lt;1)*(PARTIDAS!$I$2:$AT$2="TERMINACIONES"),PARTIDAS!$I$1:$AT$1,"")),""))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8" s="43" t="str" cm="1">
        <f t="array" ref="CU578">_xlfn.TEXTJOIN(", ",TRUE,IF(SUMPRODUCT((BG578:CR578&lt;1)*(PARTIDAS!$I$2:$AT$2="OBRA GRUESA"))&gt;0,"OBRA GRUESA",""),IF(SUMPRODUCT((BG578:CR578&lt;1)*(PARTIDAS!$I$2:$AT$2="SANITARIOS"))&gt;0,"SANITARIOS",""),IF(SUMPRODUCT((BG578:CR578&lt;1)*(PARTIDAS!$I$2:$AT$2="ELÉCTRICO"))&gt;0,"ELÉCTRICO",""),IF(SUMPRODUCT((BG578:CR578&lt;1)*(PARTIDAS!$I$2:$AT$2="TERMINACIONES"))&gt;0,"TERMINACIONES",""))</f>
        <v>OBRA GRUESA, SANITARIOS, ELÉCTRICO, TERMINACIONES</v>
      </c>
      <c r="CV578" s="44" cm="1">
        <f t="array" ref="CV578">SUMPRODUCT(--(BG578:CR578&lt;1))</f>
        <v>38</v>
      </c>
    </row>
    <row r="579" spans="1:100" hidden="1" x14ac:dyDescent="0.25">
      <c r="A579" t="s">
        <v>652</v>
      </c>
      <c r="B579" t="s">
        <v>654</v>
      </c>
      <c r="C579">
        <v>2302600578</v>
      </c>
      <c r="D579" t="s">
        <v>60</v>
      </c>
      <c r="E579" s="2">
        <v>0</v>
      </c>
      <c r="F579" s="1">
        <v>46429</v>
      </c>
      <c r="G579" s="1"/>
      <c r="H579" s="1">
        <v>0</v>
      </c>
      <c r="I579" s="1">
        <v>46459</v>
      </c>
      <c r="J579">
        <v>46230</v>
      </c>
      <c r="K579" s="1"/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>
        <v>31.32</v>
      </c>
      <c r="BF579" s="3" t="str">
        <f>+IF(AVANCE[[#This Row],[% AVANCE]]=100%,"MODULO TERMINADO",IF(AVANCE[[#This Row],[FECHA INICIO REAL]]="","MODULO NO INICIADO","PENDIENTE"))</f>
        <v>MODULO NO INICIADO</v>
      </c>
      <c r="BG579" s="3">
        <f>+IF(AVANCE[[#This Row],[VENTANAS]]=8.10810810810811%,100%,AVANCE[[#This Row],[VENTANAS]])</f>
        <v>0</v>
      </c>
      <c r="BH579" s="3">
        <f>+IF(AVANCE[[#This Row],[PISO]]=N$2,100%,AVANCE[[#This Row],[PISO]])</f>
        <v>0</v>
      </c>
      <c r="BI579" s="3">
        <f>+IF(AVANCE[[#This Row],[TABIQUES]]=O$2,100%,AVANCE[[#This Row],[TABIQUES]])</f>
        <v>0</v>
      </c>
      <c r="BJ579" s="3">
        <f>+IF(AVANCE[[#This Row],[MUROS]]=P$2,100%,AVANCE[[#This Row],[MUROS]])</f>
        <v>0</v>
      </c>
      <c r="BK579" s="3">
        <f>+IF(AVANCE[[#This Row],[CIELO]]=Q$2,100%,AVANCE[[#This Row],[CIELO]])</f>
        <v>0</v>
      </c>
      <c r="BL579" s="3">
        <f>+IF(AVANCE[[#This Row],[BALCÓN]]=R$2,100%,AVANCE[[#This Row],[BALCÓN]])</f>
        <v>0</v>
      </c>
      <c r="BM579" s="3">
        <f>+IF(AVANCE[[#This Row],[RED ALCANTARILLADO]]=U$2,100%,AVANCE[[#This Row],[RED ALCANTARILLADO]])</f>
        <v>0</v>
      </c>
      <c r="BN579" s="3">
        <f>+IF(AVANCE[[#This Row],[RED DE AGUA]]=V$2,100%,AVANCE[[#This Row],[RED DE AGUA]])</f>
        <v>0</v>
      </c>
      <c r="BO579" s="3">
        <f>+IF(AVANCE[[#This Row],[VENTILACIONES]]=W$2,100%,AVANCE[[#This Row],[VENTILACIONES]])</f>
        <v>0</v>
      </c>
      <c r="BP579" s="3">
        <f>+IF(AVANCE[[#This Row],[TINA]]=X$2,100%,AVANCE[[#This Row],[TINA]])</f>
        <v>0</v>
      </c>
      <c r="BQ579" s="3">
        <f>+IF(AVANCE[[#This Row],[WC]]=Y$2,100%,AVANCE[[#This Row],[WC]])</f>
        <v>0</v>
      </c>
      <c r="BR579" s="3">
        <f>+IF(AVANCE[[#This Row],[LAVAMANOS / LAVAPLATOS / LAVADERO]]=Z$2,100%,AVANCE[[#This Row],[LAVAMANOS / LAVAPLATOS / LAVADERO]])</f>
        <v>0</v>
      </c>
      <c r="BS579" s="3">
        <f>+IF(AVANCE[[#This Row],[CANALIZACIÓN]]=AC$2,100%,AVANCE[[#This Row],[CANALIZACIÓN]])</f>
        <v>0</v>
      </c>
      <c r="BT579" s="3">
        <f>+IF(AVANCE[[#This Row],[CABLEADO]]=AD$2,100%,AVANCE[[#This Row],[CABLEADO]])</f>
        <v>0</v>
      </c>
      <c r="BU579" s="3">
        <f>+IF(AVANCE[[#This Row],[ARTEFACTOS]]=AE$2,100%,AVANCE[[#This Row],[ARTEFACTOS]])</f>
        <v>0</v>
      </c>
      <c r="BV579" s="3">
        <f>+IF(AVANCE[[#This Row],[TABLERO]]=AF$2,100%,AVANCE[[#This Row],[TABLERO]])</f>
        <v>0</v>
      </c>
      <c r="BW579" s="3">
        <f>+IF(AVANCE[[#This Row],[CAJA PAU]]=AG$2,100%,AVANCE[[#This Row],[CAJA PAU]])</f>
        <v>0</v>
      </c>
      <c r="BX579" s="3">
        <f>+IF(AVANCE[[#This Row],[INSTALACION VINILICO]]=AJ$2,100%,AVANCE[[#This Row],[INSTALACION VINILICO]])</f>
        <v>0</v>
      </c>
      <c r="BY579" s="3">
        <f>+IF(AVANCE[[#This Row],[OSB CUBIERTA]]=AK$2,100%,AVANCE[[#This Row],[OSB CUBIERTA]])</f>
        <v>0</v>
      </c>
      <c r="BZ579" s="3">
        <f>+IF(AVANCE[[#This Row],[BARANDA BALCON]]=AL$2,100%,AVANCE[[#This Row],[BARANDA BALCON]])</f>
        <v>0</v>
      </c>
      <c r="CA579" s="3">
        <f>+IF(AVANCE[[#This Row],[OSB EXTERIOR]]=AM$2,100%,AVANCE[[#This Row],[OSB EXTERIOR]])</f>
        <v>0</v>
      </c>
      <c r="CB579" s="3">
        <f>+IF(AVANCE[[#This Row],[SMART PANEL]]=AN$2,100%,AVANCE[[#This Row],[SMART PANEL]])</f>
        <v>0</v>
      </c>
      <c r="CC579" s="3">
        <f>+IF(AVANCE[[#This Row],[PINTURA EXTERIOR]]=AO$2,100%,AVANCE[[#This Row],[PINTURA EXTERIOR]])</f>
        <v>0</v>
      </c>
      <c r="CD579" s="3">
        <f>+IF(AVANCE[[#This Row],[ZOCALOS LOGIA]]=AP$2,100%,AVANCE[[#This Row],[ZOCALOS LOGIA]])</f>
        <v>0</v>
      </c>
      <c r="CE579" s="3">
        <f>+IF(AVANCE[[#This Row],[MOLDURAS]]=AQ$2,100%,AVANCE[[#This Row],[MOLDURAS]])</f>
        <v>0</v>
      </c>
      <c r="CF579" s="3">
        <f>+IF(AVANCE[[#This Row],[PILASTREO]]=AR$2,100%,AVANCE[[#This Row],[PILASTREO]])</f>
        <v>0</v>
      </c>
      <c r="CG579" s="3">
        <f>+IF(AVANCE[[#This Row],[CELOSIAS]]=AS$2,100%,AVANCE[[#This Row],[CELOSIAS]])</f>
        <v>0</v>
      </c>
      <c r="CH579" s="3">
        <f>+IF(AVANCE[[#This Row],[VENTANAS]]=AT$2,100%,AVANCE[[#This Row],[VENTANAS]])</f>
        <v>0</v>
      </c>
      <c r="CI579" s="3">
        <f>+IF(AVANCE[[#This Row],[PUERTAS ACCESO - LOGIA - BANO]]=AU$2,100%,AVANCE[[#This Row],[PUERTAS ACCESO - LOGIA - BANO]])</f>
        <v>0</v>
      </c>
      <c r="CJ579" s="3">
        <f>+IF(AVANCE[[#This Row],[CERRADURAS]]=AV$2,100%,AVANCE[[#This Row],[CERRADURAS]])</f>
        <v>0</v>
      </c>
      <c r="CK579" s="3">
        <f>+IF(AVANCE[[#This Row],[REVESTIMIENTO INTERIOR ZONA SECA]]=AW$2,100%,AVANCE[[#This Row],[REVESTIMIENTO INTERIOR ZONA SECA]])</f>
        <v>0</v>
      </c>
      <c r="CL579" s="3">
        <f>+IF(AVANCE[[#This Row],[REVESTIMIENTO INTERIOR ZONAS HUMEDAS]]=AX$2,100%,AVANCE[[#This Row],[REVESTIMIENTO INTERIOR ZONAS HUMEDAS]])</f>
        <v>0</v>
      </c>
      <c r="CM579" s="3">
        <f>+IF(AVANCE[[#This Row],[MEMBRANA CIELO]]=AY$2,100%,AVANCE[[#This Row],[MEMBRANA CIELO]])</f>
        <v>0</v>
      </c>
      <c r="CN579" s="3">
        <f>+IF(AVANCE[[#This Row],[LIMPIEZA FINAL]]=AZ$2,100%,AVANCE[[#This Row],[LIMPIEZA FINAL]])</f>
        <v>0</v>
      </c>
      <c r="CO579" s="3">
        <f>+IF(AVANCE[[#This Row],[PUERTAS DORMITORIO]]=BA$2,100%,AVANCE[[#This Row],[PUERTAS DORMITORIO]])</f>
        <v>0</v>
      </c>
      <c r="CP579" s="3">
        <f>+IF(AVANCE[[#This Row],[REVESTIMIENTO INTERIOR BANO]]=BB$2,100%,AVANCE[[#This Row],[REVESTIMIENTO INTERIOR BANO]])</f>
        <v>0</v>
      </c>
      <c r="CQ579" s="3">
        <f>+IF(AVANCE[[#This Row],[MUEBLE LAVAPLATOS]]=BC$2,100%,AVANCE[[#This Row],[MUEBLE LAVAPLATOS]])</f>
        <v>0</v>
      </c>
      <c r="CR579" s="3">
        <f>+IF(AVANCE[[#This Row],[IMPERMEABILIZACION BANO - COCINA LOGIA]]=BD$2,100%,AVANCE[[#This Row],[IMPERMEABILIZACION BANO - COCINA LOGIA]])</f>
        <v>0</v>
      </c>
      <c r="CS579" s="40">
        <f ca="1">+IF(AVANCE[[#This Row],[ESTADO MODULO]]="PENDIENTE",(TODAY()-AVANCE[[#This Row],[FECHA TERMINO  PLANIFICADO]]),0)</f>
        <v>0</v>
      </c>
      <c r="CT579" s="41" t="str" cm="1">
        <f t="array" ref="CT579">_xlfn.TEXTJOIN(" | ",TRUE,IF(SUMPRODUCT((BG579:CR579&lt;1)*(PARTIDAS!$I$2:$AT$2="OBRA GRUESA"))&gt;0,"OBRA GRUESA: "&amp;_xlfn.TEXTJOIN(", ",TRUE,IF((BG579:CR579&lt;1)*(PARTIDAS!$I$2:$AT$2="OBRA GRUESA"),PARTIDAS!$I$1:$AT$1,"")),""),IF(SUMPRODUCT((BG579:CR579&lt;1)*(PARTIDAS!$I$2:$AT$2="SANITARIOS"))&gt;0,"SANITARIOS: "&amp;_xlfn.TEXTJOIN(", ",TRUE,IF((BG579:CR579&lt;1)*(PARTIDAS!$I$2:$AT$2="SANITARIOS"),PARTIDAS!$I$1:$AT$1,"")),""),IF(SUMPRODUCT((BG579:CR579&lt;1)*(PARTIDAS!$I$2:$AT$2="ELÉCTRICO"))&gt;0,"ELÉCTRICO: "&amp;_xlfn.TEXTJOIN(", ",TRUE,IF((BG579:CR579&lt;1)*(PARTIDAS!$I$2:$AT$2="ELÉCTRICO"),PARTIDAS!$I$1:$AT$1,"")),""),IF(SUMPRODUCT((BG579:CR579&lt;1)*(PARTIDAS!$I$2:$AT$2="TERMINACIONES"))&gt;0,"TERMINACIONES: "&amp;_xlfn.TEXTJOIN(", ",TRUE,IF((BG579:CR579&lt;1)*(PARTIDAS!$I$2:$AT$2="TERMINACIONES"),PARTIDAS!$I$1:$AT$1,"")),""))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79" s="43" t="str" cm="1">
        <f t="array" ref="CU579">_xlfn.TEXTJOIN(", ",TRUE,IF(SUMPRODUCT((BG579:CR579&lt;1)*(PARTIDAS!$I$2:$AT$2="OBRA GRUESA"))&gt;0,"OBRA GRUESA",""),IF(SUMPRODUCT((BG579:CR579&lt;1)*(PARTIDAS!$I$2:$AT$2="SANITARIOS"))&gt;0,"SANITARIOS",""),IF(SUMPRODUCT((BG579:CR579&lt;1)*(PARTIDAS!$I$2:$AT$2="ELÉCTRICO"))&gt;0,"ELÉCTRICO",""),IF(SUMPRODUCT((BG579:CR579&lt;1)*(PARTIDAS!$I$2:$AT$2="TERMINACIONES"))&gt;0,"TERMINACIONES",""))</f>
        <v>OBRA GRUESA, SANITARIOS, ELÉCTRICO, TERMINACIONES</v>
      </c>
      <c r="CV579" s="44" cm="1">
        <f t="array" ref="CV579">SUMPRODUCT(--(BG579:CR579&lt;1))</f>
        <v>38</v>
      </c>
    </row>
    <row r="580" spans="1:100" hidden="1" x14ac:dyDescent="0.25">
      <c r="A580" t="s">
        <v>652</v>
      </c>
      <c r="B580" t="s">
        <v>655</v>
      </c>
      <c r="C580">
        <v>2302600579</v>
      </c>
      <c r="D580" t="s">
        <v>60</v>
      </c>
      <c r="E580" s="2">
        <v>0</v>
      </c>
      <c r="F580" s="1">
        <v>46429</v>
      </c>
      <c r="G580" s="1"/>
      <c r="H580" s="1">
        <v>0</v>
      </c>
      <c r="I580" s="1">
        <v>46459</v>
      </c>
      <c r="J580">
        <v>46230</v>
      </c>
      <c r="K580" s="1"/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>
        <v>31.32</v>
      </c>
      <c r="BF580" s="3" t="str">
        <f>+IF(AVANCE[[#This Row],[% AVANCE]]=100%,"MODULO TERMINADO",IF(AVANCE[[#This Row],[FECHA INICIO REAL]]="","MODULO NO INICIADO","PENDIENTE"))</f>
        <v>MODULO NO INICIADO</v>
      </c>
      <c r="BG580" s="3">
        <f>+IF(AVANCE[[#This Row],[VENTANAS]]=8.10810810810811%,100%,AVANCE[[#This Row],[VENTANAS]])</f>
        <v>0</v>
      </c>
      <c r="BH580" s="3">
        <f>+IF(AVANCE[[#This Row],[PISO]]=N$2,100%,AVANCE[[#This Row],[PISO]])</f>
        <v>0</v>
      </c>
      <c r="BI580" s="3">
        <f>+IF(AVANCE[[#This Row],[TABIQUES]]=O$2,100%,AVANCE[[#This Row],[TABIQUES]])</f>
        <v>0</v>
      </c>
      <c r="BJ580" s="3">
        <f>+IF(AVANCE[[#This Row],[MUROS]]=P$2,100%,AVANCE[[#This Row],[MUROS]])</f>
        <v>0</v>
      </c>
      <c r="BK580" s="3">
        <f>+IF(AVANCE[[#This Row],[CIELO]]=Q$2,100%,AVANCE[[#This Row],[CIELO]])</f>
        <v>0</v>
      </c>
      <c r="BL580" s="3">
        <f>+IF(AVANCE[[#This Row],[BALCÓN]]=R$2,100%,AVANCE[[#This Row],[BALCÓN]])</f>
        <v>0</v>
      </c>
      <c r="BM580" s="3">
        <f>+IF(AVANCE[[#This Row],[RED ALCANTARILLADO]]=U$2,100%,AVANCE[[#This Row],[RED ALCANTARILLADO]])</f>
        <v>0</v>
      </c>
      <c r="BN580" s="3">
        <f>+IF(AVANCE[[#This Row],[RED DE AGUA]]=V$2,100%,AVANCE[[#This Row],[RED DE AGUA]])</f>
        <v>0</v>
      </c>
      <c r="BO580" s="3">
        <f>+IF(AVANCE[[#This Row],[VENTILACIONES]]=W$2,100%,AVANCE[[#This Row],[VENTILACIONES]])</f>
        <v>0</v>
      </c>
      <c r="BP580" s="3">
        <f>+IF(AVANCE[[#This Row],[TINA]]=X$2,100%,AVANCE[[#This Row],[TINA]])</f>
        <v>0</v>
      </c>
      <c r="BQ580" s="3">
        <f>+IF(AVANCE[[#This Row],[WC]]=Y$2,100%,AVANCE[[#This Row],[WC]])</f>
        <v>0</v>
      </c>
      <c r="BR580" s="3">
        <f>+IF(AVANCE[[#This Row],[LAVAMANOS / LAVAPLATOS / LAVADERO]]=Z$2,100%,AVANCE[[#This Row],[LAVAMANOS / LAVAPLATOS / LAVADERO]])</f>
        <v>0</v>
      </c>
      <c r="BS580" s="3">
        <f>+IF(AVANCE[[#This Row],[CANALIZACIÓN]]=AC$2,100%,AVANCE[[#This Row],[CANALIZACIÓN]])</f>
        <v>0</v>
      </c>
      <c r="BT580" s="3">
        <f>+IF(AVANCE[[#This Row],[CABLEADO]]=AD$2,100%,AVANCE[[#This Row],[CABLEADO]])</f>
        <v>0</v>
      </c>
      <c r="BU580" s="3">
        <f>+IF(AVANCE[[#This Row],[ARTEFACTOS]]=AE$2,100%,AVANCE[[#This Row],[ARTEFACTOS]])</f>
        <v>0</v>
      </c>
      <c r="BV580" s="3">
        <f>+IF(AVANCE[[#This Row],[TABLERO]]=AF$2,100%,AVANCE[[#This Row],[TABLERO]])</f>
        <v>0</v>
      </c>
      <c r="BW580" s="3">
        <f>+IF(AVANCE[[#This Row],[CAJA PAU]]=AG$2,100%,AVANCE[[#This Row],[CAJA PAU]])</f>
        <v>0</v>
      </c>
      <c r="BX580" s="3">
        <f>+IF(AVANCE[[#This Row],[INSTALACION VINILICO]]=AJ$2,100%,AVANCE[[#This Row],[INSTALACION VINILICO]])</f>
        <v>0</v>
      </c>
      <c r="BY580" s="3">
        <f>+IF(AVANCE[[#This Row],[OSB CUBIERTA]]=AK$2,100%,AVANCE[[#This Row],[OSB CUBIERTA]])</f>
        <v>0</v>
      </c>
      <c r="BZ580" s="3">
        <f>+IF(AVANCE[[#This Row],[BARANDA BALCON]]=AL$2,100%,AVANCE[[#This Row],[BARANDA BALCON]])</f>
        <v>0</v>
      </c>
      <c r="CA580" s="3">
        <f>+IF(AVANCE[[#This Row],[OSB EXTERIOR]]=AM$2,100%,AVANCE[[#This Row],[OSB EXTERIOR]])</f>
        <v>0</v>
      </c>
      <c r="CB580" s="3">
        <f>+IF(AVANCE[[#This Row],[SMART PANEL]]=AN$2,100%,AVANCE[[#This Row],[SMART PANEL]])</f>
        <v>0</v>
      </c>
      <c r="CC580" s="3">
        <f>+IF(AVANCE[[#This Row],[PINTURA EXTERIOR]]=AO$2,100%,AVANCE[[#This Row],[PINTURA EXTERIOR]])</f>
        <v>0</v>
      </c>
      <c r="CD580" s="3">
        <f>+IF(AVANCE[[#This Row],[ZOCALOS LOGIA]]=AP$2,100%,AVANCE[[#This Row],[ZOCALOS LOGIA]])</f>
        <v>0</v>
      </c>
      <c r="CE580" s="3">
        <f>+IF(AVANCE[[#This Row],[MOLDURAS]]=AQ$2,100%,AVANCE[[#This Row],[MOLDURAS]])</f>
        <v>0</v>
      </c>
      <c r="CF580" s="3">
        <f>+IF(AVANCE[[#This Row],[PILASTREO]]=AR$2,100%,AVANCE[[#This Row],[PILASTREO]])</f>
        <v>0</v>
      </c>
      <c r="CG580" s="3">
        <f>+IF(AVANCE[[#This Row],[CELOSIAS]]=AS$2,100%,AVANCE[[#This Row],[CELOSIAS]])</f>
        <v>0</v>
      </c>
      <c r="CH580" s="3">
        <f>+IF(AVANCE[[#This Row],[VENTANAS]]=AT$2,100%,AVANCE[[#This Row],[VENTANAS]])</f>
        <v>0</v>
      </c>
      <c r="CI580" s="3">
        <f>+IF(AVANCE[[#This Row],[PUERTAS ACCESO - LOGIA - BANO]]=AU$2,100%,AVANCE[[#This Row],[PUERTAS ACCESO - LOGIA - BANO]])</f>
        <v>0</v>
      </c>
      <c r="CJ580" s="3">
        <f>+IF(AVANCE[[#This Row],[CERRADURAS]]=AV$2,100%,AVANCE[[#This Row],[CERRADURAS]])</f>
        <v>0</v>
      </c>
      <c r="CK580" s="3">
        <f>+IF(AVANCE[[#This Row],[REVESTIMIENTO INTERIOR ZONA SECA]]=AW$2,100%,AVANCE[[#This Row],[REVESTIMIENTO INTERIOR ZONA SECA]])</f>
        <v>0</v>
      </c>
      <c r="CL580" s="3">
        <f>+IF(AVANCE[[#This Row],[REVESTIMIENTO INTERIOR ZONAS HUMEDAS]]=AX$2,100%,AVANCE[[#This Row],[REVESTIMIENTO INTERIOR ZONAS HUMEDAS]])</f>
        <v>0</v>
      </c>
      <c r="CM580" s="3">
        <f>+IF(AVANCE[[#This Row],[MEMBRANA CIELO]]=AY$2,100%,AVANCE[[#This Row],[MEMBRANA CIELO]])</f>
        <v>0</v>
      </c>
      <c r="CN580" s="3">
        <f>+IF(AVANCE[[#This Row],[LIMPIEZA FINAL]]=AZ$2,100%,AVANCE[[#This Row],[LIMPIEZA FINAL]])</f>
        <v>0</v>
      </c>
      <c r="CO580" s="3">
        <f>+IF(AVANCE[[#This Row],[PUERTAS DORMITORIO]]=BA$2,100%,AVANCE[[#This Row],[PUERTAS DORMITORIO]])</f>
        <v>0</v>
      </c>
      <c r="CP580" s="3">
        <f>+IF(AVANCE[[#This Row],[REVESTIMIENTO INTERIOR BANO]]=BB$2,100%,AVANCE[[#This Row],[REVESTIMIENTO INTERIOR BANO]])</f>
        <v>0</v>
      </c>
      <c r="CQ580" s="3">
        <f>+IF(AVANCE[[#This Row],[MUEBLE LAVAPLATOS]]=BC$2,100%,AVANCE[[#This Row],[MUEBLE LAVAPLATOS]])</f>
        <v>0</v>
      </c>
      <c r="CR580" s="3">
        <f>+IF(AVANCE[[#This Row],[IMPERMEABILIZACION BANO - COCINA LOGIA]]=BD$2,100%,AVANCE[[#This Row],[IMPERMEABILIZACION BANO - COCINA LOGIA]])</f>
        <v>0</v>
      </c>
      <c r="CS580" s="40">
        <f ca="1">+IF(AVANCE[[#This Row],[ESTADO MODULO]]="PENDIENTE",(TODAY()-AVANCE[[#This Row],[FECHA TERMINO  PLANIFICADO]]),0)</f>
        <v>0</v>
      </c>
      <c r="CT580" s="41" t="str" cm="1">
        <f t="array" ref="CT580">_xlfn.TEXTJOIN(" | ",TRUE,IF(SUMPRODUCT((BG580:CR580&lt;1)*(PARTIDAS!$I$2:$AT$2="OBRA GRUESA"))&gt;0,"OBRA GRUESA: "&amp;_xlfn.TEXTJOIN(", ",TRUE,IF((BG580:CR580&lt;1)*(PARTIDAS!$I$2:$AT$2="OBRA GRUESA"),PARTIDAS!$I$1:$AT$1,"")),""),IF(SUMPRODUCT((BG580:CR580&lt;1)*(PARTIDAS!$I$2:$AT$2="SANITARIOS"))&gt;0,"SANITARIOS: "&amp;_xlfn.TEXTJOIN(", ",TRUE,IF((BG580:CR580&lt;1)*(PARTIDAS!$I$2:$AT$2="SANITARIOS"),PARTIDAS!$I$1:$AT$1,"")),""),IF(SUMPRODUCT((BG580:CR580&lt;1)*(PARTIDAS!$I$2:$AT$2="ELÉCTRICO"))&gt;0,"ELÉCTRICO: "&amp;_xlfn.TEXTJOIN(", ",TRUE,IF((BG580:CR580&lt;1)*(PARTIDAS!$I$2:$AT$2="ELÉCTRICO"),PARTIDAS!$I$1:$AT$1,"")),""),IF(SUMPRODUCT((BG580:CR580&lt;1)*(PARTIDAS!$I$2:$AT$2="TERMINACIONES"))&gt;0,"TERMINACIONES: "&amp;_xlfn.TEXTJOIN(", ",TRUE,IF((BG580:CR580&lt;1)*(PARTIDAS!$I$2:$AT$2="TERMINACIONES"),PARTIDAS!$I$1:$AT$1,"")),""))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0" s="43" t="str" cm="1">
        <f t="array" ref="CU580">_xlfn.TEXTJOIN(", ",TRUE,IF(SUMPRODUCT((BG580:CR580&lt;1)*(PARTIDAS!$I$2:$AT$2="OBRA GRUESA"))&gt;0,"OBRA GRUESA",""),IF(SUMPRODUCT((BG580:CR580&lt;1)*(PARTIDAS!$I$2:$AT$2="SANITARIOS"))&gt;0,"SANITARIOS",""),IF(SUMPRODUCT((BG580:CR580&lt;1)*(PARTIDAS!$I$2:$AT$2="ELÉCTRICO"))&gt;0,"ELÉCTRICO",""),IF(SUMPRODUCT((BG580:CR580&lt;1)*(PARTIDAS!$I$2:$AT$2="TERMINACIONES"))&gt;0,"TERMINACIONES",""))</f>
        <v>OBRA GRUESA, SANITARIOS, ELÉCTRICO, TERMINACIONES</v>
      </c>
      <c r="CV580" s="44" cm="1">
        <f t="array" ref="CV580">SUMPRODUCT(--(BG580:CR580&lt;1))</f>
        <v>38</v>
      </c>
    </row>
    <row r="581" spans="1:100" hidden="1" x14ac:dyDescent="0.25">
      <c r="A581" t="s">
        <v>652</v>
      </c>
      <c r="B581" t="s">
        <v>656</v>
      </c>
      <c r="C581">
        <v>2282600580</v>
      </c>
      <c r="D581" t="s">
        <v>58</v>
      </c>
      <c r="E581" s="2">
        <v>0</v>
      </c>
      <c r="F581" s="1">
        <v>46429</v>
      </c>
      <c r="G581" s="1"/>
      <c r="H581" s="1">
        <v>0</v>
      </c>
      <c r="I581" s="1">
        <v>46449</v>
      </c>
      <c r="J581">
        <v>46230</v>
      </c>
      <c r="K581" s="1"/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>
        <v>28.87</v>
      </c>
      <c r="BF581" s="3" t="str">
        <f>+IF(AVANCE[[#This Row],[% AVANCE]]=100%,"MODULO TERMINADO",IF(AVANCE[[#This Row],[FECHA INICIO REAL]]="","MODULO NO INICIADO","PENDIENTE"))</f>
        <v>MODULO NO INICIADO</v>
      </c>
      <c r="BG581" s="3">
        <f>+IF(AVANCE[[#This Row],[VENTANAS]]=8.10810810810811%,100%,AVANCE[[#This Row],[VENTANAS]])</f>
        <v>0</v>
      </c>
      <c r="BH581" s="3">
        <f>+IF(AVANCE[[#This Row],[PISO]]=N$2,100%,AVANCE[[#This Row],[PISO]])</f>
        <v>0</v>
      </c>
      <c r="BI581" s="3">
        <f>+IF(AVANCE[[#This Row],[TABIQUES]]=O$2,100%,AVANCE[[#This Row],[TABIQUES]])</f>
        <v>0</v>
      </c>
      <c r="BJ581" s="3">
        <f>+IF(AVANCE[[#This Row],[MUROS]]=P$2,100%,AVANCE[[#This Row],[MUROS]])</f>
        <v>0</v>
      </c>
      <c r="BK581" s="3">
        <f>+IF(AVANCE[[#This Row],[CIELO]]=Q$2,100%,AVANCE[[#This Row],[CIELO]])</f>
        <v>0</v>
      </c>
      <c r="BL581" s="3">
        <f>+IF(AVANCE[[#This Row],[BALCÓN]]=R$2,100%,AVANCE[[#This Row],[BALCÓN]])</f>
        <v>0</v>
      </c>
      <c r="BM581" s="3">
        <f>+IF(AVANCE[[#This Row],[RED ALCANTARILLADO]]=U$2,100%,AVANCE[[#This Row],[RED ALCANTARILLADO]])</f>
        <v>0</v>
      </c>
      <c r="BN581" s="3">
        <f>+IF(AVANCE[[#This Row],[RED DE AGUA]]=V$2,100%,AVANCE[[#This Row],[RED DE AGUA]])</f>
        <v>0</v>
      </c>
      <c r="BO581" s="3">
        <f>+IF(AVANCE[[#This Row],[VENTILACIONES]]=W$2,100%,AVANCE[[#This Row],[VENTILACIONES]])</f>
        <v>0</v>
      </c>
      <c r="BP581" s="3">
        <f>+IF(AVANCE[[#This Row],[TINA]]=X$2,100%,AVANCE[[#This Row],[TINA]])</f>
        <v>0</v>
      </c>
      <c r="BQ581" s="3">
        <f>+IF(AVANCE[[#This Row],[WC]]=Y$2,100%,AVANCE[[#This Row],[WC]])</f>
        <v>0</v>
      </c>
      <c r="BR581" s="3">
        <f>+IF(AVANCE[[#This Row],[LAVAMANOS / LAVAPLATOS / LAVADERO]]=Z$2,100%,AVANCE[[#This Row],[LAVAMANOS / LAVAPLATOS / LAVADERO]])</f>
        <v>0</v>
      </c>
      <c r="BS581" s="3">
        <f>+IF(AVANCE[[#This Row],[CANALIZACIÓN]]=AC$2,100%,AVANCE[[#This Row],[CANALIZACIÓN]])</f>
        <v>0</v>
      </c>
      <c r="BT581" s="3">
        <f>+IF(AVANCE[[#This Row],[CABLEADO]]=AD$2,100%,AVANCE[[#This Row],[CABLEADO]])</f>
        <v>0</v>
      </c>
      <c r="BU581" s="3">
        <f>+IF(AVANCE[[#This Row],[ARTEFACTOS]]=AE$2,100%,AVANCE[[#This Row],[ARTEFACTOS]])</f>
        <v>0</v>
      </c>
      <c r="BV581" s="3">
        <f>+IF(AVANCE[[#This Row],[TABLERO]]=AF$2,100%,AVANCE[[#This Row],[TABLERO]])</f>
        <v>0</v>
      </c>
      <c r="BW581" s="3">
        <f>+IF(AVANCE[[#This Row],[CAJA PAU]]=AG$2,100%,AVANCE[[#This Row],[CAJA PAU]])</f>
        <v>0</v>
      </c>
      <c r="BX581" s="3">
        <f>+IF(AVANCE[[#This Row],[INSTALACION VINILICO]]=AJ$2,100%,AVANCE[[#This Row],[INSTALACION VINILICO]])</f>
        <v>0</v>
      </c>
      <c r="BY581" s="3">
        <f>+IF(AVANCE[[#This Row],[OSB CUBIERTA]]=AK$2,100%,AVANCE[[#This Row],[OSB CUBIERTA]])</f>
        <v>0</v>
      </c>
      <c r="BZ581" s="3">
        <f>+IF(AVANCE[[#This Row],[BARANDA BALCON]]=AL$2,100%,AVANCE[[#This Row],[BARANDA BALCON]])</f>
        <v>0</v>
      </c>
      <c r="CA581" s="3">
        <f>+IF(AVANCE[[#This Row],[OSB EXTERIOR]]=AM$2,100%,AVANCE[[#This Row],[OSB EXTERIOR]])</f>
        <v>0</v>
      </c>
      <c r="CB581" s="3">
        <f>+IF(AVANCE[[#This Row],[SMART PANEL]]=AN$2,100%,AVANCE[[#This Row],[SMART PANEL]])</f>
        <v>0</v>
      </c>
      <c r="CC581" s="3">
        <f>+IF(AVANCE[[#This Row],[PINTURA EXTERIOR]]=AO$2,100%,AVANCE[[#This Row],[PINTURA EXTERIOR]])</f>
        <v>0</v>
      </c>
      <c r="CD581" s="3">
        <f>+IF(AVANCE[[#This Row],[ZOCALOS LOGIA]]=AP$2,100%,AVANCE[[#This Row],[ZOCALOS LOGIA]])</f>
        <v>0</v>
      </c>
      <c r="CE581" s="3">
        <f>+IF(AVANCE[[#This Row],[MOLDURAS]]=AQ$2,100%,AVANCE[[#This Row],[MOLDURAS]])</f>
        <v>0</v>
      </c>
      <c r="CF581" s="3">
        <f>+IF(AVANCE[[#This Row],[PILASTREO]]=AR$2,100%,AVANCE[[#This Row],[PILASTREO]])</f>
        <v>0</v>
      </c>
      <c r="CG581" s="3">
        <f>+IF(AVANCE[[#This Row],[CELOSIAS]]=AS$2,100%,AVANCE[[#This Row],[CELOSIAS]])</f>
        <v>0</v>
      </c>
      <c r="CH581" s="3">
        <f>+IF(AVANCE[[#This Row],[VENTANAS]]=AT$2,100%,AVANCE[[#This Row],[VENTANAS]])</f>
        <v>0</v>
      </c>
      <c r="CI581" s="3">
        <f>+IF(AVANCE[[#This Row],[PUERTAS ACCESO - LOGIA - BANO]]=AU$2,100%,AVANCE[[#This Row],[PUERTAS ACCESO - LOGIA - BANO]])</f>
        <v>0</v>
      </c>
      <c r="CJ581" s="3">
        <f>+IF(AVANCE[[#This Row],[CERRADURAS]]=AV$2,100%,AVANCE[[#This Row],[CERRADURAS]])</f>
        <v>0</v>
      </c>
      <c r="CK581" s="3">
        <f>+IF(AVANCE[[#This Row],[REVESTIMIENTO INTERIOR ZONA SECA]]=AW$2,100%,AVANCE[[#This Row],[REVESTIMIENTO INTERIOR ZONA SECA]])</f>
        <v>0</v>
      </c>
      <c r="CL581" s="3">
        <f>+IF(AVANCE[[#This Row],[REVESTIMIENTO INTERIOR ZONAS HUMEDAS]]=AX$2,100%,AVANCE[[#This Row],[REVESTIMIENTO INTERIOR ZONAS HUMEDAS]])</f>
        <v>0</v>
      </c>
      <c r="CM581" s="3">
        <f>+IF(AVANCE[[#This Row],[MEMBRANA CIELO]]=AY$2,100%,AVANCE[[#This Row],[MEMBRANA CIELO]])</f>
        <v>0</v>
      </c>
      <c r="CN581" s="3">
        <f>+IF(AVANCE[[#This Row],[LIMPIEZA FINAL]]=AZ$2,100%,AVANCE[[#This Row],[LIMPIEZA FINAL]])</f>
        <v>0</v>
      </c>
      <c r="CO581" s="3">
        <f>+IF(AVANCE[[#This Row],[PUERTAS DORMITORIO]]=BA$2,100%,AVANCE[[#This Row],[PUERTAS DORMITORIO]])</f>
        <v>0</v>
      </c>
      <c r="CP581" s="3">
        <f>+IF(AVANCE[[#This Row],[REVESTIMIENTO INTERIOR BANO]]=BB$2,100%,AVANCE[[#This Row],[REVESTIMIENTO INTERIOR BANO]])</f>
        <v>0</v>
      </c>
      <c r="CQ581" s="3">
        <f>+IF(AVANCE[[#This Row],[MUEBLE LAVAPLATOS]]=BC$2,100%,AVANCE[[#This Row],[MUEBLE LAVAPLATOS]])</f>
        <v>0</v>
      </c>
      <c r="CR581" s="3">
        <f>+IF(AVANCE[[#This Row],[IMPERMEABILIZACION BANO - COCINA LOGIA]]=BD$2,100%,AVANCE[[#This Row],[IMPERMEABILIZACION BANO - COCINA LOGIA]])</f>
        <v>0</v>
      </c>
      <c r="CS581" s="40">
        <f ca="1">+IF(AVANCE[[#This Row],[ESTADO MODULO]]="PENDIENTE",(TODAY()-AVANCE[[#This Row],[FECHA TERMINO  PLANIFICADO]]),0)</f>
        <v>0</v>
      </c>
      <c r="CT581" s="41" t="str" cm="1">
        <f t="array" ref="CT581">_xlfn.TEXTJOIN(" | ",TRUE,IF(SUMPRODUCT((BG581:CR581&lt;1)*(PARTIDAS!$I$2:$AT$2="OBRA GRUESA"))&gt;0,"OBRA GRUESA: "&amp;_xlfn.TEXTJOIN(", ",TRUE,IF((BG581:CR581&lt;1)*(PARTIDAS!$I$2:$AT$2="OBRA GRUESA"),PARTIDAS!$I$1:$AT$1,"")),""),IF(SUMPRODUCT((BG581:CR581&lt;1)*(PARTIDAS!$I$2:$AT$2="SANITARIOS"))&gt;0,"SANITARIOS: "&amp;_xlfn.TEXTJOIN(", ",TRUE,IF((BG581:CR581&lt;1)*(PARTIDAS!$I$2:$AT$2="SANITARIOS"),PARTIDAS!$I$1:$AT$1,"")),""),IF(SUMPRODUCT((BG581:CR581&lt;1)*(PARTIDAS!$I$2:$AT$2="ELÉCTRICO"))&gt;0,"ELÉCTRICO: "&amp;_xlfn.TEXTJOIN(", ",TRUE,IF((BG581:CR581&lt;1)*(PARTIDAS!$I$2:$AT$2="ELÉCTRICO"),PARTIDAS!$I$1:$AT$1,"")),""),IF(SUMPRODUCT((BG581:CR581&lt;1)*(PARTIDAS!$I$2:$AT$2="TERMINACIONES"))&gt;0,"TERMINACIONES: "&amp;_xlfn.TEXTJOIN(", ",TRUE,IF((BG581:CR581&lt;1)*(PARTIDAS!$I$2:$AT$2="TERMINACIONES"),PARTIDAS!$I$1:$AT$1,"")),""))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1" s="43" t="str" cm="1">
        <f t="array" ref="CU581">_xlfn.TEXTJOIN(", ",TRUE,IF(SUMPRODUCT((BG581:CR581&lt;1)*(PARTIDAS!$I$2:$AT$2="OBRA GRUESA"))&gt;0,"OBRA GRUESA",""),IF(SUMPRODUCT((BG581:CR581&lt;1)*(PARTIDAS!$I$2:$AT$2="SANITARIOS"))&gt;0,"SANITARIOS",""),IF(SUMPRODUCT((BG581:CR581&lt;1)*(PARTIDAS!$I$2:$AT$2="ELÉCTRICO"))&gt;0,"ELÉCTRICO",""),IF(SUMPRODUCT((BG581:CR581&lt;1)*(PARTIDAS!$I$2:$AT$2="TERMINACIONES"))&gt;0,"TERMINACIONES",""))</f>
        <v>OBRA GRUESA, SANITARIOS, ELÉCTRICO, TERMINACIONES</v>
      </c>
      <c r="CV581" s="44" cm="1">
        <f t="array" ref="CV581">SUMPRODUCT(--(BG581:CR581&lt;1))</f>
        <v>38</v>
      </c>
    </row>
    <row r="582" spans="1:100" hidden="1" x14ac:dyDescent="0.25">
      <c r="A582" t="s">
        <v>652</v>
      </c>
      <c r="B582" t="s">
        <v>657</v>
      </c>
      <c r="C582">
        <v>2282600581</v>
      </c>
      <c r="D582" t="s">
        <v>58</v>
      </c>
      <c r="E582" s="2">
        <v>0</v>
      </c>
      <c r="F582" s="1">
        <v>46430</v>
      </c>
      <c r="G582" s="1"/>
      <c r="H582" s="1">
        <v>0</v>
      </c>
      <c r="I582" s="1">
        <v>46450</v>
      </c>
      <c r="J582">
        <v>46230</v>
      </c>
      <c r="K582" s="1"/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>
        <v>28.87</v>
      </c>
      <c r="BF582" s="3" t="str">
        <f>+IF(AVANCE[[#This Row],[% AVANCE]]=100%,"MODULO TERMINADO",IF(AVANCE[[#This Row],[FECHA INICIO REAL]]="","MODULO NO INICIADO","PENDIENTE"))</f>
        <v>MODULO NO INICIADO</v>
      </c>
      <c r="BG582" s="3">
        <f>+IF(AVANCE[[#This Row],[VENTANAS]]=8.10810810810811%,100%,AVANCE[[#This Row],[VENTANAS]])</f>
        <v>0</v>
      </c>
      <c r="BH582" s="3">
        <f>+IF(AVANCE[[#This Row],[PISO]]=N$2,100%,AVANCE[[#This Row],[PISO]])</f>
        <v>0</v>
      </c>
      <c r="BI582" s="3">
        <f>+IF(AVANCE[[#This Row],[TABIQUES]]=O$2,100%,AVANCE[[#This Row],[TABIQUES]])</f>
        <v>0</v>
      </c>
      <c r="BJ582" s="3">
        <f>+IF(AVANCE[[#This Row],[MUROS]]=P$2,100%,AVANCE[[#This Row],[MUROS]])</f>
        <v>0</v>
      </c>
      <c r="BK582" s="3">
        <f>+IF(AVANCE[[#This Row],[CIELO]]=Q$2,100%,AVANCE[[#This Row],[CIELO]])</f>
        <v>0</v>
      </c>
      <c r="BL582" s="3">
        <f>+IF(AVANCE[[#This Row],[BALCÓN]]=R$2,100%,AVANCE[[#This Row],[BALCÓN]])</f>
        <v>0</v>
      </c>
      <c r="BM582" s="3">
        <f>+IF(AVANCE[[#This Row],[RED ALCANTARILLADO]]=U$2,100%,AVANCE[[#This Row],[RED ALCANTARILLADO]])</f>
        <v>0</v>
      </c>
      <c r="BN582" s="3">
        <f>+IF(AVANCE[[#This Row],[RED DE AGUA]]=V$2,100%,AVANCE[[#This Row],[RED DE AGUA]])</f>
        <v>0</v>
      </c>
      <c r="BO582" s="3">
        <f>+IF(AVANCE[[#This Row],[VENTILACIONES]]=W$2,100%,AVANCE[[#This Row],[VENTILACIONES]])</f>
        <v>0</v>
      </c>
      <c r="BP582" s="3">
        <f>+IF(AVANCE[[#This Row],[TINA]]=X$2,100%,AVANCE[[#This Row],[TINA]])</f>
        <v>0</v>
      </c>
      <c r="BQ582" s="3">
        <f>+IF(AVANCE[[#This Row],[WC]]=Y$2,100%,AVANCE[[#This Row],[WC]])</f>
        <v>0</v>
      </c>
      <c r="BR582" s="3">
        <f>+IF(AVANCE[[#This Row],[LAVAMANOS / LAVAPLATOS / LAVADERO]]=Z$2,100%,AVANCE[[#This Row],[LAVAMANOS / LAVAPLATOS / LAVADERO]])</f>
        <v>0</v>
      </c>
      <c r="BS582" s="3">
        <f>+IF(AVANCE[[#This Row],[CANALIZACIÓN]]=AC$2,100%,AVANCE[[#This Row],[CANALIZACIÓN]])</f>
        <v>0</v>
      </c>
      <c r="BT582" s="3">
        <f>+IF(AVANCE[[#This Row],[CABLEADO]]=AD$2,100%,AVANCE[[#This Row],[CABLEADO]])</f>
        <v>0</v>
      </c>
      <c r="BU582" s="3">
        <f>+IF(AVANCE[[#This Row],[ARTEFACTOS]]=AE$2,100%,AVANCE[[#This Row],[ARTEFACTOS]])</f>
        <v>0</v>
      </c>
      <c r="BV582" s="3">
        <f>+IF(AVANCE[[#This Row],[TABLERO]]=AF$2,100%,AVANCE[[#This Row],[TABLERO]])</f>
        <v>0</v>
      </c>
      <c r="BW582" s="3">
        <f>+IF(AVANCE[[#This Row],[CAJA PAU]]=AG$2,100%,AVANCE[[#This Row],[CAJA PAU]])</f>
        <v>0</v>
      </c>
      <c r="BX582" s="3">
        <f>+IF(AVANCE[[#This Row],[INSTALACION VINILICO]]=AJ$2,100%,AVANCE[[#This Row],[INSTALACION VINILICO]])</f>
        <v>0</v>
      </c>
      <c r="BY582" s="3">
        <f>+IF(AVANCE[[#This Row],[OSB CUBIERTA]]=AK$2,100%,AVANCE[[#This Row],[OSB CUBIERTA]])</f>
        <v>0</v>
      </c>
      <c r="BZ582" s="3">
        <f>+IF(AVANCE[[#This Row],[BARANDA BALCON]]=AL$2,100%,AVANCE[[#This Row],[BARANDA BALCON]])</f>
        <v>0</v>
      </c>
      <c r="CA582" s="3">
        <f>+IF(AVANCE[[#This Row],[OSB EXTERIOR]]=AM$2,100%,AVANCE[[#This Row],[OSB EXTERIOR]])</f>
        <v>0</v>
      </c>
      <c r="CB582" s="3">
        <f>+IF(AVANCE[[#This Row],[SMART PANEL]]=AN$2,100%,AVANCE[[#This Row],[SMART PANEL]])</f>
        <v>0</v>
      </c>
      <c r="CC582" s="3">
        <f>+IF(AVANCE[[#This Row],[PINTURA EXTERIOR]]=AO$2,100%,AVANCE[[#This Row],[PINTURA EXTERIOR]])</f>
        <v>0</v>
      </c>
      <c r="CD582" s="3">
        <f>+IF(AVANCE[[#This Row],[ZOCALOS LOGIA]]=AP$2,100%,AVANCE[[#This Row],[ZOCALOS LOGIA]])</f>
        <v>0</v>
      </c>
      <c r="CE582" s="3">
        <f>+IF(AVANCE[[#This Row],[MOLDURAS]]=AQ$2,100%,AVANCE[[#This Row],[MOLDURAS]])</f>
        <v>0</v>
      </c>
      <c r="CF582" s="3">
        <f>+IF(AVANCE[[#This Row],[PILASTREO]]=AR$2,100%,AVANCE[[#This Row],[PILASTREO]])</f>
        <v>0</v>
      </c>
      <c r="CG582" s="3">
        <f>+IF(AVANCE[[#This Row],[CELOSIAS]]=AS$2,100%,AVANCE[[#This Row],[CELOSIAS]])</f>
        <v>0</v>
      </c>
      <c r="CH582" s="3">
        <f>+IF(AVANCE[[#This Row],[VENTANAS]]=AT$2,100%,AVANCE[[#This Row],[VENTANAS]])</f>
        <v>0</v>
      </c>
      <c r="CI582" s="3">
        <f>+IF(AVANCE[[#This Row],[PUERTAS ACCESO - LOGIA - BANO]]=AU$2,100%,AVANCE[[#This Row],[PUERTAS ACCESO - LOGIA - BANO]])</f>
        <v>0</v>
      </c>
      <c r="CJ582" s="3">
        <f>+IF(AVANCE[[#This Row],[CERRADURAS]]=AV$2,100%,AVANCE[[#This Row],[CERRADURAS]])</f>
        <v>0</v>
      </c>
      <c r="CK582" s="3">
        <f>+IF(AVANCE[[#This Row],[REVESTIMIENTO INTERIOR ZONA SECA]]=AW$2,100%,AVANCE[[#This Row],[REVESTIMIENTO INTERIOR ZONA SECA]])</f>
        <v>0</v>
      </c>
      <c r="CL582" s="3">
        <f>+IF(AVANCE[[#This Row],[REVESTIMIENTO INTERIOR ZONAS HUMEDAS]]=AX$2,100%,AVANCE[[#This Row],[REVESTIMIENTO INTERIOR ZONAS HUMEDAS]])</f>
        <v>0</v>
      </c>
      <c r="CM582" s="3">
        <f>+IF(AVANCE[[#This Row],[MEMBRANA CIELO]]=AY$2,100%,AVANCE[[#This Row],[MEMBRANA CIELO]])</f>
        <v>0</v>
      </c>
      <c r="CN582" s="3">
        <f>+IF(AVANCE[[#This Row],[LIMPIEZA FINAL]]=AZ$2,100%,AVANCE[[#This Row],[LIMPIEZA FINAL]])</f>
        <v>0</v>
      </c>
      <c r="CO582" s="3">
        <f>+IF(AVANCE[[#This Row],[PUERTAS DORMITORIO]]=BA$2,100%,AVANCE[[#This Row],[PUERTAS DORMITORIO]])</f>
        <v>0</v>
      </c>
      <c r="CP582" s="3">
        <f>+IF(AVANCE[[#This Row],[REVESTIMIENTO INTERIOR BANO]]=BB$2,100%,AVANCE[[#This Row],[REVESTIMIENTO INTERIOR BANO]])</f>
        <v>0</v>
      </c>
      <c r="CQ582" s="3">
        <f>+IF(AVANCE[[#This Row],[MUEBLE LAVAPLATOS]]=BC$2,100%,AVANCE[[#This Row],[MUEBLE LAVAPLATOS]])</f>
        <v>0</v>
      </c>
      <c r="CR582" s="3">
        <f>+IF(AVANCE[[#This Row],[IMPERMEABILIZACION BANO - COCINA LOGIA]]=BD$2,100%,AVANCE[[#This Row],[IMPERMEABILIZACION BANO - COCINA LOGIA]])</f>
        <v>0</v>
      </c>
      <c r="CS582" s="40">
        <f ca="1">+IF(AVANCE[[#This Row],[ESTADO MODULO]]="PENDIENTE",(TODAY()-AVANCE[[#This Row],[FECHA TERMINO  PLANIFICADO]]),0)</f>
        <v>0</v>
      </c>
      <c r="CT582" s="41" t="str" cm="1">
        <f t="array" ref="CT582">_xlfn.TEXTJOIN(" | ",TRUE,IF(SUMPRODUCT((BG582:CR582&lt;1)*(PARTIDAS!$I$2:$AT$2="OBRA GRUESA"))&gt;0,"OBRA GRUESA: "&amp;_xlfn.TEXTJOIN(", ",TRUE,IF((BG582:CR582&lt;1)*(PARTIDAS!$I$2:$AT$2="OBRA GRUESA"),PARTIDAS!$I$1:$AT$1,"")),""),IF(SUMPRODUCT((BG582:CR582&lt;1)*(PARTIDAS!$I$2:$AT$2="SANITARIOS"))&gt;0,"SANITARIOS: "&amp;_xlfn.TEXTJOIN(", ",TRUE,IF((BG582:CR582&lt;1)*(PARTIDAS!$I$2:$AT$2="SANITARIOS"),PARTIDAS!$I$1:$AT$1,"")),""),IF(SUMPRODUCT((BG582:CR582&lt;1)*(PARTIDAS!$I$2:$AT$2="ELÉCTRICO"))&gt;0,"ELÉCTRICO: "&amp;_xlfn.TEXTJOIN(", ",TRUE,IF((BG582:CR582&lt;1)*(PARTIDAS!$I$2:$AT$2="ELÉCTRICO"),PARTIDAS!$I$1:$AT$1,"")),""),IF(SUMPRODUCT((BG582:CR582&lt;1)*(PARTIDAS!$I$2:$AT$2="TERMINACIONES"))&gt;0,"TERMINACIONES: "&amp;_xlfn.TEXTJOIN(", ",TRUE,IF((BG582:CR582&lt;1)*(PARTIDAS!$I$2:$AT$2="TERMINACIONES"),PARTIDAS!$I$1:$AT$1,"")),""))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2" s="43" t="str" cm="1">
        <f t="array" ref="CU582">_xlfn.TEXTJOIN(", ",TRUE,IF(SUMPRODUCT((BG582:CR582&lt;1)*(PARTIDAS!$I$2:$AT$2="OBRA GRUESA"))&gt;0,"OBRA GRUESA",""),IF(SUMPRODUCT((BG582:CR582&lt;1)*(PARTIDAS!$I$2:$AT$2="SANITARIOS"))&gt;0,"SANITARIOS",""),IF(SUMPRODUCT((BG582:CR582&lt;1)*(PARTIDAS!$I$2:$AT$2="ELÉCTRICO"))&gt;0,"ELÉCTRICO",""),IF(SUMPRODUCT((BG582:CR582&lt;1)*(PARTIDAS!$I$2:$AT$2="TERMINACIONES"))&gt;0,"TERMINACIONES",""))</f>
        <v>OBRA GRUESA, SANITARIOS, ELÉCTRICO, TERMINACIONES</v>
      </c>
      <c r="CV582" s="44" cm="1">
        <f t="array" ref="CV582">SUMPRODUCT(--(BG582:CR582&lt;1))</f>
        <v>38</v>
      </c>
    </row>
    <row r="583" spans="1:100" hidden="1" x14ac:dyDescent="0.25">
      <c r="A583" t="s">
        <v>652</v>
      </c>
      <c r="B583" t="s">
        <v>658</v>
      </c>
      <c r="C583">
        <v>2302600582</v>
      </c>
      <c r="D583" t="s">
        <v>60</v>
      </c>
      <c r="E583" s="2">
        <v>0</v>
      </c>
      <c r="F583" s="1">
        <v>46430</v>
      </c>
      <c r="G583" s="1"/>
      <c r="H583" s="1">
        <v>0</v>
      </c>
      <c r="I583" s="1">
        <v>46460</v>
      </c>
      <c r="J583">
        <v>46230</v>
      </c>
      <c r="K583" s="1"/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>
        <v>31.32</v>
      </c>
      <c r="BF583" s="3" t="str">
        <f>+IF(AVANCE[[#This Row],[% AVANCE]]=100%,"MODULO TERMINADO",IF(AVANCE[[#This Row],[FECHA INICIO REAL]]="","MODULO NO INICIADO","PENDIENTE"))</f>
        <v>MODULO NO INICIADO</v>
      </c>
      <c r="BG583" s="3">
        <f>+IF(AVANCE[[#This Row],[VENTANAS]]=8.10810810810811%,100%,AVANCE[[#This Row],[VENTANAS]])</f>
        <v>0</v>
      </c>
      <c r="BH583" s="3">
        <f>+IF(AVANCE[[#This Row],[PISO]]=N$2,100%,AVANCE[[#This Row],[PISO]])</f>
        <v>0</v>
      </c>
      <c r="BI583" s="3">
        <f>+IF(AVANCE[[#This Row],[TABIQUES]]=O$2,100%,AVANCE[[#This Row],[TABIQUES]])</f>
        <v>0</v>
      </c>
      <c r="BJ583" s="3">
        <f>+IF(AVANCE[[#This Row],[MUROS]]=P$2,100%,AVANCE[[#This Row],[MUROS]])</f>
        <v>0</v>
      </c>
      <c r="BK583" s="3">
        <f>+IF(AVANCE[[#This Row],[CIELO]]=Q$2,100%,AVANCE[[#This Row],[CIELO]])</f>
        <v>0</v>
      </c>
      <c r="BL583" s="3">
        <f>+IF(AVANCE[[#This Row],[BALCÓN]]=R$2,100%,AVANCE[[#This Row],[BALCÓN]])</f>
        <v>0</v>
      </c>
      <c r="BM583" s="3">
        <f>+IF(AVANCE[[#This Row],[RED ALCANTARILLADO]]=U$2,100%,AVANCE[[#This Row],[RED ALCANTARILLADO]])</f>
        <v>0</v>
      </c>
      <c r="BN583" s="3">
        <f>+IF(AVANCE[[#This Row],[RED DE AGUA]]=V$2,100%,AVANCE[[#This Row],[RED DE AGUA]])</f>
        <v>0</v>
      </c>
      <c r="BO583" s="3">
        <f>+IF(AVANCE[[#This Row],[VENTILACIONES]]=W$2,100%,AVANCE[[#This Row],[VENTILACIONES]])</f>
        <v>0</v>
      </c>
      <c r="BP583" s="3">
        <f>+IF(AVANCE[[#This Row],[TINA]]=X$2,100%,AVANCE[[#This Row],[TINA]])</f>
        <v>0</v>
      </c>
      <c r="BQ583" s="3">
        <f>+IF(AVANCE[[#This Row],[WC]]=Y$2,100%,AVANCE[[#This Row],[WC]])</f>
        <v>0</v>
      </c>
      <c r="BR583" s="3">
        <f>+IF(AVANCE[[#This Row],[LAVAMANOS / LAVAPLATOS / LAVADERO]]=Z$2,100%,AVANCE[[#This Row],[LAVAMANOS / LAVAPLATOS / LAVADERO]])</f>
        <v>0</v>
      </c>
      <c r="BS583" s="3">
        <f>+IF(AVANCE[[#This Row],[CANALIZACIÓN]]=AC$2,100%,AVANCE[[#This Row],[CANALIZACIÓN]])</f>
        <v>0</v>
      </c>
      <c r="BT583" s="3">
        <f>+IF(AVANCE[[#This Row],[CABLEADO]]=AD$2,100%,AVANCE[[#This Row],[CABLEADO]])</f>
        <v>0</v>
      </c>
      <c r="BU583" s="3">
        <f>+IF(AVANCE[[#This Row],[ARTEFACTOS]]=AE$2,100%,AVANCE[[#This Row],[ARTEFACTOS]])</f>
        <v>0</v>
      </c>
      <c r="BV583" s="3">
        <f>+IF(AVANCE[[#This Row],[TABLERO]]=AF$2,100%,AVANCE[[#This Row],[TABLERO]])</f>
        <v>0</v>
      </c>
      <c r="BW583" s="3">
        <f>+IF(AVANCE[[#This Row],[CAJA PAU]]=AG$2,100%,AVANCE[[#This Row],[CAJA PAU]])</f>
        <v>0</v>
      </c>
      <c r="BX583" s="3">
        <f>+IF(AVANCE[[#This Row],[INSTALACION VINILICO]]=AJ$2,100%,AVANCE[[#This Row],[INSTALACION VINILICO]])</f>
        <v>0</v>
      </c>
      <c r="BY583" s="3">
        <f>+IF(AVANCE[[#This Row],[OSB CUBIERTA]]=AK$2,100%,AVANCE[[#This Row],[OSB CUBIERTA]])</f>
        <v>0</v>
      </c>
      <c r="BZ583" s="3">
        <f>+IF(AVANCE[[#This Row],[BARANDA BALCON]]=AL$2,100%,AVANCE[[#This Row],[BARANDA BALCON]])</f>
        <v>0</v>
      </c>
      <c r="CA583" s="3">
        <f>+IF(AVANCE[[#This Row],[OSB EXTERIOR]]=AM$2,100%,AVANCE[[#This Row],[OSB EXTERIOR]])</f>
        <v>0</v>
      </c>
      <c r="CB583" s="3">
        <f>+IF(AVANCE[[#This Row],[SMART PANEL]]=AN$2,100%,AVANCE[[#This Row],[SMART PANEL]])</f>
        <v>0</v>
      </c>
      <c r="CC583" s="3">
        <f>+IF(AVANCE[[#This Row],[PINTURA EXTERIOR]]=AO$2,100%,AVANCE[[#This Row],[PINTURA EXTERIOR]])</f>
        <v>0</v>
      </c>
      <c r="CD583" s="3">
        <f>+IF(AVANCE[[#This Row],[ZOCALOS LOGIA]]=AP$2,100%,AVANCE[[#This Row],[ZOCALOS LOGIA]])</f>
        <v>0</v>
      </c>
      <c r="CE583" s="3">
        <f>+IF(AVANCE[[#This Row],[MOLDURAS]]=AQ$2,100%,AVANCE[[#This Row],[MOLDURAS]])</f>
        <v>0</v>
      </c>
      <c r="CF583" s="3">
        <f>+IF(AVANCE[[#This Row],[PILASTREO]]=AR$2,100%,AVANCE[[#This Row],[PILASTREO]])</f>
        <v>0</v>
      </c>
      <c r="CG583" s="3">
        <f>+IF(AVANCE[[#This Row],[CELOSIAS]]=AS$2,100%,AVANCE[[#This Row],[CELOSIAS]])</f>
        <v>0</v>
      </c>
      <c r="CH583" s="3">
        <f>+IF(AVANCE[[#This Row],[VENTANAS]]=AT$2,100%,AVANCE[[#This Row],[VENTANAS]])</f>
        <v>0</v>
      </c>
      <c r="CI583" s="3">
        <f>+IF(AVANCE[[#This Row],[PUERTAS ACCESO - LOGIA - BANO]]=AU$2,100%,AVANCE[[#This Row],[PUERTAS ACCESO - LOGIA - BANO]])</f>
        <v>0</v>
      </c>
      <c r="CJ583" s="3">
        <f>+IF(AVANCE[[#This Row],[CERRADURAS]]=AV$2,100%,AVANCE[[#This Row],[CERRADURAS]])</f>
        <v>0</v>
      </c>
      <c r="CK583" s="3">
        <f>+IF(AVANCE[[#This Row],[REVESTIMIENTO INTERIOR ZONA SECA]]=AW$2,100%,AVANCE[[#This Row],[REVESTIMIENTO INTERIOR ZONA SECA]])</f>
        <v>0</v>
      </c>
      <c r="CL583" s="3">
        <f>+IF(AVANCE[[#This Row],[REVESTIMIENTO INTERIOR ZONAS HUMEDAS]]=AX$2,100%,AVANCE[[#This Row],[REVESTIMIENTO INTERIOR ZONAS HUMEDAS]])</f>
        <v>0</v>
      </c>
      <c r="CM583" s="3">
        <f>+IF(AVANCE[[#This Row],[MEMBRANA CIELO]]=AY$2,100%,AVANCE[[#This Row],[MEMBRANA CIELO]])</f>
        <v>0</v>
      </c>
      <c r="CN583" s="3">
        <f>+IF(AVANCE[[#This Row],[LIMPIEZA FINAL]]=AZ$2,100%,AVANCE[[#This Row],[LIMPIEZA FINAL]])</f>
        <v>0</v>
      </c>
      <c r="CO583" s="3">
        <f>+IF(AVANCE[[#This Row],[PUERTAS DORMITORIO]]=BA$2,100%,AVANCE[[#This Row],[PUERTAS DORMITORIO]])</f>
        <v>0</v>
      </c>
      <c r="CP583" s="3">
        <f>+IF(AVANCE[[#This Row],[REVESTIMIENTO INTERIOR BANO]]=BB$2,100%,AVANCE[[#This Row],[REVESTIMIENTO INTERIOR BANO]])</f>
        <v>0</v>
      </c>
      <c r="CQ583" s="3">
        <f>+IF(AVANCE[[#This Row],[MUEBLE LAVAPLATOS]]=BC$2,100%,AVANCE[[#This Row],[MUEBLE LAVAPLATOS]])</f>
        <v>0</v>
      </c>
      <c r="CR583" s="3">
        <f>+IF(AVANCE[[#This Row],[IMPERMEABILIZACION BANO - COCINA LOGIA]]=BD$2,100%,AVANCE[[#This Row],[IMPERMEABILIZACION BANO - COCINA LOGIA]])</f>
        <v>0</v>
      </c>
      <c r="CS583" s="40">
        <f ca="1">+IF(AVANCE[[#This Row],[ESTADO MODULO]]="PENDIENTE",(TODAY()-AVANCE[[#This Row],[FECHA TERMINO  PLANIFICADO]]),0)</f>
        <v>0</v>
      </c>
      <c r="CT583" s="41" t="str" cm="1">
        <f t="array" ref="CT583">_xlfn.TEXTJOIN(" | ",TRUE,IF(SUMPRODUCT((BG583:CR583&lt;1)*(PARTIDAS!$I$2:$AT$2="OBRA GRUESA"))&gt;0,"OBRA GRUESA: "&amp;_xlfn.TEXTJOIN(", ",TRUE,IF((BG583:CR583&lt;1)*(PARTIDAS!$I$2:$AT$2="OBRA GRUESA"),PARTIDAS!$I$1:$AT$1,"")),""),IF(SUMPRODUCT((BG583:CR583&lt;1)*(PARTIDAS!$I$2:$AT$2="SANITARIOS"))&gt;0,"SANITARIOS: "&amp;_xlfn.TEXTJOIN(", ",TRUE,IF((BG583:CR583&lt;1)*(PARTIDAS!$I$2:$AT$2="SANITARIOS"),PARTIDAS!$I$1:$AT$1,"")),""),IF(SUMPRODUCT((BG583:CR583&lt;1)*(PARTIDAS!$I$2:$AT$2="ELÉCTRICO"))&gt;0,"ELÉCTRICO: "&amp;_xlfn.TEXTJOIN(", ",TRUE,IF((BG583:CR583&lt;1)*(PARTIDAS!$I$2:$AT$2="ELÉCTRICO"),PARTIDAS!$I$1:$AT$1,"")),""),IF(SUMPRODUCT((BG583:CR583&lt;1)*(PARTIDAS!$I$2:$AT$2="TERMINACIONES"))&gt;0,"TERMINACIONES: "&amp;_xlfn.TEXTJOIN(", ",TRUE,IF((BG583:CR583&lt;1)*(PARTIDAS!$I$2:$AT$2="TERMINACIONES"),PARTIDAS!$I$1:$AT$1,"")),""))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3" s="43" t="str" cm="1">
        <f t="array" ref="CU583">_xlfn.TEXTJOIN(", ",TRUE,IF(SUMPRODUCT((BG583:CR583&lt;1)*(PARTIDAS!$I$2:$AT$2="OBRA GRUESA"))&gt;0,"OBRA GRUESA",""),IF(SUMPRODUCT((BG583:CR583&lt;1)*(PARTIDAS!$I$2:$AT$2="SANITARIOS"))&gt;0,"SANITARIOS",""),IF(SUMPRODUCT((BG583:CR583&lt;1)*(PARTIDAS!$I$2:$AT$2="ELÉCTRICO"))&gt;0,"ELÉCTRICO",""),IF(SUMPRODUCT((BG583:CR583&lt;1)*(PARTIDAS!$I$2:$AT$2="TERMINACIONES"))&gt;0,"TERMINACIONES",""))</f>
        <v>OBRA GRUESA, SANITARIOS, ELÉCTRICO, TERMINACIONES</v>
      </c>
      <c r="CV583" s="44" cm="1">
        <f t="array" ref="CV583">SUMPRODUCT(--(BG583:CR583&lt;1))</f>
        <v>38</v>
      </c>
    </row>
    <row r="584" spans="1:100" hidden="1" x14ac:dyDescent="0.25">
      <c r="A584" t="s">
        <v>652</v>
      </c>
      <c r="B584" t="s">
        <v>659</v>
      </c>
      <c r="C584">
        <v>2302600583</v>
      </c>
      <c r="D584" t="s">
        <v>60</v>
      </c>
      <c r="E584" s="2">
        <v>0</v>
      </c>
      <c r="F584" s="1">
        <v>46430</v>
      </c>
      <c r="G584" s="1"/>
      <c r="H584" s="1">
        <v>0</v>
      </c>
      <c r="I584" s="1">
        <v>46460</v>
      </c>
      <c r="J584">
        <v>46230</v>
      </c>
      <c r="K584" s="1"/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>
        <v>31.32</v>
      </c>
      <c r="BF584" s="3" t="str">
        <f>+IF(AVANCE[[#This Row],[% AVANCE]]=100%,"MODULO TERMINADO",IF(AVANCE[[#This Row],[FECHA INICIO REAL]]="","MODULO NO INICIADO","PENDIENTE"))</f>
        <v>MODULO NO INICIADO</v>
      </c>
      <c r="BG584" s="3">
        <f>+IF(AVANCE[[#This Row],[VENTANAS]]=8.10810810810811%,100%,AVANCE[[#This Row],[VENTANAS]])</f>
        <v>0</v>
      </c>
      <c r="BH584" s="3">
        <f>+IF(AVANCE[[#This Row],[PISO]]=N$2,100%,AVANCE[[#This Row],[PISO]])</f>
        <v>0</v>
      </c>
      <c r="BI584" s="3">
        <f>+IF(AVANCE[[#This Row],[TABIQUES]]=O$2,100%,AVANCE[[#This Row],[TABIQUES]])</f>
        <v>0</v>
      </c>
      <c r="BJ584" s="3">
        <f>+IF(AVANCE[[#This Row],[MUROS]]=P$2,100%,AVANCE[[#This Row],[MUROS]])</f>
        <v>0</v>
      </c>
      <c r="BK584" s="3">
        <f>+IF(AVANCE[[#This Row],[CIELO]]=Q$2,100%,AVANCE[[#This Row],[CIELO]])</f>
        <v>0</v>
      </c>
      <c r="BL584" s="3">
        <f>+IF(AVANCE[[#This Row],[BALCÓN]]=R$2,100%,AVANCE[[#This Row],[BALCÓN]])</f>
        <v>0</v>
      </c>
      <c r="BM584" s="3">
        <f>+IF(AVANCE[[#This Row],[RED ALCANTARILLADO]]=U$2,100%,AVANCE[[#This Row],[RED ALCANTARILLADO]])</f>
        <v>0</v>
      </c>
      <c r="BN584" s="3">
        <f>+IF(AVANCE[[#This Row],[RED DE AGUA]]=V$2,100%,AVANCE[[#This Row],[RED DE AGUA]])</f>
        <v>0</v>
      </c>
      <c r="BO584" s="3">
        <f>+IF(AVANCE[[#This Row],[VENTILACIONES]]=W$2,100%,AVANCE[[#This Row],[VENTILACIONES]])</f>
        <v>0</v>
      </c>
      <c r="BP584" s="3">
        <f>+IF(AVANCE[[#This Row],[TINA]]=X$2,100%,AVANCE[[#This Row],[TINA]])</f>
        <v>0</v>
      </c>
      <c r="BQ584" s="3">
        <f>+IF(AVANCE[[#This Row],[WC]]=Y$2,100%,AVANCE[[#This Row],[WC]])</f>
        <v>0</v>
      </c>
      <c r="BR584" s="3">
        <f>+IF(AVANCE[[#This Row],[LAVAMANOS / LAVAPLATOS / LAVADERO]]=Z$2,100%,AVANCE[[#This Row],[LAVAMANOS / LAVAPLATOS / LAVADERO]])</f>
        <v>0</v>
      </c>
      <c r="BS584" s="3">
        <f>+IF(AVANCE[[#This Row],[CANALIZACIÓN]]=AC$2,100%,AVANCE[[#This Row],[CANALIZACIÓN]])</f>
        <v>0</v>
      </c>
      <c r="BT584" s="3">
        <f>+IF(AVANCE[[#This Row],[CABLEADO]]=AD$2,100%,AVANCE[[#This Row],[CABLEADO]])</f>
        <v>0</v>
      </c>
      <c r="BU584" s="3">
        <f>+IF(AVANCE[[#This Row],[ARTEFACTOS]]=AE$2,100%,AVANCE[[#This Row],[ARTEFACTOS]])</f>
        <v>0</v>
      </c>
      <c r="BV584" s="3">
        <f>+IF(AVANCE[[#This Row],[TABLERO]]=AF$2,100%,AVANCE[[#This Row],[TABLERO]])</f>
        <v>0</v>
      </c>
      <c r="BW584" s="3">
        <f>+IF(AVANCE[[#This Row],[CAJA PAU]]=AG$2,100%,AVANCE[[#This Row],[CAJA PAU]])</f>
        <v>0</v>
      </c>
      <c r="BX584" s="3">
        <f>+IF(AVANCE[[#This Row],[INSTALACION VINILICO]]=AJ$2,100%,AVANCE[[#This Row],[INSTALACION VINILICO]])</f>
        <v>0</v>
      </c>
      <c r="BY584" s="3">
        <f>+IF(AVANCE[[#This Row],[OSB CUBIERTA]]=AK$2,100%,AVANCE[[#This Row],[OSB CUBIERTA]])</f>
        <v>0</v>
      </c>
      <c r="BZ584" s="3">
        <f>+IF(AVANCE[[#This Row],[BARANDA BALCON]]=AL$2,100%,AVANCE[[#This Row],[BARANDA BALCON]])</f>
        <v>0</v>
      </c>
      <c r="CA584" s="3">
        <f>+IF(AVANCE[[#This Row],[OSB EXTERIOR]]=AM$2,100%,AVANCE[[#This Row],[OSB EXTERIOR]])</f>
        <v>0</v>
      </c>
      <c r="CB584" s="3">
        <f>+IF(AVANCE[[#This Row],[SMART PANEL]]=AN$2,100%,AVANCE[[#This Row],[SMART PANEL]])</f>
        <v>0</v>
      </c>
      <c r="CC584" s="3">
        <f>+IF(AVANCE[[#This Row],[PINTURA EXTERIOR]]=AO$2,100%,AVANCE[[#This Row],[PINTURA EXTERIOR]])</f>
        <v>0</v>
      </c>
      <c r="CD584" s="3">
        <f>+IF(AVANCE[[#This Row],[ZOCALOS LOGIA]]=AP$2,100%,AVANCE[[#This Row],[ZOCALOS LOGIA]])</f>
        <v>0</v>
      </c>
      <c r="CE584" s="3">
        <f>+IF(AVANCE[[#This Row],[MOLDURAS]]=AQ$2,100%,AVANCE[[#This Row],[MOLDURAS]])</f>
        <v>0</v>
      </c>
      <c r="CF584" s="3">
        <f>+IF(AVANCE[[#This Row],[PILASTREO]]=AR$2,100%,AVANCE[[#This Row],[PILASTREO]])</f>
        <v>0</v>
      </c>
      <c r="CG584" s="3">
        <f>+IF(AVANCE[[#This Row],[CELOSIAS]]=AS$2,100%,AVANCE[[#This Row],[CELOSIAS]])</f>
        <v>0</v>
      </c>
      <c r="CH584" s="3">
        <f>+IF(AVANCE[[#This Row],[VENTANAS]]=AT$2,100%,AVANCE[[#This Row],[VENTANAS]])</f>
        <v>0</v>
      </c>
      <c r="CI584" s="3">
        <f>+IF(AVANCE[[#This Row],[PUERTAS ACCESO - LOGIA - BANO]]=AU$2,100%,AVANCE[[#This Row],[PUERTAS ACCESO - LOGIA - BANO]])</f>
        <v>0</v>
      </c>
      <c r="CJ584" s="3">
        <f>+IF(AVANCE[[#This Row],[CERRADURAS]]=AV$2,100%,AVANCE[[#This Row],[CERRADURAS]])</f>
        <v>0</v>
      </c>
      <c r="CK584" s="3">
        <f>+IF(AVANCE[[#This Row],[REVESTIMIENTO INTERIOR ZONA SECA]]=AW$2,100%,AVANCE[[#This Row],[REVESTIMIENTO INTERIOR ZONA SECA]])</f>
        <v>0</v>
      </c>
      <c r="CL584" s="3">
        <f>+IF(AVANCE[[#This Row],[REVESTIMIENTO INTERIOR ZONAS HUMEDAS]]=AX$2,100%,AVANCE[[#This Row],[REVESTIMIENTO INTERIOR ZONAS HUMEDAS]])</f>
        <v>0</v>
      </c>
      <c r="CM584" s="3">
        <f>+IF(AVANCE[[#This Row],[MEMBRANA CIELO]]=AY$2,100%,AVANCE[[#This Row],[MEMBRANA CIELO]])</f>
        <v>0</v>
      </c>
      <c r="CN584" s="3">
        <f>+IF(AVANCE[[#This Row],[LIMPIEZA FINAL]]=AZ$2,100%,AVANCE[[#This Row],[LIMPIEZA FINAL]])</f>
        <v>0</v>
      </c>
      <c r="CO584" s="3">
        <f>+IF(AVANCE[[#This Row],[PUERTAS DORMITORIO]]=BA$2,100%,AVANCE[[#This Row],[PUERTAS DORMITORIO]])</f>
        <v>0</v>
      </c>
      <c r="CP584" s="3">
        <f>+IF(AVANCE[[#This Row],[REVESTIMIENTO INTERIOR BANO]]=BB$2,100%,AVANCE[[#This Row],[REVESTIMIENTO INTERIOR BANO]])</f>
        <v>0</v>
      </c>
      <c r="CQ584" s="3">
        <f>+IF(AVANCE[[#This Row],[MUEBLE LAVAPLATOS]]=BC$2,100%,AVANCE[[#This Row],[MUEBLE LAVAPLATOS]])</f>
        <v>0</v>
      </c>
      <c r="CR584" s="3">
        <f>+IF(AVANCE[[#This Row],[IMPERMEABILIZACION BANO - COCINA LOGIA]]=BD$2,100%,AVANCE[[#This Row],[IMPERMEABILIZACION BANO - COCINA LOGIA]])</f>
        <v>0</v>
      </c>
      <c r="CS584" s="40">
        <f ca="1">+IF(AVANCE[[#This Row],[ESTADO MODULO]]="PENDIENTE",(TODAY()-AVANCE[[#This Row],[FECHA TERMINO  PLANIFICADO]]),0)</f>
        <v>0</v>
      </c>
      <c r="CT584" s="41" t="str" cm="1">
        <f t="array" ref="CT584">_xlfn.TEXTJOIN(" | ",TRUE,IF(SUMPRODUCT((BG584:CR584&lt;1)*(PARTIDAS!$I$2:$AT$2="OBRA GRUESA"))&gt;0,"OBRA GRUESA: "&amp;_xlfn.TEXTJOIN(", ",TRUE,IF((BG584:CR584&lt;1)*(PARTIDAS!$I$2:$AT$2="OBRA GRUESA"),PARTIDAS!$I$1:$AT$1,"")),""),IF(SUMPRODUCT((BG584:CR584&lt;1)*(PARTIDAS!$I$2:$AT$2="SANITARIOS"))&gt;0,"SANITARIOS: "&amp;_xlfn.TEXTJOIN(", ",TRUE,IF((BG584:CR584&lt;1)*(PARTIDAS!$I$2:$AT$2="SANITARIOS"),PARTIDAS!$I$1:$AT$1,"")),""),IF(SUMPRODUCT((BG584:CR584&lt;1)*(PARTIDAS!$I$2:$AT$2="ELÉCTRICO"))&gt;0,"ELÉCTRICO: "&amp;_xlfn.TEXTJOIN(", ",TRUE,IF((BG584:CR584&lt;1)*(PARTIDAS!$I$2:$AT$2="ELÉCTRICO"),PARTIDAS!$I$1:$AT$1,"")),""),IF(SUMPRODUCT((BG584:CR584&lt;1)*(PARTIDAS!$I$2:$AT$2="TERMINACIONES"))&gt;0,"TERMINACIONES: "&amp;_xlfn.TEXTJOIN(", ",TRUE,IF((BG584:CR584&lt;1)*(PARTIDAS!$I$2:$AT$2="TERMINACIONES"),PARTIDAS!$I$1:$AT$1,"")),""))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4" s="43" t="str" cm="1">
        <f t="array" ref="CU584">_xlfn.TEXTJOIN(", ",TRUE,IF(SUMPRODUCT((BG584:CR584&lt;1)*(PARTIDAS!$I$2:$AT$2="OBRA GRUESA"))&gt;0,"OBRA GRUESA",""),IF(SUMPRODUCT((BG584:CR584&lt;1)*(PARTIDAS!$I$2:$AT$2="SANITARIOS"))&gt;0,"SANITARIOS",""),IF(SUMPRODUCT((BG584:CR584&lt;1)*(PARTIDAS!$I$2:$AT$2="ELÉCTRICO"))&gt;0,"ELÉCTRICO",""),IF(SUMPRODUCT((BG584:CR584&lt;1)*(PARTIDAS!$I$2:$AT$2="TERMINACIONES"))&gt;0,"TERMINACIONES",""))</f>
        <v>OBRA GRUESA, SANITARIOS, ELÉCTRICO, TERMINACIONES</v>
      </c>
      <c r="CV584" s="44" cm="1">
        <f t="array" ref="CV584">SUMPRODUCT(--(BG584:CR584&lt;1))</f>
        <v>38</v>
      </c>
    </row>
    <row r="585" spans="1:100" hidden="1" x14ac:dyDescent="0.25">
      <c r="A585" t="s">
        <v>652</v>
      </c>
      <c r="B585" t="s">
        <v>660</v>
      </c>
      <c r="C585">
        <v>2282600584</v>
      </c>
      <c r="D585" t="s">
        <v>58</v>
      </c>
      <c r="E585" s="2">
        <v>0</v>
      </c>
      <c r="F585" s="1">
        <v>46433</v>
      </c>
      <c r="G585" s="1"/>
      <c r="H585" s="1">
        <v>0</v>
      </c>
      <c r="I585" s="1">
        <v>46453</v>
      </c>
      <c r="J585">
        <v>46230</v>
      </c>
      <c r="K585" s="1"/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>
        <v>28.87</v>
      </c>
      <c r="BF585" s="3" t="str">
        <f>+IF(AVANCE[[#This Row],[% AVANCE]]=100%,"MODULO TERMINADO",IF(AVANCE[[#This Row],[FECHA INICIO REAL]]="","MODULO NO INICIADO","PENDIENTE"))</f>
        <v>MODULO NO INICIADO</v>
      </c>
      <c r="BG585" s="3">
        <f>+IF(AVANCE[[#This Row],[VENTANAS]]=8.10810810810811%,100%,AVANCE[[#This Row],[VENTANAS]])</f>
        <v>0</v>
      </c>
      <c r="BH585" s="3">
        <f>+IF(AVANCE[[#This Row],[PISO]]=N$2,100%,AVANCE[[#This Row],[PISO]])</f>
        <v>0</v>
      </c>
      <c r="BI585" s="3">
        <f>+IF(AVANCE[[#This Row],[TABIQUES]]=O$2,100%,AVANCE[[#This Row],[TABIQUES]])</f>
        <v>0</v>
      </c>
      <c r="BJ585" s="3">
        <f>+IF(AVANCE[[#This Row],[MUROS]]=P$2,100%,AVANCE[[#This Row],[MUROS]])</f>
        <v>0</v>
      </c>
      <c r="BK585" s="3">
        <f>+IF(AVANCE[[#This Row],[CIELO]]=Q$2,100%,AVANCE[[#This Row],[CIELO]])</f>
        <v>0</v>
      </c>
      <c r="BL585" s="3">
        <f>+IF(AVANCE[[#This Row],[BALCÓN]]=R$2,100%,AVANCE[[#This Row],[BALCÓN]])</f>
        <v>0</v>
      </c>
      <c r="BM585" s="3">
        <f>+IF(AVANCE[[#This Row],[RED ALCANTARILLADO]]=U$2,100%,AVANCE[[#This Row],[RED ALCANTARILLADO]])</f>
        <v>0</v>
      </c>
      <c r="BN585" s="3">
        <f>+IF(AVANCE[[#This Row],[RED DE AGUA]]=V$2,100%,AVANCE[[#This Row],[RED DE AGUA]])</f>
        <v>0</v>
      </c>
      <c r="BO585" s="3">
        <f>+IF(AVANCE[[#This Row],[VENTILACIONES]]=W$2,100%,AVANCE[[#This Row],[VENTILACIONES]])</f>
        <v>0</v>
      </c>
      <c r="BP585" s="3">
        <f>+IF(AVANCE[[#This Row],[TINA]]=X$2,100%,AVANCE[[#This Row],[TINA]])</f>
        <v>0</v>
      </c>
      <c r="BQ585" s="3">
        <f>+IF(AVANCE[[#This Row],[WC]]=Y$2,100%,AVANCE[[#This Row],[WC]])</f>
        <v>0</v>
      </c>
      <c r="BR585" s="3">
        <f>+IF(AVANCE[[#This Row],[LAVAMANOS / LAVAPLATOS / LAVADERO]]=Z$2,100%,AVANCE[[#This Row],[LAVAMANOS / LAVAPLATOS / LAVADERO]])</f>
        <v>0</v>
      </c>
      <c r="BS585" s="3">
        <f>+IF(AVANCE[[#This Row],[CANALIZACIÓN]]=AC$2,100%,AVANCE[[#This Row],[CANALIZACIÓN]])</f>
        <v>0</v>
      </c>
      <c r="BT585" s="3">
        <f>+IF(AVANCE[[#This Row],[CABLEADO]]=AD$2,100%,AVANCE[[#This Row],[CABLEADO]])</f>
        <v>0</v>
      </c>
      <c r="BU585" s="3">
        <f>+IF(AVANCE[[#This Row],[ARTEFACTOS]]=AE$2,100%,AVANCE[[#This Row],[ARTEFACTOS]])</f>
        <v>0</v>
      </c>
      <c r="BV585" s="3">
        <f>+IF(AVANCE[[#This Row],[TABLERO]]=AF$2,100%,AVANCE[[#This Row],[TABLERO]])</f>
        <v>0</v>
      </c>
      <c r="BW585" s="3">
        <f>+IF(AVANCE[[#This Row],[CAJA PAU]]=AG$2,100%,AVANCE[[#This Row],[CAJA PAU]])</f>
        <v>0</v>
      </c>
      <c r="BX585" s="3">
        <f>+IF(AVANCE[[#This Row],[INSTALACION VINILICO]]=AJ$2,100%,AVANCE[[#This Row],[INSTALACION VINILICO]])</f>
        <v>0</v>
      </c>
      <c r="BY585" s="3">
        <f>+IF(AVANCE[[#This Row],[OSB CUBIERTA]]=AK$2,100%,AVANCE[[#This Row],[OSB CUBIERTA]])</f>
        <v>0</v>
      </c>
      <c r="BZ585" s="3">
        <f>+IF(AVANCE[[#This Row],[BARANDA BALCON]]=AL$2,100%,AVANCE[[#This Row],[BARANDA BALCON]])</f>
        <v>0</v>
      </c>
      <c r="CA585" s="3">
        <f>+IF(AVANCE[[#This Row],[OSB EXTERIOR]]=AM$2,100%,AVANCE[[#This Row],[OSB EXTERIOR]])</f>
        <v>0</v>
      </c>
      <c r="CB585" s="3">
        <f>+IF(AVANCE[[#This Row],[SMART PANEL]]=AN$2,100%,AVANCE[[#This Row],[SMART PANEL]])</f>
        <v>0</v>
      </c>
      <c r="CC585" s="3">
        <f>+IF(AVANCE[[#This Row],[PINTURA EXTERIOR]]=AO$2,100%,AVANCE[[#This Row],[PINTURA EXTERIOR]])</f>
        <v>0</v>
      </c>
      <c r="CD585" s="3">
        <f>+IF(AVANCE[[#This Row],[ZOCALOS LOGIA]]=AP$2,100%,AVANCE[[#This Row],[ZOCALOS LOGIA]])</f>
        <v>0</v>
      </c>
      <c r="CE585" s="3">
        <f>+IF(AVANCE[[#This Row],[MOLDURAS]]=AQ$2,100%,AVANCE[[#This Row],[MOLDURAS]])</f>
        <v>0</v>
      </c>
      <c r="CF585" s="3">
        <f>+IF(AVANCE[[#This Row],[PILASTREO]]=AR$2,100%,AVANCE[[#This Row],[PILASTREO]])</f>
        <v>0</v>
      </c>
      <c r="CG585" s="3">
        <f>+IF(AVANCE[[#This Row],[CELOSIAS]]=AS$2,100%,AVANCE[[#This Row],[CELOSIAS]])</f>
        <v>0</v>
      </c>
      <c r="CH585" s="3">
        <f>+IF(AVANCE[[#This Row],[VENTANAS]]=AT$2,100%,AVANCE[[#This Row],[VENTANAS]])</f>
        <v>0</v>
      </c>
      <c r="CI585" s="3">
        <f>+IF(AVANCE[[#This Row],[PUERTAS ACCESO - LOGIA - BANO]]=AU$2,100%,AVANCE[[#This Row],[PUERTAS ACCESO - LOGIA - BANO]])</f>
        <v>0</v>
      </c>
      <c r="CJ585" s="3">
        <f>+IF(AVANCE[[#This Row],[CERRADURAS]]=AV$2,100%,AVANCE[[#This Row],[CERRADURAS]])</f>
        <v>0</v>
      </c>
      <c r="CK585" s="3">
        <f>+IF(AVANCE[[#This Row],[REVESTIMIENTO INTERIOR ZONA SECA]]=AW$2,100%,AVANCE[[#This Row],[REVESTIMIENTO INTERIOR ZONA SECA]])</f>
        <v>0</v>
      </c>
      <c r="CL585" s="3">
        <f>+IF(AVANCE[[#This Row],[REVESTIMIENTO INTERIOR ZONAS HUMEDAS]]=AX$2,100%,AVANCE[[#This Row],[REVESTIMIENTO INTERIOR ZONAS HUMEDAS]])</f>
        <v>0</v>
      </c>
      <c r="CM585" s="3">
        <f>+IF(AVANCE[[#This Row],[MEMBRANA CIELO]]=AY$2,100%,AVANCE[[#This Row],[MEMBRANA CIELO]])</f>
        <v>0</v>
      </c>
      <c r="CN585" s="3">
        <f>+IF(AVANCE[[#This Row],[LIMPIEZA FINAL]]=AZ$2,100%,AVANCE[[#This Row],[LIMPIEZA FINAL]])</f>
        <v>0</v>
      </c>
      <c r="CO585" s="3">
        <f>+IF(AVANCE[[#This Row],[PUERTAS DORMITORIO]]=BA$2,100%,AVANCE[[#This Row],[PUERTAS DORMITORIO]])</f>
        <v>0</v>
      </c>
      <c r="CP585" s="3">
        <f>+IF(AVANCE[[#This Row],[REVESTIMIENTO INTERIOR BANO]]=BB$2,100%,AVANCE[[#This Row],[REVESTIMIENTO INTERIOR BANO]])</f>
        <v>0</v>
      </c>
      <c r="CQ585" s="3">
        <f>+IF(AVANCE[[#This Row],[MUEBLE LAVAPLATOS]]=BC$2,100%,AVANCE[[#This Row],[MUEBLE LAVAPLATOS]])</f>
        <v>0</v>
      </c>
      <c r="CR585" s="3">
        <f>+IF(AVANCE[[#This Row],[IMPERMEABILIZACION BANO - COCINA LOGIA]]=BD$2,100%,AVANCE[[#This Row],[IMPERMEABILIZACION BANO - COCINA LOGIA]])</f>
        <v>0</v>
      </c>
      <c r="CS585" s="40">
        <f ca="1">+IF(AVANCE[[#This Row],[ESTADO MODULO]]="PENDIENTE",(TODAY()-AVANCE[[#This Row],[FECHA TERMINO  PLANIFICADO]]),0)</f>
        <v>0</v>
      </c>
      <c r="CT585" s="41" t="str" cm="1">
        <f t="array" ref="CT585">_xlfn.TEXTJOIN(" | ",TRUE,IF(SUMPRODUCT((BG585:CR585&lt;1)*(PARTIDAS!$I$2:$AT$2="OBRA GRUESA"))&gt;0,"OBRA GRUESA: "&amp;_xlfn.TEXTJOIN(", ",TRUE,IF((BG585:CR585&lt;1)*(PARTIDAS!$I$2:$AT$2="OBRA GRUESA"),PARTIDAS!$I$1:$AT$1,"")),""),IF(SUMPRODUCT((BG585:CR585&lt;1)*(PARTIDAS!$I$2:$AT$2="SANITARIOS"))&gt;0,"SANITARIOS: "&amp;_xlfn.TEXTJOIN(", ",TRUE,IF((BG585:CR585&lt;1)*(PARTIDAS!$I$2:$AT$2="SANITARIOS"),PARTIDAS!$I$1:$AT$1,"")),""),IF(SUMPRODUCT((BG585:CR585&lt;1)*(PARTIDAS!$I$2:$AT$2="ELÉCTRICO"))&gt;0,"ELÉCTRICO: "&amp;_xlfn.TEXTJOIN(", ",TRUE,IF((BG585:CR585&lt;1)*(PARTIDAS!$I$2:$AT$2="ELÉCTRICO"),PARTIDAS!$I$1:$AT$1,"")),""),IF(SUMPRODUCT((BG585:CR585&lt;1)*(PARTIDAS!$I$2:$AT$2="TERMINACIONES"))&gt;0,"TERMINACIONES: "&amp;_xlfn.TEXTJOIN(", ",TRUE,IF((BG585:CR585&lt;1)*(PARTIDAS!$I$2:$AT$2="TERMINACIONES"),PARTIDAS!$I$1:$AT$1,"")),""))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5" s="43" t="str" cm="1">
        <f t="array" ref="CU585">_xlfn.TEXTJOIN(", ",TRUE,IF(SUMPRODUCT((BG585:CR585&lt;1)*(PARTIDAS!$I$2:$AT$2="OBRA GRUESA"))&gt;0,"OBRA GRUESA",""),IF(SUMPRODUCT((BG585:CR585&lt;1)*(PARTIDAS!$I$2:$AT$2="SANITARIOS"))&gt;0,"SANITARIOS",""),IF(SUMPRODUCT((BG585:CR585&lt;1)*(PARTIDAS!$I$2:$AT$2="ELÉCTRICO"))&gt;0,"ELÉCTRICO",""),IF(SUMPRODUCT((BG585:CR585&lt;1)*(PARTIDAS!$I$2:$AT$2="TERMINACIONES"))&gt;0,"TERMINACIONES",""))</f>
        <v>OBRA GRUESA, SANITARIOS, ELÉCTRICO, TERMINACIONES</v>
      </c>
      <c r="CV585" s="44" cm="1">
        <f t="array" ref="CV585">SUMPRODUCT(--(BG585:CR585&lt;1))</f>
        <v>38</v>
      </c>
    </row>
    <row r="586" spans="1:100" hidden="1" x14ac:dyDescent="0.25">
      <c r="A586" t="s">
        <v>652</v>
      </c>
      <c r="B586" t="s">
        <v>661</v>
      </c>
      <c r="C586">
        <v>2282600585</v>
      </c>
      <c r="D586" t="s">
        <v>58</v>
      </c>
      <c r="E586" s="2">
        <v>0</v>
      </c>
      <c r="F586" s="1">
        <v>46433</v>
      </c>
      <c r="G586" s="1"/>
      <c r="H586" s="1">
        <v>0</v>
      </c>
      <c r="I586" s="1">
        <v>46453</v>
      </c>
      <c r="J586">
        <v>46230</v>
      </c>
      <c r="K586" s="1"/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>
        <v>28.87</v>
      </c>
      <c r="BF586" s="3" t="str">
        <f>+IF(AVANCE[[#This Row],[% AVANCE]]=100%,"MODULO TERMINADO",IF(AVANCE[[#This Row],[FECHA INICIO REAL]]="","MODULO NO INICIADO","PENDIENTE"))</f>
        <v>MODULO NO INICIADO</v>
      </c>
      <c r="BG586" s="3">
        <f>+IF(AVANCE[[#This Row],[VENTANAS]]=8.10810810810811%,100%,AVANCE[[#This Row],[VENTANAS]])</f>
        <v>0</v>
      </c>
      <c r="BH586" s="3">
        <f>+IF(AVANCE[[#This Row],[PISO]]=N$2,100%,AVANCE[[#This Row],[PISO]])</f>
        <v>0</v>
      </c>
      <c r="BI586" s="3">
        <f>+IF(AVANCE[[#This Row],[TABIQUES]]=O$2,100%,AVANCE[[#This Row],[TABIQUES]])</f>
        <v>0</v>
      </c>
      <c r="BJ586" s="3">
        <f>+IF(AVANCE[[#This Row],[MUROS]]=P$2,100%,AVANCE[[#This Row],[MUROS]])</f>
        <v>0</v>
      </c>
      <c r="BK586" s="3">
        <f>+IF(AVANCE[[#This Row],[CIELO]]=Q$2,100%,AVANCE[[#This Row],[CIELO]])</f>
        <v>0</v>
      </c>
      <c r="BL586" s="3">
        <f>+IF(AVANCE[[#This Row],[BALCÓN]]=R$2,100%,AVANCE[[#This Row],[BALCÓN]])</f>
        <v>0</v>
      </c>
      <c r="BM586" s="3">
        <f>+IF(AVANCE[[#This Row],[RED ALCANTARILLADO]]=U$2,100%,AVANCE[[#This Row],[RED ALCANTARILLADO]])</f>
        <v>0</v>
      </c>
      <c r="BN586" s="3">
        <f>+IF(AVANCE[[#This Row],[RED DE AGUA]]=V$2,100%,AVANCE[[#This Row],[RED DE AGUA]])</f>
        <v>0</v>
      </c>
      <c r="BO586" s="3">
        <f>+IF(AVANCE[[#This Row],[VENTILACIONES]]=W$2,100%,AVANCE[[#This Row],[VENTILACIONES]])</f>
        <v>0</v>
      </c>
      <c r="BP586" s="3">
        <f>+IF(AVANCE[[#This Row],[TINA]]=X$2,100%,AVANCE[[#This Row],[TINA]])</f>
        <v>0</v>
      </c>
      <c r="BQ586" s="3">
        <f>+IF(AVANCE[[#This Row],[WC]]=Y$2,100%,AVANCE[[#This Row],[WC]])</f>
        <v>0</v>
      </c>
      <c r="BR586" s="3">
        <f>+IF(AVANCE[[#This Row],[LAVAMANOS / LAVAPLATOS / LAVADERO]]=Z$2,100%,AVANCE[[#This Row],[LAVAMANOS / LAVAPLATOS / LAVADERO]])</f>
        <v>0</v>
      </c>
      <c r="BS586" s="3">
        <f>+IF(AVANCE[[#This Row],[CANALIZACIÓN]]=AC$2,100%,AVANCE[[#This Row],[CANALIZACIÓN]])</f>
        <v>0</v>
      </c>
      <c r="BT586" s="3">
        <f>+IF(AVANCE[[#This Row],[CABLEADO]]=AD$2,100%,AVANCE[[#This Row],[CABLEADO]])</f>
        <v>0</v>
      </c>
      <c r="BU586" s="3">
        <f>+IF(AVANCE[[#This Row],[ARTEFACTOS]]=AE$2,100%,AVANCE[[#This Row],[ARTEFACTOS]])</f>
        <v>0</v>
      </c>
      <c r="BV586" s="3">
        <f>+IF(AVANCE[[#This Row],[TABLERO]]=AF$2,100%,AVANCE[[#This Row],[TABLERO]])</f>
        <v>0</v>
      </c>
      <c r="BW586" s="3">
        <f>+IF(AVANCE[[#This Row],[CAJA PAU]]=AG$2,100%,AVANCE[[#This Row],[CAJA PAU]])</f>
        <v>0</v>
      </c>
      <c r="BX586" s="3">
        <f>+IF(AVANCE[[#This Row],[INSTALACION VINILICO]]=AJ$2,100%,AVANCE[[#This Row],[INSTALACION VINILICO]])</f>
        <v>0</v>
      </c>
      <c r="BY586" s="3">
        <f>+IF(AVANCE[[#This Row],[OSB CUBIERTA]]=AK$2,100%,AVANCE[[#This Row],[OSB CUBIERTA]])</f>
        <v>0</v>
      </c>
      <c r="BZ586" s="3">
        <f>+IF(AVANCE[[#This Row],[BARANDA BALCON]]=AL$2,100%,AVANCE[[#This Row],[BARANDA BALCON]])</f>
        <v>0</v>
      </c>
      <c r="CA586" s="3">
        <f>+IF(AVANCE[[#This Row],[OSB EXTERIOR]]=AM$2,100%,AVANCE[[#This Row],[OSB EXTERIOR]])</f>
        <v>0</v>
      </c>
      <c r="CB586" s="3">
        <f>+IF(AVANCE[[#This Row],[SMART PANEL]]=AN$2,100%,AVANCE[[#This Row],[SMART PANEL]])</f>
        <v>0</v>
      </c>
      <c r="CC586" s="3">
        <f>+IF(AVANCE[[#This Row],[PINTURA EXTERIOR]]=AO$2,100%,AVANCE[[#This Row],[PINTURA EXTERIOR]])</f>
        <v>0</v>
      </c>
      <c r="CD586" s="3">
        <f>+IF(AVANCE[[#This Row],[ZOCALOS LOGIA]]=AP$2,100%,AVANCE[[#This Row],[ZOCALOS LOGIA]])</f>
        <v>0</v>
      </c>
      <c r="CE586" s="3">
        <f>+IF(AVANCE[[#This Row],[MOLDURAS]]=AQ$2,100%,AVANCE[[#This Row],[MOLDURAS]])</f>
        <v>0</v>
      </c>
      <c r="CF586" s="3">
        <f>+IF(AVANCE[[#This Row],[PILASTREO]]=AR$2,100%,AVANCE[[#This Row],[PILASTREO]])</f>
        <v>0</v>
      </c>
      <c r="CG586" s="3">
        <f>+IF(AVANCE[[#This Row],[CELOSIAS]]=AS$2,100%,AVANCE[[#This Row],[CELOSIAS]])</f>
        <v>0</v>
      </c>
      <c r="CH586" s="3">
        <f>+IF(AVANCE[[#This Row],[VENTANAS]]=AT$2,100%,AVANCE[[#This Row],[VENTANAS]])</f>
        <v>0</v>
      </c>
      <c r="CI586" s="3">
        <f>+IF(AVANCE[[#This Row],[PUERTAS ACCESO - LOGIA - BANO]]=AU$2,100%,AVANCE[[#This Row],[PUERTAS ACCESO - LOGIA - BANO]])</f>
        <v>0</v>
      </c>
      <c r="CJ586" s="3">
        <f>+IF(AVANCE[[#This Row],[CERRADURAS]]=AV$2,100%,AVANCE[[#This Row],[CERRADURAS]])</f>
        <v>0</v>
      </c>
      <c r="CK586" s="3">
        <f>+IF(AVANCE[[#This Row],[REVESTIMIENTO INTERIOR ZONA SECA]]=AW$2,100%,AVANCE[[#This Row],[REVESTIMIENTO INTERIOR ZONA SECA]])</f>
        <v>0</v>
      </c>
      <c r="CL586" s="3">
        <f>+IF(AVANCE[[#This Row],[REVESTIMIENTO INTERIOR ZONAS HUMEDAS]]=AX$2,100%,AVANCE[[#This Row],[REVESTIMIENTO INTERIOR ZONAS HUMEDAS]])</f>
        <v>0</v>
      </c>
      <c r="CM586" s="3">
        <f>+IF(AVANCE[[#This Row],[MEMBRANA CIELO]]=AY$2,100%,AVANCE[[#This Row],[MEMBRANA CIELO]])</f>
        <v>0</v>
      </c>
      <c r="CN586" s="3">
        <f>+IF(AVANCE[[#This Row],[LIMPIEZA FINAL]]=AZ$2,100%,AVANCE[[#This Row],[LIMPIEZA FINAL]])</f>
        <v>0</v>
      </c>
      <c r="CO586" s="3">
        <f>+IF(AVANCE[[#This Row],[PUERTAS DORMITORIO]]=BA$2,100%,AVANCE[[#This Row],[PUERTAS DORMITORIO]])</f>
        <v>0</v>
      </c>
      <c r="CP586" s="3">
        <f>+IF(AVANCE[[#This Row],[REVESTIMIENTO INTERIOR BANO]]=BB$2,100%,AVANCE[[#This Row],[REVESTIMIENTO INTERIOR BANO]])</f>
        <v>0</v>
      </c>
      <c r="CQ586" s="3">
        <f>+IF(AVANCE[[#This Row],[MUEBLE LAVAPLATOS]]=BC$2,100%,AVANCE[[#This Row],[MUEBLE LAVAPLATOS]])</f>
        <v>0</v>
      </c>
      <c r="CR586" s="3">
        <f>+IF(AVANCE[[#This Row],[IMPERMEABILIZACION BANO - COCINA LOGIA]]=BD$2,100%,AVANCE[[#This Row],[IMPERMEABILIZACION BANO - COCINA LOGIA]])</f>
        <v>0</v>
      </c>
      <c r="CS586" s="40">
        <f ca="1">+IF(AVANCE[[#This Row],[ESTADO MODULO]]="PENDIENTE",(TODAY()-AVANCE[[#This Row],[FECHA TERMINO  PLANIFICADO]]),0)</f>
        <v>0</v>
      </c>
      <c r="CT586" s="41" t="str" cm="1">
        <f t="array" ref="CT586">_xlfn.TEXTJOIN(" | ",TRUE,IF(SUMPRODUCT((BG586:CR586&lt;1)*(PARTIDAS!$I$2:$AT$2="OBRA GRUESA"))&gt;0,"OBRA GRUESA: "&amp;_xlfn.TEXTJOIN(", ",TRUE,IF((BG586:CR586&lt;1)*(PARTIDAS!$I$2:$AT$2="OBRA GRUESA"),PARTIDAS!$I$1:$AT$1,"")),""),IF(SUMPRODUCT((BG586:CR586&lt;1)*(PARTIDAS!$I$2:$AT$2="SANITARIOS"))&gt;0,"SANITARIOS: "&amp;_xlfn.TEXTJOIN(", ",TRUE,IF((BG586:CR586&lt;1)*(PARTIDAS!$I$2:$AT$2="SANITARIOS"),PARTIDAS!$I$1:$AT$1,"")),""),IF(SUMPRODUCT((BG586:CR586&lt;1)*(PARTIDAS!$I$2:$AT$2="ELÉCTRICO"))&gt;0,"ELÉCTRICO: "&amp;_xlfn.TEXTJOIN(", ",TRUE,IF((BG586:CR586&lt;1)*(PARTIDAS!$I$2:$AT$2="ELÉCTRICO"),PARTIDAS!$I$1:$AT$1,"")),""),IF(SUMPRODUCT((BG586:CR586&lt;1)*(PARTIDAS!$I$2:$AT$2="TERMINACIONES"))&gt;0,"TERMINACIONES: "&amp;_xlfn.TEXTJOIN(", ",TRUE,IF((BG586:CR586&lt;1)*(PARTIDAS!$I$2:$AT$2="TERMINACIONES"),PARTIDAS!$I$1:$AT$1,"")),""))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6" s="43" t="str" cm="1">
        <f t="array" ref="CU586">_xlfn.TEXTJOIN(", ",TRUE,IF(SUMPRODUCT((BG586:CR586&lt;1)*(PARTIDAS!$I$2:$AT$2="OBRA GRUESA"))&gt;0,"OBRA GRUESA",""),IF(SUMPRODUCT((BG586:CR586&lt;1)*(PARTIDAS!$I$2:$AT$2="SANITARIOS"))&gt;0,"SANITARIOS",""),IF(SUMPRODUCT((BG586:CR586&lt;1)*(PARTIDAS!$I$2:$AT$2="ELÉCTRICO"))&gt;0,"ELÉCTRICO",""),IF(SUMPRODUCT((BG586:CR586&lt;1)*(PARTIDAS!$I$2:$AT$2="TERMINACIONES"))&gt;0,"TERMINACIONES",""))</f>
        <v>OBRA GRUESA, SANITARIOS, ELÉCTRICO, TERMINACIONES</v>
      </c>
      <c r="CV586" s="44" cm="1">
        <f t="array" ref="CV586">SUMPRODUCT(--(BG586:CR586&lt;1))</f>
        <v>38</v>
      </c>
    </row>
    <row r="587" spans="1:100" hidden="1" x14ac:dyDescent="0.25">
      <c r="A587" t="s">
        <v>652</v>
      </c>
      <c r="B587" t="s">
        <v>662</v>
      </c>
      <c r="C587">
        <v>2302600586</v>
      </c>
      <c r="D587" t="s">
        <v>60</v>
      </c>
      <c r="E587" s="2">
        <v>0</v>
      </c>
      <c r="F587" s="1">
        <v>46433</v>
      </c>
      <c r="G587" s="1"/>
      <c r="H587" s="1">
        <v>0</v>
      </c>
      <c r="I587" s="1">
        <v>46463</v>
      </c>
      <c r="J587">
        <v>46230</v>
      </c>
      <c r="K587" s="1"/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>
        <v>31.32</v>
      </c>
      <c r="BF587" s="3" t="str">
        <f>+IF(AVANCE[[#This Row],[% AVANCE]]=100%,"MODULO TERMINADO",IF(AVANCE[[#This Row],[FECHA INICIO REAL]]="","MODULO NO INICIADO","PENDIENTE"))</f>
        <v>MODULO NO INICIADO</v>
      </c>
      <c r="BG587" s="3">
        <f>+IF(AVANCE[[#This Row],[VENTANAS]]=8.10810810810811%,100%,AVANCE[[#This Row],[VENTANAS]])</f>
        <v>0</v>
      </c>
      <c r="BH587" s="3">
        <f>+IF(AVANCE[[#This Row],[PISO]]=N$2,100%,AVANCE[[#This Row],[PISO]])</f>
        <v>0</v>
      </c>
      <c r="BI587" s="3">
        <f>+IF(AVANCE[[#This Row],[TABIQUES]]=O$2,100%,AVANCE[[#This Row],[TABIQUES]])</f>
        <v>0</v>
      </c>
      <c r="BJ587" s="3">
        <f>+IF(AVANCE[[#This Row],[MUROS]]=P$2,100%,AVANCE[[#This Row],[MUROS]])</f>
        <v>0</v>
      </c>
      <c r="BK587" s="3">
        <f>+IF(AVANCE[[#This Row],[CIELO]]=Q$2,100%,AVANCE[[#This Row],[CIELO]])</f>
        <v>0</v>
      </c>
      <c r="BL587" s="3">
        <f>+IF(AVANCE[[#This Row],[BALCÓN]]=R$2,100%,AVANCE[[#This Row],[BALCÓN]])</f>
        <v>0</v>
      </c>
      <c r="BM587" s="3">
        <f>+IF(AVANCE[[#This Row],[RED ALCANTARILLADO]]=U$2,100%,AVANCE[[#This Row],[RED ALCANTARILLADO]])</f>
        <v>0</v>
      </c>
      <c r="BN587" s="3">
        <f>+IF(AVANCE[[#This Row],[RED DE AGUA]]=V$2,100%,AVANCE[[#This Row],[RED DE AGUA]])</f>
        <v>0</v>
      </c>
      <c r="BO587" s="3">
        <f>+IF(AVANCE[[#This Row],[VENTILACIONES]]=W$2,100%,AVANCE[[#This Row],[VENTILACIONES]])</f>
        <v>0</v>
      </c>
      <c r="BP587" s="3">
        <f>+IF(AVANCE[[#This Row],[TINA]]=X$2,100%,AVANCE[[#This Row],[TINA]])</f>
        <v>0</v>
      </c>
      <c r="BQ587" s="3">
        <f>+IF(AVANCE[[#This Row],[WC]]=Y$2,100%,AVANCE[[#This Row],[WC]])</f>
        <v>0</v>
      </c>
      <c r="BR587" s="3">
        <f>+IF(AVANCE[[#This Row],[LAVAMANOS / LAVAPLATOS / LAVADERO]]=Z$2,100%,AVANCE[[#This Row],[LAVAMANOS / LAVAPLATOS / LAVADERO]])</f>
        <v>0</v>
      </c>
      <c r="BS587" s="3">
        <f>+IF(AVANCE[[#This Row],[CANALIZACIÓN]]=AC$2,100%,AVANCE[[#This Row],[CANALIZACIÓN]])</f>
        <v>0</v>
      </c>
      <c r="BT587" s="3">
        <f>+IF(AVANCE[[#This Row],[CABLEADO]]=AD$2,100%,AVANCE[[#This Row],[CABLEADO]])</f>
        <v>0</v>
      </c>
      <c r="BU587" s="3">
        <f>+IF(AVANCE[[#This Row],[ARTEFACTOS]]=AE$2,100%,AVANCE[[#This Row],[ARTEFACTOS]])</f>
        <v>0</v>
      </c>
      <c r="BV587" s="3">
        <f>+IF(AVANCE[[#This Row],[TABLERO]]=AF$2,100%,AVANCE[[#This Row],[TABLERO]])</f>
        <v>0</v>
      </c>
      <c r="BW587" s="3">
        <f>+IF(AVANCE[[#This Row],[CAJA PAU]]=AG$2,100%,AVANCE[[#This Row],[CAJA PAU]])</f>
        <v>0</v>
      </c>
      <c r="BX587" s="3">
        <f>+IF(AVANCE[[#This Row],[INSTALACION VINILICO]]=AJ$2,100%,AVANCE[[#This Row],[INSTALACION VINILICO]])</f>
        <v>0</v>
      </c>
      <c r="BY587" s="3">
        <f>+IF(AVANCE[[#This Row],[OSB CUBIERTA]]=AK$2,100%,AVANCE[[#This Row],[OSB CUBIERTA]])</f>
        <v>0</v>
      </c>
      <c r="BZ587" s="3">
        <f>+IF(AVANCE[[#This Row],[BARANDA BALCON]]=AL$2,100%,AVANCE[[#This Row],[BARANDA BALCON]])</f>
        <v>0</v>
      </c>
      <c r="CA587" s="3">
        <f>+IF(AVANCE[[#This Row],[OSB EXTERIOR]]=AM$2,100%,AVANCE[[#This Row],[OSB EXTERIOR]])</f>
        <v>0</v>
      </c>
      <c r="CB587" s="3">
        <f>+IF(AVANCE[[#This Row],[SMART PANEL]]=AN$2,100%,AVANCE[[#This Row],[SMART PANEL]])</f>
        <v>0</v>
      </c>
      <c r="CC587" s="3">
        <f>+IF(AVANCE[[#This Row],[PINTURA EXTERIOR]]=AO$2,100%,AVANCE[[#This Row],[PINTURA EXTERIOR]])</f>
        <v>0</v>
      </c>
      <c r="CD587" s="3">
        <f>+IF(AVANCE[[#This Row],[ZOCALOS LOGIA]]=AP$2,100%,AVANCE[[#This Row],[ZOCALOS LOGIA]])</f>
        <v>0</v>
      </c>
      <c r="CE587" s="3">
        <f>+IF(AVANCE[[#This Row],[MOLDURAS]]=AQ$2,100%,AVANCE[[#This Row],[MOLDURAS]])</f>
        <v>0</v>
      </c>
      <c r="CF587" s="3">
        <f>+IF(AVANCE[[#This Row],[PILASTREO]]=AR$2,100%,AVANCE[[#This Row],[PILASTREO]])</f>
        <v>0</v>
      </c>
      <c r="CG587" s="3">
        <f>+IF(AVANCE[[#This Row],[CELOSIAS]]=AS$2,100%,AVANCE[[#This Row],[CELOSIAS]])</f>
        <v>0</v>
      </c>
      <c r="CH587" s="3">
        <f>+IF(AVANCE[[#This Row],[VENTANAS]]=AT$2,100%,AVANCE[[#This Row],[VENTANAS]])</f>
        <v>0</v>
      </c>
      <c r="CI587" s="3">
        <f>+IF(AVANCE[[#This Row],[PUERTAS ACCESO - LOGIA - BANO]]=AU$2,100%,AVANCE[[#This Row],[PUERTAS ACCESO - LOGIA - BANO]])</f>
        <v>0</v>
      </c>
      <c r="CJ587" s="3">
        <f>+IF(AVANCE[[#This Row],[CERRADURAS]]=AV$2,100%,AVANCE[[#This Row],[CERRADURAS]])</f>
        <v>0</v>
      </c>
      <c r="CK587" s="3">
        <f>+IF(AVANCE[[#This Row],[REVESTIMIENTO INTERIOR ZONA SECA]]=AW$2,100%,AVANCE[[#This Row],[REVESTIMIENTO INTERIOR ZONA SECA]])</f>
        <v>0</v>
      </c>
      <c r="CL587" s="3">
        <f>+IF(AVANCE[[#This Row],[REVESTIMIENTO INTERIOR ZONAS HUMEDAS]]=AX$2,100%,AVANCE[[#This Row],[REVESTIMIENTO INTERIOR ZONAS HUMEDAS]])</f>
        <v>0</v>
      </c>
      <c r="CM587" s="3">
        <f>+IF(AVANCE[[#This Row],[MEMBRANA CIELO]]=AY$2,100%,AVANCE[[#This Row],[MEMBRANA CIELO]])</f>
        <v>0</v>
      </c>
      <c r="CN587" s="3">
        <f>+IF(AVANCE[[#This Row],[LIMPIEZA FINAL]]=AZ$2,100%,AVANCE[[#This Row],[LIMPIEZA FINAL]])</f>
        <v>0</v>
      </c>
      <c r="CO587" s="3">
        <f>+IF(AVANCE[[#This Row],[PUERTAS DORMITORIO]]=BA$2,100%,AVANCE[[#This Row],[PUERTAS DORMITORIO]])</f>
        <v>0</v>
      </c>
      <c r="CP587" s="3">
        <f>+IF(AVANCE[[#This Row],[REVESTIMIENTO INTERIOR BANO]]=BB$2,100%,AVANCE[[#This Row],[REVESTIMIENTO INTERIOR BANO]])</f>
        <v>0</v>
      </c>
      <c r="CQ587" s="3">
        <f>+IF(AVANCE[[#This Row],[MUEBLE LAVAPLATOS]]=BC$2,100%,AVANCE[[#This Row],[MUEBLE LAVAPLATOS]])</f>
        <v>0</v>
      </c>
      <c r="CR587" s="3">
        <f>+IF(AVANCE[[#This Row],[IMPERMEABILIZACION BANO - COCINA LOGIA]]=BD$2,100%,AVANCE[[#This Row],[IMPERMEABILIZACION BANO - COCINA LOGIA]])</f>
        <v>0</v>
      </c>
      <c r="CS587" s="40">
        <f ca="1">+IF(AVANCE[[#This Row],[ESTADO MODULO]]="PENDIENTE",(TODAY()-AVANCE[[#This Row],[FECHA TERMINO  PLANIFICADO]]),0)</f>
        <v>0</v>
      </c>
      <c r="CT587" s="41" t="str" cm="1">
        <f t="array" ref="CT587">_xlfn.TEXTJOIN(" | ",TRUE,IF(SUMPRODUCT((BG587:CR587&lt;1)*(PARTIDAS!$I$2:$AT$2="OBRA GRUESA"))&gt;0,"OBRA GRUESA: "&amp;_xlfn.TEXTJOIN(", ",TRUE,IF((BG587:CR587&lt;1)*(PARTIDAS!$I$2:$AT$2="OBRA GRUESA"),PARTIDAS!$I$1:$AT$1,"")),""),IF(SUMPRODUCT((BG587:CR587&lt;1)*(PARTIDAS!$I$2:$AT$2="SANITARIOS"))&gt;0,"SANITARIOS: "&amp;_xlfn.TEXTJOIN(", ",TRUE,IF((BG587:CR587&lt;1)*(PARTIDAS!$I$2:$AT$2="SANITARIOS"),PARTIDAS!$I$1:$AT$1,"")),""),IF(SUMPRODUCT((BG587:CR587&lt;1)*(PARTIDAS!$I$2:$AT$2="ELÉCTRICO"))&gt;0,"ELÉCTRICO: "&amp;_xlfn.TEXTJOIN(", ",TRUE,IF((BG587:CR587&lt;1)*(PARTIDAS!$I$2:$AT$2="ELÉCTRICO"),PARTIDAS!$I$1:$AT$1,"")),""),IF(SUMPRODUCT((BG587:CR587&lt;1)*(PARTIDAS!$I$2:$AT$2="TERMINACIONES"))&gt;0,"TERMINACIONES: "&amp;_xlfn.TEXTJOIN(", ",TRUE,IF((BG587:CR587&lt;1)*(PARTIDAS!$I$2:$AT$2="TERMINACIONES"),PARTIDAS!$I$1:$AT$1,"")),""))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7" s="43" t="str" cm="1">
        <f t="array" ref="CU587">_xlfn.TEXTJOIN(", ",TRUE,IF(SUMPRODUCT((BG587:CR587&lt;1)*(PARTIDAS!$I$2:$AT$2="OBRA GRUESA"))&gt;0,"OBRA GRUESA",""),IF(SUMPRODUCT((BG587:CR587&lt;1)*(PARTIDAS!$I$2:$AT$2="SANITARIOS"))&gt;0,"SANITARIOS",""),IF(SUMPRODUCT((BG587:CR587&lt;1)*(PARTIDAS!$I$2:$AT$2="ELÉCTRICO"))&gt;0,"ELÉCTRICO",""),IF(SUMPRODUCT((BG587:CR587&lt;1)*(PARTIDAS!$I$2:$AT$2="TERMINACIONES"))&gt;0,"TERMINACIONES",""))</f>
        <v>OBRA GRUESA, SANITARIOS, ELÉCTRICO, TERMINACIONES</v>
      </c>
      <c r="CV587" s="44" cm="1">
        <f t="array" ref="CV587">SUMPRODUCT(--(BG587:CR587&lt;1))</f>
        <v>38</v>
      </c>
    </row>
    <row r="588" spans="1:100" hidden="1" x14ac:dyDescent="0.25">
      <c r="A588" t="s">
        <v>652</v>
      </c>
      <c r="B588" t="s">
        <v>663</v>
      </c>
      <c r="C588">
        <v>2302600587</v>
      </c>
      <c r="D588" t="s">
        <v>60</v>
      </c>
      <c r="E588" s="2">
        <v>0</v>
      </c>
      <c r="F588" s="1">
        <v>46434</v>
      </c>
      <c r="G588" s="1"/>
      <c r="H588" s="1">
        <v>0</v>
      </c>
      <c r="I588" s="1">
        <v>46464</v>
      </c>
      <c r="J588">
        <v>46230</v>
      </c>
      <c r="K588" s="1"/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>
        <v>31.32</v>
      </c>
      <c r="BF588" s="3" t="str">
        <f>+IF(AVANCE[[#This Row],[% AVANCE]]=100%,"MODULO TERMINADO",IF(AVANCE[[#This Row],[FECHA INICIO REAL]]="","MODULO NO INICIADO","PENDIENTE"))</f>
        <v>MODULO NO INICIADO</v>
      </c>
      <c r="BG588" s="3">
        <f>+IF(AVANCE[[#This Row],[VENTANAS]]=8.10810810810811%,100%,AVANCE[[#This Row],[VENTANAS]])</f>
        <v>0</v>
      </c>
      <c r="BH588" s="3">
        <f>+IF(AVANCE[[#This Row],[PISO]]=N$2,100%,AVANCE[[#This Row],[PISO]])</f>
        <v>0</v>
      </c>
      <c r="BI588" s="3">
        <f>+IF(AVANCE[[#This Row],[TABIQUES]]=O$2,100%,AVANCE[[#This Row],[TABIQUES]])</f>
        <v>0</v>
      </c>
      <c r="BJ588" s="3">
        <f>+IF(AVANCE[[#This Row],[MUROS]]=P$2,100%,AVANCE[[#This Row],[MUROS]])</f>
        <v>0</v>
      </c>
      <c r="BK588" s="3">
        <f>+IF(AVANCE[[#This Row],[CIELO]]=Q$2,100%,AVANCE[[#This Row],[CIELO]])</f>
        <v>0</v>
      </c>
      <c r="BL588" s="3">
        <f>+IF(AVANCE[[#This Row],[BALCÓN]]=R$2,100%,AVANCE[[#This Row],[BALCÓN]])</f>
        <v>0</v>
      </c>
      <c r="BM588" s="3">
        <f>+IF(AVANCE[[#This Row],[RED ALCANTARILLADO]]=U$2,100%,AVANCE[[#This Row],[RED ALCANTARILLADO]])</f>
        <v>0</v>
      </c>
      <c r="BN588" s="3">
        <f>+IF(AVANCE[[#This Row],[RED DE AGUA]]=V$2,100%,AVANCE[[#This Row],[RED DE AGUA]])</f>
        <v>0</v>
      </c>
      <c r="BO588" s="3">
        <f>+IF(AVANCE[[#This Row],[VENTILACIONES]]=W$2,100%,AVANCE[[#This Row],[VENTILACIONES]])</f>
        <v>0</v>
      </c>
      <c r="BP588" s="3">
        <f>+IF(AVANCE[[#This Row],[TINA]]=X$2,100%,AVANCE[[#This Row],[TINA]])</f>
        <v>0</v>
      </c>
      <c r="BQ588" s="3">
        <f>+IF(AVANCE[[#This Row],[WC]]=Y$2,100%,AVANCE[[#This Row],[WC]])</f>
        <v>0</v>
      </c>
      <c r="BR588" s="3">
        <f>+IF(AVANCE[[#This Row],[LAVAMANOS / LAVAPLATOS / LAVADERO]]=Z$2,100%,AVANCE[[#This Row],[LAVAMANOS / LAVAPLATOS / LAVADERO]])</f>
        <v>0</v>
      </c>
      <c r="BS588" s="3">
        <f>+IF(AVANCE[[#This Row],[CANALIZACIÓN]]=AC$2,100%,AVANCE[[#This Row],[CANALIZACIÓN]])</f>
        <v>0</v>
      </c>
      <c r="BT588" s="3">
        <f>+IF(AVANCE[[#This Row],[CABLEADO]]=AD$2,100%,AVANCE[[#This Row],[CABLEADO]])</f>
        <v>0</v>
      </c>
      <c r="BU588" s="3">
        <f>+IF(AVANCE[[#This Row],[ARTEFACTOS]]=AE$2,100%,AVANCE[[#This Row],[ARTEFACTOS]])</f>
        <v>0</v>
      </c>
      <c r="BV588" s="3">
        <f>+IF(AVANCE[[#This Row],[TABLERO]]=AF$2,100%,AVANCE[[#This Row],[TABLERO]])</f>
        <v>0</v>
      </c>
      <c r="BW588" s="3">
        <f>+IF(AVANCE[[#This Row],[CAJA PAU]]=AG$2,100%,AVANCE[[#This Row],[CAJA PAU]])</f>
        <v>0</v>
      </c>
      <c r="BX588" s="3">
        <f>+IF(AVANCE[[#This Row],[INSTALACION VINILICO]]=AJ$2,100%,AVANCE[[#This Row],[INSTALACION VINILICO]])</f>
        <v>0</v>
      </c>
      <c r="BY588" s="3">
        <f>+IF(AVANCE[[#This Row],[OSB CUBIERTA]]=AK$2,100%,AVANCE[[#This Row],[OSB CUBIERTA]])</f>
        <v>0</v>
      </c>
      <c r="BZ588" s="3">
        <f>+IF(AVANCE[[#This Row],[BARANDA BALCON]]=AL$2,100%,AVANCE[[#This Row],[BARANDA BALCON]])</f>
        <v>0</v>
      </c>
      <c r="CA588" s="3">
        <f>+IF(AVANCE[[#This Row],[OSB EXTERIOR]]=AM$2,100%,AVANCE[[#This Row],[OSB EXTERIOR]])</f>
        <v>0</v>
      </c>
      <c r="CB588" s="3">
        <f>+IF(AVANCE[[#This Row],[SMART PANEL]]=AN$2,100%,AVANCE[[#This Row],[SMART PANEL]])</f>
        <v>0</v>
      </c>
      <c r="CC588" s="3">
        <f>+IF(AVANCE[[#This Row],[PINTURA EXTERIOR]]=AO$2,100%,AVANCE[[#This Row],[PINTURA EXTERIOR]])</f>
        <v>0</v>
      </c>
      <c r="CD588" s="3">
        <f>+IF(AVANCE[[#This Row],[ZOCALOS LOGIA]]=AP$2,100%,AVANCE[[#This Row],[ZOCALOS LOGIA]])</f>
        <v>0</v>
      </c>
      <c r="CE588" s="3">
        <f>+IF(AVANCE[[#This Row],[MOLDURAS]]=AQ$2,100%,AVANCE[[#This Row],[MOLDURAS]])</f>
        <v>0</v>
      </c>
      <c r="CF588" s="3">
        <f>+IF(AVANCE[[#This Row],[PILASTREO]]=AR$2,100%,AVANCE[[#This Row],[PILASTREO]])</f>
        <v>0</v>
      </c>
      <c r="CG588" s="3">
        <f>+IF(AVANCE[[#This Row],[CELOSIAS]]=AS$2,100%,AVANCE[[#This Row],[CELOSIAS]])</f>
        <v>0</v>
      </c>
      <c r="CH588" s="3">
        <f>+IF(AVANCE[[#This Row],[VENTANAS]]=AT$2,100%,AVANCE[[#This Row],[VENTANAS]])</f>
        <v>0</v>
      </c>
      <c r="CI588" s="3">
        <f>+IF(AVANCE[[#This Row],[PUERTAS ACCESO - LOGIA - BANO]]=AU$2,100%,AVANCE[[#This Row],[PUERTAS ACCESO - LOGIA - BANO]])</f>
        <v>0</v>
      </c>
      <c r="CJ588" s="3">
        <f>+IF(AVANCE[[#This Row],[CERRADURAS]]=AV$2,100%,AVANCE[[#This Row],[CERRADURAS]])</f>
        <v>0</v>
      </c>
      <c r="CK588" s="3">
        <f>+IF(AVANCE[[#This Row],[REVESTIMIENTO INTERIOR ZONA SECA]]=AW$2,100%,AVANCE[[#This Row],[REVESTIMIENTO INTERIOR ZONA SECA]])</f>
        <v>0</v>
      </c>
      <c r="CL588" s="3">
        <f>+IF(AVANCE[[#This Row],[REVESTIMIENTO INTERIOR ZONAS HUMEDAS]]=AX$2,100%,AVANCE[[#This Row],[REVESTIMIENTO INTERIOR ZONAS HUMEDAS]])</f>
        <v>0</v>
      </c>
      <c r="CM588" s="3">
        <f>+IF(AVANCE[[#This Row],[MEMBRANA CIELO]]=AY$2,100%,AVANCE[[#This Row],[MEMBRANA CIELO]])</f>
        <v>0</v>
      </c>
      <c r="CN588" s="3">
        <f>+IF(AVANCE[[#This Row],[LIMPIEZA FINAL]]=AZ$2,100%,AVANCE[[#This Row],[LIMPIEZA FINAL]])</f>
        <v>0</v>
      </c>
      <c r="CO588" s="3">
        <f>+IF(AVANCE[[#This Row],[PUERTAS DORMITORIO]]=BA$2,100%,AVANCE[[#This Row],[PUERTAS DORMITORIO]])</f>
        <v>0</v>
      </c>
      <c r="CP588" s="3">
        <f>+IF(AVANCE[[#This Row],[REVESTIMIENTO INTERIOR BANO]]=BB$2,100%,AVANCE[[#This Row],[REVESTIMIENTO INTERIOR BANO]])</f>
        <v>0</v>
      </c>
      <c r="CQ588" s="3">
        <f>+IF(AVANCE[[#This Row],[MUEBLE LAVAPLATOS]]=BC$2,100%,AVANCE[[#This Row],[MUEBLE LAVAPLATOS]])</f>
        <v>0</v>
      </c>
      <c r="CR588" s="3">
        <f>+IF(AVANCE[[#This Row],[IMPERMEABILIZACION BANO - COCINA LOGIA]]=BD$2,100%,AVANCE[[#This Row],[IMPERMEABILIZACION BANO - COCINA LOGIA]])</f>
        <v>0</v>
      </c>
      <c r="CS588" s="40">
        <f ca="1">+IF(AVANCE[[#This Row],[ESTADO MODULO]]="PENDIENTE",(TODAY()-AVANCE[[#This Row],[FECHA TERMINO  PLANIFICADO]]),0)</f>
        <v>0</v>
      </c>
      <c r="CT588" s="41" t="str" cm="1">
        <f t="array" ref="CT588">_xlfn.TEXTJOIN(" | ",TRUE,IF(SUMPRODUCT((BG588:CR588&lt;1)*(PARTIDAS!$I$2:$AT$2="OBRA GRUESA"))&gt;0,"OBRA GRUESA: "&amp;_xlfn.TEXTJOIN(", ",TRUE,IF((BG588:CR588&lt;1)*(PARTIDAS!$I$2:$AT$2="OBRA GRUESA"),PARTIDAS!$I$1:$AT$1,"")),""),IF(SUMPRODUCT((BG588:CR588&lt;1)*(PARTIDAS!$I$2:$AT$2="SANITARIOS"))&gt;0,"SANITARIOS: "&amp;_xlfn.TEXTJOIN(", ",TRUE,IF((BG588:CR588&lt;1)*(PARTIDAS!$I$2:$AT$2="SANITARIOS"),PARTIDAS!$I$1:$AT$1,"")),""),IF(SUMPRODUCT((BG588:CR588&lt;1)*(PARTIDAS!$I$2:$AT$2="ELÉCTRICO"))&gt;0,"ELÉCTRICO: "&amp;_xlfn.TEXTJOIN(", ",TRUE,IF((BG588:CR588&lt;1)*(PARTIDAS!$I$2:$AT$2="ELÉCTRICO"),PARTIDAS!$I$1:$AT$1,"")),""),IF(SUMPRODUCT((BG588:CR588&lt;1)*(PARTIDAS!$I$2:$AT$2="TERMINACIONES"))&gt;0,"TERMINACIONES: "&amp;_xlfn.TEXTJOIN(", ",TRUE,IF((BG588:CR588&lt;1)*(PARTIDAS!$I$2:$AT$2="TERMINACIONES"),PARTIDAS!$I$1:$AT$1,"")),""))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8" s="43" t="str" cm="1">
        <f t="array" ref="CU588">_xlfn.TEXTJOIN(", ",TRUE,IF(SUMPRODUCT((BG588:CR588&lt;1)*(PARTIDAS!$I$2:$AT$2="OBRA GRUESA"))&gt;0,"OBRA GRUESA",""),IF(SUMPRODUCT((BG588:CR588&lt;1)*(PARTIDAS!$I$2:$AT$2="SANITARIOS"))&gt;0,"SANITARIOS",""),IF(SUMPRODUCT((BG588:CR588&lt;1)*(PARTIDAS!$I$2:$AT$2="ELÉCTRICO"))&gt;0,"ELÉCTRICO",""),IF(SUMPRODUCT((BG588:CR588&lt;1)*(PARTIDAS!$I$2:$AT$2="TERMINACIONES"))&gt;0,"TERMINACIONES",""))</f>
        <v>OBRA GRUESA, SANITARIOS, ELÉCTRICO, TERMINACIONES</v>
      </c>
      <c r="CV588" s="44" cm="1">
        <f t="array" ref="CV588">SUMPRODUCT(--(BG588:CR588&lt;1))</f>
        <v>38</v>
      </c>
    </row>
    <row r="589" spans="1:100" hidden="1" x14ac:dyDescent="0.25">
      <c r="A589" t="s">
        <v>652</v>
      </c>
      <c r="B589" t="s">
        <v>664</v>
      </c>
      <c r="C589">
        <v>2282600588</v>
      </c>
      <c r="D589" t="s">
        <v>58</v>
      </c>
      <c r="E589" s="2">
        <v>0</v>
      </c>
      <c r="F589" s="1">
        <v>46434</v>
      </c>
      <c r="G589" s="1"/>
      <c r="H589" s="1">
        <v>0</v>
      </c>
      <c r="I589" s="1">
        <v>46454</v>
      </c>
      <c r="J589">
        <v>46230</v>
      </c>
      <c r="K589" s="1"/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>
        <v>28.87</v>
      </c>
      <c r="BF589" s="3" t="str">
        <f>+IF(AVANCE[[#This Row],[% AVANCE]]=100%,"MODULO TERMINADO",IF(AVANCE[[#This Row],[FECHA INICIO REAL]]="","MODULO NO INICIADO","PENDIENTE"))</f>
        <v>MODULO NO INICIADO</v>
      </c>
      <c r="BG589" s="3">
        <f>+IF(AVANCE[[#This Row],[VENTANAS]]=8.10810810810811%,100%,AVANCE[[#This Row],[VENTANAS]])</f>
        <v>0</v>
      </c>
      <c r="BH589" s="3">
        <f>+IF(AVANCE[[#This Row],[PISO]]=N$2,100%,AVANCE[[#This Row],[PISO]])</f>
        <v>0</v>
      </c>
      <c r="BI589" s="3">
        <f>+IF(AVANCE[[#This Row],[TABIQUES]]=O$2,100%,AVANCE[[#This Row],[TABIQUES]])</f>
        <v>0</v>
      </c>
      <c r="BJ589" s="3">
        <f>+IF(AVANCE[[#This Row],[MUROS]]=P$2,100%,AVANCE[[#This Row],[MUROS]])</f>
        <v>0</v>
      </c>
      <c r="BK589" s="3">
        <f>+IF(AVANCE[[#This Row],[CIELO]]=Q$2,100%,AVANCE[[#This Row],[CIELO]])</f>
        <v>0</v>
      </c>
      <c r="BL589" s="3">
        <f>+IF(AVANCE[[#This Row],[BALCÓN]]=R$2,100%,AVANCE[[#This Row],[BALCÓN]])</f>
        <v>0</v>
      </c>
      <c r="BM589" s="3">
        <f>+IF(AVANCE[[#This Row],[RED ALCANTARILLADO]]=U$2,100%,AVANCE[[#This Row],[RED ALCANTARILLADO]])</f>
        <v>0</v>
      </c>
      <c r="BN589" s="3">
        <f>+IF(AVANCE[[#This Row],[RED DE AGUA]]=V$2,100%,AVANCE[[#This Row],[RED DE AGUA]])</f>
        <v>0</v>
      </c>
      <c r="BO589" s="3">
        <f>+IF(AVANCE[[#This Row],[VENTILACIONES]]=W$2,100%,AVANCE[[#This Row],[VENTILACIONES]])</f>
        <v>0</v>
      </c>
      <c r="BP589" s="3">
        <f>+IF(AVANCE[[#This Row],[TINA]]=X$2,100%,AVANCE[[#This Row],[TINA]])</f>
        <v>0</v>
      </c>
      <c r="BQ589" s="3">
        <f>+IF(AVANCE[[#This Row],[WC]]=Y$2,100%,AVANCE[[#This Row],[WC]])</f>
        <v>0</v>
      </c>
      <c r="BR589" s="3">
        <f>+IF(AVANCE[[#This Row],[LAVAMANOS / LAVAPLATOS / LAVADERO]]=Z$2,100%,AVANCE[[#This Row],[LAVAMANOS / LAVAPLATOS / LAVADERO]])</f>
        <v>0</v>
      </c>
      <c r="BS589" s="3">
        <f>+IF(AVANCE[[#This Row],[CANALIZACIÓN]]=AC$2,100%,AVANCE[[#This Row],[CANALIZACIÓN]])</f>
        <v>0</v>
      </c>
      <c r="BT589" s="3">
        <f>+IF(AVANCE[[#This Row],[CABLEADO]]=AD$2,100%,AVANCE[[#This Row],[CABLEADO]])</f>
        <v>0</v>
      </c>
      <c r="BU589" s="3">
        <f>+IF(AVANCE[[#This Row],[ARTEFACTOS]]=AE$2,100%,AVANCE[[#This Row],[ARTEFACTOS]])</f>
        <v>0</v>
      </c>
      <c r="BV589" s="3">
        <f>+IF(AVANCE[[#This Row],[TABLERO]]=AF$2,100%,AVANCE[[#This Row],[TABLERO]])</f>
        <v>0</v>
      </c>
      <c r="BW589" s="3">
        <f>+IF(AVANCE[[#This Row],[CAJA PAU]]=AG$2,100%,AVANCE[[#This Row],[CAJA PAU]])</f>
        <v>0</v>
      </c>
      <c r="BX589" s="3">
        <f>+IF(AVANCE[[#This Row],[INSTALACION VINILICO]]=AJ$2,100%,AVANCE[[#This Row],[INSTALACION VINILICO]])</f>
        <v>0</v>
      </c>
      <c r="BY589" s="3">
        <f>+IF(AVANCE[[#This Row],[OSB CUBIERTA]]=AK$2,100%,AVANCE[[#This Row],[OSB CUBIERTA]])</f>
        <v>0</v>
      </c>
      <c r="BZ589" s="3">
        <f>+IF(AVANCE[[#This Row],[BARANDA BALCON]]=AL$2,100%,AVANCE[[#This Row],[BARANDA BALCON]])</f>
        <v>0</v>
      </c>
      <c r="CA589" s="3">
        <f>+IF(AVANCE[[#This Row],[OSB EXTERIOR]]=AM$2,100%,AVANCE[[#This Row],[OSB EXTERIOR]])</f>
        <v>0</v>
      </c>
      <c r="CB589" s="3">
        <f>+IF(AVANCE[[#This Row],[SMART PANEL]]=AN$2,100%,AVANCE[[#This Row],[SMART PANEL]])</f>
        <v>0</v>
      </c>
      <c r="CC589" s="3">
        <f>+IF(AVANCE[[#This Row],[PINTURA EXTERIOR]]=AO$2,100%,AVANCE[[#This Row],[PINTURA EXTERIOR]])</f>
        <v>0</v>
      </c>
      <c r="CD589" s="3">
        <f>+IF(AVANCE[[#This Row],[ZOCALOS LOGIA]]=AP$2,100%,AVANCE[[#This Row],[ZOCALOS LOGIA]])</f>
        <v>0</v>
      </c>
      <c r="CE589" s="3">
        <f>+IF(AVANCE[[#This Row],[MOLDURAS]]=AQ$2,100%,AVANCE[[#This Row],[MOLDURAS]])</f>
        <v>0</v>
      </c>
      <c r="CF589" s="3">
        <f>+IF(AVANCE[[#This Row],[PILASTREO]]=AR$2,100%,AVANCE[[#This Row],[PILASTREO]])</f>
        <v>0</v>
      </c>
      <c r="CG589" s="3">
        <f>+IF(AVANCE[[#This Row],[CELOSIAS]]=AS$2,100%,AVANCE[[#This Row],[CELOSIAS]])</f>
        <v>0</v>
      </c>
      <c r="CH589" s="3">
        <f>+IF(AVANCE[[#This Row],[VENTANAS]]=AT$2,100%,AVANCE[[#This Row],[VENTANAS]])</f>
        <v>0</v>
      </c>
      <c r="CI589" s="3">
        <f>+IF(AVANCE[[#This Row],[PUERTAS ACCESO - LOGIA - BANO]]=AU$2,100%,AVANCE[[#This Row],[PUERTAS ACCESO - LOGIA - BANO]])</f>
        <v>0</v>
      </c>
      <c r="CJ589" s="3">
        <f>+IF(AVANCE[[#This Row],[CERRADURAS]]=AV$2,100%,AVANCE[[#This Row],[CERRADURAS]])</f>
        <v>0</v>
      </c>
      <c r="CK589" s="3">
        <f>+IF(AVANCE[[#This Row],[REVESTIMIENTO INTERIOR ZONA SECA]]=AW$2,100%,AVANCE[[#This Row],[REVESTIMIENTO INTERIOR ZONA SECA]])</f>
        <v>0</v>
      </c>
      <c r="CL589" s="3">
        <f>+IF(AVANCE[[#This Row],[REVESTIMIENTO INTERIOR ZONAS HUMEDAS]]=AX$2,100%,AVANCE[[#This Row],[REVESTIMIENTO INTERIOR ZONAS HUMEDAS]])</f>
        <v>0</v>
      </c>
      <c r="CM589" s="3">
        <f>+IF(AVANCE[[#This Row],[MEMBRANA CIELO]]=AY$2,100%,AVANCE[[#This Row],[MEMBRANA CIELO]])</f>
        <v>0</v>
      </c>
      <c r="CN589" s="3">
        <f>+IF(AVANCE[[#This Row],[LIMPIEZA FINAL]]=AZ$2,100%,AVANCE[[#This Row],[LIMPIEZA FINAL]])</f>
        <v>0</v>
      </c>
      <c r="CO589" s="3">
        <f>+IF(AVANCE[[#This Row],[PUERTAS DORMITORIO]]=BA$2,100%,AVANCE[[#This Row],[PUERTAS DORMITORIO]])</f>
        <v>0</v>
      </c>
      <c r="CP589" s="3">
        <f>+IF(AVANCE[[#This Row],[REVESTIMIENTO INTERIOR BANO]]=BB$2,100%,AVANCE[[#This Row],[REVESTIMIENTO INTERIOR BANO]])</f>
        <v>0</v>
      </c>
      <c r="CQ589" s="3">
        <f>+IF(AVANCE[[#This Row],[MUEBLE LAVAPLATOS]]=BC$2,100%,AVANCE[[#This Row],[MUEBLE LAVAPLATOS]])</f>
        <v>0</v>
      </c>
      <c r="CR589" s="3">
        <f>+IF(AVANCE[[#This Row],[IMPERMEABILIZACION BANO - COCINA LOGIA]]=BD$2,100%,AVANCE[[#This Row],[IMPERMEABILIZACION BANO - COCINA LOGIA]])</f>
        <v>0</v>
      </c>
      <c r="CS589" s="40">
        <f ca="1">+IF(AVANCE[[#This Row],[ESTADO MODULO]]="PENDIENTE",(TODAY()-AVANCE[[#This Row],[FECHA TERMINO  PLANIFICADO]]),0)</f>
        <v>0</v>
      </c>
      <c r="CT589" s="41" t="str" cm="1">
        <f t="array" ref="CT589">_xlfn.TEXTJOIN(" | ",TRUE,IF(SUMPRODUCT((BG589:CR589&lt;1)*(PARTIDAS!$I$2:$AT$2="OBRA GRUESA"))&gt;0,"OBRA GRUESA: "&amp;_xlfn.TEXTJOIN(", ",TRUE,IF((BG589:CR589&lt;1)*(PARTIDAS!$I$2:$AT$2="OBRA GRUESA"),PARTIDAS!$I$1:$AT$1,"")),""),IF(SUMPRODUCT((BG589:CR589&lt;1)*(PARTIDAS!$I$2:$AT$2="SANITARIOS"))&gt;0,"SANITARIOS: "&amp;_xlfn.TEXTJOIN(", ",TRUE,IF((BG589:CR589&lt;1)*(PARTIDAS!$I$2:$AT$2="SANITARIOS"),PARTIDAS!$I$1:$AT$1,"")),""),IF(SUMPRODUCT((BG589:CR589&lt;1)*(PARTIDAS!$I$2:$AT$2="ELÉCTRICO"))&gt;0,"ELÉCTRICO: "&amp;_xlfn.TEXTJOIN(", ",TRUE,IF((BG589:CR589&lt;1)*(PARTIDAS!$I$2:$AT$2="ELÉCTRICO"),PARTIDAS!$I$1:$AT$1,"")),""),IF(SUMPRODUCT((BG589:CR589&lt;1)*(PARTIDAS!$I$2:$AT$2="TERMINACIONES"))&gt;0,"TERMINACIONES: "&amp;_xlfn.TEXTJOIN(", ",TRUE,IF((BG589:CR589&lt;1)*(PARTIDAS!$I$2:$AT$2="TERMINACIONES"),PARTIDAS!$I$1:$AT$1,"")),""))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89" s="43" t="str" cm="1">
        <f t="array" ref="CU589">_xlfn.TEXTJOIN(", ",TRUE,IF(SUMPRODUCT((BG589:CR589&lt;1)*(PARTIDAS!$I$2:$AT$2="OBRA GRUESA"))&gt;0,"OBRA GRUESA",""),IF(SUMPRODUCT((BG589:CR589&lt;1)*(PARTIDAS!$I$2:$AT$2="SANITARIOS"))&gt;0,"SANITARIOS",""),IF(SUMPRODUCT((BG589:CR589&lt;1)*(PARTIDAS!$I$2:$AT$2="ELÉCTRICO"))&gt;0,"ELÉCTRICO",""),IF(SUMPRODUCT((BG589:CR589&lt;1)*(PARTIDAS!$I$2:$AT$2="TERMINACIONES"))&gt;0,"TERMINACIONES",""))</f>
        <v>OBRA GRUESA, SANITARIOS, ELÉCTRICO, TERMINACIONES</v>
      </c>
      <c r="CV589" s="44" cm="1">
        <f t="array" ref="CV589">SUMPRODUCT(--(BG589:CR589&lt;1))</f>
        <v>38</v>
      </c>
    </row>
    <row r="590" spans="1:100" hidden="1" x14ac:dyDescent="0.25">
      <c r="A590" t="s">
        <v>652</v>
      </c>
      <c r="B590" t="s">
        <v>665</v>
      </c>
      <c r="C590">
        <v>2282600589</v>
      </c>
      <c r="D590" t="s">
        <v>58</v>
      </c>
      <c r="E590" s="2">
        <v>0</v>
      </c>
      <c r="F590" s="1">
        <v>46434</v>
      </c>
      <c r="G590" s="1"/>
      <c r="H590" s="1">
        <v>0</v>
      </c>
      <c r="I590" s="1">
        <v>46454</v>
      </c>
      <c r="J590">
        <v>46230</v>
      </c>
      <c r="K590" s="1"/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>
        <v>28.87</v>
      </c>
      <c r="BF590" s="3" t="str">
        <f>+IF(AVANCE[[#This Row],[% AVANCE]]=100%,"MODULO TERMINADO",IF(AVANCE[[#This Row],[FECHA INICIO REAL]]="","MODULO NO INICIADO","PENDIENTE"))</f>
        <v>MODULO NO INICIADO</v>
      </c>
      <c r="BG590" s="3">
        <f>+IF(AVANCE[[#This Row],[VENTANAS]]=8.10810810810811%,100%,AVANCE[[#This Row],[VENTANAS]])</f>
        <v>0</v>
      </c>
      <c r="BH590" s="3">
        <f>+IF(AVANCE[[#This Row],[PISO]]=N$2,100%,AVANCE[[#This Row],[PISO]])</f>
        <v>0</v>
      </c>
      <c r="BI590" s="3">
        <f>+IF(AVANCE[[#This Row],[TABIQUES]]=O$2,100%,AVANCE[[#This Row],[TABIQUES]])</f>
        <v>0</v>
      </c>
      <c r="BJ590" s="3">
        <f>+IF(AVANCE[[#This Row],[MUROS]]=P$2,100%,AVANCE[[#This Row],[MUROS]])</f>
        <v>0</v>
      </c>
      <c r="BK590" s="3">
        <f>+IF(AVANCE[[#This Row],[CIELO]]=Q$2,100%,AVANCE[[#This Row],[CIELO]])</f>
        <v>0</v>
      </c>
      <c r="BL590" s="3">
        <f>+IF(AVANCE[[#This Row],[BALCÓN]]=R$2,100%,AVANCE[[#This Row],[BALCÓN]])</f>
        <v>0</v>
      </c>
      <c r="BM590" s="3">
        <f>+IF(AVANCE[[#This Row],[RED ALCANTARILLADO]]=U$2,100%,AVANCE[[#This Row],[RED ALCANTARILLADO]])</f>
        <v>0</v>
      </c>
      <c r="BN590" s="3">
        <f>+IF(AVANCE[[#This Row],[RED DE AGUA]]=V$2,100%,AVANCE[[#This Row],[RED DE AGUA]])</f>
        <v>0</v>
      </c>
      <c r="BO590" s="3">
        <f>+IF(AVANCE[[#This Row],[VENTILACIONES]]=W$2,100%,AVANCE[[#This Row],[VENTILACIONES]])</f>
        <v>0</v>
      </c>
      <c r="BP590" s="3">
        <f>+IF(AVANCE[[#This Row],[TINA]]=X$2,100%,AVANCE[[#This Row],[TINA]])</f>
        <v>0</v>
      </c>
      <c r="BQ590" s="3">
        <f>+IF(AVANCE[[#This Row],[WC]]=Y$2,100%,AVANCE[[#This Row],[WC]])</f>
        <v>0</v>
      </c>
      <c r="BR590" s="3">
        <f>+IF(AVANCE[[#This Row],[LAVAMANOS / LAVAPLATOS / LAVADERO]]=Z$2,100%,AVANCE[[#This Row],[LAVAMANOS / LAVAPLATOS / LAVADERO]])</f>
        <v>0</v>
      </c>
      <c r="BS590" s="3">
        <f>+IF(AVANCE[[#This Row],[CANALIZACIÓN]]=AC$2,100%,AVANCE[[#This Row],[CANALIZACIÓN]])</f>
        <v>0</v>
      </c>
      <c r="BT590" s="3">
        <f>+IF(AVANCE[[#This Row],[CABLEADO]]=AD$2,100%,AVANCE[[#This Row],[CABLEADO]])</f>
        <v>0</v>
      </c>
      <c r="BU590" s="3">
        <f>+IF(AVANCE[[#This Row],[ARTEFACTOS]]=AE$2,100%,AVANCE[[#This Row],[ARTEFACTOS]])</f>
        <v>0</v>
      </c>
      <c r="BV590" s="3">
        <f>+IF(AVANCE[[#This Row],[TABLERO]]=AF$2,100%,AVANCE[[#This Row],[TABLERO]])</f>
        <v>0</v>
      </c>
      <c r="BW590" s="3">
        <f>+IF(AVANCE[[#This Row],[CAJA PAU]]=AG$2,100%,AVANCE[[#This Row],[CAJA PAU]])</f>
        <v>0</v>
      </c>
      <c r="BX590" s="3">
        <f>+IF(AVANCE[[#This Row],[INSTALACION VINILICO]]=AJ$2,100%,AVANCE[[#This Row],[INSTALACION VINILICO]])</f>
        <v>0</v>
      </c>
      <c r="BY590" s="3">
        <f>+IF(AVANCE[[#This Row],[OSB CUBIERTA]]=AK$2,100%,AVANCE[[#This Row],[OSB CUBIERTA]])</f>
        <v>0</v>
      </c>
      <c r="BZ590" s="3">
        <f>+IF(AVANCE[[#This Row],[BARANDA BALCON]]=AL$2,100%,AVANCE[[#This Row],[BARANDA BALCON]])</f>
        <v>0</v>
      </c>
      <c r="CA590" s="3">
        <f>+IF(AVANCE[[#This Row],[OSB EXTERIOR]]=AM$2,100%,AVANCE[[#This Row],[OSB EXTERIOR]])</f>
        <v>0</v>
      </c>
      <c r="CB590" s="3">
        <f>+IF(AVANCE[[#This Row],[SMART PANEL]]=AN$2,100%,AVANCE[[#This Row],[SMART PANEL]])</f>
        <v>0</v>
      </c>
      <c r="CC590" s="3">
        <f>+IF(AVANCE[[#This Row],[PINTURA EXTERIOR]]=AO$2,100%,AVANCE[[#This Row],[PINTURA EXTERIOR]])</f>
        <v>0</v>
      </c>
      <c r="CD590" s="3">
        <f>+IF(AVANCE[[#This Row],[ZOCALOS LOGIA]]=AP$2,100%,AVANCE[[#This Row],[ZOCALOS LOGIA]])</f>
        <v>0</v>
      </c>
      <c r="CE590" s="3">
        <f>+IF(AVANCE[[#This Row],[MOLDURAS]]=AQ$2,100%,AVANCE[[#This Row],[MOLDURAS]])</f>
        <v>0</v>
      </c>
      <c r="CF590" s="3">
        <f>+IF(AVANCE[[#This Row],[PILASTREO]]=AR$2,100%,AVANCE[[#This Row],[PILASTREO]])</f>
        <v>0</v>
      </c>
      <c r="CG590" s="3">
        <f>+IF(AVANCE[[#This Row],[CELOSIAS]]=AS$2,100%,AVANCE[[#This Row],[CELOSIAS]])</f>
        <v>0</v>
      </c>
      <c r="CH590" s="3">
        <f>+IF(AVANCE[[#This Row],[VENTANAS]]=AT$2,100%,AVANCE[[#This Row],[VENTANAS]])</f>
        <v>0</v>
      </c>
      <c r="CI590" s="3">
        <f>+IF(AVANCE[[#This Row],[PUERTAS ACCESO - LOGIA - BANO]]=AU$2,100%,AVANCE[[#This Row],[PUERTAS ACCESO - LOGIA - BANO]])</f>
        <v>0</v>
      </c>
      <c r="CJ590" s="3">
        <f>+IF(AVANCE[[#This Row],[CERRADURAS]]=AV$2,100%,AVANCE[[#This Row],[CERRADURAS]])</f>
        <v>0</v>
      </c>
      <c r="CK590" s="3">
        <f>+IF(AVANCE[[#This Row],[REVESTIMIENTO INTERIOR ZONA SECA]]=AW$2,100%,AVANCE[[#This Row],[REVESTIMIENTO INTERIOR ZONA SECA]])</f>
        <v>0</v>
      </c>
      <c r="CL590" s="3">
        <f>+IF(AVANCE[[#This Row],[REVESTIMIENTO INTERIOR ZONAS HUMEDAS]]=AX$2,100%,AVANCE[[#This Row],[REVESTIMIENTO INTERIOR ZONAS HUMEDAS]])</f>
        <v>0</v>
      </c>
      <c r="CM590" s="3">
        <f>+IF(AVANCE[[#This Row],[MEMBRANA CIELO]]=AY$2,100%,AVANCE[[#This Row],[MEMBRANA CIELO]])</f>
        <v>0</v>
      </c>
      <c r="CN590" s="3">
        <f>+IF(AVANCE[[#This Row],[LIMPIEZA FINAL]]=AZ$2,100%,AVANCE[[#This Row],[LIMPIEZA FINAL]])</f>
        <v>0</v>
      </c>
      <c r="CO590" s="3">
        <f>+IF(AVANCE[[#This Row],[PUERTAS DORMITORIO]]=BA$2,100%,AVANCE[[#This Row],[PUERTAS DORMITORIO]])</f>
        <v>0</v>
      </c>
      <c r="CP590" s="3">
        <f>+IF(AVANCE[[#This Row],[REVESTIMIENTO INTERIOR BANO]]=BB$2,100%,AVANCE[[#This Row],[REVESTIMIENTO INTERIOR BANO]])</f>
        <v>0</v>
      </c>
      <c r="CQ590" s="3">
        <f>+IF(AVANCE[[#This Row],[MUEBLE LAVAPLATOS]]=BC$2,100%,AVANCE[[#This Row],[MUEBLE LAVAPLATOS]])</f>
        <v>0</v>
      </c>
      <c r="CR590" s="3">
        <f>+IF(AVANCE[[#This Row],[IMPERMEABILIZACION BANO - COCINA LOGIA]]=BD$2,100%,AVANCE[[#This Row],[IMPERMEABILIZACION BANO - COCINA LOGIA]])</f>
        <v>0</v>
      </c>
      <c r="CS590" s="40">
        <f ca="1">+IF(AVANCE[[#This Row],[ESTADO MODULO]]="PENDIENTE",(TODAY()-AVANCE[[#This Row],[FECHA TERMINO  PLANIFICADO]]),0)</f>
        <v>0</v>
      </c>
      <c r="CT590" s="41" t="str" cm="1">
        <f t="array" ref="CT590">_xlfn.TEXTJOIN(" | ",TRUE,IF(SUMPRODUCT((BG590:CR590&lt;1)*(PARTIDAS!$I$2:$AT$2="OBRA GRUESA"))&gt;0,"OBRA GRUESA: "&amp;_xlfn.TEXTJOIN(", ",TRUE,IF((BG590:CR590&lt;1)*(PARTIDAS!$I$2:$AT$2="OBRA GRUESA"),PARTIDAS!$I$1:$AT$1,"")),""),IF(SUMPRODUCT((BG590:CR590&lt;1)*(PARTIDAS!$I$2:$AT$2="SANITARIOS"))&gt;0,"SANITARIOS: "&amp;_xlfn.TEXTJOIN(", ",TRUE,IF((BG590:CR590&lt;1)*(PARTIDAS!$I$2:$AT$2="SANITARIOS"),PARTIDAS!$I$1:$AT$1,"")),""),IF(SUMPRODUCT((BG590:CR590&lt;1)*(PARTIDAS!$I$2:$AT$2="ELÉCTRICO"))&gt;0,"ELÉCTRICO: "&amp;_xlfn.TEXTJOIN(", ",TRUE,IF((BG590:CR590&lt;1)*(PARTIDAS!$I$2:$AT$2="ELÉCTRICO"),PARTIDAS!$I$1:$AT$1,"")),""),IF(SUMPRODUCT((BG590:CR590&lt;1)*(PARTIDAS!$I$2:$AT$2="TERMINACIONES"))&gt;0,"TERMINACIONES: "&amp;_xlfn.TEXTJOIN(", ",TRUE,IF((BG590:CR590&lt;1)*(PARTIDAS!$I$2:$AT$2="TERMINACIONES"),PARTIDAS!$I$1:$AT$1,"")),""))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0" s="43" t="str" cm="1">
        <f t="array" ref="CU590">_xlfn.TEXTJOIN(", ",TRUE,IF(SUMPRODUCT((BG590:CR590&lt;1)*(PARTIDAS!$I$2:$AT$2="OBRA GRUESA"))&gt;0,"OBRA GRUESA",""),IF(SUMPRODUCT((BG590:CR590&lt;1)*(PARTIDAS!$I$2:$AT$2="SANITARIOS"))&gt;0,"SANITARIOS",""),IF(SUMPRODUCT((BG590:CR590&lt;1)*(PARTIDAS!$I$2:$AT$2="ELÉCTRICO"))&gt;0,"ELÉCTRICO",""),IF(SUMPRODUCT((BG590:CR590&lt;1)*(PARTIDAS!$I$2:$AT$2="TERMINACIONES"))&gt;0,"TERMINACIONES",""))</f>
        <v>OBRA GRUESA, SANITARIOS, ELÉCTRICO, TERMINACIONES</v>
      </c>
      <c r="CV590" s="44" cm="1">
        <f t="array" ref="CV590">SUMPRODUCT(--(BG590:CR590&lt;1))</f>
        <v>38</v>
      </c>
    </row>
    <row r="591" spans="1:100" hidden="1" x14ac:dyDescent="0.25">
      <c r="A591" t="s">
        <v>652</v>
      </c>
      <c r="B591" t="s">
        <v>666</v>
      </c>
      <c r="C591">
        <v>2302600590</v>
      </c>
      <c r="D591" t="s">
        <v>60</v>
      </c>
      <c r="E591" s="2">
        <v>0</v>
      </c>
      <c r="F591" s="1">
        <v>46435</v>
      </c>
      <c r="G591" s="1"/>
      <c r="H591" s="1">
        <v>0</v>
      </c>
      <c r="I591" s="1">
        <v>46465</v>
      </c>
      <c r="J591">
        <v>46230</v>
      </c>
      <c r="K591" s="1"/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>
        <v>31.32</v>
      </c>
      <c r="BF591" s="3" t="str">
        <f>+IF(AVANCE[[#This Row],[% AVANCE]]=100%,"MODULO TERMINADO",IF(AVANCE[[#This Row],[FECHA INICIO REAL]]="","MODULO NO INICIADO","PENDIENTE"))</f>
        <v>MODULO NO INICIADO</v>
      </c>
      <c r="BG591" s="3">
        <f>+IF(AVANCE[[#This Row],[VENTANAS]]=8.10810810810811%,100%,AVANCE[[#This Row],[VENTANAS]])</f>
        <v>0</v>
      </c>
      <c r="BH591" s="3">
        <f>+IF(AVANCE[[#This Row],[PISO]]=N$2,100%,AVANCE[[#This Row],[PISO]])</f>
        <v>0</v>
      </c>
      <c r="BI591" s="3">
        <f>+IF(AVANCE[[#This Row],[TABIQUES]]=O$2,100%,AVANCE[[#This Row],[TABIQUES]])</f>
        <v>0</v>
      </c>
      <c r="BJ591" s="3">
        <f>+IF(AVANCE[[#This Row],[MUROS]]=P$2,100%,AVANCE[[#This Row],[MUROS]])</f>
        <v>0</v>
      </c>
      <c r="BK591" s="3">
        <f>+IF(AVANCE[[#This Row],[CIELO]]=Q$2,100%,AVANCE[[#This Row],[CIELO]])</f>
        <v>0</v>
      </c>
      <c r="BL591" s="3">
        <f>+IF(AVANCE[[#This Row],[BALCÓN]]=R$2,100%,AVANCE[[#This Row],[BALCÓN]])</f>
        <v>0</v>
      </c>
      <c r="BM591" s="3">
        <f>+IF(AVANCE[[#This Row],[RED ALCANTARILLADO]]=U$2,100%,AVANCE[[#This Row],[RED ALCANTARILLADO]])</f>
        <v>0</v>
      </c>
      <c r="BN591" s="3">
        <f>+IF(AVANCE[[#This Row],[RED DE AGUA]]=V$2,100%,AVANCE[[#This Row],[RED DE AGUA]])</f>
        <v>0</v>
      </c>
      <c r="BO591" s="3">
        <f>+IF(AVANCE[[#This Row],[VENTILACIONES]]=W$2,100%,AVANCE[[#This Row],[VENTILACIONES]])</f>
        <v>0</v>
      </c>
      <c r="BP591" s="3">
        <f>+IF(AVANCE[[#This Row],[TINA]]=X$2,100%,AVANCE[[#This Row],[TINA]])</f>
        <v>0</v>
      </c>
      <c r="BQ591" s="3">
        <f>+IF(AVANCE[[#This Row],[WC]]=Y$2,100%,AVANCE[[#This Row],[WC]])</f>
        <v>0</v>
      </c>
      <c r="BR591" s="3">
        <f>+IF(AVANCE[[#This Row],[LAVAMANOS / LAVAPLATOS / LAVADERO]]=Z$2,100%,AVANCE[[#This Row],[LAVAMANOS / LAVAPLATOS / LAVADERO]])</f>
        <v>0</v>
      </c>
      <c r="BS591" s="3">
        <f>+IF(AVANCE[[#This Row],[CANALIZACIÓN]]=AC$2,100%,AVANCE[[#This Row],[CANALIZACIÓN]])</f>
        <v>0</v>
      </c>
      <c r="BT591" s="3">
        <f>+IF(AVANCE[[#This Row],[CABLEADO]]=AD$2,100%,AVANCE[[#This Row],[CABLEADO]])</f>
        <v>0</v>
      </c>
      <c r="BU591" s="3">
        <f>+IF(AVANCE[[#This Row],[ARTEFACTOS]]=AE$2,100%,AVANCE[[#This Row],[ARTEFACTOS]])</f>
        <v>0</v>
      </c>
      <c r="BV591" s="3">
        <f>+IF(AVANCE[[#This Row],[TABLERO]]=AF$2,100%,AVANCE[[#This Row],[TABLERO]])</f>
        <v>0</v>
      </c>
      <c r="BW591" s="3">
        <f>+IF(AVANCE[[#This Row],[CAJA PAU]]=AG$2,100%,AVANCE[[#This Row],[CAJA PAU]])</f>
        <v>0</v>
      </c>
      <c r="BX591" s="3">
        <f>+IF(AVANCE[[#This Row],[INSTALACION VINILICO]]=AJ$2,100%,AVANCE[[#This Row],[INSTALACION VINILICO]])</f>
        <v>0</v>
      </c>
      <c r="BY591" s="3">
        <f>+IF(AVANCE[[#This Row],[OSB CUBIERTA]]=AK$2,100%,AVANCE[[#This Row],[OSB CUBIERTA]])</f>
        <v>0</v>
      </c>
      <c r="BZ591" s="3">
        <f>+IF(AVANCE[[#This Row],[BARANDA BALCON]]=AL$2,100%,AVANCE[[#This Row],[BARANDA BALCON]])</f>
        <v>0</v>
      </c>
      <c r="CA591" s="3">
        <f>+IF(AVANCE[[#This Row],[OSB EXTERIOR]]=AM$2,100%,AVANCE[[#This Row],[OSB EXTERIOR]])</f>
        <v>0</v>
      </c>
      <c r="CB591" s="3">
        <f>+IF(AVANCE[[#This Row],[SMART PANEL]]=AN$2,100%,AVANCE[[#This Row],[SMART PANEL]])</f>
        <v>0</v>
      </c>
      <c r="CC591" s="3">
        <f>+IF(AVANCE[[#This Row],[PINTURA EXTERIOR]]=AO$2,100%,AVANCE[[#This Row],[PINTURA EXTERIOR]])</f>
        <v>0</v>
      </c>
      <c r="CD591" s="3">
        <f>+IF(AVANCE[[#This Row],[ZOCALOS LOGIA]]=AP$2,100%,AVANCE[[#This Row],[ZOCALOS LOGIA]])</f>
        <v>0</v>
      </c>
      <c r="CE591" s="3">
        <f>+IF(AVANCE[[#This Row],[MOLDURAS]]=AQ$2,100%,AVANCE[[#This Row],[MOLDURAS]])</f>
        <v>0</v>
      </c>
      <c r="CF591" s="3">
        <f>+IF(AVANCE[[#This Row],[PILASTREO]]=AR$2,100%,AVANCE[[#This Row],[PILASTREO]])</f>
        <v>0</v>
      </c>
      <c r="CG591" s="3">
        <f>+IF(AVANCE[[#This Row],[CELOSIAS]]=AS$2,100%,AVANCE[[#This Row],[CELOSIAS]])</f>
        <v>0</v>
      </c>
      <c r="CH591" s="3">
        <f>+IF(AVANCE[[#This Row],[VENTANAS]]=AT$2,100%,AVANCE[[#This Row],[VENTANAS]])</f>
        <v>0</v>
      </c>
      <c r="CI591" s="3">
        <f>+IF(AVANCE[[#This Row],[PUERTAS ACCESO - LOGIA - BANO]]=AU$2,100%,AVANCE[[#This Row],[PUERTAS ACCESO - LOGIA - BANO]])</f>
        <v>0</v>
      </c>
      <c r="CJ591" s="3">
        <f>+IF(AVANCE[[#This Row],[CERRADURAS]]=AV$2,100%,AVANCE[[#This Row],[CERRADURAS]])</f>
        <v>0</v>
      </c>
      <c r="CK591" s="3">
        <f>+IF(AVANCE[[#This Row],[REVESTIMIENTO INTERIOR ZONA SECA]]=AW$2,100%,AVANCE[[#This Row],[REVESTIMIENTO INTERIOR ZONA SECA]])</f>
        <v>0</v>
      </c>
      <c r="CL591" s="3">
        <f>+IF(AVANCE[[#This Row],[REVESTIMIENTO INTERIOR ZONAS HUMEDAS]]=AX$2,100%,AVANCE[[#This Row],[REVESTIMIENTO INTERIOR ZONAS HUMEDAS]])</f>
        <v>0</v>
      </c>
      <c r="CM591" s="3">
        <f>+IF(AVANCE[[#This Row],[MEMBRANA CIELO]]=AY$2,100%,AVANCE[[#This Row],[MEMBRANA CIELO]])</f>
        <v>0</v>
      </c>
      <c r="CN591" s="3">
        <f>+IF(AVANCE[[#This Row],[LIMPIEZA FINAL]]=AZ$2,100%,AVANCE[[#This Row],[LIMPIEZA FINAL]])</f>
        <v>0</v>
      </c>
      <c r="CO591" s="3">
        <f>+IF(AVANCE[[#This Row],[PUERTAS DORMITORIO]]=BA$2,100%,AVANCE[[#This Row],[PUERTAS DORMITORIO]])</f>
        <v>0</v>
      </c>
      <c r="CP591" s="3">
        <f>+IF(AVANCE[[#This Row],[REVESTIMIENTO INTERIOR BANO]]=BB$2,100%,AVANCE[[#This Row],[REVESTIMIENTO INTERIOR BANO]])</f>
        <v>0</v>
      </c>
      <c r="CQ591" s="3">
        <f>+IF(AVANCE[[#This Row],[MUEBLE LAVAPLATOS]]=BC$2,100%,AVANCE[[#This Row],[MUEBLE LAVAPLATOS]])</f>
        <v>0</v>
      </c>
      <c r="CR591" s="3">
        <f>+IF(AVANCE[[#This Row],[IMPERMEABILIZACION BANO - COCINA LOGIA]]=BD$2,100%,AVANCE[[#This Row],[IMPERMEABILIZACION BANO - COCINA LOGIA]])</f>
        <v>0</v>
      </c>
      <c r="CS591" s="40">
        <f ca="1">+IF(AVANCE[[#This Row],[ESTADO MODULO]]="PENDIENTE",(TODAY()-AVANCE[[#This Row],[FECHA TERMINO  PLANIFICADO]]),0)</f>
        <v>0</v>
      </c>
      <c r="CT591" s="41" t="str" cm="1">
        <f t="array" ref="CT591">_xlfn.TEXTJOIN(" | ",TRUE,IF(SUMPRODUCT((BG591:CR591&lt;1)*(PARTIDAS!$I$2:$AT$2="OBRA GRUESA"))&gt;0,"OBRA GRUESA: "&amp;_xlfn.TEXTJOIN(", ",TRUE,IF((BG591:CR591&lt;1)*(PARTIDAS!$I$2:$AT$2="OBRA GRUESA"),PARTIDAS!$I$1:$AT$1,"")),""),IF(SUMPRODUCT((BG591:CR591&lt;1)*(PARTIDAS!$I$2:$AT$2="SANITARIOS"))&gt;0,"SANITARIOS: "&amp;_xlfn.TEXTJOIN(", ",TRUE,IF((BG591:CR591&lt;1)*(PARTIDAS!$I$2:$AT$2="SANITARIOS"),PARTIDAS!$I$1:$AT$1,"")),""),IF(SUMPRODUCT((BG591:CR591&lt;1)*(PARTIDAS!$I$2:$AT$2="ELÉCTRICO"))&gt;0,"ELÉCTRICO: "&amp;_xlfn.TEXTJOIN(", ",TRUE,IF((BG591:CR591&lt;1)*(PARTIDAS!$I$2:$AT$2="ELÉCTRICO"),PARTIDAS!$I$1:$AT$1,"")),""),IF(SUMPRODUCT((BG591:CR591&lt;1)*(PARTIDAS!$I$2:$AT$2="TERMINACIONES"))&gt;0,"TERMINACIONES: "&amp;_xlfn.TEXTJOIN(", ",TRUE,IF((BG591:CR591&lt;1)*(PARTIDAS!$I$2:$AT$2="TERMINACIONES"),PARTIDAS!$I$1:$AT$1,"")),""))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1" s="43" t="str" cm="1">
        <f t="array" ref="CU591">_xlfn.TEXTJOIN(", ",TRUE,IF(SUMPRODUCT((BG591:CR591&lt;1)*(PARTIDAS!$I$2:$AT$2="OBRA GRUESA"))&gt;0,"OBRA GRUESA",""),IF(SUMPRODUCT((BG591:CR591&lt;1)*(PARTIDAS!$I$2:$AT$2="SANITARIOS"))&gt;0,"SANITARIOS",""),IF(SUMPRODUCT((BG591:CR591&lt;1)*(PARTIDAS!$I$2:$AT$2="ELÉCTRICO"))&gt;0,"ELÉCTRICO",""),IF(SUMPRODUCT((BG591:CR591&lt;1)*(PARTIDAS!$I$2:$AT$2="TERMINACIONES"))&gt;0,"TERMINACIONES",""))</f>
        <v>OBRA GRUESA, SANITARIOS, ELÉCTRICO, TERMINACIONES</v>
      </c>
      <c r="CV591" s="44" cm="1">
        <f t="array" ref="CV591">SUMPRODUCT(--(BG591:CR591&lt;1))</f>
        <v>38</v>
      </c>
    </row>
    <row r="592" spans="1:100" hidden="1" x14ac:dyDescent="0.25">
      <c r="A592" t="s">
        <v>652</v>
      </c>
      <c r="B592" t="s">
        <v>667</v>
      </c>
      <c r="C592">
        <v>2302600591</v>
      </c>
      <c r="D592" t="s">
        <v>60</v>
      </c>
      <c r="E592" s="2">
        <v>0</v>
      </c>
      <c r="F592" s="1">
        <v>46435</v>
      </c>
      <c r="G592" s="1"/>
      <c r="H592" s="1">
        <v>0</v>
      </c>
      <c r="I592" s="1">
        <v>46465</v>
      </c>
      <c r="J592">
        <v>46230</v>
      </c>
      <c r="K592" s="1"/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>
        <v>31.32</v>
      </c>
      <c r="BF592" s="3" t="str">
        <f>+IF(AVANCE[[#This Row],[% AVANCE]]=100%,"MODULO TERMINADO",IF(AVANCE[[#This Row],[FECHA INICIO REAL]]="","MODULO NO INICIADO","PENDIENTE"))</f>
        <v>MODULO NO INICIADO</v>
      </c>
      <c r="BG592" s="3">
        <f>+IF(AVANCE[[#This Row],[VENTANAS]]=8.10810810810811%,100%,AVANCE[[#This Row],[VENTANAS]])</f>
        <v>0</v>
      </c>
      <c r="BH592" s="3">
        <f>+IF(AVANCE[[#This Row],[PISO]]=N$2,100%,AVANCE[[#This Row],[PISO]])</f>
        <v>0</v>
      </c>
      <c r="BI592" s="3">
        <f>+IF(AVANCE[[#This Row],[TABIQUES]]=O$2,100%,AVANCE[[#This Row],[TABIQUES]])</f>
        <v>0</v>
      </c>
      <c r="BJ592" s="3">
        <f>+IF(AVANCE[[#This Row],[MUROS]]=P$2,100%,AVANCE[[#This Row],[MUROS]])</f>
        <v>0</v>
      </c>
      <c r="BK592" s="3">
        <f>+IF(AVANCE[[#This Row],[CIELO]]=Q$2,100%,AVANCE[[#This Row],[CIELO]])</f>
        <v>0</v>
      </c>
      <c r="BL592" s="3">
        <f>+IF(AVANCE[[#This Row],[BALCÓN]]=R$2,100%,AVANCE[[#This Row],[BALCÓN]])</f>
        <v>0</v>
      </c>
      <c r="BM592" s="3">
        <f>+IF(AVANCE[[#This Row],[RED ALCANTARILLADO]]=U$2,100%,AVANCE[[#This Row],[RED ALCANTARILLADO]])</f>
        <v>0</v>
      </c>
      <c r="BN592" s="3">
        <f>+IF(AVANCE[[#This Row],[RED DE AGUA]]=V$2,100%,AVANCE[[#This Row],[RED DE AGUA]])</f>
        <v>0</v>
      </c>
      <c r="BO592" s="3">
        <f>+IF(AVANCE[[#This Row],[VENTILACIONES]]=W$2,100%,AVANCE[[#This Row],[VENTILACIONES]])</f>
        <v>0</v>
      </c>
      <c r="BP592" s="3">
        <f>+IF(AVANCE[[#This Row],[TINA]]=X$2,100%,AVANCE[[#This Row],[TINA]])</f>
        <v>0</v>
      </c>
      <c r="BQ592" s="3">
        <f>+IF(AVANCE[[#This Row],[WC]]=Y$2,100%,AVANCE[[#This Row],[WC]])</f>
        <v>0</v>
      </c>
      <c r="BR592" s="3">
        <f>+IF(AVANCE[[#This Row],[LAVAMANOS / LAVAPLATOS / LAVADERO]]=Z$2,100%,AVANCE[[#This Row],[LAVAMANOS / LAVAPLATOS / LAVADERO]])</f>
        <v>0</v>
      </c>
      <c r="BS592" s="3">
        <f>+IF(AVANCE[[#This Row],[CANALIZACIÓN]]=AC$2,100%,AVANCE[[#This Row],[CANALIZACIÓN]])</f>
        <v>0</v>
      </c>
      <c r="BT592" s="3">
        <f>+IF(AVANCE[[#This Row],[CABLEADO]]=AD$2,100%,AVANCE[[#This Row],[CABLEADO]])</f>
        <v>0</v>
      </c>
      <c r="BU592" s="3">
        <f>+IF(AVANCE[[#This Row],[ARTEFACTOS]]=AE$2,100%,AVANCE[[#This Row],[ARTEFACTOS]])</f>
        <v>0</v>
      </c>
      <c r="BV592" s="3">
        <f>+IF(AVANCE[[#This Row],[TABLERO]]=AF$2,100%,AVANCE[[#This Row],[TABLERO]])</f>
        <v>0</v>
      </c>
      <c r="BW592" s="3">
        <f>+IF(AVANCE[[#This Row],[CAJA PAU]]=AG$2,100%,AVANCE[[#This Row],[CAJA PAU]])</f>
        <v>0</v>
      </c>
      <c r="BX592" s="3">
        <f>+IF(AVANCE[[#This Row],[INSTALACION VINILICO]]=AJ$2,100%,AVANCE[[#This Row],[INSTALACION VINILICO]])</f>
        <v>0</v>
      </c>
      <c r="BY592" s="3">
        <f>+IF(AVANCE[[#This Row],[OSB CUBIERTA]]=AK$2,100%,AVANCE[[#This Row],[OSB CUBIERTA]])</f>
        <v>0</v>
      </c>
      <c r="BZ592" s="3">
        <f>+IF(AVANCE[[#This Row],[BARANDA BALCON]]=AL$2,100%,AVANCE[[#This Row],[BARANDA BALCON]])</f>
        <v>0</v>
      </c>
      <c r="CA592" s="3">
        <f>+IF(AVANCE[[#This Row],[OSB EXTERIOR]]=AM$2,100%,AVANCE[[#This Row],[OSB EXTERIOR]])</f>
        <v>0</v>
      </c>
      <c r="CB592" s="3">
        <f>+IF(AVANCE[[#This Row],[SMART PANEL]]=AN$2,100%,AVANCE[[#This Row],[SMART PANEL]])</f>
        <v>0</v>
      </c>
      <c r="CC592" s="3">
        <f>+IF(AVANCE[[#This Row],[PINTURA EXTERIOR]]=AO$2,100%,AVANCE[[#This Row],[PINTURA EXTERIOR]])</f>
        <v>0</v>
      </c>
      <c r="CD592" s="3">
        <f>+IF(AVANCE[[#This Row],[ZOCALOS LOGIA]]=AP$2,100%,AVANCE[[#This Row],[ZOCALOS LOGIA]])</f>
        <v>0</v>
      </c>
      <c r="CE592" s="3">
        <f>+IF(AVANCE[[#This Row],[MOLDURAS]]=AQ$2,100%,AVANCE[[#This Row],[MOLDURAS]])</f>
        <v>0</v>
      </c>
      <c r="CF592" s="3">
        <f>+IF(AVANCE[[#This Row],[PILASTREO]]=AR$2,100%,AVANCE[[#This Row],[PILASTREO]])</f>
        <v>0</v>
      </c>
      <c r="CG592" s="3">
        <f>+IF(AVANCE[[#This Row],[CELOSIAS]]=AS$2,100%,AVANCE[[#This Row],[CELOSIAS]])</f>
        <v>0</v>
      </c>
      <c r="CH592" s="3">
        <f>+IF(AVANCE[[#This Row],[VENTANAS]]=AT$2,100%,AVANCE[[#This Row],[VENTANAS]])</f>
        <v>0</v>
      </c>
      <c r="CI592" s="3">
        <f>+IF(AVANCE[[#This Row],[PUERTAS ACCESO - LOGIA - BANO]]=AU$2,100%,AVANCE[[#This Row],[PUERTAS ACCESO - LOGIA - BANO]])</f>
        <v>0</v>
      </c>
      <c r="CJ592" s="3">
        <f>+IF(AVANCE[[#This Row],[CERRADURAS]]=AV$2,100%,AVANCE[[#This Row],[CERRADURAS]])</f>
        <v>0</v>
      </c>
      <c r="CK592" s="3">
        <f>+IF(AVANCE[[#This Row],[REVESTIMIENTO INTERIOR ZONA SECA]]=AW$2,100%,AVANCE[[#This Row],[REVESTIMIENTO INTERIOR ZONA SECA]])</f>
        <v>0</v>
      </c>
      <c r="CL592" s="3">
        <f>+IF(AVANCE[[#This Row],[REVESTIMIENTO INTERIOR ZONAS HUMEDAS]]=AX$2,100%,AVANCE[[#This Row],[REVESTIMIENTO INTERIOR ZONAS HUMEDAS]])</f>
        <v>0</v>
      </c>
      <c r="CM592" s="3">
        <f>+IF(AVANCE[[#This Row],[MEMBRANA CIELO]]=AY$2,100%,AVANCE[[#This Row],[MEMBRANA CIELO]])</f>
        <v>0</v>
      </c>
      <c r="CN592" s="3">
        <f>+IF(AVANCE[[#This Row],[LIMPIEZA FINAL]]=AZ$2,100%,AVANCE[[#This Row],[LIMPIEZA FINAL]])</f>
        <v>0</v>
      </c>
      <c r="CO592" s="3">
        <f>+IF(AVANCE[[#This Row],[PUERTAS DORMITORIO]]=BA$2,100%,AVANCE[[#This Row],[PUERTAS DORMITORIO]])</f>
        <v>0</v>
      </c>
      <c r="CP592" s="3">
        <f>+IF(AVANCE[[#This Row],[REVESTIMIENTO INTERIOR BANO]]=BB$2,100%,AVANCE[[#This Row],[REVESTIMIENTO INTERIOR BANO]])</f>
        <v>0</v>
      </c>
      <c r="CQ592" s="3">
        <f>+IF(AVANCE[[#This Row],[MUEBLE LAVAPLATOS]]=BC$2,100%,AVANCE[[#This Row],[MUEBLE LAVAPLATOS]])</f>
        <v>0</v>
      </c>
      <c r="CR592" s="3">
        <f>+IF(AVANCE[[#This Row],[IMPERMEABILIZACION BANO - COCINA LOGIA]]=BD$2,100%,AVANCE[[#This Row],[IMPERMEABILIZACION BANO - COCINA LOGIA]])</f>
        <v>0</v>
      </c>
      <c r="CS592" s="40">
        <f ca="1">+IF(AVANCE[[#This Row],[ESTADO MODULO]]="PENDIENTE",(TODAY()-AVANCE[[#This Row],[FECHA TERMINO  PLANIFICADO]]),0)</f>
        <v>0</v>
      </c>
      <c r="CT592" s="41" t="str" cm="1">
        <f t="array" ref="CT592">_xlfn.TEXTJOIN(" | ",TRUE,IF(SUMPRODUCT((BG592:CR592&lt;1)*(PARTIDAS!$I$2:$AT$2="OBRA GRUESA"))&gt;0,"OBRA GRUESA: "&amp;_xlfn.TEXTJOIN(", ",TRUE,IF((BG592:CR592&lt;1)*(PARTIDAS!$I$2:$AT$2="OBRA GRUESA"),PARTIDAS!$I$1:$AT$1,"")),""),IF(SUMPRODUCT((BG592:CR592&lt;1)*(PARTIDAS!$I$2:$AT$2="SANITARIOS"))&gt;0,"SANITARIOS: "&amp;_xlfn.TEXTJOIN(", ",TRUE,IF((BG592:CR592&lt;1)*(PARTIDAS!$I$2:$AT$2="SANITARIOS"),PARTIDAS!$I$1:$AT$1,"")),""),IF(SUMPRODUCT((BG592:CR592&lt;1)*(PARTIDAS!$I$2:$AT$2="ELÉCTRICO"))&gt;0,"ELÉCTRICO: "&amp;_xlfn.TEXTJOIN(", ",TRUE,IF((BG592:CR592&lt;1)*(PARTIDAS!$I$2:$AT$2="ELÉCTRICO"),PARTIDAS!$I$1:$AT$1,"")),""),IF(SUMPRODUCT((BG592:CR592&lt;1)*(PARTIDAS!$I$2:$AT$2="TERMINACIONES"))&gt;0,"TERMINACIONES: "&amp;_xlfn.TEXTJOIN(", ",TRUE,IF((BG592:CR592&lt;1)*(PARTIDAS!$I$2:$AT$2="TERMINACIONES"),PARTIDAS!$I$1:$AT$1,"")),""))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2" s="43" t="str" cm="1">
        <f t="array" ref="CU592">_xlfn.TEXTJOIN(", ",TRUE,IF(SUMPRODUCT((BG592:CR592&lt;1)*(PARTIDAS!$I$2:$AT$2="OBRA GRUESA"))&gt;0,"OBRA GRUESA",""),IF(SUMPRODUCT((BG592:CR592&lt;1)*(PARTIDAS!$I$2:$AT$2="SANITARIOS"))&gt;0,"SANITARIOS",""),IF(SUMPRODUCT((BG592:CR592&lt;1)*(PARTIDAS!$I$2:$AT$2="ELÉCTRICO"))&gt;0,"ELÉCTRICO",""),IF(SUMPRODUCT((BG592:CR592&lt;1)*(PARTIDAS!$I$2:$AT$2="TERMINACIONES"))&gt;0,"TERMINACIONES",""))</f>
        <v>OBRA GRUESA, SANITARIOS, ELÉCTRICO, TERMINACIONES</v>
      </c>
      <c r="CV592" s="44" cm="1">
        <f t="array" ref="CV592">SUMPRODUCT(--(BG592:CR592&lt;1))</f>
        <v>38</v>
      </c>
    </row>
    <row r="593" spans="1:100" hidden="1" x14ac:dyDescent="0.25">
      <c r="A593" t="s">
        <v>652</v>
      </c>
      <c r="B593" t="s">
        <v>668</v>
      </c>
      <c r="C593">
        <v>2282600592</v>
      </c>
      <c r="D593" t="s">
        <v>58</v>
      </c>
      <c r="E593" s="2">
        <v>0</v>
      </c>
      <c r="F593" s="1">
        <v>46435</v>
      </c>
      <c r="G593" s="1"/>
      <c r="H593" s="1">
        <v>0</v>
      </c>
      <c r="I593" s="1">
        <v>46455</v>
      </c>
      <c r="J593">
        <v>46230</v>
      </c>
      <c r="K593" s="1"/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>
        <v>28.87</v>
      </c>
      <c r="BF593" s="3" t="str">
        <f>+IF(AVANCE[[#This Row],[% AVANCE]]=100%,"MODULO TERMINADO",IF(AVANCE[[#This Row],[FECHA INICIO REAL]]="","MODULO NO INICIADO","PENDIENTE"))</f>
        <v>MODULO NO INICIADO</v>
      </c>
      <c r="BG593" s="3">
        <f>+IF(AVANCE[[#This Row],[VENTANAS]]=8.10810810810811%,100%,AVANCE[[#This Row],[VENTANAS]])</f>
        <v>0</v>
      </c>
      <c r="BH593" s="3">
        <f>+IF(AVANCE[[#This Row],[PISO]]=N$2,100%,AVANCE[[#This Row],[PISO]])</f>
        <v>0</v>
      </c>
      <c r="BI593" s="3">
        <f>+IF(AVANCE[[#This Row],[TABIQUES]]=O$2,100%,AVANCE[[#This Row],[TABIQUES]])</f>
        <v>0</v>
      </c>
      <c r="BJ593" s="3">
        <f>+IF(AVANCE[[#This Row],[MUROS]]=P$2,100%,AVANCE[[#This Row],[MUROS]])</f>
        <v>0</v>
      </c>
      <c r="BK593" s="3">
        <f>+IF(AVANCE[[#This Row],[CIELO]]=Q$2,100%,AVANCE[[#This Row],[CIELO]])</f>
        <v>0</v>
      </c>
      <c r="BL593" s="3">
        <f>+IF(AVANCE[[#This Row],[BALCÓN]]=R$2,100%,AVANCE[[#This Row],[BALCÓN]])</f>
        <v>0</v>
      </c>
      <c r="BM593" s="3">
        <f>+IF(AVANCE[[#This Row],[RED ALCANTARILLADO]]=U$2,100%,AVANCE[[#This Row],[RED ALCANTARILLADO]])</f>
        <v>0</v>
      </c>
      <c r="BN593" s="3">
        <f>+IF(AVANCE[[#This Row],[RED DE AGUA]]=V$2,100%,AVANCE[[#This Row],[RED DE AGUA]])</f>
        <v>0</v>
      </c>
      <c r="BO593" s="3">
        <f>+IF(AVANCE[[#This Row],[VENTILACIONES]]=W$2,100%,AVANCE[[#This Row],[VENTILACIONES]])</f>
        <v>0</v>
      </c>
      <c r="BP593" s="3">
        <f>+IF(AVANCE[[#This Row],[TINA]]=X$2,100%,AVANCE[[#This Row],[TINA]])</f>
        <v>0</v>
      </c>
      <c r="BQ593" s="3">
        <f>+IF(AVANCE[[#This Row],[WC]]=Y$2,100%,AVANCE[[#This Row],[WC]])</f>
        <v>0</v>
      </c>
      <c r="BR593" s="3">
        <f>+IF(AVANCE[[#This Row],[LAVAMANOS / LAVAPLATOS / LAVADERO]]=Z$2,100%,AVANCE[[#This Row],[LAVAMANOS / LAVAPLATOS / LAVADERO]])</f>
        <v>0</v>
      </c>
      <c r="BS593" s="3">
        <f>+IF(AVANCE[[#This Row],[CANALIZACIÓN]]=AC$2,100%,AVANCE[[#This Row],[CANALIZACIÓN]])</f>
        <v>0</v>
      </c>
      <c r="BT593" s="3">
        <f>+IF(AVANCE[[#This Row],[CABLEADO]]=AD$2,100%,AVANCE[[#This Row],[CABLEADO]])</f>
        <v>0</v>
      </c>
      <c r="BU593" s="3">
        <f>+IF(AVANCE[[#This Row],[ARTEFACTOS]]=AE$2,100%,AVANCE[[#This Row],[ARTEFACTOS]])</f>
        <v>0</v>
      </c>
      <c r="BV593" s="3">
        <f>+IF(AVANCE[[#This Row],[TABLERO]]=AF$2,100%,AVANCE[[#This Row],[TABLERO]])</f>
        <v>0</v>
      </c>
      <c r="BW593" s="3">
        <f>+IF(AVANCE[[#This Row],[CAJA PAU]]=AG$2,100%,AVANCE[[#This Row],[CAJA PAU]])</f>
        <v>0</v>
      </c>
      <c r="BX593" s="3">
        <f>+IF(AVANCE[[#This Row],[INSTALACION VINILICO]]=AJ$2,100%,AVANCE[[#This Row],[INSTALACION VINILICO]])</f>
        <v>0</v>
      </c>
      <c r="BY593" s="3">
        <f>+IF(AVANCE[[#This Row],[OSB CUBIERTA]]=AK$2,100%,AVANCE[[#This Row],[OSB CUBIERTA]])</f>
        <v>0</v>
      </c>
      <c r="BZ593" s="3">
        <f>+IF(AVANCE[[#This Row],[BARANDA BALCON]]=AL$2,100%,AVANCE[[#This Row],[BARANDA BALCON]])</f>
        <v>0</v>
      </c>
      <c r="CA593" s="3">
        <f>+IF(AVANCE[[#This Row],[OSB EXTERIOR]]=AM$2,100%,AVANCE[[#This Row],[OSB EXTERIOR]])</f>
        <v>0</v>
      </c>
      <c r="CB593" s="3">
        <f>+IF(AVANCE[[#This Row],[SMART PANEL]]=AN$2,100%,AVANCE[[#This Row],[SMART PANEL]])</f>
        <v>0</v>
      </c>
      <c r="CC593" s="3">
        <f>+IF(AVANCE[[#This Row],[PINTURA EXTERIOR]]=AO$2,100%,AVANCE[[#This Row],[PINTURA EXTERIOR]])</f>
        <v>0</v>
      </c>
      <c r="CD593" s="3">
        <f>+IF(AVANCE[[#This Row],[ZOCALOS LOGIA]]=AP$2,100%,AVANCE[[#This Row],[ZOCALOS LOGIA]])</f>
        <v>0</v>
      </c>
      <c r="CE593" s="3">
        <f>+IF(AVANCE[[#This Row],[MOLDURAS]]=AQ$2,100%,AVANCE[[#This Row],[MOLDURAS]])</f>
        <v>0</v>
      </c>
      <c r="CF593" s="3">
        <f>+IF(AVANCE[[#This Row],[PILASTREO]]=AR$2,100%,AVANCE[[#This Row],[PILASTREO]])</f>
        <v>0</v>
      </c>
      <c r="CG593" s="3">
        <f>+IF(AVANCE[[#This Row],[CELOSIAS]]=AS$2,100%,AVANCE[[#This Row],[CELOSIAS]])</f>
        <v>0</v>
      </c>
      <c r="CH593" s="3">
        <f>+IF(AVANCE[[#This Row],[VENTANAS]]=AT$2,100%,AVANCE[[#This Row],[VENTANAS]])</f>
        <v>0</v>
      </c>
      <c r="CI593" s="3">
        <f>+IF(AVANCE[[#This Row],[PUERTAS ACCESO - LOGIA - BANO]]=AU$2,100%,AVANCE[[#This Row],[PUERTAS ACCESO - LOGIA - BANO]])</f>
        <v>0</v>
      </c>
      <c r="CJ593" s="3">
        <f>+IF(AVANCE[[#This Row],[CERRADURAS]]=AV$2,100%,AVANCE[[#This Row],[CERRADURAS]])</f>
        <v>0</v>
      </c>
      <c r="CK593" s="3">
        <f>+IF(AVANCE[[#This Row],[REVESTIMIENTO INTERIOR ZONA SECA]]=AW$2,100%,AVANCE[[#This Row],[REVESTIMIENTO INTERIOR ZONA SECA]])</f>
        <v>0</v>
      </c>
      <c r="CL593" s="3">
        <f>+IF(AVANCE[[#This Row],[REVESTIMIENTO INTERIOR ZONAS HUMEDAS]]=AX$2,100%,AVANCE[[#This Row],[REVESTIMIENTO INTERIOR ZONAS HUMEDAS]])</f>
        <v>0</v>
      </c>
      <c r="CM593" s="3">
        <f>+IF(AVANCE[[#This Row],[MEMBRANA CIELO]]=AY$2,100%,AVANCE[[#This Row],[MEMBRANA CIELO]])</f>
        <v>0</v>
      </c>
      <c r="CN593" s="3">
        <f>+IF(AVANCE[[#This Row],[LIMPIEZA FINAL]]=AZ$2,100%,AVANCE[[#This Row],[LIMPIEZA FINAL]])</f>
        <v>0</v>
      </c>
      <c r="CO593" s="3">
        <f>+IF(AVANCE[[#This Row],[PUERTAS DORMITORIO]]=BA$2,100%,AVANCE[[#This Row],[PUERTAS DORMITORIO]])</f>
        <v>0</v>
      </c>
      <c r="CP593" s="3">
        <f>+IF(AVANCE[[#This Row],[REVESTIMIENTO INTERIOR BANO]]=BB$2,100%,AVANCE[[#This Row],[REVESTIMIENTO INTERIOR BANO]])</f>
        <v>0</v>
      </c>
      <c r="CQ593" s="3">
        <f>+IF(AVANCE[[#This Row],[MUEBLE LAVAPLATOS]]=BC$2,100%,AVANCE[[#This Row],[MUEBLE LAVAPLATOS]])</f>
        <v>0</v>
      </c>
      <c r="CR593" s="3">
        <f>+IF(AVANCE[[#This Row],[IMPERMEABILIZACION BANO - COCINA LOGIA]]=BD$2,100%,AVANCE[[#This Row],[IMPERMEABILIZACION BANO - COCINA LOGIA]])</f>
        <v>0</v>
      </c>
      <c r="CS593" s="40">
        <f ca="1">+IF(AVANCE[[#This Row],[ESTADO MODULO]]="PENDIENTE",(TODAY()-AVANCE[[#This Row],[FECHA TERMINO  PLANIFICADO]]),0)</f>
        <v>0</v>
      </c>
      <c r="CT593" s="41" t="str" cm="1">
        <f t="array" ref="CT593">_xlfn.TEXTJOIN(" | ",TRUE,IF(SUMPRODUCT((BG593:CR593&lt;1)*(PARTIDAS!$I$2:$AT$2="OBRA GRUESA"))&gt;0,"OBRA GRUESA: "&amp;_xlfn.TEXTJOIN(", ",TRUE,IF((BG593:CR593&lt;1)*(PARTIDAS!$I$2:$AT$2="OBRA GRUESA"),PARTIDAS!$I$1:$AT$1,"")),""),IF(SUMPRODUCT((BG593:CR593&lt;1)*(PARTIDAS!$I$2:$AT$2="SANITARIOS"))&gt;0,"SANITARIOS: "&amp;_xlfn.TEXTJOIN(", ",TRUE,IF((BG593:CR593&lt;1)*(PARTIDAS!$I$2:$AT$2="SANITARIOS"),PARTIDAS!$I$1:$AT$1,"")),""),IF(SUMPRODUCT((BG593:CR593&lt;1)*(PARTIDAS!$I$2:$AT$2="ELÉCTRICO"))&gt;0,"ELÉCTRICO: "&amp;_xlfn.TEXTJOIN(", ",TRUE,IF((BG593:CR593&lt;1)*(PARTIDAS!$I$2:$AT$2="ELÉCTRICO"),PARTIDAS!$I$1:$AT$1,"")),""),IF(SUMPRODUCT((BG593:CR593&lt;1)*(PARTIDAS!$I$2:$AT$2="TERMINACIONES"))&gt;0,"TERMINACIONES: "&amp;_xlfn.TEXTJOIN(", ",TRUE,IF((BG593:CR593&lt;1)*(PARTIDAS!$I$2:$AT$2="TERMINACIONES"),PARTIDAS!$I$1:$AT$1,"")),""))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3" s="43" t="str" cm="1">
        <f t="array" ref="CU593">_xlfn.TEXTJOIN(", ",TRUE,IF(SUMPRODUCT((BG593:CR593&lt;1)*(PARTIDAS!$I$2:$AT$2="OBRA GRUESA"))&gt;0,"OBRA GRUESA",""),IF(SUMPRODUCT((BG593:CR593&lt;1)*(PARTIDAS!$I$2:$AT$2="SANITARIOS"))&gt;0,"SANITARIOS",""),IF(SUMPRODUCT((BG593:CR593&lt;1)*(PARTIDAS!$I$2:$AT$2="ELÉCTRICO"))&gt;0,"ELÉCTRICO",""),IF(SUMPRODUCT((BG593:CR593&lt;1)*(PARTIDAS!$I$2:$AT$2="TERMINACIONES"))&gt;0,"TERMINACIONES",""))</f>
        <v>OBRA GRUESA, SANITARIOS, ELÉCTRICO, TERMINACIONES</v>
      </c>
      <c r="CV593" s="44" cm="1">
        <f t="array" ref="CV593">SUMPRODUCT(--(BG593:CR593&lt;1))</f>
        <v>38</v>
      </c>
    </row>
    <row r="594" spans="1:100" hidden="1" x14ac:dyDescent="0.25">
      <c r="A594" t="s">
        <v>652</v>
      </c>
      <c r="B594" t="s">
        <v>669</v>
      </c>
      <c r="C594">
        <v>2282600593</v>
      </c>
      <c r="D594" t="s">
        <v>58</v>
      </c>
      <c r="E594" s="2">
        <v>0</v>
      </c>
      <c r="F594" s="1">
        <v>46436</v>
      </c>
      <c r="G594" s="1"/>
      <c r="H594" s="1">
        <v>0</v>
      </c>
      <c r="I594" s="1">
        <v>46456</v>
      </c>
      <c r="J594">
        <v>46230</v>
      </c>
      <c r="K594" s="1"/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>
        <v>28.87</v>
      </c>
      <c r="BF594" s="3" t="str">
        <f>+IF(AVANCE[[#This Row],[% AVANCE]]=100%,"MODULO TERMINADO",IF(AVANCE[[#This Row],[FECHA INICIO REAL]]="","MODULO NO INICIADO","PENDIENTE"))</f>
        <v>MODULO NO INICIADO</v>
      </c>
      <c r="BG594" s="3">
        <f>+IF(AVANCE[[#This Row],[VENTANAS]]=8.10810810810811%,100%,AVANCE[[#This Row],[VENTANAS]])</f>
        <v>0</v>
      </c>
      <c r="BH594" s="3">
        <f>+IF(AVANCE[[#This Row],[PISO]]=N$2,100%,AVANCE[[#This Row],[PISO]])</f>
        <v>0</v>
      </c>
      <c r="BI594" s="3">
        <f>+IF(AVANCE[[#This Row],[TABIQUES]]=O$2,100%,AVANCE[[#This Row],[TABIQUES]])</f>
        <v>0</v>
      </c>
      <c r="BJ594" s="3">
        <f>+IF(AVANCE[[#This Row],[MUROS]]=P$2,100%,AVANCE[[#This Row],[MUROS]])</f>
        <v>0</v>
      </c>
      <c r="BK594" s="3">
        <f>+IF(AVANCE[[#This Row],[CIELO]]=Q$2,100%,AVANCE[[#This Row],[CIELO]])</f>
        <v>0</v>
      </c>
      <c r="BL594" s="3">
        <f>+IF(AVANCE[[#This Row],[BALCÓN]]=R$2,100%,AVANCE[[#This Row],[BALCÓN]])</f>
        <v>0</v>
      </c>
      <c r="BM594" s="3">
        <f>+IF(AVANCE[[#This Row],[RED ALCANTARILLADO]]=U$2,100%,AVANCE[[#This Row],[RED ALCANTARILLADO]])</f>
        <v>0</v>
      </c>
      <c r="BN594" s="3">
        <f>+IF(AVANCE[[#This Row],[RED DE AGUA]]=V$2,100%,AVANCE[[#This Row],[RED DE AGUA]])</f>
        <v>0</v>
      </c>
      <c r="BO594" s="3">
        <f>+IF(AVANCE[[#This Row],[VENTILACIONES]]=W$2,100%,AVANCE[[#This Row],[VENTILACIONES]])</f>
        <v>0</v>
      </c>
      <c r="BP594" s="3">
        <f>+IF(AVANCE[[#This Row],[TINA]]=X$2,100%,AVANCE[[#This Row],[TINA]])</f>
        <v>0</v>
      </c>
      <c r="BQ594" s="3">
        <f>+IF(AVANCE[[#This Row],[WC]]=Y$2,100%,AVANCE[[#This Row],[WC]])</f>
        <v>0</v>
      </c>
      <c r="BR594" s="3">
        <f>+IF(AVANCE[[#This Row],[LAVAMANOS / LAVAPLATOS / LAVADERO]]=Z$2,100%,AVANCE[[#This Row],[LAVAMANOS / LAVAPLATOS / LAVADERO]])</f>
        <v>0</v>
      </c>
      <c r="BS594" s="3">
        <f>+IF(AVANCE[[#This Row],[CANALIZACIÓN]]=AC$2,100%,AVANCE[[#This Row],[CANALIZACIÓN]])</f>
        <v>0</v>
      </c>
      <c r="BT594" s="3">
        <f>+IF(AVANCE[[#This Row],[CABLEADO]]=AD$2,100%,AVANCE[[#This Row],[CABLEADO]])</f>
        <v>0</v>
      </c>
      <c r="BU594" s="3">
        <f>+IF(AVANCE[[#This Row],[ARTEFACTOS]]=AE$2,100%,AVANCE[[#This Row],[ARTEFACTOS]])</f>
        <v>0</v>
      </c>
      <c r="BV594" s="3">
        <f>+IF(AVANCE[[#This Row],[TABLERO]]=AF$2,100%,AVANCE[[#This Row],[TABLERO]])</f>
        <v>0</v>
      </c>
      <c r="BW594" s="3">
        <f>+IF(AVANCE[[#This Row],[CAJA PAU]]=AG$2,100%,AVANCE[[#This Row],[CAJA PAU]])</f>
        <v>0</v>
      </c>
      <c r="BX594" s="3">
        <f>+IF(AVANCE[[#This Row],[INSTALACION VINILICO]]=AJ$2,100%,AVANCE[[#This Row],[INSTALACION VINILICO]])</f>
        <v>0</v>
      </c>
      <c r="BY594" s="3">
        <f>+IF(AVANCE[[#This Row],[OSB CUBIERTA]]=AK$2,100%,AVANCE[[#This Row],[OSB CUBIERTA]])</f>
        <v>0</v>
      </c>
      <c r="BZ594" s="3">
        <f>+IF(AVANCE[[#This Row],[BARANDA BALCON]]=AL$2,100%,AVANCE[[#This Row],[BARANDA BALCON]])</f>
        <v>0</v>
      </c>
      <c r="CA594" s="3">
        <f>+IF(AVANCE[[#This Row],[OSB EXTERIOR]]=AM$2,100%,AVANCE[[#This Row],[OSB EXTERIOR]])</f>
        <v>0</v>
      </c>
      <c r="CB594" s="3">
        <f>+IF(AVANCE[[#This Row],[SMART PANEL]]=AN$2,100%,AVANCE[[#This Row],[SMART PANEL]])</f>
        <v>0</v>
      </c>
      <c r="CC594" s="3">
        <f>+IF(AVANCE[[#This Row],[PINTURA EXTERIOR]]=AO$2,100%,AVANCE[[#This Row],[PINTURA EXTERIOR]])</f>
        <v>0</v>
      </c>
      <c r="CD594" s="3">
        <f>+IF(AVANCE[[#This Row],[ZOCALOS LOGIA]]=AP$2,100%,AVANCE[[#This Row],[ZOCALOS LOGIA]])</f>
        <v>0</v>
      </c>
      <c r="CE594" s="3">
        <f>+IF(AVANCE[[#This Row],[MOLDURAS]]=AQ$2,100%,AVANCE[[#This Row],[MOLDURAS]])</f>
        <v>0</v>
      </c>
      <c r="CF594" s="3">
        <f>+IF(AVANCE[[#This Row],[PILASTREO]]=AR$2,100%,AVANCE[[#This Row],[PILASTREO]])</f>
        <v>0</v>
      </c>
      <c r="CG594" s="3">
        <f>+IF(AVANCE[[#This Row],[CELOSIAS]]=AS$2,100%,AVANCE[[#This Row],[CELOSIAS]])</f>
        <v>0</v>
      </c>
      <c r="CH594" s="3">
        <f>+IF(AVANCE[[#This Row],[VENTANAS]]=AT$2,100%,AVANCE[[#This Row],[VENTANAS]])</f>
        <v>0</v>
      </c>
      <c r="CI594" s="3">
        <f>+IF(AVANCE[[#This Row],[PUERTAS ACCESO - LOGIA - BANO]]=AU$2,100%,AVANCE[[#This Row],[PUERTAS ACCESO - LOGIA - BANO]])</f>
        <v>0</v>
      </c>
      <c r="CJ594" s="3">
        <f>+IF(AVANCE[[#This Row],[CERRADURAS]]=AV$2,100%,AVANCE[[#This Row],[CERRADURAS]])</f>
        <v>0</v>
      </c>
      <c r="CK594" s="3">
        <f>+IF(AVANCE[[#This Row],[REVESTIMIENTO INTERIOR ZONA SECA]]=AW$2,100%,AVANCE[[#This Row],[REVESTIMIENTO INTERIOR ZONA SECA]])</f>
        <v>0</v>
      </c>
      <c r="CL594" s="3">
        <f>+IF(AVANCE[[#This Row],[REVESTIMIENTO INTERIOR ZONAS HUMEDAS]]=AX$2,100%,AVANCE[[#This Row],[REVESTIMIENTO INTERIOR ZONAS HUMEDAS]])</f>
        <v>0</v>
      </c>
      <c r="CM594" s="3">
        <f>+IF(AVANCE[[#This Row],[MEMBRANA CIELO]]=AY$2,100%,AVANCE[[#This Row],[MEMBRANA CIELO]])</f>
        <v>0</v>
      </c>
      <c r="CN594" s="3">
        <f>+IF(AVANCE[[#This Row],[LIMPIEZA FINAL]]=AZ$2,100%,AVANCE[[#This Row],[LIMPIEZA FINAL]])</f>
        <v>0</v>
      </c>
      <c r="CO594" s="3">
        <f>+IF(AVANCE[[#This Row],[PUERTAS DORMITORIO]]=BA$2,100%,AVANCE[[#This Row],[PUERTAS DORMITORIO]])</f>
        <v>0</v>
      </c>
      <c r="CP594" s="3">
        <f>+IF(AVANCE[[#This Row],[REVESTIMIENTO INTERIOR BANO]]=BB$2,100%,AVANCE[[#This Row],[REVESTIMIENTO INTERIOR BANO]])</f>
        <v>0</v>
      </c>
      <c r="CQ594" s="3">
        <f>+IF(AVANCE[[#This Row],[MUEBLE LAVAPLATOS]]=BC$2,100%,AVANCE[[#This Row],[MUEBLE LAVAPLATOS]])</f>
        <v>0</v>
      </c>
      <c r="CR594" s="3">
        <f>+IF(AVANCE[[#This Row],[IMPERMEABILIZACION BANO - COCINA LOGIA]]=BD$2,100%,AVANCE[[#This Row],[IMPERMEABILIZACION BANO - COCINA LOGIA]])</f>
        <v>0</v>
      </c>
      <c r="CS594" s="40">
        <f ca="1">+IF(AVANCE[[#This Row],[ESTADO MODULO]]="PENDIENTE",(TODAY()-AVANCE[[#This Row],[FECHA TERMINO  PLANIFICADO]]),0)</f>
        <v>0</v>
      </c>
      <c r="CT594" s="41" t="str" cm="1">
        <f t="array" ref="CT594">_xlfn.TEXTJOIN(" | ",TRUE,IF(SUMPRODUCT((BG594:CR594&lt;1)*(PARTIDAS!$I$2:$AT$2="OBRA GRUESA"))&gt;0,"OBRA GRUESA: "&amp;_xlfn.TEXTJOIN(", ",TRUE,IF((BG594:CR594&lt;1)*(PARTIDAS!$I$2:$AT$2="OBRA GRUESA"),PARTIDAS!$I$1:$AT$1,"")),""),IF(SUMPRODUCT((BG594:CR594&lt;1)*(PARTIDAS!$I$2:$AT$2="SANITARIOS"))&gt;0,"SANITARIOS: "&amp;_xlfn.TEXTJOIN(", ",TRUE,IF((BG594:CR594&lt;1)*(PARTIDAS!$I$2:$AT$2="SANITARIOS"),PARTIDAS!$I$1:$AT$1,"")),""),IF(SUMPRODUCT((BG594:CR594&lt;1)*(PARTIDAS!$I$2:$AT$2="ELÉCTRICO"))&gt;0,"ELÉCTRICO: "&amp;_xlfn.TEXTJOIN(", ",TRUE,IF((BG594:CR594&lt;1)*(PARTIDAS!$I$2:$AT$2="ELÉCTRICO"),PARTIDAS!$I$1:$AT$1,"")),""),IF(SUMPRODUCT((BG594:CR594&lt;1)*(PARTIDAS!$I$2:$AT$2="TERMINACIONES"))&gt;0,"TERMINACIONES: "&amp;_xlfn.TEXTJOIN(", ",TRUE,IF((BG594:CR594&lt;1)*(PARTIDAS!$I$2:$AT$2="TERMINACIONES"),PARTIDAS!$I$1:$AT$1,"")),""))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4" s="43" t="str" cm="1">
        <f t="array" ref="CU594">_xlfn.TEXTJOIN(", ",TRUE,IF(SUMPRODUCT((BG594:CR594&lt;1)*(PARTIDAS!$I$2:$AT$2="OBRA GRUESA"))&gt;0,"OBRA GRUESA",""),IF(SUMPRODUCT((BG594:CR594&lt;1)*(PARTIDAS!$I$2:$AT$2="SANITARIOS"))&gt;0,"SANITARIOS",""),IF(SUMPRODUCT((BG594:CR594&lt;1)*(PARTIDAS!$I$2:$AT$2="ELÉCTRICO"))&gt;0,"ELÉCTRICO",""),IF(SUMPRODUCT((BG594:CR594&lt;1)*(PARTIDAS!$I$2:$AT$2="TERMINACIONES"))&gt;0,"TERMINACIONES",""))</f>
        <v>OBRA GRUESA, SANITARIOS, ELÉCTRICO, TERMINACIONES</v>
      </c>
      <c r="CV594" s="44" cm="1">
        <f t="array" ref="CV594">SUMPRODUCT(--(BG594:CR594&lt;1))</f>
        <v>38</v>
      </c>
    </row>
    <row r="595" spans="1:100" hidden="1" x14ac:dyDescent="0.25">
      <c r="A595" t="s">
        <v>652</v>
      </c>
      <c r="B595" t="s">
        <v>670</v>
      </c>
      <c r="C595">
        <v>2302600594</v>
      </c>
      <c r="D595" t="s">
        <v>60</v>
      </c>
      <c r="E595" s="2">
        <v>0</v>
      </c>
      <c r="F595" s="1">
        <v>46436</v>
      </c>
      <c r="G595" s="1"/>
      <c r="H595" s="1">
        <v>0</v>
      </c>
      <c r="I595" s="1">
        <v>46466</v>
      </c>
      <c r="J595">
        <v>46230</v>
      </c>
      <c r="K595" s="1"/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>
        <v>31.32</v>
      </c>
      <c r="BF595" s="3" t="str">
        <f>+IF(AVANCE[[#This Row],[% AVANCE]]=100%,"MODULO TERMINADO",IF(AVANCE[[#This Row],[FECHA INICIO REAL]]="","MODULO NO INICIADO","PENDIENTE"))</f>
        <v>MODULO NO INICIADO</v>
      </c>
      <c r="BG595" s="3">
        <f>+IF(AVANCE[[#This Row],[VENTANAS]]=8.10810810810811%,100%,AVANCE[[#This Row],[VENTANAS]])</f>
        <v>0</v>
      </c>
      <c r="BH595" s="3">
        <f>+IF(AVANCE[[#This Row],[PISO]]=N$2,100%,AVANCE[[#This Row],[PISO]])</f>
        <v>0</v>
      </c>
      <c r="BI595" s="3">
        <f>+IF(AVANCE[[#This Row],[TABIQUES]]=O$2,100%,AVANCE[[#This Row],[TABIQUES]])</f>
        <v>0</v>
      </c>
      <c r="BJ595" s="3">
        <f>+IF(AVANCE[[#This Row],[MUROS]]=P$2,100%,AVANCE[[#This Row],[MUROS]])</f>
        <v>0</v>
      </c>
      <c r="BK595" s="3">
        <f>+IF(AVANCE[[#This Row],[CIELO]]=Q$2,100%,AVANCE[[#This Row],[CIELO]])</f>
        <v>0</v>
      </c>
      <c r="BL595" s="3">
        <f>+IF(AVANCE[[#This Row],[BALCÓN]]=R$2,100%,AVANCE[[#This Row],[BALCÓN]])</f>
        <v>0</v>
      </c>
      <c r="BM595" s="3">
        <f>+IF(AVANCE[[#This Row],[RED ALCANTARILLADO]]=U$2,100%,AVANCE[[#This Row],[RED ALCANTARILLADO]])</f>
        <v>0</v>
      </c>
      <c r="BN595" s="3">
        <f>+IF(AVANCE[[#This Row],[RED DE AGUA]]=V$2,100%,AVANCE[[#This Row],[RED DE AGUA]])</f>
        <v>0</v>
      </c>
      <c r="BO595" s="3">
        <f>+IF(AVANCE[[#This Row],[VENTILACIONES]]=W$2,100%,AVANCE[[#This Row],[VENTILACIONES]])</f>
        <v>0</v>
      </c>
      <c r="BP595" s="3">
        <f>+IF(AVANCE[[#This Row],[TINA]]=X$2,100%,AVANCE[[#This Row],[TINA]])</f>
        <v>0</v>
      </c>
      <c r="BQ595" s="3">
        <f>+IF(AVANCE[[#This Row],[WC]]=Y$2,100%,AVANCE[[#This Row],[WC]])</f>
        <v>0</v>
      </c>
      <c r="BR595" s="3">
        <f>+IF(AVANCE[[#This Row],[LAVAMANOS / LAVAPLATOS / LAVADERO]]=Z$2,100%,AVANCE[[#This Row],[LAVAMANOS / LAVAPLATOS / LAVADERO]])</f>
        <v>0</v>
      </c>
      <c r="BS595" s="3">
        <f>+IF(AVANCE[[#This Row],[CANALIZACIÓN]]=AC$2,100%,AVANCE[[#This Row],[CANALIZACIÓN]])</f>
        <v>0</v>
      </c>
      <c r="BT595" s="3">
        <f>+IF(AVANCE[[#This Row],[CABLEADO]]=AD$2,100%,AVANCE[[#This Row],[CABLEADO]])</f>
        <v>0</v>
      </c>
      <c r="BU595" s="3">
        <f>+IF(AVANCE[[#This Row],[ARTEFACTOS]]=AE$2,100%,AVANCE[[#This Row],[ARTEFACTOS]])</f>
        <v>0</v>
      </c>
      <c r="BV595" s="3">
        <f>+IF(AVANCE[[#This Row],[TABLERO]]=AF$2,100%,AVANCE[[#This Row],[TABLERO]])</f>
        <v>0</v>
      </c>
      <c r="BW595" s="3">
        <f>+IF(AVANCE[[#This Row],[CAJA PAU]]=AG$2,100%,AVANCE[[#This Row],[CAJA PAU]])</f>
        <v>0</v>
      </c>
      <c r="BX595" s="3">
        <f>+IF(AVANCE[[#This Row],[INSTALACION VINILICO]]=AJ$2,100%,AVANCE[[#This Row],[INSTALACION VINILICO]])</f>
        <v>0</v>
      </c>
      <c r="BY595" s="3">
        <f>+IF(AVANCE[[#This Row],[OSB CUBIERTA]]=AK$2,100%,AVANCE[[#This Row],[OSB CUBIERTA]])</f>
        <v>0</v>
      </c>
      <c r="BZ595" s="3">
        <f>+IF(AVANCE[[#This Row],[BARANDA BALCON]]=AL$2,100%,AVANCE[[#This Row],[BARANDA BALCON]])</f>
        <v>0</v>
      </c>
      <c r="CA595" s="3">
        <f>+IF(AVANCE[[#This Row],[OSB EXTERIOR]]=AM$2,100%,AVANCE[[#This Row],[OSB EXTERIOR]])</f>
        <v>0</v>
      </c>
      <c r="CB595" s="3">
        <f>+IF(AVANCE[[#This Row],[SMART PANEL]]=AN$2,100%,AVANCE[[#This Row],[SMART PANEL]])</f>
        <v>0</v>
      </c>
      <c r="CC595" s="3">
        <f>+IF(AVANCE[[#This Row],[PINTURA EXTERIOR]]=AO$2,100%,AVANCE[[#This Row],[PINTURA EXTERIOR]])</f>
        <v>0</v>
      </c>
      <c r="CD595" s="3">
        <f>+IF(AVANCE[[#This Row],[ZOCALOS LOGIA]]=AP$2,100%,AVANCE[[#This Row],[ZOCALOS LOGIA]])</f>
        <v>0</v>
      </c>
      <c r="CE595" s="3">
        <f>+IF(AVANCE[[#This Row],[MOLDURAS]]=AQ$2,100%,AVANCE[[#This Row],[MOLDURAS]])</f>
        <v>0</v>
      </c>
      <c r="CF595" s="3">
        <f>+IF(AVANCE[[#This Row],[PILASTREO]]=AR$2,100%,AVANCE[[#This Row],[PILASTREO]])</f>
        <v>0</v>
      </c>
      <c r="CG595" s="3">
        <f>+IF(AVANCE[[#This Row],[CELOSIAS]]=AS$2,100%,AVANCE[[#This Row],[CELOSIAS]])</f>
        <v>0</v>
      </c>
      <c r="CH595" s="3">
        <f>+IF(AVANCE[[#This Row],[VENTANAS]]=AT$2,100%,AVANCE[[#This Row],[VENTANAS]])</f>
        <v>0</v>
      </c>
      <c r="CI595" s="3">
        <f>+IF(AVANCE[[#This Row],[PUERTAS ACCESO - LOGIA - BANO]]=AU$2,100%,AVANCE[[#This Row],[PUERTAS ACCESO - LOGIA - BANO]])</f>
        <v>0</v>
      </c>
      <c r="CJ595" s="3">
        <f>+IF(AVANCE[[#This Row],[CERRADURAS]]=AV$2,100%,AVANCE[[#This Row],[CERRADURAS]])</f>
        <v>0</v>
      </c>
      <c r="CK595" s="3">
        <f>+IF(AVANCE[[#This Row],[REVESTIMIENTO INTERIOR ZONA SECA]]=AW$2,100%,AVANCE[[#This Row],[REVESTIMIENTO INTERIOR ZONA SECA]])</f>
        <v>0</v>
      </c>
      <c r="CL595" s="3">
        <f>+IF(AVANCE[[#This Row],[REVESTIMIENTO INTERIOR ZONAS HUMEDAS]]=AX$2,100%,AVANCE[[#This Row],[REVESTIMIENTO INTERIOR ZONAS HUMEDAS]])</f>
        <v>0</v>
      </c>
      <c r="CM595" s="3">
        <f>+IF(AVANCE[[#This Row],[MEMBRANA CIELO]]=AY$2,100%,AVANCE[[#This Row],[MEMBRANA CIELO]])</f>
        <v>0</v>
      </c>
      <c r="CN595" s="3">
        <f>+IF(AVANCE[[#This Row],[LIMPIEZA FINAL]]=AZ$2,100%,AVANCE[[#This Row],[LIMPIEZA FINAL]])</f>
        <v>0</v>
      </c>
      <c r="CO595" s="3">
        <f>+IF(AVANCE[[#This Row],[PUERTAS DORMITORIO]]=BA$2,100%,AVANCE[[#This Row],[PUERTAS DORMITORIO]])</f>
        <v>0</v>
      </c>
      <c r="CP595" s="3">
        <f>+IF(AVANCE[[#This Row],[REVESTIMIENTO INTERIOR BANO]]=BB$2,100%,AVANCE[[#This Row],[REVESTIMIENTO INTERIOR BANO]])</f>
        <v>0</v>
      </c>
      <c r="CQ595" s="3">
        <f>+IF(AVANCE[[#This Row],[MUEBLE LAVAPLATOS]]=BC$2,100%,AVANCE[[#This Row],[MUEBLE LAVAPLATOS]])</f>
        <v>0</v>
      </c>
      <c r="CR595" s="3">
        <f>+IF(AVANCE[[#This Row],[IMPERMEABILIZACION BANO - COCINA LOGIA]]=BD$2,100%,AVANCE[[#This Row],[IMPERMEABILIZACION BANO - COCINA LOGIA]])</f>
        <v>0</v>
      </c>
      <c r="CS595" s="40">
        <f ca="1">+IF(AVANCE[[#This Row],[ESTADO MODULO]]="PENDIENTE",(TODAY()-AVANCE[[#This Row],[FECHA TERMINO  PLANIFICADO]]),0)</f>
        <v>0</v>
      </c>
      <c r="CT595" s="41" t="str" cm="1">
        <f t="array" ref="CT595">_xlfn.TEXTJOIN(" | ",TRUE,IF(SUMPRODUCT((BG595:CR595&lt;1)*(PARTIDAS!$I$2:$AT$2="OBRA GRUESA"))&gt;0,"OBRA GRUESA: "&amp;_xlfn.TEXTJOIN(", ",TRUE,IF((BG595:CR595&lt;1)*(PARTIDAS!$I$2:$AT$2="OBRA GRUESA"),PARTIDAS!$I$1:$AT$1,"")),""),IF(SUMPRODUCT((BG595:CR595&lt;1)*(PARTIDAS!$I$2:$AT$2="SANITARIOS"))&gt;0,"SANITARIOS: "&amp;_xlfn.TEXTJOIN(", ",TRUE,IF((BG595:CR595&lt;1)*(PARTIDAS!$I$2:$AT$2="SANITARIOS"),PARTIDAS!$I$1:$AT$1,"")),""),IF(SUMPRODUCT((BG595:CR595&lt;1)*(PARTIDAS!$I$2:$AT$2="ELÉCTRICO"))&gt;0,"ELÉCTRICO: "&amp;_xlfn.TEXTJOIN(", ",TRUE,IF((BG595:CR595&lt;1)*(PARTIDAS!$I$2:$AT$2="ELÉCTRICO"),PARTIDAS!$I$1:$AT$1,"")),""),IF(SUMPRODUCT((BG595:CR595&lt;1)*(PARTIDAS!$I$2:$AT$2="TERMINACIONES"))&gt;0,"TERMINACIONES: "&amp;_xlfn.TEXTJOIN(", ",TRUE,IF((BG595:CR595&lt;1)*(PARTIDAS!$I$2:$AT$2="TERMINACIONES"),PARTIDAS!$I$1:$AT$1,"")),""))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5" s="43" t="str" cm="1">
        <f t="array" ref="CU595">_xlfn.TEXTJOIN(", ",TRUE,IF(SUMPRODUCT((BG595:CR595&lt;1)*(PARTIDAS!$I$2:$AT$2="OBRA GRUESA"))&gt;0,"OBRA GRUESA",""),IF(SUMPRODUCT((BG595:CR595&lt;1)*(PARTIDAS!$I$2:$AT$2="SANITARIOS"))&gt;0,"SANITARIOS",""),IF(SUMPRODUCT((BG595:CR595&lt;1)*(PARTIDAS!$I$2:$AT$2="ELÉCTRICO"))&gt;0,"ELÉCTRICO",""),IF(SUMPRODUCT((BG595:CR595&lt;1)*(PARTIDAS!$I$2:$AT$2="TERMINACIONES"))&gt;0,"TERMINACIONES",""))</f>
        <v>OBRA GRUESA, SANITARIOS, ELÉCTRICO, TERMINACIONES</v>
      </c>
      <c r="CV595" s="44" cm="1">
        <f t="array" ref="CV595">SUMPRODUCT(--(BG595:CR595&lt;1))</f>
        <v>38</v>
      </c>
    </row>
    <row r="596" spans="1:100" hidden="1" x14ac:dyDescent="0.25">
      <c r="A596" t="s">
        <v>652</v>
      </c>
      <c r="B596" t="s">
        <v>671</v>
      </c>
      <c r="C596">
        <v>2302600595</v>
      </c>
      <c r="D596" t="s">
        <v>60</v>
      </c>
      <c r="E596" s="2">
        <v>0</v>
      </c>
      <c r="F596" s="1">
        <v>46436</v>
      </c>
      <c r="G596" s="1"/>
      <c r="H596" s="1">
        <v>0</v>
      </c>
      <c r="I596" s="1">
        <v>46466</v>
      </c>
      <c r="J596">
        <v>46230</v>
      </c>
      <c r="K596" s="1"/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>
        <v>31.32</v>
      </c>
      <c r="BF596" s="3" t="str">
        <f>+IF(AVANCE[[#This Row],[% AVANCE]]=100%,"MODULO TERMINADO",IF(AVANCE[[#This Row],[FECHA INICIO REAL]]="","MODULO NO INICIADO","PENDIENTE"))</f>
        <v>MODULO NO INICIADO</v>
      </c>
      <c r="BG596" s="3">
        <f>+IF(AVANCE[[#This Row],[VENTANAS]]=8.10810810810811%,100%,AVANCE[[#This Row],[VENTANAS]])</f>
        <v>0</v>
      </c>
      <c r="BH596" s="3">
        <f>+IF(AVANCE[[#This Row],[PISO]]=N$2,100%,AVANCE[[#This Row],[PISO]])</f>
        <v>0</v>
      </c>
      <c r="BI596" s="3">
        <f>+IF(AVANCE[[#This Row],[TABIQUES]]=O$2,100%,AVANCE[[#This Row],[TABIQUES]])</f>
        <v>0</v>
      </c>
      <c r="BJ596" s="3">
        <f>+IF(AVANCE[[#This Row],[MUROS]]=P$2,100%,AVANCE[[#This Row],[MUROS]])</f>
        <v>0</v>
      </c>
      <c r="BK596" s="3">
        <f>+IF(AVANCE[[#This Row],[CIELO]]=Q$2,100%,AVANCE[[#This Row],[CIELO]])</f>
        <v>0</v>
      </c>
      <c r="BL596" s="3">
        <f>+IF(AVANCE[[#This Row],[BALCÓN]]=R$2,100%,AVANCE[[#This Row],[BALCÓN]])</f>
        <v>0</v>
      </c>
      <c r="BM596" s="3">
        <f>+IF(AVANCE[[#This Row],[RED ALCANTARILLADO]]=U$2,100%,AVANCE[[#This Row],[RED ALCANTARILLADO]])</f>
        <v>0</v>
      </c>
      <c r="BN596" s="3">
        <f>+IF(AVANCE[[#This Row],[RED DE AGUA]]=V$2,100%,AVANCE[[#This Row],[RED DE AGUA]])</f>
        <v>0</v>
      </c>
      <c r="BO596" s="3">
        <f>+IF(AVANCE[[#This Row],[VENTILACIONES]]=W$2,100%,AVANCE[[#This Row],[VENTILACIONES]])</f>
        <v>0</v>
      </c>
      <c r="BP596" s="3">
        <f>+IF(AVANCE[[#This Row],[TINA]]=X$2,100%,AVANCE[[#This Row],[TINA]])</f>
        <v>0</v>
      </c>
      <c r="BQ596" s="3">
        <f>+IF(AVANCE[[#This Row],[WC]]=Y$2,100%,AVANCE[[#This Row],[WC]])</f>
        <v>0</v>
      </c>
      <c r="BR596" s="3">
        <f>+IF(AVANCE[[#This Row],[LAVAMANOS / LAVAPLATOS / LAVADERO]]=Z$2,100%,AVANCE[[#This Row],[LAVAMANOS / LAVAPLATOS / LAVADERO]])</f>
        <v>0</v>
      </c>
      <c r="BS596" s="3">
        <f>+IF(AVANCE[[#This Row],[CANALIZACIÓN]]=AC$2,100%,AVANCE[[#This Row],[CANALIZACIÓN]])</f>
        <v>0</v>
      </c>
      <c r="BT596" s="3">
        <f>+IF(AVANCE[[#This Row],[CABLEADO]]=AD$2,100%,AVANCE[[#This Row],[CABLEADO]])</f>
        <v>0</v>
      </c>
      <c r="BU596" s="3">
        <f>+IF(AVANCE[[#This Row],[ARTEFACTOS]]=AE$2,100%,AVANCE[[#This Row],[ARTEFACTOS]])</f>
        <v>0</v>
      </c>
      <c r="BV596" s="3">
        <f>+IF(AVANCE[[#This Row],[TABLERO]]=AF$2,100%,AVANCE[[#This Row],[TABLERO]])</f>
        <v>0</v>
      </c>
      <c r="BW596" s="3">
        <f>+IF(AVANCE[[#This Row],[CAJA PAU]]=AG$2,100%,AVANCE[[#This Row],[CAJA PAU]])</f>
        <v>0</v>
      </c>
      <c r="BX596" s="3">
        <f>+IF(AVANCE[[#This Row],[INSTALACION VINILICO]]=AJ$2,100%,AVANCE[[#This Row],[INSTALACION VINILICO]])</f>
        <v>0</v>
      </c>
      <c r="BY596" s="3">
        <f>+IF(AVANCE[[#This Row],[OSB CUBIERTA]]=AK$2,100%,AVANCE[[#This Row],[OSB CUBIERTA]])</f>
        <v>0</v>
      </c>
      <c r="BZ596" s="3">
        <f>+IF(AVANCE[[#This Row],[BARANDA BALCON]]=AL$2,100%,AVANCE[[#This Row],[BARANDA BALCON]])</f>
        <v>0</v>
      </c>
      <c r="CA596" s="3">
        <f>+IF(AVANCE[[#This Row],[OSB EXTERIOR]]=AM$2,100%,AVANCE[[#This Row],[OSB EXTERIOR]])</f>
        <v>0</v>
      </c>
      <c r="CB596" s="3">
        <f>+IF(AVANCE[[#This Row],[SMART PANEL]]=AN$2,100%,AVANCE[[#This Row],[SMART PANEL]])</f>
        <v>0</v>
      </c>
      <c r="CC596" s="3">
        <f>+IF(AVANCE[[#This Row],[PINTURA EXTERIOR]]=AO$2,100%,AVANCE[[#This Row],[PINTURA EXTERIOR]])</f>
        <v>0</v>
      </c>
      <c r="CD596" s="3">
        <f>+IF(AVANCE[[#This Row],[ZOCALOS LOGIA]]=AP$2,100%,AVANCE[[#This Row],[ZOCALOS LOGIA]])</f>
        <v>0</v>
      </c>
      <c r="CE596" s="3">
        <f>+IF(AVANCE[[#This Row],[MOLDURAS]]=AQ$2,100%,AVANCE[[#This Row],[MOLDURAS]])</f>
        <v>0</v>
      </c>
      <c r="CF596" s="3">
        <f>+IF(AVANCE[[#This Row],[PILASTREO]]=AR$2,100%,AVANCE[[#This Row],[PILASTREO]])</f>
        <v>0</v>
      </c>
      <c r="CG596" s="3">
        <f>+IF(AVANCE[[#This Row],[CELOSIAS]]=AS$2,100%,AVANCE[[#This Row],[CELOSIAS]])</f>
        <v>0</v>
      </c>
      <c r="CH596" s="3">
        <f>+IF(AVANCE[[#This Row],[VENTANAS]]=AT$2,100%,AVANCE[[#This Row],[VENTANAS]])</f>
        <v>0</v>
      </c>
      <c r="CI596" s="3">
        <f>+IF(AVANCE[[#This Row],[PUERTAS ACCESO - LOGIA - BANO]]=AU$2,100%,AVANCE[[#This Row],[PUERTAS ACCESO - LOGIA - BANO]])</f>
        <v>0</v>
      </c>
      <c r="CJ596" s="3">
        <f>+IF(AVANCE[[#This Row],[CERRADURAS]]=AV$2,100%,AVANCE[[#This Row],[CERRADURAS]])</f>
        <v>0</v>
      </c>
      <c r="CK596" s="3">
        <f>+IF(AVANCE[[#This Row],[REVESTIMIENTO INTERIOR ZONA SECA]]=AW$2,100%,AVANCE[[#This Row],[REVESTIMIENTO INTERIOR ZONA SECA]])</f>
        <v>0</v>
      </c>
      <c r="CL596" s="3">
        <f>+IF(AVANCE[[#This Row],[REVESTIMIENTO INTERIOR ZONAS HUMEDAS]]=AX$2,100%,AVANCE[[#This Row],[REVESTIMIENTO INTERIOR ZONAS HUMEDAS]])</f>
        <v>0</v>
      </c>
      <c r="CM596" s="3">
        <f>+IF(AVANCE[[#This Row],[MEMBRANA CIELO]]=AY$2,100%,AVANCE[[#This Row],[MEMBRANA CIELO]])</f>
        <v>0</v>
      </c>
      <c r="CN596" s="3">
        <f>+IF(AVANCE[[#This Row],[LIMPIEZA FINAL]]=AZ$2,100%,AVANCE[[#This Row],[LIMPIEZA FINAL]])</f>
        <v>0</v>
      </c>
      <c r="CO596" s="3">
        <f>+IF(AVANCE[[#This Row],[PUERTAS DORMITORIO]]=BA$2,100%,AVANCE[[#This Row],[PUERTAS DORMITORIO]])</f>
        <v>0</v>
      </c>
      <c r="CP596" s="3">
        <f>+IF(AVANCE[[#This Row],[REVESTIMIENTO INTERIOR BANO]]=BB$2,100%,AVANCE[[#This Row],[REVESTIMIENTO INTERIOR BANO]])</f>
        <v>0</v>
      </c>
      <c r="CQ596" s="3">
        <f>+IF(AVANCE[[#This Row],[MUEBLE LAVAPLATOS]]=BC$2,100%,AVANCE[[#This Row],[MUEBLE LAVAPLATOS]])</f>
        <v>0</v>
      </c>
      <c r="CR596" s="3">
        <f>+IF(AVANCE[[#This Row],[IMPERMEABILIZACION BANO - COCINA LOGIA]]=BD$2,100%,AVANCE[[#This Row],[IMPERMEABILIZACION BANO - COCINA LOGIA]])</f>
        <v>0</v>
      </c>
      <c r="CS596" s="40">
        <f ca="1">+IF(AVANCE[[#This Row],[ESTADO MODULO]]="PENDIENTE",(TODAY()-AVANCE[[#This Row],[FECHA TERMINO  PLANIFICADO]]),0)</f>
        <v>0</v>
      </c>
      <c r="CT596" s="41" t="str" cm="1">
        <f t="array" ref="CT596">_xlfn.TEXTJOIN(" | ",TRUE,IF(SUMPRODUCT((BG596:CR596&lt;1)*(PARTIDAS!$I$2:$AT$2="OBRA GRUESA"))&gt;0,"OBRA GRUESA: "&amp;_xlfn.TEXTJOIN(", ",TRUE,IF((BG596:CR596&lt;1)*(PARTIDAS!$I$2:$AT$2="OBRA GRUESA"),PARTIDAS!$I$1:$AT$1,"")),""),IF(SUMPRODUCT((BG596:CR596&lt;1)*(PARTIDAS!$I$2:$AT$2="SANITARIOS"))&gt;0,"SANITARIOS: "&amp;_xlfn.TEXTJOIN(", ",TRUE,IF((BG596:CR596&lt;1)*(PARTIDAS!$I$2:$AT$2="SANITARIOS"),PARTIDAS!$I$1:$AT$1,"")),""),IF(SUMPRODUCT((BG596:CR596&lt;1)*(PARTIDAS!$I$2:$AT$2="ELÉCTRICO"))&gt;0,"ELÉCTRICO: "&amp;_xlfn.TEXTJOIN(", ",TRUE,IF((BG596:CR596&lt;1)*(PARTIDAS!$I$2:$AT$2="ELÉCTRICO"),PARTIDAS!$I$1:$AT$1,"")),""),IF(SUMPRODUCT((BG596:CR596&lt;1)*(PARTIDAS!$I$2:$AT$2="TERMINACIONES"))&gt;0,"TERMINACIONES: "&amp;_xlfn.TEXTJOIN(", ",TRUE,IF((BG596:CR596&lt;1)*(PARTIDAS!$I$2:$AT$2="TERMINACIONES"),PARTIDAS!$I$1:$AT$1,"")),""))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6" s="43" t="str" cm="1">
        <f t="array" ref="CU596">_xlfn.TEXTJOIN(", ",TRUE,IF(SUMPRODUCT((BG596:CR596&lt;1)*(PARTIDAS!$I$2:$AT$2="OBRA GRUESA"))&gt;0,"OBRA GRUESA",""),IF(SUMPRODUCT((BG596:CR596&lt;1)*(PARTIDAS!$I$2:$AT$2="SANITARIOS"))&gt;0,"SANITARIOS",""),IF(SUMPRODUCT((BG596:CR596&lt;1)*(PARTIDAS!$I$2:$AT$2="ELÉCTRICO"))&gt;0,"ELÉCTRICO",""),IF(SUMPRODUCT((BG596:CR596&lt;1)*(PARTIDAS!$I$2:$AT$2="TERMINACIONES"))&gt;0,"TERMINACIONES",""))</f>
        <v>OBRA GRUESA, SANITARIOS, ELÉCTRICO, TERMINACIONES</v>
      </c>
      <c r="CV596" s="44" cm="1">
        <f t="array" ref="CV596">SUMPRODUCT(--(BG596:CR596&lt;1))</f>
        <v>38</v>
      </c>
    </row>
    <row r="597" spans="1:100" hidden="1" x14ac:dyDescent="0.25">
      <c r="A597" t="s">
        <v>652</v>
      </c>
      <c r="B597" t="s">
        <v>672</v>
      </c>
      <c r="C597">
        <v>2282600596</v>
      </c>
      <c r="D597" t="s">
        <v>58</v>
      </c>
      <c r="E597" s="2">
        <v>0</v>
      </c>
      <c r="F597" s="1">
        <v>46437</v>
      </c>
      <c r="G597" s="1"/>
      <c r="H597" s="1">
        <v>0</v>
      </c>
      <c r="I597" s="1">
        <v>46457</v>
      </c>
      <c r="J597">
        <v>46230</v>
      </c>
      <c r="K597" s="1"/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>
        <v>28.87</v>
      </c>
      <c r="BF597" s="3" t="str">
        <f>+IF(AVANCE[[#This Row],[% AVANCE]]=100%,"MODULO TERMINADO",IF(AVANCE[[#This Row],[FECHA INICIO REAL]]="","MODULO NO INICIADO","PENDIENTE"))</f>
        <v>MODULO NO INICIADO</v>
      </c>
      <c r="BG597" s="3">
        <f>+IF(AVANCE[[#This Row],[VENTANAS]]=8.10810810810811%,100%,AVANCE[[#This Row],[VENTANAS]])</f>
        <v>0</v>
      </c>
      <c r="BH597" s="3">
        <f>+IF(AVANCE[[#This Row],[PISO]]=N$2,100%,AVANCE[[#This Row],[PISO]])</f>
        <v>0</v>
      </c>
      <c r="BI597" s="3">
        <f>+IF(AVANCE[[#This Row],[TABIQUES]]=O$2,100%,AVANCE[[#This Row],[TABIQUES]])</f>
        <v>0</v>
      </c>
      <c r="BJ597" s="3">
        <f>+IF(AVANCE[[#This Row],[MUROS]]=P$2,100%,AVANCE[[#This Row],[MUROS]])</f>
        <v>0</v>
      </c>
      <c r="BK597" s="3">
        <f>+IF(AVANCE[[#This Row],[CIELO]]=Q$2,100%,AVANCE[[#This Row],[CIELO]])</f>
        <v>0</v>
      </c>
      <c r="BL597" s="3">
        <f>+IF(AVANCE[[#This Row],[BALCÓN]]=R$2,100%,AVANCE[[#This Row],[BALCÓN]])</f>
        <v>0</v>
      </c>
      <c r="BM597" s="3">
        <f>+IF(AVANCE[[#This Row],[RED ALCANTARILLADO]]=U$2,100%,AVANCE[[#This Row],[RED ALCANTARILLADO]])</f>
        <v>0</v>
      </c>
      <c r="BN597" s="3">
        <f>+IF(AVANCE[[#This Row],[RED DE AGUA]]=V$2,100%,AVANCE[[#This Row],[RED DE AGUA]])</f>
        <v>0</v>
      </c>
      <c r="BO597" s="3">
        <f>+IF(AVANCE[[#This Row],[VENTILACIONES]]=W$2,100%,AVANCE[[#This Row],[VENTILACIONES]])</f>
        <v>0</v>
      </c>
      <c r="BP597" s="3">
        <f>+IF(AVANCE[[#This Row],[TINA]]=X$2,100%,AVANCE[[#This Row],[TINA]])</f>
        <v>0</v>
      </c>
      <c r="BQ597" s="3">
        <f>+IF(AVANCE[[#This Row],[WC]]=Y$2,100%,AVANCE[[#This Row],[WC]])</f>
        <v>0</v>
      </c>
      <c r="BR597" s="3">
        <f>+IF(AVANCE[[#This Row],[LAVAMANOS / LAVAPLATOS / LAVADERO]]=Z$2,100%,AVANCE[[#This Row],[LAVAMANOS / LAVAPLATOS / LAVADERO]])</f>
        <v>0</v>
      </c>
      <c r="BS597" s="3">
        <f>+IF(AVANCE[[#This Row],[CANALIZACIÓN]]=AC$2,100%,AVANCE[[#This Row],[CANALIZACIÓN]])</f>
        <v>0</v>
      </c>
      <c r="BT597" s="3">
        <f>+IF(AVANCE[[#This Row],[CABLEADO]]=AD$2,100%,AVANCE[[#This Row],[CABLEADO]])</f>
        <v>0</v>
      </c>
      <c r="BU597" s="3">
        <f>+IF(AVANCE[[#This Row],[ARTEFACTOS]]=AE$2,100%,AVANCE[[#This Row],[ARTEFACTOS]])</f>
        <v>0</v>
      </c>
      <c r="BV597" s="3">
        <f>+IF(AVANCE[[#This Row],[TABLERO]]=AF$2,100%,AVANCE[[#This Row],[TABLERO]])</f>
        <v>0</v>
      </c>
      <c r="BW597" s="3">
        <f>+IF(AVANCE[[#This Row],[CAJA PAU]]=AG$2,100%,AVANCE[[#This Row],[CAJA PAU]])</f>
        <v>0</v>
      </c>
      <c r="BX597" s="3">
        <f>+IF(AVANCE[[#This Row],[INSTALACION VINILICO]]=AJ$2,100%,AVANCE[[#This Row],[INSTALACION VINILICO]])</f>
        <v>0</v>
      </c>
      <c r="BY597" s="3">
        <f>+IF(AVANCE[[#This Row],[OSB CUBIERTA]]=AK$2,100%,AVANCE[[#This Row],[OSB CUBIERTA]])</f>
        <v>0</v>
      </c>
      <c r="BZ597" s="3">
        <f>+IF(AVANCE[[#This Row],[BARANDA BALCON]]=AL$2,100%,AVANCE[[#This Row],[BARANDA BALCON]])</f>
        <v>0</v>
      </c>
      <c r="CA597" s="3">
        <f>+IF(AVANCE[[#This Row],[OSB EXTERIOR]]=AM$2,100%,AVANCE[[#This Row],[OSB EXTERIOR]])</f>
        <v>0</v>
      </c>
      <c r="CB597" s="3">
        <f>+IF(AVANCE[[#This Row],[SMART PANEL]]=AN$2,100%,AVANCE[[#This Row],[SMART PANEL]])</f>
        <v>0</v>
      </c>
      <c r="CC597" s="3">
        <f>+IF(AVANCE[[#This Row],[PINTURA EXTERIOR]]=AO$2,100%,AVANCE[[#This Row],[PINTURA EXTERIOR]])</f>
        <v>0</v>
      </c>
      <c r="CD597" s="3">
        <f>+IF(AVANCE[[#This Row],[ZOCALOS LOGIA]]=AP$2,100%,AVANCE[[#This Row],[ZOCALOS LOGIA]])</f>
        <v>0</v>
      </c>
      <c r="CE597" s="3">
        <f>+IF(AVANCE[[#This Row],[MOLDURAS]]=AQ$2,100%,AVANCE[[#This Row],[MOLDURAS]])</f>
        <v>0</v>
      </c>
      <c r="CF597" s="3">
        <f>+IF(AVANCE[[#This Row],[PILASTREO]]=AR$2,100%,AVANCE[[#This Row],[PILASTREO]])</f>
        <v>0</v>
      </c>
      <c r="CG597" s="3">
        <f>+IF(AVANCE[[#This Row],[CELOSIAS]]=AS$2,100%,AVANCE[[#This Row],[CELOSIAS]])</f>
        <v>0</v>
      </c>
      <c r="CH597" s="3">
        <f>+IF(AVANCE[[#This Row],[VENTANAS]]=AT$2,100%,AVANCE[[#This Row],[VENTANAS]])</f>
        <v>0</v>
      </c>
      <c r="CI597" s="3">
        <f>+IF(AVANCE[[#This Row],[PUERTAS ACCESO - LOGIA - BANO]]=AU$2,100%,AVANCE[[#This Row],[PUERTAS ACCESO - LOGIA - BANO]])</f>
        <v>0</v>
      </c>
      <c r="CJ597" s="3">
        <f>+IF(AVANCE[[#This Row],[CERRADURAS]]=AV$2,100%,AVANCE[[#This Row],[CERRADURAS]])</f>
        <v>0</v>
      </c>
      <c r="CK597" s="3">
        <f>+IF(AVANCE[[#This Row],[REVESTIMIENTO INTERIOR ZONA SECA]]=AW$2,100%,AVANCE[[#This Row],[REVESTIMIENTO INTERIOR ZONA SECA]])</f>
        <v>0</v>
      </c>
      <c r="CL597" s="3">
        <f>+IF(AVANCE[[#This Row],[REVESTIMIENTO INTERIOR ZONAS HUMEDAS]]=AX$2,100%,AVANCE[[#This Row],[REVESTIMIENTO INTERIOR ZONAS HUMEDAS]])</f>
        <v>0</v>
      </c>
      <c r="CM597" s="3">
        <f>+IF(AVANCE[[#This Row],[MEMBRANA CIELO]]=AY$2,100%,AVANCE[[#This Row],[MEMBRANA CIELO]])</f>
        <v>0</v>
      </c>
      <c r="CN597" s="3">
        <f>+IF(AVANCE[[#This Row],[LIMPIEZA FINAL]]=AZ$2,100%,AVANCE[[#This Row],[LIMPIEZA FINAL]])</f>
        <v>0</v>
      </c>
      <c r="CO597" s="3">
        <f>+IF(AVANCE[[#This Row],[PUERTAS DORMITORIO]]=BA$2,100%,AVANCE[[#This Row],[PUERTAS DORMITORIO]])</f>
        <v>0</v>
      </c>
      <c r="CP597" s="3">
        <f>+IF(AVANCE[[#This Row],[REVESTIMIENTO INTERIOR BANO]]=BB$2,100%,AVANCE[[#This Row],[REVESTIMIENTO INTERIOR BANO]])</f>
        <v>0</v>
      </c>
      <c r="CQ597" s="3">
        <f>+IF(AVANCE[[#This Row],[MUEBLE LAVAPLATOS]]=BC$2,100%,AVANCE[[#This Row],[MUEBLE LAVAPLATOS]])</f>
        <v>0</v>
      </c>
      <c r="CR597" s="3">
        <f>+IF(AVANCE[[#This Row],[IMPERMEABILIZACION BANO - COCINA LOGIA]]=BD$2,100%,AVANCE[[#This Row],[IMPERMEABILIZACION BANO - COCINA LOGIA]])</f>
        <v>0</v>
      </c>
      <c r="CS597" s="40">
        <f ca="1">+IF(AVANCE[[#This Row],[ESTADO MODULO]]="PENDIENTE",(TODAY()-AVANCE[[#This Row],[FECHA TERMINO  PLANIFICADO]]),0)</f>
        <v>0</v>
      </c>
      <c r="CT597" s="41" t="str" cm="1">
        <f t="array" ref="CT597">_xlfn.TEXTJOIN(" | ",TRUE,IF(SUMPRODUCT((BG597:CR597&lt;1)*(PARTIDAS!$I$2:$AT$2="OBRA GRUESA"))&gt;0,"OBRA GRUESA: "&amp;_xlfn.TEXTJOIN(", ",TRUE,IF((BG597:CR597&lt;1)*(PARTIDAS!$I$2:$AT$2="OBRA GRUESA"),PARTIDAS!$I$1:$AT$1,"")),""),IF(SUMPRODUCT((BG597:CR597&lt;1)*(PARTIDAS!$I$2:$AT$2="SANITARIOS"))&gt;0,"SANITARIOS: "&amp;_xlfn.TEXTJOIN(", ",TRUE,IF((BG597:CR597&lt;1)*(PARTIDAS!$I$2:$AT$2="SANITARIOS"),PARTIDAS!$I$1:$AT$1,"")),""),IF(SUMPRODUCT((BG597:CR597&lt;1)*(PARTIDAS!$I$2:$AT$2="ELÉCTRICO"))&gt;0,"ELÉCTRICO: "&amp;_xlfn.TEXTJOIN(", ",TRUE,IF((BG597:CR597&lt;1)*(PARTIDAS!$I$2:$AT$2="ELÉCTRICO"),PARTIDAS!$I$1:$AT$1,"")),""),IF(SUMPRODUCT((BG597:CR597&lt;1)*(PARTIDAS!$I$2:$AT$2="TERMINACIONES"))&gt;0,"TERMINACIONES: "&amp;_xlfn.TEXTJOIN(", ",TRUE,IF((BG597:CR597&lt;1)*(PARTIDAS!$I$2:$AT$2="TERMINACIONES"),PARTIDAS!$I$1:$AT$1,"")),""))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7" s="43" t="str" cm="1">
        <f t="array" ref="CU597">_xlfn.TEXTJOIN(", ",TRUE,IF(SUMPRODUCT((BG597:CR597&lt;1)*(PARTIDAS!$I$2:$AT$2="OBRA GRUESA"))&gt;0,"OBRA GRUESA",""),IF(SUMPRODUCT((BG597:CR597&lt;1)*(PARTIDAS!$I$2:$AT$2="SANITARIOS"))&gt;0,"SANITARIOS",""),IF(SUMPRODUCT((BG597:CR597&lt;1)*(PARTIDAS!$I$2:$AT$2="ELÉCTRICO"))&gt;0,"ELÉCTRICO",""),IF(SUMPRODUCT((BG597:CR597&lt;1)*(PARTIDAS!$I$2:$AT$2="TERMINACIONES"))&gt;0,"TERMINACIONES",""))</f>
        <v>OBRA GRUESA, SANITARIOS, ELÉCTRICO, TERMINACIONES</v>
      </c>
      <c r="CV597" s="44" cm="1">
        <f t="array" ref="CV597">SUMPRODUCT(--(BG597:CR597&lt;1))</f>
        <v>38</v>
      </c>
    </row>
    <row r="598" spans="1:100" hidden="1" x14ac:dyDescent="0.25">
      <c r="A598" t="s">
        <v>652</v>
      </c>
      <c r="B598" t="s">
        <v>673</v>
      </c>
      <c r="C598">
        <v>2282600597</v>
      </c>
      <c r="D598" t="s">
        <v>58</v>
      </c>
      <c r="E598" s="2">
        <v>0</v>
      </c>
      <c r="F598" s="1">
        <v>46437</v>
      </c>
      <c r="G598" s="1"/>
      <c r="H598" s="1">
        <v>0</v>
      </c>
      <c r="I598" s="1">
        <v>46457</v>
      </c>
      <c r="J598">
        <v>46230</v>
      </c>
      <c r="K598" s="1"/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>
        <v>28.87</v>
      </c>
      <c r="BF598" s="3" t="str">
        <f>+IF(AVANCE[[#This Row],[% AVANCE]]=100%,"MODULO TERMINADO",IF(AVANCE[[#This Row],[FECHA INICIO REAL]]="","MODULO NO INICIADO","PENDIENTE"))</f>
        <v>MODULO NO INICIADO</v>
      </c>
      <c r="BG598" s="3">
        <f>+IF(AVANCE[[#This Row],[VENTANAS]]=8.10810810810811%,100%,AVANCE[[#This Row],[VENTANAS]])</f>
        <v>0</v>
      </c>
      <c r="BH598" s="3">
        <f>+IF(AVANCE[[#This Row],[PISO]]=N$2,100%,AVANCE[[#This Row],[PISO]])</f>
        <v>0</v>
      </c>
      <c r="BI598" s="3">
        <f>+IF(AVANCE[[#This Row],[TABIQUES]]=O$2,100%,AVANCE[[#This Row],[TABIQUES]])</f>
        <v>0</v>
      </c>
      <c r="BJ598" s="3">
        <f>+IF(AVANCE[[#This Row],[MUROS]]=P$2,100%,AVANCE[[#This Row],[MUROS]])</f>
        <v>0</v>
      </c>
      <c r="BK598" s="3">
        <f>+IF(AVANCE[[#This Row],[CIELO]]=Q$2,100%,AVANCE[[#This Row],[CIELO]])</f>
        <v>0</v>
      </c>
      <c r="BL598" s="3">
        <f>+IF(AVANCE[[#This Row],[BALCÓN]]=R$2,100%,AVANCE[[#This Row],[BALCÓN]])</f>
        <v>0</v>
      </c>
      <c r="BM598" s="3">
        <f>+IF(AVANCE[[#This Row],[RED ALCANTARILLADO]]=U$2,100%,AVANCE[[#This Row],[RED ALCANTARILLADO]])</f>
        <v>0</v>
      </c>
      <c r="BN598" s="3">
        <f>+IF(AVANCE[[#This Row],[RED DE AGUA]]=V$2,100%,AVANCE[[#This Row],[RED DE AGUA]])</f>
        <v>0</v>
      </c>
      <c r="BO598" s="3">
        <f>+IF(AVANCE[[#This Row],[VENTILACIONES]]=W$2,100%,AVANCE[[#This Row],[VENTILACIONES]])</f>
        <v>0</v>
      </c>
      <c r="BP598" s="3">
        <f>+IF(AVANCE[[#This Row],[TINA]]=X$2,100%,AVANCE[[#This Row],[TINA]])</f>
        <v>0</v>
      </c>
      <c r="BQ598" s="3">
        <f>+IF(AVANCE[[#This Row],[WC]]=Y$2,100%,AVANCE[[#This Row],[WC]])</f>
        <v>0</v>
      </c>
      <c r="BR598" s="3">
        <f>+IF(AVANCE[[#This Row],[LAVAMANOS / LAVAPLATOS / LAVADERO]]=Z$2,100%,AVANCE[[#This Row],[LAVAMANOS / LAVAPLATOS / LAVADERO]])</f>
        <v>0</v>
      </c>
      <c r="BS598" s="3">
        <f>+IF(AVANCE[[#This Row],[CANALIZACIÓN]]=AC$2,100%,AVANCE[[#This Row],[CANALIZACIÓN]])</f>
        <v>0</v>
      </c>
      <c r="BT598" s="3">
        <f>+IF(AVANCE[[#This Row],[CABLEADO]]=AD$2,100%,AVANCE[[#This Row],[CABLEADO]])</f>
        <v>0</v>
      </c>
      <c r="BU598" s="3">
        <f>+IF(AVANCE[[#This Row],[ARTEFACTOS]]=AE$2,100%,AVANCE[[#This Row],[ARTEFACTOS]])</f>
        <v>0</v>
      </c>
      <c r="BV598" s="3">
        <f>+IF(AVANCE[[#This Row],[TABLERO]]=AF$2,100%,AVANCE[[#This Row],[TABLERO]])</f>
        <v>0</v>
      </c>
      <c r="BW598" s="3">
        <f>+IF(AVANCE[[#This Row],[CAJA PAU]]=AG$2,100%,AVANCE[[#This Row],[CAJA PAU]])</f>
        <v>0</v>
      </c>
      <c r="BX598" s="3">
        <f>+IF(AVANCE[[#This Row],[INSTALACION VINILICO]]=AJ$2,100%,AVANCE[[#This Row],[INSTALACION VINILICO]])</f>
        <v>0</v>
      </c>
      <c r="BY598" s="3">
        <f>+IF(AVANCE[[#This Row],[OSB CUBIERTA]]=AK$2,100%,AVANCE[[#This Row],[OSB CUBIERTA]])</f>
        <v>0</v>
      </c>
      <c r="BZ598" s="3">
        <f>+IF(AVANCE[[#This Row],[BARANDA BALCON]]=AL$2,100%,AVANCE[[#This Row],[BARANDA BALCON]])</f>
        <v>0</v>
      </c>
      <c r="CA598" s="3">
        <f>+IF(AVANCE[[#This Row],[OSB EXTERIOR]]=AM$2,100%,AVANCE[[#This Row],[OSB EXTERIOR]])</f>
        <v>0</v>
      </c>
      <c r="CB598" s="3">
        <f>+IF(AVANCE[[#This Row],[SMART PANEL]]=AN$2,100%,AVANCE[[#This Row],[SMART PANEL]])</f>
        <v>0</v>
      </c>
      <c r="CC598" s="3">
        <f>+IF(AVANCE[[#This Row],[PINTURA EXTERIOR]]=AO$2,100%,AVANCE[[#This Row],[PINTURA EXTERIOR]])</f>
        <v>0</v>
      </c>
      <c r="CD598" s="3">
        <f>+IF(AVANCE[[#This Row],[ZOCALOS LOGIA]]=AP$2,100%,AVANCE[[#This Row],[ZOCALOS LOGIA]])</f>
        <v>0</v>
      </c>
      <c r="CE598" s="3">
        <f>+IF(AVANCE[[#This Row],[MOLDURAS]]=AQ$2,100%,AVANCE[[#This Row],[MOLDURAS]])</f>
        <v>0</v>
      </c>
      <c r="CF598" s="3">
        <f>+IF(AVANCE[[#This Row],[PILASTREO]]=AR$2,100%,AVANCE[[#This Row],[PILASTREO]])</f>
        <v>0</v>
      </c>
      <c r="CG598" s="3">
        <f>+IF(AVANCE[[#This Row],[CELOSIAS]]=AS$2,100%,AVANCE[[#This Row],[CELOSIAS]])</f>
        <v>0</v>
      </c>
      <c r="CH598" s="3">
        <f>+IF(AVANCE[[#This Row],[VENTANAS]]=AT$2,100%,AVANCE[[#This Row],[VENTANAS]])</f>
        <v>0</v>
      </c>
      <c r="CI598" s="3">
        <f>+IF(AVANCE[[#This Row],[PUERTAS ACCESO - LOGIA - BANO]]=AU$2,100%,AVANCE[[#This Row],[PUERTAS ACCESO - LOGIA - BANO]])</f>
        <v>0</v>
      </c>
      <c r="CJ598" s="3">
        <f>+IF(AVANCE[[#This Row],[CERRADURAS]]=AV$2,100%,AVANCE[[#This Row],[CERRADURAS]])</f>
        <v>0</v>
      </c>
      <c r="CK598" s="3">
        <f>+IF(AVANCE[[#This Row],[REVESTIMIENTO INTERIOR ZONA SECA]]=AW$2,100%,AVANCE[[#This Row],[REVESTIMIENTO INTERIOR ZONA SECA]])</f>
        <v>0</v>
      </c>
      <c r="CL598" s="3">
        <f>+IF(AVANCE[[#This Row],[REVESTIMIENTO INTERIOR ZONAS HUMEDAS]]=AX$2,100%,AVANCE[[#This Row],[REVESTIMIENTO INTERIOR ZONAS HUMEDAS]])</f>
        <v>0</v>
      </c>
      <c r="CM598" s="3">
        <f>+IF(AVANCE[[#This Row],[MEMBRANA CIELO]]=AY$2,100%,AVANCE[[#This Row],[MEMBRANA CIELO]])</f>
        <v>0</v>
      </c>
      <c r="CN598" s="3">
        <f>+IF(AVANCE[[#This Row],[LIMPIEZA FINAL]]=AZ$2,100%,AVANCE[[#This Row],[LIMPIEZA FINAL]])</f>
        <v>0</v>
      </c>
      <c r="CO598" s="3">
        <f>+IF(AVANCE[[#This Row],[PUERTAS DORMITORIO]]=BA$2,100%,AVANCE[[#This Row],[PUERTAS DORMITORIO]])</f>
        <v>0</v>
      </c>
      <c r="CP598" s="3">
        <f>+IF(AVANCE[[#This Row],[REVESTIMIENTO INTERIOR BANO]]=BB$2,100%,AVANCE[[#This Row],[REVESTIMIENTO INTERIOR BANO]])</f>
        <v>0</v>
      </c>
      <c r="CQ598" s="3">
        <f>+IF(AVANCE[[#This Row],[MUEBLE LAVAPLATOS]]=BC$2,100%,AVANCE[[#This Row],[MUEBLE LAVAPLATOS]])</f>
        <v>0</v>
      </c>
      <c r="CR598" s="3">
        <f>+IF(AVANCE[[#This Row],[IMPERMEABILIZACION BANO - COCINA LOGIA]]=BD$2,100%,AVANCE[[#This Row],[IMPERMEABILIZACION BANO - COCINA LOGIA]])</f>
        <v>0</v>
      </c>
      <c r="CS598" s="40">
        <f ca="1">+IF(AVANCE[[#This Row],[ESTADO MODULO]]="PENDIENTE",(TODAY()-AVANCE[[#This Row],[FECHA TERMINO  PLANIFICADO]]),0)</f>
        <v>0</v>
      </c>
      <c r="CT598" s="41" t="str" cm="1">
        <f t="array" ref="CT598">_xlfn.TEXTJOIN(" | ",TRUE,IF(SUMPRODUCT((BG598:CR598&lt;1)*(PARTIDAS!$I$2:$AT$2="OBRA GRUESA"))&gt;0,"OBRA GRUESA: "&amp;_xlfn.TEXTJOIN(", ",TRUE,IF((BG598:CR598&lt;1)*(PARTIDAS!$I$2:$AT$2="OBRA GRUESA"),PARTIDAS!$I$1:$AT$1,"")),""),IF(SUMPRODUCT((BG598:CR598&lt;1)*(PARTIDAS!$I$2:$AT$2="SANITARIOS"))&gt;0,"SANITARIOS: "&amp;_xlfn.TEXTJOIN(", ",TRUE,IF((BG598:CR598&lt;1)*(PARTIDAS!$I$2:$AT$2="SANITARIOS"),PARTIDAS!$I$1:$AT$1,"")),""),IF(SUMPRODUCT((BG598:CR598&lt;1)*(PARTIDAS!$I$2:$AT$2="ELÉCTRICO"))&gt;0,"ELÉCTRICO: "&amp;_xlfn.TEXTJOIN(", ",TRUE,IF((BG598:CR598&lt;1)*(PARTIDAS!$I$2:$AT$2="ELÉCTRICO"),PARTIDAS!$I$1:$AT$1,"")),""),IF(SUMPRODUCT((BG598:CR598&lt;1)*(PARTIDAS!$I$2:$AT$2="TERMINACIONES"))&gt;0,"TERMINACIONES: "&amp;_xlfn.TEXTJOIN(", ",TRUE,IF((BG598:CR598&lt;1)*(PARTIDAS!$I$2:$AT$2="TERMINACIONES"),PARTIDAS!$I$1:$AT$1,"")),""))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8" s="43" t="str" cm="1">
        <f t="array" ref="CU598">_xlfn.TEXTJOIN(", ",TRUE,IF(SUMPRODUCT((BG598:CR598&lt;1)*(PARTIDAS!$I$2:$AT$2="OBRA GRUESA"))&gt;0,"OBRA GRUESA",""),IF(SUMPRODUCT((BG598:CR598&lt;1)*(PARTIDAS!$I$2:$AT$2="SANITARIOS"))&gt;0,"SANITARIOS",""),IF(SUMPRODUCT((BG598:CR598&lt;1)*(PARTIDAS!$I$2:$AT$2="ELÉCTRICO"))&gt;0,"ELÉCTRICO",""),IF(SUMPRODUCT((BG598:CR598&lt;1)*(PARTIDAS!$I$2:$AT$2="TERMINACIONES"))&gt;0,"TERMINACIONES",""))</f>
        <v>OBRA GRUESA, SANITARIOS, ELÉCTRICO, TERMINACIONES</v>
      </c>
      <c r="CV598" s="44" cm="1">
        <f t="array" ref="CV598">SUMPRODUCT(--(BG598:CR598&lt;1))</f>
        <v>38</v>
      </c>
    </row>
    <row r="599" spans="1:100" hidden="1" x14ac:dyDescent="0.25">
      <c r="A599" t="s">
        <v>652</v>
      </c>
      <c r="B599" t="s">
        <v>674</v>
      </c>
      <c r="C599">
        <v>2302600598</v>
      </c>
      <c r="D599" t="s">
        <v>60</v>
      </c>
      <c r="E599" s="2">
        <v>0</v>
      </c>
      <c r="F599" s="1">
        <v>46437</v>
      </c>
      <c r="G599" s="1"/>
      <c r="H599" s="1">
        <v>0</v>
      </c>
      <c r="I599" s="1">
        <v>46467</v>
      </c>
      <c r="J599">
        <v>46230</v>
      </c>
      <c r="K599" s="1"/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>
        <v>31.32</v>
      </c>
      <c r="BF599" s="3" t="str">
        <f>+IF(AVANCE[[#This Row],[% AVANCE]]=100%,"MODULO TERMINADO",IF(AVANCE[[#This Row],[FECHA INICIO REAL]]="","MODULO NO INICIADO","PENDIENTE"))</f>
        <v>MODULO NO INICIADO</v>
      </c>
      <c r="BG599" s="3">
        <f>+IF(AVANCE[[#This Row],[VENTANAS]]=8.10810810810811%,100%,AVANCE[[#This Row],[VENTANAS]])</f>
        <v>0</v>
      </c>
      <c r="BH599" s="3">
        <f>+IF(AVANCE[[#This Row],[PISO]]=N$2,100%,AVANCE[[#This Row],[PISO]])</f>
        <v>0</v>
      </c>
      <c r="BI599" s="3">
        <f>+IF(AVANCE[[#This Row],[TABIQUES]]=O$2,100%,AVANCE[[#This Row],[TABIQUES]])</f>
        <v>0</v>
      </c>
      <c r="BJ599" s="3">
        <f>+IF(AVANCE[[#This Row],[MUROS]]=P$2,100%,AVANCE[[#This Row],[MUROS]])</f>
        <v>0</v>
      </c>
      <c r="BK599" s="3">
        <f>+IF(AVANCE[[#This Row],[CIELO]]=Q$2,100%,AVANCE[[#This Row],[CIELO]])</f>
        <v>0</v>
      </c>
      <c r="BL599" s="3">
        <f>+IF(AVANCE[[#This Row],[BALCÓN]]=R$2,100%,AVANCE[[#This Row],[BALCÓN]])</f>
        <v>0</v>
      </c>
      <c r="BM599" s="3">
        <f>+IF(AVANCE[[#This Row],[RED ALCANTARILLADO]]=U$2,100%,AVANCE[[#This Row],[RED ALCANTARILLADO]])</f>
        <v>0</v>
      </c>
      <c r="BN599" s="3">
        <f>+IF(AVANCE[[#This Row],[RED DE AGUA]]=V$2,100%,AVANCE[[#This Row],[RED DE AGUA]])</f>
        <v>0</v>
      </c>
      <c r="BO599" s="3">
        <f>+IF(AVANCE[[#This Row],[VENTILACIONES]]=W$2,100%,AVANCE[[#This Row],[VENTILACIONES]])</f>
        <v>0</v>
      </c>
      <c r="BP599" s="3">
        <f>+IF(AVANCE[[#This Row],[TINA]]=X$2,100%,AVANCE[[#This Row],[TINA]])</f>
        <v>0</v>
      </c>
      <c r="BQ599" s="3">
        <f>+IF(AVANCE[[#This Row],[WC]]=Y$2,100%,AVANCE[[#This Row],[WC]])</f>
        <v>0</v>
      </c>
      <c r="BR599" s="3">
        <f>+IF(AVANCE[[#This Row],[LAVAMANOS / LAVAPLATOS / LAVADERO]]=Z$2,100%,AVANCE[[#This Row],[LAVAMANOS / LAVAPLATOS / LAVADERO]])</f>
        <v>0</v>
      </c>
      <c r="BS599" s="3">
        <f>+IF(AVANCE[[#This Row],[CANALIZACIÓN]]=AC$2,100%,AVANCE[[#This Row],[CANALIZACIÓN]])</f>
        <v>0</v>
      </c>
      <c r="BT599" s="3">
        <f>+IF(AVANCE[[#This Row],[CABLEADO]]=AD$2,100%,AVANCE[[#This Row],[CABLEADO]])</f>
        <v>0</v>
      </c>
      <c r="BU599" s="3">
        <f>+IF(AVANCE[[#This Row],[ARTEFACTOS]]=AE$2,100%,AVANCE[[#This Row],[ARTEFACTOS]])</f>
        <v>0</v>
      </c>
      <c r="BV599" s="3">
        <f>+IF(AVANCE[[#This Row],[TABLERO]]=AF$2,100%,AVANCE[[#This Row],[TABLERO]])</f>
        <v>0</v>
      </c>
      <c r="BW599" s="3">
        <f>+IF(AVANCE[[#This Row],[CAJA PAU]]=AG$2,100%,AVANCE[[#This Row],[CAJA PAU]])</f>
        <v>0</v>
      </c>
      <c r="BX599" s="3">
        <f>+IF(AVANCE[[#This Row],[INSTALACION VINILICO]]=AJ$2,100%,AVANCE[[#This Row],[INSTALACION VINILICO]])</f>
        <v>0</v>
      </c>
      <c r="BY599" s="3">
        <f>+IF(AVANCE[[#This Row],[OSB CUBIERTA]]=AK$2,100%,AVANCE[[#This Row],[OSB CUBIERTA]])</f>
        <v>0</v>
      </c>
      <c r="BZ599" s="3">
        <f>+IF(AVANCE[[#This Row],[BARANDA BALCON]]=AL$2,100%,AVANCE[[#This Row],[BARANDA BALCON]])</f>
        <v>0</v>
      </c>
      <c r="CA599" s="3">
        <f>+IF(AVANCE[[#This Row],[OSB EXTERIOR]]=AM$2,100%,AVANCE[[#This Row],[OSB EXTERIOR]])</f>
        <v>0</v>
      </c>
      <c r="CB599" s="3">
        <f>+IF(AVANCE[[#This Row],[SMART PANEL]]=AN$2,100%,AVANCE[[#This Row],[SMART PANEL]])</f>
        <v>0</v>
      </c>
      <c r="CC599" s="3">
        <f>+IF(AVANCE[[#This Row],[PINTURA EXTERIOR]]=AO$2,100%,AVANCE[[#This Row],[PINTURA EXTERIOR]])</f>
        <v>0</v>
      </c>
      <c r="CD599" s="3">
        <f>+IF(AVANCE[[#This Row],[ZOCALOS LOGIA]]=AP$2,100%,AVANCE[[#This Row],[ZOCALOS LOGIA]])</f>
        <v>0</v>
      </c>
      <c r="CE599" s="3">
        <f>+IF(AVANCE[[#This Row],[MOLDURAS]]=AQ$2,100%,AVANCE[[#This Row],[MOLDURAS]])</f>
        <v>0</v>
      </c>
      <c r="CF599" s="3">
        <f>+IF(AVANCE[[#This Row],[PILASTREO]]=AR$2,100%,AVANCE[[#This Row],[PILASTREO]])</f>
        <v>0</v>
      </c>
      <c r="CG599" s="3">
        <f>+IF(AVANCE[[#This Row],[CELOSIAS]]=AS$2,100%,AVANCE[[#This Row],[CELOSIAS]])</f>
        <v>0</v>
      </c>
      <c r="CH599" s="3">
        <f>+IF(AVANCE[[#This Row],[VENTANAS]]=AT$2,100%,AVANCE[[#This Row],[VENTANAS]])</f>
        <v>0</v>
      </c>
      <c r="CI599" s="3">
        <f>+IF(AVANCE[[#This Row],[PUERTAS ACCESO - LOGIA - BANO]]=AU$2,100%,AVANCE[[#This Row],[PUERTAS ACCESO - LOGIA - BANO]])</f>
        <v>0</v>
      </c>
      <c r="CJ599" s="3">
        <f>+IF(AVANCE[[#This Row],[CERRADURAS]]=AV$2,100%,AVANCE[[#This Row],[CERRADURAS]])</f>
        <v>0</v>
      </c>
      <c r="CK599" s="3">
        <f>+IF(AVANCE[[#This Row],[REVESTIMIENTO INTERIOR ZONA SECA]]=AW$2,100%,AVANCE[[#This Row],[REVESTIMIENTO INTERIOR ZONA SECA]])</f>
        <v>0</v>
      </c>
      <c r="CL599" s="3">
        <f>+IF(AVANCE[[#This Row],[REVESTIMIENTO INTERIOR ZONAS HUMEDAS]]=AX$2,100%,AVANCE[[#This Row],[REVESTIMIENTO INTERIOR ZONAS HUMEDAS]])</f>
        <v>0</v>
      </c>
      <c r="CM599" s="3">
        <f>+IF(AVANCE[[#This Row],[MEMBRANA CIELO]]=AY$2,100%,AVANCE[[#This Row],[MEMBRANA CIELO]])</f>
        <v>0</v>
      </c>
      <c r="CN599" s="3">
        <f>+IF(AVANCE[[#This Row],[LIMPIEZA FINAL]]=AZ$2,100%,AVANCE[[#This Row],[LIMPIEZA FINAL]])</f>
        <v>0</v>
      </c>
      <c r="CO599" s="3">
        <f>+IF(AVANCE[[#This Row],[PUERTAS DORMITORIO]]=BA$2,100%,AVANCE[[#This Row],[PUERTAS DORMITORIO]])</f>
        <v>0</v>
      </c>
      <c r="CP599" s="3">
        <f>+IF(AVANCE[[#This Row],[REVESTIMIENTO INTERIOR BANO]]=BB$2,100%,AVANCE[[#This Row],[REVESTIMIENTO INTERIOR BANO]])</f>
        <v>0</v>
      </c>
      <c r="CQ599" s="3">
        <f>+IF(AVANCE[[#This Row],[MUEBLE LAVAPLATOS]]=BC$2,100%,AVANCE[[#This Row],[MUEBLE LAVAPLATOS]])</f>
        <v>0</v>
      </c>
      <c r="CR599" s="3">
        <f>+IF(AVANCE[[#This Row],[IMPERMEABILIZACION BANO - COCINA LOGIA]]=BD$2,100%,AVANCE[[#This Row],[IMPERMEABILIZACION BANO - COCINA LOGIA]])</f>
        <v>0</v>
      </c>
      <c r="CS599" s="40">
        <f ca="1">+IF(AVANCE[[#This Row],[ESTADO MODULO]]="PENDIENTE",(TODAY()-AVANCE[[#This Row],[FECHA TERMINO  PLANIFICADO]]),0)</f>
        <v>0</v>
      </c>
      <c r="CT599" s="41" t="str" cm="1">
        <f t="array" ref="CT599">_xlfn.TEXTJOIN(" | ",TRUE,IF(SUMPRODUCT((BG599:CR599&lt;1)*(PARTIDAS!$I$2:$AT$2="OBRA GRUESA"))&gt;0,"OBRA GRUESA: "&amp;_xlfn.TEXTJOIN(", ",TRUE,IF((BG599:CR599&lt;1)*(PARTIDAS!$I$2:$AT$2="OBRA GRUESA"),PARTIDAS!$I$1:$AT$1,"")),""),IF(SUMPRODUCT((BG599:CR599&lt;1)*(PARTIDAS!$I$2:$AT$2="SANITARIOS"))&gt;0,"SANITARIOS: "&amp;_xlfn.TEXTJOIN(", ",TRUE,IF((BG599:CR599&lt;1)*(PARTIDAS!$I$2:$AT$2="SANITARIOS"),PARTIDAS!$I$1:$AT$1,"")),""),IF(SUMPRODUCT((BG599:CR599&lt;1)*(PARTIDAS!$I$2:$AT$2="ELÉCTRICO"))&gt;0,"ELÉCTRICO: "&amp;_xlfn.TEXTJOIN(", ",TRUE,IF((BG599:CR599&lt;1)*(PARTIDAS!$I$2:$AT$2="ELÉCTRICO"),PARTIDAS!$I$1:$AT$1,"")),""),IF(SUMPRODUCT((BG599:CR599&lt;1)*(PARTIDAS!$I$2:$AT$2="TERMINACIONES"))&gt;0,"TERMINACIONES: "&amp;_xlfn.TEXTJOIN(", ",TRUE,IF((BG599:CR599&lt;1)*(PARTIDAS!$I$2:$AT$2="TERMINACIONES"),PARTIDAS!$I$1:$AT$1,"")),""))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599" s="43" t="str" cm="1">
        <f t="array" ref="CU599">_xlfn.TEXTJOIN(", ",TRUE,IF(SUMPRODUCT((BG599:CR599&lt;1)*(PARTIDAS!$I$2:$AT$2="OBRA GRUESA"))&gt;0,"OBRA GRUESA",""),IF(SUMPRODUCT((BG599:CR599&lt;1)*(PARTIDAS!$I$2:$AT$2="SANITARIOS"))&gt;0,"SANITARIOS",""),IF(SUMPRODUCT((BG599:CR599&lt;1)*(PARTIDAS!$I$2:$AT$2="ELÉCTRICO"))&gt;0,"ELÉCTRICO",""),IF(SUMPRODUCT((BG599:CR599&lt;1)*(PARTIDAS!$I$2:$AT$2="TERMINACIONES"))&gt;0,"TERMINACIONES",""))</f>
        <v>OBRA GRUESA, SANITARIOS, ELÉCTRICO, TERMINACIONES</v>
      </c>
      <c r="CV599" s="44" cm="1">
        <f t="array" ref="CV599">SUMPRODUCT(--(BG599:CR599&lt;1))</f>
        <v>38</v>
      </c>
    </row>
    <row r="600" spans="1:100" hidden="1" x14ac:dyDescent="0.25">
      <c r="A600" t="s">
        <v>652</v>
      </c>
      <c r="B600" t="s">
        <v>675</v>
      </c>
      <c r="C600">
        <v>2302600599</v>
      </c>
      <c r="D600" t="s">
        <v>60</v>
      </c>
      <c r="E600" s="2">
        <v>0</v>
      </c>
      <c r="F600" s="1">
        <v>46440</v>
      </c>
      <c r="G600" s="1"/>
      <c r="H600" s="1">
        <v>0</v>
      </c>
      <c r="I600" s="1">
        <v>46470</v>
      </c>
      <c r="J600">
        <v>46230</v>
      </c>
      <c r="K600" s="1"/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>
        <v>31.32</v>
      </c>
      <c r="BF600" s="3" t="str">
        <f>+IF(AVANCE[[#This Row],[% AVANCE]]=100%,"MODULO TERMINADO",IF(AVANCE[[#This Row],[FECHA INICIO REAL]]="","MODULO NO INICIADO","PENDIENTE"))</f>
        <v>MODULO NO INICIADO</v>
      </c>
      <c r="BG600" s="3">
        <f>+IF(AVANCE[[#This Row],[VENTANAS]]=8.10810810810811%,100%,AVANCE[[#This Row],[VENTANAS]])</f>
        <v>0</v>
      </c>
      <c r="BH600" s="3">
        <f>+IF(AVANCE[[#This Row],[PISO]]=N$2,100%,AVANCE[[#This Row],[PISO]])</f>
        <v>0</v>
      </c>
      <c r="BI600" s="3">
        <f>+IF(AVANCE[[#This Row],[TABIQUES]]=O$2,100%,AVANCE[[#This Row],[TABIQUES]])</f>
        <v>0</v>
      </c>
      <c r="BJ600" s="3">
        <f>+IF(AVANCE[[#This Row],[MUROS]]=P$2,100%,AVANCE[[#This Row],[MUROS]])</f>
        <v>0</v>
      </c>
      <c r="BK600" s="3">
        <f>+IF(AVANCE[[#This Row],[CIELO]]=Q$2,100%,AVANCE[[#This Row],[CIELO]])</f>
        <v>0</v>
      </c>
      <c r="BL600" s="3">
        <f>+IF(AVANCE[[#This Row],[BALCÓN]]=R$2,100%,AVANCE[[#This Row],[BALCÓN]])</f>
        <v>0</v>
      </c>
      <c r="BM600" s="3">
        <f>+IF(AVANCE[[#This Row],[RED ALCANTARILLADO]]=U$2,100%,AVANCE[[#This Row],[RED ALCANTARILLADO]])</f>
        <v>0</v>
      </c>
      <c r="BN600" s="3">
        <f>+IF(AVANCE[[#This Row],[RED DE AGUA]]=V$2,100%,AVANCE[[#This Row],[RED DE AGUA]])</f>
        <v>0</v>
      </c>
      <c r="BO600" s="3">
        <f>+IF(AVANCE[[#This Row],[VENTILACIONES]]=W$2,100%,AVANCE[[#This Row],[VENTILACIONES]])</f>
        <v>0</v>
      </c>
      <c r="BP600" s="3">
        <f>+IF(AVANCE[[#This Row],[TINA]]=X$2,100%,AVANCE[[#This Row],[TINA]])</f>
        <v>0</v>
      </c>
      <c r="BQ600" s="3">
        <f>+IF(AVANCE[[#This Row],[WC]]=Y$2,100%,AVANCE[[#This Row],[WC]])</f>
        <v>0</v>
      </c>
      <c r="BR600" s="3">
        <f>+IF(AVANCE[[#This Row],[LAVAMANOS / LAVAPLATOS / LAVADERO]]=Z$2,100%,AVANCE[[#This Row],[LAVAMANOS / LAVAPLATOS / LAVADERO]])</f>
        <v>0</v>
      </c>
      <c r="BS600" s="3">
        <f>+IF(AVANCE[[#This Row],[CANALIZACIÓN]]=AC$2,100%,AVANCE[[#This Row],[CANALIZACIÓN]])</f>
        <v>0</v>
      </c>
      <c r="BT600" s="3">
        <f>+IF(AVANCE[[#This Row],[CABLEADO]]=AD$2,100%,AVANCE[[#This Row],[CABLEADO]])</f>
        <v>0</v>
      </c>
      <c r="BU600" s="3">
        <f>+IF(AVANCE[[#This Row],[ARTEFACTOS]]=AE$2,100%,AVANCE[[#This Row],[ARTEFACTOS]])</f>
        <v>0</v>
      </c>
      <c r="BV600" s="3">
        <f>+IF(AVANCE[[#This Row],[TABLERO]]=AF$2,100%,AVANCE[[#This Row],[TABLERO]])</f>
        <v>0</v>
      </c>
      <c r="BW600" s="3">
        <f>+IF(AVANCE[[#This Row],[CAJA PAU]]=AG$2,100%,AVANCE[[#This Row],[CAJA PAU]])</f>
        <v>0</v>
      </c>
      <c r="BX600" s="3">
        <f>+IF(AVANCE[[#This Row],[INSTALACION VINILICO]]=AJ$2,100%,AVANCE[[#This Row],[INSTALACION VINILICO]])</f>
        <v>0</v>
      </c>
      <c r="BY600" s="3">
        <f>+IF(AVANCE[[#This Row],[OSB CUBIERTA]]=AK$2,100%,AVANCE[[#This Row],[OSB CUBIERTA]])</f>
        <v>0</v>
      </c>
      <c r="BZ600" s="3">
        <f>+IF(AVANCE[[#This Row],[BARANDA BALCON]]=AL$2,100%,AVANCE[[#This Row],[BARANDA BALCON]])</f>
        <v>0</v>
      </c>
      <c r="CA600" s="3">
        <f>+IF(AVANCE[[#This Row],[OSB EXTERIOR]]=AM$2,100%,AVANCE[[#This Row],[OSB EXTERIOR]])</f>
        <v>0</v>
      </c>
      <c r="CB600" s="3">
        <f>+IF(AVANCE[[#This Row],[SMART PANEL]]=AN$2,100%,AVANCE[[#This Row],[SMART PANEL]])</f>
        <v>0</v>
      </c>
      <c r="CC600" s="3">
        <f>+IF(AVANCE[[#This Row],[PINTURA EXTERIOR]]=AO$2,100%,AVANCE[[#This Row],[PINTURA EXTERIOR]])</f>
        <v>0</v>
      </c>
      <c r="CD600" s="3">
        <f>+IF(AVANCE[[#This Row],[ZOCALOS LOGIA]]=AP$2,100%,AVANCE[[#This Row],[ZOCALOS LOGIA]])</f>
        <v>0</v>
      </c>
      <c r="CE600" s="3">
        <f>+IF(AVANCE[[#This Row],[MOLDURAS]]=AQ$2,100%,AVANCE[[#This Row],[MOLDURAS]])</f>
        <v>0</v>
      </c>
      <c r="CF600" s="3">
        <f>+IF(AVANCE[[#This Row],[PILASTREO]]=AR$2,100%,AVANCE[[#This Row],[PILASTREO]])</f>
        <v>0</v>
      </c>
      <c r="CG600" s="3">
        <f>+IF(AVANCE[[#This Row],[CELOSIAS]]=AS$2,100%,AVANCE[[#This Row],[CELOSIAS]])</f>
        <v>0</v>
      </c>
      <c r="CH600" s="3">
        <f>+IF(AVANCE[[#This Row],[VENTANAS]]=AT$2,100%,AVANCE[[#This Row],[VENTANAS]])</f>
        <v>0</v>
      </c>
      <c r="CI600" s="3">
        <f>+IF(AVANCE[[#This Row],[PUERTAS ACCESO - LOGIA - BANO]]=AU$2,100%,AVANCE[[#This Row],[PUERTAS ACCESO - LOGIA - BANO]])</f>
        <v>0</v>
      </c>
      <c r="CJ600" s="3">
        <f>+IF(AVANCE[[#This Row],[CERRADURAS]]=AV$2,100%,AVANCE[[#This Row],[CERRADURAS]])</f>
        <v>0</v>
      </c>
      <c r="CK600" s="3">
        <f>+IF(AVANCE[[#This Row],[REVESTIMIENTO INTERIOR ZONA SECA]]=AW$2,100%,AVANCE[[#This Row],[REVESTIMIENTO INTERIOR ZONA SECA]])</f>
        <v>0</v>
      </c>
      <c r="CL600" s="3">
        <f>+IF(AVANCE[[#This Row],[REVESTIMIENTO INTERIOR ZONAS HUMEDAS]]=AX$2,100%,AVANCE[[#This Row],[REVESTIMIENTO INTERIOR ZONAS HUMEDAS]])</f>
        <v>0</v>
      </c>
      <c r="CM600" s="3">
        <f>+IF(AVANCE[[#This Row],[MEMBRANA CIELO]]=AY$2,100%,AVANCE[[#This Row],[MEMBRANA CIELO]])</f>
        <v>0</v>
      </c>
      <c r="CN600" s="3">
        <f>+IF(AVANCE[[#This Row],[LIMPIEZA FINAL]]=AZ$2,100%,AVANCE[[#This Row],[LIMPIEZA FINAL]])</f>
        <v>0</v>
      </c>
      <c r="CO600" s="3">
        <f>+IF(AVANCE[[#This Row],[PUERTAS DORMITORIO]]=BA$2,100%,AVANCE[[#This Row],[PUERTAS DORMITORIO]])</f>
        <v>0</v>
      </c>
      <c r="CP600" s="3">
        <f>+IF(AVANCE[[#This Row],[REVESTIMIENTO INTERIOR BANO]]=BB$2,100%,AVANCE[[#This Row],[REVESTIMIENTO INTERIOR BANO]])</f>
        <v>0</v>
      </c>
      <c r="CQ600" s="3">
        <f>+IF(AVANCE[[#This Row],[MUEBLE LAVAPLATOS]]=BC$2,100%,AVANCE[[#This Row],[MUEBLE LAVAPLATOS]])</f>
        <v>0</v>
      </c>
      <c r="CR600" s="3">
        <f>+IF(AVANCE[[#This Row],[IMPERMEABILIZACION BANO - COCINA LOGIA]]=BD$2,100%,AVANCE[[#This Row],[IMPERMEABILIZACION BANO - COCINA LOGIA]])</f>
        <v>0</v>
      </c>
      <c r="CS600" s="40">
        <f ca="1">+IF(AVANCE[[#This Row],[ESTADO MODULO]]="PENDIENTE",(TODAY()-AVANCE[[#This Row],[FECHA TERMINO  PLANIFICADO]]),0)</f>
        <v>0</v>
      </c>
      <c r="CT600" s="41" t="str" cm="1">
        <f t="array" ref="CT600">_xlfn.TEXTJOIN(" | ",TRUE,IF(SUMPRODUCT((BG600:CR600&lt;1)*(PARTIDAS!$I$2:$AT$2="OBRA GRUESA"))&gt;0,"OBRA GRUESA: "&amp;_xlfn.TEXTJOIN(", ",TRUE,IF((BG600:CR600&lt;1)*(PARTIDAS!$I$2:$AT$2="OBRA GRUESA"),PARTIDAS!$I$1:$AT$1,"")),""),IF(SUMPRODUCT((BG600:CR600&lt;1)*(PARTIDAS!$I$2:$AT$2="SANITARIOS"))&gt;0,"SANITARIOS: "&amp;_xlfn.TEXTJOIN(", ",TRUE,IF((BG600:CR600&lt;1)*(PARTIDAS!$I$2:$AT$2="SANITARIOS"),PARTIDAS!$I$1:$AT$1,"")),""),IF(SUMPRODUCT((BG600:CR600&lt;1)*(PARTIDAS!$I$2:$AT$2="ELÉCTRICO"))&gt;0,"ELÉCTRICO: "&amp;_xlfn.TEXTJOIN(", ",TRUE,IF((BG600:CR600&lt;1)*(PARTIDAS!$I$2:$AT$2="ELÉCTRICO"),PARTIDAS!$I$1:$AT$1,"")),""),IF(SUMPRODUCT((BG600:CR600&lt;1)*(PARTIDAS!$I$2:$AT$2="TERMINACIONES"))&gt;0,"TERMINACIONES: "&amp;_xlfn.TEXTJOIN(", ",TRUE,IF((BG600:CR600&lt;1)*(PARTIDAS!$I$2:$AT$2="TERMINACIONES"),PARTIDAS!$I$1:$AT$1,"")),""))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0" s="43" t="str" cm="1">
        <f t="array" ref="CU600">_xlfn.TEXTJOIN(", ",TRUE,IF(SUMPRODUCT((BG600:CR600&lt;1)*(PARTIDAS!$I$2:$AT$2="OBRA GRUESA"))&gt;0,"OBRA GRUESA",""),IF(SUMPRODUCT((BG600:CR600&lt;1)*(PARTIDAS!$I$2:$AT$2="SANITARIOS"))&gt;0,"SANITARIOS",""),IF(SUMPRODUCT((BG600:CR600&lt;1)*(PARTIDAS!$I$2:$AT$2="ELÉCTRICO"))&gt;0,"ELÉCTRICO",""),IF(SUMPRODUCT((BG600:CR600&lt;1)*(PARTIDAS!$I$2:$AT$2="TERMINACIONES"))&gt;0,"TERMINACIONES",""))</f>
        <v>OBRA GRUESA, SANITARIOS, ELÉCTRICO, TERMINACIONES</v>
      </c>
      <c r="CV600" s="44" cm="1">
        <f t="array" ref="CV600">SUMPRODUCT(--(BG600:CR600&lt;1))</f>
        <v>38</v>
      </c>
    </row>
    <row r="601" spans="1:100" hidden="1" x14ac:dyDescent="0.25">
      <c r="A601" t="s">
        <v>652</v>
      </c>
      <c r="B601" t="s">
        <v>676</v>
      </c>
      <c r="C601">
        <v>2282600600</v>
      </c>
      <c r="D601" t="s">
        <v>58</v>
      </c>
      <c r="E601" s="2">
        <v>0</v>
      </c>
      <c r="F601" s="1">
        <v>46440</v>
      </c>
      <c r="G601" s="1"/>
      <c r="H601" s="1">
        <v>0</v>
      </c>
      <c r="I601" s="1">
        <v>46460</v>
      </c>
      <c r="J601">
        <v>46230</v>
      </c>
      <c r="K601" s="1"/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>
        <v>28.87</v>
      </c>
      <c r="BF601" s="3" t="str">
        <f>+IF(AVANCE[[#This Row],[% AVANCE]]=100%,"MODULO TERMINADO",IF(AVANCE[[#This Row],[FECHA INICIO REAL]]="","MODULO NO INICIADO","PENDIENTE"))</f>
        <v>MODULO NO INICIADO</v>
      </c>
      <c r="BG601" s="3">
        <f>+IF(AVANCE[[#This Row],[VENTANAS]]=8.10810810810811%,100%,AVANCE[[#This Row],[VENTANAS]])</f>
        <v>0</v>
      </c>
      <c r="BH601" s="3">
        <f>+IF(AVANCE[[#This Row],[PISO]]=N$2,100%,AVANCE[[#This Row],[PISO]])</f>
        <v>0</v>
      </c>
      <c r="BI601" s="3">
        <f>+IF(AVANCE[[#This Row],[TABIQUES]]=O$2,100%,AVANCE[[#This Row],[TABIQUES]])</f>
        <v>0</v>
      </c>
      <c r="BJ601" s="3">
        <f>+IF(AVANCE[[#This Row],[MUROS]]=P$2,100%,AVANCE[[#This Row],[MUROS]])</f>
        <v>0</v>
      </c>
      <c r="BK601" s="3">
        <f>+IF(AVANCE[[#This Row],[CIELO]]=Q$2,100%,AVANCE[[#This Row],[CIELO]])</f>
        <v>0</v>
      </c>
      <c r="BL601" s="3">
        <f>+IF(AVANCE[[#This Row],[BALCÓN]]=R$2,100%,AVANCE[[#This Row],[BALCÓN]])</f>
        <v>0</v>
      </c>
      <c r="BM601" s="3">
        <f>+IF(AVANCE[[#This Row],[RED ALCANTARILLADO]]=U$2,100%,AVANCE[[#This Row],[RED ALCANTARILLADO]])</f>
        <v>0</v>
      </c>
      <c r="BN601" s="3">
        <f>+IF(AVANCE[[#This Row],[RED DE AGUA]]=V$2,100%,AVANCE[[#This Row],[RED DE AGUA]])</f>
        <v>0</v>
      </c>
      <c r="BO601" s="3">
        <f>+IF(AVANCE[[#This Row],[VENTILACIONES]]=W$2,100%,AVANCE[[#This Row],[VENTILACIONES]])</f>
        <v>0</v>
      </c>
      <c r="BP601" s="3">
        <f>+IF(AVANCE[[#This Row],[TINA]]=X$2,100%,AVANCE[[#This Row],[TINA]])</f>
        <v>0</v>
      </c>
      <c r="BQ601" s="3">
        <f>+IF(AVANCE[[#This Row],[WC]]=Y$2,100%,AVANCE[[#This Row],[WC]])</f>
        <v>0</v>
      </c>
      <c r="BR601" s="3">
        <f>+IF(AVANCE[[#This Row],[LAVAMANOS / LAVAPLATOS / LAVADERO]]=Z$2,100%,AVANCE[[#This Row],[LAVAMANOS / LAVAPLATOS / LAVADERO]])</f>
        <v>0</v>
      </c>
      <c r="BS601" s="3">
        <f>+IF(AVANCE[[#This Row],[CANALIZACIÓN]]=AC$2,100%,AVANCE[[#This Row],[CANALIZACIÓN]])</f>
        <v>0</v>
      </c>
      <c r="BT601" s="3">
        <f>+IF(AVANCE[[#This Row],[CABLEADO]]=AD$2,100%,AVANCE[[#This Row],[CABLEADO]])</f>
        <v>0</v>
      </c>
      <c r="BU601" s="3">
        <f>+IF(AVANCE[[#This Row],[ARTEFACTOS]]=AE$2,100%,AVANCE[[#This Row],[ARTEFACTOS]])</f>
        <v>0</v>
      </c>
      <c r="BV601" s="3">
        <f>+IF(AVANCE[[#This Row],[TABLERO]]=AF$2,100%,AVANCE[[#This Row],[TABLERO]])</f>
        <v>0</v>
      </c>
      <c r="BW601" s="3">
        <f>+IF(AVANCE[[#This Row],[CAJA PAU]]=AG$2,100%,AVANCE[[#This Row],[CAJA PAU]])</f>
        <v>0</v>
      </c>
      <c r="BX601" s="3">
        <f>+IF(AVANCE[[#This Row],[INSTALACION VINILICO]]=AJ$2,100%,AVANCE[[#This Row],[INSTALACION VINILICO]])</f>
        <v>0</v>
      </c>
      <c r="BY601" s="3">
        <f>+IF(AVANCE[[#This Row],[OSB CUBIERTA]]=AK$2,100%,AVANCE[[#This Row],[OSB CUBIERTA]])</f>
        <v>0</v>
      </c>
      <c r="BZ601" s="3">
        <f>+IF(AVANCE[[#This Row],[BARANDA BALCON]]=AL$2,100%,AVANCE[[#This Row],[BARANDA BALCON]])</f>
        <v>0</v>
      </c>
      <c r="CA601" s="3">
        <f>+IF(AVANCE[[#This Row],[OSB EXTERIOR]]=AM$2,100%,AVANCE[[#This Row],[OSB EXTERIOR]])</f>
        <v>0</v>
      </c>
      <c r="CB601" s="3">
        <f>+IF(AVANCE[[#This Row],[SMART PANEL]]=AN$2,100%,AVANCE[[#This Row],[SMART PANEL]])</f>
        <v>0</v>
      </c>
      <c r="CC601" s="3">
        <f>+IF(AVANCE[[#This Row],[PINTURA EXTERIOR]]=AO$2,100%,AVANCE[[#This Row],[PINTURA EXTERIOR]])</f>
        <v>0</v>
      </c>
      <c r="CD601" s="3">
        <f>+IF(AVANCE[[#This Row],[ZOCALOS LOGIA]]=AP$2,100%,AVANCE[[#This Row],[ZOCALOS LOGIA]])</f>
        <v>0</v>
      </c>
      <c r="CE601" s="3">
        <f>+IF(AVANCE[[#This Row],[MOLDURAS]]=AQ$2,100%,AVANCE[[#This Row],[MOLDURAS]])</f>
        <v>0</v>
      </c>
      <c r="CF601" s="3">
        <f>+IF(AVANCE[[#This Row],[PILASTREO]]=AR$2,100%,AVANCE[[#This Row],[PILASTREO]])</f>
        <v>0</v>
      </c>
      <c r="CG601" s="3">
        <f>+IF(AVANCE[[#This Row],[CELOSIAS]]=AS$2,100%,AVANCE[[#This Row],[CELOSIAS]])</f>
        <v>0</v>
      </c>
      <c r="CH601" s="3">
        <f>+IF(AVANCE[[#This Row],[VENTANAS]]=AT$2,100%,AVANCE[[#This Row],[VENTANAS]])</f>
        <v>0</v>
      </c>
      <c r="CI601" s="3">
        <f>+IF(AVANCE[[#This Row],[PUERTAS ACCESO - LOGIA - BANO]]=AU$2,100%,AVANCE[[#This Row],[PUERTAS ACCESO - LOGIA - BANO]])</f>
        <v>0</v>
      </c>
      <c r="CJ601" s="3">
        <f>+IF(AVANCE[[#This Row],[CERRADURAS]]=AV$2,100%,AVANCE[[#This Row],[CERRADURAS]])</f>
        <v>0</v>
      </c>
      <c r="CK601" s="3">
        <f>+IF(AVANCE[[#This Row],[REVESTIMIENTO INTERIOR ZONA SECA]]=AW$2,100%,AVANCE[[#This Row],[REVESTIMIENTO INTERIOR ZONA SECA]])</f>
        <v>0</v>
      </c>
      <c r="CL601" s="3">
        <f>+IF(AVANCE[[#This Row],[REVESTIMIENTO INTERIOR ZONAS HUMEDAS]]=AX$2,100%,AVANCE[[#This Row],[REVESTIMIENTO INTERIOR ZONAS HUMEDAS]])</f>
        <v>0</v>
      </c>
      <c r="CM601" s="3">
        <f>+IF(AVANCE[[#This Row],[MEMBRANA CIELO]]=AY$2,100%,AVANCE[[#This Row],[MEMBRANA CIELO]])</f>
        <v>0</v>
      </c>
      <c r="CN601" s="3">
        <f>+IF(AVANCE[[#This Row],[LIMPIEZA FINAL]]=AZ$2,100%,AVANCE[[#This Row],[LIMPIEZA FINAL]])</f>
        <v>0</v>
      </c>
      <c r="CO601" s="3">
        <f>+IF(AVANCE[[#This Row],[PUERTAS DORMITORIO]]=BA$2,100%,AVANCE[[#This Row],[PUERTAS DORMITORIO]])</f>
        <v>0</v>
      </c>
      <c r="CP601" s="3">
        <f>+IF(AVANCE[[#This Row],[REVESTIMIENTO INTERIOR BANO]]=BB$2,100%,AVANCE[[#This Row],[REVESTIMIENTO INTERIOR BANO]])</f>
        <v>0</v>
      </c>
      <c r="CQ601" s="3">
        <f>+IF(AVANCE[[#This Row],[MUEBLE LAVAPLATOS]]=BC$2,100%,AVANCE[[#This Row],[MUEBLE LAVAPLATOS]])</f>
        <v>0</v>
      </c>
      <c r="CR601" s="3">
        <f>+IF(AVANCE[[#This Row],[IMPERMEABILIZACION BANO - COCINA LOGIA]]=BD$2,100%,AVANCE[[#This Row],[IMPERMEABILIZACION BANO - COCINA LOGIA]])</f>
        <v>0</v>
      </c>
      <c r="CS601" s="40">
        <f ca="1">+IF(AVANCE[[#This Row],[ESTADO MODULO]]="PENDIENTE",(TODAY()-AVANCE[[#This Row],[FECHA TERMINO  PLANIFICADO]]),0)</f>
        <v>0</v>
      </c>
      <c r="CT601" s="41" t="str" cm="1">
        <f t="array" ref="CT601">_xlfn.TEXTJOIN(" | ",TRUE,IF(SUMPRODUCT((BG601:CR601&lt;1)*(PARTIDAS!$I$2:$AT$2="OBRA GRUESA"))&gt;0,"OBRA GRUESA: "&amp;_xlfn.TEXTJOIN(", ",TRUE,IF((BG601:CR601&lt;1)*(PARTIDAS!$I$2:$AT$2="OBRA GRUESA"),PARTIDAS!$I$1:$AT$1,"")),""),IF(SUMPRODUCT((BG601:CR601&lt;1)*(PARTIDAS!$I$2:$AT$2="SANITARIOS"))&gt;0,"SANITARIOS: "&amp;_xlfn.TEXTJOIN(", ",TRUE,IF((BG601:CR601&lt;1)*(PARTIDAS!$I$2:$AT$2="SANITARIOS"),PARTIDAS!$I$1:$AT$1,"")),""),IF(SUMPRODUCT((BG601:CR601&lt;1)*(PARTIDAS!$I$2:$AT$2="ELÉCTRICO"))&gt;0,"ELÉCTRICO: "&amp;_xlfn.TEXTJOIN(", ",TRUE,IF((BG601:CR601&lt;1)*(PARTIDAS!$I$2:$AT$2="ELÉCTRICO"),PARTIDAS!$I$1:$AT$1,"")),""),IF(SUMPRODUCT((BG601:CR601&lt;1)*(PARTIDAS!$I$2:$AT$2="TERMINACIONES"))&gt;0,"TERMINACIONES: "&amp;_xlfn.TEXTJOIN(", ",TRUE,IF((BG601:CR601&lt;1)*(PARTIDAS!$I$2:$AT$2="TERMINACIONES"),PARTIDAS!$I$1:$AT$1,"")),""))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1" s="43" t="str" cm="1">
        <f t="array" ref="CU601">_xlfn.TEXTJOIN(", ",TRUE,IF(SUMPRODUCT((BG601:CR601&lt;1)*(PARTIDAS!$I$2:$AT$2="OBRA GRUESA"))&gt;0,"OBRA GRUESA",""),IF(SUMPRODUCT((BG601:CR601&lt;1)*(PARTIDAS!$I$2:$AT$2="SANITARIOS"))&gt;0,"SANITARIOS",""),IF(SUMPRODUCT((BG601:CR601&lt;1)*(PARTIDAS!$I$2:$AT$2="ELÉCTRICO"))&gt;0,"ELÉCTRICO",""),IF(SUMPRODUCT((BG601:CR601&lt;1)*(PARTIDAS!$I$2:$AT$2="TERMINACIONES"))&gt;0,"TERMINACIONES",""))</f>
        <v>OBRA GRUESA, SANITARIOS, ELÉCTRICO, TERMINACIONES</v>
      </c>
      <c r="CV601" s="44" cm="1">
        <f t="array" ref="CV601">SUMPRODUCT(--(BG601:CR601&lt;1))</f>
        <v>38</v>
      </c>
    </row>
    <row r="602" spans="1:100" hidden="1" x14ac:dyDescent="0.25">
      <c r="A602" t="s">
        <v>652</v>
      </c>
      <c r="B602" t="s">
        <v>677</v>
      </c>
      <c r="C602">
        <v>2282600601</v>
      </c>
      <c r="D602" t="s">
        <v>58</v>
      </c>
      <c r="E602" s="2">
        <v>0</v>
      </c>
      <c r="F602" s="1">
        <v>46440</v>
      </c>
      <c r="G602" s="1"/>
      <c r="H602" s="1">
        <v>0</v>
      </c>
      <c r="I602" s="1">
        <v>46460</v>
      </c>
      <c r="J602">
        <v>46230</v>
      </c>
      <c r="K602" s="1"/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>
        <v>28.87</v>
      </c>
      <c r="BF602" s="3" t="str">
        <f>+IF(AVANCE[[#This Row],[% AVANCE]]=100%,"MODULO TERMINADO",IF(AVANCE[[#This Row],[FECHA INICIO REAL]]="","MODULO NO INICIADO","PENDIENTE"))</f>
        <v>MODULO NO INICIADO</v>
      </c>
      <c r="BG602" s="3">
        <f>+IF(AVANCE[[#This Row],[VENTANAS]]=8.10810810810811%,100%,AVANCE[[#This Row],[VENTANAS]])</f>
        <v>0</v>
      </c>
      <c r="BH602" s="3">
        <f>+IF(AVANCE[[#This Row],[PISO]]=N$2,100%,AVANCE[[#This Row],[PISO]])</f>
        <v>0</v>
      </c>
      <c r="BI602" s="3">
        <f>+IF(AVANCE[[#This Row],[TABIQUES]]=O$2,100%,AVANCE[[#This Row],[TABIQUES]])</f>
        <v>0</v>
      </c>
      <c r="BJ602" s="3">
        <f>+IF(AVANCE[[#This Row],[MUROS]]=P$2,100%,AVANCE[[#This Row],[MUROS]])</f>
        <v>0</v>
      </c>
      <c r="BK602" s="3">
        <f>+IF(AVANCE[[#This Row],[CIELO]]=Q$2,100%,AVANCE[[#This Row],[CIELO]])</f>
        <v>0</v>
      </c>
      <c r="BL602" s="3">
        <f>+IF(AVANCE[[#This Row],[BALCÓN]]=R$2,100%,AVANCE[[#This Row],[BALCÓN]])</f>
        <v>0</v>
      </c>
      <c r="BM602" s="3">
        <f>+IF(AVANCE[[#This Row],[RED ALCANTARILLADO]]=U$2,100%,AVANCE[[#This Row],[RED ALCANTARILLADO]])</f>
        <v>0</v>
      </c>
      <c r="BN602" s="3">
        <f>+IF(AVANCE[[#This Row],[RED DE AGUA]]=V$2,100%,AVANCE[[#This Row],[RED DE AGUA]])</f>
        <v>0</v>
      </c>
      <c r="BO602" s="3">
        <f>+IF(AVANCE[[#This Row],[VENTILACIONES]]=W$2,100%,AVANCE[[#This Row],[VENTILACIONES]])</f>
        <v>0</v>
      </c>
      <c r="BP602" s="3">
        <f>+IF(AVANCE[[#This Row],[TINA]]=X$2,100%,AVANCE[[#This Row],[TINA]])</f>
        <v>0</v>
      </c>
      <c r="BQ602" s="3">
        <f>+IF(AVANCE[[#This Row],[WC]]=Y$2,100%,AVANCE[[#This Row],[WC]])</f>
        <v>0</v>
      </c>
      <c r="BR602" s="3">
        <f>+IF(AVANCE[[#This Row],[LAVAMANOS / LAVAPLATOS / LAVADERO]]=Z$2,100%,AVANCE[[#This Row],[LAVAMANOS / LAVAPLATOS / LAVADERO]])</f>
        <v>0</v>
      </c>
      <c r="BS602" s="3">
        <f>+IF(AVANCE[[#This Row],[CANALIZACIÓN]]=AC$2,100%,AVANCE[[#This Row],[CANALIZACIÓN]])</f>
        <v>0</v>
      </c>
      <c r="BT602" s="3">
        <f>+IF(AVANCE[[#This Row],[CABLEADO]]=AD$2,100%,AVANCE[[#This Row],[CABLEADO]])</f>
        <v>0</v>
      </c>
      <c r="BU602" s="3">
        <f>+IF(AVANCE[[#This Row],[ARTEFACTOS]]=AE$2,100%,AVANCE[[#This Row],[ARTEFACTOS]])</f>
        <v>0</v>
      </c>
      <c r="BV602" s="3">
        <f>+IF(AVANCE[[#This Row],[TABLERO]]=AF$2,100%,AVANCE[[#This Row],[TABLERO]])</f>
        <v>0</v>
      </c>
      <c r="BW602" s="3">
        <f>+IF(AVANCE[[#This Row],[CAJA PAU]]=AG$2,100%,AVANCE[[#This Row],[CAJA PAU]])</f>
        <v>0</v>
      </c>
      <c r="BX602" s="3">
        <f>+IF(AVANCE[[#This Row],[INSTALACION VINILICO]]=AJ$2,100%,AVANCE[[#This Row],[INSTALACION VINILICO]])</f>
        <v>0</v>
      </c>
      <c r="BY602" s="3">
        <f>+IF(AVANCE[[#This Row],[OSB CUBIERTA]]=AK$2,100%,AVANCE[[#This Row],[OSB CUBIERTA]])</f>
        <v>0</v>
      </c>
      <c r="BZ602" s="3">
        <f>+IF(AVANCE[[#This Row],[BARANDA BALCON]]=AL$2,100%,AVANCE[[#This Row],[BARANDA BALCON]])</f>
        <v>0</v>
      </c>
      <c r="CA602" s="3">
        <f>+IF(AVANCE[[#This Row],[OSB EXTERIOR]]=AM$2,100%,AVANCE[[#This Row],[OSB EXTERIOR]])</f>
        <v>0</v>
      </c>
      <c r="CB602" s="3">
        <f>+IF(AVANCE[[#This Row],[SMART PANEL]]=AN$2,100%,AVANCE[[#This Row],[SMART PANEL]])</f>
        <v>0</v>
      </c>
      <c r="CC602" s="3">
        <f>+IF(AVANCE[[#This Row],[PINTURA EXTERIOR]]=AO$2,100%,AVANCE[[#This Row],[PINTURA EXTERIOR]])</f>
        <v>0</v>
      </c>
      <c r="CD602" s="3">
        <f>+IF(AVANCE[[#This Row],[ZOCALOS LOGIA]]=AP$2,100%,AVANCE[[#This Row],[ZOCALOS LOGIA]])</f>
        <v>0</v>
      </c>
      <c r="CE602" s="3">
        <f>+IF(AVANCE[[#This Row],[MOLDURAS]]=AQ$2,100%,AVANCE[[#This Row],[MOLDURAS]])</f>
        <v>0</v>
      </c>
      <c r="CF602" s="3">
        <f>+IF(AVANCE[[#This Row],[PILASTREO]]=AR$2,100%,AVANCE[[#This Row],[PILASTREO]])</f>
        <v>0</v>
      </c>
      <c r="CG602" s="3">
        <f>+IF(AVANCE[[#This Row],[CELOSIAS]]=AS$2,100%,AVANCE[[#This Row],[CELOSIAS]])</f>
        <v>0</v>
      </c>
      <c r="CH602" s="3">
        <f>+IF(AVANCE[[#This Row],[VENTANAS]]=AT$2,100%,AVANCE[[#This Row],[VENTANAS]])</f>
        <v>0</v>
      </c>
      <c r="CI602" s="3">
        <f>+IF(AVANCE[[#This Row],[PUERTAS ACCESO - LOGIA - BANO]]=AU$2,100%,AVANCE[[#This Row],[PUERTAS ACCESO - LOGIA - BANO]])</f>
        <v>0</v>
      </c>
      <c r="CJ602" s="3">
        <f>+IF(AVANCE[[#This Row],[CERRADURAS]]=AV$2,100%,AVANCE[[#This Row],[CERRADURAS]])</f>
        <v>0</v>
      </c>
      <c r="CK602" s="3">
        <f>+IF(AVANCE[[#This Row],[REVESTIMIENTO INTERIOR ZONA SECA]]=AW$2,100%,AVANCE[[#This Row],[REVESTIMIENTO INTERIOR ZONA SECA]])</f>
        <v>0</v>
      </c>
      <c r="CL602" s="3">
        <f>+IF(AVANCE[[#This Row],[REVESTIMIENTO INTERIOR ZONAS HUMEDAS]]=AX$2,100%,AVANCE[[#This Row],[REVESTIMIENTO INTERIOR ZONAS HUMEDAS]])</f>
        <v>0</v>
      </c>
      <c r="CM602" s="3">
        <f>+IF(AVANCE[[#This Row],[MEMBRANA CIELO]]=AY$2,100%,AVANCE[[#This Row],[MEMBRANA CIELO]])</f>
        <v>0</v>
      </c>
      <c r="CN602" s="3">
        <f>+IF(AVANCE[[#This Row],[LIMPIEZA FINAL]]=AZ$2,100%,AVANCE[[#This Row],[LIMPIEZA FINAL]])</f>
        <v>0</v>
      </c>
      <c r="CO602" s="3">
        <f>+IF(AVANCE[[#This Row],[PUERTAS DORMITORIO]]=BA$2,100%,AVANCE[[#This Row],[PUERTAS DORMITORIO]])</f>
        <v>0</v>
      </c>
      <c r="CP602" s="3">
        <f>+IF(AVANCE[[#This Row],[REVESTIMIENTO INTERIOR BANO]]=BB$2,100%,AVANCE[[#This Row],[REVESTIMIENTO INTERIOR BANO]])</f>
        <v>0</v>
      </c>
      <c r="CQ602" s="3">
        <f>+IF(AVANCE[[#This Row],[MUEBLE LAVAPLATOS]]=BC$2,100%,AVANCE[[#This Row],[MUEBLE LAVAPLATOS]])</f>
        <v>0</v>
      </c>
      <c r="CR602" s="3">
        <f>+IF(AVANCE[[#This Row],[IMPERMEABILIZACION BANO - COCINA LOGIA]]=BD$2,100%,AVANCE[[#This Row],[IMPERMEABILIZACION BANO - COCINA LOGIA]])</f>
        <v>0</v>
      </c>
      <c r="CS602" s="40">
        <f ca="1">+IF(AVANCE[[#This Row],[ESTADO MODULO]]="PENDIENTE",(TODAY()-AVANCE[[#This Row],[FECHA TERMINO  PLANIFICADO]]),0)</f>
        <v>0</v>
      </c>
      <c r="CT602" s="41" t="str" cm="1">
        <f t="array" ref="CT602">_xlfn.TEXTJOIN(" | ",TRUE,IF(SUMPRODUCT((BG602:CR602&lt;1)*(PARTIDAS!$I$2:$AT$2="OBRA GRUESA"))&gt;0,"OBRA GRUESA: "&amp;_xlfn.TEXTJOIN(", ",TRUE,IF((BG602:CR602&lt;1)*(PARTIDAS!$I$2:$AT$2="OBRA GRUESA"),PARTIDAS!$I$1:$AT$1,"")),""),IF(SUMPRODUCT((BG602:CR602&lt;1)*(PARTIDAS!$I$2:$AT$2="SANITARIOS"))&gt;0,"SANITARIOS: "&amp;_xlfn.TEXTJOIN(", ",TRUE,IF((BG602:CR602&lt;1)*(PARTIDAS!$I$2:$AT$2="SANITARIOS"),PARTIDAS!$I$1:$AT$1,"")),""),IF(SUMPRODUCT((BG602:CR602&lt;1)*(PARTIDAS!$I$2:$AT$2="ELÉCTRICO"))&gt;0,"ELÉCTRICO: "&amp;_xlfn.TEXTJOIN(", ",TRUE,IF((BG602:CR602&lt;1)*(PARTIDAS!$I$2:$AT$2="ELÉCTRICO"),PARTIDAS!$I$1:$AT$1,"")),""),IF(SUMPRODUCT((BG602:CR602&lt;1)*(PARTIDAS!$I$2:$AT$2="TERMINACIONES"))&gt;0,"TERMINACIONES: "&amp;_xlfn.TEXTJOIN(", ",TRUE,IF((BG602:CR602&lt;1)*(PARTIDAS!$I$2:$AT$2="TERMINACIONES"),PARTIDAS!$I$1:$AT$1,"")),""))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2" s="43" t="str" cm="1">
        <f t="array" ref="CU602">_xlfn.TEXTJOIN(", ",TRUE,IF(SUMPRODUCT((BG602:CR602&lt;1)*(PARTIDAS!$I$2:$AT$2="OBRA GRUESA"))&gt;0,"OBRA GRUESA",""),IF(SUMPRODUCT((BG602:CR602&lt;1)*(PARTIDAS!$I$2:$AT$2="SANITARIOS"))&gt;0,"SANITARIOS",""),IF(SUMPRODUCT((BG602:CR602&lt;1)*(PARTIDAS!$I$2:$AT$2="ELÉCTRICO"))&gt;0,"ELÉCTRICO",""),IF(SUMPRODUCT((BG602:CR602&lt;1)*(PARTIDAS!$I$2:$AT$2="TERMINACIONES"))&gt;0,"TERMINACIONES",""))</f>
        <v>OBRA GRUESA, SANITARIOS, ELÉCTRICO, TERMINACIONES</v>
      </c>
      <c r="CV602" s="44" cm="1">
        <f t="array" ref="CV602">SUMPRODUCT(--(BG602:CR602&lt;1))</f>
        <v>38</v>
      </c>
    </row>
    <row r="603" spans="1:100" hidden="1" x14ac:dyDescent="0.25">
      <c r="A603" t="s">
        <v>652</v>
      </c>
      <c r="B603" t="s">
        <v>678</v>
      </c>
      <c r="C603">
        <v>2302600602</v>
      </c>
      <c r="D603" t="s">
        <v>60</v>
      </c>
      <c r="E603" s="2">
        <v>0</v>
      </c>
      <c r="F603" s="1">
        <v>46441</v>
      </c>
      <c r="G603" s="1"/>
      <c r="H603" s="1">
        <v>0</v>
      </c>
      <c r="I603" s="1">
        <v>46471</v>
      </c>
      <c r="J603">
        <v>46230</v>
      </c>
      <c r="K603" s="1"/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>
        <v>31.32</v>
      </c>
      <c r="BF603" s="3" t="str">
        <f>+IF(AVANCE[[#This Row],[% AVANCE]]=100%,"MODULO TERMINADO",IF(AVANCE[[#This Row],[FECHA INICIO REAL]]="","MODULO NO INICIADO","PENDIENTE"))</f>
        <v>MODULO NO INICIADO</v>
      </c>
      <c r="BG603" s="3">
        <f>+IF(AVANCE[[#This Row],[VENTANAS]]=8.10810810810811%,100%,AVANCE[[#This Row],[VENTANAS]])</f>
        <v>0</v>
      </c>
      <c r="BH603" s="3">
        <f>+IF(AVANCE[[#This Row],[PISO]]=N$2,100%,AVANCE[[#This Row],[PISO]])</f>
        <v>0</v>
      </c>
      <c r="BI603" s="3">
        <f>+IF(AVANCE[[#This Row],[TABIQUES]]=O$2,100%,AVANCE[[#This Row],[TABIQUES]])</f>
        <v>0</v>
      </c>
      <c r="BJ603" s="3">
        <f>+IF(AVANCE[[#This Row],[MUROS]]=P$2,100%,AVANCE[[#This Row],[MUROS]])</f>
        <v>0</v>
      </c>
      <c r="BK603" s="3">
        <f>+IF(AVANCE[[#This Row],[CIELO]]=Q$2,100%,AVANCE[[#This Row],[CIELO]])</f>
        <v>0</v>
      </c>
      <c r="BL603" s="3">
        <f>+IF(AVANCE[[#This Row],[BALCÓN]]=R$2,100%,AVANCE[[#This Row],[BALCÓN]])</f>
        <v>0</v>
      </c>
      <c r="BM603" s="3">
        <f>+IF(AVANCE[[#This Row],[RED ALCANTARILLADO]]=U$2,100%,AVANCE[[#This Row],[RED ALCANTARILLADO]])</f>
        <v>0</v>
      </c>
      <c r="BN603" s="3">
        <f>+IF(AVANCE[[#This Row],[RED DE AGUA]]=V$2,100%,AVANCE[[#This Row],[RED DE AGUA]])</f>
        <v>0</v>
      </c>
      <c r="BO603" s="3">
        <f>+IF(AVANCE[[#This Row],[VENTILACIONES]]=W$2,100%,AVANCE[[#This Row],[VENTILACIONES]])</f>
        <v>0</v>
      </c>
      <c r="BP603" s="3">
        <f>+IF(AVANCE[[#This Row],[TINA]]=X$2,100%,AVANCE[[#This Row],[TINA]])</f>
        <v>0</v>
      </c>
      <c r="BQ603" s="3">
        <f>+IF(AVANCE[[#This Row],[WC]]=Y$2,100%,AVANCE[[#This Row],[WC]])</f>
        <v>0</v>
      </c>
      <c r="BR603" s="3">
        <f>+IF(AVANCE[[#This Row],[LAVAMANOS / LAVAPLATOS / LAVADERO]]=Z$2,100%,AVANCE[[#This Row],[LAVAMANOS / LAVAPLATOS / LAVADERO]])</f>
        <v>0</v>
      </c>
      <c r="BS603" s="3">
        <f>+IF(AVANCE[[#This Row],[CANALIZACIÓN]]=AC$2,100%,AVANCE[[#This Row],[CANALIZACIÓN]])</f>
        <v>0</v>
      </c>
      <c r="BT603" s="3">
        <f>+IF(AVANCE[[#This Row],[CABLEADO]]=AD$2,100%,AVANCE[[#This Row],[CABLEADO]])</f>
        <v>0</v>
      </c>
      <c r="BU603" s="3">
        <f>+IF(AVANCE[[#This Row],[ARTEFACTOS]]=AE$2,100%,AVANCE[[#This Row],[ARTEFACTOS]])</f>
        <v>0</v>
      </c>
      <c r="BV603" s="3">
        <f>+IF(AVANCE[[#This Row],[TABLERO]]=AF$2,100%,AVANCE[[#This Row],[TABLERO]])</f>
        <v>0</v>
      </c>
      <c r="BW603" s="3">
        <f>+IF(AVANCE[[#This Row],[CAJA PAU]]=AG$2,100%,AVANCE[[#This Row],[CAJA PAU]])</f>
        <v>0</v>
      </c>
      <c r="BX603" s="3">
        <f>+IF(AVANCE[[#This Row],[INSTALACION VINILICO]]=AJ$2,100%,AVANCE[[#This Row],[INSTALACION VINILICO]])</f>
        <v>0</v>
      </c>
      <c r="BY603" s="3">
        <f>+IF(AVANCE[[#This Row],[OSB CUBIERTA]]=AK$2,100%,AVANCE[[#This Row],[OSB CUBIERTA]])</f>
        <v>0</v>
      </c>
      <c r="BZ603" s="3">
        <f>+IF(AVANCE[[#This Row],[BARANDA BALCON]]=AL$2,100%,AVANCE[[#This Row],[BARANDA BALCON]])</f>
        <v>0</v>
      </c>
      <c r="CA603" s="3">
        <f>+IF(AVANCE[[#This Row],[OSB EXTERIOR]]=AM$2,100%,AVANCE[[#This Row],[OSB EXTERIOR]])</f>
        <v>0</v>
      </c>
      <c r="CB603" s="3">
        <f>+IF(AVANCE[[#This Row],[SMART PANEL]]=AN$2,100%,AVANCE[[#This Row],[SMART PANEL]])</f>
        <v>0</v>
      </c>
      <c r="CC603" s="3">
        <f>+IF(AVANCE[[#This Row],[PINTURA EXTERIOR]]=AO$2,100%,AVANCE[[#This Row],[PINTURA EXTERIOR]])</f>
        <v>0</v>
      </c>
      <c r="CD603" s="3">
        <f>+IF(AVANCE[[#This Row],[ZOCALOS LOGIA]]=AP$2,100%,AVANCE[[#This Row],[ZOCALOS LOGIA]])</f>
        <v>0</v>
      </c>
      <c r="CE603" s="3">
        <f>+IF(AVANCE[[#This Row],[MOLDURAS]]=AQ$2,100%,AVANCE[[#This Row],[MOLDURAS]])</f>
        <v>0</v>
      </c>
      <c r="CF603" s="3">
        <f>+IF(AVANCE[[#This Row],[PILASTREO]]=AR$2,100%,AVANCE[[#This Row],[PILASTREO]])</f>
        <v>0</v>
      </c>
      <c r="CG603" s="3">
        <f>+IF(AVANCE[[#This Row],[CELOSIAS]]=AS$2,100%,AVANCE[[#This Row],[CELOSIAS]])</f>
        <v>0</v>
      </c>
      <c r="CH603" s="3">
        <f>+IF(AVANCE[[#This Row],[VENTANAS]]=AT$2,100%,AVANCE[[#This Row],[VENTANAS]])</f>
        <v>0</v>
      </c>
      <c r="CI603" s="3">
        <f>+IF(AVANCE[[#This Row],[PUERTAS ACCESO - LOGIA - BANO]]=AU$2,100%,AVANCE[[#This Row],[PUERTAS ACCESO - LOGIA - BANO]])</f>
        <v>0</v>
      </c>
      <c r="CJ603" s="3">
        <f>+IF(AVANCE[[#This Row],[CERRADURAS]]=AV$2,100%,AVANCE[[#This Row],[CERRADURAS]])</f>
        <v>0</v>
      </c>
      <c r="CK603" s="3">
        <f>+IF(AVANCE[[#This Row],[REVESTIMIENTO INTERIOR ZONA SECA]]=AW$2,100%,AVANCE[[#This Row],[REVESTIMIENTO INTERIOR ZONA SECA]])</f>
        <v>0</v>
      </c>
      <c r="CL603" s="3">
        <f>+IF(AVANCE[[#This Row],[REVESTIMIENTO INTERIOR ZONAS HUMEDAS]]=AX$2,100%,AVANCE[[#This Row],[REVESTIMIENTO INTERIOR ZONAS HUMEDAS]])</f>
        <v>0</v>
      </c>
      <c r="CM603" s="3">
        <f>+IF(AVANCE[[#This Row],[MEMBRANA CIELO]]=AY$2,100%,AVANCE[[#This Row],[MEMBRANA CIELO]])</f>
        <v>0</v>
      </c>
      <c r="CN603" s="3">
        <f>+IF(AVANCE[[#This Row],[LIMPIEZA FINAL]]=AZ$2,100%,AVANCE[[#This Row],[LIMPIEZA FINAL]])</f>
        <v>0</v>
      </c>
      <c r="CO603" s="3">
        <f>+IF(AVANCE[[#This Row],[PUERTAS DORMITORIO]]=BA$2,100%,AVANCE[[#This Row],[PUERTAS DORMITORIO]])</f>
        <v>0</v>
      </c>
      <c r="CP603" s="3">
        <f>+IF(AVANCE[[#This Row],[REVESTIMIENTO INTERIOR BANO]]=BB$2,100%,AVANCE[[#This Row],[REVESTIMIENTO INTERIOR BANO]])</f>
        <v>0</v>
      </c>
      <c r="CQ603" s="3">
        <f>+IF(AVANCE[[#This Row],[MUEBLE LAVAPLATOS]]=BC$2,100%,AVANCE[[#This Row],[MUEBLE LAVAPLATOS]])</f>
        <v>0</v>
      </c>
      <c r="CR603" s="3">
        <f>+IF(AVANCE[[#This Row],[IMPERMEABILIZACION BANO - COCINA LOGIA]]=BD$2,100%,AVANCE[[#This Row],[IMPERMEABILIZACION BANO - COCINA LOGIA]])</f>
        <v>0</v>
      </c>
      <c r="CS603" s="40">
        <f ca="1">+IF(AVANCE[[#This Row],[ESTADO MODULO]]="PENDIENTE",(TODAY()-AVANCE[[#This Row],[FECHA TERMINO  PLANIFICADO]]),0)</f>
        <v>0</v>
      </c>
      <c r="CT603" s="41" t="str" cm="1">
        <f t="array" ref="CT603">_xlfn.TEXTJOIN(" | ",TRUE,IF(SUMPRODUCT((BG603:CR603&lt;1)*(PARTIDAS!$I$2:$AT$2="OBRA GRUESA"))&gt;0,"OBRA GRUESA: "&amp;_xlfn.TEXTJOIN(", ",TRUE,IF((BG603:CR603&lt;1)*(PARTIDAS!$I$2:$AT$2="OBRA GRUESA"),PARTIDAS!$I$1:$AT$1,"")),""),IF(SUMPRODUCT((BG603:CR603&lt;1)*(PARTIDAS!$I$2:$AT$2="SANITARIOS"))&gt;0,"SANITARIOS: "&amp;_xlfn.TEXTJOIN(", ",TRUE,IF((BG603:CR603&lt;1)*(PARTIDAS!$I$2:$AT$2="SANITARIOS"),PARTIDAS!$I$1:$AT$1,"")),""),IF(SUMPRODUCT((BG603:CR603&lt;1)*(PARTIDAS!$I$2:$AT$2="ELÉCTRICO"))&gt;0,"ELÉCTRICO: "&amp;_xlfn.TEXTJOIN(", ",TRUE,IF((BG603:CR603&lt;1)*(PARTIDAS!$I$2:$AT$2="ELÉCTRICO"),PARTIDAS!$I$1:$AT$1,"")),""),IF(SUMPRODUCT((BG603:CR603&lt;1)*(PARTIDAS!$I$2:$AT$2="TERMINACIONES"))&gt;0,"TERMINACIONES: "&amp;_xlfn.TEXTJOIN(", ",TRUE,IF((BG603:CR603&lt;1)*(PARTIDAS!$I$2:$AT$2="TERMINACIONES"),PARTIDAS!$I$1:$AT$1,"")),""))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3" s="43" t="str" cm="1">
        <f t="array" ref="CU603">_xlfn.TEXTJOIN(", ",TRUE,IF(SUMPRODUCT((BG603:CR603&lt;1)*(PARTIDAS!$I$2:$AT$2="OBRA GRUESA"))&gt;0,"OBRA GRUESA",""),IF(SUMPRODUCT((BG603:CR603&lt;1)*(PARTIDAS!$I$2:$AT$2="SANITARIOS"))&gt;0,"SANITARIOS",""),IF(SUMPRODUCT((BG603:CR603&lt;1)*(PARTIDAS!$I$2:$AT$2="ELÉCTRICO"))&gt;0,"ELÉCTRICO",""),IF(SUMPRODUCT((BG603:CR603&lt;1)*(PARTIDAS!$I$2:$AT$2="TERMINACIONES"))&gt;0,"TERMINACIONES",""))</f>
        <v>OBRA GRUESA, SANITARIOS, ELÉCTRICO, TERMINACIONES</v>
      </c>
      <c r="CV603" s="44" cm="1">
        <f t="array" ref="CV603">SUMPRODUCT(--(BG603:CR603&lt;1))</f>
        <v>38</v>
      </c>
    </row>
    <row r="604" spans="1:100" hidden="1" x14ac:dyDescent="0.25">
      <c r="A604" t="s">
        <v>652</v>
      </c>
      <c r="B604" t="s">
        <v>679</v>
      </c>
      <c r="C604">
        <v>2302600603</v>
      </c>
      <c r="D604" t="s">
        <v>60</v>
      </c>
      <c r="E604" s="2">
        <v>0</v>
      </c>
      <c r="F604" s="1">
        <v>46441</v>
      </c>
      <c r="G604" s="1"/>
      <c r="H604" s="1">
        <v>0</v>
      </c>
      <c r="I604" s="1">
        <v>46471</v>
      </c>
      <c r="J604">
        <v>46230</v>
      </c>
      <c r="K604" s="1"/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>
        <v>31.32</v>
      </c>
      <c r="BF604" s="3" t="str">
        <f>+IF(AVANCE[[#This Row],[% AVANCE]]=100%,"MODULO TERMINADO",IF(AVANCE[[#This Row],[FECHA INICIO REAL]]="","MODULO NO INICIADO","PENDIENTE"))</f>
        <v>MODULO NO INICIADO</v>
      </c>
      <c r="BG604" s="3">
        <f>+IF(AVANCE[[#This Row],[VENTANAS]]=8.10810810810811%,100%,AVANCE[[#This Row],[VENTANAS]])</f>
        <v>0</v>
      </c>
      <c r="BH604" s="3">
        <f>+IF(AVANCE[[#This Row],[PISO]]=N$2,100%,AVANCE[[#This Row],[PISO]])</f>
        <v>0</v>
      </c>
      <c r="BI604" s="3">
        <f>+IF(AVANCE[[#This Row],[TABIQUES]]=O$2,100%,AVANCE[[#This Row],[TABIQUES]])</f>
        <v>0</v>
      </c>
      <c r="BJ604" s="3">
        <f>+IF(AVANCE[[#This Row],[MUROS]]=P$2,100%,AVANCE[[#This Row],[MUROS]])</f>
        <v>0</v>
      </c>
      <c r="BK604" s="3">
        <f>+IF(AVANCE[[#This Row],[CIELO]]=Q$2,100%,AVANCE[[#This Row],[CIELO]])</f>
        <v>0</v>
      </c>
      <c r="BL604" s="3">
        <f>+IF(AVANCE[[#This Row],[BALCÓN]]=R$2,100%,AVANCE[[#This Row],[BALCÓN]])</f>
        <v>0</v>
      </c>
      <c r="BM604" s="3">
        <f>+IF(AVANCE[[#This Row],[RED ALCANTARILLADO]]=U$2,100%,AVANCE[[#This Row],[RED ALCANTARILLADO]])</f>
        <v>0</v>
      </c>
      <c r="BN604" s="3">
        <f>+IF(AVANCE[[#This Row],[RED DE AGUA]]=V$2,100%,AVANCE[[#This Row],[RED DE AGUA]])</f>
        <v>0</v>
      </c>
      <c r="BO604" s="3">
        <f>+IF(AVANCE[[#This Row],[VENTILACIONES]]=W$2,100%,AVANCE[[#This Row],[VENTILACIONES]])</f>
        <v>0</v>
      </c>
      <c r="BP604" s="3">
        <f>+IF(AVANCE[[#This Row],[TINA]]=X$2,100%,AVANCE[[#This Row],[TINA]])</f>
        <v>0</v>
      </c>
      <c r="BQ604" s="3">
        <f>+IF(AVANCE[[#This Row],[WC]]=Y$2,100%,AVANCE[[#This Row],[WC]])</f>
        <v>0</v>
      </c>
      <c r="BR604" s="3">
        <f>+IF(AVANCE[[#This Row],[LAVAMANOS / LAVAPLATOS / LAVADERO]]=Z$2,100%,AVANCE[[#This Row],[LAVAMANOS / LAVAPLATOS / LAVADERO]])</f>
        <v>0</v>
      </c>
      <c r="BS604" s="3">
        <f>+IF(AVANCE[[#This Row],[CANALIZACIÓN]]=AC$2,100%,AVANCE[[#This Row],[CANALIZACIÓN]])</f>
        <v>0</v>
      </c>
      <c r="BT604" s="3">
        <f>+IF(AVANCE[[#This Row],[CABLEADO]]=AD$2,100%,AVANCE[[#This Row],[CABLEADO]])</f>
        <v>0</v>
      </c>
      <c r="BU604" s="3">
        <f>+IF(AVANCE[[#This Row],[ARTEFACTOS]]=AE$2,100%,AVANCE[[#This Row],[ARTEFACTOS]])</f>
        <v>0</v>
      </c>
      <c r="BV604" s="3">
        <f>+IF(AVANCE[[#This Row],[TABLERO]]=AF$2,100%,AVANCE[[#This Row],[TABLERO]])</f>
        <v>0</v>
      </c>
      <c r="BW604" s="3">
        <f>+IF(AVANCE[[#This Row],[CAJA PAU]]=AG$2,100%,AVANCE[[#This Row],[CAJA PAU]])</f>
        <v>0</v>
      </c>
      <c r="BX604" s="3">
        <f>+IF(AVANCE[[#This Row],[INSTALACION VINILICO]]=AJ$2,100%,AVANCE[[#This Row],[INSTALACION VINILICO]])</f>
        <v>0</v>
      </c>
      <c r="BY604" s="3">
        <f>+IF(AVANCE[[#This Row],[OSB CUBIERTA]]=AK$2,100%,AVANCE[[#This Row],[OSB CUBIERTA]])</f>
        <v>0</v>
      </c>
      <c r="BZ604" s="3">
        <f>+IF(AVANCE[[#This Row],[BARANDA BALCON]]=AL$2,100%,AVANCE[[#This Row],[BARANDA BALCON]])</f>
        <v>0</v>
      </c>
      <c r="CA604" s="3">
        <f>+IF(AVANCE[[#This Row],[OSB EXTERIOR]]=AM$2,100%,AVANCE[[#This Row],[OSB EXTERIOR]])</f>
        <v>0</v>
      </c>
      <c r="CB604" s="3">
        <f>+IF(AVANCE[[#This Row],[SMART PANEL]]=AN$2,100%,AVANCE[[#This Row],[SMART PANEL]])</f>
        <v>0</v>
      </c>
      <c r="CC604" s="3">
        <f>+IF(AVANCE[[#This Row],[PINTURA EXTERIOR]]=AO$2,100%,AVANCE[[#This Row],[PINTURA EXTERIOR]])</f>
        <v>0</v>
      </c>
      <c r="CD604" s="3">
        <f>+IF(AVANCE[[#This Row],[ZOCALOS LOGIA]]=AP$2,100%,AVANCE[[#This Row],[ZOCALOS LOGIA]])</f>
        <v>0</v>
      </c>
      <c r="CE604" s="3">
        <f>+IF(AVANCE[[#This Row],[MOLDURAS]]=AQ$2,100%,AVANCE[[#This Row],[MOLDURAS]])</f>
        <v>0</v>
      </c>
      <c r="CF604" s="3">
        <f>+IF(AVANCE[[#This Row],[PILASTREO]]=AR$2,100%,AVANCE[[#This Row],[PILASTREO]])</f>
        <v>0</v>
      </c>
      <c r="CG604" s="3">
        <f>+IF(AVANCE[[#This Row],[CELOSIAS]]=AS$2,100%,AVANCE[[#This Row],[CELOSIAS]])</f>
        <v>0</v>
      </c>
      <c r="CH604" s="3">
        <f>+IF(AVANCE[[#This Row],[VENTANAS]]=AT$2,100%,AVANCE[[#This Row],[VENTANAS]])</f>
        <v>0</v>
      </c>
      <c r="CI604" s="3">
        <f>+IF(AVANCE[[#This Row],[PUERTAS ACCESO - LOGIA - BANO]]=AU$2,100%,AVANCE[[#This Row],[PUERTAS ACCESO - LOGIA - BANO]])</f>
        <v>0</v>
      </c>
      <c r="CJ604" s="3">
        <f>+IF(AVANCE[[#This Row],[CERRADURAS]]=AV$2,100%,AVANCE[[#This Row],[CERRADURAS]])</f>
        <v>0</v>
      </c>
      <c r="CK604" s="3">
        <f>+IF(AVANCE[[#This Row],[REVESTIMIENTO INTERIOR ZONA SECA]]=AW$2,100%,AVANCE[[#This Row],[REVESTIMIENTO INTERIOR ZONA SECA]])</f>
        <v>0</v>
      </c>
      <c r="CL604" s="3">
        <f>+IF(AVANCE[[#This Row],[REVESTIMIENTO INTERIOR ZONAS HUMEDAS]]=AX$2,100%,AVANCE[[#This Row],[REVESTIMIENTO INTERIOR ZONAS HUMEDAS]])</f>
        <v>0</v>
      </c>
      <c r="CM604" s="3">
        <f>+IF(AVANCE[[#This Row],[MEMBRANA CIELO]]=AY$2,100%,AVANCE[[#This Row],[MEMBRANA CIELO]])</f>
        <v>0</v>
      </c>
      <c r="CN604" s="3">
        <f>+IF(AVANCE[[#This Row],[LIMPIEZA FINAL]]=AZ$2,100%,AVANCE[[#This Row],[LIMPIEZA FINAL]])</f>
        <v>0</v>
      </c>
      <c r="CO604" s="3">
        <f>+IF(AVANCE[[#This Row],[PUERTAS DORMITORIO]]=BA$2,100%,AVANCE[[#This Row],[PUERTAS DORMITORIO]])</f>
        <v>0</v>
      </c>
      <c r="CP604" s="3">
        <f>+IF(AVANCE[[#This Row],[REVESTIMIENTO INTERIOR BANO]]=BB$2,100%,AVANCE[[#This Row],[REVESTIMIENTO INTERIOR BANO]])</f>
        <v>0</v>
      </c>
      <c r="CQ604" s="3">
        <f>+IF(AVANCE[[#This Row],[MUEBLE LAVAPLATOS]]=BC$2,100%,AVANCE[[#This Row],[MUEBLE LAVAPLATOS]])</f>
        <v>0</v>
      </c>
      <c r="CR604" s="3">
        <f>+IF(AVANCE[[#This Row],[IMPERMEABILIZACION BANO - COCINA LOGIA]]=BD$2,100%,AVANCE[[#This Row],[IMPERMEABILIZACION BANO - COCINA LOGIA]])</f>
        <v>0</v>
      </c>
      <c r="CS604" s="40">
        <f ca="1">+IF(AVANCE[[#This Row],[ESTADO MODULO]]="PENDIENTE",(TODAY()-AVANCE[[#This Row],[FECHA TERMINO  PLANIFICADO]]),0)</f>
        <v>0</v>
      </c>
      <c r="CT604" s="41" t="str" cm="1">
        <f t="array" ref="CT604">_xlfn.TEXTJOIN(" | ",TRUE,IF(SUMPRODUCT((BG604:CR604&lt;1)*(PARTIDAS!$I$2:$AT$2="OBRA GRUESA"))&gt;0,"OBRA GRUESA: "&amp;_xlfn.TEXTJOIN(", ",TRUE,IF((BG604:CR604&lt;1)*(PARTIDAS!$I$2:$AT$2="OBRA GRUESA"),PARTIDAS!$I$1:$AT$1,"")),""),IF(SUMPRODUCT((BG604:CR604&lt;1)*(PARTIDAS!$I$2:$AT$2="SANITARIOS"))&gt;0,"SANITARIOS: "&amp;_xlfn.TEXTJOIN(", ",TRUE,IF((BG604:CR604&lt;1)*(PARTIDAS!$I$2:$AT$2="SANITARIOS"),PARTIDAS!$I$1:$AT$1,"")),""),IF(SUMPRODUCT((BG604:CR604&lt;1)*(PARTIDAS!$I$2:$AT$2="ELÉCTRICO"))&gt;0,"ELÉCTRICO: "&amp;_xlfn.TEXTJOIN(", ",TRUE,IF((BG604:CR604&lt;1)*(PARTIDAS!$I$2:$AT$2="ELÉCTRICO"),PARTIDAS!$I$1:$AT$1,"")),""),IF(SUMPRODUCT((BG604:CR604&lt;1)*(PARTIDAS!$I$2:$AT$2="TERMINACIONES"))&gt;0,"TERMINACIONES: "&amp;_xlfn.TEXTJOIN(", ",TRUE,IF((BG604:CR604&lt;1)*(PARTIDAS!$I$2:$AT$2="TERMINACIONES"),PARTIDAS!$I$1:$AT$1,"")),""))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4" s="43" t="str" cm="1">
        <f t="array" ref="CU604">_xlfn.TEXTJOIN(", ",TRUE,IF(SUMPRODUCT((BG604:CR604&lt;1)*(PARTIDAS!$I$2:$AT$2="OBRA GRUESA"))&gt;0,"OBRA GRUESA",""),IF(SUMPRODUCT((BG604:CR604&lt;1)*(PARTIDAS!$I$2:$AT$2="SANITARIOS"))&gt;0,"SANITARIOS",""),IF(SUMPRODUCT((BG604:CR604&lt;1)*(PARTIDAS!$I$2:$AT$2="ELÉCTRICO"))&gt;0,"ELÉCTRICO",""),IF(SUMPRODUCT((BG604:CR604&lt;1)*(PARTIDAS!$I$2:$AT$2="TERMINACIONES"))&gt;0,"TERMINACIONES",""))</f>
        <v>OBRA GRUESA, SANITARIOS, ELÉCTRICO, TERMINACIONES</v>
      </c>
      <c r="CV604" s="44" cm="1">
        <f t="array" ref="CV604">SUMPRODUCT(--(BG604:CR604&lt;1))</f>
        <v>38</v>
      </c>
    </row>
    <row r="605" spans="1:100" hidden="1" x14ac:dyDescent="0.25">
      <c r="A605" t="s">
        <v>652</v>
      </c>
      <c r="B605" t="s">
        <v>680</v>
      </c>
      <c r="C605">
        <v>2282600604</v>
      </c>
      <c r="D605" t="s">
        <v>58</v>
      </c>
      <c r="E605" s="2">
        <v>0</v>
      </c>
      <c r="F605" s="1">
        <v>46441</v>
      </c>
      <c r="G605" s="1"/>
      <c r="H605" s="1">
        <v>0</v>
      </c>
      <c r="I605" s="1">
        <v>46461</v>
      </c>
      <c r="J605">
        <v>46230</v>
      </c>
      <c r="K605" s="1"/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>
        <v>28.87</v>
      </c>
      <c r="BF605" s="3" t="str">
        <f>+IF(AVANCE[[#This Row],[% AVANCE]]=100%,"MODULO TERMINADO",IF(AVANCE[[#This Row],[FECHA INICIO REAL]]="","MODULO NO INICIADO","PENDIENTE"))</f>
        <v>MODULO NO INICIADO</v>
      </c>
      <c r="BG605" s="3">
        <f>+IF(AVANCE[[#This Row],[VENTANAS]]=8.10810810810811%,100%,AVANCE[[#This Row],[VENTANAS]])</f>
        <v>0</v>
      </c>
      <c r="BH605" s="3">
        <f>+IF(AVANCE[[#This Row],[PISO]]=N$2,100%,AVANCE[[#This Row],[PISO]])</f>
        <v>0</v>
      </c>
      <c r="BI605" s="3">
        <f>+IF(AVANCE[[#This Row],[TABIQUES]]=O$2,100%,AVANCE[[#This Row],[TABIQUES]])</f>
        <v>0</v>
      </c>
      <c r="BJ605" s="3">
        <f>+IF(AVANCE[[#This Row],[MUROS]]=P$2,100%,AVANCE[[#This Row],[MUROS]])</f>
        <v>0</v>
      </c>
      <c r="BK605" s="3">
        <f>+IF(AVANCE[[#This Row],[CIELO]]=Q$2,100%,AVANCE[[#This Row],[CIELO]])</f>
        <v>0</v>
      </c>
      <c r="BL605" s="3">
        <f>+IF(AVANCE[[#This Row],[BALCÓN]]=R$2,100%,AVANCE[[#This Row],[BALCÓN]])</f>
        <v>0</v>
      </c>
      <c r="BM605" s="3">
        <f>+IF(AVANCE[[#This Row],[RED ALCANTARILLADO]]=U$2,100%,AVANCE[[#This Row],[RED ALCANTARILLADO]])</f>
        <v>0</v>
      </c>
      <c r="BN605" s="3">
        <f>+IF(AVANCE[[#This Row],[RED DE AGUA]]=V$2,100%,AVANCE[[#This Row],[RED DE AGUA]])</f>
        <v>0</v>
      </c>
      <c r="BO605" s="3">
        <f>+IF(AVANCE[[#This Row],[VENTILACIONES]]=W$2,100%,AVANCE[[#This Row],[VENTILACIONES]])</f>
        <v>0</v>
      </c>
      <c r="BP605" s="3">
        <f>+IF(AVANCE[[#This Row],[TINA]]=X$2,100%,AVANCE[[#This Row],[TINA]])</f>
        <v>0</v>
      </c>
      <c r="BQ605" s="3">
        <f>+IF(AVANCE[[#This Row],[WC]]=Y$2,100%,AVANCE[[#This Row],[WC]])</f>
        <v>0</v>
      </c>
      <c r="BR605" s="3">
        <f>+IF(AVANCE[[#This Row],[LAVAMANOS / LAVAPLATOS / LAVADERO]]=Z$2,100%,AVANCE[[#This Row],[LAVAMANOS / LAVAPLATOS / LAVADERO]])</f>
        <v>0</v>
      </c>
      <c r="BS605" s="3">
        <f>+IF(AVANCE[[#This Row],[CANALIZACIÓN]]=AC$2,100%,AVANCE[[#This Row],[CANALIZACIÓN]])</f>
        <v>0</v>
      </c>
      <c r="BT605" s="3">
        <f>+IF(AVANCE[[#This Row],[CABLEADO]]=AD$2,100%,AVANCE[[#This Row],[CABLEADO]])</f>
        <v>0</v>
      </c>
      <c r="BU605" s="3">
        <f>+IF(AVANCE[[#This Row],[ARTEFACTOS]]=AE$2,100%,AVANCE[[#This Row],[ARTEFACTOS]])</f>
        <v>0</v>
      </c>
      <c r="BV605" s="3">
        <f>+IF(AVANCE[[#This Row],[TABLERO]]=AF$2,100%,AVANCE[[#This Row],[TABLERO]])</f>
        <v>0</v>
      </c>
      <c r="BW605" s="3">
        <f>+IF(AVANCE[[#This Row],[CAJA PAU]]=AG$2,100%,AVANCE[[#This Row],[CAJA PAU]])</f>
        <v>0</v>
      </c>
      <c r="BX605" s="3">
        <f>+IF(AVANCE[[#This Row],[INSTALACION VINILICO]]=AJ$2,100%,AVANCE[[#This Row],[INSTALACION VINILICO]])</f>
        <v>0</v>
      </c>
      <c r="BY605" s="3">
        <f>+IF(AVANCE[[#This Row],[OSB CUBIERTA]]=AK$2,100%,AVANCE[[#This Row],[OSB CUBIERTA]])</f>
        <v>0</v>
      </c>
      <c r="BZ605" s="3">
        <f>+IF(AVANCE[[#This Row],[BARANDA BALCON]]=AL$2,100%,AVANCE[[#This Row],[BARANDA BALCON]])</f>
        <v>0</v>
      </c>
      <c r="CA605" s="3">
        <f>+IF(AVANCE[[#This Row],[OSB EXTERIOR]]=AM$2,100%,AVANCE[[#This Row],[OSB EXTERIOR]])</f>
        <v>0</v>
      </c>
      <c r="CB605" s="3">
        <f>+IF(AVANCE[[#This Row],[SMART PANEL]]=AN$2,100%,AVANCE[[#This Row],[SMART PANEL]])</f>
        <v>0</v>
      </c>
      <c r="CC605" s="3">
        <f>+IF(AVANCE[[#This Row],[PINTURA EXTERIOR]]=AO$2,100%,AVANCE[[#This Row],[PINTURA EXTERIOR]])</f>
        <v>0</v>
      </c>
      <c r="CD605" s="3">
        <f>+IF(AVANCE[[#This Row],[ZOCALOS LOGIA]]=AP$2,100%,AVANCE[[#This Row],[ZOCALOS LOGIA]])</f>
        <v>0</v>
      </c>
      <c r="CE605" s="3">
        <f>+IF(AVANCE[[#This Row],[MOLDURAS]]=AQ$2,100%,AVANCE[[#This Row],[MOLDURAS]])</f>
        <v>0</v>
      </c>
      <c r="CF605" s="3">
        <f>+IF(AVANCE[[#This Row],[PILASTREO]]=AR$2,100%,AVANCE[[#This Row],[PILASTREO]])</f>
        <v>0</v>
      </c>
      <c r="CG605" s="3">
        <f>+IF(AVANCE[[#This Row],[CELOSIAS]]=AS$2,100%,AVANCE[[#This Row],[CELOSIAS]])</f>
        <v>0</v>
      </c>
      <c r="CH605" s="3">
        <f>+IF(AVANCE[[#This Row],[VENTANAS]]=AT$2,100%,AVANCE[[#This Row],[VENTANAS]])</f>
        <v>0</v>
      </c>
      <c r="CI605" s="3">
        <f>+IF(AVANCE[[#This Row],[PUERTAS ACCESO - LOGIA - BANO]]=AU$2,100%,AVANCE[[#This Row],[PUERTAS ACCESO - LOGIA - BANO]])</f>
        <v>0</v>
      </c>
      <c r="CJ605" s="3">
        <f>+IF(AVANCE[[#This Row],[CERRADURAS]]=AV$2,100%,AVANCE[[#This Row],[CERRADURAS]])</f>
        <v>0</v>
      </c>
      <c r="CK605" s="3">
        <f>+IF(AVANCE[[#This Row],[REVESTIMIENTO INTERIOR ZONA SECA]]=AW$2,100%,AVANCE[[#This Row],[REVESTIMIENTO INTERIOR ZONA SECA]])</f>
        <v>0</v>
      </c>
      <c r="CL605" s="3">
        <f>+IF(AVANCE[[#This Row],[REVESTIMIENTO INTERIOR ZONAS HUMEDAS]]=AX$2,100%,AVANCE[[#This Row],[REVESTIMIENTO INTERIOR ZONAS HUMEDAS]])</f>
        <v>0</v>
      </c>
      <c r="CM605" s="3">
        <f>+IF(AVANCE[[#This Row],[MEMBRANA CIELO]]=AY$2,100%,AVANCE[[#This Row],[MEMBRANA CIELO]])</f>
        <v>0</v>
      </c>
      <c r="CN605" s="3">
        <f>+IF(AVANCE[[#This Row],[LIMPIEZA FINAL]]=AZ$2,100%,AVANCE[[#This Row],[LIMPIEZA FINAL]])</f>
        <v>0</v>
      </c>
      <c r="CO605" s="3">
        <f>+IF(AVANCE[[#This Row],[PUERTAS DORMITORIO]]=BA$2,100%,AVANCE[[#This Row],[PUERTAS DORMITORIO]])</f>
        <v>0</v>
      </c>
      <c r="CP605" s="3">
        <f>+IF(AVANCE[[#This Row],[REVESTIMIENTO INTERIOR BANO]]=BB$2,100%,AVANCE[[#This Row],[REVESTIMIENTO INTERIOR BANO]])</f>
        <v>0</v>
      </c>
      <c r="CQ605" s="3">
        <f>+IF(AVANCE[[#This Row],[MUEBLE LAVAPLATOS]]=BC$2,100%,AVANCE[[#This Row],[MUEBLE LAVAPLATOS]])</f>
        <v>0</v>
      </c>
      <c r="CR605" s="3">
        <f>+IF(AVANCE[[#This Row],[IMPERMEABILIZACION BANO - COCINA LOGIA]]=BD$2,100%,AVANCE[[#This Row],[IMPERMEABILIZACION BANO - COCINA LOGIA]])</f>
        <v>0</v>
      </c>
      <c r="CS605" s="40">
        <f ca="1">+IF(AVANCE[[#This Row],[ESTADO MODULO]]="PENDIENTE",(TODAY()-AVANCE[[#This Row],[FECHA TERMINO  PLANIFICADO]]),0)</f>
        <v>0</v>
      </c>
      <c r="CT605" s="41" t="str" cm="1">
        <f t="array" ref="CT605">_xlfn.TEXTJOIN(" | ",TRUE,IF(SUMPRODUCT((BG605:CR605&lt;1)*(PARTIDAS!$I$2:$AT$2="OBRA GRUESA"))&gt;0,"OBRA GRUESA: "&amp;_xlfn.TEXTJOIN(", ",TRUE,IF((BG605:CR605&lt;1)*(PARTIDAS!$I$2:$AT$2="OBRA GRUESA"),PARTIDAS!$I$1:$AT$1,"")),""),IF(SUMPRODUCT((BG605:CR605&lt;1)*(PARTIDAS!$I$2:$AT$2="SANITARIOS"))&gt;0,"SANITARIOS: "&amp;_xlfn.TEXTJOIN(", ",TRUE,IF((BG605:CR605&lt;1)*(PARTIDAS!$I$2:$AT$2="SANITARIOS"),PARTIDAS!$I$1:$AT$1,"")),""),IF(SUMPRODUCT((BG605:CR605&lt;1)*(PARTIDAS!$I$2:$AT$2="ELÉCTRICO"))&gt;0,"ELÉCTRICO: "&amp;_xlfn.TEXTJOIN(", ",TRUE,IF((BG605:CR605&lt;1)*(PARTIDAS!$I$2:$AT$2="ELÉCTRICO"),PARTIDAS!$I$1:$AT$1,"")),""),IF(SUMPRODUCT((BG605:CR605&lt;1)*(PARTIDAS!$I$2:$AT$2="TERMINACIONES"))&gt;0,"TERMINACIONES: "&amp;_xlfn.TEXTJOIN(", ",TRUE,IF((BG605:CR605&lt;1)*(PARTIDAS!$I$2:$AT$2="TERMINACIONES"),PARTIDAS!$I$1:$AT$1,"")),""))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5" s="43" t="str" cm="1">
        <f t="array" ref="CU605">_xlfn.TEXTJOIN(", ",TRUE,IF(SUMPRODUCT((BG605:CR605&lt;1)*(PARTIDAS!$I$2:$AT$2="OBRA GRUESA"))&gt;0,"OBRA GRUESA",""),IF(SUMPRODUCT((BG605:CR605&lt;1)*(PARTIDAS!$I$2:$AT$2="SANITARIOS"))&gt;0,"SANITARIOS",""),IF(SUMPRODUCT((BG605:CR605&lt;1)*(PARTIDAS!$I$2:$AT$2="ELÉCTRICO"))&gt;0,"ELÉCTRICO",""),IF(SUMPRODUCT((BG605:CR605&lt;1)*(PARTIDAS!$I$2:$AT$2="TERMINACIONES"))&gt;0,"TERMINACIONES",""))</f>
        <v>OBRA GRUESA, SANITARIOS, ELÉCTRICO, TERMINACIONES</v>
      </c>
      <c r="CV605" s="44" cm="1">
        <f t="array" ref="CV605">SUMPRODUCT(--(BG605:CR605&lt;1))</f>
        <v>38</v>
      </c>
    </row>
    <row r="606" spans="1:100" hidden="1" x14ac:dyDescent="0.25">
      <c r="A606" t="s">
        <v>652</v>
      </c>
      <c r="B606" t="s">
        <v>681</v>
      </c>
      <c r="C606">
        <v>2282600605</v>
      </c>
      <c r="D606" t="s">
        <v>58</v>
      </c>
      <c r="E606" s="2">
        <v>0</v>
      </c>
      <c r="F606" s="1">
        <v>46442</v>
      </c>
      <c r="G606" s="1"/>
      <c r="H606" s="1">
        <v>0</v>
      </c>
      <c r="I606" s="1">
        <v>46462</v>
      </c>
      <c r="J606">
        <v>46230</v>
      </c>
      <c r="K606" s="1"/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>
        <v>28.87</v>
      </c>
      <c r="BF606" s="3" t="str">
        <f>+IF(AVANCE[[#This Row],[% AVANCE]]=100%,"MODULO TERMINADO",IF(AVANCE[[#This Row],[FECHA INICIO REAL]]="","MODULO NO INICIADO","PENDIENTE"))</f>
        <v>MODULO NO INICIADO</v>
      </c>
      <c r="BG606" s="3">
        <f>+IF(AVANCE[[#This Row],[VENTANAS]]=8.10810810810811%,100%,AVANCE[[#This Row],[VENTANAS]])</f>
        <v>0</v>
      </c>
      <c r="BH606" s="3">
        <f>+IF(AVANCE[[#This Row],[PISO]]=N$2,100%,AVANCE[[#This Row],[PISO]])</f>
        <v>0</v>
      </c>
      <c r="BI606" s="3">
        <f>+IF(AVANCE[[#This Row],[TABIQUES]]=O$2,100%,AVANCE[[#This Row],[TABIQUES]])</f>
        <v>0</v>
      </c>
      <c r="BJ606" s="3">
        <f>+IF(AVANCE[[#This Row],[MUROS]]=P$2,100%,AVANCE[[#This Row],[MUROS]])</f>
        <v>0</v>
      </c>
      <c r="BK606" s="3">
        <f>+IF(AVANCE[[#This Row],[CIELO]]=Q$2,100%,AVANCE[[#This Row],[CIELO]])</f>
        <v>0</v>
      </c>
      <c r="BL606" s="3">
        <f>+IF(AVANCE[[#This Row],[BALCÓN]]=R$2,100%,AVANCE[[#This Row],[BALCÓN]])</f>
        <v>0</v>
      </c>
      <c r="BM606" s="3">
        <f>+IF(AVANCE[[#This Row],[RED ALCANTARILLADO]]=U$2,100%,AVANCE[[#This Row],[RED ALCANTARILLADO]])</f>
        <v>0</v>
      </c>
      <c r="BN606" s="3">
        <f>+IF(AVANCE[[#This Row],[RED DE AGUA]]=V$2,100%,AVANCE[[#This Row],[RED DE AGUA]])</f>
        <v>0</v>
      </c>
      <c r="BO606" s="3">
        <f>+IF(AVANCE[[#This Row],[VENTILACIONES]]=W$2,100%,AVANCE[[#This Row],[VENTILACIONES]])</f>
        <v>0</v>
      </c>
      <c r="BP606" s="3">
        <f>+IF(AVANCE[[#This Row],[TINA]]=X$2,100%,AVANCE[[#This Row],[TINA]])</f>
        <v>0</v>
      </c>
      <c r="BQ606" s="3">
        <f>+IF(AVANCE[[#This Row],[WC]]=Y$2,100%,AVANCE[[#This Row],[WC]])</f>
        <v>0</v>
      </c>
      <c r="BR606" s="3">
        <f>+IF(AVANCE[[#This Row],[LAVAMANOS / LAVAPLATOS / LAVADERO]]=Z$2,100%,AVANCE[[#This Row],[LAVAMANOS / LAVAPLATOS / LAVADERO]])</f>
        <v>0</v>
      </c>
      <c r="BS606" s="3">
        <f>+IF(AVANCE[[#This Row],[CANALIZACIÓN]]=AC$2,100%,AVANCE[[#This Row],[CANALIZACIÓN]])</f>
        <v>0</v>
      </c>
      <c r="BT606" s="3">
        <f>+IF(AVANCE[[#This Row],[CABLEADO]]=AD$2,100%,AVANCE[[#This Row],[CABLEADO]])</f>
        <v>0</v>
      </c>
      <c r="BU606" s="3">
        <f>+IF(AVANCE[[#This Row],[ARTEFACTOS]]=AE$2,100%,AVANCE[[#This Row],[ARTEFACTOS]])</f>
        <v>0</v>
      </c>
      <c r="BV606" s="3">
        <f>+IF(AVANCE[[#This Row],[TABLERO]]=AF$2,100%,AVANCE[[#This Row],[TABLERO]])</f>
        <v>0</v>
      </c>
      <c r="BW606" s="3">
        <f>+IF(AVANCE[[#This Row],[CAJA PAU]]=AG$2,100%,AVANCE[[#This Row],[CAJA PAU]])</f>
        <v>0</v>
      </c>
      <c r="BX606" s="3">
        <f>+IF(AVANCE[[#This Row],[INSTALACION VINILICO]]=AJ$2,100%,AVANCE[[#This Row],[INSTALACION VINILICO]])</f>
        <v>0</v>
      </c>
      <c r="BY606" s="3">
        <f>+IF(AVANCE[[#This Row],[OSB CUBIERTA]]=AK$2,100%,AVANCE[[#This Row],[OSB CUBIERTA]])</f>
        <v>0</v>
      </c>
      <c r="BZ606" s="3">
        <f>+IF(AVANCE[[#This Row],[BARANDA BALCON]]=AL$2,100%,AVANCE[[#This Row],[BARANDA BALCON]])</f>
        <v>0</v>
      </c>
      <c r="CA606" s="3">
        <f>+IF(AVANCE[[#This Row],[OSB EXTERIOR]]=AM$2,100%,AVANCE[[#This Row],[OSB EXTERIOR]])</f>
        <v>0</v>
      </c>
      <c r="CB606" s="3">
        <f>+IF(AVANCE[[#This Row],[SMART PANEL]]=AN$2,100%,AVANCE[[#This Row],[SMART PANEL]])</f>
        <v>0</v>
      </c>
      <c r="CC606" s="3">
        <f>+IF(AVANCE[[#This Row],[PINTURA EXTERIOR]]=AO$2,100%,AVANCE[[#This Row],[PINTURA EXTERIOR]])</f>
        <v>0</v>
      </c>
      <c r="CD606" s="3">
        <f>+IF(AVANCE[[#This Row],[ZOCALOS LOGIA]]=AP$2,100%,AVANCE[[#This Row],[ZOCALOS LOGIA]])</f>
        <v>0</v>
      </c>
      <c r="CE606" s="3">
        <f>+IF(AVANCE[[#This Row],[MOLDURAS]]=AQ$2,100%,AVANCE[[#This Row],[MOLDURAS]])</f>
        <v>0</v>
      </c>
      <c r="CF606" s="3">
        <f>+IF(AVANCE[[#This Row],[PILASTREO]]=AR$2,100%,AVANCE[[#This Row],[PILASTREO]])</f>
        <v>0</v>
      </c>
      <c r="CG606" s="3">
        <f>+IF(AVANCE[[#This Row],[CELOSIAS]]=AS$2,100%,AVANCE[[#This Row],[CELOSIAS]])</f>
        <v>0</v>
      </c>
      <c r="CH606" s="3">
        <f>+IF(AVANCE[[#This Row],[VENTANAS]]=AT$2,100%,AVANCE[[#This Row],[VENTANAS]])</f>
        <v>0</v>
      </c>
      <c r="CI606" s="3">
        <f>+IF(AVANCE[[#This Row],[PUERTAS ACCESO - LOGIA - BANO]]=AU$2,100%,AVANCE[[#This Row],[PUERTAS ACCESO - LOGIA - BANO]])</f>
        <v>0</v>
      </c>
      <c r="CJ606" s="3">
        <f>+IF(AVANCE[[#This Row],[CERRADURAS]]=AV$2,100%,AVANCE[[#This Row],[CERRADURAS]])</f>
        <v>0</v>
      </c>
      <c r="CK606" s="3">
        <f>+IF(AVANCE[[#This Row],[REVESTIMIENTO INTERIOR ZONA SECA]]=AW$2,100%,AVANCE[[#This Row],[REVESTIMIENTO INTERIOR ZONA SECA]])</f>
        <v>0</v>
      </c>
      <c r="CL606" s="3">
        <f>+IF(AVANCE[[#This Row],[REVESTIMIENTO INTERIOR ZONAS HUMEDAS]]=AX$2,100%,AVANCE[[#This Row],[REVESTIMIENTO INTERIOR ZONAS HUMEDAS]])</f>
        <v>0</v>
      </c>
      <c r="CM606" s="3">
        <f>+IF(AVANCE[[#This Row],[MEMBRANA CIELO]]=AY$2,100%,AVANCE[[#This Row],[MEMBRANA CIELO]])</f>
        <v>0</v>
      </c>
      <c r="CN606" s="3">
        <f>+IF(AVANCE[[#This Row],[LIMPIEZA FINAL]]=AZ$2,100%,AVANCE[[#This Row],[LIMPIEZA FINAL]])</f>
        <v>0</v>
      </c>
      <c r="CO606" s="3">
        <f>+IF(AVANCE[[#This Row],[PUERTAS DORMITORIO]]=BA$2,100%,AVANCE[[#This Row],[PUERTAS DORMITORIO]])</f>
        <v>0</v>
      </c>
      <c r="CP606" s="3">
        <f>+IF(AVANCE[[#This Row],[REVESTIMIENTO INTERIOR BANO]]=BB$2,100%,AVANCE[[#This Row],[REVESTIMIENTO INTERIOR BANO]])</f>
        <v>0</v>
      </c>
      <c r="CQ606" s="3">
        <f>+IF(AVANCE[[#This Row],[MUEBLE LAVAPLATOS]]=BC$2,100%,AVANCE[[#This Row],[MUEBLE LAVAPLATOS]])</f>
        <v>0</v>
      </c>
      <c r="CR606" s="3">
        <f>+IF(AVANCE[[#This Row],[IMPERMEABILIZACION BANO - COCINA LOGIA]]=BD$2,100%,AVANCE[[#This Row],[IMPERMEABILIZACION BANO - COCINA LOGIA]])</f>
        <v>0</v>
      </c>
      <c r="CS606" s="40">
        <f ca="1">+IF(AVANCE[[#This Row],[ESTADO MODULO]]="PENDIENTE",(TODAY()-AVANCE[[#This Row],[FECHA TERMINO  PLANIFICADO]]),0)</f>
        <v>0</v>
      </c>
      <c r="CT606" s="41" t="str" cm="1">
        <f t="array" ref="CT606">_xlfn.TEXTJOIN(" | ",TRUE,IF(SUMPRODUCT((BG606:CR606&lt;1)*(PARTIDAS!$I$2:$AT$2="OBRA GRUESA"))&gt;0,"OBRA GRUESA: "&amp;_xlfn.TEXTJOIN(", ",TRUE,IF((BG606:CR606&lt;1)*(PARTIDAS!$I$2:$AT$2="OBRA GRUESA"),PARTIDAS!$I$1:$AT$1,"")),""),IF(SUMPRODUCT((BG606:CR606&lt;1)*(PARTIDAS!$I$2:$AT$2="SANITARIOS"))&gt;0,"SANITARIOS: "&amp;_xlfn.TEXTJOIN(", ",TRUE,IF((BG606:CR606&lt;1)*(PARTIDAS!$I$2:$AT$2="SANITARIOS"),PARTIDAS!$I$1:$AT$1,"")),""),IF(SUMPRODUCT((BG606:CR606&lt;1)*(PARTIDAS!$I$2:$AT$2="ELÉCTRICO"))&gt;0,"ELÉCTRICO: "&amp;_xlfn.TEXTJOIN(", ",TRUE,IF((BG606:CR606&lt;1)*(PARTIDAS!$I$2:$AT$2="ELÉCTRICO"),PARTIDAS!$I$1:$AT$1,"")),""),IF(SUMPRODUCT((BG606:CR606&lt;1)*(PARTIDAS!$I$2:$AT$2="TERMINACIONES"))&gt;0,"TERMINACIONES: "&amp;_xlfn.TEXTJOIN(", ",TRUE,IF((BG606:CR606&lt;1)*(PARTIDAS!$I$2:$AT$2="TERMINACIONES"),PARTIDAS!$I$1:$AT$1,"")),""))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6" s="43" t="str" cm="1">
        <f t="array" ref="CU606">_xlfn.TEXTJOIN(", ",TRUE,IF(SUMPRODUCT((BG606:CR606&lt;1)*(PARTIDAS!$I$2:$AT$2="OBRA GRUESA"))&gt;0,"OBRA GRUESA",""),IF(SUMPRODUCT((BG606:CR606&lt;1)*(PARTIDAS!$I$2:$AT$2="SANITARIOS"))&gt;0,"SANITARIOS",""),IF(SUMPRODUCT((BG606:CR606&lt;1)*(PARTIDAS!$I$2:$AT$2="ELÉCTRICO"))&gt;0,"ELÉCTRICO",""),IF(SUMPRODUCT((BG606:CR606&lt;1)*(PARTIDAS!$I$2:$AT$2="TERMINACIONES"))&gt;0,"TERMINACIONES",""))</f>
        <v>OBRA GRUESA, SANITARIOS, ELÉCTRICO, TERMINACIONES</v>
      </c>
      <c r="CV606" s="44" cm="1">
        <f t="array" ref="CV606">SUMPRODUCT(--(BG606:CR606&lt;1))</f>
        <v>38</v>
      </c>
    </row>
    <row r="607" spans="1:100" hidden="1" x14ac:dyDescent="0.25">
      <c r="A607" t="s">
        <v>652</v>
      </c>
      <c r="B607" t="s">
        <v>682</v>
      </c>
      <c r="C607">
        <v>2302600606</v>
      </c>
      <c r="D607" t="s">
        <v>60</v>
      </c>
      <c r="E607" s="2">
        <v>0</v>
      </c>
      <c r="F607" s="1">
        <v>46442</v>
      </c>
      <c r="G607" s="1"/>
      <c r="H607" s="1">
        <v>0</v>
      </c>
      <c r="I607" s="1">
        <v>46472</v>
      </c>
      <c r="J607">
        <v>46230</v>
      </c>
      <c r="K607" s="1"/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>
        <v>31.32</v>
      </c>
      <c r="BF607" s="3" t="str">
        <f>+IF(AVANCE[[#This Row],[% AVANCE]]=100%,"MODULO TERMINADO",IF(AVANCE[[#This Row],[FECHA INICIO REAL]]="","MODULO NO INICIADO","PENDIENTE"))</f>
        <v>MODULO NO INICIADO</v>
      </c>
      <c r="BG607" s="3">
        <f>+IF(AVANCE[[#This Row],[VENTANAS]]=8.10810810810811%,100%,AVANCE[[#This Row],[VENTANAS]])</f>
        <v>0</v>
      </c>
      <c r="BH607" s="3">
        <f>+IF(AVANCE[[#This Row],[PISO]]=N$2,100%,AVANCE[[#This Row],[PISO]])</f>
        <v>0</v>
      </c>
      <c r="BI607" s="3">
        <f>+IF(AVANCE[[#This Row],[TABIQUES]]=O$2,100%,AVANCE[[#This Row],[TABIQUES]])</f>
        <v>0</v>
      </c>
      <c r="BJ607" s="3">
        <f>+IF(AVANCE[[#This Row],[MUROS]]=P$2,100%,AVANCE[[#This Row],[MUROS]])</f>
        <v>0</v>
      </c>
      <c r="BK607" s="3">
        <f>+IF(AVANCE[[#This Row],[CIELO]]=Q$2,100%,AVANCE[[#This Row],[CIELO]])</f>
        <v>0</v>
      </c>
      <c r="BL607" s="3">
        <f>+IF(AVANCE[[#This Row],[BALCÓN]]=R$2,100%,AVANCE[[#This Row],[BALCÓN]])</f>
        <v>0</v>
      </c>
      <c r="BM607" s="3">
        <f>+IF(AVANCE[[#This Row],[RED ALCANTARILLADO]]=U$2,100%,AVANCE[[#This Row],[RED ALCANTARILLADO]])</f>
        <v>0</v>
      </c>
      <c r="BN607" s="3">
        <f>+IF(AVANCE[[#This Row],[RED DE AGUA]]=V$2,100%,AVANCE[[#This Row],[RED DE AGUA]])</f>
        <v>0</v>
      </c>
      <c r="BO607" s="3">
        <f>+IF(AVANCE[[#This Row],[VENTILACIONES]]=W$2,100%,AVANCE[[#This Row],[VENTILACIONES]])</f>
        <v>0</v>
      </c>
      <c r="BP607" s="3">
        <f>+IF(AVANCE[[#This Row],[TINA]]=X$2,100%,AVANCE[[#This Row],[TINA]])</f>
        <v>0</v>
      </c>
      <c r="BQ607" s="3">
        <f>+IF(AVANCE[[#This Row],[WC]]=Y$2,100%,AVANCE[[#This Row],[WC]])</f>
        <v>0</v>
      </c>
      <c r="BR607" s="3">
        <f>+IF(AVANCE[[#This Row],[LAVAMANOS / LAVAPLATOS / LAVADERO]]=Z$2,100%,AVANCE[[#This Row],[LAVAMANOS / LAVAPLATOS / LAVADERO]])</f>
        <v>0</v>
      </c>
      <c r="BS607" s="3">
        <f>+IF(AVANCE[[#This Row],[CANALIZACIÓN]]=AC$2,100%,AVANCE[[#This Row],[CANALIZACIÓN]])</f>
        <v>0</v>
      </c>
      <c r="BT607" s="3">
        <f>+IF(AVANCE[[#This Row],[CABLEADO]]=AD$2,100%,AVANCE[[#This Row],[CABLEADO]])</f>
        <v>0</v>
      </c>
      <c r="BU607" s="3">
        <f>+IF(AVANCE[[#This Row],[ARTEFACTOS]]=AE$2,100%,AVANCE[[#This Row],[ARTEFACTOS]])</f>
        <v>0</v>
      </c>
      <c r="BV607" s="3">
        <f>+IF(AVANCE[[#This Row],[TABLERO]]=AF$2,100%,AVANCE[[#This Row],[TABLERO]])</f>
        <v>0</v>
      </c>
      <c r="BW607" s="3">
        <f>+IF(AVANCE[[#This Row],[CAJA PAU]]=AG$2,100%,AVANCE[[#This Row],[CAJA PAU]])</f>
        <v>0</v>
      </c>
      <c r="BX607" s="3">
        <f>+IF(AVANCE[[#This Row],[INSTALACION VINILICO]]=AJ$2,100%,AVANCE[[#This Row],[INSTALACION VINILICO]])</f>
        <v>0</v>
      </c>
      <c r="BY607" s="3">
        <f>+IF(AVANCE[[#This Row],[OSB CUBIERTA]]=AK$2,100%,AVANCE[[#This Row],[OSB CUBIERTA]])</f>
        <v>0</v>
      </c>
      <c r="BZ607" s="3">
        <f>+IF(AVANCE[[#This Row],[BARANDA BALCON]]=AL$2,100%,AVANCE[[#This Row],[BARANDA BALCON]])</f>
        <v>0</v>
      </c>
      <c r="CA607" s="3">
        <f>+IF(AVANCE[[#This Row],[OSB EXTERIOR]]=AM$2,100%,AVANCE[[#This Row],[OSB EXTERIOR]])</f>
        <v>0</v>
      </c>
      <c r="CB607" s="3">
        <f>+IF(AVANCE[[#This Row],[SMART PANEL]]=AN$2,100%,AVANCE[[#This Row],[SMART PANEL]])</f>
        <v>0</v>
      </c>
      <c r="CC607" s="3">
        <f>+IF(AVANCE[[#This Row],[PINTURA EXTERIOR]]=AO$2,100%,AVANCE[[#This Row],[PINTURA EXTERIOR]])</f>
        <v>0</v>
      </c>
      <c r="CD607" s="3">
        <f>+IF(AVANCE[[#This Row],[ZOCALOS LOGIA]]=AP$2,100%,AVANCE[[#This Row],[ZOCALOS LOGIA]])</f>
        <v>0</v>
      </c>
      <c r="CE607" s="3">
        <f>+IF(AVANCE[[#This Row],[MOLDURAS]]=AQ$2,100%,AVANCE[[#This Row],[MOLDURAS]])</f>
        <v>0</v>
      </c>
      <c r="CF607" s="3">
        <f>+IF(AVANCE[[#This Row],[PILASTREO]]=AR$2,100%,AVANCE[[#This Row],[PILASTREO]])</f>
        <v>0</v>
      </c>
      <c r="CG607" s="3">
        <f>+IF(AVANCE[[#This Row],[CELOSIAS]]=AS$2,100%,AVANCE[[#This Row],[CELOSIAS]])</f>
        <v>0</v>
      </c>
      <c r="CH607" s="3">
        <f>+IF(AVANCE[[#This Row],[VENTANAS]]=AT$2,100%,AVANCE[[#This Row],[VENTANAS]])</f>
        <v>0</v>
      </c>
      <c r="CI607" s="3">
        <f>+IF(AVANCE[[#This Row],[PUERTAS ACCESO - LOGIA - BANO]]=AU$2,100%,AVANCE[[#This Row],[PUERTAS ACCESO - LOGIA - BANO]])</f>
        <v>0</v>
      </c>
      <c r="CJ607" s="3">
        <f>+IF(AVANCE[[#This Row],[CERRADURAS]]=AV$2,100%,AVANCE[[#This Row],[CERRADURAS]])</f>
        <v>0</v>
      </c>
      <c r="CK607" s="3">
        <f>+IF(AVANCE[[#This Row],[REVESTIMIENTO INTERIOR ZONA SECA]]=AW$2,100%,AVANCE[[#This Row],[REVESTIMIENTO INTERIOR ZONA SECA]])</f>
        <v>0</v>
      </c>
      <c r="CL607" s="3">
        <f>+IF(AVANCE[[#This Row],[REVESTIMIENTO INTERIOR ZONAS HUMEDAS]]=AX$2,100%,AVANCE[[#This Row],[REVESTIMIENTO INTERIOR ZONAS HUMEDAS]])</f>
        <v>0</v>
      </c>
      <c r="CM607" s="3">
        <f>+IF(AVANCE[[#This Row],[MEMBRANA CIELO]]=AY$2,100%,AVANCE[[#This Row],[MEMBRANA CIELO]])</f>
        <v>0</v>
      </c>
      <c r="CN607" s="3">
        <f>+IF(AVANCE[[#This Row],[LIMPIEZA FINAL]]=AZ$2,100%,AVANCE[[#This Row],[LIMPIEZA FINAL]])</f>
        <v>0</v>
      </c>
      <c r="CO607" s="3">
        <f>+IF(AVANCE[[#This Row],[PUERTAS DORMITORIO]]=BA$2,100%,AVANCE[[#This Row],[PUERTAS DORMITORIO]])</f>
        <v>0</v>
      </c>
      <c r="CP607" s="3">
        <f>+IF(AVANCE[[#This Row],[REVESTIMIENTO INTERIOR BANO]]=BB$2,100%,AVANCE[[#This Row],[REVESTIMIENTO INTERIOR BANO]])</f>
        <v>0</v>
      </c>
      <c r="CQ607" s="3">
        <f>+IF(AVANCE[[#This Row],[MUEBLE LAVAPLATOS]]=BC$2,100%,AVANCE[[#This Row],[MUEBLE LAVAPLATOS]])</f>
        <v>0</v>
      </c>
      <c r="CR607" s="3">
        <f>+IF(AVANCE[[#This Row],[IMPERMEABILIZACION BANO - COCINA LOGIA]]=BD$2,100%,AVANCE[[#This Row],[IMPERMEABILIZACION BANO - COCINA LOGIA]])</f>
        <v>0</v>
      </c>
      <c r="CS607" s="40">
        <f ca="1">+IF(AVANCE[[#This Row],[ESTADO MODULO]]="PENDIENTE",(TODAY()-AVANCE[[#This Row],[FECHA TERMINO  PLANIFICADO]]),0)</f>
        <v>0</v>
      </c>
      <c r="CT607" s="41" t="str" cm="1">
        <f t="array" ref="CT607">_xlfn.TEXTJOIN(" | ",TRUE,IF(SUMPRODUCT((BG607:CR607&lt;1)*(PARTIDAS!$I$2:$AT$2="OBRA GRUESA"))&gt;0,"OBRA GRUESA: "&amp;_xlfn.TEXTJOIN(", ",TRUE,IF((BG607:CR607&lt;1)*(PARTIDAS!$I$2:$AT$2="OBRA GRUESA"),PARTIDAS!$I$1:$AT$1,"")),""),IF(SUMPRODUCT((BG607:CR607&lt;1)*(PARTIDAS!$I$2:$AT$2="SANITARIOS"))&gt;0,"SANITARIOS: "&amp;_xlfn.TEXTJOIN(", ",TRUE,IF((BG607:CR607&lt;1)*(PARTIDAS!$I$2:$AT$2="SANITARIOS"),PARTIDAS!$I$1:$AT$1,"")),""),IF(SUMPRODUCT((BG607:CR607&lt;1)*(PARTIDAS!$I$2:$AT$2="ELÉCTRICO"))&gt;0,"ELÉCTRICO: "&amp;_xlfn.TEXTJOIN(", ",TRUE,IF((BG607:CR607&lt;1)*(PARTIDAS!$I$2:$AT$2="ELÉCTRICO"),PARTIDAS!$I$1:$AT$1,"")),""),IF(SUMPRODUCT((BG607:CR607&lt;1)*(PARTIDAS!$I$2:$AT$2="TERMINACIONES"))&gt;0,"TERMINACIONES: "&amp;_xlfn.TEXTJOIN(", ",TRUE,IF((BG607:CR607&lt;1)*(PARTIDAS!$I$2:$AT$2="TERMINACIONES"),PARTIDAS!$I$1:$AT$1,"")),""))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7" s="43" t="str" cm="1">
        <f t="array" ref="CU607">_xlfn.TEXTJOIN(", ",TRUE,IF(SUMPRODUCT((BG607:CR607&lt;1)*(PARTIDAS!$I$2:$AT$2="OBRA GRUESA"))&gt;0,"OBRA GRUESA",""),IF(SUMPRODUCT((BG607:CR607&lt;1)*(PARTIDAS!$I$2:$AT$2="SANITARIOS"))&gt;0,"SANITARIOS",""),IF(SUMPRODUCT((BG607:CR607&lt;1)*(PARTIDAS!$I$2:$AT$2="ELÉCTRICO"))&gt;0,"ELÉCTRICO",""),IF(SUMPRODUCT((BG607:CR607&lt;1)*(PARTIDAS!$I$2:$AT$2="TERMINACIONES"))&gt;0,"TERMINACIONES",""))</f>
        <v>OBRA GRUESA, SANITARIOS, ELÉCTRICO, TERMINACIONES</v>
      </c>
      <c r="CV607" s="44" cm="1">
        <f t="array" ref="CV607">SUMPRODUCT(--(BG607:CR607&lt;1))</f>
        <v>38</v>
      </c>
    </row>
    <row r="608" spans="1:100" hidden="1" x14ac:dyDescent="0.25">
      <c r="A608" t="s">
        <v>652</v>
      </c>
      <c r="B608" t="s">
        <v>683</v>
      </c>
      <c r="C608">
        <v>2302600607</v>
      </c>
      <c r="D608" t="s">
        <v>60</v>
      </c>
      <c r="E608" s="2">
        <v>0</v>
      </c>
      <c r="F608" s="1">
        <v>46442</v>
      </c>
      <c r="G608" s="1"/>
      <c r="H608" s="1">
        <v>0</v>
      </c>
      <c r="I608" s="1">
        <v>46472</v>
      </c>
      <c r="J608">
        <v>46230</v>
      </c>
      <c r="K608" s="1"/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>
        <v>31.32</v>
      </c>
      <c r="BF608" s="3" t="str">
        <f>+IF(AVANCE[[#This Row],[% AVANCE]]=100%,"MODULO TERMINADO",IF(AVANCE[[#This Row],[FECHA INICIO REAL]]="","MODULO NO INICIADO","PENDIENTE"))</f>
        <v>MODULO NO INICIADO</v>
      </c>
      <c r="BG608" s="3">
        <f>+IF(AVANCE[[#This Row],[VENTANAS]]=8.10810810810811%,100%,AVANCE[[#This Row],[VENTANAS]])</f>
        <v>0</v>
      </c>
      <c r="BH608" s="3">
        <f>+IF(AVANCE[[#This Row],[PISO]]=N$2,100%,AVANCE[[#This Row],[PISO]])</f>
        <v>0</v>
      </c>
      <c r="BI608" s="3">
        <f>+IF(AVANCE[[#This Row],[TABIQUES]]=O$2,100%,AVANCE[[#This Row],[TABIQUES]])</f>
        <v>0</v>
      </c>
      <c r="BJ608" s="3">
        <f>+IF(AVANCE[[#This Row],[MUROS]]=P$2,100%,AVANCE[[#This Row],[MUROS]])</f>
        <v>0</v>
      </c>
      <c r="BK608" s="3">
        <f>+IF(AVANCE[[#This Row],[CIELO]]=Q$2,100%,AVANCE[[#This Row],[CIELO]])</f>
        <v>0</v>
      </c>
      <c r="BL608" s="3">
        <f>+IF(AVANCE[[#This Row],[BALCÓN]]=R$2,100%,AVANCE[[#This Row],[BALCÓN]])</f>
        <v>0</v>
      </c>
      <c r="BM608" s="3">
        <f>+IF(AVANCE[[#This Row],[RED ALCANTARILLADO]]=U$2,100%,AVANCE[[#This Row],[RED ALCANTARILLADO]])</f>
        <v>0</v>
      </c>
      <c r="BN608" s="3">
        <f>+IF(AVANCE[[#This Row],[RED DE AGUA]]=V$2,100%,AVANCE[[#This Row],[RED DE AGUA]])</f>
        <v>0</v>
      </c>
      <c r="BO608" s="3">
        <f>+IF(AVANCE[[#This Row],[VENTILACIONES]]=W$2,100%,AVANCE[[#This Row],[VENTILACIONES]])</f>
        <v>0</v>
      </c>
      <c r="BP608" s="3">
        <f>+IF(AVANCE[[#This Row],[TINA]]=X$2,100%,AVANCE[[#This Row],[TINA]])</f>
        <v>0</v>
      </c>
      <c r="BQ608" s="3">
        <f>+IF(AVANCE[[#This Row],[WC]]=Y$2,100%,AVANCE[[#This Row],[WC]])</f>
        <v>0</v>
      </c>
      <c r="BR608" s="3">
        <f>+IF(AVANCE[[#This Row],[LAVAMANOS / LAVAPLATOS / LAVADERO]]=Z$2,100%,AVANCE[[#This Row],[LAVAMANOS / LAVAPLATOS / LAVADERO]])</f>
        <v>0</v>
      </c>
      <c r="BS608" s="3">
        <f>+IF(AVANCE[[#This Row],[CANALIZACIÓN]]=AC$2,100%,AVANCE[[#This Row],[CANALIZACIÓN]])</f>
        <v>0</v>
      </c>
      <c r="BT608" s="3">
        <f>+IF(AVANCE[[#This Row],[CABLEADO]]=AD$2,100%,AVANCE[[#This Row],[CABLEADO]])</f>
        <v>0</v>
      </c>
      <c r="BU608" s="3">
        <f>+IF(AVANCE[[#This Row],[ARTEFACTOS]]=AE$2,100%,AVANCE[[#This Row],[ARTEFACTOS]])</f>
        <v>0</v>
      </c>
      <c r="BV608" s="3">
        <f>+IF(AVANCE[[#This Row],[TABLERO]]=AF$2,100%,AVANCE[[#This Row],[TABLERO]])</f>
        <v>0</v>
      </c>
      <c r="BW608" s="3">
        <f>+IF(AVANCE[[#This Row],[CAJA PAU]]=AG$2,100%,AVANCE[[#This Row],[CAJA PAU]])</f>
        <v>0</v>
      </c>
      <c r="BX608" s="3">
        <f>+IF(AVANCE[[#This Row],[INSTALACION VINILICO]]=AJ$2,100%,AVANCE[[#This Row],[INSTALACION VINILICO]])</f>
        <v>0</v>
      </c>
      <c r="BY608" s="3">
        <f>+IF(AVANCE[[#This Row],[OSB CUBIERTA]]=AK$2,100%,AVANCE[[#This Row],[OSB CUBIERTA]])</f>
        <v>0</v>
      </c>
      <c r="BZ608" s="3">
        <f>+IF(AVANCE[[#This Row],[BARANDA BALCON]]=AL$2,100%,AVANCE[[#This Row],[BARANDA BALCON]])</f>
        <v>0</v>
      </c>
      <c r="CA608" s="3">
        <f>+IF(AVANCE[[#This Row],[OSB EXTERIOR]]=AM$2,100%,AVANCE[[#This Row],[OSB EXTERIOR]])</f>
        <v>0</v>
      </c>
      <c r="CB608" s="3">
        <f>+IF(AVANCE[[#This Row],[SMART PANEL]]=AN$2,100%,AVANCE[[#This Row],[SMART PANEL]])</f>
        <v>0</v>
      </c>
      <c r="CC608" s="3">
        <f>+IF(AVANCE[[#This Row],[PINTURA EXTERIOR]]=AO$2,100%,AVANCE[[#This Row],[PINTURA EXTERIOR]])</f>
        <v>0</v>
      </c>
      <c r="CD608" s="3">
        <f>+IF(AVANCE[[#This Row],[ZOCALOS LOGIA]]=AP$2,100%,AVANCE[[#This Row],[ZOCALOS LOGIA]])</f>
        <v>0</v>
      </c>
      <c r="CE608" s="3">
        <f>+IF(AVANCE[[#This Row],[MOLDURAS]]=AQ$2,100%,AVANCE[[#This Row],[MOLDURAS]])</f>
        <v>0</v>
      </c>
      <c r="CF608" s="3">
        <f>+IF(AVANCE[[#This Row],[PILASTREO]]=AR$2,100%,AVANCE[[#This Row],[PILASTREO]])</f>
        <v>0</v>
      </c>
      <c r="CG608" s="3">
        <f>+IF(AVANCE[[#This Row],[CELOSIAS]]=AS$2,100%,AVANCE[[#This Row],[CELOSIAS]])</f>
        <v>0</v>
      </c>
      <c r="CH608" s="3">
        <f>+IF(AVANCE[[#This Row],[VENTANAS]]=AT$2,100%,AVANCE[[#This Row],[VENTANAS]])</f>
        <v>0</v>
      </c>
      <c r="CI608" s="3">
        <f>+IF(AVANCE[[#This Row],[PUERTAS ACCESO - LOGIA - BANO]]=AU$2,100%,AVANCE[[#This Row],[PUERTAS ACCESO - LOGIA - BANO]])</f>
        <v>0</v>
      </c>
      <c r="CJ608" s="3">
        <f>+IF(AVANCE[[#This Row],[CERRADURAS]]=AV$2,100%,AVANCE[[#This Row],[CERRADURAS]])</f>
        <v>0</v>
      </c>
      <c r="CK608" s="3">
        <f>+IF(AVANCE[[#This Row],[REVESTIMIENTO INTERIOR ZONA SECA]]=AW$2,100%,AVANCE[[#This Row],[REVESTIMIENTO INTERIOR ZONA SECA]])</f>
        <v>0</v>
      </c>
      <c r="CL608" s="3">
        <f>+IF(AVANCE[[#This Row],[REVESTIMIENTO INTERIOR ZONAS HUMEDAS]]=AX$2,100%,AVANCE[[#This Row],[REVESTIMIENTO INTERIOR ZONAS HUMEDAS]])</f>
        <v>0</v>
      </c>
      <c r="CM608" s="3">
        <f>+IF(AVANCE[[#This Row],[MEMBRANA CIELO]]=AY$2,100%,AVANCE[[#This Row],[MEMBRANA CIELO]])</f>
        <v>0</v>
      </c>
      <c r="CN608" s="3">
        <f>+IF(AVANCE[[#This Row],[LIMPIEZA FINAL]]=AZ$2,100%,AVANCE[[#This Row],[LIMPIEZA FINAL]])</f>
        <v>0</v>
      </c>
      <c r="CO608" s="3">
        <f>+IF(AVANCE[[#This Row],[PUERTAS DORMITORIO]]=BA$2,100%,AVANCE[[#This Row],[PUERTAS DORMITORIO]])</f>
        <v>0</v>
      </c>
      <c r="CP608" s="3">
        <f>+IF(AVANCE[[#This Row],[REVESTIMIENTO INTERIOR BANO]]=BB$2,100%,AVANCE[[#This Row],[REVESTIMIENTO INTERIOR BANO]])</f>
        <v>0</v>
      </c>
      <c r="CQ608" s="3">
        <f>+IF(AVANCE[[#This Row],[MUEBLE LAVAPLATOS]]=BC$2,100%,AVANCE[[#This Row],[MUEBLE LAVAPLATOS]])</f>
        <v>0</v>
      </c>
      <c r="CR608" s="3">
        <f>+IF(AVANCE[[#This Row],[IMPERMEABILIZACION BANO - COCINA LOGIA]]=BD$2,100%,AVANCE[[#This Row],[IMPERMEABILIZACION BANO - COCINA LOGIA]])</f>
        <v>0</v>
      </c>
      <c r="CS608" s="40">
        <f ca="1">+IF(AVANCE[[#This Row],[ESTADO MODULO]]="PENDIENTE",(TODAY()-AVANCE[[#This Row],[FECHA TERMINO  PLANIFICADO]]),0)</f>
        <v>0</v>
      </c>
      <c r="CT608" s="41" t="str" cm="1">
        <f t="array" ref="CT608">_xlfn.TEXTJOIN(" | ",TRUE,IF(SUMPRODUCT((BG608:CR608&lt;1)*(PARTIDAS!$I$2:$AT$2="OBRA GRUESA"))&gt;0,"OBRA GRUESA: "&amp;_xlfn.TEXTJOIN(", ",TRUE,IF((BG608:CR608&lt;1)*(PARTIDAS!$I$2:$AT$2="OBRA GRUESA"),PARTIDAS!$I$1:$AT$1,"")),""),IF(SUMPRODUCT((BG608:CR608&lt;1)*(PARTIDAS!$I$2:$AT$2="SANITARIOS"))&gt;0,"SANITARIOS: "&amp;_xlfn.TEXTJOIN(", ",TRUE,IF((BG608:CR608&lt;1)*(PARTIDAS!$I$2:$AT$2="SANITARIOS"),PARTIDAS!$I$1:$AT$1,"")),""),IF(SUMPRODUCT((BG608:CR608&lt;1)*(PARTIDAS!$I$2:$AT$2="ELÉCTRICO"))&gt;0,"ELÉCTRICO: "&amp;_xlfn.TEXTJOIN(", ",TRUE,IF((BG608:CR608&lt;1)*(PARTIDAS!$I$2:$AT$2="ELÉCTRICO"),PARTIDAS!$I$1:$AT$1,"")),""),IF(SUMPRODUCT((BG608:CR608&lt;1)*(PARTIDAS!$I$2:$AT$2="TERMINACIONES"))&gt;0,"TERMINACIONES: "&amp;_xlfn.TEXTJOIN(", ",TRUE,IF((BG608:CR608&lt;1)*(PARTIDAS!$I$2:$AT$2="TERMINACIONES"),PARTIDAS!$I$1:$AT$1,"")),""))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8" s="43" t="str" cm="1">
        <f t="array" ref="CU608">_xlfn.TEXTJOIN(", ",TRUE,IF(SUMPRODUCT((BG608:CR608&lt;1)*(PARTIDAS!$I$2:$AT$2="OBRA GRUESA"))&gt;0,"OBRA GRUESA",""),IF(SUMPRODUCT((BG608:CR608&lt;1)*(PARTIDAS!$I$2:$AT$2="SANITARIOS"))&gt;0,"SANITARIOS",""),IF(SUMPRODUCT((BG608:CR608&lt;1)*(PARTIDAS!$I$2:$AT$2="ELÉCTRICO"))&gt;0,"ELÉCTRICO",""),IF(SUMPRODUCT((BG608:CR608&lt;1)*(PARTIDAS!$I$2:$AT$2="TERMINACIONES"))&gt;0,"TERMINACIONES",""))</f>
        <v>OBRA GRUESA, SANITARIOS, ELÉCTRICO, TERMINACIONES</v>
      </c>
      <c r="CV608" s="44" cm="1">
        <f t="array" ref="CV608">SUMPRODUCT(--(BG608:CR608&lt;1))</f>
        <v>38</v>
      </c>
    </row>
    <row r="609" spans="1:100" hidden="1" x14ac:dyDescent="0.25">
      <c r="A609" t="s">
        <v>652</v>
      </c>
      <c r="B609" t="s">
        <v>684</v>
      </c>
      <c r="C609">
        <v>2282600608</v>
      </c>
      <c r="D609" t="s">
        <v>58</v>
      </c>
      <c r="E609" s="2">
        <v>0</v>
      </c>
      <c r="F609" s="1">
        <v>46443</v>
      </c>
      <c r="G609" s="1"/>
      <c r="H609" s="1">
        <v>0</v>
      </c>
      <c r="I609" s="1">
        <v>46463</v>
      </c>
      <c r="J609">
        <v>46230</v>
      </c>
      <c r="K609" s="1"/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>
        <v>28.87</v>
      </c>
      <c r="BF609" s="3" t="str">
        <f>+IF(AVANCE[[#This Row],[% AVANCE]]=100%,"MODULO TERMINADO",IF(AVANCE[[#This Row],[FECHA INICIO REAL]]="","MODULO NO INICIADO","PENDIENTE"))</f>
        <v>MODULO NO INICIADO</v>
      </c>
      <c r="BG609" s="3">
        <f>+IF(AVANCE[[#This Row],[VENTANAS]]=8.10810810810811%,100%,AVANCE[[#This Row],[VENTANAS]])</f>
        <v>0</v>
      </c>
      <c r="BH609" s="3">
        <f>+IF(AVANCE[[#This Row],[PISO]]=N$2,100%,AVANCE[[#This Row],[PISO]])</f>
        <v>0</v>
      </c>
      <c r="BI609" s="3">
        <f>+IF(AVANCE[[#This Row],[TABIQUES]]=O$2,100%,AVANCE[[#This Row],[TABIQUES]])</f>
        <v>0</v>
      </c>
      <c r="BJ609" s="3">
        <f>+IF(AVANCE[[#This Row],[MUROS]]=P$2,100%,AVANCE[[#This Row],[MUROS]])</f>
        <v>0</v>
      </c>
      <c r="BK609" s="3">
        <f>+IF(AVANCE[[#This Row],[CIELO]]=Q$2,100%,AVANCE[[#This Row],[CIELO]])</f>
        <v>0</v>
      </c>
      <c r="BL609" s="3">
        <f>+IF(AVANCE[[#This Row],[BALCÓN]]=R$2,100%,AVANCE[[#This Row],[BALCÓN]])</f>
        <v>0</v>
      </c>
      <c r="BM609" s="3">
        <f>+IF(AVANCE[[#This Row],[RED ALCANTARILLADO]]=U$2,100%,AVANCE[[#This Row],[RED ALCANTARILLADO]])</f>
        <v>0</v>
      </c>
      <c r="BN609" s="3">
        <f>+IF(AVANCE[[#This Row],[RED DE AGUA]]=V$2,100%,AVANCE[[#This Row],[RED DE AGUA]])</f>
        <v>0</v>
      </c>
      <c r="BO609" s="3">
        <f>+IF(AVANCE[[#This Row],[VENTILACIONES]]=W$2,100%,AVANCE[[#This Row],[VENTILACIONES]])</f>
        <v>0</v>
      </c>
      <c r="BP609" s="3">
        <f>+IF(AVANCE[[#This Row],[TINA]]=X$2,100%,AVANCE[[#This Row],[TINA]])</f>
        <v>0</v>
      </c>
      <c r="BQ609" s="3">
        <f>+IF(AVANCE[[#This Row],[WC]]=Y$2,100%,AVANCE[[#This Row],[WC]])</f>
        <v>0</v>
      </c>
      <c r="BR609" s="3">
        <f>+IF(AVANCE[[#This Row],[LAVAMANOS / LAVAPLATOS / LAVADERO]]=Z$2,100%,AVANCE[[#This Row],[LAVAMANOS / LAVAPLATOS / LAVADERO]])</f>
        <v>0</v>
      </c>
      <c r="BS609" s="3">
        <f>+IF(AVANCE[[#This Row],[CANALIZACIÓN]]=AC$2,100%,AVANCE[[#This Row],[CANALIZACIÓN]])</f>
        <v>0</v>
      </c>
      <c r="BT609" s="3">
        <f>+IF(AVANCE[[#This Row],[CABLEADO]]=AD$2,100%,AVANCE[[#This Row],[CABLEADO]])</f>
        <v>0</v>
      </c>
      <c r="BU609" s="3">
        <f>+IF(AVANCE[[#This Row],[ARTEFACTOS]]=AE$2,100%,AVANCE[[#This Row],[ARTEFACTOS]])</f>
        <v>0</v>
      </c>
      <c r="BV609" s="3">
        <f>+IF(AVANCE[[#This Row],[TABLERO]]=AF$2,100%,AVANCE[[#This Row],[TABLERO]])</f>
        <v>0</v>
      </c>
      <c r="BW609" s="3">
        <f>+IF(AVANCE[[#This Row],[CAJA PAU]]=AG$2,100%,AVANCE[[#This Row],[CAJA PAU]])</f>
        <v>0</v>
      </c>
      <c r="BX609" s="3">
        <f>+IF(AVANCE[[#This Row],[INSTALACION VINILICO]]=AJ$2,100%,AVANCE[[#This Row],[INSTALACION VINILICO]])</f>
        <v>0</v>
      </c>
      <c r="BY609" s="3">
        <f>+IF(AVANCE[[#This Row],[OSB CUBIERTA]]=AK$2,100%,AVANCE[[#This Row],[OSB CUBIERTA]])</f>
        <v>0</v>
      </c>
      <c r="BZ609" s="3">
        <f>+IF(AVANCE[[#This Row],[BARANDA BALCON]]=AL$2,100%,AVANCE[[#This Row],[BARANDA BALCON]])</f>
        <v>0</v>
      </c>
      <c r="CA609" s="3">
        <f>+IF(AVANCE[[#This Row],[OSB EXTERIOR]]=AM$2,100%,AVANCE[[#This Row],[OSB EXTERIOR]])</f>
        <v>0</v>
      </c>
      <c r="CB609" s="3">
        <f>+IF(AVANCE[[#This Row],[SMART PANEL]]=AN$2,100%,AVANCE[[#This Row],[SMART PANEL]])</f>
        <v>0</v>
      </c>
      <c r="CC609" s="3">
        <f>+IF(AVANCE[[#This Row],[PINTURA EXTERIOR]]=AO$2,100%,AVANCE[[#This Row],[PINTURA EXTERIOR]])</f>
        <v>0</v>
      </c>
      <c r="CD609" s="3">
        <f>+IF(AVANCE[[#This Row],[ZOCALOS LOGIA]]=AP$2,100%,AVANCE[[#This Row],[ZOCALOS LOGIA]])</f>
        <v>0</v>
      </c>
      <c r="CE609" s="3">
        <f>+IF(AVANCE[[#This Row],[MOLDURAS]]=AQ$2,100%,AVANCE[[#This Row],[MOLDURAS]])</f>
        <v>0</v>
      </c>
      <c r="CF609" s="3">
        <f>+IF(AVANCE[[#This Row],[PILASTREO]]=AR$2,100%,AVANCE[[#This Row],[PILASTREO]])</f>
        <v>0</v>
      </c>
      <c r="CG609" s="3">
        <f>+IF(AVANCE[[#This Row],[CELOSIAS]]=AS$2,100%,AVANCE[[#This Row],[CELOSIAS]])</f>
        <v>0</v>
      </c>
      <c r="CH609" s="3">
        <f>+IF(AVANCE[[#This Row],[VENTANAS]]=AT$2,100%,AVANCE[[#This Row],[VENTANAS]])</f>
        <v>0</v>
      </c>
      <c r="CI609" s="3">
        <f>+IF(AVANCE[[#This Row],[PUERTAS ACCESO - LOGIA - BANO]]=AU$2,100%,AVANCE[[#This Row],[PUERTAS ACCESO - LOGIA - BANO]])</f>
        <v>0</v>
      </c>
      <c r="CJ609" s="3">
        <f>+IF(AVANCE[[#This Row],[CERRADURAS]]=AV$2,100%,AVANCE[[#This Row],[CERRADURAS]])</f>
        <v>0</v>
      </c>
      <c r="CK609" s="3">
        <f>+IF(AVANCE[[#This Row],[REVESTIMIENTO INTERIOR ZONA SECA]]=AW$2,100%,AVANCE[[#This Row],[REVESTIMIENTO INTERIOR ZONA SECA]])</f>
        <v>0</v>
      </c>
      <c r="CL609" s="3">
        <f>+IF(AVANCE[[#This Row],[REVESTIMIENTO INTERIOR ZONAS HUMEDAS]]=AX$2,100%,AVANCE[[#This Row],[REVESTIMIENTO INTERIOR ZONAS HUMEDAS]])</f>
        <v>0</v>
      </c>
      <c r="CM609" s="3">
        <f>+IF(AVANCE[[#This Row],[MEMBRANA CIELO]]=AY$2,100%,AVANCE[[#This Row],[MEMBRANA CIELO]])</f>
        <v>0</v>
      </c>
      <c r="CN609" s="3">
        <f>+IF(AVANCE[[#This Row],[LIMPIEZA FINAL]]=AZ$2,100%,AVANCE[[#This Row],[LIMPIEZA FINAL]])</f>
        <v>0</v>
      </c>
      <c r="CO609" s="3">
        <f>+IF(AVANCE[[#This Row],[PUERTAS DORMITORIO]]=BA$2,100%,AVANCE[[#This Row],[PUERTAS DORMITORIO]])</f>
        <v>0</v>
      </c>
      <c r="CP609" s="3">
        <f>+IF(AVANCE[[#This Row],[REVESTIMIENTO INTERIOR BANO]]=BB$2,100%,AVANCE[[#This Row],[REVESTIMIENTO INTERIOR BANO]])</f>
        <v>0</v>
      </c>
      <c r="CQ609" s="3">
        <f>+IF(AVANCE[[#This Row],[MUEBLE LAVAPLATOS]]=BC$2,100%,AVANCE[[#This Row],[MUEBLE LAVAPLATOS]])</f>
        <v>0</v>
      </c>
      <c r="CR609" s="3">
        <f>+IF(AVANCE[[#This Row],[IMPERMEABILIZACION BANO - COCINA LOGIA]]=BD$2,100%,AVANCE[[#This Row],[IMPERMEABILIZACION BANO - COCINA LOGIA]])</f>
        <v>0</v>
      </c>
      <c r="CS609" s="40">
        <f ca="1">+IF(AVANCE[[#This Row],[ESTADO MODULO]]="PENDIENTE",(TODAY()-AVANCE[[#This Row],[FECHA TERMINO  PLANIFICADO]]),0)</f>
        <v>0</v>
      </c>
      <c r="CT609" s="41" t="str" cm="1">
        <f t="array" ref="CT609">_xlfn.TEXTJOIN(" | ",TRUE,IF(SUMPRODUCT((BG609:CR609&lt;1)*(PARTIDAS!$I$2:$AT$2="OBRA GRUESA"))&gt;0,"OBRA GRUESA: "&amp;_xlfn.TEXTJOIN(", ",TRUE,IF((BG609:CR609&lt;1)*(PARTIDAS!$I$2:$AT$2="OBRA GRUESA"),PARTIDAS!$I$1:$AT$1,"")),""),IF(SUMPRODUCT((BG609:CR609&lt;1)*(PARTIDAS!$I$2:$AT$2="SANITARIOS"))&gt;0,"SANITARIOS: "&amp;_xlfn.TEXTJOIN(", ",TRUE,IF((BG609:CR609&lt;1)*(PARTIDAS!$I$2:$AT$2="SANITARIOS"),PARTIDAS!$I$1:$AT$1,"")),""),IF(SUMPRODUCT((BG609:CR609&lt;1)*(PARTIDAS!$I$2:$AT$2="ELÉCTRICO"))&gt;0,"ELÉCTRICO: "&amp;_xlfn.TEXTJOIN(", ",TRUE,IF((BG609:CR609&lt;1)*(PARTIDAS!$I$2:$AT$2="ELÉCTRICO"),PARTIDAS!$I$1:$AT$1,"")),""),IF(SUMPRODUCT((BG609:CR609&lt;1)*(PARTIDAS!$I$2:$AT$2="TERMINACIONES"))&gt;0,"TERMINACIONES: "&amp;_xlfn.TEXTJOIN(", ",TRUE,IF((BG609:CR609&lt;1)*(PARTIDAS!$I$2:$AT$2="TERMINACIONES"),PARTIDAS!$I$1:$AT$1,"")),""))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09" s="43" t="str" cm="1">
        <f t="array" ref="CU609">_xlfn.TEXTJOIN(", ",TRUE,IF(SUMPRODUCT((BG609:CR609&lt;1)*(PARTIDAS!$I$2:$AT$2="OBRA GRUESA"))&gt;0,"OBRA GRUESA",""),IF(SUMPRODUCT((BG609:CR609&lt;1)*(PARTIDAS!$I$2:$AT$2="SANITARIOS"))&gt;0,"SANITARIOS",""),IF(SUMPRODUCT((BG609:CR609&lt;1)*(PARTIDAS!$I$2:$AT$2="ELÉCTRICO"))&gt;0,"ELÉCTRICO",""),IF(SUMPRODUCT((BG609:CR609&lt;1)*(PARTIDAS!$I$2:$AT$2="TERMINACIONES"))&gt;0,"TERMINACIONES",""))</f>
        <v>OBRA GRUESA, SANITARIOS, ELÉCTRICO, TERMINACIONES</v>
      </c>
      <c r="CV609" s="44" cm="1">
        <f t="array" ref="CV609">SUMPRODUCT(--(BG609:CR609&lt;1))</f>
        <v>38</v>
      </c>
    </row>
    <row r="610" spans="1:100" hidden="1" x14ac:dyDescent="0.25">
      <c r="A610" t="s">
        <v>685</v>
      </c>
      <c r="B610" t="s">
        <v>686</v>
      </c>
      <c r="C610">
        <v>2282600609</v>
      </c>
      <c r="D610" t="s">
        <v>58</v>
      </c>
      <c r="E610" s="2">
        <v>0</v>
      </c>
      <c r="F610" s="1">
        <v>46443</v>
      </c>
      <c r="G610" s="1"/>
      <c r="H610" s="1">
        <v>0</v>
      </c>
      <c r="I610" s="1">
        <v>46463</v>
      </c>
      <c r="J610">
        <v>46230</v>
      </c>
      <c r="K610" s="1"/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>
        <v>28.87</v>
      </c>
      <c r="BF610" s="3" t="str">
        <f>+IF(AVANCE[[#This Row],[% AVANCE]]=100%,"MODULO TERMINADO",IF(AVANCE[[#This Row],[FECHA INICIO REAL]]="","MODULO NO INICIADO","PENDIENTE"))</f>
        <v>MODULO NO INICIADO</v>
      </c>
      <c r="BG610" s="3">
        <f>+IF(AVANCE[[#This Row],[VENTANAS]]=8.10810810810811%,100%,AVANCE[[#This Row],[VENTANAS]])</f>
        <v>0</v>
      </c>
      <c r="BH610" s="3">
        <f>+IF(AVANCE[[#This Row],[PISO]]=N$2,100%,AVANCE[[#This Row],[PISO]])</f>
        <v>0</v>
      </c>
      <c r="BI610" s="3">
        <f>+IF(AVANCE[[#This Row],[TABIQUES]]=O$2,100%,AVANCE[[#This Row],[TABIQUES]])</f>
        <v>0</v>
      </c>
      <c r="BJ610" s="3">
        <f>+IF(AVANCE[[#This Row],[MUROS]]=P$2,100%,AVANCE[[#This Row],[MUROS]])</f>
        <v>0</v>
      </c>
      <c r="BK610" s="3">
        <f>+IF(AVANCE[[#This Row],[CIELO]]=Q$2,100%,AVANCE[[#This Row],[CIELO]])</f>
        <v>0</v>
      </c>
      <c r="BL610" s="3">
        <f>+IF(AVANCE[[#This Row],[BALCÓN]]=R$2,100%,AVANCE[[#This Row],[BALCÓN]])</f>
        <v>0</v>
      </c>
      <c r="BM610" s="3">
        <f>+IF(AVANCE[[#This Row],[RED ALCANTARILLADO]]=U$2,100%,AVANCE[[#This Row],[RED ALCANTARILLADO]])</f>
        <v>0</v>
      </c>
      <c r="BN610" s="3">
        <f>+IF(AVANCE[[#This Row],[RED DE AGUA]]=V$2,100%,AVANCE[[#This Row],[RED DE AGUA]])</f>
        <v>0</v>
      </c>
      <c r="BO610" s="3">
        <f>+IF(AVANCE[[#This Row],[VENTILACIONES]]=W$2,100%,AVANCE[[#This Row],[VENTILACIONES]])</f>
        <v>0</v>
      </c>
      <c r="BP610" s="3">
        <f>+IF(AVANCE[[#This Row],[TINA]]=X$2,100%,AVANCE[[#This Row],[TINA]])</f>
        <v>0</v>
      </c>
      <c r="BQ610" s="3">
        <f>+IF(AVANCE[[#This Row],[WC]]=Y$2,100%,AVANCE[[#This Row],[WC]])</f>
        <v>0</v>
      </c>
      <c r="BR610" s="3">
        <f>+IF(AVANCE[[#This Row],[LAVAMANOS / LAVAPLATOS / LAVADERO]]=Z$2,100%,AVANCE[[#This Row],[LAVAMANOS / LAVAPLATOS / LAVADERO]])</f>
        <v>0</v>
      </c>
      <c r="BS610" s="3">
        <f>+IF(AVANCE[[#This Row],[CANALIZACIÓN]]=AC$2,100%,AVANCE[[#This Row],[CANALIZACIÓN]])</f>
        <v>0</v>
      </c>
      <c r="BT610" s="3">
        <f>+IF(AVANCE[[#This Row],[CABLEADO]]=AD$2,100%,AVANCE[[#This Row],[CABLEADO]])</f>
        <v>0</v>
      </c>
      <c r="BU610" s="3">
        <f>+IF(AVANCE[[#This Row],[ARTEFACTOS]]=AE$2,100%,AVANCE[[#This Row],[ARTEFACTOS]])</f>
        <v>0</v>
      </c>
      <c r="BV610" s="3">
        <f>+IF(AVANCE[[#This Row],[TABLERO]]=AF$2,100%,AVANCE[[#This Row],[TABLERO]])</f>
        <v>0</v>
      </c>
      <c r="BW610" s="3">
        <f>+IF(AVANCE[[#This Row],[CAJA PAU]]=AG$2,100%,AVANCE[[#This Row],[CAJA PAU]])</f>
        <v>0</v>
      </c>
      <c r="BX610" s="3">
        <f>+IF(AVANCE[[#This Row],[INSTALACION VINILICO]]=AJ$2,100%,AVANCE[[#This Row],[INSTALACION VINILICO]])</f>
        <v>0</v>
      </c>
      <c r="BY610" s="3">
        <f>+IF(AVANCE[[#This Row],[OSB CUBIERTA]]=AK$2,100%,AVANCE[[#This Row],[OSB CUBIERTA]])</f>
        <v>0</v>
      </c>
      <c r="BZ610" s="3">
        <f>+IF(AVANCE[[#This Row],[BARANDA BALCON]]=AL$2,100%,AVANCE[[#This Row],[BARANDA BALCON]])</f>
        <v>0</v>
      </c>
      <c r="CA610" s="3">
        <f>+IF(AVANCE[[#This Row],[OSB EXTERIOR]]=AM$2,100%,AVANCE[[#This Row],[OSB EXTERIOR]])</f>
        <v>0</v>
      </c>
      <c r="CB610" s="3">
        <f>+IF(AVANCE[[#This Row],[SMART PANEL]]=AN$2,100%,AVANCE[[#This Row],[SMART PANEL]])</f>
        <v>0</v>
      </c>
      <c r="CC610" s="3">
        <f>+IF(AVANCE[[#This Row],[PINTURA EXTERIOR]]=AO$2,100%,AVANCE[[#This Row],[PINTURA EXTERIOR]])</f>
        <v>0</v>
      </c>
      <c r="CD610" s="3">
        <f>+IF(AVANCE[[#This Row],[ZOCALOS LOGIA]]=AP$2,100%,AVANCE[[#This Row],[ZOCALOS LOGIA]])</f>
        <v>0</v>
      </c>
      <c r="CE610" s="3">
        <f>+IF(AVANCE[[#This Row],[MOLDURAS]]=AQ$2,100%,AVANCE[[#This Row],[MOLDURAS]])</f>
        <v>0</v>
      </c>
      <c r="CF610" s="3">
        <f>+IF(AVANCE[[#This Row],[PILASTREO]]=AR$2,100%,AVANCE[[#This Row],[PILASTREO]])</f>
        <v>0</v>
      </c>
      <c r="CG610" s="3">
        <f>+IF(AVANCE[[#This Row],[CELOSIAS]]=AS$2,100%,AVANCE[[#This Row],[CELOSIAS]])</f>
        <v>0</v>
      </c>
      <c r="CH610" s="3">
        <f>+IF(AVANCE[[#This Row],[VENTANAS]]=AT$2,100%,AVANCE[[#This Row],[VENTANAS]])</f>
        <v>0</v>
      </c>
      <c r="CI610" s="3">
        <f>+IF(AVANCE[[#This Row],[PUERTAS ACCESO - LOGIA - BANO]]=AU$2,100%,AVANCE[[#This Row],[PUERTAS ACCESO - LOGIA - BANO]])</f>
        <v>0</v>
      </c>
      <c r="CJ610" s="3">
        <f>+IF(AVANCE[[#This Row],[CERRADURAS]]=AV$2,100%,AVANCE[[#This Row],[CERRADURAS]])</f>
        <v>0</v>
      </c>
      <c r="CK610" s="3">
        <f>+IF(AVANCE[[#This Row],[REVESTIMIENTO INTERIOR ZONA SECA]]=AW$2,100%,AVANCE[[#This Row],[REVESTIMIENTO INTERIOR ZONA SECA]])</f>
        <v>0</v>
      </c>
      <c r="CL610" s="3">
        <f>+IF(AVANCE[[#This Row],[REVESTIMIENTO INTERIOR ZONAS HUMEDAS]]=AX$2,100%,AVANCE[[#This Row],[REVESTIMIENTO INTERIOR ZONAS HUMEDAS]])</f>
        <v>0</v>
      </c>
      <c r="CM610" s="3">
        <f>+IF(AVANCE[[#This Row],[MEMBRANA CIELO]]=AY$2,100%,AVANCE[[#This Row],[MEMBRANA CIELO]])</f>
        <v>0</v>
      </c>
      <c r="CN610" s="3">
        <f>+IF(AVANCE[[#This Row],[LIMPIEZA FINAL]]=AZ$2,100%,AVANCE[[#This Row],[LIMPIEZA FINAL]])</f>
        <v>0</v>
      </c>
      <c r="CO610" s="3">
        <f>+IF(AVANCE[[#This Row],[PUERTAS DORMITORIO]]=BA$2,100%,AVANCE[[#This Row],[PUERTAS DORMITORIO]])</f>
        <v>0</v>
      </c>
      <c r="CP610" s="3">
        <f>+IF(AVANCE[[#This Row],[REVESTIMIENTO INTERIOR BANO]]=BB$2,100%,AVANCE[[#This Row],[REVESTIMIENTO INTERIOR BANO]])</f>
        <v>0</v>
      </c>
      <c r="CQ610" s="3">
        <f>+IF(AVANCE[[#This Row],[MUEBLE LAVAPLATOS]]=BC$2,100%,AVANCE[[#This Row],[MUEBLE LAVAPLATOS]])</f>
        <v>0</v>
      </c>
      <c r="CR610" s="3">
        <f>+IF(AVANCE[[#This Row],[IMPERMEABILIZACION BANO - COCINA LOGIA]]=BD$2,100%,AVANCE[[#This Row],[IMPERMEABILIZACION BANO - COCINA LOGIA]])</f>
        <v>0</v>
      </c>
      <c r="CS610" s="40">
        <f ca="1">+IF(AVANCE[[#This Row],[ESTADO MODULO]]="PENDIENTE",(TODAY()-AVANCE[[#This Row],[FECHA TERMINO  PLANIFICADO]]),0)</f>
        <v>0</v>
      </c>
      <c r="CT610" s="41" t="str" cm="1">
        <f t="array" ref="CT610">_xlfn.TEXTJOIN(" | ",TRUE,IF(SUMPRODUCT((BG610:CR610&lt;1)*(PARTIDAS!$I$2:$AT$2="OBRA GRUESA"))&gt;0,"OBRA GRUESA: "&amp;_xlfn.TEXTJOIN(", ",TRUE,IF((BG610:CR610&lt;1)*(PARTIDAS!$I$2:$AT$2="OBRA GRUESA"),PARTIDAS!$I$1:$AT$1,"")),""),IF(SUMPRODUCT((BG610:CR610&lt;1)*(PARTIDAS!$I$2:$AT$2="SANITARIOS"))&gt;0,"SANITARIOS: "&amp;_xlfn.TEXTJOIN(", ",TRUE,IF((BG610:CR610&lt;1)*(PARTIDAS!$I$2:$AT$2="SANITARIOS"),PARTIDAS!$I$1:$AT$1,"")),""),IF(SUMPRODUCT((BG610:CR610&lt;1)*(PARTIDAS!$I$2:$AT$2="ELÉCTRICO"))&gt;0,"ELÉCTRICO: "&amp;_xlfn.TEXTJOIN(", ",TRUE,IF((BG610:CR610&lt;1)*(PARTIDAS!$I$2:$AT$2="ELÉCTRICO"),PARTIDAS!$I$1:$AT$1,"")),""),IF(SUMPRODUCT((BG610:CR610&lt;1)*(PARTIDAS!$I$2:$AT$2="TERMINACIONES"))&gt;0,"TERMINACIONES: "&amp;_xlfn.TEXTJOIN(", ",TRUE,IF((BG610:CR610&lt;1)*(PARTIDAS!$I$2:$AT$2="TERMINACIONES"),PARTIDAS!$I$1:$AT$1,"")),""))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0" s="43" t="str" cm="1">
        <f t="array" ref="CU610">_xlfn.TEXTJOIN(", ",TRUE,IF(SUMPRODUCT((BG610:CR610&lt;1)*(PARTIDAS!$I$2:$AT$2="OBRA GRUESA"))&gt;0,"OBRA GRUESA",""),IF(SUMPRODUCT((BG610:CR610&lt;1)*(PARTIDAS!$I$2:$AT$2="SANITARIOS"))&gt;0,"SANITARIOS",""),IF(SUMPRODUCT((BG610:CR610&lt;1)*(PARTIDAS!$I$2:$AT$2="ELÉCTRICO"))&gt;0,"ELÉCTRICO",""),IF(SUMPRODUCT((BG610:CR610&lt;1)*(PARTIDAS!$I$2:$AT$2="TERMINACIONES"))&gt;0,"TERMINACIONES",""))</f>
        <v>OBRA GRUESA, SANITARIOS, ELÉCTRICO, TERMINACIONES</v>
      </c>
      <c r="CV610" s="44" cm="1">
        <f t="array" ref="CV610">SUMPRODUCT(--(BG610:CR610&lt;1))</f>
        <v>38</v>
      </c>
    </row>
    <row r="611" spans="1:100" hidden="1" x14ac:dyDescent="0.25">
      <c r="A611" t="s">
        <v>685</v>
      </c>
      <c r="B611" t="s">
        <v>687</v>
      </c>
      <c r="C611">
        <v>2302600610</v>
      </c>
      <c r="D611" t="s">
        <v>60</v>
      </c>
      <c r="E611" s="2">
        <v>0</v>
      </c>
      <c r="F611" s="1">
        <v>46443</v>
      </c>
      <c r="G611" s="1"/>
      <c r="H611" s="1">
        <v>0</v>
      </c>
      <c r="I611" s="1">
        <v>46473</v>
      </c>
      <c r="J611">
        <v>46230</v>
      </c>
      <c r="K611" s="1"/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>
        <v>31.32</v>
      </c>
      <c r="BF611" s="3" t="str">
        <f>+IF(AVANCE[[#This Row],[% AVANCE]]=100%,"MODULO TERMINADO",IF(AVANCE[[#This Row],[FECHA INICIO REAL]]="","MODULO NO INICIADO","PENDIENTE"))</f>
        <v>MODULO NO INICIADO</v>
      </c>
      <c r="BG611" s="3">
        <f>+IF(AVANCE[[#This Row],[VENTANAS]]=8.10810810810811%,100%,AVANCE[[#This Row],[VENTANAS]])</f>
        <v>0</v>
      </c>
      <c r="BH611" s="3">
        <f>+IF(AVANCE[[#This Row],[PISO]]=N$2,100%,AVANCE[[#This Row],[PISO]])</f>
        <v>0</v>
      </c>
      <c r="BI611" s="3">
        <f>+IF(AVANCE[[#This Row],[TABIQUES]]=O$2,100%,AVANCE[[#This Row],[TABIQUES]])</f>
        <v>0</v>
      </c>
      <c r="BJ611" s="3">
        <f>+IF(AVANCE[[#This Row],[MUROS]]=P$2,100%,AVANCE[[#This Row],[MUROS]])</f>
        <v>0</v>
      </c>
      <c r="BK611" s="3">
        <f>+IF(AVANCE[[#This Row],[CIELO]]=Q$2,100%,AVANCE[[#This Row],[CIELO]])</f>
        <v>0</v>
      </c>
      <c r="BL611" s="3">
        <f>+IF(AVANCE[[#This Row],[BALCÓN]]=R$2,100%,AVANCE[[#This Row],[BALCÓN]])</f>
        <v>0</v>
      </c>
      <c r="BM611" s="3">
        <f>+IF(AVANCE[[#This Row],[RED ALCANTARILLADO]]=U$2,100%,AVANCE[[#This Row],[RED ALCANTARILLADO]])</f>
        <v>0</v>
      </c>
      <c r="BN611" s="3">
        <f>+IF(AVANCE[[#This Row],[RED DE AGUA]]=V$2,100%,AVANCE[[#This Row],[RED DE AGUA]])</f>
        <v>0</v>
      </c>
      <c r="BO611" s="3">
        <f>+IF(AVANCE[[#This Row],[VENTILACIONES]]=W$2,100%,AVANCE[[#This Row],[VENTILACIONES]])</f>
        <v>0</v>
      </c>
      <c r="BP611" s="3">
        <f>+IF(AVANCE[[#This Row],[TINA]]=X$2,100%,AVANCE[[#This Row],[TINA]])</f>
        <v>0</v>
      </c>
      <c r="BQ611" s="3">
        <f>+IF(AVANCE[[#This Row],[WC]]=Y$2,100%,AVANCE[[#This Row],[WC]])</f>
        <v>0</v>
      </c>
      <c r="BR611" s="3">
        <f>+IF(AVANCE[[#This Row],[LAVAMANOS / LAVAPLATOS / LAVADERO]]=Z$2,100%,AVANCE[[#This Row],[LAVAMANOS / LAVAPLATOS / LAVADERO]])</f>
        <v>0</v>
      </c>
      <c r="BS611" s="3">
        <f>+IF(AVANCE[[#This Row],[CANALIZACIÓN]]=AC$2,100%,AVANCE[[#This Row],[CANALIZACIÓN]])</f>
        <v>0</v>
      </c>
      <c r="BT611" s="3">
        <f>+IF(AVANCE[[#This Row],[CABLEADO]]=AD$2,100%,AVANCE[[#This Row],[CABLEADO]])</f>
        <v>0</v>
      </c>
      <c r="BU611" s="3">
        <f>+IF(AVANCE[[#This Row],[ARTEFACTOS]]=AE$2,100%,AVANCE[[#This Row],[ARTEFACTOS]])</f>
        <v>0</v>
      </c>
      <c r="BV611" s="3">
        <f>+IF(AVANCE[[#This Row],[TABLERO]]=AF$2,100%,AVANCE[[#This Row],[TABLERO]])</f>
        <v>0</v>
      </c>
      <c r="BW611" s="3">
        <f>+IF(AVANCE[[#This Row],[CAJA PAU]]=AG$2,100%,AVANCE[[#This Row],[CAJA PAU]])</f>
        <v>0</v>
      </c>
      <c r="BX611" s="3">
        <f>+IF(AVANCE[[#This Row],[INSTALACION VINILICO]]=AJ$2,100%,AVANCE[[#This Row],[INSTALACION VINILICO]])</f>
        <v>0</v>
      </c>
      <c r="BY611" s="3">
        <f>+IF(AVANCE[[#This Row],[OSB CUBIERTA]]=AK$2,100%,AVANCE[[#This Row],[OSB CUBIERTA]])</f>
        <v>0</v>
      </c>
      <c r="BZ611" s="3">
        <f>+IF(AVANCE[[#This Row],[BARANDA BALCON]]=AL$2,100%,AVANCE[[#This Row],[BARANDA BALCON]])</f>
        <v>0</v>
      </c>
      <c r="CA611" s="3">
        <f>+IF(AVANCE[[#This Row],[OSB EXTERIOR]]=AM$2,100%,AVANCE[[#This Row],[OSB EXTERIOR]])</f>
        <v>0</v>
      </c>
      <c r="CB611" s="3">
        <f>+IF(AVANCE[[#This Row],[SMART PANEL]]=AN$2,100%,AVANCE[[#This Row],[SMART PANEL]])</f>
        <v>0</v>
      </c>
      <c r="CC611" s="3">
        <f>+IF(AVANCE[[#This Row],[PINTURA EXTERIOR]]=AO$2,100%,AVANCE[[#This Row],[PINTURA EXTERIOR]])</f>
        <v>0</v>
      </c>
      <c r="CD611" s="3">
        <f>+IF(AVANCE[[#This Row],[ZOCALOS LOGIA]]=AP$2,100%,AVANCE[[#This Row],[ZOCALOS LOGIA]])</f>
        <v>0</v>
      </c>
      <c r="CE611" s="3">
        <f>+IF(AVANCE[[#This Row],[MOLDURAS]]=AQ$2,100%,AVANCE[[#This Row],[MOLDURAS]])</f>
        <v>0</v>
      </c>
      <c r="CF611" s="3">
        <f>+IF(AVANCE[[#This Row],[PILASTREO]]=AR$2,100%,AVANCE[[#This Row],[PILASTREO]])</f>
        <v>0</v>
      </c>
      <c r="CG611" s="3">
        <f>+IF(AVANCE[[#This Row],[CELOSIAS]]=AS$2,100%,AVANCE[[#This Row],[CELOSIAS]])</f>
        <v>0</v>
      </c>
      <c r="CH611" s="3">
        <f>+IF(AVANCE[[#This Row],[VENTANAS]]=AT$2,100%,AVANCE[[#This Row],[VENTANAS]])</f>
        <v>0</v>
      </c>
      <c r="CI611" s="3">
        <f>+IF(AVANCE[[#This Row],[PUERTAS ACCESO - LOGIA - BANO]]=AU$2,100%,AVANCE[[#This Row],[PUERTAS ACCESO - LOGIA - BANO]])</f>
        <v>0</v>
      </c>
      <c r="CJ611" s="3">
        <f>+IF(AVANCE[[#This Row],[CERRADURAS]]=AV$2,100%,AVANCE[[#This Row],[CERRADURAS]])</f>
        <v>0</v>
      </c>
      <c r="CK611" s="3">
        <f>+IF(AVANCE[[#This Row],[REVESTIMIENTO INTERIOR ZONA SECA]]=AW$2,100%,AVANCE[[#This Row],[REVESTIMIENTO INTERIOR ZONA SECA]])</f>
        <v>0</v>
      </c>
      <c r="CL611" s="3">
        <f>+IF(AVANCE[[#This Row],[REVESTIMIENTO INTERIOR ZONAS HUMEDAS]]=AX$2,100%,AVANCE[[#This Row],[REVESTIMIENTO INTERIOR ZONAS HUMEDAS]])</f>
        <v>0</v>
      </c>
      <c r="CM611" s="3">
        <f>+IF(AVANCE[[#This Row],[MEMBRANA CIELO]]=AY$2,100%,AVANCE[[#This Row],[MEMBRANA CIELO]])</f>
        <v>0</v>
      </c>
      <c r="CN611" s="3">
        <f>+IF(AVANCE[[#This Row],[LIMPIEZA FINAL]]=AZ$2,100%,AVANCE[[#This Row],[LIMPIEZA FINAL]])</f>
        <v>0</v>
      </c>
      <c r="CO611" s="3">
        <f>+IF(AVANCE[[#This Row],[PUERTAS DORMITORIO]]=BA$2,100%,AVANCE[[#This Row],[PUERTAS DORMITORIO]])</f>
        <v>0</v>
      </c>
      <c r="CP611" s="3">
        <f>+IF(AVANCE[[#This Row],[REVESTIMIENTO INTERIOR BANO]]=BB$2,100%,AVANCE[[#This Row],[REVESTIMIENTO INTERIOR BANO]])</f>
        <v>0</v>
      </c>
      <c r="CQ611" s="3">
        <f>+IF(AVANCE[[#This Row],[MUEBLE LAVAPLATOS]]=BC$2,100%,AVANCE[[#This Row],[MUEBLE LAVAPLATOS]])</f>
        <v>0</v>
      </c>
      <c r="CR611" s="3">
        <f>+IF(AVANCE[[#This Row],[IMPERMEABILIZACION BANO - COCINA LOGIA]]=BD$2,100%,AVANCE[[#This Row],[IMPERMEABILIZACION BANO - COCINA LOGIA]])</f>
        <v>0</v>
      </c>
      <c r="CS611" s="40">
        <f ca="1">+IF(AVANCE[[#This Row],[ESTADO MODULO]]="PENDIENTE",(TODAY()-AVANCE[[#This Row],[FECHA TERMINO  PLANIFICADO]]),0)</f>
        <v>0</v>
      </c>
      <c r="CT611" s="41" t="str" cm="1">
        <f t="array" ref="CT611">_xlfn.TEXTJOIN(" | ",TRUE,IF(SUMPRODUCT((BG611:CR611&lt;1)*(PARTIDAS!$I$2:$AT$2="OBRA GRUESA"))&gt;0,"OBRA GRUESA: "&amp;_xlfn.TEXTJOIN(", ",TRUE,IF((BG611:CR611&lt;1)*(PARTIDAS!$I$2:$AT$2="OBRA GRUESA"),PARTIDAS!$I$1:$AT$1,"")),""),IF(SUMPRODUCT((BG611:CR611&lt;1)*(PARTIDAS!$I$2:$AT$2="SANITARIOS"))&gt;0,"SANITARIOS: "&amp;_xlfn.TEXTJOIN(", ",TRUE,IF((BG611:CR611&lt;1)*(PARTIDAS!$I$2:$AT$2="SANITARIOS"),PARTIDAS!$I$1:$AT$1,"")),""),IF(SUMPRODUCT((BG611:CR611&lt;1)*(PARTIDAS!$I$2:$AT$2="ELÉCTRICO"))&gt;0,"ELÉCTRICO: "&amp;_xlfn.TEXTJOIN(", ",TRUE,IF((BG611:CR611&lt;1)*(PARTIDAS!$I$2:$AT$2="ELÉCTRICO"),PARTIDAS!$I$1:$AT$1,"")),""),IF(SUMPRODUCT((BG611:CR611&lt;1)*(PARTIDAS!$I$2:$AT$2="TERMINACIONES"))&gt;0,"TERMINACIONES: "&amp;_xlfn.TEXTJOIN(", ",TRUE,IF((BG611:CR611&lt;1)*(PARTIDAS!$I$2:$AT$2="TERMINACIONES"),PARTIDAS!$I$1:$AT$1,"")),""))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1" s="43" t="str" cm="1">
        <f t="array" ref="CU611">_xlfn.TEXTJOIN(", ",TRUE,IF(SUMPRODUCT((BG611:CR611&lt;1)*(PARTIDAS!$I$2:$AT$2="OBRA GRUESA"))&gt;0,"OBRA GRUESA",""),IF(SUMPRODUCT((BG611:CR611&lt;1)*(PARTIDAS!$I$2:$AT$2="SANITARIOS"))&gt;0,"SANITARIOS",""),IF(SUMPRODUCT((BG611:CR611&lt;1)*(PARTIDAS!$I$2:$AT$2="ELÉCTRICO"))&gt;0,"ELÉCTRICO",""),IF(SUMPRODUCT((BG611:CR611&lt;1)*(PARTIDAS!$I$2:$AT$2="TERMINACIONES"))&gt;0,"TERMINACIONES",""))</f>
        <v>OBRA GRUESA, SANITARIOS, ELÉCTRICO, TERMINACIONES</v>
      </c>
      <c r="CV611" s="44" cm="1">
        <f t="array" ref="CV611">SUMPRODUCT(--(BG611:CR611&lt;1))</f>
        <v>38</v>
      </c>
    </row>
    <row r="612" spans="1:100" hidden="1" x14ac:dyDescent="0.25">
      <c r="A612" t="s">
        <v>685</v>
      </c>
      <c r="B612" t="s">
        <v>688</v>
      </c>
      <c r="C612">
        <v>2302600611</v>
      </c>
      <c r="D612" t="s">
        <v>60</v>
      </c>
      <c r="E612" s="2">
        <v>0</v>
      </c>
      <c r="F612" s="1">
        <v>46444</v>
      </c>
      <c r="G612" s="1"/>
      <c r="H612" s="1">
        <v>0</v>
      </c>
      <c r="I612" s="1">
        <v>46474</v>
      </c>
      <c r="J612">
        <v>46230</v>
      </c>
      <c r="K612" s="1"/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>
        <v>31.32</v>
      </c>
      <c r="BF612" s="3" t="str">
        <f>+IF(AVANCE[[#This Row],[% AVANCE]]=100%,"MODULO TERMINADO",IF(AVANCE[[#This Row],[FECHA INICIO REAL]]="","MODULO NO INICIADO","PENDIENTE"))</f>
        <v>MODULO NO INICIADO</v>
      </c>
      <c r="BG612" s="3">
        <f>+IF(AVANCE[[#This Row],[VENTANAS]]=8.10810810810811%,100%,AVANCE[[#This Row],[VENTANAS]])</f>
        <v>0</v>
      </c>
      <c r="BH612" s="3">
        <f>+IF(AVANCE[[#This Row],[PISO]]=N$2,100%,AVANCE[[#This Row],[PISO]])</f>
        <v>0</v>
      </c>
      <c r="BI612" s="3">
        <f>+IF(AVANCE[[#This Row],[TABIQUES]]=O$2,100%,AVANCE[[#This Row],[TABIQUES]])</f>
        <v>0</v>
      </c>
      <c r="BJ612" s="3">
        <f>+IF(AVANCE[[#This Row],[MUROS]]=P$2,100%,AVANCE[[#This Row],[MUROS]])</f>
        <v>0</v>
      </c>
      <c r="BK612" s="3">
        <f>+IF(AVANCE[[#This Row],[CIELO]]=Q$2,100%,AVANCE[[#This Row],[CIELO]])</f>
        <v>0</v>
      </c>
      <c r="BL612" s="3">
        <f>+IF(AVANCE[[#This Row],[BALCÓN]]=R$2,100%,AVANCE[[#This Row],[BALCÓN]])</f>
        <v>0</v>
      </c>
      <c r="BM612" s="3">
        <f>+IF(AVANCE[[#This Row],[RED ALCANTARILLADO]]=U$2,100%,AVANCE[[#This Row],[RED ALCANTARILLADO]])</f>
        <v>0</v>
      </c>
      <c r="BN612" s="3">
        <f>+IF(AVANCE[[#This Row],[RED DE AGUA]]=V$2,100%,AVANCE[[#This Row],[RED DE AGUA]])</f>
        <v>0</v>
      </c>
      <c r="BO612" s="3">
        <f>+IF(AVANCE[[#This Row],[VENTILACIONES]]=W$2,100%,AVANCE[[#This Row],[VENTILACIONES]])</f>
        <v>0</v>
      </c>
      <c r="BP612" s="3">
        <f>+IF(AVANCE[[#This Row],[TINA]]=X$2,100%,AVANCE[[#This Row],[TINA]])</f>
        <v>0</v>
      </c>
      <c r="BQ612" s="3">
        <f>+IF(AVANCE[[#This Row],[WC]]=Y$2,100%,AVANCE[[#This Row],[WC]])</f>
        <v>0</v>
      </c>
      <c r="BR612" s="3">
        <f>+IF(AVANCE[[#This Row],[LAVAMANOS / LAVAPLATOS / LAVADERO]]=Z$2,100%,AVANCE[[#This Row],[LAVAMANOS / LAVAPLATOS / LAVADERO]])</f>
        <v>0</v>
      </c>
      <c r="BS612" s="3">
        <f>+IF(AVANCE[[#This Row],[CANALIZACIÓN]]=AC$2,100%,AVANCE[[#This Row],[CANALIZACIÓN]])</f>
        <v>0</v>
      </c>
      <c r="BT612" s="3">
        <f>+IF(AVANCE[[#This Row],[CABLEADO]]=AD$2,100%,AVANCE[[#This Row],[CABLEADO]])</f>
        <v>0</v>
      </c>
      <c r="BU612" s="3">
        <f>+IF(AVANCE[[#This Row],[ARTEFACTOS]]=AE$2,100%,AVANCE[[#This Row],[ARTEFACTOS]])</f>
        <v>0</v>
      </c>
      <c r="BV612" s="3">
        <f>+IF(AVANCE[[#This Row],[TABLERO]]=AF$2,100%,AVANCE[[#This Row],[TABLERO]])</f>
        <v>0</v>
      </c>
      <c r="BW612" s="3">
        <f>+IF(AVANCE[[#This Row],[CAJA PAU]]=AG$2,100%,AVANCE[[#This Row],[CAJA PAU]])</f>
        <v>0</v>
      </c>
      <c r="BX612" s="3">
        <f>+IF(AVANCE[[#This Row],[INSTALACION VINILICO]]=AJ$2,100%,AVANCE[[#This Row],[INSTALACION VINILICO]])</f>
        <v>0</v>
      </c>
      <c r="BY612" s="3">
        <f>+IF(AVANCE[[#This Row],[OSB CUBIERTA]]=AK$2,100%,AVANCE[[#This Row],[OSB CUBIERTA]])</f>
        <v>0</v>
      </c>
      <c r="BZ612" s="3">
        <f>+IF(AVANCE[[#This Row],[BARANDA BALCON]]=AL$2,100%,AVANCE[[#This Row],[BARANDA BALCON]])</f>
        <v>0</v>
      </c>
      <c r="CA612" s="3">
        <f>+IF(AVANCE[[#This Row],[OSB EXTERIOR]]=AM$2,100%,AVANCE[[#This Row],[OSB EXTERIOR]])</f>
        <v>0</v>
      </c>
      <c r="CB612" s="3">
        <f>+IF(AVANCE[[#This Row],[SMART PANEL]]=AN$2,100%,AVANCE[[#This Row],[SMART PANEL]])</f>
        <v>0</v>
      </c>
      <c r="CC612" s="3">
        <f>+IF(AVANCE[[#This Row],[PINTURA EXTERIOR]]=AO$2,100%,AVANCE[[#This Row],[PINTURA EXTERIOR]])</f>
        <v>0</v>
      </c>
      <c r="CD612" s="3">
        <f>+IF(AVANCE[[#This Row],[ZOCALOS LOGIA]]=AP$2,100%,AVANCE[[#This Row],[ZOCALOS LOGIA]])</f>
        <v>0</v>
      </c>
      <c r="CE612" s="3">
        <f>+IF(AVANCE[[#This Row],[MOLDURAS]]=AQ$2,100%,AVANCE[[#This Row],[MOLDURAS]])</f>
        <v>0</v>
      </c>
      <c r="CF612" s="3">
        <f>+IF(AVANCE[[#This Row],[PILASTREO]]=AR$2,100%,AVANCE[[#This Row],[PILASTREO]])</f>
        <v>0</v>
      </c>
      <c r="CG612" s="3">
        <f>+IF(AVANCE[[#This Row],[CELOSIAS]]=AS$2,100%,AVANCE[[#This Row],[CELOSIAS]])</f>
        <v>0</v>
      </c>
      <c r="CH612" s="3">
        <f>+IF(AVANCE[[#This Row],[VENTANAS]]=AT$2,100%,AVANCE[[#This Row],[VENTANAS]])</f>
        <v>0</v>
      </c>
      <c r="CI612" s="3">
        <f>+IF(AVANCE[[#This Row],[PUERTAS ACCESO - LOGIA - BANO]]=AU$2,100%,AVANCE[[#This Row],[PUERTAS ACCESO - LOGIA - BANO]])</f>
        <v>0</v>
      </c>
      <c r="CJ612" s="3">
        <f>+IF(AVANCE[[#This Row],[CERRADURAS]]=AV$2,100%,AVANCE[[#This Row],[CERRADURAS]])</f>
        <v>0</v>
      </c>
      <c r="CK612" s="3">
        <f>+IF(AVANCE[[#This Row],[REVESTIMIENTO INTERIOR ZONA SECA]]=AW$2,100%,AVANCE[[#This Row],[REVESTIMIENTO INTERIOR ZONA SECA]])</f>
        <v>0</v>
      </c>
      <c r="CL612" s="3">
        <f>+IF(AVANCE[[#This Row],[REVESTIMIENTO INTERIOR ZONAS HUMEDAS]]=AX$2,100%,AVANCE[[#This Row],[REVESTIMIENTO INTERIOR ZONAS HUMEDAS]])</f>
        <v>0</v>
      </c>
      <c r="CM612" s="3">
        <f>+IF(AVANCE[[#This Row],[MEMBRANA CIELO]]=AY$2,100%,AVANCE[[#This Row],[MEMBRANA CIELO]])</f>
        <v>0</v>
      </c>
      <c r="CN612" s="3">
        <f>+IF(AVANCE[[#This Row],[LIMPIEZA FINAL]]=AZ$2,100%,AVANCE[[#This Row],[LIMPIEZA FINAL]])</f>
        <v>0</v>
      </c>
      <c r="CO612" s="3">
        <f>+IF(AVANCE[[#This Row],[PUERTAS DORMITORIO]]=BA$2,100%,AVANCE[[#This Row],[PUERTAS DORMITORIO]])</f>
        <v>0</v>
      </c>
      <c r="CP612" s="3">
        <f>+IF(AVANCE[[#This Row],[REVESTIMIENTO INTERIOR BANO]]=BB$2,100%,AVANCE[[#This Row],[REVESTIMIENTO INTERIOR BANO]])</f>
        <v>0</v>
      </c>
      <c r="CQ612" s="3">
        <f>+IF(AVANCE[[#This Row],[MUEBLE LAVAPLATOS]]=BC$2,100%,AVANCE[[#This Row],[MUEBLE LAVAPLATOS]])</f>
        <v>0</v>
      </c>
      <c r="CR612" s="3">
        <f>+IF(AVANCE[[#This Row],[IMPERMEABILIZACION BANO - COCINA LOGIA]]=BD$2,100%,AVANCE[[#This Row],[IMPERMEABILIZACION BANO - COCINA LOGIA]])</f>
        <v>0</v>
      </c>
      <c r="CS612" s="40">
        <f ca="1">+IF(AVANCE[[#This Row],[ESTADO MODULO]]="PENDIENTE",(TODAY()-AVANCE[[#This Row],[FECHA TERMINO  PLANIFICADO]]),0)</f>
        <v>0</v>
      </c>
      <c r="CT612" s="41" t="str" cm="1">
        <f t="array" ref="CT612">_xlfn.TEXTJOIN(" | ",TRUE,IF(SUMPRODUCT((BG612:CR612&lt;1)*(PARTIDAS!$I$2:$AT$2="OBRA GRUESA"))&gt;0,"OBRA GRUESA: "&amp;_xlfn.TEXTJOIN(", ",TRUE,IF((BG612:CR612&lt;1)*(PARTIDAS!$I$2:$AT$2="OBRA GRUESA"),PARTIDAS!$I$1:$AT$1,"")),""),IF(SUMPRODUCT((BG612:CR612&lt;1)*(PARTIDAS!$I$2:$AT$2="SANITARIOS"))&gt;0,"SANITARIOS: "&amp;_xlfn.TEXTJOIN(", ",TRUE,IF((BG612:CR612&lt;1)*(PARTIDAS!$I$2:$AT$2="SANITARIOS"),PARTIDAS!$I$1:$AT$1,"")),""),IF(SUMPRODUCT((BG612:CR612&lt;1)*(PARTIDAS!$I$2:$AT$2="ELÉCTRICO"))&gt;0,"ELÉCTRICO: "&amp;_xlfn.TEXTJOIN(", ",TRUE,IF((BG612:CR612&lt;1)*(PARTIDAS!$I$2:$AT$2="ELÉCTRICO"),PARTIDAS!$I$1:$AT$1,"")),""),IF(SUMPRODUCT((BG612:CR612&lt;1)*(PARTIDAS!$I$2:$AT$2="TERMINACIONES"))&gt;0,"TERMINACIONES: "&amp;_xlfn.TEXTJOIN(", ",TRUE,IF((BG612:CR612&lt;1)*(PARTIDAS!$I$2:$AT$2="TERMINACIONES"),PARTIDAS!$I$1:$AT$1,"")),""))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2" s="43" t="str" cm="1">
        <f t="array" ref="CU612">_xlfn.TEXTJOIN(", ",TRUE,IF(SUMPRODUCT((BG612:CR612&lt;1)*(PARTIDAS!$I$2:$AT$2="OBRA GRUESA"))&gt;0,"OBRA GRUESA",""),IF(SUMPRODUCT((BG612:CR612&lt;1)*(PARTIDAS!$I$2:$AT$2="SANITARIOS"))&gt;0,"SANITARIOS",""),IF(SUMPRODUCT((BG612:CR612&lt;1)*(PARTIDAS!$I$2:$AT$2="ELÉCTRICO"))&gt;0,"ELÉCTRICO",""),IF(SUMPRODUCT((BG612:CR612&lt;1)*(PARTIDAS!$I$2:$AT$2="TERMINACIONES"))&gt;0,"TERMINACIONES",""))</f>
        <v>OBRA GRUESA, SANITARIOS, ELÉCTRICO, TERMINACIONES</v>
      </c>
      <c r="CV612" s="44" cm="1">
        <f t="array" ref="CV612">SUMPRODUCT(--(BG612:CR612&lt;1))</f>
        <v>38</v>
      </c>
    </row>
    <row r="613" spans="1:100" hidden="1" x14ac:dyDescent="0.25">
      <c r="A613" t="s">
        <v>685</v>
      </c>
      <c r="B613" t="s">
        <v>689</v>
      </c>
      <c r="C613">
        <v>2282600612</v>
      </c>
      <c r="D613" t="s">
        <v>58</v>
      </c>
      <c r="E613" s="2">
        <v>0</v>
      </c>
      <c r="F613" s="1">
        <v>46444</v>
      </c>
      <c r="G613" s="1"/>
      <c r="H613" s="1">
        <v>0</v>
      </c>
      <c r="I613" s="1">
        <v>46464</v>
      </c>
      <c r="J613">
        <v>46230</v>
      </c>
      <c r="K613" s="1"/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>
        <v>28.87</v>
      </c>
      <c r="BF613" s="3" t="str">
        <f>+IF(AVANCE[[#This Row],[% AVANCE]]=100%,"MODULO TERMINADO",IF(AVANCE[[#This Row],[FECHA INICIO REAL]]="","MODULO NO INICIADO","PENDIENTE"))</f>
        <v>MODULO NO INICIADO</v>
      </c>
      <c r="BG613" s="3">
        <f>+IF(AVANCE[[#This Row],[VENTANAS]]=8.10810810810811%,100%,AVANCE[[#This Row],[VENTANAS]])</f>
        <v>0</v>
      </c>
      <c r="BH613" s="3">
        <f>+IF(AVANCE[[#This Row],[PISO]]=N$2,100%,AVANCE[[#This Row],[PISO]])</f>
        <v>0</v>
      </c>
      <c r="BI613" s="3">
        <f>+IF(AVANCE[[#This Row],[TABIQUES]]=O$2,100%,AVANCE[[#This Row],[TABIQUES]])</f>
        <v>0</v>
      </c>
      <c r="BJ613" s="3">
        <f>+IF(AVANCE[[#This Row],[MUROS]]=P$2,100%,AVANCE[[#This Row],[MUROS]])</f>
        <v>0</v>
      </c>
      <c r="BK613" s="3">
        <f>+IF(AVANCE[[#This Row],[CIELO]]=Q$2,100%,AVANCE[[#This Row],[CIELO]])</f>
        <v>0</v>
      </c>
      <c r="BL613" s="3">
        <f>+IF(AVANCE[[#This Row],[BALCÓN]]=R$2,100%,AVANCE[[#This Row],[BALCÓN]])</f>
        <v>0</v>
      </c>
      <c r="BM613" s="3">
        <f>+IF(AVANCE[[#This Row],[RED ALCANTARILLADO]]=U$2,100%,AVANCE[[#This Row],[RED ALCANTARILLADO]])</f>
        <v>0</v>
      </c>
      <c r="BN613" s="3">
        <f>+IF(AVANCE[[#This Row],[RED DE AGUA]]=V$2,100%,AVANCE[[#This Row],[RED DE AGUA]])</f>
        <v>0</v>
      </c>
      <c r="BO613" s="3">
        <f>+IF(AVANCE[[#This Row],[VENTILACIONES]]=W$2,100%,AVANCE[[#This Row],[VENTILACIONES]])</f>
        <v>0</v>
      </c>
      <c r="BP613" s="3">
        <f>+IF(AVANCE[[#This Row],[TINA]]=X$2,100%,AVANCE[[#This Row],[TINA]])</f>
        <v>0</v>
      </c>
      <c r="BQ613" s="3">
        <f>+IF(AVANCE[[#This Row],[WC]]=Y$2,100%,AVANCE[[#This Row],[WC]])</f>
        <v>0</v>
      </c>
      <c r="BR613" s="3">
        <f>+IF(AVANCE[[#This Row],[LAVAMANOS / LAVAPLATOS / LAVADERO]]=Z$2,100%,AVANCE[[#This Row],[LAVAMANOS / LAVAPLATOS / LAVADERO]])</f>
        <v>0</v>
      </c>
      <c r="BS613" s="3">
        <f>+IF(AVANCE[[#This Row],[CANALIZACIÓN]]=AC$2,100%,AVANCE[[#This Row],[CANALIZACIÓN]])</f>
        <v>0</v>
      </c>
      <c r="BT613" s="3">
        <f>+IF(AVANCE[[#This Row],[CABLEADO]]=AD$2,100%,AVANCE[[#This Row],[CABLEADO]])</f>
        <v>0</v>
      </c>
      <c r="BU613" s="3">
        <f>+IF(AVANCE[[#This Row],[ARTEFACTOS]]=AE$2,100%,AVANCE[[#This Row],[ARTEFACTOS]])</f>
        <v>0</v>
      </c>
      <c r="BV613" s="3">
        <f>+IF(AVANCE[[#This Row],[TABLERO]]=AF$2,100%,AVANCE[[#This Row],[TABLERO]])</f>
        <v>0</v>
      </c>
      <c r="BW613" s="3">
        <f>+IF(AVANCE[[#This Row],[CAJA PAU]]=AG$2,100%,AVANCE[[#This Row],[CAJA PAU]])</f>
        <v>0</v>
      </c>
      <c r="BX613" s="3">
        <f>+IF(AVANCE[[#This Row],[INSTALACION VINILICO]]=AJ$2,100%,AVANCE[[#This Row],[INSTALACION VINILICO]])</f>
        <v>0</v>
      </c>
      <c r="BY613" s="3">
        <f>+IF(AVANCE[[#This Row],[OSB CUBIERTA]]=AK$2,100%,AVANCE[[#This Row],[OSB CUBIERTA]])</f>
        <v>0</v>
      </c>
      <c r="BZ613" s="3">
        <f>+IF(AVANCE[[#This Row],[BARANDA BALCON]]=AL$2,100%,AVANCE[[#This Row],[BARANDA BALCON]])</f>
        <v>0</v>
      </c>
      <c r="CA613" s="3">
        <f>+IF(AVANCE[[#This Row],[OSB EXTERIOR]]=AM$2,100%,AVANCE[[#This Row],[OSB EXTERIOR]])</f>
        <v>0</v>
      </c>
      <c r="CB613" s="3">
        <f>+IF(AVANCE[[#This Row],[SMART PANEL]]=AN$2,100%,AVANCE[[#This Row],[SMART PANEL]])</f>
        <v>0</v>
      </c>
      <c r="CC613" s="3">
        <f>+IF(AVANCE[[#This Row],[PINTURA EXTERIOR]]=AO$2,100%,AVANCE[[#This Row],[PINTURA EXTERIOR]])</f>
        <v>0</v>
      </c>
      <c r="CD613" s="3">
        <f>+IF(AVANCE[[#This Row],[ZOCALOS LOGIA]]=AP$2,100%,AVANCE[[#This Row],[ZOCALOS LOGIA]])</f>
        <v>0</v>
      </c>
      <c r="CE613" s="3">
        <f>+IF(AVANCE[[#This Row],[MOLDURAS]]=AQ$2,100%,AVANCE[[#This Row],[MOLDURAS]])</f>
        <v>0</v>
      </c>
      <c r="CF613" s="3">
        <f>+IF(AVANCE[[#This Row],[PILASTREO]]=AR$2,100%,AVANCE[[#This Row],[PILASTREO]])</f>
        <v>0</v>
      </c>
      <c r="CG613" s="3">
        <f>+IF(AVANCE[[#This Row],[CELOSIAS]]=AS$2,100%,AVANCE[[#This Row],[CELOSIAS]])</f>
        <v>0</v>
      </c>
      <c r="CH613" s="3">
        <f>+IF(AVANCE[[#This Row],[VENTANAS]]=AT$2,100%,AVANCE[[#This Row],[VENTANAS]])</f>
        <v>0</v>
      </c>
      <c r="CI613" s="3">
        <f>+IF(AVANCE[[#This Row],[PUERTAS ACCESO - LOGIA - BANO]]=AU$2,100%,AVANCE[[#This Row],[PUERTAS ACCESO - LOGIA - BANO]])</f>
        <v>0</v>
      </c>
      <c r="CJ613" s="3">
        <f>+IF(AVANCE[[#This Row],[CERRADURAS]]=AV$2,100%,AVANCE[[#This Row],[CERRADURAS]])</f>
        <v>0</v>
      </c>
      <c r="CK613" s="3">
        <f>+IF(AVANCE[[#This Row],[REVESTIMIENTO INTERIOR ZONA SECA]]=AW$2,100%,AVANCE[[#This Row],[REVESTIMIENTO INTERIOR ZONA SECA]])</f>
        <v>0</v>
      </c>
      <c r="CL613" s="3">
        <f>+IF(AVANCE[[#This Row],[REVESTIMIENTO INTERIOR ZONAS HUMEDAS]]=AX$2,100%,AVANCE[[#This Row],[REVESTIMIENTO INTERIOR ZONAS HUMEDAS]])</f>
        <v>0</v>
      </c>
      <c r="CM613" s="3">
        <f>+IF(AVANCE[[#This Row],[MEMBRANA CIELO]]=AY$2,100%,AVANCE[[#This Row],[MEMBRANA CIELO]])</f>
        <v>0</v>
      </c>
      <c r="CN613" s="3">
        <f>+IF(AVANCE[[#This Row],[LIMPIEZA FINAL]]=AZ$2,100%,AVANCE[[#This Row],[LIMPIEZA FINAL]])</f>
        <v>0</v>
      </c>
      <c r="CO613" s="3">
        <f>+IF(AVANCE[[#This Row],[PUERTAS DORMITORIO]]=BA$2,100%,AVANCE[[#This Row],[PUERTAS DORMITORIO]])</f>
        <v>0</v>
      </c>
      <c r="CP613" s="3">
        <f>+IF(AVANCE[[#This Row],[REVESTIMIENTO INTERIOR BANO]]=BB$2,100%,AVANCE[[#This Row],[REVESTIMIENTO INTERIOR BANO]])</f>
        <v>0</v>
      </c>
      <c r="CQ613" s="3">
        <f>+IF(AVANCE[[#This Row],[MUEBLE LAVAPLATOS]]=BC$2,100%,AVANCE[[#This Row],[MUEBLE LAVAPLATOS]])</f>
        <v>0</v>
      </c>
      <c r="CR613" s="3">
        <f>+IF(AVANCE[[#This Row],[IMPERMEABILIZACION BANO - COCINA LOGIA]]=BD$2,100%,AVANCE[[#This Row],[IMPERMEABILIZACION BANO - COCINA LOGIA]])</f>
        <v>0</v>
      </c>
      <c r="CS613" s="40">
        <f ca="1">+IF(AVANCE[[#This Row],[ESTADO MODULO]]="PENDIENTE",(TODAY()-AVANCE[[#This Row],[FECHA TERMINO  PLANIFICADO]]),0)</f>
        <v>0</v>
      </c>
      <c r="CT613" s="41" t="str" cm="1">
        <f t="array" ref="CT613">_xlfn.TEXTJOIN(" | ",TRUE,IF(SUMPRODUCT((BG613:CR613&lt;1)*(PARTIDAS!$I$2:$AT$2="OBRA GRUESA"))&gt;0,"OBRA GRUESA: "&amp;_xlfn.TEXTJOIN(", ",TRUE,IF((BG613:CR613&lt;1)*(PARTIDAS!$I$2:$AT$2="OBRA GRUESA"),PARTIDAS!$I$1:$AT$1,"")),""),IF(SUMPRODUCT((BG613:CR613&lt;1)*(PARTIDAS!$I$2:$AT$2="SANITARIOS"))&gt;0,"SANITARIOS: "&amp;_xlfn.TEXTJOIN(", ",TRUE,IF((BG613:CR613&lt;1)*(PARTIDAS!$I$2:$AT$2="SANITARIOS"),PARTIDAS!$I$1:$AT$1,"")),""),IF(SUMPRODUCT((BG613:CR613&lt;1)*(PARTIDAS!$I$2:$AT$2="ELÉCTRICO"))&gt;0,"ELÉCTRICO: "&amp;_xlfn.TEXTJOIN(", ",TRUE,IF((BG613:CR613&lt;1)*(PARTIDAS!$I$2:$AT$2="ELÉCTRICO"),PARTIDAS!$I$1:$AT$1,"")),""),IF(SUMPRODUCT((BG613:CR613&lt;1)*(PARTIDAS!$I$2:$AT$2="TERMINACIONES"))&gt;0,"TERMINACIONES: "&amp;_xlfn.TEXTJOIN(", ",TRUE,IF((BG613:CR613&lt;1)*(PARTIDAS!$I$2:$AT$2="TERMINACIONES"),PARTIDAS!$I$1:$AT$1,"")),""))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3" s="43" t="str" cm="1">
        <f t="array" ref="CU613">_xlfn.TEXTJOIN(", ",TRUE,IF(SUMPRODUCT((BG613:CR613&lt;1)*(PARTIDAS!$I$2:$AT$2="OBRA GRUESA"))&gt;0,"OBRA GRUESA",""),IF(SUMPRODUCT((BG613:CR613&lt;1)*(PARTIDAS!$I$2:$AT$2="SANITARIOS"))&gt;0,"SANITARIOS",""),IF(SUMPRODUCT((BG613:CR613&lt;1)*(PARTIDAS!$I$2:$AT$2="ELÉCTRICO"))&gt;0,"ELÉCTRICO",""),IF(SUMPRODUCT((BG613:CR613&lt;1)*(PARTIDAS!$I$2:$AT$2="TERMINACIONES"))&gt;0,"TERMINACIONES",""))</f>
        <v>OBRA GRUESA, SANITARIOS, ELÉCTRICO, TERMINACIONES</v>
      </c>
      <c r="CV613" s="44" cm="1">
        <f t="array" ref="CV613">SUMPRODUCT(--(BG613:CR613&lt;1))</f>
        <v>38</v>
      </c>
    </row>
    <row r="614" spans="1:100" hidden="1" x14ac:dyDescent="0.25">
      <c r="A614" t="s">
        <v>685</v>
      </c>
      <c r="B614" t="s">
        <v>690</v>
      </c>
      <c r="C614">
        <v>2282600613</v>
      </c>
      <c r="D614" t="s">
        <v>58</v>
      </c>
      <c r="E614" s="2">
        <v>0</v>
      </c>
      <c r="F614" s="1">
        <v>46444</v>
      </c>
      <c r="G614" s="1"/>
      <c r="H614" s="1">
        <v>0</v>
      </c>
      <c r="I614" s="1">
        <v>46464</v>
      </c>
      <c r="J614">
        <v>46230</v>
      </c>
      <c r="K614" s="1"/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>
        <v>28.87</v>
      </c>
      <c r="BF614" s="3" t="str">
        <f>+IF(AVANCE[[#This Row],[% AVANCE]]=100%,"MODULO TERMINADO",IF(AVANCE[[#This Row],[FECHA INICIO REAL]]="","MODULO NO INICIADO","PENDIENTE"))</f>
        <v>MODULO NO INICIADO</v>
      </c>
      <c r="BG614" s="3">
        <f>+IF(AVANCE[[#This Row],[VENTANAS]]=8.10810810810811%,100%,AVANCE[[#This Row],[VENTANAS]])</f>
        <v>0</v>
      </c>
      <c r="BH614" s="3">
        <f>+IF(AVANCE[[#This Row],[PISO]]=N$2,100%,AVANCE[[#This Row],[PISO]])</f>
        <v>0</v>
      </c>
      <c r="BI614" s="3">
        <f>+IF(AVANCE[[#This Row],[TABIQUES]]=O$2,100%,AVANCE[[#This Row],[TABIQUES]])</f>
        <v>0</v>
      </c>
      <c r="BJ614" s="3">
        <f>+IF(AVANCE[[#This Row],[MUROS]]=P$2,100%,AVANCE[[#This Row],[MUROS]])</f>
        <v>0</v>
      </c>
      <c r="BK614" s="3">
        <f>+IF(AVANCE[[#This Row],[CIELO]]=Q$2,100%,AVANCE[[#This Row],[CIELO]])</f>
        <v>0</v>
      </c>
      <c r="BL614" s="3">
        <f>+IF(AVANCE[[#This Row],[BALCÓN]]=R$2,100%,AVANCE[[#This Row],[BALCÓN]])</f>
        <v>0</v>
      </c>
      <c r="BM614" s="3">
        <f>+IF(AVANCE[[#This Row],[RED ALCANTARILLADO]]=U$2,100%,AVANCE[[#This Row],[RED ALCANTARILLADO]])</f>
        <v>0</v>
      </c>
      <c r="BN614" s="3">
        <f>+IF(AVANCE[[#This Row],[RED DE AGUA]]=V$2,100%,AVANCE[[#This Row],[RED DE AGUA]])</f>
        <v>0</v>
      </c>
      <c r="BO614" s="3">
        <f>+IF(AVANCE[[#This Row],[VENTILACIONES]]=W$2,100%,AVANCE[[#This Row],[VENTILACIONES]])</f>
        <v>0</v>
      </c>
      <c r="BP614" s="3">
        <f>+IF(AVANCE[[#This Row],[TINA]]=X$2,100%,AVANCE[[#This Row],[TINA]])</f>
        <v>0</v>
      </c>
      <c r="BQ614" s="3">
        <f>+IF(AVANCE[[#This Row],[WC]]=Y$2,100%,AVANCE[[#This Row],[WC]])</f>
        <v>0</v>
      </c>
      <c r="BR614" s="3">
        <f>+IF(AVANCE[[#This Row],[LAVAMANOS / LAVAPLATOS / LAVADERO]]=Z$2,100%,AVANCE[[#This Row],[LAVAMANOS / LAVAPLATOS / LAVADERO]])</f>
        <v>0</v>
      </c>
      <c r="BS614" s="3">
        <f>+IF(AVANCE[[#This Row],[CANALIZACIÓN]]=AC$2,100%,AVANCE[[#This Row],[CANALIZACIÓN]])</f>
        <v>0</v>
      </c>
      <c r="BT614" s="3">
        <f>+IF(AVANCE[[#This Row],[CABLEADO]]=AD$2,100%,AVANCE[[#This Row],[CABLEADO]])</f>
        <v>0</v>
      </c>
      <c r="BU614" s="3">
        <f>+IF(AVANCE[[#This Row],[ARTEFACTOS]]=AE$2,100%,AVANCE[[#This Row],[ARTEFACTOS]])</f>
        <v>0</v>
      </c>
      <c r="BV614" s="3">
        <f>+IF(AVANCE[[#This Row],[TABLERO]]=AF$2,100%,AVANCE[[#This Row],[TABLERO]])</f>
        <v>0</v>
      </c>
      <c r="BW614" s="3">
        <f>+IF(AVANCE[[#This Row],[CAJA PAU]]=AG$2,100%,AVANCE[[#This Row],[CAJA PAU]])</f>
        <v>0</v>
      </c>
      <c r="BX614" s="3">
        <f>+IF(AVANCE[[#This Row],[INSTALACION VINILICO]]=AJ$2,100%,AVANCE[[#This Row],[INSTALACION VINILICO]])</f>
        <v>0</v>
      </c>
      <c r="BY614" s="3">
        <f>+IF(AVANCE[[#This Row],[OSB CUBIERTA]]=AK$2,100%,AVANCE[[#This Row],[OSB CUBIERTA]])</f>
        <v>0</v>
      </c>
      <c r="BZ614" s="3">
        <f>+IF(AVANCE[[#This Row],[BARANDA BALCON]]=AL$2,100%,AVANCE[[#This Row],[BARANDA BALCON]])</f>
        <v>0</v>
      </c>
      <c r="CA614" s="3">
        <f>+IF(AVANCE[[#This Row],[OSB EXTERIOR]]=AM$2,100%,AVANCE[[#This Row],[OSB EXTERIOR]])</f>
        <v>0</v>
      </c>
      <c r="CB614" s="3">
        <f>+IF(AVANCE[[#This Row],[SMART PANEL]]=AN$2,100%,AVANCE[[#This Row],[SMART PANEL]])</f>
        <v>0</v>
      </c>
      <c r="CC614" s="3">
        <f>+IF(AVANCE[[#This Row],[PINTURA EXTERIOR]]=AO$2,100%,AVANCE[[#This Row],[PINTURA EXTERIOR]])</f>
        <v>0</v>
      </c>
      <c r="CD614" s="3">
        <f>+IF(AVANCE[[#This Row],[ZOCALOS LOGIA]]=AP$2,100%,AVANCE[[#This Row],[ZOCALOS LOGIA]])</f>
        <v>0</v>
      </c>
      <c r="CE614" s="3">
        <f>+IF(AVANCE[[#This Row],[MOLDURAS]]=AQ$2,100%,AVANCE[[#This Row],[MOLDURAS]])</f>
        <v>0</v>
      </c>
      <c r="CF614" s="3">
        <f>+IF(AVANCE[[#This Row],[PILASTREO]]=AR$2,100%,AVANCE[[#This Row],[PILASTREO]])</f>
        <v>0</v>
      </c>
      <c r="CG614" s="3">
        <f>+IF(AVANCE[[#This Row],[CELOSIAS]]=AS$2,100%,AVANCE[[#This Row],[CELOSIAS]])</f>
        <v>0</v>
      </c>
      <c r="CH614" s="3">
        <f>+IF(AVANCE[[#This Row],[VENTANAS]]=AT$2,100%,AVANCE[[#This Row],[VENTANAS]])</f>
        <v>0</v>
      </c>
      <c r="CI614" s="3">
        <f>+IF(AVANCE[[#This Row],[PUERTAS ACCESO - LOGIA - BANO]]=AU$2,100%,AVANCE[[#This Row],[PUERTAS ACCESO - LOGIA - BANO]])</f>
        <v>0</v>
      </c>
      <c r="CJ614" s="3">
        <f>+IF(AVANCE[[#This Row],[CERRADURAS]]=AV$2,100%,AVANCE[[#This Row],[CERRADURAS]])</f>
        <v>0</v>
      </c>
      <c r="CK614" s="3">
        <f>+IF(AVANCE[[#This Row],[REVESTIMIENTO INTERIOR ZONA SECA]]=AW$2,100%,AVANCE[[#This Row],[REVESTIMIENTO INTERIOR ZONA SECA]])</f>
        <v>0</v>
      </c>
      <c r="CL614" s="3">
        <f>+IF(AVANCE[[#This Row],[REVESTIMIENTO INTERIOR ZONAS HUMEDAS]]=AX$2,100%,AVANCE[[#This Row],[REVESTIMIENTO INTERIOR ZONAS HUMEDAS]])</f>
        <v>0</v>
      </c>
      <c r="CM614" s="3">
        <f>+IF(AVANCE[[#This Row],[MEMBRANA CIELO]]=AY$2,100%,AVANCE[[#This Row],[MEMBRANA CIELO]])</f>
        <v>0</v>
      </c>
      <c r="CN614" s="3">
        <f>+IF(AVANCE[[#This Row],[LIMPIEZA FINAL]]=AZ$2,100%,AVANCE[[#This Row],[LIMPIEZA FINAL]])</f>
        <v>0</v>
      </c>
      <c r="CO614" s="3">
        <f>+IF(AVANCE[[#This Row],[PUERTAS DORMITORIO]]=BA$2,100%,AVANCE[[#This Row],[PUERTAS DORMITORIO]])</f>
        <v>0</v>
      </c>
      <c r="CP614" s="3">
        <f>+IF(AVANCE[[#This Row],[REVESTIMIENTO INTERIOR BANO]]=BB$2,100%,AVANCE[[#This Row],[REVESTIMIENTO INTERIOR BANO]])</f>
        <v>0</v>
      </c>
      <c r="CQ614" s="3">
        <f>+IF(AVANCE[[#This Row],[MUEBLE LAVAPLATOS]]=BC$2,100%,AVANCE[[#This Row],[MUEBLE LAVAPLATOS]])</f>
        <v>0</v>
      </c>
      <c r="CR614" s="3">
        <f>+IF(AVANCE[[#This Row],[IMPERMEABILIZACION BANO - COCINA LOGIA]]=BD$2,100%,AVANCE[[#This Row],[IMPERMEABILIZACION BANO - COCINA LOGIA]])</f>
        <v>0</v>
      </c>
      <c r="CS614" s="40">
        <f ca="1">+IF(AVANCE[[#This Row],[ESTADO MODULO]]="PENDIENTE",(TODAY()-AVANCE[[#This Row],[FECHA TERMINO  PLANIFICADO]]),0)</f>
        <v>0</v>
      </c>
      <c r="CT614" s="41" t="str" cm="1">
        <f t="array" ref="CT614">_xlfn.TEXTJOIN(" | ",TRUE,IF(SUMPRODUCT((BG614:CR614&lt;1)*(PARTIDAS!$I$2:$AT$2="OBRA GRUESA"))&gt;0,"OBRA GRUESA: "&amp;_xlfn.TEXTJOIN(", ",TRUE,IF((BG614:CR614&lt;1)*(PARTIDAS!$I$2:$AT$2="OBRA GRUESA"),PARTIDAS!$I$1:$AT$1,"")),""),IF(SUMPRODUCT((BG614:CR614&lt;1)*(PARTIDAS!$I$2:$AT$2="SANITARIOS"))&gt;0,"SANITARIOS: "&amp;_xlfn.TEXTJOIN(", ",TRUE,IF((BG614:CR614&lt;1)*(PARTIDAS!$I$2:$AT$2="SANITARIOS"),PARTIDAS!$I$1:$AT$1,"")),""),IF(SUMPRODUCT((BG614:CR614&lt;1)*(PARTIDAS!$I$2:$AT$2="ELÉCTRICO"))&gt;0,"ELÉCTRICO: "&amp;_xlfn.TEXTJOIN(", ",TRUE,IF((BG614:CR614&lt;1)*(PARTIDAS!$I$2:$AT$2="ELÉCTRICO"),PARTIDAS!$I$1:$AT$1,"")),""),IF(SUMPRODUCT((BG614:CR614&lt;1)*(PARTIDAS!$I$2:$AT$2="TERMINACIONES"))&gt;0,"TERMINACIONES: "&amp;_xlfn.TEXTJOIN(", ",TRUE,IF((BG614:CR614&lt;1)*(PARTIDAS!$I$2:$AT$2="TERMINACIONES"),PARTIDAS!$I$1:$AT$1,"")),""))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4" s="43" t="str" cm="1">
        <f t="array" ref="CU614">_xlfn.TEXTJOIN(", ",TRUE,IF(SUMPRODUCT((BG614:CR614&lt;1)*(PARTIDAS!$I$2:$AT$2="OBRA GRUESA"))&gt;0,"OBRA GRUESA",""),IF(SUMPRODUCT((BG614:CR614&lt;1)*(PARTIDAS!$I$2:$AT$2="SANITARIOS"))&gt;0,"SANITARIOS",""),IF(SUMPRODUCT((BG614:CR614&lt;1)*(PARTIDAS!$I$2:$AT$2="ELÉCTRICO"))&gt;0,"ELÉCTRICO",""),IF(SUMPRODUCT((BG614:CR614&lt;1)*(PARTIDAS!$I$2:$AT$2="TERMINACIONES"))&gt;0,"TERMINACIONES",""))</f>
        <v>OBRA GRUESA, SANITARIOS, ELÉCTRICO, TERMINACIONES</v>
      </c>
      <c r="CV614" s="44" cm="1">
        <f t="array" ref="CV614">SUMPRODUCT(--(BG614:CR614&lt;1))</f>
        <v>38</v>
      </c>
    </row>
    <row r="615" spans="1:100" hidden="1" x14ac:dyDescent="0.25">
      <c r="A615" t="s">
        <v>685</v>
      </c>
      <c r="B615" t="s">
        <v>691</v>
      </c>
      <c r="C615">
        <v>2302600614</v>
      </c>
      <c r="D615" t="s">
        <v>60</v>
      </c>
      <c r="E615" s="2">
        <v>0</v>
      </c>
      <c r="F615" s="1">
        <v>46447</v>
      </c>
      <c r="G615" s="1"/>
      <c r="H615" s="1">
        <v>0</v>
      </c>
      <c r="I615" s="1">
        <v>46477</v>
      </c>
      <c r="J615">
        <v>46230</v>
      </c>
      <c r="K615" s="1"/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>
        <v>31.32</v>
      </c>
      <c r="BF615" s="3" t="str">
        <f>+IF(AVANCE[[#This Row],[% AVANCE]]=100%,"MODULO TERMINADO",IF(AVANCE[[#This Row],[FECHA INICIO REAL]]="","MODULO NO INICIADO","PENDIENTE"))</f>
        <v>MODULO NO INICIADO</v>
      </c>
      <c r="BG615" s="3">
        <f>+IF(AVANCE[[#This Row],[VENTANAS]]=8.10810810810811%,100%,AVANCE[[#This Row],[VENTANAS]])</f>
        <v>0</v>
      </c>
      <c r="BH615" s="3">
        <f>+IF(AVANCE[[#This Row],[PISO]]=N$2,100%,AVANCE[[#This Row],[PISO]])</f>
        <v>0</v>
      </c>
      <c r="BI615" s="3">
        <f>+IF(AVANCE[[#This Row],[TABIQUES]]=O$2,100%,AVANCE[[#This Row],[TABIQUES]])</f>
        <v>0</v>
      </c>
      <c r="BJ615" s="3">
        <f>+IF(AVANCE[[#This Row],[MUROS]]=P$2,100%,AVANCE[[#This Row],[MUROS]])</f>
        <v>0</v>
      </c>
      <c r="BK615" s="3">
        <f>+IF(AVANCE[[#This Row],[CIELO]]=Q$2,100%,AVANCE[[#This Row],[CIELO]])</f>
        <v>0</v>
      </c>
      <c r="BL615" s="3">
        <f>+IF(AVANCE[[#This Row],[BALCÓN]]=R$2,100%,AVANCE[[#This Row],[BALCÓN]])</f>
        <v>0</v>
      </c>
      <c r="BM615" s="3">
        <f>+IF(AVANCE[[#This Row],[RED ALCANTARILLADO]]=U$2,100%,AVANCE[[#This Row],[RED ALCANTARILLADO]])</f>
        <v>0</v>
      </c>
      <c r="BN615" s="3">
        <f>+IF(AVANCE[[#This Row],[RED DE AGUA]]=V$2,100%,AVANCE[[#This Row],[RED DE AGUA]])</f>
        <v>0</v>
      </c>
      <c r="BO615" s="3">
        <f>+IF(AVANCE[[#This Row],[VENTILACIONES]]=W$2,100%,AVANCE[[#This Row],[VENTILACIONES]])</f>
        <v>0</v>
      </c>
      <c r="BP615" s="3">
        <f>+IF(AVANCE[[#This Row],[TINA]]=X$2,100%,AVANCE[[#This Row],[TINA]])</f>
        <v>0</v>
      </c>
      <c r="BQ615" s="3">
        <f>+IF(AVANCE[[#This Row],[WC]]=Y$2,100%,AVANCE[[#This Row],[WC]])</f>
        <v>0</v>
      </c>
      <c r="BR615" s="3">
        <f>+IF(AVANCE[[#This Row],[LAVAMANOS / LAVAPLATOS / LAVADERO]]=Z$2,100%,AVANCE[[#This Row],[LAVAMANOS / LAVAPLATOS / LAVADERO]])</f>
        <v>0</v>
      </c>
      <c r="BS615" s="3">
        <f>+IF(AVANCE[[#This Row],[CANALIZACIÓN]]=AC$2,100%,AVANCE[[#This Row],[CANALIZACIÓN]])</f>
        <v>0</v>
      </c>
      <c r="BT615" s="3">
        <f>+IF(AVANCE[[#This Row],[CABLEADO]]=AD$2,100%,AVANCE[[#This Row],[CABLEADO]])</f>
        <v>0</v>
      </c>
      <c r="BU615" s="3">
        <f>+IF(AVANCE[[#This Row],[ARTEFACTOS]]=AE$2,100%,AVANCE[[#This Row],[ARTEFACTOS]])</f>
        <v>0</v>
      </c>
      <c r="BV615" s="3">
        <f>+IF(AVANCE[[#This Row],[TABLERO]]=AF$2,100%,AVANCE[[#This Row],[TABLERO]])</f>
        <v>0</v>
      </c>
      <c r="BW615" s="3">
        <f>+IF(AVANCE[[#This Row],[CAJA PAU]]=AG$2,100%,AVANCE[[#This Row],[CAJA PAU]])</f>
        <v>0</v>
      </c>
      <c r="BX615" s="3">
        <f>+IF(AVANCE[[#This Row],[INSTALACION VINILICO]]=AJ$2,100%,AVANCE[[#This Row],[INSTALACION VINILICO]])</f>
        <v>0</v>
      </c>
      <c r="BY615" s="3">
        <f>+IF(AVANCE[[#This Row],[OSB CUBIERTA]]=AK$2,100%,AVANCE[[#This Row],[OSB CUBIERTA]])</f>
        <v>0</v>
      </c>
      <c r="BZ615" s="3">
        <f>+IF(AVANCE[[#This Row],[BARANDA BALCON]]=AL$2,100%,AVANCE[[#This Row],[BARANDA BALCON]])</f>
        <v>0</v>
      </c>
      <c r="CA615" s="3">
        <f>+IF(AVANCE[[#This Row],[OSB EXTERIOR]]=AM$2,100%,AVANCE[[#This Row],[OSB EXTERIOR]])</f>
        <v>0</v>
      </c>
      <c r="CB615" s="3">
        <f>+IF(AVANCE[[#This Row],[SMART PANEL]]=AN$2,100%,AVANCE[[#This Row],[SMART PANEL]])</f>
        <v>0</v>
      </c>
      <c r="CC615" s="3">
        <f>+IF(AVANCE[[#This Row],[PINTURA EXTERIOR]]=AO$2,100%,AVANCE[[#This Row],[PINTURA EXTERIOR]])</f>
        <v>0</v>
      </c>
      <c r="CD615" s="3">
        <f>+IF(AVANCE[[#This Row],[ZOCALOS LOGIA]]=AP$2,100%,AVANCE[[#This Row],[ZOCALOS LOGIA]])</f>
        <v>0</v>
      </c>
      <c r="CE615" s="3">
        <f>+IF(AVANCE[[#This Row],[MOLDURAS]]=AQ$2,100%,AVANCE[[#This Row],[MOLDURAS]])</f>
        <v>0</v>
      </c>
      <c r="CF615" s="3">
        <f>+IF(AVANCE[[#This Row],[PILASTREO]]=AR$2,100%,AVANCE[[#This Row],[PILASTREO]])</f>
        <v>0</v>
      </c>
      <c r="CG615" s="3">
        <f>+IF(AVANCE[[#This Row],[CELOSIAS]]=AS$2,100%,AVANCE[[#This Row],[CELOSIAS]])</f>
        <v>0</v>
      </c>
      <c r="CH615" s="3">
        <f>+IF(AVANCE[[#This Row],[VENTANAS]]=AT$2,100%,AVANCE[[#This Row],[VENTANAS]])</f>
        <v>0</v>
      </c>
      <c r="CI615" s="3">
        <f>+IF(AVANCE[[#This Row],[PUERTAS ACCESO - LOGIA - BANO]]=AU$2,100%,AVANCE[[#This Row],[PUERTAS ACCESO - LOGIA - BANO]])</f>
        <v>0</v>
      </c>
      <c r="CJ615" s="3">
        <f>+IF(AVANCE[[#This Row],[CERRADURAS]]=AV$2,100%,AVANCE[[#This Row],[CERRADURAS]])</f>
        <v>0</v>
      </c>
      <c r="CK615" s="3">
        <f>+IF(AVANCE[[#This Row],[REVESTIMIENTO INTERIOR ZONA SECA]]=AW$2,100%,AVANCE[[#This Row],[REVESTIMIENTO INTERIOR ZONA SECA]])</f>
        <v>0</v>
      </c>
      <c r="CL615" s="3">
        <f>+IF(AVANCE[[#This Row],[REVESTIMIENTO INTERIOR ZONAS HUMEDAS]]=AX$2,100%,AVANCE[[#This Row],[REVESTIMIENTO INTERIOR ZONAS HUMEDAS]])</f>
        <v>0</v>
      </c>
      <c r="CM615" s="3">
        <f>+IF(AVANCE[[#This Row],[MEMBRANA CIELO]]=AY$2,100%,AVANCE[[#This Row],[MEMBRANA CIELO]])</f>
        <v>0</v>
      </c>
      <c r="CN615" s="3">
        <f>+IF(AVANCE[[#This Row],[LIMPIEZA FINAL]]=AZ$2,100%,AVANCE[[#This Row],[LIMPIEZA FINAL]])</f>
        <v>0</v>
      </c>
      <c r="CO615" s="3">
        <f>+IF(AVANCE[[#This Row],[PUERTAS DORMITORIO]]=BA$2,100%,AVANCE[[#This Row],[PUERTAS DORMITORIO]])</f>
        <v>0</v>
      </c>
      <c r="CP615" s="3">
        <f>+IF(AVANCE[[#This Row],[REVESTIMIENTO INTERIOR BANO]]=BB$2,100%,AVANCE[[#This Row],[REVESTIMIENTO INTERIOR BANO]])</f>
        <v>0</v>
      </c>
      <c r="CQ615" s="3">
        <f>+IF(AVANCE[[#This Row],[MUEBLE LAVAPLATOS]]=BC$2,100%,AVANCE[[#This Row],[MUEBLE LAVAPLATOS]])</f>
        <v>0</v>
      </c>
      <c r="CR615" s="3">
        <f>+IF(AVANCE[[#This Row],[IMPERMEABILIZACION BANO - COCINA LOGIA]]=BD$2,100%,AVANCE[[#This Row],[IMPERMEABILIZACION BANO - COCINA LOGIA]])</f>
        <v>0</v>
      </c>
      <c r="CS615" s="40">
        <f ca="1">+IF(AVANCE[[#This Row],[ESTADO MODULO]]="PENDIENTE",(TODAY()-AVANCE[[#This Row],[FECHA TERMINO  PLANIFICADO]]),0)</f>
        <v>0</v>
      </c>
      <c r="CT615" s="41" t="str" cm="1">
        <f t="array" ref="CT615">_xlfn.TEXTJOIN(" | ",TRUE,IF(SUMPRODUCT((BG615:CR615&lt;1)*(PARTIDAS!$I$2:$AT$2="OBRA GRUESA"))&gt;0,"OBRA GRUESA: "&amp;_xlfn.TEXTJOIN(", ",TRUE,IF((BG615:CR615&lt;1)*(PARTIDAS!$I$2:$AT$2="OBRA GRUESA"),PARTIDAS!$I$1:$AT$1,"")),""),IF(SUMPRODUCT((BG615:CR615&lt;1)*(PARTIDAS!$I$2:$AT$2="SANITARIOS"))&gt;0,"SANITARIOS: "&amp;_xlfn.TEXTJOIN(", ",TRUE,IF((BG615:CR615&lt;1)*(PARTIDAS!$I$2:$AT$2="SANITARIOS"),PARTIDAS!$I$1:$AT$1,"")),""),IF(SUMPRODUCT((BG615:CR615&lt;1)*(PARTIDAS!$I$2:$AT$2="ELÉCTRICO"))&gt;0,"ELÉCTRICO: "&amp;_xlfn.TEXTJOIN(", ",TRUE,IF((BG615:CR615&lt;1)*(PARTIDAS!$I$2:$AT$2="ELÉCTRICO"),PARTIDAS!$I$1:$AT$1,"")),""),IF(SUMPRODUCT((BG615:CR615&lt;1)*(PARTIDAS!$I$2:$AT$2="TERMINACIONES"))&gt;0,"TERMINACIONES: "&amp;_xlfn.TEXTJOIN(", ",TRUE,IF((BG615:CR615&lt;1)*(PARTIDAS!$I$2:$AT$2="TERMINACIONES"),PARTIDAS!$I$1:$AT$1,"")),""))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5" s="43" t="str" cm="1">
        <f t="array" ref="CU615">_xlfn.TEXTJOIN(", ",TRUE,IF(SUMPRODUCT((BG615:CR615&lt;1)*(PARTIDAS!$I$2:$AT$2="OBRA GRUESA"))&gt;0,"OBRA GRUESA",""),IF(SUMPRODUCT((BG615:CR615&lt;1)*(PARTIDAS!$I$2:$AT$2="SANITARIOS"))&gt;0,"SANITARIOS",""),IF(SUMPRODUCT((BG615:CR615&lt;1)*(PARTIDAS!$I$2:$AT$2="ELÉCTRICO"))&gt;0,"ELÉCTRICO",""),IF(SUMPRODUCT((BG615:CR615&lt;1)*(PARTIDAS!$I$2:$AT$2="TERMINACIONES"))&gt;0,"TERMINACIONES",""))</f>
        <v>OBRA GRUESA, SANITARIOS, ELÉCTRICO, TERMINACIONES</v>
      </c>
      <c r="CV615" s="44" cm="1">
        <f t="array" ref="CV615">SUMPRODUCT(--(BG615:CR615&lt;1))</f>
        <v>38</v>
      </c>
    </row>
    <row r="616" spans="1:100" hidden="1" x14ac:dyDescent="0.25">
      <c r="A616" t="s">
        <v>685</v>
      </c>
      <c r="B616" t="s">
        <v>692</v>
      </c>
      <c r="C616">
        <v>2302600615</v>
      </c>
      <c r="D616" t="s">
        <v>60</v>
      </c>
      <c r="E616" s="2">
        <v>0</v>
      </c>
      <c r="F616" s="1">
        <v>46447</v>
      </c>
      <c r="G616" s="1"/>
      <c r="H616" s="1">
        <v>0</v>
      </c>
      <c r="I616" s="1">
        <v>46477</v>
      </c>
      <c r="J616">
        <v>46230</v>
      </c>
      <c r="K616" s="1"/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>
        <v>31.32</v>
      </c>
      <c r="BF616" s="3" t="str">
        <f>+IF(AVANCE[[#This Row],[% AVANCE]]=100%,"MODULO TERMINADO",IF(AVANCE[[#This Row],[FECHA INICIO REAL]]="","MODULO NO INICIADO","PENDIENTE"))</f>
        <v>MODULO NO INICIADO</v>
      </c>
      <c r="BG616" s="3">
        <f>+IF(AVANCE[[#This Row],[VENTANAS]]=8.10810810810811%,100%,AVANCE[[#This Row],[VENTANAS]])</f>
        <v>0</v>
      </c>
      <c r="BH616" s="3">
        <f>+IF(AVANCE[[#This Row],[PISO]]=N$2,100%,AVANCE[[#This Row],[PISO]])</f>
        <v>0</v>
      </c>
      <c r="BI616" s="3">
        <f>+IF(AVANCE[[#This Row],[TABIQUES]]=O$2,100%,AVANCE[[#This Row],[TABIQUES]])</f>
        <v>0</v>
      </c>
      <c r="BJ616" s="3">
        <f>+IF(AVANCE[[#This Row],[MUROS]]=P$2,100%,AVANCE[[#This Row],[MUROS]])</f>
        <v>0</v>
      </c>
      <c r="BK616" s="3">
        <f>+IF(AVANCE[[#This Row],[CIELO]]=Q$2,100%,AVANCE[[#This Row],[CIELO]])</f>
        <v>0</v>
      </c>
      <c r="BL616" s="3">
        <f>+IF(AVANCE[[#This Row],[BALCÓN]]=R$2,100%,AVANCE[[#This Row],[BALCÓN]])</f>
        <v>0</v>
      </c>
      <c r="BM616" s="3">
        <f>+IF(AVANCE[[#This Row],[RED ALCANTARILLADO]]=U$2,100%,AVANCE[[#This Row],[RED ALCANTARILLADO]])</f>
        <v>0</v>
      </c>
      <c r="BN616" s="3">
        <f>+IF(AVANCE[[#This Row],[RED DE AGUA]]=V$2,100%,AVANCE[[#This Row],[RED DE AGUA]])</f>
        <v>0</v>
      </c>
      <c r="BO616" s="3">
        <f>+IF(AVANCE[[#This Row],[VENTILACIONES]]=W$2,100%,AVANCE[[#This Row],[VENTILACIONES]])</f>
        <v>0</v>
      </c>
      <c r="BP616" s="3">
        <f>+IF(AVANCE[[#This Row],[TINA]]=X$2,100%,AVANCE[[#This Row],[TINA]])</f>
        <v>0</v>
      </c>
      <c r="BQ616" s="3">
        <f>+IF(AVANCE[[#This Row],[WC]]=Y$2,100%,AVANCE[[#This Row],[WC]])</f>
        <v>0</v>
      </c>
      <c r="BR616" s="3">
        <f>+IF(AVANCE[[#This Row],[LAVAMANOS / LAVAPLATOS / LAVADERO]]=Z$2,100%,AVANCE[[#This Row],[LAVAMANOS / LAVAPLATOS / LAVADERO]])</f>
        <v>0</v>
      </c>
      <c r="BS616" s="3">
        <f>+IF(AVANCE[[#This Row],[CANALIZACIÓN]]=AC$2,100%,AVANCE[[#This Row],[CANALIZACIÓN]])</f>
        <v>0</v>
      </c>
      <c r="BT616" s="3">
        <f>+IF(AVANCE[[#This Row],[CABLEADO]]=AD$2,100%,AVANCE[[#This Row],[CABLEADO]])</f>
        <v>0</v>
      </c>
      <c r="BU616" s="3">
        <f>+IF(AVANCE[[#This Row],[ARTEFACTOS]]=AE$2,100%,AVANCE[[#This Row],[ARTEFACTOS]])</f>
        <v>0</v>
      </c>
      <c r="BV616" s="3">
        <f>+IF(AVANCE[[#This Row],[TABLERO]]=AF$2,100%,AVANCE[[#This Row],[TABLERO]])</f>
        <v>0</v>
      </c>
      <c r="BW616" s="3">
        <f>+IF(AVANCE[[#This Row],[CAJA PAU]]=AG$2,100%,AVANCE[[#This Row],[CAJA PAU]])</f>
        <v>0</v>
      </c>
      <c r="BX616" s="3">
        <f>+IF(AVANCE[[#This Row],[INSTALACION VINILICO]]=AJ$2,100%,AVANCE[[#This Row],[INSTALACION VINILICO]])</f>
        <v>0</v>
      </c>
      <c r="BY616" s="3">
        <f>+IF(AVANCE[[#This Row],[OSB CUBIERTA]]=AK$2,100%,AVANCE[[#This Row],[OSB CUBIERTA]])</f>
        <v>0</v>
      </c>
      <c r="BZ616" s="3">
        <f>+IF(AVANCE[[#This Row],[BARANDA BALCON]]=AL$2,100%,AVANCE[[#This Row],[BARANDA BALCON]])</f>
        <v>0</v>
      </c>
      <c r="CA616" s="3">
        <f>+IF(AVANCE[[#This Row],[OSB EXTERIOR]]=AM$2,100%,AVANCE[[#This Row],[OSB EXTERIOR]])</f>
        <v>0</v>
      </c>
      <c r="CB616" s="3">
        <f>+IF(AVANCE[[#This Row],[SMART PANEL]]=AN$2,100%,AVANCE[[#This Row],[SMART PANEL]])</f>
        <v>0</v>
      </c>
      <c r="CC616" s="3">
        <f>+IF(AVANCE[[#This Row],[PINTURA EXTERIOR]]=AO$2,100%,AVANCE[[#This Row],[PINTURA EXTERIOR]])</f>
        <v>0</v>
      </c>
      <c r="CD616" s="3">
        <f>+IF(AVANCE[[#This Row],[ZOCALOS LOGIA]]=AP$2,100%,AVANCE[[#This Row],[ZOCALOS LOGIA]])</f>
        <v>0</v>
      </c>
      <c r="CE616" s="3">
        <f>+IF(AVANCE[[#This Row],[MOLDURAS]]=AQ$2,100%,AVANCE[[#This Row],[MOLDURAS]])</f>
        <v>0</v>
      </c>
      <c r="CF616" s="3">
        <f>+IF(AVANCE[[#This Row],[PILASTREO]]=AR$2,100%,AVANCE[[#This Row],[PILASTREO]])</f>
        <v>0</v>
      </c>
      <c r="CG616" s="3">
        <f>+IF(AVANCE[[#This Row],[CELOSIAS]]=AS$2,100%,AVANCE[[#This Row],[CELOSIAS]])</f>
        <v>0</v>
      </c>
      <c r="CH616" s="3">
        <f>+IF(AVANCE[[#This Row],[VENTANAS]]=AT$2,100%,AVANCE[[#This Row],[VENTANAS]])</f>
        <v>0</v>
      </c>
      <c r="CI616" s="3">
        <f>+IF(AVANCE[[#This Row],[PUERTAS ACCESO - LOGIA - BANO]]=AU$2,100%,AVANCE[[#This Row],[PUERTAS ACCESO - LOGIA - BANO]])</f>
        <v>0</v>
      </c>
      <c r="CJ616" s="3">
        <f>+IF(AVANCE[[#This Row],[CERRADURAS]]=AV$2,100%,AVANCE[[#This Row],[CERRADURAS]])</f>
        <v>0</v>
      </c>
      <c r="CK616" s="3">
        <f>+IF(AVANCE[[#This Row],[REVESTIMIENTO INTERIOR ZONA SECA]]=AW$2,100%,AVANCE[[#This Row],[REVESTIMIENTO INTERIOR ZONA SECA]])</f>
        <v>0</v>
      </c>
      <c r="CL616" s="3">
        <f>+IF(AVANCE[[#This Row],[REVESTIMIENTO INTERIOR ZONAS HUMEDAS]]=AX$2,100%,AVANCE[[#This Row],[REVESTIMIENTO INTERIOR ZONAS HUMEDAS]])</f>
        <v>0</v>
      </c>
      <c r="CM616" s="3">
        <f>+IF(AVANCE[[#This Row],[MEMBRANA CIELO]]=AY$2,100%,AVANCE[[#This Row],[MEMBRANA CIELO]])</f>
        <v>0</v>
      </c>
      <c r="CN616" s="3">
        <f>+IF(AVANCE[[#This Row],[LIMPIEZA FINAL]]=AZ$2,100%,AVANCE[[#This Row],[LIMPIEZA FINAL]])</f>
        <v>0</v>
      </c>
      <c r="CO616" s="3">
        <f>+IF(AVANCE[[#This Row],[PUERTAS DORMITORIO]]=BA$2,100%,AVANCE[[#This Row],[PUERTAS DORMITORIO]])</f>
        <v>0</v>
      </c>
      <c r="CP616" s="3">
        <f>+IF(AVANCE[[#This Row],[REVESTIMIENTO INTERIOR BANO]]=BB$2,100%,AVANCE[[#This Row],[REVESTIMIENTO INTERIOR BANO]])</f>
        <v>0</v>
      </c>
      <c r="CQ616" s="3">
        <f>+IF(AVANCE[[#This Row],[MUEBLE LAVAPLATOS]]=BC$2,100%,AVANCE[[#This Row],[MUEBLE LAVAPLATOS]])</f>
        <v>0</v>
      </c>
      <c r="CR616" s="3">
        <f>+IF(AVANCE[[#This Row],[IMPERMEABILIZACION BANO - COCINA LOGIA]]=BD$2,100%,AVANCE[[#This Row],[IMPERMEABILIZACION BANO - COCINA LOGIA]])</f>
        <v>0</v>
      </c>
      <c r="CS616" s="40">
        <f ca="1">+IF(AVANCE[[#This Row],[ESTADO MODULO]]="PENDIENTE",(TODAY()-AVANCE[[#This Row],[FECHA TERMINO  PLANIFICADO]]),0)</f>
        <v>0</v>
      </c>
      <c r="CT616" s="41" t="str" cm="1">
        <f t="array" ref="CT616">_xlfn.TEXTJOIN(" | ",TRUE,IF(SUMPRODUCT((BG616:CR616&lt;1)*(PARTIDAS!$I$2:$AT$2="OBRA GRUESA"))&gt;0,"OBRA GRUESA: "&amp;_xlfn.TEXTJOIN(", ",TRUE,IF((BG616:CR616&lt;1)*(PARTIDAS!$I$2:$AT$2="OBRA GRUESA"),PARTIDAS!$I$1:$AT$1,"")),""),IF(SUMPRODUCT((BG616:CR616&lt;1)*(PARTIDAS!$I$2:$AT$2="SANITARIOS"))&gt;0,"SANITARIOS: "&amp;_xlfn.TEXTJOIN(", ",TRUE,IF((BG616:CR616&lt;1)*(PARTIDAS!$I$2:$AT$2="SANITARIOS"),PARTIDAS!$I$1:$AT$1,"")),""),IF(SUMPRODUCT((BG616:CR616&lt;1)*(PARTIDAS!$I$2:$AT$2="ELÉCTRICO"))&gt;0,"ELÉCTRICO: "&amp;_xlfn.TEXTJOIN(", ",TRUE,IF((BG616:CR616&lt;1)*(PARTIDAS!$I$2:$AT$2="ELÉCTRICO"),PARTIDAS!$I$1:$AT$1,"")),""),IF(SUMPRODUCT((BG616:CR616&lt;1)*(PARTIDAS!$I$2:$AT$2="TERMINACIONES"))&gt;0,"TERMINACIONES: "&amp;_xlfn.TEXTJOIN(", ",TRUE,IF((BG616:CR616&lt;1)*(PARTIDAS!$I$2:$AT$2="TERMINACIONES"),PARTIDAS!$I$1:$AT$1,"")),""))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6" s="43" t="str" cm="1">
        <f t="array" ref="CU616">_xlfn.TEXTJOIN(", ",TRUE,IF(SUMPRODUCT((BG616:CR616&lt;1)*(PARTIDAS!$I$2:$AT$2="OBRA GRUESA"))&gt;0,"OBRA GRUESA",""),IF(SUMPRODUCT((BG616:CR616&lt;1)*(PARTIDAS!$I$2:$AT$2="SANITARIOS"))&gt;0,"SANITARIOS",""),IF(SUMPRODUCT((BG616:CR616&lt;1)*(PARTIDAS!$I$2:$AT$2="ELÉCTRICO"))&gt;0,"ELÉCTRICO",""),IF(SUMPRODUCT((BG616:CR616&lt;1)*(PARTIDAS!$I$2:$AT$2="TERMINACIONES"))&gt;0,"TERMINACIONES",""))</f>
        <v>OBRA GRUESA, SANITARIOS, ELÉCTRICO, TERMINACIONES</v>
      </c>
      <c r="CV616" s="44" cm="1">
        <f t="array" ref="CV616">SUMPRODUCT(--(BG616:CR616&lt;1))</f>
        <v>38</v>
      </c>
    </row>
    <row r="617" spans="1:100" hidden="1" x14ac:dyDescent="0.25">
      <c r="A617" t="s">
        <v>685</v>
      </c>
      <c r="B617" t="s">
        <v>693</v>
      </c>
      <c r="C617">
        <v>2282600616</v>
      </c>
      <c r="D617" t="s">
        <v>58</v>
      </c>
      <c r="E617" s="2">
        <v>0</v>
      </c>
      <c r="F617" s="1">
        <v>46447</v>
      </c>
      <c r="G617" s="1"/>
      <c r="H617" s="1">
        <v>0</v>
      </c>
      <c r="I617" s="1">
        <v>46467</v>
      </c>
      <c r="J617">
        <v>46230</v>
      </c>
      <c r="K617" s="1"/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>
        <v>28.87</v>
      </c>
      <c r="BF617" s="3" t="str">
        <f>+IF(AVANCE[[#This Row],[% AVANCE]]=100%,"MODULO TERMINADO",IF(AVANCE[[#This Row],[FECHA INICIO REAL]]="","MODULO NO INICIADO","PENDIENTE"))</f>
        <v>MODULO NO INICIADO</v>
      </c>
      <c r="BG617" s="3">
        <f>+IF(AVANCE[[#This Row],[VENTANAS]]=8.10810810810811%,100%,AVANCE[[#This Row],[VENTANAS]])</f>
        <v>0</v>
      </c>
      <c r="BH617" s="3">
        <f>+IF(AVANCE[[#This Row],[PISO]]=N$2,100%,AVANCE[[#This Row],[PISO]])</f>
        <v>0</v>
      </c>
      <c r="BI617" s="3">
        <f>+IF(AVANCE[[#This Row],[TABIQUES]]=O$2,100%,AVANCE[[#This Row],[TABIQUES]])</f>
        <v>0</v>
      </c>
      <c r="BJ617" s="3">
        <f>+IF(AVANCE[[#This Row],[MUROS]]=P$2,100%,AVANCE[[#This Row],[MUROS]])</f>
        <v>0</v>
      </c>
      <c r="BK617" s="3">
        <f>+IF(AVANCE[[#This Row],[CIELO]]=Q$2,100%,AVANCE[[#This Row],[CIELO]])</f>
        <v>0</v>
      </c>
      <c r="BL617" s="3">
        <f>+IF(AVANCE[[#This Row],[BALCÓN]]=R$2,100%,AVANCE[[#This Row],[BALCÓN]])</f>
        <v>0</v>
      </c>
      <c r="BM617" s="3">
        <f>+IF(AVANCE[[#This Row],[RED ALCANTARILLADO]]=U$2,100%,AVANCE[[#This Row],[RED ALCANTARILLADO]])</f>
        <v>0</v>
      </c>
      <c r="BN617" s="3">
        <f>+IF(AVANCE[[#This Row],[RED DE AGUA]]=V$2,100%,AVANCE[[#This Row],[RED DE AGUA]])</f>
        <v>0</v>
      </c>
      <c r="BO617" s="3">
        <f>+IF(AVANCE[[#This Row],[VENTILACIONES]]=W$2,100%,AVANCE[[#This Row],[VENTILACIONES]])</f>
        <v>0</v>
      </c>
      <c r="BP617" s="3">
        <f>+IF(AVANCE[[#This Row],[TINA]]=X$2,100%,AVANCE[[#This Row],[TINA]])</f>
        <v>0</v>
      </c>
      <c r="BQ617" s="3">
        <f>+IF(AVANCE[[#This Row],[WC]]=Y$2,100%,AVANCE[[#This Row],[WC]])</f>
        <v>0</v>
      </c>
      <c r="BR617" s="3">
        <f>+IF(AVANCE[[#This Row],[LAVAMANOS / LAVAPLATOS / LAVADERO]]=Z$2,100%,AVANCE[[#This Row],[LAVAMANOS / LAVAPLATOS / LAVADERO]])</f>
        <v>0</v>
      </c>
      <c r="BS617" s="3">
        <f>+IF(AVANCE[[#This Row],[CANALIZACIÓN]]=AC$2,100%,AVANCE[[#This Row],[CANALIZACIÓN]])</f>
        <v>0</v>
      </c>
      <c r="BT617" s="3">
        <f>+IF(AVANCE[[#This Row],[CABLEADO]]=AD$2,100%,AVANCE[[#This Row],[CABLEADO]])</f>
        <v>0</v>
      </c>
      <c r="BU617" s="3">
        <f>+IF(AVANCE[[#This Row],[ARTEFACTOS]]=AE$2,100%,AVANCE[[#This Row],[ARTEFACTOS]])</f>
        <v>0</v>
      </c>
      <c r="BV617" s="3">
        <f>+IF(AVANCE[[#This Row],[TABLERO]]=AF$2,100%,AVANCE[[#This Row],[TABLERO]])</f>
        <v>0</v>
      </c>
      <c r="BW617" s="3">
        <f>+IF(AVANCE[[#This Row],[CAJA PAU]]=AG$2,100%,AVANCE[[#This Row],[CAJA PAU]])</f>
        <v>0</v>
      </c>
      <c r="BX617" s="3">
        <f>+IF(AVANCE[[#This Row],[INSTALACION VINILICO]]=AJ$2,100%,AVANCE[[#This Row],[INSTALACION VINILICO]])</f>
        <v>0</v>
      </c>
      <c r="BY617" s="3">
        <f>+IF(AVANCE[[#This Row],[OSB CUBIERTA]]=AK$2,100%,AVANCE[[#This Row],[OSB CUBIERTA]])</f>
        <v>0</v>
      </c>
      <c r="BZ617" s="3">
        <f>+IF(AVANCE[[#This Row],[BARANDA BALCON]]=AL$2,100%,AVANCE[[#This Row],[BARANDA BALCON]])</f>
        <v>0</v>
      </c>
      <c r="CA617" s="3">
        <f>+IF(AVANCE[[#This Row],[OSB EXTERIOR]]=AM$2,100%,AVANCE[[#This Row],[OSB EXTERIOR]])</f>
        <v>0</v>
      </c>
      <c r="CB617" s="3">
        <f>+IF(AVANCE[[#This Row],[SMART PANEL]]=AN$2,100%,AVANCE[[#This Row],[SMART PANEL]])</f>
        <v>0</v>
      </c>
      <c r="CC617" s="3">
        <f>+IF(AVANCE[[#This Row],[PINTURA EXTERIOR]]=AO$2,100%,AVANCE[[#This Row],[PINTURA EXTERIOR]])</f>
        <v>0</v>
      </c>
      <c r="CD617" s="3">
        <f>+IF(AVANCE[[#This Row],[ZOCALOS LOGIA]]=AP$2,100%,AVANCE[[#This Row],[ZOCALOS LOGIA]])</f>
        <v>0</v>
      </c>
      <c r="CE617" s="3">
        <f>+IF(AVANCE[[#This Row],[MOLDURAS]]=AQ$2,100%,AVANCE[[#This Row],[MOLDURAS]])</f>
        <v>0</v>
      </c>
      <c r="CF617" s="3">
        <f>+IF(AVANCE[[#This Row],[PILASTREO]]=AR$2,100%,AVANCE[[#This Row],[PILASTREO]])</f>
        <v>0</v>
      </c>
      <c r="CG617" s="3">
        <f>+IF(AVANCE[[#This Row],[CELOSIAS]]=AS$2,100%,AVANCE[[#This Row],[CELOSIAS]])</f>
        <v>0</v>
      </c>
      <c r="CH617" s="3">
        <f>+IF(AVANCE[[#This Row],[VENTANAS]]=AT$2,100%,AVANCE[[#This Row],[VENTANAS]])</f>
        <v>0</v>
      </c>
      <c r="CI617" s="3">
        <f>+IF(AVANCE[[#This Row],[PUERTAS ACCESO - LOGIA - BANO]]=AU$2,100%,AVANCE[[#This Row],[PUERTAS ACCESO - LOGIA - BANO]])</f>
        <v>0</v>
      </c>
      <c r="CJ617" s="3">
        <f>+IF(AVANCE[[#This Row],[CERRADURAS]]=AV$2,100%,AVANCE[[#This Row],[CERRADURAS]])</f>
        <v>0</v>
      </c>
      <c r="CK617" s="3">
        <f>+IF(AVANCE[[#This Row],[REVESTIMIENTO INTERIOR ZONA SECA]]=AW$2,100%,AVANCE[[#This Row],[REVESTIMIENTO INTERIOR ZONA SECA]])</f>
        <v>0</v>
      </c>
      <c r="CL617" s="3">
        <f>+IF(AVANCE[[#This Row],[REVESTIMIENTO INTERIOR ZONAS HUMEDAS]]=AX$2,100%,AVANCE[[#This Row],[REVESTIMIENTO INTERIOR ZONAS HUMEDAS]])</f>
        <v>0</v>
      </c>
      <c r="CM617" s="3">
        <f>+IF(AVANCE[[#This Row],[MEMBRANA CIELO]]=AY$2,100%,AVANCE[[#This Row],[MEMBRANA CIELO]])</f>
        <v>0</v>
      </c>
      <c r="CN617" s="3">
        <f>+IF(AVANCE[[#This Row],[LIMPIEZA FINAL]]=AZ$2,100%,AVANCE[[#This Row],[LIMPIEZA FINAL]])</f>
        <v>0</v>
      </c>
      <c r="CO617" s="3">
        <f>+IF(AVANCE[[#This Row],[PUERTAS DORMITORIO]]=BA$2,100%,AVANCE[[#This Row],[PUERTAS DORMITORIO]])</f>
        <v>0</v>
      </c>
      <c r="CP617" s="3">
        <f>+IF(AVANCE[[#This Row],[REVESTIMIENTO INTERIOR BANO]]=BB$2,100%,AVANCE[[#This Row],[REVESTIMIENTO INTERIOR BANO]])</f>
        <v>0</v>
      </c>
      <c r="CQ617" s="3">
        <f>+IF(AVANCE[[#This Row],[MUEBLE LAVAPLATOS]]=BC$2,100%,AVANCE[[#This Row],[MUEBLE LAVAPLATOS]])</f>
        <v>0</v>
      </c>
      <c r="CR617" s="3">
        <f>+IF(AVANCE[[#This Row],[IMPERMEABILIZACION BANO - COCINA LOGIA]]=BD$2,100%,AVANCE[[#This Row],[IMPERMEABILIZACION BANO - COCINA LOGIA]])</f>
        <v>0</v>
      </c>
      <c r="CS617" s="40">
        <f ca="1">+IF(AVANCE[[#This Row],[ESTADO MODULO]]="PENDIENTE",(TODAY()-AVANCE[[#This Row],[FECHA TERMINO  PLANIFICADO]]),0)</f>
        <v>0</v>
      </c>
      <c r="CT617" s="41" t="str" cm="1">
        <f t="array" ref="CT617">_xlfn.TEXTJOIN(" | ",TRUE,IF(SUMPRODUCT((BG617:CR617&lt;1)*(PARTIDAS!$I$2:$AT$2="OBRA GRUESA"))&gt;0,"OBRA GRUESA: "&amp;_xlfn.TEXTJOIN(", ",TRUE,IF((BG617:CR617&lt;1)*(PARTIDAS!$I$2:$AT$2="OBRA GRUESA"),PARTIDAS!$I$1:$AT$1,"")),""),IF(SUMPRODUCT((BG617:CR617&lt;1)*(PARTIDAS!$I$2:$AT$2="SANITARIOS"))&gt;0,"SANITARIOS: "&amp;_xlfn.TEXTJOIN(", ",TRUE,IF((BG617:CR617&lt;1)*(PARTIDAS!$I$2:$AT$2="SANITARIOS"),PARTIDAS!$I$1:$AT$1,"")),""),IF(SUMPRODUCT((BG617:CR617&lt;1)*(PARTIDAS!$I$2:$AT$2="ELÉCTRICO"))&gt;0,"ELÉCTRICO: "&amp;_xlfn.TEXTJOIN(", ",TRUE,IF((BG617:CR617&lt;1)*(PARTIDAS!$I$2:$AT$2="ELÉCTRICO"),PARTIDAS!$I$1:$AT$1,"")),""),IF(SUMPRODUCT((BG617:CR617&lt;1)*(PARTIDAS!$I$2:$AT$2="TERMINACIONES"))&gt;0,"TERMINACIONES: "&amp;_xlfn.TEXTJOIN(", ",TRUE,IF((BG617:CR617&lt;1)*(PARTIDAS!$I$2:$AT$2="TERMINACIONES"),PARTIDAS!$I$1:$AT$1,"")),""))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7" s="43" t="str" cm="1">
        <f t="array" ref="CU617">_xlfn.TEXTJOIN(", ",TRUE,IF(SUMPRODUCT((BG617:CR617&lt;1)*(PARTIDAS!$I$2:$AT$2="OBRA GRUESA"))&gt;0,"OBRA GRUESA",""),IF(SUMPRODUCT((BG617:CR617&lt;1)*(PARTIDAS!$I$2:$AT$2="SANITARIOS"))&gt;0,"SANITARIOS",""),IF(SUMPRODUCT((BG617:CR617&lt;1)*(PARTIDAS!$I$2:$AT$2="ELÉCTRICO"))&gt;0,"ELÉCTRICO",""),IF(SUMPRODUCT((BG617:CR617&lt;1)*(PARTIDAS!$I$2:$AT$2="TERMINACIONES"))&gt;0,"TERMINACIONES",""))</f>
        <v>OBRA GRUESA, SANITARIOS, ELÉCTRICO, TERMINACIONES</v>
      </c>
      <c r="CV617" s="44" cm="1">
        <f t="array" ref="CV617">SUMPRODUCT(--(BG617:CR617&lt;1))</f>
        <v>38</v>
      </c>
    </row>
    <row r="618" spans="1:100" hidden="1" x14ac:dyDescent="0.25">
      <c r="A618" t="s">
        <v>685</v>
      </c>
      <c r="B618" t="s">
        <v>694</v>
      </c>
      <c r="C618">
        <v>2282600617</v>
      </c>
      <c r="D618" t="s">
        <v>58</v>
      </c>
      <c r="E618" s="2">
        <v>0</v>
      </c>
      <c r="F618" s="1">
        <v>46448</v>
      </c>
      <c r="G618" s="1"/>
      <c r="H618" s="1">
        <v>0</v>
      </c>
      <c r="I618" s="1">
        <v>46468</v>
      </c>
      <c r="J618">
        <v>46230</v>
      </c>
      <c r="K618" s="1"/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>
        <v>28.87</v>
      </c>
      <c r="BF618" s="3" t="str">
        <f>+IF(AVANCE[[#This Row],[% AVANCE]]=100%,"MODULO TERMINADO",IF(AVANCE[[#This Row],[FECHA INICIO REAL]]="","MODULO NO INICIADO","PENDIENTE"))</f>
        <v>MODULO NO INICIADO</v>
      </c>
      <c r="BG618" s="3">
        <f>+IF(AVANCE[[#This Row],[VENTANAS]]=8.10810810810811%,100%,AVANCE[[#This Row],[VENTANAS]])</f>
        <v>0</v>
      </c>
      <c r="BH618" s="3">
        <f>+IF(AVANCE[[#This Row],[PISO]]=N$2,100%,AVANCE[[#This Row],[PISO]])</f>
        <v>0</v>
      </c>
      <c r="BI618" s="3">
        <f>+IF(AVANCE[[#This Row],[TABIQUES]]=O$2,100%,AVANCE[[#This Row],[TABIQUES]])</f>
        <v>0</v>
      </c>
      <c r="BJ618" s="3">
        <f>+IF(AVANCE[[#This Row],[MUROS]]=P$2,100%,AVANCE[[#This Row],[MUROS]])</f>
        <v>0</v>
      </c>
      <c r="BK618" s="3">
        <f>+IF(AVANCE[[#This Row],[CIELO]]=Q$2,100%,AVANCE[[#This Row],[CIELO]])</f>
        <v>0</v>
      </c>
      <c r="BL618" s="3">
        <f>+IF(AVANCE[[#This Row],[BALCÓN]]=R$2,100%,AVANCE[[#This Row],[BALCÓN]])</f>
        <v>0</v>
      </c>
      <c r="BM618" s="3">
        <f>+IF(AVANCE[[#This Row],[RED ALCANTARILLADO]]=U$2,100%,AVANCE[[#This Row],[RED ALCANTARILLADO]])</f>
        <v>0</v>
      </c>
      <c r="BN618" s="3">
        <f>+IF(AVANCE[[#This Row],[RED DE AGUA]]=V$2,100%,AVANCE[[#This Row],[RED DE AGUA]])</f>
        <v>0</v>
      </c>
      <c r="BO618" s="3">
        <f>+IF(AVANCE[[#This Row],[VENTILACIONES]]=W$2,100%,AVANCE[[#This Row],[VENTILACIONES]])</f>
        <v>0</v>
      </c>
      <c r="BP618" s="3">
        <f>+IF(AVANCE[[#This Row],[TINA]]=X$2,100%,AVANCE[[#This Row],[TINA]])</f>
        <v>0</v>
      </c>
      <c r="BQ618" s="3">
        <f>+IF(AVANCE[[#This Row],[WC]]=Y$2,100%,AVANCE[[#This Row],[WC]])</f>
        <v>0</v>
      </c>
      <c r="BR618" s="3">
        <f>+IF(AVANCE[[#This Row],[LAVAMANOS / LAVAPLATOS / LAVADERO]]=Z$2,100%,AVANCE[[#This Row],[LAVAMANOS / LAVAPLATOS / LAVADERO]])</f>
        <v>0</v>
      </c>
      <c r="BS618" s="3">
        <f>+IF(AVANCE[[#This Row],[CANALIZACIÓN]]=AC$2,100%,AVANCE[[#This Row],[CANALIZACIÓN]])</f>
        <v>0</v>
      </c>
      <c r="BT618" s="3">
        <f>+IF(AVANCE[[#This Row],[CABLEADO]]=AD$2,100%,AVANCE[[#This Row],[CABLEADO]])</f>
        <v>0</v>
      </c>
      <c r="BU618" s="3">
        <f>+IF(AVANCE[[#This Row],[ARTEFACTOS]]=AE$2,100%,AVANCE[[#This Row],[ARTEFACTOS]])</f>
        <v>0</v>
      </c>
      <c r="BV618" s="3">
        <f>+IF(AVANCE[[#This Row],[TABLERO]]=AF$2,100%,AVANCE[[#This Row],[TABLERO]])</f>
        <v>0</v>
      </c>
      <c r="BW618" s="3">
        <f>+IF(AVANCE[[#This Row],[CAJA PAU]]=AG$2,100%,AVANCE[[#This Row],[CAJA PAU]])</f>
        <v>0</v>
      </c>
      <c r="BX618" s="3">
        <f>+IF(AVANCE[[#This Row],[INSTALACION VINILICO]]=AJ$2,100%,AVANCE[[#This Row],[INSTALACION VINILICO]])</f>
        <v>0</v>
      </c>
      <c r="BY618" s="3">
        <f>+IF(AVANCE[[#This Row],[OSB CUBIERTA]]=AK$2,100%,AVANCE[[#This Row],[OSB CUBIERTA]])</f>
        <v>0</v>
      </c>
      <c r="BZ618" s="3">
        <f>+IF(AVANCE[[#This Row],[BARANDA BALCON]]=AL$2,100%,AVANCE[[#This Row],[BARANDA BALCON]])</f>
        <v>0</v>
      </c>
      <c r="CA618" s="3">
        <f>+IF(AVANCE[[#This Row],[OSB EXTERIOR]]=AM$2,100%,AVANCE[[#This Row],[OSB EXTERIOR]])</f>
        <v>0</v>
      </c>
      <c r="CB618" s="3">
        <f>+IF(AVANCE[[#This Row],[SMART PANEL]]=AN$2,100%,AVANCE[[#This Row],[SMART PANEL]])</f>
        <v>0</v>
      </c>
      <c r="CC618" s="3">
        <f>+IF(AVANCE[[#This Row],[PINTURA EXTERIOR]]=AO$2,100%,AVANCE[[#This Row],[PINTURA EXTERIOR]])</f>
        <v>0</v>
      </c>
      <c r="CD618" s="3">
        <f>+IF(AVANCE[[#This Row],[ZOCALOS LOGIA]]=AP$2,100%,AVANCE[[#This Row],[ZOCALOS LOGIA]])</f>
        <v>0</v>
      </c>
      <c r="CE618" s="3">
        <f>+IF(AVANCE[[#This Row],[MOLDURAS]]=AQ$2,100%,AVANCE[[#This Row],[MOLDURAS]])</f>
        <v>0</v>
      </c>
      <c r="CF618" s="3">
        <f>+IF(AVANCE[[#This Row],[PILASTREO]]=AR$2,100%,AVANCE[[#This Row],[PILASTREO]])</f>
        <v>0</v>
      </c>
      <c r="CG618" s="3">
        <f>+IF(AVANCE[[#This Row],[CELOSIAS]]=AS$2,100%,AVANCE[[#This Row],[CELOSIAS]])</f>
        <v>0</v>
      </c>
      <c r="CH618" s="3">
        <f>+IF(AVANCE[[#This Row],[VENTANAS]]=AT$2,100%,AVANCE[[#This Row],[VENTANAS]])</f>
        <v>0</v>
      </c>
      <c r="CI618" s="3">
        <f>+IF(AVANCE[[#This Row],[PUERTAS ACCESO - LOGIA - BANO]]=AU$2,100%,AVANCE[[#This Row],[PUERTAS ACCESO - LOGIA - BANO]])</f>
        <v>0</v>
      </c>
      <c r="CJ618" s="3">
        <f>+IF(AVANCE[[#This Row],[CERRADURAS]]=AV$2,100%,AVANCE[[#This Row],[CERRADURAS]])</f>
        <v>0</v>
      </c>
      <c r="CK618" s="3">
        <f>+IF(AVANCE[[#This Row],[REVESTIMIENTO INTERIOR ZONA SECA]]=AW$2,100%,AVANCE[[#This Row],[REVESTIMIENTO INTERIOR ZONA SECA]])</f>
        <v>0</v>
      </c>
      <c r="CL618" s="3">
        <f>+IF(AVANCE[[#This Row],[REVESTIMIENTO INTERIOR ZONAS HUMEDAS]]=AX$2,100%,AVANCE[[#This Row],[REVESTIMIENTO INTERIOR ZONAS HUMEDAS]])</f>
        <v>0</v>
      </c>
      <c r="CM618" s="3">
        <f>+IF(AVANCE[[#This Row],[MEMBRANA CIELO]]=AY$2,100%,AVANCE[[#This Row],[MEMBRANA CIELO]])</f>
        <v>0</v>
      </c>
      <c r="CN618" s="3">
        <f>+IF(AVANCE[[#This Row],[LIMPIEZA FINAL]]=AZ$2,100%,AVANCE[[#This Row],[LIMPIEZA FINAL]])</f>
        <v>0</v>
      </c>
      <c r="CO618" s="3">
        <f>+IF(AVANCE[[#This Row],[PUERTAS DORMITORIO]]=BA$2,100%,AVANCE[[#This Row],[PUERTAS DORMITORIO]])</f>
        <v>0</v>
      </c>
      <c r="CP618" s="3">
        <f>+IF(AVANCE[[#This Row],[REVESTIMIENTO INTERIOR BANO]]=BB$2,100%,AVANCE[[#This Row],[REVESTIMIENTO INTERIOR BANO]])</f>
        <v>0</v>
      </c>
      <c r="CQ618" s="3">
        <f>+IF(AVANCE[[#This Row],[MUEBLE LAVAPLATOS]]=BC$2,100%,AVANCE[[#This Row],[MUEBLE LAVAPLATOS]])</f>
        <v>0</v>
      </c>
      <c r="CR618" s="3">
        <f>+IF(AVANCE[[#This Row],[IMPERMEABILIZACION BANO - COCINA LOGIA]]=BD$2,100%,AVANCE[[#This Row],[IMPERMEABILIZACION BANO - COCINA LOGIA]])</f>
        <v>0</v>
      </c>
      <c r="CS618" s="40">
        <f ca="1">+IF(AVANCE[[#This Row],[ESTADO MODULO]]="PENDIENTE",(TODAY()-AVANCE[[#This Row],[FECHA TERMINO  PLANIFICADO]]),0)</f>
        <v>0</v>
      </c>
      <c r="CT618" s="41" t="str" cm="1">
        <f t="array" ref="CT618">_xlfn.TEXTJOIN(" | ",TRUE,IF(SUMPRODUCT((BG618:CR618&lt;1)*(PARTIDAS!$I$2:$AT$2="OBRA GRUESA"))&gt;0,"OBRA GRUESA: "&amp;_xlfn.TEXTJOIN(", ",TRUE,IF((BG618:CR618&lt;1)*(PARTIDAS!$I$2:$AT$2="OBRA GRUESA"),PARTIDAS!$I$1:$AT$1,"")),""),IF(SUMPRODUCT((BG618:CR618&lt;1)*(PARTIDAS!$I$2:$AT$2="SANITARIOS"))&gt;0,"SANITARIOS: "&amp;_xlfn.TEXTJOIN(", ",TRUE,IF((BG618:CR618&lt;1)*(PARTIDAS!$I$2:$AT$2="SANITARIOS"),PARTIDAS!$I$1:$AT$1,"")),""),IF(SUMPRODUCT((BG618:CR618&lt;1)*(PARTIDAS!$I$2:$AT$2="ELÉCTRICO"))&gt;0,"ELÉCTRICO: "&amp;_xlfn.TEXTJOIN(", ",TRUE,IF((BG618:CR618&lt;1)*(PARTIDAS!$I$2:$AT$2="ELÉCTRICO"),PARTIDAS!$I$1:$AT$1,"")),""),IF(SUMPRODUCT((BG618:CR618&lt;1)*(PARTIDAS!$I$2:$AT$2="TERMINACIONES"))&gt;0,"TERMINACIONES: "&amp;_xlfn.TEXTJOIN(", ",TRUE,IF((BG618:CR618&lt;1)*(PARTIDAS!$I$2:$AT$2="TERMINACIONES"),PARTIDAS!$I$1:$AT$1,"")),""))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8" s="43" t="str" cm="1">
        <f t="array" ref="CU618">_xlfn.TEXTJOIN(", ",TRUE,IF(SUMPRODUCT((BG618:CR618&lt;1)*(PARTIDAS!$I$2:$AT$2="OBRA GRUESA"))&gt;0,"OBRA GRUESA",""),IF(SUMPRODUCT((BG618:CR618&lt;1)*(PARTIDAS!$I$2:$AT$2="SANITARIOS"))&gt;0,"SANITARIOS",""),IF(SUMPRODUCT((BG618:CR618&lt;1)*(PARTIDAS!$I$2:$AT$2="ELÉCTRICO"))&gt;0,"ELÉCTRICO",""),IF(SUMPRODUCT((BG618:CR618&lt;1)*(PARTIDAS!$I$2:$AT$2="TERMINACIONES"))&gt;0,"TERMINACIONES",""))</f>
        <v>OBRA GRUESA, SANITARIOS, ELÉCTRICO, TERMINACIONES</v>
      </c>
      <c r="CV618" s="44" cm="1">
        <f t="array" ref="CV618">SUMPRODUCT(--(BG618:CR618&lt;1))</f>
        <v>38</v>
      </c>
    </row>
    <row r="619" spans="1:100" hidden="1" x14ac:dyDescent="0.25">
      <c r="A619" t="s">
        <v>685</v>
      </c>
      <c r="B619" t="s">
        <v>695</v>
      </c>
      <c r="C619">
        <v>2302600618</v>
      </c>
      <c r="D619" t="s">
        <v>60</v>
      </c>
      <c r="E619" s="2">
        <v>0</v>
      </c>
      <c r="F619" s="1">
        <v>46448</v>
      </c>
      <c r="G619" s="1"/>
      <c r="H619" s="1">
        <v>0</v>
      </c>
      <c r="I619" s="1">
        <v>46478</v>
      </c>
      <c r="J619">
        <v>46230</v>
      </c>
      <c r="K619" s="1"/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>
        <v>31.32</v>
      </c>
      <c r="BF619" s="3" t="str">
        <f>+IF(AVANCE[[#This Row],[% AVANCE]]=100%,"MODULO TERMINADO",IF(AVANCE[[#This Row],[FECHA INICIO REAL]]="","MODULO NO INICIADO","PENDIENTE"))</f>
        <v>MODULO NO INICIADO</v>
      </c>
      <c r="BG619" s="3">
        <f>+IF(AVANCE[[#This Row],[VENTANAS]]=8.10810810810811%,100%,AVANCE[[#This Row],[VENTANAS]])</f>
        <v>0</v>
      </c>
      <c r="BH619" s="3">
        <f>+IF(AVANCE[[#This Row],[PISO]]=N$2,100%,AVANCE[[#This Row],[PISO]])</f>
        <v>0</v>
      </c>
      <c r="BI619" s="3">
        <f>+IF(AVANCE[[#This Row],[TABIQUES]]=O$2,100%,AVANCE[[#This Row],[TABIQUES]])</f>
        <v>0</v>
      </c>
      <c r="BJ619" s="3">
        <f>+IF(AVANCE[[#This Row],[MUROS]]=P$2,100%,AVANCE[[#This Row],[MUROS]])</f>
        <v>0</v>
      </c>
      <c r="BK619" s="3">
        <f>+IF(AVANCE[[#This Row],[CIELO]]=Q$2,100%,AVANCE[[#This Row],[CIELO]])</f>
        <v>0</v>
      </c>
      <c r="BL619" s="3">
        <f>+IF(AVANCE[[#This Row],[BALCÓN]]=R$2,100%,AVANCE[[#This Row],[BALCÓN]])</f>
        <v>0</v>
      </c>
      <c r="BM619" s="3">
        <f>+IF(AVANCE[[#This Row],[RED ALCANTARILLADO]]=U$2,100%,AVANCE[[#This Row],[RED ALCANTARILLADO]])</f>
        <v>0</v>
      </c>
      <c r="BN619" s="3">
        <f>+IF(AVANCE[[#This Row],[RED DE AGUA]]=V$2,100%,AVANCE[[#This Row],[RED DE AGUA]])</f>
        <v>0</v>
      </c>
      <c r="BO619" s="3">
        <f>+IF(AVANCE[[#This Row],[VENTILACIONES]]=W$2,100%,AVANCE[[#This Row],[VENTILACIONES]])</f>
        <v>0</v>
      </c>
      <c r="BP619" s="3">
        <f>+IF(AVANCE[[#This Row],[TINA]]=X$2,100%,AVANCE[[#This Row],[TINA]])</f>
        <v>0</v>
      </c>
      <c r="BQ619" s="3">
        <f>+IF(AVANCE[[#This Row],[WC]]=Y$2,100%,AVANCE[[#This Row],[WC]])</f>
        <v>0</v>
      </c>
      <c r="BR619" s="3">
        <f>+IF(AVANCE[[#This Row],[LAVAMANOS / LAVAPLATOS / LAVADERO]]=Z$2,100%,AVANCE[[#This Row],[LAVAMANOS / LAVAPLATOS / LAVADERO]])</f>
        <v>0</v>
      </c>
      <c r="BS619" s="3">
        <f>+IF(AVANCE[[#This Row],[CANALIZACIÓN]]=AC$2,100%,AVANCE[[#This Row],[CANALIZACIÓN]])</f>
        <v>0</v>
      </c>
      <c r="BT619" s="3">
        <f>+IF(AVANCE[[#This Row],[CABLEADO]]=AD$2,100%,AVANCE[[#This Row],[CABLEADO]])</f>
        <v>0</v>
      </c>
      <c r="BU619" s="3">
        <f>+IF(AVANCE[[#This Row],[ARTEFACTOS]]=AE$2,100%,AVANCE[[#This Row],[ARTEFACTOS]])</f>
        <v>0</v>
      </c>
      <c r="BV619" s="3">
        <f>+IF(AVANCE[[#This Row],[TABLERO]]=AF$2,100%,AVANCE[[#This Row],[TABLERO]])</f>
        <v>0</v>
      </c>
      <c r="BW619" s="3">
        <f>+IF(AVANCE[[#This Row],[CAJA PAU]]=AG$2,100%,AVANCE[[#This Row],[CAJA PAU]])</f>
        <v>0</v>
      </c>
      <c r="BX619" s="3">
        <f>+IF(AVANCE[[#This Row],[INSTALACION VINILICO]]=AJ$2,100%,AVANCE[[#This Row],[INSTALACION VINILICO]])</f>
        <v>0</v>
      </c>
      <c r="BY619" s="3">
        <f>+IF(AVANCE[[#This Row],[OSB CUBIERTA]]=AK$2,100%,AVANCE[[#This Row],[OSB CUBIERTA]])</f>
        <v>0</v>
      </c>
      <c r="BZ619" s="3">
        <f>+IF(AVANCE[[#This Row],[BARANDA BALCON]]=AL$2,100%,AVANCE[[#This Row],[BARANDA BALCON]])</f>
        <v>0</v>
      </c>
      <c r="CA619" s="3">
        <f>+IF(AVANCE[[#This Row],[OSB EXTERIOR]]=AM$2,100%,AVANCE[[#This Row],[OSB EXTERIOR]])</f>
        <v>0</v>
      </c>
      <c r="CB619" s="3">
        <f>+IF(AVANCE[[#This Row],[SMART PANEL]]=AN$2,100%,AVANCE[[#This Row],[SMART PANEL]])</f>
        <v>0</v>
      </c>
      <c r="CC619" s="3">
        <f>+IF(AVANCE[[#This Row],[PINTURA EXTERIOR]]=AO$2,100%,AVANCE[[#This Row],[PINTURA EXTERIOR]])</f>
        <v>0</v>
      </c>
      <c r="CD619" s="3">
        <f>+IF(AVANCE[[#This Row],[ZOCALOS LOGIA]]=AP$2,100%,AVANCE[[#This Row],[ZOCALOS LOGIA]])</f>
        <v>0</v>
      </c>
      <c r="CE619" s="3">
        <f>+IF(AVANCE[[#This Row],[MOLDURAS]]=AQ$2,100%,AVANCE[[#This Row],[MOLDURAS]])</f>
        <v>0</v>
      </c>
      <c r="CF619" s="3">
        <f>+IF(AVANCE[[#This Row],[PILASTREO]]=AR$2,100%,AVANCE[[#This Row],[PILASTREO]])</f>
        <v>0</v>
      </c>
      <c r="CG619" s="3">
        <f>+IF(AVANCE[[#This Row],[CELOSIAS]]=AS$2,100%,AVANCE[[#This Row],[CELOSIAS]])</f>
        <v>0</v>
      </c>
      <c r="CH619" s="3">
        <f>+IF(AVANCE[[#This Row],[VENTANAS]]=AT$2,100%,AVANCE[[#This Row],[VENTANAS]])</f>
        <v>0</v>
      </c>
      <c r="CI619" s="3">
        <f>+IF(AVANCE[[#This Row],[PUERTAS ACCESO - LOGIA - BANO]]=AU$2,100%,AVANCE[[#This Row],[PUERTAS ACCESO - LOGIA - BANO]])</f>
        <v>0</v>
      </c>
      <c r="CJ619" s="3">
        <f>+IF(AVANCE[[#This Row],[CERRADURAS]]=AV$2,100%,AVANCE[[#This Row],[CERRADURAS]])</f>
        <v>0</v>
      </c>
      <c r="CK619" s="3">
        <f>+IF(AVANCE[[#This Row],[REVESTIMIENTO INTERIOR ZONA SECA]]=AW$2,100%,AVANCE[[#This Row],[REVESTIMIENTO INTERIOR ZONA SECA]])</f>
        <v>0</v>
      </c>
      <c r="CL619" s="3">
        <f>+IF(AVANCE[[#This Row],[REVESTIMIENTO INTERIOR ZONAS HUMEDAS]]=AX$2,100%,AVANCE[[#This Row],[REVESTIMIENTO INTERIOR ZONAS HUMEDAS]])</f>
        <v>0</v>
      </c>
      <c r="CM619" s="3">
        <f>+IF(AVANCE[[#This Row],[MEMBRANA CIELO]]=AY$2,100%,AVANCE[[#This Row],[MEMBRANA CIELO]])</f>
        <v>0</v>
      </c>
      <c r="CN619" s="3">
        <f>+IF(AVANCE[[#This Row],[LIMPIEZA FINAL]]=AZ$2,100%,AVANCE[[#This Row],[LIMPIEZA FINAL]])</f>
        <v>0</v>
      </c>
      <c r="CO619" s="3">
        <f>+IF(AVANCE[[#This Row],[PUERTAS DORMITORIO]]=BA$2,100%,AVANCE[[#This Row],[PUERTAS DORMITORIO]])</f>
        <v>0</v>
      </c>
      <c r="CP619" s="3">
        <f>+IF(AVANCE[[#This Row],[REVESTIMIENTO INTERIOR BANO]]=BB$2,100%,AVANCE[[#This Row],[REVESTIMIENTO INTERIOR BANO]])</f>
        <v>0</v>
      </c>
      <c r="CQ619" s="3">
        <f>+IF(AVANCE[[#This Row],[MUEBLE LAVAPLATOS]]=BC$2,100%,AVANCE[[#This Row],[MUEBLE LAVAPLATOS]])</f>
        <v>0</v>
      </c>
      <c r="CR619" s="3">
        <f>+IF(AVANCE[[#This Row],[IMPERMEABILIZACION BANO - COCINA LOGIA]]=BD$2,100%,AVANCE[[#This Row],[IMPERMEABILIZACION BANO - COCINA LOGIA]])</f>
        <v>0</v>
      </c>
      <c r="CS619" s="40">
        <f ca="1">+IF(AVANCE[[#This Row],[ESTADO MODULO]]="PENDIENTE",(TODAY()-AVANCE[[#This Row],[FECHA TERMINO  PLANIFICADO]]),0)</f>
        <v>0</v>
      </c>
      <c r="CT619" s="41" t="str" cm="1">
        <f t="array" ref="CT619">_xlfn.TEXTJOIN(" | ",TRUE,IF(SUMPRODUCT((BG619:CR619&lt;1)*(PARTIDAS!$I$2:$AT$2="OBRA GRUESA"))&gt;0,"OBRA GRUESA: "&amp;_xlfn.TEXTJOIN(", ",TRUE,IF((BG619:CR619&lt;1)*(PARTIDAS!$I$2:$AT$2="OBRA GRUESA"),PARTIDAS!$I$1:$AT$1,"")),""),IF(SUMPRODUCT((BG619:CR619&lt;1)*(PARTIDAS!$I$2:$AT$2="SANITARIOS"))&gt;0,"SANITARIOS: "&amp;_xlfn.TEXTJOIN(", ",TRUE,IF((BG619:CR619&lt;1)*(PARTIDAS!$I$2:$AT$2="SANITARIOS"),PARTIDAS!$I$1:$AT$1,"")),""),IF(SUMPRODUCT((BG619:CR619&lt;1)*(PARTIDAS!$I$2:$AT$2="ELÉCTRICO"))&gt;0,"ELÉCTRICO: "&amp;_xlfn.TEXTJOIN(", ",TRUE,IF((BG619:CR619&lt;1)*(PARTIDAS!$I$2:$AT$2="ELÉCTRICO"),PARTIDAS!$I$1:$AT$1,"")),""),IF(SUMPRODUCT((BG619:CR619&lt;1)*(PARTIDAS!$I$2:$AT$2="TERMINACIONES"))&gt;0,"TERMINACIONES: "&amp;_xlfn.TEXTJOIN(", ",TRUE,IF((BG619:CR619&lt;1)*(PARTIDAS!$I$2:$AT$2="TERMINACIONES"),PARTIDAS!$I$1:$AT$1,"")),""))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19" s="43" t="str" cm="1">
        <f t="array" ref="CU619">_xlfn.TEXTJOIN(", ",TRUE,IF(SUMPRODUCT((BG619:CR619&lt;1)*(PARTIDAS!$I$2:$AT$2="OBRA GRUESA"))&gt;0,"OBRA GRUESA",""),IF(SUMPRODUCT((BG619:CR619&lt;1)*(PARTIDAS!$I$2:$AT$2="SANITARIOS"))&gt;0,"SANITARIOS",""),IF(SUMPRODUCT((BG619:CR619&lt;1)*(PARTIDAS!$I$2:$AT$2="ELÉCTRICO"))&gt;0,"ELÉCTRICO",""),IF(SUMPRODUCT((BG619:CR619&lt;1)*(PARTIDAS!$I$2:$AT$2="TERMINACIONES"))&gt;0,"TERMINACIONES",""))</f>
        <v>OBRA GRUESA, SANITARIOS, ELÉCTRICO, TERMINACIONES</v>
      </c>
      <c r="CV619" s="44" cm="1">
        <f t="array" ref="CV619">SUMPRODUCT(--(BG619:CR619&lt;1))</f>
        <v>38</v>
      </c>
    </row>
    <row r="620" spans="1:100" hidden="1" x14ac:dyDescent="0.25">
      <c r="A620" t="s">
        <v>685</v>
      </c>
      <c r="B620" t="s">
        <v>696</v>
      </c>
      <c r="C620">
        <v>2302600619</v>
      </c>
      <c r="D620" t="s">
        <v>60</v>
      </c>
      <c r="E620" s="2">
        <v>0</v>
      </c>
      <c r="F620" s="1">
        <v>46448</v>
      </c>
      <c r="G620" s="1"/>
      <c r="H620" s="1">
        <v>0</v>
      </c>
      <c r="I620" s="1">
        <v>46478</v>
      </c>
      <c r="J620">
        <v>46230</v>
      </c>
      <c r="K620" s="1"/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>
        <v>31.32</v>
      </c>
      <c r="BF620" s="3" t="str">
        <f>+IF(AVANCE[[#This Row],[% AVANCE]]=100%,"MODULO TERMINADO",IF(AVANCE[[#This Row],[FECHA INICIO REAL]]="","MODULO NO INICIADO","PENDIENTE"))</f>
        <v>MODULO NO INICIADO</v>
      </c>
      <c r="BG620" s="3">
        <f>+IF(AVANCE[[#This Row],[VENTANAS]]=8.10810810810811%,100%,AVANCE[[#This Row],[VENTANAS]])</f>
        <v>0</v>
      </c>
      <c r="BH620" s="3">
        <f>+IF(AVANCE[[#This Row],[PISO]]=N$2,100%,AVANCE[[#This Row],[PISO]])</f>
        <v>0</v>
      </c>
      <c r="BI620" s="3">
        <f>+IF(AVANCE[[#This Row],[TABIQUES]]=O$2,100%,AVANCE[[#This Row],[TABIQUES]])</f>
        <v>0</v>
      </c>
      <c r="BJ620" s="3">
        <f>+IF(AVANCE[[#This Row],[MUROS]]=P$2,100%,AVANCE[[#This Row],[MUROS]])</f>
        <v>0</v>
      </c>
      <c r="BK620" s="3">
        <f>+IF(AVANCE[[#This Row],[CIELO]]=Q$2,100%,AVANCE[[#This Row],[CIELO]])</f>
        <v>0</v>
      </c>
      <c r="BL620" s="3">
        <f>+IF(AVANCE[[#This Row],[BALCÓN]]=R$2,100%,AVANCE[[#This Row],[BALCÓN]])</f>
        <v>0</v>
      </c>
      <c r="BM620" s="3">
        <f>+IF(AVANCE[[#This Row],[RED ALCANTARILLADO]]=U$2,100%,AVANCE[[#This Row],[RED ALCANTARILLADO]])</f>
        <v>0</v>
      </c>
      <c r="BN620" s="3">
        <f>+IF(AVANCE[[#This Row],[RED DE AGUA]]=V$2,100%,AVANCE[[#This Row],[RED DE AGUA]])</f>
        <v>0</v>
      </c>
      <c r="BO620" s="3">
        <f>+IF(AVANCE[[#This Row],[VENTILACIONES]]=W$2,100%,AVANCE[[#This Row],[VENTILACIONES]])</f>
        <v>0</v>
      </c>
      <c r="BP620" s="3">
        <f>+IF(AVANCE[[#This Row],[TINA]]=X$2,100%,AVANCE[[#This Row],[TINA]])</f>
        <v>0</v>
      </c>
      <c r="BQ620" s="3">
        <f>+IF(AVANCE[[#This Row],[WC]]=Y$2,100%,AVANCE[[#This Row],[WC]])</f>
        <v>0</v>
      </c>
      <c r="BR620" s="3">
        <f>+IF(AVANCE[[#This Row],[LAVAMANOS / LAVAPLATOS / LAVADERO]]=Z$2,100%,AVANCE[[#This Row],[LAVAMANOS / LAVAPLATOS / LAVADERO]])</f>
        <v>0</v>
      </c>
      <c r="BS620" s="3">
        <f>+IF(AVANCE[[#This Row],[CANALIZACIÓN]]=AC$2,100%,AVANCE[[#This Row],[CANALIZACIÓN]])</f>
        <v>0</v>
      </c>
      <c r="BT620" s="3">
        <f>+IF(AVANCE[[#This Row],[CABLEADO]]=AD$2,100%,AVANCE[[#This Row],[CABLEADO]])</f>
        <v>0</v>
      </c>
      <c r="BU620" s="3">
        <f>+IF(AVANCE[[#This Row],[ARTEFACTOS]]=AE$2,100%,AVANCE[[#This Row],[ARTEFACTOS]])</f>
        <v>0</v>
      </c>
      <c r="BV620" s="3">
        <f>+IF(AVANCE[[#This Row],[TABLERO]]=AF$2,100%,AVANCE[[#This Row],[TABLERO]])</f>
        <v>0</v>
      </c>
      <c r="BW620" s="3">
        <f>+IF(AVANCE[[#This Row],[CAJA PAU]]=AG$2,100%,AVANCE[[#This Row],[CAJA PAU]])</f>
        <v>0</v>
      </c>
      <c r="BX620" s="3">
        <f>+IF(AVANCE[[#This Row],[INSTALACION VINILICO]]=AJ$2,100%,AVANCE[[#This Row],[INSTALACION VINILICO]])</f>
        <v>0</v>
      </c>
      <c r="BY620" s="3">
        <f>+IF(AVANCE[[#This Row],[OSB CUBIERTA]]=AK$2,100%,AVANCE[[#This Row],[OSB CUBIERTA]])</f>
        <v>0</v>
      </c>
      <c r="BZ620" s="3">
        <f>+IF(AVANCE[[#This Row],[BARANDA BALCON]]=AL$2,100%,AVANCE[[#This Row],[BARANDA BALCON]])</f>
        <v>0</v>
      </c>
      <c r="CA620" s="3">
        <f>+IF(AVANCE[[#This Row],[OSB EXTERIOR]]=AM$2,100%,AVANCE[[#This Row],[OSB EXTERIOR]])</f>
        <v>0</v>
      </c>
      <c r="CB620" s="3">
        <f>+IF(AVANCE[[#This Row],[SMART PANEL]]=AN$2,100%,AVANCE[[#This Row],[SMART PANEL]])</f>
        <v>0</v>
      </c>
      <c r="CC620" s="3">
        <f>+IF(AVANCE[[#This Row],[PINTURA EXTERIOR]]=AO$2,100%,AVANCE[[#This Row],[PINTURA EXTERIOR]])</f>
        <v>0</v>
      </c>
      <c r="CD620" s="3">
        <f>+IF(AVANCE[[#This Row],[ZOCALOS LOGIA]]=AP$2,100%,AVANCE[[#This Row],[ZOCALOS LOGIA]])</f>
        <v>0</v>
      </c>
      <c r="CE620" s="3">
        <f>+IF(AVANCE[[#This Row],[MOLDURAS]]=AQ$2,100%,AVANCE[[#This Row],[MOLDURAS]])</f>
        <v>0</v>
      </c>
      <c r="CF620" s="3">
        <f>+IF(AVANCE[[#This Row],[PILASTREO]]=AR$2,100%,AVANCE[[#This Row],[PILASTREO]])</f>
        <v>0</v>
      </c>
      <c r="CG620" s="3">
        <f>+IF(AVANCE[[#This Row],[CELOSIAS]]=AS$2,100%,AVANCE[[#This Row],[CELOSIAS]])</f>
        <v>0</v>
      </c>
      <c r="CH620" s="3">
        <f>+IF(AVANCE[[#This Row],[VENTANAS]]=AT$2,100%,AVANCE[[#This Row],[VENTANAS]])</f>
        <v>0</v>
      </c>
      <c r="CI620" s="3">
        <f>+IF(AVANCE[[#This Row],[PUERTAS ACCESO - LOGIA - BANO]]=AU$2,100%,AVANCE[[#This Row],[PUERTAS ACCESO - LOGIA - BANO]])</f>
        <v>0</v>
      </c>
      <c r="CJ620" s="3">
        <f>+IF(AVANCE[[#This Row],[CERRADURAS]]=AV$2,100%,AVANCE[[#This Row],[CERRADURAS]])</f>
        <v>0</v>
      </c>
      <c r="CK620" s="3">
        <f>+IF(AVANCE[[#This Row],[REVESTIMIENTO INTERIOR ZONA SECA]]=AW$2,100%,AVANCE[[#This Row],[REVESTIMIENTO INTERIOR ZONA SECA]])</f>
        <v>0</v>
      </c>
      <c r="CL620" s="3">
        <f>+IF(AVANCE[[#This Row],[REVESTIMIENTO INTERIOR ZONAS HUMEDAS]]=AX$2,100%,AVANCE[[#This Row],[REVESTIMIENTO INTERIOR ZONAS HUMEDAS]])</f>
        <v>0</v>
      </c>
      <c r="CM620" s="3">
        <f>+IF(AVANCE[[#This Row],[MEMBRANA CIELO]]=AY$2,100%,AVANCE[[#This Row],[MEMBRANA CIELO]])</f>
        <v>0</v>
      </c>
      <c r="CN620" s="3">
        <f>+IF(AVANCE[[#This Row],[LIMPIEZA FINAL]]=AZ$2,100%,AVANCE[[#This Row],[LIMPIEZA FINAL]])</f>
        <v>0</v>
      </c>
      <c r="CO620" s="3">
        <f>+IF(AVANCE[[#This Row],[PUERTAS DORMITORIO]]=BA$2,100%,AVANCE[[#This Row],[PUERTAS DORMITORIO]])</f>
        <v>0</v>
      </c>
      <c r="CP620" s="3">
        <f>+IF(AVANCE[[#This Row],[REVESTIMIENTO INTERIOR BANO]]=BB$2,100%,AVANCE[[#This Row],[REVESTIMIENTO INTERIOR BANO]])</f>
        <v>0</v>
      </c>
      <c r="CQ620" s="3">
        <f>+IF(AVANCE[[#This Row],[MUEBLE LAVAPLATOS]]=BC$2,100%,AVANCE[[#This Row],[MUEBLE LAVAPLATOS]])</f>
        <v>0</v>
      </c>
      <c r="CR620" s="3">
        <f>+IF(AVANCE[[#This Row],[IMPERMEABILIZACION BANO - COCINA LOGIA]]=BD$2,100%,AVANCE[[#This Row],[IMPERMEABILIZACION BANO - COCINA LOGIA]])</f>
        <v>0</v>
      </c>
      <c r="CS620" s="40">
        <f ca="1">+IF(AVANCE[[#This Row],[ESTADO MODULO]]="PENDIENTE",(TODAY()-AVANCE[[#This Row],[FECHA TERMINO  PLANIFICADO]]),0)</f>
        <v>0</v>
      </c>
      <c r="CT620" s="41" t="str" cm="1">
        <f t="array" ref="CT620">_xlfn.TEXTJOIN(" | ",TRUE,IF(SUMPRODUCT((BG620:CR620&lt;1)*(PARTIDAS!$I$2:$AT$2="OBRA GRUESA"))&gt;0,"OBRA GRUESA: "&amp;_xlfn.TEXTJOIN(", ",TRUE,IF((BG620:CR620&lt;1)*(PARTIDAS!$I$2:$AT$2="OBRA GRUESA"),PARTIDAS!$I$1:$AT$1,"")),""),IF(SUMPRODUCT((BG620:CR620&lt;1)*(PARTIDAS!$I$2:$AT$2="SANITARIOS"))&gt;0,"SANITARIOS: "&amp;_xlfn.TEXTJOIN(", ",TRUE,IF((BG620:CR620&lt;1)*(PARTIDAS!$I$2:$AT$2="SANITARIOS"),PARTIDAS!$I$1:$AT$1,"")),""),IF(SUMPRODUCT((BG620:CR620&lt;1)*(PARTIDAS!$I$2:$AT$2="ELÉCTRICO"))&gt;0,"ELÉCTRICO: "&amp;_xlfn.TEXTJOIN(", ",TRUE,IF((BG620:CR620&lt;1)*(PARTIDAS!$I$2:$AT$2="ELÉCTRICO"),PARTIDAS!$I$1:$AT$1,"")),""),IF(SUMPRODUCT((BG620:CR620&lt;1)*(PARTIDAS!$I$2:$AT$2="TERMINACIONES"))&gt;0,"TERMINACIONES: "&amp;_xlfn.TEXTJOIN(", ",TRUE,IF((BG620:CR620&lt;1)*(PARTIDAS!$I$2:$AT$2="TERMINACIONES"),PARTIDAS!$I$1:$AT$1,"")),""))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0" s="43" t="str" cm="1">
        <f t="array" ref="CU620">_xlfn.TEXTJOIN(", ",TRUE,IF(SUMPRODUCT((BG620:CR620&lt;1)*(PARTIDAS!$I$2:$AT$2="OBRA GRUESA"))&gt;0,"OBRA GRUESA",""),IF(SUMPRODUCT((BG620:CR620&lt;1)*(PARTIDAS!$I$2:$AT$2="SANITARIOS"))&gt;0,"SANITARIOS",""),IF(SUMPRODUCT((BG620:CR620&lt;1)*(PARTIDAS!$I$2:$AT$2="ELÉCTRICO"))&gt;0,"ELÉCTRICO",""),IF(SUMPRODUCT((BG620:CR620&lt;1)*(PARTIDAS!$I$2:$AT$2="TERMINACIONES"))&gt;0,"TERMINACIONES",""))</f>
        <v>OBRA GRUESA, SANITARIOS, ELÉCTRICO, TERMINACIONES</v>
      </c>
      <c r="CV620" s="44" cm="1">
        <f t="array" ref="CV620">SUMPRODUCT(--(BG620:CR620&lt;1))</f>
        <v>38</v>
      </c>
    </row>
    <row r="621" spans="1:100" hidden="1" x14ac:dyDescent="0.25">
      <c r="A621" t="s">
        <v>685</v>
      </c>
      <c r="B621" t="s">
        <v>697</v>
      </c>
      <c r="C621">
        <v>2282600620</v>
      </c>
      <c r="D621" t="s">
        <v>58</v>
      </c>
      <c r="E621" s="2">
        <v>0</v>
      </c>
      <c r="F621" s="1">
        <v>46449</v>
      </c>
      <c r="G621" s="1"/>
      <c r="H621" s="1">
        <v>0</v>
      </c>
      <c r="I621" s="1">
        <v>46469</v>
      </c>
      <c r="J621">
        <v>46230</v>
      </c>
      <c r="K621" s="1"/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>
        <v>28.87</v>
      </c>
      <c r="BF621" s="3" t="str">
        <f>+IF(AVANCE[[#This Row],[% AVANCE]]=100%,"MODULO TERMINADO",IF(AVANCE[[#This Row],[FECHA INICIO REAL]]="","MODULO NO INICIADO","PENDIENTE"))</f>
        <v>MODULO NO INICIADO</v>
      </c>
      <c r="BG621" s="3">
        <f>+IF(AVANCE[[#This Row],[VENTANAS]]=8.10810810810811%,100%,AVANCE[[#This Row],[VENTANAS]])</f>
        <v>0</v>
      </c>
      <c r="BH621" s="3">
        <f>+IF(AVANCE[[#This Row],[PISO]]=N$2,100%,AVANCE[[#This Row],[PISO]])</f>
        <v>0</v>
      </c>
      <c r="BI621" s="3">
        <f>+IF(AVANCE[[#This Row],[TABIQUES]]=O$2,100%,AVANCE[[#This Row],[TABIQUES]])</f>
        <v>0</v>
      </c>
      <c r="BJ621" s="3">
        <f>+IF(AVANCE[[#This Row],[MUROS]]=P$2,100%,AVANCE[[#This Row],[MUROS]])</f>
        <v>0</v>
      </c>
      <c r="BK621" s="3">
        <f>+IF(AVANCE[[#This Row],[CIELO]]=Q$2,100%,AVANCE[[#This Row],[CIELO]])</f>
        <v>0</v>
      </c>
      <c r="BL621" s="3">
        <f>+IF(AVANCE[[#This Row],[BALCÓN]]=R$2,100%,AVANCE[[#This Row],[BALCÓN]])</f>
        <v>0</v>
      </c>
      <c r="BM621" s="3">
        <f>+IF(AVANCE[[#This Row],[RED ALCANTARILLADO]]=U$2,100%,AVANCE[[#This Row],[RED ALCANTARILLADO]])</f>
        <v>0</v>
      </c>
      <c r="BN621" s="3">
        <f>+IF(AVANCE[[#This Row],[RED DE AGUA]]=V$2,100%,AVANCE[[#This Row],[RED DE AGUA]])</f>
        <v>0</v>
      </c>
      <c r="BO621" s="3">
        <f>+IF(AVANCE[[#This Row],[VENTILACIONES]]=W$2,100%,AVANCE[[#This Row],[VENTILACIONES]])</f>
        <v>0</v>
      </c>
      <c r="BP621" s="3">
        <f>+IF(AVANCE[[#This Row],[TINA]]=X$2,100%,AVANCE[[#This Row],[TINA]])</f>
        <v>0</v>
      </c>
      <c r="BQ621" s="3">
        <f>+IF(AVANCE[[#This Row],[WC]]=Y$2,100%,AVANCE[[#This Row],[WC]])</f>
        <v>0</v>
      </c>
      <c r="BR621" s="3">
        <f>+IF(AVANCE[[#This Row],[LAVAMANOS / LAVAPLATOS / LAVADERO]]=Z$2,100%,AVANCE[[#This Row],[LAVAMANOS / LAVAPLATOS / LAVADERO]])</f>
        <v>0</v>
      </c>
      <c r="BS621" s="3">
        <f>+IF(AVANCE[[#This Row],[CANALIZACIÓN]]=AC$2,100%,AVANCE[[#This Row],[CANALIZACIÓN]])</f>
        <v>0</v>
      </c>
      <c r="BT621" s="3">
        <f>+IF(AVANCE[[#This Row],[CABLEADO]]=AD$2,100%,AVANCE[[#This Row],[CABLEADO]])</f>
        <v>0</v>
      </c>
      <c r="BU621" s="3">
        <f>+IF(AVANCE[[#This Row],[ARTEFACTOS]]=AE$2,100%,AVANCE[[#This Row],[ARTEFACTOS]])</f>
        <v>0</v>
      </c>
      <c r="BV621" s="3">
        <f>+IF(AVANCE[[#This Row],[TABLERO]]=AF$2,100%,AVANCE[[#This Row],[TABLERO]])</f>
        <v>0</v>
      </c>
      <c r="BW621" s="3">
        <f>+IF(AVANCE[[#This Row],[CAJA PAU]]=AG$2,100%,AVANCE[[#This Row],[CAJA PAU]])</f>
        <v>0</v>
      </c>
      <c r="BX621" s="3">
        <f>+IF(AVANCE[[#This Row],[INSTALACION VINILICO]]=AJ$2,100%,AVANCE[[#This Row],[INSTALACION VINILICO]])</f>
        <v>0</v>
      </c>
      <c r="BY621" s="3">
        <f>+IF(AVANCE[[#This Row],[OSB CUBIERTA]]=AK$2,100%,AVANCE[[#This Row],[OSB CUBIERTA]])</f>
        <v>0</v>
      </c>
      <c r="BZ621" s="3">
        <f>+IF(AVANCE[[#This Row],[BARANDA BALCON]]=AL$2,100%,AVANCE[[#This Row],[BARANDA BALCON]])</f>
        <v>0</v>
      </c>
      <c r="CA621" s="3">
        <f>+IF(AVANCE[[#This Row],[OSB EXTERIOR]]=AM$2,100%,AVANCE[[#This Row],[OSB EXTERIOR]])</f>
        <v>0</v>
      </c>
      <c r="CB621" s="3">
        <f>+IF(AVANCE[[#This Row],[SMART PANEL]]=AN$2,100%,AVANCE[[#This Row],[SMART PANEL]])</f>
        <v>0</v>
      </c>
      <c r="CC621" s="3">
        <f>+IF(AVANCE[[#This Row],[PINTURA EXTERIOR]]=AO$2,100%,AVANCE[[#This Row],[PINTURA EXTERIOR]])</f>
        <v>0</v>
      </c>
      <c r="CD621" s="3">
        <f>+IF(AVANCE[[#This Row],[ZOCALOS LOGIA]]=AP$2,100%,AVANCE[[#This Row],[ZOCALOS LOGIA]])</f>
        <v>0</v>
      </c>
      <c r="CE621" s="3">
        <f>+IF(AVANCE[[#This Row],[MOLDURAS]]=AQ$2,100%,AVANCE[[#This Row],[MOLDURAS]])</f>
        <v>0</v>
      </c>
      <c r="CF621" s="3">
        <f>+IF(AVANCE[[#This Row],[PILASTREO]]=AR$2,100%,AVANCE[[#This Row],[PILASTREO]])</f>
        <v>0</v>
      </c>
      <c r="CG621" s="3">
        <f>+IF(AVANCE[[#This Row],[CELOSIAS]]=AS$2,100%,AVANCE[[#This Row],[CELOSIAS]])</f>
        <v>0</v>
      </c>
      <c r="CH621" s="3">
        <f>+IF(AVANCE[[#This Row],[VENTANAS]]=AT$2,100%,AVANCE[[#This Row],[VENTANAS]])</f>
        <v>0</v>
      </c>
      <c r="CI621" s="3">
        <f>+IF(AVANCE[[#This Row],[PUERTAS ACCESO - LOGIA - BANO]]=AU$2,100%,AVANCE[[#This Row],[PUERTAS ACCESO - LOGIA - BANO]])</f>
        <v>0</v>
      </c>
      <c r="CJ621" s="3">
        <f>+IF(AVANCE[[#This Row],[CERRADURAS]]=AV$2,100%,AVANCE[[#This Row],[CERRADURAS]])</f>
        <v>0</v>
      </c>
      <c r="CK621" s="3">
        <f>+IF(AVANCE[[#This Row],[REVESTIMIENTO INTERIOR ZONA SECA]]=AW$2,100%,AVANCE[[#This Row],[REVESTIMIENTO INTERIOR ZONA SECA]])</f>
        <v>0</v>
      </c>
      <c r="CL621" s="3">
        <f>+IF(AVANCE[[#This Row],[REVESTIMIENTO INTERIOR ZONAS HUMEDAS]]=AX$2,100%,AVANCE[[#This Row],[REVESTIMIENTO INTERIOR ZONAS HUMEDAS]])</f>
        <v>0</v>
      </c>
      <c r="CM621" s="3">
        <f>+IF(AVANCE[[#This Row],[MEMBRANA CIELO]]=AY$2,100%,AVANCE[[#This Row],[MEMBRANA CIELO]])</f>
        <v>0</v>
      </c>
      <c r="CN621" s="3">
        <f>+IF(AVANCE[[#This Row],[LIMPIEZA FINAL]]=AZ$2,100%,AVANCE[[#This Row],[LIMPIEZA FINAL]])</f>
        <v>0</v>
      </c>
      <c r="CO621" s="3">
        <f>+IF(AVANCE[[#This Row],[PUERTAS DORMITORIO]]=BA$2,100%,AVANCE[[#This Row],[PUERTAS DORMITORIO]])</f>
        <v>0</v>
      </c>
      <c r="CP621" s="3">
        <f>+IF(AVANCE[[#This Row],[REVESTIMIENTO INTERIOR BANO]]=BB$2,100%,AVANCE[[#This Row],[REVESTIMIENTO INTERIOR BANO]])</f>
        <v>0</v>
      </c>
      <c r="CQ621" s="3">
        <f>+IF(AVANCE[[#This Row],[MUEBLE LAVAPLATOS]]=BC$2,100%,AVANCE[[#This Row],[MUEBLE LAVAPLATOS]])</f>
        <v>0</v>
      </c>
      <c r="CR621" s="3">
        <f>+IF(AVANCE[[#This Row],[IMPERMEABILIZACION BANO - COCINA LOGIA]]=BD$2,100%,AVANCE[[#This Row],[IMPERMEABILIZACION BANO - COCINA LOGIA]])</f>
        <v>0</v>
      </c>
      <c r="CS621" s="40">
        <f ca="1">+IF(AVANCE[[#This Row],[ESTADO MODULO]]="PENDIENTE",(TODAY()-AVANCE[[#This Row],[FECHA TERMINO  PLANIFICADO]]),0)</f>
        <v>0</v>
      </c>
      <c r="CT621" s="41" t="str" cm="1">
        <f t="array" ref="CT621">_xlfn.TEXTJOIN(" | ",TRUE,IF(SUMPRODUCT((BG621:CR621&lt;1)*(PARTIDAS!$I$2:$AT$2="OBRA GRUESA"))&gt;0,"OBRA GRUESA: "&amp;_xlfn.TEXTJOIN(", ",TRUE,IF((BG621:CR621&lt;1)*(PARTIDAS!$I$2:$AT$2="OBRA GRUESA"),PARTIDAS!$I$1:$AT$1,"")),""),IF(SUMPRODUCT((BG621:CR621&lt;1)*(PARTIDAS!$I$2:$AT$2="SANITARIOS"))&gt;0,"SANITARIOS: "&amp;_xlfn.TEXTJOIN(", ",TRUE,IF((BG621:CR621&lt;1)*(PARTIDAS!$I$2:$AT$2="SANITARIOS"),PARTIDAS!$I$1:$AT$1,"")),""),IF(SUMPRODUCT((BG621:CR621&lt;1)*(PARTIDAS!$I$2:$AT$2="ELÉCTRICO"))&gt;0,"ELÉCTRICO: "&amp;_xlfn.TEXTJOIN(", ",TRUE,IF((BG621:CR621&lt;1)*(PARTIDAS!$I$2:$AT$2="ELÉCTRICO"),PARTIDAS!$I$1:$AT$1,"")),""),IF(SUMPRODUCT((BG621:CR621&lt;1)*(PARTIDAS!$I$2:$AT$2="TERMINACIONES"))&gt;0,"TERMINACIONES: "&amp;_xlfn.TEXTJOIN(", ",TRUE,IF((BG621:CR621&lt;1)*(PARTIDAS!$I$2:$AT$2="TERMINACIONES"),PARTIDAS!$I$1:$AT$1,"")),""))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1" s="43" t="str" cm="1">
        <f t="array" ref="CU621">_xlfn.TEXTJOIN(", ",TRUE,IF(SUMPRODUCT((BG621:CR621&lt;1)*(PARTIDAS!$I$2:$AT$2="OBRA GRUESA"))&gt;0,"OBRA GRUESA",""),IF(SUMPRODUCT((BG621:CR621&lt;1)*(PARTIDAS!$I$2:$AT$2="SANITARIOS"))&gt;0,"SANITARIOS",""),IF(SUMPRODUCT((BG621:CR621&lt;1)*(PARTIDAS!$I$2:$AT$2="ELÉCTRICO"))&gt;0,"ELÉCTRICO",""),IF(SUMPRODUCT((BG621:CR621&lt;1)*(PARTIDAS!$I$2:$AT$2="TERMINACIONES"))&gt;0,"TERMINACIONES",""))</f>
        <v>OBRA GRUESA, SANITARIOS, ELÉCTRICO, TERMINACIONES</v>
      </c>
      <c r="CV621" s="44" cm="1">
        <f t="array" ref="CV621">SUMPRODUCT(--(BG621:CR621&lt;1))</f>
        <v>38</v>
      </c>
    </row>
    <row r="622" spans="1:100" hidden="1" x14ac:dyDescent="0.25">
      <c r="A622" t="s">
        <v>685</v>
      </c>
      <c r="B622" t="s">
        <v>698</v>
      </c>
      <c r="C622">
        <v>2282600621</v>
      </c>
      <c r="D622" t="s">
        <v>58</v>
      </c>
      <c r="E622" s="2">
        <v>0</v>
      </c>
      <c r="F622" s="1">
        <v>46449</v>
      </c>
      <c r="G622" s="1"/>
      <c r="H622" s="1">
        <v>0</v>
      </c>
      <c r="I622" s="1">
        <v>46469</v>
      </c>
      <c r="J622">
        <v>46230</v>
      </c>
      <c r="K622" s="1"/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>
        <v>28.87</v>
      </c>
      <c r="BF622" s="3" t="str">
        <f>+IF(AVANCE[[#This Row],[% AVANCE]]=100%,"MODULO TERMINADO",IF(AVANCE[[#This Row],[FECHA INICIO REAL]]="","MODULO NO INICIADO","PENDIENTE"))</f>
        <v>MODULO NO INICIADO</v>
      </c>
      <c r="BG622" s="3">
        <f>+IF(AVANCE[[#This Row],[VENTANAS]]=8.10810810810811%,100%,AVANCE[[#This Row],[VENTANAS]])</f>
        <v>0</v>
      </c>
      <c r="BH622" s="3">
        <f>+IF(AVANCE[[#This Row],[PISO]]=N$2,100%,AVANCE[[#This Row],[PISO]])</f>
        <v>0</v>
      </c>
      <c r="BI622" s="3">
        <f>+IF(AVANCE[[#This Row],[TABIQUES]]=O$2,100%,AVANCE[[#This Row],[TABIQUES]])</f>
        <v>0</v>
      </c>
      <c r="BJ622" s="3">
        <f>+IF(AVANCE[[#This Row],[MUROS]]=P$2,100%,AVANCE[[#This Row],[MUROS]])</f>
        <v>0</v>
      </c>
      <c r="BK622" s="3">
        <f>+IF(AVANCE[[#This Row],[CIELO]]=Q$2,100%,AVANCE[[#This Row],[CIELO]])</f>
        <v>0</v>
      </c>
      <c r="BL622" s="3">
        <f>+IF(AVANCE[[#This Row],[BALCÓN]]=R$2,100%,AVANCE[[#This Row],[BALCÓN]])</f>
        <v>0</v>
      </c>
      <c r="BM622" s="3">
        <f>+IF(AVANCE[[#This Row],[RED ALCANTARILLADO]]=U$2,100%,AVANCE[[#This Row],[RED ALCANTARILLADO]])</f>
        <v>0</v>
      </c>
      <c r="BN622" s="3">
        <f>+IF(AVANCE[[#This Row],[RED DE AGUA]]=V$2,100%,AVANCE[[#This Row],[RED DE AGUA]])</f>
        <v>0</v>
      </c>
      <c r="BO622" s="3">
        <f>+IF(AVANCE[[#This Row],[VENTILACIONES]]=W$2,100%,AVANCE[[#This Row],[VENTILACIONES]])</f>
        <v>0</v>
      </c>
      <c r="BP622" s="3">
        <f>+IF(AVANCE[[#This Row],[TINA]]=X$2,100%,AVANCE[[#This Row],[TINA]])</f>
        <v>0</v>
      </c>
      <c r="BQ622" s="3">
        <f>+IF(AVANCE[[#This Row],[WC]]=Y$2,100%,AVANCE[[#This Row],[WC]])</f>
        <v>0</v>
      </c>
      <c r="BR622" s="3">
        <f>+IF(AVANCE[[#This Row],[LAVAMANOS / LAVAPLATOS / LAVADERO]]=Z$2,100%,AVANCE[[#This Row],[LAVAMANOS / LAVAPLATOS / LAVADERO]])</f>
        <v>0</v>
      </c>
      <c r="BS622" s="3">
        <f>+IF(AVANCE[[#This Row],[CANALIZACIÓN]]=AC$2,100%,AVANCE[[#This Row],[CANALIZACIÓN]])</f>
        <v>0</v>
      </c>
      <c r="BT622" s="3">
        <f>+IF(AVANCE[[#This Row],[CABLEADO]]=AD$2,100%,AVANCE[[#This Row],[CABLEADO]])</f>
        <v>0</v>
      </c>
      <c r="BU622" s="3">
        <f>+IF(AVANCE[[#This Row],[ARTEFACTOS]]=AE$2,100%,AVANCE[[#This Row],[ARTEFACTOS]])</f>
        <v>0</v>
      </c>
      <c r="BV622" s="3">
        <f>+IF(AVANCE[[#This Row],[TABLERO]]=AF$2,100%,AVANCE[[#This Row],[TABLERO]])</f>
        <v>0</v>
      </c>
      <c r="BW622" s="3">
        <f>+IF(AVANCE[[#This Row],[CAJA PAU]]=AG$2,100%,AVANCE[[#This Row],[CAJA PAU]])</f>
        <v>0</v>
      </c>
      <c r="BX622" s="3">
        <f>+IF(AVANCE[[#This Row],[INSTALACION VINILICO]]=AJ$2,100%,AVANCE[[#This Row],[INSTALACION VINILICO]])</f>
        <v>0</v>
      </c>
      <c r="BY622" s="3">
        <f>+IF(AVANCE[[#This Row],[OSB CUBIERTA]]=AK$2,100%,AVANCE[[#This Row],[OSB CUBIERTA]])</f>
        <v>0</v>
      </c>
      <c r="BZ622" s="3">
        <f>+IF(AVANCE[[#This Row],[BARANDA BALCON]]=AL$2,100%,AVANCE[[#This Row],[BARANDA BALCON]])</f>
        <v>0</v>
      </c>
      <c r="CA622" s="3">
        <f>+IF(AVANCE[[#This Row],[OSB EXTERIOR]]=AM$2,100%,AVANCE[[#This Row],[OSB EXTERIOR]])</f>
        <v>0</v>
      </c>
      <c r="CB622" s="3">
        <f>+IF(AVANCE[[#This Row],[SMART PANEL]]=AN$2,100%,AVANCE[[#This Row],[SMART PANEL]])</f>
        <v>0</v>
      </c>
      <c r="CC622" s="3">
        <f>+IF(AVANCE[[#This Row],[PINTURA EXTERIOR]]=AO$2,100%,AVANCE[[#This Row],[PINTURA EXTERIOR]])</f>
        <v>0</v>
      </c>
      <c r="CD622" s="3">
        <f>+IF(AVANCE[[#This Row],[ZOCALOS LOGIA]]=AP$2,100%,AVANCE[[#This Row],[ZOCALOS LOGIA]])</f>
        <v>0</v>
      </c>
      <c r="CE622" s="3">
        <f>+IF(AVANCE[[#This Row],[MOLDURAS]]=AQ$2,100%,AVANCE[[#This Row],[MOLDURAS]])</f>
        <v>0</v>
      </c>
      <c r="CF622" s="3">
        <f>+IF(AVANCE[[#This Row],[PILASTREO]]=AR$2,100%,AVANCE[[#This Row],[PILASTREO]])</f>
        <v>0</v>
      </c>
      <c r="CG622" s="3">
        <f>+IF(AVANCE[[#This Row],[CELOSIAS]]=AS$2,100%,AVANCE[[#This Row],[CELOSIAS]])</f>
        <v>0</v>
      </c>
      <c r="CH622" s="3">
        <f>+IF(AVANCE[[#This Row],[VENTANAS]]=AT$2,100%,AVANCE[[#This Row],[VENTANAS]])</f>
        <v>0</v>
      </c>
      <c r="CI622" s="3">
        <f>+IF(AVANCE[[#This Row],[PUERTAS ACCESO - LOGIA - BANO]]=AU$2,100%,AVANCE[[#This Row],[PUERTAS ACCESO - LOGIA - BANO]])</f>
        <v>0</v>
      </c>
      <c r="CJ622" s="3">
        <f>+IF(AVANCE[[#This Row],[CERRADURAS]]=AV$2,100%,AVANCE[[#This Row],[CERRADURAS]])</f>
        <v>0</v>
      </c>
      <c r="CK622" s="3">
        <f>+IF(AVANCE[[#This Row],[REVESTIMIENTO INTERIOR ZONA SECA]]=AW$2,100%,AVANCE[[#This Row],[REVESTIMIENTO INTERIOR ZONA SECA]])</f>
        <v>0</v>
      </c>
      <c r="CL622" s="3">
        <f>+IF(AVANCE[[#This Row],[REVESTIMIENTO INTERIOR ZONAS HUMEDAS]]=AX$2,100%,AVANCE[[#This Row],[REVESTIMIENTO INTERIOR ZONAS HUMEDAS]])</f>
        <v>0</v>
      </c>
      <c r="CM622" s="3">
        <f>+IF(AVANCE[[#This Row],[MEMBRANA CIELO]]=AY$2,100%,AVANCE[[#This Row],[MEMBRANA CIELO]])</f>
        <v>0</v>
      </c>
      <c r="CN622" s="3">
        <f>+IF(AVANCE[[#This Row],[LIMPIEZA FINAL]]=AZ$2,100%,AVANCE[[#This Row],[LIMPIEZA FINAL]])</f>
        <v>0</v>
      </c>
      <c r="CO622" s="3">
        <f>+IF(AVANCE[[#This Row],[PUERTAS DORMITORIO]]=BA$2,100%,AVANCE[[#This Row],[PUERTAS DORMITORIO]])</f>
        <v>0</v>
      </c>
      <c r="CP622" s="3">
        <f>+IF(AVANCE[[#This Row],[REVESTIMIENTO INTERIOR BANO]]=BB$2,100%,AVANCE[[#This Row],[REVESTIMIENTO INTERIOR BANO]])</f>
        <v>0</v>
      </c>
      <c r="CQ622" s="3">
        <f>+IF(AVANCE[[#This Row],[MUEBLE LAVAPLATOS]]=BC$2,100%,AVANCE[[#This Row],[MUEBLE LAVAPLATOS]])</f>
        <v>0</v>
      </c>
      <c r="CR622" s="3">
        <f>+IF(AVANCE[[#This Row],[IMPERMEABILIZACION BANO - COCINA LOGIA]]=BD$2,100%,AVANCE[[#This Row],[IMPERMEABILIZACION BANO - COCINA LOGIA]])</f>
        <v>0</v>
      </c>
      <c r="CS622" s="40">
        <f ca="1">+IF(AVANCE[[#This Row],[ESTADO MODULO]]="PENDIENTE",(TODAY()-AVANCE[[#This Row],[FECHA TERMINO  PLANIFICADO]]),0)</f>
        <v>0</v>
      </c>
      <c r="CT622" s="41" t="str" cm="1">
        <f t="array" ref="CT622">_xlfn.TEXTJOIN(" | ",TRUE,IF(SUMPRODUCT((BG622:CR622&lt;1)*(PARTIDAS!$I$2:$AT$2="OBRA GRUESA"))&gt;0,"OBRA GRUESA: "&amp;_xlfn.TEXTJOIN(", ",TRUE,IF((BG622:CR622&lt;1)*(PARTIDAS!$I$2:$AT$2="OBRA GRUESA"),PARTIDAS!$I$1:$AT$1,"")),""),IF(SUMPRODUCT((BG622:CR622&lt;1)*(PARTIDAS!$I$2:$AT$2="SANITARIOS"))&gt;0,"SANITARIOS: "&amp;_xlfn.TEXTJOIN(", ",TRUE,IF((BG622:CR622&lt;1)*(PARTIDAS!$I$2:$AT$2="SANITARIOS"),PARTIDAS!$I$1:$AT$1,"")),""),IF(SUMPRODUCT((BG622:CR622&lt;1)*(PARTIDAS!$I$2:$AT$2="ELÉCTRICO"))&gt;0,"ELÉCTRICO: "&amp;_xlfn.TEXTJOIN(", ",TRUE,IF((BG622:CR622&lt;1)*(PARTIDAS!$I$2:$AT$2="ELÉCTRICO"),PARTIDAS!$I$1:$AT$1,"")),""),IF(SUMPRODUCT((BG622:CR622&lt;1)*(PARTIDAS!$I$2:$AT$2="TERMINACIONES"))&gt;0,"TERMINACIONES: "&amp;_xlfn.TEXTJOIN(", ",TRUE,IF((BG622:CR622&lt;1)*(PARTIDAS!$I$2:$AT$2="TERMINACIONES"),PARTIDAS!$I$1:$AT$1,"")),""))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2" s="43" t="str" cm="1">
        <f t="array" ref="CU622">_xlfn.TEXTJOIN(", ",TRUE,IF(SUMPRODUCT((BG622:CR622&lt;1)*(PARTIDAS!$I$2:$AT$2="OBRA GRUESA"))&gt;0,"OBRA GRUESA",""),IF(SUMPRODUCT((BG622:CR622&lt;1)*(PARTIDAS!$I$2:$AT$2="SANITARIOS"))&gt;0,"SANITARIOS",""),IF(SUMPRODUCT((BG622:CR622&lt;1)*(PARTIDAS!$I$2:$AT$2="ELÉCTRICO"))&gt;0,"ELÉCTRICO",""),IF(SUMPRODUCT((BG622:CR622&lt;1)*(PARTIDAS!$I$2:$AT$2="TERMINACIONES"))&gt;0,"TERMINACIONES",""))</f>
        <v>OBRA GRUESA, SANITARIOS, ELÉCTRICO, TERMINACIONES</v>
      </c>
      <c r="CV622" s="44" cm="1">
        <f t="array" ref="CV622">SUMPRODUCT(--(BG622:CR622&lt;1))</f>
        <v>38</v>
      </c>
    </row>
    <row r="623" spans="1:100" hidden="1" x14ac:dyDescent="0.25">
      <c r="A623" t="s">
        <v>685</v>
      </c>
      <c r="B623" t="s">
        <v>699</v>
      </c>
      <c r="C623">
        <v>2302600622</v>
      </c>
      <c r="D623" t="s">
        <v>60</v>
      </c>
      <c r="E623" s="2">
        <v>0</v>
      </c>
      <c r="F623" s="1">
        <v>46449</v>
      </c>
      <c r="G623" s="1"/>
      <c r="H623" s="1">
        <v>0</v>
      </c>
      <c r="I623" s="1">
        <v>46479</v>
      </c>
      <c r="J623">
        <v>46230</v>
      </c>
      <c r="K623" s="1"/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>
        <v>31.32</v>
      </c>
      <c r="BF623" s="3" t="str">
        <f>+IF(AVANCE[[#This Row],[% AVANCE]]=100%,"MODULO TERMINADO",IF(AVANCE[[#This Row],[FECHA INICIO REAL]]="","MODULO NO INICIADO","PENDIENTE"))</f>
        <v>MODULO NO INICIADO</v>
      </c>
      <c r="BG623" s="3">
        <f>+IF(AVANCE[[#This Row],[VENTANAS]]=8.10810810810811%,100%,AVANCE[[#This Row],[VENTANAS]])</f>
        <v>0</v>
      </c>
      <c r="BH623" s="3">
        <f>+IF(AVANCE[[#This Row],[PISO]]=N$2,100%,AVANCE[[#This Row],[PISO]])</f>
        <v>0</v>
      </c>
      <c r="BI623" s="3">
        <f>+IF(AVANCE[[#This Row],[TABIQUES]]=O$2,100%,AVANCE[[#This Row],[TABIQUES]])</f>
        <v>0</v>
      </c>
      <c r="BJ623" s="3">
        <f>+IF(AVANCE[[#This Row],[MUROS]]=P$2,100%,AVANCE[[#This Row],[MUROS]])</f>
        <v>0</v>
      </c>
      <c r="BK623" s="3">
        <f>+IF(AVANCE[[#This Row],[CIELO]]=Q$2,100%,AVANCE[[#This Row],[CIELO]])</f>
        <v>0</v>
      </c>
      <c r="BL623" s="3">
        <f>+IF(AVANCE[[#This Row],[BALCÓN]]=R$2,100%,AVANCE[[#This Row],[BALCÓN]])</f>
        <v>0</v>
      </c>
      <c r="BM623" s="3">
        <f>+IF(AVANCE[[#This Row],[RED ALCANTARILLADO]]=U$2,100%,AVANCE[[#This Row],[RED ALCANTARILLADO]])</f>
        <v>0</v>
      </c>
      <c r="BN623" s="3">
        <f>+IF(AVANCE[[#This Row],[RED DE AGUA]]=V$2,100%,AVANCE[[#This Row],[RED DE AGUA]])</f>
        <v>0</v>
      </c>
      <c r="BO623" s="3">
        <f>+IF(AVANCE[[#This Row],[VENTILACIONES]]=W$2,100%,AVANCE[[#This Row],[VENTILACIONES]])</f>
        <v>0</v>
      </c>
      <c r="BP623" s="3">
        <f>+IF(AVANCE[[#This Row],[TINA]]=X$2,100%,AVANCE[[#This Row],[TINA]])</f>
        <v>0</v>
      </c>
      <c r="BQ623" s="3">
        <f>+IF(AVANCE[[#This Row],[WC]]=Y$2,100%,AVANCE[[#This Row],[WC]])</f>
        <v>0</v>
      </c>
      <c r="BR623" s="3">
        <f>+IF(AVANCE[[#This Row],[LAVAMANOS / LAVAPLATOS / LAVADERO]]=Z$2,100%,AVANCE[[#This Row],[LAVAMANOS / LAVAPLATOS / LAVADERO]])</f>
        <v>0</v>
      </c>
      <c r="BS623" s="3">
        <f>+IF(AVANCE[[#This Row],[CANALIZACIÓN]]=AC$2,100%,AVANCE[[#This Row],[CANALIZACIÓN]])</f>
        <v>0</v>
      </c>
      <c r="BT623" s="3">
        <f>+IF(AVANCE[[#This Row],[CABLEADO]]=AD$2,100%,AVANCE[[#This Row],[CABLEADO]])</f>
        <v>0</v>
      </c>
      <c r="BU623" s="3">
        <f>+IF(AVANCE[[#This Row],[ARTEFACTOS]]=AE$2,100%,AVANCE[[#This Row],[ARTEFACTOS]])</f>
        <v>0</v>
      </c>
      <c r="BV623" s="3">
        <f>+IF(AVANCE[[#This Row],[TABLERO]]=AF$2,100%,AVANCE[[#This Row],[TABLERO]])</f>
        <v>0</v>
      </c>
      <c r="BW623" s="3">
        <f>+IF(AVANCE[[#This Row],[CAJA PAU]]=AG$2,100%,AVANCE[[#This Row],[CAJA PAU]])</f>
        <v>0</v>
      </c>
      <c r="BX623" s="3">
        <f>+IF(AVANCE[[#This Row],[INSTALACION VINILICO]]=AJ$2,100%,AVANCE[[#This Row],[INSTALACION VINILICO]])</f>
        <v>0</v>
      </c>
      <c r="BY623" s="3">
        <f>+IF(AVANCE[[#This Row],[OSB CUBIERTA]]=AK$2,100%,AVANCE[[#This Row],[OSB CUBIERTA]])</f>
        <v>0</v>
      </c>
      <c r="BZ623" s="3">
        <f>+IF(AVANCE[[#This Row],[BARANDA BALCON]]=AL$2,100%,AVANCE[[#This Row],[BARANDA BALCON]])</f>
        <v>0</v>
      </c>
      <c r="CA623" s="3">
        <f>+IF(AVANCE[[#This Row],[OSB EXTERIOR]]=AM$2,100%,AVANCE[[#This Row],[OSB EXTERIOR]])</f>
        <v>0</v>
      </c>
      <c r="CB623" s="3">
        <f>+IF(AVANCE[[#This Row],[SMART PANEL]]=AN$2,100%,AVANCE[[#This Row],[SMART PANEL]])</f>
        <v>0</v>
      </c>
      <c r="CC623" s="3">
        <f>+IF(AVANCE[[#This Row],[PINTURA EXTERIOR]]=AO$2,100%,AVANCE[[#This Row],[PINTURA EXTERIOR]])</f>
        <v>0</v>
      </c>
      <c r="CD623" s="3">
        <f>+IF(AVANCE[[#This Row],[ZOCALOS LOGIA]]=AP$2,100%,AVANCE[[#This Row],[ZOCALOS LOGIA]])</f>
        <v>0</v>
      </c>
      <c r="CE623" s="3">
        <f>+IF(AVANCE[[#This Row],[MOLDURAS]]=AQ$2,100%,AVANCE[[#This Row],[MOLDURAS]])</f>
        <v>0</v>
      </c>
      <c r="CF623" s="3">
        <f>+IF(AVANCE[[#This Row],[PILASTREO]]=AR$2,100%,AVANCE[[#This Row],[PILASTREO]])</f>
        <v>0</v>
      </c>
      <c r="CG623" s="3">
        <f>+IF(AVANCE[[#This Row],[CELOSIAS]]=AS$2,100%,AVANCE[[#This Row],[CELOSIAS]])</f>
        <v>0</v>
      </c>
      <c r="CH623" s="3">
        <f>+IF(AVANCE[[#This Row],[VENTANAS]]=AT$2,100%,AVANCE[[#This Row],[VENTANAS]])</f>
        <v>0</v>
      </c>
      <c r="CI623" s="3">
        <f>+IF(AVANCE[[#This Row],[PUERTAS ACCESO - LOGIA - BANO]]=AU$2,100%,AVANCE[[#This Row],[PUERTAS ACCESO - LOGIA - BANO]])</f>
        <v>0</v>
      </c>
      <c r="CJ623" s="3">
        <f>+IF(AVANCE[[#This Row],[CERRADURAS]]=AV$2,100%,AVANCE[[#This Row],[CERRADURAS]])</f>
        <v>0</v>
      </c>
      <c r="CK623" s="3">
        <f>+IF(AVANCE[[#This Row],[REVESTIMIENTO INTERIOR ZONA SECA]]=AW$2,100%,AVANCE[[#This Row],[REVESTIMIENTO INTERIOR ZONA SECA]])</f>
        <v>0</v>
      </c>
      <c r="CL623" s="3">
        <f>+IF(AVANCE[[#This Row],[REVESTIMIENTO INTERIOR ZONAS HUMEDAS]]=AX$2,100%,AVANCE[[#This Row],[REVESTIMIENTO INTERIOR ZONAS HUMEDAS]])</f>
        <v>0</v>
      </c>
      <c r="CM623" s="3">
        <f>+IF(AVANCE[[#This Row],[MEMBRANA CIELO]]=AY$2,100%,AVANCE[[#This Row],[MEMBRANA CIELO]])</f>
        <v>0</v>
      </c>
      <c r="CN623" s="3">
        <f>+IF(AVANCE[[#This Row],[LIMPIEZA FINAL]]=AZ$2,100%,AVANCE[[#This Row],[LIMPIEZA FINAL]])</f>
        <v>0</v>
      </c>
      <c r="CO623" s="3">
        <f>+IF(AVANCE[[#This Row],[PUERTAS DORMITORIO]]=BA$2,100%,AVANCE[[#This Row],[PUERTAS DORMITORIO]])</f>
        <v>0</v>
      </c>
      <c r="CP623" s="3">
        <f>+IF(AVANCE[[#This Row],[REVESTIMIENTO INTERIOR BANO]]=BB$2,100%,AVANCE[[#This Row],[REVESTIMIENTO INTERIOR BANO]])</f>
        <v>0</v>
      </c>
      <c r="CQ623" s="3">
        <f>+IF(AVANCE[[#This Row],[MUEBLE LAVAPLATOS]]=BC$2,100%,AVANCE[[#This Row],[MUEBLE LAVAPLATOS]])</f>
        <v>0</v>
      </c>
      <c r="CR623" s="3">
        <f>+IF(AVANCE[[#This Row],[IMPERMEABILIZACION BANO - COCINA LOGIA]]=BD$2,100%,AVANCE[[#This Row],[IMPERMEABILIZACION BANO - COCINA LOGIA]])</f>
        <v>0</v>
      </c>
      <c r="CS623" s="40">
        <f ca="1">+IF(AVANCE[[#This Row],[ESTADO MODULO]]="PENDIENTE",(TODAY()-AVANCE[[#This Row],[FECHA TERMINO  PLANIFICADO]]),0)</f>
        <v>0</v>
      </c>
      <c r="CT623" s="41" t="str" cm="1">
        <f t="array" ref="CT623">_xlfn.TEXTJOIN(" | ",TRUE,IF(SUMPRODUCT((BG623:CR623&lt;1)*(PARTIDAS!$I$2:$AT$2="OBRA GRUESA"))&gt;0,"OBRA GRUESA: "&amp;_xlfn.TEXTJOIN(", ",TRUE,IF((BG623:CR623&lt;1)*(PARTIDAS!$I$2:$AT$2="OBRA GRUESA"),PARTIDAS!$I$1:$AT$1,"")),""),IF(SUMPRODUCT((BG623:CR623&lt;1)*(PARTIDAS!$I$2:$AT$2="SANITARIOS"))&gt;0,"SANITARIOS: "&amp;_xlfn.TEXTJOIN(", ",TRUE,IF((BG623:CR623&lt;1)*(PARTIDAS!$I$2:$AT$2="SANITARIOS"),PARTIDAS!$I$1:$AT$1,"")),""),IF(SUMPRODUCT((BG623:CR623&lt;1)*(PARTIDAS!$I$2:$AT$2="ELÉCTRICO"))&gt;0,"ELÉCTRICO: "&amp;_xlfn.TEXTJOIN(", ",TRUE,IF((BG623:CR623&lt;1)*(PARTIDAS!$I$2:$AT$2="ELÉCTRICO"),PARTIDAS!$I$1:$AT$1,"")),""),IF(SUMPRODUCT((BG623:CR623&lt;1)*(PARTIDAS!$I$2:$AT$2="TERMINACIONES"))&gt;0,"TERMINACIONES: "&amp;_xlfn.TEXTJOIN(", ",TRUE,IF((BG623:CR623&lt;1)*(PARTIDAS!$I$2:$AT$2="TERMINACIONES"),PARTIDAS!$I$1:$AT$1,"")),""))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3" s="43" t="str" cm="1">
        <f t="array" ref="CU623">_xlfn.TEXTJOIN(", ",TRUE,IF(SUMPRODUCT((BG623:CR623&lt;1)*(PARTIDAS!$I$2:$AT$2="OBRA GRUESA"))&gt;0,"OBRA GRUESA",""),IF(SUMPRODUCT((BG623:CR623&lt;1)*(PARTIDAS!$I$2:$AT$2="SANITARIOS"))&gt;0,"SANITARIOS",""),IF(SUMPRODUCT((BG623:CR623&lt;1)*(PARTIDAS!$I$2:$AT$2="ELÉCTRICO"))&gt;0,"ELÉCTRICO",""),IF(SUMPRODUCT((BG623:CR623&lt;1)*(PARTIDAS!$I$2:$AT$2="TERMINACIONES"))&gt;0,"TERMINACIONES",""))</f>
        <v>OBRA GRUESA, SANITARIOS, ELÉCTRICO, TERMINACIONES</v>
      </c>
      <c r="CV623" s="44" cm="1">
        <f t="array" ref="CV623">SUMPRODUCT(--(BG623:CR623&lt;1))</f>
        <v>38</v>
      </c>
    </row>
    <row r="624" spans="1:100" hidden="1" x14ac:dyDescent="0.25">
      <c r="A624" t="s">
        <v>685</v>
      </c>
      <c r="B624" t="s">
        <v>700</v>
      </c>
      <c r="C624">
        <v>2302600623</v>
      </c>
      <c r="D624" t="s">
        <v>60</v>
      </c>
      <c r="E624" s="2">
        <v>0</v>
      </c>
      <c r="F624" s="1">
        <v>46450</v>
      </c>
      <c r="G624" s="1"/>
      <c r="H624" s="1">
        <v>0</v>
      </c>
      <c r="I624" s="1">
        <v>46480</v>
      </c>
      <c r="J624">
        <v>46230</v>
      </c>
      <c r="K624" s="1"/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>
        <v>31.32</v>
      </c>
      <c r="BF624" s="3" t="str">
        <f>+IF(AVANCE[[#This Row],[% AVANCE]]=100%,"MODULO TERMINADO",IF(AVANCE[[#This Row],[FECHA INICIO REAL]]="","MODULO NO INICIADO","PENDIENTE"))</f>
        <v>MODULO NO INICIADO</v>
      </c>
      <c r="BG624" s="3">
        <f>+IF(AVANCE[[#This Row],[VENTANAS]]=8.10810810810811%,100%,AVANCE[[#This Row],[VENTANAS]])</f>
        <v>0</v>
      </c>
      <c r="BH624" s="3">
        <f>+IF(AVANCE[[#This Row],[PISO]]=N$2,100%,AVANCE[[#This Row],[PISO]])</f>
        <v>0</v>
      </c>
      <c r="BI624" s="3">
        <f>+IF(AVANCE[[#This Row],[TABIQUES]]=O$2,100%,AVANCE[[#This Row],[TABIQUES]])</f>
        <v>0</v>
      </c>
      <c r="BJ624" s="3">
        <f>+IF(AVANCE[[#This Row],[MUROS]]=P$2,100%,AVANCE[[#This Row],[MUROS]])</f>
        <v>0</v>
      </c>
      <c r="BK624" s="3">
        <f>+IF(AVANCE[[#This Row],[CIELO]]=Q$2,100%,AVANCE[[#This Row],[CIELO]])</f>
        <v>0</v>
      </c>
      <c r="BL624" s="3">
        <f>+IF(AVANCE[[#This Row],[BALCÓN]]=R$2,100%,AVANCE[[#This Row],[BALCÓN]])</f>
        <v>0</v>
      </c>
      <c r="BM624" s="3">
        <f>+IF(AVANCE[[#This Row],[RED ALCANTARILLADO]]=U$2,100%,AVANCE[[#This Row],[RED ALCANTARILLADO]])</f>
        <v>0</v>
      </c>
      <c r="BN624" s="3">
        <f>+IF(AVANCE[[#This Row],[RED DE AGUA]]=V$2,100%,AVANCE[[#This Row],[RED DE AGUA]])</f>
        <v>0</v>
      </c>
      <c r="BO624" s="3">
        <f>+IF(AVANCE[[#This Row],[VENTILACIONES]]=W$2,100%,AVANCE[[#This Row],[VENTILACIONES]])</f>
        <v>0</v>
      </c>
      <c r="BP624" s="3">
        <f>+IF(AVANCE[[#This Row],[TINA]]=X$2,100%,AVANCE[[#This Row],[TINA]])</f>
        <v>0</v>
      </c>
      <c r="BQ624" s="3">
        <f>+IF(AVANCE[[#This Row],[WC]]=Y$2,100%,AVANCE[[#This Row],[WC]])</f>
        <v>0</v>
      </c>
      <c r="BR624" s="3">
        <f>+IF(AVANCE[[#This Row],[LAVAMANOS / LAVAPLATOS / LAVADERO]]=Z$2,100%,AVANCE[[#This Row],[LAVAMANOS / LAVAPLATOS / LAVADERO]])</f>
        <v>0</v>
      </c>
      <c r="BS624" s="3">
        <f>+IF(AVANCE[[#This Row],[CANALIZACIÓN]]=AC$2,100%,AVANCE[[#This Row],[CANALIZACIÓN]])</f>
        <v>0</v>
      </c>
      <c r="BT624" s="3">
        <f>+IF(AVANCE[[#This Row],[CABLEADO]]=AD$2,100%,AVANCE[[#This Row],[CABLEADO]])</f>
        <v>0</v>
      </c>
      <c r="BU624" s="3">
        <f>+IF(AVANCE[[#This Row],[ARTEFACTOS]]=AE$2,100%,AVANCE[[#This Row],[ARTEFACTOS]])</f>
        <v>0</v>
      </c>
      <c r="BV624" s="3">
        <f>+IF(AVANCE[[#This Row],[TABLERO]]=AF$2,100%,AVANCE[[#This Row],[TABLERO]])</f>
        <v>0</v>
      </c>
      <c r="BW624" s="3">
        <f>+IF(AVANCE[[#This Row],[CAJA PAU]]=AG$2,100%,AVANCE[[#This Row],[CAJA PAU]])</f>
        <v>0</v>
      </c>
      <c r="BX624" s="3">
        <f>+IF(AVANCE[[#This Row],[INSTALACION VINILICO]]=AJ$2,100%,AVANCE[[#This Row],[INSTALACION VINILICO]])</f>
        <v>0</v>
      </c>
      <c r="BY624" s="3">
        <f>+IF(AVANCE[[#This Row],[OSB CUBIERTA]]=AK$2,100%,AVANCE[[#This Row],[OSB CUBIERTA]])</f>
        <v>0</v>
      </c>
      <c r="BZ624" s="3">
        <f>+IF(AVANCE[[#This Row],[BARANDA BALCON]]=AL$2,100%,AVANCE[[#This Row],[BARANDA BALCON]])</f>
        <v>0</v>
      </c>
      <c r="CA624" s="3">
        <f>+IF(AVANCE[[#This Row],[OSB EXTERIOR]]=AM$2,100%,AVANCE[[#This Row],[OSB EXTERIOR]])</f>
        <v>0</v>
      </c>
      <c r="CB624" s="3">
        <f>+IF(AVANCE[[#This Row],[SMART PANEL]]=AN$2,100%,AVANCE[[#This Row],[SMART PANEL]])</f>
        <v>0</v>
      </c>
      <c r="CC624" s="3">
        <f>+IF(AVANCE[[#This Row],[PINTURA EXTERIOR]]=AO$2,100%,AVANCE[[#This Row],[PINTURA EXTERIOR]])</f>
        <v>0</v>
      </c>
      <c r="CD624" s="3">
        <f>+IF(AVANCE[[#This Row],[ZOCALOS LOGIA]]=AP$2,100%,AVANCE[[#This Row],[ZOCALOS LOGIA]])</f>
        <v>0</v>
      </c>
      <c r="CE624" s="3">
        <f>+IF(AVANCE[[#This Row],[MOLDURAS]]=AQ$2,100%,AVANCE[[#This Row],[MOLDURAS]])</f>
        <v>0</v>
      </c>
      <c r="CF624" s="3">
        <f>+IF(AVANCE[[#This Row],[PILASTREO]]=AR$2,100%,AVANCE[[#This Row],[PILASTREO]])</f>
        <v>0</v>
      </c>
      <c r="CG624" s="3">
        <f>+IF(AVANCE[[#This Row],[CELOSIAS]]=AS$2,100%,AVANCE[[#This Row],[CELOSIAS]])</f>
        <v>0</v>
      </c>
      <c r="CH624" s="3">
        <f>+IF(AVANCE[[#This Row],[VENTANAS]]=AT$2,100%,AVANCE[[#This Row],[VENTANAS]])</f>
        <v>0</v>
      </c>
      <c r="CI624" s="3">
        <f>+IF(AVANCE[[#This Row],[PUERTAS ACCESO - LOGIA - BANO]]=AU$2,100%,AVANCE[[#This Row],[PUERTAS ACCESO - LOGIA - BANO]])</f>
        <v>0</v>
      </c>
      <c r="CJ624" s="3">
        <f>+IF(AVANCE[[#This Row],[CERRADURAS]]=AV$2,100%,AVANCE[[#This Row],[CERRADURAS]])</f>
        <v>0</v>
      </c>
      <c r="CK624" s="3">
        <f>+IF(AVANCE[[#This Row],[REVESTIMIENTO INTERIOR ZONA SECA]]=AW$2,100%,AVANCE[[#This Row],[REVESTIMIENTO INTERIOR ZONA SECA]])</f>
        <v>0</v>
      </c>
      <c r="CL624" s="3">
        <f>+IF(AVANCE[[#This Row],[REVESTIMIENTO INTERIOR ZONAS HUMEDAS]]=AX$2,100%,AVANCE[[#This Row],[REVESTIMIENTO INTERIOR ZONAS HUMEDAS]])</f>
        <v>0</v>
      </c>
      <c r="CM624" s="3">
        <f>+IF(AVANCE[[#This Row],[MEMBRANA CIELO]]=AY$2,100%,AVANCE[[#This Row],[MEMBRANA CIELO]])</f>
        <v>0</v>
      </c>
      <c r="CN624" s="3">
        <f>+IF(AVANCE[[#This Row],[LIMPIEZA FINAL]]=AZ$2,100%,AVANCE[[#This Row],[LIMPIEZA FINAL]])</f>
        <v>0</v>
      </c>
      <c r="CO624" s="3">
        <f>+IF(AVANCE[[#This Row],[PUERTAS DORMITORIO]]=BA$2,100%,AVANCE[[#This Row],[PUERTAS DORMITORIO]])</f>
        <v>0</v>
      </c>
      <c r="CP624" s="3">
        <f>+IF(AVANCE[[#This Row],[REVESTIMIENTO INTERIOR BANO]]=BB$2,100%,AVANCE[[#This Row],[REVESTIMIENTO INTERIOR BANO]])</f>
        <v>0</v>
      </c>
      <c r="CQ624" s="3">
        <f>+IF(AVANCE[[#This Row],[MUEBLE LAVAPLATOS]]=BC$2,100%,AVANCE[[#This Row],[MUEBLE LAVAPLATOS]])</f>
        <v>0</v>
      </c>
      <c r="CR624" s="3">
        <f>+IF(AVANCE[[#This Row],[IMPERMEABILIZACION BANO - COCINA LOGIA]]=BD$2,100%,AVANCE[[#This Row],[IMPERMEABILIZACION BANO - COCINA LOGIA]])</f>
        <v>0</v>
      </c>
      <c r="CS624" s="40">
        <f ca="1">+IF(AVANCE[[#This Row],[ESTADO MODULO]]="PENDIENTE",(TODAY()-AVANCE[[#This Row],[FECHA TERMINO  PLANIFICADO]]),0)</f>
        <v>0</v>
      </c>
      <c r="CT624" s="41" t="str" cm="1">
        <f t="array" ref="CT624">_xlfn.TEXTJOIN(" | ",TRUE,IF(SUMPRODUCT((BG624:CR624&lt;1)*(PARTIDAS!$I$2:$AT$2="OBRA GRUESA"))&gt;0,"OBRA GRUESA: "&amp;_xlfn.TEXTJOIN(", ",TRUE,IF((BG624:CR624&lt;1)*(PARTIDAS!$I$2:$AT$2="OBRA GRUESA"),PARTIDAS!$I$1:$AT$1,"")),""),IF(SUMPRODUCT((BG624:CR624&lt;1)*(PARTIDAS!$I$2:$AT$2="SANITARIOS"))&gt;0,"SANITARIOS: "&amp;_xlfn.TEXTJOIN(", ",TRUE,IF((BG624:CR624&lt;1)*(PARTIDAS!$I$2:$AT$2="SANITARIOS"),PARTIDAS!$I$1:$AT$1,"")),""),IF(SUMPRODUCT((BG624:CR624&lt;1)*(PARTIDAS!$I$2:$AT$2="ELÉCTRICO"))&gt;0,"ELÉCTRICO: "&amp;_xlfn.TEXTJOIN(", ",TRUE,IF((BG624:CR624&lt;1)*(PARTIDAS!$I$2:$AT$2="ELÉCTRICO"),PARTIDAS!$I$1:$AT$1,"")),""),IF(SUMPRODUCT((BG624:CR624&lt;1)*(PARTIDAS!$I$2:$AT$2="TERMINACIONES"))&gt;0,"TERMINACIONES: "&amp;_xlfn.TEXTJOIN(", ",TRUE,IF((BG624:CR624&lt;1)*(PARTIDAS!$I$2:$AT$2="TERMINACIONES"),PARTIDAS!$I$1:$AT$1,"")),""))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4" s="43" t="str" cm="1">
        <f t="array" ref="CU624">_xlfn.TEXTJOIN(", ",TRUE,IF(SUMPRODUCT((BG624:CR624&lt;1)*(PARTIDAS!$I$2:$AT$2="OBRA GRUESA"))&gt;0,"OBRA GRUESA",""),IF(SUMPRODUCT((BG624:CR624&lt;1)*(PARTIDAS!$I$2:$AT$2="SANITARIOS"))&gt;0,"SANITARIOS",""),IF(SUMPRODUCT((BG624:CR624&lt;1)*(PARTIDAS!$I$2:$AT$2="ELÉCTRICO"))&gt;0,"ELÉCTRICO",""),IF(SUMPRODUCT((BG624:CR624&lt;1)*(PARTIDAS!$I$2:$AT$2="TERMINACIONES"))&gt;0,"TERMINACIONES",""))</f>
        <v>OBRA GRUESA, SANITARIOS, ELÉCTRICO, TERMINACIONES</v>
      </c>
      <c r="CV624" s="44" cm="1">
        <f t="array" ref="CV624">SUMPRODUCT(--(BG624:CR624&lt;1))</f>
        <v>38</v>
      </c>
    </row>
    <row r="625" spans="1:100" hidden="1" x14ac:dyDescent="0.25">
      <c r="A625" t="s">
        <v>685</v>
      </c>
      <c r="B625" t="s">
        <v>701</v>
      </c>
      <c r="C625">
        <v>2282600624</v>
      </c>
      <c r="D625" t="s">
        <v>58</v>
      </c>
      <c r="E625" s="2">
        <v>0</v>
      </c>
      <c r="F625" s="1">
        <v>46450</v>
      </c>
      <c r="G625" s="1"/>
      <c r="H625" s="1">
        <v>0</v>
      </c>
      <c r="I625" s="1">
        <v>46470</v>
      </c>
      <c r="J625">
        <v>46230</v>
      </c>
      <c r="K625" s="1"/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>
        <v>28.87</v>
      </c>
      <c r="BF625" s="3" t="str">
        <f>+IF(AVANCE[[#This Row],[% AVANCE]]=100%,"MODULO TERMINADO",IF(AVANCE[[#This Row],[FECHA INICIO REAL]]="","MODULO NO INICIADO","PENDIENTE"))</f>
        <v>MODULO NO INICIADO</v>
      </c>
      <c r="BG625" s="3">
        <f>+IF(AVANCE[[#This Row],[VENTANAS]]=8.10810810810811%,100%,AVANCE[[#This Row],[VENTANAS]])</f>
        <v>0</v>
      </c>
      <c r="BH625" s="3">
        <f>+IF(AVANCE[[#This Row],[PISO]]=N$2,100%,AVANCE[[#This Row],[PISO]])</f>
        <v>0</v>
      </c>
      <c r="BI625" s="3">
        <f>+IF(AVANCE[[#This Row],[TABIQUES]]=O$2,100%,AVANCE[[#This Row],[TABIQUES]])</f>
        <v>0</v>
      </c>
      <c r="BJ625" s="3">
        <f>+IF(AVANCE[[#This Row],[MUROS]]=P$2,100%,AVANCE[[#This Row],[MUROS]])</f>
        <v>0</v>
      </c>
      <c r="BK625" s="3">
        <f>+IF(AVANCE[[#This Row],[CIELO]]=Q$2,100%,AVANCE[[#This Row],[CIELO]])</f>
        <v>0</v>
      </c>
      <c r="BL625" s="3">
        <f>+IF(AVANCE[[#This Row],[BALCÓN]]=R$2,100%,AVANCE[[#This Row],[BALCÓN]])</f>
        <v>0</v>
      </c>
      <c r="BM625" s="3">
        <f>+IF(AVANCE[[#This Row],[RED ALCANTARILLADO]]=U$2,100%,AVANCE[[#This Row],[RED ALCANTARILLADO]])</f>
        <v>0</v>
      </c>
      <c r="BN625" s="3">
        <f>+IF(AVANCE[[#This Row],[RED DE AGUA]]=V$2,100%,AVANCE[[#This Row],[RED DE AGUA]])</f>
        <v>0</v>
      </c>
      <c r="BO625" s="3">
        <f>+IF(AVANCE[[#This Row],[VENTILACIONES]]=W$2,100%,AVANCE[[#This Row],[VENTILACIONES]])</f>
        <v>0</v>
      </c>
      <c r="BP625" s="3">
        <f>+IF(AVANCE[[#This Row],[TINA]]=X$2,100%,AVANCE[[#This Row],[TINA]])</f>
        <v>0</v>
      </c>
      <c r="BQ625" s="3">
        <f>+IF(AVANCE[[#This Row],[WC]]=Y$2,100%,AVANCE[[#This Row],[WC]])</f>
        <v>0</v>
      </c>
      <c r="BR625" s="3">
        <f>+IF(AVANCE[[#This Row],[LAVAMANOS / LAVAPLATOS / LAVADERO]]=Z$2,100%,AVANCE[[#This Row],[LAVAMANOS / LAVAPLATOS / LAVADERO]])</f>
        <v>0</v>
      </c>
      <c r="BS625" s="3">
        <f>+IF(AVANCE[[#This Row],[CANALIZACIÓN]]=AC$2,100%,AVANCE[[#This Row],[CANALIZACIÓN]])</f>
        <v>0</v>
      </c>
      <c r="BT625" s="3">
        <f>+IF(AVANCE[[#This Row],[CABLEADO]]=AD$2,100%,AVANCE[[#This Row],[CABLEADO]])</f>
        <v>0</v>
      </c>
      <c r="BU625" s="3">
        <f>+IF(AVANCE[[#This Row],[ARTEFACTOS]]=AE$2,100%,AVANCE[[#This Row],[ARTEFACTOS]])</f>
        <v>0</v>
      </c>
      <c r="BV625" s="3">
        <f>+IF(AVANCE[[#This Row],[TABLERO]]=AF$2,100%,AVANCE[[#This Row],[TABLERO]])</f>
        <v>0</v>
      </c>
      <c r="BW625" s="3">
        <f>+IF(AVANCE[[#This Row],[CAJA PAU]]=AG$2,100%,AVANCE[[#This Row],[CAJA PAU]])</f>
        <v>0</v>
      </c>
      <c r="BX625" s="3">
        <f>+IF(AVANCE[[#This Row],[INSTALACION VINILICO]]=AJ$2,100%,AVANCE[[#This Row],[INSTALACION VINILICO]])</f>
        <v>0</v>
      </c>
      <c r="BY625" s="3">
        <f>+IF(AVANCE[[#This Row],[OSB CUBIERTA]]=AK$2,100%,AVANCE[[#This Row],[OSB CUBIERTA]])</f>
        <v>0</v>
      </c>
      <c r="BZ625" s="3">
        <f>+IF(AVANCE[[#This Row],[BARANDA BALCON]]=AL$2,100%,AVANCE[[#This Row],[BARANDA BALCON]])</f>
        <v>0</v>
      </c>
      <c r="CA625" s="3">
        <f>+IF(AVANCE[[#This Row],[OSB EXTERIOR]]=AM$2,100%,AVANCE[[#This Row],[OSB EXTERIOR]])</f>
        <v>0</v>
      </c>
      <c r="CB625" s="3">
        <f>+IF(AVANCE[[#This Row],[SMART PANEL]]=AN$2,100%,AVANCE[[#This Row],[SMART PANEL]])</f>
        <v>0</v>
      </c>
      <c r="CC625" s="3">
        <f>+IF(AVANCE[[#This Row],[PINTURA EXTERIOR]]=AO$2,100%,AVANCE[[#This Row],[PINTURA EXTERIOR]])</f>
        <v>0</v>
      </c>
      <c r="CD625" s="3">
        <f>+IF(AVANCE[[#This Row],[ZOCALOS LOGIA]]=AP$2,100%,AVANCE[[#This Row],[ZOCALOS LOGIA]])</f>
        <v>0</v>
      </c>
      <c r="CE625" s="3">
        <f>+IF(AVANCE[[#This Row],[MOLDURAS]]=AQ$2,100%,AVANCE[[#This Row],[MOLDURAS]])</f>
        <v>0</v>
      </c>
      <c r="CF625" s="3">
        <f>+IF(AVANCE[[#This Row],[PILASTREO]]=AR$2,100%,AVANCE[[#This Row],[PILASTREO]])</f>
        <v>0</v>
      </c>
      <c r="CG625" s="3">
        <f>+IF(AVANCE[[#This Row],[CELOSIAS]]=AS$2,100%,AVANCE[[#This Row],[CELOSIAS]])</f>
        <v>0</v>
      </c>
      <c r="CH625" s="3">
        <f>+IF(AVANCE[[#This Row],[VENTANAS]]=AT$2,100%,AVANCE[[#This Row],[VENTANAS]])</f>
        <v>0</v>
      </c>
      <c r="CI625" s="3">
        <f>+IF(AVANCE[[#This Row],[PUERTAS ACCESO - LOGIA - BANO]]=AU$2,100%,AVANCE[[#This Row],[PUERTAS ACCESO - LOGIA - BANO]])</f>
        <v>0</v>
      </c>
      <c r="CJ625" s="3">
        <f>+IF(AVANCE[[#This Row],[CERRADURAS]]=AV$2,100%,AVANCE[[#This Row],[CERRADURAS]])</f>
        <v>0</v>
      </c>
      <c r="CK625" s="3">
        <f>+IF(AVANCE[[#This Row],[REVESTIMIENTO INTERIOR ZONA SECA]]=AW$2,100%,AVANCE[[#This Row],[REVESTIMIENTO INTERIOR ZONA SECA]])</f>
        <v>0</v>
      </c>
      <c r="CL625" s="3">
        <f>+IF(AVANCE[[#This Row],[REVESTIMIENTO INTERIOR ZONAS HUMEDAS]]=AX$2,100%,AVANCE[[#This Row],[REVESTIMIENTO INTERIOR ZONAS HUMEDAS]])</f>
        <v>0</v>
      </c>
      <c r="CM625" s="3">
        <f>+IF(AVANCE[[#This Row],[MEMBRANA CIELO]]=AY$2,100%,AVANCE[[#This Row],[MEMBRANA CIELO]])</f>
        <v>0</v>
      </c>
      <c r="CN625" s="3">
        <f>+IF(AVANCE[[#This Row],[LIMPIEZA FINAL]]=AZ$2,100%,AVANCE[[#This Row],[LIMPIEZA FINAL]])</f>
        <v>0</v>
      </c>
      <c r="CO625" s="3">
        <f>+IF(AVANCE[[#This Row],[PUERTAS DORMITORIO]]=BA$2,100%,AVANCE[[#This Row],[PUERTAS DORMITORIO]])</f>
        <v>0</v>
      </c>
      <c r="CP625" s="3">
        <f>+IF(AVANCE[[#This Row],[REVESTIMIENTO INTERIOR BANO]]=BB$2,100%,AVANCE[[#This Row],[REVESTIMIENTO INTERIOR BANO]])</f>
        <v>0</v>
      </c>
      <c r="CQ625" s="3">
        <f>+IF(AVANCE[[#This Row],[MUEBLE LAVAPLATOS]]=BC$2,100%,AVANCE[[#This Row],[MUEBLE LAVAPLATOS]])</f>
        <v>0</v>
      </c>
      <c r="CR625" s="3">
        <f>+IF(AVANCE[[#This Row],[IMPERMEABILIZACION BANO - COCINA LOGIA]]=BD$2,100%,AVANCE[[#This Row],[IMPERMEABILIZACION BANO - COCINA LOGIA]])</f>
        <v>0</v>
      </c>
      <c r="CS625" s="40">
        <f ca="1">+IF(AVANCE[[#This Row],[ESTADO MODULO]]="PENDIENTE",(TODAY()-AVANCE[[#This Row],[FECHA TERMINO  PLANIFICADO]]),0)</f>
        <v>0</v>
      </c>
      <c r="CT625" s="41" t="str" cm="1">
        <f t="array" ref="CT625">_xlfn.TEXTJOIN(" | ",TRUE,IF(SUMPRODUCT((BG625:CR625&lt;1)*(PARTIDAS!$I$2:$AT$2="OBRA GRUESA"))&gt;0,"OBRA GRUESA: "&amp;_xlfn.TEXTJOIN(", ",TRUE,IF((BG625:CR625&lt;1)*(PARTIDAS!$I$2:$AT$2="OBRA GRUESA"),PARTIDAS!$I$1:$AT$1,"")),""),IF(SUMPRODUCT((BG625:CR625&lt;1)*(PARTIDAS!$I$2:$AT$2="SANITARIOS"))&gt;0,"SANITARIOS: "&amp;_xlfn.TEXTJOIN(", ",TRUE,IF((BG625:CR625&lt;1)*(PARTIDAS!$I$2:$AT$2="SANITARIOS"),PARTIDAS!$I$1:$AT$1,"")),""),IF(SUMPRODUCT((BG625:CR625&lt;1)*(PARTIDAS!$I$2:$AT$2="ELÉCTRICO"))&gt;0,"ELÉCTRICO: "&amp;_xlfn.TEXTJOIN(", ",TRUE,IF((BG625:CR625&lt;1)*(PARTIDAS!$I$2:$AT$2="ELÉCTRICO"),PARTIDAS!$I$1:$AT$1,"")),""),IF(SUMPRODUCT((BG625:CR625&lt;1)*(PARTIDAS!$I$2:$AT$2="TERMINACIONES"))&gt;0,"TERMINACIONES: "&amp;_xlfn.TEXTJOIN(", ",TRUE,IF((BG625:CR625&lt;1)*(PARTIDAS!$I$2:$AT$2="TERMINACIONES"),PARTIDAS!$I$1:$AT$1,"")),""))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5" s="43" t="str" cm="1">
        <f t="array" ref="CU625">_xlfn.TEXTJOIN(", ",TRUE,IF(SUMPRODUCT((BG625:CR625&lt;1)*(PARTIDAS!$I$2:$AT$2="OBRA GRUESA"))&gt;0,"OBRA GRUESA",""),IF(SUMPRODUCT((BG625:CR625&lt;1)*(PARTIDAS!$I$2:$AT$2="SANITARIOS"))&gt;0,"SANITARIOS",""),IF(SUMPRODUCT((BG625:CR625&lt;1)*(PARTIDAS!$I$2:$AT$2="ELÉCTRICO"))&gt;0,"ELÉCTRICO",""),IF(SUMPRODUCT((BG625:CR625&lt;1)*(PARTIDAS!$I$2:$AT$2="TERMINACIONES"))&gt;0,"TERMINACIONES",""))</f>
        <v>OBRA GRUESA, SANITARIOS, ELÉCTRICO, TERMINACIONES</v>
      </c>
      <c r="CV625" s="44" cm="1">
        <f t="array" ref="CV625">SUMPRODUCT(--(BG625:CR625&lt;1))</f>
        <v>38</v>
      </c>
    </row>
    <row r="626" spans="1:100" hidden="1" x14ac:dyDescent="0.25">
      <c r="A626" t="s">
        <v>685</v>
      </c>
      <c r="B626" t="s">
        <v>702</v>
      </c>
      <c r="C626">
        <v>2282600625</v>
      </c>
      <c r="D626" t="s">
        <v>58</v>
      </c>
      <c r="E626" s="2">
        <v>0</v>
      </c>
      <c r="F626" s="1">
        <v>46450</v>
      </c>
      <c r="G626" s="1"/>
      <c r="H626" s="1">
        <v>0</v>
      </c>
      <c r="I626" s="1">
        <v>46470</v>
      </c>
      <c r="J626">
        <v>46230</v>
      </c>
      <c r="K626" s="1"/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>
        <v>28.87</v>
      </c>
      <c r="BF626" s="3" t="str">
        <f>+IF(AVANCE[[#This Row],[% AVANCE]]=100%,"MODULO TERMINADO",IF(AVANCE[[#This Row],[FECHA INICIO REAL]]="","MODULO NO INICIADO","PENDIENTE"))</f>
        <v>MODULO NO INICIADO</v>
      </c>
      <c r="BG626" s="3">
        <f>+IF(AVANCE[[#This Row],[VENTANAS]]=8.10810810810811%,100%,AVANCE[[#This Row],[VENTANAS]])</f>
        <v>0</v>
      </c>
      <c r="BH626" s="3">
        <f>+IF(AVANCE[[#This Row],[PISO]]=N$2,100%,AVANCE[[#This Row],[PISO]])</f>
        <v>0</v>
      </c>
      <c r="BI626" s="3">
        <f>+IF(AVANCE[[#This Row],[TABIQUES]]=O$2,100%,AVANCE[[#This Row],[TABIQUES]])</f>
        <v>0</v>
      </c>
      <c r="BJ626" s="3">
        <f>+IF(AVANCE[[#This Row],[MUROS]]=P$2,100%,AVANCE[[#This Row],[MUROS]])</f>
        <v>0</v>
      </c>
      <c r="BK626" s="3">
        <f>+IF(AVANCE[[#This Row],[CIELO]]=Q$2,100%,AVANCE[[#This Row],[CIELO]])</f>
        <v>0</v>
      </c>
      <c r="BL626" s="3">
        <f>+IF(AVANCE[[#This Row],[BALCÓN]]=R$2,100%,AVANCE[[#This Row],[BALCÓN]])</f>
        <v>0</v>
      </c>
      <c r="BM626" s="3">
        <f>+IF(AVANCE[[#This Row],[RED ALCANTARILLADO]]=U$2,100%,AVANCE[[#This Row],[RED ALCANTARILLADO]])</f>
        <v>0</v>
      </c>
      <c r="BN626" s="3">
        <f>+IF(AVANCE[[#This Row],[RED DE AGUA]]=V$2,100%,AVANCE[[#This Row],[RED DE AGUA]])</f>
        <v>0</v>
      </c>
      <c r="BO626" s="3">
        <f>+IF(AVANCE[[#This Row],[VENTILACIONES]]=W$2,100%,AVANCE[[#This Row],[VENTILACIONES]])</f>
        <v>0</v>
      </c>
      <c r="BP626" s="3">
        <f>+IF(AVANCE[[#This Row],[TINA]]=X$2,100%,AVANCE[[#This Row],[TINA]])</f>
        <v>0</v>
      </c>
      <c r="BQ626" s="3">
        <f>+IF(AVANCE[[#This Row],[WC]]=Y$2,100%,AVANCE[[#This Row],[WC]])</f>
        <v>0</v>
      </c>
      <c r="BR626" s="3">
        <f>+IF(AVANCE[[#This Row],[LAVAMANOS / LAVAPLATOS / LAVADERO]]=Z$2,100%,AVANCE[[#This Row],[LAVAMANOS / LAVAPLATOS / LAVADERO]])</f>
        <v>0</v>
      </c>
      <c r="BS626" s="3">
        <f>+IF(AVANCE[[#This Row],[CANALIZACIÓN]]=AC$2,100%,AVANCE[[#This Row],[CANALIZACIÓN]])</f>
        <v>0</v>
      </c>
      <c r="BT626" s="3">
        <f>+IF(AVANCE[[#This Row],[CABLEADO]]=AD$2,100%,AVANCE[[#This Row],[CABLEADO]])</f>
        <v>0</v>
      </c>
      <c r="BU626" s="3">
        <f>+IF(AVANCE[[#This Row],[ARTEFACTOS]]=AE$2,100%,AVANCE[[#This Row],[ARTEFACTOS]])</f>
        <v>0</v>
      </c>
      <c r="BV626" s="3">
        <f>+IF(AVANCE[[#This Row],[TABLERO]]=AF$2,100%,AVANCE[[#This Row],[TABLERO]])</f>
        <v>0</v>
      </c>
      <c r="BW626" s="3">
        <f>+IF(AVANCE[[#This Row],[CAJA PAU]]=AG$2,100%,AVANCE[[#This Row],[CAJA PAU]])</f>
        <v>0</v>
      </c>
      <c r="BX626" s="3">
        <f>+IF(AVANCE[[#This Row],[INSTALACION VINILICO]]=AJ$2,100%,AVANCE[[#This Row],[INSTALACION VINILICO]])</f>
        <v>0</v>
      </c>
      <c r="BY626" s="3">
        <f>+IF(AVANCE[[#This Row],[OSB CUBIERTA]]=AK$2,100%,AVANCE[[#This Row],[OSB CUBIERTA]])</f>
        <v>0</v>
      </c>
      <c r="BZ626" s="3">
        <f>+IF(AVANCE[[#This Row],[BARANDA BALCON]]=AL$2,100%,AVANCE[[#This Row],[BARANDA BALCON]])</f>
        <v>0</v>
      </c>
      <c r="CA626" s="3">
        <f>+IF(AVANCE[[#This Row],[OSB EXTERIOR]]=AM$2,100%,AVANCE[[#This Row],[OSB EXTERIOR]])</f>
        <v>0</v>
      </c>
      <c r="CB626" s="3">
        <f>+IF(AVANCE[[#This Row],[SMART PANEL]]=AN$2,100%,AVANCE[[#This Row],[SMART PANEL]])</f>
        <v>0</v>
      </c>
      <c r="CC626" s="3">
        <f>+IF(AVANCE[[#This Row],[PINTURA EXTERIOR]]=AO$2,100%,AVANCE[[#This Row],[PINTURA EXTERIOR]])</f>
        <v>0</v>
      </c>
      <c r="CD626" s="3">
        <f>+IF(AVANCE[[#This Row],[ZOCALOS LOGIA]]=AP$2,100%,AVANCE[[#This Row],[ZOCALOS LOGIA]])</f>
        <v>0</v>
      </c>
      <c r="CE626" s="3">
        <f>+IF(AVANCE[[#This Row],[MOLDURAS]]=AQ$2,100%,AVANCE[[#This Row],[MOLDURAS]])</f>
        <v>0</v>
      </c>
      <c r="CF626" s="3">
        <f>+IF(AVANCE[[#This Row],[PILASTREO]]=AR$2,100%,AVANCE[[#This Row],[PILASTREO]])</f>
        <v>0</v>
      </c>
      <c r="CG626" s="3">
        <f>+IF(AVANCE[[#This Row],[CELOSIAS]]=AS$2,100%,AVANCE[[#This Row],[CELOSIAS]])</f>
        <v>0</v>
      </c>
      <c r="CH626" s="3">
        <f>+IF(AVANCE[[#This Row],[VENTANAS]]=AT$2,100%,AVANCE[[#This Row],[VENTANAS]])</f>
        <v>0</v>
      </c>
      <c r="CI626" s="3">
        <f>+IF(AVANCE[[#This Row],[PUERTAS ACCESO - LOGIA - BANO]]=AU$2,100%,AVANCE[[#This Row],[PUERTAS ACCESO - LOGIA - BANO]])</f>
        <v>0</v>
      </c>
      <c r="CJ626" s="3">
        <f>+IF(AVANCE[[#This Row],[CERRADURAS]]=AV$2,100%,AVANCE[[#This Row],[CERRADURAS]])</f>
        <v>0</v>
      </c>
      <c r="CK626" s="3">
        <f>+IF(AVANCE[[#This Row],[REVESTIMIENTO INTERIOR ZONA SECA]]=AW$2,100%,AVANCE[[#This Row],[REVESTIMIENTO INTERIOR ZONA SECA]])</f>
        <v>0</v>
      </c>
      <c r="CL626" s="3">
        <f>+IF(AVANCE[[#This Row],[REVESTIMIENTO INTERIOR ZONAS HUMEDAS]]=AX$2,100%,AVANCE[[#This Row],[REVESTIMIENTO INTERIOR ZONAS HUMEDAS]])</f>
        <v>0</v>
      </c>
      <c r="CM626" s="3">
        <f>+IF(AVANCE[[#This Row],[MEMBRANA CIELO]]=AY$2,100%,AVANCE[[#This Row],[MEMBRANA CIELO]])</f>
        <v>0</v>
      </c>
      <c r="CN626" s="3">
        <f>+IF(AVANCE[[#This Row],[LIMPIEZA FINAL]]=AZ$2,100%,AVANCE[[#This Row],[LIMPIEZA FINAL]])</f>
        <v>0</v>
      </c>
      <c r="CO626" s="3">
        <f>+IF(AVANCE[[#This Row],[PUERTAS DORMITORIO]]=BA$2,100%,AVANCE[[#This Row],[PUERTAS DORMITORIO]])</f>
        <v>0</v>
      </c>
      <c r="CP626" s="3">
        <f>+IF(AVANCE[[#This Row],[REVESTIMIENTO INTERIOR BANO]]=BB$2,100%,AVANCE[[#This Row],[REVESTIMIENTO INTERIOR BANO]])</f>
        <v>0</v>
      </c>
      <c r="CQ626" s="3">
        <f>+IF(AVANCE[[#This Row],[MUEBLE LAVAPLATOS]]=BC$2,100%,AVANCE[[#This Row],[MUEBLE LAVAPLATOS]])</f>
        <v>0</v>
      </c>
      <c r="CR626" s="3">
        <f>+IF(AVANCE[[#This Row],[IMPERMEABILIZACION BANO - COCINA LOGIA]]=BD$2,100%,AVANCE[[#This Row],[IMPERMEABILIZACION BANO - COCINA LOGIA]])</f>
        <v>0</v>
      </c>
      <c r="CS626" s="40">
        <f ca="1">+IF(AVANCE[[#This Row],[ESTADO MODULO]]="PENDIENTE",(TODAY()-AVANCE[[#This Row],[FECHA TERMINO  PLANIFICADO]]),0)</f>
        <v>0</v>
      </c>
      <c r="CT626" s="41" t="str" cm="1">
        <f t="array" ref="CT626">_xlfn.TEXTJOIN(" | ",TRUE,IF(SUMPRODUCT((BG626:CR626&lt;1)*(PARTIDAS!$I$2:$AT$2="OBRA GRUESA"))&gt;0,"OBRA GRUESA: "&amp;_xlfn.TEXTJOIN(", ",TRUE,IF((BG626:CR626&lt;1)*(PARTIDAS!$I$2:$AT$2="OBRA GRUESA"),PARTIDAS!$I$1:$AT$1,"")),""),IF(SUMPRODUCT((BG626:CR626&lt;1)*(PARTIDAS!$I$2:$AT$2="SANITARIOS"))&gt;0,"SANITARIOS: "&amp;_xlfn.TEXTJOIN(", ",TRUE,IF((BG626:CR626&lt;1)*(PARTIDAS!$I$2:$AT$2="SANITARIOS"),PARTIDAS!$I$1:$AT$1,"")),""),IF(SUMPRODUCT((BG626:CR626&lt;1)*(PARTIDAS!$I$2:$AT$2="ELÉCTRICO"))&gt;0,"ELÉCTRICO: "&amp;_xlfn.TEXTJOIN(", ",TRUE,IF((BG626:CR626&lt;1)*(PARTIDAS!$I$2:$AT$2="ELÉCTRICO"),PARTIDAS!$I$1:$AT$1,"")),""),IF(SUMPRODUCT((BG626:CR626&lt;1)*(PARTIDAS!$I$2:$AT$2="TERMINACIONES"))&gt;0,"TERMINACIONES: "&amp;_xlfn.TEXTJOIN(", ",TRUE,IF((BG626:CR626&lt;1)*(PARTIDAS!$I$2:$AT$2="TERMINACIONES"),PARTIDAS!$I$1:$AT$1,"")),""))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6" s="43" t="str" cm="1">
        <f t="array" ref="CU626">_xlfn.TEXTJOIN(", ",TRUE,IF(SUMPRODUCT((BG626:CR626&lt;1)*(PARTIDAS!$I$2:$AT$2="OBRA GRUESA"))&gt;0,"OBRA GRUESA",""),IF(SUMPRODUCT((BG626:CR626&lt;1)*(PARTIDAS!$I$2:$AT$2="SANITARIOS"))&gt;0,"SANITARIOS",""),IF(SUMPRODUCT((BG626:CR626&lt;1)*(PARTIDAS!$I$2:$AT$2="ELÉCTRICO"))&gt;0,"ELÉCTRICO",""),IF(SUMPRODUCT((BG626:CR626&lt;1)*(PARTIDAS!$I$2:$AT$2="TERMINACIONES"))&gt;0,"TERMINACIONES",""))</f>
        <v>OBRA GRUESA, SANITARIOS, ELÉCTRICO, TERMINACIONES</v>
      </c>
      <c r="CV626" s="44" cm="1">
        <f t="array" ref="CV626">SUMPRODUCT(--(BG626:CR626&lt;1))</f>
        <v>38</v>
      </c>
    </row>
    <row r="627" spans="1:100" hidden="1" x14ac:dyDescent="0.25">
      <c r="A627" t="s">
        <v>685</v>
      </c>
      <c r="B627" t="s">
        <v>703</v>
      </c>
      <c r="C627">
        <v>2302600626</v>
      </c>
      <c r="D627" t="s">
        <v>60</v>
      </c>
      <c r="E627" s="2">
        <v>0</v>
      </c>
      <c r="F627" s="1">
        <v>46451</v>
      </c>
      <c r="G627" s="1"/>
      <c r="H627" s="1">
        <v>0</v>
      </c>
      <c r="I627" s="1">
        <v>46481</v>
      </c>
      <c r="J627">
        <v>46230</v>
      </c>
      <c r="K627" s="1"/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>
        <v>31.32</v>
      </c>
      <c r="BF627" s="3" t="str">
        <f>+IF(AVANCE[[#This Row],[% AVANCE]]=100%,"MODULO TERMINADO",IF(AVANCE[[#This Row],[FECHA INICIO REAL]]="","MODULO NO INICIADO","PENDIENTE"))</f>
        <v>MODULO NO INICIADO</v>
      </c>
      <c r="BG627" s="3">
        <f>+IF(AVANCE[[#This Row],[VENTANAS]]=8.10810810810811%,100%,AVANCE[[#This Row],[VENTANAS]])</f>
        <v>0</v>
      </c>
      <c r="BH627" s="3">
        <f>+IF(AVANCE[[#This Row],[PISO]]=N$2,100%,AVANCE[[#This Row],[PISO]])</f>
        <v>0</v>
      </c>
      <c r="BI627" s="3">
        <f>+IF(AVANCE[[#This Row],[TABIQUES]]=O$2,100%,AVANCE[[#This Row],[TABIQUES]])</f>
        <v>0</v>
      </c>
      <c r="BJ627" s="3">
        <f>+IF(AVANCE[[#This Row],[MUROS]]=P$2,100%,AVANCE[[#This Row],[MUROS]])</f>
        <v>0</v>
      </c>
      <c r="BK627" s="3">
        <f>+IF(AVANCE[[#This Row],[CIELO]]=Q$2,100%,AVANCE[[#This Row],[CIELO]])</f>
        <v>0</v>
      </c>
      <c r="BL627" s="3">
        <f>+IF(AVANCE[[#This Row],[BALCÓN]]=R$2,100%,AVANCE[[#This Row],[BALCÓN]])</f>
        <v>0</v>
      </c>
      <c r="BM627" s="3">
        <f>+IF(AVANCE[[#This Row],[RED ALCANTARILLADO]]=U$2,100%,AVANCE[[#This Row],[RED ALCANTARILLADO]])</f>
        <v>0</v>
      </c>
      <c r="BN627" s="3">
        <f>+IF(AVANCE[[#This Row],[RED DE AGUA]]=V$2,100%,AVANCE[[#This Row],[RED DE AGUA]])</f>
        <v>0</v>
      </c>
      <c r="BO627" s="3">
        <f>+IF(AVANCE[[#This Row],[VENTILACIONES]]=W$2,100%,AVANCE[[#This Row],[VENTILACIONES]])</f>
        <v>0</v>
      </c>
      <c r="BP627" s="3">
        <f>+IF(AVANCE[[#This Row],[TINA]]=X$2,100%,AVANCE[[#This Row],[TINA]])</f>
        <v>0</v>
      </c>
      <c r="BQ627" s="3">
        <f>+IF(AVANCE[[#This Row],[WC]]=Y$2,100%,AVANCE[[#This Row],[WC]])</f>
        <v>0</v>
      </c>
      <c r="BR627" s="3">
        <f>+IF(AVANCE[[#This Row],[LAVAMANOS / LAVAPLATOS / LAVADERO]]=Z$2,100%,AVANCE[[#This Row],[LAVAMANOS / LAVAPLATOS / LAVADERO]])</f>
        <v>0</v>
      </c>
      <c r="BS627" s="3">
        <f>+IF(AVANCE[[#This Row],[CANALIZACIÓN]]=AC$2,100%,AVANCE[[#This Row],[CANALIZACIÓN]])</f>
        <v>0</v>
      </c>
      <c r="BT627" s="3">
        <f>+IF(AVANCE[[#This Row],[CABLEADO]]=AD$2,100%,AVANCE[[#This Row],[CABLEADO]])</f>
        <v>0</v>
      </c>
      <c r="BU627" s="3">
        <f>+IF(AVANCE[[#This Row],[ARTEFACTOS]]=AE$2,100%,AVANCE[[#This Row],[ARTEFACTOS]])</f>
        <v>0</v>
      </c>
      <c r="BV627" s="3">
        <f>+IF(AVANCE[[#This Row],[TABLERO]]=AF$2,100%,AVANCE[[#This Row],[TABLERO]])</f>
        <v>0</v>
      </c>
      <c r="BW627" s="3">
        <f>+IF(AVANCE[[#This Row],[CAJA PAU]]=AG$2,100%,AVANCE[[#This Row],[CAJA PAU]])</f>
        <v>0</v>
      </c>
      <c r="BX627" s="3">
        <f>+IF(AVANCE[[#This Row],[INSTALACION VINILICO]]=AJ$2,100%,AVANCE[[#This Row],[INSTALACION VINILICO]])</f>
        <v>0</v>
      </c>
      <c r="BY627" s="3">
        <f>+IF(AVANCE[[#This Row],[OSB CUBIERTA]]=AK$2,100%,AVANCE[[#This Row],[OSB CUBIERTA]])</f>
        <v>0</v>
      </c>
      <c r="BZ627" s="3">
        <f>+IF(AVANCE[[#This Row],[BARANDA BALCON]]=AL$2,100%,AVANCE[[#This Row],[BARANDA BALCON]])</f>
        <v>0</v>
      </c>
      <c r="CA627" s="3">
        <f>+IF(AVANCE[[#This Row],[OSB EXTERIOR]]=AM$2,100%,AVANCE[[#This Row],[OSB EXTERIOR]])</f>
        <v>0</v>
      </c>
      <c r="CB627" s="3">
        <f>+IF(AVANCE[[#This Row],[SMART PANEL]]=AN$2,100%,AVANCE[[#This Row],[SMART PANEL]])</f>
        <v>0</v>
      </c>
      <c r="CC627" s="3">
        <f>+IF(AVANCE[[#This Row],[PINTURA EXTERIOR]]=AO$2,100%,AVANCE[[#This Row],[PINTURA EXTERIOR]])</f>
        <v>0</v>
      </c>
      <c r="CD627" s="3">
        <f>+IF(AVANCE[[#This Row],[ZOCALOS LOGIA]]=AP$2,100%,AVANCE[[#This Row],[ZOCALOS LOGIA]])</f>
        <v>0</v>
      </c>
      <c r="CE627" s="3">
        <f>+IF(AVANCE[[#This Row],[MOLDURAS]]=AQ$2,100%,AVANCE[[#This Row],[MOLDURAS]])</f>
        <v>0</v>
      </c>
      <c r="CF627" s="3">
        <f>+IF(AVANCE[[#This Row],[PILASTREO]]=AR$2,100%,AVANCE[[#This Row],[PILASTREO]])</f>
        <v>0</v>
      </c>
      <c r="CG627" s="3">
        <f>+IF(AVANCE[[#This Row],[CELOSIAS]]=AS$2,100%,AVANCE[[#This Row],[CELOSIAS]])</f>
        <v>0</v>
      </c>
      <c r="CH627" s="3">
        <f>+IF(AVANCE[[#This Row],[VENTANAS]]=AT$2,100%,AVANCE[[#This Row],[VENTANAS]])</f>
        <v>0</v>
      </c>
      <c r="CI627" s="3">
        <f>+IF(AVANCE[[#This Row],[PUERTAS ACCESO - LOGIA - BANO]]=AU$2,100%,AVANCE[[#This Row],[PUERTAS ACCESO - LOGIA - BANO]])</f>
        <v>0</v>
      </c>
      <c r="CJ627" s="3">
        <f>+IF(AVANCE[[#This Row],[CERRADURAS]]=AV$2,100%,AVANCE[[#This Row],[CERRADURAS]])</f>
        <v>0</v>
      </c>
      <c r="CK627" s="3">
        <f>+IF(AVANCE[[#This Row],[REVESTIMIENTO INTERIOR ZONA SECA]]=AW$2,100%,AVANCE[[#This Row],[REVESTIMIENTO INTERIOR ZONA SECA]])</f>
        <v>0</v>
      </c>
      <c r="CL627" s="3">
        <f>+IF(AVANCE[[#This Row],[REVESTIMIENTO INTERIOR ZONAS HUMEDAS]]=AX$2,100%,AVANCE[[#This Row],[REVESTIMIENTO INTERIOR ZONAS HUMEDAS]])</f>
        <v>0</v>
      </c>
      <c r="CM627" s="3">
        <f>+IF(AVANCE[[#This Row],[MEMBRANA CIELO]]=AY$2,100%,AVANCE[[#This Row],[MEMBRANA CIELO]])</f>
        <v>0</v>
      </c>
      <c r="CN627" s="3">
        <f>+IF(AVANCE[[#This Row],[LIMPIEZA FINAL]]=AZ$2,100%,AVANCE[[#This Row],[LIMPIEZA FINAL]])</f>
        <v>0</v>
      </c>
      <c r="CO627" s="3">
        <f>+IF(AVANCE[[#This Row],[PUERTAS DORMITORIO]]=BA$2,100%,AVANCE[[#This Row],[PUERTAS DORMITORIO]])</f>
        <v>0</v>
      </c>
      <c r="CP627" s="3">
        <f>+IF(AVANCE[[#This Row],[REVESTIMIENTO INTERIOR BANO]]=BB$2,100%,AVANCE[[#This Row],[REVESTIMIENTO INTERIOR BANO]])</f>
        <v>0</v>
      </c>
      <c r="CQ627" s="3">
        <f>+IF(AVANCE[[#This Row],[MUEBLE LAVAPLATOS]]=BC$2,100%,AVANCE[[#This Row],[MUEBLE LAVAPLATOS]])</f>
        <v>0</v>
      </c>
      <c r="CR627" s="3">
        <f>+IF(AVANCE[[#This Row],[IMPERMEABILIZACION BANO - COCINA LOGIA]]=BD$2,100%,AVANCE[[#This Row],[IMPERMEABILIZACION BANO - COCINA LOGIA]])</f>
        <v>0</v>
      </c>
      <c r="CS627" s="40">
        <f ca="1">+IF(AVANCE[[#This Row],[ESTADO MODULO]]="PENDIENTE",(TODAY()-AVANCE[[#This Row],[FECHA TERMINO  PLANIFICADO]]),0)</f>
        <v>0</v>
      </c>
      <c r="CT627" s="41" t="str" cm="1">
        <f t="array" ref="CT627">_xlfn.TEXTJOIN(" | ",TRUE,IF(SUMPRODUCT((BG627:CR627&lt;1)*(PARTIDAS!$I$2:$AT$2="OBRA GRUESA"))&gt;0,"OBRA GRUESA: "&amp;_xlfn.TEXTJOIN(", ",TRUE,IF((BG627:CR627&lt;1)*(PARTIDAS!$I$2:$AT$2="OBRA GRUESA"),PARTIDAS!$I$1:$AT$1,"")),""),IF(SUMPRODUCT((BG627:CR627&lt;1)*(PARTIDAS!$I$2:$AT$2="SANITARIOS"))&gt;0,"SANITARIOS: "&amp;_xlfn.TEXTJOIN(", ",TRUE,IF((BG627:CR627&lt;1)*(PARTIDAS!$I$2:$AT$2="SANITARIOS"),PARTIDAS!$I$1:$AT$1,"")),""),IF(SUMPRODUCT((BG627:CR627&lt;1)*(PARTIDAS!$I$2:$AT$2="ELÉCTRICO"))&gt;0,"ELÉCTRICO: "&amp;_xlfn.TEXTJOIN(", ",TRUE,IF((BG627:CR627&lt;1)*(PARTIDAS!$I$2:$AT$2="ELÉCTRICO"),PARTIDAS!$I$1:$AT$1,"")),""),IF(SUMPRODUCT((BG627:CR627&lt;1)*(PARTIDAS!$I$2:$AT$2="TERMINACIONES"))&gt;0,"TERMINACIONES: "&amp;_xlfn.TEXTJOIN(", ",TRUE,IF((BG627:CR627&lt;1)*(PARTIDAS!$I$2:$AT$2="TERMINACIONES"),PARTIDAS!$I$1:$AT$1,"")),""))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7" s="43" t="str" cm="1">
        <f t="array" ref="CU627">_xlfn.TEXTJOIN(", ",TRUE,IF(SUMPRODUCT((BG627:CR627&lt;1)*(PARTIDAS!$I$2:$AT$2="OBRA GRUESA"))&gt;0,"OBRA GRUESA",""),IF(SUMPRODUCT((BG627:CR627&lt;1)*(PARTIDAS!$I$2:$AT$2="SANITARIOS"))&gt;0,"SANITARIOS",""),IF(SUMPRODUCT((BG627:CR627&lt;1)*(PARTIDAS!$I$2:$AT$2="ELÉCTRICO"))&gt;0,"ELÉCTRICO",""),IF(SUMPRODUCT((BG627:CR627&lt;1)*(PARTIDAS!$I$2:$AT$2="TERMINACIONES"))&gt;0,"TERMINACIONES",""))</f>
        <v>OBRA GRUESA, SANITARIOS, ELÉCTRICO, TERMINACIONES</v>
      </c>
      <c r="CV627" s="44" cm="1">
        <f t="array" ref="CV627">SUMPRODUCT(--(BG627:CR627&lt;1))</f>
        <v>38</v>
      </c>
    </row>
    <row r="628" spans="1:100" hidden="1" x14ac:dyDescent="0.25">
      <c r="A628" t="s">
        <v>685</v>
      </c>
      <c r="B628" t="s">
        <v>704</v>
      </c>
      <c r="C628">
        <v>2302600627</v>
      </c>
      <c r="D628" t="s">
        <v>60</v>
      </c>
      <c r="E628" s="2">
        <v>0</v>
      </c>
      <c r="F628" s="1">
        <v>46451</v>
      </c>
      <c r="G628" s="1"/>
      <c r="H628" s="1">
        <v>0</v>
      </c>
      <c r="I628" s="1">
        <v>46481</v>
      </c>
      <c r="J628">
        <v>46230</v>
      </c>
      <c r="K628" s="1"/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>
        <v>31.32</v>
      </c>
      <c r="BF628" s="3" t="str">
        <f>+IF(AVANCE[[#This Row],[% AVANCE]]=100%,"MODULO TERMINADO",IF(AVANCE[[#This Row],[FECHA INICIO REAL]]="","MODULO NO INICIADO","PENDIENTE"))</f>
        <v>MODULO NO INICIADO</v>
      </c>
      <c r="BG628" s="3">
        <f>+IF(AVANCE[[#This Row],[VENTANAS]]=8.10810810810811%,100%,AVANCE[[#This Row],[VENTANAS]])</f>
        <v>0</v>
      </c>
      <c r="BH628" s="3">
        <f>+IF(AVANCE[[#This Row],[PISO]]=N$2,100%,AVANCE[[#This Row],[PISO]])</f>
        <v>0</v>
      </c>
      <c r="BI628" s="3">
        <f>+IF(AVANCE[[#This Row],[TABIQUES]]=O$2,100%,AVANCE[[#This Row],[TABIQUES]])</f>
        <v>0</v>
      </c>
      <c r="BJ628" s="3">
        <f>+IF(AVANCE[[#This Row],[MUROS]]=P$2,100%,AVANCE[[#This Row],[MUROS]])</f>
        <v>0</v>
      </c>
      <c r="BK628" s="3">
        <f>+IF(AVANCE[[#This Row],[CIELO]]=Q$2,100%,AVANCE[[#This Row],[CIELO]])</f>
        <v>0</v>
      </c>
      <c r="BL628" s="3">
        <f>+IF(AVANCE[[#This Row],[BALCÓN]]=R$2,100%,AVANCE[[#This Row],[BALCÓN]])</f>
        <v>0</v>
      </c>
      <c r="BM628" s="3">
        <f>+IF(AVANCE[[#This Row],[RED ALCANTARILLADO]]=U$2,100%,AVANCE[[#This Row],[RED ALCANTARILLADO]])</f>
        <v>0</v>
      </c>
      <c r="BN628" s="3">
        <f>+IF(AVANCE[[#This Row],[RED DE AGUA]]=V$2,100%,AVANCE[[#This Row],[RED DE AGUA]])</f>
        <v>0</v>
      </c>
      <c r="BO628" s="3">
        <f>+IF(AVANCE[[#This Row],[VENTILACIONES]]=W$2,100%,AVANCE[[#This Row],[VENTILACIONES]])</f>
        <v>0</v>
      </c>
      <c r="BP628" s="3">
        <f>+IF(AVANCE[[#This Row],[TINA]]=X$2,100%,AVANCE[[#This Row],[TINA]])</f>
        <v>0</v>
      </c>
      <c r="BQ628" s="3">
        <f>+IF(AVANCE[[#This Row],[WC]]=Y$2,100%,AVANCE[[#This Row],[WC]])</f>
        <v>0</v>
      </c>
      <c r="BR628" s="3">
        <f>+IF(AVANCE[[#This Row],[LAVAMANOS / LAVAPLATOS / LAVADERO]]=Z$2,100%,AVANCE[[#This Row],[LAVAMANOS / LAVAPLATOS / LAVADERO]])</f>
        <v>0</v>
      </c>
      <c r="BS628" s="3">
        <f>+IF(AVANCE[[#This Row],[CANALIZACIÓN]]=AC$2,100%,AVANCE[[#This Row],[CANALIZACIÓN]])</f>
        <v>0</v>
      </c>
      <c r="BT628" s="3">
        <f>+IF(AVANCE[[#This Row],[CABLEADO]]=AD$2,100%,AVANCE[[#This Row],[CABLEADO]])</f>
        <v>0</v>
      </c>
      <c r="BU628" s="3">
        <f>+IF(AVANCE[[#This Row],[ARTEFACTOS]]=AE$2,100%,AVANCE[[#This Row],[ARTEFACTOS]])</f>
        <v>0</v>
      </c>
      <c r="BV628" s="3">
        <f>+IF(AVANCE[[#This Row],[TABLERO]]=AF$2,100%,AVANCE[[#This Row],[TABLERO]])</f>
        <v>0</v>
      </c>
      <c r="BW628" s="3">
        <f>+IF(AVANCE[[#This Row],[CAJA PAU]]=AG$2,100%,AVANCE[[#This Row],[CAJA PAU]])</f>
        <v>0</v>
      </c>
      <c r="BX628" s="3">
        <f>+IF(AVANCE[[#This Row],[INSTALACION VINILICO]]=AJ$2,100%,AVANCE[[#This Row],[INSTALACION VINILICO]])</f>
        <v>0</v>
      </c>
      <c r="BY628" s="3">
        <f>+IF(AVANCE[[#This Row],[OSB CUBIERTA]]=AK$2,100%,AVANCE[[#This Row],[OSB CUBIERTA]])</f>
        <v>0</v>
      </c>
      <c r="BZ628" s="3">
        <f>+IF(AVANCE[[#This Row],[BARANDA BALCON]]=AL$2,100%,AVANCE[[#This Row],[BARANDA BALCON]])</f>
        <v>0</v>
      </c>
      <c r="CA628" s="3">
        <f>+IF(AVANCE[[#This Row],[OSB EXTERIOR]]=AM$2,100%,AVANCE[[#This Row],[OSB EXTERIOR]])</f>
        <v>0</v>
      </c>
      <c r="CB628" s="3">
        <f>+IF(AVANCE[[#This Row],[SMART PANEL]]=AN$2,100%,AVANCE[[#This Row],[SMART PANEL]])</f>
        <v>0</v>
      </c>
      <c r="CC628" s="3">
        <f>+IF(AVANCE[[#This Row],[PINTURA EXTERIOR]]=AO$2,100%,AVANCE[[#This Row],[PINTURA EXTERIOR]])</f>
        <v>0</v>
      </c>
      <c r="CD628" s="3">
        <f>+IF(AVANCE[[#This Row],[ZOCALOS LOGIA]]=AP$2,100%,AVANCE[[#This Row],[ZOCALOS LOGIA]])</f>
        <v>0</v>
      </c>
      <c r="CE628" s="3">
        <f>+IF(AVANCE[[#This Row],[MOLDURAS]]=AQ$2,100%,AVANCE[[#This Row],[MOLDURAS]])</f>
        <v>0</v>
      </c>
      <c r="CF628" s="3">
        <f>+IF(AVANCE[[#This Row],[PILASTREO]]=AR$2,100%,AVANCE[[#This Row],[PILASTREO]])</f>
        <v>0</v>
      </c>
      <c r="CG628" s="3">
        <f>+IF(AVANCE[[#This Row],[CELOSIAS]]=AS$2,100%,AVANCE[[#This Row],[CELOSIAS]])</f>
        <v>0</v>
      </c>
      <c r="CH628" s="3">
        <f>+IF(AVANCE[[#This Row],[VENTANAS]]=AT$2,100%,AVANCE[[#This Row],[VENTANAS]])</f>
        <v>0</v>
      </c>
      <c r="CI628" s="3">
        <f>+IF(AVANCE[[#This Row],[PUERTAS ACCESO - LOGIA - BANO]]=AU$2,100%,AVANCE[[#This Row],[PUERTAS ACCESO - LOGIA - BANO]])</f>
        <v>0</v>
      </c>
      <c r="CJ628" s="3">
        <f>+IF(AVANCE[[#This Row],[CERRADURAS]]=AV$2,100%,AVANCE[[#This Row],[CERRADURAS]])</f>
        <v>0</v>
      </c>
      <c r="CK628" s="3">
        <f>+IF(AVANCE[[#This Row],[REVESTIMIENTO INTERIOR ZONA SECA]]=AW$2,100%,AVANCE[[#This Row],[REVESTIMIENTO INTERIOR ZONA SECA]])</f>
        <v>0</v>
      </c>
      <c r="CL628" s="3">
        <f>+IF(AVANCE[[#This Row],[REVESTIMIENTO INTERIOR ZONAS HUMEDAS]]=AX$2,100%,AVANCE[[#This Row],[REVESTIMIENTO INTERIOR ZONAS HUMEDAS]])</f>
        <v>0</v>
      </c>
      <c r="CM628" s="3">
        <f>+IF(AVANCE[[#This Row],[MEMBRANA CIELO]]=AY$2,100%,AVANCE[[#This Row],[MEMBRANA CIELO]])</f>
        <v>0</v>
      </c>
      <c r="CN628" s="3">
        <f>+IF(AVANCE[[#This Row],[LIMPIEZA FINAL]]=AZ$2,100%,AVANCE[[#This Row],[LIMPIEZA FINAL]])</f>
        <v>0</v>
      </c>
      <c r="CO628" s="3">
        <f>+IF(AVANCE[[#This Row],[PUERTAS DORMITORIO]]=BA$2,100%,AVANCE[[#This Row],[PUERTAS DORMITORIO]])</f>
        <v>0</v>
      </c>
      <c r="CP628" s="3">
        <f>+IF(AVANCE[[#This Row],[REVESTIMIENTO INTERIOR BANO]]=BB$2,100%,AVANCE[[#This Row],[REVESTIMIENTO INTERIOR BANO]])</f>
        <v>0</v>
      </c>
      <c r="CQ628" s="3">
        <f>+IF(AVANCE[[#This Row],[MUEBLE LAVAPLATOS]]=BC$2,100%,AVANCE[[#This Row],[MUEBLE LAVAPLATOS]])</f>
        <v>0</v>
      </c>
      <c r="CR628" s="3">
        <f>+IF(AVANCE[[#This Row],[IMPERMEABILIZACION BANO - COCINA LOGIA]]=BD$2,100%,AVANCE[[#This Row],[IMPERMEABILIZACION BANO - COCINA LOGIA]])</f>
        <v>0</v>
      </c>
      <c r="CS628" s="40">
        <f ca="1">+IF(AVANCE[[#This Row],[ESTADO MODULO]]="PENDIENTE",(TODAY()-AVANCE[[#This Row],[FECHA TERMINO  PLANIFICADO]]),0)</f>
        <v>0</v>
      </c>
      <c r="CT628" s="41" t="str" cm="1">
        <f t="array" ref="CT628">_xlfn.TEXTJOIN(" | ",TRUE,IF(SUMPRODUCT((BG628:CR628&lt;1)*(PARTIDAS!$I$2:$AT$2="OBRA GRUESA"))&gt;0,"OBRA GRUESA: "&amp;_xlfn.TEXTJOIN(", ",TRUE,IF((BG628:CR628&lt;1)*(PARTIDAS!$I$2:$AT$2="OBRA GRUESA"),PARTIDAS!$I$1:$AT$1,"")),""),IF(SUMPRODUCT((BG628:CR628&lt;1)*(PARTIDAS!$I$2:$AT$2="SANITARIOS"))&gt;0,"SANITARIOS: "&amp;_xlfn.TEXTJOIN(", ",TRUE,IF((BG628:CR628&lt;1)*(PARTIDAS!$I$2:$AT$2="SANITARIOS"),PARTIDAS!$I$1:$AT$1,"")),""),IF(SUMPRODUCT((BG628:CR628&lt;1)*(PARTIDAS!$I$2:$AT$2="ELÉCTRICO"))&gt;0,"ELÉCTRICO: "&amp;_xlfn.TEXTJOIN(", ",TRUE,IF((BG628:CR628&lt;1)*(PARTIDAS!$I$2:$AT$2="ELÉCTRICO"),PARTIDAS!$I$1:$AT$1,"")),""),IF(SUMPRODUCT((BG628:CR628&lt;1)*(PARTIDAS!$I$2:$AT$2="TERMINACIONES"))&gt;0,"TERMINACIONES: "&amp;_xlfn.TEXTJOIN(", ",TRUE,IF((BG628:CR628&lt;1)*(PARTIDAS!$I$2:$AT$2="TERMINACIONES"),PARTIDAS!$I$1:$AT$1,"")),""))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8" s="43" t="str" cm="1">
        <f t="array" ref="CU628">_xlfn.TEXTJOIN(", ",TRUE,IF(SUMPRODUCT((BG628:CR628&lt;1)*(PARTIDAS!$I$2:$AT$2="OBRA GRUESA"))&gt;0,"OBRA GRUESA",""),IF(SUMPRODUCT((BG628:CR628&lt;1)*(PARTIDAS!$I$2:$AT$2="SANITARIOS"))&gt;0,"SANITARIOS",""),IF(SUMPRODUCT((BG628:CR628&lt;1)*(PARTIDAS!$I$2:$AT$2="ELÉCTRICO"))&gt;0,"ELÉCTRICO",""),IF(SUMPRODUCT((BG628:CR628&lt;1)*(PARTIDAS!$I$2:$AT$2="TERMINACIONES"))&gt;0,"TERMINACIONES",""))</f>
        <v>OBRA GRUESA, SANITARIOS, ELÉCTRICO, TERMINACIONES</v>
      </c>
      <c r="CV628" s="44" cm="1">
        <f t="array" ref="CV628">SUMPRODUCT(--(BG628:CR628&lt;1))</f>
        <v>38</v>
      </c>
    </row>
    <row r="629" spans="1:100" hidden="1" x14ac:dyDescent="0.25">
      <c r="A629" t="s">
        <v>685</v>
      </c>
      <c r="B629" t="s">
        <v>705</v>
      </c>
      <c r="C629">
        <v>2282600628</v>
      </c>
      <c r="D629" t="s">
        <v>58</v>
      </c>
      <c r="E629" s="2">
        <v>0</v>
      </c>
      <c r="F629" s="1">
        <v>46451</v>
      </c>
      <c r="G629" s="1"/>
      <c r="H629" s="1">
        <v>0</v>
      </c>
      <c r="I629" s="1">
        <v>46471</v>
      </c>
      <c r="J629">
        <v>46230</v>
      </c>
      <c r="K629" s="1"/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>
        <v>28.87</v>
      </c>
      <c r="BF629" s="3" t="str">
        <f>+IF(AVANCE[[#This Row],[% AVANCE]]=100%,"MODULO TERMINADO",IF(AVANCE[[#This Row],[FECHA INICIO REAL]]="","MODULO NO INICIADO","PENDIENTE"))</f>
        <v>MODULO NO INICIADO</v>
      </c>
      <c r="BG629" s="3">
        <f>+IF(AVANCE[[#This Row],[VENTANAS]]=8.10810810810811%,100%,AVANCE[[#This Row],[VENTANAS]])</f>
        <v>0</v>
      </c>
      <c r="BH629" s="3">
        <f>+IF(AVANCE[[#This Row],[PISO]]=N$2,100%,AVANCE[[#This Row],[PISO]])</f>
        <v>0</v>
      </c>
      <c r="BI629" s="3">
        <f>+IF(AVANCE[[#This Row],[TABIQUES]]=O$2,100%,AVANCE[[#This Row],[TABIQUES]])</f>
        <v>0</v>
      </c>
      <c r="BJ629" s="3">
        <f>+IF(AVANCE[[#This Row],[MUROS]]=P$2,100%,AVANCE[[#This Row],[MUROS]])</f>
        <v>0</v>
      </c>
      <c r="BK629" s="3">
        <f>+IF(AVANCE[[#This Row],[CIELO]]=Q$2,100%,AVANCE[[#This Row],[CIELO]])</f>
        <v>0</v>
      </c>
      <c r="BL629" s="3">
        <f>+IF(AVANCE[[#This Row],[BALCÓN]]=R$2,100%,AVANCE[[#This Row],[BALCÓN]])</f>
        <v>0</v>
      </c>
      <c r="BM629" s="3">
        <f>+IF(AVANCE[[#This Row],[RED ALCANTARILLADO]]=U$2,100%,AVANCE[[#This Row],[RED ALCANTARILLADO]])</f>
        <v>0</v>
      </c>
      <c r="BN629" s="3">
        <f>+IF(AVANCE[[#This Row],[RED DE AGUA]]=V$2,100%,AVANCE[[#This Row],[RED DE AGUA]])</f>
        <v>0</v>
      </c>
      <c r="BO629" s="3">
        <f>+IF(AVANCE[[#This Row],[VENTILACIONES]]=W$2,100%,AVANCE[[#This Row],[VENTILACIONES]])</f>
        <v>0</v>
      </c>
      <c r="BP629" s="3">
        <f>+IF(AVANCE[[#This Row],[TINA]]=X$2,100%,AVANCE[[#This Row],[TINA]])</f>
        <v>0</v>
      </c>
      <c r="BQ629" s="3">
        <f>+IF(AVANCE[[#This Row],[WC]]=Y$2,100%,AVANCE[[#This Row],[WC]])</f>
        <v>0</v>
      </c>
      <c r="BR629" s="3">
        <f>+IF(AVANCE[[#This Row],[LAVAMANOS / LAVAPLATOS / LAVADERO]]=Z$2,100%,AVANCE[[#This Row],[LAVAMANOS / LAVAPLATOS / LAVADERO]])</f>
        <v>0</v>
      </c>
      <c r="BS629" s="3">
        <f>+IF(AVANCE[[#This Row],[CANALIZACIÓN]]=AC$2,100%,AVANCE[[#This Row],[CANALIZACIÓN]])</f>
        <v>0</v>
      </c>
      <c r="BT629" s="3">
        <f>+IF(AVANCE[[#This Row],[CABLEADO]]=AD$2,100%,AVANCE[[#This Row],[CABLEADO]])</f>
        <v>0</v>
      </c>
      <c r="BU629" s="3">
        <f>+IF(AVANCE[[#This Row],[ARTEFACTOS]]=AE$2,100%,AVANCE[[#This Row],[ARTEFACTOS]])</f>
        <v>0</v>
      </c>
      <c r="BV629" s="3">
        <f>+IF(AVANCE[[#This Row],[TABLERO]]=AF$2,100%,AVANCE[[#This Row],[TABLERO]])</f>
        <v>0</v>
      </c>
      <c r="BW629" s="3">
        <f>+IF(AVANCE[[#This Row],[CAJA PAU]]=AG$2,100%,AVANCE[[#This Row],[CAJA PAU]])</f>
        <v>0</v>
      </c>
      <c r="BX629" s="3">
        <f>+IF(AVANCE[[#This Row],[INSTALACION VINILICO]]=AJ$2,100%,AVANCE[[#This Row],[INSTALACION VINILICO]])</f>
        <v>0</v>
      </c>
      <c r="BY629" s="3">
        <f>+IF(AVANCE[[#This Row],[OSB CUBIERTA]]=AK$2,100%,AVANCE[[#This Row],[OSB CUBIERTA]])</f>
        <v>0</v>
      </c>
      <c r="BZ629" s="3">
        <f>+IF(AVANCE[[#This Row],[BARANDA BALCON]]=AL$2,100%,AVANCE[[#This Row],[BARANDA BALCON]])</f>
        <v>0</v>
      </c>
      <c r="CA629" s="3">
        <f>+IF(AVANCE[[#This Row],[OSB EXTERIOR]]=AM$2,100%,AVANCE[[#This Row],[OSB EXTERIOR]])</f>
        <v>0</v>
      </c>
      <c r="CB629" s="3">
        <f>+IF(AVANCE[[#This Row],[SMART PANEL]]=AN$2,100%,AVANCE[[#This Row],[SMART PANEL]])</f>
        <v>0</v>
      </c>
      <c r="CC629" s="3">
        <f>+IF(AVANCE[[#This Row],[PINTURA EXTERIOR]]=AO$2,100%,AVANCE[[#This Row],[PINTURA EXTERIOR]])</f>
        <v>0</v>
      </c>
      <c r="CD629" s="3">
        <f>+IF(AVANCE[[#This Row],[ZOCALOS LOGIA]]=AP$2,100%,AVANCE[[#This Row],[ZOCALOS LOGIA]])</f>
        <v>0</v>
      </c>
      <c r="CE629" s="3">
        <f>+IF(AVANCE[[#This Row],[MOLDURAS]]=AQ$2,100%,AVANCE[[#This Row],[MOLDURAS]])</f>
        <v>0</v>
      </c>
      <c r="CF629" s="3">
        <f>+IF(AVANCE[[#This Row],[PILASTREO]]=AR$2,100%,AVANCE[[#This Row],[PILASTREO]])</f>
        <v>0</v>
      </c>
      <c r="CG629" s="3">
        <f>+IF(AVANCE[[#This Row],[CELOSIAS]]=AS$2,100%,AVANCE[[#This Row],[CELOSIAS]])</f>
        <v>0</v>
      </c>
      <c r="CH629" s="3">
        <f>+IF(AVANCE[[#This Row],[VENTANAS]]=AT$2,100%,AVANCE[[#This Row],[VENTANAS]])</f>
        <v>0</v>
      </c>
      <c r="CI629" s="3">
        <f>+IF(AVANCE[[#This Row],[PUERTAS ACCESO - LOGIA - BANO]]=AU$2,100%,AVANCE[[#This Row],[PUERTAS ACCESO - LOGIA - BANO]])</f>
        <v>0</v>
      </c>
      <c r="CJ629" s="3">
        <f>+IF(AVANCE[[#This Row],[CERRADURAS]]=AV$2,100%,AVANCE[[#This Row],[CERRADURAS]])</f>
        <v>0</v>
      </c>
      <c r="CK629" s="3">
        <f>+IF(AVANCE[[#This Row],[REVESTIMIENTO INTERIOR ZONA SECA]]=AW$2,100%,AVANCE[[#This Row],[REVESTIMIENTO INTERIOR ZONA SECA]])</f>
        <v>0</v>
      </c>
      <c r="CL629" s="3">
        <f>+IF(AVANCE[[#This Row],[REVESTIMIENTO INTERIOR ZONAS HUMEDAS]]=AX$2,100%,AVANCE[[#This Row],[REVESTIMIENTO INTERIOR ZONAS HUMEDAS]])</f>
        <v>0</v>
      </c>
      <c r="CM629" s="3">
        <f>+IF(AVANCE[[#This Row],[MEMBRANA CIELO]]=AY$2,100%,AVANCE[[#This Row],[MEMBRANA CIELO]])</f>
        <v>0</v>
      </c>
      <c r="CN629" s="3">
        <f>+IF(AVANCE[[#This Row],[LIMPIEZA FINAL]]=AZ$2,100%,AVANCE[[#This Row],[LIMPIEZA FINAL]])</f>
        <v>0</v>
      </c>
      <c r="CO629" s="3">
        <f>+IF(AVANCE[[#This Row],[PUERTAS DORMITORIO]]=BA$2,100%,AVANCE[[#This Row],[PUERTAS DORMITORIO]])</f>
        <v>0</v>
      </c>
      <c r="CP629" s="3">
        <f>+IF(AVANCE[[#This Row],[REVESTIMIENTO INTERIOR BANO]]=BB$2,100%,AVANCE[[#This Row],[REVESTIMIENTO INTERIOR BANO]])</f>
        <v>0</v>
      </c>
      <c r="CQ629" s="3">
        <f>+IF(AVANCE[[#This Row],[MUEBLE LAVAPLATOS]]=BC$2,100%,AVANCE[[#This Row],[MUEBLE LAVAPLATOS]])</f>
        <v>0</v>
      </c>
      <c r="CR629" s="3">
        <f>+IF(AVANCE[[#This Row],[IMPERMEABILIZACION BANO - COCINA LOGIA]]=BD$2,100%,AVANCE[[#This Row],[IMPERMEABILIZACION BANO - COCINA LOGIA]])</f>
        <v>0</v>
      </c>
      <c r="CS629" s="40">
        <f ca="1">+IF(AVANCE[[#This Row],[ESTADO MODULO]]="PENDIENTE",(TODAY()-AVANCE[[#This Row],[FECHA TERMINO  PLANIFICADO]]),0)</f>
        <v>0</v>
      </c>
      <c r="CT629" s="41" t="str" cm="1">
        <f t="array" ref="CT629">_xlfn.TEXTJOIN(" | ",TRUE,IF(SUMPRODUCT((BG629:CR629&lt;1)*(PARTIDAS!$I$2:$AT$2="OBRA GRUESA"))&gt;0,"OBRA GRUESA: "&amp;_xlfn.TEXTJOIN(", ",TRUE,IF((BG629:CR629&lt;1)*(PARTIDAS!$I$2:$AT$2="OBRA GRUESA"),PARTIDAS!$I$1:$AT$1,"")),""),IF(SUMPRODUCT((BG629:CR629&lt;1)*(PARTIDAS!$I$2:$AT$2="SANITARIOS"))&gt;0,"SANITARIOS: "&amp;_xlfn.TEXTJOIN(", ",TRUE,IF((BG629:CR629&lt;1)*(PARTIDAS!$I$2:$AT$2="SANITARIOS"),PARTIDAS!$I$1:$AT$1,"")),""),IF(SUMPRODUCT((BG629:CR629&lt;1)*(PARTIDAS!$I$2:$AT$2="ELÉCTRICO"))&gt;0,"ELÉCTRICO: "&amp;_xlfn.TEXTJOIN(", ",TRUE,IF((BG629:CR629&lt;1)*(PARTIDAS!$I$2:$AT$2="ELÉCTRICO"),PARTIDAS!$I$1:$AT$1,"")),""),IF(SUMPRODUCT((BG629:CR629&lt;1)*(PARTIDAS!$I$2:$AT$2="TERMINACIONES"))&gt;0,"TERMINACIONES: "&amp;_xlfn.TEXTJOIN(", ",TRUE,IF((BG629:CR629&lt;1)*(PARTIDAS!$I$2:$AT$2="TERMINACIONES"),PARTIDAS!$I$1:$AT$1,"")),""))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29" s="43" t="str" cm="1">
        <f t="array" ref="CU629">_xlfn.TEXTJOIN(", ",TRUE,IF(SUMPRODUCT((BG629:CR629&lt;1)*(PARTIDAS!$I$2:$AT$2="OBRA GRUESA"))&gt;0,"OBRA GRUESA",""),IF(SUMPRODUCT((BG629:CR629&lt;1)*(PARTIDAS!$I$2:$AT$2="SANITARIOS"))&gt;0,"SANITARIOS",""),IF(SUMPRODUCT((BG629:CR629&lt;1)*(PARTIDAS!$I$2:$AT$2="ELÉCTRICO"))&gt;0,"ELÉCTRICO",""),IF(SUMPRODUCT((BG629:CR629&lt;1)*(PARTIDAS!$I$2:$AT$2="TERMINACIONES"))&gt;0,"TERMINACIONES",""))</f>
        <v>OBRA GRUESA, SANITARIOS, ELÉCTRICO, TERMINACIONES</v>
      </c>
      <c r="CV629" s="44" cm="1">
        <f t="array" ref="CV629">SUMPRODUCT(--(BG629:CR629&lt;1))</f>
        <v>38</v>
      </c>
    </row>
    <row r="630" spans="1:100" hidden="1" x14ac:dyDescent="0.25">
      <c r="A630" t="s">
        <v>685</v>
      </c>
      <c r="B630" t="s">
        <v>706</v>
      </c>
      <c r="C630">
        <v>2282600629</v>
      </c>
      <c r="D630" t="s">
        <v>58</v>
      </c>
      <c r="E630" s="2">
        <v>0</v>
      </c>
      <c r="F630" s="1">
        <v>46454</v>
      </c>
      <c r="G630" s="1"/>
      <c r="H630" s="1">
        <v>0</v>
      </c>
      <c r="I630" s="1">
        <v>46474</v>
      </c>
      <c r="J630">
        <v>46230</v>
      </c>
      <c r="K630" s="1"/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>
        <v>28.87</v>
      </c>
      <c r="BF630" s="3" t="str">
        <f>+IF(AVANCE[[#This Row],[% AVANCE]]=100%,"MODULO TERMINADO",IF(AVANCE[[#This Row],[FECHA INICIO REAL]]="","MODULO NO INICIADO","PENDIENTE"))</f>
        <v>MODULO NO INICIADO</v>
      </c>
      <c r="BG630" s="3">
        <f>+IF(AVANCE[[#This Row],[VENTANAS]]=8.10810810810811%,100%,AVANCE[[#This Row],[VENTANAS]])</f>
        <v>0</v>
      </c>
      <c r="BH630" s="3">
        <f>+IF(AVANCE[[#This Row],[PISO]]=N$2,100%,AVANCE[[#This Row],[PISO]])</f>
        <v>0</v>
      </c>
      <c r="BI630" s="3">
        <f>+IF(AVANCE[[#This Row],[TABIQUES]]=O$2,100%,AVANCE[[#This Row],[TABIQUES]])</f>
        <v>0</v>
      </c>
      <c r="BJ630" s="3">
        <f>+IF(AVANCE[[#This Row],[MUROS]]=P$2,100%,AVANCE[[#This Row],[MUROS]])</f>
        <v>0</v>
      </c>
      <c r="BK630" s="3">
        <f>+IF(AVANCE[[#This Row],[CIELO]]=Q$2,100%,AVANCE[[#This Row],[CIELO]])</f>
        <v>0</v>
      </c>
      <c r="BL630" s="3">
        <f>+IF(AVANCE[[#This Row],[BALCÓN]]=R$2,100%,AVANCE[[#This Row],[BALCÓN]])</f>
        <v>0</v>
      </c>
      <c r="BM630" s="3">
        <f>+IF(AVANCE[[#This Row],[RED ALCANTARILLADO]]=U$2,100%,AVANCE[[#This Row],[RED ALCANTARILLADO]])</f>
        <v>0</v>
      </c>
      <c r="BN630" s="3">
        <f>+IF(AVANCE[[#This Row],[RED DE AGUA]]=V$2,100%,AVANCE[[#This Row],[RED DE AGUA]])</f>
        <v>0</v>
      </c>
      <c r="BO630" s="3">
        <f>+IF(AVANCE[[#This Row],[VENTILACIONES]]=W$2,100%,AVANCE[[#This Row],[VENTILACIONES]])</f>
        <v>0</v>
      </c>
      <c r="BP630" s="3">
        <f>+IF(AVANCE[[#This Row],[TINA]]=X$2,100%,AVANCE[[#This Row],[TINA]])</f>
        <v>0</v>
      </c>
      <c r="BQ630" s="3">
        <f>+IF(AVANCE[[#This Row],[WC]]=Y$2,100%,AVANCE[[#This Row],[WC]])</f>
        <v>0</v>
      </c>
      <c r="BR630" s="3">
        <f>+IF(AVANCE[[#This Row],[LAVAMANOS / LAVAPLATOS / LAVADERO]]=Z$2,100%,AVANCE[[#This Row],[LAVAMANOS / LAVAPLATOS / LAVADERO]])</f>
        <v>0</v>
      </c>
      <c r="BS630" s="3">
        <f>+IF(AVANCE[[#This Row],[CANALIZACIÓN]]=AC$2,100%,AVANCE[[#This Row],[CANALIZACIÓN]])</f>
        <v>0</v>
      </c>
      <c r="BT630" s="3">
        <f>+IF(AVANCE[[#This Row],[CABLEADO]]=AD$2,100%,AVANCE[[#This Row],[CABLEADO]])</f>
        <v>0</v>
      </c>
      <c r="BU630" s="3">
        <f>+IF(AVANCE[[#This Row],[ARTEFACTOS]]=AE$2,100%,AVANCE[[#This Row],[ARTEFACTOS]])</f>
        <v>0</v>
      </c>
      <c r="BV630" s="3">
        <f>+IF(AVANCE[[#This Row],[TABLERO]]=AF$2,100%,AVANCE[[#This Row],[TABLERO]])</f>
        <v>0</v>
      </c>
      <c r="BW630" s="3">
        <f>+IF(AVANCE[[#This Row],[CAJA PAU]]=AG$2,100%,AVANCE[[#This Row],[CAJA PAU]])</f>
        <v>0</v>
      </c>
      <c r="BX630" s="3">
        <f>+IF(AVANCE[[#This Row],[INSTALACION VINILICO]]=AJ$2,100%,AVANCE[[#This Row],[INSTALACION VINILICO]])</f>
        <v>0</v>
      </c>
      <c r="BY630" s="3">
        <f>+IF(AVANCE[[#This Row],[OSB CUBIERTA]]=AK$2,100%,AVANCE[[#This Row],[OSB CUBIERTA]])</f>
        <v>0</v>
      </c>
      <c r="BZ630" s="3">
        <f>+IF(AVANCE[[#This Row],[BARANDA BALCON]]=AL$2,100%,AVANCE[[#This Row],[BARANDA BALCON]])</f>
        <v>0</v>
      </c>
      <c r="CA630" s="3">
        <f>+IF(AVANCE[[#This Row],[OSB EXTERIOR]]=AM$2,100%,AVANCE[[#This Row],[OSB EXTERIOR]])</f>
        <v>0</v>
      </c>
      <c r="CB630" s="3">
        <f>+IF(AVANCE[[#This Row],[SMART PANEL]]=AN$2,100%,AVANCE[[#This Row],[SMART PANEL]])</f>
        <v>0</v>
      </c>
      <c r="CC630" s="3">
        <f>+IF(AVANCE[[#This Row],[PINTURA EXTERIOR]]=AO$2,100%,AVANCE[[#This Row],[PINTURA EXTERIOR]])</f>
        <v>0</v>
      </c>
      <c r="CD630" s="3">
        <f>+IF(AVANCE[[#This Row],[ZOCALOS LOGIA]]=AP$2,100%,AVANCE[[#This Row],[ZOCALOS LOGIA]])</f>
        <v>0</v>
      </c>
      <c r="CE630" s="3">
        <f>+IF(AVANCE[[#This Row],[MOLDURAS]]=AQ$2,100%,AVANCE[[#This Row],[MOLDURAS]])</f>
        <v>0</v>
      </c>
      <c r="CF630" s="3">
        <f>+IF(AVANCE[[#This Row],[PILASTREO]]=AR$2,100%,AVANCE[[#This Row],[PILASTREO]])</f>
        <v>0</v>
      </c>
      <c r="CG630" s="3">
        <f>+IF(AVANCE[[#This Row],[CELOSIAS]]=AS$2,100%,AVANCE[[#This Row],[CELOSIAS]])</f>
        <v>0</v>
      </c>
      <c r="CH630" s="3">
        <f>+IF(AVANCE[[#This Row],[VENTANAS]]=AT$2,100%,AVANCE[[#This Row],[VENTANAS]])</f>
        <v>0</v>
      </c>
      <c r="CI630" s="3">
        <f>+IF(AVANCE[[#This Row],[PUERTAS ACCESO - LOGIA - BANO]]=AU$2,100%,AVANCE[[#This Row],[PUERTAS ACCESO - LOGIA - BANO]])</f>
        <v>0</v>
      </c>
      <c r="CJ630" s="3">
        <f>+IF(AVANCE[[#This Row],[CERRADURAS]]=AV$2,100%,AVANCE[[#This Row],[CERRADURAS]])</f>
        <v>0</v>
      </c>
      <c r="CK630" s="3">
        <f>+IF(AVANCE[[#This Row],[REVESTIMIENTO INTERIOR ZONA SECA]]=AW$2,100%,AVANCE[[#This Row],[REVESTIMIENTO INTERIOR ZONA SECA]])</f>
        <v>0</v>
      </c>
      <c r="CL630" s="3">
        <f>+IF(AVANCE[[#This Row],[REVESTIMIENTO INTERIOR ZONAS HUMEDAS]]=AX$2,100%,AVANCE[[#This Row],[REVESTIMIENTO INTERIOR ZONAS HUMEDAS]])</f>
        <v>0</v>
      </c>
      <c r="CM630" s="3">
        <f>+IF(AVANCE[[#This Row],[MEMBRANA CIELO]]=AY$2,100%,AVANCE[[#This Row],[MEMBRANA CIELO]])</f>
        <v>0</v>
      </c>
      <c r="CN630" s="3">
        <f>+IF(AVANCE[[#This Row],[LIMPIEZA FINAL]]=AZ$2,100%,AVANCE[[#This Row],[LIMPIEZA FINAL]])</f>
        <v>0</v>
      </c>
      <c r="CO630" s="3">
        <f>+IF(AVANCE[[#This Row],[PUERTAS DORMITORIO]]=BA$2,100%,AVANCE[[#This Row],[PUERTAS DORMITORIO]])</f>
        <v>0</v>
      </c>
      <c r="CP630" s="3">
        <f>+IF(AVANCE[[#This Row],[REVESTIMIENTO INTERIOR BANO]]=BB$2,100%,AVANCE[[#This Row],[REVESTIMIENTO INTERIOR BANO]])</f>
        <v>0</v>
      </c>
      <c r="CQ630" s="3">
        <f>+IF(AVANCE[[#This Row],[MUEBLE LAVAPLATOS]]=BC$2,100%,AVANCE[[#This Row],[MUEBLE LAVAPLATOS]])</f>
        <v>0</v>
      </c>
      <c r="CR630" s="3">
        <f>+IF(AVANCE[[#This Row],[IMPERMEABILIZACION BANO - COCINA LOGIA]]=BD$2,100%,AVANCE[[#This Row],[IMPERMEABILIZACION BANO - COCINA LOGIA]])</f>
        <v>0</v>
      </c>
      <c r="CS630" s="40">
        <f ca="1">+IF(AVANCE[[#This Row],[ESTADO MODULO]]="PENDIENTE",(TODAY()-AVANCE[[#This Row],[FECHA TERMINO  PLANIFICADO]]),0)</f>
        <v>0</v>
      </c>
      <c r="CT630" s="41" t="str" cm="1">
        <f t="array" ref="CT630">_xlfn.TEXTJOIN(" | ",TRUE,IF(SUMPRODUCT((BG630:CR630&lt;1)*(PARTIDAS!$I$2:$AT$2="OBRA GRUESA"))&gt;0,"OBRA GRUESA: "&amp;_xlfn.TEXTJOIN(", ",TRUE,IF((BG630:CR630&lt;1)*(PARTIDAS!$I$2:$AT$2="OBRA GRUESA"),PARTIDAS!$I$1:$AT$1,"")),""),IF(SUMPRODUCT((BG630:CR630&lt;1)*(PARTIDAS!$I$2:$AT$2="SANITARIOS"))&gt;0,"SANITARIOS: "&amp;_xlfn.TEXTJOIN(", ",TRUE,IF((BG630:CR630&lt;1)*(PARTIDAS!$I$2:$AT$2="SANITARIOS"),PARTIDAS!$I$1:$AT$1,"")),""),IF(SUMPRODUCT((BG630:CR630&lt;1)*(PARTIDAS!$I$2:$AT$2="ELÉCTRICO"))&gt;0,"ELÉCTRICO: "&amp;_xlfn.TEXTJOIN(", ",TRUE,IF((BG630:CR630&lt;1)*(PARTIDAS!$I$2:$AT$2="ELÉCTRICO"),PARTIDAS!$I$1:$AT$1,"")),""),IF(SUMPRODUCT((BG630:CR630&lt;1)*(PARTIDAS!$I$2:$AT$2="TERMINACIONES"))&gt;0,"TERMINACIONES: "&amp;_xlfn.TEXTJOIN(", ",TRUE,IF((BG630:CR630&lt;1)*(PARTIDAS!$I$2:$AT$2="TERMINACIONES"),PARTIDAS!$I$1:$AT$1,"")),""))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0" s="43" t="str" cm="1">
        <f t="array" ref="CU630">_xlfn.TEXTJOIN(", ",TRUE,IF(SUMPRODUCT((BG630:CR630&lt;1)*(PARTIDAS!$I$2:$AT$2="OBRA GRUESA"))&gt;0,"OBRA GRUESA",""),IF(SUMPRODUCT((BG630:CR630&lt;1)*(PARTIDAS!$I$2:$AT$2="SANITARIOS"))&gt;0,"SANITARIOS",""),IF(SUMPRODUCT((BG630:CR630&lt;1)*(PARTIDAS!$I$2:$AT$2="ELÉCTRICO"))&gt;0,"ELÉCTRICO",""),IF(SUMPRODUCT((BG630:CR630&lt;1)*(PARTIDAS!$I$2:$AT$2="TERMINACIONES"))&gt;0,"TERMINACIONES",""))</f>
        <v>OBRA GRUESA, SANITARIOS, ELÉCTRICO, TERMINACIONES</v>
      </c>
      <c r="CV630" s="44" cm="1">
        <f t="array" ref="CV630">SUMPRODUCT(--(BG630:CR630&lt;1))</f>
        <v>38</v>
      </c>
    </row>
    <row r="631" spans="1:100" hidden="1" x14ac:dyDescent="0.25">
      <c r="A631" t="s">
        <v>685</v>
      </c>
      <c r="B631" t="s">
        <v>707</v>
      </c>
      <c r="C631">
        <v>2302600630</v>
      </c>
      <c r="D631" t="s">
        <v>60</v>
      </c>
      <c r="E631" s="2">
        <v>0</v>
      </c>
      <c r="F631" s="1">
        <v>46454</v>
      </c>
      <c r="G631" s="1"/>
      <c r="H631" s="1">
        <v>0</v>
      </c>
      <c r="I631" s="1">
        <v>46484</v>
      </c>
      <c r="J631">
        <v>46230</v>
      </c>
      <c r="K631" s="1"/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>
        <v>31.32</v>
      </c>
      <c r="BF631" s="3" t="str">
        <f>+IF(AVANCE[[#This Row],[% AVANCE]]=100%,"MODULO TERMINADO",IF(AVANCE[[#This Row],[FECHA INICIO REAL]]="","MODULO NO INICIADO","PENDIENTE"))</f>
        <v>MODULO NO INICIADO</v>
      </c>
      <c r="BG631" s="3">
        <f>+IF(AVANCE[[#This Row],[VENTANAS]]=8.10810810810811%,100%,AVANCE[[#This Row],[VENTANAS]])</f>
        <v>0</v>
      </c>
      <c r="BH631" s="3">
        <f>+IF(AVANCE[[#This Row],[PISO]]=N$2,100%,AVANCE[[#This Row],[PISO]])</f>
        <v>0</v>
      </c>
      <c r="BI631" s="3">
        <f>+IF(AVANCE[[#This Row],[TABIQUES]]=O$2,100%,AVANCE[[#This Row],[TABIQUES]])</f>
        <v>0</v>
      </c>
      <c r="BJ631" s="3">
        <f>+IF(AVANCE[[#This Row],[MUROS]]=P$2,100%,AVANCE[[#This Row],[MUROS]])</f>
        <v>0</v>
      </c>
      <c r="BK631" s="3">
        <f>+IF(AVANCE[[#This Row],[CIELO]]=Q$2,100%,AVANCE[[#This Row],[CIELO]])</f>
        <v>0</v>
      </c>
      <c r="BL631" s="3">
        <f>+IF(AVANCE[[#This Row],[BALCÓN]]=R$2,100%,AVANCE[[#This Row],[BALCÓN]])</f>
        <v>0</v>
      </c>
      <c r="BM631" s="3">
        <f>+IF(AVANCE[[#This Row],[RED ALCANTARILLADO]]=U$2,100%,AVANCE[[#This Row],[RED ALCANTARILLADO]])</f>
        <v>0</v>
      </c>
      <c r="BN631" s="3">
        <f>+IF(AVANCE[[#This Row],[RED DE AGUA]]=V$2,100%,AVANCE[[#This Row],[RED DE AGUA]])</f>
        <v>0</v>
      </c>
      <c r="BO631" s="3">
        <f>+IF(AVANCE[[#This Row],[VENTILACIONES]]=W$2,100%,AVANCE[[#This Row],[VENTILACIONES]])</f>
        <v>0</v>
      </c>
      <c r="BP631" s="3">
        <f>+IF(AVANCE[[#This Row],[TINA]]=X$2,100%,AVANCE[[#This Row],[TINA]])</f>
        <v>0</v>
      </c>
      <c r="BQ631" s="3">
        <f>+IF(AVANCE[[#This Row],[WC]]=Y$2,100%,AVANCE[[#This Row],[WC]])</f>
        <v>0</v>
      </c>
      <c r="BR631" s="3">
        <f>+IF(AVANCE[[#This Row],[LAVAMANOS / LAVAPLATOS / LAVADERO]]=Z$2,100%,AVANCE[[#This Row],[LAVAMANOS / LAVAPLATOS / LAVADERO]])</f>
        <v>0</v>
      </c>
      <c r="BS631" s="3">
        <f>+IF(AVANCE[[#This Row],[CANALIZACIÓN]]=AC$2,100%,AVANCE[[#This Row],[CANALIZACIÓN]])</f>
        <v>0</v>
      </c>
      <c r="BT631" s="3">
        <f>+IF(AVANCE[[#This Row],[CABLEADO]]=AD$2,100%,AVANCE[[#This Row],[CABLEADO]])</f>
        <v>0</v>
      </c>
      <c r="BU631" s="3">
        <f>+IF(AVANCE[[#This Row],[ARTEFACTOS]]=AE$2,100%,AVANCE[[#This Row],[ARTEFACTOS]])</f>
        <v>0</v>
      </c>
      <c r="BV631" s="3">
        <f>+IF(AVANCE[[#This Row],[TABLERO]]=AF$2,100%,AVANCE[[#This Row],[TABLERO]])</f>
        <v>0</v>
      </c>
      <c r="BW631" s="3">
        <f>+IF(AVANCE[[#This Row],[CAJA PAU]]=AG$2,100%,AVANCE[[#This Row],[CAJA PAU]])</f>
        <v>0</v>
      </c>
      <c r="BX631" s="3">
        <f>+IF(AVANCE[[#This Row],[INSTALACION VINILICO]]=AJ$2,100%,AVANCE[[#This Row],[INSTALACION VINILICO]])</f>
        <v>0</v>
      </c>
      <c r="BY631" s="3">
        <f>+IF(AVANCE[[#This Row],[OSB CUBIERTA]]=AK$2,100%,AVANCE[[#This Row],[OSB CUBIERTA]])</f>
        <v>0</v>
      </c>
      <c r="BZ631" s="3">
        <f>+IF(AVANCE[[#This Row],[BARANDA BALCON]]=AL$2,100%,AVANCE[[#This Row],[BARANDA BALCON]])</f>
        <v>0</v>
      </c>
      <c r="CA631" s="3">
        <f>+IF(AVANCE[[#This Row],[OSB EXTERIOR]]=AM$2,100%,AVANCE[[#This Row],[OSB EXTERIOR]])</f>
        <v>0</v>
      </c>
      <c r="CB631" s="3">
        <f>+IF(AVANCE[[#This Row],[SMART PANEL]]=AN$2,100%,AVANCE[[#This Row],[SMART PANEL]])</f>
        <v>0</v>
      </c>
      <c r="CC631" s="3">
        <f>+IF(AVANCE[[#This Row],[PINTURA EXTERIOR]]=AO$2,100%,AVANCE[[#This Row],[PINTURA EXTERIOR]])</f>
        <v>0</v>
      </c>
      <c r="CD631" s="3">
        <f>+IF(AVANCE[[#This Row],[ZOCALOS LOGIA]]=AP$2,100%,AVANCE[[#This Row],[ZOCALOS LOGIA]])</f>
        <v>0</v>
      </c>
      <c r="CE631" s="3">
        <f>+IF(AVANCE[[#This Row],[MOLDURAS]]=AQ$2,100%,AVANCE[[#This Row],[MOLDURAS]])</f>
        <v>0</v>
      </c>
      <c r="CF631" s="3">
        <f>+IF(AVANCE[[#This Row],[PILASTREO]]=AR$2,100%,AVANCE[[#This Row],[PILASTREO]])</f>
        <v>0</v>
      </c>
      <c r="CG631" s="3">
        <f>+IF(AVANCE[[#This Row],[CELOSIAS]]=AS$2,100%,AVANCE[[#This Row],[CELOSIAS]])</f>
        <v>0</v>
      </c>
      <c r="CH631" s="3">
        <f>+IF(AVANCE[[#This Row],[VENTANAS]]=AT$2,100%,AVANCE[[#This Row],[VENTANAS]])</f>
        <v>0</v>
      </c>
      <c r="CI631" s="3">
        <f>+IF(AVANCE[[#This Row],[PUERTAS ACCESO - LOGIA - BANO]]=AU$2,100%,AVANCE[[#This Row],[PUERTAS ACCESO - LOGIA - BANO]])</f>
        <v>0</v>
      </c>
      <c r="CJ631" s="3">
        <f>+IF(AVANCE[[#This Row],[CERRADURAS]]=AV$2,100%,AVANCE[[#This Row],[CERRADURAS]])</f>
        <v>0</v>
      </c>
      <c r="CK631" s="3">
        <f>+IF(AVANCE[[#This Row],[REVESTIMIENTO INTERIOR ZONA SECA]]=AW$2,100%,AVANCE[[#This Row],[REVESTIMIENTO INTERIOR ZONA SECA]])</f>
        <v>0</v>
      </c>
      <c r="CL631" s="3">
        <f>+IF(AVANCE[[#This Row],[REVESTIMIENTO INTERIOR ZONAS HUMEDAS]]=AX$2,100%,AVANCE[[#This Row],[REVESTIMIENTO INTERIOR ZONAS HUMEDAS]])</f>
        <v>0</v>
      </c>
      <c r="CM631" s="3">
        <f>+IF(AVANCE[[#This Row],[MEMBRANA CIELO]]=AY$2,100%,AVANCE[[#This Row],[MEMBRANA CIELO]])</f>
        <v>0</v>
      </c>
      <c r="CN631" s="3">
        <f>+IF(AVANCE[[#This Row],[LIMPIEZA FINAL]]=AZ$2,100%,AVANCE[[#This Row],[LIMPIEZA FINAL]])</f>
        <v>0</v>
      </c>
      <c r="CO631" s="3">
        <f>+IF(AVANCE[[#This Row],[PUERTAS DORMITORIO]]=BA$2,100%,AVANCE[[#This Row],[PUERTAS DORMITORIO]])</f>
        <v>0</v>
      </c>
      <c r="CP631" s="3">
        <f>+IF(AVANCE[[#This Row],[REVESTIMIENTO INTERIOR BANO]]=BB$2,100%,AVANCE[[#This Row],[REVESTIMIENTO INTERIOR BANO]])</f>
        <v>0</v>
      </c>
      <c r="CQ631" s="3">
        <f>+IF(AVANCE[[#This Row],[MUEBLE LAVAPLATOS]]=BC$2,100%,AVANCE[[#This Row],[MUEBLE LAVAPLATOS]])</f>
        <v>0</v>
      </c>
      <c r="CR631" s="3">
        <f>+IF(AVANCE[[#This Row],[IMPERMEABILIZACION BANO - COCINA LOGIA]]=BD$2,100%,AVANCE[[#This Row],[IMPERMEABILIZACION BANO - COCINA LOGIA]])</f>
        <v>0</v>
      </c>
      <c r="CS631" s="40">
        <f ca="1">+IF(AVANCE[[#This Row],[ESTADO MODULO]]="PENDIENTE",(TODAY()-AVANCE[[#This Row],[FECHA TERMINO  PLANIFICADO]]),0)</f>
        <v>0</v>
      </c>
      <c r="CT631" s="41" t="str" cm="1">
        <f t="array" ref="CT631">_xlfn.TEXTJOIN(" | ",TRUE,IF(SUMPRODUCT((BG631:CR631&lt;1)*(PARTIDAS!$I$2:$AT$2="OBRA GRUESA"))&gt;0,"OBRA GRUESA: "&amp;_xlfn.TEXTJOIN(", ",TRUE,IF((BG631:CR631&lt;1)*(PARTIDAS!$I$2:$AT$2="OBRA GRUESA"),PARTIDAS!$I$1:$AT$1,"")),""),IF(SUMPRODUCT((BG631:CR631&lt;1)*(PARTIDAS!$I$2:$AT$2="SANITARIOS"))&gt;0,"SANITARIOS: "&amp;_xlfn.TEXTJOIN(", ",TRUE,IF((BG631:CR631&lt;1)*(PARTIDAS!$I$2:$AT$2="SANITARIOS"),PARTIDAS!$I$1:$AT$1,"")),""),IF(SUMPRODUCT((BG631:CR631&lt;1)*(PARTIDAS!$I$2:$AT$2="ELÉCTRICO"))&gt;0,"ELÉCTRICO: "&amp;_xlfn.TEXTJOIN(", ",TRUE,IF((BG631:CR631&lt;1)*(PARTIDAS!$I$2:$AT$2="ELÉCTRICO"),PARTIDAS!$I$1:$AT$1,"")),""),IF(SUMPRODUCT((BG631:CR631&lt;1)*(PARTIDAS!$I$2:$AT$2="TERMINACIONES"))&gt;0,"TERMINACIONES: "&amp;_xlfn.TEXTJOIN(", ",TRUE,IF((BG631:CR631&lt;1)*(PARTIDAS!$I$2:$AT$2="TERMINACIONES"),PARTIDAS!$I$1:$AT$1,"")),""))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1" s="43" t="str" cm="1">
        <f t="array" ref="CU631">_xlfn.TEXTJOIN(", ",TRUE,IF(SUMPRODUCT((BG631:CR631&lt;1)*(PARTIDAS!$I$2:$AT$2="OBRA GRUESA"))&gt;0,"OBRA GRUESA",""),IF(SUMPRODUCT((BG631:CR631&lt;1)*(PARTIDAS!$I$2:$AT$2="SANITARIOS"))&gt;0,"SANITARIOS",""),IF(SUMPRODUCT((BG631:CR631&lt;1)*(PARTIDAS!$I$2:$AT$2="ELÉCTRICO"))&gt;0,"ELÉCTRICO",""),IF(SUMPRODUCT((BG631:CR631&lt;1)*(PARTIDAS!$I$2:$AT$2="TERMINACIONES"))&gt;0,"TERMINACIONES",""))</f>
        <v>OBRA GRUESA, SANITARIOS, ELÉCTRICO, TERMINACIONES</v>
      </c>
      <c r="CV631" s="44" cm="1">
        <f t="array" ref="CV631">SUMPRODUCT(--(BG631:CR631&lt;1))</f>
        <v>38</v>
      </c>
    </row>
    <row r="632" spans="1:100" hidden="1" x14ac:dyDescent="0.25">
      <c r="A632" t="s">
        <v>685</v>
      </c>
      <c r="B632" t="s">
        <v>708</v>
      </c>
      <c r="C632">
        <v>2302600631</v>
      </c>
      <c r="D632" t="s">
        <v>60</v>
      </c>
      <c r="E632" s="2">
        <v>0</v>
      </c>
      <c r="F632" s="1">
        <v>46454</v>
      </c>
      <c r="G632" s="1"/>
      <c r="H632" s="1">
        <v>0</v>
      </c>
      <c r="I632" s="1">
        <v>46484</v>
      </c>
      <c r="J632">
        <v>46230</v>
      </c>
      <c r="K632" s="1"/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>
        <v>31.32</v>
      </c>
      <c r="BF632" s="3" t="str">
        <f>+IF(AVANCE[[#This Row],[% AVANCE]]=100%,"MODULO TERMINADO",IF(AVANCE[[#This Row],[FECHA INICIO REAL]]="","MODULO NO INICIADO","PENDIENTE"))</f>
        <v>MODULO NO INICIADO</v>
      </c>
      <c r="BG632" s="3">
        <f>+IF(AVANCE[[#This Row],[VENTANAS]]=8.10810810810811%,100%,AVANCE[[#This Row],[VENTANAS]])</f>
        <v>0</v>
      </c>
      <c r="BH632" s="3">
        <f>+IF(AVANCE[[#This Row],[PISO]]=N$2,100%,AVANCE[[#This Row],[PISO]])</f>
        <v>0</v>
      </c>
      <c r="BI632" s="3">
        <f>+IF(AVANCE[[#This Row],[TABIQUES]]=O$2,100%,AVANCE[[#This Row],[TABIQUES]])</f>
        <v>0</v>
      </c>
      <c r="BJ632" s="3">
        <f>+IF(AVANCE[[#This Row],[MUROS]]=P$2,100%,AVANCE[[#This Row],[MUROS]])</f>
        <v>0</v>
      </c>
      <c r="BK632" s="3">
        <f>+IF(AVANCE[[#This Row],[CIELO]]=Q$2,100%,AVANCE[[#This Row],[CIELO]])</f>
        <v>0</v>
      </c>
      <c r="BL632" s="3">
        <f>+IF(AVANCE[[#This Row],[BALCÓN]]=R$2,100%,AVANCE[[#This Row],[BALCÓN]])</f>
        <v>0</v>
      </c>
      <c r="BM632" s="3">
        <f>+IF(AVANCE[[#This Row],[RED ALCANTARILLADO]]=U$2,100%,AVANCE[[#This Row],[RED ALCANTARILLADO]])</f>
        <v>0</v>
      </c>
      <c r="BN632" s="3">
        <f>+IF(AVANCE[[#This Row],[RED DE AGUA]]=V$2,100%,AVANCE[[#This Row],[RED DE AGUA]])</f>
        <v>0</v>
      </c>
      <c r="BO632" s="3">
        <f>+IF(AVANCE[[#This Row],[VENTILACIONES]]=W$2,100%,AVANCE[[#This Row],[VENTILACIONES]])</f>
        <v>0</v>
      </c>
      <c r="BP632" s="3">
        <f>+IF(AVANCE[[#This Row],[TINA]]=X$2,100%,AVANCE[[#This Row],[TINA]])</f>
        <v>0</v>
      </c>
      <c r="BQ632" s="3">
        <f>+IF(AVANCE[[#This Row],[WC]]=Y$2,100%,AVANCE[[#This Row],[WC]])</f>
        <v>0</v>
      </c>
      <c r="BR632" s="3">
        <f>+IF(AVANCE[[#This Row],[LAVAMANOS / LAVAPLATOS / LAVADERO]]=Z$2,100%,AVANCE[[#This Row],[LAVAMANOS / LAVAPLATOS / LAVADERO]])</f>
        <v>0</v>
      </c>
      <c r="BS632" s="3">
        <f>+IF(AVANCE[[#This Row],[CANALIZACIÓN]]=AC$2,100%,AVANCE[[#This Row],[CANALIZACIÓN]])</f>
        <v>0</v>
      </c>
      <c r="BT632" s="3">
        <f>+IF(AVANCE[[#This Row],[CABLEADO]]=AD$2,100%,AVANCE[[#This Row],[CABLEADO]])</f>
        <v>0</v>
      </c>
      <c r="BU632" s="3">
        <f>+IF(AVANCE[[#This Row],[ARTEFACTOS]]=AE$2,100%,AVANCE[[#This Row],[ARTEFACTOS]])</f>
        <v>0</v>
      </c>
      <c r="BV632" s="3">
        <f>+IF(AVANCE[[#This Row],[TABLERO]]=AF$2,100%,AVANCE[[#This Row],[TABLERO]])</f>
        <v>0</v>
      </c>
      <c r="BW632" s="3">
        <f>+IF(AVANCE[[#This Row],[CAJA PAU]]=AG$2,100%,AVANCE[[#This Row],[CAJA PAU]])</f>
        <v>0</v>
      </c>
      <c r="BX632" s="3">
        <f>+IF(AVANCE[[#This Row],[INSTALACION VINILICO]]=AJ$2,100%,AVANCE[[#This Row],[INSTALACION VINILICO]])</f>
        <v>0</v>
      </c>
      <c r="BY632" s="3">
        <f>+IF(AVANCE[[#This Row],[OSB CUBIERTA]]=AK$2,100%,AVANCE[[#This Row],[OSB CUBIERTA]])</f>
        <v>0</v>
      </c>
      <c r="BZ632" s="3">
        <f>+IF(AVANCE[[#This Row],[BARANDA BALCON]]=AL$2,100%,AVANCE[[#This Row],[BARANDA BALCON]])</f>
        <v>0</v>
      </c>
      <c r="CA632" s="3">
        <f>+IF(AVANCE[[#This Row],[OSB EXTERIOR]]=AM$2,100%,AVANCE[[#This Row],[OSB EXTERIOR]])</f>
        <v>0</v>
      </c>
      <c r="CB632" s="3">
        <f>+IF(AVANCE[[#This Row],[SMART PANEL]]=AN$2,100%,AVANCE[[#This Row],[SMART PANEL]])</f>
        <v>0</v>
      </c>
      <c r="CC632" s="3">
        <f>+IF(AVANCE[[#This Row],[PINTURA EXTERIOR]]=AO$2,100%,AVANCE[[#This Row],[PINTURA EXTERIOR]])</f>
        <v>0</v>
      </c>
      <c r="CD632" s="3">
        <f>+IF(AVANCE[[#This Row],[ZOCALOS LOGIA]]=AP$2,100%,AVANCE[[#This Row],[ZOCALOS LOGIA]])</f>
        <v>0</v>
      </c>
      <c r="CE632" s="3">
        <f>+IF(AVANCE[[#This Row],[MOLDURAS]]=AQ$2,100%,AVANCE[[#This Row],[MOLDURAS]])</f>
        <v>0</v>
      </c>
      <c r="CF632" s="3">
        <f>+IF(AVANCE[[#This Row],[PILASTREO]]=AR$2,100%,AVANCE[[#This Row],[PILASTREO]])</f>
        <v>0</v>
      </c>
      <c r="CG632" s="3">
        <f>+IF(AVANCE[[#This Row],[CELOSIAS]]=AS$2,100%,AVANCE[[#This Row],[CELOSIAS]])</f>
        <v>0</v>
      </c>
      <c r="CH632" s="3">
        <f>+IF(AVANCE[[#This Row],[VENTANAS]]=AT$2,100%,AVANCE[[#This Row],[VENTANAS]])</f>
        <v>0</v>
      </c>
      <c r="CI632" s="3">
        <f>+IF(AVANCE[[#This Row],[PUERTAS ACCESO - LOGIA - BANO]]=AU$2,100%,AVANCE[[#This Row],[PUERTAS ACCESO - LOGIA - BANO]])</f>
        <v>0</v>
      </c>
      <c r="CJ632" s="3">
        <f>+IF(AVANCE[[#This Row],[CERRADURAS]]=AV$2,100%,AVANCE[[#This Row],[CERRADURAS]])</f>
        <v>0</v>
      </c>
      <c r="CK632" s="3">
        <f>+IF(AVANCE[[#This Row],[REVESTIMIENTO INTERIOR ZONA SECA]]=AW$2,100%,AVANCE[[#This Row],[REVESTIMIENTO INTERIOR ZONA SECA]])</f>
        <v>0</v>
      </c>
      <c r="CL632" s="3">
        <f>+IF(AVANCE[[#This Row],[REVESTIMIENTO INTERIOR ZONAS HUMEDAS]]=AX$2,100%,AVANCE[[#This Row],[REVESTIMIENTO INTERIOR ZONAS HUMEDAS]])</f>
        <v>0</v>
      </c>
      <c r="CM632" s="3">
        <f>+IF(AVANCE[[#This Row],[MEMBRANA CIELO]]=AY$2,100%,AVANCE[[#This Row],[MEMBRANA CIELO]])</f>
        <v>0</v>
      </c>
      <c r="CN632" s="3">
        <f>+IF(AVANCE[[#This Row],[LIMPIEZA FINAL]]=AZ$2,100%,AVANCE[[#This Row],[LIMPIEZA FINAL]])</f>
        <v>0</v>
      </c>
      <c r="CO632" s="3">
        <f>+IF(AVANCE[[#This Row],[PUERTAS DORMITORIO]]=BA$2,100%,AVANCE[[#This Row],[PUERTAS DORMITORIO]])</f>
        <v>0</v>
      </c>
      <c r="CP632" s="3">
        <f>+IF(AVANCE[[#This Row],[REVESTIMIENTO INTERIOR BANO]]=BB$2,100%,AVANCE[[#This Row],[REVESTIMIENTO INTERIOR BANO]])</f>
        <v>0</v>
      </c>
      <c r="CQ632" s="3">
        <f>+IF(AVANCE[[#This Row],[MUEBLE LAVAPLATOS]]=BC$2,100%,AVANCE[[#This Row],[MUEBLE LAVAPLATOS]])</f>
        <v>0</v>
      </c>
      <c r="CR632" s="3">
        <f>+IF(AVANCE[[#This Row],[IMPERMEABILIZACION BANO - COCINA LOGIA]]=BD$2,100%,AVANCE[[#This Row],[IMPERMEABILIZACION BANO - COCINA LOGIA]])</f>
        <v>0</v>
      </c>
      <c r="CS632" s="40">
        <f ca="1">+IF(AVANCE[[#This Row],[ESTADO MODULO]]="PENDIENTE",(TODAY()-AVANCE[[#This Row],[FECHA TERMINO  PLANIFICADO]]),0)</f>
        <v>0</v>
      </c>
      <c r="CT632" s="41" t="str" cm="1">
        <f t="array" ref="CT632">_xlfn.TEXTJOIN(" | ",TRUE,IF(SUMPRODUCT((BG632:CR632&lt;1)*(PARTIDAS!$I$2:$AT$2="OBRA GRUESA"))&gt;0,"OBRA GRUESA: "&amp;_xlfn.TEXTJOIN(", ",TRUE,IF((BG632:CR632&lt;1)*(PARTIDAS!$I$2:$AT$2="OBRA GRUESA"),PARTIDAS!$I$1:$AT$1,"")),""),IF(SUMPRODUCT((BG632:CR632&lt;1)*(PARTIDAS!$I$2:$AT$2="SANITARIOS"))&gt;0,"SANITARIOS: "&amp;_xlfn.TEXTJOIN(", ",TRUE,IF((BG632:CR632&lt;1)*(PARTIDAS!$I$2:$AT$2="SANITARIOS"),PARTIDAS!$I$1:$AT$1,"")),""),IF(SUMPRODUCT((BG632:CR632&lt;1)*(PARTIDAS!$I$2:$AT$2="ELÉCTRICO"))&gt;0,"ELÉCTRICO: "&amp;_xlfn.TEXTJOIN(", ",TRUE,IF((BG632:CR632&lt;1)*(PARTIDAS!$I$2:$AT$2="ELÉCTRICO"),PARTIDAS!$I$1:$AT$1,"")),""),IF(SUMPRODUCT((BG632:CR632&lt;1)*(PARTIDAS!$I$2:$AT$2="TERMINACIONES"))&gt;0,"TERMINACIONES: "&amp;_xlfn.TEXTJOIN(", ",TRUE,IF((BG632:CR632&lt;1)*(PARTIDAS!$I$2:$AT$2="TERMINACIONES"),PARTIDAS!$I$1:$AT$1,"")),""))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2" s="43" t="str" cm="1">
        <f t="array" ref="CU632">_xlfn.TEXTJOIN(", ",TRUE,IF(SUMPRODUCT((BG632:CR632&lt;1)*(PARTIDAS!$I$2:$AT$2="OBRA GRUESA"))&gt;0,"OBRA GRUESA",""),IF(SUMPRODUCT((BG632:CR632&lt;1)*(PARTIDAS!$I$2:$AT$2="SANITARIOS"))&gt;0,"SANITARIOS",""),IF(SUMPRODUCT((BG632:CR632&lt;1)*(PARTIDAS!$I$2:$AT$2="ELÉCTRICO"))&gt;0,"ELÉCTRICO",""),IF(SUMPRODUCT((BG632:CR632&lt;1)*(PARTIDAS!$I$2:$AT$2="TERMINACIONES"))&gt;0,"TERMINACIONES",""))</f>
        <v>OBRA GRUESA, SANITARIOS, ELÉCTRICO, TERMINACIONES</v>
      </c>
      <c r="CV632" s="44" cm="1">
        <f t="array" ref="CV632">SUMPRODUCT(--(BG632:CR632&lt;1))</f>
        <v>38</v>
      </c>
    </row>
    <row r="633" spans="1:100" hidden="1" x14ac:dyDescent="0.25">
      <c r="A633" t="s">
        <v>685</v>
      </c>
      <c r="B633" t="s">
        <v>709</v>
      </c>
      <c r="C633">
        <v>2282600632</v>
      </c>
      <c r="D633" t="s">
        <v>58</v>
      </c>
      <c r="E633" s="2">
        <v>0</v>
      </c>
      <c r="F633" s="1">
        <v>46455</v>
      </c>
      <c r="G633" s="1"/>
      <c r="H633" s="1">
        <v>0</v>
      </c>
      <c r="I633" s="1">
        <v>46475</v>
      </c>
      <c r="J633">
        <v>46230</v>
      </c>
      <c r="K633" s="1"/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>
        <v>28.87</v>
      </c>
      <c r="BF633" s="3" t="str">
        <f>+IF(AVANCE[[#This Row],[% AVANCE]]=100%,"MODULO TERMINADO",IF(AVANCE[[#This Row],[FECHA INICIO REAL]]="","MODULO NO INICIADO","PENDIENTE"))</f>
        <v>MODULO NO INICIADO</v>
      </c>
      <c r="BG633" s="3">
        <f>+IF(AVANCE[[#This Row],[VENTANAS]]=8.10810810810811%,100%,AVANCE[[#This Row],[VENTANAS]])</f>
        <v>0</v>
      </c>
      <c r="BH633" s="3">
        <f>+IF(AVANCE[[#This Row],[PISO]]=N$2,100%,AVANCE[[#This Row],[PISO]])</f>
        <v>0</v>
      </c>
      <c r="BI633" s="3">
        <f>+IF(AVANCE[[#This Row],[TABIQUES]]=O$2,100%,AVANCE[[#This Row],[TABIQUES]])</f>
        <v>0</v>
      </c>
      <c r="BJ633" s="3">
        <f>+IF(AVANCE[[#This Row],[MUROS]]=P$2,100%,AVANCE[[#This Row],[MUROS]])</f>
        <v>0</v>
      </c>
      <c r="BK633" s="3">
        <f>+IF(AVANCE[[#This Row],[CIELO]]=Q$2,100%,AVANCE[[#This Row],[CIELO]])</f>
        <v>0</v>
      </c>
      <c r="BL633" s="3">
        <f>+IF(AVANCE[[#This Row],[BALCÓN]]=R$2,100%,AVANCE[[#This Row],[BALCÓN]])</f>
        <v>0</v>
      </c>
      <c r="BM633" s="3">
        <f>+IF(AVANCE[[#This Row],[RED ALCANTARILLADO]]=U$2,100%,AVANCE[[#This Row],[RED ALCANTARILLADO]])</f>
        <v>0</v>
      </c>
      <c r="BN633" s="3">
        <f>+IF(AVANCE[[#This Row],[RED DE AGUA]]=V$2,100%,AVANCE[[#This Row],[RED DE AGUA]])</f>
        <v>0</v>
      </c>
      <c r="BO633" s="3">
        <f>+IF(AVANCE[[#This Row],[VENTILACIONES]]=W$2,100%,AVANCE[[#This Row],[VENTILACIONES]])</f>
        <v>0</v>
      </c>
      <c r="BP633" s="3">
        <f>+IF(AVANCE[[#This Row],[TINA]]=X$2,100%,AVANCE[[#This Row],[TINA]])</f>
        <v>0</v>
      </c>
      <c r="BQ633" s="3">
        <f>+IF(AVANCE[[#This Row],[WC]]=Y$2,100%,AVANCE[[#This Row],[WC]])</f>
        <v>0</v>
      </c>
      <c r="BR633" s="3">
        <f>+IF(AVANCE[[#This Row],[LAVAMANOS / LAVAPLATOS / LAVADERO]]=Z$2,100%,AVANCE[[#This Row],[LAVAMANOS / LAVAPLATOS / LAVADERO]])</f>
        <v>0</v>
      </c>
      <c r="BS633" s="3">
        <f>+IF(AVANCE[[#This Row],[CANALIZACIÓN]]=AC$2,100%,AVANCE[[#This Row],[CANALIZACIÓN]])</f>
        <v>0</v>
      </c>
      <c r="BT633" s="3">
        <f>+IF(AVANCE[[#This Row],[CABLEADO]]=AD$2,100%,AVANCE[[#This Row],[CABLEADO]])</f>
        <v>0</v>
      </c>
      <c r="BU633" s="3">
        <f>+IF(AVANCE[[#This Row],[ARTEFACTOS]]=AE$2,100%,AVANCE[[#This Row],[ARTEFACTOS]])</f>
        <v>0</v>
      </c>
      <c r="BV633" s="3">
        <f>+IF(AVANCE[[#This Row],[TABLERO]]=AF$2,100%,AVANCE[[#This Row],[TABLERO]])</f>
        <v>0</v>
      </c>
      <c r="BW633" s="3">
        <f>+IF(AVANCE[[#This Row],[CAJA PAU]]=AG$2,100%,AVANCE[[#This Row],[CAJA PAU]])</f>
        <v>0</v>
      </c>
      <c r="BX633" s="3">
        <f>+IF(AVANCE[[#This Row],[INSTALACION VINILICO]]=AJ$2,100%,AVANCE[[#This Row],[INSTALACION VINILICO]])</f>
        <v>0</v>
      </c>
      <c r="BY633" s="3">
        <f>+IF(AVANCE[[#This Row],[OSB CUBIERTA]]=AK$2,100%,AVANCE[[#This Row],[OSB CUBIERTA]])</f>
        <v>0</v>
      </c>
      <c r="BZ633" s="3">
        <f>+IF(AVANCE[[#This Row],[BARANDA BALCON]]=AL$2,100%,AVANCE[[#This Row],[BARANDA BALCON]])</f>
        <v>0</v>
      </c>
      <c r="CA633" s="3">
        <f>+IF(AVANCE[[#This Row],[OSB EXTERIOR]]=AM$2,100%,AVANCE[[#This Row],[OSB EXTERIOR]])</f>
        <v>0</v>
      </c>
      <c r="CB633" s="3">
        <f>+IF(AVANCE[[#This Row],[SMART PANEL]]=AN$2,100%,AVANCE[[#This Row],[SMART PANEL]])</f>
        <v>0</v>
      </c>
      <c r="CC633" s="3">
        <f>+IF(AVANCE[[#This Row],[PINTURA EXTERIOR]]=AO$2,100%,AVANCE[[#This Row],[PINTURA EXTERIOR]])</f>
        <v>0</v>
      </c>
      <c r="CD633" s="3">
        <f>+IF(AVANCE[[#This Row],[ZOCALOS LOGIA]]=AP$2,100%,AVANCE[[#This Row],[ZOCALOS LOGIA]])</f>
        <v>0</v>
      </c>
      <c r="CE633" s="3">
        <f>+IF(AVANCE[[#This Row],[MOLDURAS]]=AQ$2,100%,AVANCE[[#This Row],[MOLDURAS]])</f>
        <v>0</v>
      </c>
      <c r="CF633" s="3">
        <f>+IF(AVANCE[[#This Row],[PILASTREO]]=AR$2,100%,AVANCE[[#This Row],[PILASTREO]])</f>
        <v>0</v>
      </c>
      <c r="CG633" s="3">
        <f>+IF(AVANCE[[#This Row],[CELOSIAS]]=AS$2,100%,AVANCE[[#This Row],[CELOSIAS]])</f>
        <v>0</v>
      </c>
      <c r="CH633" s="3">
        <f>+IF(AVANCE[[#This Row],[VENTANAS]]=AT$2,100%,AVANCE[[#This Row],[VENTANAS]])</f>
        <v>0</v>
      </c>
      <c r="CI633" s="3">
        <f>+IF(AVANCE[[#This Row],[PUERTAS ACCESO - LOGIA - BANO]]=AU$2,100%,AVANCE[[#This Row],[PUERTAS ACCESO - LOGIA - BANO]])</f>
        <v>0</v>
      </c>
      <c r="CJ633" s="3">
        <f>+IF(AVANCE[[#This Row],[CERRADURAS]]=AV$2,100%,AVANCE[[#This Row],[CERRADURAS]])</f>
        <v>0</v>
      </c>
      <c r="CK633" s="3">
        <f>+IF(AVANCE[[#This Row],[REVESTIMIENTO INTERIOR ZONA SECA]]=AW$2,100%,AVANCE[[#This Row],[REVESTIMIENTO INTERIOR ZONA SECA]])</f>
        <v>0</v>
      </c>
      <c r="CL633" s="3">
        <f>+IF(AVANCE[[#This Row],[REVESTIMIENTO INTERIOR ZONAS HUMEDAS]]=AX$2,100%,AVANCE[[#This Row],[REVESTIMIENTO INTERIOR ZONAS HUMEDAS]])</f>
        <v>0</v>
      </c>
      <c r="CM633" s="3">
        <f>+IF(AVANCE[[#This Row],[MEMBRANA CIELO]]=AY$2,100%,AVANCE[[#This Row],[MEMBRANA CIELO]])</f>
        <v>0</v>
      </c>
      <c r="CN633" s="3">
        <f>+IF(AVANCE[[#This Row],[LIMPIEZA FINAL]]=AZ$2,100%,AVANCE[[#This Row],[LIMPIEZA FINAL]])</f>
        <v>0</v>
      </c>
      <c r="CO633" s="3">
        <f>+IF(AVANCE[[#This Row],[PUERTAS DORMITORIO]]=BA$2,100%,AVANCE[[#This Row],[PUERTAS DORMITORIO]])</f>
        <v>0</v>
      </c>
      <c r="CP633" s="3">
        <f>+IF(AVANCE[[#This Row],[REVESTIMIENTO INTERIOR BANO]]=BB$2,100%,AVANCE[[#This Row],[REVESTIMIENTO INTERIOR BANO]])</f>
        <v>0</v>
      </c>
      <c r="CQ633" s="3">
        <f>+IF(AVANCE[[#This Row],[MUEBLE LAVAPLATOS]]=BC$2,100%,AVANCE[[#This Row],[MUEBLE LAVAPLATOS]])</f>
        <v>0</v>
      </c>
      <c r="CR633" s="3">
        <f>+IF(AVANCE[[#This Row],[IMPERMEABILIZACION BANO - COCINA LOGIA]]=BD$2,100%,AVANCE[[#This Row],[IMPERMEABILIZACION BANO - COCINA LOGIA]])</f>
        <v>0</v>
      </c>
      <c r="CS633" s="40">
        <f ca="1">+IF(AVANCE[[#This Row],[ESTADO MODULO]]="PENDIENTE",(TODAY()-AVANCE[[#This Row],[FECHA TERMINO  PLANIFICADO]]),0)</f>
        <v>0</v>
      </c>
      <c r="CT633" s="41" t="str" cm="1">
        <f t="array" ref="CT633">_xlfn.TEXTJOIN(" | ",TRUE,IF(SUMPRODUCT((BG633:CR633&lt;1)*(PARTIDAS!$I$2:$AT$2="OBRA GRUESA"))&gt;0,"OBRA GRUESA: "&amp;_xlfn.TEXTJOIN(", ",TRUE,IF((BG633:CR633&lt;1)*(PARTIDAS!$I$2:$AT$2="OBRA GRUESA"),PARTIDAS!$I$1:$AT$1,"")),""),IF(SUMPRODUCT((BG633:CR633&lt;1)*(PARTIDAS!$I$2:$AT$2="SANITARIOS"))&gt;0,"SANITARIOS: "&amp;_xlfn.TEXTJOIN(", ",TRUE,IF((BG633:CR633&lt;1)*(PARTIDAS!$I$2:$AT$2="SANITARIOS"),PARTIDAS!$I$1:$AT$1,"")),""),IF(SUMPRODUCT((BG633:CR633&lt;1)*(PARTIDAS!$I$2:$AT$2="ELÉCTRICO"))&gt;0,"ELÉCTRICO: "&amp;_xlfn.TEXTJOIN(", ",TRUE,IF((BG633:CR633&lt;1)*(PARTIDAS!$I$2:$AT$2="ELÉCTRICO"),PARTIDAS!$I$1:$AT$1,"")),""),IF(SUMPRODUCT((BG633:CR633&lt;1)*(PARTIDAS!$I$2:$AT$2="TERMINACIONES"))&gt;0,"TERMINACIONES: "&amp;_xlfn.TEXTJOIN(", ",TRUE,IF((BG633:CR633&lt;1)*(PARTIDAS!$I$2:$AT$2="TERMINACIONES"),PARTIDAS!$I$1:$AT$1,"")),""))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3" s="43" t="str" cm="1">
        <f t="array" ref="CU633">_xlfn.TEXTJOIN(", ",TRUE,IF(SUMPRODUCT((BG633:CR633&lt;1)*(PARTIDAS!$I$2:$AT$2="OBRA GRUESA"))&gt;0,"OBRA GRUESA",""),IF(SUMPRODUCT((BG633:CR633&lt;1)*(PARTIDAS!$I$2:$AT$2="SANITARIOS"))&gt;0,"SANITARIOS",""),IF(SUMPRODUCT((BG633:CR633&lt;1)*(PARTIDAS!$I$2:$AT$2="ELÉCTRICO"))&gt;0,"ELÉCTRICO",""),IF(SUMPRODUCT((BG633:CR633&lt;1)*(PARTIDAS!$I$2:$AT$2="TERMINACIONES"))&gt;0,"TERMINACIONES",""))</f>
        <v>OBRA GRUESA, SANITARIOS, ELÉCTRICO, TERMINACIONES</v>
      </c>
      <c r="CV633" s="44" cm="1">
        <f t="array" ref="CV633">SUMPRODUCT(--(BG633:CR633&lt;1))</f>
        <v>38</v>
      </c>
    </row>
    <row r="634" spans="1:100" hidden="1" x14ac:dyDescent="0.25">
      <c r="A634" t="s">
        <v>685</v>
      </c>
      <c r="B634" t="s">
        <v>710</v>
      </c>
      <c r="C634">
        <v>2282600633</v>
      </c>
      <c r="D634" t="s">
        <v>58</v>
      </c>
      <c r="E634" s="2">
        <v>0</v>
      </c>
      <c r="F634" s="1">
        <v>46455</v>
      </c>
      <c r="G634" s="1"/>
      <c r="H634" s="1">
        <v>0</v>
      </c>
      <c r="I634" s="1">
        <v>46475</v>
      </c>
      <c r="J634">
        <v>46230</v>
      </c>
      <c r="K634" s="1"/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>
        <v>28.87</v>
      </c>
      <c r="BF634" s="3" t="str">
        <f>+IF(AVANCE[[#This Row],[% AVANCE]]=100%,"MODULO TERMINADO",IF(AVANCE[[#This Row],[FECHA INICIO REAL]]="","MODULO NO INICIADO","PENDIENTE"))</f>
        <v>MODULO NO INICIADO</v>
      </c>
      <c r="BG634" s="3">
        <f>+IF(AVANCE[[#This Row],[VENTANAS]]=8.10810810810811%,100%,AVANCE[[#This Row],[VENTANAS]])</f>
        <v>0</v>
      </c>
      <c r="BH634" s="3">
        <f>+IF(AVANCE[[#This Row],[PISO]]=N$2,100%,AVANCE[[#This Row],[PISO]])</f>
        <v>0</v>
      </c>
      <c r="BI634" s="3">
        <f>+IF(AVANCE[[#This Row],[TABIQUES]]=O$2,100%,AVANCE[[#This Row],[TABIQUES]])</f>
        <v>0</v>
      </c>
      <c r="BJ634" s="3">
        <f>+IF(AVANCE[[#This Row],[MUROS]]=P$2,100%,AVANCE[[#This Row],[MUROS]])</f>
        <v>0</v>
      </c>
      <c r="BK634" s="3">
        <f>+IF(AVANCE[[#This Row],[CIELO]]=Q$2,100%,AVANCE[[#This Row],[CIELO]])</f>
        <v>0</v>
      </c>
      <c r="BL634" s="3">
        <f>+IF(AVANCE[[#This Row],[BALCÓN]]=R$2,100%,AVANCE[[#This Row],[BALCÓN]])</f>
        <v>0</v>
      </c>
      <c r="BM634" s="3">
        <f>+IF(AVANCE[[#This Row],[RED ALCANTARILLADO]]=U$2,100%,AVANCE[[#This Row],[RED ALCANTARILLADO]])</f>
        <v>0</v>
      </c>
      <c r="BN634" s="3">
        <f>+IF(AVANCE[[#This Row],[RED DE AGUA]]=V$2,100%,AVANCE[[#This Row],[RED DE AGUA]])</f>
        <v>0</v>
      </c>
      <c r="BO634" s="3">
        <f>+IF(AVANCE[[#This Row],[VENTILACIONES]]=W$2,100%,AVANCE[[#This Row],[VENTILACIONES]])</f>
        <v>0</v>
      </c>
      <c r="BP634" s="3">
        <f>+IF(AVANCE[[#This Row],[TINA]]=X$2,100%,AVANCE[[#This Row],[TINA]])</f>
        <v>0</v>
      </c>
      <c r="BQ634" s="3">
        <f>+IF(AVANCE[[#This Row],[WC]]=Y$2,100%,AVANCE[[#This Row],[WC]])</f>
        <v>0</v>
      </c>
      <c r="BR634" s="3">
        <f>+IF(AVANCE[[#This Row],[LAVAMANOS / LAVAPLATOS / LAVADERO]]=Z$2,100%,AVANCE[[#This Row],[LAVAMANOS / LAVAPLATOS / LAVADERO]])</f>
        <v>0</v>
      </c>
      <c r="BS634" s="3">
        <f>+IF(AVANCE[[#This Row],[CANALIZACIÓN]]=AC$2,100%,AVANCE[[#This Row],[CANALIZACIÓN]])</f>
        <v>0</v>
      </c>
      <c r="BT634" s="3">
        <f>+IF(AVANCE[[#This Row],[CABLEADO]]=AD$2,100%,AVANCE[[#This Row],[CABLEADO]])</f>
        <v>0</v>
      </c>
      <c r="BU634" s="3">
        <f>+IF(AVANCE[[#This Row],[ARTEFACTOS]]=AE$2,100%,AVANCE[[#This Row],[ARTEFACTOS]])</f>
        <v>0</v>
      </c>
      <c r="BV634" s="3">
        <f>+IF(AVANCE[[#This Row],[TABLERO]]=AF$2,100%,AVANCE[[#This Row],[TABLERO]])</f>
        <v>0</v>
      </c>
      <c r="BW634" s="3">
        <f>+IF(AVANCE[[#This Row],[CAJA PAU]]=AG$2,100%,AVANCE[[#This Row],[CAJA PAU]])</f>
        <v>0</v>
      </c>
      <c r="BX634" s="3">
        <f>+IF(AVANCE[[#This Row],[INSTALACION VINILICO]]=AJ$2,100%,AVANCE[[#This Row],[INSTALACION VINILICO]])</f>
        <v>0</v>
      </c>
      <c r="BY634" s="3">
        <f>+IF(AVANCE[[#This Row],[OSB CUBIERTA]]=AK$2,100%,AVANCE[[#This Row],[OSB CUBIERTA]])</f>
        <v>0</v>
      </c>
      <c r="BZ634" s="3">
        <f>+IF(AVANCE[[#This Row],[BARANDA BALCON]]=AL$2,100%,AVANCE[[#This Row],[BARANDA BALCON]])</f>
        <v>0</v>
      </c>
      <c r="CA634" s="3">
        <f>+IF(AVANCE[[#This Row],[OSB EXTERIOR]]=AM$2,100%,AVANCE[[#This Row],[OSB EXTERIOR]])</f>
        <v>0</v>
      </c>
      <c r="CB634" s="3">
        <f>+IF(AVANCE[[#This Row],[SMART PANEL]]=AN$2,100%,AVANCE[[#This Row],[SMART PANEL]])</f>
        <v>0</v>
      </c>
      <c r="CC634" s="3">
        <f>+IF(AVANCE[[#This Row],[PINTURA EXTERIOR]]=AO$2,100%,AVANCE[[#This Row],[PINTURA EXTERIOR]])</f>
        <v>0</v>
      </c>
      <c r="CD634" s="3">
        <f>+IF(AVANCE[[#This Row],[ZOCALOS LOGIA]]=AP$2,100%,AVANCE[[#This Row],[ZOCALOS LOGIA]])</f>
        <v>0</v>
      </c>
      <c r="CE634" s="3">
        <f>+IF(AVANCE[[#This Row],[MOLDURAS]]=AQ$2,100%,AVANCE[[#This Row],[MOLDURAS]])</f>
        <v>0</v>
      </c>
      <c r="CF634" s="3">
        <f>+IF(AVANCE[[#This Row],[PILASTREO]]=AR$2,100%,AVANCE[[#This Row],[PILASTREO]])</f>
        <v>0</v>
      </c>
      <c r="CG634" s="3">
        <f>+IF(AVANCE[[#This Row],[CELOSIAS]]=AS$2,100%,AVANCE[[#This Row],[CELOSIAS]])</f>
        <v>0</v>
      </c>
      <c r="CH634" s="3">
        <f>+IF(AVANCE[[#This Row],[VENTANAS]]=AT$2,100%,AVANCE[[#This Row],[VENTANAS]])</f>
        <v>0</v>
      </c>
      <c r="CI634" s="3">
        <f>+IF(AVANCE[[#This Row],[PUERTAS ACCESO - LOGIA - BANO]]=AU$2,100%,AVANCE[[#This Row],[PUERTAS ACCESO - LOGIA - BANO]])</f>
        <v>0</v>
      </c>
      <c r="CJ634" s="3">
        <f>+IF(AVANCE[[#This Row],[CERRADURAS]]=AV$2,100%,AVANCE[[#This Row],[CERRADURAS]])</f>
        <v>0</v>
      </c>
      <c r="CK634" s="3">
        <f>+IF(AVANCE[[#This Row],[REVESTIMIENTO INTERIOR ZONA SECA]]=AW$2,100%,AVANCE[[#This Row],[REVESTIMIENTO INTERIOR ZONA SECA]])</f>
        <v>0</v>
      </c>
      <c r="CL634" s="3">
        <f>+IF(AVANCE[[#This Row],[REVESTIMIENTO INTERIOR ZONAS HUMEDAS]]=AX$2,100%,AVANCE[[#This Row],[REVESTIMIENTO INTERIOR ZONAS HUMEDAS]])</f>
        <v>0</v>
      </c>
      <c r="CM634" s="3">
        <f>+IF(AVANCE[[#This Row],[MEMBRANA CIELO]]=AY$2,100%,AVANCE[[#This Row],[MEMBRANA CIELO]])</f>
        <v>0</v>
      </c>
      <c r="CN634" s="3">
        <f>+IF(AVANCE[[#This Row],[LIMPIEZA FINAL]]=AZ$2,100%,AVANCE[[#This Row],[LIMPIEZA FINAL]])</f>
        <v>0</v>
      </c>
      <c r="CO634" s="3">
        <f>+IF(AVANCE[[#This Row],[PUERTAS DORMITORIO]]=BA$2,100%,AVANCE[[#This Row],[PUERTAS DORMITORIO]])</f>
        <v>0</v>
      </c>
      <c r="CP634" s="3">
        <f>+IF(AVANCE[[#This Row],[REVESTIMIENTO INTERIOR BANO]]=BB$2,100%,AVANCE[[#This Row],[REVESTIMIENTO INTERIOR BANO]])</f>
        <v>0</v>
      </c>
      <c r="CQ634" s="3">
        <f>+IF(AVANCE[[#This Row],[MUEBLE LAVAPLATOS]]=BC$2,100%,AVANCE[[#This Row],[MUEBLE LAVAPLATOS]])</f>
        <v>0</v>
      </c>
      <c r="CR634" s="3">
        <f>+IF(AVANCE[[#This Row],[IMPERMEABILIZACION BANO - COCINA LOGIA]]=BD$2,100%,AVANCE[[#This Row],[IMPERMEABILIZACION BANO - COCINA LOGIA]])</f>
        <v>0</v>
      </c>
      <c r="CS634" s="40">
        <f ca="1">+IF(AVANCE[[#This Row],[ESTADO MODULO]]="PENDIENTE",(TODAY()-AVANCE[[#This Row],[FECHA TERMINO  PLANIFICADO]]),0)</f>
        <v>0</v>
      </c>
      <c r="CT634" s="41" t="str" cm="1">
        <f t="array" ref="CT634">_xlfn.TEXTJOIN(" | ",TRUE,IF(SUMPRODUCT((BG634:CR634&lt;1)*(PARTIDAS!$I$2:$AT$2="OBRA GRUESA"))&gt;0,"OBRA GRUESA: "&amp;_xlfn.TEXTJOIN(", ",TRUE,IF((BG634:CR634&lt;1)*(PARTIDAS!$I$2:$AT$2="OBRA GRUESA"),PARTIDAS!$I$1:$AT$1,"")),""),IF(SUMPRODUCT((BG634:CR634&lt;1)*(PARTIDAS!$I$2:$AT$2="SANITARIOS"))&gt;0,"SANITARIOS: "&amp;_xlfn.TEXTJOIN(", ",TRUE,IF((BG634:CR634&lt;1)*(PARTIDAS!$I$2:$AT$2="SANITARIOS"),PARTIDAS!$I$1:$AT$1,"")),""),IF(SUMPRODUCT((BG634:CR634&lt;1)*(PARTIDAS!$I$2:$AT$2="ELÉCTRICO"))&gt;0,"ELÉCTRICO: "&amp;_xlfn.TEXTJOIN(", ",TRUE,IF((BG634:CR634&lt;1)*(PARTIDAS!$I$2:$AT$2="ELÉCTRICO"),PARTIDAS!$I$1:$AT$1,"")),""),IF(SUMPRODUCT((BG634:CR634&lt;1)*(PARTIDAS!$I$2:$AT$2="TERMINACIONES"))&gt;0,"TERMINACIONES: "&amp;_xlfn.TEXTJOIN(", ",TRUE,IF((BG634:CR634&lt;1)*(PARTIDAS!$I$2:$AT$2="TERMINACIONES"),PARTIDAS!$I$1:$AT$1,"")),""))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4" s="43" t="str" cm="1">
        <f t="array" ref="CU634">_xlfn.TEXTJOIN(", ",TRUE,IF(SUMPRODUCT((BG634:CR634&lt;1)*(PARTIDAS!$I$2:$AT$2="OBRA GRUESA"))&gt;0,"OBRA GRUESA",""),IF(SUMPRODUCT((BG634:CR634&lt;1)*(PARTIDAS!$I$2:$AT$2="SANITARIOS"))&gt;0,"SANITARIOS",""),IF(SUMPRODUCT((BG634:CR634&lt;1)*(PARTIDAS!$I$2:$AT$2="ELÉCTRICO"))&gt;0,"ELÉCTRICO",""),IF(SUMPRODUCT((BG634:CR634&lt;1)*(PARTIDAS!$I$2:$AT$2="TERMINACIONES"))&gt;0,"TERMINACIONES",""))</f>
        <v>OBRA GRUESA, SANITARIOS, ELÉCTRICO, TERMINACIONES</v>
      </c>
      <c r="CV634" s="44" cm="1">
        <f t="array" ref="CV634">SUMPRODUCT(--(BG634:CR634&lt;1))</f>
        <v>38</v>
      </c>
    </row>
    <row r="635" spans="1:100" hidden="1" x14ac:dyDescent="0.25">
      <c r="A635" t="s">
        <v>685</v>
      </c>
      <c r="B635" t="s">
        <v>711</v>
      </c>
      <c r="C635">
        <v>2302600634</v>
      </c>
      <c r="D635" t="s">
        <v>60</v>
      </c>
      <c r="E635" s="2">
        <v>0</v>
      </c>
      <c r="F635" s="1">
        <v>46455</v>
      </c>
      <c r="G635" s="1"/>
      <c r="H635" s="1">
        <v>0</v>
      </c>
      <c r="I635" s="1">
        <v>46485</v>
      </c>
      <c r="J635">
        <v>46230</v>
      </c>
      <c r="K635" s="1"/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>
        <v>31.32</v>
      </c>
      <c r="BF635" s="3" t="str">
        <f>+IF(AVANCE[[#This Row],[% AVANCE]]=100%,"MODULO TERMINADO",IF(AVANCE[[#This Row],[FECHA INICIO REAL]]="","MODULO NO INICIADO","PENDIENTE"))</f>
        <v>MODULO NO INICIADO</v>
      </c>
      <c r="BG635" s="3">
        <f>+IF(AVANCE[[#This Row],[VENTANAS]]=8.10810810810811%,100%,AVANCE[[#This Row],[VENTANAS]])</f>
        <v>0</v>
      </c>
      <c r="BH635" s="3">
        <f>+IF(AVANCE[[#This Row],[PISO]]=N$2,100%,AVANCE[[#This Row],[PISO]])</f>
        <v>0</v>
      </c>
      <c r="BI635" s="3">
        <f>+IF(AVANCE[[#This Row],[TABIQUES]]=O$2,100%,AVANCE[[#This Row],[TABIQUES]])</f>
        <v>0</v>
      </c>
      <c r="BJ635" s="3">
        <f>+IF(AVANCE[[#This Row],[MUROS]]=P$2,100%,AVANCE[[#This Row],[MUROS]])</f>
        <v>0</v>
      </c>
      <c r="BK635" s="3">
        <f>+IF(AVANCE[[#This Row],[CIELO]]=Q$2,100%,AVANCE[[#This Row],[CIELO]])</f>
        <v>0</v>
      </c>
      <c r="BL635" s="3">
        <f>+IF(AVANCE[[#This Row],[BALCÓN]]=R$2,100%,AVANCE[[#This Row],[BALCÓN]])</f>
        <v>0</v>
      </c>
      <c r="BM635" s="3">
        <f>+IF(AVANCE[[#This Row],[RED ALCANTARILLADO]]=U$2,100%,AVANCE[[#This Row],[RED ALCANTARILLADO]])</f>
        <v>0</v>
      </c>
      <c r="BN635" s="3">
        <f>+IF(AVANCE[[#This Row],[RED DE AGUA]]=V$2,100%,AVANCE[[#This Row],[RED DE AGUA]])</f>
        <v>0</v>
      </c>
      <c r="BO635" s="3">
        <f>+IF(AVANCE[[#This Row],[VENTILACIONES]]=W$2,100%,AVANCE[[#This Row],[VENTILACIONES]])</f>
        <v>0</v>
      </c>
      <c r="BP635" s="3">
        <f>+IF(AVANCE[[#This Row],[TINA]]=X$2,100%,AVANCE[[#This Row],[TINA]])</f>
        <v>0</v>
      </c>
      <c r="BQ635" s="3">
        <f>+IF(AVANCE[[#This Row],[WC]]=Y$2,100%,AVANCE[[#This Row],[WC]])</f>
        <v>0</v>
      </c>
      <c r="BR635" s="3">
        <f>+IF(AVANCE[[#This Row],[LAVAMANOS / LAVAPLATOS / LAVADERO]]=Z$2,100%,AVANCE[[#This Row],[LAVAMANOS / LAVAPLATOS / LAVADERO]])</f>
        <v>0</v>
      </c>
      <c r="BS635" s="3">
        <f>+IF(AVANCE[[#This Row],[CANALIZACIÓN]]=AC$2,100%,AVANCE[[#This Row],[CANALIZACIÓN]])</f>
        <v>0</v>
      </c>
      <c r="BT635" s="3">
        <f>+IF(AVANCE[[#This Row],[CABLEADO]]=AD$2,100%,AVANCE[[#This Row],[CABLEADO]])</f>
        <v>0</v>
      </c>
      <c r="BU635" s="3">
        <f>+IF(AVANCE[[#This Row],[ARTEFACTOS]]=AE$2,100%,AVANCE[[#This Row],[ARTEFACTOS]])</f>
        <v>0</v>
      </c>
      <c r="BV635" s="3">
        <f>+IF(AVANCE[[#This Row],[TABLERO]]=AF$2,100%,AVANCE[[#This Row],[TABLERO]])</f>
        <v>0</v>
      </c>
      <c r="BW635" s="3">
        <f>+IF(AVANCE[[#This Row],[CAJA PAU]]=AG$2,100%,AVANCE[[#This Row],[CAJA PAU]])</f>
        <v>0</v>
      </c>
      <c r="BX635" s="3">
        <f>+IF(AVANCE[[#This Row],[INSTALACION VINILICO]]=AJ$2,100%,AVANCE[[#This Row],[INSTALACION VINILICO]])</f>
        <v>0</v>
      </c>
      <c r="BY635" s="3">
        <f>+IF(AVANCE[[#This Row],[OSB CUBIERTA]]=AK$2,100%,AVANCE[[#This Row],[OSB CUBIERTA]])</f>
        <v>0</v>
      </c>
      <c r="BZ635" s="3">
        <f>+IF(AVANCE[[#This Row],[BARANDA BALCON]]=AL$2,100%,AVANCE[[#This Row],[BARANDA BALCON]])</f>
        <v>0</v>
      </c>
      <c r="CA635" s="3">
        <f>+IF(AVANCE[[#This Row],[OSB EXTERIOR]]=AM$2,100%,AVANCE[[#This Row],[OSB EXTERIOR]])</f>
        <v>0</v>
      </c>
      <c r="CB635" s="3">
        <f>+IF(AVANCE[[#This Row],[SMART PANEL]]=AN$2,100%,AVANCE[[#This Row],[SMART PANEL]])</f>
        <v>0</v>
      </c>
      <c r="CC635" s="3">
        <f>+IF(AVANCE[[#This Row],[PINTURA EXTERIOR]]=AO$2,100%,AVANCE[[#This Row],[PINTURA EXTERIOR]])</f>
        <v>0</v>
      </c>
      <c r="CD635" s="3">
        <f>+IF(AVANCE[[#This Row],[ZOCALOS LOGIA]]=AP$2,100%,AVANCE[[#This Row],[ZOCALOS LOGIA]])</f>
        <v>0</v>
      </c>
      <c r="CE635" s="3">
        <f>+IF(AVANCE[[#This Row],[MOLDURAS]]=AQ$2,100%,AVANCE[[#This Row],[MOLDURAS]])</f>
        <v>0</v>
      </c>
      <c r="CF635" s="3">
        <f>+IF(AVANCE[[#This Row],[PILASTREO]]=AR$2,100%,AVANCE[[#This Row],[PILASTREO]])</f>
        <v>0</v>
      </c>
      <c r="CG635" s="3">
        <f>+IF(AVANCE[[#This Row],[CELOSIAS]]=AS$2,100%,AVANCE[[#This Row],[CELOSIAS]])</f>
        <v>0</v>
      </c>
      <c r="CH635" s="3">
        <f>+IF(AVANCE[[#This Row],[VENTANAS]]=AT$2,100%,AVANCE[[#This Row],[VENTANAS]])</f>
        <v>0</v>
      </c>
      <c r="CI635" s="3">
        <f>+IF(AVANCE[[#This Row],[PUERTAS ACCESO - LOGIA - BANO]]=AU$2,100%,AVANCE[[#This Row],[PUERTAS ACCESO - LOGIA - BANO]])</f>
        <v>0</v>
      </c>
      <c r="CJ635" s="3">
        <f>+IF(AVANCE[[#This Row],[CERRADURAS]]=AV$2,100%,AVANCE[[#This Row],[CERRADURAS]])</f>
        <v>0</v>
      </c>
      <c r="CK635" s="3">
        <f>+IF(AVANCE[[#This Row],[REVESTIMIENTO INTERIOR ZONA SECA]]=AW$2,100%,AVANCE[[#This Row],[REVESTIMIENTO INTERIOR ZONA SECA]])</f>
        <v>0</v>
      </c>
      <c r="CL635" s="3">
        <f>+IF(AVANCE[[#This Row],[REVESTIMIENTO INTERIOR ZONAS HUMEDAS]]=AX$2,100%,AVANCE[[#This Row],[REVESTIMIENTO INTERIOR ZONAS HUMEDAS]])</f>
        <v>0</v>
      </c>
      <c r="CM635" s="3">
        <f>+IF(AVANCE[[#This Row],[MEMBRANA CIELO]]=AY$2,100%,AVANCE[[#This Row],[MEMBRANA CIELO]])</f>
        <v>0</v>
      </c>
      <c r="CN635" s="3">
        <f>+IF(AVANCE[[#This Row],[LIMPIEZA FINAL]]=AZ$2,100%,AVANCE[[#This Row],[LIMPIEZA FINAL]])</f>
        <v>0</v>
      </c>
      <c r="CO635" s="3">
        <f>+IF(AVANCE[[#This Row],[PUERTAS DORMITORIO]]=BA$2,100%,AVANCE[[#This Row],[PUERTAS DORMITORIO]])</f>
        <v>0</v>
      </c>
      <c r="CP635" s="3">
        <f>+IF(AVANCE[[#This Row],[REVESTIMIENTO INTERIOR BANO]]=BB$2,100%,AVANCE[[#This Row],[REVESTIMIENTO INTERIOR BANO]])</f>
        <v>0</v>
      </c>
      <c r="CQ635" s="3">
        <f>+IF(AVANCE[[#This Row],[MUEBLE LAVAPLATOS]]=BC$2,100%,AVANCE[[#This Row],[MUEBLE LAVAPLATOS]])</f>
        <v>0</v>
      </c>
      <c r="CR635" s="3">
        <f>+IF(AVANCE[[#This Row],[IMPERMEABILIZACION BANO - COCINA LOGIA]]=BD$2,100%,AVANCE[[#This Row],[IMPERMEABILIZACION BANO - COCINA LOGIA]])</f>
        <v>0</v>
      </c>
      <c r="CS635" s="40">
        <f ca="1">+IF(AVANCE[[#This Row],[ESTADO MODULO]]="PENDIENTE",(TODAY()-AVANCE[[#This Row],[FECHA TERMINO  PLANIFICADO]]),0)</f>
        <v>0</v>
      </c>
      <c r="CT635" s="41" t="str" cm="1">
        <f t="array" ref="CT635">_xlfn.TEXTJOIN(" | ",TRUE,IF(SUMPRODUCT((BG635:CR635&lt;1)*(PARTIDAS!$I$2:$AT$2="OBRA GRUESA"))&gt;0,"OBRA GRUESA: "&amp;_xlfn.TEXTJOIN(", ",TRUE,IF((BG635:CR635&lt;1)*(PARTIDAS!$I$2:$AT$2="OBRA GRUESA"),PARTIDAS!$I$1:$AT$1,"")),""),IF(SUMPRODUCT((BG635:CR635&lt;1)*(PARTIDAS!$I$2:$AT$2="SANITARIOS"))&gt;0,"SANITARIOS: "&amp;_xlfn.TEXTJOIN(", ",TRUE,IF((BG635:CR635&lt;1)*(PARTIDAS!$I$2:$AT$2="SANITARIOS"),PARTIDAS!$I$1:$AT$1,"")),""),IF(SUMPRODUCT((BG635:CR635&lt;1)*(PARTIDAS!$I$2:$AT$2="ELÉCTRICO"))&gt;0,"ELÉCTRICO: "&amp;_xlfn.TEXTJOIN(", ",TRUE,IF((BG635:CR635&lt;1)*(PARTIDAS!$I$2:$AT$2="ELÉCTRICO"),PARTIDAS!$I$1:$AT$1,"")),""),IF(SUMPRODUCT((BG635:CR635&lt;1)*(PARTIDAS!$I$2:$AT$2="TERMINACIONES"))&gt;0,"TERMINACIONES: "&amp;_xlfn.TEXTJOIN(", ",TRUE,IF((BG635:CR635&lt;1)*(PARTIDAS!$I$2:$AT$2="TERMINACIONES"),PARTIDAS!$I$1:$AT$1,"")),""))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5" s="43" t="str" cm="1">
        <f t="array" ref="CU635">_xlfn.TEXTJOIN(", ",TRUE,IF(SUMPRODUCT((BG635:CR635&lt;1)*(PARTIDAS!$I$2:$AT$2="OBRA GRUESA"))&gt;0,"OBRA GRUESA",""),IF(SUMPRODUCT((BG635:CR635&lt;1)*(PARTIDAS!$I$2:$AT$2="SANITARIOS"))&gt;0,"SANITARIOS",""),IF(SUMPRODUCT((BG635:CR635&lt;1)*(PARTIDAS!$I$2:$AT$2="ELÉCTRICO"))&gt;0,"ELÉCTRICO",""),IF(SUMPRODUCT((BG635:CR635&lt;1)*(PARTIDAS!$I$2:$AT$2="TERMINACIONES"))&gt;0,"TERMINACIONES",""))</f>
        <v>OBRA GRUESA, SANITARIOS, ELÉCTRICO, TERMINACIONES</v>
      </c>
      <c r="CV635" s="44" cm="1">
        <f t="array" ref="CV635">SUMPRODUCT(--(BG635:CR635&lt;1))</f>
        <v>38</v>
      </c>
    </row>
    <row r="636" spans="1:100" hidden="1" x14ac:dyDescent="0.25">
      <c r="A636" t="s">
        <v>685</v>
      </c>
      <c r="B636" t="s">
        <v>712</v>
      </c>
      <c r="C636">
        <v>2302600635</v>
      </c>
      <c r="D636" t="s">
        <v>60</v>
      </c>
      <c r="E636" s="2">
        <v>0</v>
      </c>
      <c r="F636" s="1">
        <v>46456</v>
      </c>
      <c r="G636" s="1"/>
      <c r="H636" s="1">
        <v>0</v>
      </c>
      <c r="I636" s="1">
        <v>46486</v>
      </c>
      <c r="J636">
        <v>46230</v>
      </c>
      <c r="K636" s="1"/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>
        <v>31.32</v>
      </c>
      <c r="BF636" s="3" t="str">
        <f>+IF(AVANCE[[#This Row],[% AVANCE]]=100%,"MODULO TERMINADO",IF(AVANCE[[#This Row],[FECHA INICIO REAL]]="","MODULO NO INICIADO","PENDIENTE"))</f>
        <v>MODULO NO INICIADO</v>
      </c>
      <c r="BG636" s="3">
        <f>+IF(AVANCE[[#This Row],[VENTANAS]]=8.10810810810811%,100%,AVANCE[[#This Row],[VENTANAS]])</f>
        <v>0</v>
      </c>
      <c r="BH636" s="3">
        <f>+IF(AVANCE[[#This Row],[PISO]]=N$2,100%,AVANCE[[#This Row],[PISO]])</f>
        <v>0</v>
      </c>
      <c r="BI636" s="3">
        <f>+IF(AVANCE[[#This Row],[TABIQUES]]=O$2,100%,AVANCE[[#This Row],[TABIQUES]])</f>
        <v>0</v>
      </c>
      <c r="BJ636" s="3">
        <f>+IF(AVANCE[[#This Row],[MUROS]]=P$2,100%,AVANCE[[#This Row],[MUROS]])</f>
        <v>0</v>
      </c>
      <c r="BK636" s="3">
        <f>+IF(AVANCE[[#This Row],[CIELO]]=Q$2,100%,AVANCE[[#This Row],[CIELO]])</f>
        <v>0</v>
      </c>
      <c r="BL636" s="3">
        <f>+IF(AVANCE[[#This Row],[BALCÓN]]=R$2,100%,AVANCE[[#This Row],[BALCÓN]])</f>
        <v>0</v>
      </c>
      <c r="BM636" s="3">
        <f>+IF(AVANCE[[#This Row],[RED ALCANTARILLADO]]=U$2,100%,AVANCE[[#This Row],[RED ALCANTARILLADO]])</f>
        <v>0</v>
      </c>
      <c r="BN636" s="3">
        <f>+IF(AVANCE[[#This Row],[RED DE AGUA]]=V$2,100%,AVANCE[[#This Row],[RED DE AGUA]])</f>
        <v>0</v>
      </c>
      <c r="BO636" s="3">
        <f>+IF(AVANCE[[#This Row],[VENTILACIONES]]=W$2,100%,AVANCE[[#This Row],[VENTILACIONES]])</f>
        <v>0</v>
      </c>
      <c r="BP636" s="3">
        <f>+IF(AVANCE[[#This Row],[TINA]]=X$2,100%,AVANCE[[#This Row],[TINA]])</f>
        <v>0</v>
      </c>
      <c r="BQ636" s="3">
        <f>+IF(AVANCE[[#This Row],[WC]]=Y$2,100%,AVANCE[[#This Row],[WC]])</f>
        <v>0</v>
      </c>
      <c r="BR636" s="3">
        <f>+IF(AVANCE[[#This Row],[LAVAMANOS / LAVAPLATOS / LAVADERO]]=Z$2,100%,AVANCE[[#This Row],[LAVAMANOS / LAVAPLATOS / LAVADERO]])</f>
        <v>0</v>
      </c>
      <c r="BS636" s="3">
        <f>+IF(AVANCE[[#This Row],[CANALIZACIÓN]]=AC$2,100%,AVANCE[[#This Row],[CANALIZACIÓN]])</f>
        <v>0</v>
      </c>
      <c r="BT636" s="3">
        <f>+IF(AVANCE[[#This Row],[CABLEADO]]=AD$2,100%,AVANCE[[#This Row],[CABLEADO]])</f>
        <v>0</v>
      </c>
      <c r="BU636" s="3">
        <f>+IF(AVANCE[[#This Row],[ARTEFACTOS]]=AE$2,100%,AVANCE[[#This Row],[ARTEFACTOS]])</f>
        <v>0</v>
      </c>
      <c r="BV636" s="3">
        <f>+IF(AVANCE[[#This Row],[TABLERO]]=AF$2,100%,AVANCE[[#This Row],[TABLERO]])</f>
        <v>0</v>
      </c>
      <c r="BW636" s="3">
        <f>+IF(AVANCE[[#This Row],[CAJA PAU]]=AG$2,100%,AVANCE[[#This Row],[CAJA PAU]])</f>
        <v>0</v>
      </c>
      <c r="BX636" s="3">
        <f>+IF(AVANCE[[#This Row],[INSTALACION VINILICO]]=AJ$2,100%,AVANCE[[#This Row],[INSTALACION VINILICO]])</f>
        <v>0</v>
      </c>
      <c r="BY636" s="3">
        <f>+IF(AVANCE[[#This Row],[OSB CUBIERTA]]=AK$2,100%,AVANCE[[#This Row],[OSB CUBIERTA]])</f>
        <v>0</v>
      </c>
      <c r="BZ636" s="3">
        <f>+IF(AVANCE[[#This Row],[BARANDA BALCON]]=AL$2,100%,AVANCE[[#This Row],[BARANDA BALCON]])</f>
        <v>0</v>
      </c>
      <c r="CA636" s="3">
        <f>+IF(AVANCE[[#This Row],[OSB EXTERIOR]]=AM$2,100%,AVANCE[[#This Row],[OSB EXTERIOR]])</f>
        <v>0</v>
      </c>
      <c r="CB636" s="3">
        <f>+IF(AVANCE[[#This Row],[SMART PANEL]]=AN$2,100%,AVANCE[[#This Row],[SMART PANEL]])</f>
        <v>0</v>
      </c>
      <c r="CC636" s="3">
        <f>+IF(AVANCE[[#This Row],[PINTURA EXTERIOR]]=AO$2,100%,AVANCE[[#This Row],[PINTURA EXTERIOR]])</f>
        <v>0</v>
      </c>
      <c r="CD636" s="3">
        <f>+IF(AVANCE[[#This Row],[ZOCALOS LOGIA]]=AP$2,100%,AVANCE[[#This Row],[ZOCALOS LOGIA]])</f>
        <v>0</v>
      </c>
      <c r="CE636" s="3">
        <f>+IF(AVANCE[[#This Row],[MOLDURAS]]=AQ$2,100%,AVANCE[[#This Row],[MOLDURAS]])</f>
        <v>0</v>
      </c>
      <c r="CF636" s="3">
        <f>+IF(AVANCE[[#This Row],[PILASTREO]]=AR$2,100%,AVANCE[[#This Row],[PILASTREO]])</f>
        <v>0</v>
      </c>
      <c r="CG636" s="3">
        <f>+IF(AVANCE[[#This Row],[CELOSIAS]]=AS$2,100%,AVANCE[[#This Row],[CELOSIAS]])</f>
        <v>0</v>
      </c>
      <c r="CH636" s="3">
        <f>+IF(AVANCE[[#This Row],[VENTANAS]]=AT$2,100%,AVANCE[[#This Row],[VENTANAS]])</f>
        <v>0</v>
      </c>
      <c r="CI636" s="3">
        <f>+IF(AVANCE[[#This Row],[PUERTAS ACCESO - LOGIA - BANO]]=AU$2,100%,AVANCE[[#This Row],[PUERTAS ACCESO - LOGIA - BANO]])</f>
        <v>0</v>
      </c>
      <c r="CJ636" s="3">
        <f>+IF(AVANCE[[#This Row],[CERRADURAS]]=AV$2,100%,AVANCE[[#This Row],[CERRADURAS]])</f>
        <v>0</v>
      </c>
      <c r="CK636" s="3">
        <f>+IF(AVANCE[[#This Row],[REVESTIMIENTO INTERIOR ZONA SECA]]=AW$2,100%,AVANCE[[#This Row],[REVESTIMIENTO INTERIOR ZONA SECA]])</f>
        <v>0</v>
      </c>
      <c r="CL636" s="3">
        <f>+IF(AVANCE[[#This Row],[REVESTIMIENTO INTERIOR ZONAS HUMEDAS]]=AX$2,100%,AVANCE[[#This Row],[REVESTIMIENTO INTERIOR ZONAS HUMEDAS]])</f>
        <v>0</v>
      </c>
      <c r="CM636" s="3">
        <f>+IF(AVANCE[[#This Row],[MEMBRANA CIELO]]=AY$2,100%,AVANCE[[#This Row],[MEMBRANA CIELO]])</f>
        <v>0</v>
      </c>
      <c r="CN636" s="3">
        <f>+IF(AVANCE[[#This Row],[LIMPIEZA FINAL]]=AZ$2,100%,AVANCE[[#This Row],[LIMPIEZA FINAL]])</f>
        <v>0</v>
      </c>
      <c r="CO636" s="3">
        <f>+IF(AVANCE[[#This Row],[PUERTAS DORMITORIO]]=BA$2,100%,AVANCE[[#This Row],[PUERTAS DORMITORIO]])</f>
        <v>0</v>
      </c>
      <c r="CP636" s="3">
        <f>+IF(AVANCE[[#This Row],[REVESTIMIENTO INTERIOR BANO]]=BB$2,100%,AVANCE[[#This Row],[REVESTIMIENTO INTERIOR BANO]])</f>
        <v>0</v>
      </c>
      <c r="CQ636" s="3">
        <f>+IF(AVANCE[[#This Row],[MUEBLE LAVAPLATOS]]=BC$2,100%,AVANCE[[#This Row],[MUEBLE LAVAPLATOS]])</f>
        <v>0</v>
      </c>
      <c r="CR636" s="3">
        <f>+IF(AVANCE[[#This Row],[IMPERMEABILIZACION BANO - COCINA LOGIA]]=BD$2,100%,AVANCE[[#This Row],[IMPERMEABILIZACION BANO - COCINA LOGIA]])</f>
        <v>0</v>
      </c>
      <c r="CS636" s="40">
        <f ca="1">+IF(AVANCE[[#This Row],[ESTADO MODULO]]="PENDIENTE",(TODAY()-AVANCE[[#This Row],[FECHA TERMINO  PLANIFICADO]]),0)</f>
        <v>0</v>
      </c>
      <c r="CT636" s="41" t="str" cm="1">
        <f t="array" ref="CT636">_xlfn.TEXTJOIN(" | ",TRUE,IF(SUMPRODUCT((BG636:CR636&lt;1)*(PARTIDAS!$I$2:$AT$2="OBRA GRUESA"))&gt;0,"OBRA GRUESA: "&amp;_xlfn.TEXTJOIN(", ",TRUE,IF((BG636:CR636&lt;1)*(PARTIDAS!$I$2:$AT$2="OBRA GRUESA"),PARTIDAS!$I$1:$AT$1,"")),""),IF(SUMPRODUCT((BG636:CR636&lt;1)*(PARTIDAS!$I$2:$AT$2="SANITARIOS"))&gt;0,"SANITARIOS: "&amp;_xlfn.TEXTJOIN(", ",TRUE,IF((BG636:CR636&lt;1)*(PARTIDAS!$I$2:$AT$2="SANITARIOS"),PARTIDAS!$I$1:$AT$1,"")),""),IF(SUMPRODUCT((BG636:CR636&lt;1)*(PARTIDAS!$I$2:$AT$2="ELÉCTRICO"))&gt;0,"ELÉCTRICO: "&amp;_xlfn.TEXTJOIN(", ",TRUE,IF((BG636:CR636&lt;1)*(PARTIDAS!$I$2:$AT$2="ELÉCTRICO"),PARTIDAS!$I$1:$AT$1,"")),""),IF(SUMPRODUCT((BG636:CR636&lt;1)*(PARTIDAS!$I$2:$AT$2="TERMINACIONES"))&gt;0,"TERMINACIONES: "&amp;_xlfn.TEXTJOIN(", ",TRUE,IF((BG636:CR636&lt;1)*(PARTIDAS!$I$2:$AT$2="TERMINACIONES"),PARTIDAS!$I$1:$AT$1,"")),""))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6" s="43" t="str" cm="1">
        <f t="array" ref="CU636">_xlfn.TEXTJOIN(", ",TRUE,IF(SUMPRODUCT((BG636:CR636&lt;1)*(PARTIDAS!$I$2:$AT$2="OBRA GRUESA"))&gt;0,"OBRA GRUESA",""),IF(SUMPRODUCT((BG636:CR636&lt;1)*(PARTIDAS!$I$2:$AT$2="SANITARIOS"))&gt;0,"SANITARIOS",""),IF(SUMPRODUCT((BG636:CR636&lt;1)*(PARTIDAS!$I$2:$AT$2="ELÉCTRICO"))&gt;0,"ELÉCTRICO",""),IF(SUMPRODUCT((BG636:CR636&lt;1)*(PARTIDAS!$I$2:$AT$2="TERMINACIONES"))&gt;0,"TERMINACIONES",""))</f>
        <v>OBRA GRUESA, SANITARIOS, ELÉCTRICO, TERMINACIONES</v>
      </c>
      <c r="CV636" s="44" cm="1">
        <f t="array" ref="CV636">SUMPRODUCT(--(BG636:CR636&lt;1))</f>
        <v>38</v>
      </c>
    </row>
    <row r="637" spans="1:100" hidden="1" x14ac:dyDescent="0.25">
      <c r="A637" t="s">
        <v>685</v>
      </c>
      <c r="B637" t="s">
        <v>713</v>
      </c>
      <c r="C637">
        <v>2282600636</v>
      </c>
      <c r="D637" t="s">
        <v>58</v>
      </c>
      <c r="E637" s="2">
        <v>0</v>
      </c>
      <c r="F637" s="1">
        <v>46456</v>
      </c>
      <c r="G637" s="1"/>
      <c r="H637" s="1">
        <v>0</v>
      </c>
      <c r="I637" s="1">
        <v>46476</v>
      </c>
      <c r="J637">
        <v>46230</v>
      </c>
      <c r="K637" s="1"/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>
        <v>28.87</v>
      </c>
      <c r="BF637" s="3" t="str">
        <f>+IF(AVANCE[[#This Row],[% AVANCE]]=100%,"MODULO TERMINADO",IF(AVANCE[[#This Row],[FECHA INICIO REAL]]="","MODULO NO INICIADO","PENDIENTE"))</f>
        <v>MODULO NO INICIADO</v>
      </c>
      <c r="BG637" s="3">
        <f>+IF(AVANCE[[#This Row],[VENTANAS]]=8.10810810810811%,100%,AVANCE[[#This Row],[VENTANAS]])</f>
        <v>0</v>
      </c>
      <c r="BH637" s="3">
        <f>+IF(AVANCE[[#This Row],[PISO]]=N$2,100%,AVANCE[[#This Row],[PISO]])</f>
        <v>0</v>
      </c>
      <c r="BI637" s="3">
        <f>+IF(AVANCE[[#This Row],[TABIQUES]]=O$2,100%,AVANCE[[#This Row],[TABIQUES]])</f>
        <v>0</v>
      </c>
      <c r="BJ637" s="3">
        <f>+IF(AVANCE[[#This Row],[MUROS]]=P$2,100%,AVANCE[[#This Row],[MUROS]])</f>
        <v>0</v>
      </c>
      <c r="BK637" s="3">
        <f>+IF(AVANCE[[#This Row],[CIELO]]=Q$2,100%,AVANCE[[#This Row],[CIELO]])</f>
        <v>0</v>
      </c>
      <c r="BL637" s="3">
        <f>+IF(AVANCE[[#This Row],[BALCÓN]]=R$2,100%,AVANCE[[#This Row],[BALCÓN]])</f>
        <v>0</v>
      </c>
      <c r="BM637" s="3">
        <f>+IF(AVANCE[[#This Row],[RED ALCANTARILLADO]]=U$2,100%,AVANCE[[#This Row],[RED ALCANTARILLADO]])</f>
        <v>0</v>
      </c>
      <c r="BN637" s="3">
        <f>+IF(AVANCE[[#This Row],[RED DE AGUA]]=V$2,100%,AVANCE[[#This Row],[RED DE AGUA]])</f>
        <v>0</v>
      </c>
      <c r="BO637" s="3">
        <f>+IF(AVANCE[[#This Row],[VENTILACIONES]]=W$2,100%,AVANCE[[#This Row],[VENTILACIONES]])</f>
        <v>0</v>
      </c>
      <c r="BP637" s="3">
        <f>+IF(AVANCE[[#This Row],[TINA]]=X$2,100%,AVANCE[[#This Row],[TINA]])</f>
        <v>0</v>
      </c>
      <c r="BQ637" s="3">
        <f>+IF(AVANCE[[#This Row],[WC]]=Y$2,100%,AVANCE[[#This Row],[WC]])</f>
        <v>0</v>
      </c>
      <c r="BR637" s="3">
        <f>+IF(AVANCE[[#This Row],[LAVAMANOS / LAVAPLATOS / LAVADERO]]=Z$2,100%,AVANCE[[#This Row],[LAVAMANOS / LAVAPLATOS / LAVADERO]])</f>
        <v>0</v>
      </c>
      <c r="BS637" s="3">
        <f>+IF(AVANCE[[#This Row],[CANALIZACIÓN]]=AC$2,100%,AVANCE[[#This Row],[CANALIZACIÓN]])</f>
        <v>0</v>
      </c>
      <c r="BT637" s="3">
        <f>+IF(AVANCE[[#This Row],[CABLEADO]]=AD$2,100%,AVANCE[[#This Row],[CABLEADO]])</f>
        <v>0</v>
      </c>
      <c r="BU637" s="3">
        <f>+IF(AVANCE[[#This Row],[ARTEFACTOS]]=AE$2,100%,AVANCE[[#This Row],[ARTEFACTOS]])</f>
        <v>0</v>
      </c>
      <c r="BV637" s="3">
        <f>+IF(AVANCE[[#This Row],[TABLERO]]=AF$2,100%,AVANCE[[#This Row],[TABLERO]])</f>
        <v>0</v>
      </c>
      <c r="BW637" s="3">
        <f>+IF(AVANCE[[#This Row],[CAJA PAU]]=AG$2,100%,AVANCE[[#This Row],[CAJA PAU]])</f>
        <v>0</v>
      </c>
      <c r="BX637" s="3">
        <f>+IF(AVANCE[[#This Row],[INSTALACION VINILICO]]=AJ$2,100%,AVANCE[[#This Row],[INSTALACION VINILICO]])</f>
        <v>0</v>
      </c>
      <c r="BY637" s="3">
        <f>+IF(AVANCE[[#This Row],[OSB CUBIERTA]]=AK$2,100%,AVANCE[[#This Row],[OSB CUBIERTA]])</f>
        <v>0</v>
      </c>
      <c r="BZ637" s="3">
        <f>+IF(AVANCE[[#This Row],[BARANDA BALCON]]=AL$2,100%,AVANCE[[#This Row],[BARANDA BALCON]])</f>
        <v>0</v>
      </c>
      <c r="CA637" s="3">
        <f>+IF(AVANCE[[#This Row],[OSB EXTERIOR]]=AM$2,100%,AVANCE[[#This Row],[OSB EXTERIOR]])</f>
        <v>0</v>
      </c>
      <c r="CB637" s="3">
        <f>+IF(AVANCE[[#This Row],[SMART PANEL]]=AN$2,100%,AVANCE[[#This Row],[SMART PANEL]])</f>
        <v>0</v>
      </c>
      <c r="CC637" s="3">
        <f>+IF(AVANCE[[#This Row],[PINTURA EXTERIOR]]=AO$2,100%,AVANCE[[#This Row],[PINTURA EXTERIOR]])</f>
        <v>0</v>
      </c>
      <c r="CD637" s="3">
        <f>+IF(AVANCE[[#This Row],[ZOCALOS LOGIA]]=AP$2,100%,AVANCE[[#This Row],[ZOCALOS LOGIA]])</f>
        <v>0</v>
      </c>
      <c r="CE637" s="3">
        <f>+IF(AVANCE[[#This Row],[MOLDURAS]]=AQ$2,100%,AVANCE[[#This Row],[MOLDURAS]])</f>
        <v>0</v>
      </c>
      <c r="CF637" s="3">
        <f>+IF(AVANCE[[#This Row],[PILASTREO]]=AR$2,100%,AVANCE[[#This Row],[PILASTREO]])</f>
        <v>0</v>
      </c>
      <c r="CG637" s="3">
        <f>+IF(AVANCE[[#This Row],[CELOSIAS]]=AS$2,100%,AVANCE[[#This Row],[CELOSIAS]])</f>
        <v>0</v>
      </c>
      <c r="CH637" s="3">
        <f>+IF(AVANCE[[#This Row],[VENTANAS]]=AT$2,100%,AVANCE[[#This Row],[VENTANAS]])</f>
        <v>0</v>
      </c>
      <c r="CI637" s="3">
        <f>+IF(AVANCE[[#This Row],[PUERTAS ACCESO - LOGIA - BANO]]=AU$2,100%,AVANCE[[#This Row],[PUERTAS ACCESO - LOGIA - BANO]])</f>
        <v>0</v>
      </c>
      <c r="CJ637" s="3">
        <f>+IF(AVANCE[[#This Row],[CERRADURAS]]=AV$2,100%,AVANCE[[#This Row],[CERRADURAS]])</f>
        <v>0</v>
      </c>
      <c r="CK637" s="3">
        <f>+IF(AVANCE[[#This Row],[REVESTIMIENTO INTERIOR ZONA SECA]]=AW$2,100%,AVANCE[[#This Row],[REVESTIMIENTO INTERIOR ZONA SECA]])</f>
        <v>0</v>
      </c>
      <c r="CL637" s="3">
        <f>+IF(AVANCE[[#This Row],[REVESTIMIENTO INTERIOR ZONAS HUMEDAS]]=AX$2,100%,AVANCE[[#This Row],[REVESTIMIENTO INTERIOR ZONAS HUMEDAS]])</f>
        <v>0</v>
      </c>
      <c r="CM637" s="3">
        <f>+IF(AVANCE[[#This Row],[MEMBRANA CIELO]]=AY$2,100%,AVANCE[[#This Row],[MEMBRANA CIELO]])</f>
        <v>0</v>
      </c>
      <c r="CN637" s="3">
        <f>+IF(AVANCE[[#This Row],[LIMPIEZA FINAL]]=AZ$2,100%,AVANCE[[#This Row],[LIMPIEZA FINAL]])</f>
        <v>0</v>
      </c>
      <c r="CO637" s="3">
        <f>+IF(AVANCE[[#This Row],[PUERTAS DORMITORIO]]=BA$2,100%,AVANCE[[#This Row],[PUERTAS DORMITORIO]])</f>
        <v>0</v>
      </c>
      <c r="CP637" s="3">
        <f>+IF(AVANCE[[#This Row],[REVESTIMIENTO INTERIOR BANO]]=BB$2,100%,AVANCE[[#This Row],[REVESTIMIENTO INTERIOR BANO]])</f>
        <v>0</v>
      </c>
      <c r="CQ637" s="3">
        <f>+IF(AVANCE[[#This Row],[MUEBLE LAVAPLATOS]]=BC$2,100%,AVANCE[[#This Row],[MUEBLE LAVAPLATOS]])</f>
        <v>0</v>
      </c>
      <c r="CR637" s="3">
        <f>+IF(AVANCE[[#This Row],[IMPERMEABILIZACION BANO - COCINA LOGIA]]=BD$2,100%,AVANCE[[#This Row],[IMPERMEABILIZACION BANO - COCINA LOGIA]])</f>
        <v>0</v>
      </c>
      <c r="CS637" s="40">
        <f ca="1">+IF(AVANCE[[#This Row],[ESTADO MODULO]]="PENDIENTE",(TODAY()-AVANCE[[#This Row],[FECHA TERMINO  PLANIFICADO]]),0)</f>
        <v>0</v>
      </c>
      <c r="CT637" s="41" t="str" cm="1">
        <f t="array" ref="CT637">_xlfn.TEXTJOIN(" | ",TRUE,IF(SUMPRODUCT((BG637:CR637&lt;1)*(PARTIDAS!$I$2:$AT$2="OBRA GRUESA"))&gt;0,"OBRA GRUESA: "&amp;_xlfn.TEXTJOIN(", ",TRUE,IF((BG637:CR637&lt;1)*(PARTIDAS!$I$2:$AT$2="OBRA GRUESA"),PARTIDAS!$I$1:$AT$1,"")),""),IF(SUMPRODUCT((BG637:CR637&lt;1)*(PARTIDAS!$I$2:$AT$2="SANITARIOS"))&gt;0,"SANITARIOS: "&amp;_xlfn.TEXTJOIN(", ",TRUE,IF((BG637:CR637&lt;1)*(PARTIDAS!$I$2:$AT$2="SANITARIOS"),PARTIDAS!$I$1:$AT$1,"")),""),IF(SUMPRODUCT((BG637:CR637&lt;1)*(PARTIDAS!$I$2:$AT$2="ELÉCTRICO"))&gt;0,"ELÉCTRICO: "&amp;_xlfn.TEXTJOIN(", ",TRUE,IF((BG637:CR637&lt;1)*(PARTIDAS!$I$2:$AT$2="ELÉCTRICO"),PARTIDAS!$I$1:$AT$1,"")),""),IF(SUMPRODUCT((BG637:CR637&lt;1)*(PARTIDAS!$I$2:$AT$2="TERMINACIONES"))&gt;0,"TERMINACIONES: "&amp;_xlfn.TEXTJOIN(", ",TRUE,IF((BG637:CR637&lt;1)*(PARTIDAS!$I$2:$AT$2="TERMINACIONES"),PARTIDAS!$I$1:$AT$1,"")),""))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7" s="43" t="str" cm="1">
        <f t="array" ref="CU637">_xlfn.TEXTJOIN(", ",TRUE,IF(SUMPRODUCT((BG637:CR637&lt;1)*(PARTIDAS!$I$2:$AT$2="OBRA GRUESA"))&gt;0,"OBRA GRUESA",""),IF(SUMPRODUCT((BG637:CR637&lt;1)*(PARTIDAS!$I$2:$AT$2="SANITARIOS"))&gt;0,"SANITARIOS",""),IF(SUMPRODUCT((BG637:CR637&lt;1)*(PARTIDAS!$I$2:$AT$2="ELÉCTRICO"))&gt;0,"ELÉCTRICO",""),IF(SUMPRODUCT((BG637:CR637&lt;1)*(PARTIDAS!$I$2:$AT$2="TERMINACIONES"))&gt;0,"TERMINACIONES",""))</f>
        <v>OBRA GRUESA, SANITARIOS, ELÉCTRICO, TERMINACIONES</v>
      </c>
      <c r="CV637" s="44" cm="1">
        <f t="array" ref="CV637">SUMPRODUCT(--(BG637:CR637&lt;1))</f>
        <v>38</v>
      </c>
    </row>
    <row r="638" spans="1:100" hidden="1" x14ac:dyDescent="0.25">
      <c r="A638" t="s">
        <v>685</v>
      </c>
      <c r="B638" t="s">
        <v>714</v>
      </c>
      <c r="C638">
        <v>2282600637</v>
      </c>
      <c r="D638" t="s">
        <v>58</v>
      </c>
      <c r="E638" s="2">
        <v>0</v>
      </c>
      <c r="F638" s="1">
        <v>46456</v>
      </c>
      <c r="G638" s="1"/>
      <c r="H638" s="1">
        <v>0</v>
      </c>
      <c r="I638" s="1">
        <v>46476</v>
      </c>
      <c r="J638">
        <v>46230</v>
      </c>
      <c r="K638" s="1"/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>
        <v>28.87</v>
      </c>
      <c r="BF638" s="3" t="str">
        <f>+IF(AVANCE[[#This Row],[% AVANCE]]=100%,"MODULO TERMINADO",IF(AVANCE[[#This Row],[FECHA INICIO REAL]]="","MODULO NO INICIADO","PENDIENTE"))</f>
        <v>MODULO NO INICIADO</v>
      </c>
      <c r="BG638" s="3">
        <f>+IF(AVANCE[[#This Row],[VENTANAS]]=8.10810810810811%,100%,AVANCE[[#This Row],[VENTANAS]])</f>
        <v>0</v>
      </c>
      <c r="BH638" s="3">
        <f>+IF(AVANCE[[#This Row],[PISO]]=N$2,100%,AVANCE[[#This Row],[PISO]])</f>
        <v>0</v>
      </c>
      <c r="BI638" s="3">
        <f>+IF(AVANCE[[#This Row],[TABIQUES]]=O$2,100%,AVANCE[[#This Row],[TABIQUES]])</f>
        <v>0</v>
      </c>
      <c r="BJ638" s="3">
        <f>+IF(AVANCE[[#This Row],[MUROS]]=P$2,100%,AVANCE[[#This Row],[MUROS]])</f>
        <v>0</v>
      </c>
      <c r="BK638" s="3">
        <f>+IF(AVANCE[[#This Row],[CIELO]]=Q$2,100%,AVANCE[[#This Row],[CIELO]])</f>
        <v>0</v>
      </c>
      <c r="BL638" s="3">
        <f>+IF(AVANCE[[#This Row],[BALCÓN]]=R$2,100%,AVANCE[[#This Row],[BALCÓN]])</f>
        <v>0</v>
      </c>
      <c r="BM638" s="3">
        <f>+IF(AVANCE[[#This Row],[RED ALCANTARILLADO]]=U$2,100%,AVANCE[[#This Row],[RED ALCANTARILLADO]])</f>
        <v>0</v>
      </c>
      <c r="BN638" s="3">
        <f>+IF(AVANCE[[#This Row],[RED DE AGUA]]=V$2,100%,AVANCE[[#This Row],[RED DE AGUA]])</f>
        <v>0</v>
      </c>
      <c r="BO638" s="3">
        <f>+IF(AVANCE[[#This Row],[VENTILACIONES]]=W$2,100%,AVANCE[[#This Row],[VENTILACIONES]])</f>
        <v>0</v>
      </c>
      <c r="BP638" s="3">
        <f>+IF(AVANCE[[#This Row],[TINA]]=X$2,100%,AVANCE[[#This Row],[TINA]])</f>
        <v>0</v>
      </c>
      <c r="BQ638" s="3">
        <f>+IF(AVANCE[[#This Row],[WC]]=Y$2,100%,AVANCE[[#This Row],[WC]])</f>
        <v>0</v>
      </c>
      <c r="BR638" s="3">
        <f>+IF(AVANCE[[#This Row],[LAVAMANOS / LAVAPLATOS / LAVADERO]]=Z$2,100%,AVANCE[[#This Row],[LAVAMANOS / LAVAPLATOS / LAVADERO]])</f>
        <v>0</v>
      </c>
      <c r="BS638" s="3">
        <f>+IF(AVANCE[[#This Row],[CANALIZACIÓN]]=AC$2,100%,AVANCE[[#This Row],[CANALIZACIÓN]])</f>
        <v>0</v>
      </c>
      <c r="BT638" s="3">
        <f>+IF(AVANCE[[#This Row],[CABLEADO]]=AD$2,100%,AVANCE[[#This Row],[CABLEADO]])</f>
        <v>0</v>
      </c>
      <c r="BU638" s="3">
        <f>+IF(AVANCE[[#This Row],[ARTEFACTOS]]=AE$2,100%,AVANCE[[#This Row],[ARTEFACTOS]])</f>
        <v>0</v>
      </c>
      <c r="BV638" s="3">
        <f>+IF(AVANCE[[#This Row],[TABLERO]]=AF$2,100%,AVANCE[[#This Row],[TABLERO]])</f>
        <v>0</v>
      </c>
      <c r="BW638" s="3">
        <f>+IF(AVANCE[[#This Row],[CAJA PAU]]=AG$2,100%,AVANCE[[#This Row],[CAJA PAU]])</f>
        <v>0</v>
      </c>
      <c r="BX638" s="3">
        <f>+IF(AVANCE[[#This Row],[INSTALACION VINILICO]]=AJ$2,100%,AVANCE[[#This Row],[INSTALACION VINILICO]])</f>
        <v>0</v>
      </c>
      <c r="BY638" s="3">
        <f>+IF(AVANCE[[#This Row],[OSB CUBIERTA]]=AK$2,100%,AVANCE[[#This Row],[OSB CUBIERTA]])</f>
        <v>0</v>
      </c>
      <c r="BZ638" s="3">
        <f>+IF(AVANCE[[#This Row],[BARANDA BALCON]]=AL$2,100%,AVANCE[[#This Row],[BARANDA BALCON]])</f>
        <v>0</v>
      </c>
      <c r="CA638" s="3">
        <f>+IF(AVANCE[[#This Row],[OSB EXTERIOR]]=AM$2,100%,AVANCE[[#This Row],[OSB EXTERIOR]])</f>
        <v>0</v>
      </c>
      <c r="CB638" s="3">
        <f>+IF(AVANCE[[#This Row],[SMART PANEL]]=AN$2,100%,AVANCE[[#This Row],[SMART PANEL]])</f>
        <v>0</v>
      </c>
      <c r="CC638" s="3">
        <f>+IF(AVANCE[[#This Row],[PINTURA EXTERIOR]]=AO$2,100%,AVANCE[[#This Row],[PINTURA EXTERIOR]])</f>
        <v>0</v>
      </c>
      <c r="CD638" s="3">
        <f>+IF(AVANCE[[#This Row],[ZOCALOS LOGIA]]=AP$2,100%,AVANCE[[#This Row],[ZOCALOS LOGIA]])</f>
        <v>0</v>
      </c>
      <c r="CE638" s="3">
        <f>+IF(AVANCE[[#This Row],[MOLDURAS]]=AQ$2,100%,AVANCE[[#This Row],[MOLDURAS]])</f>
        <v>0</v>
      </c>
      <c r="CF638" s="3">
        <f>+IF(AVANCE[[#This Row],[PILASTREO]]=AR$2,100%,AVANCE[[#This Row],[PILASTREO]])</f>
        <v>0</v>
      </c>
      <c r="CG638" s="3">
        <f>+IF(AVANCE[[#This Row],[CELOSIAS]]=AS$2,100%,AVANCE[[#This Row],[CELOSIAS]])</f>
        <v>0</v>
      </c>
      <c r="CH638" s="3">
        <f>+IF(AVANCE[[#This Row],[VENTANAS]]=AT$2,100%,AVANCE[[#This Row],[VENTANAS]])</f>
        <v>0</v>
      </c>
      <c r="CI638" s="3">
        <f>+IF(AVANCE[[#This Row],[PUERTAS ACCESO - LOGIA - BANO]]=AU$2,100%,AVANCE[[#This Row],[PUERTAS ACCESO - LOGIA - BANO]])</f>
        <v>0</v>
      </c>
      <c r="CJ638" s="3">
        <f>+IF(AVANCE[[#This Row],[CERRADURAS]]=AV$2,100%,AVANCE[[#This Row],[CERRADURAS]])</f>
        <v>0</v>
      </c>
      <c r="CK638" s="3">
        <f>+IF(AVANCE[[#This Row],[REVESTIMIENTO INTERIOR ZONA SECA]]=AW$2,100%,AVANCE[[#This Row],[REVESTIMIENTO INTERIOR ZONA SECA]])</f>
        <v>0</v>
      </c>
      <c r="CL638" s="3">
        <f>+IF(AVANCE[[#This Row],[REVESTIMIENTO INTERIOR ZONAS HUMEDAS]]=AX$2,100%,AVANCE[[#This Row],[REVESTIMIENTO INTERIOR ZONAS HUMEDAS]])</f>
        <v>0</v>
      </c>
      <c r="CM638" s="3">
        <f>+IF(AVANCE[[#This Row],[MEMBRANA CIELO]]=AY$2,100%,AVANCE[[#This Row],[MEMBRANA CIELO]])</f>
        <v>0</v>
      </c>
      <c r="CN638" s="3">
        <f>+IF(AVANCE[[#This Row],[LIMPIEZA FINAL]]=AZ$2,100%,AVANCE[[#This Row],[LIMPIEZA FINAL]])</f>
        <v>0</v>
      </c>
      <c r="CO638" s="3">
        <f>+IF(AVANCE[[#This Row],[PUERTAS DORMITORIO]]=BA$2,100%,AVANCE[[#This Row],[PUERTAS DORMITORIO]])</f>
        <v>0</v>
      </c>
      <c r="CP638" s="3">
        <f>+IF(AVANCE[[#This Row],[REVESTIMIENTO INTERIOR BANO]]=BB$2,100%,AVANCE[[#This Row],[REVESTIMIENTO INTERIOR BANO]])</f>
        <v>0</v>
      </c>
      <c r="CQ638" s="3">
        <f>+IF(AVANCE[[#This Row],[MUEBLE LAVAPLATOS]]=BC$2,100%,AVANCE[[#This Row],[MUEBLE LAVAPLATOS]])</f>
        <v>0</v>
      </c>
      <c r="CR638" s="3">
        <f>+IF(AVANCE[[#This Row],[IMPERMEABILIZACION BANO - COCINA LOGIA]]=BD$2,100%,AVANCE[[#This Row],[IMPERMEABILIZACION BANO - COCINA LOGIA]])</f>
        <v>0</v>
      </c>
      <c r="CS638" s="40">
        <f ca="1">+IF(AVANCE[[#This Row],[ESTADO MODULO]]="PENDIENTE",(TODAY()-AVANCE[[#This Row],[FECHA TERMINO  PLANIFICADO]]),0)</f>
        <v>0</v>
      </c>
      <c r="CT638" s="41" t="str" cm="1">
        <f t="array" ref="CT638">_xlfn.TEXTJOIN(" | ",TRUE,IF(SUMPRODUCT((BG638:CR638&lt;1)*(PARTIDAS!$I$2:$AT$2="OBRA GRUESA"))&gt;0,"OBRA GRUESA: "&amp;_xlfn.TEXTJOIN(", ",TRUE,IF((BG638:CR638&lt;1)*(PARTIDAS!$I$2:$AT$2="OBRA GRUESA"),PARTIDAS!$I$1:$AT$1,"")),""),IF(SUMPRODUCT((BG638:CR638&lt;1)*(PARTIDAS!$I$2:$AT$2="SANITARIOS"))&gt;0,"SANITARIOS: "&amp;_xlfn.TEXTJOIN(", ",TRUE,IF((BG638:CR638&lt;1)*(PARTIDAS!$I$2:$AT$2="SANITARIOS"),PARTIDAS!$I$1:$AT$1,"")),""),IF(SUMPRODUCT((BG638:CR638&lt;1)*(PARTIDAS!$I$2:$AT$2="ELÉCTRICO"))&gt;0,"ELÉCTRICO: "&amp;_xlfn.TEXTJOIN(", ",TRUE,IF((BG638:CR638&lt;1)*(PARTIDAS!$I$2:$AT$2="ELÉCTRICO"),PARTIDAS!$I$1:$AT$1,"")),""),IF(SUMPRODUCT((BG638:CR638&lt;1)*(PARTIDAS!$I$2:$AT$2="TERMINACIONES"))&gt;0,"TERMINACIONES: "&amp;_xlfn.TEXTJOIN(", ",TRUE,IF((BG638:CR638&lt;1)*(PARTIDAS!$I$2:$AT$2="TERMINACIONES"),PARTIDAS!$I$1:$AT$1,"")),""))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8" s="43" t="str" cm="1">
        <f t="array" ref="CU638">_xlfn.TEXTJOIN(", ",TRUE,IF(SUMPRODUCT((BG638:CR638&lt;1)*(PARTIDAS!$I$2:$AT$2="OBRA GRUESA"))&gt;0,"OBRA GRUESA",""),IF(SUMPRODUCT((BG638:CR638&lt;1)*(PARTIDAS!$I$2:$AT$2="SANITARIOS"))&gt;0,"SANITARIOS",""),IF(SUMPRODUCT((BG638:CR638&lt;1)*(PARTIDAS!$I$2:$AT$2="ELÉCTRICO"))&gt;0,"ELÉCTRICO",""),IF(SUMPRODUCT((BG638:CR638&lt;1)*(PARTIDAS!$I$2:$AT$2="TERMINACIONES"))&gt;0,"TERMINACIONES",""))</f>
        <v>OBRA GRUESA, SANITARIOS, ELÉCTRICO, TERMINACIONES</v>
      </c>
      <c r="CV638" s="44" cm="1">
        <f t="array" ref="CV638">SUMPRODUCT(--(BG638:CR638&lt;1))</f>
        <v>38</v>
      </c>
    </row>
    <row r="639" spans="1:100" hidden="1" x14ac:dyDescent="0.25">
      <c r="A639" t="s">
        <v>685</v>
      </c>
      <c r="B639" t="s">
        <v>715</v>
      </c>
      <c r="C639">
        <v>2302600638</v>
      </c>
      <c r="D639" t="s">
        <v>60</v>
      </c>
      <c r="E639" s="2">
        <v>0</v>
      </c>
      <c r="F639" s="1">
        <v>46457</v>
      </c>
      <c r="G639" s="1"/>
      <c r="H639" s="1">
        <v>0</v>
      </c>
      <c r="I639" s="1">
        <v>46487</v>
      </c>
      <c r="J639">
        <v>46230</v>
      </c>
      <c r="K639" s="1"/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>
        <v>31.32</v>
      </c>
      <c r="BF639" s="3" t="str">
        <f>+IF(AVANCE[[#This Row],[% AVANCE]]=100%,"MODULO TERMINADO",IF(AVANCE[[#This Row],[FECHA INICIO REAL]]="","MODULO NO INICIADO","PENDIENTE"))</f>
        <v>MODULO NO INICIADO</v>
      </c>
      <c r="BG639" s="3">
        <f>+IF(AVANCE[[#This Row],[VENTANAS]]=8.10810810810811%,100%,AVANCE[[#This Row],[VENTANAS]])</f>
        <v>0</v>
      </c>
      <c r="BH639" s="3">
        <f>+IF(AVANCE[[#This Row],[PISO]]=N$2,100%,AVANCE[[#This Row],[PISO]])</f>
        <v>0</v>
      </c>
      <c r="BI639" s="3">
        <f>+IF(AVANCE[[#This Row],[TABIQUES]]=O$2,100%,AVANCE[[#This Row],[TABIQUES]])</f>
        <v>0</v>
      </c>
      <c r="BJ639" s="3">
        <f>+IF(AVANCE[[#This Row],[MUROS]]=P$2,100%,AVANCE[[#This Row],[MUROS]])</f>
        <v>0</v>
      </c>
      <c r="BK639" s="3">
        <f>+IF(AVANCE[[#This Row],[CIELO]]=Q$2,100%,AVANCE[[#This Row],[CIELO]])</f>
        <v>0</v>
      </c>
      <c r="BL639" s="3">
        <f>+IF(AVANCE[[#This Row],[BALCÓN]]=R$2,100%,AVANCE[[#This Row],[BALCÓN]])</f>
        <v>0</v>
      </c>
      <c r="BM639" s="3">
        <f>+IF(AVANCE[[#This Row],[RED ALCANTARILLADO]]=U$2,100%,AVANCE[[#This Row],[RED ALCANTARILLADO]])</f>
        <v>0</v>
      </c>
      <c r="BN639" s="3">
        <f>+IF(AVANCE[[#This Row],[RED DE AGUA]]=V$2,100%,AVANCE[[#This Row],[RED DE AGUA]])</f>
        <v>0</v>
      </c>
      <c r="BO639" s="3">
        <f>+IF(AVANCE[[#This Row],[VENTILACIONES]]=W$2,100%,AVANCE[[#This Row],[VENTILACIONES]])</f>
        <v>0</v>
      </c>
      <c r="BP639" s="3">
        <f>+IF(AVANCE[[#This Row],[TINA]]=X$2,100%,AVANCE[[#This Row],[TINA]])</f>
        <v>0</v>
      </c>
      <c r="BQ639" s="3">
        <f>+IF(AVANCE[[#This Row],[WC]]=Y$2,100%,AVANCE[[#This Row],[WC]])</f>
        <v>0</v>
      </c>
      <c r="BR639" s="3">
        <f>+IF(AVANCE[[#This Row],[LAVAMANOS / LAVAPLATOS / LAVADERO]]=Z$2,100%,AVANCE[[#This Row],[LAVAMANOS / LAVAPLATOS / LAVADERO]])</f>
        <v>0</v>
      </c>
      <c r="BS639" s="3">
        <f>+IF(AVANCE[[#This Row],[CANALIZACIÓN]]=AC$2,100%,AVANCE[[#This Row],[CANALIZACIÓN]])</f>
        <v>0</v>
      </c>
      <c r="BT639" s="3">
        <f>+IF(AVANCE[[#This Row],[CABLEADO]]=AD$2,100%,AVANCE[[#This Row],[CABLEADO]])</f>
        <v>0</v>
      </c>
      <c r="BU639" s="3">
        <f>+IF(AVANCE[[#This Row],[ARTEFACTOS]]=AE$2,100%,AVANCE[[#This Row],[ARTEFACTOS]])</f>
        <v>0</v>
      </c>
      <c r="BV639" s="3">
        <f>+IF(AVANCE[[#This Row],[TABLERO]]=AF$2,100%,AVANCE[[#This Row],[TABLERO]])</f>
        <v>0</v>
      </c>
      <c r="BW639" s="3">
        <f>+IF(AVANCE[[#This Row],[CAJA PAU]]=AG$2,100%,AVANCE[[#This Row],[CAJA PAU]])</f>
        <v>0</v>
      </c>
      <c r="BX639" s="3">
        <f>+IF(AVANCE[[#This Row],[INSTALACION VINILICO]]=AJ$2,100%,AVANCE[[#This Row],[INSTALACION VINILICO]])</f>
        <v>0</v>
      </c>
      <c r="BY639" s="3">
        <f>+IF(AVANCE[[#This Row],[OSB CUBIERTA]]=AK$2,100%,AVANCE[[#This Row],[OSB CUBIERTA]])</f>
        <v>0</v>
      </c>
      <c r="BZ639" s="3">
        <f>+IF(AVANCE[[#This Row],[BARANDA BALCON]]=AL$2,100%,AVANCE[[#This Row],[BARANDA BALCON]])</f>
        <v>0</v>
      </c>
      <c r="CA639" s="3">
        <f>+IF(AVANCE[[#This Row],[OSB EXTERIOR]]=AM$2,100%,AVANCE[[#This Row],[OSB EXTERIOR]])</f>
        <v>0</v>
      </c>
      <c r="CB639" s="3">
        <f>+IF(AVANCE[[#This Row],[SMART PANEL]]=AN$2,100%,AVANCE[[#This Row],[SMART PANEL]])</f>
        <v>0</v>
      </c>
      <c r="CC639" s="3">
        <f>+IF(AVANCE[[#This Row],[PINTURA EXTERIOR]]=AO$2,100%,AVANCE[[#This Row],[PINTURA EXTERIOR]])</f>
        <v>0</v>
      </c>
      <c r="CD639" s="3">
        <f>+IF(AVANCE[[#This Row],[ZOCALOS LOGIA]]=AP$2,100%,AVANCE[[#This Row],[ZOCALOS LOGIA]])</f>
        <v>0</v>
      </c>
      <c r="CE639" s="3">
        <f>+IF(AVANCE[[#This Row],[MOLDURAS]]=AQ$2,100%,AVANCE[[#This Row],[MOLDURAS]])</f>
        <v>0</v>
      </c>
      <c r="CF639" s="3">
        <f>+IF(AVANCE[[#This Row],[PILASTREO]]=AR$2,100%,AVANCE[[#This Row],[PILASTREO]])</f>
        <v>0</v>
      </c>
      <c r="CG639" s="3">
        <f>+IF(AVANCE[[#This Row],[CELOSIAS]]=AS$2,100%,AVANCE[[#This Row],[CELOSIAS]])</f>
        <v>0</v>
      </c>
      <c r="CH639" s="3">
        <f>+IF(AVANCE[[#This Row],[VENTANAS]]=AT$2,100%,AVANCE[[#This Row],[VENTANAS]])</f>
        <v>0</v>
      </c>
      <c r="CI639" s="3">
        <f>+IF(AVANCE[[#This Row],[PUERTAS ACCESO - LOGIA - BANO]]=AU$2,100%,AVANCE[[#This Row],[PUERTAS ACCESO - LOGIA - BANO]])</f>
        <v>0</v>
      </c>
      <c r="CJ639" s="3">
        <f>+IF(AVANCE[[#This Row],[CERRADURAS]]=AV$2,100%,AVANCE[[#This Row],[CERRADURAS]])</f>
        <v>0</v>
      </c>
      <c r="CK639" s="3">
        <f>+IF(AVANCE[[#This Row],[REVESTIMIENTO INTERIOR ZONA SECA]]=AW$2,100%,AVANCE[[#This Row],[REVESTIMIENTO INTERIOR ZONA SECA]])</f>
        <v>0</v>
      </c>
      <c r="CL639" s="3">
        <f>+IF(AVANCE[[#This Row],[REVESTIMIENTO INTERIOR ZONAS HUMEDAS]]=AX$2,100%,AVANCE[[#This Row],[REVESTIMIENTO INTERIOR ZONAS HUMEDAS]])</f>
        <v>0</v>
      </c>
      <c r="CM639" s="3">
        <f>+IF(AVANCE[[#This Row],[MEMBRANA CIELO]]=AY$2,100%,AVANCE[[#This Row],[MEMBRANA CIELO]])</f>
        <v>0</v>
      </c>
      <c r="CN639" s="3">
        <f>+IF(AVANCE[[#This Row],[LIMPIEZA FINAL]]=AZ$2,100%,AVANCE[[#This Row],[LIMPIEZA FINAL]])</f>
        <v>0</v>
      </c>
      <c r="CO639" s="3">
        <f>+IF(AVANCE[[#This Row],[PUERTAS DORMITORIO]]=BA$2,100%,AVANCE[[#This Row],[PUERTAS DORMITORIO]])</f>
        <v>0</v>
      </c>
      <c r="CP639" s="3">
        <f>+IF(AVANCE[[#This Row],[REVESTIMIENTO INTERIOR BANO]]=BB$2,100%,AVANCE[[#This Row],[REVESTIMIENTO INTERIOR BANO]])</f>
        <v>0</v>
      </c>
      <c r="CQ639" s="3">
        <f>+IF(AVANCE[[#This Row],[MUEBLE LAVAPLATOS]]=BC$2,100%,AVANCE[[#This Row],[MUEBLE LAVAPLATOS]])</f>
        <v>0</v>
      </c>
      <c r="CR639" s="3">
        <f>+IF(AVANCE[[#This Row],[IMPERMEABILIZACION BANO - COCINA LOGIA]]=BD$2,100%,AVANCE[[#This Row],[IMPERMEABILIZACION BANO - COCINA LOGIA]])</f>
        <v>0</v>
      </c>
      <c r="CS639" s="40">
        <f ca="1">+IF(AVANCE[[#This Row],[ESTADO MODULO]]="PENDIENTE",(TODAY()-AVANCE[[#This Row],[FECHA TERMINO  PLANIFICADO]]),0)</f>
        <v>0</v>
      </c>
      <c r="CT639" s="41" t="str" cm="1">
        <f t="array" ref="CT639">_xlfn.TEXTJOIN(" | ",TRUE,IF(SUMPRODUCT((BG639:CR639&lt;1)*(PARTIDAS!$I$2:$AT$2="OBRA GRUESA"))&gt;0,"OBRA GRUESA: "&amp;_xlfn.TEXTJOIN(", ",TRUE,IF((BG639:CR639&lt;1)*(PARTIDAS!$I$2:$AT$2="OBRA GRUESA"),PARTIDAS!$I$1:$AT$1,"")),""),IF(SUMPRODUCT((BG639:CR639&lt;1)*(PARTIDAS!$I$2:$AT$2="SANITARIOS"))&gt;0,"SANITARIOS: "&amp;_xlfn.TEXTJOIN(", ",TRUE,IF((BG639:CR639&lt;1)*(PARTIDAS!$I$2:$AT$2="SANITARIOS"),PARTIDAS!$I$1:$AT$1,"")),""),IF(SUMPRODUCT((BG639:CR639&lt;1)*(PARTIDAS!$I$2:$AT$2="ELÉCTRICO"))&gt;0,"ELÉCTRICO: "&amp;_xlfn.TEXTJOIN(", ",TRUE,IF((BG639:CR639&lt;1)*(PARTIDAS!$I$2:$AT$2="ELÉCTRICO"),PARTIDAS!$I$1:$AT$1,"")),""),IF(SUMPRODUCT((BG639:CR639&lt;1)*(PARTIDAS!$I$2:$AT$2="TERMINACIONES"))&gt;0,"TERMINACIONES: "&amp;_xlfn.TEXTJOIN(", ",TRUE,IF((BG639:CR639&lt;1)*(PARTIDAS!$I$2:$AT$2="TERMINACIONES"),PARTIDAS!$I$1:$AT$1,"")),""))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39" s="43" t="str" cm="1">
        <f t="array" ref="CU639">_xlfn.TEXTJOIN(", ",TRUE,IF(SUMPRODUCT((BG639:CR639&lt;1)*(PARTIDAS!$I$2:$AT$2="OBRA GRUESA"))&gt;0,"OBRA GRUESA",""),IF(SUMPRODUCT((BG639:CR639&lt;1)*(PARTIDAS!$I$2:$AT$2="SANITARIOS"))&gt;0,"SANITARIOS",""),IF(SUMPRODUCT((BG639:CR639&lt;1)*(PARTIDAS!$I$2:$AT$2="ELÉCTRICO"))&gt;0,"ELÉCTRICO",""),IF(SUMPRODUCT((BG639:CR639&lt;1)*(PARTIDAS!$I$2:$AT$2="TERMINACIONES"))&gt;0,"TERMINACIONES",""))</f>
        <v>OBRA GRUESA, SANITARIOS, ELÉCTRICO, TERMINACIONES</v>
      </c>
      <c r="CV639" s="44" cm="1">
        <f t="array" ref="CV639">SUMPRODUCT(--(BG639:CR639&lt;1))</f>
        <v>38</v>
      </c>
    </row>
    <row r="640" spans="1:100" hidden="1" x14ac:dyDescent="0.25">
      <c r="A640" t="s">
        <v>685</v>
      </c>
      <c r="B640" t="s">
        <v>716</v>
      </c>
      <c r="C640">
        <v>2302600639</v>
      </c>
      <c r="D640" t="s">
        <v>60</v>
      </c>
      <c r="E640" s="2">
        <v>0</v>
      </c>
      <c r="F640" s="1">
        <v>46457</v>
      </c>
      <c r="G640" s="1"/>
      <c r="H640" s="1">
        <v>0</v>
      </c>
      <c r="I640" s="1">
        <v>46487</v>
      </c>
      <c r="J640">
        <v>46230</v>
      </c>
      <c r="K640" s="1"/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>
        <v>31.32</v>
      </c>
      <c r="BF640" s="3" t="str">
        <f>+IF(AVANCE[[#This Row],[% AVANCE]]=100%,"MODULO TERMINADO",IF(AVANCE[[#This Row],[FECHA INICIO REAL]]="","MODULO NO INICIADO","PENDIENTE"))</f>
        <v>MODULO NO INICIADO</v>
      </c>
      <c r="BG640" s="3">
        <f>+IF(AVANCE[[#This Row],[VENTANAS]]=8.10810810810811%,100%,AVANCE[[#This Row],[VENTANAS]])</f>
        <v>0</v>
      </c>
      <c r="BH640" s="3">
        <f>+IF(AVANCE[[#This Row],[PISO]]=N$2,100%,AVANCE[[#This Row],[PISO]])</f>
        <v>0</v>
      </c>
      <c r="BI640" s="3">
        <f>+IF(AVANCE[[#This Row],[TABIQUES]]=O$2,100%,AVANCE[[#This Row],[TABIQUES]])</f>
        <v>0</v>
      </c>
      <c r="BJ640" s="3">
        <f>+IF(AVANCE[[#This Row],[MUROS]]=P$2,100%,AVANCE[[#This Row],[MUROS]])</f>
        <v>0</v>
      </c>
      <c r="BK640" s="3">
        <f>+IF(AVANCE[[#This Row],[CIELO]]=Q$2,100%,AVANCE[[#This Row],[CIELO]])</f>
        <v>0</v>
      </c>
      <c r="BL640" s="3">
        <f>+IF(AVANCE[[#This Row],[BALCÓN]]=R$2,100%,AVANCE[[#This Row],[BALCÓN]])</f>
        <v>0</v>
      </c>
      <c r="BM640" s="3">
        <f>+IF(AVANCE[[#This Row],[RED ALCANTARILLADO]]=U$2,100%,AVANCE[[#This Row],[RED ALCANTARILLADO]])</f>
        <v>0</v>
      </c>
      <c r="BN640" s="3">
        <f>+IF(AVANCE[[#This Row],[RED DE AGUA]]=V$2,100%,AVANCE[[#This Row],[RED DE AGUA]])</f>
        <v>0</v>
      </c>
      <c r="BO640" s="3">
        <f>+IF(AVANCE[[#This Row],[VENTILACIONES]]=W$2,100%,AVANCE[[#This Row],[VENTILACIONES]])</f>
        <v>0</v>
      </c>
      <c r="BP640" s="3">
        <f>+IF(AVANCE[[#This Row],[TINA]]=X$2,100%,AVANCE[[#This Row],[TINA]])</f>
        <v>0</v>
      </c>
      <c r="BQ640" s="3">
        <f>+IF(AVANCE[[#This Row],[WC]]=Y$2,100%,AVANCE[[#This Row],[WC]])</f>
        <v>0</v>
      </c>
      <c r="BR640" s="3">
        <f>+IF(AVANCE[[#This Row],[LAVAMANOS / LAVAPLATOS / LAVADERO]]=Z$2,100%,AVANCE[[#This Row],[LAVAMANOS / LAVAPLATOS / LAVADERO]])</f>
        <v>0</v>
      </c>
      <c r="BS640" s="3">
        <f>+IF(AVANCE[[#This Row],[CANALIZACIÓN]]=AC$2,100%,AVANCE[[#This Row],[CANALIZACIÓN]])</f>
        <v>0</v>
      </c>
      <c r="BT640" s="3">
        <f>+IF(AVANCE[[#This Row],[CABLEADO]]=AD$2,100%,AVANCE[[#This Row],[CABLEADO]])</f>
        <v>0</v>
      </c>
      <c r="BU640" s="3">
        <f>+IF(AVANCE[[#This Row],[ARTEFACTOS]]=AE$2,100%,AVANCE[[#This Row],[ARTEFACTOS]])</f>
        <v>0</v>
      </c>
      <c r="BV640" s="3">
        <f>+IF(AVANCE[[#This Row],[TABLERO]]=AF$2,100%,AVANCE[[#This Row],[TABLERO]])</f>
        <v>0</v>
      </c>
      <c r="BW640" s="3">
        <f>+IF(AVANCE[[#This Row],[CAJA PAU]]=AG$2,100%,AVANCE[[#This Row],[CAJA PAU]])</f>
        <v>0</v>
      </c>
      <c r="BX640" s="3">
        <f>+IF(AVANCE[[#This Row],[INSTALACION VINILICO]]=AJ$2,100%,AVANCE[[#This Row],[INSTALACION VINILICO]])</f>
        <v>0</v>
      </c>
      <c r="BY640" s="3">
        <f>+IF(AVANCE[[#This Row],[OSB CUBIERTA]]=AK$2,100%,AVANCE[[#This Row],[OSB CUBIERTA]])</f>
        <v>0</v>
      </c>
      <c r="BZ640" s="3">
        <f>+IF(AVANCE[[#This Row],[BARANDA BALCON]]=AL$2,100%,AVANCE[[#This Row],[BARANDA BALCON]])</f>
        <v>0</v>
      </c>
      <c r="CA640" s="3">
        <f>+IF(AVANCE[[#This Row],[OSB EXTERIOR]]=AM$2,100%,AVANCE[[#This Row],[OSB EXTERIOR]])</f>
        <v>0</v>
      </c>
      <c r="CB640" s="3">
        <f>+IF(AVANCE[[#This Row],[SMART PANEL]]=AN$2,100%,AVANCE[[#This Row],[SMART PANEL]])</f>
        <v>0</v>
      </c>
      <c r="CC640" s="3">
        <f>+IF(AVANCE[[#This Row],[PINTURA EXTERIOR]]=AO$2,100%,AVANCE[[#This Row],[PINTURA EXTERIOR]])</f>
        <v>0</v>
      </c>
      <c r="CD640" s="3">
        <f>+IF(AVANCE[[#This Row],[ZOCALOS LOGIA]]=AP$2,100%,AVANCE[[#This Row],[ZOCALOS LOGIA]])</f>
        <v>0</v>
      </c>
      <c r="CE640" s="3">
        <f>+IF(AVANCE[[#This Row],[MOLDURAS]]=AQ$2,100%,AVANCE[[#This Row],[MOLDURAS]])</f>
        <v>0</v>
      </c>
      <c r="CF640" s="3">
        <f>+IF(AVANCE[[#This Row],[PILASTREO]]=AR$2,100%,AVANCE[[#This Row],[PILASTREO]])</f>
        <v>0</v>
      </c>
      <c r="CG640" s="3">
        <f>+IF(AVANCE[[#This Row],[CELOSIAS]]=AS$2,100%,AVANCE[[#This Row],[CELOSIAS]])</f>
        <v>0</v>
      </c>
      <c r="CH640" s="3">
        <f>+IF(AVANCE[[#This Row],[VENTANAS]]=AT$2,100%,AVANCE[[#This Row],[VENTANAS]])</f>
        <v>0</v>
      </c>
      <c r="CI640" s="3">
        <f>+IF(AVANCE[[#This Row],[PUERTAS ACCESO - LOGIA - BANO]]=AU$2,100%,AVANCE[[#This Row],[PUERTAS ACCESO - LOGIA - BANO]])</f>
        <v>0</v>
      </c>
      <c r="CJ640" s="3">
        <f>+IF(AVANCE[[#This Row],[CERRADURAS]]=AV$2,100%,AVANCE[[#This Row],[CERRADURAS]])</f>
        <v>0</v>
      </c>
      <c r="CK640" s="3">
        <f>+IF(AVANCE[[#This Row],[REVESTIMIENTO INTERIOR ZONA SECA]]=AW$2,100%,AVANCE[[#This Row],[REVESTIMIENTO INTERIOR ZONA SECA]])</f>
        <v>0</v>
      </c>
      <c r="CL640" s="3">
        <f>+IF(AVANCE[[#This Row],[REVESTIMIENTO INTERIOR ZONAS HUMEDAS]]=AX$2,100%,AVANCE[[#This Row],[REVESTIMIENTO INTERIOR ZONAS HUMEDAS]])</f>
        <v>0</v>
      </c>
      <c r="CM640" s="3">
        <f>+IF(AVANCE[[#This Row],[MEMBRANA CIELO]]=AY$2,100%,AVANCE[[#This Row],[MEMBRANA CIELO]])</f>
        <v>0</v>
      </c>
      <c r="CN640" s="3">
        <f>+IF(AVANCE[[#This Row],[LIMPIEZA FINAL]]=AZ$2,100%,AVANCE[[#This Row],[LIMPIEZA FINAL]])</f>
        <v>0</v>
      </c>
      <c r="CO640" s="3">
        <f>+IF(AVANCE[[#This Row],[PUERTAS DORMITORIO]]=BA$2,100%,AVANCE[[#This Row],[PUERTAS DORMITORIO]])</f>
        <v>0</v>
      </c>
      <c r="CP640" s="3">
        <f>+IF(AVANCE[[#This Row],[REVESTIMIENTO INTERIOR BANO]]=BB$2,100%,AVANCE[[#This Row],[REVESTIMIENTO INTERIOR BANO]])</f>
        <v>0</v>
      </c>
      <c r="CQ640" s="3">
        <f>+IF(AVANCE[[#This Row],[MUEBLE LAVAPLATOS]]=BC$2,100%,AVANCE[[#This Row],[MUEBLE LAVAPLATOS]])</f>
        <v>0</v>
      </c>
      <c r="CR640" s="3">
        <f>+IF(AVANCE[[#This Row],[IMPERMEABILIZACION BANO - COCINA LOGIA]]=BD$2,100%,AVANCE[[#This Row],[IMPERMEABILIZACION BANO - COCINA LOGIA]])</f>
        <v>0</v>
      </c>
      <c r="CS640" s="40">
        <f ca="1">+IF(AVANCE[[#This Row],[ESTADO MODULO]]="PENDIENTE",(TODAY()-AVANCE[[#This Row],[FECHA TERMINO  PLANIFICADO]]),0)</f>
        <v>0</v>
      </c>
      <c r="CT640" s="41" t="str" cm="1">
        <f t="array" ref="CT640">_xlfn.TEXTJOIN(" | ",TRUE,IF(SUMPRODUCT((BG640:CR640&lt;1)*(PARTIDAS!$I$2:$AT$2="OBRA GRUESA"))&gt;0,"OBRA GRUESA: "&amp;_xlfn.TEXTJOIN(", ",TRUE,IF((BG640:CR640&lt;1)*(PARTIDAS!$I$2:$AT$2="OBRA GRUESA"),PARTIDAS!$I$1:$AT$1,"")),""),IF(SUMPRODUCT((BG640:CR640&lt;1)*(PARTIDAS!$I$2:$AT$2="SANITARIOS"))&gt;0,"SANITARIOS: "&amp;_xlfn.TEXTJOIN(", ",TRUE,IF((BG640:CR640&lt;1)*(PARTIDAS!$I$2:$AT$2="SANITARIOS"),PARTIDAS!$I$1:$AT$1,"")),""),IF(SUMPRODUCT((BG640:CR640&lt;1)*(PARTIDAS!$I$2:$AT$2="ELÉCTRICO"))&gt;0,"ELÉCTRICO: "&amp;_xlfn.TEXTJOIN(", ",TRUE,IF((BG640:CR640&lt;1)*(PARTIDAS!$I$2:$AT$2="ELÉCTRICO"),PARTIDAS!$I$1:$AT$1,"")),""),IF(SUMPRODUCT((BG640:CR640&lt;1)*(PARTIDAS!$I$2:$AT$2="TERMINACIONES"))&gt;0,"TERMINACIONES: "&amp;_xlfn.TEXTJOIN(", ",TRUE,IF((BG640:CR640&lt;1)*(PARTIDAS!$I$2:$AT$2="TERMINACIONES"),PARTIDAS!$I$1:$AT$1,"")),""))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0" s="43" t="str" cm="1">
        <f t="array" ref="CU640">_xlfn.TEXTJOIN(", ",TRUE,IF(SUMPRODUCT((BG640:CR640&lt;1)*(PARTIDAS!$I$2:$AT$2="OBRA GRUESA"))&gt;0,"OBRA GRUESA",""),IF(SUMPRODUCT((BG640:CR640&lt;1)*(PARTIDAS!$I$2:$AT$2="SANITARIOS"))&gt;0,"SANITARIOS",""),IF(SUMPRODUCT((BG640:CR640&lt;1)*(PARTIDAS!$I$2:$AT$2="ELÉCTRICO"))&gt;0,"ELÉCTRICO",""),IF(SUMPRODUCT((BG640:CR640&lt;1)*(PARTIDAS!$I$2:$AT$2="TERMINACIONES"))&gt;0,"TERMINACIONES",""))</f>
        <v>OBRA GRUESA, SANITARIOS, ELÉCTRICO, TERMINACIONES</v>
      </c>
      <c r="CV640" s="44" cm="1">
        <f t="array" ref="CV640">SUMPRODUCT(--(BG640:CR640&lt;1))</f>
        <v>38</v>
      </c>
    </row>
    <row r="641" spans="1:100" hidden="1" x14ac:dyDescent="0.25">
      <c r="A641" t="s">
        <v>685</v>
      </c>
      <c r="B641" t="s">
        <v>717</v>
      </c>
      <c r="C641">
        <v>2282600640</v>
      </c>
      <c r="D641" t="s">
        <v>58</v>
      </c>
      <c r="E641" s="2">
        <v>0</v>
      </c>
      <c r="F641" s="1">
        <v>46457</v>
      </c>
      <c r="G641" s="1"/>
      <c r="H641" s="1">
        <v>0</v>
      </c>
      <c r="I641" s="1">
        <v>46477</v>
      </c>
      <c r="J641">
        <v>46230</v>
      </c>
      <c r="K641" s="1"/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>
        <v>28.87</v>
      </c>
      <c r="BF641" s="3" t="str">
        <f>+IF(AVANCE[[#This Row],[% AVANCE]]=100%,"MODULO TERMINADO",IF(AVANCE[[#This Row],[FECHA INICIO REAL]]="","MODULO NO INICIADO","PENDIENTE"))</f>
        <v>MODULO NO INICIADO</v>
      </c>
      <c r="BG641" s="3">
        <f>+IF(AVANCE[[#This Row],[VENTANAS]]=8.10810810810811%,100%,AVANCE[[#This Row],[VENTANAS]])</f>
        <v>0</v>
      </c>
      <c r="BH641" s="3">
        <f>+IF(AVANCE[[#This Row],[PISO]]=N$2,100%,AVANCE[[#This Row],[PISO]])</f>
        <v>0</v>
      </c>
      <c r="BI641" s="3">
        <f>+IF(AVANCE[[#This Row],[TABIQUES]]=O$2,100%,AVANCE[[#This Row],[TABIQUES]])</f>
        <v>0</v>
      </c>
      <c r="BJ641" s="3">
        <f>+IF(AVANCE[[#This Row],[MUROS]]=P$2,100%,AVANCE[[#This Row],[MUROS]])</f>
        <v>0</v>
      </c>
      <c r="BK641" s="3">
        <f>+IF(AVANCE[[#This Row],[CIELO]]=Q$2,100%,AVANCE[[#This Row],[CIELO]])</f>
        <v>0</v>
      </c>
      <c r="BL641" s="3">
        <f>+IF(AVANCE[[#This Row],[BALCÓN]]=R$2,100%,AVANCE[[#This Row],[BALCÓN]])</f>
        <v>0</v>
      </c>
      <c r="BM641" s="3">
        <f>+IF(AVANCE[[#This Row],[RED ALCANTARILLADO]]=U$2,100%,AVANCE[[#This Row],[RED ALCANTARILLADO]])</f>
        <v>0</v>
      </c>
      <c r="BN641" s="3">
        <f>+IF(AVANCE[[#This Row],[RED DE AGUA]]=V$2,100%,AVANCE[[#This Row],[RED DE AGUA]])</f>
        <v>0</v>
      </c>
      <c r="BO641" s="3">
        <f>+IF(AVANCE[[#This Row],[VENTILACIONES]]=W$2,100%,AVANCE[[#This Row],[VENTILACIONES]])</f>
        <v>0</v>
      </c>
      <c r="BP641" s="3">
        <f>+IF(AVANCE[[#This Row],[TINA]]=X$2,100%,AVANCE[[#This Row],[TINA]])</f>
        <v>0</v>
      </c>
      <c r="BQ641" s="3">
        <f>+IF(AVANCE[[#This Row],[WC]]=Y$2,100%,AVANCE[[#This Row],[WC]])</f>
        <v>0</v>
      </c>
      <c r="BR641" s="3">
        <f>+IF(AVANCE[[#This Row],[LAVAMANOS / LAVAPLATOS / LAVADERO]]=Z$2,100%,AVANCE[[#This Row],[LAVAMANOS / LAVAPLATOS / LAVADERO]])</f>
        <v>0</v>
      </c>
      <c r="BS641" s="3">
        <f>+IF(AVANCE[[#This Row],[CANALIZACIÓN]]=AC$2,100%,AVANCE[[#This Row],[CANALIZACIÓN]])</f>
        <v>0</v>
      </c>
      <c r="BT641" s="3">
        <f>+IF(AVANCE[[#This Row],[CABLEADO]]=AD$2,100%,AVANCE[[#This Row],[CABLEADO]])</f>
        <v>0</v>
      </c>
      <c r="BU641" s="3">
        <f>+IF(AVANCE[[#This Row],[ARTEFACTOS]]=AE$2,100%,AVANCE[[#This Row],[ARTEFACTOS]])</f>
        <v>0</v>
      </c>
      <c r="BV641" s="3">
        <f>+IF(AVANCE[[#This Row],[TABLERO]]=AF$2,100%,AVANCE[[#This Row],[TABLERO]])</f>
        <v>0</v>
      </c>
      <c r="BW641" s="3">
        <f>+IF(AVANCE[[#This Row],[CAJA PAU]]=AG$2,100%,AVANCE[[#This Row],[CAJA PAU]])</f>
        <v>0</v>
      </c>
      <c r="BX641" s="3">
        <f>+IF(AVANCE[[#This Row],[INSTALACION VINILICO]]=AJ$2,100%,AVANCE[[#This Row],[INSTALACION VINILICO]])</f>
        <v>0</v>
      </c>
      <c r="BY641" s="3">
        <f>+IF(AVANCE[[#This Row],[OSB CUBIERTA]]=AK$2,100%,AVANCE[[#This Row],[OSB CUBIERTA]])</f>
        <v>0</v>
      </c>
      <c r="BZ641" s="3">
        <f>+IF(AVANCE[[#This Row],[BARANDA BALCON]]=AL$2,100%,AVANCE[[#This Row],[BARANDA BALCON]])</f>
        <v>0</v>
      </c>
      <c r="CA641" s="3">
        <f>+IF(AVANCE[[#This Row],[OSB EXTERIOR]]=AM$2,100%,AVANCE[[#This Row],[OSB EXTERIOR]])</f>
        <v>0</v>
      </c>
      <c r="CB641" s="3">
        <f>+IF(AVANCE[[#This Row],[SMART PANEL]]=AN$2,100%,AVANCE[[#This Row],[SMART PANEL]])</f>
        <v>0</v>
      </c>
      <c r="CC641" s="3">
        <f>+IF(AVANCE[[#This Row],[PINTURA EXTERIOR]]=AO$2,100%,AVANCE[[#This Row],[PINTURA EXTERIOR]])</f>
        <v>0</v>
      </c>
      <c r="CD641" s="3">
        <f>+IF(AVANCE[[#This Row],[ZOCALOS LOGIA]]=AP$2,100%,AVANCE[[#This Row],[ZOCALOS LOGIA]])</f>
        <v>0</v>
      </c>
      <c r="CE641" s="3">
        <f>+IF(AVANCE[[#This Row],[MOLDURAS]]=AQ$2,100%,AVANCE[[#This Row],[MOLDURAS]])</f>
        <v>0</v>
      </c>
      <c r="CF641" s="3">
        <f>+IF(AVANCE[[#This Row],[PILASTREO]]=AR$2,100%,AVANCE[[#This Row],[PILASTREO]])</f>
        <v>0</v>
      </c>
      <c r="CG641" s="3">
        <f>+IF(AVANCE[[#This Row],[CELOSIAS]]=AS$2,100%,AVANCE[[#This Row],[CELOSIAS]])</f>
        <v>0</v>
      </c>
      <c r="CH641" s="3">
        <f>+IF(AVANCE[[#This Row],[VENTANAS]]=AT$2,100%,AVANCE[[#This Row],[VENTANAS]])</f>
        <v>0</v>
      </c>
      <c r="CI641" s="3">
        <f>+IF(AVANCE[[#This Row],[PUERTAS ACCESO - LOGIA - BANO]]=AU$2,100%,AVANCE[[#This Row],[PUERTAS ACCESO - LOGIA - BANO]])</f>
        <v>0</v>
      </c>
      <c r="CJ641" s="3">
        <f>+IF(AVANCE[[#This Row],[CERRADURAS]]=AV$2,100%,AVANCE[[#This Row],[CERRADURAS]])</f>
        <v>0</v>
      </c>
      <c r="CK641" s="3">
        <f>+IF(AVANCE[[#This Row],[REVESTIMIENTO INTERIOR ZONA SECA]]=AW$2,100%,AVANCE[[#This Row],[REVESTIMIENTO INTERIOR ZONA SECA]])</f>
        <v>0</v>
      </c>
      <c r="CL641" s="3">
        <f>+IF(AVANCE[[#This Row],[REVESTIMIENTO INTERIOR ZONAS HUMEDAS]]=AX$2,100%,AVANCE[[#This Row],[REVESTIMIENTO INTERIOR ZONAS HUMEDAS]])</f>
        <v>0</v>
      </c>
      <c r="CM641" s="3">
        <f>+IF(AVANCE[[#This Row],[MEMBRANA CIELO]]=AY$2,100%,AVANCE[[#This Row],[MEMBRANA CIELO]])</f>
        <v>0</v>
      </c>
      <c r="CN641" s="3">
        <f>+IF(AVANCE[[#This Row],[LIMPIEZA FINAL]]=AZ$2,100%,AVANCE[[#This Row],[LIMPIEZA FINAL]])</f>
        <v>0</v>
      </c>
      <c r="CO641" s="3">
        <f>+IF(AVANCE[[#This Row],[PUERTAS DORMITORIO]]=BA$2,100%,AVANCE[[#This Row],[PUERTAS DORMITORIO]])</f>
        <v>0</v>
      </c>
      <c r="CP641" s="3">
        <f>+IF(AVANCE[[#This Row],[REVESTIMIENTO INTERIOR BANO]]=BB$2,100%,AVANCE[[#This Row],[REVESTIMIENTO INTERIOR BANO]])</f>
        <v>0</v>
      </c>
      <c r="CQ641" s="3">
        <f>+IF(AVANCE[[#This Row],[MUEBLE LAVAPLATOS]]=BC$2,100%,AVANCE[[#This Row],[MUEBLE LAVAPLATOS]])</f>
        <v>0</v>
      </c>
      <c r="CR641" s="3">
        <f>+IF(AVANCE[[#This Row],[IMPERMEABILIZACION BANO - COCINA LOGIA]]=BD$2,100%,AVANCE[[#This Row],[IMPERMEABILIZACION BANO - COCINA LOGIA]])</f>
        <v>0</v>
      </c>
      <c r="CS641" s="40">
        <f ca="1">+IF(AVANCE[[#This Row],[ESTADO MODULO]]="PENDIENTE",(TODAY()-AVANCE[[#This Row],[FECHA TERMINO  PLANIFICADO]]),0)</f>
        <v>0</v>
      </c>
      <c r="CT641" s="41" t="str" cm="1">
        <f t="array" ref="CT641">_xlfn.TEXTJOIN(" | ",TRUE,IF(SUMPRODUCT((BG641:CR641&lt;1)*(PARTIDAS!$I$2:$AT$2="OBRA GRUESA"))&gt;0,"OBRA GRUESA: "&amp;_xlfn.TEXTJOIN(", ",TRUE,IF((BG641:CR641&lt;1)*(PARTIDAS!$I$2:$AT$2="OBRA GRUESA"),PARTIDAS!$I$1:$AT$1,"")),""),IF(SUMPRODUCT((BG641:CR641&lt;1)*(PARTIDAS!$I$2:$AT$2="SANITARIOS"))&gt;0,"SANITARIOS: "&amp;_xlfn.TEXTJOIN(", ",TRUE,IF((BG641:CR641&lt;1)*(PARTIDAS!$I$2:$AT$2="SANITARIOS"),PARTIDAS!$I$1:$AT$1,"")),""),IF(SUMPRODUCT((BG641:CR641&lt;1)*(PARTIDAS!$I$2:$AT$2="ELÉCTRICO"))&gt;0,"ELÉCTRICO: "&amp;_xlfn.TEXTJOIN(", ",TRUE,IF((BG641:CR641&lt;1)*(PARTIDAS!$I$2:$AT$2="ELÉCTRICO"),PARTIDAS!$I$1:$AT$1,"")),""),IF(SUMPRODUCT((BG641:CR641&lt;1)*(PARTIDAS!$I$2:$AT$2="TERMINACIONES"))&gt;0,"TERMINACIONES: "&amp;_xlfn.TEXTJOIN(", ",TRUE,IF((BG641:CR641&lt;1)*(PARTIDAS!$I$2:$AT$2="TERMINACIONES"),PARTIDAS!$I$1:$AT$1,"")),""))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1" s="43" t="str" cm="1">
        <f t="array" ref="CU641">_xlfn.TEXTJOIN(", ",TRUE,IF(SUMPRODUCT((BG641:CR641&lt;1)*(PARTIDAS!$I$2:$AT$2="OBRA GRUESA"))&gt;0,"OBRA GRUESA",""),IF(SUMPRODUCT((BG641:CR641&lt;1)*(PARTIDAS!$I$2:$AT$2="SANITARIOS"))&gt;0,"SANITARIOS",""),IF(SUMPRODUCT((BG641:CR641&lt;1)*(PARTIDAS!$I$2:$AT$2="ELÉCTRICO"))&gt;0,"ELÉCTRICO",""),IF(SUMPRODUCT((BG641:CR641&lt;1)*(PARTIDAS!$I$2:$AT$2="TERMINACIONES"))&gt;0,"TERMINACIONES",""))</f>
        <v>OBRA GRUESA, SANITARIOS, ELÉCTRICO, TERMINACIONES</v>
      </c>
      <c r="CV641" s="44" cm="1">
        <f t="array" ref="CV641">SUMPRODUCT(--(BG641:CR641&lt;1))</f>
        <v>38</v>
      </c>
    </row>
    <row r="642" spans="1:100" hidden="1" x14ac:dyDescent="0.25">
      <c r="A642" t="s">
        <v>718</v>
      </c>
      <c r="B642" t="s">
        <v>719</v>
      </c>
      <c r="C642">
        <v>2282600641</v>
      </c>
      <c r="D642" t="s">
        <v>58</v>
      </c>
      <c r="E642" s="2">
        <v>0</v>
      </c>
      <c r="F642" s="1">
        <v>46458</v>
      </c>
      <c r="G642" s="1"/>
      <c r="H642" s="1">
        <v>0</v>
      </c>
      <c r="I642" s="1">
        <v>46478</v>
      </c>
      <c r="J642">
        <v>46230</v>
      </c>
      <c r="K642" s="1"/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>
        <v>28.87</v>
      </c>
      <c r="BF642" s="3" t="str">
        <f>+IF(AVANCE[[#This Row],[% AVANCE]]=100%,"MODULO TERMINADO",IF(AVANCE[[#This Row],[FECHA INICIO REAL]]="","MODULO NO INICIADO","PENDIENTE"))</f>
        <v>MODULO NO INICIADO</v>
      </c>
      <c r="BG642" s="3">
        <f>+IF(AVANCE[[#This Row],[VENTANAS]]=8.10810810810811%,100%,AVANCE[[#This Row],[VENTANAS]])</f>
        <v>0</v>
      </c>
      <c r="BH642" s="3">
        <f>+IF(AVANCE[[#This Row],[PISO]]=N$2,100%,AVANCE[[#This Row],[PISO]])</f>
        <v>0</v>
      </c>
      <c r="BI642" s="3">
        <f>+IF(AVANCE[[#This Row],[TABIQUES]]=O$2,100%,AVANCE[[#This Row],[TABIQUES]])</f>
        <v>0</v>
      </c>
      <c r="BJ642" s="3">
        <f>+IF(AVANCE[[#This Row],[MUROS]]=P$2,100%,AVANCE[[#This Row],[MUROS]])</f>
        <v>0</v>
      </c>
      <c r="BK642" s="3">
        <f>+IF(AVANCE[[#This Row],[CIELO]]=Q$2,100%,AVANCE[[#This Row],[CIELO]])</f>
        <v>0</v>
      </c>
      <c r="BL642" s="3">
        <f>+IF(AVANCE[[#This Row],[BALCÓN]]=R$2,100%,AVANCE[[#This Row],[BALCÓN]])</f>
        <v>0</v>
      </c>
      <c r="BM642" s="3">
        <f>+IF(AVANCE[[#This Row],[RED ALCANTARILLADO]]=U$2,100%,AVANCE[[#This Row],[RED ALCANTARILLADO]])</f>
        <v>0</v>
      </c>
      <c r="BN642" s="3">
        <f>+IF(AVANCE[[#This Row],[RED DE AGUA]]=V$2,100%,AVANCE[[#This Row],[RED DE AGUA]])</f>
        <v>0</v>
      </c>
      <c r="BO642" s="3">
        <f>+IF(AVANCE[[#This Row],[VENTILACIONES]]=W$2,100%,AVANCE[[#This Row],[VENTILACIONES]])</f>
        <v>0</v>
      </c>
      <c r="BP642" s="3">
        <f>+IF(AVANCE[[#This Row],[TINA]]=X$2,100%,AVANCE[[#This Row],[TINA]])</f>
        <v>0</v>
      </c>
      <c r="BQ642" s="3">
        <f>+IF(AVANCE[[#This Row],[WC]]=Y$2,100%,AVANCE[[#This Row],[WC]])</f>
        <v>0</v>
      </c>
      <c r="BR642" s="3">
        <f>+IF(AVANCE[[#This Row],[LAVAMANOS / LAVAPLATOS / LAVADERO]]=Z$2,100%,AVANCE[[#This Row],[LAVAMANOS / LAVAPLATOS / LAVADERO]])</f>
        <v>0</v>
      </c>
      <c r="BS642" s="3">
        <f>+IF(AVANCE[[#This Row],[CANALIZACIÓN]]=AC$2,100%,AVANCE[[#This Row],[CANALIZACIÓN]])</f>
        <v>0</v>
      </c>
      <c r="BT642" s="3">
        <f>+IF(AVANCE[[#This Row],[CABLEADO]]=AD$2,100%,AVANCE[[#This Row],[CABLEADO]])</f>
        <v>0</v>
      </c>
      <c r="BU642" s="3">
        <f>+IF(AVANCE[[#This Row],[ARTEFACTOS]]=AE$2,100%,AVANCE[[#This Row],[ARTEFACTOS]])</f>
        <v>0</v>
      </c>
      <c r="BV642" s="3">
        <f>+IF(AVANCE[[#This Row],[TABLERO]]=AF$2,100%,AVANCE[[#This Row],[TABLERO]])</f>
        <v>0</v>
      </c>
      <c r="BW642" s="3">
        <f>+IF(AVANCE[[#This Row],[CAJA PAU]]=AG$2,100%,AVANCE[[#This Row],[CAJA PAU]])</f>
        <v>0</v>
      </c>
      <c r="BX642" s="3">
        <f>+IF(AVANCE[[#This Row],[INSTALACION VINILICO]]=AJ$2,100%,AVANCE[[#This Row],[INSTALACION VINILICO]])</f>
        <v>0</v>
      </c>
      <c r="BY642" s="3">
        <f>+IF(AVANCE[[#This Row],[OSB CUBIERTA]]=AK$2,100%,AVANCE[[#This Row],[OSB CUBIERTA]])</f>
        <v>0</v>
      </c>
      <c r="BZ642" s="3">
        <f>+IF(AVANCE[[#This Row],[BARANDA BALCON]]=AL$2,100%,AVANCE[[#This Row],[BARANDA BALCON]])</f>
        <v>0</v>
      </c>
      <c r="CA642" s="3">
        <f>+IF(AVANCE[[#This Row],[OSB EXTERIOR]]=AM$2,100%,AVANCE[[#This Row],[OSB EXTERIOR]])</f>
        <v>0</v>
      </c>
      <c r="CB642" s="3">
        <f>+IF(AVANCE[[#This Row],[SMART PANEL]]=AN$2,100%,AVANCE[[#This Row],[SMART PANEL]])</f>
        <v>0</v>
      </c>
      <c r="CC642" s="3">
        <f>+IF(AVANCE[[#This Row],[PINTURA EXTERIOR]]=AO$2,100%,AVANCE[[#This Row],[PINTURA EXTERIOR]])</f>
        <v>0</v>
      </c>
      <c r="CD642" s="3">
        <f>+IF(AVANCE[[#This Row],[ZOCALOS LOGIA]]=AP$2,100%,AVANCE[[#This Row],[ZOCALOS LOGIA]])</f>
        <v>0</v>
      </c>
      <c r="CE642" s="3">
        <f>+IF(AVANCE[[#This Row],[MOLDURAS]]=AQ$2,100%,AVANCE[[#This Row],[MOLDURAS]])</f>
        <v>0</v>
      </c>
      <c r="CF642" s="3">
        <f>+IF(AVANCE[[#This Row],[PILASTREO]]=AR$2,100%,AVANCE[[#This Row],[PILASTREO]])</f>
        <v>0</v>
      </c>
      <c r="CG642" s="3">
        <f>+IF(AVANCE[[#This Row],[CELOSIAS]]=AS$2,100%,AVANCE[[#This Row],[CELOSIAS]])</f>
        <v>0</v>
      </c>
      <c r="CH642" s="3">
        <f>+IF(AVANCE[[#This Row],[VENTANAS]]=AT$2,100%,AVANCE[[#This Row],[VENTANAS]])</f>
        <v>0</v>
      </c>
      <c r="CI642" s="3">
        <f>+IF(AVANCE[[#This Row],[PUERTAS ACCESO - LOGIA - BANO]]=AU$2,100%,AVANCE[[#This Row],[PUERTAS ACCESO - LOGIA - BANO]])</f>
        <v>0</v>
      </c>
      <c r="CJ642" s="3">
        <f>+IF(AVANCE[[#This Row],[CERRADURAS]]=AV$2,100%,AVANCE[[#This Row],[CERRADURAS]])</f>
        <v>0</v>
      </c>
      <c r="CK642" s="3">
        <f>+IF(AVANCE[[#This Row],[REVESTIMIENTO INTERIOR ZONA SECA]]=AW$2,100%,AVANCE[[#This Row],[REVESTIMIENTO INTERIOR ZONA SECA]])</f>
        <v>0</v>
      </c>
      <c r="CL642" s="3">
        <f>+IF(AVANCE[[#This Row],[REVESTIMIENTO INTERIOR ZONAS HUMEDAS]]=AX$2,100%,AVANCE[[#This Row],[REVESTIMIENTO INTERIOR ZONAS HUMEDAS]])</f>
        <v>0</v>
      </c>
      <c r="CM642" s="3">
        <f>+IF(AVANCE[[#This Row],[MEMBRANA CIELO]]=AY$2,100%,AVANCE[[#This Row],[MEMBRANA CIELO]])</f>
        <v>0</v>
      </c>
      <c r="CN642" s="3">
        <f>+IF(AVANCE[[#This Row],[LIMPIEZA FINAL]]=AZ$2,100%,AVANCE[[#This Row],[LIMPIEZA FINAL]])</f>
        <v>0</v>
      </c>
      <c r="CO642" s="3">
        <f>+IF(AVANCE[[#This Row],[PUERTAS DORMITORIO]]=BA$2,100%,AVANCE[[#This Row],[PUERTAS DORMITORIO]])</f>
        <v>0</v>
      </c>
      <c r="CP642" s="3">
        <f>+IF(AVANCE[[#This Row],[REVESTIMIENTO INTERIOR BANO]]=BB$2,100%,AVANCE[[#This Row],[REVESTIMIENTO INTERIOR BANO]])</f>
        <v>0</v>
      </c>
      <c r="CQ642" s="3">
        <f>+IF(AVANCE[[#This Row],[MUEBLE LAVAPLATOS]]=BC$2,100%,AVANCE[[#This Row],[MUEBLE LAVAPLATOS]])</f>
        <v>0</v>
      </c>
      <c r="CR642" s="3">
        <f>+IF(AVANCE[[#This Row],[IMPERMEABILIZACION BANO - COCINA LOGIA]]=BD$2,100%,AVANCE[[#This Row],[IMPERMEABILIZACION BANO - COCINA LOGIA]])</f>
        <v>0</v>
      </c>
      <c r="CS642" s="40">
        <f ca="1">+IF(AVANCE[[#This Row],[ESTADO MODULO]]="PENDIENTE",(TODAY()-AVANCE[[#This Row],[FECHA TERMINO  PLANIFICADO]]),0)</f>
        <v>0</v>
      </c>
      <c r="CT642" s="41" t="str" cm="1">
        <f t="array" ref="CT642">_xlfn.TEXTJOIN(" | ",TRUE,IF(SUMPRODUCT((BG642:CR642&lt;1)*(PARTIDAS!$I$2:$AT$2="OBRA GRUESA"))&gt;0,"OBRA GRUESA: "&amp;_xlfn.TEXTJOIN(", ",TRUE,IF((BG642:CR642&lt;1)*(PARTIDAS!$I$2:$AT$2="OBRA GRUESA"),PARTIDAS!$I$1:$AT$1,"")),""),IF(SUMPRODUCT((BG642:CR642&lt;1)*(PARTIDAS!$I$2:$AT$2="SANITARIOS"))&gt;0,"SANITARIOS: "&amp;_xlfn.TEXTJOIN(", ",TRUE,IF((BG642:CR642&lt;1)*(PARTIDAS!$I$2:$AT$2="SANITARIOS"),PARTIDAS!$I$1:$AT$1,"")),""),IF(SUMPRODUCT((BG642:CR642&lt;1)*(PARTIDAS!$I$2:$AT$2="ELÉCTRICO"))&gt;0,"ELÉCTRICO: "&amp;_xlfn.TEXTJOIN(", ",TRUE,IF((BG642:CR642&lt;1)*(PARTIDAS!$I$2:$AT$2="ELÉCTRICO"),PARTIDAS!$I$1:$AT$1,"")),""),IF(SUMPRODUCT((BG642:CR642&lt;1)*(PARTIDAS!$I$2:$AT$2="TERMINACIONES"))&gt;0,"TERMINACIONES: "&amp;_xlfn.TEXTJOIN(", ",TRUE,IF((BG642:CR642&lt;1)*(PARTIDAS!$I$2:$AT$2="TERMINACIONES"),PARTIDAS!$I$1:$AT$1,"")),""))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2" s="43" t="str" cm="1">
        <f t="array" ref="CU642">_xlfn.TEXTJOIN(", ",TRUE,IF(SUMPRODUCT((BG642:CR642&lt;1)*(PARTIDAS!$I$2:$AT$2="OBRA GRUESA"))&gt;0,"OBRA GRUESA",""),IF(SUMPRODUCT((BG642:CR642&lt;1)*(PARTIDAS!$I$2:$AT$2="SANITARIOS"))&gt;0,"SANITARIOS",""),IF(SUMPRODUCT((BG642:CR642&lt;1)*(PARTIDAS!$I$2:$AT$2="ELÉCTRICO"))&gt;0,"ELÉCTRICO",""),IF(SUMPRODUCT((BG642:CR642&lt;1)*(PARTIDAS!$I$2:$AT$2="TERMINACIONES"))&gt;0,"TERMINACIONES",""))</f>
        <v>OBRA GRUESA, SANITARIOS, ELÉCTRICO, TERMINACIONES</v>
      </c>
      <c r="CV642" s="44" cm="1">
        <f t="array" ref="CV642">SUMPRODUCT(--(BG642:CR642&lt;1))</f>
        <v>38</v>
      </c>
    </row>
    <row r="643" spans="1:100" hidden="1" x14ac:dyDescent="0.25">
      <c r="A643" t="s">
        <v>718</v>
      </c>
      <c r="B643" t="s">
        <v>720</v>
      </c>
      <c r="C643">
        <v>2302600642</v>
      </c>
      <c r="D643" t="s">
        <v>60</v>
      </c>
      <c r="E643" s="2">
        <v>0</v>
      </c>
      <c r="F643" s="1">
        <v>46458</v>
      </c>
      <c r="G643" s="1"/>
      <c r="H643" s="1">
        <v>0</v>
      </c>
      <c r="I643" s="1">
        <v>46488</v>
      </c>
      <c r="J643">
        <v>46230</v>
      </c>
      <c r="K643" s="1"/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>
        <v>31.32</v>
      </c>
      <c r="BF643" s="3" t="str">
        <f>+IF(AVANCE[[#This Row],[% AVANCE]]=100%,"MODULO TERMINADO",IF(AVANCE[[#This Row],[FECHA INICIO REAL]]="","MODULO NO INICIADO","PENDIENTE"))</f>
        <v>MODULO NO INICIADO</v>
      </c>
      <c r="BG643" s="3">
        <f>+IF(AVANCE[[#This Row],[VENTANAS]]=8.10810810810811%,100%,AVANCE[[#This Row],[VENTANAS]])</f>
        <v>0</v>
      </c>
      <c r="BH643" s="3">
        <f>+IF(AVANCE[[#This Row],[PISO]]=N$2,100%,AVANCE[[#This Row],[PISO]])</f>
        <v>0</v>
      </c>
      <c r="BI643" s="3">
        <f>+IF(AVANCE[[#This Row],[TABIQUES]]=O$2,100%,AVANCE[[#This Row],[TABIQUES]])</f>
        <v>0</v>
      </c>
      <c r="BJ643" s="3">
        <f>+IF(AVANCE[[#This Row],[MUROS]]=P$2,100%,AVANCE[[#This Row],[MUROS]])</f>
        <v>0</v>
      </c>
      <c r="BK643" s="3">
        <f>+IF(AVANCE[[#This Row],[CIELO]]=Q$2,100%,AVANCE[[#This Row],[CIELO]])</f>
        <v>0</v>
      </c>
      <c r="BL643" s="3">
        <f>+IF(AVANCE[[#This Row],[BALCÓN]]=R$2,100%,AVANCE[[#This Row],[BALCÓN]])</f>
        <v>0</v>
      </c>
      <c r="BM643" s="3">
        <f>+IF(AVANCE[[#This Row],[RED ALCANTARILLADO]]=U$2,100%,AVANCE[[#This Row],[RED ALCANTARILLADO]])</f>
        <v>0</v>
      </c>
      <c r="BN643" s="3">
        <f>+IF(AVANCE[[#This Row],[RED DE AGUA]]=V$2,100%,AVANCE[[#This Row],[RED DE AGUA]])</f>
        <v>0</v>
      </c>
      <c r="BO643" s="3">
        <f>+IF(AVANCE[[#This Row],[VENTILACIONES]]=W$2,100%,AVANCE[[#This Row],[VENTILACIONES]])</f>
        <v>0</v>
      </c>
      <c r="BP643" s="3">
        <f>+IF(AVANCE[[#This Row],[TINA]]=X$2,100%,AVANCE[[#This Row],[TINA]])</f>
        <v>0</v>
      </c>
      <c r="BQ643" s="3">
        <f>+IF(AVANCE[[#This Row],[WC]]=Y$2,100%,AVANCE[[#This Row],[WC]])</f>
        <v>0</v>
      </c>
      <c r="BR643" s="3">
        <f>+IF(AVANCE[[#This Row],[LAVAMANOS / LAVAPLATOS / LAVADERO]]=Z$2,100%,AVANCE[[#This Row],[LAVAMANOS / LAVAPLATOS / LAVADERO]])</f>
        <v>0</v>
      </c>
      <c r="BS643" s="3">
        <f>+IF(AVANCE[[#This Row],[CANALIZACIÓN]]=AC$2,100%,AVANCE[[#This Row],[CANALIZACIÓN]])</f>
        <v>0</v>
      </c>
      <c r="BT643" s="3">
        <f>+IF(AVANCE[[#This Row],[CABLEADO]]=AD$2,100%,AVANCE[[#This Row],[CABLEADO]])</f>
        <v>0</v>
      </c>
      <c r="BU643" s="3">
        <f>+IF(AVANCE[[#This Row],[ARTEFACTOS]]=AE$2,100%,AVANCE[[#This Row],[ARTEFACTOS]])</f>
        <v>0</v>
      </c>
      <c r="BV643" s="3">
        <f>+IF(AVANCE[[#This Row],[TABLERO]]=AF$2,100%,AVANCE[[#This Row],[TABLERO]])</f>
        <v>0</v>
      </c>
      <c r="BW643" s="3">
        <f>+IF(AVANCE[[#This Row],[CAJA PAU]]=AG$2,100%,AVANCE[[#This Row],[CAJA PAU]])</f>
        <v>0</v>
      </c>
      <c r="BX643" s="3">
        <f>+IF(AVANCE[[#This Row],[INSTALACION VINILICO]]=AJ$2,100%,AVANCE[[#This Row],[INSTALACION VINILICO]])</f>
        <v>0</v>
      </c>
      <c r="BY643" s="3">
        <f>+IF(AVANCE[[#This Row],[OSB CUBIERTA]]=AK$2,100%,AVANCE[[#This Row],[OSB CUBIERTA]])</f>
        <v>0</v>
      </c>
      <c r="BZ643" s="3">
        <f>+IF(AVANCE[[#This Row],[BARANDA BALCON]]=AL$2,100%,AVANCE[[#This Row],[BARANDA BALCON]])</f>
        <v>0</v>
      </c>
      <c r="CA643" s="3">
        <f>+IF(AVANCE[[#This Row],[OSB EXTERIOR]]=AM$2,100%,AVANCE[[#This Row],[OSB EXTERIOR]])</f>
        <v>0</v>
      </c>
      <c r="CB643" s="3">
        <f>+IF(AVANCE[[#This Row],[SMART PANEL]]=AN$2,100%,AVANCE[[#This Row],[SMART PANEL]])</f>
        <v>0</v>
      </c>
      <c r="CC643" s="3">
        <f>+IF(AVANCE[[#This Row],[PINTURA EXTERIOR]]=AO$2,100%,AVANCE[[#This Row],[PINTURA EXTERIOR]])</f>
        <v>0</v>
      </c>
      <c r="CD643" s="3">
        <f>+IF(AVANCE[[#This Row],[ZOCALOS LOGIA]]=AP$2,100%,AVANCE[[#This Row],[ZOCALOS LOGIA]])</f>
        <v>0</v>
      </c>
      <c r="CE643" s="3">
        <f>+IF(AVANCE[[#This Row],[MOLDURAS]]=AQ$2,100%,AVANCE[[#This Row],[MOLDURAS]])</f>
        <v>0</v>
      </c>
      <c r="CF643" s="3">
        <f>+IF(AVANCE[[#This Row],[PILASTREO]]=AR$2,100%,AVANCE[[#This Row],[PILASTREO]])</f>
        <v>0</v>
      </c>
      <c r="CG643" s="3">
        <f>+IF(AVANCE[[#This Row],[CELOSIAS]]=AS$2,100%,AVANCE[[#This Row],[CELOSIAS]])</f>
        <v>0</v>
      </c>
      <c r="CH643" s="3">
        <f>+IF(AVANCE[[#This Row],[VENTANAS]]=AT$2,100%,AVANCE[[#This Row],[VENTANAS]])</f>
        <v>0</v>
      </c>
      <c r="CI643" s="3">
        <f>+IF(AVANCE[[#This Row],[PUERTAS ACCESO - LOGIA - BANO]]=AU$2,100%,AVANCE[[#This Row],[PUERTAS ACCESO - LOGIA - BANO]])</f>
        <v>0</v>
      </c>
      <c r="CJ643" s="3">
        <f>+IF(AVANCE[[#This Row],[CERRADURAS]]=AV$2,100%,AVANCE[[#This Row],[CERRADURAS]])</f>
        <v>0</v>
      </c>
      <c r="CK643" s="3">
        <f>+IF(AVANCE[[#This Row],[REVESTIMIENTO INTERIOR ZONA SECA]]=AW$2,100%,AVANCE[[#This Row],[REVESTIMIENTO INTERIOR ZONA SECA]])</f>
        <v>0</v>
      </c>
      <c r="CL643" s="3">
        <f>+IF(AVANCE[[#This Row],[REVESTIMIENTO INTERIOR ZONAS HUMEDAS]]=AX$2,100%,AVANCE[[#This Row],[REVESTIMIENTO INTERIOR ZONAS HUMEDAS]])</f>
        <v>0</v>
      </c>
      <c r="CM643" s="3">
        <f>+IF(AVANCE[[#This Row],[MEMBRANA CIELO]]=AY$2,100%,AVANCE[[#This Row],[MEMBRANA CIELO]])</f>
        <v>0</v>
      </c>
      <c r="CN643" s="3">
        <f>+IF(AVANCE[[#This Row],[LIMPIEZA FINAL]]=AZ$2,100%,AVANCE[[#This Row],[LIMPIEZA FINAL]])</f>
        <v>0</v>
      </c>
      <c r="CO643" s="3">
        <f>+IF(AVANCE[[#This Row],[PUERTAS DORMITORIO]]=BA$2,100%,AVANCE[[#This Row],[PUERTAS DORMITORIO]])</f>
        <v>0</v>
      </c>
      <c r="CP643" s="3">
        <f>+IF(AVANCE[[#This Row],[REVESTIMIENTO INTERIOR BANO]]=BB$2,100%,AVANCE[[#This Row],[REVESTIMIENTO INTERIOR BANO]])</f>
        <v>0</v>
      </c>
      <c r="CQ643" s="3">
        <f>+IF(AVANCE[[#This Row],[MUEBLE LAVAPLATOS]]=BC$2,100%,AVANCE[[#This Row],[MUEBLE LAVAPLATOS]])</f>
        <v>0</v>
      </c>
      <c r="CR643" s="3">
        <f>+IF(AVANCE[[#This Row],[IMPERMEABILIZACION BANO - COCINA LOGIA]]=BD$2,100%,AVANCE[[#This Row],[IMPERMEABILIZACION BANO - COCINA LOGIA]])</f>
        <v>0</v>
      </c>
      <c r="CS643" s="40">
        <f ca="1">+IF(AVANCE[[#This Row],[ESTADO MODULO]]="PENDIENTE",(TODAY()-AVANCE[[#This Row],[FECHA TERMINO  PLANIFICADO]]),0)</f>
        <v>0</v>
      </c>
      <c r="CT643" s="41" t="str" cm="1">
        <f t="array" ref="CT643">_xlfn.TEXTJOIN(" | ",TRUE,IF(SUMPRODUCT((BG643:CR643&lt;1)*(PARTIDAS!$I$2:$AT$2="OBRA GRUESA"))&gt;0,"OBRA GRUESA: "&amp;_xlfn.TEXTJOIN(", ",TRUE,IF((BG643:CR643&lt;1)*(PARTIDAS!$I$2:$AT$2="OBRA GRUESA"),PARTIDAS!$I$1:$AT$1,"")),""),IF(SUMPRODUCT((BG643:CR643&lt;1)*(PARTIDAS!$I$2:$AT$2="SANITARIOS"))&gt;0,"SANITARIOS: "&amp;_xlfn.TEXTJOIN(", ",TRUE,IF((BG643:CR643&lt;1)*(PARTIDAS!$I$2:$AT$2="SANITARIOS"),PARTIDAS!$I$1:$AT$1,"")),""),IF(SUMPRODUCT((BG643:CR643&lt;1)*(PARTIDAS!$I$2:$AT$2="ELÉCTRICO"))&gt;0,"ELÉCTRICO: "&amp;_xlfn.TEXTJOIN(", ",TRUE,IF((BG643:CR643&lt;1)*(PARTIDAS!$I$2:$AT$2="ELÉCTRICO"),PARTIDAS!$I$1:$AT$1,"")),""),IF(SUMPRODUCT((BG643:CR643&lt;1)*(PARTIDAS!$I$2:$AT$2="TERMINACIONES"))&gt;0,"TERMINACIONES: "&amp;_xlfn.TEXTJOIN(", ",TRUE,IF((BG643:CR643&lt;1)*(PARTIDAS!$I$2:$AT$2="TERMINACIONES"),PARTIDAS!$I$1:$AT$1,"")),""))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3" s="43" t="str" cm="1">
        <f t="array" ref="CU643">_xlfn.TEXTJOIN(", ",TRUE,IF(SUMPRODUCT((BG643:CR643&lt;1)*(PARTIDAS!$I$2:$AT$2="OBRA GRUESA"))&gt;0,"OBRA GRUESA",""),IF(SUMPRODUCT((BG643:CR643&lt;1)*(PARTIDAS!$I$2:$AT$2="SANITARIOS"))&gt;0,"SANITARIOS",""),IF(SUMPRODUCT((BG643:CR643&lt;1)*(PARTIDAS!$I$2:$AT$2="ELÉCTRICO"))&gt;0,"ELÉCTRICO",""),IF(SUMPRODUCT((BG643:CR643&lt;1)*(PARTIDAS!$I$2:$AT$2="TERMINACIONES"))&gt;0,"TERMINACIONES",""))</f>
        <v>OBRA GRUESA, SANITARIOS, ELÉCTRICO, TERMINACIONES</v>
      </c>
      <c r="CV643" s="44" cm="1">
        <f t="array" ref="CV643">SUMPRODUCT(--(BG643:CR643&lt;1))</f>
        <v>38</v>
      </c>
    </row>
    <row r="644" spans="1:100" hidden="1" x14ac:dyDescent="0.25">
      <c r="A644" t="s">
        <v>718</v>
      </c>
      <c r="B644" t="s">
        <v>721</v>
      </c>
      <c r="C644">
        <v>2302600643</v>
      </c>
      <c r="D644" t="s">
        <v>60</v>
      </c>
      <c r="E644" s="2">
        <v>0</v>
      </c>
      <c r="F644" s="1">
        <v>46458</v>
      </c>
      <c r="G644" s="1"/>
      <c r="H644" s="1">
        <v>0</v>
      </c>
      <c r="I644" s="1">
        <v>46488</v>
      </c>
      <c r="J644">
        <v>46230</v>
      </c>
      <c r="K644" s="1"/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>
        <v>31.32</v>
      </c>
      <c r="BF644" s="3" t="str">
        <f>+IF(AVANCE[[#This Row],[% AVANCE]]=100%,"MODULO TERMINADO",IF(AVANCE[[#This Row],[FECHA INICIO REAL]]="","MODULO NO INICIADO","PENDIENTE"))</f>
        <v>MODULO NO INICIADO</v>
      </c>
      <c r="BG644" s="3">
        <f>+IF(AVANCE[[#This Row],[VENTANAS]]=8.10810810810811%,100%,AVANCE[[#This Row],[VENTANAS]])</f>
        <v>0</v>
      </c>
      <c r="BH644" s="3">
        <f>+IF(AVANCE[[#This Row],[PISO]]=N$2,100%,AVANCE[[#This Row],[PISO]])</f>
        <v>0</v>
      </c>
      <c r="BI644" s="3">
        <f>+IF(AVANCE[[#This Row],[TABIQUES]]=O$2,100%,AVANCE[[#This Row],[TABIQUES]])</f>
        <v>0</v>
      </c>
      <c r="BJ644" s="3">
        <f>+IF(AVANCE[[#This Row],[MUROS]]=P$2,100%,AVANCE[[#This Row],[MUROS]])</f>
        <v>0</v>
      </c>
      <c r="BK644" s="3">
        <f>+IF(AVANCE[[#This Row],[CIELO]]=Q$2,100%,AVANCE[[#This Row],[CIELO]])</f>
        <v>0</v>
      </c>
      <c r="BL644" s="3">
        <f>+IF(AVANCE[[#This Row],[BALCÓN]]=R$2,100%,AVANCE[[#This Row],[BALCÓN]])</f>
        <v>0</v>
      </c>
      <c r="BM644" s="3">
        <f>+IF(AVANCE[[#This Row],[RED ALCANTARILLADO]]=U$2,100%,AVANCE[[#This Row],[RED ALCANTARILLADO]])</f>
        <v>0</v>
      </c>
      <c r="BN644" s="3">
        <f>+IF(AVANCE[[#This Row],[RED DE AGUA]]=V$2,100%,AVANCE[[#This Row],[RED DE AGUA]])</f>
        <v>0</v>
      </c>
      <c r="BO644" s="3">
        <f>+IF(AVANCE[[#This Row],[VENTILACIONES]]=W$2,100%,AVANCE[[#This Row],[VENTILACIONES]])</f>
        <v>0</v>
      </c>
      <c r="BP644" s="3">
        <f>+IF(AVANCE[[#This Row],[TINA]]=X$2,100%,AVANCE[[#This Row],[TINA]])</f>
        <v>0</v>
      </c>
      <c r="BQ644" s="3">
        <f>+IF(AVANCE[[#This Row],[WC]]=Y$2,100%,AVANCE[[#This Row],[WC]])</f>
        <v>0</v>
      </c>
      <c r="BR644" s="3">
        <f>+IF(AVANCE[[#This Row],[LAVAMANOS / LAVAPLATOS / LAVADERO]]=Z$2,100%,AVANCE[[#This Row],[LAVAMANOS / LAVAPLATOS / LAVADERO]])</f>
        <v>0</v>
      </c>
      <c r="BS644" s="3">
        <f>+IF(AVANCE[[#This Row],[CANALIZACIÓN]]=AC$2,100%,AVANCE[[#This Row],[CANALIZACIÓN]])</f>
        <v>0</v>
      </c>
      <c r="BT644" s="3">
        <f>+IF(AVANCE[[#This Row],[CABLEADO]]=AD$2,100%,AVANCE[[#This Row],[CABLEADO]])</f>
        <v>0</v>
      </c>
      <c r="BU644" s="3">
        <f>+IF(AVANCE[[#This Row],[ARTEFACTOS]]=AE$2,100%,AVANCE[[#This Row],[ARTEFACTOS]])</f>
        <v>0</v>
      </c>
      <c r="BV644" s="3">
        <f>+IF(AVANCE[[#This Row],[TABLERO]]=AF$2,100%,AVANCE[[#This Row],[TABLERO]])</f>
        <v>0</v>
      </c>
      <c r="BW644" s="3">
        <f>+IF(AVANCE[[#This Row],[CAJA PAU]]=AG$2,100%,AVANCE[[#This Row],[CAJA PAU]])</f>
        <v>0</v>
      </c>
      <c r="BX644" s="3">
        <f>+IF(AVANCE[[#This Row],[INSTALACION VINILICO]]=AJ$2,100%,AVANCE[[#This Row],[INSTALACION VINILICO]])</f>
        <v>0</v>
      </c>
      <c r="BY644" s="3">
        <f>+IF(AVANCE[[#This Row],[OSB CUBIERTA]]=AK$2,100%,AVANCE[[#This Row],[OSB CUBIERTA]])</f>
        <v>0</v>
      </c>
      <c r="BZ644" s="3">
        <f>+IF(AVANCE[[#This Row],[BARANDA BALCON]]=AL$2,100%,AVANCE[[#This Row],[BARANDA BALCON]])</f>
        <v>0</v>
      </c>
      <c r="CA644" s="3">
        <f>+IF(AVANCE[[#This Row],[OSB EXTERIOR]]=AM$2,100%,AVANCE[[#This Row],[OSB EXTERIOR]])</f>
        <v>0</v>
      </c>
      <c r="CB644" s="3">
        <f>+IF(AVANCE[[#This Row],[SMART PANEL]]=AN$2,100%,AVANCE[[#This Row],[SMART PANEL]])</f>
        <v>0</v>
      </c>
      <c r="CC644" s="3">
        <f>+IF(AVANCE[[#This Row],[PINTURA EXTERIOR]]=AO$2,100%,AVANCE[[#This Row],[PINTURA EXTERIOR]])</f>
        <v>0</v>
      </c>
      <c r="CD644" s="3">
        <f>+IF(AVANCE[[#This Row],[ZOCALOS LOGIA]]=AP$2,100%,AVANCE[[#This Row],[ZOCALOS LOGIA]])</f>
        <v>0</v>
      </c>
      <c r="CE644" s="3">
        <f>+IF(AVANCE[[#This Row],[MOLDURAS]]=AQ$2,100%,AVANCE[[#This Row],[MOLDURAS]])</f>
        <v>0</v>
      </c>
      <c r="CF644" s="3">
        <f>+IF(AVANCE[[#This Row],[PILASTREO]]=AR$2,100%,AVANCE[[#This Row],[PILASTREO]])</f>
        <v>0</v>
      </c>
      <c r="CG644" s="3">
        <f>+IF(AVANCE[[#This Row],[CELOSIAS]]=AS$2,100%,AVANCE[[#This Row],[CELOSIAS]])</f>
        <v>0</v>
      </c>
      <c r="CH644" s="3">
        <f>+IF(AVANCE[[#This Row],[VENTANAS]]=AT$2,100%,AVANCE[[#This Row],[VENTANAS]])</f>
        <v>0</v>
      </c>
      <c r="CI644" s="3">
        <f>+IF(AVANCE[[#This Row],[PUERTAS ACCESO - LOGIA - BANO]]=AU$2,100%,AVANCE[[#This Row],[PUERTAS ACCESO - LOGIA - BANO]])</f>
        <v>0</v>
      </c>
      <c r="CJ644" s="3">
        <f>+IF(AVANCE[[#This Row],[CERRADURAS]]=AV$2,100%,AVANCE[[#This Row],[CERRADURAS]])</f>
        <v>0</v>
      </c>
      <c r="CK644" s="3">
        <f>+IF(AVANCE[[#This Row],[REVESTIMIENTO INTERIOR ZONA SECA]]=AW$2,100%,AVANCE[[#This Row],[REVESTIMIENTO INTERIOR ZONA SECA]])</f>
        <v>0</v>
      </c>
      <c r="CL644" s="3">
        <f>+IF(AVANCE[[#This Row],[REVESTIMIENTO INTERIOR ZONAS HUMEDAS]]=AX$2,100%,AVANCE[[#This Row],[REVESTIMIENTO INTERIOR ZONAS HUMEDAS]])</f>
        <v>0</v>
      </c>
      <c r="CM644" s="3">
        <f>+IF(AVANCE[[#This Row],[MEMBRANA CIELO]]=AY$2,100%,AVANCE[[#This Row],[MEMBRANA CIELO]])</f>
        <v>0</v>
      </c>
      <c r="CN644" s="3">
        <f>+IF(AVANCE[[#This Row],[LIMPIEZA FINAL]]=AZ$2,100%,AVANCE[[#This Row],[LIMPIEZA FINAL]])</f>
        <v>0</v>
      </c>
      <c r="CO644" s="3">
        <f>+IF(AVANCE[[#This Row],[PUERTAS DORMITORIO]]=BA$2,100%,AVANCE[[#This Row],[PUERTAS DORMITORIO]])</f>
        <v>0</v>
      </c>
      <c r="CP644" s="3">
        <f>+IF(AVANCE[[#This Row],[REVESTIMIENTO INTERIOR BANO]]=BB$2,100%,AVANCE[[#This Row],[REVESTIMIENTO INTERIOR BANO]])</f>
        <v>0</v>
      </c>
      <c r="CQ644" s="3">
        <f>+IF(AVANCE[[#This Row],[MUEBLE LAVAPLATOS]]=BC$2,100%,AVANCE[[#This Row],[MUEBLE LAVAPLATOS]])</f>
        <v>0</v>
      </c>
      <c r="CR644" s="3">
        <f>+IF(AVANCE[[#This Row],[IMPERMEABILIZACION BANO - COCINA LOGIA]]=BD$2,100%,AVANCE[[#This Row],[IMPERMEABILIZACION BANO - COCINA LOGIA]])</f>
        <v>0</v>
      </c>
      <c r="CS644" s="40">
        <f ca="1">+IF(AVANCE[[#This Row],[ESTADO MODULO]]="PENDIENTE",(TODAY()-AVANCE[[#This Row],[FECHA TERMINO  PLANIFICADO]]),0)</f>
        <v>0</v>
      </c>
      <c r="CT644" s="41" t="str" cm="1">
        <f t="array" ref="CT644">_xlfn.TEXTJOIN(" | ",TRUE,IF(SUMPRODUCT((BG644:CR644&lt;1)*(PARTIDAS!$I$2:$AT$2="OBRA GRUESA"))&gt;0,"OBRA GRUESA: "&amp;_xlfn.TEXTJOIN(", ",TRUE,IF((BG644:CR644&lt;1)*(PARTIDAS!$I$2:$AT$2="OBRA GRUESA"),PARTIDAS!$I$1:$AT$1,"")),""),IF(SUMPRODUCT((BG644:CR644&lt;1)*(PARTIDAS!$I$2:$AT$2="SANITARIOS"))&gt;0,"SANITARIOS: "&amp;_xlfn.TEXTJOIN(", ",TRUE,IF((BG644:CR644&lt;1)*(PARTIDAS!$I$2:$AT$2="SANITARIOS"),PARTIDAS!$I$1:$AT$1,"")),""),IF(SUMPRODUCT((BG644:CR644&lt;1)*(PARTIDAS!$I$2:$AT$2="ELÉCTRICO"))&gt;0,"ELÉCTRICO: "&amp;_xlfn.TEXTJOIN(", ",TRUE,IF((BG644:CR644&lt;1)*(PARTIDAS!$I$2:$AT$2="ELÉCTRICO"),PARTIDAS!$I$1:$AT$1,"")),""),IF(SUMPRODUCT((BG644:CR644&lt;1)*(PARTIDAS!$I$2:$AT$2="TERMINACIONES"))&gt;0,"TERMINACIONES: "&amp;_xlfn.TEXTJOIN(", ",TRUE,IF((BG644:CR644&lt;1)*(PARTIDAS!$I$2:$AT$2="TERMINACIONES"),PARTIDAS!$I$1:$AT$1,"")),""))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4" s="43" t="str" cm="1">
        <f t="array" ref="CU644">_xlfn.TEXTJOIN(", ",TRUE,IF(SUMPRODUCT((BG644:CR644&lt;1)*(PARTIDAS!$I$2:$AT$2="OBRA GRUESA"))&gt;0,"OBRA GRUESA",""),IF(SUMPRODUCT((BG644:CR644&lt;1)*(PARTIDAS!$I$2:$AT$2="SANITARIOS"))&gt;0,"SANITARIOS",""),IF(SUMPRODUCT((BG644:CR644&lt;1)*(PARTIDAS!$I$2:$AT$2="ELÉCTRICO"))&gt;0,"ELÉCTRICO",""),IF(SUMPRODUCT((BG644:CR644&lt;1)*(PARTIDAS!$I$2:$AT$2="TERMINACIONES"))&gt;0,"TERMINACIONES",""))</f>
        <v>OBRA GRUESA, SANITARIOS, ELÉCTRICO, TERMINACIONES</v>
      </c>
      <c r="CV644" s="44" cm="1">
        <f t="array" ref="CV644">SUMPRODUCT(--(BG644:CR644&lt;1))</f>
        <v>38</v>
      </c>
    </row>
    <row r="645" spans="1:100" hidden="1" x14ac:dyDescent="0.25">
      <c r="A645" t="s">
        <v>718</v>
      </c>
      <c r="B645" t="s">
        <v>722</v>
      </c>
      <c r="C645">
        <v>2282600644</v>
      </c>
      <c r="D645" t="s">
        <v>58</v>
      </c>
      <c r="E645" s="2">
        <v>0</v>
      </c>
      <c r="F645" s="1">
        <v>46461</v>
      </c>
      <c r="G645" s="1"/>
      <c r="H645" s="1">
        <v>0</v>
      </c>
      <c r="I645" s="1">
        <v>46481</v>
      </c>
      <c r="J645">
        <v>46230</v>
      </c>
      <c r="K645" s="1"/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>
        <v>28.87</v>
      </c>
      <c r="BF645" s="3" t="str">
        <f>+IF(AVANCE[[#This Row],[% AVANCE]]=100%,"MODULO TERMINADO",IF(AVANCE[[#This Row],[FECHA INICIO REAL]]="","MODULO NO INICIADO","PENDIENTE"))</f>
        <v>MODULO NO INICIADO</v>
      </c>
      <c r="BG645" s="3">
        <f>+IF(AVANCE[[#This Row],[VENTANAS]]=8.10810810810811%,100%,AVANCE[[#This Row],[VENTANAS]])</f>
        <v>0</v>
      </c>
      <c r="BH645" s="3">
        <f>+IF(AVANCE[[#This Row],[PISO]]=N$2,100%,AVANCE[[#This Row],[PISO]])</f>
        <v>0</v>
      </c>
      <c r="BI645" s="3">
        <f>+IF(AVANCE[[#This Row],[TABIQUES]]=O$2,100%,AVANCE[[#This Row],[TABIQUES]])</f>
        <v>0</v>
      </c>
      <c r="BJ645" s="3">
        <f>+IF(AVANCE[[#This Row],[MUROS]]=P$2,100%,AVANCE[[#This Row],[MUROS]])</f>
        <v>0</v>
      </c>
      <c r="BK645" s="3">
        <f>+IF(AVANCE[[#This Row],[CIELO]]=Q$2,100%,AVANCE[[#This Row],[CIELO]])</f>
        <v>0</v>
      </c>
      <c r="BL645" s="3">
        <f>+IF(AVANCE[[#This Row],[BALCÓN]]=R$2,100%,AVANCE[[#This Row],[BALCÓN]])</f>
        <v>0</v>
      </c>
      <c r="BM645" s="3">
        <f>+IF(AVANCE[[#This Row],[RED ALCANTARILLADO]]=U$2,100%,AVANCE[[#This Row],[RED ALCANTARILLADO]])</f>
        <v>0</v>
      </c>
      <c r="BN645" s="3">
        <f>+IF(AVANCE[[#This Row],[RED DE AGUA]]=V$2,100%,AVANCE[[#This Row],[RED DE AGUA]])</f>
        <v>0</v>
      </c>
      <c r="BO645" s="3">
        <f>+IF(AVANCE[[#This Row],[VENTILACIONES]]=W$2,100%,AVANCE[[#This Row],[VENTILACIONES]])</f>
        <v>0</v>
      </c>
      <c r="BP645" s="3">
        <f>+IF(AVANCE[[#This Row],[TINA]]=X$2,100%,AVANCE[[#This Row],[TINA]])</f>
        <v>0</v>
      </c>
      <c r="BQ645" s="3">
        <f>+IF(AVANCE[[#This Row],[WC]]=Y$2,100%,AVANCE[[#This Row],[WC]])</f>
        <v>0</v>
      </c>
      <c r="BR645" s="3">
        <f>+IF(AVANCE[[#This Row],[LAVAMANOS / LAVAPLATOS / LAVADERO]]=Z$2,100%,AVANCE[[#This Row],[LAVAMANOS / LAVAPLATOS / LAVADERO]])</f>
        <v>0</v>
      </c>
      <c r="BS645" s="3">
        <f>+IF(AVANCE[[#This Row],[CANALIZACIÓN]]=AC$2,100%,AVANCE[[#This Row],[CANALIZACIÓN]])</f>
        <v>0</v>
      </c>
      <c r="BT645" s="3">
        <f>+IF(AVANCE[[#This Row],[CABLEADO]]=AD$2,100%,AVANCE[[#This Row],[CABLEADO]])</f>
        <v>0</v>
      </c>
      <c r="BU645" s="3">
        <f>+IF(AVANCE[[#This Row],[ARTEFACTOS]]=AE$2,100%,AVANCE[[#This Row],[ARTEFACTOS]])</f>
        <v>0</v>
      </c>
      <c r="BV645" s="3">
        <f>+IF(AVANCE[[#This Row],[TABLERO]]=AF$2,100%,AVANCE[[#This Row],[TABLERO]])</f>
        <v>0</v>
      </c>
      <c r="BW645" s="3">
        <f>+IF(AVANCE[[#This Row],[CAJA PAU]]=AG$2,100%,AVANCE[[#This Row],[CAJA PAU]])</f>
        <v>0</v>
      </c>
      <c r="BX645" s="3">
        <f>+IF(AVANCE[[#This Row],[INSTALACION VINILICO]]=AJ$2,100%,AVANCE[[#This Row],[INSTALACION VINILICO]])</f>
        <v>0</v>
      </c>
      <c r="BY645" s="3">
        <f>+IF(AVANCE[[#This Row],[OSB CUBIERTA]]=AK$2,100%,AVANCE[[#This Row],[OSB CUBIERTA]])</f>
        <v>0</v>
      </c>
      <c r="BZ645" s="3">
        <f>+IF(AVANCE[[#This Row],[BARANDA BALCON]]=AL$2,100%,AVANCE[[#This Row],[BARANDA BALCON]])</f>
        <v>0</v>
      </c>
      <c r="CA645" s="3">
        <f>+IF(AVANCE[[#This Row],[OSB EXTERIOR]]=AM$2,100%,AVANCE[[#This Row],[OSB EXTERIOR]])</f>
        <v>0</v>
      </c>
      <c r="CB645" s="3">
        <f>+IF(AVANCE[[#This Row],[SMART PANEL]]=AN$2,100%,AVANCE[[#This Row],[SMART PANEL]])</f>
        <v>0</v>
      </c>
      <c r="CC645" s="3">
        <f>+IF(AVANCE[[#This Row],[PINTURA EXTERIOR]]=AO$2,100%,AVANCE[[#This Row],[PINTURA EXTERIOR]])</f>
        <v>0</v>
      </c>
      <c r="CD645" s="3">
        <f>+IF(AVANCE[[#This Row],[ZOCALOS LOGIA]]=AP$2,100%,AVANCE[[#This Row],[ZOCALOS LOGIA]])</f>
        <v>0</v>
      </c>
      <c r="CE645" s="3">
        <f>+IF(AVANCE[[#This Row],[MOLDURAS]]=AQ$2,100%,AVANCE[[#This Row],[MOLDURAS]])</f>
        <v>0</v>
      </c>
      <c r="CF645" s="3">
        <f>+IF(AVANCE[[#This Row],[PILASTREO]]=AR$2,100%,AVANCE[[#This Row],[PILASTREO]])</f>
        <v>0</v>
      </c>
      <c r="CG645" s="3">
        <f>+IF(AVANCE[[#This Row],[CELOSIAS]]=AS$2,100%,AVANCE[[#This Row],[CELOSIAS]])</f>
        <v>0</v>
      </c>
      <c r="CH645" s="3">
        <f>+IF(AVANCE[[#This Row],[VENTANAS]]=AT$2,100%,AVANCE[[#This Row],[VENTANAS]])</f>
        <v>0</v>
      </c>
      <c r="CI645" s="3">
        <f>+IF(AVANCE[[#This Row],[PUERTAS ACCESO - LOGIA - BANO]]=AU$2,100%,AVANCE[[#This Row],[PUERTAS ACCESO - LOGIA - BANO]])</f>
        <v>0</v>
      </c>
      <c r="CJ645" s="3">
        <f>+IF(AVANCE[[#This Row],[CERRADURAS]]=AV$2,100%,AVANCE[[#This Row],[CERRADURAS]])</f>
        <v>0</v>
      </c>
      <c r="CK645" s="3">
        <f>+IF(AVANCE[[#This Row],[REVESTIMIENTO INTERIOR ZONA SECA]]=AW$2,100%,AVANCE[[#This Row],[REVESTIMIENTO INTERIOR ZONA SECA]])</f>
        <v>0</v>
      </c>
      <c r="CL645" s="3">
        <f>+IF(AVANCE[[#This Row],[REVESTIMIENTO INTERIOR ZONAS HUMEDAS]]=AX$2,100%,AVANCE[[#This Row],[REVESTIMIENTO INTERIOR ZONAS HUMEDAS]])</f>
        <v>0</v>
      </c>
      <c r="CM645" s="3">
        <f>+IF(AVANCE[[#This Row],[MEMBRANA CIELO]]=AY$2,100%,AVANCE[[#This Row],[MEMBRANA CIELO]])</f>
        <v>0</v>
      </c>
      <c r="CN645" s="3">
        <f>+IF(AVANCE[[#This Row],[LIMPIEZA FINAL]]=AZ$2,100%,AVANCE[[#This Row],[LIMPIEZA FINAL]])</f>
        <v>0</v>
      </c>
      <c r="CO645" s="3">
        <f>+IF(AVANCE[[#This Row],[PUERTAS DORMITORIO]]=BA$2,100%,AVANCE[[#This Row],[PUERTAS DORMITORIO]])</f>
        <v>0</v>
      </c>
      <c r="CP645" s="3">
        <f>+IF(AVANCE[[#This Row],[REVESTIMIENTO INTERIOR BANO]]=BB$2,100%,AVANCE[[#This Row],[REVESTIMIENTO INTERIOR BANO]])</f>
        <v>0</v>
      </c>
      <c r="CQ645" s="3">
        <f>+IF(AVANCE[[#This Row],[MUEBLE LAVAPLATOS]]=BC$2,100%,AVANCE[[#This Row],[MUEBLE LAVAPLATOS]])</f>
        <v>0</v>
      </c>
      <c r="CR645" s="3">
        <f>+IF(AVANCE[[#This Row],[IMPERMEABILIZACION BANO - COCINA LOGIA]]=BD$2,100%,AVANCE[[#This Row],[IMPERMEABILIZACION BANO - COCINA LOGIA]])</f>
        <v>0</v>
      </c>
      <c r="CS645" s="40">
        <f ca="1">+IF(AVANCE[[#This Row],[ESTADO MODULO]]="PENDIENTE",(TODAY()-AVANCE[[#This Row],[FECHA TERMINO  PLANIFICADO]]),0)</f>
        <v>0</v>
      </c>
      <c r="CT645" s="41" t="str" cm="1">
        <f t="array" ref="CT645">_xlfn.TEXTJOIN(" | ",TRUE,IF(SUMPRODUCT((BG645:CR645&lt;1)*(PARTIDAS!$I$2:$AT$2="OBRA GRUESA"))&gt;0,"OBRA GRUESA: "&amp;_xlfn.TEXTJOIN(", ",TRUE,IF((BG645:CR645&lt;1)*(PARTIDAS!$I$2:$AT$2="OBRA GRUESA"),PARTIDAS!$I$1:$AT$1,"")),""),IF(SUMPRODUCT((BG645:CR645&lt;1)*(PARTIDAS!$I$2:$AT$2="SANITARIOS"))&gt;0,"SANITARIOS: "&amp;_xlfn.TEXTJOIN(", ",TRUE,IF((BG645:CR645&lt;1)*(PARTIDAS!$I$2:$AT$2="SANITARIOS"),PARTIDAS!$I$1:$AT$1,"")),""),IF(SUMPRODUCT((BG645:CR645&lt;1)*(PARTIDAS!$I$2:$AT$2="ELÉCTRICO"))&gt;0,"ELÉCTRICO: "&amp;_xlfn.TEXTJOIN(", ",TRUE,IF((BG645:CR645&lt;1)*(PARTIDAS!$I$2:$AT$2="ELÉCTRICO"),PARTIDAS!$I$1:$AT$1,"")),""),IF(SUMPRODUCT((BG645:CR645&lt;1)*(PARTIDAS!$I$2:$AT$2="TERMINACIONES"))&gt;0,"TERMINACIONES: "&amp;_xlfn.TEXTJOIN(", ",TRUE,IF((BG645:CR645&lt;1)*(PARTIDAS!$I$2:$AT$2="TERMINACIONES"),PARTIDAS!$I$1:$AT$1,"")),""))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5" s="43" t="str" cm="1">
        <f t="array" ref="CU645">_xlfn.TEXTJOIN(", ",TRUE,IF(SUMPRODUCT((BG645:CR645&lt;1)*(PARTIDAS!$I$2:$AT$2="OBRA GRUESA"))&gt;0,"OBRA GRUESA",""),IF(SUMPRODUCT((BG645:CR645&lt;1)*(PARTIDAS!$I$2:$AT$2="SANITARIOS"))&gt;0,"SANITARIOS",""),IF(SUMPRODUCT((BG645:CR645&lt;1)*(PARTIDAS!$I$2:$AT$2="ELÉCTRICO"))&gt;0,"ELÉCTRICO",""),IF(SUMPRODUCT((BG645:CR645&lt;1)*(PARTIDAS!$I$2:$AT$2="TERMINACIONES"))&gt;0,"TERMINACIONES",""))</f>
        <v>OBRA GRUESA, SANITARIOS, ELÉCTRICO, TERMINACIONES</v>
      </c>
      <c r="CV645" s="44" cm="1">
        <f t="array" ref="CV645">SUMPRODUCT(--(BG645:CR645&lt;1))</f>
        <v>38</v>
      </c>
    </row>
    <row r="646" spans="1:100" hidden="1" x14ac:dyDescent="0.25">
      <c r="A646" t="s">
        <v>718</v>
      </c>
      <c r="B646" t="s">
        <v>723</v>
      </c>
      <c r="C646">
        <v>2282600645</v>
      </c>
      <c r="D646" t="s">
        <v>58</v>
      </c>
      <c r="E646" s="2">
        <v>0</v>
      </c>
      <c r="F646" s="1">
        <v>46461</v>
      </c>
      <c r="G646" s="1"/>
      <c r="H646" s="1">
        <v>0</v>
      </c>
      <c r="I646" s="1">
        <v>46481</v>
      </c>
      <c r="J646">
        <v>46230</v>
      </c>
      <c r="K646" s="1"/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>
        <v>28.87</v>
      </c>
      <c r="BF646" s="3" t="str">
        <f>+IF(AVANCE[[#This Row],[% AVANCE]]=100%,"MODULO TERMINADO",IF(AVANCE[[#This Row],[FECHA INICIO REAL]]="","MODULO NO INICIADO","PENDIENTE"))</f>
        <v>MODULO NO INICIADO</v>
      </c>
      <c r="BG646" s="3">
        <f>+IF(AVANCE[[#This Row],[VENTANAS]]=8.10810810810811%,100%,AVANCE[[#This Row],[VENTANAS]])</f>
        <v>0</v>
      </c>
      <c r="BH646" s="3">
        <f>+IF(AVANCE[[#This Row],[PISO]]=N$2,100%,AVANCE[[#This Row],[PISO]])</f>
        <v>0</v>
      </c>
      <c r="BI646" s="3">
        <f>+IF(AVANCE[[#This Row],[TABIQUES]]=O$2,100%,AVANCE[[#This Row],[TABIQUES]])</f>
        <v>0</v>
      </c>
      <c r="BJ646" s="3">
        <f>+IF(AVANCE[[#This Row],[MUROS]]=P$2,100%,AVANCE[[#This Row],[MUROS]])</f>
        <v>0</v>
      </c>
      <c r="BK646" s="3">
        <f>+IF(AVANCE[[#This Row],[CIELO]]=Q$2,100%,AVANCE[[#This Row],[CIELO]])</f>
        <v>0</v>
      </c>
      <c r="BL646" s="3">
        <f>+IF(AVANCE[[#This Row],[BALCÓN]]=R$2,100%,AVANCE[[#This Row],[BALCÓN]])</f>
        <v>0</v>
      </c>
      <c r="BM646" s="3">
        <f>+IF(AVANCE[[#This Row],[RED ALCANTARILLADO]]=U$2,100%,AVANCE[[#This Row],[RED ALCANTARILLADO]])</f>
        <v>0</v>
      </c>
      <c r="BN646" s="3">
        <f>+IF(AVANCE[[#This Row],[RED DE AGUA]]=V$2,100%,AVANCE[[#This Row],[RED DE AGUA]])</f>
        <v>0</v>
      </c>
      <c r="BO646" s="3">
        <f>+IF(AVANCE[[#This Row],[VENTILACIONES]]=W$2,100%,AVANCE[[#This Row],[VENTILACIONES]])</f>
        <v>0</v>
      </c>
      <c r="BP646" s="3">
        <f>+IF(AVANCE[[#This Row],[TINA]]=X$2,100%,AVANCE[[#This Row],[TINA]])</f>
        <v>0</v>
      </c>
      <c r="BQ646" s="3">
        <f>+IF(AVANCE[[#This Row],[WC]]=Y$2,100%,AVANCE[[#This Row],[WC]])</f>
        <v>0</v>
      </c>
      <c r="BR646" s="3">
        <f>+IF(AVANCE[[#This Row],[LAVAMANOS / LAVAPLATOS / LAVADERO]]=Z$2,100%,AVANCE[[#This Row],[LAVAMANOS / LAVAPLATOS / LAVADERO]])</f>
        <v>0</v>
      </c>
      <c r="BS646" s="3">
        <f>+IF(AVANCE[[#This Row],[CANALIZACIÓN]]=AC$2,100%,AVANCE[[#This Row],[CANALIZACIÓN]])</f>
        <v>0</v>
      </c>
      <c r="BT646" s="3">
        <f>+IF(AVANCE[[#This Row],[CABLEADO]]=AD$2,100%,AVANCE[[#This Row],[CABLEADO]])</f>
        <v>0</v>
      </c>
      <c r="BU646" s="3">
        <f>+IF(AVANCE[[#This Row],[ARTEFACTOS]]=AE$2,100%,AVANCE[[#This Row],[ARTEFACTOS]])</f>
        <v>0</v>
      </c>
      <c r="BV646" s="3">
        <f>+IF(AVANCE[[#This Row],[TABLERO]]=AF$2,100%,AVANCE[[#This Row],[TABLERO]])</f>
        <v>0</v>
      </c>
      <c r="BW646" s="3">
        <f>+IF(AVANCE[[#This Row],[CAJA PAU]]=AG$2,100%,AVANCE[[#This Row],[CAJA PAU]])</f>
        <v>0</v>
      </c>
      <c r="BX646" s="3">
        <f>+IF(AVANCE[[#This Row],[INSTALACION VINILICO]]=AJ$2,100%,AVANCE[[#This Row],[INSTALACION VINILICO]])</f>
        <v>0</v>
      </c>
      <c r="BY646" s="3">
        <f>+IF(AVANCE[[#This Row],[OSB CUBIERTA]]=AK$2,100%,AVANCE[[#This Row],[OSB CUBIERTA]])</f>
        <v>0</v>
      </c>
      <c r="BZ646" s="3">
        <f>+IF(AVANCE[[#This Row],[BARANDA BALCON]]=AL$2,100%,AVANCE[[#This Row],[BARANDA BALCON]])</f>
        <v>0</v>
      </c>
      <c r="CA646" s="3">
        <f>+IF(AVANCE[[#This Row],[OSB EXTERIOR]]=AM$2,100%,AVANCE[[#This Row],[OSB EXTERIOR]])</f>
        <v>0</v>
      </c>
      <c r="CB646" s="3">
        <f>+IF(AVANCE[[#This Row],[SMART PANEL]]=AN$2,100%,AVANCE[[#This Row],[SMART PANEL]])</f>
        <v>0</v>
      </c>
      <c r="CC646" s="3">
        <f>+IF(AVANCE[[#This Row],[PINTURA EXTERIOR]]=AO$2,100%,AVANCE[[#This Row],[PINTURA EXTERIOR]])</f>
        <v>0</v>
      </c>
      <c r="CD646" s="3">
        <f>+IF(AVANCE[[#This Row],[ZOCALOS LOGIA]]=AP$2,100%,AVANCE[[#This Row],[ZOCALOS LOGIA]])</f>
        <v>0</v>
      </c>
      <c r="CE646" s="3">
        <f>+IF(AVANCE[[#This Row],[MOLDURAS]]=AQ$2,100%,AVANCE[[#This Row],[MOLDURAS]])</f>
        <v>0</v>
      </c>
      <c r="CF646" s="3">
        <f>+IF(AVANCE[[#This Row],[PILASTREO]]=AR$2,100%,AVANCE[[#This Row],[PILASTREO]])</f>
        <v>0</v>
      </c>
      <c r="CG646" s="3">
        <f>+IF(AVANCE[[#This Row],[CELOSIAS]]=AS$2,100%,AVANCE[[#This Row],[CELOSIAS]])</f>
        <v>0</v>
      </c>
      <c r="CH646" s="3">
        <f>+IF(AVANCE[[#This Row],[VENTANAS]]=AT$2,100%,AVANCE[[#This Row],[VENTANAS]])</f>
        <v>0</v>
      </c>
      <c r="CI646" s="3">
        <f>+IF(AVANCE[[#This Row],[PUERTAS ACCESO - LOGIA - BANO]]=AU$2,100%,AVANCE[[#This Row],[PUERTAS ACCESO - LOGIA - BANO]])</f>
        <v>0</v>
      </c>
      <c r="CJ646" s="3">
        <f>+IF(AVANCE[[#This Row],[CERRADURAS]]=AV$2,100%,AVANCE[[#This Row],[CERRADURAS]])</f>
        <v>0</v>
      </c>
      <c r="CK646" s="3">
        <f>+IF(AVANCE[[#This Row],[REVESTIMIENTO INTERIOR ZONA SECA]]=AW$2,100%,AVANCE[[#This Row],[REVESTIMIENTO INTERIOR ZONA SECA]])</f>
        <v>0</v>
      </c>
      <c r="CL646" s="3">
        <f>+IF(AVANCE[[#This Row],[REVESTIMIENTO INTERIOR ZONAS HUMEDAS]]=AX$2,100%,AVANCE[[#This Row],[REVESTIMIENTO INTERIOR ZONAS HUMEDAS]])</f>
        <v>0</v>
      </c>
      <c r="CM646" s="3">
        <f>+IF(AVANCE[[#This Row],[MEMBRANA CIELO]]=AY$2,100%,AVANCE[[#This Row],[MEMBRANA CIELO]])</f>
        <v>0</v>
      </c>
      <c r="CN646" s="3">
        <f>+IF(AVANCE[[#This Row],[LIMPIEZA FINAL]]=AZ$2,100%,AVANCE[[#This Row],[LIMPIEZA FINAL]])</f>
        <v>0</v>
      </c>
      <c r="CO646" s="3">
        <f>+IF(AVANCE[[#This Row],[PUERTAS DORMITORIO]]=BA$2,100%,AVANCE[[#This Row],[PUERTAS DORMITORIO]])</f>
        <v>0</v>
      </c>
      <c r="CP646" s="3">
        <f>+IF(AVANCE[[#This Row],[REVESTIMIENTO INTERIOR BANO]]=BB$2,100%,AVANCE[[#This Row],[REVESTIMIENTO INTERIOR BANO]])</f>
        <v>0</v>
      </c>
      <c r="CQ646" s="3">
        <f>+IF(AVANCE[[#This Row],[MUEBLE LAVAPLATOS]]=BC$2,100%,AVANCE[[#This Row],[MUEBLE LAVAPLATOS]])</f>
        <v>0</v>
      </c>
      <c r="CR646" s="3">
        <f>+IF(AVANCE[[#This Row],[IMPERMEABILIZACION BANO - COCINA LOGIA]]=BD$2,100%,AVANCE[[#This Row],[IMPERMEABILIZACION BANO - COCINA LOGIA]])</f>
        <v>0</v>
      </c>
      <c r="CS646" s="40">
        <f ca="1">+IF(AVANCE[[#This Row],[ESTADO MODULO]]="PENDIENTE",(TODAY()-AVANCE[[#This Row],[FECHA TERMINO  PLANIFICADO]]),0)</f>
        <v>0</v>
      </c>
      <c r="CT646" s="41" t="str" cm="1">
        <f t="array" ref="CT646">_xlfn.TEXTJOIN(" | ",TRUE,IF(SUMPRODUCT((BG646:CR646&lt;1)*(PARTIDAS!$I$2:$AT$2="OBRA GRUESA"))&gt;0,"OBRA GRUESA: "&amp;_xlfn.TEXTJOIN(", ",TRUE,IF((BG646:CR646&lt;1)*(PARTIDAS!$I$2:$AT$2="OBRA GRUESA"),PARTIDAS!$I$1:$AT$1,"")),""),IF(SUMPRODUCT((BG646:CR646&lt;1)*(PARTIDAS!$I$2:$AT$2="SANITARIOS"))&gt;0,"SANITARIOS: "&amp;_xlfn.TEXTJOIN(", ",TRUE,IF((BG646:CR646&lt;1)*(PARTIDAS!$I$2:$AT$2="SANITARIOS"),PARTIDAS!$I$1:$AT$1,"")),""),IF(SUMPRODUCT((BG646:CR646&lt;1)*(PARTIDAS!$I$2:$AT$2="ELÉCTRICO"))&gt;0,"ELÉCTRICO: "&amp;_xlfn.TEXTJOIN(", ",TRUE,IF((BG646:CR646&lt;1)*(PARTIDAS!$I$2:$AT$2="ELÉCTRICO"),PARTIDAS!$I$1:$AT$1,"")),""),IF(SUMPRODUCT((BG646:CR646&lt;1)*(PARTIDAS!$I$2:$AT$2="TERMINACIONES"))&gt;0,"TERMINACIONES: "&amp;_xlfn.TEXTJOIN(", ",TRUE,IF((BG646:CR646&lt;1)*(PARTIDAS!$I$2:$AT$2="TERMINACIONES"),PARTIDAS!$I$1:$AT$1,"")),""))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6" s="43" t="str" cm="1">
        <f t="array" ref="CU646">_xlfn.TEXTJOIN(", ",TRUE,IF(SUMPRODUCT((BG646:CR646&lt;1)*(PARTIDAS!$I$2:$AT$2="OBRA GRUESA"))&gt;0,"OBRA GRUESA",""),IF(SUMPRODUCT((BG646:CR646&lt;1)*(PARTIDAS!$I$2:$AT$2="SANITARIOS"))&gt;0,"SANITARIOS",""),IF(SUMPRODUCT((BG646:CR646&lt;1)*(PARTIDAS!$I$2:$AT$2="ELÉCTRICO"))&gt;0,"ELÉCTRICO",""),IF(SUMPRODUCT((BG646:CR646&lt;1)*(PARTIDAS!$I$2:$AT$2="TERMINACIONES"))&gt;0,"TERMINACIONES",""))</f>
        <v>OBRA GRUESA, SANITARIOS, ELÉCTRICO, TERMINACIONES</v>
      </c>
      <c r="CV646" s="44" cm="1">
        <f t="array" ref="CV646">SUMPRODUCT(--(BG646:CR646&lt;1))</f>
        <v>38</v>
      </c>
    </row>
    <row r="647" spans="1:100" hidden="1" x14ac:dyDescent="0.25">
      <c r="A647" t="s">
        <v>718</v>
      </c>
      <c r="B647" t="s">
        <v>724</v>
      </c>
      <c r="C647">
        <v>2302600646</v>
      </c>
      <c r="D647" t="s">
        <v>60</v>
      </c>
      <c r="E647" s="2">
        <v>0</v>
      </c>
      <c r="F647" s="1">
        <v>46461</v>
      </c>
      <c r="G647" s="1"/>
      <c r="H647" s="1">
        <v>0</v>
      </c>
      <c r="I647" s="1">
        <v>46491</v>
      </c>
      <c r="J647">
        <v>46230</v>
      </c>
      <c r="K647" s="1"/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>
        <v>31.32</v>
      </c>
      <c r="BF647" s="3" t="str">
        <f>+IF(AVANCE[[#This Row],[% AVANCE]]=100%,"MODULO TERMINADO",IF(AVANCE[[#This Row],[FECHA INICIO REAL]]="","MODULO NO INICIADO","PENDIENTE"))</f>
        <v>MODULO NO INICIADO</v>
      </c>
      <c r="BG647" s="3">
        <f>+IF(AVANCE[[#This Row],[VENTANAS]]=8.10810810810811%,100%,AVANCE[[#This Row],[VENTANAS]])</f>
        <v>0</v>
      </c>
      <c r="BH647" s="3">
        <f>+IF(AVANCE[[#This Row],[PISO]]=N$2,100%,AVANCE[[#This Row],[PISO]])</f>
        <v>0</v>
      </c>
      <c r="BI647" s="3">
        <f>+IF(AVANCE[[#This Row],[TABIQUES]]=O$2,100%,AVANCE[[#This Row],[TABIQUES]])</f>
        <v>0</v>
      </c>
      <c r="BJ647" s="3">
        <f>+IF(AVANCE[[#This Row],[MUROS]]=P$2,100%,AVANCE[[#This Row],[MUROS]])</f>
        <v>0</v>
      </c>
      <c r="BK647" s="3">
        <f>+IF(AVANCE[[#This Row],[CIELO]]=Q$2,100%,AVANCE[[#This Row],[CIELO]])</f>
        <v>0</v>
      </c>
      <c r="BL647" s="3">
        <f>+IF(AVANCE[[#This Row],[BALCÓN]]=R$2,100%,AVANCE[[#This Row],[BALCÓN]])</f>
        <v>0</v>
      </c>
      <c r="BM647" s="3">
        <f>+IF(AVANCE[[#This Row],[RED ALCANTARILLADO]]=U$2,100%,AVANCE[[#This Row],[RED ALCANTARILLADO]])</f>
        <v>0</v>
      </c>
      <c r="BN647" s="3">
        <f>+IF(AVANCE[[#This Row],[RED DE AGUA]]=V$2,100%,AVANCE[[#This Row],[RED DE AGUA]])</f>
        <v>0</v>
      </c>
      <c r="BO647" s="3">
        <f>+IF(AVANCE[[#This Row],[VENTILACIONES]]=W$2,100%,AVANCE[[#This Row],[VENTILACIONES]])</f>
        <v>0</v>
      </c>
      <c r="BP647" s="3">
        <f>+IF(AVANCE[[#This Row],[TINA]]=X$2,100%,AVANCE[[#This Row],[TINA]])</f>
        <v>0</v>
      </c>
      <c r="BQ647" s="3">
        <f>+IF(AVANCE[[#This Row],[WC]]=Y$2,100%,AVANCE[[#This Row],[WC]])</f>
        <v>0</v>
      </c>
      <c r="BR647" s="3">
        <f>+IF(AVANCE[[#This Row],[LAVAMANOS / LAVAPLATOS / LAVADERO]]=Z$2,100%,AVANCE[[#This Row],[LAVAMANOS / LAVAPLATOS / LAVADERO]])</f>
        <v>0</v>
      </c>
      <c r="BS647" s="3">
        <f>+IF(AVANCE[[#This Row],[CANALIZACIÓN]]=AC$2,100%,AVANCE[[#This Row],[CANALIZACIÓN]])</f>
        <v>0</v>
      </c>
      <c r="BT647" s="3">
        <f>+IF(AVANCE[[#This Row],[CABLEADO]]=AD$2,100%,AVANCE[[#This Row],[CABLEADO]])</f>
        <v>0</v>
      </c>
      <c r="BU647" s="3">
        <f>+IF(AVANCE[[#This Row],[ARTEFACTOS]]=AE$2,100%,AVANCE[[#This Row],[ARTEFACTOS]])</f>
        <v>0</v>
      </c>
      <c r="BV647" s="3">
        <f>+IF(AVANCE[[#This Row],[TABLERO]]=AF$2,100%,AVANCE[[#This Row],[TABLERO]])</f>
        <v>0</v>
      </c>
      <c r="BW647" s="3">
        <f>+IF(AVANCE[[#This Row],[CAJA PAU]]=AG$2,100%,AVANCE[[#This Row],[CAJA PAU]])</f>
        <v>0</v>
      </c>
      <c r="BX647" s="3">
        <f>+IF(AVANCE[[#This Row],[INSTALACION VINILICO]]=AJ$2,100%,AVANCE[[#This Row],[INSTALACION VINILICO]])</f>
        <v>0</v>
      </c>
      <c r="BY647" s="3">
        <f>+IF(AVANCE[[#This Row],[OSB CUBIERTA]]=AK$2,100%,AVANCE[[#This Row],[OSB CUBIERTA]])</f>
        <v>0</v>
      </c>
      <c r="BZ647" s="3">
        <f>+IF(AVANCE[[#This Row],[BARANDA BALCON]]=AL$2,100%,AVANCE[[#This Row],[BARANDA BALCON]])</f>
        <v>0</v>
      </c>
      <c r="CA647" s="3">
        <f>+IF(AVANCE[[#This Row],[OSB EXTERIOR]]=AM$2,100%,AVANCE[[#This Row],[OSB EXTERIOR]])</f>
        <v>0</v>
      </c>
      <c r="CB647" s="3">
        <f>+IF(AVANCE[[#This Row],[SMART PANEL]]=AN$2,100%,AVANCE[[#This Row],[SMART PANEL]])</f>
        <v>0</v>
      </c>
      <c r="CC647" s="3">
        <f>+IF(AVANCE[[#This Row],[PINTURA EXTERIOR]]=AO$2,100%,AVANCE[[#This Row],[PINTURA EXTERIOR]])</f>
        <v>0</v>
      </c>
      <c r="CD647" s="3">
        <f>+IF(AVANCE[[#This Row],[ZOCALOS LOGIA]]=AP$2,100%,AVANCE[[#This Row],[ZOCALOS LOGIA]])</f>
        <v>0</v>
      </c>
      <c r="CE647" s="3">
        <f>+IF(AVANCE[[#This Row],[MOLDURAS]]=AQ$2,100%,AVANCE[[#This Row],[MOLDURAS]])</f>
        <v>0</v>
      </c>
      <c r="CF647" s="3">
        <f>+IF(AVANCE[[#This Row],[PILASTREO]]=AR$2,100%,AVANCE[[#This Row],[PILASTREO]])</f>
        <v>0</v>
      </c>
      <c r="CG647" s="3">
        <f>+IF(AVANCE[[#This Row],[CELOSIAS]]=AS$2,100%,AVANCE[[#This Row],[CELOSIAS]])</f>
        <v>0</v>
      </c>
      <c r="CH647" s="3">
        <f>+IF(AVANCE[[#This Row],[VENTANAS]]=AT$2,100%,AVANCE[[#This Row],[VENTANAS]])</f>
        <v>0</v>
      </c>
      <c r="CI647" s="3">
        <f>+IF(AVANCE[[#This Row],[PUERTAS ACCESO - LOGIA - BANO]]=AU$2,100%,AVANCE[[#This Row],[PUERTAS ACCESO - LOGIA - BANO]])</f>
        <v>0</v>
      </c>
      <c r="CJ647" s="3">
        <f>+IF(AVANCE[[#This Row],[CERRADURAS]]=AV$2,100%,AVANCE[[#This Row],[CERRADURAS]])</f>
        <v>0</v>
      </c>
      <c r="CK647" s="3">
        <f>+IF(AVANCE[[#This Row],[REVESTIMIENTO INTERIOR ZONA SECA]]=AW$2,100%,AVANCE[[#This Row],[REVESTIMIENTO INTERIOR ZONA SECA]])</f>
        <v>0</v>
      </c>
      <c r="CL647" s="3">
        <f>+IF(AVANCE[[#This Row],[REVESTIMIENTO INTERIOR ZONAS HUMEDAS]]=AX$2,100%,AVANCE[[#This Row],[REVESTIMIENTO INTERIOR ZONAS HUMEDAS]])</f>
        <v>0</v>
      </c>
      <c r="CM647" s="3">
        <f>+IF(AVANCE[[#This Row],[MEMBRANA CIELO]]=AY$2,100%,AVANCE[[#This Row],[MEMBRANA CIELO]])</f>
        <v>0</v>
      </c>
      <c r="CN647" s="3">
        <f>+IF(AVANCE[[#This Row],[LIMPIEZA FINAL]]=AZ$2,100%,AVANCE[[#This Row],[LIMPIEZA FINAL]])</f>
        <v>0</v>
      </c>
      <c r="CO647" s="3">
        <f>+IF(AVANCE[[#This Row],[PUERTAS DORMITORIO]]=BA$2,100%,AVANCE[[#This Row],[PUERTAS DORMITORIO]])</f>
        <v>0</v>
      </c>
      <c r="CP647" s="3">
        <f>+IF(AVANCE[[#This Row],[REVESTIMIENTO INTERIOR BANO]]=BB$2,100%,AVANCE[[#This Row],[REVESTIMIENTO INTERIOR BANO]])</f>
        <v>0</v>
      </c>
      <c r="CQ647" s="3">
        <f>+IF(AVANCE[[#This Row],[MUEBLE LAVAPLATOS]]=BC$2,100%,AVANCE[[#This Row],[MUEBLE LAVAPLATOS]])</f>
        <v>0</v>
      </c>
      <c r="CR647" s="3">
        <f>+IF(AVANCE[[#This Row],[IMPERMEABILIZACION BANO - COCINA LOGIA]]=BD$2,100%,AVANCE[[#This Row],[IMPERMEABILIZACION BANO - COCINA LOGIA]])</f>
        <v>0</v>
      </c>
      <c r="CS647" s="40">
        <f ca="1">+IF(AVANCE[[#This Row],[ESTADO MODULO]]="PENDIENTE",(TODAY()-AVANCE[[#This Row],[FECHA TERMINO  PLANIFICADO]]),0)</f>
        <v>0</v>
      </c>
      <c r="CT647" s="41" t="str" cm="1">
        <f t="array" ref="CT647">_xlfn.TEXTJOIN(" | ",TRUE,IF(SUMPRODUCT((BG647:CR647&lt;1)*(PARTIDAS!$I$2:$AT$2="OBRA GRUESA"))&gt;0,"OBRA GRUESA: "&amp;_xlfn.TEXTJOIN(", ",TRUE,IF((BG647:CR647&lt;1)*(PARTIDAS!$I$2:$AT$2="OBRA GRUESA"),PARTIDAS!$I$1:$AT$1,"")),""),IF(SUMPRODUCT((BG647:CR647&lt;1)*(PARTIDAS!$I$2:$AT$2="SANITARIOS"))&gt;0,"SANITARIOS: "&amp;_xlfn.TEXTJOIN(", ",TRUE,IF((BG647:CR647&lt;1)*(PARTIDAS!$I$2:$AT$2="SANITARIOS"),PARTIDAS!$I$1:$AT$1,"")),""),IF(SUMPRODUCT((BG647:CR647&lt;1)*(PARTIDAS!$I$2:$AT$2="ELÉCTRICO"))&gt;0,"ELÉCTRICO: "&amp;_xlfn.TEXTJOIN(", ",TRUE,IF((BG647:CR647&lt;1)*(PARTIDAS!$I$2:$AT$2="ELÉCTRICO"),PARTIDAS!$I$1:$AT$1,"")),""),IF(SUMPRODUCT((BG647:CR647&lt;1)*(PARTIDAS!$I$2:$AT$2="TERMINACIONES"))&gt;0,"TERMINACIONES: "&amp;_xlfn.TEXTJOIN(", ",TRUE,IF((BG647:CR647&lt;1)*(PARTIDAS!$I$2:$AT$2="TERMINACIONES"),PARTIDAS!$I$1:$AT$1,"")),""))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7" s="43" t="str" cm="1">
        <f t="array" ref="CU647">_xlfn.TEXTJOIN(", ",TRUE,IF(SUMPRODUCT((BG647:CR647&lt;1)*(PARTIDAS!$I$2:$AT$2="OBRA GRUESA"))&gt;0,"OBRA GRUESA",""),IF(SUMPRODUCT((BG647:CR647&lt;1)*(PARTIDAS!$I$2:$AT$2="SANITARIOS"))&gt;0,"SANITARIOS",""),IF(SUMPRODUCT((BG647:CR647&lt;1)*(PARTIDAS!$I$2:$AT$2="ELÉCTRICO"))&gt;0,"ELÉCTRICO",""),IF(SUMPRODUCT((BG647:CR647&lt;1)*(PARTIDAS!$I$2:$AT$2="TERMINACIONES"))&gt;0,"TERMINACIONES",""))</f>
        <v>OBRA GRUESA, SANITARIOS, ELÉCTRICO, TERMINACIONES</v>
      </c>
      <c r="CV647" s="44" cm="1">
        <f t="array" ref="CV647">SUMPRODUCT(--(BG647:CR647&lt;1))</f>
        <v>38</v>
      </c>
    </row>
    <row r="648" spans="1:100" hidden="1" x14ac:dyDescent="0.25">
      <c r="A648" t="s">
        <v>718</v>
      </c>
      <c r="B648" t="s">
        <v>725</v>
      </c>
      <c r="C648">
        <v>2302600647</v>
      </c>
      <c r="D648" t="s">
        <v>60</v>
      </c>
      <c r="E648" s="2">
        <v>0</v>
      </c>
      <c r="F648" s="1">
        <v>46462</v>
      </c>
      <c r="G648" s="1"/>
      <c r="H648" s="1">
        <v>0</v>
      </c>
      <c r="I648" s="1">
        <v>46492</v>
      </c>
      <c r="J648">
        <v>46230</v>
      </c>
      <c r="K648" s="1"/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>
        <v>31.32</v>
      </c>
      <c r="BF648" s="3" t="str">
        <f>+IF(AVANCE[[#This Row],[% AVANCE]]=100%,"MODULO TERMINADO",IF(AVANCE[[#This Row],[FECHA INICIO REAL]]="","MODULO NO INICIADO","PENDIENTE"))</f>
        <v>MODULO NO INICIADO</v>
      </c>
      <c r="BG648" s="3">
        <f>+IF(AVANCE[[#This Row],[VENTANAS]]=8.10810810810811%,100%,AVANCE[[#This Row],[VENTANAS]])</f>
        <v>0</v>
      </c>
      <c r="BH648" s="3">
        <f>+IF(AVANCE[[#This Row],[PISO]]=N$2,100%,AVANCE[[#This Row],[PISO]])</f>
        <v>0</v>
      </c>
      <c r="BI648" s="3">
        <f>+IF(AVANCE[[#This Row],[TABIQUES]]=O$2,100%,AVANCE[[#This Row],[TABIQUES]])</f>
        <v>0</v>
      </c>
      <c r="BJ648" s="3">
        <f>+IF(AVANCE[[#This Row],[MUROS]]=P$2,100%,AVANCE[[#This Row],[MUROS]])</f>
        <v>0</v>
      </c>
      <c r="BK648" s="3">
        <f>+IF(AVANCE[[#This Row],[CIELO]]=Q$2,100%,AVANCE[[#This Row],[CIELO]])</f>
        <v>0</v>
      </c>
      <c r="BL648" s="3">
        <f>+IF(AVANCE[[#This Row],[BALCÓN]]=R$2,100%,AVANCE[[#This Row],[BALCÓN]])</f>
        <v>0</v>
      </c>
      <c r="BM648" s="3">
        <f>+IF(AVANCE[[#This Row],[RED ALCANTARILLADO]]=U$2,100%,AVANCE[[#This Row],[RED ALCANTARILLADO]])</f>
        <v>0</v>
      </c>
      <c r="BN648" s="3">
        <f>+IF(AVANCE[[#This Row],[RED DE AGUA]]=V$2,100%,AVANCE[[#This Row],[RED DE AGUA]])</f>
        <v>0</v>
      </c>
      <c r="BO648" s="3">
        <f>+IF(AVANCE[[#This Row],[VENTILACIONES]]=W$2,100%,AVANCE[[#This Row],[VENTILACIONES]])</f>
        <v>0</v>
      </c>
      <c r="BP648" s="3">
        <f>+IF(AVANCE[[#This Row],[TINA]]=X$2,100%,AVANCE[[#This Row],[TINA]])</f>
        <v>0</v>
      </c>
      <c r="BQ648" s="3">
        <f>+IF(AVANCE[[#This Row],[WC]]=Y$2,100%,AVANCE[[#This Row],[WC]])</f>
        <v>0</v>
      </c>
      <c r="BR648" s="3">
        <f>+IF(AVANCE[[#This Row],[LAVAMANOS / LAVAPLATOS / LAVADERO]]=Z$2,100%,AVANCE[[#This Row],[LAVAMANOS / LAVAPLATOS / LAVADERO]])</f>
        <v>0</v>
      </c>
      <c r="BS648" s="3">
        <f>+IF(AVANCE[[#This Row],[CANALIZACIÓN]]=AC$2,100%,AVANCE[[#This Row],[CANALIZACIÓN]])</f>
        <v>0</v>
      </c>
      <c r="BT648" s="3">
        <f>+IF(AVANCE[[#This Row],[CABLEADO]]=AD$2,100%,AVANCE[[#This Row],[CABLEADO]])</f>
        <v>0</v>
      </c>
      <c r="BU648" s="3">
        <f>+IF(AVANCE[[#This Row],[ARTEFACTOS]]=AE$2,100%,AVANCE[[#This Row],[ARTEFACTOS]])</f>
        <v>0</v>
      </c>
      <c r="BV648" s="3">
        <f>+IF(AVANCE[[#This Row],[TABLERO]]=AF$2,100%,AVANCE[[#This Row],[TABLERO]])</f>
        <v>0</v>
      </c>
      <c r="BW648" s="3">
        <f>+IF(AVANCE[[#This Row],[CAJA PAU]]=AG$2,100%,AVANCE[[#This Row],[CAJA PAU]])</f>
        <v>0</v>
      </c>
      <c r="BX648" s="3">
        <f>+IF(AVANCE[[#This Row],[INSTALACION VINILICO]]=AJ$2,100%,AVANCE[[#This Row],[INSTALACION VINILICO]])</f>
        <v>0</v>
      </c>
      <c r="BY648" s="3">
        <f>+IF(AVANCE[[#This Row],[OSB CUBIERTA]]=AK$2,100%,AVANCE[[#This Row],[OSB CUBIERTA]])</f>
        <v>0</v>
      </c>
      <c r="BZ648" s="3">
        <f>+IF(AVANCE[[#This Row],[BARANDA BALCON]]=AL$2,100%,AVANCE[[#This Row],[BARANDA BALCON]])</f>
        <v>0</v>
      </c>
      <c r="CA648" s="3">
        <f>+IF(AVANCE[[#This Row],[OSB EXTERIOR]]=AM$2,100%,AVANCE[[#This Row],[OSB EXTERIOR]])</f>
        <v>0</v>
      </c>
      <c r="CB648" s="3">
        <f>+IF(AVANCE[[#This Row],[SMART PANEL]]=AN$2,100%,AVANCE[[#This Row],[SMART PANEL]])</f>
        <v>0</v>
      </c>
      <c r="CC648" s="3">
        <f>+IF(AVANCE[[#This Row],[PINTURA EXTERIOR]]=AO$2,100%,AVANCE[[#This Row],[PINTURA EXTERIOR]])</f>
        <v>0</v>
      </c>
      <c r="CD648" s="3">
        <f>+IF(AVANCE[[#This Row],[ZOCALOS LOGIA]]=AP$2,100%,AVANCE[[#This Row],[ZOCALOS LOGIA]])</f>
        <v>0</v>
      </c>
      <c r="CE648" s="3">
        <f>+IF(AVANCE[[#This Row],[MOLDURAS]]=AQ$2,100%,AVANCE[[#This Row],[MOLDURAS]])</f>
        <v>0</v>
      </c>
      <c r="CF648" s="3">
        <f>+IF(AVANCE[[#This Row],[PILASTREO]]=AR$2,100%,AVANCE[[#This Row],[PILASTREO]])</f>
        <v>0</v>
      </c>
      <c r="CG648" s="3">
        <f>+IF(AVANCE[[#This Row],[CELOSIAS]]=AS$2,100%,AVANCE[[#This Row],[CELOSIAS]])</f>
        <v>0</v>
      </c>
      <c r="CH648" s="3">
        <f>+IF(AVANCE[[#This Row],[VENTANAS]]=AT$2,100%,AVANCE[[#This Row],[VENTANAS]])</f>
        <v>0</v>
      </c>
      <c r="CI648" s="3">
        <f>+IF(AVANCE[[#This Row],[PUERTAS ACCESO - LOGIA - BANO]]=AU$2,100%,AVANCE[[#This Row],[PUERTAS ACCESO - LOGIA - BANO]])</f>
        <v>0</v>
      </c>
      <c r="CJ648" s="3">
        <f>+IF(AVANCE[[#This Row],[CERRADURAS]]=AV$2,100%,AVANCE[[#This Row],[CERRADURAS]])</f>
        <v>0</v>
      </c>
      <c r="CK648" s="3">
        <f>+IF(AVANCE[[#This Row],[REVESTIMIENTO INTERIOR ZONA SECA]]=AW$2,100%,AVANCE[[#This Row],[REVESTIMIENTO INTERIOR ZONA SECA]])</f>
        <v>0</v>
      </c>
      <c r="CL648" s="3">
        <f>+IF(AVANCE[[#This Row],[REVESTIMIENTO INTERIOR ZONAS HUMEDAS]]=AX$2,100%,AVANCE[[#This Row],[REVESTIMIENTO INTERIOR ZONAS HUMEDAS]])</f>
        <v>0</v>
      </c>
      <c r="CM648" s="3">
        <f>+IF(AVANCE[[#This Row],[MEMBRANA CIELO]]=AY$2,100%,AVANCE[[#This Row],[MEMBRANA CIELO]])</f>
        <v>0</v>
      </c>
      <c r="CN648" s="3">
        <f>+IF(AVANCE[[#This Row],[LIMPIEZA FINAL]]=AZ$2,100%,AVANCE[[#This Row],[LIMPIEZA FINAL]])</f>
        <v>0</v>
      </c>
      <c r="CO648" s="3">
        <f>+IF(AVANCE[[#This Row],[PUERTAS DORMITORIO]]=BA$2,100%,AVANCE[[#This Row],[PUERTAS DORMITORIO]])</f>
        <v>0</v>
      </c>
      <c r="CP648" s="3">
        <f>+IF(AVANCE[[#This Row],[REVESTIMIENTO INTERIOR BANO]]=BB$2,100%,AVANCE[[#This Row],[REVESTIMIENTO INTERIOR BANO]])</f>
        <v>0</v>
      </c>
      <c r="CQ648" s="3">
        <f>+IF(AVANCE[[#This Row],[MUEBLE LAVAPLATOS]]=BC$2,100%,AVANCE[[#This Row],[MUEBLE LAVAPLATOS]])</f>
        <v>0</v>
      </c>
      <c r="CR648" s="3">
        <f>+IF(AVANCE[[#This Row],[IMPERMEABILIZACION BANO - COCINA LOGIA]]=BD$2,100%,AVANCE[[#This Row],[IMPERMEABILIZACION BANO - COCINA LOGIA]])</f>
        <v>0</v>
      </c>
      <c r="CS648" s="40">
        <f ca="1">+IF(AVANCE[[#This Row],[ESTADO MODULO]]="PENDIENTE",(TODAY()-AVANCE[[#This Row],[FECHA TERMINO  PLANIFICADO]]),0)</f>
        <v>0</v>
      </c>
      <c r="CT648" s="41" t="str" cm="1">
        <f t="array" ref="CT648">_xlfn.TEXTJOIN(" | ",TRUE,IF(SUMPRODUCT((BG648:CR648&lt;1)*(PARTIDAS!$I$2:$AT$2="OBRA GRUESA"))&gt;0,"OBRA GRUESA: "&amp;_xlfn.TEXTJOIN(", ",TRUE,IF((BG648:CR648&lt;1)*(PARTIDAS!$I$2:$AT$2="OBRA GRUESA"),PARTIDAS!$I$1:$AT$1,"")),""),IF(SUMPRODUCT((BG648:CR648&lt;1)*(PARTIDAS!$I$2:$AT$2="SANITARIOS"))&gt;0,"SANITARIOS: "&amp;_xlfn.TEXTJOIN(", ",TRUE,IF((BG648:CR648&lt;1)*(PARTIDAS!$I$2:$AT$2="SANITARIOS"),PARTIDAS!$I$1:$AT$1,"")),""),IF(SUMPRODUCT((BG648:CR648&lt;1)*(PARTIDAS!$I$2:$AT$2="ELÉCTRICO"))&gt;0,"ELÉCTRICO: "&amp;_xlfn.TEXTJOIN(", ",TRUE,IF((BG648:CR648&lt;1)*(PARTIDAS!$I$2:$AT$2="ELÉCTRICO"),PARTIDAS!$I$1:$AT$1,"")),""),IF(SUMPRODUCT((BG648:CR648&lt;1)*(PARTIDAS!$I$2:$AT$2="TERMINACIONES"))&gt;0,"TERMINACIONES: "&amp;_xlfn.TEXTJOIN(", ",TRUE,IF((BG648:CR648&lt;1)*(PARTIDAS!$I$2:$AT$2="TERMINACIONES"),PARTIDAS!$I$1:$AT$1,"")),""))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8" s="43" t="str" cm="1">
        <f t="array" ref="CU648">_xlfn.TEXTJOIN(", ",TRUE,IF(SUMPRODUCT((BG648:CR648&lt;1)*(PARTIDAS!$I$2:$AT$2="OBRA GRUESA"))&gt;0,"OBRA GRUESA",""),IF(SUMPRODUCT((BG648:CR648&lt;1)*(PARTIDAS!$I$2:$AT$2="SANITARIOS"))&gt;0,"SANITARIOS",""),IF(SUMPRODUCT((BG648:CR648&lt;1)*(PARTIDAS!$I$2:$AT$2="ELÉCTRICO"))&gt;0,"ELÉCTRICO",""),IF(SUMPRODUCT((BG648:CR648&lt;1)*(PARTIDAS!$I$2:$AT$2="TERMINACIONES"))&gt;0,"TERMINACIONES",""))</f>
        <v>OBRA GRUESA, SANITARIOS, ELÉCTRICO, TERMINACIONES</v>
      </c>
      <c r="CV648" s="44" cm="1">
        <f t="array" ref="CV648">SUMPRODUCT(--(BG648:CR648&lt;1))</f>
        <v>38</v>
      </c>
    </row>
    <row r="649" spans="1:100" hidden="1" x14ac:dyDescent="0.25">
      <c r="A649" t="s">
        <v>718</v>
      </c>
      <c r="B649" t="s">
        <v>726</v>
      </c>
      <c r="C649">
        <v>2282600648</v>
      </c>
      <c r="D649" t="s">
        <v>58</v>
      </c>
      <c r="E649" s="2">
        <v>0</v>
      </c>
      <c r="F649" s="1">
        <v>46462</v>
      </c>
      <c r="G649" s="1"/>
      <c r="H649" s="1">
        <v>0</v>
      </c>
      <c r="I649" s="1">
        <v>46482</v>
      </c>
      <c r="J649">
        <v>46230</v>
      </c>
      <c r="K649" s="1"/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>
        <v>28.87</v>
      </c>
      <c r="BF649" s="3" t="str">
        <f>+IF(AVANCE[[#This Row],[% AVANCE]]=100%,"MODULO TERMINADO",IF(AVANCE[[#This Row],[FECHA INICIO REAL]]="","MODULO NO INICIADO","PENDIENTE"))</f>
        <v>MODULO NO INICIADO</v>
      </c>
      <c r="BG649" s="3">
        <f>+IF(AVANCE[[#This Row],[VENTANAS]]=8.10810810810811%,100%,AVANCE[[#This Row],[VENTANAS]])</f>
        <v>0</v>
      </c>
      <c r="BH649" s="3">
        <f>+IF(AVANCE[[#This Row],[PISO]]=N$2,100%,AVANCE[[#This Row],[PISO]])</f>
        <v>0</v>
      </c>
      <c r="BI649" s="3">
        <f>+IF(AVANCE[[#This Row],[TABIQUES]]=O$2,100%,AVANCE[[#This Row],[TABIQUES]])</f>
        <v>0</v>
      </c>
      <c r="BJ649" s="3">
        <f>+IF(AVANCE[[#This Row],[MUROS]]=P$2,100%,AVANCE[[#This Row],[MUROS]])</f>
        <v>0</v>
      </c>
      <c r="BK649" s="3">
        <f>+IF(AVANCE[[#This Row],[CIELO]]=Q$2,100%,AVANCE[[#This Row],[CIELO]])</f>
        <v>0</v>
      </c>
      <c r="BL649" s="3">
        <f>+IF(AVANCE[[#This Row],[BALCÓN]]=R$2,100%,AVANCE[[#This Row],[BALCÓN]])</f>
        <v>0</v>
      </c>
      <c r="BM649" s="3">
        <f>+IF(AVANCE[[#This Row],[RED ALCANTARILLADO]]=U$2,100%,AVANCE[[#This Row],[RED ALCANTARILLADO]])</f>
        <v>0</v>
      </c>
      <c r="BN649" s="3">
        <f>+IF(AVANCE[[#This Row],[RED DE AGUA]]=V$2,100%,AVANCE[[#This Row],[RED DE AGUA]])</f>
        <v>0</v>
      </c>
      <c r="BO649" s="3">
        <f>+IF(AVANCE[[#This Row],[VENTILACIONES]]=W$2,100%,AVANCE[[#This Row],[VENTILACIONES]])</f>
        <v>0</v>
      </c>
      <c r="BP649" s="3">
        <f>+IF(AVANCE[[#This Row],[TINA]]=X$2,100%,AVANCE[[#This Row],[TINA]])</f>
        <v>0</v>
      </c>
      <c r="BQ649" s="3">
        <f>+IF(AVANCE[[#This Row],[WC]]=Y$2,100%,AVANCE[[#This Row],[WC]])</f>
        <v>0</v>
      </c>
      <c r="BR649" s="3">
        <f>+IF(AVANCE[[#This Row],[LAVAMANOS / LAVAPLATOS / LAVADERO]]=Z$2,100%,AVANCE[[#This Row],[LAVAMANOS / LAVAPLATOS / LAVADERO]])</f>
        <v>0</v>
      </c>
      <c r="BS649" s="3">
        <f>+IF(AVANCE[[#This Row],[CANALIZACIÓN]]=AC$2,100%,AVANCE[[#This Row],[CANALIZACIÓN]])</f>
        <v>0</v>
      </c>
      <c r="BT649" s="3">
        <f>+IF(AVANCE[[#This Row],[CABLEADO]]=AD$2,100%,AVANCE[[#This Row],[CABLEADO]])</f>
        <v>0</v>
      </c>
      <c r="BU649" s="3">
        <f>+IF(AVANCE[[#This Row],[ARTEFACTOS]]=AE$2,100%,AVANCE[[#This Row],[ARTEFACTOS]])</f>
        <v>0</v>
      </c>
      <c r="BV649" s="3">
        <f>+IF(AVANCE[[#This Row],[TABLERO]]=AF$2,100%,AVANCE[[#This Row],[TABLERO]])</f>
        <v>0</v>
      </c>
      <c r="BW649" s="3">
        <f>+IF(AVANCE[[#This Row],[CAJA PAU]]=AG$2,100%,AVANCE[[#This Row],[CAJA PAU]])</f>
        <v>0</v>
      </c>
      <c r="BX649" s="3">
        <f>+IF(AVANCE[[#This Row],[INSTALACION VINILICO]]=AJ$2,100%,AVANCE[[#This Row],[INSTALACION VINILICO]])</f>
        <v>0</v>
      </c>
      <c r="BY649" s="3">
        <f>+IF(AVANCE[[#This Row],[OSB CUBIERTA]]=AK$2,100%,AVANCE[[#This Row],[OSB CUBIERTA]])</f>
        <v>0</v>
      </c>
      <c r="BZ649" s="3">
        <f>+IF(AVANCE[[#This Row],[BARANDA BALCON]]=AL$2,100%,AVANCE[[#This Row],[BARANDA BALCON]])</f>
        <v>0</v>
      </c>
      <c r="CA649" s="3">
        <f>+IF(AVANCE[[#This Row],[OSB EXTERIOR]]=AM$2,100%,AVANCE[[#This Row],[OSB EXTERIOR]])</f>
        <v>0</v>
      </c>
      <c r="CB649" s="3">
        <f>+IF(AVANCE[[#This Row],[SMART PANEL]]=AN$2,100%,AVANCE[[#This Row],[SMART PANEL]])</f>
        <v>0</v>
      </c>
      <c r="CC649" s="3">
        <f>+IF(AVANCE[[#This Row],[PINTURA EXTERIOR]]=AO$2,100%,AVANCE[[#This Row],[PINTURA EXTERIOR]])</f>
        <v>0</v>
      </c>
      <c r="CD649" s="3">
        <f>+IF(AVANCE[[#This Row],[ZOCALOS LOGIA]]=AP$2,100%,AVANCE[[#This Row],[ZOCALOS LOGIA]])</f>
        <v>0</v>
      </c>
      <c r="CE649" s="3">
        <f>+IF(AVANCE[[#This Row],[MOLDURAS]]=AQ$2,100%,AVANCE[[#This Row],[MOLDURAS]])</f>
        <v>0</v>
      </c>
      <c r="CF649" s="3">
        <f>+IF(AVANCE[[#This Row],[PILASTREO]]=AR$2,100%,AVANCE[[#This Row],[PILASTREO]])</f>
        <v>0</v>
      </c>
      <c r="CG649" s="3">
        <f>+IF(AVANCE[[#This Row],[CELOSIAS]]=AS$2,100%,AVANCE[[#This Row],[CELOSIAS]])</f>
        <v>0</v>
      </c>
      <c r="CH649" s="3">
        <f>+IF(AVANCE[[#This Row],[VENTANAS]]=AT$2,100%,AVANCE[[#This Row],[VENTANAS]])</f>
        <v>0</v>
      </c>
      <c r="CI649" s="3">
        <f>+IF(AVANCE[[#This Row],[PUERTAS ACCESO - LOGIA - BANO]]=AU$2,100%,AVANCE[[#This Row],[PUERTAS ACCESO - LOGIA - BANO]])</f>
        <v>0</v>
      </c>
      <c r="CJ649" s="3">
        <f>+IF(AVANCE[[#This Row],[CERRADURAS]]=AV$2,100%,AVANCE[[#This Row],[CERRADURAS]])</f>
        <v>0</v>
      </c>
      <c r="CK649" s="3">
        <f>+IF(AVANCE[[#This Row],[REVESTIMIENTO INTERIOR ZONA SECA]]=AW$2,100%,AVANCE[[#This Row],[REVESTIMIENTO INTERIOR ZONA SECA]])</f>
        <v>0</v>
      </c>
      <c r="CL649" s="3">
        <f>+IF(AVANCE[[#This Row],[REVESTIMIENTO INTERIOR ZONAS HUMEDAS]]=AX$2,100%,AVANCE[[#This Row],[REVESTIMIENTO INTERIOR ZONAS HUMEDAS]])</f>
        <v>0</v>
      </c>
      <c r="CM649" s="3">
        <f>+IF(AVANCE[[#This Row],[MEMBRANA CIELO]]=AY$2,100%,AVANCE[[#This Row],[MEMBRANA CIELO]])</f>
        <v>0</v>
      </c>
      <c r="CN649" s="3">
        <f>+IF(AVANCE[[#This Row],[LIMPIEZA FINAL]]=AZ$2,100%,AVANCE[[#This Row],[LIMPIEZA FINAL]])</f>
        <v>0</v>
      </c>
      <c r="CO649" s="3">
        <f>+IF(AVANCE[[#This Row],[PUERTAS DORMITORIO]]=BA$2,100%,AVANCE[[#This Row],[PUERTAS DORMITORIO]])</f>
        <v>0</v>
      </c>
      <c r="CP649" s="3">
        <f>+IF(AVANCE[[#This Row],[REVESTIMIENTO INTERIOR BANO]]=BB$2,100%,AVANCE[[#This Row],[REVESTIMIENTO INTERIOR BANO]])</f>
        <v>0</v>
      </c>
      <c r="CQ649" s="3">
        <f>+IF(AVANCE[[#This Row],[MUEBLE LAVAPLATOS]]=BC$2,100%,AVANCE[[#This Row],[MUEBLE LAVAPLATOS]])</f>
        <v>0</v>
      </c>
      <c r="CR649" s="3">
        <f>+IF(AVANCE[[#This Row],[IMPERMEABILIZACION BANO - COCINA LOGIA]]=BD$2,100%,AVANCE[[#This Row],[IMPERMEABILIZACION BANO - COCINA LOGIA]])</f>
        <v>0</v>
      </c>
      <c r="CS649" s="40">
        <f ca="1">+IF(AVANCE[[#This Row],[ESTADO MODULO]]="PENDIENTE",(TODAY()-AVANCE[[#This Row],[FECHA TERMINO  PLANIFICADO]]),0)</f>
        <v>0</v>
      </c>
      <c r="CT649" s="41" t="str" cm="1">
        <f t="array" ref="CT649">_xlfn.TEXTJOIN(" | ",TRUE,IF(SUMPRODUCT((BG649:CR649&lt;1)*(PARTIDAS!$I$2:$AT$2="OBRA GRUESA"))&gt;0,"OBRA GRUESA: "&amp;_xlfn.TEXTJOIN(", ",TRUE,IF((BG649:CR649&lt;1)*(PARTIDAS!$I$2:$AT$2="OBRA GRUESA"),PARTIDAS!$I$1:$AT$1,"")),""),IF(SUMPRODUCT((BG649:CR649&lt;1)*(PARTIDAS!$I$2:$AT$2="SANITARIOS"))&gt;0,"SANITARIOS: "&amp;_xlfn.TEXTJOIN(", ",TRUE,IF((BG649:CR649&lt;1)*(PARTIDAS!$I$2:$AT$2="SANITARIOS"),PARTIDAS!$I$1:$AT$1,"")),""),IF(SUMPRODUCT((BG649:CR649&lt;1)*(PARTIDAS!$I$2:$AT$2="ELÉCTRICO"))&gt;0,"ELÉCTRICO: "&amp;_xlfn.TEXTJOIN(", ",TRUE,IF((BG649:CR649&lt;1)*(PARTIDAS!$I$2:$AT$2="ELÉCTRICO"),PARTIDAS!$I$1:$AT$1,"")),""),IF(SUMPRODUCT((BG649:CR649&lt;1)*(PARTIDAS!$I$2:$AT$2="TERMINACIONES"))&gt;0,"TERMINACIONES: "&amp;_xlfn.TEXTJOIN(", ",TRUE,IF((BG649:CR649&lt;1)*(PARTIDAS!$I$2:$AT$2="TERMINACIONES"),PARTIDAS!$I$1:$AT$1,"")),""))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49" s="43" t="str" cm="1">
        <f t="array" ref="CU649">_xlfn.TEXTJOIN(", ",TRUE,IF(SUMPRODUCT((BG649:CR649&lt;1)*(PARTIDAS!$I$2:$AT$2="OBRA GRUESA"))&gt;0,"OBRA GRUESA",""),IF(SUMPRODUCT((BG649:CR649&lt;1)*(PARTIDAS!$I$2:$AT$2="SANITARIOS"))&gt;0,"SANITARIOS",""),IF(SUMPRODUCT((BG649:CR649&lt;1)*(PARTIDAS!$I$2:$AT$2="ELÉCTRICO"))&gt;0,"ELÉCTRICO",""),IF(SUMPRODUCT((BG649:CR649&lt;1)*(PARTIDAS!$I$2:$AT$2="TERMINACIONES"))&gt;0,"TERMINACIONES",""))</f>
        <v>OBRA GRUESA, SANITARIOS, ELÉCTRICO, TERMINACIONES</v>
      </c>
      <c r="CV649" s="44" cm="1">
        <f t="array" ref="CV649">SUMPRODUCT(--(BG649:CR649&lt;1))</f>
        <v>38</v>
      </c>
    </row>
    <row r="650" spans="1:100" hidden="1" x14ac:dyDescent="0.25">
      <c r="A650" t="s">
        <v>718</v>
      </c>
      <c r="B650" t="s">
        <v>727</v>
      </c>
      <c r="C650">
        <v>2282600649</v>
      </c>
      <c r="D650" t="s">
        <v>58</v>
      </c>
      <c r="E650" s="2">
        <v>0</v>
      </c>
      <c r="F650" s="1">
        <v>46462</v>
      </c>
      <c r="G650" s="1"/>
      <c r="H650" s="1">
        <v>0</v>
      </c>
      <c r="I650" s="1">
        <v>46482</v>
      </c>
      <c r="J650">
        <v>46230</v>
      </c>
      <c r="K650" s="1"/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>
        <v>28.87</v>
      </c>
      <c r="BF650" s="3" t="str">
        <f>+IF(AVANCE[[#This Row],[% AVANCE]]=100%,"MODULO TERMINADO",IF(AVANCE[[#This Row],[FECHA INICIO REAL]]="","MODULO NO INICIADO","PENDIENTE"))</f>
        <v>MODULO NO INICIADO</v>
      </c>
      <c r="BG650" s="3">
        <f>+IF(AVANCE[[#This Row],[VENTANAS]]=8.10810810810811%,100%,AVANCE[[#This Row],[VENTANAS]])</f>
        <v>0</v>
      </c>
      <c r="BH650" s="3">
        <f>+IF(AVANCE[[#This Row],[PISO]]=N$2,100%,AVANCE[[#This Row],[PISO]])</f>
        <v>0</v>
      </c>
      <c r="BI650" s="3">
        <f>+IF(AVANCE[[#This Row],[TABIQUES]]=O$2,100%,AVANCE[[#This Row],[TABIQUES]])</f>
        <v>0</v>
      </c>
      <c r="BJ650" s="3">
        <f>+IF(AVANCE[[#This Row],[MUROS]]=P$2,100%,AVANCE[[#This Row],[MUROS]])</f>
        <v>0</v>
      </c>
      <c r="BK650" s="3">
        <f>+IF(AVANCE[[#This Row],[CIELO]]=Q$2,100%,AVANCE[[#This Row],[CIELO]])</f>
        <v>0</v>
      </c>
      <c r="BL650" s="3">
        <f>+IF(AVANCE[[#This Row],[BALCÓN]]=R$2,100%,AVANCE[[#This Row],[BALCÓN]])</f>
        <v>0</v>
      </c>
      <c r="BM650" s="3">
        <f>+IF(AVANCE[[#This Row],[RED ALCANTARILLADO]]=U$2,100%,AVANCE[[#This Row],[RED ALCANTARILLADO]])</f>
        <v>0</v>
      </c>
      <c r="BN650" s="3">
        <f>+IF(AVANCE[[#This Row],[RED DE AGUA]]=V$2,100%,AVANCE[[#This Row],[RED DE AGUA]])</f>
        <v>0</v>
      </c>
      <c r="BO650" s="3">
        <f>+IF(AVANCE[[#This Row],[VENTILACIONES]]=W$2,100%,AVANCE[[#This Row],[VENTILACIONES]])</f>
        <v>0</v>
      </c>
      <c r="BP650" s="3">
        <f>+IF(AVANCE[[#This Row],[TINA]]=X$2,100%,AVANCE[[#This Row],[TINA]])</f>
        <v>0</v>
      </c>
      <c r="BQ650" s="3">
        <f>+IF(AVANCE[[#This Row],[WC]]=Y$2,100%,AVANCE[[#This Row],[WC]])</f>
        <v>0</v>
      </c>
      <c r="BR650" s="3">
        <f>+IF(AVANCE[[#This Row],[LAVAMANOS / LAVAPLATOS / LAVADERO]]=Z$2,100%,AVANCE[[#This Row],[LAVAMANOS / LAVAPLATOS / LAVADERO]])</f>
        <v>0</v>
      </c>
      <c r="BS650" s="3">
        <f>+IF(AVANCE[[#This Row],[CANALIZACIÓN]]=AC$2,100%,AVANCE[[#This Row],[CANALIZACIÓN]])</f>
        <v>0</v>
      </c>
      <c r="BT650" s="3">
        <f>+IF(AVANCE[[#This Row],[CABLEADO]]=AD$2,100%,AVANCE[[#This Row],[CABLEADO]])</f>
        <v>0</v>
      </c>
      <c r="BU650" s="3">
        <f>+IF(AVANCE[[#This Row],[ARTEFACTOS]]=AE$2,100%,AVANCE[[#This Row],[ARTEFACTOS]])</f>
        <v>0</v>
      </c>
      <c r="BV650" s="3">
        <f>+IF(AVANCE[[#This Row],[TABLERO]]=AF$2,100%,AVANCE[[#This Row],[TABLERO]])</f>
        <v>0</v>
      </c>
      <c r="BW650" s="3">
        <f>+IF(AVANCE[[#This Row],[CAJA PAU]]=AG$2,100%,AVANCE[[#This Row],[CAJA PAU]])</f>
        <v>0</v>
      </c>
      <c r="BX650" s="3">
        <f>+IF(AVANCE[[#This Row],[INSTALACION VINILICO]]=AJ$2,100%,AVANCE[[#This Row],[INSTALACION VINILICO]])</f>
        <v>0</v>
      </c>
      <c r="BY650" s="3">
        <f>+IF(AVANCE[[#This Row],[OSB CUBIERTA]]=AK$2,100%,AVANCE[[#This Row],[OSB CUBIERTA]])</f>
        <v>0</v>
      </c>
      <c r="BZ650" s="3">
        <f>+IF(AVANCE[[#This Row],[BARANDA BALCON]]=AL$2,100%,AVANCE[[#This Row],[BARANDA BALCON]])</f>
        <v>0</v>
      </c>
      <c r="CA650" s="3">
        <f>+IF(AVANCE[[#This Row],[OSB EXTERIOR]]=AM$2,100%,AVANCE[[#This Row],[OSB EXTERIOR]])</f>
        <v>0</v>
      </c>
      <c r="CB650" s="3">
        <f>+IF(AVANCE[[#This Row],[SMART PANEL]]=AN$2,100%,AVANCE[[#This Row],[SMART PANEL]])</f>
        <v>0</v>
      </c>
      <c r="CC650" s="3">
        <f>+IF(AVANCE[[#This Row],[PINTURA EXTERIOR]]=AO$2,100%,AVANCE[[#This Row],[PINTURA EXTERIOR]])</f>
        <v>0</v>
      </c>
      <c r="CD650" s="3">
        <f>+IF(AVANCE[[#This Row],[ZOCALOS LOGIA]]=AP$2,100%,AVANCE[[#This Row],[ZOCALOS LOGIA]])</f>
        <v>0</v>
      </c>
      <c r="CE650" s="3">
        <f>+IF(AVANCE[[#This Row],[MOLDURAS]]=AQ$2,100%,AVANCE[[#This Row],[MOLDURAS]])</f>
        <v>0</v>
      </c>
      <c r="CF650" s="3">
        <f>+IF(AVANCE[[#This Row],[PILASTREO]]=AR$2,100%,AVANCE[[#This Row],[PILASTREO]])</f>
        <v>0</v>
      </c>
      <c r="CG650" s="3">
        <f>+IF(AVANCE[[#This Row],[CELOSIAS]]=AS$2,100%,AVANCE[[#This Row],[CELOSIAS]])</f>
        <v>0</v>
      </c>
      <c r="CH650" s="3">
        <f>+IF(AVANCE[[#This Row],[VENTANAS]]=AT$2,100%,AVANCE[[#This Row],[VENTANAS]])</f>
        <v>0</v>
      </c>
      <c r="CI650" s="3">
        <f>+IF(AVANCE[[#This Row],[PUERTAS ACCESO - LOGIA - BANO]]=AU$2,100%,AVANCE[[#This Row],[PUERTAS ACCESO - LOGIA - BANO]])</f>
        <v>0</v>
      </c>
      <c r="CJ650" s="3">
        <f>+IF(AVANCE[[#This Row],[CERRADURAS]]=AV$2,100%,AVANCE[[#This Row],[CERRADURAS]])</f>
        <v>0</v>
      </c>
      <c r="CK650" s="3">
        <f>+IF(AVANCE[[#This Row],[REVESTIMIENTO INTERIOR ZONA SECA]]=AW$2,100%,AVANCE[[#This Row],[REVESTIMIENTO INTERIOR ZONA SECA]])</f>
        <v>0</v>
      </c>
      <c r="CL650" s="3">
        <f>+IF(AVANCE[[#This Row],[REVESTIMIENTO INTERIOR ZONAS HUMEDAS]]=AX$2,100%,AVANCE[[#This Row],[REVESTIMIENTO INTERIOR ZONAS HUMEDAS]])</f>
        <v>0</v>
      </c>
      <c r="CM650" s="3">
        <f>+IF(AVANCE[[#This Row],[MEMBRANA CIELO]]=AY$2,100%,AVANCE[[#This Row],[MEMBRANA CIELO]])</f>
        <v>0</v>
      </c>
      <c r="CN650" s="3">
        <f>+IF(AVANCE[[#This Row],[LIMPIEZA FINAL]]=AZ$2,100%,AVANCE[[#This Row],[LIMPIEZA FINAL]])</f>
        <v>0</v>
      </c>
      <c r="CO650" s="3">
        <f>+IF(AVANCE[[#This Row],[PUERTAS DORMITORIO]]=BA$2,100%,AVANCE[[#This Row],[PUERTAS DORMITORIO]])</f>
        <v>0</v>
      </c>
      <c r="CP650" s="3">
        <f>+IF(AVANCE[[#This Row],[REVESTIMIENTO INTERIOR BANO]]=BB$2,100%,AVANCE[[#This Row],[REVESTIMIENTO INTERIOR BANO]])</f>
        <v>0</v>
      </c>
      <c r="CQ650" s="3">
        <f>+IF(AVANCE[[#This Row],[MUEBLE LAVAPLATOS]]=BC$2,100%,AVANCE[[#This Row],[MUEBLE LAVAPLATOS]])</f>
        <v>0</v>
      </c>
      <c r="CR650" s="3">
        <f>+IF(AVANCE[[#This Row],[IMPERMEABILIZACION BANO - COCINA LOGIA]]=BD$2,100%,AVANCE[[#This Row],[IMPERMEABILIZACION BANO - COCINA LOGIA]])</f>
        <v>0</v>
      </c>
      <c r="CS650" s="40">
        <f ca="1">+IF(AVANCE[[#This Row],[ESTADO MODULO]]="PENDIENTE",(TODAY()-AVANCE[[#This Row],[FECHA TERMINO  PLANIFICADO]]),0)</f>
        <v>0</v>
      </c>
      <c r="CT650" s="41" t="str" cm="1">
        <f t="array" ref="CT650">_xlfn.TEXTJOIN(" | ",TRUE,IF(SUMPRODUCT((BG650:CR650&lt;1)*(PARTIDAS!$I$2:$AT$2="OBRA GRUESA"))&gt;0,"OBRA GRUESA: "&amp;_xlfn.TEXTJOIN(", ",TRUE,IF((BG650:CR650&lt;1)*(PARTIDAS!$I$2:$AT$2="OBRA GRUESA"),PARTIDAS!$I$1:$AT$1,"")),""),IF(SUMPRODUCT((BG650:CR650&lt;1)*(PARTIDAS!$I$2:$AT$2="SANITARIOS"))&gt;0,"SANITARIOS: "&amp;_xlfn.TEXTJOIN(", ",TRUE,IF((BG650:CR650&lt;1)*(PARTIDAS!$I$2:$AT$2="SANITARIOS"),PARTIDAS!$I$1:$AT$1,"")),""),IF(SUMPRODUCT((BG650:CR650&lt;1)*(PARTIDAS!$I$2:$AT$2="ELÉCTRICO"))&gt;0,"ELÉCTRICO: "&amp;_xlfn.TEXTJOIN(", ",TRUE,IF((BG650:CR650&lt;1)*(PARTIDAS!$I$2:$AT$2="ELÉCTRICO"),PARTIDAS!$I$1:$AT$1,"")),""),IF(SUMPRODUCT((BG650:CR650&lt;1)*(PARTIDAS!$I$2:$AT$2="TERMINACIONES"))&gt;0,"TERMINACIONES: "&amp;_xlfn.TEXTJOIN(", ",TRUE,IF((BG650:CR650&lt;1)*(PARTIDAS!$I$2:$AT$2="TERMINACIONES"),PARTIDAS!$I$1:$AT$1,"")),""))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0" s="43" t="str" cm="1">
        <f t="array" ref="CU650">_xlfn.TEXTJOIN(", ",TRUE,IF(SUMPRODUCT((BG650:CR650&lt;1)*(PARTIDAS!$I$2:$AT$2="OBRA GRUESA"))&gt;0,"OBRA GRUESA",""),IF(SUMPRODUCT((BG650:CR650&lt;1)*(PARTIDAS!$I$2:$AT$2="SANITARIOS"))&gt;0,"SANITARIOS",""),IF(SUMPRODUCT((BG650:CR650&lt;1)*(PARTIDAS!$I$2:$AT$2="ELÉCTRICO"))&gt;0,"ELÉCTRICO",""),IF(SUMPRODUCT((BG650:CR650&lt;1)*(PARTIDAS!$I$2:$AT$2="TERMINACIONES"))&gt;0,"TERMINACIONES",""))</f>
        <v>OBRA GRUESA, SANITARIOS, ELÉCTRICO, TERMINACIONES</v>
      </c>
      <c r="CV650" s="44" cm="1">
        <f t="array" ref="CV650">SUMPRODUCT(--(BG650:CR650&lt;1))</f>
        <v>38</v>
      </c>
    </row>
    <row r="651" spans="1:100" hidden="1" x14ac:dyDescent="0.25">
      <c r="A651" t="s">
        <v>718</v>
      </c>
      <c r="B651" t="s">
        <v>728</v>
      </c>
      <c r="C651">
        <v>2302600650</v>
      </c>
      <c r="D651" t="s">
        <v>60</v>
      </c>
      <c r="E651" s="2">
        <v>0</v>
      </c>
      <c r="F651" s="1">
        <v>46463</v>
      </c>
      <c r="G651" s="1"/>
      <c r="H651" s="1">
        <v>0</v>
      </c>
      <c r="I651" s="1">
        <v>46493</v>
      </c>
      <c r="J651">
        <v>46230</v>
      </c>
      <c r="K651" s="1"/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>
        <v>31.32</v>
      </c>
      <c r="BF651" s="3" t="str">
        <f>+IF(AVANCE[[#This Row],[% AVANCE]]=100%,"MODULO TERMINADO",IF(AVANCE[[#This Row],[FECHA INICIO REAL]]="","MODULO NO INICIADO","PENDIENTE"))</f>
        <v>MODULO NO INICIADO</v>
      </c>
      <c r="BG651" s="3">
        <f>+IF(AVANCE[[#This Row],[VENTANAS]]=8.10810810810811%,100%,AVANCE[[#This Row],[VENTANAS]])</f>
        <v>0</v>
      </c>
      <c r="BH651" s="3">
        <f>+IF(AVANCE[[#This Row],[PISO]]=N$2,100%,AVANCE[[#This Row],[PISO]])</f>
        <v>0</v>
      </c>
      <c r="BI651" s="3">
        <f>+IF(AVANCE[[#This Row],[TABIQUES]]=O$2,100%,AVANCE[[#This Row],[TABIQUES]])</f>
        <v>0</v>
      </c>
      <c r="BJ651" s="3">
        <f>+IF(AVANCE[[#This Row],[MUROS]]=P$2,100%,AVANCE[[#This Row],[MUROS]])</f>
        <v>0</v>
      </c>
      <c r="BK651" s="3">
        <f>+IF(AVANCE[[#This Row],[CIELO]]=Q$2,100%,AVANCE[[#This Row],[CIELO]])</f>
        <v>0</v>
      </c>
      <c r="BL651" s="3">
        <f>+IF(AVANCE[[#This Row],[BALCÓN]]=R$2,100%,AVANCE[[#This Row],[BALCÓN]])</f>
        <v>0</v>
      </c>
      <c r="BM651" s="3">
        <f>+IF(AVANCE[[#This Row],[RED ALCANTARILLADO]]=U$2,100%,AVANCE[[#This Row],[RED ALCANTARILLADO]])</f>
        <v>0</v>
      </c>
      <c r="BN651" s="3">
        <f>+IF(AVANCE[[#This Row],[RED DE AGUA]]=V$2,100%,AVANCE[[#This Row],[RED DE AGUA]])</f>
        <v>0</v>
      </c>
      <c r="BO651" s="3">
        <f>+IF(AVANCE[[#This Row],[VENTILACIONES]]=W$2,100%,AVANCE[[#This Row],[VENTILACIONES]])</f>
        <v>0</v>
      </c>
      <c r="BP651" s="3">
        <f>+IF(AVANCE[[#This Row],[TINA]]=X$2,100%,AVANCE[[#This Row],[TINA]])</f>
        <v>0</v>
      </c>
      <c r="BQ651" s="3">
        <f>+IF(AVANCE[[#This Row],[WC]]=Y$2,100%,AVANCE[[#This Row],[WC]])</f>
        <v>0</v>
      </c>
      <c r="BR651" s="3">
        <f>+IF(AVANCE[[#This Row],[LAVAMANOS / LAVAPLATOS / LAVADERO]]=Z$2,100%,AVANCE[[#This Row],[LAVAMANOS / LAVAPLATOS / LAVADERO]])</f>
        <v>0</v>
      </c>
      <c r="BS651" s="3">
        <f>+IF(AVANCE[[#This Row],[CANALIZACIÓN]]=AC$2,100%,AVANCE[[#This Row],[CANALIZACIÓN]])</f>
        <v>0</v>
      </c>
      <c r="BT651" s="3">
        <f>+IF(AVANCE[[#This Row],[CABLEADO]]=AD$2,100%,AVANCE[[#This Row],[CABLEADO]])</f>
        <v>0</v>
      </c>
      <c r="BU651" s="3">
        <f>+IF(AVANCE[[#This Row],[ARTEFACTOS]]=AE$2,100%,AVANCE[[#This Row],[ARTEFACTOS]])</f>
        <v>0</v>
      </c>
      <c r="BV651" s="3">
        <f>+IF(AVANCE[[#This Row],[TABLERO]]=AF$2,100%,AVANCE[[#This Row],[TABLERO]])</f>
        <v>0</v>
      </c>
      <c r="BW651" s="3">
        <f>+IF(AVANCE[[#This Row],[CAJA PAU]]=AG$2,100%,AVANCE[[#This Row],[CAJA PAU]])</f>
        <v>0</v>
      </c>
      <c r="BX651" s="3">
        <f>+IF(AVANCE[[#This Row],[INSTALACION VINILICO]]=AJ$2,100%,AVANCE[[#This Row],[INSTALACION VINILICO]])</f>
        <v>0</v>
      </c>
      <c r="BY651" s="3">
        <f>+IF(AVANCE[[#This Row],[OSB CUBIERTA]]=AK$2,100%,AVANCE[[#This Row],[OSB CUBIERTA]])</f>
        <v>0</v>
      </c>
      <c r="BZ651" s="3">
        <f>+IF(AVANCE[[#This Row],[BARANDA BALCON]]=AL$2,100%,AVANCE[[#This Row],[BARANDA BALCON]])</f>
        <v>0</v>
      </c>
      <c r="CA651" s="3">
        <f>+IF(AVANCE[[#This Row],[OSB EXTERIOR]]=AM$2,100%,AVANCE[[#This Row],[OSB EXTERIOR]])</f>
        <v>0</v>
      </c>
      <c r="CB651" s="3">
        <f>+IF(AVANCE[[#This Row],[SMART PANEL]]=AN$2,100%,AVANCE[[#This Row],[SMART PANEL]])</f>
        <v>0</v>
      </c>
      <c r="CC651" s="3">
        <f>+IF(AVANCE[[#This Row],[PINTURA EXTERIOR]]=AO$2,100%,AVANCE[[#This Row],[PINTURA EXTERIOR]])</f>
        <v>0</v>
      </c>
      <c r="CD651" s="3">
        <f>+IF(AVANCE[[#This Row],[ZOCALOS LOGIA]]=AP$2,100%,AVANCE[[#This Row],[ZOCALOS LOGIA]])</f>
        <v>0</v>
      </c>
      <c r="CE651" s="3">
        <f>+IF(AVANCE[[#This Row],[MOLDURAS]]=AQ$2,100%,AVANCE[[#This Row],[MOLDURAS]])</f>
        <v>0</v>
      </c>
      <c r="CF651" s="3">
        <f>+IF(AVANCE[[#This Row],[PILASTREO]]=AR$2,100%,AVANCE[[#This Row],[PILASTREO]])</f>
        <v>0</v>
      </c>
      <c r="CG651" s="3">
        <f>+IF(AVANCE[[#This Row],[CELOSIAS]]=AS$2,100%,AVANCE[[#This Row],[CELOSIAS]])</f>
        <v>0</v>
      </c>
      <c r="CH651" s="3">
        <f>+IF(AVANCE[[#This Row],[VENTANAS]]=AT$2,100%,AVANCE[[#This Row],[VENTANAS]])</f>
        <v>0</v>
      </c>
      <c r="CI651" s="3">
        <f>+IF(AVANCE[[#This Row],[PUERTAS ACCESO - LOGIA - BANO]]=AU$2,100%,AVANCE[[#This Row],[PUERTAS ACCESO - LOGIA - BANO]])</f>
        <v>0</v>
      </c>
      <c r="CJ651" s="3">
        <f>+IF(AVANCE[[#This Row],[CERRADURAS]]=AV$2,100%,AVANCE[[#This Row],[CERRADURAS]])</f>
        <v>0</v>
      </c>
      <c r="CK651" s="3">
        <f>+IF(AVANCE[[#This Row],[REVESTIMIENTO INTERIOR ZONA SECA]]=AW$2,100%,AVANCE[[#This Row],[REVESTIMIENTO INTERIOR ZONA SECA]])</f>
        <v>0</v>
      </c>
      <c r="CL651" s="3">
        <f>+IF(AVANCE[[#This Row],[REVESTIMIENTO INTERIOR ZONAS HUMEDAS]]=AX$2,100%,AVANCE[[#This Row],[REVESTIMIENTO INTERIOR ZONAS HUMEDAS]])</f>
        <v>0</v>
      </c>
      <c r="CM651" s="3">
        <f>+IF(AVANCE[[#This Row],[MEMBRANA CIELO]]=AY$2,100%,AVANCE[[#This Row],[MEMBRANA CIELO]])</f>
        <v>0</v>
      </c>
      <c r="CN651" s="3">
        <f>+IF(AVANCE[[#This Row],[LIMPIEZA FINAL]]=AZ$2,100%,AVANCE[[#This Row],[LIMPIEZA FINAL]])</f>
        <v>0</v>
      </c>
      <c r="CO651" s="3">
        <f>+IF(AVANCE[[#This Row],[PUERTAS DORMITORIO]]=BA$2,100%,AVANCE[[#This Row],[PUERTAS DORMITORIO]])</f>
        <v>0</v>
      </c>
      <c r="CP651" s="3">
        <f>+IF(AVANCE[[#This Row],[REVESTIMIENTO INTERIOR BANO]]=BB$2,100%,AVANCE[[#This Row],[REVESTIMIENTO INTERIOR BANO]])</f>
        <v>0</v>
      </c>
      <c r="CQ651" s="3">
        <f>+IF(AVANCE[[#This Row],[MUEBLE LAVAPLATOS]]=BC$2,100%,AVANCE[[#This Row],[MUEBLE LAVAPLATOS]])</f>
        <v>0</v>
      </c>
      <c r="CR651" s="3">
        <f>+IF(AVANCE[[#This Row],[IMPERMEABILIZACION BANO - COCINA LOGIA]]=BD$2,100%,AVANCE[[#This Row],[IMPERMEABILIZACION BANO - COCINA LOGIA]])</f>
        <v>0</v>
      </c>
      <c r="CS651" s="40">
        <f ca="1">+IF(AVANCE[[#This Row],[ESTADO MODULO]]="PENDIENTE",(TODAY()-AVANCE[[#This Row],[FECHA TERMINO  PLANIFICADO]]),0)</f>
        <v>0</v>
      </c>
      <c r="CT651" s="41" t="str" cm="1">
        <f t="array" ref="CT651">_xlfn.TEXTJOIN(" | ",TRUE,IF(SUMPRODUCT((BG651:CR651&lt;1)*(PARTIDAS!$I$2:$AT$2="OBRA GRUESA"))&gt;0,"OBRA GRUESA: "&amp;_xlfn.TEXTJOIN(", ",TRUE,IF((BG651:CR651&lt;1)*(PARTIDAS!$I$2:$AT$2="OBRA GRUESA"),PARTIDAS!$I$1:$AT$1,"")),""),IF(SUMPRODUCT((BG651:CR651&lt;1)*(PARTIDAS!$I$2:$AT$2="SANITARIOS"))&gt;0,"SANITARIOS: "&amp;_xlfn.TEXTJOIN(", ",TRUE,IF((BG651:CR651&lt;1)*(PARTIDAS!$I$2:$AT$2="SANITARIOS"),PARTIDAS!$I$1:$AT$1,"")),""),IF(SUMPRODUCT((BG651:CR651&lt;1)*(PARTIDAS!$I$2:$AT$2="ELÉCTRICO"))&gt;0,"ELÉCTRICO: "&amp;_xlfn.TEXTJOIN(", ",TRUE,IF((BG651:CR651&lt;1)*(PARTIDAS!$I$2:$AT$2="ELÉCTRICO"),PARTIDAS!$I$1:$AT$1,"")),""),IF(SUMPRODUCT((BG651:CR651&lt;1)*(PARTIDAS!$I$2:$AT$2="TERMINACIONES"))&gt;0,"TERMINACIONES: "&amp;_xlfn.TEXTJOIN(", ",TRUE,IF((BG651:CR651&lt;1)*(PARTIDAS!$I$2:$AT$2="TERMINACIONES"),PARTIDAS!$I$1:$AT$1,"")),""))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1" s="43" t="str" cm="1">
        <f t="array" ref="CU651">_xlfn.TEXTJOIN(", ",TRUE,IF(SUMPRODUCT((BG651:CR651&lt;1)*(PARTIDAS!$I$2:$AT$2="OBRA GRUESA"))&gt;0,"OBRA GRUESA",""),IF(SUMPRODUCT((BG651:CR651&lt;1)*(PARTIDAS!$I$2:$AT$2="SANITARIOS"))&gt;0,"SANITARIOS",""),IF(SUMPRODUCT((BG651:CR651&lt;1)*(PARTIDAS!$I$2:$AT$2="ELÉCTRICO"))&gt;0,"ELÉCTRICO",""),IF(SUMPRODUCT((BG651:CR651&lt;1)*(PARTIDAS!$I$2:$AT$2="TERMINACIONES"))&gt;0,"TERMINACIONES",""))</f>
        <v>OBRA GRUESA, SANITARIOS, ELÉCTRICO, TERMINACIONES</v>
      </c>
      <c r="CV651" s="44" cm="1">
        <f t="array" ref="CV651">SUMPRODUCT(--(BG651:CR651&lt;1))</f>
        <v>38</v>
      </c>
    </row>
    <row r="652" spans="1:100" hidden="1" x14ac:dyDescent="0.25">
      <c r="A652" t="s">
        <v>718</v>
      </c>
      <c r="B652" t="s">
        <v>729</v>
      </c>
      <c r="C652">
        <v>2302600651</v>
      </c>
      <c r="D652" t="s">
        <v>60</v>
      </c>
      <c r="E652" s="2">
        <v>0</v>
      </c>
      <c r="F652" s="1">
        <v>46463</v>
      </c>
      <c r="G652" s="1"/>
      <c r="H652" s="1">
        <v>0</v>
      </c>
      <c r="I652" s="1">
        <v>46493</v>
      </c>
      <c r="J652">
        <v>46230</v>
      </c>
      <c r="K652" s="1"/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>
        <v>31.32</v>
      </c>
      <c r="BF652" s="3" t="str">
        <f>+IF(AVANCE[[#This Row],[% AVANCE]]=100%,"MODULO TERMINADO",IF(AVANCE[[#This Row],[FECHA INICIO REAL]]="","MODULO NO INICIADO","PENDIENTE"))</f>
        <v>MODULO NO INICIADO</v>
      </c>
      <c r="BG652" s="3">
        <f>+IF(AVANCE[[#This Row],[VENTANAS]]=8.10810810810811%,100%,AVANCE[[#This Row],[VENTANAS]])</f>
        <v>0</v>
      </c>
      <c r="BH652" s="3">
        <f>+IF(AVANCE[[#This Row],[PISO]]=N$2,100%,AVANCE[[#This Row],[PISO]])</f>
        <v>0</v>
      </c>
      <c r="BI652" s="3">
        <f>+IF(AVANCE[[#This Row],[TABIQUES]]=O$2,100%,AVANCE[[#This Row],[TABIQUES]])</f>
        <v>0</v>
      </c>
      <c r="BJ652" s="3">
        <f>+IF(AVANCE[[#This Row],[MUROS]]=P$2,100%,AVANCE[[#This Row],[MUROS]])</f>
        <v>0</v>
      </c>
      <c r="BK652" s="3">
        <f>+IF(AVANCE[[#This Row],[CIELO]]=Q$2,100%,AVANCE[[#This Row],[CIELO]])</f>
        <v>0</v>
      </c>
      <c r="BL652" s="3">
        <f>+IF(AVANCE[[#This Row],[BALCÓN]]=R$2,100%,AVANCE[[#This Row],[BALCÓN]])</f>
        <v>0</v>
      </c>
      <c r="BM652" s="3">
        <f>+IF(AVANCE[[#This Row],[RED ALCANTARILLADO]]=U$2,100%,AVANCE[[#This Row],[RED ALCANTARILLADO]])</f>
        <v>0</v>
      </c>
      <c r="BN652" s="3">
        <f>+IF(AVANCE[[#This Row],[RED DE AGUA]]=V$2,100%,AVANCE[[#This Row],[RED DE AGUA]])</f>
        <v>0</v>
      </c>
      <c r="BO652" s="3">
        <f>+IF(AVANCE[[#This Row],[VENTILACIONES]]=W$2,100%,AVANCE[[#This Row],[VENTILACIONES]])</f>
        <v>0</v>
      </c>
      <c r="BP652" s="3">
        <f>+IF(AVANCE[[#This Row],[TINA]]=X$2,100%,AVANCE[[#This Row],[TINA]])</f>
        <v>0</v>
      </c>
      <c r="BQ652" s="3">
        <f>+IF(AVANCE[[#This Row],[WC]]=Y$2,100%,AVANCE[[#This Row],[WC]])</f>
        <v>0</v>
      </c>
      <c r="BR652" s="3">
        <f>+IF(AVANCE[[#This Row],[LAVAMANOS / LAVAPLATOS / LAVADERO]]=Z$2,100%,AVANCE[[#This Row],[LAVAMANOS / LAVAPLATOS / LAVADERO]])</f>
        <v>0</v>
      </c>
      <c r="BS652" s="3">
        <f>+IF(AVANCE[[#This Row],[CANALIZACIÓN]]=AC$2,100%,AVANCE[[#This Row],[CANALIZACIÓN]])</f>
        <v>0</v>
      </c>
      <c r="BT652" s="3">
        <f>+IF(AVANCE[[#This Row],[CABLEADO]]=AD$2,100%,AVANCE[[#This Row],[CABLEADO]])</f>
        <v>0</v>
      </c>
      <c r="BU652" s="3">
        <f>+IF(AVANCE[[#This Row],[ARTEFACTOS]]=AE$2,100%,AVANCE[[#This Row],[ARTEFACTOS]])</f>
        <v>0</v>
      </c>
      <c r="BV652" s="3">
        <f>+IF(AVANCE[[#This Row],[TABLERO]]=AF$2,100%,AVANCE[[#This Row],[TABLERO]])</f>
        <v>0</v>
      </c>
      <c r="BW652" s="3">
        <f>+IF(AVANCE[[#This Row],[CAJA PAU]]=AG$2,100%,AVANCE[[#This Row],[CAJA PAU]])</f>
        <v>0</v>
      </c>
      <c r="BX652" s="3">
        <f>+IF(AVANCE[[#This Row],[INSTALACION VINILICO]]=AJ$2,100%,AVANCE[[#This Row],[INSTALACION VINILICO]])</f>
        <v>0</v>
      </c>
      <c r="BY652" s="3">
        <f>+IF(AVANCE[[#This Row],[OSB CUBIERTA]]=AK$2,100%,AVANCE[[#This Row],[OSB CUBIERTA]])</f>
        <v>0</v>
      </c>
      <c r="BZ652" s="3">
        <f>+IF(AVANCE[[#This Row],[BARANDA BALCON]]=AL$2,100%,AVANCE[[#This Row],[BARANDA BALCON]])</f>
        <v>0</v>
      </c>
      <c r="CA652" s="3">
        <f>+IF(AVANCE[[#This Row],[OSB EXTERIOR]]=AM$2,100%,AVANCE[[#This Row],[OSB EXTERIOR]])</f>
        <v>0</v>
      </c>
      <c r="CB652" s="3">
        <f>+IF(AVANCE[[#This Row],[SMART PANEL]]=AN$2,100%,AVANCE[[#This Row],[SMART PANEL]])</f>
        <v>0</v>
      </c>
      <c r="CC652" s="3">
        <f>+IF(AVANCE[[#This Row],[PINTURA EXTERIOR]]=AO$2,100%,AVANCE[[#This Row],[PINTURA EXTERIOR]])</f>
        <v>0</v>
      </c>
      <c r="CD652" s="3">
        <f>+IF(AVANCE[[#This Row],[ZOCALOS LOGIA]]=AP$2,100%,AVANCE[[#This Row],[ZOCALOS LOGIA]])</f>
        <v>0</v>
      </c>
      <c r="CE652" s="3">
        <f>+IF(AVANCE[[#This Row],[MOLDURAS]]=AQ$2,100%,AVANCE[[#This Row],[MOLDURAS]])</f>
        <v>0</v>
      </c>
      <c r="CF652" s="3">
        <f>+IF(AVANCE[[#This Row],[PILASTREO]]=AR$2,100%,AVANCE[[#This Row],[PILASTREO]])</f>
        <v>0</v>
      </c>
      <c r="CG652" s="3">
        <f>+IF(AVANCE[[#This Row],[CELOSIAS]]=AS$2,100%,AVANCE[[#This Row],[CELOSIAS]])</f>
        <v>0</v>
      </c>
      <c r="CH652" s="3">
        <f>+IF(AVANCE[[#This Row],[VENTANAS]]=AT$2,100%,AVANCE[[#This Row],[VENTANAS]])</f>
        <v>0</v>
      </c>
      <c r="CI652" s="3">
        <f>+IF(AVANCE[[#This Row],[PUERTAS ACCESO - LOGIA - BANO]]=AU$2,100%,AVANCE[[#This Row],[PUERTAS ACCESO - LOGIA - BANO]])</f>
        <v>0</v>
      </c>
      <c r="CJ652" s="3">
        <f>+IF(AVANCE[[#This Row],[CERRADURAS]]=AV$2,100%,AVANCE[[#This Row],[CERRADURAS]])</f>
        <v>0</v>
      </c>
      <c r="CK652" s="3">
        <f>+IF(AVANCE[[#This Row],[REVESTIMIENTO INTERIOR ZONA SECA]]=AW$2,100%,AVANCE[[#This Row],[REVESTIMIENTO INTERIOR ZONA SECA]])</f>
        <v>0</v>
      </c>
      <c r="CL652" s="3">
        <f>+IF(AVANCE[[#This Row],[REVESTIMIENTO INTERIOR ZONAS HUMEDAS]]=AX$2,100%,AVANCE[[#This Row],[REVESTIMIENTO INTERIOR ZONAS HUMEDAS]])</f>
        <v>0</v>
      </c>
      <c r="CM652" s="3">
        <f>+IF(AVANCE[[#This Row],[MEMBRANA CIELO]]=AY$2,100%,AVANCE[[#This Row],[MEMBRANA CIELO]])</f>
        <v>0</v>
      </c>
      <c r="CN652" s="3">
        <f>+IF(AVANCE[[#This Row],[LIMPIEZA FINAL]]=AZ$2,100%,AVANCE[[#This Row],[LIMPIEZA FINAL]])</f>
        <v>0</v>
      </c>
      <c r="CO652" s="3">
        <f>+IF(AVANCE[[#This Row],[PUERTAS DORMITORIO]]=BA$2,100%,AVANCE[[#This Row],[PUERTAS DORMITORIO]])</f>
        <v>0</v>
      </c>
      <c r="CP652" s="3">
        <f>+IF(AVANCE[[#This Row],[REVESTIMIENTO INTERIOR BANO]]=BB$2,100%,AVANCE[[#This Row],[REVESTIMIENTO INTERIOR BANO]])</f>
        <v>0</v>
      </c>
      <c r="CQ652" s="3">
        <f>+IF(AVANCE[[#This Row],[MUEBLE LAVAPLATOS]]=BC$2,100%,AVANCE[[#This Row],[MUEBLE LAVAPLATOS]])</f>
        <v>0</v>
      </c>
      <c r="CR652" s="3">
        <f>+IF(AVANCE[[#This Row],[IMPERMEABILIZACION BANO - COCINA LOGIA]]=BD$2,100%,AVANCE[[#This Row],[IMPERMEABILIZACION BANO - COCINA LOGIA]])</f>
        <v>0</v>
      </c>
      <c r="CS652" s="40">
        <f ca="1">+IF(AVANCE[[#This Row],[ESTADO MODULO]]="PENDIENTE",(TODAY()-AVANCE[[#This Row],[FECHA TERMINO  PLANIFICADO]]),0)</f>
        <v>0</v>
      </c>
      <c r="CT652" s="41" t="str" cm="1">
        <f t="array" ref="CT652">_xlfn.TEXTJOIN(" | ",TRUE,IF(SUMPRODUCT((BG652:CR652&lt;1)*(PARTIDAS!$I$2:$AT$2="OBRA GRUESA"))&gt;0,"OBRA GRUESA: "&amp;_xlfn.TEXTJOIN(", ",TRUE,IF((BG652:CR652&lt;1)*(PARTIDAS!$I$2:$AT$2="OBRA GRUESA"),PARTIDAS!$I$1:$AT$1,"")),""),IF(SUMPRODUCT((BG652:CR652&lt;1)*(PARTIDAS!$I$2:$AT$2="SANITARIOS"))&gt;0,"SANITARIOS: "&amp;_xlfn.TEXTJOIN(", ",TRUE,IF((BG652:CR652&lt;1)*(PARTIDAS!$I$2:$AT$2="SANITARIOS"),PARTIDAS!$I$1:$AT$1,"")),""),IF(SUMPRODUCT((BG652:CR652&lt;1)*(PARTIDAS!$I$2:$AT$2="ELÉCTRICO"))&gt;0,"ELÉCTRICO: "&amp;_xlfn.TEXTJOIN(", ",TRUE,IF((BG652:CR652&lt;1)*(PARTIDAS!$I$2:$AT$2="ELÉCTRICO"),PARTIDAS!$I$1:$AT$1,"")),""),IF(SUMPRODUCT((BG652:CR652&lt;1)*(PARTIDAS!$I$2:$AT$2="TERMINACIONES"))&gt;0,"TERMINACIONES: "&amp;_xlfn.TEXTJOIN(", ",TRUE,IF((BG652:CR652&lt;1)*(PARTIDAS!$I$2:$AT$2="TERMINACIONES"),PARTIDAS!$I$1:$AT$1,"")),""))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2" s="43" t="str" cm="1">
        <f t="array" ref="CU652">_xlfn.TEXTJOIN(", ",TRUE,IF(SUMPRODUCT((BG652:CR652&lt;1)*(PARTIDAS!$I$2:$AT$2="OBRA GRUESA"))&gt;0,"OBRA GRUESA",""),IF(SUMPRODUCT((BG652:CR652&lt;1)*(PARTIDAS!$I$2:$AT$2="SANITARIOS"))&gt;0,"SANITARIOS",""),IF(SUMPRODUCT((BG652:CR652&lt;1)*(PARTIDAS!$I$2:$AT$2="ELÉCTRICO"))&gt;0,"ELÉCTRICO",""),IF(SUMPRODUCT((BG652:CR652&lt;1)*(PARTIDAS!$I$2:$AT$2="TERMINACIONES"))&gt;0,"TERMINACIONES",""))</f>
        <v>OBRA GRUESA, SANITARIOS, ELÉCTRICO, TERMINACIONES</v>
      </c>
      <c r="CV652" s="44" cm="1">
        <f t="array" ref="CV652">SUMPRODUCT(--(BG652:CR652&lt;1))</f>
        <v>38</v>
      </c>
    </row>
    <row r="653" spans="1:100" hidden="1" x14ac:dyDescent="0.25">
      <c r="A653" t="s">
        <v>718</v>
      </c>
      <c r="B653" t="s">
        <v>730</v>
      </c>
      <c r="C653">
        <v>2282600652</v>
      </c>
      <c r="D653" t="s">
        <v>58</v>
      </c>
      <c r="E653" s="2">
        <v>0</v>
      </c>
      <c r="F653" s="1">
        <v>46463</v>
      </c>
      <c r="G653" s="1"/>
      <c r="H653" s="1">
        <v>0</v>
      </c>
      <c r="I653" s="1">
        <v>46483</v>
      </c>
      <c r="J653">
        <v>46230</v>
      </c>
      <c r="K653" s="1"/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>
        <v>28.87</v>
      </c>
      <c r="BF653" s="3" t="str">
        <f>+IF(AVANCE[[#This Row],[% AVANCE]]=100%,"MODULO TERMINADO",IF(AVANCE[[#This Row],[FECHA INICIO REAL]]="","MODULO NO INICIADO","PENDIENTE"))</f>
        <v>MODULO NO INICIADO</v>
      </c>
      <c r="BG653" s="3">
        <f>+IF(AVANCE[[#This Row],[VENTANAS]]=8.10810810810811%,100%,AVANCE[[#This Row],[VENTANAS]])</f>
        <v>0</v>
      </c>
      <c r="BH653" s="3">
        <f>+IF(AVANCE[[#This Row],[PISO]]=N$2,100%,AVANCE[[#This Row],[PISO]])</f>
        <v>0</v>
      </c>
      <c r="BI653" s="3">
        <f>+IF(AVANCE[[#This Row],[TABIQUES]]=O$2,100%,AVANCE[[#This Row],[TABIQUES]])</f>
        <v>0</v>
      </c>
      <c r="BJ653" s="3">
        <f>+IF(AVANCE[[#This Row],[MUROS]]=P$2,100%,AVANCE[[#This Row],[MUROS]])</f>
        <v>0</v>
      </c>
      <c r="BK653" s="3">
        <f>+IF(AVANCE[[#This Row],[CIELO]]=Q$2,100%,AVANCE[[#This Row],[CIELO]])</f>
        <v>0</v>
      </c>
      <c r="BL653" s="3">
        <f>+IF(AVANCE[[#This Row],[BALCÓN]]=R$2,100%,AVANCE[[#This Row],[BALCÓN]])</f>
        <v>0</v>
      </c>
      <c r="BM653" s="3">
        <f>+IF(AVANCE[[#This Row],[RED ALCANTARILLADO]]=U$2,100%,AVANCE[[#This Row],[RED ALCANTARILLADO]])</f>
        <v>0</v>
      </c>
      <c r="BN653" s="3">
        <f>+IF(AVANCE[[#This Row],[RED DE AGUA]]=V$2,100%,AVANCE[[#This Row],[RED DE AGUA]])</f>
        <v>0</v>
      </c>
      <c r="BO653" s="3">
        <f>+IF(AVANCE[[#This Row],[VENTILACIONES]]=W$2,100%,AVANCE[[#This Row],[VENTILACIONES]])</f>
        <v>0</v>
      </c>
      <c r="BP653" s="3">
        <f>+IF(AVANCE[[#This Row],[TINA]]=X$2,100%,AVANCE[[#This Row],[TINA]])</f>
        <v>0</v>
      </c>
      <c r="BQ653" s="3">
        <f>+IF(AVANCE[[#This Row],[WC]]=Y$2,100%,AVANCE[[#This Row],[WC]])</f>
        <v>0</v>
      </c>
      <c r="BR653" s="3">
        <f>+IF(AVANCE[[#This Row],[LAVAMANOS / LAVAPLATOS / LAVADERO]]=Z$2,100%,AVANCE[[#This Row],[LAVAMANOS / LAVAPLATOS / LAVADERO]])</f>
        <v>0</v>
      </c>
      <c r="BS653" s="3">
        <f>+IF(AVANCE[[#This Row],[CANALIZACIÓN]]=AC$2,100%,AVANCE[[#This Row],[CANALIZACIÓN]])</f>
        <v>0</v>
      </c>
      <c r="BT653" s="3">
        <f>+IF(AVANCE[[#This Row],[CABLEADO]]=AD$2,100%,AVANCE[[#This Row],[CABLEADO]])</f>
        <v>0</v>
      </c>
      <c r="BU653" s="3">
        <f>+IF(AVANCE[[#This Row],[ARTEFACTOS]]=AE$2,100%,AVANCE[[#This Row],[ARTEFACTOS]])</f>
        <v>0</v>
      </c>
      <c r="BV653" s="3">
        <f>+IF(AVANCE[[#This Row],[TABLERO]]=AF$2,100%,AVANCE[[#This Row],[TABLERO]])</f>
        <v>0</v>
      </c>
      <c r="BW653" s="3">
        <f>+IF(AVANCE[[#This Row],[CAJA PAU]]=AG$2,100%,AVANCE[[#This Row],[CAJA PAU]])</f>
        <v>0</v>
      </c>
      <c r="BX653" s="3">
        <f>+IF(AVANCE[[#This Row],[INSTALACION VINILICO]]=AJ$2,100%,AVANCE[[#This Row],[INSTALACION VINILICO]])</f>
        <v>0</v>
      </c>
      <c r="BY653" s="3">
        <f>+IF(AVANCE[[#This Row],[OSB CUBIERTA]]=AK$2,100%,AVANCE[[#This Row],[OSB CUBIERTA]])</f>
        <v>0</v>
      </c>
      <c r="BZ653" s="3">
        <f>+IF(AVANCE[[#This Row],[BARANDA BALCON]]=AL$2,100%,AVANCE[[#This Row],[BARANDA BALCON]])</f>
        <v>0</v>
      </c>
      <c r="CA653" s="3">
        <f>+IF(AVANCE[[#This Row],[OSB EXTERIOR]]=AM$2,100%,AVANCE[[#This Row],[OSB EXTERIOR]])</f>
        <v>0</v>
      </c>
      <c r="CB653" s="3">
        <f>+IF(AVANCE[[#This Row],[SMART PANEL]]=AN$2,100%,AVANCE[[#This Row],[SMART PANEL]])</f>
        <v>0</v>
      </c>
      <c r="CC653" s="3">
        <f>+IF(AVANCE[[#This Row],[PINTURA EXTERIOR]]=AO$2,100%,AVANCE[[#This Row],[PINTURA EXTERIOR]])</f>
        <v>0</v>
      </c>
      <c r="CD653" s="3">
        <f>+IF(AVANCE[[#This Row],[ZOCALOS LOGIA]]=AP$2,100%,AVANCE[[#This Row],[ZOCALOS LOGIA]])</f>
        <v>0</v>
      </c>
      <c r="CE653" s="3">
        <f>+IF(AVANCE[[#This Row],[MOLDURAS]]=AQ$2,100%,AVANCE[[#This Row],[MOLDURAS]])</f>
        <v>0</v>
      </c>
      <c r="CF653" s="3">
        <f>+IF(AVANCE[[#This Row],[PILASTREO]]=AR$2,100%,AVANCE[[#This Row],[PILASTREO]])</f>
        <v>0</v>
      </c>
      <c r="CG653" s="3">
        <f>+IF(AVANCE[[#This Row],[CELOSIAS]]=AS$2,100%,AVANCE[[#This Row],[CELOSIAS]])</f>
        <v>0</v>
      </c>
      <c r="CH653" s="3">
        <f>+IF(AVANCE[[#This Row],[VENTANAS]]=AT$2,100%,AVANCE[[#This Row],[VENTANAS]])</f>
        <v>0</v>
      </c>
      <c r="CI653" s="3">
        <f>+IF(AVANCE[[#This Row],[PUERTAS ACCESO - LOGIA - BANO]]=AU$2,100%,AVANCE[[#This Row],[PUERTAS ACCESO - LOGIA - BANO]])</f>
        <v>0</v>
      </c>
      <c r="CJ653" s="3">
        <f>+IF(AVANCE[[#This Row],[CERRADURAS]]=AV$2,100%,AVANCE[[#This Row],[CERRADURAS]])</f>
        <v>0</v>
      </c>
      <c r="CK653" s="3">
        <f>+IF(AVANCE[[#This Row],[REVESTIMIENTO INTERIOR ZONA SECA]]=AW$2,100%,AVANCE[[#This Row],[REVESTIMIENTO INTERIOR ZONA SECA]])</f>
        <v>0</v>
      </c>
      <c r="CL653" s="3">
        <f>+IF(AVANCE[[#This Row],[REVESTIMIENTO INTERIOR ZONAS HUMEDAS]]=AX$2,100%,AVANCE[[#This Row],[REVESTIMIENTO INTERIOR ZONAS HUMEDAS]])</f>
        <v>0</v>
      </c>
      <c r="CM653" s="3">
        <f>+IF(AVANCE[[#This Row],[MEMBRANA CIELO]]=AY$2,100%,AVANCE[[#This Row],[MEMBRANA CIELO]])</f>
        <v>0</v>
      </c>
      <c r="CN653" s="3">
        <f>+IF(AVANCE[[#This Row],[LIMPIEZA FINAL]]=AZ$2,100%,AVANCE[[#This Row],[LIMPIEZA FINAL]])</f>
        <v>0</v>
      </c>
      <c r="CO653" s="3">
        <f>+IF(AVANCE[[#This Row],[PUERTAS DORMITORIO]]=BA$2,100%,AVANCE[[#This Row],[PUERTAS DORMITORIO]])</f>
        <v>0</v>
      </c>
      <c r="CP653" s="3">
        <f>+IF(AVANCE[[#This Row],[REVESTIMIENTO INTERIOR BANO]]=BB$2,100%,AVANCE[[#This Row],[REVESTIMIENTO INTERIOR BANO]])</f>
        <v>0</v>
      </c>
      <c r="CQ653" s="3">
        <f>+IF(AVANCE[[#This Row],[MUEBLE LAVAPLATOS]]=BC$2,100%,AVANCE[[#This Row],[MUEBLE LAVAPLATOS]])</f>
        <v>0</v>
      </c>
      <c r="CR653" s="3">
        <f>+IF(AVANCE[[#This Row],[IMPERMEABILIZACION BANO - COCINA LOGIA]]=BD$2,100%,AVANCE[[#This Row],[IMPERMEABILIZACION BANO - COCINA LOGIA]])</f>
        <v>0</v>
      </c>
      <c r="CS653" s="40">
        <f ca="1">+IF(AVANCE[[#This Row],[ESTADO MODULO]]="PENDIENTE",(TODAY()-AVANCE[[#This Row],[FECHA TERMINO  PLANIFICADO]]),0)</f>
        <v>0</v>
      </c>
      <c r="CT653" s="41" t="str" cm="1">
        <f t="array" ref="CT653">_xlfn.TEXTJOIN(" | ",TRUE,IF(SUMPRODUCT((BG653:CR653&lt;1)*(PARTIDAS!$I$2:$AT$2="OBRA GRUESA"))&gt;0,"OBRA GRUESA: "&amp;_xlfn.TEXTJOIN(", ",TRUE,IF((BG653:CR653&lt;1)*(PARTIDAS!$I$2:$AT$2="OBRA GRUESA"),PARTIDAS!$I$1:$AT$1,"")),""),IF(SUMPRODUCT((BG653:CR653&lt;1)*(PARTIDAS!$I$2:$AT$2="SANITARIOS"))&gt;0,"SANITARIOS: "&amp;_xlfn.TEXTJOIN(", ",TRUE,IF((BG653:CR653&lt;1)*(PARTIDAS!$I$2:$AT$2="SANITARIOS"),PARTIDAS!$I$1:$AT$1,"")),""),IF(SUMPRODUCT((BG653:CR653&lt;1)*(PARTIDAS!$I$2:$AT$2="ELÉCTRICO"))&gt;0,"ELÉCTRICO: "&amp;_xlfn.TEXTJOIN(", ",TRUE,IF((BG653:CR653&lt;1)*(PARTIDAS!$I$2:$AT$2="ELÉCTRICO"),PARTIDAS!$I$1:$AT$1,"")),""),IF(SUMPRODUCT((BG653:CR653&lt;1)*(PARTIDAS!$I$2:$AT$2="TERMINACIONES"))&gt;0,"TERMINACIONES: "&amp;_xlfn.TEXTJOIN(", ",TRUE,IF((BG653:CR653&lt;1)*(PARTIDAS!$I$2:$AT$2="TERMINACIONES"),PARTIDAS!$I$1:$AT$1,"")),""))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3" s="43" t="str" cm="1">
        <f t="array" ref="CU653">_xlfn.TEXTJOIN(", ",TRUE,IF(SUMPRODUCT((BG653:CR653&lt;1)*(PARTIDAS!$I$2:$AT$2="OBRA GRUESA"))&gt;0,"OBRA GRUESA",""),IF(SUMPRODUCT((BG653:CR653&lt;1)*(PARTIDAS!$I$2:$AT$2="SANITARIOS"))&gt;0,"SANITARIOS",""),IF(SUMPRODUCT((BG653:CR653&lt;1)*(PARTIDAS!$I$2:$AT$2="ELÉCTRICO"))&gt;0,"ELÉCTRICO",""),IF(SUMPRODUCT((BG653:CR653&lt;1)*(PARTIDAS!$I$2:$AT$2="TERMINACIONES"))&gt;0,"TERMINACIONES",""))</f>
        <v>OBRA GRUESA, SANITARIOS, ELÉCTRICO, TERMINACIONES</v>
      </c>
      <c r="CV653" s="44" cm="1">
        <f t="array" ref="CV653">SUMPRODUCT(--(BG653:CR653&lt;1))</f>
        <v>38</v>
      </c>
    </row>
    <row r="654" spans="1:100" hidden="1" x14ac:dyDescent="0.25">
      <c r="A654" t="s">
        <v>718</v>
      </c>
      <c r="B654" t="s">
        <v>731</v>
      </c>
      <c r="C654">
        <v>2282600653</v>
      </c>
      <c r="D654" t="s">
        <v>58</v>
      </c>
      <c r="E654" s="2">
        <v>0</v>
      </c>
      <c r="F654" s="1">
        <v>46464</v>
      </c>
      <c r="G654" s="1"/>
      <c r="H654" s="1">
        <v>0</v>
      </c>
      <c r="I654" s="1">
        <v>46484</v>
      </c>
      <c r="J654">
        <v>46230</v>
      </c>
      <c r="K654" s="1"/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>
        <v>28.87</v>
      </c>
      <c r="BF654" s="3" t="str">
        <f>+IF(AVANCE[[#This Row],[% AVANCE]]=100%,"MODULO TERMINADO",IF(AVANCE[[#This Row],[FECHA INICIO REAL]]="","MODULO NO INICIADO","PENDIENTE"))</f>
        <v>MODULO NO INICIADO</v>
      </c>
      <c r="BG654" s="3">
        <f>+IF(AVANCE[[#This Row],[VENTANAS]]=8.10810810810811%,100%,AVANCE[[#This Row],[VENTANAS]])</f>
        <v>0</v>
      </c>
      <c r="BH654" s="3">
        <f>+IF(AVANCE[[#This Row],[PISO]]=N$2,100%,AVANCE[[#This Row],[PISO]])</f>
        <v>0</v>
      </c>
      <c r="BI654" s="3">
        <f>+IF(AVANCE[[#This Row],[TABIQUES]]=O$2,100%,AVANCE[[#This Row],[TABIQUES]])</f>
        <v>0</v>
      </c>
      <c r="BJ654" s="3">
        <f>+IF(AVANCE[[#This Row],[MUROS]]=P$2,100%,AVANCE[[#This Row],[MUROS]])</f>
        <v>0</v>
      </c>
      <c r="BK654" s="3">
        <f>+IF(AVANCE[[#This Row],[CIELO]]=Q$2,100%,AVANCE[[#This Row],[CIELO]])</f>
        <v>0</v>
      </c>
      <c r="BL654" s="3">
        <f>+IF(AVANCE[[#This Row],[BALCÓN]]=R$2,100%,AVANCE[[#This Row],[BALCÓN]])</f>
        <v>0</v>
      </c>
      <c r="BM654" s="3">
        <f>+IF(AVANCE[[#This Row],[RED ALCANTARILLADO]]=U$2,100%,AVANCE[[#This Row],[RED ALCANTARILLADO]])</f>
        <v>0</v>
      </c>
      <c r="BN654" s="3">
        <f>+IF(AVANCE[[#This Row],[RED DE AGUA]]=V$2,100%,AVANCE[[#This Row],[RED DE AGUA]])</f>
        <v>0</v>
      </c>
      <c r="BO654" s="3">
        <f>+IF(AVANCE[[#This Row],[VENTILACIONES]]=W$2,100%,AVANCE[[#This Row],[VENTILACIONES]])</f>
        <v>0</v>
      </c>
      <c r="BP654" s="3">
        <f>+IF(AVANCE[[#This Row],[TINA]]=X$2,100%,AVANCE[[#This Row],[TINA]])</f>
        <v>0</v>
      </c>
      <c r="BQ654" s="3">
        <f>+IF(AVANCE[[#This Row],[WC]]=Y$2,100%,AVANCE[[#This Row],[WC]])</f>
        <v>0</v>
      </c>
      <c r="BR654" s="3">
        <f>+IF(AVANCE[[#This Row],[LAVAMANOS / LAVAPLATOS / LAVADERO]]=Z$2,100%,AVANCE[[#This Row],[LAVAMANOS / LAVAPLATOS / LAVADERO]])</f>
        <v>0</v>
      </c>
      <c r="BS654" s="3">
        <f>+IF(AVANCE[[#This Row],[CANALIZACIÓN]]=AC$2,100%,AVANCE[[#This Row],[CANALIZACIÓN]])</f>
        <v>0</v>
      </c>
      <c r="BT654" s="3">
        <f>+IF(AVANCE[[#This Row],[CABLEADO]]=AD$2,100%,AVANCE[[#This Row],[CABLEADO]])</f>
        <v>0</v>
      </c>
      <c r="BU654" s="3">
        <f>+IF(AVANCE[[#This Row],[ARTEFACTOS]]=AE$2,100%,AVANCE[[#This Row],[ARTEFACTOS]])</f>
        <v>0</v>
      </c>
      <c r="BV654" s="3">
        <f>+IF(AVANCE[[#This Row],[TABLERO]]=AF$2,100%,AVANCE[[#This Row],[TABLERO]])</f>
        <v>0</v>
      </c>
      <c r="BW654" s="3">
        <f>+IF(AVANCE[[#This Row],[CAJA PAU]]=AG$2,100%,AVANCE[[#This Row],[CAJA PAU]])</f>
        <v>0</v>
      </c>
      <c r="BX654" s="3">
        <f>+IF(AVANCE[[#This Row],[INSTALACION VINILICO]]=AJ$2,100%,AVANCE[[#This Row],[INSTALACION VINILICO]])</f>
        <v>0</v>
      </c>
      <c r="BY654" s="3">
        <f>+IF(AVANCE[[#This Row],[OSB CUBIERTA]]=AK$2,100%,AVANCE[[#This Row],[OSB CUBIERTA]])</f>
        <v>0</v>
      </c>
      <c r="BZ654" s="3">
        <f>+IF(AVANCE[[#This Row],[BARANDA BALCON]]=AL$2,100%,AVANCE[[#This Row],[BARANDA BALCON]])</f>
        <v>0</v>
      </c>
      <c r="CA654" s="3">
        <f>+IF(AVANCE[[#This Row],[OSB EXTERIOR]]=AM$2,100%,AVANCE[[#This Row],[OSB EXTERIOR]])</f>
        <v>0</v>
      </c>
      <c r="CB654" s="3">
        <f>+IF(AVANCE[[#This Row],[SMART PANEL]]=AN$2,100%,AVANCE[[#This Row],[SMART PANEL]])</f>
        <v>0</v>
      </c>
      <c r="CC654" s="3">
        <f>+IF(AVANCE[[#This Row],[PINTURA EXTERIOR]]=AO$2,100%,AVANCE[[#This Row],[PINTURA EXTERIOR]])</f>
        <v>0</v>
      </c>
      <c r="CD654" s="3">
        <f>+IF(AVANCE[[#This Row],[ZOCALOS LOGIA]]=AP$2,100%,AVANCE[[#This Row],[ZOCALOS LOGIA]])</f>
        <v>0</v>
      </c>
      <c r="CE654" s="3">
        <f>+IF(AVANCE[[#This Row],[MOLDURAS]]=AQ$2,100%,AVANCE[[#This Row],[MOLDURAS]])</f>
        <v>0</v>
      </c>
      <c r="CF654" s="3">
        <f>+IF(AVANCE[[#This Row],[PILASTREO]]=AR$2,100%,AVANCE[[#This Row],[PILASTREO]])</f>
        <v>0</v>
      </c>
      <c r="CG654" s="3">
        <f>+IF(AVANCE[[#This Row],[CELOSIAS]]=AS$2,100%,AVANCE[[#This Row],[CELOSIAS]])</f>
        <v>0</v>
      </c>
      <c r="CH654" s="3">
        <f>+IF(AVANCE[[#This Row],[VENTANAS]]=AT$2,100%,AVANCE[[#This Row],[VENTANAS]])</f>
        <v>0</v>
      </c>
      <c r="CI654" s="3">
        <f>+IF(AVANCE[[#This Row],[PUERTAS ACCESO - LOGIA - BANO]]=AU$2,100%,AVANCE[[#This Row],[PUERTAS ACCESO - LOGIA - BANO]])</f>
        <v>0</v>
      </c>
      <c r="CJ654" s="3">
        <f>+IF(AVANCE[[#This Row],[CERRADURAS]]=AV$2,100%,AVANCE[[#This Row],[CERRADURAS]])</f>
        <v>0</v>
      </c>
      <c r="CK654" s="3">
        <f>+IF(AVANCE[[#This Row],[REVESTIMIENTO INTERIOR ZONA SECA]]=AW$2,100%,AVANCE[[#This Row],[REVESTIMIENTO INTERIOR ZONA SECA]])</f>
        <v>0</v>
      </c>
      <c r="CL654" s="3">
        <f>+IF(AVANCE[[#This Row],[REVESTIMIENTO INTERIOR ZONAS HUMEDAS]]=AX$2,100%,AVANCE[[#This Row],[REVESTIMIENTO INTERIOR ZONAS HUMEDAS]])</f>
        <v>0</v>
      </c>
      <c r="CM654" s="3">
        <f>+IF(AVANCE[[#This Row],[MEMBRANA CIELO]]=AY$2,100%,AVANCE[[#This Row],[MEMBRANA CIELO]])</f>
        <v>0</v>
      </c>
      <c r="CN654" s="3">
        <f>+IF(AVANCE[[#This Row],[LIMPIEZA FINAL]]=AZ$2,100%,AVANCE[[#This Row],[LIMPIEZA FINAL]])</f>
        <v>0</v>
      </c>
      <c r="CO654" s="3">
        <f>+IF(AVANCE[[#This Row],[PUERTAS DORMITORIO]]=BA$2,100%,AVANCE[[#This Row],[PUERTAS DORMITORIO]])</f>
        <v>0</v>
      </c>
      <c r="CP654" s="3">
        <f>+IF(AVANCE[[#This Row],[REVESTIMIENTO INTERIOR BANO]]=BB$2,100%,AVANCE[[#This Row],[REVESTIMIENTO INTERIOR BANO]])</f>
        <v>0</v>
      </c>
      <c r="CQ654" s="3">
        <f>+IF(AVANCE[[#This Row],[MUEBLE LAVAPLATOS]]=BC$2,100%,AVANCE[[#This Row],[MUEBLE LAVAPLATOS]])</f>
        <v>0</v>
      </c>
      <c r="CR654" s="3">
        <f>+IF(AVANCE[[#This Row],[IMPERMEABILIZACION BANO - COCINA LOGIA]]=BD$2,100%,AVANCE[[#This Row],[IMPERMEABILIZACION BANO - COCINA LOGIA]])</f>
        <v>0</v>
      </c>
      <c r="CS654" s="40">
        <f ca="1">+IF(AVANCE[[#This Row],[ESTADO MODULO]]="PENDIENTE",(TODAY()-AVANCE[[#This Row],[FECHA TERMINO  PLANIFICADO]]),0)</f>
        <v>0</v>
      </c>
      <c r="CT654" s="41" t="str" cm="1">
        <f t="array" ref="CT654">_xlfn.TEXTJOIN(" | ",TRUE,IF(SUMPRODUCT((BG654:CR654&lt;1)*(PARTIDAS!$I$2:$AT$2="OBRA GRUESA"))&gt;0,"OBRA GRUESA: "&amp;_xlfn.TEXTJOIN(", ",TRUE,IF((BG654:CR654&lt;1)*(PARTIDAS!$I$2:$AT$2="OBRA GRUESA"),PARTIDAS!$I$1:$AT$1,"")),""),IF(SUMPRODUCT((BG654:CR654&lt;1)*(PARTIDAS!$I$2:$AT$2="SANITARIOS"))&gt;0,"SANITARIOS: "&amp;_xlfn.TEXTJOIN(", ",TRUE,IF((BG654:CR654&lt;1)*(PARTIDAS!$I$2:$AT$2="SANITARIOS"),PARTIDAS!$I$1:$AT$1,"")),""),IF(SUMPRODUCT((BG654:CR654&lt;1)*(PARTIDAS!$I$2:$AT$2="ELÉCTRICO"))&gt;0,"ELÉCTRICO: "&amp;_xlfn.TEXTJOIN(", ",TRUE,IF((BG654:CR654&lt;1)*(PARTIDAS!$I$2:$AT$2="ELÉCTRICO"),PARTIDAS!$I$1:$AT$1,"")),""),IF(SUMPRODUCT((BG654:CR654&lt;1)*(PARTIDAS!$I$2:$AT$2="TERMINACIONES"))&gt;0,"TERMINACIONES: "&amp;_xlfn.TEXTJOIN(", ",TRUE,IF((BG654:CR654&lt;1)*(PARTIDAS!$I$2:$AT$2="TERMINACIONES"),PARTIDAS!$I$1:$AT$1,"")),""))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4" s="43" t="str" cm="1">
        <f t="array" ref="CU654">_xlfn.TEXTJOIN(", ",TRUE,IF(SUMPRODUCT((BG654:CR654&lt;1)*(PARTIDAS!$I$2:$AT$2="OBRA GRUESA"))&gt;0,"OBRA GRUESA",""),IF(SUMPRODUCT((BG654:CR654&lt;1)*(PARTIDAS!$I$2:$AT$2="SANITARIOS"))&gt;0,"SANITARIOS",""),IF(SUMPRODUCT((BG654:CR654&lt;1)*(PARTIDAS!$I$2:$AT$2="ELÉCTRICO"))&gt;0,"ELÉCTRICO",""),IF(SUMPRODUCT((BG654:CR654&lt;1)*(PARTIDAS!$I$2:$AT$2="TERMINACIONES"))&gt;0,"TERMINACIONES",""))</f>
        <v>OBRA GRUESA, SANITARIOS, ELÉCTRICO, TERMINACIONES</v>
      </c>
      <c r="CV654" s="44" cm="1">
        <f t="array" ref="CV654">SUMPRODUCT(--(BG654:CR654&lt;1))</f>
        <v>38</v>
      </c>
    </row>
    <row r="655" spans="1:100" hidden="1" x14ac:dyDescent="0.25">
      <c r="A655" t="s">
        <v>718</v>
      </c>
      <c r="B655" t="s">
        <v>732</v>
      </c>
      <c r="C655">
        <v>2302600654</v>
      </c>
      <c r="D655" t="s">
        <v>60</v>
      </c>
      <c r="E655" s="2">
        <v>0</v>
      </c>
      <c r="F655" s="1">
        <v>46464</v>
      </c>
      <c r="G655" s="1"/>
      <c r="H655" s="1">
        <v>0</v>
      </c>
      <c r="I655" s="1">
        <v>46494</v>
      </c>
      <c r="J655">
        <v>46230</v>
      </c>
      <c r="K655" s="1"/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>
        <v>31.32</v>
      </c>
      <c r="BF655" s="3" t="str">
        <f>+IF(AVANCE[[#This Row],[% AVANCE]]=100%,"MODULO TERMINADO",IF(AVANCE[[#This Row],[FECHA INICIO REAL]]="","MODULO NO INICIADO","PENDIENTE"))</f>
        <v>MODULO NO INICIADO</v>
      </c>
      <c r="BG655" s="3">
        <f>+IF(AVANCE[[#This Row],[VENTANAS]]=8.10810810810811%,100%,AVANCE[[#This Row],[VENTANAS]])</f>
        <v>0</v>
      </c>
      <c r="BH655" s="3">
        <f>+IF(AVANCE[[#This Row],[PISO]]=N$2,100%,AVANCE[[#This Row],[PISO]])</f>
        <v>0</v>
      </c>
      <c r="BI655" s="3">
        <f>+IF(AVANCE[[#This Row],[TABIQUES]]=O$2,100%,AVANCE[[#This Row],[TABIQUES]])</f>
        <v>0</v>
      </c>
      <c r="BJ655" s="3">
        <f>+IF(AVANCE[[#This Row],[MUROS]]=P$2,100%,AVANCE[[#This Row],[MUROS]])</f>
        <v>0</v>
      </c>
      <c r="BK655" s="3">
        <f>+IF(AVANCE[[#This Row],[CIELO]]=Q$2,100%,AVANCE[[#This Row],[CIELO]])</f>
        <v>0</v>
      </c>
      <c r="BL655" s="3">
        <f>+IF(AVANCE[[#This Row],[BALCÓN]]=R$2,100%,AVANCE[[#This Row],[BALCÓN]])</f>
        <v>0</v>
      </c>
      <c r="BM655" s="3">
        <f>+IF(AVANCE[[#This Row],[RED ALCANTARILLADO]]=U$2,100%,AVANCE[[#This Row],[RED ALCANTARILLADO]])</f>
        <v>0</v>
      </c>
      <c r="BN655" s="3">
        <f>+IF(AVANCE[[#This Row],[RED DE AGUA]]=V$2,100%,AVANCE[[#This Row],[RED DE AGUA]])</f>
        <v>0</v>
      </c>
      <c r="BO655" s="3">
        <f>+IF(AVANCE[[#This Row],[VENTILACIONES]]=W$2,100%,AVANCE[[#This Row],[VENTILACIONES]])</f>
        <v>0</v>
      </c>
      <c r="BP655" s="3">
        <f>+IF(AVANCE[[#This Row],[TINA]]=X$2,100%,AVANCE[[#This Row],[TINA]])</f>
        <v>0</v>
      </c>
      <c r="BQ655" s="3">
        <f>+IF(AVANCE[[#This Row],[WC]]=Y$2,100%,AVANCE[[#This Row],[WC]])</f>
        <v>0</v>
      </c>
      <c r="BR655" s="3">
        <f>+IF(AVANCE[[#This Row],[LAVAMANOS / LAVAPLATOS / LAVADERO]]=Z$2,100%,AVANCE[[#This Row],[LAVAMANOS / LAVAPLATOS / LAVADERO]])</f>
        <v>0</v>
      </c>
      <c r="BS655" s="3">
        <f>+IF(AVANCE[[#This Row],[CANALIZACIÓN]]=AC$2,100%,AVANCE[[#This Row],[CANALIZACIÓN]])</f>
        <v>0</v>
      </c>
      <c r="BT655" s="3">
        <f>+IF(AVANCE[[#This Row],[CABLEADO]]=AD$2,100%,AVANCE[[#This Row],[CABLEADO]])</f>
        <v>0</v>
      </c>
      <c r="BU655" s="3">
        <f>+IF(AVANCE[[#This Row],[ARTEFACTOS]]=AE$2,100%,AVANCE[[#This Row],[ARTEFACTOS]])</f>
        <v>0</v>
      </c>
      <c r="BV655" s="3">
        <f>+IF(AVANCE[[#This Row],[TABLERO]]=AF$2,100%,AVANCE[[#This Row],[TABLERO]])</f>
        <v>0</v>
      </c>
      <c r="BW655" s="3">
        <f>+IF(AVANCE[[#This Row],[CAJA PAU]]=AG$2,100%,AVANCE[[#This Row],[CAJA PAU]])</f>
        <v>0</v>
      </c>
      <c r="BX655" s="3">
        <f>+IF(AVANCE[[#This Row],[INSTALACION VINILICO]]=AJ$2,100%,AVANCE[[#This Row],[INSTALACION VINILICO]])</f>
        <v>0</v>
      </c>
      <c r="BY655" s="3">
        <f>+IF(AVANCE[[#This Row],[OSB CUBIERTA]]=AK$2,100%,AVANCE[[#This Row],[OSB CUBIERTA]])</f>
        <v>0</v>
      </c>
      <c r="BZ655" s="3">
        <f>+IF(AVANCE[[#This Row],[BARANDA BALCON]]=AL$2,100%,AVANCE[[#This Row],[BARANDA BALCON]])</f>
        <v>0</v>
      </c>
      <c r="CA655" s="3">
        <f>+IF(AVANCE[[#This Row],[OSB EXTERIOR]]=AM$2,100%,AVANCE[[#This Row],[OSB EXTERIOR]])</f>
        <v>0</v>
      </c>
      <c r="CB655" s="3">
        <f>+IF(AVANCE[[#This Row],[SMART PANEL]]=AN$2,100%,AVANCE[[#This Row],[SMART PANEL]])</f>
        <v>0</v>
      </c>
      <c r="CC655" s="3">
        <f>+IF(AVANCE[[#This Row],[PINTURA EXTERIOR]]=AO$2,100%,AVANCE[[#This Row],[PINTURA EXTERIOR]])</f>
        <v>0</v>
      </c>
      <c r="CD655" s="3">
        <f>+IF(AVANCE[[#This Row],[ZOCALOS LOGIA]]=AP$2,100%,AVANCE[[#This Row],[ZOCALOS LOGIA]])</f>
        <v>0</v>
      </c>
      <c r="CE655" s="3">
        <f>+IF(AVANCE[[#This Row],[MOLDURAS]]=AQ$2,100%,AVANCE[[#This Row],[MOLDURAS]])</f>
        <v>0</v>
      </c>
      <c r="CF655" s="3">
        <f>+IF(AVANCE[[#This Row],[PILASTREO]]=AR$2,100%,AVANCE[[#This Row],[PILASTREO]])</f>
        <v>0</v>
      </c>
      <c r="CG655" s="3">
        <f>+IF(AVANCE[[#This Row],[CELOSIAS]]=AS$2,100%,AVANCE[[#This Row],[CELOSIAS]])</f>
        <v>0</v>
      </c>
      <c r="CH655" s="3">
        <f>+IF(AVANCE[[#This Row],[VENTANAS]]=AT$2,100%,AVANCE[[#This Row],[VENTANAS]])</f>
        <v>0</v>
      </c>
      <c r="CI655" s="3">
        <f>+IF(AVANCE[[#This Row],[PUERTAS ACCESO - LOGIA - BANO]]=AU$2,100%,AVANCE[[#This Row],[PUERTAS ACCESO - LOGIA - BANO]])</f>
        <v>0</v>
      </c>
      <c r="CJ655" s="3">
        <f>+IF(AVANCE[[#This Row],[CERRADURAS]]=AV$2,100%,AVANCE[[#This Row],[CERRADURAS]])</f>
        <v>0</v>
      </c>
      <c r="CK655" s="3">
        <f>+IF(AVANCE[[#This Row],[REVESTIMIENTO INTERIOR ZONA SECA]]=AW$2,100%,AVANCE[[#This Row],[REVESTIMIENTO INTERIOR ZONA SECA]])</f>
        <v>0</v>
      </c>
      <c r="CL655" s="3">
        <f>+IF(AVANCE[[#This Row],[REVESTIMIENTO INTERIOR ZONAS HUMEDAS]]=AX$2,100%,AVANCE[[#This Row],[REVESTIMIENTO INTERIOR ZONAS HUMEDAS]])</f>
        <v>0</v>
      </c>
      <c r="CM655" s="3">
        <f>+IF(AVANCE[[#This Row],[MEMBRANA CIELO]]=AY$2,100%,AVANCE[[#This Row],[MEMBRANA CIELO]])</f>
        <v>0</v>
      </c>
      <c r="CN655" s="3">
        <f>+IF(AVANCE[[#This Row],[LIMPIEZA FINAL]]=AZ$2,100%,AVANCE[[#This Row],[LIMPIEZA FINAL]])</f>
        <v>0</v>
      </c>
      <c r="CO655" s="3">
        <f>+IF(AVANCE[[#This Row],[PUERTAS DORMITORIO]]=BA$2,100%,AVANCE[[#This Row],[PUERTAS DORMITORIO]])</f>
        <v>0</v>
      </c>
      <c r="CP655" s="3">
        <f>+IF(AVANCE[[#This Row],[REVESTIMIENTO INTERIOR BANO]]=BB$2,100%,AVANCE[[#This Row],[REVESTIMIENTO INTERIOR BANO]])</f>
        <v>0</v>
      </c>
      <c r="CQ655" s="3">
        <f>+IF(AVANCE[[#This Row],[MUEBLE LAVAPLATOS]]=BC$2,100%,AVANCE[[#This Row],[MUEBLE LAVAPLATOS]])</f>
        <v>0</v>
      </c>
      <c r="CR655" s="3">
        <f>+IF(AVANCE[[#This Row],[IMPERMEABILIZACION BANO - COCINA LOGIA]]=BD$2,100%,AVANCE[[#This Row],[IMPERMEABILIZACION BANO - COCINA LOGIA]])</f>
        <v>0</v>
      </c>
      <c r="CS655" s="40">
        <f ca="1">+IF(AVANCE[[#This Row],[ESTADO MODULO]]="PENDIENTE",(TODAY()-AVANCE[[#This Row],[FECHA TERMINO  PLANIFICADO]]),0)</f>
        <v>0</v>
      </c>
      <c r="CT655" s="41" t="str" cm="1">
        <f t="array" ref="CT655">_xlfn.TEXTJOIN(" | ",TRUE,IF(SUMPRODUCT((BG655:CR655&lt;1)*(PARTIDAS!$I$2:$AT$2="OBRA GRUESA"))&gt;0,"OBRA GRUESA: "&amp;_xlfn.TEXTJOIN(", ",TRUE,IF((BG655:CR655&lt;1)*(PARTIDAS!$I$2:$AT$2="OBRA GRUESA"),PARTIDAS!$I$1:$AT$1,"")),""),IF(SUMPRODUCT((BG655:CR655&lt;1)*(PARTIDAS!$I$2:$AT$2="SANITARIOS"))&gt;0,"SANITARIOS: "&amp;_xlfn.TEXTJOIN(", ",TRUE,IF((BG655:CR655&lt;1)*(PARTIDAS!$I$2:$AT$2="SANITARIOS"),PARTIDAS!$I$1:$AT$1,"")),""),IF(SUMPRODUCT((BG655:CR655&lt;1)*(PARTIDAS!$I$2:$AT$2="ELÉCTRICO"))&gt;0,"ELÉCTRICO: "&amp;_xlfn.TEXTJOIN(", ",TRUE,IF((BG655:CR655&lt;1)*(PARTIDAS!$I$2:$AT$2="ELÉCTRICO"),PARTIDAS!$I$1:$AT$1,"")),""),IF(SUMPRODUCT((BG655:CR655&lt;1)*(PARTIDAS!$I$2:$AT$2="TERMINACIONES"))&gt;0,"TERMINACIONES: "&amp;_xlfn.TEXTJOIN(", ",TRUE,IF((BG655:CR655&lt;1)*(PARTIDAS!$I$2:$AT$2="TERMINACIONES"),PARTIDAS!$I$1:$AT$1,"")),""))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5" s="43" t="str" cm="1">
        <f t="array" ref="CU655">_xlfn.TEXTJOIN(", ",TRUE,IF(SUMPRODUCT((BG655:CR655&lt;1)*(PARTIDAS!$I$2:$AT$2="OBRA GRUESA"))&gt;0,"OBRA GRUESA",""),IF(SUMPRODUCT((BG655:CR655&lt;1)*(PARTIDAS!$I$2:$AT$2="SANITARIOS"))&gt;0,"SANITARIOS",""),IF(SUMPRODUCT((BG655:CR655&lt;1)*(PARTIDAS!$I$2:$AT$2="ELÉCTRICO"))&gt;0,"ELÉCTRICO",""),IF(SUMPRODUCT((BG655:CR655&lt;1)*(PARTIDAS!$I$2:$AT$2="TERMINACIONES"))&gt;0,"TERMINACIONES",""))</f>
        <v>OBRA GRUESA, SANITARIOS, ELÉCTRICO, TERMINACIONES</v>
      </c>
      <c r="CV655" s="44" cm="1">
        <f t="array" ref="CV655">SUMPRODUCT(--(BG655:CR655&lt;1))</f>
        <v>38</v>
      </c>
    </row>
    <row r="656" spans="1:100" hidden="1" x14ac:dyDescent="0.25">
      <c r="A656" t="s">
        <v>718</v>
      </c>
      <c r="B656" t="s">
        <v>733</v>
      </c>
      <c r="C656">
        <v>2302600655</v>
      </c>
      <c r="D656" t="s">
        <v>60</v>
      </c>
      <c r="E656" s="2">
        <v>0</v>
      </c>
      <c r="F656" s="1">
        <v>46464</v>
      </c>
      <c r="G656" s="1"/>
      <c r="H656" s="1">
        <v>0</v>
      </c>
      <c r="I656" s="1">
        <v>46494</v>
      </c>
      <c r="J656">
        <v>46230</v>
      </c>
      <c r="K656" s="1"/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>
        <v>31.32</v>
      </c>
      <c r="BF656" s="3" t="str">
        <f>+IF(AVANCE[[#This Row],[% AVANCE]]=100%,"MODULO TERMINADO",IF(AVANCE[[#This Row],[FECHA INICIO REAL]]="","MODULO NO INICIADO","PENDIENTE"))</f>
        <v>MODULO NO INICIADO</v>
      </c>
      <c r="BG656" s="3">
        <f>+IF(AVANCE[[#This Row],[VENTANAS]]=8.10810810810811%,100%,AVANCE[[#This Row],[VENTANAS]])</f>
        <v>0</v>
      </c>
      <c r="BH656" s="3">
        <f>+IF(AVANCE[[#This Row],[PISO]]=N$2,100%,AVANCE[[#This Row],[PISO]])</f>
        <v>0</v>
      </c>
      <c r="BI656" s="3">
        <f>+IF(AVANCE[[#This Row],[TABIQUES]]=O$2,100%,AVANCE[[#This Row],[TABIQUES]])</f>
        <v>0</v>
      </c>
      <c r="BJ656" s="3">
        <f>+IF(AVANCE[[#This Row],[MUROS]]=P$2,100%,AVANCE[[#This Row],[MUROS]])</f>
        <v>0</v>
      </c>
      <c r="BK656" s="3">
        <f>+IF(AVANCE[[#This Row],[CIELO]]=Q$2,100%,AVANCE[[#This Row],[CIELO]])</f>
        <v>0</v>
      </c>
      <c r="BL656" s="3">
        <f>+IF(AVANCE[[#This Row],[BALCÓN]]=R$2,100%,AVANCE[[#This Row],[BALCÓN]])</f>
        <v>0</v>
      </c>
      <c r="BM656" s="3">
        <f>+IF(AVANCE[[#This Row],[RED ALCANTARILLADO]]=U$2,100%,AVANCE[[#This Row],[RED ALCANTARILLADO]])</f>
        <v>0</v>
      </c>
      <c r="BN656" s="3">
        <f>+IF(AVANCE[[#This Row],[RED DE AGUA]]=V$2,100%,AVANCE[[#This Row],[RED DE AGUA]])</f>
        <v>0</v>
      </c>
      <c r="BO656" s="3">
        <f>+IF(AVANCE[[#This Row],[VENTILACIONES]]=W$2,100%,AVANCE[[#This Row],[VENTILACIONES]])</f>
        <v>0</v>
      </c>
      <c r="BP656" s="3">
        <f>+IF(AVANCE[[#This Row],[TINA]]=X$2,100%,AVANCE[[#This Row],[TINA]])</f>
        <v>0</v>
      </c>
      <c r="BQ656" s="3">
        <f>+IF(AVANCE[[#This Row],[WC]]=Y$2,100%,AVANCE[[#This Row],[WC]])</f>
        <v>0</v>
      </c>
      <c r="BR656" s="3">
        <f>+IF(AVANCE[[#This Row],[LAVAMANOS / LAVAPLATOS / LAVADERO]]=Z$2,100%,AVANCE[[#This Row],[LAVAMANOS / LAVAPLATOS / LAVADERO]])</f>
        <v>0</v>
      </c>
      <c r="BS656" s="3">
        <f>+IF(AVANCE[[#This Row],[CANALIZACIÓN]]=AC$2,100%,AVANCE[[#This Row],[CANALIZACIÓN]])</f>
        <v>0</v>
      </c>
      <c r="BT656" s="3">
        <f>+IF(AVANCE[[#This Row],[CABLEADO]]=AD$2,100%,AVANCE[[#This Row],[CABLEADO]])</f>
        <v>0</v>
      </c>
      <c r="BU656" s="3">
        <f>+IF(AVANCE[[#This Row],[ARTEFACTOS]]=AE$2,100%,AVANCE[[#This Row],[ARTEFACTOS]])</f>
        <v>0</v>
      </c>
      <c r="BV656" s="3">
        <f>+IF(AVANCE[[#This Row],[TABLERO]]=AF$2,100%,AVANCE[[#This Row],[TABLERO]])</f>
        <v>0</v>
      </c>
      <c r="BW656" s="3">
        <f>+IF(AVANCE[[#This Row],[CAJA PAU]]=AG$2,100%,AVANCE[[#This Row],[CAJA PAU]])</f>
        <v>0</v>
      </c>
      <c r="BX656" s="3">
        <f>+IF(AVANCE[[#This Row],[INSTALACION VINILICO]]=AJ$2,100%,AVANCE[[#This Row],[INSTALACION VINILICO]])</f>
        <v>0</v>
      </c>
      <c r="BY656" s="3">
        <f>+IF(AVANCE[[#This Row],[OSB CUBIERTA]]=AK$2,100%,AVANCE[[#This Row],[OSB CUBIERTA]])</f>
        <v>0</v>
      </c>
      <c r="BZ656" s="3">
        <f>+IF(AVANCE[[#This Row],[BARANDA BALCON]]=AL$2,100%,AVANCE[[#This Row],[BARANDA BALCON]])</f>
        <v>0</v>
      </c>
      <c r="CA656" s="3">
        <f>+IF(AVANCE[[#This Row],[OSB EXTERIOR]]=AM$2,100%,AVANCE[[#This Row],[OSB EXTERIOR]])</f>
        <v>0</v>
      </c>
      <c r="CB656" s="3">
        <f>+IF(AVANCE[[#This Row],[SMART PANEL]]=AN$2,100%,AVANCE[[#This Row],[SMART PANEL]])</f>
        <v>0</v>
      </c>
      <c r="CC656" s="3">
        <f>+IF(AVANCE[[#This Row],[PINTURA EXTERIOR]]=AO$2,100%,AVANCE[[#This Row],[PINTURA EXTERIOR]])</f>
        <v>0</v>
      </c>
      <c r="CD656" s="3">
        <f>+IF(AVANCE[[#This Row],[ZOCALOS LOGIA]]=AP$2,100%,AVANCE[[#This Row],[ZOCALOS LOGIA]])</f>
        <v>0</v>
      </c>
      <c r="CE656" s="3">
        <f>+IF(AVANCE[[#This Row],[MOLDURAS]]=AQ$2,100%,AVANCE[[#This Row],[MOLDURAS]])</f>
        <v>0</v>
      </c>
      <c r="CF656" s="3">
        <f>+IF(AVANCE[[#This Row],[PILASTREO]]=AR$2,100%,AVANCE[[#This Row],[PILASTREO]])</f>
        <v>0</v>
      </c>
      <c r="CG656" s="3">
        <f>+IF(AVANCE[[#This Row],[CELOSIAS]]=AS$2,100%,AVANCE[[#This Row],[CELOSIAS]])</f>
        <v>0</v>
      </c>
      <c r="CH656" s="3">
        <f>+IF(AVANCE[[#This Row],[VENTANAS]]=AT$2,100%,AVANCE[[#This Row],[VENTANAS]])</f>
        <v>0</v>
      </c>
      <c r="CI656" s="3">
        <f>+IF(AVANCE[[#This Row],[PUERTAS ACCESO - LOGIA - BANO]]=AU$2,100%,AVANCE[[#This Row],[PUERTAS ACCESO - LOGIA - BANO]])</f>
        <v>0</v>
      </c>
      <c r="CJ656" s="3">
        <f>+IF(AVANCE[[#This Row],[CERRADURAS]]=AV$2,100%,AVANCE[[#This Row],[CERRADURAS]])</f>
        <v>0</v>
      </c>
      <c r="CK656" s="3">
        <f>+IF(AVANCE[[#This Row],[REVESTIMIENTO INTERIOR ZONA SECA]]=AW$2,100%,AVANCE[[#This Row],[REVESTIMIENTO INTERIOR ZONA SECA]])</f>
        <v>0</v>
      </c>
      <c r="CL656" s="3">
        <f>+IF(AVANCE[[#This Row],[REVESTIMIENTO INTERIOR ZONAS HUMEDAS]]=AX$2,100%,AVANCE[[#This Row],[REVESTIMIENTO INTERIOR ZONAS HUMEDAS]])</f>
        <v>0</v>
      </c>
      <c r="CM656" s="3">
        <f>+IF(AVANCE[[#This Row],[MEMBRANA CIELO]]=AY$2,100%,AVANCE[[#This Row],[MEMBRANA CIELO]])</f>
        <v>0</v>
      </c>
      <c r="CN656" s="3">
        <f>+IF(AVANCE[[#This Row],[LIMPIEZA FINAL]]=AZ$2,100%,AVANCE[[#This Row],[LIMPIEZA FINAL]])</f>
        <v>0</v>
      </c>
      <c r="CO656" s="3">
        <f>+IF(AVANCE[[#This Row],[PUERTAS DORMITORIO]]=BA$2,100%,AVANCE[[#This Row],[PUERTAS DORMITORIO]])</f>
        <v>0</v>
      </c>
      <c r="CP656" s="3">
        <f>+IF(AVANCE[[#This Row],[REVESTIMIENTO INTERIOR BANO]]=BB$2,100%,AVANCE[[#This Row],[REVESTIMIENTO INTERIOR BANO]])</f>
        <v>0</v>
      </c>
      <c r="CQ656" s="3">
        <f>+IF(AVANCE[[#This Row],[MUEBLE LAVAPLATOS]]=BC$2,100%,AVANCE[[#This Row],[MUEBLE LAVAPLATOS]])</f>
        <v>0</v>
      </c>
      <c r="CR656" s="3">
        <f>+IF(AVANCE[[#This Row],[IMPERMEABILIZACION BANO - COCINA LOGIA]]=BD$2,100%,AVANCE[[#This Row],[IMPERMEABILIZACION BANO - COCINA LOGIA]])</f>
        <v>0</v>
      </c>
      <c r="CS656" s="40">
        <f ca="1">+IF(AVANCE[[#This Row],[ESTADO MODULO]]="PENDIENTE",(TODAY()-AVANCE[[#This Row],[FECHA TERMINO  PLANIFICADO]]),0)</f>
        <v>0</v>
      </c>
      <c r="CT656" s="41" t="str" cm="1">
        <f t="array" ref="CT656">_xlfn.TEXTJOIN(" | ",TRUE,IF(SUMPRODUCT((BG656:CR656&lt;1)*(PARTIDAS!$I$2:$AT$2="OBRA GRUESA"))&gt;0,"OBRA GRUESA: "&amp;_xlfn.TEXTJOIN(", ",TRUE,IF((BG656:CR656&lt;1)*(PARTIDAS!$I$2:$AT$2="OBRA GRUESA"),PARTIDAS!$I$1:$AT$1,"")),""),IF(SUMPRODUCT((BG656:CR656&lt;1)*(PARTIDAS!$I$2:$AT$2="SANITARIOS"))&gt;0,"SANITARIOS: "&amp;_xlfn.TEXTJOIN(", ",TRUE,IF((BG656:CR656&lt;1)*(PARTIDAS!$I$2:$AT$2="SANITARIOS"),PARTIDAS!$I$1:$AT$1,"")),""),IF(SUMPRODUCT((BG656:CR656&lt;1)*(PARTIDAS!$I$2:$AT$2="ELÉCTRICO"))&gt;0,"ELÉCTRICO: "&amp;_xlfn.TEXTJOIN(", ",TRUE,IF((BG656:CR656&lt;1)*(PARTIDAS!$I$2:$AT$2="ELÉCTRICO"),PARTIDAS!$I$1:$AT$1,"")),""),IF(SUMPRODUCT((BG656:CR656&lt;1)*(PARTIDAS!$I$2:$AT$2="TERMINACIONES"))&gt;0,"TERMINACIONES: "&amp;_xlfn.TEXTJOIN(", ",TRUE,IF((BG656:CR656&lt;1)*(PARTIDAS!$I$2:$AT$2="TERMINACIONES"),PARTIDAS!$I$1:$AT$1,"")),""))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6" s="43" t="str" cm="1">
        <f t="array" ref="CU656">_xlfn.TEXTJOIN(", ",TRUE,IF(SUMPRODUCT((BG656:CR656&lt;1)*(PARTIDAS!$I$2:$AT$2="OBRA GRUESA"))&gt;0,"OBRA GRUESA",""),IF(SUMPRODUCT((BG656:CR656&lt;1)*(PARTIDAS!$I$2:$AT$2="SANITARIOS"))&gt;0,"SANITARIOS",""),IF(SUMPRODUCT((BG656:CR656&lt;1)*(PARTIDAS!$I$2:$AT$2="ELÉCTRICO"))&gt;0,"ELÉCTRICO",""),IF(SUMPRODUCT((BG656:CR656&lt;1)*(PARTIDAS!$I$2:$AT$2="TERMINACIONES"))&gt;0,"TERMINACIONES",""))</f>
        <v>OBRA GRUESA, SANITARIOS, ELÉCTRICO, TERMINACIONES</v>
      </c>
      <c r="CV656" s="44" cm="1">
        <f t="array" ref="CV656">SUMPRODUCT(--(BG656:CR656&lt;1))</f>
        <v>38</v>
      </c>
    </row>
    <row r="657" spans="1:100" hidden="1" x14ac:dyDescent="0.25">
      <c r="A657" t="s">
        <v>718</v>
      </c>
      <c r="B657" t="s">
        <v>734</v>
      </c>
      <c r="C657">
        <v>2282600656</v>
      </c>
      <c r="D657" t="s">
        <v>58</v>
      </c>
      <c r="E657" s="2">
        <v>0</v>
      </c>
      <c r="F657" s="1">
        <v>46465</v>
      </c>
      <c r="G657" s="1"/>
      <c r="H657" s="1">
        <v>0</v>
      </c>
      <c r="I657" s="1">
        <v>46485</v>
      </c>
      <c r="J657">
        <v>46230</v>
      </c>
      <c r="K657" s="1"/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>
        <v>28.87</v>
      </c>
      <c r="BF657" s="3" t="str">
        <f>+IF(AVANCE[[#This Row],[% AVANCE]]=100%,"MODULO TERMINADO",IF(AVANCE[[#This Row],[FECHA INICIO REAL]]="","MODULO NO INICIADO","PENDIENTE"))</f>
        <v>MODULO NO INICIADO</v>
      </c>
      <c r="BG657" s="3">
        <f>+IF(AVANCE[[#This Row],[VENTANAS]]=8.10810810810811%,100%,AVANCE[[#This Row],[VENTANAS]])</f>
        <v>0</v>
      </c>
      <c r="BH657" s="3">
        <f>+IF(AVANCE[[#This Row],[PISO]]=N$2,100%,AVANCE[[#This Row],[PISO]])</f>
        <v>0</v>
      </c>
      <c r="BI657" s="3">
        <f>+IF(AVANCE[[#This Row],[TABIQUES]]=O$2,100%,AVANCE[[#This Row],[TABIQUES]])</f>
        <v>0</v>
      </c>
      <c r="BJ657" s="3">
        <f>+IF(AVANCE[[#This Row],[MUROS]]=P$2,100%,AVANCE[[#This Row],[MUROS]])</f>
        <v>0</v>
      </c>
      <c r="BK657" s="3">
        <f>+IF(AVANCE[[#This Row],[CIELO]]=Q$2,100%,AVANCE[[#This Row],[CIELO]])</f>
        <v>0</v>
      </c>
      <c r="BL657" s="3">
        <f>+IF(AVANCE[[#This Row],[BALCÓN]]=R$2,100%,AVANCE[[#This Row],[BALCÓN]])</f>
        <v>0</v>
      </c>
      <c r="BM657" s="3">
        <f>+IF(AVANCE[[#This Row],[RED ALCANTARILLADO]]=U$2,100%,AVANCE[[#This Row],[RED ALCANTARILLADO]])</f>
        <v>0</v>
      </c>
      <c r="BN657" s="3">
        <f>+IF(AVANCE[[#This Row],[RED DE AGUA]]=V$2,100%,AVANCE[[#This Row],[RED DE AGUA]])</f>
        <v>0</v>
      </c>
      <c r="BO657" s="3">
        <f>+IF(AVANCE[[#This Row],[VENTILACIONES]]=W$2,100%,AVANCE[[#This Row],[VENTILACIONES]])</f>
        <v>0</v>
      </c>
      <c r="BP657" s="3">
        <f>+IF(AVANCE[[#This Row],[TINA]]=X$2,100%,AVANCE[[#This Row],[TINA]])</f>
        <v>0</v>
      </c>
      <c r="BQ657" s="3">
        <f>+IF(AVANCE[[#This Row],[WC]]=Y$2,100%,AVANCE[[#This Row],[WC]])</f>
        <v>0</v>
      </c>
      <c r="BR657" s="3">
        <f>+IF(AVANCE[[#This Row],[LAVAMANOS / LAVAPLATOS / LAVADERO]]=Z$2,100%,AVANCE[[#This Row],[LAVAMANOS / LAVAPLATOS / LAVADERO]])</f>
        <v>0</v>
      </c>
      <c r="BS657" s="3">
        <f>+IF(AVANCE[[#This Row],[CANALIZACIÓN]]=AC$2,100%,AVANCE[[#This Row],[CANALIZACIÓN]])</f>
        <v>0</v>
      </c>
      <c r="BT657" s="3">
        <f>+IF(AVANCE[[#This Row],[CABLEADO]]=AD$2,100%,AVANCE[[#This Row],[CABLEADO]])</f>
        <v>0</v>
      </c>
      <c r="BU657" s="3">
        <f>+IF(AVANCE[[#This Row],[ARTEFACTOS]]=AE$2,100%,AVANCE[[#This Row],[ARTEFACTOS]])</f>
        <v>0</v>
      </c>
      <c r="BV657" s="3">
        <f>+IF(AVANCE[[#This Row],[TABLERO]]=AF$2,100%,AVANCE[[#This Row],[TABLERO]])</f>
        <v>0</v>
      </c>
      <c r="BW657" s="3">
        <f>+IF(AVANCE[[#This Row],[CAJA PAU]]=AG$2,100%,AVANCE[[#This Row],[CAJA PAU]])</f>
        <v>0</v>
      </c>
      <c r="BX657" s="3">
        <f>+IF(AVANCE[[#This Row],[INSTALACION VINILICO]]=AJ$2,100%,AVANCE[[#This Row],[INSTALACION VINILICO]])</f>
        <v>0</v>
      </c>
      <c r="BY657" s="3">
        <f>+IF(AVANCE[[#This Row],[OSB CUBIERTA]]=AK$2,100%,AVANCE[[#This Row],[OSB CUBIERTA]])</f>
        <v>0</v>
      </c>
      <c r="BZ657" s="3">
        <f>+IF(AVANCE[[#This Row],[BARANDA BALCON]]=AL$2,100%,AVANCE[[#This Row],[BARANDA BALCON]])</f>
        <v>0</v>
      </c>
      <c r="CA657" s="3">
        <f>+IF(AVANCE[[#This Row],[OSB EXTERIOR]]=AM$2,100%,AVANCE[[#This Row],[OSB EXTERIOR]])</f>
        <v>0</v>
      </c>
      <c r="CB657" s="3">
        <f>+IF(AVANCE[[#This Row],[SMART PANEL]]=AN$2,100%,AVANCE[[#This Row],[SMART PANEL]])</f>
        <v>0</v>
      </c>
      <c r="CC657" s="3">
        <f>+IF(AVANCE[[#This Row],[PINTURA EXTERIOR]]=AO$2,100%,AVANCE[[#This Row],[PINTURA EXTERIOR]])</f>
        <v>0</v>
      </c>
      <c r="CD657" s="3">
        <f>+IF(AVANCE[[#This Row],[ZOCALOS LOGIA]]=AP$2,100%,AVANCE[[#This Row],[ZOCALOS LOGIA]])</f>
        <v>0</v>
      </c>
      <c r="CE657" s="3">
        <f>+IF(AVANCE[[#This Row],[MOLDURAS]]=AQ$2,100%,AVANCE[[#This Row],[MOLDURAS]])</f>
        <v>0</v>
      </c>
      <c r="CF657" s="3">
        <f>+IF(AVANCE[[#This Row],[PILASTREO]]=AR$2,100%,AVANCE[[#This Row],[PILASTREO]])</f>
        <v>0</v>
      </c>
      <c r="CG657" s="3">
        <f>+IF(AVANCE[[#This Row],[CELOSIAS]]=AS$2,100%,AVANCE[[#This Row],[CELOSIAS]])</f>
        <v>0</v>
      </c>
      <c r="CH657" s="3">
        <f>+IF(AVANCE[[#This Row],[VENTANAS]]=AT$2,100%,AVANCE[[#This Row],[VENTANAS]])</f>
        <v>0</v>
      </c>
      <c r="CI657" s="3">
        <f>+IF(AVANCE[[#This Row],[PUERTAS ACCESO - LOGIA - BANO]]=AU$2,100%,AVANCE[[#This Row],[PUERTAS ACCESO - LOGIA - BANO]])</f>
        <v>0</v>
      </c>
      <c r="CJ657" s="3">
        <f>+IF(AVANCE[[#This Row],[CERRADURAS]]=AV$2,100%,AVANCE[[#This Row],[CERRADURAS]])</f>
        <v>0</v>
      </c>
      <c r="CK657" s="3">
        <f>+IF(AVANCE[[#This Row],[REVESTIMIENTO INTERIOR ZONA SECA]]=AW$2,100%,AVANCE[[#This Row],[REVESTIMIENTO INTERIOR ZONA SECA]])</f>
        <v>0</v>
      </c>
      <c r="CL657" s="3">
        <f>+IF(AVANCE[[#This Row],[REVESTIMIENTO INTERIOR ZONAS HUMEDAS]]=AX$2,100%,AVANCE[[#This Row],[REVESTIMIENTO INTERIOR ZONAS HUMEDAS]])</f>
        <v>0</v>
      </c>
      <c r="CM657" s="3">
        <f>+IF(AVANCE[[#This Row],[MEMBRANA CIELO]]=AY$2,100%,AVANCE[[#This Row],[MEMBRANA CIELO]])</f>
        <v>0</v>
      </c>
      <c r="CN657" s="3">
        <f>+IF(AVANCE[[#This Row],[LIMPIEZA FINAL]]=AZ$2,100%,AVANCE[[#This Row],[LIMPIEZA FINAL]])</f>
        <v>0</v>
      </c>
      <c r="CO657" s="3">
        <f>+IF(AVANCE[[#This Row],[PUERTAS DORMITORIO]]=BA$2,100%,AVANCE[[#This Row],[PUERTAS DORMITORIO]])</f>
        <v>0</v>
      </c>
      <c r="CP657" s="3">
        <f>+IF(AVANCE[[#This Row],[REVESTIMIENTO INTERIOR BANO]]=BB$2,100%,AVANCE[[#This Row],[REVESTIMIENTO INTERIOR BANO]])</f>
        <v>0</v>
      </c>
      <c r="CQ657" s="3">
        <f>+IF(AVANCE[[#This Row],[MUEBLE LAVAPLATOS]]=BC$2,100%,AVANCE[[#This Row],[MUEBLE LAVAPLATOS]])</f>
        <v>0</v>
      </c>
      <c r="CR657" s="3">
        <f>+IF(AVANCE[[#This Row],[IMPERMEABILIZACION BANO - COCINA LOGIA]]=BD$2,100%,AVANCE[[#This Row],[IMPERMEABILIZACION BANO - COCINA LOGIA]])</f>
        <v>0</v>
      </c>
      <c r="CS657" s="40">
        <f ca="1">+IF(AVANCE[[#This Row],[ESTADO MODULO]]="PENDIENTE",(TODAY()-AVANCE[[#This Row],[FECHA TERMINO  PLANIFICADO]]),0)</f>
        <v>0</v>
      </c>
      <c r="CT657" s="41" t="str" cm="1">
        <f t="array" ref="CT657">_xlfn.TEXTJOIN(" | ",TRUE,IF(SUMPRODUCT((BG657:CR657&lt;1)*(PARTIDAS!$I$2:$AT$2="OBRA GRUESA"))&gt;0,"OBRA GRUESA: "&amp;_xlfn.TEXTJOIN(", ",TRUE,IF((BG657:CR657&lt;1)*(PARTIDAS!$I$2:$AT$2="OBRA GRUESA"),PARTIDAS!$I$1:$AT$1,"")),""),IF(SUMPRODUCT((BG657:CR657&lt;1)*(PARTIDAS!$I$2:$AT$2="SANITARIOS"))&gt;0,"SANITARIOS: "&amp;_xlfn.TEXTJOIN(", ",TRUE,IF((BG657:CR657&lt;1)*(PARTIDAS!$I$2:$AT$2="SANITARIOS"),PARTIDAS!$I$1:$AT$1,"")),""),IF(SUMPRODUCT((BG657:CR657&lt;1)*(PARTIDAS!$I$2:$AT$2="ELÉCTRICO"))&gt;0,"ELÉCTRICO: "&amp;_xlfn.TEXTJOIN(", ",TRUE,IF((BG657:CR657&lt;1)*(PARTIDAS!$I$2:$AT$2="ELÉCTRICO"),PARTIDAS!$I$1:$AT$1,"")),""),IF(SUMPRODUCT((BG657:CR657&lt;1)*(PARTIDAS!$I$2:$AT$2="TERMINACIONES"))&gt;0,"TERMINACIONES: "&amp;_xlfn.TEXTJOIN(", ",TRUE,IF((BG657:CR657&lt;1)*(PARTIDAS!$I$2:$AT$2="TERMINACIONES"),PARTIDAS!$I$1:$AT$1,"")),""))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7" s="43" t="str" cm="1">
        <f t="array" ref="CU657">_xlfn.TEXTJOIN(", ",TRUE,IF(SUMPRODUCT((BG657:CR657&lt;1)*(PARTIDAS!$I$2:$AT$2="OBRA GRUESA"))&gt;0,"OBRA GRUESA",""),IF(SUMPRODUCT((BG657:CR657&lt;1)*(PARTIDAS!$I$2:$AT$2="SANITARIOS"))&gt;0,"SANITARIOS",""),IF(SUMPRODUCT((BG657:CR657&lt;1)*(PARTIDAS!$I$2:$AT$2="ELÉCTRICO"))&gt;0,"ELÉCTRICO",""),IF(SUMPRODUCT((BG657:CR657&lt;1)*(PARTIDAS!$I$2:$AT$2="TERMINACIONES"))&gt;0,"TERMINACIONES",""))</f>
        <v>OBRA GRUESA, SANITARIOS, ELÉCTRICO, TERMINACIONES</v>
      </c>
      <c r="CV657" s="44" cm="1">
        <f t="array" ref="CV657">SUMPRODUCT(--(BG657:CR657&lt;1))</f>
        <v>38</v>
      </c>
    </row>
    <row r="658" spans="1:100" hidden="1" x14ac:dyDescent="0.25">
      <c r="A658" t="s">
        <v>718</v>
      </c>
      <c r="B658" t="s">
        <v>735</v>
      </c>
      <c r="C658">
        <v>2282600657</v>
      </c>
      <c r="D658" t="s">
        <v>58</v>
      </c>
      <c r="E658" s="2">
        <v>0</v>
      </c>
      <c r="F658" s="1">
        <v>46465</v>
      </c>
      <c r="G658" s="1"/>
      <c r="H658" s="1">
        <v>0</v>
      </c>
      <c r="I658" s="1">
        <v>46485</v>
      </c>
      <c r="J658">
        <v>46230</v>
      </c>
      <c r="K658" s="1"/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>
        <v>28.87</v>
      </c>
      <c r="BF658" s="3" t="str">
        <f>+IF(AVANCE[[#This Row],[% AVANCE]]=100%,"MODULO TERMINADO",IF(AVANCE[[#This Row],[FECHA INICIO REAL]]="","MODULO NO INICIADO","PENDIENTE"))</f>
        <v>MODULO NO INICIADO</v>
      </c>
      <c r="BG658" s="3">
        <f>+IF(AVANCE[[#This Row],[VENTANAS]]=8.10810810810811%,100%,AVANCE[[#This Row],[VENTANAS]])</f>
        <v>0</v>
      </c>
      <c r="BH658" s="3">
        <f>+IF(AVANCE[[#This Row],[PISO]]=N$2,100%,AVANCE[[#This Row],[PISO]])</f>
        <v>0</v>
      </c>
      <c r="BI658" s="3">
        <f>+IF(AVANCE[[#This Row],[TABIQUES]]=O$2,100%,AVANCE[[#This Row],[TABIQUES]])</f>
        <v>0</v>
      </c>
      <c r="BJ658" s="3">
        <f>+IF(AVANCE[[#This Row],[MUROS]]=P$2,100%,AVANCE[[#This Row],[MUROS]])</f>
        <v>0</v>
      </c>
      <c r="BK658" s="3">
        <f>+IF(AVANCE[[#This Row],[CIELO]]=Q$2,100%,AVANCE[[#This Row],[CIELO]])</f>
        <v>0</v>
      </c>
      <c r="BL658" s="3">
        <f>+IF(AVANCE[[#This Row],[BALCÓN]]=R$2,100%,AVANCE[[#This Row],[BALCÓN]])</f>
        <v>0</v>
      </c>
      <c r="BM658" s="3">
        <f>+IF(AVANCE[[#This Row],[RED ALCANTARILLADO]]=U$2,100%,AVANCE[[#This Row],[RED ALCANTARILLADO]])</f>
        <v>0</v>
      </c>
      <c r="BN658" s="3">
        <f>+IF(AVANCE[[#This Row],[RED DE AGUA]]=V$2,100%,AVANCE[[#This Row],[RED DE AGUA]])</f>
        <v>0</v>
      </c>
      <c r="BO658" s="3">
        <f>+IF(AVANCE[[#This Row],[VENTILACIONES]]=W$2,100%,AVANCE[[#This Row],[VENTILACIONES]])</f>
        <v>0</v>
      </c>
      <c r="BP658" s="3">
        <f>+IF(AVANCE[[#This Row],[TINA]]=X$2,100%,AVANCE[[#This Row],[TINA]])</f>
        <v>0</v>
      </c>
      <c r="BQ658" s="3">
        <f>+IF(AVANCE[[#This Row],[WC]]=Y$2,100%,AVANCE[[#This Row],[WC]])</f>
        <v>0</v>
      </c>
      <c r="BR658" s="3">
        <f>+IF(AVANCE[[#This Row],[LAVAMANOS / LAVAPLATOS / LAVADERO]]=Z$2,100%,AVANCE[[#This Row],[LAVAMANOS / LAVAPLATOS / LAVADERO]])</f>
        <v>0</v>
      </c>
      <c r="BS658" s="3">
        <f>+IF(AVANCE[[#This Row],[CANALIZACIÓN]]=AC$2,100%,AVANCE[[#This Row],[CANALIZACIÓN]])</f>
        <v>0</v>
      </c>
      <c r="BT658" s="3">
        <f>+IF(AVANCE[[#This Row],[CABLEADO]]=AD$2,100%,AVANCE[[#This Row],[CABLEADO]])</f>
        <v>0</v>
      </c>
      <c r="BU658" s="3">
        <f>+IF(AVANCE[[#This Row],[ARTEFACTOS]]=AE$2,100%,AVANCE[[#This Row],[ARTEFACTOS]])</f>
        <v>0</v>
      </c>
      <c r="BV658" s="3">
        <f>+IF(AVANCE[[#This Row],[TABLERO]]=AF$2,100%,AVANCE[[#This Row],[TABLERO]])</f>
        <v>0</v>
      </c>
      <c r="BW658" s="3">
        <f>+IF(AVANCE[[#This Row],[CAJA PAU]]=AG$2,100%,AVANCE[[#This Row],[CAJA PAU]])</f>
        <v>0</v>
      </c>
      <c r="BX658" s="3">
        <f>+IF(AVANCE[[#This Row],[INSTALACION VINILICO]]=AJ$2,100%,AVANCE[[#This Row],[INSTALACION VINILICO]])</f>
        <v>0</v>
      </c>
      <c r="BY658" s="3">
        <f>+IF(AVANCE[[#This Row],[OSB CUBIERTA]]=AK$2,100%,AVANCE[[#This Row],[OSB CUBIERTA]])</f>
        <v>0</v>
      </c>
      <c r="BZ658" s="3">
        <f>+IF(AVANCE[[#This Row],[BARANDA BALCON]]=AL$2,100%,AVANCE[[#This Row],[BARANDA BALCON]])</f>
        <v>0</v>
      </c>
      <c r="CA658" s="3">
        <f>+IF(AVANCE[[#This Row],[OSB EXTERIOR]]=AM$2,100%,AVANCE[[#This Row],[OSB EXTERIOR]])</f>
        <v>0</v>
      </c>
      <c r="CB658" s="3">
        <f>+IF(AVANCE[[#This Row],[SMART PANEL]]=AN$2,100%,AVANCE[[#This Row],[SMART PANEL]])</f>
        <v>0</v>
      </c>
      <c r="CC658" s="3">
        <f>+IF(AVANCE[[#This Row],[PINTURA EXTERIOR]]=AO$2,100%,AVANCE[[#This Row],[PINTURA EXTERIOR]])</f>
        <v>0</v>
      </c>
      <c r="CD658" s="3">
        <f>+IF(AVANCE[[#This Row],[ZOCALOS LOGIA]]=AP$2,100%,AVANCE[[#This Row],[ZOCALOS LOGIA]])</f>
        <v>0</v>
      </c>
      <c r="CE658" s="3">
        <f>+IF(AVANCE[[#This Row],[MOLDURAS]]=AQ$2,100%,AVANCE[[#This Row],[MOLDURAS]])</f>
        <v>0</v>
      </c>
      <c r="CF658" s="3">
        <f>+IF(AVANCE[[#This Row],[PILASTREO]]=AR$2,100%,AVANCE[[#This Row],[PILASTREO]])</f>
        <v>0</v>
      </c>
      <c r="CG658" s="3">
        <f>+IF(AVANCE[[#This Row],[CELOSIAS]]=AS$2,100%,AVANCE[[#This Row],[CELOSIAS]])</f>
        <v>0</v>
      </c>
      <c r="CH658" s="3">
        <f>+IF(AVANCE[[#This Row],[VENTANAS]]=AT$2,100%,AVANCE[[#This Row],[VENTANAS]])</f>
        <v>0</v>
      </c>
      <c r="CI658" s="3">
        <f>+IF(AVANCE[[#This Row],[PUERTAS ACCESO - LOGIA - BANO]]=AU$2,100%,AVANCE[[#This Row],[PUERTAS ACCESO - LOGIA - BANO]])</f>
        <v>0</v>
      </c>
      <c r="CJ658" s="3">
        <f>+IF(AVANCE[[#This Row],[CERRADURAS]]=AV$2,100%,AVANCE[[#This Row],[CERRADURAS]])</f>
        <v>0</v>
      </c>
      <c r="CK658" s="3">
        <f>+IF(AVANCE[[#This Row],[REVESTIMIENTO INTERIOR ZONA SECA]]=AW$2,100%,AVANCE[[#This Row],[REVESTIMIENTO INTERIOR ZONA SECA]])</f>
        <v>0</v>
      </c>
      <c r="CL658" s="3">
        <f>+IF(AVANCE[[#This Row],[REVESTIMIENTO INTERIOR ZONAS HUMEDAS]]=AX$2,100%,AVANCE[[#This Row],[REVESTIMIENTO INTERIOR ZONAS HUMEDAS]])</f>
        <v>0</v>
      </c>
      <c r="CM658" s="3">
        <f>+IF(AVANCE[[#This Row],[MEMBRANA CIELO]]=AY$2,100%,AVANCE[[#This Row],[MEMBRANA CIELO]])</f>
        <v>0</v>
      </c>
      <c r="CN658" s="3">
        <f>+IF(AVANCE[[#This Row],[LIMPIEZA FINAL]]=AZ$2,100%,AVANCE[[#This Row],[LIMPIEZA FINAL]])</f>
        <v>0</v>
      </c>
      <c r="CO658" s="3">
        <f>+IF(AVANCE[[#This Row],[PUERTAS DORMITORIO]]=BA$2,100%,AVANCE[[#This Row],[PUERTAS DORMITORIO]])</f>
        <v>0</v>
      </c>
      <c r="CP658" s="3">
        <f>+IF(AVANCE[[#This Row],[REVESTIMIENTO INTERIOR BANO]]=BB$2,100%,AVANCE[[#This Row],[REVESTIMIENTO INTERIOR BANO]])</f>
        <v>0</v>
      </c>
      <c r="CQ658" s="3">
        <f>+IF(AVANCE[[#This Row],[MUEBLE LAVAPLATOS]]=BC$2,100%,AVANCE[[#This Row],[MUEBLE LAVAPLATOS]])</f>
        <v>0</v>
      </c>
      <c r="CR658" s="3">
        <f>+IF(AVANCE[[#This Row],[IMPERMEABILIZACION BANO - COCINA LOGIA]]=BD$2,100%,AVANCE[[#This Row],[IMPERMEABILIZACION BANO - COCINA LOGIA]])</f>
        <v>0</v>
      </c>
      <c r="CS658" s="40">
        <f ca="1">+IF(AVANCE[[#This Row],[ESTADO MODULO]]="PENDIENTE",(TODAY()-AVANCE[[#This Row],[FECHA TERMINO  PLANIFICADO]]),0)</f>
        <v>0</v>
      </c>
      <c r="CT658" s="41" t="str" cm="1">
        <f t="array" ref="CT658">_xlfn.TEXTJOIN(" | ",TRUE,IF(SUMPRODUCT((BG658:CR658&lt;1)*(PARTIDAS!$I$2:$AT$2="OBRA GRUESA"))&gt;0,"OBRA GRUESA: "&amp;_xlfn.TEXTJOIN(", ",TRUE,IF((BG658:CR658&lt;1)*(PARTIDAS!$I$2:$AT$2="OBRA GRUESA"),PARTIDAS!$I$1:$AT$1,"")),""),IF(SUMPRODUCT((BG658:CR658&lt;1)*(PARTIDAS!$I$2:$AT$2="SANITARIOS"))&gt;0,"SANITARIOS: "&amp;_xlfn.TEXTJOIN(", ",TRUE,IF((BG658:CR658&lt;1)*(PARTIDAS!$I$2:$AT$2="SANITARIOS"),PARTIDAS!$I$1:$AT$1,"")),""),IF(SUMPRODUCT((BG658:CR658&lt;1)*(PARTIDAS!$I$2:$AT$2="ELÉCTRICO"))&gt;0,"ELÉCTRICO: "&amp;_xlfn.TEXTJOIN(", ",TRUE,IF((BG658:CR658&lt;1)*(PARTIDAS!$I$2:$AT$2="ELÉCTRICO"),PARTIDAS!$I$1:$AT$1,"")),""),IF(SUMPRODUCT((BG658:CR658&lt;1)*(PARTIDAS!$I$2:$AT$2="TERMINACIONES"))&gt;0,"TERMINACIONES: "&amp;_xlfn.TEXTJOIN(", ",TRUE,IF((BG658:CR658&lt;1)*(PARTIDAS!$I$2:$AT$2="TERMINACIONES"),PARTIDAS!$I$1:$AT$1,"")),""))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8" s="43" t="str" cm="1">
        <f t="array" ref="CU658">_xlfn.TEXTJOIN(", ",TRUE,IF(SUMPRODUCT((BG658:CR658&lt;1)*(PARTIDAS!$I$2:$AT$2="OBRA GRUESA"))&gt;0,"OBRA GRUESA",""),IF(SUMPRODUCT((BG658:CR658&lt;1)*(PARTIDAS!$I$2:$AT$2="SANITARIOS"))&gt;0,"SANITARIOS",""),IF(SUMPRODUCT((BG658:CR658&lt;1)*(PARTIDAS!$I$2:$AT$2="ELÉCTRICO"))&gt;0,"ELÉCTRICO",""),IF(SUMPRODUCT((BG658:CR658&lt;1)*(PARTIDAS!$I$2:$AT$2="TERMINACIONES"))&gt;0,"TERMINACIONES",""))</f>
        <v>OBRA GRUESA, SANITARIOS, ELÉCTRICO, TERMINACIONES</v>
      </c>
      <c r="CV658" s="44" cm="1">
        <f t="array" ref="CV658">SUMPRODUCT(--(BG658:CR658&lt;1))</f>
        <v>38</v>
      </c>
    </row>
    <row r="659" spans="1:100" hidden="1" x14ac:dyDescent="0.25">
      <c r="A659" t="s">
        <v>718</v>
      </c>
      <c r="B659" t="s">
        <v>736</v>
      </c>
      <c r="C659">
        <v>2302600658</v>
      </c>
      <c r="D659" t="s">
        <v>60</v>
      </c>
      <c r="E659" s="2">
        <v>0</v>
      </c>
      <c r="F659" s="1">
        <v>46465</v>
      </c>
      <c r="G659" s="1"/>
      <c r="H659" s="1">
        <v>0</v>
      </c>
      <c r="I659" s="1">
        <v>46495</v>
      </c>
      <c r="J659">
        <v>46230</v>
      </c>
      <c r="K659" s="1"/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>
        <v>31.32</v>
      </c>
      <c r="BF659" s="3" t="str">
        <f>+IF(AVANCE[[#This Row],[% AVANCE]]=100%,"MODULO TERMINADO",IF(AVANCE[[#This Row],[FECHA INICIO REAL]]="","MODULO NO INICIADO","PENDIENTE"))</f>
        <v>MODULO NO INICIADO</v>
      </c>
      <c r="BG659" s="3">
        <f>+IF(AVANCE[[#This Row],[VENTANAS]]=8.10810810810811%,100%,AVANCE[[#This Row],[VENTANAS]])</f>
        <v>0</v>
      </c>
      <c r="BH659" s="3">
        <f>+IF(AVANCE[[#This Row],[PISO]]=N$2,100%,AVANCE[[#This Row],[PISO]])</f>
        <v>0</v>
      </c>
      <c r="BI659" s="3">
        <f>+IF(AVANCE[[#This Row],[TABIQUES]]=O$2,100%,AVANCE[[#This Row],[TABIQUES]])</f>
        <v>0</v>
      </c>
      <c r="BJ659" s="3">
        <f>+IF(AVANCE[[#This Row],[MUROS]]=P$2,100%,AVANCE[[#This Row],[MUROS]])</f>
        <v>0</v>
      </c>
      <c r="BK659" s="3">
        <f>+IF(AVANCE[[#This Row],[CIELO]]=Q$2,100%,AVANCE[[#This Row],[CIELO]])</f>
        <v>0</v>
      </c>
      <c r="BL659" s="3">
        <f>+IF(AVANCE[[#This Row],[BALCÓN]]=R$2,100%,AVANCE[[#This Row],[BALCÓN]])</f>
        <v>0</v>
      </c>
      <c r="BM659" s="3">
        <f>+IF(AVANCE[[#This Row],[RED ALCANTARILLADO]]=U$2,100%,AVANCE[[#This Row],[RED ALCANTARILLADO]])</f>
        <v>0</v>
      </c>
      <c r="BN659" s="3">
        <f>+IF(AVANCE[[#This Row],[RED DE AGUA]]=V$2,100%,AVANCE[[#This Row],[RED DE AGUA]])</f>
        <v>0</v>
      </c>
      <c r="BO659" s="3">
        <f>+IF(AVANCE[[#This Row],[VENTILACIONES]]=W$2,100%,AVANCE[[#This Row],[VENTILACIONES]])</f>
        <v>0</v>
      </c>
      <c r="BP659" s="3">
        <f>+IF(AVANCE[[#This Row],[TINA]]=X$2,100%,AVANCE[[#This Row],[TINA]])</f>
        <v>0</v>
      </c>
      <c r="BQ659" s="3">
        <f>+IF(AVANCE[[#This Row],[WC]]=Y$2,100%,AVANCE[[#This Row],[WC]])</f>
        <v>0</v>
      </c>
      <c r="BR659" s="3">
        <f>+IF(AVANCE[[#This Row],[LAVAMANOS / LAVAPLATOS / LAVADERO]]=Z$2,100%,AVANCE[[#This Row],[LAVAMANOS / LAVAPLATOS / LAVADERO]])</f>
        <v>0</v>
      </c>
      <c r="BS659" s="3">
        <f>+IF(AVANCE[[#This Row],[CANALIZACIÓN]]=AC$2,100%,AVANCE[[#This Row],[CANALIZACIÓN]])</f>
        <v>0</v>
      </c>
      <c r="BT659" s="3">
        <f>+IF(AVANCE[[#This Row],[CABLEADO]]=AD$2,100%,AVANCE[[#This Row],[CABLEADO]])</f>
        <v>0</v>
      </c>
      <c r="BU659" s="3">
        <f>+IF(AVANCE[[#This Row],[ARTEFACTOS]]=AE$2,100%,AVANCE[[#This Row],[ARTEFACTOS]])</f>
        <v>0</v>
      </c>
      <c r="BV659" s="3">
        <f>+IF(AVANCE[[#This Row],[TABLERO]]=AF$2,100%,AVANCE[[#This Row],[TABLERO]])</f>
        <v>0</v>
      </c>
      <c r="BW659" s="3">
        <f>+IF(AVANCE[[#This Row],[CAJA PAU]]=AG$2,100%,AVANCE[[#This Row],[CAJA PAU]])</f>
        <v>0</v>
      </c>
      <c r="BX659" s="3">
        <f>+IF(AVANCE[[#This Row],[INSTALACION VINILICO]]=AJ$2,100%,AVANCE[[#This Row],[INSTALACION VINILICO]])</f>
        <v>0</v>
      </c>
      <c r="BY659" s="3">
        <f>+IF(AVANCE[[#This Row],[OSB CUBIERTA]]=AK$2,100%,AVANCE[[#This Row],[OSB CUBIERTA]])</f>
        <v>0</v>
      </c>
      <c r="BZ659" s="3">
        <f>+IF(AVANCE[[#This Row],[BARANDA BALCON]]=AL$2,100%,AVANCE[[#This Row],[BARANDA BALCON]])</f>
        <v>0</v>
      </c>
      <c r="CA659" s="3">
        <f>+IF(AVANCE[[#This Row],[OSB EXTERIOR]]=AM$2,100%,AVANCE[[#This Row],[OSB EXTERIOR]])</f>
        <v>0</v>
      </c>
      <c r="CB659" s="3">
        <f>+IF(AVANCE[[#This Row],[SMART PANEL]]=AN$2,100%,AVANCE[[#This Row],[SMART PANEL]])</f>
        <v>0</v>
      </c>
      <c r="CC659" s="3">
        <f>+IF(AVANCE[[#This Row],[PINTURA EXTERIOR]]=AO$2,100%,AVANCE[[#This Row],[PINTURA EXTERIOR]])</f>
        <v>0</v>
      </c>
      <c r="CD659" s="3">
        <f>+IF(AVANCE[[#This Row],[ZOCALOS LOGIA]]=AP$2,100%,AVANCE[[#This Row],[ZOCALOS LOGIA]])</f>
        <v>0</v>
      </c>
      <c r="CE659" s="3">
        <f>+IF(AVANCE[[#This Row],[MOLDURAS]]=AQ$2,100%,AVANCE[[#This Row],[MOLDURAS]])</f>
        <v>0</v>
      </c>
      <c r="CF659" s="3">
        <f>+IF(AVANCE[[#This Row],[PILASTREO]]=AR$2,100%,AVANCE[[#This Row],[PILASTREO]])</f>
        <v>0</v>
      </c>
      <c r="CG659" s="3">
        <f>+IF(AVANCE[[#This Row],[CELOSIAS]]=AS$2,100%,AVANCE[[#This Row],[CELOSIAS]])</f>
        <v>0</v>
      </c>
      <c r="CH659" s="3">
        <f>+IF(AVANCE[[#This Row],[VENTANAS]]=AT$2,100%,AVANCE[[#This Row],[VENTANAS]])</f>
        <v>0</v>
      </c>
      <c r="CI659" s="3">
        <f>+IF(AVANCE[[#This Row],[PUERTAS ACCESO - LOGIA - BANO]]=AU$2,100%,AVANCE[[#This Row],[PUERTAS ACCESO - LOGIA - BANO]])</f>
        <v>0</v>
      </c>
      <c r="CJ659" s="3">
        <f>+IF(AVANCE[[#This Row],[CERRADURAS]]=AV$2,100%,AVANCE[[#This Row],[CERRADURAS]])</f>
        <v>0</v>
      </c>
      <c r="CK659" s="3">
        <f>+IF(AVANCE[[#This Row],[REVESTIMIENTO INTERIOR ZONA SECA]]=AW$2,100%,AVANCE[[#This Row],[REVESTIMIENTO INTERIOR ZONA SECA]])</f>
        <v>0</v>
      </c>
      <c r="CL659" s="3">
        <f>+IF(AVANCE[[#This Row],[REVESTIMIENTO INTERIOR ZONAS HUMEDAS]]=AX$2,100%,AVANCE[[#This Row],[REVESTIMIENTO INTERIOR ZONAS HUMEDAS]])</f>
        <v>0</v>
      </c>
      <c r="CM659" s="3">
        <f>+IF(AVANCE[[#This Row],[MEMBRANA CIELO]]=AY$2,100%,AVANCE[[#This Row],[MEMBRANA CIELO]])</f>
        <v>0</v>
      </c>
      <c r="CN659" s="3">
        <f>+IF(AVANCE[[#This Row],[LIMPIEZA FINAL]]=AZ$2,100%,AVANCE[[#This Row],[LIMPIEZA FINAL]])</f>
        <v>0</v>
      </c>
      <c r="CO659" s="3">
        <f>+IF(AVANCE[[#This Row],[PUERTAS DORMITORIO]]=BA$2,100%,AVANCE[[#This Row],[PUERTAS DORMITORIO]])</f>
        <v>0</v>
      </c>
      <c r="CP659" s="3">
        <f>+IF(AVANCE[[#This Row],[REVESTIMIENTO INTERIOR BANO]]=BB$2,100%,AVANCE[[#This Row],[REVESTIMIENTO INTERIOR BANO]])</f>
        <v>0</v>
      </c>
      <c r="CQ659" s="3">
        <f>+IF(AVANCE[[#This Row],[MUEBLE LAVAPLATOS]]=BC$2,100%,AVANCE[[#This Row],[MUEBLE LAVAPLATOS]])</f>
        <v>0</v>
      </c>
      <c r="CR659" s="3">
        <f>+IF(AVANCE[[#This Row],[IMPERMEABILIZACION BANO - COCINA LOGIA]]=BD$2,100%,AVANCE[[#This Row],[IMPERMEABILIZACION BANO - COCINA LOGIA]])</f>
        <v>0</v>
      </c>
      <c r="CS659" s="40">
        <f ca="1">+IF(AVANCE[[#This Row],[ESTADO MODULO]]="PENDIENTE",(TODAY()-AVANCE[[#This Row],[FECHA TERMINO  PLANIFICADO]]),0)</f>
        <v>0</v>
      </c>
      <c r="CT659" s="41" t="str" cm="1">
        <f t="array" ref="CT659">_xlfn.TEXTJOIN(" | ",TRUE,IF(SUMPRODUCT((BG659:CR659&lt;1)*(PARTIDAS!$I$2:$AT$2="OBRA GRUESA"))&gt;0,"OBRA GRUESA: "&amp;_xlfn.TEXTJOIN(", ",TRUE,IF((BG659:CR659&lt;1)*(PARTIDAS!$I$2:$AT$2="OBRA GRUESA"),PARTIDAS!$I$1:$AT$1,"")),""),IF(SUMPRODUCT((BG659:CR659&lt;1)*(PARTIDAS!$I$2:$AT$2="SANITARIOS"))&gt;0,"SANITARIOS: "&amp;_xlfn.TEXTJOIN(", ",TRUE,IF((BG659:CR659&lt;1)*(PARTIDAS!$I$2:$AT$2="SANITARIOS"),PARTIDAS!$I$1:$AT$1,"")),""),IF(SUMPRODUCT((BG659:CR659&lt;1)*(PARTIDAS!$I$2:$AT$2="ELÉCTRICO"))&gt;0,"ELÉCTRICO: "&amp;_xlfn.TEXTJOIN(", ",TRUE,IF((BG659:CR659&lt;1)*(PARTIDAS!$I$2:$AT$2="ELÉCTRICO"),PARTIDAS!$I$1:$AT$1,"")),""),IF(SUMPRODUCT((BG659:CR659&lt;1)*(PARTIDAS!$I$2:$AT$2="TERMINACIONES"))&gt;0,"TERMINACIONES: "&amp;_xlfn.TEXTJOIN(", ",TRUE,IF((BG659:CR659&lt;1)*(PARTIDAS!$I$2:$AT$2="TERMINACIONES"),PARTIDAS!$I$1:$AT$1,"")),""))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59" s="43" t="str" cm="1">
        <f t="array" ref="CU659">_xlfn.TEXTJOIN(", ",TRUE,IF(SUMPRODUCT((BG659:CR659&lt;1)*(PARTIDAS!$I$2:$AT$2="OBRA GRUESA"))&gt;0,"OBRA GRUESA",""),IF(SUMPRODUCT((BG659:CR659&lt;1)*(PARTIDAS!$I$2:$AT$2="SANITARIOS"))&gt;0,"SANITARIOS",""),IF(SUMPRODUCT((BG659:CR659&lt;1)*(PARTIDAS!$I$2:$AT$2="ELÉCTRICO"))&gt;0,"ELÉCTRICO",""),IF(SUMPRODUCT((BG659:CR659&lt;1)*(PARTIDAS!$I$2:$AT$2="TERMINACIONES"))&gt;0,"TERMINACIONES",""))</f>
        <v>OBRA GRUESA, SANITARIOS, ELÉCTRICO, TERMINACIONES</v>
      </c>
      <c r="CV659" s="44" cm="1">
        <f t="array" ref="CV659">SUMPRODUCT(--(BG659:CR659&lt;1))</f>
        <v>38</v>
      </c>
    </row>
    <row r="660" spans="1:100" hidden="1" x14ac:dyDescent="0.25">
      <c r="A660" t="s">
        <v>718</v>
      </c>
      <c r="B660" t="s">
        <v>737</v>
      </c>
      <c r="C660">
        <v>2302600659</v>
      </c>
      <c r="D660" t="s">
        <v>60</v>
      </c>
      <c r="E660" s="2">
        <v>0</v>
      </c>
      <c r="F660" s="1">
        <v>46468</v>
      </c>
      <c r="G660" s="1"/>
      <c r="H660" s="1">
        <v>0</v>
      </c>
      <c r="I660" s="1">
        <v>46498</v>
      </c>
      <c r="J660">
        <v>46230</v>
      </c>
      <c r="K660" s="1"/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>
        <v>31.32</v>
      </c>
      <c r="BF660" s="3" t="str">
        <f>+IF(AVANCE[[#This Row],[% AVANCE]]=100%,"MODULO TERMINADO",IF(AVANCE[[#This Row],[FECHA INICIO REAL]]="","MODULO NO INICIADO","PENDIENTE"))</f>
        <v>MODULO NO INICIADO</v>
      </c>
      <c r="BG660" s="3">
        <f>+IF(AVANCE[[#This Row],[VENTANAS]]=8.10810810810811%,100%,AVANCE[[#This Row],[VENTANAS]])</f>
        <v>0</v>
      </c>
      <c r="BH660" s="3">
        <f>+IF(AVANCE[[#This Row],[PISO]]=N$2,100%,AVANCE[[#This Row],[PISO]])</f>
        <v>0</v>
      </c>
      <c r="BI660" s="3">
        <f>+IF(AVANCE[[#This Row],[TABIQUES]]=O$2,100%,AVANCE[[#This Row],[TABIQUES]])</f>
        <v>0</v>
      </c>
      <c r="BJ660" s="3">
        <f>+IF(AVANCE[[#This Row],[MUROS]]=P$2,100%,AVANCE[[#This Row],[MUROS]])</f>
        <v>0</v>
      </c>
      <c r="BK660" s="3">
        <f>+IF(AVANCE[[#This Row],[CIELO]]=Q$2,100%,AVANCE[[#This Row],[CIELO]])</f>
        <v>0</v>
      </c>
      <c r="BL660" s="3">
        <f>+IF(AVANCE[[#This Row],[BALCÓN]]=R$2,100%,AVANCE[[#This Row],[BALCÓN]])</f>
        <v>0</v>
      </c>
      <c r="BM660" s="3">
        <f>+IF(AVANCE[[#This Row],[RED ALCANTARILLADO]]=U$2,100%,AVANCE[[#This Row],[RED ALCANTARILLADO]])</f>
        <v>0</v>
      </c>
      <c r="BN660" s="3">
        <f>+IF(AVANCE[[#This Row],[RED DE AGUA]]=V$2,100%,AVANCE[[#This Row],[RED DE AGUA]])</f>
        <v>0</v>
      </c>
      <c r="BO660" s="3">
        <f>+IF(AVANCE[[#This Row],[VENTILACIONES]]=W$2,100%,AVANCE[[#This Row],[VENTILACIONES]])</f>
        <v>0</v>
      </c>
      <c r="BP660" s="3">
        <f>+IF(AVANCE[[#This Row],[TINA]]=X$2,100%,AVANCE[[#This Row],[TINA]])</f>
        <v>0</v>
      </c>
      <c r="BQ660" s="3">
        <f>+IF(AVANCE[[#This Row],[WC]]=Y$2,100%,AVANCE[[#This Row],[WC]])</f>
        <v>0</v>
      </c>
      <c r="BR660" s="3">
        <f>+IF(AVANCE[[#This Row],[LAVAMANOS / LAVAPLATOS / LAVADERO]]=Z$2,100%,AVANCE[[#This Row],[LAVAMANOS / LAVAPLATOS / LAVADERO]])</f>
        <v>0</v>
      </c>
      <c r="BS660" s="3">
        <f>+IF(AVANCE[[#This Row],[CANALIZACIÓN]]=AC$2,100%,AVANCE[[#This Row],[CANALIZACIÓN]])</f>
        <v>0</v>
      </c>
      <c r="BT660" s="3">
        <f>+IF(AVANCE[[#This Row],[CABLEADO]]=AD$2,100%,AVANCE[[#This Row],[CABLEADO]])</f>
        <v>0</v>
      </c>
      <c r="BU660" s="3">
        <f>+IF(AVANCE[[#This Row],[ARTEFACTOS]]=AE$2,100%,AVANCE[[#This Row],[ARTEFACTOS]])</f>
        <v>0</v>
      </c>
      <c r="BV660" s="3">
        <f>+IF(AVANCE[[#This Row],[TABLERO]]=AF$2,100%,AVANCE[[#This Row],[TABLERO]])</f>
        <v>0</v>
      </c>
      <c r="BW660" s="3">
        <f>+IF(AVANCE[[#This Row],[CAJA PAU]]=AG$2,100%,AVANCE[[#This Row],[CAJA PAU]])</f>
        <v>0</v>
      </c>
      <c r="BX660" s="3">
        <f>+IF(AVANCE[[#This Row],[INSTALACION VINILICO]]=AJ$2,100%,AVANCE[[#This Row],[INSTALACION VINILICO]])</f>
        <v>0</v>
      </c>
      <c r="BY660" s="3">
        <f>+IF(AVANCE[[#This Row],[OSB CUBIERTA]]=AK$2,100%,AVANCE[[#This Row],[OSB CUBIERTA]])</f>
        <v>0</v>
      </c>
      <c r="BZ660" s="3">
        <f>+IF(AVANCE[[#This Row],[BARANDA BALCON]]=AL$2,100%,AVANCE[[#This Row],[BARANDA BALCON]])</f>
        <v>0</v>
      </c>
      <c r="CA660" s="3">
        <f>+IF(AVANCE[[#This Row],[OSB EXTERIOR]]=AM$2,100%,AVANCE[[#This Row],[OSB EXTERIOR]])</f>
        <v>0</v>
      </c>
      <c r="CB660" s="3">
        <f>+IF(AVANCE[[#This Row],[SMART PANEL]]=AN$2,100%,AVANCE[[#This Row],[SMART PANEL]])</f>
        <v>0</v>
      </c>
      <c r="CC660" s="3">
        <f>+IF(AVANCE[[#This Row],[PINTURA EXTERIOR]]=AO$2,100%,AVANCE[[#This Row],[PINTURA EXTERIOR]])</f>
        <v>0</v>
      </c>
      <c r="CD660" s="3">
        <f>+IF(AVANCE[[#This Row],[ZOCALOS LOGIA]]=AP$2,100%,AVANCE[[#This Row],[ZOCALOS LOGIA]])</f>
        <v>0</v>
      </c>
      <c r="CE660" s="3">
        <f>+IF(AVANCE[[#This Row],[MOLDURAS]]=AQ$2,100%,AVANCE[[#This Row],[MOLDURAS]])</f>
        <v>0</v>
      </c>
      <c r="CF660" s="3">
        <f>+IF(AVANCE[[#This Row],[PILASTREO]]=AR$2,100%,AVANCE[[#This Row],[PILASTREO]])</f>
        <v>0</v>
      </c>
      <c r="CG660" s="3">
        <f>+IF(AVANCE[[#This Row],[CELOSIAS]]=AS$2,100%,AVANCE[[#This Row],[CELOSIAS]])</f>
        <v>0</v>
      </c>
      <c r="CH660" s="3">
        <f>+IF(AVANCE[[#This Row],[VENTANAS]]=AT$2,100%,AVANCE[[#This Row],[VENTANAS]])</f>
        <v>0</v>
      </c>
      <c r="CI660" s="3">
        <f>+IF(AVANCE[[#This Row],[PUERTAS ACCESO - LOGIA - BANO]]=AU$2,100%,AVANCE[[#This Row],[PUERTAS ACCESO - LOGIA - BANO]])</f>
        <v>0</v>
      </c>
      <c r="CJ660" s="3">
        <f>+IF(AVANCE[[#This Row],[CERRADURAS]]=AV$2,100%,AVANCE[[#This Row],[CERRADURAS]])</f>
        <v>0</v>
      </c>
      <c r="CK660" s="3">
        <f>+IF(AVANCE[[#This Row],[REVESTIMIENTO INTERIOR ZONA SECA]]=AW$2,100%,AVANCE[[#This Row],[REVESTIMIENTO INTERIOR ZONA SECA]])</f>
        <v>0</v>
      </c>
      <c r="CL660" s="3">
        <f>+IF(AVANCE[[#This Row],[REVESTIMIENTO INTERIOR ZONAS HUMEDAS]]=AX$2,100%,AVANCE[[#This Row],[REVESTIMIENTO INTERIOR ZONAS HUMEDAS]])</f>
        <v>0</v>
      </c>
      <c r="CM660" s="3">
        <f>+IF(AVANCE[[#This Row],[MEMBRANA CIELO]]=AY$2,100%,AVANCE[[#This Row],[MEMBRANA CIELO]])</f>
        <v>0</v>
      </c>
      <c r="CN660" s="3">
        <f>+IF(AVANCE[[#This Row],[LIMPIEZA FINAL]]=AZ$2,100%,AVANCE[[#This Row],[LIMPIEZA FINAL]])</f>
        <v>0</v>
      </c>
      <c r="CO660" s="3">
        <f>+IF(AVANCE[[#This Row],[PUERTAS DORMITORIO]]=BA$2,100%,AVANCE[[#This Row],[PUERTAS DORMITORIO]])</f>
        <v>0</v>
      </c>
      <c r="CP660" s="3">
        <f>+IF(AVANCE[[#This Row],[REVESTIMIENTO INTERIOR BANO]]=BB$2,100%,AVANCE[[#This Row],[REVESTIMIENTO INTERIOR BANO]])</f>
        <v>0</v>
      </c>
      <c r="CQ660" s="3">
        <f>+IF(AVANCE[[#This Row],[MUEBLE LAVAPLATOS]]=BC$2,100%,AVANCE[[#This Row],[MUEBLE LAVAPLATOS]])</f>
        <v>0</v>
      </c>
      <c r="CR660" s="3">
        <f>+IF(AVANCE[[#This Row],[IMPERMEABILIZACION BANO - COCINA LOGIA]]=BD$2,100%,AVANCE[[#This Row],[IMPERMEABILIZACION BANO - COCINA LOGIA]])</f>
        <v>0</v>
      </c>
      <c r="CS660" s="40">
        <f ca="1">+IF(AVANCE[[#This Row],[ESTADO MODULO]]="PENDIENTE",(TODAY()-AVANCE[[#This Row],[FECHA TERMINO  PLANIFICADO]]),0)</f>
        <v>0</v>
      </c>
      <c r="CT660" s="41" t="str" cm="1">
        <f t="array" ref="CT660">_xlfn.TEXTJOIN(" | ",TRUE,IF(SUMPRODUCT((BG660:CR660&lt;1)*(PARTIDAS!$I$2:$AT$2="OBRA GRUESA"))&gt;0,"OBRA GRUESA: "&amp;_xlfn.TEXTJOIN(", ",TRUE,IF((BG660:CR660&lt;1)*(PARTIDAS!$I$2:$AT$2="OBRA GRUESA"),PARTIDAS!$I$1:$AT$1,"")),""),IF(SUMPRODUCT((BG660:CR660&lt;1)*(PARTIDAS!$I$2:$AT$2="SANITARIOS"))&gt;0,"SANITARIOS: "&amp;_xlfn.TEXTJOIN(", ",TRUE,IF((BG660:CR660&lt;1)*(PARTIDAS!$I$2:$AT$2="SANITARIOS"),PARTIDAS!$I$1:$AT$1,"")),""),IF(SUMPRODUCT((BG660:CR660&lt;1)*(PARTIDAS!$I$2:$AT$2="ELÉCTRICO"))&gt;0,"ELÉCTRICO: "&amp;_xlfn.TEXTJOIN(", ",TRUE,IF((BG660:CR660&lt;1)*(PARTIDAS!$I$2:$AT$2="ELÉCTRICO"),PARTIDAS!$I$1:$AT$1,"")),""),IF(SUMPRODUCT((BG660:CR660&lt;1)*(PARTIDAS!$I$2:$AT$2="TERMINACIONES"))&gt;0,"TERMINACIONES: "&amp;_xlfn.TEXTJOIN(", ",TRUE,IF((BG660:CR660&lt;1)*(PARTIDAS!$I$2:$AT$2="TERMINACIONES"),PARTIDAS!$I$1:$AT$1,"")),""))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0" s="43" t="str" cm="1">
        <f t="array" ref="CU660">_xlfn.TEXTJOIN(", ",TRUE,IF(SUMPRODUCT((BG660:CR660&lt;1)*(PARTIDAS!$I$2:$AT$2="OBRA GRUESA"))&gt;0,"OBRA GRUESA",""),IF(SUMPRODUCT((BG660:CR660&lt;1)*(PARTIDAS!$I$2:$AT$2="SANITARIOS"))&gt;0,"SANITARIOS",""),IF(SUMPRODUCT((BG660:CR660&lt;1)*(PARTIDAS!$I$2:$AT$2="ELÉCTRICO"))&gt;0,"ELÉCTRICO",""),IF(SUMPRODUCT((BG660:CR660&lt;1)*(PARTIDAS!$I$2:$AT$2="TERMINACIONES"))&gt;0,"TERMINACIONES",""))</f>
        <v>OBRA GRUESA, SANITARIOS, ELÉCTRICO, TERMINACIONES</v>
      </c>
      <c r="CV660" s="44" cm="1">
        <f t="array" ref="CV660">SUMPRODUCT(--(BG660:CR660&lt;1))</f>
        <v>38</v>
      </c>
    </row>
    <row r="661" spans="1:100" hidden="1" x14ac:dyDescent="0.25">
      <c r="A661" t="s">
        <v>718</v>
      </c>
      <c r="B661" t="s">
        <v>738</v>
      </c>
      <c r="C661">
        <v>2282600660</v>
      </c>
      <c r="D661" t="s">
        <v>58</v>
      </c>
      <c r="E661" s="2">
        <v>0</v>
      </c>
      <c r="F661" s="1">
        <v>46468</v>
      </c>
      <c r="G661" s="1"/>
      <c r="H661" s="1">
        <v>0</v>
      </c>
      <c r="I661" s="1">
        <v>46488</v>
      </c>
      <c r="J661">
        <v>46230</v>
      </c>
      <c r="K661" s="1"/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>
        <v>28.87</v>
      </c>
      <c r="BF661" s="3" t="str">
        <f>+IF(AVANCE[[#This Row],[% AVANCE]]=100%,"MODULO TERMINADO",IF(AVANCE[[#This Row],[FECHA INICIO REAL]]="","MODULO NO INICIADO","PENDIENTE"))</f>
        <v>MODULO NO INICIADO</v>
      </c>
      <c r="BG661" s="3">
        <f>+IF(AVANCE[[#This Row],[VENTANAS]]=8.10810810810811%,100%,AVANCE[[#This Row],[VENTANAS]])</f>
        <v>0</v>
      </c>
      <c r="BH661" s="3">
        <f>+IF(AVANCE[[#This Row],[PISO]]=N$2,100%,AVANCE[[#This Row],[PISO]])</f>
        <v>0</v>
      </c>
      <c r="BI661" s="3">
        <f>+IF(AVANCE[[#This Row],[TABIQUES]]=O$2,100%,AVANCE[[#This Row],[TABIQUES]])</f>
        <v>0</v>
      </c>
      <c r="BJ661" s="3">
        <f>+IF(AVANCE[[#This Row],[MUROS]]=P$2,100%,AVANCE[[#This Row],[MUROS]])</f>
        <v>0</v>
      </c>
      <c r="BK661" s="3">
        <f>+IF(AVANCE[[#This Row],[CIELO]]=Q$2,100%,AVANCE[[#This Row],[CIELO]])</f>
        <v>0</v>
      </c>
      <c r="BL661" s="3">
        <f>+IF(AVANCE[[#This Row],[BALCÓN]]=R$2,100%,AVANCE[[#This Row],[BALCÓN]])</f>
        <v>0</v>
      </c>
      <c r="BM661" s="3">
        <f>+IF(AVANCE[[#This Row],[RED ALCANTARILLADO]]=U$2,100%,AVANCE[[#This Row],[RED ALCANTARILLADO]])</f>
        <v>0</v>
      </c>
      <c r="BN661" s="3">
        <f>+IF(AVANCE[[#This Row],[RED DE AGUA]]=V$2,100%,AVANCE[[#This Row],[RED DE AGUA]])</f>
        <v>0</v>
      </c>
      <c r="BO661" s="3">
        <f>+IF(AVANCE[[#This Row],[VENTILACIONES]]=W$2,100%,AVANCE[[#This Row],[VENTILACIONES]])</f>
        <v>0</v>
      </c>
      <c r="BP661" s="3">
        <f>+IF(AVANCE[[#This Row],[TINA]]=X$2,100%,AVANCE[[#This Row],[TINA]])</f>
        <v>0</v>
      </c>
      <c r="BQ661" s="3">
        <f>+IF(AVANCE[[#This Row],[WC]]=Y$2,100%,AVANCE[[#This Row],[WC]])</f>
        <v>0</v>
      </c>
      <c r="BR661" s="3">
        <f>+IF(AVANCE[[#This Row],[LAVAMANOS / LAVAPLATOS / LAVADERO]]=Z$2,100%,AVANCE[[#This Row],[LAVAMANOS / LAVAPLATOS / LAVADERO]])</f>
        <v>0</v>
      </c>
      <c r="BS661" s="3">
        <f>+IF(AVANCE[[#This Row],[CANALIZACIÓN]]=AC$2,100%,AVANCE[[#This Row],[CANALIZACIÓN]])</f>
        <v>0</v>
      </c>
      <c r="BT661" s="3">
        <f>+IF(AVANCE[[#This Row],[CABLEADO]]=AD$2,100%,AVANCE[[#This Row],[CABLEADO]])</f>
        <v>0</v>
      </c>
      <c r="BU661" s="3">
        <f>+IF(AVANCE[[#This Row],[ARTEFACTOS]]=AE$2,100%,AVANCE[[#This Row],[ARTEFACTOS]])</f>
        <v>0</v>
      </c>
      <c r="BV661" s="3">
        <f>+IF(AVANCE[[#This Row],[TABLERO]]=AF$2,100%,AVANCE[[#This Row],[TABLERO]])</f>
        <v>0</v>
      </c>
      <c r="BW661" s="3">
        <f>+IF(AVANCE[[#This Row],[CAJA PAU]]=AG$2,100%,AVANCE[[#This Row],[CAJA PAU]])</f>
        <v>0</v>
      </c>
      <c r="BX661" s="3">
        <f>+IF(AVANCE[[#This Row],[INSTALACION VINILICO]]=AJ$2,100%,AVANCE[[#This Row],[INSTALACION VINILICO]])</f>
        <v>0</v>
      </c>
      <c r="BY661" s="3">
        <f>+IF(AVANCE[[#This Row],[OSB CUBIERTA]]=AK$2,100%,AVANCE[[#This Row],[OSB CUBIERTA]])</f>
        <v>0</v>
      </c>
      <c r="BZ661" s="3">
        <f>+IF(AVANCE[[#This Row],[BARANDA BALCON]]=AL$2,100%,AVANCE[[#This Row],[BARANDA BALCON]])</f>
        <v>0</v>
      </c>
      <c r="CA661" s="3">
        <f>+IF(AVANCE[[#This Row],[OSB EXTERIOR]]=AM$2,100%,AVANCE[[#This Row],[OSB EXTERIOR]])</f>
        <v>0</v>
      </c>
      <c r="CB661" s="3">
        <f>+IF(AVANCE[[#This Row],[SMART PANEL]]=AN$2,100%,AVANCE[[#This Row],[SMART PANEL]])</f>
        <v>0</v>
      </c>
      <c r="CC661" s="3">
        <f>+IF(AVANCE[[#This Row],[PINTURA EXTERIOR]]=AO$2,100%,AVANCE[[#This Row],[PINTURA EXTERIOR]])</f>
        <v>0</v>
      </c>
      <c r="CD661" s="3">
        <f>+IF(AVANCE[[#This Row],[ZOCALOS LOGIA]]=AP$2,100%,AVANCE[[#This Row],[ZOCALOS LOGIA]])</f>
        <v>0</v>
      </c>
      <c r="CE661" s="3">
        <f>+IF(AVANCE[[#This Row],[MOLDURAS]]=AQ$2,100%,AVANCE[[#This Row],[MOLDURAS]])</f>
        <v>0</v>
      </c>
      <c r="CF661" s="3">
        <f>+IF(AVANCE[[#This Row],[PILASTREO]]=AR$2,100%,AVANCE[[#This Row],[PILASTREO]])</f>
        <v>0</v>
      </c>
      <c r="CG661" s="3">
        <f>+IF(AVANCE[[#This Row],[CELOSIAS]]=AS$2,100%,AVANCE[[#This Row],[CELOSIAS]])</f>
        <v>0</v>
      </c>
      <c r="CH661" s="3">
        <f>+IF(AVANCE[[#This Row],[VENTANAS]]=AT$2,100%,AVANCE[[#This Row],[VENTANAS]])</f>
        <v>0</v>
      </c>
      <c r="CI661" s="3">
        <f>+IF(AVANCE[[#This Row],[PUERTAS ACCESO - LOGIA - BANO]]=AU$2,100%,AVANCE[[#This Row],[PUERTAS ACCESO - LOGIA - BANO]])</f>
        <v>0</v>
      </c>
      <c r="CJ661" s="3">
        <f>+IF(AVANCE[[#This Row],[CERRADURAS]]=AV$2,100%,AVANCE[[#This Row],[CERRADURAS]])</f>
        <v>0</v>
      </c>
      <c r="CK661" s="3">
        <f>+IF(AVANCE[[#This Row],[REVESTIMIENTO INTERIOR ZONA SECA]]=AW$2,100%,AVANCE[[#This Row],[REVESTIMIENTO INTERIOR ZONA SECA]])</f>
        <v>0</v>
      </c>
      <c r="CL661" s="3">
        <f>+IF(AVANCE[[#This Row],[REVESTIMIENTO INTERIOR ZONAS HUMEDAS]]=AX$2,100%,AVANCE[[#This Row],[REVESTIMIENTO INTERIOR ZONAS HUMEDAS]])</f>
        <v>0</v>
      </c>
      <c r="CM661" s="3">
        <f>+IF(AVANCE[[#This Row],[MEMBRANA CIELO]]=AY$2,100%,AVANCE[[#This Row],[MEMBRANA CIELO]])</f>
        <v>0</v>
      </c>
      <c r="CN661" s="3">
        <f>+IF(AVANCE[[#This Row],[LIMPIEZA FINAL]]=AZ$2,100%,AVANCE[[#This Row],[LIMPIEZA FINAL]])</f>
        <v>0</v>
      </c>
      <c r="CO661" s="3">
        <f>+IF(AVANCE[[#This Row],[PUERTAS DORMITORIO]]=BA$2,100%,AVANCE[[#This Row],[PUERTAS DORMITORIO]])</f>
        <v>0</v>
      </c>
      <c r="CP661" s="3">
        <f>+IF(AVANCE[[#This Row],[REVESTIMIENTO INTERIOR BANO]]=BB$2,100%,AVANCE[[#This Row],[REVESTIMIENTO INTERIOR BANO]])</f>
        <v>0</v>
      </c>
      <c r="CQ661" s="3">
        <f>+IF(AVANCE[[#This Row],[MUEBLE LAVAPLATOS]]=BC$2,100%,AVANCE[[#This Row],[MUEBLE LAVAPLATOS]])</f>
        <v>0</v>
      </c>
      <c r="CR661" s="3">
        <f>+IF(AVANCE[[#This Row],[IMPERMEABILIZACION BANO - COCINA LOGIA]]=BD$2,100%,AVANCE[[#This Row],[IMPERMEABILIZACION BANO - COCINA LOGIA]])</f>
        <v>0</v>
      </c>
      <c r="CS661" s="40">
        <f ca="1">+IF(AVANCE[[#This Row],[ESTADO MODULO]]="PENDIENTE",(TODAY()-AVANCE[[#This Row],[FECHA TERMINO  PLANIFICADO]]),0)</f>
        <v>0</v>
      </c>
      <c r="CT661" s="41" t="str" cm="1">
        <f t="array" ref="CT661">_xlfn.TEXTJOIN(" | ",TRUE,IF(SUMPRODUCT((BG661:CR661&lt;1)*(PARTIDAS!$I$2:$AT$2="OBRA GRUESA"))&gt;0,"OBRA GRUESA: "&amp;_xlfn.TEXTJOIN(", ",TRUE,IF((BG661:CR661&lt;1)*(PARTIDAS!$I$2:$AT$2="OBRA GRUESA"),PARTIDAS!$I$1:$AT$1,"")),""),IF(SUMPRODUCT((BG661:CR661&lt;1)*(PARTIDAS!$I$2:$AT$2="SANITARIOS"))&gt;0,"SANITARIOS: "&amp;_xlfn.TEXTJOIN(", ",TRUE,IF((BG661:CR661&lt;1)*(PARTIDAS!$I$2:$AT$2="SANITARIOS"),PARTIDAS!$I$1:$AT$1,"")),""),IF(SUMPRODUCT((BG661:CR661&lt;1)*(PARTIDAS!$I$2:$AT$2="ELÉCTRICO"))&gt;0,"ELÉCTRICO: "&amp;_xlfn.TEXTJOIN(", ",TRUE,IF((BG661:CR661&lt;1)*(PARTIDAS!$I$2:$AT$2="ELÉCTRICO"),PARTIDAS!$I$1:$AT$1,"")),""),IF(SUMPRODUCT((BG661:CR661&lt;1)*(PARTIDAS!$I$2:$AT$2="TERMINACIONES"))&gt;0,"TERMINACIONES: "&amp;_xlfn.TEXTJOIN(", ",TRUE,IF((BG661:CR661&lt;1)*(PARTIDAS!$I$2:$AT$2="TERMINACIONES"),PARTIDAS!$I$1:$AT$1,"")),""))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1" s="43" t="str" cm="1">
        <f t="array" ref="CU661">_xlfn.TEXTJOIN(", ",TRUE,IF(SUMPRODUCT((BG661:CR661&lt;1)*(PARTIDAS!$I$2:$AT$2="OBRA GRUESA"))&gt;0,"OBRA GRUESA",""),IF(SUMPRODUCT((BG661:CR661&lt;1)*(PARTIDAS!$I$2:$AT$2="SANITARIOS"))&gt;0,"SANITARIOS",""),IF(SUMPRODUCT((BG661:CR661&lt;1)*(PARTIDAS!$I$2:$AT$2="ELÉCTRICO"))&gt;0,"ELÉCTRICO",""),IF(SUMPRODUCT((BG661:CR661&lt;1)*(PARTIDAS!$I$2:$AT$2="TERMINACIONES"))&gt;0,"TERMINACIONES",""))</f>
        <v>OBRA GRUESA, SANITARIOS, ELÉCTRICO, TERMINACIONES</v>
      </c>
      <c r="CV661" s="44" cm="1">
        <f t="array" ref="CV661">SUMPRODUCT(--(BG661:CR661&lt;1))</f>
        <v>38</v>
      </c>
    </row>
    <row r="662" spans="1:100" hidden="1" x14ac:dyDescent="0.25">
      <c r="A662" t="s">
        <v>718</v>
      </c>
      <c r="B662" t="s">
        <v>739</v>
      </c>
      <c r="C662">
        <v>2282600661</v>
      </c>
      <c r="D662" t="s">
        <v>58</v>
      </c>
      <c r="E662" s="2">
        <v>0</v>
      </c>
      <c r="F662" s="1">
        <v>46468</v>
      </c>
      <c r="G662" s="1"/>
      <c r="H662" s="1">
        <v>0</v>
      </c>
      <c r="I662" s="1">
        <v>46488</v>
      </c>
      <c r="J662">
        <v>46230</v>
      </c>
      <c r="K662" s="1"/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>
        <v>28.87</v>
      </c>
      <c r="BF662" s="3" t="str">
        <f>+IF(AVANCE[[#This Row],[% AVANCE]]=100%,"MODULO TERMINADO",IF(AVANCE[[#This Row],[FECHA INICIO REAL]]="","MODULO NO INICIADO","PENDIENTE"))</f>
        <v>MODULO NO INICIADO</v>
      </c>
      <c r="BG662" s="3">
        <f>+IF(AVANCE[[#This Row],[VENTANAS]]=8.10810810810811%,100%,AVANCE[[#This Row],[VENTANAS]])</f>
        <v>0</v>
      </c>
      <c r="BH662" s="3">
        <f>+IF(AVANCE[[#This Row],[PISO]]=N$2,100%,AVANCE[[#This Row],[PISO]])</f>
        <v>0</v>
      </c>
      <c r="BI662" s="3">
        <f>+IF(AVANCE[[#This Row],[TABIQUES]]=O$2,100%,AVANCE[[#This Row],[TABIQUES]])</f>
        <v>0</v>
      </c>
      <c r="BJ662" s="3">
        <f>+IF(AVANCE[[#This Row],[MUROS]]=P$2,100%,AVANCE[[#This Row],[MUROS]])</f>
        <v>0</v>
      </c>
      <c r="BK662" s="3">
        <f>+IF(AVANCE[[#This Row],[CIELO]]=Q$2,100%,AVANCE[[#This Row],[CIELO]])</f>
        <v>0</v>
      </c>
      <c r="BL662" s="3">
        <f>+IF(AVANCE[[#This Row],[BALCÓN]]=R$2,100%,AVANCE[[#This Row],[BALCÓN]])</f>
        <v>0</v>
      </c>
      <c r="BM662" s="3">
        <f>+IF(AVANCE[[#This Row],[RED ALCANTARILLADO]]=U$2,100%,AVANCE[[#This Row],[RED ALCANTARILLADO]])</f>
        <v>0</v>
      </c>
      <c r="BN662" s="3">
        <f>+IF(AVANCE[[#This Row],[RED DE AGUA]]=V$2,100%,AVANCE[[#This Row],[RED DE AGUA]])</f>
        <v>0</v>
      </c>
      <c r="BO662" s="3">
        <f>+IF(AVANCE[[#This Row],[VENTILACIONES]]=W$2,100%,AVANCE[[#This Row],[VENTILACIONES]])</f>
        <v>0</v>
      </c>
      <c r="BP662" s="3">
        <f>+IF(AVANCE[[#This Row],[TINA]]=X$2,100%,AVANCE[[#This Row],[TINA]])</f>
        <v>0</v>
      </c>
      <c r="BQ662" s="3">
        <f>+IF(AVANCE[[#This Row],[WC]]=Y$2,100%,AVANCE[[#This Row],[WC]])</f>
        <v>0</v>
      </c>
      <c r="BR662" s="3">
        <f>+IF(AVANCE[[#This Row],[LAVAMANOS / LAVAPLATOS / LAVADERO]]=Z$2,100%,AVANCE[[#This Row],[LAVAMANOS / LAVAPLATOS / LAVADERO]])</f>
        <v>0</v>
      </c>
      <c r="BS662" s="3">
        <f>+IF(AVANCE[[#This Row],[CANALIZACIÓN]]=AC$2,100%,AVANCE[[#This Row],[CANALIZACIÓN]])</f>
        <v>0</v>
      </c>
      <c r="BT662" s="3">
        <f>+IF(AVANCE[[#This Row],[CABLEADO]]=AD$2,100%,AVANCE[[#This Row],[CABLEADO]])</f>
        <v>0</v>
      </c>
      <c r="BU662" s="3">
        <f>+IF(AVANCE[[#This Row],[ARTEFACTOS]]=AE$2,100%,AVANCE[[#This Row],[ARTEFACTOS]])</f>
        <v>0</v>
      </c>
      <c r="BV662" s="3">
        <f>+IF(AVANCE[[#This Row],[TABLERO]]=AF$2,100%,AVANCE[[#This Row],[TABLERO]])</f>
        <v>0</v>
      </c>
      <c r="BW662" s="3">
        <f>+IF(AVANCE[[#This Row],[CAJA PAU]]=AG$2,100%,AVANCE[[#This Row],[CAJA PAU]])</f>
        <v>0</v>
      </c>
      <c r="BX662" s="3">
        <f>+IF(AVANCE[[#This Row],[INSTALACION VINILICO]]=AJ$2,100%,AVANCE[[#This Row],[INSTALACION VINILICO]])</f>
        <v>0</v>
      </c>
      <c r="BY662" s="3">
        <f>+IF(AVANCE[[#This Row],[OSB CUBIERTA]]=AK$2,100%,AVANCE[[#This Row],[OSB CUBIERTA]])</f>
        <v>0</v>
      </c>
      <c r="BZ662" s="3">
        <f>+IF(AVANCE[[#This Row],[BARANDA BALCON]]=AL$2,100%,AVANCE[[#This Row],[BARANDA BALCON]])</f>
        <v>0</v>
      </c>
      <c r="CA662" s="3">
        <f>+IF(AVANCE[[#This Row],[OSB EXTERIOR]]=AM$2,100%,AVANCE[[#This Row],[OSB EXTERIOR]])</f>
        <v>0</v>
      </c>
      <c r="CB662" s="3">
        <f>+IF(AVANCE[[#This Row],[SMART PANEL]]=AN$2,100%,AVANCE[[#This Row],[SMART PANEL]])</f>
        <v>0</v>
      </c>
      <c r="CC662" s="3">
        <f>+IF(AVANCE[[#This Row],[PINTURA EXTERIOR]]=AO$2,100%,AVANCE[[#This Row],[PINTURA EXTERIOR]])</f>
        <v>0</v>
      </c>
      <c r="CD662" s="3">
        <f>+IF(AVANCE[[#This Row],[ZOCALOS LOGIA]]=AP$2,100%,AVANCE[[#This Row],[ZOCALOS LOGIA]])</f>
        <v>0</v>
      </c>
      <c r="CE662" s="3">
        <f>+IF(AVANCE[[#This Row],[MOLDURAS]]=AQ$2,100%,AVANCE[[#This Row],[MOLDURAS]])</f>
        <v>0</v>
      </c>
      <c r="CF662" s="3">
        <f>+IF(AVANCE[[#This Row],[PILASTREO]]=AR$2,100%,AVANCE[[#This Row],[PILASTREO]])</f>
        <v>0</v>
      </c>
      <c r="CG662" s="3">
        <f>+IF(AVANCE[[#This Row],[CELOSIAS]]=AS$2,100%,AVANCE[[#This Row],[CELOSIAS]])</f>
        <v>0</v>
      </c>
      <c r="CH662" s="3">
        <f>+IF(AVANCE[[#This Row],[VENTANAS]]=AT$2,100%,AVANCE[[#This Row],[VENTANAS]])</f>
        <v>0</v>
      </c>
      <c r="CI662" s="3">
        <f>+IF(AVANCE[[#This Row],[PUERTAS ACCESO - LOGIA - BANO]]=AU$2,100%,AVANCE[[#This Row],[PUERTAS ACCESO - LOGIA - BANO]])</f>
        <v>0</v>
      </c>
      <c r="CJ662" s="3">
        <f>+IF(AVANCE[[#This Row],[CERRADURAS]]=AV$2,100%,AVANCE[[#This Row],[CERRADURAS]])</f>
        <v>0</v>
      </c>
      <c r="CK662" s="3">
        <f>+IF(AVANCE[[#This Row],[REVESTIMIENTO INTERIOR ZONA SECA]]=AW$2,100%,AVANCE[[#This Row],[REVESTIMIENTO INTERIOR ZONA SECA]])</f>
        <v>0</v>
      </c>
      <c r="CL662" s="3">
        <f>+IF(AVANCE[[#This Row],[REVESTIMIENTO INTERIOR ZONAS HUMEDAS]]=AX$2,100%,AVANCE[[#This Row],[REVESTIMIENTO INTERIOR ZONAS HUMEDAS]])</f>
        <v>0</v>
      </c>
      <c r="CM662" s="3">
        <f>+IF(AVANCE[[#This Row],[MEMBRANA CIELO]]=AY$2,100%,AVANCE[[#This Row],[MEMBRANA CIELO]])</f>
        <v>0</v>
      </c>
      <c r="CN662" s="3">
        <f>+IF(AVANCE[[#This Row],[LIMPIEZA FINAL]]=AZ$2,100%,AVANCE[[#This Row],[LIMPIEZA FINAL]])</f>
        <v>0</v>
      </c>
      <c r="CO662" s="3">
        <f>+IF(AVANCE[[#This Row],[PUERTAS DORMITORIO]]=BA$2,100%,AVANCE[[#This Row],[PUERTAS DORMITORIO]])</f>
        <v>0</v>
      </c>
      <c r="CP662" s="3">
        <f>+IF(AVANCE[[#This Row],[REVESTIMIENTO INTERIOR BANO]]=BB$2,100%,AVANCE[[#This Row],[REVESTIMIENTO INTERIOR BANO]])</f>
        <v>0</v>
      </c>
      <c r="CQ662" s="3">
        <f>+IF(AVANCE[[#This Row],[MUEBLE LAVAPLATOS]]=BC$2,100%,AVANCE[[#This Row],[MUEBLE LAVAPLATOS]])</f>
        <v>0</v>
      </c>
      <c r="CR662" s="3">
        <f>+IF(AVANCE[[#This Row],[IMPERMEABILIZACION BANO - COCINA LOGIA]]=BD$2,100%,AVANCE[[#This Row],[IMPERMEABILIZACION BANO - COCINA LOGIA]])</f>
        <v>0</v>
      </c>
      <c r="CS662" s="40">
        <f ca="1">+IF(AVANCE[[#This Row],[ESTADO MODULO]]="PENDIENTE",(TODAY()-AVANCE[[#This Row],[FECHA TERMINO  PLANIFICADO]]),0)</f>
        <v>0</v>
      </c>
      <c r="CT662" s="41" t="str" cm="1">
        <f t="array" ref="CT662">_xlfn.TEXTJOIN(" | ",TRUE,IF(SUMPRODUCT((BG662:CR662&lt;1)*(PARTIDAS!$I$2:$AT$2="OBRA GRUESA"))&gt;0,"OBRA GRUESA: "&amp;_xlfn.TEXTJOIN(", ",TRUE,IF((BG662:CR662&lt;1)*(PARTIDAS!$I$2:$AT$2="OBRA GRUESA"),PARTIDAS!$I$1:$AT$1,"")),""),IF(SUMPRODUCT((BG662:CR662&lt;1)*(PARTIDAS!$I$2:$AT$2="SANITARIOS"))&gt;0,"SANITARIOS: "&amp;_xlfn.TEXTJOIN(", ",TRUE,IF((BG662:CR662&lt;1)*(PARTIDAS!$I$2:$AT$2="SANITARIOS"),PARTIDAS!$I$1:$AT$1,"")),""),IF(SUMPRODUCT((BG662:CR662&lt;1)*(PARTIDAS!$I$2:$AT$2="ELÉCTRICO"))&gt;0,"ELÉCTRICO: "&amp;_xlfn.TEXTJOIN(", ",TRUE,IF((BG662:CR662&lt;1)*(PARTIDAS!$I$2:$AT$2="ELÉCTRICO"),PARTIDAS!$I$1:$AT$1,"")),""),IF(SUMPRODUCT((BG662:CR662&lt;1)*(PARTIDAS!$I$2:$AT$2="TERMINACIONES"))&gt;0,"TERMINACIONES: "&amp;_xlfn.TEXTJOIN(", ",TRUE,IF((BG662:CR662&lt;1)*(PARTIDAS!$I$2:$AT$2="TERMINACIONES"),PARTIDAS!$I$1:$AT$1,"")),""))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2" s="43" t="str" cm="1">
        <f t="array" ref="CU662">_xlfn.TEXTJOIN(", ",TRUE,IF(SUMPRODUCT((BG662:CR662&lt;1)*(PARTIDAS!$I$2:$AT$2="OBRA GRUESA"))&gt;0,"OBRA GRUESA",""),IF(SUMPRODUCT((BG662:CR662&lt;1)*(PARTIDAS!$I$2:$AT$2="SANITARIOS"))&gt;0,"SANITARIOS",""),IF(SUMPRODUCT((BG662:CR662&lt;1)*(PARTIDAS!$I$2:$AT$2="ELÉCTRICO"))&gt;0,"ELÉCTRICO",""),IF(SUMPRODUCT((BG662:CR662&lt;1)*(PARTIDAS!$I$2:$AT$2="TERMINACIONES"))&gt;0,"TERMINACIONES",""))</f>
        <v>OBRA GRUESA, SANITARIOS, ELÉCTRICO, TERMINACIONES</v>
      </c>
      <c r="CV662" s="44" cm="1">
        <f t="array" ref="CV662">SUMPRODUCT(--(BG662:CR662&lt;1))</f>
        <v>38</v>
      </c>
    </row>
    <row r="663" spans="1:100" hidden="1" x14ac:dyDescent="0.25">
      <c r="A663" t="s">
        <v>718</v>
      </c>
      <c r="B663" t="s">
        <v>740</v>
      </c>
      <c r="C663">
        <v>2302600662</v>
      </c>
      <c r="D663" t="s">
        <v>60</v>
      </c>
      <c r="E663" s="2">
        <v>0</v>
      </c>
      <c r="F663" s="1">
        <v>46469</v>
      </c>
      <c r="G663" s="1"/>
      <c r="H663" s="1">
        <v>0</v>
      </c>
      <c r="I663" s="1">
        <v>46499</v>
      </c>
      <c r="J663">
        <v>46230</v>
      </c>
      <c r="K663" s="1"/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>
        <v>31.32</v>
      </c>
      <c r="BF663" s="3" t="str">
        <f>+IF(AVANCE[[#This Row],[% AVANCE]]=100%,"MODULO TERMINADO",IF(AVANCE[[#This Row],[FECHA INICIO REAL]]="","MODULO NO INICIADO","PENDIENTE"))</f>
        <v>MODULO NO INICIADO</v>
      </c>
      <c r="BG663" s="3">
        <f>+IF(AVANCE[[#This Row],[VENTANAS]]=8.10810810810811%,100%,AVANCE[[#This Row],[VENTANAS]])</f>
        <v>0</v>
      </c>
      <c r="BH663" s="3">
        <f>+IF(AVANCE[[#This Row],[PISO]]=N$2,100%,AVANCE[[#This Row],[PISO]])</f>
        <v>0</v>
      </c>
      <c r="BI663" s="3">
        <f>+IF(AVANCE[[#This Row],[TABIQUES]]=O$2,100%,AVANCE[[#This Row],[TABIQUES]])</f>
        <v>0</v>
      </c>
      <c r="BJ663" s="3">
        <f>+IF(AVANCE[[#This Row],[MUROS]]=P$2,100%,AVANCE[[#This Row],[MUROS]])</f>
        <v>0</v>
      </c>
      <c r="BK663" s="3">
        <f>+IF(AVANCE[[#This Row],[CIELO]]=Q$2,100%,AVANCE[[#This Row],[CIELO]])</f>
        <v>0</v>
      </c>
      <c r="BL663" s="3">
        <f>+IF(AVANCE[[#This Row],[BALCÓN]]=R$2,100%,AVANCE[[#This Row],[BALCÓN]])</f>
        <v>0</v>
      </c>
      <c r="BM663" s="3">
        <f>+IF(AVANCE[[#This Row],[RED ALCANTARILLADO]]=U$2,100%,AVANCE[[#This Row],[RED ALCANTARILLADO]])</f>
        <v>0</v>
      </c>
      <c r="BN663" s="3">
        <f>+IF(AVANCE[[#This Row],[RED DE AGUA]]=V$2,100%,AVANCE[[#This Row],[RED DE AGUA]])</f>
        <v>0</v>
      </c>
      <c r="BO663" s="3">
        <f>+IF(AVANCE[[#This Row],[VENTILACIONES]]=W$2,100%,AVANCE[[#This Row],[VENTILACIONES]])</f>
        <v>0</v>
      </c>
      <c r="BP663" s="3">
        <f>+IF(AVANCE[[#This Row],[TINA]]=X$2,100%,AVANCE[[#This Row],[TINA]])</f>
        <v>0</v>
      </c>
      <c r="BQ663" s="3">
        <f>+IF(AVANCE[[#This Row],[WC]]=Y$2,100%,AVANCE[[#This Row],[WC]])</f>
        <v>0</v>
      </c>
      <c r="BR663" s="3">
        <f>+IF(AVANCE[[#This Row],[LAVAMANOS / LAVAPLATOS / LAVADERO]]=Z$2,100%,AVANCE[[#This Row],[LAVAMANOS / LAVAPLATOS / LAVADERO]])</f>
        <v>0</v>
      </c>
      <c r="BS663" s="3">
        <f>+IF(AVANCE[[#This Row],[CANALIZACIÓN]]=AC$2,100%,AVANCE[[#This Row],[CANALIZACIÓN]])</f>
        <v>0</v>
      </c>
      <c r="BT663" s="3">
        <f>+IF(AVANCE[[#This Row],[CABLEADO]]=AD$2,100%,AVANCE[[#This Row],[CABLEADO]])</f>
        <v>0</v>
      </c>
      <c r="BU663" s="3">
        <f>+IF(AVANCE[[#This Row],[ARTEFACTOS]]=AE$2,100%,AVANCE[[#This Row],[ARTEFACTOS]])</f>
        <v>0</v>
      </c>
      <c r="BV663" s="3">
        <f>+IF(AVANCE[[#This Row],[TABLERO]]=AF$2,100%,AVANCE[[#This Row],[TABLERO]])</f>
        <v>0</v>
      </c>
      <c r="BW663" s="3">
        <f>+IF(AVANCE[[#This Row],[CAJA PAU]]=AG$2,100%,AVANCE[[#This Row],[CAJA PAU]])</f>
        <v>0</v>
      </c>
      <c r="BX663" s="3">
        <f>+IF(AVANCE[[#This Row],[INSTALACION VINILICO]]=AJ$2,100%,AVANCE[[#This Row],[INSTALACION VINILICO]])</f>
        <v>0</v>
      </c>
      <c r="BY663" s="3">
        <f>+IF(AVANCE[[#This Row],[OSB CUBIERTA]]=AK$2,100%,AVANCE[[#This Row],[OSB CUBIERTA]])</f>
        <v>0</v>
      </c>
      <c r="BZ663" s="3">
        <f>+IF(AVANCE[[#This Row],[BARANDA BALCON]]=AL$2,100%,AVANCE[[#This Row],[BARANDA BALCON]])</f>
        <v>0</v>
      </c>
      <c r="CA663" s="3">
        <f>+IF(AVANCE[[#This Row],[OSB EXTERIOR]]=AM$2,100%,AVANCE[[#This Row],[OSB EXTERIOR]])</f>
        <v>0</v>
      </c>
      <c r="CB663" s="3">
        <f>+IF(AVANCE[[#This Row],[SMART PANEL]]=AN$2,100%,AVANCE[[#This Row],[SMART PANEL]])</f>
        <v>0</v>
      </c>
      <c r="CC663" s="3">
        <f>+IF(AVANCE[[#This Row],[PINTURA EXTERIOR]]=AO$2,100%,AVANCE[[#This Row],[PINTURA EXTERIOR]])</f>
        <v>0</v>
      </c>
      <c r="CD663" s="3">
        <f>+IF(AVANCE[[#This Row],[ZOCALOS LOGIA]]=AP$2,100%,AVANCE[[#This Row],[ZOCALOS LOGIA]])</f>
        <v>0</v>
      </c>
      <c r="CE663" s="3">
        <f>+IF(AVANCE[[#This Row],[MOLDURAS]]=AQ$2,100%,AVANCE[[#This Row],[MOLDURAS]])</f>
        <v>0</v>
      </c>
      <c r="CF663" s="3">
        <f>+IF(AVANCE[[#This Row],[PILASTREO]]=AR$2,100%,AVANCE[[#This Row],[PILASTREO]])</f>
        <v>0</v>
      </c>
      <c r="CG663" s="3">
        <f>+IF(AVANCE[[#This Row],[CELOSIAS]]=AS$2,100%,AVANCE[[#This Row],[CELOSIAS]])</f>
        <v>0</v>
      </c>
      <c r="CH663" s="3">
        <f>+IF(AVANCE[[#This Row],[VENTANAS]]=AT$2,100%,AVANCE[[#This Row],[VENTANAS]])</f>
        <v>0</v>
      </c>
      <c r="CI663" s="3">
        <f>+IF(AVANCE[[#This Row],[PUERTAS ACCESO - LOGIA - BANO]]=AU$2,100%,AVANCE[[#This Row],[PUERTAS ACCESO - LOGIA - BANO]])</f>
        <v>0</v>
      </c>
      <c r="CJ663" s="3">
        <f>+IF(AVANCE[[#This Row],[CERRADURAS]]=AV$2,100%,AVANCE[[#This Row],[CERRADURAS]])</f>
        <v>0</v>
      </c>
      <c r="CK663" s="3">
        <f>+IF(AVANCE[[#This Row],[REVESTIMIENTO INTERIOR ZONA SECA]]=AW$2,100%,AVANCE[[#This Row],[REVESTIMIENTO INTERIOR ZONA SECA]])</f>
        <v>0</v>
      </c>
      <c r="CL663" s="3">
        <f>+IF(AVANCE[[#This Row],[REVESTIMIENTO INTERIOR ZONAS HUMEDAS]]=AX$2,100%,AVANCE[[#This Row],[REVESTIMIENTO INTERIOR ZONAS HUMEDAS]])</f>
        <v>0</v>
      </c>
      <c r="CM663" s="3">
        <f>+IF(AVANCE[[#This Row],[MEMBRANA CIELO]]=AY$2,100%,AVANCE[[#This Row],[MEMBRANA CIELO]])</f>
        <v>0</v>
      </c>
      <c r="CN663" s="3">
        <f>+IF(AVANCE[[#This Row],[LIMPIEZA FINAL]]=AZ$2,100%,AVANCE[[#This Row],[LIMPIEZA FINAL]])</f>
        <v>0</v>
      </c>
      <c r="CO663" s="3">
        <f>+IF(AVANCE[[#This Row],[PUERTAS DORMITORIO]]=BA$2,100%,AVANCE[[#This Row],[PUERTAS DORMITORIO]])</f>
        <v>0</v>
      </c>
      <c r="CP663" s="3">
        <f>+IF(AVANCE[[#This Row],[REVESTIMIENTO INTERIOR BANO]]=BB$2,100%,AVANCE[[#This Row],[REVESTIMIENTO INTERIOR BANO]])</f>
        <v>0</v>
      </c>
      <c r="CQ663" s="3">
        <f>+IF(AVANCE[[#This Row],[MUEBLE LAVAPLATOS]]=BC$2,100%,AVANCE[[#This Row],[MUEBLE LAVAPLATOS]])</f>
        <v>0</v>
      </c>
      <c r="CR663" s="3">
        <f>+IF(AVANCE[[#This Row],[IMPERMEABILIZACION BANO - COCINA LOGIA]]=BD$2,100%,AVANCE[[#This Row],[IMPERMEABILIZACION BANO - COCINA LOGIA]])</f>
        <v>0</v>
      </c>
      <c r="CS663" s="40">
        <f ca="1">+IF(AVANCE[[#This Row],[ESTADO MODULO]]="PENDIENTE",(TODAY()-AVANCE[[#This Row],[FECHA TERMINO  PLANIFICADO]]),0)</f>
        <v>0</v>
      </c>
      <c r="CT663" s="41" t="str" cm="1">
        <f t="array" ref="CT663">_xlfn.TEXTJOIN(" | ",TRUE,IF(SUMPRODUCT((BG663:CR663&lt;1)*(PARTIDAS!$I$2:$AT$2="OBRA GRUESA"))&gt;0,"OBRA GRUESA: "&amp;_xlfn.TEXTJOIN(", ",TRUE,IF((BG663:CR663&lt;1)*(PARTIDAS!$I$2:$AT$2="OBRA GRUESA"),PARTIDAS!$I$1:$AT$1,"")),""),IF(SUMPRODUCT((BG663:CR663&lt;1)*(PARTIDAS!$I$2:$AT$2="SANITARIOS"))&gt;0,"SANITARIOS: "&amp;_xlfn.TEXTJOIN(", ",TRUE,IF((BG663:CR663&lt;1)*(PARTIDAS!$I$2:$AT$2="SANITARIOS"),PARTIDAS!$I$1:$AT$1,"")),""),IF(SUMPRODUCT((BG663:CR663&lt;1)*(PARTIDAS!$I$2:$AT$2="ELÉCTRICO"))&gt;0,"ELÉCTRICO: "&amp;_xlfn.TEXTJOIN(", ",TRUE,IF((BG663:CR663&lt;1)*(PARTIDAS!$I$2:$AT$2="ELÉCTRICO"),PARTIDAS!$I$1:$AT$1,"")),""),IF(SUMPRODUCT((BG663:CR663&lt;1)*(PARTIDAS!$I$2:$AT$2="TERMINACIONES"))&gt;0,"TERMINACIONES: "&amp;_xlfn.TEXTJOIN(", ",TRUE,IF((BG663:CR663&lt;1)*(PARTIDAS!$I$2:$AT$2="TERMINACIONES"),PARTIDAS!$I$1:$AT$1,"")),""))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3" s="43" t="str" cm="1">
        <f t="array" ref="CU663">_xlfn.TEXTJOIN(", ",TRUE,IF(SUMPRODUCT((BG663:CR663&lt;1)*(PARTIDAS!$I$2:$AT$2="OBRA GRUESA"))&gt;0,"OBRA GRUESA",""),IF(SUMPRODUCT((BG663:CR663&lt;1)*(PARTIDAS!$I$2:$AT$2="SANITARIOS"))&gt;0,"SANITARIOS",""),IF(SUMPRODUCT((BG663:CR663&lt;1)*(PARTIDAS!$I$2:$AT$2="ELÉCTRICO"))&gt;0,"ELÉCTRICO",""),IF(SUMPRODUCT((BG663:CR663&lt;1)*(PARTIDAS!$I$2:$AT$2="TERMINACIONES"))&gt;0,"TERMINACIONES",""))</f>
        <v>OBRA GRUESA, SANITARIOS, ELÉCTRICO, TERMINACIONES</v>
      </c>
      <c r="CV663" s="44" cm="1">
        <f t="array" ref="CV663">SUMPRODUCT(--(BG663:CR663&lt;1))</f>
        <v>38</v>
      </c>
    </row>
    <row r="664" spans="1:100" hidden="1" x14ac:dyDescent="0.25">
      <c r="A664" t="s">
        <v>718</v>
      </c>
      <c r="B664" t="s">
        <v>741</v>
      </c>
      <c r="C664">
        <v>2302600663</v>
      </c>
      <c r="D664" t="s">
        <v>60</v>
      </c>
      <c r="E664" s="2">
        <v>0</v>
      </c>
      <c r="F664" s="1">
        <v>46469</v>
      </c>
      <c r="G664" s="1"/>
      <c r="H664" s="1">
        <v>0</v>
      </c>
      <c r="I664" s="1">
        <v>46499</v>
      </c>
      <c r="J664">
        <v>46230</v>
      </c>
      <c r="K664" s="1"/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>
        <v>31.32</v>
      </c>
      <c r="BF664" s="3" t="str">
        <f>+IF(AVANCE[[#This Row],[% AVANCE]]=100%,"MODULO TERMINADO",IF(AVANCE[[#This Row],[FECHA INICIO REAL]]="","MODULO NO INICIADO","PENDIENTE"))</f>
        <v>MODULO NO INICIADO</v>
      </c>
      <c r="BG664" s="3">
        <f>+IF(AVANCE[[#This Row],[VENTANAS]]=8.10810810810811%,100%,AVANCE[[#This Row],[VENTANAS]])</f>
        <v>0</v>
      </c>
      <c r="BH664" s="3">
        <f>+IF(AVANCE[[#This Row],[PISO]]=N$2,100%,AVANCE[[#This Row],[PISO]])</f>
        <v>0</v>
      </c>
      <c r="BI664" s="3">
        <f>+IF(AVANCE[[#This Row],[TABIQUES]]=O$2,100%,AVANCE[[#This Row],[TABIQUES]])</f>
        <v>0</v>
      </c>
      <c r="BJ664" s="3">
        <f>+IF(AVANCE[[#This Row],[MUROS]]=P$2,100%,AVANCE[[#This Row],[MUROS]])</f>
        <v>0</v>
      </c>
      <c r="BK664" s="3">
        <f>+IF(AVANCE[[#This Row],[CIELO]]=Q$2,100%,AVANCE[[#This Row],[CIELO]])</f>
        <v>0</v>
      </c>
      <c r="BL664" s="3">
        <f>+IF(AVANCE[[#This Row],[BALCÓN]]=R$2,100%,AVANCE[[#This Row],[BALCÓN]])</f>
        <v>0</v>
      </c>
      <c r="BM664" s="3">
        <f>+IF(AVANCE[[#This Row],[RED ALCANTARILLADO]]=U$2,100%,AVANCE[[#This Row],[RED ALCANTARILLADO]])</f>
        <v>0</v>
      </c>
      <c r="BN664" s="3">
        <f>+IF(AVANCE[[#This Row],[RED DE AGUA]]=V$2,100%,AVANCE[[#This Row],[RED DE AGUA]])</f>
        <v>0</v>
      </c>
      <c r="BO664" s="3">
        <f>+IF(AVANCE[[#This Row],[VENTILACIONES]]=W$2,100%,AVANCE[[#This Row],[VENTILACIONES]])</f>
        <v>0</v>
      </c>
      <c r="BP664" s="3">
        <f>+IF(AVANCE[[#This Row],[TINA]]=X$2,100%,AVANCE[[#This Row],[TINA]])</f>
        <v>0</v>
      </c>
      <c r="BQ664" s="3">
        <f>+IF(AVANCE[[#This Row],[WC]]=Y$2,100%,AVANCE[[#This Row],[WC]])</f>
        <v>0</v>
      </c>
      <c r="BR664" s="3">
        <f>+IF(AVANCE[[#This Row],[LAVAMANOS / LAVAPLATOS / LAVADERO]]=Z$2,100%,AVANCE[[#This Row],[LAVAMANOS / LAVAPLATOS / LAVADERO]])</f>
        <v>0</v>
      </c>
      <c r="BS664" s="3">
        <f>+IF(AVANCE[[#This Row],[CANALIZACIÓN]]=AC$2,100%,AVANCE[[#This Row],[CANALIZACIÓN]])</f>
        <v>0</v>
      </c>
      <c r="BT664" s="3">
        <f>+IF(AVANCE[[#This Row],[CABLEADO]]=AD$2,100%,AVANCE[[#This Row],[CABLEADO]])</f>
        <v>0</v>
      </c>
      <c r="BU664" s="3">
        <f>+IF(AVANCE[[#This Row],[ARTEFACTOS]]=AE$2,100%,AVANCE[[#This Row],[ARTEFACTOS]])</f>
        <v>0</v>
      </c>
      <c r="BV664" s="3">
        <f>+IF(AVANCE[[#This Row],[TABLERO]]=AF$2,100%,AVANCE[[#This Row],[TABLERO]])</f>
        <v>0</v>
      </c>
      <c r="BW664" s="3">
        <f>+IF(AVANCE[[#This Row],[CAJA PAU]]=AG$2,100%,AVANCE[[#This Row],[CAJA PAU]])</f>
        <v>0</v>
      </c>
      <c r="BX664" s="3">
        <f>+IF(AVANCE[[#This Row],[INSTALACION VINILICO]]=AJ$2,100%,AVANCE[[#This Row],[INSTALACION VINILICO]])</f>
        <v>0</v>
      </c>
      <c r="BY664" s="3">
        <f>+IF(AVANCE[[#This Row],[OSB CUBIERTA]]=AK$2,100%,AVANCE[[#This Row],[OSB CUBIERTA]])</f>
        <v>0</v>
      </c>
      <c r="BZ664" s="3">
        <f>+IF(AVANCE[[#This Row],[BARANDA BALCON]]=AL$2,100%,AVANCE[[#This Row],[BARANDA BALCON]])</f>
        <v>0</v>
      </c>
      <c r="CA664" s="3">
        <f>+IF(AVANCE[[#This Row],[OSB EXTERIOR]]=AM$2,100%,AVANCE[[#This Row],[OSB EXTERIOR]])</f>
        <v>0</v>
      </c>
      <c r="CB664" s="3">
        <f>+IF(AVANCE[[#This Row],[SMART PANEL]]=AN$2,100%,AVANCE[[#This Row],[SMART PANEL]])</f>
        <v>0</v>
      </c>
      <c r="CC664" s="3">
        <f>+IF(AVANCE[[#This Row],[PINTURA EXTERIOR]]=AO$2,100%,AVANCE[[#This Row],[PINTURA EXTERIOR]])</f>
        <v>0</v>
      </c>
      <c r="CD664" s="3">
        <f>+IF(AVANCE[[#This Row],[ZOCALOS LOGIA]]=AP$2,100%,AVANCE[[#This Row],[ZOCALOS LOGIA]])</f>
        <v>0</v>
      </c>
      <c r="CE664" s="3">
        <f>+IF(AVANCE[[#This Row],[MOLDURAS]]=AQ$2,100%,AVANCE[[#This Row],[MOLDURAS]])</f>
        <v>0</v>
      </c>
      <c r="CF664" s="3">
        <f>+IF(AVANCE[[#This Row],[PILASTREO]]=AR$2,100%,AVANCE[[#This Row],[PILASTREO]])</f>
        <v>0</v>
      </c>
      <c r="CG664" s="3">
        <f>+IF(AVANCE[[#This Row],[CELOSIAS]]=AS$2,100%,AVANCE[[#This Row],[CELOSIAS]])</f>
        <v>0</v>
      </c>
      <c r="CH664" s="3">
        <f>+IF(AVANCE[[#This Row],[VENTANAS]]=AT$2,100%,AVANCE[[#This Row],[VENTANAS]])</f>
        <v>0</v>
      </c>
      <c r="CI664" s="3">
        <f>+IF(AVANCE[[#This Row],[PUERTAS ACCESO - LOGIA - BANO]]=AU$2,100%,AVANCE[[#This Row],[PUERTAS ACCESO - LOGIA - BANO]])</f>
        <v>0</v>
      </c>
      <c r="CJ664" s="3">
        <f>+IF(AVANCE[[#This Row],[CERRADURAS]]=AV$2,100%,AVANCE[[#This Row],[CERRADURAS]])</f>
        <v>0</v>
      </c>
      <c r="CK664" s="3">
        <f>+IF(AVANCE[[#This Row],[REVESTIMIENTO INTERIOR ZONA SECA]]=AW$2,100%,AVANCE[[#This Row],[REVESTIMIENTO INTERIOR ZONA SECA]])</f>
        <v>0</v>
      </c>
      <c r="CL664" s="3">
        <f>+IF(AVANCE[[#This Row],[REVESTIMIENTO INTERIOR ZONAS HUMEDAS]]=AX$2,100%,AVANCE[[#This Row],[REVESTIMIENTO INTERIOR ZONAS HUMEDAS]])</f>
        <v>0</v>
      </c>
      <c r="CM664" s="3">
        <f>+IF(AVANCE[[#This Row],[MEMBRANA CIELO]]=AY$2,100%,AVANCE[[#This Row],[MEMBRANA CIELO]])</f>
        <v>0</v>
      </c>
      <c r="CN664" s="3">
        <f>+IF(AVANCE[[#This Row],[LIMPIEZA FINAL]]=AZ$2,100%,AVANCE[[#This Row],[LIMPIEZA FINAL]])</f>
        <v>0</v>
      </c>
      <c r="CO664" s="3">
        <f>+IF(AVANCE[[#This Row],[PUERTAS DORMITORIO]]=BA$2,100%,AVANCE[[#This Row],[PUERTAS DORMITORIO]])</f>
        <v>0</v>
      </c>
      <c r="CP664" s="3">
        <f>+IF(AVANCE[[#This Row],[REVESTIMIENTO INTERIOR BANO]]=BB$2,100%,AVANCE[[#This Row],[REVESTIMIENTO INTERIOR BANO]])</f>
        <v>0</v>
      </c>
      <c r="CQ664" s="3">
        <f>+IF(AVANCE[[#This Row],[MUEBLE LAVAPLATOS]]=BC$2,100%,AVANCE[[#This Row],[MUEBLE LAVAPLATOS]])</f>
        <v>0</v>
      </c>
      <c r="CR664" s="3">
        <f>+IF(AVANCE[[#This Row],[IMPERMEABILIZACION BANO - COCINA LOGIA]]=BD$2,100%,AVANCE[[#This Row],[IMPERMEABILIZACION BANO - COCINA LOGIA]])</f>
        <v>0</v>
      </c>
      <c r="CS664" s="40">
        <f ca="1">+IF(AVANCE[[#This Row],[ESTADO MODULO]]="PENDIENTE",(TODAY()-AVANCE[[#This Row],[FECHA TERMINO  PLANIFICADO]]),0)</f>
        <v>0</v>
      </c>
      <c r="CT664" s="41" t="str" cm="1">
        <f t="array" ref="CT664">_xlfn.TEXTJOIN(" | ",TRUE,IF(SUMPRODUCT((BG664:CR664&lt;1)*(PARTIDAS!$I$2:$AT$2="OBRA GRUESA"))&gt;0,"OBRA GRUESA: "&amp;_xlfn.TEXTJOIN(", ",TRUE,IF((BG664:CR664&lt;1)*(PARTIDAS!$I$2:$AT$2="OBRA GRUESA"),PARTIDAS!$I$1:$AT$1,"")),""),IF(SUMPRODUCT((BG664:CR664&lt;1)*(PARTIDAS!$I$2:$AT$2="SANITARIOS"))&gt;0,"SANITARIOS: "&amp;_xlfn.TEXTJOIN(", ",TRUE,IF((BG664:CR664&lt;1)*(PARTIDAS!$I$2:$AT$2="SANITARIOS"),PARTIDAS!$I$1:$AT$1,"")),""),IF(SUMPRODUCT((BG664:CR664&lt;1)*(PARTIDAS!$I$2:$AT$2="ELÉCTRICO"))&gt;0,"ELÉCTRICO: "&amp;_xlfn.TEXTJOIN(", ",TRUE,IF((BG664:CR664&lt;1)*(PARTIDAS!$I$2:$AT$2="ELÉCTRICO"),PARTIDAS!$I$1:$AT$1,"")),""),IF(SUMPRODUCT((BG664:CR664&lt;1)*(PARTIDAS!$I$2:$AT$2="TERMINACIONES"))&gt;0,"TERMINACIONES: "&amp;_xlfn.TEXTJOIN(", ",TRUE,IF((BG664:CR664&lt;1)*(PARTIDAS!$I$2:$AT$2="TERMINACIONES"),PARTIDAS!$I$1:$AT$1,"")),""))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4" s="43" t="str" cm="1">
        <f t="array" ref="CU664">_xlfn.TEXTJOIN(", ",TRUE,IF(SUMPRODUCT((BG664:CR664&lt;1)*(PARTIDAS!$I$2:$AT$2="OBRA GRUESA"))&gt;0,"OBRA GRUESA",""),IF(SUMPRODUCT((BG664:CR664&lt;1)*(PARTIDAS!$I$2:$AT$2="SANITARIOS"))&gt;0,"SANITARIOS",""),IF(SUMPRODUCT((BG664:CR664&lt;1)*(PARTIDAS!$I$2:$AT$2="ELÉCTRICO"))&gt;0,"ELÉCTRICO",""),IF(SUMPRODUCT((BG664:CR664&lt;1)*(PARTIDAS!$I$2:$AT$2="TERMINACIONES"))&gt;0,"TERMINACIONES",""))</f>
        <v>OBRA GRUESA, SANITARIOS, ELÉCTRICO, TERMINACIONES</v>
      </c>
      <c r="CV664" s="44" cm="1">
        <f t="array" ref="CV664">SUMPRODUCT(--(BG664:CR664&lt;1))</f>
        <v>38</v>
      </c>
    </row>
    <row r="665" spans="1:100" hidden="1" x14ac:dyDescent="0.25">
      <c r="A665" t="s">
        <v>718</v>
      </c>
      <c r="B665" t="s">
        <v>742</v>
      </c>
      <c r="C665">
        <v>2282600664</v>
      </c>
      <c r="D665" t="s">
        <v>58</v>
      </c>
      <c r="E665" s="2">
        <v>0</v>
      </c>
      <c r="F665" s="1">
        <v>46469</v>
      </c>
      <c r="G665" s="1"/>
      <c r="H665" s="1">
        <v>0</v>
      </c>
      <c r="I665" s="1">
        <v>46489</v>
      </c>
      <c r="J665">
        <v>46230</v>
      </c>
      <c r="K665" s="1"/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>
        <v>28.87</v>
      </c>
      <c r="BF665" s="3" t="str">
        <f>+IF(AVANCE[[#This Row],[% AVANCE]]=100%,"MODULO TERMINADO",IF(AVANCE[[#This Row],[FECHA INICIO REAL]]="","MODULO NO INICIADO","PENDIENTE"))</f>
        <v>MODULO NO INICIADO</v>
      </c>
      <c r="BG665" s="3">
        <f>+IF(AVANCE[[#This Row],[VENTANAS]]=8.10810810810811%,100%,AVANCE[[#This Row],[VENTANAS]])</f>
        <v>0</v>
      </c>
      <c r="BH665" s="3">
        <f>+IF(AVANCE[[#This Row],[PISO]]=N$2,100%,AVANCE[[#This Row],[PISO]])</f>
        <v>0</v>
      </c>
      <c r="BI665" s="3">
        <f>+IF(AVANCE[[#This Row],[TABIQUES]]=O$2,100%,AVANCE[[#This Row],[TABIQUES]])</f>
        <v>0</v>
      </c>
      <c r="BJ665" s="3">
        <f>+IF(AVANCE[[#This Row],[MUROS]]=P$2,100%,AVANCE[[#This Row],[MUROS]])</f>
        <v>0</v>
      </c>
      <c r="BK665" s="3">
        <f>+IF(AVANCE[[#This Row],[CIELO]]=Q$2,100%,AVANCE[[#This Row],[CIELO]])</f>
        <v>0</v>
      </c>
      <c r="BL665" s="3">
        <f>+IF(AVANCE[[#This Row],[BALCÓN]]=R$2,100%,AVANCE[[#This Row],[BALCÓN]])</f>
        <v>0</v>
      </c>
      <c r="BM665" s="3">
        <f>+IF(AVANCE[[#This Row],[RED ALCANTARILLADO]]=U$2,100%,AVANCE[[#This Row],[RED ALCANTARILLADO]])</f>
        <v>0</v>
      </c>
      <c r="BN665" s="3">
        <f>+IF(AVANCE[[#This Row],[RED DE AGUA]]=V$2,100%,AVANCE[[#This Row],[RED DE AGUA]])</f>
        <v>0</v>
      </c>
      <c r="BO665" s="3">
        <f>+IF(AVANCE[[#This Row],[VENTILACIONES]]=W$2,100%,AVANCE[[#This Row],[VENTILACIONES]])</f>
        <v>0</v>
      </c>
      <c r="BP665" s="3">
        <f>+IF(AVANCE[[#This Row],[TINA]]=X$2,100%,AVANCE[[#This Row],[TINA]])</f>
        <v>0</v>
      </c>
      <c r="BQ665" s="3">
        <f>+IF(AVANCE[[#This Row],[WC]]=Y$2,100%,AVANCE[[#This Row],[WC]])</f>
        <v>0</v>
      </c>
      <c r="BR665" s="3">
        <f>+IF(AVANCE[[#This Row],[LAVAMANOS / LAVAPLATOS / LAVADERO]]=Z$2,100%,AVANCE[[#This Row],[LAVAMANOS / LAVAPLATOS / LAVADERO]])</f>
        <v>0</v>
      </c>
      <c r="BS665" s="3">
        <f>+IF(AVANCE[[#This Row],[CANALIZACIÓN]]=AC$2,100%,AVANCE[[#This Row],[CANALIZACIÓN]])</f>
        <v>0</v>
      </c>
      <c r="BT665" s="3">
        <f>+IF(AVANCE[[#This Row],[CABLEADO]]=AD$2,100%,AVANCE[[#This Row],[CABLEADO]])</f>
        <v>0</v>
      </c>
      <c r="BU665" s="3">
        <f>+IF(AVANCE[[#This Row],[ARTEFACTOS]]=AE$2,100%,AVANCE[[#This Row],[ARTEFACTOS]])</f>
        <v>0</v>
      </c>
      <c r="BV665" s="3">
        <f>+IF(AVANCE[[#This Row],[TABLERO]]=AF$2,100%,AVANCE[[#This Row],[TABLERO]])</f>
        <v>0</v>
      </c>
      <c r="BW665" s="3">
        <f>+IF(AVANCE[[#This Row],[CAJA PAU]]=AG$2,100%,AVANCE[[#This Row],[CAJA PAU]])</f>
        <v>0</v>
      </c>
      <c r="BX665" s="3">
        <f>+IF(AVANCE[[#This Row],[INSTALACION VINILICO]]=AJ$2,100%,AVANCE[[#This Row],[INSTALACION VINILICO]])</f>
        <v>0</v>
      </c>
      <c r="BY665" s="3">
        <f>+IF(AVANCE[[#This Row],[OSB CUBIERTA]]=AK$2,100%,AVANCE[[#This Row],[OSB CUBIERTA]])</f>
        <v>0</v>
      </c>
      <c r="BZ665" s="3">
        <f>+IF(AVANCE[[#This Row],[BARANDA BALCON]]=AL$2,100%,AVANCE[[#This Row],[BARANDA BALCON]])</f>
        <v>0</v>
      </c>
      <c r="CA665" s="3">
        <f>+IF(AVANCE[[#This Row],[OSB EXTERIOR]]=AM$2,100%,AVANCE[[#This Row],[OSB EXTERIOR]])</f>
        <v>0</v>
      </c>
      <c r="CB665" s="3">
        <f>+IF(AVANCE[[#This Row],[SMART PANEL]]=AN$2,100%,AVANCE[[#This Row],[SMART PANEL]])</f>
        <v>0</v>
      </c>
      <c r="CC665" s="3">
        <f>+IF(AVANCE[[#This Row],[PINTURA EXTERIOR]]=AO$2,100%,AVANCE[[#This Row],[PINTURA EXTERIOR]])</f>
        <v>0</v>
      </c>
      <c r="CD665" s="3">
        <f>+IF(AVANCE[[#This Row],[ZOCALOS LOGIA]]=AP$2,100%,AVANCE[[#This Row],[ZOCALOS LOGIA]])</f>
        <v>0</v>
      </c>
      <c r="CE665" s="3">
        <f>+IF(AVANCE[[#This Row],[MOLDURAS]]=AQ$2,100%,AVANCE[[#This Row],[MOLDURAS]])</f>
        <v>0</v>
      </c>
      <c r="CF665" s="3">
        <f>+IF(AVANCE[[#This Row],[PILASTREO]]=AR$2,100%,AVANCE[[#This Row],[PILASTREO]])</f>
        <v>0</v>
      </c>
      <c r="CG665" s="3">
        <f>+IF(AVANCE[[#This Row],[CELOSIAS]]=AS$2,100%,AVANCE[[#This Row],[CELOSIAS]])</f>
        <v>0</v>
      </c>
      <c r="CH665" s="3">
        <f>+IF(AVANCE[[#This Row],[VENTANAS]]=AT$2,100%,AVANCE[[#This Row],[VENTANAS]])</f>
        <v>0</v>
      </c>
      <c r="CI665" s="3">
        <f>+IF(AVANCE[[#This Row],[PUERTAS ACCESO - LOGIA - BANO]]=AU$2,100%,AVANCE[[#This Row],[PUERTAS ACCESO - LOGIA - BANO]])</f>
        <v>0</v>
      </c>
      <c r="CJ665" s="3">
        <f>+IF(AVANCE[[#This Row],[CERRADURAS]]=AV$2,100%,AVANCE[[#This Row],[CERRADURAS]])</f>
        <v>0</v>
      </c>
      <c r="CK665" s="3">
        <f>+IF(AVANCE[[#This Row],[REVESTIMIENTO INTERIOR ZONA SECA]]=AW$2,100%,AVANCE[[#This Row],[REVESTIMIENTO INTERIOR ZONA SECA]])</f>
        <v>0</v>
      </c>
      <c r="CL665" s="3">
        <f>+IF(AVANCE[[#This Row],[REVESTIMIENTO INTERIOR ZONAS HUMEDAS]]=AX$2,100%,AVANCE[[#This Row],[REVESTIMIENTO INTERIOR ZONAS HUMEDAS]])</f>
        <v>0</v>
      </c>
      <c r="CM665" s="3">
        <f>+IF(AVANCE[[#This Row],[MEMBRANA CIELO]]=AY$2,100%,AVANCE[[#This Row],[MEMBRANA CIELO]])</f>
        <v>0</v>
      </c>
      <c r="CN665" s="3">
        <f>+IF(AVANCE[[#This Row],[LIMPIEZA FINAL]]=AZ$2,100%,AVANCE[[#This Row],[LIMPIEZA FINAL]])</f>
        <v>0</v>
      </c>
      <c r="CO665" s="3">
        <f>+IF(AVANCE[[#This Row],[PUERTAS DORMITORIO]]=BA$2,100%,AVANCE[[#This Row],[PUERTAS DORMITORIO]])</f>
        <v>0</v>
      </c>
      <c r="CP665" s="3">
        <f>+IF(AVANCE[[#This Row],[REVESTIMIENTO INTERIOR BANO]]=BB$2,100%,AVANCE[[#This Row],[REVESTIMIENTO INTERIOR BANO]])</f>
        <v>0</v>
      </c>
      <c r="CQ665" s="3">
        <f>+IF(AVANCE[[#This Row],[MUEBLE LAVAPLATOS]]=BC$2,100%,AVANCE[[#This Row],[MUEBLE LAVAPLATOS]])</f>
        <v>0</v>
      </c>
      <c r="CR665" s="3">
        <f>+IF(AVANCE[[#This Row],[IMPERMEABILIZACION BANO - COCINA LOGIA]]=BD$2,100%,AVANCE[[#This Row],[IMPERMEABILIZACION BANO - COCINA LOGIA]])</f>
        <v>0</v>
      </c>
      <c r="CS665" s="40">
        <f ca="1">+IF(AVANCE[[#This Row],[ESTADO MODULO]]="PENDIENTE",(TODAY()-AVANCE[[#This Row],[FECHA TERMINO  PLANIFICADO]]),0)</f>
        <v>0</v>
      </c>
      <c r="CT665" s="41" t="str" cm="1">
        <f t="array" ref="CT665">_xlfn.TEXTJOIN(" | ",TRUE,IF(SUMPRODUCT((BG665:CR665&lt;1)*(PARTIDAS!$I$2:$AT$2="OBRA GRUESA"))&gt;0,"OBRA GRUESA: "&amp;_xlfn.TEXTJOIN(", ",TRUE,IF((BG665:CR665&lt;1)*(PARTIDAS!$I$2:$AT$2="OBRA GRUESA"),PARTIDAS!$I$1:$AT$1,"")),""),IF(SUMPRODUCT((BG665:CR665&lt;1)*(PARTIDAS!$I$2:$AT$2="SANITARIOS"))&gt;0,"SANITARIOS: "&amp;_xlfn.TEXTJOIN(", ",TRUE,IF((BG665:CR665&lt;1)*(PARTIDAS!$I$2:$AT$2="SANITARIOS"),PARTIDAS!$I$1:$AT$1,"")),""),IF(SUMPRODUCT((BG665:CR665&lt;1)*(PARTIDAS!$I$2:$AT$2="ELÉCTRICO"))&gt;0,"ELÉCTRICO: "&amp;_xlfn.TEXTJOIN(", ",TRUE,IF((BG665:CR665&lt;1)*(PARTIDAS!$I$2:$AT$2="ELÉCTRICO"),PARTIDAS!$I$1:$AT$1,"")),""),IF(SUMPRODUCT((BG665:CR665&lt;1)*(PARTIDAS!$I$2:$AT$2="TERMINACIONES"))&gt;0,"TERMINACIONES: "&amp;_xlfn.TEXTJOIN(", ",TRUE,IF((BG665:CR665&lt;1)*(PARTIDAS!$I$2:$AT$2="TERMINACIONES"),PARTIDAS!$I$1:$AT$1,"")),""))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5" s="43" t="str" cm="1">
        <f t="array" ref="CU665">_xlfn.TEXTJOIN(", ",TRUE,IF(SUMPRODUCT((BG665:CR665&lt;1)*(PARTIDAS!$I$2:$AT$2="OBRA GRUESA"))&gt;0,"OBRA GRUESA",""),IF(SUMPRODUCT((BG665:CR665&lt;1)*(PARTIDAS!$I$2:$AT$2="SANITARIOS"))&gt;0,"SANITARIOS",""),IF(SUMPRODUCT((BG665:CR665&lt;1)*(PARTIDAS!$I$2:$AT$2="ELÉCTRICO"))&gt;0,"ELÉCTRICO",""),IF(SUMPRODUCT((BG665:CR665&lt;1)*(PARTIDAS!$I$2:$AT$2="TERMINACIONES"))&gt;0,"TERMINACIONES",""))</f>
        <v>OBRA GRUESA, SANITARIOS, ELÉCTRICO, TERMINACIONES</v>
      </c>
      <c r="CV665" s="44" cm="1">
        <f t="array" ref="CV665">SUMPRODUCT(--(BG665:CR665&lt;1))</f>
        <v>38</v>
      </c>
    </row>
    <row r="666" spans="1:100" hidden="1" x14ac:dyDescent="0.25">
      <c r="A666" t="s">
        <v>718</v>
      </c>
      <c r="B666" t="s">
        <v>743</v>
      </c>
      <c r="C666">
        <v>2282600665</v>
      </c>
      <c r="D666" t="s">
        <v>58</v>
      </c>
      <c r="E666" s="2">
        <v>0</v>
      </c>
      <c r="F666" s="1">
        <v>46470</v>
      </c>
      <c r="G666" s="1"/>
      <c r="H666" s="1">
        <v>0</v>
      </c>
      <c r="I666" s="1">
        <v>46490</v>
      </c>
      <c r="J666">
        <v>46230</v>
      </c>
      <c r="K666" s="1"/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>
        <v>28.87</v>
      </c>
      <c r="BF666" s="3" t="str">
        <f>+IF(AVANCE[[#This Row],[% AVANCE]]=100%,"MODULO TERMINADO",IF(AVANCE[[#This Row],[FECHA INICIO REAL]]="","MODULO NO INICIADO","PENDIENTE"))</f>
        <v>MODULO NO INICIADO</v>
      </c>
      <c r="BG666" s="3">
        <f>+IF(AVANCE[[#This Row],[VENTANAS]]=8.10810810810811%,100%,AVANCE[[#This Row],[VENTANAS]])</f>
        <v>0</v>
      </c>
      <c r="BH666" s="3">
        <f>+IF(AVANCE[[#This Row],[PISO]]=N$2,100%,AVANCE[[#This Row],[PISO]])</f>
        <v>0</v>
      </c>
      <c r="BI666" s="3">
        <f>+IF(AVANCE[[#This Row],[TABIQUES]]=O$2,100%,AVANCE[[#This Row],[TABIQUES]])</f>
        <v>0</v>
      </c>
      <c r="BJ666" s="3">
        <f>+IF(AVANCE[[#This Row],[MUROS]]=P$2,100%,AVANCE[[#This Row],[MUROS]])</f>
        <v>0</v>
      </c>
      <c r="BK666" s="3">
        <f>+IF(AVANCE[[#This Row],[CIELO]]=Q$2,100%,AVANCE[[#This Row],[CIELO]])</f>
        <v>0</v>
      </c>
      <c r="BL666" s="3">
        <f>+IF(AVANCE[[#This Row],[BALCÓN]]=R$2,100%,AVANCE[[#This Row],[BALCÓN]])</f>
        <v>0</v>
      </c>
      <c r="BM666" s="3">
        <f>+IF(AVANCE[[#This Row],[RED ALCANTARILLADO]]=U$2,100%,AVANCE[[#This Row],[RED ALCANTARILLADO]])</f>
        <v>0</v>
      </c>
      <c r="BN666" s="3">
        <f>+IF(AVANCE[[#This Row],[RED DE AGUA]]=V$2,100%,AVANCE[[#This Row],[RED DE AGUA]])</f>
        <v>0</v>
      </c>
      <c r="BO666" s="3">
        <f>+IF(AVANCE[[#This Row],[VENTILACIONES]]=W$2,100%,AVANCE[[#This Row],[VENTILACIONES]])</f>
        <v>0</v>
      </c>
      <c r="BP666" s="3">
        <f>+IF(AVANCE[[#This Row],[TINA]]=X$2,100%,AVANCE[[#This Row],[TINA]])</f>
        <v>0</v>
      </c>
      <c r="BQ666" s="3">
        <f>+IF(AVANCE[[#This Row],[WC]]=Y$2,100%,AVANCE[[#This Row],[WC]])</f>
        <v>0</v>
      </c>
      <c r="BR666" s="3">
        <f>+IF(AVANCE[[#This Row],[LAVAMANOS / LAVAPLATOS / LAVADERO]]=Z$2,100%,AVANCE[[#This Row],[LAVAMANOS / LAVAPLATOS / LAVADERO]])</f>
        <v>0</v>
      </c>
      <c r="BS666" s="3">
        <f>+IF(AVANCE[[#This Row],[CANALIZACIÓN]]=AC$2,100%,AVANCE[[#This Row],[CANALIZACIÓN]])</f>
        <v>0</v>
      </c>
      <c r="BT666" s="3">
        <f>+IF(AVANCE[[#This Row],[CABLEADO]]=AD$2,100%,AVANCE[[#This Row],[CABLEADO]])</f>
        <v>0</v>
      </c>
      <c r="BU666" s="3">
        <f>+IF(AVANCE[[#This Row],[ARTEFACTOS]]=AE$2,100%,AVANCE[[#This Row],[ARTEFACTOS]])</f>
        <v>0</v>
      </c>
      <c r="BV666" s="3">
        <f>+IF(AVANCE[[#This Row],[TABLERO]]=AF$2,100%,AVANCE[[#This Row],[TABLERO]])</f>
        <v>0</v>
      </c>
      <c r="BW666" s="3">
        <f>+IF(AVANCE[[#This Row],[CAJA PAU]]=AG$2,100%,AVANCE[[#This Row],[CAJA PAU]])</f>
        <v>0</v>
      </c>
      <c r="BX666" s="3">
        <f>+IF(AVANCE[[#This Row],[INSTALACION VINILICO]]=AJ$2,100%,AVANCE[[#This Row],[INSTALACION VINILICO]])</f>
        <v>0</v>
      </c>
      <c r="BY666" s="3">
        <f>+IF(AVANCE[[#This Row],[OSB CUBIERTA]]=AK$2,100%,AVANCE[[#This Row],[OSB CUBIERTA]])</f>
        <v>0</v>
      </c>
      <c r="BZ666" s="3">
        <f>+IF(AVANCE[[#This Row],[BARANDA BALCON]]=AL$2,100%,AVANCE[[#This Row],[BARANDA BALCON]])</f>
        <v>0</v>
      </c>
      <c r="CA666" s="3">
        <f>+IF(AVANCE[[#This Row],[OSB EXTERIOR]]=AM$2,100%,AVANCE[[#This Row],[OSB EXTERIOR]])</f>
        <v>0</v>
      </c>
      <c r="CB666" s="3">
        <f>+IF(AVANCE[[#This Row],[SMART PANEL]]=AN$2,100%,AVANCE[[#This Row],[SMART PANEL]])</f>
        <v>0</v>
      </c>
      <c r="CC666" s="3">
        <f>+IF(AVANCE[[#This Row],[PINTURA EXTERIOR]]=AO$2,100%,AVANCE[[#This Row],[PINTURA EXTERIOR]])</f>
        <v>0</v>
      </c>
      <c r="CD666" s="3">
        <f>+IF(AVANCE[[#This Row],[ZOCALOS LOGIA]]=AP$2,100%,AVANCE[[#This Row],[ZOCALOS LOGIA]])</f>
        <v>0</v>
      </c>
      <c r="CE666" s="3">
        <f>+IF(AVANCE[[#This Row],[MOLDURAS]]=AQ$2,100%,AVANCE[[#This Row],[MOLDURAS]])</f>
        <v>0</v>
      </c>
      <c r="CF666" s="3">
        <f>+IF(AVANCE[[#This Row],[PILASTREO]]=AR$2,100%,AVANCE[[#This Row],[PILASTREO]])</f>
        <v>0</v>
      </c>
      <c r="CG666" s="3">
        <f>+IF(AVANCE[[#This Row],[CELOSIAS]]=AS$2,100%,AVANCE[[#This Row],[CELOSIAS]])</f>
        <v>0</v>
      </c>
      <c r="CH666" s="3">
        <f>+IF(AVANCE[[#This Row],[VENTANAS]]=AT$2,100%,AVANCE[[#This Row],[VENTANAS]])</f>
        <v>0</v>
      </c>
      <c r="CI666" s="3">
        <f>+IF(AVANCE[[#This Row],[PUERTAS ACCESO - LOGIA - BANO]]=AU$2,100%,AVANCE[[#This Row],[PUERTAS ACCESO - LOGIA - BANO]])</f>
        <v>0</v>
      </c>
      <c r="CJ666" s="3">
        <f>+IF(AVANCE[[#This Row],[CERRADURAS]]=AV$2,100%,AVANCE[[#This Row],[CERRADURAS]])</f>
        <v>0</v>
      </c>
      <c r="CK666" s="3">
        <f>+IF(AVANCE[[#This Row],[REVESTIMIENTO INTERIOR ZONA SECA]]=AW$2,100%,AVANCE[[#This Row],[REVESTIMIENTO INTERIOR ZONA SECA]])</f>
        <v>0</v>
      </c>
      <c r="CL666" s="3">
        <f>+IF(AVANCE[[#This Row],[REVESTIMIENTO INTERIOR ZONAS HUMEDAS]]=AX$2,100%,AVANCE[[#This Row],[REVESTIMIENTO INTERIOR ZONAS HUMEDAS]])</f>
        <v>0</v>
      </c>
      <c r="CM666" s="3">
        <f>+IF(AVANCE[[#This Row],[MEMBRANA CIELO]]=AY$2,100%,AVANCE[[#This Row],[MEMBRANA CIELO]])</f>
        <v>0</v>
      </c>
      <c r="CN666" s="3">
        <f>+IF(AVANCE[[#This Row],[LIMPIEZA FINAL]]=AZ$2,100%,AVANCE[[#This Row],[LIMPIEZA FINAL]])</f>
        <v>0</v>
      </c>
      <c r="CO666" s="3">
        <f>+IF(AVANCE[[#This Row],[PUERTAS DORMITORIO]]=BA$2,100%,AVANCE[[#This Row],[PUERTAS DORMITORIO]])</f>
        <v>0</v>
      </c>
      <c r="CP666" s="3">
        <f>+IF(AVANCE[[#This Row],[REVESTIMIENTO INTERIOR BANO]]=BB$2,100%,AVANCE[[#This Row],[REVESTIMIENTO INTERIOR BANO]])</f>
        <v>0</v>
      </c>
      <c r="CQ666" s="3">
        <f>+IF(AVANCE[[#This Row],[MUEBLE LAVAPLATOS]]=BC$2,100%,AVANCE[[#This Row],[MUEBLE LAVAPLATOS]])</f>
        <v>0</v>
      </c>
      <c r="CR666" s="3">
        <f>+IF(AVANCE[[#This Row],[IMPERMEABILIZACION BANO - COCINA LOGIA]]=BD$2,100%,AVANCE[[#This Row],[IMPERMEABILIZACION BANO - COCINA LOGIA]])</f>
        <v>0</v>
      </c>
      <c r="CS666" s="40">
        <f ca="1">+IF(AVANCE[[#This Row],[ESTADO MODULO]]="PENDIENTE",(TODAY()-AVANCE[[#This Row],[FECHA TERMINO  PLANIFICADO]]),0)</f>
        <v>0</v>
      </c>
      <c r="CT666" s="41" t="str" cm="1">
        <f t="array" ref="CT666">_xlfn.TEXTJOIN(" | ",TRUE,IF(SUMPRODUCT((BG666:CR666&lt;1)*(PARTIDAS!$I$2:$AT$2="OBRA GRUESA"))&gt;0,"OBRA GRUESA: "&amp;_xlfn.TEXTJOIN(", ",TRUE,IF((BG666:CR666&lt;1)*(PARTIDAS!$I$2:$AT$2="OBRA GRUESA"),PARTIDAS!$I$1:$AT$1,"")),""),IF(SUMPRODUCT((BG666:CR666&lt;1)*(PARTIDAS!$I$2:$AT$2="SANITARIOS"))&gt;0,"SANITARIOS: "&amp;_xlfn.TEXTJOIN(", ",TRUE,IF((BG666:CR666&lt;1)*(PARTIDAS!$I$2:$AT$2="SANITARIOS"),PARTIDAS!$I$1:$AT$1,"")),""),IF(SUMPRODUCT((BG666:CR666&lt;1)*(PARTIDAS!$I$2:$AT$2="ELÉCTRICO"))&gt;0,"ELÉCTRICO: "&amp;_xlfn.TEXTJOIN(", ",TRUE,IF((BG666:CR666&lt;1)*(PARTIDAS!$I$2:$AT$2="ELÉCTRICO"),PARTIDAS!$I$1:$AT$1,"")),""),IF(SUMPRODUCT((BG666:CR666&lt;1)*(PARTIDAS!$I$2:$AT$2="TERMINACIONES"))&gt;0,"TERMINACIONES: "&amp;_xlfn.TEXTJOIN(", ",TRUE,IF((BG666:CR666&lt;1)*(PARTIDAS!$I$2:$AT$2="TERMINACIONES"),PARTIDAS!$I$1:$AT$1,"")),""))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6" s="43" t="str" cm="1">
        <f t="array" ref="CU666">_xlfn.TEXTJOIN(", ",TRUE,IF(SUMPRODUCT((BG666:CR666&lt;1)*(PARTIDAS!$I$2:$AT$2="OBRA GRUESA"))&gt;0,"OBRA GRUESA",""),IF(SUMPRODUCT((BG666:CR666&lt;1)*(PARTIDAS!$I$2:$AT$2="SANITARIOS"))&gt;0,"SANITARIOS",""),IF(SUMPRODUCT((BG666:CR666&lt;1)*(PARTIDAS!$I$2:$AT$2="ELÉCTRICO"))&gt;0,"ELÉCTRICO",""),IF(SUMPRODUCT((BG666:CR666&lt;1)*(PARTIDAS!$I$2:$AT$2="TERMINACIONES"))&gt;0,"TERMINACIONES",""))</f>
        <v>OBRA GRUESA, SANITARIOS, ELÉCTRICO, TERMINACIONES</v>
      </c>
      <c r="CV666" s="44" cm="1">
        <f t="array" ref="CV666">SUMPRODUCT(--(BG666:CR666&lt;1))</f>
        <v>38</v>
      </c>
    </row>
    <row r="667" spans="1:100" hidden="1" x14ac:dyDescent="0.25">
      <c r="A667" t="s">
        <v>718</v>
      </c>
      <c r="B667" t="s">
        <v>744</v>
      </c>
      <c r="C667">
        <v>2302600666</v>
      </c>
      <c r="D667" t="s">
        <v>60</v>
      </c>
      <c r="E667" s="2">
        <v>0</v>
      </c>
      <c r="F667" s="1">
        <v>46470</v>
      </c>
      <c r="G667" s="1"/>
      <c r="H667" s="1">
        <v>0</v>
      </c>
      <c r="I667" s="1">
        <v>46500</v>
      </c>
      <c r="J667">
        <v>46230</v>
      </c>
      <c r="K667" s="1"/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>
        <v>31.32</v>
      </c>
      <c r="BF667" s="3" t="str">
        <f>+IF(AVANCE[[#This Row],[% AVANCE]]=100%,"MODULO TERMINADO",IF(AVANCE[[#This Row],[FECHA INICIO REAL]]="","MODULO NO INICIADO","PENDIENTE"))</f>
        <v>MODULO NO INICIADO</v>
      </c>
      <c r="BG667" s="3">
        <f>+IF(AVANCE[[#This Row],[VENTANAS]]=8.10810810810811%,100%,AVANCE[[#This Row],[VENTANAS]])</f>
        <v>0</v>
      </c>
      <c r="BH667" s="3">
        <f>+IF(AVANCE[[#This Row],[PISO]]=N$2,100%,AVANCE[[#This Row],[PISO]])</f>
        <v>0</v>
      </c>
      <c r="BI667" s="3">
        <f>+IF(AVANCE[[#This Row],[TABIQUES]]=O$2,100%,AVANCE[[#This Row],[TABIQUES]])</f>
        <v>0</v>
      </c>
      <c r="BJ667" s="3">
        <f>+IF(AVANCE[[#This Row],[MUROS]]=P$2,100%,AVANCE[[#This Row],[MUROS]])</f>
        <v>0</v>
      </c>
      <c r="BK667" s="3">
        <f>+IF(AVANCE[[#This Row],[CIELO]]=Q$2,100%,AVANCE[[#This Row],[CIELO]])</f>
        <v>0</v>
      </c>
      <c r="BL667" s="3">
        <f>+IF(AVANCE[[#This Row],[BALCÓN]]=R$2,100%,AVANCE[[#This Row],[BALCÓN]])</f>
        <v>0</v>
      </c>
      <c r="BM667" s="3">
        <f>+IF(AVANCE[[#This Row],[RED ALCANTARILLADO]]=U$2,100%,AVANCE[[#This Row],[RED ALCANTARILLADO]])</f>
        <v>0</v>
      </c>
      <c r="BN667" s="3">
        <f>+IF(AVANCE[[#This Row],[RED DE AGUA]]=V$2,100%,AVANCE[[#This Row],[RED DE AGUA]])</f>
        <v>0</v>
      </c>
      <c r="BO667" s="3">
        <f>+IF(AVANCE[[#This Row],[VENTILACIONES]]=W$2,100%,AVANCE[[#This Row],[VENTILACIONES]])</f>
        <v>0</v>
      </c>
      <c r="BP667" s="3">
        <f>+IF(AVANCE[[#This Row],[TINA]]=X$2,100%,AVANCE[[#This Row],[TINA]])</f>
        <v>0</v>
      </c>
      <c r="BQ667" s="3">
        <f>+IF(AVANCE[[#This Row],[WC]]=Y$2,100%,AVANCE[[#This Row],[WC]])</f>
        <v>0</v>
      </c>
      <c r="BR667" s="3">
        <f>+IF(AVANCE[[#This Row],[LAVAMANOS / LAVAPLATOS / LAVADERO]]=Z$2,100%,AVANCE[[#This Row],[LAVAMANOS / LAVAPLATOS / LAVADERO]])</f>
        <v>0</v>
      </c>
      <c r="BS667" s="3">
        <f>+IF(AVANCE[[#This Row],[CANALIZACIÓN]]=AC$2,100%,AVANCE[[#This Row],[CANALIZACIÓN]])</f>
        <v>0</v>
      </c>
      <c r="BT667" s="3">
        <f>+IF(AVANCE[[#This Row],[CABLEADO]]=AD$2,100%,AVANCE[[#This Row],[CABLEADO]])</f>
        <v>0</v>
      </c>
      <c r="BU667" s="3">
        <f>+IF(AVANCE[[#This Row],[ARTEFACTOS]]=AE$2,100%,AVANCE[[#This Row],[ARTEFACTOS]])</f>
        <v>0</v>
      </c>
      <c r="BV667" s="3">
        <f>+IF(AVANCE[[#This Row],[TABLERO]]=AF$2,100%,AVANCE[[#This Row],[TABLERO]])</f>
        <v>0</v>
      </c>
      <c r="BW667" s="3">
        <f>+IF(AVANCE[[#This Row],[CAJA PAU]]=AG$2,100%,AVANCE[[#This Row],[CAJA PAU]])</f>
        <v>0</v>
      </c>
      <c r="BX667" s="3">
        <f>+IF(AVANCE[[#This Row],[INSTALACION VINILICO]]=AJ$2,100%,AVANCE[[#This Row],[INSTALACION VINILICO]])</f>
        <v>0</v>
      </c>
      <c r="BY667" s="3">
        <f>+IF(AVANCE[[#This Row],[OSB CUBIERTA]]=AK$2,100%,AVANCE[[#This Row],[OSB CUBIERTA]])</f>
        <v>0</v>
      </c>
      <c r="BZ667" s="3">
        <f>+IF(AVANCE[[#This Row],[BARANDA BALCON]]=AL$2,100%,AVANCE[[#This Row],[BARANDA BALCON]])</f>
        <v>0</v>
      </c>
      <c r="CA667" s="3">
        <f>+IF(AVANCE[[#This Row],[OSB EXTERIOR]]=AM$2,100%,AVANCE[[#This Row],[OSB EXTERIOR]])</f>
        <v>0</v>
      </c>
      <c r="CB667" s="3">
        <f>+IF(AVANCE[[#This Row],[SMART PANEL]]=AN$2,100%,AVANCE[[#This Row],[SMART PANEL]])</f>
        <v>0</v>
      </c>
      <c r="CC667" s="3">
        <f>+IF(AVANCE[[#This Row],[PINTURA EXTERIOR]]=AO$2,100%,AVANCE[[#This Row],[PINTURA EXTERIOR]])</f>
        <v>0</v>
      </c>
      <c r="CD667" s="3">
        <f>+IF(AVANCE[[#This Row],[ZOCALOS LOGIA]]=AP$2,100%,AVANCE[[#This Row],[ZOCALOS LOGIA]])</f>
        <v>0</v>
      </c>
      <c r="CE667" s="3">
        <f>+IF(AVANCE[[#This Row],[MOLDURAS]]=AQ$2,100%,AVANCE[[#This Row],[MOLDURAS]])</f>
        <v>0</v>
      </c>
      <c r="CF667" s="3">
        <f>+IF(AVANCE[[#This Row],[PILASTREO]]=AR$2,100%,AVANCE[[#This Row],[PILASTREO]])</f>
        <v>0</v>
      </c>
      <c r="CG667" s="3">
        <f>+IF(AVANCE[[#This Row],[CELOSIAS]]=AS$2,100%,AVANCE[[#This Row],[CELOSIAS]])</f>
        <v>0</v>
      </c>
      <c r="CH667" s="3">
        <f>+IF(AVANCE[[#This Row],[VENTANAS]]=AT$2,100%,AVANCE[[#This Row],[VENTANAS]])</f>
        <v>0</v>
      </c>
      <c r="CI667" s="3">
        <f>+IF(AVANCE[[#This Row],[PUERTAS ACCESO - LOGIA - BANO]]=AU$2,100%,AVANCE[[#This Row],[PUERTAS ACCESO - LOGIA - BANO]])</f>
        <v>0</v>
      </c>
      <c r="CJ667" s="3">
        <f>+IF(AVANCE[[#This Row],[CERRADURAS]]=AV$2,100%,AVANCE[[#This Row],[CERRADURAS]])</f>
        <v>0</v>
      </c>
      <c r="CK667" s="3">
        <f>+IF(AVANCE[[#This Row],[REVESTIMIENTO INTERIOR ZONA SECA]]=AW$2,100%,AVANCE[[#This Row],[REVESTIMIENTO INTERIOR ZONA SECA]])</f>
        <v>0</v>
      </c>
      <c r="CL667" s="3">
        <f>+IF(AVANCE[[#This Row],[REVESTIMIENTO INTERIOR ZONAS HUMEDAS]]=AX$2,100%,AVANCE[[#This Row],[REVESTIMIENTO INTERIOR ZONAS HUMEDAS]])</f>
        <v>0</v>
      </c>
      <c r="CM667" s="3">
        <f>+IF(AVANCE[[#This Row],[MEMBRANA CIELO]]=AY$2,100%,AVANCE[[#This Row],[MEMBRANA CIELO]])</f>
        <v>0</v>
      </c>
      <c r="CN667" s="3">
        <f>+IF(AVANCE[[#This Row],[LIMPIEZA FINAL]]=AZ$2,100%,AVANCE[[#This Row],[LIMPIEZA FINAL]])</f>
        <v>0</v>
      </c>
      <c r="CO667" s="3">
        <f>+IF(AVANCE[[#This Row],[PUERTAS DORMITORIO]]=BA$2,100%,AVANCE[[#This Row],[PUERTAS DORMITORIO]])</f>
        <v>0</v>
      </c>
      <c r="CP667" s="3">
        <f>+IF(AVANCE[[#This Row],[REVESTIMIENTO INTERIOR BANO]]=BB$2,100%,AVANCE[[#This Row],[REVESTIMIENTO INTERIOR BANO]])</f>
        <v>0</v>
      </c>
      <c r="CQ667" s="3">
        <f>+IF(AVANCE[[#This Row],[MUEBLE LAVAPLATOS]]=BC$2,100%,AVANCE[[#This Row],[MUEBLE LAVAPLATOS]])</f>
        <v>0</v>
      </c>
      <c r="CR667" s="3">
        <f>+IF(AVANCE[[#This Row],[IMPERMEABILIZACION BANO - COCINA LOGIA]]=BD$2,100%,AVANCE[[#This Row],[IMPERMEABILIZACION BANO - COCINA LOGIA]])</f>
        <v>0</v>
      </c>
      <c r="CS667" s="40">
        <f ca="1">+IF(AVANCE[[#This Row],[ESTADO MODULO]]="PENDIENTE",(TODAY()-AVANCE[[#This Row],[FECHA TERMINO  PLANIFICADO]]),0)</f>
        <v>0</v>
      </c>
      <c r="CT667" s="41" t="str" cm="1">
        <f t="array" ref="CT667">_xlfn.TEXTJOIN(" | ",TRUE,IF(SUMPRODUCT((BG667:CR667&lt;1)*(PARTIDAS!$I$2:$AT$2="OBRA GRUESA"))&gt;0,"OBRA GRUESA: "&amp;_xlfn.TEXTJOIN(", ",TRUE,IF((BG667:CR667&lt;1)*(PARTIDAS!$I$2:$AT$2="OBRA GRUESA"),PARTIDAS!$I$1:$AT$1,"")),""),IF(SUMPRODUCT((BG667:CR667&lt;1)*(PARTIDAS!$I$2:$AT$2="SANITARIOS"))&gt;0,"SANITARIOS: "&amp;_xlfn.TEXTJOIN(", ",TRUE,IF((BG667:CR667&lt;1)*(PARTIDAS!$I$2:$AT$2="SANITARIOS"),PARTIDAS!$I$1:$AT$1,"")),""),IF(SUMPRODUCT((BG667:CR667&lt;1)*(PARTIDAS!$I$2:$AT$2="ELÉCTRICO"))&gt;0,"ELÉCTRICO: "&amp;_xlfn.TEXTJOIN(", ",TRUE,IF((BG667:CR667&lt;1)*(PARTIDAS!$I$2:$AT$2="ELÉCTRICO"),PARTIDAS!$I$1:$AT$1,"")),""),IF(SUMPRODUCT((BG667:CR667&lt;1)*(PARTIDAS!$I$2:$AT$2="TERMINACIONES"))&gt;0,"TERMINACIONES: "&amp;_xlfn.TEXTJOIN(", ",TRUE,IF((BG667:CR667&lt;1)*(PARTIDAS!$I$2:$AT$2="TERMINACIONES"),PARTIDAS!$I$1:$AT$1,"")),""))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7" s="43" t="str" cm="1">
        <f t="array" ref="CU667">_xlfn.TEXTJOIN(", ",TRUE,IF(SUMPRODUCT((BG667:CR667&lt;1)*(PARTIDAS!$I$2:$AT$2="OBRA GRUESA"))&gt;0,"OBRA GRUESA",""),IF(SUMPRODUCT((BG667:CR667&lt;1)*(PARTIDAS!$I$2:$AT$2="SANITARIOS"))&gt;0,"SANITARIOS",""),IF(SUMPRODUCT((BG667:CR667&lt;1)*(PARTIDAS!$I$2:$AT$2="ELÉCTRICO"))&gt;0,"ELÉCTRICO",""),IF(SUMPRODUCT((BG667:CR667&lt;1)*(PARTIDAS!$I$2:$AT$2="TERMINACIONES"))&gt;0,"TERMINACIONES",""))</f>
        <v>OBRA GRUESA, SANITARIOS, ELÉCTRICO, TERMINACIONES</v>
      </c>
      <c r="CV667" s="44" cm="1">
        <f t="array" ref="CV667">SUMPRODUCT(--(BG667:CR667&lt;1))</f>
        <v>38</v>
      </c>
    </row>
    <row r="668" spans="1:100" hidden="1" x14ac:dyDescent="0.25">
      <c r="A668" t="s">
        <v>718</v>
      </c>
      <c r="B668" t="s">
        <v>745</v>
      </c>
      <c r="C668">
        <v>2302600667</v>
      </c>
      <c r="D668" t="s">
        <v>60</v>
      </c>
      <c r="E668" s="2">
        <v>0</v>
      </c>
      <c r="F668" s="1">
        <v>46470</v>
      </c>
      <c r="G668" s="1"/>
      <c r="H668" s="1">
        <v>0</v>
      </c>
      <c r="I668" s="1">
        <v>46500</v>
      </c>
      <c r="J668">
        <v>46230</v>
      </c>
      <c r="K668" s="1"/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>
        <v>31.32</v>
      </c>
      <c r="BF668" s="3" t="str">
        <f>+IF(AVANCE[[#This Row],[% AVANCE]]=100%,"MODULO TERMINADO",IF(AVANCE[[#This Row],[FECHA INICIO REAL]]="","MODULO NO INICIADO","PENDIENTE"))</f>
        <v>MODULO NO INICIADO</v>
      </c>
      <c r="BG668" s="3">
        <f>+IF(AVANCE[[#This Row],[VENTANAS]]=8.10810810810811%,100%,AVANCE[[#This Row],[VENTANAS]])</f>
        <v>0</v>
      </c>
      <c r="BH668" s="3">
        <f>+IF(AVANCE[[#This Row],[PISO]]=N$2,100%,AVANCE[[#This Row],[PISO]])</f>
        <v>0</v>
      </c>
      <c r="BI668" s="3">
        <f>+IF(AVANCE[[#This Row],[TABIQUES]]=O$2,100%,AVANCE[[#This Row],[TABIQUES]])</f>
        <v>0</v>
      </c>
      <c r="BJ668" s="3">
        <f>+IF(AVANCE[[#This Row],[MUROS]]=P$2,100%,AVANCE[[#This Row],[MUROS]])</f>
        <v>0</v>
      </c>
      <c r="BK668" s="3">
        <f>+IF(AVANCE[[#This Row],[CIELO]]=Q$2,100%,AVANCE[[#This Row],[CIELO]])</f>
        <v>0</v>
      </c>
      <c r="BL668" s="3">
        <f>+IF(AVANCE[[#This Row],[BALCÓN]]=R$2,100%,AVANCE[[#This Row],[BALCÓN]])</f>
        <v>0</v>
      </c>
      <c r="BM668" s="3">
        <f>+IF(AVANCE[[#This Row],[RED ALCANTARILLADO]]=U$2,100%,AVANCE[[#This Row],[RED ALCANTARILLADO]])</f>
        <v>0</v>
      </c>
      <c r="BN668" s="3">
        <f>+IF(AVANCE[[#This Row],[RED DE AGUA]]=V$2,100%,AVANCE[[#This Row],[RED DE AGUA]])</f>
        <v>0</v>
      </c>
      <c r="BO668" s="3">
        <f>+IF(AVANCE[[#This Row],[VENTILACIONES]]=W$2,100%,AVANCE[[#This Row],[VENTILACIONES]])</f>
        <v>0</v>
      </c>
      <c r="BP668" s="3">
        <f>+IF(AVANCE[[#This Row],[TINA]]=X$2,100%,AVANCE[[#This Row],[TINA]])</f>
        <v>0</v>
      </c>
      <c r="BQ668" s="3">
        <f>+IF(AVANCE[[#This Row],[WC]]=Y$2,100%,AVANCE[[#This Row],[WC]])</f>
        <v>0</v>
      </c>
      <c r="BR668" s="3">
        <f>+IF(AVANCE[[#This Row],[LAVAMANOS / LAVAPLATOS / LAVADERO]]=Z$2,100%,AVANCE[[#This Row],[LAVAMANOS / LAVAPLATOS / LAVADERO]])</f>
        <v>0</v>
      </c>
      <c r="BS668" s="3">
        <f>+IF(AVANCE[[#This Row],[CANALIZACIÓN]]=AC$2,100%,AVANCE[[#This Row],[CANALIZACIÓN]])</f>
        <v>0</v>
      </c>
      <c r="BT668" s="3">
        <f>+IF(AVANCE[[#This Row],[CABLEADO]]=AD$2,100%,AVANCE[[#This Row],[CABLEADO]])</f>
        <v>0</v>
      </c>
      <c r="BU668" s="3">
        <f>+IF(AVANCE[[#This Row],[ARTEFACTOS]]=AE$2,100%,AVANCE[[#This Row],[ARTEFACTOS]])</f>
        <v>0</v>
      </c>
      <c r="BV668" s="3">
        <f>+IF(AVANCE[[#This Row],[TABLERO]]=AF$2,100%,AVANCE[[#This Row],[TABLERO]])</f>
        <v>0</v>
      </c>
      <c r="BW668" s="3">
        <f>+IF(AVANCE[[#This Row],[CAJA PAU]]=AG$2,100%,AVANCE[[#This Row],[CAJA PAU]])</f>
        <v>0</v>
      </c>
      <c r="BX668" s="3">
        <f>+IF(AVANCE[[#This Row],[INSTALACION VINILICO]]=AJ$2,100%,AVANCE[[#This Row],[INSTALACION VINILICO]])</f>
        <v>0</v>
      </c>
      <c r="BY668" s="3">
        <f>+IF(AVANCE[[#This Row],[OSB CUBIERTA]]=AK$2,100%,AVANCE[[#This Row],[OSB CUBIERTA]])</f>
        <v>0</v>
      </c>
      <c r="BZ668" s="3">
        <f>+IF(AVANCE[[#This Row],[BARANDA BALCON]]=AL$2,100%,AVANCE[[#This Row],[BARANDA BALCON]])</f>
        <v>0</v>
      </c>
      <c r="CA668" s="3">
        <f>+IF(AVANCE[[#This Row],[OSB EXTERIOR]]=AM$2,100%,AVANCE[[#This Row],[OSB EXTERIOR]])</f>
        <v>0</v>
      </c>
      <c r="CB668" s="3">
        <f>+IF(AVANCE[[#This Row],[SMART PANEL]]=AN$2,100%,AVANCE[[#This Row],[SMART PANEL]])</f>
        <v>0</v>
      </c>
      <c r="CC668" s="3">
        <f>+IF(AVANCE[[#This Row],[PINTURA EXTERIOR]]=AO$2,100%,AVANCE[[#This Row],[PINTURA EXTERIOR]])</f>
        <v>0</v>
      </c>
      <c r="CD668" s="3">
        <f>+IF(AVANCE[[#This Row],[ZOCALOS LOGIA]]=AP$2,100%,AVANCE[[#This Row],[ZOCALOS LOGIA]])</f>
        <v>0</v>
      </c>
      <c r="CE668" s="3">
        <f>+IF(AVANCE[[#This Row],[MOLDURAS]]=AQ$2,100%,AVANCE[[#This Row],[MOLDURAS]])</f>
        <v>0</v>
      </c>
      <c r="CF668" s="3">
        <f>+IF(AVANCE[[#This Row],[PILASTREO]]=AR$2,100%,AVANCE[[#This Row],[PILASTREO]])</f>
        <v>0</v>
      </c>
      <c r="CG668" s="3">
        <f>+IF(AVANCE[[#This Row],[CELOSIAS]]=AS$2,100%,AVANCE[[#This Row],[CELOSIAS]])</f>
        <v>0</v>
      </c>
      <c r="CH668" s="3">
        <f>+IF(AVANCE[[#This Row],[VENTANAS]]=AT$2,100%,AVANCE[[#This Row],[VENTANAS]])</f>
        <v>0</v>
      </c>
      <c r="CI668" s="3">
        <f>+IF(AVANCE[[#This Row],[PUERTAS ACCESO - LOGIA - BANO]]=AU$2,100%,AVANCE[[#This Row],[PUERTAS ACCESO - LOGIA - BANO]])</f>
        <v>0</v>
      </c>
      <c r="CJ668" s="3">
        <f>+IF(AVANCE[[#This Row],[CERRADURAS]]=AV$2,100%,AVANCE[[#This Row],[CERRADURAS]])</f>
        <v>0</v>
      </c>
      <c r="CK668" s="3">
        <f>+IF(AVANCE[[#This Row],[REVESTIMIENTO INTERIOR ZONA SECA]]=AW$2,100%,AVANCE[[#This Row],[REVESTIMIENTO INTERIOR ZONA SECA]])</f>
        <v>0</v>
      </c>
      <c r="CL668" s="3">
        <f>+IF(AVANCE[[#This Row],[REVESTIMIENTO INTERIOR ZONAS HUMEDAS]]=AX$2,100%,AVANCE[[#This Row],[REVESTIMIENTO INTERIOR ZONAS HUMEDAS]])</f>
        <v>0</v>
      </c>
      <c r="CM668" s="3">
        <f>+IF(AVANCE[[#This Row],[MEMBRANA CIELO]]=AY$2,100%,AVANCE[[#This Row],[MEMBRANA CIELO]])</f>
        <v>0</v>
      </c>
      <c r="CN668" s="3">
        <f>+IF(AVANCE[[#This Row],[LIMPIEZA FINAL]]=AZ$2,100%,AVANCE[[#This Row],[LIMPIEZA FINAL]])</f>
        <v>0</v>
      </c>
      <c r="CO668" s="3">
        <f>+IF(AVANCE[[#This Row],[PUERTAS DORMITORIO]]=BA$2,100%,AVANCE[[#This Row],[PUERTAS DORMITORIO]])</f>
        <v>0</v>
      </c>
      <c r="CP668" s="3">
        <f>+IF(AVANCE[[#This Row],[REVESTIMIENTO INTERIOR BANO]]=BB$2,100%,AVANCE[[#This Row],[REVESTIMIENTO INTERIOR BANO]])</f>
        <v>0</v>
      </c>
      <c r="CQ668" s="3">
        <f>+IF(AVANCE[[#This Row],[MUEBLE LAVAPLATOS]]=BC$2,100%,AVANCE[[#This Row],[MUEBLE LAVAPLATOS]])</f>
        <v>0</v>
      </c>
      <c r="CR668" s="3">
        <f>+IF(AVANCE[[#This Row],[IMPERMEABILIZACION BANO - COCINA LOGIA]]=BD$2,100%,AVANCE[[#This Row],[IMPERMEABILIZACION BANO - COCINA LOGIA]])</f>
        <v>0</v>
      </c>
      <c r="CS668" s="40">
        <f ca="1">+IF(AVANCE[[#This Row],[ESTADO MODULO]]="PENDIENTE",(TODAY()-AVANCE[[#This Row],[FECHA TERMINO  PLANIFICADO]]),0)</f>
        <v>0</v>
      </c>
      <c r="CT668" s="41" t="str" cm="1">
        <f t="array" ref="CT668">_xlfn.TEXTJOIN(" | ",TRUE,IF(SUMPRODUCT((BG668:CR668&lt;1)*(PARTIDAS!$I$2:$AT$2="OBRA GRUESA"))&gt;0,"OBRA GRUESA: "&amp;_xlfn.TEXTJOIN(", ",TRUE,IF((BG668:CR668&lt;1)*(PARTIDAS!$I$2:$AT$2="OBRA GRUESA"),PARTIDAS!$I$1:$AT$1,"")),""),IF(SUMPRODUCT((BG668:CR668&lt;1)*(PARTIDAS!$I$2:$AT$2="SANITARIOS"))&gt;0,"SANITARIOS: "&amp;_xlfn.TEXTJOIN(", ",TRUE,IF((BG668:CR668&lt;1)*(PARTIDAS!$I$2:$AT$2="SANITARIOS"),PARTIDAS!$I$1:$AT$1,"")),""),IF(SUMPRODUCT((BG668:CR668&lt;1)*(PARTIDAS!$I$2:$AT$2="ELÉCTRICO"))&gt;0,"ELÉCTRICO: "&amp;_xlfn.TEXTJOIN(", ",TRUE,IF((BG668:CR668&lt;1)*(PARTIDAS!$I$2:$AT$2="ELÉCTRICO"),PARTIDAS!$I$1:$AT$1,"")),""),IF(SUMPRODUCT((BG668:CR668&lt;1)*(PARTIDAS!$I$2:$AT$2="TERMINACIONES"))&gt;0,"TERMINACIONES: "&amp;_xlfn.TEXTJOIN(", ",TRUE,IF((BG668:CR668&lt;1)*(PARTIDAS!$I$2:$AT$2="TERMINACIONES"),PARTIDAS!$I$1:$AT$1,"")),""))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8" s="43" t="str" cm="1">
        <f t="array" ref="CU668">_xlfn.TEXTJOIN(", ",TRUE,IF(SUMPRODUCT((BG668:CR668&lt;1)*(PARTIDAS!$I$2:$AT$2="OBRA GRUESA"))&gt;0,"OBRA GRUESA",""),IF(SUMPRODUCT((BG668:CR668&lt;1)*(PARTIDAS!$I$2:$AT$2="SANITARIOS"))&gt;0,"SANITARIOS",""),IF(SUMPRODUCT((BG668:CR668&lt;1)*(PARTIDAS!$I$2:$AT$2="ELÉCTRICO"))&gt;0,"ELÉCTRICO",""),IF(SUMPRODUCT((BG668:CR668&lt;1)*(PARTIDAS!$I$2:$AT$2="TERMINACIONES"))&gt;0,"TERMINACIONES",""))</f>
        <v>OBRA GRUESA, SANITARIOS, ELÉCTRICO, TERMINACIONES</v>
      </c>
      <c r="CV668" s="44" cm="1">
        <f t="array" ref="CV668">SUMPRODUCT(--(BG668:CR668&lt;1))</f>
        <v>38</v>
      </c>
    </row>
    <row r="669" spans="1:100" hidden="1" x14ac:dyDescent="0.25">
      <c r="A669" t="s">
        <v>718</v>
      </c>
      <c r="B669" t="s">
        <v>746</v>
      </c>
      <c r="C669">
        <v>2282600668</v>
      </c>
      <c r="D669" t="s">
        <v>58</v>
      </c>
      <c r="E669" s="2">
        <v>0</v>
      </c>
      <c r="F669" s="1">
        <v>46471</v>
      </c>
      <c r="G669" s="1"/>
      <c r="H669" s="1">
        <v>0</v>
      </c>
      <c r="I669" s="1">
        <v>46491</v>
      </c>
      <c r="J669">
        <v>46230</v>
      </c>
      <c r="K669" s="1"/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>
        <v>28.87</v>
      </c>
      <c r="BF669" s="3" t="str">
        <f>+IF(AVANCE[[#This Row],[% AVANCE]]=100%,"MODULO TERMINADO",IF(AVANCE[[#This Row],[FECHA INICIO REAL]]="","MODULO NO INICIADO","PENDIENTE"))</f>
        <v>MODULO NO INICIADO</v>
      </c>
      <c r="BG669" s="3">
        <f>+IF(AVANCE[[#This Row],[VENTANAS]]=8.10810810810811%,100%,AVANCE[[#This Row],[VENTANAS]])</f>
        <v>0</v>
      </c>
      <c r="BH669" s="3">
        <f>+IF(AVANCE[[#This Row],[PISO]]=N$2,100%,AVANCE[[#This Row],[PISO]])</f>
        <v>0</v>
      </c>
      <c r="BI669" s="3">
        <f>+IF(AVANCE[[#This Row],[TABIQUES]]=O$2,100%,AVANCE[[#This Row],[TABIQUES]])</f>
        <v>0</v>
      </c>
      <c r="BJ669" s="3">
        <f>+IF(AVANCE[[#This Row],[MUROS]]=P$2,100%,AVANCE[[#This Row],[MUROS]])</f>
        <v>0</v>
      </c>
      <c r="BK669" s="3">
        <f>+IF(AVANCE[[#This Row],[CIELO]]=Q$2,100%,AVANCE[[#This Row],[CIELO]])</f>
        <v>0</v>
      </c>
      <c r="BL669" s="3">
        <f>+IF(AVANCE[[#This Row],[BALCÓN]]=R$2,100%,AVANCE[[#This Row],[BALCÓN]])</f>
        <v>0</v>
      </c>
      <c r="BM669" s="3">
        <f>+IF(AVANCE[[#This Row],[RED ALCANTARILLADO]]=U$2,100%,AVANCE[[#This Row],[RED ALCANTARILLADO]])</f>
        <v>0</v>
      </c>
      <c r="BN669" s="3">
        <f>+IF(AVANCE[[#This Row],[RED DE AGUA]]=V$2,100%,AVANCE[[#This Row],[RED DE AGUA]])</f>
        <v>0</v>
      </c>
      <c r="BO669" s="3">
        <f>+IF(AVANCE[[#This Row],[VENTILACIONES]]=W$2,100%,AVANCE[[#This Row],[VENTILACIONES]])</f>
        <v>0</v>
      </c>
      <c r="BP669" s="3">
        <f>+IF(AVANCE[[#This Row],[TINA]]=X$2,100%,AVANCE[[#This Row],[TINA]])</f>
        <v>0</v>
      </c>
      <c r="BQ669" s="3">
        <f>+IF(AVANCE[[#This Row],[WC]]=Y$2,100%,AVANCE[[#This Row],[WC]])</f>
        <v>0</v>
      </c>
      <c r="BR669" s="3">
        <f>+IF(AVANCE[[#This Row],[LAVAMANOS / LAVAPLATOS / LAVADERO]]=Z$2,100%,AVANCE[[#This Row],[LAVAMANOS / LAVAPLATOS / LAVADERO]])</f>
        <v>0</v>
      </c>
      <c r="BS669" s="3">
        <f>+IF(AVANCE[[#This Row],[CANALIZACIÓN]]=AC$2,100%,AVANCE[[#This Row],[CANALIZACIÓN]])</f>
        <v>0</v>
      </c>
      <c r="BT669" s="3">
        <f>+IF(AVANCE[[#This Row],[CABLEADO]]=AD$2,100%,AVANCE[[#This Row],[CABLEADO]])</f>
        <v>0</v>
      </c>
      <c r="BU669" s="3">
        <f>+IF(AVANCE[[#This Row],[ARTEFACTOS]]=AE$2,100%,AVANCE[[#This Row],[ARTEFACTOS]])</f>
        <v>0</v>
      </c>
      <c r="BV669" s="3">
        <f>+IF(AVANCE[[#This Row],[TABLERO]]=AF$2,100%,AVANCE[[#This Row],[TABLERO]])</f>
        <v>0</v>
      </c>
      <c r="BW669" s="3">
        <f>+IF(AVANCE[[#This Row],[CAJA PAU]]=AG$2,100%,AVANCE[[#This Row],[CAJA PAU]])</f>
        <v>0</v>
      </c>
      <c r="BX669" s="3">
        <f>+IF(AVANCE[[#This Row],[INSTALACION VINILICO]]=AJ$2,100%,AVANCE[[#This Row],[INSTALACION VINILICO]])</f>
        <v>0</v>
      </c>
      <c r="BY669" s="3">
        <f>+IF(AVANCE[[#This Row],[OSB CUBIERTA]]=AK$2,100%,AVANCE[[#This Row],[OSB CUBIERTA]])</f>
        <v>0</v>
      </c>
      <c r="BZ669" s="3">
        <f>+IF(AVANCE[[#This Row],[BARANDA BALCON]]=AL$2,100%,AVANCE[[#This Row],[BARANDA BALCON]])</f>
        <v>0</v>
      </c>
      <c r="CA669" s="3">
        <f>+IF(AVANCE[[#This Row],[OSB EXTERIOR]]=AM$2,100%,AVANCE[[#This Row],[OSB EXTERIOR]])</f>
        <v>0</v>
      </c>
      <c r="CB669" s="3">
        <f>+IF(AVANCE[[#This Row],[SMART PANEL]]=AN$2,100%,AVANCE[[#This Row],[SMART PANEL]])</f>
        <v>0</v>
      </c>
      <c r="CC669" s="3">
        <f>+IF(AVANCE[[#This Row],[PINTURA EXTERIOR]]=AO$2,100%,AVANCE[[#This Row],[PINTURA EXTERIOR]])</f>
        <v>0</v>
      </c>
      <c r="CD669" s="3">
        <f>+IF(AVANCE[[#This Row],[ZOCALOS LOGIA]]=AP$2,100%,AVANCE[[#This Row],[ZOCALOS LOGIA]])</f>
        <v>0</v>
      </c>
      <c r="CE669" s="3">
        <f>+IF(AVANCE[[#This Row],[MOLDURAS]]=AQ$2,100%,AVANCE[[#This Row],[MOLDURAS]])</f>
        <v>0</v>
      </c>
      <c r="CF669" s="3">
        <f>+IF(AVANCE[[#This Row],[PILASTREO]]=AR$2,100%,AVANCE[[#This Row],[PILASTREO]])</f>
        <v>0</v>
      </c>
      <c r="CG669" s="3">
        <f>+IF(AVANCE[[#This Row],[CELOSIAS]]=AS$2,100%,AVANCE[[#This Row],[CELOSIAS]])</f>
        <v>0</v>
      </c>
      <c r="CH669" s="3">
        <f>+IF(AVANCE[[#This Row],[VENTANAS]]=AT$2,100%,AVANCE[[#This Row],[VENTANAS]])</f>
        <v>0</v>
      </c>
      <c r="CI669" s="3">
        <f>+IF(AVANCE[[#This Row],[PUERTAS ACCESO - LOGIA - BANO]]=AU$2,100%,AVANCE[[#This Row],[PUERTAS ACCESO - LOGIA - BANO]])</f>
        <v>0</v>
      </c>
      <c r="CJ669" s="3">
        <f>+IF(AVANCE[[#This Row],[CERRADURAS]]=AV$2,100%,AVANCE[[#This Row],[CERRADURAS]])</f>
        <v>0</v>
      </c>
      <c r="CK669" s="3">
        <f>+IF(AVANCE[[#This Row],[REVESTIMIENTO INTERIOR ZONA SECA]]=AW$2,100%,AVANCE[[#This Row],[REVESTIMIENTO INTERIOR ZONA SECA]])</f>
        <v>0</v>
      </c>
      <c r="CL669" s="3">
        <f>+IF(AVANCE[[#This Row],[REVESTIMIENTO INTERIOR ZONAS HUMEDAS]]=AX$2,100%,AVANCE[[#This Row],[REVESTIMIENTO INTERIOR ZONAS HUMEDAS]])</f>
        <v>0</v>
      </c>
      <c r="CM669" s="3">
        <f>+IF(AVANCE[[#This Row],[MEMBRANA CIELO]]=AY$2,100%,AVANCE[[#This Row],[MEMBRANA CIELO]])</f>
        <v>0</v>
      </c>
      <c r="CN669" s="3">
        <f>+IF(AVANCE[[#This Row],[LIMPIEZA FINAL]]=AZ$2,100%,AVANCE[[#This Row],[LIMPIEZA FINAL]])</f>
        <v>0</v>
      </c>
      <c r="CO669" s="3">
        <f>+IF(AVANCE[[#This Row],[PUERTAS DORMITORIO]]=BA$2,100%,AVANCE[[#This Row],[PUERTAS DORMITORIO]])</f>
        <v>0</v>
      </c>
      <c r="CP669" s="3">
        <f>+IF(AVANCE[[#This Row],[REVESTIMIENTO INTERIOR BANO]]=BB$2,100%,AVANCE[[#This Row],[REVESTIMIENTO INTERIOR BANO]])</f>
        <v>0</v>
      </c>
      <c r="CQ669" s="3">
        <f>+IF(AVANCE[[#This Row],[MUEBLE LAVAPLATOS]]=BC$2,100%,AVANCE[[#This Row],[MUEBLE LAVAPLATOS]])</f>
        <v>0</v>
      </c>
      <c r="CR669" s="3">
        <f>+IF(AVANCE[[#This Row],[IMPERMEABILIZACION BANO - COCINA LOGIA]]=BD$2,100%,AVANCE[[#This Row],[IMPERMEABILIZACION BANO - COCINA LOGIA]])</f>
        <v>0</v>
      </c>
      <c r="CS669" s="40">
        <f ca="1">+IF(AVANCE[[#This Row],[ESTADO MODULO]]="PENDIENTE",(TODAY()-AVANCE[[#This Row],[FECHA TERMINO  PLANIFICADO]]),0)</f>
        <v>0</v>
      </c>
      <c r="CT669" s="41" t="str" cm="1">
        <f t="array" ref="CT669">_xlfn.TEXTJOIN(" | ",TRUE,IF(SUMPRODUCT((BG669:CR669&lt;1)*(PARTIDAS!$I$2:$AT$2="OBRA GRUESA"))&gt;0,"OBRA GRUESA: "&amp;_xlfn.TEXTJOIN(", ",TRUE,IF((BG669:CR669&lt;1)*(PARTIDAS!$I$2:$AT$2="OBRA GRUESA"),PARTIDAS!$I$1:$AT$1,"")),""),IF(SUMPRODUCT((BG669:CR669&lt;1)*(PARTIDAS!$I$2:$AT$2="SANITARIOS"))&gt;0,"SANITARIOS: "&amp;_xlfn.TEXTJOIN(", ",TRUE,IF((BG669:CR669&lt;1)*(PARTIDAS!$I$2:$AT$2="SANITARIOS"),PARTIDAS!$I$1:$AT$1,"")),""),IF(SUMPRODUCT((BG669:CR669&lt;1)*(PARTIDAS!$I$2:$AT$2="ELÉCTRICO"))&gt;0,"ELÉCTRICO: "&amp;_xlfn.TEXTJOIN(", ",TRUE,IF((BG669:CR669&lt;1)*(PARTIDAS!$I$2:$AT$2="ELÉCTRICO"),PARTIDAS!$I$1:$AT$1,"")),""),IF(SUMPRODUCT((BG669:CR669&lt;1)*(PARTIDAS!$I$2:$AT$2="TERMINACIONES"))&gt;0,"TERMINACIONES: "&amp;_xlfn.TEXTJOIN(", ",TRUE,IF((BG669:CR669&lt;1)*(PARTIDAS!$I$2:$AT$2="TERMINACIONES"),PARTIDAS!$I$1:$AT$1,"")),""))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69" s="43" t="str" cm="1">
        <f t="array" ref="CU669">_xlfn.TEXTJOIN(", ",TRUE,IF(SUMPRODUCT((BG669:CR669&lt;1)*(PARTIDAS!$I$2:$AT$2="OBRA GRUESA"))&gt;0,"OBRA GRUESA",""),IF(SUMPRODUCT((BG669:CR669&lt;1)*(PARTIDAS!$I$2:$AT$2="SANITARIOS"))&gt;0,"SANITARIOS",""),IF(SUMPRODUCT((BG669:CR669&lt;1)*(PARTIDAS!$I$2:$AT$2="ELÉCTRICO"))&gt;0,"ELÉCTRICO",""),IF(SUMPRODUCT((BG669:CR669&lt;1)*(PARTIDAS!$I$2:$AT$2="TERMINACIONES"))&gt;0,"TERMINACIONES",""))</f>
        <v>OBRA GRUESA, SANITARIOS, ELÉCTRICO, TERMINACIONES</v>
      </c>
      <c r="CV669" s="44" cm="1">
        <f t="array" ref="CV669">SUMPRODUCT(--(BG669:CR669&lt;1))</f>
        <v>38</v>
      </c>
    </row>
    <row r="670" spans="1:100" hidden="1" x14ac:dyDescent="0.25">
      <c r="A670" t="s">
        <v>718</v>
      </c>
      <c r="B670" t="s">
        <v>747</v>
      </c>
      <c r="C670">
        <v>2282600669</v>
      </c>
      <c r="D670" t="s">
        <v>58</v>
      </c>
      <c r="E670" s="2">
        <v>0</v>
      </c>
      <c r="F670" s="1">
        <v>46471</v>
      </c>
      <c r="G670" s="1"/>
      <c r="H670" s="1">
        <v>0</v>
      </c>
      <c r="I670" s="1">
        <v>46491</v>
      </c>
      <c r="J670">
        <v>46230</v>
      </c>
      <c r="K670" s="1"/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>
        <v>28.87</v>
      </c>
      <c r="BF670" s="3" t="str">
        <f>+IF(AVANCE[[#This Row],[% AVANCE]]=100%,"MODULO TERMINADO",IF(AVANCE[[#This Row],[FECHA INICIO REAL]]="","MODULO NO INICIADO","PENDIENTE"))</f>
        <v>MODULO NO INICIADO</v>
      </c>
      <c r="BG670" s="3">
        <f>+IF(AVANCE[[#This Row],[VENTANAS]]=8.10810810810811%,100%,AVANCE[[#This Row],[VENTANAS]])</f>
        <v>0</v>
      </c>
      <c r="BH670" s="3">
        <f>+IF(AVANCE[[#This Row],[PISO]]=N$2,100%,AVANCE[[#This Row],[PISO]])</f>
        <v>0</v>
      </c>
      <c r="BI670" s="3">
        <f>+IF(AVANCE[[#This Row],[TABIQUES]]=O$2,100%,AVANCE[[#This Row],[TABIQUES]])</f>
        <v>0</v>
      </c>
      <c r="BJ670" s="3">
        <f>+IF(AVANCE[[#This Row],[MUROS]]=P$2,100%,AVANCE[[#This Row],[MUROS]])</f>
        <v>0</v>
      </c>
      <c r="BK670" s="3">
        <f>+IF(AVANCE[[#This Row],[CIELO]]=Q$2,100%,AVANCE[[#This Row],[CIELO]])</f>
        <v>0</v>
      </c>
      <c r="BL670" s="3">
        <f>+IF(AVANCE[[#This Row],[BALCÓN]]=R$2,100%,AVANCE[[#This Row],[BALCÓN]])</f>
        <v>0</v>
      </c>
      <c r="BM670" s="3">
        <f>+IF(AVANCE[[#This Row],[RED ALCANTARILLADO]]=U$2,100%,AVANCE[[#This Row],[RED ALCANTARILLADO]])</f>
        <v>0</v>
      </c>
      <c r="BN670" s="3">
        <f>+IF(AVANCE[[#This Row],[RED DE AGUA]]=V$2,100%,AVANCE[[#This Row],[RED DE AGUA]])</f>
        <v>0</v>
      </c>
      <c r="BO670" s="3">
        <f>+IF(AVANCE[[#This Row],[VENTILACIONES]]=W$2,100%,AVANCE[[#This Row],[VENTILACIONES]])</f>
        <v>0</v>
      </c>
      <c r="BP670" s="3">
        <f>+IF(AVANCE[[#This Row],[TINA]]=X$2,100%,AVANCE[[#This Row],[TINA]])</f>
        <v>0</v>
      </c>
      <c r="BQ670" s="3">
        <f>+IF(AVANCE[[#This Row],[WC]]=Y$2,100%,AVANCE[[#This Row],[WC]])</f>
        <v>0</v>
      </c>
      <c r="BR670" s="3">
        <f>+IF(AVANCE[[#This Row],[LAVAMANOS / LAVAPLATOS / LAVADERO]]=Z$2,100%,AVANCE[[#This Row],[LAVAMANOS / LAVAPLATOS / LAVADERO]])</f>
        <v>0</v>
      </c>
      <c r="BS670" s="3">
        <f>+IF(AVANCE[[#This Row],[CANALIZACIÓN]]=AC$2,100%,AVANCE[[#This Row],[CANALIZACIÓN]])</f>
        <v>0</v>
      </c>
      <c r="BT670" s="3">
        <f>+IF(AVANCE[[#This Row],[CABLEADO]]=AD$2,100%,AVANCE[[#This Row],[CABLEADO]])</f>
        <v>0</v>
      </c>
      <c r="BU670" s="3">
        <f>+IF(AVANCE[[#This Row],[ARTEFACTOS]]=AE$2,100%,AVANCE[[#This Row],[ARTEFACTOS]])</f>
        <v>0</v>
      </c>
      <c r="BV670" s="3">
        <f>+IF(AVANCE[[#This Row],[TABLERO]]=AF$2,100%,AVANCE[[#This Row],[TABLERO]])</f>
        <v>0</v>
      </c>
      <c r="BW670" s="3">
        <f>+IF(AVANCE[[#This Row],[CAJA PAU]]=AG$2,100%,AVANCE[[#This Row],[CAJA PAU]])</f>
        <v>0</v>
      </c>
      <c r="BX670" s="3">
        <f>+IF(AVANCE[[#This Row],[INSTALACION VINILICO]]=AJ$2,100%,AVANCE[[#This Row],[INSTALACION VINILICO]])</f>
        <v>0</v>
      </c>
      <c r="BY670" s="3">
        <f>+IF(AVANCE[[#This Row],[OSB CUBIERTA]]=AK$2,100%,AVANCE[[#This Row],[OSB CUBIERTA]])</f>
        <v>0</v>
      </c>
      <c r="BZ670" s="3">
        <f>+IF(AVANCE[[#This Row],[BARANDA BALCON]]=AL$2,100%,AVANCE[[#This Row],[BARANDA BALCON]])</f>
        <v>0</v>
      </c>
      <c r="CA670" s="3">
        <f>+IF(AVANCE[[#This Row],[OSB EXTERIOR]]=AM$2,100%,AVANCE[[#This Row],[OSB EXTERIOR]])</f>
        <v>0</v>
      </c>
      <c r="CB670" s="3">
        <f>+IF(AVANCE[[#This Row],[SMART PANEL]]=AN$2,100%,AVANCE[[#This Row],[SMART PANEL]])</f>
        <v>0</v>
      </c>
      <c r="CC670" s="3">
        <f>+IF(AVANCE[[#This Row],[PINTURA EXTERIOR]]=AO$2,100%,AVANCE[[#This Row],[PINTURA EXTERIOR]])</f>
        <v>0</v>
      </c>
      <c r="CD670" s="3">
        <f>+IF(AVANCE[[#This Row],[ZOCALOS LOGIA]]=AP$2,100%,AVANCE[[#This Row],[ZOCALOS LOGIA]])</f>
        <v>0</v>
      </c>
      <c r="CE670" s="3">
        <f>+IF(AVANCE[[#This Row],[MOLDURAS]]=AQ$2,100%,AVANCE[[#This Row],[MOLDURAS]])</f>
        <v>0</v>
      </c>
      <c r="CF670" s="3">
        <f>+IF(AVANCE[[#This Row],[PILASTREO]]=AR$2,100%,AVANCE[[#This Row],[PILASTREO]])</f>
        <v>0</v>
      </c>
      <c r="CG670" s="3">
        <f>+IF(AVANCE[[#This Row],[CELOSIAS]]=AS$2,100%,AVANCE[[#This Row],[CELOSIAS]])</f>
        <v>0</v>
      </c>
      <c r="CH670" s="3">
        <f>+IF(AVANCE[[#This Row],[VENTANAS]]=AT$2,100%,AVANCE[[#This Row],[VENTANAS]])</f>
        <v>0</v>
      </c>
      <c r="CI670" s="3">
        <f>+IF(AVANCE[[#This Row],[PUERTAS ACCESO - LOGIA - BANO]]=AU$2,100%,AVANCE[[#This Row],[PUERTAS ACCESO - LOGIA - BANO]])</f>
        <v>0</v>
      </c>
      <c r="CJ670" s="3">
        <f>+IF(AVANCE[[#This Row],[CERRADURAS]]=AV$2,100%,AVANCE[[#This Row],[CERRADURAS]])</f>
        <v>0</v>
      </c>
      <c r="CK670" s="3">
        <f>+IF(AVANCE[[#This Row],[REVESTIMIENTO INTERIOR ZONA SECA]]=AW$2,100%,AVANCE[[#This Row],[REVESTIMIENTO INTERIOR ZONA SECA]])</f>
        <v>0</v>
      </c>
      <c r="CL670" s="3">
        <f>+IF(AVANCE[[#This Row],[REVESTIMIENTO INTERIOR ZONAS HUMEDAS]]=AX$2,100%,AVANCE[[#This Row],[REVESTIMIENTO INTERIOR ZONAS HUMEDAS]])</f>
        <v>0</v>
      </c>
      <c r="CM670" s="3">
        <f>+IF(AVANCE[[#This Row],[MEMBRANA CIELO]]=AY$2,100%,AVANCE[[#This Row],[MEMBRANA CIELO]])</f>
        <v>0</v>
      </c>
      <c r="CN670" s="3">
        <f>+IF(AVANCE[[#This Row],[LIMPIEZA FINAL]]=AZ$2,100%,AVANCE[[#This Row],[LIMPIEZA FINAL]])</f>
        <v>0</v>
      </c>
      <c r="CO670" s="3">
        <f>+IF(AVANCE[[#This Row],[PUERTAS DORMITORIO]]=BA$2,100%,AVANCE[[#This Row],[PUERTAS DORMITORIO]])</f>
        <v>0</v>
      </c>
      <c r="CP670" s="3">
        <f>+IF(AVANCE[[#This Row],[REVESTIMIENTO INTERIOR BANO]]=BB$2,100%,AVANCE[[#This Row],[REVESTIMIENTO INTERIOR BANO]])</f>
        <v>0</v>
      </c>
      <c r="CQ670" s="3">
        <f>+IF(AVANCE[[#This Row],[MUEBLE LAVAPLATOS]]=BC$2,100%,AVANCE[[#This Row],[MUEBLE LAVAPLATOS]])</f>
        <v>0</v>
      </c>
      <c r="CR670" s="3">
        <f>+IF(AVANCE[[#This Row],[IMPERMEABILIZACION BANO - COCINA LOGIA]]=BD$2,100%,AVANCE[[#This Row],[IMPERMEABILIZACION BANO - COCINA LOGIA]])</f>
        <v>0</v>
      </c>
      <c r="CS670" s="40">
        <f ca="1">+IF(AVANCE[[#This Row],[ESTADO MODULO]]="PENDIENTE",(TODAY()-AVANCE[[#This Row],[FECHA TERMINO  PLANIFICADO]]),0)</f>
        <v>0</v>
      </c>
      <c r="CT670" s="41" t="str" cm="1">
        <f t="array" ref="CT670">_xlfn.TEXTJOIN(" | ",TRUE,IF(SUMPRODUCT((BG670:CR670&lt;1)*(PARTIDAS!$I$2:$AT$2="OBRA GRUESA"))&gt;0,"OBRA GRUESA: "&amp;_xlfn.TEXTJOIN(", ",TRUE,IF((BG670:CR670&lt;1)*(PARTIDAS!$I$2:$AT$2="OBRA GRUESA"),PARTIDAS!$I$1:$AT$1,"")),""),IF(SUMPRODUCT((BG670:CR670&lt;1)*(PARTIDAS!$I$2:$AT$2="SANITARIOS"))&gt;0,"SANITARIOS: "&amp;_xlfn.TEXTJOIN(", ",TRUE,IF((BG670:CR670&lt;1)*(PARTIDAS!$I$2:$AT$2="SANITARIOS"),PARTIDAS!$I$1:$AT$1,"")),""),IF(SUMPRODUCT((BG670:CR670&lt;1)*(PARTIDAS!$I$2:$AT$2="ELÉCTRICO"))&gt;0,"ELÉCTRICO: "&amp;_xlfn.TEXTJOIN(", ",TRUE,IF((BG670:CR670&lt;1)*(PARTIDAS!$I$2:$AT$2="ELÉCTRICO"),PARTIDAS!$I$1:$AT$1,"")),""),IF(SUMPRODUCT((BG670:CR670&lt;1)*(PARTIDAS!$I$2:$AT$2="TERMINACIONES"))&gt;0,"TERMINACIONES: "&amp;_xlfn.TEXTJOIN(", ",TRUE,IF((BG670:CR670&lt;1)*(PARTIDAS!$I$2:$AT$2="TERMINACIONES"),PARTIDAS!$I$1:$AT$1,"")),""))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0" s="43" t="str" cm="1">
        <f t="array" ref="CU670">_xlfn.TEXTJOIN(", ",TRUE,IF(SUMPRODUCT((BG670:CR670&lt;1)*(PARTIDAS!$I$2:$AT$2="OBRA GRUESA"))&gt;0,"OBRA GRUESA",""),IF(SUMPRODUCT((BG670:CR670&lt;1)*(PARTIDAS!$I$2:$AT$2="SANITARIOS"))&gt;0,"SANITARIOS",""),IF(SUMPRODUCT((BG670:CR670&lt;1)*(PARTIDAS!$I$2:$AT$2="ELÉCTRICO"))&gt;0,"ELÉCTRICO",""),IF(SUMPRODUCT((BG670:CR670&lt;1)*(PARTIDAS!$I$2:$AT$2="TERMINACIONES"))&gt;0,"TERMINACIONES",""))</f>
        <v>OBRA GRUESA, SANITARIOS, ELÉCTRICO, TERMINACIONES</v>
      </c>
      <c r="CV670" s="44" cm="1">
        <f t="array" ref="CV670">SUMPRODUCT(--(BG670:CR670&lt;1))</f>
        <v>38</v>
      </c>
    </row>
    <row r="671" spans="1:100" hidden="1" x14ac:dyDescent="0.25">
      <c r="A671" t="s">
        <v>718</v>
      </c>
      <c r="B671" t="s">
        <v>748</v>
      </c>
      <c r="C671">
        <v>2302600670</v>
      </c>
      <c r="D671" t="s">
        <v>60</v>
      </c>
      <c r="E671" s="2">
        <v>0</v>
      </c>
      <c r="F671" s="1">
        <v>46471</v>
      </c>
      <c r="G671" s="1"/>
      <c r="H671" s="1">
        <v>0</v>
      </c>
      <c r="I671" s="1">
        <v>46501</v>
      </c>
      <c r="J671">
        <v>46230</v>
      </c>
      <c r="K671" s="1"/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>
        <v>31.32</v>
      </c>
      <c r="BF671" s="3" t="str">
        <f>+IF(AVANCE[[#This Row],[% AVANCE]]=100%,"MODULO TERMINADO",IF(AVANCE[[#This Row],[FECHA INICIO REAL]]="","MODULO NO INICIADO","PENDIENTE"))</f>
        <v>MODULO NO INICIADO</v>
      </c>
      <c r="BG671" s="3">
        <f>+IF(AVANCE[[#This Row],[VENTANAS]]=8.10810810810811%,100%,AVANCE[[#This Row],[VENTANAS]])</f>
        <v>0</v>
      </c>
      <c r="BH671" s="3">
        <f>+IF(AVANCE[[#This Row],[PISO]]=N$2,100%,AVANCE[[#This Row],[PISO]])</f>
        <v>0</v>
      </c>
      <c r="BI671" s="3">
        <f>+IF(AVANCE[[#This Row],[TABIQUES]]=O$2,100%,AVANCE[[#This Row],[TABIQUES]])</f>
        <v>0</v>
      </c>
      <c r="BJ671" s="3">
        <f>+IF(AVANCE[[#This Row],[MUROS]]=P$2,100%,AVANCE[[#This Row],[MUROS]])</f>
        <v>0</v>
      </c>
      <c r="BK671" s="3">
        <f>+IF(AVANCE[[#This Row],[CIELO]]=Q$2,100%,AVANCE[[#This Row],[CIELO]])</f>
        <v>0</v>
      </c>
      <c r="BL671" s="3">
        <f>+IF(AVANCE[[#This Row],[BALCÓN]]=R$2,100%,AVANCE[[#This Row],[BALCÓN]])</f>
        <v>0</v>
      </c>
      <c r="BM671" s="3">
        <f>+IF(AVANCE[[#This Row],[RED ALCANTARILLADO]]=U$2,100%,AVANCE[[#This Row],[RED ALCANTARILLADO]])</f>
        <v>0</v>
      </c>
      <c r="BN671" s="3">
        <f>+IF(AVANCE[[#This Row],[RED DE AGUA]]=V$2,100%,AVANCE[[#This Row],[RED DE AGUA]])</f>
        <v>0</v>
      </c>
      <c r="BO671" s="3">
        <f>+IF(AVANCE[[#This Row],[VENTILACIONES]]=W$2,100%,AVANCE[[#This Row],[VENTILACIONES]])</f>
        <v>0</v>
      </c>
      <c r="BP671" s="3">
        <f>+IF(AVANCE[[#This Row],[TINA]]=X$2,100%,AVANCE[[#This Row],[TINA]])</f>
        <v>0</v>
      </c>
      <c r="BQ671" s="3">
        <f>+IF(AVANCE[[#This Row],[WC]]=Y$2,100%,AVANCE[[#This Row],[WC]])</f>
        <v>0</v>
      </c>
      <c r="BR671" s="3">
        <f>+IF(AVANCE[[#This Row],[LAVAMANOS / LAVAPLATOS / LAVADERO]]=Z$2,100%,AVANCE[[#This Row],[LAVAMANOS / LAVAPLATOS / LAVADERO]])</f>
        <v>0</v>
      </c>
      <c r="BS671" s="3">
        <f>+IF(AVANCE[[#This Row],[CANALIZACIÓN]]=AC$2,100%,AVANCE[[#This Row],[CANALIZACIÓN]])</f>
        <v>0</v>
      </c>
      <c r="BT671" s="3">
        <f>+IF(AVANCE[[#This Row],[CABLEADO]]=AD$2,100%,AVANCE[[#This Row],[CABLEADO]])</f>
        <v>0</v>
      </c>
      <c r="BU671" s="3">
        <f>+IF(AVANCE[[#This Row],[ARTEFACTOS]]=AE$2,100%,AVANCE[[#This Row],[ARTEFACTOS]])</f>
        <v>0</v>
      </c>
      <c r="BV671" s="3">
        <f>+IF(AVANCE[[#This Row],[TABLERO]]=AF$2,100%,AVANCE[[#This Row],[TABLERO]])</f>
        <v>0</v>
      </c>
      <c r="BW671" s="3">
        <f>+IF(AVANCE[[#This Row],[CAJA PAU]]=AG$2,100%,AVANCE[[#This Row],[CAJA PAU]])</f>
        <v>0</v>
      </c>
      <c r="BX671" s="3">
        <f>+IF(AVANCE[[#This Row],[INSTALACION VINILICO]]=AJ$2,100%,AVANCE[[#This Row],[INSTALACION VINILICO]])</f>
        <v>0</v>
      </c>
      <c r="BY671" s="3">
        <f>+IF(AVANCE[[#This Row],[OSB CUBIERTA]]=AK$2,100%,AVANCE[[#This Row],[OSB CUBIERTA]])</f>
        <v>0</v>
      </c>
      <c r="BZ671" s="3">
        <f>+IF(AVANCE[[#This Row],[BARANDA BALCON]]=AL$2,100%,AVANCE[[#This Row],[BARANDA BALCON]])</f>
        <v>0</v>
      </c>
      <c r="CA671" s="3">
        <f>+IF(AVANCE[[#This Row],[OSB EXTERIOR]]=AM$2,100%,AVANCE[[#This Row],[OSB EXTERIOR]])</f>
        <v>0</v>
      </c>
      <c r="CB671" s="3">
        <f>+IF(AVANCE[[#This Row],[SMART PANEL]]=AN$2,100%,AVANCE[[#This Row],[SMART PANEL]])</f>
        <v>0</v>
      </c>
      <c r="CC671" s="3">
        <f>+IF(AVANCE[[#This Row],[PINTURA EXTERIOR]]=AO$2,100%,AVANCE[[#This Row],[PINTURA EXTERIOR]])</f>
        <v>0</v>
      </c>
      <c r="CD671" s="3">
        <f>+IF(AVANCE[[#This Row],[ZOCALOS LOGIA]]=AP$2,100%,AVANCE[[#This Row],[ZOCALOS LOGIA]])</f>
        <v>0</v>
      </c>
      <c r="CE671" s="3">
        <f>+IF(AVANCE[[#This Row],[MOLDURAS]]=AQ$2,100%,AVANCE[[#This Row],[MOLDURAS]])</f>
        <v>0</v>
      </c>
      <c r="CF671" s="3">
        <f>+IF(AVANCE[[#This Row],[PILASTREO]]=AR$2,100%,AVANCE[[#This Row],[PILASTREO]])</f>
        <v>0</v>
      </c>
      <c r="CG671" s="3">
        <f>+IF(AVANCE[[#This Row],[CELOSIAS]]=AS$2,100%,AVANCE[[#This Row],[CELOSIAS]])</f>
        <v>0</v>
      </c>
      <c r="CH671" s="3">
        <f>+IF(AVANCE[[#This Row],[VENTANAS]]=AT$2,100%,AVANCE[[#This Row],[VENTANAS]])</f>
        <v>0</v>
      </c>
      <c r="CI671" s="3">
        <f>+IF(AVANCE[[#This Row],[PUERTAS ACCESO - LOGIA - BANO]]=AU$2,100%,AVANCE[[#This Row],[PUERTAS ACCESO - LOGIA - BANO]])</f>
        <v>0</v>
      </c>
      <c r="CJ671" s="3">
        <f>+IF(AVANCE[[#This Row],[CERRADURAS]]=AV$2,100%,AVANCE[[#This Row],[CERRADURAS]])</f>
        <v>0</v>
      </c>
      <c r="CK671" s="3">
        <f>+IF(AVANCE[[#This Row],[REVESTIMIENTO INTERIOR ZONA SECA]]=AW$2,100%,AVANCE[[#This Row],[REVESTIMIENTO INTERIOR ZONA SECA]])</f>
        <v>0</v>
      </c>
      <c r="CL671" s="3">
        <f>+IF(AVANCE[[#This Row],[REVESTIMIENTO INTERIOR ZONAS HUMEDAS]]=AX$2,100%,AVANCE[[#This Row],[REVESTIMIENTO INTERIOR ZONAS HUMEDAS]])</f>
        <v>0</v>
      </c>
      <c r="CM671" s="3">
        <f>+IF(AVANCE[[#This Row],[MEMBRANA CIELO]]=AY$2,100%,AVANCE[[#This Row],[MEMBRANA CIELO]])</f>
        <v>0</v>
      </c>
      <c r="CN671" s="3">
        <f>+IF(AVANCE[[#This Row],[LIMPIEZA FINAL]]=AZ$2,100%,AVANCE[[#This Row],[LIMPIEZA FINAL]])</f>
        <v>0</v>
      </c>
      <c r="CO671" s="3">
        <f>+IF(AVANCE[[#This Row],[PUERTAS DORMITORIO]]=BA$2,100%,AVANCE[[#This Row],[PUERTAS DORMITORIO]])</f>
        <v>0</v>
      </c>
      <c r="CP671" s="3">
        <f>+IF(AVANCE[[#This Row],[REVESTIMIENTO INTERIOR BANO]]=BB$2,100%,AVANCE[[#This Row],[REVESTIMIENTO INTERIOR BANO]])</f>
        <v>0</v>
      </c>
      <c r="CQ671" s="3">
        <f>+IF(AVANCE[[#This Row],[MUEBLE LAVAPLATOS]]=BC$2,100%,AVANCE[[#This Row],[MUEBLE LAVAPLATOS]])</f>
        <v>0</v>
      </c>
      <c r="CR671" s="3">
        <f>+IF(AVANCE[[#This Row],[IMPERMEABILIZACION BANO - COCINA LOGIA]]=BD$2,100%,AVANCE[[#This Row],[IMPERMEABILIZACION BANO - COCINA LOGIA]])</f>
        <v>0</v>
      </c>
      <c r="CS671" s="40">
        <f ca="1">+IF(AVANCE[[#This Row],[ESTADO MODULO]]="PENDIENTE",(TODAY()-AVANCE[[#This Row],[FECHA TERMINO  PLANIFICADO]]),0)</f>
        <v>0</v>
      </c>
      <c r="CT671" s="41" t="str" cm="1">
        <f t="array" ref="CT671">_xlfn.TEXTJOIN(" | ",TRUE,IF(SUMPRODUCT((BG671:CR671&lt;1)*(PARTIDAS!$I$2:$AT$2="OBRA GRUESA"))&gt;0,"OBRA GRUESA: "&amp;_xlfn.TEXTJOIN(", ",TRUE,IF((BG671:CR671&lt;1)*(PARTIDAS!$I$2:$AT$2="OBRA GRUESA"),PARTIDAS!$I$1:$AT$1,"")),""),IF(SUMPRODUCT((BG671:CR671&lt;1)*(PARTIDAS!$I$2:$AT$2="SANITARIOS"))&gt;0,"SANITARIOS: "&amp;_xlfn.TEXTJOIN(", ",TRUE,IF((BG671:CR671&lt;1)*(PARTIDAS!$I$2:$AT$2="SANITARIOS"),PARTIDAS!$I$1:$AT$1,"")),""),IF(SUMPRODUCT((BG671:CR671&lt;1)*(PARTIDAS!$I$2:$AT$2="ELÉCTRICO"))&gt;0,"ELÉCTRICO: "&amp;_xlfn.TEXTJOIN(", ",TRUE,IF((BG671:CR671&lt;1)*(PARTIDAS!$I$2:$AT$2="ELÉCTRICO"),PARTIDAS!$I$1:$AT$1,"")),""),IF(SUMPRODUCT((BG671:CR671&lt;1)*(PARTIDAS!$I$2:$AT$2="TERMINACIONES"))&gt;0,"TERMINACIONES: "&amp;_xlfn.TEXTJOIN(", ",TRUE,IF((BG671:CR671&lt;1)*(PARTIDAS!$I$2:$AT$2="TERMINACIONES"),PARTIDAS!$I$1:$AT$1,"")),""))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1" s="43" t="str" cm="1">
        <f t="array" ref="CU671">_xlfn.TEXTJOIN(", ",TRUE,IF(SUMPRODUCT((BG671:CR671&lt;1)*(PARTIDAS!$I$2:$AT$2="OBRA GRUESA"))&gt;0,"OBRA GRUESA",""),IF(SUMPRODUCT((BG671:CR671&lt;1)*(PARTIDAS!$I$2:$AT$2="SANITARIOS"))&gt;0,"SANITARIOS",""),IF(SUMPRODUCT((BG671:CR671&lt;1)*(PARTIDAS!$I$2:$AT$2="ELÉCTRICO"))&gt;0,"ELÉCTRICO",""),IF(SUMPRODUCT((BG671:CR671&lt;1)*(PARTIDAS!$I$2:$AT$2="TERMINACIONES"))&gt;0,"TERMINACIONES",""))</f>
        <v>OBRA GRUESA, SANITARIOS, ELÉCTRICO, TERMINACIONES</v>
      </c>
      <c r="CV671" s="44" cm="1">
        <f t="array" ref="CV671">SUMPRODUCT(--(BG671:CR671&lt;1))</f>
        <v>38</v>
      </c>
    </row>
    <row r="672" spans="1:100" hidden="1" x14ac:dyDescent="0.25">
      <c r="A672" t="s">
        <v>718</v>
      </c>
      <c r="B672" t="s">
        <v>749</v>
      </c>
      <c r="C672">
        <v>2302600671</v>
      </c>
      <c r="D672" t="s">
        <v>60</v>
      </c>
      <c r="E672" s="2">
        <v>0</v>
      </c>
      <c r="F672" s="1">
        <v>46472</v>
      </c>
      <c r="G672" s="1"/>
      <c r="H672" s="1">
        <v>0</v>
      </c>
      <c r="I672" s="1">
        <v>46502</v>
      </c>
      <c r="J672">
        <v>46230</v>
      </c>
      <c r="K672" s="1"/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>
        <v>31.32</v>
      </c>
      <c r="BF672" s="3" t="str">
        <f>+IF(AVANCE[[#This Row],[% AVANCE]]=100%,"MODULO TERMINADO",IF(AVANCE[[#This Row],[FECHA INICIO REAL]]="","MODULO NO INICIADO","PENDIENTE"))</f>
        <v>MODULO NO INICIADO</v>
      </c>
      <c r="BG672" s="3">
        <f>+IF(AVANCE[[#This Row],[VENTANAS]]=8.10810810810811%,100%,AVANCE[[#This Row],[VENTANAS]])</f>
        <v>0</v>
      </c>
      <c r="BH672" s="3">
        <f>+IF(AVANCE[[#This Row],[PISO]]=N$2,100%,AVANCE[[#This Row],[PISO]])</f>
        <v>0</v>
      </c>
      <c r="BI672" s="3">
        <f>+IF(AVANCE[[#This Row],[TABIQUES]]=O$2,100%,AVANCE[[#This Row],[TABIQUES]])</f>
        <v>0</v>
      </c>
      <c r="BJ672" s="3">
        <f>+IF(AVANCE[[#This Row],[MUROS]]=P$2,100%,AVANCE[[#This Row],[MUROS]])</f>
        <v>0</v>
      </c>
      <c r="BK672" s="3">
        <f>+IF(AVANCE[[#This Row],[CIELO]]=Q$2,100%,AVANCE[[#This Row],[CIELO]])</f>
        <v>0</v>
      </c>
      <c r="BL672" s="3">
        <f>+IF(AVANCE[[#This Row],[BALCÓN]]=R$2,100%,AVANCE[[#This Row],[BALCÓN]])</f>
        <v>0</v>
      </c>
      <c r="BM672" s="3">
        <f>+IF(AVANCE[[#This Row],[RED ALCANTARILLADO]]=U$2,100%,AVANCE[[#This Row],[RED ALCANTARILLADO]])</f>
        <v>0</v>
      </c>
      <c r="BN672" s="3">
        <f>+IF(AVANCE[[#This Row],[RED DE AGUA]]=V$2,100%,AVANCE[[#This Row],[RED DE AGUA]])</f>
        <v>0</v>
      </c>
      <c r="BO672" s="3">
        <f>+IF(AVANCE[[#This Row],[VENTILACIONES]]=W$2,100%,AVANCE[[#This Row],[VENTILACIONES]])</f>
        <v>0</v>
      </c>
      <c r="BP672" s="3">
        <f>+IF(AVANCE[[#This Row],[TINA]]=X$2,100%,AVANCE[[#This Row],[TINA]])</f>
        <v>0</v>
      </c>
      <c r="BQ672" s="3">
        <f>+IF(AVANCE[[#This Row],[WC]]=Y$2,100%,AVANCE[[#This Row],[WC]])</f>
        <v>0</v>
      </c>
      <c r="BR672" s="3">
        <f>+IF(AVANCE[[#This Row],[LAVAMANOS / LAVAPLATOS / LAVADERO]]=Z$2,100%,AVANCE[[#This Row],[LAVAMANOS / LAVAPLATOS / LAVADERO]])</f>
        <v>0</v>
      </c>
      <c r="BS672" s="3">
        <f>+IF(AVANCE[[#This Row],[CANALIZACIÓN]]=AC$2,100%,AVANCE[[#This Row],[CANALIZACIÓN]])</f>
        <v>0</v>
      </c>
      <c r="BT672" s="3">
        <f>+IF(AVANCE[[#This Row],[CABLEADO]]=AD$2,100%,AVANCE[[#This Row],[CABLEADO]])</f>
        <v>0</v>
      </c>
      <c r="BU672" s="3">
        <f>+IF(AVANCE[[#This Row],[ARTEFACTOS]]=AE$2,100%,AVANCE[[#This Row],[ARTEFACTOS]])</f>
        <v>0</v>
      </c>
      <c r="BV672" s="3">
        <f>+IF(AVANCE[[#This Row],[TABLERO]]=AF$2,100%,AVANCE[[#This Row],[TABLERO]])</f>
        <v>0</v>
      </c>
      <c r="BW672" s="3">
        <f>+IF(AVANCE[[#This Row],[CAJA PAU]]=AG$2,100%,AVANCE[[#This Row],[CAJA PAU]])</f>
        <v>0</v>
      </c>
      <c r="BX672" s="3">
        <f>+IF(AVANCE[[#This Row],[INSTALACION VINILICO]]=AJ$2,100%,AVANCE[[#This Row],[INSTALACION VINILICO]])</f>
        <v>0</v>
      </c>
      <c r="BY672" s="3">
        <f>+IF(AVANCE[[#This Row],[OSB CUBIERTA]]=AK$2,100%,AVANCE[[#This Row],[OSB CUBIERTA]])</f>
        <v>0</v>
      </c>
      <c r="BZ672" s="3">
        <f>+IF(AVANCE[[#This Row],[BARANDA BALCON]]=AL$2,100%,AVANCE[[#This Row],[BARANDA BALCON]])</f>
        <v>0</v>
      </c>
      <c r="CA672" s="3">
        <f>+IF(AVANCE[[#This Row],[OSB EXTERIOR]]=AM$2,100%,AVANCE[[#This Row],[OSB EXTERIOR]])</f>
        <v>0</v>
      </c>
      <c r="CB672" s="3">
        <f>+IF(AVANCE[[#This Row],[SMART PANEL]]=AN$2,100%,AVANCE[[#This Row],[SMART PANEL]])</f>
        <v>0</v>
      </c>
      <c r="CC672" s="3">
        <f>+IF(AVANCE[[#This Row],[PINTURA EXTERIOR]]=AO$2,100%,AVANCE[[#This Row],[PINTURA EXTERIOR]])</f>
        <v>0</v>
      </c>
      <c r="CD672" s="3">
        <f>+IF(AVANCE[[#This Row],[ZOCALOS LOGIA]]=AP$2,100%,AVANCE[[#This Row],[ZOCALOS LOGIA]])</f>
        <v>0</v>
      </c>
      <c r="CE672" s="3">
        <f>+IF(AVANCE[[#This Row],[MOLDURAS]]=AQ$2,100%,AVANCE[[#This Row],[MOLDURAS]])</f>
        <v>0</v>
      </c>
      <c r="CF672" s="3">
        <f>+IF(AVANCE[[#This Row],[PILASTREO]]=AR$2,100%,AVANCE[[#This Row],[PILASTREO]])</f>
        <v>0</v>
      </c>
      <c r="CG672" s="3">
        <f>+IF(AVANCE[[#This Row],[CELOSIAS]]=AS$2,100%,AVANCE[[#This Row],[CELOSIAS]])</f>
        <v>0</v>
      </c>
      <c r="CH672" s="3">
        <f>+IF(AVANCE[[#This Row],[VENTANAS]]=AT$2,100%,AVANCE[[#This Row],[VENTANAS]])</f>
        <v>0</v>
      </c>
      <c r="CI672" s="3">
        <f>+IF(AVANCE[[#This Row],[PUERTAS ACCESO - LOGIA - BANO]]=AU$2,100%,AVANCE[[#This Row],[PUERTAS ACCESO - LOGIA - BANO]])</f>
        <v>0</v>
      </c>
      <c r="CJ672" s="3">
        <f>+IF(AVANCE[[#This Row],[CERRADURAS]]=AV$2,100%,AVANCE[[#This Row],[CERRADURAS]])</f>
        <v>0</v>
      </c>
      <c r="CK672" s="3">
        <f>+IF(AVANCE[[#This Row],[REVESTIMIENTO INTERIOR ZONA SECA]]=AW$2,100%,AVANCE[[#This Row],[REVESTIMIENTO INTERIOR ZONA SECA]])</f>
        <v>0</v>
      </c>
      <c r="CL672" s="3">
        <f>+IF(AVANCE[[#This Row],[REVESTIMIENTO INTERIOR ZONAS HUMEDAS]]=AX$2,100%,AVANCE[[#This Row],[REVESTIMIENTO INTERIOR ZONAS HUMEDAS]])</f>
        <v>0</v>
      </c>
      <c r="CM672" s="3">
        <f>+IF(AVANCE[[#This Row],[MEMBRANA CIELO]]=AY$2,100%,AVANCE[[#This Row],[MEMBRANA CIELO]])</f>
        <v>0</v>
      </c>
      <c r="CN672" s="3">
        <f>+IF(AVANCE[[#This Row],[LIMPIEZA FINAL]]=AZ$2,100%,AVANCE[[#This Row],[LIMPIEZA FINAL]])</f>
        <v>0</v>
      </c>
      <c r="CO672" s="3">
        <f>+IF(AVANCE[[#This Row],[PUERTAS DORMITORIO]]=BA$2,100%,AVANCE[[#This Row],[PUERTAS DORMITORIO]])</f>
        <v>0</v>
      </c>
      <c r="CP672" s="3">
        <f>+IF(AVANCE[[#This Row],[REVESTIMIENTO INTERIOR BANO]]=BB$2,100%,AVANCE[[#This Row],[REVESTIMIENTO INTERIOR BANO]])</f>
        <v>0</v>
      </c>
      <c r="CQ672" s="3">
        <f>+IF(AVANCE[[#This Row],[MUEBLE LAVAPLATOS]]=BC$2,100%,AVANCE[[#This Row],[MUEBLE LAVAPLATOS]])</f>
        <v>0</v>
      </c>
      <c r="CR672" s="3">
        <f>+IF(AVANCE[[#This Row],[IMPERMEABILIZACION BANO - COCINA LOGIA]]=BD$2,100%,AVANCE[[#This Row],[IMPERMEABILIZACION BANO - COCINA LOGIA]])</f>
        <v>0</v>
      </c>
      <c r="CS672" s="40">
        <f ca="1">+IF(AVANCE[[#This Row],[ESTADO MODULO]]="PENDIENTE",(TODAY()-AVANCE[[#This Row],[FECHA TERMINO  PLANIFICADO]]),0)</f>
        <v>0</v>
      </c>
      <c r="CT672" s="41" t="str" cm="1">
        <f t="array" ref="CT672">_xlfn.TEXTJOIN(" | ",TRUE,IF(SUMPRODUCT((BG672:CR672&lt;1)*(PARTIDAS!$I$2:$AT$2="OBRA GRUESA"))&gt;0,"OBRA GRUESA: "&amp;_xlfn.TEXTJOIN(", ",TRUE,IF((BG672:CR672&lt;1)*(PARTIDAS!$I$2:$AT$2="OBRA GRUESA"),PARTIDAS!$I$1:$AT$1,"")),""),IF(SUMPRODUCT((BG672:CR672&lt;1)*(PARTIDAS!$I$2:$AT$2="SANITARIOS"))&gt;0,"SANITARIOS: "&amp;_xlfn.TEXTJOIN(", ",TRUE,IF((BG672:CR672&lt;1)*(PARTIDAS!$I$2:$AT$2="SANITARIOS"),PARTIDAS!$I$1:$AT$1,"")),""),IF(SUMPRODUCT((BG672:CR672&lt;1)*(PARTIDAS!$I$2:$AT$2="ELÉCTRICO"))&gt;0,"ELÉCTRICO: "&amp;_xlfn.TEXTJOIN(", ",TRUE,IF((BG672:CR672&lt;1)*(PARTIDAS!$I$2:$AT$2="ELÉCTRICO"),PARTIDAS!$I$1:$AT$1,"")),""),IF(SUMPRODUCT((BG672:CR672&lt;1)*(PARTIDAS!$I$2:$AT$2="TERMINACIONES"))&gt;0,"TERMINACIONES: "&amp;_xlfn.TEXTJOIN(", ",TRUE,IF((BG672:CR672&lt;1)*(PARTIDAS!$I$2:$AT$2="TERMINACIONES"),PARTIDAS!$I$1:$AT$1,"")),""))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2" s="43" t="str" cm="1">
        <f t="array" ref="CU672">_xlfn.TEXTJOIN(", ",TRUE,IF(SUMPRODUCT((BG672:CR672&lt;1)*(PARTIDAS!$I$2:$AT$2="OBRA GRUESA"))&gt;0,"OBRA GRUESA",""),IF(SUMPRODUCT((BG672:CR672&lt;1)*(PARTIDAS!$I$2:$AT$2="SANITARIOS"))&gt;0,"SANITARIOS",""),IF(SUMPRODUCT((BG672:CR672&lt;1)*(PARTIDAS!$I$2:$AT$2="ELÉCTRICO"))&gt;0,"ELÉCTRICO",""),IF(SUMPRODUCT((BG672:CR672&lt;1)*(PARTIDAS!$I$2:$AT$2="TERMINACIONES"))&gt;0,"TERMINACIONES",""))</f>
        <v>OBRA GRUESA, SANITARIOS, ELÉCTRICO, TERMINACIONES</v>
      </c>
      <c r="CV672" s="44" cm="1">
        <f t="array" ref="CV672">SUMPRODUCT(--(BG672:CR672&lt;1))</f>
        <v>38</v>
      </c>
    </row>
    <row r="673" spans="1:100" hidden="1" x14ac:dyDescent="0.25">
      <c r="A673" t="s">
        <v>718</v>
      </c>
      <c r="B673" t="s">
        <v>750</v>
      </c>
      <c r="C673">
        <v>2282600672</v>
      </c>
      <c r="D673" t="s">
        <v>58</v>
      </c>
      <c r="E673" s="2">
        <v>0</v>
      </c>
      <c r="F673" s="1">
        <v>46472</v>
      </c>
      <c r="G673" s="1"/>
      <c r="H673" s="1">
        <v>0</v>
      </c>
      <c r="I673" s="1">
        <v>46492</v>
      </c>
      <c r="J673">
        <v>46230</v>
      </c>
      <c r="K673" s="1"/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>
        <v>28.87</v>
      </c>
      <c r="BF673" s="3" t="str">
        <f>+IF(AVANCE[[#This Row],[% AVANCE]]=100%,"MODULO TERMINADO",IF(AVANCE[[#This Row],[FECHA INICIO REAL]]="","MODULO NO INICIADO","PENDIENTE"))</f>
        <v>MODULO NO INICIADO</v>
      </c>
      <c r="BG673" s="3">
        <f>+IF(AVANCE[[#This Row],[VENTANAS]]=8.10810810810811%,100%,AVANCE[[#This Row],[VENTANAS]])</f>
        <v>0</v>
      </c>
      <c r="BH673" s="3">
        <f>+IF(AVANCE[[#This Row],[PISO]]=N$2,100%,AVANCE[[#This Row],[PISO]])</f>
        <v>0</v>
      </c>
      <c r="BI673" s="3">
        <f>+IF(AVANCE[[#This Row],[TABIQUES]]=O$2,100%,AVANCE[[#This Row],[TABIQUES]])</f>
        <v>0</v>
      </c>
      <c r="BJ673" s="3">
        <f>+IF(AVANCE[[#This Row],[MUROS]]=P$2,100%,AVANCE[[#This Row],[MUROS]])</f>
        <v>0</v>
      </c>
      <c r="BK673" s="3">
        <f>+IF(AVANCE[[#This Row],[CIELO]]=Q$2,100%,AVANCE[[#This Row],[CIELO]])</f>
        <v>0</v>
      </c>
      <c r="BL673" s="3">
        <f>+IF(AVANCE[[#This Row],[BALCÓN]]=R$2,100%,AVANCE[[#This Row],[BALCÓN]])</f>
        <v>0</v>
      </c>
      <c r="BM673" s="3">
        <f>+IF(AVANCE[[#This Row],[RED ALCANTARILLADO]]=U$2,100%,AVANCE[[#This Row],[RED ALCANTARILLADO]])</f>
        <v>0</v>
      </c>
      <c r="BN673" s="3">
        <f>+IF(AVANCE[[#This Row],[RED DE AGUA]]=V$2,100%,AVANCE[[#This Row],[RED DE AGUA]])</f>
        <v>0</v>
      </c>
      <c r="BO673" s="3">
        <f>+IF(AVANCE[[#This Row],[VENTILACIONES]]=W$2,100%,AVANCE[[#This Row],[VENTILACIONES]])</f>
        <v>0</v>
      </c>
      <c r="BP673" s="3">
        <f>+IF(AVANCE[[#This Row],[TINA]]=X$2,100%,AVANCE[[#This Row],[TINA]])</f>
        <v>0</v>
      </c>
      <c r="BQ673" s="3">
        <f>+IF(AVANCE[[#This Row],[WC]]=Y$2,100%,AVANCE[[#This Row],[WC]])</f>
        <v>0</v>
      </c>
      <c r="BR673" s="3">
        <f>+IF(AVANCE[[#This Row],[LAVAMANOS / LAVAPLATOS / LAVADERO]]=Z$2,100%,AVANCE[[#This Row],[LAVAMANOS / LAVAPLATOS / LAVADERO]])</f>
        <v>0</v>
      </c>
      <c r="BS673" s="3">
        <f>+IF(AVANCE[[#This Row],[CANALIZACIÓN]]=AC$2,100%,AVANCE[[#This Row],[CANALIZACIÓN]])</f>
        <v>0</v>
      </c>
      <c r="BT673" s="3">
        <f>+IF(AVANCE[[#This Row],[CABLEADO]]=AD$2,100%,AVANCE[[#This Row],[CABLEADO]])</f>
        <v>0</v>
      </c>
      <c r="BU673" s="3">
        <f>+IF(AVANCE[[#This Row],[ARTEFACTOS]]=AE$2,100%,AVANCE[[#This Row],[ARTEFACTOS]])</f>
        <v>0</v>
      </c>
      <c r="BV673" s="3">
        <f>+IF(AVANCE[[#This Row],[TABLERO]]=AF$2,100%,AVANCE[[#This Row],[TABLERO]])</f>
        <v>0</v>
      </c>
      <c r="BW673" s="3">
        <f>+IF(AVANCE[[#This Row],[CAJA PAU]]=AG$2,100%,AVANCE[[#This Row],[CAJA PAU]])</f>
        <v>0</v>
      </c>
      <c r="BX673" s="3">
        <f>+IF(AVANCE[[#This Row],[INSTALACION VINILICO]]=AJ$2,100%,AVANCE[[#This Row],[INSTALACION VINILICO]])</f>
        <v>0</v>
      </c>
      <c r="BY673" s="3">
        <f>+IF(AVANCE[[#This Row],[OSB CUBIERTA]]=AK$2,100%,AVANCE[[#This Row],[OSB CUBIERTA]])</f>
        <v>0</v>
      </c>
      <c r="BZ673" s="3">
        <f>+IF(AVANCE[[#This Row],[BARANDA BALCON]]=AL$2,100%,AVANCE[[#This Row],[BARANDA BALCON]])</f>
        <v>0</v>
      </c>
      <c r="CA673" s="3">
        <f>+IF(AVANCE[[#This Row],[OSB EXTERIOR]]=AM$2,100%,AVANCE[[#This Row],[OSB EXTERIOR]])</f>
        <v>0</v>
      </c>
      <c r="CB673" s="3">
        <f>+IF(AVANCE[[#This Row],[SMART PANEL]]=AN$2,100%,AVANCE[[#This Row],[SMART PANEL]])</f>
        <v>0</v>
      </c>
      <c r="CC673" s="3">
        <f>+IF(AVANCE[[#This Row],[PINTURA EXTERIOR]]=AO$2,100%,AVANCE[[#This Row],[PINTURA EXTERIOR]])</f>
        <v>0</v>
      </c>
      <c r="CD673" s="3">
        <f>+IF(AVANCE[[#This Row],[ZOCALOS LOGIA]]=AP$2,100%,AVANCE[[#This Row],[ZOCALOS LOGIA]])</f>
        <v>0</v>
      </c>
      <c r="CE673" s="3">
        <f>+IF(AVANCE[[#This Row],[MOLDURAS]]=AQ$2,100%,AVANCE[[#This Row],[MOLDURAS]])</f>
        <v>0</v>
      </c>
      <c r="CF673" s="3">
        <f>+IF(AVANCE[[#This Row],[PILASTREO]]=AR$2,100%,AVANCE[[#This Row],[PILASTREO]])</f>
        <v>0</v>
      </c>
      <c r="CG673" s="3">
        <f>+IF(AVANCE[[#This Row],[CELOSIAS]]=AS$2,100%,AVANCE[[#This Row],[CELOSIAS]])</f>
        <v>0</v>
      </c>
      <c r="CH673" s="3">
        <f>+IF(AVANCE[[#This Row],[VENTANAS]]=AT$2,100%,AVANCE[[#This Row],[VENTANAS]])</f>
        <v>0</v>
      </c>
      <c r="CI673" s="3">
        <f>+IF(AVANCE[[#This Row],[PUERTAS ACCESO - LOGIA - BANO]]=AU$2,100%,AVANCE[[#This Row],[PUERTAS ACCESO - LOGIA - BANO]])</f>
        <v>0</v>
      </c>
      <c r="CJ673" s="3">
        <f>+IF(AVANCE[[#This Row],[CERRADURAS]]=AV$2,100%,AVANCE[[#This Row],[CERRADURAS]])</f>
        <v>0</v>
      </c>
      <c r="CK673" s="3">
        <f>+IF(AVANCE[[#This Row],[REVESTIMIENTO INTERIOR ZONA SECA]]=AW$2,100%,AVANCE[[#This Row],[REVESTIMIENTO INTERIOR ZONA SECA]])</f>
        <v>0</v>
      </c>
      <c r="CL673" s="3">
        <f>+IF(AVANCE[[#This Row],[REVESTIMIENTO INTERIOR ZONAS HUMEDAS]]=AX$2,100%,AVANCE[[#This Row],[REVESTIMIENTO INTERIOR ZONAS HUMEDAS]])</f>
        <v>0</v>
      </c>
      <c r="CM673" s="3">
        <f>+IF(AVANCE[[#This Row],[MEMBRANA CIELO]]=AY$2,100%,AVANCE[[#This Row],[MEMBRANA CIELO]])</f>
        <v>0</v>
      </c>
      <c r="CN673" s="3">
        <f>+IF(AVANCE[[#This Row],[LIMPIEZA FINAL]]=AZ$2,100%,AVANCE[[#This Row],[LIMPIEZA FINAL]])</f>
        <v>0</v>
      </c>
      <c r="CO673" s="3">
        <f>+IF(AVANCE[[#This Row],[PUERTAS DORMITORIO]]=BA$2,100%,AVANCE[[#This Row],[PUERTAS DORMITORIO]])</f>
        <v>0</v>
      </c>
      <c r="CP673" s="3">
        <f>+IF(AVANCE[[#This Row],[REVESTIMIENTO INTERIOR BANO]]=BB$2,100%,AVANCE[[#This Row],[REVESTIMIENTO INTERIOR BANO]])</f>
        <v>0</v>
      </c>
      <c r="CQ673" s="3">
        <f>+IF(AVANCE[[#This Row],[MUEBLE LAVAPLATOS]]=BC$2,100%,AVANCE[[#This Row],[MUEBLE LAVAPLATOS]])</f>
        <v>0</v>
      </c>
      <c r="CR673" s="3">
        <f>+IF(AVANCE[[#This Row],[IMPERMEABILIZACION BANO - COCINA LOGIA]]=BD$2,100%,AVANCE[[#This Row],[IMPERMEABILIZACION BANO - COCINA LOGIA]])</f>
        <v>0</v>
      </c>
      <c r="CS673" s="40">
        <f ca="1">+IF(AVANCE[[#This Row],[ESTADO MODULO]]="PENDIENTE",(TODAY()-AVANCE[[#This Row],[FECHA TERMINO  PLANIFICADO]]),0)</f>
        <v>0</v>
      </c>
      <c r="CT673" s="41" t="str" cm="1">
        <f t="array" ref="CT673">_xlfn.TEXTJOIN(" | ",TRUE,IF(SUMPRODUCT((BG673:CR673&lt;1)*(PARTIDAS!$I$2:$AT$2="OBRA GRUESA"))&gt;0,"OBRA GRUESA: "&amp;_xlfn.TEXTJOIN(", ",TRUE,IF((BG673:CR673&lt;1)*(PARTIDAS!$I$2:$AT$2="OBRA GRUESA"),PARTIDAS!$I$1:$AT$1,"")),""),IF(SUMPRODUCT((BG673:CR673&lt;1)*(PARTIDAS!$I$2:$AT$2="SANITARIOS"))&gt;0,"SANITARIOS: "&amp;_xlfn.TEXTJOIN(", ",TRUE,IF((BG673:CR673&lt;1)*(PARTIDAS!$I$2:$AT$2="SANITARIOS"),PARTIDAS!$I$1:$AT$1,"")),""),IF(SUMPRODUCT((BG673:CR673&lt;1)*(PARTIDAS!$I$2:$AT$2="ELÉCTRICO"))&gt;0,"ELÉCTRICO: "&amp;_xlfn.TEXTJOIN(", ",TRUE,IF((BG673:CR673&lt;1)*(PARTIDAS!$I$2:$AT$2="ELÉCTRICO"),PARTIDAS!$I$1:$AT$1,"")),""),IF(SUMPRODUCT((BG673:CR673&lt;1)*(PARTIDAS!$I$2:$AT$2="TERMINACIONES"))&gt;0,"TERMINACIONES: "&amp;_xlfn.TEXTJOIN(", ",TRUE,IF((BG673:CR673&lt;1)*(PARTIDAS!$I$2:$AT$2="TERMINACIONES"),PARTIDAS!$I$1:$AT$1,"")),""))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3" s="43" t="str" cm="1">
        <f t="array" ref="CU673">_xlfn.TEXTJOIN(", ",TRUE,IF(SUMPRODUCT((BG673:CR673&lt;1)*(PARTIDAS!$I$2:$AT$2="OBRA GRUESA"))&gt;0,"OBRA GRUESA",""),IF(SUMPRODUCT((BG673:CR673&lt;1)*(PARTIDAS!$I$2:$AT$2="SANITARIOS"))&gt;0,"SANITARIOS",""),IF(SUMPRODUCT((BG673:CR673&lt;1)*(PARTIDAS!$I$2:$AT$2="ELÉCTRICO"))&gt;0,"ELÉCTRICO",""),IF(SUMPRODUCT((BG673:CR673&lt;1)*(PARTIDAS!$I$2:$AT$2="TERMINACIONES"))&gt;0,"TERMINACIONES",""))</f>
        <v>OBRA GRUESA, SANITARIOS, ELÉCTRICO, TERMINACIONES</v>
      </c>
      <c r="CV673" s="44" cm="1">
        <f t="array" ref="CV673">SUMPRODUCT(--(BG673:CR673&lt;1))</f>
        <v>38</v>
      </c>
    </row>
    <row r="674" spans="1:100" hidden="1" x14ac:dyDescent="0.25">
      <c r="A674" t="s">
        <v>751</v>
      </c>
      <c r="B674" t="s">
        <v>752</v>
      </c>
      <c r="C674">
        <v>2282600673</v>
      </c>
      <c r="D674" t="s">
        <v>58</v>
      </c>
      <c r="E674" s="2">
        <v>0</v>
      </c>
      <c r="F674" s="1">
        <v>46472</v>
      </c>
      <c r="G674" s="1"/>
      <c r="H674" s="1">
        <v>0</v>
      </c>
      <c r="I674" s="1">
        <v>46492</v>
      </c>
      <c r="J674">
        <v>46230</v>
      </c>
      <c r="K674" s="1"/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>
        <v>28.87</v>
      </c>
      <c r="BF674" s="3" t="str">
        <f>+IF(AVANCE[[#This Row],[% AVANCE]]=100%,"MODULO TERMINADO",IF(AVANCE[[#This Row],[FECHA INICIO REAL]]="","MODULO NO INICIADO","PENDIENTE"))</f>
        <v>MODULO NO INICIADO</v>
      </c>
      <c r="BG674" s="3">
        <f>+IF(AVANCE[[#This Row],[VENTANAS]]=8.10810810810811%,100%,AVANCE[[#This Row],[VENTANAS]])</f>
        <v>0</v>
      </c>
      <c r="BH674" s="3">
        <f>+IF(AVANCE[[#This Row],[PISO]]=N$2,100%,AVANCE[[#This Row],[PISO]])</f>
        <v>0</v>
      </c>
      <c r="BI674" s="3">
        <f>+IF(AVANCE[[#This Row],[TABIQUES]]=O$2,100%,AVANCE[[#This Row],[TABIQUES]])</f>
        <v>0</v>
      </c>
      <c r="BJ674" s="3">
        <f>+IF(AVANCE[[#This Row],[MUROS]]=P$2,100%,AVANCE[[#This Row],[MUROS]])</f>
        <v>0</v>
      </c>
      <c r="BK674" s="3">
        <f>+IF(AVANCE[[#This Row],[CIELO]]=Q$2,100%,AVANCE[[#This Row],[CIELO]])</f>
        <v>0</v>
      </c>
      <c r="BL674" s="3">
        <f>+IF(AVANCE[[#This Row],[BALCÓN]]=R$2,100%,AVANCE[[#This Row],[BALCÓN]])</f>
        <v>0</v>
      </c>
      <c r="BM674" s="3">
        <f>+IF(AVANCE[[#This Row],[RED ALCANTARILLADO]]=U$2,100%,AVANCE[[#This Row],[RED ALCANTARILLADO]])</f>
        <v>0</v>
      </c>
      <c r="BN674" s="3">
        <f>+IF(AVANCE[[#This Row],[RED DE AGUA]]=V$2,100%,AVANCE[[#This Row],[RED DE AGUA]])</f>
        <v>0</v>
      </c>
      <c r="BO674" s="3">
        <f>+IF(AVANCE[[#This Row],[VENTILACIONES]]=W$2,100%,AVANCE[[#This Row],[VENTILACIONES]])</f>
        <v>0</v>
      </c>
      <c r="BP674" s="3">
        <f>+IF(AVANCE[[#This Row],[TINA]]=X$2,100%,AVANCE[[#This Row],[TINA]])</f>
        <v>0</v>
      </c>
      <c r="BQ674" s="3">
        <f>+IF(AVANCE[[#This Row],[WC]]=Y$2,100%,AVANCE[[#This Row],[WC]])</f>
        <v>0</v>
      </c>
      <c r="BR674" s="3">
        <f>+IF(AVANCE[[#This Row],[LAVAMANOS / LAVAPLATOS / LAVADERO]]=Z$2,100%,AVANCE[[#This Row],[LAVAMANOS / LAVAPLATOS / LAVADERO]])</f>
        <v>0</v>
      </c>
      <c r="BS674" s="3">
        <f>+IF(AVANCE[[#This Row],[CANALIZACIÓN]]=AC$2,100%,AVANCE[[#This Row],[CANALIZACIÓN]])</f>
        <v>0</v>
      </c>
      <c r="BT674" s="3">
        <f>+IF(AVANCE[[#This Row],[CABLEADO]]=AD$2,100%,AVANCE[[#This Row],[CABLEADO]])</f>
        <v>0</v>
      </c>
      <c r="BU674" s="3">
        <f>+IF(AVANCE[[#This Row],[ARTEFACTOS]]=AE$2,100%,AVANCE[[#This Row],[ARTEFACTOS]])</f>
        <v>0</v>
      </c>
      <c r="BV674" s="3">
        <f>+IF(AVANCE[[#This Row],[TABLERO]]=AF$2,100%,AVANCE[[#This Row],[TABLERO]])</f>
        <v>0</v>
      </c>
      <c r="BW674" s="3">
        <f>+IF(AVANCE[[#This Row],[CAJA PAU]]=AG$2,100%,AVANCE[[#This Row],[CAJA PAU]])</f>
        <v>0</v>
      </c>
      <c r="BX674" s="3">
        <f>+IF(AVANCE[[#This Row],[INSTALACION VINILICO]]=AJ$2,100%,AVANCE[[#This Row],[INSTALACION VINILICO]])</f>
        <v>0</v>
      </c>
      <c r="BY674" s="3">
        <f>+IF(AVANCE[[#This Row],[OSB CUBIERTA]]=AK$2,100%,AVANCE[[#This Row],[OSB CUBIERTA]])</f>
        <v>0</v>
      </c>
      <c r="BZ674" s="3">
        <f>+IF(AVANCE[[#This Row],[BARANDA BALCON]]=AL$2,100%,AVANCE[[#This Row],[BARANDA BALCON]])</f>
        <v>0</v>
      </c>
      <c r="CA674" s="3">
        <f>+IF(AVANCE[[#This Row],[OSB EXTERIOR]]=AM$2,100%,AVANCE[[#This Row],[OSB EXTERIOR]])</f>
        <v>0</v>
      </c>
      <c r="CB674" s="3">
        <f>+IF(AVANCE[[#This Row],[SMART PANEL]]=AN$2,100%,AVANCE[[#This Row],[SMART PANEL]])</f>
        <v>0</v>
      </c>
      <c r="CC674" s="3">
        <f>+IF(AVANCE[[#This Row],[PINTURA EXTERIOR]]=AO$2,100%,AVANCE[[#This Row],[PINTURA EXTERIOR]])</f>
        <v>0</v>
      </c>
      <c r="CD674" s="3">
        <f>+IF(AVANCE[[#This Row],[ZOCALOS LOGIA]]=AP$2,100%,AVANCE[[#This Row],[ZOCALOS LOGIA]])</f>
        <v>0</v>
      </c>
      <c r="CE674" s="3">
        <f>+IF(AVANCE[[#This Row],[MOLDURAS]]=AQ$2,100%,AVANCE[[#This Row],[MOLDURAS]])</f>
        <v>0</v>
      </c>
      <c r="CF674" s="3">
        <f>+IF(AVANCE[[#This Row],[PILASTREO]]=AR$2,100%,AVANCE[[#This Row],[PILASTREO]])</f>
        <v>0</v>
      </c>
      <c r="CG674" s="3">
        <f>+IF(AVANCE[[#This Row],[CELOSIAS]]=AS$2,100%,AVANCE[[#This Row],[CELOSIAS]])</f>
        <v>0</v>
      </c>
      <c r="CH674" s="3">
        <f>+IF(AVANCE[[#This Row],[VENTANAS]]=AT$2,100%,AVANCE[[#This Row],[VENTANAS]])</f>
        <v>0</v>
      </c>
      <c r="CI674" s="3">
        <f>+IF(AVANCE[[#This Row],[PUERTAS ACCESO - LOGIA - BANO]]=AU$2,100%,AVANCE[[#This Row],[PUERTAS ACCESO - LOGIA - BANO]])</f>
        <v>0</v>
      </c>
      <c r="CJ674" s="3">
        <f>+IF(AVANCE[[#This Row],[CERRADURAS]]=AV$2,100%,AVANCE[[#This Row],[CERRADURAS]])</f>
        <v>0</v>
      </c>
      <c r="CK674" s="3">
        <f>+IF(AVANCE[[#This Row],[REVESTIMIENTO INTERIOR ZONA SECA]]=AW$2,100%,AVANCE[[#This Row],[REVESTIMIENTO INTERIOR ZONA SECA]])</f>
        <v>0</v>
      </c>
      <c r="CL674" s="3">
        <f>+IF(AVANCE[[#This Row],[REVESTIMIENTO INTERIOR ZONAS HUMEDAS]]=AX$2,100%,AVANCE[[#This Row],[REVESTIMIENTO INTERIOR ZONAS HUMEDAS]])</f>
        <v>0</v>
      </c>
      <c r="CM674" s="3">
        <f>+IF(AVANCE[[#This Row],[MEMBRANA CIELO]]=AY$2,100%,AVANCE[[#This Row],[MEMBRANA CIELO]])</f>
        <v>0</v>
      </c>
      <c r="CN674" s="3">
        <f>+IF(AVANCE[[#This Row],[LIMPIEZA FINAL]]=AZ$2,100%,AVANCE[[#This Row],[LIMPIEZA FINAL]])</f>
        <v>0</v>
      </c>
      <c r="CO674" s="3">
        <f>+IF(AVANCE[[#This Row],[PUERTAS DORMITORIO]]=BA$2,100%,AVANCE[[#This Row],[PUERTAS DORMITORIO]])</f>
        <v>0</v>
      </c>
      <c r="CP674" s="3">
        <f>+IF(AVANCE[[#This Row],[REVESTIMIENTO INTERIOR BANO]]=BB$2,100%,AVANCE[[#This Row],[REVESTIMIENTO INTERIOR BANO]])</f>
        <v>0</v>
      </c>
      <c r="CQ674" s="3">
        <f>+IF(AVANCE[[#This Row],[MUEBLE LAVAPLATOS]]=BC$2,100%,AVANCE[[#This Row],[MUEBLE LAVAPLATOS]])</f>
        <v>0</v>
      </c>
      <c r="CR674" s="3">
        <f>+IF(AVANCE[[#This Row],[IMPERMEABILIZACION BANO - COCINA LOGIA]]=BD$2,100%,AVANCE[[#This Row],[IMPERMEABILIZACION BANO - COCINA LOGIA]])</f>
        <v>0</v>
      </c>
      <c r="CS674" s="40">
        <f ca="1">+IF(AVANCE[[#This Row],[ESTADO MODULO]]="PENDIENTE",(TODAY()-AVANCE[[#This Row],[FECHA TERMINO  PLANIFICADO]]),0)</f>
        <v>0</v>
      </c>
      <c r="CT674" s="41" t="str" cm="1">
        <f t="array" ref="CT674">_xlfn.TEXTJOIN(" | ",TRUE,IF(SUMPRODUCT((BG674:CR674&lt;1)*(PARTIDAS!$I$2:$AT$2="OBRA GRUESA"))&gt;0,"OBRA GRUESA: "&amp;_xlfn.TEXTJOIN(", ",TRUE,IF((BG674:CR674&lt;1)*(PARTIDAS!$I$2:$AT$2="OBRA GRUESA"),PARTIDAS!$I$1:$AT$1,"")),""),IF(SUMPRODUCT((BG674:CR674&lt;1)*(PARTIDAS!$I$2:$AT$2="SANITARIOS"))&gt;0,"SANITARIOS: "&amp;_xlfn.TEXTJOIN(", ",TRUE,IF((BG674:CR674&lt;1)*(PARTIDAS!$I$2:$AT$2="SANITARIOS"),PARTIDAS!$I$1:$AT$1,"")),""),IF(SUMPRODUCT((BG674:CR674&lt;1)*(PARTIDAS!$I$2:$AT$2="ELÉCTRICO"))&gt;0,"ELÉCTRICO: "&amp;_xlfn.TEXTJOIN(", ",TRUE,IF((BG674:CR674&lt;1)*(PARTIDAS!$I$2:$AT$2="ELÉCTRICO"),PARTIDAS!$I$1:$AT$1,"")),""),IF(SUMPRODUCT((BG674:CR674&lt;1)*(PARTIDAS!$I$2:$AT$2="TERMINACIONES"))&gt;0,"TERMINACIONES: "&amp;_xlfn.TEXTJOIN(", ",TRUE,IF((BG674:CR674&lt;1)*(PARTIDAS!$I$2:$AT$2="TERMINACIONES"),PARTIDAS!$I$1:$AT$1,"")),""))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4" s="43" t="str" cm="1">
        <f t="array" ref="CU674">_xlfn.TEXTJOIN(", ",TRUE,IF(SUMPRODUCT((BG674:CR674&lt;1)*(PARTIDAS!$I$2:$AT$2="OBRA GRUESA"))&gt;0,"OBRA GRUESA",""),IF(SUMPRODUCT((BG674:CR674&lt;1)*(PARTIDAS!$I$2:$AT$2="SANITARIOS"))&gt;0,"SANITARIOS",""),IF(SUMPRODUCT((BG674:CR674&lt;1)*(PARTIDAS!$I$2:$AT$2="ELÉCTRICO"))&gt;0,"ELÉCTRICO",""),IF(SUMPRODUCT((BG674:CR674&lt;1)*(PARTIDAS!$I$2:$AT$2="TERMINACIONES"))&gt;0,"TERMINACIONES",""))</f>
        <v>OBRA GRUESA, SANITARIOS, ELÉCTRICO, TERMINACIONES</v>
      </c>
      <c r="CV674" s="44" cm="1">
        <f t="array" ref="CV674">SUMPRODUCT(--(BG674:CR674&lt;1))</f>
        <v>38</v>
      </c>
    </row>
    <row r="675" spans="1:100" hidden="1" x14ac:dyDescent="0.25">
      <c r="A675" t="s">
        <v>751</v>
      </c>
      <c r="B675" t="s">
        <v>753</v>
      </c>
      <c r="C675">
        <v>2302600674</v>
      </c>
      <c r="D675" t="s">
        <v>60</v>
      </c>
      <c r="E675" s="2">
        <v>0</v>
      </c>
      <c r="F675" s="1">
        <v>46475</v>
      </c>
      <c r="G675" s="1"/>
      <c r="H675" s="1">
        <v>0</v>
      </c>
      <c r="I675" s="1">
        <v>46505</v>
      </c>
      <c r="J675">
        <v>46230</v>
      </c>
      <c r="K675" s="1"/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>
        <v>31.32</v>
      </c>
      <c r="BF675" s="3" t="str">
        <f>+IF(AVANCE[[#This Row],[% AVANCE]]=100%,"MODULO TERMINADO",IF(AVANCE[[#This Row],[FECHA INICIO REAL]]="","MODULO NO INICIADO","PENDIENTE"))</f>
        <v>MODULO NO INICIADO</v>
      </c>
      <c r="BG675" s="3">
        <f>+IF(AVANCE[[#This Row],[VENTANAS]]=8.10810810810811%,100%,AVANCE[[#This Row],[VENTANAS]])</f>
        <v>0</v>
      </c>
      <c r="BH675" s="3">
        <f>+IF(AVANCE[[#This Row],[PISO]]=N$2,100%,AVANCE[[#This Row],[PISO]])</f>
        <v>0</v>
      </c>
      <c r="BI675" s="3">
        <f>+IF(AVANCE[[#This Row],[TABIQUES]]=O$2,100%,AVANCE[[#This Row],[TABIQUES]])</f>
        <v>0</v>
      </c>
      <c r="BJ675" s="3">
        <f>+IF(AVANCE[[#This Row],[MUROS]]=P$2,100%,AVANCE[[#This Row],[MUROS]])</f>
        <v>0</v>
      </c>
      <c r="BK675" s="3">
        <f>+IF(AVANCE[[#This Row],[CIELO]]=Q$2,100%,AVANCE[[#This Row],[CIELO]])</f>
        <v>0</v>
      </c>
      <c r="BL675" s="3">
        <f>+IF(AVANCE[[#This Row],[BALCÓN]]=R$2,100%,AVANCE[[#This Row],[BALCÓN]])</f>
        <v>0</v>
      </c>
      <c r="BM675" s="3">
        <f>+IF(AVANCE[[#This Row],[RED ALCANTARILLADO]]=U$2,100%,AVANCE[[#This Row],[RED ALCANTARILLADO]])</f>
        <v>0</v>
      </c>
      <c r="BN675" s="3">
        <f>+IF(AVANCE[[#This Row],[RED DE AGUA]]=V$2,100%,AVANCE[[#This Row],[RED DE AGUA]])</f>
        <v>0</v>
      </c>
      <c r="BO675" s="3">
        <f>+IF(AVANCE[[#This Row],[VENTILACIONES]]=W$2,100%,AVANCE[[#This Row],[VENTILACIONES]])</f>
        <v>0</v>
      </c>
      <c r="BP675" s="3">
        <f>+IF(AVANCE[[#This Row],[TINA]]=X$2,100%,AVANCE[[#This Row],[TINA]])</f>
        <v>0</v>
      </c>
      <c r="BQ675" s="3">
        <f>+IF(AVANCE[[#This Row],[WC]]=Y$2,100%,AVANCE[[#This Row],[WC]])</f>
        <v>0</v>
      </c>
      <c r="BR675" s="3">
        <f>+IF(AVANCE[[#This Row],[LAVAMANOS / LAVAPLATOS / LAVADERO]]=Z$2,100%,AVANCE[[#This Row],[LAVAMANOS / LAVAPLATOS / LAVADERO]])</f>
        <v>0</v>
      </c>
      <c r="BS675" s="3">
        <f>+IF(AVANCE[[#This Row],[CANALIZACIÓN]]=AC$2,100%,AVANCE[[#This Row],[CANALIZACIÓN]])</f>
        <v>0</v>
      </c>
      <c r="BT675" s="3">
        <f>+IF(AVANCE[[#This Row],[CABLEADO]]=AD$2,100%,AVANCE[[#This Row],[CABLEADO]])</f>
        <v>0</v>
      </c>
      <c r="BU675" s="3">
        <f>+IF(AVANCE[[#This Row],[ARTEFACTOS]]=AE$2,100%,AVANCE[[#This Row],[ARTEFACTOS]])</f>
        <v>0</v>
      </c>
      <c r="BV675" s="3">
        <f>+IF(AVANCE[[#This Row],[TABLERO]]=AF$2,100%,AVANCE[[#This Row],[TABLERO]])</f>
        <v>0</v>
      </c>
      <c r="BW675" s="3">
        <f>+IF(AVANCE[[#This Row],[CAJA PAU]]=AG$2,100%,AVANCE[[#This Row],[CAJA PAU]])</f>
        <v>0</v>
      </c>
      <c r="BX675" s="3">
        <f>+IF(AVANCE[[#This Row],[INSTALACION VINILICO]]=AJ$2,100%,AVANCE[[#This Row],[INSTALACION VINILICO]])</f>
        <v>0</v>
      </c>
      <c r="BY675" s="3">
        <f>+IF(AVANCE[[#This Row],[OSB CUBIERTA]]=AK$2,100%,AVANCE[[#This Row],[OSB CUBIERTA]])</f>
        <v>0</v>
      </c>
      <c r="BZ675" s="3">
        <f>+IF(AVANCE[[#This Row],[BARANDA BALCON]]=AL$2,100%,AVANCE[[#This Row],[BARANDA BALCON]])</f>
        <v>0</v>
      </c>
      <c r="CA675" s="3">
        <f>+IF(AVANCE[[#This Row],[OSB EXTERIOR]]=AM$2,100%,AVANCE[[#This Row],[OSB EXTERIOR]])</f>
        <v>0</v>
      </c>
      <c r="CB675" s="3">
        <f>+IF(AVANCE[[#This Row],[SMART PANEL]]=AN$2,100%,AVANCE[[#This Row],[SMART PANEL]])</f>
        <v>0</v>
      </c>
      <c r="CC675" s="3">
        <f>+IF(AVANCE[[#This Row],[PINTURA EXTERIOR]]=AO$2,100%,AVANCE[[#This Row],[PINTURA EXTERIOR]])</f>
        <v>0</v>
      </c>
      <c r="CD675" s="3">
        <f>+IF(AVANCE[[#This Row],[ZOCALOS LOGIA]]=AP$2,100%,AVANCE[[#This Row],[ZOCALOS LOGIA]])</f>
        <v>0</v>
      </c>
      <c r="CE675" s="3">
        <f>+IF(AVANCE[[#This Row],[MOLDURAS]]=AQ$2,100%,AVANCE[[#This Row],[MOLDURAS]])</f>
        <v>0</v>
      </c>
      <c r="CF675" s="3">
        <f>+IF(AVANCE[[#This Row],[PILASTREO]]=AR$2,100%,AVANCE[[#This Row],[PILASTREO]])</f>
        <v>0</v>
      </c>
      <c r="CG675" s="3">
        <f>+IF(AVANCE[[#This Row],[CELOSIAS]]=AS$2,100%,AVANCE[[#This Row],[CELOSIAS]])</f>
        <v>0</v>
      </c>
      <c r="CH675" s="3">
        <f>+IF(AVANCE[[#This Row],[VENTANAS]]=AT$2,100%,AVANCE[[#This Row],[VENTANAS]])</f>
        <v>0</v>
      </c>
      <c r="CI675" s="3">
        <f>+IF(AVANCE[[#This Row],[PUERTAS ACCESO - LOGIA - BANO]]=AU$2,100%,AVANCE[[#This Row],[PUERTAS ACCESO - LOGIA - BANO]])</f>
        <v>0</v>
      </c>
      <c r="CJ675" s="3">
        <f>+IF(AVANCE[[#This Row],[CERRADURAS]]=AV$2,100%,AVANCE[[#This Row],[CERRADURAS]])</f>
        <v>0</v>
      </c>
      <c r="CK675" s="3">
        <f>+IF(AVANCE[[#This Row],[REVESTIMIENTO INTERIOR ZONA SECA]]=AW$2,100%,AVANCE[[#This Row],[REVESTIMIENTO INTERIOR ZONA SECA]])</f>
        <v>0</v>
      </c>
      <c r="CL675" s="3">
        <f>+IF(AVANCE[[#This Row],[REVESTIMIENTO INTERIOR ZONAS HUMEDAS]]=AX$2,100%,AVANCE[[#This Row],[REVESTIMIENTO INTERIOR ZONAS HUMEDAS]])</f>
        <v>0</v>
      </c>
      <c r="CM675" s="3">
        <f>+IF(AVANCE[[#This Row],[MEMBRANA CIELO]]=AY$2,100%,AVANCE[[#This Row],[MEMBRANA CIELO]])</f>
        <v>0</v>
      </c>
      <c r="CN675" s="3">
        <f>+IF(AVANCE[[#This Row],[LIMPIEZA FINAL]]=AZ$2,100%,AVANCE[[#This Row],[LIMPIEZA FINAL]])</f>
        <v>0</v>
      </c>
      <c r="CO675" s="3">
        <f>+IF(AVANCE[[#This Row],[PUERTAS DORMITORIO]]=BA$2,100%,AVANCE[[#This Row],[PUERTAS DORMITORIO]])</f>
        <v>0</v>
      </c>
      <c r="CP675" s="3">
        <f>+IF(AVANCE[[#This Row],[REVESTIMIENTO INTERIOR BANO]]=BB$2,100%,AVANCE[[#This Row],[REVESTIMIENTO INTERIOR BANO]])</f>
        <v>0</v>
      </c>
      <c r="CQ675" s="3">
        <f>+IF(AVANCE[[#This Row],[MUEBLE LAVAPLATOS]]=BC$2,100%,AVANCE[[#This Row],[MUEBLE LAVAPLATOS]])</f>
        <v>0</v>
      </c>
      <c r="CR675" s="3">
        <f>+IF(AVANCE[[#This Row],[IMPERMEABILIZACION BANO - COCINA LOGIA]]=BD$2,100%,AVANCE[[#This Row],[IMPERMEABILIZACION BANO - COCINA LOGIA]])</f>
        <v>0</v>
      </c>
      <c r="CS675" s="40">
        <f ca="1">+IF(AVANCE[[#This Row],[ESTADO MODULO]]="PENDIENTE",(TODAY()-AVANCE[[#This Row],[FECHA TERMINO  PLANIFICADO]]),0)</f>
        <v>0</v>
      </c>
      <c r="CT675" s="41" t="str" cm="1">
        <f t="array" ref="CT675">_xlfn.TEXTJOIN(" | ",TRUE,IF(SUMPRODUCT((BG675:CR675&lt;1)*(PARTIDAS!$I$2:$AT$2="OBRA GRUESA"))&gt;0,"OBRA GRUESA: "&amp;_xlfn.TEXTJOIN(", ",TRUE,IF((BG675:CR675&lt;1)*(PARTIDAS!$I$2:$AT$2="OBRA GRUESA"),PARTIDAS!$I$1:$AT$1,"")),""),IF(SUMPRODUCT((BG675:CR675&lt;1)*(PARTIDAS!$I$2:$AT$2="SANITARIOS"))&gt;0,"SANITARIOS: "&amp;_xlfn.TEXTJOIN(", ",TRUE,IF((BG675:CR675&lt;1)*(PARTIDAS!$I$2:$AT$2="SANITARIOS"),PARTIDAS!$I$1:$AT$1,"")),""),IF(SUMPRODUCT((BG675:CR675&lt;1)*(PARTIDAS!$I$2:$AT$2="ELÉCTRICO"))&gt;0,"ELÉCTRICO: "&amp;_xlfn.TEXTJOIN(", ",TRUE,IF((BG675:CR675&lt;1)*(PARTIDAS!$I$2:$AT$2="ELÉCTRICO"),PARTIDAS!$I$1:$AT$1,"")),""),IF(SUMPRODUCT((BG675:CR675&lt;1)*(PARTIDAS!$I$2:$AT$2="TERMINACIONES"))&gt;0,"TERMINACIONES: "&amp;_xlfn.TEXTJOIN(", ",TRUE,IF((BG675:CR675&lt;1)*(PARTIDAS!$I$2:$AT$2="TERMINACIONES"),PARTIDAS!$I$1:$AT$1,"")),""))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5" s="43" t="str" cm="1">
        <f t="array" ref="CU675">_xlfn.TEXTJOIN(", ",TRUE,IF(SUMPRODUCT((BG675:CR675&lt;1)*(PARTIDAS!$I$2:$AT$2="OBRA GRUESA"))&gt;0,"OBRA GRUESA",""),IF(SUMPRODUCT((BG675:CR675&lt;1)*(PARTIDAS!$I$2:$AT$2="SANITARIOS"))&gt;0,"SANITARIOS",""),IF(SUMPRODUCT((BG675:CR675&lt;1)*(PARTIDAS!$I$2:$AT$2="ELÉCTRICO"))&gt;0,"ELÉCTRICO",""),IF(SUMPRODUCT((BG675:CR675&lt;1)*(PARTIDAS!$I$2:$AT$2="TERMINACIONES"))&gt;0,"TERMINACIONES",""))</f>
        <v>OBRA GRUESA, SANITARIOS, ELÉCTRICO, TERMINACIONES</v>
      </c>
      <c r="CV675" s="44" cm="1">
        <f t="array" ref="CV675">SUMPRODUCT(--(BG675:CR675&lt;1))</f>
        <v>38</v>
      </c>
    </row>
    <row r="676" spans="1:100" hidden="1" x14ac:dyDescent="0.25">
      <c r="A676" t="s">
        <v>751</v>
      </c>
      <c r="B676" t="s">
        <v>754</v>
      </c>
      <c r="C676">
        <v>2302600675</v>
      </c>
      <c r="D676" t="s">
        <v>60</v>
      </c>
      <c r="E676" s="2">
        <v>0</v>
      </c>
      <c r="F676" s="1">
        <v>46475</v>
      </c>
      <c r="G676" s="1"/>
      <c r="H676" s="1">
        <v>0</v>
      </c>
      <c r="I676" s="1">
        <v>46505</v>
      </c>
      <c r="J676">
        <v>46230</v>
      </c>
      <c r="K676" s="1"/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>
        <v>31.32</v>
      </c>
      <c r="BF676" s="3" t="str">
        <f>+IF(AVANCE[[#This Row],[% AVANCE]]=100%,"MODULO TERMINADO",IF(AVANCE[[#This Row],[FECHA INICIO REAL]]="","MODULO NO INICIADO","PENDIENTE"))</f>
        <v>MODULO NO INICIADO</v>
      </c>
      <c r="BG676" s="3">
        <f>+IF(AVANCE[[#This Row],[VENTANAS]]=8.10810810810811%,100%,AVANCE[[#This Row],[VENTANAS]])</f>
        <v>0</v>
      </c>
      <c r="BH676" s="3">
        <f>+IF(AVANCE[[#This Row],[PISO]]=N$2,100%,AVANCE[[#This Row],[PISO]])</f>
        <v>0</v>
      </c>
      <c r="BI676" s="3">
        <f>+IF(AVANCE[[#This Row],[TABIQUES]]=O$2,100%,AVANCE[[#This Row],[TABIQUES]])</f>
        <v>0</v>
      </c>
      <c r="BJ676" s="3">
        <f>+IF(AVANCE[[#This Row],[MUROS]]=P$2,100%,AVANCE[[#This Row],[MUROS]])</f>
        <v>0</v>
      </c>
      <c r="BK676" s="3">
        <f>+IF(AVANCE[[#This Row],[CIELO]]=Q$2,100%,AVANCE[[#This Row],[CIELO]])</f>
        <v>0</v>
      </c>
      <c r="BL676" s="3">
        <f>+IF(AVANCE[[#This Row],[BALCÓN]]=R$2,100%,AVANCE[[#This Row],[BALCÓN]])</f>
        <v>0</v>
      </c>
      <c r="BM676" s="3">
        <f>+IF(AVANCE[[#This Row],[RED ALCANTARILLADO]]=U$2,100%,AVANCE[[#This Row],[RED ALCANTARILLADO]])</f>
        <v>0</v>
      </c>
      <c r="BN676" s="3">
        <f>+IF(AVANCE[[#This Row],[RED DE AGUA]]=V$2,100%,AVANCE[[#This Row],[RED DE AGUA]])</f>
        <v>0</v>
      </c>
      <c r="BO676" s="3">
        <f>+IF(AVANCE[[#This Row],[VENTILACIONES]]=W$2,100%,AVANCE[[#This Row],[VENTILACIONES]])</f>
        <v>0</v>
      </c>
      <c r="BP676" s="3">
        <f>+IF(AVANCE[[#This Row],[TINA]]=X$2,100%,AVANCE[[#This Row],[TINA]])</f>
        <v>0</v>
      </c>
      <c r="BQ676" s="3">
        <f>+IF(AVANCE[[#This Row],[WC]]=Y$2,100%,AVANCE[[#This Row],[WC]])</f>
        <v>0</v>
      </c>
      <c r="BR676" s="3">
        <f>+IF(AVANCE[[#This Row],[LAVAMANOS / LAVAPLATOS / LAVADERO]]=Z$2,100%,AVANCE[[#This Row],[LAVAMANOS / LAVAPLATOS / LAVADERO]])</f>
        <v>0</v>
      </c>
      <c r="BS676" s="3">
        <f>+IF(AVANCE[[#This Row],[CANALIZACIÓN]]=AC$2,100%,AVANCE[[#This Row],[CANALIZACIÓN]])</f>
        <v>0</v>
      </c>
      <c r="BT676" s="3">
        <f>+IF(AVANCE[[#This Row],[CABLEADO]]=AD$2,100%,AVANCE[[#This Row],[CABLEADO]])</f>
        <v>0</v>
      </c>
      <c r="BU676" s="3">
        <f>+IF(AVANCE[[#This Row],[ARTEFACTOS]]=AE$2,100%,AVANCE[[#This Row],[ARTEFACTOS]])</f>
        <v>0</v>
      </c>
      <c r="BV676" s="3">
        <f>+IF(AVANCE[[#This Row],[TABLERO]]=AF$2,100%,AVANCE[[#This Row],[TABLERO]])</f>
        <v>0</v>
      </c>
      <c r="BW676" s="3">
        <f>+IF(AVANCE[[#This Row],[CAJA PAU]]=AG$2,100%,AVANCE[[#This Row],[CAJA PAU]])</f>
        <v>0</v>
      </c>
      <c r="BX676" s="3">
        <f>+IF(AVANCE[[#This Row],[INSTALACION VINILICO]]=AJ$2,100%,AVANCE[[#This Row],[INSTALACION VINILICO]])</f>
        <v>0</v>
      </c>
      <c r="BY676" s="3">
        <f>+IF(AVANCE[[#This Row],[OSB CUBIERTA]]=AK$2,100%,AVANCE[[#This Row],[OSB CUBIERTA]])</f>
        <v>0</v>
      </c>
      <c r="BZ676" s="3">
        <f>+IF(AVANCE[[#This Row],[BARANDA BALCON]]=AL$2,100%,AVANCE[[#This Row],[BARANDA BALCON]])</f>
        <v>0</v>
      </c>
      <c r="CA676" s="3">
        <f>+IF(AVANCE[[#This Row],[OSB EXTERIOR]]=AM$2,100%,AVANCE[[#This Row],[OSB EXTERIOR]])</f>
        <v>0</v>
      </c>
      <c r="CB676" s="3">
        <f>+IF(AVANCE[[#This Row],[SMART PANEL]]=AN$2,100%,AVANCE[[#This Row],[SMART PANEL]])</f>
        <v>0</v>
      </c>
      <c r="CC676" s="3">
        <f>+IF(AVANCE[[#This Row],[PINTURA EXTERIOR]]=AO$2,100%,AVANCE[[#This Row],[PINTURA EXTERIOR]])</f>
        <v>0</v>
      </c>
      <c r="CD676" s="3">
        <f>+IF(AVANCE[[#This Row],[ZOCALOS LOGIA]]=AP$2,100%,AVANCE[[#This Row],[ZOCALOS LOGIA]])</f>
        <v>0</v>
      </c>
      <c r="CE676" s="3">
        <f>+IF(AVANCE[[#This Row],[MOLDURAS]]=AQ$2,100%,AVANCE[[#This Row],[MOLDURAS]])</f>
        <v>0</v>
      </c>
      <c r="CF676" s="3">
        <f>+IF(AVANCE[[#This Row],[PILASTREO]]=AR$2,100%,AVANCE[[#This Row],[PILASTREO]])</f>
        <v>0</v>
      </c>
      <c r="CG676" s="3">
        <f>+IF(AVANCE[[#This Row],[CELOSIAS]]=AS$2,100%,AVANCE[[#This Row],[CELOSIAS]])</f>
        <v>0</v>
      </c>
      <c r="CH676" s="3">
        <f>+IF(AVANCE[[#This Row],[VENTANAS]]=AT$2,100%,AVANCE[[#This Row],[VENTANAS]])</f>
        <v>0</v>
      </c>
      <c r="CI676" s="3">
        <f>+IF(AVANCE[[#This Row],[PUERTAS ACCESO - LOGIA - BANO]]=AU$2,100%,AVANCE[[#This Row],[PUERTAS ACCESO - LOGIA - BANO]])</f>
        <v>0</v>
      </c>
      <c r="CJ676" s="3">
        <f>+IF(AVANCE[[#This Row],[CERRADURAS]]=AV$2,100%,AVANCE[[#This Row],[CERRADURAS]])</f>
        <v>0</v>
      </c>
      <c r="CK676" s="3">
        <f>+IF(AVANCE[[#This Row],[REVESTIMIENTO INTERIOR ZONA SECA]]=AW$2,100%,AVANCE[[#This Row],[REVESTIMIENTO INTERIOR ZONA SECA]])</f>
        <v>0</v>
      </c>
      <c r="CL676" s="3">
        <f>+IF(AVANCE[[#This Row],[REVESTIMIENTO INTERIOR ZONAS HUMEDAS]]=AX$2,100%,AVANCE[[#This Row],[REVESTIMIENTO INTERIOR ZONAS HUMEDAS]])</f>
        <v>0</v>
      </c>
      <c r="CM676" s="3">
        <f>+IF(AVANCE[[#This Row],[MEMBRANA CIELO]]=AY$2,100%,AVANCE[[#This Row],[MEMBRANA CIELO]])</f>
        <v>0</v>
      </c>
      <c r="CN676" s="3">
        <f>+IF(AVANCE[[#This Row],[LIMPIEZA FINAL]]=AZ$2,100%,AVANCE[[#This Row],[LIMPIEZA FINAL]])</f>
        <v>0</v>
      </c>
      <c r="CO676" s="3">
        <f>+IF(AVANCE[[#This Row],[PUERTAS DORMITORIO]]=BA$2,100%,AVANCE[[#This Row],[PUERTAS DORMITORIO]])</f>
        <v>0</v>
      </c>
      <c r="CP676" s="3">
        <f>+IF(AVANCE[[#This Row],[REVESTIMIENTO INTERIOR BANO]]=BB$2,100%,AVANCE[[#This Row],[REVESTIMIENTO INTERIOR BANO]])</f>
        <v>0</v>
      </c>
      <c r="CQ676" s="3">
        <f>+IF(AVANCE[[#This Row],[MUEBLE LAVAPLATOS]]=BC$2,100%,AVANCE[[#This Row],[MUEBLE LAVAPLATOS]])</f>
        <v>0</v>
      </c>
      <c r="CR676" s="3">
        <f>+IF(AVANCE[[#This Row],[IMPERMEABILIZACION BANO - COCINA LOGIA]]=BD$2,100%,AVANCE[[#This Row],[IMPERMEABILIZACION BANO - COCINA LOGIA]])</f>
        <v>0</v>
      </c>
      <c r="CS676" s="40">
        <f ca="1">+IF(AVANCE[[#This Row],[ESTADO MODULO]]="PENDIENTE",(TODAY()-AVANCE[[#This Row],[FECHA TERMINO  PLANIFICADO]]),0)</f>
        <v>0</v>
      </c>
      <c r="CT676" s="41" t="str" cm="1">
        <f t="array" ref="CT676">_xlfn.TEXTJOIN(" | ",TRUE,IF(SUMPRODUCT((BG676:CR676&lt;1)*(PARTIDAS!$I$2:$AT$2="OBRA GRUESA"))&gt;0,"OBRA GRUESA: "&amp;_xlfn.TEXTJOIN(", ",TRUE,IF((BG676:CR676&lt;1)*(PARTIDAS!$I$2:$AT$2="OBRA GRUESA"),PARTIDAS!$I$1:$AT$1,"")),""),IF(SUMPRODUCT((BG676:CR676&lt;1)*(PARTIDAS!$I$2:$AT$2="SANITARIOS"))&gt;0,"SANITARIOS: "&amp;_xlfn.TEXTJOIN(", ",TRUE,IF((BG676:CR676&lt;1)*(PARTIDAS!$I$2:$AT$2="SANITARIOS"),PARTIDAS!$I$1:$AT$1,"")),""),IF(SUMPRODUCT((BG676:CR676&lt;1)*(PARTIDAS!$I$2:$AT$2="ELÉCTRICO"))&gt;0,"ELÉCTRICO: "&amp;_xlfn.TEXTJOIN(", ",TRUE,IF((BG676:CR676&lt;1)*(PARTIDAS!$I$2:$AT$2="ELÉCTRICO"),PARTIDAS!$I$1:$AT$1,"")),""),IF(SUMPRODUCT((BG676:CR676&lt;1)*(PARTIDAS!$I$2:$AT$2="TERMINACIONES"))&gt;0,"TERMINACIONES: "&amp;_xlfn.TEXTJOIN(", ",TRUE,IF((BG676:CR676&lt;1)*(PARTIDAS!$I$2:$AT$2="TERMINACIONES"),PARTIDAS!$I$1:$AT$1,"")),""))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6" s="43" t="str" cm="1">
        <f t="array" ref="CU676">_xlfn.TEXTJOIN(", ",TRUE,IF(SUMPRODUCT((BG676:CR676&lt;1)*(PARTIDAS!$I$2:$AT$2="OBRA GRUESA"))&gt;0,"OBRA GRUESA",""),IF(SUMPRODUCT((BG676:CR676&lt;1)*(PARTIDAS!$I$2:$AT$2="SANITARIOS"))&gt;0,"SANITARIOS",""),IF(SUMPRODUCT((BG676:CR676&lt;1)*(PARTIDAS!$I$2:$AT$2="ELÉCTRICO"))&gt;0,"ELÉCTRICO",""),IF(SUMPRODUCT((BG676:CR676&lt;1)*(PARTIDAS!$I$2:$AT$2="TERMINACIONES"))&gt;0,"TERMINACIONES",""))</f>
        <v>OBRA GRUESA, SANITARIOS, ELÉCTRICO, TERMINACIONES</v>
      </c>
      <c r="CV676" s="44" cm="1">
        <f t="array" ref="CV676">SUMPRODUCT(--(BG676:CR676&lt;1))</f>
        <v>38</v>
      </c>
    </row>
    <row r="677" spans="1:100" hidden="1" x14ac:dyDescent="0.25">
      <c r="A677" t="s">
        <v>751</v>
      </c>
      <c r="B677" t="s">
        <v>755</v>
      </c>
      <c r="C677">
        <v>2282600676</v>
      </c>
      <c r="D677" t="s">
        <v>58</v>
      </c>
      <c r="E677" s="2">
        <v>0</v>
      </c>
      <c r="F677" s="1">
        <v>46475</v>
      </c>
      <c r="G677" s="1"/>
      <c r="H677" s="1">
        <v>0</v>
      </c>
      <c r="I677" s="1">
        <v>46495</v>
      </c>
      <c r="J677">
        <v>46230</v>
      </c>
      <c r="K677" s="1"/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>
        <v>28.87</v>
      </c>
      <c r="BF677" s="3" t="str">
        <f>+IF(AVANCE[[#This Row],[% AVANCE]]=100%,"MODULO TERMINADO",IF(AVANCE[[#This Row],[FECHA INICIO REAL]]="","MODULO NO INICIADO","PENDIENTE"))</f>
        <v>MODULO NO INICIADO</v>
      </c>
      <c r="BG677" s="3">
        <f>+IF(AVANCE[[#This Row],[VENTANAS]]=8.10810810810811%,100%,AVANCE[[#This Row],[VENTANAS]])</f>
        <v>0</v>
      </c>
      <c r="BH677" s="3">
        <f>+IF(AVANCE[[#This Row],[PISO]]=N$2,100%,AVANCE[[#This Row],[PISO]])</f>
        <v>0</v>
      </c>
      <c r="BI677" s="3">
        <f>+IF(AVANCE[[#This Row],[TABIQUES]]=O$2,100%,AVANCE[[#This Row],[TABIQUES]])</f>
        <v>0</v>
      </c>
      <c r="BJ677" s="3">
        <f>+IF(AVANCE[[#This Row],[MUROS]]=P$2,100%,AVANCE[[#This Row],[MUROS]])</f>
        <v>0</v>
      </c>
      <c r="BK677" s="3">
        <f>+IF(AVANCE[[#This Row],[CIELO]]=Q$2,100%,AVANCE[[#This Row],[CIELO]])</f>
        <v>0</v>
      </c>
      <c r="BL677" s="3">
        <f>+IF(AVANCE[[#This Row],[BALCÓN]]=R$2,100%,AVANCE[[#This Row],[BALCÓN]])</f>
        <v>0</v>
      </c>
      <c r="BM677" s="3">
        <f>+IF(AVANCE[[#This Row],[RED ALCANTARILLADO]]=U$2,100%,AVANCE[[#This Row],[RED ALCANTARILLADO]])</f>
        <v>0</v>
      </c>
      <c r="BN677" s="3">
        <f>+IF(AVANCE[[#This Row],[RED DE AGUA]]=V$2,100%,AVANCE[[#This Row],[RED DE AGUA]])</f>
        <v>0</v>
      </c>
      <c r="BO677" s="3">
        <f>+IF(AVANCE[[#This Row],[VENTILACIONES]]=W$2,100%,AVANCE[[#This Row],[VENTILACIONES]])</f>
        <v>0</v>
      </c>
      <c r="BP677" s="3">
        <f>+IF(AVANCE[[#This Row],[TINA]]=X$2,100%,AVANCE[[#This Row],[TINA]])</f>
        <v>0</v>
      </c>
      <c r="BQ677" s="3">
        <f>+IF(AVANCE[[#This Row],[WC]]=Y$2,100%,AVANCE[[#This Row],[WC]])</f>
        <v>0</v>
      </c>
      <c r="BR677" s="3">
        <f>+IF(AVANCE[[#This Row],[LAVAMANOS / LAVAPLATOS / LAVADERO]]=Z$2,100%,AVANCE[[#This Row],[LAVAMANOS / LAVAPLATOS / LAVADERO]])</f>
        <v>0</v>
      </c>
      <c r="BS677" s="3">
        <f>+IF(AVANCE[[#This Row],[CANALIZACIÓN]]=AC$2,100%,AVANCE[[#This Row],[CANALIZACIÓN]])</f>
        <v>0</v>
      </c>
      <c r="BT677" s="3">
        <f>+IF(AVANCE[[#This Row],[CABLEADO]]=AD$2,100%,AVANCE[[#This Row],[CABLEADO]])</f>
        <v>0</v>
      </c>
      <c r="BU677" s="3">
        <f>+IF(AVANCE[[#This Row],[ARTEFACTOS]]=AE$2,100%,AVANCE[[#This Row],[ARTEFACTOS]])</f>
        <v>0</v>
      </c>
      <c r="BV677" s="3">
        <f>+IF(AVANCE[[#This Row],[TABLERO]]=AF$2,100%,AVANCE[[#This Row],[TABLERO]])</f>
        <v>0</v>
      </c>
      <c r="BW677" s="3">
        <f>+IF(AVANCE[[#This Row],[CAJA PAU]]=AG$2,100%,AVANCE[[#This Row],[CAJA PAU]])</f>
        <v>0</v>
      </c>
      <c r="BX677" s="3">
        <f>+IF(AVANCE[[#This Row],[INSTALACION VINILICO]]=AJ$2,100%,AVANCE[[#This Row],[INSTALACION VINILICO]])</f>
        <v>0</v>
      </c>
      <c r="BY677" s="3">
        <f>+IF(AVANCE[[#This Row],[OSB CUBIERTA]]=AK$2,100%,AVANCE[[#This Row],[OSB CUBIERTA]])</f>
        <v>0</v>
      </c>
      <c r="BZ677" s="3">
        <f>+IF(AVANCE[[#This Row],[BARANDA BALCON]]=AL$2,100%,AVANCE[[#This Row],[BARANDA BALCON]])</f>
        <v>0</v>
      </c>
      <c r="CA677" s="3">
        <f>+IF(AVANCE[[#This Row],[OSB EXTERIOR]]=AM$2,100%,AVANCE[[#This Row],[OSB EXTERIOR]])</f>
        <v>0</v>
      </c>
      <c r="CB677" s="3">
        <f>+IF(AVANCE[[#This Row],[SMART PANEL]]=AN$2,100%,AVANCE[[#This Row],[SMART PANEL]])</f>
        <v>0</v>
      </c>
      <c r="CC677" s="3">
        <f>+IF(AVANCE[[#This Row],[PINTURA EXTERIOR]]=AO$2,100%,AVANCE[[#This Row],[PINTURA EXTERIOR]])</f>
        <v>0</v>
      </c>
      <c r="CD677" s="3">
        <f>+IF(AVANCE[[#This Row],[ZOCALOS LOGIA]]=AP$2,100%,AVANCE[[#This Row],[ZOCALOS LOGIA]])</f>
        <v>0</v>
      </c>
      <c r="CE677" s="3">
        <f>+IF(AVANCE[[#This Row],[MOLDURAS]]=AQ$2,100%,AVANCE[[#This Row],[MOLDURAS]])</f>
        <v>0</v>
      </c>
      <c r="CF677" s="3">
        <f>+IF(AVANCE[[#This Row],[PILASTREO]]=AR$2,100%,AVANCE[[#This Row],[PILASTREO]])</f>
        <v>0</v>
      </c>
      <c r="CG677" s="3">
        <f>+IF(AVANCE[[#This Row],[CELOSIAS]]=AS$2,100%,AVANCE[[#This Row],[CELOSIAS]])</f>
        <v>0</v>
      </c>
      <c r="CH677" s="3">
        <f>+IF(AVANCE[[#This Row],[VENTANAS]]=AT$2,100%,AVANCE[[#This Row],[VENTANAS]])</f>
        <v>0</v>
      </c>
      <c r="CI677" s="3">
        <f>+IF(AVANCE[[#This Row],[PUERTAS ACCESO - LOGIA - BANO]]=AU$2,100%,AVANCE[[#This Row],[PUERTAS ACCESO - LOGIA - BANO]])</f>
        <v>0</v>
      </c>
      <c r="CJ677" s="3">
        <f>+IF(AVANCE[[#This Row],[CERRADURAS]]=AV$2,100%,AVANCE[[#This Row],[CERRADURAS]])</f>
        <v>0</v>
      </c>
      <c r="CK677" s="3">
        <f>+IF(AVANCE[[#This Row],[REVESTIMIENTO INTERIOR ZONA SECA]]=AW$2,100%,AVANCE[[#This Row],[REVESTIMIENTO INTERIOR ZONA SECA]])</f>
        <v>0</v>
      </c>
      <c r="CL677" s="3">
        <f>+IF(AVANCE[[#This Row],[REVESTIMIENTO INTERIOR ZONAS HUMEDAS]]=AX$2,100%,AVANCE[[#This Row],[REVESTIMIENTO INTERIOR ZONAS HUMEDAS]])</f>
        <v>0</v>
      </c>
      <c r="CM677" s="3">
        <f>+IF(AVANCE[[#This Row],[MEMBRANA CIELO]]=AY$2,100%,AVANCE[[#This Row],[MEMBRANA CIELO]])</f>
        <v>0</v>
      </c>
      <c r="CN677" s="3">
        <f>+IF(AVANCE[[#This Row],[LIMPIEZA FINAL]]=AZ$2,100%,AVANCE[[#This Row],[LIMPIEZA FINAL]])</f>
        <v>0</v>
      </c>
      <c r="CO677" s="3">
        <f>+IF(AVANCE[[#This Row],[PUERTAS DORMITORIO]]=BA$2,100%,AVANCE[[#This Row],[PUERTAS DORMITORIO]])</f>
        <v>0</v>
      </c>
      <c r="CP677" s="3">
        <f>+IF(AVANCE[[#This Row],[REVESTIMIENTO INTERIOR BANO]]=BB$2,100%,AVANCE[[#This Row],[REVESTIMIENTO INTERIOR BANO]])</f>
        <v>0</v>
      </c>
      <c r="CQ677" s="3">
        <f>+IF(AVANCE[[#This Row],[MUEBLE LAVAPLATOS]]=BC$2,100%,AVANCE[[#This Row],[MUEBLE LAVAPLATOS]])</f>
        <v>0</v>
      </c>
      <c r="CR677" s="3">
        <f>+IF(AVANCE[[#This Row],[IMPERMEABILIZACION BANO - COCINA LOGIA]]=BD$2,100%,AVANCE[[#This Row],[IMPERMEABILIZACION BANO - COCINA LOGIA]])</f>
        <v>0</v>
      </c>
      <c r="CS677" s="40">
        <f ca="1">+IF(AVANCE[[#This Row],[ESTADO MODULO]]="PENDIENTE",(TODAY()-AVANCE[[#This Row],[FECHA TERMINO  PLANIFICADO]]),0)</f>
        <v>0</v>
      </c>
      <c r="CT677" s="41" t="str" cm="1">
        <f t="array" ref="CT677">_xlfn.TEXTJOIN(" | ",TRUE,IF(SUMPRODUCT((BG677:CR677&lt;1)*(PARTIDAS!$I$2:$AT$2="OBRA GRUESA"))&gt;0,"OBRA GRUESA: "&amp;_xlfn.TEXTJOIN(", ",TRUE,IF((BG677:CR677&lt;1)*(PARTIDAS!$I$2:$AT$2="OBRA GRUESA"),PARTIDAS!$I$1:$AT$1,"")),""),IF(SUMPRODUCT((BG677:CR677&lt;1)*(PARTIDAS!$I$2:$AT$2="SANITARIOS"))&gt;0,"SANITARIOS: "&amp;_xlfn.TEXTJOIN(", ",TRUE,IF((BG677:CR677&lt;1)*(PARTIDAS!$I$2:$AT$2="SANITARIOS"),PARTIDAS!$I$1:$AT$1,"")),""),IF(SUMPRODUCT((BG677:CR677&lt;1)*(PARTIDAS!$I$2:$AT$2="ELÉCTRICO"))&gt;0,"ELÉCTRICO: "&amp;_xlfn.TEXTJOIN(", ",TRUE,IF((BG677:CR677&lt;1)*(PARTIDAS!$I$2:$AT$2="ELÉCTRICO"),PARTIDAS!$I$1:$AT$1,"")),""),IF(SUMPRODUCT((BG677:CR677&lt;1)*(PARTIDAS!$I$2:$AT$2="TERMINACIONES"))&gt;0,"TERMINACIONES: "&amp;_xlfn.TEXTJOIN(", ",TRUE,IF((BG677:CR677&lt;1)*(PARTIDAS!$I$2:$AT$2="TERMINACIONES"),PARTIDAS!$I$1:$AT$1,"")),""))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7" s="43" t="str" cm="1">
        <f t="array" ref="CU677">_xlfn.TEXTJOIN(", ",TRUE,IF(SUMPRODUCT((BG677:CR677&lt;1)*(PARTIDAS!$I$2:$AT$2="OBRA GRUESA"))&gt;0,"OBRA GRUESA",""),IF(SUMPRODUCT((BG677:CR677&lt;1)*(PARTIDAS!$I$2:$AT$2="SANITARIOS"))&gt;0,"SANITARIOS",""),IF(SUMPRODUCT((BG677:CR677&lt;1)*(PARTIDAS!$I$2:$AT$2="ELÉCTRICO"))&gt;0,"ELÉCTRICO",""),IF(SUMPRODUCT((BG677:CR677&lt;1)*(PARTIDAS!$I$2:$AT$2="TERMINACIONES"))&gt;0,"TERMINACIONES",""))</f>
        <v>OBRA GRUESA, SANITARIOS, ELÉCTRICO, TERMINACIONES</v>
      </c>
      <c r="CV677" s="44" cm="1">
        <f t="array" ref="CV677">SUMPRODUCT(--(BG677:CR677&lt;1))</f>
        <v>38</v>
      </c>
    </row>
    <row r="678" spans="1:100" hidden="1" x14ac:dyDescent="0.25">
      <c r="A678" t="s">
        <v>751</v>
      </c>
      <c r="B678" t="s">
        <v>756</v>
      </c>
      <c r="C678">
        <v>2282600677</v>
      </c>
      <c r="D678" t="s">
        <v>58</v>
      </c>
      <c r="E678" s="2">
        <v>0</v>
      </c>
      <c r="F678" s="1">
        <v>46476</v>
      </c>
      <c r="G678" s="1"/>
      <c r="H678" s="1">
        <v>0</v>
      </c>
      <c r="I678" s="1">
        <v>46496</v>
      </c>
      <c r="J678">
        <v>46230</v>
      </c>
      <c r="K678" s="1"/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>
        <v>28.87</v>
      </c>
      <c r="BF678" s="3" t="str">
        <f>+IF(AVANCE[[#This Row],[% AVANCE]]=100%,"MODULO TERMINADO",IF(AVANCE[[#This Row],[FECHA INICIO REAL]]="","MODULO NO INICIADO","PENDIENTE"))</f>
        <v>MODULO NO INICIADO</v>
      </c>
      <c r="BG678" s="3">
        <f>+IF(AVANCE[[#This Row],[VENTANAS]]=8.10810810810811%,100%,AVANCE[[#This Row],[VENTANAS]])</f>
        <v>0</v>
      </c>
      <c r="BH678" s="3">
        <f>+IF(AVANCE[[#This Row],[PISO]]=N$2,100%,AVANCE[[#This Row],[PISO]])</f>
        <v>0</v>
      </c>
      <c r="BI678" s="3">
        <f>+IF(AVANCE[[#This Row],[TABIQUES]]=O$2,100%,AVANCE[[#This Row],[TABIQUES]])</f>
        <v>0</v>
      </c>
      <c r="BJ678" s="3">
        <f>+IF(AVANCE[[#This Row],[MUROS]]=P$2,100%,AVANCE[[#This Row],[MUROS]])</f>
        <v>0</v>
      </c>
      <c r="BK678" s="3">
        <f>+IF(AVANCE[[#This Row],[CIELO]]=Q$2,100%,AVANCE[[#This Row],[CIELO]])</f>
        <v>0</v>
      </c>
      <c r="BL678" s="3">
        <f>+IF(AVANCE[[#This Row],[BALCÓN]]=R$2,100%,AVANCE[[#This Row],[BALCÓN]])</f>
        <v>0</v>
      </c>
      <c r="BM678" s="3">
        <f>+IF(AVANCE[[#This Row],[RED ALCANTARILLADO]]=U$2,100%,AVANCE[[#This Row],[RED ALCANTARILLADO]])</f>
        <v>0</v>
      </c>
      <c r="BN678" s="3">
        <f>+IF(AVANCE[[#This Row],[RED DE AGUA]]=V$2,100%,AVANCE[[#This Row],[RED DE AGUA]])</f>
        <v>0</v>
      </c>
      <c r="BO678" s="3">
        <f>+IF(AVANCE[[#This Row],[VENTILACIONES]]=W$2,100%,AVANCE[[#This Row],[VENTILACIONES]])</f>
        <v>0</v>
      </c>
      <c r="BP678" s="3">
        <f>+IF(AVANCE[[#This Row],[TINA]]=X$2,100%,AVANCE[[#This Row],[TINA]])</f>
        <v>0</v>
      </c>
      <c r="BQ678" s="3">
        <f>+IF(AVANCE[[#This Row],[WC]]=Y$2,100%,AVANCE[[#This Row],[WC]])</f>
        <v>0</v>
      </c>
      <c r="BR678" s="3">
        <f>+IF(AVANCE[[#This Row],[LAVAMANOS / LAVAPLATOS / LAVADERO]]=Z$2,100%,AVANCE[[#This Row],[LAVAMANOS / LAVAPLATOS / LAVADERO]])</f>
        <v>0</v>
      </c>
      <c r="BS678" s="3">
        <f>+IF(AVANCE[[#This Row],[CANALIZACIÓN]]=AC$2,100%,AVANCE[[#This Row],[CANALIZACIÓN]])</f>
        <v>0</v>
      </c>
      <c r="BT678" s="3">
        <f>+IF(AVANCE[[#This Row],[CABLEADO]]=AD$2,100%,AVANCE[[#This Row],[CABLEADO]])</f>
        <v>0</v>
      </c>
      <c r="BU678" s="3">
        <f>+IF(AVANCE[[#This Row],[ARTEFACTOS]]=AE$2,100%,AVANCE[[#This Row],[ARTEFACTOS]])</f>
        <v>0</v>
      </c>
      <c r="BV678" s="3">
        <f>+IF(AVANCE[[#This Row],[TABLERO]]=AF$2,100%,AVANCE[[#This Row],[TABLERO]])</f>
        <v>0</v>
      </c>
      <c r="BW678" s="3">
        <f>+IF(AVANCE[[#This Row],[CAJA PAU]]=AG$2,100%,AVANCE[[#This Row],[CAJA PAU]])</f>
        <v>0</v>
      </c>
      <c r="BX678" s="3">
        <f>+IF(AVANCE[[#This Row],[INSTALACION VINILICO]]=AJ$2,100%,AVANCE[[#This Row],[INSTALACION VINILICO]])</f>
        <v>0</v>
      </c>
      <c r="BY678" s="3">
        <f>+IF(AVANCE[[#This Row],[OSB CUBIERTA]]=AK$2,100%,AVANCE[[#This Row],[OSB CUBIERTA]])</f>
        <v>0</v>
      </c>
      <c r="BZ678" s="3">
        <f>+IF(AVANCE[[#This Row],[BARANDA BALCON]]=AL$2,100%,AVANCE[[#This Row],[BARANDA BALCON]])</f>
        <v>0</v>
      </c>
      <c r="CA678" s="3">
        <f>+IF(AVANCE[[#This Row],[OSB EXTERIOR]]=AM$2,100%,AVANCE[[#This Row],[OSB EXTERIOR]])</f>
        <v>0</v>
      </c>
      <c r="CB678" s="3">
        <f>+IF(AVANCE[[#This Row],[SMART PANEL]]=AN$2,100%,AVANCE[[#This Row],[SMART PANEL]])</f>
        <v>0</v>
      </c>
      <c r="CC678" s="3">
        <f>+IF(AVANCE[[#This Row],[PINTURA EXTERIOR]]=AO$2,100%,AVANCE[[#This Row],[PINTURA EXTERIOR]])</f>
        <v>0</v>
      </c>
      <c r="CD678" s="3">
        <f>+IF(AVANCE[[#This Row],[ZOCALOS LOGIA]]=AP$2,100%,AVANCE[[#This Row],[ZOCALOS LOGIA]])</f>
        <v>0</v>
      </c>
      <c r="CE678" s="3">
        <f>+IF(AVANCE[[#This Row],[MOLDURAS]]=AQ$2,100%,AVANCE[[#This Row],[MOLDURAS]])</f>
        <v>0</v>
      </c>
      <c r="CF678" s="3">
        <f>+IF(AVANCE[[#This Row],[PILASTREO]]=AR$2,100%,AVANCE[[#This Row],[PILASTREO]])</f>
        <v>0</v>
      </c>
      <c r="CG678" s="3">
        <f>+IF(AVANCE[[#This Row],[CELOSIAS]]=AS$2,100%,AVANCE[[#This Row],[CELOSIAS]])</f>
        <v>0</v>
      </c>
      <c r="CH678" s="3">
        <f>+IF(AVANCE[[#This Row],[VENTANAS]]=AT$2,100%,AVANCE[[#This Row],[VENTANAS]])</f>
        <v>0</v>
      </c>
      <c r="CI678" s="3">
        <f>+IF(AVANCE[[#This Row],[PUERTAS ACCESO - LOGIA - BANO]]=AU$2,100%,AVANCE[[#This Row],[PUERTAS ACCESO - LOGIA - BANO]])</f>
        <v>0</v>
      </c>
      <c r="CJ678" s="3">
        <f>+IF(AVANCE[[#This Row],[CERRADURAS]]=AV$2,100%,AVANCE[[#This Row],[CERRADURAS]])</f>
        <v>0</v>
      </c>
      <c r="CK678" s="3">
        <f>+IF(AVANCE[[#This Row],[REVESTIMIENTO INTERIOR ZONA SECA]]=AW$2,100%,AVANCE[[#This Row],[REVESTIMIENTO INTERIOR ZONA SECA]])</f>
        <v>0</v>
      </c>
      <c r="CL678" s="3">
        <f>+IF(AVANCE[[#This Row],[REVESTIMIENTO INTERIOR ZONAS HUMEDAS]]=AX$2,100%,AVANCE[[#This Row],[REVESTIMIENTO INTERIOR ZONAS HUMEDAS]])</f>
        <v>0</v>
      </c>
      <c r="CM678" s="3">
        <f>+IF(AVANCE[[#This Row],[MEMBRANA CIELO]]=AY$2,100%,AVANCE[[#This Row],[MEMBRANA CIELO]])</f>
        <v>0</v>
      </c>
      <c r="CN678" s="3">
        <f>+IF(AVANCE[[#This Row],[LIMPIEZA FINAL]]=AZ$2,100%,AVANCE[[#This Row],[LIMPIEZA FINAL]])</f>
        <v>0</v>
      </c>
      <c r="CO678" s="3">
        <f>+IF(AVANCE[[#This Row],[PUERTAS DORMITORIO]]=BA$2,100%,AVANCE[[#This Row],[PUERTAS DORMITORIO]])</f>
        <v>0</v>
      </c>
      <c r="CP678" s="3">
        <f>+IF(AVANCE[[#This Row],[REVESTIMIENTO INTERIOR BANO]]=BB$2,100%,AVANCE[[#This Row],[REVESTIMIENTO INTERIOR BANO]])</f>
        <v>0</v>
      </c>
      <c r="CQ678" s="3">
        <f>+IF(AVANCE[[#This Row],[MUEBLE LAVAPLATOS]]=BC$2,100%,AVANCE[[#This Row],[MUEBLE LAVAPLATOS]])</f>
        <v>0</v>
      </c>
      <c r="CR678" s="3">
        <f>+IF(AVANCE[[#This Row],[IMPERMEABILIZACION BANO - COCINA LOGIA]]=BD$2,100%,AVANCE[[#This Row],[IMPERMEABILIZACION BANO - COCINA LOGIA]])</f>
        <v>0</v>
      </c>
      <c r="CS678" s="40">
        <f ca="1">+IF(AVANCE[[#This Row],[ESTADO MODULO]]="PENDIENTE",(TODAY()-AVANCE[[#This Row],[FECHA TERMINO  PLANIFICADO]]),0)</f>
        <v>0</v>
      </c>
      <c r="CT678" s="41" t="str" cm="1">
        <f t="array" ref="CT678">_xlfn.TEXTJOIN(" | ",TRUE,IF(SUMPRODUCT((BG678:CR678&lt;1)*(PARTIDAS!$I$2:$AT$2="OBRA GRUESA"))&gt;0,"OBRA GRUESA: "&amp;_xlfn.TEXTJOIN(", ",TRUE,IF((BG678:CR678&lt;1)*(PARTIDAS!$I$2:$AT$2="OBRA GRUESA"),PARTIDAS!$I$1:$AT$1,"")),""),IF(SUMPRODUCT((BG678:CR678&lt;1)*(PARTIDAS!$I$2:$AT$2="SANITARIOS"))&gt;0,"SANITARIOS: "&amp;_xlfn.TEXTJOIN(", ",TRUE,IF((BG678:CR678&lt;1)*(PARTIDAS!$I$2:$AT$2="SANITARIOS"),PARTIDAS!$I$1:$AT$1,"")),""),IF(SUMPRODUCT((BG678:CR678&lt;1)*(PARTIDAS!$I$2:$AT$2="ELÉCTRICO"))&gt;0,"ELÉCTRICO: "&amp;_xlfn.TEXTJOIN(", ",TRUE,IF((BG678:CR678&lt;1)*(PARTIDAS!$I$2:$AT$2="ELÉCTRICO"),PARTIDAS!$I$1:$AT$1,"")),""),IF(SUMPRODUCT((BG678:CR678&lt;1)*(PARTIDAS!$I$2:$AT$2="TERMINACIONES"))&gt;0,"TERMINACIONES: "&amp;_xlfn.TEXTJOIN(", ",TRUE,IF((BG678:CR678&lt;1)*(PARTIDAS!$I$2:$AT$2="TERMINACIONES"),PARTIDAS!$I$1:$AT$1,"")),""))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8" s="43" t="str" cm="1">
        <f t="array" ref="CU678">_xlfn.TEXTJOIN(", ",TRUE,IF(SUMPRODUCT((BG678:CR678&lt;1)*(PARTIDAS!$I$2:$AT$2="OBRA GRUESA"))&gt;0,"OBRA GRUESA",""),IF(SUMPRODUCT((BG678:CR678&lt;1)*(PARTIDAS!$I$2:$AT$2="SANITARIOS"))&gt;0,"SANITARIOS",""),IF(SUMPRODUCT((BG678:CR678&lt;1)*(PARTIDAS!$I$2:$AT$2="ELÉCTRICO"))&gt;0,"ELÉCTRICO",""),IF(SUMPRODUCT((BG678:CR678&lt;1)*(PARTIDAS!$I$2:$AT$2="TERMINACIONES"))&gt;0,"TERMINACIONES",""))</f>
        <v>OBRA GRUESA, SANITARIOS, ELÉCTRICO, TERMINACIONES</v>
      </c>
      <c r="CV678" s="44" cm="1">
        <f t="array" ref="CV678">SUMPRODUCT(--(BG678:CR678&lt;1))</f>
        <v>38</v>
      </c>
    </row>
    <row r="679" spans="1:100" hidden="1" x14ac:dyDescent="0.25">
      <c r="A679" t="s">
        <v>751</v>
      </c>
      <c r="B679" t="s">
        <v>757</v>
      </c>
      <c r="C679">
        <v>2302600678</v>
      </c>
      <c r="D679" t="s">
        <v>60</v>
      </c>
      <c r="E679" s="2">
        <v>0</v>
      </c>
      <c r="F679" s="1">
        <v>46476</v>
      </c>
      <c r="G679" s="1"/>
      <c r="H679" s="1">
        <v>0</v>
      </c>
      <c r="I679" s="1">
        <v>46506</v>
      </c>
      <c r="J679">
        <v>46230</v>
      </c>
      <c r="K679" s="1"/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>
        <v>31.32</v>
      </c>
      <c r="BF679" s="3" t="str">
        <f>+IF(AVANCE[[#This Row],[% AVANCE]]=100%,"MODULO TERMINADO",IF(AVANCE[[#This Row],[FECHA INICIO REAL]]="","MODULO NO INICIADO","PENDIENTE"))</f>
        <v>MODULO NO INICIADO</v>
      </c>
      <c r="BG679" s="3">
        <f>+IF(AVANCE[[#This Row],[VENTANAS]]=8.10810810810811%,100%,AVANCE[[#This Row],[VENTANAS]])</f>
        <v>0</v>
      </c>
      <c r="BH679" s="3">
        <f>+IF(AVANCE[[#This Row],[PISO]]=N$2,100%,AVANCE[[#This Row],[PISO]])</f>
        <v>0</v>
      </c>
      <c r="BI679" s="3">
        <f>+IF(AVANCE[[#This Row],[TABIQUES]]=O$2,100%,AVANCE[[#This Row],[TABIQUES]])</f>
        <v>0</v>
      </c>
      <c r="BJ679" s="3">
        <f>+IF(AVANCE[[#This Row],[MUROS]]=P$2,100%,AVANCE[[#This Row],[MUROS]])</f>
        <v>0</v>
      </c>
      <c r="BK679" s="3">
        <f>+IF(AVANCE[[#This Row],[CIELO]]=Q$2,100%,AVANCE[[#This Row],[CIELO]])</f>
        <v>0</v>
      </c>
      <c r="BL679" s="3">
        <f>+IF(AVANCE[[#This Row],[BALCÓN]]=R$2,100%,AVANCE[[#This Row],[BALCÓN]])</f>
        <v>0</v>
      </c>
      <c r="BM679" s="3">
        <f>+IF(AVANCE[[#This Row],[RED ALCANTARILLADO]]=U$2,100%,AVANCE[[#This Row],[RED ALCANTARILLADO]])</f>
        <v>0</v>
      </c>
      <c r="BN679" s="3">
        <f>+IF(AVANCE[[#This Row],[RED DE AGUA]]=V$2,100%,AVANCE[[#This Row],[RED DE AGUA]])</f>
        <v>0</v>
      </c>
      <c r="BO679" s="3">
        <f>+IF(AVANCE[[#This Row],[VENTILACIONES]]=W$2,100%,AVANCE[[#This Row],[VENTILACIONES]])</f>
        <v>0</v>
      </c>
      <c r="BP679" s="3">
        <f>+IF(AVANCE[[#This Row],[TINA]]=X$2,100%,AVANCE[[#This Row],[TINA]])</f>
        <v>0</v>
      </c>
      <c r="BQ679" s="3">
        <f>+IF(AVANCE[[#This Row],[WC]]=Y$2,100%,AVANCE[[#This Row],[WC]])</f>
        <v>0</v>
      </c>
      <c r="BR679" s="3">
        <f>+IF(AVANCE[[#This Row],[LAVAMANOS / LAVAPLATOS / LAVADERO]]=Z$2,100%,AVANCE[[#This Row],[LAVAMANOS / LAVAPLATOS / LAVADERO]])</f>
        <v>0</v>
      </c>
      <c r="BS679" s="3">
        <f>+IF(AVANCE[[#This Row],[CANALIZACIÓN]]=AC$2,100%,AVANCE[[#This Row],[CANALIZACIÓN]])</f>
        <v>0</v>
      </c>
      <c r="BT679" s="3">
        <f>+IF(AVANCE[[#This Row],[CABLEADO]]=AD$2,100%,AVANCE[[#This Row],[CABLEADO]])</f>
        <v>0</v>
      </c>
      <c r="BU679" s="3">
        <f>+IF(AVANCE[[#This Row],[ARTEFACTOS]]=AE$2,100%,AVANCE[[#This Row],[ARTEFACTOS]])</f>
        <v>0</v>
      </c>
      <c r="BV679" s="3">
        <f>+IF(AVANCE[[#This Row],[TABLERO]]=AF$2,100%,AVANCE[[#This Row],[TABLERO]])</f>
        <v>0</v>
      </c>
      <c r="BW679" s="3">
        <f>+IF(AVANCE[[#This Row],[CAJA PAU]]=AG$2,100%,AVANCE[[#This Row],[CAJA PAU]])</f>
        <v>0</v>
      </c>
      <c r="BX679" s="3">
        <f>+IF(AVANCE[[#This Row],[INSTALACION VINILICO]]=AJ$2,100%,AVANCE[[#This Row],[INSTALACION VINILICO]])</f>
        <v>0</v>
      </c>
      <c r="BY679" s="3">
        <f>+IF(AVANCE[[#This Row],[OSB CUBIERTA]]=AK$2,100%,AVANCE[[#This Row],[OSB CUBIERTA]])</f>
        <v>0</v>
      </c>
      <c r="BZ679" s="3">
        <f>+IF(AVANCE[[#This Row],[BARANDA BALCON]]=AL$2,100%,AVANCE[[#This Row],[BARANDA BALCON]])</f>
        <v>0</v>
      </c>
      <c r="CA679" s="3">
        <f>+IF(AVANCE[[#This Row],[OSB EXTERIOR]]=AM$2,100%,AVANCE[[#This Row],[OSB EXTERIOR]])</f>
        <v>0</v>
      </c>
      <c r="CB679" s="3">
        <f>+IF(AVANCE[[#This Row],[SMART PANEL]]=AN$2,100%,AVANCE[[#This Row],[SMART PANEL]])</f>
        <v>0</v>
      </c>
      <c r="CC679" s="3">
        <f>+IF(AVANCE[[#This Row],[PINTURA EXTERIOR]]=AO$2,100%,AVANCE[[#This Row],[PINTURA EXTERIOR]])</f>
        <v>0</v>
      </c>
      <c r="CD679" s="3">
        <f>+IF(AVANCE[[#This Row],[ZOCALOS LOGIA]]=AP$2,100%,AVANCE[[#This Row],[ZOCALOS LOGIA]])</f>
        <v>0</v>
      </c>
      <c r="CE679" s="3">
        <f>+IF(AVANCE[[#This Row],[MOLDURAS]]=AQ$2,100%,AVANCE[[#This Row],[MOLDURAS]])</f>
        <v>0</v>
      </c>
      <c r="CF679" s="3">
        <f>+IF(AVANCE[[#This Row],[PILASTREO]]=AR$2,100%,AVANCE[[#This Row],[PILASTREO]])</f>
        <v>0</v>
      </c>
      <c r="CG679" s="3">
        <f>+IF(AVANCE[[#This Row],[CELOSIAS]]=AS$2,100%,AVANCE[[#This Row],[CELOSIAS]])</f>
        <v>0</v>
      </c>
      <c r="CH679" s="3">
        <f>+IF(AVANCE[[#This Row],[VENTANAS]]=AT$2,100%,AVANCE[[#This Row],[VENTANAS]])</f>
        <v>0</v>
      </c>
      <c r="CI679" s="3">
        <f>+IF(AVANCE[[#This Row],[PUERTAS ACCESO - LOGIA - BANO]]=AU$2,100%,AVANCE[[#This Row],[PUERTAS ACCESO - LOGIA - BANO]])</f>
        <v>0</v>
      </c>
      <c r="CJ679" s="3">
        <f>+IF(AVANCE[[#This Row],[CERRADURAS]]=AV$2,100%,AVANCE[[#This Row],[CERRADURAS]])</f>
        <v>0</v>
      </c>
      <c r="CK679" s="3">
        <f>+IF(AVANCE[[#This Row],[REVESTIMIENTO INTERIOR ZONA SECA]]=AW$2,100%,AVANCE[[#This Row],[REVESTIMIENTO INTERIOR ZONA SECA]])</f>
        <v>0</v>
      </c>
      <c r="CL679" s="3">
        <f>+IF(AVANCE[[#This Row],[REVESTIMIENTO INTERIOR ZONAS HUMEDAS]]=AX$2,100%,AVANCE[[#This Row],[REVESTIMIENTO INTERIOR ZONAS HUMEDAS]])</f>
        <v>0</v>
      </c>
      <c r="CM679" s="3">
        <f>+IF(AVANCE[[#This Row],[MEMBRANA CIELO]]=AY$2,100%,AVANCE[[#This Row],[MEMBRANA CIELO]])</f>
        <v>0</v>
      </c>
      <c r="CN679" s="3">
        <f>+IF(AVANCE[[#This Row],[LIMPIEZA FINAL]]=AZ$2,100%,AVANCE[[#This Row],[LIMPIEZA FINAL]])</f>
        <v>0</v>
      </c>
      <c r="CO679" s="3">
        <f>+IF(AVANCE[[#This Row],[PUERTAS DORMITORIO]]=BA$2,100%,AVANCE[[#This Row],[PUERTAS DORMITORIO]])</f>
        <v>0</v>
      </c>
      <c r="CP679" s="3">
        <f>+IF(AVANCE[[#This Row],[REVESTIMIENTO INTERIOR BANO]]=BB$2,100%,AVANCE[[#This Row],[REVESTIMIENTO INTERIOR BANO]])</f>
        <v>0</v>
      </c>
      <c r="CQ679" s="3">
        <f>+IF(AVANCE[[#This Row],[MUEBLE LAVAPLATOS]]=BC$2,100%,AVANCE[[#This Row],[MUEBLE LAVAPLATOS]])</f>
        <v>0</v>
      </c>
      <c r="CR679" s="3">
        <f>+IF(AVANCE[[#This Row],[IMPERMEABILIZACION BANO - COCINA LOGIA]]=BD$2,100%,AVANCE[[#This Row],[IMPERMEABILIZACION BANO - COCINA LOGIA]])</f>
        <v>0</v>
      </c>
      <c r="CS679" s="40">
        <f ca="1">+IF(AVANCE[[#This Row],[ESTADO MODULO]]="PENDIENTE",(TODAY()-AVANCE[[#This Row],[FECHA TERMINO  PLANIFICADO]]),0)</f>
        <v>0</v>
      </c>
      <c r="CT679" s="41" t="str" cm="1">
        <f t="array" ref="CT679">_xlfn.TEXTJOIN(" | ",TRUE,IF(SUMPRODUCT((BG679:CR679&lt;1)*(PARTIDAS!$I$2:$AT$2="OBRA GRUESA"))&gt;0,"OBRA GRUESA: "&amp;_xlfn.TEXTJOIN(", ",TRUE,IF((BG679:CR679&lt;1)*(PARTIDAS!$I$2:$AT$2="OBRA GRUESA"),PARTIDAS!$I$1:$AT$1,"")),""),IF(SUMPRODUCT((BG679:CR679&lt;1)*(PARTIDAS!$I$2:$AT$2="SANITARIOS"))&gt;0,"SANITARIOS: "&amp;_xlfn.TEXTJOIN(", ",TRUE,IF((BG679:CR679&lt;1)*(PARTIDAS!$I$2:$AT$2="SANITARIOS"),PARTIDAS!$I$1:$AT$1,"")),""),IF(SUMPRODUCT((BG679:CR679&lt;1)*(PARTIDAS!$I$2:$AT$2="ELÉCTRICO"))&gt;0,"ELÉCTRICO: "&amp;_xlfn.TEXTJOIN(", ",TRUE,IF((BG679:CR679&lt;1)*(PARTIDAS!$I$2:$AT$2="ELÉCTRICO"),PARTIDAS!$I$1:$AT$1,"")),""),IF(SUMPRODUCT((BG679:CR679&lt;1)*(PARTIDAS!$I$2:$AT$2="TERMINACIONES"))&gt;0,"TERMINACIONES: "&amp;_xlfn.TEXTJOIN(", ",TRUE,IF((BG679:CR679&lt;1)*(PARTIDAS!$I$2:$AT$2="TERMINACIONES"),PARTIDAS!$I$1:$AT$1,"")),""))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79" s="43" t="str" cm="1">
        <f t="array" ref="CU679">_xlfn.TEXTJOIN(", ",TRUE,IF(SUMPRODUCT((BG679:CR679&lt;1)*(PARTIDAS!$I$2:$AT$2="OBRA GRUESA"))&gt;0,"OBRA GRUESA",""),IF(SUMPRODUCT((BG679:CR679&lt;1)*(PARTIDAS!$I$2:$AT$2="SANITARIOS"))&gt;0,"SANITARIOS",""),IF(SUMPRODUCT((BG679:CR679&lt;1)*(PARTIDAS!$I$2:$AT$2="ELÉCTRICO"))&gt;0,"ELÉCTRICO",""),IF(SUMPRODUCT((BG679:CR679&lt;1)*(PARTIDAS!$I$2:$AT$2="TERMINACIONES"))&gt;0,"TERMINACIONES",""))</f>
        <v>OBRA GRUESA, SANITARIOS, ELÉCTRICO, TERMINACIONES</v>
      </c>
      <c r="CV679" s="44" cm="1">
        <f t="array" ref="CV679">SUMPRODUCT(--(BG679:CR679&lt;1))</f>
        <v>38</v>
      </c>
    </row>
    <row r="680" spans="1:100" hidden="1" x14ac:dyDescent="0.25">
      <c r="A680" t="s">
        <v>751</v>
      </c>
      <c r="B680" t="s">
        <v>758</v>
      </c>
      <c r="C680">
        <v>2302600679</v>
      </c>
      <c r="D680" t="s">
        <v>60</v>
      </c>
      <c r="E680" s="2">
        <v>0</v>
      </c>
      <c r="F680" s="1">
        <v>46476</v>
      </c>
      <c r="G680" s="1"/>
      <c r="H680" s="1">
        <v>0</v>
      </c>
      <c r="I680" s="1">
        <v>46506</v>
      </c>
      <c r="J680">
        <v>46230</v>
      </c>
      <c r="K680" s="1"/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>
        <v>31.32</v>
      </c>
      <c r="BF680" s="3" t="str">
        <f>+IF(AVANCE[[#This Row],[% AVANCE]]=100%,"MODULO TERMINADO",IF(AVANCE[[#This Row],[FECHA INICIO REAL]]="","MODULO NO INICIADO","PENDIENTE"))</f>
        <v>MODULO NO INICIADO</v>
      </c>
      <c r="BG680" s="3">
        <f>+IF(AVANCE[[#This Row],[VENTANAS]]=8.10810810810811%,100%,AVANCE[[#This Row],[VENTANAS]])</f>
        <v>0</v>
      </c>
      <c r="BH680" s="3">
        <f>+IF(AVANCE[[#This Row],[PISO]]=N$2,100%,AVANCE[[#This Row],[PISO]])</f>
        <v>0</v>
      </c>
      <c r="BI680" s="3">
        <f>+IF(AVANCE[[#This Row],[TABIQUES]]=O$2,100%,AVANCE[[#This Row],[TABIQUES]])</f>
        <v>0</v>
      </c>
      <c r="BJ680" s="3">
        <f>+IF(AVANCE[[#This Row],[MUROS]]=P$2,100%,AVANCE[[#This Row],[MUROS]])</f>
        <v>0</v>
      </c>
      <c r="BK680" s="3">
        <f>+IF(AVANCE[[#This Row],[CIELO]]=Q$2,100%,AVANCE[[#This Row],[CIELO]])</f>
        <v>0</v>
      </c>
      <c r="BL680" s="3">
        <f>+IF(AVANCE[[#This Row],[BALCÓN]]=R$2,100%,AVANCE[[#This Row],[BALCÓN]])</f>
        <v>0</v>
      </c>
      <c r="BM680" s="3">
        <f>+IF(AVANCE[[#This Row],[RED ALCANTARILLADO]]=U$2,100%,AVANCE[[#This Row],[RED ALCANTARILLADO]])</f>
        <v>0</v>
      </c>
      <c r="BN680" s="3">
        <f>+IF(AVANCE[[#This Row],[RED DE AGUA]]=V$2,100%,AVANCE[[#This Row],[RED DE AGUA]])</f>
        <v>0</v>
      </c>
      <c r="BO680" s="3">
        <f>+IF(AVANCE[[#This Row],[VENTILACIONES]]=W$2,100%,AVANCE[[#This Row],[VENTILACIONES]])</f>
        <v>0</v>
      </c>
      <c r="BP680" s="3">
        <f>+IF(AVANCE[[#This Row],[TINA]]=X$2,100%,AVANCE[[#This Row],[TINA]])</f>
        <v>0</v>
      </c>
      <c r="BQ680" s="3">
        <f>+IF(AVANCE[[#This Row],[WC]]=Y$2,100%,AVANCE[[#This Row],[WC]])</f>
        <v>0</v>
      </c>
      <c r="BR680" s="3">
        <f>+IF(AVANCE[[#This Row],[LAVAMANOS / LAVAPLATOS / LAVADERO]]=Z$2,100%,AVANCE[[#This Row],[LAVAMANOS / LAVAPLATOS / LAVADERO]])</f>
        <v>0</v>
      </c>
      <c r="BS680" s="3">
        <f>+IF(AVANCE[[#This Row],[CANALIZACIÓN]]=AC$2,100%,AVANCE[[#This Row],[CANALIZACIÓN]])</f>
        <v>0</v>
      </c>
      <c r="BT680" s="3">
        <f>+IF(AVANCE[[#This Row],[CABLEADO]]=AD$2,100%,AVANCE[[#This Row],[CABLEADO]])</f>
        <v>0</v>
      </c>
      <c r="BU680" s="3">
        <f>+IF(AVANCE[[#This Row],[ARTEFACTOS]]=AE$2,100%,AVANCE[[#This Row],[ARTEFACTOS]])</f>
        <v>0</v>
      </c>
      <c r="BV680" s="3">
        <f>+IF(AVANCE[[#This Row],[TABLERO]]=AF$2,100%,AVANCE[[#This Row],[TABLERO]])</f>
        <v>0</v>
      </c>
      <c r="BW680" s="3">
        <f>+IF(AVANCE[[#This Row],[CAJA PAU]]=AG$2,100%,AVANCE[[#This Row],[CAJA PAU]])</f>
        <v>0</v>
      </c>
      <c r="BX680" s="3">
        <f>+IF(AVANCE[[#This Row],[INSTALACION VINILICO]]=AJ$2,100%,AVANCE[[#This Row],[INSTALACION VINILICO]])</f>
        <v>0</v>
      </c>
      <c r="BY680" s="3">
        <f>+IF(AVANCE[[#This Row],[OSB CUBIERTA]]=AK$2,100%,AVANCE[[#This Row],[OSB CUBIERTA]])</f>
        <v>0</v>
      </c>
      <c r="BZ680" s="3">
        <f>+IF(AVANCE[[#This Row],[BARANDA BALCON]]=AL$2,100%,AVANCE[[#This Row],[BARANDA BALCON]])</f>
        <v>0</v>
      </c>
      <c r="CA680" s="3">
        <f>+IF(AVANCE[[#This Row],[OSB EXTERIOR]]=AM$2,100%,AVANCE[[#This Row],[OSB EXTERIOR]])</f>
        <v>0</v>
      </c>
      <c r="CB680" s="3">
        <f>+IF(AVANCE[[#This Row],[SMART PANEL]]=AN$2,100%,AVANCE[[#This Row],[SMART PANEL]])</f>
        <v>0</v>
      </c>
      <c r="CC680" s="3">
        <f>+IF(AVANCE[[#This Row],[PINTURA EXTERIOR]]=AO$2,100%,AVANCE[[#This Row],[PINTURA EXTERIOR]])</f>
        <v>0</v>
      </c>
      <c r="CD680" s="3">
        <f>+IF(AVANCE[[#This Row],[ZOCALOS LOGIA]]=AP$2,100%,AVANCE[[#This Row],[ZOCALOS LOGIA]])</f>
        <v>0</v>
      </c>
      <c r="CE680" s="3">
        <f>+IF(AVANCE[[#This Row],[MOLDURAS]]=AQ$2,100%,AVANCE[[#This Row],[MOLDURAS]])</f>
        <v>0</v>
      </c>
      <c r="CF680" s="3">
        <f>+IF(AVANCE[[#This Row],[PILASTREO]]=AR$2,100%,AVANCE[[#This Row],[PILASTREO]])</f>
        <v>0</v>
      </c>
      <c r="CG680" s="3">
        <f>+IF(AVANCE[[#This Row],[CELOSIAS]]=AS$2,100%,AVANCE[[#This Row],[CELOSIAS]])</f>
        <v>0</v>
      </c>
      <c r="CH680" s="3">
        <f>+IF(AVANCE[[#This Row],[VENTANAS]]=AT$2,100%,AVANCE[[#This Row],[VENTANAS]])</f>
        <v>0</v>
      </c>
      <c r="CI680" s="3">
        <f>+IF(AVANCE[[#This Row],[PUERTAS ACCESO - LOGIA - BANO]]=AU$2,100%,AVANCE[[#This Row],[PUERTAS ACCESO - LOGIA - BANO]])</f>
        <v>0</v>
      </c>
      <c r="CJ680" s="3">
        <f>+IF(AVANCE[[#This Row],[CERRADURAS]]=AV$2,100%,AVANCE[[#This Row],[CERRADURAS]])</f>
        <v>0</v>
      </c>
      <c r="CK680" s="3">
        <f>+IF(AVANCE[[#This Row],[REVESTIMIENTO INTERIOR ZONA SECA]]=AW$2,100%,AVANCE[[#This Row],[REVESTIMIENTO INTERIOR ZONA SECA]])</f>
        <v>0</v>
      </c>
      <c r="CL680" s="3">
        <f>+IF(AVANCE[[#This Row],[REVESTIMIENTO INTERIOR ZONAS HUMEDAS]]=AX$2,100%,AVANCE[[#This Row],[REVESTIMIENTO INTERIOR ZONAS HUMEDAS]])</f>
        <v>0</v>
      </c>
      <c r="CM680" s="3">
        <f>+IF(AVANCE[[#This Row],[MEMBRANA CIELO]]=AY$2,100%,AVANCE[[#This Row],[MEMBRANA CIELO]])</f>
        <v>0</v>
      </c>
      <c r="CN680" s="3">
        <f>+IF(AVANCE[[#This Row],[LIMPIEZA FINAL]]=AZ$2,100%,AVANCE[[#This Row],[LIMPIEZA FINAL]])</f>
        <v>0</v>
      </c>
      <c r="CO680" s="3">
        <f>+IF(AVANCE[[#This Row],[PUERTAS DORMITORIO]]=BA$2,100%,AVANCE[[#This Row],[PUERTAS DORMITORIO]])</f>
        <v>0</v>
      </c>
      <c r="CP680" s="3">
        <f>+IF(AVANCE[[#This Row],[REVESTIMIENTO INTERIOR BANO]]=BB$2,100%,AVANCE[[#This Row],[REVESTIMIENTO INTERIOR BANO]])</f>
        <v>0</v>
      </c>
      <c r="CQ680" s="3">
        <f>+IF(AVANCE[[#This Row],[MUEBLE LAVAPLATOS]]=BC$2,100%,AVANCE[[#This Row],[MUEBLE LAVAPLATOS]])</f>
        <v>0</v>
      </c>
      <c r="CR680" s="3">
        <f>+IF(AVANCE[[#This Row],[IMPERMEABILIZACION BANO - COCINA LOGIA]]=BD$2,100%,AVANCE[[#This Row],[IMPERMEABILIZACION BANO - COCINA LOGIA]])</f>
        <v>0</v>
      </c>
      <c r="CS680" s="40">
        <f ca="1">+IF(AVANCE[[#This Row],[ESTADO MODULO]]="PENDIENTE",(TODAY()-AVANCE[[#This Row],[FECHA TERMINO  PLANIFICADO]]),0)</f>
        <v>0</v>
      </c>
      <c r="CT680" s="41" t="str" cm="1">
        <f t="array" ref="CT680">_xlfn.TEXTJOIN(" | ",TRUE,IF(SUMPRODUCT((BG680:CR680&lt;1)*(PARTIDAS!$I$2:$AT$2="OBRA GRUESA"))&gt;0,"OBRA GRUESA: "&amp;_xlfn.TEXTJOIN(", ",TRUE,IF((BG680:CR680&lt;1)*(PARTIDAS!$I$2:$AT$2="OBRA GRUESA"),PARTIDAS!$I$1:$AT$1,"")),""),IF(SUMPRODUCT((BG680:CR680&lt;1)*(PARTIDAS!$I$2:$AT$2="SANITARIOS"))&gt;0,"SANITARIOS: "&amp;_xlfn.TEXTJOIN(", ",TRUE,IF((BG680:CR680&lt;1)*(PARTIDAS!$I$2:$AT$2="SANITARIOS"),PARTIDAS!$I$1:$AT$1,"")),""),IF(SUMPRODUCT((BG680:CR680&lt;1)*(PARTIDAS!$I$2:$AT$2="ELÉCTRICO"))&gt;0,"ELÉCTRICO: "&amp;_xlfn.TEXTJOIN(", ",TRUE,IF((BG680:CR680&lt;1)*(PARTIDAS!$I$2:$AT$2="ELÉCTRICO"),PARTIDAS!$I$1:$AT$1,"")),""),IF(SUMPRODUCT((BG680:CR680&lt;1)*(PARTIDAS!$I$2:$AT$2="TERMINACIONES"))&gt;0,"TERMINACIONES: "&amp;_xlfn.TEXTJOIN(", ",TRUE,IF((BG680:CR680&lt;1)*(PARTIDAS!$I$2:$AT$2="TERMINACIONES"),PARTIDAS!$I$1:$AT$1,"")),""))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0" s="43" t="str" cm="1">
        <f t="array" ref="CU680">_xlfn.TEXTJOIN(", ",TRUE,IF(SUMPRODUCT((BG680:CR680&lt;1)*(PARTIDAS!$I$2:$AT$2="OBRA GRUESA"))&gt;0,"OBRA GRUESA",""),IF(SUMPRODUCT((BG680:CR680&lt;1)*(PARTIDAS!$I$2:$AT$2="SANITARIOS"))&gt;0,"SANITARIOS",""),IF(SUMPRODUCT((BG680:CR680&lt;1)*(PARTIDAS!$I$2:$AT$2="ELÉCTRICO"))&gt;0,"ELÉCTRICO",""),IF(SUMPRODUCT((BG680:CR680&lt;1)*(PARTIDAS!$I$2:$AT$2="TERMINACIONES"))&gt;0,"TERMINACIONES",""))</f>
        <v>OBRA GRUESA, SANITARIOS, ELÉCTRICO, TERMINACIONES</v>
      </c>
      <c r="CV680" s="44" cm="1">
        <f t="array" ref="CV680">SUMPRODUCT(--(BG680:CR680&lt;1))</f>
        <v>38</v>
      </c>
    </row>
    <row r="681" spans="1:100" hidden="1" x14ac:dyDescent="0.25">
      <c r="A681" t="s">
        <v>751</v>
      </c>
      <c r="B681" t="s">
        <v>759</v>
      </c>
      <c r="C681">
        <v>2282600680</v>
      </c>
      <c r="D681" t="s">
        <v>58</v>
      </c>
      <c r="E681" s="2">
        <v>0</v>
      </c>
      <c r="F681" s="1">
        <v>46477</v>
      </c>
      <c r="G681" s="1"/>
      <c r="H681" s="1">
        <v>0</v>
      </c>
      <c r="I681" s="1">
        <v>46497</v>
      </c>
      <c r="J681">
        <v>46230</v>
      </c>
      <c r="K681" s="1"/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>
        <v>28.87</v>
      </c>
      <c r="BF681" s="3" t="str">
        <f>+IF(AVANCE[[#This Row],[% AVANCE]]=100%,"MODULO TERMINADO",IF(AVANCE[[#This Row],[FECHA INICIO REAL]]="","MODULO NO INICIADO","PENDIENTE"))</f>
        <v>MODULO NO INICIADO</v>
      </c>
      <c r="BG681" s="3">
        <f>+IF(AVANCE[[#This Row],[VENTANAS]]=8.10810810810811%,100%,AVANCE[[#This Row],[VENTANAS]])</f>
        <v>0</v>
      </c>
      <c r="BH681" s="3">
        <f>+IF(AVANCE[[#This Row],[PISO]]=N$2,100%,AVANCE[[#This Row],[PISO]])</f>
        <v>0</v>
      </c>
      <c r="BI681" s="3">
        <f>+IF(AVANCE[[#This Row],[TABIQUES]]=O$2,100%,AVANCE[[#This Row],[TABIQUES]])</f>
        <v>0</v>
      </c>
      <c r="BJ681" s="3">
        <f>+IF(AVANCE[[#This Row],[MUROS]]=P$2,100%,AVANCE[[#This Row],[MUROS]])</f>
        <v>0</v>
      </c>
      <c r="BK681" s="3">
        <f>+IF(AVANCE[[#This Row],[CIELO]]=Q$2,100%,AVANCE[[#This Row],[CIELO]])</f>
        <v>0</v>
      </c>
      <c r="BL681" s="3">
        <f>+IF(AVANCE[[#This Row],[BALCÓN]]=R$2,100%,AVANCE[[#This Row],[BALCÓN]])</f>
        <v>0</v>
      </c>
      <c r="BM681" s="3">
        <f>+IF(AVANCE[[#This Row],[RED ALCANTARILLADO]]=U$2,100%,AVANCE[[#This Row],[RED ALCANTARILLADO]])</f>
        <v>0</v>
      </c>
      <c r="BN681" s="3">
        <f>+IF(AVANCE[[#This Row],[RED DE AGUA]]=V$2,100%,AVANCE[[#This Row],[RED DE AGUA]])</f>
        <v>0</v>
      </c>
      <c r="BO681" s="3">
        <f>+IF(AVANCE[[#This Row],[VENTILACIONES]]=W$2,100%,AVANCE[[#This Row],[VENTILACIONES]])</f>
        <v>0</v>
      </c>
      <c r="BP681" s="3">
        <f>+IF(AVANCE[[#This Row],[TINA]]=X$2,100%,AVANCE[[#This Row],[TINA]])</f>
        <v>0</v>
      </c>
      <c r="BQ681" s="3">
        <f>+IF(AVANCE[[#This Row],[WC]]=Y$2,100%,AVANCE[[#This Row],[WC]])</f>
        <v>0</v>
      </c>
      <c r="BR681" s="3">
        <f>+IF(AVANCE[[#This Row],[LAVAMANOS / LAVAPLATOS / LAVADERO]]=Z$2,100%,AVANCE[[#This Row],[LAVAMANOS / LAVAPLATOS / LAVADERO]])</f>
        <v>0</v>
      </c>
      <c r="BS681" s="3">
        <f>+IF(AVANCE[[#This Row],[CANALIZACIÓN]]=AC$2,100%,AVANCE[[#This Row],[CANALIZACIÓN]])</f>
        <v>0</v>
      </c>
      <c r="BT681" s="3">
        <f>+IF(AVANCE[[#This Row],[CABLEADO]]=AD$2,100%,AVANCE[[#This Row],[CABLEADO]])</f>
        <v>0</v>
      </c>
      <c r="BU681" s="3">
        <f>+IF(AVANCE[[#This Row],[ARTEFACTOS]]=AE$2,100%,AVANCE[[#This Row],[ARTEFACTOS]])</f>
        <v>0</v>
      </c>
      <c r="BV681" s="3">
        <f>+IF(AVANCE[[#This Row],[TABLERO]]=AF$2,100%,AVANCE[[#This Row],[TABLERO]])</f>
        <v>0</v>
      </c>
      <c r="BW681" s="3">
        <f>+IF(AVANCE[[#This Row],[CAJA PAU]]=AG$2,100%,AVANCE[[#This Row],[CAJA PAU]])</f>
        <v>0</v>
      </c>
      <c r="BX681" s="3">
        <f>+IF(AVANCE[[#This Row],[INSTALACION VINILICO]]=AJ$2,100%,AVANCE[[#This Row],[INSTALACION VINILICO]])</f>
        <v>0</v>
      </c>
      <c r="BY681" s="3">
        <f>+IF(AVANCE[[#This Row],[OSB CUBIERTA]]=AK$2,100%,AVANCE[[#This Row],[OSB CUBIERTA]])</f>
        <v>0</v>
      </c>
      <c r="BZ681" s="3">
        <f>+IF(AVANCE[[#This Row],[BARANDA BALCON]]=AL$2,100%,AVANCE[[#This Row],[BARANDA BALCON]])</f>
        <v>0</v>
      </c>
      <c r="CA681" s="3">
        <f>+IF(AVANCE[[#This Row],[OSB EXTERIOR]]=AM$2,100%,AVANCE[[#This Row],[OSB EXTERIOR]])</f>
        <v>0</v>
      </c>
      <c r="CB681" s="3">
        <f>+IF(AVANCE[[#This Row],[SMART PANEL]]=AN$2,100%,AVANCE[[#This Row],[SMART PANEL]])</f>
        <v>0</v>
      </c>
      <c r="CC681" s="3">
        <f>+IF(AVANCE[[#This Row],[PINTURA EXTERIOR]]=AO$2,100%,AVANCE[[#This Row],[PINTURA EXTERIOR]])</f>
        <v>0</v>
      </c>
      <c r="CD681" s="3">
        <f>+IF(AVANCE[[#This Row],[ZOCALOS LOGIA]]=AP$2,100%,AVANCE[[#This Row],[ZOCALOS LOGIA]])</f>
        <v>0</v>
      </c>
      <c r="CE681" s="3">
        <f>+IF(AVANCE[[#This Row],[MOLDURAS]]=AQ$2,100%,AVANCE[[#This Row],[MOLDURAS]])</f>
        <v>0</v>
      </c>
      <c r="CF681" s="3">
        <f>+IF(AVANCE[[#This Row],[PILASTREO]]=AR$2,100%,AVANCE[[#This Row],[PILASTREO]])</f>
        <v>0</v>
      </c>
      <c r="CG681" s="3">
        <f>+IF(AVANCE[[#This Row],[CELOSIAS]]=AS$2,100%,AVANCE[[#This Row],[CELOSIAS]])</f>
        <v>0</v>
      </c>
      <c r="CH681" s="3">
        <f>+IF(AVANCE[[#This Row],[VENTANAS]]=AT$2,100%,AVANCE[[#This Row],[VENTANAS]])</f>
        <v>0</v>
      </c>
      <c r="CI681" s="3">
        <f>+IF(AVANCE[[#This Row],[PUERTAS ACCESO - LOGIA - BANO]]=AU$2,100%,AVANCE[[#This Row],[PUERTAS ACCESO - LOGIA - BANO]])</f>
        <v>0</v>
      </c>
      <c r="CJ681" s="3">
        <f>+IF(AVANCE[[#This Row],[CERRADURAS]]=AV$2,100%,AVANCE[[#This Row],[CERRADURAS]])</f>
        <v>0</v>
      </c>
      <c r="CK681" s="3">
        <f>+IF(AVANCE[[#This Row],[REVESTIMIENTO INTERIOR ZONA SECA]]=AW$2,100%,AVANCE[[#This Row],[REVESTIMIENTO INTERIOR ZONA SECA]])</f>
        <v>0</v>
      </c>
      <c r="CL681" s="3">
        <f>+IF(AVANCE[[#This Row],[REVESTIMIENTO INTERIOR ZONAS HUMEDAS]]=AX$2,100%,AVANCE[[#This Row],[REVESTIMIENTO INTERIOR ZONAS HUMEDAS]])</f>
        <v>0</v>
      </c>
      <c r="CM681" s="3">
        <f>+IF(AVANCE[[#This Row],[MEMBRANA CIELO]]=AY$2,100%,AVANCE[[#This Row],[MEMBRANA CIELO]])</f>
        <v>0</v>
      </c>
      <c r="CN681" s="3">
        <f>+IF(AVANCE[[#This Row],[LIMPIEZA FINAL]]=AZ$2,100%,AVANCE[[#This Row],[LIMPIEZA FINAL]])</f>
        <v>0</v>
      </c>
      <c r="CO681" s="3">
        <f>+IF(AVANCE[[#This Row],[PUERTAS DORMITORIO]]=BA$2,100%,AVANCE[[#This Row],[PUERTAS DORMITORIO]])</f>
        <v>0</v>
      </c>
      <c r="CP681" s="3">
        <f>+IF(AVANCE[[#This Row],[REVESTIMIENTO INTERIOR BANO]]=BB$2,100%,AVANCE[[#This Row],[REVESTIMIENTO INTERIOR BANO]])</f>
        <v>0</v>
      </c>
      <c r="CQ681" s="3">
        <f>+IF(AVANCE[[#This Row],[MUEBLE LAVAPLATOS]]=BC$2,100%,AVANCE[[#This Row],[MUEBLE LAVAPLATOS]])</f>
        <v>0</v>
      </c>
      <c r="CR681" s="3">
        <f>+IF(AVANCE[[#This Row],[IMPERMEABILIZACION BANO - COCINA LOGIA]]=BD$2,100%,AVANCE[[#This Row],[IMPERMEABILIZACION BANO - COCINA LOGIA]])</f>
        <v>0</v>
      </c>
      <c r="CS681" s="40">
        <f ca="1">+IF(AVANCE[[#This Row],[ESTADO MODULO]]="PENDIENTE",(TODAY()-AVANCE[[#This Row],[FECHA TERMINO  PLANIFICADO]]),0)</f>
        <v>0</v>
      </c>
      <c r="CT681" s="41" t="str" cm="1">
        <f t="array" ref="CT681">_xlfn.TEXTJOIN(" | ",TRUE,IF(SUMPRODUCT((BG681:CR681&lt;1)*(PARTIDAS!$I$2:$AT$2="OBRA GRUESA"))&gt;0,"OBRA GRUESA: "&amp;_xlfn.TEXTJOIN(", ",TRUE,IF((BG681:CR681&lt;1)*(PARTIDAS!$I$2:$AT$2="OBRA GRUESA"),PARTIDAS!$I$1:$AT$1,"")),""),IF(SUMPRODUCT((BG681:CR681&lt;1)*(PARTIDAS!$I$2:$AT$2="SANITARIOS"))&gt;0,"SANITARIOS: "&amp;_xlfn.TEXTJOIN(", ",TRUE,IF((BG681:CR681&lt;1)*(PARTIDAS!$I$2:$AT$2="SANITARIOS"),PARTIDAS!$I$1:$AT$1,"")),""),IF(SUMPRODUCT((BG681:CR681&lt;1)*(PARTIDAS!$I$2:$AT$2="ELÉCTRICO"))&gt;0,"ELÉCTRICO: "&amp;_xlfn.TEXTJOIN(", ",TRUE,IF((BG681:CR681&lt;1)*(PARTIDAS!$I$2:$AT$2="ELÉCTRICO"),PARTIDAS!$I$1:$AT$1,"")),""),IF(SUMPRODUCT((BG681:CR681&lt;1)*(PARTIDAS!$I$2:$AT$2="TERMINACIONES"))&gt;0,"TERMINACIONES: "&amp;_xlfn.TEXTJOIN(", ",TRUE,IF((BG681:CR681&lt;1)*(PARTIDAS!$I$2:$AT$2="TERMINACIONES"),PARTIDAS!$I$1:$AT$1,"")),""))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1" s="43" t="str" cm="1">
        <f t="array" ref="CU681">_xlfn.TEXTJOIN(", ",TRUE,IF(SUMPRODUCT((BG681:CR681&lt;1)*(PARTIDAS!$I$2:$AT$2="OBRA GRUESA"))&gt;0,"OBRA GRUESA",""),IF(SUMPRODUCT((BG681:CR681&lt;1)*(PARTIDAS!$I$2:$AT$2="SANITARIOS"))&gt;0,"SANITARIOS",""),IF(SUMPRODUCT((BG681:CR681&lt;1)*(PARTIDAS!$I$2:$AT$2="ELÉCTRICO"))&gt;0,"ELÉCTRICO",""),IF(SUMPRODUCT((BG681:CR681&lt;1)*(PARTIDAS!$I$2:$AT$2="TERMINACIONES"))&gt;0,"TERMINACIONES",""))</f>
        <v>OBRA GRUESA, SANITARIOS, ELÉCTRICO, TERMINACIONES</v>
      </c>
      <c r="CV681" s="44" cm="1">
        <f t="array" ref="CV681">SUMPRODUCT(--(BG681:CR681&lt;1))</f>
        <v>38</v>
      </c>
    </row>
    <row r="682" spans="1:100" hidden="1" x14ac:dyDescent="0.25">
      <c r="A682" t="s">
        <v>751</v>
      </c>
      <c r="B682" t="s">
        <v>760</v>
      </c>
      <c r="C682">
        <v>2282600681</v>
      </c>
      <c r="D682" t="s">
        <v>58</v>
      </c>
      <c r="E682" s="2">
        <v>0</v>
      </c>
      <c r="F682" s="1">
        <v>46477</v>
      </c>
      <c r="G682" s="1"/>
      <c r="H682" s="1">
        <v>0</v>
      </c>
      <c r="I682" s="1">
        <v>46497</v>
      </c>
      <c r="J682">
        <v>46230</v>
      </c>
      <c r="K682" s="1"/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>
        <v>28.87</v>
      </c>
      <c r="BF682" s="3" t="str">
        <f>+IF(AVANCE[[#This Row],[% AVANCE]]=100%,"MODULO TERMINADO",IF(AVANCE[[#This Row],[FECHA INICIO REAL]]="","MODULO NO INICIADO","PENDIENTE"))</f>
        <v>MODULO NO INICIADO</v>
      </c>
      <c r="BG682" s="3">
        <f>+IF(AVANCE[[#This Row],[VENTANAS]]=8.10810810810811%,100%,AVANCE[[#This Row],[VENTANAS]])</f>
        <v>0</v>
      </c>
      <c r="BH682" s="3">
        <f>+IF(AVANCE[[#This Row],[PISO]]=N$2,100%,AVANCE[[#This Row],[PISO]])</f>
        <v>0</v>
      </c>
      <c r="BI682" s="3">
        <f>+IF(AVANCE[[#This Row],[TABIQUES]]=O$2,100%,AVANCE[[#This Row],[TABIQUES]])</f>
        <v>0</v>
      </c>
      <c r="BJ682" s="3">
        <f>+IF(AVANCE[[#This Row],[MUROS]]=P$2,100%,AVANCE[[#This Row],[MUROS]])</f>
        <v>0</v>
      </c>
      <c r="BK682" s="3">
        <f>+IF(AVANCE[[#This Row],[CIELO]]=Q$2,100%,AVANCE[[#This Row],[CIELO]])</f>
        <v>0</v>
      </c>
      <c r="BL682" s="3">
        <f>+IF(AVANCE[[#This Row],[BALCÓN]]=R$2,100%,AVANCE[[#This Row],[BALCÓN]])</f>
        <v>0</v>
      </c>
      <c r="BM682" s="3">
        <f>+IF(AVANCE[[#This Row],[RED ALCANTARILLADO]]=U$2,100%,AVANCE[[#This Row],[RED ALCANTARILLADO]])</f>
        <v>0</v>
      </c>
      <c r="BN682" s="3">
        <f>+IF(AVANCE[[#This Row],[RED DE AGUA]]=V$2,100%,AVANCE[[#This Row],[RED DE AGUA]])</f>
        <v>0</v>
      </c>
      <c r="BO682" s="3">
        <f>+IF(AVANCE[[#This Row],[VENTILACIONES]]=W$2,100%,AVANCE[[#This Row],[VENTILACIONES]])</f>
        <v>0</v>
      </c>
      <c r="BP682" s="3">
        <f>+IF(AVANCE[[#This Row],[TINA]]=X$2,100%,AVANCE[[#This Row],[TINA]])</f>
        <v>0</v>
      </c>
      <c r="BQ682" s="3">
        <f>+IF(AVANCE[[#This Row],[WC]]=Y$2,100%,AVANCE[[#This Row],[WC]])</f>
        <v>0</v>
      </c>
      <c r="BR682" s="3">
        <f>+IF(AVANCE[[#This Row],[LAVAMANOS / LAVAPLATOS / LAVADERO]]=Z$2,100%,AVANCE[[#This Row],[LAVAMANOS / LAVAPLATOS / LAVADERO]])</f>
        <v>0</v>
      </c>
      <c r="BS682" s="3">
        <f>+IF(AVANCE[[#This Row],[CANALIZACIÓN]]=AC$2,100%,AVANCE[[#This Row],[CANALIZACIÓN]])</f>
        <v>0</v>
      </c>
      <c r="BT682" s="3">
        <f>+IF(AVANCE[[#This Row],[CABLEADO]]=AD$2,100%,AVANCE[[#This Row],[CABLEADO]])</f>
        <v>0</v>
      </c>
      <c r="BU682" s="3">
        <f>+IF(AVANCE[[#This Row],[ARTEFACTOS]]=AE$2,100%,AVANCE[[#This Row],[ARTEFACTOS]])</f>
        <v>0</v>
      </c>
      <c r="BV682" s="3">
        <f>+IF(AVANCE[[#This Row],[TABLERO]]=AF$2,100%,AVANCE[[#This Row],[TABLERO]])</f>
        <v>0</v>
      </c>
      <c r="BW682" s="3">
        <f>+IF(AVANCE[[#This Row],[CAJA PAU]]=AG$2,100%,AVANCE[[#This Row],[CAJA PAU]])</f>
        <v>0</v>
      </c>
      <c r="BX682" s="3">
        <f>+IF(AVANCE[[#This Row],[INSTALACION VINILICO]]=AJ$2,100%,AVANCE[[#This Row],[INSTALACION VINILICO]])</f>
        <v>0</v>
      </c>
      <c r="BY682" s="3">
        <f>+IF(AVANCE[[#This Row],[OSB CUBIERTA]]=AK$2,100%,AVANCE[[#This Row],[OSB CUBIERTA]])</f>
        <v>0</v>
      </c>
      <c r="BZ682" s="3">
        <f>+IF(AVANCE[[#This Row],[BARANDA BALCON]]=AL$2,100%,AVANCE[[#This Row],[BARANDA BALCON]])</f>
        <v>0</v>
      </c>
      <c r="CA682" s="3">
        <f>+IF(AVANCE[[#This Row],[OSB EXTERIOR]]=AM$2,100%,AVANCE[[#This Row],[OSB EXTERIOR]])</f>
        <v>0</v>
      </c>
      <c r="CB682" s="3">
        <f>+IF(AVANCE[[#This Row],[SMART PANEL]]=AN$2,100%,AVANCE[[#This Row],[SMART PANEL]])</f>
        <v>0</v>
      </c>
      <c r="CC682" s="3">
        <f>+IF(AVANCE[[#This Row],[PINTURA EXTERIOR]]=AO$2,100%,AVANCE[[#This Row],[PINTURA EXTERIOR]])</f>
        <v>0</v>
      </c>
      <c r="CD682" s="3">
        <f>+IF(AVANCE[[#This Row],[ZOCALOS LOGIA]]=AP$2,100%,AVANCE[[#This Row],[ZOCALOS LOGIA]])</f>
        <v>0</v>
      </c>
      <c r="CE682" s="3">
        <f>+IF(AVANCE[[#This Row],[MOLDURAS]]=AQ$2,100%,AVANCE[[#This Row],[MOLDURAS]])</f>
        <v>0</v>
      </c>
      <c r="CF682" s="3">
        <f>+IF(AVANCE[[#This Row],[PILASTREO]]=AR$2,100%,AVANCE[[#This Row],[PILASTREO]])</f>
        <v>0</v>
      </c>
      <c r="CG682" s="3">
        <f>+IF(AVANCE[[#This Row],[CELOSIAS]]=AS$2,100%,AVANCE[[#This Row],[CELOSIAS]])</f>
        <v>0</v>
      </c>
      <c r="CH682" s="3">
        <f>+IF(AVANCE[[#This Row],[VENTANAS]]=AT$2,100%,AVANCE[[#This Row],[VENTANAS]])</f>
        <v>0</v>
      </c>
      <c r="CI682" s="3">
        <f>+IF(AVANCE[[#This Row],[PUERTAS ACCESO - LOGIA - BANO]]=AU$2,100%,AVANCE[[#This Row],[PUERTAS ACCESO - LOGIA - BANO]])</f>
        <v>0</v>
      </c>
      <c r="CJ682" s="3">
        <f>+IF(AVANCE[[#This Row],[CERRADURAS]]=AV$2,100%,AVANCE[[#This Row],[CERRADURAS]])</f>
        <v>0</v>
      </c>
      <c r="CK682" s="3">
        <f>+IF(AVANCE[[#This Row],[REVESTIMIENTO INTERIOR ZONA SECA]]=AW$2,100%,AVANCE[[#This Row],[REVESTIMIENTO INTERIOR ZONA SECA]])</f>
        <v>0</v>
      </c>
      <c r="CL682" s="3">
        <f>+IF(AVANCE[[#This Row],[REVESTIMIENTO INTERIOR ZONAS HUMEDAS]]=AX$2,100%,AVANCE[[#This Row],[REVESTIMIENTO INTERIOR ZONAS HUMEDAS]])</f>
        <v>0</v>
      </c>
      <c r="CM682" s="3">
        <f>+IF(AVANCE[[#This Row],[MEMBRANA CIELO]]=AY$2,100%,AVANCE[[#This Row],[MEMBRANA CIELO]])</f>
        <v>0</v>
      </c>
      <c r="CN682" s="3">
        <f>+IF(AVANCE[[#This Row],[LIMPIEZA FINAL]]=AZ$2,100%,AVANCE[[#This Row],[LIMPIEZA FINAL]])</f>
        <v>0</v>
      </c>
      <c r="CO682" s="3">
        <f>+IF(AVANCE[[#This Row],[PUERTAS DORMITORIO]]=BA$2,100%,AVANCE[[#This Row],[PUERTAS DORMITORIO]])</f>
        <v>0</v>
      </c>
      <c r="CP682" s="3">
        <f>+IF(AVANCE[[#This Row],[REVESTIMIENTO INTERIOR BANO]]=BB$2,100%,AVANCE[[#This Row],[REVESTIMIENTO INTERIOR BANO]])</f>
        <v>0</v>
      </c>
      <c r="CQ682" s="3">
        <f>+IF(AVANCE[[#This Row],[MUEBLE LAVAPLATOS]]=BC$2,100%,AVANCE[[#This Row],[MUEBLE LAVAPLATOS]])</f>
        <v>0</v>
      </c>
      <c r="CR682" s="3">
        <f>+IF(AVANCE[[#This Row],[IMPERMEABILIZACION BANO - COCINA LOGIA]]=BD$2,100%,AVANCE[[#This Row],[IMPERMEABILIZACION BANO - COCINA LOGIA]])</f>
        <v>0</v>
      </c>
      <c r="CS682" s="40">
        <f ca="1">+IF(AVANCE[[#This Row],[ESTADO MODULO]]="PENDIENTE",(TODAY()-AVANCE[[#This Row],[FECHA TERMINO  PLANIFICADO]]),0)</f>
        <v>0</v>
      </c>
      <c r="CT682" s="41" t="str" cm="1">
        <f t="array" ref="CT682">_xlfn.TEXTJOIN(" | ",TRUE,IF(SUMPRODUCT((BG682:CR682&lt;1)*(PARTIDAS!$I$2:$AT$2="OBRA GRUESA"))&gt;0,"OBRA GRUESA: "&amp;_xlfn.TEXTJOIN(", ",TRUE,IF((BG682:CR682&lt;1)*(PARTIDAS!$I$2:$AT$2="OBRA GRUESA"),PARTIDAS!$I$1:$AT$1,"")),""),IF(SUMPRODUCT((BG682:CR682&lt;1)*(PARTIDAS!$I$2:$AT$2="SANITARIOS"))&gt;0,"SANITARIOS: "&amp;_xlfn.TEXTJOIN(", ",TRUE,IF((BG682:CR682&lt;1)*(PARTIDAS!$I$2:$AT$2="SANITARIOS"),PARTIDAS!$I$1:$AT$1,"")),""),IF(SUMPRODUCT((BG682:CR682&lt;1)*(PARTIDAS!$I$2:$AT$2="ELÉCTRICO"))&gt;0,"ELÉCTRICO: "&amp;_xlfn.TEXTJOIN(", ",TRUE,IF((BG682:CR682&lt;1)*(PARTIDAS!$I$2:$AT$2="ELÉCTRICO"),PARTIDAS!$I$1:$AT$1,"")),""),IF(SUMPRODUCT((BG682:CR682&lt;1)*(PARTIDAS!$I$2:$AT$2="TERMINACIONES"))&gt;0,"TERMINACIONES: "&amp;_xlfn.TEXTJOIN(", ",TRUE,IF((BG682:CR682&lt;1)*(PARTIDAS!$I$2:$AT$2="TERMINACIONES"),PARTIDAS!$I$1:$AT$1,"")),""))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2" s="43" t="str" cm="1">
        <f t="array" ref="CU682">_xlfn.TEXTJOIN(", ",TRUE,IF(SUMPRODUCT((BG682:CR682&lt;1)*(PARTIDAS!$I$2:$AT$2="OBRA GRUESA"))&gt;0,"OBRA GRUESA",""),IF(SUMPRODUCT((BG682:CR682&lt;1)*(PARTIDAS!$I$2:$AT$2="SANITARIOS"))&gt;0,"SANITARIOS",""),IF(SUMPRODUCT((BG682:CR682&lt;1)*(PARTIDAS!$I$2:$AT$2="ELÉCTRICO"))&gt;0,"ELÉCTRICO",""),IF(SUMPRODUCT((BG682:CR682&lt;1)*(PARTIDAS!$I$2:$AT$2="TERMINACIONES"))&gt;0,"TERMINACIONES",""))</f>
        <v>OBRA GRUESA, SANITARIOS, ELÉCTRICO, TERMINACIONES</v>
      </c>
      <c r="CV682" s="44" cm="1">
        <f t="array" ref="CV682">SUMPRODUCT(--(BG682:CR682&lt;1))</f>
        <v>38</v>
      </c>
    </row>
    <row r="683" spans="1:100" hidden="1" x14ac:dyDescent="0.25">
      <c r="A683" t="s">
        <v>751</v>
      </c>
      <c r="B683" t="s">
        <v>761</v>
      </c>
      <c r="C683">
        <v>2302600682</v>
      </c>
      <c r="D683" t="s">
        <v>60</v>
      </c>
      <c r="E683" s="2">
        <v>0</v>
      </c>
      <c r="F683" s="1">
        <v>46477</v>
      </c>
      <c r="G683" s="1"/>
      <c r="H683" s="1">
        <v>0</v>
      </c>
      <c r="I683" s="1">
        <v>46507</v>
      </c>
      <c r="J683">
        <v>46230</v>
      </c>
      <c r="K683" s="1"/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>
        <v>31.32</v>
      </c>
      <c r="BF683" s="3" t="str">
        <f>+IF(AVANCE[[#This Row],[% AVANCE]]=100%,"MODULO TERMINADO",IF(AVANCE[[#This Row],[FECHA INICIO REAL]]="","MODULO NO INICIADO","PENDIENTE"))</f>
        <v>MODULO NO INICIADO</v>
      </c>
      <c r="BG683" s="3">
        <f>+IF(AVANCE[[#This Row],[VENTANAS]]=8.10810810810811%,100%,AVANCE[[#This Row],[VENTANAS]])</f>
        <v>0</v>
      </c>
      <c r="BH683" s="3">
        <f>+IF(AVANCE[[#This Row],[PISO]]=N$2,100%,AVANCE[[#This Row],[PISO]])</f>
        <v>0</v>
      </c>
      <c r="BI683" s="3">
        <f>+IF(AVANCE[[#This Row],[TABIQUES]]=O$2,100%,AVANCE[[#This Row],[TABIQUES]])</f>
        <v>0</v>
      </c>
      <c r="BJ683" s="3">
        <f>+IF(AVANCE[[#This Row],[MUROS]]=P$2,100%,AVANCE[[#This Row],[MUROS]])</f>
        <v>0</v>
      </c>
      <c r="BK683" s="3">
        <f>+IF(AVANCE[[#This Row],[CIELO]]=Q$2,100%,AVANCE[[#This Row],[CIELO]])</f>
        <v>0</v>
      </c>
      <c r="BL683" s="3">
        <f>+IF(AVANCE[[#This Row],[BALCÓN]]=R$2,100%,AVANCE[[#This Row],[BALCÓN]])</f>
        <v>0</v>
      </c>
      <c r="BM683" s="3">
        <f>+IF(AVANCE[[#This Row],[RED ALCANTARILLADO]]=U$2,100%,AVANCE[[#This Row],[RED ALCANTARILLADO]])</f>
        <v>0</v>
      </c>
      <c r="BN683" s="3">
        <f>+IF(AVANCE[[#This Row],[RED DE AGUA]]=V$2,100%,AVANCE[[#This Row],[RED DE AGUA]])</f>
        <v>0</v>
      </c>
      <c r="BO683" s="3">
        <f>+IF(AVANCE[[#This Row],[VENTILACIONES]]=W$2,100%,AVANCE[[#This Row],[VENTILACIONES]])</f>
        <v>0</v>
      </c>
      <c r="BP683" s="3">
        <f>+IF(AVANCE[[#This Row],[TINA]]=X$2,100%,AVANCE[[#This Row],[TINA]])</f>
        <v>0</v>
      </c>
      <c r="BQ683" s="3">
        <f>+IF(AVANCE[[#This Row],[WC]]=Y$2,100%,AVANCE[[#This Row],[WC]])</f>
        <v>0</v>
      </c>
      <c r="BR683" s="3">
        <f>+IF(AVANCE[[#This Row],[LAVAMANOS / LAVAPLATOS / LAVADERO]]=Z$2,100%,AVANCE[[#This Row],[LAVAMANOS / LAVAPLATOS / LAVADERO]])</f>
        <v>0</v>
      </c>
      <c r="BS683" s="3">
        <f>+IF(AVANCE[[#This Row],[CANALIZACIÓN]]=AC$2,100%,AVANCE[[#This Row],[CANALIZACIÓN]])</f>
        <v>0</v>
      </c>
      <c r="BT683" s="3">
        <f>+IF(AVANCE[[#This Row],[CABLEADO]]=AD$2,100%,AVANCE[[#This Row],[CABLEADO]])</f>
        <v>0</v>
      </c>
      <c r="BU683" s="3">
        <f>+IF(AVANCE[[#This Row],[ARTEFACTOS]]=AE$2,100%,AVANCE[[#This Row],[ARTEFACTOS]])</f>
        <v>0</v>
      </c>
      <c r="BV683" s="3">
        <f>+IF(AVANCE[[#This Row],[TABLERO]]=AF$2,100%,AVANCE[[#This Row],[TABLERO]])</f>
        <v>0</v>
      </c>
      <c r="BW683" s="3">
        <f>+IF(AVANCE[[#This Row],[CAJA PAU]]=AG$2,100%,AVANCE[[#This Row],[CAJA PAU]])</f>
        <v>0</v>
      </c>
      <c r="BX683" s="3">
        <f>+IF(AVANCE[[#This Row],[INSTALACION VINILICO]]=AJ$2,100%,AVANCE[[#This Row],[INSTALACION VINILICO]])</f>
        <v>0</v>
      </c>
      <c r="BY683" s="3">
        <f>+IF(AVANCE[[#This Row],[OSB CUBIERTA]]=AK$2,100%,AVANCE[[#This Row],[OSB CUBIERTA]])</f>
        <v>0</v>
      </c>
      <c r="BZ683" s="3">
        <f>+IF(AVANCE[[#This Row],[BARANDA BALCON]]=AL$2,100%,AVANCE[[#This Row],[BARANDA BALCON]])</f>
        <v>0</v>
      </c>
      <c r="CA683" s="3">
        <f>+IF(AVANCE[[#This Row],[OSB EXTERIOR]]=AM$2,100%,AVANCE[[#This Row],[OSB EXTERIOR]])</f>
        <v>0</v>
      </c>
      <c r="CB683" s="3">
        <f>+IF(AVANCE[[#This Row],[SMART PANEL]]=AN$2,100%,AVANCE[[#This Row],[SMART PANEL]])</f>
        <v>0</v>
      </c>
      <c r="CC683" s="3">
        <f>+IF(AVANCE[[#This Row],[PINTURA EXTERIOR]]=AO$2,100%,AVANCE[[#This Row],[PINTURA EXTERIOR]])</f>
        <v>0</v>
      </c>
      <c r="CD683" s="3">
        <f>+IF(AVANCE[[#This Row],[ZOCALOS LOGIA]]=AP$2,100%,AVANCE[[#This Row],[ZOCALOS LOGIA]])</f>
        <v>0</v>
      </c>
      <c r="CE683" s="3">
        <f>+IF(AVANCE[[#This Row],[MOLDURAS]]=AQ$2,100%,AVANCE[[#This Row],[MOLDURAS]])</f>
        <v>0</v>
      </c>
      <c r="CF683" s="3">
        <f>+IF(AVANCE[[#This Row],[PILASTREO]]=AR$2,100%,AVANCE[[#This Row],[PILASTREO]])</f>
        <v>0</v>
      </c>
      <c r="CG683" s="3">
        <f>+IF(AVANCE[[#This Row],[CELOSIAS]]=AS$2,100%,AVANCE[[#This Row],[CELOSIAS]])</f>
        <v>0</v>
      </c>
      <c r="CH683" s="3">
        <f>+IF(AVANCE[[#This Row],[VENTANAS]]=AT$2,100%,AVANCE[[#This Row],[VENTANAS]])</f>
        <v>0</v>
      </c>
      <c r="CI683" s="3">
        <f>+IF(AVANCE[[#This Row],[PUERTAS ACCESO - LOGIA - BANO]]=AU$2,100%,AVANCE[[#This Row],[PUERTAS ACCESO - LOGIA - BANO]])</f>
        <v>0</v>
      </c>
      <c r="CJ683" s="3">
        <f>+IF(AVANCE[[#This Row],[CERRADURAS]]=AV$2,100%,AVANCE[[#This Row],[CERRADURAS]])</f>
        <v>0</v>
      </c>
      <c r="CK683" s="3">
        <f>+IF(AVANCE[[#This Row],[REVESTIMIENTO INTERIOR ZONA SECA]]=AW$2,100%,AVANCE[[#This Row],[REVESTIMIENTO INTERIOR ZONA SECA]])</f>
        <v>0</v>
      </c>
      <c r="CL683" s="3">
        <f>+IF(AVANCE[[#This Row],[REVESTIMIENTO INTERIOR ZONAS HUMEDAS]]=AX$2,100%,AVANCE[[#This Row],[REVESTIMIENTO INTERIOR ZONAS HUMEDAS]])</f>
        <v>0</v>
      </c>
      <c r="CM683" s="3">
        <f>+IF(AVANCE[[#This Row],[MEMBRANA CIELO]]=AY$2,100%,AVANCE[[#This Row],[MEMBRANA CIELO]])</f>
        <v>0</v>
      </c>
      <c r="CN683" s="3">
        <f>+IF(AVANCE[[#This Row],[LIMPIEZA FINAL]]=AZ$2,100%,AVANCE[[#This Row],[LIMPIEZA FINAL]])</f>
        <v>0</v>
      </c>
      <c r="CO683" s="3">
        <f>+IF(AVANCE[[#This Row],[PUERTAS DORMITORIO]]=BA$2,100%,AVANCE[[#This Row],[PUERTAS DORMITORIO]])</f>
        <v>0</v>
      </c>
      <c r="CP683" s="3">
        <f>+IF(AVANCE[[#This Row],[REVESTIMIENTO INTERIOR BANO]]=BB$2,100%,AVANCE[[#This Row],[REVESTIMIENTO INTERIOR BANO]])</f>
        <v>0</v>
      </c>
      <c r="CQ683" s="3">
        <f>+IF(AVANCE[[#This Row],[MUEBLE LAVAPLATOS]]=BC$2,100%,AVANCE[[#This Row],[MUEBLE LAVAPLATOS]])</f>
        <v>0</v>
      </c>
      <c r="CR683" s="3">
        <f>+IF(AVANCE[[#This Row],[IMPERMEABILIZACION BANO - COCINA LOGIA]]=BD$2,100%,AVANCE[[#This Row],[IMPERMEABILIZACION BANO - COCINA LOGIA]])</f>
        <v>0</v>
      </c>
      <c r="CS683" s="40">
        <f ca="1">+IF(AVANCE[[#This Row],[ESTADO MODULO]]="PENDIENTE",(TODAY()-AVANCE[[#This Row],[FECHA TERMINO  PLANIFICADO]]),0)</f>
        <v>0</v>
      </c>
      <c r="CT683" s="41" t="str" cm="1">
        <f t="array" ref="CT683">_xlfn.TEXTJOIN(" | ",TRUE,IF(SUMPRODUCT((BG683:CR683&lt;1)*(PARTIDAS!$I$2:$AT$2="OBRA GRUESA"))&gt;0,"OBRA GRUESA: "&amp;_xlfn.TEXTJOIN(", ",TRUE,IF((BG683:CR683&lt;1)*(PARTIDAS!$I$2:$AT$2="OBRA GRUESA"),PARTIDAS!$I$1:$AT$1,"")),""),IF(SUMPRODUCT((BG683:CR683&lt;1)*(PARTIDAS!$I$2:$AT$2="SANITARIOS"))&gt;0,"SANITARIOS: "&amp;_xlfn.TEXTJOIN(", ",TRUE,IF((BG683:CR683&lt;1)*(PARTIDAS!$I$2:$AT$2="SANITARIOS"),PARTIDAS!$I$1:$AT$1,"")),""),IF(SUMPRODUCT((BG683:CR683&lt;1)*(PARTIDAS!$I$2:$AT$2="ELÉCTRICO"))&gt;0,"ELÉCTRICO: "&amp;_xlfn.TEXTJOIN(", ",TRUE,IF((BG683:CR683&lt;1)*(PARTIDAS!$I$2:$AT$2="ELÉCTRICO"),PARTIDAS!$I$1:$AT$1,"")),""),IF(SUMPRODUCT((BG683:CR683&lt;1)*(PARTIDAS!$I$2:$AT$2="TERMINACIONES"))&gt;0,"TERMINACIONES: "&amp;_xlfn.TEXTJOIN(", ",TRUE,IF((BG683:CR683&lt;1)*(PARTIDAS!$I$2:$AT$2="TERMINACIONES"),PARTIDAS!$I$1:$AT$1,"")),""))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3" s="43" t="str" cm="1">
        <f t="array" ref="CU683">_xlfn.TEXTJOIN(", ",TRUE,IF(SUMPRODUCT((BG683:CR683&lt;1)*(PARTIDAS!$I$2:$AT$2="OBRA GRUESA"))&gt;0,"OBRA GRUESA",""),IF(SUMPRODUCT((BG683:CR683&lt;1)*(PARTIDAS!$I$2:$AT$2="SANITARIOS"))&gt;0,"SANITARIOS",""),IF(SUMPRODUCT((BG683:CR683&lt;1)*(PARTIDAS!$I$2:$AT$2="ELÉCTRICO"))&gt;0,"ELÉCTRICO",""),IF(SUMPRODUCT((BG683:CR683&lt;1)*(PARTIDAS!$I$2:$AT$2="TERMINACIONES"))&gt;0,"TERMINACIONES",""))</f>
        <v>OBRA GRUESA, SANITARIOS, ELÉCTRICO, TERMINACIONES</v>
      </c>
      <c r="CV683" s="44" cm="1">
        <f t="array" ref="CV683">SUMPRODUCT(--(BG683:CR683&lt;1))</f>
        <v>38</v>
      </c>
    </row>
    <row r="684" spans="1:100" hidden="1" x14ac:dyDescent="0.25">
      <c r="A684" t="s">
        <v>751</v>
      </c>
      <c r="B684" t="s">
        <v>762</v>
      </c>
      <c r="C684">
        <v>2302600683</v>
      </c>
      <c r="D684" t="s">
        <v>60</v>
      </c>
      <c r="E684" s="2">
        <v>0</v>
      </c>
      <c r="F684" s="1">
        <v>46478</v>
      </c>
      <c r="G684" s="1"/>
      <c r="H684" s="1">
        <v>0</v>
      </c>
      <c r="I684" s="1">
        <v>46508</v>
      </c>
      <c r="J684">
        <v>46230</v>
      </c>
      <c r="K684" s="1"/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>
        <v>31.32</v>
      </c>
      <c r="BF684" s="3" t="str">
        <f>+IF(AVANCE[[#This Row],[% AVANCE]]=100%,"MODULO TERMINADO",IF(AVANCE[[#This Row],[FECHA INICIO REAL]]="","MODULO NO INICIADO","PENDIENTE"))</f>
        <v>MODULO NO INICIADO</v>
      </c>
      <c r="BG684" s="3">
        <f>+IF(AVANCE[[#This Row],[VENTANAS]]=8.10810810810811%,100%,AVANCE[[#This Row],[VENTANAS]])</f>
        <v>0</v>
      </c>
      <c r="BH684" s="3">
        <f>+IF(AVANCE[[#This Row],[PISO]]=N$2,100%,AVANCE[[#This Row],[PISO]])</f>
        <v>0</v>
      </c>
      <c r="BI684" s="3">
        <f>+IF(AVANCE[[#This Row],[TABIQUES]]=O$2,100%,AVANCE[[#This Row],[TABIQUES]])</f>
        <v>0</v>
      </c>
      <c r="BJ684" s="3">
        <f>+IF(AVANCE[[#This Row],[MUROS]]=P$2,100%,AVANCE[[#This Row],[MUROS]])</f>
        <v>0</v>
      </c>
      <c r="BK684" s="3">
        <f>+IF(AVANCE[[#This Row],[CIELO]]=Q$2,100%,AVANCE[[#This Row],[CIELO]])</f>
        <v>0</v>
      </c>
      <c r="BL684" s="3">
        <f>+IF(AVANCE[[#This Row],[BALCÓN]]=R$2,100%,AVANCE[[#This Row],[BALCÓN]])</f>
        <v>0</v>
      </c>
      <c r="BM684" s="3">
        <f>+IF(AVANCE[[#This Row],[RED ALCANTARILLADO]]=U$2,100%,AVANCE[[#This Row],[RED ALCANTARILLADO]])</f>
        <v>0</v>
      </c>
      <c r="BN684" s="3">
        <f>+IF(AVANCE[[#This Row],[RED DE AGUA]]=V$2,100%,AVANCE[[#This Row],[RED DE AGUA]])</f>
        <v>0</v>
      </c>
      <c r="BO684" s="3">
        <f>+IF(AVANCE[[#This Row],[VENTILACIONES]]=W$2,100%,AVANCE[[#This Row],[VENTILACIONES]])</f>
        <v>0</v>
      </c>
      <c r="BP684" s="3">
        <f>+IF(AVANCE[[#This Row],[TINA]]=X$2,100%,AVANCE[[#This Row],[TINA]])</f>
        <v>0</v>
      </c>
      <c r="BQ684" s="3">
        <f>+IF(AVANCE[[#This Row],[WC]]=Y$2,100%,AVANCE[[#This Row],[WC]])</f>
        <v>0</v>
      </c>
      <c r="BR684" s="3">
        <f>+IF(AVANCE[[#This Row],[LAVAMANOS / LAVAPLATOS / LAVADERO]]=Z$2,100%,AVANCE[[#This Row],[LAVAMANOS / LAVAPLATOS / LAVADERO]])</f>
        <v>0</v>
      </c>
      <c r="BS684" s="3">
        <f>+IF(AVANCE[[#This Row],[CANALIZACIÓN]]=AC$2,100%,AVANCE[[#This Row],[CANALIZACIÓN]])</f>
        <v>0</v>
      </c>
      <c r="BT684" s="3">
        <f>+IF(AVANCE[[#This Row],[CABLEADO]]=AD$2,100%,AVANCE[[#This Row],[CABLEADO]])</f>
        <v>0</v>
      </c>
      <c r="BU684" s="3">
        <f>+IF(AVANCE[[#This Row],[ARTEFACTOS]]=AE$2,100%,AVANCE[[#This Row],[ARTEFACTOS]])</f>
        <v>0</v>
      </c>
      <c r="BV684" s="3">
        <f>+IF(AVANCE[[#This Row],[TABLERO]]=AF$2,100%,AVANCE[[#This Row],[TABLERO]])</f>
        <v>0</v>
      </c>
      <c r="BW684" s="3">
        <f>+IF(AVANCE[[#This Row],[CAJA PAU]]=AG$2,100%,AVANCE[[#This Row],[CAJA PAU]])</f>
        <v>0</v>
      </c>
      <c r="BX684" s="3">
        <f>+IF(AVANCE[[#This Row],[INSTALACION VINILICO]]=AJ$2,100%,AVANCE[[#This Row],[INSTALACION VINILICO]])</f>
        <v>0</v>
      </c>
      <c r="BY684" s="3">
        <f>+IF(AVANCE[[#This Row],[OSB CUBIERTA]]=AK$2,100%,AVANCE[[#This Row],[OSB CUBIERTA]])</f>
        <v>0</v>
      </c>
      <c r="BZ684" s="3">
        <f>+IF(AVANCE[[#This Row],[BARANDA BALCON]]=AL$2,100%,AVANCE[[#This Row],[BARANDA BALCON]])</f>
        <v>0</v>
      </c>
      <c r="CA684" s="3">
        <f>+IF(AVANCE[[#This Row],[OSB EXTERIOR]]=AM$2,100%,AVANCE[[#This Row],[OSB EXTERIOR]])</f>
        <v>0</v>
      </c>
      <c r="CB684" s="3">
        <f>+IF(AVANCE[[#This Row],[SMART PANEL]]=AN$2,100%,AVANCE[[#This Row],[SMART PANEL]])</f>
        <v>0</v>
      </c>
      <c r="CC684" s="3">
        <f>+IF(AVANCE[[#This Row],[PINTURA EXTERIOR]]=AO$2,100%,AVANCE[[#This Row],[PINTURA EXTERIOR]])</f>
        <v>0</v>
      </c>
      <c r="CD684" s="3">
        <f>+IF(AVANCE[[#This Row],[ZOCALOS LOGIA]]=AP$2,100%,AVANCE[[#This Row],[ZOCALOS LOGIA]])</f>
        <v>0</v>
      </c>
      <c r="CE684" s="3">
        <f>+IF(AVANCE[[#This Row],[MOLDURAS]]=AQ$2,100%,AVANCE[[#This Row],[MOLDURAS]])</f>
        <v>0</v>
      </c>
      <c r="CF684" s="3">
        <f>+IF(AVANCE[[#This Row],[PILASTREO]]=AR$2,100%,AVANCE[[#This Row],[PILASTREO]])</f>
        <v>0</v>
      </c>
      <c r="CG684" s="3">
        <f>+IF(AVANCE[[#This Row],[CELOSIAS]]=AS$2,100%,AVANCE[[#This Row],[CELOSIAS]])</f>
        <v>0</v>
      </c>
      <c r="CH684" s="3">
        <f>+IF(AVANCE[[#This Row],[VENTANAS]]=AT$2,100%,AVANCE[[#This Row],[VENTANAS]])</f>
        <v>0</v>
      </c>
      <c r="CI684" s="3">
        <f>+IF(AVANCE[[#This Row],[PUERTAS ACCESO - LOGIA - BANO]]=AU$2,100%,AVANCE[[#This Row],[PUERTAS ACCESO - LOGIA - BANO]])</f>
        <v>0</v>
      </c>
      <c r="CJ684" s="3">
        <f>+IF(AVANCE[[#This Row],[CERRADURAS]]=AV$2,100%,AVANCE[[#This Row],[CERRADURAS]])</f>
        <v>0</v>
      </c>
      <c r="CK684" s="3">
        <f>+IF(AVANCE[[#This Row],[REVESTIMIENTO INTERIOR ZONA SECA]]=AW$2,100%,AVANCE[[#This Row],[REVESTIMIENTO INTERIOR ZONA SECA]])</f>
        <v>0</v>
      </c>
      <c r="CL684" s="3">
        <f>+IF(AVANCE[[#This Row],[REVESTIMIENTO INTERIOR ZONAS HUMEDAS]]=AX$2,100%,AVANCE[[#This Row],[REVESTIMIENTO INTERIOR ZONAS HUMEDAS]])</f>
        <v>0</v>
      </c>
      <c r="CM684" s="3">
        <f>+IF(AVANCE[[#This Row],[MEMBRANA CIELO]]=AY$2,100%,AVANCE[[#This Row],[MEMBRANA CIELO]])</f>
        <v>0</v>
      </c>
      <c r="CN684" s="3">
        <f>+IF(AVANCE[[#This Row],[LIMPIEZA FINAL]]=AZ$2,100%,AVANCE[[#This Row],[LIMPIEZA FINAL]])</f>
        <v>0</v>
      </c>
      <c r="CO684" s="3">
        <f>+IF(AVANCE[[#This Row],[PUERTAS DORMITORIO]]=BA$2,100%,AVANCE[[#This Row],[PUERTAS DORMITORIO]])</f>
        <v>0</v>
      </c>
      <c r="CP684" s="3">
        <f>+IF(AVANCE[[#This Row],[REVESTIMIENTO INTERIOR BANO]]=BB$2,100%,AVANCE[[#This Row],[REVESTIMIENTO INTERIOR BANO]])</f>
        <v>0</v>
      </c>
      <c r="CQ684" s="3">
        <f>+IF(AVANCE[[#This Row],[MUEBLE LAVAPLATOS]]=BC$2,100%,AVANCE[[#This Row],[MUEBLE LAVAPLATOS]])</f>
        <v>0</v>
      </c>
      <c r="CR684" s="3">
        <f>+IF(AVANCE[[#This Row],[IMPERMEABILIZACION BANO - COCINA LOGIA]]=BD$2,100%,AVANCE[[#This Row],[IMPERMEABILIZACION BANO - COCINA LOGIA]])</f>
        <v>0</v>
      </c>
      <c r="CS684" s="40">
        <f ca="1">+IF(AVANCE[[#This Row],[ESTADO MODULO]]="PENDIENTE",(TODAY()-AVANCE[[#This Row],[FECHA TERMINO  PLANIFICADO]]),0)</f>
        <v>0</v>
      </c>
      <c r="CT684" s="41" t="str" cm="1">
        <f t="array" ref="CT684">_xlfn.TEXTJOIN(" | ",TRUE,IF(SUMPRODUCT((BG684:CR684&lt;1)*(PARTIDAS!$I$2:$AT$2="OBRA GRUESA"))&gt;0,"OBRA GRUESA: "&amp;_xlfn.TEXTJOIN(", ",TRUE,IF((BG684:CR684&lt;1)*(PARTIDAS!$I$2:$AT$2="OBRA GRUESA"),PARTIDAS!$I$1:$AT$1,"")),""),IF(SUMPRODUCT((BG684:CR684&lt;1)*(PARTIDAS!$I$2:$AT$2="SANITARIOS"))&gt;0,"SANITARIOS: "&amp;_xlfn.TEXTJOIN(", ",TRUE,IF((BG684:CR684&lt;1)*(PARTIDAS!$I$2:$AT$2="SANITARIOS"),PARTIDAS!$I$1:$AT$1,"")),""),IF(SUMPRODUCT((BG684:CR684&lt;1)*(PARTIDAS!$I$2:$AT$2="ELÉCTRICO"))&gt;0,"ELÉCTRICO: "&amp;_xlfn.TEXTJOIN(", ",TRUE,IF((BG684:CR684&lt;1)*(PARTIDAS!$I$2:$AT$2="ELÉCTRICO"),PARTIDAS!$I$1:$AT$1,"")),""),IF(SUMPRODUCT((BG684:CR684&lt;1)*(PARTIDAS!$I$2:$AT$2="TERMINACIONES"))&gt;0,"TERMINACIONES: "&amp;_xlfn.TEXTJOIN(", ",TRUE,IF((BG684:CR684&lt;1)*(PARTIDAS!$I$2:$AT$2="TERMINACIONES"),PARTIDAS!$I$1:$AT$1,"")),""))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4" s="43" t="str" cm="1">
        <f t="array" ref="CU684">_xlfn.TEXTJOIN(", ",TRUE,IF(SUMPRODUCT((BG684:CR684&lt;1)*(PARTIDAS!$I$2:$AT$2="OBRA GRUESA"))&gt;0,"OBRA GRUESA",""),IF(SUMPRODUCT((BG684:CR684&lt;1)*(PARTIDAS!$I$2:$AT$2="SANITARIOS"))&gt;0,"SANITARIOS",""),IF(SUMPRODUCT((BG684:CR684&lt;1)*(PARTIDAS!$I$2:$AT$2="ELÉCTRICO"))&gt;0,"ELÉCTRICO",""),IF(SUMPRODUCT((BG684:CR684&lt;1)*(PARTIDAS!$I$2:$AT$2="TERMINACIONES"))&gt;0,"TERMINACIONES",""))</f>
        <v>OBRA GRUESA, SANITARIOS, ELÉCTRICO, TERMINACIONES</v>
      </c>
      <c r="CV684" s="44" cm="1">
        <f t="array" ref="CV684">SUMPRODUCT(--(BG684:CR684&lt;1))</f>
        <v>38</v>
      </c>
    </row>
    <row r="685" spans="1:100" hidden="1" x14ac:dyDescent="0.25">
      <c r="A685" t="s">
        <v>751</v>
      </c>
      <c r="B685" t="s">
        <v>763</v>
      </c>
      <c r="C685">
        <v>2282600684</v>
      </c>
      <c r="D685" t="s">
        <v>58</v>
      </c>
      <c r="E685" s="2">
        <v>0</v>
      </c>
      <c r="F685" s="1">
        <v>46478</v>
      </c>
      <c r="G685" s="1"/>
      <c r="H685" s="1">
        <v>0</v>
      </c>
      <c r="I685" s="1">
        <v>46498</v>
      </c>
      <c r="J685">
        <v>46230</v>
      </c>
      <c r="K685" s="1"/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>
        <v>28.87</v>
      </c>
      <c r="BF685" s="3" t="str">
        <f>+IF(AVANCE[[#This Row],[% AVANCE]]=100%,"MODULO TERMINADO",IF(AVANCE[[#This Row],[FECHA INICIO REAL]]="","MODULO NO INICIADO","PENDIENTE"))</f>
        <v>MODULO NO INICIADO</v>
      </c>
      <c r="BG685" s="3">
        <f>+IF(AVANCE[[#This Row],[VENTANAS]]=8.10810810810811%,100%,AVANCE[[#This Row],[VENTANAS]])</f>
        <v>0</v>
      </c>
      <c r="BH685" s="3">
        <f>+IF(AVANCE[[#This Row],[PISO]]=N$2,100%,AVANCE[[#This Row],[PISO]])</f>
        <v>0</v>
      </c>
      <c r="BI685" s="3">
        <f>+IF(AVANCE[[#This Row],[TABIQUES]]=O$2,100%,AVANCE[[#This Row],[TABIQUES]])</f>
        <v>0</v>
      </c>
      <c r="BJ685" s="3">
        <f>+IF(AVANCE[[#This Row],[MUROS]]=P$2,100%,AVANCE[[#This Row],[MUROS]])</f>
        <v>0</v>
      </c>
      <c r="BK685" s="3">
        <f>+IF(AVANCE[[#This Row],[CIELO]]=Q$2,100%,AVANCE[[#This Row],[CIELO]])</f>
        <v>0</v>
      </c>
      <c r="BL685" s="3">
        <f>+IF(AVANCE[[#This Row],[BALCÓN]]=R$2,100%,AVANCE[[#This Row],[BALCÓN]])</f>
        <v>0</v>
      </c>
      <c r="BM685" s="3">
        <f>+IF(AVANCE[[#This Row],[RED ALCANTARILLADO]]=U$2,100%,AVANCE[[#This Row],[RED ALCANTARILLADO]])</f>
        <v>0</v>
      </c>
      <c r="BN685" s="3">
        <f>+IF(AVANCE[[#This Row],[RED DE AGUA]]=V$2,100%,AVANCE[[#This Row],[RED DE AGUA]])</f>
        <v>0</v>
      </c>
      <c r="BO685" s="3">
        <f>+IF(AVANCE[[#This Row],[VENTILACIONES]]=W$2,100%,AVANCE[[#This Row],[VENTILACIONES]])</f>
        <v>0</v>
      </c>
      <c r="BP685" s="3">
        <f>+IF(AVANCE[[#This Row],[TINA]]=X$2,100%,AVANCE[[#This Row],[TINA]])</f>
        <v>0</v>
      </c>
      <c r="BQ685" s="3">
        <f>+IF(AVANCE[[#This Row],[WC]]=Y$2,100%,AVANCE[[#This Row],[WC]])</f>
        <v>0</v>
      </c>
      <c r="BR685" s="3">
        <f>+IF(AVANCE[[#This Row],[LAVAMANOS / LAVAPLATOS / LAVADERO]]=Z$2,100%,AVANCE[[#This Row],[LAVAMANOS / LAVAPLATOS / LAVADERO]])</f>
        <v>0</v>
      </c>
      <c r="BS685" s="3">
        <f>+IF(AVANCE[[#This Row],[CANALIZACIÓN]]=AC$2,100%,AVANCE[[#This Row],[CANALIZACIÓN]])</f>
        <v>0</v>
      </c>
      <c r="BT685" s="3">
        <f>+IF(AVANCE[[#This Row],[CABLEADO]]=AD$2,100%,AVANCE[[#This Row],[CABLEADO]])</f>
        <v>0</v>
      </c>
      <c r="BU685" s="3">
        <f>+IF(AVANCE[[#This Row],[ARTEFACTOS]]=AE$2,100%,AVANCE[[#This Row],[ARTEFACTOS]])</f>
        <v>0</v>
      </c>
      <c r="BV685" s="3">
        <f>+IF(AVANCE[[#This Row],[TABLERO]]=AF$2,100%,AVANCE[[#This Row],[TABLERO]])</f>
        <v>0</v>
      </c>
      <c r="BW685" s="3">
        <f>+IF(AVANCE[[#This Row],[CAJA PAU]]=AG$2,100%,AVANCE[[#This Row],[CAJA PAU]])</f>
        <v>0</v>
      </c>
      <c r="BX685" s="3">
        <f>+IF(AVANCE[[#This Row],[INSTALACION VINILICO]]=AJ$2,100%,AVANCE[[#This Row],[INSTALACION VINILICO]])</f>
        <v>0</v>
      </c>
      <c r="BY685" s="3">
        <f>+IF(AVANCE[[#This Row],[OSB CUBIERTA]]=AK$2,100%,AVANCE[[#This Row],[OSB CUBIERTA]])</f>
        <v>0</v>
      </c>
      <c r="BZ685" s="3">
        <f>+IF(AVANCE[[#This Row],[BARANDA BALCON]]=AL$2,100%,AVANCE[[#This Row],[BARANDA BALCON]])</f>
        <v>0</v>
      </c>
      <c r="CA685" s="3">
        <f>+IF(AVANCE[[#This Row],[OSB EXTERIOR]]=AM$2,100%,AVANCE[[#This Row],[OSB EXTERIOR]])</f>
        <v>0</v>
      </c>
      <c r="CB685" s="3">
        <f>+IF(AVANCE[[#This Row],[SMART PANEL]]=AN$2,100%,AVANCE[[#This Row],[SMART PANEL]])</f>
        <v>0</v>
      </c>
      <c r="CC685" s="3">
        <f>+IF(AVANCE[[#This Row],[PINTURA EXTERIOR]]=AO$2,100%,AVANCE[[#This Row],[PINTURA EXTERIOR]])</f>
        <v>0</v>
      </c>
      <c r="CD685" s="3">
        <f>+IF(AVANCE[[#This Row],[ZOCALOS LOGIA]]=AP$2,100%,AVANCE[[#This Row],[ZOCALOS LOGIA]])</f>
        <v>0</v>
      </c>
      <c r="CE685" s="3">
        <f>+IF(AVANCE[[#This Row],[MOLDURAS]]=AQ$2,100%,AVANCE[[#This Row],[MOLDURAS]])</f>
        <v>0</v>
      </c>
      <c r="CF685" s="3">
        <f>+IF(AVANCE[[#This Row],[PILASTREO]]=AR$2,100%,AVANCE[[#This Row],[PILASTREO]])</f>
        <v>0</v>
      </c>
      <c r="CG685" s="3">
        <f>+IF(AVANCE[[#This Row],[CELOSIAS]]=AS$2,100%,AVANCE[[#This Row],[CELOSIAS]])</f>
        <v>0</v>
      </c>
      <c r="CH685" s="3">
        <f>+IF(AVANCE[[#This Row],[VENTANAS]]=AT$2,100%,AVANCE[[#This Row],[VENTANAS]])</f>
        <v>0</v>
      </c>
      <c r="CI685" s="3">
        <f>+IF(AVANCE[[#This Row],[PUERTAS ACCESO - LOGIA - BANO]]=AU$2,100%,AVANCE[[#This Row],[PUERTAS ACCESO - LOGIA - BANO]])</f>
        <v>0</v>
      </c>
      <c r="CJ685" s="3">
        <f>+IF(AVANCE[[#This Row],[CERRADURAS]]=AV$2,100%,AVANCE[[#This Row],[CERRADURAS]])</f>
        <v>0</v>
      </c>
      <c r="CK685" s="3">
        <f>+IF(AVANCE[[#This Row],[REVESTIMIENTO INTERIOR ZONA SECA]]=AW$2,100%,AVANCE[[#This Row],[REVESTIMIENTO INTERIOR ZONA SECA]])</f>
        <v>0</v>
      </c>
      <c r="CL685" s="3">
        <f>+IF(AVANCE[[#This Row],[REVESTIMIENTO INTERIOR ZONAS HUMEDAS]]=AX$2,100%,AVANCE[[#This Row],[REVESTIMIENTO INTERIOR ZONAS HUMEDAS]])</f>
        <v>0</v>
      </c>
      <c r="CM685" s="3">
        <f>+IF(AVANCE[[#This Row],[MEMBRANA CIELO]]=AY$2,100%,AVANCE[[#This Row],[MEMBRANA CIELO]])</f>
        <v>0</v>
      </c>
      <c r="CN685" s="3">
        <f>+IF(AVANCE[[#This Row],[LIMPIEZA FINAL]]=AZ$2,100%,AVANCE[[#This Row],[LIMPIEZA FINAL]])</f>
        <v>0</v>
      </c>
      <c r="CO685" s="3">
        <f>+IF(AVANCE[[#This Row],[PUERTAS DORMITORIO]]=BA$2,100%,AVANCE[[#This Row],[PUERTAS DORMITORIO]])</f>
        <v>0</v>
      </c>
      <c r="CP685" s="3">
        <f>+IF(AVANCE[[#This Row],[REVESTIMIENTO INTERIOR BANO]]=BB$2,100%,AVANCE[[#This Row],[REVESTIMIENTO INTERIOR BANO]])</f>
        <v>0</v>
      </c>
      <c r="CQ685" s="3">
        <f>+IF(AVANCE[[#This Row],[MUEBLE LAVAPLATOS]]=BC$2,100%,AVANCE[[#This Row],[MUEBLE LAVAPLATOS]])</f>
        <v>0</v>
      </c>
      <c r="CR685" s="3">
        <f>+IF(AVANCE[[#This Row],[IMPERMEABILIZACION BANO - COCINA LOGIA]]=BD$2,100%,AVANCE[[#This Row],[IMPERMEABILIZACION BANO - COCINA LOGIA]])</f>
        <v>0</v>
      </c>
      <c r="CS685" s="40">
        <f ca="1">+IF(AVANCE[[#This Row],[ESTADO MODULO]]="PENDIENTE",(TODAY()-AVANCE[[#This Row],[FECHA TERMINO  PLANIFICADO]]),0)</f>
        <v>0</v>
      </c>
      <c r="CT685" s="41" t="str" cm="1">
        <f t="array" ref="CT685">_xlfn.TEXTJOIN(" | ",TRUE,IF(SUMPRODUCT((BG685:CR685&lt;1)*(PARTIDAS!$I$2:$AT$2="OBRA GRUESA"))&gt;0,"OBRA GRUESA: "&amp;_xlfn.TEXTJOIN(", ",TRUE,IF((BG685:CR685&lt;1)*(PARTIDAS!$I$2:$AT$2="OBRA GRUESA"),PARTIDAS!$I$1:$AT$1,"")),""),IF(SUMPRODUCT((BG685:CR685&lt;1)*(PARTIDAS!$I$2:$AT$2="SANITARIOS"))&gt;0,"SANITARIOS: "&amp;_xlfn.TEXTJOIN(", ",TRUE,IF((BG685:CR685&lt;1)*(PARTIDAS!$I$2:$AT$2="SANITARIOS"),PARTIDAS!$I$1:$AT$1,"")),""),IF(SUMPRODUCT((BG685:CR685&lt;1)*(PARTIDAS!$I$2:$AT$2="ELÉCTRICO"))&gt;0,"ELÉCTRICO: "&amp;_xlfn.TEXTJOIN(", ",TRUE,IF((BG685:CR685&lt;1)*(PARTIDAS!$I$2:$AT$2="ELÉCTRICO"),PARTIDAS!$I$1:$AT$1,"")),""),IF(SUMPRODUCT((BG685:CR685&lt;1)*(PARTIDAS!$I$2:$AT$2="TERMINACIONES"))&gt;0,"TERMINACIONES: "&amp;_xlfn.TEXTJOIN(", ",TRUE,IF((BG685:CR685&lt;1)*(PARTIDAS!$I$2:$AT$2="TERMINACIONES"),PARTIDAS!$I$1:$AT$1,"")),""))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5" s="43" t="str" cm="1">
        <f t="array" ref="CU685">_xlfn.TEXTJOIN(", ",TRUE,IF(SUMPRODUCT((BG685:CR685&lt;1)*(PARTIDAS!$I$2:$AT$2="OBRA GRUESA"))&gt;0,"OBRA GRUESA",""),IF(SUMPRODUCT((BG685:CR685&lt;1)*(PARTIDAS!$I$2:$AT$2="SANITARIOS"))&gt;0,"SANITARIOS",""),IF(SUMPRODUCT((BG685:CR685&lt;1)*(PARTIDAS!$I$2:$AT$2="ELÉCTRICO"))&gt;0,"ELÉCTRICO",""),IF(SUMPRODUCT((BG685:CR685&lt;1)*(PARTIDAS!$I$2:$AT$2="TERMINACIONES"))&gt;0,"TERMINACIONES",""))</f>
        <v>OBRA GRUESA, SANITARIOS, ELÉCTRICO, TERMINACIONES</v>
      </c>
      <c r="CV685" s="44" cm="1">
        <f t="array" ref="CV685">SUMPRODUCT(--(BG685:CR685&lt;1))</f>
        <v>38</v>
      </c>
    </row>
    <row r="686" spans="1:100" hidden="1" x14ac:dyDescent="0.25">
      <c r="A686" t="s">
        <v>751</v>
      </c>
      <c r="B686" t="s">
        <v>764</v>
      </c>
      <c r="C686">
        <v>2282600685</v>
      </c>
      <c r="D686" t="s">
        <v>58</v>
      </c>
      <c r="E686" s="2">
        <v>0</v>
      </c>
      <c r="F686" s="1">
        <v>46478</v>
      </c>
      <c r="G686" s="1"/>
      <c r="H686" s="1">
        <v>0</v>
      </c>
      <c r="I686" s="1">
        <v>46498</v>
      </c>
      <c r="J686">
        <v>46230</v>
      </c>
      <c r="K686" s="1"/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>
        <v>28.87</v>
      </c>
      <c r="BF686" s="3" t="str">
        <f>+IF(AVANCE[[#This Row],[% AVANCE]]=100%,"MODULO TERMINADO",IF(AVANCE[[#This Row],[FECHA INICIO REAL]]="","MODULO NO INICIADO","PENDIENTE"))</f>
        <v>MODULO NO INICIADO</v>
      </c>
      <c r="BG686" s="3">
        <f>+IF(AVANCE[[#This Row],[VENTANAS]]=8.10810810810811%,100%,AVANCE[[#This Row],[VENTANAS]])</f>
        <v>0</v>
      </c>
      <c r="BH686" s="3">
        <f>+IF(AVANCE[[#This Row],[PISO]]=N$2,100%,AVANCE[[#This Row],[PISO]])</f>
        <v>0</v>
      </c>
      <c r="BI686" s="3">
        <f>+IF(AVANCE[[#This Row],[TABIQUES]]=O$2,100%,AVANCE[[#This Row],[TABIQUES]])</f>
        <v>0</v>
      </c>
      <c r="BJ686" s="3">
        <f>+IF(AVANCE[[#This Row],[MUROS]]=P$2,100%,AVANCE[[#This Row],[MUROS]])</f>
        <v>0</v>
      </c>
      <c r="BK686" s="3">
        <f>+IF(AVANCE[[#This Row],[CIELO]]=Q$2,100%,AVANCE[[#This Row],[CIELO]])</f>
        <v>0</v>
      </c>
      <c r="BL686" s="3">
        <f>+IF(AVANCE[[#This Row],[BALCÓN]]=R$2,100%,AVANCE[[#This Row],[BALCÓN]])</f>
        <v>0</v>
      </c>
      <c r="BM686" s="3">
        <f>+IF(AVANCE[[#This Row],[RED ALCANTARILLADO]]=U$2,100%,AVANCE[[#This Row],[RED ALCANTARILLADO]])</f>
        <v>0</v>
      </c>
      <c r="BN686" s="3">
        <f>+IF(AVANCE[[#This Row],[RED DE AGUA]]=V$2,100%,AVANCE[[#This Row],[RED DE AGUA]])</f>
        <v>0</v>
      </c>
      <c r="BO686" s="3">
        <f>+IF(AVANCE[[#This Row],[VENTILACIONES]]=W$2,100%,AVANCE[[#This Row],[VENTILACIONES]])</f>
        <v>0</v>
      </c>
      <c r="BP686" s="3">
        <f>+IF(AVANCE[[#This Row],[TINA]]=X$2,100%,AVANCE[[#This Row],[TINA]])</f>
        <v>0</v>
      </c>
      <c r="BQ686" s="3">
        <f>+IF(AVANCE[[#This Row],[WC]]=Y$2,100%,AVANCE[[#This Row],[WC]])</f>
        <v>0</v>
      </c>
      <c r="BR686" s="3">
        <f>+IF(AVANCE[[#This Row],[LAVAMANOS / LAVAPLATOS / LAVADERO]]=Z$2,100%,AVANCE[[#This Row],[LAVAMANOS / LAVAPLATOS / LAVADERO]])</f>
        <v>0</v>
      </c>
      <c r="BS686" s="3">
        <f>+IF(AVANCE[[#This Row],[CANALIZACIÓN]]=AC$2,100%,AVANCE[[#This Row],[CANALIZACIÓN]])</f>
        <v>0</v>
      </c>
      <c r="BT686" s="3">
        <f>+IF(AVANCE[[#This Row],[CABLEADO]]=AD$2,100%,AVANCE[[#This Row],[CABLEADO]])</f>
        <v>0</v>
      </c>
      <c r="BU686" s="3">
        <f>+IF(AVANCE[[#This Row],[ARTEFACTOS]]=AE$2,100%,AVANCE[[#This Row],[ARTEFACTOS]])</f>
        <v>0</v>
      </c>
      <c r="BV686" s="3">
        <f>+IF(AVANCE[[#This Row],[TABLERO]]=AF$2,100%,AVANCE[[#This Row],[TABLERO]])</f>
        <v>0</v>
      </c>
      <c r="BW686" s="3">
        <f>+IF(AVANCE[[#This Row],[CAJA PAU]]=AG$2,100%,AVANCE[[#This Row],[CAJA PAU]])</f>
        <v>0</v>
      </c>
      <c r="BX686" s="3">
        <f>+IF(AVANCE[[#This Row],[INSTALACION VINILICO]]=AJ$2,100%,AVANCE[[#This Row],[INSTALACION VINILICO]])</f>
        <v>0</v>
      </c>
      <c r="BY686" s="3">
        <f>+IF(AVANCE[[#This Row],[OSB CUBIERTA]]=AK$2,100%,AVANCE[[#This Row],[OSB CUBIERTA]])</f>
        <v>0</v>
      </c>
      <c r="BZ686" s="3">
        <f>+IF(AVANCE[[#This Row],[BARANDA BALCON]]=AL$2,100%,AVANCE[[#This Row],[BARANDA BALCON]])</f>
        <v>0</v>
      </c>
      <c r="CA686" s="3">
        <f>+IF(AVANCE[[#This Row],[OSB EXTERIOR]]=AM$2,100%,AVANCE[[#This Row],[OSB EXTERIOR]])</f>
        <v>0</v>
      </c>
      <c r="CB686" s="3">
        <f>+IF(AVANCE[[#This Row],[SMART PANEL]]=AN$2,100%,AVANCE[[#This Row],[SMART PANEL]])</f>
        <v>0</v>
      </c>
      <c r="CC686" s="3">
        <f>+IF(AVANCE[[#This Row],[PINTURA EXTERIOR]]=AO$2,100%,AVANCE[[#This Row],[PINTURA EXTERIOR]])</f>
        <v>0</v>
      </c>
      <c r="CD686" s="3">
        <f>+IF(AVANCE[[#This Row],[ZOCALOS LOGIA]]=AP$2,100%,AVANCE[[#This Row],[ZOCALOS LOGIA]])</f>
        <v>0</v>
      </c>
      <c r="CE686" s="3">
        <f>+IF(AVANCE[[#This Row],[MOLDURAS]]=AQ$2,100%,AVANCE[[#This Row],[MOLDURAS]])</f>
        <v>0</v>
      </c>
      <c r="CF686" s="3">
        <f>+IF(AVANCE[[#This Row],[PILASTREO]]=AR$2,100%,AVANCE[[#This Row],[PILASTREO]])</f>
        <v>0</v>
      </c>
      <c r="CG686" s="3">
        <f>+IF(AVANCE[[#This Row],[CELOSIAS]]=AS$2,100%,AVANCE[[#This Row],[CELOSIAS]])</f>
        <v>0</v>
      </c>
      <c r="CH686" s="3">
        <f>+IF(AVANCE[[#This Row],[VENTANAS]]=AT$2,100%,AVANCE[[#This Row],[VENTANAS]])</f>
        <v>0</v>
      </c>
      <c r="CI686" s="3">
        <f>+IF(AVANCE[[#This Row],[PUERTAS ACCESO - LOGIA - BANO]]=AU$2,100%,AVANCE[[#This Row],[PUERTAS ACCESO - LOGIA - BANO]])</f>
        <v>0</v>
      </c>
      <c r="CJ686" s="3">
        <f>+IF(AVANCE[[#This Row],[CERRADURAS]]=AV$2,100%,AVANCE[[#This Row],[CERRADURAS]])</f>
        <v>0</v>
      </c>
      <c r="CK686" s="3">
        <f>+IF(AVANCE[[#This Row],[REVESTIMIENTO INTERIOR ZONA SECA]]=AW$2,100%,AVANCE[[#This Row],[REVESTIMIENTO INTERIOR ZONA SECA]])</f>
        <v>0</v>
      </c>
      <c r="CL686" s="3">
        <f>+IF(AVANCE[[#This Row],[REVESTIMIENTO INTERIOR ZONAS HUMEDAS]]=AX$2,100%,AVANCE[[#This Row],[REVESTIMIENTO INTERIOR ZONAS HUMEDAS]])</f>
        <v>0</v>
      </c>
      <c r="CM686" s="3">
        <f>+IF(AVANCE[[#This Row],[MEMBRANA CIELO]]=AY$2,100%,AVANCE[[#This Row],[MEMBRANA CIELO]])</f>
        <v>0</v>
      </c>
      <c r="CN686" s="3">
        <f>+IF(AVANCE[[#This Row],[LIMPIEZA FINAL]]=AZ$2,100%,AVANCE[[#This Row],[LIMPIEZA FINAL]])</f>
        <v>0</v>
      </c>
      <c r="CO686" s="3">
        <f>+IF(AVANCE[[#This Row],[PUERTAS DORMITORIO]]=BA$2,100%,AVANCE[[#This Row],[PUERTAS DORMITORIO]])</f>
        <v>0</v>
      </c>
      <c r="CP686" s="3">
        <f>+IF(AVANCE[[#This Row],[REVESTIMIENTO INTERIOR BANO]]=BB$2,100%,AVANCE[[#This Row],[REVESTIMIENTO INTERIOR BANO]])</f>
        <v>0</v>
      </c>
      <c r="CQ686" s="3">
        <f>+IF(AVANCE[[#This Row],[MUEBLE LAVAPLATOS]]=BC$2,100%,AVANCE[[#This Row],[MUEBLE LAVAPLATOS]])</f>
        <v>0</v>
      </c>
      <c r="CR686" s="3">
        <f>+IF(AVANCE[[#This Row],[IMPERMEABILIZACION BANO - COCINA LOGIA]]=BD$2,100%,AVANCE[[#This Row],[IMPERMEABILIZACION BANO - COCINA LOGIA]])</f>
        <v>0</v>
      </c>
      <c r="CS686" s="40">
        <f ca="1">+IF(AVANCE[[#This Row],[ESTADO MODULO]]="PENDIENTE",(TODAY()-AVANCE[[#This Row],[FECHA TERMINO  PLANIFICADO]]),0)</f>
        <v>0</v>
      </c>
      <c r="CT686" s="41" t="str" cm="1">
        <f t="array" ref="CT686">_xlfn.TEXTJOIN(" | ",TRUE,IF(SUMPRODUCT((BG686:CR686&lt;1)*(PARTIDAS!$I$2:$AT$2="OBRA GRUESA"))&gt;0,"OBRA GRUESA: "&amp;_xlfn.TEXTJOIN(", ",TRUE,IF((BG686:CR686&lt;1)*(PARTIDAS!$I$2:$AT$2="OBRA GRUESA"),PARTIDAS!$I$1:$AT$1,"")),""),IF(SUMPRODUCT((BG686:CR686&lt;1)*(PARTIDAS!$I$2:$AT$2="SANITARIOS"))&gt;0,"SANITARIOS: "&amp;_xlfn.TEXTJOIN(", ",TRUE,IF((BG686:CR686&lt;1)*(PARTIDAS!$I$2:$AT$2="SANITARIOS"),PARTIDAS!$I$1:$AT$1,"")),""),IF(SUMPRODUCT((BG686:CR686&lt;1)*(PARTIDAS!$I$2:$AT$2="ELÉCTRICO"))&gt;0,"ELÉCTRICO: "&amp;_xlfn.TEXTJOIN(", ",TRUE,IF((BG686:CR686&lt;1)*(PARTIDAS!$I$2:$AT$2="ELÉCTRICO"),PARTIDAS!$I$1:$AT$1,"")),""),IF(SUMPRODUCT((BG686:CR686&lt;1)*(PARTIDAS!$I$2:$AT$2="TERMINACIONES"))&gt;0,"TERMINACIONES: "&amp;_xlfn.TEXTJOIN(", ",TRUE,IF((BG686:CR686&lt;1)*(PARTIDAS!$I$2:$AT$2="TERMINACIONES"),PARTIDAS!$I$1:$AT$1,"")),""))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6" s="43" t="str" cm="1">
        <f t="array" ref="CU686">_xlfn.TEXTJOIN(", ",TRUE,IF(SUMPRODUCT((BG686:CR686&lt;1)*(PARTIDAS!$I$2:$AT$2="OBRA GRUESA"))&gt;0,"OBRA GRUESA",""),IF(SUMPRODUCT((BG686:CR686&lt;1)*(PARTIDAS!$I$2:$AT$2="SANITARIOS"))&gt;0,"SANITARIOS",""),IF(SUMPRODUCT((BG686:CR686&lt;1)*(PARTIDAS!$I$2:$AT$2="ELÉCTRICO"))&gt;0,"ELÉCTRICO",""),IF(SUMPRODUCT((BG686:CR686&lt;1)*(PARTIDAS!$I$2:$AT$2="TERMINACIONES"))&gt;0,"TERMINACIONES",""))</f>
        <v>OBRA GRUESA, SANITARIOS, ELÉCTRICO, TERMINACIONES</v>
      </c>
      <c r="CV686" s="44" cm="1">
        <f t="array" ref="CV686">SUMPRODUCT(--(BG686:CR686&lt;1))</f>
        <v>38</v>
      </c>
    </row>
    <row r="687" spans="1:100" hidden="1" x14ac:dyDescent="0.25">
      <c r="A687" t="s">
        <v>751</v>
      </c>
      <c r="B687" t="s">
        <v>765</v>
      </c>
      <c r="C687">
        <v>2302600686</v>
      </c>
      <c r="D687" t="s">
        <v>60</v>
      </c>
      <c r="E687" s="2">
        <v>0</v>
      </c>
      <c r="F687" s="1">
        <v>46479</v>
      </c>
      <c r="G687" s="1"/>
      <c r="H687" s="1">
        <v>0</v>
      </c>
      <c r="I687" s="1">
        <v>46509</v>
      </c>
      <c r="J687">
        <v>46230</v>
      </c>
      <c r="K687" s="1"/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>
        <v>31.32</v>
      </c>
      <c r="BF687" s="3" t="str">
        <f>+IF(AVANCE[[#This Row],[% AVANCE]]=100%,"MODULO TERMINADO",IF(AVANCE[[#This Row],[FECHA INICIO REAL]]="","MODULO NO INICIADO","PENDIENTE"))</f>
        <v>MODULO NO INICIADO</v>
      </c>
      <c r="BG687" s="3">
        <f>+IF(AVANCE[[#This Row],[VENTANAS]]=8.10810810810811%,100%,AVANCE[[#This Row],[VENTANAS]])</f>
        <v>0</v>
      </c>
      <c r="BH687" s="3">
        <f>+IF(AVANCE[[#This Row],[PISO]]=N$2,100%,AVANCE[[#This Row],[PISO]])</f>
        <v>0</v>
      </c>
      <c r="BI687" s="3">
        <f>+IF(AVANCE[[#This Row],[TABIQUES]]=O$2,100%,AVANCE[[#This Row],[TABIQUES]])</f>
        <v>0</v>
      </c>
      <c r="BJ687" s="3">
        <f>+IF(AVANCE[[#This Row],[MUROS]]=P$2,100%,AVANCE[[#This Row],[MUROS]])</f>
        <v>0</v>
      </c>
      <c r="BK687" s="3">
        <f>+IF(AVANCE[[#This Row],[CIELO]]=Q$2,100%,AVANCE[[#This Row],[CIELO]])</f>
        <v>0</v>
      </c>
      <c r="BL687" s="3">
        <f>+IF(AVANCE[[#This Row],[BALCÓN]]=R$2,100%,AVANCE[[#This Row],[BALCÓN]])</f>
        <v>0</v>
      </c>
      <c r="BM687" s="3">
        <f>+IF(AVANCE[[#This Row],[RED ALCANTARILLADO]]=U$2,100%,AVANCE[[#This Row],[RED ALCANTARILLADO]])</f>
        <v>0</v>
      </c>
      <c r="BN687" s="3">
        <f>+IF(AVANCE[[#This Row],[RED DE AGUA]]=V$2,100%,AVANCE[[#This Row],[RED DE AGUA]])</f>
        <v>0</v>
      </c>
      <c r="BO687" s="3">
        <f>+IF(AVANCE[[#This Row],[VENTILACIONES]]=W$2,100%,AVANCE[[#This Row],[VENTILACIONES]])</f>
        <v>0</v>
      </c>
      <c r="BP687" s="3">
        <f>+IF(AVANCE[[#This Row],[TINA]]=X$2,100%,AVANCE[[#This Row],[TINA]])</f>
        <v>0</v>
      </c>
      <c r="BQ687" s="3">
        <f>+IF(AVANCE[[#This Row],[WC]]=Y$2,100%,AVANCE[[#This Row],[WC]])</f>
        <v>0</v>
      </c>
      <c r="BR687" s="3">
        <f>+IF(AVANCE[[#This Row],[LAVAMANOS / LAVAPLATOS / LAVADERO]]=Z$2,100%,AVANCE[[#This Row],[LAVAMANOS / LAVAPLATOS / LAVADERO]])</f>
        <v>0</v>
      </c>
      <c r="BS687" s="3">
        <f>+IF(AVANCE[[#This Row],[CANALIZACIÓN]]=AC$2,100%,AVANCE[[#This Row],[CANALIZACIÓN]])</f>
        <v>0</v>
      </c>
      <c r="BT687" s="3">
        <f>+IF(AVANCE[[#This Row],[CABLEADO]]=AD$2,100%,AVANCE[[#This Row],[CABLEADO]])</f>
        <v>0</v>
      </c>
      <c r="BU687" s="3">
        <f>+IF(AVANCE[[#This Row],[ARTEFACTOS]]=AE$2,100%,AVANCE[[#This Row],[ARTEFACTOS]])</f>
        <v>0</v>
      </c>
      <c r="BV687" s="3">
        <f>+IF(AVANCE[[#This Row],[TABLERO]]=AF$2,100%,AVANCE[[#This Row],[TABLERO]])</f>
        <v>0</v>
      </c>
      <c r="BW687" s="3">
        <f>+IF(AVANCE[[#This Row],[CAJA PAU]]=AG$2,100%,AVANCE[[#This Row],[CAJA PAU]])</f>
        <v>0</v>
      </c>
      <c r="BX687" s="3">
        <f>+IF(AVANCE[[#This Row],[INSTALACION VINILICO]]=AJ$2,100%,AVANCE[[#This Row],[INSTALACION VINILICO]])</f>
        <v>0</v>
      </c>
      <c r="BY687" s="3">
        <f>+IF(AVANCE[[#This Row],[OSB CUBIERTA]]=AK$2,100%,AVANCE[[#This Row],[OSB CUBIERTA]])</f>
        <v>0</v>
      </c>
      <c r="BZ687" s="3">
        <f>+IF(AVANCE[[#This Row],[BARANDA BALCON]]=AL$2,100%,AVANCE[[#This Row],[BARANDA BALCON]])</f>
        <v>0</v>
      </c>
      <c r="CA687" s="3">
        <f>+IF(AVANCE[[#This Row],[OSB EXTERIOR]]=AM$2,100%,AVANCE[[#This Row],[OSB EXTERIOR]])</f>
        <v>0</v>
      </c>
      <c r="CB687" s="3">
        <f>+IF(AVANCE[[#This Row],[SMART PANEL]]=AN$2,100%,AVANCE[[#This Row],[SMART PANEL]])</f>
        <v>0</v>
      </c>
      <c r="CC687" s="3">
        <f>+IF(AVANCE[[#This Row],[PINTURA EXTERIOR]]=AO$2,100%,AVANCE[[#This Row],[PINTURA EXTERIOR]])</f>
        <v>0</v>
      </c>
      <c r="CD687" s="3">
        <f>+IF(AVANCE[[#This Row],[ZOCALOS LOGIA]]=AP$2,100%,AVANCE[[#This Row],[ZOCALOS LOGIA]])</f>
        <v>0</v>
      </c>
      <c r="CE687" s="3">
        <f>+IF(AVANCE[[#This Row],[MOLDURAS]]=AQ$2,100%,AVANCE[[#This Row],[MOLDURAS]])</f>
        <v>0</v>
      </c>
      <c r="CF687" s="3">
        <f>+IF(AVANCE[[#This Row],[PILASTREO]]=AR$2,100%,AVANCE[[#This Row],[PILASTREO]])</f>
        <v>0</v>
      </c>
      <c r="CG687" s="3">
        <f>+IF(AVANCE[[#This Row],[CELOSIAS]]=AS$2,100%,AVANCE[[#This Row],[CELOSIAS]])</f>
        <v>0</v>
      </c>
      <c r="CH687" s="3">
        <f>+IF(AVANCE[[#This Row],[VENTANAS]]=AT$2,100%,AVANCE[[#This Row],[VENTANAS]])</f>
        <v>0</v>
      </c>
      <c r="CI687" s="3">
        <f>+IF(AVANCE[[#This Row],[PUERTAS ACCESO - LOGIA - BANO]]=AU$2,100%,AVANCE[[#This Row],[PUERTAS ACCESO - LOGIA - BANO]])</f>
        <v>0</v>
      </c>
      <c r="CJ687" s="3">
        <f>+IF(AVANCE[[#This Row],[CERRADURAS]]=AV$2,100%,AVANCE[[#This Row],[CERRADURAS]])</f>
        <v>0</v>
      </c>
      <c r="CK687" s="3">
        <f>+IF(AVANCE[[#This Row],[REVESTIMIENTO INTERIOR ZONA SECA]]=AW$2,100%,AVANCE[[#This Row],[REVESTIMIENTO INTERIOR ZONA SECA]])</f>
        <v>0</v>
      </c>
      <c r="CL687" s="3">
        <f>+IF(AVANCE[[#This Row],[REVESTIMIENTO INTERIOR ZONAS HUMEDAS]]=AX$2,100%,AVANCE[[#This Row],[REVESTIMIENTO INTERIOR ZONAS HUMEDAS]])</f>
        <v>0</v>
      </c>
      <c r="CM687" s="3">
        <f>+IF(AVANCE[[#This Row],[MEMBRANA CIELO]]=AY$2,100%,AVANCE[[#This Row],[MEMBRANA CIELO]])</f>
        <v>0</v>
      </c>
      <c r="CN687" s="3">
        <f>+IF(AVANCE[[#This Row],[LIMPIEZA FINAL]]=AZ$2,100%,AVANCE[[#This Row],[LIMPIEZA FINAL]])</f>
        <v>0</v>
      </c>
      <c r="CO687" s="3">
        <f>+IF(AVANCE[[#This Row],[PUERTAS DORMITORIO]]=BA$2,100%,AVANCE[[#This Row],[PUERTAS DORMITORIO]])</f>
        <v>0</v>
      </c>
      <c r="CP687" s="3">
        <f>+IF(AVANCE[[#This Row],[REVESTIMIENTO INTERIOR BANO]]=BB$2,100%,AVANCE[[#This Row],[REVESTIMIENTO INTERIOR BANO]])</f>
        <v>0</v>
      </c>
      <c r="CQ687" s="3">
        <f>+IF(AVANCE[[#This Row],[MUEBLE LAVAPLATOS]]=BC$2,100%,AVANCE[[#This Row],[MUEBLE LAVAPLATOS]])</f>
        <v>0</v>
      </c>
      <c r="CR687" s="3">
        <f>+IF(AVANCE[[#This Row],[IMPERMEABILIZACION BANO - COCINA LOGIA]]=BD$2,100%,AVANCE[[#This Row],[IMPERMEABILIZACION BANO - COCINA LOGIA]])</f>
        <v>0</v>
      </c>
      <c r="CS687" s="40">
        <f ca="1">+IF(AVANCE[[#This Row],[ESTADO MODULO]]="PENDIENTE",(TODAY()-AVANCE[[#This Row],[FECHA TERMINO  PLANIFICADO]]),0)</f>
        <v>0</v>
      </c>
      <c r="CT687" s="41" t="str" cm="1">
        <f t="array" ref="CT687">_xlfn.TEXTJOIN(" | ",TRUE,IF(SUMPRODUCT((BG687:CR687&lt;1)*(PARTIDAS!$I$2:$AT$2="OBRA GRUESA"))&gt;0,"OBRA GRUESA: "&amp;_xlfn.TEXTJOIN(", ",TRUE,IF((BG687:CR687&lt;1)*(PARTIDAS!$I$2:$AT$2="OBRA GRUESA"),PARTIDAS!$I$1:$AT$1,"")),""),IF(SUMPRODUCT((BG687:CR687&lt;1)*(PARTIDAS!$I$2:$AT$2="SANITARIOS"))&gt;0,"SANITARIOS: "&amp;_xlfn.TEXTJOIN(", ",TRUE,IF((BG687:CR687&lt;1)*(PARTIDAS!$I$2:$AT$2="SANITARIOS"),PARTIDAS!$I$1:$AT$1,"")),""),IF(SUMPRODUCT((BG687:CR687&lt;1)*(PARTIDAS!$I$2:$AT$2="ELÉCTRICO"))&gt;0,"ELÉCTRICO: "&amp;_xlfn.TEXTJOIN(", ",TRUE,IF((BG687:CR687&lt;1)*(PARTIDAS!$I$2:$AT$2="ELÉCTRICO"),PARTIDAS!$I$1:$AT$1,"")),""),IF(SUMPRODUCT((BG687:CR687&lt;1)*(PARTIDAS!$I$2:$AT$2="TERMINACIONES"))&gt;0,"TERMINACIONES: "&amp;_xlfn.TEXTJOIN(", ",TRUE,IF((BG687:CR687&lt;1)*(PARTIDAS!$I$2:$AT$2="TERMINACIONES"),PARTIDAS!$I$1:$AT$1,"")),""))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7" s="43" t="str" cm="1">
        <f t="array" ref="CU687">_xlfn.TEXTJOIN(", ",TRUE,IF(SUMPRODUCT((BG687:CR687&lt;1)*(PARTIDAS!$I$2:$AT$2="OBRA GRUESA"))&gt;0,"OBRA GRUESA",""),IF(SUMPRODUCT((BG687:CR687&lt;1)*(PARTIDAS!$I$2:$AT$2="SANITARIOS"))&gt;0,"SANITARIOS",""),IF(SUMPRODUCT((BG687:CR687&lt;1)*(PARTIDAS!$I$2:$AT$2="ELÉCTRICO"))&gt;0,"ELÉCTRICO",""),IF(SUMPRODUCT((BG687:CR687&lt;1)*(PARTIDAS!$I$2:$AT$2="TERMINACIONES"))&gt;0,"TERMINACIONES",""))</f>
        <v>OBRA GRUESA, SANITARIOS, ELÉCTRICO, TERMINACIONES</v>
      </c>
      <c r="CV687" s="44" cm="1">
        <f t="array" ref="CV687">SUMPRODUCT(--(BG687:CR687&lt;1))</f>
        <v>38</v>
      </c>
    </row>
    <row r="688" spans="1:100" hidden="1" x14ac:dyDescent="0.25">
      <c r="A688" t="s">
        <v>751</v>
      </c>
      <c r="B688" t="s">
        <v>766</v>
      </c>
      <c r="C688">
        <v>2302600687</v>
      </c>
      <c r="D688" t="s">
        <v>60</v>
      </c>
      <c r="E688" s="2">
        <v>0</v>
      </c>
      <c r="F688" s="1">
        <v>46479</v>
      </c>
      <c r="G688" s="1"/>
      <c r="H688" s="1">
        <v>0</v>
      </c>
      <c r="I688" s="1">
        <v>46509</v>
      </c>
      <c r="J688">
        <v>46230</v>
      </c>
      <c r="K688" s="1"/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>
        <v>31.32</v>
      </c>
      <c r="BF688" s="3" t="str">
        <f>+IF(AVANCE[[#This Row],[% AVANCE]]=100%,"MODULO TERMINADO",IF(AVANCE[[#This Row],[FECHA INICIO REAL]]="","MODULO NO INICIADO","PENDIENTE"))</f>
        <v>MODULO NO INICIADO</v>
      </c>
      <c r="BG688" s="3">
        <f>+IF(AVANCE[[#This Row],[VENTANAS]]=8.10810810810811%,100%,AVANCE[[#This Row],[VENTANAS]])</f>
        <v>0</v>
      </c>
      <c r="BH688" s="3">
        <f>+IF(AVANCE[[#This Row],[PISO]]=N$2,100%,AVANCE[[#This Row],[PISO]])</f>
        <v>0</v>
      </c>
      <c r="BI688" s="3">
        <f>+IF(AVANCE[[#This Row],[TABIQUES]]=O$2,100%,AVANCE[[#This Row],[TABIQUES]])</f>
        <v>0</v>
      </c>
      <c r="BJ688" s="3">
        <f>+IF(AVANCE[[#This Row],[MUROS]]=P$2,100%,AVANCE[[#This Row],[MUROS]])</f>
        <v>0</v>
      </c>
      <c r="BK688" s="3">
        <f>+IF(AVANCE[[#This Row],[CIELO]]=Q$2,100%,AVANCE[[#This Row],[CIELO]])</f>
        <v>0</v>
      </c>
      <c r="BL688" s="3">
        <f>+IF(AVANCE[[#This Row],[BALCÓN]]=R$2,100%,AVANCE[[#This Row],[BALCÓN]])</f>
        <v>0</v>
      </c>
      <c r="BM688" s="3">
        <f>+IF(AVANCE[[#This Row],[RED ALCANTARILLADO]]=U$2,100%,AVANCE[[#This Row],[RED ALCANTARILLADO]])</f>
        <v>0</v>
      </c>
      <c r="BN688" s="3">
        <f>+IF(AVANCE[[#This Row],[RED DE AGUA]]=V$2,100%,AVANCE[[#This Row],[RED DE AGUA]])</f>
        <v>0</v>
      </c>
      <c r="BO688" s="3">
        <f>+IF(AVANCE[[#This Row],[VENTILACIONES]]=W$2,100%,AVANCE[[#This Row],[VENTILACIONES]])</f>
        <v>0</v>
      </c>
      <c r="BP688" s="3">
        <f>+IF(AVANCE[[#This Row],[TINA]]=X$2,100%,AVANCE[[#This Row],[TINA]])</f>
        <v>0</v>
      </c>
      <c r="BQ688" s="3">
        <f>+IF(AVANCE[[#This Row],[WC]]=Y$2,100%,AVANCE[[#This Row],[WC]])</f>
        <v>0</v>
      </c>
      <c r="BR688" s="3">
        <f>+IF(AVANCE[[#This Row],[LAVAMANOS / LAVAPLATOS / LAVADERO]]=Z$2,100%,AVANCE[[#This Row],[LAVAMANOS / LAVAPLATOS / LAVADERO]])</f>
        <v>0</v>
      </c>
      <c r="BS688" s="3">
        <f>+IF(AVANCE[[#This Row],[CANALIZACIÓN]]=AC$2,100%,AVANCE[[#This Row],[CANALIZACIÓN]])</f>
        <v>0</v>
      </c>
      <c r="BT688" s="3">
        <f>+IF(AVANCE[[#This Row],[CABLEADO]]=AD$2,100%,AVANCE[[#This Row],[CABLEADO]])</f>
        <v>0</v>
      </c>
      <c r="BU688" s="3">
        <f>+IF(AVANCE[[#This Row],[ARTEFACTOS]]=AE$2,100%,AVANCE[[#This Row],[ARTEFACTOS]])</f>
        <v>0</v>
      </c>
      <c r="BV688" s="3">
        <f>+IF(AVANCE[[#This Row],[TABLERO]]=AF$2,100%,AVANCE[[#This Row],[TABLERO]])</f>
        <v>0</v>
      </c>
      <c r="BW688" s="3">
        <f>+IF(AVANCE[[#This Row],[CAJA PAU]]=AG$2,100%,AVANCE[[#This Row],[CAJA PAU]])</f>
        <v>0</v>
      </c>
      <c r="BX688" s="3">
        <f>+IF(AVANCE[[#This Row],[INSTALACION VINILICO]]=AJ$2,100%,AVANCE[[#This Row],[INSTALACION VINILICO]])</f>
        <v>0</v>
      </c>
      <c r="BY688" s="3">
        <f>+IF(AVANCE[[#This Row],[OSB CUBIERTA]]=AK$2,100%,AVANCE[[#This Row],[OSB CUBIERTA]])</f>
        <v>0</v>
      </c>
      <c r="BZ688" s="3">
        <f>+IF(AVANCE[[#This Row],[BARANDA BALCON]]=AL$2,100%,AVANCE[[#This Row],[BARANDA BALCON]])</f>
        <v>0</v>
      </c>
      <c r="CA688" s="3">
        <f>+IF(AVANCE[[#This Row],[OSB EXTERIOR]]=AM$2,100%,AVANCE[[#This Row],[OSB EXTERIOR]])</f>
        <v>0</v>
      </c>
      <c r="CB688" s="3">
        <f>+IF(AVANCE[[#This Row],[SMART PANEL]]=AN$2,100%,AVANCE[[#This Row],[SMART PANEL]])</f>
        <v>0</v>
      </c>
      <c r="CC688" s="3">
        <f>+IF(AVANCE[[#This Row],[PINTURA EXTERIOR]]=AO$2,100%,AVANCE[[#This Row],[PINTURA EXTERIOR]])</f>
        <v>0</v>
      </c>
      <c r="CD688" s="3">
        <f>+IF(AVANCE[[#This Row],[ZOCALOS LOGIA]]=AP$2,100%,AVANCE[[#This Row],[ZOCALOS LOGIA]])</f>
        <v>0</v>
      </c>
      <c r="CE688" s="3">
        <f>+IF(AVANCE[[#This Row],[MOLDURAS]]=AQ$2,100%,AVANCE[[#This Row],[MOLDURAS]])</f>
        <v>0</v>
      </c>
      <c r="CF688" s="3">
        <f>+IF(AVANCE[[#This Row],[PILASTREO]]=AR$2,100%,AVANCE[[#This Row],[PILASTREO]])</f>
        <v>0</v>
      </c>
      <c r="CG688" s="3">
        <f>+IF(AVANCE[[#This Row],[CELOSIAS]]=AS$2,100%,AVANCE[[#This Row],[CELOSIAS]])</f>
        <v>0</v>
      </c>
      <c r="CH688" s="3">
        <f>+IF(AVANCE[[#This Row],[VENTANAS]]=AT$2,100%,AVANCE[[#This Row],[VENTANAS]])</f>
        <v>0</v>
      </c>
      <c r="CI688" s="3">
        <f>+IF(AVANCE[[#This Row],[PUERTAS ACCESO - LOGIA - BANO]]=AU$2,100%,AVANCE[[#This Row],[PUERTAS ACCESO - LOGIA - BANO]])</f>
        <v>0</v>
      </c>
      <c r="CJ688" s="3">
        <f>+IF(AVANCE[[#This Row],[CERRADURAS]]=AV$2,100%,AVANCE[[#This Row],[CERRADURAS]])</f>
        <v>0</v>
      </c>
      <c r="CK688" s="3">
        <f>+IF(AVANCE[[#This Row],[REVESTIMIENTO INTERIOR ZONA SECA]]=AW$2,100%,AVANCE[[#This Row],[REVESTIMIENTO INTERIOR ZONA SECA]])</f>
        <v>0</v>
      </c>
      <c r="CL688" s="3">
        <f>+IF(AVANCE[[#This Row],[REVESTIMIENTO INTERIOR ZONAS HUMEDAS]]=AX$2,100%,AVANCE[[#This Row],[REVESTIMIENTO INTERIOR ZONAS HUMEDAS]])</f>
        <v>0</v>
      </c>
      <c r="CM688" s="3">
        <f>+IF(AVANCE[[#This Row],[MEMBRANA CIELO]]=AY$2,100%,AVANCE[[#This Row],[MEMBRANA CIELO]])</f>
        <v>0</v>
      </c>
      <c r="CN688" s="3">
        <f>+IF(AVANCE[[#This Row],[LIMPIEZA FINAL]]=AZ$2,100%,AVANCE[[#This Row],[LIMPIEZA FINAL]])</f>
        <v>0</v>
      </c>
      <c r="CO688" s="3">
        <f>+IF(AVANCE[[#This Row],[PUERTAS DORMITORIO]]=BA$2,100%,AVANCE[[#This Row],[PUERTAS DORMITORIO]])</f>
        <v>0</v>
      </c>
      <c r="CP688" s="3">
        <f>+IF(AVANCE[[#This Row],[REVESTIMIENTO INTERIOR BANO]]=BB$2,100%,AVANCE[[#This Row],[REVESTIMIENTO INTERIOR BANO]])</f>
        <v>0</v>
      </c>
      <c r="CQ688" s="3">
        <f>+IF(AVANCE[[#This Row],[MUEBLE LAVAPLATOS]]=BC$2,100%,AVANCE[[#This Row],[MUEBLE LAVAPLATOS]])</f>
        <v>0</v>
      </c>
      <c r="CR688" s="3">
        <f>+IF(AVANCE[[#This Row],[IMPERMEABILIZACION BANO - COCINA LOGIA]]=BD$2,100%,AVANCE[[#This Row],[IMPERMEABILIZACION BANO - COCINA LOGIA]])</f>
        <v>0</v>
      </c>
      <c r="CS688" s="40">
        <f ca="1">+IF(AVANCE[[#This Row],[ESTADO MODULO]]="PENDIENTE",(TODAY()-AVANCE[[#This Row],[FECHA TERMINO  PLANIFICADO]]),0)</f>
        <v>0</v>
      </c>
      <c r="CT688" s="41" t="str" cm="1">
        <f t="array" ref="CT688">_xlfn.TEXTJOIN(" | ",TRUE,IF(SUMPRODUCT((BG688:CR688&lt;1)*(PARTIDAS!$I$2:$AT$2="OBRA GRUESA"))&gt;0,"OBRA GRUESA: "&amp;_xlfn.TEXTJOIN(", ",TRUE,IF((BG688:CR688&lt;1)*(PARTIDAS!$I$2:$AT$2="OBRA GRUESA"),PARTIDAS!$I$1:$AT$1,"")),""),IF(SUMPRODUCT((BG688:CR688&lt;1)*(PARTIDAS!$I$2:$AT$2="SANITARIOS"))&gt;0,"SANITARIOS: "&amp;_xlfn.TEXTJOIN(", ",TRUE,IF((BG688:CR688&lt;1)*(PARTIDAS!$I$2:$AT$2="SANITARIOS"),PARTIDAS!$I$1:$AT$1,"")),""),IF(SUMPRODUCT((BG688:CR688&lt;1)*(PARTIDAS!$I$2:$AT$2="ELÉCTRICO"))&gt;0,"ELÉCTRICO: "&amp;_xlfn.TEXTJOIN(", ",TRUE,IF((BG688:CR688&lt;1)*(PARTIDAS!$I$2:$AT$2="ELÉCTRICO"),PARTIDAS!$I$1:$AT$1,"")),""),IF(SUMPRODUCT((BG688:CR688&lt;1)*(PARTIDAS!$I$2:$AT$2="TERMINACIONES"))&gt;0,"TERMINACIONES: "&amp;_xlfn.TEXTJOIN(", ",TRUE,IF((BG688:CR688&lt;1)*(PARTIDAS!$I$2:$AT$2="TERMINACIONES"),PARTIDAS!$I$1:$AT$1,"")),""))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8" s="43" t="str" cm="1">
        <f t="array" ref="CU688">_xlfn.TEXTJOIN(", ",TRUE,IF(SUMPRODUCT((BG688:CR688&lt;1)*(PARTIDAS!$I$2:$AT$2="OBRA GRUESA"))&gt;0,"OBRA GRUESA",""),IF(SUMPRODUCT((BG688:CR688&lt;1)*(PARTIDAS!$I$2:$AT$2="SANITARIOS"))&gt;0,"SANITARIOS",""),IF(SUMPRODUCT((BG688:CR688&lt;1)*(PARTIDAS!$I$2:$AT$2="ELÉCTRICO"))&gt;0,"ELÉCTRICO",""),IF(SUMPRODUCT((BG688:CR688&lt;1)*(PARTIDAS!$I$2:$AT$2="TERMINACIONES"))&gt;0,"TERMINACIONES",""))</f>
        <v>OBRA GRUESA, SANITARIOS, ELÉCTRICO, TERMINACIONES</v>
      </c>
      <c r="CV688" s="44" cm="1">
        <f t="array" ref="CV688">SUMPRODUCT(--(BG688:CR688&lt;1))</f>
        <v>38</v>
      </c>
    </row>
    <row r="689" spans="1:100" hidden="1" x14ac:dyDescent="0.25">
      <c r="A689" t="s">
        <v>751</v>
      </c>
      <c r="B689" t="s">
        <v>767</v>
      </c>
      <c r="C689">
        <v>2282600688</v>
      </c>
      <c r="D689" t="s">
        <v>58</v>
      </c>
      <c r="E689" s="2">
        <v>0</v>
      </c>
      <c r="F689" s="1">
        <v>46479</v>
      </c>
      <c r="G689" s="1"/>
      <c r="H689" s="1">
        <v>0</v>
      </c>
      <c r="I689" s="1">
        <v>46499</v>
      </c>
      <c r="J689">
        <v>46230</v>
      </c>
      <c r="K689" s="1"/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>
        <v>28.87</v>
      </c>
      <c r="BF689" s="3" t="str">
        <f>+IF(AVANCE[[#This Row],[% AVANCE]]=100%,"MODULO TERMINADO",IF(AVANCE[[#This Row],[FECHA INICIO REAL]]="","MODULO NO INICIADO","PENDIENTE"))</f>
        <v>MODULO NO INICIADO</v>
      </c>
      <c r="BG689" s="3">
        <f>+IF(AVANCE[[#This Row],[VENTANAS]]=8.10810810810811%,100%,AVANCE[[#This Row],[VENTANAS]])</f>
        <v>0</v>
      </c>
      <c r="BH689" s="3">
        <f>+IF(AVANCE[[#This Row],[PISO]]=N$2,100%,AVANCE[[#This Row],[PISO]])</f>
        <v>0</v>
      </c>
      <c r="BI689" s="3">
        <f>+IF(AVANCE[[#This Row],[TABIQUES]]=O$2,100%,AVANCE[[#This Row],[TABIQUES]])</f>
        <v>0</v>
      </c>
      <c r="BJ689" s="3">
        <f>+IF(AVANCE[[#This Row],[MUROS]]=P$2,100%,AVANCE[[#This Row],[MUROS]])</f>
        <v>0</v>
      </c>
      <c r="BK689" s="3">
        <f>+IF(AVANCE[[#This Row],[CIELO]]=Q$2,100%,AVANCE[[#This Row],[CIELO]])</f>
        <v>0</v>
      </c>
      <c r="BL689" s="3">
        <f>+IF(AVANCE[[#This Row],[BALCÓN]]=R$2,100%,AVANCE[[#This Row],[BALCÓN]])</f>
        <v>0</v>
      </c>
      <c r="BM689" s="3">
        <f>+IF(AVANCE[[#This Row],[RED ALCANTARILLADO]]=U$2,100%,AVANCE[[#This Row],[RED ALCANTARILLADO]])</f>
        <v>0</v>
      </c>
      <c r="BN689" s="3">
        <f>+IF(AVANCE[[#This Row],[RED DE AGUA]]=V$2,100%,AVANCE[[#This Row],[RED DE AGUA]])</f>
        <v>0</v>
      </c>
      <c r="BO689" s="3">
        <f>+IF(AVANCE[[#This Row],[VENTILACIONES]]=W$2,100%,AVANCE[[#This Row],[VENTILACIONES]])</f>
        <v>0</v>
      </c>
      <c r="BP689" s="3">
        <f>+IF(AVANCE[[#This Row],[TINA]]=X$2,100%,AVANCE[[#This Row],[TINA]])</f>
        <v>0</v>
      </c>
      <c r="BQ689" s="3">
        <f>+IF(AVANCE[[#This Row],[WC]]=Y$2,100%,AVANCE[[#This Row],[WC]])</f>
        <v>0</v>
      </c>
      <c r="BR689" s="3">
        <f>+IF(AVANCE[[#This Row],[LAVAMANOS / LAVAPLATOS / LAVADERO]]=Z$2,100%,AVANCE[[#This Row],[LAVAMANOS / LAVAPLATOS / LAVADERO]])</f>
        <v>0</v>
      </c>
      <c r="BS689" s="3">
        <f>+IF(AVANCE[[#This Row],[CANALIZACIÓN]]=AC$2,100%,AVANCE[[#This Row],[CANALIZACIÓN]])</f>
        <v>0</v>
      </c>
      <c r="BT689" s="3">
        <f>+IF(AVANCE[[#This Row],[CABLEADO]]=AD$2,100%,AVANCE[[#This Row],[CABLEADO]])</f>
        <v>0</v>
      </c>
      <c r="BU689" s="3">
        <f>+IF(AVANCE[[#This Row],[ARTEFACTOS]]=AE$2,100%,AVANCE[[#This Row],[ARTEFACTOS]])</f>
        <v>0</v>
      </c>
      <c r="BV689" s="3">
        <f>+IF(AVANCE[[#This Row],[TABLERO]]=AF$2,100%,AVANCE[[#This Row],[TABLERO]])</f>
        <v>0</v>
      </c>
      <c r="BW689" s="3">
        <f>+IF(AVANCE[[#This Row],[CAJA PAU]]=AG$2,100%,AVANCE[[#This Row],[CAJA PAU]])</f>
        <v>0</v>
      </c>
      <c r="BX689" s="3">
        <f>+IF(AVANCE[[#This Row],[INSTALACION VINILICO]]=AJ$2,100%,AVANCE[[#This Row],[INSTALACION VINILICO]])</f>
        <v>0</v>
      </c>
      <c r="BY689" s="3">
        <f>+IF(AVANCE[[#This Row],[OSB CUBIERTA]]=AK$2,100%,AVANCE[[#This Row],[OSB CUBIERTA]])</f>
        <v>0</v>
      </c>
      <c r="BZ689" s="3">
        <f>+IF(AVANCE[[#This Row],[BARANDA BALCON]]=AL$2,100%,AVANCE[[#This Row],[BARANDA BALCON]])</f>
        <v>0</v>
      </c>
      <c r="CA689" s="3">
        <f>+IF(AVANCE[[#This Row],[OSB EXTERIOR]]=AM$2,100%,AVANCE[[#This Row],[OSB EXTERIOR]])</f>
        <v>0</v>
      </c>
      <c r="CB689" s="3">
        <f>+IF(AVANCE[[#This Row],[SMART PANEL]]=AN$2,100%,AVANCE[[#This Row],[SMART PANEL]])</f>
        <v>0</v>
      </c>
      <c r="CC689" s="3">
        <f>+IF(AVANCE[[#This Row],[PINTURA EXTERIOR]]=AO$2,100%,AVANCE[[#This Row],[PINTURA EXTERIOR]])</f>
        <v>0</v>
      </c>
      <c r="CD689" s="3">
        <f>+IF(AVANCE[[#This Row],[ZOCALOS LOGIA]]=AP$2,100%,AVANCE[[#This Row],[ZOCALOS LOGIA]])</f>
        <v>0</v>
      </c>
      <c r="CE689" s="3">
        <f>+IF(AVANCE[[#This Row],[MOLDURAS]]=AQ$2,100%,AVANCE[[#This Row],[MOLDURAS]])</f>
        <v>0</v>
      </c>
      <c r="CF689" s="3">
        <f>+IF(AVANCE[[#This Row],[PILASTREO]]=AR$2,100%,AVANCE[[#This Row],[PILASTREO]])</f>
        <v>0</v>
      </c>
      <c r="CG689" s="3">
        <f>+IF(AVANCE[[#This Row],[CELOSIAS]]=AS$2,100%,AVANCE[[#This Row],[CELOSIAS]])</f>
        <v>0</v>
      </c>
      <c r="CH689" s="3">
        <f>+IF(AVANCE[[#This Row],[VENTANAS]]=AT$2,100%,AVANCE[[#This Row],[VENTANAS]])</f>
        <v>0</v>
      </c>
      <c r="CI689" s="3">
        <f>+IF(AVANCE[[#This Row],[PUERTAS ACCESO - LOGIA - BANO]]=AU$2,100%,AVANCE[[#This Row],[PUERTAS ACCESO - LOGIA - BANO]])</f>
        <v>0</v>
      </c>
      <c r="CJ689" s="3">
        <f>+IF(AVANCE[[#This Row],[CERRADURAS]]=AV$2,100%,AVANCE[[#This Row],[CERRADURAS]])</f>
        <v>0</v>
      </c>
      <c r="CK689" s="3">
        <f>+IF(AVANCE[[#This Row],[REVESTIMIENTO INTERIOR ZONA SECA]]=AW$2,100%,AVANCE[[#This Row],[REVESTIMIENTO INTERIOR ZONA SECA]])</f>
        <v>0</v>
      </c>
      <c r="CL689" s="3">
        <f>+IF(AVANCE[[#This Row],[REVESTIMIENTO INTERIOR ZONAS HUMEDAS]]=AX$2,100%,AVANCE[[#This Row],[REVESTIMIENTO INTERIOR ZONAS HUMEDAS]])</f>
        <v>0</v>
      </c>
      <c r="CM689" s="3">
        <f>+IF(AVANCE[[#This Row],[MEMBRANA CIELO]]=AY$2,100%,AVANCE[[#This Row],[MEMBRANA CIELO]])</f>
        <v>0</v>
      </c>
      <c r="CN689" s="3">
        <f>+IF(AVANCE[[#This Row],[LIMPIEZA FINAL]]=AZ$2,100%,AVANCE[[#This Row],[LIMPIEZA FINAL]])</f>
        <v>0</v>
      </c>
      <c r="CO689" s="3">
        <f>+IF(AVANCE[[#This Row],[PUERTAS DORMITORIO]]=BA$2,100%,AVANCE[[#This Row],[PUERTAS DORMITORIO]])</f>
        <v>0</v>
      </c>
      <c r="CP689" s="3">
        <f>+IF(AVANCE[[#This Row],[REVESTIMIENTO INTERIOR BANO]]=BB$2,100%,AVANCE[[#This Row],[REVESTIMIENTO INTERIOR BANO]])</f>
        <v>0</v>
      </c>
      <c r="CQ689" s="3">
        <f>+IF(AVANCE[[#This Row],[MUEBLE LAVAPLATOS]]=BC$2,100%,AVANCE[[#This Row],[MUEBLE LAVAPLATOS]])</f>
        <v>0</v>
      </c>
      <c r="CR689" s="3">
        <f>+IF(AVANCE[[#This Row],[IMPERMEABILIZACION BANO - COCINA LOGIA]]=BD$2,100%,AVANCE[[#This Row],[IMPERMEABILIZACION BANO - COCINA LOGIA]])</f>
        <v>0</v>
      </c>
      <c r="CS689" s="40">
        <f ca="1">+IF(AVANCE[[#This Row],[ESTADO MODULO]]="PENDIENTE",(TODAY()-AVANCE[[#This Row],[FECHA TERMINO  PLANIFICADO]]),0)</f>
        <v>0</v>
      </c>
      <c r="CT689" s="41" t="str" cm="1">
        <f t="array" ref="CT689">_xlfn.TEXTJOIN(" | ",TRUE,IF(SUMPRODUCT((BG689:CR689&lt;1)*(PARTIDAS!$I$2:$AT$2="OBRA GRUESA"))&gt;0,"OBRA GRUESA: "&amp;_xlfn.TEXTJOIN(", ",TRUE,IF((BG689:CR689&lt;1)*(PARTIDAS!$I$2:$AT$2="OBRA GRUESA"),PARTIDAS!$I$1:$AT$1,"")),""),IF(SUMPRODUCT((BG689:CR689&lt;1)*(PARTIDAS!$I$2:$AT$2="SANITARIOS"))&gt;0,"SANITARIOS: "&amp;_xlfn.TEXTJOIN(", ",TRUE,IF((BG689:CR689&lt;1)*(PARTIDAS!$I$2:$AT$2="SANITARIOS"),PARTIDAS!$I$1:$AT$1,"")),""),IF(SUMPRODUCT((BG689:CR689&lt;1)*(PARTIDAS!$I$2:$AT$2="ELÉCTRICO"))&gt;0,"ELÉCTRICO: "&amp;_xlfn.TEXTJOIN(", ",TRUE,IF((BG689:CR689&lt;1)*(PARTIDAS!$I$2:$AT$2="ELÉCTRICO"),PARTIDAS!$I$1:$AT$1,"")),""),IF(SUMPRODUCT((BG689:CR689&lt;1)*(PARTIDAS!$I$2:$AT$2="TERMINACIONES"))&gt;0,"TERMINACIONES: "&amp;_xlfn.TEXTJOIN(", ",TRUE,IF((BG689:CR689&lt;1)*(PARTIDAS!$I$2:$AT$2="TERMINACIONES"),PARTIDAS!$I$1:$AT$1,"")),""))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89" s="43" t="str" cm="1">
        <f t="array" ref="CU689">_xlfn.TEXTJOIN(", ",TRUE,IF(SUMPRODUCT((BG689:CR689&lt;1)*(PARTIDAS!$I$2:$AT$2="OBRA GRUESA"))&gt;0,"OBRA GRUESA",""),IF(SUMPRODUCT((BG689:CR689&lt;1)*(PARTIDAS!$I$2:$AT$2="SANITARIOS"))&gt;0,"SANITARIOS",""),IF(SUMPRODUCT((BG689:CR689&lt;1)*(PARTIDAS!$I$2:$AT$2="ELÉCTRICO"))&gt;0,"ELÉCTRICO",""),IF(SUMPRODUCT((BG689:CR689&lt;1)*(PARTIDAS!$I$2:$AT$2="TERMINACIONES"))&gt;0,"TERMINACIONES",""))</f>
        <v>OBRA GRUESA, SANITARIOS, ELÉCTRICO, TERMINACIONES</v>
      </c>
      <c r="CV689" s="44" cm="1">
        <f t="array" ref="CV689">SUMPRODUCT(--(BG689:CR689&lt;1))</f>
        <v>38</v>
      </c>
    </row>
    <row r="690" spans="1:100" hidden="1" x14ac:dyDescent="0.25">
      <c r="A690" t="s">
        <v>751</v>
      </c>
      <c r="B690" t="s">
        <v>768</v>
      </c>
      <c r="C690">
        <v>2282600689</v>
      </c>
      <c r="D690" t="s">
        <v>58</v>
      </c>
      <c r="E690" s="2">
        <v>0</v>
      </c>
      <c r="F690" s="1">
        <v>46482</v>
      </c>
      <c r="G690" s="1"/>
      <c r="H690" s="1">
        <v>0</v>
      </c>
      <c r="I690" s="1">
        <v>46502</v>
      </c>
      <c r="J690">
        <v>46230</v>
      </c>
      <c r="K690" s="1"/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>
        <v>28.87</v>
      </c>
      <c r="BF690" s="3" t="str">
        <f>+IF(AVANCE[[#This Row],[% AVANCE]]=100%,"MODULO TERMINADO",IF(AVANCE[[#This Row],[FECHA INICIO REAL]]="","MODULO NO INICIADO","PENDIENTE"))</f>
        <v>MODULO NO INICIADO</v>
      </c>
      <c r="BG690" s="3">
        <f>+IF(AVANCE[[#This Row],[VENTANAS]]=8.10810810810811%,100%,AVANCE[[#This Row],[VENTANAS]])</f>
        <v>0</v>
      </c>
      <c r="BH690" s="3">
        <f>+IF(AVANCE[[#This Row],[PISO]]=N$2,100%,AVANCE[[#This Row],[PISO]])</f>
        <v>0</v>
      </c>
      <c r="BI690" s="3">
        <f>+IF(AVANCE[[#This Row],[TABIQUES]]=O$2,100%,AVANCE[[#This Row],[TABIQUES]])</f>
        <v>0</v>
      </c>
      <c r="BJ690" s="3">
        <f>+IF(AVANCE[[#This Row],[MUROS]]=P$2,100%,AVANCE[[#This Row],[MUROS]])</f>
        <v>0</v>
      </c>
      <c r="BK690" s="3">
        <f>+IF(AVANCE[[#This Row],[CIELO]]=Q$2,100%,AVANCE[[#This Row],[CIELO]])</f>
        <v>0</v>
      </c>
      <c r="BL690" s="3">
        <f>+IF(AVANCE[[#This Row],[BALCÓN]]=R$2,100%,AVANCE[[#This Row],[BALCÓN]])</f>
        <v>0</v>
      </c>
      <c r="BM690" s="3">
        <f>+IF(AVANCE[[#This Row],[RED ALCANTARILLADO]]=U$2,100%,AVANCE[[#This Row],[RED ALCANTARILLADO]])</f>
        <v>0</v>
      </c>
      <c r="BN690" s="3">
        <f>+IF(AVANCE[[#This Row],[RED DE AGUA]]=V$2,100%,AVANCE[[#This Row],[RED DE AGUA]])</f>
        <v>0</v>
      </c>
      <c r="BO690" s="3">
        <f>+IF(AVANCE[[#This Row],[VENTILACIONES]]=W$2,100%,AVANCE[[#This Row],[VENTILACIONES]])</f>
        <v>0</v>
      </c>
      <c r="BP690" s="3">
        <f>+IF(AVANCE[[#This Row],[TINA]]=X$2,100%,AVANCE[[#This Row],[TINA]])</f>
        <v>0</v>
      </c>
      <c r="BQ690" s="3">
        <f>+IF(AVANCE[[#This Row],[WC]]=Y$2,100%,AVANCE[[#This Row],[WC]])</f>
        <v>0</v>
      </c>
      <c r="BR690" s="3">
        <f>+IF(AVANCE[[#This Row],[LAVAMANOS / LAVAPLATOS / LAVADERO]]=Z$2,100%,AVANCE[[#This Row],[LAVAMANOS / LAVAPLATOS / LAVADERO]])</f>
        <v>0</v>
      </c>
      <c r="BS690" s="3">
        <f>+IF(AVANCE[[#This Row],[CANALIZACIÓN]]=AC$2,100%,AVANCE[[#This Row],[CANALIZACIÓN]])</f>
        <v>0</v>
      </c>
      <c r="BT690" s="3">
        <f>+IF(AVANCE[[#This Row],[CABLEADO]]=AD$2,100%,AVANCE[[#This Row],[CABLEADO]])</f>
        <v>0</v>
      </c>
      <c r="BU690" s="3">
        <f>+IF(AVANCE[[#This Row],[ARTEFACTOS]]=AE$2,100%,AVANCE[[#This Row],[ARTEFACTOS]])</f>
        <v>0</v>
      </c>
      <c r="BV690" s="3">
        <f>+IF(AVANCE[[#This Row],[TABLERO]]=AF$2,100%,AVANCE[[#This Row],[TABLERO]])</f>
        <v>0</v>
      </c>
      <c r="BW690" s="3">
        <f>+IF(AVANCE[[#This Row],[CAJA PAU]]=AG$2,100%,AVANCE[[#This Row],[CAJA PAU]])</f>
        <v>0</v>
      </c>
      <c r="BX690" s="3">
        <f>+IF(AVANCE[[#This Row],[INSTALACION VINILICO]]=AJ$2,100%,AVANCE[[#This Row],[INSTALACION VINILICO]])</f>
        <v>0</v>
      </c>
      <c r="BY690" s="3">
        <f>+IF(AVANCE[[#This Row],[OSB CUBIERTA]]=AK$2,100%,AVANCE[[#This Row],[OSB CUBIERTA]])</f>
        <v>0</v>
      </c>
      <c r="BZ690" s="3">
        <f>+IF(AVANCE[[#This Row],[BARANDA BALCON]]=AL$2,100%,AVANCE[[#This Row],[BARANDA BALCON]])</f>
        <v>0</v>
      </c>
      <c r="CA690" s="3">
        <f>+IF(AVANCE[[#This Row],[OSB EXTERIOR]]=AM$2,100%,AVANCE[[#This Row],[OSB EXTERIOR]])</f>
        <v>0</v>
      </c>
      <c r="CB690" s="3">
        <f>+IF(AVANCE[[#This Row],[SMART PANEL]]=AN$2,100%,AVANCE[[#This Row],[SMART PANEL]])</f>
        <v>0</v>
      </c>
      <c r="CC690" s="3">
        <f>+IF(AVANCE[[#This Row],[PINTURA EXTERIOR]]=AO$2,100%,AVANCE[[#This Row],[PINTURA EXTERIOR]])</f>
        <v>0</v>
      </c>
      <c r="CD690" s="3">
        <f>+IF(AVANCE[[#This Row],[ZOCALOS LOGIA]]=AP$2,100%,AVANCE[[#This Row],[ZOCALOS LOGIA]])</f>
        <v>0</v>
      </c>
      <c r="CE690" s="3">
        <f>+IF(AVANCE[[#This Row],[MOLDURAS]]=AQ$2,100%,AVANCE[[#This Row],[MOLDURAS]])</f>
        <v>0</v>
      </c>
      <c r="CF690" s="3">
        <f>+IF(AVANCE[[#This Row],[PILASTREO]]=AR$2,100%,AVANCE[[#This Row],[PILASTREO]])</f>
        <v>0</v>
      </c>
      <c r="CG690" s="3">
        <f>+IF(AVANCE[[#This Row],[CELOSIAS]]=AS$2,100%,AVANCE[[#This Row],[CELOSIAS]])</f>
        <v>0</v>
      </c>
      <c r="CH690" s="3">
        <f>+IF(AVANCE[[#This Row],[VENTANAS]]=AT$2,100%,AVANCE[[#This Row],[VENTANAS]])</f>
        <v>0</v>
      </c>
      <c r="CI690" s="3">
        <f>+IF(AVANCE[[#This Row],[PUERTAS ACCESO - LOGIA - BANO]]=AU$2,100%,AVANCE[[#This Row],[PUERTAS ACCESO - LOGIA - BANO]])</f>
        <v>0</v>
      </c>
      <c r="CJ690" s="3">
        <f>+IF(AVANCE[[#This Row],[CERRADURAS]]=AV$2,100%,AVANCE[[#This Row],[CERRADURAS]])</f>
        <v>0</v>
      </c>
      <c r="CK690" s="3">
        <f>+IF(AVANCE[[#This Row],[REVESTIMIENTO INTERIOR ZONA SECA]]=AW$2,100%,AVANCE[[#This Row],[REVESTIMIENTO INTERIOR ZONA SECA]])</f>
        <v>0</v>
      </c>
      <c r="CL690" s="3">
        <f>+IF(AVANCE[[#This Row],[REVESTIMIENTO INTERIOR ZONAS HUMEDAS]]=AX$2,100%,AVANCE[[#This Row],[REVESTIMIENTO INTERIOR ZONAS HUMEDAS]])</f>
        <v>0</v>
      </c>
      <c r="CM690" s="3">
        <f>+IF(AVANCE[[#This Row],[MEMBRANA CIELO]]=AY$2,100%,AVANCE[[#This Row],[MEMBRANA CIELO]])</f>
        <v>0</v>
      </c>
      <c r="CN690" s="3">
        <f>+IF(AVANCE[[#This Row],[LIMPIEZA FINAL]]=AZ$2,100%,AVANCE[[#This Row],[LIMPIEZA FINAL]])</f>
        <v>0</v>
      </c>
      <c r="CO690" s="3">
        <f>+IF(AVANCE[[#This Row],[PUERTAS DORMITORIO]]=BA$2,100%,AVANCE[[#This Row],[PUERTAS DORMITORIO]])</f>
        <v>0</v>
      </c>
      <c r="CP690" s="3">
        <f>+IF(AVANCE[[#This Row],[REVESTIMIENTO INTERIOR BANO]]=BB$2,100%,AVANCE[[#This Row],[REVESTIMIENTO INTERIOR BANO]])</f>
        <v>0</v>
      </c>
      <c r="CQ690" s="3">
        <f>+IF(AVANCE[[#This Row],[MUEBLE LAVAPLATOS]]=BC$2,100%,AVANCE[[#This Row],[MUEBLE LAVAPLATOS]])</f>
        <v>0</v>
      </c>
      <c r="CR690" s="3">
        <f>+IF(AVANCE[[#This Row],[IMPERMEABILIZACION BANO - COCINA LOGIA]]=BD$2,100%,AVANCE[[#This Row],[IMPERMEABILIZACION BANO - COCINA LOGIA]])</f>
        <v>0</v>
      </c>
      <c r="CS690" s="40">
        <f ca="1">+IF(AVANCE[[#This Row],[ESTADO MODULO]]="PENDIENTE",(TODAY()-AVANCE[[#This Row],[FECHA TERMINO  PLANIFICADO]]),0)</f>
        <v>0</v>
      </c>
      <c r="CT690" s="41" t="str" cm="1">
        <f t="array" ref="CT690">_xlfn.TEXTJOIN(" | ",TRUE,IF(SUMPRODUCT((BG690:CR690&lt;1)*(PARTIDAS!$I$2:$AT$2="OBRA GRUESA"))&gt;0,"OBRA GRUESA: "&amp;_xlfn.TEXTJOIN(", ",TRUE,IF((BG690:CR690&lt;1)*(PARTIDAS!$I$2:$AT$2="OBRA GRUESA"),PARTIDAS!$I$1:$AT$1,"")),""),IF(SUMPRODUCT((BG690:CR690&lt;1)*(PARTIDAS!$I$2:$AT$2="SANITARIOS"))&gt;0,"SANITARIOS: "&amp;_xlfn.TEXTJOIN(", ",TRUE,IF((BG690:CR690&lt;1)*(PARTIDAS!$I$2:$AT$2="SANITARIOS"),PARTIDAS!$I$1:$AT$1,"")),""),IF(SUMPRODUCT((BG690:CR690&lt;1)*(PARTIDAS!$I$2:$AT$2="ELÉCTRICO"))&gt;0,"ELÉCTRICO: "&amp;_xlfn.TEXTJOIN(", ",TRUE,IF((BG690:CR690&lt;1)*(PARTIDAS!$I$2:$AT$2="ELÉCTRICO"),PARTIDAS!$I$1:$AT$1,"")),""),IF(SUMPRODUCT((BG690:CR690&lt;1)*(PARTIDAS!$I$2:$AT$2="TERMINACIONES"))&gt;0,"TERMINACIONES: "&amp;_xlfn.TEXTJOIN(", ",TRUE,IF((BG690:CR690&lt;1)*(PARTIDAS!$I$2:$AT$2="TERMINACIONES"),PARTIDAS!$I$1:$AT$1,"")),""))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0" s="43" t="str" cm="1">
        <f t="array" ref="CU690">_xlfn.TEXTJOIN(", ",TRUE,IF(SUMPRODUCT((BG690:CR690&lt;1)*(PARTIDAS!$I$2:$AT$2="OBRA GRUESA"))&gt;0,"OBRA GRUESA",""),IF(SUMPRODUCT((BG690:CR690&lt;1)*(PARTIDAS!$I$2:$AT$2="SANITARIOS"))&gt;0,"SANITARIOS",""),IF(SUMPRODUCT((BG690:CR690&lt;1)*(PARTIDAS!$I$2:$AT$2="ELÉCTRICO"))&gt;0,"ELÉCTRICO",""),IF(SUMPRODUCT((BG690:CR690&lt;1)*(PARTIDAS!$I$2:$AT$2="TERMINACIONES"))&gt;0,"TERMINACIONES",""))</f>
        <v>OBRA GRUESA, SANITARIOS, ELÉCTRICO, TERMINACIONES</v>
      </c>
      <c r="CV690" s="44" cm="1">
        <f t="array" ref="CV690">SUMPRODUCT(--(BG690:CR690&lt;1))</f>
        <v>38</v>
      </c>
    </row>
    <row r="691" spans="1:100" hidden="1" x14ac:dyDescent="0.25">
      <c r="A691" t="s">
        <v>751</v>
      </c>
      <c r="B691" t="s">
        <v>769</v>
      </c>
      <c r="C691">
        <v>2302600690</v>
      </c>
      <c r="D691" t="s">
        <v>60</v>
      </c>
      <c r="E691" s="2">
        <v>0</v>
      </c>
      <c r="F691" s="1">
        <v>46482</v>
      </c>
      <c r="G691" s="1"/>
      <c r="H691" s="1">
        <v>0</v>
      </c>
      <c r="I691" s="1">
        <v>46512</v>
      </c>
      <c r="J691">
        <v>46230</v>
      </c>
      <c r="K691" s="1"/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>
        <v>31.32</v>
      </c>
      <c r="BF691" s="3" t="str">
        <f>+IF(AVANCE[[#This Row],[% AVANCE]]=100%,"MODULO TERMINADO",IF(AVANCE[[#This Row],[FECHA INICIO REAL]]="","MODULO NO INICIADO","PENDIENTE"))</f>
        <v>MODULO NO INICIADO</v>
      </c>
      <c r="BG691" s="3">
        <f>+IF(AVANCE[[#This Row],[VENTANAS]]=8.10810810810811%,100%,AVANCE[[#This Row],[VENTANAS]])</f>
        <v>0</v>
      </c>
      <c r="BH691" s="3">
        <f>+IF(AVANCE[[#This Row],[PISO]]=N$2,100%,AVANCE[[#This Row],[PISO]])</f>
        <v>0</v>
      </c>
      <c r="BI691" s="3">
        <f>+IF(AVANCE[[#This Row],[TABIQUES]]=O$2,100%,AVANCE[[#This Row],[TABIQUES]])</f>
        <v>0</v>
      </c>
      <c r="BJ691" s="3">
        <f>+IF(AVANCE[[#This Row],[MUROS]]=P$2,100%,AVANCE[[#This Row],[MUROS]])</f>
        <v>0</v>
      </c>
      <c r="BK691" s="3">
        <f>+IF(AVANCE[[#This Row],[CIELO]]=Q$2,100%,AVANCE[[#This Row],[CIELO]])</f>
        <v>0</v>
      </c>
      <c r="BL691" s="3">
        <f>+IF(AVANCE[[#This Row],[BALCÓN]]=R$2,100%,AVANCE[[#This Row],[BALCÓN]])</f>
        <v>0</v>
      </c>
      <c r="BM691" s="3">
        <f>+IF(AVANCE[[#This Row],[RED ALCANTARILLADO]]=U$2,100%,AVANCE[[#This Row],[RED ALCANTARILLADO]])</f>
        <v>0</v>
      </c>
      <c r="BN691" s="3">
        <f>+IF(AVANCE[[#This Row],[RED DE AGUA]]=V$2,100%,AVANCE[[#This Row],[RED DE AGUA]])</f>
        <v>0</v>
      </c>
      <c r="BO691" s="3">
        <f>+IF(AVANCE[[#This Row],[VENTILACIONES]]=W$2,100%,AVANCE[[#This Row],[VENTILACIONES]])</f>
        <v>0</v>
      </c>
      <c r="BP691" s="3">
        <f>+IF(AVANCE[[#This Row],[TINA]]=X$2,100%,AVANCE[[#This Row],[TINA]])</f>
        <v>0</v>
      </c>
      <c r="BQ691" s="3">
        <f>+IF(AVANCE[[#This Row],[WC]]=Y$2,100%,AVANCE[[#This Row],[WC]])</f>
        <v>0</v>
      </c>
      <c r="BR691" s="3">
        <f>+IF(AVANCE[[#This Row],[LAVAMANOS / LAVAPLATOS / LAVADERO]]=Z$2,100%,AVANCE[[#This Row],[LAVAMANOS / LAVAPLATOS / LAVADERO]])</f>
        <v>0</v>
      </c>
      <c r="BS691" s="3">
        <f>+IF(AVANCE[[#This Row],[CANALIZACIÓN]]=AC$2,100%,AVANCE[[#This Row],[CANALIZACIÓN]])</f>
        <v>0</v>
      </c>
      <c r="BT691" s="3">
        <f>+IF(AVANCE[[#This Row],[CABLEADO]]=AD$2,100%,AVANCE[[#This Row],[CABLEADO]])</f>
        <v>0</v>
      </c>
      <c r="BU691" s="3">
        <f>+IF(AVANCE[[#This Row],[ARTEFACTOS]]=AE$2,100%,AVANCE[[#This Row],[ARTEFACTOS]])</f>
        <v>0</v>
      </c>
      <c r="BV691" s="3">
        <f>+IF(AVANCE[[#This Row],[TABLERO]]=AF$2,100%,AVANCE[[#This Row],[TABLERO]])</f>
        <v>0</v>
      </c>
      <c r="BW691" s="3">
        <f>+IF(AVANCE[[#This Row],[CAJA PAU]]=AG$2,100%,AVANCE[[#This Row],[CAJA PAU]])</f>
        <v>0</v>
      </c>
      <c r="BX691" s="3">
        <f>+IF(AVANCE[[#This Row],[INSTALACION VINILICO]]=AJ$2,100%,AVANCE[[#This Row],[INSTALACION VINILICO]])</f>
        <v>0</v>
      </c>
      <c r="BY691" s="3">
        <f>+IF(AVANCE[[#This Row],[OSB CUBIERTA]]=AK$2,100%,AVANCE[[#This Row],[OSB CUBIERTA]])</f>
        <v>0</v>
      </c>
      <c r="BZ691" s="3">
        <f>+IF(AVANCE[[#This Row],[BARANDA BALCON]]=AL$2,100%,AVANCE[[#This Row],[BARANDA BALCON]])</f>
        <v>0</v>
      </c>
      <c r="CA691" s="3">
        <f>+IF(AVANCE[[#This Row],[OSB EXTERIOR]]=AM$2,100%,AVANCE[[#This Row],[OSB EXTERIOR]])</f>
        <v>0</v>
      </c>
      <c r="CB691" s="3">
        <f>+IF(AVANCE[[#This Row],[SMART PANEL]]=AN$2,100%,AVANCE[[#This Row],[SMART PANEL]])</f>
        <v>0</v>
      </c>
      <c r="CC691" s="3">
        <f>+IF(AVANCE[[#This Row],[PINTURA EXTERIOR]]=AO$2,100%,AVANCE[[#This Row],[PINTURA EXTERIOR]])</f>
        <v>0</v>
      </c>
      <c r="CD691" s="3">
        <f>+IF(AVANCE[[#This Row],[ZOCALOS LOGIA]]=AP$2,100%,AVANCE[[#This Row],[ZOCALOS LOGIA]])</f>
        <v>0</v>
      </c>
      <c r="CE691" s="3">
        <f>+IF(AVANCE[[#This Row],[MOLDURAS]]=AQ$2,100%,AVANCE[[#This Row],[MOLDURAS]])</f>
        <v>0</v>
      </c>
      <c r="CF691" s="3">
        <f>+IF(AVANCE[[#This Row],[PILASTREO]]=AR$2,100%,AVANCE[[#This Row],[PILASTREO]])</f>
        <v>0</v>
      </c>
      <c r="CG691" s="3">
        <f>+IF(AVANCE[[#This Row],[CELOSIAS]]=AS$2,100%,AVANCE[[#This Row],[CELOSIAS]])</f>
        <v>0</v>
      </c>
      <c r="CH691" s="3">
        <f>+IF(AVANCE[[#This Row],[VENTANAS]]=AT$2,100%,AVANCE[[#This Row],[VENTANAS]])</f>
        <v>0</v>
      </c>
      <c r="CI691" s="3">
        <f>+IF(AVANCE[[#This Row],[PUERTAS ACCESO - LOGIA - BANO]]=AU$2,100%,AVANCE[[#This Row],[PUERTAS ACCESO - LOGIA - BANO]])</f>
        <v>0</v>
      </c>
      <c r="CJ691" s="3">
        <f>+IF(AVANCE[[#This Row],[CERRADURAS]]=AV$2,100%,AVANCE[[#This Row],[CERRADURAS]])</f>
        <v>0</v>
      </c>
      <c r="CK691" s="3">
        <f>+IF(AVANCE[[#This Row],[REVESTIMIENTO INTERIOR ZONA SECA]]=AW$2,100%,AVANCE[[#This Row],[REVESTIMIENTO INTERIOR ZONA SECA]])</f>
        <v>0</v>
      </c>
      <c r="CL691" s="3">
        <f>+IF(AVANCE[[#This Row],[REVESTIMIENTO INTERIOR ZONAS HUMEDAS]]=AX$2,100%,AVANCE[[#This Row],[REVESTIMIENTO INTERIOR ZONAS HUMEDAS]])</f>
        <v>0</v>
      </c>
      <c r="CM691" s="3">
        <f>+IF(AVANCE[[#This Row],[MEMBRANA CIELO]]=AY$2,100%,AVANCE[[#This Row],[MEMBRANA CIELO]])</f>
        <v>0</v>
      </c>
      <c r="CN691" s="3">
        <f>+IF(AVANCE[[#This Row],[LIMPIEZA FINAL]]=AZ$2,100%,AVANCE[[#This Row],[LIMPIEZA FINAL]])</f>
        <v>0</v>
      </c>
      <c r="CO691" s="3">
        <f>+IF(AVANCE[[#This Row],[PUERTAS DORMITORIO]]=BA$2,100%,AVANCE[[#This Row],[PUERTAS DORMITORIO]])</f>
        <v>0</v>
      </c>
      <c r="CP691" s="3">
        <f>+IF(AVANCE[[#This Row],[REVESTIMIENTO INTERIOR BANO]]=BB$2,100%,AVANCE[[#This Row],[REVESTIMIENTO INTERIOR BANO]])</f>
        <v>0</v>
      </c>
      <c r="CQ691" s="3">
        <f>+IF(AVANCE[[#This Row],[MUEBLE LAVAPLATOS]]=BC$2,100%,AVANCE[[#This Row],[MUEBLE LAVAPLATOS]])</f>
        <v>0</v>
      </c>
      <c r="CR691" s="3">
        <f>+IF(AVANCE[[#This Row],[IMPERMEABILIZACION BANO - COCINA LOGIA]]=BD$2,100%,AVANCE[[#This Row],[IMPERMEABILIZACION BANO - COCINA LOGIA]])</f>
        <v>0</v>
      </c>
      <c r="CS691" s="40">
        <f ca="1">+IF(AVANCE[[#This Row],[ESTADO MODULO]]="PENDIENTE",(TODAY()-AVANCE[[#This Row],[FECHA TERMINO  PLANIFICADO]]),0)</f>
        <v>0</v>
      </c>
      <c r="CT691" s="41" t="str" cm="1">
        <f t="array" ref="CT691">_xlfn.TEXTJOIN(" | ",TRUE,IF(SUMPRODUCT((BG691:CR691&lt;1)*(PARTIDAS!$I$2:$AT$2="OBRA GRUESA"))&gt;0,"OBRA GRUESA: "&amp;_xlfn.TEXTJOIN(", ",TRUE,IF((BG691:CR691&lt;1)*(PARTIDAS!$I$2:$AT$2="OBRA GRUESA"),PARTIDAS!$I$1:$AT$1,"")),""),IF(SUMPRODUCT((BG691:CR691&lt;1)*(PARTIDAS!$I$2:$AT$2="SANITARIOS"))&gt;0,"SANITARIOS: "&amp;_xlfn.TEXTJOIN(", ",TRUE,IF((BG691:CR691&lt;1)*(PARTIDAS!$I$2:$AT$2="SANITARIOS"),PARTIDAS!$I$1:$AT$1,"")),""),IF(SUMPRODUCT((BG691:CR691&lt;1)*(PARTIDAS!$I$2:$AT$2="ELÉCTRICO"))&gt;0,"ELÉCTRICO: "&amp;_xlfn.TEXTJOIN(", ",TRUE,IF((BG691:CR691&lt;1)*(PARTIDAS!$I$2:$AT$2="ELÉCTRICO"),PARTIDAS!$I$1:$AT$1,"")),""),IF(SUMPRODUCT((BG691:CR691&lt;1)*(PARTIDAS!$I$2:$AT$2="TERMINACIONES"))&gt;0,"TERMINACIONES: "&amp;_xlfn.TEXTJOIN(", ",TRUE,IF((BG691:CR691&lt;1)*(PARTIDAS!$I$2:$AT$2="TERMINACIONES"),PARTIDAS!$I$1:$AT$1,"")),""))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1" s="43" t="str" cm="1">
        <f t="array" ref="CU691">_xlfn.TEXTJOIN(", ",TRUE,IF(SUMPRODUCT((BG691:CR691&lt;1)*(PARTIDAS!$I$2:$AT$2="OBRA GRUESA"))&gt;0,"OBRA GRUESA",""),IF(SUMPRODUCT((BG691:CR691&lt;1)*(PARTIDAS!$I$2:$AT$2="SANITARIOS"))&gt;0,"SANITARIOS",""),IF(SUMPRODUCT((BG691:CR691&lt;1)*(PARTIDAS!$I$2:$AT$2="ELÉCTRICO"))&gt;0,"ELÉCTRICO",""),IF(SUMPRODUCT((BG691:CR691&lt;1)*(PARTIDAS!$I$2:$AT$2="TERMINACIONES"))&gt;0,"TERMINACIONES",""))</f>
        <v>OBRA GRUESA, SANITARIOS, ELÉCTRICO, TERMINACIONES</v>
      </c>
      <c r="CV691" s="44" cm="1">
        <f t="array" ref="CV691">SUMPRODUCT(--(BG691:CR691&lt;1))</f>
        <v>38</v>
      </c>
    </row>
    <row r="692" spans="1:100" hidden="1" x14ac:dyDescent="0.25">
      <c r="A692" t="s">
        <v>751</v>
      </c>
      <c r="B692" t="s">
        <v>770</v>
      </c>
      <c r="C692">
        <v>2302600691</v>
      </c>
      <c r="D692" t="s">
        <v>60</v>
      </c>
      <c r="E692" s="2">
        <v>0</v>
      </c>
      <c r="F692" s="1">
        <v>46482</v>
      </c>
      <c r="G692" s="1"/>
      <c r="H692" s="1">
        <v>0</v>
      </c>
      <c r="I692" s="1">
        <v>46512</v>
      </c>
      <c r="J692">
        <v>46230</v>
      </c>
      <c r="K692" s="1"/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>
        <v>31.32</v>
      </c>
      <c r="BF692" s="3" t="str">
        <f>+IF(AVANCE[[#This Row],[% AVANCE]]=100%,"MODULO TERMINADO",IF(AVANCE[[#This Row],[FECHA INICIO REAL]]="","MODULO NO INICIADO","PENDIENTE"))</f>
        <v>MODULO NO INICIADO</v>
      </c>
      <c r="BG692" s="3">
        <f>+IF(AVANCE[[#This Row],[VENTANAS]]=8.10810810810811%,100%,AVANCE[[#This Row],[VENTANAS]])</f>
        <v>0</v>
      </c>
      <c r="BH692" s="3">
        <f>+IF(AVANCE[[#This Row],[PISO]]=N$2,100%,AVANCE[[#This Row],[PISO]])</f>
        <v>0</v>
      </c>
      <c r="BI692" s="3">
        <f>+IF(AVANCE[[#This Row],[TABIQUES]]=O$2,100%,AVANCE[[#This Row],[TABIQUES]])</f>
        <v>0</v>
      </c>
      <c r="BJ692" s="3">
        <f>+IF(AVANCE[[#This Row],[MUROS]]=P$2,100%,AVANCE[[#This Row],[MUROS]])</f>
        <v>0</v>
      </c>
      <c r="BK692" s="3">
        <f>+IF(AVANCE[[#This Row],[CIELO]]=Q$2,100%,AVANCE[[#This Row],[CIELO]])</f>
        <v>0</v>
      </c>
      <c r="BL692" s="3">
        <f>+IF(AVANCE[[#This Row],[BALCÓN]]=R$2,100%,AVANCE[[#This Row],[BALCÓN]])</f>
        <v>0</v>
      </c>
      <c r="BM692" s="3">
        <f>+IF(AVANCE[[#This Row],[RED ALCANTARILLADO]]=U$2,100%,AVANCE[[#This Row],[RED ALCANTARILLADO]])</f>
        <v>0</v>
      </c>
      <c r="BN692" s="3">
        <f>+IF(AVANCE[[#This Row],[RED DE AGUA]]=V$2,100%,AVANCE[[#This Row],[RED DE AGUA]])</f>
        <v>0</v>
      </c>
      <c r="BO692" s="3">
        <f>+IF(AVANCE[[#This Row],[VENTILACIONES]]=W$2,100%,AVANCE[[#This Row],[VENTILACIONES]])</f>
        <v>0</v>
      </c>
      <c r="BP692" s="3">
        <f>+IF(AVANCE[[#This Row],[TINA]]=X$2,100%,AVANCE[[#This Row],[TINA]])</f>
        <v>0</v>
      </c>
      <c r="BQ692" s="3">
        <f>+IF(AVANCE[[#This Row],[WC]]=Y$2,100%,AVANCE[[#This Row],[WC]])</f>
        <v>0</v>
      </c>
      <c r="BR692" s="3">
        <f>+IF(AVANCE[[#This Row],[LAVAMANOS / LAVAPLATOS / LAVADERO]]=Z$2,100%,AVANCE[[#This Row],[LAVAMANOS / LAVAPLATOS / LAVADERO]])</f>
        <v>0</v>
      </c>
      <c r="BS692" s="3">
        <f>+IF(AVANCE[[#This Row],[CANALIZACIÓN]]=AC$2,100%,AVANCE[[#This Row],[CANALIZACIÓN]])</f>
        <v>0</v>
      </c>
      <c r="BT692" s="3">
        <f>+IF(AVANCE[[#This Row],[CABLEADO]]=AD$2,100%,AVANCE[[#This Row],[CABLEADO]])</f>
        <v>0</v>
      </c>
      <c r="BU692" s="3">
        <f>+IF(AVANCE[[#This Row],[ARTEFACTOS]]=AE$2,100%,AVANCE[[#This Row],[ARTEFACTOS]])</f>
        <v>0</v>
      </c>
      <c r="BV692" s="3">
        <f>+IF(AVANCE[[#This Row],[TABLERO]]=AF$2,100%,AVANCE[[#This Row],[TABLERO]])</f>
        <v>0</v>
      </c>
      <c r="BW692" s="3">
        <f>+IF(AVANCE[[#This Row],[CAJA PAU]]=AG$2,100%,AVANCE[[#This Row],[CAJA PAU]])</f>
        <v>0</v>
      </c>
      <c r="BX692" s="3">
        <f>+IF(AVANCE[[#This Row],[INSTALACION VINILICO]]=AJ$2,100%,AVANCE[[#This Row],[INSTALACION VINILICO]])</f>
        <v>0</v>
      </c>
      <c r="BY692" s="3">
        <f>+IF(AVANCE[[#This Row],[OSB CUBIERTA]]=AK$2,100%,AVANCE[[#This Row],[OSB CUBIERTA]])</f>
        <v>0</v>
      </c>
      <c r="BZ692" s="3">
        <f>+IF(AVANCE[[#This Row],[BARANDA BALCON]]=AL$2,100%,AVANCE[[#This Row],[BARANDA BALCON]])</f>
        <v>0</v>
      </c>
      <c r="CA692" s="3">
        <f>+IF(AVANCE[[#This Row],[OSB EXTERIOR]]=AM$2,100%,AVANCE[[#This Row],[OSB EXTERIOR]])</f>
        <v>0</v>
      </c>
      <c r="CB692" s="3">
        <f>+IF(AVANCE[[#This Row],[SMART PANEL]]=AN$2,100%,AVANCE[[#This Row],[SMART PANEL]])</f>
        <v>0</v>
      </c>
      <c r="CC692" s="3">
        <f>+IF(AVANCE[[#This Row],[PINTURA EXTERIOR]]=AO$2,100%,AVANCE[[#This Row],[PINTURA EXTERIOR]])</f>
        <v>0</v>
      </c>
      <c r="CD692" s="3">
        <f>+IF(AVANCE[[#This Row],[ZOCALOS LOGIA]]=AP$2,100%,AVANCE[[#This Row],[ZOCALOS LOGIA]])</f>
        <v>0</v>
      </c>
      <c r="CE692" s="3">
        <f>+IF(AVANCE[[#This Row],[MOLDURAS]]=AQ$2,100%,AVANCE[[#This Row],[MOLDURAS]])</f>
        <v>0</v>
      </c>
      <c r="CF692" s="3">
        <f>+IF(AVANCE[[#This Row],[PILASTREO]]=AR$2,100%,AVANCE[[#This Row],[PILASTREO]])</f>
        <v>0</v>
      </c>
      <c r="CG692" s="3">
        <f>+IF(AVANCE[[#This Row],[CELOSIAS]]=AS$2,100%,AVANCE[[#This Row],[CELOSIAS]])</f>
        <v>0</v>
      </c>
      <c r="CH692" s="3">
        <f>+IF(AVANCE[[#This Row],[VENTANAS]]=AT$2,100%,AVANCE[[#This Row],[VENTANAS]])</f>
        <v>0</v>
      </c>
      <c r="CI692" s="3">
        <f>+IF(AVANCE[[#This Row],[PUERTAS ACCESO - LOGIA - BANO]]=AU$2,100%,AVANCE[[#This Row],[PUERTAS ACCESO - LOGIA - BANO]])</f>
        <v>0</v>
      </c>
      <c r="CJ692" s="3">
        <f>+IF(AVANCE[[#This Row],[CERRADURAS]]=AV$2,100%,AVANCE[[#This Row],[CERRADURAS]])</f>
        <v>0</v>
      </c>
      <c r="CK692" s="3">
        <f>+IF(AVANCE[[#This Row],[REVESTIMIENTO INTERIOR ZONA SECA]]=AW$2,100%,AVANCE[[#This Row],[REVESTIMIENTO INTERIOR ZONA SECA]])</f>
        <v>0</v>
      </c>
      <c r="CL692" s="3">
        <f>+IF(AVANCE[[#This Row],[REVESTIMIENTO INTERIOR ZONAS HUMEDAS]]=AX$2,100%,AVANCE[[#This Row],[REVESTIMIENTO INTERIOR ZONAS HUMEDAS]])</f>
        <v>0</v>
      </c>
      <c r="CM692" s="3">
        <f>+IF(AVANCE[[#This Row],[MEMBRANA CIELO]]=AY$2,100%,AVANCE[[#This Row],[MEMBRANA CIELO]])</f>
        <v>0</v>
      </c>
      <c r="CN692" s="3">
        <f>+IF(AVANCE[[#This Row],[LIMPIEZA FINAL]]=AZ$2,100%,AVANCE[[#This Row],[LIMPIEZA FINAL]])</f>
        <v>0</v>
      </c>
      <c r="CO692" s="3">
        <f>+IF(AVANCE[[#This Row],[PUERTAS DORMITORIO]]=BA$2,100%,AVANCE[[#This Row],[PUERTAS DORMITORIO]])</f>
        <v>0</v>
      </c>
      <c r="CP692" s="3">
        <f>+IF(AVANCE[[#This Row],[REVESTIMIENTO INTERIOR BANO]]=BB$2,100%,AVANCE[[#This Row],[REVESTIMIENTO INTERIOR BANO]])</f>
        <v>0</v>
      </c>
      <c r="CQ692" s="3">
        <f>+IF(AVANCE[[#This Row],[MUEBLE LAVAPLATOS]]=BC$2,100%,AVANCE[[#This Row],[MUEBLE LAVAPLATOS]])</f>
        <v>0</v>
      </c>
      <c r="CR692" s="3">
        <f>+IF(AVANCE[[#This Row],[IMPERMEABILIZACION BANO - COCINA LOGIA]]=BD$2,100%,AVANCE[[#This Row],[IMPERMEABILIZACION BANO - COCINA LOGIA]])</f>
        <v>0</v>
      </c>
      <c r="CS692" s="40">
        <f ca="1">+IF(AVANCE[[#This Row],[ESTADO MODULO]]="PENDIENTE",(TODAY()-AVANCE[[#This Row],[FECHA TERMINO  PLANIFICADO]]),0)</f>
        <v>0</v>
      </c>
      <c r="CT692" s="41" t="str" cm="1">
        <f t="array" ref="CT692">_xlfn.TEXTJOIN(" | ",TRUE,IF(SUMPRODUCT((BG692:CR692&lt;1)*(PARTIDAS!$I$2:$AT$2="OBRA GRUESA"))&gt;0,"OBRA GRUESA: "&amp;_xlfn.TEXTJOIN(", ",TRUE,IF((BG692:CR692&lt;1)*(PARTIDAS!$I$2:$AT$2="OBRA GRUESA"),PARTIDAS!$I$1:$AT$1,"")),""),IF(SUMPRODUCT((BG692:CR692&lt;1)*(PARTIDAS!$I$2:$AT$2="SANITARIOS"))&gt;0,"SANITARIOS: "&amp;_xlfn.TEXTJOIN(", ",TRUE,IF((BG692:CR692&lt;1)*(PARTIDAS!$I$2:$AT$2="SANITARIOS"),PARTIDAS!$I$1:$AT$1,"")),""),IF(SUMPRODUCT((BG692:CR692&lt;1)*(PARTIDAS!$I$2:$AT$2="ELÉCTRICO"))&gt;0,"ELÉCTRICO: "&amp;_xlfn.TEXTJOIN(", ",TRUE,IF((BG692:CR692&lt;1)*(PARTIDAS!$I$2:$AT$2="ELÉCTRICO"),PARTIDAS!$I$1:$AT$1,"")),""),IF(SUMPRODUCT((BG692:CR692&lt;1)*(PARTIDAS!$I$2:$AT$2="TERMINACIONES"))&gt;0,"TERMINACIONES: "&amp;_xlfn.TEXTJOIN(", ",TRUE,IF((BG692:CR692&lt;1)*(PARTIDAS!$I$2:$AT$2="TERMINACIONES"),PARTIDAS!$I$1:$AT$1,"")),""))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2" s="43" t="str" cm="1">
        <f t="array" ref="CU692">_xlfn.TEXTJOIN(", ",TRUE,IF(SUMPRODUCT((BG692:CR692&lt;1)*(PARTIDAS!$I$2:$AT$2="OBRA GRUESA"))&gt;0,"OBRA GRUESA",""),IF(SUMPRODUCT((BG692:CR692&lt;1)*(PARTIDAS!$I$2:$AT$2="SANITARIOS"))&gt;0,"SANITARIOS",""),IF(SUMPRODUCT((BG692:CR692&lt;1)*(PARTIDAS!$I$2:$AT$2="ELÉCTRICO"))&gt;0,"ELÉCTRICO",""),IF(SUMPRODUCT((BG692:CR692&lt;1)*(PARTIDAS!$I$2:$AT$2="TERMINACIONES"))&gt;0,"TERMINACIONES",""))</f>
        <v>OBRA GRUESA, SANITARIOS, ELÉCTRICO, TERMINACIONES</v>
      </c>
      <c r="CV692" s="44" cm="1">
        <f t="array" ref="CV692">SUMPRODUCT(--(BG692:CR692&lt;1))</f>
        <v>38</v>
      </c>
    </row>
    <row r="693" spans="1:100" hidden="1" x14ac:dyDescent="0.25">
      <c r="A693" t="s">
        <v>751</v>
      </c>
      <c r="B693" t="s">
        <v>771</v>
      </c>
      <c r="C693">
        <v>2282600692</v>
      </c>
      <c r="D693" t="s">
        <v>58</v>
      </c>
      <c r="E693" s="2">
        <v>0</v>
      </c>
      <c r="F693" s="1">
        <v>46483</v>
      </c>
      <c r="G693" s="1"/>
      <c r="H693" s="1">
        <v>0</v>
      </c>
      <c r="I693" s="1">
        <v>46503</v>
      </c>
      <c r="J693">
        <v>46230</v>
      </c>
      <c r="K693" s="1"/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>
        <v>28.87</v>
      </c>
      <c r="BF693" s="3" t="str">
        <f>+IF(AVANCE[[#This Row],[% AVANCE]]=100%,"MODULO TERMINADO",IF(AVANCE[[#This Row],[FECHA INICIO REAL]]="","MODULO NO INICIADO","PENDIENTE"))</f>
        <v>MODULO NO INICIADO</v>
      </c>
      <c r="BG693" s="3">
        <f>+IF(AVANCE[[#This Row],[VENTANAS]]=8.10810810810811%,100%,AVANCE[[#This Row],[VENTANAS]])</f>
        <v>0</v>
      </c>
      <c r="BH693" s="3">
        <f>+IF(AVANCE[[#This Row],[PISO]]=N$2,100%,AVANCE[[#This Row],[PISO]])</f>
        <v>0</v>
      </c>
      <c r="BI693" s="3">
        <f>+IF(AVANCE[[#This Row],[TABIQUES]]=O$2,100%,AVANCE[[#This Row],[TABIQUES]])</f>
        <v>0</v>
      </c>
      <c r="BJ693" s="3">
        <f>+IF(AVANCE[[#This Row],[MUROS]]=P$2,100%,AVANCE[[#This Row],[MUROS]])</f>
        <v>0</v>
      </c>
      <c r="BK693" s="3">
        <f>+IF(AVANCE[[#This Row],[CIELO]]=Q$2,100%,AVANCE[[#This Row],[CIELO]])</f>
        <v>0</v>
      </c>
      <c r="BL693" s="3">
        <f>+IF(AVANCE[[#This Row],[BALCÓN]]=R$2,100%,AVANCE[[#This Row],[BALCÓN]])</f>
        <v>0</v>
      </c>
      <c r="BM693" s="3">
        <f>+IF(AVANCE[[#This Row],[RED ALCANTARILLADO]]=U$2,100%,AVANCE[[#This Row],[RED ALCANTARILLADO]])</f>
        <v>0</v>
      </c>
      <c r="BN693" s="3">
        <f>+IF(AVANCE[[#This Row],[RED DE AGUA]]=V$2,100%,AVANCE[[#This Row],[RED DE AGUA]])</f>
        <v>0</v>
      </c>
      <c r="BO693" s="3">
        <f>+IF(AVANCE[[#This Row],[VENTILACIONES]]=W$2,100%,AVANCE[[#This Row],[VENTILACIONES]])</f>
        <v>0</v>
      </c>
      <c r="BP693" s="3">
        <f>+IF(AVANCE[[#This Row],[TINA]]=X$2,100%,AVANCE[[#This Row],[TINA]])</f>
        <v>0</v>
      </c>
      <c r="BQ693" s="3">
        <f>+IF(AVANCE[[#This Row],[WC]]=Y$2,100%,AVANCE[[#This Row],[WC]])</f>
        <v>0</v>
      </c>
      <c r="BR693" s="3">
        <f>+IF(AVANCE[[#This Row],[LAVAMANOS / LAVAPLATOS / LAVADERO]]=Z$2,100%,AVANCE[[#This Row],[LAVAMANOS / LAVAPLATOS / LAVADERO]])</f>
        <v>0</v>
      </c>
      <c r="BS693" s="3">
        <f>+IF(AVANCE[[#This Row],[CANALIZACIÓN]]=AC$2,100%,AVANCE[[#This Row],[CANALIZACIÓN]])</f>
        <v>0</v>
      </c>
      <c r="BT693" s="3">
        <f>+IF(AVANCE[[#This Row],[CABLEADO]]=AD$2,100%,AVANCE[[#This Row],[CABLEADO]])</f>
        <v>0</v>
      </c>
      <c r="BU693" s="3">
        <f>+IF(AVANCE[[#This Row],[ARTEFACTOS]]=AE$2,100%,AVANCE[[#This Row],[ARTEFACTOS]])</f>
        <v>0</v>
      </c>
      <c r="BV693" s="3">
        <f>+IF(AVANCE[[#This Row],[TABLERO]]=AF$2,100%,AVANCE[[#This Row],[TABLERO]])</f>
        <v>0</v>
      </c>
      <c r="BW693" s="3">
        <f>+IF(AVANCE[[#This Row],[CAJA PAU]]=AG$2,100%,AVANCE[[#This Row],[CAJA PAU]])</f>
        <v>0</v>
      </c>
      <c r="BX693" s="3">
        <f>+IF(AVANCE[[#This Row],[INSTALACION VINILICO]]=AJ$2,100%,AVANCE[[#This Row],[INSTALACION VINILICO]])</f>
        <v>0</v>
      </c>
      <c r="BY693" s="3">
        <f>+IF(AVANCE[[#This Row],[OSB CUBIERTA]]=AK$2,100%,AVANCE[[#This Row],[OSB CUBIERTA]])</f>
        <v>0</v>
      </c>
      <c r="BZ693" s="3">
        <f>+IF(AVANCE[[#This Row],[BARANDA BALCON]]=AL$2,100%,AVANCE[[#This Row],[BARANDA BALCON]])</f>
        <v>0</v>
      </c>
      <c r="CA693" s="3">
        <f>+IF(AVANCE[[#This Row],[OSB EXTERIOR]]=AM$2,100%,AVANCE[[#This Row],[OSB EXTERIOR]])</f>
        <v>0</v>
      </c>
      <c r="CB693" s="3">
        <f>+IF(AVANCE[[#This Row],[SMART PANEL]]=AN$2,100%,AVANCE[[#This Row],[SMART PANEL]])</f>
        <v>0</v>
      </c>
      <c r="CC693" s="3">
        <f>+IF(AVANCE[[#This Row],[PINTURA EXTERIOR]]=AO$2,100%,AVANCE[[#This Row],[PINTURA EXTERIOR]])</f>
        <v>0</v>
      </c>
      <c r="CD693" s="3">
        <f>+IF(AVANCE[[#This Row],[ZOCALOS LOGIA]]=AP$2,100%,AVANCE[[#This Row],[ZOCALOS LOGIA]])</f>
        <v>0</v>
      </c>
      <c r="CE693" s="3">
        <f>+IF(AVANCE[[#This Row],[MOLDURAS]]=AQ$2,100%,AVANCE[[#This Row],[MOLDURAS]])</f>
        <v>0</v>
      </c>
      <c r="CF693" s="3">
        <f>+IF(AVANCE[[#This Row],[PILASTREO]]=AR$2,100%,AVANCE[[#This Row],[PILASTREO]])</f>
        <v>0</v>
      </c>
      <c r="CG693" s="3">
        <f>+IF(AVANCE[[#This Row],[CELOSIAS]]=AS$2,100%,AVANCE[[#This Row],[CELOSIAS]])</f>
        <v>0</v>
      </c>
      <c r="CH693" s="3">
        <f>+IF(AVANCE[[#This Row],[VENTANAS]]=AT$2,100%,AVANCE[[#This Row],[VENTANAS]])</f>
        <v>0</v>
      </c>
      <c r="CI693" s="3">
        <f>+IF(AVANCE[[#This Row],[PUERTAS ACCESO - LOGIA - BANO]]=AU$2,100%,AVANCE[[#This Row],[PUERTAS ACCESO - LOGIA - BANO]])</f>
        <v>0</v>
      </c>
      <c r="CJ693" s="3">
        <f>+IF(AVANCE[[#This Row],[CERRADURAS]]=AV$2,100%,AVANCE[[#This Row],[CERRADURAS]])</f>
        <v>0</v>
      </c>
      <c r="CK693" s="3">
        <f>+IF(AVANCE[[#This Row],[REVESTIMIENTO INTERIOR ZONA SECA]]=AW$2,100%,AVANCE[[#This Row],[REVESTIMIENTO INTERIOR ZONA SECA]])</f>
        <v>0</v>
      </c>
      <c r="CL693" s="3">
        <f>+IF(AVANCE[[#This Row],[REVESTIMIENTO INTERIOR ZONAS HUMEDAS]]=AX$2,100%,AVANCE[[#This Row],[REVESTIMIENTO INTERIOR ZONAS HUMEDAS]])</f>
        <v>0</v>
      </c>
      <c r="CM693" s="3">
        <f>+IF(AVANCE[[#This Row],[MEMBRANA CIELO]]=AY$2,100%,AVANCE[[#This Row],[MEMBRANA CIELO]])</f>
        <v>0</v>
      </c>
      <c r="CN693" s="3">
        <f>+IF(AVANCE[[#This Row],[LIMPIEZA FINAL]]=AZ$2,100%,AVANCE[[#This Row],[LIMPIEZA FINAL]])</f>
        <v>0</v>
      </c>
      <c r="CO693" s="3">
        <f>+IF(AVANCE[[#This Row],[PUERTAS DORMITORIO]]=BA$2,100%,AVANCE[[#This Row],[PUERTAS DORMITORIO]])</f>
        <v>0</v>
      </c>
      <c r="CP693" s="3">
        <f>+IF(AVANCE[[#This Row],[REVESTIMIENTO INTERIOR BANO]]=BB$2,100%,AVANCE[[#This Row],[REVESTIMIENTO INTERIOR BANO]])</f>
        <v>0</v>
      </c>
      <c r="CQ693" s="3">
        <f>+IF(AVANCE[[#This Row],[MUEBLE LAVAPLATOS]]=BC$2,100%,AVANCE[[#This Row],[MUEBLE LAVAPLATOS]])</f>
        <v>0</v>
      </c>
      <c r="CR693" s="3">
        <f>+IF(AVANCE[[#This Row],[IMPERMEABILIZACION BANO - COCINA LOGIA]]=BD$2,100%,AVANCE[[#This Row],[IMPERMEABILIZACION BANO - COCINA LOGIA]])</f>
        <v>0</v>
      </c>
      <c r="CS693" s="40">
        <f ca="1">+IF(AVANCE[[#This Row],[ESTADO MODULO]]="PENDIENTE",(TODAY()-AVANCE[[#This Row],[FECHA TERMINO  PLANIFICADO]]),0)</f>
        <v>0</v>
      </c>
      <c r="CT693" s="41" t="str" cm="1">
        <f t="array" ref="CT693">_xlfn.TEXTJOIN(" | ",TRUE,IF(SUMPRODUCT((BG693:CR693&lt;1)*(PARTIDAS!$I$2:$AT$2="OBRA GRUESA"))&gt;0,"OBRA GRUESA: "&amp;_xlfn.TEXTJOIN(", ",TRUE,IF((BG693:CR693&lt;1)*(PARTIDAS!$I$2:$AT$2="OBRA GRUESA"),PARTIDAS!$I$1:$AT$1,"")),""),IF(SUMPRODUCT((BG693:CR693&lt;1)*(PARTIDAS!$I$2:$AT$2="SANITARIOS"))&gt;0,"SANITARIOS: "&amp;_xlfn.TEXTJOIN(", ",TRUE,IF((BG693:CR693&lt;1)*(PARTIDAS!$I$2:$AT$2="SANITARIOS"),PARTIDAS!$I$1:$AT$1,"")),""),IF(SUMPRODUCT((BG693:CR693&lt;1)*(PARTIDAS!$I$2:$AT$2="ELÉCTRICO"))&gt;0,"ELÉCTRICO: "&amp;_xlfn.TEXTJOIN(", ",TRUE,IF((BG693:CR693&lt;1)*(PARTIDAS!$I$2:$AT$2="ELÉCTRICO"),PARTIDAS!$I$1:$AT$1,"")),""),IF(SUMPRODUCT((BG693:CR693&lt;1)*(PARTIDAS!$I$2:$AT$2="TERMINACIONES"))&gt;0,"TERMINACIONES: "&amp;_xlfn.TEXTJOIN(", ",TRUE,IF((BG693:CR693&lt;1)*(PARTIDAS!$I$2:$AT$2="TERMINACIONES"),PARTIDAS!$I$1:$AT$1,"")),""))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3" s="43" t="str" cm="1">
        <f t="array" ref="CU693">_xlfn.TEXTJOIN(", ",TRUE,IF(SUMPRODUCT((BG693:CR693&lt;1)*(PARTIDAS!$I$2:$AT$2="OBRA GRUESA"))&gt;0,"OBRA GRUESA",""),IF(SUMPRODUCT((BG693:CR693&lt;1)*(PARTIDAS!$I$2:$AT$2="SANITARIOS"))&gt;0,"SANITARIOS",""),IF(SUMPRODUCT((BG693:CR693&lt;1)*(PARTIDAS!$I$2:$AT$2="ELÉCTRICO"))&gt;0,"ELÉCTRICO",""),IF(SUMPRODUCT((BG693:CR693&lt;1)*(PARTIDAS!$I$2:$AT$2="TERMINACIONES"))&gt;0,"TERMINACIONES",""))</f>
        <v>OBRA GRUESA, SANITARIOS, ELÉCTRICO, TERMINACIONES</v>
      </c>
      <c r="CV693" s="44" cm="1">
        <f t="array" ref="CV693">SUMPRODUCT(--(BG693:CR693&lt;1))</f>
        <v>38</v>
      </c>
    </row>
    <row r="694" spans="1:100" hidden="1" x14ac:dyDescent="0.25">
      <c r="A694" t="s">
        <v>751</v>
      </c>
      <c r="B694" t="s">
        <v>772</v>
      </c>
      <c r="C694">
        <v>2282600693</v>
      </c>
      <c r="D694" t="s">
        <v>58</v>
      </c>
      <c r="E694" s="2">
        <v>0</v>
      </c>
      <c r="F694" s="1">
        <v>46483</v>
      </c>
      <c r="G694" s="1"/>
      <c r="H694" s="1">
        <v>0</v>
      </c>
      <c r="I694" s="1">
        <v>46503</v>
      </c>
      <c r="J694">
        <v>46230</v>
      </c>
      <c r="K694" s="1"/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>
        <v>28.87</v>
      </c>
      <c r="BF694" s="3" t="str">
        <f>+IF(AVANCE[[#This Row],[% AVANCE]]=100%,"MODULO TERMINADO",IF(AVANCE[[#This Row],[FECHA INICIO REAL]]="","MODULO NO INICIADO","PENDIENTE"))</f>
        <v>MODULO NO INICIADO</v>
      </c>
      <c r="BG694" s="3">
        <f>+IF(AVANCE[[#This Row],[VENTANAS]]=8.10810810810811%,100%,AVANCE[[#This Row],[VENTANAS]])</f>
        <v>0</v>
      </c>
      <c r="BH694" s="3">
        <f>+IF(AVANCE[[#This Row],[PISO]]=N$2,100%,AVANCE[[#This Row],[PISO]])</f>
        <v>0</v>
      </c>
      <c r="BI694" s="3">
        <f>+IF(AVANCE[[#This Row],[TABIQUES]]=O$2,100%,AVANCE[[#This Row],[TABIQUES]])</f>
        <v>0</v>
      </c>
      <c r="BJ694" s="3">
        <f>+IF(AVANCE[[#This Row],[MUROS]]=P$2,100%,AVANCE[[#This Row],[MUROS]])</f>
        <v>0</v>
      </c>
      <c r="BK694" s="3">
        <f>+IF(AVANCE[[#This Row],[CIELO]]=Q$2,100%,AVANCE[[#This Row],[CIELO]])</f>
        <v>0</v>
      </c>
      <c r="BL694" s="3">
        <f>+IF(AVANCE[[#This Row],[BALCÓN]]=R$2,100%,AVANCE[[#This Row],[BALCÓN]])</f>
        <v>0</v>
      </c>
      <c r="BM694" s="3">
        <f>+IF(AVANCE[[#This Row],[RED ALCANTARILLADO]]=U$2,100%,AVANCE[[#This Row],[RED ALCANTARILLADO]])</f>
        <v>0</v>
      </c>
      <c r="BN694" s="3">
        <f>+IF(AVANCE[[#This Row],[RED DE AGUA]]=V$2,100%,AVANCE[[#This Row],[RED DE AGUA]])</f>
        <v>0</v>
      </c>
      <c r="BO694" s="3">
        <f>+IF(AVANCE[[#This Row],[VENTILACIONES]]=W$2,100%,AVANCE[[#This Row],[VENTILACIONES]])</f>
        <v>0</v>
      </c>
      <c r="BP694" s="3">
        <f>+IF(AVANCE[[#This Row],[TINA]]=X$2,100%,AVANCE[[#This Row],[TINA]])</f>
        <v>0</v>
      </c>
      <c r="BQ694" s="3">
        <f>+IF(AVANCE[[#This Row],[WC]]=Y$2,100%,AVANCE[[#This Row],[WC]])</f>
        <v>0</v>
      </c>
      <c r="BR694" s="3">
        <f>+IF(AVANCE[[#This Row],[LAVAMANOS / LAVAPLATOS / LAVADERO]]=Z$2,100%,AVANCE[[#This Row],[LAVAMANOS / LAVAPLATOS / LAVADERO]])</f>
        <v>0</v>
      </c>
      <c r="BS694" s="3">
        <f>+IF(AVANCE[[#This Row],[CANALIZACIÓN]]=AC$2,100%,AVANCE[[#This Row],[CANALIZACIÓN]])</f>
        <v>0</v>
      </c>
      <c r="BT694" s="3">
        <f>+IF(AVANCE[[#This Row],[CABLEADO]]=AD$2,100%,AVANCE[[#This Row],[CABLEADO]])</f>
        <v>0</v>
      </c>
      <c r="BU694" s="3">
        <f>+IF(AVANCE[[#This Row],[ARTEFACTOS]]=AE$2,100%,AVANCE[[#This Row],[ARTEFACTOS]])</f>
        <v>0</v>
      </c>
      <c r="BV694" s="3">
        <f>+IF(AVANCE[[#This Row],[TABLERO]]=AF$2,100%,AVANCE[[#This Row],[TABLERO]])</f>
        <v>0</v>
      </c>
      <c r="BW694" s="3">
        <f>+IF(AVANCE[[#This Row],[CAJA PAU]]=AG$2,100%,AVANCE[[#This Row],[CAJA PAU]])</f>
        <v>0</v>
      </c>
      <c r="BX694" s="3">
        <f>+IF(AVANCE[[#This Row],[INSTALACION VINILICO]]=AJ$2,100%,AVANCE[[#This Row],[INSTALACION VINILICO]])</f>
        <v>0</v>
      </c>
      <c r="BY694" s="3">
        <f>+IF(AVANCE[[#This Row],[OSB CUBIERTA]]=AK$2,100%,AVANCE[[#This Row],[OSB CUBIERTA]])</f>
        <v>0</v>
      </c>
      <c r="BZ694" s="3">
        <f>+IF(AVANCE[[#This Row],[BARANDA BALCON]]=AL$2,100%,AVANCE[[#This Row],[BARANDA BALCON]])</f>
        <v>0</v>
      </c>
      <c r="CA694" s="3">
        <f>+IF(AVANCE[[#This Row],[OSB EXTERIOR]]=AM$2,100%,AVANCE[[#This Row],[OSB EXTERIOR]])</f>
        <v>0</v>
      </c>
      <c r="CB694" s="3">
        <f>+IF(AVANCE[[#This Row],[SMART PANEL]]=AN$2,100%,AVANCE[[#This Row],[SMART PANEL]])</f>
        <v>0</v>
      </c>
      <c r="CC694" s="3">
        <f>+IF(AVANCE[[#This Row],[PINTURA EXTERIOR]]=AO$2,100%,AVANCE[[#This Row],[PINTURA EXTERIOR]])</f>
        <v>0</v>
      </c>
      <c r="CD694" s="3">
        <f>+IF(AVANCE[[#This Row],[ZOCALOS LOGIA]]=AP$2,100%,AVANCE[[#This Row],[ZOCALOS LOGIA]])</f>
        <v>0</v>
      </c>
      <c r="CE694" s="3">
        <f>+IF(AVANCE[[#This Row],[MOLDURAS]]=AQ$2,100%,AVANCE[[#This Row],[MOLDURAS]])</f>
        <v>0</v>
      </c>
      <c r="CF694" s="3">
        <f>+IF(AVANCE[[#This Row],[PILASTREO]]=AR$2,100%,AVANCE[[#This Row],[PILASTREO]])</f>
        <v>0</v>
      </c>
      <c r="CG694" s="3">
        <f>+IF(AVANCE[[#This Row],[CELOSIAS]]=AS$2,100%,AVANCE[[#This Row],[CELOSIAS]])</f>
        <v>0</v>
      </c>
      <c r="CH694" s="3">
        <f>+IF(AVANCE[[#This Row],[VENTANAS]]=AT$2,100%,AVANCE[[#This Row],[VENTANAS]])</f>
        <v>0</v>
      </c>
      <c r="CI694" s="3">
        <f>+IF(AVANCE[[#This Row],[PUERTAS ACCESO - LOGIA - BANO]]=AU$2,100%,AVANCE[[#This Row],[PUERTAS ACCESO - LOGIA - BANO]])</f>
        <v>0</v>
      </c>
      <c r="CJ694" s="3">
        <f>+IF(AVANCE[[#This Row],[CERRADURAS]]=AV$2,100%,AVANCE[[#This Row],[CERRADURAS]])</f>
        <v>0</v>
      </c>
      <c r="CK694" s="3">
        <f>+IF(AVANCE[[#This Row],[REVESTIMIENTO INTERIOR ZONA SECA]]=AW$2,100%,AVANCE[[#This Row],[REVESTIMIENTO INTERIOR ZONA SECA]])</f>
        <v>0</v>
      </c>
      <c r="CL694" s="3">
        <f>+IF(AVANCE[[#This Row],[REVESTIMIENTO INTERIOR ZONAS HUMEDAS]]=AX$2,100%,AVANCE[[#This Row],[REVESTIMIENTO INTERIOR ZONAS HUMEDAS]])</f>
        <v>0</v>
      </c>
      <c r="CM694" s="3">
        <f>+IF(AVANCE[[#This Row],[MEMBRANA CIELO]]=AY$2,100%,AVANCE[[#This Row],[MEMBRANA CIELO]])</f>
        <v>0</v>
      </c>
      <c r="CN694" s="3">
        <f>+IF(AVANCE[[#This Row],[LIMPIEZA FINAL]]=AZ$2,100%,AVANCE[[#This Row],[LIMPIEZA FINAL]])</f>
        <v>0</v>
      </c>
      <c r="CO694" s="3">
        <f>+IF(AVANCE[[#This Row],[PUERTAS DORMITORIO]]=BA$2,100%,AVANCE[[#This Row],[PUERTAS DORMITORIO]])</f>
        <v>0</v>
      </c>
      <c r="CP694" s="3">
        <f>+IF(AVANCE[[#This Row],[REVESTIMIENTO INTERIOR BANO]]=BB$2,100%,AVANCE[[#This Row],[REVESTIMIENTO INTERIOR BANO]])</f>
        <v>0</v>
      </c>
      <c r="CQ694" s="3">
        <f>+IF(AVANCE[[#This Row],[MUEBLE LAVAPLATOS]]=BC$2,100%,AVANCE[[#This Row],[MUEBLE LAVAPLATOS]])</f>
        <v>0</v>
      </c>
      <c r="CR694" s="3">
        <f>+IF(AVANCE[[#This Row],[IMPERMEABILIZACION BANO - COCINA LOGIA]]=BD$2,100%,AVANCE[[#This Row],[IMPERMEABILIZACION BANO - COCINA LOGIA]])</f>
        <v>0</v>
      </c>
      <c r="CS694" s="40">
        <f ca="1">+IF(AVANCE[[#This Row],[ESTADO MODULO]]="PENDIENTE",(TODAY()-AVANCE[[#This Row],[FECHA TERMINO  PLANIFICADO]]),0)</f>
        <v>0</v>
      </c>
      <c r="CT694" s="41" t="str" cm="1">
        <f t="array" ref="CT694">_xlfn.TEXTJOIN(" | ",TRUE,IF(SUMPRODUCT((BG694:CR694&lt;1)*(PARTIDAS!$I$2:$AT$2="OBRA GRUESA"))&gt;0,"OBRA GRUESA: "&amp;_xlfn.TEXTJOIN(", ",TRUE,IF((BG694:CR694&lt;1)*(PARTIDAS!$I$2:$AT$2="OBRA GRUESA"),PARTIDAS!$I$1:$AT$1,"")),""),IF(SUMPRODUCT((BG694:CR694&lt;1)*(PARTIDAS!$I$2:$AT$2="SANITARIOS"))&gt;0,"SANITARIOS: "&amp;_xlfn.TEXTJOIN(", ",TRUE,IF((BG694:CR694&lt;1)*(PARTIDAS!$I$2:$AT$2="SANITARIOS"),PARTIDAS!$I$1:$AT$1,"")),""),IF(SUMPRODUCT((BG694:CR694&lt;1)*(PARTIDAS!$I$2:$AT$2="ELÉCTRICO"))&gt;0,"ELÉCTRICO: "&amp;_xlfn.TEXTJOIN(", ",TRUE,IF((BG694:CR694&lt;1)*(PARTIDAS!$I$2:$AT$2="ELÉCTRICO"),PARTIDAS!$I$1:$AT$1,"")),""),IF(SUMPRODUCT((BG694:CR694&lt;1)*(PARTIDAS!$I$2:$AT$2="TERMINACIONES"))&gt;0,"TERMINACIONES: "&amp;_xlfn.TEXTJOIN(", ",TRUE,IF((BG694:CR694&lt;1)*(PARTIDAS!$I$2:$AT$2="TERMINACIONES"),PARTIDAS!$I$1:$AT$1,"")),""))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4" s="43" t="str" cm="1">
        <f t="array" ref="CU694">_xlfn.TEXTJOIN(", ",TRUE,IF(SUMPRODUCT((BG694:CR694&lt;1)*(PARTIDAS!$I$2:$AT$2="OBRA GRUESA"))&gt;0,"OBRA GRUESA",""),IF(SUMPRODUCT((BG694:CR694&lt;1)*(PARTIDAS!$I$2:$AT$2="SANITARIOS"))&gt;0,"SANITARIOS",""),IF(SUMPRODUCT((BG694:CR694&lt;1)*(PARTIDAS!$I$2:$AT$2="ELÉCTRICO"))&gt;0,"ELÉCTRICO",""),IF(SUMPRODUCT((BG694:CR694&lt;1)*(PARTIDAS!$I$2:$AT$2="TERMINACIONES"))&gt;0,"TERMINACIONES",""))</f>
        <v>OBRA GRUESA, SANITARIOS, ELÉCTRICO, TERMINACIONES</v>
      </c>
      <c r="CV694" s="44" cm="1">
        <f t="array" ref="CV694">SUMPRODUCT(--(BG694:CR694&lt;1))</f>
        <v>38</v>
      </c>
    </row>
    <row r="695" spans="1:100" hidden="1" x14ac:dyDescent="0.25">
      <c r="A695" t="s">
        <v>751</v>
      </c>
      <c r="B695" t="s">
        <v>773</v>
      </c>
      <c r="C695">
        <v>2302600694</v>
      </c>
      <c r="D695" t="s">
        <v>60</v>
      </c>
      <c r="E695" s="2">
        <v>0</v>
      </c>
      <c r="F695" s="1">
        <v>46483</v>
      </c>
      <c r="G695" s="1"/>
      <c r="H695" s="1">
        <v>0</v>
      </c>
      <c r="I695" s="1">
        <v>46513</v>
      </c>
      <c r="J695">
        <v>46230</v>
      </c>
      <c r="K695" s="1"/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>
        <v>31.32</v>
      </c>
      <c r="BF695" s="3" t="str">
        <f>+IF(AVANCE[[#This Row],[% AVANCE]]=100%,"MODULO TERMINADO",IF(AVANCE[[#This Row],[FECHA INICIO REAL]]="","MODULO NO INICIADO","PENDIENTE"))</f>
        <v>MODULO NO INICIADO</v>
      </c>
      <c r="BG695" s="3">
        <f>+IF(AVANCE[[#This Row],[VENTANAS]]=8.10810810810811%,100%,AVANCE[[#This Row],[VENTANAS]])</f>
        <v>0</v>
      </c>
      <c r="BH695" s="3">
        <f>+IF(AVANCE[[#This Row],[PISO]]=N$2,100%,AVANCE[[#This Row],[PISO]])</f>
        <v>0</v>
      </c>
      <c r="BI695" s="3">
        <f>+IF(AVANCE[[#This Row],[TABIQUES]]=O$2,100%,AVANCE[[#This Row],[TABIQUES]])</f>
        <v>0</v>
      </c>
      <c r="BJ695" s="3">
        <f>+IF(AVANCE[[#This Row],[MUROS]]=P$2,100%,AVANCE[[#This Row],[MUROS]])</f>
        <v>0</v>
      </c>
      <c r="BK695" s="3">
        <f>+IF(AVANCE[[#This Row],[CIELO]]=Q$2,100%,AVANCE[[#This Row],[CIELO]])</f>
        <v>0</v>
      </c>
      <c r="BL695" s="3">
        <f>+IF(AVANCE[[#This Row],[BALCÓN]]=R$2,100%,AVANCE[[#This Row],[BALCÓN]])</f>
        <v>0</v>
      </c>
      <c r="BM695" s="3">
        <f>+IF(AVANCE[[#This Row],[RED ALCANTARILLADO]]=U$2,100%,AVANCE[[#This Row],[RED ALCANTARILLADO]])</f>
        <v>0</v>
      </c>
      <c r="BN695" s="3">
        <f>+IF(AVANCE[[#This Row],[RED DE AGUA]]=V$2,100%,AVANCE[[#This Row],[RED DE AGUA]])</f>
        <v>0</v>
      </c>
      <c r="BO695" s="3">
        <f>+IF(AVANCE[[#This Row],[VENTILACIONES]]=W$2,100%,AVANCE[[#This Row],[VENTILACIONES]])</f>
        <v>0</v>
      </c>
      <c r="BP695" s="3">
        <f>+IF(AVANCE[[#This Row],[TINA]]=X$2,100%,AVANCE[[#This Row],[TINA]])</f>
        <v>0</v>
      </c>
      <c r="BQ695" s="3">
        <f>+IF(AVANCE[[#This Row],[WC]]=Y$2,100%,AVANCE[[#This Row],[WC]])</f>
        <v>0</v>
      </c>
      <c r="BR695" s="3">
        <f>+IF(AVANCE[[#This Row],[LAVAMANOS / LAVAPLATOS / LAVADERO]]=Z$2,100%,AVANCE[[#This Row],[LAVAMANOS / LAVAPLATOS / LAVADERO]])</f>
        <v>0</v>
      </c>
      <c r="BS695" s="3">
        <f>+IF(AVANCE[[#This Row],[CANALIZACIÓN]]=AC$2,100%,AVANCE[[#This Row],[CANALIZACIÓN]])</f>
        <v>0</v>
      </c>
      <c r="BT695" s="3">
        <f>+IF(AVANCE[[#This Row],[CABLEADO]]=AD$2,100%,AVANCE[[#This Row],[CABLEADO]])</f>
        <v>0</v>
      </c>
      <c r="BU695" s="3">
        <f>+IF(AVANCE[[#This Row],[ARTEFACTOS]]=AE$2,100%,AVANCE[[#This Row],[ARTEFACTOS]])</f>
        <v>0</v>
      </c>
      <c r="BV695" s="3">
        <f>+IF(AVANCE[[#This Row],[TABLERO]]=AF$2,100%,AVANCE[[#This Row],[TABLERO]])</f>
        <v>0</v>
      </c>
      <c r="BW695" s="3">
        <f>+IF(AVANCE[[#This Row],[CAJA PAU]]=AG$2,100%,AVANCE[[#This Row],[CAJA PAU]])</f>
        <v>0</v>
      </c>
      <c r="BX695" s="3">
        <f>+IF(AVANCE[[#This Row],[INSTALACION VINILICO]]=AJ$2,100%,AVANCE[[#This Row],[INSTALACION VINILICO]])</f>
        <v>0</v>
      </c>
      <c r="BY695" s="3">
        <f>+IF(AVANCE[[#This Row],[OSB CUBIERTA]]=AK$2,100%,AVANCE[[#This Row],[OSB CUBIERTA]])</f>
        <v>0</v>
      </c>
      <c r="BZ695" s="3">
        <f>+IF(AVANCE[[#This Row],[BARANDA BALCON]]=AL$2,100%,AVANCE[[#This Row],[BARANDA BALCON]])</f>
        <v>0</v>
      </c>
      <c r="CA695" s="3">
        <f>+IF(AVANCE[[#This Row],[OSB EXTERIOR]]=AM$2,100%,AVANCE[[#This Row],[OSB EXTERIOR]])</f>
        <v>0</v>
      </c>
      <c r="CB695" s="3">
        <f>+IF(AVANCE[[#This Row],[SMART PANEL]]=AN$2,100%,AVANCE[[#This Row],[SMART PANEL]])</f>
        <v>0</v>
      </c>
      <c r="CC695" s="3">
        <f>+IF(AVANCE[[#This Row],[PINTURA EXTERIOR]]=AO$2,100%,AVANCE[[#This Row],[PINTURA EXTERIOR]])</f>
        <v>0</v>
      </c>
      <c r="CD695" s="3">
        <f>+IF(AVANCE[[#This Row],[ZOCALOS LOGIA]]=AP$2,100%,AVANCE[[#This Row],[ZOCALOS LOGIA]])</f>
        <v>0</v>
      </c>
      <c r="CE695" s="3">
        <f>+IF(AVANCE[[#This Row],[MOLDURAS]]=AQ$2,100%,AVANCE[[#This Row],[MOLDURAS]])</f>
        <v>0</v>
      </c>
      <c r="CF695" s="3">
        <f>+IF(AVANCE[[#This Row],[PILASTREO]]=AR$2,100%,AVANCE[[#This Row],[PILASTREO]])</f>
        <v>0</v>
      </c>
      <c r="CG695" s="3">
        <f>+IF(AVANCE[[#This Row],[CELOSIAS]]=AS$2,100%,AVANCE[[#This Row],[CELOSIAS]])</f>
        <v>0</v>
      </c>
      <c r="CH695" s="3">
        <f>+IF(AVANCE[[#This Row],[VENTANAS]]=AT$2,100%,AVANCE[[#This Row],[VENTANAS]])</f>
        <v>0</v>
      </c>
      <c r="CI695" s="3">
        <f>+IF(AVANCE[[#This Row],[PUERTAS ACCESO - LOGIA - BANO]]=AU$2,100%,AVANCE[[#This Row],[PUERTAS ACCESO - LOGIA - BANO]])</f>
        <v>0</v>
      </c>
      <c r="CJ695" s="3">
        <f>+IF(AVANCE[[#This Row],[CERRADURAS]]=AV$2,100%,AVANCE[[#This Row],[CERRADURAS]])</f>
        <v>0</v>
      </c>
      <c r="CK695" s="3">
        <f>+IF(AVANCE[[#This Row],[REVESTIMIENTO INTERIOR ZONA SECA]]=AW$2,100%,AVANCE[[#This Row],[REVESTIMIENTO INTERIOR ZONA SECA]])</f>
        <v>0</v>
      </c>
      <c r="CL695" s="3">
        <f>+IF(AVANCE[[#This Row],[REVESTIMIENTO INTERIOR ZONAS HUMEDAS]]=AX$2,100%,AVANCE[[#This Row],[REVESTIMIENTO INTERIOR ZONAS HUMEDAS]])</f>
        <v>0</v>
      </c>
      <c r="CM695" s="3">
        <f>+IF(AVANCE[[#This Row],[MEMBRANA CIELO]]=AY$2,100%,AVANCE[[#This Row],[MEMBRANA CIELO]])</f>
        <v>0</v>
      </c>
      <c r="CN695" s="3">
        <f>+IF(AVANCE[[#This Row],[LIMPIEZA FINAL]]=AZ$2,100%,AVANCE[[#This Row],[LIMPIEZA FINAL]])</f>
        <v>0</v>
      </c>
      <c r="CO695" s="3">
        <f>+IF(AVANCE[[#This Row],[PUERTAS DORMITORIO]]=BA$2,100%,AVANCE[[#This Row],[PUERTAS DORMITORIO]])</f>
        <v>0</v>
      </c>
      <c r="CP695" s="3">
        <f>+IF(AVANCE[[#This Row],[REVESTIMIENTO INTERIOR BANO]]=BB$2,100%,AVANCE[[#This Row],[REVESTIMIENTO INTERIOR BANO]])</f>
        <v>0</v>
      </c>
      <c r="CQ695" s="3">
        <f>+IF(AVANCE[[#This Row],[MUEBLE LAVAPLATOS]]=BC$2,100%,AVANCE[[#This Row],[MUEBLE LAVAPLATOS]])</f>
        <v>0</v>
      </c>
      <c r="CR695" s="3">
        <f>+IF(AVANCE[[#This Row],[IMPERMEABILIZACION BANO - COCINA LOGIA]]=BD$2,100%,AVANCE[[#This Row],[IMPERMEABILIZACION BANO - COCINA LOGIA]])</f>
        <v>0</v>
      </c>
      <c r="CS695" s="40">
        <f ca="1">+IF(AVANCE[[#This Row],[ESTADO MODULO]]="PENDIENTE",(TODAY()-AVANCE[[#This Row],[FECHA TERMINO  PLANIFICADO]]),0)</f>
        <v>0</v>
      </c>
      <c r="CT695" s="41" t="str" cm="1">
        <f t="array" ref="CT695">_xlfn.TEXTJOIN(" | ",TRUE,IF(SUMPRODUCT((BG695:CR695&lt;1)*(PARTIDAS!$I$2:$AT$2="OBRA GRUESA"))&gt;0,"OBRA GRUESA: "&amp;_xlfn.TEXTJOIN(", ",TRUE,IF((BG695:CR695&lt;1)*(PARTIDAS!$I$2:$AT$2="OBRA GRUESA"),PARTIDAS!$I$1:$AT$1,"")),""),IF(SUMPRODUCT((BG695:CR695&lt;1)*(PARTIDAS!$I$2:$AT$2="SANITARIOS"))&gt;0,"SANITARIOS: "&amp;_xlfn.TEXTJOIN(", ",TRUE,IF((BG695:CR695&lt;1)*(PARTIDAS!$I$2:$AT$2="SANITARIOS"),PARTIDAS!$I$1:$AT$1,"")),""),IF(SUMPRODUCT((BG695:CR695&lt;1)*(PARTIDAS!$I$2:$AT$2="ELÉCTRICO"))&gt;0,"ELÉCTRICO: "&amp;_xlfn.TEXTJOIN(", ",TRUE,IF((BG695:CR695&lt;1)*(PARTIDAS!$I$2:$AT$2="ELÉCTRICO"),PARTIDAS!$I$1:$AT$1,"")),""),IF(SUMPRODUCT((BG695:CR695&lt;1)*(PARTIDAS!$I$2:$AT$2="TERMINACIONES"))&gt;0,"TERMINACIONES: "&amp;_xlfn.TEXTJOIN(", ",TRUE,IF((BG695:CR695&lt;1)*(PARTIDAS!$I$2:$AT$2="TERMINACIONES"),PARTIDAS!$I$1:$AT$1,"")),""))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5" s="43" t="str" cm="1">
        <f t="array" ref="CU695">_xlfn.TEXTJOIN(", ",TRUE,IF(SUMPRODUCT((BG695:CR695&lt;1)*(PARTIDAS!$I$2:$AT$2="OBRA GRUESA"))&gt;0,"OBRA GRUESA",""),IF(SUMPRODUCT((BG695:CR695&lt;1)*(PARTIDAS!$I$2:$AT$2="SANITARIOS"))&gt;0,"SANITARIOS",""),IF(SUMPRODUCT((BG695:CR695&lt;1)*(PARTIDAS!$I$2:$AT$2="ELÉCTRICO"))&gt;0,"ELÉCTRICO",""),IF(SUMPRODUCT((BG695:CR695&lt;1)*(PARTIDAS!$I$2:$AT$2="TERMINACIONES"))&gt;0,"TERMINACIONES",""))</f>
        <v>OBRA GRUESA, SANITARIOS, ELÉCTRICO, TERMINACIONES</v>
      </c>
      <c r="CV695" s="44" cm="1">
        <f t="array" ref="CV695">SUMPRODUCT(--(BG695:CR695&lt;1))</f>
        <v>38</v>
      </c>
    </row>
    <row r="696" spans="1:100" hidden="1" x14ac:dyDescent="0.25">
      <c r="A696" t="s">
        <v>751</v>
      </c>
      <c r="B696" t="s">
        <v>774</v>
      </c>
      <c r="C696">
        <v>2302600695</v>
      </c>
      <c r="D696" t="s">
        <v>60</v>
      </c>
      <c r="E696" s="2">
        <v>0</v>
      </c>
      <c r="F696" s="1">
        <v>46484</v>
      </c>
      <c r="G696" s="1"/>
      <c r="H696" s="1">
        <v>0</v>
      </c>
      <c r="I696" s="1">
        <v>46514</v>
      </c>
      <c r="J696">
        <v>46230</v>
      </c>
      <c r="K696" s="1"/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>
        <v>31.32</v>
      </c>
      <c r="BF696" s="3" t="str">
        <f>+IF(AVANCE[[#This Row],[% AVANCE]]=100%,"MODULO TERMINADO",IF(AVANCE[[#This Row],[FECHA INICIO REAL]]="","MODULO NO INICIADO","PENDIENTE"))</f>
        <v>MODULO NO INICIADO</v>
      </c>
      <c r="BG696" s="3">
        <f>+IF(AVANCE[[#This Row],[VENTANAS]]=8.10810810810811%,100%,AVANCE[[#This Row],[VENTANAS]])</f>
        <v>0</v>
      </c>
      <c r="BH696" s="3">
        <f>+IF(AVANCE[[#This Row],[PISO]]=N$2,100%,AVANCE[[#This Row],[PISO]])</f>
        <v>0</v>
      </c>
      <c r="BI696" s="3">
        <f>+IF(AVANCE[[#This Row],[TABIQUES]]=O$2,100%,AVANCE[[#This Row],[TABIQUES]])</f>
        <v>0</v>
      </c>
      <c r="BJ696" s="3">
        <f>+IF(AVANCE[[#This Row],[MUROS]]=P$2,100%,AVANCE[[#This Row],[MUROS]])</f>
        <v>0</v>
      </c>
      <c r="BK696" s="3">
        <f>+IF(AVANCE[[#This Row],[CIELO]]=Q$2,100%,AVANCE[[#This Row],[CIELO]])</f>
        <v>0</v>
      </c>
      <c r="BL696" s="3">
        <f>+IF(AVANCE[[#This Row],[BALCÓN]]=R$2,100%,AVANCE[[#This Row],[BALCÓN]])</f>
        <v>0</v>
      </c>
      <c r="BM696" s="3">
        <f>+IF(AVANCE[[#This Row],[RED ALCANTARILLADO]]=U$2,100%,AVANCE[[#This Row],[RED ALCANTARILLADO]])</f>
        <v>0</v>
      </c>
      <c r="BN696" s="3">
        <f>+IF(AVANCE[[#This Row],[RED DE AGUA]]=V$2,100%,AVANCE[[#This Row],[RED DE AGUA]])</f>
        <v>0</v>
      </c>
      <c r="BO696" s="3">
        <f>+IF(AVANCE[[#This Row],[VENTILACIONES]]=W$2,100%,AVANCE[[#This Row],[VENTILACIONES]])</f>
        <v>0</v>
      </c>
      <c r="BP696" s="3">
        <f>+IF(AVANCE[[#This Row],[TINA]]=X$2,100%,AVANCE[[#This Row],[TINA]])</f>
        <v>0</v>
      </c>
      <c r="BQ696" s="3">
        <f>+IF(AVANCE[[#This Row],[WC]]=Y$2,100%,AVANCE[[#This Row],[WC]])</f>
        <v>0</v>
      </c>
      <c r="BR696" s="3">
        <f>+IF(AVANCE[[#This Row],[LAVAMANOS / LAVAPLATOS / LAVADERO]]=Z$2,100%,AVANCE[[#This Row],[LAVAMANOS / LAVAPLATOS / LAVADERO]])</f>
        <v>0</v>
      </c>
      <c r="BS696" s="3">
        <f>+IF(AVANCE[[#This Row],[CANALIZACIÓN]]=AC$2,100%,AVANCE[[#This Row],[CANALIZACIÓN]])</f>
        <v>0</v>
      </c>
      <c r="BT696" s="3">
        <f>+IF(AVANCE[[#This Row],[CABLEADO]]=AD$2,100%,AVANCE[[#This Row],[CABLEADO]])</f>
        <v>0</v>
      </c>
      <c r="BU696" s="3">
        <f>+IF(AVANCE[[#This Row],[ARTEFACTOS]]=AE$2,100%,AVANCE[[#This Row],[ARTEFACTOS]])</f>
        <v>0</v>
      </c>
      <c r="BV696" s="3">
        <f>+IF(AVANCE[[#This Row],[TABLERO]]=AF$2,100%,AVANCE[[#This Row],[TABLERO]])</f>
        <v>0</v>
      </c>
      <c r="BW696" s="3">
        <f>+IF(AVANCE[[#This Row],[CAJA PAU]]=AG$2,100%,AVANCE[[#This Row],[CAJA PAU]])</f>
        <v>0</v>
      </c>
      <c r="BX696" s="3">
        <f>+IF(AVANCE[[#This Row],[INSTALACION VINILICO]]=AJ$2,100%,AVANCE[[#This Row],[INSTALACION VINILICO]])</f>
        <v>0</v>
      </c>
      <c r="BY696" s="3">
        <f>+IF(AVANCE[[#This Row],[OSB CUBIERTA]]=AK$2,100%,AVANCE[[#This Row],[OSB CUBIERTA]])</f>
        <v>0</v>
      </c>
      <c r="BZ696" s="3">
        <f>+IF(AVANCE[[#This Row],[BARANDA BALCON]]=AL$2,100%,AVANCE[[#This Row],[BARANDA BALCON]])</f>
        <v>0</v>
      </c>
      <c r="CA696" s="3">
        <f>+IF(AVANCE[[#This Row],[OSB EXTERIOR]]=AM$2,100%,AVANCE[[#This Row],[OSB EXTERIOR]])</f>
        <v>0</v>
      </c>
      <c r="CB696" s="3">
        <f>+IF(AVANCE[[#This Row],[SMART PANEL]]=AN$2,100%,AVANCE[[#This Row],[SMART PANEL]])</f>
        <v>0</v>
      </c>
      <c r="CC696" s="3">
        <f>+IF(AVANCE[[#This Row],[PINTURA EXTERIOR]]=AO$2,100%,AVANCE[[#This Row],[PINTURA EXTERIOR]])</f>
        <v>0</v>
      </c>
      <c r="CD696" s="3">
        <f>+IF(AVANCE[[#This Row],[ZOCALOS LOGIA]]=AP$2,100%,AVANCE[[#This Row],[ZOCALOS LOGIA]])</f>
        <v>0</v>
      </c>
      <c r="CE696" s="3">
        <f>+IF(AVANCE[[#This Row],[MOLDURAS]]=AQ$2,100%,AVANCE[[#This Row],[MOLDURAS]])</f>
        <v>0</v>
      </c>
      <c r="CF696" s="3">
        <f>+IF(AVANCE[[#This Row],[PILASTREO]]=AR$2,100%,AVANCE[[#This Row],[PILASTREO]])</f>
        <v>0</v>
      </c>
      <c r="CG696" s="3">
        <f>+IF(AVANCE[[#This Row],[CELOSIAS]]=AS$2,100%,AVANCE[[#This Row],[CELOSIAS]])</f>
        <v>0</v>
      </c>
      <c r="CH696" s="3">
        <f>+IF(AVANCE[[#This Row],[VENTANAS]]=AT$2,100%,AVANCE[[#This Row],[VENTANAS]])</f>
        <v>0</v>
      </c>
      <c r="CI696" s="3">
        <f>+IF(AVANCE[[#This Row],[PUERTAS ACCESO - LOGIA - BANO]]=AU$2,100%,AVANCE[[#This Row],[PUERTAS ACCESO - LOGIA - BANO]])</f>
        <v>0</v>
      </c>
      <c r="CJ696" s="3">
        <f>+IF(AVANCE[[#This Row],[CERRADURAS]]=AV$2,100%,AVANCE[[#This Row],[CERRADURAS]])</f>
        <v>0</v>
      </c>
      <c r="CK696" s="3">
        <f>+IF(AVANCE[[#This Row],[REVESTIMIENTO INTERIOR ZONA SECA]]=AW$2,100%,AVANCE[[#This Row],[REVESTIMIENTO INTERIOR ZONA SECA]])</f>
        <v>0</v>
      </c>
      <c r="CL696" s="3">
        <f>+IF(AVANCE[[#This Row],[REVESTIMIENTO INTERIOR ZONAS HUMEDAS]]=AX$2,100%,AVANCE[[#This Row],[REVESTIMIENTO INTERIOR ZONAS HUMEDAS]])</f>
        <v>0</v>
      </c>
      <c r="CM696" s="3">
        <f>+IF(AVANCE[[#This Row],[MEMBRANA CIELO]]=AY$2,100%,AVANCE[[#This Row],[MEMBRANA CIELO]])</f>
        <v>0</v>
      </c>
      <c r="CN696" s="3">
        <f>+IF(AVANCE[[#This Row],[LIMPIEZA FINAL]]=AZ$2,100%,AVANCE[[#This Row],[LIMPIEZA FINAL]])</f>
        <v>0</v>
      </c>
      <c r="CO696" s="3">
        <f>+IF(AVANCE[[#This Row],[PUERTAS DORMITORIO]]=BA$2,100%,AVANCE[[#This Row],[PUERTAS DORMITORIO]])</f>
        <v>0</v>
      </c>
      <c r="CP696" s="3">
        <f>+IF(AVANCE[[#This Row],[REVESTIMIENTO INTERIOR BANO]]=BB$2,100%,AVANCE[[#This Row],[REVESTIMIENTO INTERIOR BANO]])</f>
        <v>0</v>
      </c>
      <c r="CQ696" s="3">
        <f>+IF(AVANCE[[#This Row],[MUEBLE LAVAPLATOS]]=BC$2,100%,AVANCE[[#This Row],[MUEBLE LAVAPLATOS]])</f>
        <v>0</v>
      </c>
      <c r="CR696" s="3">
        <f>+IF(AVANCE[[#This Row],[IMPERMEABILIZACION BANO - COCINA LOGIA]]=BD$2,100%,AVANCE[[#This Row],[IMPERMEABILIZACION BANO - COCINA LOGIA]])</f>
        <v>0</v>
      </c>
      <c r="CS696" s="40">
        <f ca="1">+IF(AVANCE[[#This Row],[ESTADO MODULO]]="PENDIENTE",(TODAY()-AVANCE[[#This Row],[FECHA TERMINO  PLANIFICADO]]),0)</f>
        <v>0</v>
      </c>
      <c r="CT696" s="41" t="str" cm="1">
        <f t="array" ref="CT696">_xlfn.TEXTJOIN(" | ",TRUE,IF(SUMPRODUCT((BG696:CR696&lt;1)*(PARTIDAS!$I$2:$AT$2="OBRA GRUESA"))&gt;0,"OBRA GRUESA: "&amp;_xlfn.TEXTJOIN(", ",TRUE,IF((BG696:CR696&lt;1)*(PARTIDAS!$I$2:$AT$2="OBRA GRUESA"),PARTIDAS!$I$1:$AT$1,"")),""),IF(SUMPRODUCT((BG696:CR696&lt;1)*(PARTIDAS!$I$2:$AT$2="SANITARIOS"))&gt;0,"SANITARIOS: "&amp;_xlfn.TEXTJOIN(", ",TRUE,IF((BG696:CR696&lt;1)*(PARTIDAS!$I$2:$AT$2="SANITARIOS"),PARTIDAS!$I$1:$AT$1,"")),""),IF(SUMPRODUCT((BG696:CR696&lt;1)*(PARTIDAS!$I$2:$AT$2="ELÉCTRICO"))&gt;0,"ELÉCTRICO: "&amp;_xlfn.TEXTJOIN(", ",TRUE,IF((BG696:CR696&lt;1)*(PARTIDAS!$I$2:$AT$2="ELÉCTRICO"),PARTIDAS!$I$1:$AT$1,"")),""),IF(SUMPRODUCT((BG696:CR696&lt;1)*(PARTIDAS!$I$2:$AT$2="TERMINACIONES"))&gt;0,"TERMINACIONES: "&amp;_xlfn.TEXTJOIN(", ",TRUE,IF((BG696:CR696&lt;1)*(PARTIDAS!$I$2:$AT$2="TERMINACIONES"),PARTIDAS!$I$1:$AT$1,"")),""))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6" s="43" t="str" cm="1">
        <f t="array" ref="CU696">_xlfn.TEXTJOIN(", ",TRUE,IF(SUMPRODUCT((BG696:CR696&lt;1)*(PARTIDAS!$I$2:$AT$2="OBRA GRUESA"))&gt;0,"OBRA GRUESA",""),IF(SUMPRODUCT((BG696:CR696&lt;1)*(PARTIDAS!$I$2:$AT$2="SANITARIOS"))&gt;0,"SANITARIOS",""),IF(SUMPRODUCT((BG696:CR696&lt;1)*(PARTIDAS!$I$2:$AT$2="ELÉCTRICO"))&gt;0,"ELÉCTRICO",""),IF(SUMPRODUCT((BG696:CR696&lt;1)*(PARTIDAS!$I$2:$AT$2="TERMINACIONES"))&gt;0,"TERMINACIONES",""))</f>
        <v>OBRA GRUESA, SANITARIOS, ELÉCTRICO, TERMINACIONES</v>
      </c>
      <c r="CV696" s="44" cm="1">
        <f t="array" ref="CV696">SUMPRODUCT(--(BG696:CR696&lt;1))</f>
        <v>38</v>
      </c>
    </row>
    <row r="697" spans="1:100" hidden="1" x14ac:dyDescent="0.25">
      <c r="A697" t="s">
        <v>751</v>
      </c>
      <c r="B697" t="s">
        <v>775</v>
      </c>
      <c r="C697">
        <v>2282600696</v>
      </c>
      <c r="D697" t="s">
        <v>58</v>
      </c>
      <c r="E697" s="2">
        <v>0</v>
      </c>
      <c r="F697" s="1">
        <v>46484</v>
      </c>
      <c r="G697" s="1"/>
      <c r="H697" s="1">
        <v>0</v>
      </c>
      <c r="I697" s="1">
        <v>46504</v>
      </c>
      <c r="J697">
        <v>46230</v>
      </c>
      <c r="K697" s="1"/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>
        <v>28.87</v>
      </c>
      <c r="BF697" s="3" t="str">
        <f>+IF(AVANCE[[#This Row],[% AVANCE]]=100%,"MODULO TERMINADO",IF(AVANCE[[#This Row],[FECHA INICIO REAL]]="","MODULO NO INICIADO","PENDIENTE"))</f>
        <v>MODULO NO INICIADO</v>
      </c>
      <c r="BG697" s="3">
        <f>+IF(AVANCE[[#This Row],[VENTANAS]]=8.10810810810811%,100%,AVANCE[[#This Row],[VENTANAS]])</f>
        <v>0</v>
      </c>
      <c r="BH697" s="3">
        <f>+IF(AVANCE[[#This Row],[PISO]]=N$2,100%,AVANCE[[#This Row],[PISO]])</f>
        <v>0</v>
      </c>
      <c r="BI697" s="3">
        <f>+IF(AVANCE[[#This Row],[TABIQUES]]=O$2,100%,AVANCE[[#This Row],[TABIQUES]])</f>
        <v>0</v>
      </c>
      <c r="BJ697" s="3">
        <f>+IF(AVANCE[[#This Row],[MUROS]]=P$2,100%,AVANCE[[#This Row],[MUROS]])</f>
        <v>0</v>
      </c>
      <c r="BK697" s="3">
        <f>+IF(AVANCE[[#This Row],[CIELO]]=Q$2,100%,AVANCE[[#This Row],[CIELO]])</f>
        <v>0</v>
      </c>
      <c r="BL697" s="3">
        <f>+IF(AVANCE[[#This Row],[BALCÓN]]=R$2,100%,AVANCE[[#This Row],[BALCÓN]])</f>
        <v>0</v>
      </c>
      <c r="BM697" s="3">
        <f>+IF(AVANCE[[#This Row],[RED ALCANTARILLADO]]=U$2,100%,AVANCE[[#This Row],[RED ALCANTARILLADO]])</f>
        <v>0</v>
      </c>
      <c r="BN697" s="3">
        <f>+IF(AVANCE[[#This Row],[RED DE AGUA]]=V$2,100%,AVANCE[[#This Row],[RED DE AGUA]])</f>
        <v>0</v>
      </c>
      <c r="BO697" s="3">
        <f>+IF(AVANCE[[#This Row],[VENTILACIONES]]=W$2,100%,AVANCE[[#This Row],[VENTILACIONES]])</f>
        <v>0</v>
      </c>
      <c r="BP697" s="3">
        <f>+IF(AVANCE[[#This Row],[TINA]]=X$2,100%,AVANCE[[#This Row],[TINA]])</f>
        <v>0</v>
      </c>
      <c r="BQ697" s="3">
        <f>+IF(AVANCE[[#This Row],[WC]]=Y$2,100%,AVANCE[[#This Row],[WC]])</f>
        <v>0</v>
      </c>
      <c r="BR697" s="3">
        <f>+IF(AVANCE[[#This Row],[LAVAMANOS / LAVAPLATOS / LAVADERO]]=Z$2,100%,AVANCE[[#This Row],[LAVAMANOS / LAVAPLATOS / LAVADERO]])</f>
        <v>0</v>
      </c>
      <c r="BS697" s="3">
        <f>+IF(AVANCE[[#This Row],[CANALIZACIÓN]]=AC$2,100%,AVANCE[[#This Row],[CANALIZACIÓN]])</f>
        <v>0</v>
      </c>
      <c r="BT697" s="3">
        <f>+IF(AVANCE[[#This Row],[CABLEADO]]=AD$2,100%,AVANCE[[#This Row],[CABLEADO]])</f>
        <v>0</v>
      </c>
      <c r="BU697" s="3">
        <f>+IF(AVANCE[[#This Row],[ARTEFACTOS]]=AE$2,100%,AVANCE[[#This Row],[ARTEFACTOS]])</f>
        <v>0</v>
      </c>
      <c r="BV697" s="3">
        <f>+IF(AVANCE[[#This Row],[TABLERO]]=AF$2,100%,AVANCE[[#This Row],[TABLERO]])</f>
        <v>0</v>
      </c>
      <c r="BW697" s="3">
        <f>+IF(AVANCE[[#This Row],[CAJA PAU]]=AG$2,100%,AVANCE[[#This Row],[CAJA PAU]])</f>
        <v>0</v>
      </c>
      <c r="BX697" s="3">
        <f>+IF(AVANCE[[#This Row],[INSTALACION VINILICO]]=AJ$2,100%,AVANCE[[#This Row],[INSTALACION VINILICO]])</f>
        <v>0</v>
      </c>
      <c r="BY697" s="3">
        <f>+IF(AVANCE[[#This Row],[OSB CUBIERTA]]=AK$2,100%,AVANCE[[#This Row],[OSB CUBIERTA]])</f>
        <v>0</v>
      </c>
      <c r="BZ697" s="3">
        <f>+IF(AVANCE[[#This Row],[BARANDA BALCON]]=AL$2,100%,AVANCE[[#This Row],[BARANDA BALCON]])</f>
        <v>0</v>
      </c>
      <c r="CA697" s="3">
        <f>+IF(AVANCE[[#This Row],[OSB EXTERIOR]]=AM$2,100%,AVANCE[[#This Row],[OSB EXTERIOR]])</f>
        <v>0</v>
      </c>
      <c r="CB697" s="3">
        <f>+IF(AVANCE[[#This Row],[SMART PANEL]]=AN$2,100%,AVANCE[[#This Row],[SMART PANEL]])</f>
        <v>0</v>
      </c>
      <c r="CC697" s="3">
        <f>+IF(AVANCE[[#This Row],[PINTURA EXTERIOR]]=AO$2,100%,AVANCE[[#This Row],[PINTURA EXTERIOR]])</f>
        <v>0</v>
      </c>
      <c r="CD697" s="3">
        <f>+IF(AVANCE[[#This Row],[ZOCALOS LOGIA]]=AP$2,100%,AVANCE[[#This Row],[ZOCALOS LOGIA]])</f>
        <v>0</v>
      </c>
      <c r="CE697" s="3">
        <f>+IF(AVANCE[[#This Row],[MOLDURAS]]=AQ$2,100%,AVANCE[[#This Row],[MOLDURAS]])</f>
        <v>0</v>
      </c>
      <c r="CF697" s="3">
        <f>+IF(AVANCE[[#This Row],[PILASTREO]]=AR$2,100%,AVANCE[[#This Row],[PILASTREO]])</f>
        <v>0</v>
      </c>
      <c r="CG697" s="3">
        <f>+IF(AVANCE[[#This Row],[CELOSIAS]]=AS$2,100%,AVANCE[[#This Row],[CELOSIAS]])</f>
        <v>0</v>
      </c>
      <c r="CH697" s="3">
        <f>+IF(AVANCE[[#This Row],[VENTANAS]]=AT$2,100%,AVANCE[[#This Row],[VENTANAS]])</f>
        <v>0</v>
      </c>
      <c r="CI697" s="3">
        <f>+IF(AVANCE[[#This Row],[PUERTAS ACCESO - LOGIA - BANO]]=AU$2,100%,AVANCE[[#This Row],[PUERTAS ACCESO - LOGIA - BANO]])</f>
        <v>0</v>
      </c>
      <c r="CJ697" s="3">
        <f>+IF(AVANCE[[#This Row],[CERRADURAS]]=AV$2,100%,AVANCE[[#This Row],[CERRADURAS]])</f>
        <v>0</v>
      </c>
      <c r="CK697" s="3">
        <f>+IF(AVANCE[[#This Row],[REVESTIMIENTO INTERIOR ZONA SECA]]=AW$2,100%,AVANCE[[#This Row],[REVESTIMIENTO INTERIOR ZONA SECA]])</f>
        <v>0</v>
      </c>
      <c r="CL697" s="3">
        <f>+IF(AVANCE[[#This Row],[REVESTIMIENTO INTERIOR ZONAS HUMEDAS]]=AX$2,100%,AVANCE[[#This Row],[REVESTIMIENTO INTERIOR ZONAS HUMEDAS]])</f>
        <v>0</v>
      </c>
      <c r="CM697" s="3">
        <f>+IF(AVANCE[[#This Row],[MEMBRANA CIELO]]=AY$2,100%,AVANCE[[#This Row],[MEMBRANA CIELO]])</f>
        <v>0</v>
      </c>
      <c r="CN697" s="3">
        <f>+IF(AVANCE[[#This Row],[LIMPIEZA FINAL]]=AZ$2,100%,AVANCE[[#This Row],[LIMPIEZA FINAL]])</f>
        <v>0</v>
      </c>
      <c r="CO697" s="3">
        <f>+IF(AVANCE[[#This Row],[PUERTAS DORMITORIO]]=BA$2,100%,AVANCE[[#This Row],[PUERTAS DORMITORIO]])</f>
        <v>0</v>
      </c>
      <c r="CP697" s="3">
        <f>+IF(AVANCE[[#This Row],[REVESTIMIENTO INTERIOR BANO]]=BB$2,100%,AVANCE[[#This Row],[REVESTIMIENTO INTERIOR BANO]])</f>
        <v>0</v>
      </c>
      <c r="CQ697" s="3">
        <f>+IF(AVANCE[[#This Row],[MUEBLE LAVAPLATOS]]=BC$2,100%,AVANCE[[#This Row],[MUEBLE LAVAPLATOS]])</f>
        <v>0</v>
      </c>
      <c r="CR697" s="3">
        <f>+IF(AVANCE[[#This Row],[IMPERMEABILIZACION BANO - COCINA LOGIA]]=BD$2,100%,AVANCE[[#This Row],[IMPERMEABILIZACION BANO - COCINA LOGIA]])</f>
        <v>0</v>
      </c>
      <c r="CS697" s="40">
        <f ca="1">+IF(AVANCE[[#This Row],[ESTADO MODULO]]="PENDIENTE",(TODAY()-AVANCE[[#This Row],[FECHA TERMINO  PLANIFICADO]]),0)</f>
        <v>0</v>
      </c>
      <c r="CT697" s="41" t="str" cm="1">
        <f t="array" ref="CT697">_xlfn.TEXTJOIN(" | ",TRUE,IF(SUMPRODUCT((BG697:CR697&lt;1)*(PARTIDAS!$I$2:$AT$2="OBRA GRUESA"))&gt;0,"OBRA GRUESA: "&amp;_xlfn.TEXTJOIN(", ",TRUE,IF((BG697:CR697&lt;1)*(PARTIDAS!$I$2:$AT$2="OBRA GRUESA"),PARTIDAS!$I$1:$AT$1,"")),""),IF(SUMPRODUCT((BG697:CR697&lt;1)*(PARTIDAS!$I$2:$AT$2="SANITARIOS"))&gt;0,"SANITARIOS: "&amp;_xlfn.TEXTJOIN(", ",TRUE,IF((BG697:CR697&lt;1)*(PARTIDAS!$I$2:$AT$2="SANITARIOS"),PARTIDAS!$I$1:$AT$1,"")),""),IF(SUMPRODUCT((BG697:CR697&lt;1)*(PARTIDAS!$I$2:$AT$2="ELÉCTRICO"))&gt;0,"ELÉCTRICO: "&amp;_xlfn.TEXTJOIN(", ",TRUE,IF((BG697:CR697&lt;1)*(PARTIDAS!$I$2:$AT$2="ELÉCTRICO"),PARTIDAS!$I$1:$AT$1,"")),""),IF(SUMPRODUCT((BG697:CR697&lt;1)*(PARTIDAS!$I$2:$AT$2="TERMINACIONES"))&gt;0,"TERMINACIONES: "&amp;_xlfn.TEXTJOIN(", ",TRUE,IF((BG697:CR697&lt;1)*(PARTIDAS!$I$2:$AT$2="TERMINACIONES"),PARTIDAS!$I$1:$AT$1,"")),""))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7" s="43" t="str" cm="1">
        <f t="array" ref="CU697">_xlfn.TEXTJOIN(", ",TRUE,IF(SUMPRODUCT((BG697:CR697&lt;1)*(PARTIDAS!$I$2:$AT$2="OBRA GRUESA"))&gt;0,"OBRA GRUESA",""),IF(SUMPRODUCT((BG697:CR697&lt;1)*(PARTIDAS!$I$2:$AT$2="SANITARIOS"))&gt;0,"SANITARIOS",""),IF(SUMPRODUCT((BG697:CR697&lt;1)*(PARTIDAS!$I$2:$AT$2="ELÉCTRICO"))&gt;0,"ELÉCTRICO",""),IF(SUMPRODUCT((BG697:CR697&lt;1)*(PARTIDAS!$I$2:$AT$2="TERMINACIONES"))&gt;0,"TERMINACIONES",""))</f>
        <v>OBRA GRUESA, SANITARIOS, ELÉCTRICO, TERMINACIONES</v>
      </c>
      <c r="CV697" s="44" cm="1">
        <f t="array" ref="CV697">SUMPRODUCT(--(BG697:CR697&lt;1))</f>
        <v>38</v>
      </c>
    </row>
    <row r="698" spans="1:100" hidden="1" x14ac:dyDescent="0.25">
      <c r="A698" t="s">
        <v>751</v>
      </c>
      <c r="B698" t="s">
        <v>776</v>
      </c>
      <c r="C698">
        <v>2282600697</v>
      </c>
      <c r="D698" t="s">
        <v>58</v>
      </c>
      <c r="E698" s="2">
        <v>0</v>
      </c>
      <c r="F698" s="1">
        <v>46484</v>
      </c>
      <c r="G698" s="1"/>
      <c r="H698" s="1">
        <v>0</v>
      </c>
      <c r="I698" s="1">
        <v>46504</v>
      </c>
      <c r="J698">
        <v>46230</v>
      </c>
      <c r="K698" s="1"/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>
        <v>28.87</v>
      </c>
      <c r="BF698" s="3" t="str">
        <f>+IF(AVANCE[[#This Row],[% AVANCE]]=100%,"MODULO TERMINADO",IF(AVANCE[[#This Row],[FECHA INICIO REAL]]="","MODULO NO INICIADO","PENDIENTE"))</f>
        <v>MODULO NO INICIADO</v>
      </c>
      <c r="BG698" s="3">
        <f>+IF(AVANCE[[#This Row],[VENTANAS]]=8.10810810810811%,100%,AVANCE[[#This Row],[VENTANAS]])</f>
        <v>0</v>
      </c>
      <c r="BH698" s="3">
        <f>+IF(AVANCE[[#This Row],[PISO]]=N$2,100%,AVANCE[[#This Row],[PISO]])</f>
        <v>0</v>
      </c>
      <c r="BI698" s="3">
        <f>+IF(AVANCE[[#This Row],[TABIQUES]]=O$2,100%,AVANCE[[#This Row],[TABIQUES]])</f>
        <v>0</v>
      </c>
      <c r="BJ698" s="3">
        <f>+IF(AVANCE[[#This Row],[MUROS]]=P$2,100%,AVANCE[[#This Row],[MUROS]])</f>
        <v>0</v>
      </c>
      <c r="BK698" s="3">
        <f>+IF(AVANCE[[#This Row],[CIELO]]=Q$2,100%,AVANCE[[#This Row],[CIELO]])</f>
        <v>0</v>
      </c>
      <c r="BL698" s="3">
        <f>+IF(AVANCE[[#This Row],[BALCÓN]]=R$2,100%,AVANCE[[#This Row],[BALCÓN]])</f>
        <v>0</v>
      </c>
      <c r="BM698" s="3">
        <f>+IF(AVANCE[[#This Row],[RED ALCANTARILLADO]]=U$2,100%,AVANCE[[#This Row],[RED ALCANTARILLADO]])</f>
        <v>0</v>
      </c>
      <c r="BN698" s="3">
        <f>+IF(AVANCE[[#This Row],[RED DE AGUA]]=V$2,100%,AVANCE[[#This Row],[RED DE AGUA]])</f>
        <v>0</v>
      </c>
      <c r="BO698" s="3">
        <f>+IF(AVANCE[[#This Row],[VENTILACIONES]]=W$2,100%,AVANCE[[#This Row],[VENTILACIONES]])</f>
        <v>0</v>
      </c>
      <c r="BP698" s="3">
        <f>+IF(AVANCE[[#This Row],[TINA]]=X$2,100%,AVANCE[[#This Row],[TINA]])</f>
        <v>0</v>
      </c>
      <c r="BQ698" s="3">
        <f>+IF(AVANCE[[#This Row],[WC]]=Y$2,100%,AVANCE[[#This Row],[WC]])</f>
        <v>0</v>
      </c>
      <c r="BR698" s="3">
        <f>+IF(AVANCE[[#This Row],[LAVAMANOS / LAVAPLATOS / LAVADERO]]=Z$2,100%,AVANCE[[#This Row],[LAVAMANOS / LAVAPLATOS / LAVADERO]])</f>
        <v>0</v>
      </c>
      <c r="BS698" s="3">
        <f>+IF(AVANCE[[#This Row],[CANALIZACIÓN]]=AC$2,100%,AVANCE[[#This Row],[CANALIZACIÓN]])</f>
        <v>0</v>
      </c>
      <c r="BT698" s="3">
        <f>+IF(AVANCE[[#This Row],[CABLEADO]]=AD$2,100%,AVANCE[[#This Row],[CABLEADO]])</f>
        <v>0</v>
      </c>
      <c r="BU698" s="3">
        <f>+IF(AVANCE[[#This Row],[ARTEFACTOS]]=AE$2,100%,AVANCE[[#This Row],[ARTEFACTOS]])</f>
        <v>0</v>
      </c>
      <c r="BV698" s="3">
        <f>+IF(AVANCE[[#This Row],[TABLERO]]=AF$2,100%,AVANCE[[#This Row],[TABLERO]])</f>
        <v>0</v>
      </c>
      <c r="BW698" s="3">
        <f>+IF(AVANCE[[#This Row],[CAJA PAU]]=AG$2,100%,AVANCE[[#This Row],[CAJA PAU]])</f>
        <v>0</v>
      </c>
      <c r="BX698" s="3">
        <f>+IF(AVANCE[[#This Row],[INSTALACION VINILICO]]=AJ$2,100%,AVANCE[[#This Row],[INSTALACION VINILICO]])</f>
        <v>0</v>
      </c>
      <c r="BY698" s="3">
        <f>+IF(AVANCE[[#This Row],[OSB CUBIERTA]]=AK$2,100%,AVANCE[[#This Row],[OSB CUBIERTA]])</f>
        <v>0</v>
      </c>
      <c r="BZ698" s="3">
        <f>+IF(AVANCE[[#This Row],[BARANDA BALCON]]=AL$2,100%,AVANCE[[#This Row],[BARANDA BALCON]])</f>
        <v>0</v>
      </c>
      <c r="CA698" s="3">
        <f>+IF(AVANCE[[#This Row],[OSB EXTERIOR]]=AM$2,100%,AVANCE[[#This Row],[OSB EXTERIOR]])</f>
        <v>0</v>
      </c>
      <c r="CB698" s="3">
        <f>+IF(AVANCE[[#This Row],[SMART PANEL]]=AN$2,100%,AVANCE[[#This Row],[SMART PANEL]])</f>
        <v>0</v>
      </c>
      <c r="CC698" s="3">
        <f>+IF(AVANCE[[#This Row],[PINTURA EXTERIOR]]=AO$2,100%,AVANCE[[#This Row],[PINTURA EXTERIOR]])</f>
        <v>0</v>
      </c>
      <c r="CD698" s="3">
        <f>+IF(AVANCE[[#This Row],[ZOCALOS LOGIA]]=AP$2,100%,AVANCE[[#This Row],[ZOCALOS LOGIA]])</f>
        <v>0</v>
      </c>
      <c r="CE698" s="3">
        <f>+IF(AVANCE[[#This Row],[MOLDURAS]]=AQ$2,100%,AVANCE[[#This Row],[MOLDURAS]])</f>
        <v>0</v>
      </c>
      <c r="CF698" s="3">
        <f>+IF(AVANCE[[#This Row],[PILASTREO]]=AR$2,100%,AVANCE[[#This Row],[PILASTREO]])</f>
        <v>0</v>
      </c>
      <c r="CG698" s="3">
        <f>+IF(AVANCE[[#This Row],[CELOSIAS]]=AS$2,100%,AVANCE[[#This Row],[CELOSIAS]])</f>
        <v>0</v>
      </c>
      <c r="CH698" s="3">
        <f>+IF(AVANCE[[#This Row],[VENTANAS]]=AT$2,100%,AVANCE[[#This Row],[VENTANAS]])</f>
        <v>0</v>
      </c>
      <c r="CI698" s="3">
        <f>+IF(AVANCE[[#This Row],[PUERTAS ACCESO - LOGIA - BANO]]=AU$2,100%,AVANCE[[#This Row],[PUERTAS ACCESO - LOGIA - BANO]])</f>
        <v>0</v>
      </c>
      <c r="CJ698" s="3">
        <f>+IF(AVANCE[[#This Row],[CERRADURAS]]=AV$2,100%,AVANCE[[#This Row],[CERRADURAS]])</f>
        <v>0</v>
      </c>
      <c r="CK698" s="3">
        <f>+IF(AVANCE[[#This Row],[REVESTIMIENTO INTERIOR ZONA SECA]]=AW$2,100%,AVANCE[[#This Row],[REVESTIMIENTO INTERIOR ZONA SECA]])</f>
        <v>0</v>
      </c>
      <c r="CL698" s="3">
        <f>+IF(AVANCE[[#This Row],[REVESTIMIENTO INTERIOR ZONAS HUMEDAS]]=AX$2,100%,AVANCE[[#This Row],[REVESTIMIENTO INTERIOR ZONAS HUMEDAS]])</f>
        <v>0</v>
      </c>
      <c r="CM698" s="3">
        <f>+IF(AVANCE[[#This Row],[MEMBRANA CIELO]]=AY$2,100%,AVANCE[[#This Row],[MEMBRANA CIELO]])</f>
        <v>0</v>
      </c>
      <c r="CN698" s="3">
        <f>+IF(AVANCE[[#This Row],[LIMPIEZA FINAL]]=AZ$2,100%,AVANCE[[#This Row],[LIMPIEZA FINAL]])</f>
        <v>0</v>
      </c>
      <c r="CO698" s="3">
        <f>+IF(AVANCE[[#This Row],[PUERTAS DORMITORIO]]=BA$2,100%,AVANCE[[#This Row],[PUERTAS DORMITORIO]])</f>
        <v>0</v>
      </c>
      <c r="CP698" s="3">
        <f>+IF(AVANCE[[#This Row],[REVESTIMIENTO INTERIOR BANO]]=BB$2,100%,AVANCE[[#This Row],[REVESTIMIENTO INTERIOR BANO]])</f>
        <v>0</v>
      </c>
      <c r="CQ698" s="3">
        <f>+IF(AVANCE[[#This Row],[MUEBLE LAVAPLATOS]]=BC$2,100%,AVANCE[[#This Row],[MUEBLE LAVAPLATOS]])</f>
        <v>0</v>
      </c>
      <c r="CR698" s="3">
        <f>+IF(AVANCE[[#This Row],[IMPERMEABILIZACION BANO - COCINA LOGIA]]=BD$2,100%,AVANCE[[#This Row],[IMPERMEABILIZACION BANO - COCINA LOGIA]])</f>
        <v>0</v>
      </c>
      <c r="CS698" s="40">
        <f ca="1">+IF(AVANCE[[#This Row],[ESTADO MODULO]]="PENDIENTE",(TODAY()-AVANCE[[#This Row],[FECHA TERMINO  PLANIFICADO]]),0)</f>
        <v>0</v>
      </c>
      <c r="CT698" s="41" t="str" cm="1">
        <f t="array" ref="CT698">_xlfn.TEXTJOIN(" | ",TRUE,IF(SUMPRODUCT((BG698:CR698&lt;1)*(PARTIDAS!$I$2:$AT$2="OBRA GRUESA"))&gt;0,"OBRA GRUESA: "&amp;_xlfn.TEXTJOIN(", ",TRUE,IF((BG698:CR698&lt;1)*(PARTIDAS!$I$2:$AT$2="OBRA GRUESA"),PARTIDAS!$I$1:$AT$1,"")),""),IF(SUMPRODUCT((BG698:CR698&lt;1)*(PARTIDAS!$I$2:$AT$2="SANITARIOS"))&gt;0,"SANITARIOS: "&amp;_xlfn.TEXTJOIN(", ",TRUE,IF((BG698:CR698&lt;1)*(PARTIDAS!$I$2:$AT$2="SANITARIOS"),PARTIDAS!$I$1:$AT$1,"")),""),IF(SUMPRODUCT((BG698:CR698&lt;1)*(PARTIDAS!$I$2:$AT$2="ELÉCTRICO"))&gt;0,"ELÉCTRICO: "&amp;_xlfn.TEXTJOIN(", ",TRUE,IF((BG698:CR698&lt;1)*(PARTIDAS!$I$2:$AT$2="ELÉCTRICO"),PARTIDAS!$I$1:$AT$1,"")),""),IF(SUMPRODUCT((BG698:CR698&lt;1)*(PARTIDAS!$I$2:$AT$2="TERMINACIONES"))&gt;0,"TERMINACIONES: "&amp;_xlfn.TEXTJOIN(", ",TRUE,IF((BG698:CR698&lt;1)*(PARTIDAS!$I$2:$AT$2="TERMINACIONES"),PARTIDAS!$I$1:$AT$1,"")),""))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8" s="43" t="str" cm="1">
        <f t="array" ref="CU698">_xlfn.TEXTJOIN(", ",TRUE,IF(SUMPRODUCT((BG698:CR698&lt;1)*(PARTIDAS!$I$2:$AT$2="OBRA GRUESA"))&gt;0,"OBRA GRUESA",""),IF(SUMPRODUCT((BG698:CR698&lt;1)*(PARTIDAS!$I$2:$AT$2="SANITARIOS"))&gt;0,"SANITARIOS",""),IF(SUMPRODUCT((BG698:CR698&lt;1)*(PARTIDAS!$I$2:$AT$2="ELÉCTRICO"))&gt;0,"ELÉCTRICO",""),IF(SUMPRODUCT((BG698:CR698&lt;1)*(PARTIDAS!$I$2:$AT$2="TERMINACIONES"))&gt;0,"TERMINACIONES",""))</f>
        <v>OBRA GRUESA, SANITARIOS, ELÉCTRICO, TERMINACIONES</v>
      </c>
      <c r="CV698" s="44" cm="1">
        <f t="array" ref="CV698">SUMPRODUCT(--(BG698:CR698&lt;1))</f>
        <v>38</v>
      </c>
    </row>
    <row r="699" spans="1:100" hidden="1" x14ac:dyDescent="0.25">
      <c r="A699" t="s">
        <v>751</v>
      </c>
      <c r="B699" t="s">
        <v>777</v>
      </c>
      <c r="C699">
        <v>2302600698</v>
      </c>
      <c r="D699" t="s">
        <v>60</v>
      </c>
      <c r="E699" s="2">
        <v>0</v>
      </c>
      <c r="F699" s="1">
        <v>46485</v>
      </c>
      <c r="G699" s="1"/>
      <c r="H699" s="1">
        <v>0</v>
      </c>
      <c r="I699" s="1">
        <v>46515</v>
      </c>
      <c r="J699">
        <v>46230</v>
      </c>
      <c r="K699" s="1"/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>
        <v>31.32</v>
      </c>
      <c r="BF699" s="3" t="str">
        <f>+IF(AVANCE[[#This Row],[% AVANCE]]=100%,"MODULO TERMINADO",IF(AVANCE[[#This Row],[FECHA INICIO REAL]]="","MODULO NO INICIADO","PENDIENTE"))</f>
        <v>MODULO NO INICIADO</v>
      </c>
      <c r="BG699" s="3">
        <f>+IF(AVANCE[[#This Row],[VENTANAS]]=8.10810810810811%,100%,AVANCE[[#This Row],[VENTANAS]])</f>
        <v>0</v>
      </c>
      <c r="BH699" s="3">
        <f>+IF(AVANCE[[#This Row],[PISO]]=N$2,100%,AVANCE[[#This Row],[PISO]])</f>
        <v>0</v>
      </c>
      <c r="BI699" s="3">
        <f>+IF(AVANCE[[#This Row],[TABIQUES]]=O$2,100%,AVANCE[[#This Row],[TABIQUES]])</f>
        <v>0</v>
      </c>
      <c r="BJ699" s="3">
        <f>+IF(AVANCE[[#This Row],[MUROS]]=P$2,100%,AVANCE[[#This Row],[MUROS]])</f>
        <v>0</v>
      </c>
      <c r="BK699" s="3">
        <f>+IF(AVANCE[[#This Row],[CIELO]]=Q$2,100%,AVANCE[[#This Row],[CIELO]])</f>
        <v>0</v>
      </c>
      <c r="BL699" s="3">
        <f>+IF(AVANCE[[#This Row],[BALCÓN]]=R$2,100%,AVANCE[[#This Row],[BALCÓN]])</f>
        <v>0</v>
      </c>
      <c r="BM699" s="3">
        <f>+IF(AVANCE[[#This Row],[RED ALCANTARILLADO]]=U$2,100%,AVANCE[[#This Row],[RED ALCANTARILLADO]])</f>
        <v>0</v>
      </c>
      <c r="BN699" s="3">
        <f>+IF(AVANCE[[#This Row],[RED DE AGUA]]=V$2,100%,AVANCE[[#This Row],[RED DE AGUA]])</f>
        <v>0</v>
      </c>
      <c r="BO699" s="3">
        <f>+IF(AVANCE[[#This Row],[VENTILACIONES]]=W$2,100%,AVANCE[[#This Row],[VENTILACIONES]])</f>
        <v>0</v>
      </c>
      <c r="BP699" s="3">
        <f>+IF(AVANCE[[#This Row],[TINA]]=X$2,100%,AVANCE[[#This Row],[TINA]])</f>
        <v>0</v>
      </c>
      <c r="BQ699" s="3">
        <f>+IF(AVANCE[[#This Row],[WC]]=Y$2,100%,AVANCE[[#This Row],[WC]])</f>
        <v>0</v>
      </c>
      <c r="BR699" s="3">
        <f>+IF(AVANCE[[#This Row],[LAVAMANOS / LAVAPLATOS / LAVADERO]]=Z$2,100%,AVANCE[[#This Row],[LAVAMANOS / LAVAPLATOS / LAVADERO]])</f>
        <v>0</v>
      </c>
      <c r="BS699" s="3">
        <f>+IF(AVANCE[[#This Row],[CANALIZACIÓN]]=AC$2,100%,AVANCE[[#This Row],[CANALIZACIÓN]])</f>
        <v>0</v>
      </c>
      <c r="BT699" s="3">
        <f>+IF(AVANCE[[#This Row],[CABLEADO]]=AD$2,100%,AVANCE[[#This Row],[CABLEADO]])</f>
        <v>0</v>
      </c>
      <c r="BU699" s="3">
        <f>+IF(AVANCE[[#This Row],[ARTEFACTOS]]=AE$2,100%,AVANCE[[#This Row],[ARTEFACTOS]])</f>
        <v>0</v>
      </c>
      <c r="BV699" s="3">
        <f>+IF(AVANCE[[#This Row],[TABLERO]]=AF$2,100%,AVANCE[[#This Row],[TABLERO]])</f>
        <v>0</v>
      </c>
      <c r="BW699" s="3">
        <f>+IF(AVANCE[[#This Row],[CAJA PAU]]=AG$2,100%,AVANCE[[#This Row],[CAJA PAU]])</f>
        <v>0</v>
      </c>
      <c r="BX699" s="3">
        <f>+IF(AVANCE[[#This Row],[INSTALACION VINILICO]]=AJ$2,100%,AVANCE[[#This Row],[INSTALACION VINILICO]])</f>
        <v>0</v>
      </c>
      <c r="BY699" s="3">
        <f>+IF(AVANCE[[#This Row],[OSB CUBIERTA]]=AK$2,100%,AVANCE[[#This Row],[OSB CUBIERTA]])</f>
        <v>0</v>
      </c>
      <c r="BZ699" s="3">
        <f>+IF(AVANCE[[#This Row],[BARANDA BALCON]]=AL$2,100%,AVANCE[[#This Row],[BARANDA BALCON]])</f>
        <v>0</v>
      </c>
      <c r="CA699" s="3">
        <f>+IF(AVANCE[[#This Row],[OSB EXTERIOR]]=AM$2,100%,AVANCE[[#This Row],[OSB EXTERIOR]])</f>
        <v>0</v>
      </c>
      <c r="CB699" s="3">
        <f>+IF(AVANCE[[#This Row],[SMART PANEL]]=AN$2,100%,AVANCE[[#This Row],[SMART PANEL]])</f>
        <v>0</v>
      </c>
      <c r="CC699" s="3">
        <f>+IF(AVANCE[[#This Row],[PINTURA EXTERIOR]]=AO$2,100%,AVANCE[[#This Row],[PINTURA EXTERIOR]])</f>
        <v>0</v>
      </c>
      <c r="CD699" s="3">
        <f>+IF(AVANCE[[#This Row],[ZOCALOS LOGIA]]=AP$2,100%,AVANCE[[#This Row],[ZOCALOS LOGIA]])</f>
        <v>0</v>
      </c>
      <c r="CE699" s="3">
        <f>+IF(AVANCE[[#This Row],[MOLDURAS]]=AQ$2,100%,AVANCE[[#This Row],[MOLDURAS]])</f>
        <v>0</v>
      </c>
      <c r="CF699" s="3">
        <f>+IF(AVANCE[[#This Row],[PILASTREO]]=AR$2,100%,AVANCE[[#This Row],[PILASTREO]])</f>
        <v>0</v>
      </c>
      <c r="CG699" s="3">
        <f>+IF(AVANCE[[#This Row],[CELOSIAS]]=AS$2,100%,AVANCE[[#This Row],[CELOSIAS]])</f>
        <v>0</v>
      </c>
      <c r="CH699" s="3">
        <f>+IF(AVANCE[[#This Row],[VENTANAS]]=AT$2,100%,AVANCE[[#This Row],[VENTANAS]])</f>
        <v>0</v>
      </c>
      <c r="CI699" s="3">
        <f>+IF(AVANCE[[#This Row],[PUERTAS ACCESO - LOGIA - BANO]]=AU$2,100%,AVANCE[[#This Row],[PUERTAS ACCESO - LOGIA - BANO]])</f>
        <v>0</v>
      </c>
      <c r="CJ699" s="3">
        <f>+IF(AVANCE[[#This Row],[CERRADURAS]]=AV$2,100%,AVANCE[[#This Row],[CERRADURAS]])</f>
        <v>0</v>
      </c>
      <c r="CK699" s="3">
        <f>+IF(AVANCE[[#This Row],[REVESTIMIENTO INTERIOR ZONA SECA]]=AW$2,100%,AVANCE[[#This Row],[REVESTIMIENTO INTERIOR ZONA SECA]])</f>
        <v>0</v>
      </c>
      <c r="CL699" s="3">
        <f>+IF(AVANCE[[#This Row],[REVESTIMIENTO INTERIOR ZONAS HUMEDAS]]=AX$2,100%,AVANCE[[#This Row],[REVESTIMIENTO INTERIOR ZONAS HUMEDAS]])</f>
        <v>0</v>
      </c>
      <c r="CM699" s="3">
        <f>+IF(AVANCE[[#This Row],[MEMBRANA CIELO]]=AY$2,100%,AVANCE[[#This Row],[MEMBRANA CIELO]])</f>
        <v>0</v>
      </c>
      <c r="CN699" s="3">
        <f>+IF(AVANCE[[#This Row],[LIMPIEZA FINAL]]=AZ$2,100%,AVANCE[[#This Row],[LIMPIEZA FINAL]])</f>
        <v>0</v>
      </c>
      <c r="CO699" s="3">
        <f>+IF(AVANCE[[#This Row],[PUERTAS DORMITORIO]]=BA$2,100%,AVANCE[[#This Row],[PUERTAS DORMITORIO]])</f>
        <v>0</v>
      </c>
      <c r="CP699" s="3">
        <f>+IF(AVANCE[[#This Row],[REVESTIMIENTO INTERIOR BANO]]=BB$2,100%,AVANCE[[#This Row],[REVESTIMIENTO INTERIOR BANO]])</f>
        <v>0</v>
      </c>
      <c r="CQ699" s="3">
        <f>+IF(AVANCE[[#This Row],[MUEBLE LAVAPLATOS]]=BC$2,100%,AVANCE[[#This Row],[MUEBLE LAVAPLATOS]])</f>
        <v>0</v>
      </c>
      <c r="CR699" s="3">
        <f>+IF(AVANCE[[#This Row],[IMPERMEABILIZACION BANO - COCINA LOGIA]]=BD$2,100%,AVANCE[[#This Row],[IMPERMEABILIZACION BANO - COCINA LOGIA]])</f>
        <v>0</v>
      </c>
      <c r="CS699" s="40">
        <f ca="1">+IF(AVANCE[[#This Row],[ESTADO MODULO]]="PENDIENTE",(TODAY()-AVANCE[[#This Row],[FECHA TERMINO  PLANIFICADO]]),0)</f>
        <v>0</v>
      </c>
      <c r="CT699" s="41" t="str" cm="1">
        <f t="array" ref="CT699">_xlfn.TEXTJOIN(" | ",TRUE,IF(SUMPRODUCT((BG699:CR699&lt;1)*(PARTIDAS!$I$2:$AT$2="OBRA GRUESA"))&gt;0,"OBRA GRUESA: "&amp;_xlfn.TEXTJOIN(", ",TRUE,IF((BG699:CR699&lt;1)*(PARTIDAS!$I$2:$AT$2="OBRA GRUESA"),PARTIDAS!$I$1:$AT$1,"")),""),IF(SUMPRODUCT((BG699:CR699&lt;1)*(PARTIDAS!$I$2:$AT$2="SANITARIOS"))&gt;0,"SANITARIOS: "&amp;_xlfn.TEXTJOIN(", ",TRUE,IF((BG699:CR699&lt;1)*(PARTIDAS!$I$2:$AT$2="SANITARIOS"),PARTIDAS!$I$1:$AT$1,"")),""),IF(SUMPRODUCT((BG699:CR699&lt;1)*(PARTIDAS!$I$2:$AT$2="ELÉCTRICO"))&gt;0,"ELÉCTRICO: "&amp;_xlfn.TEXTJOIN(", ",TRUE,IF((BG699:CR699&lt;1)*(PARTIDAS!$I$2:$AT$2="ELÉCTRICO"),PARTIDAS!$I$1:$AT$1,"")),""),IF(SUMPRODUCT((BG699:CR699&lt;1)*(PARTIDAS!$I$2:$AT$2="TERMINACIONES"))&gt;0,"TERMINACIONES: "&amp;_xlfn.TEXTJOIN(", ",TRUE,IF((BG699:CR699&lt;1)*(PARTIDAS!$I$2:$AT$2="TERMINACIONES"),PARTIDAS!$I$1:$AT$1,"")),""))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699" s="43" t="str" cm="1">
        <f t="array" ref="CU699">_xlfn.TEXTJOIN(", ",TRUE,IF(SUMPRODUCT((BG699:CR699&lt;1)*(PARTIDAS!$I$2:$AT$2="OBRA GRUESA"))&gt;0,"OBRA GRUESA",""),IF(SUMPRODUCT((BG699:CR699&lt;1)*(PARTIDAS!$I$2:$AT$2="SANITARIOS"))&gt;0,"SANITARIOS",""),IF(SUMPRODUCT((BG699:CR699&lt;1)*(PARTIDAS!$I$2:$AT$2="ELÉCTRICO"))&gt;0,"ELÉCTRICO",""),IF(SUMPRODUCT((BG699:CR699&lt;1)*(PARTIDAS!$I$2:$AT$2="TERMINACIONES"))&gt;0,"TERMINACIONES",""))</f>
        <v>OBRA GRUESA, SANITARIOS, ELÉCTRICO, TERMINACIONES</v>
      </c>
      <c r="CV699" s="44" cm="1">
        <f t="array" ref="CV699">SUMPRODUCT(--(BG699:CR699&lt;1))</f>
        <v>38</v>
      </c>
    </row>
    <row r="700" spans="1:100" hidden="1" x14ac:dyDescent="0.25">
      <c r="A700" t="s">
        <v>751</v>
      </c>
      <c r="B700" t="s">
        <v>778</v>
      </c>
      <c r="C700">
        <v>2302600699</v>
      </c>
      <c r="D700" t="s">
        <v>60</v>
      </c>
      <c r="E700" s="2">
        <v>0</v>
      </c>
      <c r="F700" s="1">
        <v>46485</v>
      </c>
      <c r="G700" s="1"/>
      <c r="H700" s="1">
        <v>0</v>
      </c>
      <c r="I700" s="1">
        <v>46515</v>
      </c>
      <c r="J700">
        <v>46230</v>
      </c>
      <c r="K700" s="1"/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>
        <v>31.32</v>
      </c>
      <c r="BF700" s="3" t="str">
        <f>+IF(AVANCE[[#This Row],[% AVANCE]]=100%,"MODULO TERMINADO",IF(AVANCE[[#This Row],[FECHA INICIO REAL]]="","MODULO NO INICIADO","PENDIENTE"))</f>
        <v>MODULO NO INICIADO</v>
      </c>
      <c r="BG700" s="3">
        <f>+IF(AVANCE[[#This Row],[VENTANAS]]=8.10810810810811%,100%,AVANCE[[#This Row],[VENTANAS]])</f>
        <v>0</v>
      </c>
      <c r="BH700" s="3">
        <f>+IF(AVANCE[[#This Row],[PISO]]=N$2,100%,AVANCE[[#This Row],[PISO]])</f>
        <v>0</v>
      </c>
      <c r="BI700" s="3">
        <f>+IF(AVANCE[[#This Row],[TABIQUES]]=O$2,100%,AVANCE[[#This Row],[TABIQUES]])</f>
        <v>0</v>
      </c>
      <c r="BJ700" s="3">
        <f>+IF(AVANCE[[#This Row],[MUROS]]=P$2,100%,AVANCE[[#This Row],[MUROS]])</f>
        <v>0</v>
      </c>
      <c r="BK700" s="3">
        <f>+IF(AVANCE[[#This Row],[CIELO]]=Q$2,100%,AVANCE[[#This Row],[CIELO]])</f>
        <v>0</v>
      </c>
      <c r="BL700" s="3">
        <f>+IF(AVANCE[[#This Row],[BALCÓN]]=R$2,100%,AVANCE[[#This Row],[BALCÓN]])</f>
        <v>0</v>
      </c>
      <c r="BM700" s="3">
        <f>+IF(AVANCE[[#This Row],[RED ALCANTARILLADO]]=U$2,100%,AVANCE[[#This Row],[RED ALCANTARILLADO]])</f>
        <v>0</v>
      </c>
      <c r="BN700" s="3">
        <f>+IF(AVANCE[[#This Row],[RED DE AGUA]]=V$2,100%,AVANCE[[#This Row],[RED DE AGUA]])</f>
        <v>0</v>
      </c>
      <c r="BO700" s="3">
        <f>+IF(AVANCE[[#This Row],[VENTILACIONES]]=W$2,100%,AVANCE[[#This Row],[VENTILACIONES]])</f>
        <v>0</v>
      </c>
      <c r="BP700" s="3">
        <f>+IF(AVANCE[[#This Row],[TINA]]=X$2,100%,AVANCE[[#This Row],[TINA]])</f>
        <v>0</v>
      </c>
      <c r="BQ700" s="3">
        <f>+IF(AVANCE[[#This Row],[WC]]=Y$2,100%,AVANCE[[#This Row],[WC]])</f>
        <v>0</v>
      </c>
      <c r="BR700" s="3">
        <f>+IF(AVANCE[[#This Row],[LAVAMANOS / LAVAPLATOS / LAVADERO]]=Z$2,100%,AVANCE[[#This Row],[LAVAMANOS / LAVAPLATOS / LAVADERO]])</f>
        <v>0</v>
      </c>
      <c r="BS700" s="3">
        <f>+IF(AVANCE[[#This Row],[CANALIZACIÓN]]=AC$2,100%,AVANCE[[#This Row],[CANALIZACIÓN]])</f>
        <v>0</v>
      </c>
      <c r="BT700" s="3">
        <f>+IF(AVANCE[[#This Row],[CABLEADO]]=AD$2,100%,AVANCE[[#This Row],[CABLEADO]])</f>
        <v>0</v>
      </c>
      <c r="BU700" s="3">
        <f>+IF(AVANCE[[#This Row],[ARTEFACTOS]]=AE$2,100%,AVANCE[[#This Row],[ARTEFACTOS]])</f>
        <v>0</v>
      </c>
      <c r="BV700" s="3">
        <f>+IF(AVANCE[[#This Row],[TABLERO]]=AF$2,100%,AVANCE[[#This Row],[TABLERO]])</f>
        <v>0</v>
      </c>
      <c r="BW700" s="3">
        <f>+IF(AVANCE[[#This Row],[CAJA PAU]]=AG$2,100%,AVANCE[[#This Row],[CAJA PAU]])</f>
        <v>0</v>
      </c>
      <c r="BX700" s="3">
        <f>+IF(AVANCE[[#This Row],[INSTALACION VINILICO]]=AJ$2,100%,AVANCE[[#This Row],[INSTALACION VINILICO]])</f>
        <v>0</v>
      </c>
      <c r="BY700" s="3">
        <f>+IF(AVANCE[[#This Row],[OSB CUBIERTA]]=AK$2,100%,AVANCE[[#This Row],[OSB CUBIERTA]])</f>
        <v>0</v>
      </c>
      <c r="BZ700" s="3">
        <f>+IF(AVANCE[[#This Row],[BARANDA BALCON]]=AL$2,100%,AVANCE[[#This Row],[BARANDA BALCON]])</f>
        <v>0</v>
      </c>
      <c r="CA700" s="3">
        <f>+IF(AVANCE[[#This Row],[OSB EXTERIOR]]=AM$2,100%,AVANCE[[#This Row],[OSB EXTERIOR]])</f>
        <v>0</v>
      </c>
      <c r="CB700" s="3">
        <f>+IF(AVANCE[[#This Row],[SMART PANEL]]=AN$2,100%,AVANCE[[#This Row],[SMART PANEL]])</f>
        <v>0</v>
      </c>
      <c r="CC700" s="3">
        <f>+IF(AVANCE[[#This Row],[PINTURA EXTERIOR]]=AO$2,100%,AVANCE[[#This Row],[PINTURA EXTERIOR]])</f>
        <v>0</v>
      </c>
      <c r="CD700" s="3">
        <f>+IF(AVANCE[[#This Row],[ZOCALOS LOGIA]]=AP$2,100%,AVANCE[[#This Row],[ZOCALOS LOGIA]])</f>
        <v>0</v>
      </c>
      <c r="CE700" s="3">
        <f>+IF(AVANCE[[#This Row],[MOLDURAS]]=AQ$2,100%,AVANCE[[#This Row],[MOLDURAS]])</f>
        <v>0</v>
      </c>
      <c r="CF700" s="3">
        <f>+IF(AVANCE[[#This Row],[PILASTREO]]=AR$2,100%,AVANCE[[#This Row],[PILASTREO]])</f>
        <v>0</v>
      </c>
      <c r="CG700" s="3">
        <f>+IF(AVANCE[[#This Row],[CELOSIAS]]=AS$2,100%,AVANCE[[#This Row],[CELOSIAS]])</f>
        <v>0</v>
      </c>
      <c r="CH700" s="3">
        <f>+IF(AVANCE[[#This Row],[VENTANAS]]=AT$2,100%,AVANCE[[#This Row],[VENTANAS]])</f>
        <v>0</v>
      </c>
      <c r="CI700" s="3">
        <f>+IF(AVANCE[[#This Row],[PUERTAS ACCESO - LOGIA - BANO]]=AU$2,100%,AVANCE[[#This Row],[PUERTAS ACCESO - LOGIA - BANO]])</f>
        <v>0</v>
      </c>
      <c r="CJ700" s="3">
        <f>+IF(AVANCE[[#This Row],[CERRADURAS]]=AV$2,100%,AVANCE[[#This Row],[CERRADURAS]])</f>
        <v>0</v>
      </c>
      <c r="CK700" s="3">
        <f>+IF(AVANCE[[#This Row],[REVESTIMIENTO INTERIOR ZONA SECA]]=AW$2,100%,AVANCE[[#This Row],[REVESTIMIENTO INTERIOR ZONA SECA]])</f>
        <v>0</v>
      </c>
      <c r="CL700" s="3">
        <f>+IF(AVANCE[[#This Row],[REVESTIMIENTO INTERIOR ZONAS HUMEDAS]]=AX$2,100%,AVANCE[[#This Row],[REVESTIMIENTO INTERIOR ZONAS HUMEDAS]])</f>
        <v>0</v>
      </c>
      <c r="CM700" s="3">
        <f>+IF(AVANCE[[#This Row],[MEMBRANA CIELO]]=AY$2,100%,AVANCE[[#This Row],[MEMBRANA CIELO]])</f>
        <v>0</v>
      </c>
      <c r="CN700" s="3">
        <f>+IF(AVANCE[[#This Row],[LIMPIEZA FINAL]]=AZ$2,100%,AVANCE[[#This Row],[LIMPIEZA FINAL]])</f>
        <v>0</v>
      </c>
      <c r="CO700" s="3">
        <f>+IF(AVANCE[[#This Row],[PUERTAS DORMITORIO]]=BA$2,100%,AVANCE[[#This Row],[PUERTAS DORMITORIO]])</f>
        <v>0</v>
      </c>
      <c r="CP700" s="3">
        <f>+IF(AVANCE[[#This Row],[REVESTIMIENTO INTERIOR BANO]]=BB$2,100%,AVANCE[[#This Row],[REVESTIMIENTO INTERIOR BANO]])</f>
        <v>0</v>
      </c>
      <c r="CQ700" s="3">
        <f>+IF(AVANCE[[#This Row],[MUEBLE LAVAPLATOS]]=BC$2,100%,AVANCE[[#This Row],[MUEBLE LAVAPLATOS]])</f>
        <v>0</v>
      </c>
      <c r="CR700" s="3">
        <f>+IF(AVANCE[[#This Row],[IMPERMEABILIZACION BANO - COCINA LOGIA]]=BD$2,100%,AVANCE[[#This Row],[IMPERMEABILIZACION BANO - COCINA LOGIA]])</f>
        <v>0</v>
      </c>
      <c r="CS700" s="40">
        <f ca="1">+IF(AVANCE[[#This Row],[ESTADO MODULO]]="PENDIENTE",(TODAY()-AVANCE[[#This Row],[FECHA TERMINO  PLANIFICADO]]),0)</f>
        <v>0</v>
      </c>
      <c r="CT700" s="41" t="str" cm="1">
        <f t="array" ref="CT700">_xlfn.TEXTJOIN(" | ",TRUE,IF(SUMPRODUCT((BG700:CR700&lt;1)*(PARTIDAS!$I$2:$AT$2="OBRA GRUESA"))&gt;0,"OBRA GRUESA: "&amp;_xlfn.TEXTJOIN(", ",TRUE,IF((BG700:CR700&lt;1)*(PARTIDAS!$I$2:$AT$2="OBRA GRUESA"),PARTIDAS!$I$1:$AT$1,"")),""),IF(SUMPRODUCT((BG700:CR700&lt;1)*(PARTIDAS!$I$2:$AT$2="SANITARIOS"))&gt;0,"SANITARIOS: "&amp;_xlfn.TEXTJOIN(", ",TRUE,IF((BG700:CR700&lt;1)*(PARTIDAS!$I$2:$AT$2="SANITARIOS"),PARTIDAS!$I$1:$AT$1,"")),""),IF(SUMPRODUCT((BG700:CR700&lt;1)*(PARTIDAS!$I$2:$AT$2="ELÉCTRICO"))&gt;0,"ELÉCTRICO: "&amp;_xlfn.TEXTJOIN(", ",TRUE,IF((BG700:CR700&lt;1)*(PARTIDAS!$I$2:$AT$2="ELÉCTRICO"),PARTIDAS!$I$1:$AT$1,"")),""),IF(SUMPRODUCT((BG700:CR700&lt;1)*(PARTIDAS!$I$2:$AT$2="TERMINACIONES"))&gt;0,"TERMINACIONES: "&amp;_xlfn.TEXTJOIN(", ",TRUE,IF((BG700:CR700&lt;1)*(PARTIDAS!$I$2:$AT$2="TERMINACIONES"),PARTIDAS!$I$1:$AT$1,"")),""))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700" s="43" t="str" cm="1">
        <f t="array" ref="CU700">_xlfn.TEXTJOIN(", ",TRUE,IF(SUMPRODUCT((BG700:CR700&lt;1)*(PARTIDAS!$I$2:$AT$2="OBRA GRUESA"))&gt;0,"OBRA GRUESA",""),IF(SUMPRODUCT((BG700:CR700&lt;1)*(PARTIDAS!$I$2:$AT$2="SANITARIOS"))&gt;0,"SANITARIOS",""),IF(SUMPRODUCT((BG700:CR700&lt;1)*(PARTIDAS!$I$2:$AT$2="ELÉCTRICO"))&gt;0,"ELÉCTRICO",""),IF(SUMPRODUCT((BG700:CR700&lt;1)*(PARTIDAS!$I$2:$AT$2="TERMINACIONES"))&gt;0,"TERMINACIONES",""))</f>
        <v>OBRA GRUESA, SANITARIOS, ELÉCTRICO, TERMINACIONES</v>
      </c>
      <c r="CV700" s="44" cm="1">
        <f t="array" ref="CV700">SUMPRODUCT(--(BG700:CR700&lt;1))</f>
        <v>38</v>
      </c>
    </row>
    <row r="701" spans="1:100" hidden="1" x14ac:dyDescent="0.25">
      <c r="A701" t="s">
        <v>751</v>
      </c>
      <c r="B701" t="s">
        <v>779</v>
      </c>
      <c r="C701">
        <v>2282600700</v>
      </c>
      <c r="D701" t="s">
        <v>58</v>
      </c>
      <c r="E701" s="2">
        <v>0</v>
      </c>
      <c r="F701" s="1">
        <v>46485</v>
      </c>
      <c r="G701" s="1"/>
      <c r="H701" s="1">
        <v>0</v>
      </c>
      <c r="I701" s="1">
        <v>46505</v>
      </c>
      <c r="J701">
        <v>46230</v>
      </c>
      <c r="K701" s="1"/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>
        <v>28.87</v>
      </c>
      <c r="BF701" s="3" t="str">
        <f>+IF(AVANCE[[#This Row],[% AVANCE]]=100%,"MODULO TERMINADO",IF(AVANCE[[#This Row],[FECHA INICIO REAL]]="","MODULO NO INICIADO","PENDIENTE"))</f>
        <v>MODULO NO INICIADO</v>
      </c>
      <c r="BG701" s="3">
        <f>+IF(AVANCE[[#This Row],[VENTANAS]]=8.10810810810811%,100%,AVANCE[[#This Row],[VENTANAS]])</f>
        <v>0</v>
      </c>
      <c r="BH701" s="3">
        <f>+IF(AVANCE[[#This Row],[PISO]]=N$2,100%,AVANCE[[#This Row],[PISO]])</f>
        <v>0</v>
      </c>
      <c r="BI701" s="3">
        <f>+IF(AVANCE[[#This Row],[TABIQUES]]=O$2,100%,AVANCE[[#This Row],[TABIQUES]])</f>
        <v>0</v>
      </c>
      <c r="BJ701" s="3">
        <f>+IF(AVANCE[[#This Row],[MUROS]]=P$2,100%,AVANCE[[#This Row],[MUROS]])</f>
        <v>0</v>
      </c>
      <c r="BK701" s="3">
        <f>+IF(AVANCE[[#This Row],[CIELO]]=Q$2,100%,AVANCE[[#This Row],[CIELO]])</f>
        <v>0</v>
      </c>
      <c r="BL701" s="3">
        <f>+IF(AVANCE[[#This Row],[BALCÓN]]=R$2,100%,AVANCE[[#This Row],[BALCÓN]])</f>
        <v>0</v>
      </c>
      <c r="BM701" s="3">
        <f>+IF(AVANCE[[#This Row],[RED ALCANTARILLADO]]=U$2,100%,AVANCE[[#This Row],[RED ALCANTARILLADO]])</f>
        <v>0</v>
      </c>
      <c r="BN701" s="3">
        <f>+IF(AVANCE[[#This Row],[RED DE AGUA]]=V$2,100%,AVANCE[[#This Row],[RED DE AGUA]])</f>
        <v>0</v>
      </c>
      <c r="BO701" s="3">
        <f>+IF(AVANCE[[#This Row],[VENTILACIONES]]=W$2,100%,AVANCE[[#This Row],[VENTILACIONES]])</f>
        <v>0</v>
      </c>
      <c r="BP701" s="3">
        <f>+IF(AVANCE[[#This Row],[TINA]]=X$2,100%,AVANCE[[#This Row],[TINA]])</f>
        <v>0</v>
      </c>
      <c r="BQ701" s="3">
        <f>+IF(AVANCE[[#This Row],[WC]]=Y$2,100%,AVANCE[[#This Row],[WC]])</f>
        <v>0</v>
      </c>
      <c r="BR701" s="3">
        <f>+IF(AVANCE[[#This Row],[LAVAMANOS / LAVAPLATOS / LAVADERO]]=Z$2,100%,AVANCE[[#This Row],[LAVAMANOS / LAVAPLATOS / LAVADERO]])</f>
        <v>0</v>
      </c>
      <c r="BS701" s="3">
        <f>+IF(AVANCE[[#This Row],[CANALIZACIÓN]]=AC$2,100%,AVANCE[[#This Row],[CANALIZACIÓN]])</f>
        <v>0</v>
      </c>
      <c r="BT701" s="3">
        <f>+IF(AVANCE[[#This Row],[CABLEADO]]=AD$2,100%,AVANCE[[#This Row],[CABLEADO]])</f>
        <v>0</v>
      </c>
      <c r="BU701" s="3">
        <f>+IF(AVANCE[[#This Row],[ARTEFACTOS]]=AE$2,100%,AVANCE[[#This Row],[ARTEFACTOS]])</f>
        <v>0</v>
      </c>
      <c r="BV701" s="3">
        <f>+IF(AVANCE[[#This Row],[TABLERO]]=AF$2,100%,AVANCE[[#This Row],[TABLERO]])</f>
        <v>0</v>
      </c>
      <c r="BW701" s="3">
        <f>+IF(AVANCE[[#This Row],[CAJA PAU]]=AG$2,100%,AVANCE[[#This Row],[CAJA PAU]])</f>
        <v>0</v>
      </c>
      <c r="BX701" s="3">
        <f>+IF(AVANCE[[#This Row],[INSTALACION VINILICO]]=AJ$2,100%,AVANCE[[#This Row],[INSTALACION VINILICO]])</f>
        <v>0</v>
      </c>
      <c r="BY701" s="3">
        <f>+IF(AVANCE[[#This Row],[OSB CUBIERTA]]=AK$2,100%,AVANCE[[#This Row],[OSB CUBIERTA]])</f>
        <v>0</v>
      </c>
      <c r="BZ701" s="3">
        <f>+IF(AVANCE[[#This Row],[BARANDA BALCON]]=AL$2,100%,AVANCE[[#This Row],[BARANDA BALCON]])</f>
        <v>0</v>
      </c>
      <c r="CA701" s="3">
        <f>+IF(AVANCE[[#This Row],[OSB EXTERIOR]]=AM$2,100%,AVANCE[[#This Row],[OSB EXTERIOR]])</f>
        <v>0</v>
      </c>
      <c r="CB701" s="3">
        <f>+IF(AVANCE[[#This Row],[SMART PANEL]]=AN$2,100%,AVANCE[[#This Row],[SMART PANEL]])</f>
        <v>0</v>
      </c>
      <c r="CC701" s="3">
        <f>+IF(AVANCE[[#This Row],[PINTURA EXTERIOR]]=AO$2,100%,AVANCE[[#This Row],[PINTURA EXTERIOR]])</f>
        <v>0</v>
      </c>
      <c r="CD701" s="3">
        <f>+IF(AVANCE[[#This Row],[ZOCALOS LOGIA]]=AP$2,100%,AVANCE[[#This Row],[ZOCALOS LOGIA]])</f>
        <v>0</v>
      </c>
      <c r="CE701" s="3">
        <f>+IF(AVANCE[[#This Row],[MOLDURAS]]=AQ$2,100%,AVANCE[[#This Row],[MOLDURAS]])</f>
        <v>0</v>
      </c>
      <c r="CF701" s="3">
        <f>+IF(AVANCE[[#This Row],[PILASTREO]]=AR$2,100%,AVANCE[[#This Row],[PILASTREO]])</f>
        <v>0</v>
      </c>
      <c r="CG701" s="3">
        <f>+IF(AVANCE[[#This Row],[CELOSIAS]]=AS$2,100%,AVANCE[[#This Row],[CELOSIAS]])</f>
        <v>0</v>
      </c>
      <c r="CH701" s="3">
        <f>+IF(AVANCE[[#This Row],[VENTANAS]]=AT$2,100%,AVANCE[[#This Row],[VENTANAS]])</f>
        <v>0</v>
      </c>
      <c r="CI701" s="3">
        <f>+IF(AVANCE[[#This Row],[PUERTAS ACCESO - LOGIA - BANO]]=AU$2,100%,AVANCE[[#This Row],[PUERTAS ACCESO - LOGIA - BANO]])</f>
        <v>0</v>
      </c>
      <c r="CJ701" s="3">
        <f>+IF(AVANCE[[#This Row],[CERRADURAS]]=AV$2,100%,AVANCE[[#This Row],[CERRADURAS]])</f>
        <v>0</v>
      </c>
      <c r="CK701" s="3">
        <f>+IF(AVANCE[[#This Row],[REVESTIMIENTO INTERIOR ZONA SECA]]=AW$2,100%,AVANCE[[#This Row],[REVESTIMIENTO INTERIOR ZONA SECA]])</f>
        <v>0</v>
      </c>
      <c r="CL701" s="3">
        <f>+IF(AVANCE[[#This Row],[REVESTIMIENTO INTERIOR ZONAS HUMEDAS]]=AX$2,100%,AVANCE[[#This Row],[REVESTIMIENTO INTERIOR ZONAS HUMEDAS]])</f>
        <v>0</v>
      </c>
      <c r="CM701" s="3">
        <f>+IF(AVANCE[[#This Row],[MEMBRANA CIELO]]=AY$2,100%,AVANCE[[#This Row],[MEMBRANA CIELO]])</f>
        <v>0</v>
      </c>
      <c r="CN701" s="3">
        <f>+IF(AVANCE[[#This Row],[LIMPIEZA FINAL]]=AZ$2,100%,AVANCE[[#This Row],[LIMPIEZA FINAL]])</f>
        <v>0</v>
      </c>
      <c r="CO701" s="3">
        <f>+IF(AVANCE[[#This Row],[PUERTAS DORMITORIO]]=BA$2,100%,AVANCE[[#This Row],[PUERTAS DORMITORIO]])</f>
        <v>0</v>
      </c>
      <c r="CP701" s="3">
        <f>+IF(AVANCE[[#This Row],[REVESTIMIENTO INTERIOR BANO]]=BB$2,100%,AVANCE[[#This Row],[REVESTIMIENTO INTERIOR BANO]])</f>
        <v>0</v>
      </c>
      <c r="CQ701" s="3">
        <f>+IF(AVANCE[[#This Row],[MUEBLE LAVAPLATOS]]=BC$2,100%,AVANCE[[#This Row],[MUEBLE LAVAPLATOS]])</f>
        <v>0</v>
      </c>
      <c r="CR701" s="3">
        <f>+IF(AVANCE[[#This Row],[IMPERMEABILIZACION BANO - COCINA LOGIA]]=BD$2,100%,AVANCE[[#This Row],[IMPERMEABILIZACION BANO - COCINA LOGIA]])</f>
        <v>0</v>
      </c>
      <c r="CS701" s="40">
        <f ca="1">+IF(AVANCE[[#This Row],[ESTADO MODULO]]="PENDIENTE",(TODAY()-AVANCE[[#This Row],[FECHA TERMINO  PLANIFICADO]]),0)</f>
        <v>0</v>
      </c>
      <c r="CT701" s="41" t="str" cm="1">
        <f t="array" ref="CT701">_xlfn.TEXTJOIN(" | ",TRUE,IF(SUMPRODUCT((BG701:CR701&lt;1)*(PARTIDAS!$I$2:$AT$2="OBRA GRUESA"))&gt;0,"OBRA GRUESA: "&amp;_xlfn.TEXTJOIN(", ",TRUE,IF((BG701:CR701&lt;1)*(PARTIDAS!$I$2:$AT$2="OBRA GRUESA"),PARTIDAS!$I$1:$AT$1,"")),""),IF(SUMPRODUCT((BG701:CR701&lt;1)*(PARTIDAS!$I$2:$AT$2="SANITARIOS"))&gt;0,"SANITARIOS: "&amp;_xlfn.TEXTJOIN(", ",TRUE,IF((BG701:CR701&lt;1)*(PARTIDAS!$I$2:$AT$2="SANITARIOS"),PARTIDAS!$I$1:$AT$1,"")),""),IF(SUMPRODUCT((BG701:CR701&lt;1)*(PARTIDAS!$I$2:$AT$2="ELÉCTRICO"))&gt;0,"ELÉCTRICO: "&amp;_xlfn.TEXTJOIN(", ",TRUE,IF((BG701:CR701&lt;1)*(PARTIDAS!$I$2:$AT$2="ELÉCTRICO"),PARTIDAS!$I$1:$AT$1,"")),""),IF(SUMPRODUCT((BG701:CR701&lt;1)*(PARTIDAS!$I$2:$AT$2="TERMINACIONES"))&gt;0,"TERMINACIONES: "&amp;_xlfn.TEXTJOIN(", ",TRUE,IF((BG701:CR701&lt;1)*(PARTIDAS!$I$2:$AT$2="TERMINACIONES"),PARTIDAS!$I$1:$AT$1,"")),""))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701" s="43" t="str" cm="1">
        <f t="array" ref="CU701">_xlfn.TEXTJOIN(", ",TRUE,IF(SUMPRODUCT((BG701:CR701&lt;1)*(PARTIDAS!$I$2:$AT$2="OBRA GRUESA"))&gt;0,"OBRA GRUESA",""),IF(SUMPRODUCT((BG701:CR701&lt;1)*(PARTIDAS!$I$2:$AT$2="SANITARIOS"))&gt;0,"SANITARIOS",""),IF(SUMPRODUCT((BG701:CR701&lt;1)*(PARTIDAS!$I$2:$AT$2="ELÉCTRICO"))&gt;0,"ELÉCTRICO",""),IF(SUMPRODUCT((BG701:CR701&lt;1)*(PARTIDAS!$I$2:$AT$2="TERMINACIONES"))&gt;0,"TERMINACIONES",""))</f>
        <v>OBRA GRUESA, SANITARIOS, ELÉCTRICO, TERMINACIONES</v>
      </c>
      <c r="CV701" s="44" cm="1">
        <f t="array" ref="CV701">SUMPRODUCT(--(BG701:CR701&lt;1))</f>
        <v>38</v>
      </c>
    </row>
    <row r="702" spans="1:100" hidden="1" x14ac:dyDescent="0.25">
      <c r="A702" t="s">
        <v>751</v>
      </c>
      <c r="B702" t="s">
        <v>780</v>
      </c>
      <c r="C702">
        <v>2282600701</v>
      </c>
      <c r="D702" t="s">
        <v>58</v>
      </c>
      <c r="E702" s="2">
        <v>0</v>
      </c>
      <c r="F702" s="1">
        <v>46486</v>
      </c>
      <c r="G702" s="1"/>
      <c r="H702" s="1">
        <v>0</v>
      </c>
      <c r="I702" s="1">
        <v>46506</v>
      </c>
      <c r="J702">
        <v>46230</v>
      </c>
      <c r="K702" s="1"/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>
        <v>28.87</v>
      </c>
      <c r="BF702" s="3" t="str">
        <f>+IF(AVANCE[[#This Row],[% AVANCE]]=100%,"MODULO TERMINADO",IF(AVANCE[[#This Row],[FECHA INICIO REAL]]="","MODULO NO INICIADO","PENDIENTE"))</f>
        <v>MODULO NO INICIADO</v>
      </c>
      <c r="BG702" s="3">
        <f>+IF(AVANCE[[#This Row],[VENTANAS]]=8.10810810810811%,100%,AVANCE[[#This Row],[VENTANAS]])</f>
        <v>0</v>
      </c>
      <c r="BH702" s="3">
        <f>+IF(AVANCE[[#This Row],[PISO]]=N$2,100%,AVANCE[[#This Row],[PISO]])</f>
        <v>0</v>
      </c>
      <c r="BI702" s="3">
        <f>+IF(AVANCE[[#This Row],[TABIQUES]]=O$2,100%,AVANCE[[#This Row],[TABIQUES]])</f>
        <v>0</v>
      </c>
      <c r="BJ702" s="3">
        <f>+IF(AVANCE[[#This Row],[MUROS]]=P$2,100%,AVANCE[[#This Row],[MUROS]])</f>
        <v>0</v>
      </c>
      <c r="BK702" s="3">
        <f>+IF(AVANCE[[#This Row],[CIELO]]=Q$2,100%,AVANCE[[#This Row],[CIELO]])</f>
        <v>0</v>
      </c>
      <c r="BL702" s="3">
        <f>+IF(AVANCE[[#This Row],[BALCÓN]]=R$2,100%,AVANCE[[#This Row],[BALCÓN]])</f>
        <v>0</v>
      </c>
      <c r="BM702" s="3">
        <f>+IF(AVANCE[[#This Row],[RED ALCANTARILLADO]]=U$2,100%,AVANCE[[#This Row],[RED ALCANTARILLADO]])</f>
        <v>0</v>
      </c>
      <c r="BN702" s="3">
        <f>+IF(AVANCE[[#This Row],[RED DE AGUA]]=V$2,100%,AVANCE[[#This Row],[RED DE AGUA]])</f>
        <v>0</v>
      </c>
      <c r="BO702" s="3">
        <f>+IF(AVANCE[[#This Row],[VENTILACIONES]]=W$2,100%,AVANCE[[#This Row],[VENTILACIONES]])</f>
        <v>0</v>
      </c>
      <c r="BP702" s="3">
        <f>+IF(AVANCE[[#This Row],[TINA]]=X$2,100%,AVANCE[[#This Row],[TINA]])</f>
        <v>0</v>
      </c>
      <c r="BQ702" s="3">
        <f>+IF(AVANCE[[#This Row],[WC]]=Y$2,100%,AVANCE[[#This Row],[WC]])</f>
        <v>0</v>
      </c>
      <c r="BR702" s="3">
        <f>+IF(AVANCE[[#This Row],[LAVAMANOS / LAVAPLATOS / LAVADERO]]=Z$2,100%,AVANCE[[#This Row],[LAVAMANOS / LAVAPLATOS / LAVADERO]])</f>
        <v>0</v>
      </c>
      <c r="BS702" s="3">
        <f>+IF(AVANCE[[#This Row],[CANALIZACIÓN]]=AC$2,100%,AVANCE[[#This Row],[CANALIZACIÓN]])</f>
        <v>0</v>
      </c>
      <c r="BT702" s="3">
        <f>+IF(AVANCE[[#This Row],[CABLEADO]]=AD$2,100%,AVANCE[[#This Row],[CABLEADO]])</f>
        <v>0</v>
      </c>
      <c r="BU702" s="3">
        <f>+IF(AVANCE[[#This Row],[ARTEFACTOS]]=AE$2,100%,AVANCE[[#This Row],[ARTEFACTOS]])</f>
        <v>0</v>
      </c>
      <c r="BV702" s="3">
        <f>+IF(AVANCE[[#This Row],[TABLERO]]=AF$2,100%,AVANCE[[#This Row],[TABLERO]])</f>
        <v>0</v>
      </c>
      <c r="BW702" s="3">
        <f>+IF(AVANCE[[#This Row],[CAJA PAU]]=AG$2,100%,AVANCE[[#This Row],[CAJA PAU]])</f>
        <v>0</v>
      </c>
      <c r="BX702" s="3">
        <f>+IF(AVANCE[[#This Row],[INSTALACION VINILICO]]=AJ$2,100%,AVANCE[[#This Row],[INSTALACION VINILICO]])</f>
        <v>0</v>
      </c>
      <c r="BY702" s="3">
        <f>+IF(AVANCE[[#This Row],[OSB CUBIERTA]]=AK$2,100%,AVANCE[[#This Row],[OSB CUBIERTA]])</f>
        <v>0</v>
      </c>
      <c r="BZ702" s="3">
        <f>+IF(AVANCE[[#This Row],[BARANDA BALCON]]=AL$2,100%,AVANCE[[#This Row],[BARANDA BALCON]])</f>
        <v>0</v>
      </c>
      <c r="CA702" s="3">
        <f>+IF(AVANCE[[#This Row],[OSB EXTERIOR]]=AM$2,100%,AVANCE[[#This Row],[OSB EXTERIOR]])</f>
        <v>0</v>
      </c>
      <c r="CB702" s="3">
        <f>+IF(AVANCE[[#This Row],[SMART PANEL]]=AN$2,100%,AVANCE[[#This Row],[SMART PANEL]])</f>
        <v>0</v>
      </c>
      <c r="CC702" s="3">
        <f>+IF(AVANCE[[#This Row],[PINTURA EXTERIOR]]=AO$2,100%,AVANCE[[#This Row],[PINTURA EXTERIOR]])</f>
        <v>0</v>
      </c>
      <c r="CD702" s="3">
        <f>+IF(AVANCE[[#This Row],[ZOCALOS LOGIA]]=AP$2,100%,AVANCE[[#This Row],[ZOCALOS LOGIA]])</f>
        <v>0</v>
      </c>
      <c r="CE702" s="3">
        <f>+IF(AVANCE[[#This Row],[MOLDURAS]]=AQ$2,100%,AVANCE[[#This Row],[MOLDURAS]])</f>
        <v>0</v>
      </c>
      <c r="CF702" s="3">
        <f>+IF(AVANCE[[#This Row],[PILASTREO]]=AR$2,100%,AVANCE[[#This Row],[PILASTREO]])</f>
        <v>0</v>
      </c>
      <c r="CG702" s="3">
        <f>+IF(AVANCE[[#This Row],[CELOSIAS]]=AS$2,100%,AVANCE[[#This Row],[CELOSIAS]])</f>
        <v>0</v>
      </c>
      <c r="CH702" s="3">
        <f>+IF(AVANCE[[#This Row],[VENTANAS]]=AT$2,100%,AVANCE[[#This Row],[VENTANAS]])</f>
        <v>0</v>
      </c>
      <c r="CI702" s="3">
        <f>+IF(AVANCE[[#This Row],[PUERTAS ACCESO - LOGIA - BANO]]=AU$2,100%,AVANCE[[#This Row],[PUERTAS ACCESO - LOGIA - BANO]])</f>
        <v>0</v>
      </c>
      <c r="CJ702" s="3">
        <f>+IF(AVANCE[[#This Row],[CERRADURAS]]=AV$2,100%,AVANCE[[#This Row],[CERRADURAS]])</f>
        <v>0</v>
      </c>
      <c r="CK702" s="3">
        <f>+IF(AVANCE[[#This Row],[REVESTIMIENTO INTERIOR ZONA SECA]]=AW$2,100%,AVANCE[[#This Row],[REVESTIMIENTO INTERIOR ZONA SECA]])</f>
        <v>0</v>
      </c>
      <c r="CL702" s="3">
        <f>+IF(AVANCE[[#This Row],[REVESTIMIENTO INTERIOR ZONAS HUMEDAS]]=AX$2,100%,AVANCE[[#This Row],[REVESTIMIENTO INTERIOR ZONAS HUMEDAS]])</f>
        <v>0</v>
      </c>
      <c r="CM702" s="3">
        <f>+IF(AVANCE[[#This Row],[MEMBRANA CIELO]]=AY$2,100%,AVANCE[[#This Row],[MEMBRANA CIELO]])</f>
        <v>0</v>
      </c>
      <c r="CN702" s="3">
        <f>+IF(AVANCE[[#This Row],[LIMPIEZA FINAL]]=AZ$2,100%,AVANCE[[#This Row],[LIMPIEZA FINAL]])</f>
        <v>0</v>
      </c>
      <c r="CO702" s="3">
        <f>+IF(AVANCE[[#This Row],[PUERTAS DORMITORIO]]=BA$2,100%,AVANCE[[#This Row],[PUERTAS DORMITORIO]])</f>
        <v>0</v>
      </c>
      <c r="CP702" s="3">
        <f>+IF(AVANCE[[#This Row],[REVESTIMIENTO INTERIOR BANO]]=BB$2,100%,AVANCE[[#This Row],[REVESTIMIENTO INTERIOR BANO]])</f>
        <v>0</v>
      </c>
      <c r="CQ702" s="3">
        <f>+IF(AVANCE[[#This Row],[MUEBLE LAVAPLATOS]]=BC$2,100%,AVANCE[[#This Row],[MUEBLE LAVAPLATOS]])</f>
        <v>0</v>
      </c>
      <c r="CR702" s="3">
        <f>+IF(AVANCE[[#This Row],[IMPERMEABILIZACION BANO - COCINA LOGIA]]=BD$2,100%,AVANCE[[#This Row],[IMPERMEABILIZACION BANO - COCINA LOGIA]])</f>
        <v>0</v>
      </c>
      <c r="CS702" s="40">
        <f ca="1">+IF(AVANCE[[#This Row],[ESTADO MODULO]]="PENDIENTE",(TODAY()-AVANCE[[#This Row],[FECHA TERMINO  PLANIFICADO]]),0)</f>
        <v>0</v>
      </c>
      <c r="CT702" s="41" t="str" cm="1">
        <f t="array" ref="CT702">_xlfn.TEXTJOIN(" | ",TRUE,IF(SUMPRODUCT((BG702:CR702&lt;1)*(PARTIDAS!$I$2:$AT$2="OBRA GRUESA"))&gt;0,"OBRA GRUESA: "&amp;_xlfn.TEXTJOIN(", ",TRUE,IF((BG702:CR702&lt;1)*(PARTIDAS!$I$2:$AT$2="OBRA GRUESA"),PARTIDAS!$I$1:$AT$1,"")),""),IF(SUMPRODUCT((BG702:CR702&lt;1)*(PARTIDAS!$I$2:$AT$2="SANITARIOS"))&gt;0,"SANITARIOS: "&amp;_xlfn.TEXTJOIN(", ",TRUE,IF((BG702:CR702&lt;1)*(PARTIDAS!$I$2:$AT$2="SANITARIOS"),PARTIDAS!$I$1:$AT$1,"")),""),IF(SUMPRODUCT((BG702:CR702&lt;1)*(PARTIDAS!$I$2:$AT$2="ELÉCTRICO"))&gt;0,"ELÉCTRICO: "&amp;_xlfn.TEXTJOIN(", ",TRUE,IF((BG702:CR702&lt;1)*(PARTIDAS!$I$2:$AT$2="ELÉCTRICO"),PARTIDAS!$I$1:$AT$1,"")),""),IF(SUMPRODUCT((BG702:CR702&lt;1)*(PARTIDAS!$I$2:$AT$2="TERMINACIONES"))&gt;0,"TERMINACIONES: "&amp;_xlfn.TEXTJOIN(", ",TRUE,IF((BG702:CR702&lt;1)*(PARTIDAS!$I$2:$AT$2="TERMINACIONES"),PARTIDAS!$I$1:$AT$1,"")),""))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702" s="43" t="str" cm="1">
        <f t="array" ref="CU702">_xlfn.TEXTJOIN(", ",TRUE,IF(SUMPRODUCT((BG702:CR702&lt;1)*(PARTIDAS!$I$2:$AT$2="OBRA GRUESA"))&gt;0,"OBRA GRUESA",""),IF(SUMPRODUCT((BG702:CR702&lt;1)*(PARTIDAS!$I$2:$AT$2="SANITARIOS"))&gt;0,"SANITARIOS",""),IF(SUMPRODUCT((BG702:CR702&lt;1)*(PARTIDAS!$I$2:$AT$2="ELÉCTRICO"))&gt;0,"ELÉCTRICO",""),IF(SUMPRODUCT((BG702:CR702&lt;1)*(PARTIDAS!$I$2:$AT$2="TERMINACIONES"))&gt;0,"TERMINACIONES",""))</f>
        <v>OBRA GRUESA, SANITARIOS, ELÉCTRICO, TERMINACIONES</v>
      </c>
      <c r="CV702" s="44" cm="1">
        <f t="array" ref="CV702">SUMPRODUCT(--(BG702:CR702&lt;1))</f>
        <v>38</v>
      </c>
    </row>
    <row r="703" spans="1:100" hidden="1" x14ac:dyDescent="0.25">
      <c r="A703" t="s">
        <v>751</v>
      </c>
      <c r="B703" t="s">
        <v>781</v>
      </c>
      <c r="C703">
        <v>2302600702</v>
      </c>
      <c r="D703" t="s">
        <v>60</v>
      </c>
      <c r="E703" s="2">
        <v>0</v>
      </c>
      <c r="F703" s="1">
        <v>46486</v>
      </c>
      <c r="G703" s="1"/>
      <c r="H703" s="1">
        <v>0</v>
      </c>
      <c r="I703" s="1">
        <v>46516</v>
      </c>
      <c r="J703">
        <v>46230</v>
      </c>
      <c r="K703" s="1"/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>
        <v>31.32</v>
      </c>
      <c r="BF703" s="3" t="str">
        <f>+IF(AVANCE[[#This Row],[% AVANCE]]=100%,"MODULO TERMINADO",IF(AVANCE[[#This Row],[FECHA INICIO REAL]]="","MODULO NO INICIADO","PENDIENTE"))</f>
        <v>MODULO NO INICIADO</v>
      </c>
      <c r="BG703" s="3">
        <f>+IF(AVANCE[[#This Row],[VENTANAS]]=8.10810810810811%,100%,AVANCE[[#This Row],[VENTANAS]])</f>
        <v>0</v>
      </c>
      <c r="BH703" s="3">
        <f>+IF(AVANCE[[#This Row],[PISO]]=N$2,100%,AVANCE[[#This Row],[PISO]])</f>
        <v>0</v>
      </c>
      <c r="BI703" s="3">
        <f>+IF(AVANCE[[#This Row],[TABIQUES]]=O$2,100%,AVANCE[[#This Row],[TABIQUES]])</f>
        <v>0</v>
      </c>
      <c r="BJ703" s="3">
        <f>+IF(AVANCE[[#This Row],[MUROS]]=P$2,100%,AVANCE[[#This Row],[MUROS]])</f>
        <v>0</v>
      </c>
      <c r="BK703" s="3">
        <f>+IF(AVANCE[[#This Row],[CIELO]]=Q$2,100%,AVANCE[[#This Row],[CIELO]])</f>
        <v>0</v>
      </c>
      <c r="BL703" s="3">
        <f>+IF(AVANCE[[#This Row],[BALCÓN]]=R$2,100%,AVANCE[[#This Row],[BALCÓN]])</f>
        <v>0</v>
      </c>
      <c r="BM703" s="3">
        <f>+IF(AVANCE[[#This Row],[RED ALCANTARILLADO]]=U$2,100%,AVANCE[[#This Row],[RED ALCANTARILLADO]])</f>
        <v>0</v>
      </c>
      <c r="BN703" s="3">
        <f>+IF(AVANCE[[#This Row],[RED DE AGUA]]=V$2,100%,AVANCE[[#This Row],[RED DE AGUA]])</f>
        <v>0</v>
      </c>
      <c r="BO703" s="3">
        <f>+IF(AVANCE[[#This Row],[VENTILACIONES]]=W$2,100%,AVANCE[[#This Row],[VENTILACIONES]])</f>
        <v>0</v>
      </c>
      <c r="BP703" s="3">
        <f>+IF(AVANCE[[#This Row],[TINA]]=X$2,100%,AVANCE[[#This Row],[TINA]])</f>
        <v>0</v>
      </c>
      <c r="BQ703" s="3">
        <f>+IF(AVANCE[[#This Row],[WC]]=Y$2,100%,AVANCE[[#This Row],[WC]])</f>
        <v>0</v>
      </c>
      <c r="BR703" s="3">
        <f>+IF(AVANCE[[#This Row],[LAVAMANOS / LAVAPLATOS / LAVADERO]]=Z$2,100%,AVANCE[[#This Row],[LAVAMANOS / LAVAPLATOS / LAVADERO]])</f>
        <v>0</v>
      </c>
      <c r="BS703" s="3">
        <f>+IF(AVANCE[[#This Row],[CANALIZACIÓN]]=AC$2,100%,AVANCE[[#This Row],[CANALIZACIÓN]])</f>
        <v>0</v>
      </c>
      <c r="BT703" s="3">
        <f>+IF(AVANCE[[#This Row],[CABLEADO]]=AD$2,100%,AVANCE[[#This Row],[CABLEADO]])</f>
        <v>0</v>
      </c>
      <c r="BU703" s="3">
        <f>+IF(AVANCE[[#This Row],[ARTEFACTOS]]=AE$2,100%,AVANCE[[#This Row],[ARTEFACTOS]])</f>
        <v>0</v>
      </c>
      <c r="BV703" s="3">
        <f>+IF(AVANCE[[#This Row],[TABLERO]]=AF$2,100%,AVANCE[[#This Row],[TABLERO]])</f>
        <v>0</v>
      </c>
      <c r="BW703" s="3">
        <f>+IF(AVANCE[[#This Row],[CAJA PAU]]=AG$2,100%,AVANCE[[#This Row],[CAJA PAU]])</f>
        <v>0</v>
      </c>
      <c r="BX703" s="3">
        <f>+IF(AVANCE[[#This Row],[INSTALACION VINILICO]]=AJ$2,100%,AVANCE[[#This Row],[INSTALACION VINILICO]])</f>
        <v>0</v>
      </c>
      <c r="BY703" s="3">
        <f>+IF(AVANCE[[#This Row],[OSB CUBIERTA]]=AK$2,100%,AVANCE[[#This Row],[OSB CUBIERTA]])</f>
        <v>0</v>
      </c>
      <c r="BZ703" s="3">
        <f>+IF(AVANCE[[#This Row],[BARANDA BALCON]]=AL$2,100%,AVANCE[[#This Row],[BARANDA BALCON]])</f>
        <v>0</v>
      </c>
      <c r="CA703" s="3">
        <f>+IF(AVANCE[[#This Row],[OSB EXTERIOR]]=AM$2,100%,AVANCE[[#This Row],[OSB EXTERIOR]])</f>
        <v>0</v>
      </c>
      <c r="CB703" s="3">
        <f>+IF(AVANCE[[#This Row],[SMART PANEL]]=AN$2,100%,AVANCE[[#This Row],[SMART PANEL]])</f>
        <v>0</v>
      </c>
      <c r="CC703" s="3">
        <f>+IF(AVANCE[[#This Row],[PINTURA EXTERIOR]]=AO$2,100%,AVANCE[[#This Row],[PINTURA EXTERIOR]])</f>
        <v>0</v>
      </c>
      <c r="CD703" s="3">
        <f>+IF(AVANCE[[#This Row],[ZOCALOS LOGIA]]=AP$2,100%,AVANCE[[#This Row],[ZOCALOS LOGIA]])</f>
        <v>0</v>
      </c>
      <c r="CE703" s="3">
        <f>+IF(AVANCE[[#This Row],[MOLDURAS]]=AQ$2,100%,AVANCE[[#This Row],[MOLDURAS]])</f>
        <v>0</v>
      </c>
      <c r="CF703" s="3">
        <f>+IF(AVANCE[[#This Row],[PILASTREO]]=AR$2,100%,AVANCE[[#This Row],[PILASTREO]])</f>
        <v>0</v>
      </c>
      <c r="CG703" s="3">
        <f>+IF(AVANCE[[#This Row],[CELOSIAS]]=AS$2,100%,AVANCE[[#This Row],[CELOSIAS]])</f>
        <v>0</v>
      </c>
      <c r="CH703" s="3">
        <f>+IF(AVANCE[[#This Row],[VENTANAS]]=AT$2,100%,AVANCE[[#This Row],[VENTANAS]])</f>
        <v>0</v>
      </c>
      <c r="CI703" s="3">
        <f>+IF(AVANCE[[#This Row],[PUERTAS ACCESO - LOGIA - BANO]]=AU$2,100%,AVANCE[[#This Row],[PUERTAS ACCESO - LOGIA - BANO]])</f>
        <v>0</v>
      </c>
      <c r="CJ703" s="3">
        <f>+IF(AVANCE[[#This Row],[CERRADURAS]]=AV$2,100%,AVANCE[[#This Row],[CERRADURAS]])</f>
        <v>0</v>
      </c>
      <c r="CK703" s="3">
        <f>+IF(AVANCE[[#This Row],[REVESTIMIENTO INTERIOR ZONA SECA]]=AW$2,100%,AVANCE[[#This Row],[REVESTIMIENTO INTERIOR ZONA SECA]])</f>
        <v>0</v>
      </c>
      <c r="CL703" s="3">
        <f>+IF(AVANCE[[#This Row],[REVESTIMIENTO INTERIOR ZONAS HUMEDAS]]=AX$2,100%,AVANCE[[#This Row],[REVESTIMIENTO INTERIOR ZONAS HUMEDAS]])</f>
        <v>0</v>
      </c>
      <c r="CM703" s="3">
        <f>+IF(AVANCE[[#This Row],[MEMBRANA CIELO]]=AY$2,100%,AVANCE[[#This Row],[MEMBRANA CIELO]])</f>
        <v>0</v>
      </c>
      <c r="CN703" s="3">
        <f>+IF(AVANCE[[#This Row],[LIMPIEZA FINAL]]=AZ$2,100%,AVANCE[[#This Row],[LIMPIEZA FINAL]])</f>
        <v>0</v>
      </c>
      <c r="CO703" s="3">
        <f>+IF(AVANCE[[#This Row],[PUERTAS DORMITORIO]]=BA$2,100%,AVANCE[[#This Row],[PUERTAS DORMITORIO]])</f>
        <v>0</v>
      </c>
      <c r="CP703" s="3">
        <f>+IF(AVANCE[[#This Row],[REVESTIMIENTO INTERIOR BANO]]=BB$2,100%,AVANCE[[#This Row],[REVESTIMIENTO INTERIOR BANO]])</f>
        <v>0</v>
      </c>
      <c r="CQ703" s="3">
        <f>+IF(AVANCE[[#This Row],[MUEBLE LAVAPLATOS]]=BC$2,100%,AVANCE[[#This Row],[MUEBLE LAVAPLATOS]])</f>
        <v>0</v>
      </c>
      <c r="CR703" s="3">
        <f>+IF(AVANCE[[#This Row],[IMPERMEABILIZACION BANO - COCINA LOGIA]]=BD$2,100%,AVANCE[[#This Row],[IMPERMEABILIZACION BANO - COCINA LOGIA]])</f>
        <v>0</v>
      </c>
      <c r="CS703" s="40">
        <f ca="1">+IF(AVANCE[[#This Row],[ESTADO MODULO]]="PENDIENTE",(TODAY()-AVANCE[[#This Row],[FECHA TERMINO  PLANIFICADO]]),0)</f>
        <v>0</v>
      </c>
      <c r="CT703" s="41" t="str" cm="1">
        <f t="array" ref="CT703">_xlfn.TEXTJOIN(" | ",TRUE,IF(SUMPRODUCT((BG703:CR703&lt;1)*(PARTIDAS!$I$2:$AT$2="OBRA GRUESA"))&gt;0,"OBRA GRUESA: "&amp;_xlfn.TEXTJOIN(", ",TRUE,IF((BG703:CR703&lt;1)*(PARTIDAS!$I$2:$AT$2="OBRA GRUESA"),PARTIDAS!$I$1:$AT$1,"")),""),IF(SUMPRODUCT((BG703:CR703&lt;1)*(PARTIDAS!$I$2:$AT$2="SANITARIOS"))&gt;0,"SANITARIOS: "&amp;_xlfn.TEXTJOIN(", ",TRUE,IF((BG703:CR703&lt;1)*(PARTIDAS!$I$2:$AT$2="SANITARIOS"),PARTIDAS!$I$1:$AT$1,"")),""),IF(SUMPRODUCT((BG703:CR703&lt;1)*(PARTIDAS!$I$2:$AT$2="ELÉCTRICO"))&gt;0,"ELÉCTRICO: "&amp;_xlfn.TEXTJOIN(", ",TRUE,IF((BG703:CR703&lt;1)*(PARTIDAS!$I$2:$AT$2="ELÉCTRICO"),PARTIDAS!$I$1:$AT$1,"")),""),IF(SUMPRODUCT((BG703:CR703&lt;1)*(PARTIDAS!$I$2:$AT$2="TERMINACIONES"))&gt;0,"TERMINACIONES: "&amp;_xlfn.TEXTJOIN(", ",TRUE,IF((BG703:CR703&lt;1)*(PARTIDAS!$I$2:$AT$2="TERMINACIONES"),PARTIDAS!$I$1:$AT$1,"")),""))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703" s="43" t="str" cm="1">
        <f t="array" ref="CU703">_xlfn.TEXTJOIN(", ",TRUE,IF(SUMPRODUCT((BG703:CR703&lt;1)*(PARTIDAS!$I$2:$AT$2="OBRA GRUESA"))&gt;0,"OBRA GRUESA",""),IF(SUMPRODUCT((BG703:CR703&lt;1)*(PARTIDAS!$I$2:$AT$2="SANITARIOS"))&gt;0,"SANITARIOS",""),IF(SUMPRODUCT((BG703:CR703&lt;1)*(PARTIDAS!$I$2:$AT$2="ELÉCTRICO"))&gt;0,"ELÉCTRICO",""),IF(SUMPRODUCT((BG703:CR703&lt;1)*(PARTIDAS!$I$2:$AT$2="TERMINACIONES"))&gt;0,"TERMINACIONES",""))</f>
        <v>OBRA GRUESA, SANITARIOS, ELÉCTRICO, TERMINACIONES</v>
      </c>
      <c r="CV703" s="44" cm="1">
        <f t="array" ref="CV703">SUMPRODUCT(--(BG703:CR703&lt;1))</f>
        <v>38</v>
      </c>
    </row>
    <row r="704" spans="1:100" hidden="1" x14ac:dyDescent="0.25">
      <c r="A704" t="s">
        <v>751</v>
      </c>
      <c r="B704" t="s">
        <v>782</v>
      </c>
      <c r="C704">
        <v>2302600703</v>
      </c>
      <c r="D704" t="s">
        <v>60</v>
      </c>
      <c r="E704" s="2">
        <v>0</v>
      </c>
      <c r="F704" s="1">
        <v>46486</v>
      </c>
      <c r="G704" s="1"/>
      <c r="H704" s="1">
        <v>0</v>
      </c>
      <c r="I704" s="1">
        <v>46516</v>
      </c>
      <c r="J704">
        <v>46230</v>
      </c>
      <c r="K704" s="1"/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>
        <v>31.32</v>
      </c>
      <c r="BF704" s="3" t="str">
        <f>+IF(AVANCE[[#This Row],[% AVANCE]]=100%,"MODULO TERMINADO",IF(AVANCE[[#This Row],[FECHA INICIO REAL]]="","MODULO NO INICIADO","PENDIENTE"))</f>
        <v>MODULO NO INICIADO</v>
      </c>
      <c r="BG704" s="3">
        <f>+IF(AVANCE[[#This Row],[VENTANAS]]=8.10810810810811%,100%,AVANCE[[#This Row],[VENTANAS]])</f>
        <v>0</v>
      </c>
      <c r="BH704" s="3">
        <f>+IF(AVANCE[[#This Row],[PISO]]=N$2,100%,AVANCE[[#This Row],[PISO]])</f>
        <v>0</v>
      </c>
      <c r="BI704" s="3">
        <f>+IF(AVANCE[[#This Row],[TABIQUES]]=O$2,100%,AVANCE[[#This Row],[TABIQUES]])</f>
        <v>0</v>
      </c>
      <c r="BJ704" s="3">
        <f>+IF(AVANCE[[#This Row],[MUROS]]=P$2,100%,AVANCE[[#This Row],[MUROS]])</f>
        <v>0</v>
      </c>
      <c r="BK704" s="3">
        <f>+IF(AVANCE[[#This Row],[CIELO]]=Q$2,100%,AVANCE[[#This Row],[CIELO]])</f>
        <v>0</v>
      </c>
      <c r="BL704" s="3">
        <f>+IF(AVANCE[[#This Row],[BALCÓN]]=R$2,100%,AVANCE[[#This Row],[BALCÓN]])</f>
        <v>0</v>
      </c>
      <c r="BM704" s="3">
        <f>+IF(AVANCE[[#This Row],[RED ALCANTARILLADO]]=U$2,100%,AVANCE[[#This Row],[RED ALCANTARILLADO]])</f>
        <v>0</v>
      </c>
      <c r="BN704" s="3">
        <f>+IF(AVANCE[[#This Row],[RED DE AGUA]]=V$2,100%,AVANCE[[#This Row],[RED DE AGUA]])</f>
        <v>0</v>
      </c>
      <c r="BO704" s="3">
        <f>+IF(AVANCE[[#This Row],[VENTILACIONES]]=W$2,100%,AVANCE[[#This Row],[VENTILACIONES]])</f>
        <v>0</v>
      </c>
      <c r="BP704" s="3">
        <f>+IF(AVANCE[[#This Row],[TINA]]=X$2,100%,AVANCE[[#This Row],[TINA]])</f>
        <v>0</v>
      </c>
      <c r="BQ704" s="3">
        <f>+IF(AVANCE[[#This Row],[WC]]=Y$2,100%,AVANCE[[#This Row],[WC]])</f>
        <v>0</v>
      </c>
      <c r="BR704" s="3">
        <f>+IF(AVANCE[[#This Row],[LAVAMANOS / LAVAPLATOS / LAVADERO]]=Z$2,100%,AVANCE[[#This Row],[LAVAMANOS / LAVAPLATOS / LAVADERO]])</f>
        <v>0</v>
      </c>
      <c r="BS704" s="3">
        <f>+IF(AVANCE[[#This Row],[CANALIZACIÓN]]=AC$2,100%,AVANCE[[#This Row],[CANALIZACIÓN]])</f>
        <v>0</v>
      </c>
      <c r="BT704" s="3">
        <f>+IF(AVANCE[[#This Row],[CABLEADO]]=AD$2,100%,AVANCE[[#This Row],[CABLEADO]])</f>
        <v>0</v>
      </c>
      <c r="BU704" s="3">
        <f>+IF(AVANCE[[#This Row],[ARTEFACTOS]]=AE$2,100%,AVANCE[[#This Row],[ARTEFACTOS]])</f>
        <v>0</v>
      </c>
      <c r="BV704" s="3">
        <f>+IF(AVANCE[[#This Row],[TABLERO]]=AF$2,100%,AVANCE[[#This Row],[TABLERO]])</f>
        <v>0</v>
      </c>
      <c r="BW704" s="3">
        <f>+IF(AVANCE[[#This Row],[CAJA PAU]]=AG$2,100%,AVANCE[[#This Row],[CAJA PAU]])</f>
        <v>0</v>
      </c>
      <c r="BX704" s="3">
        <f>+IF(AVANCE[[#This Row],[INSTALACION VINILICO]]=AJ$2,100%,AVANCE[[#This Row],[INSTALACION VINILICO]])</f>
        <v>0</v>
      </c>
      <c r="BY704" s="3">
        <f>+IF(AVANCE[[#This Row],[OSB CUBIERTA]]=AK$2,100%,AVANCE[[#This Row],[OSB CUBIERTA]])</f>
        <v>0</v>
      </c>
      <c r="BZ704" s="3">
        <f>+IF(AVANCE[[#This Row],[BARANDA BALCON]]=AL$2,100%,AVANCE[[#This Row],[BARANDA BALCON]])</f>
        <v>0</v>
      </c>
      <c r="CA704" s="3">
        <f>+IF(AVANCE[[#This Row],[OSB EXTERIOR]]=AM$2,100%,AVANCE[[#This Row],[OSB EXTERIOR]])</f>
        <v>0</v>
      </c>
      <c r="CB704" s="3">
        <f>+IF(AVANCE[[#This Row],[SMART PANEL]]=AN$2,100%,AVANCE[[#This Row],[SMART PANEL]])</f>
        <v>0</v>
      </c>
      <c r="CC704" s="3">
        <f>+IF(AVANCE[[#This Row],[PINTURA EXTERIOR]]=AO$2,100%,AVANCE[[#This Row],[PINTURA EXTERIOR]])</f>
        <v>0</v>
      </c>
      <c r="CD704" s="3">
        <f>+IF(AVANCE[[#This Row],[ZOCALOS LOGIA]]=AP$2,100%,AVANCE[[#This Row],[ZOCALOS LOGIA]])</f>
        <v>0</v>
      </c>
      <c r="CE704" s="3">
        <f>+IF(AVANCE[[#This Row],[MOLDURAS]]=AQ$2,100%,AVANCE[[#This Row],[MOLDURAS]])</f>
        <v>0</v>
      </c>
      <c r="CF704" s="3">
        <f>+IF(AVANCE[[#This Row],[PILASTREO]]=AR$2,100%,AVANCE[[#This Row],[PILASTREO]])</f>
        <v>0</v>
      </c>
      <c r="CG704" s="3">
        <f>+IF(AVANCE[[#This Row],[CELOSIAS]]=AS$2,100%,AVANCE[[#This Row],[CELOSIAS]])</f>
        <v>0</v>
      </c>
      <c r="CH704" s="3">
        <f>+IF(AVANCE[[#This Row],[VENTANAS]]=AT$2,100%,AVANCE[[#This Row],[VENTANAS]])</f>
        <v>0</v>
      </c>
      <c r="CI704" s="3">
        <f>+IF(AVANCE[[#This Row],[PUERTAS ACCESO - LOGIA - BANO]]=AU$2,100%,AVANCE[[#This Row],[PUERTAS ACCESO - LOGIA - BANO]])</f>
        <v>0</v>
      </c>
      <c r="CJ704" s="3">
        <f>+IF(AVANCE[[#This Row],[CERRADURAS]]=AV$2,100%,AVANCE[[#This Row],[CERRADURAS]])</f>
        <v>0</v>
      </c>
      <c r="CK704" s="3">
        <f>+IF(AVANCE[[#This Row],[REVESTIMIENTO INTERIOR ZONA SECA]]=AW$2,100%,AVANCE[[#This Row],[REVESTIMIENTO INTERIOR ZONA SECA]])</f>
        <v>0</v>
      </c>
      <c r="CL704" s="3">
        <f>+IF(AVANCE[[#This Row],[REVESTIMIENTO INTERIOR ZONAS HUMEDAS]]=AX$2,100%,AVANCE[[#This Row],[REVESTIMIENTO INTERIOR ZONAS HUMEDAS]])</f>
        <v>0</v>
      </c>
      <c r="CM704" s="3">
        <f>+IF(AVANCE[[#This Row],[MEMBRANA CIELO]]=AY$2,100%,AVANCE[[#This Row],[MEMBRANA CIELO]])</f>
        <v>0</v>
      </c>
      <c r="CN704" s="3">
        <f>+IF(AVANCE[[#This Row],[LIMPIEZA FINAL]]=AZ$2,100%,AVANCE[[#This Row],[LIMPIEZA FINAL]])</f>
        <v>0</v>
      </c>
      <c r="CO704" s="3">
        <f>+IF(AVANCE[[#This Row],[PUERTAS DORMITORIO]]=BA$2,100%,AVANCE[[#This Row],[PUERTAS DORMITORIO]])</f>
        <v>0</v>
      </c>
      <c r="CP704" s="3">
        <f>+IF(AVANCE[[#This Row],[REVESTIMIENTO INTERIOR BANO]]=BB$2,100%,AVANCE[[#This Row],[REVESTIMIENTO INTERIOR BANO]])</f>
        <v>0</v>
      </c>
      <c r="CQ704" s="3">
        <f>+IF(AVANCE[[#This Row],[MUEBLE LAVAPLATOS]]=BC$2,100%,AVANCE[[#This Row],[MUEBLE LAVAPLATOS]])</f>
        <v>0</v>
      </c>
      <c r="CR704" s="3">
        <f>+IF(AVANCE[[#This Row],[IMPERMEABILIZACION BANO - COCINA LOGIA]]=BD$2,100%,AVANCE[[#This Row],[IMPERMEABILIZACION BANO - COCINA LOGIA]])</f>
        <v>0</v>
      </c>
      <c r="CS704" s="40">
        <f ca="1">+IF(AVANCE[[#This Row],[ESTADO MODULO]]="PENDIENTE",(TODAY()-AVANCE[[#This Row],[FECHA TERMINO  PLANIFICADO]]),0)</f>
        <v>0</v>
      </c>
      <c r="CT704" s="41" t="str" cm="1">
        <f t="array" ref="CT704">_xlfn.TEXTJOIN(" | ",TRUE,IF(SUMPRODUCT((BG704:CR704&lt;1)*(PARTIDAS!$I$2:$AT$2="OBRA GRUESA"))&gt;0,"OBRA GRUESA: "&amp;_xlfn.TEXTJOIN(", ",TRUE,IF((BG704:CR704&lt;1)*(PARTIDAS!$I$2:$AT$2="OBRA GRUESA"),PARTIDAS!$I$1:$AT$1,"")),""),IF(SUMPRODUCT((BG704:CR704&lt;1)*(PARTIDAS!$I$2:$AT$2="SANITARIOS"))&gt;0,"SANITARIOS: "&amp;_xlfn.TEXTJOIN(", ",TRUE,IF((BG704:CR704&lt;1)*(PARTIDAS!$I$2:$AT$2="SANITARIOS"),PARTIDAS!$I$1:$AT$1,"")),""),IF(SUMPRODUCT((BG704:CR704&lt;1)*(PARTIDAS!$I$2:$AT$2="ELÉCTRICO"))&gt;0,"ELÉCTRICO: "&amp;_xlfn.TEXTJOIN(", ",TRUE,IF((BG704:CR704&lt;1)*(PARTIDAS!$I$2:$AT$2="ELÉCTRICO"),PARTIDAS!$I$1:$AT$1,"")),""),IF(SUMPRODUCT((BG704:CR704&lt;1)*(PARTIDAS!$I$2:$AT$2="TERMINACIONES"))&gt;0,"TERMINACIONES: "&amp;_xlfn.TEXTJOIN(", ",TRUE,IF((BG704:CR704&lt;1)*(PARTIDAS!$I$2:$AT$2="TERMINACIONES"),PARTIDAS!$I$1:$AT$1,"")),""))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704" s="43" t="str" cm="1">
        <f t="array" ref="CU704">_xlfn.TEXTJOIN(", ",TRUE,IF(SUMPRODUCT((BG704:CR704&lt;1)*(PARTIDAS!$I$2:$AT$2="OBRA GRUESA"))&gt;0,"OBRA GRUESA",""),IF(SUMPRODUCT((BG704:CR704&lt;1)*(PARTIDAS!$I$2:$AT$2="SANITARIOS"))&gt;0,"SANITARIOS",""),IF(SUMPRODUCT((BG704:CR704&lt;1)*(PARTIDAS!$I$2:$AT$2="ELÉCTRICO"))&gt;0,"ELÉCTRICO",""),IF(SUMPRODUCT((BG704:CR704&lt;1)*(PARTIDAS!$I$2:$AT$2="TERMINACIONES"))&gt;0,"TERMINACIONES",""))</f>
        <v>OBRA GRUESA, SANITARIOS, ELÉCTRICO, TERMINACIONES</v>
      </c>
      <c r="CV704" s="44" cm="1">
        <f t="array" ref="CV704">SUMPRODUCT(--(BG704:CR704&lt;1))</f>
        <v>38</v>
      </c>
    </row>
    <row r="705" spans="1:100" hidden="1" x14ac:dyDescent="0.25">
      <c r="A705" t="s">
        <v>751</v>
      </c>
      <c r="B705" t="s">
        <v>783</v>
      </c>
      <c r="C705">
        <v>2282600704</v>
      </c>
      <c r="D705" t="s">
        <v>58</v>
      </c>
      <c r="E705" s="2">
        <v>0</v>
      </c>
      <c r="F705" s="1">
        <v>46489</v>
      </c>
      <c r="G705" s="1"/>
      <c r="H705" s="1">
        <v>0</v>
      </c>
      <c r="I705" s="1">
        <v>46509</v>
      </c>
      <c r="J705">
        <v>46230</v>
      </c>
      <c r="K705" s="1"/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>
        <v>28.87</v>
      </c>
      <c r="BF705" s="3" t="str">
        <f>+IF(AVANCE[[#This Row],[% AVANCE]]=100%,"MODULO TERMINADO",IF(AVANCE[[#This Row],[FECHA INICIO REAL]]="","MODULO NO INICIADO","PENDIENTE"))</f>
        <v>MODULO NO INICIADO</v>
      </c>
      <c r="BG705" s="3">
        <f>+IF(AVANCE[[#This Row],[VENTANAS]]=8.10810810810811%,100%,AVANCE[[#This Row],[VENTANAS]])</f>
        <v>0</v>
      </c>
      <c r="BH705" s="3">
        <f>+IF(AVANCE[[#This Row],[PISO]]=N$2,100%,AVANCE[[#This Row],[PISO]])</f>
        <v>0</v>
      </c>
      <c r="BI705" s="3">
        <f>+IF(AVANCE[[#This Row],[TABIQUES]]=O$2,100%,AVANCE[[#This Row],[TABIQUES]])</f>
        <v>0</v>
      </c>
      <c r="BJ705" s="3">
        <f>+IF(AVANCE[[#This Row],[MUROS]]=P$2,100%,AVANCE[[#This Row],[MUROS]])</f>
        <v>0</v>
      </c>
      <c r="BK705" s="3">
        <f>+IF(AVANCE[[#This Row],[CIELO]]=Q$2,100%,AVANCE[[#This Row],[CIELO]])</f>
        <v>0</v>
      </c>
      <c r="BL705" s="3">
        <f>+IF(AVANCE[[#This Row],[BALCÓN]]=R$2,100%,AVANCE[[#This Row],[BALCÓN]])</f>
        <v>0</v>
      </c>
      <c r="BM705" s="3">
        <f>+IF(AVANCE[[#This Row],[RED ALCANTARILLADO]]=U$2,100%,AVANCE[[#This Row],[RED ALCANTARILLADO]])</f>
        <v>0</v>
      </c>
      <c r="BN705" s="3">
        <f>+IF(AVANCE[[#This Row],[RED DE AGUA]]=V$2,100%,AVANCE[[#This Row],[RED DE AGUA]])</f>
        <v>0</v>
      </c>
      <c r="BO705" s="3">
        <f>+IF(AVANCE[[#This Row],[VENTILACIONES]]=W$2,100%,AVANCE[[#This Row],[VENTILACIONES]])</f>
        <v>0</v>
      </c>
      <c r="BP705" s="3">
        <f>+IF(AVANCE[[#This Row],[TINA]]=X$2,100%,AVANCE[[#This Row],[TINA]])</f>
        <v>0</v>
      </c>
      <c r="BQ705" s="3">
        <f>+IF(AVANCE[[#This Row],[WC]]=Y$2,100%,AVANCE[[#This Row],[WC]])</f>
        <v>0</v>
      </c>
      <c r="BR705" s="3">
        <f>+IF(AVANCE[[#This Row],[LAVAMANOS / LAVAPLATOS / LAVADERO]]=Z$2,100%,AVANCE[[#This Row],[LAVAMANOS / LAVAPLATOS / LAVADERO]])</f>
        <v>0</v>
      </c>
      <c r="BS705" s="3">
        <f>+IF(AVANCE[[#This Row],[CANALIZACIÓN]]=AC$2,100%,AVANCE[[#This Row],[CANALIZACIÓN]])</f>
        <v>0</v>
      </c>
      <c r="BT705" s="3">
        <f>+IF(AVANCE[[#This Row],[CABLEADO]]=AD$2,100%,AVANCE[[#This Row],[CABLEADO]])</f>
        <v>0</v>
      </c>
      <c r="BU705" s="3">
        <f>+IF(AVANCE[[#This Row],[ARTEFACTOS]]=AE$2,100%,AVANCE[[#This Row],[ARTEFACTOS]])</f>
        <v>0</v>
      </c>
      <c r="BV705" s="3">
        <f>+IF(AVANCE[[#This Row],[TABLERO]]=AF$2,100%,AVANCE[[#This Row],[TABLERO]])</f>
        <v>0</v>
      </c>
      <c r="BW705" s="3">
        <f>+IF(AVANCE[[#This Row],[CAJA PAU]]=AG$2,100%,AVANCE[[#This Row],[CAJA PAU]])</f>
        <v>0</v>
      </c>
      <c r="BX705" s="3">
        <f>+IF(AVANCE[[#This Row],[INSTALACION VINILICO]]=AJ$2,100%,AVANCE[[#This Row],[INSTALACION VINILICO]])</f>
        <v>0</v>
      </c>
      <c r="BY705" s="3">
        <f>+IF(AVANCE[[#This Row],[OSB CUBIERTA]]=AK$2,100%,AVANCE[[#This Row],[OSB CUBIERTA]])</f>
        <v>0</v>
      </c>
      <c r="BZ705" s="3">
        <f>+IF(AVANCE[[#This Row],[BARANDA BALCON]]=AL$2,100%,AVANCE[[#This Row],[BARANDA BALCON]])</f>
        <v>0</v>
      </c>
      <c r="CA705" s="3">
        <f>+IF(AVANCE[[#This Row],[OSB EXTERIOR]]=AM$2,100%,AVANCE[[#This Row],[OSB EXTERIOR]])</f>
        <v>0</v>
      </c>
      <c r="CB705" s="3">
        <f>+IF(AVANCE[[#This Row],[SMART PANEL]]=AN$2,100%,AVANCE[[#This Row],[SMART PANEL]])</f>
        <v>0</v>
      </c>
      <c r="CC705" s="3">
        <f>+IF(AVANCE[[#This Row],[PINTURA EXTERIOR]]=AO$2,100%,AVANCE[[#This Row],[PINTURA EXTERIOR]])</f>
        <v>0</v>
      </c>
      <c r="CD705" s="3">
        <f>+IF(AVANCE[[#This Row],[ZOCALOS LOGIA]]=AP$2,100%,AVANCE[[#This Row],[ZOCALOS LOGIA]])</f>
        <v>0</v>
      </c>
      <c r="CE705" s="3">
        <f>+IF(AVANCE[[#This Row],[MOLDURAS]]=AQ$2,100%,AVANCE[[#This Row],[MOLDURAS]])</f>
        <v>0</v>
      </c>
      <c r="CF705" s="3">
        <f>+IF(AVANCE[[#This Row],[PILASTREO]]=AR$2,100%,AVANCE[[#This Row],[PILASTREO]])</f>
        <v>0</v>
      </c>
      <c r="CG705" s="3">
        <f>+IF(AVANCE[[#This Row],[CELOSIAS]]=AS$2,100%,AVANCE[[#This Row],[CELOSIAS]])</f>
        <v>0</v>
      </c>
      <c r="CH705" s="3">
        <f>+IF(AVANCE[[#This Row],[VENTANAS]]=AT$2,100%,AVANCE[[#This Row],[VENTANAS]])</f>
        <v>0</v>
      </c>
      <c r="CI705" s="3">
        <f>+IF(AVANCE[[#This Row],[PUERTAS ACCESO - LOGIA - BANO]]=AU$2,100%,AVANCE[[#This Row],[PUERTAS ACCESO - LOGIA - BANO]])</f>
        <v>0</v>
      </c>
      <c r="CJ705" s="3">
        <f>+IF(AVANCE[[#This Row],[CERRADURAS]]=AV$2,100%,AVANCE[[#This Row],[CERRADURAS]])</f>
        <v>0</v>
      </c>
      <c r="CK705" s="3">
        <f>+IF(AVANCE[[#This Row],[REVESTIMIENTO INTERIOR ZONA SECA]]=AW$2,100%,AVANCE[[#This Row],[REVESTIMIENTO INTERIOR ZONA SECA]])</f>
        <v>0</v>
      </c>
      <c r="CL705" s="3">
        <f>+IF(AVANCE[[#This Row],[REVESTIMIENTO INTERIOR ZONAS HUMEDAS]]=AX$2,100%,AVANCE[[#This Row],[REVESTIMIENTO INTERIOR ZONAS HUMEDAS]])</f>
        <v>0</v>
      </c>
      <c r="CM705" s="3">
        <f>+IF(AVANCE[[#This Row],[MEMBRANA CIELO]]=AY$2,100%,AVANCE[[#This Row],[MEMBRANA CIELO]])</f>
        <v>0</v>
      </c>
      <c r="CN705" s="3">
        <f>+IF(AVANCE[[#This Row],[LIMPIEZA FINAL]]=AZ$2,100%,AVANCE[[#This Row],[LIMPIEZA FINAL]])</f>
        <v>0</v>
      </c>
      <c r="CO705" s="3">
        <f>+IF(AVANCE[[#This Row],[PUERTAS DORMITORIO]]=BA$2,100%,AVANCE[[#This Row],[PUERTAS DORMITORIO]])</f>
        <v>0</v>
      </c>
      <c r="CP705" s="3">
        <f>+IF(AVANCE[[#This Row],[REVESTIMIENTO INTERIOR BANO]]=BB$2,100%,AVANCE[[#This Row],[REVESTIMIENTO INTERIOR BANO]])</f>
        <v>0</v>
      </c>
      <c r="CQ705" s="3">
        <f>+IF(AVANCE[[#This Row],[MUEBLE LAVAPLATOS]]=BC$2,100%,AVANCE[[#This Row],[MUEBLE LAVAPLATOS]])</f>
        <v>0</v>
      </c>
      <c r="CR705" s="3">
        <f>+IF(AVANCE[[#This Row],[IMPERMEABILIZACION BANO - COCINA LOGIA]]=BD$2,100%,AVANCE[[#This Row],[IMPERMEABILIZACION BANO - COCINA LOGIA]])</f>
        <v>0</v>
      </c>
      <c r="CS705" s="40">
        <f ca="1">+IF(AVANCE[[#This Row],[ESTADO MODULO]]="PENDIENTE",(TODAY()-AVANCE[[#This Row],[FECHA TERMINO  PLANIFICADO]]),0)</f>
        <v>0</v>
      </c>
      <c r="CT705" s="41" t="str" cm="1">
        <f t="array" ref="CT705">_xlfn.TEXTJOIN(" | ",TRUE,IF(SUMPRODUCT((BG705:CR705&lt;1)*(PARTIDAS!$I$2:$AT$2="OBRA GRUESA"))&gt;0,"OBRA GRUESA: "&amp;_xlfn.TEXTJOIN(", ",TRUE,IF((BG705:CR705&lt;1)*(PARTIDAS!$I$2:$AT$2="OBRA GRUESA"),PARTIDAS!$I$1:$AT$1,"")),""),IF(SUMPRODUCT((BG705:CR705&lt;1)*(PARTIDAS!$I$2:$AT$2="SANITARIOS"))&gt;0,"SANITARIOS: "&amp;_xlfn.TEXTJOIN(", ",TRUE,IF((BG705:CR705&lt;1)*(PARTIDAS!$I$2:$AT$2="SANITARIOS"),PARTIDAS!$I$1:$AT$1,"")),""),IF(SUMPRODUCT((BG705:CR705&lt;1)*(PARTIDAS!$I$2:$AT$2="ELÉCTRICO"))&gt;0,"ELÉCTRICO: "&amp;_xlfn.TEXTJOIN(", ",TRUE,IF((BG705:CR705&lt;1)*(PARTIDAS!$I$2:$AT$2="ELÉCTRICO"),PARTIDAS!$I$1:$AT$1,"")),""),IF(SUMPRODUCT((BG705:CR705&lt;1)*(PARTIDAS!$I$2:$AT$2="TERMINACIONES"))&gt;0,"TERMINACIONES: "&amp;_xlfn.TEXTJOIN(", ",TRUE,IF((BG705:CR705&lt;1)*(PARTIDAS!$I$2:$AT$2="TERMINACIONES"),PARTIDAS!$I$1:$AT$1,"")),""))</f>
        <v>OBRA GRUESA: PISO, TABIQUES, MUROS, CIELO, BALCÓN | SANITARIOS: RED ALCANTARILLADO, RED DE AGUA, VENTILACIONES, TINA, WC, LAVAMANOS / LAVAPLATOS / LAVADERO | ELÉCTRICO: CANALIZACIÓN, CABLEADO, ARTEFACTOS, TABLERO, CAJA PAU | TERMINACIONES: VENTANAS, INSTALACION VINILICO, OSB CUBIERTA, BARANDA BALCON, OSB EXTERIOR, SMART PANEL, PINTURA EXTERIOR, ZOCALOS LOGIA, MOLDURAS, PILASTREO, CELOSIAS, VENTANAS (TERM), PUERTAS ACCESO - LOGIA - BANO, CERRADURAS, REVESTIMIENTO INTERIOR ZONA SECA, REVESTIMIENTO INTERIOR ZONAS HUMEDAS, MEMBRANA CIELO, LIMPIEZA FINAL, PUERTAS DORMITORIO, REVESTIMIENTO INTERIOR BANO, MUEBLE LAVAPLATOS, IMPERMEABILIZACION BANO - COCINA LOGIA</v>
      </c>
      <c r="CU705" s="43" t="str" cm="1">
        <f t="array" ref="CU705">_xlfn.TEXTJOIN(", ",TRUE,IF(SUMPRODUCT((BG705:CR705&lt;1)*(PARTIDAS!$I$2:$AT$2="OBRA GRUESA"))&gt;0,"OBRA GRUESA",""),IF(SUMPRODUCT((BG705:CR705&lt;1)*(PARTIDAS!$I$2:$AT$2="SANITARIOS"))&gt;0,"SANITARIOS",""),IF(SUMPRODUCT((BG705:CR705&lt;1)*(PARTIDAS!$I$2:$AT$2="ELÉCTRICO"))&gt;0,"ELÉCTRICO",""),IF(SUMPRODUCT((BG705:CR705&lt;1)*(PARTIDAS!$I$2:$AT$2="TERMINACIONES"))&gt;0,"TERMINACIONES",""))</f>
        <v>OBRA GRUESA, SANITARIOS, ELÉCTRICO, TERMINACIONES</v>
      </c>
      <c r="CV705" s="44" cm="1">
        <f t="array" ref="CV705">SUMPRODUCT(--(BG705:CR705&lt;1))</f>
        <v>38</v>
      </c>
    </row>
  </sheetData>
  <conditionalFormatting sqref="E1:E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{B662C5B7-9B2C-4573-A021-EFCE45990F34}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62C5B7-9B2C-4573-A021-EFCE45990F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5112-9103-4E7A-84CD-4536AC31D38F}">
  <dimension ref="A1:AT38"/>
  <sheetViews>
    <sheetView zoomScaleNormal="100" workbookViewId="0">
      <selection activeCell="F16" sqref="F16"/>
    </sheetView>
  </sheetViews>
  <sheetFormatPr baseColWidth="10" defaultColWidth="11.5703125" defaultRowHeight="15" x14ac:dyDescent="0.25"/>
  <cols>
    <col min="1" max="1" width="39.140625" bestFit="1" customWidth="1"/>
    <col min="2" max="2" width="16.140625" hidden="1" customWidth="1"/>
    <col min="3" max="3" width="10.42578125" hidden="1" customWidth="1"/>
    <col min="4" max="4" width="20.42578125" hidden="1" customWidth="1"/>
    <col min="5" max="6" width="15" customWidth="1"/>
    <col min="7" max="7" width="15" style="55" customWidth="1"/>
    <col min="8" max="8" width="15.5703125" bestFit="1" customWidth="1"/>
  </cols>
  <sheetData>
    <row r="1" spans="1:46" x14ac:dyDescent="0.25">
      <c r="A1" s="26" t="s">
        <v>784</v>
      </c>
      <c r="B1" s="4" t="s">
        <v>785</v>
      </c>
      <c r="C1" s="5" t="s">
        <v>786</v>
      </c>
      <c r="D1" s="4" t="s">
        <v>787</v>
      </c>
      <c r="E1" s="4" t="s">
        <v>788</v>
      </c>
      <c r="F1" s="21" t="s">
        <v>913</v>
      </c>
      <c r="G1" s="54" t="s">
        <v>912</v>
      </c>
      <c r="H1" s="21" t="s">
        <v>911</v>
      </c>
      <c r="I1" t="s">
        <v>45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906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</row>
    <row r="2" spans="1:46" x14ac:dyDescent="0.25">
      <c r="A2" s="27" t="s">
        <v>789</v>
      </c>
      <c r="B2" s="6" t="s">
        <v>12</v>
      </c>
      <c r="C2" s="7">
        <v>0.12</v>
      </c>
      <c r="D2" s="8">
        <f>C2/SUM($C$2:$C$6)</f>
        <v>0.2857142857142857</v>
      </c>
      <c r="E2" s="22">
        <f>SUM(C2:C6)</f>
        <v>0.42000000000000004</v>
      </c>
      <c r="F2" s="46" t="s">
        <v>914</v>
      </c>
      <c r="G2" s="50">
        <v>1</v>
      </c>
      <c r="H2">
        <v>1</v>
      </c>
      <c r="I2" t="s">
        <v>34</v>
      </c>
      <c r="J2" t="s">
        <v>12</v>
      </c>
      <c r="K2" t="s">
        <v>12</v>
      </c>
      <c r="L2" t="s">
        <v>12</v>
      </c>
      <c r="M2" t="s">
        <v>12</v>
      </c>
      <c r="N2" t="s">
        <v>12</v>
      </c>
      <c r="O2" t="s">
        <v>799</v>
      </c>
      <c r="P2" t="s">
        <v>799</v>
      </c>
      <c r="Q2" t="s">
        <v>799</v>
      </c>
      <c r="R2" t="s">
        <v>799</v>
      </c>
      <c r="S2" t="s">
        <v>799</v>
      </c>
      <c r="T2" t="s">
        <v>799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  <c r="AJ2" t="s">
        <v>34</v>
      </c>
      <c r="AK2" t="s">
        <v>34</v>
      </c>
      <c r="AL2" t="s">
        <v>34</v>
      </c>
      <c r="AM2" t="s">
        <v>34</v>
      </c>
      <c r="AN2" t="s">
        <v>34</v>
      </c>
      <c r="AO2" t="s">
        <v>34</v>
      </c>
      <c r="AP2" t="s">
        <v>34</v>
      </c>
      <c r="AQ2" t="s">
        <v>34</v>
      </c>
      <c r="AR2" t="s">
        <v>34</v>
      </c>
      <c r="AS2" t="s">
        <v>34</v>
      </c>
      <c r="AT2" t="s">
        <v>34</v>
      </c>
    </row>
    <row r="3" spans="1:46" x14ac:dyDescent="0.25">
      <c r="A3" s="27" t="s">
        <v>790</v>
      </c>
      <c r="B3" s="6" t="s">
        <v>12</v>
      </c>
      <c r="C3" s="7">
        <v>0.08</v>
      </c>
      <c r="D3" s="8">
        <f>C3/SUM($C$2:$C$6)</f>
        <v>0.19047619047619047</v>
      </c>
      <c r="E3" s="22"/>
      <c r="F3" s="46" t="s">
        <v>914</v>
      </c>
      <c r="G3" s="50">
        <v>4</v>
      </c>
      <c r="H3">
        <v>1</v>
      </c>
      <c r="I3" t="s">
        <v>908</v>
      </c>
    </row>
    <row r="4" spans="1:46" x14ac:dyDescent="0.25">
      <c r="A4" s="27" t="s">
        <v>791</v>
      </c>
      <c r="B4" s="6" t="s">
        <v>12</v>
      </c>
      <c r="C4" s="7">
        <v>0.11</v>
      </c>
      <c r="D4" s="8">
        <f>C4/SUM($C$2:$C$6)</f>
        <v>0.26190476190476186</v>
      </c>
      <c r="E4" s="22"/>
      <c r="F4" s="46" t="s">
        <v>914</v>
      </c>
      <c r="G4" s="50">
        <v>2</v>
      </c>
      <c r="H4">
        <v>1</v>
      </c>
    </row>
    <row r="5" spans="1:46" x14ac:dyDescent="0.25">
      <c r="A5" s="27" t="s">
        <v>792</v>
      </c>
      <c r="B5" s="6" t="s">
        <v>12</v>
      </c>
      <c r="C5" s="7">
        <v>0.08</v>
      </c>
      <c r="D5" s="8">
        <f>C5/SUM($C$2:$C$6)</f>
        <v>0.19047619047619047</v>
      </c>
      <c r="E5" s="22"/>
      <c r="F5" s="46" t="s">
        <v>914</v>
      </c>
      <c r="G5" s="50">
        <v>3</v>
      </c>
      <c r="H5">
        <v>1</v>
      </c>
    </row>
    <row r="6" spans="1:46" x14ac:dyDescent="0.25">
      <c r="A6" s="28" t="s">
        <v>794</v>
      </c>
      <c r="B6" s="9" t="s">
        <v>27</v>
      </c>
      <c r="C6" s="10">
        <v>0.03</v>
      </c>
      <c r="D6" s="11">
        <f>C6/SUM(C$7:C$11)</f>
        <v>0.37500000000000006</v>
      </c>
      <c r="E6" s="23">
        <f>SUM(C6:C10)</f>
        <v>0.1</v>
      </c>
      <c r="F6" s="47" t="s">
        <v>914</v>
      </c>
      <c r="G6" s="51">
        <v>10</v>
      </c>
      <c r="H6">
        <v>1</v>
      </c>
    </row>
    <row r="7" spans="1:46" x14ac:dyDescent="0.25">
      <c r="A7" s="29" t="s">
        <v>20</v>
      </c>
      <c r="B7" s="12" t="s">
        <v>799</v>
      </c>
      <c r="C7" s="13">
        <v>0.02</v>
      </c>
      <c r="D7" s="14">
        <f>C7/SUM(C$12:C$17)</f>
        <v>0.15384615384615385</v>
      </c>
      <c r="E7" s="24">
        <f>SUM(C7:C12)</f>
        <v>9.9999999999999992E-2</v>
      </c>
      <c r="F7" s="48" t="s">
        <v>914</v>
      </c>
      <c r="G7" s="52">
        <v>6</v>
      </c>
      <c r="H7">
        <v>3</v>
      </c>
    </row>
    <row r="8" spans="1:46" x14ac:dyDescent="0.25">
      <c r="A8" s="29" t="s">
        <v>21</v>
      </c>
      <c r="B8" s="12" t="s">
        <v>799</v>
      </c>
      <c r="C8" s="13">
        <v>0.02</v>
      </c>
      <c r="D8" s="14">
        <f>C8/SUM(C$12:C$17)</f>
        <v>0.15384615384615385</v>
      </c>
      <c r="E8" s="24"/>
      <c r="F8" s="48" t="s">
        <v>914</v>
      </c>
      <c r="G8" s="52">
        <v>5</v>
      </c>
      <c r="H8">
        <v>3</v>
      </c>
    </row>
    <row r="9" spans="1:46" x14ac:dyDescent="0.25">
      <c r="A9" s="31" t="s">
        <v>36</v>
      </c>
      <c r="B9" s="17" t="s">
        <v>34</v>
      </c>
      <c r="C9" s="18">
        <v>0.02</v>
      </c>
      <c r="D9" s="19">
        <f t="shared" ref="D9:D22" si="0">C9/SUM(C$18:C$38)</f>
        <v>5.4054054054054036E-2</v>
      </c>
      <c r="E9" s="25">
        <f>SUM(C9:C29)</f>
        <v>0.37</v>
      </c>
      <c r="F9" s="49" t="s">
        <v>914</v>
      </c>
      <c r="G9" s="53">
        <v>11</v>
      </c>
      <c r="H9">
        <v>1</v>
      </c>
    </row>
    <row r="10" spans="1:46" x14ac:dyDescent="0.25">
      <c r="A10" s="31" t="s">
        <v>50</v>
      </c>
      <c r="B10" s="17" t="s">
        <v>34</v>
      </c>
      <c r="C10" s="18">
        <v>0.01</v>
      </c>
      <c r="D10" s="19">
        <f t="shared" si="0"/>
        <v>2.7027027027027018E-2</v>
      </c>
      <c r="E10" s="25"/>
      <c r="F10" s="49" t="s">
        <v>914</v>
      </c>
      <c r="G10" s="53">
        <v>12</v>
      </c>
      <c r="H10">
        <v>1</v>
      </c>
    </row>
    <row r="11" spans="1:46" x14ac:dyDescent="0.25">
      <c r="A11" s="31" t="s">
        <v>801</v>
      </c>
      <c r="B11" s="17" t="s">
        <v>34</v>
      </c>
      <c r="C11" s="18">
        <v>0.01</v>
      </c>
      <c r="D11" s="19">
        <f t="shared" si="0"/>
        <v>2.7027027027027018E-2</v>
      </c>
      <c r="E11" s="25"/>
      <c r="F11" s="49" t="s">
        <v>914</v>
      </c>
      <c r="G11" s="53">
        <v>9</v>
      </c>
      <c r="H11">
        <v>2</v>
      </c>
    </row>
    <row r="12" spans="1:46" x14ac:dyDescent="0.25">
      <c r="A12" s="31" t="s">
        <v>802</v>
      </c>
      <c r="B12" s="17" t="s">
        <v>34</v>
      </c>
      <c r="C12" s="18">
        <v>0.02</v>
      </c>
      <c r="D12" s="19">
        <f t="shared" si="0"/>
        <v>5.4054054054054036E-2</v>
      </c>
      <c r="E12" s="25"/>
      <c r="F12" s="49" t="s">
        <v>914</v>
      </c>
      <c r="G12" s="53">
        <v>7</v>
      </c>
      <c r="H12">
        <v>2</v>
      </c>
    </row>
    <row r="13" spans="1:46" x14ac:dyDescent="0.25">
      <c r="A13" s="31" t="s">
        <v>803</v>
      </c>
      <c r="B13" s="17" t="s">
        <v>34</v>
      </c>
      <c r="C13" s="18">
        <v>0.02</v>
      </c>
      <c r="D13" s="19">
        <f t="shared" si="0"/>
        <v>5.4054054054054036E-2</v>
      </c>
      <c r="E13" s="25"/>
      <c r="F13" s="49" t="s">
        <v>914</v>
      </c>
      <c r="G13" s="53">
        <v>8</v>
      </c>
      <c r="H13">
        <v>2</v>
      </c>
    </row>
    <row r="14" spans="1:46" x14ac:dyDescent="0.25">
      <c r="A14" s="31" t="s">
        <v>804</v>
      </c>
      <c r="B14" s="17" t="s">
        <v>34</v>
      </c>
      <c r="C14" s="18">
        <v>0.03</v>
      </c>
      <c r="D14" s="19">
        <f t="shared" si="0"/>
        <v>8.1081081081081058E-2</v>
      </c>
      <c r="E14" s="25"/>
      <c r="F14" s="49" t="s">
        <v>914</v>
      </c>
      <c r="G14" s="53">
        <v>15</v>
      </c>
      <c r="H14">
        <v>3</v>
      </c>
    </row>
    <row r="15" spans="1:46" x14ac:dyDescent="0.25">
      <c r="A15" s="31" t="s">
        <v>805</v>
      </c>
      <c r="B15" s="17" t="s">
        <v>34</v>
      </c>
      <c r="C15" s="18">
        <v>0.02</v>
      </c>
      <c r="D15" s="19">
        <f t="shared" si="0"/>
        <v>5.4054054054054036E-2</v>
      </c>
      <c r="E15" s="25"/>
      <c r="F15" s="49" t="s">
        <v>914</v>
      </c>
      <c r="G15" s="53">
        <v>14</v>
      </c>
      <c r="H15">
        <v>2</v>
      </c>
    </row>
    <row r="16" spans="1:46" x14ac:dyDescent="0.25">
      <c r="A16" s="32" t="s">
        <v>808</v>
      </c>
      <c r="B16" s="17" t="s">
        <v>34</v>
      </c>
      <c r="C16" s="18">
        <v>0.02</v>
      </c>
      <c r="D16" s="19">
        <f t="shared" si="0"/>
        <v>5.4054054054054036E-2</v>
      </c>
      <c r="E16" s="25"/>
      <c r="F16" s="49" t="s">
        <v>914</v>
      </c>
      <c r="G16" s="53">
        <v>16</v>
      </c>
      <c r="H16">
        <v>1</v>
      </c>
    </row>
    <row r="17" spans="1:8" x14ac:dyDescent="0.25">
      <c r="A17" s="32" t="s">
        <v>809</v>
      </c>
      <c r="B17" s="17" t="s">
        <v>34</v>
      </c>
      <c r="C17" s="18">
        <v>0.02</v>
      </c>
      <c r="D17" s="19">
        <f t="shared" si="0"/>
        <v>5.4054054054054036E-2</v>
      </c>
      <c r="E17" s="25"/>
      <c r="F17" s="49" t="s">
        <v>914</v>
      </c>
      <c r="G17" s="53">
        <v>17</v>
      </c>
      <c r="H17">
        <v>1</v>
      </c>
    </row>
    <row r="18" spans="1:8" x14ac:dyDescent="0.25">
      <c r="A18" s="31" t="s">
        <v>810</v>
      </c>
      <c r="B18" s="17" t="s">
        <v>34</v>
      </c>
      <c r="C18" s="18">
        <v>0.01</v>
      </c>
      <c r="D18" s="19">
        <f t="shared" si="0"/>
        <v>2.7027027027027018E-2</v>
      </c>
      <c r="E18" s="25"/>
      <c r="F18" s="49" t="s">
        <v>914</v>
      </c>
      <c r="G18" s="53">
        <v>18</v>
      </c>
      <c r="H18">
        <v>1</v>
      </c>
    </row>
    <row r="19" spans="1:8" x14ac:dyDescent="0.25">
      <c r="A19" s="31" t="s">
        <v>811</v>
      </c>
      <c r="B19" s="17" t="s">
        <v>34</v>
      </c>
      <c r="C19" s="20">
        <v>0.02</v>
      </c>
      <c r="D19" s="19">
        <f t="shared" si="0"/>
        <v>5.4054054054054036E-2</v>
      </c>
      <c r="E19" s="25"/>
      <c r="F19" s="49" t="s">
        <v>914</v>
      </c>
      <c r="G19" s="53">
        <v>13</v>
      </c>
      <c r="H19">
        <v>3</v>
      </c>
    </row>
    <row r="20" spans="1:8" x14ac:dyDescent="0.25">
      <c r="A20" s="31" t="s">
        <v>812</v>
      </c>
      <c r="B20" s="17" t="s">
        <v>34</v>
      </c>
      <c r="C20" s="20">
        <v>5.0000000000000001E-3</v>
      </c>
      <c r="D20" s="19">
        <f t="shared" si="0"/>
        <v>1.3513513513513509E-2</v>
      </c>
      <c r="E20" s="25"/>
      <c r="F20" s="49" t="s">
        <v>914</v>
      </c>
      <c r="G20" s="53">
        <v>20</v>
      </c>
      <c r="H20">
        <v>1</v>
      </c>
    </row>
    <row r="21" spans="1:8" x14ac:dyDescent="0.25">
      <c r="A21" s="31" t="s">
        <v>813</v>
      </c>
      <c r="B21" s="17" t="s">
        <v>34</v>
      </c>
      <c r="C21" s="20">
        <v>1.4999999999999999E-2</v>
      </c>
      <c r="D21" s="19">
        <f t="shared" si="0"/>
        <v>4.0540540540540529E-2</v>
      </c>
      <c r="E21" s="25"/>
      <c r="F21" s="49" t="s">
        <v>914</v>
      </c>
      <c r="G21" s="53">
        <v>19</v>
      </c>
      <c r="H21">
        <v>1</v>
      </c>
    </row>
    <row r="22" spans="1:8" x14ac:dyDescent="0.25">
      <c r="A22" s="31" t="s">
        <v>817</v>
      </c>
      <c r="B22" s="17" t="s">
        <v>34</v>
      </c>
      <c r="C22" s="18">
        <v>1.4999999999999999E-2</v>
      </c>
      <c r="D22" s="19">
        <f t="shared" si="0"/>
        <v>4.0540540540540529E-2</v>
      </c>
      <c r="E22" s="25"/>
      <c r="F22" s="49" t="s">
        <v>914</v>
      </c>
      <c r="G22" s="53">
        <v>21</v>
      </c>
      <c r="H22">
        <v>2</v>
      </c>
    </row>
    <row r="23" spans="1:8" x14ac:dyDescent="0.25">
      <c r="A23" s="27" t="s">
        <v>793</v>
      </c>
      <c r="B23" s="6" t="s">
        <v>12</v>
      </c>
      <c r="C23" s="7">
        <v>0.04</v>
      </c>
      <c r="D23" s="8">
        <f>C23/SUM($C$2:$C$6)</f>
        <v>9.5238095238095233E-2</v>
      </c>
      <c r="E23" s="22"/>
      <c r="F23" s="46" t="s">
        <v>916</v>
      </c>
      <c r="G23" s="50">
        <v>1</v>
      </c>
      <c r="H23">
        <v>3</v>
      </c>
    </row>
    <row r="24" spans="1:8" x14ac:dyDescent="0.25">
      <c r="A24" s="28" t="s">
        <v>795</v>
      </c>
      <c r="B24" s="9" t="s">
        <v>27</v>
      </c>
      <c r="C24" s="10">
        <v>0.03</v>
      </c>
      <c r="D24" s="11">
        <f>C24/SUM(C$7:C$11)</f>
        <v>0.37500000000000006</v>
      </c>
      <c r="E24" s="23"/>
      <c r="F24" s="47" t="s">
        <v>916</v>
      </c>
      <c r="G24" s="51">
        <v>2</v>
      </c>
      <c r="H24">
        <v>2</v>
      </c>
    </row>
    <row r="25" spans="1:8" x14ac:dyDescent="0.25">
      <c r="A25" s="28" t="s">
        <v>796</v>
      </c>
      <c r="B25" s="9" t="s">
        <v>27</v>
      </c>
      <c r="C25" s="10">
        <v>0.01</v>
      </c>
      <c r="D25" s="11">
        <f>C25/SUM(C$7:C$11)</f>
        <v>0.12500000000000003</v>
      </c>
      <c r="E25" s="23"/>
      <c r="F25" s="47" t="s">
        <v>916</v>
      </c>
      <c r="G25" s="51">
        <v>4</v>
      </c>
      <c r="H25">
        <v>1</v>
      </c>
    </row>
    <row r="26" spans="1:8" x14ac:dyDescent="0.25">
      <c r="A26" s="28" t="s">
        <v>797</v>
      </c>
      <c r="B26" s="9" t="s">
        <v>27</v>
      </c>
      <c r="C26" s="10">
        <v>0.02</v>
      </c>
      <c r="D26" s="11">
        <f>C26/SUM(C$7:C$11)</f>
        <v>0.25000000000000006</v>
      </c>
      <c r="E26" s="23"/>
      <c r="F26" s="47" t="s">
        <v>916</v>
      </c>
      <c r="G26" s="51">
        <v>5</v>
      </c>
      <c r="H26">
        <v>3</v>
      </c>
    </row>
    <row r="27" spans="1:8" x14ac:dyDescent="0.25">
      <c r="A27" s="28" t="s">
        <v>798</v>
      </c>
      <c r="B27" s="9" t="s">
        <v>27</v>
      </c>
      <c r="C27" s="10">
        <v>0.02</v>
      </c>
      <c r="D27" s="11">
        <f>C27/SUM(C$7:C$11)</f>
        <v>0.25000000000000006</v>
      </c>
      <c r="E27" s="23"/>
      <c r="F27" s="47" t="s">
        <v>916</v>
      </c>
      <c r="G27" s="51">
        <v>7</v>
      </c>
      <c r="H27">
        <v>1</v>
      </c>
    </row>
    <row r="28" spans="1:8" x14ac:dyDescent="0.25">
      <c r="A28" s="30" t="s">
        <v>800</v>
      </c>
      <c r="B28" s="15" t="s">
        <v>799</v>
      </c>
      <c r="C28" s="16">
        <v>0.01</v>
      </c>
      <c r="D28" s="14">
        <f>C28/SUM(C$12:C$17)</f>
        <v>7.6923076923076927E-2</v>
      </c>
      <c r="E28" s="24"/>
      <c r="F28" s="48" t="s">
        <v>916</v>
      </c>
      <c r="G28" s="52">
        <v>3</v>
      </c>
      <c r="H28">
        <v>2</v>
      </c>
    </row>
    <row r="29" spans="1:8" x14ac:dyDescent="0.25">
      <c r="A29" s="31" t="s">
        <v>814</v>
      </c>
      <c r="B29" s="17" t="s">
        <v>34</v>
      </c>
      <c r="C29" s="18">
        <v>5.0000000000000001E-3</v>
      </c>
      <c r="D29" s="19">
        <f>C29/SUM(C$18:C$38)</f>
        <v>1.3513513513513509E-2</v>
      </c>
      <c r="E29" s="25"/>
      <c r="F29" s="49" t="s">
        <v>916</v>
      </c>
      <c r="G29" s="53">
        <v>6</v>
      </c>
      <c r="H29">
        <v>1</v>
      </c>
    </row>
    <row r="30" spans="1:8" x14ac:dyDescent="0.25">
      <c r="A30" s="31" t="s">
        <v>815</v>
      </c>
      <c r="B30" s="17" t="s">
        <v>34</v>
      </c>
      <c r="C30" s="18">
        <v>0.01</v>
      </c>
      <c r="D30" s="19">
        <f>C30/SUM(C$18:C$38)</f>
        <v>2.7027027027027018E-2</v>
      </c>
      <c r="E30" s="25"/>
      <c r="F30" s="49" t="s">
        <v>916</v>
      </c>
      <c r="G30" s="53">
        <v>9</v>
      </c>
      <c r="H30">
        <v>1</v>
      </c>
    </row>
    <row r="31" spans="1:8" x14ac:dyDescent="0.25">
      <c r="A31" s="31" t="s">
        <v>816</v>
      </c>
      <c r="B31" s="17" t="s">
        <v>34</v>
      </c>
      <c r="C31" s="18">
        <v>2.5000000000000001E-2</v>
      </c>
      <c r="D31" s="19">
        <f>C31/SUM(C$18:C$38)</f>
        <v>6.7567567567567557E-2</v>
      </c>
      <c r="E31" s="25"/>
      <c r="F31" s="49" t="s">
        <v>916</v>
      </c>
      <c r="G31" s="53">
        <v>8</v>
      </c>
      <c r="H31">
        <v>2</v>
      </c>
    </row>
    <row r="32" spans="1:8" x14ac:dyDescent="0.25">
      <c r="A32" s="29" t="s">
        <v>23</v>
      </c>
      <c r="B32" s="12" t="s">
        <v>799</v>
      </c>
      <c r="C32" s="13">
        <v>0.01</v>
      </c>
      <c r="D32" s="14">
        <f>C32/SUM(C$12:C$17)</f>
        <v>7.6923076923076927E-2</v>
      </c>
      <c r="E32" s="24"/>
      <c r="F32" s="48" t="s">
        <v>915</v>
      </c>
      <c r="G32" s="52">
        <v>1</v>
      </c>
      <c r="H32">
        <v>1</v>
      </c>
    </row>
    <row r="33" spans="1:8" x14ac:dyDescent="0.25">
      <c r="A33" s="29" t="s">
        <v>24</v>
      </c>
      <c r="B33" s="12" t="s">
        <v>799</v>
      </c>
      <c r="C33" s="13">
        <v>0.01</v>
      </c>
      <c r="D33" s="14">
        <f>C33/SUM(C$12:C$17)</f>
        <v>7.6923076923076927E-2</v>
      </c>
      <c r="E33" s="24"/>
      <c r="F33" s="48" t="s">
        <v>915</v>
      </c>
      <c r="G33" s="52">
        <v>2</v>
      </c>
      <c r="H33">
        <v>1</v>
      </c>
    </row>
    <row r="34" spans="1:8" x14ac:dyDescent="0.25">
      <c r="A34" s="29" t="s">
        <v>25</v>
      </c>
      <c r="B34" s="12" t="s">
        <v>799</v>
      </c>
      <c r="C34" s="13">
        <v>0.02</v>
      </c>
      <c r="D34" s="14">
        <f>C34/SUM(C$12:C$17)</f>
        <v>0.15384615384615385</v>
      </c>
      <c r="E34" s="24"/>
      <c r="F34" s="48" t="s">
        <v>915</v>
      </c>
      <c r="G34" s="52">
        <v>4</v>
      </c>
      <c r="H34">
        <v>2</v>
      </c>
    </row>
    <row r="35" spans="1:8" x14ac:dyDescent="0.25">
      <c r="A35" s="31" t="s">
        <v>806</v>
      </c>
      <c r="B35" s="17" t="s">
        <v>34</v>
      </c>
      <c r="C35" s="20">
        <v>5.0000000000000001E-3</v>
      </c>
      <c r="D35" s="19">
        <f>C35/SUM(C$18:C$38)</f>
        <v>1.3513513513513509E-2</v>
      </c>
      <c r="E35" s="25"/>
      <c r="F35" s="49" t="s">
        <v>915</v>
      </c>
      <c r="G35" s="53">
        <v>3</v>
      </c>
      <c r="H35">
        <v>1</v>
      </c>
    </row>
    <row r="36" spans="1:8" x14ac:dyDescent="0.25">
      <c r="A36" s="31" t="s">
        <v>38</v>
      </c>
      <c r="B36" s="17" t="s">
        <v>34</v>
      </c>
      <c r="C36" s="18">
        <v>0.03</v>
      </c>
      <c r="D36" s="19">
        <f>C36/SUM(C$18:C$38)</f>
        <v>8.1081081081081058E-2</v>
      </c>
      <c r="E36" s="25"/>
      <c r="F36" s="49" t="s">
        <v>917</v>
      </c>
      <c r="G36" s="53">
        <v>1</v>
      </c>
      <c r="H36">
        <v>1</v>
      </c>
    </row>
    <row r="37" spans="1:8" x14ac:dyDescent="0.25">
      <c r="A37" s="31" t="s">
        <v>807</v>
      </c>
      <c r="B37" s="17" t="s">
        <v>34</v>
      </c>
      <c r="C37" s="20">
        <v>0.03</v>
      </c>
      <c r="D37" s="19">
        <f>C37/SUM(C$18:C$38)</f>
        <v>8.1081081081081058E-2</v>
      </c>
      <c r="E37" s="25"/>
      <c r="F37" s="49" t="s">
        <v>917</v>
      </c>
      <c r="G37" s="53">
        <v>2</v>
      </c>
      <c r="H37">
        <v>2</v>
      </c>
    </row>
    <row r="38" spans="1:8" x14ac:dyDescent="0.25">
      <c r="A38" s="31" t="s">
        <v>39</v>
      </c>
      <c r="B38" s="17" t="s">
        <v>34</v>
      </c>
      <c r="C38" s="18">
        <v>0.03</v>
      </c>
      <c r="D38" s="19">
        <f>C38/SUM(C$18:C$38)</f>
        <v>8.1081081081081058E-2</v>
      </c>
      <c r="E38" s="25"/>
      <c r="F38" s="49" t="s">
        <v>917</v>
      </c>
      <c r="G38" s="53">
        <v>3</v>
      </c>
      <c r="H38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6493-283A-4546-8335-B9E4FBFF70A6}">
  <dimension ref="A1:AC45"/>
  <sheetViews>
    <sheetView topLeftCell="A3" workbookViewId="0">
      <selection activeCell="A3" sqref="A1:XFD1048576"/>
    </sheetView>
  </sheetViews>
  <sheetFormatPr baseColWidth="10" defaultRowHeight="15" x14ac:dyDescent="0.25"/>
  <cols>
    <col min="1" max="1" width="9.5703125" customWidth="1"/>
    <col min="2" max="2" width="45.7109375" customWidth="1"/>
    <col min="3" max="3" width="21" customWidth="1"/>
    <col min="4" max="4" width="10.42578125" customWidth="1"/>
    <col min="5" max="5" width="13.28515625" customWidth="1"/>
    <col min="7" max="7" width="13.28515625" customWidth="1"/>
    <col min="8" max="29" width="4.140625" customWidth="1"/>
  </cols>
  <sheetData>
    <row r="1" spans="1:29" ht="18.75" x14ac:dyDescent="0.3">
      <c r="A1" s="74" t="s">
        <v>922</v>
      </c>
      <c r="B1" s="75"/>
      <c r="C1" s="75"/>
      <c r="D1" s="75"/>
      <c r="E1" s="75"/>
      <c r="F1" s="75"/>
      <c r="G1" s="75"/>
      <c r="H1" s="76" t="s">
        <v>923</v>
      </c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29" x14ac:dyDescent="0.25">
      <c r="A2" s="77" t="s">
        <v>924</v>
      </c>
      <c r="B2" s="75"/>
      <c r="C2" s="75"/>
      <c r="D2" s="75"/>
      <c r="E2" s="75"/>
      <c r="F2" s="75"/>
      <c r="G2" s="75"/>
    </row>
    <row r="4" spans="1:29" x14ac:dyDescent="0.25">
      <c r="A4" s="63" t="s">
        <v>918</v>
      </c>
      <c r="B4" s="63" t="s">
        <v>784</v>
      </c>
      <c r="C4" s="63" t="s">
        <v>920</v>
      </c>
      <c r="D4" s="63" t="s">
        <v>919</v>
      </c>
      <c r="E4" s="63" t="s">
        <v>925</v>
      </c>
      <c r="F4" s="63" t="s">
        <v>926</v>
      </c>
      <c r="G4" s="63" t="s">
        <v>927</v>
      </c>
      <c r="H4" s="63">
        <v>1</v>
      </c>
      <c r="I4" s="63">
        <v>2</v>
      </c>
      <c r="J4" s="63">
        <v>3</v>
      </c>
      <c r="K4" s="63">
        <v>4</v>
      </c>
      <c r="L4" s="63">
        <v>5</v>
      </c>
      <c r="M4" s="63">
        <v>6</v>
      </c>
      <c r="N4" s="63">
        <v>7</v>
      </c>
      <c r="O4" s="63">
        <v>8</v>
      </c>
      <c r="P4" s="63">
        <v>9</v>
      </c>
      <c r="Q4" s="63">
        <v>10</v>
      </c>
      <c r="R4" s="63">
        <v>11</v>
      </c>
      <c r="S4" s="63">
        <v>12</v>
      </c>
      <c r="T4" s="63">
        <v>13</v>
      </c>
      <c r="U4" s="63">
        <v>14</v>
      </c>
      <c r="V4" s="63">
        <v>15</v>
      </c>
      <c r="W4" s="63">
        <v>16</v>
      </c>
      <c r="X4" s="63">
        <v>17</v>
      </c>
      <c r="Y4" s="63">
        <v>18</v>
      </c>
      <c r="Z4" s="63">
        <v>19</v>
      </c>
      <c r="AA4" s="63">
        <v>20</v>
      </c>
      <c r="AB4" s="63">
        <v>21</v>
      </c>
      <c r="AC4" s="63">
        <v>22</v>
      </c>
    </row>
    <row r="5" spans="1:29" x14ac:dyDescent="0.25">
      <c r="A5" s="56">
        <v>1</v>
      </c>
      <c r="B5" s="57" t="s">
        <v>789</v>
      </c>
      <c r="C5" s="64" t="s">
        <v>12</v>
      </c>
      <c r="D5" s="56" t="s">
        <v>914</v>
      </c>
      <c r="E5" s="56">
        <v>1</v>
      </c>
      <c r="F5" s="56">
        <v>1</v>
      </c>
      <c r="G5" s="56">
        <v>1</v>
      </c>
      <c r="H5" s="65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</row>
    <row r="6" spans="1:29" x14ac:dyDescent="0.25">
      <c r="A6" s="56">
        <v>2</v>
      </c>
      <c r="B6" s="57" t="s">
        <v>791</v>
      </c>
      <c r="C6" s="64" t="s">
        <v>12</v>
      </c>
      <c r="D6" s="56" t="s">
        <v>914</v>
      </c>
      <c r="E6" s="56">
        <v>1</v>
      </c>
      <c r="F6" s="56">
        <v>2</v>
      </c>
      <c r="G6" s="56">
        <v>2</v>
      </c>
      <c r="H6" s="66"/>
      <c r="I6" s="65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</row>
    <row r="7" spans="1:29" x14ac:dyDescent="0.25">
      <c r="A7" s="56">
        <v>3</v>
      </c>
      <c r="B7" s="57" t="s">
        <v>792</v>
      </c>
      <c r="C7" s="64" t="s">
        <v>12</v>
      </c>
      <c r="D7" s="56" t="s">
        <v>914</v>
      </c>
      <c r="E7" s="56">
        <v>1</v>
      </c>
      <c r="F7" s="56">
        <v>3</v>
      </c>
      <c r="G7" s="56">
        <v>3</v>
      </c>
      <c r="H7" s="66"/>
      <c r="I7" s="66"/>
      <c r="J7" s="65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</row>
    <row r="8" spans="1:29" x14ac:dyDescent="0.25">
      <c r="A8" s="56">
        <v>4</v>
      </c>
      <c r="B8" s="57" t="s">
        <v>790</v>
      </c>
      <c r="C8" s="64" t="s">
        <v>12</v>
      </c>
      <c r="D8" s="56" t="s">
        <v>914</v>
      </c>
      <c r="E8" s="56">
        <v>1</v>
      </c>
      <c r="F8" s="56">
        <v>4</v>
      </c>
      <c r="G8" s="56">
        <v>4</v>
      </c>
      <c r="H8" s="66"/>
      <c r="I8" s="66"/>
      <c r="J8" s="66"/>
      <c r="K8" s="65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</row>
    <row r="9" spans="1:29" x14ac:dyDescent="0.25">
      <c r="A9" s="56">
        <v>5</v>
      </c>
      <c r="B9" s="57" t="s">
        <v>21</v>
      </c>
      <c r="C9" s="67" t="s">
        <v>799</v>
      </c>
      <c r="D9" s="56" t="s">
        <v>914</v>
      </c>
      <c r="E9" s="56">
        <v>3</v>
      </c>
      <c r="F9" s="56">
        <v>4</v>
      </c>
      <c r="G9" s="56">
        <v>6</v>
      </c>
      <c r="H9" s="66"/>
      <c r="I9" s="66"/>
      <c r="J9" s="66"/>
      <c r="K9" s="68"/>
      <c r="L9" s="68"/>
      <c r="M9" s="6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</row>
    <row r="10" spans="1:29" x14ac:dyDescent="0.25">
      <c r="A10" s="56">
        <v>6</v>
      </c>
      <c r="B10" s="57" t="s">
        <v>20</v>
      </c>
      <c r="C10" s="67" t="s">
        <v>799</v>
      </c>
      <c r="D10" s="56" t="s">
        <v>914</v>
      </c>
      <c r="E10" s="56">
        <v>3</v>
      </c>
      <c r="F10" s="56">
        <v>4</v>
      </c>
      <c r="G10" s="56">
        <v>6</v>
      </c>
      <c r="H10" s="66"/>
      <c r="I10" s="66"/>
      <c r="J10" s="66"/>
      <c r="K10" s="68"/>
      <c r="L10" s="68"/>
      <c r="M10" s="68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</row>
    <row r="11" spans="1:29" x14ac:dyDescent="0.25">
      <c r="A11" s="56">
        <v>7</v>
      </c>
      <c r="B11" s="57" t="s">
        <v>794</v>
      </c>
      <c r="C11" s="69" t="s">
        <v>27</v>
      </c>
      <c r="D11" s="56" t="s">
        <v>914</v>
      </c>
      <c r="E11" s="56">
        <v>1</v>
      </c>
      <c r="F11" s="56">
        <v>5</v>
      </c>
      <c r="G11" s="56">
        <v>5</v>
      </c>
      <c r="H11" s="66"/>
      <c r="I11" s="66"/>
      <c r="J11" s="66"/>
      <c r="K11" s="66"/>
      <c r="L11" s="70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</row>
    <row r="12" spans="1:29" x14ac:dyDescent="0.25">
      <c r="A12" s="56">
        <v>8</v>
      </c>
      <c r="B12" s="57" t="s">
        <v>36</v>
      </c>
      <c r="C12" s="71" t="s">
        <v>34</v>
      </c>
      <c r="D12" s="56" t="s">
        <v>914</v>
      </c>
      <c r="E12" s="56">
        <v>1</v>
      </c>
      <c r="F12" s="56">
        <v>5</v>
      </c>
      <c r="G12" s="56">
        <v>5</v>
      </c>
      <c r="H12" s="66"/>
      <c r="I12" s="66"/>
      <c r="J12" s="66"/>
      <c r="K12" s="66"/>
      <c r="L12" s="72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</row>
    <row r="13" spans="1:29" x14ac:dyDescent="0.25">
      <c r="A13" s="56">
        <v>9</v>
      </c>
      <c r="B13" s="57" t="s">
        <v>38</v>
      </c>
      <c r="C13" s="71" t="s">
        <v>34</v>
      </c>
      <c r="D13" s="56" t="s">
        <v>917</v>
      </c>
      <c r="E13" s="56">
        <v>1</v>
      </c>
      <c r="F13" s="56">
        <v>5</v>
      </c>
      <c r="G13" s="56">
        <v>5</v>
      </c>
      <c r="H13" s="66"/>
      <c r="I13" s="66"/>
      <c r="J13" s="66"/>
      <c r="K13" s="66"/>
      <c r="L13" s="72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</row>
    <row r="14" spans="1:29" x14ac:dyDescent="0.25">
      <c r="A14" s="56">
        <v>10</v>
      </c>
      <c r="B14" s="57" t="s">
        <v>795</v>
      </c>
      <c r="C14" s="69" t="s">
        <v>27</v>
      </c>
      <c r="D14" s="56" t="s">
        <v>916</v>
      </c>
      <c r="E14" s="56">
        <v>2</v>
      </c>
      <c r="F14" s="56">
        <v>6</v>
      </c>
      <c r="G14" s="56">
        <v>7</v>
      </c>
      <c r="H14" s="66"/>
      <c r="I14" s="66"/>
      <c r="J14" s="66"/>
      <c r="K14" s="66"/>
      <c r="L14" s="66"/>
      <c r="M14" s="70"/>
      <c r="N14" s="70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</row>
    <row r="15" spans="1:29" x14ac:dyDescent="0.25">
      <c r="A15" s="56">
        <v>11</v>
      </c>
      <c r="B15" s="57" t="s">
        <v>50</v>
      </c>
      <c r="C15" s="71" t="s">
        <v>34</v>
      </c>
      <c r="D15" s="56" t="s">
        <v>914</v>
      </c>
      <c r="E15" s="56">
        <v>1</v>
      </c>
      <c r="F15" s="56">
        <v>6</v>
      </c>
      <c r="G15" s="56">
        <v>6</v>
      </c>
      <c r="H15" s="66"/>
      <c r="I15" s="66"/>
      <c r="J15" s="66"/>
      <c r="K15" s="66"/>
      <c r="L15" s="66"/>
      <c r="M15" s="72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</row>
    <row r="16" spans="1:29" x14ac:dyDescent="0.25">
      <c r="A16" s="56">
        <v>12</v>
      </c>
      <c r="B16" s="57" t="s">
        <v>39</v>
      </c>
      <c r="C16" s="71" t="s">
        <v>34</v>
      </c>
      <c r="D16" s="56" t="s">
        <v>917</v>
      </c>
      <c r="E16" s="56">
        <v>4</v>
      </c>
      <c r="F16" s="56">
        <v>6</v>
      </c>
      <c r="G16" s="56">
        <v>9</v>
      </c>
      <c r="H16" s="66"/>
      <c r="I16" s="66"/>
      <c r="J16" s="66"/>
      <c r="K16" s="66"/>
      <c r="L16" s="66"/>
      <c r="M16" s="72"/>
      <c r="N16" s="72"/>
      <c r="O16" s="72"/>
      <c r="P16" s="72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</row>
    <row r="17" spans="1:29" x14ac:dyDescent="0.25">
      <c r="A17" s="56">
        <v>13</v>
      </c>
      <c r="B17" s="57" t="s">
        <v>800</v>
      </c>
      <c r="C17" s="67" t="s">
        <v>799</v>
      </c>
      <c r="D17" s="56" t="s">
        <v>916</v>
      </c>
      <c r="E17" s="56">
        <v>2</v>
      </c>
      <c r="F17" s="56">
        <v>7</v>
      </c>
      <c r="G17" s="56">
        <v>8</v>
      </c>
      <c r="H17" s="66"/>
      <c r="I17" s="66"/>
      <c r="J17" s="66"/>
      <c r="K17" s="66"/>
      <c r="L17" s="66"/>
      <c r="M17" s="66"/>
      <c r="N17" s="68"/>
      <c r="O17" s="68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</row>
    <row r="18" spans="1:29" x14ac:dyDescent="0.25">
      <c r="A18" s="56">
        <v>14</v>
      </c>
      <c r="B18" s="57" t="s">
        <v>793</v>
      </c>
      <c r="C18" s="64" t="s">
        <v>12</v>
      </c>
      <c r="D18" s="56" t="s">
        <v>916</v>
      </c>
      <c r="E18" s="56">
        <v>3</v>
      </c>
      <c r="F18" s="56">
        <v>8</v>
      </c>
      <c r="G18" s="56">
        <v>10</v>
      </c>
      <c r="H18" s="66"/>
      <c r="I18" s="66"/>
      <c r="J18" s="66"/>
      <c r="K18" s="66"/>
      <c r="L18" s="66"/>
      <c r="M18" s="66"/>
      <c r="N18" s="66"/>
      <c r="O18" s="65"/>
      <c r="P18" s="65"/>
      <c r="Q18" s="65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</row>
    <row r="19" spans="1:29" x14ac:dyDescent="0.25">
      <c r="A19" s="56">
        <v>15</v>
      </c>
      <c r="B19" s="57" t="s">
        <v>801</v>
      </c>
      <c r="C19" s="71" t="s">
        <v>34</v>
      </c>
      <c r="D19" s="56" t="s">
        <v>914</v>
      </c>
      <c r="E19" s="56">
        <v>2</v>
      </c>
      <c r="F19" s="56">
        <v>8</v>
      </c>
      <c r="G19" s="56">
        <v>9</v>
      </c>
      <c r="H19" s="66"/>
      <c r="I19" s="66"/>
      <c r="J19" s="66"/>
      <c r="K19" s="66"/>
      <c r="L19" s="66"/>
      <c r="M19" s="66"/>
      <c r="N19" s="66"/>
      <c r="O19" s="72"/>
      <c r="P19" s="72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</row>
    <row r="20" spans="1:29" x14ac:dyDescent="0.25">
      <c r="A20" s="56">
        <v>16</v>
      </c>
      <c r="B20" s="57" t="s">
        <v>807</v>
      </c>
      <c r="C20" s="71" t="s">
        <v>34</v>
      </c>
      <c r="D20" s="56" t="s">
        <v>917</v>
      </c>
      <c r="E20" s="56">
        <v>2</v>
      </c>
      <c r="F20" s="56">
        <v>10</v>
      </c>
      <c r="G20" s="56">
        <v>11</v>
      </c>
      <c r="H20" s="66"/>
      <c r="I20" s="66"/>
      <c r="J20" s="66"/>
      <c r="K20" s="66"/>
      <c r="L20" s="66"/>
      <c r="M20" s="66"/>
      <c r="N20" s="66"/>
      <c r="O20" s="66"/>
      <c r="P20" s="66"/>
      <c r="Q20" s="72"/>
      <c r="R20" s="72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</row>
    <row r="21" spans="1:29" x14ac:dyDescent="0.25">
      <c r="A21" s="56">
        <v>17</v>
      </c>
      <c r="B21" s="57" t="s">
        <v>803</v>
      </c>
      <c r="C21" s="71" t="s">
        <v>34</v>
      </c>
      <c r="D21" s="56" t="s">
        <v>914</v>
      </c>
      <c r="E21" s="56">
        <v>2</v>
      </c>
      <c r="F21" s="56">
        <v>10</v>
      </c>
      <c r="G21" s="56">
        <v>11</v>
      </c>
      <c r="H21" s="66"/>
      <c r="I21" s="66"/>
      <c r="J21" s="66"/>
      <c r="K21" s="66"/>
      <c r="L21" s="66"/>
      <c r="M21" s="66"/>
      <c r="N21" s="66"/>
      <c r="O21" s="66"/>
      <c r="P21" s="66"/>
      <c r="Q21" s="72"/>
      <c r="R21" s="72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</row>
    <row r="22" spans="1:29" x14ac:dyDescent="0.25">
      <c r="A22" s="56">
        <v>18</v>
      </c>
      <c r="B22" s="57" t="s">
        <v>802</v>
      </c>
      <c r="C22" s="71" t="s">
        <v>34</v>
      </c>
      <c r="D22" s="56" t="s">
        <v>914</v>
      </c>
      <c r="E22" s="56">
        <v>2</v>
      </c>
      <c r="F22" s="56">
        <v>10</v>
      </c>
      <c r="G22" s="56">
        <v>11</v>
      </c>
      <c r="H22" s="66"/>
      <c r="I22" s="66"/>
      <c r="J22" s="66"/>
      <c r="K22" s="66"/>
      <c r="L22" s="66"/>
      <c r="M22" s="66"/>
      <c r="N22" s="66"/>
      <c r="O22" s="66"/>
      <c r="P22" s="66"/>
      <c r="Q22" s="72"/>
      <c r="R22" s="72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</row>
    <row r="23" spans="1:29" x14ac:dyDescent="0.25">
      <c r="A23" s="56">
        <v>19</v>
      </c>
      <c r="B23" s="57" t="s">
        <v>815</v>
      </c>
      <c r="C23" s="71" t="s">
        <v>34</v>
      </c>
      <c r="D23" s="56" t="s">
        <v>916</v>
      </c>
      <c r="E23" s="56">
        <v>1</v>
      </c>
      <c r="F23" s="56">
        <v>11</v>
      </c>
      <c r="G23" s="56">
        <v>11</v>
      </c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72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</row>
    <row r="24" spans="1:29" x14ac:dyDescent="0.25">
      <c r="A24" s="56">
        <v>20</v>
      </c>
      <c r="B24" s="57" t="s">
        <v>804</v>
      </c>
      <c r="C24" s="71" t="s">
        <v>34</v>
      </c>
      <c r="D24" s="56" t="s">
        <v>914</v>
      </c>
      <c r="E24" s="56">
        <v>3</v>
      </c>
      <c r="F24" s="56">
        <v>12</v>
      </c>
      <c r="G24" s="56">
        <v>14</v>
      </c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72"/>
      <c r="T24" s="72"/>
      <c r="U24" s="72"/>
      <c r="V24" s="66"/>
      <c r="W24" s="66"/>
      <c r="X24" s="66"/>
      <c r="Y24" s="66"/>
      <c r="Z24" s="66"/>
      <c r="AA24" s="66"/>
      <c r="AB24" s="66"/>
      <c r="AC24" s="66"/>
    </row>
    <row r="25" spans="1:29" x14ac:dyDescent="0.25">
      <c r="A25" s="56">
        <v>21</v>
      </c>
      <c r="B25" s="57" t="s">
        <v>816</v>
      </c>
      <c r="C25" s="71" t="s">
        <v>34</v>
      </c>
      <c r="D25" s="56" t="s">
        <v>916</v>
      </c>
      <c r="E25" s="56">
        <v>2</v>
      </c>
      <c r="F25" s="56">
        <v>13</v>
      </c>
      <c r="G25" s="56">
        <v>14</v>
      </c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72"/>
      <c r="U25" s="72"/>
      <c r="V25" s="66"/>
      <c r="W25" s="66"/>
      <c r="X25" s="66"/>
      <c r="Y25" s="66"/>
      <c r="Z25" s="66"/>
      <c r="AA25" s="66"/>
      <c r="AB25" s="66"/>
      <c r="AC25" s="66"/>
    </row>
    <row r="26" spans="1:29" x14ac:dyDescent="0.25">
      <c r="A26" s="56">
        <v>22</v>
      </c>
      <c r="B26" s="57" t="s">
        <v>805</v>
      </c>
      <c r="C26" s="71" t="s">
        <v>34</v>
      </c>
      <c r="D26" s="56" t="s">
        <v>914</v>
      </c>
      <c r="E26" s="56">
        <v>2</v>
      </c>
      <c r="F26" s="56">
        <v>15</v>
      </c>
      <c r="G26" s="56">
        <v>16</v>
      </c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72"/>
      <c r="W26" s="72"/>
      <c r="X26" s="66"/>
      <c r="Y26" s="66"/>
      <c r="Z26" s="66"/>
      <c r="AA26" s="66"/>
      <c r="AB26" s="66"/>
      <c r="AC26" s="66"/>
    </row>
    <row r="27" spans="1:29" x14ac:dyDescent="0.25">
      <c r="A27" s="56">
        <v>23</v>
      </c>
      <c r="B27" s="57" t="s">
        <v>811</v>
      </c>
      <c r="C27" s="71" t="s">
        <v>34</v>
      </c>
      <c r="D27" s="56" t="s">
        <v>914</v>
      </c>
      <c r="E27" s="56">
        <v>3</v>
      </c>
      <c r="F27" s="56">
        <v>15</v>
      </c>
      <c r="G27" s="56">
        <v>17</v>
      </c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72"/>
      <c r="W27" s="72"/>
      <c r="X27" s="72"/>
      <c r="Y27" s="66"/>
      <c r="Z27" s="66"/>
      <c r="AA27" s="66"/>
      <c r="AB27" s="66"/>
      <c r="AC27" s="66"/>
    </row>
    <row r="28" spans="1:29" x14ac:dyDescent="0.25">
      <c r="A28" s="56">
        <v>24</v>
      </c>
      <c r="B28" s="57" t="s">
        <v>814</v>
      </c>
      <c r="C28" s="71" t="s">
        <v>34</v>
      </c>
      <c r="D28" s="56" t="s">
        <v>916</v>
      </c>
      <c r="E28" s="56">
        <v>1</v>
      </c>
      <c r="F28" s="56">
        <v>15</v>
      </c>
      <c r="G28" s="56">
        <v>15</v>
      </c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72"/>
      <c r="W28" s="66"/>
      <c r="X28" s="66"/>
      <c r="Y28" s="66"/>
      <c r="Z28" s="66"/>
      <c r="AA28" s="66"/>
      <c r="AB28" s="66"/>
      <c r="AC28" s="66"/>
    </row>
    <row r="29" spans="1:29" x14ac:dyDescent="0.25">
      <c r="A29" s="56">
        <v>25</v>
      </c>
      <c r="B29" s="57" t="s">
        <v>796</v>
      </c>
      <c r="C29" s="69" t="s">
        <v>27</v>
      </c>
      <c r="D29" s="56" t="s">
        <v>916</v>
      </c>
      <c r="E29" s="56">
        <v>1</v>
      </c>
      <c r="F29" s="56">
        <v>17</v>
      </c>
      <c r="G29" s="56">
        <v>17</v>
      </c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70"/>
      <c r="Y29" s="66"/>
      <c r="Z29" s="66"/>
      <c r="AA29" s="66"/>
      <c r="AB29" s="66"/>
      <c r="AC29" s="66"/>
    </row>
    <row r="30" spans="1:29" x14ac:dyDescent="0.25">
      <c r="A30" s="56">
        <v>26</v>
      </c>
      <c r="B30" s="57" t="s">
        <v>23</v>
      </c>
      <c r="C30" s="67" t="s">
        <v>799</v>
      </c>
      <c r="D30" s="56" t="s">
        <v>915</v>
      </c>
      <c r="E30" s="56">
        <v>1</v>
      </c>
      <c r="F30" s="56">
        <v>17</v>
      </c>
      <c r="G30" s="56">
        <v>17</v>
      </c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8"/>
      <c r="Y30" s="66"/>
      <c r="Z30" s="66"/>
      <c r="AA30" s="66"/>
      <c r="AB30" s="66"/>
      <c r="AC30" s="66"/>
    </row>
    <row r="31" spans="1:29" x14ac:dyDescent="0.25">
      <c r="A31" s="56">
        <v>27</v>
      </c>
      <c r="B31" s="57" t="s">
        <v>797</v>
      </c>
      <c r="C31" s="69" t="s">
        <v>27</v>
      </c>
      <c r="D31" s="56" t="s">
        <v>916</v>
      </c>
      <c r="E31" s="56">
        <v>3</v>
      </c>
      <c r="F31" s="56">
        <v>18</v>
      </c>
      <c r="G31" s="56">
        <v>20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70"/>
      <c r="Z31" s="70"/>
      <c r="AA31" s="70"/>
      <c r="AB31" s="66"/>
      <c r="AC31" s="66"/>
    </row>
    <row r="32" spans="1:29" x14ac:dyDescent="0.25">
      <c r="A32" s="56">
        <v>28</v>
      </c>
      <c r="B32" s="57" t="s">
        <v>798</v>
      </c>
      <c r="C32" s="69" t="s">
        <v>27</v>
      </c>
      <c r="D32" s="56" t="s">
        <v>916</v>
      </c>
      <c r="E32" s="56">
        <v>1</v>
      </c>
      <c r="F32" s="56">
        <v>18</v>
      </c>
      <c r="G32" s="56">
        <v>18</v>
      </c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70"/>
      <c r="Z32" s="66"/>
      <c r="AA32" s="66"/>
      <c r="AB32" s="66"/>
      <c r="AC32" s="66"/>
    </row>
    <row r="33" spans="1:29" x14ac:dyDescent="0.25">
      <c r="A33" s="56">
        <v>29</v>
      </c>
      <c r="B33" s="57" t="s">
        <v>24</v>
      </c>
      <c r="C33" s="67" t="s">
        <v>799</v>
      </c>
      <c r="D33" s="56" t="s">
        <v>915</v>
      </c>
      <c r="E33" s="56">
        <v>1</v>
      </c>
      <c r="F33" s="56">
        <v>18</v>
      </c>
      <c r="G33" s="56">
        <v>18</v>
      </c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8"/>
      <c r="Z33" s="66"/>
      <c r="AA33" s="66"/>
      <c r="AB33" s="66"/>
      <c r="AC33" s="66"/>
    </row>
    <row r="34" spans="1:29" x14ac:dyDescent="0.25">
      <c r="A34" s="56">
        <v>30</v>
      </c>
      <c r="B34" s="57" t="s">
        <v>808</v>
      </c>
      <c r="C34" s="71" t="s">
        <v>34</v>
      </c>
      <c r="D34" s="56" t="s">
        <v>914</v>
      </c>
      <c r="E34" s="56">
        <v>1</v>
      </c>
      <c r="F34" s="56">
        <v>18</v>
      </c>
      <c r="G34" s="56">
        <v>18</v>
      </c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72"/>
      <c r="Z34" s="66"/>
      <c r="AA34" s="66"/>
      <c r="AB34" s="66"/>
      <c r="AC34" s="66"/>
    </row>
    <row r="35" spans="1:29" x14ac:dyDescent="0.25">
      <c r="A35" s="56">
        <v>31</v>
      </c>
      <c r="B35" s="57" t="s">
        <v>25</v>
      </c>
      <c r="C35" s="67" t="s">
        <v>799</v>
      </c>
      <c r="D35" s="56" t="s">
        <v>915</v>
      </c>
      <c r="E35" s="56">
        <v>2</v>
      </c>
      <c r="F35" s="56">
        <v>19</v>
      </c>
      <c r="G35" s="56">
        <v>20</v>
      </c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8"/>
      <c r="AA35" s="68"/>
      <c r="AB35" s="66"/>
      <c r="AC35" s="66"/>
    </row>
    <row r="36" spans="1:29" x14ac:dyDescent="0.25">
      <c r="A36" s="56">
        <v>32</v>
      </c>
      <c r="B36" s="57" t="s">
        <v>806</v>
      </c>
      <c r="C36" s="71" t="s">
        <v>34</v>
      </c>
      <c r="D36" s="56" t="s">
        <v>915</v>
      </c>
      <c r="E36" s="56">
        <v>1</v>
      </c>
      <c r="F36" s="56">
        <v>19</v>
      </c>
      <c r="G36" s="56">
        <v>19</v>
      </c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72"/>
      <c r="AA36" s="66"/>
      <c r="AB36" s="66"/>
      <c r="AC36" s="66"/>
    </row>
    <row r="37" spans="1:29" x14ac:dyDescent="0.25">
      <c r="A37" s="56">
        <v>33</v>
      </c>
      <c r="B37" s="57" t="s">
        <v>921</v>
      </c>
      <c r="C37" s="71" t="s">
        <v>34</v>
      </c>
      <c r="D37" s="56" t="s">
        <v>914</v>
      </c>
      <c r="E37" s="56">
        <v>1</v>
      </c>
      <c r="F37" s="56">
        <v>19</v>
      </c>
      <c r="G37" s="56">
        <v>19</v>
      </c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72"/>
      <c r="AA37" s="66"/>
      <c r="AB37" s="66"/>
      <c r="AC37" s="66"/>
    </row>
    <row r="38" spans="1:29" x14ac:dyDescent="0.25">
      <c r="A38" s="56">
        <v>34</v>
      </c>
      <c r="B38" s="57" t="s">
        <v>813</v>
      </c>
      <c r="C38" s="71" t="s">
        <v>34</v>
      </c>
      <c r="D38" s="56" t="s">
        <v>914</v>
      </c>
      <c r="E38" s="56">
        <v>1</v>
      </c>
      <c r="F38" s="56">
        <v>19</v>
      </c>
      <c r="G38" s="56">
        <v>19</v>
      </c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72"/>
      <c r="AA38" s="66"/>
      <c r="AB38" s="66"/>
      <c r="AC38" s="66"/>
    </row>
    <row r="39" spans="1:29" x14ac:dyDescent="0.25">
      <c r="A39" s="56">
        <v>35</v>
      </c>
      <c r="B39" s="57" t="s">
        <v>810</v>
      </c>
      <c r="C39" s="71" t="s">
        <v>34</v>
      </c>
      <c r="D39" s="56" t="s">
        <v>914</v>
      </c>
      <c r="E39" s="56">
        <v>1</v>
      </c>
      <c r="F39" s="56">
        <v>20</v>
      </c>
      <c r="G39" s="56">
        <v>20</v>
      </c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72"/>
      <c r="AB39" s="66"/>
      <c r="AC39" s="66"/>
    </row>
    <row r="40" spans="1:29" x14ac:dyDescent="0.25">
      <c r="A40" s="56">
        <v>36</v>
      </c>
      <c r="B40" s="57" t="s">
        <v>812</v>
      </c>
      <c r="C40" s="71" t="s">
        <v>34</v>
      </c>
      <c r="D40" s="56" t="s">
        <v>914</v>
      </c>
      <c r="E40" s="56">
        <v>1</v>
      </c>
      <c r="F40" s="56">
        <v>20</v>
      </c>
      <c r="G40" s="56">
        <v>20</v>
      </c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72"/>
      <c r="AB40" s="66"/>
      <c r="AC40" s="66"/>
    </row>
    <row r="41" spans="1:29" x14ac:dyDescent="0.25">
      <c r="A41" s="56">
        <v>37</v>
      </c>
      <c r="B41" s="57" t="s">
        <v>817</v>
      </c>
      <c r="C41" s="71" t="s">
        <v>34</v>
      </c>
      <c r="D41" s="56" t="s">
        <v>914</v>
      </c>
      <c r="E41" s="56">
        <v>2</v>
      </c>
      <c r="F41" s="56">
        <v>21</v>
      </c>
      <c r="G41" s="56">
        <v>22</v>
      </c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72"/>
      <c r="AC41" s="72"/>
    </row>
    <row r="43" spans="1:29" x14ac:dyDescent="0.25">
      <c r="A43" s="78" t="s">
        <v>928</v>
      </c>
      <c r="B43" s="75"/>
      <c r="C43" s="75"/>
      <c r="D43" s="75"/>
      <c r="E43" s="75"/>
      <c r="F43" s="75"/>
      <c r="G43" s="58">
        <f>MAX(G5:G41)</f>
        <v>22</v>
      </c>
    </row>
    <row r="45" spans="1:29" x14ac:dyDescent="0.25">
      <c r="A45" s="34" t="s">
        <v>929</v>
      </c>
      <c r="B45" s="59"/>
      <c r="C45" s="34" t="s">
        <v>12</v>
      </c>
      <c r="D45" s="60"/>
      <c r="E45" s="34" t="s">
        <v>799</v>
      </c>
      <c r="F45" s="61"/>
      <c r="G45" s="34" t="s">
        <v>27</v>
      </c>
      <c r="H45" s="62"/>
      <c r="I45" s="34" t="s">
        <v>34</v>
      </c>
    </row>
  </sheetData>
  <mergeCells count="4">
    <mergeCell ref="A1:G1"/>
    <mergeCell ref="H1:AC1"/>
    <mergeCell ref="A2:G2"/>
    <mergeCell ref="A43:F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556C-97CD-4509-826D-71EE3A313DFD}">
  <dimension ref="B8:L86"/>
  <sheetViews>
    <sheetView topLeftCell="A8" zoomScale="140" zoomScaleNormal="140" workbookViewId="0">
      <pane ySplit="3" topLeftCell="A11" activePane="bottomLeft" state="frozen"/>
      <selection activeCell="A8" sqref="A8"/>
      <selection pane="bottomLeft" activeCell="E26" sqref="E26"/>
    </sheetView>
  </sheetViews>
  <sheetFormatPr baseColWidth="10" defaultRowHeight="15" x14ac:dyDescent="0.25"/>
  <cols>
    <col min="2" max="2" width="17" bestFit="1" customWidth="1"/>
    <col min="3" max="4" width="14.140625" bestFit="1" customWidth="1"/>
    <col min="5" max="5" width="14.28515625" bestFit="1" customWidth="1"/>
    <col min="6" max="6" width="11.140625" bestFit="1" customWidth="1"/>
    <col min="7" max="7" width="11.85546875" bestFit="1" customWidth="1"/>
    <col min="8" max="8" width="11" bestFit="1" customWidth="1"/>
    <col min="9" max="9" width="16.85546875" bestFit="1" customWidth="1"/>
    <col min="10" max="12" width="14.42578125" bestFit="1" customWidth="1"/>
    <col min="13" max="13" width="10.140625" bestFit="1" customWidth="1"/>
    <col min="14" max="14" width="13.140625" bestFit="1" customWidth="1"/>
    <col min="15" max="15" width="10.140625" bestFit="1" customWidth="1"/>
    <col min="16" max="16" width="13.140625" bestFit="1" customWidth="1"/>
    <col min="17" max="17" width="10.140625" bestFit="1" customWidth="1"/>
    <col min="18" max="18" width="13.140625" bestFit="1" customWidth="1"/>
    <col min="19" max="19" width="10.140625" bestFit="1" customWidth="1"/>
    <col min="20" max="20" width="13.140625" bestFit="1" customWidth="1"/>
    <col min="21" max="21" width="10.140625" bestFit="1" customWidth="1"/>
    <col min="22" max="22" width="13.140625" bestFit="1" customWidth="1"/>
    <col min="23" max="23" width="10.140625" bestFit="1" customWidth="1"/>
    <col min="24" max="24" width="13.140625" bestFit="1" customWidth="1"/>
    <col min="25" max="25" width="10.140625" bestFit="1" customWidth="1"/>
    <col min="26" max="26" width="13.140625" bestFit="1" customWidth="1"/>
    <col min="27" max="27" width="10.140625" bestFit="1" customWidth="1"/>
    <col min="28" max="28" width="13.140625" bestFit="1" customWidth="1"/>
    <col min="29" max="29" width="10.140625" bestFit="1" customWidth="1"/>
    <col min="30" max="30" width="13.140625" bestFit="1" customWidth="1"/>
    <col min="31" max="31" width="10.140625" bestFit="1" customWidth="1"/>
    <col min="32" max="32" width="13.140625" bestFit="1" customWidth="1"/>
    <col min="33" max="33" width="10.140625" bestFit="1" customWidth="1"/>
    <col min="34" max="34" width="13.140625" bestFit="1" customWidth="1"/>
    <col min="35" max="35" width="10.140625" bestFit="1" customWidth="1"/>
    <col min="36" max="36" width="13.140625" bestFit="1" customWidth="1"/>
    <col min="37" max="37" width="10.140625" bestFit="1" customWidth="1"/>
    <col min="38" max="38" width="13.140625" bestFit="1" customWidth="1"/>
    <col min="39" max="39" width="10.140625" bestFit="1" customWidth="1"/>
    <col min="40" max="40" width="13.140625" bestFit="1" customWidth="1"/>
    <col min="41" max="41" width="10.140625" bestFit="1" customWidth="1"/>
    <col min="42" max="42" width="13.140625" bestFit="1" customWidth="1"/>
    <col min="43" max="43" width="10.140625" bestFit="1" customWidth="1"/>
    <col min="44" max="44" width="13.140625" bestFit="1" customWidth="1"/>
    <col min="45" max="45" width="10.140625" bestFit="1" customWidth="1"/>
    <col min="46" max="46" width="13.140625" bestFit="1" customWidth="1"/>
    <col min="47" max="47" width="10.140625" bestFit="1" customWidth="1"/>
    <col min="48" max="48" width="13.140625" bestFit="1" customWidth="1"/>
    <col min="49" max="49" width="10.140625" bestFit="1" customWidth="1"/>
    <col min="50" max="50" width="13.140625" bestFit="1" customWidth="1"/>
    <col min="51" max="51" width="10.140625" bestFit="1" customWidth="1"/>
    <col min="52" max="52" width="13.140625" bestFit="1" customWidth="1"/>
    <col min="53" max="53" width="10.140625" bestFit="1" customWidth="1"/>
    <col min="54" max="54" width="13.140625" bestFit="1" customWidth="1"/>
    <col min="55" max="55" width="10.140625" bestFit="1" customWidth="1"/>
    <col min="56" max="56" width="13.140625" bestFit="1" customWidth="1"/>
    <col min="57" max="57" width="10.140625" bestFit="1" customWidth="1"/>
    <col min="58" max="58" width="13.140625" bestFit="1" customWidth="1"/>
    <col min="59" max="59" width="10.140625" bestFit="1" customWidth="1"/>
    <col min="60" max="60" width="13.140625" bestFit="1" customWidth="1"/>
    <col min="61" max="61" width="10.140625" bestFit="1" customWidth="1"/>
    <col min="62" max="62" width="13.140625" bestFit="1" customWidth="1"/>
    <col min="63" max="63" width="10.140625" bestFit="1" customWidth="1"/>
    <col min="64" max="64" width="13.140625" bestFit="1" customWidth="1"/>
    <col min="65" max="65" width="10.140625" bestFit="1" customWidth="1"/>
    <col min="66" max="66" width="13.140625" bestFit="1" customWidth="1"/>
    <col min="67" max="67" width="10.140625" bestFit="1" customWidth="1"/>
    <col min="68" max="68" width="13.140625" bestFit="1" customWidth="1"/>
    <col min="69" max="69" width="10.140625" bestFit="1" customWidth="1"/>
    <col min="70" max="70" width="13.140625" bestFit="1" customWidth="1"/>
    <col min="71" max="71" width="10.140625" bestFit="1" customWidth="1"/>
    <col min="72" max="72" width="13.140625" bestFit="1" customWidth="1"/>
    <col min="73" max="73" width="10.140625" bestFit="1" customWidth="1"/>
    <col min="74" max="74" width="13.140625" bestFit="1" customWidth="1"/>
    <col min="75" max="75" width="10.140625" bestFit="1" customWidth="1"/>
    <col min="76" max="76" width="13.140625" bestFit="1" customWidth="1"/>
    <col min="77" max="77" width="10.140625" bestFit="1" customWidth="1"/>
    <col min="78" max="78" width="13.140625" bestFit="1" customWidth="1"/>
    <col min="79" max="79" width="10.140625" bestFit="1" customWidth="1"/>
    <col min="80" max="80" width="13.140625" bestFit="1" customWidth="1"/>
    <col min="81" max="81" width="10.140625" bestFit="1" customWidth="1"/>
    <col min="82" max="82" width="13.140625" bestFit="1" customWidth="1"/>
    <col min="83" max="83" width="10.140625" bestFit="1" customWidth="1"/>
    <col min="84" max="84" width="13.140625" bestFit="1" customWidth="1"/>
    <col min="85" max="85" width="10.140625" bestFit="1" customWidth="1"/>
    <col min="86" max="86" width="13.140625" bestFit="1" customWidth="1"/>
    <col min="87" max="87" width="10.140625" bestFit="1" customWidth="1"/>
    <col min="88" max="88" width="13.140625" bestFit="1" customWidth="1"/>
    <col min="89" max="89" width="10.140625" bestFit="1" customWidth="1"/>
    <col min="90" max="90" width="13.140625" bestFit="1" customWidth="1"/>
    <col min="91" max="91" width="10.140625" bestFit="1" customWidth="1"/>
    <col min="92" max="92" width="13.140625" bestFit="1" customWidth="1"/>
    <col min="93" max="93" width="10.140625" bestFit="1" customWidth="1"/>
    <col min="94" max="94" width="13.140625" bestFit="1" customWidth="1"/>
    <col min="95" max="95" width="10.140625" bestFit="1" customWidth="1"/>
    <col min="96" max="96" width="13.140625" bestFit="1" customWidth="1"/>
    <col min="97" max="97" width="10.140625" bestFit="1" customWidth="1"/>
    <col min="98" max="98" width="13.140625" bestFit="1" customWidth="1"/>
    <col min="99" max="99" width="10.140625" bestFit="1" customWidth="1"/>
    <col min="100" max="100" width="13.140625" bestFit="1" customWidth="1"/>
    <col min="101" max="101" width="10.140625" bestFit="1" customWidth="1"/>
    <col min="102" max="102" width="13.140625" bestFit="1" customWidth="1"/>
    <col min="103" max="103" width="10.140625" bestFit="1" customWidth="1"/>
    <col min="104" max="104" width="13.140625" bestFit="1" customWidth="1"/>
    <col min="105" max="105" width="10.140625" bestFit="1" customWidth="1"/>
    <col min="106" max="106" width="13.140625" bestFit="1" customWidth="1"/>
    <col min="107" max="107" width="10.140625" bestFit="1" customWidth="1"/>
    <col min="108" max="108" width="13.140625" bestFit="1" customWidth="1"/>
    <col min="109" max="109" width="10.140625" bestFit="1" customWidth="1"/>
    <col min="110" max="110" width="13.140625" bestFit="1" customWidth="1"/>
    <col min="111" max="111" width="10.140625" bestFit="1" customWidth="1"/>
    <col min="112" max="112" width="13.140625" bestFit="1" customWidth="1"/>
    <col min="113" max="113" width="10.140625" bestFit="1" customWidth="1"/>
    <col min="114" max="114" width="13.140625" bestFit="1" customWidth="1"/>
    <col min="115" max="115" width="10.140625" bestFit="1" customWidth="1"/>
    <col min="116" max="116" width="13.140625" bestFit="1" customWidth="1"/>
    <col min="117" max="117" width="10.140625" bestFit="1" customWidth="1"/>
    <col min="118" max="118" width="13.140625" bestFit="1" customWidth="1"/>
    <col min="119" max="119" width="10.140625" bestFit="1" customWidth="1"/>
    <col min="120" max="120" width="13.140625" bestFit="1" customWidth="1"/>
    <col min="121" max="121" width="12.5703125" bestFit="1" customWidth="1"/>
    <col min="122" max="122" width="13.140625" bestFit="1" customWidth="1"/>
    <col min="123" max="123" width="14.42578125" bestFit="1" customWidth="1"/>
    <col min="124" max="124" width="12.5703125" bestFit="1" customWidth="1"/>
  </cols>
  <sheetData>
    <row r="8" spans="2:10" x14ac:dyDescent="0.25">
      <c r="B8" s="33" t="s">
        <v>819</v>
      </c>
      <c r="C8" t="s">
        <v>820</v>
      </c>
    </row>
    <row r="10" spans="2:10" x14ac:dyDescent="0.25">
      <c r="B10" s="33" t="s">
        <v>0</v>
      </c>
      <c r="C10" s="33" t="s">
        <v>3</v>
      </c>
      <c r="D10" s="33" t="s">
        <v>1</v>
      </c>
      <c r="E10" t="s">
        <v>821</v>
      </c>
      <c r="F10" t="s">
        <v>822</v>
      </c>
      <c r="G10" t="s">
        <v>823</v>
      </c>
      <c r="H10" t="s">
        <v>826</v>
      </c>
      <c r="I10" t="s">
        <v>825</v>
      </c>
      <c r="J10" t="s">
        <v>828</v>
      </c>
    </row>
    <row r="11" spans="2:10" x14ac:dyDescent="0.25">
      <c r="B11" t="s">
        <v>157</v>
      </c>
      <c r="E11" s="35"/>
      <c r="F11" s="35"/>
      <c r="G11" s="35"/>
      <c r="H11" s="35"/>
      <c r="I11" s="35"/>
      <c r="J11" s="39"/>
    </row>
    <row r="12" spans="2:10" x14ac:dyDescent="0.25">
      <c r="C12" t="s">
        <v>60</v>
      </c>
      <c r="E12" s="35"/>
      <c r="F12" s="35"/>
      <c r="G12" s="35"/>
      <c r="H12" s="35"/>
      <c r="I12" s="35"/>
      <c r="J12" s="39"/>
    </row>
    <row r="13" spans="2:10" x14ac:dyDescent="0.25">
      <c r="D13" t="s">
        <v>163</v>
      </c>
      <c r="E13" s="35">
        <v>1</v>
      </c>
      <c r="F13" s="35">
        <v>1</v>
      </c>
      <c r="G13" s="35">
        <v>1</v>
      </c>
      <c r="H13" s="35">
        <v>1</v>
      </c>
      <c r="I13" s="35">
        <v>0.95945945945945899</v>
      </c>
      <c r="J13" s="39">
        <v>0.98499999999999988</v>
      </c>
    </row>
    <row r="14" spans="2:10" x14ac:dyDescent="0.25">
      <c r="D14" t="s">
        <v>164</v>
      </c>
      <c r="E14" s="35">
        <v>1</v>
      </c>
      <c r="F14" s="35">
        <v>1</v>
      </c>
      <c r="G14" s="35">
        <v>1</v>
      </c>
      <c r="H14" s="35">
        <v>1</v>
      </c>
      <c r="I14" s="35">
        <v>0.87837837837837796</v>
      </c>
      <c r="J14" s="39">
        <v>0.95499999999999985</v>
      </c>
    </row>
    <row r="15" spans="2:10" x14ac:dyDescent="0.25">
      <c r="D15" t="s">
        <v>167</v>
      </c>
      <c r="E15" s="35">
        <v>1</v>
      </c>
      <c r="F15" s="35">
        <v>1</v>
      </c>
      <c r="G15" s="35">
        <v>1</v>
      </c>
      <c r="H15" s="35">
        <v>1</v>
      </c>
      <c r="I15" s="35">
        <v>0.87837837837837796</v>
      </c>
      <c r="J15" s="39">
        <v>0.95499999999999985</v>
      </c>
    </row>
    <row r="16" spans="2:10" x14ac:dyDescent="0.25">
      <c r="D16" t="s">
        <v>168</v>
      </c>
      <c r="E16" s="35">
        <v>1</v>
      </c>
      <c r="F16" s="35">
        <v>0.88888888888888895</v>
      </c>
      <c r="G16" s="35">
        <v>1</v>
      </c>
      <c r="H16" s="35">
        <v>1</v>
      </c>
      <c r="I16" s="35">
        <v>0.78378378378378344</v>
      </c>
      <c r="J16" s="39">
        <v>0.90999999999999992</v>
      </c>
    </row>
    <row r="17" spans="3:10" x14ac:dyDescent="0.25">
      <c r="D17" t="s">
        <v>171</v>
      </c>
      <c r="E17" s="35">
        <v>1</v>
      </c>
      <c r="F17" s="35">
        <v>0.55555555555555558</v>
      </c>
      <c r="G17" s="35">
        <v>0.72727272727272729</v>
      </c>
      <c r="H17" s="35">
        <v>1</v>
      </c>
      <c r="I17" s="35">
        <v>0.66216216216216184</v>
      </c>
      <c r="J17" s="39">
        <v>0.80499999999999983</v>
      </c>
    </row>
    <row r="18" spans="3:10" x14ac:dyDescent="0.25">
      <c r="D18" t="s">
        <v>172</v>
      </c>
      <c r="E18" s="35">
        <v>1</v>
      </c>
      <c r="F18" s="35">
        <v>0.88888888888888895</v>
      </c>
      <c r="G18" s="35">
        <v>0.27272727272727271</v>
      </c>
      <c r="H18" s="35">
        <v>1</v>
      </c>
      <c r="I18" s="35">
        <v>0.89189189189189144</v>
      </c>
      <c r="J18" s="39">
        <v>0.86999999999999988</v>
      </c>
    </row>
    <row r="19" spans="3:10" x14ac:dyDescent="0.25">
      <c r="D19" t="s">
        <v>175</v>
      </c>
      <c r="E19" s="35">
        <v>1</v>
      </c>
      <c r="F19" s="35">
        <v>0.55555555555555558</v>
      </c>
      <c r="G19" s="35">
        <v>0.54545454545454541</v>
      </c>
      <c r="H19" s="35">
        <v>0</v>
      </c>
      <c r="I19" s="35">
        <v>0.51351351351351338</v>
      </c>
      <c r="J19" s="39">
        <v>0.73</v>
      </c>
    </row>
    <row r="20" spans="3:10" x14ac:dyDescent="0.25">
      <c r="D20" t="s">
        <v>176</v>
      </c>
      <c r="E20" s="35">
        <v>1</v>
      </c>
      <c r="F20" s="35">
        <v>0.55555555555555558</v>
      </c>
      <c r="G20" s="35">
        <v>0.54545454545454541</v>
      </c>
      <c r="H20" s="35">
        <v>1</v>
      </c>
      <c r="I20" s="35">
        <v>0.63513513513513487</v>
      </c>
      <c r="J20" s="39">
        <v>0.77499999999999991</v>
      </c>
    </row>
    <row r="21" spans="3:10" x14ac:dyDescent="0.25">
      <c r="D21" t="s">
        <v>179</v>
      </c>
      <c r="E21" s="35">
        <v>1</v>
      </c>
      <c r="F21" s="35">
        <v>0.55555555555555558</v>
      </c>
      <c r="G21" s="35">
        <v>0.27272727272727271</v>
      </c>
      <c r="H21" s="35">
        <v>0</v>
      </c>
      <c r="I21" s="35">
        <v>0.43243243243243235</v>
      </c>
      <c r="J21" s="39">
        <v>0.66999999999999993</v>
      </c>
    </row>
    <row r="22" spans="3:10" x14ac:dyDescent="0.25">
      <c r="D22" t="s">
        <v>180</v>
      </c>
      <c r="E22" s="35">
        <v>1</v>
      </c>
      <c r="F22" s="35">
        <v>0.44444444444444442</v>
      </c>
      <c r="G22" s="35">
        <v>0.27272727272727271</v>
      </c>
      <c r="H22" s="35">
        <v>0</v>
      </c>
      <c r="I22" s="35">
        <v>0.51351351351351338</v>
      </c>
      <c r="J22" s="39">
        <v>0.69</v>
      </c>
    </row>
    <row r="23" spans="3:10" x14ac:dyDescent="0.25">
      <c r="D23" t="s">
        <v>183</v>
      </c>
      <c r="E23" s="35">
        <v>1</v>
      </c>
      <c r="F23" s="35">
        <v>0.44444444444444442</v>
      </c>
      <c r="G23" s="35">
        <v>0.27272727272727271</v>
      </c>
      <c r="H23" s="35">
        <v>0</v>
      </c>
      <c r="I23" s="35">
        <v>0.27027027027027017</v>
      </c>
      <c r="J23" s="39">
        <v>0.6</v>
      </c>
    </row>
    <row r="24" spans="3:10" x14ac:dyDescent="0.25">
      <c r="D24" t="s">
        <v>184</v>
      </c>
      <c r="E24" s="35">
        <v>1</v>
      </c>
      <c r="F24" s="35">
        <v>0.44444444444444442</v>
      </c>
      <c r="G24" s="35">
        <v>0.27272727272727271</v>
      </c>
      <c r="H24" s="35">
        <v>0</v>
      </c>
      <c r="I24" s="35">
        <v>0.21621621621621614</v>
      </c>
      <c r="J24" s="39">
        <v>0.57999999999999996</v>
      </c>
    </row>
    <row r="25" spans="3:10" x14ac:dyDescent="0.25">
      <c r="D25" t="s">
        <v>187</v>
      </c>
      <c r="E25" s="35">
        <v>1</v>
      </c>
      <c r="F25" s="35">
        <v>0.44444444444444442</v>
      </c>
      <c r="G25" s="35">
        <v>0.27272727272727271</v>
      </c>
      <c r="H25" s="35">
        <v>0</v>
      </c>
      <c r="I25" s="35">
        <v>0.37837837837837829</v>
      </c>
      <c r="J25" s="39">
        <v>0.6399999999999999</v>
      </c>
    </row>
    <row r="26" spans="3:10" x14ac:dyDescent="0.25">
      <c r="D26" t="s">
        <v>188</v>
      </c>
      <c r="E26" s="35">
        <v>1</v>
      </c>
      <c r="F26" s="35">
        <v>0.44444444444444442</v>
      </c>
      <c r="G26" s="35">
        <v>0.27272727272727271</v>
      </c>
      <c r="H26" s="35">
        <v>0</v>
      </c>
      <c r="I26" s="35">
        <v>0.21621621621621614</v>
      </c>
      <c r="J26" s="39">
        <v>0.57999999999999996</v>
      </c>
    </row>
    <row r="27" spans="3:10" x14ac:dyDescent="0.25">
      <c r="C27" t="s">
        <v>58</v>
      </c>
      <c r="E27" s="35"/>
      <c r="F27" s="35"/>
      <c r="G27" s="35"/>
      <c r="H27" s="35"/>
      <c r="I27" s="35"/>
      <c r="J27" s="39"/>
    </row>
    <row r="28" spans="3:10" x14ac:dyDescent="0.25">
      <c r="D28" t="s">
        <v>162</v>
      </c>
      <c r="E28" s="35">
        <v>1</v>
      </c>
      <c r="F28" s="35">
        <v>1</v>
      </c>
      <c r="G28" s="35">
        <v>1</v>
      </c>
      <c r="H28" s="35">
        <v>1</v>
      </c>
      <c r="I28" s="35">
        <v>0.95945945945945899</v>
      </c>
      <c r="J28" s="39">
        <v>0.98499999999999988</v>
      </c>
    </row>
    <row r="29" spans="3:10" x14ac:dyDescent="0.25">
      <c r="D29" t="s">
        <v>169</v>
      </c>
      <c r="E29" s="35">
        <v>1</v>
      </c>
      <c r="F29" s="35">
        <v>1</v>
      </c>
      <c r="G29" s="35">
        <v>1</v>
      </c>
      <c r="H29" s="35">
        <v>1</v>
      </c>
      <c r="I29" s="35">
        <v>0.89189189189189144</v>
      </c>
      <c r="J29" s="39">
        <v>0.95999999999999985</v>
      </c>
    </row>
    <row r="30" spans="3:10" x14ac:dyDescent="0.25">
      <c r="D30" t="s">
        <v>170</v>
      </c>
      <c r="E30" s="35">
        <v>1</v>
      </c>
      <c r="F30" s="35">
        <v>1</v>
      </c>
      <c r="G30" s="35">
        <v>1</v>
      </c>
      <c r="H30" s="35">
        <v>1</v>
      </c>
      <c r="I30" s="35">
        <v>0.90540540540540504</v>
      </c>
      <c r="J30" s="39">
        <v>0.96499999999999986</v>
      </c>
    </row>
    <row r="31" spans="3:10" x14ac:dyDescent="0.25">
      <c r="D31" t="s">
        <v>173</v>
      </c>
      <c r="E31" s="35">
        <v>1</v>
      </c>
      <c r="F31" s="35">
        <v>1</v>
      </c>
      <c r="G31" s="35">
        <v>1</v>
      </c>
      <c r="H31" s="35">
        <v>1</v>
      </c>
      <c r="I31" s="35">
        <v>0.79729729729729704</v>
      </c>
      <c r="J31" s="39">
        <v>0.92499999999999982</v>
      </c>
    </row>
    <row r="32" spans="3:10" x14ac:dyDescent="0.25">
      <c r="D32" t="s">
        <v>174</v>
      </c>
      <c r="E32" s="35">
        <v>1</v>
      </c>
      <c r="F32" s="35">
        <v>1</v>
      </c>
      <c r="G32" s="35">
        <v>0.63636363636363635</v>
      </c>
      <c r="H32" s="35">
        <v>1</v>
      </c>
      <c r="I32" s="35">
        <v>0.82432432432432401</v>
      </c>
      <c r="J32" s="39">
        <v>0.8949999999999998</v>
      </c>
    </row>
    <row r="33" spans="2:10" x14ac:dyDescent="0.25">
      <c r="D33" t="s">
        <v>177</v>
      </c>
      <c r="E33" s="35">
        <v>1</v>
      </c>
      <c r="F33" s="35">
        <v>1</v>
      </c>
      <c r="G33" s="35">
        <v>0.63636363636363635</v>
      </c>
      <c r="H33" s="35">
        <v>1</v>
      </c>
      <c r="I33" s="35">
        <v>0.75675675675675647</v>
      </c>
      <c r="J33" s="39">
        <v>0.86999999999999988</v>
      </c>
    </row>
    <row r="34" spans="2:10" x14ac:dyDescent="0.25">
      <c r="D34" t="s">
        <v>178</v>
      </c>
      <c r="E34" s="35">
        <v>1</v>
      </c>
      <c r="F34" s="35">
        <v>1</v>
      </c>
      <c r="G34" s="35">
        <v>0.63636363636363635</v>
      </c>
      <c r="H34" s="35">
        <v>1</v>
      </c>
      <c r="I34" s="35">
        <v>0.95945945945945899</v>
      </c>
      <c r="J34" s="39">
        <v>0.94499999999999984</v>
      </c>
    </row>
    <row r="35" spans="2:10" x14ac:dyDescent="0.25">
      <c r="D35" t="s">
        <v>181</v>
      </c>
      <c r="E35" s="35">
        <v>1</v>
      </c>
      <c r="F35" s="35">
        <v>1</v>
      </c>
      <c r="G35" s="35">
        <v>0.63636363636363635</v>
      </c>
      <c r="H35" s="35">
        <v>1</v>
      </c>
      <c r="I35" s="35">
        <v>0.82432432432432401</v>
      </c>
      <c r="J35" s="39">
        <v>0.8949999999999998</v>
      </c>
    </row>
    <row r="36" spans="2:10" x14ac:dyDescent="0.25">
      <c r="D36" t="s">
        <v>182</v>
      </c>
      <c r="E36" s="35">
        <v>1</v>
      </c>
      <c r="F36" s="35">
        <v>1</v>
      </c>
      <c r="G36" s="35">
        <v>0.63636363636363635</v>
      </c>
      <c r="H36" s="35">
        <v>0</v>
      </c>
      <c r="I36" s="35">
        <v>0.58108108108108092</v>
      </c>
      <c r="J36" s="39">
        <v>0.80499999999999994</v>
      </c>
    </row>
    <row r="37" spans="2:10" x14ac:dyDescent="0.25">
      <c r="D37" t="s">
        <v>185</v>
      </c>
      <c r="E37" s="35">
        <v>1</v>
      </c>
      <c r="F37" s="35">
        <v>1</v>
      </c>
      <c r="G37" s="35">
        <v>0.63636363636363635</v>
      </c>
      <c r="H37" s="35">
        <v>1</v>
      </c>
      <c r="I37" s="35">
        <v>0.87837837837837796</v>
      </c>
      <c r="J37" s="39">
        <v>0.91499999999999981</v>
      </c>
    </row>
    <row r="38" spans="2:10" x14ac:dyDescent="0.25">
      <c r="D38" t="s">
        <v>186</v>
      </c>
      <c r="E38" s="35">
        <v>1</v>
      </c>
      <c r="F38" s="35">
        <v>1</v>
      </c>
      <c r="G38" s="35">
        <v>0.63636363636363635</v>
      </c>
      <c r="H38" s="35">
        <v>0</v>
      </c>
      <c r="I38" s="35">
        <v>0.66216216216216184</v>
      </c>
      <c r="J38" s="39">
        <v>0.83499999999999985</v>
      </c>
    </row>
    <row r="39" spans="2:10" x14ac:dyDescent="0.25">
      <c r="D39" t="s">
        <v>189</v>
      </c>
      <c r="E39" s="35">
        <v>1</v>
      </c>
      <c r="F39" s="35">
        <v>1</v>
      </c>
      <c r="G39" s="35">
        <v>0.63636363636363635</v>
      </c>
      <c r="H39" s="35">
        <v>0</v>
      </c>
      <c r="I39" s="35">
        <v>0.74324324324324298</v>
      </c>
      <c r="J39" s="39">
        <v>0.86499999999999988</v>
      </c>
    </row>
    <row r="40" spans="2:10" x14ac:dyDescent="0.25">
      <c r="B40" t="s">
        <v>190</v>
      </c>
      <c r="E40" s="35"/>
      <c r="F40" s="35"/>
      <c r="G40" s="35"/>
      <c r="H40" s="35"/>
      <c r="I40" s="35"/>
      <c r="J40" s="39"/>
    </row>
    <row r="41" spans="2:10" x14ac:dyDescent="0.25">
      <c r="C41" t="s">
        <v>60</v>
      </c>
      <c r="E41" s="35"/>
      <c r="F41" s="35"/>
      <c r="G41" s="35"/>
      <c r="H41" s="35"/>
      <c r="I41" s="35"/>
      <c r="J41" s="39"/>
    </row>
    <row r="42" spans="2:10" x14ac:dyDescent="0.25">
      <c r="D42" t="s">
        <v>192</v>
      </c>
      <c r="E42" s="35">
        <v>1</v>
      </c>
      <c r="F42" s="35">
        <v>0.44444444444444442</v>
      </c>
      <c r="G42" s="35">
        <v>0.27272727272727271</v>
      </c>
      <c r="H42" s="35">
        <v>0</v>
      </c>
      <c r="I42" s="35">
        <v>0.27027027027027017</v>
      </c>
      <c r="J42" s="39">
        <v>0.6</v>
      </c>
    </row>
    <row r="43" spans="2:10" x14ac:dyDescent="0.25">
      <c r="D43" t="s">
        <v>193</v>
      </c>
      <c r="E43" s="35">
        <v>1</v>
      </c>
      <c r="F43" s="35">
        <v>0.44444444444444442</v>
      </c>
      <c r="G43" s="35">
        <v>0.54545454545454541</v>
      </c>
      <c r="H43" s="35">
        <v>0</v>
      </c>
      <c r="I43" s="35">
        <v>0.21621621621621614</v>
      </c>
      <c r="J43" s="39">
        <v>0.61</v>
      </c>
    </row>
    <row r="44" spans="2:10" x14ac:dyDescent="0.25">
      <c r="D44" t="s">
        <v>196</v>
      </c>
      <c r="E44" s="35">
        <v>0.90697674418604646</v>
      </c>
      <c r="F44" s="35">
        <v>0.44444444444444442</v>
      </c>
      <c r="G44" s="35">
        <v>0.27272727272727271</v>
      </c>
      <c r="H44" s="35">
        <v>0</v>
      </c>
      <c r="I44" s="35">
        <v>0.21621621621621614</v>
      </c>
      <c r="J44" s="39">
        <v>0.53999999999999992</v>
      </c>
    </row>
    <row r="45" spans="2:10" x14ac:dyDescent="0.25">
      <c r="D45" t="s">
        <v>197</v>
      </c>
      <c r="E45" s="35">
        <v>1</v>
      </c>
      <c r="F45" s="35">
        <v>0.44444444444444442</v>
      </c>
      <c r="G45" s="35">
        <v>0.27272727272727271</v>
      </c>
      <c r="H45" s="35">
        <v>0</v>
      </c>
      <c r="I45" s="35">
        <v>0.37837837837837829</v>
      </c>
      <c r="J45" s="39">
        <v>0.6399999999999999</v>
      </c>
    </row>
    <row r="46" spans="2:10" x14ac:dyDescent="0.25">
      <c r="D46" t="s">
        <v>200</v>
      </c>
      <c r="E46" s="35">
        <v>1</v>
      </c>
      <c r="F46" s="35">
        <v>0.44444444444444442</v>
      </c>
      <c r="G46" s="35">
        <v>0.27272727272727271</v>
      </c>
      <c r="H46" s="35">
        <v>0</v>
      </c>
      <c r="I46" s="35">
        <v>8.1081081081081058E-2</v>
      </c>
      <c r="J46" s="39">
        <v>0.53</v>
      </c>
    </row>
    <row r="47" spans="2:10" x14ac:dyDescent="0.25">
      <c r="D47" t="s">
        <v>201</v>
      </c>
      <c r="E47" s="35">
        <v>1</v>
      </c>
      <c r="F47" s="35">
        <v>0.44444444444444442</v>
      </c>
      <c r="G47" s="35">
        <v>0.27272727272727271</v>
      </c>
      <c r="H47" s="35">
        <v>0</v>
      </c>
      <c r="I47" s="35">
        <v>0.21621621621621614</v>
      </c>
      <c r="J47" s="39">
        <v>0.57999999999999996</v>
      </c>
    </row>
    <row r="48" spans="2:10" x14ac:dyDescent="0.25">
      <c r="D48" t="s">
        <v>204</v>
      </c>
      <c r="E48" s="35">
        <v>1</v>
      </c>
      <c r="F48" s="35">
        <v>0.44444444444444442</v>
      </c>
      <c r="G48" s="35">
        <v>0.27272727272727271</v>
      </c>
      <c r="H48" s="35">
        <v>0</v>
      </c>
      <c r="I48" s="35">
        <v>0.21621621621621614</v>
      </c>
      <c r="J48" s="39">
        <v>0.57999999999999996</v>
      </c>
    </row>
    <row r="49" spans="3:10" x14ac:dyDescent="0.25">
      <c r="D49" t="s">
        <v>205</v>
      </c>
      <c r="E49" s="35">
        <v>1</v>
      </c>
      <c r="F49" s="35">
        <v>0.44444444444444442</v>
      </c>
      <c r="G49" s="35">
        <v>0.27272727272727271</v>
      </c>
      <c r="H49" s="35">
        <v>0</v>
      </c>
      <c r="I49" s="35">
        <v>0.21621621621621614</v>
      </c>
      <c r="J49" s="39">
        <v>0.57999999999999996</v>
      </c>
    </row>
    <row r="50" spans="3:10" x14ac:dyDescent="0.25">
      <c r="D50" t="s">
        <v>208</v>
      </c>
      <c r="E50" s="35">
        <v>0.90697674418604646</v>
      </c>
      <c r="F50" s="35">
        <v>0</v>
      </c>
      <c r="G50" s="35">
        <v>0</v>
      </c>
      <c r="H50" s="35">
        <v>0</v>
      </c>
      <c r="I50" s="35">
        <v>0</v>
      </c>
      <c r="J50" s="39">
        <v>0.38999999999999996</v>
      </c>
    </row>
    <row r="51" spans="3:10" x14ac:dyDescent="0.25">
      <c r="D51" t="s">
        <v>209</v>
      </c>
      <c r="E51" s="35">
        <v>0.90697674418604646</v>
      </c>
      <c r="F51" s="35">
        <v>0</v>
      </c>
      <c r="G51" s="35">
        <v>0</v>
      </c>
      <c r="H51" s="35">
        <v>0</v>
      </c>
      <c r="I51" s="35">
        <v>0</v>
      </c>
      <c r="J51" s="39">
        <v>0.38999999999999996</v>
      </c>
    </row>
    <row r="52" spans="3:10" x14ac:dyDescent="0.25">
      <c r="D52" t="s">
        <v>212</v>
      </c>
      <c r="E52" s="35">
        <v>0.90697674418604646</v>
      </c>
      <c r="F52" s="35">
        <v>0</v>
      </c>
      <c r="G52" s="35">
        <v>0</v>
      </c>
      <c r="H52" s="35">
        <v>0</v>
      </c>
      <c r="I52" s="35">
        <v>0</v>
      </c>
      <c r="J52" s="39">
        <v>0.38999999999999996</v>
      </c>
    </row>
    <row r="53" spans="3:10" x14ac:dyDescent="0.25">
      <c r="D53" t="s">
        <v>213</v>
      </c>
      <c r="E53" s="35">
        <v>0.90697674418604646</v>
      </c>
      <c r="F53" s="35">
        <v>0</v>
      </c>
      <c r="G53" s="35">
        <v>0</v>
      </c>
      <c r="H53" s="35">
        <v>0</v>
      </c>
      <c r="I53" s="35">
        <v>0</v>
      </c>
      <c r="J53" s="39">
        <v>0.38999999999999996</v>
      </c>
    </row>
    <row r="54" spans="3:10" x14ac:dyDescent="0.25">
      <c r="C54" t="s">
        <v>58</v>
      </c>
      <c r="E54" s="35"/>
      <c r="F54" s="35"/>
      <c r="G54" s="35"/>
      <c r="H54" s="35"/>
      <c r="I54" s="35"/>
      <c r="J54" s="39"/>
    </row>
    <row r="55" spans="3:10" x14ac:dyDescent="0.25">
      <c r="D55" t="s">
        <v>191</v>
      </c>
      <c r="E55" s="35">
        <v>1</v>
      </c>
      <c r="F55" s="35">
        <v>1</v>
      </c>
      <c r="G55" s="35">
        <v>0.63636363636363635</v>
      </c>
      <c r="H55" s="35">
        <v>0</v>
      </c>
      <c r="I55" s="35">
        <v>0.58108108108108092</v>
      </c>
      <c r="J55" s="39">
        <v>0.80499999999999994</v>
      </c>
    </row>
    <row r="56" spans="3:10" x14ac:dyDescent="0.25">
      <c r="D56" t="s">
        <v>194</v>
      </c>
      <c r="E56" s="35">
        <v>1</v>
      </c>
      <c r="F56" s="35">
        <v>1</v>
      </c>
      <c r="G56" s="35">
        <v>0.63636363636363635</v>
      </c>
      <c r="H56" s="35">
        <v>0</v>
      </c>
      <c r="I56" s="35">
        <v>0.58108108108108092</v>
      </c>
      <c r="J56" s="39">
        <v>0.80499999999999994</v>
      </c>
    </row>
    <row r="57" spans="3:10" x14ac:dyDescent="0.25">
      <c r="D57" t="s">
        <v>195</v>
      </c>
      <c r="E57" s="35">
        <v>1</v>
      </c>
      <c r="F57" s="35">
        <v>1</v>
      </c>
      <c r="G57" s="35">
        <v>0.63636363636363635</v>
      </c>
      <c r="H57" s="35">
        <v>0</v>
      </c>
      <c r="I57" s="35">
        <v>0</v>
      </c>
      <c r="J57" s="39">
        <v>0.59</v>
      </c>
    </row>
    <row r="58" spans="3:10" x14ac:dyDescent="0.25">
      <c r="D58" t="s">
        <v>198</v>
      </c>
      <c r="E58" s="35">
        <v>1</v>
      </c>
      <c r="F58" s="35">
        <v>1</v>
      </c>
      <c r="G58" s="35">
        <v>0.63636363636363635</v>
      </c>
      <c r="H58" s="35">
        <v>0</v>
      </c>
      <c r="I58" s="35">
        <v>0.63513513513513487</v>
      </c>
      <c r="J58" s="39">
        <v>0.82499999999999984</v>
      </c>
    </row>
    <row r="59" spans="3:10" x14ac:dyDescent="0.25">
      <c r="D59" t="s">
        <v>199</v>
      </c>
      <c r="E59" s="35">
        <v>0.90697674418604646</v>
      </c>
      <c r="F59" s="35">
        <v>0</v>
      </c>
      <c r="G59" s="35">
        <v>0</v>
      </c>
      <c r="H59" s="35">
        <v>0</v>
      </c>
      <c r="I59" s="35">
        <v>0</v>
      </c>
      <c r="J59" s="39">
        <v>0.38999999999999996</v>
      </c>
    </row>
    <row r="60" spans="3:10" x14ac:dyDescent="0.25">
      <c r="D60" t="s">
        <v>202</v>
      </c>
      <c r="E60" s="35">
        <v>1</v>
      </c>
      <c r="F60" s="35">
        <v>1</v>
      </c>
      <c r="G60" s="35">
        <v>0.63636363636363635</v>
      </c>
      <c r="H60" s="35">
        <v>0</v>
      </c>
      <c r="I60" s="35">
        <v>0.52702702702702686</v>
      </c>
      <c r="J60" s="39">
        <v>0.78499999999999992</v>
      </c>
    </row>
    <row r="61" spans="3:10" x14ac:dyDescent="0.25">
      <c r="D61" t="s">
        <v>203</v>
      </c>
      <c r="E61" s="35">
        <v>0.90697674418604646</v>
      </c>
      <c r="F61" s="35">
        <v>0</v>
      </c>
      <c r="G61" s="35">
        <v>0</v>
      </c>
      <c r="H61" s="35">
        <v>0</v>
      </c>
      <c r="I61" s="35">
        <v>0</v>
      </c>
      <c r="J61" s="39">
        <v>0.38999999999999996</v>
      </c>
    </row>
    <row r="62" spans="3:10" x14ac:dyDescent="0.25">
      <c r="D62" t="s">
        <v>206</v>
      </c>
      <c r="E62" s="35">
        <v>1</v>
      </c>
      <c r="F62" s="35">
        <v>1</v>
      </c>
      <c r="G62" s="35">
        <v>0.63636363636363635</v>
      </c>
      <c r="H62" s="35">
        <v>0</v>
      </c>
      <c r="I62" s="35">
        <v>0.16216216216216212</v>
      </c>
      <c r="J62" s="39">
        <v>0.64999999999999991</v>
      </c>
    </row>
    <row r="63" spans="3:10" x14ac:dyDescent="0.25">
      <c r="D63" t="s">
        <v>207</v>
      </c>
      <c r="E63" s="35">
        <v>0.90697674418604646</v>
      </c>
      <c r="F63" s="35">
        <v>0</v>
      </c>
      <c r="G63" s="35">
        <v>0</v>
      </c>
      <c r="H63" s="35">
        <v>0</v>
      </c>
      <c r="I63" s="35">
        <v>0</v>
      </c>
      <c r="J63" s="39">
        <v>0.38999999999999996</v>
      </c>
    </row>
    <row r="64" spans="3:10" x14ac:dyDescent="0.25">
      <c r="D64" t="s">
        <v>210</v>
      </c>
      <c r="E64" s="35">
        <v>0.90697674418604646</v>
      </c>
      <c r="F64" s="35">
        <v>0</v>
      </c>
      <c r="G64" s="35">
        <v>0</v>
      </c>
      <c r="H64" s="35">
        <v>0</v>
      </c>
      <c r="I64" s="35">
        <v>0</v>
      </c>
      <c r="J64" s="39">
        <v>0.38999999999999996</v>
      </c>
    </row>
    <row r="65" spans="4:10" x14ac:dyDescent="0.25">
      <c r="D65" t="s">
        <v>211</v>
      </c>
      <c r="E65" s="35">
        <v>1</v>
      </c>
      <c r="F65" s="35">
        <v>1</v>
      </c>
      <c r="G65" s="35">
        <v>0.63636363636363635</v>
      </c>
      <c r="H65" s="35">
        <v>0</v>
      </c>
      <c r="I65" s="35">
        <v>0.44594594594594578</v>
      </c>
      <c r="J65" s="39">
        <v>0.75499999999999989</v>
      </c>
    </row>
    <row r="66" spans="4:10" x14ac:dyDescent="0.25">
      <c r="D66" t="s">
        <v>214</v>
      </c>
      <c r="E66" s="35">
        <v>0.90697674418604646</v>
      </c>
      <c r="F66" s="35">
        <v>0</v>
      </c>
      <c r="G66" s="35">
        <v>0</v>
      </c>
      <c r="H66" s="35">
        <v>0</v>
      </c>
      <c r="I66" s="35">
        <v>0</v>
      </c>
      <c r="J66" s="39">
        <v>0.38999999999999996</v>
      </c>
    </row>
    <row r="67" spans="4:10" x14ac:dyDescent="0.25">
      <c r="D67" t="s">
        <v>215</v>
      </c>
      <c r="E67" s="35">
        <v>0.27906976744186046</v>
      </c>
      <c r="F67" s="35">
        <v>0</v>
      </c>
      <c r="G67" s="35">
        <v>0</v>
      </c>
      <c r="H67" s="35">
        <v>0</v>
      </c>
      <c r="I67" s="35">
        <v>0</v>
      </c>
      <c r="J67" s="39">
        <v>0.12</v>
      </c>
    </row>
    <row r="68" spans="4:10" x14ac:dyDescent="0.25">
      <c r="D68" t="s">
        <v>222</v>
      </c>
      <c r="E68" s="35">
        <v>0.27906976744186046</v>
      </c>
      <c r="F68" s="35">
        <v>0</v>
      </c>
      <c r="G68" s="35">
        <v>0</v>
      </c>
      <c r="H68" s="35">
        <v>0</v>
      </c>
      <c r="I68" s="35">
        <v>0</v>
      </c>
      <c r="J68" s="39">
        <v>0.12</v>
      </c>
    </row>
    <row r="86" spans="6:12" x14ac:dyDescent="0.25">
      <c r="F86" s="42"/>
      <c r="G86" s="35"/>
      <c r="H86" s="35"/>
      <c r="I86" s="35"/>
      <c r="J86" s="35"/>
      <c r="K86" s="35"/>
      <c r="L86" s="39"/>
    </row>
  </sheetData>
  <conditionalFormatting pivot="1">
    <cfRule type="iconSet" priority="15">
      <iconSet iconSet="3Symbols2" showValue="0">
        <cfvo type="percent" val="0"/>
        <cfvo type="percent" val="33"/>
        <cfvo type="percent" val="98"/>
      </iconSet>
    </cfRule>
  </conditionalFormatting>
  <conditionalFormatting pivot="1">
    <cfRule type="iconSet" priority="14">
      <iconSet iconSet="3Symbols2">
        <cfvo type="percent" val="0"/>
        <cfvo type="percent" val="33"/>
        <cfvo type="percent" val="98"/>
      </iconSet>
    </cfRule>
  </conditionalFormatting>
  <conditionalFormatting sqref="J1:J10 J70:J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{291FAAF5-0E07-4FCD-AB08-2A19D428FB39}</x14:id>
        </ext>
      </extLst>
    </cfRule>
  </conditionalFormatting>
  <conditionalFormatting sqref="J1:J10 J70:J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{199AD189-7054-4D2A-A904-1A1BB048E29A}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1FAAF5-0E07-4FCD-AB08-2A19D428FB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 J70:J1048576</xm:sqref>
        </x14:conditionalFormatting>
        <x14:conditionalFormatting xmlns:xm="http://schemas.microsoft.com/office/excel/2006/main">
          <x14:cfRule type="dataBar" id="{199AD189-7054-4D2A-A904-1A1BB048E2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 J70:J1048576</xm:sqref>
        </x14:conditionalFormatting>
        <x14:conditionalFormatting xmlns:xm="http://schemas.microsoft.com/office/excel/2006/main">
          <x14:cfRule type="iconSet" priority="2" id="{DBCEE356-AF9F-4758-851D-4532DD09A0DE}">
            <x14:iconSet iconSet="3Symbols2"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99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E1:I10 E70:I1048576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62E4-1F7A-46E7-99D6-7067DB7C7F00}">
  <dimension ref="D7:M98"/>
  <sheetViews>
    <sheetView zoomScaleNormal="100" workbookViewId="0">
      <selection activeCell="K27" sqref="K27"/>
    </sheetView>
  </sheetViews>
  <sheetFormatPr baseColWidth="10" defaultRowHeight="15" x14ac:dyDescent="0.25"/>
  <cols>
    <col min="1" max="1" width="1.28515625" customWidth="1"/>
    <col min="2" max="2" width="2.42578125" customWidth="1"/>
    <col min="4" max="4" width="17" bestFit="1" customWidth="1"/>
    <col min="5" max="6" width="14.140625" bestFit="1" customWidth="1"/>
    <col min="7" max="7" width="8.140625" bestFit="1" customWidth="1"/>
    <col min="8" max="8" width="10.28515625" style="36" bestFit="1" customWidth="1"/>
    <col min="9" max="10" width="8.140625" style="36" bestFit="1" customWidth="1"/>
    <col min="11" max="11" width="9" style="36" bestFit="1" customWidth="1"/>
    <col min="12" max="13" width="14.28515625" style="36" bestFit="1" customWidth="1"/>
    <col min="14" max="59" width="21.85546875" bestFit="1" customWidth="1"/>
    <col min="60" max="60" width="13.140625" bestFit="1" customWidth="1"/>
    <col min="61" max="61" width="10.140625" bestFit="1" customWidth="1"/>
    <col min="62" max="62" width="13.140625" bestFit="1" customWidth="1"/>
    <col min="63" max="63" width="10.140625" bestFit="1" customWidth="1"/>
    <col min="64" max="64" width="13.140625" bestFit="1" customWidth="1"/>
    <col min="65" max="65" width="10.140625" bestFit="1" customWidth="1"/>
    <col min="66" max="66" width="13.140625" bestFit="1" customWidth="1"/>
    <col min="67" max="67" width="10.140625" bestFit="1" customWidth="1"/>
    <col min="68" max="68" width="13.140625" bestFit="1" customWidth="1"/>
    <col min="69" max="69" width="10.140625" bestFit="1" customWidth="1"/>
    <col min="70" max="70" width="13.140625" bestFit="1" customWidth="1"/>
    <col min="71" max="71" width="10.140625" bestFit="1" customWidth="1"/>
    <col min="72" max="72" width="13.140625" bestFit="1" customWidth="1"/>
    <col min="73" max="73" width="10.140625" bestFit="1" customWidth="1"/>
    <col min="74" max="74" width="13.140625" bestFit="1" customWidth="1"/>
    <col min="75" max="75" width="10.140625" bestFit="1" customWidth="1"/>
    <col min="76" max="76" width="13.140625" bestFit="1" customWidth="1"/>
    <col min="77" max="77" width="10.140625" bestFit="1" customWidth="1"/>
    <col min="78" max="78" width="13.140625" bestFit="1" customWidth="1"/>
    <col min="79" max="79" width="10.140625" bestFit="1" customWidth="1"/>
    <col min="80" max="80" width="13.140625" bestFit="1" customWidth="1"/>
    <col min="81" max="81" width="10.140625" bestFit="1" customWidth="1"/>
    <col min="82" max="82" width="13.140625" bestFit="1" customWidth="1"/>
    <col min="83" max="83" width="10.140625" bestFit="1" customWidth="1"/>
    <col min="84" max="84" width="13.140625" bestFit="1" customWidth="1"/>
    <col min="85" max="85" width="10.140625" bestFit="1" customWidth="1"/>
    <col min="86" max="86" width="13.140625" bestFit="1" customWidth="1"/>
    <col min="87" max="87" width="10.140625" bestFit="1" customWidth="1"/>
    <col min="88" max="88" width="13.140625" bestFit="1" customWidth="1"/>
    <col min="89" max="89" width="10.140625" bestFit="1" customWidth="1"/>
    <col min="90" max="90" width="13.140625" bestFit="1" customWidth="1"/>
    <col min="91" max="91" width="10.140625" bestFit="1" customWidth="1"/>
    <col min="92" max="92" width="13.140625" bestFit="1" customWidth="1"/>
    <col min="93" max="93" width="10.140625" bestFit="1" customWidth="1"/>
    <col min="94" max="94" width="13.140625" bestFit="1" customWidth="1"/>
    <col min="95" max="95" width="10.140625" bestFit="1" customWidth="1"/>
    <col min="96" max="96" width="13.140625" bestFit="1" customWidth="1"/>
    <col min="97" max="97" width="10.140625" bestFit="1" customWidth="1"/>
    <col min="98" max="98" width="13.140625" bestFit="1" customWidth="1"/>
    <col min="99" max="99" width="10.140625" bestFit="1" customWidth="1"/>
    <col min="100" max="100" width="13.140625" bestFit="1" customWidth="1"/>
    <col min="101" max="101" width="10.140625" bestFit="1" customWidth="1"/>
    <col min="102" max="102" width="13.140625" bestFit="1" customWidth="1"/>
    <col min="103" max="103" width="10.140625" bestFit="1" customWidth="1"/>
    <col min="104" max="104" width="13.140625" bestFit="1" customWidth="1"/>
    <col min="105" max="105" width="10.140625" bestFit="1" customWidth="1"/>
    <col min="106" max="106" width="13.140625" bestFit="1" customWidth="1"/>
    <col min="107" max="107" width="10.140625" bestFit="1" customWidth="1"/>
    <col min="108" max="108" width="13.140625" bestFit="1" customWidth="1"/>
    <col min="109" max="109" width="10.140625" bestFit="1" customWidth="1"/>
    <col min="110" max="110" width="13.140625" bestFit="1" customWidth="1"/>
    <col min="111" max="111" width="10.140625" bestFit="1" customWidth="1"/>
    <col min="112" max="112" width="13.140625" bestFit="1" customWidth="1"/>
    <col min="113" max="113" width="10.140625" bestFit="1" customWidth="1"/>
    <col min="114" max="114" width="13.140625" bestFit="1" customWidth="1"/>
    <col min="115" max="115" width="10.140625" bestFit="1" customWidth="1"/>
    <col min="116" max="116" width="13.140625" bestFit="1" customWidth="1"/>
    <col min="117" max="117" width="10.140625" bestFit="1" customWidth="1"/>
    <col min="118" max="118" width="13.140625" bestFit="1" customWidth="1"/>
    <col min="119" max="119" width="10.140625" bestFit="1" customWidth="1"/>
    <col min="120" max="120" width="13.140625" bestFit="1" customWidth="1"/>
    <col min="121" max="121" width="10.140625" bestFit="1" customWidth="1"/>
    <col min="122" max="122" width="13.140625" bestFit="1" customWidth="1"/>
    <col min="123" max="123" width="12.5703125" bestFit="1" customWidth="1"/>
    <col min="124" max="124" width="13.140625" bestFit="1" customWidth="1"/>
    <col min="125" max="125" width="14.42578125" bestFit="1" customWidth="1"/>
    <col min="126" max="126" width="12.5703125" bestFit="1" customWidth="1"/>
  </cols>
  <sheetData>
    <row r="7" spans="4:13" x14ac:dyDescent="0.25">
      <c r="D7" s="33" t="s">
        <v>819</v>
      </c>
      <c r="E7" t="s">
        <v>820</v>
      </c>
    </row>
    <row r="9" spans="4:13" x14ac:dyDescent="0.25">
      <c r="D9" s="33" t="s">
        <v>0</v>
      </c>
      <c r="E9" s="33" t="s">
        <v>3</v>
      </c>
      <c r="F9" s="33" t="s">
        <v>1</v>
      </c>
      <c r="G9" s="36" t="s">
        <v>866</v>
      </c>
      <c r="H9" s="36" t="s">
        <v>867</v>
      </c>
      <c r="I9" s="36" t="s">
        <v>868</v>
      </c>
      <c r="J9" s="36" t="s">
        <v>869</v>
      </c>
      <c r="K9" s="36" t="s">
        <v>870</v>
      </c>
      <c r="L9" s="36" t="s">
        <v>871</v>
      </c>
      <c r="M9"/>
    </row>
    <row r="10" spans="4:13" x14ac:dyDescent="0.25">
      <c r="D10" t="s">
        <v>157</v>
      </c>
      <c r="G10" s="35"/>
      <c r="H10" s="35"/>
      <c r="I10" s="35"/>
      <c r="J10" s="35"/>
      <c r="K10" s="35"/>
      <c r="L10" s="35"/>
      <c r="M10"/>
    </row>
    <row r="11" spans="4:13" x14ac:dyDescent="0.25">
      <c r="E11" t="s">
        <v>60</v>
      </c>
      <c r="G11" s="35"/>
      <c r="H11" s="35"/>
      <c r="I11" s="35"/>
      <c r="J11" s="35"/>
      <c r="K11" s="35"/>
      <c r="L11" s="35"/>
      <c r="M11"/>
    </row>
    <row r="12" spans="4:13" x14ac:dyDescent="0.25">
      <c r="F12" t="s">
        <v>163</v>
      </c>
      <c r="G12" s="35">
        <v>1</v>
      </c>
      <c r="H12" s="35">
        <v>1</v>
      </c>
      <c r="I12" s="35">
        <v>1</v>
      </c>
      <c r="J12" s="35">
        <v>1</v>
      </c>
      <c r="K12" s="35">
        <v>1</v>
      </c>
      <c r="L12" s="35">
        <v>1</v>
      </c>
      <c r="M12"/>
    </row>
    <row r="13" spans="4:13" x14ac:dyDescent="0.25">
      <c r="F13" t="s">
        <v>164</v>
      </c>
      <c r="G13" s="35">
        <v>1</v>
      </c>
      <c r="H13" s="35">
        <v>1</v>
      </c>
      <c r="I13" s="35">
        <v>1</v>
      </c>
      <c r="J13" s="35">
        <v>1</v>
      </c>
      <c r="K13" s="35">
        <v>1</v>
      </c>
      <c r="L13" s="35">
        <v>1</v>
      </c>
      <c r="M13"/>
    </row>
    <row r="14" spans="4:13" x14ac:dyDescent="0.25">
      <c r="F14" t="s">
        <v>167</v>
      </c>
      <c r="G14" s="35">
        <v>1</v>
      </c>
      <c r="H14" s="35">
        <v>1</v>
      </c>
      <c r="I14" s="35">
        <v>1</v>
      </c>
      <c r="J14" s="35">
        <v>1</v>
      </c>
      <c r="K14" s="35">
        <v>1</v>
      </c>
      <c r="L14" s="35">
        <v>1</v>
      </c>
      <c r="M14"/>
    </row>
    <row r="15" spans="4:13" x14ac:dyDescent="0.25">
      <c r="F15" t="s">
        <v>168</v>
      </c>
      <c r="G15" s="35">
        <v>1</v>
      </c>
      <c r="H15" s="35">
        <v>1</v>
      </c>
      <c r="I15" s="35">
        <v>1</v>
      </c>
      <c r="J15" s="35">
        <v>1</v>
      </c>
      <c r="K15" s="35">
        <v>1</v>
      </c>
      <c r="L15" s="35">
        <v>1</v>
      </c>
      <c r="M15"/>
    </row>
    <row r="16" spans="4:13" x14ac:dyDescent="0.25">
      <c r="F16" t="s">
        <v>171</v>
      </c>
      <c r="G16" s="35">
        <v>1</v>
      </c>
      <c r="H16" s="35">
        <v>1</v>
      </c>
      <c r="I16" s="35">
        <v>1</v>
      </c>
      <c r="J16" s="35">
        <v>1</v>
      </c>
      <c r="K16" s="35">
        <v>1</v>
      </c>
      <c r="L16" s="35">
        <v>1</v>
      </c>
      <c r="M16"/>
    </row>
    <row r="17" spans="5:13" x14ac:dyDescent="0.25">
      <c r="F17" t="s">
        <v>172</v>
      </c>
      <c r="G17" s="35">
        <v>1</v>
      </c>
      <c r="H17" s="35">
        <v>1</v>
      </c>
      <c r="I17" s="35">
        <v>1</v>
      </c>
      <c r="J17" s="35">
        <v>1</v>
      </c>
      <c r="K17" s="35">
        <v>1</v>
      </c>
      <c r="L17" s="35">
        <v>1</v>
      </c>
      <c r="M17"/>
    </row>
    <row r="18" spans="5:13" x14ac:dyDescent="0.25">
      <c r="F18" t="s">
        <v>175</v>
      </c>
      <c r="G18" s="35">
        <v>1</v>
      </c>
      <c r="H18" s="35">
        <v>1</v>
      </c>
      <c r="I18" s="35">
        <v>1</v>
      </c>
      <c r="J18" s="35">
        <v>1</v>
      </c>
      <c r="K18" s="35">
        <v>1</v>
      </c>
      <c r="L18" s="35">
        <v>1</v>
      </c>
      <c r="M18"/>
    </row>
    <row r="19" spans="5:13" x14ac:dyDescent="0.25">
      <c r="F19" t="s">
        <v>176</v>
      </c>
      <c r="G19" s="35">
        <v>1</v>
      </c>
      <c r="H19" s="35">
        <v>1</v>
      </c>
      <c r="I19" s="35">
        <v>1</v>
      </c>
      <c r="J19" s="35">
        <v>1</v>
      </c>
      <c r="K19" s="35">
        <v>1</v>
      </c>
      <c r="L19" s="35">
        <v>1</v>
      </c>
      <c r="M19"/>
    </row>
    <row r="20" spans="5:13" x14ac:dyDescent="0.25">
      <c r="F20" t="s">
        <v>179</v>
      </c>
      <c r="G20" s="35">
        <v>1</v>
      </c>
      <c r="H20" s="35">
        <v>1</v>
      </c>
      <c r="I20" s="35">
        <v>1</v>
      </c>
      <c r="J20" s="35">
        <v>1</v>
      </c>
      <c r="K20" s="35">
        <v>1</v>
      </c>
      <c r="L20" s="35">
        <v>1</v>
      </c>
      <c r="M20"/>
    </row>
    <row r="21" spans="5:13" x14ac:dyDescent="0.25">
      <c r="F21" t="s">
        <v>180</v>
      </c>
      <c r="G21" s="35">
        <v>1</v>
      </c>
      <c r="H21" s="35">
        <v>1</v>
      </c>
      <c r="I21" s="35">
        <v>1</v>
      </c>
      <c r="J21" s="35">
        <v>1</v>
      </c>
      <c r="K21" s="35">
        <v>1</v>
      </c>
      <c r="L21" s="35">
        <v>1</v>
      </c>
      <c r="M21"/>
    </row>
    <row r="22" spans="5:13" x14ac:dyDescent="0.25">
      <c r="F22" t="s">
        <v>183</v>
      </c>
      <c r="G22" s="35">
        <v>1</v>
      </c>
      <c r="H22" s="35">
        <v>1</v>
      </c>
      <c r="I22" s="35">
        <v>1</v>
      </c>
      <c r="J22" s="35">
        <v>1</v>
      </c>
      <c r="K22" s="35">
        <v>1</v>
      </c>
      <c r="L22" s="35">
        <v>1</v>
      </c>
      <c r="M22"/>
    </row>
    <row r="23" spans="5:13" x14ac:dyDescent="0.25">
      <c r="F23" t="s">
        <v>184</v>
      </c>
      <c r="G23" s="35">
        <v>1</v>
      </c>
      <c r="H23" s="35">
        <v>1</v>
      </c>
      <c r="I23" s="35">
        <v>1</v>
      </c>
      <c r="J23" s="35">
        <v>1</v>
      </c>
      <c r="K23" s="35">
        <v>1</v>
      </c>
      <c r="L23" s="35">
        <v>1</v>
      </c>
      <c r="M23"/>
    </row>
    <row r="24" spans="5:13" x14ac:dyDescent="0.25">
      <c r="F24" t="s">
        <v>187</v>
      </c>
      <c r="G24" s="35">
        <v>1</v>
      </c>
      <c r="H24" s="35">
        <v>1</v>
      </c>
      <c r="I24" s="35">
        <v>1</v>
      </c>
      <c r="J24" s="35">
        <v>1</v>
      </c>
      <c r="K24" s="35">
        <v>1</v>
      </c>
      <c r="L24" s="35">
        <v>1</v>
      </c>
      <c r="M24"/>
    </row>
    <row r="25" spans="5:13" x14ac:dyDescent="0.25">
      <c r="F25" t="s">
        <v>188</v>
      </c>
      <c r="G25" s="35">
        <v>1</v>
      </c>
      <c r="H25" s="35">
        <v>1</v>
      </c>
      <c r="I25" s="35">
        <v>1</v>
      </c>
      <c r="J25" s="35">
        <v>1</v>
      </c>
      <c r="K25" s="35">
        <v>1</v>
      </c>
      <c r="L25" s="35">
        <v>1</v>
      </c>
      <c r="M25"/>
    </row>
    <row r="26" spans="5:13" x14ac:dyDescent="0.25">
      <c r="E26" t="s">
        <v>58</v>
      </c>
      <c r="G26" s="35"/>
      <c r="H26" s="35"/>
      <c r="I26" s="35"/>
      <c r="J26" s="35"/>
      <c r="K26" s="35"/>
      <c r="L26" s="35"/>
      <c r="M26"/>
    </row>
    <row r="27" spans="5:13" x14ac:dyDescent="0.25">
      <c r="F27" t="s">
        <v>162</v>
      </c>
      <c r="G27" s="35">
        <v>1</v>
      </c>
      <c r="H27" s="35">
        <v>1</v>
      </c>
      <c r="I27" s="35">
        <v>1</v>
      </c>
      <c r="J27" s="35">
        <v>1</v>
      </c>
      <c r="K27" s="35">
        <v>1</v>
      </c>
      <c r="L27" s="35">
        <v>1</v>
      </c>
      <c r="M27"/>
    </row>
    <row r="28" spans="5:13" x14ac:dyDescent="0.25">
      <c r="F28" t="s">
        <v>169</v>
      </c>
      <c r="G28" s="35">
        <v>1</v>
      </c>
      <c r="H28" s="35">
        <v>1</v>
      </c>
      <c r="I28" s="35">
        <v>1</v>
      </c>
      <c r="J28" s="35">
        <v>1</v>
      </c>
      <c r="K28" s="35">
        <v>1</v>
      </c>
      <c r="L28" s="35">
        <v>1</v>
      </c>
      <c r="M28"/>
    </row>
    <row r="29" spans="5:13" x14ac:dyDescent="0.25">
      <c r="F29" t="s">
        <v>170</v>
      </c>
      <c r="G29" s="35">
        <v>1</v>
      </c>
      <c r="H29" s="35">
        <v>1</v>
      </c>
      <c r="I29" s="35">
        <v>1</v>
      </c>
      <c r="J29" s="35">
        <v>1</v>
      </c>
      <c r="K29" s="35">
        <v>1</v>
      </c>
      <c r="L29" s="35">
        <v>1</v>
      </c>
      <c r="M29"/>
    </row>
    <row r="30" spans="5:13" x14ac:dyDescent="0.25">
      <c r="F30" t="s">
        <v>173</v>
      </c>
      <c r="G30" s="35">
        <v>1</v>
      </c>
      <c r="H30" s="35">
        <v>1</v>
      </c>
      <c r="I30" s="35">
        <v>1</v>
      </c>
      <c r="J30" s="35">
        <v>1</v>
      </c>
      <c r="K30" s="35">
        <v>1</v>
      </c>
      <c r="L30" s="35">
        <v>1</v>
      </c>
      <c r="M30"/>
    </row>
    <row r="31" spans="5:13" x14ac:dyDescent="0.25">
      <c r="F31" t="s">
        <v>174</v>
      </c>
      <c r="G31" s="35">
        <v>1</v>
      </c>
      <c r="H31" s="35">
        <v>1</v>
      </c>
      <c r="I31" s="35">
        <v>1</v>
      </c>
      <c r="J31" s="35">
        <v>1</v>
      </c>
      <c r="K31" s="35">
        <v>1</v>
      </c>
      <c r="L31" s="35">
        <v>1</v>
      </c>
      <c r="M31"/>
    </row>
    <row r="32" spans="5:13" x14ac:dyDescent="0.25">
      <c r="F32" t="s">
        <v>177</v>
      </c>
      <c r="G32" s="35">
        <v>1</v>
      </c>
      <c r="H32" s="35">
        <v>1</v>
      </c>
      <c r="I32" s="35">
        <v>1</v>
      </c>
      <c r="J32" s="35">
        <v>1</v>
      </c>
      <c r="K32" s="35">
        <v>1</v>
      </c>
      <c r="L32" s="35">
        <v>1</v>
      </c>
      <c r="M32"/>
    </row>
    <row r="33" spans="4:13" x14ac:dyDescent="0.25">
      <c r="F33" t="s">
        <v>178</v>
      </c>
      <c r="G33" s="35">
        <v>1</v>
      </c>
      <c r="H33" s="35">
        <v>1</v>
      </c>
      <c r="I33" s="35">
        <v>1</v>
      </c>
      <c r="J33" s="35">
        <v>1</v>
      </c>
      <c r="K33" s="35">
        <v>1</v>
      </c>
      <c r="L33" s="35">
        <v>1</v>
      </c>
      <c r="M33"/>
    </row>
    <row r="34" spans="4:13" x14ac:dyDescent="0.25">
      <c r="F34" t="s">
        <v>181</v>
      </c>
      <c r="G34" s="35">
        <v>1</v>
      </c>
      <c r="H34" s="35">
        <v>1</v>
      </c>
      <c r="I34" s="35">
        <v>1</v>
      </c>
      <c r="J34" s="35">
        <v>1</v>
      </c>
      <c r="K34" s="35">
        <v>1</v>
      </c>
      <c r="L34" s="35">
        <v>1</v>
      </c>
      <c r="M34"/>
    </row>
    <row r="35" spans="4:13" x14ac:dyDescent="0.25">
      <c r="F35" t="s">
        <v>182</v>
      </c>
      <c r="G35" s="35">
        <v>1</v>
      </c>
      <c r="H35" s="35">
        <v>1</v>
      </c>
      <c r="I35" s="35">
        <v>1</v>
      </c>
      <c r="J35" s="35">
        <v>1</v>
      </c>
      <c r="K35" s="35">
        <v>1</v>
      </c>
      <c r="L35" s="35">
        <v>1</v>
      </c>
      <c r="M35"/>
    </row>
    <row r="36" spans="4:13" x14ac:dyDescent="0.25">
      <c r="F36" t="s">
        <v>185</v>
      </c>
      <c r="G36" s="35">
        <v>1</v>
      </c>
      <c r="H36" s="35">
        <v>1</v>
      </c>
      <c r="I36" s="35">
        <v>1</v>
      </c>
      <c r="J36" s="35">
        <v>1</v>
      </c>
      <c r="K36" s="35">
        <v>1</v>
      </c>
      <c r="L36" s="35">
        <v>1</v>
      </c>
      <c r="M36"/>
    </row>
    <row r="37" spans="4:13" x14ac:dyDescent="0.25">
      <c r="F37" t="s">
        <v>186</v>
      </c>
      <c r="G37" s="35">
        <v>1</v>
      </c>
      <c r="H37" s="35">
        <v>1</v>
      </c>
      <c r="I37" s="35">
        <v>1</v>
      </c>
      <c r="J37" s="35">
        <v>1</v>
      </c>
      <c r="K37" s="35">
        <v>1</v>
      </c>
      <c r="L37" s="35">
        <v>1</v>
      </c>
      <c r="M37"/>
    </row>
    <row r="38" spans="4:13" x14ac:dyDescent="0.25">
      <c r="F38" t="s">
        <v>189</v>
      </c>
      <c r="G38" s="35">
        <v>1</v>
      </c>
      <c r="H38" s="35">
        <v>1</v>
      </c>
      <c r="I38" s="35">
        <v>1</v>
      </c>
      <c r="J38" s="35">
        <v>1</v>
      </c>
      <c r="K38" s="35">
        <v>1</v>
      </c>
      <c r="L38" s="35">
        <v>1</v>
      </c>
      <c r="M38"/>
    </row>
    <row r="39" spans="4:13" x14ac:dyDescent="0.25">
      <c r="D39" t="s">
        <v>190</v>
      </c>
      <c r="G39" s="35"/>
      <c r="H39" s="35"/>
      <c r="I39" s="35"/>
      <c r="J39" s="35"/>
      <c r="K39" s="35"/>
      <c r="L39" s="35"/>
      <c r="M39"/>
    </row>
    <row r="40" spans="4:13" x14ac:dyDescent="0.25">
      <c r="E40" t="s">
        <v>60</v>
      </c>
      <c r="G40" s="35"/>
      <c r="H40" s="35"/>
      <c r="I40" s="35"/>
      <c r="J40" s="35"/>
      <c r="K40" s="35"/>
      <c r="L40" s="35"/>
      <c r="M40"/>
    </row>
    <row r="41" spans="4:13" x14ac:dyDescent="0.25">
      <c r="F41" t="s">
        <v>192</v>
      </c>
      <c r="G41" s="35">
        <v>1</v>
      </c>
      <c r="H41" s="35">
        <v>1</v>
      </c>
      <c r="I41" s="35">
        <v>1</v>
      </c>
      <c r="J41" s="35">
        <v>1</v>
      </c>
      <c r="K41" s="35">
        <v>1</v>
      </c>
      <c r="L41" s="35">
        <v>1</v>
      </c>
      <c r="M41"/>
    </row>
    <row r="42" spans="4:13" x14ac:dyDescent="0.25">
      <c r="F42" t="s">
        <v>193</v>
      </c>
      <c r="G42" s="35">
        <v>1</v>
      </c>
      <c r="H42" s="35">
        <v>1</v>
      </c>
      <c r="I42" s="35">
        <v>1</v>
      </c>
      <c r="J42" s="35">
        <v>1</v>
      </c>
      <c r="K42" s="35">
        <v>1</v>
      </c>
      <c r="L42" s="35">
        <v>1</v>
      </c>
      <c r="M42"/>
    </row>
    <row r="43" spans="4:13" x14ac:dyDescent="0.25">
      <c r="F43" t="s">
        <v>196</v>
      </c>
      <c r="G43" s="35">
        <v>1</v>
      </c>
      <c r="H43" s="35">
        <v>1</v>
      </c>
      <c r="I43" s="35">
        <v>1</v>
      </c>
      <c r="J43" s="35">
        <v>1</v>
      </c>
      <c r="K43" s="35">
        <v>0</v>
      </c>
      <c r="L43" s="35">
        <v>0.90697674418604646</v>
      </c>
      <c r="M43"/>
    </row>
    <row r="44" spans="4:13" x14ac:dyDescent="0.25">
      <c r="F44" t="s">
        <v>197</v>
      </c>
      <c r="G44" s="35">
        <v>1</v>
      </c>
      <c r="H44" s="35">
        <v>1</v>
      </c>
      <c r="I44" s="35">
        <v>1</v>
      </c>
      <c r="J44" s="35">
        <v>1</v>
      </c>
      <c r="K44" s="35">
        <v>1</v>
      </c>
      <c r="L44" s="35">
        <v>1</v>
      </c>
      <c r="M44"/>
    </row>
    <row r="45" spans="4:13" x14ac:dyDescent="0.25">
      <c r="F45" t="s">
        <v>200</v>
      </c>
      <c r="G45" s="35">
        <v>1</v>
      </c>
      <c r="H45" s="35">
        <v>1</v>
      </c>
      <c r="I45" s="35">
        <v>1</v>
      </c>
      <c r="J45" s="35">
        <v>1</v>
      </c>
      <c r="K45" s="35">
        <v>1</v>
      </c>
      <c r="L45" s="35">
        <v>1</v>
      </c>
      <c r="M45"/>
    </row>
    <row r="46" spans="4:13" x14ac:dyDescent="0.25">
      <c r="F46" t="s">
        <v>201</v>
      </c>
      <c r="G46" s="35">
        <v>1</v>
      </c>
      <c r="H46" s="35">
        <v>1</v>
      </c>
      <c r="I46" s="35">
        <v>1</v>
      </c>
      <c r="J46" s="35">
        <v>1</v>
      </c>
      <c r="K46" s="35">
        <v>1</v>
      </c>
      <c r="L46" s="35">
        <v>1</v>
      </c>
      <c r="M46"/>
    </row>
    <row r="47" spans="4:13" x14ac:dyDescent="0.25">
      <c r="F47" t="s">
        <v>204</v>
      </c>
      <c r="G47" s="35">
        <v>1</v>
      </c>
      <c r="H47" s="35">
        <v>1</v>
      </c>
      <c r="I47" s="35">
        <v>1</v>
      </c>
      <c r="J47" s="35">
        <v>1</v>
      </c>
      <c r="K47" s="35">
        <v>1</v>
      </c>
      <c r="L47" s="35">
        <v>1</v>
      </c>
      <c r="M47"/>
    </row>
    <row r="48" spans="4:13" x14ac:dyDescent="0.25">
      <c r="F48" t="s">
        <v>205</v>
      </c>
      <c r="G48" s="35">
        <v>1</v>
      </c>
      <c r="H48" s="35">
        <v>1</v>
      </c>
      <c r="I48" s="35">
        <v>1</v>
      </c>
      <c r="J48" s="35">
        <v>1</v>
      </c>
      <c r="K48" s="35">
        <v>1</v>
      </c>
      <c r="L48" s="35">
        <v>1</v>
      </c>
      <c r="M48"/>
    </row>
    <row r="49" spans="5:13" x14ac:dyDescent="0.25">
      <c r="F49" t="s">
        <v>208</v>
      </c>
      <c r="G49" s="35">
        <v>1</v>
      </c>
      <c r="H49" s="35">
        <v>1</v>
      </c>
      <c r="I49" s="35">
        <v>1</v>
      </c>
      <c r="J49" s="35">
        <v>1</v>
      </c>
      <c r="K49" s="35">
        <v>0</v>
      </c>
      <c r="L49" s="35">
        <v>0.90697674418604646</v>
      </c>
      <c r="M49"/>
    </row>
    <row r="50" spans="5:13" x14ac:dyDescent="0.25">
      <c r="F50" t="s">
        <v>209</v>
      </c>
      <c r="G50" s="35">
        <v>1</v>
      </c>
      <c r="H50" s="35">
        <v>1</v>
      </c>
      <c r="I50" s="35">
        <v>1</v>
      </c>
      <c r="J50" s="35">
        <v>1</v>
      </c>
      <c r="K50" s="35">
        <v>0</v>
      </c>
      <c r="L50" s="35">
        <v>0.90697674418604646</v>
      </c>
      <c r="M50"/>
    </row>
    <row r="51" spans="5:13" x14ac:dyDescent="0.25">
      <c r="F51" t="s">
        <v>212</v>
      </c>
      <c r="G51" s="35">
        <v>1</v>
      </c>
      <c r="H51" s="35">
        <v>1</v>
      </c>
      <c r="I51" s="35">
        <v>1</v>
      </c>
      <c r="J51" s="35">
        <v>1</v>
      </c>
      <c r="K51" s="35">
        <v>0</v>
      </c>
      <c r="L51" s="35">
        <v>0.90697674418604646</v>
      </c>
      <c r="M51"/>
    </row>
    <row r="52" spans="5:13" x14ac:dyDescent="0.25">
      <c r="F52" t="s">
        <v>213</v>
      </c>
      <c r="G52" s="35">
        <v>1</v>
      </c>
      <c r="H52" s="35">
        <v>1</v>
      </c>
      <c r="I52" s="35">
        <v>1</v>
      </c>
      <c r="J52" s="35">
        <v>1</v>
      </c>
      <c r="K52" s="35">
        <v>0</v>
      </c>
      <c r="L52" s="35">
        <v>0.90697674418604646</v>
      </c>
      <c r="M52"/>
    </row>
    <row r="53" spans="5:13" x14ac:dyDescent="0.25">
      <c r="E53" t="s">
        <v>58</v>
      </c>
      <c r="G53" s="35"/>
      <c r="H53" s="35"/>
      <c r="I53" s="35"/>
      <c r="J53" s="35"/>
      <c r="K53" s="35"/>
      <c r="L53" s="35"/>
      <c r="M53"/>
    </row>
    <row r="54" spans="5:13" x14ac:dyDescent="0.25">
      <c r="F54" t="s">
        <v>191</v>
      </c>
      <c r="G54" s="35">
        <v>1</v>
      </c>
      <c r="H54" s="35">
        <v>1</v>
      </c>
      <c r="I54" s="35">
        <v>1</v>
      </c>
      <c r="J54" s="35">
        <v>1</v>
      </c>
      <c r="K54" s="35">
        <v>1</v>
      </c>
      <c r="L54" s="35">
        <v>1</v>
      </c>
      <c r="M54"/>
    </row>
    <row r="55" spans="5:13" x14ac:dyDescent="0.25">
      <c r="F55" t="s">
        <v>194</v>
      </c>
      <c r="G55" s="35">
        <v>1</v>
      </c>
      <c r="H55" s="35">
        <v>1</v>
      </c>
      <c r="I55" s="35">
        <v>1</v>
      </c>
      <c r="J55" s="35">
        <v>1</v>
      </c>
      <c r="K55" s="35">
        <v>1</v>
      </c>
      <c r="L55" s="35">
        <v>1</v>
      </c>
      <c r="M55"/>
    </row>
    <row r="56" spans="5:13" x14ac:dyDescent="0.25">
      <c r="F56" t="s">
        <v>195</v>
      </c>
      <c r="G56" s="35">
        <v>1</v>
      </c>
      <c r="H56" s="35">
        <v>1</v>
      </c>
      <c r="I56" s="35">
        <v>1</v>
      </c>
      <c r="J56" s="35">
        <v>1</v>
      </c>
      <c r="K56" s="35">
        <v>1</v>
      </c>
      <c r="L56" s="35">
        <v>1</v>
      </c>
      <c r="M56" s="35"/>
    </row>
    <row r="57" spans="5:13" x14ac:dyDescent="0.25">
      <c r="F57" t="s">
        <v>198</v>
      </c>
      <c r="G57" s="35">
        <v>1</v>
      </c>
      <c r="H57" s="35">
        <v>1</v>
      </c>
      <c r="I57" s="35">
        <v>1</v>
      </c>
      <c r="J57" s="35">
        <v>1</v>
      </c>
      <c r="K57" s="35">
        <v>1</v>
      </c>
      <c r="L57" s="35">
        <v>1</v>
      </c>
      <c r="M57" s="35"/>
    </row>
    <row r="58" spans="5:13" x14ac:dyDescent="0.25">
      <c r="F58" t="s">
        <v>199</v>
      </c>
      <c r="G58" s="35">
        <v>1</v>
      </c>
      <c r="H58" s="35">
        <v>1</v>
      </c>
      <c r="I58" s="35">
        <v>1</v>
      </c>
      <c r="J58" s="35">
        <v>1</v>
      </c>
      <c r="K58" s="35">
        <v>0</v>
      </c>
      <c r="L58" s="35">
        <v>0.90697674418604646</v>
      </c>
      <c r="M58" s="35"/>
    </row>
    <row r="59" spans="5:13" x14ac:dyDescent="0.25">
      <c r="F59" t="s">
        <v>202</v>
      </c>
      <c r="G59" s="35">
        <v>1</v>
      </c>
      <c r="H59" s="35">
        <v>1</v>
      </c>
      <c r="I59" s="35">
        <v>1</v>
      </c>
      <c r="J59" s="35">
        <v>1</v>
      </c>
      <c r="K59" s="35">
        <v>1</v>
      </c>
      <c r="L59" s="35">
        <v>1</v>
      </c>
      <c r="M59" s="35"/>
    </row>
    <row r="60" spans="5:13" x14ac:dyDescent="0.25">
      <c r="F60" t="s">
        <v>203</v>
      </c>
      <c r="G60" s="35">
        <v>1</v>
      </c>
      <c r="H60" s="35">
        <v>1</v>
      </c>
      <c r="I60" s="35">
        <v>1</v>
      </c>
      <c r="J60" s="35">
        <v>1</v>
      </c>
      <c r="K60" s="35">
        <v>0</v>
      </c>
      <c r="L60" s="35">
        <v>0.90697674418604646</v>
      </c>
      <c r="M60" s="35"/>
    </row>
    <row r="61" spans="5:13" x14ac:dyDescent="0.25">
      <c r="F61" t="s">
        <v>206</v>
      </c>
      <c r="G61" s="35">
        <v>1</v>
      </c>
      <c r="H61" s="35">
        <v>1</v>
      </c>
      <c r="I61" s="35">
        <v>1</v>
      </c>
      <c r="J61" s="35">
        <v>1</v>
      </c>
      <c r="K61" s="35">
        <v>1</v>
      </c>
      <c r="L61" s="35">
        <v>1</v>
      </c>
      <c r="M61" s="35"/>
    </row>
    <row r="62" spans="5:13" x14ac:dyDescent="0.25">
      <c r="F62" t="s">
        <v>207</v>
      </c>
      <c r="G62" s="35">
        <v>1</v>
      </c>
      <c r="H62" s="35">
        <v>1</v>
      </c>
      <c r="I62" s="35">
        <v>1</v>
      </c>
      <c r="J62" s="35">
        <v>1</v>
      </c>
      <c r="K62" s="35">
        <v>0</v>
      </c>
      <c r="L62" s="35">
        <v>0.90697674418604646</v>
      </c>
      <c r="M62" s="35"/>
    </row>
    <row r="63" spans="5:13" x14ac:dyDescent="0.25">
      <c r="F63" t="s">
        <v>210</v>
      </c>
      <c r="G63" s="35">
        <v>1</v>
      </c>
      <c r="H63" s="35">
        <v>1</v>
      </c>
      <c r="I63" s="35">
        <v>1</v>
      </c>
      <c r="J63" s="35">
        <v>1</v>
      </c>
      <c r="K63" s="35">
        <v>0</v>
      </c>
      <c r="L63" s="35">
        <v>0.90697674418604646</v>
      </c>
      <c r="M63" s="35"/>
    </row>
    <row r="64" spans="5:13" x14ac:dyDescent="0.25">
      <c r="F64" t="s">
        <v>211</v>
      </c>
      <c r="G64" s="35">
        <v>1</v>
      </c>
      <c r="H64" s="35">
        <v>1</v>
      </c>
      <c r="I64" s="35">
        <v>1</v>
      </c>
      <c r="J64" s="35">
        <v>1</v>
      </c>
      <c r="K64" s="35">
        <v>1</v>
      </c>
      <c r="L64" s="35">
        <v>1</v>
      </c>
      <c r="M64" s="35"/>
    </row>
    <row r="65" spans="6:13" x14ac:dyDescent="0.25">
      <c r="F65" t="s">
        <v>214</v>
      </c>
      <c r="G65" s="35">
        <v>1</v>
      </c>
      <c r="H65" s="35">
        <v>1</v>
      </c>
      <c r="I65" s="35">
        <v>1</v>
      </c>
      <c r="J65" s="35">
        <v>1</v>
      </c>
      <c r="K65" s="35">
        <v>0</v>
      </c>
      <c r="L65" s="35">
        <v>0.90697674418604646</v>
      </c>
      <c r="M65" s="35"/>
    </row>
    <row r="66" spans="6:13" x14ac:dyDescent="0.25">
      <c r="F66" t="s">
        <v>215</v>
      </c>
      <c r="G66" s="35">
        <v>1</v>
      </c>
      <c r="H66" s="35">
        <v>0</v>
      </c>
      <c r="I66" s="35">
        <v>0</v>
      </c>
      <c r="J66" s="35">
        <v>0</v>
      </c>
      <c r="K66" s="35">
        <v>0</v>
      </c>
      <c r="L66" s="35">
        <v>0.27906976744186046</v>
      </c>
      <c r="M66" s="35"/>
    </row>
    <row r="67" spans="6:13" x14ac:dyDescent="0.25">
      <c r="F67" t="s">
        <v>222</v>
      </c>
      <c r="G67" s="35">
        <v>1</v>
      </c>
      <c r="H67" s="35">
        <v>0</v>
      </c>
      <c r="I67" s="35">
        <v>0</v>
      </c>
      <c r="J67" s="35">
        <v>0</v>
      </c>
      <c r="K67" s="35">
        <v>0</v>
      </c>
      <c r="L67" s="35">
        <v>0.27906976744186046</v>
      </c>
      <c r="M67" s="35"/>
    </row>
    <row r="68" spans="6:13" x14ac:dyDescent="0.25">
      <c r="H68"/>
      <c r="I68"/>
      <c r="J68"/>
      <c r="K68"/>
      <c r="L68"/>
      <c r="M68" s="35"/>
    </row>
    <row r="69" spans="6:13" x14ac:dyDescent="0.25">
      <c r="H69"/>
      <c r="I69"/>
      <c r="J69"/>
      <c r="K69"/>
      <c r="L69"/>
      <c r="M69" s="35"/>
    </row>
    <row r="70" spans="6:13" x14ac:dyDescent="0.25">
      <c r="H70"/>
      <c r="I70"/>
      <c r="J70"/>
      <c r="K70"/>
      <c r="L70"/>
      <c r="M70" s="35"/>
    </row>
    <row r="71" spans="6:13" x14ac:dyDescent="0.25">
      <c r="H71"/>
      <c r="I71"/>
      <c r="J71"/>
      <c r="K71"/>
      <c r="L71"/>
      <c r="M71" s="35"/>
    </row>
    <row r="72" spans="6:13" x14ac:dyDescent="0.25">
      <c r="H72"/>
      <c r="I72"/>
      <c r="J72"/>
      <c r="K72"/>
      <c r="L72"/>
      <c r="M72" s="35"/>
    </row>
    <row r="73" spans="6:13" x14ac:dyDescent="0.25">
      <c r="H73"/>
      <c r="I73"/>
      <c r="J73"/>
      <c r="K73"/>
      <c r="L73"/>
      <c r="M73" s="35"/>
    </row>
    <row r="74" spans="6:13" x14ac:dyDescent="0.25">
      <c r="H74"/>
      <c r="I74"/>
      <c r="J74"/>
      <c r="K74"/>
      <c r="L74"/>
      <c r="M74" s="35"/>
    </row>
    <row r="75" spans="6:13" x14ac:dyDescent="0.25">
      <c r="H75"/>
      <c r="I75"/>
      <c r="J75"/>
      <c r="K75"/>
      <c r="L75"/>
      <c r="M75" s="35"/>
    </row>
    <row r="76" spans="6:13" x14ac:dyDescent="0.25">
      <c r="H76"/>
      <c r="I76"/>
      <c r="J76"/>
      <c r="K76"/>
      <c r="L76"/>
      <c r="M76" s="35"/>
    </row>
    <row r="77" spans="6:13" x14ac:dyDescent="0.25">
      <c r="H77"/>
      <c r="I77"/>
      <c r="J77"/>
      <c r="K77"/>
      <c r="L77"/>
      <c r="M77" s="35"/>
    </row>
    <row r="78" spans="6:13" x14ac:dyDescent="0.25">
      <c r="H78"/>
      <c r="I78"/>
      <c r="J78"/>
      <c r="K78"/>
      <c r="L78"/>
      <c r="M78" s="35"/>
    </row>
    <row r="79" spans="6:13" x14ac:dyDescent="0.25">
      <c r="G79" s="36"/>
      <c r="H79" s="35"/>
      <c r="I79" s="35"/>
      <c r="J79" s="35"/>
      <c r="K79" s="35"/>
      <c r="L79" s="35"/>
      <c r="M79" s="35"/>
    </row>
    <row r="80" spans="6:13" x14ac:dyDescent="0.25">
      <c r="G80" s="36"/>
      <c r="H80" s="35"/>
      <c r="I80" s="35"/>
      <c r="J80" s="35"/>
      <c r="K80" s="35"/>
      <c r="L80" s="35"/>
      <c r="M80" s="35"/>
    </row>
    <row r="81" spans="6:13" x14ac:dyDescent="0.25">
      <c r="G81" s="36"/>
      <c r="H81" s="35"/>
      <c r="I81" s="35"/>
      <c r="J81" s="35"/>
      <c r="K81" s="35"/>
      <c r="L81" s="35"/>
      <c r="M81" s="35"/>
    </row>
    <row r="82" spans="6:13" x14ac:dyDescent="0.25">
      <c r="G82" s="36"/>
      <c r="H82" s="35"/>
      <c r="I82" s="35"/>
      <c r="J82" s="35"/>
      <c r="K82" s="35"/>
      <c r="L82" s="35"/>
      <c r="M82" s="35"/>
    </row>
    <row r="83" spans="6:13" x14ac:dyDescent="0.25">
      <c r="G83" s="36"/>
      <c r="H83" s="35"/>
      <c r="I83" s="35"/>
      <c r="J83" s="35"/>
      <c r="K83" s="35"/>
      <c r="L83" s="35"/>
      <c r="M83" s="35"/>
    </row>
    <row r="84" spans="6:13" x14ac:dyDescent="0.25">
      <c r="G84" s="36"/>
      <c r="H84" s="35"/>
      <c r="I84" s="35"/>
      <c r="J84" s="35"/>
      <c r="K84" s="35"/>
      <c r="L84" s="35"/>
      <c r="M84" s="35"/>
    </row>
    <row r="85" spans="6:13" x14ac:dyDescent="0.25">
      <c r="F85" s="36"/>
      <c r="G85" s="35"/>
      <c r="H85" s="35"/>
      <c r="I85" s="35"/>
      <c r="J85" s="35"/>
      <c r="K85" s="35"/>
      <c r="L85" s="35"/>
    </row>
    <row r="86" spans="6:13" x14ac:dyDescent="0.25">
      <c r="F86" s="36"/>
      <c r="G86" s="35"/>
      <c r="H86" s="35"/>
      <c r="I86" s="35"/>
      <c r="J86" s="35"/>
      <c r="K86" s="35"/>
      <c r="L86" s="35"/>
    </row>
    <row r="87" spans="6:13" x14ac:dyDescent="0.25">
      <c r="F87" s="36"/>
      <c r="G87" s="35"/>
      <c r="H87" s="35"/>
      <c r="I87" s="35"/>
      <c r="J87" s="35"/>
      <c r="K87" s="35"/>
      <c r="L87" s="35"/>
    </row>
    <row r="88" spans="6:13" x14ac:dyDescent="0.25">
      <c r="F88" s="36"/>
      <c r="G88" s="35"/>
      <c r="H88" s="35"/>
      <c r="I88" s="35"/>
      <c r="J88" s="35"/>
      <c r="K88" s="35"/>
      <c r="L88" s="35"/>
    </row>
    <row r="89" spans="6:13" x14ac:dyDescent="0.25">
      <c r="F89" s="36"/>
      <c r="G89" s="35"/>
      <c r="H89" s="35"/>
      <c r="I89" s="35"/>
      <c r="J89" s="35"/>
      <c r="K89" s="35"/>
      <c r="L89" s="35"/>
    </row>
    <row r="90" spans="6:13" x14ac:dyDescent="0.25">
      <c r="F90" s="36"/>
      <c r="G90" s="35"/>
      <c r="H90" s="35"/>
      <c r="I90" s="35"/>
      <c r="J90" s="35"/>
      <c r="K90" s="35"/>
      <c r="L90" s="35"/>
    </row>
    <row r="91" spans="6:13" x14ac:dyDescent="0.25">
      <c r="F91" s="36"/>
      <c r="G91" s="35"/>
      <c r="H91" s="35"/>
      <c r="I91" s="35"/>
      <c r="J91" s="35"/>
      <c r="K91" s="35"/>
      <c r="L91" s="35"/>
    </row>
    <row r="92" spans="6:13" x14ac:dyDescent="0.25">
      <c r="F92" s="36"/>
      <c r="G92" s="35"/>
      <c r="H92" s="35"/>
      <c r="I92" s="35"/>
      <c r="J92" s="35"/>
      <c r="K92" s="35"/>
      <c r="L92" s="35"/>
    </row>
    <row r="93" spans="6:13" x14ac:dyDescent="0.25">
      <c r="F93" s="36"/>
      <c r="G93" s="35"/>
      <c r="H93" s="35"/>
      <c r="I93" s="35"/>
      <c r="J93" s="35"/>
      <c r="K93" s="35"/>
      <c r="L93" s="35"/>
    </row>
    <row r="94" spans="6:13" x14ac:dyDescent="0.25">
      <c r="F94" s="36"/>
      <c r="G94" s="35"/>
      <c r="H94" s="35"/>
      <c r="I94" s="35"/>
      <c r="J94" s="35"/>
      <c r="K94" s="35"/>
      <c r="L94" s="35"/>
    </row>
    <row r="95" spans="6:13" x14ac:dyDescent="0.25">
      <c r="F95" s="36"/>
      <c r="G95" s="35"/>
      <c r="H95" s="35"/>
      <c r="I95" s="35"/>
      <c r="J95" s="35"/>
      <c r="K95" s="35"/>
      <c r="L95" s="35"/>
    </row>
    <row r="96" spans="6:13" x14ac:dyDescent="0.25">
      <c r="F96" s="36"/>
      <c r="G96" s="35"/>
      <c r="H96" s="35"/>
      <c r="I96" s="35"/>
      <c r="J96" s="35"/>
      <c r="K96" s="35"/>
      <c r="L96" s="35"/>
    </row>
    <row r="97" spans="6:12" x14ac:dyDescent="0.25">
      <c r="F97" s="36"/>
      <c r="G97" s="35"/>
      <c r="H97" s="35"/>
      <c r="I97" s="35"/>
      <c r="J97" s="35"/>
      <c r="K97" s="35"/>
      <c r="L97" s="35"/>
    </row>
    <row r="98" spans="6:12" x14ac:dyDescent="0.25">
      <c r="F98" s="36"/>
      <c r="G98" s="35"/>
      <c r="H98" s="35"/>
      <c r="I98" s="35"/>
      <c r="J98" s="35"/>
      <c r="K98" s="35"/>
      <c r="L98" s="35"/>
    </row>
  </sheetData>
  <conditionalFormatting pivot="1">
    <cfRule type="iconSet" priority="9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216DBC71-97B6-4F74-A96B-A59BCE20572A}">
            <x14:iconSet iconSet="3Symbols2" showValue="0" custom="1">
              <x14:cfvo type="percent">
                <xm:f>0</xm:f>
              </x14:cfvo>
              <x14:cfvo type="percent">
                <xm:f>33</xm:f>
              </x14:cfvo>
              <x14:cfvo type="percent">
                <xm:f>99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G1:K9 G79:K1048576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AABF-8980-4A68-8EDC-EA47FB209AFF}">
  <dimension ref="B7:L17"/>
  <sheetViews>
    <sheetView topLeftCell="A7" zoomScale="160" zoomScaleNormal="160" workbookViewId="0">
      <selection activeCell="D44" sqref="D44"/>
    </sheetView>
  </sheetViews>
  <sheetFormatPr baseColWidth="10" defaultRowHeight="15" x14ac:dyDescent="0.25"/>
  <cols>
    <col min="1" max="1" width="2.7109375" customWidth="1"/>
    <col min="2" max="2" width="17" bestFit="1" customWidth="1"/>
    <col min="3" max="3" width="16.42578125" bestFit="1" customWidth="1"/>
    <col min="4" max="4" width="12.85546875" bestFit="1" customWidth="1"/>
    <col min="5" max="5" width="14.5703125" bestFit="1" customWidth="1"/>
    <col min="6" max="6" width="17.28515625" bestFit="1" customWidth="1"/>
    <col min="7" max="7" width="7.85546875" bestFit="1" customWidth="1"/>
    <col min="8" max="8" width="15.5703125" bestFit="1" customWidth="1"/>
    <col min="9" max="9" width="5.140625" bestFit="1" customWidth="1"/>
    <col min="10" max="10" width="4.28515625" bestFit="1" customWidth="1"/>
    <col min="11" max="11" width="18.5703125" bestFit="1" customWidth="1"/>
    <col min="12" max="12" width="11.140625" bestFit="1" customWidth="1"/>
    <col min="13" max="57" width="21.85546875" bestFit="1" customWidth="1"/>
    <col min="58" max="58" width="13.140625" bestFit="1" customWidth="1"/>
    <col min="59" max="59" width="10.140625" bestFit="1" customWidth="1"/>
    <col min="60" max="60" width="13.140625" bestFit="1" customWidth="1"/>
    <col min="61" max="61" width="10.140625" bestFit="1" customWidth="1"/>
    <col min="62" max="62" width="13.140625" bestFit="1" customWidth="1"/>
    <col min="63" max="63" width="10.140625" bestFit="1" customWidth="1"/>
    <col min="64" max="64" width="13.140625" bestFit="1" customWidth="1"/>
    <col min="65" max="65" width="10.140625" bestFit="1" customWidth="1"/>
    <col min="66" max="66" width="13.140625" bestFit="1" customWidth="1"/>
    <col min="67" max="67" width="10.140625" bestFit="1" customWidth="1"/>
    <col min="68" max="68" width="13.140625" bestFit="1" customWidth="1"/>
    <col min="69" max="69" width="10.140625" bestFit="1" customWidth="1"/>
    <col min="70" max="70" width="13.140625" bestFit="1" customWidth="1"/>
    <col min="71" max="71" width="10.140625" bestFit="1" customWidth="1"/>
    <col min="72" max="72" width="13.140625" bestFit="1" customWidth="1"/>
    <col min="73" max="73" width="10.140625" bestFit="1" customWidth="1"/>
    <col min="74" max="74" width="13.140625" bestFit="1" customWidth="1"/>
    <col min="75" max="75" width="10.140625" bestFit="1" customWidth="1"/>
    <col min="76" max="76" width="13.140625" bestFit="1" customWidth="1"/>
    <col min="77" max="77" width="10.140625" bestFit="1" customWidth="1"/>
    <col min="78" max="78" width="13.140625" bestFit="1" customWidth="1"/>
    <col min="79" max="79" width="10.140625" bestFit="1" customWidth="1"/>
    <col min="80" max="80" width="13.140625" bestFit="1" customWidth="1"/>
    <col min="81" max="81" width="10.140625" bestFit="1" customWidth="1"/>
    <col min="82" max="82" width="13.140625" bestFit="1" customWidth="1"/>
    <col min="83" max="83" width="10.140625" bestFit="1" customWidth="1"/>
    <col min="84" max="84" width="13.140625" bestFit="1" customWidth="1"/>
    <col min="85" max="85" width="10.140625" bestFit="1" customWidth="1"/>
    <col min="86" max="86" width="13.140625" bestFit="1" customWidth="1"/>
    <col min="87" max="87" width="10.140625" bestFit="1" customWidth="1"/>
    <col min="88" max="88" width="13.140625" bestFit="1" customWidth="1"/>
    <col min="89" max="89" width="10.140625" bestFit="1" customWidth="1"/>
    <col min="90" max="90" width="13.140625" bestFit="1" customWidth="1"/>
    <col min="91" max="91" width="10.140625" bestFit="1" customWidth="1"/>
    <col min="92" max="92" width="13.140625" bestFit="1" customWidth="1"/>
    <col min="93" max="93" width="10.140625" bestFit="1" customWidth="1"/>
    <col min="94" max="94" width="13.140625" bestFit="1" customWidth="1"/>
    <col min="95" max="95" width="10.140625" bestFit="1" customWidth="1"/>
    <col min="96" max="96" width="13.140625" bestFit="1" customWidth="1"/>
    <col min="97" max="97" width="10.140625" bestFit="1" customWidth="1"/>
    <col min="98" max="98" width="13.140625" bestFit="1" customWidth="1"/>
    <col min="99" max="99" width="10.140625" bestFit="1" customWidth="1"/>
    <col min="100" max="100" width="13.140625" bestFit="1" customWidth="1"/>
    <col min="101" max="101" width="10.140625" bestFit="1" customWidth="1"/>
    <col min="102" max="102" width="13.140625" bestFit="1" customWidth="1"/>
    <col min="103" max="103" width="10.140625" bestFit="1" customWidth="1"/>
    <col min="104" max="104" width="13.140625" bestFit="1" customWidth="1"/>
    <col min="105" max="105" width="10.140625" bestFit="1" customWidth="1"/>
    <col min="106" max="106" width="13.140625" bestFit="1" customWidth="1"/>
    <col min="107" max="107" width="10.140625" bestFit="1" customWidth="1"/>
    <col min="108" max="108" width="13.140625" bestFit="1" customWidth="1"/>
    <col min="109" max="109" width="10.140625" bestFit="1" customWidth="1"/>
    <col min="110" max="110" width="13.140625" bestFit="1" customWidth="1"/>
    <col min="111" max="111" width="10.140625" bestFit="1" customWidth="1"/>
    <col min="112" max="112" width="13.140625" bestFit="1" customWidth="1"/>
    <col min="113" max="113" width="10.140625" bestFit="1" customWidth="1"/>
    <col min="114" max="114" width="13.140625" bestFit="1" customWidth="1"/>
    <col min="115" max="115" width="10.140625" bestFit="1" customWidth="1"/>
    <col min="116" max="116" width="13.140625" bestFit="1" customWidth="1"/>
    <col min="117" max="117" width="10.140625" bestFit="1" customWidth="1"/>
    <col min="118" max="118" width="13.140625" bestFit="1" customWidth="1"/>
    <col min="119" max="119" width="10.140625" bestFit="1" customWidth="1"/>
    <col min="120" max="120" width="13.140625" bestFit="1" customWidth="1"/>
    <col min="121" max="121" width="12.5703125" bestFit="1" customWidth="1"/>
    <col min="122" max="122" width="13.140625" bestFit="1" customWidth="1"/>
    <col min="123" max="123" width="14.42578125" bestFit="1" customWidth="1"/>
    <col min="124" max="124" width="12.5703125" bestFit="1" customWidth="1"/>
  </cols>
  <sheetData>
    <row r="7" spans="2:12" x14ac:dyDescent="0.25">
      <c r="B7" s="33" t="s">
        <v>819</v>
      </c>
      <c r="C7" t="s">
        <v>820</v>
      </c>
    </row>
    <row r="9" spans="2:12" s="38" customFormat="1" ht="30" x14ac:dyDescent="0.25">
      <c r="B9" s="37" t="s">
        <v>0</v>
      </c>
      <c r="C9" s="37" t="s">
        <v>1</v>
      </c>
      <c r="D9" s="38" t="s">
        <v>827</v>
      </c>
      <c r="E9" s="38" t="s">
        <v>907</v>
      </c>
      <c r="F9" s="38" t="s">
        <v>872</v>
      </c>
      <c r="G9" s="38" t="s">
        <v>873</v>
      </c>
      <c r="H9" s="38" t="s">
        <v>874</v>
      </c>
      <c r="I9" s="38" t="s">
        <v>875</v>
      </c>
      <c r="J9" s="38" t="s">
        <v>876</v>
      </c>
      <c r="K9" s="38" t="s">
        <v>877</v>
      </c>
      <c r="L9"/>
    </row>
    <row r="10" spans="2:12" x14ac:dyDescent="0.25">
      <c r="B10" t="s">
        <v>157</v>
      </c>
      <c r="D10" s="79"/>
      <c r="E10" s="45"/>
      <c r="F10" s="35"/>
      <c r="G10" s="35"/>
      <c r="H10" s="35"/>
      <c r="I10" s="35"/>
      <c r="J10" s="35"/>
      <c r="K10" s="35"/>
    </row>
    <row r="11" spans="2:12" x14ac:dyDescent="0.25">
      <c r="C11" t="s">
        <v>171</v>
      </c>
      <c r="D11" s="79">
        <v>3</v>
      </c>
      <c r="E11" s="45">
        <v>13</v>
      </c>
      <c r="F11" s="35">
        <v>1</v>
      </c>
      <c r="G11" s="35">
        <v>1</v>
      </c>
      <c r="H11" s="35">
        <v>0</v>
      </c>
      <c r="I11" s="35">
        <v>1</v>
      </c>
      <c r="J11" s="35">
        <v>0</v>
      </c>
      <c r="K11" s="35">
        <v>0</v>
      </c>
    </row>
    <row r="12" spans="2:12" x14ac:dyDescent="0.25">
      <c r="C12" t="s">
        <v>179</v>
      </c>
      <c r="D12" s="79">
        <v>3</v>
      </c>
      <c r="E12" s="45">
        <v>7</v>
      </c>
      <c r="F12" s="35">
        <v>1</v>
      </c>
      <c r="G12" s="35">
        <v>1</v>
      </c>
      <c r="H12" s="35">
        <v>0</v>
      </c>
      <c r="I12" s="35">
        <v>1</v>
      </c>
      <c r="J12" s="35">
        <v>0</v>
      </c>
      <c r="K12" s="35">
        <v>0</v>
      </c>
    </row>
    <row r="13" spans="2:12" x14ac:dyDescent="0.25">
      <c r="C13" t="s">
        <v>187</v>
      </c>
      <c r="D13" s="79">
        <v>3</v>
      </c>
      <c r="E13" s="45">
        <v>1</v>
      </c>
      <c r="F13" s="35">
        <v>1</v>
      </c>
      <c r="G13" s="35">
        <v>1</v>
      </c>
      <c r="H13" s="35">
        <v>0</v>
      </c>
      <c r="I13" s="35">
        <v>0</v>
      </c>
      <c r="J13" s="35">
        <v>0</v>
      </c>
      <c r="K13" s="35">
        <v>0</v>
      </c>
    </row>
    <row r="14" spans="2:12" x14ac:dyDescent="0.25">
      <c r="C14" t="s">
        <v>188</v>
      </c>
      <c r="D14" s="79">
        <v>7</v>
      </c>
      <c r="E14" s="45">
        <v>0</v>
      </c>
      <c r="F14" s="35">
        <v>1</v>
      </c>
      <c r="G14" s="35">
        <v>1</v>
      </c>
      <c r="H14" s="35">
        <v>0</v>
      </c>
      <c r="I14" s="35">
        <v>0</v>
      </c>
      <c r="J14" s="35">
        <v>0</v>
      </c>
      <c r="K14" s="35">
        <v>0</v>
      </c>
    </row>
    <row r="15" spans="2:12" x14ac:dyDescent="0.25">
      <c r="B15" t="s">
        <v>190</v>
      </c>
      <c r="D15" s="79"/>
      <c r="E15" s="45"/>
      <c r="F15" s="35"/>
      <c r="G15" s="35"/>
      <c r="H15" s="35"/>
      <c r="I15" s="35"/>
      <c r="J15" s="35"/>
      <c r="K15" s="35"/>
    </row>
    <row r="16" spans="2:12" x14ac:dyDescent="0.25">
      <c r="C16" t="s">
        <v>192</v>
      </c>
      <c r="D16" s="79">
        <v>5</v>
      </c>
      <c r="E16" s="45">
        <v>1</v>
      </c>
      <c r="F16" s="35">
        <v>1</v>
      </c>
      <c r="G16" s="35">
        <v>1</v>
      </c>
      <c r="H16" s="35">
        <v>0</v>
      </c>
      <c r="I16" s="35">
        <v>0</v>
      </c>
      <c r="J16" s="35">
        <v>0</v>
      </c>
      <c r="K16" s="35">
        <v>0</v>
      </c>
    </row>
    <row r="17" spans="3:11" x14ac:dyDescent="0.25">
      <c r="C17" t="s">
        <v>193</v>
      </c>
      <c r="D17" s="79">
        <v>7</v>
      </c>
      <c r="E17" s="45">
        <v>0</v>
      </c>
      <c r="F17" s="35">
        <v>1</v>
      </c>
      <c r="G17" s="35">
        <v>1</v>
      </c>
      <c r="H17" s="35">
        <v>0</v>
      </c>
      <c r="I17" s="35">
        <v>0</v>
      </c>
      <c r="J17" s="35">
        <v>0</v>
      </c>
      <c r="K17" s="35">
        <v>0</v>
      </c>
    </row>
  </sheetData>
  <conditionalFormatting pivot="1" sqref="F10:K17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1688-7EE9-474B-8AFA-C723C4ECC977}">
  <dimension ref="B8:J10"/>
  <sheetViews>
    <sheetView topLeftCell="A6" zoomScale="140" zoomScaleNormal="140" workbookViewId="0">
      <selection activeCell="M28" sqref="M28"/>
    </sheetView>
  </sheetViews>
  <sheetFormatPr baseColWidth="10" defaultRowHeight="15" x14ac:dyDescent="0.25"/>
  <cols>
    <col min="1" max="1" width="2.7109375" customWidth="1"/>
    <col min="2" max="2" width="17" bestFit="1" customWidth="1"/>
    <col min="3" max="4" width="14.140625" bestFit="1" customWidth="1"/>
    <col min="5" max="5" width="15.28515625" bestFit="1" customWidth="1"/>
    <col min="6" max="6" width="11.28515625" bestFit="1" customWidth="1"/>
    <col min="7" max="7" width="13.140625" bestFit="1" customWidth="1"/>
    <col min="8" max="8" width="9.5703125" bestFit="1" customWidth="1"/>
    <col min="9" max="9" width="10" bestFit="1" customWidth="1"/>
    <col min="10" max="12" width="11.42578125" bestFit="1" customWidth="1"/>
    <col min="13" max="57" width="21.85546875" bestFit="1" customWidth="1"/>
    <col min="58" max="58" width="13.140625" bestFit="1" customWidth="1"/>
    <col min="59" max="59" width="10.140625" bestFit="1" customWidth="1"/>
    <col min="60" max="60" width="13.140625" bestFit="1" customWidth="1"/>
    <col min="61" max="61" width="10.140625" bestFit="1" customWidth="1"/>
    <col min="62" max="62" width="13.140625" bestFit="1" customWidth="1"/>
    <col min="63" max="63" width="10.140625" bestFit="1" customWidth="1"/>
    <col min="64" max="64" width="13.140625" bestFit="1" customWidth="1"/>
    <col min="65" max="65" width="10.140625" bestFit="1" customWidth="1"/>
    <col min="66" max="66" width="13.140625" bestFit="1" customWidth="1"/>
    <col min="67" max="67" width="10.140625" bestFit="1" customWidth="1"/>
    <col min="68" max="68" width="13.140625" bestFit="1" customWidth="1"/>
    <col min="69" max="69" width="10.140625" bestFit="1" customWidth="1"/>
    <col min="70" max="70" width="13.140625" bestFit="1" customWidth="1"/>
    <col min="71" max="71" width="10.140625" bestFit="1" customWidth="1"/>
    <col min="72" max="72" width="13.140625" bestFit="1" customWidth="1"/>
    <col min="73" max="73" width="10.140625" bestFit="1" customWidth="1"/>
    <col min="74" max="74" width="13.140625" bestFit="1" customWidth="1"/>
    <col min="75" max="75" width="10.140625" bestFit="1" customWidth="1"/>
    <col min="76" max="76" width="13.140625" bestFit="1" customWidth="1"/>
    <col min="77" max="77" width="10.140625" bestFit="1" customWidth="1"/>
    <col min="78" max="78" width="13.140625" bestFit="1" customWidth="1"/>
    <col min="79" max="79" width="10.140625" bestFit="1" customWidth="1"/>
    <col min="80" max="80" width="13.140625" bestFit="1" customWidth="1"/>
    <col min="81" max="81" width="10.140625" bestFit="1" customWidth="1"/>
    <col min="82" max="82" width="13.140625" bestFit="1" customWidth="1"/>
    <col min="83" max="83" width="10.140625" bestFit="1" customWidth="1"/>
    <col min="84" max="84" width="13.140625" bestFit="1" customWidth="1"/>
    <col min="85" max="85" width="10.140625" bestFit="1" customWidth="1"/>
    <col min="86" max="86" width="13.140625" bestFit="1" customWidth="1"/>
    <col min="87" max="87" width="10.140625" bestFit="1" customWidth="1"/>
    <col min="88" max="88" width="13.140625" bestFit="1" customWidth="1"/>
    <col min="89" max="89" width="10.140625" bestFit="1" customWidth="1"/>
    <col min="90" max="90" width="13.140625" bestFit="1" customWidth="1"/>
    <col min="91" max="91" width="10.140625" bestFit="1" customWidth="1"/>
    <col min="92" max="92" width="13.140625" bestFit="1" customWidth="1"/>
    <col min="93" max="93" width="10.140625" bestFit="1" customWidth="1"/>
    <col min="94" max="94" width="13.140625" bestFit="1" customWidth="1"/>
    <col min="95" max="95" width="10.140625" bestFit="1" customWidth="1"/>
    <col min="96" max="96" width="13.140625" bestFit="1" customWidth="1"/>
    <col min="97" max="97" width="10.140625" bestFit="1" customWidth="1"/>
    <col min="98" max="98" width="13.140625" bestFit="1" customWidth="1"/>
    <col min="99" max="99" width="10.140625" bestFit="1" customWidth="1"/>
    <col min="100" max="100" width="13.140625" bestFit="1" customWidth="1"/>
    <col min="101" max="101" width="10.140625" bestFit="1" customWidth="1"/>
    <col min="102" max="102" width="13.140625" bestFit="1" customWidth="1"/>
    <col min="103" max="103" width="10.140625" bestFit="1" customWidth="1"/>
    <col min="104" max="104" width="13.140625" bestFit="1" customWidth="1"/>
    <col min="105" max="105" width="10.140625" bestFit="1" customWidth="1"/>
    <col min="106" max="106" width="13.140625" bestFit="1" customWidth="1"/>
    <col min="107" max="107" width="10.140625" bestFit="1" customWidth="1"/>
    <col min="108" max="108" width="13.140625" bestFit="1" customWidth="1"/>
    <col min="109" max="109" width="10.140625" bestFit="1" customWidth="1"/>
    <col min="110" max="110" width="13.140625" bestFit="1" customWidth="1"/>
    <col min="111" max="111" width="10.140625" bestFit="1" customWidth="1"/>
    <col min="112" max="112" width="13.140625" bestFit="1" customWidth="1"/>
    <col min="113" max="113" width="10.140625" bestFit="1" customWidth="1"/>
    <col min="114" max="114" width="13.140625" bestFit="1" customWidth="1"/>
    <col min="115" max="115" width="10.140625" bestFit="1" customWidth="1"/>
    <col min="116" max="116" width="13.140625" bestFit="1" customWidth="1"/>
    <col min="117" max="117" width="10.140625" bestFit="1" customWidth="1"/>
    <col min="118" max="118" width="13.140625" bestFit="1" customWidth="1"/>
    <col min="119" max="119" width="10.140625" bestFit="1" customWidth="1"/>
    <col min="120" max="120" width="13.140625" bestFit="1" customWidth="1"/>
    <col min="121" max="121" width="12.5703125" bestFit="1" customWidth="1"/>
    <col min="122" max="122" width="13.140625" bestFit="1" customWidth="1"/>
    <col min="123" max="123" width="14.42578125" bestFit="1" customWidth="1"/>
    <col min="124" max="124" width="12.5703125" bestFit="1" customWidth="1"/>
  </cols>
  <sheetData>
    <row r="8" spans="2:10" x14ac:dyDescent="0.25">
      <c r="B8" s="33" t="s">
        <v>819</v>
      </c>
      <c r="C8" t="s">
        <v>820</v>
      </c>
    </row>
    <row r="10" spans="2:10" x14ac:dyDescent="0.25">
      <c r="B10" s="33" t="s">
        <v>0</v>
      </c>
      <c r="C10" s="33" t="s">
        <v>3</v>
      </c>
      <c r="D10" s="33" t="s">
        <v>1</v>
      </c>
      <c r="E10" s="36" t="s">
        <v>878</v>
      </c>
      <c r="F10" s="36" t="s">
        <v>879</v>
      </c>
      <c r="G10" s="36" t="s">
        <v>880</v>
      </c>
      <c r="H10" s="36" t="s">
        <v>881</v>
      </c>
      <c r="I10" s="36" t="s">
        <v>882</v>
      </c>
      <c r="J10" s="36" t="s">
        <v>818</v>
      </c>
    </row>
  </sheetData>
  <conditionalFormatting pivot="1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28A6-B22F-44A2-B3FE-D978792352BC}">
  <dimension ref="B8:AA58"/>
  <sheetViews>
    <sheetView topLeftCell="A4" zoomScaleNormal="100" workbookViewId="0">
      <selection activeCell="H41" sqref="H41"/>
    </sheetView>
  </sheetViews>
  <sheetFormatPr baseColWidth="10" defaultColWidth="18.28515625" defaultRowHeight="15" x14ac:dyDescent="0.25"/>
  <cols>
    <col min="1" max="1" width="2.140625" customWidth="1"/>
    <col min="2" max="2" width="17" bestFit="1" customWidth="1"/>
    <col min="3" max="3" width="16.42578125" bestFit="1" customWidth="1"/>
    <col min="4" max="4" width="16.42578125" style="36" bestFit="1" customWidth="1"/>
    <col min="5" max="5" width="9.140625" bestFit="1" customWidth="1"/>
    <col min="6" max="6" width="10" style="36" bestFit="1" customWidth="1"/>
    <col min="7" max="7" width="9.7109375" bestFit="1" customWidth="1"/>
    <col min="8" max="8" width="8.7109375" bestFit="1" customWidth="1"/>
    <col min="9" max="9" width="10.5703125" bestFit="1" customWidth="1"/>
    <col min="10" max="10" width="7.140625" bestFit="1" customWidth="1"/>
    <col min="11" max="11" width="10" bestFit="1" customWidth="1"/>
    <col min="12" max="12" width="9.5703125" bestFit="1" customWidth="1"/>
    <col min="13" max="13" width="10.140625" bestFit="1" customWidth="1"/>
    <col min="14" max="14" width="9.42578125" bestFit="1" customWidth="1"/>
    <col min="15" max="15" width="8.85546875" bestFit="1" customWidth="1"/>
    <col min="16" max="16" width="9.140625" bestFit="1" customWidth="1"/>
    <col min="17" max="17" width="13.5703125" bestFit="1" customWidth="1"/>
    <col min="18" max="18" width="15.5703125" bestFit="1" customWidth="1"/>
    <col min="19" max="19" width="18.5703125" bestFit="1" customWidth="1"/>
    <col min="20" max="20" width="11.42578125" bestFit="1" customWidth="1"/>
    <col min="21" max="21" width="14.140625" bestFit="1" customWidth="1"/>
    <col min="22" max="22" width="15.5703125" bestFit="1" customWidth="1"/>
    <col min="23" max="23" width="11.140625" bestFit="1" customWidth="1"/>
    <col min="24" max="24" width="21" bestFit="1" customWidth="1"/>
    <col min="25" max="25" width="14.7109375" bestFit="1" customWidth="1"/>
    <col min="26" max="26" width="15.140625" bestFit="1" customWidth="1"/>
    <col min="27" max="27" width="16.42578125" bestFit="1" customWidth="1"/>
  </cols>
  <sheetData>
    <row r="8" spans="2:27" x14ac:dyDescent="0.25">
      <c r="B8" s="33" t="s">
        <v>819</v>
      </c>
      <c r="C8" t="s">
        <v>820</v>
      </c>
    </row>
    <row r="10" spans="2:27" s="38" customFormat="1" ht="45" x14ac:dyDescent="0.25">
      <c r="B10" s="33" t="s">
        <v>0</v>
      </c>
      <c r="C10" s="37" t="s">
        <v>3</v>
      </c>
      <c r="D10" s="37" t="s">
        <v>1</v>
      </c>
      <c r="E10" s="38" t="s">
        <v>883</v>
      </c>
      <c r="F10" s="38" t="s">
        <v>884</v>
      </c>
      <c r="G10" s="38" t="s">
        <v>885</v>
      </c>
      <c r="H10" s="38" t="s">
        <v>886</v>
      </c>
      <c r="I10" s="38" t="s">
        <v>826</v>
      </c>
      <c r="J10" s="38" t="s">
        <v>887</v>
      </c>
      <c r="K10" s="38" t="s">
        <v>888</v>
      </c>
      <c r="L10" s="38" t="s">
        <v>889</v>
      </c>
      <c r="M10" s="38" t="s">
        <v>890</v>
      </c>
      <c r="N10" s="38" t="s">
        <v>891</v>
      </c>
      <c r="O10" s="38" t="s">
        <v>892</v>
      </c>
      <c r="P10" s="38" t="s">
        <v>893</v>
      </c>
      <c r="Q10" s="38" t="s">
        <v>894</v>
      </c>
      <c r="R10" s="38" t="s">
        <v>896</v>
      </c>
      <c r="S10" s="38" t="s">
        <v>895</v>
      </c>
      <c r="T10" s="38" t="s">
        <v>897</v>
      </c>
      <c r="U10" s="38" t="s">
        <v>898</v>
      </c>
      <c r="V10" s="38" t="s">
        <v>899</v>
      </c>
      <c r="W10" s="38" t="s">
        <v>900</v>
      </c>
      <c r="X10" s="38" t="s">
        <v>901</v>
      </c>
      <c r="Y10" s="38" t="s">
        <v>902</v>
      </c>
      <c r="Z10" s="38" t="s">
        <v>903</v>
      </c>
      <c r="AA10"/>
    </row>
    <row r="11" spans="2:27" x14ac:dyDescent="0.25">
      <c r="B11" t="s">
        <v>157</v>
      </c>
      <c r="D11"/>
      <c r="E11" s="35"/>
      <c r="F11" s="35"/>
      <c r="G11" s="35"/>
      <c r="H11" s="35"/>
      <c r="I11" s="73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2:27" x14ac:dyDescent="0.25">
      <c r="C12" t="s">
        <v>60</v>
      </c>
      <c r="D12"/>
      <c r="E12" s="35"/>
      <c r="F12" s="35"/>
      <c r="G12" s="35"/>
      <c r="H12" s="35"/>
      <c r="I12" s="73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2:27" x14ac:dyDescent="0.25">
      <c r="D13" t="s">
        <v>171</v>
      </c>
      <c r="E13" s="35">
        <v>1</v>
      </c>
      <c r="F13" s="35">
        <v>1</v>
      </c>
      <c r="G13" s="35">
        <v>0</v>
      </c>
      <c r="H13" s="35">
        <v>1</v>
      </c>
      <c r="I13" s="73">
        <v>1</v>
      </c>
      <c r="J13" s="35">
        <v>1</v>
      </c>
      <c r="K13" s="35">
        <v>0</v>
      </c>
      <c r="L13" s="35">
        <v>1</v>
      </c>
      <c r="M13" s="35">
        <v>0</v>
      </c>
      <c r="N13" s="35">
        <v>0</v>
      </c>
      <c r="O13" s="35">
        <v>1</v>
      </c>
      <c r="P13" s="35">
        <v>1</v>
      </c>
      <c r="Q13" s="35">
        <v>1</v>
      </c>
      <c r="R13" s="35">
        <v>0</v>
      </c>
      <c r="S13" s="35">
        <v>1</v>
      </c>
      <c r="T13" s="35">
        <v>1</v>
      </c>
      <c r="U13" s="35">
        <v>1</v>
      </c>
      <c r="V13" s="35">
        <v>0</v>
      </c>
      <c r="W13" s="35">
        <v>0</v>
      </c>
      <c r="X13" s="35">
        <v>1</v>
      </c>
      <c r="Y13" s="35">
        <v>0</v>
      </c>
      <c r="Z13" s="35">
        <v>0.66216216216216184</v>
      </c>
    </row>
    <row r="14" spans="2:27" x14ac:dyDescent="0.25">
      <c r="D14" t="s">
        <v>179</v>
      </c>
      <c r="E14" s="35">
        <v>1</v>
      </c>
      <c r="F14" s="35">
        <v>1</v>
      </c>
      <c r="G14" s="35">
        <v>0</v>
      </c>
      <c r="H14" s="35">
        <v>1</v>
      </c>
      <c r="I14" s="73">
        <v>0</v>
      </c>
      <c r="J14" s="35">
        <v>1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1</v>
      </c>
      <c r="T14" s="35">
        <v>1</v>
      </c>
      <c r="U14" s="35">
        <v>1</v>
      </c>
      <c r="V14" s="35">
        <v>0</v>
      </c>
      <c r="W14" s="35">
        <v>0</v>
      </c>
      <c r="X14" s="35">
        <v>1</v>
      </c>
      <c r="Y14" s="35">
        <v>0</v>
      </c>
      <c r="Z14" s="35">
        <v>0.43243243243243235</v>
      </c>
    </row>
    <row r="15" spans="2:27" x14ac:dyDescent="0.25">
      <c r="D15" t="s">
        <v>187</v>
      </c>
      <c r="E15" s="35">
        <v>0</v>
      </c>
      <c r="F15" s="35">
        <v>1</v>
      </c>
      <c r="G15" s="35">
        <v>0</v>
      </c>
      <c r="H15" s="35">
        <v>1</v>
      </c>
      <c r="I15" s="73">
        <v>0</v>
      </c>
      <c r="J15" s="35">
        <v>1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1</v>
      </c>
      <c r="T15" s="35">
        <v>1</v>
      </c>
      <c r="U15" s="35">
        <v>1</v>
      </c>
      <c r="V15" s="35">
        <v>0</v>
      </c>
      <c r="W15" s="35">
        <v>0</v>
      </c>
      <c r="X15" s="35">
        <v>1</v>
      </c>
      <c r="Y15" s="35">
        <v>0</v>
      </c>
      <c r="Z15" s="35">
        <v>0.37837837837837829</v>
      </c>
    </row>
    <row r="16" spans="2:27" x14ac:dyDescent="0.25">
      <c r="D16" t="s">
        <v>188</v>
      </c>
      <c r="E16" s="35">
        <v>0</v>
      </c>
      <c r="F16" s="35">
        <v>1</v>
      </c>
      <c r="G16" s="35">
        <v>0</v>
      </c>
      <c r="H16" s="35">
        <v>1</v>
      </c>
      <c r="I16" s="73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1</v>
      </c>
      <c r="U16" s="35">
        <v>1</v>
      </c>
      <c r="V16" s="35">
        <v>0</v>
      </c>
      <c r="W16" s="35">
        <v>0</v>
      </c>
      <c r="X16" s="35">
        <v>0</v>
      </c>
      <c r="Y16" s="35">
        <v>0</v>
      </c>
      <c r="Z16" s="35">
        <v>0.21621621621621614</v>
      </c>
    </row>
    <row r="17" spans="2:26" x14ac:dyDescent="0.25">
      <c r="C17" t="s">
        <v>58</v>
      </c>
      <c r="D17"/>
      <c r="E17" s="35"/>
      <c r="F17" s="35"/>
      <c r="G17" s="35"/>
      <c r="H17" s="35"/>
      <c r="I17" s="73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2:26" x14ac:dyDescent="0.25">
      <c r="D18" t="s">
        <v>169</v>
      </c>
      <c r="E18" s="35">
        <v>1</v>
      </c>
      <c r="F18" s="35">
        <v>1</v>
      </c>
      <c r="G18" s="35">
        <v>1</v>
      </c>
      <c r="H18" s="35">
        <v>1</v>
      </c>
      <c r="I18" s="73">
        <v>1</v>
      </c>
      <c r="J18" s="35">
        <v>1</v>
      </c>
      <c r="K18" s="35">
        <v>0</v>
      </c>
      <c r="L18" s="35">
        <v>1</v>
      </c>
      <c r="M18" s="35">
        <v>1</v>
      </c>
      <c r="N18" s="35">
        <v>1</v>
      </c>
      <c r="O18" s="35">
        <v>1</v>
      </c>
      <c r="P18" s="35">
        <v>1</v>
      </c>
      <c r="Q18" s="35">
        <v>1</v>
      </c>
      <c r="R18" s="35">
        <v>1</v>
      </c>
      <c r="S18" s="35">
        <v>1</v>
      </c>
      <c r="T18" s="35">
        <v>1</v>
      </c>
      <c r="U18" s="35">
        <v>1</v>
      </c>
      <c r="V18" s="35">
        <v>1</v>
      </c>
      <c r="W18" s="35">
        <v>1</v>
      </c>
      <c r="X18" s="35">
        <v>1</v>
      </c>
      <c r="Y18" s="35">
        <v>0</v>
      </c>
      <c r="Z18" s="35">
        <v>0.89189189189189144</v>
      </c>
    </row>
    <row r="19" spans="2:26" x14ac:dyDescent="0.25">
      <c r="D19" t="s">
        <v>178</v>
      </c>
      <c r="E19" s="35">
        <v>1</v>
      </c>
      <c r="F19" s="35">
        <v>1</v>
      </c>
      <c r="G19" s="35">
        <v>1</v>
      </c>
      <c r="H19" s="35">
        <v>1</v>
      </c>
      <c r="I19" s="73">
        <v>1</v>
      </c>
      <c r="J19" s="35">
        <v>1</v>
      </c>
      <c r="K19" s="35">
        <v>1</v>
      </c>
      <c r="L19" s="35">
        <v>1</v>
      </c>
      <c r="M19" s="35">
        <v>1</v>
      </c>
      <c r="N19" s="35">
        <v>1</v>
      </c>
      <c r="O19" s="35">
        <v>1</v>
      </c>
      <c r="P19" s="35">
        <v>1</v>
      </c>
      <c r="Q19" s="35">
        <v>1</v>
      </c>
      <c r="R19" s="35">
        <v>1</v>
      </c>
      <c r="S19" s="35">
        <v>1</v>
      </c>
      <c r="T19" s="35">
        <v>1</v>
      </c>
      <c r="U19" s="35">
        <v>1</v>
      </c>
      <c r="V19" s="35">
        <v>1</v>
      </c>
      <c r="W19" s="35">
        <v>1</v>
      </c>
      <c r="X19" s="35">
        <v>1</v>
      </c>
      <c r="Y19" s="35">
        <v>0</v>
      </c>
      <c r="Z19" s="35">
        <v>0.95945945945945899</v>
      </c>
    </row>
    <row r="20" spans="2:26" x14ac:dyDescent="0.25">
      <c r="D20" t="s">
        <v>189</v>
      </c>
      <c r="E20" s="35">
        <v>1</v>
      </c>
      <c r="F20" s="35">
        <v>1</v>
      </c>
      <c r="G20" s="35">
        <v>1</v>
      </c>
      <c r="H20" s="35">
        <v>1</v>
      </c>
      <c r="I20" s="73">
        <v>0</v>
      </c>
      <c r="J20" s="35">
        <v>1</v>
      </c>
      <c r="K20" s="35">
        <v>0</v>
      </c>
      <c r="L20" s="35">
        <v>1</v>
      </c>
      <c r="M20" s="35">
        <v>0</v>
      </c>
      <c r="N20" s="35">
        <v>0</v>
      </c>
      <c r="O20" s="35">
        <v>0</v>
      </c>
      <c r="P20" s="35">
        <v>1</v>
      </c>
      <c r="Q20" s="35">
        <v>1</v>
      </c>
      <c r="R20" s="35">
        <v>1</v>
      </c>
      <c r="S20" s="35">
        <v>1</v>
      </c>
      <c r="T20" s="35">
        <v>1</v>
      </c>
      <c r="U20" s="35">
        <v>1</v>
      </c>
      <c r="V20" s="35">
        <v>1</v>
      </c>
      <c r="W20" s="35">
        <v>1</v>
      </c>
      <c r="X20" s="35">
        <v>1</v>
      </c>
      <c r="Y20" s="35">
        <v>0</v>
      </c>
      <c r="Z20" s="35">
        <v>0.74324324324324298</v>
      </c>
    </row>
    <row r="21" spans="2:26" x14ac:dyDescent="0.25">
      <c r="B21" t="s">
        <v>190</v>
      </c>
      <c r="D21"/>
      <c r="E21" s="35"/>
      <c r="F21" s="35"/>
      <c r="G21" s="35"/>
      <c r="H21" s="35"/>
      <c r="I21" s="73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2:26" x14ac:dyDescent="0.25">
      <c r="C22" t="s">
        <v>60</v>
      </c>
      <c r="D22"/>
      <c r="E22" s="35"/>
      <c r="F22" s="35"/>
      <c r="G22" s="35"/>
      <c r="H22" s="35"/>
      <c r="I22" s="73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2:26" x14ac:dyDescent="0.25">
      <c r="D23" t="s">
        <v>192</v>
      </c>
      <c r="E23" s="35">
        <v>0</v>
      </c>
      <c r="F23" s="35">
        <v>1</v>
      </c>
      <c r="G23" s="35">
        <v>0</v>
      </c>
      <c r="H23" s="35">
        <v>1</v>
      </c>
      <c r="I23" s="73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1</v>
      </c>
      <c r="T23" s="35">
        <v>1</v>
      </c>
      <c r="U23" s="35">
        <v>1</v>
      </c>
      <c r="V23" s="35">
        <v>0</v>
      </c>
      <c r="W23" s="35">
        <v>0</v>
      </c>
      <c r="X23" s="35">
        <v>0</v>
      </c>
      <c r="Y23" s="35">
        <v>0</v>
      </c>
      <c r="Z23" s="35">
        <v>0.27027027027027017</v>
      </c>
    </row>
    <row r="24" spans="2:26" x14ac:dyDescent="0.25">
      <c r="D24" t="s">
        <v>193</v>
      </c>
      <c r="E24" s="35">
        <v>0</v>
      </c>
      <c r="F24" s="35">
        <v>1</v>
      </c>
      <c r="G24" s="35">
        <v>0</v>
      </c>
      <c r="H24" s="35">
        <v>1</v>
      </c>
      <c r="I24" s="73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1</v>
      </c>
      <c r="U24" s="35">
        <v>1</v>
      </c>
      <c r="V24" s="35">
        <v>0</v>
      </c>
      <c r="W24" s="35">
        <v>0</v>
      </c>
      <c r="X24" s="35">
        <v>0</v>
      </c>
      <c r="Y24" s="35">
        <v>0</v>
      </c>
      <c r="Z24" s="35">
        <v>0.21621621621621614</v>
      </c>
    </row>
    <row r="25" spans="2:26" x14ac:dyDescent="0.25">
      <c r="C25" t="s">
        <v>58</v>
      </c>
      <c r="D25"/>
      <c r="E25" s="35"/>
      <c r="F25" s="35"/>
      <c r="G25" s="35"/>
      <c r="H25" s="35"/>
      <c r="I25" s="73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2:26" x14ac:dyDescent="0.25">
      <c r="D26" t="s">
        <v>194</v>
      </c>
      <c r="E26" s="35">
        <v>1</v>
      </c>
      <c r="F26" s="35">
        <v>1</v>
      </c>
      <c r="G26" s="35">
        <v>1</v>
      </c>
      <c r="H26" s="35">
        <v>1</v>
      </c>
      <c r="I26" s="73">
        <v>0</v>
      </c>
      <c r="J26" s="35">
        <v>0</v>
      </c>
      <c r="K26" s="35">
        <v>0</v>
      </c>
      <c r="L26" s="35">
        <v>1</v>
      </c>
      <c r="M26" s="35">
        <v>0</v>
      </c>
      <c r="N26" s="35">
        <v>0</v>
      </c>
      <c r="O26" s="35">
        <v>0</v>
      </c>
      <c r="P26" s="35">
        <v>1</v>
      </c>
      <c r="Q26" s="35">
        <v>0</v>
      </c>
      <c r="R26" s="35">
        <v>1</v>
      </c>
      <c r="S26" s="35">
        <v>1</v>
      </c>
      <c r="T26" s="35">
        <v>1</v>
      </c>
      <c r="U26" s="35">
        <v>0</v>
      </c>
      <c r="V26" s="35">
        <v>1</v>
      </c>
      <c r="W26" s="35">
        <v>1</v>
      </c>
      <c r="X26" s="35">
        <v>1</v>
      </c>
      <c r="Y26" s="35">
        <v>0</v>
      </c>
      <c r="Z26" s="35">
        <v>0.58108108108108092</v>
      </c>
    </row>
    <row r="27" spans="2:26" x14ac:dyDescent="0.25">
      <c r="D27" t="s">
        <v>195</v>
      </c>
      <c r="E27" s="35">
        <v>0</v>
      </c>
      <c r="F27" s="35">
        <v>0</v>
      </c>
      <c r="G27" s="35">
        <v>0</v>
      </c>
      <c r="H27" s="35">
        <v>0</v>
      </c>
      <c r="I27" s="73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  <c r="X27" s="35">
        <v>0</v>
      </c>
      <c r="Y27" s="35">
        <v>0</v>
      </c>
      <c r="Z27" s="35">
        <v>0</v>
      </c>
    </row>
    <row r="28" spans="2:26" x14ac:dyDescent="0.25">
      <c r="D28"/>
      <c r="F28"/>
    </row>
    <row r="29" spans="2:26" x14ac:dyDescent="0.25">
      <c r="D29"/>
      <c r="F29"/>
    </row>
    <row r="30" spans="2:26" x14ac:dyDescent="0.25">
      <c r="D30"/>
      <c r="F30"/>
    </row>
    <row r="31" spans="2:26" x14ac:dyDescent="0.25">
      <c r="D31"/>
      <c r="F31"/>
    </row>
    <row r="32" spans="2:26" x14ac:dyDescent="0.25">
      <c r="D32"/>
      <c r="F32"/>
    </row>
    <row r="33" spans="4:6" x14ac:dyDescent="0.25">
      <c r="D33"/>
      <c r="F33"/>
    </row>
    <row r="34" spans="4:6" x14ac:dyDescent="0.25">
      <c r="D34"/>
      <c r="F34"/>
    </row>
    <row r="35" spans="4:6" x14ac:dyDescent="0.25">
      <c r="D35"/>
      <c r="F35"/>
    </row>
    <row r="36" spans="4:6" x14ac:dyDescent="0.25">
      <c r="D36"/>
      <c r="F36"/>
    </row>
    <row r="37" spans="4:6" x14ac:dyDescent="0.25">
      <c r="D37"/>
      <c r="F37"/>
    </row>
    <row r="38" spans="4:6" x14ac:dyDescent="0.25">
      <c r="D38"/>
      <c r="F38"/>
    </row>
    <row r="39" spans="4:6" x14ac:dyDescent="0.25">
      <c r="D39"/>
      <c r="F39"/>
    </row>
    <row r="40" spans="4:6" x14ac:dyDescent="0.25">
      <c r="D40"/>
      <c r="F40"/>
    </row>
    <row r="41" spans="4:6" x14ac:dyDescent="0.25">
      <c r="D41"/>
      <c r="F41"/>
    </row>
    <row r="42" spans="4:6" x14ac:dyDescent="0.25">
      <c r="D42"/>
      <c r="F42"/>
    </row>
    <row r="43" spans="4:6" x14ac:dyDescent="0.25">
      <c r="D43"/>
      <c r="F43"/>
    </row>
    <row r="44" spans="4:6" x14ac:dyDescent="0.25">
      <c r="D44"/>
      <c r="F44"/>
    </row>
    <row r="45" spans="4:6" x14ac:dyDescent="0.25">
      <c r="D45"/>
      <c r="F45"/>
    </row>
    <row r="46" spans="4:6" x14ac:dyDescent="0.25">
      <c r="D46"/>
      <c r="F46"/>
    </row>
    <row r="47" spans="4:6" x14ac:dyDescent="0.25">
      <c r="D47"/>
      <c r="F47"/>
    </row>
    <row r="48" spans="4:6" x14ac:dyDescent="0.25">
      <c r="D48"/>
      <c r="F48"/>
    </row>
    <row r="49" spans="4:6" x14ac:dyDescent="0.25">
      <c r="D49"/>
      <c r="F49"/>
    </row>
    <row r="50" spans="4:6" x14ac:dyDescent="0.25">
      <c r="D50"/>
      <c r="F50"/>
    </row>
    <row r="51" spans="4:6" x14ac:dyDescent="0.25">
      <c r="D51"/>
      <c r="F51"/>
    </row>
    <row r="52" spans="4:6" x14ac:dyDescent="0.25">
      <c r="D52"/>
      <c r="F52"/>
    </row>
    <row r="53" spans="4:6" x14ac:dyDescent="0.25">
      <c r="D53"/>
    </row>
    <row r="54" spans="4:6" x14ac:dyDescent="0.25">
      <c r="D54"/>
    </row>
    <row r="55" spans="4:6" x14ac:dyDescent="0.25">
      <c r="D55"/>
    </row>
    <row r="56" spans="4:6" x14ac:dyDescent="0.25">
      <c r="D56"/>
    </row>
    <row r="57" spans="4:6" x14ac:dyDescent="0.25">
      <c r="D57"/>
    </row>
    <row r="58" spans="4:6" x14ac:dyDescent="0.25">
      <c r="D58"/>
    </row>
  </sheetData>
  <conditionalFormatting pivot="1" sqref="E11:H27 J11:Z27">
    <cfRule type="iconSet" priority="2">
      <iconSet iconSet="3Symbols2" showValue="0">
        <cfvo type="percent" val="0"/>
        <cfvo type="percent" val="33"/>
        <cfvo type="percent" val="67"/>
      </iconSet>
    </cfRule>
  </conditionalFormatting>
  <conditionalFormatting pivot="1" sqref="I11:I27">
    <cfRule type="iconSet" priority="1">
      <iconSet iconSet="3Symbols2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021F57-C029-4B1D-BD16-F59BFCB302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BD_AVANCE</vt:lpstr>
      <vt:lpstr>PARTIDAS</vt:lpstr>
      <vt:lpstr>CRONOGRAMA</vt:lpstr>
      <vt:lpstr>ESTADO AVANCE</vt:lpstr>
      <vt:lpstr>OBRA GRUESA</vt:lpstr>
      <vt:lpstr>SANITARIO</vt:lpstr>
      <vt:lpstr>ELECTRICO</vt:lpstr>
      <vt:lpstr>TERMINACIONES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  PINTO ALCAYAGA</dc:creator>
  <cp:lastModifiedBy>ARIEL   PINTO ALCAYAGA</cp:lastModifiedBy>
  <dcterms:created xsi:type="dcterms:W3CDTF">2026-05-28T20:33:04Z</dcterms:created>
  <dcterms:modified xsi:type="dcterms:W3CDTF">2026-07-27T12:49:06Z</dcterms:modified>
</cp:coreProperties>
</file>